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ess\OneDrive\Documenten\Bestanden Heat generation Storage SIP\"/>
    </mc:Choice>
  </mc:AlternateContent>
  <xr:revisionPtr revIDLastSave="0" documentId="8_{6C767B1E-77A5-45BB-A34B-8F8479D7EAF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Weather data" sheetId="1" r:id="rId1"/>
    <sheet name="One year weather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74" i="2" l="1"/>
  <c r="F1575" i="2"/>
  <c r="F1576" i="2"/>
  <c r="F1577" i="2"/>
  <c r="F1578" i="2"/>
  <c r="F1597" i="2"/>
  <c r="F1598" i="2"/>
  <c r="F1599" i="2"/>
  <c r="F1600" i="2"/>
  <c r="F1601" i="2"/>
  <c r="F1602" i="2"/>
  <c r="F1624" i="2"/>
  <c r="F1885" i="2"/>
  <c r="F1886" i="2"/>
  <c r="F1887" i="2"/>
  <c r="F1888" i="2"/>
  <c r="F1889" i="2"/>
  <c r="F1890" i="2"/>
  <c r="F1908" i="2"/>
  <c r="F1909" i="2"/>
  <c r="F1910" i="2"/>
  <c r="F1911" i="2"/>
  <c r="F1912" i="2"/>
  <c r="F1913" i="2"/>
  <c r="F1914" i="2"/>
  <c r="F1915" i="2"/>
  <c r="F1935" i="2"/>
  <c r="F1936" i="2"/>
  <c r="F1960" i="2"/>
  <c r="F1961" i="2"/>
  <c r="F2078" i="2"/>
  <c r="F2079" i="2"/>
  <c r="F2080" i="2"/>
  <c r="F2081" i="2"/>
  <c r="F2082" i="2"/>
  <c r="F2083" i="2"/>
  <c r="F2221" i="2"/>
  <c r="F2222" i="2"/>
  <c r="F2223" i="2"/>
  <c r="F2224" i="2"/>
  <c r="F2225" i="2"/>
  <c r="F2226" i="2"/>
  <c r="F2227" i="2"/>
  <c r="F2243" i="2"/>
  <c r="F2244" i="2"/>
  <c r="F2245" i="2"/>
  <c r="F2246" i="2"/>
  <c r="F2247" i="2"/>
  <c r="F2248" i="2"/>
  <c r="F2249" i="2"/>
  <c r="F2250" i="2"/>
  <c r="F2251" i="2"/>
  <c r="F2438" i="2"/>
  <c r="F2439" i="2"/>
  <c r="F2440" i="2"/>
  <c r="F2441" i="2"/>
  <c r="F2442" i="2"/>
  <c r="F2443" i="2"/>
  <c r="F2444" i="2"/>
  <c r="F2460" i="2"/>
  <c r="F2464" i="2"/>
  <c r="F2465" i="2"/>
  <c r="F2489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30" i="2"/>
  <c r="F2531" i="2"/>
  <c r="F2532" i="2"/>
  <c r="F2533" i="2"/>
  <c r="F2534" i="2"/>
  <c r="F2535" i="2"/>
  <c r="F2536" i="2"/>
  <c r="F2537" i="2"/>
  <c r="F2538" i="2"/>
  <c r="F2539" i="2"/>
  <c r="F2540" i="2"/>
  <c r="F2542" i="2"/>
  <c r="F2658" i="2"/>
  <c r="F2659" i="2"/>
  <c r="F2703" i="2"/>
  <c r="F2704" i="2"/>
  <c r="F2705" i="2"/>
  <c r="F2774" i="2"/>
  <c r="F2775" i="2"/>
  <c r="F2776" i="2"/>
  <c r="F2777" i="2"/>
  <c r="F2778" i="2"/>
  <c r="F2799" i="2"/>
  <c r="F2800" i="2"/>
  <c r="F2801" i="2"/>
  <c r="F2802" i="2"/>
  <c r="F2803" i="2"/>
  <c r="F2804" i="2"/>
  <c r="F2819" i="2"/>
  <c r="F2820" i="2"/>
  <c r="F2821" i="2"/>
  <c r="F2822" i="2"/>
  <c r="F2823" i="2"/>
  <c r="F2824" i="2"/>
  <c r="F2825" i="2"/>
  <c r="F2826" i="2"/>
  <c r="F2827" i="2"/>
  <c r="F2828" i="2"/>
  <c r="F2844" i="2"/>
  <c r="F2845" i="2"/>
  <c r="F2846" i="2"/>
  <c r="F2847" i="2"/>
  <c r="F2848" i="2"/>
  <c r="F2849" i="2"/>
  <c r="F2850" i="2"/>
  <c r="F2851" i="2"/>
  <c r="F2852" i="2"/>
  <c r="F2868" i="2"/>
  <c r="F2869" i="2"/>
  <c r="F2870" i="2"/>
  <c r="F2871" i="2"/>
  <c r="F2872" i="2"/>
  <c r="F2873" i="2"/>
  <c r="F2874" i="2"/>
  <c r="F2875" i="2"/>
  <c r="F2876" i="2"/>
  <c r="F2877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13" i="2"/>
  <c r="F2914" i="2"/>
  <c r="F2915" i="2"/>
  <c r="F2916" i="2"/>
  <c r="F2917" i="2"/>
  <c r="F2918" i="2"/>
  <c r="F2919" i="2"/>
  <c r="F2920" i="2"/>
  <c r="F2921" i="2"/>
  <c r="F2922" i="2"/>
  <c r="F2923" i="2"/>
  <c r="F3039" i="2"/>
  <c r="F3040" i="2"/>
  <c r="F3062" i="2"/>
  <c r="F3064" i="2"/>
  <c r="F3065" i="2"/>
  <c r="F3066" i="2"/>
  <c r="F3067" i="2"/>
  <c r="F3089" i="2"/>
  <c r="F3112" i="2"/>
  <c r="F3113" i="2"/>
  <c r="F3114" i="2"/>
  <c r="F3159" i="2"/>
  <c r="F3160" i="2"/>
  <c r="F3183" i="2"/>
  <c r="F3184" i="2"/>
  <c r="F3206" i="2"/>
  <c r="F3207" i="2"/>
  <c r="F3230" i="2"/>
  <c r="F3231" i="2"/>
  <c r="F3232" i="2"/>
  <c r="F3233" i="2"/>
  <c r="F3234" i="2"/>
  <c r="F3235" i="2"/>
  <c r="F3253" i="2"/>
  <c r="F3254" i="2"/>
  <c r="F3256" i="2"/>
  <c r="F3257" i="2"/>
  <c r="F3258" i="2"/>
  <c r="F3259" i="2"/>
  <c r="F3277" i="2"/>
  <c r="F3278" i="2"/>
  <c r="F3279" i="2"/>
  <c r="F3280" i="2"/>
  <c r="F3281" i="2"/>
  <c r="F3282" i="2"/>
  <c r="F3283" i="2"/>
  <c r="F3300" i="2"/>
  <c r="F3301" i="2"/>
  <c r="F3302" i="2"/>
  <c r="F3303" i="2"/>
  <c r="F3304" i="2"/>
  <c r="F3305" i="2"/>
  <c r="F3306" i="2"/>
  <c r="F3307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446" i="2"/>
  <c r="F3447" i="2"/>
  <c r="F3448" i="2"/>
  <c r="F3449" i="2"/>
  <c r="F3450" i="2"/>
  <c r="F3451" i="2"/>
  <c r="F3471" i="2"/>
  <c r="F3472" i="2"/>
  <c r="F3491" i="2"/>
  <c r="F3492" i="2"/>
  <c r="F3493" i="2"/>
  <c r="F3516" i="2"/>
  <c r="F3522" i="2"/>
  <c r="F3523" i="2"/>
  <c r="F3542" i="2"/>
  <c r="F3543" i="2"/>
  <c r="F3544" i="2"/>
  <c r="F3545" i="2"/>
  <c r="F3564" i="2"/>
  <c r="F3565" i="2"/>
  <c r="F3566" i="2"/>
  <c r="F3567" i="2"/>
  <c r="F3568" i="2"/>
  <c r="F3569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57" i="2"/>
  <c r="F3658" i="2"/>
  <c r="F3659" i="2"/>
  <c r="F3660" i="2"/>
  <c r="F3661" i="2"/>
  <c r="F3662" i="2"/>
  <c r="F3665" i="2"/>
  <c r="F3666" i="2"/>
  <c r="F3667" i="2"/>
  <c r="F3668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704" i="2"/>
  <c r="F3705" i="2"/>
  <c r="F3706" i="2"/>
  <c r="F3707" i="2"/>
  <c r="F3708" i="2"/>
  <c r="F3709" i="2"/>
  <c r="F3710" i="2"/>
  <c r="F3711" i="2"/>
  <c r="F3712" i="2"/>
  <c r="F3713" i="2"/>
  <c r="F3714" i="2"/>
  <c r="F3716" i="2"/>
  <c r="F3729" i="2"/>
  <c r="F3730" i="2"/>
  <c r="F3731" i="2"/>
  <c r="F3732" i="2"/>
  <c r="F3733" i="2"/>
  <c r="F3734" i="2"/>
  <c r="F3735" i="2"/>
  <c r="F3736" i="2"/>
  <c r="F3755" i="2"/>
  <c r="F3756" i="2"/>
  <c r="F3758" i="2"/>
  <c r="F3759" i="2"/>
  <c r="F3760" i="2"/>
  <c r="F3761" i="2"/>
  <c r="F3762" i="2"/>
  <c r="F3763" i="2"/>
  <c r="F3781" i="2"/>
  <c r="F3782" i="2"/>
  <c r="F3783" i="2"/>
  <c r="F3784" i="2"/>
  <c r="F3786" i="2"/>
  <c r="F3830" i="2"/>
  <c r="F3831" i="2"/>
  <c r="F3877" i="2"/>
  <c r="F3878" i="2"/>
  <c r="F3879" i="2"/>
  <c r="F3880" i="2"/>
  <c r="F3881" i="2"/>
  <c r="F3882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6" i="2"/>
  <c r="F3977" i="2"/>
  <c r="F3978" i="2"/>
  <c r="F3979" i="2"/>
  <c r="F3980" i="2"/>
  <c r="F3981" i="2"/>
  <c r="F398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66" i="2"/>
  <c r="F4067" i="2"/>
  <c r="F4068" i="2"/>
  <c r="F4069" i="2"/>
  <c r="F4070" i="2"/>
  <c r="F4071" i="2"/>
  <c r="F4072" i="2"/>
  <c r="F4073" i="2"/>
  <c r="F4074" i="2"/>
  <c r="F4075" i="2"/>
  <c r="F4076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7" i="2"/>
  <c r="F4158" i="2"/>
  <c r="F4159" i="2"/>
  <c r="F4160" i="2"/>
  <c r="F4161" i="2"/>
  <c r="F4162" i="2"/>
  <c r="F4163" i="2"/>
  <c r="F4164" i="2"/>
  <c r="F4170" i="2"/>
  <c r="F4171" i="2"/>
  <c r="F4185" i="2"/>
  <c r="F4186" i="2"/>
  <c r="F4187" i="2"/>
  <c r="F4188" i="2"/>
  <c r="F4189" i="2"/>
  <c r="F4190" i="2"/>
  <c r="F4191" i="2"/>
  <c r="F4192" i="2"/>
  <c r="F4193" i="2"/>
  <c r="F4194" i="2"/>
  <c r="F4195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61" i="2"/>
  <c r="F4262" i="2"/>
  <c r="F4263" i="2"/>
  <c r="F4264" i="2"/>
  <c r="F4265" i="2"/>
  <c r="F4266" i="2"/>
  <c r="F4267" i="2"/>
  <c r="F4268" i="2"/>
  <c r="F4269" i="2"/>
  <c r="F4270" i="2"/>
  <c r="F4271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43" i="2"/>
  <c r="F4444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97" i="2"/>
  <c r="F4498" i="2"/>
  <c r="F4499" i="2"/>
  <c r="F4500" i="2"/>
  <c r="F4501" i="2"/>
  <c r="F4502" i="2"/>
  <c r="F4505" i="2"/>
  <c r="F4523" i="2"/>
  <c r="F4524" i="2"/>
  <c r="F4525" i="2"/>
  <c r="F4526" i="2"/>
  <c r="F4527" i="2"/>
  <c r="F4528" i="2"/>
  <c r="F4529" i="2"/>
  <c r="F4530" i="2"/>
  <c r="F4531" i="2"/>
  <c r="F4532" i="2"/>
  <c r="F4533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51" i="2"/>
  <c r="F5052" i="2"/>
  <c r="F5053" i="2"/>
  <c r="F5054" i="2"/>
  <c r="F5055" i="2"/>
  <c r="F5056" i="2"/>
  <c r="F5057" i="2"/>
  <c r="F5058" i="2"/>
  <c r="F5059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52" i="2"/>
  <c r="F5153" i="2"/>
  <c r="F5154" i="2"/>
  <c r="F5155" i="2"/>
  <c r="F5156" i="2"/>
  <c r="F5157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4" i="2"/>
  <c r="F5195" i="2"/>
  <c r="F5196" i="2"/>
  <c r="F5197" i="2"/>
  <c r="F5198" i="2"/>
  <c r="F5199" i="2"/>
  <c r="F5200" i="2"/>
  <c r="F5201" i="2"/>
  <c r="F5219" i="2"/>
  <c r="F5220" i="2"/>
  <c r="F5221" i="2"/>
  <c r="F5222" i="2"/>
  <c r="F5223" i="2"/>
  <c r="F5224" i="2"/>
  <c r="F5225" i="2"/>
  <c r="F5226" i="2"/>
  <c r="F5227" i="2"/>
  <c r="F5228" i="2"/>
  <c r="F5229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78" i="2"/>
  <c r="F5579" i="2"/>
  <c r="F5580" i="2"/>
  <c r="F5581" i="2"/>
  <c r="F5582" i="2"/>
  <c r="F5583" i="2"/>
  <c r="F5584" i="2"/>
  <c r="F5585" i="2"/>
  <c r="F5586" i="2"/>
  <c r="F5587" i="2"/>
  <c r="F5609" i="2"/>
  <c r="F5628" i="2"/>
  <c r="F5629" i="2"/>
  <c r="F5630" i="2"/>
  <c r="F5631" i="2"/>
  <c r="F5632" i="2"/>
  <c r="F5633" i="2"/>
  <c r="F5634" i="2"/>
  <c r="F5635" i="2"/>
  <c r="F5636" i="2"/>
  <c r="F5653" i="2"/>
  <c r="F5654" i="2"/>
  <c r="F5655" i="2"/>
  <c r="F5656" i="2"/>
  <c r="F5657" i="2"/>
  <c r="F5658" i="2"/>
  <c r="F5659" i="2"/>
  <c r="F5675" i="2"/>
  <c r="F5676" i="2"/>
  <c r="F5677" i="2"/>
  <c r="F5678" i="2"/>
  <c r="F5679" i="2"/>
  <c r="F5680" i="2"/>
  <c r="F5681" i="2"/>
  <c r="F5682" i="2"/>
  <c r="F5683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91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7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8" i="2"/>
  <c r="F5939" i="2"/>
  <c r="F5940" i="2"/>
  <c r="F5941" i="2"/>
  <c r="F5942" i="2"/>
  <c r="F5943" i="2"/>
  <c r="F5944" i="2"/>
  <c r="F5945" i="2"/>
  <c r="F5946" i="2"/>
  <c r="F5947" i="2"/>
  <c r="F5948" i="2"/>
  <c r="F5962" i="2"/>
  <c r="F5963" i="2"/>
  <c r="F5964" i="2"/>
  <c r="F5965" i="2"/>
  <c r="F5966" i="2"/>
  <c r="F5967" i="2"/>
  <c r="F5968" i="2"/>
  <c r="F5969" i="2"/>
  <c r="F5970" i="2"/>
  <c r="F5971" i="2"/>
  <c r="F5972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61" i="2"/>
  <c r="F6062" i="2"/>
  <c r="F6063" i="2"/>
  <c r="F6064" i="2"/>
  <c r="F6065" i="2"/>
  <c r="F6066" i="2"/>
  <c r="F6067" i="2"/>
  <c r="F6068" i="2"/>
  <c r="F6069" i="2"/>
  <c r="F6070" i="2"/>
  <c r="F6083" i="2"/>
  <c r="F6084" i="2"/>
  <c r="F6085" i="2"/>
  <c r="F6086" i="2"/>
  <c r="F6087" i="2"/>
  <c r="F6088" i="2"/>
  <c r="F6089" i="2"/>
  <c r="F6090" i="2"/>
  <c r="F6108" i="2"/>
  <c r="F6109" i="2"/>
  <c r="F6110" i="2"/>
  <c r="F6111" i="2"/>
  <c r="F6112" i="2"/>
  <c r="F6113" i="2"/>
  <c r="F6133" i="2"/>
  <c r="F6136" i="2"/>
  <c r="F6137" i="2"/>
  <c r="F6138" i="2"/>
  <c r="F6139" i="2"/>
  <c r="F6157" i="2"/>
  <c r="F6159" i="2"/>
  <c r="F6160" i="2"/>
  <c r="F6161" i="2"/>
  <c r="F6162" i="2"/>
  <c r="F6178" i="2"/>
  <c r="F6179" i="2"/>
  <c r="F6180" i="2"/>
  <c r="F6181" i="2"/>
  <c r="F6182" i="2"/>
  <c r="F6183" i="2"/>
  <c r="F6185" i="2"/>
  <c r="F6186" i="2"/>
  <c r="F6228" i="2"/>
  <c r="F6229" i="2"/>
  <c r="F6230" i="2"/>
  <c r="F6231" i="2"/>
  <c r="F6232" i="2"/>
  <c r="F6233" i="2"/>
  <c r="F6234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7" i="2"/>
  <c r="F6289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75" i="2"/>
  <c r="F6398" i="2"/>
  <c r="F6399" i="2"/>
  <c r="F6400" i="2"/>
  <c r="F6401" i="2"/>
  <c r="F6423" i="2"/>
  <c r="F6424" i="2"/>
  <c r="F6471" i="2"/>
  <c r="F6472" i="2"/>
  <c r="F6473" i="2"/>
  <c r="F6474" i="2"/>
  <c r="F6475" i="2"/>
  <c r="F6476" i="2"/>
  <c r="F6477" i="2"/>
  <c r="F6492" i="2"/>
  <c r="F6493" i="2"/>
  <c r="F6494" i="2"/>
  <c r="F6495" i="2"/>
  <c r="F6496" i="2"/>
  <c r="F6497" i="2"/>
  <c r="F6498" i="2"/>
  <c r="F6517" i="2"/>
  <c r="F6518" i="2"/>
  <c r="F6519" i="2"/>
  <c r="F6520" i="2"/>
  <c r="F6521" i="2"/>
  <c r="F6522" i="2"/>
  <c r="F6542" i="2"/>
  <c r="F6543" i="2"/>
  <c r="F6544" i="2"/>
  <c r="F6545" i="2"/>
  <c r="F6614" i="2"/>
  <c r="F6831" i="2"/>
  <c r="F7405" i="2"/>
  <c r="F7406" i="2"/>
  <c r="F7407" i="2"/>
  <c r="F7408" i="2"/>
  <c r="E1574" i="2"/>
  <c r="E1575" i="2"/>
  <c r="E1576" i="2"/>
  <c r="E1577" i="2"/>
  <c r="E1578" i="2"/>
  <c r="E1597" i="2"/>
  <c r="E1598" i="2"/>
  <c r="E1599" i="2"/>
  <c r="E1600" i="2"/>
  <c r="E1601" i="2"/>
  <c r="E1602" i="2"/>
  <c r="E1624" i="2"/>
  <c r="E1885" i="2"/>
  <c r="E1886" i="2"/>
  <c r="E1887" i="2"/>
  <c r="E1888" i="2"/>
  <c r="E1889" i="2"/>
  <c r="E1890" i="2"/>
  <c r="E1908" i="2"/>
  <c r="E1909" i="2"/>
  <c r="E1910" i="2"/>
  <c r="E1911" i="2"/>
  <c r="E1912" i="2"/>
  <c r="E1913" i="2"/>
  <c r="E1914" i="2"/>
  <c r="E1915" i="2"/>
  <c r="E1935" i="2"/>
  <c r="E1936" i="2"/>
  <c r="E1960" i="2"/>
  <c r="E1961" i="2"/>
  <c r="E2078" i="2"/>
  <c r="E2079" i="2"/>
  <c r="E2080" i="2"/>
  <c r="E2081" i="2"/>
  <c r="E2082" i="2"/>
  <c r="E2083" i="2"/>
  <c r="E2221" i="2"/>
  <c r="E2222" i="2"/>
  <c r="E2223" i="2"/>
  <c r="E2224" i="2"/>
  <c r="E2225" i="2"/>
  <c r="E2226" i="2"/>
  <c r="E2227" i="2"/>
  <c r="E2243" i="2"/>
  <c r="E2244" i="2"/>
  <c r="E2245" i="2"/>
  <c r="E2246" i="2"/>
  <c r="E2247" i="2"/>
  <c r="E2248" i="2"/>
  <c r="E2249" i="2"/>
  <c r="E2250" i="2"/>
  <c r="E2251" i="2"/>
  <c r="E2438" i="2"/>
  <c r="E2439" i="2"/>
  <c r="E2440" i="2"/>
  <c r="E2441" i="2"/>
  <c r="E2442" i="2"/>
  <c r="E2443" i="2"/>
  <c r="E2444" i="2"/>
  <c r="E2460" i="2"/>
  <c r="E2464" i="2"/>
  <c r="E2465" i="2"/>
  <c r="E2489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30" i="2"/>
  <c r="E2531" i="2"/>
  <c r="E2532" i="2"/>
  <c r="E2533" i="2"/>
  <c r="E2534" i="2"/>
  <c r="E2535" i="2"/>
  <c r="E2536" i="2"/>
  <c r="E2537" i="2"/>
  <c r="E2538" i="2"/>
  <c r="E2539" i="2"/>
  <c r="E2540" i="2"/>
  <c r="E2542" i="2"/>
  <c r="E2658" i="2"/>
  <c r="E2659" i="2"/>
  <c r="E2703" i="2"/>
  <c r="E2704" i="2"/>
  <c r="E2705" i="2"/>
  <c r="E2774" i="2"/>
  <c r="E2775" i="2"/>
  <c r="E2776" i="2"/>
  <c r="E2777" i="2"/>
  <c r="E2778" i="2"/>
  <c r="E2799" i="2"/>
  <c r="E2800" i="2"/>
  <c r="E2801" i="2"/>
  <c r="E2802" i="2"/>
  <c r="E2803" i="2"/>
  <c r="E2804" i="2"/>
  <c r="E2819" i="2"/>
  <c r="E2820" i="2"/>
  <c r="E2821" i="2"/>
  <c r="E2822" i="2"/>
  <c r="E2823" i="2"/>
  <c r="E2824" i="2"/>
  <c r="E2825" i="2"/>
  <c r="E2826" i="2"/>
  <c r="E2827" i="2"/>
  <c r="E2828" i="2"/>
  <c r="E2844" i="2"/>
  <c r="E2845" i="2"/>
  <c r="E2846" i="2"/>
  <c r="E2847" i="2"/>
  <c r="E2848" i="2"/>
  <c r="E2849" i="2"/>
  <c r="E2850" i="2"/>
  <c r="E2851" i="2"/>
  <c r="E2852" i="2"/>
  <c r="E2868" i="2"/>
  <c r="E2869" i="2"/>
  <c r="E2870" i="2"/>
  <c r="E2871" i="2"/>
  <c r="E2872" i="2"/>
  <c r="E2873" i="2"/>
  <c r="E2874" i="2"/>
  <c r="E2875" i="2"/>
  <c r="E2876" i="2"/>
  <c r="E2877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13" i="2"/>
  <c r="E2914" i="2"/>
  <c r="E2915" i="2"/>
  <c r="E2916" i="2"/>
  <c r="E2917" i="2"/>
  <c r="E2918" i="2"/>
  <c r="E2919" i="2"/>
  <c r="E2920" i="2"/>
  <c r="E2921" i="2"/>
  <c r="E2922" i="2"/>
  <c r="E2923" i="2"/>
  <c r="E3039" i="2"/>
  <c r="E3040" i="2"/>
  <c r="E3062" i="2"/>
  <c r="E3064" i="2"/>
  <c r="E3065" i="2"/>
  <c r="E3066" i="2"/>
  <c r="E3067" i="2"/>
  <c r="E3089" i="2"/>
  <c r="E3112" i="2"/>
  <c r="E3113" i="2"/>
  <c r="E3114" i="2"/>
  <c r="E3159" i="2"/>
  <c r="E3160" i="2"/>
  <c r="E3183" i="2"/>
  <c r="E3184" i="2"/>
  <c r="E3206" i="2"/>
  <c r="E3207" i="2"/>
  <c r="E3230" i="2"/>
  <c r="E3231" i="2"/>
  <c r="E3232" i="2"/>
  <c r="E3233" i="2"/>
  <c r="E3234" i="2"/>
  <c r="E3235" i="2"/>
  <c r="E3253" i="2"/>
  <c r="E3254" i="2"/>
  <c r="E3256" i="2"/>
  <c r="E3257" i="2"/>
  <c r="E3258" i="2"/>
  <c r="E3259" i="2"/>
  <c r="E3277" i="2"/>
  <c r="E3278" i="2"/>
  <c r="E3279" i="2"/>
  <c r="E3280" i="2"/>
  <c r="E3281" i="2"/>
  <c r="E3282" i="2"/>
  <c r="E3283" i="2"/>
  <c r="E3300" i="2"/>
  <c r="E3301" i="2"/>
  <c r="E3302" i="2"/>
  <c r="E3303" i="2"/>
  <c r="E3304" i="2"/>
  <c r="E3305" i="2"/>
  <c r="E3306" i="2"/>
  <c r="E3307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446" i="2"/>
  <c r="E3447" i="2"/>
  <c r="E3448" i="2"/>
  <c r="E3449" i="2"/>
  <c r="E3450" i="2"/>
  <c r="E3451" i="2"/>
  <c r="E3471" i="2"/>
  <c r="E3472" i="2"/>
  <c r="E3491" i="2"/>
  <c r="E3492" i="2"/>
  <c r="E3493" i="2"/>
  <c r="E3516" i="2"/>
  <c r="E3522" i="2"/>
  <c r="E3523" i="2"/>
  <c r="E3542" i="2"/>
  <c r="E3543" i="2"/>
  <c r="E3544" i="2"/>
  <c r="E3545" i="2"/>
  <c r="E3564" i="2"/>
  <c r="E3565" i="2"/>
  <c r="E3566" i="2"/>
  <c r="E3567" i="2"/>
  <c r="E3568" i="2"/>
  <c r="E3569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57" i="2"/>
  <c r="E3658" i="2"/>
  <c r="E3659" i="2"/>
  <c r="E3660" i="2"/>
  <c r="E3661" i="2"/>
  <c r="E3662" i="2"/>
  <c r="E3665" i="2"/>
  <c r="E3666" i="2"/>
  <c r="E3667" i="2"/>
  <c r="E3668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704" i="2"/>
  <c r="E3705" i="2"/>
  <c r="E3706" i="2"/>
  <c r="E3707" i="2"/>
  <c r="E3708" i="2"/>
  <c r="E3709" i="2"/>
  <c r="E3710" i="2"/>
  <c r="E3711" i="2"/>
  <c r="E3712" i="2"/>
  <c r="E3713" i="2"/>
  <c r="E3714" i="2"/>
  <c r="E3716" i="2"/>
  <c r="E3729" i="2"/>
  <c r="E3730" i="2"/>
  <c r="E3731" i="2"/>
  <c r="E3732" i="2"/>
  <c r="E3733" i="2"/>
  <c r="E3734" i="2"/>
  <c r="E3735" i="2"/>
  <c r="E3736" i="2"/>
  <c r="E3755" i="2"/>
  <c r="E3756" i="2"/>
  <c r="E3758" i="2"/>
  <c r="E3759" i="2"/>
  <c r="E3760" i="2"/>
  <c r="E3761" i="2"/>
  <c r="E3762" i="2"/>
  <c r="E3763" i="2"/>
  <c r="E3781" i="2"/>
  <c r="E3782" i="2"/>
  <c r="E3783" i="2"/>
  <c r="E3784" i="2"/>
  <c r="E3786" i="2"/>
  <c r="E3830" i="2"/>
  <c r="E3831" i="2"/>
  <c r="E3877" i="2"/>
  <c r="E3878" i="2"/>
  <c r="E3879" i="2"/>
  <c r="E3880" i="2"/>
  <c r="E3881" i="2"/>
  <c r="E3882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6" i="2"/>
  <c r="E3977" i="2"/>
  <c r="E3978" i="2"/>
  <c r="E3979" i="2"/>
  <c r="E3980" i="2"/>
  <c r="E3981" i="2"/>
  <c r="E398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66" i="2"/>
  <c r="E4067" i="2"/>
  <c r="E4068" i="2"/>
  <c r="E4069" i="2"/>
  <c r="E4070" i="2"/>
  <c r="E4071" i="2"/>
  <c r="E4072" i="2"/>
  <c r="E4073" i="2"/>
  <c r="E4074" i="2"/>
  <c r="E4075" i="2"/>
  <c r="E4076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7" i="2"/>
  <c r="E4158" i="2"/>
  <c r="E4159" i="2"/>
  <c r="E4160" i="2"/>
  <c r="E4161" i="2"/>
  <c r="E4162" i="2"/>
  <c r="E4163" i="2"/>
  <c r="E4164" i="2"/>
  <c r="E4170" i="2"/>
  <c r="E4171" i="2"/>
  <c r="E4185" i="2"/>
  <c r="E4186" i="2"/>
  <c r="E4187" i="2"/>
  <c r="E4188" i="2"/>
  <c r="E4189" i="2"/>
  <c r="E4190" i="2"/>
  <c r="E4191" i="2"/>
  <c r="E4192" i="2"/>
  <c r="E4193" i="2"/>
  <c r="E4194" i="2"/>
  <c r="E4195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61" i="2"/>
  <c r="E4262" i="2"/>
  <c r="E4263" i="2"/>
  <c r="E4264" i="2"/>
  <c r="E4265" i="2"/>
  <c r="E4266" i="2"/>
  <c r="E4267" i="2"/>
  <c r="E4268" i="2"/>
  <c r="E4269" i="2"/>
  <c r="E4270" i="2"/>
  <c r="E4271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43" i="2"/>
  <c r="E4444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97" i="2"/>
  <c r="E4498" i="2"/>
  <c r="E4499" i="2"/>
  <c r="E4500" i="2"/>
  <c r="E4501" i="2"/>
  <c r="E4502" i="2"/>
  <c r="E4505" i="2"/>
  <c r="E4523" i="2"/>
  <c r="E4524" i="2"/>
  <c r="E4525" i="2"/>
  <c r="E4526" i="2"/>
  <c r="E4527" i="2"/>
  <c r="E4528" i="2"/>
  <c r="E4529" i="2"/>
  <c r="E4530" i="2"/>
  <c r="E4531" i="2"/>
  <c r="E4532" i="2"/>
  <c r="E4533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51" i="2"/>
  <c r="E5052" i="2"/>
  <c r="E5053" i="2"/>
  <c r="E5054" i="2"/>
  <c r="E5055" i="2"/>
  <c r="E5056" i="2"/>
  <c r="E5057" i="2"/>
  <c r="E5058" i="2"/>
  <c r="E5059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52" i="2"/>
  <c r="E5153" i="2"/>
  <c r="E5154" i="2"/>
  <c r="E5155" i="2"/>
  <c r="E5156" i="2"/>
  <c r="E5157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4" i="2"/>
  <c r="E5195" i="2"/>
  <c r="E5196" i="2"/>
  <c r="E5197" i="2"/>
  <c r="E5198" i="2"/>
  <c r="E5199" i="2"/>
  <c r="E5200" i="2"/>
  <c r="E5201" i="2"/>
  <c r="E5219" i="2"/>
  <c r="E5220" i="2"/>
  <c r="E5221" i="2"/>
  <c r="E5222" i="2"/>
  <c r="E5223" i="2"/>
  <c r="E5224" i="2"/>
  <c r="E5225" i="2"/>
  <c r="E5226" i="2"/>
  <c r="E5227" i="2"/>
  <c r="E5228" i="2"/>
  <c r="E5229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78" i="2"/>
  <c r="E5579" i="2"/>
  <c r="E5580" i="2"/>
  <c r="E5581" i="2"/>
  <c r="E5582" i="2"/>
  <c r="E5583" i="2"/>
  <c r="E5584" i="2"/>
  <c r="E5585" i="2"/>
  <c r="E5586" i="2"/>
  <c r="E5587" i="2"/>
  <c r="E5609" i="2"/>
  <c r="E5628" i="2"/>
  <c r="E5629" i="2"/>
  <c r="E5630" i="2"/>
  <c r="E5631" i="2"/>
  <c r="E5632" i="2"/>
  <c r="E5633" i="2"/>
  <c r="E5634" i="2"/>
  <c r="E5635" i="2"/>
  <c r="E5636" i="2"/>
  <c r="E5653" i="2"/>
  <c r="E5654" i="2"/>
  <c r="E5655" i="2"/>
  <c r="E5656" i="2"/>
  <c r="E5657" i="2"/>
  <c r="E5658" i="2"/>
  <c r="E5659" i="2"/>
  <c r="E5675" i="2"/>
  <c r="E5676" i="2"/>
  <c r="E5677" i="2"/>
  <c r="E5678" i="2"/>
  <c r="E5679" i="2"/>
  <c r="E5680" i="2"/>
  <c r="E5681" i="2"/>
  <c r="E5682" i="2"/>
  <c r="E5683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91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7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8" i="2"/>
  <c r="E5939" i="2"/>
  <c r="E5940" i="2"/>
  <c r="E5941" i="2"/>
  <c r="E5942" i="2"/>
  <c r="E5943" i="2"/>
  <c r="E5944" i="2"/>
  <c r="E5945" i="2"/>
  <c r="E5946" i="2"/>
  <c r="E5947" i="2"/>
  <c r="E5948" i="2"/>
  <c r="E5962" i="2"/>
  <c r="E5963" i="2"/>
  <c r="E5964" i="2"/>
  <c r="E5965" i="2"/>
  <c r="E5966" i="2"/>
  <c r="E5967" i="2"/>
  <c r="E5968" i="2"/>
  <c r="E5969" i="2"/>
  <c r="E5970" i="2"/>
  <c r="E5971" i="2"/>
  <c r="E5972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61" i="2"/>
  <c r="E6062" i="2"/>
  <c r="E6063" i="2"/>
  <c r="E6064" i="2"/>
  <c r="E6065" i="2"/>
  <c r="E6066" i="2"/>
  <c r="E6067" i="2"/>
  <c r="E6068" i="2"/>
  <c r="E6069" i="2"/>
  <c r="E6070" i="2"/>
  <c r="E6083" i="2"/>
  <c r="E6084" i="2"/>
  <c r="E6085" i="2"/>
  <c r="E6086" i="2"/>
  <c r="E6087" i="2"/>
  <c r="E6088" i="2"/>
  <c r="E6089" i="2"/>
  <c r="E6090" i="2"/>
  <c r="E6108" i="2"/>
  <c r="E6109" i="2"/>
  <c r="E6110" i="2"/>
  <c r="E6111" i="2"/>
  <c r="E6112" i="2"/>
  <c r="E6113" i="2"/>
  <c r="E6133" i="2"/>
  <c r="E6136" i="2"/>
  <c r="E6137" i="2"/>
  <c r="E6138" i="2"/>
  <c r="E6139" i="2"/>
  <c r="E6157" i="2"/>
  <c r="E6159" i="2"/>
  <c r="E6160" i="2"/>
  <c r="E6161" i="2"/>
  <c r="E6162" i="2"/>
  <c r="E6178" i="2"/>
  <c r="E6179" i="2"/>
  <c r="E6180" i="2"/>
  <c r="E6181" i="2"/>
  <c r="E6182" i="2"/>
  <c r="E6183" i="2"/>
  <c r="E6185" i="2"/>
  <c r="E6186" i="2"/>
  <c r="E6228" i="2"/>
  <c r="E6229" i="2"/>
  <c r="E6230" i="2"/>
  <c r="E6231" i="2"/>
  <c r="E6232" i="2"/>
  <c r="E6233" i="2"/>
  <c r="E6234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7" i="2"/>
  <c r="E6289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75" i="2"/>
  <c r="E6398" i="2"/>
  <c r="E6399" i="2"/>
  <c r="E6400" i="2"/>
  <c r="E6401" i="2"/>
  <c r="E6423" i="2"/>
  <c r="E6424" i="2"/>
  <c r="E6471" i="2"/>
  <c r="E6472" i="2"/>
  <c r="E6473" i="2"/>
  <c r="E6474" i="2"/>
  <c r="E6475" i="2"/>
  <c r="E6476" i="2"/>
  <c r="E6477" i="2"/>
  <c r="E6492" i="2"/>
  <c r="E6493" i="2"/>
  <c r="E6494" i="2"/>
  <c r="E6495" i="2"/>
  <c r="E6496" i="2"/>
  <c r="E6497" i="2"/>
  <c r="E6498" i="2"/>
  <c r="E6517" i="2"/>
  <c r="E6518" i="2"/>
  <c r="E6519" i="2"/>
  <c r="E6520" i="2"/>
  <c r="E6521" i="2"/>
  <c r="E6522" i="2"/>
  <c r="E6542" i="2"/>
  <c r="E6543" i="2"/>
  <c r="E6544" i="2"/>
  <c r="E6545" i="2"/>
  <c r="E6614" i="2"/>
  <c r="E6831" i="2"/>
  <c r="E7405" i="2"/>
  <c r="E7406" i="2"/>
  <c r="E7407" i="2"/>
  <c r="E7408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2" i="2"/>
  <c r="J1" i="2"/>
  <c r="J6" i="2" l="1"/>
  <c r="J3" i="2" s="1"/>
  <c r="E7" i="2" l="1"/>
  <c r="F7" i="2" s="1"/>
  <c r="E15" i="2"/>
  <c r="F15" i="2" s="1"/>
  <c r="E23" i="2"/>
  <c r="F23" i="2" s="1"/>
  <c r="E31" i="2"/>
  <c r="F31" i="2" s="1"/>
  <c r="E39" i="2"/>
  <c r="F39" i="2" s="1"/>
  <c r="E47" i="2"/>
  <c r="F47" i="2" s="1"/>
  <c r="E55" i="2"/>
  <c r="F55" i="2" s="1"/>
  <c r="E63" i="2"/>
  <c r="F63" i="2" s="1"/>
  <c r="E71" i="2"/>
  <c r="F71" i="2" s="1"/>
  <c r="E79" i="2"/>
  <c r="F79" i="2" s="1"/>
  <c r="E87" i="2"/>
  <c r="F87" i="2" s="1"/>
  <c r="E95" i="2"/>
  <c r="F95" i="2" s="1"/>
  <c r="E103" i="2"/>
  <c r="F103" i="2" s="1"/>
  <c r="E111" i="2"/>
  <c r="F111" i="2" s="1"/>
  <c r="E119" i="2"/>
  <c r="F119" i="2" s="1"/>
  <c r="E127" i="2"/>
  <c r="F127" i="2" s="1"/>
  <c r="E135" i="2"/>
  <c r="F135" i="2" s="1"/>
  <c r="E143" i="2"/>
  <c r="F143" i="2" s="1"/>
  <c r="E151" i="2"/>
  <c r="F151" i="2" s="1"/>
  <c r="E159" i="2"/>
  <c r="F159" i="2" s="1"/>
  <c r="E167" i="2"/>
  <c r="F167" i="2" s="1"/>
  <c r="E175" i="2"/>
  <c r="F175" i="2" s="1"/>
  <c r="E183" i="2"/>
  <c r="F183" i="2" s="1"/>
  <c r="E191" i="2"/>
  <c r="F191" i="2" s="1"/>
  <c r="E199" i="2"/>
  <c r="F199" i="2" s="1"/>
  <c r="E207" i="2"/>
  <c r="F207" i="2" s="1"/>
  <c r="E215" i="2"/>
  <c r="F215" i="2" s="1"/>
  <c r="E223" i="2"/>
  <c r="F223" i="2" s="1"/>
  <c r="E231" i="2"/>
  <c r="F231" i="2" s="1"/>
  <c r="E239" i="2"/>
  <c r="F239" i="2" s="1"/>
  <c r="E247" i="2"/>
  <c r="F247" i="2" s="1"/>
  <c r="E255" i="2"/>
  <c r="F255" i="2" s="1"/>
  <c r="E263" i="2"/>
  <c r="F263" i="2" s="1"/>
  <c r="E271" i="2"/>
  <c r="F271" i="2" s="1"/>
  <c r="E279" i="2"/>
  <c r="F279" i="2" s="1"/>
  <c r="E287" i="2"/>
  <c r="F287" i="2" s="1"/>
  <c r="E295" i="2"/>
  <c r="F295" i="2" s="1"/>
  <c r="E303" i="2"/>
  <c r="F303" i="2" s="1"/>
  <c r="E311" i="2"/>
  <c r="F311" i="2" s="1"/>
  <c r="E319" i="2"/>
  <c r="F319" i="2" s="1"/>
  <c r="E327" i="2"/>
  <c r="F327" i="2" s="1"/>
  <c r="E335" i="2"/>
  <c r="F335" i="2" s="1"/>
  <c r="E343" i="2"/>
  <c r="F343" i="2" s="1"/>
  <c r="E351" i="2"/>
  <c r="F351" i="2" s="1"/>
  <c r="E359" i="2"/>
  <c r="F359" i="2" s="1"/>
  <c r="E367" i="2"/>
  <c r="F367" i="2" s="1"/>
  <c r="E375" i="2"/>
  <c r="F375" i="2" s="1"/>
  <c r="E383" i="2"/>
  <c r="F383" i="2" s="1"/>
  <c r="E391" i="2"/>
  <c r="F391" i="2" s="1"/>
  <c r="E399" i="2"/>
  <c r="F399" i="2" s="1"/>
  <c r="E407" i="2"/>
  <c r="F407" i="2" s="1"/>
  <c r="E415" i="2"/>
  <c r="F415" i="2" s="1"/>
  <c r="E423" i="2"/>
  <c r="F423" i="2" s="1"/>
  <c r="E431" i="2"/>
  <c r="F431" i="2" s="1"/>
  <c r="E439" i="2"/>
  <c r="F439" i="2" s="1"/>
  <c r="E447" i="2"/>
  <c r="F447" i="2" s="1"/>
  <c r="E455" i="2"/>
  <c r="F455" i="2" s="1"/>
  <c r="E463" i="2"/>
  <c r="F463" i="2" s="1"/>
  <c r="E471" i="2"/>
  <c r="F471" i="2" s="1"/>
  <c r="E479" i="2"/>
  <c r="F479" i="2" s="1"/>
  <c r="E487" i="2"/>
  <c r="F487" i="2" s="1"/>
  <c r="E495" i="2"/>
  <c r="F495" i="2" s="1"/>
  <c r="E503" i="2"/>
  <c r="F503" i="2" s="1"/>
  <c r="E511" i="2"/>
  <c r="F511" i="2" s="1"/>
  <c r="E519" i="2"/>
  <c r="F519" i="2" s="1"/>
  <c r="E527" i="2"/>
  <c r="F527" i="2" s="1"/>
  <c r="E535" i="2"/>
  <c r="F535" i="2" s="1"/>
  <c r="E543" i="2"/>
  <c r="F543" i="2" s="1"/>
  <c r="E551" i="2"/>
  <c r="F551" i="2" s="1"/>
  <c r="E559" i="2"/>
  <c r="F559" i="2" s="1"/>
  <c r="E567" i="2"/>
  <c r="F567" i="2" s="1"/>
  <c r="E575" i="2"/>
  <c r="F575" i="2" s="1"/>
  <c r="E583" i="2"/>
  <c r="F583" i="2" s="1"/>
  <c r="E591" i="2"/>
  <c r="F591" i="2" s="1"/>
  <c r="E599" i="2"/>
  <c r="F599" i="2" s="1"/>
  <c r="E607" i="2"/>
  <c r="F607" i="2" s="1"/>
  <c r="E615" i="2"/>
  <c r="F615" i="2" s="1"/>
  <c r="E623" i="2"/>
  <c r="F623" i="2" s="1"/>
  <c r="E631" i="2"/>
  <c r="F631" i="2" s="1"/>
  <c r="E639" i="2"/>
  <c r="F639" i="2" s="1"/>
  <c r="E647" i="2"/>
  <c r="F647" i="2" s="1"/>
  <c r="E655" i="2"/>
  <c r="F655" i="2" s="1"/>
  <c r="E663" i="2"/>
  <c r="F663" i="2" s="1"/>
  <c r="E671" i="2"/>
  <c r="F671" i="2" s="1"/>
  <c r="E679" i="2"/>
  <c r="F679" i="2" s="1"/>
  <c r="E687" i="2"/>
  <c r="F687" i="2" s="1"/>
  <c r="E695" i="2"/>
  <c r="F695" i="2" s="1"/>
  <c r="E703" i="2"/>
  <c r="F703" i="2" s="1"/>
  <c r="E711" i="2"/>
  <c r="F711" i="2" s="1"/>
  <c r="E719" i="2"/>
  <c r="F719" i="2" s="1"/>
  <c r="E727" i="2"/>
  <c r="F727" i="2" s="1"/>
  <c r="E735" i="2"/>
  <c r="F735" i="2" s="1"/>
  <c r="E743" i="2"/>
  <c r="F743" i="2" s="1"/>
  <c r="E751" i="2"/>
  <c r="F751" i="2" s="1"/>
  <c r="E759" i="2"/>
  <c r="F759" i="2" s="1"/>
  <c r="E767" i="2"/>
  <c r="F767" i="2" s="1"/>
  <c r="E775" i="2"/>
  <c r="F775" i="2" s="1"/>
  <c r="E783" i="2"/>
  <c r="F783" i="2" s="1"/>
  <c r="E791" i="2"/>
  <c r="F791" i="2" s="1"/>
  <c r="E8" i="2"/>
  <c r="F8" i="2" s="1"/>
  <c r="E16" i="2"/>
  <c r="F16" i="2" s="1"/>
  <c r="E24" i="2"/>
  <c r="F24" i="2" s="1"/>
  <c r="E32" i="2"/>
  <c r="F32" i="2" s="1"/>
  <c r="E40" i="2"/>
  <c r="F40" i="2" s="1"/>
  <c r="E48" i="2"/>
  <c r="F48" i="2" s="1"/>
  <c r="E56" i="2"/>
  <c r="F56" i="2" s="1"/>
  <c r="E64" i="2"/>
  <c r="F64" i="2" s="1"/>
  <c r="E72" i="2"/>
  <c r="F72" i="2" s="1"/>
  <c r="E80" i="2"/>
  <c r="F80" i="2" s="1"/>
  <c r="E88" i="2"/>
  <c r="F88" i="2" s="1"/>
  <c r="E96" i="2"/>
  <c r="F96" i="2" s="1"/>
  <c r="E104" i="2"/>
  <c r="F104" i="2" s="1"/>
  <c r="E112" i="2"/>
  <c r="F112" i="2" s="1"/>
  <c r="E120" i="2"/>
  <c r="F120" i="2" s="1"/>
  <c r="E128" i="2"/>
  <c r="F128" i="2" s="1"/>
  <c r="E136" i="2"/>
  <c r="F136" i="2" s="1"/>
  <c r="E144" i="2"/>
  <c r="F144" i="2" s="1"/>
  <c r="E152" i="2"/>
  <c r="F152" i="2" s="1"/>
  <c r="E160" i="2"/>
  <c r="F160" i="2" s="1"/>
  <c r="E168" i="2"/>
  <c r="F168" i="2" s="1"/>
  <c r="E176" i="2"/>
  <c r="F176" i="2" s="1"/>
  <c r="E184" i="2"/>
  <c r="F184" i="2" s="1"/>
  <c r="E192" i="2"/>
  <c r="F192" i="2" s="1"/>
  <c r="E200" i="2"/>
  <c r="F200" i="2" s="1"/>
  <c r="E208" i="2"/>
  <c r="F208" i="2" s="1"/>
  <c r="E216" i="2"/>
  <c r="F216" i="2" s="1"/>
  <c r="E224" i="2"/>
  <c r="F224" i="2" s="1"/>
  <c r="E232" i="2"/>
  <c r="F232" i="2" s="1"/>
  <c r="E240" i="2"/>
  <c r="F240" i="2" s="1"/>
  <c r="E248" i="2"/>
  <c r="F248" i="2" s="1"/>
  <c r="E256" i="2"/>
  <c r="F256" i="2" s="1"/>
  <c r="E264" i="2"/>
  <c r="F264" i="2" s="1"/>
  <c r="E272" i="2"/>
  <c r="F272" i="2" s="1"/>
  <c r="E280" i="2"/>
  <c r="F280" i="2" s="1"/>
  <c r="E288" i="2"/>
  <c r="F288" i="2" s="1"/>
  <c r="E296" i="2"/>
  <c r="F296" i="2" s="1"/>
  <c r="E304" i="2"/>
  <c r="F304" i="2" s="1"/>
  <c r="E312" i="2"/>
  <c r="F312" i="2" s="1"/>
  <c r="E320" i="2"/>
  <c r="F320" i="2" s="1"/>
  <c r="E328" i="2"/>
  <c r="F328" i="2" s="1"/>
  <c r="E336" i="2"/>
  <c r="F336" i="2" s="1"/>
  <c r="E344" i="2"/>
  <c r="F344" i="2" s="1"/>
  <c r="E352" i="2"/>
  <c r="F352" i="2" s="1"/>
  <c r="E360" i="2"/>
  <c r="F360" i="2" s="1"/>
  <c r="E368" i="2"/>
  <c r="F368" i="2" s="1"/>
  <c r="E376" i="2"/>
  <c r="F376" i="2" s="1"/>
  <c r="E384" i="2"/>
  <c r="F384" i="2" s="1"/>
  <c r="E392" i="2"/>
  <c r="F392" i="2" s="1"/>
  <c r="E400" i="2"/>
  <c r="F400" i="2" s="1"/>
  <c r="E408" i="2"/>
  <c r="F408" i="2" s="1"/>
  <c r="E416" i="2"/>
  <c r="F416" i="2" s="1"/>
  <c r="E424" i="2"/>
  <c r="F424" i="2" s="1"/>
  <c r="E432" i="2"/>
  <c r="F432" i="2" s="1"/>
  <c r="E440" i="2"/>
  <c r="F440" i="2" s="1"/>
  <c r="E448" i="2"/>
  <c r="F448" i="2" s="1"/>
  <c r="E456" i="2"/>
  <c r="F456" i="2" s="1"/>
  <c r="E464" i="2"/>
  <c r="F464" i="2" s="1"/>
  <c r="E472" i="2"/>
  <c r="F472" i="2" s="1"/>
  <c r="E480" i="2"/>
  <c r="F480" i="2" s="1"/>
  <c r="E488" i="2"/>
  <c r="F488" i="2" s="1"/>
  <c r="E496" i="2"/>
  <c r="F496" i="2" s="1"/>
  <c r="E504" i="2"/>
  <c r="F504" i="2" s="1"/>
  <c r="E512" i="2"/>
  <c r="F512" i="2" s="1"/>
  <c r="E520" i="2"/>
  <c r="F520" i="2" s="1"/>
  <c r="E528" i="2"/>
  <c r="F528" i="2" s="1"/>
  <c r="E536" i="2"/>
  <c r="F536" i="2" s="1"/>
  <c r="E544" i="2"/>
  <c r="F544" i="2" s="1"/>
  <c r="E552" i="2"/>
  <c r="F552" i="2" s="1"/>
  <c r="E560" i="2"/>
  <c r="F560" i="2" s="1"/>
  <c r="E568" i="2"/>
  <c r="F568" i="2" s="1"/>
  <c r="E576" i="2"/>
  <c r="F576" i="2" s="1"/>
  <c r="E584" i="2"/>
  <c r="F584" i="2" s="1"/>
  <c r="E592" i="2"/>
  <c r="F592" i="2" s="1"/>
  <c r="E600" i="2"/>
  <c r="F600" i="2" s="1"/>
  <c r="E608" i="2"/>
  <c r="F608" i="2" s="1"/>
  <c r="E616" i="2"/>
  <c r="F616" i="2" s="1"/>
  <c r="E624" i="2"/>
  <c r="F624" i="2" s="1"/>
  <c r="E632" i="2"/>
  <c r="F632" i="2" s="1"/>
  <c r="E640" i="2"/>
  <c r="F640" i="2" s="1"/>
  <c r="E648" i="2"/>
  <c r="F648" i="2" s="1"/>
  <c r="E656" i="2"/>
  <c r="F656" i="2" s="1"/>
  <c r="E664" i="2"/>
  <c r="F664" i="2" s="1"/>
  <c r="E672" i="2"/>
  <c r="F672" i="2" s="1"/>
  <c r="E680" i="2"/>
  <c r="F680" i="2" s="1"/>
  <c r="E688" i="2"/>
  <c r="F688" i="2" s="1"/>
  <c r="E696" i="2"/>
  <c r="F696" i="2" s="1"/>
  <c r="E704" i="2"/>
  <c r="F704" i="2" s="1"/>
  <c r="E712" i="2"/>
  <c r="F712" i="2" s="1"/>
  <c r="E720" i="2"/>
  <c r="F720" i="2" s="1"/>
  <c r="E728" i="2"/>
  <c r="F728" i="2" s="1"/>
  <c r="E736" i="2"/>
  <c r="F736" i="2" s="1"/>
  <c r="E744" i="2"/>
  <c r="F744" i="2" s="1"/>
  <c r="E752" i="2"/>
  <c r="F752" i="2" s="1"/>
  <c r="E760" i="2"/>
  <c r="F760" i="2" s="1"/>
  <c r="E768" i="2"/>
  <c r="F768" i="2" s="1"/>
  <c r="E776" i="2"/>
  <c r="F776" i="2" s="1"/>
  <c r="E784" i="2"/>
  <c r="F784" i="2" s="1"/>
  <c r="E792" i="2"/>
  <c r="F792" i="2" s="1"/>
  <c r="E9" i="2"/>
  <c r="F9" i="2" s="1"/>
  <c r="E17" i="2"/>
  <c r="F17" i="2" s="1"/>
  <c r="E25" i="2"/>
  <c r="F25" i="2" s="1"/>
  <c r="E33" i="2"/>
  <c r="F33" i="2" s="1"/>
  <c r="E41" i="2"/>
  <c r="F41" i="2" s="1"/>
  <c r="E49" i="2"/>
  <c r="F49" i="2" s="1"/>
  <c r="E57" i="2"/>
  <c r="F57" i="2" s="1"/>
  <c r="E65" i="2"/>
  <c r="F65" i="2" s="1"/>
  <c r="E73" i="2"/>
  <c r="F73" i="2" s="1"/>
  <c r="E81" i="2"/>
  <c r="F81" i="2" s="1"/>
  <c r="E89" i="2"/>
  <c r="F89" i="2" s="1"/>
  <c r="E97" i="2"/>
  <c r="F97" i="2" s="1"/>
  <c r="E105" i="2"/>
  <c r="F105" i="2" s="1"/>
  <c r="E113" i="2"/>
  <c r="F113" i="2" s="1"/>
  <c r="E121" i="2"/>
  <c r="F121" i="2" s="1"/>
  <c r="E129" i="2"/>
  <c r="F129" i="2" s="1"/>
  <c r="E137" i="2"/>
  <c r="F137" i="2" s="1"/>
  <c r="E145" i="2"/>
  <c r="F145" i="2" s="1"/>
  <c r="E153" i="2"/>
  <c r="F153" i="2" s="1"/>
  <c r="E161" i="2"/>
  <c r="F161" i="2" s="1"/>
  <c r="E169" i="2"/>
  <c r="F169" i="2" s="1"/>
  <c r="E177" i="2"/>
  <c r="F177" i="2" s="1"/>
  <c r="E185" i="2"/>
  <c r="F185" i="2" s="1"/>
  <c r="E193" i="2"/>
  <c r="F193" i="2" s="1"/>
  <c r="E201" i="2"/>
  <c r="F201" i="2" s="1"/>
  <c r="E209" i="2"/>
  <c r="F209" i="2" s="1"/>
  <c r="E217" i="2"/>
  <c r="F217" i="2" s="1"/>
  <c r="E225" i="2"/>
  <c r="F225" i="2" s="1"/>
  <c r="E233" i="2"/>
  <c r="F233" i="2" s="1"/>
  <c r="E241" i="2"/>
  <c r="F241" i="2" s="1"/>
  <c r="E249" i="2"/>
  <c r="F249" i="2" s="1"/>
  <c r="E257" i="2"/>
  <c r="F257" i="2" s="1"/>
  <c r="E265" i="2"/>
  <c r="F265" i="2" s="1"/>
  <c r="E273" i="2"/>
  <c r="F273" i="2" s="1"/>
  <c r="E281" i="2"/>
  <c r="F281" i="2" s="1"/>
  <c r="E289" i="2"/>
  <c r="F289" i="2" s="1"/>
  <c r="E297" i="2"/>
  <c r="F297" i="2" s="1"/>
  <c r="E305" i="2"/>
  <c r="F305" i="2" s="1"/>
  <c r="E313" i="2"/>
  <c r="F313" i="2" s="1"/>
  <c r="E321" i="2"/>
  <c r="F321" i="2" s="1"/>
  <c r="E329" i="2"/>
  <c r="F329" i="2" s="1"/>
  <c r="E337" i="2"/>
  <c r="F337" i="2" s="1"/>
  <c r="E345" i="2"/>
  <c r="F345" i="2" s="1"/>
  <c r="E353" i="2"/>
  <c r="F353" i="2" s="1"/>
  <c r="E361" i="2"/>
  <c r="F361" i="2" s="1"/>
  <c r="E369" i="2"/>
  <c r="F369" i="2" s="1"/>
  <c r="E377" i="2"/>
  <c r="F377" i="2" s="1"/>
  <c r="E385" i="2"/>
  <c r="F385" i="2" s="1"/>
  <c r="E393" i="2"/>
  <c r="F393" i="2" s="1"/>
  <c r="E401" i="2"/>
  <c r="F401" i="2" s="1"/>
  <c r="E409" i="2"/>
  <c r="F409" i="2" s="1"/>
  <c r="E417" i="2"/>
  <c r="F417" i="2" s="1"/>
  <c r="E425" i="2"/>
  <c r="F425" i="2" s="1"/>
  <c r="E433" i="2"/>
  <c r="F433" i="2" s="1"/>
  <c r="E441" i="2"/>
  <c r="F441" i="2" s="1"/>
  <c r="E449" i="2"/>
  <c r="F449" i="2" s="1"/>
  <c r="E457" i="2"/>
  <c r="F457" i="2" s="1"/>
  <c r="E465" i="2"/>
  <c r="F465" i="2" s="1"/>
  <c r="E473" i="2"/>
  <c r="F473" i="2" s="1"/>
  <c r="E481" i="2"/>
  <c r="F481" i="2" s="1"/>
  <c r="E489" i="2"/>
  <c r="F489" i="2" s="1"/>
  <c r="E497" i="2"/>
  <c r="F497" i="2" s="1"/>
  <c r="E505" i="2"/>
  <c r="F505" i="2" s="1"/>
  <c r="E513" i="2"/>
  <c r="F513" i="2" s="1"/>
  <c r="E521" i="2"/>
  <c r="F521" i="2" s="1"/>
  <c r="E529" i="2"/>
  <c r="F529" i="2" s="1"/>
  <c r="E537" i="2"/>
  <c r="F537" i="2" s="1"/>
  <c r="E545" i="2"/>
  <c r="F545" i="2" s="1"/>
  <c r="E553" i="2"/>
  <c r="F553" i="2" s="1"/>
  <c r="E561" i="2"/>
  <c r="F561" i="2" s="1"/>
  <c r="E569" i="2"/>
  <c r="F569" i="2" s="1"/>
  <c r="E577" i="2"/>
  <c r="F577" i="2" s="1"/>
  <c r="E585" i="2"/>
  <c r="F585" i="2" s="1"/>
  <c r="E593" i="2"/>
  <c r="F593" i="2" s="1"/>
  <c r="E601" i="2"/>
  <c r="F601" i="2" s="1"/>
  <c r="E609" i="2"/>
  <c r="F609" i="2" s="1"/>
  <c r="E617" i="2"/>
  <c r="F617" i="2" s="1"/>
  <c r="E625" i="2"/>
  <c r="F625" i="2" s="1"/>
  <c r="E633" i="2"/>
  <c r="F633" i="2" s="1"/>
  <c r="E641" i="2"/>
  <c r="F641" i="2" s="1"/>
  <c r="E649" i="2"/>
  <c r="F649" i="2" s="1"/>
  <c r="E657" i="2"/>
  <c r="F657" i="2" s="1"/>
  <c r="E665" i="2"/>
  <c r="F665" i="2" s="1"/>
  <c r="E673" i="2"/>
  <c r="F673" i="2" s="1"/>
  <c r="E681" i="2"/>
  <c r="F681" i="2" s="1"/>
  <c r="E689" i="2"/>
  <c r="F689" i="2" s="1"/>
  <c r="E697" i="2"/>
  <c r="F697" i="2" s="1"/>
  <c r="E705" i="2"/>
  <c r="F705" i="2" s="1"/>
  <c r="E713" i="2"/>
  <c r="F713" i="2" s="1"/>
  <c r="E721" i="2"/>
  <c r="F721" i="2" s="1"/>
  <c r="E729" i="2"/>
  <c r="F729" i="2" s="1"/>
  <c r="E737" i="2"/>
  <c r="F737" i="2" s="1"/>
  <c r="E745" i="2"/>
  <c r="F745" i="2" s="1"/>
  <c r="E753" i="2"/>
  <c r="F753" i="2" s="1"/>
  <c r="E761" i="2"/>
  <c r="F761" i="2" s="1"/>
  <c r="E769" i="2"/>
  <c r="F769" i="2" s="1"/>
  <c r="E777" i="2"/>
  <c r="F777" i="2" s="1"/>
  <c r="E785" i="2"/>
  <c r="F785" i="2" s="1"/>
  <c r="E10" i="2"/>
  <c r="F10" i="2" s="1"/>
  <c r="E18" i="2"/>
  <c r="F18" i="2" s="1"/>
  <c r="E26" i="2"/>
  <c r="F26" i="2" s="1"/>
  <c r="E34" i="2"/>
  <c r="F34" i="2" s="1"/>
  <c r="E42" i="2"/>
  <c r="F42" i="2" s="1"/>
  <c r="E50" i="2"/>
  <c r="F50" i="2" s="1"/>
  <c r="E58" i="2"/>
  <c r="F58" i="2" s="1"/>
  <c r="E66" i="2"/>
  <c r="F66" i="2" s="1"/>
  <c r="E74" i="2"/>
  <c r="F74" i="2" s="1"/>
  <c r="E82" i="2"/>
  <c r="F82" i="2" s="1"/>
  <c r="E90" i="2"/>
  <c r="F90" i="2" s="1"/>
  <c r="E98" i="2"/>
  <c r="F98" i="2" s="1"/>
  <c r="E106" i="2"/>
  <c r="F106" i="2" s="1"/>
  <c r="E114" i="2"/>
  <c r="F114" i="2" s="1"/>
  <c r="E122" i="2"/>
  <c r="F122" i="2" s="1"/>
  <c r="E130" i="2"/>
  <c r="F130" i="2" s="1"/>
  <c r="E138" i="2"/>
  <c r="F138" i="2" s="1"/>
  <c r="E146" i="2"/>
  <c r="F146" i="2" s="1"/>
  <c r="E154" i="2"/>
  <c r="F154" i="2" s="1"/>
  <c r="E162" i="2"/>
  <c r="F162" i="2" s="1"/>
  <c r="E170" i="2"/>
  <c r="F170" i="2" s="1"/>
  <c r="E178" i="2"/>
  <c r="F178" i="2" s="1"/>
  <c r="E186" i="2"/>
  <c r="F186" i="2" s="1"/>
  <c r="E194" i="2"/>
  <c r="F194" i="2" s="1"/>
  <c r="E202" i="2"/>
  <c r="F202" i="2" s="1"/>
  <c r="E210" i="2"/>
  <c r="F210" i="2" s="1"/>
  <c r="E218" i="2"/>
  <c r="F218" i="2" s="1"/>
  <c r="E226" i="2"/>
  <c r="F226" i="2" s="1"/>
  <c r="E234" i="2"/>
  <c r="F234" i="2" s="1"/>
  <c r="E242" i="2"/>
  <c r="F242" i="2" s="1"/>
  <c r="E250" i="2"/>
  <c r="F250" i="2" s="1"/>
  <c r="E258" i="2"/>
  <c r="F258" i="2" s="1"/>
  <c r="E266" i="2"/>
  <c r="F266" i="2" s="1"/>
  <c r="E274" i="2"/>
  <c r="F274" i="2" s="1"/>
  <c r="E282" i="2"/>
  <c r="F282" i="2" s="1"/>
  <c r="E290" i="2"/>
  <c r="F290" i="2" s="1"/>
  <c r="E298" i="2"/>
  <c r="F298" i="2" s="1"/>
  <c r="E306" i="2"/>
  <c r="F306" i="2" s="1"/>
  <c r="E314" i="2"/>
  <c r="F314" i="2" s="1"/>
  <c r="E322" i="2"/>
  <c r="F322" i="2" s="1"/>
  <c r="E330" i="2"/>
  <c r="F330" i="2" s="1"/>
  <c r="E338" i="2"/>
  <c r="F338" i="2" s="1"/>
  <c r="E346" i="2"/>
  <c r="F346" i="2" s="1"/>
  <c r="E354" i="2"/>
  <c r="F354" i="2" s="1"/>
  <c r="E362" i="2"/>
  <c r="F362" i="2" s="1"/>
  <c r="E370" i="2"/>
  <c r="F370" i="2" s="1"/>
  <c r="E378" i="2"/>
  <c r="F378" i="2" s="1"/>
  <c r="E386" i="2"/>
  <c r="F386" i="2" s="1"/>
  <c r="E394" i="2"/>
  <c r="F394" i="2" s="1"/>
  <c r="E402" i="2"/>
  <c r="F402" i="2" s="1"/>
  <c r="E410" i="2"/>
  <c r="F410" i="2" s="1"/>
  <c r="E418" i="2"/>
  <c r="F418" i="2" s="1"/>
  <c r="E426" i="2"/>
  <c r="F426" i="2" s="1"/>
  <c r="E434" i="2"/>
  <c r="F434" i="2" s="1"/>
  <c r="E442" i="2"/>
  <c r="F442" i="2" s="1"/>
  <c r="E450" i="2"/>
  <c r="F450" i="2" s="1"/>
  <c r="E458" i="2"/>
  <c r="F458" i="2" s="1"/>
  <c r="E466" i="2"/>
  <c r="F466" i="2" s="1"/>
  <c r="E474" i="2"/>
  <c r="F474" i="2" s="1"/>
  <c r="E482" i="2"/>
  <c r="F482" i="2" s="1"/>
  <c r="E490" i="2"/>
  <c r="F490" i="2" s="1"/>
  <c r="E498" i="2"/>
  <c r="F498" i="2" s="1"/>
  <c r="E506" i="2"/>
  <c r="F506" i="2" s="1"/>
  <c r="E514" i="2"/>
  <c r="F514" i="2" s="1"/>
  <c r="E522" i="2"/>
  <c r="F522" i="2" s="1"/>
  <c r="E530" i="2"/>
  <c r="F530" i="2" s="1"/>
  <c r="E538" i="2"/>
  <c r="F538" i="2" s="1"/>
  <c r="E546" i="2"/>
  <c r="F546" i="2" s="1"/>
  <c r="E554" i="2"/>
  <c r="F554" i="2" s="1"/>
  <c r="E562" i="2"/>
  <c r="F562" i="2" s="1"/>
  <c r="E570" i="2"/>
  <c r="F570" i="2" s="1"/>
  <c r="E578" i="2"/>
  <c r="F578" i="2" s="1"/>
  <c r="E586" i="2"/>
  <c r="F586" i="2" s="1"/>
  <c r="E594" i="2"/>
  <c r="F594" i="2" s="1"/>
  <c r="E602" i="2"/>
  <c r="F602" i="2" s="1"/>
  <c r="E610" i="2"/>
  <c r="F610" i="2" s="1"/>
  <c r="E618" i="2"/>
  <c r="F618" i="2" s="1"/>
  <c r="E626" i="2"/>
  <c r="F626" i="2" s="1"/>
  <c r="E634" i="2"/>
  <c r="F634" i="2" s="1"/>
  <c r="E642" i="2"/>
  <c r="F642" i="2" s="1"/>
  <c r="E650" i="2"/>
  <c r="F650" i="2" s="1"/>
  <c r="E658" i="2"/>
  <c r="F658" i="2" s="1"/>
  <c r="E666" i="2"/>
  <c r="F666" i="2" s="1"/>
  <c r="E674" i="2"/>
  <c r="F674" i="2" s="1"/>
  <c r="E682" i="2"/>
  <c r="F682" i="2" s="1"/>
  <c r="E690" i="2"/>
  <c r="F690" i="2" s="1"/>
  <c r="E698" i="2"/>
  <c r="F698" i="2" s="1"/>
  <c r="E706" i="2"/>
  <c r="F706" i="2" s="1"/>
  <c r="E714" i="2"/>
  <c r="F714" i="2" s="1"/>
  <c r="E722" i="2"/>
  <c r="F722" i="2" s="1"/>
  <c r="E730" i="2"/>
  <c r="F730" i="2" s="1"/>
  <c r="E738" i="2"/>
  <c r="F738" i="2" s="1"/>
  <c r="E746" i="2"/>
  <c r="F746" i="2" s="1"/>
  <c r="E754" i="2"/>
  <c r="F754" i="2" s="1"/>
  <c r="E762" i="2"/>
  <c r="F762" i="2" s="1"/>
  <c r="E770" i="2"/>
  <c r="F770" i="2" s="1"/>
  <c r="E778" i="2"/>
  <c r="F778" i="2" s="1"/>
  <c r="E3" i="2"/>
  <c r="F3" i="2" s="1"/>
  <c r="E11" i="2"/>
  <c r="F11" i="2" s="1"/>
  <c r="E19" i="2"/>
  <c r="F19" i="2" s="1"/>
  <c r="E27" i="2"/>
  <c r="F27" i="2" s="1"/>
  <c r="E35" i="2"/>
  <c r="F35" i="2" s="1"/>
  <c r="E43" i="2"/>
  <c r="F43" i="2" s="1"/>
  <c r="E51" i="2"/>
  <c r="F51" i="2" s="1"/>
  <c r="E59" i="2"/>
  <c r="F59" i="2" s="1"/>
  <c r="E67" i="2"/>
  <c r="F67" i="2" s="1"/>
  <c r="E75" i="2"/>
  <c r="F75" i="2" s="1"/>
  <c r="E83" i="2"/>
  <c r="F83" i="2" s="1"/>
  <c r="E91" i="2"/>
  <c r="F91" i="2" s="1"/>
  <c r="E99" i="2"/>
  <c r="F99" i="2" s="1"/>
  <c r="E107" i="2"/>
  <c r="F107" i="2" s="1"/>
  <c r="E115" i="2"/>
  <c r="F115" i="2" s="1"/>
  <c r="E123" i="2"/>
  <c r="F123" i="2" s="1"/>
  <c r="E131" i="2"/>
  <c r="F131" i="2" s="1"/>
  <c r="E139" i="2"/>
  <c r="F139" i="2" s="1"/>
  <c r="E147" i="2"/>
  <c r="F147" i="2" s="1"/>
  <c r="E155" i="2"/>
  <c r="F155" i="2" s="1"/>
  <c r="E163" i="2"/>
  <c r="F163" i="2" s="1"/>
  <c r="E171" i="2"/>
  <c r="F171" i="2" s="1"/>
  <c r="E179" i="2"/>
  <c r="F179" i="2" s="1"/>
  <c r="E187" i="2"/>
  <c r="F187" i="2" s="1"/>
  <c r="E195" i="2"/>
  <c r="F195" i="2" s="1"/>
  <c r="E203" i="2"/>
  <c r="F203" i="2" s="1"/>
  <c r="E211" i="2"/>
  <c r="F211" i="2" s="1"/>
  <c r="E219" i="2"/>
  <c r="F219" i="2" s="1"/>
  <c r="E227" i="2"/>
  <c r="F227" i="2" s="1"/>
  <c r="E235" i="2"/>
  <c r="F235" i="2" s="1"/>
  <c r="E243" i="2"/>
  <c r="F243" i="2" s="1"/>
  <c r="E251" i="2"/>
  <c r="F251" i="2" s="1"/>
  <c r="E259" i="2"/>
  <c r="F259" i="2" s="1"/>
  <c r="E267" i="2"/>
  <c r="F267" i="2" s="1"/>
  <c r="E275" i="2"/>
  <c r="F275" i="2" s="1"/>
  <c r="E283" i="2"/>
  <c r="F283" i="2" s="1"/>
  <c r="E291" i="2"/>
  <c r="F291" i="2" s="1"/>
  <c r="E299" i="2"/>
  <c r="F299" i="2" s="1"/>
  <c r="E307" i="2"/>
  <c r="F307" i="2" s="1"/>
  <c r="E315" i="2"/>
  <c r="F315" i="2" s="1"/>
  <c r="E323" i="2"/>
  <c r="F323" i="2" s="1"/>
  <c r="E331" i="2"/>
  <c r="F331" i="2" s="1"/>
  <c r="E339" i="2"/>
  <c r="F339" i="2" s="1"/>
  <c r="E347" i="2"/>
  <c r="F347" i="2" s="1"/>
  <c r="E355" i="2"/>
  <c r="F355" i="2" s="1"/>
  <c r="E363" i="2"/>
  <c r="F363" i="2" s="1"/>
  <c r="E371" i="2"/>
  <c r="F371" i="2" s="1"/>
  <c r="E379" i="2"/>
  <c r="F379" i="2" s="1"/>
  <c r="E387" i="2"/>
  <c r="F387" i="2" s="1"/>
  <c r="E395" i="2"/>
  <c r="F395" i="2" s="1"/>
  <c r="E403" i="2"/>
  <c r="F403" i="2" s="1"/>
  <c r="E411" i="2"/>
  <c r="F411" i="2" s="1"/>
  <c r="E419" i="2"/>
  <c r="F419" i="2" s="1"/>
  <c r="E427" i="2"/>
  <c r="F427" i="2" s="1"/>
  <c r="E435" i="2"/>
  <c r="F435" i="2" s="1"/>
  <c r="E443" i="2"/>
  <c r="F443" i="2" s="1"/>
  <c r="E451" i="2"/>
  <c r="F451" i="2" s="1"/>
  <c r="E459" i="2"/>
  <c r="F459" i="2" s="1"/>
  <c r="E467" i="2"/>
  <c r="F467" i="2" s="1"/>
  <c r="E475" i="2"/>
  <c r="F475" i="2" s="1"/>
  <c r="E483" i="2"/>
  <c r="F483" i="2" s="1"/>
  <c r="E491" i="2"/>
  <c r="F491" i="2" s="1"/>
  <c r="E499" i="2"/>
  <c r="F499" i="2" s="1"/>
  <c r="E507" i="2"/>
  <c r="F507" i="2" s="1"/>
  <c r="E515" i="2"/>
  <c r="F515" i="2" s="1"/>
  <c r="E523" i="2"/>
  <c r="F523" i="2" s="1"/>
  <c r="E531" i="2"/>
  <c r="F531" i="2" s="1"/>
  <c r="E539" i="2"/>
  <c r="F539" i="2" s="1"/>
  <c r="E547" i="2"/>
  <c r="F547" i="2" s="1"/>
  <c r="E555" i="2"/>
  <c r="F555" i="2" s="1"/>
  <c r="E563" i="2"/>
  <c r="F563" i="2" s="1"/>
  <c r="E571" i="2"/>
  <c r="F571" i="2" s="1"/>
  <c r="E579" i="2"/>
  <c r="F579" i="2" s="1"/>
  <c r="E587" i="2"/>
  <c r="F587" i="2" s="1"/>
  <c r="E595" i="2"/>
  <c r="F595" i="2" s="1"/>
  <c r="E603" i="2"/>
  <c r="F603" i="2" s="1"/>
  <c r="E611" i="2"/>
  <c r="F611" i="2" s="1"/>
  <c r="E619" i="2"/>
  <c r="F619" i="2" s="1"/>
  <c r="E627" i="2"/>
  <c r="F627" i="2" s="1"/>
  <c r="E635" i="2"/>
  <c r="F635" i="2" s="1"/>
  <c r="E643" i="2"/>
  <c r="F643" i="2" s="1"/>
  <c r="E651" i="2"/>
  <c r="F651" i="2" s="1"/>
  <c r="E659" i="2"/>
  <c r="F659" i="2" s="1"/>
  <c r="E667" i="2"/>
  <c r="F667" i="2" s="1"/>
  <c r="E675" i="2"/>
  <c r="F675" i="2" s="1"/>
  <c r="E683" i="2"/>
  <c r="F683" i="2" s="1"/>
  <c r="E691" i="2"/>
  <c r="F691" i="2" s="1"/>
  <c r="E699" i="2"/>
  <c r="F699" i="2" s="1"/>
  <c r="E707" i="2"/>
  <c r="F707" i="2" s="1"/>
  <c r="E715" i="2"/>
  <c r="F715" i="2" s="1"/>
  <c r="E723" i="2"/>
  <c r="F723" i="2" s="1"/>
  <c r="E731" i="2"/>
  <c r="F731" i="2" s="1"/>
  <c r="E739" i="2"/>
  <c r="F739" i="2" s="1"/>
  <c r="E747" i="2"/>
  <c r="F747" i="2" s="1"/>
  <c r="E755" i="2"/>
  <c r="F755" i="2" s="1"/>
  <c r="E763" i="2"/>
  <c r="F763" i="2" s="1"/>
  <c r="E771" i="2"/>
  <c r="F771" i="2" s="1"/>
  <c r="E779" i="2"/>
  <c r="F779" i="2" s="1"/>
  <c r="E787" i="2"/>
  <c r="F787" i="2" s="1"/>
  <c r="E4" i="2"/>
  <c r="F4" i="2" s="1"/>
  <c r="E12" i="2"/>
  <c r="F12" i="2" s="1"/>
  <c r="E20" i="2"/>
  <c r="F20" i="2" s="1"/>
  <c r="E28" i="2"/>
  <c r="F28" i="2" s="1"/>
  <c r="E36" i="2"/>
  <c r="F36" i="2" s="1"/>
  <c r="E44" i="2"/>
  <c r="F44" i="2" s="1"/>
  <c r="E52" i="2"/>
  <c r="F52" i="2" s="1"/>
  <c r="E60" i="2"/>
  <c r="F60" i="2" s="1"/>
  <c r="E68" i="2"/>
  <c r="F68" i="2" s="1"/>
  <c r="E76" i="2"/>
  <c r="F76" i="2" s="1"/>
  <c r="E84" i="2"/>
  <c r="F84" i="2" s="1"/>
  <c r="E92" i="2"/>
  <c r="F92" i="2" s="1"/>
  <c r="E100" i="2"/>
  <c r="F100" i="2" s="1"/>
  <c r="E108" i="2"/>
  <c r="F108" i="2" s="1"/>
  <c r="E116" i="2"/>
  <c r="F116" i="2" s="1"/>
  <c r="E124" i="2"/>
  <c r="F124" i="2" s="1"/>
  <c r="E132" i="2"/>
  <c r="F132" i="2" s="1"/>
  <c r="E140" i="2"/>
  <c r="F140" i="2" s="1"/>
  <c r="E148" i="2"/>
  <c r="F148" i="2" s="1"/>
  <c r="E156" i="2"/>
  <c r="F156" i="2" s="1"/>
  <c r="E164" i="2"/>
  <c r="F164" i="2" s="1"/>
  <c r="E172" i="2"/>
  <c r="F172" i="2" s="1"/>
  <c r="E180" i="2"/>
  <c r="F180" i="2" s="1"/>
  <c r="E188" i="2"/>
  <c r="F188" i="2" s="1"/>
  <c r="E196" i="2"/>
  <c r="F196" i="2" s="1"/>
  <c r="E204" i="2"/>
  <c r="F204" i="2" s="1"/>
  <c r="E212" i="2"/>
  <c r="F212" i="2" s="1"/>
  <c r="E220" i="2"/>
  <c r="F220" i="2" s="1"/>
  <c r="E228" i="2"/>
  <c r="F228" i="2" s="1"/>
  <c r="E236" i="2"/>
  <c r="F236" i="2" s="1"/>
  <c r="E244" i="2"/>
  <c r="F244" i="2" s="1"/>
  <c r="E252" i="2"/>
  <c r="F252" i="2" s="1"/>
  <c r="E260" i="2"/>
  <c r="F260" i="2" s="1"/>
  <c r="E268" i="2"/>
  <c r="F268" i="2" s="1"/>
  <c r="E276" i="2"/>
  <c r="F276" i="2" s="1"/>
  <c r="E284" i="2"/>
  <c r="F284" i="2" s="1"/>
  <c r="E292" i="2"/>
  <c r="F292" i="2" s="1"/>
  <c r="E300" i="2"/>
  <c r="F300" i="2" s="1"/>
  <c r="E308" i="2"/>
  <c r="F308" i="2" s="1"/>
  <c r="E316" i="2"/>
  <c r="F316" i="2" s="1"/>
  <c r="E324" i="2"/>
  <c r="F324" i="2" s="1"/>
  <c r="E332" i="2"/>
  <c r="F332" i="2" s="1"/>
  <c r="E340" i="2"/>
  <c r="F340" i="2" s="1"/>
  <c r="E348" i="2"/>
  <c r="F348" i="2" s="1"/>
  <c r="E356" i="2"/>
  <c r="F356" i="2" s="1"/>
  <c r="E364" i="2"/>
  <c r="F364" i="2" s="1"/>
  <c r="E372" i="2"/>
  <c r="F372" i="2" s="1"/>
  <c r="E380" i="2"/>
  <c r="F380" i="2" s="1"/>
  <c r="E388" i="2"/>
  <c r="F388" i="2" s="1"/>
  <c r="E396" i="2"/>
  <c r="F396" i="2" s="1"/>
  <c r="E404" i="2"/>
  <c r="F404" i="2" s="1"/>
  <c r="E412" i="2"/>
  <c r="F412" i="2" s="1"/>
  <c r="E420" i="2"/>
  <c r="F420" i="2" s="1"/>
  <c r="E428" i="2"/>
  <c r="F428" i="2" s="1"/>
  <c r="E436" i="2"/>
  <c r="F436" i="2" s="1"/>
  <c r="E444" i="2"/>
  <c r="F444" i="2" s="1"/>
  <c r="E452" i="2"/>
  <c r="F452" i="2" s="1"/>
  <c r="E460" i="2"/>
  <c r="F460" i="2" s="1"/>
  <c r="E468" i="2"/>
  <c r="F468" i="2" s="1"/>
  <c r="E476" i="2"/>
  <c r="F476" i="2" s="1"/>
  <c r="E484" i="2"/>
  <c r="F484" i="2" s="1"/>
  <c r="E492" i="2"/>
  <c r="F492" i="2" s="1"/>
  <c r="E500" i="2"/>
  <c r="F500" i="2" s="1"/>
  <c r="E508" i="2"/>
  <c r="F508" i="2" s="1"/>
  <c r="E516" i="2"/>
  <c r="F516" i="2" s="1"/>
  <c r="E524" i="2"/>
  <c r="F524" i="2" s="1"/>
  <c r="E532" i="2"/>
  <c r="F532" i="2" s="1"/>
  <c r="E540" i="2"/>
  <c r="F540" i="2" s="1"/>
  <c r="E548" i="2"/>
  <c r="F548" i="2" s="1"/>
  <c r="E556" i="2"/>
  <c r="F556" i="2" s="1"/>
  <c r="E564" i="2"/>
  <c r="F564" i="2" s="1"/>
  <c r="E572" i="2"/>
  <c r="F572" i="2" s="1"/>
  <c r="E580" i="2"/>
  <c r="F580" i="2" s="1"/>
  <c r="E588" i="2"/>
  <c r="F588" i="2" s="1"/>
  <c r="E596" i="2"/>
  <c r="F596" i="2" s="1"/>
  <c r="E604" i="2"/>
  <c r="F604" i="2" s="1"/>
  <c r="E612" i="2"/>
  <c r="F612" i="2" s="1"/>
  <c r="E620" i="2"/>
  <c r="F620" i="2" s="1"/>
  <c r="E628" i="2"/>
  <c r="F628" i="2" s="1"/>
  <c r="E636" i="2"/>
  <c r="F636" i="2" s="1"/>
  <c r="E644" i="2"/>
  <c r="F644" i="2" s="1"/>
  <c r="E652" i="2"/>
  <c r="F652" i="2" s="1"/>
  <c r="E660" i="2"/>
  <c r="F660" i="2" s="1"/>
  <c r="E668" i="2"/>
  <c r="F668" i="2" s="1"/>
  <c r="E676" i="2"/>
  <c r="F676" i="2" s="1"/>
  <c r="E684" i="2"/>
  <c r="F684" i="2" s="1"/>
  <c r="E692" i="2"/>
  <c r="F692" i="2" s="1"/>
  <c r="E700" i="2"/>
  <c r="F700" i="2" s="1"/>
  <c r="E708" i="2"/>
  <c r="F708" i="2" s="1"/>
  <c r="E716" i="2"/>
  <c r="F716" i="2" s="1"/>
  <c r="E724" i="2"/>
  <c r="F724" i="2" s="1"/>
  <c r="E732" i="2"/>
  <c r="F732" i="2" s="1"/>
  <c r="E740" i="2"/>
  <c r="F740" i="2" s="1"/>
  <c r="E748" i="2"/>
  <c r="F748" i="2" s="1"/>
  <c r="E756" i="2"/>
  <c r="F756" i="2" s="1"/>
  <c r="E764" i="2"/>
  <c r="F764" i="2" s="1"/>
  <c r="E772" i="2"/>
  <c r="F772" i="2" s="1"/>
  <c r="E780" i="2"/>
  <c r="F780" i="2" s="1"/>
  <c r="E788" i="2"/>
  <c r="F788" i="2" s="1"/>
  <c r="E5" i="2"/>
  <c r="F5" i="2" s="1"/>
  <c r="E13" i="2"/>
  <c r="F13" i="2" s="1"/>
  <c r="E21" i="2"/>
  <c r="F21" i="2" s="1"/>
  <c r="E29" i="2"/>
  <c r="F29" i="2" s="1"/>
  <c r="E37" i="2"/>
  <c r="F37" i="2" s="1"/>
  <c r="E45" i="2"/>
  <c r="F45" i="2" s="1"/>
  <c r="E53" i="2"/>
  <c r="F53" i="2" s="1"/>
  <c r="E61" i="2"/>
  <c r="F61" i="2" s="1"/>
  <c r="E69" i="2"/>
  <c r="F69" i="2" s="1"/>
  <c r="E77" i="2"/>
  <c r="F77" i="2" s="1"/>
  <c r="E85" i="2"/>
  <c r="F85" i="2" s="1"/>
  <c r="E93" i="2"/>
  <c r="F93" i="2" s="1"/>
  <c r="E101" i="2"/>
  <c r="F101" i="2" s="1"/>
  <c r="E109" i="2"/>
  <c r="F109" i="2" s="1"/>
  <c r="E117" i="2"/>
  <c r="F117" i="2" s="1"/>
  <c r="E125" i="2"/>
  <c r="F125" i="2" s="1"/>
  <c r="E133" i="2"/>
  <c r="F133" i="2" s="1"/>
  <c r="E141" i="2"/>
  <c r="F141" i="2" s="1"/>
  <c r="E149" i="2"/>
  <c r="F149" i="2" s="1"/>
  <c r="E157" i="2"/>
  <c r="F157" i="2" s="1"/>
  <c r="E165" i="2"/>
  <c r="F165" i="2" s="1"/>
  <c r="E173" i="2"/>
  <c r="F173" i="2" s="1"/>
  <c r="E181" i="2"/>
  <c r="F181" i="2" s="1"/>
  <c r="E189" i="2"/>
  <c r="F189" i="2" s="1"/>
  <c r="E197" i="2"/>
  <c r="F197" i="2" s="1"/>
  <c r="E205" i="2"/>
  <c r="F205" i="2" s="1"/>
  <c r="E213" i="2"/>
  <c r="F213" i="2" s="1"/>
  <c r="E221" i="2"/>
  <c r="F221" i="2" s="1"/>
  <c r="E229" i="2"/>
  <c r="F229" i="2" s="1"/>
  <c r="E237" i="2"/>
  <c r="F237" i="2" s="1"/>
  <c r="E245" i="2"/>
  <c r="F245" i="2" s="1"/>
  <c r="E253" i="2"/>
  <c r="F253" i="2" s="1"/>
  <c r="E261" i="2"/>
  <c r="F261" i="2" s="1"/>
  <c r="E269" i="2"/>
  <c r="F269" i="2" s="1"/>
  <c r="E277" i="2"/>
  <c r="F277" i="2" s="1"/>
  <c r="E285" i="2"/>
  <c r="F285" i="2" s="1"/>
  <c r="E293" i="2"/>
  <c r="F293" i="2" s="1"/>
  <c r="E301" i="2"/>
  <c r="F301" i="2" s="1"/>
  <c r="E309" i="2"/>
  <c r="F309" i="2" s="1"/>
  <c r="E317" i="2"/>
  <c r="F317" i="2" s="1"/>
  <c r="E325" i="2"/>
  <c r="F325" i="2" s="1"/>
  <c r="E333" i="2"/>
  <c r="F333" i="2" s="1"/>
  <c r="E341" i="2"/>
  <c r="F341" i="2" s="1"/>
  <c r="E349" i="2"/>
  <c r="F349" i="2" s="1"/>
  <c r="E357" i="2"/>
  <c r="F357" i="2" s="1"/>
  <c r="E365" i="2"/>
  <c r="F365" i="2" s="1"/>
  <c r="E373" i="2"/>
  <c r="F373" i="2" s="1"/>
  <c r="E381" i="2"/>
  <c r="F381" i="2" s="1"/>
  <c r="E389" i="2"/>
  <c r="F389" i="2" s="1"/>
  <c r="E397" i="2"/>
  <c r="F397" i="2" s="1"/>
  <c r="E405" i="2"/>
  <c r="F405" i="2" s="1"/>
  <c r="E413" i="2"/>
  <c r="F413" i="2" s="1"/>
  <c r="E421" i="2"/>
  <c r="F421" i="2" s="1"/>
  <c r="E429" i="2"/>
  <c r="F429" i="2" s="1"/>
  <c r="E437" i="2"/>
  <c r="F437" i="2" s="1"/>
  <c r="E445" i="2"/>
  <c r="F445" i="2" s="1"/>
  <c r="E453" i="2"/>
  <c r="F453" i="2" s="1"/>
  <c r="E461" i="2"/>
  <c r="F461" i="2" s="1"/>
  <c r="E469" i="2"/>
  <c r="F469" i="2" s="1"/>
  <c r="E477" i="2"/>
  <c r="F477" i="2" s="1"/>
  <c r="E485" i="2"/>
  <c r="F485" i="2" s="1"/>
  <c r="E493" i="2"/>
  <c r="F493" i="2" s="1"/>
  <c r="E501" i="2"/>
  <c r="F501" i="2" s="1"/>
  <c r="E509" i="2"/>
  <c r="F509" i="2" s="1"/>
  <c r="E517" i="2"/>
  <c r="F517" i="2" s="1"/>
  <c r="E525" i="2"/>
  <c r="F525" i="2" s="1"/>
  <c r="E533" i="2"/>
  <c r="F533" i="2" s="1"/>
  <c r="E541" i="2"/>
  <c r="F541" i="2" s="1"/>
  <c r="E549" i="2"/>
  <c r="F549" i="2" s="1"/>
  <c r="E557" i="2"/>
  <c r="F557" i="2" s="1"/>
  <c r="E565" i="2"/>
  <c r="F565" i="2" s="1"/>
  <c r="E573" i="2"/>
  <c r="F573" i="2" s="1"/>
  <c r="E581" i="2"/>
  <c r="F581" i="2" s="1"/>
  <c r="E589" i="2"/>
  <c r="F589" i="2" s="1"/>
  <c r="E597" i="2"/>
  <c r="F597" i="2" s="1"/>
  <c r="E605" i="2"/>
  <c r="F605" i="2" s="1"/>
  <c r="E613" i="2"/>
  <c r="F613" i="2" s="1"/>
  <c r="E621" i="2"/>
  <c r="F621" i="2" s="1"/>
  <c r="E629" i="2"/>
  <c r="F629" i="2" s="1"/>
  <c r="E637" i="2"/>
  <c r="F637" i="2" s="1"/>
  <c r="E645" i="2"/>
  <c r="F645" i="2" s="1"/>
  <c r="E653" i="2"/>
  <c r="F653" i="2" s="1"/>
  <c r="E661" i="2"/>
  <c r="F661" i="2" s="1"/>
  <c r="E669" i="2"/>
  <c r="F669" i="2" s="1"/>
  <c r="E677" i="2"/>
  <c r="F677" i="2" s="1"/>
  <c r="E685" i="2"/>
  <c r="F685" i="2" s="1"/>
  <c r="E693" i="2"/>
  <c r="F693" i="2" s="1"/>
  <c r="E701" i="2"/>
  <c r="F701" i="2" s="1"/>
  <c r="E709" i="2"/>
  <c r="F709" i="2" s="1"/>
  <c r="E717" i="2"/>
  <c r="F717" i="2" s="1"/>
  <c r="E725" i="2"/>
  <c r="F725" i="2" s="1"/>
  <c r="E733" i="2"/>
  <c r="F733" i="2" s="1"/>
  <c r="E741" i="2"/>
  <c r="F741" i="2" s="1"/>
  <c r="E749" i="2"/>
  <c r="F749" i="2" s="1"/>
  <c r="E757" i="2"/>
  <c r="F757" i="2" s="1"/>
  <c r="E765" i="2"/>
  <c r="F765" i="2" s="1"/>
  <c r="E773" i="2"/>
  <c r="F773" i="2" s="1"/>
  <c r="E781" i="2"/>
  <c r="F781" i="2" s="1"/>
  <c r="E789" i="2"/>
  <c r="F789" i="2" s="1"/>
  <c r="E46" i="2"/>
  <c r="F46" i="2" s="1"/>
  <c r="E110" i="2"/>
  <c r="F110" i="2" s="1"/>
  <c r="E174" i="2"/>
  <c r="F174" i="2" s="1"/>
  <c r="E238" i="2"/>
  <c r="F238" i="2" s="1"/>
  <c r="E302" i="2"/>
  <c r="F302" i="2" s="1"/>
  <c r="E366" i="2"/>
  <c r="F366" i="2" s="1"/>
  <c r="E430" i="2"/>
  <c r="F430" i="2" s="1"/>
  <c r="E494" i="2"/>
  <c r="F494" i="2" s="1"/>
  <c r="E558" i="2"/>
  <c r="F558" i="2" s="1"/>
  <c r="E622" i="2"/>
  <c r="F622" i="2" s="1"/>
  <c r="E686" i="2"/>
  <c r="F686" i="2" s="1"/>
  <c r="E750" i="2"/>
  <c r="F750" i="2" s="1"/>
  <c r="E794" i="2"/>
  <c r="F794" i="2" s="1"/>
  <c r="E802" i="2"/>
  <c r="F802" i="2" s="1"/>
  <c r="E810" i="2"/>
  <c r="F810" i="2" s="1"/>
  <c r="E818" i="2"/>
  <c r="F818" i="2" s="1"/>
  <c r="E826" i="2"/>
  <c r="F826" i="2" s="1"/>
  <c r="E834" i="2"/>
  <c r="F834" i="2" s="1"/>
  <c r="E842" i="2"/>
  <c r="F842" i="2" s="1"/>
  <c r="E850" i="2"/>
  <c r="F850" i="2" s="1"/>
  <c r="E858" i="2"/>
  <c r="F858" i="2" s="1"/>
  <c r="E866" i="2"/>
  <c r="F866" i="2" s="1"/>
  <c r="E874" i="2"/>
  <c r="F874" i="2" s="1"/>
  <c r="E882" i="2"/>
  <c r="F882" i="2" s="1"/>
  <c r="E890" i="2"/>
  <c r="F890" i="2" s="1"/>
  <c r="E898" i="2"/>
  <c r="F898" i="2" s="1"/>
  <c r="E906" i="2"/>
  <c r="F906" i="2" s="1"/>
  <c r="E914" i="2"/>
  <c r="F914" i="2" s="1"/>
  <c r="E922" i="2"/>
  <c r="F922" i="2" s="1"/>
  <c r="E930" i="2"/>
  <c r="F930" i="2" s="1"/>
  <c r="E938" i="2"/>
  <c r="F938" i="2" s="1"/>
  <c r="E946" i="2"/>
  <c r="F946" i="2" s="1"/>
  <c r="E954" i="2"/>
  <c r="F954" i="2" s="1"/>
  <c r="E962" i="2"/>
  <c r="F962" i="2" s="1"/>
  <c r="E970" i="2"/>
  <c r="F970" i="2" s="1"/>
  <c r="E978" i="2"/>
  <c r="F978" i="2" s="1"/>
  <c r="E986" i="2"/>
  <c r="F986" i="2" s="1"/>
  <c r="E994" i="2"/>
  <c r="F994" i="2" s="1"/>
  <c r="E1002" i="2"/>
  <c r="F1002" i="2" s="1"/>
  <c r="E1010" i="2"/>
  <c r="F1010" i="2" s="1"/>
  <c r="E1018" i="2"/>
  <c r="F1018" i="2" s="1"/>
  <c r="E1026" i="2"/>
  <c r="F1026" i="2" s="1"/>
  <c r="E1034" i="2"/>
  <c r="F1034" i="2" s="1"/>
  <c r="E1042" i="2"/>
  <c r="F1042" i="2" s="1"/>
  <c r="E1050" i="2"/>
  <c r="F1050" i="2" s="1"/>
  <c r="E1058" i="2"/>
  <c r="F1058" i="2" s="1"/>
  <c r="E1066" i="2"/>
  <c r="F1066" i="2" s="1"/>
  <c r="E1074" i="2"/>
  <c r="F1074" i="2" s="1"/>
  <c r="E1082" i="2"/>
  <c r="F1082" i="2" s="1"/>
  <c r="E1090" i="2"/>
  <c r="F1090" i="2" s="1"/>
  <c r="E1098" i="2"/>
  <c r="F1098" i="2" s="1"/>
  <c r="E1106" i="2"/>
  <c r="F1106" i="2" s="1"/>
  <c r="E1114" i="2"/>
  <c r="F1114" i="2" s="1"/>
  <c r="E1122" i="2"/>
  <c r="F1122" i="2" s="1"/>
  <c r="E1130" i="2"/>
  <c r="F1130" i="2" s="1"/>
  <c r="E1138" i="2"/>
  <c r="F1138" i="2" s="1"/>
  <c r="E1146" i="2"/>
  <c r="F1146" i="2" s="1"/>
  <c r="E1154" i="2"/>
  <c r="F1154" i="2" s="1"/>
  <c r="E1162" i="2"/>
  <c r="F1162" i="2" s="1"/>
  <c r="E1170" i="2"/>
  <c r="F1170" i="2" s="1"/>
  <c r="E1178" i="2"/>
  <c r="F1178" i="2" s="1"/>
  <c r="E1186" i="2"/>
  <c r="F1186" i="2" s="1"/>
  <c r="E1194" i="2"/>
  <c r="F1194" i="2" s="1"/>
  <c r="E1202" i="2"/>
  <c r="F1202" i="2" s="1"/>
  <c r="E1210" i="2"/>
  <c r="F1210" i="2" s="1"/>
  <c r="E1218" i="2"/>
  <c r="F1218" i="2" s="1"/>
  <c r="E1226" i="2"/>
  <c r="F1226" i="2" s="1"/>
  <c r="E1234" i="2"/>
  <c r="F1234" i="2" s="1"/>
  <c r="E1242" i="2"/>
  <c r="F1242" i="2" s="1"/>
  <c r="E1250" i="2"/>
  <c r="F1250" i="2" s="1"/>
  <c r="E1258" i="2"/>
  <c r="F1258" i="2" s="1"/>
  <c r="E1266" i="2"/>
  <c r="F1266" i="2" s="1"/>
  <c r="E1274" i="2"/>
  <c r="F1274" i="2" s="1"/>
  <c r="E1282" i="2"/>
  <c r="F1282" i="2" s="1"/>
  <c r="E1290" i="2"/>
  <c r="F1290" i="2" s="1"/>
  <c r="E1298" i="2"/>
  <c r="F1298" i="2" s="1"/>
  <c r="E1306" i="2"/>
  <c r="F1306" i="2" s="1"/>
  <c r="E1314" i="2"/>
  <c r="F1314" i="2" s="1"/>
  <c r="E1322" i="2"/>
  <c r="F1322" i="2" s="1"/>
  <c r="E1330" i="2"/>
  <c r="F1330" i="2" s="1"/>
  <c r="E1338" i="2"/>
  <c r="F1338" i="2" s="1"/>
  <c r="E1346" i="2"/>
  <c r="F1346" i="2" s="1"/>
  <c r="E1354" i="2"/>
  <c r="F1354" i="2" s="1"/>
  <c r="E1362" i="2"/>
  <c r="F1362" i="2" s="1"/>
  <c r="E1370" i="2"/>
  <c r="F1370" i="2" s="1"/>
  <c r="E1378" i="2"/>
  <c r="F1378" i="2" s="1"/>
  <c r="E1386" i="2"/>
  <c r="F1386" i="2" s="1"/>
  <c r="E1394" i="2"/>
  <c r="F1394" i="2" s="1"/>
  <c r="E1402" i="2"/>
  <c r="F1402" i="2" s="1"/>
  <c r="E1410" i="2"/>
  <c r="F1410" i="2" s="1"/>
  <c r="E1418" i="2"/>
  <c r="F1418" i="2" s="1"/>
  <c r="E1426" i="2"/>
  <c r="F1426" i="2" s="1"/>
  <c r="E1434" i="2"/>
  <c r="F1434" i="2" s="1"/>
  <c r="E1442" i="2"/>
  <c r="F1442" i="2" s="1"/>
  <c r="E1450" i="2"/>
  <c r="F1450" i="2" s="1"/>
  <c r="E1458" i="2"/>
  <c r="F1458" i="2" s="1"/>
  <c r="E1466" i="2"/>
  <c r="F1466" i="2" s="1"/>
  <c r="E1474" i="2"/>
  <c r="F1474" i="2" s="1"/>
  <c r="E1482" i="2"/>
  <c r="F1482" i="2" s="1"/>
  <c r="E1490" i="2"/>
  <c r="F1490" i="2" s="1"/>
  <c r="E1498" i="2"/>
  <c r="F1498" i="2" s="1"/>
  <c r="E1506" i="2"/>
  <c r="F1506" i="2" s="1"/>
  <c r="E1514" i="2"/>
  <c r="F1514" i="2" s="1"/>
  <c r="E1522" i="2"/>
  <c r="F1522" i="2" s="1"/>
  <c r="E1530" i="2"/>
  <c r="F1530" i="2" s="1"/>
  <c r="E1538" i="2"/>
  <c r="F1538" i="2" s="1"/>
  <c r="E1546" i="2"/>
  <c r="F1546" i="2" s="1"/>
  <c r="E1554" i="2"/>
  <c r="F1554" i="2" s="1"/>
  <c r="E1562" i="2"/>
  <c r="F1562" i="2" s="1"/>
  <c r="E1570" i="2"/>
  <c r="F1570" i="2" s="1"/>
  <c r="E1586" i="2"/>
  <c r="F1586" i="2" s="1"/>
  <c r="E1594" i="2"/>
  <c r="F1594" i="2" s="1"/>
  <c r="E1610" i="2"/>
  <c r="F1610" i="2" s="1"/>
  <c r="E1618" i="2"/>
  <c r="F1618" i="2" s="1"/>
  <c r="E1626" i="2"/>
  <c r="F1626" i="2" s="1"/>
  <c r="E1634" i="2"/>
  <c r="F1634" i="2" s="1"/>
  <c r="E1642" i="2"/>
  <c r="F1642" i="2" s="1"/>
  <c r="E1650" i="2"/>
  <c r="F1650" i="2" s="1"/>
  <c r="E1658" i="2"/>
  <c r="F1658" i="2" s="1"/>
  <c r="E1666" i="2"/>
  <c r="F1666" i="2" s="1"/>
  <c r="E1674" i="2"/>
  <c r="F1674" i="2" s="1"/>
  <c r="E1682" i="2"/>
  <c r="F1682" i="2" s="1"/>
  <c r="E1690" i="2"/>
  <c r="F1690" i="2" s="1"/>
  <c r="E1698" i="2"/>
  <c r="F1698" i="2" s="1"/>
  <c r="E1706" i="2"/>
  <c r="F1706" i="2" s="1"/>
  <c r="E1714" i="2"/>
  <c r="F1714" i="2" s="1"/>
  <c r="E1722" i="2"/>
  <c r="F1722" i="2" s="1"/>
  <c r="E1730" i="2"/>
  <c r="F1730" i="2" s="1"/>
  <c r="E1738" i="2"/>
  <c r="F1738" i="2" s="1"/>
  <c r="E1746" i="2"/>
  <c r="F1746" i="2" s="1"/>
  <c r="E1754" i="2"/>
  <c r="F1754" i="2" s="1"/>
  <c r="E1762" i="2"/>
  <c r="F1762" i="2" s="1"/>
  <c r="E1770" i="2"/>
  <c r="F1770" i="2" s="1"/>
  <c r="E1778" i="2"/>
  <c r="F1778" i="2" s="1"/>
  <c r="E1786" i="2"/>
  <c r="F1786" i="2" s="1"/>
  <c r="E1794" i="2"/>
  <c r="F1794" i="2" s="1"/>
  <c r="E1802" i="2"/>
  <c r="F1802" i="2" s="1"/>
  <c r="E1810" i="2"/>
  <c r="F1810" i="2" s="1"/>
  <c r="E1818" i="2"/>
  <c r="F1818" i="2" s="1"/>
  <c r="E1826" i="2"/>
  <c r="F1826" i="2" s="1"/>
  <c r="E1834" i="2"/>
  <c r="F1834" i="2" s="1"/>
  <c r="E1842" i="2"/>
  <c r="F1842" i="2" s="1"/>
  <c r="E1850" i="2"/>
  <c r="F1850" i="2" s="1"/>
  <c r="E1858" i="2"/>
  <c r="F1858" i="2" s="1"/>
  <c r="E1866" i="2"/>
  <c r="F1866" i="2" s="1"/>
  <c r="E1874" i="2"/>
  <c r="F1874" i="2" s="1"/>
  <c r="E1882" i="2"/>
  <c r="F1882" i="2" s="1"/>
  <c r="E1898" i="2"/>
  <c r="F1898" i="2" s="1"/>
  <c r="E1906" i="2"/>
  <c r="F1906" i="2" s="1"/>
  <c r="E1922" i="2"/>
  <c r="F1922" i="2" s="1"/>
  <c r="E1930" i="2"/>
  <c r="F1930" i="2" s="1"/>
  <c r="E1938" i="2"/>
  <c r="F1938" i="2" s="1"/>
  <c r="E1946" i="2"/>
  <c r="F1946" i="2" s="1"/>
  <c r="E1954" i="2"/>
  <c r="F1954" i="2" s="1"/>
  <c r="E1962" i="2"/>
  <c r="F1962" i="2" s="1"/>
  <c r="E1970" i="2"/>
  <c r="F1970" i="2" s="1"/>
  <c r="E1978" i="2"/>
  <c r="F1978" i="2" s="1"/>
  <c r="E1986" i="2"/>
  <c r="F1986" i="2" s="1"/>
  <c r="E1994" i="2"/>
  <c r="F1994" i="2" s="1"/>
  <c r="E54" i="2"/>
  <c r="F54" i="2" s="1"/>
  <c r="E118" i="2"/>
  <c r="F118" i="2" s="1"/>
  <c r="E182" i="2"/>
  <c r="F182" i="2" s="1"/>
  <c r="E246" i="2"/>
  <c r="F246" i="2" s="1"/>
  <c r="E310" i="2"/>
  <c r="F310" i="2" s="1"/>
  <c r="E374" i="2"/>
  <c r="F374" i="2" s="1"/>
  <c r="E438" i="2"/>
  <c r="F438" i="2" s="1"/>
  <c r="E502" i="2"/>
  <c r="F502" i="2" s="1"/>
  <c r="E566" i="2"/>
  <c r="F566" i="2" s="1"/>
  <c r="E630" i="2"/>
  <c r="F630" i="2" s="1"/>
  <c r="E694" i="2"/>
  <c r="F694" i="2" s="1"/>
  <c r="E758" i="2"/>
  <c r="F758" i="2" s="1"/>
  <c r="E795" i="2"/>
  <c r="F795" i="2" s="1"/>
  <c r="E803" i="2"/>
  <c r="F803" i="2" s="1"/>
  <c r="E811" i="2"/>
  <c r="F811" i="2" s="1"/>
  <c r="E819" i="2"/>
  <c r="F819" i="2" s="1"/>
  <c r="E827" i="2"/>
  <c r="F827" i="2" s="1"/>
  <c r="E835" i="2"/>
  <c r="F835" i="2" s="1"/>
  <c r="E843" i="2"/>
  <c r="F843" i="2" s="1"/>
  <c r="E851" i="2"/>
  <c r="F851" i="2" s="1"/>
  <c r="E859" i="2"/>
  <c r="F859" i="2" s="1"/>
  <c r="E867" i="2"/>
  <c r="F867" i="2" s="1"/>
  <c r="E875" i="2"/>
  <c r="F875" i="2" s="1"/>
  <c r="E883" i="2"/>
  <c r="F883" i="2" s="1"/>
  <c r="E891" i="2"/>
  <c r="F891" i="2" s="1"/>
  <c r="E899" i="2"/>
  <c r="F899" i="2" s="1"/>
  <c r="E907" i="2"/>
  <c r="F907" i="2" s="1"/>
  <c r="E915" i="2"/>
  <c r="F915" i="2" s="1"/>
  <c r="E923" i="2"/>
  <c r="F923" i="2" s="1"/>
  <c r="E931" i="2"/>
  <c r="F931" i="2" s="1"/>
  <c r="E939" i="2"/>
  <c r="F939" i="2" s="1"/>
  <c r="E947" i="2"/>
  <c r="F947" i="2" s="1"/>
  <c r="E955" i="2"/>
  <c r="F955" i="2" s="1"/>
  <c r="E963" i="2"/>
  <c r="F963" i="2" s="1"/>
  <c r="E971" i="2"/>
  <c r="F971" i="2" s="1"/>
  <c r="E979" i="2"/>
  <c r="F979" i="2" s="1"/>
  <c r="E987" i="2"/>
  <c r="F987" i="2" s="1"/>
  <c r="E995" i="2"/>
  <c r="F995" i="2" s="1"/>
  <c r="E1003" i="2"/>
  <c r="F1003" i="2" s="1"/>
  <c r="E1011" i="2"/>
  <c r="F1011" i="2" s="1"/>
  <c r="E1019" i="2"/>
  <c r="F1019" i="2" s="1"/>
  <c r="E1027" i="2"/>
  <c r="F1027" i="2" s="1"/>
  <c r="E1035" i="2"/>
  <c r="F1035" i="2" s="1"/>
  <c r="E1043" i="2"/>
  <c r="F1043" i="2" s="1"/>
  <c r="E1051" i="2"/>
  <c r="F1051" i="2" s="1"/>
  <c r="E1059" i="2"/>
  <c r="F1059" i="2" s="1"/>
  <c r="E1067" i="2"/>
  <c r="F1067" i="2" s="1"/>
  <c r="E1075" i="2"/>
  <c r="F1075" i="2" s="1"/>
  <c r="E1083" i="2"/>
  <c r="F1083" i="2" s="1"/>
  <c r="E1091" i="2"/>
  <c r="F1091" i="2" s="1"/>
  <c r="E1099" i="2"/>
  <c r="F1099" i="2" s="1"/>
  <c r="E1107" i="2"/>
  <c r="F1107" i="2" s="1"/>
  <c r="E1115" i="2"/>
  <c r="F1115" i="2" s="1"/>
  <c r="E1123" i="2"/>
  <c r="F1123" i="2" s="1"/>
  <c r="E1131" i="2"/>
  <c r="F1131" i="2" s="1"/>
  <c r="E1139" i="2"/>
  <c r="F1139" i="2" s="1"/>
  <c r="E1147" i="2"/>
  <c r="F1147" i="2" s="1"/>
  <c r="E1155" i="2"/>
  <c r="F1155" i="2" s="1"/>
  <c r="E1163" i="2"/>
  <c r="F1163" i="2" s="1"/>
  <c r="E1171" i="2"/>
  <c r="F1171" i="2" s="1"/>
  <c r="E1179" i="2"/>
  <c r="F1179" i="2" s="1"/>
  <c r="E1187" i="2"/>
  <c r="F1187" i="2" s="1"/>
  <c r="E1195" i="2"/>
  <c r="F1195" i="2" s="1"/>
  <c r="E1203" i="2"/>
  <c r="F1203" i="2" s="1"/>
  <c r="E1211" i="2"/>
  <c r="F1211" i="2" s="1"/>
  <c r="E1219" i="2"/>
  <c r="F1219" i="2" s="1"/>
  <c r="E1227" i="2"/>
  <c r="F1227" i="2" s="1"/>
  <c r="E1235" i="2"/>
  <c r="F1235" i="2" s="1"/>
  <c r="E1243" i="2"/>
  <c r="F1243" i="2" s="1"/>
  <c r="E1251" i="2"/>
  <c r="F1251" i="2" s="1"/>
  <c r="E1259" i="2"/>
  <c r="F1259" i="2" s="1"/>
  <c r="E1267" i="2"/>
  <c r="F1267" i="2" s="1"/>
  <c r="E1275" i="2"/>
  <c r="F1275" i="2" s="1"/>
  <c r="E1283" i="2"/>
  <c r="F1283" i="2" s="1"/>
  <c r="E1291" i="2"/>
  <c r="F1291" i="2" s="1"/>
  <c r="E1299" i="2"/>
  <c r="F1299" i="2" s="1"/>
  <c r="E1307" i="2"/>
  <c r="F1307" i="2" s="1"/>
  <c r="E1315" i="2"/>
  <c r="F1315" i="2" s="1"/>
  <c r="E1323" i="2"/>
  <c r="F1323" i="2" s="1"/>
  <c r="E1331" i="2"/>
  <c r="F1331" i="2" s="1"/>
  <c r="E1339" i="2"/>
  <c r="F1339" i="2" s="1"/>
  <c r="E1347" i="2"/>
  <c r="F1347" i="2" s="1"/>
  <c r="E1355" i="2"/>
  <c r="F1355" i="2" s="1"/>
  <c r="E1363" i="2"/>
  <c r="F1363" i="2" s="1"/>
  <c r="E1371" i="2"/>
  <c r="F1371" i="2" s="1"/>
  <c r="E1379" i="2"/>
  <c r="F1379" i="2" s="1"/>
  <c r="E1387" i="2"/>
  <c r="F1387" i="2" s="1"/>
  <c r="E1395" i="2"/>
  <c r="F1395" i="2" s="1"/>
  <c r="E1403" i="2"/>
  <c r="F1403" i="2" s="1"/>
  <c r="E1411" i="2"/>
  <c r="F1411" i="2" s="1"/>
  <c r="E1419" i="2"/>
  <c r="F1419" i="2" s="1"/>
  <c r="E1427" i="2"/>
  <c r="F1427" i="2" s="1"/>
  <c r="E1435" i="2"/>
  <c r="F1435" i="2" s="1"/>
  <c r="E1443" i="2"/>
  <c r="F1443" i="2" s="1"/>
  <c r="E1451" i="2"/>
  <c r="F1451" i="2" s="1"/>
  <c r="E1459" i="2"/>
  <c r="F1459" i="2" s="1"/>
  <c r="E1467" i="2"/>
  <c r="F1467" i="2" s="1"/>
  <c r="E1475" i="2"/>
  <c r="F1475" i="2" s="1"/>
  <c r="E1483" i="2"/>
  <c r="F1483" i="2" s="1"/>
  <c r="E1491" i="2"/>
  <c r="F1491" i="2" s="1"/>
  <c r="E1499" i="2"/>
  <c r="F1499" i="2" s="1"/>
  <c r="E1507" i="2"/>
  <c r="F1507" i="2" s="1"/>
  <c r="E1515" i="2"/>
  <c r="F1515" i="2" s="1"/>
  <c r="E1523" i="2"/>
  <c r="F1523" i="2" s="1"/>
  <c r="E1531" i="2"/>
  <c r="F1531" i="2" s="1"/>
  <c r="E1539" i="2"/>
  <c r="F1539" i="2" s="1"/>
  <c r="E1547" i="2"/>
  <c r="F1547" i="2" s="1"/>
  <c r="E1555" i="2"/>
  <c r="F1555" i="2" s="1"/>
  <c r="E1563" i="2"/>
  <c r="F1563" i="2" s="1"/>
  <c r="E1571" i="2"/>
  <c r="F1571" i="2" s="1"/>
  <c r="E1579" i="2"/>
  <c r="F1579" i="2" s="1"/>
  <c r="E1587" i="2"/>
  <c r="F1587" i="2" s="1"/>
  <c r="E1595" i="2"/>
  <c r="F1595" i="2" s="1"/>
  <c r="E1603" i="2"/>
  <c r="F1603" i="2" s="1"/>
  <c r="E1611" i="2"/>
  <c r="F1611" i="2" s="1"/>
  <c r="E1619" i="2"/>
  <c r="F1619" i="2" s="1"/>
  <c r="E1627" i="2"/>
  <c r="F1627" i="2" s="1"/>
  <c r="E1635" i="2"/>
  <c r="F1635" i="2" s="1"/>
  <c r="E1643" i="2"/>
  <c r="F1643" i="2" s="1"/>
  <c r="E1651" i="2"/>
  <c r="F1651" i="2" s="1"/>
  <c r="E1659" i="2"/>
  <c r="F1659" i="2" s="1"/>
  <c r="E1667" i="2"/>
  <c r="F1667" i="2" s="1"/>
  <c r="E1675" i="2"/>
  <c r="F1675" i="2" s="1"/>
  <c r="E1683" i="2"/>
  <c r="F1683" i="2" s="1"/>
  <c r="E1691" i="2"/>
  <c r="F1691" i="2" s="1"/>
  <c r="E1699" i="2"/>
  <c r="F1699" i="2" s="1"/>
  <c r="E1707" i="2"/>
  <c r="F1707" i="2" s="1"/>
  <c r="E1715" i="2"/>
  <c r="F1715" i="2" s="1"/>
  <c r="E1723" i="2"/>
  <c r="F1723" i="2" s="1"/>
  <c r="E1731" i="2"/>
  <c r="F1731" i="2" s="1"/>
  <c r="E1739" i="2"/>
  <c r="F1739" i="2" s="1"/>
  <c r="E1747" i="2"/>
  <c r="F1747" i="2" s="1"/>
  <c r="E1755" i="2"/>
  <c r="F1755" i="2" s="1"/>
  <c r="E1763" i="2"/>
  <c r="F1763" i="2" s="1"/>
  <c r="E1771" i="2"/>
  <c r="F1771" i="2" s="1"/>
  <c r="E1779" i="2"/>
  <c r="F1779" i="2" s="1"/>
  <c r="E1787" i="2"/>
  <c r="F1787" i="2" s="1"/>
  <c r="E1795" i="2"/>
  <c r="F1795" i="2" s="1"/>
  <c r="E1803" i="2"/>
  <c r="F1803" i="2" s="1"/>
  <c r="E1811" i="2"/>
  <c r="F1811" i="2" s="1"/>
  <c r="E1819" i="2"/>
  <c r="F1819" i="2" s="1"/>
  <c r="E1827" i="2"/>
  <c r="F1827" i="2" s="1"/>
  <c r="E1835" i="2"/>
  <c r="F1835" i="2" s="1"/>
  <c r="E1843" i="2"/>
  <c r="F1843" i="2" s="1"/>
  <c r="E1851" i="2"/>
  <c r="F1851" i="2" s="1"/>
  <c r="E1859" i="2"/>
  <c r="F1859" i="2" s="1"/>
  <c r="E1867" i="2"/>
  <c r="F1867" i="2" s="1"/>
  <c r="E1875" i="2"/>
  <c r="F1875" i="2" s="1"/>
  <c r="E1883" i="2"/>
  <c r="F1883" i="2" s="1"/>
  <c r="E1891" i="2"/>
  <c r="F1891" i="2" s="1"/>
  <c r="E1899" i="2"/>
  <c r="F1899" i="2" s="1"/>
  <c r="E1907" i="2"/>
  <c r="F1907" i="2" s="1"/>
  <c r="E1923" i="2"/>
  <c r="F1923" i="2" s="1"/>
  <c r="E1931" i="2"/>
  <c r="F1931" i="2" s="1"/>
  <c r="E1939" i="2"/>
  <c r="F1939" i="2" s="1"/>
  <c r="E1947" i="2"/>
  <c r="F1947" i="2" s="1"/>
  <c r="E1955" i="2"/>
  <c r="F1955" i="2" s="1"/>
  <c r="E1963" i="2"/>
  <c r="F1963" i="2" s="1"/>
  <c r="E1971" i="2"/>
  <c r="F1971" i="2" s="1"/>
  <c r="E1979" i="2"/>
  <c r="F1979" i="2" s="1"/>
  <c r="E1987" i="2"/>
  <c r="F1987" i="2" s="1"/>
  <c r="E1995" i="2"/>
  <c r="F1995" i="2" s="1"/>
  <c r="E62" i="2"/>
  <c r="F62" i="2" s="1"/>
  <c r="E126" i="2"/>
  <c r="F126" i="2" s="1"/>
  <c r="E190" i="2"/>
  <c r="F190" i="2" s="1"/>
  <c r="E254" i="2"/>
  <c r="F254" i="2" s="1"/>
  <c r="E318" i="2"/>
  <c r="F318" i="2" s="1"/>
  <c r="E382" i="2"/>
  <c r="F382" i="2" s="1"/>
  <c r="E446" i="2"/>
  <c r="F446" i="2" s="1"/>
  <c r="E510" i="2"/>
  <c r="F510" i="2" s="1"/>
  <c r="E574" i="2"/>
  <c r="F574" i="2" s="1"/>
  <c r="E638" i="2"/>
  <c r="F638" i="2" s="1"/>
  <c r="E702" i="2"/>
  <c r="F702" i="2" s="1"/>
  <c r="E766" i="2"/>
  <c r="F766" i="2" s="1"/>
  <c r="E796" i="2"/>
  <c r="F796" i="2" s="1"/>
  <c r="E804" i="2"/>
  <c r="F804" i="2" s="1"/>
  <c r="E812" i="2"/>
  <c r="F812" i="2" s="1"/>
  <c r="E820" i="2"/>
  <c r="F820" i="2" s="1"/>
  <c r="E828" i="2"/>
  <c r="F828" i="2" s="1"/>
  <c r="E836" i="2"/>
  <c r="F836" i="2" s="1"/>
  <c r="E844" i="2"/>
  <c r="F844" i="2" s="1"/>
  <c r="E852" i="2"/>
  <c r="F852" i="2" s="1"/>
  <c r="E860" i="2"/>
  <c r="F860" i="2" s="1"/>
  <c r="E868" i="2"/>
  <c r="F868" i="2" s="1"/>
  <c r="E876" i="2"/>
  <c r="F876" i="2" s="1"/>
  <c r="E884" i="2"/>
  <c r="F884" i="2" s="1"/>
  <c r="E892" i="2"/>
  <c r="F892" i="2" s="1"/>
  <c r="E900" i="2"/>
  <c r="F900" i="2" s="1"/>
  <c r="E908" i="2"/>
  <c r="F908" i="2" s="1"/>
  <c r="E916" i="2"/>
  <c r="F916" i="2" s="1"/>
  <c r="E924" i="2"/>
  <c r="F924" i="2" s="1"/>
  <c r="E932" i="2"/>
  <c r="F932" i="2" s="1"/>
  <c r="E940" i="2"/>
  <c r="F940" i="2" s="1"/>
  <c r="E948" i="2"/>
  <c r="F948" i="2" s="1"/>
  <c r="E956" i="2"/>
  <c r="F956" i="2" s="1"/>
  <c r="E964" i="2"/>
  <c r="F964" i="2" s="1"/>
  <c r="E972" i="2"/>
  <c r="F972" i="2" s="1"/>
  <c r="E980" i="2"/>
  <c r="F980" i="2" s="1"/>
  <c r="E988" i="2"/>
  <c r="F988" i="2" s="1"/>
  <c r="E996" i="2"/>
  <c r="F996" i="2" s="1"/>
  <c r="E1004" i="2"/>
  <c r="F1004" i="2" s="1"/>
  <c r="E1012" i="2"/>
  <c r="F1012" i="2" s="1"/>
  <c r="E1020" i="2"/>
  <c r="F1020" i="2" s="1"/>
  <c r="E1028" i="2"/>
  <c r="F1028" i="2" s="1"/>
  <c r="E1036" i="2"/>
  <c r="F1036" i="2" s="1"/>
  <c r="E1044" i="2"/>
  <c r="F1044" i="2" s="1"/>
  <c r="E1052" i="2"/>
  <c r="F1052" i="2" s="1"/>
  <c r="E1060" i="2"/>
  <c r="F1060" i="2" s="1"/>
  <c r="E1068" i="2"/>
  <c r="F1068" i="2" s="1"/>
  <c r="E1076" i="2"/>
  <c r="F1076" i="2" s="1"/>
  <c r="E1084" i="2"/>
  <c r="F1084" i="2" s="1"/>
  <c r="E1092" i="2"/>
  <c r="F1092" i="2" s="1"/>
  <c r="E1100" i="2"/>
  <c r="F1100" i="2" s="1"/>
  <c r="E1108" i="2"/>
  <c r="F1108" i="2" s="1"/>
  <c r="E1116" i="2"/>
  <c r="F1116" i="2" s="1"/>
  <c r="E1124" i="2"/>
  <c r="F1124" i="2" s="1"/>
  <c r="E1132" i="2"/>
  <c r="F1132" i="2" s="1"/>
  <c r="E1140" i="2"/>
  <c r="F1140" i="2" s="1"/>
  <c r="E1148" i="2"/>
  <c r="F1148" i="2" s="1"/>
  <c r="E1156" i="2"/>
  <c r="F1156" i="2" s="1"/>
  <c r="E1164" i="2"/>
  <c r="F1164" i="2" s="1"/>
  <c r="E1172" i="2"/>
  <c r="F1172" i="2" s="1"/>
  <c r="E1180" i="2"/>
  <c r="F1180" i="2" s="1"/>
  <c r="E1188" i="2"/>
  <c r="F1188" i="2" s="1"/>
  <c r="E1196" i="2"/>
  <c r="F1196" i="2" s="1"/>
  <c r="E1204" i="2"/>
  <c r="F1204" i="2" s="1"/>
  <c r="E1212" i="2"/>
  <c r="F1212" i="2" s="1"/>
  <c r="E1220" i="2"/>
  <c r="F1220" i="2" s="1"/>
  <c r="E1228" i="2"/>
  <c r="F1228" i="2" s="1"/>
  <c r="E1236" i="2"/>
  <c r="F1236" i="2" s="1"/>
  <c r="E1244" i="2"/>
  <c r="F1244" i="2" s="1"/>
  <c r="E1252" i="2"/>
  <c r="F1252" i="2" s="1"/>
  <c r="E1260" i="2"/>
  <c r="F1260" i="2" s="1"/>
  <c r="E1268" i="2"/>
  <c r="F1268" i="2" s="1"/>
  <c r="E1276" i="2"/>
  <c r="F1276" i="2" s="1"/>
  <c r="E1284" i="2"/>
  <c r="F1284" i="2" s="1"/>
  <c r="E1292" i="2"/>
  <c r="F1292" i="2" s="1"/>
  <c r="E1300" i="2"/>
  <c r="F1300" i="2" s="1"/>
  <c r="E1308" i="2"/>
  <c r="F1308" i="2" s="1"/>
  <c r="E1316" i="2"/>
  <c r="F1316" i="2" s="1"/>
  <c r="E1324" i="2"/>
  <c r="F1324" i="2" s="1"/>
  <c r="E1332" i="2"/>
  <c r="F1332" i="2" s="1"/>
  <c r="E1340" i="2"/>
  <c r="F1340" i="2" s="1"/>
  <c r="E1348" i="2"/>
  <c r="F1348" i="2" s="1"/>
  <c r="E1356" i="2"/>
  <c r="F1356" i="2" s="1"/>
  <c r="E1364" i="2"/>
  <c r="F1364" i="2" s="1"/>
  <c r="E1372" i="2"/>
  <c r="F1372" i="2" s="1"/>
  <c r="E1380" i="2"/>
  <c r="F1380" i="2" s="1"/>
  <c r="E1388" i="2"/>
  <c r="F1388" i="2" s="1"/>
  <c r="E1396" i="2"/>
  <c r="F1396" i="2" s="1"/>
  <c r="E1404" i="2"/>
  <c r="F1404" i="2" s="1"/>
  <c r="E1412" i="2"/>
  <c r="F1412" i="2" s="1"/>
  <c r="E1420" i="2"/>
  <c r="F1420" i="2" s="1"/>
  <c r="E1428" i="2"/>
  <c r="F1428" i="2" s="1"/>
  <c r="E1436" i="2"/>
  <c r="F1436" i="2" s="1"/>
  <c r="E1444" i="2"/>
  <c r="F1444" i="2" s="1"/>
  <c r="E1452" i="2"/>
  <c r="F1452" i="2" s="1"/>
  <c r="E1460" i="2"/>
  <c r="F1460" i="2" s="1"/>
  <c r="E1468" i="2"/>
  <c r="F1468" i="2" s="1"/>
  <c r="E1476" i="2"/>
  <c r="F1476" i="2" s="1"/>
  <c r="E1484" i="2"/>
  <c r="F1484" i="2" s="1"/>
  <c r="E1492" i="2"/>
  <c r="F1492" i="2" s="1"/>
  <c r="E1500" i="2"/>
  <c r="F1500" i="2" s="1"/>
  <c r="E1508" i="2"/>
  <c r="F1508" i="2" s="1"/>
  <c r="E1516" i="2"/>
  <c r="F1516" i="2" s="1"/>
  <c r="E1524" i="2"/>
  <c r="F1524" i="2" s="1"/>
  <c r="E1532" i="2"/>
  <c r="F1532" i="2" s="1"/>
  <c r="E1540" i="2"/>
  <c r="F1540" i="2" s="1"/>
  <c r="E1548" i="2"/>
  <c r="F1548" i="2" s="1"/>
  <c r="E1556" i="2"/>
  <c r="F1556" i="2" s="1"/>
  <c r="E1564" i="2"/>
  <c r="F1564" i="2" s="1"/>
  <c r="E1572" i="2"/>
  <c r="F1572" i="2" s="1"/>
  <c r="E1580" i="2"/>
  <c r="F1580" i="2" s="1"/>
  <c r="E1588" i="2"/>
  <c r="F1588" i="2" s="1"/>
  <c r="E1596" i="2"/>
  <c r="F1596" i="2" s="1"/>
  <c r="E1604" i="2"/>
  <c r="F1604" i="2" s="1"/>
  <c r="E1612" i="2"/>
  <c r="F1612" i="2" s="1"/>
  <c r="E1620" i="2"/>
  <c r="F1620" i="2" s="1"/>
  <c r="E1628" i="2"/>
  <c r="F1628" i="2" s="1"/>
  <c r="E1636" i="2"/>
  <c r="F1636" i="2" s="1"/>
  <c r="E1644" i="2"/>
  <c r="F1644" i="2" s="1"/>
  <c r="E1652" i="2"/>
  <c r="F1652" i="2" s="1"/>
  <c r="E1660" i="2"/>
  <c r="F1660" i="2" s="1"/>
  <c r="E1668" i="2"/>
  <c r="F1668" i="2" s="1"/>
  <c r="E1676" i="2"/>
  <c r="F1676" i="2" s="1"/>
  <c r="E1684" i="2"/>
  <c r="F1684" i="2" s="1"/>
  <c r="E1692" i="2"/>
  <c r="F1692" i="2" s="1"/>
  <c r="E1700" i="2"/>
  <c r="F1700" i="2" s="1"/>
  <c r="E1708" i="2"/>
  <c r="F1708" i="2" s="1"/>
  <c r="E1716" i="2"/>
  <c r="F1716" i="2" s="1"/>
  <c r="E1724" i="2"/>
  <c r="F1724" i="2" s="1"/>
  <c r="E1732" i="2"/>
  <c r="F1732" i="2" s="1"/>
  <c r="E1740" i="2"/>
  <c r="F1740" i="2" s="1"/>
  <c r="E1748" i="2"/>
  <c r="F1748" i="2" s="1"/>
  <c r="E1756" i="2"/>
  <c r="F1756" i="2" s="1"/>
  <c r="E1764" i="2"/>
  <c r="F1764" i="2" s="1"/>
  <c r="E1772" i="2"/>
  <c r="F1772" i="2" s="1"/>
  <c r="E1780" i="2"/>
  <c r="F1780" i="2" s="1"/>
  <c r="E1788" i="2"/>
  <c r="F1788" i="2" s="1"/>
  <c r="E1796" i="2"/>
  <c r="F1796" i="2" s="1"/>
  <c r="E1804" i="2"/>
  <c r="F1804" i="2" s="1"/>
  <c r="E1812" i="2"/>
  <c r="F1812" i="2" s="1"/>
  <c r="E1820" i="2"/>
  <c r="F1820" i="2" s="1"/>
  <c r="E1828" i="2"/>
  <c r="F1828" i="2" s="1"/>
  <c r="E1836" i="2"/>
  <c r="F1836" i="2" s="1"/>
  <c r="E1844" i="2"/>
  <c r="F1844" i="2" s="1"/>
  <c r="E1852" i="2"/>
  <c r="F1852" i="2" s="1"/>
  <c r="E1860" i="2"/>
  <c r="F1860" i="2" s="1"/>
  <c r="E1868" i="2"/>
  <c r="F1868" i="2" s="1"/>
  <c r="E1876" i="2"/>
  <c r="F1876" i="2" s="1"/>
  <c r="E1884" i="2"/>
  <c r="F1884" i="2" s="1"/>
  <c r="E1892" i="2"/>
  <c r="F1892" i="2" s="1"/>
  <c r="E1900" i="2"/>
  <c r="F1900" i="2" s="1"/>
  <c r="E1916" i="2"/>
  <c r="F1916" i="2" s="1"/>
  <c r="E1924" i="2"/>
  <c r="F1924" i="2" s="1"/>
  <c r="E1932" i="2"/>
  <c r="F1932" i="2" s="1"/>
  <c r="E1940" i="2"/>
  <c r="F1940" i="2" s="1"/>
  <c r="E1948" i="2"/>
  <c r="F1948" i="2" s="1"/>
  <c r="E1956" i="2"/>
  <c r="F1956" i="2" s="1"/>
  <c r="E1964" i="2"/>
  <c r="F1964" i="2" s="1"/>
  <c r="E1972" i="2"/>
  <c r="F1972" i="2" s="1"/>
  <c r="E1980" i="2"/>
  <c r="F1980" i="2" s="1"/>
  <c r="E1988" i="2"/>
  <c r="F1988" i="2" s="1"/>
  <c r="E6" i="2"/>
  <c r="F6" i="2" s="1"/>
  <c r="E70" i="2"/>
  <c r="F70" i="2" s="1"/>
  <c r="E134" i="2"/>
  <c r="F134" i="2" s="1"/>
  <c r="E198" i="2"/>
  <c r="F198" i="2" s="1"/>
  <c r="E262" i="2"/>
  <c r="F262" i="2" s="1"/>
  <c r="E326" i="2"/>
  <c r="F326" i="2" s="1"/>
  <c r="E390" i="2"/>
  <c r="F390" i="2" s="1"/>
  <c r="E454" i="2"/>
  <c r="F454" i="2" s="1"/>
  <c r="E518" i="2"/>
  <c r="F518" i="2" s="1"/>
  <c r="E582" i="2"/>
  <c r="F582" i="2" s="1"/>
  <c r="E646" i="2"/>
  <c r="F646" i="2" s="1"/>
  <c r="E710" i="2"/>
  <c r="F710" i="2" s="1"/>
  <c r="E774" i="2"/>
  <c r="F774" i="2" s="1"/>
  <c r="E797" i="2"/>
  <c r="F797" i="2" s="1"/>
  <c r="E805" i="2"/>
  <c r="F805" i="2" s="1"/>
  <c r="E813" i="2"/>
  <c r="F813" i="2" s="1"/>
  <c r="E821" i="2"/>
  <c r="F821" i="2" s="1"/>
  <c r="E829" i="2"/>
  <c r="F829" i="2" s="1"/>
  <c r="E837" i="2"/>
  <c r="F837" i="2" s="1"/>
  <c r="E845" i="2"/>
  <c r="F845" i="2" s="1"/>
  <c r="E853" i="2"/>
  <c r="F853" i="2" s="1"/>
  <c r="E861" i="2"/>
  <c r="F861" i="2" s="1"/>
  <c r="E869" i="2"/>
  <c r="F869" i="2" s="1"/>
  <c r="E877" i="2"/>
  <c r="F877" i="2" s="1"/>
  <c r="E885" i="2"/>
  <c r="F885" i="2" s="1"/>
  <c r="E893" i="2"/>
  <c r="F893" i="2" s="1"/>
  <c r="E901" i="2"/>
  <c r="F901" i="2" s="1"/>
  <c r="E909" i="2"/>
  <c r="F909" i="2" s="1"/>
  <c r="E917" i="2"/>
  <c r="F917" i="2" s="1"/>
  <c r="E925" i="2"/>
  <c r="F925" i="2" s="1"/>
  <c r="E933" i="2"/>
  <c r="F933" i="2" s="1"/>
  <c r="E941" i="2"/>
  <c r="F941" i="2" s="1"/>
  <c r="E949" i="2"/>
  <c r="F949" i="2" s="1"/>
  <c r="E957" i="2"/>
  <c r="F957" i="2" s="1"/>
  <c r="E965" i="2"/>
  <c r="F965" i="2" s="1"/>
  <c r="E973" i="2"/>
  <c r="F973" i="2" s="1"/>
  <c r="E981" i="2"/>
  <c r="F981" i="2" s="1"/>
  <c r="E989" i="2"/>
  <c r="F989" i="2" s="1"/>
  <c r="E997" i="2"/>
  <c r="F997" i="2" s="1"/>
  <c r="E1005" i="2"/>
  <c r="F1005" i="2" s="1"/>
  <c r="E1013" i="2"/>
  <c r="F1013" i="2" s="1"/>
  <c r="E1021" i="2"/>
  <c r="F1021" i="2" s="1"/>
  <c r="E1029" i="2"/>
  <c r="F1029" i="2" s="1"/>
  <c r="E1037" i="2"/>
  <c r="F1037" i="2" s="1"/>
  <c r="E1045" i="2"/>
  <c r="F1045" i="2" s="1"/>
  <c r="E1053" i="2"/>
  <c r="F1053" i="2" s="1"/>
  <c r="E1061" i="2"/>
  <c r="F1061" i="2" s="1"/>
  <c r="E1069" i="2"/>
  <c r="F1069" i="2" s="1"/>
  <c r="E1077" i="2"/>
  <c r="F1077" i="2" s="1"/>
  <c r="E1085" i="2"/>
  <c r="F1085" i="2" s="1"/>
  <c r="E1093" i="2"/>
  <c r="F1093" i="2" s="1"/>
  <c r="E1101" i="2"/>
  <c r="F1101" i="2" s="1"/>
  <c r="E1109" i="2"/>
  <c r="F1109" i="2" s="1"/>
  <c r="E1117" i="2"/>
  <c r="F1117" i="2" s="1"/>
  <c r="E1125" i="2"/>
  <c r="F1125" i="2" s="1"/>
  <c r="E1133" i="2"/>
  <c r="F1133" i="2" s="1"/>
  <c r="E1141" i="2"/>
  <c r="F1141" i="2" s="1"/>
  <c r="E1149" i="2"/>
  <c r="F1149" i="2" s="1"/>
  <c r="E1157" i="2"/>
  <c r="F1157" i="2" s="1"/>
  <c r="E1165" i="2"/>
  <c r="F1165" i="2" s="1"/>
  <c r="E1173" i="2"/>
  <c r="F1173" i="2" s="1"/>
  <c r="E1181" i="2"/>
  <c r="F1181" i="2" s="1"/>
  <c r="E1189" i="2"/>
  <c r="F1189" i="2" s="1"/>
  <c r="E1197" i="2"/>
  <c r="F1197" i="2" s="1"/>
  <c r="E1205" i="2"/>
  <c r="F1205" i="2" s="1"/>
  <c r="E1213" i="2"/>
  <c r="F1213" i="2" s="1"/>
  <c r="E1221" i="2"/>
  <c r="F1221" i="2" s="1"/>
  <c r="E1229" i="2"/>
  <c r="F1229" i="2" s="1"/>
  <c r="E1237" i="2"/>
  <c r="F1237" i="2" s="1"/>
  <c r="E1245" i="2"/>
  <c r="F1245" i="2" s="1"/>
  <c r="E1253" i="2"/>
  <c r="F1253" i="2" s="1"/>
  <c r="E1261" i="2"/>
  <c r="F1261" i="2" s="1"/>
  <c r="E1269" i="2"/>
  <c r="F1269" i="2" s="1"/>
  <c r="E1277" i="2"/>
  <c r="F1277" i="2" s="1"/>
  <c r="E1285" i="2"/>
  <c r="F1285" i="2" s="1"/>
  <c r="E1293" i="2"/>
  <c r="F1293" i="2" s="1"/>
  <c r="E1301" i="2"/>
  <c r="F1301" i="2" s="1"/>
  <c r="E1309" i="2"/>
  <c r="F1309" i="2" s="1"/>
  <c r="E1317" i="2"/>
  <c r="F1317" i="2" s="1"/>
  <c r="E1325" i="2"/>
  <c r="F1325" i="2" s="1"/>
  <c r="E1333" i="2"/>
  <c r="F1333" i="2" s="1"/>
  <c r="E1341" i="2"/>
  <c r="F1341" i="2" s="1"/>
  <c r="E1349" i="2"/>
  <c r="F1349" i="2" s="1"/>
  <c r="E1357" i="2"/>
  <c r="F1357" i="2" s="1"/>
  <c r="E1365" i="2"/>
  <c r="F1365" i="2" s="1"/>
  <c r="E1373" i="2"/>
  <c r="F1373" i="2" s="1"/>
  <c r="E1381" i="2"/>
  <c r="F1381" i="2" s="1"/>
  <c r="E1389" i="2"/>
  <c r="F1389" i="2" s="1"/>
  <c r="E1397" i="2"/>
  <c r="F1397" i="2" s="1"/>
  <c r="E1405" i="2"/>
  <c r="F1405" i="2" s="1"/>
  <c r="E1413" i="2"/>
  <c r="F1413" i="2" s="1"/>
  <c r="E1421" i="2"/>
  <c r="F1421" i="2" s="1"/>
  <c r="E1429" i="2"/>
  <c r="F1429" i="2" s="1"/>
  <c r="E1437" i="2"/>
  <c r="F1437" i="2" s="1"/>
  <c r="E1445" i="2"/>
  <c r="F1445" i="2" s="1"/>
  <c r="E1453" i="2"/>
  <c r="F1453" i="2" s="1"/>
  <c r="E1461" i="2"/>
  <c r="F1461" i="2" s="1"/>
  <c r="E1469" i="2"/>
  <c r="F1469" i="2" s="1"/>
  <c r="E1477" i="2"/>
  <c r="F1477" i="2" s="1"/>
  <c r="E1485" i="2"/>
  <c r="F1485" i="2" s="1"/>
  <c r="E1493" i="2"/>
  <c r="F1493" i="2" s="1"/>
  <c r="E1501" i="2"/>
  <c r="F1501" i="2" s="1"/>
  <c r="E1509" i="2"/>
  <c r="F1509" i="2" s="1"/>
  <c r="E1517" i="2"/>
  <c r="F1517" i="2" s="1"/>
  <c r="E1525" i="2"/>
  <c r="F1525" i="2" s="1"/>
  <c r="E1533" i="2"/>
  <c r="F1533" i="2" s="1"/>
  <c r="E1541" i="2"/>
  <c r="F1541" i="2" s="1"/>
  <c r="E1549" i="2"/>
  <c r="F1549" i="2" s="1"/>
  <c r="E1557" i="2"/>
  <c r="F1557" i="2" s="1"/>
  <c r="E1565" i="2"/>
  <c r="F1565" i="2" s="1"/>
  <c r="E1573" i="2"/>
  <c r="F1573" i="2" s="1"/>
  <c r="E1581" i="2"/>
  <c r="F1581" i="2" s="1"/>
  <c r="E1589" i="2"/>
  <c r="F1589" i="2" s="1"/>
  <c r="E1605" i="2"/>
  <c r="F1605" i="2" s="1"/>
  <c r="E1613" i="2"/>
  <c r="F1613" i="2" s="1"/>
  <c r="E1621" i="2"/>
  <c r="F1621" i="2" s="1"/>
  <c r="E1629" i="2"/>
  <c r="F1629" i="2" s="1"/>
  <c r="E1637" i="2"/>
  <c r="F1637" i="2" s="1"/>
  <c r="E1645" i="2"/>
  <c r="F1645" i="2" s="1"/>
  <c r="E1653" i="2"/>
  <c r="F1653" i="2" s="1"/>
  <c r="E1661" i="2"/>
  <c r="F1661" i="2" s="1"/>
  <c r="E1669" i="2"/>
  <c r="F1669" i="2" s="1"/>
  <c r="E1677" i="2"/>
  <c r="F1677" i="2" s="1"/>
  <c r="E1685" i="2"/>
  <c r="F1685" i="2" s="1"/>
  <c r="E1693" i="2"/>
  <c r="F1693" i="2" s="1"/>
  <c r="E1701" i="2"/>
  <c r="F1701" i="2" s="1"/>
  <c r="E1709" i="2"/>
  <c r="F1709" i="2" s="1"/>
  <c r="E1717" i="2"/>
  <c r="F1717" i="2" s="1"/>
  <c r="E1725" i="2"/>
  <c r="F1725" i="2" s="1"/>
  <c r="E1733" i="2"/>
  <c r="F1733" i="2" s="1"/>
  <c r="E1741" i="2"/>
  <c r="F1741" i="2" s="1"/>
  <c r="E1749" i="2"/>
  <c r="F1749" i="2" s="1"/>
  <c r="E1757" i="2"/>
  <c r="F1757" i="2" s="1"/>
  <c r="E1765" i="2"/>
  <c r="F1765" i="2" s="1"/>
  <c r="E1773" i="2"/>
  <c r="F1773" i="2" s="1"/>
  <c r="E1781" i="2"/>
  <c r="F1781" i="2" s="1"/>
  <c r="E1789" i="2"/>
  <c r="F1789" i="2" s="1"/>
  <c r="E1797" i="2"/>
  <c r="F1797" i="2" s="1"/>
  <c r="E1805" i="2"/>
  <c r="F1805" i="2" s="1"/>
  <c r="E1813" i="2"/>
  <c r="F1813" i="2" s="1"/>
  <c r="E1821" i="2"/>
  <c r="F1821" i="2" s="1"/>
  <c r="E1829" i="2"/>
  <c r="F1829" i="2" s="1"/>
  <c r="E1837" i="2"/>
  <c r="F1837" i="2" s="1"/>
  <c r="E1845" i="2"/>
  <c r="F1845" i="2" s="1"/>
  <c r="E1853" i="2"/>
  <c r="F1853" i="2" s="1"/>
  <c r="E1861" i="2"/>
  <c r="F1861" i="2" s="1"/>
  <c r="E1869" i="2"/>
  <c r="F1869" i="2" s="1"/>
  <c r="E1877" i="2"/>
  <c r="F1877" i="2" s="1"/>
  <c r="E1893" i="2"/>
  <c r="F1893" i="2" s="1"/>
  <c r="E1901" i="2"/>
  <c r="F1901" i="2" s="1"/>
  <c r="E1917" i="2"/>
  <c r="F1917" i="2" s="1"/>
  <c r="E1925" i="2"/>
  <c r="F1925" i="2" s="1"/>
  <c r="E1933" i="2"/>
  <c r="F1933" i="2" s="1"/>
  <c r="E1941" i="2"/>
  <c r="F1941" i="2" s="1"/>
  <c r="E1949" i="2"/>
  <c r="F1949" i="2" s="1"/>
  <c r="E1957" i="2"/>
  <c r="F1957" i="2" s="1"/>
  <c r="E1965" i="2"/>
  <c r="F1965" i="2" s="1"/>
  <c r="E1973" i="2"/>
  <c r="F1973" i="2" s="1"/>
  <c r="E1981" i="2"/>
  <c r="F1981" i="2" s="1"/>
  <c r="E1989" i="2"/>
  <c r="F1989" i="2" s="1"/>
  <c r="E14" i="2"/>
  <c r="F14" i="2" s="1"/>
  <c r="E78" i="2"/>
  <c r="F78" i="2" s="1"/>
  <c r="E142" i="2"/>
  <c r="F142" i="2" s="1"/>
  <c r="E206" i="2"/>
  <c r="F206" i="2" s="1"/>
  <c r="E270" i="2"/>
  <c r="F270" i="2" s="1"/>
  <c r="E334" i="2"/>
  <c r="F334" i="2" s="1"/>
  <c r="E398" i="2"/>
  <c r="F398" i="2" s="1"/>
  <c r="E462" i="2"/>
  <c r="F462" i="2" s="1"/>
  <c r="E526" i="2"/>
  <c r="F526" i="2" s="1"/>
  <c r="E590" i="2"/>
  <c r="F590" i="2" s="1"/>
  <c r="E654" i="2"/>
  <c r="F654" i="2" s="1"/>
  <c r="E718" i="2"/>
  <c r="F718" i="2" s="1"/>
  <c r="E782" i="2"/>
  <c r="F782" i="2" s="1"/>
  <c r="E798" i="2"/>
  <c r="F798" i="2" s="1"/>
  <c r="E806" i="2"/>
  <c r="F806" i="2" s="1"/>
  <c r="E814" i="2"/>
  <c r="F814" i="2" s="1"/>
  <c r="E822" i="2"/>
  <c r="F822" i="2" s="1"/>
  <c r="E830" i="2"/>
  <c r="F830" i="2" s="1"/>
  <c r="E838" i="2"/>
  <c r="F838" i="2" s="1"/>
  <c r="E846" i="2"/>
  <c r="F846" i="2" s="1"/>
  <c r="E854" i="2"/>
  <c r="F854" i="2" s="1"/>
  <c r="E862" i="2"/>
  <c r="F862" i="2" s="1"/>
  <c r="E870" i="2"/>
  <c r="F870" i="2" s="1"/>
  <c r="E878" i="2"/>
  <c r="F878" i="2" s="1"/>
  <c r="E886" i="2"/>
  <c r="F886" i="2" s="1"/>
  <c r="E894" i="2"/>
  <c r="F894" i="2" s="1"/>
  <c r="E902" i="2"/>
  <c r="F902" i="2" s="1"/>
  <c r="E910" i="2"/>
  <c r="F910" i="2" s="1"/>
  <c r="E918" i="2"/>
  <c r="F918" i="2" s="1"/>
  <c r="E926" i="2"/>
  <c r="F926" i="2" s="1"/>
  <c r="E934" i="2"/>
  <c r="F934" i="2" s="1"/>
  <c r="E942" i="2"/>
  <c r="F942" i="2" s="1"/>
  <c r="E950" i="2"/>
  <c r="F950" i="2" s="1"/>
  <c r="E958" i="2"/>
  <c r="F958" i="2" s="1"/>
  <c r="E966" i="2"/>
  <c r="F966" i="2" s="1"/>
  <c r="E974" i="2"/>
  <c r="F974" i="2" s="1"/>
  <c r="E982" i="2"/>
  <c r="F982" i="2" s="1"/>
  <c r="E990" i="2"/>
  <c r="F990" i="2" s="1"/>
  <c r="E998" i="2"/>
  <c r="F998" i="2" s="1"/>
  <c r="E1006" i="2"/>
  <c r="F1006" i="2" s="1"/>
  <c r="E1014" i="2"/>
  <c r="F1014" i="2" s="1"/>
  <c r="E1022" i="2"/>
  <c r="F1022" i="2" s="1"/>
  <c r="E1030" i="2"/>
  <c r="F1030" i="2" s="1"/>
  <c r="E1038" i="2"/>
  <c r="F1038" i="2" s="1"/>
  <c r="E1046" i="2"/>
  <c r="F1046" i="2" s="1"/>
  <c r="E1054" i="2"/>
  <c r="F1054" i="2" s="1"/>
  <c r="E1062" i="2"/>
  <c r="F1062" i="2" s="1"/>
  <c r="E1070" i="2"/>
  <c r="F1070" i="2" s="1"/>
  <c r="E1078" i="2"/>
  <c r="F1078" i="2" s="1"/>
  <c r="E1086" i="2"/>
  <c r="F1086" i="2" s="1"/>
  <c r="E1094" i="2"/>
  <c r="F1094" i="2" s="1"/>
  <c r="E1102" i="2"/>
  <c r="F1102" i="2" s="1"/>
  <c r="E1110" i="2"/>
  <c r="F1110" i="2" s="1"/>
  <c r="E1118" i="2"/>
  <c r="F1118" i="2" s="1"/>
  <c r="E1126" i="2"/>
  <c r="F1126" i="2" s="1"/>
  <c r="E1134" i="2"/>
  <c r="F1134" i="2" s="1"/>
  <c r="E1142" i="2"/>
  <c r="F1142" i="2" s="1"/>
  <c r="E1150" i="2"/>
  <c r="F1150" i="2" s="1"/>
  <c r="E1158" i="2"/>
  <c r="F1158" i="2" s="1"/>
  <c r="E1166" i="2"/>
  <c r="F1166" i="2" s="1"/>
  <c r="E1174" i="2"/>
  <c r="F1174" i="2" s="1"/>
  <c r="E1182" i="2"/>
  <c r="F1182" i="2" s="1"/>
  <c r="E1190" i="2"/>
  <c r="F1190" i="2" s="1"/>
  <c r="E1198" i="2"/>
  <c r="F1198" i="2" s="1"/>
  <c r="E1206" i="2"/>
  <c r="F1206" i="2" s="1"/>
  <c r="E1214" i="2"/>
  <c r="F1214" i="2" s="1"/>
  <c r="E1222" i="2"/>
  <c r="F1222" i="2" s="1"/>
  <c r="E1230" i="2"/>
  <c r="F1230" i="2" s="1"/>
  <c r="E1238" i="2"/>
  <c r="F1238" i="2" s="1"/>
  <c r="E1246" i="2"/>
  <c r="F1246" i="2" s="1"/>
  <c r="E1254" i="2"/>
  <c r="F1254" i="2" s="1"/>
  <c r="E1262" i="2"/>
  <c r="F1262" i="2" s="1"/>
  <c r="E1270" i="2"/>
  <c r="F1270" i="2" s="1"/>
  <c r="E1278" i="2"/>
  <c r="F1278" i="2" s="1"/>
  <c r="E1286" i="2"/>
  <c r="F1286" i="2" s="1"/>
  <c r="E1294" i="2"/>
  <c r="F1294" i="2" s="1"/>
  <c r="E1302" i="2"/>
  <c r="F1302" i="2" s="1"/>
  <c r="E1310" i="2"/>
  <c r="F1310" i="2" s="1"/>
  <c r="E1318" i="2"/>
  <c r="F1318" i="2" s="1"/>
  <c r="E1326" i="2"/>
  <c r="F1326" i="2" s="1"/>
  <c r="E1334" i="2"/>
  <c r="F1334" i="2" s="1"/>
  <c r="E1342" i="2"/>
  <c r="F1342" i="2" s="1"/>
  <c r="E1350" i="2"/>
  <c r="F1350" i="2" s="1"/>
  <c r="E1358" i="2"/>
  <c r="F1358" i="2" s="1"/>
  <c r="E1366" i="2"/>
  <c r="F1366" i="2" s="1"/>
  <c r="E1374" i="2"/>
  <c r="F1374" i="2" s="1"/>
  <c r="E1382" i="2"/>
  <c r="F1382" i="2" s="1"/>
  <c r="E1390" i="2"/>
  <c r="F1390" i="2" s="1"/>
  <c r="E1398" i="2"/>
  <c r="F1398" i="2" s="1"/>
  <c r="E1406" i="2"/>
  <c r="F1406" i="2" s="1"/>
  <c r="E1414" i="2"/>
  <c r="F1414" i="2" s="1"/>
  <c r="E1422" i="2"/>
  <c r="F1422" i="2" s="1"/>
  <c r="E1430" i="2"/>
  <c r="F1430" i="2" s="1"/>
  <c r="E1438" i="2"/>
  <c r="F1438" i="2" s="1"/>
  <c r="E1446" i="2"/>
  <c r="F1446" i="2" s="1"/>
  <c r="E1454" i="2"/>
  <c r="F1454" i="2" s="1"/>
  <c r="E1462" i="2"/>
  <c r="F1462" i="2" s="1"/>
  <c r="E1470" i="2"/>
  <c r="F1470" i="2" s="1"/>
  <c r="E1478" i="2"/>
  <c r="F1478" i="2" s="1"/>
  <c r="E1486" i="2"/>
  <c r="F1486" i="2" s="1"/>
  <c r="E1494" i="2"/>
  <c r="F1494" i="2" s="1"/>
  <c r="E1502" i="2"/>
  <c r="F1502" i="2" s="1"/>
  <c r="E1510" i="2"/>
  <c r="F1510" i="2" s="1"/>
  <c r="E1518" i="2"/>
  <c r="F1518" i="2" s="1"/>
  <c r="E1526" i="2"/>
  <c r="F1526" i="2" s="1"/>
  <c r="E1534" i="2"/>
  <c r="F1534" i="2" s="1"/>
  <c r="E1542" i="2"/>
  <c r="F1542" i="2" s="1"/>
  <c r="E1550" i="2"/>
  <c r="F1550" i="2" s="1"/>
  <c r="E1558" i="2"/>
  <c r="F1558" i="2" s="1"/>
  <c r="E1566" i="2"/>
  <c r="F1566" i="2" s="1"/>
  <c r="E1582" i="2"/>
  <c r="F1582" i="2" s="1"/>
  <c r="E1590" i="2"/>
  <c r="F1590" i="2" s="1"/>
  <c r="E1606" i="2"/>
  <c r="F1606" i="2" s="1"/>
  <c r="E1614" i="2"/>
  <c r="F1614" i="2" s="1"/>
  <c r="E1622" i="2"/>
  <c r="F1622" i="2" s="1"/>
  <c r="E1630" i="2"/>
  <c r="F1630" i="2" s="1"/>
  <c r="E1638" i="2"/>
  <c r="F1638" i="2" s="1"/>
  <c r="E1646" i="2"/>
  <c r="F1646" i="2" s="1"/>
  <c r="E1654" i="2"/>
  <c r="F1654" i="2" s="1"/>
  <c r="E1662" i="2"/>
  <c r="F1662" i="2" s="1"/>
  <c r="E1670" i="2"/>
  <c r="F1670" i="2" s="1"/>
  <c r="E1678" i="2"/>
  <c r="F1678" i="2" s="1"/>
  <c r="E1686" i="2"/>
  <c r="F1686" i="2" s="1"/>
  <c r="E1694" i="2"/>
  <c r="F1694" i="2" s="1"/>
  <c r="E1702" i="2"/>
  <c r="F1702" i="2" s="1"/>
  <c r="E1710" i="2"/>
  <c r="F1710" i="2" s="1"/>
  <c r="E1718" i="2"/>
  <c r="F1718" i="2" s="1"/>
  <c r="E1726" i="2"/>
  <c r="F1726" i="2" s="1"/>
  <c r="E1734" i="2"/>
  <c r="F1734" i="2" s="1"/>
  <c r="E1742" i="2"/>
  <c r="F1742" i="2" s="1"/>
  <c r="E1750" i="2"/>
  <c r="F1750" i="2" s="1"/>
  <c r="E1758" i="2"/>
  <c r="F1758" i="2" s="1"/>
  <c r="E1766" i="2"/>
  <c r="F1766" i="2" s="1"/>
  <c r="E1774" i="2"/>
  <c r="F1774" i="2" s="1"/>
  <c r="E1782" i="2"/>
  <c r="F1782" i="2" s="1"/>
  <c r="E1790" i="2"/>
  <c r="F1790" i="2" s="1"/>
  <c r="E1798" i="2"/>
  <c r="F1798" i="2" s="1"/>
  <c r="E1806" i="2"/>
  <c r="F1806" i="2" s="1"/>
  <c r="E1814" i="2"/>
  <c r="F1814" i="2" s="1"/>
  <c r="E1822" i="2"/>
  <c r="F1822" i="2" s="1"/>
  <c r="E1830" i="2"/>
  <c r="F1830" i="2" s="1"/>
  <c r="E1838" i="2"/>
  <c r="F1838" i="2" s="1"/>
  <c r="E1846" i="2"/>
  <c r="F1846" i="2" s="1"/>
  <c r="E1854" i="2"/>
  <c r="F1854" i="2" s="1"/>
  <c r="E1862" i="2"/>
  <c r="F1862" i="2" s="1"/>
  <c r="E1870" i="2"/>
  <c r="F1870" i="2" s="1"/>
  <c r="E1878" i="2"/>
  <c r="F1878" i="2" s="1"/>
  <c r="E1894" i="2"/>
  <c r="F1894" i="2" s="1"/>
  <c r="E1902" i="2"/>
  <c r="F1902" i="2" s="1"/>
  <c r="E1918" i="2"/>
  <c r="F1918" i="2" s="1"/>
  <c r="E1926" i="2"/>
  <c r="F1926" i="2" s="1"/>
  <c r="E1934" i="2"/>
  <c r="F1934" i="2" s="1"/>
  <c r="E1942" i="2"/>
  <c r="F1942" i="2" s="1"/>
  <c r="E1950" i="2"/>
  <c r="F1950" i="2" s="1"/>
  <c r="E1958" i="2"/>
  <c r="F1958" i="2" s="1"/>
  <c r="E1966" i="2"/>
  <c r="F1966" i="2" s="1"/>
  <c r="E1974" i="2"/>
  <c r="F1974" i="2" s="1"/>
  <c r="E1982" i="2"/>
  <c r="F1982" i="2" s="1"/>
  <c r="E1990" i="2"/>
  <c r="F1990" i="2" s="1"/>
  <c r="E22" i="2"/>
  <c r="F22" i="2" s="1"/>
  <c r="E86" i="2"/>
  <c r="F86" i="2" s="1"/>
  <c r="E150" i="2"/>
  <c r="F150" i="2" s="1"/>
  <c r="E214" i="2"/>
  <c r="F214" i="2" s="1"/>
  <c r="E278" i="2"/>
  <c r="F278" i="2" s="1"/>
  <c r="E342" i="2"/>
  <c r="F342" i="2" s="1"/>
  <c r="E406" i="2"/>
  <c r="F406" i="2" s="1"/>
  <c r="E470" i="2"/>
  <c r="F470" i="2" s="1"/>
  <c r="E534" i="2"/>
  <c r="F534" i="2" s="1"/>
  <c r="E598" i="2"/>
  <c r="F598" i="2" s="1"/>
  <c r="E662" i="2"/>
  <c r="F662" i="2" s="1"/>
  <c r="E726" i="2"/>
  <c r="F726" i="2" s="1"/>
  <c r="E786" i="2"/>
  <c r="F786" i="2" s="1"/>
  <c r="E799" i="2"/>
  <c r="F799" i="2" s="1"/>
  <c r="E807" i="2"/>
  <c r="F807" i="2" s="1"/>
  <c r="E815" i="2"/>
  <c r="F815" i="2" s="1"/>
  <c r="E823" i="2"/>
  <c r="F823" i="2" s="1"/>
  <c r="E831" i="2"/>
  <c r="F831" i="2" s="1"/>
  <c r="E839" i="2"/>
  <c r="F839" i="2" s="1"/>
  <c r="E847" i="2"/>
  <c r="F847" i="2" s="1"/>
  <c r="E855" i="2"/>
  <c r="F855" i="2" s="1"/>
  <c r="E863" i="2"/>
  <c r="F863" i="2" s="1"/>
  <c r="E871" i="2"/>
  <c r="F871" i="2" s="1"/>
  <c r="E879" i="2"/>
  <c r="F879" i="2" s="1"/>
  <c r="E887" i="2"/>
  <c r="F887" i="2" s="1"/>
  <c r="E895" i="2"/>
  <c r="F895" i="2" s="1"/>
  <c r="E903" i="2"/>
  <c r="F903" i="2" s="1"/>
  <c r="E911" i="2"/>
  <c r="F911" i="2" s="1"/>
  <c r="E919" i="2"/>
  <c r="F919" i="2" s="1"/>
  <c r="E927" i="2"/>
  <c r="F927" i="2" s="1"/>
  <c r="E935" i="2"/>
  <c r="F935" i="2" s="1"/>
  <c r="E943" i="2"/>
  <c r="F943" i="2" s="1"/>
  <c r="E951" i="2"/>
  <c r="F951" i="2" s="1"/>
  <c r="E959" i="2"/>
  <c r="F959" i="2" s="1"/>
  <c r="E967" i="2"/>
  <c r="F967" i="2" s="1"/>
  <c r="E975" i="2"/>
  <c r="F975" i="2" s="1"/>
  <c r="E983" i="2"/>
  <c r="F983" i="2" s="1"/>
  <c r="E991" i="2"/>
  <c r="F991" i="2" s="1"/>
  <c r="E999" i="2"/>
  <c r="F999" i="2" s="1"/>
  <c r="E1007" i="2"/>
  <c r="F1007" i="2" s="1"/>
  <c r="E1015" i="2"/>
  <c r="F1015" i="2" s="1"/>
  <c r="E1023" i="2"/>
  <c r="F1023" i="2" s="1"/>
  <c r="E1031" i="2"/>
  <c r="F1031" i="2" s="1"/>
  <c r="E1039" i="2"/>
  <c r="F1039" i="2" s="1"/>
  <c r="E1047" i="2"/>
  <c r="F1047" i="2" s="1"/>
  <c r="E1055" i="2"/>
  <c r="F1055" i="2" s="1"/>
  <c r="E1063" i="2"/>
  <c r="F1063" i="2" s="1"/>
  <c r="E1071" i="2"/>
  <c r="F1071" i="2" s="1"/>
  <c r="E1079" i="2"/>
  <c r="F1079" i="2" s="1"/>
  <c r="E1087" i="2"/>
  <c r="F1087" i="2" s="1"/>
  <c r="E1095" i="2"/>
  <c r="F1095" i="2" s="1"/>
  <c r="E1103" i="2"/>
  <c r="F1103" i="2" s="1"/>
  <c r="E1111" i="2"/>
  <c r="F1111" i="2" s="1"/>
  <c r="E1119" i="2"/>
  <c r="F1119" i="2" s="1"/>
  <c r="E1127" i="2"/>
  <c r="F1127" i="2" s="1"/>
  <c r="E1135" i="2"/>
  <c r="F1135" i="2" s="1"/>
  <c r="E1143" i="2"/>
  <c r="F1143" i="2" s="1"/>
  <c r="E1151" i="2"/>
  <c r="F1151" i="2" s="1"/>
  <c r="E1159" i="2"/>
  <c r="F1159" i="2" s="1"/>
  <c r="E1167" i="2"/>
  <c r="F1167" i="2" s="1"/>
  <c r="E1175" i="2"/>
  <c r="F1175" i="2" s="1"/>
  <c r="E1183" i="2"/>
  <c r="F1183" i="2" s="1"/>
  <c r="E1191" i="2"/>
  <c r="F1191" i="2" s="1"/>
  <c r="E1199" i="2"/>
  <c r="F1199" i="2" s="1"/>
  <c r="E1207" i="2"/>
  <c r="F1207" i="2" s="1"/>
  <c r="E1215" i="2"/>
  <c r="F1215" i="2" s="1"/>
  <c r="E1223" i="2"/>
  <c r="F1223" i="2" s="1"/>
  <c r="E1231" i="2"/>
  <c r="F1231" i="2" s="1"/>
  <c r="E1239" i="2"/>
  <c r="F1239" i="2" s="1"/>
  <c r="E1247" i="2"/>
  <c r="F1247" i="2" s="1"/>
  <c r="E1255" i="2"/>
  <c r="F1255" i="2" s="1"/>
  <c r="E1263" i="2"/>
  <c r="F1263" i="2" s="1"/>
  <c r="E1271" i="2"/>
  <c r="F1271" i="2" s="1"/>
  <c r="E1279" i="2"/>
  <c r="F1279" i="2" s="1"/>
  <c r="E1287" i="2"/>
  <c r="F1287" i="2" s="1"/>
  <c r="E1295" i="2"/>
  <c r="F1295" i="2" s="1"/>
  <c r="E1303" i="2"/>
  <c r="F1303" i="2" s="1"/>
  <c r="E1311" i="2"/>
  <c r="F1311" i="2" s="1"/>
  <c r="E1319" i="2"/>
  <c r="F1319" i="2" s="1"/>
  <c r="E1327" i="2"/>
  <c r="F1327" i="2" s="1"/>
  <c r="E1335" i="2"/>
  <c r="F1335" i="2" s="1"/>
  <c r="E1343" i="2"/>
  <c r="F1343" i="2" s="1"/>
  <c r="E1351" i="2"/>
  <c r="F1351" i="2" s="1"/>
  <c r="E1359" i="2"/>
  <c r="F1359" i="2" s="1"/>
  <c r="E1367" i="2"/>
  <c r="F1367" i="2" s="1"/>
  <c r="E1375" i="2"/>
  <c r="F1375" i="2" s="1"/>
  <c r="E1383" i="2"/>
  <c r="F1383" i="2" s="1"/>
  <c r="E1391" i="2"/>
  <c r="F1391" i="2" s="1"/>
  <c r="E1399" i="2"/>
  <c r="F1399" i="2" s="1"/>
  <c r="E1407" i="2"/>
  <c r="F1407" i="2" s="1"/>
  <c r="E1415" i="2"/>
  <c r="F1415" i="2" s="1"/>
  <c r="E1423" i="2"/>
  <c r="F1423" i="2" s="1"/>
  <c r="E1431" i="2"/>
  <c r="F1431" i="2" s="1"/>
  <c r="E1439" i="2"/>
  <c r="F1439" i="2" s="1"/>
  <c r="E1447" i="2"/>
  <c r="F1447" i="2" s="1"/>
  <c r="E1455" i="2"/>
  <c r="F1455" i="2" s="1"/>
  <c r="E1463" i="2"/>
  <c r="F1463" i="2" s="1"/>
  <c r="E1471" i="2"/>
  <c r="F1471" i="2" s="1"/>
  <c r="E1479" i="2"/>
  <c r="F1479" i="2" s="1"/>
  <c r="E1487" i="2"/>
  <c r="F1487" i="2" s="1"/>
  <c r="E1495" i="2"/>
  <c r="F1495" i="2" s="1"/>
  <c r="E1503" i="2"/>
  <c r="F1503" i="2" s="1"/>
  <c r="E1511" i="2"/>
  <c r="F1511" i="2" s="1"/>
  <c r="E1519" i="2"/>
  <c r="F1519" i="2" s="1"/>
  <c r="E1527" i="2"/>
  <c r="F1527" i="2" s="1"/>
  <c r="E1535" i="2"/>
  <c r="F1535" i="2" s="1"/>
  <c r="E1543" i="2"/>
  <c r="F1543" i="2" s="1"/>
  <c r="E1551" i="2"/>
  <c r="F1551" i="2" s="1"/>
  <c r="E1559" i="2"/>
  <c r="F1559" i="2" s="1"/>
  <c r="E1567" i="2"/>
  <c r="F1567" i="2" s="1"/>
  <c r="E1583" i="2"/>
  <c r="F1583" i="2" s="1"/>
  <c r="E1591" i="2"/>
  <c r="F1591" i="2" s="1"/>
  <c r="E1607" i="2"/>
  <c r="F1607" i="2" s="1"/>
  <c r="E1615" i="2"/>
  <c r="F1615" i="2" s="1"/>
  <c r="E1623" i="2"/>
  <c r="F1623" i="2" s="1"/>
  <c r="E1631" i="2"/>
  <c r="F1631" i="2" s="1"/>
  <c r="E1639" i="2"/>
  <c r="F1639" i="2" s="1"/>
  <c r="E1647" i="2"/>
  <c r="F1647" i="2" s="1"/>
  <c r="E1655" i="2"/>
  <c r="F1655" i="2" s="1"/>
  <c r="E1663" i="2"/>
  <c r="F1663" i="2" s="1"/>
  <c r="E1671" i="2"/>
  <c r="F1671" i="2" s="1"/>
  <c r="E1679" i="2"/>
  <c r="F1679" i="2" s="1"/>
  <c r="E1687" i="2"/>
  <c r="F1687" i="2" s="1"/>
  <c r="E1695" i="2"/>
  <c r="F1695" i="2" s="1"/>
  <c r="E1703" i="2"/>
  <c r="F1703" i="2" s="1"/>
  <c r="E1711" i="2"/>
  <c r="F1711" i="2" s="1"/>
  <c r="E1719" i="2"/>
  <c r="F1719" i="2" s="1"/>
  <c r="E1727" i="2"/>
  <c r="F1727" i="2" s="1"/>
  <c r="E1735" i="2"/>
  <c r="F1735" i="2" s="1"/>
  <c r="E1743" i="2"/>
  <c r="F1743" i="2" s="1"/>
  <c r="E1751" i="2"/>
  <c r="F1751" i="2" s="1"/>
  <c r="E1759" i="2"/>
  <c r="F1759" i="2" s="1"/>
  <c r="E1767" i="2"/>
  <c r="F1767" i="2" s="1"/>
  <c r="E1775" i="2"/>
  <c r="F1775" i="2" s="1"/>
  <c r="E1783" i="2"/>
  <c r="F1783" i="2" s="1"/>
  <c r="E1791" i="2"/>
  <c r="F1791" i="2" s="1"/>
  <c r="E1799" i="2"/>
  <c r="F1799" i="2" s="1"/>
  <c r="E1807" i="2"/>
  <c r="F1807" i="2" s="1"/>
  <c r="E1815" i="2"/>
  <c r="F1815" i="2" s="1"/>
  <c r="E1823" i="2"/>
  <c r="F1823" i="2" s="1"/>
  <c r="E1831" i="2"/>
  <c r="F1831" i="2" s="1"/>
  <c r="E1839" i="2"/>
  <c r="F1839" i="2" s="1"/>
  <c r="E1847" i="2"/>
  <c r="F1847" i="2" s="1"/>
  <c r="E1855" i="2"/>
  <c r="F1855" i="2" s="1"/>
  <c r="E1863" i="2"/>
  <c r="F1863" i="2" s="1"/>
  <c r="E1871" i="2"/>
  <c r="F1871" i="2" s="1"/>
  <c r="E1879" i="2"/>
  <c r="F1879" i="2" s="1"/>
  <c r="E1895" i="2"/>
  <c r="F1895" i="2" s="1"/>
  <c r="E1903" i="2"/>
  <c r="F1903" i="2" s="1"/>
  <c r="E1919" i="2"/>
  <c r="F1919" i="2" s="1"/>
  <c r="E1927" i="2"/>
  <c r="F1927" i="2" s="1"/>
  <c r="E1943" i="2"/>
  <c r="F1943" i="2" s="1"/>
  <c r="E1951" i="2"/>
  <c r="F1951" i="2" s="1"/>
  <c r="E1959" i="2"/>
  <c r="F1959" i="2" s="1"/>
  <c r="E1967" i="2"/>
  <c r="F1967" i="2" s="1"/>
  <c r="E1975" i="2"/>
  <c r="F1975" i="2" s="1"/>
  <c r="E1983" i="2"/>
  <c r="F1983" i="2" s="1"/>
  <c r="E1991" i="2"/>
  <c r="F1991" i="2" s="1"/>
  <c r="E1999" i="2"/>
  <c r="F1999" i="2" s="1"/>
  <c r="E30" i="2"/>
  <c r="F30" i="2" s="1"/>
  <c r="E94" i="2"/>
  <c r="F94" i="2" s="1"/>
  <c r="E158" i="2"/>
  <c r="F158" i="2" s="1"/>
  <c r="E222" i="2"/>
  <c r="F222" i="2" s="1"/>
  <c r="E286" i="2"/>
  <c r="F286" i="2" s="1"/>
  <c r="E350" i="2"/>
  <c r="F350" i="2" s="1"/>
  <c r="E414" i="2"/>
  <c r="F414" i="2" s="1"/>
  <c r="E478" i="2"/>
  <c r="F478" i="2" s="1"/>
  <c r="E542" i="2"/>
  <c r="F542" i="2" s="1"/>
  <c r="E606" i="2"/>
  <c r="F606" i="2" s="1"/>
  <c r="E670" i="2"/>
  <c r="F670" i="2" s="1"/>
  <c r="E734" i="2"/>
  <c r="F734" i="2" s="1"/>
  <c r="E790" i="2"/>
  <c r="F790" i="2" s="1"/>
  <c r="E800" i="2"/>
  <c r="F800" i="2" s="1"/>
  <c r="E808" i="2"/>
  <c r="F808" i="2" s="1"/>
  <c r="E816" i="2"/>
  <c r="F816" i="2" s="1"/>
  <c r="E824" i="2"/>
  <c r="F824" i="2" s="1"/>
  <c r="E832" i="2"/>
  <c r="F832" i="2" s="1"/>
  <c r="E840" i="2"/>
  <c r="F840" i="2" s="1"/>
  <c r="E848" i="2"/>
  <c r="F848" i="2" s="1"/>
  <c r="E856" i="2"/>
  <c r="F856" i="2" s="1"/>
  <c r="E864" i="2"/>
  <c r="F864" i="2" s="1"/>
  <c r="E872" i="2"/>
  <c r="F872" i="2" s="1"/>
  <c r="E880" i="2"/>
  <c r="F880" i="2" s="1"/>
  <c r="E888" i="2"/>
  <c r="F888" i="2" s="1"/>
  <c r="E896" i="2"/>
  <c r="F896" i="2" s="1"/>
  <c r="E904" i="2"/>
  <c r="F904" i="2" s="1"/>
  <c r="E912" i="2"/>
  <c r="F912" i="2" s="1"/>
  <c r="E920" i="2"/>
  <c r="F920" i="2" s="1"/>
  <c r="E928" i="2"/>
  <c r="F928" i="2" s="1"/>
  <c r="E936" i="2"/>
  <c r="F936" i="2" s="1"/>
  <c r="E944" i="2"/>
  <c r="F944" i="2" s="1"/>
  <c r="E952" i="2"/>
  <c r="F952" i="2" s="1"/>
  <c r="E960" i="2"/>
  <c r="F960" i="2" s="1"/>
  <c r="E968" i="2"/>
  <c r="F968" i="2" s="1"/>
  <c r="E102" i="2"/>
  <c r="F102" i="2" s="1"/>
  <c r="E614" i="2"/>
  <c r="F614" i="2" s="1"/>
  <c r="E833" i="2"/>
  <c r="F833" i="2" s="1"/>
  <c r="E897" i="2"/>
  <c r="F897" i="2" s="1"/>
  <c r="E961" i="2"/>
  <c r="F961" i="2" s="1"/>
  <c r="E1000" i="2"/>
  <c r="F1000" i="2" s="1"/>
  <c r="E1032" i="2"/>
  <c r="F1032" i="2" s="1"/>
  <c r="E1064" i="2"/>
  <c r="F1064" i="2" s="1"/>
  <c r="E1096" i="2"/>
  <c r="F1096" i="2" s="1"/>
  <c r="E1128" i="2"/>
  <c r="F1128" i="2" s="1"/>
  <c r="E1160" i="2"/>
  <c r="F1160" i="2" s="1"/>
  <c r="E1192" i="2"/>
  <c r="F1192" i="2" s="1"/>
  <c r="E1224" i="2"/>
  <c r="F1224" i="2" s="1"/>
  <c r="E1256" i="2"/>
  <c r="F1256" i="2" s="1"/>
  <c r="E1288" i="2"/>
  <c r="F1288" i="2" s="1"/>
  <c r="E1320" i="2"/>
  <c r="F1320" i="2" s="1"/>
  <c r="E1352" i="2"/>
  <c r="F1352" i="2" s="1"/>
  <c r="E1384" i="2"/>
  <c r="F1384" i="2" s="1"/>
  <c r="E1416" i="2"/>
  <c r="F1416" i="2" s="1"/>
  <c r="E1448" i="2"/>
  <c r="F1448" i="2" s="1"/>
  <c r="E1480" i="2"/>
  <c r="F1480" i="2" s="1"/>
  <c r="E1512" i="2"/>
  <c r="F1512" i="2" s="1"/>
  <c r="E1544" i="2"/>
  <c r="F1544" i="2" s="1"/>
  <c r="E1593" i="2"/>
  <c r="F1593" i="2" s="1"/>
  <c r="E1609" i="2"/>
  <c r="F1609" i="2" s="1"/>
  <c r="E1641" i="2"/>
  <c r="F1641" i="2" s="1"/>
  <c r="E1673" i="2"/>
  <c r="F1673" i="2" s="1"/>
  <c r="E1705" i="2"/>
  <c r="F1705" i="2" s="1"/>
  <c r="E1737" i="2"/>
  <c r="F1737" i="2" s="1"/>
  <c r="E1769" i="2"/>
  <c r="F1769" i="2" s="1"/>
  <c r="E1801" i="2"/>
  <c r="F1801" i="2" s="1"/>
  <c r="E1833" i="2"/>
  <c r="F1833" i="2" s="1"/>
  <c r="E1865" i="2"/>
  <c r="F1865" i="2" s="1"/>
  <c r="E1921" i="2"/>
  <c r="F1921" i="2" s="1"/>
  <c r="E1952" i="2"/>
  <c r="F1952" i="2" s="1"/>
  <c r="E1984" i="2"/>
  <c r="F1984" i="2" s="1"/>
  <c r="E2001" i="2"/>
  <c r="F2001" i="2" s="1"/>
  <c r="E2009" i="2"/>
  <c r="F2009" i="2" s="1"/>
  <c r="E2017" i="2"/>
  <c r="F2017" i="2" s="1"/>
  <c r="E2025" i="2"/>
  <c r="F2025" i="2" s="1"/>
  <c r="E2033" i="2"/>
  <c r="F2033" i="2" s="1"/>
  <c r="E2041" i="2"/>
  <c r="F2041" i="2" s="1"/>
  <c r="E2049" i="2"/>
  <c r="F2049" i="2" s="1"/>
  <c r="E2057" i="2"/>
  <c r="F2057" i="2" s="1"/>
  <c r="E2065" i="2"/>
  <c r="F2065" i="2" s="1"/>
  <c r="E2073" i="2"/>
  <c r="F2073" i="2" s="1"/>
  <c r="E2089" i="2"/>
  <c r="F2089" i="2" s="1"/>
  <c r="E2097" i="2"/>
  <c r="F2097" i="2" s="1"/>
  <c r="E2105" i="2"/>
  <c r="F2105" i="2" s="1"/>
  <c r="E2113" i="2"/>
  <c r="F2113" i="2" s="1"/>
  <c r="E2121" i="2"/>
  <c r="F2121" i="2" s="1"/>
  <c r="E2129" i="2"/>
  <c r="F2129" i="2" s="1"/>
  <c r="E2137" i="2"/>
  <c r="F2137" i="2" s="1"/>
  <c r="E2145" i="2"/>
  <c r="F2145" i="2" s="1"/>
  <c r="E2153" i="2"/>
  <c r="F2153" i="2" s="1"/>
  <c r="E2161" i="2"/>
  <c r="F2161" i="2" s="1"/>
  <c r="E2169" i="2"/>
  <c r="F2169" i="2" s="1"/>
  <c r="E2177" i="2"/>
  <c r="F2177" i="2" s="1"/>
  <c r="E2185" i="2"/>
  <c r="F2185" i="2" s="1"/>
  <c r="E2193" i="2"/>
  <c r="F2193" i="2" s="1"/>
  <c r="E2201" i="2"/>
  <c r="F2201" i="2" s="1"/>
  <c r="E2209" i="2"/>
  <c r="F2209" i="2" s="1"/>
  <c r="E2217" i="2"/>
  <c r="F2217" i="2" s="1"/>
  <c r="E2233" i="2"/>
  <c r="F2233" i="2" s="1"/>
  <c r="E2241" i="2"/>
  <c r="F2241" i="2" s="1"/>
  <c r="E2257" i="2"/>
  <c r="F2257" i="2" s="1"/>
  <c r="E2265" i="2"/>
  <c r="F2265" i="2" s="1"/>
  <c r="E2273" i="2"/>
  <c r="F2273" i="2" s="1"/>
  <c r="E2281" i="2"/>
  <c r="F2281" i="2" s="1"/>
  <c r="E2289" i="2"/>
  <c r="F2289" i="2" s="1"/>
  <c r="E2297" i="2"/>
  <c r="F2297" i="2" s="1"/>
  <c r="E2305" i="2"/>
  <c r="F2305" i="2" s="1"/>
  <c r="E2313" i="2"/>
  <c r="F2313" i="2" s="1"/>
  <c r="E2321" i="2"/>
  <c r="F2321" i="2" s="1"/>
  <c r="E2329" i="2"/>
  <c r="F2329" i="2" s="1"/>
  <c r="E2337" i="2"/>
  <c r="F2337" i="2" s="1"/>
  <c r="E2345" i="2"/>
  <c r="F2345" i="2" s="1"/>
  <c r="E2353" i="2"/>
  <c r="F2353" i="2" s="1"/>
  <c r="E2361" i="2"/>
  <c r="F2361" i="2" s="1"/>
  <c r="E2369" i="2"/>
  <c r="F2369" i="2" s="1"/>
  <c r="E2377" i="2"/>
  <c r="F2377" i="2" s="1"/>
  <c r="E2385" i="2"/>
  <c r="F2385" i="2" s="1"/>
  <c r="E2393" i="2"/>
  <c r="F2393" i="2" s="1"/>
  <c r="E2401" i="2"/>
  <c r="F2401" i="2" s="1"/>
  <c r="E2409" i="2"/>
  <c r="F2409" i="2" s="1"/>
  <c r="E2417" i="2"/>
  <c r="F2417" i="2" s="1"/>
  <c r="E2425" i="2"/>
  <c r="F2425" i="2" s="1"/>
  <c r="E2433" i="2"/>
  <c r="F2433" i="2" s="1"/>
  <c r="E2449" i="2"/>
  <c r="F2449" i="2" s="1"/>
  <c r="E2457" i="2"/>
  <c r="F2457" i="2" s="1"/>
  <c r="E2473" i="2"/>
  <c r="F2473" i="2" s="1"/>
  <c r="E2481" i="2"/>
  <c r="F2481" i="2" s="1"/>
  <c r="E2497" i="2"/>
  <c r="F2497" i="2" s="1"/>
  <c r="E2505" i="2"/>
  <c r="F2505" i="2" s="1"/>
  <c r="E2529" i="2"/>
  <c r="F2529" i="2" s="1"/>
  <c r="E2545" i="2"/>
  <c r="F2545" i="2" s="1"/>
  <c r="E2553" i="2"/>
  <c r="F2553" i="2" s="1"/>
  <c r="E2561" i="2"/>
  <c r="F2561" i="2" s="1"/>
  <c r="E2569" i="2"/>
  <c r="F2569" i="2" s="1"/>
  <c r="E2577" i="2"/>
  <c r="F2577" i="2" s="1"/>
  <c r="E2585" i="2"/>
  <c r="F2585" i="2" s="1"/>
  <c r="E2593" i="2"/>
  <c r="F2593" i="2" s="1"/>
  <c r="E2601" i="2"/>
  <c r="F2601" i="2" s="1"/>
  <c r="E2609" i="2"/>
  <c r="F2609" i="2" s="1"/>
  <c r="E2617" i="2"/>
  <c r="F2617" i="2" s="1"/>
  <c r="E2625" i="2"/>
  <c r="F2625" i="2" s="1"/>
  <c r="E2633" i="2"/>
  <c r="F2633" i="2" s="1"/>
  <c r="E2641" i="2"/>
  <c r="F2641" i="2" s="1"/>
  <c r="E2649" i="2"/>
  <c r="F2649" i="2" s="1"/>
  <c r="E2657" i="2"/>
  <c r="F2657" i="2" s="1"/>
  <c r="E2665" i="2"/>
  <c r="F2665" i="2" s="1"/>
  <c r="E2673" i="2"/>
  <c r="F2673" i="2" s="1"/>
  <c r="E2681" i="2"/>
  <c r="F2681" i="2" s="1"/>
  <c r="E2689" i="2"/>
  <c r="F2689" i="2" s="1"/>
  <c r="E2697" i="2"/>
  <c r="F2697" i="2" s="1"/>
  <c r="E2713" i="2"/>
  <c r="F2713" i="2" s="1"/>
  <c r="E2721" i="2"/>
  <c r="F2721" i="2" s="1"/>
  <c r="E2729" i="2"/>
  <c r="F2729" i="2" s="1"/>
  <c r="E2737" i="2"/>
  <c r="F2737" i="2" s="1"/>
  <c r="E2745" i="2"/>
  <c r="F2745" i="2" s="1"/>
  <c r="E2753" i="2"/>
  <c r="F2753" i="2" s="1"/>
  <c r="E2761" i="2"/>
  <c r="F2761" i="2" s="1"/>
  <c r="E2769" i="2"/>
  <c r="F2769" i="2" s="1"/>
  <c r="E2785" i="2"/>
  <c r="F2785" i="2" s="1"/>
  <c r="E2793" i="2"/>
  <c r="F2793" i="2" s="1"/>
  <c r="E2809" i="2"/>
  <c r="F2809" i="2" s="1"/>
  <c r="E2817" i="2"/>
  <c r="F2817" i="2" s="1"/>
  <c r="E2833" i="2"/>
  <c r="F2833" i="2" s="1"/>
  <c r="E2841" i="2"/>
  <c r="F2841" i="2" s="1"/>
  <c r="E2857" i="2"/>
  <c r="F2857" i="2" s="1"/>
  <c r="E2865" i="2"/>
  <c r="F2865" i="2" s="1"/>
  <c r="E2881" i="2"/>
  <c r="F2881" i="2" s="1"/>
  <c r="E2889" i="2"/>
  <c r="F2889" i="2" s="1"/>
  <c r="E2929" i="2"/>
  <c r="F2929" i="2" s="1"/>
  <c r="E2937" i="2"/>
  <c r="F2937" i="2" s="1"/>
  <c r="E2945" i="2"/>
  <c r="F2945" i="2" s="1"/>
  <c r="E2953" i="2"/>
  <c r="F2953" i="2" s="1"/>
  <c r="E2961" i="2"/>
  <c r="F2961" i="2" s="1"/>
  <c r="E2969" i="2"/>
  <c r="F2969" i="2" s="1"/>
  <c r="E2977" i="2"/>
  <c r="F2977" i="2" s="1"/>
  <c r="E2985" i="2"/>
  <c r="F2985" i="2" s="1"/>
  <c r="E2993" i="2"/>
  <c r="F2993" i="2" s="1"/>
  <c r="E3001" i="2"/>
  <c r="F3001" i="2" s="1"/>
  <c r="E3009" i="2"/>
  <c r="F3009" i="2" s="1"/>
  <c r="E3017" i="2"/>
  <c r="F3017" i="2" s="1"/>
  <c r="E3025" i="2"/>
  <c r="F3025" i="2" s="1"/>
  <c r="E3033" i="2"/>
  <c r="F3033" i="2" s="1"/>
  <c r="E3041" i="2"/>
  <c r="F3041" i="2" s="1"/>
  <c r="E3049" i="2"/>
  <c r="F3049" i="2" s="1"/>
  <c r="E3057" i="2"/>
  <c r="F3057" i="2" s="1"/>
  <c r="E3073" i="2"/>
  <c r="F3073" i="2" s="1"/>
  <c r="E3081" i="2"/>
  <c r="F3081" i="2" s="1"/>
  <c r="E3097" i="2"/>
  <c r="F3097" i="2" s="1"/>
  <c r="E3105" i="2"/>
  <c r="F3105" i="2" s="1"/>
  <c r="E3121" i="2"/>
  <c r="F3121" i="2" s="1"/>
  <c r="E3129" i="2"/>
  <c r="F3129" i="2" s="1"/>
  <c r="E3137" i="2"/>
  <c r="F3137" i="2" s="1"/>
  <c r="E3145" i="2"/>
  <c r="F3145" i="2" s="1"/>
  <c r="E3153" i="2"/>
  <c r="F3153" i="2" s="1"/>
  <c r="E3161" i="2"/>
  <c r="F3161" i="2" s="1"/>
  <c r="E3169" i="2"/>
  <c r="F3169" i="2" s="1"/>
  <c r="E166" i="2"/>
  <c r="F166" i="2" s="1"/>
  <c r="E678" i="2"/>
  <c r="F678" i="2" s="1"/>
  <c r="E841" i="2"/>
  <c r="F841" i="2" s="1"/>
  <c r="E905" i="2"/>
  <c r="F905" i="2" s="1"/>
  <c r="E969" i="2"/>
  <c r="F969" i="2" s="1"/>
  <c r="E1001" i="2"/>
  <c r="F1001" i="2" s="1"/>
  <c r="E1033" i="2"/>
  <c r="F1033" i="2" s="1"/>
  <c r="E1065" i="2"/>
  <c r="F1065" i="2" s="1"/>
  <c r="E1097" i="2"/>
  <c r="F1097" i="2" s="1"/>
  <c r="E1129" i="2"/>
  <c r="F1129" i="2" s="1"/>
  <c r="E1161" i="2"/>
  <c r="F1161" i="2" s="1"/>
  <c r="E1193" i="2"/>
  <c r="F1193" i="2" s="1"/>
  <c r="E1225" i="2"/>
  <c r="F1225" i="2" s="1"/>
  <c r="E1257" i="2"/>
  <c r="F1257" i="2" s="1"/>
  <c r="E1289" i="2"/>
  <c r="F1289" i="2" s="1"/>
  <c r="E1321" i="2"/>
  <c r="F1321" i="2" s="1"/>
  <c r="E1353" i="2"/>
  <c r="F1353" i="2" s="1"/>
  <c r="E1385" i="2"/>
  <c r="F1385" i="2" s="1"/>
  <c r="E1417" i="2"/>
  <c r="F1417" i="2" s="1"/>
  <c r="E1449" i="2"/>
  <c r="F1449" i="2" s="1"/>
  <c r="E1481" i="2"/>
  <c r="F1481" i="2" s="1"/>
  <c r="E1513" i="2"/>
  <c r="F1513" i="2" s="1"/>
  <c r="E1545" i="2"/>
  <c r="F1545" i="2" s="1"/>
  <c r="E1616" i="2"/>
  <c r="F1616" i="2" s="1"/>
  <c r="E1648" i="2"/>
  <c r="F1648" i="2" s="1"/>
  <c r="E1680" i="2"/>
  <c r="F1680" i="2" s="1"/>
  <c r="E1712" i="2"/>
  <c r="F1712" i="2" s="1"/>
  <c r="E1744" i="2"/>
  <c r="F1744" i="2" s="1"/>
  <c r="E1776" i="2"/>
  <c r="F1776" i="2" s="1"/>
  <c r="E1808" i="2"/>
  <c r="F1808" i="2" s="1"/>
  <c r="E1840" i="2"/>
  <c r="F1840" i="2" s="1"/>
  <c r="E1872" i="2"/>
  <c r="F1872" i="2" s="1"/>
  <c r="E1928" i="2"/>
  <c r="F1928" i="2" s="1"/>
  <c r="E1953" i="2"/>
  <c r="F1953" i="2" s="1"/>
  <c r="E1985" i="2"/>
  <c r="F1985" i="2" s="1"/>
  <c r="E2002" i="2"/>
  <c r="F2002" i="2" s="1"/>
  <c r="E2010" i="2"/>
  <c r="F2010" i="2" s="1"/>
  <c r="E2018" i="2"/>
  <c r="F2018" i="2" s="1"/>
  <c r="E2026" i="2"/>
  <c r="F2026" i="2" s="1"/>
  <c r="E2034" i="2"/>
  <c r="F2034" i="2" s="1"/>
  <c r="E2042" i="2"/>
  <c r="F2042" i="2" s="1"/>
  <c r="E2050" i="2"/>
  <c r="F2050" i="2" s="1"/>
  <c r="E2058" i="2"/>
  <c r="F2058" i="2" s="1"/>
  <c r="E2066" i="2"/>
  <c r="F2066" i="2" s="1"/>
  <c r="E2074" i="2"/>
  <c r="F2074" i="2" s="1"/>
  <c r="E2090" i="2"/>
  <c r="F2090" i="2" s="1"/>
  <c r="E2098" i="2"/>
  <c r="F2098" i="2" s="1"/>
  <c r="E2106" i="2"/>
  <c r="F2106" i="2" s="1"/>
  <c r="E2114" i="2"/>
  <c r="F2114" i="2" s="1"/>
  <c r="E2122" i="2"/>
  <c r="F2122" i="2" s="1"/>
  <c r="E2130" i="2"/>
  <c r="F2130" i="2" s="1"/>
  <c r="E2138" i="2"/>
  <c r="F2138" i="2" s="1"/>
  <c r="E2146" i="2"/>
  <c r="F2146" i="2" s="1"/>
  <c r="E2154" i="2"/>
  <c r="F2154" i="2" s="1"/>
  <c r="E2162" i="2"/>
  <c r="F2162" i="2" s="1"/>
  <c r="E2170" i="2"/>
  <c r="F2170" i="2" s="1"/>
  <c r="E2178" i="2"/>
  <c r="F2178" i="2" s="1"/>
  <c r="E2186" i="2"/>
  <c r="F2186" i="2" s="1"/>
  <c r="E2194" i="2"/>
  <c r="F2194" i="2" s="1"/>
  <c r="E2202" i="2"/>
  <c r="F2202" i="2" s="1"/>
  <c r="E2210" i="2"/>
  <c r="F2210" i="2" s="1"/>
  <c r="E2218" i="2"/>
  <c r="F2218" i="2" s="1"/>
  <c r="E2234" i="2"/>
  <c r="F2234" i="2" s="1"/>
  <c r="E2242" i="2"/>
  <c r="F2242" i="2" s="1"/>
  <c r="E2258" i="2"/>
  <c r="F2258" i="2" s="1"/>
  <c r="E2266" i="2"/>
  <c r="F2266" i="2" s="1"/>
  <c r="E2274" i="2"/>
  <c r="F2274" i="2" s="1"/>
  <c r="E2282" i="2"/>
  <c r="F2282" i="2" s="1"/>
  <c r="E2290" i="2"/>
  <c r="F2290" i="2" s="1"/>
  <c r="E2298" i="2"/>
  <c r="F2298" i="2" s="1"/>
  <c r="E2306" i="2"/>
  <c r="F2306" i="2" s="1"/>
  <c r="E2314" i="2"/>
  <c r="F2314" i="2" s="1"/>
  <c r="E2322" i="2"/>
  <c r="F2322" i="2" s="1"/>
  <c r="E2330" i="2"/>
  <c r="F2330" i="2" s="1"/>
  <c r="E2338" i="2"/>
  <c r="F2338" i="2" s="1"/>
  <c r="E2346" i="2"/>
  <c r="F2346" i="2" s="1"/>
  <c r="E2354" i="2"/>
  <c r="F2354" i="2" s="1"/>
  <c r="E2362" i="2"/>
  <c r="F2362" i="2" s="1"/>
  <c r="E2370" i="2"/>
  <c r="F2370" i="2" s="1"/>
  <c r="E2378" i="2"/>
  <c r="F2378" i="2" s="1"/>
  <c r="E2386" i="2"/>
  <c r="F2386" i="2" s="1"/>
  <c r="E2394" i="2"/>
  <c r="F2394" i="2" s="1"/>
  <c r="E2402" i="2"/>
  <c r="F2402" i="2" s="1"/>
  <c r="E2410" i="2"/>
  <c r="F2410" i="2" s="1"/>
  <c r="E2418" i="2"/>
  <c r="F2418" i="2" s="1"/>
  <c r="E2426" i="2"/>
  <c r="F2426" i="2" s="1"/>
  <c r="E2434" i="2"/>
  <c r="F2434" i="2" s="1"/>
  <c r="E2450" i="2"/>
  <c r="F2450" i="2" s="1"/>
  <c r="E2458" i="2"/>
  <c r="F2458" i="2" s="1"/>
  <c r="E2466" i="2"/>
  <c r="F2466" i="2" s="1"/>
  <c r="E2474" i="2"/>
  <c r="F2474" i="2" s="1"/>
  <c r="E2482" i="2"/>
  <c r="F2482" i="2" s="1"/>
  <c r="E2490" i="2"/>
  <c r="F2490" i="2" s="1"/>
  <c r="E2498" i="2"/>
  <c r="F2498" i="2" s="1"/>
  <c r="E2522" i="2"/>
  <c r="F2522" i="2" s="1"/>
  <c r="E2546" i="2"/>
  <c r="F2546" i="2" s="1"/>
  <c r="E2554" i="2"/>
  <c r="F2554" i="2" s="1"/>
  <c r="E2562" i="2"/>
  <c r="F2562" i="2" s="1"/>
  <c r="E2570" i="2"/>
  <c r="F2570" i="2" s="1"/>
  <c r="E2578" i="2"/>
  <c r="F2578" i="2" s="1"/>
  <c r="E2586" i="2"/>
  <c r="F2586" i="2" s="1"/>
  <c r="E2594" i="2"/>
  <c r="F2594" i="2" s="1"/>
  <c r="E2602" i="2"/>
  <c r="F2602" i="2" s="1"/>
  <c r="E2610" i="2"/>
  <c r="F2610" i="2" s="1"/>
  <c r="E2618" i="2"/>
  <c r="F2618" i="2" s="1"/>
  <c r="E2626" i="2"/>
  <c r="F2626" i="2" s="1"/>
  <c r="E2634" i="2"/>
  <c r="F2634" i="2" s="1"/>
  <c r="E2642" i="2"/>
  <c r="F2642" i="2" s="1"/>
  <c r="E2650" i="2"/>
  <c r="F2650" i="2" s="1"/>
  <c r="E2666" i="2"/>
  <c r="F2666" i="2" s="1"/>
  <c r="E2674" i="2"/>
  <c r="F2674" i="2" s="1"/>
  <c r="E2682" i="2"/>
  <c r="F2682" i="2" s="1"/>
  <c r="E2690" i="2"/>
  <c r="F2690" i="2" s="1"/>
  <c r="E2698" i="2"/>
  <c r="F2698" i="2" s="1"/>
  <c r="E2706" i="2"/>
  <c r="F2706" i="2" s="1"/>
  <c r="E2714" i="2"/>
  <c r="F2714" i="2" s="1"/>
  <c r="E2722" i="2"/>
  <c r="F2722" i="2" s="1"/>
  <c r="E2730" i="2"/>
  <c r="F2730" i="2" s="1"/>
  <c r="E2738" i="2"/>
  <c r="F2738" i="2" s="1"/>
  <c r="E2746" i="2"/>
  <c r="F2746" i="2" s="1"/>
  <c r="E2754" i="2"/>
  <c r="F2754" i="2" s="1"/>
  <c r="E2762" i="2"/>
  <c r="F2762" i="2" s="1"/>
  <c r="E2770" i="2"/>
  <c r="F2770" i="2" s="1"/>
  <c r="E2786" i="2"/>
  <c r="F2786" i="2" s="1"/>
  <c r="E2794" i="2"/>
  <c r="F2794" i="2" s="1"/>
  <c r="E2810" i="2"/>
  <c r="F2810" i="2" s="1"/>
  <c r="E2818" i="2"/>
  <c r="F2818" i="2" s="1"/>
  <c r="E2834" i="2"/>
  <c r="F2834" i="2" s="1"/>
  <c r="E2842" i="2"/>
  <c r="F2842" i="2" s="1"/>
  <c r="E2858" i="2"/>
  <c r="F2858" i="2" s="1"/>
  <c r="E2866" i="2"/>
  <c r="F2866" i="2" s="1"/>
  <c r="E2882" i="2"/>
  <c r="F2882" i="2" s="1"/>
  <c r="E2930" i="2"/>
  <c r="F2930" i="2" s="1"/>
  <c r="E2938" i="2"/>
  <c r="F2938" i="2" s="1"/>
  <c r="E2946" i="2"/>
  <c r="F2946" i="2" s="1"/>
  <c r="E2954" i="2"/>
  <c r="F2954" i="2" s="1"/>
  <c r="E2962" i="2"/>
  <c r="F2962" i="2" s="1"/>
  <c r="E2970" i="2"/>
  <c r="F2970" i="2" s="1"/>
  <c r="E2978" i="2"/>
  <c r="F2978" i="2" s="1"/>
  <c r="E2986" i="2"/>
  <c r="F2986" i="2" s="1"/>
  <c r="E2994" i="2"/>
  <c r="F2994" i="2" s="1"/>
  <c r="E3002" i="2"/>
  <c r="F3002" i="2" s="1"/>
  <c r="E3010" i="2"/>
  <c r="F3010" i="2" s="1"/>
  <c r="E3018" i="2"/>
  <c r="F3018" i="2" s="1"/>
  <c r="E3026" i="2"/>
  <c r="F3026" i="2" s="1"/>
  <c r="E3034" i="2"/>
  <c r="F3034" i="2" s="1"/>
  <c r="E3042" i="2"/>
  <c r="F3042" i="2" s="1"/>
  <c r="E3050" i="2"/>
  <c r="F3050" i="2" s="1"/>
  <c r="E3058" i="2"/>
  <c r="F3058" i="2" s="1"/>
  <c r="E3074" i="2"/>
  <c r="F3074" i="2" s="1"/>
  <c r="E3082" i="2"/>
  <c r="F3082" i="2" s="1"/>
  <c r="E3090" i="2"/>
  <c r="F3090" i="2" s="1"/>
  <c r="E3098" i="2"/>
  <c r="F3098" i="2" s="1"/>
  <c r="E3106" i="2"/>
  <c r="F3106" i="2" s="1"/>
  <c r="E3122" i="2"/>
  <c r="F3122" i="2" s="1"/>
  <c r="E3130" i="2"/>
  <c r="F3130" i="2" s="1"/>
  <c r="E3138" i="2"/>
  <c r="F3138" i="2" s="1"/>
  <c r="E3146" i="2"/>
  <c r="F3146" i="2" s="1"/>
  <c r="E3154" i="2"/>
  <c r="F3154" i="2" s="1"/>
  <c r="E3162" i="2"/>
  <c r="F3162" i="2" s="1"/>
  <c r="E3170" i="2"/>
  <c r="F3170" i="2" s="1"/>
  <c r="E230" i="2"/>
  <c r="F230" i="2" s="1"/>
  <c r="E742" i="2"/>
  <c r="F742" i="2" s="1"/>
  <c r="E849" i="2"/>
  <c r="F849" i="2" s="1"/>
  <c r="E913" i="2"/>
  <c r="F913" i="2" s="1"/>
  <c r="E976" i="2"/>
  <c r="F976" i="2" s="1"/>
  <c r="E1008" i="2"/>
  <c r="F1008" i="2" s="1"/>
  <c r="E1040" i="2"/>
  <c r="F1040" i="2" s="1"/>
  <c r="E1072" i="2"/>
  <c r="F1072" i="2" s="1"/>
  <c r="E1104" i="2"/>
  <c r="F1104" i="2" s="1"/>
  <c r="E1136" i="2"/>
  <c r="F1136" i="2" s="1"/>
  <c r="E1168" i="2"/>
  <c r="F1168" i="2" s="1"/>
  <c r="E1200" i="2"/>
  <c r="F1200" i="2" s="1"/>
  <c r="E1232" i="2"/>
  <c r="F1232" i="2" s="1"/>
  <c r="E1264" i="2"/>
  <c r="F1264" i="2" s="1"/>
  <c r="E1296" i="2"/>
  <c r="F1296" i="2" s="1"/>
  <c r="E1328" i="2"/>
  <c r="F1328" i="2" s="1"/>
  <c r="E1360" i="2"/>
  <c r="F1360" i="2" s="1"/>
  <c r="E1392" i="2"/>
  <c r="F1392" i="2" s="1"/>
  <c r="E1424" i="2"/>
  <c r="F1424" i="2" s="1"/>
  <c r="E1456" i="2"/>
  <c r="F1456" i="2" s="1"/>
  <c r="E1488" i="2"/>
  <c r="F1488" i="2" s="1"/>
  <c r="E1520" i="2"/>
  <c r="F1520" i="2" s="1"/>
  <c r="E1552" i="2"/>
  <c r="F1552" i="2" s="1"/>
  <c r="E1617" i="2"/>
  <c r="F1617" i="2" s="1"/>
  <c r="E1649" i="2"/>
  <c r="F1649" i="2" s="1"/>
  <c r="E1681" i="2"/>
  <c r="F1681" i="2" s="1"/>
  <c r="E1713" i="2"/>
  <c r="F1713" i="2" s="1"/>
  <c r="E1745" i="2"/>
  <c r="F1745" i="2" s="1"/>
  <c r="E1777" i="2"/>
  <c r="F1777" i="2" s="1"/>
  <c r="E1809" i="2"/>
  <c r="F1809" i="2" s="1"/>
  <c r="E1841" i="2"/>
  <c r="F1841" i="2" s="1"/>
  <c r="E1873" i="2"/>
  <c r="F1873" i="2" s="1"/>
  <c r="E1929" i="2"/>
  <c r="F1929" i="2" s="1"/>
  <c r="E1992" i="2"/>
  <c r="F1992" i="2" s="1"/>
  <c r="E2003" i="2"/>
  <c r="F2003" i="2" s="1"/>
  <c r="E2011" i="2"/>
  <c r="F2011" i="2" s="1"/>
  <c r="E2019" i="2"/>
  <c r="F2019" i="2" s="1"/>
  <c r="E2027" i="2"/>
  <c r="F2027" i="2" s="1"/>
  <c r="E2035" i="2"/>
  <c r="F2035" i="2" s="1"/>
  <c r="E2043" i="2"/>
  <c r="F2043" i="2" s="1"/>
  <c r="E2051" i="2"/>
  <c r="F2051" i="2" s="1"/>
  <c r="E2059" i="2"/>
  <c r="F2059" i="2" s="1"/>
  <c r="E2067" i="2"/>
  <c r="F2067" i="2" s="1"/>
  <c r="E2075" i="2"/>
  <c r="F2075" i="2" s="1"/>
  <c r="E2091" i="2"/>
  <c r="F2091" i="2" s="1"/>
  <c r="E2099" i="2"/>
  <c r="F2099" i="2" s="1"/>
  <c r="E2107" i="2"/>
  <c r="F2107" i="2" s="1"/>
  <c r="E2115" i="2"/>
  <c r="F2115" i="2" s="1"/>
  <c r="E2123" i="2"/>
  <c r="F2123" i="2" s="1"/>
  <c r="E2131" i="2"/>
  <c r="F2131" i="2" s="1"/>
  <c r="E2139" i="2"/>
  <c r="F2139" i="2" s="1"/>
  <c r="E2147" i="2"/>
  <c r="F2147" i="2" s="1"/>
  <c r="E2155" i="2"/>
  <c r="F2155" i="2" s="1"/>
  <c r="E2163" i="2"/>
  <c r="F2163" i="2" s="1"/>
  <c r="E2171" i="2"/>
  <c r="F2171" i="2" s="1"/>
  <c r="E2179" i="2"/>
  <c r="F2179" i="2" s="1"/>
  <c r="E2187" i="2"/>
  <c r="F2187" i="2" s="1"/>
  <c r="E2195" i="2"/>
  <c r="F2195" i="2" s="1"/>
  <c r="E2203" i="2"/>
  <c r="F2203" i="2" s="1"/>
  <c r="E2211" i="2"/>
  <c r="F2211" i="2" s="1"/>
  <c r="E2219" i="2"/>
  <c r="F2219" i="2" s="1"/>
  <c r="E2235" i="2"/>
  <c r="F2235" i="2" s="1"/>
  <c r="E2259" i="2"/>
  <c r="F2259" i="2" s="1"/>
  <c r="E2267" i="2"/>
  <c r="F2267" i="2" s="1"/>
  <c r="E2275" i="2"/>
  <c r="F2275" i="2" s="1"/>
  <c r="E2283" i="2"/>
  <c r="F2283" i="2" s="1"/>
  <c r="E2291" i="2"/>
  <c r="F2291" i="2" s="1"/>
  <c r="E2299" i="2"/>
  <c r="F2299" i="2" s="1"/>
  <c r="E2307" i="2"/>
  <c r="F2307" i="2" s="1"/>
  <c r="E2315" i="2"/>
  <c r="F2315" i="2" s="1"/>
  <c r="E2323" i="2"/>
  <c r="F2323" i="2" s="1"/>
  <c r="E2331" i="2"/>
  <c r="F2331" i="2" s="1"/>
  <c r="E2339" i="2"/>
  <c r="F2339" i="2" s="1"/>
  <c r="E2347" i="2"/>
  <c r="F2347" i="2" s="1"/>
  <c r="E2355" i="2"/>
  <c r="F2355" i="2" s="1"/>
  <c r="E2363" i="2"/>
  <c r="F2363" i="2" s="1"/>
  <c r="E2371" i="2"/>
  <c r="F2371" i="2" s="1"/>
  <c r="E2379" i="2"/>
  <c r="F2379" i="2" s="1"/>
  <c r="E2387" i="2"/>
  <c r="F2387" i="2" s="1"/>
  <c r="E2395" i="2"/>
  <c r="F2395" i="2" s="1"/>
  <c r="E2403" i="2"/>
  <c r="F2403" i="2" s="1"/>
  <c r="E2411" i="2"/>
  <c r="F2411" i="2" s="1"/>
  <c r="E2419" i="2"/>
  <c r="F2419" i="2" s="1"/>
  <c r="E2427" i="2"/>
  <c r="F2427" i="2" s="1"/>
  <c r="E2435" i="2"/>
  <c r="F2435" i="2" s="1"/>
  <c r="E2451" i="2"/>
  <c r="F2451" i="2" s="1"/>
  <c r="E2459" i="2"/>
  <c r="F2459" i="2" s="1"/>
  <c r="E2467" i="2"/>
  <c r="F2467" i="2" s="1"/>
  <c r="E2475" i="2"/>
  <c r="F2475" i="2" s="1"/>
  <c r="E2483" i="2"/>
  <c r="F2483" i="2" s="1"/>
  <c r="E2491" i="2"/>
  <c r="F2491" i="2" s="1"/>
  <c r="E2499" i="2"/>
  <c r="F2499" i="2" s="1"/>
  <c r="E2523" i="2"/>
  <c r="F2523" i="2" s="1"/>
  <c r="E2547" i="2"/>
  <c r="F2547" i="2" s="1"/>
  <c r="E2555" i="2"/>
  <c r="F2555" i="2" s="1"/>
  <c r="E2563" i="2"/>
  <c r="F2563" i="2" s="1"/>
  <c r="E2571" i="2"/>
  <c r="F2571" i="2" s="1"/>
  <c r="E2579" i="2"/>
  <c r="F2579" i="2" s="1"/>
  <c r="E2587" i="2"/>
  <c r="F2587" i="2" s="1"/>
  <c r="E2595" i="2"/>
  <c r="F2595" i="2" s="1"/>
  <c r="E2603" i="2"/>
  <c r="F2603" i="2" s="1"/>
  <c r="E2611" i="2"/>
  <c r="F2611" i="2" s="1"/>
  <c r="E2619" i="2"/>
  <c r="F2619" i="2" s="1"/>
  <c r="E2627" i="2"/>
  <c r="F2627" i="2" s="1"/>
  <c r="E2635" i="2"/>
  <c r="F2635" i="2" s="1"/>
  <c r="E2643" i="2"/>
  <c r="F2643" i="2" s="1"/>
  <c r="E2651" i="2"/>
  <c r="F2651" i="2" s="1"/>
  <c r="E2667" i="2"/>
  <c r="F2667" i="2" s="1"/>
  <c r="E2675" i="2"/>
  <c r="F2675" i="2" s="1"/>
  <c r="E2683" i="2"/>
  <c r="F2683" i="2" s="1"/>
  <c r="E2691" i="2"/>
  <c r="F2691" i="2" s="1"/>
  <c r="E2699" i="2"/>
  <c r="F2699" i="2" s="1"/>
  <c r="E2707" i="2"/>
  <c r="F2707" i="2" s="1"/>
  <c r="E2715" i="2"/>
  <c r="F2715" i="2" s="1"/>
  <c r="E2723" i="2"/>
  <c r="F2723" i="2" s="1"/>
  <c r="E2731" i="2"/>
  <c r="F2731" i="2" s="1"/>
  <c r="E2739" i="2"/>
  <c r="F2739" i="2" s="1"/>
  <c r="E2747" i="2"/>
  <c r="F2747" i="2" s="1"/>
  <c r="E2755" i="2"/>
  <c r="F2755" i="2" s="1"/>
  <c r="E2763" i="2"/>
  <c r="F2763" i="2" s="1"/>
  <c r="E2771" i="2"/>
  <c r="F2771" i="2" s="1"/>
  <c r="E2779" i="2"/>
  <c r="F2779" i="2" s="1"/>
  <c r="E2787" i="2"/>
  <c r="F2787" i="2" s="1"/>
  <c r="E2795" i="2"/>
  <c r="F2795" i="2" s="1"/>
  <c r="E2811" i="2"/>
  <c r="F2811" i="2" s="1"/>
  <c r="E2835" i="2"/>
  <c r="F2835" i="2" s="1"/>
  <c r="E2843" i="2"/>
  <c r="F2843" i="2" s="1"/>
  <c r="E2859" i="2"/>
  <c r="F2859" i="2" s="1"/>
  <c r="E2867" i="2"/>
  <c r="F2867" i="2" s="1"/>
  <c r="E2883" i="2"/>
  <c r="F2883" i="2" s="1"/>
  <c r="E2931" i="2"/>
  <c r="F2931" i="2" s="1"/>
  <c r="E2939" i="2"/>
  <c r="F2939" i="2" s="1"/>
  <c r="E2947" i="2"/>
  <c r="F2947" i="2" s="1"/>
  <c r="E2955" i="2"/>
  <c r="F2955" i="2" s="1"/>
  <c r="E2963" i="2"/>
  <c r="F2963" i="2" s="1"/>
  <c r="E2971" i="2"/>
  <c r="F2971" i="2" s="1"/>
  <c r="E2979" i="2"/>
  <c r="F2979" i="2" s="1"/>
  <c r="E2987" i="2"/>
  <c r="F2987" i="2" s="1"/>
  <c r="E2995" i="2"/>
  <c r="F2995" i="2" s="1"/>
  <c r="E3003" i="2"/>
  <c r="F3003" i="2" s="1"/>
  <c r="E3011" i="2"/>
  <c r="F3011" i="2" s="1"/>
  <c r="E3019" i="2"/>
  <c r="F3019" i="2" s="1"/>
  <c r="E3027" i="2"/>
  <c r="F3027" i="2" s="1"/>
  <c r="E3035" i="2"/>
  <c r="F3035" i="2" s="1"/>
  <c r="E3043" i="2"/>
  <c r="F3043" i="2" s="1"/>
  <c r="E3051" i="2"/>
  <c r="F3051" i="2" s="1"/>
  <c r="E3059" i="2"/>
  <c r="F3059" i="2" s="1"/>
  <c r="E3075" i="2"/>
  <c r="F3075" i="2" s="1"/>
  <c r="E3083" i="2"/>
  <c r="F3083" i="2" s="1"/>
  <c r="E3091" i="2"/>
  <c r="F3091" i="2" s="1"/>
  <c r="E3099" i="2"/>
  <c r="F3099" i="2" s="1"/>
  <c r="E3107" i="2"/>
  <c r="F3107" i="2" s="1"/>
  <c r="E3115" i="2"/>
  <c r="F3115" i="2" s="1"/>
  <c r="E3123" i="2"/>
  <c r="F3123" i="2" s="1"/>
  <c r="E3131" i="2"/>
  <c r="F3131" i="2" s="1"/>
  <c r="E3139" i="2"/>
  <c r="F3139" i="2" s="1"/>
  <c r="E3147" i="2"/>
  <c r="F3147" i="2" s="1"/>
  <c r="E3155" i="2"/>
  <c r="F3155" i="2" s="1"/>
  <c r="E3163" i="2"/>
  <c r="F3163" i="2" s="1"/>
  <c r="E3171" i="2"/>
  <c r="F3171" i="2" s="1"/>
  <c r="E294" i="2"/>
  <c r="F294" i="2" s="1"/>
  <c r="E793" i="2"/>
  <c r="F793" i="2" s="1"/>
  <c r="E857" i="2"/>
  <c r="F857" i="2" s="1"/>
  <c r="E921" i="2"/>
  <c r="F921" i="2" s="1"/>
  <c r="E977" i="2"/>
  <c r="F977" i="2" s="1"/>
  <c r="E1009" i="2"/>
  <c r="F1009" i="2" s="1"/>
  <c r="E1041" i="2"/>
  <c r="F1041" i="2" s="1"/>
  <c r="E1073" i="2"/>
  <c r="F1073" i="2" s="1"/>
  <c r="E1105" i="2"/>
  <c r="F1105" i="2" s="1"/>
  <c r="E1137" i="2"/>
  <c r="F1137" i="2" s="1"/>
  <c r="E1169" i="2"/>
  <c r="F1169" i="2" s="1"/>
  <c r="E1201" i="2"/>
  <c r="F1201" i="2" s="1"/>
  <c r="E1233" i="2"/>
  <c r="F1233" i="2" s="1"/>
  <c r="E1265" i="2"/>
  <c r="F1265" i="2" s="1"/>
  <c r="E1297" i="2"/>
  <c r="F1297" i="2" s="1"/>
  <c r="E1329" i="2"/>
  <c r="F1329" i="2" s="1"/>
  <c r="E1361" i="2"/>
  <c r="F1361" i="2" s="1"/>
  <c r="E1393" i="2"/>
  <c r="F1393" i="2" s="1"/>
  <c r="E1425" i="2"/>
  <c r="F1425" i="2" s="1"/>
  <c r="E1457" i="2"/>
  <c r="F1457" i="2" s="1"/>
  <c r="E1489" i="2"/>
  <c r="F1489" i="2" s="1"/>
  <c r="E1521" i="2"/>
  <c r="F1521" i="2" s="1"/>
  <c r="E1553" i="2"/>
  <c r="F1553" i="2" s="1"/>
  <c r="E1656" i="2"/>
  <c r="F1656" i="2" s="1"/>
  <c r="E1688" i="2"/>
  <c r="F1688" i="2" s="1"/>
  <c r="E1720" i="2"/>
  <c r="F1720" i="2" s="1"/>
  <c r="E1752" i="2"/>
  <c r="F1752" i="2" s="1"/>
  <c r="E1784" i="2"/>
  <c r="F1784" i="2" s="1"/>
  <c r="E1816" i="2"/>
  <c r="F1816" i="2" s="1"/>
  <c r="E1848" i="2"/>
  <c r="F1848" i="2" s="1"/>
  <c r="E1880" i="2"/>
  <c r="F1880" i="2" s="1"/>
  <c r="E1896" i="2"/>
  <c r="F1896" i="2" s="1"/>
  <c r="E1993" i="2"/>
  <c r="F1993" i="2" s="1"/>
  <c r="E2004" i="2"/>
  <c r="F2004" i="2" s="1"/>
  <c r="E2012" i="2"/>
  <c r="F2012" i="2" s="1"/>
  <c r="E2020" i="2"/>
  <c r="F2020" i="2" s="1"/>
  <c r="E2028" i="2"/>
  <c r="F2028" i="2" s="1"/>
  <c r="E2036" i="2"/>
  <c r="F2036" i="2" s="1"/>
  <c r="E2044" i="2"/>
  <c r="F2044" i="2" s="1"/>
  <c r="E2052" i="2"/>
  <c r="F2052" i="2" s="1"/>
  <c r="E2060" i="2"/>
  <c r="F2060" i="2" s="1"/>
  <c r="E2068" i="2"/>
  <c r="F2068" i="2" s="1"/>
  <c r="E2076" i="2"/>
  <c r="F2076" i="2" s="1"/>
  <c r="E2084" i="2"/>
  <c r="F2084" i="2" s="1"/>
  <c r="E2092" i="2"/>
  <c r="F2092" i="2" s="1"/>
  <c r="E2100" i="2"/>
  <c r="F2100" i="2" s="1"/>
  <c r="E2108" i="2"/>
  <c r="F2108" i="2" s="1"/>
  <c r="E2116" i="2"/>
  <c r="F2116" i="2" s="1"/>
  <c r="E2124" i="2"/>
  <c r="F2124" i="2" s="1"/>
  <c r="E2132" i="2"/>
  <c r="F2132" i="2" s="1"/>
  <c r="E2140" i="2"/>
  <c r="F2140" i="2" s="1"/>
  <c r="E2148" i="2"/>
  <c r="F2148" i="2" s="1"/>
  <c r="E2156" i="2"/>
  <c r="F2156" i="2" s="1"/>
  <c r="E2164" i="2"/>
  <c r="F2164" i="2" s="1"/>
  <c r="E2172" i="2"/>
  <c r="F2172" i="2" s="1"/>
  <c r="E2180" i="2"/>
  <c r="F2180" i="2" s="1"/>
  <c r="E2188" i="2"/>
  <c r="F2188" i="2" s="1"/>
  <c r="E2196" i="2"/>
  <c r="F2196" i="2" s="1"/>
  <c r="E2204" i="2"/>
  <c r="F2204" i="2" s="1"/>
  <c r="E2212" i="2"/>
  <c r="F2212" i="2" s="1"/>
  <c r="E2220" i="2"/>
  <c r="F2220" i="2" s="1"/>
  <c r="E2228" i="2"/>
  <c r="F2228" i="2" s="1"/>
  <c r="E2236" i="2"/>
  <c r="F2236" i="2" s="1"/>
  <c r="E2252" i="2"/>
  <c r="F2252" i="2" s="1"/>
  <c r="E2260" i="2"/>
  <c r="F2260" i="2" s="1"/>
  <c r="E2268" i="2"/>
  <c r="F2268" i="2" s="1"/>
  <c r="E2276" i="2"/>
  <c r="F2276" i="2" s="1"/>
  <c r="E2284" i="2"/>
  <c r="F2284" i="2" s="1"/>
  <c r="E2292" i="2"/>
  <c r="F2292" i="2" s="1"/>
  <c r="E2300" i="2"/>
  <c r="F2300" i="2" s="1"/>
  <c r="E2308" i="2"/>
  <c r="F2308" i="2" s="1"/>
  <c r="E2316" i="2"/>
  <c r="F2316" i="2" s="1"/>
  <c r="E2324" i="2"/>
  <c r="F2324" i="2" s="1"/>
  <c r="E2332" i="2"/>
  <c r="F2332" i="2" s="1"/>
  <c r="E2340" i="2"/>
  <c r="F2340" i="2" s="1"/>
  <c r="E2348" i="2"/>
  <c r="F2348" i="2" s="1"/>
  <c r="E2356" i="2"/>
  <c r="F2356" i="2" s="1"/>
  <c r="E2364" i="2"/>
  <c r="F2364" i="2" s="1"/>
  <c r="E2372" i="2"/>
  <c r="F2372" i="2" s="1"/>
  <c r="E2380" i="2"/>
  <c r="F2380" i="2" s="1"/>
  <c r="E2388" i="2"/>
  <c r="F2388" i="2" s="1"/>
  <c r="E2396" i="2"/>
  <c r="F2396" i="2" s="1"/>
  <c r="E2404" i="2"/>
  <c r="F2404" i="2" s="1"/>
  <c r="E2412" i="2"/>
  <c r="F2412" i="2" s="1"/>
  <c r="E2420" i="2"/>
  <c r="F2420" i="2" s="1"/>
  <c r="E2428" i="2"/>
  <c r="F2428" i="2" s="1"/>
  <c r="E2436" i="2"/>
  <c r="F2436" i="2" s="1"/>
  <c r="E2452" i="2"/>
  <c r="F2452" i="2" s="1"/>
  <c r="E2468" i="2"/>
  <c r="F2468" i="2" s="1"/>
  <c r="E2476" i="2"/>
  <c r="F2476" i="2" s="1"/>
  <c r="E2484" i="2"/>
  <c r="F2484" i="2" s="1"/>
  <c r="E2492" i="2"/>
  <c r="F2492" i="2" s="1"/>
  <c r="E2500" i="2"/>
  <c r="F2500" i="2" s="1"/>
  <c r="E2524" i="2"/>
  <c r="F2524" i="2" s="1"/>
  <c r="E2548" i="2"/>
  <c r="F2548" i="2" s="1"/>
  <c r="E2556" i="2"/>
  <c r="F2556" i="2" s="1"/>
  <c r="E2564" i="2"/>
  <c r="F2564" i="2" s="1"/>
  <c r="E2572" i="2"/>
  <c r="F2572" i="2" s="1"/>
  <c r="E2580" i="2"/>
  <c r="F2580" i="2" s="1"/>
  <c r="E2588" i="2"/>
  <c r="F2588" i="2" s="1"/>
  <c r="E2596" i="2"/>
  <c r="F2596" i="2" s="1"/>
  <c r="E2604" i="2"/>
  <c r="F2604" i="2" s="1"/>
  <c r="E2612" i="2"/>
  <c r="F2612" i="2" s="1"/>
  <c r="E2620" i="2"/>
  <c r="F2620" i="2" s="1"/>
  <c r="E2628" i="2"/>
  <c r="F2628" i="2" s="1"/>
  <c r="E2636" i="2"/>
  <c r="F2636" i="2" s="1"/>
  <c r="E2644" i="2"/>
  <c r="F2644" i="2" s="1"/>
  <c r="E2652" i="2"/>
  <c r="F2652" i="2" s="1"/>
  <c r="E2660" i="2"/>
  <c r="F2660" i="2" s="1"/>
  <c r="E2668" i="2"/>
  <c r="F2668" i="2" s="1"/>
  <c r="E2676" i="2"/>
  <c r="F2676" i="2" s="1"/>
  <c r="E2684" i="2"/>
  <c r="F2684" i="2" s="1"/>
  <c r="E2692" i="2"/>
  <c r="F2692" i="2" s="1"/>
  <c r="E2700" i="2"/>
  <c r="F2700" i="2" s="1"/>
  <c r="E2708" i="2"/>
  <c r="F2708" i="2" s="1"/>
  <c r="E2716" i="2"/>
  <c r="F2716" i="2" s="1"/>
  <c r="E2724" i="2"/>
  <c r="F2724" i="2" s="1"/>
  <c r="E2732" i="2"/>
  <c r="F2732" i="2" s="1"/>
  <c r="E2740" i="2"/>
  <c r="F2740" i="2" s="1"/>
  <c r="E2748" i="2"/>
  <c r="F2748" i="2" s="1"/>
  <c r="E2756" i="2"/>
  <c r="F2756" i="2" s="1"/>
  <c r="E2764" i="2"/>
  <c r="F2764" i="2" s="1"/>
  <c r="E2772" i="2"/>
  <c r="F2772" i="2" s="1"/>
  <c r="E2780" i="2"/>
  <c r="F2780" i="2" s="1"/>
  <c r="E2788" i="2"/>
  <c r="F2788" i="2" s="1"/>
  <c r="E2796" i="2"/>
  <c r="F2796" i="2" s="1"/>
  <c r="E2812" i="2"/>
  <c r="F2812" i="2" s="1"/>
  <c r="E2836" i="2"/>
  <c r="F2836" i="2" s="1"/>
  <c r="E2860" i="2"/>
  <c r="F2860" i="2" s="1"/>
  <c r="E2884" i="2"/>
  <c r="F2884" i="2" s="1"/>
  <c r="E2908" i="2"/>
  <c r="F2908" i="2" s="1"/>
  <c r="E2924" i="2"/>
  <c r="F2924" i="2" s="1"/>
  <c r="E2932" i="2"/>
  <c r="F2932" i="2" s="1"/>
  <c r="E2940" i="2"/>
  <c r="F2940" i="2" s="1"/>
  <c r="E2948" i="2"/>
  <c r="F2948" i="2" s="1"/>
  <c r="E2956" i="2"/>
  <c r="F2956" i="2" s="1"/>
  <c r="E2964" i="2"/>
  <c r="F2964" i="2" s="1"/>
  <c r="E2972" i="2"/>
  <c r="F2972" i="2" s="1"/>
  <c r="E2980" i="2"/>
  <c r="F2980" i="2" s="1"/>
  <c r="E2988" i="2"/>
  <c r="F2988" i="2" s="1"/>
  <c r="E2996" i="2"/>
  <c r="F2996" i="2" s="1"/>
  <c r="E3004" i="2"/>
  <c r="F3004" i="2" s="1"/>
  <c r="E3012" i="2"/>
  <c r="F3012" i="2" s="1"/>
  <c r="E3020" i="2"/>
  <c r="F3020" i="2" s="1"/>
  <c r="E3028" i="2"/>
  <c r="F3028" i="2" s="1"/>
  <c r="E3036" i="2"/>
  <c r="F3036" i="2" s="1"/>
  <c r="E3044" i="2"/>
  <c r="F3044" i="2" s="1"/>
  <c r="E3052" i="2"/>
  <c r="F3052" i="2" s="1"/>
  <c r="E3060" i="2"/>
  <c r="F3060" i="2" s="1"/>
  <c r="E3068" i="2"/>
  <c r="F3068" i="2" s="1"/>
  <c r="E3076" i="2"/>
  <c r="F3076" i="2" s="1"/>
  <c r="E3084" i="2"/>
  <c r="F3084" i="2" s="1"/>
  <c r="E3092" i="2"/>
  <c r="F3092" i="2" s="1"/>
  <c r="E3100" i="2"/>
  <c r="F3100" i="2" s="1"/>
  <c r="E3108" i="2"/>
  <c r="F3108" i="2" s="1"/>
  <c r="E3116" i="2"/>
  <c r="F3116" i="2" s="1"/>
  <c r="E3124" i="2"/>
  <c r="F3124" i="2" s="1"/>
  <c r="E3132" i="2"/>
  <c r="F3132" i="2" s="1"/>
  <c r="E3140" i="2"/>
  <c r="F3140" i="2" s="1"/>
  <c r="E3148" i="2"/>
  <c r="F3148" i="2" s="1"/>
  <c r="E3156" i="2"/>
  <c r="F3156" i="2" s="1"/>
  <c r="E3164" i="2"/>
  <c r="F3164" i="2" s="1"/>
  <c r="E3172" i="2"/>
  <c r="F3172" i="2" s="1"/>
  <c r="E358" i="2"/>
  <c r="F358" i="2" s="1"/>
  <c r="E801" i="2"/>
  <c r="F801" i="2" s="1"/>
  <c r="E865" i="2"/>
  <c r="F865" i="2" s="1"/>
  <c r="E929" i="2"/>
  <c r="F929" i="2" s="1"/>
  <c r="E984" i="2"/>
  <c r="F984" i="2" s="1"/>
  <c r="E1016" i="2"/>
  <c r="F1016" i="2" s="1"/>
  <c r="E1048" i="2"/>
  <c r="F1048" i="2" s="1"/>
  <c r="E1080" i="2"/>
  <c r="F1080" i="2" s="1"/>
  <c r="E1112" i="2"/>
  <c r="F1112" i="2" s="1"/>
  <c r="E1144" i="2"/>
  <c r="F1144" i="2" s="1"/>
  <c r="E1176" i="2"/>
  <c r="F1176" i="2" s="1"/>
  <c r="E1208" i="2"/>
  <c r="F1208" i="2" s="1"/>
  <c r="E1240" i="2"/>
  <c r="F1240" i="2" s="1"/>
  <c r="E1272" i="2"/>
  <c r="F1272" i="2" s="1"/>
  <c r="E1304" i="2"/>
  <c r="F1304" i="2" s="1"/>
  <c r="E1336" i="2"/>
  <c r="F1336" i="2" s="1"/>
  <c r="E1368" i="2"/>
  <c r="F1368" i="2" s="1"/>
  <c r="E1400" i="2"/>
  <c r="F1400" i="2" s="1"/>
  <c r="E1432" i="2"/>
  <c r="F1432" i="2" s="1"/>
  <c r="E1464" i="2"/>
  <c r="F1464" i="2" s="1"/>
  <c r="E1496" i="2"/>
  <c r="F1496" i="2" s="1"/>
  <c r="E1528" i="2"/>
  <c r="F1528" i="2" s="1"/>
  <c r="E1560" i="2"/>
  <c r="F1560" i="2" s="1"/>
  <c r="E1625" i="2"/>
  <c r="F1625" i="2" s="1"/>
  <c r="E1657" i="2"/>
  <c r="F1657" i="2" s="1"/>
  <c r="E1689" i="2"/>
  <c r="F1689" i="2" s="1"/>
  <c r="E1721" i="2"/>
  <c r="F1721" i="2" s="1"/>
  <c r="E1753" i="2"/>
  <c r="F1753" i="2" s="1"/>
  <c r="E1785" i="2"/>
  <c r="F1785" i="2" s="1"/>
  <c r="E1817" i="2"/>
  <c r="F1817" i="2" s="1"/>
  <c r="E1849" i="2"/>
  <c r="F1849" i="2" s="1"/>
  <c r="E1881" i="2"/>
  <c r="F1881" i="2" s="1"/>
  <c r="E1897" i="2"/>
  <c r="F1897" i="2" s="1"/>
  <c r="E1968" i="2"/>
  <c r="F1968" i="2" s="1"/>
  <c r="E1996" i="2"/>
  <c r="F1996" i="2" s="1"/>
  <c r="E2005" i="2"/>
  <c r="F2005" i="2" s="1"/>
  <c r="E2013" i="2"/>
  <c r="F2013" i="2" s="1"/>
  <c r="E2021" i="2"/>
  <c r="F2021" i="2" s="1"/>
  <c r="E2029" i="2"/>
  <c r="F2029" i="2" s="1"/>
  <c r="E2037" i="2"/>
  <c r="F2037" i="2" s="1"/>
  <c r="E2045" i="2"/>
  <c r="F2045" i="2" s="1"/>
  <c r="E2053" i="2"/>
  <c r="F2053" i="2" s="1"/>
  <c r="E2061" i="2"/>
  <c r="F2061" i="2" s="1"/>
  <c r="E2069" i="2"/>
  <c r="F2069" i="2" s="1"/>
  <c r="E2077" i="2"/>
  <c r="F2077" i="2" s="1"/>
  <c r="E2085" i="2"/>
  <c r="F2085" i="2" s="1"/>
  <c r="E2093" i="2"/>
  <c r="F2093" i="2" s="1"/>
  <c r="E2101" i="2"/>
  <c r="F2101" i="2" s="1"/>
  <c r="E2109" i="2"/>
  <c r="F2109" i="2" s="1"/>
  <c r="E2117" i="2"/>
  <c r="F2117" i="2" s="1"/>
  <c r="E2125" i="2"/>
  <c r="F2125" i="2" s="1"/>
  <c r="E2133" i="2"/>
  <c r="F2133" i="2" s="1"/>
  <c r="E2141" i="2"/>
  <c r="F2141" i="2" s="1"/>
  <c r="E2149" i="2"/>
  <c r="F2149" i="2" s="1"/>
  <c r="E2157" i="2"/>
  <c r="F2157" i="2" s="1"/>
  <c r="E2165" i="2"/>
  <c r="F2165" i="2" s="1"/>
  <c r="E2173" i="2"/>
  <c r="F2173" i="2" s="1"/>
  <c r="E2181" i="2"/>
  <c r="F2181" i="2" s="1"/>
  <c r="E2189" i="2"/>
  <c r="F2189" i="2" s="1"/>
  <c r="E2197" i="2"/>
  <c r="F2197" i="2" s="1"/>
  <c r="E2205" i="2"/>
  <c r="F2205" i="2" s="1"/>
  <c r="E2213" i="2"/>
  <c r="F2213" i="2" s="1"/>
  <c r="E2229" i="2"/>
  <c r="F2229" i="2" s="1"/>
  <c r="E2237" i="2"/>
  <c r="F2237" i="2" s="1"/>
  <c r="E2253" i="2"/>
  <c r="F2253" i="2" s="1"/>
  <c r="E2261" i="2"/>
  <c r="F2261" i="2" s="1"/>
  <c r="E2269" i="2"/>
  <c r="F2269" i="2" s="1"/>
  <c r="E2277" i="2"/>
  <c r="F2277" i="2" s="1"/>
  <c r="E2285" i="2"/>
  <c r="F2285" i="2" s="1"/>
  <c r="E2293" i="2"/>
  <c r="F2293" i="2" s="1"/>
  <c r="E2301" i="2"/>
  <c r="F2301" i="2" s="1"/>
  <c r="E2309" i="2"/>
  <c r="F2309" i="2" s="1"/>
  <c r="E2317" i="2"/>
  <c r="F2317" i="2" s="1"/>
  <c r="E2325" i="2"/>
  <c r="F2325" i="2" s="1"/>
  <c r="E2333" i="2"/>
  <c r="F2333" i="2" s="1"/>
  <c r="E2341" i="2"/>
  <c r="F2341" i="2" s="1"/>
  <c r="E2349" i="2"/>
  <c r="F2349" i="2" s="1"/>
  <c r="E2357" i="2"/>
  <c r="F2357" i="2" s="1"/>
  <c r="E2365" i="2"/>
  <c r="F2365" i="2" s="1"/>
  <c r="E2373" i="2"/>
  <c r="F2373" i="2" s="1"/>
  <c r="E2381" i="2"/>
  <c r="F2381" i="2" s="1"/>
  <c r="E2389" i="2"/>
  <c r="F2389" i="2" s="1"/>
  <c r="E2397" i="2"/>
  <c r="F2397" i="2" s="1"/>
  <c r="E2405" i="2"/>
  <c r="F2405" i="2" s="1"/>
  <c r="E2413" i="2"/>
  <c r="F2413" i="2" s="1"/>
  <c r="E2421" i="2"/>
  <c r="F2421" i="2" s="1"/>
  <c r="E2429" i="2"/>
  <c r="F2429" i="2" s="1"/>
  <c r="E2437" i="2"/>
  <c r="F2437" i="2" s="1"/>
  <c r="E2445" i="2"/>
  <c r="F2445" i="2" s="1"/>
  <c r="E2453" i="2"/>
  <c r="F2453" i="2" s="1"/>
  <c r="E2461" i="2"/>
  <c r="F2461" i="2" s="1"/>
  <c r="E2469" i="2"/>
  <c r="F2469" i="2" s="1"/>
  <c r="E2477" i="2"/>
  <c r="F2477" i="2" s="1"/>
  <c r="E2485" i="2"/>
  <c r="F2485" i="2" s="1"/>
  <c r="E2493" i="2"/>
  <c r="F2493" i="2" s="1"/>
  <c r="E2501" i="2"/>
  <c r="F2501" i="2" s="1"/>
  <c r="E2525" i="2"/>
  <c r="F2525" i="2" s="1"/>
  <c r="E2541" i="2"/>
  <c r="F2541" i="2" s="1"/>
  <c r="E2549" i="2"/>
  <c r="F2549" i="2" s="1"/>
  <c r="E2557" i="2"/>
  <c r="F2557" i="2" s="1"/>
  <c r="E2565" i="2"/>
  <c r="F2565" i="2" s="1"/>
  <c r="E2573" i="2"/>
  <c r="F2573" i="2" s="1"/>
  <c r="E2581" i="2"/>
  <c r="F2581" i="2" s="1"/>
  <c r="E2589" i="2"/>
  <c r="F2589" i="2" s="1"/>
  <c r="E2597" i="2"/>
  <c r="F2597" i="2" s="1"/>
  <c r="E2605" i="2"/>
  <c r="F2605" i="2" s="1"/>
  <c r="E2613" i="2"/>
  <c r="F2613" i="2" s="1"/>
  <c r="E2621" i="2"/>
  <c r="F2621" i="2" s="1"/>
  <c r="E2629" i="2"/>
  <c r="F2629" i="2" s="1"/>
  <c r="E2637" i="2"/>
  <c r="F2637" i="2" s="1"/>
  <c r="E2645" i="2"/>
  <c r="F2645" i="2" s="1"/>
  <c r="E2653" i="2"/>
  <c r="F2653" i="2" s="1"/>
  <c r="E2661" i="2"/>
  <c r="F2661" i="2" s="1"/>
  <c r="E2669" i="2"/>
  <c r="F2669" i="2" s="1"/>
  <c r="E2677" i="2"/>
  <c r="F2677" i="2" s="1"/>
  <c r="E2685" i="2"/>
  <c r="F2685" i="2" s="1"/>
  <c r="E2693" i="2"/>
  <c r="F2693" i="2" s="1"/>
  <c r="E2701" i="2"/>
  <c r="F2701" i="2" s="1"/>
  <c r="E2709" i="2"/>
  <c r="F2709" i="2" s="1"/>
  <c r="E2717" i="2"/>
  <c r="F2717" i="2" s="1"/>
  <c r="E2725" i="2"/>
  <c r="F2725" i="2" s="1"/>
  <c r="E2733" i="2"/>
  <c r="F2733" i="2" s="1"/>
  <c r="E2741" i="2"/>
  <c r="F2741" i="2" s="1"/>
  <c r="E2749" i="2"/>
  <c r="F2749" i="2" s="1"/>
  <c r="E2757" i="2"/>
  <c r="F2757" i="2" s="1"/>
  <c r="E2765" i="2"/>
  <c r="F2765" i="2" s="1"/>
  <c r="E2773" i="2"/>
  <c r="F2773" i="2" s="1"/>
  <c r="E2781" i="2"/>
  <c r="F2781" i="2" s="1"/>
  <c r="E2789" i="2"/>
  <c r="F2789" i="2" s="1"/>
  <c r="E2797" i="2"/>
  <c r="F2797" i="2" s="1"/>
  <c r="E2805" i="2"/>
  <c r="F2805" i="2" s="1"/>
  <c r="E2813" i="2"/>
  <c r="F2813" i="2" s="1"/>
  <c r="E2829" i="2"/>
  <c r="F2829" i="2" s="1"/>
  <c r="E2837" i="2"/>
  <c r="F2837" i="2" s="1"/>
  <c r="E2853" i="2"/>
  <c r="F2853" i="2" s="1"/>
  <c r="E2861" i="2"/>
  <c r="F2861" i="2" s="1"/>
  <c r="E2885" i="2"/>
  <c r="F2885" i="2" s="1"/>
  <c r="E2909" i="2"/>
  <c r="F2909" i="2" s="1"/>
  <c r="E2925" i="2"/>
  <c r="F2925" i="2" s="1"/>
  <c r="E2933" i="2"/>
  <c r="F2933" i="2" s="1"/>
  <c r="E2941" i="2"/>
  <c r="F2941" i="2" s="1"/>
  <c r="E2949" i="2"/>
  <c r="F2949" i="2" s="1"/>
  <c r="E2957" i="2"/>
  <c r="F2957" i="2" s="1"/>
  <c r="E2965" i="2"/>
  <c r="F2965" i="2" s="1"/>
  <c r="E2973" i="2"/>
  <c r="F2973" i="2" s="1"/>
  <c r="E2981" i="2"/>
  <c r="F2981" i="2" s="1"/>
  <c r="E2989" i="2"/>
  <c r="F2989" i="2" s="1"/>
  <c r="E2997" i="2"/>
  <c r="F2997" i="2" s="1"/>
  <c r="E3005" i="2"/>
  <c r="F3005" i="2" s="1"/>
  <c r="E3013" i="2"/>
  <c r="F3013" i="2" s="1"/>
  <c r="E3021" i="2"/>
  <c r="F3021" i="2" s="1"/>
  <c r="E3029" i="2"/>
  <c r="F3029" i="2" s="1"/>
  <c r="E3037" i="2"/>
  <c r="F3037" i="2" s="1"/>
  <c r="E3045" i="2"/>
  <c r="F3045" i="2" s="1"/>
  <c r="E3053" i="2"/>
  <c r="F3053" i="2" s="1"/>
  <c r="E3061" i="2"/>
  <c r="F3061" i="2" s="1"/>
  <c r="E3069" i="2"/>
  <c r="F3069" i="2" s="1"/>
  <c r="E3077" i="2"/>
  <c r="F3077" i="2" s="1"/>
  <c r="E3085" i="2"/>
  <c r="F3085" i="2" s="1"/>
  <c r="E3093" i="2"/>
  <c r="F3093" i="2" s="1"/>
  <c r="E3101" i="2"/>
  <c r="F3101" i="2" s="1"/>
  <c r="E3109" i="2"/>
  <c r="F3109" i="2" s="1"/>
  <c r="E3117" i="2"/>
  <c r="F3117" i="2" s="1"/>
  <c r="E3125" i="2"/>
  <c r="F3125" i="2" s="1"/>
  <c r="E3133" i="2"/>
  <c r="F3133" i="2" s="1"/>
  <c r="E3141" i="2"/>
  <c r="F3141" i="2" s="1"/>
  <c r="E3149" i="2"/>
  <c r="F3149" i="2" s="1"/>
  <c r="E3157" i="2"/>
  <c r="F3157" i="2" s="1"/>
  <c r="E3165" i="2"/>
  <c r="F3165" i="2" s="1"/>
  <c r="E422" i="2"/>
  <c r="F422" i="2" s="1"/>
  <c r="E809" i="2"/>
  <c r="F809" i="2" s="1"/>
  <c r="E873" i="2"/>
  <c r="F873" i="2" s="1"/>
  <c r="E937" i="2"/>
  <c r="F937" i="2" s="1"/>
  <c r="E985" i="2"/>
  <c r="F985" i="2" s="1"/>
  <c r="E1017" i="2"/>
  <c r="F1017" i="2" s="1"/>
  <c r="E1049" i="2"/>
  <c r="F1049" i="2" s="1"/>
  <c r="E1081" i="2"/>
  <c r="F1081" i="2" s="1"/>
  <c r="E1113" i="2"/>
  <c r="F1113" i="2" s="1"/>
  <c r="E1145" i="2"/>
  <c r="F1145" i="2" s="1"/>
  <c r="E1177" i="2"/>
  <c r="F1177" i="2" s="1"/>
  <c r="E1209" i="2"/>
  <c r="F1209" i="2" s="1"/>
  <c r="E1241" i="2"/>
  <c r="F1241" i="2" s="1"/>
  <c r="E1273" i="2"/>
  <c r="F1273" i="2" s="1"/>
  <c r="E1305" i="2"/>
  <c r="F1305" i="2" s="1"/>
  <c r="E1337" i="2"/>
  <c r="F1337" i="2" s="1"/>
  <c r="E1369" i="2"/>
  <c r="F1369" i="2" s="1"/>
  <c r="E1401" i="2"/>
  <c r="F1401" i="2" s="1"/>
  <c r="E1433" i="2"/>
  <c r="F1433" i="2" s="1"/>
  <c r="E1465" i="2"/>
  <c r="F1465" i="2" s="1"/>
  <c r="E1497" i="2"/>
  <c r="F1497" i="2" s="1"/>
  <c r="E1529" i="2"/>
  <c r="F1529" i="2" s="1"/>
  <c r="E1561" i="2"/>
  <c r="F1561" i="2" s="1"/>
  <c r="E1584" i="2"/>
  <c r="F1584" i="2" s="1"/>
  <c r="E1632" i="2"/>
  <c r="F1632" i="2" s="1"/>
  <c r="E1664" i="2"/>
  <c r="F1664" i="2" s="1"/>
  <c r="E1696" i="2"/>
  <c r="F1696" i="2" s="1"/>
  <c r="E1728" i="2"/>
  <c r="F1728" i="2" s="1"/>
  <c r="E1760" i="2"/>
  <c r="F1760" i="2" s="1"/>
  <c r="E1792" i="2"/>
  <c r="F1792" i="2" s="1"/>
  <c r="E1824" i="2"/>
  <c r="F1824" i="2" s="1"/>
  <c r="E1856" i="2"/>
  <c r="F1856" i="2" s="1"/>
  <c r="E1904" i="2"/>
  <c r="F1904" i="2" s="1"/>
  <c r="E1937" i="2"/>
  <c r="F1937" i="2" s="1"/>
  <c r="E1969" i="2"/>
  <c r="F1969" i="2" s="1"/>
  <c r="E1997" i="2"/>
  <c r="F1997" i="2" s="1"/>
  <c r="E2006" i="2"/>
  <c r="F2006" i="2" s="1"/>
  <c r="E2014" i="2"/>
  <c r="F2014" i="2" s="1"/>
  <c r="E2022" i="2"/>
  <c r="F2022" i="2" s="1"/>
  <c r="E2030" i="2"/>
  <c r="F2030" i="2" s="1"/>
  <c r="E2038" i="2"/>
  <c r="F2038" i="2" s="1"/>
  <c r="E2046" i="2"/>
  <c r="F2046" i="2" s="1"/>
  <c r="E2054" i="2"/>
  <c r="F2054" i="2" s="1"/>
  <c r="E2062" i="2"/>
  <c r="F2062" i="2" s="1"/>
  <c r="E2070" i="2"/>
  <c r="F2070" i="2" s="1"/>
  <c r="E2086" i="2"/>
  <c r="F2086" i="2" s="1"/>
  <c r="E2094" i="2"/>
  <c r="F2094" i="2" s="1"/>
  <c r="E2102" i="2"/>
  <c r="F2102" i="2" s="1"/>
  <c r="E2110" i="2"/>
  <c r="F2110" i="2" s="1"/>
  <c r="E2118" i="2"/>
  <c r="F2118" i="2" s="1"/>
  <c r="E2126" i="2"/>
  <c r="F2126" i="2" s="1"/>
  <c r="E2134" i="2"/>
  <c r="F2134" i="2" s="1"/>
  <c r="E2142" i="2"/>
  <c r="F2142" i="2" s="1"/>
  <c r="E2150" i="2"/>
  <c r="F2150" i="2" s="1"/>
  <c r="E2158" i="2"/>
  <c r="F2158" i="2" s="1"/>
  <c r="E2166" i="2"/>
  <c r="F2166" i="2" s="1"/>
  <c r="E2174" i="2"/>
  <c r="F2174" i="2" s="1"/>
  <c r="E2182" i="2"/>
  <c r="F2182" i="2" s="1"/>
  <c r="E2190" i="2"/>
  <c r="F2190" i="2" s="1"/>
  <c r="E2198" i="2"/>
  <c r="F2198" i="2" s="1"/>
  <c r="E2206" i="2"/>
  <c r="F2206" i="2" s="1"/>
  <c r="E2214" i="2"/>
  <c r="F2214" i="2" s="1"/>
  <c r="E2230" i="2"/>
  <c r="F2230" i="2" s="1"/>
  <c r="E2238" i="2"/>
  <c r="F2238" i="2" s="1"/>
  <c r="E2254" i="2"/>
  <c r="F2254" i="2" s="1"/>
  <c r="E2262" i="2"/>
  <c r="F2262" i="2" s="1"/>
  <c r="E2270" i="2"/>
  <c r="F2270" i="2" s="1"/>
  <c r="E2278" i="2"/>
  <c r="F2278" i="2" s="1"/>
  <c r="E2286" i="2"/>
  <c r="F2286" i="2" s="1"/>
  <c r="E2294" i="2"/>
  <c r="F2294" i="2" s="1"/>
  <c r="E2302" i="2"/>
  <c r="F2302" i="2" s="1"/>
  <c r="E2310" i="2"/>
  <c r="F2310" i="2" s="1"/>
  <c r="E2318" i="2"/>
  <c r="F2318" i="2" s="1"/>
  <c r="E2326" i="2"/>
  <c r="F2326" i="2" s="1"/>
  <c r="E2334" i="2"/>
  <c r="F2334" i="2" s="1"/>
  <c r="E2342" i="2"/>
  <c r="F2342" i="2" s="1"/>
  <c r="E2350" i="2"/>
  <c r="F2350" i="2" s="1"/>
  <c r="E2358" i="2"/>
  <c r="F2358" i="2" s="1"/>
  <c r="E2366" i="2"/>
  <c r="F2366" i="2" s="1"/>
  <c r="E2374" i="2"/>
  <c r="F2374" i="2" s="1"/>
  <c r="E2382" i="2"/>
  <c r="F2382" i="2" s="1"/>
  <c r="E2390" i="2"/>
  <c r="F2390" i="2" s="1"/>
  <c r="E2398" i="2"/>
  <c r="F2398" i="2" s="1"/>
  <c r="E2406" i="2"/>
  <c r="F2406" i="2" s="1"/>
  <c r="E2414" i="2"/>
  <c r="F2414" i="2" s="1"/>
  <c r="E2422" i="2"/>
  <c r="F2422" i="2" s="1"/>
  <c r="E2430" i="2"/>
  <c r="F2430" i="2" s="1"/>
  <c r="E2446" i="2"/>
  <c r="F2446" i="2" s="1"/>
  <c r="E2454" i="2"/>
  <c r="F2454" i="2" s="1"/>
  <c r="E2462" i="2"/>
  <c r="F2462" i="2" s="1"/>
  <c r="E2470" i="2"/>
  <c r="F2470" i="2" s="1"/>
  <c r="E2478" i="2"/>
  <c r="F2478" i="2" s="1"/>
  <c r="E2486" i="2"/>
  <c r="F2486" i="2" s="1"/>
  <c r="E2494" i="2"/>
  <c r="F2494" i="2" s="1"/>
  <c r="E2502" i="2"/>
  <c r="F2502" i="2" s="1"/>
  <c r="E2526" i="2"/>
  <c r="F2526" i="2" s="1"/>
  <c r="E2550" i="2"/>
  <c r="F2550" i="2" s="1"/>
  <c r="E2558" i="2"/>
  <c r="F2558" i="2" s="1"/>
  <c r="E2566" i="2"/>
  <c r="F2566" i="2" s="1"/>
  <c r="E2574" i="2"/>
  <c r="F2574" i="2" s="1"/>
  <c r="E2582" i="2"/>
  <c r="F2582" i="2" s="1"/>
  <c r="E2590" i="2"/>
  <c r="F2590" i="2" s="1"/>
  <c r="E2598" i="2"/>
  <c r="F2598" i="2" s="1"/>
  <c r="E2606" i="2"/>
  <c r="F2606" i="2" s="1"/>
  <c r="E2614" i="2"/>
  <c r="F2614" i="2" s="1"/>
  <c r="E2622" i="2"/>
  <c r="F2622" i="2" s="1"/>
  <c r="E2630" i="2"/>
  <c r="F2630" i="2" s="1"/>
  <c r="E2638" i="2"/>
  <c r="F2638" i="2" s="1"/>
  <c r="E2646" i="2"/>
  <c r="F2646" i="2" s="1"/>
  <c r="E2654" i="2"/>
  <c r="F2654" i="2" s="1"/>
  <c r="E2662" i="2"/>
  <c r="F2662" i="2" s="1"/>
  <c r="E2670" i="2"/>
  <c r="F2670" i="2" s="1"/>
  <c r="E2678" i="2"/>
  <c r="F2678" i="2" s="1"/>
  <c r="E2686" i="2"/>
  <c r="F2686" i="2" s="1"/>
  <c r="E2694" i="2"/>
  <c r="F2694" i="2" s="1"/>
  <c r="E2702" i="2"/>
  <c r="F2702" i="2" s="1"/>
  <c r="E2710" i="2"/>
  <c r="F2710" i="2" s="1"/>
  <c r="E2718" i="2"/>
  <c r="F2718" i="2" s="1"/>
  <c r="E2726" i="2"/>
  <c r="F2726" i="2" s="1"/>
  <c r="E2734" i="2"/>
  <c r="F2734" i="2" s="1"/>
  <c r="E2742" i="2"/>
  <c r="F2742" i="2" s="1"/>
  <c r="E2750" i="2"/>
  <c r="F2750" i="2" s="1"/>
  <c r="E2758" i="2"/>
  <c r="F2758" i="2" s="1"/>
  <c r="E2766" i="2"/>
  <c r="F2766" i="2" s="1"/>
  <c r="E2782" i="2"/>
  <c r="F2782" i="2" s="1"/>
  <c r="E2790" i="2"/>
  <c r="F2790" i="2" s="1"/>
  <c r="E2798" i="2"/>
  <c r="F2798" i="2" s="1"/>
  <c r="E2806" i="2"/>
  <c r="F2806" i="2" s="1"/>
  <c r="E2814" i="2"/>
  <c r="F2814" i="2" s="1"/>
  <c r="E2830" i="2"/>
  <c r="F2830" i="2" s="1"/>
  <c r="E2838" i="2"/>
  <c r="F2838" i="2" s="1"/>
  <c r="E2854" i="2"/>
  <c r="F2854" i="2" s="1"/>
  <c r="E2862" i="2"/>
  <c r="F2862" i="2" s="1"/>
  <c r="E2878" i="2"/>
  <c r="F2878" i="2" s="1"/>
  <c r="E2886" i="2"/>
  <c r="F2886" i="2" s="1"/>
  <c r="E2910" i="2"/>
  <c r="F2910" i="2" s="1"/>
  <c r="E2926" i="2"/>
  <c r="F2926" i="2" s="1"/>
  <c r="E2934" i="2"/>
  <c r="F2934" i="2" s="1"/>
  <c r="E2942" i="2"/>
  <c r="F2942" i="2" s="1"/>
  <c r="E2950" i="2"/>
  <c r="F2950" i="2" s="1"/>
  <c r="E2958" i="2"/>
  <c r="F2958" i="2" s="1"/>
  <c r="E2966" i="2"/>
  <c r="F2966" i="2" s="1"/>
  <c r="E2974" i="2"/>
  <c r="F2974" i="2" s="1"/>
  <c r="E2982" i="2"/>
  <c r="F2982" i="2" s="1"/>
  <c r="E2990" i="2"/>
  <c r="F2990" i="2" s="1"/>
  <c r="E2998" i="2"/>
  <c r="F2998" i="2" s="1"/>
  <c r="E3006" i="2"/>
  <c r="F3006" i="2" s="1"/>
  <c r="E3014" i="2"/>
  <c r="F3014" i="2" s="1"/>
  <c r="E3022" i="2"/>
  <c r="F3022" i="2" s="1"/>
  <c r="E3030" i="2"/>
  <c r="F3030" i="2" s="1"/>
  <c r="E3038" i="2"/>
  <c r="F3038" i="2" s="1"/>
  <c r="E3046" i="2"/>
  <c r="F3046" i="2" s="1"/>
  <c r="E3054" i="2"/>
  <c r="F3054" i="2" s="1"/>
  <c r="E3070" i="2"/>
  <c r="F3070" i="2" s="1"/>
  <c r="E3078" i="2"/>
  <c r="F3078" i="2" s="1"/>
  <c r="E3086" i="2"/>
  <c r="F3086" i="2" s="1"/>
  <c r="E3094" i="2"/>
  <c r="F3094" i="2" s="1"/>
  <c r="E3102" i="2"/>
  <c r="F3102" i="2" s="1"/>
  <c r="E3110" i="2"/>
  <c r="F3110" i="2" s="1"/>
  <c r="E3118" i="2"/>
  <c r="F3118" i="2" s="1"/>
  <c r="E3126" i="2"/>
  <c r="F3126" i="2" s="1"/>
  <c r="E3134" i="2"/>
  <c r="F3134" i="2" s="1"/>
  <c r="E3142" i="2"/>
  <c r="F3142" i="2" s="1"/>
  <c r="E3150" i="2"/>
  <c r="F3150" i="2" s="1"/>
  <c r="E3158" i="2"/>
  <c r="F3158" i="2" s="1"/>
  <c r="E3166" i="2"/>
  <c r="F3166" i="2" s="1"/>
  <c r="E3174" i="2"/>
  <c r="F3174" i="2" s="1"/>
  <c r="E3182" i="2"/>
  <c r="F3182" i="2" s="1"/>
  <c r="E945" i="2"/>
  <c r="F945" i="2" s="1"/>
  <c r="E1088" i="2"/>
  <c r="F1088" i="2" s="1"/>
  <c r="E1216" i="2"/>
  <c r="F1216" i="2" s="1"/>
  <c r="E1344" i="2"/>
  <c r="F1344" i="2" s="1"/>
  <c r="E1472" i="2"/>
  <c r="F1472" i="2" s="1"/>
  <c r="E1640" i="2"/>
  <c r="F1640" i="2" s="1"/>
  <c r="E1768" i="2"/>
  <c r="F1768" i="2" s="1"/>
  <c r="E2000" i="2"/>
  <c r="F2000" i="2" s="1"/>
  <c r="E2032" i="2"/>
  <c r="F2032" i="2" s="1"/>
  <c r="E2064" i="2"/>
  <c r="F2064" i="2" s="1"/>
  <c r="E2112" i="2"/>
  <c r="F2112" i="2" s="1"/>
  <c r="E2144" i="2"/>
  <c r="F2144" i="2" s="1"/>
  <c r="E2176" i="2"/>
  <c r="F2176" i="2" s="1"/>
  <c r="E2208" i="2"/>
  <c r="F2208" i="2" s="1"/>
  <c r="E2256" i="2"/>
  <c r="F2256" i="2" s="1"/>
  <c r="E2288" i="2"/>
  <c r="F2288" i="2" s="1"/>
  <c r="E2320" i="2"/>
  <c r="F2320" i="2" s="1"/>
  <c r="E2352" i="2"/>
  <c r="F2352" i="2" s="1"/>
  <c r="E2384" i="2"/>
  <c r="F2384" i="2" s="1"/>
  <c r="E2416" i="2"/>
  <c r="F2416" i="2" s="1"/>
  <c r="E2487" i="2"/>
  <c r="F2487" i="2" s="1"/>
  <c r="E2528" i="2"/>
  <c r="F2528" i="2" s="1"/>
  <c r="E2552" i="2"/>
  <c r="F2552" i="2" s="1"/>
  <c r="E2584" i="2"/>
  <c r="F2584" i="2" s="1"/>
  <c r="E2616" i="2"/>
  <c r="F2616" i="2" s="1"/>
  <c r="E2648" i="2"/>
  <c r="F2648" i="2" s="1"/>
  <c r="E2672" i="2"/>
  <c r="F2672" i="2" s="1"/>
  <c r="E2735" i="2"/>
  <c r="F2735" i="2" s="1"/>
  <c r="E2767" i="2"/>
  <c r="F2767" i="2" s="1"/>
  <c r="E2784" i="2"/>
  <c r="F2784" i="2" s="1"/>
  <c r="E2832" i="2"/>
  <c r="F2832" i="2" s="1"/>
  <c r="E2911" i="2"/>
  <c r="F2911" i="2" s="1"/>
  <c r="E2936" i="2"/>
  <c r="F2936" i="2" s="1"/>
  <c r="E2968" i="2"/>
  <c r="F2968" i="2" s="1"/>
  <c r="E3000" i="2"/>
  <c r="F3000" i="2" s="1"/>
  <c r="E3032" i="2"/>
  <c r="F3032" i="2" s="1"/>
  <c r="E3063" i="2"/>
  <c r="F3063" i="2" s="1"/>
  <c r="E3080" i="2"/>
  <c r="F3080" i="2" s="1"/>
  <c r="E3111" i="2"/>
  <c r="F3111" i="2" s="1"/>
  <c r="E3135" i="2"/>
  <c r="F3135" i="2" s="1"/>
  <c r="E3167" i="2"/>
  <c r="F3167" i="2" s="1"/>
  <c r="E3180" i="2"/>
  <c r="F3180" i="2" s="1"/>
  <c r="E3189" i="2"/>
  <c r="F3189" i="2" s="1"/>
  <c r="E3197" i="2"/>
  <c r="F3197" i="2" s="1"/>
  <c r="E3205" i="2"/>
  <c r="F3205" i="2" s="1"/>
  <c r="E3213" i="2"/>
  <c r="F3213" i="2" s="1"/>
  <c r="E3221" i="2"/>
  <c r="F3221" i="2" s="1"/>
  <c r="E3229" i="2"/>
  <c r="F3229" i="2" s="1"/>
  <c r="E3237" i="2"/>
  <c r="F3237" i="2" s="1"/>
  <c r="E3245" i="2"/>
  <c r="F3245" i="2" s="1"/>
  <c r="E3261" i="2"/>
  <c r="F3261" i="2" s="1"/>
  <c r="E3269" i="2"/>
  <c r="F3269" i="2" s="1"/>
  <c r="E3285" i="2"/>
  <c r="F3285" i="2" s="1"/>
  <c r="E3293" i="2"/>
  <c r="F3293" i="2" s="1"/>
  <c r="E3309" i="2"/>
  <c r="F3309" i="2" s="1"/>
  <c r="E3317" i="2"/>
  <c r="F3317" i="2" s="1"/>
  <c r="E3341" i="2"/>
  <c r="F3341" i="2" s="1"/>
  <c r="E3357" i="2"/>
  <c r="F3357" i="2" s="1"/>
  <c r="E3365" i="2"/>
  <c r="F3365" i="2" s="1"/>
  <c r="E3373" i="2"/>
  <c r="F3373" i="2" s="1"/>
  <c r="E3381" i="2"/>
  <c r="F3381" i="2" s="1"/>
  <c r="E3389" i="2"/>
  <c r="F3389" i="2" s="1"/>
  <c r="E3397" i="2"/>
  <c r="F3397" i="2" s="1"/>
  <c r="E3405" i="2"/>
  <c r="F3405" i="2" s="1"/>
  <c r="E3413" i="2"/>
  <c r="F3413" i="2" s="1"/>
  <c r="E3421" i="2"/>
  <c r="F3421" i="2" s="1"/>
  <c r="E3429" i="2"/>
  <c r="F3429" i="2" s="1"/>
  <c r="E3437" i="2"/>
  <c r="F3437" i="2" s="1"/>
  <c r="E3445" i="2"/>
  <c r="F3445" i="2" s="1"/>
  <c r="E3453" i="2"/>
  <c r="F3453" i="2" s="1"/>
  <c r="E3461" i="2"/>
  <c r="F3461" i="2" s="1"/>
  <c r="E3469" i="2"/>
  <c r="F3469" i="2" s="1"/>
  <c r="E3477" i="2"/>
  <c r="F3477" i="2" s="1"/>
  <c r="E3485" i="2"/>
  <c r="F3485" i="2" s="1"/>
  <c r="E3501" i="2"/>
  <c r="F3501" i="2" s="1"/>
  <c r="E3509" i="2"/>
  <c r="F3509" i="2" s="1"/>
  <c r="E3517" i="2"/>
  <c r="F3517" i="2" s="1"/>
  <c r="E3525" i="2"/>
  <c r="F3525" i="2" s="1"/>
  <c r="E3533" i="2"/>
  <c r="F3533" i="2" s="1"/>
  <c r="E3541" i="2"/>
  <c r="F3541" i="2" s="1"/>
  <c r="E3549" i="2"/>
  <c r="F3549" i="2" s="1"/>
  <c r="E3557" i="2"/>
  <c r="F3557" i="2" s="1"/>
  <c r="E3573" i="2"/>
  <c r="F3573" i="2" s="1"/>
  <c r="E3581" i="2"/>
  <c r="F3581" i="2" s="1"/>
  <c r="E3605" i="2"/>
  <c r="F3605" i="2" s="1"/>
  <c r="E3629" i="2"/>
  <c r="F3629" i="2" s="1"/>
  <c r="E3645" i="2"/>
  <c r="F3645" i="2" s="1"/>
  <c r="E3653" i="2"/>
  <c r="F3653" i="2" s="1"/>
  <c r="E3669" i="2"/>
  <c r="F3669" i="2" s="1"/>
  <c r="E3677" i="2"/>
  <c r="F3677" i="2" s="1"/>
  <c r="E3701" i="2"/>
  <c r="F3701" i="2" s="1"/>
  <c r="E3717" i="2"/>
  <c r="F3717" i="2" s="1"/>
  <c r="E3725" i="2"/>
  <c r="F3725" i="2" s="1"/>
  <c r="E3741" i="2"/>
  <c r="F3741" i="2" s="1"/>
  <c r="E3749" i="2"/>
  <c r="F3749" i="2" s="1"/>
  <c r="E3757" i="2"/>
  <c r="F3757" i="2" s="1"/>
  <c r="E3765" i="2"/>
  <c r="F3765" i="2" s="1"/>
  <c r="E3773" i="2"/>
  <c r="F3773" i="2" s="1"/>
  <c r="E3789" i="2"/>
  <c r="F3789" i="2" s="1"/>
  <c r="E3797" i="2"/>
  <c r="F3797" i="2" s="1"/>
  <c r="E3805" i="2"/>
  <c r="F3805" i="2" s="1"/>
  <c r="E3813" i="2"/>
  <c r="F3813" i="2" s="1"/>
  <c r="E3821" i="2"/>
  <c r="F3821" i="2" s="1"/>
  <c r="E3829" i="2"/>
  <c r="F3829" i="2" s="1"/>
  <c r="E3837" i="2"/>
  <c r="F3837" i="2" s="1"/>
  <c r="E3845" i="2"/>
  <c r="F3845" i="2" s="1"/>
  <c r="E3853" i="2"/>
  <c r="F3853" i="2" s="1"/>
  <c r="E3861" i="2"/>
  <c r="F3861" i="2" s="1"/>
  <c r="E3869" i="2"/>
  <c r="F3869" i="2" s="1"/>
  <c r="E3885" i="2"/>
  <c r="F3885" i="2" s="1"/>
  <c r="E3893" i="2"/>
  <c r="F3893" i="2" s="1"/>
  <c r="E3917" i="2"/>
  <c r="F3917" i="2" s="1"/>
  <c r="E3941" i="2"/>
  <c r="F3941" i="2" s="1"/>
  <c r="E3989" i="2"/>
  <c r="F3989" i="2" s="1"/>
  <c r="E4013" i="2"/>
  <c r="F4013" i="2" s="1"/>
  <c r="E4037" i="2"/>
  <c r="F4037" i="2" s="1"/>
  <c r="E4061" i="2"/>
  <c r="F4061" i="2" s="1"/>
  <c r="E4077" i="2"/>
  <c r="F4077" i="2" s="1"/>
  <c r="E4085" i="2"/>
  <c r="F4085" i="2" s="1"/>
  <c r="E4109" i="2"/>
  <c r="F4109" i="2" s="1"/>
  <c r="E4165" i="2"/>
  <c r="F4165" i="2" s="1"/>
  <c r="E4173" i="2"/>
  <c r="F4173" i="2" s="1"/>
  <c r="E4181" i="2"/>
  <c r="F4181" i="2" s="1"/>
  <c r="E4197" i="2"/>
  <c r="F4197" i="2" s="1"/>
  <c r="E4229" i="2"/>
  <c r="F4229" i="2" s="1"/>
  <c r="E4277" i="2"/>
  <c r="F4277" i="2" s="1"/>
  <c r="E4325" i="2"/>
  <c r="F4325" i="2" s="1"/>
  <c r="E4349" i="2"/>
  <c r="F4349" i="2" s="1"/>
  <c r="E4421" i="2"/>
  <c r="F4421" i="2" s="1"/>
  <c r="E4445" i="2"/>
  <c r="F4445" i="2" s="1"/>
  <c r="E4493" i="2"/>
  <c r="F4493" i="2" s="1"/>
  <c r="E4509" i="2"/>
  <c r="F4509" i="2" s="1"/>
  <c r="E4517" i="2"/>
  <c r="F4517" i="2" s="1"/>
  <c r="E4541" i="2"/>
  <c r="F4541" i="2" s="1"/>
  <c r="E4565" i="2"/>
  <c r="F4565" i="2" s="1"/>
  <c r="E4589" i="2"/>
  <c r="F4589" i="2" s="1"/>
  <c r="E4613" i="2"/>
  <c r="F4613" i="2" s="1"/>
  <c r="E4637" i="2"/>
  <c r="F4637" i="2" s="1"/>
  <c r="E4661" i="2"/>
  <c r="F4661" i="2" s="1"/>
  <c r="E4709" i="2"/>
  <c r="F4709" i="2" s="1"/>
  <c r="E4733" i="2"/>
  <c r="F4733" i="2" s="1"/>
  <c r="E4973" i="2"/>
  <c r="F4973" i="2" s="1"/>
  <c r="E4997" i="2"/>
  <c r="F4997" i="2" s="1"/>
  <c r="E5021" i="2"/>
  <c r="F5021" i="2" s="1"/>
  <c r="E5045" i="2"/>
  <c r="F5045" i="2" s="1"/>
  <c r="E5061" i="2"/>
  <c r="F5061" i="2" s="1"/>
  <c r="E5069" i="2"/>
  <c r="F5069" i="2" s="1"/>
  <c r="E5093" i="2"/>
  <c r="F5093" i="2" s="1"/>
  <c r="E5117" i="2"/>
  <c r="F5117" i="2" s="1"/>
  <c r="E5141" i="2"/>
  <c r="F5141" i="2" s="1"/>
  <c r="E5149" i="2"/>
  <c r="F5149" i="2" s="1"/>
  <c r="E5165" i="2"/>
  <c r="F5165" i="2" s="1"/>
  <c r="E5205" i="2"/>
  <c r="F5205" i="2" s="1"/>
  <c r="E5213" i="2"/>
  <c r="F5213" i="2" s="1"/>
  <c r="E5237" i="2"/>
  <c r="F5237" i="2" s="1"/>
  <c r="E5261" i="2"/>
  <c r="F5261" i="2" s="1"/>
  <c r="E5285" i="2"/>
  <c r="F5285" i="2" s="1"/>
  <c r="E5309" i="2"/>
  <c r="F5309" i="2" s="1"/>
  <c r="E5333" i="2"/>
  <c r="F5333" i="2" s="1"/>
  <c r="E5357" i="2"/>
  <c r="F5357" i="2" s="1"/>
  <c r="E5469" i="2"/>
  <c r="F5469" i="2" s="1"/>
  <c r="E5477" i="2"/>
  <c r="F5477" i="2" s="1"/>
  <c r="E5501" i="2"/>
  <c r="F5501" i="2" s="1"/>
  <c r="E5525" i="2"/>
  <c r="F5525" i="2" s="1"/>
  <c r="E5549" i="2"/>
  <c r="F5549" i="2" s="1"/>
  <c r="E5573" i="2"/>
  <c r="F5573" i="2" s="1"/>
  <c r="E5589" i="2"/>
  <c r="F5589" i="2" s="1"/>
  <c r="E5597" i="2"/>
  <c r="F5597" i="2" s="1"/>
  <c r="E5605" i="2"/>
  <c r="F5605" i="2" s="1"/>
  <c r="E5613" i="2"/>
  <c r="F5613" i="2" s="1"/>
  <c r="E5621" i="2"/>
  <c r="F5621" i="2" s="1"/>
  <c r="E5637" i="2"/>
  <c r="F5637" i="2" s="1"/>
  <c r="E5645" i="2"/>
  <c r="F5645" i="2" s="1"/>
  <c r="E38" i="2"/>
  <c r="F38" i="2" s="1"/>
  <c r="E953" i="2"/>
  <c r="F953" i="2" s="1"/>
  <c r="E1089" i="2"/>
  <c r="F1089" i="2" s="1"/>
  <c r="E1217" i="2"/>
  <c r="F1217" i="2" s="1"/>
  <c r="E1345" i="2"/>
  <c r="F1345" i="2" s="1"/>
  <c r="E1473" i="2"/>
  <c r="F1473" i="2" s="1"/>
  <c r="E1665" i="2"/>
  <c r="F1665" i="2" s="1"/>
  <c r="E1793" i="2"/>
  <c r="F1793" i="2" s="1"/>
  <c r="E1944" i="2"/>
  <c r="F1944" i="2" s="1"/>
  <c r="E2007" i="2"/>
  <c r="F2007" i="2" s="1"/>
  <c r="E2039" i="2"/>
  <c r="F2039" i="2" s="1"/>
  <c r="E2071" i="2"/>
  <c r="F2071" i="2" s="1"/>
  <c r="E2087" i="2"/>
  <c r="F2087" i="2" s="1"/>
  <c r="E2119" i="2"/>
  <c r="F2119" i="2" s="1"/>
  <c r="E2151" i="2"/>
  <c r="F2151" i="2" s="1"/>
  <c r="E2183" i="2"/>
  <c r="F2183" i="2" s="1"/>
  <c r="E2215" i="2"/>
  <c r="F2215" i="2" s="1"/>
  <c r="E2263" i="2"/>
  <c r="F2263" i="2" s="1"/>
  <c r="E2295" i="2"/>
  <c r="F2295" i="2" s="1"/>
  <c r="E2327" i="2"/>
  <c r="F2327" i="2" s="1"/>
  <c r="E2359" i="2"/>
  <c r="F2359" i="2" s="1"/>
  <c r="E2391" i="2"/>
  <c r="F2391" i="2" s="1"/>
  <c r="E2423" i="2"/>
  <c r="F2423" i="2" s="1"/>
  <c r="E2463" i="2"/>
  <c r="F2463" i="2" s="1"/>
  <c r="E2488" i="2"/>
  <c r="F2488" i="2" s="1"/>
  <c r="E2559" i="2"/>
  <c r="F2559" i="2" s="1"/>
  <c r="E2591" i="2"/>
  <c r="F2591" i="2" s="1"/>
  <c r="E2623" i="2"/>
  <c r="F2623" i="2" s="1"/>
  <c r="E2655" i="2"/>
  <c r="F2655" i="2" s="1"/>
  <c r="E2679" i="2"/>
  <c r="F2679" i="2" s="1"/>
  <c r="E2736" i="2"/>
  <c r="F2736" i="2" s="1"/>
  <c r="E2768" i="2"/>
  <c r="F2768" i="2" s="1"/>
  <c r="E2791" i="2"/>
  <c r="F2791" i="2" s="1"/>
  <c r="E2807" i="2"/>
  <c r="F2807" i="2" s="1"/>
  <c r="E2839" i="2"/>
  <c r="F2839" i="2" s="1"/>
  <c r="E2912" i="2"/>
  <c r="F2912" i="2" s="1"/>
  <c r="E2943" i="2"/>
  <c r="F2943" i="2" s="1"/>
  <c r="E2975" i="2"/>
  <c r="F2975" i="2" s="1"/>
  <c r="E3007" i="2"/>
  <c r="F3007" i="2" s="1"/>
  <c r="E3087" i="2"/>
  <c r="F3087" i="2" s="1"/>
  <c r="E3136" i="2"/>
  <c r="F3136" i="2" s="1"/>
  <c r="E3168" i="2"/>
  <c r="F3168" i="2" s="1"/>
  <c r="E3181" i="2"/>
  <c r="F3181" i="2" s="1"/>
  <c r="E3190" i="2"/>
  <c r="F3190" i="2" s="1"/>
  <c r="E3198" i="2"/>
  <c r="F3198" i="2" s="1"/>
  <c r="E3214" i="2"/>
  <c r="F3214" i="2" s="1"/>
  <c r="E3222" i="2"/>
  <c r="F3222" i="2" s="1"/>
  <c r="E3238" i="2"/>
  <c r="F3238" i="2" s="1"/>
  <c r="E3246" i="2"/>
  <c r="F3246" i="2" s="1"/>
  <c r="E3262" i="2"/>
  <c r="F3262" i="2" s="1"/>
  <c r="E3270" i="2"/>
  <c r="F3270" i="2" s="1"/>
  <c r="E3286" i="2"/>
  <c r="F3286" i="2" s="1"/>
  <c r="E3294" i="2"/>
  <c r="F3294" i="2" s="1"/>
  <c r="E3310" i="2"/>
  <c r="F3310" i="2" s="1"/>
  <c r="E3318" i="2"/>
  <c r="F3318" i="2" s="1"/>
  <c r="E3342" i="2"/>
  <c r="F3342" i="2" s="1"/>
  <c r="E3358" i="2"/>
  <c r="F3358" i="2" s="1"/>
  <c r="E3366" i="2"/>
  <c r="F3366" i="2" s="1"/>
  <c r="E3374" i="2"/>
  <c r="F3374" i="2" s="1"/>
  <c r="E3382" i="2"/>
  <c r="F3382" i="2" s="1"/>
  <c r="E3390" i="2"/>
  <c r="F3390" i="2" s="1"/>
  <c r="E3398" i="2"/>
  <c r="F3398" i="2" s="1"/>
  <c r="E3406" i="2"/>
  <c r="F3406" i="2" s="1"/>
  <c r="E3414" i="2"/>
  <c r="F3414" i="2" s="1"/>
  <c r="E3422" i="2"/>
  <c r="F3422" i="2" s="1"/>
  <c r="E3430" i="2"/>
  <c r="F3430" i="2" s="1"/>
  <c r="E3438" i="2"/>
  <c r="F3438" i="2" s="1"/>
  <c r="E3454" i="2"/>
  <c r="F3454" i="2" s="1"/>
  <c r="E3462" i="2"/>
  <c r="F3462" i="2" s="1"/>
  <c r="E3470" i="2"/>
  <c r="F3470" i="2" s="1"/>
  <c r="E3478" i="2"/>
  <c r="F3478" i="2" s="1"/>
  <c r="E3486" i="2"/>
  <c r="F3486" i="2" s="1"/>
  <c r="E3494" i="2"/>
  <c r="F3494" i="2" s="1"/>
  <c r="E3502" i="2"/>
  <c r="F3502" i="2" s="1"/>
  <c r="E3510" i="2"/>
  <c r="F3510" i="2" s="1"/>
  <c r="E3518" i="2"/>
  <c r="F3518" i="2" s="1"/>
  <c r="E3526" i="2"/>
  <c r="F3526" i="2" s="1"/>
  <c r="E3534" i="2"/>
  <c r="F3534" i="2" s="1"/>
  <c r="E3550" i="2"/>
  <c r="F3550" i="2" s="1"/>
  <c r="E3558" i="2"/>
  <c r="F3558" i="2" s="1"/>
  <c r="E3574" i="2"/>
  <c r="F3574" i="2" s="1"/>
  <c r="E3582" i="2"/>
  <c r="F3582" i="2" s="1"/>
  <c r="E3598" i="2"/>
  <c r="F3598" i="2" s="1"/>
  <c r="E3606" i="2"/>
  <c r="F3606" i="2" s="1"/>
  <c r="E3646" i="2"/>
  <c r="F3646" i="2" s="1"/>
  <c r="E3654" i="2"/>
  <c r="F3654" i="2" s="1"/>
  <c r="E3670" i="2"/>
  <c r="F3670" i="2" s="1"/>
  <c r="E3678" i="2"/>
  <c r="F3678" i="2" s="1"/>
  <c r="E3702" i="2"/>
  <c r="F3702" i="2" s="1"/>
  <c r="E3718" i="2"/>
  <c r="F3718" i="2" s="1"/>
  <c r="E3726" i="2"/>
  <c r="F3726" i="2" s="1"/>
  <c r="E3742" i="2"/>
  <c r="F3742" i="2" s="1"/>
  <c r="E3750" i="2"/>
  <c r="F3750" i="2" s="1"/>
  <c r="E3766" i="2"/>
  <c r="F3766" i="2" s="1"/>
  <c r="E3774" i="2"/>
  <c r="F3774" i="2" s="1"/>
  <c r="E3790" i="2"/>
  <c r="F3790" i="2" s="1"/>
  <c r="E3798" i="2"/>
  <c r="F3798" i="2" s="1"/>
  <c r="E3806" i="2"/>
  <c r="F3806" i="2" s="1"/>
  <c r="E3814" i="2"/>
  <c r="F3814" i="2" s="1"/>
  <c r="E3822" i="2"/>
  <c r="F3822" i="2" s="1"/>
  <c r="E3838" i="2"/>
  <c r="F3838" i="2" s="1"/>
  <c r="E3846" i="2"/>
  <c r="F3846" i="2" s="1"/>
  <c r="E3854" i="2"/>
  <c r="F3854" i="2" s="1"/>
  <c r="E3862" i="2"/>
  <c r="F3862" i="2" s="1"/>
  <c r="E3870" i="2"/>
  <c r="F3870" i="2" s="1"/>
  <c r="E3886" i="2"/>
  <c r="F3886" i="2" s="1"/>
  <c r="E3894" i="2"/>
  <c r="F3894" i="2" s="1"/>
  <c r="E3918" i="2"/>
  <c r="F3918" i="2" s="1"/>
  <c r="E3942" i="2"/>
  <c r="F3942" i="2" s="1"/>
  <c r="E3974" i="2"/>
  <c r="F3974" i="2" s="1"/>
  <c r="E3990" i="2"/>
  <c r="F3990" i="2" s="1"/>
  <c r="E4006" i="2"/>
  <c r="F4006" i="2" s="1"/>
  <c r="E4014" i="2"/>
  <c r="F4014" i="2" s="1"/>
  <c r="E4038" i="2"/>
  <c r="F4038" i="2" s="1"/>
  <c r="E4062" i="2"/>
  <c r="F4062" i="2" s="1"/>
  <c r="E4078" i="2"/>
  <c r="F4078" i="2" s="1"/>
  <c r="E4086" i="2"/>
  <c r="F4086" i="2" s="1"/>
  <c r="E4110" i="2"/>
  <c r="F4110" i="2" s="1"/>
  <c r="E4166" i="2"/>
  <c r="F4166" i="2" s="1"/>
  <c r="E4174" i="2"/>
  <c r="F4174" i="2" s="1"/>
  <c r="E4182" i="2"/>
  <c r="F4182" i="2" s="1"/>
  <c r="E4198" i="2"/>
  <c r="F4198" i="2" s="1"/>
  <c r="E4230" i="2"/>
  <c r="F4230" i="2" s="1"/>
  <c r="E4278" i="2"/>
  <c r="F4278" i="2" s="1"/>
  <c r="E4318" i="2"/>
  <c r="F4318" i="2" s="1"/>
  <c r="E4326" i="2"/>
  <c r="F4326" i="2" s="1"/>
  <c r="E4350" i="2"/>
  <c r="F4350" i="2" s="1"/>
  <c r="E4414" i="2"/>
  <c r="F4414" i="2" s="1"/>
  <c r="E4422" i="2"/>
  <c r="F4422" i="2" s="1"/>
  <c r="E4470" i="2"/>
  <c r="F4470" i="2" s="1"/>
  <c r="E4494" i="2"/>
  <c r="F4494" i="2" s="1"/>
  <c r="E4510" i="2"/>
  <c r="F4510" i="2" s="1"/>
  <c r="E4518" i="2"/>
  <c r="F4518" i="2" s="1"/>
  <c r="E4534" i="2"/>
  <c r="F4534" i="2" s="1"/>
  <c r="E4542" i="2"/>
  <c r="F4542" i="2" s="1"/>
  <c r="E4566" i="2"/>
  <c r="F4566" i="2" s="1"/>
  <c r="E4590" i="2"/>
  <c r="F4590" i="2" s="1"/>
  <c r="E4638" i="2"/>
  <c r="F4638" i="2" s="1"/>
  <c r="E4662" i="2"/>
  <c r="F4662" i="2" s="1"/>
  <c r="E4710" i="2"/>
  <c r="F4710" i="2" s="1"/>
  <c r="E4734" i="2"/>
  <c r="F4734" i="2" s="1"/>
  <c r="E4950" i="2"/>
  <c r="F4950" i="2" s="1"/>
  <c r="E4974" i="2"/>
  <c r="F4974" i="2" s="1"/>
  <c r="E4998" i="2"/>
  <c r="F4998" i="2" s="1"/>
  <c r="E5022" i="2"/>
  <c r="F5022" i="2" s="1"/>
  <c r="E5038" i="2"/>
  <c r="F5038" i="2" s="1"/>
  <c r="E5046" i="2"/>
  <c r="F5046" i="2" s="1"/>
  <c r="E5062" i="2"/>
  <c r="F5062" i="2" s="1"/>
  <c r="E5070" i="2"/>
  <c r="F5070" i="2" s="1"/>
  <c r="E5094" i="2"/>
  <c r="F5094" i="2" s="1"/>
  <c r="E5118" i="2"/>
  <c r="F5118" i="2" s="1"/>
  <c r="E5142" i="2"/>
  <c r="F5142" i="2" s="1"/>
  <c r="E5150" i="2"/>
  <c r="F5150" i="2" s="1"/>
  <c r="E5158" i="2"/>
  <c r="F5158" i="2" s="1"/>
  <c r="E5166" i="2"/>
  <c r="F5166" i="2" s="1"/>
  <c r="E5190" i="2"/>
  <c r="F5190" i="2" s="1"/>
  <c r="E5206" i="2"/>
  <c r="F5206" i="2" s="1"/>
  <c r="E5214" i="2"/>
  <c r="F5214" i="2" s="1"/>
  <c r="E5230" i="2"/>
  <c r="F5230" i="2" s="1"/>
  <c r="E5238" i="2"/>
  <c r="F5238" i="2" s="1"/>
  <c r="E5262" i="2"/>
  <c r="F5262" i="2" s="1"/>
  <c r="E5278" i="2"/>
  <c r="F5278" i="2" s="1"/>
  <c r="E5286" i="2"/>
  <c r="F5286" i="2" s="1"/>
  <c r="E5310" i="2"/>
  <c r="F5310" i="2" s="1"/>
  <c r="E5326" i="2"/>
  <c r="F5326" i="2" s="1"/>
  <c r="E5334" i="2"/>
  <c r="F5334" i="2" s="1"/>
  <c r="E5358" i="2"/>
  <c r="F5358" i="2" s="1"/>
  <c r="E5470" i="2"/>
  <c r="F5470" i="2" s="1"/>
  <c r="E5478" i="2"/>
  <c r="F5478" i="2" s="1"/>
  <c r="E5494" i="2"/>
  <c r="F5494" i="2" s="1"/>
  <c r="E5502" i="2"/>
  <c r="F5502" i="2" s="1"/>
  <c r="E5526" i="2"/>
  <c r="F5526" i="2" s="1"/>
  <c r="E5542" i="2"/>
  <c r="F5542" i="2" s="1"/>
  <c r="E5550" i="2"/>
  <c r="F5550" i="2" s="1"/>
  <c r="E5566" i="2"/>
  <c r="F5566" i="2" s="1"/>
  <c r="E5574" i="2"/>
  <c r="F5574" i="2" s="1"/>
  <c r="E5590" i="2"/>
  <c r="F5590" i="2" s="1"/>
  <c r="E5598" i="2"/>
  <c r="F5598" i="2" s="1"/>
  <c r="E5606" i="2"/>
  <c r="F5606" i="2" s="1"/>
  <c r="E5614" i="2"/>
  <c r="F5614" i="2" s="1"/>
  <c r="E5622" i="2"/>
  <c r="F5622" i="2" s="1"/>
  <c r="E486" i="2"/>
  <c r="F486" i="2" s="1"/>
  <c r="E992" i="2"/>
  <c r="F992" i="2" s="1"/>
  <c r="E1120" i="2"/>
  <c r="F1120" i="2" s="1"/>
  <c r="E1248" i="2"/>
  <c r="F1248" i="2" s="1"/>
  <c r="E1376" i="2"/>
  <c r="F1376" i="2" s="1"/>
  <c r="E1504" i="2"/>
  <c r="F1504" i="2" s="1"/>
  <c r="E1672" i="2"/>
  <c r="F1672" i="2" s="1"/>
  <c r="E1800" i="2"/>
  <c r="F1800" i="2" s="1"/>
  <c r="E1945" i="2"/>
  <c r="F1945" i="2" s="1"/>
  <c r="E2008" i="2"/>
  <c r="F2008" i="2" s="1"/>
  <c r="E2040" i="2"/>
  <c r="F2040" i="2" s="1"/>
  <c r="E2072" i="2"/>
  <c r="F2072" i="2" s="1"/>
  <c r="E2088" i="2"/>
  <c r="F2088" i="2" s="1"/>
  <c r="E2120" i="2"/>
  <c r="F2120" i="2" s="1"/>
  <c r="E2152" i="2"/>
  <c r="F2152" i="2" s="1"/>
  <c r="E2184" i="2"/>
  <c r="F2184" i="2" s="1"/>
  <c r="E2216" i="2"/>
  <c r="F2216" i="2" s="1"/>
  <c r="E2231" i="2"/>
  <c r="F2231" i="2" s="1"/>
  <c r="E2264" i="2"/>
  <c r="F2264" i="2" s="1"/>
  <c r="E2296" i="2"/>
  <c r="F2296" i="2" s="1"/>
  <c r="E2328" i="2"/>
  <c r="F2328" i="2" s="1"/>
  <c r="E2360" i="2"/>
  <c r="F2360" i="2" s="1"/>
  <c r="E2392" i="2"/>
  <c r="F2392" i="2" s="1"/>
  <c r="E2424" i="2"/>
  <c r="F2424" i="2" s="1"/>
  <c r="E2560" i="2"/>
  <c r="F2560" i="2" s="1"/>
  <c r="E2592" i="2"/>
  <c r="F2592" i="2" s="1"/>
  <c r="E2624" i="2"/>
  <c r="F2624" i="2" s="1"/>
  <c r="E2656" i="2"/>
  <c r="F2656" i="2" s="1"/>
  <c r="E2680" i="2"/>
  <c r="F2680" i="2" s="1"/>
  <c r="E2711" i="2"/>
  <c r="F2711" i="2" s="1"/>
  <c r="E2743" i="2"/>
  <c r="F2743" i="2" s="1"/>
  <c r="E2792" i="2"/>
  <c r="F2792" i="2" s="1"/>
  <c r="E2808" i="2"/>
  <c r="F2808" i="2" s="1"/>
  <c r="E2840" i="2"/>
  <c r="F2840" i="2" s="1"/>
  <c r="E2879" i="2"/>
  <c r="F2879" i="2" s="1"/>
  <c r="E2944" i="2"/>
  <c r="F2944" i="2" s="1"/>
  <c r="E2976" i="2"/>
  <c r="F2976" i="2" s="1"/>
  <c r="E3008" i="2"/>
  <c r="F3008" i="2" s="1"/>
  <c r="E3088" i="2"/>
  <c r="F3088" i="2" s="1"/>
  <c r="E3143" i="2"/>
  <c r="F3143" i="2" s="1"/>
  <c r="E3173" i="2"/>
  <c r="F3173" i="2" s="1"/>
  <c r="E3191" i="2"/>
  <c r="F3191" i="2" s="1"/>
  <c r="E3199" i="2"/>
  <c r="F3199" i="2" s="1"/>
  <c r="E3215" i="2"/>
  <c r="F3215" i="2" s="1"/>
  <c r="E3223" i="2"/>
  <c r="F3223" i="2" s="1"/>
  <c r="E3239" i="2"/>
  <c r="F3239" i="2" s="1"/>
  <c r="E3247" i="2"/>
  <c r="F3247" i="2" s="1"/>
  <c r="E3255" i="2"/>
  <c r="F3255" i="2" s="1"/>
  <c r="E3263" i="2"/>
  <c r="F3263" i="2" s="1"/>
  <c r="E3271" i="2"/>
  <c r="F3271" i="2" s="1"/>
  <c r="E3287" i="2"/>
  <c r="F3287" i="2" s="1"/>
  <c r="E3295" i="2"/>
  <c r="F3295" i="2" s="1"/>
  <c r="E3311" i="2"/>
  <c r="F3311" i="2" s="1"/>
  <c r="E3319" i="2"/>
  <c r="F3319" i="2" s="1"/>
  <c r="E3335" i="2"/>
  <c r="F3335" i="2" s="1"/>
  <c r="E3343" i="2"/>
  <c r="F3343" i="2" s="1"/>
  <c r="E3359" i="2"/>
  <c r="F3359" i="2" s="1"/>
  <c r="E3367" i="2"/>
  <c r="F3367" i="2" s="1"/>
  <c r="E3375" i="2"/>
  <c r="F3375" i="2" s="1"/>
  <c r="E3383" i="2"/>
  <c r="F3383" i="2" s="1"/>
  <c r="E3391" i="2"/>
  <c r="F3391" i="2" s="1"/>
  <c r="E3399" i="2"/>
  <c r="F3399" i="2" s="1"/>
  <c r="E3407" i="2"/>
  <c r="F3407" i="2" s="1"/>
  <c r="E3415" i="2"/>
  <c r="F3415" i="2" s="1"/>
  <c r="E3423" i="2"/>
  <c r="F3423" i="2" s="1"/>
  <c r="E3431" i="2"/>
  <c r="F3431" i="2" s="1"/>
  <c r="E3439" i="2"/>
  <c r="F3439" i="2" s="1"/>
  <c r="E3455" i="2"/>
  <c r="F3455" i="2" s="1"/>
  <c r="E3463" i="2"/>
  <c r="F3463" i="2" s="1"/>
  <c r="E3479" i="2"/>
  <c r="F3479" i="2" s="1"/>
  <c r="E3487" i="2"/>
  <c r="F3487" i="2" s="1"/>
  <c r="E3495" i="2"/>
  <c r="F3495" i="2" s="1"/>
  <c r="E3503" i="2"/>
  <c r="F3503" i="2" s="1"/>
  <c r="E3511" i="2"/>
  <c r="F3511" i="2" s="1"/>
  <c r="E3519" i="2"/>
  <c r="F3519" i="2" s="1"/>
  <c r="E3527" i="2"/>
  <c r="F3527" i="2" s="1"/>
  <c r="E3535" i="2"/>
  <c r="F3535" i="2" s="1"/>
  <c r="E3551" i="2"/>
  <c r="F3551" i="2" s="1"/>
  <c r="E3559" i="2"/>
  <c r="F3559" i="2" s="1"/>
  <c r="E3575" i="2"/>
  <c r="F3575" i="2" s="1"/>
  <c r="E3583" i="2"/>
  <c r="F3583" i="2" s="1"/>
  <c r="E3599" i="2"/>
  <c r="F3599" i="2" s="1"/>
  <c r="E3607" i="2"/>
  <c r="F3607" i="2" s="1"/>
  <c r="E3647" i="2"/>
  <c r="F3647" i="2" s="1"/>
  <c r="E3655" i="2"/>
  <c r="F3655" i="2" s="1"/>
  <c r="E3663" i="2"/>
  <c r="F3663" i="2" s="1"/>
  <c r="E3671" i="2"/>
  <c r="F3671" i="2" s="1"/>
  <c r="E3679" i="2"/>
  <c r="F3679" i="2" s="1"/>
  <c r="E3703" i="2"/>
  <c r="F3703" i="2" s="1"/>
  <c r="E3719" i="2"/>
  <c r="F3719" i="2" s="1"/>
  <c r="E3727" i="2"/>
  <c r="F3727" i="2" s="1"/>
  <c r="E3743" i="2"/>
  <c r="F3743" i="2" s="1"/>
  <c r="E3751" i="2"/>
  <c r="F3751" i="2" s="1"/>
  <c r="E3767" i="2"/>
  <c r="F3767" i="2" s="1"/>
  <c r="E3775" i="2"/>
  <c r="F3775" i="2" s="1"/>
  <c r="E3791" i="2"/>
  <c r="F3791" i="2" s="1"/>
  <c r="E3799" i="2"/>
  <c r="F3799" i="2" s="1"/>
  <c r="E3807" i="2"/>
  <c r="F3807" i="2" s="1"/>
  <c r="E3815" i="2"/>
  <c r="F3815" i="2" s="1"/>
  <c r="E3823" i="2"/>
  <c r="F3823" i="2" s="1"/>
  <c r="E3839" i="2"/>
  <c r="F3839" i="2" s="1"/>
  <c r="E3847" i="2"/>
  <c r="F3847" i="2" s="1"/>
  <c r="E3855" i="2"/>
  <c r="F3855" i="2" s="1"/>
  <c r="E3863" i="2"/>
  <c r="F3863" i="2" s="1"/>
  <c r="E3871" i="2"/>
  <c r="F3871" i="2" s="1"/>
  <c r="E3887" i="2"/>
  <c r="F3887" i="2" s="1"/>
  <c r="E3895" i="2"/>
  <c r="F3895" i="2" s="1"/>
  <c r="E3919" i="2"/>
  <c r="F3919" i="2" s="1"/>
  <c r="E3975" i="2"/>
  <c r="F3975" i="2" s="1"/>
  <c r="E3983" i="2"/>
  <c r="F3983" i="2" s="1"/>
  <c r="E3991" i="2"/>
  <c r="F3991" i="2" s="1"/>
  <c r="E4007" i="2"/>
  <c r="F4007" i="2" s="1"/>
  <c r="E4015" i="2"/>
  <c r="F4015" i="2" s="1"/>
  <c r="E4039" i="2"/>
  <c r="F4039" i="2" s="1"/>
  <c r="E4055" i="2"/>
  <c r="F4055" i="2" s="1"/>
  <c r="E4063" i="2"/>
  <c r="F4063" i="2" s="1"/>
  <c r="E4079" i="2"/>
  <c r="F4079" i="2" s="1"/>
  <c r="E4087" i="2"/>
  <c r="F4087" i="2" s="1"/>
  <c r="E4103" i="2"/>
  <c r="F4103" i="2" s="1"/>
  <c r="E4111" i="2"/>
  <c r="F4111" i="2" s="1"/>
  <c r="E4167" i="2"/>
  <c r="F4167" i="2" s="1"/>
  <c r="E4175" i="2"/>
  <c r="F4175" i="2" s="1"/>
  <c r="E4183" i="2"/>
  <c r="F4183" i="2" s="1"/>
  <c r="E4223" i="2"/>
  <c r="F4223" i="2" s="1"/>
  <c r="E4231" i="2"/>
  <c r="F4231" i="2" s="1"/>
  <c r="E4319" i="2"/>
  <c r="F4319" i="2" s="1"/>
  <c r="E4327" i="2"/>
  <c r="F4327" i="2" s="1"/>
  <c r="E4415" i="2"/>
  <c r="F4415" i="2" s="1"/>
  <c r="E4423" i="2"/>
  <c r="F4423" i="2" s="1"/>
  <c r="E4439" i="2"/>
  <c r="F4439" i="2" s="1"/>
  <c r="E4495" i="2"/>
  <c r="F4495" i="2" s="1"/>
  <c r="E4503" i="2"/>
  <c r="F4503" i="2" s="1"/>
  <c r="E4511" i="2"/>
  <c r="F4511" i="2" s="1"/>
  <c r="E4519" i="2"/>
  <c r="F4519" i="2" s="1"/>
  <c r="E4535" i="2"/>
  <c r="F4535" i="2" s="1"/>
  <c r="E4543" i="2"/>
  <c r="F4543" i="2" s="1"/>
  <c r="E4559" i="2"/>
  <c r="F4559" i="2" s="1"/>
  <c r="E4567" i="2"/>
  <c r="F4567" i="2" s="1"/>
  <c r="E4591" i="2"/>
  <c r="F4591" i="2" s="1"/>
  <c r="E4639" i="2"/>
  <c r="F4639" i="2" s="1"/>
  <c r="E4703" i="2"/>
  <c r="F4703" i="2" s="1"/>
  <c r="E4711" i="2"/>
  <c r="F4711" i="2" s="1"/>
  <c r="E4735" i="2"/>
  <c r="F4735" i="2" s="1"/>
  <c r="E4951" i="2"/>
  <c r="F4951" i="2" s="1"/>
  <c r="E4999" i="2"/>
  <c r="F4999" i="2" s="1"/>
  <c r="E5015" i="2"/>
  <c r="F5015" i="2" s="1"/>
  <c r="E5023" i="2"/>
  <c r="F5023" i="2" s="1"/>
  <c r="E5039" i="2"/>
  <c r="F5039" i="2" s="1"/>
  <c r="E5047" i="2"/>
  <c r="F5047" i="2" s="1"/>
  <c r="E5063" i="2"/>
  <c r="F5063" i="2" s="1"/>
  <c r="E5071" i="2"/>
  <c r="F5071" i="2" s="1"/>
  <c r="E5087" i="2"/>
  <c r="F5087" i="2" s="1"/>
  <c r="E5095" i="2"/>
  <c r="F5095" i="2" s="1"/>
  <c r="E5111" i="2"/>
  <c r="F5111" i="2" s="1"/>
  <c r="E5119" i="2"/>
  <c r="F5119" i="2" s="1"/>
  <c r="E5135" i="2"/>
  <c r="F5135" i="2" s="1"/>
  <c r="E5143" i="2"/>
  <c r="F5143" i="2" s="1"/>
  <c r="E5151" i="2"/>
  <c r="F5151" i="2" s="1"/>
  <c r="E5159" i="2"/>
  <c r="F5159" i="2" s="1"/>
  <c r="E5191" i="2"/>
  <c r="F5191" i="2" s="1"/>
  <c r="E5207" i="2"/>
  <c r="F5207" i="2" s="1"/>
  <c r="E5215" i="2"/>
  <c r="F5215" i="2" s="1"/>
  <c r="E5231" i="2"/>
  <c r="F5231" i="2" s="1"/>
  <c r="E5239" i="2"/>
  <c r="F5239" i="2" s="1"/>
  <c r="E5279" i="2"/>
  <c r="F5279" i="2" s="1"/>
  <c r="E5287" i="2"/>
  <c r="F5287" i="2" s="1"/>
  <c r="E5311" i="2"/>
  <c r="F5311" i="2" s="1"/>
  <c r="E5327" i="2"/>
  <c r="F5327" i="2" s="1"/>
  <c r="E5335" i="2"/>
  <c r="F5335" i="2" s="1"/>
  <c r="E5351" i="2"/>
  <c r="F5351" i="2" s="1"/>
  <c r="E5359" i="2"/>
  <c r="F5359" i="2" s="1"/>
  <c r="E5471" i="2"/>
  <c r="F5471" i="2" s="1"/>
  <c r="E5479" i="2"/>
  <c r="F5479" i="2" s="1"/>
  <c r="E5495" i="2"/>
  <c r="F5495" i="2" s="1"/>
  <c r="E5503" i="2"/>
  <c r="F5503" i="2" s="1"/>
  <c r="E5519" i="2"/>
  <c r="F5519" i="2" s="1"/>
  <c r="E5527" i="2"/>
  <c r="F5527" i="2" s="1"/>
  <c r="E5543" i="2"/>
  <c r="F5543" i="2" s="1"/>
  <c r="E5551" i="2"/>
  <c r="F5551" i="2" s="1"/>
  <c r="E5567" i="2"/>
  <c r="F5567" i="2" s="1"/>
  <c r="E5575" i="2"/>
  <c r="F5575" i="2" s="1"/>
  <c r="E5591" i="2"/>
  <c r="F5591" i="2" s="1"/>
  <c r="E5599" i="2"/>
  <c r="F5599" i="2" s="1"/>
  <c r="E5607" i="2"/>
  <c r="F5607" i="2" s="1"/>
  <c r="E5615" i="2"/>
  <c r="F5615" i="2" s="1"/>
  <c r="E5623" i="2"/>
  <c r="F5623" i="2" s="1"/>
  <c r="E5639" i="2"/>
  <c r="F5639" i="2" s="1"/>
  <c r="E550" i="2"/>
  <c r="F550" i="2" s="1"/>
  <c r="E993" i="2"/>
  <c r="F993" i="2" s="1"/>
  <c r="E1121" i="2"/>
  <c r="F1121" i="2" s="1"/>
  <c r="E1249" i="2"/>
  <c r="F1249" i="2" s="1"/>
  <c r="E1377" i="2"/>
  <c r="F1377" i="2" s="1"/>
  <c r="E1505" i="2"/>
  <c r="F1505" i="2" s="1"/>
  <c r="E1697" i="2"/>
  <c r="F1697" i="2" s="1"/>
  <c r="E1825" i="2"/>
  <c r="F1825" i="2" s="1"/>
  <c r="E2015" i="2"/>
  <c r="F2015" i="2" s="1"/>
  <c r="E2047" i="2"/>
  <c r="F2047" i="2" s="1"/>
  <c r="E2095" i="2"/>
  <c r="F2095" i="2" s="1"/>
  <c r="E2127" i="2"/>
  <c r="F2127" i="2" s="1"/>
  <c r="E2159" i="2"/>
  <c r="F2159" i="2" s="1"/>
  <c r="E2191" i="2"/>
  <c r="F2191" i="2" s="1"/>
  <c r="E2232" i="2"/>
  <c r="F2232" i="2" s="1"/>
  <c r="E2271" i="2"/>
  <c r="F2271" i="2" s="1"/>
  <c r="E2303" i="2"/>
  <c r="F2303" i="2" s="1"/>
  <c r="E2335" i="2"/>
  <c r="F2335" i="2" s="1"/>
  <c r="E2367" i="2"/>
  <c r="F2367" i="2" s="1"/>
  <c r="E2399" i="2"/>
  <c r="F2399" i="2" s="1"/>
  <c r="E2431" i="2"/>
  <c r="F2431" i="2" s="1"/>
  <c r="E2495" i="2"/>
  <c r="F2495" i="2" s="1"/>
  <c r="E2567" i="2"/>
  <c r="F2567" i="2" s="1"/>
  <c r="E2599" i="2"/>
  <c r="F2599" i="2" s="1"/>
  <c r="E2631" i="2"/>
  <c r="F2631" i="2" s="1"/>
  <c r="E2687" i="2"/>
  <c r="F2687" i="2" s="1"/>
  <c r="E2712" i="2"/>
  <c r="F2712" i="2" s="1"/>
  <c r="E2744" i="2"/>
  <c r="F2744" i="2" s="1"/>
  <c r="E2815" i="2"/>
  <c r="F2815" i="2" s="1"/>
  <c r="E2880" i="2"/>
  <c r="F2880" i="2" s="1"/>
  <c r="E2951" i="2"/>
  <c r="F2951" i="2" s="1"/>
  <c r="E2983" i="2"/>
  <c r="F2983" i="2" s="1"/>
  <c r="E3015" i="2"/>
  <c r="F3015" i="2" s="1"/>
  <c r="E3047" i="2"/>
  <c r="F3047" i="2" s="1"/>
  <c r="E3144" i="2"/>
  <c r="F3144" i="2" s="1"/>
  <c r="E3175" i="2"/>
  <c r="F3175" i="2" s="1"/>
  <c r="E3192" i="2"/>
  <c r="F3192" i="2" s="1"/>
  <c r="E3200" i="2"/>
  <c r="F3200" i="2" s="1"/>
  <c r="E3208" i="2"/>
  <c r="F3208" i="2" s="1"/>
  <c r="E3216" i="2"/>
  <c r="F3216" i="2" s="1"/>
  <c r="E3224" i="2"/>
  <c r="F3224" i="2" s="1"/>
  <c r="E3240" i="2"/>
  <c r="F3240" i="2" s="1"/>
  <c r="E3248" i="2"/>
  <c r="F3248" i="2" s="1"/>
  <c r="E3264" i="2"/>
  <c r="F3264" i="2" s="1"/>
  <c r="E3272" i="2"/>
  <c r="F3272" i="2" s="1"/>
  <c r="E3288" i="2"/>
  <c r="F3288" i="2" s="1"/>
  <c r="E3296" i="2"/>
  <c r="F3296" i="2" s="1"/>
  <c r="E3312" i="2"/>
  <c r="F3312" i="2" s="1"/>
  <c r="E3320" i="2"/>
  <c r="F3320" i="2" s="1"/>
  <c r="E3336" i="2"/>
  <c r="F3336" i="2" s="1"/>
  <c r="E3344" i="2"/>
  <c r="F3344" i="2" s="1"/>
  <c r="E3360" i="2"/>
  <c r="F3360" i="2" s="1"/>
  <c r="E3368" i="2"/>
  <c r="F3368" i="2" s="1"/>
  <c r="E3376" i="2"/>
  <c r="F3376" i="2" s="1"/>
  <c r="E3384" i="2"/>
  <c r="F3384" i="2" s="1"/>
  <c r="E3392" i="2"/>
  <c r="F3392" i="2" s="1"/>
  <c r="E3400" i="2"/>
  <c r="F3400" i="2" s="1"/>
  <c r="E3408" i="2"/>
  <c r="F3408" i="2" s="1"/>
  <c r="E3416" i="2"/>
  <c r="F3416" i="2" s="1"/>
  <c r="E3424" i="2"/>
  <c r="F3424" i="2" s="1"/>
  <c r="E3432" i="2"/>
  <c r="F3432" i="2" s="1"/>
  <c r="E3440" i="2"/>
  <c r="F3440" i="2" s="1"/>
  <c r="E3456" i="2"/>
  <c r="F3456" i="2" s="1"/>
  <c r="E3464" i="2"/>
  <c r="F3464" i="2" s="1"/>
  <c r="E3480" i="2"/>
  <c r="F3480" i="2" s="1"/>
  <c r="E3488" i="2"/>
  <c r="F3488" i="2" s="1"/>
  <c r="E3496" i="2"/>
  <c r="F3496" i="2" s="1"/>
  <c r="E3504" i="2"/>
  <c r="F3504" i="2" s="1"/>
  <c r="E3512" i="2"/>
  <c r="F3512" i="2" s="1"/>
  <c r="E3520" i="2"/>
  <c r="F3520" i="2" s="1"/>
  <c r="E3528" i="2"/>
  <c r="F3528" i="2" s="1"/>
  <c r="E3536" i="2"/>
  <c r="F3536" i="2" s="1"/>
  <c r="E3552" i="2"/>
  <c r="F3552" i="2" s="1"/>
  <c r="E3560" i="2"/>
  <c r="F3560" i="2" s="1"/>
  <c r="E3576" i="2"/>
  <c r="F3576" i="2" s="1"/>
  <c r="E3600" i="2"/>
  <c r="F3600" i="2" s="1"/>
  <c r="E3608" i="2"/>
  <c r="F3608" i="2" s="1"/>
  <c r="E3648" i="2"/>
  <c r="F3648" i="2" s="1"/>
  <c r="E3656" i="2"/>
  <c r="F3656" i="2" s="1"/>
  <c r="E3664" i="2"/>
  <c r="F3664" i="2" s="1"/>
  <c r="E3672" i="2"/>
  <c r="F3672" i="2" s="1"/>
  <c r="E3680" i="2"/>
  <c r="F3680" i="2" s="1"/>
  <c r="E3720" i="2"/>
  <c r="F3720" i="2" s="1"/>
  <c r="E3728" i="2"/>
  <c r="F3728" i="2" s="1"/>
  <c r="E3744" i="2"/>
  <c r="F3744" i="2" s="1"/>
  <c r="E3752" i="2"/>
  <c r="F3752" i="2" s="1"/>
  <c r="E3768" i="2"/>
  <c r="F3768" i="2" s="1"/>
  <c r="E3776" i="2"/>
  <c r="F3776" i="2" s="1"/>
  <c r="E3792" i="2"/>
  <c r="F3792" i="2" s="1"/>
  <c r="E3800" i="2"/>
  <c r="F3800" i="2" s="1"/>
  <c r="E3808" i="2"/>
  <c r="F3808" i="2" s="1"/>
  <c r="E3816" i="2"/>
  <c r="F3816" i="2" s="1"/>
  <c r="E3824" i="2"/>
  <c r="F3824" i="2" s="1"/>
  <c r="E3832" i="2"/>
  <c r="F3832" i="2" s="1"/>
  <c r="E3840" i="2"/>
  <c r="F3840" i="2" s="1"/>
  <c r="E3848" i="2"/>
  <c r="F3848" i="2" s="1"/>
  <c r="E3856" i="2"/>
  <c r="F3856" i="2" s="1"/>
  <c r="E3864" i="2"/>
  <c r="F3864" i="2" s="1"/>
  <c r="E3872" i="2"/>
  <c r="F3872" i="2" s="1"/>
  <c r="E3888" i="2"/>
  <c r="F3888" i="2" s="1"/>
  <c r="E3896" i="2"/>
  <c r="F3896" i="2" s="1"/>
  <c r="E3920" i="2"/>
  <c r="F3920" i="2" s="1"/>
  <c r="E3984" i="2"/>
  <c r="F3984" i="2" s="1"/>
  <c r="E3992" i="2"/>
  <c r="F3992" i="2" s="1"/>
  <c r="E4008" i="2"/>
  <c r="F4008" i="2" s="1"/>
  <c r="E4016" i="2"/>
  <c r="F4016" i="2" s="1"/>
  <c r="E4056" i="2"/>
  <c r="F4056" i="2" s="1"/>
  <c r="E4064" i="2"/>
  <c r="F4064" i="2" s="1"/>
  <c r="E4080" i="2"/>
  <c r="F4080" i="2" s="1"/>
  <c r="E4088" i="2"/>
  <c r="F4088" i="2" s="1"/>
  <c r="E4104" i="2"/>
  <c r="F4104" i="2" s="1"/>
  <c r="E4168" i="2"/>
  <c r="F4168" i="2" s="1"/>
  <c r="E4176" i="2"/>
  <c r="F4176" i="2" s="1"/>
  <c r="E4184" i="2"/>
  <c r="F4184" i="2" s="1"/>
  <c r="E4224" i="2"/>
  <c r="F4224" i="2" s="1"/>
  <c r="E4272" i="2"/>
  <c r="F4272" i="2" s="1"/>
  <c r="E4320" i="2"/>
  <c r="F4320" i="2" s="1"/>
  <c r="E4328" i="2"/>
  <c r="F4328" i="2" s="1"/>
  <c r="E4400" i="2"/>
  <c r="F4400" i="2" s="1"/>
  <c r="E4416" i="2"/>
  <c r="F4416" i="2" s="1"/>
  <c r="E4424" i="2"/>
  <c r="F4424" i="2" s="1"/>
  <c r="E4440" i="2"/>
  <c r="F4440" i="2" s="1"/>
  <c r="E4488" i="2"/>
  <c r="F4488" i="2" s="1"/>
  <c r="E4496" i="2"/>
  <c r="F4496" i="2" s="1"/>
  <c r="E4504" i="2"/>
  <c r="F4504" i="2" s="1"/>
  <c r="E4512" i="2"/>
  <c r="F4512" i="2" s="1"/>
  <c r="E4520" i="2"/>
  <c r="F4520" i="2" s="1"/>
  <c r="E4536" i="2"/>
  <c r="F4536" i="2" s="1"/>
  <c r="E4544" i="2"/>
  <c r="F4544" i="2" s="1"/>
  <c r="E4560" i="2"/>
  <c r="F4560" i="2" s="1"/>
  <c r="E4568" i="2"/>
  <c r="F4568" i="2" s="1"/>
  <c r="E4584" i="2"/>
  <c r="F4584" i="2" s="1"/>
  <c r="E4592" i="2"/>
  <c r="F4592" i="2" s="1"/>
  <c r="E4632" i="2"/>
  <c r="F4632" i="2" s="1"/>
  <c r="E4704" i="2"/>
  <c r="F4704" i="2" s="1"/>
  <c r="E4712" i="2"/>
  <c r="F4712" i="2" s="1"/>
  <c r="E4728" i="2"/>
  <c r="F4728" i="2" s="1"/>
  <c r="E5016" i="2"/>
  <c r="F5016" i="2" s="1"/>
  <c r="E5024" i="2"/>
  <c r="F5024" i="2" s="1"/>
  <c r="E5040" i="2"/>
  <c r="F5040" i="2" s="1"/>
  <c r="E5048" i="2"/>
  <c r="F5048" i="2" s="1"/>
  <c r="E5064" i="2"/>
  <c r="F5064" i="2" s="1"/>
  <c r="E5072" i="2"/>
  <c r="F5072" i="2" s="1"/>
  <c r="E5088" i="2"/>
  <c r="F5088" i="2" s="1"/>
  <c r="E5096" i="2"/>
  <c r="F5096" i="2" s="1"/>
  <c r="E5112" i="2"/>
  <c r="F5112" i="2" s="1"/>
  <c r="E5120" i="2"/>
  <c r="F5120" i="2" s="1"/>
  <c r="E5136" i="2"/>
  <c r="F5136" i="2" s="1"/>
  <c r="E5144" i="2"/>
  <c r="F5144" i="2" s="1"/>
  <c r="E5160" i="2"/>
  <c r="F5160" i="2" s="1"/>
  <c r="E5192" i="2"/>
  <c r="F5192" i="2" s="1"/>
  <c r="E5208" i="2"/>
  <c r="F5208" i="2" s="1"/>
  <c r="E5216" i="2"/>
  <c r="F5216" i="2" s="1"/>
  <c r="E5232" i="2"/>
  <c r="F5232" i="2" s="1"/>
  <c r="E5240" i="2"/>
  <c r="F5240" i="2" s="1"/>
  <c r="E5280" i="2"/>
  <c r="F5280" i="2" s="1"/>
  <c r="E5288" i="2"/>
  <c r="F5288" i="2" s="1"/>
  <c r="E5312" i="2"/>
  <c r="F5312" i="2" s="1"/>
  <c r="E5328" i="2"/>
  <c r="F5328" i="2" s="1"/>
  <c r="E5336" i="2"/>
  <c r="F5336" i="2" s="1"/>
  <c r="E5352" i="2"/>
  <c r="F5352" i="2" s="1"/>
  <c r="E5360" i="2"/>
  <c r="F5360" i="2" s="1"/>
  <c r="E5472" i="2"/>
  <c r="F5472" i="2" s="1"/>
  <c r="E5480" i="2"/>
  <c r="F5480" i="2" s="1"/>
  <c r="E5496" i="2"/>
  <c r="F5496" i="2" s="1"/>
  <c r="E5504" i="2"/>
  <c r="F5504" i="2" s="1"/>
  <c r="E5520" i="2"/>
  <c r="F5520" i="2" s="1"/>
  <c r="E5528" i="2"/>
  <c r="F5528" i="2" s="1"/>
  <c r="E5544" i="2"/>
  <c r="F5544" i="2" s="1"/>
  <c r="E5552" i="2"/>
  <c r="F5552" i="2" s="1"/>
  <c r="E5568" i="2"/>
  <c r="F5568" i="2" s="1"/>
  <c r="E5576" i="2"/>
  <c r="F5576" i="2" s="1"/>
  <c r="E5592" i="2"/>
  <c r="F5592" i="2" s="1"/>
  <c r="E5600" i="2"/>
  <c r="F5600" i="2" s="1"/>
  <c r="E5608" i="2"/>
  <c r="F5608" i="2" s="1"/>
  <c r="E5616" i="2"/>
  <c r="F5616" i="2" s="1"/>
  <c r="E5624" i="2"/>
  <c r="F5624" i="2" s="1"/>
  <c r="E5640" i="2"/>
  <c r="F5640" i="2" s="1"/>
  <c r="E817" i="2"/>
  <c r="F817" i="2" s="1"/>
  <c r="E1024" i="2"/>
  <c r="F1024" i="2" s="1"/>
  <c r="E1152" i="2"/>
  <c r="F1152" i="2" s="1"/>
  <c r="E1280" i="2"/>
  <c r="F1280" i="2" s="1"/>
  <c r="E1408" i="2"/>
  <c r="F1408" i="2" s="1"/>
  <c r="E1536" i="2"/>
  <c r="F1536" i="2" s="1"/>
  <c r="E1704" i="2"/>
  <c r="F1704" i="2" s="1"/>
  <c r="E1832" i="2"/>
  <c r="F1832" i="2" s="1"/>
  <c r="E2016" i="2"/>
  <c r="F2016" i="2" s="1"/>
  <c r="E2048" i="2"/>
  <c r="F2048" i="2" s="1"/>
  <c r="E2096" i="2"/>
  <c r="F2096" i="2" s="1"/>
  <c r="E2128" i="2"/>
  <c r="F2128" i="2" s="1"/>
  <c r="E2160" i="2"/>
  <c r="F2160" i="2" s="1"/>
  <c r="E2192" i="2"/>
  <c r="F2192" i="2" s="1"/>
  <c r="E2239" i="2"/>
  <c r="F2239" i="2" s="1"/>
  <c r="E2272" i="2"/>
  <c r="F2272" i="2" s="1"/>
  <c r="E2304" i="2"/>
  <c r="F2304" i="2" s="1"/>
  <c r="E2336" i="2"/>
  <c r="F2336" i="2" s="1"/>
  <c r="E2368" i="2"/>
  <c r="F2368" i="2" s="1"/>
  <c r="E2400" i="2"/>
  <c r="F2400" i="2" s="1"/>
  <c r="E2432" i="2"/>
  <c r="F2432" i="2" s="1"/>
  <c r="E2447" i="2"/>
  <c r="F2447" i="2" s="1"/>
  <c r="E2471" i="2"/>
  <c r="F2471" i="2" s="1"/>
  <c r="E2496" i="2"/>
  <c r="F2496" i="2" s="1"/>
  <c r="E2568" i="2"/>
  <c r="F2568" i="2" s="1"/>
  <c r="E2600" i="2"/>
  <c r="F2600" i="2" s="1"/>
  <c r="E2632" i="2"/>
  <c r="F2632" i="2" s="1"/>
  <c r="E2688" i="2"/>
  <c r="F2688" i="2" s="1"/>
  <c r="E2719" i="2"/>
  <c r="F2719" i="2" s="1"/>
  <c r="E2751" i="2"/>
  <c r="F2751" i="2" s="1"/>
  <c r="E2816" i="2"/>
  <c r="F2816" i="2" s="1"/>
  <c r="E2855" i="2"/>
  <c r="F2855" i="2" s="1"/>
  <c r="E2887" i="2"/>
  <c r="F2887" i="2" s="1"/>
  <c r="E2952" i="2"/>
  <c r="F2952" i="2" s="1"/>
  <c r="E2984" i="2"/>
  <c r="F2984" i="2" s="1"/>
  <c r="E3016" i="2"/>
  <c r="F3016" i="2" s="1"/>
  <c r="E3048" i="2"/>
  <c r="F3048" i="2" s="1"/>
  <c r="E3095" i="2"/>
  <c r="F3095" i="2" s="1"/>
  <c r="E3119" i="2"/>
  <c r="F3119" i="2" s="1"/>
  <c r="E3151" i="2"/>
  <c r="F3151" i="2" s="1"/>
  <c r="E3176" i="2"/>
  <c r="F3176" i="2" s="1"/>
  <c r="E3185" i="2"/>
  <c r="F3185" i="2" s="1"/>
  <c r="E3193" i="2"/>
  <c r="F3193" i="2" s="1"/>
  <c r="E3201" i="2"/>
  <c r="F3201" i="2" s="1"/>
  <c r="E3209" i="2"/>
  <c r="F3209" i="2" s="1"/>
  <c r="E3217" i="2"/>
  <c r="F3217" i="2" s="1"/>
  <c r="E3225" i="2"/>
  <c r="F3225" i="2" s="1"/>
  <c r="E3241" i="2"/>
  <c r="F3241" i="2" s="1"/>
  <c r="E3249" i="2"/>
  <c r="F3249" i="2" s="1"/>
  <c r="E3265" i="2"/>
  <c r="F3265" i="2" s="1"/>
  <c r="E3273" i="2"/>
  <c r="F3273" i="2" s="1"/>
  <c r="E3289" i="2"/>
  <c r="F3289" i="2" s="1"/>
  <c r="E3297" i="2"/>
  <c r="F3297" i="2" s="1"/>
  <c r="E3313" i="2"/>
  <c r="F3313" i="2" s="1"/>
  <c r="E3321" i="2"/>
  <c r="F3321" i="2" s="1"/>
  <c r="E3337" i="2"/>
  <c r="F3337" i="2" s="1"/>
  <c r="E3361" i="2"/>
  <c r="F3361" i="2" s="1"/>
  <c r="E3369" i="2"/>
  <c r="F3369" i="2" s="1"/>
  <c r="E3377" i="2"/>
  <c r="F3377" i="2" s="1"/>
  <c r="E3385" i="2"/>
  <c r="F3385" i="2" s="1"/>
  <c r="E3393" i="2"/>
  <c r="F3393" i="2" s="1"/>
  <c r="E3401" i="2"/>
  <c r="F3401" i="2" s="1"/>
  <c r="E3409" i="2"/>
  <c r="F3409" i="2" s="1"/>
  <c r="E3417" i="2"/>
  <c r="F3417" i="2" s="1"/>
  <c r="E3425" i="2"/>
  <c r="F3425" i="2" s="1"/>
  <c r="E3433" i="2"/>
  <c r="F3433" i="2" s="1"/>
  <c r="E3441" i="2"/>
  <c r="F3441" i="2" s="1"/>
  <c r="E3457" i="2"/>
  <c r="F3457" i="2" s="1"/>
  <c r="E3465" i="2"/>
  <c r="F3465" i="2" s="1"/>
  <c r="E3473" i="2"/>
  <c r="F3473" i="2" s="1"/>
  <c r="E3481" i="2"/>
  <c r="F3481" i="2" s="1"/>
  <c r="E3489" i="2"/>
  <c r="F3489" i="2" s="1"/>
  <c r="E3497" i="2"/>
  <c r="F3497" i="2" s="1"/>
  <c r="E3505" i="2"/>
  <c r="F3505" i="2" s="1"/>
  <c r="E3513" i="2"/>
  <c r="F3513" i="2" s="1"/>
  <c r="E3521" i="2"/>
  <c r="F3521" i="2" s="1"/>
  <c r="E3529" i="2"/>
  <c r="F3529" i="2" s="1"/>
  <c r="E3537" i="2"/>
  <c r="F3537" i="2" s="1"/>
  <c r="E3553" i="2"/>
  <c r="F3553" i="2" s="1"/>
  <c r="E3561" i="2"/>
  <c r="F3561" i="2" s="1"/>
  <c r="E3577" i="2"/>
  <c r="F3577" i="2" s="1"/>
  <c r="E3601" i="2"/>
  <c r="F3601" i="2" s="1"/>
  <c r="E3649" i="2"/>
  <c r="F3649" i="2" s="1"/>
  <c r="E3673" i="2"/>
  <c r="F3673" i="2" s="1"/>
  <c r="E3681" i="2"/>
  <c r="F3681" i="2" s="1"/>
  <c r="E3721" i="2"/>
  <c r="F3721" i="2" s="1"/>
  <c r="E3737" i="2"/>
  <c r="F3737" i="2" s="1"/>
  <c r="E3745" i="2"/>
  <c r="F3745" i="2" s="1"/>
  <c r="E3753" i="2"/>
  <c r="F3753" i="2" s="1"/>
  <c r="E3769" i="2"/>
  <c r="F3769" i="2" s="1"/>
  <c r="E3777" i="2"/>
  <c r="F3777" i="2" s="1"/>
  <c r="E3785" i="2"/>
  <c r="F3785" i="2" s="1"/>
  <c r="E3793" i="2"/>
  <c r="F3793" i="2" s="1"/>
  <c r="E3801" i="2"/>
  <c r="F3801" i="2" s="1"/>
  <c r="E3809" i="2"/>
  <c r="F3809" i="2" s="1"/>
  <c r="E3817" i="2"/>
  <c r="F3817" i="2" s="1"/>
  <c r="E3825" i="2"/>
  <c r="F3825" i="2" s="1"/>
  <c r="E3833" i="2"/>
  <c r="F3833" i="2" s="1"/>
  <c r="E3841" i="2"/>
  <c r="F3841" i="2" s="1"/>
  <c r="E3849" i="2"/>
  <c r="F3849" i="2" s="1"/>
  <c r="E3857" i="2"/>
  <c r="F3857" i="2" s="1"/>
  <c r="E3865" i="2"/>
  <c r="F3865" i="2" s="1"/>
  <c r="E3873" i="2"/>
  <c r="F3873" i="2" s="1"/>
  <c r="E3889" i="2"/>
  <c r="F3889" i="2" s="1"/>
  <c r="E3897" i="2"/>
  <c r="F3897" i="2" s="1"/>
  <c r="E3913" i="2"/>
  <c r="F3913" i="2" s="1"/>
  <c r="E3985" i="2"/>
  <c r="F3985" i="2" s="1"/>
  <c r="E4009" i="2"/>
  <c r="F4009" i="2" s="1"/>
  <c r="E4057" i="2"/>
  <c r="F4057" i="2" s="1"/>
  <c r="E4065" i="2"/>
  <c r="F4065" i="2" s="1"/>
  <c r="E4081" i="2"/>
  <c r="F4081" i="2" s="1"/>
  <c r="E4089" i="2"/>
  <c r="F4089" i="2" s="1"/>
  <c r="E4105" i="2"/>
  <c r="F4105" i="2" s="1"/>
  <c r="E4169" i="2"/>
  <c r="F4169" i="2" s="1"/>
  <c r="E4177" i="2"/>
  <c r="F4177" i="2" s="1"/>
  <c r="E4225" i="2"/>
  <c r="F4225" i="2" s="1"/>
  <c r="E4273" i="2"/>
  <c r="F4273" i="2" s="1"/>
  <c r="E4321" i="2"/>
  <c r="F4321" i="2" s="1"/>
  <c r="E4401" i="2"/>
  <c r="F4401" i="2" s="1"/>
  <c r="E4417" i="2"/>
  <c r="F4417" i="2" s="1"/>
  <c r="E4441" i="2"/>
  <c r="F4441" i="2" s="1"/>
  <c r="E4489" i="2"/>
  <c r="F4489" i="2" s="1"/>
  <c r="E4513" i="2"/>
  <c r="F4513" i="2" s="1"/>
  <c r="E4521" i="2"/>
  <c r="F4521" i="2" s="1"/>
  <c r="E4537" i="2"/>
  <c r="F4537" i="2" s="1"/>
  <c r="E4561" i="2"/>
  <c r="F4561" i="2" s="1"/>
  <c r="E4585" i="2"/>
  <c r="F4585" i="2" s="1"/>
  <c r="E4633" i="2"/>
  <c r="F4633" i="2" s="1"/>
  <c r="E4705" i="2"/>
  <c r="F4705" i="2" s="1"/>
  <c r="E4713" i="2"/>
  <c r="F4713" i="2" s="1"/>
  <c r="E4729" i="2"/>
  <c r="F4729" i="2" s="1"/>
  <c r="E4849" i="2"/>
  <c r="F4849" i="2" s="1"/>
  <c r="E5017" i="2"/>
  <c r="F5017" i="2" s="1"/>
  <c r="E5041" i="2"/>
  <c r="F5041" i="2" s="1"/>
  <c r="E5049" i="2"/>
  <c r="F5049" i="2" s="1"/>
  <c r="E5065" i="2"/>
  <c r="F5065" i="2" s="1"/>
  <c r="E5073" i="2"/>
  <c r="F5073" i="2" s="1"/>
  <c r="E5089" i="2"/>
  <c r="F5089" i="2" s="1"/>
  <c r="E5097" i="2"/>
  <c r="F5097" i="2" s="1"/>
  <c r="E5113" i="2"/>
  <c r="F5113" i="2" s="1"/>
  <c r="E5121" i="2"/>
  <c r="F5121" i="2" s="1"/>
  <c r="E5137" i="2"/>
  <c r="F5137" i="2" s="1"/>
  <c r="E5145" i="2"/>
  <c r="F5145" i="2" s="1"/>
  <c r="E5161" i="2"/>
  <c r="F5161" i="2" s="1"/>
  <c r="E5193" i="2"/>
  <c r="F5193" i="2" s="1"/>
  <c r="E5209" i="2"/>
  <c r="F5209" i="2" s="1"/>
  <c r="E5217" i="2"/>
  <c r="F5217" i="2" s="1"/>
  <c r="E5233" i="2"/>
  <c r="F5233" i="2" s="1"/>
  <c r="E5281" i="2"/>
  <c r="F5281" i="2" s="1"/>
  <c r="E5305" i="2"/>
  <c r="F5305" i="2" s="1"/>
  <c r="E5329" i="2"/>
  <c r="F5329" i="2" s="1"/>
  <c r="E5353" i="2"/>
  <c r="F5353" i="2" s="1"/>
  <c r="E5473" i="2"/>
  <c r="F5473" i="2" s="1"/>
  <c r="E5497" i="2"/>
  <c r="F5497" i="2" s="1"/>
  <c r="E5521" i="2"/>
  <c r="F5521" i="2" s="1"/>
  <c r="E5545" i="2"/>
  <c r="F5545" i="2" s="1"/>
  <c r="E5569" i="2"/>
  <c r="F5569" i="2" s="1"/>
  <c r="E5577" i="2"/>
  <c r="F5577" i="2" s="1"/>
  <c r="E5593" i="2"/>
  <c r="F5593" i="2" s="1"/>
  <c r="E5601" i="2"/>
  <c r="F5601" i="2" s="1"/>
  <c r="E5617" i="2"/>
  <c r="F5617" i="2" s="1"/>
  <c r="E5625" i="2"/>
  <c r="F5625" i="2" s="1"/>
  <c r="E5641" i="2"/>
  <c r="F5641" i="2" s="1"/>
  <c r="E5649" i="2"/>
  <c r="F5649" i="2" s="1"/>
  <c r="E825" i="2"/>
  <c r="F825" i="2" s="1"/>
  <c r="E1025" i="2"/>
  <c r="F1025" i="2" s="1"/>
  <c r="E1153" i="2"/>
  <c r="F1153" i="2" s="1"/>
  <c r="E1281" i="2"/>
  <c r="F1281" i="2" s="1"/>
  <c r="E1409" i="2"/>
  <c r="F1409" i="2" s="1"/>
  <c r="E1537" i="2"/>
  <c r="F1537" i="2" s="1"/>
  <c r="E1585" i="2"/>
  <c r="F1585" i="2" s="1"/>
  <c r="E1608" i="2"/>
  <c r="F1608" i="2" s="1"/>
  <c r="E1729" i="2"/>
  <c r="F1729" i="2" s="1"/>
  <c r="E1857" i="2"/>
  <c r="F1857" i="2" s="1"/>
  <c r="E1905" i="2"/>
  <c r="F1905" i="2" s="1"/>
  <c r="E1976" i="2"/>
  <c r="F1976" i="2" s="1"/>
  <c r="E2023" i="2"/>
  <c r="F2023" i="2" s="1"/>
  <c r="E2055" i="2"/>
  <c r="F2055" i="2" s="1"/>
  <c r="E2103" i="2"/>
  <c r="F2103" i="2" s="1"/>
  <c r="E2135" i="2"/>
  <c r="F2135" i="2" s="1"/>
  <c r="E2167" i="2"/>
  <c r="F2167" i="2" s="1"/>
  <c r="E2199" i="2"/>
  <c r="F2199" i="2" s="1"/>
  <c r="E2240" i="2"/>
  <c r="F2240" i="2" s="1"/>
  <c r="E2279" i="2"/>
  <c r="F2279" i="2" s="1"/>
  <c r="E2311" i="2"/>
  <c r="F2311" i="2" s="1"/>
  <c r="E2343" i="2"/>
  <c r="F2343" i="2" s="1"/>
  <c r="E2375" i="2"/>
  <c r="F2375" i="2" s="1"/>
  <c r="E2407" i="2"/>
  <c r="F2407" i="2" s="1"/>
  <c r="E2448" i="2"/>
  <c r="F2448" i="2" s="1"/>
  <c r="E2472" i="2"/>
  <c r="F2472" i="2" s="1"/>
  <c r="E2503" i="2"/>
  <c r="F2503" i="2" s="1"/>
  <c r="E2543" i="2"/>
  <c r="F2543" i="2" s="1"/>
  <c r="E2575" i="2"/>
  <c r="F2575" i="2" s="1"/>
  <c r="E2607" i="2"/>
  <c r="F2607" i="2" s="1"/>
  <c r="E2639" i="2"/>
  <c r="F2639" i="2" s="1"/>
  <c r="E2663" i="2"/>
  <c r="F2663" i="2" s="1"/>
  <c r="E2695" i="2"/>
  <c r="F2695" i="2" s="1"/>
  <c r="E2720" i="2"/>
  <c r="F2720" i="2" s="1"/>
  <c r="E2752" i="2"/>
  <c r="F2752" i="2" s="1"/>
  <c r="E2856" i="2"/>
  <c r="F2856" i="2" s="1"/>
  <c r="E2888" i="2"/>
  <c r="F2888" i="2" s="1"/>
  <c r="E2927" i="2"/>
  <c r="F2927" i="2" s="1"/>
  <c r="E2959" i="2"/>
  <c r="F2959" i="2" s="1"/>
  <c r="E2991" i="2"/>
  <c r="F2991" i="2" s="1"/>
  <c r="E3023" i="2"/>
  <c r="F3023" i="2" s="1"/>
  <c r="E3055" i="2"/>
  <c r="F3055" i="2" s="1"/>
  <c r="E3071" i="2"/>
  <c r="F3071" i="2" s="1"/>
  <c r="E3096" i="2"/>
  <c r="F3096" i="2" s="1"/>
  <c r="E3120" i="2"/>
  <c r="F3120" i="2" s="1"/>
  <c r="E3152" i="2"/>
  <c r="F3152" i="2" s="1"/>
  <c r="E3177" i="2"/>
  <c r="F3177" i="2" s="1"/>
  <c r="E3186" i="2"/>
  <c r="F3186" i="2" s="1"/>
  <c r="E3194" i="2"/>
  <c r="F3194" i="2" s="1"/>
  <c r="E3202" i="2"/>
  <c r="F3202" i="2" s="1"/>
  <c r="E3210" i="2"/>
  <c r="F3210" i="2" s="1"/>
  <c r="E3218" i="2"/>
  <c r="F3218" i="2" s="1"/>
  <c r="E3226" i="2"/>
  <c r="F3226" i="2" s="1"/>
  <c r="E3242" i="2"/>
  <c r="F3242" i="2" s="1"/>
  <c r="E3250" i="2"/>
  <c r="F3250" i="2" s="1"/>
  <c r="E3266" i="2"/>
  <c r="F3266" i="2" s="1"/>
  <c r="E3274" i="2"/>
  <c r="F3274" i="2" s="1"/>
  <c r="E3290" i="2"/>
  <c r="F3290" i="2" s="1"/>
  <c r="E3298" i="2"/>
  <c r="F3298" i="2" s="1"/>
  <c r="E3314" i="2"/>
  <c r="F3314" i="2" s="1"/>
  <c r="E3322" i="2"/>
  <c r="F3322" i="2" s="1"/>
  <c r="E3338" i="2"/>
  <c r="F3338" i="2" s="1"/>
  <c r="E3362" i="2"/>
  <c r="F3362" i="2" s="1"/>
  <c r="E3370" i="2"/>
  <c r="F3370" i="2" s="1"/>
  <c r="E3378" i="2"/>
  <c r="F3378" i="2" s="1"/>
  <c r="E3386" i="2"/>
  <c r="F3386" i="2" s="1"/>
  <c r="E3394" i="2"/>
  <c r="F3394" i="2" s="1"/>
  <c r="E3402" i="2"/>
  <c r="F3402" i="2" s="1"/>
  <c r="E3410" i="2"/>
  <c r="F3410" i="2" s="1"/>
  <c r="E3418" i="2"/>
  <c r="F3418" i="2" s="1"/>
  <c r="E3426" i="2"/>
  <c r="F3426" i="2" s="1"/>
  <c r="E3434" i="2"/>
  <c r="F3434" i="2" s="1"/>
  <c r="E3442" i="2"/>
  <c r="F3442" i="2" s="1"/>
  <c r="E3458" i="2"/>
  <c r="F3458" i="2" s="1"/>
  <c r="E3466" i="2"/>
  <c r="F3466" i="2" s="1"/>
  <c r="E3474" i="2"/>
  <c r="F3474" i="2" s="1"/>
  <c r="E3482" i="2"/>
  <c r="F3482" i="2" s="1"/>
  <c r="E3490" i="2"/>
  <c r="F3490" i="2" s="1"/>
  <c r="E3498" i="2"/>
  <c r="F3498" i="2" s="1"/>
  <c r="E3506" i="2"/>
  <c r="F3506" i="2" s="1"/>
  <c r="E3514" i="2"/>
  <c r="F3514" i="2" s="1"/>
  <c r="E3530" i="2"/>
  <c r="F3530" i="2" s="1"/>
  <c r="E3538" i="2"/>
  <c r="F3538" i="2" s="1"/>
  <c r="E3546" i="2"/>
  <c r="F3546" i="2" s="1"/>
  <c r="E3554" i="2"/>
  <c r="F3554" i="2" s="1"/>
  <c r="E3562" i="2"/>
  <c r="F3562" i="2" s="1"/>
  <c r="E3570" i="2"/>
  <c r="F3570" i="2" s="1"/>
  <c r="E3578" i="2"/>
  <c r="F3578" i="2" s="1"/>
  <c r="E3602" i="2"/>
  <c r="F3602" i="2" s="1"/>
  <c r="E3626" i="2"/>
  <c r="F3626" i="2" s="1"/>
  <c r="E3650" i="2"/>
  <c r="F3650" i="2" s="1"/>
  <c r="E3674" i="2"/>
  <c r="F3674" i="2" s="1"/>
  <c r="E3682" i="2"/>
  <c r="F3682" i="2" s="1"/>
  <c r="E3722" i="2"/>
  <c r="F3722" i="2" s="1"/>
  <c r="E3738" i="2"/>
  <c r="F3738" i="2" s="1"/>
  <c r="E3746" i="2"/>
  <c r="F3746" i="2" s="1"/>
  <c r="E3754" i="2"/>
  <c r="F3754" i="2" s="1"/>
  <c r="E3770" i="2"/>
  <c r="F3770" i="2" s="1"/>
  <c r="E3778" i="2"/>
  <c r="F3778" i="2" s="1"/>
  <c r="E3794" i="2"/>
  <c r="F3794" i="2" s="1"/>
  <c r="E3802" i="2"/>
  <c r="F3802" i="2" s="1"/>
  <c r="E3810" i="2"/>
  <c r="F3810" i="2" s="1"/>
  <c r="E3818" i="2"/>
  <c r="F3818" i="2" s="1"/>
  <c r="E3826" i="2"/>
  <c r="F3826" i="2" s="1"/>
  <c r="E3834" i="2"/>
  <c r="F3834" i="2" s="1"/>
  <c r="E3842" i="2"/>
  <c r="F3842" i="2" s="1"/>
  <c r="E3850" i="2"/>
  <c r="F3850" i="2" s="1"/>
  <c r="E3858" i="2"/>
  <c r="F3858" i="2" s="1"/>
  <c r="E3866" i="2"/>
  <c r="F3866" i="2" s="1"/>
  <c r="E3874" i="2"/>
  <c r="F3874" i="2" s="1"/>
  <c r="E3890" i="2"/>
  <c r="F3890" i="2" s="1"/>
  <c r="E3914" i="2"/>
  <c r="F3914" i="2" s="1"/>
  <c r="E3986" i="2"/>
  <c r="F3986" i="2" s="1"/>
  <c r="E4010" i="2"/>
  <c r="F4010" i="2" s="1"/>
  <c r="E4034" i="2"/>
  <c r="F4034" i="2" s="1"/>
  <c r="E4058" i="2"/>
  <c r="F4058" i="2" s="1"/>
  <c r="E4082" i="2"/>
  <c r="F4082" i="2" s="1"/>
  <c r="E4090" i="2"/>
  <c r="F4090" i="2" s="1"/>
  <c r="E4106" i="2"/>
  <c r="F4106" i="2" s="1"/>
  <c r="E4178" i="2"/>
  <c r="F4178" i="2" s="1"/>
  <c r="E4226" i="2"/>
  <c r="F4226" i="2" s="1"/>
  <c r="E4258" i="2"/>
  <c r="F4258" i="2" s="1"/>
  <c r="E4274" i="2"/>
  <c r="F4274" i="2" s="1"/>
  <c r="E4322" i="2"/>
  <c r="F4322" i="2" s="1"/>
  <c r="E4346" i="2"/>
  <c r="F4346" i="2" s="1"/>
  <c r="E4418" i="2"/>
  <c r="F4418" i="2" s="1"/>
  <c r="E4442" i="2"/>
  <c r="F4442" i="2" s="1"/>
  <c r="E4490" i="2"/>
  <c r="F4490" i="2" s="1"/>
  <c r="E4506" i="2"/>
  <c r="F4506" i="2" s="1"/>
  <c r="E4514" i="2"/>
  <c r="F4514" i="2" s="1"/>
  <c r="E4522" i="2"/>
  <c r="F4522" i="2" s="1"/>
  <c r="E4538" i="2"/>
  <c r="F4538" i="2" s="1"/>
  <c r="E4562" i="2"/>
  <c r="F4562" i="2" s="1"/>
  <c r="E4586" i="2"/>
  <c r="F4586" i="2" s="1"/>
  <c r="E4634" i="2"/>
  <c r="F4634" i="2" s="1"/>
  <c r="E4658" i="2"/>
  <c r="F4658" i="2" s="1"/>
  <c r="E4706" i="2"/>
  <c r="F4706" i="2" s="1"/>
  <c r="E4714" i="2"/>
  <c r="F4714" i="2" s="1"/>
  <c r="E4730" i="2"/>
  <c r="F4730" i="2" s="1"/>
  <c r="E4970" i="2"/>
  <c r="F4970" i="2" s="1"/>
  <c r="E5018" i="2"/>
  <c r="F5018" i="2" s="1"/>
  <c r="E5042" i="2"/>
  <c r="F5042" i="2" s="1"/>
  <c r="E5050" i="2"/>
  <c r="F5050" i="2" s="1"/>
  <c r="E5066" i="2"/>
  <c r="F5066" i="2" s="1"/>
  <c r="E5090" i="2"/>
  <c r="F5090" i="2" s="1"/>
  <c r="E5098" i="2"/>
  <c r="F5098" i="2" s="1"/>
  <c r="E5114" i="2"/>
  <c r="F5114" i="2" s="1"/>
  <c r="E5122" i="2"/>
  <c r="F5122" i="2" s="1"/>
  <c r="E5138" i="2"/>
  <c r="F5138" i="2" s="1"/>
  <c r="E5146" i="2"/>
  <c r="F5146" i="2" s="1"/>
  <c r="E5162" i="2"/>
  <c r="F5162" i="2" s="1"/>
  <c r="E5202" i="2"/>
  <c r="F5202" i="2" s="1"/>
  <c r="E5210" i="2"/>
  <c r="F5210" i="2" s="1"/>
  <c r="E5218" i="2"/>
  <c r="F5218" i="2" s="1"/>
  <c r="E5234" i="2"/>
  <c r="F5234" i="2" s="1"/>
  <c r="E5282" i="2"/>
  <c r="F5282" i="2" s="1"/>
  <c r="E5306" i="2"/>
  <c r="F5306" i="2" s="1"/>
  <c r="E5330" i="2"/>
  <c r="F5330" i="2" s="1"/>
  <c r="E5354" i="2"/>
  <c r="F5354" i="2" s="1"/>
  <c r="E5474" i="2"/>
  <c r="F5474" i="2" s="1"/>
  <c r="E5498" i="2"/>
  <c r="F5498" i="2" s="1"/>
  <c r="E5522" i="2"/>
  <c r="F5522" i="2" s="1"/>
  <c r="E5546" i="2"/>
  <c r="F5546" i="2" s="1"/>
  <c r="E5570" i="2"/>
  <c r="F5570" i="2" s="1"/>
  <c r="E5594" i="2"/>
  <c r="F5594" i="2" s="1"/>
  <c r="E5602" i="2"/>
  <c r="F5602" i="2" s="1"/>
  <c r="E5610" i="2"/>
  <c r="F5610" i="2" s="1"/>
  <c r="E5618" i="2"/>
  <c r="F5618" i="2" s="1"/>
  <c r="E5626" i="2"/>
  <c r="F5626" i="2" s="1"/>
  <c r="E5642" i="2"/>
  <c r="F5642" i="2" s="1"/>
  <c r="E881" i="2"/>
  <c r="F881" i="2" s="1"/>
  <c r="E1440" i="2"/>
  <c r="F1440" i="2" s="1"/>
  <c r="E1977" i="2"/>
  <c r="F1977" i="2" s="1"/>
  <c r="E2168" i="2"/>
  <c r="F2168" i="2" s="1"/>
  <c r="E2319" i="2"/>
  <c r="F2319" i="2" s="1"/>
  <c r="E2608" i="2"/>
  <c r="F2608" i="2" s="1"/>
  <c r="E2696" i="2"/>
  <c r="F2696" i="2" s="1"/>
  <c r="E2863" i="2"/>
  <c r="F2863" i="2" s="1"/>
  <c r="E3031" i="2"/>
  <c r="F3031" i="2" s="1"/>
  <c r="E3251" i="2"/>
  <c r="F3251" i="2" s="1"/>
  <c r="E3260" i="2"/>
  <c r="F3260" i="2" s="1"/>
  <c r="E3308" i="2"/>
  <c r="F3308" i="2" s="1"/>
  <c r="E3340" i="2"/>
  <c r="F3340" i="2" s="1"/>
  <c r="E3372" i="2"/>
  <c r="F3372" i="2" s="1"/>
  <c r="E3404" i="2"/>
  <c r="F3404" i="2" s="1"/>
  <c r="E3436" i="2"/>
  <c r="F3436" i="2" s="1"/>
  <c r="E3475" i="2"/>
  <c r="F3475" i="2" s="1"/>
  <c r="E3500" i="2"/>
  <c r="F3500" i="2" s="1"/>
  <c r="E3531" i="2"/>
  <c r="F3531" i="2" s="1"/>
  <c r="E3547" i="2"/>
  <c r="F3547" i="2" s="1"/>
  <c r="E3627" i="2"/>
  <c r="F3627" i="2" s="1"/>
  <c r="E3700" i="2"/>
  <c r="F3700" i="2" s="1"/>
  <c r="E3739" i="2"/>
  <c r="F3739" i="2" s="1"/>
  <c r="E3780" i="2"/>
  <c r="F3780" i="2" s="1"/>
  <c r="E3795" i="2"/>
  <c r="F3795" i="2" s="1"/>
  <c r="E3827" i="2"/>
  <c r="F3827" i="2" s="1"/>
  <c r="E3851" i="2"/>
  <c r="F3851" i="2" s="1"/>
  <c r="E3891" i="2"/>
  <c r="F3891" i="2" s="1"/>
  <c r="E4036" i="2"/>
  <c r="F4036" i="2" s="1"/>
  <c r="E4059" i="2"/>
  <c r="F4059" i="2" s="1"/>
  <c r="E4131" i="2"/>
  <c r="F4131" i="2" s="1"/>
  <c r="E4260" i="2"/>
  <c r="F4260" i="2" s="1"/>
  <c r="E4347" i="2"/>
  <c r="F4347" i="2" s="1"/>
  <c r="E4420" i="2"/>
  <c r="F4420" i="2" s="1"/>
  <c r="E4660" i="2"/>
  <c r="F4660" i="2" s="1"/>
  <c r="E4731" i="2"/>
  <c r="F4731" i="2" s="1"/>
  <c r="E5019" i="2"/>
  <c r="F5019" i="2" s="1"/>
  <c r="E5044" i="2"/>
  <c r="F5044" i="2" s="1"/>
  <c r="E5115" i="2"/>
  <c r="F5115" i="2" s="1"/>
  <c r="E5147" i="2"/>
  <c r="F5147" i="2" s="1"/>
  <c r="E5163" i="2"/>
  <c r="F5163" i="2" s="1"/>
  <c r="E5235" i="2"/>
  <c r="F5235" i="2" s="1"/>
  <c r="E5308" i="2"/>
  <c r="F5308" i="2" s="1"/>
  <c r="E5603" i="2"/>
  <c r="F5603" i="2" s="1"/>
  <c r="E5651" i="2"/>
  <c r="F5651" i="2" s="1"/>
  <c r="E5667" i="2"/>
  <c r="F5667" i="2" s="1"/>
  <c r="E5691" i="2"/>
  <c r="F5691" i="2" s="1"/>
  <c r="E5739" i="2"/>
  <c r="F5739" i="2" s="1"/>
  <c r="E5763" i="2"/>
  <c r="F5763" i="2" s="1"/>
  <c r="E5787" i="2"/>
  <c r="F5787" i="2" s="1"/>
  <c r="E5811" i="2"/>
  <c r="F5811" i="2" s="1"/>
  <c r="E5859" i="2"/>
  <c r="F5859" i="2" s="1"/>
  <c r="E5883" i="2"/>
  <c r="F5883" i="2" s="1"/>
  <c r="E5955" i="2"/>
  <c r="F5955" i="2" s="1"/>
  <c r="E5979" i="2"/>
  <c r="F5979" i="2" s="1"/>
  <c r="E6003" i="2"/>
  <c r="F6003" i="2" s="1"/>
  <c r="E6027" i="2"/>
  <c r="F6027" i="2" s="1"/>
  <c r="E6051" i="2"/>
  <c r="F6051" i="2" s="1"/>
  <c r="E6059" i="2"/>
  <c r="F6059" i="2" s="1"/>
  <c r="E6075" i="2"/>
  <c r="F6075" i="2" s="1"/>
  <c r="E6091" i="2"/>
  <c r="F6091" i="2" s="1"/>
  <c r="E6099" i="2"/>
  <c r="F6099" i="2" s="1"/>
  <c r="E6107" i="2"/>
  <c r="F6107" i="2" s="1"/>
  <c r="E6115" i="2"/>
  <c r="F6115" i="2" s="1"/>
  <c r="E6123" i="2"/>
  <c r="F6123" i="2" s="1"/>
  <c r="E6131" i="2"/>
  <c r="F6131" i="2" s="1"/>
  <c r="E6147" i="2"/>
  <c r="F6147" i="2" s="1"/>
  <c r="E6155" i="2"/>
  <c r="F6155" i="2" s="1"/>
  <c r="E6163" i="2"/>
  <c r="F6163" i="2" s="1"/>
  <c r="E6171" i="2"/>
  <c r="F6171" i="2" s="1"/>
  <c r="E6187" i="2"/>
  <c r="F6187" i="2" s="1"/>
  <c r="E6195" i="2"/>
  <c r="F6195" i="2" s="1"/>
  <c r="E6203" i="2"/>
  <c r="F6203" i="2" s="1"/>
  <c r="E6211" i="2"/>
  <c r="F6211" i="2" s="1"/>
  <c r="E6219" i="2"/>
  <c r="F6219" i="2" s="1"/>
  <c r="E6227" i="2"/>
  <c r="F6227" i="2" s="1"/>
  <c r="E6235" i="2"/>
  <c r="F6235" i="2" s="1"/>
  <c r="E6243" i="2"/>
  <c r="F6243" i="2" s="1"/>
  <c r="E6291" i="2"/>
  <c r="F6291" i="2" s="1"/>
  <c r="E6331" i="2"/>
  <c r="F6331" i="2" s="1"/>
  <c r="E6339" i="2"/>
  <c r="F6339" i="2" s="1"/>
  <c r="E6347" i="2"/>
  <c r="F6347" i="2" s="1"/>
  <c r="E6355" i="2"/>
  <c r="F6355" i="2" s="1"/>
  <c r="E6363" i="2"/>
  <c r="F6363" i="2" s="1"/>
  <c r="E6371" i="2"/>
  <c r="F6371" i="2" s="1"/>
  <c r="E6379" i="2"/>
  <c r="F6379" i="2" s="1"/>
  <c r="E6387" i="2"/>
  <c r="F6387" i="2" s="1"/>
  <c r="E6395" i="2"/>
  <c r="F6395" i="2" s="1"/>
  <c r="E6403" i="2"/>
  <c r="F6403" i="2" s="1"/>
  <c r="E6411" i="2"/>
  <c r="F6411" i="2" s="1"/>
  <c r="E6419" i="2"/>
  <c r="F6419" i="2" s="1"/>
  <c r="E6427" i="2"/>
  <c r="F6427" i="2" s="1"/>
  <c r="E6435" i="2"/>
  <c r="F6435" i="2" s="1"/>
  <c r="E6443" i="2"/>
  <c r="F6443" i="2" s="1"/>
  <c r="E6451" i="2"/>
  <c r="F6451" i="2" s="1"/>
  <c r="E6459" i="2"/>
  <c r="F6459" i="2" s="1"/>
  <c r="E6467" i="2"/>
  <c r="F6467" i="2" s="1"/>
  <c r="E6483" i="2"/>
  <c r="F6483" i="2" s="1"/>
  <c r="E6491" i="2"/>
  <c r="F6491" i="2" s="1"/>
  <c r="E6499" i="2"/>
  <c r="F6499" i="2" s="1"/>
  <c r="E6507" i="2"/>
  <c r="F6507" i="2" s="1"/>
  <c r="E6515" i="2"/>
  <c r="F6515" i="2" s="1"/>
  <c r="E6523" i="2"/>
  <c r="F6523" i="2" s="1"/>
  <c r="E6531" i="2"/>
  <c r="F6531" i="2" s="1"/>
  <c r="E6539" i="2"/>
  <c r="F6539" i="2" s="1"/>
  <c r="E6547" i="2"/>
  <c r="F6547" i="2" s="1"/>
  <c r="E6555" i="2"/>
  <c r="F6555" i="2" s="1"/>
  <c r="E6563" i="2"/>
  <c r="F6563" i="2" s="1"/>
  <c r="E6571" i="2"/>
  <c r="F6571" i="2" s="1"/>
  <c r="E6579" i="2"/>
  <c r="F6579" i="2" s="1"/>
  <c r="E6587" i="2"/>
  <c r="F6587" i="2" s="1"/>
  <c r="E6595" i="2"/>
  <c r="F6595" i="2" s="1"/>
  <c r="E6603" i="2"/>
  <c r="F6603" i="2" s="1"/>
  <c r="E6611" i="2"/>
  <c r="F6611" i="2" s="1"/>
  <c r="E6619" i="2"/>
  <c r="F6619" i="2" s="1"/>
  <c r="E6627" i="2"/>
  <c r="F6627" i="2" s="1"/>
  <c r="E6635" i="2"/>
  <c r="F6635" i="2" s="1"/>
  <c r="E6643" i="2"/>
  <c r="F6643" i="2" s="1"/>
  <c r="E6651" i="2"/>
  <c r="F6651" i="2" s="1"/>
  <c r="E6659" i="2"/>
  <c r="F6659" i="2" s="1"/>
  <c r="E6667" i="2"/>
  <c r="F6667" i="2" s="1"/>
  <c r="E6675" i="2"/>
  <c r="F6675" i="2" s="1"/>
  <c r="E6683" i="2"/>
  <c r="F6683" i="2" s="1"/>
  <c r="E6691" i="2"/>
  <c r="F6691" i="2" s="1"/>
  <c r="E6699" i="2"/>
  <c r="F6699" i="2" s="1"/>
  <c r="E6707" i="2"/>
  <c r="F6707" i="2" s="1"/>
  <c r="E6715" i="2"/>
  <c r="F6715" i="2" s="1"/>
  <c r="E6723" i="2"/>
  <c r="F6723" i="2" s="1"/>
  <c r="E6731" i="2"/>
  <c r="F6731" i="2" s="1"/>
  <c r="E6739" i="2"/>
  <c r="F6739" i="2" s="1"/>
  <c r="E6747" i="2"/>
  <c r="F6747" i="2" s="1"/>
  <c r="E6755" i="2"/>
  <c r="F6755" i="2" s="1"/>
  <c r="E6763" i="2"/>
  <c r="F6763" i="2" s="1"/>
  <c r="E6771" i="2"/>
  <c r="F6771" i="2" s="1"/>
  <c r="E6779" i="2"/>
  <c r="F6779" i="2" s="1"/>
  <c r="E6787" i="2"/>
  <c r="F6787" i="2" s="1"/>
  <c r="E6795" i="2"/>
  <c r="F6795" i="2" s="1"/>
  <c r="E6803" i="2"/>
  <c r="F6803" i="2" s="1"/>
  <c r="E6811" i="2"/>
  <c r="F6811" i="2" s="1"/>
  <c r="E6819" i="2"/>
  <c r="F6819" i="2" s="1"/>
  <c r="E6827" i="2"/>
  <c r="F6827" i="2" s="1"/>
  <c r="E6835" i="2"/>
  <c r="F6835" i="2" s="1"/>
  <c r="E6843" i="2"/>
  <c r="F6843" i="2" s="1"/>
  <c r="E6851" i="2"/>
  <c r="F6851" i="2" s="1"/>
  <c r="E6859" i="2"/>
  <c r="F6859" i="2" s="1"/>
  <c r="E6867" i="2"/>
  <c r="F6867" i="2" s="1"/>
  <c r="E6875" i="2"/>
  <c r="F6875" i="2" s="1"/>
  <c r="E6883" i="2"/>
  <c r="F6883" i="2" s="1"/>
  <c r="E6891" i="2"/>
  <c r="F6891" i="2" s="1"/>
  <c r="E6899" i="2"/>
  <c r="F6899" i="2" s="1"/>
  <c r="E6907" i="2"/>
  <c r="F6907" i="2" s="1"/>
  <c r="E6915" i="2"/>
  <c r="F6915" i="2" s="1"/>
  <c r="E6923" i="2"/>
  <c r="F6923" i="2" s="1"/>
  <c r="E6931" i="2"/>
  <c r="F6931" i="2" s="1"/>
  <c r="E6939" i="2"/>
  <c r="F6939" i="2" s="1"/>
  <c r="E6947" i="2"/>
  <c r="F6947" i="2" s="1"/>
  <c r="E6955" i="2"/>
  <c r="F6955" i="2" s="1"/>
  <c r="E6963" i="2"/>
  <c r="F6963" i="2" s="1"/>
  <c r="E6971" i="2"/>
  <c r="F6971" i="2" s="1"/>
  <c r="E6979" i="2"/>
  <c r="F6979" i="2" s="1"/>
  <c r="E6987" i="2"/>
  <c r="F6987" i="2" s="1"/>
  <c r="E6995" i="2"/>
  <c r="F6995" i="2" s="1"/>
  <c r="E7003" i="2"/>
  <c r="F7003" i="2" s="1"/>
  <c r="E7011" i="2"/>
  <c r="F7011" i="2" s="1"/>
  <c r="E7019" i="2"/>
  <c r="F7019" i="2" s="1"/>
  <c r="E7027" i="2"/>
  <c r="F7027" i="2" s="1"/>
  <c r="E7035" i="2"/>
  <c r="F7035" i="2" s="1"/>
  <c r="E7043" i="2"/>
  <c r="F7043" i="2" s="1"/>
  <c r="E7051" i="2"/>
  <c r="F7051" i="2" s="1"/>
  <c r="E7059" i="2"/>
  <c r="F7059" i="2" s="1"/>
  <c r="E7067" i="2"/>
  <c r="F7067" i="2" s="1"/>
  <c r="E7075" i="2"/>
  <c r="F7075" i="2" s="1"/>
  <c r="E7083" i="2"/>
  <c r="F7083" i="2" s="1"/>
  <c r="E7091" i="2"/>
  <c r="F7091" i="2" s="1"/>
  <c r="E7099" i="2"/>
  <c r="F7099" i="2" s="1"/>
  <c r="E7107" i="2"/>
  <c r="F7107" i="2" s="1"/>
  <c r="E7115" i="2"/>
  <c r="F7115" i="2" s="1"/>
  <c r="E7123" i="2"/>
  <c r="F7123" i="2" s="1"/>
  <c r="E7131" i="2"/>
  <c r="F7131" i="2" s="1"/>
  <c r="E7139" i="2"/>
  <c r="F7139" i="2" s="1"/>
  <c r="E7147" i="2"/>
  <c r="F7147" i="2" s="1"/>
  <c r="E7155" i="2"/>
  <c r="F7155" i="2" s="1"/>
  <c r="E7163" i="2"/>
  <c r="F7163" i="2" s="1"/>
  <c r="E7171" i="2"/>
  <c r="F7171" i="2" s="1"/>
  <c r="E7179" i="2"/>
  <c r="F7179" i="2" s="1"/>
  <c r="E7187" i="2"/>
  <c r="F7187" i="2" s="1"/>
  <c r="E7195" i="2"/>
  <c r="F7195" i="2" s="1"/>
  <c r="E7203" i="2"/>
  <c r="F7203" i="2" s="1"/>
  <c r="E7211" i="2"/>
  <c r="F7211" i="2" s="1"/>
  <c r="E7219" i="2"/>
  <c r="F7219" i="2" s="1"/>
  <c r="E7227" i="2"/>
  <c r="F7227" i="2" s="1"/>
  <c r="E7235" i="2"/>
  <c r="F7235" i="2" s="1"/>
  <c r="E7243" i="2"/>
  <c r="F7243" i="2" s="1"/>
  <c r="E7251" i="2"/>
  <c r="F7251" i="2" s="1"/>
  <c r="E7259" i="2"/>
  <c r="F7259" i="2" s="1"/>
  <c r="E7267" i="2"/>
  <c r="F7267" i="2" s="1"/>
  <c r="E7275" i="2"/>
  <c r="F7275" i="2" s="1"/>
  <c r="E7283" i="2"/>
  <c r="F7283" i="2" s="1"/>
  <c r="E7291" i="2"/>
  <c r="F7291" i="2" s="1"/>
  <c r="E7299" i="2"/>
  <c r="F7299" i="2" s="1"/>
  <c r="E7307" i="2"/>
  <c r="F7307" i="2" s="1"/>
  <c r="E7315" i="2"/>
  <c r="F7315" i="2" s="1"/>
  <c r="E7323" i="2"/>
  <c r="F7323" i="2" s="1"/>
  <c r="E7331" i="2"/>
  <c r="F7331" i="2" s="1"/>
  <c r="E7339" i="2"/>
  <c r="F7339" i="2" s="1"/>
  <c r="E7347" i="2"/>
  <c r="F7347" i="2" s="1"/>
  <c r="E7355" i="2"/>
  <c r="F7355" i="2" s="1"/>
  <c r="E7363" i="2"/>
  <c r="F7363" i="2" s="1"/>
  <c r="E7371" i="2"/>
  <c r="F7371" i="2" s="1"/>
  <c r="E7379" i="2"/>
  <c r="F7379" i="2" s="1"/>
  <c r="E7387" i="2"/>
  <c r="F7387" i="2" s="1"/>
  <c r="E7395" i="2"/>
  <c r="F7395" i="2" s="1"/>
  <c r="E7403" i="2"/>
  <c r="F7403" i="2" s="1"/>
  <c r="E7411" i="2"/>
  <c r="F7411" i="2" s="1"/>
  <c r="E7419" i="2"/>
  <c r="F7419" i="2" s="1"/>
  <c r="E7427" i="2"/>
  <c r="F7427" i="2" s="1"/>
  <c r="E7435" i="2"/>
  <c r="F7435" i="2" s="1"/>
  <c r="E7443" i="2"/>
  <c r="F7443" i="2" s="1"/>
  <c r="E7451" i="2"/>
  <c r="F7451" i="2" s="1"/>
  <c r="E7459" i="2"/>
  <c r="F7459" i="2" s="1"/>
  <c r="E7467" i="2"/>
  <c r="F7467" i="2" s="1"/>
  <c r="E7475" i="2"/>
  <c r="F7475" i="2" s="1"/>
  <c r="E7483" i="2"/>
  <c r="F7483" i="2" s="1"/>
  <c r="E7491" i="2"/>
  <c r="F7491" i="2" s="1"/>
  <c r="E7499" i="2"/>
  <c r="F7499" i="2" s="1"/>
  <c r="E7507" i="2"/>
  <c r="F7507" i="2" s="1"/>
  <c r="E7515" i="2"/>
  <c r="F7515" i="2" s="1"/>
  <c r="E7523" i="2"/>
  <c r="F7523" i="2" s="1"/>
  <c r="E7531" i="2"/>
  <c r="F7531" i="2" s="1"/>
  <c r="E7539" i="2"/>
  <c r="F7539" i="2" s="1"/>
  <c r="E7547" i="2"/>
  <c r="F7547" i="2" s="1"/>
  <c r="E7555" i="2"/>
  <c r="F7555" i="2" s="1"/>
  <c r="E7563" i="2"/>
  <c r="F7563" i="2" s="1"/>
  <c r="E7571" i="2"/>
  <c r="F7571" i="2" s="1"/>
  <c r="E7579" i="2"/>
  <c r="F7579" i="2" s="1"/>
  <c r="E7587" i="2"/>
  <c r="F7587" i="2" s="1"/>
  <c r="E7595" i="2"/>
  <c r="F7595" i="2" s="1"/>
  <c r="E7603" i="2"/>
  <c r="F7603" i="2" s="1"/>
  <c r="E7611" i="2"/>
  <c r="F7611" i="2" s="1"/>
  <c r="E7619" i="2"/>
  <c r="F7619" i="2" s="1"/>
  <c r="E7627" i="2"/>
  <c r="F7627" i="2" s="1"/>
  <c r="E7635" i="2"/>
  <c r="F7635" i="2" s="1"/>
  <c r="E7643" i="2"/>
  <c r="F7643" i="2" s="1"/>
  <c r="E7651" i="2"/>
  <c r="F7651" i="2" s="1"/>
  <c r="E7659" i="2"/>
  <c r="F7659" i="2" s="1"/>
  <c r="E7667" i="2"/>
  <c r="F7667" i="2" s="1"/>
  <c r="E7675" i="2"/>
  <c r="F7675" i="2" s="1"/>
  <c r="E7683" i="2"/>
  <c r="F7683" i="2" s="1"/>
  <c r="E7691" i="2"/>
  <c r="F7691" i="2" s="1"/>
  <c r="E7699" i="2"/>
  <c r="F7699" i="2" s="1"/>
  <c r="E7707" i="2"/>
  <c r="F7707" i="2" s="1"/>
  <c r="E7715" i="2"/>
  <c r="F7715" i="2" s="1"/>
  <c r="E7723" i="2"/>
  <c r="F7723" i="2" s="1"/>
  <c r="E7731" i="2"/>
  <c r="F7731" i="2" s="1"/>
  <c r="E7739" i="2"/>
  <c r="F7739" i="2" s="1"/>
  <c r="E7747" i="2"/>
  <c r="F7747" i="2" s="1"/>
  <c r="E7755" i="2"/>
  <c r="F7755" i="2" s="1"/>
  <c r="E7763" i="2"/>
  <c r="F7763" i="2" s="1"/>
  <c r="E7771" i="2"/>
  <c r="F7771" i="2" s="1"/>
  <c r="E7779" i="2"/>
  <c r="F7779" i="2" s="1"/>
  <c r="E7787" i="2"/>
  <c r="F7787" i="2" s="1"/>
  <c r="E7795" i="2"/>
  <c r="F7795" i="2" s="1"/>
  <c r="E7803" i="2"/>
  <c r="F7803" i="2" s="1"/>
  <c r="E7811" i="2"/>
  <c r="F7811" i="2" s="1"/>
  <c r="E7819" i="2"/>
  <c r="F7819" i="2" s="1"/>
  <c r="E7827" i="2"/>
  <c r="F7827" i="2" s="1"/>
  <c r="E7835" i="2"/>
  <c r="F7835" i="2" s="1"/>
  <c r="E7843" i="2"/>
  <c r="F7843" i="2" s="1"/>
  <c r="E7851" i="2"/>
  <c r="F7851" i="2" s="1"/>
  <c r="E7859" i="2"/>
  <c r="F7859" i="2" s="1"/>
  <c r="E7867" i="2"/>
  <c r="F7867" i="2" s="1"/>
  <c r="E7875" i="2"/>
  <c r="F7875" i="2" s="1"/>
  <c r="E7883" i="2"/>
  <c r="F7883" i="2" s="1"/>
  <c r="E7891" i="2"/>
  <c r="F7891" i="2" s="1"/>
  <c r="E7899" i="2"/>
  <c r="F7899" i="2" s="1"/>
  <c r="E7907" i="2"/>
  <c r="F7907" i="2" s="1"/>
  <c r="E7915" i="2"/>
  <c r="F7915" i="2" s="1"/>
  <c r="E7923" i="2"/>
  <c r="F7923" i="2" s="1"/>
  <c r="E7931" i="2"/>
  <c r="F7931" i="2" s="1"/>
  <c r="E7939" i="2"/>
  <c r="F7939" i="2" s="1"/>
  <c r="E7947" i="2"/>
  <c r="F7947" i="2" s="1"/>
  <c r="E7955" i="2"/>
  <c r="F7955" i="2" s="1"/>
  <c r="E7963" i="2"/>
  <c r="F7963" i="2" s="1"/>
  <c r="E7971" i="2"/>
  <c r="F7971" i="2" s="1"/>
  <c r="E7979" i="2"/>
  <c r="F7979" i="2" s="1"/>
  <c r="E7987" i="2"/>
  <c r="F7987" i="2" s="1"/>
  <c r="E7995" i="2"/>
  <c r="F7995" i="2" s="1"/>
  <c r="E8003" i="2"/>
  <c r="F8003" i="2" s="1"/>
  <c r="E8011" i="2"/>
  <c r="F8011" i="2" s="1"/>
  <c r="E8019" i="2"/>
  <c r="F8019" i="2" s="1"/>
  <c r="E8027" i="2"/>
  <c r="F8027" i="2" s="1"/>
  <c r="E8035" i="2"/>
  <c r="F8035" i="2" s="1"/>
  <c r="E8043" i="2"/>
  <c r="F8043" i="2" s="1"/>
  <c r="E8051" i="2"/>
  <c r="F8051" i="2" s="1"/>
  <c r="E8059" i="2"/>
  <c r="F8059" i="2" s="1"/>
  <c r="E8067" i="2"/>
  <c r="F8067" i="2" s="1"/>
  <c r="E8075" i="2"/>
  <c r="F8075" i="2" s="1"/>
  <c r="E8083" i="2"/>
  <c r="F8083" i="2" s="1"/>
  <c r="E8091" i="2"/>
  <c r="F8091" i="2" s="1"/>
  <c r="E8099" i="2"/>
  <c r="F8099" i="2" s="1"/>
  <c r="E8107" i="2"/>
  <c r="F8107" i="2" s="1"/>
  <c r="E8115" i="2"/>
  <c r="F8115" i="2" s="1"/>
  <c r="E8123" i="2"/>
  <c r="F8123" i="2" s="1"/>
  <c r="E8131" i="2"/>
  <c r="F8131" i="2" s="1"/>
  <c r="E8139" i="2"/>
  <c r="F8139" i="2" s="1"/>
  <c r="E8147" i="2"/>
  <c r="F8147" i="2" s="1"/>
  <c r="E8155" i="2"/>
  <c r="F8155" i="2" s="1"/>
  <c r="E8163" i="2"/>
  <c r="F8163" i="2" s="1"/>
  <c r="E8171" i="2"/>
  <c r="F8171" i="2" s="1"/>
  <c r="E8179" i="2"/>
  <c r="F8179" i="2" s="1"/>
  <c r="E8187" i="2"/>
  <c r="F8187" i="2" s="1"/>
  <c r="E8195" i="2"/>
  <c r="F8195" i="2" s="1"/>
  <c r="E8203" i="2"/>
  <c r="F8203" i="2" s="1"/>
  <c r="E8211" i="2"/>
  <c r="F8211" i="2" s="1"/>
  <c r="E8219" i="2"/>
  <c r="F8219" i="2" s="1"/>
  <c r="E8227" i="2"/>
  <c r="F8227" i="2" s="1"/>
  <c r="E8235" i="2"/>
  <c r="F8235" i="2" s="1"/>
  <c r="E8243" i="2"/>
  <c r="F8243" i="2" s="1"/>
  <c r="E8251" i="2"/>
  <c r="F8251" i="2" s="1"/>
  <c r="E8259" i="2"/>
  <c r="F8259" i="2" s="1"/>
  <c r="E8267" i="2"/>
  <c r="F8267" i="2" s="1"/>
  <c r="E8275" i="2"/>
  <c r="F8275" i="2" s="1"/>
  <c r="E8283" i="2"/>
  <c r="F8283" i="2" s="1"/>
  <c r="E8291" i="2"/>
  <c r="F8291" i="2" s="1"/>
  <c r="E8299" i="2"/>
  <c r="F8299" i="2" s="1"/>
  <c r="E8307" i="2"/>
  <c r="F8307" i="2" s="1"/>
  <c r="E8315" i="2"/>
  <c r="F8315" i="2" s="1"/>
  <c r="E8323" i="2"/>
  <c r="F8323" i="2" s="1"/>
  <c r="E8331" i="2"/>
  <c r="F8331" i="2" s="1"/>
  <c r="E8339" i="2"/>
  <c r="F8339" i="2" s="1"/>
  <c r="E8347" i="2"/>
  <c r="F8347" i="2" s="1"/>
  <c r="E8355" i="2"/>
  <c r="F8355" i="2" s="1"/>
  <c r="E8363" i="2"/>
  <c r="F8363" i="2" s="1"/>
  <c r="E8371" i="2"/>
  <c r="F8371" i="2" s="1"/>
  <c r="E8379" i="2"/>
  <c r="F8379" i="2" s="1"/>
  <c r="E8387" i="2"/>
  <c r="F8387" i="2" s="1"/>
  <c r="E8395" i="2"/>
  <c r="F8395" i="2" s="1"/>
  <c r="E8403" i="2"/>
  <c r="F8403" i="2" s="1"/>
  <c r="E8411" i="2"/>
  <c r="F8411" i="2" s="1"/>
  <c r="E8419" i="2"/>
  <c r="F8419" i="2" s="1"/>
  <c r="E8427" i="2"/>
  <c r="F8427" i="2" s="1"/>
  <c r="E889" i="2"/>
  <c r="F889" i="2" s="1"/>
  <c r="E1441" i="2"/>
  <c r="F1441" i="2" s="1"/>
  <c r="E1592" i="2"/>
  <c r="F1592" i="2" s="1"/>
  <c r="E1633" i="2"/>
  <c r="F1633" i="2" s="1"/>
  <c r="E1998" i="2"/>
  <c r="F1998" i="2" s="1"/>
  <c r="E2175" i="2"/>
  <c r="F2175" i="2" s="1"/>
  <c r="E2344" i="2"/>
  <c r="F2344" i="2" s="1"/>
  <c r="E2615" i="2"/>
  <c r="F2615" i="2" s="1"/>
  <c r="E2864" i="2"/>
  <c r="F2864" i="2" s="1"/>
  <c r="E2928" i="2"/>
  <c r="F2928" i="2" s="1"/>
  <c r="E3072" i="2"/>
  <c r="F3072" i="2" s="1"/>
  <c r="E3127" i="2"/>
  <c r="F3127" i="2" s="1"/>
  <c r="E3187" i="2"/>
  <c r="F3187" i="2" s="1"/>
  <c r="E3211" i="2"/>
  <c r="F3211" i="2" s="1"/>
  <c r="E3252" i="2"/>
  <c r="F3252" i="2" s="1"/>
  <c r="E3267" i="2"/>
  <c r="F3267" i="2" s="1"/>
  <c r="E3315" i="2"/>
  <c r="F3315" i="2" s="1"/>
  <c r="E3379" i="2"/>
  <c r="F3379" i="2" s="1"/>
  <c r="E3411" i="2"/>
  <c r="F3411" i="2" s="1"/>
  <c r="E3443" i="2"/>
  <c r="F3443" i="2" s="1"/>
  <c r="E3452" i="2"/>
  <c r="F3452" i="2" s="1"/>
  <c r="E3476" i="2"/>
  <c r="F3476" i="2" s="1"/>
  <c r="E3507" i="2"/>
  <c r="F3507" i="2" s="1"/>
  <c r="E3532" i="2"/>
  <c r="F3532" i="2" s="1"/>
  <c r="E3548" i="2"/>
  <c r="F3548" i="2" s="1"/>
  <c r="E3628" i="2"/>
  <c r="F3628" i="2" s="1"/>
  <c r="E3651" i="2"/>
  <c r="F3651" i="2" s="1"/>
  <c r="E3740" i="2"/>
  <c r="F3740" i="2" s="1"/>
  <c r="E3796" i="2"/>
  <c r="F3796" i="2" s="1"/>
  <c r="E3828" i="2"/>
  <c r="F3828" i="2" s="1"/>
  <c r="E3852" i="2"/>
  <c r="F3852" i="2" s="1"/>
  <c r="E3892" i="2"/>
  <c r="F3892" i="2" s="1"/>
  <c r="E3915" i="2"/>
  <c r="F3915" i="2" s="1"/>
  <c r="E4060" i="2"/>
  <c r="F4060" i="2" s="1"/>
  <c r="E4156" i="2"/>
  <c r="F4156" i="2" s="1"/>
  <c r="E4348" i="2"/>
  <c r="F4348" i="2" s="1"/>
  <c r="E4707" i="2"/>
  <c r="F4707" i="2" s="1"/>
  <c r="E4732" i="2"/>
  <c r="F4732" i="2" s="1"/>
  <c r="E4971" i="2"/>
  <c r="F4971" i="2" s="1"/>
  <c r="E5020" i="2"/>
  <c r="F5020" i="2" s="1"/>
  <c r="E5116" i="2"/>
  <c r="F5116" i="2" s="1"/>
  <c r="E5148" i="2"/>
  <c r="F5148" i="2" s="1"/>
  <c r="E5164" i="2"/>
  <c r="F5164" i="2" s="1"/>
  <c r="E5203" i="2"/>
  <c r="F5203" i="2" s="1"/>
  <c r="E5236" i="2"/>
  <c r="F5236" i="2" s="1"/>
  <c r="E5571" i="2"/>
  <c r="F5571" i="2" s="1"/>
  <c r="E5604" i="2"/>
  <c r="F5604" i="2" s="1"/>
  <c r="E5638" i="2"/>
  <c r="F5638" i="2" s="1"/>
  <c r="E5652" i="2"/>
  <c r="F5652" i="2" s="1"/>
  <c r="E5660" i="2"/>
  <c r="F5660" i="2" s="1"/>
  <c r="E5668" i="2"/>
  <c r="F5668" i="2" s="1"/>
  <c r="E5684" i="2"/>
  <c r="F5684" i="2" s="1"/>
  <c r="E5692" i="2"/>
  <c r="F5692" i="2" s="1"/>
  <c r="E5740" i="2"/>
  <c r="F5740" i="2" s="1"/>
  <c r="E5764" i="2"/>
  <c r="F5764" i="2" s="1"/>
  <c r="E5788" i="2"/>
  <c r="F5788" i="2" s="1"/>
  <c r="E5812" i="2"/>
  <c r="F5812" i="2" s="1"/>
  <c r="E5860" i="2"/>
  <c r="F5860" i="2" s="1"/>
  <c r="E5884" i="2"/>
  <c r="F5884" i="2" s="1"/>
  <c r="E5956" i="2"/>
  <c r="F5956" i="2" s="1"/>
  <c r="E5980" i="2"/>
  <c r="F5980" i="2" s="1"/>
  <c r="E6004" i="2"/>
  <c r="F6004" i="2" s="1"/>
  <c r="E6028" i="2"/>
  <c r="F6028" i="2" s="1"/>
  <c r="E6052" i="2"/>
  <c r="F6052" i="2" s="1"/>
  <c r="E6060" i="2"/>
  <c r="F6060" i="2" s="1"/>
  <c r="E6076" i="2"/>
  <c r="F6076" i="2" s="1"/>
  <c r="E6092" i="2"/>
  <c r="F6092" i="2" s="1"/>
  <c r="E6100" i="2"/>
  <c r="F6100" i="2" s="1"/>
  <c r="E6116" i="2"/>
  <c r="F6116" i="2" s="1"/>
  <c r="E6124" i="2"/>
  <c r="F6124" i="2" s="1"/>
  <c r="E6132" i="2"/>
  <c r="F6132" i="2" s="1"/>
  <c r="E6140" i="2"/>
  <c r="F6140" i="2" s="1"/>
  <c r="E6148" i="2"/>
  <c r="F6148" i="2" s="1"/>
  <c r="E6156" i="2"/>
  <c r="F6156" i="2" s="1"/>
  <c r="E6164" i="2"/>
  <c r="F6164" i="2" s="1"/>
  <c r="E6172" i="2"/>
  <c r="F6172" i="2" s="1"/>
  <c r="E6188" i="2"/>
  <c r="F6188" i="2" s="1"/>
  <c r="E6196" i="2"/>
  <c r="F6196" i="2" s="1"/>
  <c r="E6204" i="2"/>
  <c r="F6204" i="2" s="1"/>
  <c r="E6212" i="2"/>
  <c r="F6212" i="2" s="1"/>
  <c r="E6220" i="2"/>
  <c r="F6220" i="2" s="1"/>
  <c r="E6236" i="2"/>
  <c r="F6236" i="2" s="1"/>
  <c r="E6244" i="2"/>
  <c r="F6244" i="2" s="1"/>
  <c r="E6292" i="2"/>
  <c r="F6292" i="2" s="1"/>
  <c r="E6332" i="2"/>
  <c r="F6332" i="2" s="1"/>
  <c r="E6340" i="2"/>
  <c r="F6340" i="2" s="1"/>
  <c r="E6348" i="2"/>
  <c r="F6348" i="2" s="1"/>
  <c r="E6356" i="2"/>
  <c r="F6356" i="2" s="1"/>
  <c r="E6364" i="2"/>
  <c r="F6364" i="2" s="1"/>
  <c r="E6372" i="2"/>
  <c r="F6372" i="2" s="1"/>
  <c r="E6380" i="2"/>
  <c r="F6380" i="2" s="1"/>
  <c r="E6388" i="2"/>
  <c r="F6388" i="2" s="1"/>
  <c r="E6396" i="2"/>
  <c r="F6396" i="2" s="1"/>
  <c r="E6404" i="2"/>
  <c r="F6404" i="2" s="1"/>
  <c r="E6412" i="2"/>
  <c r="F6412" i="2" s="1"/>
  <c r="E6420" i="2"/>
  <c r="F6420" i="2" s="1"/>
  <c r="E6428" i="2"/>
  <c r="F6428" i="2" s="1"/>
  <c r="E6436" i="2"/>
  <c r="F6436" i="2" s="1"/>
  <c r="E6444" i="2"/>
  <c r="F6444" i="2" s="1"/>
  <c r="E6452" i="2"/>
  <c r="F6452" i="2" s="1"/>
  <c r="E6460" i="2"/>
  <c r="F6460" i="2" s="1"/>
  <c r="E6468" i="2"/>
  <c r="F6468" i="2" s="1"/>
  <c r="E6484" i="2"/>
  <c r="F6484" i="2" s="1"/>
  <c r="E6500" i="2"/>
  <c r="F6500" i="2" s="1"/>
  <c r="E6508" i="2"/>
  <c r="F6508" i="2" s="1"/>
  <c r="E6516" i="2"/>
  <c r="F6516" i="2" s="1"/>
  <c r="E6524" i="2"/>
  <c r="F6524" i="2" s="1"/>
  <c r="E6532" i="2"/>
  <c r="F6532" i="2" s="1"/>
  <c r="E6540" i="2"/>
  <c r="F6540" i="2" s="1"/>
  <c r="E6548" i="2"/>
  <c r="F6548" i="2" s="1"/>
  <c r="E6556" i="2"/>
  <c r="F6556" i="2" s="1"/>
  <c r="E6564" i="2"/>
  <c r="F6564" i="2" s="1"/>
  <c r="E6572" i="2"/>
  <c r="F6572" i="2" s="1"/>
  <c r="E6580" i="2"/>
  <c r="F6580" i="2" s="1"/>
  <c r="E6588" i="2"/>
  <c r="F6588" i="2" s="1"/>
  <c r="E6596" i="2"/>
  <c r="F6596" i="2" s="1"/>
  <c r="E6604" i="2"/>
  <c r="F6604" i="2" s="1"/>
  <c r="E6612" i="2"/>
  <c r="F6612" i="2" s="1"/>
  <c r="E6620" i="2"/>
  <c r="F6620" i="2" s="1"/>
  <c r="E6628" i="2"/>
  <c r="F6628" i="2" s="1"/>
  <c r="E6636" i="2"/>
  <c r="F6636" i="2" s="1"/>
  <c r="E6644" i="2"/>
  <c r="F6644" i="2" s="1"/>
  <c r="E6652" i="2"/>
  <c r="F6652" i="2" s="1"/>
  <c r="E6660" i="2"/>
  <c r="F6660" i="2" s="1"/>
  <c r="E6668" i="2"/>
  <c r="F6668" i="2" s="1"/>
  <c r="E6676" i="2"/>
  <c r="F6676" i="2" s="1"/>
  <c r="E6684" i="2"/>
  <c r="F6684" i="2" s="1"/>
  <c r="E6692" i="2"/>
  <c r="F6692" i="2" s="1"/>
  <c r="E6700" i="2"/>
  <c r="F6700" i="2" s="1"/>
  <c r="E6708" i="2"/>
  <c r="F6708" i="2" s="1"/>
  <c r="E6716" i="2"/>
  <c r="F6716" i="2" s="1"/>
  <c r="E6724" i="2"/>
  <c r="F6724" i="2" s="1"/>
  <c r="E6732" i="2"/>
  <c r="F6732" i="2" s="1"/>
  <c r="E6740" i="2"/>
  <c r="F6740" i="2" s="1"/>
  <c r="E6748" i="2"/>
  <c r="F6748" i="2" s="1"/>
  <c r="E6756" i="2"/>
  <c r="F6756" i="2" s="1"/>
  <c r="E6764" i="2"/>
  <c r="F6764" i="2" s="1"/>
  <c r="E6772" i="2"/>
  <c r="F6772" i="2" s="1"/>
  <c r="E6780" i="2"/>
  <c r="F6780" i="2" s="1"/>
  <c r="E6788" i="2"/>
  <c r="F6788" i="2" s="1"/>
  <c r="E6796" i="2"/>
  <c r="F6796" i="2" s="1"/>
  <c r="E6804" i="2"/>
  <c r="F6804" i="2" s="1"/>
  <c r="E6812" i="2"/>
  <c r="F6812" i="2" s="1"/>
  <c r="E6820" i="2"/>
  <c r="F6820" i="2" s="1"/>
  <c r="E6828" i="2"/>
  <c r="F6828" i="2" s="1"/>
  <c r="E6836" i="2"/>
  <c r="F6836" i="2" s="1"/>
  <c r="E6844" i="2"/>
  <c r="F6844" i="2" s="1"/>
  <c r="E6852" i="2"/>
  <c r="F6852" i="2" s="1"/>
  <c r="E6860" i="2"/>
  <c r="F6860" i="2" s="1"/>
  <c r="E6868" i="2"/>
  <c r="F6868" i="2" s="1"/>
  <c r="E6876" i="2"/>
  <c r="F6876" i="2" s="1"/>
  <c r="E6884" i="2"/>
  <c r="F6884" i="2" s="1"/>
  <c r="E6892" i="2"/>
  <c r="F6892" i="2" s="1"/>
  <c r="E6900" i="2"/>
  <c r="F6900" i="2" s="1"/>
  <c r="E6908" i="2"/>
  <c r="F6908" i="2" s="1"/>
  <c r="E6916" i="2"/>
  <c r="F6916" i="2" s="1"/>
  <c r="E6924" i="2"/>
  <c r="F6924" i="2" s="1"/>
  <c r="E6932" i="2"/>
  <c r="F6932" i="2" s="1"/>
  <c r="E6940" i="2"/>
  <c r="F6940" i="2" s="1"/>
  <c r="E6948" i="2"/>
  <c r="F6948" i="2" s="1"/>
  <c r="E6956" i="2"/>
  <c r="F6956" i="2" s="1"/>
  <c r="E6964" i="2"/>
  <c r="F6964" i="2" s="1"/>
  <c r="E6972" i="2"/>
  <c r="F6972" i="2" s="1"/>
  <c r="E6980" i="2"/>
  <c r="F6980" i="2" s="1"/>
  <c r="E6988" i="2"/>
  <c r="F6988" i="2" s="1"/>
  <c r="E6996" i="2"/>
  <c r="F6996" i="2" s="1"/>
  <c r="E7004" i="2"/>
  <c r="F7004" i="2" s="1"/>
  <c r="E7012" i="2"/>
  <c r="F7012" i="2" s="1"/>
  <c r="E7020" i="2"/>
  <c r="F7020" i="2" s="1"/>
  <c r="E7028" i="2"/>
  <c r="F7028" i="2" s="1"/>
  <c r="E7036" i="2"/>
  <c r="F7036" i="2" s="1"/>
  <c r="E7044" i="2"/>
  <c r="F7044" i="2" s="1"/>
  <c r="E7052" i="2"/>
  <c r="F7052" i="2" s="1"/>
  <c r="E7060" i="2"/>
  <c r="F7060" i="2" s="1"/>
  <c r="E7068" i="2"/>
  <c r="F7068" i="2" s="1"/>
  <c r="E7076" i="2"/>
  <c r="F7076" i="2" s="1"/>
  <c r="E7084" i="2"/>
  <c r="F7084" i="2" s="1"/>
  <c r="E7092" i="2"/>
  <c r="F7092" i="2" s="1"/>
  <c r="E7100" i="2"/>
  <c r="F7100" i="2" s="1"/>
  <c r="E7108" i="2"/>
  <c r="F7108" i="2" s="1"/>
  <c r="E7116" i="2"/>
  <c r="F7116" i="2" s="1"/>
  <c r="E7124" i="2"/>
  <c r="F7124" i="2" s="1"/>
  <c r="E7132" i="2"/>
  <c r="F7132" i="2" s="1"/>
  <c r="E7140" i="2"/>
  <c r="F7140" i="2" s="1"/>
  <c r="E7148" i="2"/>
  <c r="F7148" i="2" s="1"/>
  <c r="E7156" i="2"/>
  <c r="F7156" i="2" s="1"/>
  <c r="E7164" i="2"/>
  <c r="F7164" i="2" s="1"/>
  <c r="E7172" i="2"/>
  <c r="F7172" i="2" s="1"/>
  <c r="E7180" i="2"/>
  <c r="F7180" i="2" s="1"/>
  <c r="E7188" i="2"/>
  <c r="F7188" i="2" s="1"/>
  <c r="E7196" i="2"/>
  <c r="F7196" i="2" s="1"/>
  <c r="E7204" i="2"/>
  <c r="F7204" i="2" s="1"/>
  <c r="E7212" i="2"/>
  <c r="F7212" i="2" s="1"/>
  <c r="E7220" i="2"/>
  <c r="F7220" i="2" s="1"/>
  <c r="E7228" i="2"/>
  <c r="F7228" i="2" s="1"/>
  <c r="E7236" i="2"/>
  <c r="F7236" i="2" s="1"/>
  <c r="E7244" i="2"/>
  <c r="F7244" i="2" s="1"/>
  <c r="E7252" i="2"/>
  <c r="F7252" i="2" s="1"/>
  <c r="E7260" i="2"/>
  <c r="F7260" i="2" s="1"/>
  <c r="E7268" i="2"/>
  <c r="F7268" i="2" s="1"/>
  <c r="E7276" i="2"/>
  <c r="F7276" i="2" s="1"/>
  <c r="E7284" i="2"/>
  <c r="F7284" i="2" s="1"/>
  <c r="E7292" i="2"/>
  <c r="F7292" i="2" s="1"/>
  <c r="E7300" i="2"/>
  <c r="F7300" i="2" s="1"/>
  <c r="E7308" i="2"/>
  <c r="F7308" i="2" s="1"/>
  <c r="E7316" i="2"/>
  <c r="F7316" i="2" s="1"/>
  <c r="E7324" i="2"/>
  <c r="F7324" i="2" s="1"/>
  <c r="E7332" i="2"/>
  <c r="F7332" i="2" s="1"/>
  <c r="E7340" i="2"/>
  <c r="F7340" i="2" s="1"/>
  <c r="E7348" i="2"/>
  <c r="F7348" i="2" s="1"/>
  <c r="E7356" i="2"/>
  <c r="F7356" i="2" s="1"/>
  <c r="E7364" i="2"/>
  <c r="F7364" i="2" s="1"/>
  <c r="E7372" i="2"/>
  <c r="F7372" i="2" s="1"/>
  <c r="E7380" i="2"/>
  <c r="F7380" i="2" s="1"/>
  <c r="E7388" i="2"/>
  <c r="F7388" i="2" s="1"/>
  <c r="E7396" i="2"/>
  <c r="F7396" i="2" s="1"/>
  <c r="E7404" i="2"/>
  <c r="F7404" i="2" s="1"/>
  <c r="E7412" i="2"/>
  <c r="F7412" i="2" s="1"/>
  <c r="E7420" i="2"/>
  <c r="F7420" i="2" s="1"/>
  <c r="E7428" i="2"/>
  <c r="F7428" i="2" s="1"/>
  <c r="E7436" i="2"/>
  <c r="F7436" i="2" s="1"/>
  <c r="E7444" i="2"/>
  <c r="F7444" i="2" s="1"/>
  <c r="E7452" i="2"/>
  <c r="F7452" i="2" s="1"/>
  <c r="E7460" i="2"/>
  <c r="F7460" i="2" s="1"/>
  <c r="E7468" i="2"/>
  <c r="F7468" i="2" s="1"/>
  <c r="E7476" i="2"/>
  <c r="F7476" i="2" s="1"/>
  <c r="E7484" i="2"/>
  <c r="F7484" i="2" s="1"/>
  <c r="E7492" i="2"/>
  <c r="F7492" i="2" s="1"/>
  <c r="E7500" i="2"/>
  <c r="F7500" i="2" s="1"/>
  <c r="E7508" i="2"/>
  <c r="F7508" i="2" s="1"/>
  <c r="E7516" i="2"/>
  <c r="F7516" i="2" s="1"/>
  <c r="E7524" i="2"/>
  <c r="F7524" i="2" s="1"/>
  <c r="E7532" i="2"/>
  <c r="F7532" i="2" s="1"/>
  <c r="E7540" i="2"/>
  <c r="F7540" i="2" s="1"/>
  <c r="E7548" i="2"/>
  <c r="F7548" i="2" s="1"/>
  <c r="E7556" i="2"/>
  <c r="F7556" i="2" s="1"/>
  <c r="E7564" i="2"/>
  <c r="F7564" i="2" s="1"/>
  <c r="E7572" i="2"/>
  <c r="F7572" i="2" s="1"/>
  <c r="E7580" i="2"/>
  <c r="F7580" i="2" s="1"/>
  <c r="E7588" i="2"/>
  <c r="F7588" i="2" s="1"/>
  <c r="E7596" i="2"/>
  <c r="F7596" i="2" s="1"/>
  <c r="E7604" i="2"/>
  <c r="F7604" i="2" s="1"/>
  <c r="E7612" i="2"/>
  <c r="F7612" i="2" s="1"/>
  <c r="E7620" i="2"/>
  <c r="F7620" i="2" s="1"/>
  <c r="E7628" i="2"/>
  <c r="F7628" i="2" s="1"/>
  <c r="E7636" i="2"/>
  <c r="F7636" i="2" s="1"/>
  <c r="E7644" i="2"/>
  <c r="F7644" i="2" s="1"/>
  <c r="E7652" i="2"/>
  <c r="F7652" i="2" s="1"/>
  <c r="E7660" i="2"/>
  <c r="F7660" i="2" s="1"/>
  <c r="E7668" i="2"/>
  <c r="F7668" i="2" s="1"/>
  <c r="E7676" i="2"/>
  <c r="F7676" i="2" s="1"/>
  <c r="E7684" i="2"/>
  <c r="F7684" i="2" s="1"/>
  <c r="E7692" i="2"/>
  <c r="F7692" i="2" s="1"/>
  <c r="E7700" i="2"/>
  <c r="F7700" i="2" s="1"/>
  <c r="E7708" i="2"/>
  <c r="F7708" i="2" s="1"/>
  <c r="E7716" i="2"/>
  <c r="F7716" i="2" s="1"/>
  <c r="E7724" i="2"/>
  <c r="F7724" i="2" s="1"/>
  <c r="E7732" i="2"/>
  <c r="F7732" i="2" s="1"/>
  <c r="E7740" i="2"/>
  <c r="F7740" i="2" s="1"/>
  <c r="E7748" i="2"/>
  <c r="F7748" i="2" s="1"/>
  <c r="E7756" i="2"/>
  <c r="F7756" i="2" s="1"/>
  <c r="E7764" i="2"/>
  <c r="F7764" i="2" s="1"/>
  <c r="E7772" i="2"/>
  <c r="F7772" i="2" s="1"/>
  <c r="E7780" i="2"/>
  <c r="F7780" i="2" s="1"/>
  <c r="E7788" i="2"/>
  <c r="F7788" i="2" s="1"/>
  <c r="E7796" i="2"/>
  <c r="F7796" i="2" s="1"/>
  <c r="E7804" i="2"/>
  <c r="F7804" i="2" s="1"/>
  <c r="E7812" i="2"/>
  <c r="F7812" i="2" s="1"/>
  <c r="E7820" i="2"/>
  <c r="F7820" i="2" s="1"/>
  <c r="E7828" i="2"/>
  <c r="F7828" i="2" s="1"/>
  <c r="E7836" i="2"/>
  <c r="F7836" i="2" s="1"/>
  <c r="E7844" i="2"/>
  <c r="F7844" i="2" s="1"/>
  <c r="E7852" i="2"/>
  <c r="F7852" i="2" s="1"/>
  <c r="E7860" i="2"/>
  <c r="F7860" i="2" s="1"/>
  <c r="E7868" i="2"/>
  <c r="F7868" i="2" s="1"/>
  <c r="E7876" i="2"/>
  <c r="F7876" i="2" s="1"/>
  <c r="E7884" i="2"/>
  <c r="F7884" i="2" s="1"/>
  <c r="E7892" i="2"/>
  <c r="F7892" i="2" s="1"/>
  <c r="E7900" i="2"/>
  <c r="F7900" i="2" s="1"/>
  <c r="E7908" i="2"/>
  <c r="F7908" i="2" s="1"/>
  <c r="E7916" i="2"/>
  <c r="F7916" i="2" s="1"/>
  <c r="E7924" i="2"/>
  <c r="F7924" i="2" s="1"/>
  <c r="E7932" i="2"/>
  <c r="F7932" i="2" s="1"/>
  <c r="E7940" i="2"/>
  <c r="F7940" i="2" s="1"/>
  <c r="E7948" i="2"/>
  <c r="F7948" i="2" s="1"/>
  <c r="E7956" i="2"/>
  <c r="F7956" i="2" s="1"/>
  <c r="E7964" i="2"/>
  <c r="F7964" i="2" s="1"/>
  <c r="E7972" i="2"/>
  <c r="F7972" i="2" s="1"/>
  <c r="E7980" i="2"/>
  <c r="F7980" i="2" s="1"/>
  <c r="E7988" i="2"/>
  <c r="F7988" i="2" s="1"/>
  <c r="E7996" i="2"/>
  <c r="F7996" i="2" s="1"/>
  <c r="E8004" i="2"/>
  <c r="F8004" i="2" s="1"/>
  <c r="E8012" i="2"/>
  <c r="F8012" i="2" s="1"/>
  <c r="E8020" i="2"/>
  <c r="F8020" i="2" s="1"/>
  <c r="E8028" i="2"/>
  <c r="F8028" i="2" s="1"/>
  <c r="E8036" i="2"/>
  <c r="F8036" i="2" s="1"/>
  <c r="E8044" i="2"/>
  <c r="F8044" i="2" s="1"/>
  <c r="E8052" i="2"/>
  <c r="F8052" i="2" s="1"/>
  <c r="E8060" i="2"/>
  <c r="F8060" i="2" s="1"/>
  <c r="E8068" i="2"/>
  <c r="F8068" i="2" s="1"/>
  <c r="E8076" i="2"/>
  <c r="F8076" i="2" s="1"/>
  <c r="E8084" i="2"/>
  <c r="F8084" i="2" s="1"/>
  <c r="E8092" i="2"/>
  <c r="F8092" i="2" s="1"/>
  <c r="E8100" i="2"/>
  <c r="F8100" i="2" s="1"/>
  <c r="E8108" i="2"/>
  <c r="F8108" i="2" s="1"/>
  <c r="E8116" i="2"/>
  <c r="F8116" i="2" s="1"/>
  <c r="E8124" i="2"/>
  <c r="F8124" i="2" s="1"/>
  <c r="E8132" i="2"/>
  <c r="F8132" i="2" s="1"/>
  <c r="E8140" i="2"/>
  <c r="F8140" i="2" s="1"/>
  <c r="E8148" i="2"/>
  <c r="F8148" i="2" s="1"/>
  <c r="E8156" i="2"/>
  <c r="F8156" i="2" s="1"/>
  <c r="E8164" i="2"/>
  <c r="F8164" i="2" s="1"/>
  <c r="E8172" i="2"/>
  <c r="F8172" i="2" s="1"/>
  <c r="E8180" i="2"/>
  <c r="F8180" i="2" s="1"/>
  <c r="E8188" i="2"/>
  <c r="F8188" i="2" s="1"/>
  <c r="E8196" i="2"/>
  <c r="F8196" i="2" s="1"/>
  <c r="E8204" i="2"/>
  <c r="F8204" i="2" s="1"/>
  <c r="E8212" i="2"/>
  <c r="F8212" i="2" s="1"/>
  <c r="E8220" i="2"/>
  <c r="F8220" i="2" s="1"/>
  <c r="E8228" i="2"/>
  <c r="F8228" i="2" s="1"/>
  <c r="E8236" i="2"/>
  <c r="F8236" i="2" s="1"/>
  <c r="E8244" i="2"/>
  <c r="F8244" i="2" s="1"/>
  <c r="E8252" i="2"/>
  <c r="F8252" i="2" s="1"/>
  <c r="E8260" i="2"/>
  <c r="F8260" i="2" s="1"/>
  <c r="E8268" i="2"/>
  <c r="F8268" i="2" s="1"/>
  <c r="E8276" i="2"/>
  <c r="F8276" i="2" s="1"/>
  <c r="E8284" i="2"/>
  <c r="F8284" i="2" s="1"/>
  <c r="E8292" i="2"/>
  <c r="F8292" i="2" s="1"/>
  <c r="E8300" i="2"/>
  <c r="F8300" i="2" s="1"/>
  <c r="E8308" i="2"/>
  <c r="F8308" i="2" s="1"/>
  <c r="E8316" i="2"/>
  <c r="F8316" i="2" s="1"/>
  <c r="E8324" i="2"/>
  <c r="F8324" i="2" s="1"/>
  <c r="E8332" i="2"/>
  <c r="F8332" i="2" s="1"/>
  <c r="E8340" i="2"/>
  <c r="F8340" i="2" s="1"/>
  <c r="E8348" i="2"/>
  <c r="F8348" i="2" s="1"/>
  <c r="E8356" i="2"/>
  <c r="F8356" i="2" s="1"/>
  <c r="E8364" i="2"/>
  <c r="F8364" i="2" s="1"/>
  <c r="E1056" i="2"/>
  <c r="F1056" i="2" s="1"/>
  <c r="E1568" i="2"/>
  <c r="F1568" i="2" s="1"/>
  <c r="E1736" i="2"/>
  <c r="F1736" i="2" s="1"/>
  <c r="E2024" i="2"/>
  <c r="F2024" i="2" s="1"/>
  <c r="E2200" i="2"/>
  <c r="F2200" i="2" s="1"/>
  <c r="E2351" i="2"/>
  <c r="F2351" i="2" s="1"/>
  <c r="E2640" i="2"/>
  <c r="F2640" i="2" s="1"/>
  <c r="E2935" i="2"/>
  <c r="F2935" i="2" s="1"/>
  <c r="E3079" i="2"/>
  <c r="F3079" i="2" s="1"/>
  <c r="E3128" i="2"/>
  <c r="F3128" i="2" s="1"/>
  <c r="E3188" i="2"/>
  <c r="F3188" i="2" s="1"/>
  <c r="E3212" i="2"/>
  <c r="F3212" i="2" s="1"/>
  <c r="E3268" i="2"/>
  <c r="F3268" i="2" s="1"/>
  <c r="E3316" i="2"/>
  <c r="F3316" i="2" s="1"/>
  <c r="E3380" i="2"/>
  <c r="F3380" i="2" s="1"/>
  <c r="E3412" i="2"/>
  <c r="F3412" i="2" s="1"/>
  <c r="E3444" i="2"/>
  <c r="F3444" i="2" s="1"/>
  <c r="E3459" i="2"/>
  <c r="F3459" i="2" s="1"/>
  <c r="E3483" i="2"/>
  <c r="F3483" i="2" s="1"/>
  <c r="E3508" i="2"/>
  <c r="F3508" i="2" s="1"/>
  <c r="E3539" i="2"/>
  <c r="F3539" i="2" s="1"/>
  <c r="E3555" i="2"/>
  <c r="F3555" i="2" s="1"/>
  <c r="E3652" i="2"/>
  <c r="F3652" i="2" s="1"/>
  <c r="E3747" i="2"/>
  <c r="F3747" i="2" s="1"/>
  <c r="E3803" i="2"/>
  <c r="F3803" i="2" s="1"/>
  <c r="E3859" i="2"/>
  <c r="F3859" i="2" s="1"/>
  <c r="E3916" i="2"/>
  <c r="F3916" i="2" s="1"/>
  <c r="E4196" i="2"/>
  <c r="F4196" i="2" s="1"/>
  <c r="E4491" i="2"/>
  <c r="F4491" i="2" s="1"/>
  <c r="E4539" i="2"/>
  <c r="F4539" i="2" s="1"/>
  <c r="E4563" i="2"/>
  <c r="F4563" i="2" s="1"/>
  <c r="E4708" i="2"/>
  <c r="F4708" i="2" s="1"/>
  <c r="E4972" i="2"/>
  <c r="F4972" i="2" s="1"/>
  <c r="E5060" i="2"/>
  <c r="F5060" i="2" s="1"/>
  <c r="E5091" i="2"/>
  <c r="F5091" i="2" s="1"/>
  <c r="E5204" i="2"/>
  <c r="F5204" i="2" s="1"/>
  <c r="E5547" i="2"/>
  <c r="F5547" i="2" s="1"/>
  <c r="E5572" i="2"/>
  <c r="F5572" i="2" s="1"/>
  <c r="E5643" i="2"/>
  <c r="F5643" i="2" s="1"/>
  <c r="E5661" i="2"/>
  <c r="F5661" i="2" s="1"/>
  <c r="E5669" i="2"/>
  <c r="F5669" i="2" s="1"/>
  <c r="E5685" i="2"/>
  <c r="F5685" i="2" s="1"/>
  <c r="E5693" i="2"/>
  <c r="F5693" i="2" s="1"/>
  <c r="E5741" i="2"/>
  <c r="F5741" i="2" s="1"/>
  <c r="E5765" i="2"/>
  <c r="F5765" i="2" s="1"/>
  <c r="E5789" i="2"/>
  <c r="F5789" i="2" s="1"/>
  <c r="E5805" i="2"/>
  <c r="F5805" i="2" s="1"/>
  <c r="E5813" i="2"/>
  <c r="F5813" i="2" s="1"/>
  <c r="E5861" i="2"/>
  <c r="F5861" i="2" s="1"/>
  <c r="E5885" i="2"/>
  <c r="F5885" i="2" s="1"/>
  <c r="E5949" i="2"/>
  <c r="F5949" i="2" s="1"/>
  <c r="E5957" i="2"/>
  <c r="F5957" i="2" s="1"/>
  <c r="E5973" i="2"/>
  <c r="F5973" i="2" s="1"/>
  <c r="E5981" i="2"/>
  <c r="F5981" i="2" s="1"/>
  <c r="E6005" i="2"/>
  <c r="F6005" i="2" s="1"/>
  <c r="E6029" i="2"/>
  <c r="F6029" i="2" s="1"/>
  <c r="E6053" i="2"/>
  <c r="F6053" i="2" s="1"/>
  <c r="E6077" i="2"/>
  <c r="F6077" i="2" s="1"/>
  <c r="E6093" i="2"/>
  <c r="F6093" i="2" s="1"/>
  <c r="E6101" i="2"/>
  <c r="F6101" i="2" s="1"/>
  <c r="E6117" i="2"/>
  <c r="F6117" i="2" s="1"/>
  <c r="E6125" i="2"/>
  <c r="F6125" i="2" s="1"/>
  <c r="E6141" i="2"/>
  <c r="F6141" i="2" s="1"/>
  <c r="E6149" i="2"/>
  <c r="F6149" i="2" s="1"/>
  <c r="E6165" i="2"/>
  <c r="F6165" i="2" s="1"/>
  <c r="E6173" i="2"/>
  <c r="F6173" i="2" s="1"/>
  <c r="E6189" i="2"/>
  <c r="F6189" i="2" s="1"/>
  <c r="E6197" i="2"/>
  <c r="F6197" i="2" s="1"/>
  <c r="E6205" i="2"/>
  <c r="F6205" i="2" s="1"/>
  <c r="E6213" i="2"/>
  <c r="F6213" i="2" s="1"/>
  <c r="E6221" i="2"/>
  <c r="F6221" i="2" s="1"/>
  <c r="E6237" i="2"/>
  <c r="F6237" i="2" s="1"/>
  <c r="E6245" i="2"/>
  <c r="F6245" i="2" s="1"/>
  <c r="E6293" i="2"/>
  <c r="F6293" i="2" s="1"/>
  <c r="E6333" i="2"/>
  <c r="F6333" i="2" s="1"/>
  <c r="E6341" i="2"/>
  <c r="F6341" i="2" s="1"/>
  <c r="E6349" i="2"/>
  <c r="F6349" i="2" s="1"/>
  <c r="E6357" i="2"/>
  <c r="F6357" i="2" s="1"/>
  <c r="E6365" i="2"/>
  <c r="F6365" i="2" s="1"/>
  <c r="E6373" i="2"/>
  <c r="F6373" i="2" s="1"/>
  <c r="E6381" i="2"/>
  <c r="F6381" i="2" s="1"/>
  <c r="E6389" i="2"/>
  <c r="F6389" i="2" s="1"/>
  <c r="E6397" i="2"/>
  <c r="F6397" i="2" s="1"/>
  <c r="E6405" i="2"/>
  <c r="F6405" i="2" s="1"/>
  <c r="E6413" i="2"/>
  <c r="F6413" i="2" s="1"/>
  <c r="E6421" i="2"/>
  <c r="F6421" i="2" s="1"/>
  <c r="E6429" i="2"/>
  <c r="F6429" i="2" s="1"/>
  <c r="E6437" i="2"/>
  <c r="F6437" i="2" s="1"/>
  <c r="E6445" i="2"/>
  <c r="F6445" i="2" s="1"/>
  <c r="E6453" i="2"/>
  <c r="F6453" i="2" s="1"/>
  <c r="E6461" i="2"/>
  <c r="F6461" i="2" s="1"/>
  <c r="E6469" i="2"/>
  <c r="F6469" i="2" s="1"/>
  <c r="E6485" i="2"/>
  <c r="F6485" i="2" s="1"/>
  <c r="E6501" i="2"/>
  <c r="F6501" i="2" s="1"/>
  <c r="E6509" i="2"/>
  <c r="F6509" i="2" s="1"/>
  <c r="E6525" i="2"/>
  <c r="F6525" i="2" s="1"/>
  <c r="E6533" i="2"/>
  <c r="F6533" i="2" s="1"/>
  <c r="E6541" i="2"/>
  <c r="F6541" i="2" s="1"/>
  <c r="E6549" i="2"/>
  <c r="F6549" i="2" s="1"/>
  <c r="E6557" i="2"/>
  <c r="F6557" i="2" s="1"/>
  <c r="E6565" i="2"/>
  <c r="F6565" i="2" s="1"/>
  <c r="E6573" i="2"/>
  <c r="F6573" i="2" s="1"/>
  <c r="E6581" i="2"/>
  <c r="F6581" i="2" s="1"/>
  <c r="E6589" i="2"/>
  <c r="F6589" i="2" s="1"/>
  <c r="E6597" i="2"/>
  <c r="F6597" i="2" s="1"/>
  <c r="E6605" i="2"/>
  <c r="F6605" i="2" s="1"/>
  <c r="E6613" i="2"/>
  <c r="F6613" i="2" s="1"/>
  <c r="E6621" i="2"/>
  <c r="F6621" i="2" s="1"/>
  <c r="E6629" i="2"/>
  <c r="F6629" i="2" s="1"/>
  <c r="E6637" i="2"/>
  <c r="F6637" i="2" s="1"/>
  <c r="E6645" i="2"/>
  <c r="F6645" i="2" s="1"/>
  <c r="E6653" i="2"/>
  <c r="F6653" i="2" s="1"/>
  <c r="E6661" i="2"/>
  <c r="F6661" i="2" s="1"/>
  <c r="E6669" i="2"/>
  <c r="F6669" i="2" s="1"/>
  <c r="E6677" i="2"/>
  <c r="F6677" i="2" s="1"/>
  <c r="E6685" i="2"/>
  <c r="F6685" i="2" s="1"/>
  <c r="E6693" i="2"/>
  <c r="F6693" i="2" s="1"/>
  <c r="E6701" i="2"/>
  <c r="F6701" i="2" s="1"/>
  <c r="E6709" i="2"/>
  <c r="F6709" i="2" s="1"/>
  <c r="E6717" i="2"/>
  <c r="F6717" i="2" s="1"/>
  <c r="E6725" i="2"/>
  <c r="F6725" i="2" s="1"/>
  <c r="E6733" i="2"/>
  <c r="F6733" i="2" s="1"/>
  <c r="E6741" i="2"/>
  <c r="F6741" i="2" s="1"/>
  <c r="E6749" i="2"/>
  <c r="F6749" i="2" s="1"/>
  <c r="E6757" i="2"/>
  <c r="F6757" i="2" s="1"/>
  <c r="E6765" i="2"/>
  <c r="F6765" i="2" s="1"/>
  <c r="E6773" i="2"/>
  <c r="F6773" i="2" s="1"/>
  <c r="E6781" i="2"/>
  <c r="F6781" i="2" s="1"/>
  <c r="E6789" i="2"/>
  <c r="F6789" i="2" s="1"/>
  <c r="E6797" i="2"/>
  <c r="F6797" i="2" s="1"/>
  <c r="E6805" i="2"/>
  <c r="F6805" i="2" s="1"/>
  <c r="E6813" i="2"/>
  <c r="F6813" i="2" s="1"/>
  <c r="E6821" i="2"/>
  <c r="F6821" i="2" s="1"/>
  <c r="E6829" i="2"/>
  <c r="F6829" i="2" s="1"/>
  <c r="E6837" i="2"/>
  <c r="F6837" i="2" s="1"/>
  <c r="E6845" i="2"/>
  <c r="F6845" i="2" s="1"/>
  <c r="E6853" i="2"/>
  <c r="F6853" i="2" s="1"/>
  <c r="E6861" i="2"/>
  <c r="F6861" i="2" s="1"/>
  <c r="E6869" i="2"/>
  <c r="F6869" i="2" s="1"/>
  <c r="E6877" i="2"/>
  <c r="F6877" i="2" s="1"/>
  <c r="E6885" i="2"/>
  <c r="F6885" i="2" s="1"/>
  <c r="E6893" i="2"/>
  <c r="F6893" i="2" s="1"/>
  <c r="E6901" i="2"/>
  <c r="F6901" i="2" s="1"/>
  <c r="E6909" i="2"/>
  <c r="F6909" i="2" s="1"/>
  <c r="E6917" i="2"/>
  <c r="F6917" i="2" s="1"/>
  <c r="E6925" i="2"/>
  <c r="F6925" i="2" s="1"/>
  <c r="E6933" i="2"/>
  <c r="F6933" i="2" s="1"/>
  <c r="E6941" i="2"/>
  <c r="F6941" i="2" s="1"/>
  <c r="E6949" i="2"/>
  <c r="F6949" i="2" s="1"/>
  <c r="E6957" i="2"/>
  <c r="F6957" i="2" s="1"/>
  <c r="E6965" i="2"/>
  <c r="F6965" i="2" s="1"/>
  <c r="E6973" i="2"/>
  <c r="F6973" i="2" s="1"/>
  <c r="E6981" i="2"/>
  <c r="F6981" i="2" s="1"/>
  <c r="E6989" i="2"/>
  <c r="F6989" i="2" s="1"/>
  <c r="E6997" i="2"/>
  <c r="F6997" i="2" s="1"/>
  <c r="E7005" i="2"/>
  <c r="F7005" i="2" s="1"/>
  <c r="E7013" i="2"/>
  <c r="F7013" i="2" s="1"/>
  <c r="E7021" i="2"/>
  <c r="F7021" i="2" s="1"/>
  <c r="E7029" i="2"/>
  <c r="F7029" i="2" s="1"/>
  <c r="E7037" i="2"/>
  <c r="F7037" i="2" s="1"/>
  <c r="E7045" i="2"/>
  <c r="F7045" i="2" s="1"/>
  <c r="E7053" i="2"/>
  <c r="F7053" i="2" s="1"/>
  <c r="E7061" i="2"/>
  <c r="F7061" i="2" s="1"/>
  <c r="E7069" i="2"/>
  <c r="F7069" i="2" s="1"/>
  <c r="E7077" i="2"/>
  <c r="F7077" i="2" s="1"/>
  <c r="E7085" i="2"/>
  <c r="F7085" i="2" s="1"/>
  <c r="E7093" i="2"/>
  <c r="F7093" i="2" s="1"/>
  <c r="E7101" i="2"/>
  <c r="F7101" i="2" s="1"/>
  <c r="E7109" i="2"/>
  <c r="F7109" i="2" s="1"/>
  <c r="E7117" i="2"/>
  <c r="F7117" i="2" s="1"/>
  <c r="E7125" i="2"/>
  <c r="F7125" i="2" s="1"/>
  <c r="E7133" i="2"/>
  <c r="F7133" i="2" s="1"/>
  <c r="E7141" i="2"/>
  <c r="F7141" i="2" s="1"/>
  <c r="E7149" i="2"/>
  <c r="F7149" i="2" s="1"/>
  <c r="E7157" i="2"/>
  <c r="F7157" i="2" s="1"/>
  <c r="E7165" i="2"/>
  <c r="F7165" i="2" s="1"/>
  <c r="E7173" i="2"/>
  <c r="F7173" i="2" s="1"/>
  <c r="E7181" i="2"/>
  <c r="F7181" i="2" s="1"/>
  <c r="E7189" i="2"/>
  <c r="F7189" i="2" s="1"/>
  <c r="E7197" i="2"/>
  <c r="F7197" i="2" s="1"/>
  <c r="E7205" i="2"/>
  <c r="F7205" i="2" s="1"/>
  <c r="E7213" i="2"/>
  <c r="F7213" i="2" s="1"/>
  <c r="E7221" i="2"/>
  <c r="F7221" i="2" s="1"/>
  <c r="E7229" i="2"/>
  <c r="F7229" i="2" s="1"/>
  <c r="E7237" i="2"/>
  <c r="F7237" i="2" s="1"/>
  <c r="E7245" i="2"/>
  <c r="F7245" i="2" s="1"/>
  <c r="E7253" i="2"/>
  <c r="F7253" i="2" s="1"/>
  <c r="E7261" i="2"/>
  <c r="F7261" i="2" s="1"/>
  <c r="E7269" i="2"/>
  <c r="F7269" i="2" s="1"/>
  <c r="E7277" i="2"/>
  <c r="F7277" i="2" s="1"/>
  <c r="E7285" i="2"/>
  <c r="F7285" i="2" s="1"/>
  <c r="E7293" i="2"/>
  <c r="F7293" i="2" s="1"/>
  <c r="E7301" i="2"/>
  <c r="F7301" i="2" s="1"/>
  <c r="E7309" i="2"/>
  <c r="F7309" i="2" s="1"/>
  <c r="E7317" i="2"/>
  <c r="F7317" i="2" s="1"/>
  <c r="E7325" i="2"/>
  <c r="F7325" i="2" s="1"/>
  <c r="E7333" i="2"/>
  <c r="F7333" i="2" s="1"/>
  <c r="E7341" i="2"/>
  <c r="F7341" i="2" s="1"/>
  <c r="E7349" i="2"/>
  <c r="F7349" i="2" s="1"/>
  <c r="E7357" i="2"/>
  <c r="F7357" i="2" s="1"/>
  <c r="E7365" i="2"/>
  <c r="F7365" i="2" s="1"/>
  <c r="E7373" i="2"/>
  <c r="F7373" i="2" s="1"/>
  <c r="E7381" i="2"/>
  <c r="F7381" i="2" s="1"/>
  <c r="E7389" i="2"/>
  <c r="F7389" i="2" s="1"/>
  <c r="E7397" i="2"/>
  <c r="F7397" i="2" s="1"/>
  <c r="E7413" i="2"/>
  <c r="F7413" i="2" s="1"/>
  <c r="E7421" i="2"/>
  <c r="F7421" i="2" s="1"/>
  <c r="E7429" i="2"/>
  <c r="F7429" i="2" s="1"/>
  <c r="E7437" i="2"/>
  <c r="F7437" i="2" s="1"/>
  <c r="E7445" i="2"/>
  <c r="F7445" i="2" s="1"/>
  <c r="E7453" i="2"/>
  <c r="F7453" i="2" s="1"/>
  <c r="E7461" i="2"/>
  <c r="F7461" i="2" s="1"/>
  <c r="E7469" i="2"/>
  <c r="F7469" i="2" s="1"/>
  <c r="E7477" i="2"/>
  <c r="F7477" i="2" s="1"/>
  <c r="E7485" i="2"/>
  <c r="F7485" i="2" s="1"/>
  <c r="E7493" i="2"/>
  <c r="F7493" i="2" s="1"/>
  <c r="E7501" i="2"/>
  <c r="F7501" i="2" s="1"/>
  <c r="E7509" i="2"/>
  <c r="F7509" i="2" s="1"/>
  <c r="E7517" i="2"/>
  <c r="F7517" i="2" s="1"/>
  <c r="E7525" i="2"/>
  <c r="F7525" i="2" s="1"/>
  <c r="E7533" i="2"/>
  <c r="F7533" i="2" s="1"/>
  <c r="E7541" i="2"/>
  <c r="F7541" i="2" s="1"/>
  <c r="E7549" i="2"/>
  <c r="F7549" i="2" s="1"/>
  <c r="E7557" i="2"/>
  <c r="F7557" i="2" s="1"/>
  <c r="E7565" i="2"/>
  <c r="F7565" i="2" s="1"/>
  <c r="E7573" i="2"/>
  <c r="F7573" i="2" s="1"/>
  <c r="E7581" i="2"/>
  <c r="F7581" i="2" s="1"/>
  <c r="E7589" i="2"/>
  <c r="F7589" i="2" s="1"/>
  <c r="E7597" i="2"/>
  <c r="F7597" i="2" s="1"/>
  <c r="E7605" i="2"/>
  <c r="F7605" i="2" s="1"/>
  <c r="E7613" i="2"/>
  <c r="F7613" i="2" s="1"/>
  <c r="E7621" i="2"/>
  <c r="F7621" i="2" s="1"/>
  <c r="E7629" i="2"/>
  <c r="F7629" i="2" s="1"/>
  <c r="E7637" i="2"/>
  <c r="F7637" i="2" s="1"/>
  <c r="E7645" i="2"/>
  <c r="F7645" i="2" s="1"/>
  <c r="E7653" i="2"/>
  <c r="F7653" i="2" s="1"/>
  <c r="E7661" i="2"/>
  <c r="F7661" i="2" s="1"/>
  <c r="E7669" i="2"/>
  <c r="F7669" i="2" s="1"/>
  <c r="E7677" i="2"/>
  <c r="F7677" i="2" s="1"/>
  <c r="E7685" i="2"/>
  <c r="F7685" i="2" s="1"/>
  <c r="E7693" i="2"/>
  <c r="F7693" i="2" s="1"/>
  <c r="E7701" i="2"/>
  <c r="F7701" i="2" s="1"/>
  <c r="E7709" i="2"/>
  <c r="F7709" i="2" s="1"/>
  <c r="E7717" i="2"/>
  <c r="F7717" i="2" s="1"/>
  <c r="E7725" i="2"/>
  <c r="F7725" i="2" s="1"/>
  <c r="E7733" i="2"/>
  <c r="F7733" i="2" s="1"/>
  <c r="E7741" i="2"/>
  <c r="F7741" i="2" s="1"/>
  <c r="E7749" i="2"/>
  <c r="F7749" i="2" s="1"/>
  <c r="E7757" i="2"/>
  <c r="F7757" i="2" s="1"/>
  <c r="E7765" i="2"/>
  <c r="F7765" i="2" s="1"/>
  <c r="E7773" i="2"/>
  <c r="F7773" i="2" s="1"/>
  <c r="E7781" i="2"/>
  <c r="F7781" i="2" s="1"/>
  <c r="E7789" i="2"/>
  <c r="F7789" i="2" s="1"/>
  <c r="E7797" i="2"/>
  <c r="F7797" i="2" s="1"/>
  <c r="E7805" i="2"/>
  <c r="F7805" i="2" s="1"/>
  <c r="E7813" i="2"/>
  <c r="F7813" i="2" s="1"/>
  <c r="E7821" i="2"/>
  <c r="F7821" i="2" s="1"/>
  <c r="E7829" i="2"/>
  <c r="F7829" i="2" s="1"/>
  <c r="E7837" i="2"/>
  <c r="F7837" i="2" s="1"/>
  <c r="E7845" i="2"/>
  <c r="F7845" i="2" s="1"/>
  <c r="E7853" i="2"/>
  <c r="F7853" i="2" s="1"/>
  <c r="E7861" i="2"/>
  <c r="F7861" i="2" s="1"/>
  <c r="E7869" i="2"/>
  <c r="F7869" i="2" s="1"/>
  <c r="E7877" i="2"/>
  <c r="F7877" i="2" s="1"/>
  <c r="E7885" i="2"/>
  <c r="F7885" i="2" s="1"/>
  <c r="E7893" i="2"/>
  <c r="F7893" i="2" s="1"/>
  <c r="E7901" i="2"/>
  <c r="F7901" i="2" s="1"/>
  <c r="E7909" i="2"/>
  <c r="F7909" i="2" s="1"/>
  <c r="E7917" i="2"/>
  <c r="F7917" i="2" s="1"/>
  <c r="E7925" i="2"/>
  <c r="F7925" i="2" s="1"/>
  <c r="E7933" i="2"/>
  <c r="F7933" i="2" s="1"/>
  <c r="E7941" i="2"/>
  <c r="F7941" i="2" s="1"/>
  <c r="E7949" i="2"/>
  <c r="F7949" i="2" s="1"/>
  <c r="E7957" i="2"/>
  <c r="F7957" i="2" s="1"/>
  <c r="E7965" i="2"/>
  <c r="F7965" i="2" s="1"/>
  <c r="E7973" i="2"/>
  <c r="F7973" i="2" s="1"/>
  <c r="E7981" i="2"/>
  <c r="F7981" i="2" s="1"/>
  <c r="E7989" i="2"/>
  <c r="F7989" i="2" s="1"/>
  <c r="E7997" i="2"/>
  <c r="F7997" i="2" s="1"/>
  <c r="E8005" i="2"/>
  <c r="F8005" i="2" s="1"/>
  <c r="E8013" i="2"/>
  <c r="F8013" i="2" s="1"/>
  <c r="E8021" i="2"/>
  <c r="F8021" i="2" s="1"/>
  <c r="E8029" i="2"/>
  <c r="F8029" i="2" s="1"/>
  <c r="E8037" i="2"/>
  <c r="F8037" i="2" s="1"/>
  <c r="E8045" i="2"/>
  <c r="F8045" i="2" s="1"/>
  <c r="E8053" i="2"/>
  <c r="F8053" i="2" s="1"/>
  <c r="E8061" i="2"/>
  <c r="F8061" i="2" s="1"/>
  <c r="E8069" i="2"/>
  <c r="F8069" i="2" s="1"/>
  <c r="E8077" i="2"/>
  <c r="F8077" i="2" s="1"/>
  <c r="E8085" i="2"/>
  <c r="F8085" i="2" s="1"/>
  <c r="E8093" i="2"/>
  <c r="F8093" i="2" s="1"/>
  <c r="E8101" i="2"/>
  <c r="F8101" i="2" s="1"/>
  <c r="E8109" i="2"/>
  <c r="F8109" i="2" s="1"/>
  <c r="E8117" i="2"/>
  <c r="F8117" i="2" s="1"/>
  <c r="E8125" i="2"/>
  <c r="F8125" i="2" s="1"/>
  <c r="E8133" i="2"/>
  <c r="F8133" i="2" s="1"/>
  <c r="E8141" i="2"/>
  <c r="F8141" i="2" s="1"/>
  <c r="E8149" i="2"/>
  <c r="F8149" i="2" s="1"/>
  <c r="E8157" i="2"/>
  <c r="F8157" i="2" s="1"/>
  <c r="E8165" i="2"/>
  <c r="F8165" i="2" s="1"/>
  <c r="E8173" i="2"/>
  <c r="F8173" i="2" s="1"/>
  <c r="E8181" i="2"/>
  <c r="F8181" i="2" s="1"/>
  <c r="E8189" i="2"/>
  <c r="F8189" i="2" s="1"/>
  <c r="E8197" i="2"/>
  <c r="F8197" i="2" s="1"/>
  <c r="E8205" i="2"/>
  <c r="F8205" i="2" s="1"/>
  <c r="E8213" i="2"/>
  <c r="F8213" i="2" s="1"/>
  <c r="E8221" i="2"/>
  <c r="F8221" i="2" s="1"/>
  <c r="E8229" i="2"/>
  <c r="F8229" i="2" s="1"/>
  <c r="E8237" i="2"/>
  <c r="F8237" i="2" s="1"/>
  <c r="E8245" i="2"/>
  <c r="F8245" i="2" s="1"/>
  <c r="E8253" i="2"/>
  <c r="F8253" i="2" s="1"/>
  <c r="E8261" i="2"/>
  <c r="F8261" i="2" s="1"/>
  <c r="E8269" i="2"/>
  <c r="F8269" i="2" s="1"/>
  <c r="E8277" i="2"/>
  <c r="F8277" i="2" s="1"/>
  <c r="E8285" i="2"/>
  <c r="F8285" i="2" s="1"/>
  <c r="E8293" i="2"/>
  <c r="F8293" i="2" s="1"/>
  <c r="E8301" i="2"/>
  <c r="F8301" i="2" s="1"/>
  <c r="E8309" i="2"/>
  <c r="F8309" i="2" s="1"/>
  <c r="E8317" i="2"/>
  <c r="F8317" i="2" s="1"/>
  <c r="E8325" i="2"/>
  <c r="F8325" i="2" s="1"/>
  <c r="E8333" i="2"/>
  <c r="F8333" i="2" s="1"/>
  <c r="E8341" i="2"/>
  <c r="F8341" i="2" s="1"/>
  <c r="E8349" i="2"/>
  <c r="F8349" i="2" s="1"/>
  <c r="E8357" i="2"/>
  <c r="F8357" i="2" s="1"/>
  <c r="E1057" i="2"/>
  <c r="F1057" i="2" s="1"/>
  <c r="E1569" i="2"/>
  <c r="F1569" i="2" s="1"/>
  <c r="E1761" i="2"/>
  <c r="F1761" i="2" s="1"/>
  <c r="E1920" i="2"/>
  <c r="F1920" i="2" s="1"/>
  <c r="E2031" i="2"/>
  <c r="F2031" i="2" s="1"/>
  <c r="E2207" i="2"/>
  <c r="F2207" i="2" s="1"/>
  <c r="E2376" i="2"/>
  <c r="F2376" i="2" s="1"/>
  <c r="E2479" i="2"/>
  <c r="F2479" i="2" s="1"/>
  <c r="E2647" i="2"/>
  <c r="F2647" i="2" s="1"/>
  <c r="E2960" i="2"/>
  <c r="F2960" i="2" s="1"/>
  <c r="E3056" i="2"/>
  <c r="F3056" i="2" s="1"/>
  <c r="E3195" i="2"/>
  <c r="F3195" i="2" s="1"/>
  <c r="E3219" i="2"/>
  <c r="F3219" i="2" s="1"/>
  <c r="E3275" i="2"/>
  <c r="F3275" i="2" s="1"/>
  <c r="E3387" i="2"/>
  <c r="F3387" i="2" s="1"/>
  <c r="E3419" i="2"/>
  <c r="F3419" i="2" s="1"/>
  <c r="E3460" i="2"/>
  <c r="F3460" i="2" s="1"/>
  <c r="E3484" i="2"/>
  <c r="F3484" i="2" s="1"/>
  <c r="E3515" i="2"/>
  <c r="F3515" i="2" s="1"/>
  <c r="E3540" i="2"/>
  <c r="F3540" i="2" s="1"/>
  <c r="E3556" i="2"/>
  <c r="F3556" i="2" s="1"/>
  <c r="E3571" i="2"/>
  <c r="F3571" i="2" s="1"/>
  <c r="E3748" i="2"/>
  <c r="F3748" i="2" s="1"/>
  <c r="E3804" i="2"/>
  <c r="F3804" i="2" s="1"/>
  <c r="E3860" i="2"/>
  <c r="F3860" i="2" s="1"/>
  <c r="E4107" i="2"/>
  <c r="F4107" i="2" s="1"/>
  <c r="E4227" i="2"/>
  <c r="F4227" i="2" s="1"/>
  <c r="E4492" i="2"/>
  <c r="F4492" i="2" s="1"/>
  <c r="E4507" i="2"/>
  <c r="F4507" i="2" s="1"/>
  <c r="E4540" i="2"/>
  <c r="F4540" i="2" s="1"/>
  <c r="E4564" i="2"/>
  <c r="F4564" i="2" s="1"/>
  <c r="E4587" i="2"/>
  <c r="F4587" i="2" s="1"/>
  <c r="E4635" i="2"/>
  <c r="F4635" i="2" s="1"/>
  <c r="E5067" i="2"/>
  <c r="F5067" i="2" s="1"/>
  <c r="E5092" i="2"/>
  <c r="F5092" i="2" s="1"/>
  <c r="E5211" i="2"/>
  <c r="F5211" i="2" s="1"/>
  <c r="E5499" i="2"/>
  <c r="F5499" i="2" s="1"/>
  <c r="E5523" i="2"/>
  <c r="F5523" i="2" s="1"/>
  <c r="E5548" i="2"/>
  <c r="F5548" i="2" s="1"/>
  <c r="E5611" i="2"/>
  <c r="F5611" i="2" s="1"/>
  <c r="E5644" i="2"/>
  <c r="F5644" i="2" s="1"/>
  <c r="E5662" i="2"/>
  <c r="F5662" i="2" s="1"/>
  <c r="E5670" i="2"/>
  <c r="F5670" i="2" s="1"/>
  <c r="E5686" i="2"/>
  <c r="F5686" i="2" s="1"/>
  <c r="E5694" i="2"/>
  <c r="F5694" i="2" s="1"/>
  <c r="E5742" i="2"/>
  <c r="F5742" i="2" s="1"/>
  <c r="E5766" i="2"/>
  <c r="F5766" i="2" s="1"/>
  <c r="E5790" i="2"/>
  <c r="F5790" i="2" s="1"/>
  <c r="E5806" i="2"/>
  <c r="F5806" i="2" s="1"/>
  <c r="E5814" i="2"/>
  <c r="F5814" i="2" s="1"/>
  <c r="E5854" i="2"/>
  <c r="F5854" i="2" s="1"/>
  <c r="E5862" i="2"/>
  <c r="F5862" i="2" s="1"/>
  <c r="E5878" i="2"/>
  <c r="F5878" i="2" s="1"/>
  <c r="E5886" i="2"/>
  <c r="F5886" i="2" s="1"/>
  <c r="E5950" i="2"/>
  <c r="F5950" i="2" s="1"/>
  <c r="E5958" i="2"/>
  <c r="F5958" i="2" s="1"/>
  <c r="E5974" i="2"/>
  <c r="F5974" i="2" s="1"/>
  <c r="E5982" i="2"/>
  <c r="F5982" i="2" s="1"/>
  <c r="E6006" i="2"/>
  <c r="F6006" i="2" s="1"/>
  <c r="E6030" i="2"/>
  <c r="F6030" i="2" s="1"/>
  <c r="E6054" i="2"/>
  <c r="F6054" i="2" s="1"/>
  <c r="E6078" i="2"/>
  <c r="F6078" i="2" s="1"/>
  <c r="E6094" i="2"/>
  <c r="F6094" i="2" s="1"/>
  <c r="E6102" i="2"/>
  <c r="F6102" i="2" s="1"/>
  <c r="E6118" i="2"/>
  <c r="F6118" i="2" s="1"/>
  <c r="E6126" i="2"/>
  <c r="F6126" i="2" s="1"/>
  <c r="E6134" i="2"/>
  <c r="F6134" i="2" s="1"/>
  <c r="E6142" i="2"/>
  <c r="F6142" i="2" s="1"/>
  <c r="E6150" i="2"/>
  <c r="F6150" i="2" s="1"/>
  <c r="E6158" i="2"/>
  <c r="F6158" i="2" s="1"/>
  <c r="E6166" i="2"/>
  <c r="F6166" i="2" s="1"/>
  <c r="E6174" i="2"/>
  <c r="F6174" i="2" s="1"/>
  <c r="E6190" i="2"/>
  <c r="F6190" i="2" s="1"/>
  <c r="E6198" i="2"/>
  <c r="F6198" i="2" s="1"/>
  <c r="E6206" i="2"/>
  <c r="F6206" i="2" s="1"/>
  <c r="E6214" i="2"/>
  <c r="F6214" i="2" s="1"/>
  <c r="E6222" i="2"/>
  <c r="F6222" i="2" s="1"/>
  <c r="E6238" i="2"/>
  <c r="F6238" i="2" s="1"/>
  <c r="E6246" i="2"/>
  <c r="F6246" i="2" s="1"/>
  <c r="E6286" i="2"/>
  <c r="F6286" i="2" s="1"/>
  <c r="E6294" i="2"/>
  <c r="F6294" i="2" s="1"/>
  <c r="E6334" i="2"/>
  <c r="F6334" i="2" s="1"/>
  <c r="E6342" i="2"/>
  <c r="F6342" i="2" s="1"/>
  <c r="E6350" i="2"/>
  <c r="F6350" i="2" s="1"/>
  <c r="E6358" i="2"/>
  <c r="F6358" i="2" s="1"/>
  <c r="E6366" i="2"/>
  <c r="F6366" i="2" s="1"/>
  <c r="E6374" i="2"/>
  <c r="F6374" i="2" s="1"/>
  <c r="E6382" i="2"/>
  <c r="F6382" i="2" s="1"/>
  <c r="E6390" i="2"/>
  <c r="F6390" i="2" s="1"/>
  <c r="E6406" i="2"/>
  <c r="F6406" i="2" s="1"/>
  <c r="E6414" i="2"/>
  <c r="F6414" i="2" s="1"/>
  <c r="E6422" i="2"/>
  <c r="F6422" i="2" s="1"/>
  <c r="E6430" i="2"/>
  <c r="F6430" i="2" s="1"/>
  <c r="E6438" i="2"/>
  <c r="F6438" i="2" s="1"/>
  <c r="E6446" i="2"/>
  <c r="F6446" i="2" s="1"/>
  <c r="E6454" i="2"/>
  <c r="F6454" i="2" s="1"/>
  <c r="E6462" i="2"/>
  <c r="F6462" i="2" s="1"/>
  <c r="E6470" i="2"/>
  <c r="F6470" i="2" s="1"/>
  <c r="E6478" i="2"/>
  <c r="F6478" i="2" s="1"/>
  <c r="E6486" i="2"/>
  <c r="F6486" i="2" s="1"/>
  <c r="E6502" i="2"/>
  <c r="F6502" i="2" s="1"/>
  <c r="E6510" i="2"/>
  <c r="F6510" i="2" s="1"/>
  <c r="E6526" i="2"/>
  <c r="F6526" i="2" s="1"/>
  <c r="E6534" i="2"/>
  <c r="F6534" i="2" s="1"/>
  <c r="E6550" i="2"/>
  <c r="F6550" i="2" s="1"/>
  <c r="E6558" i="2"/>
  <c r="F6558" i="2" s="1"/>
  <c r="E6566" i="2"/>
  <c r="F6566" i="2" s="1"/>
  <c r="E6574" i="2"/>
  <c r="F6574" i="2" s="1"/>
  <c r="E6582" i="2"/>
  <c r="F6582" i="2" s="1"/>
  <c r="E6590" i="2"/>
  <c r="F6590" i="2" s="1"/>
  <c r="E6598" i="2"/>
  <c r="F6598" i="2" s="1"/>
  <c r="E6606" i="2"/>
  <c r="F6606" i="2" s="1"/>
  <c r="E6622" i="2"/>
  <c r="F6622" i="2" s="1"/>
  <c r="E6630" i="2"/>
  <c r="F6630" i="2" s="1"/>
  <c r="E6638" i="2"/>
  <c r="F6638" i="2" s="1"/>
  <c r="E6646" i="2"/>
  <c r="F6646" i="2" s="1"/>
  <c r="E6654" i="2"/>
  <c r="F6654" i="2" s="1"/>
  <c r="E6662" i="2"/>
  <c r="F6662" i="2" s="1"/>
  <c r="E6670" i="2"/>
  <c r="F6670" i="2" s="1"/>
  <c r="E6678" i="2"/>
  <c r="F6678" i="2" s="1"/>
  <c r="E6686" i="2"/>
  <c r="F6686" i="2" s="1"/>
  <c r="E6694" i="2"/>
  <c r="F6694" i="2" s="1"/>
  <c r="E6702" i="2"/>
  <c r="F6702" i="2" s="1"/>
  <c r="E6710" i="2"/>
  <c r="F6710" i="2" s="1"/>
  <c r="E6718" i="2"/>
  <c r="F6718" i="2" s="1"/>
  <c r="E6726" i="2"/>
  <c r="F6726" i="2" s="1"/>
  <c r="E6734" i="2"/>
  <c r="F6734" i="2" s="1"/>
  <c r="E6742" i="2"/>
  <c r="F6742" i="2" s="1"/>
  <c r="E6750" i="2"/>
  <c r="F6750" i="2" s="1"/>
  <c r="E6758" i="2"/>
  <c r="F6758" i="2" s="1"/>
  <c r="E6766" i="2"/>
  <c r="F6766" i="2" s="1"/>
  <c r="E6774" i="2"/>
  <c r="F6774" i="2" s="1"/>
  <c r="E6782" i="2"/>
  <c r="F6782" i="2" s="1"/>
  <c r="E6790" i="2"/>
  <c r="F6790" i="2" s="1"/>
  <c r="E6798" i="2"/>
  <c r="F6798" i="2" s="1"/>
  <c r="E6806" i="2"/>
  <c r="F6806" i="2" s="1"/>
  <c r="E6814" i="2"/>
  <c r="F6814" i="2" s="1"/>
  <c r="E6822" i="2"/>
  <c r="F6822" i="2" s="1"/>
  <c r="E6830" i="2"/>
  <c r="F6830" i="2" s="1"/>
  <c r="E6838" i="2"/>
  <c r="F6838" i="2" s="1"/>
  <c r="E6846" i="2"/>
  <c r="F6846" i="2" s="1"/>
  <c r="E6854" i="2"/>
  <c r="F6854" i="2" s="1"/>
  <c r="E6862" i="2"/>
  <c r="F6862" i="2" s="1"/>
  <c r="E6870" i="2"/>
  <c r="F6870" i="2" s="1"/>
  <c r="E6878" i="2"/>
  <c r="F6878" i="2" s="1"/>
  <c r="E6886" i="2"/>
  <c r="F6886" i="2" s="1"/>
  <c r="E6894" i="2"/>
  <c r="F6894" i="2" s="1"/>
  <c r="E6902" i="2"/>
  <c r="F6902" i="2" s="1"/>
  <c r="E6910" i="2"/>
  <c r="F6910" i="2" s="1"/>
  <c r="E6918" i="2"/>
  <c r="F6918" i="2" s="1"/>
  <c r="E6926" i="2"/>
  <c r="F6926" i="2" s="1"/>
  <c r="E6934" i="2"/>
  <c r="F6934" i="2" s="1"/>
  <c r="E6942" i="2"/>
  <c r="F6942" i="2" s="1"/>
  <c r="E6950" i="2"/>
  <c r="F6950" i="2" s="1"/>
  <c r="E6958" i="2"/>
  <c r="F6958" i="2" s="1"/>
  <c r="E6966" i="2"/>
  <c r="F6966" i="2" s="1"/>
  <c r="E6974" i="2"/>
  <c r="F6974" i="2" s="1"/>
  <c r="E6982" i="2"/>
  <c r="F6982" i="2" s="1"/>
  <c r="E6990" i="2"/>
  <c r="F6990" i="2" s="1"/>
  <c r="E6998" i="2"/>
  <c r="F6998" i="2" s="1"/>
  <c r="E7006" i="2"/>
  <c r="F7006" i="2" s="1"/>
  <c r="E7014" i="2"/>
  <c r="F7014" i="2" s="1"/>
  <c r="E7022" i="2"/>
  <c r="F7022" i="2" s="1"/>
  <c r="E7030" i="2"/>
  <c r="F7030" i="2" s="1"/>
  <c r="E7038" i="2"/>
  <c r="F7038" i="2" s="1"/>
  <c r="E7046" i="2"/>
  <c r="F7046" i="2" s="1"/>
  <c r="E7054" i="2"/>
  <c r="F7054" i="2" s="1"/>
  <c r="E7062" i="2"/>
  <c r="F7062" i="2" s="1"/>
  <c r="E7070" i="2"/>
  <c r="F7070" i="2" s="1"/>
  <c r="E7078" i="2"/>
  <c r="F7078" i="2" s="1"/>
  <c r="E7086" i="2"/>
  <c r="F7086" i="2" s="1"/>
  <c r="E7094" i="2"/>
  <c r="F7094" i="2" s="1"/>
  <c r="E7102" i="2"/>
  <c r="F7102" i="2" s="1"/>
  <c r="E7110" i="2"/>
  <c r="F7110" i="2" s="1"/>
  <c r="E7118" i="2"/>
  <c r="F7118" i="2" s="1"/>
  <c r="E7126" i="2"/>
  <c r="F7126" i="2" s="1"/>
  <c r="E7134" i="2"/>
  <c r="F7134" i="2" s="1"/>
  <c r="E7142" i="2"/>
  <c r="F7142" i="2" s="1"/>
  <c r="E7150" i="2"/>
  <c r="F7150" i="2" s="1"/>
  <c r="E7158" i="2"/>
  <c r="F7158" i="2" s="1"/>
  <c r="E7166" i="2"/>
  <c r="F7166" i="2" s="1"/>
  <c r="E7174" i="2"/>
  <c r="F7174" i="2" s="1"/>
  <c r="E7182" i="2"/>
  <c r="F7182" i="2" s="1"/>
  <c r="E7190" i="2"/>
  <c r="F7190" i="2" s="1"/>
  <c r="E7198" i="2"/>
  <c r="F7198" i="2" s="1"/>
  <c r="E7206" i="2"/>
  <c r="F7206" i="2" s="1"/>
  <c r="E7214" i="2"/>
  <c r="F7214" i="2" s="1"/>
  <c r="E7222" i="2"/>
  <c r="F7222" i="2" s="1"/>
  <c r="E7230" i="2"/>
  <c r="F7230" i="2" s="1"/>
  <c r="E7238" i="2"/>
  <c r="F7238" i="2" s="1"/>
  <c r="E7246" i="2"/>
  <c r="F7246" i="2" s="1"/>
  <c r="E7254" i="2"/>
  <c r="F7254" i="2" s="1"/>
  <c r="E7262" i="2"/>
  <c r="F7262" i="2" s="1"/>
  <c r="E7270" i="2"/>
  <c r="F7270" i="2" s="1"/>
  <c r="E7278" i="2"/>
  <c r="F7278" i="2" s="1"/>
  <c r="E7286" i="2"/>
  <c r="F7286" i="2" s="1"/>
  <c r="E7294" i="2"/>
  <c r="F7294" i="2" s="1"/>
  <c r="E7302" i="2"/>
  <c r="F7302" i="2" s="1"/>
  <c r="E7310" i="2"/>
  <c r="F7310" i="2" s="1"/>
  <c r="E7318" i="2"/>
  <c r="F7318" i="2" s="1"/>
  <c r="E7326" i="2"/>
  <c r="F7326" i="2" s="1"/>
  <c r="E7334" i="2"/>
  <c r="F7334" i="2" s="1"/>
  <c r="E7342" i="2"/>
  <c r="F7342" i="2" s="1"/>
  <c r="E7350" i="2"/>
  <c r="F7350" i="2" s="1"/>
  <c r="E7358" i="2"/>
  <c r="F7358" i="2" s="1"/>
  <c r="E7366" i="2"/>
  <c r="F7366" i="2" s="1"/>
  <c r="E7374" i="2"/>
  <c r="F7374" i="2" s="1"/>
  <c r="E7382" i="2"/>
  <c r="F7382" i="2" s="1"/>
  <c r="E7390" i="2"/>
  <c r="F7390" i="2" s="1"/>
  <c r="E7398" i="2"/>
  <c r="F7398" i="2" s="1"/>
  <c r="E7414" i="2"/>
  <c r="F7414" i="2" s="1"/>
  <c r="E7422" i="2"/>
  <c r="F7422" i="2" s="1"/>
  <c r="E7430" i="2"/>
  <c r="F7430" i="2" s="1"/>
  <c r="E7438" i="2"/>
  <c r="F7438" i="2" s="1"/>
  <c r="E7446" i="2"/>
  <c r="F7446" i="2" s="1"/>
  <c r="E7454" i="2"/>
  <c r="F7454" i="2" s="1"/>
  <c r="E7462" i="2"/>
  <c r="F7462" i="2" s="1"/>
  <c r="E7470" i="2"/>
  <c r="F7470" i="2" s="1"/>
  <c r="E7478" i="2"/>
  <c r="F7478" i="2" s="1"/>
  <c r="E7486" i="2"/>
  <c r="F7486" i="2" s="1"/>
  <c r="E7494" i="2"/>
  <c r="F7494" i="2" s="1"/>
  <c r="E7502" i="2"/>
  <c r="F7502" i="2" s="1"/>
  <c r="E7510" i="2"/>
  <c r="F7510" i="2" s="1"/>
  <c r="E7518" i="2"/>
  <c r="F7518" i="2" s="1"/>
  <c r="E7526" i="2"/>
  <c r="F7526" i="2" s="1"/>
  <c r="E7534" i="2"/>
  <c r="F7534" i="2" s="1"/>
  <c r="E7542" i="2"/>
  <c r="F7542" i="2" s="1"/>
  <c r="E7550" i="2"/>
  <c r="F7550" i="2" s="1"/>
  <c r="E7558" i="2"/>
  <c r="F7558" i="2" s="1"/>
  <c r="E7566" i="2"/>
  <c r="F7566" i="2" s="1"/>
  <c r="E7574" i="2"/>
  <c r="F7574" i="2" s="1"/>
  <c r="E7582" i="2"/>
  <c r="F7582" i="2" s="1"/>
  <c r="E7590" i="2"/>
  <c r="F7590" i="2" s="1"/>
  <c r="E7598" i="2"/>
  <c r="F7598" i="2" s="1"/>
  <c r="E7606" i="2"/>
  <c r="F7606" i="2" s="1"/>
  <c r="E7614" i="2"/>
  <c r="F7614" i="2" s="1"/>
  <c r="E7622" i="2"/>
  <c r="F7622" i="2" s="1"/>
  <c r="E7630" i="2"/>
  <c r="F7630" i="2" s="1"/>
  <c r="E7638" i="2"/>
  <c r="F7638" i="2" s="1"/>
  <c r="E7646" i="2"/>
  <c r="F7646" i="2" s="1"/>
  <c r="E7654" i="2"/>
  <c r="F7654" i="2" s="1"/>
  <c r="E7662" i="2"/>
  <c r="F7662" i="2" s="1"/>
  <c r="E7670" i="2"/>
  <c r="F7670" i="2" s="1"/>
  <c r="E7678" i="2"/>
  <c r="F7678" i="2" s="1"/>
  <c r="E7686" i="2"/>
  <c r="F7686" i="2" s="1"/>
  <c r="E7694" i="2"/>
  <c r="F7694" i="2" s="1"/>
  <c r="E7702" i="2"/>
  <c r="F7702" i="2" s="1"/>
  <c r="E7710" i="2"/>
  <c r="F7710" i="2" s="1"/>
  <c r="E7718" i="2"/>
  <c r="F7718" i="2" s="1"/>
  <c r="E7726" i="2"/>
  <c r="F7726" i="2" s="1"/>
  <c r="E7734" i="2"/>
  <c r="F7734" i="2" s="1"/>
  <c r="E7742" i="2"/>
  <c r="F7742" i="2" s="1"/>
  <c r="E7750" i="2"/>
  <c r="F7750" i="2" s="1"/>
  <c r="E7758" i="2"/>
  <c r="F7758" i="2" s="1"/>
  <c r="E7766" i="2"/>
  <c r="F7766" i="2" s="1"/>
  <c r="E7774" i="2"/>
  <c r="F7774" i="2" s="1"/>
  <c r="E7782" i="2"/>
  <c r="F7782" i="2" s="1"/>
  <c r="E7790" i="2"/>
  <c r="F7790" i="2" s="1"/>
  <c r="E7798" i="2"/>
  <c r="F7798" i="2" s="1"/>
  <c r="E7806" i="2"/>
  <c r="F7806" i="2" s="1"/>
  <c r="E7814" i="2"/>
  <c r="F7814" i="2" s="1"/>
  <c r="E7822" i="2"/>
  <c r="F7822" i="2" s="1"/>
  <c r="E7830" i="2"/>
  <c r="F7830" i="2" s="1"/>
  <c r="E7838" i="2"/>
  <c r="F7838" i="2" s="1"/>
  <c r="E7846" i="2"/>
  <c r="F7846" i="2" s="1"/>
  <c r="E7854" i="2"/>
  <c r="F7854" i="2" s="1"/>
  <c r="E7862" i="2"/>
  <c r="F7862" i="2" s="1"/>
  <c r="E7870" i="2"/>
  <c r="F7870" i="2" s="1"/>
  <c r="E7878" i="2"/>
  <c r="F7878" i="2" s="1"/>
  <c r="E7886" i="2"/>
  <c r="F7886" i="2" s="1"/>
  <c r="E7894" i="2"/>
  <c r="F7894" i="2" s="1"/>
  <c r="E7902" i="2"/>
  <c r="F7902" i="2" s="1"/>
  <c r="E7910" i="2"/>
  <c r="F7910" i="2" s="1"/>
  <c r="E7918" i="2"/>
  <c r="F7918" i="2" s="1"/>
  <c r="E7926" i="2"/>
  <c r="F7926" i="2" s="1"/>
  <c r="E7934" i="2"/>
  <c r="F7934" i="2" s="1"/>
  <c r="E7942" i="2"/>
  <c r="F7942" i="2" s="1"/>
  <c r="E7950" i="2"/>
  <c r="F7950" i="2" s="1"/>
  <c r="E7958" i="2"/>
  <c r="F7958" i="2" s="1"/>
  <c r="E7966" i="2"/>
  <c r="F7966" i="2" s="1"/>
  <c r="E7974" i="2"/>
  <c r="F7974" i="2" s="1"/>
  <c r="E7982" i="2"/>
  <c r="F7982" i="2" s="1"/>
  <c r="E7990" i="2"/>
  <c r="F7990" i="2" s="1"/>
  <c r="E7998" i="2"/>
  <c r="F7998" i="2" s="1"/>
  <c r="E8006" i="2"/>
  <c r="F8006" i="2" s="1"/>
  <c r="E8014" i="2"/>
  <c r="F8014" i="2" s="1"/>
  <c r="E8022" i="2"/>
  <c r="F8022" i="2" s="1"/>
  <c r="E8030" i="2"/>
  <c r="F8030" i="2" s="1"/>
  <c r="E8038" i="2"/>
  <c r="F8038" i="2" s="1"/>
  <c r="E8046" i="2"/>
  <c r="F8046" i="2" s="1"/>
  <c r="E8054" i="2"/>
  <c r="F8054" i="2" s="1"/>
  <c r="E8062" i="2"/>
  <c r="F8062" i="2" s="1"/>
  <c r="E8070" i="2"/>
  <c r="F8070" i="2" s="1"/>
  <c r="E8078" i="2"/>
  <c r="F8078" i="2" s="1"/>
  <c r="E8086" i="2"/>
  <c r="F8086" i="2" s="1"/>
  <c r="E8094" i="2"/>
  <c r="F8094" i="2" s="1"/>
  <c r="E8102" i="2"/>
  <c r="F8102" i="2" s="1"/>
  <c r="E8110" i="2"/>
  <c r="F8110" i="2" s="1"/>
  <c r="E8118" i="2"/>
  <c r="F8118" i="2" s="1"/>
  <c r="E8126" i="2"/>
  <c r="F8126" i="2" s="1"/>
  <c r="E8134" i="2"/>
  <c r="F8134" i="2" s="1"/>
  <c r="E8142" i="2"/>
  <c r="F8142" i="2" s="1"/>
  <c r="E8150" i="2"/>
  <c r="F8150" i="2" s="1"/>
  <c r="E8158" i="2"/>
  <c r="F8158" i="2" s="1"/>
  <c r="E8166" i="2"/>
  <c r="F8166" i="2" s="1"/>
  <c r="E8174" i="2"/>
  <c r="F8174" i="2" s="1"/>
  <c r="E8182" i="2"/>
  <c r="F8182" i="2" s="1"/>
  <c r="E8190" i="2"/>
  <c r="F8190" i="2" s="1"/>
  <c r="E8198" i="2"/>
  <c r="F8198" i="2" s="1"/>
  <c r="E8206" i="2"/>
  <c r="F8206" i="2" s="1"/>
  <c r="E8214" i="2"/>
  <c r="F8214" i="2" s="1"/>
  <c r="E8222" i="2"/>
  <c r="F8222" i="2" s="1"/>
  <c r="E8230" i="2"/>
  <c r="F8230" i="2" s="1"/>
  <c r="E8238" i="2"/>
  <c r="F8238" i="2" s="1"/>
  <c r="E8246" i="2"/>
  <c r="F8246" i="2" s="1"/>
  <c r="E8254" i="2"/>
  <c r="F8254" i="2" s="1"/>
  <c r="E8262" i="2"/>
  <c r="F8262" i="2" s="1"/>
  <c r="E8270" i="2"/>
  <c r="F8270" i="2" s="1"/>
  <c r="E8278" i="2"/>
  <c r="F8278" i="2" s="1"/>
  <c r="E8286" i="2"/>
  <c r="F8286" i="2" s="1"/>
  <c r="E8294" i="2"/>
  <c r="F8294" i="2" s="1"/>
  <c r="E8302" i="2"/>
  <c r="F8302" i="2" s="1"/>
  <c r="E8310" i="2"/>
  <c r="F8310" i="2" s="1"/>
  <c r="E8318" i="2"/>
  <c r="F8318" i="2" s="1"/>
  <c r="E8326" i="2"/>
  <c r="F8326" i="2" s="1"/>
  <c r="E8334" i="2"/>
  <c r="F8334" i="2" s="1"/>
  <c r="E8342" i="2"/>
  <c r="F8342" i="2" s="1"/>
  <c r="E8350" i="2"/>
  <c r="F8350" i="2" s="1"/>
  <c r="E8358" i="2"/>
  <c r="F8358" i="2" s="1"/>
  <c r="E1184" i="2"/>
  <c r="F1184" i="2" s="1"/>
  <c r="E1864" i="2"/>
  <c r="F1864" i="2" s="1"/>
  <c r="E2056" i="2"/>
  <c r="F2056" i="2" s="1"/>
  <c r="E2104" i="2"/>
  <c r="F2104" i="2" s="1"/>
  <c r="E2255" i="2"/>
  <c r="F2255" i="2" s="1"/>
  <c r="E2383" i="2"/>
  <c r="F2383" i="2" s="1"/>
  <c r="E2480" i="2"/>
  <c r="F2480" i="2" s="1"/>
  <c r="E2544" i="2"/>
  <c r="F2544" i="2" s="1"/>
  <c r="E2727" i="2"/>
  <c r="F2727" i="2" s="1"/>
  <c r="E2967" i="2"/>
  <c r="F2967" i="2" s="1"/>
  <c r="E3103" i="2"/>
  <c r="F3103" i="2" s="1"/>
  <c r="E3196" i="2"/>
  <c r="F3196" i="2" s="1"/>
  <c r="E3220" i="2"/>
  <c r="F3220" i="2" s="1"/>
  <c r="E3276" i="2"/>
  <c r="F3276" i="2" s="1"/>
  <c r="E3284" i="2"/>
  <c r="F3284" i="2" s="1"/>
  <c r="E3388" i="2"/>
  <c r="F3388" i="2" s="1"/>
  <c r="E3420" i="2"/>
  <c r="F3420" i="2" s="1"/>
  <c r="E3467" i="2"/>
  <c r="F3467" i="2" s="1"/>
  <c r="E3563" i="2"/>
  <c r="F3563" i="2" s="1"/>
  <c r="E3572" i="2"/>
  <c r="F3572" i="2" s="1"/>
  <c r="E3715" i="2"/>
  <c r="F3715" i="2" s="1"/>
  <c r="E3764" i="2"/>
  <c r="F3764" i="2" s="1"/>
  <c r="E3811" i="2"/>
  <c r="F3811" i="2" s="1"/>
  <c r="E3835" i="2"/>
  <c r="F3835" i="2" s="1"/>
  <c r="E3867" i="2"/>
  <c r="F3867" i="2" s="1"/>
  <c r="E4011" i="2"/>
  <c r="F4011" i="2" s="1"/>
  <c r="E4108" i="2"/>
  <c r="F4108" i="2" s="1"/>
  <c r="E4172" i="2"/>
  <c r="F4172" i="2" s="1"/>
  <c r="E4228" i="2"/>
  <c r="F4228" i="2" s="1"/>
  <c r="E4275" i="2"/>
  <c r="F4275" i="2" s="1"/>
  <c r="E4508" i="2"/>
  <c r="F4508" i="2" s="1"/>
  <c r="E4588" i="2"/>
  <c r="F4588" i="2" s="1"/>
  <c r="E4636" i="2"/>
  <c r="F4636" i="2" s="1"/>
  <c r="E5068" i="2"/>
  <c r="F5068" i="2" s="1"/>
  <c r="E5212" i="2"/>
  <c r="F5212" i="2" s="1"/>
  <c r="E5475" i="2"/>
  <c r="F5475" i="2" s="1"/>
  <c r="E5500" i="2"/>
  <c r="F5500" i="2" s="1"/>
  <c r="E5524" i="2"/>
  <c r="F5524" i="2" s="1"/>
  <c r="E5612" i="2"/>
  <c r="F5612" i="2" s="1"/>
  <c r="E5646" i="2"/>
  <c r="F5646" i="2" s="1"/>
  <c r="E5663" i="2"/>
  <c r="F5663" i="2" s="1"/>
  <c r="E5671" i="2"/>
  <c r="F5671" i="2" s="1"/>
  <c r="E5687" i="2"/>
  <c r="F5687" i="2" s="1"/>
  <c r="E5695" i="2"/>
  <c r="F5695" i="2" s="1"/>
  <c r="E5743" i="2"/>
  <c r="F5743" i="2" s="1"/>
  <c r="E5767" i="2"/>
  <c r="F5767" i="2" s="1"/>
  <c r="E5815" i="2"/>
  <c r="F5815" i="2" s="1"/>
  <c r="E5855" i="2"/>
  <c r="F5855" i="2" s="1"/>
  <c r="E5863" i="2"/>
  <c r="F5863" i="2" s="1"/>
  <c r="E5879" i="2"/>
  <c r="F5879" i="2" s="1"/>
  <c r="E5887" i="2"/>
  <c r="F5887" i="2" s="1"/>
  <c r="E5935" i="2"/>
  <c r="F5935" i="2" s="1"/>
  <c r="E5951" i="2"/>
  <c r="F5951" i="2" s="1"/>
  <c r="E5959" i="2"/>
  <c r="F5959" i="2" s="1"/>
  <c r="E5975" i="2"/>
  <c r="F5975" i="2" s="1"/>
  <c r="E5983" i="2"/>
  <c r="F5983" i="2" s="1"/>
  <c r="E6007" i="2"/>
  <c r="F6007" i="2" s="1"/>
  <c r="E6031" i="2"/>
  <c r="F6031" i="2" s="1"/>
  <c r="E6055" i="2"/>
  <c r="F6055" i="2" s="1"/>
  <c r="E6071" i="2"/>
  <c r="F6071" i="2" s="1"/>
  <c r="E6079" i="2"/>
  <c r="F6079" i="2" s="1"/>
  <c r="E6095" i="2"/>
  <c r="F6095" i="2" s="1"/>
  <c r="E6103" i="2"/>
  <c r="F6103" i="2" s="1"/>
  <c r="E6119" i="2"/>
  <c r="F6119" i="2" s="1"/>
  <c r="E6127" i="2"/>
  <c r="F6127" i="2" s="1"/>
  <c r="E6135" i="2"/>
  <c r="F6135" i="2" s="1"/>
  <c r="E6143" i="2"/>
  <c r="F6143" i="2" s="1"/>
  <c r="E6151" i="2"/>
  <c r="F6151" i="2" s="1"/>
  <c r="E6167" i="2"/>
  <c r="F6167" i="2" s="1"/>
  <c r="E6175" i="2"/>
  <c r="F6175" i="2" s="1"/>
  <c r="E6191" i="2"/>
  <c r="F6191" i="2" s="1"/>
  <c r="E6199" i="2"/>
  <c r="F6199" i="2" s="1"/>
  <c r="E6207" i="2"/>
  <c r="F6207" i="2" s="1"/>
  <c r="E6215" i="2"/>
  <c r="F6215" i="2" s="1"/>
  <c r="E6223" i="2"/>
  <c r="F6223" i="2" s="1"/>
  <c r="E6239" i="2"/>
  <c r="F6239" i="2" s="1"/>
  <c r="E6247" i="2"/>
  <c r="F6247" i="2" s="1"/>
  <c r="E6295" i="2"/>
  <c r="F6295" i="2" s="1"/>
  <c r="E6335" i="2"/>
  <c r="F6335" i="2" s="1"/>
  <c r="E6343" i="2"/>
  <c r="F6343" i="2" s="1"/>
  <c r="E6351" i="2"/>
  <c r="F6351" i="2" s="1"/>
  <c r="E6359" i="2"/>
  <c r="F6359" i="2" s="1"/>
  <c r="E6367" i="2"/>
  <c r="F6367" i="2" s="1"/>
  <c r="E6383" i="2"/>
  <c r="F6383" i="2" s="1"/>
  <c r="E6391" i="2"/>
  <c r="F6391" i="2" s="1"/>
  <c r="E6407" i="2"/>
  <c r="F6407" i="2" s="1"/>
  <c r="E6415" i="2"/>
  <c r="F6415" i="2" s="1"/>
  <c r="E6431" i="2"/>
  <c r="F6431" i="2" s="1"/>
  <c r="E6439" i="2"/>
  <c r="F6439" i="2" s="1"/>
  <c r="E6447" i="2"/>
  <c r="F6447" i="2" s="1"/>
  <c r="E6455" i="2"/>
  <c r="F6455" i="2" s="1"/>
  <c r="E6463" i="2"/>
  <c r="F6463" i="2" s="1"/>
  <c r="E6479" i="2"/>
  <c r="F6479" i="2" s="1"/>
  <c r="E6487" i="2"/>
  <c r="F6487" i="2" s="1"/>
  <c r="E6503" i="2"/>
  <c r="F6503" i="2" s="1"/>
  <c r="E6511" i="2"/>
  <c r="F6511" i="2" s="1"/>
  <c r="E6527" i="2"/>
  <c r="F6527" i="2" s="1"/>
  <c r="E6535" i="2"/>
  <c r="F6535" i="2" s="1"/>
  <c r="E6551" i="2"/>
  <c r="F6551" i="2" s="1"/>
  <c r="E6559" i="2"/>
  <c r="F6559" i="2" s="1"/>
  <c r="E6567" i="2"/>
  <c r="F6567" i="2" s="1"/>
  <c r="E6575" i="2"/>
  <c r="F6575" i="2" s="1"/>
  <c r="E6583" i="2"/>
  <c r="F6583" i="2" s="1"/>
  <c r="E6591" i="2"/>
  <c r="F6591" i="2" s="1"/>
  <c r="E6599" i="2"/>
  <c r="F6599" i="2" s="1"/>
  <c r="E6607" i="2"/>
  <c r="F6607" i="2" s="1"/>
  <c r="E6615" i="2"/>
  <c r="F6615" i="2" s="1"/>
  <c r="E6623" i="2"/>
  <c r="F6623" i="2" s="1"/>
  <c r="E6631" i="2"/>
  <c r="F6631" i="2" s="1"/>
  <c r="E6639" i="2"/>
  <c r="F6639" i="2" s="1"/>
  <c r="E6647" i="2"/>
  <c r="F6647" i="2" s="1"/>
  <c r="E6655" i="2"/>
  <c r="F6655" i="2" s="1"/>
  <c r="E6663" i="2"/>
  <c r="F6663" i="2" s="1"/>
  <c r="E6671" i="2"/>
  <c r="F6671" i="2" s="1"/>
  <c r="E6679" i="2"/>
  <c r="F6679" i="2" s="1"/>
  <c r="E6687" i="2"/>
  <c r="F6687" i="2" s="1"/>
  <c r="E6695" i="2"/>
  <c r="F6695" i="2" s="1"/>
  <c r="E6703" i="2"/>
  <c r="F6703" i="2" s="1"/>
  <c r="E6711" i="2"/>
  <c r="F6711" i="2" s="1"/>
  <c r="E6719" i="2"/>
  <c r="F6719" i="2" s="1"/>
  <c r="E6727" i="2"/>
  <c r="F6727" i="2" s="1"/>
  <c r="E6735" i="2"/>
  <c r="F6735" i="2" s="1"/>
  <c r="E6743" i="2"/>
  <c r="F6743" i="2" s="1"/>
  <c r="E6751" i="2"/>
  <c r="F6751" i="2" s="1"/>
  <c r="E6759" i="2"/>
  <c r="F6759" i="2" s="1"/>
  <c r="E6767" i="2"/>
  <c r="F6767" i="2" s="1"/>
  <c r="E6775" i="2"/>
  <c r="F6775" i="2" s="1"/>
  <c r="E6783" i="2"/>
  <c r="F6783" i="2" s="1"/>
  <c r="E6791" i="2"/>
  <c r="F6791" i="2" s="1"/>
  <c r="E6799" i="2"/>
  <c r="F6799" i="2" s="1"/>
  <c r="E6807" i="2"/>
  <c r="F6807" i="2" s="1"/>
  <c r="E6815" i="2"/>
  <c r="F6815" i="2" s="1"/>
  <c r="E6823" i="2"/>
  <c r="F6823" i="2" s="1"/>
  <c r="E6839" i="2"/>
  <c r="F6839" i="2" s="1"/>
  <c r="E6847" i="2"/>
  <c r="F6847" i="2" s="1"/>
  <c r="E6855" i="2"/>
  <c r="F6855" i="2" s="1"/>
  <c r="E6863" i="2"/>
  <c r="F6863" i="2" s="1"/>
  <c r="E6871" i="2"/>
  <c r="F6871" i="2" s="1"/>
  <c r="E6879" i="2"/>
  <c r="F6879" i="2" s="1"/>
  <c r="E6887" i="2"/>
  <c r="F6887" i="2" s="1"/>
  <c r="E6895" i="2"/>
  <c r="F6895" i="2" s="1"/>
  <c r="E6903" i="2"/>
  <c r="F6903" i="2" s="1"/>
  <c r="E6911" i="2"/>
  <c r="F6911" i="2" s="1"/>
  <c r="E6919" i="2"/>
  <c r="F6919" i="2" s="1"/>
  <c r="E6927" i="2"/>
  <c r="F6927" i="2" s="1"/>
  <c r="E6935" i="2"/>
  <c r="F6935" i="2" s="1"/>
  <c r="E6943" i="2"/>
  <c r="F6943" i="2" s="1"/>
  <c r="E6951" i="2"/>
  <c r="F6951" i="2" s="1"/>
  <c r="E6959" i="2"/>
  <c r="F6959" i="2" s="1"/>
  <c r="E6967" i="2"/>
  <c r="F6967" i="2" s="1"/>
  <c r="E6975" i="2"/>
  <c r="F6975" i="2" s="1"/>
  <c r="E6983" i="2"/>
  <c r="F6983" i="2" s="1"/>
  <c r="E6991" i="2"/>
  <c r="F6991" i="2" s="1"/>
  <c r="E6999" i="2"/>
  <c r="F6999" i="2" s="1"/>
  <c r="E7007" i="2"/>
  <c r="F7007" i="2" s="1"/>
  <c r="E7015" i="2"/>
  <c r="F7015" i="2" s="1"/>
  <c r="E7023" i="2"/>
  <c r="F7023" i="2" s="1"/>
  <c r="E7031" i="2"/>
  <c r="F7031" i="2" s="1"/>
  <c r="E7039" i="2"/>
  <c r="F7039" i="2" s="1"/>
  <c r="E7047" i="2"/>
  <c r="F7047" i="2" s="1"/>
  <c r="E7055" i="2"/>
  <c r="F7055" i="2" s="1"/>
  <c r="E7063" i="2"/>
  <c r="F7063" i="2" s="1"/>
  <c r="E7071" i="2"/>
  <c r="F7071" i="2" s="1"/>
  <c r="E7079" i="2"/>
  <c r="F7079" i="2" s="1"/>
  <c r="E7087" i="2"/>
  <c r="F7087" i="2" s="1"/>
  <c r="E7095" i="2"/>
  <c r="F7095" i="2" s="1"/>
  <c r="E7103" i="2"/>
  <c r="F7103" i="2" s="1"/>
  <c r="E7111" i="2"/>
  <c r="F7111" i="2" s="1"/>
  <c r="E7119" i="2"/>
  <c r="F7119" i="2" s="1"/>
  <c r="E7127" i="2"/>
  <c r="F7127" i="2" s="1"/>
  <c r="E7135" i="2"/>
  <c r="F7135" i="2" s="1"/>
  <c r="E7143" i="2"/>
  <c r="F7143" i="2" s="1"/>
  <c r="E7151" i="2"/>
  <c r="F7151" i="2" s="1"/>
  <c r="E7159" i="2"/>
  <c r="F7159" i="2" s="1"/>
  <c r="E7167" i="2"/>
  <c r="F7167" i="2" s="1"/>
  <c r="E7175" i="2"/>
  <c r="F7175" i="2" s="1"/>
  <c r="E7183" i="2"/>
  <c r="F7183" i="2" s="1"/>
  <c r="E7191" i="2"/>
  <c r="F7191" i="2" s="1"/>
  <c r="E7199" i="2"/>
  <c r="F7199" i="2" s="1"/>
  <c r="E7207" i="2"/>
  <c r="F7207" i="2" s="1"/>
  <c r="E7215" i="2"/>
  <c r="F7215" i="2" s="1"/>
  <c r="E7223" i="2"/>
  <c r="F7223" i="2" s="1"/>
  <c r="E7231" i="2"/>
  <c r="F7231" i="2" s="1"/>
  <c r="E7239" i="2"/>
  <c r="F7239" i="2" s="1"/>
  <c r="E7247" i="2"/>
  <c r="F7247" i="2" s="1"/>
  <c r="E7255" i="2"/>
  <c r="F7255" i="2" s="1"/>
  <c r="E7263" i="2"/>
  <c r="F7263" i="2" s="1"/>
  <c r="E7271" i="2"/>
  <c r="F7271" i="2" s="1"/>
  <c r="E7279" i="2"/>
  <c r="F7279" i="2" s="1"/>
  <c r="E7287" i="2"/>
  <c r="F7287" i="2" s="1"/>
  <c r="E7295" i="2"/>
  <c r="F7295" i="2" s="1"/>
  <c r="E7303" i="2"/>
  <c r="F7303" i="2" s="1"/>
  <c r="E7311" i="2"/>
  <c r="F7311" i="2" s="1"/>
  <c r="E7319" i="2"/>
  <c r="F7319" i="2" s="1"/>
  <c r="E7327" i="2"/>
  <c r="F7327" i="2" s="1"/>
  <c r="E7335" i="2"/>
  <c r="F7335" i="2" s="1"/>
  <c r="E7343" i="2"/>
  <c r="F7343" i="2" s="1"/>
  <c r="E7351" i="2"/>
  <c r="F7351" i="2" s="1"/>
  <c r="E7359" i="2"/>
  <c r="F7359" i="2" s="1"/>
  <c r="E7367" i="2"/>
  <c r="F7367" i="2" s="1"/>
  <c r="E7375" i="2"/>
  <c r="F7375" i="2" s="1"/>
  <c r="E7383" i="2"/>
  <c r="F7383" i="2" s="1"/>
  <c r="E7391" i="2"/>
  <c r="F7391" i="2" s="1"/>
  <c r="E7399" i="2"/>
  <c r="F7399" i="2" s="1"/>
  <c r="E7415" i="2"/>
  <c r="F7415" i="2" s="1"/>
  <c r="E7423" i="2"/>
  <c r="F7423" i="2" s="1"/>
  <c r="E7431" i="2"/>
  <c r="F7431" i="2" s="1"/>
  <c r="E7439" i="2"/>
  <c r="F7439" i="2" s="1"/>
  <c r="E7447" i="2"/>
  <c r="F7447" i="2" s="1"/>
  <c r="E7455" i="2"/>
  <c r="F7455" i="2" s="1"/>
  <c r="E7463" i="2"/>
  <c r="F7463" i="2" s="1"/>
  <c r="E7471" i="2"/>
  <c r="F7471" i="2" s="1"/>
  <c r="E7479" i="2"/>
  <c r="F7479" i="2" s="1"/>
  <c r="E7487" i="2"/>
  <c r="F7487" i="2" s="1"/>
  <c r="E7495" i="2"/>
  <c r="F7495" i="2" s="1"/>
  <c r="E7503" i="2"/>
  <c r="F7503" i="2" s="1"/>
  <c r="E7511" i="2"/>
  <c r="F7511" i="2" s="1"/>
  <c r="E7519" i="2"/>
  <c r="F7519" i="2" s="1"/>
  <c r="E7527" i="2"/>
  <c r="F7527" i="2" s="1"/>
  <c r="E7535" i="2"/>
  <c r="F7535" i="2" s="1"/>
  <c r="E7543" i="2"/>
  <c r="F7543" i="2" s="1"/>
  <c r="E7551" i="2"/>
  <c r="F7551" i="2" s="1"/>
  <c r="E7559" i="2"/>
  <c r="F7559" i="2" s="1"/>
  <c r="E7567" i="2"/>
  <c r="F7567" i="2" s="1"/>
  <c r="E7575" i="2"/>
  <c r="F7575" i="2" s="1"/>
  <c r="E7583" i="2"/>
  <c r="F7583" i="2" s="1"/>
  <c r="E7591" i="2"/>
  <c r="F7591" i="2" s="1"/>
  <c r="E7599" i="2"/>
  <c r="F7599" i="2" s="1"/>
  <c r="E7607" i="2"/>
  <c r="F7607" i="2" s="1"/>
  <c r="E7615" i="2"/>
  <c r="F7615" i="2" s="1"/>
  <c r="E7623" i="2"/>
  <c r="F7623" i="2" s="1"/>
  <c r="E7631" i="2"/>
  <c r="F7631" i="2" s="1"/>
  <c r="E7639" i="2"/>
  <c r="F7639" i="2" s="1"/>
  <c r="E7647" i="2"/>
  <c r="F7647" i="2" s="1"/>
  <c r="E7655" i="2"/>
  <c r="F7655" i="2" s="1"/>
  <c r="E7663" i="2"/>
  <c r="F7663" i="2" s="1"/>
  <c r="E7671" i="2"/>
  <c r="F7671" i="2" s="1"/>
  <c r="E7679" i="2"/>
  <c r="F7679" i="2" s="1"/>
  <c r="E7687" i="2"/>
  <c r="F7687" i="2" s="1"/>
  <c r="E7695" i="2"/>
  <c r="F7695" i="2" s="1"/>
  <c r="E7703" i="2"/>
  <c r="F7703" i="2" s="1"/>
  <c r="E7711" i="2"/>
  <c r="F7711" i="2" s="1"/>
  <c r="E7719" i="2"/>
  <c r="F7719" i="2" s="1"/>
  <c r="E7727" i="2"/>
  <c r="F7727" i="2" s="1"/>
  <c r="E7735" i="2"/>
  <c r="F7735" i="2" s="1"/>
  <c r="E7743" i="2"/>
  <c r="F7743" i="2" s="1"/>
  <c r="E7751" i="2"/>
  <c r="F7751" i="2" s="1"/>
  <c r="E7759" i="2"/>
  <c r="F7759" i="2" s="1"/>
  <c r="E7767" i="2"/>
  <c r="F7767" i="2" s="1"/>
  <c r="E7775" i="2"/>
  <c r="F7775" i="2" s="1"/>
  <c r="E7783" i="2"/>
  <c r="F7783" i="2" s="1"/>
  <c r="E7791" i="2"/>
  <c r="F7791" i="2" s="1"/>
  <c r="E7799" i="2"/>
  <c r="F7799" i="2" s="1"/>
  <c r="E7807" i="2"/>
  <c r="F7807" i="2" s="1"/>
  <c r="E7815" i="2"/>
  <c r="F7815" i="2" s="1"/>
  <c r="E7823" i="2"/>
  <c r="F7823" i="2" s="1"/>
  <c r="E7831" i="2"/>
  <c r="F7831" i="2" s="1"/>
  <c r="E7839" i="2"/>
  <c r="F7839" i="2" s="1"/>
  <c r="E7847" i="2"/>
  <c r="F7847" i="2" s="1"/>
  <c r="E7855" i="2"/>
  <c r="F7855" i="2" s="1"/>
  <c r="E7863" i="2"/>
  <c r="F7863" i="2" s="1"/>
  <c r="E7871" i="2"/>
  <c r="F7871" i="2" s="1"/>
  <c r="E7879" i="2"/>
  <c r="F7879" i="2" s="1"/>
  <c r="E7887" i="2"/>
  <c r="F7887" i="2" s="1"/>
  <c r="E7895" i="2"/>
  <c r="F7895" i="2" s="1"/>
  <c r="E7903" i="2"/>
  <c r="F7903" i="2" s="1"/>
  <c r="E7911" i="2"/>
  <c r="F7911" i="2" s="1"/>
  <c r="E7919" i="2"/>
  <c r="F7919" i="2" s="1"/>
  <c r="E7927" i="2"/>
  <c r="F7927" i="2" s="1"/>
  <c r="E7935" i="2"/>
  <c r="F7935" i="2" s="1"/>
  <c r="E7943" i="2"/>
  <c r="F7943" i="2" s="1"/>
  <c r="E7951" i="2"/>
  <c r="F7951" i="2" s="1"/>
  <c r="E7959" i="2"/>
  <c r="F7959" i="2" s="1"/>
  <c r="E7967" i="2"/>
  <c r="F7967" i="2" s="1"/>
  <c r="E7975" i="2"/>
  <c r="F7975" i="2" s="1"/>
  <c r="E7983" i="2"/>
  <c r="F7983" i="2" s="1"/>
  <c r="E7991" i="2"/>
  <c r="F7991" i="2" s="1"/>
  <c r="E7999" i="2"/>
  <c r="F7999" i="2" s="1"/>
  <c r="E8007" i="2"/>
  <c r="F8007" i="2" s="1"/>
  <c r="E8015" i="2"/>
  <c r="F8015" i="2" s="1"/>
  <c r="E8023" i="2"/>
  <c r="F8023" i="2" s="1"/>
  <c r="E8031" i="2"/>
  <c r="F8031" i="2" s="1"/>
  <c r="E8039" i="2"/>
  <c r="F8039" i="2" s="1"/>
  <c r="E8047" i="2"/>
  <c r="F8047" i="2" s="1"/>
  <c r="E8055" i="2"/>
  <c r="F8055" i="2" s="1"/>
  <c r="E8063" i="2"/>
  <c r="F8063" i="2" s="1"/>
  <c r="E8071" i="2"/>
  <c r="F8071" i="2" s="1"/>
  <c r="E8079" i="2"/>
  <c r="F8079" i="2" s="1"/>
  <c r="E8087" i="2"/>
  <c r="F8087" i="2" s="1"/>
  <c r="E8095" i="2"/>
  <c r="F8095" i="2" s="1"/>
  <c r="E8103" i="2"/>
  <c r="F8103" i="2" s="1"/>
  <c r="E8111" i="2"/>
  <c r="F8111" i="2" s="1"/>
  <c r="E8119" i="2"/>
  <c r="F8119" i="2" s="1"/>
  <c r="E8127" i="2"/>
  <c r="F8127" i="2" s="1"/>
  <c r="E8135" i="2"/>
  <c r="F8135" i="2" s="1"/>
  <c r="E8143" i="2"/>
  <c r="F8143" i="2" s="1"/>
  <c r="E8151" i="2"/>
  <c r="F8151" i="2" s="1"/>
  <c r="E8159" i="2"/>
  <c r="F8159" i="2" s="1"/>
  <c r="E8167" i="2"/>
  <c r="F8167" i="2" s="1"/>
  <c r="E8175" i="2"/>
  <c r="F8175" i="2" s="1"/>
  <c r="E8183" i="2"/>
  <c r="F8183" i="2" s="1"/>
  <c r="E8191" i="2"/>
  <c r="F8191" i="2" s="1"/>
  <c r="E8199" i="2"/>
  <c r="F8199" i="2" s="1"/>
  <c r="E8207" i="2"/>
  <c r="F8207" i="2" s="1"/>
  <c r="E8215" i="2"/>
  <c r="F8215" i="2" s="1"/>
  <c r="E8223" i="2"/>
  <c r="F8223" i="2" s="1"/>
  <c r="E8231" i="2"/>
  <c r="F8231" i="2" s="1"/>
  <c r="E8239" i="2"/>
  <c r="F8239" i="2" s="1"/>
  <c r="E8247" i="2"/>
  <c r="F8247" i="2" s="1"/>
  <c r="E8255" i="2"/>
  <c r="F8255" i="2" s="1"/>
  <c r="E8263" i="2"/>
  <c r="F8263" i="2" s="1"/>
  <c r="E8271" i="2"/>
  <c r="F8271" i="2" s="1"/>
  <c r="E8279" i="2"/>
  <c r="F8279" i="2" s="1"/>
  <c r="E8287" i="2"/>
  <c r="F8287" i="2" s="1"/>
  <c r="E8295" i="2"/>
  <c r="F8295" i="2" s="1"/>
  <c r="E8303" i="2"/>
  <c r="F8303" i="2" s="1"/>
  <c r="E8311" i="2"/>
  <c r="F8311" i="2" s="1"/>
  <c r="E8319" i="2"/>
  <c r="F8319" i="2" s="1"/>
  <c r="E8327" i="2"/>
  <c r="F8327" i="2" s="1"/>
  <c r="E8335" i="2"/>
  <c r="F8335" i="2" s="1"/>
  <c r="E8343" i="2"/>
  <c r="F8343" i="2" s="1"/>
  <c r="E8351" i="2"/>
  <c r="F8351" i="2" s="1"/>
  <c r="E8359" i="2"/>
  <c r="F8359" i="2" s="1"/>
  <c r="E1185" i="2"/>
  <c r="F1185" i="2" s="1"/>
  <c r="E2063" i="2"/>
  <c r="F2063" i="2" s="1"/>
  <c r="E2111" i="2"/>
  <c r="F2111" i="2" s="1"/>
  <c r="E2280" i="2"/>
  <c r="F2280" i="2" s="1"/>
  <c r="E2408" i="2"/>
  <c r="F2408" i="2" s="1"/>
  <c r="E2551" i="2"/>
  <c r="F2551" i="2" s="1"/>
  <c r="E2728" i="2"/>
  <c r="F2728" i="2" s="1"/>
  <c r="E2783" i="2"/>
  <c r="F2783" i="2" s="1"/>
  <c r="E2992" i="2"/>
  <c r="F2992" i="2" s="1"/>
  <c r="E3104" i="2"/>
  <c r="F3104" i="2" s="1"/>
  <c r="E3178" i="2"/>
  <c r="F3178" i="2" s="1"/>
  <c r="E3203" i="2"/>
  <c r="F3203" i="2" s="1"/>
  <c r="E3227" i="2"/>
  <c r="F3227" i="2" s="1"/>
  <c r="E3236" i="2"/>
  <c r="F3236" i="2" s="1"/>
  <c r="E3291" i="2"/>
  <c r="F3291" i="2" s="1"/>
  <c r="E3363" i="2"/>
  <c r="F3363" i="2" s="1"/>
  <c r="E3395" i="2"/>
  <c r="F3395" i="2" s="1"/>
  <c r="E3427" i="2"/>
  <c r="F3427" i="2" s="1"/>
  <c r="E3468" i="2"/>
  <c r="F3468" i="2" s="1"/>
  <c r="E3579" i="2"/>
  <c r="F3579" i="2" s="1"/>
  <c r="E3603" i="2"/>
  <c r="F3603" i="2" s="1"/>
  <c r="E3675" i="2"/>
  <c r="F3675" i="2" s="1"/>
  <c r="E3771" i="2"/>
  <c r="F3771" i="2" s="1"/>
  <c r="E3812" i="2"/>
  <c r="F3812" i="2" s="1"/>
  <c r="E3836" i="2"/>
  <c r="F3836" i="2" s="1"/>
  <c r="E3868" i="2"/>
  <c r="F3868" i="2" s="1"/>
  <c r="E3939" i="2"/>
  <c r="F3939" i="2" s="1"/>
  <c r="E3987" i="2"/>
  <c r="F3987" i="2" s="1"/>
  <c r="E4012" i="2"/>
  <c r="F4012" i="2" s="1"/>
  <c r="E4083" i="2"/>
  <c r="F4083" i="2" s="1"/>
  <c r="E4179" i="2"/>
  <c r="F4179" i="2" s="1"/>
  <c r="E4276" i="2"/>
  <c r="F4276" i="2" s="1"/>
  <c r="E4323" i="2"/>
  <c r="F4323" i="2" s="1"/>
  <c r="E4515" i="2"/>
  <c r="F4515" i="2" s="1"/>
  <c r="E5260" i="2"/>
  <c r="F5260" i="2" s="1"/>
  <c r="E5283" i="2"/>
  <c r="F5283" i="2" s="1"/>
  <c r="E5476" i="2"/>
  <c r="F5476" i="2" s="1"/>
  <c r="E5588" i="2"/>
  <c r="F5588" i="2" s="1"/>
  <c r="E5619" i="2"/>
  <c r="F5619" i="2" s="1"/>
  <c r="E5647" i="2"/>
  <c r="F5647" i="2" s="1"/>
  <c r="E5664" i="2"/>
  <c r="F5664" i="2" s="1"/>
  <c r="E5672" i="2"/>
  <c r="F5672" i="2" s="1"/>
  <c r="E5688" i="2"/>
  <c r="F5688" i="2" s="1"/>
  <c r="E5696" i="2"/>
  <c r="F5696" i="2" s="1"/>
  <c r="E5744" i="2"/>
  <c r="F5744" i="2" s="1"/>
  <c r="E5768" i="2"/>
  <c r="F5768" i="2" s="1"/>
  <c r="E5792" i="2"/>
  <c r="F5792" i="2" s="1"/>
  <c r="E5808" i="2"/>
  <c r="F5808" i="2" s="1"/>
  <c r="E5816" i="2"/>
  <c r="F5816" i="2" s="1"/>
  <c r="E5856" i="2"/>
  <c r="F5856" i="2" s="1"/>
  <c r="E5864" i="2"/>
  <c r="F5864" i="2" s="1"/>
  <c r="E5880" i="2"/>
  <c r="F5880" i="2" s="1"/>
  <c r="E5888" i="2"/>
  <c r="F5888" i="2" s="1"/>
  <c r="E5936" i="2"/>
  <c r="F5936" i="2" s="1"/>
  <c r="E5952" i="2"/>
  <c r="F5952" i="2" s="1"/>
  <c r="E5960" i="2"/>
  <c r="F5960" i="2" s="1"/>
  <c r="E5976" i="2"/>
  <c r="F5976" i="2" s="1"/>
  <c r="E5984" i="2"/>
  <c r="F5984" i="2" s="1"/>
  <c r="E6000" i="2"/>
  <c r="F6000" i="2" s="1"/>
  <c r="E6008" i="2"/>
  <c r="F6008" i="2" s="1"/>
  <c r="E6032" i="2"/>
  <c r="F6032" i="2" s="1"/>
  <c r="E6056" i="2"/>
  <c r="F6056" i="2" s="1"/>
  <c r="E6072" i="2"/>
  <c r="F6072" i="2" s="1"/>
  <c r="E6080" i="2"/>
  <c r="F6080" i="2" s="1"/>
  <c r="E6096" i="2"/>
  <c r="F6096" i="2" s="1"/>
  <c r="E6104" i="2"/>
  <c r="F6104" i="2" s="1"/>
  <c r="E6120" i="2"/>
  <c r="F6120" i="2" s="1"/>
  <c r="E6128" i="2"/>
  <c r="F6128" i="2" s="1"/>
  <c r="E6144" i="2"/>
  <c r="F6144" i="2" s="1"/>
  <c r="E6152" i="2"/>
  <c r="F6152" i="2" s="1"/>
  <c r="E6168" i="2"/>
  <c r="F6168" i="2" s="1"/>
  <c r="E6176" i="2"/>
  <c r="F6176" i="2" s="1"/>
  <c r="E6184" i="2"/>
  <c r="F6184" i="2" s="1"/>
  <c r="E6192" i="2"/>
  <c r="F6192" i="2" s="1"/>
  <c r="E6200" i="2"/>
  <c r="F6200" i="2" s="1"/>
  <c r="E6208" i="2"/>
  <c r="F6208" i="2" s="1"/>
  <c r="E6216" i="2"/>
  <c r="F6216" i="2" s="1"/>
  <c r="E6224" i="2"/>
  <c r="F6224" i="2" s="1"/>
  <c r="E6240" i="2"/>
  <c r="F6240" i="2" s="1"/>
  <c r="E6288" i="2"/>
  <c r="F6288" i="2" s="1"/>
  <c r="E6296" i="2"/>
  <c r="F6296" i="2" s="1"/>
  <c r="E6336" i="2"/>
  <c r="F6336" i="2" s="1"/>
  <c r="E6344" i="2"/>
  <c r="F6344" i="2" s="1"/>
  <c r="E6352" i="2"/>
  <c r="F6352" i="2" s="1"/>
  <c r="E6360" i="2"/>
  <c r="F6360" i="2" s="1"/>
  <c r="E6368" i="2"/>
  <c r="F6368" i="2" s="1"/>
  <c r="E6376" i="2"/>
  <c r="F6376" i="2" s="1"/>
  <c r="E6384" i="2"/>
  <c r="F6384" i="2" s="1"/>
  <c r="E6392" i="2"/>
  <c r="F6392" i="2" s="1"/>
  <c r="E6408" i="2"/>
  <c r="F6408" i="2" s="1"/>
  <c r="E6416" i="2"/>
  <c r="F6416" i="2" s="1"/>
  <c r="E6432" i="2"/>
  <c r="F6432" i="2" s="1"/>
  <c r="E6440" i="2"/>
  <c r="F6440" i="2" s="1"/>
  <c r="E6448" i="2"/>
  <c r="F6448" i="2" s="1"/>
  <c r="E6456" i="2"/>
  <c r="F6456" i="2" s="1"/>
  <c r="E6464" i="2"/>
  <c r="F6464" i="2" s="1"/>
  <c r="E6480" i="2"/>
  <c r="F6480" i="2" s="1"/>
  <c r="E6488" i="2"/>
  <c r="F6488" i="2" s="1"/>
  <c r="E6504" i="2"/>
  <c r="F6504" i="2" s="1"/>
  <c r="E6512" i="2"/>
  <c r="F6512" i="2" s="1"/>
  <c r="E6528" i="2"/>
  <c r="F6528" i="2" s="1"/>
  <c r="E6536" i="2"/>
  <c r="F6536" i="2" s="1"/>
  <c r="E6552" i="2"/>
  <c r="F6552" i="2" s="1"/>
  <c r="E6560" i="2"/>
  <c r="F6560" i="2" s="1"/>
  <c r="E6568" i="2"/>
  <c r="F6568" i="2" s="1"/>
  <c r="E6576" i="2"/>
  <c r="F6576" i="2" s="1"/>
  <c r="E6584" i="2"/>
  <c r="F6584" i="2" s="1"/>
  <c r="E6592" i="2"/>
  <c r="F6592" i="2" s="1"/>
  <c r="E6600" i="2"/>
  <c r="F6600" i="2" s="1"/>
  <c r="E6608" i="2"/>
  <c r="F6608" i="2" s="1"/>
  <c r="E6616" i="2"/>
  <c r="F6616" i="2" s="1"/>
  <c r="E6624" i="2"/>
  <c r="F6624" i="2" s="1"/>
  <c r="E6632" i="2"/>
  <c r="F6632" i="2" s="1"/>
  <c r="E6640" i="2"/>
  <c r="F6640" i="2" s="1"/>
  <c r="E6648" i="2"/>
  <c r="F6648" i="2" s="1"/>
  <c r="E6656" i="2"/>
  <c r="F6656" i="2" s="1"/>
  <c r="E6664" i="2"/>
  <c r="F6664" i="2" s="1"/>
  <c r="E6672" i="2"/>
  <c r="F6672" i="2" s="1"/>
  <c r="E6680" i="2"/>
  <c r="F6680" i="2" s="1"/>
  <c r="E6688" i="2"/>
  <c r="F6688" i="2" s="1"/>
  <c r="E6696" i="2"/>
  <c r="F6696" i="2" s="1"/>
  <c r="E6704" i="2"/>
  <c r="F6704" i="2" s="1"/>
  <c r="E6712" i="2"/>
  <c r="F6712" i="2" s="1"/>
  <c r="E6720" i="2"/>
  <c r="F6720" i="2" s="1"/>
  <c r="E6728" i="2"/>
  <c r="F6728" i="2" s="1"/>
  <c r="E6736" i="2"/>
  <c r="F6736" i="2" s="1"/>
  <c r="E6744" i="2"/>
  <c r="F6744" i="2" s="1"/>
  <c r="E6752" i="2"/>
  <c r="F6752" i="2" s="1"/>
  <c r="E6760" i="2"/>
  <c r="F6760" i="2" s="1"/>
  <c r="E6768" i="2"/>
  <c r="F6768" i="2" s="1"/>
  <c r="E6776" i="2"/>
  <c r="F6776" i="2" s="1"/>
  <c r="E6784" i="2"/>
  <c r="F6784" i="2" s="1"/>
  <c r="E6792" i="2"/>
  <c r="F6792" i="2" s="1"/>
  <c r="E6800" i="2"/>
  <c r="F6800" i="2" s="1"/>
  <c r="E6808" i="2"/>
  <c r="F6808" i="2" s="1"/>
  <c r="E6816" i="2"/>
  <c r="F6816" i="2" s="1"/>
  <c r="E6824" i="2"/>
  <c r="F6824" i="2" s="1"/>
  <c r="E6832" i="2"/>
  <c r="F6832" i="2" s="1"/>
  <c r="E6840" i="2"/>
  <c r="F6840" i="2" s="1"/>
  <c r="E6848" i="2"/>
  <c r="F6848" i="2" s="1"/>
  <c r="E6856" i="2"/>
  <c r="F6856" i="2" s="1"/>
  <c r="E6864" i="2"/>
  <c r="F6864" i="2" s="1"/>
  <c r="E6872" i="2"/>
  <c r="F6872" i="2" s="1"/>
  <c r="E6880" i="2"/>
  <c r="F6880" i="2" s="1"/>
  <c r="E6888" i="2"/>
  <c r="F6888" i="2" s="1"/>
  <c r="E6896" i="2"/>
  <c r="F6896" i="2" s="1"/>
  <c r="E6904" i="2"/>
  <c r="F6904" i="2" s="1"/>
  <c r="E6912" i="2"/>
  <c r="F6912" i="2" s="1"/>
  <c r="E6920" i="2"/>
  <c r="F6920" i="2" s="1"/>
  <c r="E6928" i="2"/>
  <c r="F6928" i="2" s="1"/>
  <c r="E6936" i="2"/>
  <c r="F6936" i="2" s="1"/>
  <c r="E6944" i="2"/>
  <c r="F6944" i="2" s="1"/>
  <c r="E6952" i="2"/>
  <c r="F6952" i="2" s="1"/>
  <c r="E6960" i="2"/>
  <c r="F6960" i="2" s="1"/>
  <c r="E6968" i="2"/>
  <c r="F6968" i="2" s="1"/>
  <c r="E6976" i="2"/>
  <c r="F6976" i="2" s="1"/>
  <c r="E6984" i="2"/>
  <c r="F6984" i="2" s="1"/>
  <c r="E6992" i="2"/>
  <c r="F6992" i="2" s="1"/>
  <c r="E7000" i="2"/>
  <c r="F7000" i="2" s="1"/>
  <c r="E7008" i="2"/>
  <c r="F7008" i="2" s="1"/>
  <c r="E7016" i="2"/>
  <c r="F7016" i="2" s="1"/>
  <c r="E7024" i="2"/>
  <c r="F7024" i="2" s="1"/>
  <c r="E7032" i="2"/>
  <c r="F7032" i="2" s="1"/>
  <c r="E7040" i="2"/>
  <c r="F7040" i="2" s="1"/>
  <c r="E7048" i="2"/>
  <c r="F7048" i="2" s="1"/>
  <c r="E7056" i="2"/>
  <c r="F7056" i="2" s="1"/>
  <c r="E7064" i="2"/>
  <c r="F7064" i="2" s="1"/>
  <c r="E7072" i="2"/>
  <c r="F7072" i="2" s="1"/>
  <c r="E7080" i="2"/>
  <c r="F7080" i="2" s="1"/>
  <c r="E7088" i="2"/>
  <c r="F7088" i="2" s="1"/>
  <c r="E7096" i="2"/>
  <c r="F7096" i="2" s="1"/>
  <c r="E7104" i="2"/>
  <c r="F7104" i="2" s="1"/>
  <c r="E7112" i="2"/>
  <c r="F7112" i="2" s="1"/>
  <c r="E7120" i="2"/>
  <c r="F7120" i="2" s="1"/>
  <c r="E7128" i="2"/>
  <c r="F7128" i="2" s="1"/>
  <c r="E7136" i="2"/>
  <c r="F7136" i="2" s="1"/>
  <c r="E7144" i="2"/>
  <c r="F7144" i="2" s="1"/>
  <c r="E7152" i="2"/>
  <c r="F7152" i="2" s="1"/>
  <c r="E7160" i="2"/>
  <c r="F7160" i="2" s="1"/>
  <c r="E7168" i="2"/>
  <c r="F7168" i="2" s="1"/>
  <c r="E7176" i="2"/>
  <c r="F7176" i="2" s="1"/>
  <c r="E7184" i="2"/>
  <c r="F7184" i="2" s="1"/>
  <c r="E7192" i="2"/>
  <c r="F7192" i="2" s="1"/>
  <c r="E7200" i="2"/>
  <c r="F7200" i="2" s="1"/>
  <c r="E7208" i="2"/>
  <c r="F7208" i="2" s="1"/>
  <c r="E7216" i="2"/>
  <c r="F7216" i="2" s="1"/>
  <c r="E7224" i="2"/>
  <c r="F7224" i="2" s="1"/>
  <c r="E7232" i="2"/>
  <c r="F7232" i="2" s="1"/>
  <c r="E7240" i="2"/>
  <c r="F7240" i="2" s="1"/>
  <c r="E7248" i="2"/>
  <c r="F7248" i="2" s="1"/>
  <c r="E7256" i="2"/>
  <c r="F7256" i="2" s="1"/>
  <c r="E7264" i="2"/>
  <c r="F7264" i="2" s="1"/>
  <c r="E7272" i="2"/>
  <c r="F7272" i="2" s="1"/>
  <c r="E7280" i="2"/>
  <c r="F7280" i="2" s="1"/>
  <c r="E7288" i="2"/>
  <c r="F7288" i="2" s="1"/>
  <c r="E7296" i="2"/>
  <c r="F7296" i="2" s="1"/>
  <c r="E7304" i="2"/>
  <c r="F7304" i="2" s="1"/>
  <c r="E7312" i="2"/>
  <c r="F7312" i="2" s="1"/>
  <c r="E7320" i="2"/>
  <c r="F7320" i="2" s="1"/>
  <c r="E7328" i="2"/>
  <c r="F7328" i="2" s="1"/>
  <c r="E7336" i="2"/>
  <c r="F7336" i="2" s="1"/>
  <c r="E7344" i="2"/>
  <c r="F7344" i="2" s="1"/>
  <c r="E7352" i="2"/>
  <c r="F7352" i="2" s="1"/>
  <c r="E7360" i="2"/>
  <c r="F7360" i="2" s="1"/>
  <c r="E7368" i="2"/>
  <c r="F7368" i="2" s="1"/>
  <c r="E7376" i="2"/>
  <c r="F7376" i="2" s="1"/>
  <c r="E7384" i="2"/>
  <c r="F7384" i="2" s="1"/>
  <c r="E7392" i="2"/>
  <c r="F7392" i="2" s="1"/>
  <c r="E7400" i="2"/>
  <c r="F7400" i="2" s="1"/>
  <c r="E7416" i="2"/>
  <c r="F7416" i="2" s="1"/>
  <c r="E7424" i="2"/>
  <c r="F7424" i="2" s="1"/>
  <c r="E7432" i="2"/>
  <c r="F7432" i="2" s="1"/>
  <c r="E7440" i="2"/>
  <c r="F7440" i="2" s="1"/>
  <c r="E7448" i="2"/>
  <c r="F7448" i="2" s="1"/>
  <c r="E7456" i="2"/>
  <c r="F7456" i="2" s="1"/>
  <c r="E7464" i="2"/>
  <c r="F7464" i="2" s="1"/>
  <c r="E7472" i="2"/>
  <c r="F7472" i="2" s="1"/>
  <c r="E7480" i="2"/>
  <c r="F7480" i="2" s="1"/>
  <c r="E7488" i="2"/>
  <c r="F7488" i="2" s="1"/>
  <c r="E7496" i="2"/>
  <c r="F7496" i="2" s="1"/>
  <c r="E7504" i="2"/>
  <c r="F7504" i="2" s="1"/>
  <c r="E7512" i="2"/>
  <c r="F7512" i="2" s="1"/>
  <c r="E7520" i="2"/>
  <c r="F7520" i="2" s="1"/>
  <c r="E7528" i="2"/>
  <c r="F7528" i="2" s="1"/>
  <c r="E7536" i="2"/>
  <c r="F7536" i="2" s="1"/>
  <c r="E7544" i="2"/>
  <c r="F7544" i="2" s="1"/>
  <c r="E7552" i="2"/>
  <c r="F7552" i="2" s="1"/>
  <c r="E7560" i="2"/>
  <c r="F7560" i="2" s="1"/>
  <c r="E7568" i="2"/>
  <c r="F7568" i="2" s="1"/>
  <c r="E7576" i="2"/>
  <c r="F7576" i="2" s="1"/>
  <c r="E7584" i="2"/>
  <c r="F7584" i="2" s="1"/>
  <c r="E7592" i="2"/>
  <c r="F7592" i="2" s="1"/>
  <c r="E7600" i="2"/>
  <c r="F7600" i="2" s="1"/>
  <c r="E7608" i="2"/>
  <c r="F7608" i="2" s="1"/>
  <c r="E7616" i="2"/>
  <c r="F7616" i="2" s="1"/>
  <c r="E7624" i="2"/>
  <c r="F7624" i="2" s="1"/>
  <c r="E7632" i="2"/>
  <c r="F7632" i="2" s="1"/>
  <c r="E7640" i="2"/>
  <c r="F7640" i="2" s="1"/>
  <c r="E7648" i="2"/>
  <c r="F7648" i="2" s="1"/>
  <c r="E7656" i="2"/>
  <c r="F7656" i="2" s="1"/>
  <c r="E7664" i="2"/>
  <c r="F7664" i="2" s="1"/>
  <c r="E7672" i="2"/>
  <c r="F7672" i="2" s="1"/>
  <c r="E7680" i="2"/>
  <c r="F7680" i="2" s="1"/>
  <c r="E7688" i="2"/>
  <c r="F7688" i="2" s="1"/>
  <c r="E7696" i="2"/>
  <c r="F7696" i="2" s="1"/>
  <c r="E7704" i="2"/>
  <c r="F7704" i="2" s="1"/>
  <c r="E7712" i="2"/>
  <c r="F7712" i="2" s="1"/>
  <c r="E7720" i="2"/>
  <c r="F7720" i="2" s="1"/>
  <c r="E7728" i="2"/>
  <c r="F7728" i="2" s="1"/>
  <c r="E7736" i="2"/>
  <c r="F7736" i="2" s="1"/>
  <c r="E7744" i="2"/>
  <c r="F7744" i="2" s="1"/>
  <c r="E7752" i="2"/>
  <c r="F7752" i="2" s="1"/>
  <c r="E7760" i="2"/>
  <c r="F7760" i="2" s="1"/>
  <c r="E7768" i="2"/>
  <c r="F7768" i="2" s="1"/>
  <c r="E7776" i="2"/>
  <c r="F7776" i="2" s="1"/>
  <c r="E7784" i="2"/>
  <c r="F7784" i="2" s="1"/>
  <c r="E7792" i="2"/>
  <c r="F7792" i="2" s="1"/>
  <c r="E7800" i="2"/>
  <c r="F7800" i="2" s="1"/>
  <c r="E7808" i="2"/>
  <c r="F7808" i="2" s="1"/>
  <c r="E7816" i="2"/>
  <c r="F7816" i="2" s="1"/>
  <c r="E7824" i="2"/>
  <c r="F7824" i="2" s="1"/>
  <c r="E7832" i="2"/>
  <c r="F7832" i="2" s="1"/>
  <c r="E7840" i="2"/>
  <c r="F7840" i="2" s="1"/>
  <c r="E7848" i="2"/>
  <c r="F7848" i="2" s="1"/>
  <c r="E7856" i="2"/>
  <c r="F7856" i="2" s="1"/>
  <c r="E7864" i="2"/>
  <c r="F7864" i="2" s="1"/>
  <c r="E7872" i="2"/>
  <c r="F7872" i="2" s="1"/>
  <c r="E7880" i="2"/>
  <c r="F7880" i="2" s="1"/>
  <c r="E7888" i="2"/>
  <c r="F7888" i="2" s="1"/>
  <c r="E7896" i="2"/>
  <c r="F7896" i="2" s="1"/>
  <c r="E7904" i="2"/>
  <c r="F7904" i="2" s="1"/>
  <c r="E7912" i="2"/>
  <c r="F7912" i="2" s="1"/>
  <c r="E7920" i="2"/>
  <c r="F7920" i="2" s="1"/>
  <c r="E7928" i="2"/>
  <c r="F7928" i="2" s="1"/>
  <c r="E7936" i="2"/>
  <c r="F7936" i="2" s="1"/>
  <c r="E7944" i="2"/>
  <c r="F7944" i="2" s="1"/>
  <c r="E7952" i="2"/>
  <c r="F7952" i="2" s="1"/>
  <c r="E7960" i="2"/>
  <c r="F7960" i="2" s="1"/>
  <c r="E7968" i="2"/>
  <c r="F7968" i="2" s="1"/>
  <c r="E7976" i="2"/>
  <c r="F7976" i="2" s="1"/>
  <c r="E7984" i="2"/>
  <c r="F7984" i="2" s="1"/>
  <c r="E7992" i="2"/>
  <c r="F7992" i="2" s="1"/>
  <c r="E8000" i="2"/>
  <c r="F8000" i="2" s="1"/>
  <c r="E8008" i="2"/>
  <c r="F8008" i="2" s="1"/>
  <c r="E8016" i="2"/>
  <c r="F8016" i="2" s="1"/>
  <c r="E8024" i="2"/>
  <c r="F8024" i="2" s="1"/>
  <c r="E8032" i="2"/>
  <c r="F8032" i="2" s="1"/>
  <c r="E8040" i="2"/>
  <c r="F8040" i="2" s="1"/>
  <c r="E8048" i="2"/>
  <c r="F8048" i="2" s="1"/>
  <c r="E8056" i="2"/>
  <c r="F8056" i="2" s="1"/>
  <c r="E8064" i="2"/>
  <c r="F8064" i="2" s="1"/>
  <c r="E8072" i="2"/>
  <c r="F8072" i="2" s="1"/>
  <c r="E8080" i="2"/>
  <c r="F8080" i="2" s="1"/>
  <c r="E8088" i="2"/>
  <c r="F8088" i="2" s="1"/>
  <c r="E8096" i="2"/>
  <c r="F8096" i="2" s="1"/>
  <c r="E8104" i="2"/>
  <c r="F8104" i="2" s="1"/>
  <c r="E8112" i="2"/>
  <c r="F8112" i="2" s="1"/>
  <c r="E8120" i="2"/>
  <c r="F8120" i="2" s="1"/>
  <c r="E8128" i="2"/>
  <c r="F8128" i="2" s="1"/>
  <c r="E8136" i="2"/>
  <c r="F8136" i="2" s="1"/>
  <c r="E8144" i="2"/>
  <c r="F8144" i="2" s="1"/>
  <c r="E8152" i="2"/>
  <c r="F8152" i="2" s="1"/>
  <c r="E8160" i="2"/>
  <c r="F8160" i="2" s="1"/>
  <c r="E8168" i="2"/>
  <c r="F8168" i="2" s="1"/>
  <c r="E8176" i="2"/>
  <c r="F8176" i="2" s="1"/>
  <c r="E8184" i="2"/>
  <c r="F8184" i="2" s="1"/>
  <c r="E8192" i="2"/>
  <c r="F8192" i="2" s="1"/>
  <c r="E8200" i="2"/>
  <c r="F8200" i="2" s="1"/>
  <c r="E8208" i="2"/>
  <c r="F8208" i="2" s="1"/>
  <c r="E8216" i="2"/>
  <c r="F8216" i="2" s="1"/>
  <c r="E8224" i="2"/>
  <c r="F8224" i="2" s="1"/>
  <c r="E8232" i="2"/>
  <c r="F8232" i="2" s="1"/>
  <c r="E8240" i="2"/>
  <c r="F8240" i="2" s="1"/>
  <c r="E8248" i="2"/>
  <c r="F8248" i="2" s="1"/>
  <c r="E8256" i="2"/>
  <c r="F8256" i="2" s="1"/>
  <c r="E8264" i="2"/>
  <c r="F8264" i="2" s="1"/>
  <c r="E8272" i="2"/>
  <c r="F8272" i="2" s="1"/>
  <c r="E8280" i="2"/>
  <c r="F8280" i="2" s="1"/>
  <c r="E8288" i="2"/>
  <c r="F8288" i="2" s="1"/>
  <c r="E8296" i="2"/>
  <c r="F8296" i="2" s="1"/>
  <c r="E8304" i="2"/>
  <c r="F8304" i="2" s="1"/>
  <c r="E8312" i="2"/>
  <c r="F8312" i="2" s="1"/>
  <c r="E8320" i="2"/>
  <c r="F8320" i="2" s="1"/>
  <c r="E8328" i="2"/>
  <c r="F8328" i="2" s="1"/>
  <c r="E8336" i="2"/>
  <c r="F8336" i="2" s="1"/>
  <c r="E8344" i="2"/>
  <c r="F8344" i="2" s="1"/>
  <c r="E8352" i="2"/>
  <c r="F8352" i="2" s="1"/>
  <c r="E8360" i="2"/>
  <c r="F8360" i="2" s="1"/>
  <c r="E8368" i="2"/>
  <c r="F8368" i="2" s="1"/>
  <c r="E8376" i="2"/>
  <c r="F8376" i="2" s="1"/>
  <c r="E8384" i="2"/>
  <c r="F8384" i="2" s="1"/>
  <c r="E8392" i="2"/>
  <c r="F8392" i="2" s="1"/>
  <c r="E8400" i="2"/>
  <c r="F8400" i="2" s="1"/>
  <c r="E8408" i="2"/>
  <c r="F8408" i="2" s="1"/>
  <c r="E8416" i="2"/>
  <c r="F8416" i="2" s="1"/>
  <c r="E8424" i="2"/>
  <c r="F8424" i="2" s="1"/>
  <c r="E8432" i="2"/>
  <c r="F8432" i="2" s="1"/>
  <c r="E1312" i="2"/>
  <c r="F1312" i="2" s="1"/>
  <c r="E2287" i="2"/>
  <c r="F2287" i="2" s="1"/>
  <c r="E2504" i="2"/>
  <c r="F2504" i="2" s="1"/>
  <c r="E2760" i="2"/>
  <c r="F2760" i="2" s="1"/>
  <c r="E3024" i="2"/>
  <c r="F3024" i="2" s="1"/>
  <c r="E3339" i="2"/>
  <c r="F3339" i="2" s="1"/>
  <c r="E3403" i="2"/>
  <c r="F3403" i="2" s="1"/>
  <c r="E3699" i="2"/>
  <c r="F3699" i="2" s="1"/>
  <c r="E3779" i="2"/>
  <c r="F3779" i="2" s="1"/>
  <c r="E3819" i="2"/>
  <c r="F3819" i="2" s="1"/>
  <c r="E3988" i="2"/>
  <c r="F3988" i="2" s="1"/>
  <c r="E5284" i="2"/>
  <c r="F5284" i="2" s="1"/>
  <c r="E5332" i="2"/>
  <c r="F5332" i="2" s="1"/>
  <c r="E5356" i="2"/>
  <c r="F5356" i="2" s="1"/>
  <c r="E5627" i="2"/>
  <c r="F5627" i="2" s="1"/>
  <c r="E5689" i="2"/>
  <c r="F5689" i="2" s="1"/>
  <c r="E5953" i="2"/>
  <c r="F5953" i="2" s="1"/>
  <c r="E5985" i="2"/>
  <c r="F5985" i="2" s="1"/>
  <c r="E6002" i="2"/>
  <c r="F6002" i="2" s="1"/>
  <c r="E6106" i="2"/>
  <c r="F6106" i="2" s="1"/>
  <c r="E6121" i="2"/>
  <c r="F6121" i="2" s="1"/>
  <c r="E6202" i="2"/>
  <c r="F6202" i="2" s="1"/>
  <c r="E6290" i="2"/>
  <c r="F6290" i="2" s="1"/>
  <c r="E6354" i="2"/>
  <c r="F6354" i="2" s="1"/>
  <c r="E6385" i="2"/>
  <c r="F6385" i="2" s="1"/>
  <c r="E6402" i="2"/>
  <c r="F6402" i="2" s="1"/>
  <c r="E6426" i="2"/>
  <c r="F6426" i="2" s="1"/>
  <c r="E6458" i="2"/>
  <c r="F6458" i="2" s="1"/>
  <c r="E6514" i="2"/>
  <c r="F6514" i="2" s="1"/>
  <c r="E6530" i="2"/>
  <c r="F6530" i="2" s="1"/>
  <c r="E6553" i="2"/>
  <c r="F6553" i="2" s="1"/>
  <c r="E6585" i="2"/>
  <c r="F6585" i="2" s="1"/>
  <c r="E6642" i="2"/>
  <c r="F6642" i="2" s="1"/>
  <c r="E6674" i="2"/>
  <c r="F6674" i="2" s="1"/>
  <c r="E6706" i="2"/>
  <c r="F6706" i="2" s="1"/>
  <c r="E6738" i="2"/>
  <c r="F6738" i="2" s="1"/>
  <c r="E6770" i="2"/>
  <c r="F6770" i="2" s="1"/>
  <c r="E6802" i="2"/>
  <c r="F6802" i="2" s="1"/>
  <c r="E6833" i="2"/>
  <c r="F6833" i="2" s="1"/>
  <c r="E6865" i="2"/>
  <c r="F6865" i="2" s="1"/>
  <c r="E6897" i="2"/>
  <c r="F6897" i="2" s="1"/>
  <c r="E6929" i="2"/>
  <c r="F6929" i="2" s="1"/>
  <c r="E6961" i="2"/>
  <c r="F6961" i="2" s="1"/>
  <c r="E6993" i="2"/>
  <c r="F6993" i="2" s="1"/>
  <c r="E7025" i="2"/>
  <c r="F7025" i="2" s="1"/>
  <c r="E7057" i="2"/>
  <c r="F7057" i="2" s="1"/>
  <c r="E7089" i="2"/>
  <c r="F7089" i="2" s="1"/>
  <c r="E7121" i="2"/>
  <c r="F7121" i="2" s="1"/>
  <c r="E7153" i="2"/>
  <c r="F7153" i="2" s="1"/>
  <c r="E7185" i="2"/>
  <c r="F7185" i="2" s="1"/>
  <c r="E7217" i="2"/>
  <c r="F7217" i="2" s="1"/>
  <c r="E7249" i="2"/>
  <c r="F7249" i="2" s="1"/>
  <c r="E7281" i="2"/>
  <c r="F7281" i="2" s="1"/>
  <c r="E7313" i="2"/>
  <c r="F7313" i="2" s="1"/>
  <c r="E7345" i="2"/>
  <c r="F7345" i="2" s="1"/>
  <c r="E7377" i="2"/>
  <c r="F7377" i="2" s="1"/>
  <c r="E7425" i="2"/>
  <c r="F7425" i="2" s="1"/>
  <c r="E7457" i="2"/>
  <c r="F7457" i="2" s="1"/>
  <c r="E7489" i="2"/>
  <c r="F7489" i="2" s="1"/>
  <c r="E7521" i="2"/>
  <c r="F7521" i="2" s="1"/>
  <c r="E7553" i="2"/>
  <c r="F7553" i="2" s="1"/>
  <c r="E7585" i="2"/>
  <c r="F7585" i="2" s="1"/>
  <c r="E7617" i="2"/>
  <c r="F7617" i="2" s="1"/>
  <c r="E7649" i="2"/>
  <c r="F7649" i="2" s="1"/>
  <c r="E7681" i="2"/>
  <c r="F7681" i="2" s="1"/>
  <c r="E7713" i="2"/>
  <c r="F7713" i="2" s="1"/>
  <c r="E7745" i="2"/>
  <c r="F7745" i="2" s="1"/>
  <c r="E7777" i="2"/>
  <c r="F7777" i="2" s="1"/>
  <c r="E7809" i="2"/>
  <c r="F7809" i="2" s="1"/>
  <c r="E7841" i="2"/>
  <c r="F7841" i="2" s="1"/>
  <c r="E7873" i="2"/>
  <c r="F7873" i="2" s="1"/>
  <c r="E7905" i="2"/>
  <c r="F7905" i="2" s="1"/>
  <c r="E7937" i="2"/>
  <c r="F7937" i="2" s="1"/>
  <c r="E7969" i="2"/>
  <c r="F7969" i="2" s="1"/>
  <c r="E8001" i="2"/>
  <c r="F8001" i="2" s="1"/>
  <c r="E8033" i="2"/>
  <c r="F8033" i="2" s="1"/>
  <c r="E8065" i="2"/>
  <c r="F8065" i="2" s="1"/>
  <c r="E8097" i="2"/>
  <c r="F8097" i="2" s="1"/>
  <c r="E8129" i="2"/>
  <c r="F8129" i="2" s="1"/>
  <c r="E8161" i="2"/>
  <c r="F8161" i="2" s="1"/>
  <c r="E8193" i="2"/>
  <c r="F8193" i="2" s="1"/>
  <c r="E8225" i="2"/>
  <c r="F8225" i="2" s="1"/>
  <c r="E8257" i="2"/>
  <c r="F8257" i="2" s="1"/>
  <c r="E8289" i="2"/>
  <c r="F8289" i="2" s="1"/>
  <c r="E8321" i="2"/>
  <c r="F8321" i="2" s="1"/>
  <c r="E8353" i="2"/>
  <c r="F8353" i="2" s="1"/>
  <c r="E8370" i="2"/>
  <c r="F8370" i="2" s="1"/>
  <c r="E8381" i="2"/>
  <c r="F8381" i="2" s="1"/>
  <c r="E8391" i="2"/>
  <c r="F8391" i="2" s="1"/>
  <c r="E8402" i="2"/>
  <c r="F8402" i="2" s="1"/>
  <c r="E8413" i="2"/>
  <c r="F8413" i="2" s="1"/>
  <c r="E8423" i="2"/>
  <c r="F8423" i="2" s="1"/>
  <c r="E8434" i="2"/>
  <c r="F8434" i="2" s="1"/>
  <c r="E8442" i="2"/>
  <c r="F8442" i="2" s="1"/>
  <c r="E8450" i="2"/>
  <c r="F8450" i="2" s="1"/>
  <c r="E8458" i="2"/>
  <c r="F8458" i="2" s="1"/>
  <c r="E8466" i="2"/>
  <c r="F8466" i="2" s="1"/>
  <c r="E8474" i="2"/>
  <c r="F8474" i="2" s="1"/>
  <c r="E8482" i="2"/>
  <c r="F8482" i="2" s="1"/>
  <c r="E8490" i="2"/>
  <c r="F8490" i="2" s="1"/>
  <c r="E8498" i="2"/>
  <c r="F8498" i="2" s="1"/>
  <c r="E8506" i="2"/>
  <c r="F8506" i="2" s="1"/>
  <c r="E8514" i="2"/>
  <c r="F8514" i="2" s="1"/>
  <c r="E8522" i="2"/>
  <c r="F8522" i="2" s="1"/>
  <c r="E8530" i="2"/>
  <c r="F8530" i="2" s="1"/>
  <c r="E8538" i="2"/>
  <c r="F8538" i="2" s="1"/>
  <c r="E8546" i="2"/>
  <c r="F8546" i="2" s="1"/>
  <c r="E8554" i="2"/>
  <c r="F8554" i="2" s="1"/>
  <c r="E8562" i="2"/>
  <c r="F8562" i="2" s="1"/>
  <c r="E8570" i="2"/>
  <c r="F8570" i="2" s="1"/>
  <c r="E8578" i="2"/>
  <c r="F8578" i="2" s="1"/>
  <c r="E8586" i="2"/>
  <c r="F8586" i="2" s="1"/>
  <c r="E8594" i="2"/>
  <c r="F8594" i="2" s="1"/>
  <c r="E8602" i="2"/>
  <c r="F8602" i="2" s="1"/>
  <c r="E8610" i="2"/>
  <c r="F8610" i="2" s="1"/>
  <c r="E8618" i="2"/>
  <c r="F8618" i="2" s="1"/>
  <c r="E8626" i="2"/>
  <c r="F8626" i="2" s="1"/>
  <c r="E8634" i="2"/>
  <c r="F8634" i="2" s="1"/>
  <c r="E8642" i="2"/>
  <c r="F8642" i="2" s="1"/>
  <c r="E8650" i="2"/>
  <c r="F8650" i="2" s="1"/>
  <c r="E8658" i="2"/>
  <c r="F8658" i="2" s="1"/>
  <c r="E8666" i="2"/>
  <c r="F8666" i="2" s="1"/>
  <c r="E8674" i="2"/>
  <c r="F8674" i="2" s="1"/>
  <c r="E8682" i="2"/>
  <c r="F8682" i="2" s="1"/>
  <c r="E8690" i="2"/>
  <c r="F8690" i="2" s="1"/>
  <c r="E8698" i="2"/>
  <c r="F8698" i="2" s="1"/>
  <c r="E8706" i="2"/>
  <c r="F8706" i="2" s="1"/>
  <c r="E8714" i="2"/>
  <c r="F8714" i="2" s="1"/>
  <c r="E8722" i="2"/>
  <c r="F8722" i="2" s="1"/>
  <c r="E8730" i="2"/>
  <c r="F8730" i="2" s="1"/>
  <c r="E8738" i="2"/>
  <c r="F8738" i="2" s="1"/>
  <c r="E8746" i="2"/>
  <c r="F8746" i="2" s="1"/>
  <c r="E8754" i="2"/>
  <c r="F8754" i="2" s="1"/>
  <c r="E2" i="2"/>
  <c r="E1313" i="2"/>
  <c r="F1313" i="2" s="1"/>
  <c r="E2312" i="2"/>
  <c r="F2312" i="2" s="1"/>
  <c r="E2527" i="2"/>
  <c r="F2527" i="2" s="1"/>
  <c r="E3204" i="2"/>
  <c r="F3204" i="2" s="1"/>
  <c r="E3428" i="2"/>
  <c r="F3428" i="2" s="1"/>
  <c r="E3820" i="2"/>
  <c r="F3820" i="2" s="1"/>
  <c r="E3940" i="2"/>
  <c r="F3940" i="2" s="1"/>
  <c r="E5307" i="2"/>
  <c r="F5307" i="2" s="1"/>
  <c r="E5690" i="2"/>
  <c r="F5690" i="2" s="1"/>
  <c r="E5954" i="2"/>
  <c r="F5954" i="2" s="1"/>
  <c r="E6009" i="2"/>
  <c r="F6009" i="2" s="1"/>
  <c r="E6025" i="2"/>
  <c r="F6025" i="2" s="1"/>
  <c r="E6073" i="2"/>
  <c r="F6073" i="2" s="1"/>
  <c r="E6122" i="2"/>
  <c r="F6122" i="2" s="1"/>
  <c r="E6145" i="2"/>
  <c r="F6145" i="2" s="1"/>
  <c r="E6209" i="2"/>
  <c r="F6209" i="2" s="1"/>
  <c r="E6329" i="2"/>
  <c r="F6329" i="2" s="1"/>
  <c r="E6361" i="2"/>
  <c r="F6361" i="2" s="1"/>
  <c r="E6386" i="2"/>
  <c r="F6386" i="2" s="1"/>
  <c r="E6409" i="2"/>
  <c r="F6409" i="2" s="1"/>
  <c r="E6433" i="2"/>
  <c r="F6433" i="2" s="1"/>
  <c r="E6465" i="2"/>
  <c r="F6465" i="2" s="1"/>
  <c r="E6537" i="2"/>
  <c r="F6537" i="2" s="1"/>
  <c r="E6554" i="2"/>
  <c r="F6554" i="2" s="1"/>
  <c r="E6586" i="2"/>
  <c r="F6586" i="2" s="1"/>
  <c r="E6617" i="2"/>
  <c r="F6617" i="2" s="1"/>
  <c r="E6649" i="2"/>
  <c r="F6649" i="2" s="1"/>
  <c r="E6681" i="2"/>
  <c r="F6681" i="2" s="1"/>
  <c r="E6713" i="2"/>
  <c r="F6713" i="2" s="1"/>
  <c r="E6745" i="2"/>
  <c r="F6745" i="2" s="1"/>
  <c r="E6777" i="2"/>
  <c r="F6777" i="2" s="1"/>
  <c r="E6809" i="2"/>
  <c r="F6809" i="2" s="1"/>
  <c r="E6834" i="2"/>
  <c r="F6834" i="2" s="1"/>
  <c r="E6866" i="2"/>
  <c r="F6866" i="2" s="1"/>
  <c r="E6898" i="2"/>
  <c r="F6898" i="2" s="1"/>
  <c r="E6930" i="2"/>
  <c r="F6930" i="2" s="1"/>
  <c r="E6962" i="2"/>
  <c r="F6962" i="2" s="1"/>
  <c r="E6994" i="2"/>
  <c r="F6994" i="2" s="1"/>
  <c r="E7026" i="2"/>
  <c r="F7026" i="2" s="1"/>
  <c r="E7058" i="2"/>
  <c r="F7058" i="2" s="1"/>
  <c r="E7090" i="2"/>
  <c r="F7090" i="2" s="1"/>
  <c r="E7122" i="2"/>
  <c r="F7122" i="2" s="1"/>
  <c r="E7154" i="2"/>
  <c r="F7154" i="2" s="1"/>
  <c r="E7186" i="2"/>
  <c r="F7186" i="2" s="1"/>
  <c r="E7218" i="2"/>
  <c r="F7218" i="2" s="1"/>
  <c r="E7250" i="2"/>
  <c r="F7250" i="2" s="1"/>
  <c r="E7282" i="2"/>
  <c r="F7282" i="2" s="1"/>
  <c r="E7314" i="2"/>
  <c r="F7314" i="2" s="1"/>
  <c r="E7346" i="2"/>
  <c r="F7346" i="2" s="1"/>
  <c r="E7378" i="2"/>
  <c r="F7378" i="2" s="1"/>
  <c r="E7426" i="2"/>
  <c r="F7426" i="2" s="1"/>
  <c r="E7458" i="2"/>
  <c r="F7458" i="2" s="1"/>
  <c r="E7490" i="2"/>
  <c r="F7490" i="2" s="1"/>
  <c r="E7522" i="2"/>
  <c r="F7522" i="2" s="1"/>
  <c r="E7554" i="2"/>
  <c r="F7554" i="2" s="1"/>
  <c r="E7586" i="2"/>
  <c r="F7586" i="2" s="1"/>
  <c r="E7618" i="2"/>
  <c r="F7618" i="2" s="1"/>
  <c r="E7650" i="2"/>
  <c r="F7650" i="2" s="1"/>
  <c r="E7682" i="2"/>
  <c r="F7682" i="2" s="1"/>
  <c r="E7714" i="2"/>
  <c r="F7714" i="2" s="1"/>
  <c r="E7746" i="2"/>
  <c r="F7746" i="2" s="1"/>
  <c r="E7778" i="2"/>
  <c r="F7778" i="2" s="1"/>
  <c r="E7810" i="2"/>
  <c r="F7810" i="2" s="1"/>
  <c r="E7842" i="2"/>
  <c r="F7842" i="2" s="1"/>
  <c r="E7874" i="2"/>
  <c r="F7874" i="2" s="1"/>
  <c r="E7906" i="2"/>
  <c r="F7906" i="2" s="1"/>
  <c r="E7938" i="2"/>
  <c r="F7938" i="2" s="1"/>
  <c r="E7970" i="2"/>
  <c r="F7970" i="2" s="1"/>
  <c r="E8002" i="2"/>
  <c r="F8002" i="2" s="1"/>
  <c r="E8034" i="2"/>
  <c r="F8034" i="2" s="1"/>
  <c r="E8066" i="2"/>
  <c r="F8066" i="2" s="1"/>
  <c r="E8098" i="2"/>
  <c r="F8098" i="2" s="1"/>
  <c r="E8130" i="2"/>
  <c r="F8130" i="2" s="1"/>
  <c r="E8162" i="2"/>
  <c r="F8162" i="2" s="1"/>
  <c r="E8194" i="2"/>
  <c r="F8194" i="2" s="1"/>
  <c r="E8226" i="2"/>
  <c r="F8226" i="2" s="1"/>
  <c r="E8258" i="2"/>
  <c r="F8258" i="2" s="1"/>
  <c r="E8290" i="2"/>
  <c r="F8290" i="2" s="1"/>
  <c r="E8322" i="2"/>
  <c r="F8322" i="2" s="1"/>
  <c r="E8354" i="2"/>
  <c r="F8354" i="2" s="1"/>
  <c r="E8372" i="2"/>
  <c r="F8372" i="2" s="1"/>
  <c r="E8382" i="2"/>
  <c r="F8382" i="2" s="1"/>
  <c r="E8393" i="2"/>
  <c r="F8393" i="2" s="1"/>
  <c r="E8404" i="2"/>
  <c r="F8404" i="2" s="1"/>
  <c r="E8414" i="2"/>
  <c r="F8414" i="2" s="1"/>
  <c r="E8425" i="2"/>
  <c r="F8425" i="2" s="1"/>
  <c r="E8435" i="2"/>
  <c r="F8435" i="2" s="1"/>
  <c r="E8443" i="2"/>
  <c r="F8443" i="2" s="1"/>
  <c r="E8451" i="2"/>
  <c r="F8451" i="2" s="1"/>
  <c r="E8459" i="2"/>
  <c r="F8459" i="2" s="1"/>
  <c r="E8467" i="2"/>
  <c r="F8467" i="2" s="1"/>
  <c r="E8475" i="2"/>
  <c r="F8475" i="2" s="1"/>
  <c r="E8483" i="2"/>
  <c r="F8483" i="2" s="1"/>
  <c r="E8491" i="2"/>
  <c r="F8491" i="2" s="1"/>
  <c r="E8499" i="2"/>
  <c r="F8499" i="2" s="1"/>
  <c r="E8507" i="2"/>
  <c r="F8507" i="2" s="1"/>
  <c r="E8515" i="2"/>
  <c r="F8515" i="2" s="1"/>
  <c r="E8523" i="2"/>
  <c r="F8523" i="2" s="1"/>
  <c r="E8531" i="2"/>
  <c r="F8531" i="2" s="1"/>
  <c r="E8539" i="2"/>
  <c r="F8539" i="2" s="1"/>
  <c r="E8547" i="2"/>
  <c r="F8547" i="2" s="1"/>
  <c r="E8555" i="2"/>
  <c r="F8555" i="2" s="1"/>
  <c r="E8563" i="2"/>
  <c r="F8563" i="2" s="1"/>
  <c r="E8571" i="2"/>
  <c r="F8571" i="2" s="1"/>
  <c r="E8579" i="2"/>
  <c r="F8579" i="2" s="1"/>
  <c r="E8587" i="2"/>
  <c r="F8587" i="2" s="1"/>
  <c r="E8595" i="2"/>
  <c r="F8595" i="2" s="1"/>
  <c r="E8603" i="2"/>
  <c r="F8603" i="2" s="1"/>
  <c r="E8611" i="2"/>
  <c r="F8611" i="2" s="1"/>
  <c r="E8619" i="2"/>
  <c r="F8619" i="2" s="1"/>
  <c r="E8627" i="2"/>
  <c r="F8627" i="2" s="1"/>
  <c r="E8635" i="2"/>
  <c r="F8635" i="2" s="1"/>
  <c r="E8643" i="2"/>
  <c r="F8643" i="2" s="1"/>
  <c r="E8651" i="2"/>
  <c r="F8651" i="2" s="1"/>
  <c r="E8659" i="2"/>
  <c r="F8659" i="2" s="1"/>
  <c r="E8667" i="2"/>
  <c r="F8667" i="2" s="1"/>
  <c r="E8675" i="2"/>
  <c r="F8675" i="2" s="1"/>
  <c r="E8683" i="2"/>
  <c r="F8683" i="2" s="1"/>
  <c r="E8691" i="2"/>
  <c r="F8691" i="2" s="1"/>
  <c r="E8699" i="2"/>
  <c r="F8699" i="2" s="1"/>
  <c r="E8707" i="2"/>
  <c r="F8707" i="2" s="1"/>
  <c r="E8715" i="2"/>
  <c r="F8715" i="2" s="1"/>
  <c r="E8723" i="2"/>
  <c r="F8723" i="2" s="1"/>
  <c r="E8731" i="2"/>
  <c r="F8731" i="2" s="1"/>
  <c r="E8739" i="2"/>
  <c r="F8739" i="2" s="1"/>
  <c r="E8747" i="2"/>
  <c r="F8747" i="2" s="1"/>
  <c r="E8755" i="2"/>
  <c r="F8755" i="2" s="1"/>
  <c r="E2143" i="2"/>
  <c r="F2143" i="2" s="1"/>
  <c r="E3772" i="2"/>
  <c r="F3772" i="2" s="1"/>
  <c r="E6114" i="2"/>
  <c r="F6114" i="2" s="1"/>
  <c r="E6378" i="2"/>
  <c r="F6378" i="2" s="1"/>
  <c r="E6513" i="2"/>
  <c r="F6513" i="2" s="1"/>
  <c r="E6641" i="2"/>
  <c r="F6641" i="2" s="1"/>
  <c r="E6801" i="2"/>
  <c r="F6801" i="2" s="1"/>
  <c r="E6986" i="2"/>
  <c r="F6986" i="2" s="1"/>
  <c r="E7146" i="2"/>
  <c r="F7146" i="2" s="1"/>
  <c r="E7306" i="2"/>
  <c r="F7306" i="2" s="1"/>
  <c r="E7450" i="2"/>
  <c r="F7450" i="2" s="1"/>
  <c r="E7610" i="2"/>
  <c r="F7610" i="2" s="1"/>
  <c r="E7738" i="2"/>
  <c r="F7738" i="2" s="1"/>
  <c r="E7898" i="2"/>
  <c r="F7898" i="2" s="1"/>
  <c r="E8090" i="2"/>
  <c r="F8090" i="2" s="1"/>
  <c r="E8282" i="2"/>
  <c r="F8282" i="2" s="1"/>
  <c r="E8380" i="2"/>
  <c r="F8380" i="2" s="1"/>
  <c r="E8433" i="2"/>
  <c r="F8433" i="2" s="1"/>
  <c r="E8473" i="2"/>
  <c r="F8473" i="2" s="1"/>
  <c r="E8505" i="2"/>
  <c r="F8505" i="2" s="1"/>
  <c r="E8545" i="2"/>
  <c r="F8545" i="2" s="1"/>
  <c r="E8561" i="2"/>
  <c r="F8561" i="2" s="1"/>
  <c r="E8601" i="2"/>
  <c r="F8601" i="2" s="1"/>
  <c r="E8657" i="2"/>
  <c r="F8657" i="2" s="1"/>
  <c r="E8697" i="2"/>
  <c r="F8697" i="2" s="1"/>
  <c r="E8737" i="2"/>
  <c r="F8737" i="2" s="1"/>
  <c r="E2415" i="2"/>
  <c r="F2415" i="2" s="1"/>
  <c r="E2455" i="2"/>
  <c r="F2455" i="2" s="1"/>
  <c r="E2664" i="2"/>
  <c r="F2664" i="2" s="1"/>
  <c r="E3292" i="2"/>
  <c r="F3292" i="2" s="1"/>
  <c r="E3435" i="2"/>
  <c r="F3435" i="2" s="1"/>
  <c r="E3524" i="2"/>
  <c r="F3524" i="2" s="1"/>
  <c r="E4084" i="2"/>
  <c r="F4084" i="2" s="1"/>
  <c r="E4259" i="2"/>
  <c r="F4259" i="2" s="1"/>
  <c r="E5648" i="2"/>
  <c r="F5648" i="2" s="1"/>
  <c r="E5697" i="2"/>
  <c r="F5697" i="2" s="1"/>
  <c r="E5961" i="2"/>
  <c r="F5961" i="2" s="1"/>
  <c r="E6026" i="2"/>
  <c r="F6026" i="2" s="1"/>
  <c r="E6074" i="2"/>
  <c r="F6074" i="2" s="1"/>
  <c r="E6129" i="2"/>
  <c r="F6129" i="2" s="1"/>
  <c r="E6146" i="2"/>
  <c r="F6146" i="2" s="1"/>
  <c r="E6169" i="2"/>
  <c r="F6169" i="2" s="1"/>
  <c r="E6210" i="2"/>
  <c r="F6210" i="2" s="1"/>
  <c r="E6330" i="2"/>
  <c r="F6330" i="2" s="1"/>
  <c r="E6362" i="2"/>
  <c r="F6362" i="2" s="1"/>
  <c r="E6393" i="2"/>
  <c r="F6393" i="2" s="1"/>
  <c r="E6410" i="2"/>
  <c r="F6410" i="2" s="1"/>
  <c r="E6434" i="2"/>
  <c r="F6434" i="2" s="1"/>
  <c r="E6466" i="2"/>
  <c r="F6466" i="2" s="1"/>
  <c r="E6481" i="2"/>
  <c r="F6481" i="2" s="1"/>
  <c r="E6538" i="2"/>
  <c r="F6538" i="2" s="1"/>
  <c r="E6561" i="2"/>
  <c r="F6561" i="2" s="1"/>
  <c r="E6593" i="2"/>
  <c r="F6593" i="2" s="1"/>
  <c r="E6618" i="2"/>
  <c r="F6618" i="2" s="1"/>
  <c r="E6650" i="2"/>
  <c r="F6650" i="2" s="1"/>
  <c r="E6682" i="2"/>
  <c r="F6682" i="2" s="1"/>
  <c r="E6714" i="2"/>
  <c r="F6714" i="2" s="1"/>
  <c r="E6746" i="2"/>
  <c r="F6746" i="2" s="1"/>
  <c r="E6778" i="2"/>
  <c r="F6778" i="2" s="1"/>
  <c r="E6810" i="2"/>
  <c r="F6810" i="2" s="1"/>
  <c r="E6841" i="2"/>
  <c r="F6841" i="2" s="1"/>
  <c r="E6873" i="2"/>
  <c r="F6873" i="2" s="1"/>
  <c r="E6905" i="2"/>
  <c r="F6905" i="2" s="1"/>
  <c r="E6937" i="2"/>
  <c r="F6937" i="2" s="1"/>
  <c r="E6969" i="2"/>
  <c r="F6969" i="2" s="1"/>
  <c r="E7001" i="2"/>
  <c r="F7001" i="2" s="1"/>
  <c r="E7033" i="2"/>
  <c r="F7033" i="2" s="1"/>
  <c r="E7065" i="2"/>
  <c r="F7065" i="2" s="1"/>
  <c r="E7097" i="2"/>
  <c r="F7097" i="2" s="1"/>
  <c r="E7129" i="2"/>
  <c r="F7129" i="2" s="1"/>
  <c r="E7161" i="2"/>
  <c r="F7161" i="2" s="1"/>
  <c r="E7193" i="2"/>
  <c r="F7193" i="2" s="1"/>
  <c r="E7225" i="2"/>
  <c r="F7225" i="2" s="1"/>
  <c r="E7257" i="2"/>
  <c r="F7257" i="2" s="1"/>
  <c r="E7289" i="2"/>
  <c r="F7289" i="2" s="1"/>
  <c r="E7321" i="2"/>
  <c r="F7321" i="2" s="1"/>
  <c r="E7353" i="2"/>
  <c r="F7353" i="2" s="1"/>
  <c r="E7385" i="2"/>
  <c r="F7385" i="2" s="1"/>
  <c r="E7433" i="2"/>
  <c r="F7433" i="2" s="1"/>
  <c r="E7465" i="2"/>
  <c r="F7465" i="2" s="1"/>
  <c r="E7497" i="2"/>
  <c r="F7497" i="2" s="1"/>
  <c r="E7529" i="2"/>
  <c r="F7529" i="2" s="1"/>
  <c r="E7561" i="2"/>
  <c r="F7561" i="2" s="1"/>
  <c r="E7593" i="2"/>
  <c r="F7593" i="2" s="1"/>
  <c r="E7625" i="2"/>
  <c r="F7625" i="2" s="1"/>
  <c r="E7657" i="2"/>
  <c r="F7657" i="2" s="1"/>
  <c r="E7689" i="2"/>
  <c r="F7689" i="2" s="1"/>
  <c r="E7721" i="2"/>
  <c r="F7721" i="2" s="1"/>
  <c r="E7753" i="2"/>
  <c r="F7753" i="2" s="1"/>
  <c r="E7785" i="2"/>
  <c r="F7785" i="2" s="1"/>
  <c r="E7817" i="2"/>
  <c r="F7817" i="2" s="1"/>
  <c r="E7849" i="2"/>
  <c r="F7849" i="2" s="1"/>
  <c r="E7881" i="2"/>
  <c r="F7881" i="2" s="1"/>
  <c r="E7913" i="2"/>
  <c r="F7913" i="2" s="1"/>
  <c r="E7945" i="2"/>
  <c r="F7945" i="2" s="1"/>
  <c r="E7977" i="2"/>
  <c r="F7977" i="2" s="1"/>
  <c r="E8009" i="2"/>
  <c r="F8009" i="2" s="1"/>
  <c r="E8041" i="2"/>
  <c r="F8041" i="2" s="1"/>
  <c r="E8073" i="2"/>
  <c r="F8073" i="2" s="1"/>
  <c r="E8105" i="2"/>
  <c r="F8105" i="2" s="1"/>
  <c r="E8137" i="2"/>
  <c r="F8137" i="2" s="1"/>
  <c r="E8169" i="2"/>
  <c r="F8169" i="2" s="1"/>
  <c r="E8201" i="2"/>
  <c r="F8201" i="2" s="1"/>
  <c r="E8233" i="2"/>
  <c r="F8233" i="2" s="1"/>
  <c r="E8265" i="2"/>
  <c r="F8265" i="2" s="1"/>
  <c r="E8297" i="2"/>
  <c r="F8297" i="2" s="1"/>
  <c r="E8329" i="2"/>
  <c r="F8329" i="2" s="1"/>
  <c r="E8361" i="2"/>
  <c r="F8361" i="2" s="1"/>
  <c r="E8373" i="2"/>
  <c r="F8373" i="2" s="1"/>
  <c r="E8383" i="2"/>
  <c r="F8383" i="2" s="1"/>
  <c r="E8394" i="2"/>
  <c r="F8394" i="2" s="1"/>
  <c r="E8405" i="2"/>
  <c r="F8405" i="2" s="1"/>
  <c r="E8415" i="2"/>
  <c r="F8415" i="2" s="1"/>
  <c r="E8426" i="2"/>
  <c r="F8426" i="2" s="1"/>
  <c r="E8436" i="2"/>
  <c r="F8436" i="2" s="1"/>
  <c r="E8444" i="2"/>
  <c r="F8444" i="2" s="1"/>
  <c r="E8452" i="2"/>
  <c r="F8452" i="2" s="1"/>
  <c r="E8460" i="2"/>
  <c r="F8460" i="2" s="1"/>
  <c r="E8468" i="2"/>
  <c r="F8468" i="2" s="1"/>
  <c r="E8476" i="2"/>
  <c r="F8476" i="2" s="1"/>
  <c r="E8484" i="2"/>
  <c r="F8484" i="2" s="1"/>
  <c r="E8492" i="2"/>
  <c r="F8492" i="2" s="1"/>
  <c r="E8500" i="2"/>
  <c r="F8500" i="2" s="1"/>
  <c r="E8508" i="2"/>
  <c r="F8508" i="2" s="1"/>
  <c r="E8516" i="2"/>
  <c r="F8516" i="2" s="1"/>
  <c r="E8524" i="2"/>
  <c r="F8524" i="2" s="1"/>
  <c r="E8532" i="2"/>
  <c r="F8532" i="2" s="1"/>
  <c r="E8540" i="2"/>
  <c r="F8540" i="2" s="1"/>
  <c r="E8548" i="2"/>
  <c r="F8548" i="2" s="1"/>
  <c r="E8556" i="2"/>
  <c r="F8556" i="2" s="1"/>
  <c r="E8564" i="2"/>
  <c r="F8564" i="2" s="1"/>
  <c r="E8572" i="2"/>
  <c r="F8572" i="2" s="1"/>
  <c r="E8580" i="2"/>
  <c r="F8580" i="2" s="1"/>
  <c r="E8588" i="2"/>
  <c r="F8588" i="2" s="1"/>
  <c r="E8596" i="2"/>
  <c r="F8596" i="2" s="1"/>
  <c r="E8604" i="2"/>
  <c r="F8604" i="2" s="1"/>
  <c r="E8612" i="2"/>
  <c r="F8612" i="2" s="1"/>
  <c r="E8620" i="2"/>
  <c r="F8620" i="2" s="1"/>
  <c r="E8628" i="2"/>
  <c r="F8628" i="2" s="1"/>
  <c r="E8636" i="2"/>
  <c r="F8636" i="2" s="1"/>
  <c r="E8644" i="2"/>
  <c r="F8644" i="2" s="1"/>
  <c r="E8652" i="2"/>
  <c r="F8652" i="2" s="1"/>
  <c r="E8660" i="2"/>
  <c r="F8660" i="2" s="1"/>
  <c r="E8668" i="2"/>
  <c r="F8668" i="2" s="1"/>
  <c r="E8676" i="2"/>
  <c r="F8676" i="2" s="1"/>
  <c r="E8684" i="2"/>
  <c r="F8684" i="2" s="1"/>
  <c r="E8692" i="2"/>
  <c r="F8692" i="2" s="1"/>
  <c r="E8700" i="2"/>
  <c r="F8700" i="2" s="1"/>
  <c r="E8708" i="2"/>
  <c r="F8708" i="2" s="1"/>
  <c r="E8716" i="2"/>
  <c r="F8716" i="2" s="1"/>
  <c r="E8724" i="2"/>
  <c r="F8724" i="2" s="1"/>
  <c r="E8732" i="2"/>
  <c r="F8732" i="2" s="1"/>
  <c r="E8740" i="2"/>
  <c r="F8740" i="2" s="1"/>
  <c r="E8748" i="2"/>
  <c r="F8748" i="2" s="1"/>
  <c r="E8756" i="2"/>
  <c r="F8756" i="2" s="1"/>
  <c r="E2456" i="2"/>
  <c r="F2456" i="2" s="1"/>
  <c r="E2671" i="2"/>
  <c r="F2671" i="2" s="1"/>
  <c r="E3243" i="2"/>
  <c r="F3243" i="2" s="1"/>
  <c r="E3299" i="2"/>
  <c r="F3299" i="2" s="1"/>
  <c r="E5650" i="2"/>
  <c r="F5650" i="2" s="1"/>
  <c r="E5665" i="2"/>
  <c r="F5665" i="2" s="1"/>
  <c r="E6081" i="2"/>
  <c r="F6081" i="2" s="1"/>
  <c r="E6130" i="2"/>
  <c r="F6130" i="2" s="1"/>
  <c r="E6153" i="2"/>
  <c r="F6153" i="2" s="1"/>
  <c r="E6170" i="2"/>
  <c r="F6170" i="2" s="1"/>
  <c r="E6217" i="2"/>
  <c r="F6217" i="2" s="1"/>
  <c r="E6337" i="2"/>
  <c r="F6337" i="2" s="1"/>
  <c r="E6369" i="2"/>
  <c r="F6369" i="2" s="1"/>
  <c r="E6394" i="2"/>
  <c r="F6394" i="2" s="1"/>
  <c r="E6417" i="2"/>
  <c r="F6417" i="2" s="1"/>
  <c r="E6441" i="2"/>
  <c r="F6441" i="2" s="1"/>
  <c r="E6482" i="2"/>
  <c r="F6482" i="2" s="1"/>
  <c r="E6562" i="2"/>
  <c r="F6562" i="2" s="1"/>
  <c r="E6594" i="2"/>
  <c r="F6594" i="2" s="1"/>
  <c r="E6625" i="2"/>
  <c r="F6625" i="2" s="1"/>
  <c r="E6657" i="2"/>
  <c r="F6657" i="2" s="1"/>
  <c r="E6689" i="2"/>
  <c r="F6689" i="2" s="1"/>
  <c r="E6721" i="2"/>
  <c r="F6721" i="2" s="1"/>
  <c r="E6753" i="2"/>
  <c r="F6753" i="2" s="1"/>
  <c r="E6785" i="2"/>
  <c r="F6785" i="2" s="1"/>
  <c r="E6817" i="2"/>
  <c r="F6817" i="2" s="1"/>
  <c r="E6842" i="2"/>
  <c r="F6842" i="2" s="1"/>
  <c r="E6874" i="2"/>
  <c r="F6874" i="2" s="1"/>
  <c r="E6906" i="2"/>
  <c r="F6906" i="2" s="1"/>
  <c r="E6938" i="2"/>
  <c r="F6938" i="2" s="1"/>
  <c r="E6970" i="2"/>
  <c r="F6970" i="2" s="1"/>
  <c r="E7002" i="2"/>
  <c r="F7002" i="2" s="1"/>
  <c r="E7034" i="2"/>
  <c r="F7034" i="2" s="1"/>
  <c r="E7066" i="2"/>
  <c r="F7066" i="2" s="1"/>
  <c r="E7098" i="2"/>
  <c r="F7098" i="2" s="1"/>
  <c r="E7130" i="2"/>
  <c r="F7130" i="2" s="1"/>
  <c r="E7162" i="2"/>
  <c r="F7162" i="2" s="1"/>
  <c r="E7194" i="2"/>
  <c r="F7194" i="2" s="1"/>
  <c r="E7226" i="2"/>
  <c r="F7226" i="2" s="1"/>
  <c r="E7258" i="2"/>
  <c r="F7258" i="2" s="1"/>
  <c r="E7290" i="2"/>
  <c r="F7290" i="2" s="1"/>
  <c r="E7322" i="2"/>
  <c r="F7322" i="2" s="1"/>
  <c r="E7354" i="2"/>
  <c r="F7354" i="2" s="1"/>
  <c r="E7386" i="2"/>
  <c r="F7386" i="2" s="1"/>
  <c r="E7434" i="2"/>
  <c r="F7434" i="2" s="1"/>
  <c r="E7466" i="2"/>
  <c r="F7466" i="2" s="1"/>
  <c r="E7498" i="2"/>
  <c r="F7498" i="2" s="1"/>
  <c r="E7530" i="2"/>
  <c r="F7530" i="2" s="1"/>
  <c r="E7562" i="2"/>
  <c r="F7562" i="2" s="1"/>
  <c r="E7594" i="2"/>
  <c r="F7594" i="2" s="1"/>
  <c r="E7626" i="2"/>
  <c r="F7626" i="2" s="1"/>
  <c r="E7658" i="2"/>
  <c r="F7658" i="2" s="1"/>
  <c r="E7690" i="2"/>
  <c r="F7690" i="2" s="1"/>
  <c r="E7722" i="2"/>
  <c r="F7722" i="2" s="1"/>
  <c r="E7754" i="2"/>
  <c r="F7754" i="2" s="1"/>
  <c r="E7786" i="2"/>
  <c r="F7786" i="2" s="1"/>
  <c r="E7818" i="2"/>
  <c r="F7818" i="2" s="1"/>
  <c r="E7850" i="2"/>
  <c r="F7850" i="2" s="1"/>
  <c r="E7882" i="2"/>
  <c r="F7882" i="2" s="1"/>
  <c r="E7914" i="2"/>
  <c r="F7914" i="2" s="1"/>
  <c r="E7946" i="2"/>
  <c r="F7946" i="2" s="1"/>
  <c r="E7978" i="2"/>
  <c r="F7978" i="2" s="1"/>
  <c r="E8010" i="2"/>
  <c r="F8010" i="2" s="1"/>
  <c r="E8042" i="2"/>
  <c r="F8042" i="2" s="1"/>
  <c r="E8074" i="2"/>
  <c r="F8074" i="2" s="1"/>
  <c r="E8106" i="2"/>
  <c r="F8106" i="2" s="1"/>
  <c r="E8138" i="2"/>
  <c r="F8138" i="2" s="1"/>
  <c r="E8170" i="2"/>
  <c r="F8170" i="2" s="1"/>
  <c r="E8202" i="2"/>
  <c r="F8202" i="2" s="1"/>
  <c r="E8234" i="2"/>
  <c r="F8234" i="2" s="1"/>
  <c r="E8266" i="2"/>
  <c r="F8266" i="2" s="1"/>
  <c r="E8298" i="2"/>
  <c r="F8298" i="2" s="1"/>
  <c r="E8330" i="2"/>
  <c r="F8330" i="2" s="1"/>
  <c r="E8362" i="2"/>
  <c r="F8362" i="2" s="1"/>
  <c r="E8374" i="2"/>
  <c r="F8374" i="2" s="1"/>
  <c r="E8385" i="2"/>
  <c r="F8385" i="2" s="1"/>
  <c r="E8396" i="2"/>
  <c r="F8396" i="2" s="1"/>
  <c r="E8406" i="2"/>
  <c r="F8406" i="2" s="1"/>
  <c r="E8417" i="2"/>
  <c r="F8417" i="2" s="1"/>
  <c r="E8428" i="2"/>
  <c r="F8428" i="2" s="1"/>
  <c r="E8437" i="2"/>
  <c r="F8437" i="2" s="1"/>
  <c r="E8445" i="2"/>
  <c r="F8445" i="2" s="1"/>
  <c r="E8453" i="2"/>
  <c r="F8453" i="2" s="1"/>
  <c r="E8461" i="2"/>
  <c r="F8461" i="2" s="1"/>
  <c r="E8469" i="2"/>
  <c r="F8469" i="2" s="1"/>
  <c r="E8477" i="2"/>
  <c r="F8477" i="2" s="1"/>
  <c r="E8485" i="2"/>
  <c r="F8485" i="2" s="1"/>
  <c r="E8493" i="2"/>
  <c r="F8493" i="2" s="1"/>
  <c r="E8501" i="2"/>
  <c r="F8501" i="2" s="1"/>
  <c r="E8509" i="2"/>
  <c r="F8509" i="2" s="1"/>
  <c r="E8517" i="2"/>
  <c r="F8517" i="2" s="1"/>
  <c r="E8525" i="2"/>
  <c r="F8525" i="2" s="1"/>
  <c r="E8533" i="2"/>
  <c r="F8533" i="2" s="1"/>
  <c r="E8541" i="2"/>
  <c r="F8541" i="2" s="1"/>
  <c r="E8549" i="2"/>
  <c r="F8549" i="2" s="1"/>
  <c r="E8557" i="2"/>
  <c r="F8557" i="2" s="1"/>
  <c r="E8565" i="2"/>
  <c r="F8565" i="2" s="1"/>
  <c r="E8573" i="2"/>
  <c r="F8573" i="2" s="1"/>
  <c r="E8581" i="2"/>
  <c r="F8581" i="2" s="1"/>
  <c r="E8589" i="2"/>
  <c r="F8589" i="2" s="1"/>
  <c r="E8597" i="2"/>
  <c r="F8597" i="2" s="1"/>
  <c r="E8605" i="2"/>
  <c r="F8605" i="2" s="1"/>
  <c r="E8613" i="2"/>
  <c r="F8613" i="2" s="1"/>
  <c r="E8621" i="2"/>
  <c r="F8621" i="2" s="1"/>
  <c r="E8629" i="2"/>
  <c r="F8629" i="2" s="1"/>
  <c r="E8637" i="2"/>
  <c r="F8637" i="2" s="1"/>
  <c r="E8645" i="2"/>
  <c r="F8645" i="2" s="1"/>
  <c r="E8653" i="2"/>
  <c r="F8653" i="2" s="1"/>
  <c r="E8661" i="2"/>
  <c r="F8661" i="2" s="1"/>
  <c r="E8669" i="2"/>
  <c r="F8669" i="2" s="1"/>
  <c r="E8677" i="2"/>
  <c r="F8677" i="2" s="1"/>
  <c r="E8685" i="2"/>
  <c r="F8685" i="2" s="1"/>
  <c r="E8693" i="2"/>
  <c r="F8693" i="2" s="1"/>
  <c r="E8701" i="2"/>
  <c r="F8701" i="2" s="1"/>
  <c r="E8709" i="2"/>
  <c r="F8709" i="2" s="1"/>
  <c r="E8717" i="2"/>
  <c r="F8717" i="2" s="1"/>
  <c r="E8725" i="2"/>
  <c r="F8725" i="2" s="1"/>
  <c r="E8733" i="2"/>
  <c r="F8733" i="2" s="1"/>
  <c r="E8741" i="2"/>
  <c r="F8741" i="2" s="1"/>
  <c r="E8749" i="2"/>
  <c r="F8749" i="2" s="1"/>
  <c r="E8757" i="2"/>
  <c r="F8757" i="2" s="1"/>
  <c r="E2583" i="2"/>
  <c r="F2583" i="2" s="1"/>
  <c r="E3396" i="2"/>
  <c r="F3396" i="2" s="1"/>
  <c r="E3884" i="2"/>
  <c r="F3884" i="2" s="1"/>
  <c r="E5620" i="2"/>
  <c r="F5620" i="2" s="1"/>
  <c r="E5810" i="2"/>
  <c r="F5810" i="2" s="1"/>
  <c r="E6001" i="2"/>
  <c r="F6001" i="2" s="1"/>
  <c r="E6353" i="2"/>
  <c r="F6353" i="2" s="1"/>
  <c r="E6546" i="2"/>
  <c r="F6546" i="2" s="1"/>
  <c r="E6705" i="2"/>
  <c r="F6705" i="2" s="1"/>
  <c r="E6858" i="2"/>
  <c r="F6858" i="2" s="1"/>
  <c r="E7082" i="2"/>
  <c r="F7082" i="2" s="1"/>
  <c r="E7242" i="2"/>
  <c r="F7242" i="2" s="1"/>
  <c r="E7402" i="2"/>
  <c r="F7402" i="2" s="1"/>
  <c r="E7546" i="2"/>
  <c r="F7546" i="2" s="1"/>
  <c r="E7770" i="2"/>
  <c r="F7770" i="2" s="1"/>
  <c r="E7962" i="2"/>
  <c r="F7962" i="2" s="1"/>
  <c r="E8154" i="2"/>
  <c r="F8154" i="2" s="1"/>
  <c r="E8314" i="2"/>
  <c r="F8314" i="2" s="1"/>
  <c r="E8390" i="2"/>
  <c r="F8390" i="2" s="1"/>
  <c r="E8441" i="2"/>
  <c r="F8441" i="2" s="1"/>
  <c r="E8481" i="2"/>
  <c r="F8481" i="2" s="1"/>
  <c r="E8521" i="2"/>
  <c r="F8521" i="2" s="1"/>
  <c r="E8593" i="2"/>
  <c r="F8593" i="2" s="1"/>
  <c r="E8641" i="2"/>
  <c r="F8641" i="2" s="1"/>
  <c r="E8705" i="2"/>
  <c r="F8705" i="2" s="1"/>
  <c r="E8745" i="2"/>
  <c r="F8745" i="2" s="1"/>
  <c r="E3228" i="2"/>
  <c r="F3228" i="2" s="1"/>
  <c r="E3244" i="2"/>
  <c r="F3244" i="2" s="1"/>
  <c r="E3604" i="2"/>
  <c r="F3604" i="2" s="1"/>
  <c r="E3843" i="2"/>
  <c r="F3843" i="2" s="1"/>
  <c r="E4180" i="2"/>
  <c r="F4180" i="2" s="1"/>
  <c r="E4419" i="2"/>
  <c r="F4419" i="2" s="1"/>
  <c r="E5139" i="2"/>
  <c r="F5139" i="2" s="1"/>
  <c r="E5595" i="2"/>
  <c r="F5595" i="2" s="1"/>
  <c r="E5666" i="2"/>
  <c r="F5666" i="2" s="1"/>
  <c r="E5761" i="2"/>
  <c r="F5761" i="2" s="1"/>
  <c r="E5881" i="2"/>
  <c r="F5881" i="2" s="1"/>
  <c r="E5937" i="2"/>
  <c r="F5937" i="2" s="1"/>
  <c r="E6050" i="2"/>
  <c r="F6050" i="2" s="1"/>
  <c r="E6082" i="2"/>
  <c r="F6082" i="2" s="1"/>
  <c r="E6154" i="2"/>
  <c r="F6154" i="2" s="1"/>
  <c r="E6177" i="2"/>
  <c r="F6177" i="2" s="1"/>
  <c r="E6218" i="2"/>
  <c r="F6218" i="2" s="1"/>
  <c r="E6338" i="2"/>
  <c r="F6338" i="2" s="1"/>
  <c r="E6370" i="2"/>
  <c r="F6370" i="2" s="1"/>
  <c r="E6418" i="2"/>
  <c r="F6418" i="2" s="1"/>
  <c r="E6442" i="2"/>
  <c r="F6442" i="2" s="1"/>
  <c r="E6489" i="2"/>
  <c r="F6489" i="2" s="1"/>
  <c r="E6569" i="2"/>
  <c r="F6569" i="2" s="1"/>
  <c r="E6601" i="2"/>
  <c r="F6601" i="2" s="1"/>
  <c r="E6626" i="2"/>
  <c r="F6626" i="2" s="1"/>
  <c r="E6658" i="2"/>
  <c r="F6658" i="2" s="1"/>
  <c r="E6690" i="2"/>
  <c r="F6690" i="2" s="1"/>
  <c r="E6722" i="2"/>
  <c r="F6722" i="2" s="1"/>
  <c r="E6754" i="2"/>
  <c r="F6754" i="2" s="1"/>
  <c r="E6786" i="2"/>
  <c r="F6786" i="2" s="1"/>
  <c r="E6818" i="2"/>
  <c r="F6818" i="2" s="1"/>
  <c r="E6849" i="2"/>
  <c r="F6849" i="2" s="1"/>
  <c r="E6881" i="2"/>
  <c r="F6881" i="2" s="1"/>
  <c r="E6913" i="2"/>
  <c r="F6913" i="2" s="1"/>
  <c r="E6945" i="2"/>
  <c r="F6945" i="2" s="1"/>
  <c r="E6977" i="2"/>
  <c r="F6977" i="2" s="1"/>
  <c r="E7009" i="2"/>
  <c r="F7009" i="2" s="1"/>
  <c r="E7041" i="2"/>
  <c r="F7041" i="2" s="1"/>
  <c r="E7073" i="2"/>
  <c r="F7073" i="2" s="1"/>
  <c r="E7105" i="2"/>
  <c r="F7105" i="2" s="1"/>
  <c r="E7137" i="2"/>
  <c r="F7137" i="2" s="1"/>
  <c r="E7169" i="2"/>
  <c r="F7169" i="2" s="1"/>
  <c r="E7201" i="2"/>
  <c r="F7201" i="2" s="1"/>
  <c r="E7233" i="2"/>
  <c r="F7233" i="2" s="1"/>
  <c r="E7265" i="2"/>
  <c r="F7265" i="2" s="1"/>
  <c r="E7297" i="2"/>
  <c r="F7297" i="2" s="1"/>
  <c r="E7329" i="2"/>
  <c r="F7329" i="2" s="1"/>
  <c r="E7361" i="2"/>
  <c r="F7361" i="2" s="1"/>
  <c r="E7393" i="2"/>
  <c r="F7393" i="2" s="1"/>
  <c r="E7409" i="2"/>
  <c r="F7409" i="2" s="1"/>
  <c r="E7441" i="2"/>
  <c r="F7441" i="2" s="1"/>
  <c r="E7473" i="2"/>
  <c r="F7473" i="2" s="1"/>
  <c r="E7505" i="2"/>
  <c r="F7505" i="2" s="1"/>
  <c r="E7537" i="2"/>
  <c r="F7537" i="2" s="1"/>
  <c r="E7569" i="2"/>
  <c r="F7569" i="2" s="1"/>
  <c r="E7601" i="2"/>
  <c r="F7601" i="2" s="1"/>
  <c r="E7633" i="2"/>
  <c r="F7633" i="2" s="1"/>
  <c r="E7665" i="2"/>
  <c r="F7665" i="2" s="1"/>
  <c r="E7697" i="2"/>
  <c r="F7697" i="2" s="1"/>
  <c r="E7729" i="2"/>
  <c r="F7729" i="2" s="1"/>
  <c r="E7761" i="2"/>
  <c r="F7761" i="2" s="1"/>
  <c r="E7793" i="2"/>
  <c r="F7793" i="2" s="1"/>
  <c r="E7825" i="2"/>
  <c r="F7825" i="2" s="1"/>
  <c r="E7857" i="2"/>
  <c r="F7857" i="2" s="1"/>
  <c r="E7889" i="2"/>
  <c r="F7889" i="2" s="1"/>
  <c r="E7921" i="2"/>
  <c r="F7921" i="2" s="1"/>
  <c r="E7953" i="2"/>
  <c r="F7953" i="2" s="1"/>
  <c r="E7985" i="2"/>
  <c r="F7985" i="2" s="1"/>
  <c r="E8017" i="2"/>
  <c r="F8017" i="2" s="1"/>
  <c r="E8049" i="2"/>
  <c r="F8049" i="2" s="1"/>
  <c r="E8081" i="2"/>
  <c r="F8081" i="2" s="1"/>
  <c r="E8113" i="2"/>
  <c r="F8113" i="2" s="1"/>
  <c r="E8145" i="2"/>
  <c r="F8145" i="2" s="1"/>
  <c r="E8177" i="2"/>
  <c r="F8177" i="2" s="1"/>
  <c r="E8209" i="2"/>
  <c r="F8209" i="2" s="1"/>
  <c r="E8241" i="2"/>
  <c r="F8241" i="2" s="1"/>
  <c r="E8273" i="2"/>
  <c r="F8273" i="2" s="1"/>
  <c r="E8305" i="2"/>
  <c r="F8305" i="2" s="1"/>
  <c r="E8337" i="2"/>
  <c r="F8337" i="2" s="1"/>
  <c r="E8365" i="2"/>
  <c r="F8365" i="2" s="1"/>
  <c r="E8375" i="2"/>
  <c r="F8375" i="2" s="1"/>
  <c r="E8386" i="2"/>
  <c r="F8386" i="2" s="1"/>
  <c r="E8397" i="2"/>
  <c r="F8397" i="2" s="1"/>
  <c r="E8407" i="2"/>
  <c r="F8407" i="2" s="1"/>
  <c r="E8418" i="2"/>
  <c r="F8418" i="2" s="1"/>
  <c r="E8429" i="2"/>
  <c r="F8429" i="2" s="1"/>
  <c r="E8438" i="2"/>
  <c r="F8438" i="2" s="1"/>
  <c r="E8446" i="2"/>
  <c r="F8446" i="2" s="1"/>
  <c r="E8454" i="2"/>
  <c r="F8454" i="2" s="1"/>
  <c r="E8462" i="2"/>
  <c r="F8462" i="2" s="1"/>
  <c r="E8470" i="2"/>
  <c r="F8470" i="2" s="1"/>
  <c r="E8478" i="2"/>
  <c r="F8478" i="2" s="1"/>
  <c r="E8486" i="2"/>
  <c r="F8486" i="2" s="1"/>
  <c r="E8494" i="2"/>
  <c r="F8494" i="2" s="1"/>
  <c r="E8502" i="2"/>
  <c r="F8502" i="2" s="1"/>
  <c r="E8510" i="2"/>
  <c r="F8510" i="2" s="1"/>
  <c r="E8518" i="2"/>
  <c r="F8518" i="2" s="1"/>
  <c r="E8526" i="2"/>
  <c r="F8526" i="2" s="1"/>
  <c r="E8534" i="2"/>
  <c r="F8534" i="2" s="1"/>
  <c r="E8542" i="2"/>
  <c r="F8542" i="2" s="1"/>
  <c r="E8550" i="2"/>
  <c r="F8550" i="2" s="1"/>
  <c r="E8558" i="2"/>
  <c r="F8558" i="2" s="1"/>
  <c r="E8566" i="2"/>
  <c r="F8566" i="2" s="1"/>
  <c r="E8574" i="2"/>
  <c r="F8574" i="2" s="1"/>
  <c r="E8582" i="2"/>
  <c r="F8582" i="2" s="1"/>
  <c r="E8590" i="2"/>
  <c r="F8590" i="2" s="1"/>
  <c r="E8598" i="2"/>
  <c r="F8598" i="2" s="1"/>
  <c r="E8606" i="2"/>
  <c r="F8606" i="2" s="1"/>
  <c r="E8614" i="2"/>
  <c r="F8614" i="2" s="1"/>
  <c r="E8622" i="2"/>
  <c r="F8622" i="2" s="1"/>
  <c r="E8630" i="2"/>
  <c r="F8630" i="2" s="1"/>
  <c r="E8638" i="2"/>
  <c r="F8638" i="2" s="1"/>
  <c r="E8646" i="2"/>
  <c r="F8646" i="2" s="1"/>
  <c r="E8654" i="2"/>
  <c r="F8654" i="2" s="1"/>
  <c r="E8662" i="2"/>
  <c r="F8662" i="2" s="1"/>
  <c r="E8670" i="2"/>
  <c r="F8670" i="2" s="1"/>
  <c r="E8678" i="2"/>
  <c r="F8678" i="2" s="1"/>
  <c r="E8686" i="2"/>
  <c r="F8686" i="2" s="1"/>
  <c r="E8694" i="2"/>
  <c r="F8694" i="2" s="1"/>
  <c r="E8702" i="2"/>
  <c r="F8702" i="2" s="1"/>
  <c r="E8710" i="2"/>
  <c r="F8710" i="2" s="1"/>
  <c r="E8718" i="2"/>
  <c r="F8718" i="2" s="1"/>
  <c r="E8726" i="2"/>
  <c r="F8726" i="2" s="1"/>
  <c r="E8734" i="2"/>
  <c r="F8734" i="2" s="1"/>
  <c r="E8742" i="2"/>
  <c r="F8742" i="2" s="1"/>
  <c r="E8750" i="2"/>
  <c r="F8750" i="2" s="1"/>
  <c r="E8758" i="2"/>
  <c r="F8758" i="2" s="1"/>
  <c r="E3876" i="2"/>
  <c r="F3876" i="2" s="1"/>
  <c r="E5331" i="2"/>
  <c r="F5331" i="2" s="1"/>
  <c r="E5865" i="2"/>
  <c r="F5865" i="2" s="1"/>
  <c r="E6201" i="2"/>
  <c r="F6201" i="2" s="1"/>
  <c r="E6529" i="2"/>
  <c r="F6529" i="2" s="1"/>
  <c r="E6673" i="2"/>
  <c r="F6673" i="2" s="1"/>
  <c r="E6890" i="2"/>
  <c r="F6890" i="2" s="1"/>
  <c r="E7018" i="2"/>
  <c r="F7018" i="2" s="1"/>
  <c r="E7178" i="2"/>
  <c r="F7178" i="2" s="1"/>
  <c r="E7338" i="2"/>
  <c r="F7338" i="2" s="1"/>
  <c r="E7482" i="2"/>
  <c r="F7482" i="2" s="1"/>
  <c r="E7642" i="2"/>
  <c r="F7642" i="2" s="1"/>
  <c r="E7802" i="2"/>
  <c r="F7802" i="2" s="1"/>
  <c r="E7930" i="2"/>
  <c r="F7930" i="2" s="1"/>
  <c r="E8058" i="2"/>
  <c r="F8058" i="2" s="1"/>
  <c r="E8218" i="2"/>
  <c r="F8218" i="2" s="1"/>
  <c r="E8369" i="2"/>
  <c r="F8369" i="2" s="1"/>
  <c r="E8422" i="2"/>
  <c r="F8422" i="2" s="1"/>
  <c r="E8465" i="2"/>
  <c r="F8465" i="2" s="1"/>
  <c r="E8513" i="2"/>
  <c r="F8513" i="2" s="1"/>
  <c r="E8553" i="2"/>
  <c r="F8553" i="2" s="1"/>
  <c r="E8585" i="2"/>
  <c r="F8585" i="2" s="1"/>
  <c r="E8625" i="2"/>
  <c r="F8625" i="2" s="1"/>
  <c r="E8665" i="2"/>
  <c r="F8665" i="2" s="1"/>
  <c r="E8681" i="2"/>
  <c r="F8681" i="2" s="1"/>
  <c r="E8729" i="2"/>
  <c r="F8729" i="2" s="1"/>
  <c r="E3364" i="2"/>
  <c r="F3364" i="2" s="1"/>
  <c r="E3580" i="2"/>
  <c r="F3580" i="2" s="1"/>
  <c r="E3723" i="2"/>
  <c r="F3723" i="2" s="1"/>
  <c r="E3844" i="2"/>
  <c r="F3844" i="2" s="1"/>
  <c r="E4324" i="2"/>
  <c r="F4324" i="2" s="1"/>
  <c r="E4516" i="2"/>
  <c r="F4516" i="2" s="1"/>
  <c r="E5043" i="2"/>
  <c r="F5043" i="2" s="1"/>
  <c r="E5140" i="2"/>
  <c r="F5140" i="2" s="1"/>
  <c r="E5596" i="2"/>
  <c r="F5596" i="2" s="1"/>
  <c r="E5673" i="2"/>
  <c r="F5673" i="2" s="1"/>
  <c r="E5762" i="2"/>
  <c r="F5762" i="2" s="1"/>
  <c r="E5857" i="2"/>
  <c r="F5857" i="2" s="1"/>
  <c r="E5882" i="2"/>
  <c r="F5882" i="2" s="1"/>
  <c r="E6057" i="2"/>
  <c r="F6057" i="2" s="1"/>
  <c r="E6097" i="2"/>
  <c r="F6097" i="2" s="1"/>
  <c r="E6193" i="2"/>
  <c r="F6193" i="2" s="1"/>
  <c r="E6225" i="2"/>
  <c r="F6225" i="2" s="1"/>
  <c r="E6345" i="2"/>
  <c r="F6345" i="2" s="1"/>
  <c r="E6449" i="2"/>
  <c r="F6449" i="2" s="1"/>
  <c r="E6490" i="2"/>
  <c r="F6490" i="2" s="1"/>
  <c r="E6505" i="2"/>
  <c r="F6505" i="2" s="1"/>
  <c r="E6570" i="2"/>
  <c r="F6570" i="2" s="1"/>
  <c r="E6602" i="2"/>
  <c r="F6602" i="2" s="1"/>
  <c r="E6633" i="2"/>
  <c r="F6633" i="2" s="1"/>
  <c r="E6665" i="2"/>
  <c r="F6665" i="2" s="1"/>
  <c r="E6697" i="2"/>
  <c r="F6697" i="2" s="1"/>
  <c r="E6729" i="2"/>
  <c r="F6729" i="2" s="1"/>
  <c r="E6761" i="2"/>
  <c r="F6761" i="2" s="1"/>
  <c r="E6793" i="2"/>
  <c r="F6793" i="2" s="1"/>
  <c r="E6825" i="2"/>
  <c r="F6825" i="2" s="1"/>
  <c r="E6850" i="2"/>
  <c r="F6850" i="2" s="1"/>
  <c r="E6882" i="2"/>
  <c r="F6882" i="2" s="1"/>
  <c r="E6914" i="2"/>
  <c r="F6914" i="2" s="1"/>
  <c r="E6946" i="2"/>
  <c r="F6946" i="2" s="1"/>
  <c r="E6978" i="2"/>
  <c r="F6978" i="2" s="1"/>
  <c r="E7010" i="2"/>
  <c r="F7010" i="2" s="1"/>
  <c r="E7042" i="2"/>
  <c r="F7042" i="2" s="1"/>
  <c r="E7074" i="2"/>
  <c r="F7074" i="2" s="1"/>
  <c r="E7106" i="2"/>
  <c r="F7106" i="2" s="1"/>
  <c r="E7138" i="2"/>
  <c r="F7138" i="2" s="1"/>
  <c r="E7170" i="2"/>
  <c r="F7170" i="2" s="1"/>
  <c r="E7202" i="2"/>
  <c r="F7202" i="2" s="1"/>
  <c r="E7234" i="2"/>
  <c r="F7234" i="2" s="1"/>
  <c r="E7266" i="2"/>
  <c r="F7266" i="2" s="1"/>
  <c r="E7298" i="2"/>
  <c r="F7298" i="2" s="1"/>
  <c r="E7330" i="2"/>
  <c r="F7330" i="2" s="1"/>
  <c r="E7362" i="2"/>
  <c r="F7362" i="2" s="1"/>
  <c r="E7394" i="2"/>
  <c r="F7394" i="2" s="1"/>
  <c r="E7410" i="2"/>
  <c r="F7410" i="2" s="1"/>
  <c r="E7442" i="2"/>
  <c r="F7442" i="2" s="1"/>
  <c r="E7474" i="2"/>
  <c r="F7474" i="2" s="1"/>
  <c r="E7506" i="2"/>
  <c r="F7506" i="2" s="1"/>
  <c r="E7538" i="2"/>
  <c r="F7538" i="2" s="1"/>
  <c r="E7570" i="2"/>
  <c r="F7570" i="2" s="1"/>
  <c r="E7602" i="2"/>
  <c r="F7602" i="2" s="1"/>
  <c r="E7634" i="2"/>
  <c r="F7634" i="2" s="1"/>
  <c r="E7666" i="2"/>
  <c r="F7666" i="2" s="1"/>
  <c r="E7698" i="2"/>
  <c r="F7698" i="2" s="1"/>
  <c r="E7730" i="2"/>
  <c r="F7730" i="2" s="1"/>
  <c r="E7762" i="2"/>
  <c r="F7762" i="2" s="1"/>
  <c r="E7794" i="2"/>
  <c r="F7794" i="2" s="1"/>
  <c r="E7826" i="2"/>
  <c r="F7826" i="2" s="1"/>
  <c r="E7858" i="2"/>
  <c r="F7858" i="2" s="1"/>
  <c r="E7890" i="2"/>
  <c r="F7890" i="2" s="1"/>
  <c r="E7922" i="2"/>
  <c r="F7922" i="2" s="1"/>
  <c r="E7954" i="2"/>
  <c r="F7954" i="2" s="1"/>
  <c r="E7986" i="2"/>
  <c r="F7986" i="2" s="1"/>
  <c r="E8018" i="2"/>
  <c r="F8018" i="2" s="1"/>
  <c r="E8050" i="2"/>
  <c r="F8050" i="2" s="1"/>
  <c r="E8082" i="2"/>
  <c r="F8082" i="2" s="1"/>
  <c r="E8114" i="2"/>
  <c r="F8114" i="2" s="1"/>
  <c r="E8146" i="2"/>
  <c r="F8146" i="2" s="1"/>
  <c r="E8178" i="2"/>
  <c r="F8178" i="2" s="1"/>
  <c r="E8210" i="2"/>
  <c r="F8210" i="2" s="1"/>
  <c r="E8242" i="2"/>
  <c r="F8242" i="2" s="1"/>
  <c r="E8274" i="2"/>
  <c r="F8274" i="2" s="1"/>
  <c r="E8306" i="2"/>
  <c r="F8306" i="2" s="1"/>
  <c r="E8338" i="2"/>
  <c r="F8338" i="2" s="1"/>
  <c r="E8366" i="2"/>
  <c r="F8366" i="2" s="1"/>
  <c r="E8377" i="2"/>
  <c r="F8377" i="2" s="1"/>
  <c r="E8388" i="2"/>
  <c r="F8388" i="2" s="1"/>
  <c r="E8398" i="2"/>
  <c r="F8398" i="2" s="1"/>
  <c r="E8409" i="2"/>
  <c r="F8409" i="2" s="1"/>
  <c r="E8420" i="2"/>
  <c r="F8420" i="2" s="1"/>
  <c r="E8430" i="2"/>
  <c r="F8430" i="2" s="1"/>
  <c r="E8439" i="2"/>
  <c r="F8439" i="2" s="1"/>
  <c r="E8447" i="2"/>
  <c r="F8447" i="2" s="1"/>
  <c r="E8455" i="2"/>
  <c r="F8455" i="2" s="1"/>
  <c r="E8463" i="2"/>
  <c r="F8463" i="2" s="1"/>
  <c r="E8471" i="2"/>
  <c r="F8471" i="2" s="1"/>
  <c r="E8479" i="2"/>
  <c r="F8479" i="2" s="1"/>
  <c r="E8487" i="2"/>
  <c r="F8487" i="2" s="1"/>
  <c r="E8495" i="2"/>
  <c r="F8495" i="2" s="1"/>
  <c r="E8503" i="2"/>
  <c r="F8503" i="2" s="1"/>
  <c r="E8511" i="2"/>
  <c r="F8511" i="2" s="1"/>
  <c r="E8519" i="2"/>
  <c r="F8519" i="2" s="1"/>
  <c r="E8527" i="2"/>
  <c r="F8527" i="2" s="1"/>
  <c r="E8535" i="2"/>
  <c r="F8535" i="2" s="1"/>
  <c r="E8543" i="2"/>
  <c r="F8543" i="2" s="1"/>
  <c r="E8551" i="2"/>
  <c r="F8551" i="2" s="1"/>
  <c r="E8559" i="2"/>
  <c r="F8559" i="2" s="1"/>
  <c r="E8567" i="2"/>
  <c r="F8567" i="2" s="1"/>
  <c r="E8575" i="2"/>
  <c r="F8575" i="2" s="1"/>
  <c r="E8583" i="2"/>
  <c r="F8583" i="2" s="1"/>
  <c r="E8591" i="2"/>
  <c r="F8591" i="2" s="1"/>
  <c r="E8599" i="2"/>
  <c r="F8599" i="2" s="1"/>
  <c r="E8607" i="2"/>
  <c r="F8607" i="2" s="1"/>
  <c r="E8615" i="2"/>
  <c r="F8615" i="2" s="1"/>
  <c r="E8623" i="2"/>
  <c r="F8623" i="2" s="1"/>
  <c r="E8631" i="2"/>
  <c r="F8631" i="2" s="1"/>
  <c r="E8639" i="2"/>
  <c r="F8639" i="2" s="1"/>
  <c r="E8647" i="2"/>
  <c r="F8647" i="2" s="1"/>
  <c r="E8655" i="2"/>
  <c r="F8655" i="2" s="1"/>
  <c r="E8663" i="2"/>
  <c r="F8663" i="2" s="1"/>
  <c r="E8671" i="2"/>
  <c r="F8671" i="2" s="1"/>
  <c r="E8679" i="2"/>
  <c r="F8679" i="2" s="1"/>
  <c r="E8687" i="2"/>
  <c r="F8687" i="2" s="1"/>
  <c r="E8695" i="2"/>
  <c r="F8695" i="2" s="1"/>
  <c r="E8703" i="2"/>
  <c r="F8703" i="2" s="1"/>
  <c r="E8711" i="2"/>
  <c r="F8711" i="2" s="1"/>
  <c r="E8719" i="2"/>
  <c r="F8719" i="2" s="1"/>
  <c r="E8727" i="2"/>
  <c r="F8727" i="2" s="1"/>
  <c r="E8735" i="2"/>
  <c r="F8735" i="2" s="1"/>
  <c r="E8743" i="2"/>
  <c r="F8743" i="2" s="1"/>
  <c r="E8751" i="2"/>
  <c r="F8751" i="2" s="1"/>
  <c r="E8759" i="2"/>
  <c r="F8759" i="2" s="1"/>
  <c r="E2759" i="2"/>
  <c r="F2759" i="2" s="1"/>
  <c r="E3676" i="2"/>
  <c r="F3676" i="2" s="1"/>
  <c r="E6457" i="2"/>
  <c r="F6457" i="2" s="1"/>
  <c r="E6610" i="2"/>
  <c r="F6610" i="2" s="1"/>
  <c r="E6769" i="2"/>
  <c r="F6769" i="2" s="1"/>
  <c r="E6922" i="2"/>
  <c r="F6922" i="2" s="1"/>
  <c r="E7114" i="2"/>
  <c r="F7114" i="2" s="1"/>
  <c r="E7274" i="2"/>
  <c r="F7274" i="2" s="1"/>
  <c r="E7418" i="2"/>
  <c r="F7418" i="2" s="1"/>
  <c r="E7578" i="2"/>
  <c r="F7578" i="2" s="1"/>
  <c r="E7706" i="2"/>
  <c r="F7706" i="2" s="1"/>
  <c r="E7866" i="2"/>
  <c r="F7866" i="2" s="1"/>
  <c r="E8026" i="2"/>
  <c r="F8026" i="2" s="1"/>
  <c r="E8186" i="2"/>
  <c r="F8186" i="2" s="1"/>
  <c r="E8346" i="2"/>
  <c r="F8346" i="2" s="1"/>
  <c r="E8412" i="2"/>
  <c r="F8412" i="2" s="1"/>
  <c r="E8457" i="2"/>
  <c r="F8457" i="2" s="1"/>
  <c r="E8497" i="2"/>
  <c r="F8497" i="2" s="1"/>
  <c r="E8537" i="2"/>
  <c r="F8537" i="2" s="1"/>
  <c r="E8569" i="2"/>
  <c r="F8569" i="2" s="1"/>
  <c r="E8609" i="2"/>
  <c r="F8609" i="2" s="1"/>
  <c r="E8633" i="2"/>
  <c r="F8633" i="2" s="1"/>
  <c r="E8673" i="2"/>
  <c r="F8673" i="2" s="1"/>
  <c r="E8713" i="2"/>
  <c r="F8713" i="2" s="1"/>
  <c r="E8753" i="2"/>
  <c r="F8753" i="2" s="1"/>
  <c r="E2136" i="2"/>
  <c r="F2136" i="2" s="1"/>
  <c r="E2576" i="2"/>
  <c r="F2576" i="2" s="1"/>
  <c r="E2831" i="2"/>
  <c r="F2831" i="2" s="1"/>
  <c r="E3179" i="2"/>
  <c r="F3179" i="2" s="1"/>
  <c r="E3371" i="2"/>
  <c r="F3371" i="2" s="1"/>
  <c r="E3499" i="2"/>
  <c r="F3499" i="2" s="1"/>
  <c r="E3724" i="2"/>
  <c r="F3724" i="2" s="1"/>
  <c r="E3787" i="2"/>
  <c r="F3787" i="2" s="1"/>
  <c r="E3875" i="2"/>
  <c r="F3875" i="2" s="1"/>
  <c r="E3883" i="2"/>
  <c r="F3883" i="2" s="1"/>
  <c r="E4659" i="2"/>
  <c r="F4659" i="2" s="1"/>
  <c r="E5674" i="2"/>
  <c r="F5674" i="2" s="1"/>
  <c r="E5809" i="2"/>
  <c r="F5809" i="2" s="1"/>
  <c r="E5858" i="2"/>
  <c r="F5858" i="2" s="1"/>
  <c r="E5977" i="2"/>
  <c r="F5977" i="2" s="1"/>
  <c r="E6058" i="2"/>
  <c r="F6058" i="2" s="1"/>
  <c r="E6098" i="2"/>
  <c r="F6098" i="2" s="1"/>
  <c r="E6194" i="2"/>
  <c r="F6194" i="2" s="1"/>
  <c r="E6226" i="2"/>
  <c r="F6226" i="2" s="1"/>
  <c r="E6241" i="2"/>
  <c r="F6241" i="2" s="1"/>
  <c r="E6346" i="2"/>
  <c r="F6346" i="2" s="1"/>
  <c r="E6377" i="2"/>
  <c r="F6377" i="2" s="1"/>
  <c r="E6450" i="2"/>
  <c r="F6450" i="2" s="1"/>
  <c r="E6506" i="2"/>
  <c r="F6506" i="2" s="1"/>
  <c r="E6577" i="2"/>
  <c r="F6577" i="2" s="1"/>
  <c r="E6609" i="2"/>
  <c r="F6609" i="2" s="1"/>
  <c r="E6634" i="2"/>
  <c r="F6634" i="2" s="1"/>
  <c r="E6666" i="2"/>
  <c r="F6666" i="2" s="1"/>
  <c r="E6698" i="2"/>
  <c r="F6698" i="2" s="1"/>
  <c r="E6730" i="2"/>
  <c r="F6730" i="2" s="1"/>
  <c r="E6762" i="2"/>
  <c r="F6762" i="2" s="1"/>
  <c r="E6794" i="2"/>
  <c r="F6794" i="2" s="1"/>
  <c r="E6826" i="2"/>
  <c r="F6826" i="2" s="1"/>
  <c r="E6857" i="2"/>
  <c r="F6857" i="2" s="1"/>
  <c r="E6889" i="2"/>
  <c r="F6889" i="2" s="1"/>
  <c r="E6921" i="2"/>
  <c r="F6921" i="2" s="1"/>
  <c r="E6953" i="2"/>
  <c r="F6953" i="2" s="1"/>
  <c r="E6985" i="2"/>
  <c r="F6985" i="2" s="1"/>
  <c r="E7017" i="2"/>
  <c r="F7017" i="2" s="1"/>
  <c r="E7049" i="2"/>
  <c r="F7049" i="2" s="1"/>
  <c r="E7081" i="2"/>
  <c r="F7081" i="2" s="1"/>
  <c r="E7113" i="2"/>
  <c r="F7113" i="2" s="1"/>
  <c r="E7145" i="2"/>
  <c r="F7145" i="2" s="1"/>
  <c r="E7177" i="2"/>
  <c r="F7177" i="2" s="1"/>
  <c r="E7209" i="2"/>
  <c r="F7209" i="2" s="1"/>
  <c r="E7241" i="2"/>
  <c r="F7241" i="2" s="1"/>
  <c r="E7273" i="2"/>
  <c r="F7273" i="2" s="1"/>
  <c r="E7305" i="2"/>
  <c r="F7305" i="2" s="1"/>
  <c r="E7337" i="2"/>
  <c r="F7337" i="2" s="1"/>
  <c r="E7369" i="2"/>
  <c r="F7369" i="2" s="1"/>
  <c r="E7401" i="2"/>
  <c r="F7401" i="2" s="1"/>
  <c r="E7417" i="2"/>
  <c r="F7417" i="2" s="1"/>
  <c r="E7449" i="2"/>
  <c r="F7449" i="2" s="1"/>
  <c r="E7481" i="2"/>
  <c r="F7481" i="2" s="1"/>
  <c r="E7513" i="2"/>
  <c r="F7513" i="2" s="1"/>
  <c r="E7545" i="2"/>
  <c r="F7545" i="2" s="1"/>
  <c r="E7577" i="2"/>
  <c r="F7577" i="2" s="1"/>
  <c r="E7609" i="2"/>
  <c r="F7609" i="2" s="1"/>
  <c r="E7641" i="2"/>
  <c r="F7641" i="2" s="1"/>
  <c r="E7673" i="2"/>
  <c r="F7673" i="2" s="1"/>
  <c r="E7705" i="2"/>
  <c r="F7705" i="2" s="1"/>
  <c r="E7737" i="2"/>
  <c r="F7737" i="2" s="1"/>
  <c r="E7769" i="2"/>
  <c r="F7769" i="2" s="1"/>
  <c r="E7801" i="2"/>
  <c r="F7801" i="2" s="1"/>
  <c r="E7833" i="2"/>
  <c r="F7833" i="2" s="1"/>
  <c r="E7865" i="2"/>
  <c r="F7865" i="2" s="1"/>
  <c r="E7897" i="2"/>
  <c r="F7897" i="2" s="1"/>
  <c r="E7929" i="2"/>
  <c r="F7929" i="2" s="1"/>
  <c r="E7961" i="2"/>
  <c r="F7961" i="2" s="1"/>
  <c r="E7993" i="2"/>
  <c r="F7993" i="2" s="1"/>
  <c r="E8025" i="2"/>
  <c r="F8025" i="2" s="1"/>
  <c r="E8057" i="2"/>
  <c r="F8057" i="2" s="1"/>
  <c r="E8089" i="2"/>
  <c r="F8089" i="2" s="1"/>
  <c r="E8121" i="2"/>
  <c r="F8121" i="2" s="1"/>
  <c r="E8153" i="2"/>
  <c r="F8153" i="2" s="1"/>
  <c r="E8185" i="2"/>
  <c r="F8185" i="2" s="1"/>
  <c r="E8217" i="2"/>
  <c r="F8217" i="2" s="1"/>
  <c r="E8249" i="2"/>
  <c r="F8249" i="2" s="1"/>
  <c r="E8281" i="2"/>
  <c r="F8281" i="2" s="1"/>
  <c r="E8313" i="2"/>
  <c r="F8313" i="2" s="1"/>
  <c r="E8345" i="2"/>
  <c r="F8345" i="2" s="1"/>
  <c r="E8367" i="2"/>
  <c r="F8367" i="2" s="1"/>
  <c r="E8378" i="2"/>
  <c r="F8378" i="2" s="1"/>
  <c r="E8389" i="2"/>
  <c r="F8389" i="2" s="1"/>
  <c r="E8399" i="2"/>
  <c r="F8399" i="2" s="1"/>
  <c r="E8410" i="2"/>
  <c r="F8410" i="2" s="1"/>
  <c r="E8421" i="2"/>
  <c r="F8421" i="2" s="1"/>
  <c r="E8431" i="2"/>
  <c r="F8431" i="2" s="1"/>
  <c r="E8440" i="2"/>
  <c r="F8440" i="2" s="1"/>
  <c r="E8448" i="2"/>
  <c r="F8448" i="2" s="1"/>
  <c r="E8456" i="2"/>
  <c r="F8456" i="2" s="1"/>
  <c r="E8464" i="2"/>
  <c r="F8464" i="2" s="1"/>
  <c r="E8472" i="2"/>
  <c r="F8472" i="2" s="1"/>
  <c r="E8480" i="2"/>
  <c r="F8480" i="2" s="1"/>
  <c r="E8488" i="2"/>
  <c r="F8488" i="2" s="1"/>
  <c r="E8496" i="2"/>
  <c r="F8496" i="2" s="1"/>
  <c r="E8504" i="2"/>
  <c r="F8504" i="2" s="1"/>
  <c r="E8512" i="2"/>
  <c r="F8512" i="2" s="1"/>
  <c r="E8520" i="2"/>
  <c r="F8520" i="2" s="1"/>
  <c r="E8528" i="2"/>
  <c r="F8528" i="2" s="1"/>
  <c r="E8536" i="2"/>
  <c r="F8536" i="2" s="1"/>
  <c r="E8544" i="2"/>
  <c r="F8544" i="2" s="1"/>
  <c r="E8552" i="2"/>
  <c r="F8552" i="2" s="1"/>
  <c r="E8560" i="2"/>
  <c r="F8560" i="2" s="1"/>
  <c r="E8568" i="2"/>
  <c r="F8568" i="2" s="1"/>
  <c r="E8576" i="2"/>
  <c r="F8576" i="2" s="1"/>
  <c r="E8584" i="2"/>
  <c r="F8584" i="2" s="1"/>
  <c r="E8592" i="2"/>
  <c r="F8592" i="2" s="1"/>
  <c r="E8600" i="2"/>
  <c r="F8600" i="2" s="1"/>
  <c r="E8608" i="2"/>
  <c r="F8608" i="2" s="1"/>
  <c r="E8616" i="2"/>
  <c r="F8616" i="2" s="1"/>
  <c r="E8624" i="2"/>
  <c r="F8624" i="2" s="1"/>
  <c r="E8632" i="2"/>
  <c r="F8632" i="2" s="1"/>
  <c r="E8640" i="2"/>
  <c r="F8640" i="2" s="1"/>
  <c r="E8648" i="2"/>
  <c r="F8648" i="2" s="1"/>
  <c r="E8656" i="2"/>
  <c r="F8656" i="2" s="1"/>
  <c r="E8664" i="2"/>
  <c r="F8664" i="2" s="1"/>
  <c r="E8672" i="2"/>
  <c r="F8672" i="2" s="1"/>
  <c r="E8680" i="2"/>
  <c r="F8680" i="2" s="1"/>
  <c r="E8688" i="2"/>
  <c r="F8688" i="2" s="1"/>
  <c r="E8696" i="2"/>
  <c r="F8696" i="2" s="1"/>
  <c r="E8704" i="2"/>
  <c r="F8704" i="2" s="1"/>
  <c r="E8712" i="2"/>
  <c r="F8712" i="2" s="1"/>
  <c r="E8720" i="2"/>
  <c r="F8720" i="2" s="1"/>
  <c r="E8728" i="2"/>
  <c r="F8728" i="2" s="1"/>
  <c r="E8736" i="2"/>
  <c r="F8736" i="2" s="1"/>
  <c r="E8744" i="2"/>
  <c r="F8744" i="2" s="1"/>
  <c r="E8752" i="2"/>
  <c r="F8752" i="2" s="1"/>
  <c r="E8760" i="2"/>
  <c r="F8760" i="2" s="1"/>
  <c r="E2999" i="2"/>
  <c r="F2999" i="2" s="1"/>
  <c r="E3788" i="2"/>
  <c r="F3788" i="2" s="1"/>
  <c r="E4035" i="2"/>
  <c r="F4035" i="2" s="1"/>
  <c r="E5355" i="2"/>
  <c r="F5355" i="2" s="1"/>
  <c r="E5978" i="2"/>
  <c r="F5978" i="2" s="1"/>
  <c r="E6105" i="2"/>
  <c r="F6105" i="2" s="1"/>
  <c r="E6242" i="2"/>
  <c r="F6242" i="2" s="1"/>
  <c r="E6425" i="2"/>
  <c r="F6425" i="2" s="1"/>
  <c r="E6578" i="2"/>
  <c r="F6578" i="2" s="1"/>
  <c r="E6737" i="2"/>
  <c r="F6737" i="2" s="1"/>
  <c r="E6954" i="2"/>
  <c r="F6954" i="2" s="1"/>
  <c r="E7050" i="2"/>
  <c r="F7050" i="2" s="1"/>
  <c r="E7210" i="2"/>
  <c r="F7210" i="2" s="1"/>
  <c r="E7370" i="2"/>
  <c r="F7370" i="2" s="1"/>
  <c r="E7514" i="2"/>
  <c r="F7514" i="2" s="1"/>
  <c r="E7674" i="2"/>
  <c r="F7674" i="2" s="1"/>
  <c r="E7834" i="2"/>
  <c r="F7834" i="2" s="1"/>
  <c r="E7994" i="2"/>
  <c r="F7994" i="2" s="1"/>
  <c r="E8122" i="2"/>
  <c r="F8122" i="2" s="1"/>
  <c r="E8250" i="2"/>
  <c r="F8250" i="2" s="1"/>
  <c r="E8401" i="2"/>
  <c r="F8401" i="2" s="1"/>
  <c r="E8449" i="2"/>
  <c r="F8449" i="2" s="1"/>
  <c r="E8489" i="2"/>
  <c r="F8489" i="2" s="1"/>
  <c r="E8529" i="2"/>
  <c r="F8529" i="2" s="1"/>
  <c r="E8577" i="2"/>
  <c r="F8577" i="2" s="1"/>
  <c r="E8617" i="2"/>
  <c r="F8617" i="2" s="1"/>
  <c r="E8649" i="2"/>
  <c r="F8649" i="2" s="1"/>
  <c r="E8689" i="2"/>
  <c r="F8689" i="2" s="1"/>
  <c r="E8721" i="2"/>
  <c r="F8721" i="2" s="1"/>
  <c r="E8761" i="2"/>
  <c r="F8761" i="2" s="1"/>
  <c r="F2" i="2" l="1"/>
  <c r="J11" i="2" s="1"/>
  <c r="J8" i="2"/>
  <c r="J14" i="2" l="1"/>
  <c r="J13" i="2"/>
</calcChain>
</file>

<file path=xl/sharedStrings.xml><?xml version="1.0" encoding="utf-8"?>
<sst xmlns="http://schemas.openxmlformats.org/spreadsheetml/2006/main" count="35" uniqueCount="28">
  <si>
    <t>Station_ID</t>
  </si>
  <si>
    <t>Date</t>
  </si>
  <si>
    <t>Time</t>
  </si>
  <si>
    <t>Quality_Flag</t>
  </si>
  <si>
    <t>Temperature_°C</t>
  </si>
  <si>
    <t>Humidity_%</t>
  </si>
  <si>
    <t>P_doublet (generation)</t>
  </si>
  <si>
    <t>MW</t>
  </si>
  <si>
    <t>MWh</t>
  </si>
  <si>
    <t>Heat loss coefficient</t>
  </si>
  <si>
    <t>W/K</t>
  </si>
  <si>
    <t>Indoor temperature</t>
  </si>
  <si>
    <t>Celcius</t>
  </si>
  <si>
    <t xml:space="preserve">Household amount </t>
  </si>
  <si>
    <t>GWh</t>
  </si>
  <si>
    <t xml:space="preserve">Hourly average </t>
  </si>
  <si>
    <t xml:space="preserve">Daily average </t>
  </si>
  <si>
    <t>Temperature difference (degrees)</t>
  </si>
  <si>
    <t xml:space="preserve">Heating demand hours </t>
  </si>
  <si>
    <t>Kh</t>
  </si>
  <si>
    <t>Annual heat household</t>
  </si>
  <si>
    <t>Balance temperature</t>
  </si>
  <si>
    <t>(to check if it lines up)</t>
  </si>
  <si>
    <t xml:space="preserve">(calculated from found data online) </t>
  </si>
  <si>
    <t xml:space="preserve">Q_demand,hh (W) </t>
  </si>
  <si>
    <t xml:space="preserve">Q_demand (W) </t>
  </si>
  <si>
    <t xml:space="preserve">Sum of Q_demand,hh </t>
  </si>
  <si>
    <t xml:space="preserve">Q_demand 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</si>
</sst>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0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201"/>
  <sheetViews>
    <sheetView workbookViewId="0">
      <selection activeCell="B1" sqref="B1:F1"/>
    </sheetView>
  </sheetViews>
  <sheetFormatPr defaultRowHeight="14.5" x14ac:dyDescent="0.35"/>
  <cols>
    <col min="1" max="1" width="12" customWidth="1"/>
    <col min="2" max="2" width="14" customWidth="1"/>
    <col min="3" max="3" width="10" customWidth="1"/>
    <col min="4" max="4" width="14" customWidth="1"/>
    <col min="5" max="5" width="16" customWidth="1"/>
    <col min="6" max="6" width="12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1975</v>
      </c>
      <c r="B2" s="1">
        <v>45525</v>
      </c>
      <c r="C2" s="2">
        <v>0</v>
      </c>
      <c r="D2">
        <v>3</v>
      </c>
      <c r="E2">
        <v>16.899999999999999</v>
      </c>
      <c r="F2">
        <v>93</v>
      </c>
    </row>
    <row r="3" spans="1:6" x14ac:dyDescent="0.35">
      <c r="A3">
        <v>1975</v>
      </c>
      <c r="B3" s="1">
        <v>45525</v>
      </c>
      <c r="C3" s="2">
        <v>4.1666666666666657E-2</v>
      </c>
      <c r="D3">
        <v>3</v>
      </c>
      <c r="E3">
        <v>17.5</v>
      </c>
      <c r="F3">
        <v>97</v>
      </c>
    </row>
    <row r="4" spans="1:6" x14ac:dyDescent="0.35">
      <c r="A4">
        <v>1975</v>
      </c>
      <c r="B4" s="1">
        <v>45525</v>
      </c>
      <c r="C4" s="2">
        <v>8.3333333333333329E-2</v>
      </c>
      <c r="D4">
        <v>3</v>
      </c>
      <c r="E4">
        <v>17.100000000000001</v>
      </c>
      <c r="F4">
        <v>99</v>
      </c>
    </row>
    <row r="5" spans="1:6" x14ac:dyDescent="0.35">
      <c r="A5">
        <v>1975</v>
      </c>
      <c r="B5" s="1">
        <v>45525</v>
      </c>
      <c r="C5" s="2">
        <v>0.125</v>
      </c>
      <c r="D5">
        <v>3</v>
      </c>
      <c r="E5">
        <v>17.100000000000001</v>
      </c>
      <c r="F5">
        <v>98</v>
      </c>
    </row>
    <row r="6" spans="1:6" x14ac:dyDescent="0.35">
      <c r="A6">
        <v>1975</v>
      </c>
      <c r="B6" s="1">
        <v>45525</v>
      </c>
      <c r="C6" s="2">
        <v>0.16666666666666671</v>
      </c>
      <c r="D6">
        <v>3</v>
      </c>
      <c r="E6">
        <v>16.600000000000001</v>
      </c>
      <c r="F6">
        <v>97</v>
      </c>
    </row>
    <row r="7" spans="1:6" x14ac:dyDescent="0.35">
      <c r="A7">
        <v>1975</v>
      </c>
      <c r="B7" s="1">
        <v>45525</v>
      </c>
      <c r="C7" s="2">
        <v>0.20833333333333329</v>
      </c>
      <c r="D7">
        <v>3</v>
      </c>
      <c r="E7">
        <v>15.8</v>
      </c>
      <c r="F7">
        <v>95</v>
      </c>
    </row>
    <row r="8" spans="1:6" x14ac:dyDescent="0.35">
      <c r="A8">
        <v>1975</v>
      </c>
      <c r="B8" s="1">
        <v>45525</v>
      </c>
      <c r="C8" s="2">
        <v>0.25</v>
      </c>
      <c r="D8">
        <v>3</v>
      </c>
      <c r="E8">
        <v>15.5</v>
      </c>
      <c r="F8">
        <v>92</v>
      </c>
    </row>
    <row r="9" spans="1:6" x14ac:dyDescent="0.35">
      <c r="A9">
        <v>1975</v>
      </c>
      <c r="B9" s="1">
        <v>45525</v>
      </c>
      <c r="C9" s="2">
        <v>0.29166666666666669</v>
      </c>
      <c r="D9">
        <v>3</v>
      </c>
      <c r="E9">
        <v>16.100000000000001</v>
      </c>
      <c r="F9">
        <v>82</v>
      </c>
    </row>
    <row r="10" spans="1:6" x14ac:dyDescent="0.35">
      <c r="A10">
        <v>1975</v>
      </c>
      <c r="B10" s="1">
        <v>45525</v>
      </c>
      <c r="C10" s="2">
        <v>0.33333333333333331</v>
      </c>
      <c r="D10">
        <v>3</v>
      </c>
      <c r="E10">
        <v>17.399999999999999</v>
      </c>
      <c r="F10">
        <v>75</v>
      </c>
    </row>
    <row r="11" spans="1:6" x14ac:dyDescent="0.35">
      <c r="A11">
        <v>1975</v>
      </c>
      <c r="B11" s="1">
        <v>45525</v>
      </c>
      <c r="C11" s="2">
        <v>0.375</v>
      </c>
      <c r="D11">
        <v>3</v>
      </c>
      <c r="E11">
        <v>18.100000000000001</v>
      </c>
      <c r="F11">
        <v>66</v>
      </c>
    </row>
    <row r="12" spans="1:6" x14ac:dyDescent="0.35">
      <c r="A12">
        <v>1975</v>
      </c>
      <c r="B12" s="1">
        <v>45525</v>
      </c>
      <c r="C12" s="2">
        <v>0.41666666666666669</v>
      </c>
      <c r="D12">
        <v>3</v>
      </c>
      <c r="E12">
        <v>17.100000000000001</v>
      </c>
      <c r="F12">
        <v>77</v>
      </c>
    </row>
    <row r="13" spans="1:6" x14ac:dyDescent="0.35">
      <c r="A13">
        <v>1975</v>
      </c>
      <c r="B13" s="1">
        <v>45525</v>
      </c>
      <c r="C13" s="2">
        <v>0.45833333333333331</v>
      </c>
      <c r="D13">
        <v>3</v>
      </c>
      <c r="E13">
        <v>18.899999999999999</v>
      </c>
      <c r="F13">
        <v>58</v>
      </c>
    </row>
    <row r="14" spans="1:6" x14ac:dyDescent="0.35">
      <c r="A14">
        <v>1975</v>
      </c>
      <c r="B14" s="1">
        <v>45525</v>
      </c>
      <c r="C14" s="2">
        <v>0.5</v>
      </c>
      <c r="D14">
        <v>3</v>
      </c>
      <c r="E14">
        <v>17.2</v>
      </c>
      <c r="F14">
        <v>71</v>
      </c>
    </row>
    <row r="15" spans="1:6" x14ac:dyDescent="0.35">
      <c r="A15">
        <v>1975</v>
      </c>
      <c r="B15" s="1">
        <v>45525</v>
      </c>
      <c r="C15" s="2">
        <v>0.54166666666666663</v>
      </c>
      <c r="D15">
        <v>3</v>
      </c>
      <c r="E15">
        <v>18</v>
      </c>
      <c r="F15">
        <v>65</v>
      </c>
    </row>
    <row r="16" spans="1:6" x14ac:dyDescent="0.35">
      <c r="A16">
        <v>1975</v>
      </c>
      <c r="B16" s="1">
        <v>45525</v>
      </c>
      <c r="C16" s="2">
        <v>0.58333333333333337</v>
      </c>
      <c r="D16">
        <v>3</v>
      </c>
      <c r="E16">
        <v>17.3</v>
      </c>
      <c r="F16">
        <v>70</v>
      </c>
    </row>
    <row r="17" spans="1:6" x14ac:dyDescent="0.35">
      <c r="A17">
        <v>1975</v>
      </c>
      <c r="B17" s="1">
        <v>45525</v>
      </c>
      <c r="C17" s="2">
        <v>0.625</v>
      </c>
      <c r="D17">
        <v>3</v>
      </c>
      <c r="E17">
        <v>17.100000000000001</v>
      </c>
      <c r="F17">
        <v>73</v>
      </c>
    </row>
    <row r="18" spans="1:6" x14ac:dyDescent="0.35">
      <c r="A18">
        <v>1975</v>
      </c>
      <c r="B18" s="1">
        <v>45525</v>
      </c>
      <c r="C18" s="2">
        <v>0.66666666666666663</v>
      </c>
      <c r="D18">
        <v>3</v>
      </c>
      <c r="E18">
        <v>18</v>
      </c>
      <c r="F18">
        <v>62</v>
      </c>
    </row>
    <row r="19" spans="1:6" x14ac:dyDescent="0.35">
      <c r="A19">
        <v>1975</v>
      </c>
      <c r="B19" s="1">
        <v>45525</v>
      </c>
      <c r="C19" s="2">
        <v>0.70833333333333337</v>
      </c>
      <c r="D19">
        <v>3</v>
      </c>
      <c r="E19">
        <v>18</v>
      </c>
      <c r="F19">
        <v>55</v>
      </c>
    </row>
    <row r="20" spans="1:6" x14ac:dyDescent="0.35">
      <c r="A20">
        <v>1975</v>
      </c>
      <c r="B20" s="1">
        <v>45525</v>
      </c>
      <c r="C20" s="2">
        <v>0.75</v>
      </c>
      <c r="D20">
        <v>3</v>
      </c>
      <c r="E20">
        <v>17.100000000000001</v>
      </c>
      <c r="F20">
        <v>61</v>
      </c>
    </row>
    <row r="21" spans="1:6" x14ac:dyDescent="0.35">
      <c r="A21">
        <v>1975</v>
      </c>
      <c r="B21" s="1">
        <v>45525</v>
      </c>
      <c r="C21" s="2">
        <v>0.79166666666666663</v>
      </c>
      <c r="D21">
        <v>3</v>
      </c>
      <c r="E21">
        <v>16.100000000000001</v>
      </c>
      <c r="F21">
        <v>67</v>
      </c>
    </row>
    <row r="22" spans="1:6" x14ac:dyDescent="0.35">
      <c r="A22">
        <v>1975</v>
      </c>
      <c r="B22" s="1">
        <v>45525</v>
      </c>
      <c r="C22" s="2">
        <v>0.83333333333333337</v>
      </c>
      <c r="D22">
        <v>3</v>
      </c>
      <c r="E22">
        <v>14.2</v>
      </c>
      <c r="F22">
        <v>79</v>
      </c>
    </row>
    <row r="23" spans="1:6" x14ac:dyDescent="0.35">
      <c r="A23">
        <v>1975</v>
      </c>
      <c r="B23" s="1">
        <v>45525</v>
      </c>
      <c r="C23" s="2">
        <v>0.875</v>
      </c>
      <c r="D23">
        <v>3</v>
      </c>
      <c r="E23">
        <v>14.7</v>
      </c>
      <c r="F23">
        <v>80</v>
      </c>
    </row>
    <row r="24" spans="1:6" x14ac:dyDescent="0.35">
      <c r="A24">
        <v>1975</v>
      </c>
      <c r="B24" s="1">
        <v>45525</v>
      </c>
      <c r="C24" s="2">
        <v>0.91666666666666663</v>
      </c>
      <c r="D24">
        <v>3</v>
      </c>
      <c r="E24">
        <v>15.3</v>
      </c>
      <c r="F24">
        <v>70</v>
      </c>
    </row>
    <row r="25" spans="1:6" x14ac:dyDescent="0.35">
      <c r="A25">
        <v>1975</v>
      </c>
      <c r="B25" s="1">
        <v>45525</v>
      </c>
      <c r="C25" s="2">
        <v>0.95833333333333337</v>
      </c>
      <c r="D25">
        <v>3</v>
      </c>
      <c r="E25">
        <v>14.3</v>
      </c>
      <c r="F25">
        <v>75</v>
      </c>
    </row>
    <row r="26" spans="1:6" x14ac:dyDescent="0.35">
      <c r="A26">
        <v>1975</v>
      </c>
      <c r="B26" s="1">
        <v>45526</v>
      </c>
      <c r="C26" s="2">
        <v>0</v>
      </c>
      <c r="D26">
        <v>3</v>
      </c>
      <c r="E26">
        <v>13.7</v>
      </c>
      <c r="F26">
        <v>78</v>
      </c>
    </row>
    <row r="27" spans="1:6" x14ac:dyDescent="0.35">
      <c r="A27">
        <v>1975</v>
      </c>
      <c r="B27" s="1">
        <v>45526</v>
      </c>
      <c r="C27" s="2">
        <v>4.1666666666666657E-2</v>
      </c>
      <c r="D27">
        <v>3</v>
      </c>
      <c r="E27">
        <v>13.3</v>
      </c>
      <c r="F27">
        <v>79</v>
      </c>
    </row>
    <row r="28" spans="1:6" x14ac:dyDescent="0.35">
      <c r="A28">
        <v>1975</v>
      </c>
      <c r="B28" s="1">
        <v>45526</v>
      </c>
      <c r="C28" s="2">
        <v>8.3333333333333329E-2</v>
      </c>
      <c r="D28">
        <v>3</v>
      </c>
      <c r="E28">
        <v>13.3</v>
      </c>
      <c r="F28">
        <v>81</v>
      </c>
    </row>
    <row r="29" spans="1:6" x14ac:dyDescent="0.35">
      <c r="A29">
        <v>1975</v>
      </c>
      <c r="B29" s="1">
        <v>45526</v>
      </c>
      <c r="C29" s="2">
        <v>0.125</v>
      </c>
      <c r="D29">
        <v>3</v>
      </c>
      <c r="E29">
        <v>13.3</v>
      </c>
      <c r="F29">
        <v>81</v>
      </c>
    </row>
    <row r="30" spans="1:6" x14ac:dyDescent="0.35">
      <c r="A30">
        <v>1975</v>
      </c>
      <c r="B30" s="1">
        <v>45526</v>
      </c>
      <c r="C30" s="2">
        <v>0.16666666666666671</v>
      </c>
      <c r="D30">
        <v>3</v>
      </c>
      <c r="E30">
        <v>13.8</v>
      </c>
      <c r="F30">
        <v>77</v>
      </c>
    </row>
    <row r="31" spans="1:6" x14ac:dyDescent="0.35">
      <c r="A31">
        <v>1975</v>
      </c>
      <c r="B31" s="1">
        <v>45526</v>
      </c>
      <c r="C31" s="2">
        <v>0.20833333333333329</v>
      </c>
      <c r="D31">
        <v>3</v>
      </c>
      <c r="E31">
        <v>14.1</v>
      </c>
      <c r="F31">
        <v>76</v>
      </c>
    </row>
    <row r="32" spans="1:6" x14ac:dyDescent="0.35">
      <c r="A32">
        <v>1975</v>
      </c>
      <c r="B32" s="1">
        <v>45526</v>
      </c>
      <c r="C32" s="2">
        <v>0.25</v>
      </c>
      <c r="D32">
        <v>3</v>
      </c>
      <c r="E32">
        <v>14.7</v>
      </c>
      <c r="F32">
        <v>74</v>
      </c>
    </row>
    <row r="33" spans="1:6" x14ac:dyDescent="0.35">
      <c r="A33">
        <v>1975</v>
      </c>
      <c r="B33" s="1">
        <v>45526</v>
      </c>
      <c r="C33" s="2">
        <v>0.29166666666666669</v>
      </c>
      <c r="D33">
        <v>3</v>
      </c>
      <c r="E33">
        <v>15.1</v>
      </c>
      <c r="F33">
        <v>74</v>
      </c>
    </row>
    <row r="34" spans="1:6" x14ac:dyDescent="0.35">
      <c r="A34">
        <v>1975</v>
      </c>
      <c r="B34" s="1">
        <v>45526</v>
      </c>
      <c r="C34" s="2">
        <v>0.33333333333333331</v>
      </c>
      <c r="D34">
        <v>3</v>
      </c>
      <c r="E34">
        <v>15.4</v>
      </c>
      <c r="F34">
        <v>74</v>
      </c>
    </row>
    <row r="35" spans="1:6" x14ac:dyDescent="0.35">
      <c r="A35">
        <v>1975</v>
      </c>
      <c r="B35" s="1">
        <v>45526</v>
      </c>
      <c r="C35" s="2">
        <v>0.375</v>
      </c>
      <c r="D35">
        <v>3</v>
      </c>
      <c r="E35">
        <v>17</v>
      </c>
      <c r="F35">
        <v>72</v>
      </c>
    </row>
    <row r="36" spans="1:6" x14ac:dyDescent="0.35">
      <c r="A36">
        <v>1975</v>
      </c>
      <c r="B36" s="1">
        <v>45526</v>
      </c>
      <c r="C36" s="2">
        <v>0.41666666666666669</v>
      </c>
      <c r="D36">
        <v>3</v>
      </c>
      <c r="E36">
        <v>18.2</v>
      </c>
      <c r="F36">
        <v>67</v>
      </c>
    </row>
    <row r="37" spans="1:6" x14ac:dyDescent="0.35">
      <c r="A37">
        <v>1975</v>
      </c>
      <c r="B37" s="1">
        <v>45526</v>
      </c>
      <c r="C37" s="2">
        <v>0.45833333333333331</v>
      </c>
      <c r="D37">
        <v>3</v>
      </c>
      <c r="E37">
        <v>18.8</v>
      </c>
      <c r="F37">
        <v>66</v>
      </c>
    </row>
    <row r="38" spans="1:6" x14ac:dyDescent="0.35">
      <c r="A38">
        <v>1975</v>
      </c>
      <c r="B38" s="1">
        <v>45526</v>
      </c>
      <c r="C38" s="2">
        <v>0.5</v>
      </c>
      <c r="D38">
        <v>3</v>
      </c>
      <c r="E38">
        <v>18.7</v>
      </c>
      <c r="F38">
        <v>67</v>
      </c>
    </row>
    <row r="39" spans="1:6" x14ac:dyDescent="0.35">
      <c r="A39">
        <v>1975</v>
      </c>
      <c r="B39" s="1">
        <v>45526</v>
      </c>
      <c r="C39" s="2">
        <v>0.54166666666666663</v>
      </c>
      <c r="D39">
        <v>3</v>
      </c>
      <c r="E39">
        <v>19.2</v>
      </c>
      <c r="F39">
        <v>65</v>
      </c>
    </row>
    <row r="40" spans="1:6" x14ac:dyDescent="0.35">
      <c r="A40">
        <v>1975</v>
      </c>
      <c r="B40" s="1">
        <v>45526</v>
      </c>
      <c r="C40" s="2">
        <v>0.58333333333333337</v>
      </c>
      <c r="D40">
        <v>3</v>
      </c>
      <c r="E40">
        <v>19.5</v>
      </c>
      <c r="F40">
        <v>67</v>
      </c>
    </row>
    <row r="41" spans="1:6" x14ac:dyDescent="0.35">
      <c r="A41">
        <v>1975</v>
      </c>
      <c r="B41" s="1">
        <v>45526</v>
      </c>
      <c r="C41" s="2">
        <v>0.625</v>
      </c>
      <c r="D41">
        <v>3</v>
      </c>
      <c r="E41">
        <v>20.3</v>
      </c>
      <c r="F41">
        <v>60</v>
      </c>
    </row>
    <row r="42" spans="1:6" x14ac:dyDescent="0.35">
      <c r="A42">
        <v>1975</v>
      </c>
      <c r="B42" s="1">
        <v>45526</v>
      </c>
      <c r="C42" s="2">
        <v>0.66666666666666663</v>
      </c>
      <c r="D42">
        <v>3</v>
      </c>
      <c r="E42">
        <v>20.9</v>
      </c>
      <c r="F42">
        <v>60</v>
      </c>
    </row>
    <row r="43" spans="1:6" x14ac:dyDescent="0.35">
      <c r="A43">
        <v>1975</v>
      </c>
      <c r="B43" s="1">
        <v>45526</v>
      </c>
      <c r="C43" s="2">
        <v>0.70833333333333337</v>
      </c>
      <c r="D43">
        <v>3</v>
      </c>
      <c r="E43">
        <v>20.9</v>
      </c>
      <c r="F43">
        <v>59</v>
      </c>
    </row>
    <row r="44" spans="1:6" x14ac:dyDescent="0.35">
      <c r="A44">
        <v>1975</v>
      </c>
      <c r="B44" s="1">
        <v>45526</v>
      </c>
      <c r="C44" s="2">
        <v>0.75</v>
      </c>
      <c r="D44">
        <v>3</v>
      </c>
      <c r="E44">
        <v>20.5</v>
      </c>
      <c r="F44">
        <v>59</v>
      </c>
    </row>
    <row r="45" spans="1:6" x14ac:dyDescent="0.35">
      <c r="A45">
        <v>1975</v>
      </c>
      <c r="B45" s="1">
        <v>45526</v>
      </c>
      <c r="C45" s="2">
        <v>0.79166666666666663</v>
      </c>
      <c r="D45">
        <v>3</v>
      </c>
      <c r="E45">
        <v>20.399999999999999</v>
      </c>
      <c r="F45">
        <v>61</v>
      </c>
    </row>
    <row r="46" spans="1:6" x14ac:dyDescent="0.35">
      <c r="A46">
        <v>1975</v>
      </c>
      <c r="B46" s="1">
        <v>45526</v>
      </c>
      <c r="C46" s="2">
        <v>0.83333333333333337</v>
      </c>
      <c r="D46">
        <v>3</v>
      </c>
      <c r="E46">
        <v>20.3</v>
      </c>
      <c r="F46">
        <v>62</v>
      </c>
    </row>
    <row r="47" spans="1:6" x14ac:dyDescent="0.35">
      <c r="A47">
        <v>1975</v>
      </c>
      <c r="B47" s="1">
        <v>45526</v>
      </c>
      <c r="C47" s="2">
        <v>0.875</v>
      </c>
      <c r="D47">
        <v>3</v>
      </c>
      <c r="E47">
        <v>20.2</v>
      </c>
      <c r="F47">
        <v>63</v>
      </c>
    </row>
    <row r="48" spans="1:6" x14ac:dyDescent="0.35">
      <c r="A48">
        <v>1975</v>
      </c>
      <c r="B48" s="1">
        <v>45526</v>
      </c>
      <c r="C48" s="2">
        <v>0.91666666666666663</v>
      </c>
      <c r="D48">
        <v>3</v>
      </c>
      <c r="E48">
        <v>20.399999999999999</v>
      </c>
      <c r="F48">
        <v>60</v>
      </c>
    </row>
    <row r="49" spans="1:6" x14ac:dyDescent="0.35">
      <c r="A49">
        <v>1975</v>
      </c>
      <c r="B49" s="1">
        <v>45526</v>
      </c>
      <c r="C49" s="2">
        <v>0.95833333333333337</v>
      </c>
      <c r="D49">
        <v>3</v>
      </c>
      <c r="E49">
        <v>20.2</v>
      </c>
      <c r="F49">
        <v>62</v>
      </c>
    </row>
    <row r="50" spans="1:6" x14ac:dyDescent="0.35">
      <c r="A50">
        <v>1975</v>
      </c>
      <c r="B50" s="1">
        <v>45527</v>
      </c>
      <c r="C50" s="2">
        <v>0</v>
      </c>
      <c r="D50">
        <v>3</v>
      </c>
      <c r="E50">
        <v>20.100000000000001</v>
      </c>
      <c r="F50">
        <v>64</v>
      </c>
    </row>
    <row r="51" spans="1:6" x14ac:dyDescent="0.35">
      <c r="A51">
        <v>1975</v>
      </c>
      <c r="B51" s="1">
        <v>45527</v>
      </c>
      <c r="C51" s="2">
        <v>4.1666666666666657E-2</v>
      </c>
      <c r="D51">
        <v>3</v>
      </c>
      <c r="E51">
        <v>20.2</v>
      </c>
      <c r="F51">
        <v>63</v>
      </c>
    </row>
    <row r="52" spans="1:6" x14ac:dyDescent="0.35">
      <c r="A52">
        <v>1975</v>
      </c>
      <c r="B52" s="1">
        <v>45527</v>
      </c>
      <c r="C52" s="2">
        <v>8.3333333333333329E-2</v>
      </c>
      <c r="D52">
        <v>3</v>
      </c>
      <c r="E52">
        <v>20.100000000000001</v>
      </c>
      <c r="F52">
        <v>62</v>
      </c>
    </row>
    <row r="53" spans="1:6" x14ac:dyDescent="0.35">
      <c r="A53">
        <v>1975</v>
      </c>
      <c r="B53" s="1">
        <v>45527</v>
      </c>
      <c r="C53" s="2">
        <v>0.125</v>
      </c>
      <c r="D53">
        <v>3</v>
      </c>
      <c r="E53">
        <v>20.100000000000001</v>
      </c>
      <c r="F53">
        <v>62</v>
      </c>
    </row>
    <row r="54" spans="1:6" x14ac:dyDescent="0.35">
      <c r="A54">
        <v>1975</v>
      </c>
      <c r="B54" s="1">
        <v>45527</v>
      </c>
      <c r="C54" s="2">
        <v>0.16666666666666671</v>
      </c>
      <c r="D54">
        <v>3</v>
      </c>
      <c r="E54">
        <v>20</v>
      </c>
      <c r="F54">
        <v>62</v>
      </c>
    </row>
    <row r="55" spans="1:6" x14ac:dyDescent="0.35">
      <c r="A55">
        <v>1975</v>
      </c>
      <c r="B55" s="1">
        <v>45527</v>
      </c>
      <c r="C55" s="2">
        <v>0.20833333333333329</v>
      </c>
      <c r="D55">
        <v>3</v>
      </c>
      <c r="E55">
        <v>19.399999999999999</v>
      </c>
      <c r="F55">
        <v>63</v>
      </c>
    </row>
    <row r="56" spans="1:6" x14ac:dyDescent="0.35">
      <c r="A56">
        <v>1975</v>
      </c>
      <c r="B56" s="1">
        <v>45527</v>
      </c>
      <c r="C56" s="2">
        <v>0.25</v>
      </c>
      <c r="D56">
        <v>3</v>
      </c>
      <c r="E56">
        <v>19.7</v>
      </c>
      <c r="F56">
        <v>62</v>
      </c>
    </row>
    <row r="57" spans="1:6" x14ac:dyDescent="0.35">
      <c r="A57">
        <v>1975</v>
      </c>
      <c r="B57" s="1">
        <v>45527</v>
      </c>
      <c r="C57" s="2">
        <v>0.29166666666666669</v>
      </c>
      <c r="D57">
        <v>3</v>
      </c>
      <c r="E57">
        <v>20.2</v>
      </c>
      <c r="F57">
        <v>59</v>
      </c>
    </row>
    <row r="58" spans="1:6" x14ac:dyDescent="0.35">
      <c r="A58">
        <v>1975</v>
      </c>
      <c r="B58" s="1">
        <v>45527</v>
      </c>
      <c r="C58" s="2">
        <v>0.33333333333333331</v>
      </c>
      <c r="D58">
        <v>3</v>
      </c>
      <c r="E58">
        <v>20.8</v>
      </c>
      <c r="F58">
        <v>58</v>
      </c>
    </row>
    <row r="59" spans="1:6" x14ac:dyDescent="0.35">
      <c r="A59">
        <v>1975</v>
      </c>
      <c r="B59" s="1">
        <v>45527</v>
      </c>
      <c r="C59" s="2">
        <v>0.375</v>
      </c>
      <c r="D59">
        <v>3</v>
      </c>
      <c r="E59">
        <v>21.1</v>
      </c>
      <c r="F59">
        <v>58</v>
      </c>
    </row>
    <row r="60" spans="1:6" x14ac:dyDescent="0.35">
      <c r="A60">
        <v>1975</v>
      </c>
      <c r="B60" s="1">
        <v>45527</v>
      </c>
      <c r="C60" s="2">
        <v>0.41666666666666669</v>
      </c>
      <c r="D60">
        <v>3</v>
      </c>
      <c r="E60">
        <v>21.8</v>
      </c>
      <c r="F60">
        <v>60</v>
      </c>
    </row>
    <row r="61" spans="1:6" x14ac:dyDescent="0.35">
      <c r="A61">
        <v>1975</v>
      </c>
      <c r="B61" s="1">
        <v>45527</v>
      </c>
      <c r="C61" s="2">
        <v>0.45833333333333331</v>
      </c>
      <c r="D61">
        <v>3</v>
      </c>
      <c r="E61">
        <v>24</v>
      </c>
      <c r="F61">
        <v>61</v>
      </c>
    </row>
    <row r="62" spans="1:6" x14ac:dyDescent="0.35">
      <c r="A62">
        <v>1975</v>
      </c>
      <c r="B62" s="1">
        <v>45527</v>
      </c>
      <c r="C62" s="2">
        <v>0.5</v>
      </c>
      <c r="D62">
        <v>3</v>
      </c>
      <c r="E62">
        <v>24.3</v>
      </c>
      <c r="F62">
        <v>60</v>
      </c>
    </row>
    <row r="63" spans="1:6" x14ac:dyDescent="0.35">
      <c r="A63">
        <v>1975</v>
      </c>
      <c r="B63" s="1">
        <v>45527</v>
      </c>
      <c r="C63" s="2">
        <v>0.54166666666666663</v>
      </c>
      <c r="D63">
        <v>3</v>
      </c>
      <c r="E63">
        <v>23.7</v>
      </c>
      <c r="F63">
        <v>62</v>
      </c>
    </row>
    <row r="64" spans="1:6" x14ac:dyDescent="0.35">
      <c r="A64">
        <v>1975</v>
      </c>
      <c r="B64" s="1">
        <v>45527</v>
      </c>
      <c r="C64" s="2">
        <v>0.58333333333333337</v>
      </c>
      <c r="D64">
        <v>3</v>
      </c>
      <c r="E64">
        <v>22.6</v>
      </c>
      <c r="F64">
        <v>69</v>
      </c>
    </row>
    <row r="65" spans="1:6" x14ac:dyDescent="0.35">
      <c r="A65">
        <v>1975</v>
      </c>
      <c r="B65" s="1">
        <v>45527</v>
      </c>
      <c r="C65" s="2">
        <v>0.625</v>
      </c>
      <c r="D65">
        <v>3</v>
      </c>
      <c r="E65">
        <v>23.2</v>
      </c>
      <c r="F65">
        <v>67</v>
      </c>
    </row>
    <row r="66" spans="1:6" x14ac:dyDescent="0.35">
      <c r="A66">
        <v>1975</v>
      </c>
      <c r="B66" s="1">
        <v>45527</v>
      </c>
      <c r="C66" s="2">
        <v>0.66666666666666663</v>
      </c>
      <c r="D66">
        <v>3</v>
      </c>
      <c r="E66">
        <v>20.6</v>
      </c>
      <c r="F66">
        <v>81</v>
      </c>
    </row>
    <row r="67" spans="1:6" x14ac:dyDescent="0.35">
      <c r="A67">
        <v>1975</v>
      </c>
      <c r="B67" s="1">
        <v>45527</v>
      </c>
      <c r="C67" s="2">
        <v>0.70833333333333337</v>
      </c>
      <c r="D67">
        <v>3</v>
      </c>
      <c r="E67">
        <v>20.2</v>
      </c>
      <c r="F67">
        <v>73</v>
      </c>
    </row>
    <row r="68" spans="1:6" x14ac:dyDescent="0.35">
      <c r="A68">
        <v>1975</v>
      </c>
      <c r="B68" s="1">
        <v>45527</v>
      </c>
      <c r="C68" s="2">
        <v>0.75</v>
      </c>
      <c r="D68">
        <v>3</v>
      </c>
      <c r="E68">
        <v>18.7</v>
      </c>
      <c r="F68">
        <v>71</v>
      </c>
    </row>
    <row r="69" spans="1:6" x14ac:dyDescent="0.35">
      <c r="A69">
        <v>1975</v>
      </c>
      <c r="B69" s="1">
        <v>45527</v>
      </c>
      <c r="C69" s="2">
        <v>0.79166666666666663</v>
      </c>
      <c r="D69">
        <v>3</v>
      </c>
      <c r="E69">
        <v>17.399999999999999</v>
      </c>
      <c r="F69">
        <v>76</v>
      </c>
    </row>
    <row r="70" spans="1:6" x14ac:dyDescent="0.35">
      <c r="A70">
        <v>1975</v>
      </c>
      <c r="B70" s="1">
        <v>45527</v>
      </c>
      <c r="C70" s="2">
        <v>0.83333333333333337</v>
      </c>
      <c r="D70">
        <v>3</v>
      </c>
      <c r="E70">
        <v>16.7</v>
      </c>
      <c r="F70">
        <v>76</v>
      </c>
    </row>
    <row r="71" spans="1:6" x14ac:dyDescent="0.35">
      <c r="A71">
        <v>1975</v>
      </c>
      <c r="B71" s="1">
        <v>45527</v>
      </c>
      <c r="C71" s="2">
        <v>0.875</v>
      </c>
      <c r="D71">
        <v>3</v>
      </c>
      <c r="E71">
        <v>15.8</v>
      </c>
      <c r="F71">
        <v>80</v>
      </c>
    </row>
    <row r="72" spans="1:6" x14ac:dyDescent="0.35">
      <c r="A72">
        <v>1975</v>
      </c>
      <c r="B72" s="1">
        <v>45527</v>
      </c>
      <c r="C72" s="2">
        <v>0.91666666666666663</v>
      </c>
      <c r="D72">
        <v>3</v>
      </c>
      <c r="E72">
        <v>15.1</v>
      </c>
      <c r="F72">
        <v>84</v>
      </c>
    </row>
    <row r="73" spans="1:6" x14ac:dyDescent="0.35">
      <c r="A73">
        <v>1975</v>
      </c>
      <c r="B73" s="1">
        <v>45527</v>
      </c>
      <c r="C73" s="2">
        <v>0.95833333333333337</v>
      </c>
      <c r="D73">
        <v>3</v>
      </c>
      <c r="E73">
        <v>15</v>
      </c>
      <c r="F73">
        <v>83</v>
      </c>
    </row>
    <row r="74" spans="1:6" x14ac:dyDescent="0.35">
      <c r="A74">
        <v>1975</v>
      </c>
      <c r="B74" s="1">
        <v>45528</v>
      </c>
      <c r="C74" s="2">
        <v>0</v>
      </c>
      <c r="D74">
        <v>3</v>
      </c>
      <c r="E74">
        <v>14.6</v>
      </c>
      <c r="F74">
        <v>90</v>
      </c>
    </row>
    <row r="75" spans="1:6" x14ac:dyDescent="0.35">
      <c r="A75">
        <v>1975</v>
      </c>
      <c r="B75" s="1">
        <v>45528</v>
      </c>
      <c r="C75" s="2">
        <v>4.1666666666666657E-2</v>
      </c>
      <c r="D75">
        <v>3</v>
      </c>
      <c r="E75">
        <v>16.5</v>
      </c>
      <c r="F75">
        <v>81</v>
      </c>
    </row>
    <row r="76" spans="1:6" x14ac:dyDescent="0.35">
      <c r="A76">
        <v>1975</v>
      </c>
      <c r="B76" s="1">
        <v>45528</v>
      </c>
      <c r="C76" s="2">
        <v>8.3333333333333329E-2</v>
      </c>
      <c r="D76">
        <v>3</v>
      </c>
      <c r="E76">
        <v>16.2</v>
      </c>
      <c r="F76">
        <v>84</v>
      </c>
    </row>
    <row r="77" spans="1:6" x14ac:dyDescent="0.35">
      <c r="A77">
        <v>1975</v>
      </c>
      <c r="B77" s="1">
        <v>45528</v>
      </c>
      <c r="C77" s="2">
        <v>0.125</v>
      </c>
      <c r="D77">
        <v>3</v>
      </c>
      <c r="E77">
        <v>16.3</v>
      </c>
      <c r="F77">
        <v>86</v>
      </c>
    </row>
    <row r="78" spans="1:6" x14ac:dyDescent="0.35">
      <c r="A78">
        <v>1975</v>
      </c>
      <c r="B78" s="1">
        <v>45528</v>
      </c>
      <c r="C78" s="2">
        <v>0.16666666666666671</v>
      </c>
      <c r="D78">
        <v>3</v>
      </c>
      <c r="E78">
        <v>16.899999999999999</v>
      </c>
      <c r="F78">
        <v>89</v>
      </c>
    </row>
    <row r="79" spans="1:6" x14ac:dyDescent="0.35">
      <c r="A79">
        <v>1975</v>
      </c>
      <c r="B79" s="1">
        <v>45528</v>
      </c>
      <c r="C79" s="2">
        <v>0.20833333333333329</v>
      </c>
      <c r="D79">
        <v>3</v>
      </c>
      <c r="E79">
        <v>17.2</v>
      </c>
      <c r="F79">
        <v>91</v>
      </c>
    </row>
    <row r="80" spans="1:6" x14ac:dyDescent="0.35">
      <c r="A80">
        <v>1975</v>
      </c>
      <c r="B80" s="1">
        <v>45528</v>
      </c>
      <c r="C80" s="2">
        <v>0.25</v>
      </c>
      <c r="D80">
        <v>3</v>
      </c>
      <c r="E80">
        <v>17.899999999999999</v>
      </c>
      <c r="F80">
        <v>92</v>
      </c>
    </row>
    <row r="81" spans="1:6" x14ac:dyDescent="0.35">
      <c r="A81">
        <v>1975</v>
      </c>
      <c r="B81" s="1">
        <v>45528</v>
      </c>
      <c r="C81" s="2">
        <v>0.29166666666666669</v>
      </c>
      <c r="D81">
        <v>3</v>
      </c>
      <c r="E81">
        <v>19.899999999999999</v>
      </c>
      <c r="F81">
        <v>86</v>
      </c>
    </row>
    <row r="82" spans="1:6" x14ac:dyDescent="0.35">
      <c r="A82">
        <v>1975</v>
      </c>
      <c r="B82" s="1">
        <v>45528</v>
      </c>
      <c r="C82" s="2">
        <v>0.33333333333333331</v>
      </c>
      <c r="D82">
        <v>3</v>
      </c>
      <c r="E82">
        <v>21.5</v>
      </c>
      <c r="F82">
        <v>79</v>
      </c>
    </row>
    <row r="83" spans="1:6" x14ac:dyDescent="0.35">
      <c r="A83">
        <v>1975</v>
      </c>
      <c r="B83" s="1">
        <v>45528</v>
      </c>
      <c r="C83" s="2">
        <v>0.375</v>
      </c>
      <c r="D83">
        <v>3</v>
      </c>
      <c r="E83">
        <v>23.1</v>
      </c>
      <c r="F83">
        <v>73</v>
      </c>
    </row>
    <row r="84" spans="1:6" x14ac:dyDescent="0.35">
      <c r="A84">
        <v>1975</v>
      </c>
      <c r="B84" s="1">
        <v>45528</v>
      </c>
      <c r="C84" s="2">
        <v>0.41666666666666669</v>
      </c>
      <c r="D84">
        <v>3</v>
      </c>
      <c r="E84">
        <v>23</v>
      </c>
      <c r="F84">
        <v>75</v>
      </c>
    </row>
    <row r="85" spans="1:6" x14ac:dyDescent="0.35">
      <c r="A85">
        <v>1975</v>
      </c>
      <c r="B85" s="1">
        <v>45528</v>
      </c>
      <c r="C85" s="2">
        <v>0.45833333333333331</v>
      </c>
      <c r="D85">
        <v>3</v>
      </c>
      <c r="E85">
        <v>24.9</v>
      </c>
      <c r="F85">
        <v>67</v>
      </c>
    </row>
    <row r="86" spans="1:6" x14ac:dyDescent="0.35">
      <c r="A86">
        <v>1975</v>
      </c>
      <c r="B86" s="1">
        <v>45528</v>
      </c>
      <c r="C86" s="2">
        <v>0.5</v>
      </c>
      <c r="D86">
        <v>3</v>
      </c>
      <c r="E86">
        <v>25.3</v>
      </c>
      <c r="F86">
        <v>66</v>
      </c>
    </row>
    <row r="87" spans="1:6" x14ac:dyDescent="0.35">
      <c r="A87">
        <v>1975</v>
      </c>
      <c r="B87" s="1">
        <v>45528</v>
      </c>
      <c r="C87" s="2">
        <v>0.54166666666666663</v>
      </c>
      <c r="D87">
        <v>3</v>
      </c>
      <c r="E87">
        <v>27</v>
      </c>
      <c r="F87">
        <v>60</v>
      </c>
    </row>
    <row r="88" spans="1:6" x14ac:dyDescent="0.35">
      <c r="A88">
        <v>1975</v>
      </c>
      <c r="B88" s="1">
        <v>45528</v>
      </c>
      <c r="C88" s="2">
        <v>0.58333333333333337</v>
      </c>
      <c r="D88">
        <v>3</v>
      </c>
      <c r="E88">
        <v>27.8</v>
      </c>
      <c r="F88">
        <v>58</v>
      </c>
    </row>
    <row r="89" spans="1:6" x14ac:dyDescent="0.35">
      <c r="A89">
        <v>1975</v>
      </c>
      <c r="B89" s="1">
        <v>45528</v>
      </c>
      <c r="C89" s="2">
        <v>0.625</v>
      </c>
      <c r="D89">
        <v>3</v>
      </c>
      <c r="E89">
        <v>28</v>
      </c>
      <c r="F89">
        <v>55</v>
      </c>
    </row>
    <row r="90" spans="1:6" x14ac:dyDescent="0.35">
      <c r="A90">
        <v>1975</v>
      </c>
      <c r="B90" s="1">
        <v>45528</v>
      </c>
      <c r="C90" s="2">
        <v>0.66666666666666663</v>
      </c>
      <c r="D90">
        <v>3</v>
      </c>
      <c r="E90">
        <v>28.4</v>
      </c>
      <c r="F90">
        <v>53</v>
      </c>
    </row>
    <row r="91" spans="1:6" x14ac:dyDescent="0.35">
      <c r="A91">
        <v>1975</v>
      </c>
      <c r="B91" s="1">
        <v>45528</v>
      </c>
      <c r="C91" s="2">
        <v>0.70833333333333337</v>
      </c>
      <c r="D91">
        <v>3</v>
      </c>
      <c r="E91">
        <v>28.5</v>
      </c>
      <c r="F91">
        <v>52</v>
      </c>
    </row>
    <row r="92" spans="1:6" x14ac:dyDescent="0.35">
      <c r="A92">
        <v>1975</v>
      </c>
      <c r="B92" s="1">
        <v>45528</v>
      </c>
      <c r="C92" s="2">
        <v>0.75</v>
      </c>
      <c r="D92">
        <v>3</v>
      </c>
      <c r="E92">
        <v>27.5</v>
      </c>
      <c r="F92">
        <v>54</v>
      </c>
    </row>
    <row r="93" spans="1:6" x14ac:dyDescent="0.35">
      <c r="A93">
        <v>1975</v>
      </c>
      <c r="B93" s="1">
        <v>45528</v>
      </c>
      <c r="C93" s="2">
        <v>0.79166666666666663</v>
      </c>
      <c r="D93">
        <v>3</v>
      </c>
      <c r="E93">
        <v>26.9</v>
      </c>
      <c r="F93">
        <v>54</v>
      </c>
    </row>
    <row r="94" spans="1:6" x14ac:dyDescent="0.35">
      <c r="A94">
        <v>1975</v>
      </c>
      <c r="B94" s="1">
        <v>45528</v>
      </c>
      <c r="C94" s="2">
        <v>0.83333333333333337</v>
      </c>
      <c r="D94">
        <v>3</v>
      </c>
      <c r="E94">
        <v>25.9</v>
      </c>
      <c r="F94">
        <v>57</v>
      </c>
    </row>
    <row r="95" spans="1:6" x14ac:dyDescent="0.35">
      <c r="A95">
        <v>1975</v>
      </c>
      <c r="B95" s="1">
        <v>45528</v>
      </c>
      <c r="C95" s="2">
        <v>0.875</v>
      </c>
      <c r="D95">
        <v>3</v>
      </c>
      <c r="E95">
        <v>19</v>
      </c>
      <c r="F95">
        <v>83</v>
      </c>
    </row>
    <row r="96" spans="1:6" x14ac:dyDescent="0.35">
      <c r="A96">
        <v>1975</v>
      </c>
      <c r="B96" s="1">
        <v>45528</v>
      </c>
      <c r="C96" s="2">
        <v>0.91666666666666663</v>
      </c>
      <c r="D96">
        <v>3</v>
      </c>
      <c r="E96">
        <v>17.7</v>
      </c>
      <c r="F96">
        <v>87</v>
      </c>
    </row>
    <row r="97" spans="1:6" x14ac:dyDescent="0.35">
      <c r="A97">
        <v>1975</v>
      </c>
      <c r="B97" s="1">
        <v>45528</v>
      </c>
      <c r="C97" s="2">
        <v>0.95833333333333337</v>
      </c>
      <c r="D97">
        <v>3</v>
      </c>
      <c r="E97">
        <v>16.5</v>
      </c>
      <c r="F97">
        <v>96</v>
      </c>
    </row>
    <row r="98" spans="1:6" x14ac:dyDescent="0.35">
      <c r="A98">
        <v>1975</v>
      </c>
      <c r="B98" s="1">
        <v>45529</v>
      </c>
      <c r="C98" s="2">
        <v>0</v>
      </c>
      <c r="D98">
        <v>3</v>
      </c>
      <c r="E98">
        <v>16.5</v>
      </c>
      <c r="F98">
        <v>96</v>
      </c>
    </row>
    <row r="99" spans="1:6" x14ac:dyDescent="0.35">
      <c r="A99">
        <v>1975</v>
      </c>
      <c r="B99" s="1">
        <v>45529</v>
      </c>
      <c r="C99" s="2">
        <v>4.1666666666666657E-2</v>
      </c>
      <c r="D99">
        <v>3</v>
      </c>
      <c r="E99">
        <v>16.5</v>
      </c>
      <c r="F99">
        <v>95</v>
      </c>
    </row>
    <row r="100" spans="1:6" x14ac:dyDescent="0.35">
      <c r="A100">
        <v>1975</v>
      </c>
      <c r="B100" s="1">
        <v>45529</v>
      </c>
      <c r="C100" s="2">
        <v>8.3333333333333329E-2</v>
      </c>
      <c r="D100">
        <v>3</v>
      </c>
      <c r="E100">
        <v>16.399999999999999</v>
      </c>
      <c r="F100">
        <v>94</v>
      </c>
    </row>
    <row r="101" spans="1:6" x14ac:dyDescent="0.35">
      <c r="A101">
        <v>1975</v>
      </c>
      <c r="B101" s="1">
        <v>45529</v>
      </c>
      <c r="C101" s="2">
        <v>0.125</v>
      </c>
      <c r="D101">
        <v>3</v>
      </c>
      <c r="E101">
        <v>16.600000000000001</v>
      </c>
      <c r="F101">
        <v>95</v>
      </c>
    </row>
    <row r="102" spans="1:6" x14ac:dyDescent="0.35">
      <c r="A102">
        <v>1975</v>
      </c>
      <c r="B102" s="1">
        <v>45529</v>
      </c>
      <c r="C102" s="2">
        <v>0.16666666666666671</v>
      </c>
      <c r="D102">
        <v>3</v>
      </c>
      <c r="E102">
        <v>16.8</v>
      </c>
      <c r="F102">
        <v>92</v>
      </c>
    </row>
    <row r="103" spans="1:6" x14ac:dyDescent="0.35">
      <c r="A103">
        <v>1975</v>
      </c>
      <c r="B103" s="1">
        <v>45529</v>
      </c>
      <c r="C103" s="2">
        <v>0.20833333333333329</v>
      </c>
      <c r="D103">
        <v>3</v>
      </c>
      <c r="E103">
        <v>16.5</v>
      </c>
      <c r="F103">
        <v>90</v>
      </c>
    </row>
    <row r="104" spans="1:6" x14ac:dyDescent="0.35">
      <c r="A104">
        <v>1975</v>
      </c>
      <c r="B104" s="1">
        <v>45529</v>
      </c>
      <c r="C104" s="2">
        <v>0.25</v>
      </c>
      <c r="D104">
        <v>3</v>
      </c>
      <c r="E104">
        <v>15.1</v>
      </c>
      <c r="F104">
        <v>88</v>
      </c>
    </row>
    <row r="105" spans="1:6" x14ac:dyDescent="0.35">
      <c r="A105">
        <v>1975</v>
      </c>
      <c r="B105" s="1">
        <v>45529</v>
      </c>
      <c r="C105" s="2">
        <v>0.29166666666666669</v>
      </c>
      <c r="D105">
        <v>3</v>
      </c>
      <c r="E105">
        <v>15.9</v>
      </c>
      <c r="F105">
        <v>88</v>
      </c>
    </row>
    <row r="106" spans="1:6" x14ac:dyDescent="0.35">
      <c r="A106">
        <v>1975</v>
      </c>
      <c r="B106" s="1">
        <v>45529</v>
      </c>
      <c r="C106" s="2">
        <v>0.33333333333333331</v>
      </c>
      <c r="D106">
        <v>3</v>
      </c>
      <c r="E106">
        <v>17.3</v>
      </c>
      <c r="F106">
        <v>77</v>
      </c>
    </row>
    <row r="107" spans="1:6" x14ac:dyDescent="0.35">
      <c r="A107">
        <v>1975</v>
      </c>
      <c r="B107" s="1">
        <v>45529</v>
      </c>
      <c r="C107" s="2">
        <v>0.375</v>
      </c>
      <c r="D107">
        <v>3</v>
      </c>
      <c r="E107">
        <v>17.3</v>
      </c>
      <c r="F107">
        <v>67</v>
      </c>
    </row>
    <row r="108" spans="1:6" x14ac:dyDescent="0.35">
      <c r="A108">
        <v>1975</v>
      </c>
      <c r="B108" s="1">
        <v>45529</v>
      </c>
      <c r="C108" s="2">
        <v>0.41666666666666669</v>
      </c>
      <c r="D108">
        <v>3</v>
      </c>
      <c r="E108">
        <v>18.5</v>
      </c>
      <c r="F108">
        <v>61</v>
      </c>
    </row>
    <row r="109" spans="1:6" x14ac:dyDescent="0.35">
      <c r="A109">
        <v>1975</v>
      </c>
      <c r="B109" s="1">
        <v>45529</v>
      </c>
      <c r="C109" s="2">
        <v>0.45833333333333331</v>
      </c>
      <c r="D109">
        <v>3</v>
      </c>
      <c r="E109">
        <v>18.399999999999999</v>
      </c>
      <c r="F109">
        <v>56</v>
      </c>
    </row>
    <row r="110" spans="1:6" x14ac:dyDescent="0.35">
      <c r="A110">
        <v>1975</v>
      </c>
      <c r="B110" s="1">
        <v>45529</v>
      </c>
      <c r="C110" s="2">
        <v>0.5</v>
      </c>
      <c r="D110">
        <v>3</v>
      </c>
      <c r="E110">
        <v>19.399999999999999</v>
      </c>
      <c r="F110">
        <v>52</v>
      </c>
    </row>
    <row r="111" spans="1:6" x14ac:dyDescent="0.35">
      <c r="A111">
        <v>1975</v>
      </c>
      <c r="B111" s="1">
        <v>45529</v>
      </c>
      <c r="C111" s="2">
        <v>0.54166666666666663</v>
      </c>
      <c r="D111">
        <v>3</v>
      </c>
      <c r="E111">
        <v>19.8</v>
      </c>
      <c r="F111">
        <v>56</v>
      </c>
    </row>
    <row r="112" spans="1:6" x14ac:dyDescent="0.35">
      <c r="A112">
        <v>1975</v>
      </c>
      <c r="B112" s="1">
        <v>45529</v>
      </c>
      <c r="C112" s="2">
        <v>0.58333333333333337</v>
      </c>
      <c r="D112">
        <v>3</v>
      </c>
      <c r="E112">
        <v>19.399999999999999</v>
      </c>
      <c r="F112">
        <v>54</v>
      </c>
    </row>
    <row r="113" spans="1:6" x14ac:dyDescent="0.35">
      <c r="A113">
        <v>1975</v>
      </c>
      <c r="B113" s="1">
        <v>45529</v>
      </c>
      <c r="C113" s="2">
        <v>0.625</v>
      </c>
      <c r="D113">
        <v>3</v>
      </c>
      <c r="E113">
        <v>20.399999999999999</v>
      </c>
      <c r="F113">
        <v>48</v>
      </c>
    </row>
    <row r="114" spans="1:6" x14ac:dyDescent="0.35">
      <c r="A114">
        <v>1975</v>
      </c>
      <c r="B114" s="1">
        <v>45529</v>
      </c>
      <c r="C114" s="2">
        <v>0.66666666666666663</v>
      </c>
      <c r="D114">
        <v>3</v>
      </c>
      <c r="E114">
        <v>20</v>
      </c>
      <c r="F114">
        <v>50</v>
      </c>
    </row>
    <row r="115" spans="1:6" x14ac:dyDescent="0.35">
      <c r="A115">
        <v>1975</v>
      </c>
      <c r="B115" s="1">
        <v>45529</v>
      </c>
      <c r="C115" s="2">
        <v>0.70833333333333337</v>
      </c>
      <c r="D115">
        <v>3</v>
      </c>
      <c r="E115">
        <v>19</v>
      </c>
      <c r="F115">
        <v>54</v>
      </c>
    </row>
    <row r="116" spans="1:6" x14ac:dyDescent="0.35">
      <c r="A116">
        <v>1975</v>
      </c>
      <c r="B116" s="1">
        <v>45529</v>
      </c>
      <c r="C116" s="2">
        <v>0.75</v>
      </c>
      <c r="D116">
        <v>3</v>
      </c>
      <c r="E116">
        <v>17.600000000000001</v>
      </c>
      <c r="F116">
        <v>59</v>
      </c>
    </row>
    <row r="117" spans="1:6" x14ac:dyDescent="0.35">
      <c r="A117">
        <v>1975</v>
      </c>
      <c r="B117" s="1">
        <v>45529</v>
      </c>
      <c r="C117" s="2">
        <v>0.79166666666666663</v>
      </c>
      <c r="D117">
        <v>3</v>
      </c>
      <c r="E117">
        <v>16</v>
      </c>
      <c r="F117">
        <v>67</v>
      </c>
    </row>
    <row r="118" spans="1:6" x14ac:dyDescent="0.35">
      <c r="A118">
        <v>1975</v>
      </c>
      <c r="B118" s="1">
        <v>45529</v>
      </c>
      <c r="C118" s="2">
        <v>0.83333333333333337</v>
      </c>
      <c r="D118">
        <v>3</v>
      </c>
      <c r="E118">
        <v>14.9</v>
      </c>
      <c r="F118">
        <v>76</v>
      </c>
    </row>
    <row r="119" spans="1:6" x14ac:dyDescent="0.35">
      <c r="A119">
        <v>1975</v>
      </c>
      <c r="B119" s="1">
        <v>45529</v>
      </c>
      <c r="C119" s="2">
        <v>0.875</v>
      </c>
      <c r="D119">
        <v>3</v>
      </c>
      <c r="E119">
        <v>15.4</v>
      </c>
      <c r="F119">
        <v>73</v>
      </c>
    </row>
    <row r="120" spans="1:6" x14ac:dyDescent="0.35">
      <c r="A120">
        <v>1975</v>
      </c>
      <c r="B120" s="1">
        <v>45529</v>
      </c>
      <c r="C120" s="2">
        <v>0.91666666666666663</v>
      </c>
      <c r="D120">
        <v>3</v>
      </c>
      <c r="E120">
        <v>14</v>
      </c>
      <c r="F120">
        <v>79</v>
      </c>
    </row>
    <row r="121" spans="1:6" x14ac:dyDescent="0.35">
      <c r="A121">
        <v>1975</v>
      </c>
      <c r="B121" s="1">
        <v>45529</v>
      </c>
      <c r="C121" s="2">
        <v>0.95833333333333337</v>
      </c>
      <c r="D121">
        <v>3</v>
      </c>
      <c r="E121">
        <v>12.5</v>
      </c>
      <c r="F121">
        <v>86</v>
      </c>
    </row>
    <row r="122" spans="1:6" x14ac:dyDescent="0.35">
      <c r="A122">
        <v>1975</v>
      </c>
      <c r="B122" s="1">
        <v>45530</v>
      </c>
      <c r="C122" s="2">
        <v>0</v>
      </c>
      <c r="D122">
        <v>3</v>
      </c>
      <c r="E122">
        <v>13</v>
      </c>
      <c r="F122">
        <v>84</v>
      </c>
    </row>
    <row r="123" spans="1:6" x14ac:dyDescent="0.35">
      <c r="A123">
        <v>1975</v>
      </c>
      <c r="B123" s="1">
        <v>45530</v>
      </c>
      <c r="C123" s="2">
        <v>4.1666666666666657E-2</v>
      </c>
      <c r="D123">
        <v>3</v>
      </c>
      <c r="E123">
        <v>11.7</v>
      </c>
      <c r="F123">
        <v>90</v>
      </c>
    </row>
    <row r="124" spans="1:6" x14ac:dyDescent="0.35">
      <c r="A124">
        <v>1975</v>
      </c>
      <c r="B124" s="1">
        <v>45530</v>
      </c>
      <c r="C124" s="2">
        <v>8.3333333333333329E-2</v>
      </c>
      <c r="D124">
        <v>3</v>
      </c>
      <c r="E124">
        <v>12.3</v>
      </c>
      <c r="F124">
        <v>86</v>
      </c>
    </row>
    <row r="125" spans="1:6" x14ac:dyDescent="0.35">
      <c r="A125">
        <v>1975</v>
      </c>
      <c r="B125" s="1">
        <v>45530</v>
      </c>
      <c r="C125" s="2">
        <v>0.125</v>
      </c>
      <c r="D125">
        <v>3</v>
      </c>
      <c r="E125">
        <v>12</v>
      </c>
      <c r="F125">
        <v>85</v>
      </c>
    </row>
    <row r="126" spans="1:6" x14ac:dyDescent="0.35">
      <c r="A126">
        <v>1975</v>
      </c>
      <c r="B126" s="1">
        <v>45530</v>
      </c>
      <c r="C126" s="2">
        <v>0.16666666666666671</v>
      </c>
      <c r="D126">
        <v>3</v>
      </c>
      <c r="E126">
        <v>12.3</v>
      </c>
      <c r="F126">
        <v>83</v>
      </c>
    </row>
    <row r="127" spans="1:6" x14ac:dyDescent="0.35">
      <c r="A127">
        <v>1975</v>
      </c>
      <c r="B127" s="1">
        <v>45530</v>
      </c>
      <c r="C127" s="2">
        <v>0.20833333333333329</v>
      </c>
      <c r="D127">
        <v>3</v>
      </c>
      <c r="E127">
        <v>12.4</v>
      </c>
      <c r="F127">
        <v>82</v>
      </c>
    </row>
    <row r="128" spans="1:6" x14ac:dyDescent="0.35">
      <c r="A128">
        <v>1975</v>
      </c>
      <c r="B128" s="1">
        <v>45530</v>
      </c>
      <c r="C128" s="2">
        <v>0.25</v>
      </c>
      <c r="D128">
        <v>3</v>
      </c>
      <c r="E128">
        <v>14.2</v>
      </c>
      <c r="F128">
        <v>77</v>
      </c>
    </row>
    <row r="129" spans="1:6" x14ac:dyDescent="0.35">
      <c r="A129">
        <v>1975</v>
      </c>
      <c r="B129" s="1">
        <v>45530</v>
      </c>
      <c r="C129" s="2">
        <v>0.29166666666666669</v>
      </c>
      <c r="D129">
        <v>3</v>
      </c>
      <c r="E129">
        <v>15.9</v>
      </c>
      <c r="F129">
        <v>71</v>
      </c>
    </row>
    <row r="130" spans="1:6" x14ac:dyDescent="0.35">
      <c r="A130">
        <v>1975</v>
      </c>
      <c r="B130" s="1">
        <v>45530</v>
      </c>
      <c r="C130" s="2">
        <v>0.33333333333333331</v>
      </c>
      <c r="D130">
        <v>3</v>
      </c>
      <c r="E130">
        <v>17.899999999999999</v>
      </c>
      <c r="F130">
        <v>61</v>
      </c>
    </row>
    <row r="131" spans="1:6" x14ac:dyDescent="0.35">
      <c r="A131">
        <v>1975</v>
      </c>
      <c r="B131" s="1">
        <v>45530</v>
      </c>
      <c r="C131" s="2">
        <v>0.375</v>
      </c>
      <c r="D131">
        <v>3</v>
      </c>
      <c r="E131">
        <v>18.600000000000001</v>
      </c>
      <c r="F131">
        <v>56</v>
      </c>
    </row>
    <row r="132" spans="1:6" x14ac:dyDescent="0.35">
      <c r="A132">
        <v>1975</v>
      </c>
      <c r="B132" s="1">
        <v>45530</v>
      </c>
      <c r="C132" s="2">
        <v>0.41666666666666669</v>
      </c>
      <c r="D132">
        <v>3</v>
      </c>
      <c r="E132">
        <v>19.8</v>
      </c>
      <c r="F132">
        <v>54</v>
      </c>
    </row>
    <row r="133" spans="1:6" x14ac:dyDescent="0.35">
      <c r="A133">
        <v>1975</v>
      </c>
      <c r="B133" s="1">
        <v>45530</v>
      </c>
      <c r="C133" s="2">
        <v>0.45833333333333331</v>
      </c>
      <c r="D133">
        <v>3</v>
      </c>
      <c r="E133">
        <v>20.3</v>
      </c>
      <c r="F133">
        <v>49</v>
      </c>
    </row>
    <row r="134" spans="1:6" x14ac:dyDescent="0.35">
      <c r="A134">
        <v>1975</v>
      </c>
      <c r="B134" s="1">
        <v>45530</v>
      </c>
      <c r="C134" s="2">
        <v>0.5</v>
      </c>
      <c r="D134">
        <v>3</v>
      </c>
      <c r="E134">
        <v>21.2</v>
      </c>
      <c r="F134">
        <v>51</v>
      </c>
    </row>
    <row r="135" spans="1:6" x14ac:dyDescent="0.35">
      <c r="A135">
        <v>1975</v>
      </c>
      <c r="B135" s="1">
        <v>45530</v>
      </c>
      <c r="C135" s="2">
        <v>0.54166666666666663</v>
      </c>
      <c r="D135">
        <v>3</v>
      </c>
      <c r="E135">
        <v>21.4</v>
      </c>
      <c r="F135">
        <v>50</v>
      </c>
    </row>
    <row r="136" spans="1:6" x14ac:dyDescent="0.35">
      <c r="A136">
        <v>1975</v>
      </c>
      <c r="B136" s="1">
        <v>45530</v>
      </c>
      <c r="C136" s="2">
        <v>0.58333333333333337</v>
      </c>
      <c r="D136">
        <v>3</v>
      </c>
      <c r="E136">
        <v>21.1</v>
      </c>
      <c r="F136">
        <v>51</v>
      </c>
    </row>
    <row r="137" spans="1:6" x14ac:dyDescent="0.35">
      <c r="A137">
        <v>1975</v>
      </c>
      <c r="B137" s="1">
        <v>45530</v>
      </c>
      <c r="C137" s="2">
        <v>0.625</v>
      </c>
      <c r="D137">
        <v>3</v>
      </c>
      <c r="E137">
        <v>21.4</v>
      </c>
      <c r="F137">
        <v>52</v>
      </c>
    </row>
    <row r="138" spans="1:6" x14ac:dyDescent="0.35">
      <c r="A138">
        <v>1975</v>
      </c>
      <c r="B138" s="1">
        <v>45530</v>
      </c>
      <c r="C138" s="2">
        <v>0.66666666666666663</v>
      </c>
      <c r="D138">
        <v>3</v>
      </c>
      <c r="E138">
        <v>21.1</v>
      </c>
      <c r="F138">
        <v>49</v>
      </c>
    </row>
    <row r="139" spans="1:6" x14ac:dyDescent="0.35">
      <c r="A139">
        <v>1975</v>
      </c>
      <c r="B139" s="1">
        <v>45530</v>
      </c>
      <c r="C139" s="2">
        <v>0.70833333333333337</v>
      </c>
      <c r="D139">
        <v>3</v>
      </c>
      <c r="E139">
        <v>20.2</v>
      </c>
      <c r="F139">
        <v>54</v>
      </c>
    </row>
    <row r="140" spans="1:6" x14ac:dyDescent="0.35">
      <c r="A140">
        <v>1975</v>
      </c>
      <c r="B140" s="1">
        <v>45530</v>
      </c>
      <c r="C140" s="2">
        <v>0.75</v>
      </c>
      <c r="D140">
        <v>3</v>
      </c>
      <c r="E140">
        <v>18.7</v>
      </c>
      <c r="F140">
        <v>62</v>
      </c>
    </row>
    <row r="141" spans="1:6" x14ac:dyDescent="0.35">
      <c r="A141">
        <v>1975</v>
      </c>
      <c r="B141" s="1">
        <v>45530</v>
      </c>
      <c r="C141" s="2">
        <v>0.79166666666666663</v>
      </c>
      <c r="D141">
        <v>3</v>
      </c>
      <c r="E141">
        <v>16.899999999999999</v>
      </c>
      <c r="F141">
        <v>72</v>
      </c>
    </row>
    <row r="142" spans="1:6" x14ac:dyDescent="0.35">
      <c r="A142">
        <v>1975</v>
      </c>
      <c r="B142" s="1">
        <v>45530</v>
      </c>
      <c r="C142" s="2">
        <v>0.83333333333333337</v>
      </c>
      <c r="D142">
        <v>3</v>
      </c>
      <c r="E142">
        <v>15.1</v>
      </c>
      <c r="F142">
        <v>84</v>
      </c>
    </row>
    <row r="143" spans="1:6" x14ac:dyDescent="0.35">
      <c r="A143">
        <v>1975</v>
      </c>
      <c r="B143" s="1">
        <v>45530</v>
      </c>
      <c r="C143" s="2">
        <v>0.875</v>
      </c>
      <c r="D143">
        <v>3</v>
      </c>
      <c r="E143">
        <v>13.8</v>
      </c>
      <c r="F143">
        <v>89</v>
      </c>
    </row>
    <row r="144" spans="1:6" x14ac:dyDescent="0.35">
      <c r="A144">
        <v>1975</v>
      </c>
      <c r="B144" s="1">
        <v>45530</v>
      </c>
      <c r="C144" s="2">
        <v>0.91666666666666663</v>
      </c>
      <c r="D144">
        <v>3</v>
      </c>
      <c r="E144">
        <v>13</v>
      </c>
      <c r="F144">
        <v>92</v>
      </c>
    </row>
    <row r="145" spans="1:6" x14ac:dyDescent="0.35">
      <c r="A145">
        <v>1975</v>
      </c>
      <c r="B145" s="1">
        <v>45530</v>
      </c>
      <c r="C145" s="2">
        <v>0.95833333333333337</v>
      </c>
      <c r="D145">
        <v>3</v>
      </c>
      <c r="E145">
        <v>13.3</v>
      </c>
      <c r="F145">
        <v>92</v>
      </c>
    </row>
    <row r="146" spans="1:6" x14ac:dyDescent="0.35">
      <c r="A146">
        <v>1975</v>
      </c>
      <c r="B146" s="1">
        <v>45531</v>
      </c>
      <c r="C146" s="2">
        <v>0</v>
      </c>
      <c r="D146">
        <v>3</v>
      </c>
      <c r="E146">
        <v>12.5</v>
      </c>
      <c r="F146">
        <v>95</v>
      </c>
    </row>
    <row r="147" spans="1:6" x14ac:dyDescent="0.35">
      <c r="A147">
        <v>1975</v>
      </c>
      <c r="B147" s="1">
        <v>45531</v>
      </c>
      <c r="C147" s="2">
        <v>4.1666666666666657E-2</v>
      </c>
      <c r="D147">
        <v>3</v>
      </c>
      <c r="E147">
        <v>13.2</v>
      </c>
      <c r="F147">
        <v>92</v>
      </c>
    </row>
    <row r="148" spans="1:6" x14ac:dyDescent="0.35">
      <c r="A148">
        <v>1975</v>
      </c>
      <c r="B148" s="1">
        <v>45531</v>
      </c>
      <c r="C148" s="2">
        <v>8.3333333333333329E-2</v>
      </c>
      <c r="D148">
        <v>3</v>
      </c>
      <c r="E148">
        <v>12.6</v>
      </c>
      <c r="F148">
        <v>92</v>
      </c>
    </row>
    <row r="149" spans="1:6" x14ac:dyDescent="0.35">
      <c r="A149">
        <v>1975</v>
      </c>
      <c r="B149" s="1">
        <v>45531</v>
      </c>
      <c r="C149" s="2">
        <v>0.125</v>
      </c>
      <c r="D149">
        <v>3</v>
      </c>
      <c r="E149">
        <v>11.9</v>
      </c>
      <c r="F149">
        <v>97</v>
      </c>
    </row>
    <row r="150" spans="1:6" x14ac:dyDescent="0.35">
      <c r="A150">
        <v>1975</v>
      </c>
      <c r="B150" s="1">
        <v>45531</v>
      </c>
      <c r="C150" s="2">
        <v>0.16666666666666671</v>
      </c>
      <c r="D150">
        <v>3</v>
      </c>
      <c r="E150">
        <v>12</v>
      </c>
      <c r="F150">
        <v>94</v>
      </c>
    </row>
    <row r="151" spans="1:6" x14ac:dyDescent="0.35">
      <c r="A151">
        <v>1975</v>
      </c>
      <c r="B151" s="1">
        <v>45531</v>
      </c>
      <c r="C151" s="2">
        <v>0.20833333333333329</v>
      </c>
      <c r="D151">
        <v>3</v>
      </c>
      <c r="E151">
        <v>12.8</v>
      </c>
      <c r="F151">
        <v>90</v>
      </c>
    </row>
    <row r="152" spans="1:6" x14ac:dyDescent="0.35">
      <c r="A152">
        <v>1975</v>
      </c>
      <c r="B152" s="1">
        <v>45531</v>
      </c>
      <c r="C152" s="2">
        <v>0.25</v>
      </c>
      <c r="D152">
        <v>3</v>
      </c>
      <c r="E152">
        <v>14.4</v>
      </c>
      <c r="F152">
        <v>82</v>
      </c>
    </row>
    <row r="153" spans="1:6" x14ac:dyDescent="0.35">
      <c r="A153">
        <v>1975</v>
      </c>
      <c r="B153" s="1">
        <v>45531</v>
      </c>
      <c r="C153" s="2">
        <v>0.29166666666666669</v>
      </c>
      <c r="D153">
        <v>3</v>
      </c>
      <c r="E153">
        <v>17.399999999999999</v>
      </c>
      <c r="F153">
        <v>70</v>
      </c>
    </row>
    <row r="154" spans="1:6" x14ac:dyDescent="0.35">
      <c r="A154">
        <v>1975</v>
      </c>
      <c r="B154" s="1">
        <v>45531</v>
      </c>
      <c r="C154" s="2">
        <v>0.33333333333333331</v>
      </c>
      <c r="D154">
        <v>3</v>
      </c>
      <c r="E154">
        <v>18.8</v>
      </c>
      <c r="F154">
        <v>66</v>
      </c>
    </row>
    <row r="155" spans="1:6" x14ac:dyDescent="0.35">
      <c r="A155">
        <v>1975</v>
      </c>
      <c r="B155" s="1">
        <v>45531</v>
      </c>
      <c r="C155" s="2">
        <v>0.375</v>
      </c>
      <c r="D155">
        <v>3</v>
      </c>
      <c r="E155">
        <v>20.7</v>
      </c>
      <c r="F155">
        <v>60</v>
      </c>
    </row>
    <row r="156" spans="1:6" x14ac:dyDescent="0.35">
      <c r="A156">
        <v>1975</v>
      </c>
      <c r="B156" s="1">
        <v>45531</v>
      </c>
      <c r="C156" s="2">
        <v>0.41666666666666669</v>
      </c>
      <c r="D156">
        <v>3</v>
      </c>
      <c r="E156">
        <v>21.4</v>
      </c>
      <c r="F156">
        <v>55</v>
      </c>
    </row>
    <row r="157" spans="1:6" x14ac:dyDescent="0.35">
      <c r="A157">
        <v>1975</v>
      </c>
      <c r="B157" s="1">
        <v>45531</v>
      </c>
      <c r="C157" s="2">
        <v>0.45833333333333331</v>
      </c>
      <c r="D157">
        <v>3</v>
      </c>
      <c r="E157">
        <v>22.6</v>
      </c>
      <c r="F157">
        <v>53</v>
      </c>
    </row>
    <row r="158" spans="1:6" x14ac:dyDescent="0.35">
      <c r="A158">
        <v>1975</v>
      </c>
      <c r="B158" s="1">
        <v>45531</v>
      </c>
      <c r="C158" s="2">
        <v>0.5</v>
      </c>
      <c r="D158">
        <v>3</v>
      </c>
      <c r="E158">
        <v>23</v>
      </c>
      <c r="F158">
        <v>48</v>
      </c>
    </row>
    <row r="159" spans="1:6" x14ac:dyDescent="0.35">
      <c r="A159">
        <v>1975</v>
      </c>
      <c r="B159" s="1">
        <v>45531</v>
      </c>
      <c r="C159" s="2">
        <v>0.54166666666666663</v>
      </c>
      <c r="D159">
        <v>3</v>
      </c>
      <c r="E159">
        <v>23.9</v>
      </c>
      <c r="F159">
        <v>47</v>
      </c>
    </row>
    <row r="160" spans="1:6" x14ac:dyDescent="0.35">
      <c r="A160">
        <v>1975</v>
      </c>
      <c r="B160" s="1">
        <v>45531</v>
      </c>
      <c r="C160" s="2">
        <v>0.58333333333333337</v>
      </c>
      <c r="D160">
        <v>3</v>
      </c>
      <c r="E160">
        <v>24.3</v>
      </c>
      <c r="F160">
        <v>46</v>
      </c>
    </row>
    <row r="161" spans="1:6" x14ac:dyDescent="0.35">
      <c r="A161">
        <v>1975</v>
      </c>
      <c r="B161" s="1">
        <v>45531</v>
      </c>
      <c r="C161" s="2">
        <v>0.625</v>
      </c>
      <c r="D161">
        <v>3</v>
      </c>
      <c r="E161">
        <v>24.8</v>
      </c>
      <c r="F161">
        <v>44</v>
      </c>
    </row>
    <row r="162" spans="1:6" x14ac:dyDescent="0.35">
      <c r="A162">
        <v>1975</v>
      </c>
      <c r="B162" s="1">
        <v>45531</v>
      </c>
      <c r="C162" s="2">
        <v>0.66666666666666663</v>
      </c>
      <c r="D162">
        <v>3</v>
      </c>
      <c r="E162">
        <v>24.7</v>
      </c>
      <c r="F162">
        <v>42</v>
      </c>
    </row>
    <row r="163" spans="1:6" x14ac:dyDescent="0.35">
      <c r="A163">
        <v>1975</v>
      </c>
      <c r="B163" s="1">
        <v>45531</v>
      </c>
      <c r="C163" s="2">
        <v>0.70833333333333337</v>
      </c>
      <c r="D163">
        <v>3</v>
      </c>
      <c r="E163">
        <v>24.5</v>
      </c>
      <c r="F163">
        <v>43</v>
      </c>
    </row>
    <row r="164" spans="1:6" x14ac:dyDescent="0.35">
      <c r="A164">
        <v>1975</v>
      </c>
      <c r="B164" s="1">
        <v>45531</v>
      </c>
      <c r="C164" s="2">
        <v>0.75</v>
      </c>
      <c r="D164">
        <v>3</v>
      </c>
      <c r="E164">
        <v>22.7</v>
      </c>
      <c r="F164">
        <v>48</v>
      </c>
    </row>
    <row r="165" spans="1:6" x14ac:dyDescent="0.35">
      <c r="A165">
        <v>1975</v>
      </c>
      <c r="B165" s="1">
        <v>45531</v>
      </c>
      <c r="C165" s="2">
        <v>0.79166666666666663</v>
      </c>
      <c r="D165">
        <v>3</v>
      </c>
      <c r="E165">
        <v>18.5</v>
      </c>
      <c r="F165">
        <v>68</v>
      </c>
    </row>
    <row r="166" spans="1:6" x14ac:dyDescent="0.35">
      <c r="A166">
        <v>1975</v>
      </c>
      <c r="B166" s="1">
        <v>45531</v>
      </c>
      <c r="C166" s="2">
        <v>0.83333333333333337</v>
      </c>
      <c r="D166">
        <v>3</v>
      </c>
      <c r="E166">
        <v>17.3</v>
      </c>
      <c r="F166">
        <v>73</v>
      </c>
    </row>
    <row r="167" spans="1:6" x14ac:dyDescent="0.35">
      <c r="A167">
        <v>1975</v>
      </c>
      <c r="B167" s="1">
        <v>45531</v>
      </c>
      <c r="C167" s="2">
        <v>0.875</v>
      </c>
      <c r="D167">
        <v>3</v>
      </c>
      <c r="E167">
        <v>16.600000000000001</v>
      </c>
      <c r="F167">
        <v>76</v>
      </c>
    </row>
    <row r="168" spans="1:6" x14ac:dyDescent="0.35">
      <c r="A168">
        <v>1975</v>
      </c>
      <c r="B168" s="1">
        <v>45531</v>
      </c>
      <c r="C168" s="2">
        <v>0.91666666666666663</v>
      </c>
      <c r="D168">
        <v>3</v>
      </c>
      <c r="E168">
        <v>16.7</v>
      </c>
      <c r="F168">
        <v>73</v>
      </c>
    </row>
    <row r="169" spans="1:6" x14ac:dyDescent="0.35">
      <c r="A169">
        <v>1975</v>
      </c>
      <c r="B169" s="1">
        <v>45531</v>
      </c>
      <c r="C169" s="2">
        <v>0.95833333333333337</v>
      </c>
      <c r="D169">
        <v>3</v>
      </c>
      <c r="E169">
        <v>17.600000000000001</v>
      </c>
      <c r="F169">
        <v>67</v>
      </c>
    </row>
    <row r="170" spans="1:6" x14ac:dyDescent="0.35">
      <c r="A170">
        <v>1975</v>
      </c>
      <c r="B170" s="1">
        <v>45532</v>
      </c>
      <c r="C170" s="2">
        <v>0</v>
      </c>
      <c r="D170">
        <v>3</v>
      </c>
      <c r="E170">
        <v>16.100000000000001</v>
      </c>
      <c r="F170">
        <v>74</v>
      </c>
    </row>
    <row r="171" spans="1:6" x14ac:dyDescent="0.35">
      <c r="A171">
        <v>1975</v>
      </c>
      <c r="B171" s="1">
        <v>45532</v>
      </c>
      <c r="C171" s="2">
        <v>4.1666666666666657E-2</v>
      </c>
      <c r="D171">
        <v>3</v>
      </c>
      <c r="E171">
        <v>13.7</v>
      </c>
      <c r="F171">
        <v>88</v>
      </c>
    </row>
    <row r="172" spans="1:6" x14ac:dyDescent="0.35">
      <c r="A172">
        <v>1975</v>
      </c>
      <c r="B172" s="1">
        <v>45532</v>
      </c>
      <c r="C172" s="2">
        <v>8.3333333333333329E-2</v>
      </c>
      <c r="D172">
        <v>3</v>
      </c>
      <c r="E172">
        <v>13.7</v>
      </c>
      <c r="F172">
        <v>84</v>
      </c>
    </row>
    <row r="173" spans="1:6" x14ac:dyDescent="0.35">
      <c r="A173">
        <v>1975</v>
      </c>
      <c r="B173" s="1">
        <v>45532</v>
      </c>
      <c r="C173" s="2">
        <v>0.125</v>
      </c>
      <c r="D173">
        <v>3</v>
      </c>
      <c r="E173">
        <v>13.9</v>
      </c>
      <c r="F173">
        <v>81</v>
      </c>
    </row>
    <row r="174" spans="1:6" x14ac:dyDescent="0.35">
      <c r="A174">
        <v>1975</v>
      </c>
      <c r="B174" s="1">
        <v>45532</v>
      </c>
      <c r="C174" s="2">
        <v>0.16666666666666671</v>
      </c>
      <c r="D174">
        <v>3</v>
      </c>
      <c r="E174">
        <v>14.7</v>
      </c>
      <c r="F174">
        <v>77</v>
      </c>
    </row>
    <row r="175" spans="1:6" x14ac:dyDescent="0.35">
      <c r="A175">
        <v>1975</v>
      </c>
      <c r="B175" s="1">
        <v>45532</v>
      </c>
      <c r="C175" s="2">
        <v>0.20833333333333329</v>
      </c>
      <c r="D175">
        <v>3</v>
      </c>
      <c r="E175">
        <v>14.9</v>
      </c>
      <c r="F175">
        <v>76</v>
      </c>
    </row>
    <row r="176" spans="1:6" x14ac:dyDescent="0.35">
      <c r="A176">
        <v>1975</v>
      </c>
      <c r="B176" s="1">
        <v>45532</v>
      </c>
      <c r="C176" s="2">
        <v>0.25</v>
      </c>
      <c r="D176">
        <v>3</v>
      </c>
      <c r="E176">
        <v>16.399999999999999</v>
      </c>
      <c r="F176">
        <v>71</v>
      </c>
    </row>
    <row r="177" spans="1:6" x14ac:dyDescent="0.35">
      <c r="A177">
        <v>1975</v>
      </c>
      <c r="B177" s="1">
        <v>45532</v>
      </c>
      <c r="C177" s="2">
        <v>0.29166666666666669</v>
      </c>
      <c r="D177">
        <v>3</v>
      </c>
      <c r="E177">
        <v>18.600000000000001</v>
      </c>
      <c r="F177">
        <v>65</v>
      </c>
    </row>
    <row r="178" spans="1:6" x14ac:dyDescent="0.35">
      <c r="A178">
        <v>1975</v>
      </c>
      <c r="B178" s="1">
        <v>45532</v>
      </c>
      <c r="C178" s="2">
        <v>0.33333333333333331</v>
      </c>
      <c r="D178">
        <v>3</v>
      </c>
      <c r="E178">
        <v>20.8</v>
      </c>
      <c r="F178">
        <v>57</v>
      </c>
    </row>
    <row r="179" spans="1:6" x14ac:dyDescent="0.35">
      <c r="A179">
        <v>1975</v>
      </c>
      <c r="B179" s="1">
        <v>45532</v>
      </c>
      <c r="C179" s="2">
        <v>0.375</v>
      </c>
      <c r="D179">
        <v>3</v>
      </c>
      <c r="E179">
        <v>22.5</v>
      </c>
      <c r="F179">
        <v>56</v>
      </c>
    </row>
    <row r="180" spans="1:6" x14ac:dyDescent="0.35">
      <c r="A180">
        <v>1975</v>
      </c>
      <c r="B180" s="1">
        <v>45532</v>
      </c>
      <c r="C180" s="2">
        <v>0.41666666666666669</v>
      </c>
      <c r="D180">
        <v>3</v>
      </c>
      <c r="E180">
        <v>23.8</v>
      </c>
      <c r="F180">
        <v>55</v>
      </c>
    </row>
    <row r="181" spans="1:6" x14ac:dyDescent="0.35">
      <c r="A181">
        <v>1975</v>
      </c>
      <c r="B181" s="1">
        <v>45532</v>
      </c>
      <c r="C181" s="2">
        <v>0.45833333333333331</v>
      </c>
      <c r="D181">
        <v>3</v>
      </c>
      <c r="E181">
        <v>25.4</v>
      </c>
      <c r="F181">
        <v>54</v>
      </c>
    </row>
    <row r="182" spans="1:6" x14ac:dyDescent="0.35">
      <c r="A182">
        <v>1975</v>
      </c>
      <c r="B182" s="1">
        <v>45532</v>
      </c>
      <c r="C182" s="2">
        <v>0.5</v>
      </c>
      <c r="D182">
        <v>3</v>
      </c>
      <c r="E182">
        <v>26.4</v>
      </c>
      <c r="F182">
        <v>50</v>
      </c>
    </row>
    <row r="183" spans="1:6" x14ac:dyDescent="0.35">
      <c r="A183">
        <v>1975</v>
      </c>
      <c r="B183" s="1">
        <v>45532</v>
      </c>
      <c r="C183" s="2">
        <v>0.54166666666666663</v>
      </c>
      <c r="D183">
        <v>3</v>
      </c>
      <c r="E183">
        <v>27.6</v>
      </c>
      <c r="F183">
        <v>49</v>
      </c>
    </row>
    <row r="184" spans="1:6" x14ac:dyDescent="0.35">
      <c r="A184">
        <v>1975</v>
      </c>
      <c r="B184" s="1">
        <v>45532</v>
      </c>
      <c r="C184" s="2">
        <v>0.58333333333333337</v>
      </c>
      <c r="D184">
        <v>3</v>
      </c>
      <c r="E184">
        <v>28.1</v>
      </c>
      <c r="F184">
        <v>46</v>
      </c>
    </row>
    <row r="185" spans="1:6" x14ac:dyDescent="0.35">
      <c r="A185">
        <v>1975</v>
      </c>
      <c r="B185" s="1">
        <v>45532</v>
      </c>
      <c r="C185" s="2">
        <v>0.625</v>
      </c>
      <c r="D185">
        <v>3</v>
      </c>
      <c r="E185">
        <v>28</v>
      </c>
      <c r="F185">
        <v>46</v>
      </c>
    </row>
    <row r="186" spans="1:6" x14ac:dyDescent="0.35">
      <c r="A186">
        <v>1975</v>
      </c>
      <c r="B186" s="1">
        <v>45532</v>
      </c>
      <c r="C186" s="2">
        <v>0.66666666666666663</v>
      </c>
      <c r="D186">
        <v>3</v>
      </c>
      <c r="E186">
        <v>28.3</v>
      </c>
      <c r="F186">
        <v>48</v>
      </c>
    </row>
    <row r="187" spans="1:6" x14ac:dyDescent="0.35">
      <c r="A187">
        <v>1975</v>
      </c>
      <c r="B187" s="1">
        <v>45532</v>
      </c>
      <c r="C187" s="2">
        <v>0.70833333333333337</v>
      </c>
      <c r="D187">
        <v>3</v>
      </c>
      <c r="E187">
        <v>27.4</v>
      </c>
      <c r="F187">
        <v>49</v>
      </c>
    </row>
    <row r="188" spans="1:6" x14ac:dyDescent="0.35">
      <c r="A188">
        <v>1975</v>
      </c>
      <c r="B188" s="1">
        <v>45532</v>
      </c>
      <c r="C188" s="2">
        <v>0.75</v>
      </c>
      <c r="D188">
        <v>3</v>
      </c>
      <c r="E188">
        <v>26.3</v>
      </c>
      <c r="F188">
        <v>52</v>
      </c>
    </row>
    <row r="189" spans="1:6" x14ac:dyDescent="0.35">
      <c r="A189">
        <v>1975</v>
      </c>
      <c r="B189" s="1">
        <v>45532</v>
      </c>
      <c r="C189" s="2">
        <v>0.79166666666666663</v>
      </c>
      <c r="D189">
        <v>3</v>
      </c>
      <c r="E189">
        <v>24.2</v>
      </c>
      <c r="F189">
        <v>60</v>
      </c>
    </row>
    <row r="190" spans="1:6" x14ac:dyDescent="0.35">
      <c r="A190">
        <v>1975</v>
      </c>
      <c r="B190" s="1">
        <v>45532</v>
      </c>
      <c r="C190" s="2">
        <v>0.83333333333333337</v>
      </c>
      <c r="D190">
        <v>3</v>
      </c>
      <c r="E190">
        <v>20.6</v>
      </c>
      <c r="F190">
        <v>73</v>
      </c>
    </row>
    <row r="191" spans="1:6" x14ac:dyDescent="0.35">
      <c r="A191">
        <v>1975</v>
      </c>
      <c r="B191" s="1">
        <v>45532</v>
      </c>
      <c r="C191" s="2">
        <v>0.875</v>
      </c>
      <c r="D191">
        <v>3</v>
      </c>
      <c r="E191">
        <v>20.9</v>
      </c>
      <c r="F191">
        <v>75</v>
      </c>
    </row>
    <row r="192" spans="1:6" x14ac:dyDescent="0.35">
      <c r="A192">
        <v>1975</v>
      </c>
      <c r="B192" s="1">
        <v>45532</v>
      </c>
      <c r="C192" s="2">
        <v>0.91666666666666663</v>
      </c>
      <c r="D192">
        <v>3</v>
      </c>
      <c r="E192">
        <v>21</v>
      </c>
      <c r="F192">
        <v>73</v>
      </c>
    </row>
    <row r="193" spans="1:6" x14ac:dyDescent="0.35">
      <c r="A193">
        <v>1975</v>
      </c>
      <c r="B193" s="1">
        <v>45532</v>
      </c>
      <c r="C193" s="2">
        <v>0.95833333333333337</v>
      </c>
      <c r="D193">
        <v>3</v>
      </c>
      <c r="E193">
        <v>21</v>
      </c>
      <c r="F193">
        <v>74</v>
      </c>
    </row>
    <row r="194" spans="1:6" x14ac:dyDescent="0.35">
      <c r="A194">
        <v>1975</v>
      </c>
      <c r="B194" s="1">
        <v>45533</v>
      </c>
      <c r="C194" s="2">
        <v>0</v>
      </c>
      <c r="D194">
        <v>3</v>
      </c>
      <c r="E194">
        <v>19.7</v>
      </c>
      <c r="F194">
        <v>81</v>
      </c>
    </row>
    <row r="195" spans="1:6" x14ac:dyDescent="0.35">
      <c r="A195">
        <v>1975</v>
      </c>
      <c r="B195" s="1">
        <v>45533</v>
      </c>
      <c r="C195" s="2">
        <v>4.1666666666666657E-2</v>
      </c>
      <c r="D195">
        <v>3</v>
      </c>
      <c r="E195">
        <v>18.399999999999999</v>
      </c>
      <c r="F195">
        <v>88</v>
      </c>
    </row>
    <row r="196" spans="1:6" x14ac:dyDescent="0.35">
      <c r="A196">
        <v>1975</v>
      </c>
      <c r="B196" s="1">
        <v>45533</v>
      </c>
      <c r="C196" s="2">
        <v>8.3333333333333329E-2</v>
      </c>
      <c r="D196">
        <v>3</v>
      </c>
      <c r="E196">
        <v>17.899999999999999</v>
      </c>
      <c r="F196">
        <v>91</v>
      </c>
    </row>
    <row r="197" spans="1:6" x14ac:dyDescent="0.35">
      <c r="A197">
        <v>1975</v>
      </c>
      <c r="B197" s="1">
        <v>45533</v>
      </c>
      <c r="C197" s="2">
        <v>0.125</v>
      </c>
      <c r="D197">
        <v>3</v>
      </c>
      <c r="E197">
        <v>19.3</v>
      </c>
      <c r="F197">
        <v>85</v>
      </c>
    </row>
    <row r="198" spans="1:6" x14ac:dyDescent="0.35">
      <c r="A198">
        <v>1975</v>
      </c>
      <c r="B198" s="1">
        <v>45533</v>
      </c>
      <c r="C198" s="2">
        <v>0.16666666666666671</v>
      </c>
      <c r="D198">
        <v>3</v>
      </c>
      <c r="E198">
        <v>19</v>
      </c>
      <c r="F198">
        <v>86</v>
      </c>
    </row>
    <row r="199" spans="1:6" x14ac:dyDescent="0.35">
      <c r="A199">
        <v>1975</v>
      </c>
      <c r="B199" s="1">
        <v>45533</v>
      </c>
      <c r="C199" s="2">
        <v>0.20833333333333329</v>
      </c>
      <c r="D199">
        <v>3</v>
      </c>
      <c r="E199">
        <v>18.7</v>
      </c>
      <c r="F199">
        <v>87</v>
      </c>
    </row>
    <row r="200" spans="1:6" x14ac:dyDescent="0.35">
      <c r="A200">
        <v>1975</v>
      </c>
      <c r="B200" s="1">
        <v>45533</v>
      </c>
      <c r="C200" s="2">
        <v>0.25</v>
      </c>
      <c r="D200">
        <v>3</v>
      </c>
      <c r="E200">
        <v>20.2</v>
      </c>
      <c r="F200">
        <v>81</v>
      </c>
    </row>
    <row r="201" spans="1:6" x14ac:dyDescent="0.35">
      <c r="A201">
        <v>1975</v>
      </c>
      <c r="B201" s="1">
        <v>45533</v>
      </c>
      <c r="C201" s="2">
        <v>0.29166666666666669</v>
      </c>
      <c r="D201">
        <v>3</v>
      </c>
      <c r="E201">
        <v>22.1</v>
      </c>
      <c r="F201">
        <v>73</v>
      </c>
    </row>
    <row r="202" spans="1:6" x14ac:dyDescent="0.35">
      <c r="A202">
        <v>1975</v>
      </c>
      <c r="B202" s="1">
        <v>45533</v>
      </c>
      <c r="C202" s="2">
        <v>0.33333333333333331</v>
      </c>
      <c r="D202">
        <v>3</v>
      </c>
      <c r="E202">
        <v>24.9</v>
      </c>
      <c r="F202">
        <v>65</v>
      </c>
    </row>
    <row r="203" spans="1:6" x14ac:dyDescent="0.35">
      <c r="A203">
        <v>1975</v>
      </c>
      <c r="B203" s="1">
        <v>45533</v>
      </c>
      <c r="C203" s="2">
        <v>0.375</v>
      </c>
      <c r="D203">
        <v>3</v>
      </c>
      <c r="E203">
        <v>26.7</v>
      </c>
      <c r="F203">
        <v>59</v>
      </c>
    </row>
    <row r="204" spans="1:6" x14ac:dyDescent="0.35">
      <c r="A204">
        <v>1975</v>
      </c>
      <c r="B204" s="1">
        <v>45533</v>
      </c>
      <c r="C204" s="2">
        <v>0.41666666666666669</v>
      </c>
      <c r="D204">
        <v>3</v>
      </c>
      <c r="E204">
        <v>28.3</v>
      </c>
      <c r="F204">
        <v>53</v>
      </c>
    </row>
    <row r="205" spans="1:6" x14ac:dyDescent="0.35">
      <c r="A205">
        <v>1975</v>
      </c>
      <c r="B205" s="1">
        <v>45533</v>
      </c>
      <c r="C205" s="2">
        <v>0.45833333333333331</v>
      </c>
      <c r="D205">
        <v>3</v>
      </c>
      <c r="E205">
        <v>28.7</v>
      </c>
      <c r="F205">
        <v>53</v>
      </c>
    </row>
    <row r="206" spans="1:6" x14ac:dyDescent="0.35">
      <c r="A206">
        <v>1975</v>
      </c>
      <c r="B206" s="1">
        <v>45533</v>
      </c>
      <c r="C206" s="2">
        <v>0.5</v>
      </c>
      <c r="D206">
        <v>3</v>
      </c>
      <c r="E206">
        <v>30.1</v>
      </c>
      <c r="F206">
        <v>48</v>
      </c>
    </row>
    <row r="207" spans="1:6" x14ac:dyDescent="0.35">
      <c r="A207">
        <v>1975</v>
      </c>
      <c r="B207" s="1">
        <v>45533</v>
      </c>
      <c r="C207" s="2">
        <v>0.54166666666666663</v>
      </c>
      <c r="D207">
        <v>3</v>
      </c>
      <c r="E207">
        <v>30.6</v>
      </c>
      <c r="F207">
        <v>45</v>
      </c>
    </row>
    <row r="208" spans="1:6" x14ac:dyDescent="0.35">
      <c r="A208">
        <v>1975</v>
      </c>
      <c r="B208" s="1">
        <v>45533</v>
      </c>
      <c r="C208" s="2">
        <v>0.58333333333333337</v>
      </c>
      <c r="D208">
        <v>3</v>
      </c>
      <c r="E208">
        <v>30.8</v>
      </c>
      <c r="F208">
        <v>43</v>
      </c>
    </row>
    <row r="209" spans="1:6" x14ac:dyDescent="0.35">
      <c r="A209">
        <v>1975</v>
      </c>
      <c r="B209" s="1">
        <v>45533</v>
      </c>
      <c r="C209" s="2">
        <v>0.625</v>
      </c>
      <c r="D209">
        <v>3</v>
      </c>
      <c r="E209">
        <v>29.9</v>
      </c>
      <c r="F209">
        <v>46</v>
      </c>
    </row>
    <row r="210" spans="1:6" x14ac:dyDescent="0.35">
      <c r="A210">
        <v>1975</v>
      </c>
      <c r="B210" s="1">
        <v>45533</v>
      </c>
      <c r="C210" s="2">
        <v>0.66666666666666663</v>
      </c>
      <c r="D210">
        <v>3</v>
      </c>
      <c r="E210">
        <v>29.6</v>
      </c>
      <c r="F210">
        <v>49</v>
      </c>
    </row>
    <row r="211" spans="1:6" x14ac:dyDescent="0.35">
      <c r="A211">
        <v>1975</v>
      </c>
      <c r="B211" s="1">
        <v>45533</v>
      </c>
      <c r="C211" s="2">
        <v>0.70833333333333337</v>
      </c>
      <c r="D211">
        <v>3</v>
      </c>
      <c r="E211">
        <v>27</v>
      </c>
      <c r="F211">
        <v>62</v>
      </c>
    </row>
    <row r="212" spans="1:6" x14ac:dyDescent="0.35">
      <c r="A212">
        <v>1975</v>
      </c>
      <c r="B212" s="1">
        <v>45533</v>
      </c>
      <c r="C212" s="2">
        <v>0.75</v>
      </c>
      <c r="D212">
        <v>3</v>
      </c>
      <c r="E212">
        <v>24.4</v>
      </c>
      <c r="F212">
        <v>63</v>
      </c>
    </row>
    <row r="213" spans="1:6" x14ac:dyDescent="0.35">
      <c r="A213">
        <v>1975</v>
      </c>
      <c r="B213" s="1">
        <v>45533</v>
      </c>
      <c r="C213" s="2">
        <v>0.79166666666666663</v>
      </c>
      <c r="D213">
        <v>3</v>
      </c>
      <c r="E213">
        <v>22.8</v>
      </c>
      <c r="F213">
        <v>65</v>
      </c>
    </row>
    <row r="214" spans="1:6" x14ac:dyDescent="0.35">
      <c r="A214">
        <v>1975</v>
      </c>
      <c r="B214" s="1">
        <v>45533</v>
      </c>
      <c r="C214" s="2">
        <v>0.83333333333333337</v>
      </c>
      <c r="D214">
        <v>3</v>
      </c>
      <c r="E214">
        <v>21.1</v>
      </c>
      <c r="F214">
        <v>79</v>
      </c>
    </row>
    <row r="215" spans="1:6" x14ac:dyDescent="0.35">
      <c r="A215">
        <v>1975</v>
      </c>
      <c r="B215" s="1">
        <v>45533</v>
      </c>
      <c r="C215" s="2">
        <v>0.875</v>
      </c>
      <c r="D215">
        <v>3</v>
      </c>
      <c r="E215">
        <v>20</v>
      </c>
      <c r="F215">
        <v>90</v>
      </c>
    </row>
    <row r="216" spans="1:6" x14ac:dyDescent="0.35">
      <c r="A216">
        <v>1975</v>
      </c>
      <c r="B216" s="1">
        <v>45533</v>
      </c>
      <c r="C216" s="2">
        <v>0.91666666666666663</v>
      </c>
      <c r="D216">
        <v>3</v>
      </c>
      <c r="E216">
        <v>19.600000000000001</v>
      </c>
      <c r="F216">
        <v>90</v>
      </c>
    </row>
    <row r="217" spans="1:6" x14ac:dyDescent="0.35">
      <c r="A217">
        <v>1975</v>
      </c>
      <c r="B217" s="1">
        <v>45533</v>
      </c>
      <c r="C217" s="2">
        <v>0.95833333333333337</v>
      </c>
      <c r="D217">
        <v>3</v>
      </c>
      <c r="E217">
        <v>18.2</v>
      </c>
      <c r="F217">
        <v>91</v>
      </c>
    </row>
    <row r="218" spans="1:6" x14ac:dyDescent="0.35">
      <c r="A218">
        <v>1975</v>
      </c>
      <c r="B218" s="1">
        <v>45534</v>
      </c>
      <c r="C218" s="2">
        <v>0</v>
      </c>
      <c r="D218">
        <v>3</v>
      </c>
      <c r="E218">
        <v>17.5</v>
      </c>
      <c r="F218">
        <v>94</v>
      </c>
    </row>
    <row r="219" spans="1:6" x14ac:dyDescent="0.35">
      <c r="A219">
        <v>1975</v>
      </c>
      <c r="B219" s="1">
        <v>45534</v>
      </c>
      <c r="C219" s="2">
        <v>4.1666666666666657E-2</v>
      </c>
      <c r="D219">
        <v>3</v>
      </c>
      <c r="E219">
        <v>17</v>
      </c>
      <c r="F219">
        <v>95</v>
      </c>
    </row>
    <row r="220" spans="1:6" x14ac:dyDescent="0.35">
      <c r="A220">
        <v>1975</v>
      </c>
      <c r="B220" s="1">
        <v>45534</v>
      </c>
      <c r="C220" s="2">
        <v>8.3333333333333329E-2</v>
      </c>
      <c r="D220">
        <v>3</v>
      </c>
      <c r="E220">
        <v>16.600000000000001</v>
      </c>
      <c r="F220">
        <v>96</v>
      </c>
    </row>
    <row r="221" spans="1:6" x14ac:dyDescent="0.35">
      <c r="A221">
        <v>1975</v>
      </c>
      <c r="B221" s="1">
        <v>45534</v>
      </c>
      <c r="C221" s="2">
        <v>0.125</v>
      </c>
      <c r="D221">
        <v>3</v>
      </c>
      <c r="E221">
        <v>16.100000000000001</v>
      </c>
      <c r="F221">
        <v>96</v>
      </c>
    </row>
    <row r="222" spans="1:6" x14ac:dyDescent="0.35">
      <c r="A222">
        <v>1975</v>
      </c>
      <c r="B222" s="1">
        <v>45534</v>
      </c>
      <c r="C222" s="2">
        <v>0.16666666666666671</v>
      </c>
      <c r="D222">
        <v>3</v>
      </c>
      <c r="E222">
        <v>15.9</v>
      </c>
      <c r="F222">
        <v>96</v>
      </c>
    </row>
    <row r="223" spans="1:6" x14ac:dyDescent="0.35">
      <c r="A223">
        <v>1975</v>
      </c>
      <c r="B223" s="1">
        <v>45534</v>
      </c>
      <c r="C223" s="2">
        <v>0.20833333333333329</v>
      </c>
      <c r="D223">
        <v>3</v>
      </c>
      <c r="E223">
        <v>15.9</v>
      </c>
      <c r="F223">
        <v>97</v>
      </c>
    </row>
    <row r="224" spans="1:6" x14ac:dyDescent="0.35">
      <c r="A224">
        <v>1975</v>
      </c>
      <c r="B224" s="1">
        <v>45534</v>
      </c>
      <c r="C224" s="2">
        <v>0.25</v>
      </c>
      <c r="D224">
        <v>3</v>
      </c>
      <c r="E224">
        <v>15.9</v>
      </c>
      <c r="F224">
        <v>98</v>
      </c>
    </row>
    <row r="225" spans="1:6" x14ac:dyDescent="0.35">
      <c r="A225">
        <v>1975</v>
      </c>
      <c r="B225" s="1">
        <v>45534</v>
      </c>
      <c r="C225" s="2">
        <v>0.29166666666666669</v>
      </c>
      <c r="D225">
        <v>3</v>
      </c>
      <c r="E225">
        <v>16.100000000000001</v>
      </c>
      <c r="F225">
        <v>98</v>
      </c>
    </row>
    <row r="226" spans="1:6" x14ac:dyDescent="0.35">
      <c r="A226">
        <v>1975</v>
      </c>
      <c r="B226" s="1">
        <v>45534</v>
      </c>
      <c r="C226" s="2">
        <v>0.33333333333333331</v>
      </c>
      <c r="D226">
        <v>3</v>
      </c>
      <c r="E226">
        <v>17.3</v>
      </c>
      <c r="F226">
        <v>88</v>
      </c>
    </row>
    <row r="227" spans="1:6" x14ac:dyDescent="0.35">
      <c r="A227">
        <v>1975</v>
      </c>
      <c r="B227" s="1">
        <v>45534</v>
      </c>
      <c r="C227" s="2">
        <v>0.375</v>
      </c>
      <c r="D227">
        <v>3</v>
      </c>
      <c r="E227">
        <v>17.600000000000001</v>
      </c>
      <c r="F227">
        <v>82</v>
      </c>
    </row>
    <row r="228" spans="1:6" x14ac:dyDescent="0.35">
      <c r="A228">
        <v>1975</v>
      </c>
      <c r="B228" s="1">
        <v>45534</v>
      </c>
      <c r="C228" s="2">
        <v>0.41666666666666669</v>
      </c>
      <c r="D228">
        <v>3</v>
      </c>
      <c r="E228">
        <v>17.899999999999999</v>
      </c>
      <c r="F228">
        <v>75</v>
      </c>
    </row>
    <row r="229" spans="1:6" x14ac:dyDescent="0.35">
      <c r="A229">
        <v>1975</v>
      </c>
      <c r="B229" s="1">
        <v>45534</v>
      </c>
      <c r="C229" s="2">
        <v>0.45833333333333331</v>
      </c>
      <c r="D229">
        <v>3</v>
      </c>
      <c r="E229">
        <v>18.100000000000001</v>
      </c>
      <c r="F229">
        <v>68</v>
      </c>
    </row>
    <row r="230" spans="1:6" x14ac:dyDescent="0.35">
      <c r="A230">
        <v>1975</v>
      </c>
      <c r="B230" s="1">
        <v>45534</v>
      </c>
      <c r="C230" s="2">
        <v>0.5</v>
      </c>
      <c r="D230">
        <v>3</v>
      </c>
      <c r="E230">
        <v>18</v>
      </c>
      <c r="F230">
        <v>70</v>
      </c>
    </row>
    <row r="231" spans="1:6" x14ac:dyDescent="0.35">
      <c r="A231">
        <v>1975</v>
      </c>
      <c r="B231" s="1">
        <v>45534</v>
      </c>
      <c r="C231" s="2">
        <v>0.54166666666666663</v>
      </c>
      <c r="D231">
        <v>3</v>
      </c>
      <c r="E231">
        <v>17.8</v>
      </c>
      <c r="F231">
        <v>77</v>
      </c>
    </row>
    <row r="232" spans="1:6" x14ac:dyDescent="0.35">
      <c r="A232">
        <v>1975</v>
      </c>
      <c r="B232" s="1">
        <v>45534</v>
      </c>
      <c r="C232" s="2">
        <v>0.58333333333333337</v>
      </c>
      <c r="D232">
        <v>3</v>
      </c>
      <c r="E232">
        <v>18.5</v>
      </c>
      <c r="F232">
        <v>75</v>
      </c>
    </row>
    <row r="233" spans="1:6" x14ac:dyDescent="0.35">
      <c r="A233">
        <v>1975</v>
      </c>
      <c r="B233" s="1">
        <v>45534</v>
      </c>
      <c r="C233" s="2">
        <v>0.625</v>
      </c>
      <c r="D233">
        <v>3</v>
      </c>
      <c r="E233">
        <v>19.399999999999999</v>
      </c>
      <c r="F233">
        <v>66</v>
      </c>
    </row>
    <row r="234" spans="1:6" x14ac:dyDescent="0.35">
      <c r="A234">
        <v>1975</v>
      </c>
      <c r="B234" s="1">
        <v>45534</v>
      </c>
      <c r="C234" s="2">
        <v>0.66666666666666663</v>
      </c>
      <c r="D234">
        <v>3</v>
      </c>
      <c r="E234">
        <v>19.7</v>
      </c>
      <c r="F234">
        <v>68</v>
      </c>
    </row>
    <row r="235" spans="1:6" x14ac:dyDescent="0.35">
      <c r="A235">
        <v>1975</v>
      </c>
      <c r="B235" s="1">
        <v>45534</v>
      </c>
      <c r="C235" s="2">
        <v>0.70833333333333337</v>
      </c>
      <c r="D235">
        <v>3</v>
      </c>
      <c r="E235">
        <v>19.3</v>
      </c>
      <c r="F235">
        <v>67</v>
      </c>
    </row>
    <row r="236" spans="1:6" x14ac:dyDescent="0.35">
      <c r="A236">
        <v>1975</v>
      </c>
      <c r="B236" s="1">
        <v>45534</v>
      </c>
      <c r="C236" s="2">
        <v>0.75</v>
      </c>
      <c r="D236">
        <v>3</v>
      </c>
      <c r="E236">
        <v>18</v>
      </c>
      <c r="F236">
        <v>70</v>
      </c>
    </row>
    <row r="237" spans="1:6" x14ac:dyDescent="0.35">
      <c r="A237">
        <v>1975</v>
      </c>
      <c r="B237" s="1">
        <v>45534</v>
      </c>
      <c r="C237" s="2">
        <v>0.79166666666666663</v>
      </c>
      <c r="D237">
        <v>3</v>
      </c>
      <c r="E237">
        <v>14.7</v>
      </c>
      <c r="F237">
        <v>89</v>
      </c>
    </row>
    <row r="238" spans="1:6" x14ac:dyDescent="0.35">
      <c r="A238">
        <v>1975</v>
      </c>
      <c r="B238" s="1">
        <v>45534</v>
      </c>
      <c r="C238" s="2">
        <v>0.83333333333333337</v>
      </c>
      <c r="D238">
        <v>3</v>
      </c>
      <c r="E238">
        <v>13.9</v>
      </c>
      <c r="F238">
        <v>88</v>
      </c>
    </row>
    <row r="239" spans="1:6" x14ac:dyDescent="0.35">
      <c r="A239">
        <v>1975</v>
      </c>
      <c r="B239" s="1">
        <v>45534</v>
      </c>
      <c r="C239" s="2">
        <v>0.875</v>
      </c>
      <c r="D239">
        <v>3</v>
      </c>
      <c r="E239">
        <v>14.2</v>
      </c>
      <c r="F239">
        <v>83</v>
      </c>
    </row>
    <row r="240" spans="1:6" x14ac:dyDescent="0.35">
      <c r="A240">
        <v>1975</v>
      </c>
      <c r="B240" s="1">
        <v>45534</v>
      </c>
      <c r="C240" s="2">
        <v>0.91666666666666663</v>
      </c>
      <c r="D240">
        <v>3</v>
      </c>
      <c r="E240">
        <v>12.4</v>
      </c>
      <c r="F240">
        <v>96</v>
      </c>
    </row>
    <row r="241" spans="1:6" x14ac:dyDescent="0.35">
      <c r="A241">
        <v>1975</v>
      </c>
      <c r="B241" s="1">
        <v>45534</v>
      </c>
      <c r="C241" s="2">
        <v>0.95833333333333337</v>
      </c>
      <c r="D241">
        <v>3</v>
      </c>
      <c r="E241">
        <v>11.2</v>
      </c>
      <c r="F241">
        <v>98</v>
      </c>
    </row>
    <row r="242" spans="1:6" x14ac:dyDescent="0.35">
      <c r="A242">
        <v>1975</v>
      </c>
      <c r="B242" s="1">
        <v>45535</v>
      </c>
      <c r="C242" s="2">
        <v>0</v>
      </c>
      <c r="D242">
        <v>3</v>
      </c>
      <c r="E242">
        <v>10.3</v>
      </c>
      <c r="F242">
        <v>99</v>
      </c>
    </row>
    <row r="243" spans="1:6" x14ac:dyDescent="0.35">
      <c r="A243">
        <v>1975</v>
      </c>
      <c r="B243" s="1">
        <v>45535</v>
      </c>
      <c r="C243" s="2">
        <v>4.1666666666666657E-2</v>
      </c>
      <c r="D243">
        <v>3</v>
      </c>
      <c r="E243">
        <v>10.6</v>
      </c>
      <c r="F243">
        <v>100</v>
      </c>
    </row>
    <row r="244" spans="1:6" x14ac:dyDescent="0.35">
      <c r="A244">
        <v>1975</v>
      </c>
      <c r="B244" s="1">
        <v>45535</v>
      </c>
      <c r="C244" s="2">
        <v>8.3333333333333329E-2</v>
      </c>
      <c r="D244">
        <v>3</v>
      </c>
      <c r="E244">
        <v>9.6999999999999993</v>
      </c>
      <c r="F244">
        <v>99</v>
      </c>
    </row>
    <row r="245" spans="1:6" x14ac:dyDescent="0.35">
      <c r="A245">
        <v>1975</v>
      </c>
      <c r="B245" s="1">
        <v>45535</v>
      </c>
      <c r="C245" s="2">
        <v>0.125</v>
      </c>
      <c r="D245">
        <v>3</v>
      </c>
      <c r="E245">
        <v>8.9</v>
      </c>
      <c r="F245">
        <v>99</v>
      </c>
    </row>
    <row r="246" spans="1:6" x14ac:dyDescent="0.35">
      <c r="A246">
        <v>1975</v>
      </c>
      <c r="B246" s="1">
        <v>45535</v>
      </c>
      <c r="C246" s="2">
        <v>0.16666666666666671</v>
      </c>
      <c r="D246">
        <v>3</v>
      </c>
      <c r="E246">
        <v>8.4</v>
      </c>
      <c r="F246">
        <v>100</v>
      </c>
    </row>
    <row r="247" spans="1:6" x14ac:dyDescent="0.35">
      <c r="A247">
        <v>1975</v>
      </c>
      <c r="B247" s="1">
        <v>45535</v>
      </c>
      <c r="C247" s="2">
        <v>0.20833333333333329</v>
      </c>
      <c r="D247">
        <v>3</v>
      </c>
      <c r="E247">
        <v>9</v>
      </c>
      <c r="F247">
        <v>100</v>
      </c>
    </row>
    <row r="248" spans="1:6" x14ac:dyDescent="0.35">
      <c r="A248">
        <v>1975</v>
      </c>
      <c r="B248" s="1">
        <v>45535</v>
      </c>
      <c r="C248" s="2">
        <v>0.25</v>
      </c>
      <c r="D248">
        <v>3</v>
      </c>
      <c r="E248">
        <v>10.9</v>
      </c>
      <c r="F248">
        <v>93</v>
      </c>
    </row>
    <row r="249" spans="1:6" x14ac:dyDescent="0.35">
      <c r="A249">
        <v>1975</v>
      </c>
      <c r="B249" s="1">
        <v>45535</v>
      </c>
      <c r="C249" s="2">
        <v>0.29166666666666669</v>
      </c>
      <c r="D249">
        <v>3</v>
      </c>
      <c r="E249">
        <v>14.6</v>
      </c>
      <c r="F249">
        <v>80</v>
      </c>
    </row>
    <row r="250" spans="1:6" x14ac:dyDescent="0.35">
      <c r="A250">
        <v>1975</v>
      </c>
      <c r="B250" s="1">
        <v>45535</v>
      </c>
      <c r="C250" s="2">
        <v>0.33333333333333331</v>
      </c>
      <c r="D250">
        <v>3</v>
      </c>
      <c r="E250">
        <v>16.3</v>
      </c>
      <c r="F250">
        <v>73</v>
      </c>
    </row>
    <row r="251" spans="1:6" x14ac:dyDescent="0.35">
      <c r="A251">
        <v>1975</v>
      </c>
      <c r="B251" s="1">
        <v>45535</v>
      </c>
      <c r="C251" s="2">
        <v>0.375</v>
      </c>
      <c r="D251">
        <v>3</v>
      </c>
      <c r="E251">
        <v>17.399999999999999</v>
      </c>
      <c r="F251">
        <v>64</v>
      </c>
    </row>
    <row r="252" spans="1:6" x14ac:dyDescent="0.35">
      <c r="A252">
        <v>1975</v>
      </c>
      <c r="B252" s="1">
        <v>45535</v>
      </c>
      <c r="C252" s="2">
        <v>0.41666666666666669</v>
      </c>
      <c r="D252">
        <v>3</v>
      </c>
      <c r="E252">
        <v>18.8</v>
      </c>
      <c r="F252">
        <v>61</v>
      </c>
    </row>
    <row r="253" spans="1:6" x14ac:dyDescent="0.35">
      <c r="A253">
        <v>1975</v>
      </c>
      <c r="B253" s="1">
        <v>45535</v>
      </c>
      <c r="C253" s="2">
        <v>0.45833333333333331</v>
      </c>
      <c r="D253">
        <v>3</v>
      </c>
      <c r="E253">
        <v>18.899999999999999</v>
      </c>
      <c r="F253">
        <v>56</v>
      </c>
    </row>
    <row r="254" spans="1:6" x14ac:dyDescent="0.35">
      <c r="A254">
        <v>1975</v>
      </c>
      <c r="B254" s="1">
        <v>45535</v>
      </c>
      <c r="C254" s="2">
        <v>0.5</v>
      </c>
      <c r="D254">
        <v>3</v>
      </c>
      <c r="E254">
        <v>19.899999999999999</v>
      </c>
      <c r="F254">
        <v>52</v>
      </c>
    </row>
    <row r="255" spans="1:6" x14ac:dyDescent="0.35">
      <c r="A255">
        <v>1975</v>
      </c>
      <c r="B255" s="1">
        <v>45535</v>
      </c>
      <c r="C255" s="2">
        <v>0.54166666666666663</v>
      </c>
      <c r="D255">
        <v>3</v>
      </c>
      <c r="E255">
        <v>20.5</v>
      </c>
      <c r="F255">
        <v>52</v>
      </c>
    </row>
    <row r="256" spans="1:6" x14ac:dyDescent="0.35">
      <c r="A256">
        <v>1975</v>
      </c>
      <c r="B256" s="1">
        <v>45535</v>
      </c>
      <c r="C256" s="2">
        <v>0.58333333333333337</v>
      </c>
      <c r="D256">
        <v>3</v>
      </c>
      <c r="E256">
        <v>21.4</v>
      </c>
      <c r="F256">
        <v>48</v>
      </c>
    </row>
    <row r="257" spans="1:6" x14ac:dyDescent="0.35">
      <c r="A257">
        <v>1975</v>
      </c>
      <c r="B257" s="1">
        <v>45535</v>
      </c>
      <c r="C257" s="2">
        <v>0.625</v>
      </c>
      <c r="D257">
        <v>3</v>
      </c>
      <c r="E257">
        <v>21.4</v>
      </c>
      <c r="F257">
        <v>45</v>
      </c>
    </row>
    <row r="258" spans="1:6" x14ac:dyDescent="0.35">
      <c r="A258">
        <v>1975</v>
      </c>
      <c r="B258" s="1">
        <v>45535</v>
      </c>
      <c r="C258" s="2">
        <v>0.66666666666666663</v>
      </c>
      <c r="D258">
        <v>3</v>
      </c>
      <c r="E258">
        <v>19.899999999999999</v>
      </c>
      <c r="F258">
        <v>54</v>
      </c>
    </row>
    <row r="259" spans="1:6" x14ac:dyDescent="0.35">
      <c r="A259">
        <v>1975</v>
      </c>
      <c r="B259" s="1">
        <v>45535</v>
      </c>
      <c r="C259" s="2">
        <v>0.70833333333333337</v>
      </c>
      <c r="D259">
        <v>3</v>
      </c>
      <c r="E259">
        <v>20</v>
      </c>
      <c r="F259">
        <v>55</v>
      </c>
    </row>
    <row r="260" spans="1:6" x14ac:dyDescent="0.35">
      <c r="A260">
        <v>1975</v>
      </c>
      <c r="B260" s="1">
        <v>45535</v>
      </c>
      <c r="C260" s="2">
        <v>0.75</v>
      </c>
      <c r="D260">
        <v>3</v>
      </c>
      <c r="E260">
        <v>18.100000000000001</v>
      </c>
      <c r="F260">
        <v>62</v>
      </c>
    </row>
    <row r="261" spans="1:6" x14ac:dyDescent="0.35">
      <c r="A261">
        <v>1975</v>
      </c>
      <c r="B261" s="1">
        <v>45535</v>
      </c>
      <c r="C261" s="2">
        <v>0.79166666666666663</v>
      </c>
      <c r="D261">
        <v>3</v>
      </c>
      <c r="E261">
        <v>16.5</v>
      </c>
      <c r="F261">
        <v>67</v>
      </c>
    </row>
    <row r="262" spans="1:6" x14ac:dyDescent="0.35">
      <c r="A262">
        <v>1975</v>
      </c>
      <c r="B262" s="1">
        <v>45535</v>
      </c>
      <c r="C262" s="2">
        <v>0.83333333333333337</v>
      </c>
      <c r="D262">
        <v>3</v>
      </c>
      <c r="E262">
        <v>14.7</v>
      </c>
      <c r="F262">
        <v>70</v>
      </c>
    </row>
    <row r="263" spans="1:6" x14ac:dyDescent="0.35">
      <c r="A263">
        <v>1975</v>
      </c>
      <c r="B263" s="1">
        <v>45535</v>
      </c>
      <c r="C263" s="2">
        <v>0.875</v>
      </c>
      <c r="D263">
        <v>3</v>
      </c>
      <c r="E263">
        <v>14.2</v>
      </c>
      <c r="F263">
        <v>76</v>
      </c>
    </row>
    <row r="264" spans="1:6" x14ac:dyDescent="0.35">
      <c r="A264">
        <v>1975</v>
      </c>
      <c r="B264" s="1">
        <v>45535</v>
      </c>
      <c r="C264" s="2">
        <v>0.91666666666666663</v>
      </c>
      <c r="D264">
        <v>3</v>
      </c>
      <c r="E264">
        <v>13.4</v>
      </c>
      <c r="F264">
        <v>83</v>
      </c>
    </row>
    <row r="265" spans="1:6" x14ac:dyDescent="0.35">
      <c r="A265">
        <v>1975</v>
      </c>
      <c r="B265" s="1">
        <v>45535</v>
      </c>
      <c r="C265" s="2">
        <v>0.95833333333333337</v>
      </c>
      <c r="D265">
        <v>3</v>
      </c>
      <c r="E265">
        <v>12.8</v>
      </c>
      <c r="F265">
        <v>87</v>
      </c>
    </row>
    <row r="266" spans="1:6" x14ac:dyDescent="0.35">
      <c r="A266">
        <v>1975</v>
      </c>
      <c r="B266" s="1">
        <v>45536</v>
      </c>
      <c r="C266" s="2">
        <v>0</v>
      </c>
      <c r="D266">
        <v>3</v>
      </c>
      <c r="E266">
        <v>12.5</v>
      </c>
      <c r="F266">
        <v>88</v>
      </c>
    </row>
    <row r="267" spans="1:6" x14ac:dyDescent="0.35">
      <c r="A267">
        <v>1975</v>
      </c>
      <c r="B267" s="1">
        <v>45536</v>
      </c>
      <c r="C267" s="2">
        <v>4.1666666666666657E-2</v>
      </c>
      <c r="D267">
        <v>3</v>
      </c>
      <c r="E267">
        <v>12</v>
      </c>
      <c r="F267">
        <v>88</v>
      </c>
    </row>
    <row r="268" spans="1:6" x14ac:dyDescent="0.35">
      <c r="A268">
        <v>1975</v>
      </c>
      <c r="B268" s="1">
        <v>45536</v>
      </c>
      <c r="C268" s="2">
        <v>8.3333333333333329E-2</v>
      </c>
      <c r="D268">
        <v>3</v>
      </c>
      <c r="E268">
        <v>11.7</v>
      </c>
      <c r="F268">
        <v>90</v>
      </c>
    </row>
    <row r="269" spans="1:6" x14ac:dyDescent="0.35">
      <c r="A269">
        <v>1975</v>
      </c>
      <c r="B269" s="1">
        <v>45536</v>
      </c>
      <c r="C269" s="2">
        <v>0.125</v>
      </c>
      <c r="D269">
        <v>3</v>
      </c>
      <c r="E269">
        <v>11.6</v>
      </c>
      <c r="F269">
        <v>90</v>
      </c>
    </row>
    <row r="270" spans="1:6" x14ac:dyDescent="0.35">
      <c r="A270">
        <v>1975</v>
      </c>
      <c r="B270" s="1">
        <v>45536</v>
      </c>
      <c r="C270" s="2">
        <v>0.16666666666666671</v>
      </c>
      <c r="D270">
        <v>3</v>
      </c>
      <c r="E270">
        <v>11</v>
      </c>
      <c r="F270">
        <v>91</v>
      </c>
    </row>
    <row r="271" spans="1:6" x14ac:dyDescent="0.35">
      <c r="A271">
        <v>1975</v>
      </c>
      <c r="B271" s="1">
        <v>45536</v>
      </c>
      <c r="C271" s="2">
        <v>0.20833333333333329</v>
      </c>
      <c r="D271">
        <v>3</v>
      </c>
      <c r="E271">
        <v>11.4</v>
      </c>
      <c r="F271">
        <v>89</v>
      </c>
    </row>
    <row r="272" spans="1:6" x14ac:dyDescent="0.35">
      <c r="A272">
        <v>1975</v>
      </c>
      <c r="B272" s="1">
        <v>45536</v>
      </c>
      <c r="C272" s="2">
        <v>0.25</v>
      </c>
      <c r="D272">
        <v>3</v>
      </c>
      <c r="E272">
        <v>13.3</v>
      </c>
      <c r="F272">
        <v>82</v>
      </c>
    </row>
    <row r="273" spans="1:6" x14ac:dyDescent="0.35">
      <c r="A273">
        <v>1975</v>
      </c>
      <c r="B273" s="1">
        <v>45536</v>
      </c>
      <c r="C273" s="2">
        <v>0.29166666666666669</v>
      </c>
      <c r="D273">
        <v>3</v>
      </c>
      <c r="E273">
        <v>15.6</v>
      </c>
      <c r="F273">
        <v>77</v>
      </c>
    </row>
    <row r="274" spans="1:6" x14ac:dyDescent="0.35">
      <c r="A274">
        <v>1975</v>
      </c>
      <c r="B274" s="1">
        <v>45536</v>
      </c>
      <c r="C274" s="2">
        <v>0.33333333333333331</v>
      </c>
      <c r="D274">
        <v>3</v>
      </c>
      <c r="E274">
        <v>17.3</v>
      </c>
      <c r="F274">
        <v>72</v>
      </c>
    </row>
    <row r="275" spans="1:6" x14ac:dyDescent="0.35">
      <c r="A275">
        <v>1975</v>
      </c>
      <c r="B275" s="1">
        <v>45536</v>
      </c>
      <c r="C275" s="2">
        <v>0.375</v>
      </c>
      <c r="D275">
        <v>3</v>
      </c>
      <c r="E275">
        <v>19.2</v>
      </c>
      <c r="F275">
        <v>63</v>
      </c>
    </row>
    <row r="276" spans="1:6" x14ac:dyDescent="0.35">
      <c r="A276">
        <v>1975</v>
      </c>
      <c r="B276" s="1">
        <v>45536</v>
      </c>
      <c r="C276" s="2">
        <v>0.41666666666666669</v>
      </c>
      <c r="D276">
        <v>3</v>
      </c>
      <c r="E276">
        <v>20.3</v>
      </c>
      <c r="F276">
        <v>60</v>
      </c>
    </row>
    <row r="277" spans="1:6" x14ac:dyDescent="0.35">
      <c r="A277">
        <v>1975</v>
      </c>
      <c r="B277" s="1">
        <v>45536</v>
      </c>
      <c r="C277" s="2">
        <v>0.45833333333333331</v>
      </c>
      <c r="D277">
        <v>3</v>
      </c>
      <c r="E277">
        <v>21.7</v>
      </c>
      <c r="F277">
        <v>51</v>
      </c>
    </row>
    <row r="278" spans="1:6" x14ac:dyDescent="0.35">
      <c r="A278">
        <v>1975</v>
      </c>
      <c r="B278" s="1">
        <v>45536</v>
      </c>
      <c r="C278" s="2">
        <v>0.5</v>
      </c>
      <c r="D278">
        <v>3</v>
      </c>
      <c r="E278">
        <v>22.2</v>
      </c>
      <c r="F278">
        <v>46</v>
      </c>
    </row>
    <row r="279" spans="1:6" x14ac:dyDescent="0.35">
      <c r="A279">
        <v>1975</v>
      </c>
      <c r="B279" s="1">
        <v>45536</v>
      </c>
      <c r="C279" s="2">
        <v>0.54166666666666663</v>
      </c>
      <c r="D279">
        <v>3</v>
      </c>
      <c r="E279">
        <v>22.9</v>
      </c>
      <c r="F279">
        <v>47</v>
      </c>
    </row>
    <row r="280" spans="1:6" x14ac:dyDescent="0.35">
      <c r="A280">
        <v>1975</v>
      </c>
      <c r="B280" s="1">
        <v>45536</v>
      </c>
      <c r="C280" s="2">
        <v>0.58333333333333337</v>
      </c>
      <c r="D280">
        <v>3</v>
      </c>
      <c r="E280">
        <v>23.5</v>
      </c>
      <c r="F280">
        <v>48</v>
      </c>
    </row>
    <row r="281" spans="1:6" x14ac:dyDescent="0.35">
      <c r="A281">
        <v>1975</v>
      </c>
      <c r="B281" s="1">
        <v>45536</v>
      </c>
      <c r="C281" s="2">
        <v>0.625</v>
      </c>
      <c r="D281">
        <v>3</v>
      </c>
      <c r="E281">
        <v>23.2</v>
      </c>
      <c r="F281">
        <v>47</v>
      </c>
    </row>
    <row r="282" spans="1:6" x14ac:dyDescent="0.35">
      <c r="A282">
        <v>1975</v>
      </c>
      <c r="B282" s="1">
        <v>45536</v>
      </c>
      <c r="C282" s="2">
        <v>0.66666666666666663</v>
      </c>
      <c r="D282">
        <v>3</v>
      </c>
      <c r="E282">
        <v>22.6</v>
      </c>
      <c r="F282">
        <v>49</v>
      </c>
    </row>
    <row r="283" spans="1:6" x14ac:dyDescent="0.35">
      <c r="A283">
        <v>1975</v>
      </c>
      <c r="B283" s="1">
        <v>45536</v>
      </c>
      <c r="C283" s="2">
        <v>0.70833333333333337</v>
      </c>
      <c r="D283">
        <v>3</v>
      </c>
      <c r="E283">
        <v>20.5</v>
      </c>
      <c r="F283">
        <v>65</v>
      </c>
    </row>
    <row r="284" spans="1:6" x14ac:dyDescent="0.35">
      <c r="A284">
        <v>1975</v>
      </c>
      <c r="B284" s="1">
        <v>45536</v>
      </c>
      <c r="C284" s="2">
        <v>0.75</v>
      </c>
      <c r="D284">
        <v>3</v>
      </c>
      <c r="E284">
        <v>19</v>
      </c>
      <c r="F284">
        <v>70</v>
      </c>
    </row>
    <row r="285" spans="1:6" x14ac:dyDescent="0.35">
      <c r="A285">
        <v>1975</v>
      </c>
      <c r="B285" s="1">
        <v>45536</v>
      </c>
      <c r="C285" s="2">
        <v>0.79166666666666663</v>
      </c>
      <c r="D285">
        <v>3</v>
      </c>
      <c r="E285">
        <v>17.8</v>
      </c>
      <c r="F285">
        <v>79</v>
      </c>
    </row>
    <row r="286" spans="1:6" x14ac:dyDescent="0.35">
      <c r="A286">
        <v>1975</v>
      </c>
      <c r="B286" s="1">
        <v>45536</v>
      </c>
      <c r="C286" s="2">
        <v>0.83333333333333337</v>
      </c>
      <c r="D286">
        <v>3</v>
      </c>
      <c r="E286">
        <v>16.600000000000001</v>
      </c>
      <c r="F286">
        <v>86</v>
      </c>
    </row>
    <row r="287" spans="1:6" x14ac:dyDescent="0.35">
      <c r="A287">
        <v>1975</v>
      </c>
      <c r="B287" s="1">
        <v>45536</v>
      </c>
      <c r="C287" s="2">
        <v>0.875</v>
      </c>
      <c r="D287">
        <v>3</v>
      </c>
      <c r="E287">
        <v>15.7</v>
      </c>
      <c r="F287">
        <v>86</v>
      </c>
    </row>
    <row r="288" spans="1:6" x14ac:dyDescent="0.35">
      <c r="A288">
        <v>1975</v>
      </c>
      <c r="B288" s="1">
        <v>45536</v>
      </c>
      <c r="C288" s="2">
        <v>0.91666666666666663</v>
      </c>
      <c r="D288">
        <v>3</v>
      </c>
      <c r="E288">
        <v>15.5</v>
      </c>
      <c r="F288">
        <v>77</v>
      </c>
    </row>
    <row r="289" spans="1:6" x14ac:dyDescent="0.35">
      <c r="A289">
        <v>1975</v>
      </c>
      <c r="B289" s="1">
        <v>45536</v>
      </c>
      <c r="C289" s="2">
        <v>0.95833333333333337</v>
      </c>
      <c r="D289">
        <v>3</v>
      </c>
      <c r="E289">
        <v>14.8</v>
      </c>
      <c r="F289">
        <v>81</v>
      </c>
    </row>
    <row r="290" spans="1:6" x14ac:dyDescent="0.35">
      <c r="A290">
        <v>1975</v>
      </c>
      <c r="B290" s="1">
        <v>45537</v>
      </c>
      <c r="C290" s="2">
        <v>0</v>
      </c>
      <c r="D290">
        <v>3</v>
      </c>
      <c r="E290">
        <v>14.1</v>
      </c>
      <c r="F290">
        <v>85</v>
      </c>
    </row>
    <row r="291" spans="1:6" x14ac:dyDescent="0.35">
      <c r="A291">
        <v>1975</v>
      </c>
      <c r="B291" s="1">
        <v>45537</v>
      </c>
      <c r="C291" s="2">
        <v>4.1666666666666657E-2</v>
      </c>
      <c r="D291">
        <v>3</v>
      </c>
      <c r="E291">
        <v>13.3</v>
      </c>
      <c r="F291">
        <v>89</v>
      </c>
    </row>
    <row r="292" spans="1:6" x14ac:dyDescent="0.35">
      <c r="A292">
        <v>1975</v>
      </c>
      <c r="B292" s="1">
        <v>45537</v>
      </c>
      <c r="C292" s="2">
        <v>8.3333333333333329E-2</v>
      </c>
      <c r="D292">
        <v>3</v>
      </c>
      <c r="E292">
        <v>12.3</v>
      </c>
      <c r="F292">
        <v>94</v>
      </c>
    </row>
    <row r="293" spans="1:6" x14ac:dyDescent="0.35">
      <c r="A293">
        <v>1975</v>
      </c>
      <c r="B293" s="1">
        <v>45537</v>
      </c>
      <c r="C293" s="2">
        <v>0.125</v>
      </c>
      <c r="D293">
        <v>3</v>
      </c>
      <c r="E293">
        <v>12.1</v>
      </c>
      <c r="F293">
        <v>95</v>
      </c>
    </row>
    <row r="294" spans="1:6" x14ac:dyDescent="0.35">
      <c r="A294">
        <v>1975</v>
      </c>
      <c r="B294" s="1">
        <v>45537</v>
      </c>
      <c r="C294" s="2">
        <v>0.16666666666666671</v>
      </c>
      <c r="D294">
        <v>3</v>
      </c>
      <c r="E294">
        <v>12.1</v>
      </c>
      <c r="F294">
        <v>96</v>
      </c>
    </row>
    <row r="295" spans="1:6" x14ac:dyDescent="0.35">
      <c r="A295">
        <v>1975</v>
      </c>
      <c r="B295" s="1">
        <v>45537</v>
      </c>
      <c r="C295" s="2">
        <v>0.20833333333333329</v>
      </c>
      <c r="D295">
        <v>3</v>
      </c>
      <c r="E295">
        <v>12.5</v>
      </c>
      <c r="F295">
        <v>95</v>
      </c>
    </row>
    <row r="296" spans="1:6" x14ac:dyDescent="0.35">
      <c r="A296">
        <v>1975</v>
      </c>
      <c r="B296" s="1">
        <v>45537</v>
      </c>
      <c r="C296" s="2">
        <v>0.25</v>
      </c>
      <c r="D296">
        <v>3</v>
      </c>
      <c r="E296">
        <v>14.7</v>
      </c>
      <c r="F296">
        <v>87</v>
      </c>
    </row>
    <row r="297" spans="1:6" x14ac:dyDescent="0.35">
      <c r="A297">
        <v>1975</v>
      </c>
      <c r="B297" s="1">
        <v>45537</v>
      </c>
      <c r="C297" s="2">
        <v>0.29166666666666669</v>
      </c>
      <c r="D297">
        <v>3</v>
      </c>
      <c r="E297">
        <v>16.5</v>
      </c>
      <c r="F297">
        <v>79</v>
      </c>
    </row>
    <row r="298" spans="1:6" x14ac:dyDescent="0.35">
      <c r="A298">
        <v>1975</v>
      </c>
      <c r="B298" s="1">
        <v>45537</v>
      </c>
      <c r="C298" s="2">
        <v>0.33333333333333331</v>
      </c>
      <c r="D298">
        <v>3</v>
      </c>
      <c r="E298">
        <v>19</v>
      </c>
      <c r="F298">
        <v>68</v>
      </c>
    </row>
    <row r="299" spans="1:6" x14ac:dyDescent="0.35">
      <c r="A299">
        <v>1975</v>
      </c>
      <c r="B299" s="1">
        <v>45537</v>
      </c>
      <c r="C299" s="2">
        <v>0.375</v>
      </c>
      <c r="D299">
        <v>3</v>
      </c>
      <c r="E299">
        <v>21.3</v>
      </c>
      <c r="F299">
        <v>59</v>
      </c>
    </row>
    <row r="300" spans="1:6" x14ac:dyDescent="0.35">
      <c r="A300">
        <v>1975</v>
      </c>
      <c r="B300" s="1">
        <v>45537</v>
      </c>
      <c r="C300" s="2">
        <v>0.41666666666666669</v>
      </c>
      <c r="D300">
        <v>3</v>
      </c>
      <c r="E300">
        <v>21.7</v>
      </c>
      <c r="F300">
        <v>52</v>
      </c>
    </row>
    <row r="301" spans="1:6" x14ac:dyDescent="0.35">
      <c r="A301">
        <v>1975</v>
      </c>
      <c r="B301" s="1">
        <v>45537</v>
      </c>
      <c r="C301" s="2">
        <v>0.45833333333333331</v>
      </c>
      <c r="D301">
        <v>3</v>
      </c>
      <c r="E301">
        <v>22.7</v>
      </c>
      <c r="F301">
        <v>44</v>
      </c>
    </row>
    <row r="302" spans="1:6" x14ac:dyDescent="0.35">
      <c r="A302">
        <v>1975</v>
      </c>
      <c r="B302" s="1">
        <v>45537</v>
      </c>
      <c r="C302" s="2">
        <v>0.5</v>
      </c>
      <c r="D302">
        <v>3</v>
      </c>
      <c r="E302">
        <v>23.7</v>
      </c>
      <c r="F302">
        <v>46</v>
      </c>
    </row>
    <row r="303" spans="1:6" x14ac:dyDescent="0.35">
      <c r="A303">
        <v>1975</v>
      </c>
      <c r="B303" s="1">
        <v>45537</v>
      </c>
      <c r="C303" s="2">
        <v>0.54166666666666663</v>
      </c>
      <c r="D303">
        <v>3</v>
      </c>
      <c r="E303">
        <v>24.4</v>
      </c>
      <c r="F303">
        <v>42</v>
      </c>
    </row>
    <row r="304" spans="1:6" x14ac:dyDescent="0.35">
      <c r="A304">
        <v>1975</v>
      </c>
      <c r="B304" s="1">
        <v>45537</v>
      </c>
      <c r="C304" s="2">
        <v>0.58333333333333337</v>
      </c>
      <c r="D304">
        <v>3</v>
      </c>
      <c r="E304">
        <v>25</v>
      </c>
      <c r="F304">
        <v>38</v>
      </c>
    </row>
    <row r="305" spans="1:6" x14ac:dyDescent="0.35">
      <c r="A305">
        <v>1975</v>
      </c>
      <c r="B305" s="1">
        <v>45537</v>
      </c>
      <c r="C305" s="2">
        <v>0.625</v>
      </c>
      <c r="D305">
        <v>3</v>
      </c>
      <c r="E305">
        <v>24.8</v>
      </c>
      <c r="F305">
        <v>39</v>
      </c>
    </row>
    <row r="306" spans="1:6" x14ac:dyDescent="0.35">
      <c r="A306">
        <v>1975</v>
      </c>
      <c r="B306" s="1">
        <v>45537</v>
      </c>
      <c r="C306" s="2">
        <v>0.66666666666666663</v>
      </c>
      <c r="D306">
        <v>3</v>
      </c>
      <c r="E306">
        <v>24.7</v>
      </c>
      <c r="F306">
        <v>40</v>
      </c>
    </row>
    <row r="307" spans="1:6" x14ac:dyDescent="0.35">
      <c r="A307">
        <v>1975</v>
      </c>
      <c r="B307" s="1">
        <v>45537</v>
      </c>
      <c r="C307" s="2">
        <v>0.70833333333333337</v>
      </c>
      <c r="D307">
        <v>3</v>
      </c>
      <c r="E307">
        <v>23.7</v>
      </c>
      <c r="F307">
        <v>43</v>
      </c>
    </row>
    <row r="308" spans="1:6" x14ac:dyDescent="0.35">
      <c r="A308">
        <v>1975</v>
      </c>
      <c r="B308" s="1">
        <v>45537</v>
      </c>
      <c r="C308" s="2">
        <v>0.75</v>
      </c>
      <c r="D308">
        <v>3</v>
      </c>
      <c r="E308">
        <v>22.5</v>
      </c>
      <c r="F308">
        <v>48</v>
      </c>
    </row>
    <row r="309" spans="1:6" x14ac:dyDescent="0.35">
      <c r="A309">
        <v>1975</v>
      </c>
      <c r="B309" s="1">
        <v>45537</v>
      </c>
      <c r="C309" s="2">
        <v>0.79166666666666663</v>
      </c>
      <c r="D309">
        <v>3</v>
      </c>
      <c r="E309">
        <v>21</v>
      </c>
      <c r="F309">
        <v>54</v>
      </c>
    </row>
    <row r="310" spans="1:6" x14ac:dyDescent="0.35">
      <c r="A310">
        <v>1975</v>
      </c>
      <c r="B310" s="1">
        <v>45537</v>
      </c>
      <c r="C310" s="2">
        <v>0.83333333333333337</v>
      </c>
      <c r="D310">
        <v>3</v>
      </c>
      <c r="E310">
        <v>21</v>
      </c>
      <c r="F310">
        <v>53</v>
      </c>
    </row>
    <row r="311" spans="1:6" x14ac:dyDescent="0.35">
      <c r="A311">
        <v>1975</v>
      </c>
      <c r="B311" s="1">
        <v>45537</v>
      </c>
      <c r="C311" s="2">
        <v>0.875</v>
      </c>
      <c r="D311">
        <v>3</v>
      </c>
      <c r="E311">
        <v>19.8</v>
      </c>
      <c r="F311">
        <v>56</v>
      </c>
    </row>
    <row r="312" spans="1:6" x14ac:dyDescent="0.35">
      <c r="A312">
        <v>1975</v>
      </c>
      <c r="B312" s="1">
        <v>45537</v>
      </c>
      <c r="C312" s="2">
        <v>0.91666666666666663</v>
      </c>
      <c r="D312">
        <v>3</v>
      </c>
      <c r="E312">
        <v>18</v>
      </c>
      <c r="F312">
        <v>63</v>
      </c>
    </row>
    <row r="313" spans="1:6" x14ac:dyDescent="0.35">
      <c r="A313">
        <v>1975</v>
      </c>
      <c r="B313" s="1">
        <v>45537</v>
      </c>
      <c r="C313" s="2">
        <v>0.95833333333333337</v>
      </c>
      <c r="D313">
        <v>3</v>
      </c>
      <c r="E313">
        <v>17.7</v>
      </c>
      <c r="F313">
        <v>64</v>
      </c>
    </row>
    <row r="314" spans="1:6" x14ac:dyDescent="0.35">
      <c r="A314">
        <v>1975</v>
      </c>
      <c r="B314" s="1">
        <v>45538</v>
      </c>
      <c r="C314" s="2">
        <v>0</v>
      </c>
      <c r="D314">
        <v>3</v>
      </c>
      <c r="E314">
        <v>17.399999999999999</v>
      </c>
      <c r="F314">
        <v>64</v>
      </c>
    </row>
    <row r="315" spans="1:6" x14ac:dyDescent="0.35">
      <c r="A315">
        <v>1975</v>
      </c>
      <c r="B315" s="1">
        <v>45538</v>
      </c>
      <c r="C315" s="2">
        <v>4.1666666666666657E-2</v>
      </c>
      <c r="D315">
        <v>3</v>
      </c>
      <c r="E315">
        <v>17</v>
      </c>
      <c r="F315">
        <v>66</v>
      </c>
    </row>
    <row r="316" spans="1:6" x14ac:dyDescent="0.35">
      <c r="A316">
        <v>1975</v>
      </c>
      <c r="B316" s="1">
        <v>45538</v>
      </c>
      <c r="C316" s="2">
        <v>8.3333333333333329E-2</v>
      </c>
      <c r="D316">
        <v>3</v>
      </c>
      <c r="E316">
        <v>16.100000000000001</v>
      </c>
      <c r="F316">
        <v>69</v>
      </c>
    </row>
    <row r="317" spans="1:6" x14ac:dyDescent="0.35">
      <c r="A317">
        <v>1975</v>
      </c>
      <c r="B317" s="1">
        <v>45538</v>
      </c>
      <c r="C317" s="2">
        <v>0.125</v>
      </c>
      <c r="D317">
        <v>3</v>
      </c>
      <c r="E317">
        <v>16.2</v>
      </c>
      <c r="F317">
        <v>70</v>
      </c>
    </row>
    <row r="318" spans="1:6" x14ac:dyDescent="0.35">
      <c r="A318">
        <v>1975</v>
      </c>
      <c r="B318" s="1">
        <v>45538</v>
      </c>
      <c r="C318" s="2">
        <v>0.16666666666666671</v>
      </c>
      <c r="D318">
        <v>3</v>
      </c>
      <c r="E318">
        <v>16.600000000000001</v>
      </c>
      <c r="F318">
        <v>71</v>
      </c>
    </row>
    <row r="319" spans="1:6" x14ac:dyDescent="0.35">
      <c r="A319">
        <v>1975</v>
      </c>
      <c r="B319" s="1">
        <v>45538</v>
      </c>
      <c r="C319" s="2">
        <v>0.20833333333333329</v>
      </c>
      <c r="D319">
        <v>3</v>
      </c>
      <c r="E319">
        <v>16.7</v>
      </c>
      <c r="F319">
        <v>74</v>
      </c>
    </row>
    <row r="320" spans="1:6" x14ac:dyDescent="0.35">
      <c r="A320">
        <v>1975</v>
      </c>
      <c r="B320" s="1">
        <v>45538</v>
      </c>
      <c r="C320" s="2">
        <v>0.25</v>
      </c>
      <c r="D320">
        <v>3</v>
      </c>
      <c r="E320">
        <v>17.899999999999999</v>
      </c>
      <c r="F320">
        <v>72</v>
      </c>
    </row>
    <row r="321" spans="1:6" x14ac:dyDescent="0.35">
      <c r="A321">
        <v>1975</v>
      </c>
      <c r="B321" s="1">
        <v>45538</v>
      </c>
      <c r="C321" s="2">
        <v>0.29166666666666669</v>
      </c>
      <c r="D321">
        <v>3</v>
      </c>
      <c r="E321">
        <v>19.5</v>
      </c>
      <c r="F321">
        <v>72</v>
      </c>
    </row>
    <row r="322" spans="1:6" x14ac:dyDescent="0.35">
      <c r="A322">
        <v>1975</v>
      </c>
      <c r="B322" s="1">
        <v>45538</v>
      </c>
      <c r="C322" s="2">
        <v>0.33333333333333331</v>
      </c>
      <c r="D322">
        <v>3</v>
      </c>
      <c r="E322">
        <v>21.5</v>
      </c>
      <c r="F322">
        <v>67</v>
      </c>
    </row>
    <row r="323" spans="1:6" x14ac:dyDescent="0.35">
      <c r="A323">
        <v>1975</v>
      </c>
      <c r="B323" s="1">
        <v>45538</v>
      </c>
      <c r="C323" s="2">
        <v>0.375</v>
      </c>
      <c r="D323">
        <v>3</v>
      </c>
      <c r="E323">
        <v>23.5</v>
      </c>
      <c r="F323">
        <v>64</v>
      </c>
    </row>
    <row r="324" spans="1:6" x14ac:dyDescent="0.35">
      <c r="A324">
        <v>1975</v>
      </c>
      <c r="B324" s="1">
        <v>45538</v>
      </c>
      <c r="C324" s="2">
        <v>0.41666666666666669</v>
      </c>
      <c r="D324">
        <v>3</v>
      </c>
      <c r="E324">
        <v>25.8</v>
      </c>
      <c r="F324">
        <v>61</v>
      </c>
    </row>
    <row r="325" spans="1:6" x14ac:dyDescent="0.35">
      <c r="A325">
        <v>1975</v>
      </c>
      <c r="B325" s="1">
        <v>45538</v>
      </c>
      <c r="C325" s="2">
        <v>0.45833333333333331</v>
      </c>
      <c r="D325">
        <v>3</v>
      </c>
      <c r="E325">
        <v>26.4</v>
      </c>
      <c r="F325">
        <v>60</v>
      </c>
    </row>
    <row r="326" spans="1:6" x14ac:dyDescent="0.35">
      <c r="A326">
        <v>1975</v>
      </c>
      <c r="B326" s="1">
        <v>45538</v>
      </c>
      <c r="C326" s="2">
        <v>0.5</v>
      </c>
      <c r="D326">
        <v>3</v>
      </c>
      <c r="E326">
        <v>27.2</v>
      </c>
      <c r="F326">
        <v>59</v>
      </c>
    </row>
    <row r="327" spans="1:6" x14ac:dyDescent="0.35">
      <c r="A327">
        <v>1975</v>
      </c>
      <c r="B327" s="1">
        <v>45538</v>
      </c>
      <c r="C327" s="2">
        <v>0.54166666666666663</v>
      </c>
      <c r="D327">
        <v>3</v>
      </c>
      <c r="E327">
        <v>27.5</v>
      </c>
      <c r="F327">
        <v>58</v>
      </c>
    </row>
    <row r="328" spans="1:6" x14ac:dyDescent="0.35">
      <c r="A328">
        <v>1975</v>
      </c>
      <c r="B328" s="1">
        <v>45538</v>
      </c>
      <c r="C328" s="2">
        <v>0.58333333333333337</v>
      </c>
      <c r="D328">
        <v>3</v>
      </c>
      <c r="E328">
        <v>28.4</v>
      </c>
      <c r="F328">
        <v>56</v>
      </c>
    </row>
    <row r="329" spans="1:6" x14ac:dyDescent="0.35">
      <c r="A329">
        <v>1975</v>
      </c>
      <c r="B329" s="1">
        <v>45538</v>
      </c>
      <c r="C329" s="2">
        <v>0.625</v>
      </c>
      <c r="D329">
        <v>3</v>
      </c>
      <c r="E329">
        <v>28.1</v>
      </c>
      <c r="F329">
        <v>60</v>
      </c>
    </row>
    <row r="330" spans="1:6" x14ac:dyDescent="0.35">
      <c r="A330">
        <v>1975</v>
      </c>
      <c r="B330" s="1">
        <v>45538</v>
      </c>
      <c r="C330" s="2">
        <v>0.66666666666666663</v>
      </c>
      <c r="D330">
        <v>3</v>
      </c>
      <c r="E330">
        <v>28</v>
      </c>
      <c r="F330">
        <v>58</v>
      </c>
    </row>
    <row r="331" spans="1:6" x14ac:dyDescent="0.35">
      <c r="A331">
        <v>1975</v>
      </c>
      <c r="B331" s="1">
        <v>45538</v>
      </c>
      <c r="C331" s="2">
        <v>0.70833333333333337</v>
      </c>
      <c r="D331">
        <v>3</v>
      </c>
      <c r="E331">
        <v>26.9</v>
      </c>
      <c r="F331">
        <v>65</v>
      </c>
    </row>
    <row r="332" spans="1:6" x14ac:dyDescent="0.35">
      <c r="A332">
        <v>1975</v>
      </c>
      <c r="B332" s="1">
        <v>45538</v>
      </c>
      <c r="C332" s="2">
        <v>0.75</v>
      </c>
      <c r="D332">
        <v>3</v>
      </c>
      <c r="E332">
        <v>24.3</v>
      </c>
      <c r="F332">
        <v>75</v>
      </c>
    </row>
    <row r="333" spans="1:6" x14ac:dyDescent="0.35">
      <c r="A333">
        <v>1975</v>
      </c>
      <c r="B333" s="1">
        <v>45538</v>
      </c>
      <c r="C333" s="2">
        <v>0.79166666666666663</v>
      </c>
      <c r="D333">
        <v>3</v>
      </c>
      <c r="E333">
        <v>21.6</v>
      </c>
      <c r="F333">
        <v>88</v>
      </c>
    </row>
    <row r="334" spans="1:6" x14ac:dyDescent="0.35">
      <c r="A334">
        <v>1975</v>
      </c>
      <c r="B334" s="1">
        <v>45538</v>
      </c>
      <c r="C334" s="2">
        <v>0.83333333333333337</v>
      </c>
      <c r="D334">
        <v>3</v>
      </c>
      <c r="E334">
        <v>22.5</v>
      </c>
      <c r="F334">
        <v>85</v>
      </c>
    </row>
    <row r="335" spans="1:6" x14ac:dyDescent="0.35">
      <c r="A335">
        <v>1975</v>
      </c>
      <c r="B335" s="1">
        <v>45538</v>
      </c>
      <c r="C335" s="2">
        <v>0.875</v>
      </c>
      <c r="D335">
        <v>3</v>
      </c>
      <c r="E335">
        <v>20.2</v>
      </c>
      <c r="F335">
        <v>96</v>
      </c>
    </row>
    <row r="336" spans="1:6" x14ac:dyDescent="0.35">
      <c r="A336">
        <v>1975</v>
      </c>
      <c r="B336" s="1">
        <v>45538</v>
      </c>
      <c r="C336" s="2">
        <v>0.91666666666666663</v>
      </c>
      <c r="D336">
        <v>3</v>
      </c>
      <c r="E336">
        <v>19.3</v>
      </c>
      <c r="F336">
        <v>98</v>
      </c>
    </row>
    <row r="337" spans="1:6" x14ac:dyDescent="0.35">
      <c r="A337">
        <v>1975</v>
      </c>
      <c r="B337" s="1">
        <v>45538</v>
      </c>
      <c r="C337" s="2">
        <v>0.95833333333333337</v>
      </c>
      <c r="D337">
        <v>3</v>
      </c>
      <c r="E337">
        <v>19.899999999999999</v>
      </c>
      <c r="F337">
        <v>98</v>
      </c>
    </row>
    <row r="338" spans="1:6" x14ac:dyDescent="0.35">
      <c r="A338">
        <v>1975</v>
      </c>
      <c r="B338" s="1">
        <v>45539</v>
      </c>
      <c r="C338" s="2">
        <v>0</v>
      </c>
      <c r="D338">
        <v>3</v>
      </c>
      <c r="E338">
        <v>19.3</v>
      </c>
      <c r="F338">
        <v>97</v>
      </c>
    </row>
    <row r="339" spans="1:6" x14ac:dyDescent="0.35">
      <c r="A339">
        <v>1975</v>
      </c>
      <c r="B339" s="1">
        <v>45539</v>
      </c>
      <c r="C339" s="2">
        <v>4.1666666666666657E-2</v>
      </c>
      <c r="D339">
        <v>3</v>
      </c>
      <c r="E339">
        <v>19.899999999999999</v>
      </c>
      <c r="F339">
        <v>96</v>
      </c>
    </row>
    <row r="340" spans="1:6" x14ac:dyDescent="0.35">
      <c r="A340">
        <v>1975</v>
      </c>
      <c r="B340" s="1">
        <v>45539</v>
      </c>
      <c r="C340" s="2">
        <v>8.3333333333333329E-2</v>
      </c>
      <c r="D340">
        <v>3</v>
      </c>
      <c r="E340">
        <v>19.3</v>
      </c>
      <c r="F340">
        <v>97</v>
      </c>
    </row>
    <row r="341" spans="1:6" x14ac:dyDescent="0.35">
      <c r="A341">
        <v>1975</v>
      </c>
      <c r="B341" s="1">
        <v>45539</v>
      </c>
      <c r="C341" s="2">
        <v>0.125</v>
      </c>
      <c r="D341">
        <v>3</v>
      </c>
      <c r="E341">
        <v>19.3</v>
      </c>
      <c r="F341">
        <v>97</v>
      </c>
    </row>
    <row r="342" spans="1:6" x14ac:dyDescent="0.35">
      <c r="A342">
        <v>1975</v>
      </c>
      <c r="B342" s="1">
        <v>45539</v>
      </c>
      <c r="C342" s="2">
        <v>0.16666666666666671</v>
      </c>
      <c r="D342">
        <v>3</v>
      </c>
      <c r="E342">
        <v>19.5</v>
      </c>
      <c r="F342">
        <v>100</v>
      </c>
    </row>
    <row r="343" spans="1:6" x14ac:dyDescent="0.35">
      <c r="A343">
        <v>1975</v>
      </c>
      <c r="B343" s="1">
        <v>45539</v>
      </c>
      <c r="C343" s="2">
        <v>0.20833333333333329</v>
      </c>
      <c r="D343">
        <v>3</v>
      </c>
      <c r="E343">
        <v>19.600000000000001</v>
      </c>
      <c r="F343">
        <v>100</v>
      </c>
    </row>
    <row r="344" spans="1:6" x14ac:dyDescent="0.35">
      <c r="A344">
        <v>1975</v>
      </c>
      <c r="B344" s="1">
        <v>45539</v>
      </c>
      <c r="C344" s="2">
        <v>0.25</v>
      </c>
      <c r="D344">
        <v>3</v>
      </c>
      <c r="E344">
        <v>20.2</v>
      </c>
      <c r="F344">
        <v>95</v>
      </c>
    </row>
    <row r="345" spans="1:6" x14ac:dyDescent="0.35">
      <c r="A345">
        <v>1975</v>
      </c>
      <c r="B345" s="1">
        <v>45539</v>
      </c>
      <c r="C345" s="2">
        <v>0.29166666666666669</v>
      </c>
      <c r="D345">
        <v>3</v>
      </c>
      <c r="E345">
        <v>20.6</v>
      </c>
      <c r="F345">
        <v>96</v>
      </c>
    </row>
    <row r="346" spans="1:6" x14ac:dyDescent="0.35">
      <c r="A346">
        <v>1975</v>
      </c>
      <c r="B346" s="1">
        <v>45539</v>
      </c>
      <c r="C346" s="2">
        <v>0.33333333333333331</v>
      </c>
      <c r="D346">
        <v>3</v>
      </c>
      <c r="E346">
        <v>22.3</v>
      </c>
      <c r="F346">
        <v>90</v>
      </c>
    </row>
    <row r="347" spans="1:6" x14ac:dyDescent="0.35">
      <c r="A347">
        <v>1975</v>
      </c>
      <c r="B347" s="1">
        <v>45539</v>
      </c>
      <c r="C347" s="2">
        <v>0.375</v>
      </c>
      <c r="D347">
        <v>3</v>
      </c>
      <c r="E347">
        <v>22.4</v>
      </c>
      <c r="F347">
        <v>90</v>
      </c>
    </row>
    <row r="348" spans="1:6" x14ac:dyDescent="0.35">
      <c r="A348">
        <v>1975</v>
      </c>
      <c r="B348" s="1">
        <v>45539</v>
      </c>
      <c r="C348" s="2">
        <v>0.41666666666666669</v>
      </c>
      <c r="D348">
        <v>3</v>
      </c>
      <c r="E348">
        <v>23.6</v>
      </c>
      <c r="F348">
        <v>86</v>
      </c>
    </row>
    <row r="349" spans="1:6" x14ac:dyDescent="0.35">
      <c r="A349">
        <v>1975</v>
      </c>
      <c r="B349" s="1">
        <v>45539</v>
      </c>
      <c r="C349" s="2">
        <v>0.45833333333333331</v>
      </c>
      <c r="D349">
        <v>3</v>
      </c>
      <c r="E349">
        <v>25.3</v>
      </c>
      <c r="F349">
        <v>74</v>
      </c>
    </row>
    <row r="350" spans="1:6" x14ac:dyDescent="0.35">
      <c r="A350">
        <v>1975</v>
      </c>
      <c r="B350" s="1">
        <v>45539</v>
      </c>
      <c r="C350" s="2">
        <v>0.5</v>
      </c>
      <c r="D350">
        <v>3</v>
      </c>
      <c r="E350">
        <v>27.2</v>
      </c>
      <c r="F350">
        <v>68</v>
      </c>
    </row>
    <row r="351" spans="1:6" x14ac:dyDescent="0.35">
      <c r="A351">
        <v>1975</v>
      </c>
      <c r="B351" s="1">
        <v>45539</v>
      </c>
      <c r="C351" s="2">
        <v>0.54166666666666663</v>
      </c>
      <c r="D351">
        <v>3</v>
      </c>
      <c r="E351">
        <v>27.3</v>
      </c>
      <c r="F351">
        <v>68</v>
      </c>
    </row>
    <row r="352" spans="1:6" x14ac:dyDescent="0.35">
      <c r="A352">
        <v>1975</v>
      </c>
      <c r="B352" s="1">
        <v>45539</v>
      </c>
      <c r="C352" s="2">
        <v>0.58333333333333337</v>
      </c>
      <c r="D352">
        <v>3</v>
      </c>
      <c r="E352">
        <v>28.1</v>
      </c>
      <c r="F352">
        <v>58</v>
      </c>
    </row>
    <row r="353" spans="1:6" x14ac:dyDescent="0.35">
      <c r="A353">
        <v>1975</v>
      </c>
      <c r="B353" s="1">
        <v>45539</v>
      </c>
      <c r="C353" s="2">
        <v>0.625</v>
      </c>
      <c r="D353">
        <v>3</v>
      </c>
      <c r="E353">
        <v>27.3</v>
      </c>
      <c r="F353">
        <v>59</v>
      </c>
    </row>
    <row r="354" spans="1:6" x14ac:dyDescent="0.35">
      <c r="A354">
        <v>1975</v>
      </c>
      <c r="B354" s="1">
        <v>45539</v>
      </c>
      <c r="C354" s="2">
        <v>0.66666666666666663</v>
      </c>
      <c r="D354">
        <v>3</v>
      </c>
      <c r="E354">
        <v>26.6</v>
      </c>
      <c r="F354">
        <v>63</v>
      </c>
    </row>
    <row r="355" spans="1:6" x14ac:dyDescent="0.35">
      <c r="A355">
        <v>1975</v>
      </c>
      <c r="B355" s="1">
        <v>45539</v>
      </c>
      <c r="C355" s="2">
        <v>0.70833333333333337</v>
      </c>
      <c r="D355">
        <v>3</v>
      </c>
      <c r="E355">
        <v>25.1</v>
      </c>
      <c r="F355">
        <v>71</v>
      </c>
    </row>
    <row r="356" spans="1:6" x14ac:dyDescent="0.35">
      <c r="A356">
        <v>1975</v>
      </c>
      <c r="B356" s="1">
        <v>45539</v>
      </c>
      <c r="C356" s="2">
        <v>0.75</v>
      </c>
      <c r="D356">
        <v>3</v>
      </c>
      <c r="E356">
        <v>24.3</v>
      </c>
      <c r="F356">
        <v>74</v>
      </c>
    </row>
    <row r="357" spans="1:6" x14ac:dyDescent="0.35">
      <c r="A357">
        <v>1975</v>
      </c>
      <c r="B357" s="1">
        <v>45539</v>
      </c>
      <c r="C357" s="2">
        <v>0.79166666666666663</v>
      </c>
      <c r="D357">
        <v>3</v>
      </c>
      <c r="E357">
        <v>20</v>
      </c>
      <c r="F357">
        <v>95</v>
      </c>
    </row>
    <row r="358" spans="1:6" x14ac:dyDescent="0.35">
      <c r="A358">
        <v>1975</v>
      </c>
      <c r="B358" s="1">
        <v>45539</v>
      </c>
      <c r="C358" s="2">
        <v>0.83333333333333337</v>
      </c>
      <c r="D358">
        <v>3</v>
      </c>
      <c r="E358">
        <v>19.600000000000001</v>
      </c>
      <c r="F358">
        <v>97</v>
      </c>
    </row>
    <row r="359" spans="1:6" x14ac:dyDescent="0.35">
      <c r="A359">
        <v>1975</v>
      </c>
      <c r="B359" s="1">
        <v>45539</v>
      </c>
      <c r="C359" s="2">
        <v>0.875</v>
      </c>
      <c r="D359">
        <v>3</v>
      </c>
      <c r="E359">
        <v>18.899999999999999</v>
      </c>
      <c r="F359">
        <v>97</v>
      </c>
    </row>
    <row r="360" spans="1:6" x14ac:dyDescent="0.35">
      <c r="A360">
        <v>1975</v>
      </c>
      <c r="B360" s="1">
        <v>45539</v>
      </c>
      <c r="C360" s="2">
        <v>0.91666666666666663</v>
      </c>
      <c r="D360">
        <v>3</v>
      </c>
      <c r="E360">
        <v>18.7</v>
      </c>
      <c r="F360">
        <v>96</v>
      </c>
    </row>
    <row r="361" spans="1:6" x14ac:dyDescent="0.35">
      <c r="A361">
        <v>1975</v>
      </c>
      <c r="B361" s="1">
        <v>45539</v>
      </c>
      <c r="C361" s="2">
        <v>0.95833333333333337</v>
      </c>
      <c r="D361">
        <v>3</v>
      </c>
      <c r="E361">
        <v>18.899999999999999</v>
      </c>
      <c r="F361">
        <v>96</v>
      </c>
    </row>
    <row r="362" spans="1:6" x14ac:dyDescent="0.35">
      <c r="A362">
        <v>1975</v>
      </c>
      <c r="B362" s="1">
        <v>45540</v>
      </c>
      <c r="C362" s="2">
        <v>0</v>
      </c>
      <c r="D362">
        <v>3</v>
      </c>
      <c r="E362">
        <v>19.399999999999999</v>
      </c>
      <c r="F362">
        <v>90</v>
      </c>
    </row>
    <row r="363" spans="1:6" x14ac:dyDescent="0.35">
      <c r="A363">
        <v>1975</v>
      </c>
      <c r="B363" s="1">
        <v>45540</v>
      </c>
      <c r="C363" s="2">
        <v>4.1666666666666657E-2</v>
      </c>
      <c r="D363">
        <v>3</v>
      </c>
      <c r="E363">
        <v>18.899999999999999</v>
      </c>
      <c r="F363">
        <v>93</v>
      </c>
    </row>
    <row r="364" spans="1:6" x14ac:dyDescent="0.35">
      <c r="A364">
        <v>1975</v>
      </c>
      <c r="B364" s="1">
        <v>45540</v>
      </c>
      <c r="C364" s="2">
        <v>8.3333333333333329E-2</v>
      </c>
      <c r="D364">
        <v>3</v>
      </c>
      <c r="E364">
        <v>18.8</v>
      </c>
      <c r="F364">
        <v>90</v>
      </c>
    </row>
    <row r="365" spans="1:6" x14ac:dyDescent="0.35">
      <c r="A365">
        <v>1975</v>
      </c>
      <c r="B365" s="1">
        <v>45540</v>
      </c>
      <c r="C365" s="2">
        <v>0.125</v>
      </c>
      <c r="D365">
        <v>3</v>
      </c>
      <c r="E365">
        <v>18.5</v>
      </c>
      <c r="F365">
        <v>87</v>
      </c>
    </row>
    <row r="366" spans="1:6" x14ac:dyDescent="0.35">
      <c r="A366">
        <v>1975</v>
      </c>
      <c r="B366" s="1">
        <v>45540</v>
      </c>
      <c r="C366" s="2">
        <v>0.16666666666666671</v>
      </c>
      <c r="D366">
        <v>3</v>
      </c>
      <c r="E366">
        <v>17.8</v>
      </c>
      <c r="F366">
        <v>87</v>
      </c>
    </row>
    <row r="367" spans="1:6" x14ac:dyDescent="0.35">
      <c r="A367">
        <v>1975</v>
      </c>
      <c r="B367" s="1">
        <v>45540</v>
      </c>
      <c r="C367" s="2">
        <v>0.20833333333333329</v>
      </c>
      <c r="D367">
        <v>3</v>
      </c>
      <c r="E367">
        <v>18</v>
      </c>
      <c r="F367">
        <v>83</v>
      </c>
    </row>
    <row r="368" spans="1:6" x14ac:dyDescent="0.35">
      <c r="A368">
        <v>1975</v>
      </c>
      <c r="B368" s="1">
        <v>45540</v>
      </c>
      <c r="C368" s="2">
        <v>0.25</v>
      </c>
      <c r="D368">
        <v>3</v>
      </c>
      <c r="E368">
        <v>18.899999999999999</v>
      </c>
      <c r="F368">
        <v>78</v>
      </c>
    </row>
    <row r="369" spans="1:6" x14ac:dyDescent="0.35">
      <c r="A369">
        <v>1975</v>
      </c>
      <c r="B369" s="1">
        <v>45540</v>
      </c>
      <c r="C369" s="2">
        <v>0.29166666666666669</v>
      </c>
      <c r="D369">
        <v>3</v>
      </c>
      <c r="E369">
        <v>20.6</v>
      </c>
      <c r="F369">
        <v>73</v>
      </c>
    </row>
    <row r="370" spans="1:6" x14ac:dyDescent="0.35">
      <c r="A370">
        <v>1975</v>
      </c>
      <c r="B370" s="1">
        <v>45540</v>
      </c>
      <c r="C370" s="2">
        <v>0.33333333333333331</v>
      </c>
      <c r="D370">
        <v>3</v>
      </c>
      <c r="E370">
        <v>22.5</v>
      </c>
      <c r="F370">
        <v>66</v>
      </c>
    </row>
    <row r="371" spans="1:6" x14ac:dyDescent="0.35">
      <c r="A371">
        <v>1975</v>
      </c>
      <c r="B371" s="1">
        <v>45540</v>
      </c>
      <c r="C371" s="2">
        <v>0.375</v>
      </c>
      <c r="D371">
        <v>3</v>
      </c>
      <c r="E371">
        <v>24.5</v>
      </c>
      <c r="F371">
        <v>62</v>
      </c>
    </row>
    <row r="372" spans="1:6" x14ac:dyDescent="0.35">
      <c r="A372">
        <v>1975</v>
      </c>
      <c r="B372" s="1">
        <v>45540</v>
      </c>
      <c r="C372" s="2">
        <v>0.41666666666666669</v>
      </c>
      <c r="D372">
        <v>3</v>
      </c>
      <c r="E372">
        <v>26.8</v>
      </c>
      <c r="F372">
        <v>52</v>
      </c>
    </row>
    <row r="373" spans="1:6" x14ac:dyDescent="0.35">
      <c r="A373">
        <v>1975</v>
      </c>
      <c r="B373" s="1">
        <v>45540</v>
      </c>
      <c r="C373" s="2">
        <v>0.45833333333333331</v>
      </c>
      <c r="D373">
        <v>3</v>
      </c>
      <c r="E373">
        <v>29.1</v>
      </c>
      <c r="F373">
        <v>41</v>
      </c>
    </row>
    <row r="374" spans="1:6" x14ac:dyDescent="0.35">
      <c r="A374">
        <v>1975</v>
      </c>
      <c r="B374" s="1">
        <v>45540</v>
      </c>
      <c r="C374" s="2">
        <v>0.5</v>
      </c>
      <c r="D374">
        <v>3</v>
      </c>
      <c r="E374">
        <v>30.5</v>
      </c>
      <c r="F374">
        <v>35</v>
      </c>
    </row>
    <row r="375" spans="1:6" x14ac:dyDescent="0.35">
      <c r="A375">
        <v>1975</v>
      </c>
      <c r="B375" s="1">
        <v>45540</v>
      </c>
      <c r="C375" s="2">
        <v>0.54166666666666663</v>
      </c>
      <c r="D375">
        <v>3</v>
      </c>
      <c r="E375">
        <v>30.7</v>
      </c>
      <c r="F375">
        <v>34</v>
      </c>
    </row>
    <row r="376" spans="1:6" x14ac:dyDescent="0.35">
      <c r="A376">
        <v>1975</v>
      </c>
      <c r="B376" s="1">
        <v>45540</v>
      </c>
      <c r="C376" s="2">
        <v>0.58333333333333337</v>
      </c>
      <c r="D376">
        <v>3</v>
      </c>
      <c r="E376">
        <v>30.7</v>
      </c>
      <c r="F376">
        <v>36</v>
      </c>
    </row>
    <row r="377" spans="1:6" x14ac:dyDescent="0.35">
      <c r="A377">
        <v>1975</v>
      </c>
      <c r="B377" s="1">
        <v>45540</v>
      </c>
      <c r="C377" s="2">
        <v>0.625</v>
      </c>
      <c r="D377">
        <v>3</v>
      </c>
      <c r="E377">
        <v>30.5</v>
      </c>
      <c r="F377">
        <v>36</v>
      </c>
    </row>
    <row r="378" spans="1:6" x14ac:dyDescent="0.35">
      <c r="A378">
        <v>1975</v>
      </c>
      <c r="B378" s="1">
        <v>45540</v>
      </c>
      <c r="C378" s="2">
        <v>0.66666666666666663</v>
      </c>
      <c r="D378">
        <v>3</v>
      </c>
      <c r="E378">
        <v>29.8</v>
      </c>
      <c r="F378">
        <v>36</v>
      </c>
    </row>
    <row r="379" spans="1:6" x14ac:dyDescent="0.35">
      <c r="A379">
        <v>1975</v>
      </c>
      <c r="B379" s="1">
        <v>45540</v>
      </c>
      <c r="C379" s="2">
        <v>0.70833333333333337</v>
      </c>
      <c r="D379">
        <v>3</v>
      </c>
      <c r="E379">
        <v>26.8</v>
      </c>
      <c r="F379">
        <v>53</v>
      </c>
    </row>
    <row r="380" spans="1:6" x14ac:dyDescent="0.35">
      <c r="A380">
        <v>1975</v>
      </c>
      <c r="B380" s="1">
        <v>45540</v>
      </c>
      <c r="C380" s="2">
        <v>0.75</v>
      </c>
      <c r="D380">
        <v>3</v>
      </c>
      <c r="E380">
        <v>24.2</v>
      </c>
      <c r="F380">
        <v>61</v>
      </c>
    </row>
    <row r="381" spans="1:6" x14ac:dyDescent="0.35">
      <c r="A381">
        <v>1975</v>
      </c>
      <c r="B381" s="1">
        <v>45540</v>
      </c>
      <c r="C381" s="2">
        <v>0.79166666666666663</v>
      </c>
      <c r="D381">
        <v>3</v>
      </c>
      <c r="E381">
        <v>22.5</v>
      </c>
      <c r="F381">
        <v>67</v>
      </c>
    </row>
    <row r="382" spans="1:6" x14ac:dyDescent="0.35">
      <c r="A382">
        <v>1975</v>
      </c>
      <c r="B382" s="1">
        <v>45540</v>
      </c>
      <c r="C382" s="2">
        <v>0.83333333333333337</v>
      </c>
      <c r="D382">
        <v>3</v>
      </c>
      <c r="E382">
        <v>21.5</v>
      </c>
      <c r="F382">
        <v>69</v>
      </c>
    </row>
    <row r="383" spans="1:6" x14ac:dyDescent="0.35">
      <c r="A383">
        <v>1975</v>
      </c>
      <c r="B383" s="1">
        <v>45540</v>
      </c>
      <c r="C383" s="2">
        <v>0.875</v>
      </c>
      <c r="D383">
        <v>3</v>
      </c>
      <c r="E383">
        <v>20.399999999999999</v>
      </c>
      <c r="F383">
        <v>71</v>
      </c>
    </row>
    <row r="384" spans="1:6" x14ac:dyDescent="0.35">
      <c r="A384">
        <v>1975</v>
      </c>
      <c r="B384" s="1">
        <v>45540</v>
      </c>
      <c r="C384" s="2">
        <v>0.91666666666666663</v>
      </c>
      <c r="D384">
        <v>3</v>
      </c>
      <c r="E384">
        <v>20</v>
      </c>
      <c r="F384">
        <v>71</v>
      </c>
    </row>
    <row r="385" spans="1:6" x14ac:dyDescent="0.35">
      <c r="A385">
        <v>1975</v>
      </c>
      <c r="B385" s="1">
        <v>45540</v>
      </c>
      <c r="C385" s="2">
        <v>0.95833333333333337</v>
      </c>
      <c r="D385">
        <v>3</v>
      </c>
      <c r="E385">
        <v>20.3</v>
      </c>
      <c r="F385">
        <v>66</v>
      </c>
    </row>
    <row r="386" spans="1:6" x14ac:dyDescent="0.35">
      <c r="A386">
        <v>1975</v>
      </c>
      <c r="B386" s="1">
        <v>45541</v>
      </c>
      <c r="C386" s="2">
        <v>0</v>
      </c>
      <c r="D386">
        <v>3</v>
      </c>
      <c r="E386">
        <v>20.399999999999999</v>
      </c>
      <c r="F386">
        <v>65</v>
      </c>
    </row>
    <row r="387" spans="1:6" x14ac:dyDescent="0.35">
      <c r="A387">
        <v>1975</v>
      </c>
      <c r="B387" s="1">
        <v>45541</v>
      </c>
      <c r="C387" s="2">
        <v>4.1666666666666657E-2</v>
      </c>
      <c r="D387">
        <v>3</v>
      </c>
      <c r="E387">
        <v>19.8</v>
      </c>
      <c r="F387">
        <v>67</v>
      </c>
    </row>
    <row r="388" spans="1:6" x14ac:dyDescent="0.35">
      <c r="A388">
        <v>1975</v>
      </c>
      <c r="B388" s="1">
        <v>45541</v>
      </c>
      <c r="C388" s="2">
        <v>8.3333333333333329E-2</v>
      </c>
      <c r="D388">
        <v>3</v>
      </c>
      <c r="E388">
        <v>19.2</v>
      </c>
      <c r="F388">
        <v>69</v>
      </c>
    </row>
    <row r="389" spans="1:6" x14ac:dyDescent="0.35">
      <c r="A389">
        <v>1975</v>
      </c>
      <c r="B389" s="1">
        <v>45541</v>
      </c>
      <c r="C389" s="2">
        <v>0.125</v>
      </c>
      <c r="D389">
        <v>3</v>
      </c>
      <c r="E389">
        <v>18.600000000000001</v>
      </c>
      <c r="F389">
        <v>72</v>
      </c>
    </row>
    <row r="390" spans="1:6" x14ac:dyDescent="0.35">
      <c r="A390">
        <v>1975</v>
      </c>
      <c r="B390" s="1">
        <v>45541</v>
      </c>
      <c r="C390" s="2">
        <v>0.16666666666666671</v>
      </c>
      <c r="D390">
        <v>3</v>
      </c>
      <c r="E390">
        <v>18.2</v>
      </c>
      <c r="F390">
        <v>71</v>
      </c>
    </row>
    <row r="391" spans="1:6" x14ac:dyDescent="0.35">
      <c r="A391">
        <v>1975</v>
      </c>
      <c r="B391" s="1">
        <v>45541</v>
      </c>
      <c r="C391" s="2">
        <v>0.20833333333333329</v>
      </c>
      <c r="D391">
        <v>3</v>
      </c>
      <c r="E391">
        <v>18.399999999999999</v>
      </c>
      <c r="F391">
        <v>71</v>
      </c>
    </row>
    <row r="392" spans="1:6" x14ac:dyDescent="0.35">
      <c r="A392">
        <v>1975</v>
      </c>
      <c r="B392" s="1">
        <v>45541</v>
      </c>
      <c r="C392" s="2">
        <v>0.25</v>
      </c>
      <c r="D392">
        <v>3</v>
      </c>
      <c r="E392">
        <v>18.899999999999999</v>
      </c>
      <c r="F392">
        <v>70</v>
      </c>
    </row>
    <row r="393" spans="1:6" x14ac:dyDescent="0.35">
      <c r="A393">
        <v>1975</v>
      </c>
      <c r="B393" s="1">
        <v>45541</v>
      </c>
      <c r="C393" s="2">
        <v>0.29166666666666669</v>
      </c>
      <c r="D393">
        <v>3</v>
      </c>
      <c r="E393">
        <v>21</v>
      </c>
      <c r="F393">
        <v>62</v>
      </c>
    </row>
    <row r="394" spans="1:6" x14ac:dyDescent="0.35">
      <c r="A394">
        <v>1975</v>
      </c>
      <c r="B394" s="1">
        <v>45541</v>
      </c>
      <c r="C394" s="2">
        <v>0.33333333333333331</v>
      </c>
      <c r="D394">
        <v>3</v>
      </c>
      <c r="E394">
        <v>22.4</v>
      </c>
      <c r="F394">
        <v>57</v>
      </c>
    </row>
    <row r="395" spans="1:6" x14ac:dyDescent="0.35">
      <c r="A395">
        <v>1975</v>
      </c>
      <c r="B395" s="1">
        <v>45541</v>
      </c>
      <c r="C395" s="2">
        <v>0.375</v>
      </c>
      <c r="D395">
        <v>3</v>
      </c>
      <c r="E395">
        <v>24.5</v>
      </c>
      <c r="F395">
        <v>51</v>
      </c>
    </row>
    <row r="396" spans="1:6" x14ac:dyDescent="0.35">
      <c r="A396">
        <v>1975</v>
      </c>
      <c r="B396" s="1">
        <v>45541</v>
      </c>
      <c r="C396" s="2">
        <v>0.41666666666666669</v>
      </c>
      <c r="D396">
        <v>3</v>
      </c>
      <c r="E396">
        <v>26.2</v>
      </c>
      <c r="F396">
        <v>44</v>
      </c>
    </row>
    <row r="397" spans="1:6" x14ac:dyDescent="0.35">
      <c r="A397">
        <v>1975</v>
      </c>
      <c r="B397" s="1">
        <v>45541</v>
      </c>
      <c r="C397" s="2">
        <v>0.45833333333333331</v>
      </c>
      <c r="D397">
        <v>3</v>
      </c>
      <c r="E397">
        <v>27.6</v>
      </c>
      <c r="F397">
        <v>36</v>
      </c>
    </row>
    <row r="398" spans="1:6" x14ac:dyDescent="0.35">
      <c r="A398">
        <v>1975</v>
      </c>
      <c r="B398" s="1">
        <v>45541</v>
      </c>
      <c r="C398" s="2">
        <v>0.5</v>
      </c>
      <c r="D398">
        <v>3</v>
      </c>
      <c r="E398">
        <v>28.2</v>
      </c>
      <c r="F398">
        <v>31</v>
      </c>
    </row>
    <row r="399" spans="1:6" x14ac:dyDescent="0.35">
      <c r="A399">
        <v>1975</v>
      </c>
      <c r="B399" s="1">
        <v>45541</v>
      </c>
      <c r="C399" s="2">
        <v>0.54166666666666663</v>
      </c>
      <c r="D399">
        <v>3</v>
      </c>
      <c r="E399">
        <v>29.3</v>
      </c>
      <c r="F399">
        <v>32</v>
      </c>
    </row>
    <row r="400" spans="1:6" x14ac:dyDescent="0.35">
      <c r="A400">
        <v>1975</v>
      </c>
      <c r="B400" s="1">
        <v>45541</v>
      </c>
      <c r="C400" s="2">
        <v>0.58333333333333337</v>
      </c>
      <c r="D400">
        <v>3</v>
      </c>
      <c r="E400">
        <v>29</v>
      </c>
      <c r="F400">
        <v>30</v>
      </c>
    </row>
    <row r="401" spans="1:6" x14ac:dyDescent="0.35">
      <c r="A401">
        <v>1975</v>
      </c>
      <c r="B401" s="1">
        <v>45541</v>
      </c>
      <c r="C401" s="2">
        <v>0.625</v>
      </c>
      <c r="D401">
        <v>3</v>
      </c>
      <c r="E401">
        <v>28.8</v>
      </c>
      <c r="F401">
        <v>29</v>
      </c>
    </row>
    <row r="402" spans="1:6" x14ac:dyDescent="0.35">
      <c r="A402">
        <v>1975</v>
      </c>
      <c r="B402" s="1">
        <v>45541</v>
      </c>
      <c r="C402" s="2">
        <v>0.66666666666666663</v>
      </c>
      <c r="D402">
        <v>3</v>
      </c>
      <c r="E402">
        <v>27.5</v>
      </c>
      <c r="F402">
        <v>32</v>
      </c>
    </row>
    <row r="403" spans="1:6" x14ac:dyDescent="0.35">
      <c r="A403">
        <v>1975</v>
      </c>
      <c r="B403" s="1">
        <v>45541</v>
      </c>
      <c r="C403" s="2">
        <v>0.70833333333333337</v>
      </c>
      <c r="D403">
        <v>3</v>
      </c>
      <c r="E403">
        <v>25.4</v>
      </c>
      <c r="F403">
        <v>43</v>
      </c>
    </row>
    <row r="404" spans="1:6" x14ac:dyDescent="0.35">
      <c r="A404">
        <v>1975</v>
      </c>
      <c r="B404" s="1">
        <v>45541</v>
      </c>
      <c r="C404" s="2">
        <v>0.75</v>
      </c>
      <c r="D404">
        <v>3</v>
      </c>
      <c r="E404">
        <v>23.4</v>
      </c>
      <c r="F404">
        <v>60</v>
      </c>
    </row>
    <row r="405" spans="1:6" x14ac:dyDescent="0.35">
      <c r="A405">
        <v>1975</v>
      </c>
      <c r="B405" s="1">
        <v>45541</v>
      </c>
      <c r="C405" s="2">
        <v>0.79166666666666663</v>
      </c>
      <c r="D405">
        <v>3</v>
      </c>
      <c r="E405">
        <v>21.8</v>
      </c>
      <c r="F405">
        <v>70</v>
      </c>
    </row>
    <row r="406" spans="1:6" x14ac:dyDescent="0.35">
      <c r="A406">
        <v>1975</v>
      </c>
      <c r="B406" s="1">
        <v>45541</v>
      </c>
      <c r="C406" s="2">
        <v>0.83333333333333337</v>
      </c>
      <c r="D406">
        <v>3</v>
      </c>
      <c r="E406">
        <v>21</v>
      </c>
      <c r="F406">
        <v>72</v>
      </c>
    </row>
    <row r="407" spans="1:6" x14ac:dyDescent="0.35">
      <c r="A407">
        <v>1975</v>
      </c>
      <c r="B407" s="1">
        <v>45541</v>
      </c>
      <c r="C407" s="2">
        <v>0.875</v>
      </c>
      <c r="D407">
        <v>3</v>
      </c>
      <c r="E407">
        <v>20.100000000000001</v>
      </c>
      <c r="F407">
        <v>74</v>
      </c>
    </row>
    <row r="408" spans="1:6" x14ac:dyDescent="0.35">
      <c r="A408">
        <v>1975</v>
      </c>
      <c r="B408" s="1">
        <v>45541</v>
      </c>
      <c r="C408" s="2">
        <v>0.91666666666666663</v>
      </c>
      <c r="D408">
        <v>3</v>
      </c>
      <c r="E408">
        <v>19</v>
      </c>
      <c r="F408">
        <v>78</v>
      </c>
    </row>
    <row r="409" spans="1:6" x14ac:dyDescent="0.35">
      <c r="A409">
        <v>1975</v>
      </c>
      <c r="B409" s="1">
        <v>45541</v>
      </c>
      <c r="C409" s="2">
        <v>0.95833333333333337</v>
      </c>
      <c r="D409">
        <v>3</v>
      </c>
      <c r="E409">
        <v>18.600000000000001</v>
      </c>
      <c r="F409">
        <v>80</v>
      </c>
    </row>
    <row r="410" spans="1:6" x14ac:dyDescent="0.35">
      <c r="A410">
        <v>1975</v>
      </c>
      <c r="B410" s="1">
        <v>45542</v>
      </c>
      <c r="C410" s="2">
        <v>0</v>
      </c>
      <c r="D410">
        <v>3</v>
      </c>
      <c r="E410">
        <v>18.600000000000001</v>
      </c>
      <c r="F410">
        <v>81</v>
      </c>
    </row>
    <row r="411" spans="1:6" x14ac:dyDescent="0.35">
      <c r="A411">
        <v>1975</v>
      </c>
      <c r="B411" s="1">
        <v>45542</v>
      </c>
      <c r="C411" s="2">
        <v>4.1666666666666657E-2</v>
      </c>
      <c r="D411">
        <v>3</v>
      </c>
      <c r="E411">
        <v>18.2</v>
      </c>
      <c r="F411">
        <v>83</v>
      </c>
    </row>
    <row r="412" spans="1:6" x14ac:dyDescent="0.35">
      <c r="A412">
        <v>1975</v>
      </c>
      <c r="B412" s="1">
        <v>45542</v>
      </c>
      <c r="C412" s="2">
        <v>8.3333333333333329E-2</v>
      </c>
      <c r="D412">
        <v>3</v>
      </c>
      <c r="E412">
        <v>17</v>
      </c>
      <c r="F412">
        <v>86</v>
      </c>
    </row>
    <row r="413" spans="1:6" x14ac:dyDescent="0.35">
      <c r="A413">
        <v>1975</v>
      </c>
      <c r="B413" s="1">
        <v>45542</v>
      </c>
      <c r="C413" s="2">
        <v>0.125</v>
      </c>
      <c r="D413">
        <v>3</v>
      </c>
      <c r="E413">
        <v>17.399999999999999</v>
      </c>
      <c r="F413">
        <v>86</v>
      </c>
    </row>
    <row r="414" spans="1:6" x14ac:dyDescent="0.35">
      <c r="A414">
        <v>1975</v>
      </c>
      <c r="B414" s="1">
        <v>45542</v>
      </c>
      <c r="C414" s="2">
        <v>0.16666666666666671</v>
      </c>
      <c r="D414">
        <v>3</v>
      </c>
      <c r="E414">
        <v>17.100000000000001</v>
      </c>
      <c r="F414">
        <v>86</v>
      </c>
    </row>
    <row r="415" spans="1:6" x14ac:dyDescent="0.35">
      <c r="A415">
        <v>1975</v>
      </c>
      <c r="B415" s="1">
        <v>45542</v>
      </c>
      <c r="C415" s="2">
        <v>0.20833333333333329</v>
      </c>
      <c r="D415">
        <v>3</v>
      </c>
      <c r="E415">
        <v>16.8</v>
      </c>
      <c r="F415">
        <v>86</v>
      </c>
    </row>
    <row r="416" spans="1:6" x14ac:dyDescent="0.35">
      <c r="A416">
        <v>1975</v>
      </c>
      <c r="B416" s="1">
        <v>45542</v>
      </c>
      <c r="C416" s="2">
        <v>0.25</v>
      </c>
      <c r="D416">
        <v>3</v>
      </c>
      <c r="E416">
        <v>17.3</v>
      </c>
      <c r="F416">
        <v>83</v>
      </c>
    </row>
    <row r="417" spans="1:6" x14ac:dyDescent="0.35">
      <c r="A417">
        <v>1975</v>
      </c>
      <c r="B417" s="1">
        <v>45542</v>
      </c>
      <c r="C417" s="2">
        <v>0.29166666666666669</v>
      </c>
      <c r="D417">
        <v>3</v>
      </c>
      <c r="E417">
        <v>19.5</v>
      </c>
      <c r="F417">
        <v>72</v>
      </c>
    </row>
    <row r="418" spans="1:6" x14ac:dyDescent="0.35">
      <c r="A418">
        <v>1975</v>
      </c>
      <c r="B418" s="1">
        <v>45542</v>
      </c>
      <c r="C418" s="2">
        <v>0.33333333333333331</v>
      </c>
      <c r="D418">
        <v>3</v>
      </c>
      <c r="E418">
        <v>21.6</v>
      </c>
      <c r="F418">
        <v>61</v>
      </c>
    </row>
    <row r="419" spans="1:6" x14ac:dyDescent="0.35">
      <c r="A419">
        <v>1975</v>
      </c>
      <c r="B419" s="1">
        <v>45542</v>
      </c>
      <c r="C419" s="2">
        <v>0.375</v>
      </c>
      <c r="D419">
        <v>3</v>
      </c>
      <c r="E419">
        <v>23.3</v>
      </c>
      <c r="F419">
        <v>59</v>
      </c>
    </row>
    <row r="420" spans="1:6" x14ac:dyDescent="0.35">
      <c r="A420">
        <v>1975</v>
      </c>
      <c r="B420" s="1">
        <v>45542</v>
      </c>
      <c r="C420" s="2">
        <v>0.41666666666666669</v>
      </c>
      <c r="D420">
        <v>3</v>
      </c>
      <c r="E420">
        <v>24.5</v>
      </c>
      <c r="F420">
        <v>52</v>
      </c>
    </row>
    <row r="421" spans="1:6" x14ac:dyDescent="0.35">
      <c r="A421">
        <v>1975</v>
      </c>
      <c r="B421" s="1">
        <v>45542</v>
      </c>
      <c r="C421" s="2">
        <v>0.45833333333333331</v>
      </c>
      <c r="D421">
        <v>3</v>
      </c>
      <c r="E421">
        <v>25.3</v>
      </c>
      <c r="F421">
        <v>52</v>
      </c>
    </row>
    <row r="422" spans="1:6" x14ac:dyDescent="0.35">
      <c r="A422">
        <v>1975</v>
      </c>
      <c r="B422" s="1">
        <v>45542</v>
      </c>
      <c r="C422" s="2">
        <v>0.5</v>
      </c>
      <c r="D422">
        <v>3</v>
      </c>
      <c r="E422">
        <v>26.7</v>
      </c>
      <c r="F422">
        <v>48</v>
      </c>
    </row>
    <row r="423" spans="1:6" x14ac:dyDescent="0.35">
      <c r="A423">
        <v>1975</v>
      </c>
      <c r="B423" s="1">
        <v>45542</v>
      </c>
      <c r="C423" s="2">
        <v>0.54166666666666663</v>
      </c>
      <c r="D423">
        <v>3</v>
      </c>
      <c r="E423">
        <v>27.9</v>
      </c>
      <c r="F423">
        <v>43</v>
      </c>
    </row>
    <row r="424" spans="1:6" x14ac:dyDescent="0.35">
      <c r="A424">
        <v>1975</v>
      </c>
      <c r="B424" s="1">
        <v>45542</v>
      </c>
      <c r="C424" s="2">
        <v>0.58333333333333337</v>
      </c>
      <c r="D424">
        <v>3</v>
      </c>
      <c r="E424">
        <v>28.6</v>
      </c>
      <c r="F424">
        <v>41</v>
      </c>
    </row>
    <row r="425" spans="1:6" x14ac:dyDescent="0.35">
      <c r="A425">
        <v>1975</v>
      </c>
      <c r="B425" s="1">
        <v>45542</v>
      </c>
      <c r="C425" s="2">
        <v>0.625</v>
      </c>
      <c r="D425">
        <v>3</v>
      </c>
      <c r="E425">
        <v>29.1</v>
      </c>
      <c r="F425">
        <v>39</v>
      </c>
    </row>
    <row r="426" spans="1:6" x14ac:dyDescent="0.35">
      <c r="A426">
        <v>1975</v>
      </c>
      <c r="B426" s="1">
        <v>45542</v>
      </c>
      <c r="C426" s="2">
        <v>0.66666666666666663</v>
      </c>
      <c r="D426">
        <v>3</v>
      </c>
      <c r="E426">
        <v>29.5</v>
      </c>
      <c r="F426">
        <v>44</v>
      </c>
    </row>
    <row r="427" spans="1:6" x14ac:dyDescent="0.35">
      <c r="A427">
        <v>1975</v>
      </c>
      <c r="B427" s="1">
        <v>45542</v>
      </c>
      <c r="C427" s="2">
        <v>0.70833333333333337</v>
      </c>
      <c r="D427">
        <v>3</v>
      </c>
      <c r="E427">
        <v>27.7</v>
      </c>
      <c r="F427">
        <v>46</v>
      </c>
    </row>
    <row r="428" spans="1:6" x14ac:dyDescent="0.35">
      <c r="A428">
        <v>1975</v>
      </c>
      <c r="B428" s="1">
        <v>45542</v>
      </c>
      <c r="C428" s="2">
        <v>0.75</v>
      </c>
      <c r="D428">
        <v>3</v>
      </c>
      <c r="E428">
        <v>24</v>
      </c>
      <c r="F428">
        <v>62</v>
      </c>
    </row>
    <row r="429" spans="1:6" x14ac:dyDescent="0.35">
      <c r="A429">
        <v>1975</v>
      </c>
      <c r="B429" s="1">
        <v>45542</v>
      </c>
      <c r="C429" s="2">
        <v>0.79166666666666663</v>
      </c>
      <c r="D429">
        <v>3</v>
      </c>
      <c r="E429">
        <v>21.1</v>
      </c>
      <c r="F429">
        <v>79</v>
      </c>
    </row>
    <row r="430" spans="1:6" x14ac:dyDescent="0.35">
      <c r="A430">
        <v>1975</v>
      </c>
      <c r="B430" s="1">
        <v>45542</v>
      </c>
      <c r="C430" s="2">
        <v>0.83333333333333337</v>
      </c>
      <c r="D430">
        <v>3</v>
      </c>
      <c r="E430">
        <v>21.3</v>
      </c>
      <c r="F430">
        <v>71</v>
      </c>
    </row>
    <row r="431" spans="1:6" x14ac:dyDescent="0.35">
      <c r="A431">
        <v>1975</v>
      </c>
      <c r="B431" s="1">
        <v>45542</v>
      </c>
      <c r="C431" s="2">
        <v>0.875</v>
      </c>
      <c r="D431">
        <v>3</v>
      </c>
      <c r="E431">
        <v>20.5</v>
      </c>
      <c r="F431">
        <v>76</v>
      </c>
    </row>
    <row r="432" spans="1:6" x14ac:dyDescent="0.35">
      <c r="A432">
        <v>1975</v>
      </c>
      <c r="B432" s="1">
        <v>45542</v>
      </c>
      <c r="C432" s="2">
        <v>0.91666666666666663</v>
      </c>
      <c r="D432">
        <v>3</v>
      </c>
      <c r="E432">
        <v>20.2</v>
      </c>
      <c r="F432">
        <v>77</v>
      </c>
    </row>
    <row r="433" spans="1:6" x14ac:dyDescent="0.35">
      <c r="A433">
        <v>1975</v>
      </c>
      <c r="B433" s="1">
        <v>45542</v>
      </c>
      <c r="C433" s="2">
        <v>0.95833333333333337</v>
      </c>
      <c r="D433">
        <v>3</v>
      </c>
      <c r="E433">
        <v>19</v>
      </c>
      <c r="F433">
        <v>80</v>
      </c>
    </row>
    <row r="434" spans="1:6" x14ac:dyDescent="0.35">
      <c r="A434">
        <v>1975</v>
      </c>
      <c r="B434" s="1">
        <v>45543</v>
      </c>
      <c r="C434" s="2">
        <v>0</v>
      </c>
      <c r="D434">
        <v>3</v>
      </c>
      <c r="E434">
        <v>17.7</v>
      </c>
      <c r="F434">
        <v>87</v>
      </c>
    </row>
    <row r="435" spans="1:6" x14ac:dyDescent="0.35">
      <c r="A435">
        <v>1975</v>
      </c>
      <c r="B435" s="1">
        <v>45543</v>
      </c>
      <c r="C435" s="2">
        <v>4.1666666666666657E-2</v>
      </c>
      <c r="D435">
        <v>3</v>
      </c>
      <c r="E435">
        <v>18</v>
      </c>
      <c r="F435">
        <v>82</v>
      </c>
    </row>
    <row r="436" spans="1:6" x14ac:dyDescent="0.35">
      <c r="A436">
        <v>1975</v>
      </c>
      <c r="B436" s="1">
        <v>45543</v>
      </c>
      <c r="C436" s="2">
        <v>8.3333333333333329E-2</v>
      </c>
      <c r="D436">
        <v>3</v>
      </c>
      <c r="E436">
        <v>17.8</v>
      </c>
      <c r="F436">
        <v>80</v>
      </c>
    </row>
    <row r="437" spans="1:6" x14ac:dyDescent="0.35">
      <c r="A437">
        <v>1975</v>
      </c>
      <c r="B437" s="1">
        <v>45543</v>
      </c>
      <c r="C437" s="2">
        <v>0.125</v>
      </c>
      <c r="D437">
        <v>3</v>
      </c>
      <c r="E437">
        <v>16.600000000000001</v>
      </c>
      <c r="F437">
        <v>90</v>
      </c>
    </row>
    <row r="438" spans="1:6" x14ac:dyDescent="0.35">
      <c r="A438">
        <v>1975</v>
      </c>
      <c r="B438" s="1">
        <v>45543</v>
      </c>
      <c r="C438" s="2">
        <v>0.16666666666666671</v>
      </c>
      <c r="D438">
        <v>3</v>
      </c>
      <c r="E438">
        <v>17.5</v>
      </c>
      <c r="F438">
        <v>83</v>
      </c>
    </row>
    <row r="439" spans="1:6" x14ac:dyDescent="0.35">
      <c r="A439">
        <v>1975</v>
      </c>
      <c r="B439" s="1">
        <v>45543</v>
      </c>
      <c r="C439" s="2">
        <v>0.20833333333333329</v>
      </c>
      <c r="D439">
        <v>3</v>
      </c>
      <c r="E439">
        <v>17.100000000000001</v>
      </c>
      <c r="F439">
        <v>83</v>
      </c>
    </row>
    <row r="440" spans="1:6" x14ac:dyDescent="0.35">
      <c r="A440">
        <v>1975</v>
      </c>
      <c r="B440" s="1">
        <v>45543</v>
      </c>
      <c r="C440" s="2">
        <v>0.25</v>
      </c>
      <c r="D440">
        <v>3</v>
      </c>
      <c r="E440">
        <v>19.7</v>
      </c>
      <c r="F440">
        <v>73</v>
      </c>
    </row>
    <row r="441" spans="1:6" x14ac:dyDescent="0.35">
      <c r="A441">
        <v>1975</v>
      </c>
      <c r="B441" s="1">
        <v>45543</v>
      </c>
      <c r="C441" s="2">
        <v>0.29166666666666669</v>
      </c>
      <c r="D441">
        <v>3</v>
      </c>
      <c r="E441">
        <v>21.2</v>
      </c>
      <c r="F441">
        <v>69</v>
      </c>
    </row>
    <row r="442" spans="1:6" x14ac:dyDescent="0.35">
      <c r="A442">
        <v>1975</v>
      </c>
      <c r="B442" s="1">
        <v>45543</v>
      </c>
      <c r="C442" s="2">
        <v>0.33333333333333331</v>
      </c>
      <c r="D442">
        <v>3</v>
      </c>
      <c r="E442">
        <v>23.3</v>
      </c>
      <c r="F442">
        <v>62</v>
      </c>
    </row>
    <row r="443" spans="1:6" x14ac:dyDescent="0.35">
      <c r="A443">
        <v>1975</v>
      </c>
      <c r="B443" s="1">
        <v>45543</v>
      </c>
      <c r="C443" s="2">
        <v>0.375</v>
      </c>
      <c r="D443">
        <v>3</v>
      </c>
      <c r="E443">
        <v>25.2</v>
      </c>
      <c r="F443">
        <v>56</v>
      </c>
    </row>
    <row r="444" spans="1:6" x14ac:dyDescent="0.35">
      <c r="A444">
        <v>1975</v>
      </c>
      <c r="B444" s="1">
        <v>45543</v>
      </c>
      <c r="C444" s="2">
        <v>0.41666666666666669</v>
      </c>
      <c r="D444">
        <v>3</v>
      </c>
      <c r="E444">
        <v>26</v>
      </c>
      <c r="F444">
        <v>55</v>
      </c>
    </row>
    <row r="445" spans="1:6" x14ac:dyDescent="0.35">
      <c r="A445">
        <v>1975</v>
      </c>
      <c r="B445" s="1">
        <v>45543</v>
      </c>
      <c r="C445" s="2">
        <v>0.45833333333333331</v>
      </c>
      <c r="D445">
        <v>3</v>
      </c>
      <c r="E445">
        <v>26.4</v>
      </c>
      <c r="F445">
        <v>54</v>
      </c>
    </row>
    <row r="446" spans="1:6" x14ac:dyDescent="0.35">
      <c r="A446">
        <v>1975</v>
      </c>
      <c r="B446" s="1">
        <v>45543</v>
      </c>
      <c r="C446" s="2">
        <v>0.5</v>
      </c>
      <c r="D446">
        <v>3</v>
      </c>
      <c r="E446">
        <v>27</v>
      </c>
      <c r="F446">
        <v>54</v>
      </c>
    </row>
    <row r="447" spans="1:6" x14ac:dyDescent="0.35">
      <c r="A447">
        <v>1975</v>
      </c>
      <c r="B447" s="1">
        <v>45543</v>
      </c>
      <c r="C447" s="2">
        <v>0.54166666666666663</v>
      </c>
      <c r="D447">
        <v>3</v>
      </c>
      <c r="E447">
        <v>27.5</v>
      </c>
      <c r="F447">
        <v>56</v>
      </c>
    </row>
    <row r="448" spans="1:6" x14ac:dyDescent="0.35">
      <c r="A448">
        <v>1975</v>
      </c>
      <c r="B448" s="1">
        <v>45543</v>
      </c>
      <c r="C448" s="2">
        <v>0.58333333333333337</v>
      </c>
      <c r="D448">
        <v>3</v>
      </c>
      <c r="E448">
        <v>27</v>
      </c>
      <c r="F448">
        <v>60</v>
      </c>
    </row>
    <row r="449" spans="1:6" x14ac:dyDescent="0.35">
      <c r="A449">
        <v>1975</v>
      </c>
      <c r="B449" s="1">
        <v>45543</v>
      </c>
      <c r="C449" s="2">
        <v>0.625</v>
      </c>
      <c r="D449">
        <v>3</v>
      </c>
      <c r="E449">
        <v>26</v>
      </c>
      <c r="F449">
        <v>64</v>
      </c>
    </row>
    <row r="450" spans="1:6" x14ac:dyDescent="0.35">
      <c r="A450">
        <v>1975</v>
      </c>
      <c r="B450" s="1">
        <v>45543</v>
      </c>
      <c r="C450" s="2">
        <v>0.66666666666666663</v>
      </c>
      <c r="D450">
        <v>3</v>
      </c>
      <c r="E450">
        <v>25.1</v>
      </c>
      <c r="F450">
        <v>63</v>
      </c>
    </row>
    <row r="451" spans="1:6" x14ac:dyDescent="0.35">
      <c r="A451">
        <v>1975</v>
      </c>
      <c r="B451" s="1">
        <v>45543</v>
      </c>
      <c r="C451" s="2">
        <v>0.70833333333333337</v>
      </c>
      <c r="D451">
        <v>3</v>
      </c>
      <c r="E451">
        <v>23.9</v>
      </c>
      <c r="F451">
        <v>71</v>
      </c>
    </row>
    <row r="452" spans="1:6" x14ac:dyDescent="0.35">
      <c r="A452">
        <v>1975</v>
      </c>
      <c r="B452" s="1">
        <v>45543</v>
      </c>
      <c r="C452" s="2">
        <v>0.75</v>
      </c>
      <c r="D452">
        <v>3</v>
      </c>
      <c r="E452">
        <v>23.3</v>
      </c>
      <c r="F452">
        <v>74</v>
      </c>
    </row>
    <row r="453" spans="1:6" x14ac:dyDescent="0.35">
      <c r="A453">
        <v>1975</v>
      </c>
      <c r="B453" s="1">
        <v>45543</v>
      </c>
      <c r="C453" s="2">
        <v>0.79166666666666663</v>
      </c>
      <c r="D453">
        <v>3</v>
      </c>
      <c r="E453">
        <v>20.100000000000001</v>
      </c>
      <c r="F453">
        <v>90</v>
      </c>
    </row>
    <row r="454" spans="1:6" x14ac:dyDescent="0.35">
      <c r="A454">
        <v>1975</v>
      </c>
      <c r="B454" s="1">
        <v>45543</v>
      </c>
      <c r="C454" s="2">
        <v>0.83333333333333337</v>
      </c>
      <c r="D454">
        <v>3</v>
      </c>
      <c r="E454">
        <v>19.2</v>
      </c>
      <c r="F454">
        <v>97</v>
      </c>
    </row>
    <row r="455" spans="1:6" x14ac:dyDescent="0.35">
      <c r="A455">
        <v>1975</v>
      </c>
      <c r="B455" s="1">
        <v>45543</v>
      </c>
      <c r="C455" s="2">
        <v>0.875</v>
      </c>
      <c r="D455">
        <v>3</v>
      </c>
      <c r="E455">
        <v>19.2</v>
      </c>
      <c r="F455">
        <v>100</v>
      </c>
    </row>
    <row r="456" spans="1:6" x14ac:dyDescent="0.35">
      <c r="A456">
        <v>1975</v>
      </c>
      <c r="B456" s="1">
        <v>45543</v>
      </c>
      <c r="C456" s="2">
        <v>0.91666666666666663</v>
      </c>
      <c r="D456">
        <v>3</v>
      </c>
      <c r="E456">
        <v>19.100000000000001</v>
      </c>
      <c r="F456">
        <v>99</v>
      </c>
    </row>
    <row r="457" spans="1:6" x14ac:dyDescent="0.35">
      <c r="A457">
        <v>1975</v>
      </c>
      <c r="B457" s="1">
        <v>45543</v>
      </c>
      <c r="C457" s="2">
        <v>0.95833333333333337</v>
      </c>
      <c r="D457">
        <v>3</v>
      </c>
      <c r="E457">
        <v>19</v>
      </c>
      <c r="F457">
        <v>100</v>
      </c>
    </row>
    <row r="458" spans="1:6" x14ac:dyDescent="0.35">
      <c r="A458">
        <v>1975</v>
      </c>
      <c r="B458" s="1">
        <v>45544</v>
      </c>
      <c r="C458" s="2">
        <v>0</v>
      </c>
      <c r="D458">
        <v>3</v>
      </c>
      <c r="E458">
        <v>18.100000000000001</v>
      </c>
      <c r="F458">
        <v>97</v>
      </c>
    </row>
    <row r="459" spans="1:6" x14ac:dyDescent="0.35">
      <c r="A459">
        <v>1975</v>
      </c>
      <c r="B459" s="1">
        <v>45544</v>
      </c>
      <c r="C459" s="2">
        <v>4.1666666666666657E-2</v>
      </c>
      <c r="D459">
        <v>3</v>
      </c>
      <c r="E459">
        <v>17.5</v>
      </c>
      <c r="F459">
        <v>100</v>
      </c>
    </row>
    <row r="460" spans="1:6" x14ac:dyDescent="0.35">
      <c r="A460">
        <v>1975</v>
      </c>
      <c r="B460" s="1">
        <v>45544</v>
      </c>
      <c r="C460" s="2">
        <v>8.3333333333333329E-2</v>
      </c>
      <c r="D460">
        <v>3</v>
      </c>
      <c r="E460">
        <v>17.5</v>
      </c>
      <c r="F460">
        <v>100</v>
      </c>
    </row>
    <row r="461" spans="1:6" x14ac:dyDescent="0.35">
      <c r="A461">
        <v>1975</v>
      </c>
      <c r="B461" s="1">
        <v>45544</v>
      </c>
      <c r="C461" s="2">
        <v>0.125</v>
      </c>
      <c r="D461">
        <v>3</v>
      </c>
      <c r="E461">
        <v>17.5</v>
      </c>
      <c r="F461">
        <v>100</v>
      </c>
    </row>
    <row r="462" spans="1:6" x14ac:dyDescent="0.35">
      <c r="A462">
        <v>1975</v>
      </c>
      <c r="B462" s="1">
        <v>45544</v>
      </c>
      <c r="C462" s="2">
        <v>0.16666666666666671</v>
      </c>
      <c r="D462">
        <v>3</v>
      </c>
      <c r="E462">
        <v>17.100000000000001</v>
      </c>
      <c r="F462">
        <v>99</v>
      </c>
    </row>
    <row r="463" spans="1:6" x14ac:dyDescent="0.35">
      <c r="A463">
        <v>1975</v>
      </c>
      <c r="B463" s="1">
        <v>45544</v>
      </c>
      <c r="C463" s="2">
        <v>0.20833333333333329</v>
      </c>
      <c r="D463">
        <v>3</v>
      </c>
      <c r="E463">
        <v>17</v>
      </c>
      <c r="F463">
        <v>99</v>
      </c>
    </row>
    <row r="464" spans="1:6" x14ac:dyDescent="0.35">
      <c r="A464">
        <v>1975</v>
      </c>
      <c r="B464" s="1">
        <v>45544</v>
      </c>
      <c r="C464" s="2">
        <v>0.25</v>
      </c>
      <c r="D464">
        <v>3</v>
      </c>
      <c r="E464">
        <v>17.2</v>
      </c>
      <c r="F464">
        <v>100</v>
      </c>
    </row>
    <row r="465" spans="1:6" x14ac:dyDescent="0.35">
      <c r="A465">
        <v>1975</v>
      </c>
      <c r="B465" s="1">
        <v>45544</v>
      </c>
      <c r="C465" s="2">
        <v>0.29166666666666669</v>
      </c>
      <c r="D465">
        <v>3</v>
      </c>
      <c r="E465">
        <v>15.4</v>
      </c>
      <c r="F465">
        <v>96</v>
      </c>
    </row>
    <row r="466" spans="1:6" x14ac:dyDescent="0.35">
      <c r="A466">
        <v>1975</v>
      </c>
      <c r="B466" s="1">
        <v>45544</v>
      </c>
      <c r="C466" s="2">
        <v>0.33333333333333331</v>
      </c>
      <c r="D466">
        <v>3</v>
      </c>
      <c r="E466">
        <v>15.4</v>
      </c>
      <c r="F466">
        <v>98</v>
      </c>
    </row>
    <row r="467" spans="1:6" x14ac:dyDescent="0.35">
      <c r="A467">
        <v>1975</v>
      </c>
      <c r="B467" s="1">
        <v>45544</v>
      </c>
      <c r="C467" s="2">
        <v>0.375</v>
      </c>
      <c r="D467">
        <v>3</v>
      </c>
      <c r="E467">
        <v>15.6</v>
      </c>
      <c r="F467">
        <v>94</v>
      </c>
    </row>
    <row r="468" spans="1:6" x14ac:dyDescent="0.35">
      <c r="A468">
        <v>1975</v>
      </c>
      <c r="B468" s="1">
        <v>45544</v>
      </c>
      <c r="C468" s="2">
        <v>0.41666666666666669</v>
      </c>
      <c r="D468">
        <v>3</v>
      </c>
      <c r="E468">
        <v>16</v>
      </c>
      <c r="F468">
        <v>94</v>
      </c>
    </row>
    <row r="469" spans="1:6" x14ac:dyDescent="0.35">
      <c r="A469">
        <v>1975</v>
      </c>
      <c r="B469" s="1">
        <v>45544</v>
      </c>
      <c r="C469" s="2">
        <v>0.45833333333333331</v>
      </c>
      <c r="D469">
        <v>3</v>
      </c>
      <c r="E469">
        <v>16.5</v>
      </c>
      <c r="F469">
        <v>93</v>
      </c>
    </row>
    <row r="470" spans="1:6" x14ac:dyDescent="0.35">
      <c r="A470">
        <v>1975</v>
      </c>
      <c r="B470" s="1">
        <v>45544</v>
      </c>
      <c r="C470" s="2">
        <v>0.5</v>
      </c>
      <c r="D470">
        <v>3</v>
      </c>
      <c r="E470">
        <v>17.399999999999999</v>
      </c>
      <c r="F470">
        <v>84</v>
      </c>
    </row>
    <row r="471" spans="1:6" x14ac:dyDescent="0.35">
      <c r="A471">
        <v>1975</v>
      </c>
      <c r="B471" s="1">
        <v>45544</v>
      </c>
      <c r="C471" s="2">
        <v>0.54166666666666663</v>
      </c>
      <c r="D471">
        <v>3</v>
      </c>
      <c r="E471">
        <v>18.899999999999999</v>
      </c>
      <c r="F471">
        <v>77</v>
      </c>
    </row>
    <row r="472" spans="1:6" x14ac:dyDescent="0.35">
      <c r="A472">
        <v>1975</v>
      </c>
      <c r="B472" s="1">
        <v>45544</v>
      </c>
      <c r="C472" s="2">
        <v>0.58333333333333337</v>
      </c>
      <c r="D472">
        <v>3</v>
      </c>
      <c r="E472">
        <v>19.899999999999999</v>
      </c>
      <c r="F472">
        <v>69</v>
      </c>
    </row>
    <row r="473" spans="1:6" x14ac:dyDescent="0.35">
      <c r="A473">
        <v>1975</v>
      </c>
      <c r="B473" s="1">
        <v>45544</v>
      </c>
      <c r="C473" s="2">
        <v>0.625</v>
      </c>
      <c r="D473">
        <v>3</v>
      </c>
      <c r="E473">
        <v>19.7</v>
      </c>
      <c r="F473">
        <v>68</v>
      </c>
    </row>
    <row r="474" spans="1:6" x14ac:dyDescent="0.35">
      <c r="A474">
        <v>1975</v>
      </c>
      <c r="B474" s="1">
        <v>45544</v>
      </c>
      <c r="C474" s="2">
        <v>0.66666666666666663</v>
      </c>
      <c r="D474">
        <v>3</v>
      </c>
      <c r="E474">
        <v>19</v>
      </c>
      <c r="F474">
        <v>72</v>
      </c>
    </row>
    <row r="475" spans="1:6" x14ac:dyDescent="0.35">
      <c r="A475">
        <v>1975</v>
      </c>
      <c r="B475" s="1">
        <v>45544</v>
      </c>
      <c r="C475" s="2">
        <v>0.70833333333333337</v>
      </c>
      <c r="D475">
        <v>3</v>
      </c>
      <c r="E475">
        <v>18.5</v>
      </c>
      <c r="F475">
        <v>78</v>
      </c>
    </row>
    <row r="476" spans="1:6" x14ac:dyDescent="0.35">
      <c r="A476">
        <v>1975</v>
      </c>
      <c r="B476" s="1">
        <v>45544</v>
      </c>
      <c r="C476" s="2">
        <v>0.75</v>
      </c>
      <c r="D476">
        <v>3</v>
      </c>
      <c r="E476">
        <v>17.8</v>
      </c>
      <c r="F476">
        <v>83</v>
      </c>
    </row>
    <row r="477" spans="1:6" x14ac:dyDescent="0.35">
      <c r="A477">
        <v>1975</v>
      </c>
      <c r="B477" s="1">
        <v>45544</v>
      </c>
      <c r="C477" s="2">
        <v>0.79166666666666663</v>
      </c>
      <c r="D477">
        <v>3</v>
      </c>
      <c r="E477">
        <v>17.2</v>
      </c>
      <c r="F477">
        <v>84</v>
      </c>
    </row>
    <row r="478" spans="1:6" x14ac:dyDescent="0.35">
      <c r="A478">
        <v>1975</v>
      </c>
      <c r="B478" s="1">
        <v>45544</v>
      </c>
      <c r="C478" s="2">
        <v>0.83333333333333337</v>
      </c>
      <c r="D478">
        <v>3</v>
      </c>
      <c r="E478">
        <v>16.8</v>
      </c>
      <c r="F478">
        <v>88</v>
      </c>
    </row>
    <row r="479" spans="1:6" x14ac:dyDescent="0.35">
      <c r="A479">
        <v>1975</v>
      </c>
      <c r="B479" s="1">
        <v>45544</v>
      </c>
      <c r="C479" s="2">
        <v>0.875</v>
      </c>
      <c r="D479">
        <v>3</v>
      </c>
      <c r="E479">
        <v>17</v>
      </c>
      <c r="F479">
        <v>87</v>
      </c>
    </row>
    <row r="480" spans="1:6" x14ac:dyDescent="0.35">
      <c r="A480">
        <v>1975</v>
      </c>
      <c r="B480" s="1">
        <v>45544</v>
      </c>
      <c r="C480" s="2">
        <v>0.91666666666666663</v>
      </c>
      <c r="D480">
        <v>3</v>
      </c>
      <c r="E480">
        <v>16.5</v>
      </c>
      <c r="F480">
        <v>87</v>
      </c>
    </row>
    <row r="481" spans="1:6" x14ac:dyDescent="0.35">
      <c r="A481">
        <v>1975</v>
      </c>
      <c r="B481" s="1">
        <v>45544</v>
      </c>
      <c r="C481" s="2">
        <v>0.95833333333333337</v>
      </c>
      <c r="D481">
        <v>3</v>
      </c>
      <c r="E481">
        <v>15.8</v>
      </c>
      <c r="F481">
        <v>92</v>
      </c>
    </row>
    <row r="482" spans="1:6" x14ac:dyDescent="0.35">
      <c r="A482">
        <v>1975</v>
      </c>
      <c r="B482" s="1">
        <v>45545</v>
      </c>
      <c r="C482" s="2">
        <v>0</v>
      </c>
      <c r="D482">
        <v>3</v>
      </c>
      <c r="E482">
        <v>15.1</v>
      </c>
      <c r="F482">
        <v>90</v>
      </c>
    </row>
    <row r="483" spans="1:6" x14ac:dyDescent="0.35">
      <c r="A483">
        <v>1975</v>
      </c>
      <c r="B483" s="1">
        <v>45545</v>
      </c>
      <c r="C483" s="2">
        <v>4.1666666666666657E-2</v>
      </c>
      <c r="D483">
        <v>3</v>
      </c>
      <c r="E483">
        <v>14.8</v>
      </c>
      <c r="F483">
        <v>89</v>
      </c>
    </row>
    <row r="484" spans="1:6" x14ac:dyDescent="0.35">
      <c r="A484">
        <v>1975</v>
      </c>
      <c r="B484" s="1">
        <v>45545</v>
      </c>
      <c r="C484" s="2">
        <v>8.3333333333333329E-2</v>
      </c>
      <c r="D484">
        <v>3</v>
      </c>
      <c r="E484">
        <v>14.3</v>
      </c>
      <c r="F484">
        <v>85</v>
      </c>
    </row>
    <row r="485" spans="1:6" x14ac:dyDescent="0.35">
      <c r="A485">
        <v>1975</v>
      </c>
      <c r="B485" s="1">
        <v>45545</v>
      </c>
      <c r="C485" s="2">
        <v>0.125</v>
      </c>
      <c r="D485">
        <v>3</v>
      </c>
      <c r="E485">
        <v>13.6</v>
      </c>
      <c r="F485">
        <v>82</v>
      </c>
    </row>
    <row r="486" spans="1:6" x14ac:dyDescent="0.35">
      <c r="A486">
        <v>1975</v>
      </c>
      <c r="B486" s="1">
        <v>45545</v>
      </c>
      <c r="C486" s="2">
        <v>0.16666666666666671</v>
      </c>
      <c r="D486">
        <v>3</v>
      </c>
      <c r="E486">
        <v>13.3</v>
      </c>
      <c r="F486">
        <v>82</v>
      </c>
    </row>
    <row r="487" spans="1:6" x14ac:dyDescent="0.35">
      <c r="A487">
        <v>1975</v>
      </c>
      <c r="B487" s="1">
        <v>45545</v>
      </c>
      <c r="C487" s="2">
        <v>0.20833333333333329</v>
      </c>
      <c r="D487">
        <v>3</v>
      </c>
      <c r="E487">
        <v>13</v>
      </c>
      <c r="F487">
        <v>85</v>
      </c>
    </row>
    <row r="488" spans="1:6" x14ac:dyDescent="0.35">
      <c r="A488">
        <v>1975</v>
      </c>
      <c r="B488" s="1">
        <v>45545</v>
      </c>
      <c r="C488" s="2">
        <v>0.25</v>
      </c>
      <c r="D488">
        <v>3</v>
      </c>
      <c r="E488">
        <v>13</v>
      </c>
      <c r="F488">
        <v>82</v>
      </c>
    </row>
    <row r="489" spans="1:6" x14ac:dyDescent="0.35">
      <c r="A489">
        <v>1975</v>
      </c>
      <c r="B489" s="1">
        <v>45545</v>
      </c>
      <c r="C489" s="2">
        <v>0.29166666666666669</v>
      </c>
      <c r="D489">
        <v>3</v>
      </c>
      <c r="E489">
        <v>13.6</v>
      </c>
      <c r="F489">
        <v>81</v>
      </c>
    </row>
    <row r="490" spans="1:6" x14ac:dyDescent="0.35">
      <c r="A490">
        <v>1975</v>
      </c>
      <c r="B490" s="1">
        <v>45545</v>
      </c>
      <c r="C490" s="2">
        <v>0.33333333333333331</v>
      </c>
      <c r="D490">
        <v>3</v>
      </c>
      <c r="E490">
        <v>14.2</v>
      </c>
      <c r="F490">
        <v>75</v>
      </c>
    </row>
    <row r="491" spans="1:6" x14ac:dyDescent="0.35">
      <c r="A491">
        <v>1975</v>
      </c>
      <c r="B491" s="1">
        <v>45545</v>
      </c>
      <c r="C491" s="2">
        <v>0.375</v>
      </c>
      <c r="D491">
        <v>3</v>
      </c>
      <c r="E491">
        <v>14.4</v>
      </c>
      <c r="F491">
        <v>73</v>
      </c>
    </row>
    <row r="492" spans="1:6" x14ac:dyDescent="0.35">
      <c r="A492">
        <v>1975</v>
      </c>
      <c r="B492" s="1">
        <v>45545</v>
      </c>
      <c r="C492" s="2">
        <v>0.41666666666666669</v>
      </c>
      <c r="D492">
        <v>3</v>
      </c>
      <c r="E492">
        <v>15.1</v>
      </c>
      <c r="F492">
        <v>75</v>
      </c>
    </row>
    <row r="493" spans="1:6" x14ac:dyDescent="0.35">
      <c r="A493">
        <v>1975</v>
      </c>
      <c r="B493" s="1">
        <v>45545</v>
      </c>
      <c r="C493" s="2">
        <v>0.45833333333333331</v>
      </c>
      <c r="D493">
        <v>3</v>
      </c>
      <c r="E493">
        <v>15.7</v>
      </c>
      <c r="F493">
        <v>75</v>
      </c>
    </row>
    <row r="494" spans="1:6" x14ac:dyDescent="0.35">
      <c r="A494">
        <v>1975</v>
      </c>
      <c r="B494" s="1">
        <v>45545</v>
      </c>
      <c r="C494" s="2">
        <v>0.5</v>
      </c>
      <c r="D494">
        <v>3</v>
      </c>
      <c r="E494">
        <v>16.8</v>
      </c>
      <c r="F494">
        <v>69</v>
      </c>
    </row>
    <row r="495" spans="1:6" x14ac:dyDescent="0.35">
      <c r="A495">
        <v>1975</v>
      </c>
      <c r="B495" s="1">
        <v>45545</v>
      </c>
      <c r="C495" s="2">
        <v>0.54166666666666663</v>
      </c>
      <c r="D495">
        <v>3</v>
      </c>
      <c r="E495">
        <v>17.8</v>
      </c>
      <c r="F495">
        <v>65</v>
      </c>
    </row>
    <row r="496" spans="1:6" x14ac:dyDescent="0.35">
      <c r="A496">
        <v>1975</v>
      </c>
      <c r="B496" s="1">
        <v>45545</v>
      </c>
      <c r="C496" s="2">
        <v>0.58333333333333337</v>
      </c>
      <c r="D496">
        <v>3</v>
      </c>
      <c r="E496">
        <v>16.899999999999999</v>
      </c>
      <c r="F496">
        <v>66</v>
      </c>
    </row>
    <row r="497" spans="1:6" x14ac:dyDescent="0.35">
      <c r="A497">
        <v>1975</v>
      </c>
      <c r="B497" s="1">
        <v>45545</v>
      </c>
      <c r="C497" s="2">
        <v>0.625</v>
      </c>
      <c r="D497">
        <v>3</v>
      </c>
      <c r="E497">
        <v>17</v>
      </c>
      <c r="F497">
        <v>65</v>
      </c>
    </row>
    <row r="498" spans="1:6" x14ac:dyDescent="0.35">
      <c r="A498">
        <v>1975</v>
      </c>
      <c r="B498" s="1">
        <v>45545</v>
      </c>
      <c r="C498" s="2">
        <v>0.66666666666666663</v>
      </c>
      <c r="D498">
        <v>3</v>
      </c>
      <c r="E498">
        <v>16.8</v>
      </c>
      <c r="F498">
        <v>67</v>
      </c>
    </row>
    <row r="499" spans="1:6" x14ac:dyDescent="0.35">
      <c r="A499">
        <v>1975</v>
      </c>
      <c r="B499" s="1">
        <v>45545</v>
      </c>
      <c r="C499" s="2">
        <v>0.70833333333333337</v>
      </c>
      <c r="D499">
        <v>3</v>
      </c>
      <c r="E499">
        <v>16.7</v>
      </c>
      <c r="F499">
        <v>68</v>
      </c>
    </row>
    <row r="500" spans="1:6" x14ac:dyDescent="0.35">
      <c r="A500">
        <v>1975</v>
      </c>
      <c r="B500" s="1">
        <v>45545</v>
      </c>
      <c r="C500" s="2">
        <v>0.75</v>
      </c>
      <c r="D500">
        <v>3</v>
      </c>
      <c r="E500">
        <v>15.3</v>
      </c>
      <c r="F500">
        <v>79</v>
      </c>
    </row>
    <row r="501" spans="1:6" x14ac:dyDescent="0.35">
      <c r="A501">
        <v>1975</v>
      </c>
      <c r="B501" s="1">
        <v>45545</v>
      </c>
      <c r="C501" s="2">
        <v>0.79166666666666663</v>
      </c>
      <c r="D501">
        <v>3</v>
      </c>
      <c r="E501">
        <v>15.8</v>
      </c>
      <c r="F501">
        <v>75</v>
      </c>
    </row>
    <row r="502" spans="1:6" x14ac:dyDescent="0.35">
      <c r="A502">
        <v>1975</v>
      </c>
      <c r="B502" s="1">
        <v>45545</v>
      </c>
      <c r="C502" s="2">
        <v>0.83333333333333337</v>
      </c>
      <c r="D502">
        <v>3</v>
      </c>
      <c r="E502">
        <v>14</v>
      </c>
      <c r="F502">
        <v>92</v>
      </c>
    </row>
    <row r="503" spans="1:6" x14ac:dyDescent="0.35">
      <c r="A503">
        <v>1975</v>
      </c>
      <c r="B503" s="1">
        <v>45545</v>
      </c>
      <c r="C503" s="2">
        <v>0.875</v>
      </c>
      <c r="D503">
        <v>3</v>
      </c>
      <c r="E503">
        <v>13.9</v>
      </c>
      <c r="F503">
        <v>93</v>
      </c>
    </row>
    <row r="504" spans="1:6" x14ac:dyDescent="0.35">
      <c r="A504">
        <v>1975</v>
      </c>
      <c r="B504" s="1">
        <v>45545</v>
      </c>
      <c r="C504" s="2">
        <v>0.91666666666666663</v>
      </c>
      <c r="D504">
        <v>3</v>
      </c>
      <c r="E504">
        <v>14</v>
      </c>
      <c r="F504">
        <v>92</v>
      </c>
    </row>
    <row r="505" spans="1:6" x14ac:dyDescent="0.35">
      <c r="A505">
        <v>1975</v>
      </c>
      <c r="B505" s="1">
        <v>45545</v>
      </c>
      <c r="C505" s="2">
        <v>0.95833333333333337</v>
      </c>
      <c r="D505">
        <v>3</v>
      </c>
      <c r="E505">
        <v>13.9</v>
      </c>
      <c r="F505">
        <v>93</v>
      </c>
    </row>
    <row r="506" spans="1:6" x14ac:dyDescent="0.35">
      <c r="A506">
        <v>1975</v>
      </c>
      <c r="B506" s="1">
        <v>45546</v>
      </c>
      <c r="C506" s="2">
        <v>0</v>
      </c>
      <c r="D506">
        <v>3</v>
      </c>
      <c r="E506">
        <v>13.5</v>
      </c>
      <c r="F506">
        <v>98</v>
      </c>
    </row>
    <row r="507" spans="1:6" x14ac:dyDescent="0.35">
      <c r="A507">
        <v>1975</v>
      </c>
      <c r="B507" s="1">
        <v>45546</v>
      </c>
      <c r="C507" s="2">
        <v>4.1666666666666657E-2</v>
      </c>
      <c r="D507">
        <v>3</v>
      </c>
      <c r="E507">
        <v>10.9</v>
      </c>
      <c r="F507">
        <v>98</v>
      </c>
    </row>
    <row r="508" spans="1:6" x14ac:dyDescent="0.35">
      <c r="A508">
        <v>1975</v>
      </c>
      <c r="B508" s="1">
        <v>45546</v>
      </c>
      <c r="C508" s="2">
        <v>8.3333333333333329E-2</v>
      </c>
      <c r="D508">
        <v>3</v>
      </c>
      <c r="E508">
        <v>10.8</v>
      </c>
      <c r="F508">
        <v>100</v>
      </c>
    </row>
    <row r="509" spans="1:6" x14ac:dyDescent="0.35">
      <c r="A509">
        <v>1975</v>
      </c>
      <c r="B509" s="1">
        <v>45546</v>
      </c>
      <c r="C509" s="2">
        <v>0.125</v>
      </c>
      <c r="D509">
        <v>3</v>
      </c>
      <c r="E509">
        <v>10.8</v>
      </c>
      <c r="F509">
        <v>99</v>
      </c>
    </row>
    <row r="510" spans="1:6" x14ac:dyDescent="0.35">
      <c r="A510">
        <v>1975</v>
      </c>
      <c r="B510" s="1">
        <v>45546</v>
      </c>
      <c r="C510" s="2">
        <v>0.16666666666666671</v>
      </c>
      <c r="D510">
        <v>3</v>
      </c>
      <c r="E510">
        <v>10.5</v>
      </c>
      <c r="F510">
        <v>95</v>
      </c>
    </row>
    <row r="511" spans="1:6" x14ac:dyDescent="0.35">
      <c r="A511">
        <v>1975</v>
      </c>
      <c r="B511" s="1">
        <v>45546</v>
      </c>
      <c r="C511" s="2">
        <v>0.20833333333333329</v>
      </c>
      <c r="D511">
        <v>3</v>
      </c>
      <c r="E511">
        <v>10.3</v>
      </c>
      <c r="F511">
        <v>97</v>
      </c>
    </row>
    <row r="512" spans="1:6" x14ac:dyDescent="0.35">
      <c r="A512">
        <v>1975</v>
      </c>
      <c r="B512" s="1">
        <v>45546</v>
      </c>
      <c r="C512" s="2">
        <v>0.25</v>
      </c>
      <c r="D512">
        <v>3</v>
      </c>
      <c r="E512">
        <v>10.1</v>
      </c>
      <c r="F512">
        <v>98</v>
      </c>
    </row>
    <row r="513" spans="1:6" x14ac:dyDescent="0.35">
      <c r="A513">
        <v>1975</v>
      </c>
      <c r="B513" s="1">
        <v>45546</v>
      </c>
      <c r="C513" s="2">
        <v>0.29166666666666669</v>
      </c>
      <c r="D513">
        <v>3</v>
      </c>
      <c r="E513">
        <v>10.5</v>
      </c>
      <c r="F513">
        <v>96</v>
      </c>
    </row>
    <row r="514" spans="1:6" x14ac:dyDescent="0.35">
      <c r="A514">
        <v>1975</v>
      </c>
      <c r="B514" s="1">
        <v>45546</v>
      </c>
      <c r="C514" s="2">
        <v>0.33333333333333331</v>
      </c>
      <c r="D514">
        <v>3</v>
      </c>
      <c r="E514">
        <v>11.6</v>
      </c>
      <c r="F514">
        <v>87</v>
      </c>
    </row>
    <row r="515" spans="1:6" x14ac:dyDescent="0.35">
      <c r="A515">
        <v>1975</v>
      </c>
      <c r="B515" s="1">
        <v>45546</v>
      </c>
      <c r="C515" s="2">
        <v>0.375</v>
      </c>
      <c r="D515">
        <v>3</v>
      </c>
      <c r="E515">
        <v>11.8</v>
      </c>
      <c r="F515">
        <v>88</v>
      </c>
    </row>
    <row r="516" spans="1:6" x14ac:dyDescent="0.35">
      <c r="A516">
        <v>1975</v>
      </c>
      <c r="B516" s="1">
        <v>45546</v>
      </c>
      <c r="C516" s="2">
        <v>0.41666666666666669</v>
      </c>
      <c r="D516">
        <v>3</v>
      </c>
      <c r="E516">
        <v>12.4</v>
      </c>
      <c r="F516">
        <v>85</v>
      </c>
    </row>
    <row r="517" spans="1:6" x14ac:dyDescent="0.35">
      <c r="A517">
        <v>1975</v>
      </c>
      <c r="B517" s="1">
        <v>45546</v>
      </c>
      <c r="C517" s="2">
        <v>0.45833333333333331</v>
      </c>
      <c r="D517">
        <v>3</v>
      </c>
      <c r="E517">
        <v>10.6</v>
      </c>
      <c r="F517">
        <v>94</v>
      </c>
    </row>
    <row r="518" spans="1:6" x14ac:dyDescent="0.35">
      <c r="A518">
        <v>1975</v>
      </c>
      <c r="B518" s="1">
        <v>45546</v>
      </c>
      <c r="C518" s="2">
        <v>0.5</v>
      </c>
      <c r="D518">
        <v>3</v>
      </c>
      <c r="E518">
        <v>13.6</v>
      </c>
      <c r="F518">
        <v>72</v>
      </c>
    </row>
    <row r="519" spans="1:6" x14ac:dyDescent="0.35">
      <c r="A519">
        <v>1975</v>
      </c>
      <c r="B519" s="1">
        <v>45546</v>
      </c>
      <c r="C519" s="2">
        <v>0.54166666666666663</v>
      </c>
      <c r="D519">
        <v>3</v>
      </c>
      <c r="E519">
        <v>9.1</v>
      </c>
      <c r="F519">
        <v>89</v>
      </c>
    </row>
    <row r="520" spans="1:6" x14ac:dyDescent="0.35">
      <c r="A520">
        <v>1975</v>
      </c>
      <c r="B520" s="1">
        <v>45546</v>
      </c>
      <c r="C520" s="2">
        <v>0.58333333333333337</v>
      </c>
      <c r="D520">
        <v>3</v>
      </c>
      <c r="E520">
        <v>12.4</v>
      </c>
      <c r="F520">
        <v>74</v>
      </c>
    </row>
    <row r="521" spans="1:6" x14ac:dyDescent="0.35">
      <c r="A521">
        <v>1975</v>
      </c>
      <c r="B521" s="1">
        <v>45546</v>
      </c>
      <c r="C521" s="2">
        <v>0.625</v>
      </c>
      <c r="D521">
        <v>3</v>
      </c>
      <c r="E521">
        <v>13.1</v>
      </c>
      <c r="F521">
        <v>70</v>
      </c>
    </row>
    <row r="522" spans="1:6" x14ac:dyDescent="0.35">
      <c r="A522">
        <v>1975</v>
      </c>
      <c r="B522" s="1">
        <v>45546</v>
      </c>
      <c r="C522" s="2">
        <v>0.66666666666666663</v>
      </c>
      <c r="D522">
        <v>3</v>
      </c>
      <c r="E522">
        <v>12.5</v>
      </c>
      <c r="F522">
        <v>71</v>
      </c>
    </row>
    <row r="523" spans="1:6" x14ac:dyDescent="0.35">
      <c r="A523">
        <v>1975</v>
      </c>
      <c r="B523" s="1">
        <v>45546</v>
      </c>
      <c r="C523" s="2">
        <v>0.70833333333333337</v>
      </c>
      <c r="D523">
        <v>3</v>
      </c>
      <c r="E523">
        <v>12.4</v>
      </c>
      <c r="F523">
        <v>72</v>
      </c>
    </row>
    <row r="524" spans="1:6" x14ac:dyDescent="0.35">
      <c r="A524">
        <v>1975</v>
      </c>
      <c r="B524" s="1">
        <v>45546</v>
      </c>
      <c r="C524" s="2">
        <v>0.75</v>
      </c>
      <c r="D524">
        <v>3</v>
      </c>
      <c r="E524">
        <v>10.199999999999999</v>
      </c>
      <c r="F524">
        <v>78</v>
      </c>
    </row>
    <row r="525" spans="1:6" x14ac:dyDescent="0.35">
      <c r="A525">
        <v>1975</v>
      </c>
      <c r="B525" s="1">
        <v>45546</v>
      </c>
      <c r="C525" s="2">
        <v>0.79166666666666663</v>
      </c>
      <c r="D525">
        <v>3</v>
      </c>
      <c r="E525">
        <v>9</v>
      </c>
      <c r="F525">
        <v>87</v>
      </c>
    </row>
    <row r="526" spans="1:6" x14ac:dyDescent="0.35">
      <c r="A526">
        <v>1975</v>
      </c>
      <c r="B526" s="1">
        <v>45546</v>
      </c>
      <c r="C526" s="2">
        <v>0.83333333333333337</v>
      </c>
      <c r="D526">
        <v>3</v>
      </c>
      <c r="E526">
        <v>7.9</v>
      </c>
      <c r="F526">
        <v>93</v>
      </c>
    </row>
    <row r="527" spans="1:6" x14ac:dyDescent="0.35">
      <c r="A527">
        <v>1975</v>
      </c>
      <c r="B527" s="1">
        <v>45546</v>
      </c>
      <c r="C527" s="2">
        <v>0.875</v>
      </c>
      <c r="D527">
        <v>3</v>
      </c>
      <c r="E527">
        <v>8.3000000000000007</v>
      </c>
      <c r="F527">
        <v>93</v>
      </c>
    </row>
    <row r="528" spans="1:6" x14ac:dyDescent="0.35">
      <c r="A528">
        <v>1975</v>
      </c>
      <c r="B528" s="1">
        <v>45546</v>
      </c>
      <c r="C528" s="2">
        <v>0.91666666666666663</v>
      </c>
      <c r="D528">
        <v>3</v>
      </c>
      <c r="E528">
        <v>8.1999999999999993</v>
      </c>
      <c r="F528">
        <v>93</v>
      </c>
    </row>
    <row r="529" spans="1:6" x14ac:dyDescent="0.35">
      <c r="A529">
        <v>1975</v>
      </c>
      <c r="B529" s="1">
        <v>45546</v>
      </c>
      <c r="C529" s="2">
        <v>0.95833333333333337</v>
      </c>
      <c r="D529">
        <v>3</v>
      </c>
      <c r="E529">
        <v>7.7</v>
      </c>
      <c r="F529">
        <v>94</v>
      </c>
    </row>
    <row r="530" spans="1:6" x14ac:dyDescent="0.35">
      <c r="A530">
        <v>1975</v>
      </c>
      <c r="B530" s="1">
        <v>45547</v>
      </c>
      <c r="C530" s="2">
        <v>0</v>
      </c>
      <c r="D530">
        <v>3</v>
      </c>
      <c r="E530">
        <v>7</v>
      </c>
      <c r="F530">
        <v>95</v>
      </c>
    </row>
    <row r="531" spans="1:6" x14ac:dyDescent="0.35">
      <c r="A531">
        <v>1975</v>
      </c>
      <c r="B531" s="1">
        <v>45547</v>
      </c>
      <c r="C531" s="2">
        <v>4.1666666666666657E-2</v>
      </c>
      <c r="D531">
        <v>3</v>
      </c>
      <c r="E531">
        <v>6.9</v>
      </c>
      <c r="F531">
        <v>97</v>
      </c>
    </row>
    <row r="532" spans="1:6" x14ac:dyDescent="0.35">
      <c r="A532">
        <v>1975</v>
      </c>
      <c r="B532" s="1">
        <v>45547</v>
      </c>
      <c r="C532" s="2">
        <v>8.3333333333333329E-2</v>
      </c>
      <c r="D532">
        <v>3</v>
      </c>
      <c r="E532">
        <v>6.6</v>
      </c>
      <c r="F532">
        <v>98</v>
      </c>
    </row>
    <row r="533" spans="1:6" x14ac:dyDescent="0.35">
      <c r="A533">
        <v>1975</v>
      </c>
      <c r="B533" s="1">
        <v>45547</v>
      </c>
      <c r="C533" s="2">
        <v>0.125</v>
      </c>
      <c r="D533">
        <v>3</v>
      </c>
      <c r="E533">
        <v>5.5</v>
      </c>
      <c r="F533">
        <v>97</v>
      </c>
    </row>
    <row r="534" spans="1:6" x14ac:dyDescent="0.35">
      <c r="A534">
        <v>1975</v>
      </c>
      <c r="B534" s="1">
        <v>45547</v>
      </c>
      <c r="C534" s="2">
        <v>0.16666666666666671</v>
      </c>
      <c r="D534">
        <v>3</v>
      </c>
      <c r="E534">
        <v>5.7</v>
      </c>
      <c r="F534">
        <v>98</v>
      </c>
    </row>
    <row r="535" spans="1:6" x14ac:dyDescent="0.35">
      <c r="A535">
        <v>1975</v>
      </c>
      <c r="B535" s="1">
        <v>45547</v>
      </c>
      <c r="C535" s="2">
        <v>0.20833333333333329</v>
      </c>
      <c r="D535">
        <v>3</v>
      </c>
      <c r="E535">
        <v>6</v>
      </c>
      <c r="F535">
        <v>96</v>
      </c>
    </row>
    <row r="536" spans="1:6" x14ac:dyDescent="0.35">
      <c r="A536">
        <v>1975</v>
      </c>
      <c r="B536" s="1">
        <v>45547</v>
      </c>
      <c r="C536" s="2">
        <v>0.25</v>
      </c>
      <c r="D536">
        <v>3</v>
      </c>
      <c r="E536">
        <v>7</v>
      </c>
      <c r="F536">
        <v>94</v>
      </c>
    </row>
    <row r="537" spans="1:6" x14ac:dyDescent="0.35">
      <c r="A537">
        <v>1975</v>
      </c>
      <c r="B537" s="1">
        <v>45547</v>
      </c>
      <c r="C537" s="2">
        <v>0.29166666666666669</v>
      </c>
      <c r="D537">
        <v>3</v>
      </c>
      <c r="E537">
        <v>8.8000000000000007</v>
      </c>
      <c r="F537">
        <v>88</v>
      </c>
    </row>
    <row r="538" spans="1:6" x14ac:dyDescent="0.35">
      <c r="A538">
        <v>1975</v>
      </c>
      <c r="B538" s="1">
        <v>45547</v>
      </c>
      <c r="C538" s="2">
        <v>0.33333333333333331</v>
      </c>
      <c r="D538">
        <v>3</v>
      </c>
      <c r="E538">
        <v>9.6999999999999993</v>
      </c>
      <c r="F538">
        <v>86</v>
      </c>
    </row>
    <row r="539" spans="1:6" x14ac:dyDescent="0.35">
      <c r="A539">
        <v>1975</v>
      </c>
      <c r="B539" s="1">
        <v>45547</v>
      </c>
      <c r="C539" s="2">
        <v>0.375</v>
      </c>
      <c r="D539">
        <v>3</v>
      </c>
      <c r="E539">
        <v>11.3</v>
      </c>
      <c r="F539">
        <v>75</v>
      </c>
    </row>
    <row r="540" spans="1:6" x14ac:dyDescent="0.35">
      <c r="A540">
        <v>1975</v>
      </c>
      <c r="B540" s="1">
        <v>45547</v>
      </c>
      <c r="C540" s="2">
        <v>0.41666666666666669</v>
      </c>
      <c r="D540">
        <v>3</v>
      </c>
      <c r="E540">
        <v>13.3</v>
      </c>
      <c r="F540">
        <v>70</v>
      </c>
    </row>
    <row r="541" spans="1:6" x14ac:dyDescent="0.35">
      <c r="A541">
        <v>1975</v>
      </c>
      <c r="B541" s="1">
        <v>45547</v>
      </c>
      <c r="C541" s="2">
        <v>0.45833333333333331</v>
      </c>
      <c r="D541">
        <v>3</v>
      </c>
      <c r="E541">
        <v>13.7</v>
      </c>
      <c r="F541">
        <v>67</v>
      </c>
    </row>
    <row r="542" spans="1:6" x14ac:dyDescent="0.35">
      <c r="A542">
        <v>1975</v>
      </c>
      <c r="B542" s="1">
        <v>45547</v>
      </c>
      <c r="C542" s="2">
        <v>0.5</v>
      </c>
      <c r="D542">
        <v>3</v>
      </c>
      <c r="E542">
        <v>13.9</v>
      </c>
      <c r="F542">
        <v>64</v>
      </c>
    </row>
    <row r="543" spans="1:6" x14ac:dyDescent="0.35">
      <c r="A543">
        <v>1975</v>
      </c>
      <c r="B543" s="1">
        <v>45547</v>
      </c>
      <c r="C543" s="2">
        <v>0.54166666666666663</v>
      </c>
      <c r="D543">
        <v>3</v>
      </c>
      <c r="E543">
        <v>14.8</v>
      </c>
      <c r="F543">
        <v>60</v>
      </c>
    </row>
    <row r="544" spans="1:6" x14ac:dyDescent="0.35">
      <c r="A544">
        <v>1975</v>
      </c>
      <c r="B544" s="1">
        <v>45547</v>
      </c>
      <c r="C544" s="2">
        <v>0.58333333333333337</v>
      </c>
      <c r="D544">
        <v>3</v>
      </c>
      <c r="E544">
        <v>14.1</v>
      </c>
      <c r="F544">
        <v>62</v>
      </c>
    </row>
    <row r="545" spans="1:6" x14ac:dyDescent="0.35">
      <c r="A545">
        <v>1975</v>
      </c>
      <c r="B545" s="1">
        <v>45547</v>
      </c>
      <c r="C545" s="2">
        <v>0.625</v>
      </c>
      <c r="D545">
        <v>3</v>
      </c>
      <c r="E545">
        <v>15.3</v>
      </c>
      <c r="F545">
        <v>57</v>
      </c>
    </row>
    <row r="546" spans="1:6" x14ac:dyDescent="0.35">
      <c r="A546">
        <v>1975</v>
      </c>
      <c r="B546" s="1">
        <v>45547</v>
      </c>
      <c r="C546" s="2">
        <v>0.66666666666666663</v>
      </c>
      <c r="D546">
        <v>3</v>
      </c>
      <c r="E546">
        <v>13.6</v>
      </c>
      <c r="F546">
        <v>70</v>
      </c>
    </row>
    <row r="547" spans="1:6" x14ac:dyDescent="0.35">
      <c r="A547">
        <v>1975</v>
      </c>
      <c r="B547" s="1">
        <v>45547</v>
      </c>
      <c r="C547" s="2">
        <v>0.70833333333333337</v>
      </c>
      <c r="D547">
        <v>3</v>
      </c>
      <c r="E547">
        <v>13.6</v>
      </c>
      <c r="F547">
        <v>63</v>
      </c>
    </row>
    <row r="548" spans="1:6" x14ac:dyDescent="0.35">
      <c r="A548">
        <v>1975</v>
      </c>
      <c r="B548" s="1">
        <v>45547</v>
      </c>
      <c r="C548" s="2">
        <v>0.75</v>
      </c>
      <c r="D548">
        <v>3</v>
      </c>
      <c r="E548">
        <v>10.8</v>
      </c>
      <c r="F548">
        <v>84</v>
      </c>
    </row>
    <row r="549" spans="1:6" x14ac:dyDescent="0.35">
      <c r="A549">
        <v>1975</v>
      </c>
      <c r="B549" s="1">
        <v>45547</v>
      </c>
      <c r="C549" s="2">
        <v>0.79166666666666663</v>
      </c>
      <c r="D549">
        <v>3</v>
      </c>
      <c r="E549">
        <v>10.7</v>
      </c>
      <c r="F549">
        <v>84</v>
      </c>
    </row>
    <row r="550" spans="1:6" x14ac:dyDescent="0.35">
      <c r="A550">
        <v>1975</v>
      </c>
      <c r="B550" s="1">
        <v>45547</v>
      </c>
      <c r="C550" s="2">
        <v>0.83333333333333337</v>
      </c>
      <c r="D550">
        <v>3</v>
      </c>
      <c r="E550">
        <v>9.1</v>
      </c>
      <c r="F550">
        <v>92</v>
      </c>
    </row>
    <row r="551" spans="1:6" x14ac:dyDescent="0.35">
      <c r="A551">
        <v>1975</v>
      </c>
      <c r="B551" s="1">
        <v>45547</v>
      </c>
      <c r="C551" s="2">
        <v>0.875</v>
      </c>
      <c r="D551">
        <v>3</v>
      </c>
      <c r="E551">
        <v>8.6999999999999993</v>
      </c>
      <c r="F551">
        <v>95</v>
      </c>
    </row>
    <row r="552" spans="1:6" x14ac:dyDescent="0.35">
      <c r="A552">
        <v>1975</v>
      </c>
      <c r="B552" s="1">
        <v>45547</v>
      </c>
      <c r="C552" s="2">
        <v>0.91666666666666663</v>
      </c>
      <c r="D552">
        <v>3</v>
      </c>
      <c r="E552">
        <v>7.5</v>
      </c>
      <c r="F552">
        <v>99</v>
      </c>
    </row>
    <row r="553" spans="1:6" x14ac:dyDescent="0.35">
      <c r="A553">
        <v>1975</v>
      </c>
      <c r="B553" s="1">
        <v>45547</v>
      </c>
      <c r="C553" s="2">
        <v>0.95833333333333337</v>
      </c>
      <c r="D553">
        <v>3</v>
      </c>
      <c r="E553">
        <v>6.9</v>
      </c>
      <c r="F553">
        <v>99</v>
      </c>
    </row>
    <row r="554" spans="1:6" x14ac:dyDescent="0.35">
      <c r="A554">
        <v>1975</v>
      </c>
      <c r="B554" s="1">
        <v>45548</v>
      </c>
      <c r="C554" s="2">
        <v>0</v>
      </c>
      <c r="D554">
        <v>3</v>
      </c>
      <c r="E554">
        <v>6.1</v>
      </c>
      <c r="F554">
        <v>100</v>
      </c>
    </row>
    <row r="555" spans="1:6" x14ac:dyDescent="0.35">
      <c r="A555">
        <v>1975</v>
      </c>
      <c r="B555" s="1">
        <v>45548</v>
      </c>
      <c r="C555" s="2">
        <v>4.1666666666666657E-2</v>
      </c>
      <c r="D555">
        <v>3</v>
      </c>
      <c r="E555">
        <v>6.5</v>
      </c>
      <c r="F555">
        <v>100</v>
      </c>
    </row>
    <row r="556" spans="1:6" x14ac:dyDescent="0.35">
      <c r="A556">
        <v>1975</v>
      </c>
      <c r="B556" s="1">
        <v>45548</v>
      </c>
      <c r="C556" s="2">
        <v>8.3333333333333329E-2</v>
      </c>
      <c r="D556">
        <v>3</v>
      </c>
      <c r="E556">
        <v>6.1</v>
      </c>
      <c r="F556">
        <v>100</v>
      </c>
    </row>
    <row r="557" spans="1:6" x14ac:dyDescent="0.35">
      <c r="A557">
        <v>1975</v>
      </c>
      <c r="B557" s="1">
        <v>45548</v>
      </c>
      <c r="C557" s="2">
        <v>0.125</v>
      </c>
      <c r="D557">
        <v>3</v>
      </c>
      <c r="E557">
        <v>6</v>
      </c>
      <c r="F557">
        <v>100</v>
      </c>
    </row>
    <row r="558" spans="1:6" x14ac:dyDescent="0.35">
      <c r="A558">
        <v>1975</v>
      </c>
      <c r="B558" s="1">
        <v>45548</v>
      </c>
      <c r="C558" s="2">
        <v>0.16666666666666671</v>
      </c>
      <c r="D558">
        <v>3</v>
      </c>
      <c r="E558">
        <v>5.7</v>
      </c>
      <c r="F558">
        <v>100</v>
      </c>
    </row>
    <row r="559" spans="1:6" x14ac:dyDescent="0.35">
      <c r="A559">
        <v>1975</v>
      </c>
      <c r="B559" s="1">
        <v>45548</v>
      </c>
      <c r="C559" s="2">
        <v>0.20833333333333329</v>
      </c>
      <c r="D559">
        <v>3</v>
      </c>
      <c r="E559">
        <v>5.5</v>
      </c>
      <c r="F559">
        <v>100</v>
      </c>
    </row>
    <row r="560" spans="1:6" x14ac:dyDescent="0.35">
      <c r="A560">
        <v>1975</v>
      </c>
      <c r="B560" s="1">
        <v>45548</v>
      </c>
      <c r="C560" s="2">
        <v>0.25</v>
      </c>
      <c r="D560">
        <v>3</v>
      </c>
      <c r="E560">
        <v>6.3</v>
      </c>
      <c r="F560">
        <v>100</v>
      </c>
    </row>
    <row r="561" spans="1:6" x14ac:dyDescent="0.35">
      <c r="A561">
        <v>1975</v>
      </c>
      <c r="B561" s="1">
        <v>45548</v>
      </c>
      <c r="C561" s="2">
        <v>0.29166666666666669</v>
      </c>
      <c r="D561">
        <v>3</v>
      </c>
      <c r="E561">
        <v>8.6999999999999993</v>
      </c>
      <c r="F561">
        <v>96</v>
      </c>
    </row>
    <row r="562" spans="1:6" x14ac:dyDescent="0.35">
      <c r="A562">
        <v>1975</v>
      </c>
      <c r="B562" s="1">
        <v>45548</v>
      </c>
      <c r="C562" s="2">
        <v>0.33333333333333331</v>
      </c>
      <c r="D562">
        <v>3</v>
      </c>
      <c r="E562">
        <v>10.9</v>
      </c>
      <c r="F562">
        <v>90</v>
      </c>
    </row>
    <row r="563" spans="1:6" x14ac:dyDescent="0.35">
      <c r="A563">
        <v>1975</v>
      </c>
      <c r="B563" s="1">
        <v>45548</v>
      </c>
      <c r="C563" s="2">
        <v>0.375</v>
      </c>
      <c r="D563">
        <v>3</v>
      </c>
      <c r="E563">
        <v>12.8</v>
      </c>
      <c r="F563">
        <v>81</v>
      </c>
    </row>
    <row r="564" spans="1:6" x14ac:dyDescent="0.35">
      <c r="A564">
        <v>1975</v>
      </c>
      <c r="B564" s="1">
        <v>45548</v>
      </c>
      <c r="C564" s="2">
        <v>0.41666666666666669</v>
      </c>
      <c r="D564">
        <v>3</v>
      </c>
      <c r="E564">
        <v>14.5</v>
      </c>
      <c r="F564">
        <v>65</v>
      </c>
    </row>
    <row r="565" spans="1:6" x14ac:dyDescent="0.35">
      <c r="A565">
        <v>1975</v>
      </c>
      <c r="B565" s="1">
        <v>45548</v>
      </c>
      <c r="C565" s="2">
        <v>0.45833333333333331</v>
      </c>
      <c r="D565">
        <v>3</v>
      </c>
      <c r="E565">
        <v>14.9</v>
      </c>
      <c r="F565">
        <v>60</v>
      </c>
    </row>
    <row r="566" spans="1:6" x14ac:dyDescent="0.35">
      <c r="A566">
        <v>1975</v>
      </c>
      <c r="B566" s="1">
        <v>45548</v>
      </c>
      <c r="C566" s="2">
        <v>0.5</v>
      </c>
      <c r="D566">
        <v>3</v>
      </c>
      <c r="E566">
        <v>14.9</v>
      </c>
      <c r="F566">
        <v>58</v>
      </c>
    </row>
    <row r="567" spans="1:6" x14ac:dyDescent="0.35">
      <c r="A567">
        <v>1975</v>
      </c>
      <c r="B567" s="1">
        <v>45548</v>
      </c>
      <c r="C567" s="2">
        <v>0.54166666666666663</v>
      </c>
      <c r="D567">
        <v>3</v>
      </c>
      <c r="E567">
        <v>15.3</v>
      </c>
      <c r="F567">
        <v>57</v>
      </c>
    </row>
    <row r="568" spans="1:6" x14ac:dyDescent="0.35">
      <c r="A568">
        <v>1975</v>
      </c>
      <c r="B568" s="1">
        <v>45548</v>
      </c>
      <c r="C568" s="2">
        <v>0.58333333333333337</v>
      </c>
      <c r="D568">
        <v>3</v>
      </c>
      <c r="E568">
        <v>15.4</v>
      </c>
      <c r="F568">
        <v>57</v>
      </c>
    </row>
    <row r="569" spans="1:6" x14ac:dyDescent="0.35">
      <c r="A569">
        <v>1975</v>
      </c>
      <c r="B569" s="1">
        <v>45548</v>
      </c>
      <c r="C569" s="2">
        <v>0.625</v>
      </c>
      <c r="D569">
        <v>3</v>
      </c>
      <c r="E569">
        <v>14.6</v>
      </c>
      <c r="F569">
        <v>63</v>
      </c>
    </row>
    <row r="570" spans="1:6" x14ac:dyDescent="0.35">
      <c r="A570">
        <v>1975</v>
      </c>
      <c r="B570" s="1">
        <v>45548</v>
      </c>
      <c r="C570" s="2">
        <v>0.66666666666666663</v>
      </c>
      <c r="D570">
        <v>3</v>
      </c>
      <c r="E570">
        <v>14.2</v>
      </c>
      <c r="F570">
        <v>63</v>
      </c>
    </row>
    <row r="571" spans="1:6" x14ac:dyDescent="0.35">
      <c r="A571">
        <v>1975</v>
      </c>
      <c r="B571" s="1">
        <v>45548</v>
      </c>
      <c r="C571" s="2">
        <v>0.70833333333333337</v>
      </c>
      <c r="D571">
        <v>3</v>
      </c>
      <c r="E571">
        <v>13.3</v>
      </c>
      <c r="F571">
        <v>65</v>
      </c>
    </row>
    <row r="572" spans="1:6" x14ac:dyDescent="0.35">
      <c r="A572">
        <v>1975</v>
      </c>
      <c r="B572" s="1">
        <v>45548</v>
      </c>
      <c r="C572" s="2">
        <v>0.75</v>
      </c>
      <c r="D572">
        <v>3</v>
      </c>
      <c r="E572">
        <v>12</v>
      </c>
      <c r="F572">
        <v>72</v>
      </c>
    </row>
    <row r="573" spans="1:6" x14ac:dyDescent="0.35">
      <c r="A573">
        <v>1975</v>
      </c>
      <c r="B573" s="1">
        <v>45548</v>
      </c>
      <c r="C573" s="2">
        <v>0.79166666666666663</v>
      </c>
      <c r="D573">
        <v>3</v>
      </c>
      <c r="E573">
        <v>11.4</v>
      </c>
      <c r="F573">
        <v>73</v>
      </c>
    </row>
    <row r="574" spans="1:6" x14ac:dyDescent="0.35">
      <c r="A574">
        <v>1975</v>
      </c>
      <c r="B574" s="1">
        <v>45548</v>
      </c>
      <c r="C574" s="2">
        <v>0.83333333333333337</v>
      </c>
      <c r="D574">
        <v>3</v>
      </c>
      <c r="E574">
        <v>10.3</v>
      </c>
      <c r="F574">
        <v>77</v>
      </c>
    </row>
    <row r="575" spans="1:6" x14ac:dyDescent="0.35">
      <c r="A575">
        <v>1975</v>
      </c>
      <c r="B575" s="1">
        <v>45548</v>
      </c>
      <c r="C575" s="2">
        <v>0.875</v>
      </c>
      <c r="D575">
        <v>3</v>
      </c>
      <c r="E575">
        <v>9.3000000000000007</v>
      </c>
      <c r="F575">
        <v>82</v>
      </c>
    </row>
    <row r="576" spans="1:6" x14ac:dyDescent="0.35">
      <c r="A576">
        <v>1975</v>
      </c>
      <c r="B576" s="1">
        <v>45548</v>
      </c>
      <c r="C576" s="2">
        <v>0.91666666666666663</v>
      </c>
      <c r="D576">
        <v>3</v>
      </c>
      <c r="E576">
        <v>8.8000000000000007</v>
      </c>
      <c r="F576">
        <v>84</v>
      </c>
    </row>
    <row r="577" spans="1:6" x14ac:dyDescent="0.35">
      <c r="A577">
        <v>1975</v>
      </c>
      <c r="B577" s="1">
        <v>45548</v>
      </c>
      <c r="C577" s="2">
        <v>0.95833333333333337</v>
      </c>
      <c r="D577">
        <v>3</v>
      </c>
      <c r="E577">
        <v>8.5</v>
      </c>
      <c r="F577">
        <v>83</v>
      </c>
    </row>
    <row r="578" spans="1:6" x14ac:dyDescent="0.35">
      <c r="A578">
        <v>1975</v>
      </c>
      <c r="B578" s="1">
        <v>45549</v>
      </c>
      <c r="C578" s="2">
        <v>0</v>
      </c>
      <c r="D578">
        <v>3</v>
      </c>
      <c r="E578">
        <v>7.6</v>
      </c>
      <c r="F578">
        <v>86</v>
      </c>
    </row>
    <row r="579" spans="1:6" x14ac:dyDescent="0.35">
      <c r="A579">
        <v>1975</v>
      </c>
      <c r="B579" s="1">
        <v>45549</v>
      </c>
      <c r="C579" s="2">
        <v>4.1666666666666657E-2</v>
      </c>
      <c r="D579">
        <v>3</v>
      </c>
      <c r="E579">
        <v>5.9</v>
      </c>
      <c r="F579">
        <v>88</v>
      </c>
    </row>
    <row r="580" spans="1:6" x14ac:dyDescent="0.35">
      <c r="A580">
        <v>1975</v>
      </c>
      <c r="B580" s="1">
        <v>45549</v>
      </c>
      <c r="C580" s="2">
        <v>8.3333333333333329E-2</v>
      </c>
      <c r="D580">
        <v>3</v>
      </c>
      <c r="E580">
        <v>7.3</v>
      </c>
      <c r="F580">
        <v>88</v>
      </c>
    </row>
    <row r="581" spans="1:6" x14ac:dyDescent="0.35">
      <c r="A581">
        <v>1975</v>
      </c>
      <c r="B581" s="1">
        <v>45549</v>
      </c>
      <c r="C581" s="2">
        <v>0.125</v>
      </c>
      <c r="D581">
        <v>3</v>
      </c>
      <c r="E581">
        <v>6.3</v>
      </c>
      <c r="F581">
        <v>92</v>
      </c>
    </row>
    <row r="582" spans="1:6" x14ac:dyDescent="0.35">
      <c r="A582">
        <v>1975</v>
      </c>
      <c r="B582" s="1">
        <v>45549</v>
      </c>
      <c r="C582" s="2">
        <v>0.16666666666666671</v>
      </c>
      <c r="D582">
        <v>3</v>
      </c>
      <c r="E582">
        <v>6.9</v>
      </c>
      <c r="F582">
        <v>89</v>
      </c>
    </row>
    <row r="583" spans="1:6" x14ac:dyDescent="0.35">
      <c r="A583">
        <v>1975</v>
      </c>
      <c r="B583" s="1">
        <v>45549</v>
      </c>
      <c r="C583" s="2">
        <v>0.20833333333333329</v>
      </c>
      <c r="D583">
        <v>3</v>
      </c>
      <c r="E583">
        <v>6.5</v>
      </c>
      <c r="F583">
        <v>90</v>
      </c>
    </row>
    <row r="584" spans="1:6" x14ac:dyDescent="0.35">
      <c r="A584">
        <v>1975</v>
      </c>
      <c r="B584" s="1">
        <v>45549</v>
      </c>
      <c r="C584" s="2">
        <v>0.25</v>
      </c>
      <c r="D584">
        <v>3</v>
      </c>
      <c r="E584">
        <v>8</v>
      </c>
      <c r="F584">
        <v>83</v>
      </c>
    </row>
    <row r="585" spans="1:6" x14ac:dyDescent="0.35">
      <c r="A585">
        <v>1975</v>
      </c>
      <c r="B585" s="1">
        <v>45549</v>
      </c>
      <c r="C585" s="2">
        <v>0.29166666666666669</v>
      </c>
      <c r="D585">
        <v>3</v>
      </c>
      <c r="E585">
        <v>9.9</v>
      </c>
      <c r="F585">
        <v>77</v>
      </c>
    </row>
    <row r="586" spans="1:6" x14ac:dyDescent="0.35">
      <c r="A586">
        <v>1975</v>
      </c>
      <c r="B586" s="1">
        <v>45549</v>
      </c>
      <c r="C586" s="2">
        <v>0.33333333333333331</v>
      </c>
      <c r="D586">
        <v>3</v>
      </c>
      <c r="E586">
        <v>12</v>
      </c>
      <c r="F586">
        <v>69</v>
      </c>
    </row>
    <row r="587" spans="1:6" x14ac:dyDescent="0.35">
      <c r="A587">
        <v>1975</v>
      </c>
      <c r="B587" s="1">
        <v>45549</v>
      </c>
      <c r="C587" s="2">
        <v>0.375</v>
      </c>
      <c r="D587">
        <v>3</v>
      </c>
      <c r="E587">
        <v>13.6</v>
      </c>
      <c r="F587">
        <v>60</v>
      </c>
    </row>
    <row r="588" spans="1:6" x14ac:dyDescent="0.35">
      <c r="A588">
        <v>1975</v>
      </c>
      <c r="B588" s="1">
        <v>45549</v>
      </c>
      <c r="C588" s="2">
        <v>0.41666666666666669</v>
      </c>
      <c r="D588">
        <v>3</v>
      </c>
      <c r="E588">
        <v>14.6</v>
      </c>
      <c r="F588">
        <v>57</v>
      </c>
    </row>
    <row r="589" spans="1:6" x14ac:dyDescent="0.35">
      <c r="A589">
        <v>1975</v>
      </c>
      <c r="B589" s="1">
        <v>45549</v>
      </c>
      <c r="C589" s="2">
        <v>0.45833333333333331</v>
      </c>
      <c r="D589">
        <v>3</v>
      </c>
      <c r="E589">
        <v>14.9</v>
      </c>
      <c r="F589">
        <v>55</v>
      </c>
    </row>
    <row r="590" spans="1:6" x14ac:dyDescent="0.35">
      <c r="A590">
        <v>1975</v>
      </c>
      <c r="B590" s="1">
        <v>45549</v>
      </c>
      <c r="C590" s="2">
        <v>0.5</v>
      </c>
      <c r="D590">
        <v>3</v>
      </c>
      <c r="E590">
        <v>14.8</v>
      </c>
      <c r="F590">
        <v>56</v>
      </c>
    </row>
    <row r="591" spans="1:6" x14ac:dyDescent="0.35">
      <c r="A591">
        <v>1975</v>
      </c>
      <c r="B591" s="1">
        <v>45549</v>
      </c>
      <c r="C591" s="2">
        <v>0.54166666666666663</v>
      </c>
      <c r="D591">
        <v>3</v>
      </c>
      <c r="E591">
        <v>15.8</v>
      </c>
      <c r="F591">
        <v>52</v>
      </c>
    </row>
    <row r="592" spans="1:6" x14ac:dyDescent="0.35">
      <c r="A592">
        <v>1975</v>
      </c>
      <c r="B592" s="1">
        <v>45549</v>
      </c>
      <c r="C592" s="2">
        <v>0.58333333333333337</v>
      </c>
      <c r="D592">
        <v>3</v>
      </c>
      <c r="E592">
        <v>15.2</v>
      </c>
      <c r="F592">
        <v>57</v>
      </c>
    </row>
    <row r="593" spans="1:6" x14ac:dyDescent="0.35">
      <c r="A593">
        <v>1975</v>
      </c>
      <c r="B593" s="1">
        <v>45549</v>
      </c>
      <c r="C593" s="2">
        <v>0.625</v>
      </c>
      <c r="D593">
        <v>3</v>
      </c>
      <c r="E593">
        <v>15.7</v>
      </c>
      <c r="F593">
        <v>55</v>
      </c>
    </row>
    <row r="594" spans="1:6" x14ac:dyDescent="0.35">
      <c r="A594">
        <v>1975</v>
      </c>
      <c r="B594" s="1">
        <v>45549</v>
      </c>
      <c r="C594" s="2">
        <v>0.66666666666666663</v>
      </c>
      <c r="D594">
        <v>3</v>
      </c>
      <c r="E594">
        <v>15.1</v>
      </c>
      <c r="F594">
        <v>55</v>
      </c>
    </row>
    <row r="595" spans="1:6" x14ac:dyDescent="0.35">
      <c r="A595">
        <v>1975</v>
      </c>
      <c r="B595" s="1">
        <v>45549</v>
      </c>
      <c r="C595" s="2">
        <v>0.70833333333333337</v>
      </c>
      <c r="D595">
        <v>3</v>
      </c>
      <c r="E595">
        <v>14.1</v>
      </c>
      <c r="F595">
        <v>61</v>
      </c>
    </row>
    <row r="596" spans="1:6" x14ac:dyDescent="0.35">
      <c r="A596">
        <v>1975</v>
      </c>
      <c r="B596" s="1">
        <v>45549</v>
      </c>
      <c r="C596" s="2">
        <v>0.75</v>
      </c>
      <c r="D596">
        <v>3</v>
      </c>
      <c r="E596">
        <v>11.3</v>
      </c>
      <c r="F596">
        <v>78</v>
      </c>
    </row>
    <row r="597" spans="1:6" x14ac:dyDescent="0.35">
      <c r="A597">
        <v>1975</v>
      </c>
      <c r="B597" s="1">
        <v>45549</v>
      </c>
      <c r="C597" s="2">
        <v>0.79166666666666663</v>
      </c>
      <c r="D597">
        <v>3</v>
      </c>
      <c r="E597">
        <v>9.6</v>
      </c>
      <c r="F597">
        <v>87</v>
      </c>
    </row>
    <row r="598" spans="1:6" x14ac:dyDescent="0.35">
      <c r="A598">
        <v>1975</v>
      </c>
      <c r="B598" s="1">
        <v>45549</v>
      </c>
      <c r="C598" s="2">
        <v>0.83333333333333337</v>
      </c>
      <c r="D598">
        <v>3</v>
      </c>
      <c r="E598">
        <v>8.3000000000000007</v>
      </c>
      <c r="F598">
        <v>92</v>
      </c>
    </row>
    <row r="599" spans="1:6" x14ac:dyDescent="0.35">
      <c r="A599">
        <v>1975</v>
      </c>
      <c r="B599" s="1">
        <v>45549</v>
      </c>
      <c r="C599" s="2">
        <v>0.875</v>
      </c>
      <c r="D599">
        <v>3</v>
      </c>
      <c r="E599">
        <v>8.1</v>
      </c>
      <c r="F599">
        <v>98</v>
      </c>
    </row>
    <row r="600" spans="1:6" x14ac:dyDescent="0.35">
      <c r="A600">
        <v>1975</v>
      </c>
      <c r="B600" s="1">
        <v>45549</v>
      </c>
      <c r="C600" s="2">
        <v>0.91666666666666663</v>
      </c>
      <c r="D600">
        <v>3</v>
      </c>
      <c r="E600">
        <v>7.4</v>
      </c>
      <c r="F600">
        <v>99</v>
      </c>
    </row>
    <row r="601" spans="1:6" x14ac:dyDescent="0.35">
      <c r="A601">
        <v>1975</v>
      </c>
      <c r="B601" s="1">
        <v>45549</v>
      </c>
      <c r="C601" s="2">
        <v>0.95833333333333337</v>
      </c>
      <c r="D601">
        <v>3</v>
      </c>
      <c r="E601">
        <v>6.2</v>
      </c>
      <c r="F601">
        <v>99</v>
      </c>
    </row>
    <row r="602" spans="1:6" x14ac:dyDescent="0.35">
      <c r="A602">
        <v>1975</v>
      </c>
      <c r="B602" s="1">
        <v>45550</v>
      </c>
      <c r="C602" s="2">
        <v>0</v>
      </c>
      <c r="D602">
        <v>3</v>
      </c>
      <c r="E602">
        <v>5.9</v>
      </c>
      <c r="F602">
        <v>100</v>
      </c>
    </row>
    <row r="603" spans="1:6" x14ac:dyDescent="0.35">
      <c r="A603">
        <v>1975</v>
      </c>
      <c r="B603" s="1">
        <v>45550</v>
      </c>
      <c r="C603" s="2">
        <v>4.1666666666666657E-2</v>
      </c>
      <c r="D603">
        <v>3</v>
      </c>
      <c r="E603">
        <v>5</v>
      </c>
      <c r="F603">
        <v>98</v>
      </c>
    </row>
    <row r="604" spans="1:6" x14ac:dyDescent="0.35">
      <c r="A604">
        <v>1975</v>
      </c>
      <c r="B604" s="1">
        <v>45550</v>
      </c>
      <c r="C604" s="2">
        <v>8.3333333333333329E-2</v>
      </c>
      <c r="D604">
        <v>3</v>
      </c>
      <c r="E604">
        <v>4.8</v>
      </c>
      <c r="F604">
        <v>99</v>
      </c>
    </row>
    <row r="605" spans="1:6" x14ac:dyDescent="0.35">
      <c r="A605">
        <v>1975</v>
      </c>
      <c r="B605" s="1">
        <v>45550</v>
      </c>
      <c r="C605" s="2">
        <v>0.125</v>
      </c>
      <c r="D605">
        <v>3</v>
      </c>
      <c r="E605">
        <v>5</v>
      </c>
      <c r="F605">
        <v>100</v>
      </c>
    </row>
    <row r="606" spans="1:6" x14ac:dyDescent="0.35">
      <c r="A606">
        <v>1975</v>
      </c>
      <c r="B606" s="1">
        <v>45550</v>
      </c>
      <c r="C606" s="2">
        <v>0.16666666666666671</v>
      </c>
      <c r="D606">
        <v>3</v>
      </c>
      <c r="E606">
        <v>4.8</v>
      </c>
      <c r="F606">
        <v>100</v>
      </c>
    </row>
    <row r="607" spans="1:6" x14ac:dyDescent="0.35">
      <c r="A607">
        <v>1975</v>
      </c>
      <c r="B607" s="1">
        <v>45550</v>
      </c>
      <c r="C607" s="2">
        <v>0.20833333333333329</v>
      </c>
      <c r="D607">
        <v>3</v>
      </c>
      <c r="E607">
        <v>4.9000000000000004</v>
      </c>
      <c r="F607">
        <v>100</v>
      </c>
    </row>
    <row r="608" spans="1:6" x14ac:dyDescent="0.35">
      <c r="A608">
        <v>1975</v>
      </c>
      <c r="B608" s="1">
        <v>45550</v>
      </c>
      <c r="C608" s="2">
        <v>0.25</v>
      </c>
      <c r="D608">
        <v>3</v>
      </c>
      <c r="E608">
        <v>7</v>
      </c>
      <c r="F608">
        <v>97</v>
      </c>
    </row>
    <row r="609" spans="1:6" x14ac:dyDescent="0.35">
      <c r="A609">
        <v>1975</v>
      </c>
      <c r="B609" s="1">
        <v>45550</v>
      </c>
      <c r="C609" s="2">
        <v>0.29166666666666669</v>
      </c>
      <c r="D609">
        <v>3</v>
      </c>
      <c r="E609">
        <v>10.199999999999999</v>
      </c>
      <c r="F609">
        <v>86</v>
      </c>
    </row>
    <row r="610" spans="1:6" x14ac:dyDescent="0.35">
      <c r="A610">
        <v>1975</v>
      </c>
      <c r="B610" s="1">
        <v>45550</v>
      </c>
      <c r="C610" s="2">
        <v>0.33333333333333331</v>
      </c>
      <c r="D610">
        <v>3</v>
      </c>
      <c r="E610">
        <v>12.7</v>
      </c>
      <c r="F610">
        <v>75</v>
      </c>
    </row>
    <row r="611" spans="1:6" x14ac:dyDescent="0.35">
      <c r="A611">
        <v>1975</v>
      </c>
      <c r="B611" s="1">
        <v>45550</v>
      </c>
      <c r="C611" s="2">
        <v>0.375</v>
      </c>
      <c r="D611">
        <v>3</v>
      </c>
      <c r="E611">
        <v>14.3</v>
      </c>
      <c r="F611">
        <v>67</v>
      </c>
    </row>
    <row r="612" spans="1:6" x14ac:dyDescent="0.35">
      <c r="A612">
        <v>1975</v>
      </c>
      <c r="B612" s="1">
        <v>45550</v>
      </c>
      <c r="C612" s="2">
        <v>0.41666666666666669</v>
      </c>
      <c r="D612">
        <v>3</v>
      </c>
      <c r="E612">
        <v>15</v>
      </c>
      <c r="F612">
        <v>67</v>
      </c>
    </row>
    <row r="613" spans="1:6" x14ac:dyDescent="0.35">
      <c r="A613">
        <v>1975</v>
      </c>
      <c r="B613" s="1">
        <v>45550</v>
      </c>
      <c r="C613" s="2">
        <v>0.45833333333333331</v>
      </c>
      <c r="D613">
        <v>3</v>
      </c>
      <c r="E613">
        <v>16</v>
      </c>
      <c r="F613">
        <v>66</v>
      </c>
    </row>
    <row r="614" spans="1:6" x14ac:dyDescent="0.35">
      <c r="A614">
        <v>1975</v>
      </c>
      <c r="B614" s="1">
        <v>45550</v>
      </c>
      <c r="C614" s="2">
        <v>0.5</v>
      </c>
      <c r="D614">
        <v>3</v>
      </c>
      <c r="E614">
        <v>16.5</v>
      </c>
      <c r="F614">
        <v>63</v>
      </c>
    </row>
    <row r="615" spans="1:6" x14ac:dyDescent="0.35">
      <c r="A615">
        <v>1975</v>
      </c>
      <c r="B615" s="1">
        <v>45550</v>
      </c>
      <c r="C615" s="2">
        <v>0.54166666666666663</v>
      </c>
      <c r="D615">
        <v>3</v>
      </c>
      <c r="E615">
        <v>16.399999999999999</v>
      </c>
      <c r="F615">
        <v>60</v>
      </c>
    </row>
    <row r="616" spans="1:6" x14ac:dyDescent="0.35">
      <c r="A616">
        <v>1975</v>
      </c>
      <c r="B616" s="1">
        <v>45550</v>
      </c>
      <c r="C616" s="2">
        <v>0.58333333333333337</v>
      </c>
      <c r="D616">
        <v>3</v>
      </c>
      <c r="E616">
        <v>17.2</v>
      </c>
      <c r="F616">
        <v>62</v>
      </c>
    </row>
    <row r="617" spans="1:6" x14ac:dyDescent="0.35">
      <c r="A617">
        <v>1975</v>
      </c>
      <c r="B617" s="1">
        <v>45550</v>
      </c>
      <c r="C617" s="2">
        <v>0.625</v>
      </c>
      <c r="D617">
        <v>3</v>
      </c>
      <c r="E617">
        <v>17.8</v>
      </c>
      <c r="F617">
        <v>58</v>
      </c>
    </row>
    <row r="618" spans="1:6" x14ac:dyDescent="0.35">
      <c r="A618">
        <v>1975</v>
      </c>
      <c r="B618" s="1">
        <v>45550</v>
      </c>
      <c r="C618" s="2">
        <v>0.66666666666666663</v>
      </c>
      <c r="D618">
        <v>3</v>
      </c>
      <c r="E618">
        <v>17.399999999999999</v>
      </c>
      <c r="F618">
        <v>62</v>
      </c>
    </row>
    <row r="619" spans="1:6" x14ac:dyDescent="0.35">
      <c r="A619">
        <v>1975</v>
      </c>
      <c r="B619" s="1">
        <v>45550</v>
      </c>
      <c r="C619" s="2">
        <v>0.70833333333333337</v>
      </c>
      <c r="D619">
        <v>3</v>
      </c>
      <c r="E619">
        <v>15.6</v>
      </c>
      <c r="F619">
        <v>72</v>
      </c>
    </row>
    <row r="620" spans="1:6" x14ac:dyDescent="0.35">
      <c r="A620">
        <v>1975</v>
      </c>
      <c r="B620" s="1">
        <v>45550</v>
      </c>
      <c r="C620" s="2">
        <v>0.75</v>
      </c>
      <c r="D620">
        <v>3</v>
      </c>
      <c r="E620">
        <v>13.8</v>
      </c>
      <c r="F620">
        <v>82</v>
      </c>
    </row>
    <row r="621" spans="1:6" x14ac:dyDescent="0.35">
      <c r="A621">
        <v>1975</v>
      </c>
      <c r="B621" s="1">
        <v>45550</v>
      </c>
      <c r="C621" s="2">
        <v>0.79166666666666663</v>
      </c>
      <c r="D621">
        <v>3</v>
      </c>
      <c r="E621">
        <v>12.2</v>
      </c>
      <c r="F621">
        <v>94</v>
      </c>
    </row>
    <row r="622" spans="1:6" x14ac:dyDescent="0.35">
      <c r="A622">
        <v>1975</v>
      </c>
      <c r="B622" s="1">
        <v>45550</v>
      </c>
      <c r="C622" s="2">
        <v>0.83333333333333337</v>
      </c>
      <c r="D622">
        <v>3</v>
      </c>
      <c r="E622">
        <v>11.4</v>
      </c>
      <c r="F622">
        <v>96</v>
      </c>
    </row>
    <row r="623" spans="1:6" x14ac:dyDescent="0.35">
      <c r="A623">
        <v>1975</v>
      </c>
      <c r="B623" s="1">
        <v>45550</v>
      </c>
      <c r="C623" s="2">
        <v>0.875</v>
      </c>
      <c r="D623">
        <v>3</v>
      </c>
      <c r="E623">
        <v>10.3</v>
      </c>
      <c r="F623">
        <v>98</v>
      </c>
    </row>
    <row r="624" spans="1:6" x14ac:dyDescent="0.35">
      <c r="A624">
        <v>1975</v>
      </c>
      <c r="B624" s="1">
        <v>45550</v>
      </c>
      <c r="C624" s="2">
        <v>0.91666666666666663</v>
      </c>
      <c r="D624">
        <v>3</v>
      </c>
      <c r="E624">
        <v>9.8000000000000007</v>
      </c>
      <c r="F624">
        <v>100</v>
      </c>
    </row>
    <row r="625" spans="1:6" x14ac:dyDescent="0.35">
      <c r="A625">
        <v>1975</v>
      </c>
      <c r="B625" s="1">
        <v>45550</v>
      </c>
      <c r="C625" s="2">
        <v>0.95833333333333337</v>
      </c>
      <c r="D625">
        <v>3</v>
      </c>
      <c r="E625">
        <v>9.6999999999999993</v>
      </c>
      <c r="F625">
        <v>100</v>
      </c>
    </row>
    <row r="626" spans="1:6" x14ac:dyDescent="0.35">
      <c r="A626">
        <v>1975</v>
      </c>
      <c r="B626" s="1">
        <v>45551</v>
      </c>
      <c r="C626" s="2">
        <v>0</v>
      </c>
      <c r="D626">
        <v>3</v>
      </c>
      <c r="E626">
        <v>9.1</v>
      </c>
      <c r="F626">
        <v>100</v>
      </c>
    </row>
    <row r="627" spans="1:6" x14ac:dyDescent="0.35">
      <c r="A627">
        <v>1975</v>
      </c>
      <c r="B627" s="1">
        <v>45551</v>
      </c>
      <c r="C627" s="2">
        <v>4.1666666666666657E-2</v>
      </c>
      <c r="D627">
        <v>3</v>
      </c>
      <c r="E627">
        <v>9.9</v>
      </c>
      <c r="F627">
        <v>99</v>
      </c>
    </row>
    <row r="628" spans="1:6" x14ac:dyDescent="0.35">
      <c r="A628">
        <v>1975</v>
      </c>
      <c r="B628" s="1">
        <v>45551</v>
      </c>
      <c r="C628" s="2">
        <v>8.3333333333333329E-2</v>
      </c>
      <c r="D628">
        <v>3</v>
      </c>
      <c r="E628">
        <v>11.3</v>
      </c>
      <c r="F628">
        <v>96</v>
      </c>
    </row>
    <row r="629" spans="1:6" x14ac:dyDescent="0.35">
      <c r="A629">
        <v>1975</v>
      </c>
      <c r="B629" s="1">
        <v>45551</v>
      </c>
      <c r="C629" s="2">
        <v>0.125</v>
      </c>
      <c r="D629">
        <v>3</v>
      </c>
      <c r="E629">
        <v>11.7</v>
      </c>
      <c r="F629">
        <v>96</v>
      </c>
    </row>
    <row r="630" spans="1:6" x14ac:dyDescent="0.35">
      <c r="A630">
        <v>1975</v>
      </c>
      <c r="B630" s="1">
        <v>45551</v>
      </c>
      <c r="C630" s="2">
        <v>0.16666666666666671</v>
      </c>
      <c r="D630">
        <v>3</v>
      </c>
      <c r="E630">
        <v>11.8</v>
      </c>
      <c r="F630">
        <v>95</v>
      </c>
    </row>
    <row r="631" spans="1:6" x14ac:dyDescent="0.35">
      <c r="A631">
        <v>1975</v>
      </c>
      <c r="B631" s="1">
        <v>45551</v>
      </c>
      <c r="C631" s="2">
        <v>0.20833333333333329</v>
      </c>
      <c r="D631">
        <v>3</v>
      </c>
      <c r="E631">
        <v>11.8</v>
      </c>
      <c r="F631">
        <v>97</v>
      </c>
    </row>
    <row r="632" spans="1:6" x14ac:dyDescent="0.35">
      <c r="A632">
        <v>1975</v>
      </c>
      <c r="B632" s="1">
        <v>45551</v>
      </c>
      <c r="C632" s="2">
        <v>0.25</v>
      </c>
      <c r="D632">
        <v>3</v>
      </c>
      <c r="E632">
        <v>12.8</v>
      </c>
      <c r="F632">
        <v>92</v>
      </c>
    </row>
    <row r="633" spans="1:6" x14ac:dyDescent="0.35">
      <c r="A633">
        <v>1975</v>
      </c>
      <c r="B633" s="1">
        <v>45551</v>
      </c>
      <c r="C633" s="2">
        <v>0.29166666666666669</v>
      </c>
      <c r="D633">
        <v>3</v>
      </c>
      <c r="E633">
        <v>13</v>
      </c>
      <c r="F633">
        <v>95</v>
      </c>
    </row>
    <row r="634" spans="1:6" x14ac:dyDescent="0.35">
      <c r="A634">
        <v>1975</v>
      </c>
      <c r="B634" s="1">
        <v>45551</v>
      </c>
      <c r="C634" s="2">
        <v>0.33333333333333331</v>
      </c>
      <c r="D634">
        <v>3</v>
      </c>
      <c r="E634">
        <v>14.2</v>
      </c>
      <c r="F634">
        <v>92</v>
      </c>
    </row>
    <row r="635" spans="1:6" x14ac:dyDescent="0.35">
      <c r="A635">
        <v>1975</v>
      </c>
      <c r="B635" s="1">
        <v>45551</v>
      </c>
      <c r="C635" s="2">
        <v>0.375</v>
      </c>
      <c r="D635">
        <v>3</v>
      </c>
      <c r="E635">
        <v>16.899999999999999</v>
      </c>
      <c r="F635">
        <v>79</v>
      </c>
    </row>
    <row r="636" spans="1:6" x14ac:dyDescent="0.35">
      <c r="A636">
        <v>1975</v>
      </c>
      <c r="B636" s="1">
        <v>45551</v>
      </c>
      <c r="C636" s="2">
        <v>0.41666666666666669</v>
      </c>
      <c r="D636">
        <v>3</v>
      </c>
      <c r="E636">
        <v>17.399999999999999</v>
      </c>
      <c r="F636">
        <v>71</v>
      </c>
    </row>
    <row r="637" spans="1:6" x14ac:dyDescent="0.35">
      <c r="A637">
        <v>1975</v>
      </c>
      <c r="B637" s="1">
        <v>45551</v>
      </c>
      <c r="C637" s="2">
        <v>0.45833333333333331</v>
      </c>
      <c r="D637">
        <v>3</v>
      </c>
      <c r="E637">
        <v>17.8</v>
      </c>
      <c r="F637">
        <v>72</v>
      </c>
    </row>
    <row r="638" spans="1:6" x14ac:dyDescent="0.35">
      <c r="A638">
        <v>1975</v>
      </c>
      <c r="B638" s="1">
        <v>45551</v>
      </c>
      <c r="C638" s="2">
        <v>0.5</v>
      </c>
      <c r="D638">
        <v>3</v>
      </c>
      <c r="E638">
        <v>17.899999999999999</v>
      </c>
      <c r="F638">
        <v>72</v>
      </c>
    </row>
    <row r="639" spans="1:6" x14ac:dyDescent="0.35">
      <c r="A639">
        <v>1975</v>
      </c>
      <c r="B639" s="1">
        <v>45551</v>
      </c>
      <c r="C639" s="2">
        <v>0.54166666666666663</v>
      </c>
      <c r="D639">
        <v>3</v>
      </c>
      <c r="E639">
        <v>18.2</v>
      </c>
      <c r="F639">
        <v>70</v>
      </c>
    </row>
    <row r="640" spans="1:6" x14ac:dyDescent="0.35">
      <c r="A640">
        <v>1975</v>
      </c>
      <c r="B640" s="1">
        <v>45551</v>
      </c>
      <c r="C640" s="2">
        <v>0.58333333333333337</v>
      </c>
      <c r="D640">
        <v>3</v>
      </c>
      <c r="E640">
        <v>18.3</v>
      </c>
      <c r="F640">
        <v>70</v>
      </c>
    </row>
    <row r="641" spans="1:6" x14ac:dyDescent="0.35">
      <c r="A641">
        <v>1975</v>
      </c>
      <c r="B641" s="1">
        <v>45551</v>
      </c>
      <c r="C641" s="2">
        <v>0.625</v>
      </c>
      <c r="D641">
        <v>3</v>
      </c>
      <c r="E641">
        <v>18.3</v>
      </c>
      <c r="F641">
        <v>68</v>
      </c>
    </row>
    <row r="642" spans="1:6" x14ac:dyDescent="0.35">
      <c r="A642">
        <v>1975</v>
      </c>
      <c r="B642" s="1">
        <v>45551</v>
      </c>
      <c r="C642" s="2">
        <v>0.66666666666666663</v>
      </c>
      <c r="D642">
        <v>3</v>
      </c>
      <c r="E642">
        <v>17.5</v>
      </c>
      <c r="F642">
        <v>69</v>
      </c>
    </row>
    <row r="643" spans="1:6" x14ac:dyDescent="0.35">
      <c r="A643">
        <v>1975</v>
      </c>
      <c r="B643" s="1">
        <v>45551</v>
      </c>
      <c r="C643" s="2">
        <v>0.70833333333333337</v>
      </c>
      <c r="D643">
        <v>3</v>
      </c>
      <c r="E643">
        <v>17.100000000000001</v>
      </c>
      <c r="F643">
        <v>73</v>
      </c>
    </row>
    <row r="644" spans="1:6" x14ac:dyDescent="0.35">
      <c r="A644">
        <v>1975</v>
      </c>
      <c r="B644" s="1">
        <v>45551</v>
      </c>
      <c r="C644" s="2">
        <v>0.75</v>
      </c>
      <c r="D644">
        <v>3</v>
      </c>
      <c r="E644">
        <v>16.3</v>
      </c>
      <c r="F644">
        <v>77</v>
      </c>
    </row>
    <row r="645" spans="1:6" x14ac:dyDescent="0.35">
      <c r="A645">
        <v>1975</v>
      </c>
      <c r="B645" s="1">
        <v>45551</v>
      </c>
      <c r="C645" s="2">
        <v>0.79166666666666663</v>
      </c>
      <c r="D645">
        <v>3</v>
      </c>
      <c r="E645">
        <v>15.2</v>
      </c>
      <c r="F645">
        <v>81</v>
      </c>
    </row>
    <row r="646" spans="1:6" x14ac:dyDescent="0.35">
      <c r="A646">
        <v>1975</v>
      </c>
      <c r="B646" s="1">
        <v>45551</v>
      </c>
      <c r="C646" s="2">
        <v>0.83333333333333337</v>
      </c>
      <c r="D646">
        <v>3</v>
      </c>
      <c r="E646">
        <v>13.9</v>
      </c>
      <c r="F646">
        <v>88</v>
      </c>
    </row>
    <row r="647" spans="1:6" x14ac:dyDescent="0.35">
      <c r="A647">
        <v>1975</v>
      </c>
      <c r="B647" s="1">
        <v>45551</v>
      </c>
      <c r="C647" s="2">
        <v>0.875</v>
      </c>
      <c r="D647">
        <v>3</v>
      </c>
      <c r="E647">
        <v>13.9</v>
      </c>
      <c r="F647">
        <v>89</v>
      </c>
    </row>
    <row r="648" spans="1:6" x14ac:dyDescent="0.35">
      <c r="A648">
        <v>1975</v>
      </c>
      <c r="B648" s="1">
        <v>45551</v>
      </c>
      <c r="C648" s="2">
        <v>0.91666666666666663</v>
      </c>
      <c r="D648">
        <v>3</v>
      </c>
      <c r="E648">
        <v>12.7</v>
      </c>
      <c r="F648">
        <v>93</v>
      </c>
    </row>
    <row r="649" spans="1:6" x14ac:dyDescent="0.35">
      <c r="A649">
        <v>1975</v>
      </c>
      <c r="B649" s="1">
        <v>45551</v>
      </c>
      <c r="C649" s="2">
        <v>0.95833333333333337</v>
      </c>
      <c r="D649">
        <v>3</v>
      </c>
      <c r="E649">
        <v>12.9</v>
      </c>
      <c r="F649">
        <v>91</v>
      </c>
    </row>
    <row r="650" spans="1:6" x14ac:dyDescent="0.35">
      <c r="A650">
        <v>1975</v>
      </c>
      <c r="B650" s="1">
        <v>45552</v>
      </c>
      <c r="C650" s="2">
        <v>0</v>
      </c>
      <c r="D650">
        <v>3</v>
      </c>
      <c r="E650">
        <v>12.3</v>
      </c>
      <c r="F650">
        <v>86</v>
      </c>
    </row>
    <row r="651" spans="1:6" x14ac:dyDescent="0.35">
      <c r="A651">
        <v>1975</v>
      </c>
      <c r="B651" s="1">
        <v>45552</v>
      </c>
      <c r="C651" s="2">
        <v>4.1666666666666657E-2</v>
      </c>
      <c r="D651">
        <v>3</v>
      </c>
      <c r="E651">
        <v>12.2</v>
      </c>
      <c r="F651">
        <v>88</v>
      </c>
    </row>
    <row r="652" spans="1:6" x14ac:dyDescent="0.35">
      <c r="A652">
        <v>1975</v>
      </c>
      <c r="B652" s="1">
        <v>45552</v>
      </c>
      <c r="C652" s="2">
        <v>8.3333333333333329E-2</v>
      </c>
      <c r="D652">
        <v>3</v>
      </c>
      <c r="E652">
        <v>10.5</v>
      </c>
      <c r="F652">
        <v>94</v>
      </c>
    </row>
    <row r="653" spans="1:6" x14ac:dyDescent="0.35">
      <c r="A653">
        <v>1975</v>
      </c>
      <c r="B653" s="1">
        <v>45552</v>
      </c>
      <c r="C653" s="2">
        <v>0.125</v>
      </c>
      <c r="D653">
        <v>3</v>
      </c>
      <c r="E653">
        <v>12.6</v>
      </c>
      <c r="F653">
        <v>88</v>
      </c>
    </row>
    <row r="654" spans="1:6" x14ac:dyDescent="0.35">
      <c r="A654">
        <v>1975</v>
      </c>
      <c r="B654" s="1">
        <v>45552</v>
      </c>
      <c r="C654" s="2">
        <v>0.16666666666666671</v>
      </c>
      <c r="D654">
        <v>3</v>
      </c>
      <c r="E654">
        <v>13</v>
      </c>
      <c r="F654">
        <v>87</v>
      </c>
    </row>
    <row r="655" spans="1:6" x14ac:dyDescent="0.35">
      <c r="A655">
        <v>1975</v>
      </c>
      <c r="B655" s="1">
        <v>45552</v>
      </c>
      <c r="C655" s="2">
        <v>0.20833333333333329</v>
      </c>
      <c r="D655">
        <v>3</v>
      </c>
      <c r="E655">
        <v>13.2</v>
      </c>
      <c r="F655">
        <v>89</v>
      </c>
    </row>
    <row r="656" spans="1:6" x14ac:dyDescent="0.35">
      <c r="A656">
        <v>1975</v>
      </c>
      <c r="B656" s="1">
        <v>45552</v>
      </c>
      <c r="C656" s="2">
        <v>0.25</v>
      </c>
      <c r="D656">
        <v>3</v>
      </c>
      <c r="E656">
        <v>14</v>
      </c>
      <c r="F656">
        <v>88</v>
      </c>
    </row>
    <row r="657" spans="1:6" x14ac:dyDescent="0.35">
      <c r="A657">
        <v>1975</v>
      </c>
      <c r="B657" s="1">
        <v>45552</v>
      </c>
      <c r="C657" s="2">
        <v>0.29166666666666669</v>
      </c>
      <c r="D657">
        <v>3</v>
      </c>
      <c r="E657">
        <v>14.8</v>
      </c>
      <c r="F657">
        <v>85</v>
      </c>
    </row>
    <row r="658" spans="1:6" x14ac:dyDescent="0.35">
      <c r="A658">
        <v>1975</v>
      </c>
      <c r="B658" s="1">
        <v>45552</v>
      </c>
      <c r="C658" s="2">
        <v>0.33333333333333331</v>
      </c>
      <c r="D658">
        <v>3</v>
      </c>
      <c r="E658">
        <v>15.8</v>
      </c>
      <c r="F658">
        <v>83</v>
      </c>
    </row>
    <row r="659" spans="1:6" x14ac:dyDescent="0.35">
      <c r="A659">
        <v>1975</v>
      </c>
      <c r="B659" s="1">
        <v>45552</v>
      </c>
      <c r="C659" s="2">
        <v>0.375</v>
      </c>
      <c r="D659">
        <v>3</v>
      </c>
      <c r="E659">
        <v>17.100000000000001</v>
      </c>
      <c r="F659">
        <v>77</v>
      </c>
    </row>
    <row r="660" spans="1:6" x14ac:dyDescent="0.35">
      <c r="A660">
        <v>1975</v>
      </c>
      <c r="B660" s="1">
        <v>45552</v>
      </c>
      <c r="C660" s="2">
        <v>0.41666666666666669</v>
      </c>
      <c r="D660">
        <v>3</v>
      </c>
      <c r="E660">
        <v>17.5</v>
      </c>
      <c r="F660">
        <v>74</v>
      </c>
    </row>
    <row r="661" spans="1:6" x14ac:dyDescent="0.35">
      <c r="A661">
        <v>1975</v>
      </c>
      <c r="B661" s="1">
        <v>45552</v>
      </c>
      <c r="C661" s="2">
        <v>0.45833333333333331</v>
      </c>
      <c r="D661">
        <v>3</v>
      </c>
      <c r="E661">
        <v>17.5</v>
      </c>
      <c r="F661">
        <v>73</v>
      </c>
    </row>
    <row r="662" spans="1:6" x14ac:dyDescent="0.35">
      <c r="A662">
        <v>1975</v>
      </c>
      <c r="B662" s="1">
        <v>45552</v>
      </c>
      <c r="C662" s="2">
        <v>0.5</v>
      </c>
      <c r="D662">
        <v>3</v>
      </c>
      <c r="E662">
        <v>18.7</v>
      </c>
      <c r="F662">
        <v>70</v>
      </c>
    </row>
    <row r="663" spans="1:6" x14ac:dyDescent="0.35">
      <c r="A663">
        <v>1975</v>
      </c>
      <c r="B663" s="1">
        <v>45552</v>
      </c>
      <c r="C663" s="2">
        <v>0.54166666666666663</v>
      </c>
      <c r="D663">
        <v>3</v>
      </c>
      <c r="E663">
        <v>19.7</v>
      </c>
      <c r="F663">
        <v>69</v>
      </c>
    </row>
    <row r="664" spans="1:6" x14ac:dyDescent="0.35">
      <c r="A664">
        <v>1975</v>
      </c>
      <c r="B664" s="1">
        <v>45552</v>
      </c>
      <c r="C664" s="2">
        <v>0.58333333333333337</v>
      </c>
      <c r="D664">
        <v>3</v>
      </c>
      <c r="E664">
        <v>20</v>
      </c>
      <c r="F664">
        <v>68</v>
      </c>
    </row>
    <row r="665" spans="1:6" x14ac:dyDescent="0.35">
      <c r="A665">
        <v>1975</v>
      </c>
      <c r="B665" s="1">
        <v>45552</v>
      </c>
      <c r="C665" s="2">
        <v>0.625</v>
      </c>
      <c r="D665">
        <v>3</v>
      </c>
      <c r="E665">
        <v>20.100000000000001</v>
      </c>
      <c r="F665">
        <v>69</v>
      </c>
    </row>
    <row r="666" spans="1:6" x14ac:dyDescent="0.35">
      <c r="A666">
        <v>1975</v>
      </c>
      <c r="B666" s="1">
        <v>45552</v>
      </c>
      <c r="C666" s="2">
        <v>0.66666666666666663</v>
      </c>
      <c r="D666">
        <v>3</v>
      </c>
      <c r="E666">
        <v>19.100000000000001</v>
      </c>
      <c r="F666">
        <v>73</v>
      </c>
    </row>
    <row r="667" spans="1:6" x14ac:dyDescent="0.35">
      <c r="A667">
        <v>1975</v>
      </c>
      <c r="B667" s="1">
        <v>45552</v>
      </c>
      <c r="C667" s="2">
        <v>0.70833333333333337</v>
      </c>
      <c r="D667">
        <v>3</v>
      </c>
      <c r="E667">
        <v>17.7</v>
      </c>
      <c r="F667">
        <v>78</v>
      </c>
    </row>
    <row r="668" spans="1:6" x14ac:dyDescent="0.35">
      <c r="A668">
        <v>1975</v>
      </c>
      <c r="B668" s="1">
        <v>45552</v>
      </c>
      <c r="C668" s="2">
        <v>0.75</v>
      </c>
      <c r="D668">
        <v>3</v>
      </c>
      <c r="E668">
        <v>16.5</v>
      </c>
      <c r="F668">
        <v>83</v>
      </c>
    </row>
    <row r="669" spans="1:6" x14ac:dyDescent="0.35">
      <c r="A669">
        <v>1975</v>
      </c>
      <c r="B669" s="1">
        <v>45552</v>
      </c>
      <c r="C669" s="2">
        <v>0.79166666666666663</v>
      </c>
      <c r="D669">
        <v>3</v>
      </c>
      <c r="E669">
        <v>15.4</v>
      </c>
      <c r="F669">
        <v>85</v>
      </c>
    </row>
    <row r="670" spans="1:6" x14ac:dyDescent="0.35">
      <c r="A670">
        <v>1975</v>
      </c>
      <c r="B670" s="1">
        <v>45552</v>
      </c>
      <c r="C670" s="2">
        <v>0.83333333333333337</v>
      </c>
      <c r="D670">
        <v>3</v>
      </c>
      <c r="E670">
        <v>14.5</v>
      </c>
      <c r="F670">
        <v>89</v>
      </c>
    </row>
    <row r="671" spans="1:6" x14ac:dyDescent="0.35">
      <c r="A671">
        <v>1975</v>
      </c>
      <c r="B671" s="1">
        <v>45552</v>
      </c>
      <c r="C671" s="2">
        <v>0.875</v>
      </c>
      <c r="D671">
        <v>3</v>
      </c>
      <c r="E671">
        <v>13.9</v>
      </c>
      <c r="F671">
        <v>93</v>
      </c>
    </row>
    <row r="672" spans="1:6" x14ac:dyDescent="0.35">
      <c r="A672">
        <v>1975</v>
      </c>
      <c r="B672" s="1">
        <v>45552</v>
      </c>
      <c r="C672" s="2">
        <v>0.91666666666666663</v>
      </c>
      <c r="D672">
        <v>3</v>
      </c>
      <c r="E672">
        <v>12.9</v>
      </c>
      <c r="F672">
        <v>99</v>
      </c>
    </row>
    <row r="673" spans="1:6" x14ac:dyDescent="0.35">
      <c r="A673">
        <v>1975</v>
      </c>
      <c r="B673" s="1">
        <v>45552</v>
      </c>
      <c r="C673" s="2">
        <v>0.95833333333333337</v>
      </c>
      <c r="D673">
        <v>3</v>
      </c>
      <c r="E673">
        <v>13.9</v>
      </c>
      <c r="F673">
        <v>97</v>
      </c>
    </row>
    <row r="674" spans="1:6" x14ac:dyDescent="0.35">
      <c r="A674">
        <v>1975</v>
      </c>
      <c r="B674" s="1">
        <v>45553</v>
      </c>
      <c r="C674" s="2">
        <v>0</v>
      </c>
      <c r="D674">
        <v>3</v>
      </c>
      <c r="E674">
        <v>14.5</v>
      </c>
      <c r="F674">
        <v>95</v>
      </c>
    </row>
    <row r="675" spans="1:6" x14ac:dyDescent="0.35">
      <c r="A675">
        <v>1975</v>
      </c>
      <c r="B675" s="1">
        <v>45553</v>
      </c>
      <c r="C675" s="2">
        <v>4.1666666666666657E-2</v>
      </c>
      <c r="D675">
        <v>3</v>
      </c>
      <c r="E675">
        <v>14.8</v>
      </c>
      <c r="F675">
        <v>94</v>
      </c>
    </row>
    <row r="676" spans="1:6" x14ac:dyDescent="0.35">
      <c r="A676">
        <v>1975</v>
      </c>
      <c r="B676" s="1">
        <v>45553</v>
      </c>
      <c r="C676" s="2">
        <v>8.3333333333333329E-2</v>
      </c>
      <c r="D676">
        <v>3</v>
      </c>
      <c r="E676">
        <v>14.9</v>
      </c>
      <c r="F676">
        <v>92</v>
      </c>
    </row>
    <row r="677" spans="1:6" x14ac:dyDescent="0.35">
      <c r="A677">
        <v>1975</v>
      </c>
      <c r="B677" s="1">
        <v>45553</v>
      </c>
      <c r="C677" s="2">
        <v>0.125</v>
      </c>
      <c r="D677">
        <v>3</v>
      </c>
      <c r="E677">
        <v>14.9</v>
      </c>
      <c r="F677">
        <v>92</v>
      </c>
    </row>
    <row r="678" spans="1:6" x14ac:dyDescent="0.35">
      <c r="A678">
        <v>1975</v>
      </c>
      <c r="B678" s="1">
        <v>45553</v>
      </c>
      <c r="C678" s="2">
        <v>0.16666666666666671</v>
      </c>
      <c r="D678">
        <v>3</v>
      </c>
      <c r="E678">
        <v>14.7</v>
      </c>
      <c r="F678">
        <v>92</v>
      </c>
    </row>
    <row r="679" spans="1:6" x14ac:dyDescent="0.35">
      <c r="A679">
        <v>1975</v>
      </c>
      <c r="B679" s="1">
        <v>45553</v>
      </c>
      <c r="C679" s="2">
        <v>0.20833333333333329</v>
      </c>
      <c r="D679">
        <v>3</v>
      </c>
      <c r="E679">
        <v>14.7</v>
      </c>
      <c r="F679">
        <v>92</v>
      </c>
    </row>
    <row r="680" spans="1:6" x14ac:dyDescent="0.35">
      <c r="A680">
        <v>1975</v>
      </c>
      <c r="B680" s="1">
        <v>45553</v>
      </c>
      <c r="C680" s="2">
        <v>0.25</v>
      </c>
      <c r="D680">
        <v>3</v>
      </c>
      <c r="E680">
        <v>14.9</v>
      </c>
      <c r="F680">
        <v>91</v>
      </c>
    </row>
    <row r="681" spans="1:6" x14ac:dyDescent="0.35">
      <c r="A681">
        <v>1975</v>
      </c>
      <c r="B681" s="1">
        <v>45553</v>
      </c>
      <c r="C681" s="2">
        <v>0.29166666666666669</v>
      </c>
      <c r="D681">
        <v>3</v>
      </c>
      <c r="E681">
        <v>15.4</v>
      </c>
      <c r="F681">
        <v>88</v>
      </c>
    </row>
    <row r="682" spans="1:6" x14ac:dyDescent="0.35">
      <c r="A682">
        <v>1975</v>
      </c>
      <c r="B682" s="1">
        <v>45553</v>
      </c>
      <c r="C682" s="2">
        <v>0.33333333333333331</v>
      </c>
      <c r="D682">
        <v>3</v>
      </c>
      <c r="E682">
        <v>15.8</v>
      </c>
      <c r="F682">
        <v>86</v>
      </c>
    </row>
    <row r="683" spans="1:6" x14ac:dyDescent="0.35">
      <c r="A683">
        <v>1975</v>
      </c>
      <c r="B683" s="1">
        <v>45553</v>
      </c>
      <c r="C683" s="2">
        <v>0.375</v>
      </c>
      <c r="D683">
        <v>3</v>
      </c>
      <c r="E683">
        <v>17.399999999999999</v>
      </c>
      <c r="F683">
        <v>83</v>
      </c>
    </row>
    <row r="684" spans="1:6" x14ac:dyDescent="0.35">
      <c r="A684">
        <v>1975</v>
      </c>
      <c r="B684" s="1">
        <v>45553</v>
      </c>
      <c r="C684" s="2">
        <v>0.41666666666666669</v>
      </c>
      <c r="D684">
        <v>3</v>
      </c>
      <c r="E684">
        <v>18.600000000000001</v>
      </c>
      <c r="F684">
        <v>77</v>
      </c>
    </row>
    <row r="685" spans="1:6" x14ac:dyDescent="0.35">
      <c r="A685">
        <v>1975</v>
      </c>
      <c r="B685" s="1">
        <v>45553</v>
      </c>
      <c r="C685" s="2">
        <v>0.45833333333333331</v>
      </c>
      <c r="D685">
        <v>3</v>
      </c>
      <c r="E685">
        <v>19.5</v>
      </c>
      <c r="F685">
        <v>74</v>
      </c>
    </row>
    <row r="686" spans="1:6" x14ac:dyDescent="0.35">
      <c r="A686">
        <v>1975</v>
      </c>
      <c r="B686" s="1">
        <v>45553</v>
      </c>
      <c r="C686" s="2">
        <v>0.5</v>
      </c>
      <c r="D686">
        <v>3</v>
      </c>
      <c r="E686">
        <v>20.2</v>
      </c>
      <c r="F686">
        <v>72</v>
      </c>
    </row>
    <row r="687" spans="1:6" x14ac:dyDescent="0.35">
      <c r="A687">
        <v>1975</v>
      </c>
      <c r="B687" s="1">
        <v>45553</v>
      </c>
      <c r="C687" s="2">
        <v>0.54166666666666663</v>
      </c>
      <c r="D687">
        <v>3</v>
      </c>
      <c r="E687">
        <v>20.7</v>
      </c>
      <c r="F687">
        <v>69</v>
      </c>
    </row>
    <row r="688" spans="1:6" x14ac:dyDescent="0.35">
      <c r="A688">
        <v>1975</v>
      </c>
      <c r="B688" s="1">
        <v>45553</v>
      </c>
      <c r="C688" s="2">
        <v>0.58333333333333337</v>
      </c>
      <c r="D688">
        <v>3</v>
      </c>
      <c r="E688">
        <v>20.8</v>
      </c>
      <c r="F688">
        <v>69</v>
      </c>
    </row>
    <row r="689" spans="1:6" x14ac:dyDescent="0.35">
      <c r="A689">
        <v>1975</v>
      </c>
      <c r="B689" s="1">
        <v>45553</v>
      </c>
      <c r="C689" s="2">
        <v>0.625</v>
      </c>
      <c r="D689">
        <v>3</v>
      </c>
      <c r="E689">
        <v>19.399999999999999</v>
      </c>
      <c r="F689">
        <v>76</v>
      </c>
    </row>
    <row r="690" spans="1:6" x14ac:dyDescent="0.35">
      <c r="A690">
        <v>1975</v>
      </c>
      <c r="B690" s="1">
        <v>45553</v>
      </c>
      <c r="C690" s="2">
        <v>0.66666666666666663</v>
      </c>
      <c r="D690">
        <v>3</v>
      </c>
      <c r="E690">
        <v>18.3</v>
      </c>
      <c r="F690">
        <v>79</v>
      </c>
    </row>
    <row r="691" spans="1:6" x14ac:dyDescent="0.35">
      <c r="A691">
        <v>1975</v>
      </c>
      <c r="B691" s="1">
        <v>45553</v>
      </c>
      <c r="C691" s="2">
        <v>0.70833333333333337</v>
      </c>
      <c r="D691">
        <v>3</v>
      </c>
      <c r="E691">
        <v>16.5</v>
      </c>
      <c r="F691">
        <v>87</v>
      </c>
    </row>
    <row r="692" spans="1:6" x14ac:dyDescent="0.35">
      <c r="A692">
        <v>1975</v>
      </c>
      <c r="B692" s="1">
        <v>45553</v>
      </c>
      <c r="C692" s="2">
        <v>0.75</v>
      </c>
      <c r="D692">
        <v>3</v>
      </c>
      <c r="E692">
        <v>15.7</v>
      </c>
      <c r="F692">
        <v>92</v>
      </c>
    </row>
    <row r="693" spans="1:6" x14ac:dyDescent="0.35">
      <c r="A693">
        <v>1975</v>
      </c>
      <c r="B693" s="1">
        <v>45553</v>
      </c>
      <c r="C693" s="2">
        <v>0.79166666666666663</v>
      </c>
      <c r="D693">
        <v>3</v>
      </c>
      <c r="E693">
        <v>15.6</v>
      </c>
      <c r="F693">
        <v>94</v>
      </c>
    </row>
    <row r="694" spans="1:6" x14ac:dyDescent="0.35">
      <c r="A694">
        <v>1975</v>
      </c>
      <c r="B694" s="1">
        <v>45553</v>
      </c>
      <c r="C694" s="2">
        <v>0.83333333333333337</v>
      </c>
      <c r="D694">
        <v>3</v>
      </c>
      <c r="E694">
        <v>15.5</v>
      </c>
      <c r="F694">
        <v>95</v>
      </c>
    </row>
    <row r="695" spans="1:6" x14ac:dyDescent="0.35">
      <c r="A695">
        <v>1975</v>
      </c>
      <c r="B695" s="1">
        <v>45553</v>
      </c>
      <c r="C695" s="2">
        <v>0.875</v>
      </c>
      <c r="D695">
        <v>3</v>
      </c>
      <c r="E695">
        <v>15.5</v>
      </c>
      <c r="F695">
        <v>97</v>
      </c>
    </row>
    <row r="696" spans="1:6" x14ac:dyDescent="0.35">
      <c r="A696">
        <v>1975</v>
      </c>
      <c r="B696" s="1">
        <v>45553</v>
      </c>
      <c r="C696" s="2">
        <v>0.91666666666666663</v>
      </c>
      <c r="D696">
        <v>3</v>
      </c>
      <c r="E696">
        <v>15.4</v>
      </c>
      <c r="F696">
        <v>99</v>
      </c>
    </row>
    <row r="697" spans="1:6" x14ac:dyDescent="0.35">
      <c r="A697">
        <v>1975</v>
      </c>
      <c r="B697" s="1">
        <v>45553</v>
      </c>
      <c r="C697" s="2">
        <v>0.95833333333333337</v>
      </c>
      <c r="D697">
        <v>3</v>
      </c>
      <c r="E697">
        <v>15.5</v>
      </c>
      <c r="F697">
        <v>97</v>
      </c>
    </row>
    <row r="698" spans="1:6" x14ac:dyDescent="0.35">
      <c r="A698">
        <v>1975</v>
      </c>
      <c r="B698" s="1">
        <v>45554</v>
      </c>
      <c r="C698" s="2">
        <v>0</v>
      </c>
      <c r="D698">
        <v>3</v>
      </c>
      <c r="E698">
        <v>15.4</v>
      </c>
      <c r="F698">
        <v>93</v>
      </c>
    </row>
    <row r="699" spans="1:6" x14ac:dyDescent="0.35">
      <c r="A699">
        <v>1975</v>
      </c>
      <c r="B699" s="1">
        <v>45554</v>
      </c>
      <c r="C699" s="2">
        <v>4.1666666666666657E-2</v>
      </c>
      <c r="D699">
        <v>3</v>
      </c>
      <c r="E699">
        <v>14.8</v>
      </c>
      <c r="F699">
        <v>92</v>
      </c>
    </row>
    <row r="700" spans="1:6" x14ac:dyDescent="0.35">
      <c r="A700">
        <v>1975</v>
      </c>
      <c r="B700" s="1">
        <v>45554</v>
      </c>
      <c r="C700" s="2">
        <v>8.3333333333333329E-2</v>
      </c>
      <c r="D700">
        <v>3</v>
      </c>
      <c r="E700">
        <v>14.8</v>
      </c>
      <c r="F700">
        <v>93</v>
      </c>
    </row>
    <row r="701" spans="1:6" x14ac:dyDescent="0.35">
      <c r="A701">
        <v>1975</v>
      </c>
      <c r="B701" s="1">
        <v>45554</v>
      </c>
      <c r="C701" s="2">
        <v>0.125</v>
      </c>
      <c r="D701">
        <v>3</v>
      </c>
      <c r="E701">
        <v>14.8</v>
      </c>
      <c r="F701">
        <v>93</v>
      </c>
    </row>
    <row r="702" spans="1:6" x14ac:dyDescent="0.35">
      <c r="A702">
        <v>1975</v>
      </c>
      <c r="B702" s="1">
        <v>45554</v>
      </c>
      <c r="C702" s="2">
        <v>0.16666666666666671</v>
      </c>
      <c r="D702">
        <v>3</v>
      </c>
      <c r="E702">
        <v>14.5</v>
      </c>
      <c r="F702">
        <v>93</v>
      </c>
    </row>
    <row r="703" spans="1:6" x14ac:dyDescent="0.35">
      <c r="A703">
        <v>1975</v>
      </c>
      <c r="B703" s="1">
        <v>45554</v>
      </c>
      <c r="C703" s="2">
        <v>0.20833333333333329</v>
      </c>
      <c r="D703">
        <v>3</v>
      </c>
      <c r="E703">
        <v>14.6</v>
      </c>
      <c r="F703">
        <v>92</v>
      </c>
    </row>
    <row r="704" spans="1:6" x14ac:dyDescent="0.35">
      <c r="A704">
        <v>1975</v>
      </c>
      <c r="B704" s="1">
        <v>45554</v>
      </c>
      <c r="C704" s="2">
        <v>0.25</v>
      </c>
      <c r="D704">
        <v>3</v>
      </c>
      <c r="E704">
        <v>14.8</v>
      </c>
      <c r="F704">
        <v>91</v>
      </c>
    </row>
    <row r="705" spans="1:6" x14ac:dyDescent="0.35">
      <c r="A705">
        <v>1975</v>
      </c>
      <c r="B705" s="1">
        <v>45554</v>
      </c>
      <c r="C705" s="2">
        <v>0.29166666666666669</v>
      </c>
      <c r="D705">
        <v>3</v>
      </c>
      <c r="E705">
        <v>15.3</v>
      </c>
      <c r="F705">
        <v>92</v>
      </c>
    </row>
    <row r="706" spans="1:6" x14ac:dyDescent="0.35">
      <c r="A706">
        <v>1975</v>
      </c>
      <c r="B706" s="1">
        <v>45554</v>
      </c>
      <c r="C706" s="2">
        <v>0.33333333333333331</v>
      </c>
      <c r="D706">
        <v>3</v>
      </c>
      <c r="E706">
        <v>15.9</v>
      </c>
      <c r="F706">
        <v>90</v>
      </c>
    </row>
    <row r="707" spans="1:6" x14ac:dyDescent="0.35">
      <c r="A707">
        <v>1975</v>
      </c>
      <c r="B707" s="1">
        <v>45554</v>
      </c>
      <c r="C707" s="2">
        <v>0.375</v>
      </c>
      <c r="D707">
        <v>3</v>
      </c>
      <c r="E707">
        <v>16.3</v>
      </c>
      <c r="F707">
        <v>86</v>
      </c>
    </row>
    <row r="708" spans="1:6" x14ac:dyDescent="0.35">
      <c r="A708">
        <v>1975</v>
      </c>
      <c r="B708" s="1">
        <v>45554</v>
      </c>
      <c r="C708" s="2">
        <v>0.41666666666666669</v>
      </c>
      <c r="D708">
        <v>3</v>
      </c>
      <c r="E708">
        <v>16.899999999999999</v>
      </c>
      <c r="F708">
        <v>81</v>
      </c>
    </row>
    <row r="709" spans="1:6" x14ac:dyDescent="0.35">
      <c r="A709">
        <v>1975</v>
      </c>
      <c r="B709" s="1">
        <v>45554</v>
      </c>
      <c r="C709" s="2">
        <v>0.45833333333333331</v>
      </c>
      <c r="D709">
        <v>3</v>
      </c>
      <c r="E709">
        <v>18</v>
      </c>
      <c r="F709">
        <v>78</v>
      </c>
    </row>
    <row r="710" spans="1:6" x14ac:dyDescent="0.35">
      <c r="A710">
        <v>1975</v>
      </c>
      <c r="B710" s="1">
        <v>45554</v>
      </c>
      <c r="C710" s="2">
        <v>0.5</v>
      </c>
      <c r="D710">
        <v>3</v>
      </c>
      <c r="E710">
        <v>19.5</v>
      </c>
      <c r="F710">
        <v>75</v>
      </c>
    </row>
    <row r="711" spans="1:6" x14ac:dyDescent="0.35">
      <c r="A711">
        <v>1975</v>
      </c>
      <c r="B711" s="1">
        <v>45554</v>
      </c>
      <c r="C711" s="2">
        <v>0.54166666666666663</v>
      </c>
      <c r="D711">
        <v>3</v>
      </c>
      <c r="E711">
        <v>19.7</v>
      </c>
      <c r="F711">
        <v>75</v>
      </c>
    </row>
    <row r="712" spans="1:6" x14ac:dyDescent="0.35">
      <c r="A712">
        <v>1975</v>
      </c>
      <c r="B712" s="1">
        <v>45554</v>
      </c>
      <c r="C712" s="2">
        <v>0.58333333333333337</v>
      </c>
      <c r="D712">
        <v>3</v>
      </c>
      <c r="E712">
        <v>20.399999999999999</v>
      </c>
      <c r="F712">
        <v>74</v>
      </c>
    </row>
    <row r="713" spans="1:6" x14ac:dyDescent="0.35">
      <c r="A713">
        <v>1975</v>
      </c>
      <c r="B713" s="1">
        <v>45554</v>
      </c>
      <c r="C713" s="2">
        <v>0.625</v>
      </c>
      <c r="D713">
        <v>3</v>
      </c>
      <c r="E713">
        <v>19.100000000000001</v>
      </c>
      <c r="F713">
        <v>79</v>
      </c>
    </row>
    <row r="714" spans="1:6" x14ac:dyDescent="0.35">
      <c r="A714">
        <v>1975</v>
      </c>
      <c r="B714" s="1">
        <v>45554</v>
      </c>
      <c r="C714" s="2">
        <v>0.66666666666666663</v>
      </c>
      <c r="D714">
        <v>3</v>
      </c>
      <c r="E714">
        <v>18.8</v>
      </c>
      <c r="F714">
        <v>82</v>
      </c>
    </row>
    <row r="715" spans="1:6" x14ac:dyDescent="0.35">
      <c r="A715">
        <v>1975</v>
      </c>
      <c r="B715" s="1">
        <v>45554</v>
      </c>
      <c r="C715" s="2">
        <v>0.70833333333333337</v>
      </c>
      <c r="D715">
        <v>3</v>
      </c>
      <c r="E715">
        <v>18.2</v>
      </c>
      <c r="F715">
        <v>84</v>
      </c>
    </row>
    <row r="716" spans="1:6" x14ac:dyDescent="0.35">
      <c r="A716">
        <v>1975</v>
      </c>
      <c r="B716" s="1">
        <v>45554</v>
      </c>
      <c r="C716" s="2">
        <v>0.75</v>
      </c>
      <c r="D716">
        <v>3</v>
      </c>
      <c r="E716">
        <v>17.100000000000001</v>
      </c>
      <c r="F716">
        <v>90</v>
      </c>
    </row>
    <row r="717" spans="1:6" x14ac:dyDescent="0.35">
      <c r="A717">
        <v>1975</v>
      </c>
      <c r="B717" s="1">
        <v>45554</v>
      </c>
      <c r="C717" s="2">
        <v>0.79166666666666663</v>
      </c>
      <c r="D717">
        <v>3</v>
      </c>
      <c r="E717">
        <v>16.399999999999999</v>
      </c>
      <c r="F717">
        <v>95</v>
      </c>
    </row>
    <row r="718" spans="1:6" x14ac:dyDescent="0.35">
      <c r="A718">
        <v>1975</v>
      </c>
      <c r="B718" s="1">
        <v>45554</v>
      </c>
      <c r="C718" s="2">
        <v>0.83333333333333337</v>
      </c>
      <c r="D718">
        <v>3</v>
      </c>
      <c r="E718">
        <v>16.2</v>
      </c>
      <c r="F718">
        <v>96</v>
      </c>
    </row>
    <row r="719" spans="1:6" x14ac:dyDescent="0.35">
      <c r="A719">
        <v>1975</v>
      </c>
      <c r="B719" s="1">
        <v>45554</v>
      </c>
      <c r="C719" s="2">
        <v>0.875</v>
      </c>
      <c r="D719">
        <v>3</v>
      </c>
      <c r="E719">
        <v>16.2</v>
      </c>
      <c r="F719">
        <v>96</v>
      </c>
    </row>
    <row r="720" spans="1:6" x14ac:dyDescent="0.35">
      <c r="A720">
        <v>1975</v>
      </c>
      <c r="B720" s="1">
        <v>45554</v>
      </c>
      <c r="C720" s="2">
        <v>0.91666666666666663</v>
      </c>
      <c r="D720">
        <v>3</v>
      </c>
      <c r="E720">
        <v>15.8</v>
      </c>
      <c r="F720">
        <v>96</v>
      </c>
    </row>
    <row r="721" spans="1:6" x14ac:dyDescent="0.35">
      <c r="A721">
        <v>1975</v>
      </c>
      <c r="B721" s="1">
        <v>45554</v>
      </c>
      <c r="C721" s="2">
        <v>0.95833333333333337</v>
      </c>
      <c r="D721">
        <v>3</v>
      </c>
      <c r="E721">
        <v>15.1</v>
      </c>
      <c r="F721">
        <v>98</v>
      </c>
    </row>
    <row r="722" spans="1:6" x14ac:dyDescent="0.35">
      <c r="A722">
        <v>1975</v>
      </c>
      <c r="B722" s="1">
        <v>45555</v>
      </c>
      <c r="C722" s="2">
        <v>0</v>
      </c>
      <c r="D722">
        <v>3</v>
      </c>
      <c r="E722">
        <v>14.6</v>
      </c>
      <c r="F722">
        <v>98</v>
      </c>
    </row>
    <row r="723" spans="1:6" x14ac:dyDescent="0.35">
      <c r="A723">
        <v>1975</v>
      </c>
      <c r="B723" s="1">
        <v>45555</v>
      </c>
      <c r="C723" s="2">
        <v>4.1666666666666657E-2</v>
      </c>
      <c r="D723">
        <v>3</v>
      </c>
      <c r="E723">
        <v>14.6</v>
      </c>
      <c r="F723">
        <v>99</v>
      </c>
    </row>
    <row r="724" spans="1:6" x14ac:dyDescent="0.35">
      <c r="A724">
        <v>1975</v>
      </c>
      <c r="B724" s="1">
        <v>45555</v>
      </c>
      <c r="C724" s="2">
        <v>8.3333333333333329E-2</v>
      </c>
      <c r="D724">
        <v>3</v>
      </c>
      <c r="E724">
        <v>14.3</v>
      </c>
      <c r="F724">
        <v>99</v>
      </c>
    </row>
    <row r="725" spans="1:6" x14ac:dyDescent="0.35">
      <c r="A725">
        <v>1975</v>
      </c>
      <c r="B725" s="1">
        <v>45555</v>
      </c>
      <c r="C725" s="2">
        <v>0.125</v>
      </c>
      <c r="D725">
        <v>3</v>
      </c>
      <c r="E725">
        <v>14.4</v>
      </c>
      <c r="F725">
        <v>99</v>
      </c>
    </row>
    <row r="726" spans="1:6" x14ac:dyDescent="0.35">
      <c r="A726">
        <v>1975</v>
      </c>
      <c r="B726" s="1">
        <v>45555</v>
      </c>
      <c r="C726" s="2">
        <v>0.16666666666666671</v>
      </c>
      <c r="D726">
        <v>3</v>
      </c>
      <c r="E726">
        <v>14.5</v>
      </c>
      <c r="F726">
        <v>98</v>
      </c>
    </row>
    <row r="727" spans="1:6" x14ac:dyDescent="0.35">
      <c r="A727">
        <v>1975</v>
      </c>
      <c r="B727" s="1">
        <v>45555</v>
      </c>
      <c r="C727" s="2">
        <v>0.20833333333333329</v>
      </c>
      <c r="D727">
        <v>3</v>
      </c>
      <c r="E727">
        <v>14.6</v>
      </c>
      <c r="F727">
        <v>97</v>
      </c>
    </row>
    <row r="728" spans="1:6" x14ac:dyDescent="0.35">
      <c r="A728">
        <v>1975</v>
      </c>
      <c r="B728" s="1">
        <v>45555</v>
      </c>
      <c r="C728" s="2">
        <v>0.25</v>
      </c>
      <c r="D728">
        <v>3</v>
      </c>
      <c r="E728">
        <v>14.7</v>
      </c>
      <c r="F728">
        <v>96</v>
      </c>
    </row>
    <row r="729" spans="1:6" x14ac:dyDescent="0.35">
      <c r="A729">
        <v>1975</v>
      </c>
      <c r="B729" s="1">
        <v>45555</v>
      </c>
      <c r="C729" s="2">
        <v>0.29166666666666669</v>
      </c>
      <c r="D729">
        <v>3</v>
      </c>
      <c r="E729">
        <v>15.6</v>
      </c>
      <c r="F729">
        <v>91</v>
      </c>
    </row>
    <row r="730" spans="1:6" x14ac:dyDescent="0.35">
      <c r="A730">
        <v>1975</v>
      </c>
      <c r="B730" s="1">
        <v>45555</v>
      </c>
      <c r="C730" s="2">
        <v>0.33333333333333331</v>
      </c>
      <c r="D730">
        <v>3</v>
      </c>
      <c r="E730">
        <v>16.8</v>
      </c>
      <c r="F730">
        <v>84</v>
      </c>
    </row>
    <row r="731" spans="1:6" x14ac:dyDescent="0.35">
      <c r="A731">
        <v>1975</v>
      </c>
      <c r="B731" s="1">
        <v>45555</v>
      </c>
      <c r="C731" s="2">
        <v>0.375</v>
      </c>
      <c r="D731">
        <v>3</v>
      </c>
      <c r="E731">
        <v>18.7</v>
      </c>
      <c r="F731">
        <v>75</v>
      </c>
    </row>
    <row r="732" spans="1:6" x14ac:dyDescent="0.35">
      <c r="A732">
        <v>1975</v>
      </c>
      <c r="B732" s="1">
        <v>45555</v>
      </c>
      <c r="C732" s="2">
        <v>0.41666666666666669</v>
      </c>
      <c r="D732">
        <v>3</v>
      </c>
      <c r="E732">
        <v>20.399999999999999</v>
      </c>
      <c r="F732">
        <v>61</v>
      </c>
    </row>
    <row r="733" spans="1:6" x14ac:dyDescent="0.35">
      <c r="A733">
        <v>1975</v>
      </c>
      <c r="B733" s="1">
        <v>45555</v>
      </c>
      <c r="C733" s="2">
        <v>0.45833333333333331</v>
      </c>
      <c r="D733">
        <v>3</v>
      </c>
      <c r="E733">
        <v>21.7</v>
      </c>
      <c r="F733">
        <v>53</v>
      </c>
    </row>
    <row r="734" spans="1:6" x14ac:dyDescent="0.35">
      <c r="A734">
        <v>1975</v>
      </c>
      <c r="B734" s="1">
        <v>45555</v>
      </c>
      <c r="C734" s="2">
        <v>0.5</v>
      </c>
      <c r="D734">
        <v>3</v>
      </c>
      <c r="E734">
        <v>22.7</v>
      </c>
      <c r="F734">
        <v>41</v>
      </c>
    </row>
    <row r="735" spans="1:6" x14ac:dyDescent="0.35">
      <c r="A735">
        <v>1975</v>
      </c>
      <c r="B735" s="1">
        <v>45555</v>
      </c>
      <c r="C735" s="2">
        <v>0.54166666666666663</v>
      </c>
      <c r="D735">
        <v>3</v>
      </c>
      <c r="E735">
        <v>23.2</v>
      </c>
      <c r="F735">
        <v>42</v>
      </c>
    </row>
    <row r="736" spans="1:6" x14ac:dyDescent="0.35">
      <c r="A736">
        <v>1975</v>
      </c>
      <c r="B736" s="1">
        <v>45555</v>
      </c>
      <c r="C736" s="2">
        <v>0.58333333333333337</v>
      </c>
      <c r="D736">
        <v>3</v>
      </c>
      <c r="E736">
        <v>23.6</v>
      </c>
      <c r="F736">
        <v>41</v>
      </c>
    </row>
    <row r="737" spans="1:6" x14ac:dyDescent="0.35">
      <c r="A737">
        <v>1975</v>
      </c>
      <c r="B737" s="1">
        <v>45555</v>
      </c>
      <c r="C737" s="2">
        <v>0.625</v>
      </c>
      <c r="D737">
        <v>3</v>
      </c>
      <c r="E737">
        <v>23</v>
      </c>
      <c r="F737">
        <v>36</v>
      </c>
    </row>
    <row r="738" spans="1:6" x14ac:dyDescent="0.35">
      <c r="A738">
        <v>1975</v>
      </c>
      <c r="B738" s="1">
        <v>45555</v>
      </c>
      <c r="C738" s="2">
        <v>0.66666666666666663</v>
      </c>
      <c r="D738">
        <v>3</v>
      </c>
      <c r="E738">
        <v>22.1</v>
      </c>
      <c r="F738">
        <v>37</v>
      </c>
    </row>
    <row r="739" spans="1:6" x14ac:dyDescent="0.35">
      <c r="A739">
        <v>1975</v>
      </c>
      <c r="B739" s="1">
        <v>45555</v>
      </c>
      <c r="C739" s="2">
        <v>0.70833333333333337</v>
      </c>
      <c r="D739">
        <v>3</v>
      </c>
      <c r="E739">
        <v>19.7</v>
      </c>
      <c r="F739">
        <v>48</v>
      </c>
    </row>
    <row r="740" spans="1:6" x14ac:dyDescent="0.35">
      <c r="A740">
        <v>1975</v>
      </c>
      <c r="B740" s="1">
        <v>45555</v>
      </c>
      <c r="C740" s="2">
        <v>0.75</v>
      </c>
      <c r="D740">
        <v>3</v>
      </c>
      <c r="E740">
        <v>18.5</v>
      </c>
      <c r="F740">
        <v>51</v>
      </c>
    </row>
    <row r="741" spans="1:6" x14ac:dyDescent="0.35">
      <c r="A741">
        <v>1975</v>
      </c>
      <c r="B741" s="1">
        <v>45555</v>
      </c>
      <c r="C741" s="2">
        <v>0.79166666666666663</v>
      </c>
      <c r="D741">
        <v>3</v>
      </c>
      <c r="E741">
        <v>16.3</v>
      </c>
      <c r="F741">
        <v>59</v>
      </c>
    </row>
    <row r="742" spans="1:6" x14ac:dyDescent="0.35">
      <c r="A742">
        <v>1975</v>
      </c>
      <c r="B742" s="1">
        <v>45555</v>
      </c>
      <c r="C742" s="2">
        <v>0.83333333333333337</v>
      </c>
      <c r="D742">
        <v>3</v>
      </c>
      <c r="E742">
        <v>14.6</v>
      </c>
      <c r="F742">
        <v>74</v>
      </c>
    </row>
    <row r="743" spans="1:6" x14ac:dyDescent="0.35">
      <c r="A743">
        <v>1975</v>
      </c>
      <c r="B743" s="1">
        <v>45555</v>
      </c>
      <c r="C743" s="2">
        <v>0.875</v>
      </c>
      <c r="D743">
        <v>3</v>
      </c>
      <c r="E743">
        <v>13.6</v>
      </c>
      <c r="F743">
        <v>82</v>
      </c>
    </row>
    <row r="744" spans="1:6" x14ac:dyDescent="0.35">
      <c r="A744">
        <v>1975</v>
      </c>
      <c r="B744" s="1">
        <v>45555</v>
      </c>
      <c r="C744" s="2">
        <v>0.91666666666666663</v>
      </c>
      <c r="D744">
        <v>3</v>
      </c>
      <c r="E744">
        <v>13.1</v>
      </c>
      <c r="F744">
        <v>78</v>
      </c>
    </row>
    <row r="745" spans="1:6" x14ac:dyDescent="0.35">
      <c r="A745">
        <v>1975</v>
      </c>
      <c r="B745" s="1">
        <v>45555</v>
      </c>
      <c r="C745" s="2">
        <v>0.95833333333333337</v>
      </c>
      <c r="D745">
        <v>3</v>
      </c>
      <c r="E745">
        <v>12.2</v>
      </c>
      <c r="F745">
        <v>79</v>
      </c>
    </row>
    <row r="746" spans="1:6" x14ac:dyDescent="0.35">
      <c r="A746">
        <v>1975</v>
      </c>
      <c r="B746" s="1">
        <v>45556</v>
      </c>
      <c r="C746" s="2">
        <v>0</v>
      </c>
      <c r="D746">
        <v>3</v>
      </c>
      <c r="E746">
        <v>11.9</v>
      </c>
      <c r="F746">
        <v>81</v>
      </c>
    </row>
    <row r="747" spans="1:6" x14ac:dyDescent="0.35">
      <c r="A747">
        <v>1975</v>
      </c>
      <c r="B747" s="1">
        <v>45556</v>
      </c>
      <c r="C747" s="2">
        <v>4.1666666666666657E-2</v>
      </c>
      <c r="D747">
        <v>3</v>
      </c>
      <c r="E747">
        <v>11.9</v>
      </c>
      <c r="F747">
        <v>82</v>
      </c>
    </row>
    <row r="748" spans="1:6" x14ac:dyDescent="0.35">
      <c r="A748">
        <v>1975</v>
      </c>
      <c r="B748" s="1">
        <v>45556</v>
      </c>
      <c r="C748" s="2">
        <v>8.3333333333333329E-2</v>
      </c>
      <c r="D748">
        <v>3</v>
      </c>
      <c r="E748">
        <v>11</v>
      </c>
      <c r="F748">
        <v>85</v>
      </c>
    </row>
    <row r="749" spans="1:6" x14ac:dyDescent="0.35">
      <c r="A749">
        <v>1975</v>
      </c>
      <c r="B749" s="1">
        <v>45556</v>
      </c>
      <c r="C749" s="2">
        <v>0.125</v>
      </c>
      <c r="D749">
        <v>3</v>
      </c>
      <c r="E749">
        <v>11.1</v>
      </c>
      <c r="F749">
        <v>85</v>
      </c>
    </row>
    <row r="750" spans="1:6" x14ac:dyDescent="0.35">
      <c r="A750">
        <v>1975</v>
      </c>
      <c r="B750" s="1">
        <v>45556</v>
      </c>
      <c r="C750" s="2">
        <v>0.16666666666666671</v>
      </c>
      <c r="D750">
        <v>3</v>
      </c>
      <c r="E750">
        <v>11</v>
      </c>
      <c r="F750">
        <v>85</v>
      </c>
    </row>
    <row r="751" spans="1:6" x14ac:dyDescent="0.35">
      <c r="A751">
        <v>1975</v>
      </c>
      <c r="B751" s="1">
        <v>45556</v>
      </c>
      <c r="C751" s="2">
        <v>0.20833333333333329</v>
      </c>
      <c r="D751">
        <v>3</v>
      </c>
      <c r="E751">
        <v>11.1</v>
      </c>
      <c r="F751">
        <v>85</v>
      </c>
    </row>
    <row r="752" spans="1:6" x14ac:dyDescent="0.35">
      <c r="A752">
        <v>1975</v>
      </c>
      <c r="B752" s="1">
        <v>45556</v>
      </c>
      <c r="C752" s="2">
        <v>0.25</v>
      </c>
      <c r="D752">
        <v>3</v>
      </c>
      <c r="E752">
        <v>10.7</v>
      </c>
      <c r="F752">
        <v>86</v>
      </c>
    </row>
    <row r="753" spans="1:6" x14ac:dyDescent="0.35">
      <c r="A753">
        <v>1975</v>
      </c>
      <c r="B753" s="1">
        <v>45556</v>
      </c>
      <c r="C753" s="2">
        <v>0.29166666666666669</v>
      </c>
      <c r="D753">
        <v>3</v>
      </c>
      <c r="E753">
        <v>12.7</v>
      </c>
      <c r="F753">
        <v>81</v>
      </c>
    </row>
    <row r="754" spans="1:6" x14ac:dyDescent="0.35">
      <c r="A754">
        <v>1975</v>
      </c>
      <c r="B754" s="1">
        <v>45556</v>
      </c>
      <c r="C754" s="2">
        <v>0.33333333333333331</v>
      </c>
      <c r="D754">
        <v>3</v>
      </c>
      <c r="E754">
        <v>15.8</v>
      </c>
      <c r="F754">
        <v>65</v>
      </c>
    </row>
    <row r="755" spans="1:6" x14ac:dyDescent="0.35">
      <c r="A755">
        <v>1975</v>
      </c>
      <c r="B755" s="1">
        <v>45556</v>
      </c>
      <c r="C755" s="2">
        <v>0.375</v>
      </c>
      <c r="D755">
        <v>3</v>
      </c>
      <c r="E755">
        <v>18</v>
      </c>
      <c r="F755">
        <v>58</v>
      </c>
    </row>
    <row r="756" spans="1:6" x14ac:dyDescent="0.35">
      <c r="A756">
        <v>1975</v>
      </c>
      <c r="B756" s="1">
        <v>45556</v>
      </c>
      <c r="C756" s="2">
        <v>0.41666666666666669</v>
      </c>
      <c r="D756">
        <v>3</v>
      </c>
      <c r="E756">
        <v>19.3</v>
      </c>
      <c r="F756">
        <v>53</v>
      </c>
    </row>
    <row r="757" spans="1:6" x14ac:dyDescent="0.35">
      <c r="A757">
        <v>1975</v>
      </c>
      <c r="B757" s="1">
        <v>45556</v>
      </c>
      <c r="C757" s="2">
        <v>0.45833333333333331</v>
      </c>
      <c r="D757">
        <v>3</v>
      </c>
      <c r="E757">
        <v>20.9</v>
      </c>
      <c r="F757">
        <v>52</v>
      </c>
    </row>
    <row r="758" spans="1:6" x14ac:dyDescent="0.35">
      <c r="A758">
        <v>1975</v>
      </c>
      <c r="B758" s="1">
        <v>45556</v>
      </c>
      <c r="C758" s="2">
        <v>0.5</v>
      </c>
      <c r="D758">
        <v>3</v>
      </c>
      <c r="E758">
        <v>22.2</v>
      </c>
      <c r="F758">
        <v>51</v>
      </c>
    </row>
    <row r="759" spans="1:6" x14ac:dyDescent="0.35">
      <c r="A759">
        <v>1975</v>
      </c>
      <c r="B759" s="1">
        <v>45556</v>
      </c>
      <c r="C759" s="2">
        <v>0.54166666666666663</v>
      </c>
      <c r="D759">
        <v>3</v>
      </c>
      <c r="E759">
        <v>22.6</v>
      </c>
      <c r="F759">
        <v>49</v>
      </c>
    </row>
    <row r="760" spans="1:6" x14ac:dyDescent="0.35">
      <c r="A760">
        <v>1975</v>
      </c>
      <c r="B760" s="1">
        <v>45556</v>
      </c>
      <c r="C760" s="2">
        <v>0.58333333333333337</v>
      </c>
      <c r="D760">
        <v>3</v>
      </c>
      <c r="E760">
        <v>23</v>
      </c>
      <c r="F760">
        <v>46</v>
      </c>
    </row>
    <row r="761" spans="1:6" x14ac:dyDescent="0.35">
      <c r="A761">
        <v>1975</v>
      </c>
      <c r="B761" s="1">
        <v>45556</v>
      </c>
      <c r="C761" s="2">
        <v>0.625</v>
      </c>
      <c r="D761">
        <v>3</v>
      </c>
      <c r="E761">
        <v>22.9</v>
      </c>
      <c r="F761">
        <v>43</v>
      </c>
    </row>
    <row r="762" spans="1:6" x14ac:dyDescent="0.35">
      <c r="A762">
        <v>1975</v>
      </c>
      <c r="B762" s="1">
        <v>45556</v>
      </c>
      <c r="C762" s="2">
        <v>0.66666666666666663</v>
      </c>
      <c r="D762">
        <v>3</v>
      </c>
      <c r="E762">
        <v>22.1</v>
      </c>
      <c r="F762">
        <v>40</v>
      </c>
    </row>
    <row r="763" spans="1:6" x14ac:dyDescent="0.35">
      <c r="A763">
        <v>1975</v>
      </c>
      <c r="B763" s="1">
        <v>45556</v>
      </c>
      <c r="C763" s="2">
        <v>0.70833333333333337</v>
      </c>
      <c r="D763">
        <v>3</v>
      </c>
      <c r="E763">
        <v>20.2</v>
      </c>
      <c r="F763">
        <v>45</v>
      </c>
    </row>
    <row r="764" spans="1:6" x14ac:dyDescent="0.35">
      <c r="A764">
        <v>1975</v>
      </c>
      <c r="B764" s="1">
        <v>45556</v>
      </c>
      <c r="C764" s="2">
        <v>0.75</v>
      </c>
      <c r="D764">
        <v>3</v>
      </c>
      <c r="E764">
        <v>17.7</v>
      </c>
      <c r="F764">
        <v>56</v>
      </c>
    </row>
    <row r="765" spans="1:6" x14ac:dyDescent="0.35">
      <c r="A765">
        <v>1975</v>
      </c>
      <c r="B765" s="1">
        <v>45556</v>
      </c>
      <c r="C765" s="2">
        <v>0.79166666666666663</v>
      </c>
      <c r="D765">
        <v>3</v>
      </c>
      <c r="E765">
        <v>15.8</v>
      </c>
      <c r="F765">
        <v>66</v>
      </c>
    </row>
    <row r="766" spans="1:6" x14ac:dyDescent="0.35">
      <c r="A766">
        <v>1975</v>
      </c>
      <c r="B766" s="1">
        <v>45556</v>
      </c>
      <c r="C766" s="2">
        <v>0.83333333333333337</v>
      </c>
      <c r="D766">
        <v>3</v>
      </c>
      <c r="E766">
        <v>14.1</v>
      </c>
      <c r="F766">
        <v>76</v>
      </c>
    </row>
    <row r="767" spans="1:6" x14ac:dyDescent="0.35">
      <c r="A767">
        <v>1975</v>
      </c>
      <c r="B767" s="1">
        <v>45556</v>
      </c>
      <c r="C767" s="2">
        <v>0.875</v>
      </c>
      <c r="D767">
        <v>3</v>
      </c>
      <c r="E767">
        <v>13.3</v>
      </c>
      <c r="F767">
        <v>82</v>
      </c>
    </row>
    <row r="768" spans="1:6" x14ac:dyDescent="0.35">
      <c r="A768">
        <v>1975</v>
      </c>
      <c r="B768" s="1">
        <v>45556</v>
      </c>
      <c r="C768" s="2">
        <v>0.91666666666666663</v>
      </c>
      <c r="D768">
        <v>3</v>
      </c>
      <c r="E768">
        <v>12.7</v>
      </c>
      <c r="F768">
        <v>86</v>
      </c>
    </row>
    <row r="769" spans="1:6" x14ac:dyDescent="0.35">
      <c r="A769">
        <v>1975</v>
      </c>
      <c r="B769" s="1">
        <v>45556</v>
      </c>
      <c r="C769" s="2">
        <v>0.95833333333333337</v>
      </c>
      <c r="D769">
        <v>3</v>
      </c>
      <c r="E769">
        <v>12.7</v>
      </c>
      <c r="F769">
        <v>86</v>
      </c>
    </row>
    <row r="770" spans="1:6" x14ac:dyDescent="0.35">
      <c r="A770">
        <v>1975</v>
      </c>
      <c r="B770" s="1">
        <v>45557</v>
      </c>
      <c r="C770" s="2">
        <v>0</v>
      </c>
      <c r="D770">
        <v>3</v>
      </c>
      <c r="E770">
        <v>12.6</v>
      </c>
      <c r="F770">
        <v>81</v>
      </c>
    </row>
    <row r="771" spans="1:6" x14ac:dyDescent="0.35">
      <c r="A771">
        <v>1975</v>
      </c>
      <c r="B771" s="1">
        <v>45557</v>
      </c>
      <c r="C771" s="2">
        <v>4.1666666666666657E-2</v>
      </c>
      <c r="D771">
        <v>3</v>
      </c>
      <c r="E771">
        <v>11.8</v>
      </c>
      <c r="F771">
        <v>84</v>
      </c>
    </row>
    <row r="772" spans="1:6" x14ac:dyDescent="0.35">
      <c r="A772">
        <v>1975</v>
      </c>
      <c r="B772" s="1">
        <v>45557</v>
      </c>
      <c r="C772" s="2">
        <v>8.3333333333333329E-2</v>
      </c>
      <c r="D772">
        <v>3</v>
      </c>
      <c r="E772">
        <v>10.9</v>
      </c>
      <c r="F772">
        <v>86</v>
      </c>
    </row>
    <row r="773" spans="1:6" x14ac:dyDescent="0.35">
      <c r="A773">
        <v>1975</v>
      </c>
      <c r="B773" s="1">
        <v>45557</v>
      </c>
      <c r="C773" s="2">
        <v>0.125</v>
      </c>
      <c r="D773">
        <v>3</v>
      </c>
      <c r="E773">
        <v>10.3</v>
      </c>
      <c r="F773">
        <v>87</v>
      </c>
    </row>
    <row r="774" spans="1:6" x14ac:dyDescent="0.35">
      <c r="A774">
        <v>1975</v>
      </c>
      <c r="B774" s="1">
        <v>45557</v>
      </c>
      <c r="C774" s="2">
        <v>0.16666666666666671</v>
      </c>
      <c r="D774">
        <v>3</v>
      </c>
      <c r="E774">
        <v>9.6999999999999993</v>
      </c>
      <c r="F774">
        <v>89</v>
      </c>
    </row>
    <row r="775" spans="1:6" x14ac:dyDescent="0.35">
      <c r="A775">
        <v>1975</v>
      </c>
      <c r="B775" s="1">
        <v>45557</v>
      </c>
      <c r="C775" s="2">
        <v>0.20833333333333329</v>
      </c>
      <c r="D775">
        <v>3</v>
      </c>
      <c r="E775">
        <v>10</v>
      </c>
      <c r="F775">
        <v>87</v>
      </c>
    </row>
    <row r="776" spans="1:6" x14ac:dyDescent="0.35">
      <c r="A776">
        <v>1975</v>
      </c>
      <c r="B776" s="1">
        <v>45557</v>
      </c>
      <c r="C776" s="2">
        <v>0.25</v>
      </c>
      <c r="D776">
        <v>3</v>
      </c>
      <c r="E776">
        <v>10</v>
      </c>
      <c r="F776">
        <v>86</v>
      </c>
    </row>
    <row r="777" spans="1:6" x14ac:dyDescent="0.35">
      <c r="A777">
        <v>1975</v>
      </c>
      <c r="B777" s="1">
        <v>45557</v>
      </c>
      <c r="C777" s="2">
        <v>0.29166666666666669</v>
      </c>
      <c r="D777">
        <v>3</v>
      </c>
      <c r="E777">
        <v>12.9</v>
      </c>
      <c r="F777">
        <v>73</v>
      </c>
    </row>
    <row r="778" spans="1:6" x14ac:dyDescent="0.35">
      <c r="A778">
        <v>1975</v>
      </c>
      <c r="B778" s="1">
        <v>45557</v>
      </c>
      <c r="C778" s="2">
        <v>0.33333333333333331</v>
      </c>
      <c r="D778">
        <v>3</v>
      </c>
      <c r="E778">
        <v>15.7</v>
      </c>
      <c r="F778">
        <v>65</v>
      </c>
    </row>
    <row r="779" spans="1:6" x14ac:dyDescent="0.35">
      <c r="A779">
        <v>1975</v>
      </c>
      <c r="B779" s="1">
        <v>45557</v>
      </c>
      <c r="C779" s="2">
        <v>0.375</v>
      </c>
      <c r="D779">
        <v>3</v>
      </c>
      <c r="E779">
        <v>18.2</v>
      </c>
      <c r="F779">
        <v>61</v>
      </c>
    </row>
    <row r="780" spans="1:6" x14ac:dyDescent="0.35">
      <c r="A780">
        <v>1975</v>
      </c>
      <c r="B780" s="1">
        <v>45557</v>
      </c>
      <c r="C780" s="2">
        <v>0.41666666666666669</v>
      </c>
      <c r="D780">
        <v>3</v>
      </c>
      <c r="E780">
        <v>20.100000000000001</v>
      </c>
      <c r="F780">
        <v>55</v>
      </c>
    </row>
    <row r="781" spans="1:6" x14ac:dyDescent="0.35">
      <c r="A781">
        <v>1975</v>
      </c>
      <c r="B781" s="1">
        <v>45557</v>
      </c>
      <c r="C781" s="2">
        <v>0.45833333333333331</v>
      </c>
      <c r="D781">
        <v>3</v>
      </c>
      <c r="E781">
        <v>21.8</v>
      </c>
      <c r="F781">
        <v>50</v>
      </c>
    </row>
    <row r="782" spans="1:6" x14ac:dyDescent="0.35">
      <c r="A782">
        <v>1975</v>
      </c>
      <c r="B782" s="1">
        <v>45557</v>
      </c>
      <c r="C782" s="2">
        <v>0.5</v>
      </c>
      <c r="D782">
        <v>3</v>
      </c>
      <c r="E782">
        <v>22.8</v>
      </c>
      <c r="F782">
        <v>49</v>
      </c>
    </row>
    <row r="783" spans="1:6" x14ac:dyDescent="0.35">
      <c r="A783">
        <v>1975</v>
      </c>
      <c r="B783" s="1">
        <v>45557</v>
      </c>
      <c r="C783" s="2">
        <v>0.54166666666666663</v>
      </c>
      <c r="D783">
        <v>3</v>
      </c>
      <c r="E783">
        <v>23.2</v>
      </c>
      <c r="F783">
        <v>42</v>
      </c>
    </row>
    <row r="784" spans="1:6" x14ac:dyDescent="0.35">
      <c r="A784">
        <v>1975</v>
      </c>
      <c r="B784" s="1">
        <v>45557</v>
      </c>
      <c r="C784" s="2">
        <v>0.58333333333333337</v>
      </c>
      <c r="D784">
        <v>3</v>
      </c>
      <c r="E784">
        <v>23.8</v>
      </c>
      <c r="F784">
        <v>44</v>
      </c>
    </row>
    <row r="785" spans="1:6" x14ac:dyDescent="0.35">
      <c r="A785">
        <v>1975</v>
      </c>
      <c r="B785" s="1">
        <v>45557</v>
      </c>
      <c r="C785" s="2">
        <v>0.625</v>
      </c>
      <c r="D785">
        <v>3</v>
      </c>
      <c r="E785">
        <v>23.2</v>
      </c>
      <c r="F785">
        <v>43</v>
      </c>
    </row>
    <row r="786" spans="1:6" x14ac:dyDescent="0.35">
      <c r="A786">
        <v>1975</v>
      </c>
      <c r="B786" s="1">
        <v>45557</v>
      </c>
      <c r="C786" s="2">
        <v>0.66666666666666663</v>
      </c>
      <c r="D786">
        <v>3</v>
      </c>
      <c r="E786">
        <v>22.5</v>
      </c>
      <c r="F786">
        <v>45</v>
      </c>
    </row>
    <row r="787" spans="1:6" x14ac:dyDescent="0.35">
      <c r="A787">
        <v>1975</v>
      </c>
      <c r="B787" s="1">
        <v>45557</v>
      </c>
      <c r="C787" s="2">
        <v>0.70833333333333337</v>
      </c>
      <c r="D787">
        <v>3</v>
      </c>
      <c r="E787">
        <v>21.2</v>
      </c>
      <c r="F787">
        <v>51</v>
      </c>
    </row>
    <row r="788" spans="1:6" x14ac:dyDescent="0.35">
      <c r="A788">
        <v>1975</v>
      </c>
      <c r="B788" s="1">
        <v>45557</v>
      </c>
      <c r="C788" s="2">
        <v>0.75</v>
      </c>
      <c r="D788">
        <v>3</v>
      </c>
      <c r="E788">
        <v>17.7</v>
      </c>
      <c r="F788">
        <v>72</v>
      </c>
    </row>
    <row r="789" spans="1:6" x14ac:dyDescent="0.35">
      <c r="A789">
        <v>1975</v>
      </c>
      <c r="B789" s="1">
        <v>45557</v>
      </c>
      <c r="C789" s="2">
        <v>0.79166666666666663</v>
      </c>
      <c r="D789">
        <v>3</v>
      </c>
      <c r="E789">
        <v>16.3</v>
      </c>
      <c r="F789">
        <v>77</v>
      </c>
    </row>
    <row r="790" spans="1:6" x14ac:dyDescent="0.35">
      <c r="A790">
        <v>1975</v>
      </c>
      <c r="B790" s="1">
        <v>45557</v>
      </c>
      <c r="C790" s="2">
        <v>0.83333333333333337</v>
      </c>
      <c r="D790">
        <v>3</v>
      </c>
      <c r="E790">
        <v>14.9</v>
      </c>
      <c r="F790">
        <v>82</v>
      </c>
    </row>
    <row r="791" spans="1:6" x14ac:dyDescent="0.35">
      <c r="A791">
        <v>1975</v>
      </c>
      <c r="B791" s="1">
        <v>45557</v>
      </c>
      <c r="C791" s="2">
        <v>0.875</v>
      </c>
      <c r="D791">
        <v>3</v>
      </c>
      <c r="E791">
        <v>14.2</v>
      </c>
      <c r="F791">
        <v>84</v>
      </c>
    </row>
    <row r="792" spans="1:6" x14ac:dyDescent="0.35">
      <c r="A792">
        <v>1975</v>
      </c>
      <c r="B792" s="1">
        <v>45557</v>
      </c>
      <c r="C792" s="2">
        <v>0.91666666666666663</v>
      </c>
      <c r="D792">
        <v>3</v>
      </c>
      <c r="E792">
        <v>13.6</v>
      </c>
      <c r="F792">
        <v>85</v>
      </c>
    </row>
    <row r="793" spans="1:6" x14ac:dyDescent="0.35">
      <c r="A793">
        <v>1975</v>
      </c>
      <c r="B793" s="1">
        <v>45557</v>
      </c>
      <c r="C793" s="2">
        <v>0.95833333333333337</v>
      </c>
      <c r="D793">
        <v>3</v>
      </c>
      <c r="E793">
        <v>11.4</v>
      </c>
      <c r="F793">
        <v>94</v>
      </c>
    </row>
    <row r="794" spans="1:6" x14ac:dyDescent="0.35">
      <c r="A794">
        <v>1975</v>
      </c>
      <c r="B794" s="1">
        <v>45558</v>
      </c>
      <c r="C794" s="2">
        <v>0</v>
      </c>
      <c r="D794">
        <v>3</v>
      </c>
      <c r="E794">
        <v>11.6</v>
      </c>
      <c r="F794">
        <v>96</v>
      </c>
    </row>
    <row r="795" spans="1:6" x14ac:dyDescent="0.35">
      <c r="A795">
        <v>1975</v>
      </c>
      <c r="B795" s="1">
        <v>45558</v>
      </c>
      <c r="C795" s="2">
        <v>4.1666666666666657E-2</v>
      </c>
      <c r="D795">
        <v>3</v>
      </c>
      <c r="E795">
        <v>10.8</v>
      </c>
      <c r="F795">
        <v>98</v>
      </c>
    </row>
    <row r="796" spans="1:6" x14ac:dyDescent="0.35">
      <c r="A796">
        <v>1975</v>
      </c>
      <c r="B796" s="1">
        <v>45558</v>
      </c>
      <c r="C796" s="2">
        <v>8.3333333333333329E-2</v>
      </c>
      <c r="D796">
        <v>3</v>
      </c>
      <c r="E796">
        <v>10.1</v>
      </c>
      <c r="F796">
        <v>98</v>
      </c>
    </row>
    <row r="797" spans="1:6" x14ac:dyDescent="0.35">
      <c r="A797">
        <v>1975</v>
      </c>
      <c r="B797" s="1">
        <v>45558</v>
      </c>
      <c r="C797" s="2">
        <v>0.125</v>
      </c>
      <c r="D797">
        <v>3</v>
      </c>
      <c r="E797">
        <v>10.3</v>
      </c>
      <c r="F797">
        <v>98</v>
      </c>
    </row>
    <row r="798" spans="1:6" x14ac:dyDescent="0.35">
      <c r="A798">
        <v>1975</v>
      </c>
      <c r="B798" s="1">
        <v>45558</v>
      </c>
      <c r="C798" s="2">
        <v>0.16666666666666671</v>
      </c>
      <c r="D798">
        <v>3</v>
      </c>
      <c r="E798">
        <v>10.1</v>
      </c>
      <c r="F798">
        <v>99</v>
      </c>
    </row>
    <row r="799" spans="1:6" x14ac:dyDescent="0.35">
      <c r="A799">
        <v>1975</v>
      </c>
      <c r="B799" s="1">
        <v>45558</v>
      </c>
      <c r="C799" s="2">
        <v>0.20833333333333329</v>
      </c>
      <c r="D799">
        <v>3</v>
      </c>
      <c r="E799">
        <v>9.6</v>
      </c>
      <c r="F799">
        <v>95</v>
      </c>
    </row>
    <row r="800" spans="1:6" x14ac:dyDescent="0.35">
      <c r="A800">
        <v>1975</v>
      </c>
      <c r="B800" s="1">
        <v>45558</v>
      </c>
      <c r="C800" s="2">
        <v>0.25</v>
      </c>
      <c r="D800">
        <v>3</v>
      </c>
      <c r="E800">
        <v>10.6</v>
      </c>
      <c r="F800">
        <v>92</v>
      </c>
    </row>
    <row r="801" spans="1:6" x14ac:dyDescent="0.35">
      <c r="A801">
        <v>1975</v>
      </c>
      <c r="B801" s="1">
        <v>45558</v>
      </c>
      <c r="C801" s="2">
        <v>0.29166666666666669</v>
      </c>
      <c r="D801">
        <v>3</v>
      </c>
      <c r="E801">
        <v>14.6</v>
      </c>
      <c r="F801">
        <v>82</v>
      </c>
    </row>
    <row r="802" spans="1:6" x14ac:dyDescent="0.35">
      <c r="A802">
        <v>1975</v>
      </c>
      <c r="B802" s="1">
        <v>45558</v>
      </c>
      <c r="C802" s="2">
        <v>0.33333333333333331</v>
      </c>
      <c r="D802">
        <v>3</v>
      </c>
      <c r="E802">
        <v>16.5</v>
      </c>
      <c r="F802">
        <v>72</v>
      </c>
    </row>
    <row r="803" spans="1:6" x14ac:dyDescent="0.35">
      <c r="A803">
        <v>1975</v>
      </c>
      <c r="B803" s="1">
        <v>45558</v>
      </c>
      <c r="C803" s="2">
        <v>0.375</v>
      </c>
      <c r="D803">
        <v>3</v>
      </c>
      <c r="E803">
        <v>19</v>
      </c>
      <c r="F803">
        <v>62</v>
      </c>
    </row>
    <row r="804" spans="1:6" x14ac:dyDescent="0.35">
      <c r="A804">
        <v>1975</v>
      </c>
      <c r="B804" s="1">
        <v>45558</v>
      </c>
      <c r="C804" s="2">
        <v>0.41666666666666669</v>
      </c>
      <c r="D804">
        <v>3</v>
      </c>
      <c r="E804">
        <v>20.7</v>
      </c>
      <c r="F804">
        <v>56</v>
      </c>
    </row>
    <row r="805" spans="1:6" x14ac:dyDescent="0.35">
      <c r="A805">
        <v>1975</v>
      </c>
      <c r="B805" s="1">
        <v>45558</v>
      </c>
      <c r="C805" s="2">
        <v>0.45833333333333331</v>
      </c>
      <c r="D805">
        <v>3</v>
      </c>
      <c r="E805">
        <v>21.4</v>
      </c>
      <c r="F805">
        <v>57</v>
      </c>
    </row>
    <row r="806" spans="1:6" x14ac:dyDescent="0.35">
      <c r="A806">
        <v>1975</v>
      </c>
      <c r="B806" s="1">
        <v>45558</v>
      </c>
      <c r="C806" s="2">
        <v>0.5</v>
      </c>
      <c r="D806">
        <v>3</v>
      </c>
      <c r="E806">
        <v>21.7</v>
      </c>
      <c r="F806">
        <v>51</v>
      </c>
    </row>
    <row r="807" spans="1:6" x14ac:dyDescent="0.35">
      <c r="A807">
        <v>1975</v>
      </c>
      <c r="B807" s="1">
        <v>45558</v>
      </c>
      <c r="C807" s="2">
        <v>0.54166666666666663</v>
      </c>
      <c r="D807">
        <v>3</v>
      </c>
      <c r="E807">
        <v>21.7</v>
      </c>
      <c r="F807">
        <v>59</v>
      </c>
    </row>
    <row r="808" spans="1:6" x14ac:dyDescent="0.35">
      <c r="A808">
        <v>1975</v>
      </c>
      <c r="B808" s="1">
        <v>45558</v>
      </c>
      <c r="C808" s="2">
        <v>0.58333333333333337</v>
      </c>
      <c r="D808">
        <v>3</v>
      </c>
      <c r="E808">
        <v>21.8</v>
      </c>
      <c r="F808">
        <v>61</v>
      </c>
    </row>
    <row r="809" spans="1:6" x14ac:dyDescent="0.35">
      <c r="A809">
        <v>1975</v>
      </c>
      <c r="B809" s="1">
        <v>45558</v>
      </c>
      <c r="C809" s="2">
        <v>0.625</v>
      </c>
      <c r="D809">
        <v>3</v>
      </c>
      <c r="E809">
        <v>21.7</v>
      </c>
      <c r="F809">
        <v>65</v>
      </c>
    </row>
    <row r="810" spans="1:6" x14ac:dyDescent="0.35">
      <c r="A810">
        <v>1975</v>
      </c>
      <c r="B810" s="1">
        <v>45558</v>
      </c>
      <c r="C810" s="2">
        <v>0.66666666666666663</v>
      </c>
      <c r="D810">
        <v>3</v>
      </c>
      <c r="E810">
        <v>20.7</v>
      </c>
      <c r="F810">
        <v>72</v>
      </c>
    </row>
    <row r="811" spans="1:6" x14ac:dyDescent="0.35">
      <c r="A811">
        <v>1975</v>
      </c>
      <c r="B811" s="1">
        <v>45558</v>
      </c>
      <c r="C811" s="2">
        <v>0.70833333333333337</v>
      </c>
      <c r="D811">
        <v>3</v>
      </c>
      <c r="E811">
        <v>19.2</v>
      </c>
      <c r="F811">
        <v>76</v>
      </c>
    </row>
    <row r="812" spans="1:6" x14ac:dyDescent="0.35">
      <c r="A812">
        <v>1975</v>
      </c>
      <c r="B812" s="1">
        <v>45558</v>
      </c>
      <c r="C812" s="2">
        <v>0.75</v>
      </c>
      <c r="D812">
        <v>3</v>
      </c>
      <c r="E812">
        <v>17.3</v>
      </c>
      <c r="F812">
        <v>91</v>
      </c>
    </row>
    <row r="813" spans="1:6" x14ac:dyDescent="0.35">
      <c r="A813">
        <v>1975</v>
      </c>
      <c r="B813" s="1">
        <v>45558</v>
      </c>
      <c r="C813" s="2">
        <v>0.79166666666666663</v>
      </c>
      <c r="D813">
        <v>3</v>
      </c>
      <c r="E813">
        <v>17.100000000000001</v>
      </c>
      <c r="F813">
        <v>96</v>
      </c>
    </row>
    <row r="814" spans="1:6" x14ac:dyDescent="0.35">
      <c r="A814">
        <v>1975</v>
      </c>
      <c r="B814" s="1">
        <v>45558</v>
      </c>
      <c r="C814" s="2">
        <v>0.83333333333333337</v>
      </c>
      <c r="D814">
        <v>3</v>
      </c>
      <c r="E814">
        <v>16.600000000000001</v>
      </c>
      <c r="F814">
        <v>97</v>
      </c>
    </row>
    <row r="815" spans="1:6" x14ac:dyDescent="0.35">
      <c r="A815">
        <v>1975</v>
      </c>
      <c r="B815" s="1">
        <v>45558</v>
      </c>
      <c r="C815" s="2">
        <v>0.875</v>
      </c>
      <c r="D815">
        <v>3</v>
      </c>
      <c r="E815">
        <v>16.399999999999999</v>
      </c>
      <c r="F815">
        <v>98</v>
      </c>
    </row>
    <row r="816" spans="1:6" x14ac:dyDescent="0.35">
      <c r="A816">
        <v>1975</v>
      </c>
      <c r="B816" s="1">
        <v>45558</v>
      </c>
      <c r="C816" s="2">
        <v>0.91666666666666663</v>
      </c>
      <c r="D816">
        <v>3</v>
      </c>
      <c r="E816">
        <v>16.8</v>
      </c>
      <c r="F816">
        <v>97</v>
      </c>
    </row>
    <row r="817" spans="1:6" x14ac:dyDescent="0.35">
      <c r="A817">
        <v>1975</v>
      </c>
      <c r="B817" s="1">
        <v>45558</v>
      </c>
      <c r="C817" s="2">
        <v>0.95833333333333337</v>
      </c>
      <c r="D817">
        <v>3</v>
      </c>
      <c r="E817">
        <v>16.2</v>
      </c>
      <c r="F817">
        <v>96</v>
      </c>
    </row>
    <row r="818" spans="1:6" x14ac:dyDescent="0.35">
      <c r="A818">
        <v>1975</v>
      </c>
      <c r="B818" s="1">
        <v>45559</v>
      </c>
      <c r="C818" s="2">
        <v>0</v>
      </c>
      <c r="D818">
        <v>3</v>
      </c>
      <c r="E818">
        <v>15.3</v>
      </c>
      <c r="F818">
        <v>98</v>
      </c>
    </row>
    <row r="819" spans="1:6" x14ac:dyDescent="0.35">
      <c r="A819">
        <v>1975</v>
      </c>
      <c r="B819" s="1">
        <v>45559</v>
      </c>
      <c r="C819" s="2">
        <v>4.1666666666666657E-2</v>
      </c>
      <c r="D819">
        <v>3</v>
      </c>
      <c r="E819">
        <v>15.7</v>
      </c>
      <c r="F819">
        <v>97</v>
      </c>
    </row>
    <row r="820" spans="1:6" x14ac:dyDescent="0.35">
      <c r="A820">
        <v>1975</v>
      </c>
      <c r="B820" s="1">
        <v>45559</v>
      </c>
      <c r="C820" s="2">
        <v>8.3333333333333329E-2</v>
      </c>
      <c r="D820">
        <v>3</v>
      </c>
      <c r="E820">
        <v>15.5</v>
      </c>
      <c r="F820">
        <v>99</v>
      </c>
    </row>
    <row r="821" spans="1:6" x14ac:dyDescent="0.35">
      <c r="A821">
        <v>1975</v>
      </c>
      <c r="B821" s="1">
        <v>45559</v>
      </c>
      <c r="C821" s="2">
        <v>0.125</v>
      </c>
      <c r="D821">
        <v>3</v>
      </c>
      <c r="E821">
        <v>15</v>
      </c>
      <c r="F821">
        <v>100</v>
      </c>
    </row>
    <row r="822" spans="1:6" x14ac:dyDescent="0.35">
      <c r="A822">
        <v>1975</v>
      </c>
      <c r="B822" s="1">
        <v>45559</v>
      </c>
      <c r="C822" s="2">
        <v>0.16666666666666671</v>
      </c>
      <c r="D822">
        <v>3</v>
      </c>
      <c r="E822">
        <v>15.1</v>
      </c>
      <c r="F822">
        <v>97</v>
      </c>
    </row>
    <row r="823" spans="1:6" x14ac:dyDescent="0.35">
      <c r="A823">
        <v>1975</v>
      </c>
      <c r="B823" s="1">
        <v>45559</v>
      </c>
      <c r="C823" s="2">
        <v>0.20833333333333329</v>
      </c>
      <c r="D823">
        <v>3</v>
      </c>
      <c r="E823">
        <v>14.8</v>
      </c>
      <c r="F823">
        <v>99</v>
      </c>
    </row>
    <row r="824" spans="1:6" x14ac:dyDescent="0.35">
      <c r="A824">
        <v>1975</v>
      </c>
      <c r="B824" s="1">
        <v>45559</v>
      </c>
      <c r="C824" s="2">
        <v>0.25</v>
      </c>
      <c r="D824">
        <v>3</v>
      </c>
      <c r="E824">
        <v>15.1</v>
      </c>
      <c r="F824">
        <v>97</v>
      </c>
    </row>
    <row r="825" spans="1:6" x14ac:dyDescent="0.35">
      <c r="A825">
        <v>1975</v>
      </c>
      <c r="B825" s="1">
        <v>45559</v>
      </c>
      <c r="C825" s="2">
        <v>0.29166666666666669</v>
      </c>
      <c r="D825">
        <v>3</v>
      </c>
      <c r="E825">
        <v>15.5</v>
      </c>
      <c r="F825">
        <v>93</v>
      </c>
    </row>
    <row r="826" spans="1:6" x14ac:dyDescent="0.35">
      <c r="A826">
        <v>1975</v>
      </c>
      <c r="B826" s="1">
        <v>45559</v>
      </c>
      <c r="C826" s="2">
        <v>0.33333333333333331</v>
      </c>
      <c r="D826">
        <v>3</v>
      </c>
      <c r="E826">
        <v>16.100000000000001</v>
      </c>
      <c r="F826">
        <v>90</v>
      </c>
    </row>
    <row r="827" spans="1:6" x14ac:dyDescent="0.35">
      <c r="A827">
        <v>1975</v>
      </c>
      <c r="B827" s="1">
        <v>45559</v>
      </c>
      <c r="C827" s="2">
        <v>0.375</v>
      </c>
      <c r="D827">
        <v>3</v>
      </c>
      <c r="E827">
        <v>16.7</v>
      </c>
      <c r="F827">
        <v>82</v>
      </c>
    </row>
    <row r="828" spans="1:6" x14ac:dyDescent="0.35">
      <c r="A828">
        <v>1975</v>
      </c>
      <c r="B828" s="1">
        <v>45559</v>
      </c>
      <c r="C828" s="2">
        <v>0.41666666666666669</v>
      </c>
      <c r="D828">
        <v>3</v>
      </c>
      <c r="E828">
        <v>17</v>
      </c>
      <c r="F828">
        <v>80</v>
      </c>
    </row>
    <row r="829" spans="1:6" x14ac:dyDescent="0.35">
      <c r="A829">
        <v>1975</v>
      </c>
      <c r="B829" s="1">
        <v>45559</v>
      </c>
      <c r="C829" s="2">
        <v>0.45833333333333331</v>
      </c>
      <c r="D829">
        <v>3</v>
      </c>
      <c r="E829">
        <v>17.3</v>
      </c>
      <c r="F829">
        <v>80</v>
      </c>
    </row>
    <row r="830" spans="1:6" x14ac:dyDescent="0.35">
      <c r="A830">
        <v>1975</v>
      </c>
      <c r="B830" s="1">
        <v>45559</v>
      </c>
      <c r="C830" s="2">
        <v>0.5</v>
      </c>
      <c r="D830">
        <v>3</v>
      </c>
      <c r="E830">
        <v>17.399999999999999</v>
      </c>
      <c r="F830">
        <v>77</v>
      </c>
    </row>
    <row r="831" spans="1:6" x14ac:dyDescent="0.35">
      <c r="A831">
        <v>1975</v>
      </c>
      <c r="B831" s="1">
        <v>45559</v>
      </c>
      <c r="C831" s="2">
        <v>0.54166666666666663</v>
      </c>
      <c r="D831">
        <v>3</v>
      </c>
      <c r="E831">
        <v>17.399999999999999</v>
      </c>
      <c r="F831">
        <v>72</v>
      </c>
    </row>
    <row r="832" spans="1:6" x14ac:dyDescent="0.35">
      <c r="A832">
        <v>1975</v>
      </c>
      <c r="B832" s="1">
        <v>45559</v>
      </c>
      <c r="C832" s="2">
        <v>0.58333333333333337</v>
      </c>
      <c r="D832">
        <v>3</v>
      </c>
      <c r="E832">
        <v>17.2</v>
      </c>
      <c r="F832">
        <v>75</v>
      </c>
    </row>
    <row r="833" spans="1:6" x14ac:dyDescent="0.35">
      <c r="A833">
        <v>1975</v>
      </c>
      <c r="B833" s="1">
        <v>45559</v>
      </c>
      <c r="C833" s="2">
        <v>0.625</v>
      </c>
      <c r="D833">
        <v>3</v>
      </c>
      <c r="E833">
        <v>17.100000000000001</v>
      </c>
      <c r="F833">
        <v>77</v>
      </c>
    </row>
    <row r="834" spans="1:6" x14ac:dyDescent="0.35">
      <c r="A834">
        <v>1975</v>
      </c>
      <c r="B834" s="1">
        <v>45559</v>
      </c>
      <c r="C834" s="2">
        <v>0.66666666666666663</v>
      </c>
      <c r="D834">
        <v>3</v>
      </c>
      <c r="E834">
        <v>16.899999999999999</v>
      </c>
      <c r="F834">
        <v>77</v>
      </c>
    </row>
    <row r="835" spans="1:6" x14ac:dyDescent="0.35">
      <c r="A835">
        <v>1975</v>
      </c>
      <c r="B835" s="1">
        <v>45559</v>
      </c>
      <c r="C835" s="2">
        <v>0.70833333333333337</v>
      </c>
      <c r="D835">
        <v>3</v>
      </c>
      <c r="E835">
        <v>15.9</v>
      </c>
      <c r="F835">
        <v>79</v>
      </c>
    </row>
    <row r="836" spans="1:6" x14ac:dyDescent="0.35">
      <c r="A836">
        <v>1975</v>
      </c>
      <c r="B836" s="1">
        <v>45559</v>
      </c>
      <c r="C836" s="2">
        <v>0.75</v>
      </c>
      <c r="D836">
        <v>3</v>
      </c>
      <c r="E836">
        <v>16.3</v>
      </c>
      <c r="F836">
        <v>77</v>
      </c>
    </row>
    <row r="837" spans="1:6" x14ac:dyDescent="0.35">
      <c r="A837">
        <v>1975</v>
      </c>
      <c r="B837" s="1">
        <v>45559</v>
      </c>
      <c r="C837" s="2">
        <v>0.79166666666666663</v>
      </c>
      <c r="D837">
        <v>3</v>
      </c>
      <c r="E837">
        <v>16.100000000000001</v>
      </c>
      <c r="F837">
        <v>78</v>
      </c>
    </row>
    <row r="838" spans="1:6" x14ac:dyDescent="0.35">
      <c r="A838">
        <v>1975</v>
      </c>
      <c r="B838" s="1">
        <v>45559</v>
      </c>
      <c r="C838" s="2">
        <v>0.83333333333333337</v>
      </c>
      <c r="D838">
        <v>3</v>
      </c>
      <c r="E838">
        <v>15.8</v>
      </c>
      <c r="F838">
        <v>78</v>
      </c>
    </row>
    <row r="839" spans="1:6" x14ac:dyDescent="0.35">
      <c r="A839">
        <v>1975</v>
      </c>
      <c r="B839" s="1">
        <v>45559</v>
      </c>
      <c r="C839" s="2">
        <v>0.875</v>
      </c>
      <c r="D839">
        <v>3</v>
      </c>
      <c r="E839">
        <v>14.5</v>
      </c>
      <c r="F839">
        <v>83</v>
      </c>
    </row>
    <row r="840" spans="1:6" x14ac:dyDescent="0.35">
      <c r="A840">
        <v>1975</v>
      </c>
      <c r="B840" s="1">
        <v>45559</v>
      </c>
      <c r="C840" s="2">
        <v>0.91666666666666663</v>
      </c>
      <c r="D840">
        <v>3</v>
      </c>
      <c r="E840">
        <v>14.9</v>
      </c>
      <c r="F840">
        <v>81</v>
      </c>
    </row>
    <row r="841" spans="1:6" x14ac:dyDescent="0.35">
      <c r="A841">
        <v>1975</v>
      </c>
      <c r="B841" s="1">
        <v>45559</v>
      </c>
      <c r="C841" s="2">
        <v>0.95833333333333337</v>
      </c>
      <c r="D841">
        <v>3</v>
      </c>
      <c r="E841">
        <v>14.8</v>
      </c>
      <c r="F841">
        <v>82</v>
      </c>
    </row>
    <row r="842" spans="1:6" x14ac:dyDescent="0.35">
      <c r="A842">
        <v>1975</v>
      </c>
      <c r="B842" s="1">
        <v>45560</v>
      </c>
      <c r="C842" s="2">
        <v>0</v>
      </c>
      <c r="D842">
        <v>3</v>
      </c>
      <c r="E842">
        <v>14.6</v>
      </c>
      <c r="F842">
        <v>86</v>
      </c>
    </row>
    <row r="843" spans="1:6" x14ac:dyDescent="0.35">
      <c r="A843">
        <v>1975</v>
      </c>
      <c r="B843" s="1">
        <v>45560</v>
      </c>
      <c r="C843" s="2">
        <v>4.1666666666666657E-2</v>
      </c>
      <c r="D843">
        <v>3</v>
      </c>
      <c r="E843">
        <v>14.7</v>
      </c>
      <c r="F843">
        <v>88</v>
      </c>
    </row>
    <row r="844" spans="1:6" x14ac:dyDescent="0.35">
      <c r="A844">
        <v>1975</v>
      </c>
      <c r="B844" s="1">
        <v>45560</v>
      </c>
      <c r="C844" s="2">
        <v>8.3333333333333329E-2</v>
      </c>
      <c r="D844">
        <v>3</v>
      </c>
      <c r="E844">
        <v>13.5</v>
      </c>
      <c r="F844">
        <v>92</v>
      </c>
    </row>
    <row r="845" spans="1:6" x14ac:dyDescent="0.35">
      <c r="A845">
        <v>1975</v>
      </c>
      <c r="B845" s="1">
        <v>45560</v>
      </c>
      <c r="C845" s="2">
        <v>0.125</v>
      </c>
      <c r="D845">
        <v>3</v>
      </c>
      <c r="E845">
        <v>13.2</v>
      </c>
      <c r="F845">
        <v>92</v>
      </c>
    </row>
    <row r="846" spans="1:6" x14ac:dyDescent="0.35">
      <c r="A846">
        <v>1975</v>
      </c>
      <c r="B846" s="1">
        <v>45560</v>
      </c>
      <c r="C846" s="2">
        <v>0.16666666666666671</v>
      </c>
      <c r="D846">
        <v>3</v>
      </c>
      <c r="E846">
        <v>12.6</v>
      </c>
      <c r="F846">
        <v>94</v>
      </c>
    </row>
    <row r="847" spans="1:6" x14ac:dyDescent="0.35">
      <c r="A847">
        <v>1975</v>
      </c>
      <c r="B847" s="1">
        <v>45560</v>
      </c>
      <c r="C847" s="2">
        <v>0.20833333333333329</v>
      </c>
      <c r="D847">
        <v>3</v>
      </c>
      <c r="E847">
        <v>13.3</v>
      </c>
      <c r="F847">
        <v>91</v>
      </c>
    </row>
    <row r="848" spans="1:6" x14ac:dyDescent="0.35">
      <c r="A848">
        <v>1975</v>
      </c>
      <c r="B848" s="1">
        <v>45560</v>
      </c>
      <c r="C848" s="2">
        <v>0.25</v>
      </c>
      <c r="D848">
        <v>3</v>
      </c>
      <c r="E848">
        <v>13.3</v>
      </c>
      <c r="F848">
        <v>91</v>
      </c>
    </row>
    <row r="849" spans="1:6" x14ac:dyDescent="0.35">
      <c r="A849">
        <v>1975</v>
      </c>
      <c r="B849" s="1">
        <v>45560</v>
      </c>
      <c r="C849" s="2">
        <v>0.29166666666666669</v>
      </c>
      <c r="D849">
        <v>3</v>
      </c>
      <c r="E849">
        <v>13.9</v>
      </c>
      <c r="F849">
        <v>87</v>
      </c>
    </row>
    <row r="850" spans="1:6" x14ac:dyDescent="0.35">
      <c r="A850">
        <v>1975</v>
      </c>
      <c r="B850" s="1">
        <v>45560</v>
      </c>
      <c r="C850" s="2">
        <v>0.33333333333333331</v>
      </c>
      <c r="D850">
        <v>3</v>
      </c>
      <c r="E850">
        <v>15</v>
      </c>
      <c r="F850">
        <v>79</v>
      </c>
    </row>
    <row r="851" spans="1:6" x14ac:dyDescent="0.35">
      <c r="A851">
        <v>1975</v>
      </c>
      <c r="B851" s="1">
        <v>45560</v>
      </c>
      <c r="C851" s="2">
        <v>0.375</v>
      </c>
      <c r="D851">
        <v>3</v>
      </c>
      <c r="E851">
        <v>15.2</v>
      </c>
      <c r="F851">
        <v>80</v>
      </c>
    </row>
    <row r="852" spans="1:6" x14ac:dyDescent="0.35">
      <c r="A852">
        <v>1975</v>
      </c>
      <c r="B852" s="1">
        <v>45560</v>
      </c>
      <c r="C852" s="2">
        <v>0.41666666666666669</v>
      </c>
      <c r="D852">
        <v>3</v>
      </c>
      <c r="E852">
        <v>15.7</v>
      </c>
      <c r="F852">
        <v>78</v>
      </c>
    </row>
    <row r="853" spans="1:6" x14ac:dyDescent="0.35">
      <c r="A853">
        <v>1975</v>
      </c>
      <c r="B853" s="1">
        <v>45560</v>
      </c>
      <c r="C853" s="2">
        <v>0.45833333333333331</v>
      </c>
      <c r="D853">
        <v>3</v>
      </c>
      <c r="E853">
        <v>14.2</v>
      </c>
      <c r="F853">
        <v>95</v>
      </c>
    </row>
    <row r="854" spans="1:6" x14ac:dyDescent="0.35">
      <c r="A854">
        <v>1975</v>
      </c>
      <c r="B854" s="1">
        <v>45560</v>
      </c>
      <c r="C854" s="2">
        <v>0.5</v>
      </c>
      <c r="D854">
        <v>3</v>
      </c>
      <c r="E854">
        <v>15.4</v>
      </c>
      <c r="F854">
        <v>87</v>
      </c>
    </row>
    <row r="855" spans="1:6" x14ac:dyDescent="0.35">
      <c r="A855">
        <v>1975</v>
      </c>
      <c r="B855" s="1">
        <v>45560</v>
      </c>
      <c r="C855" s="2">
        <v>0.54166666666666663</v>
      </c>
      <c r="D855">
        <v>3</v>
      </c>
      <c r="E855">
        <v>15.3</v>
      </c>
      <c r="F855">
        <v>87</v>
      </c>
    </row>
    <row r="856" spans="1:6" x14ac:dyDescent="0.35">
      <c r="A856">
        <v>1975</v>
      </c>
      <c r="B856" s="1">
        <v>45560</v>
      </c>
      <c r="C856" s="2">
        <v>0.58333333333333337</v>
      </c>
      <c r="D856">
        <v>3</v>
      </c>
      <c r="E856">
        <v>15.8</v>
      </c>
      <c r="F856">
        <v>82</v>
      </c>
    </row>
    <row r="857" spans="1:6" x14ac:dyDescent="0.35">
      <c r="A857">
        <v>1975</v>
      </c>
      <c r="B857" s="1">
        <v>45560</v>
      </c>
      <c r="C857" s="2">
        <v>0.625</v>
      </c>
      <c r="D857">
        <v>3</v>
      </c>
      <c r="E857">
        <v>13.5</v>
      </c>
      <c r="F857">
        <v>83</v>
      </c>
    </row>
    <row r="858" spans="1:6" x14ac:dyDescent="0.35">
      <c r="A858">
        <v>1975</v>
      </c>
      <c r="B858" s="1">
        <v>45560</v>
      </c>
      <c r="C858" s="2">
        <v>0.66666666666666663</v>
      </c>
      <c r="D858">
        <v>3</v>
      </c>
      <c r="E858">
        <v>13.4</v>
      </c>
      <c r="F858">
        <v>89</v>
      </c>
    </row>
    <row r="859" spans="1:6" x14ac:dyDescent="0.35">
      <c r="A859">
        <v>1975</v>
      </c>
      <c r="B859" s="1">
        <v>45560</v>
      </c>
      <c r="C859" s="2">
        <v>0.70833333333333337</v>
      </c>
      <c r="D859">
        <v>3</v>
      </c>
      <c r="E859">
        <v>13</v>
      </c>
      <c r="F859">
        <v>91</v>
      </c>
    </row>
    <row r="860" spans="1:6" x14ac:dyDescent="0.35">
      <c r="A860">
        <v>1975</v>
      </c>
      <c r="B860" s="1">
        <v>45560</v>
      </c>
      <c r="C860" s="2">
        <v>0.75</v>
      </c>
      <c r="D860">
        <v>3</v>
      </c>
      <c r="E860">
        <v>11.9</v>
      </c>
      <c r="F860">
        <v>95</v>
      </c>
    </row>
    <row r="861" spans="1:6" x14ac:dyDescent="0.35">
      <c r="A861">
        <v>1975</v>
      </c>
      <c r="B861" s="1">
        <v>45560</v>
      </c>
      <c r="C861" s="2">
        <v>0.79166666666666663</v>
      </c>
      <c r="D861">
        <v>3</v>
      </c>
      <c r="E861">
        <v>12.2</v>
      </c>
      <c r="F861">
        <v>97</v>
      </c>
    </row>
    <row r="862" spans="1:6" x14ac:dyDescent="0.35">
      <c r="A862">
        <v>1975</v>
      </c>
      <c r="B862" s="1">
        <v>45560</v>
      </c>
      <c r="C862" s="2">
        <v>0.83333333333333337</v>
      </c>
      <c r="D862">
        <v>3</v>
      </c>
      <c r="E862">
        <v>12.8</v>
      </c>
      <c r="F862">
        <v>95</v>
      </c>
    </row>
    <row r="863" spans="1:6" x14ac:dyDescent="0.35">
      <c r="A863">
        <v>1975</v>
      </c>
      <c r="B863" s="1">
        <v>45560</v>
      </c>
      <c r="C863" s="2">
        <v>0.875</v>
      </c>
      <c r="D863">
        <v>3</v>
      </c>
      <c r="E863">
        <v>11.9</v>
      </c>
      <c r="F863">
        <v>100</v>
      </c>
    </row>
    <row r="864" spans="1:6" x14ac:dyDescent="0.35">
      <c r="A864">
        <v>1975</v>
      </c>
      <c r="B864" s="1">
        <v>45560</v>
      </c>
      <c r="C864" s="2">
        <v>0.91666666666666663</v>
      </c>
      <c r="D864">
        <v>3</v>
      </c>
      <c r="E864">
        <v>11.9</v>
      </c>
      <c r="F864">
        <v>100</v>
      </c>
    </row>
    <row r="865" spans="1:6" x14ac:dyDescent="0.35">
      <c r="A865">
        <v>1975</v>
      </c>
      <c r="B865" s="1">
        <v>45560</v>
      </c>
      <c r="C865" s="2">
        <v>0.95833333333333337</v>
      </c>
      <c r="D865">
        <v>3</v>
      </c>
      <c r="E865">
        <v>12.5</v>
      </c>
      <c r="F865">
        <v>99</v>
      </c>
    </row>
    <row r="866" spans="1:6" x14ac:dyDescent="0.35">
      <c r="A866">
        <v>1975</v>
      </c>
      <c r="B866" s="1">
        <v>45561</v>
      </c>
      <c r="C866" s="2">
        <v>0</v>
      </c>
      <c r="D866">
        <v>3</v>
      </c>
      <c r="E866">
        <v>12.8</v>
      </c>
      <c r="F866">
        <v>98</v>
      </c>
    </row>
    <row r="867" spans="1:6" x14ac:dyDescent="0.35">
      <c r="A867">
        <v>1975</v>
      </c>
      <c r="B867" s="1">
        <v>45561</v>
      </c>
      <c r="C867" s="2">
        <v>4.1666666666666657E-2</v>
      </c>
      <c r="D867">
        <v>3</v>
      </c>
      <c r="E867">
        <v>13</v>
      </c>
      <c r="F867">
        <v>98</v>
      </c>
    </row>
    <row r="868" spans="1:6" x14ac:dyDescent="0.35">
      <c r="A868">
        <v>1975</v>
      </c>
      <c r="B868" s="1">
        <v>45561</v>
      </c>
      <c r="C868" s="2">
        <v>8.3333333333333329E-2</v>
      </c>
      <c r="D868">
        <v>3</v>
      </c>
      <c r="E868">
        <v>13.1</v>
      </c>
      <c r="F868">
        <v>98</v>
      </c>
    </row>
    <row r="869" spans="1:6" x14ac:dyDescent="0.35">
      <c r="A869">
        <v>1975</v>
      </c>
      <c r="B869" s="1">
        <v>45561</v>
      </c>
      <c r="C869" s="2">
        <v>0.125</v>
      </c>
      <c r="D869">
        <v>3</v>
      </c>
      <c r="E869">
        <v>13.4</v>
      </c>
      <c r="F869">
        <v>99</v>
      </c>
    </row>
    <row r="870" spans="1:6" x14ac:dyDescent="0.35">
      <c r="A870">
        <v>1975</v>
      </c>
      <c r="B870" s="1">
        <v>45561</v>
      </c>
      <c r="C870" s="2">
        <v>0.16666666666666671</v>
      </c>
      <c r="D870">
        <v>3</v>
      </c>
      <c r="E870">
        <v>13.8</v>
      </c>
      <c r="F870">
        <v>98</v>
      </c>
    </row>
    <row r="871" spans="1:6" x14ac:dyDescent="0.35">
      <c r="A871">
        <v>1975</v>
      </c>
      <c r="B871" s="1">
        <v>45561</v>
      </c>
      <c r="C871" s="2">
        <v>0.20833333333333329</v>
      </c>
      <c r="D871">
        <v>3</v>
      </c>
      <c r="E871">
        <v>13.9</v>
      </c>
      <c r="F871">
        <v>98</v>
      </c>
    </row>
    <row r="872" spans="1:6" x14ac:dyDescent="0.35">
      <c r="A872">
        <v>1975</v>
      </c>
      <c r="B872" s="1">
        <v>45561</v>
      </c>
      <c r="C872" s="2">
        <v>0.25</v>
      </c>
      <c r="D872">
        <v>3</v>
      </c>
      <c r="E872">
        <v>13.9</v>
      </c>
      <c r="F872">
        <v>98</v>
      </c>
    </row>
    <row r="873" spans="1:6" x14ac:dyDescent="0.35">
      <c r="A873">
        <v>1975</v>
      </c>
      <c r="B873" s="1">
        <v>45561</v>
      </c>
      <c r="C873" s="2">
        <v>0.29166666666666669</v>
      </c>
      <c r="D873">
        <v>3</v>
      </c>
      <c r="E873">
        <v>13.9</v>
      </c>
      <c r="F873">
        <v>97</v>
      </c>
    </row>
    <row r="874" spans="1:6" x14ac:dyDescent="0.35">
      <c r="A874">
        <v>1975</v>
      </c>
      <c r="B874" s="1">
        <v>45561</v>
      </c>
      <c r="C874" s="2">
        <v>0.33333333333333331</v>
      </c>
      <c r="D874">
        <v>3</v>
      </c>
      <c r="E874">
        <v>14</v>
      </c>
      <c r="F874">
        <v>98</v>
      </c>
    </row>
    <row r="875" spans="1:6" x14ac:dyDescent="0.35">
      <c r="A875">
        <v>1975</v>
      </c>
      <c r="B875" s="1">
        <v>45561</v>
      </c>
      <c r="C875" s="2">
        <v>0.375</v>
      </c>
      <c r="D875">
        <v>3</v>
      </c>
      <c r="E875">
        <v>14.2</v>
      </c>
      <c r="F875">
        <v>98</v>
      </c>
    </row>
    <row r="876" spans="1:6" x14ac:dyDescent="0.35">
      <c r="A876">
        <v>1975</v>
      </c>
      <c r="B876" s="1">
        <v>45561</v>
      </c>
      <c r="C876" s="2">
        <v>0.41666666666666669</v>
      </c>
      <c r="D876">
        <v>3</v>
      </c>
      <c r="E876">
        <v>15.1</v>
      </c>
      <c r="F876">
        <v>94</v>
      </c>
    </row>
    <row r="877" spans="1:6" x14ac:dyDescent="0.35">
      <c r="A877">
        <v>1975</v>
      </c>
      <c r="B877" s="1">
        <v>45561</v>
      </c>
      <c r="C877" s="2">
        <v>0.45833333333333331</v>
      </c>
      <c r="D877">
        <v>3</v>
      </c>
      <c r="E877">
        <v>16.2</v>
      </c>
      <c r="F877">
        <v>89</v>
      </c>
    </row>
    <row r="878" spans="1:6" x14ac:dyDescent="0.35">
      <c r="A878">
        <v>1975</v>
      </c>
      <c r="B878" s="1">
        <v>45561</v>
      </c>
      <c r="C878" s="2">
        <v>0.5</v>
      </c>
      <c r="D878">
        <v>3</v>
      </c>
      <c r="E878">
        <v>17.399999999999999</v>
      </c>
      <c r="F878">
        <v>85</v>
      </c>
    </row>
    <row r="879" spans="1:6" x14ac:dyDescent="0.35">
      <c r="A879">
        <v>1975</v>
      </c>
      <c r="B879" s="1">
        <v>45561</v>
      </c>
      <c r="C879" s="2">
        <v>0.54166666666666663</v>
      </c>
      <c r="D879">
        <v>3</v>
      </c>
      <c r="E879">
        <v>18.8</v>
      </c>
      <c r="F879">
        <v>73</v>
      </c>
    </row>
    <row r="880" spans="1:6" x14ac:dyDescent="0.35">
      <c r="A880">
        <v>1975</v>
      </c>
      <c r="B880" s="1">
        <v>45561</v>
      </c>
      <c r="C880" s="2">
        <v>0.58333333333333337</v>
      </c>
      <c r="D880">
        <v>3</v>
      </c>
      <c r="E880">
        <v>18.8</v>
      </c>
      <c r="F880">
        <v>70</v>
      </c>
    </row>
    <row r="881" spans="1:6" x14ac:dyDescent="0.35">
      <c r="A881">
        <v>1975</v>
      </c>
      <c r="B881" s="1">
        <v>45561</v>
      </c>
      <c r="C881" s="2">
        <v>0.625</v>
      </c>
      <c r="D881">
        <v>3</v>
      </c>
      <c r="E881">
        <v>18.5</v>
      </c>
      <c r="F881">
        <v>73</v>
      </c>
    </row>
    <row r="882" spans="1:6" x14ac:dyDescent="0.35">
      <c r="A882">
        <v>1975</v>
      </c>
      <c r="B882" s="1">
        <v>45561</v>
      </c>
      <c r="C882" s="2">
        <v>0.66666666666666663</v>
      </c>
      <c r="D882">
        <v>3</v>
      </c>
      <c r="E882">
        <v>17.8</v>
      </c>
      <c r="F882">
        <v>74</v>
      </c>
    </row>
    <row r="883" spans="1:6" x14ac:dyDescent="0.35">
      <c r="A883">
        <v>1975</v>
      </c>
      <c r="B883" s="1">
        <v>45561</v>
      </c>
      <c r="C883" s="2">
        <v>0.70833333333333337</v>
      </c>
      <c r="D883">
        <v>3</v>
      </c>
      <c r="E883">
        <v>16.8</v>
      </c>
      <c r="F883">
        <v>77</v>
      </c>
    </row>
    <row r="884" spans="1:6" x14ac:dyDescent="0.35">
      <c r="A884">
        <v>1975</v>
      </c>
      <c r="B884" s="1">
        <v>45561</v>
      </c>
      <c r="C884" s="2">
        <v>0.75</v>
      </c>
      <c r="D884">
        <v>3</v>
      </c>
      <c r="E884">
        <v>16.3</v>
      </c>
      <c r="F884">
        <v>80</v>
      </c>
    </row>
    <row r="885" spans="1:6" x14ac:dyDescent="0.35">
      <c r="A885">
        <v>1975</v>
      </c>
      <c r="B885" s="1">
        <v>45561</v>
      </c>
      <c r="C885" s="2">
        <v>0.79166666666666663</v>
      </c>
      <c r="D885">
        <v>3</v>
      </c>
      <c r="E885">
        <v>16.600000000000001</v>
      </c>
      <c r="F885">
        <v>80</v>
      </c>
    </row>
    <row r="886" spans="1:6" x14ac:dyDescent="0.35">
      <c r="A886">
        <v>1975</v>
      </c>
      <c r="B886" s="1">
        <v>45561</v>
      </c>
      <c r="C886" s="2">
        <v>0.83333333333333337</v>
      </c>
      <c r="D886">
        <v>3</v>
      </c>
      <c r="E886">
        <v>16.5</v>
      </c>
      <c r="F886">
        <v>82</v>
      </c>
    </row>
    <row r="887" spans="1:6" x14ac:dyDescent="0.35">
      <c r="A887">
        <v>1975</v>
      </c>
      <c r="B887" s="1">
        <v>45561</v>
      </c>
      <c r="C887" s="2">
        <v>0.875</v>
      </c>
      <c r="D887">
        <v>3</v>
      </c>
      <c r="E887">
        <v>16.5</v>
      </c>
      <c r="F887">
        <v>80</v>
      </c>
    </row>
    <row r="888" spans="1:6" x14ac:dyDescent="0.35">
      <c r="A888">
        <v>1975</v>
      </c>
      <c r="B888" s="1">
        <v>45561</v>
      </c>
      <c r="C888" s="2">
        <v>0.91666666666666663</v>
      </c>
      <c r="D888">
        <v>3</v>
      </c>
      <c r="E888">
        <v>16</v>
      </c>
      <c r="F888">
        <v>85</v>
      </c>
    </row>
    <row r="889" spans="1:6" x14ac:dyDescent="0.35">
      <c r="A889">
        <v>1975</v>
      </c>
      <c r="B889" s="1">
        <v>45561</v>
      </c>
      <c r="C889" s="2">
        <v>0.95833333333333337</v>
      </c>
      <c r="D889">
        <v>3</v>
      </c>
      <c r="E889">
        <v>15</v>
      </c>
      <c r="F889">
        <v>95</v>
      </c>
    </row>
    <row r="890" spans="1:6" x14ac:dyDescent="0.35">
      <c r="A890">
        <v>1975</v>
      </c>
      <c r="B890" s="1">
        <v>45562</v>
      </c>
      <c r="C890" s="2">
        <v>0</v>
      </c>
      <c r="D890">
        <v>3</v>
      </c>
      <c r="E890">
        <v>13.2</v>
      </c>
      <c r="F890">
        <v>94</v>
      </c>
    </row>
    <row r="891" spans="1:6" x14ac:dyDescent="0.35">
      <c r="A891">
        <v>1975</v>
      </c>
      <c r="B891" s="1">
        <v>45562</v>
      </c>
      <c r="C891" s="2">
        <v>4.1666666666666657E-2</v>
      </c>
      <c r="D891">
        <v>3</v>
      </c>
      <c r="E891">
        <v>12.7</v>
      </c>
      <c r="F891">
        <v>94</v>
      </c>
    </row>
    <row r="892" spans="1:6" x14ac:dyDescent="0.35">
      <c r="A892">
        <v>1975</v>
      </c>
      <c r="B892" s="1">
        <v>45562</v>
      </c>
      <c r="C892" s="2">
        <v>8.3333333333333329E-2</v>
      </c>
      <c r="D892">
        <v>3</v>
      </c>
      <c r="E892">
        <v>12.9</v>
      </c>
      <c r="F892">
        <v>92</v>
      </c>
    </row>
    <row r="893" spans="1:6" x14ac:dyDescent="0.35">
      <c r="A893">
        <v>1975</v>
      </c>
      <c r="B893" s="1">
        <v>45562</v>
      </c>
      <c r="C893" s="2">
        <v>0.125</v>
      </c>
      <c r="D893">
        <v>3</v>
      </c>
      <c r="E893">
        <v>12.8</v>
      </c>
      <c r="F893">
        <v>93</v>
      </c>
    </row>
    <row r="894" spans="1:6" x14ac:dyDescent="0.35">
      <c r="A894">
        <v>1975</v>
      </c>
      <c r="B894" s="1">
        <v>45562</v>
      </c>
      <c r="C894" s="2">
        <v>0.16666666666666671</v>
      </c>
      <c r="D894">
        <v>3</v>
      </c>
      <c r="E894">
        <v>13.4</v>
      </c>
      <c r="F894">
        <v>88</v>
      </c>
    </row>
    <row r="895" spans="1:6" x14ac:dyDescent="0.35">
      <c r="A895">
        <v>1975</v>
      </c>
      <c r="B895" s="1">
        <v>45562</v>
      </c>
      <c r="C895" s="2">
        <v>0.20833333333333329</v>
      </c>
      <c r="D895">
        <v>3</v>
      </c>
      <c r="E895">
        <v>13.2</v>
      </c>
      <c r="F895">
        <v>84</v>
      </c>
    </row>
    <row r="896" spans="1:6" x14ac:dyDescent="0.35">
      <c r="A896">
        <v>1975</v>
      </c>
      <c r="B896" s="1">
        <v>45562</v>
      </c>
      <c r="C896" s="2">
        <v>0.25</v>
      </c>
      <c r="D896">
        <v>3</v>
      </c>
      <c r="E896">
        <v>13.5</v>
      </c>
      <c r="F896">
        <v>81</v>
      </c>
    </row>
    <row r="897" spans="1:6" x14ac:dyDescent="0.35">
      <c r="A897">
        <v>1975</v>
      </c>
      <c r="B897" s="1">
        <v>45562</v>
      </c>
      <c r="C897" s="2">
        <v>0.29166666666666669</v>
      </c>
      <c r="D897">
        <v>3</v>
      </c>
      <c r="E897">
        <v>13.7</v>
      </c>
      <c r="F897">
        <v>75</v>
      </c>
    </row>
    <row r="898" spans="1:6" x14ac:dyDescent="0.35">
      <c r="A898">
        <v>1975</v>
      </c>
      <c r="B898" s="1">
        <v>45562</v>
      </c>
      <c r="C898" s="2">
        <v>0.33333333333333331</v>
      </c>
      <c r="D898">
        <v>3</v>
      </c>
      <c r="E898">
        <v>14.3</v>
      </c>
      <c r="F898">
        <v>70</v>
      </c>
    </row>
    <row r="899" spans="1:6" x14ac:dyDescent="0.35">
      <c r="A899">
        <v>1975</v>
      </c>
      <c r="B899" s="1">
        <v>45562</v>
      </c>
      <c r="C899" s="2">
        <v>0.375</v>
      </c>
      <c r="D899">
        <v>3</v>
      </c>
      <c r="E899">
        <v>14.6</v>
      </c>
      <c r="F899">
        <v>67</v>
      </c>
    </row>
    <row r="900" spans="1:6" x14ac:dyDescent="0.35">
      <c r="A900">
        <v>1975</v>
      </c>
      <c r="B900" s="1">
        <v>45562</v>
      </c>
      <c r="C900" s="2">
        <v>0.41666666666666669</v>
      </c>
      <c r="D900">
        <v>3</v>
      </c>
      <c r="E900">
        <v>15.1</v>
      </c>
      <c r="F900">
        <v>63</v>
      </c>
    </row>
    <row r="901" spans="1:6" x14ac:dyDescent="0.35">
      <c r="A901">
        <v>1975</v>
      </c>
      <c r="B901" s="1">
        <v>45562</v>
      </c>
      <c r="C901" s="2">
        <v>0.45833333333333331</v>
      </c>
      <c r="D901">
        <v>3</v>
      </c>
      <c r="E901">
        <v>15.3</v>
      </c>
      <c r="F901">
        <v>61</v>
      </c>
    </row>
    <row r="902" spans="1:6" x14ac:dyDescent="0.35">
      <c r="A902">
        <v>1975</v>
      </c>
      <c r="B902" s="1">
        <v>45562</v>
      </c>
      <c r="C902" s="2">
        <v>0.5</v>
      </c>
      <c r="D902">
        <v>3</v>
      </c>
      <c r="E902">
        <v>16.5</v>
      </c>
      <c r="F902">
        <v>57</v>
      </c>
    </row>
    <row r="903" spans="1:6" x14ac:dyDescent="0.35">
      <c r="A903">
        <v>1975</v>
      </c>
      <c r="B903" s="1">
        <v>45562</v>
      </c>
      <c r="C903" s="2">
        <v>0.54166666666666663</v>
      </c>
      <c r="D903">
        <v>3</v>
      </c>
      <c r="E903">
        <v>16.100000000000001</v>
      </c>
      <c r="F903">
        <v>54</v>
      </c>
    </row>
    <row r="904" spans="1:6" x14ac:dyDescent="0.35">
      <c r="A904">
        <v>1975</v>
      </c>
      <c r="B904" s="1">
        <v>45562</v>
      </c>
      <c r="C904" s="2">
        <v>0.58333333333333337</v>
      </c>
      <c r="D904">
        <v>3</v>
      </c>
      <c r="E904">
        <v>16.3</v>
      </c>
      <c r="F904">
        <v>55</v>
      </c>
    </row>
    <row r="905" spans="1:6" x14ac:dyDescent="0.35">
      <c r="A905">
        <v>1975</v>
      </c>
      <c r="B905" s="1">
        <v>45562</v>
      </c>
      <c r="C905" s="2">
        <v>0.625</v>
      </c>
      <c r="D905">
        <v>3</v>
      </c>
      <c r="E905">
        <v>16</v>
      </c>
      <c r="F905">
        <v>57</v>
      </c>
    </row>
    <row r="906" spans="1:6" x14ac:dyDescent="0.35">
      <c r="A906">
        <v>1975</v>
      </c>
      <c r="B906" s="1">
        <v>45562</v>
      </c>
      <c r="C906" s="2">
        <v>0.66666666666666663</v>
      </c>
      <c r="D906">
        <v>3</v>
      </c>
      <c r="E906">
        <v>14.1</v>
      </c>
      <c r="F906">
        <v>66</v>
      </c>
    </row>
    <row r="907" spans="1:6" x14ac:dyDescent="0.35">
      <c r="A907">
        <v>1975</v>
      </c>
      <c r="B907" s="1">
        <v>45562</v>
      </c>
      <c r="C907" s="2">
        <v>0.70833333333333337</v>
      </c>
      <c r="D907">
        <v>3</v>
      </c>
      <c r="E907">
        <v>11.9</v>
      </c>
      <c r="F907">
        <v>86</v>
      </c>
    </row>
    <row r="908" spans="1:6" x14ac:dyDescent="0.35">
      <c r="A908">
        <v>1975</v>
      </c>
      <c r="B908" s="1">
        <v>45562</v>
      </c>
      <c r="C908" s="2">
        <v>0.75</v>
      </c>
      <c r="D908">
        <v>3</v>
      </c>
      <c r="E908">
        <v>11.4</v>
      </c>
      <c r="F908">
        <v>91</v>
      </c>
    </row>
    <row r="909" spans="1:6" x14ac:dyDescent="0.35">
      <c r="A909">
        <v>1975</v>
      </c>
      <c r="B909" s="1">
        <v>45562</v>
      </c>
      <c r="C909" s="2">
        <v>0.79166666666666663</v>
      </c>
      <c r="D909">
        <v>3</v>
      </c>
      <c r="E909">
        <v>11.5</v>
      </c>
      <c r="F909">
        <v>94</v>
      </c>
    </row>
    <row r="910" spans="1:6" x14ac:dyDescent="0.35">
      <c r="A910">
        <v>1975</v>
      </c>
      <c r="B910" s="1">
        <v>45562</v>
      </c>
      <c r="C910" s="2">
        <v>0.83333333333333337</v>
      </c>
      <c r="D910">
        <v>3</v>
      </c>
      <c r="E910">
        <v>12.2</v>
      </c>
      <c r="F910">
        <v>96</v>
      </c>
    </row>
    <row r="911" spans="1:6" x14ac:dyDescent="0.35">
      <c r="A911">
        <v>1975</v>
      </c>
      <c r="B911" s="1">
        <v>45562</v>
      </c>
      <c r="C911" s="2">
        <v>0.875</v>
      </c>
      <c r="D911">
        <v>3</v>
      </c>
      <c r="E911">
        <v>11.7</v>
      </c>
      <c r="F911">
        <v>94</v>
      </c>
    </row>
    <row r="912" spans="1:6" x14ac:dyDescent="0.35">
      <c r="A912">
        <v>1975</v>
      </c>
      <c r="B912" s="1">
        <v>45562</v>
      </c>
      <c r="C912" s="2">
        <v>0.91666666666666663</v>
      </c>
      <c r="D912">
        <v>3</v>
      </c>
      <c r="E912">
        <v>11.6</v>
      </c>
      <c r="F912">
        <v>93</v>
      </c>
    </row>
    <row r="913" spans="1:6" x14ac:dyDescent="0.35">
      <c r="A913">
        <v>1975</v>
      </c>
      <c r="B913" s="1">
        <v>45562</v>
      </c>
      <c r="C913" s="2">
        <v>0.95833333333333337</v>
      </c>
      <c r="D913">
        <v>3</v>
      </c>
      <c r="E913">
        <v>11.3</v>
      </c>
      <c r="F913">
        <v>83</v>
      </c>
    </row>
    <row r="914" spans="1:6" x14ac:dyDescent="0.35">
      <c r="A914">
        <v>1975</v>
      </c>
      <c r="B914" s="1">
        <v>45563</v>
      </c>
      <c r="C914" s="2">
        <v>0</v>
      </c>
      <c r="D914">
        <v>3</v>
      </c>
      <c r="E914">
        <v>11.3</v>
      </c>
      <c r="F914">
        <v>84</v>
      </c>
    </row>
    <row r="915" spans="1:6" x14ac:dyDescent="0.35">
      <c r="A915">
        <v>1975</v>
      </c>
      <c r="B915" s="1">
        <v>45563</v>
      </c>
      <c r="C915" s="2">
        <v>4.1666666666666657E-2</v>
      </c>
      <c r="D915">
        <v>3</v>
      </c>
      <c r="E915">
        <v>10.8</v>
      </c>
      <c r="F915">
        <v>81</v>
      </c>
    </row>
    <row r="916" spans="1:6" x14ac:dyDescent="0.35">
      <c r="A916">
        <v>1975</v>
      </c>
      <c r="B916" s="1">
        <v>45563</v>
      </c>
      <c r="C916" s="2">
        <v>8.3333333333333329E-2</v>
      </c>
      <c r="D916">
        <v>3</v>
      </c>
      <c r="E916">
        <v>10.9</v>
      </c>
      <c r="F916">
        <v>81</v>
      </c>
    </row>
    <row r="917" spans="1:6" x14ac:dyDescent="0.35">
      <c r="A917">
        <v>1975</v>
      </c>
      <c r="B917" s="1">
        <v>45563</v>
      </c>
      <c r="C917" s="2">
        <v>0.125</v>
      </c>
      <c r="D917">
        <v>3</v>
      </c>
      <c r="E917">
        <v>10.3</v>
      </c>
      <c r="F917">
        <v>82</v>
      </c>
    </row>
    <row r="918" spans="1:6" x14ac:dyDescent="0.35">
      <c r="A918">
        <v>1975</v>
      </c>
      <c r="B918" s="1">
        <v>45563</v>
      </c>
      <c r="C918" s="2">
        <v>0.16666666666666671</v>
      </c>
      <c r="D918">
        <v>3</v>
      </c>
      <c r="E918">
        <v>9.1999999999999993</v>
      </c>
      <c r="F918">
        <v>89</v>
      </c>
    </row>
    <row r="919" spans="1:6" x14ac:dyDescent="0.35">
      <c r="A919">
        <v>1975</v>
      </c>
      <c r="B919" s="1">
        <v>45563</v>
      </c>
      <c r="C919" s="2">
        <v>0.20833333333333329</v>
      </c>
      <c r="D919">
        <v>3</v>
      </c>
      <c r="E919">
        <v>9</v>
      </c>
      <c r="F919">
        <v>89</v>
      </c>
    </row>
    <row r="920" spans="1:6" x14ac:dyDescent="0.35">
      <c r="A920">
        <v>1975</v>
      </c>
      <c r="B920" s="1">
        <v>45563</v>
      </c>
      <c r="C920" s="2">
        <v>0.25</v>
      </c>
      <c r="D920">
        <v>3</v>
      </c>
      <c r="E920">
        <v>9.1999999999999993</v>
      </c>
      <c r="F920">
        <v>91</v>
      </c>
    </row>
    <row r="921" spans="1:6" x14ac:dyDescent="0.35">
      <c r="A921">
        <v>1975</v>
      </c>
      <c r="B921" s="1">
        <v>45563</v>
      </c>
      <c r="C921" s="2">
        <v>0.29166666666666669</v>
      </c>
      <c r="D921">
        <v>3</v>
      </c>
      <c r="E921">
        <v>9</v>
      </c>
      <c r="F921">
        <v>92</v>
      </c>
    </row>
    <row r="922" spans="1:6" x14ac:dyDescent="0.35">
      <c r="A922">
        <v>1975</v>
      </c>
      <c r="B922" s="1">
        <v>45563</v>
      </c>
      <c r="C922" s="2">
        <v>0.33333333333333331</v>
      </c>
      <c r="D922">
        <v>3</v>
      </c>
      <c r="E922">
        <v>10.5</v>
      </c>
      <c r="F922">
        <v>85</v>
      </c>
    </row>
    <row r="923" spans="1:6" x14ac:dyDescent="0.35">
      <c r="A923">
        <v>1975</v>
      </c>
      <c r="B923" s="1">
        <v>45563</v>
      </c>
      <c r="C923" s="2">
        <v>0.375</v>
      </c>
      <c r="D923">
        <v>3</v>
      </c>
      <c r="E923">
        <v>8.8000000000000007</v>
      </c>
      <c r="F923">
        <v>90</v>
      </c>
    </row>
    <row r="924" spans="1:6" x14ac:dyDescent="0.35">
      <c r="A924">
        <v>1975</v>
      </c>
      <c r="B924" s="1">
        <v>45563</v>
      </c>
      <c r="C924" s="2">
        <v>0.41666666666666669</v>
      </c>
      <c r="D924">
        <v>3</v>
      </c>
      <c r="E924">
        <v>10.3</v>
      </c>
      <c r="F924">
        <v>85</v>
      </c>
    </row>
    <row r="925" spans="1:6" x14ac:dyDescent="0.35">
      <c r="A925">
        <v>1975</v>
      </c>
      <c r="B925" s="1">
        <v>45563</v>
      </c>
      <c r="C925" s="2">
        <v>0.45833333333333331</v>
      </c>
      <c r="D925">
        <v>3</v>
      </c>
      <c r="E925">
        <v>9.5</v>
      </c>
      <c r="F925">
        <v>87</v>
      </c>
    </row>
    <row r="926" spans="1:6" x14ac:dyDescent="0.35">
      <c r="A926">
        <v>1975</v>
      </c>
      <c r="B926" s="1">
        <v>45563</v>
      </c>
      <c r="C926" s="2">
        <v>0.5</v>
      </c>
      <c r="D926">
        <v>3</v>
      </c>
      <c r="E926">
        <v>11.4</v>
      </c>
      <c r="F926">
        <v>78</v>
      </c>
    </row>
    <row r="927" spans="1:6" x14ac:dyDescent="0.35">
      <c r="A927">
        <v>1975</v>
      </c>
      <c r="B927" s="1">
        <v>45563</v>
      </c>
      <c r="C927" s="2">
        <v>0.54166666666666663</v>
      </c>
      <c r="D927">
        <v>3</v>
      </c>
      <c r="E927">
        <v>12.6</v>
      </c>
      <c r="F927">
        <v>67</v>
      </c>
    </row>
    <row r="928" spans="1:6" x14ac:dyDescent="0.35">
      <c r="A928">
        <v>1975</v>
      </c>
      <c r="B928" s="1">
        <v>45563</v>
      </c>
      <c r="C928" s="2">
        <v>0.58333333333333337</v>
      </c>
      <c r="D928">
        <v>3</v>
      </c>
      <c r="E928">
        <v>11.2</v>
      </c>
      <c r="F928">
        <v>70</v>
      </c>
    </row>
    <row r="929" spans="1:6" x14ac:dyDescent="0.35">
      <c r="A929">
        <v>1975</v>
      </c>
      <c r="B929" s="1">
        <v>45563</v>
      </c>
      <c r="C929" s="2">
        <v>0.625</v>
      </c>
      <c r="D929">
        <v>3</v>
      </c>
      <c r="E929">
        <v>11.1</v>
      </c>
      <c r="F929">
        <v>68</v>
      </c>
    </row>
    <row r="930" spans="1:6" x14ac:dyDescent="0.35">
      <c r="A930">
        <v>1975</v>
      </c>
      <c r="B930" s="1">
        <v>45563</v>
      </c>
      <c r="C930" s="2">
        <v>0.66666666666666663</v>
      </c>
      <c r="D930">
        <v>3</v>
      </c>
      <c r="E930">
        <v>9.6999999999999993</v>
      </c>
      <c r="F930">
        <v>80</v>
      </c>
    </row>
    <row r="931" spans="1:6" x14ac:dyDescent="0.35">
      <c r="A931">
        <v>1975</v>
      </c>
      <c r="B931" s="1">
        <v>45563</v>
      </c>
      <c r="C931" s="2">
        <v>0.70833333333333337</v>
      </c>
      <c r="D931">
        <v>3</v>
      </c>
      <c r="E931">
        <v>9.3000000000000007</v>
      </c>
      <c r="F931">
        <v>78</v>
      </c>
    </row>
    <row r="932" spans="1:6" x14ac:dyDescent="0.35">
      <c r="A932">
        <v>1975</v>
      </c>
      <c r="B932" s="1">
        <v>45563</v>
      </c>
      <c r="C932" s="2">
        <v>0.75</v>
      </c>
      <c r="D932">
        <v>3</v>
      </c>
      <c r="E932">
        <v>8.6999999999999993</v>
      </c>
      <c r="F932">
        <v>82</v>
      </c>
    </row>
    <row r="933" spans="1:6" x14ac:dyDescent="0.35">
      <c r="A933">
        <v>1975</v>
      </c>
      <c r="B933" s="1">
        <v>45563</v>
      </c>
      <c r="C933" s="2">
        <v>0.79166666666666663</v>
      </c>
      <c r="D933">
        <v>3</v>
      </c>
      <c r="E933">
        <v>8</v>
      </c>
      <c r="F933">
        <v>86</v>
      </c>
    </row>
    <row r="934" spans="1:6" x14ac:dyDescent="0.35">
      <c r="A934">
        <v>1975</v>
      </c>
      <c r="B934" s="1">
        <v>45563</v>
      </c>
      <c r="C934" s="2">
        <v>0.83333333333333337</v>
      </c>
      <c r="D934">
        <v>3</v>
      </c>
      <c r="E934">
        <v>7.5</v>
      </c>
      <c r="F934">
        <v>89</v>
      </c>
    </row>
    <row r="935" spans="1:6" x14ac:dyDescent="0.35">
      <c r="A935">
        <v>1975</v>
      </c>
      <c r="B935" s="1">
        <v>45563</v>
      </c>
      <c r="C935" s="2">
        <v>0.875</v>
      </c>
      <c r="D935">
        <v>3</v>
      </c>
      <c r="E935">
        <v>7.2</v>
      </c>
      <c r="F935">
        <v>93</v>
      </c>
    </row>
    <row r="936" spans="1:6" x14ac:dyDescent="0.35">
      <c r="A936">
        <v>1975</v>
      </c>
      <c r="B936" s="1">
        <v>45563</v>
      </c>
      <c r="C936" s="2">
        <v>0.91666666666666663</v>
      </c>
      <c r="D936">
        <v>3</v>
      </c>
      <c r="E936">
        <v>7.6</v>
      </c>
      <c r="F936">
        <v>95</v>
      </c>
    </row>
    <row r="937" spans="1:6" x14ac:dyDescent="0.35">
      <c r="A937">
        <v>1975</v>
      </c>
      <c r="B937" s="1">
        <v>45563</v>
      </c>
      <c r="C937" s="2">
        <v>0.95833333333333337</v>
      </c>
      <c r="D937">
        <v>3</v>
      </c>
      <c r="E937">
        <v>6.7</v>
      </c>
      <c r="F937">
        <v>96</v>
      </c>
    </row>
    <row r="938" spans="1:6" x14ac:dyDescent="0.35">
      <c r="A938">
        <v>1975</v>
      </c>
      <c r="B938" s="1">
        <v>45564</v>
      </c>
      <c r="C938" s="2">
        <v>0</v>
      </c>
      <c r="D938">
        <v>3</v>
      </c>
      <c r="E938">
        <v>5.9</v>
      </c>
      <c r="F938">
        <v>97</v>
      </c>
    </row>
    <row r="939" spans="1:6" x14ac:dyDescent="0.35">
      <c r="A939">
        <v>1975</v>
      </c>
      <c r="B939" s="1">
        <v>45564</v>
      </c>
      <c r="C939" s="2">
        <v>4.1666666666666657E-2</v>
      </c>
      <c r="D939">
        <v>3</v>
      </c>
      <c r="E939">
        <v>6.8</v>
      </c>
      <c r="F939">
        <v>94</v>
      </c>
    </row>
    <row r="940" spans="1:6" x14ac:dyDescent="0.35">
      <c r="A940">
        <v>1975</v>
      </c>
      <c r="B940" s="1">
        <v>45564</v>
      </c>
      <c r="C940" s="2">
        <v>8.3333333333333329E-2</v>
      </c>
      <c r="D940">
        <v>3</v>
      </c>
      <c r="E940">
        <v>7</v>
      </c>
      <c r="F940">
        <v>93</v>
      </c>
    </row>
    <row r="941" spans="1:6" x14ac:dyDescent="0.35">
      <c r="A941">
        <v>1975</v>
      </c>
      <c r="B941" s="1">
        <v>45564</v>
      </c>
      <c r="C941" s="2">
        <v>0.125</v>
      </c>
      <c r="D941">
        <v>3</v>
      </c>
      <c r="E941">
        <v>7.9</v>
      </c>
      <c r="F941">
        <v>93</v>
      </c>
    </row>
    <row r="942" spans="1:6" x14ac:dyDescent="0.35">
      <c r="A942">
        <v>1975</v>
      </c>
      <c r="B942" s="1">
        <v>45564</v>
      </c>
      <c r="C942" s="2">
        <v>0.16666666666666671</v>
      </c>
      <c r="D942">
        <v>3</v>
      </c>
      <c r="E942">
        <v>7.8</v>
      </c>
      <c r="F942">
        <v>94</v>
      </c>
    </row>
    <row r="943" spans="1:6" x14ac:dyDescent="0.35">
      <c r="A943">
        <v>1975</v>
      </c>
      <c r="B943" s="1">
        <v>45564</v>
      </c>
      <c r="C943" s="2">
        <v>0.20833333333333329</v>
      </c>
      <c r="D943">
        <v>3</v>
      </c>
      <c r="E943">
        <v>7.5</v>
      </c>
      <c r="F943">
        <v>96</v>
      </c>
    </row>
    <row r="944" spans="1:6" x14ac:dyDescent="0.35">
      <c r="A944">
        <v>1975</v>
      </c>
      <c r="B944" s="1">
        <v>45564</v>
      </c>
      <c r="C944" s="2">
        <v>0.25</v>
      </c>
      <c r="D944">
        <v>3</v>
      </c>
      <c r="E944">
        <v>7.7</v>
      </c>
      <c r="F944">
        <v>94</v>
      </c>
    </row>
    <row r="945" spans="1:6" x14ac:dyDescent="0.35">
      <c r="A945">
        <v>1975</v>
      </c>
      <c r="B945" s="1">
        <v>45564</v>
      </c>
      <c r="C945" s="2">
        <v>0.29166666666666669</v>
      </c>
      <c r="D945">
        <v>3</v>
      </c>
      <c r="E945">
        <v>8.6999999999999993</v>
      </c>
      <c r="F945">
        <v>90</v>
      </c>
    </row>
    <row r="946" spans="1:6" x14ac:dyDescent="0.35">
      <c r="A946">
        <v>1975</v>
      </c>
      <c r="B946" s="1">
        <v>45564</v>
      </c>
      <c r="C946" s="2">
        <v>0.33333333333333331</v>
      </c>
      <c r="D946">
        <v>3</v>
      </c>
      <c r="E946">
        <v>10.8</v>
      </c>
      <c r="F946">
        <v>81</v>
      </c>
    </row>
    <row r="947" spans="1:6" x14ac:dyDescent="0.35">
      <c r="A947">
        <v>1975</v>
      </c>
      <c r="B947" s="1">
        <v>45564</v>
      </c>
      <c r="C947" s="2">
        <v>0.375</v>
      </c>
      <c r="D947">
        <v>3</v>
      </c>
      <c r="E947">
        <v>11.6</v>
      </c>
      <c r="F947">
        <v>77</v>
      </c>
    </row>
    <row r="948" spans="1:6" x14ac:dyDescent="0.35">
      <c r="A948">
        <v>1975</v>
      </c>
      <c r="B948" s="1">
        <v>45564</v>
      </c>
      <c r="C948" s="2">
        <v>0.41666666666666669</v>
      </c>
      <c r="D948">
        <v>3</v>
      </c>
      <c r="E948">
        <v>13</v>
      </c>
      <c r="F948">
        <v>69</v>
      </c>
    </row>
    <row r="949" spans="1:6" x14ac:dyDescent="0.35">
      <c r="A949">
        <v>1975</v>
      </c>
      <c r="B949" s="1">
        <v>45564</v>
      </c>
      <c r="C949" s="2">
        <v>0.45833333333333331</v>
      </c>
      <c r="D949">
        <v>3</v>
      </c>
      <c r="E949">
        <v>12.9</v>
      </c>
      <c r="F949">
        <v>65</v>
      </c>
    </row>
    <row r="950" spans="1:6" x14ac:dyDescent="0.35">
      <c r="A950">
        <v>1975</v>
      </c>
      <c r="B950" s="1">
        <v>45564</v>
      </c>
      <c r="C950" s="2">
        <v>0.5</v>
      </c>
      <c r="D950">
        <v>3</v>
      </c>
      <c r="E950">
        <v>14</v>
      </c>
      <c r="F950">
        <v>60</v>
      </c>
    </row>
    <row r="951" spans="1:6" x14ac:dyDescent="0.35">
      <c r="A951">
        <v>1975</v>
      </c>
      <c r="B951" s="1">
        <v>45564</v>
      </c>
      <c r="C951" s="2">
        <v>0.54166666666666663</v>
      </c>
      <c r="D951">
        <v>3</v>
      </c>
      <c r="E951">
        <v>13.9</v>
      </c>
      <c r="F951">
        <v>61</v>
      </c>
    </row>
    <row r="952" spans="1:6" x14ac:dyDescent="0.35">
      <c r="A952">
        <v>1975</v>
      </c>
      <c r="B952" s="1">
        <v>45564</v>
      </c>
      <c r="C952" s="2">
        <v>0.58333333333333337</v>
      </c>
      <c r="D952">
        <v>3</v>
      </c>
      <c r="E952">
        <v>14.1</v>
      </c>
      <c r="F952">
        <v>62</v>
      </c>
    </row>
    <row r="953" spans="1:6" x14ac:dyDescent="0.35">
      <c r="A953">
        <v>1975</v>
      </c>
      <c r="B953" s="1">
        <v>45564</v>
      </c>
      <c r="C953" s="2">
        <v>0.625</v>
      </c>
      <c r="D953">
        <v>3</v>
      </c>
      <c r="E953">
        <v>15.1</v>
      </c>
      <c r="F953">
        <v>50</v>
      </c>
    </row>
    <row r="954" spans="1:6" x14ac:dyDescent="0.35">
      <c r="A954">
        <v>1975</v>
      </c>
      <c r="B954" s="1">
        <v>45564</v>
      </c>
      <c r="C954" s="2">
        <v>0.66666666666666663</v>
      </c>
      <c r="D954">
        <v>3</v>
      </c>
      <c r="E954">
        <v>14.2</v>
      </c>
      <c r="F954">
        <v>55</v>
      </c>
    </row>
    <row r="955" spans="1:6" x14ac:dyDescent="0.35">
      <c r="A955">
        <v>1975</v>
      </c>
      <c r="B955" s="1">
        <v>45564</v>
      </c>
      <c r="C955" s="2">
        <v>0.70833333333333337</v>
      </c>
      <c r="D955">
        <v>3</v>
      </c>
      <c r="E955">
        <v>10.5</v>
      </c>
      <c r="F955">
        <v>81</v>
      </c>
    </row>
    <row r="956" spans="1:6" x14ac:dyDescent="0.35">
      <c r="A956">
        <v>1975</v>
      </c>
      <c r="B956" s="1">
        <v>45564</v>
      </c>
      <c r="C956" s="2">
        <v>0.75</v>
      </c>
      <c r="D956">
        <v>3</v>
      </c>
      <c r="E956">
        <v>9.1</v>
      </c>
      <c r="F956">
        <v>89</v>
      </c>
    </row>
    <row r="957" spans="1:6" x14ac:dyDescent="0.35">
      <c r="A957">
        <v>1975</v>
      </c>
      <c r="B957" s="1">
        <v>45564</v>
      </c>
      <c r="C957" s="2">
        <v>0.79166666666666663</v>
      </c>
      <c r="D957">
        <v>3</v>
      </c>
      <c r="E957">
        <v>10.6</v>
      </c>
      <c r="F957">
        <v>76</v>
      </c>
    </row>
    <row r="958" spans="1:6" x14ac:dyDescent="0.35">
      <c r="A958">
        <v>1975</v>
      </c>
      <c r="B958" s="1">
        <v>45564</v>
      </c>
      <c r="C958" s="2">
        <v>0.83333333333333337</v>
      </c>
      <c r="D958">
        <v>3</v>
      </c>
      <c r="E958">
        <v>9.6</v>
      </c>
      <c r="F958">
        <v>79</v>
      </c>
    </row>
    <row r="959" spans="1:6" x14ac:dyDescent="0.35">
      <c r="A959">
        <v>1975</v>
      </c>
      <c r="B959" s="1">
        <v>45564</v>
      </c>
      <c r="C959" s="2">
        <v>0.875</v>
      </c>
      <c r="D959">
        <v>3</v>
      </c>
      <c r="E959">
        <v>8.8000000000000007</v>
      </c>
      <c r="F959">
        <v>80</v>
      </c>
    </row>
    <row r="960" spans="1:6" x14ac:dyDescent="0.35">
      <c r="A960">
        <v>1975</v>
      </c>
      <c r="B960" s="1">
        <v>45564</v>
      </c>
      <c r="C960" s="2">
        <v>0.91666666666666663</v>
      </c>
      <c r="D960">
        <v>3</v>
      </c>
      <c r="E960">
        <v>8.9</v>
      </c>
      <c r="F960">
        <v>79</v>
      </c>
    </row>
    <row r="961" spans="1:6" x14ac:dyDescent="0.35">
      <c r="A961">
        <v>1975</v>
      </c>
      <c r="B961" s="1">
        <v>45564</v>
      </c>
      <c r="C961" s="2">
        <v>0.95833333333333337</v>
      </c>
      <c r="D961">
        <v>3</v>
      </c>
      <c r="E961">
        <v>8.9</v>
      </c>
      <c r="F961">
        <v>78</v>
      </c>
    </row>
    <row r="962" spans="1:6" x14ac:dyDescent="0.35">
      <c r="A962">
        <v>1975</v>
      </c>
      <c r="B962" s="1">
        <v>45565</v>
      </c>
      <c r="C962" s="2">
        <v>0</v>
      </c>
      <c r="D962">
        <v>3</v>
      </c>
      <c r="E962">
        <v>8.8000000000000007</v>
      </c>
      <c r="F962">
        <v>77</v>
      </c>
    </row>
    <row r="963" spans="1:6" x14ac:dyDescent="0.35">
      <c r="A963">
        <v>1975</v>
      </c>
      <c r="B963" s="1">
        <v>45565</v>
      </c>
      <c r="C963" s="2">
        <v>4.1666666666666657E-2</v>
      </c>
      <c r="D963">
        <v>3</v>
      </c>
      <c r="E963">
        <v>8.4</v>
      </c>
      <c r="F963">
        <v>77</v>
      </c>
    </row>
    <row r="964" spans="1:6" x14ac:dyDescent="0.35">
      <c r="A964">
        <v>1975</v>
      </c>
      <c r="B964" s="1">
        <v>45565</v>
      </c>
      <c r="C964" s="2">
        <v>8.3333333333333329E-2</v>
      </c>
      <c r="D964">
        <v>3</v>
      </c>
      <c r="E964">
        <v>8.3000000000000007</v>
      </c>
      <c r="F964">
        <v>77</v>
      </c>
    </row>
    <row r="965" spans="1:6" x14ac:dyDescent="0.35">
      <c r="A965">
        <v>1975</v>
      </c>
      <c r="B965" s="1">
        <v>45565</v>
      </c>
      <c r="C965" s="2">
        <v>0.125</v>
      </c>
      <c r="D965">
        <v>3</v>
      </c>
      <c r="E965">
        <v>8</v>
      </c>
      <c r="F965">
        <v>78</v>
      </c>
    </row>
    <row r="966" spans="1:6" x14ac:dyDescent="0.35">
      <c r="A966">
        <v>1975</v>
      </c>
      <c r="B966" s="1">
        <v>45565</v>
      </c>
      <c r="C966" s="2">
        <v>0.16666666666666671</v>
      </c>
      <c r="D966">
        <v>3</v>
      </c>
      <c r="E966">
        <v>7.8</v>
      </c>
      <c r="F966">
        <v>79</v>
      </c>
    </row>
    <row r="967" spans="1:6" x14ac:dyDescent="0.35">
      <c r="A967">
        <v>1975</v>
      </c>
      <c r="B967" s="1">
        <v>45565</v>
      </c>
      <c r="C967" s="2">
        <v>0.20833333333333329</v>
      </c>
      <c r="D967">
        <v>3</v>
      </c>
      <c r="E967">
        <v>7.9</v>
      </c>
      <c r="F967">
        <v>78</v>
      </c>
    </row>
    <row r="968" spans="1:6" x14ac:dyDescent="0.35">
      <c r="A968">
        <v>1975</v>
      </c>
      <c r="B968" s="1">
        <v>45565</v>
      </c>
      <c r="C968" s="2">
        <v>0.25</v>
      </c>
      <c r="D968">
        <v>3</v>
      </c>
      <c r="E968">
        <v>8</v>
      </c>
      <c r="F968">
        <v>78</v>
      </c>
    </row>
    <row r="969" spans="1:6" x14ac:dyDescent="0.35">
      <c r="A969">
        <v>1975</v>
      </c>
      <c r="B969" s="1">
        <v>45565</v>
      </c>
      <c r="C969" s="2">
        <v>0.29166666666666669</v>
      </c>
      <c r="D969">
        <v>3</v>
      </c>
      <c r="E969">
        <v>8.6999999999999993</v>
      </c>
      <c r="F969">
        <v>75</v>
      </c>
    </row>
    <row r="970" spans="1:6" x14ac:dyDescent="0.35">
      <c r="A970">
        <v>1975</v>
      </c>
      <c r="B970" s="1">
        <v>45565</v>
      </c>
      <c r="C970" s="2">
        <v>0.33333333333333331</v>
      </c>
      <c r="D970">
        <v>3</v>
      </c>
      <c r="E970">
        <v>10.3</v>
      </c>
      <c r="F970">
        <v>71</v>
      </c>
    </row>
    <row r="971" spans="1:6" x14ac:dyDescent="0.35">
      <c r="A971">
        <v>1975</v>
      </c>
      <c r="B971" s="1">
        <v>45565</v>
      </c>
      <c r="C971" s="2">
        <v>0.375</v>
      </c>
      <c r="D971">
        <v>3</v>
      </c>
      <c r="E971">
        <v>11.5</v>
      </c>
      <c r="F971">
        <v>66</v>
      </c>
    </row>
    <row r="972" spans="1:6" x14ac:dyDescent="0.35">
      <c r="A972">
        <v>1975</v>
      </c>
      <c r="B972" s="1">
        <v>45565</v>
      </c>
      <c r="C972" s="2">
        <v>0.41666666666666669</v>
      </c>
      <c r="D972">
        <v>3</v>
      </c>
      <c r="E972">
        <v>12.6</v>
      </c>
      <c r="F972">
        <v>62</v>
      </c>
    </row>
    <row r="973" spans="1:6" x14ac:dyDescent="0.35">
      <c r="A973">
        <v>1975</v>
      </c>
      <c r="B973" s="1">
        <v>45565</v>
      </c>
      <c r="C973" s="2">
        <v>0.45833333333333331</v>
      </c>
      <c r="D973">
        <v>3</v>
      </c>
      <c r="E973">
        <v>13.4</v>
      </c>
      <c r="F973">
        <v>58</v>
      </c>
    </row>
    <row r="974" spans="1:6" x14ac:dyDescent="0.35">
      <c r="A974">
        <v>1975</v>
      </c>
      <c r="B974" s="1">
        <v>45565</v>
      </c>
      <c r="C974" s="2">
        <v>0.5</v>
      </c>
      <c r="D974">
        <v>3</v>
      </c>
      <c r="E974">
        <v>14.6</v>
      </c>
      <c r="F974">
        <v>54</v>
      </c>
    </row>
    <row r="975" spans="1:6" x14ac:dyDescent="0.35">
      <c r="A975">
        <v>1975</v>
      </c>
      <c r="B975" s="1">
        <v>45565</v>
      </c>
      <c r="C975" s="2">
        <v>0.54166666666666663</v>
      </c>
      <c r="D975">
        <v>3</v>
      </c>
      <c r="E975">
        <v>14.4</v>
      </c>
      <c r="F975">
        <v>53</v>
      </c>
    </row>
    <row r="976" spans="1:6" x14ac:dyDescent="0.35">
      <c r="A976">
        <v>1975</v>
      </c>
      <c r="B976" s="1">
        <v>45565</v>
      </c>
      <c r="C976" s="2">
        <v>0.58333333333333337</v>
      </c>
      <c r="D976">
        <v>3</v>
      </c>
      <c r="E976">
        <v>14.9</v>
      </c>
      <c r="F976">
        <v>53</v>
      </c>
    </row>
    <row r="977" spans="1:6" x14ac:dyDescent="0.35">
      <c r="A977">
        <v>1975</v>
      </c>
      <c r="B977" s="1">
        <v>45565</v>
      </c>
      <c r="C977" s="2">
        <v>0.625</v>
      </c>
      <c r="D977">
        <v>3</v>
      </c>
      <c r="E977">
        <v>14</v>
      </c>
      <c r="F977">
        <v>53</v>
      </c>
    </row>
    <row r="978" spans="1:6" x14ac:dyDescent="0.35">
      <c r="A978">
        <v>1975</v>
      </c>
      <c r="B978" s="1">
        <v>45565</v>
      </c>
      <c r="C978" s="2">
        <v>0.66666666666666663</v>
      </c>
      <c r="D978">
        <v>3</v>
      </c>
      <c r="E978">
        <v>13.8</v>
      </c>
      <c r="F978">
        <v>56</v>
      </c>
    </row>
    <row r="979" spans="1:6" x14ac:dyDescent="0.35">
      <c r="A979">
        <v>1975</v>
      </c>
      <c r="B979" s="1">
        <v>45565</v>
      </c>
      <c r="C979" s="2">
        <v>0.70833333333333337</v>
      </c>
      <c r="D979">
        <v>3</v>
      </c>
      <c r="E979">
        <v>13.1</v>
      </c>
      <c r="F979">
        <v>60</v>
      </c>
    </row>
    <row r="980" spans="1:6" x14ac:dyDescent="0.35">
      <c r="A980">
        <v>1975</v>
      </c>
      <c r="B980" s="1">
        <v>45565</v>
      </c>
      <c r="C980" s="2">
        <v>0.75</v>
      </c>
      <c r="D980">
        <v>3</v>
      </c>
      <c r="E980">
        <v>12.1</v>
      </c>
      <c r="F980">
        <v>63</v>
      </c>
    </row>
    <row r="981" spans="1:6" x14ac:dyDescent="0.35">
      <c r="A981">
        <v>1975</v>
      </c>
      <c r="B981" s="1">
        <v>45565</v>
      </c>
      <c r="C981" s="2">
        <v>0.79166666666666663</v>
      </c>
      <c r="D981">
        <v>3</v>
      </c>
      <c r="E981">
        <v>12</v>
      </c>
      <c r="F981">
        <v>63</v>
      </c>
    </row>
    <row r="982" spans="1:6" x14ac:dyDescent="0.35">
      <c r="A982">
        <v>1975</v>
      </c>
      <c r="B982" s="1">
        <v>45565</v>
      </c>
      <c r="C982" s="2">
        <v>0.83333333333333337</v>
      </c>
      <c r="D982">
        <v>3</v>
      </c>
      <c r="E982">
        <v>11.9</v>
      </c>
      <c r="F982">
        <v>62</v>
      </c>
    </row>
    <row r="983" spans="1:6" x14ac:dyDescent="0.35">
      <c r="A983">
        <v>1975</v>
      </c>
      <c r="B983" s="1">
        <v>45565</v>
      </c>
      <c r="C983" s="2">
        <v>0.875</v>
      </c>
      <c r="D983">
        <v>3</v>
      </c>
      <c r="E983">
        <v>11.9</v>
      </c>
      <c r="F983">
        <v>62</v>
      </c>
    </row>
    <row r="984" spans="1:6" x14ac:dyDescent="0.35">
      <c r="A984">
        <v>1975</v>
      </c>
      <c r="B984" s="1">
        <v>45565</v>
      </c>
      <c r="C984" s="2">
        <v>0.91666666666666663</v>
      </c>
      <c r="D984">
        <v>3</v>
      </c>
      <c r="E984">
        <v>11.5</v>
      </c>
      <c r="F984">
        <v>65</v>
      </c>
    </row>
    <row r="985" spans="1:6" x14ac:dyDescent="0.35">
      <c r="A985">
        <v>1975</v>
      </c>
      <c r="B985" s="1">
        <v>45565</v>
      </c>
      <c r="C985" s="2">
        <v>0.95833333333333337</v>
      </c>
      <c r="D985">
        <v>3</v>
      </c>
      <c r="E985">
        <v>11.4</v>
      </c>
      <c r="F985">
        <v>66</v>
      </c>
    </row>
    <row r="986" spans="1:6" x14ac:dyDescent="0.35">
      <c r="A986">
        <v>1975</v>
      </c>
      <c r="B986" s="1">
        <v>45566</v>
      </c>
      <c r="C986" s="2">
        <v>0</v>
      </c>
      <c r="D986">
        <v>3</v>
      </c>
      <c r="E986">
        <v>9.9</v>
      </c>
      <c r="F986">
        <v>80</v>
      </c>
    </row>
    <row r="987" spans="1:6" x14ac:dyDescent="0.35">
      <c r="A987">
        <v>1975</v>
      </c>
      <c r="B987" s="1">
        <v>45566</v>
      </c>
      <c r="C987" s="2">
        <v>4.1666666666666657E-2</v>
      </c>
      <c r="D987">
        <v>3</v>
      </c>
      <c r="E987">
        <v>9.3000000000000007</v>
      </c>
      <c r="F987">
        <v>86</v>
      </c>
    </row>
    <row r="988" spans="1:6" x14ac:dyDescent="0.35">
      <c r="A988">
        <v>1975</v>
      </c>
      <c r="B988" s="1">
        <v>45566</v>
      </c>
      <c r="C988" s="2">
        <v>8.3333333333333329E-2</v>
      </c>
      <c r="D988">
        <v>3</v>
      </c>
      <c r="E988">
        <v>9.4</v>
      </c>
      <c r="F988">
        <v>83</v>
      </c>
    </row>
    <row r="989" spans="1:6" x14ac:dyDescent="0.35">
      <c r="A989">
        <v>1975</v>
      </c>
      <c r="B989" s="1">
        <v>45566</v>
      </c>
      <c r="C989" s="2">
        <v>0.125</v>
      </c>
      <c r="D989">
        <v>3</v>
      </c>
      <c r="E989">
        <v>8.1999999999999993</v>
      </c>
      <c r="F989">
        <v>96</v>
      </c>
    </row>
    <row r="990" spans="1:6" x14ac:dyDescent="0.35">
      <c r="A990">
        <v>1975</v>
      </c>
      <c r="B990" s="1">
        <v>45566</v>
      </c>
      <c r="C990" s="2">
        <v>0.16666666666666671</v>
      </c>
      <c r="D990">
        <v>3</v>
      </c>
      <c r="E990">
        <v>8.1</v>
      </c>
      <c r="F990">
        <v>97</v>
      </c>
    </row>
    <row r="991" spans="1:6" x14ac:dyDescent="0.35">
      <c r="A991">
        <v>1975</v>
      </c>
      <c r="B991" s="1">
        <v>45566</v>
      </c>
      <c r="C991" s="2">
        <v>0.20833333333333329</v>
      </c>
      <c r="D991">
        <v>3</v>
      </c>
      <c r="E991">
        <v>8.3000000000000007</v>
      </c>
      <c r="F991">
        <v>96</v>
      </c>
    </row>
    <row r="992" spans="1:6" x14ac:dyDescent="0.35">
      <c r="A992">
        <v>1975</v>
      </c>
      <c r="B992" s="1">
        <v>45566</v>
      </c>
      <c r="C992" s="2">
        <v>0.25</v>
      </c>
      <c r="D992">
        <v>3</v>
      </c>
      <c r="E992">
        <v>8.6</v>
      </c>
      <c r="F992">
        <v>96</v>
      </c>
    </row>
    <row r="993" spans="1:6" x14ac:dyDescent="0.35">
      <c r="A993">
        <v>1975</v>
      </c>
      <c r="B993" s="1">
        <v>45566</v>
      </c>
      <c r="C993" s="2">
        <v>0.29166666666666669</v>
      </c>
      <c r="D993">
        <v>3</v>
      </c>
      <c r="E993">
        <v>8.8000000000000007</v>
      </c>
      <c r="F993">
        <v>96</v>
      </c>
    </row>
    <row r="994" spans="1:6" x14ac:dyDescent="0.35">
      <c r="A994">
        <v>1975</v>
      </c>
      <c r="B994" s="1">
        <v>45566</v>
      </c>
      <c r="C994" s="2">
        <v>0.33333333333333331</v>
      </c>
      <c r="D994">
        <v>3</v>
      </c>
      <c r="E994">
        <v>9</v>
      </c>
      <c r="F994">
        <v>97</v>
      </c>
    </row>
    <row r="995" spans="1:6" x14ac:dyDescent="0.35">
      <c r="A995">
        <v>1975</v>
      </c>
      <c r="B995" s="1">
        <v>45566</v>
      </c>
      <c r="C995" s="2">
        <v>0.375</v>
      </c>
      <c r="D995">
        <v>3</v>
      </c>
      <c r="E995">
        <v>9.4</v>
      </c>
      <c r="F995">
        <v>96</v>
      </c>
    </row>
    <row r="996" spans="1:6" x14ac:dyDescent="0.35">
      <c r="A996">
        <v>1975</v>
      </c>
      <c r="B996" s="1">
        <v>45566</v>
      </c>
      <c r="C996" s="2">
        <v>0.41666666666666669</v>
      </c>
      <c r="D996">
        <v>3</v>
      </c>
      <c r="E996">
        <v>9.1999999999999993</v>
      </c>
      <c r="F996">
        <v>98</v>
      </c>
    </row>
    <row r="997" spans="1:6" x14ac:dyDescent="0.35">
      <c r="A997">
        <v>1975</v>
      </c>
      <c r="B997" s="1">
        <v>45566</v>
      </c>
      <c r="C997" s="2">
        <v>0.45833333333333331</v>
      </c>
      <c r="D997">
        <v>3</v>
      </c>
      <c r="E997">
        <v>10.1</v>
      </c>
      <c r="F997">
        <v>96</v>
      </c>
    </row>
    <row r="998" spans="1:6" x14ac:dyDescent="0.35">
      <c r="A998">
        <v>1975</v>
      </c>
      <c r="B998" s="1">
        <v>45566</v>
      </c>
      <c r="C998" s="2">
        <v>0.5</v>
      </c>
      <c r="D998">
        <v>3</v>
      </c>
      <c r="E998">
        <v>10.199999999999999</v>
      </c>
      <c r="F998">
        <v>97</v>
      </c>
    </row>
    <row r="999" spans="1:6" x14ac:dyDescent="0.35">
      <c r="A999">
        <v>1975</v>
      </c>
      <c r="B999" s="1">
        <v>45566</v>
      </c>
      <c r="C999" s="2">
        <v>0.54166666666666663</v>
      </c>
      <c r="D999">
        <v>3</v>
      </c>
      <c r="E999">
        <v>10.1</v>
      </c>
      <c r="F999">
        <v>97</v>
      </c>
    </row>
    <row r="1000" spans="1:6" x14ac:dyDescent="0.35">
      <c r="A1000">
        <v>1975</v>
      </c>
      <c r="B1000" s="1">
        <v>45566</v>
      </c>
      <c r="C1000" s="2">
        <v>0.58333333333333337</v>
      </c>
      <c r="D1000">
        <v>3</v>
      </c>
      <c r="E1000">
        <v>10.1</v>
      </c>
      <c r="F1000">
        <v>97</v>
      </c>
    </row>
    <row r="1001" spans="1:6" x14ac:dyDescent="0.35">
      <c r="A1001">
        <v>1975</v>
      </c>
      <c r="B1001" s="1">
        <v>45566</v>
      </c>
      <c r="C1001" s="2">
        <v>0.625</v>
      </c>
      <c r="D1001">
        <v>3</v>
      </c>
      <c r="E1001">
        <v>10</v>
      </c>
      <c r="F1001">
        <v>96</v>
      </c>
    </row>
    <row r="1002" spans="1:6" x14ac:dyDescent="0.35">
      <c r="A1002">
        <v>1975</v>
      </c>
      <c r="B1002" s="1">
        <v>45566</v>
      </c>
      <c r="C1002" s="2">
        <v>0.66666666666666663</v>
      </c>
      <c r="D1002">
        <v>3</v>
      </c>
      <c r="E1002">
        <v>10.1</v>
      </c>
      <c r="F1002">
        <v>97</v>
      </c>
    </row>
    <row r="1003" spans="1:6" x14ac:dyDescent="0.35">
      <c r="A1003">
        <v>1975</v>
      </c>
      <c r="B1003" s="1">
        <v>45566</v>
      </c>
      <c r="C1003" s="2">
        <v>0.70833333333333337</v>
      </c>
      <c r="D1003">
        <v>3</v>
      </c>
      <c r="E1003">
        <v>9.9</v>
      </c>
      <c r="F1003">
        <v>97</v>
      </c>
    </row>
    <row r="1004" spans="1:6" x14ac:dyDescent="0.35">
      <c r="A1004">
        <v>1975</v>
      </c>
      <c r="B1004" s="1">
        <v>45566</v>
      </c>
      <c r="C1004" s="2">
        <v>0.75</v>
      </c>
      <c r="D1004">
        <v>3</v>
      </c>
      <c r="E1004">
        <v>9.4</v>
      </c>
      <c r="F1004">
        <v>97</v>
      </c>
    </row>
    <row r="1005" spans="1:6" x14ac:dyDescent="0.35">
      <c r="A1005">
        <v>1975</v>
      </c>
      <c r="B1005" s="1">
        <v>45566</v>
      </c>
      <c r="C1005" s="2">
        <v>0.79166666666666663</v>
      </c>
      <c r="D1005">
        <v>3</v>
      </c>
      <c r="E1005">
        <v>9.4</v>
      </c>
      <c r="F1005">
        <v>97</v>
      </c>
    </row>
    <row r="1006" spans="1:6" x14ac:dyDescent="0.35">
      <c r="A1006">
        <v>1975</v>
      </c>
      <c r="B1006" s="1">
        <v>45566</v>
      </c>
      <c r="C1006" s="2">
        <v>0.83333333333333337</v>
      </c>
      <c r="D1006">
        <v>3</v>
      </c>
      <c r="E1006">
        <v>9.1</v>
      </c>
      <c r="F1006">
        <v>98</v>
      </c>
    </row>
    <row r="1007" spans="1:6" x14ac:dyDescent="0.35">
      <c r="A1007">
        <v>1975</v>
      </c>
      <c r="B1007" s="1">
        <v>45566</v>
      </c>
      <c r="C1007" s="2">
        <v>0.875</v>
      </c>
      <c r="D1007">
        <v>3</v>
      </c>
      <c r="E1007">
        <v>9</v>
      </c>
      <c r="F1007">
        <v>97</v>
      </c>
    </row>
    <row r="1008" spans="1:6" x14ac:dyDescent="0.35">
      <c r="A1008">
        <v>1975</v>
      </c>
      <c r="B1008" s="1">
        <v>45566</v>
      </c>
      <c r="C1008" s="2">
        <v>0.91666666666666663</v>
      </c>
      <c r="D1008">
        <v>3</v>
      </c>
      <c r="E1008">
        <v>8.9</v>
      </c>
      <c r="F1008">
        <v>96</v>
      </c>
    </row>
    <row r="1009" spans="1:6" x14ac:dyDescent="0.35">
      <c r="A1009">
        <v>1975</v>
      </c>
      <c r="B1009" s="1">
        <v>45566</v>
      </c>
      <c r="C1009" s="2">
        <v>0.95833333333333337</v>
      </c>
      <c r="D1009">
        <v>3</v>
      </c>
      <c r="E1009">
        <v>8.9</v>
      </c>
      <c r="F1009">
        <v>96</v>
      </c>
    </row>
    <row r="1010" spans="1:6" x14ac:dyDescent="0.35">
      <c r="A1010">
        <v>1975</v>
      </c>
      <c r="B1010" s="1">
        <v>45567</v>
      </c>
      <c r="C1010" s="2">
        <v>0</v>
      </c>
      <c r="D1010">
        <v>3</v>
      </c>
      <c r="E1010">
        <v>8.9</v>
      </c>
      <c r="F1010">
        <v>95</v>
      </c>
    </row>
    <row r="1011" spans="1:6" x14ac:dyDescent="0.35">
      <c r="A1011">
        <v>1975</v>
      </c>
      <c r="B1011" s="1">
        <v>45567</v>
      </c>
      <c r="C1011" s="2">
        <v>4.1666666666666657E-2</v>
      </c>
      <c r="D1011">
        <v>3</v>
      </c>
      <c r="E1011">
        <v>8.8000000000000007</v>
      </c>
      <c r="F1011">
        <v>96</v>
      </c>
    </row>
    <row r="1012" spans="1:6" x14ac:dyDescent="0.35">
      <c r="A1012">
        <v>1975</v>
      </c>
      <c r="B1012" s="1">
        <v>45567</v>
      </c>
      <c r="C1012" s="2">
        <v>8.3333333333333329E-2</v>
      </c>
      <c r="D1012">
        <v>3</v>
      </c>
      <c r="E1012">
        <v>9.1</v>
      </c>
      <c r="F1012">
        <v>94</v>
      </c>
    </row>
    <row r="1013" spans="1:6" x14ac:dyDescent="0.35">
      <c r="A1013">
        <v>1975</v>
      </c>
      <c r="B1013" s="1">
        <v>45567</v>
      </c>
      <c r="C1013" s="2">
        <v>0.125</v>
      </c>
      <c r="D1013">
        <v>3</v>
      </c>
      <c r="E1013">
        <v>9.1999999999999993</v>
      </c>
      <c r="F1013">
        <v>92</v>
      </c>
    </row>
    <row r="1014" spans="1:6" x14ac:dyDescent="0.35">
      <c r="A1014">
        <v>1975</v>
      </c>
      <c r="B1014" s="1">
        <v>45567</v>
      </c>
      <c r="C1014" s="2">
        <v>0.16666666666666671</v>
      </c>
      <c r="D1014">
        <v>3</v>
      </c>
      <c r="E1014">
        <v>9</v>
      </c>
      <c r="F1014">
        <v>92</v>
      </c>
    </row>
    <row r="1015" spans="1:6" x14ac:dyDescent="0.35">
      <c r="A1015">
        <v>1975</v>
      </c>
      <c r="B1015" s="1">
        <v>45567</v>
      </c>
      <c r="C1015" s="2">
        <v>0.20833333333333329</v>
      </c>
      <c r="D1015">
        <v>3</v>
      </c>
      <c r="E1015">
        <v>9.4</v>
      </c>
      <c r="F1015">
        <v>87</v>
      </c>
    </row>
    <row r="1016" spans="1:6" x14ac:dyDescent="0.35">
      <c r="A1016">
        <v>1975</v>
      </c>
      <c r="B1016" s="1">
        <v>45567</v>
      </c>
      <c r="C1016" s="2">
        <v>0.25</v>
      </c>
      <c r="D1016">
        <v>3</v>
      </c>
      <c r="E1016">
        <v>9.8000000000000007</v>
      </c>
      <c r="F1016">
        <v>78</v>
      </c>
    </row>
    <row r="1017" spans="1:6" x14ac:dyDescent="0.35">
      <c r="A1017">
        <v>1975</v>
      </c>
      <c r="B1017" s="1">
        <v>45567</v>
      </c>
      <c r="C1017" s="2">
        <v>0.29166666666666669</v>
      </c>
      <c r="D1017">
        <v>3</v>
      </c>
      <c r="E1017">
        <v>10</v>
      </c>
      <c r="F1017">
        <v>76</v>
      </c>
    </row>
    <row r="1018" spans="1:6" x14ac:dyDescent="0.35">
      <c r="A1018">
        <v>1975</v>
      </c>
      <c r="B1018" s="1">
        <v>45567</v>
      </c>
      <c r="C1018" s="2">
        <v>0.33333333333333331</v>
      </c>
      <c r="D1018">
        <v>3</v>
      </c>
      <c r="E1018">
        <v>10.4</v>
      </c>
      <c r="F1018">
        <v>77</v>
      </c>
    </row>
    <row r="1019" spans="1:6" x14ac:dyDescent="0.35">
      <c r="A1019">
        <v>1975</v>
      </c>
      <c r="B1019" s="1">
        <v>45567</v>
      </c>
      <c r="C1019" s="2">
        <v>0.375</v>
      </c>
      <c r="D1019">
        <v>3</v>
      </c>
      <c r="E1019">
        <v>11.2</v>
      </c>
      <c r="F1019">
        <v>73</v>
      </c>
    </row>
    <row r="1020" spans="1:6" x14ac:dyDescent="0.35">
      <c r="A1020">
        <v>1975</v>
      </c>
      <c r="B1020" s="1">
        <v>45567</v>
      </c>
      <c r="C1020" s="2">
        <v>0.41666666666666669</v>
      </c>
      <c r="D1020">
        <v>3</v>
      </c>
      <c r="E1020">
        <v>11.8</v>
      </c>
      <c r="F1020">
        <v>62</v>
      </c>
    </row>
    <row r="1021" spans="1:6" x14ac:dyDescent="0.35">
      <c r="A1021">
        <v>1975</v>
      </c>
      <c r="B1021" s="1">
        <v>45567</v>
      </c>
      <c r="C1021" s="2">
        <v>0.45833333333333331</v>
      </c>
      <c r="D1021">
        <v>3</v>
      </c>
      <c r="E1021">
        <v>13</v>
      </c>
      <c r="F1021">
        <v>63</v>
      </c>
    </row>
    <row r="1022" spans="1:6" x14ac:dyDescent="0.35">
      <c r="A1022">
        <v>1975</v>
      </c>
      <c r="B1022" s="1">
        <v>45567</v>
      </c>
      <c r="C1022" s="2">
        <v>0.5</v>
      </c>
      <c r="D1022">
        <v>3</v>
      </c>
      <c r="E1022">
        <v>12.8</v>
      </c>
      <c r="F1022">
        <v>67</v>
      </c>
    </row>
    <row r="1023" spans="1:6" x14ac:dyDescent="0.35">
      <c r="A1023">
        <v>1975</v>
      </c>
      <c r="B1023" s="1">
        <v>45567</v>
      </c>
      <c r="C1023" s="2">
        <v>0.54166666666666663</v>
      </c>
      <c r="D1023">
        <v>3</v>
      </c>
      <c r="E1023">
        <v>11</v>
      </c>
      <c r="F1023">
        <v>86</v>
      </c>
    </row>
    <row r="1024" spans="1:6" x14ac:dyDescent="0.35">
      <c r="A1024">
        <v>1975</v>
      </c>
      <c r="B1024" s="1">
        <v>45567</v>
      </c>
      <c r="C1024" s="2">
        <v>0.58333333333333337</v>
      </c>
      <c r="D1024">
        <v>3</v>
      </c>
      <c r="E1024">
        <v>13.4</v>
      </c>
      <c r="F1024">
        <v>68</v>
      </c>
    </row>
    <row r="1025" spans="1:6" x14ac:dyDescent="0.35">
      <c r="A1025">
        <v>1975</v>
      </c>
      <c r="B1025" s="1">
        <v>45567</v>
      </c>
      <c r="C1025" s="2">
        <v>0.625</v>
      </c>
      <c r="D1025">
        <v>3</v>
      </c>
      <c r="E1025">
        <v>12.3</v>
      </c>
      <c r="F1025">
        <v>65</v>
      </c>
    </row>
    <row r="1026" spans="1:6" x14ac:dyDescent="0.35">
      <c r="A1026">
        <v>1975</v>
      </c>
      <c r="B1026" s="1">
        <v>45567</v>
      </c>
      <c r="C1026" s="2">
        <v>0.66666666666666663</v>
      </c>
      <c r="D1026">
        <v>3</v>
      </c>
      <c r="E1026">
        <v>11.5</v>
      </c>
      <c r="F1026">
        <v>67</v>
      </c>
    </row>
    <row r="1027" spans="1:6" x14ac:dyDescent="0.35">
      <c r="A1027">
        <v>1975</v>
      </c>
      <c r="B1027" s="1">
        <v>45567</v>
      </c>
      <c r="C1027" s="2">
        <v>0.70833333333333337</v>
      </c>
      <c r="D1027">
        <v>3</v>
      </c>
      <c r="E1027">
        <v>10.6</v>
      </c>
      <c r="F1027">
        <v>75</v>
      </c>
    </row>
    <row r="1028" spans="1:6" x14ac:dyDescent="0.35">
      <c r="A1028">
        <v>1975</v>
      </c>
      <c r="B1028" s="1">
        <v>45567</v>
      </c>
      <c r="C1028" s="2">
        <v>0.75</v>
      </c>
      <c r="D1028">
        <v>3</v>
      </c>
      <c r="E1028">
        <v>9.1</v>
      </c>
      <c r="F1028">
        <v>82</v>
      </c>
    </row>
    <row r="1029" spans="1:6" x14ac:dyDescent="0.35">
      <c r="A1029">
        <v>1975</v>
      </c>
      <c r="B1029" s="1">
        <v>45567</v>
      </c>
      <c r="C1029" s="2">
        <v>0.79166666666666663</v>
      </c>
      <c r="D1029">
        <v>3</v>
      </c>
      <c r="E1029">
        <v>8.1999999999999993</v>
      </c>
      <c r="F1029">
        <v>87</v>
      </c>
    </row>
    <row r="1030" spans="1:6" x14ac:dyDescent="0.35">
      <c r="A1030">
        <v>1975</v>
      </c>
      <c r="B1030" s="1">
        <v>45567</v>
      </c>
      <c r="C1030" s="2">
        <v>0.83333333333333337</v>
      </c>
      <c r="D1030">
        <v>3</v>
      </c>
      <c r="E1030">
        <v>8.1</v>
      </c>
      <c r="F1030">
        <v>87</v>
      </c>
    </row>
    <row r="1031" spans="1:6" x14ac:dyDescent="0.35">
      <c r="A1031">
        <v>1975</v>
      </c>
      <c r="B1031" s="1">
        <v>45567</v>
      </c>
      <c r="C1031" s="2">
        <v>0.875</v>
      </c>
      <c r="D1031">
        <v>3</v>
      </c>
      <c r="E1031">
        <v>8.8000000000000007</v>
      </c>
      <c r="F1031">
        <v>88</v>
      </c>
    </row>
    <row r="1032" spans="1:6" x14ac:dyDescent="0.35">
      <c r="A1032">
        <v>1975</v>
      </c>
      <c r="B1032" s="1">
        <v>45567</v>
      </c>
      <c r="C1032" s="2">
        <v>0.91666666666666663</v>
      </c>
      <c r="D1032">
        <v>3</v>
      </c>
      <c r="E1032">
        <v>8.9</v>
      </c>
      <c r="F1032">
        <v>87</v>
      </c>
    </row>
    <row r="1033" spans="1:6" x14ac:dyDescent="0.35">
      <c r="A1033">
        <v>1975</v>
      </c>
      <c r="B1033" s="1">
        <v>45567</v>
      </c>
      <c r="C1033" s="2">
        <v>0.95833333333333337</v>
      </c>
      <c r="D1033">
        <v>3</v>
      </c>
      <c r="E1033">
        <v>9.1999999999999993</v>
      </c>
      <c r="F1033">
        <v>84</v>
      </c>
    </row>
    <row r="1034" spans="1:6" x14ac:dyDescent="0.35">
      <c r="A1034">
        <v>1975</v>
      </c>
      <c r="B1034" s="1">
        <v>45568</v>
      </c>
      <c r="C1034" s="2">
        <v>0</v>
      </c>
      <c r="D1034">
        <v>3</v>
      </c>
      <c r="E1034">
        <v>9.1999999999999993</v>
      </c>
      <c r="F1034">
        <v>83</v>
      </c>
    </row>
    <row r="1035" spans="1:6" x14ac:dyDescent="0.35">
      <c r="A1035">
        <v>1975</v>
      </c>
      <c r="B1035" s="1">
        <v>45568</v>
      </c>
      <c r="C1035" s="2">
        <v>4.1666666666666657E-2</v>
      </c>
      <c r="D1035">
        <v>3</v>
      </c>
      <c r="E1035">
        <v>7.8</v>
      </c>
      <c r="F1035">
        <v>90</v>
      </c>
    </row>
    <row r="1036" spans="1:6" x14ac:dyDescent="0.35">
      <c r="A1036">
        <v>1975</v>
      </c>
      <c r="B1036" s="1">
        <v>45568</v>
      </c>
      <c r="C1036" s="2">
        <v>8.3333333333333329E-2</v>
      </c>
      <c r="D1036">
        <v>3</v>
      </c>
      <c r="E1036">
        <v>7.9</v>
      </c>
      <c r="F1036">
        <v>88</v>
      </c>
    </row>
    <row r="1037" spans="1:6" x14ac:dyDescent="0.35">
      <c r="A1037">
        <v>1975</v>
      </c>
      <c r="B1037" s="1">
        <v>45568</v>
      </c>
      <c r="C1037" s="2">
        <v>0.125</v>
      </c>
      <c r="D1037">
        <v>3</v>
      </c>
      <c r="E1037">
        <v>7.8</v>
      </c>
      <c r="F1037">
        <v>88</v>
      </c>
    </row>
    <row r="1038" spans="1:6" x14ac:dyDescent="0.35">
      <c r="A1038">
        <v>1975</v>
      </c>
      <c r="B1038" s="1">
        <v>45568</v>
      </c>
      <c r="C1038" s="2">
        <v>0.16666666666666671</v>
      </c>
      <c r="D1038">
        <v>3</v>
      </c>
      <c r="E1038">
        <v>7.5</v>
      </c>
      <c r="F1038">
        <v>89</v>
      </c>
    </row>
    <row r="1039" spans="1:6" x14ac:dyDescent="0.35">
      <c r="A1039">
        <v>1975</v>
      </c>
      <c r="B1039" s="1">
        <v>45568</v>
      </c>
      <c r="C1039" s="2">
        <v>0.20833333333333329</v>
      </c>
      <c r="D1039">
        <v>3</v>
      </c>
      <c r="E1039">
        <v>7.5</v>
      </c>
      <c r="F1039">
        <v>90</v>
      </c>
    </row>
    <row r="1040" spans="1:6" x14ac:dyDescent="0.35">
      <c r="A1040">
        <v>1975</v>
      </c>
      <c r="B1040" s="1">
        <v>45568</v>
      </c>
      <c r="C1040" s="2">
        <v>0.25</v>
      </c>
      <c r="D1040">
        <v>3</v>
      </c>
      <c r="E1040">
        <v>7.7</v>
      </c>
      <c r="F1040">
        <v>90</v>
      </c>
    </row>
    <row r="1041" spans="1:6" x14ac:dyDescent="0.35">
      <c r="A1041">
        <v>1975</v>
      </c>
      <c r="B1041" s="1">
        <v>45568</v>
      </c>
      <c r="C1041" s="2">
        <v>0.29166666666666669</v>
      </c>
      <c r="D1041">
        <v>3</v>
      </c>
      <c r="E1041">
        <v>8</v>
      </c>
      <c r="F1041">
        <v>91</v>
      </c>
    </row>
    <row r="1042" spans="1:6" x14ac:dyDescent="0.35">
      <c r="A1042">
        <v>1975</v>
      </c>
      <c r="B1042" s="1">
        <v>45568</v>
      </c>
      <c r="C1042" s="2">
        <v>0.33333333333333331</v>
      </c>
      <c r="D1042">
        <v>3</v>
      </c>
      <c r="E1042">
        <v>9</v>
      </c>
      <c r="F1042">
        <v>85</v>
      </c>
    </row>
    <row r="1043" spans="1:6" x14ac:dyDescent="0.35">
      <c r="A1043">
        <v>1975</v>
      </c>
      <c r="B1043" s="1">
        <v>45568</v>
      </c>
      <c r="C1043" s="2">
        <v>0.375</v>
      </c>
      <c r="D1043">
        <v>3</v>
      </c>
      <c r="E1043">
        <v>10.7</v>
      </c>
      <c r="F1043">
        <v>80</v>
      </c>
    </row>
    <row r="1044" spans="1:6" x14ac:dyDescent="0.35">
      <c r="A1044">
        <v>1975</v>
      </c>
      <c r="B1044" s="1">
        <v>45568</v>
      </c>
      <c r="C1044" s="2">
        <v>0.41666666666666669</v>
      </c>
      <c r="D1044">
        <v>3</v>
      </c>
      <c r="E1044">
        <v>12.8</v>
      </c>
      <c r="F1044">
        <v>69</v>
      </c>
    </row>
    <row r="1045" spans="1:6" x14ac:dyDescent="0.35">
      <c r="A1045">
        <v>1975</v>
      </c>
      <c r="B1045" s="1">
        <v>45568</v>
      </c>
      <c r="C1045" s="2">
        <v>0.45833333333333331</v>
      </c>
      <c r="D1045">
        <v>3</v>
      </c>
      <c r="E1045">
        <v>13.8</v>
      </c>
      <c r="F1045">
        <v>60</v>
      </c>
    </row>
    <row r="1046" spans="1:6" x14ac:dyDescent="0.35">
      <c r="A1046">
        <v>1975</v>
      </c>
      <c r="B1046" s="1">
        <v>45568</v>
      </c>
      <c r="C1046" s="2">
        <v>0.5</v>
      </c>
      <c r="D1046">
        <v>3</v>
      </c>
      <c r="E1046">
        <v>13.1</v>
      </c>
      <c r="F1046">
        <v>65</v>
      </c>
    </row>
    <row r="1047" spans="1:6" x14ac:dyDescent="0.35">
      <c r="A1047">
        <v>1975</v>
      </c>
      <c r="B1047" s="1">
        <v>45568</v>
      </c>
      <c r="C1047" s="2">
        <v>0.54166666666666663</v>
      </c>
      <c r="D1047">
        <v>3</v>
      </c>
      <c r="E1047">
        <v>13</v>
      </c>
      <c r="F1047">
        <v>63</v>
      </c>
    </row>
    <row r="1048" spans="1:6" x14ac:dyDescent="0.35">
      <c r="A1048">
        <v>1975</v>
      </c>
      <c r="B1048" s="1">
        <v>45568</v>
      </c>
      <c r="C1048" s="2">
        <v>0.58333333333333337</v>
      </c>
      <c r="D1048">
        <v>3</v>
      </c>
      <c r="E1048">
        <v>13.1</v>
      </c>
      <c r="F1048">
        <v>65</v>
      </c>
    </row>
    <row r="1049" spans="1:6" x14ac:dyDescent="0.35">
      <c r="A1049">
        <v>1975</v>
      </c>
      <c r="B1049" s="1">
        <v>45568</v>
      </c>
      <c r="C1049" s="2">
        <v>0.625</v>
      </c>
      <c r="D1049">
        <v>3</v>
      </c>
      <c r="E1049">
        <v>13</v>
      </c>
      <c r="F1049">
        <v>68</v>
      </c>
    </row>
    <row r="1050" spans="1:6" x14ac:dyDescent="0.35">
      <c r="A1050">
        <v>1975</v>
      </c>
      <c r="B1050" s="1">
        <v>45568</v>
      </c>
      <c r="C1050" s="2">
        <v>0.66666666666666663</v>
      </c>
      <c r="D1050">
        <v>3</v>
      </c>
      <c r="E1050">
        <v>12.4</v>
      </c>
      <c r="F1050">
        <v>64</v>
      </c>
    </row>
    <row r="1051" spans="1:6" x14ac:dyDescent="0.35">
      <c r="A1051">
        <v>1975</v>
      </c>
      <c r="B1051" s="1">
        <v>45568</v>
      </c>
      <c r="C1051" s="2">
        <v>0.70833333333333337</v>
      </c>
      <c r="D1051">
        <v>3</v>
      </c>
      <c r="E1051">
        <v>10.8</v>
      </c>
      <c r="F1051">
        <v>72</v>
      </c>
    </row>
    <row r="1052" spans="1:6" x14ac:dyDescent="0.35">
      <c r="A1052">
        <v>1975</v>
      </c>
      <c r="B1052" s="1">
        <v>45568</v>
      </c>
      <c r="C1052" s="2">
        <v>0.75</v>
      </c>
      <c r="D1052">
        <v>3</v>
      </c>
      <c r="E1052">
        <v>8.6999999999999993</v>
      </c>
      <c r="F1052">
        <v>84</v>
      </c>
    </row>
    <row r="1053" spans="1:6" x14ac:dyDescent="0.35">
      <c r="A1053">
        <v>1975</v>
      </c>
      <c r="B1053" s="1">
        <v>45568</v>
      </c>
      <c r="C1053" s="2">
        <v>0.79166666666666663</v>
      </c>
      <c r="D1053">
        <v>3</v>
      </c>
      <c r="E1053">
        <v>6.8</v>
      </c>
      <c r="F1053">
        <v>89</v>
      </c>
    </row>
    <row r="1054" spans="1:6" x14ac:dyDescent="0.35">
      <c r="A1054">
        <v>1975</v>
      </c>
      <c r="B1054" s="1">
        <v>45568</v>
      </c>
      <c r="C1054" s="2">
        <v>0.83333333333333337</v>
      </c>
      <c r="D1054">
        <v>3</v>
      </c>
      <c r="E1054">
        <v>7.2</v>
      </c>
      <c r="F1054">
        <v>87</v>
      </c>
    </row>
    <row r="1055" spans="1:6" x14ac:dyDescent="0.35">
      <c r="A1055">
        <v>1975</v>
      </c>
      <c r="B1055" s="1">
        <v>45568</v>
      </c>
      <c r="C1055" s="2">
        <v>0.875</v>
      </c>
      <c r="D1055">
        <v>3</v>
      </c>
      <c r="E1055">
        <v>5.4</v>
      </c>
      <c r="F1055">
        <v>93</v>
      </c>
    </row>
    <row r="1056" spans="1:6" x14ac:dyDescent="0.35">
      <c r="A1056">
        <v>1975</v>
      </c>
      <c r="B1056" s="1">
        <v>45568</v>
      </c>
      <c r="C1056" s="2">
        <v>0.91666666666666663</v>
      </c>
      <c r="D1056">
        <v>3</v>
      </c>
      <c r="E1056">
        <v>4.4000000000000004</v>
      </c>
      <c r="F1056">
        <v>95</v>
      </c>
    </row>
    <row r="1057" spans="1:6" x14ac:dyDescent="0.35">
      <c r="A1057">
        <v>1975</v>
      </c>
      <c r="B1057" s="1">
        <v>45568</v>
      </c>
      <c r="C1057" s="2">
        <v>0.95833333333333337</v>
      </c>
      <c r="D1057">
        <v>3</v>
      </c>
      <c r="E1057">
        <v>4</v>
      </c>
      <c r="F1057">
        <v>99</v>
      </c>
    </row>
    <row r="1058" spans="1:6" x14ac:dyDescent="0.35">
      <c r="A1058">
        <v>1975</v>
      </c>
      <c r="B1058" s="1">
        <v>45569</v>
      </c>
      <c r="C1058" s="2">
        <v>0</v>
      </c>
      <c r="D1058">
        <v>3</v>
      </c>
      <c r="E1058">
        <v>3.3</v>
      </c>
      <c r="F1058">
        <v>98</v>
      </c>
    </row>
    <row r="1059" spans="1:6" x14ac:dyDescent="0.35">
      <c r="A1059">
        <v>1975</v>
      </c>
      <c r="B1059" s="1">
        <v>45569</v>
      </c>
      <c r="C1059" s="2">
        <v>4.1666666666666657E-2</v>
      </c>
      <c r="D1059">
        <v>3</v>
      </c>
      <c r="E1059">
        <v>3.2</v>
      </c>
      <c r="F1059">
        <v>99</v>
      </c>
    </row>
    <row r="1060" spans="1:6" x14ac:dyDescent="0.35">
      <c r="A1060">
        <v>1975</v>
      </c>
      <c r="B1060" s="1">
        <v>45569</v>
      </c>
      <c r="C1060" s="2">
        <v>8.3333333333333329E-2</v>
      </c>
      <c r="D1060">
        <v>3</v>
      </c>
      <c r="E1060">
        <v>3</v>
      </c>
      <c r="F1060">
        <v>100</v>
      </c>
    </row>
    <row r="1061" spans="1:6" x14ac:dyDescent="0.35">
      <c r="A1061">
        <v>1975</v>
      </c>
      <c r="B1061" s="1">
        <v>45569</v>
      </c>
      <c r="C1061" s="2">
        <v>0.125</v>
      </c>
      <c r="D1061">
        <v>3</v>
      </c>
      <c r="E1061">
        <v>2.6</v>
      </c>
      <c r="F1061">
        <v>99</v>
      </c>
    </row>
    <row r="1062" spans="1:6" x14ac:dyDescent="0.35">
      <c r="A1062">
        <v>1975</v>
      </c>
      <c r="B1062" s="1">
        <v>45569</v>
      </c>
      <c r="C1062" s="2">
        <v>0.16666666666666671</v>
      </c>
      <c r="D1062">
        <v>3</v>
      </c>
      <c r="E1062">
        <v>2.6</v>
      </c>
      <c r="F1062">
        <v>100</v>
      </c>
    </row>
    <row r="1063" spans="1:6" x14ac:dyDescent="0.35">
      <c r="A1063">
        <v>1975</v>
      </c>
      <c r="B1063" s="1">
        <v>45569</v>
      </c>
      <c r="C1063" s="2">
        <v>0.20833333333333329</v>
      </c>
      <c r="D1063">
        <v>3</v>
      </c>
      <c r="E1063">
        <v>2.7</v>
      </c>
      <c r="F1063">
        <v>100</v>
      </c>
    </row>
    <row r="1064" spans="1:6" x14ac:dyDescent="0.35">
      <c r="A1064">
        <v>1975</v>
      </c>
      <c r="B1064" s="1">
        <v>45569</v>
      </c>
      <c r="C1064" s="2">
        <v>0.25</v>
      </c>
      <c r="D1064">
        <v>3</v>
      </c>
      <c r="E1064">
        <v>2.8</v>
      </c>
      <c r="F1064">
        <v>100</v>
      </c>
    </row>
    <row r="1065" spans="1:6" x14ac:dyDescent="0.35">
      <c r="A1065">
        <v>1975</v>
      </c>
      <c r="B1065" s="1">
        <v>45569</v>
      </c>
      <c r="C1065" s="2">
        <v>0.29166666666666669</v>
      </c>
      <c r="D1065">
        <v>3</v>
      </c>
      <c r="E1065">
        <v>5.8</v>
      </c>
      <c r="F1065">
        <v>94</v>
      </c>
    </row>
    <row r="1066" spans="1:6" x14ac:dyDescent="0.35">
      <c r="A1066">
        <v>1975</v>
      </c>
      <c r="B1066" s="1">
        <v>45569</v>
      </c>
      <c r="C1066" s="2">
        <v>0.33333333333333331</v>
      </c>
      <c r="D1066">
        <v>3</v>
      </c>
      <c r="E1066">
        <v>9.1</v>
      </c>
      <c r="F1066">
        <v>84</v>
      </c>
    </row>
    <row r="1067" spans="1:6" x14ac:dyDescent="0.35">
      <c r="A1067">
        <v>1975</v>
      </c>
      <c r="B1067" s="1">
        <v>45569</v>
      </c>
      <c r="C1067" s="2">
        <v>0.375</v>
      </c>
      <c r="D1067">
        <v>3</v>
      </c>
      <c r="E1067">
        <v>12.1</v>
      </c>
      <c r="F1067">
        <v>73</v>
      </c>
    </row>
    <row r="1068" spans="1:6" x14ac:dyDescent="0.35">
      <c r="A1068">
        <v>1975</v>
      </c>
      <c r="B1068" s="1">
        <v>45569</v>
      </c>
      <c r="C1068" s="2">
        <v>0.41666666666666669</v>
      </c>
      <c r="D1068">
        <v>3</v>
      </c>
      <c r="E1068">
        <v>13.3</v>
      </c>
      <c r="F1068">
        <v>61</v>
      </c>
    </row>
    <row r="1069" spans="1:6" x14ac:dyDescent="0.35">
      <c r="A1069">
        <v>1975</v>
      </c>
      <c r="B1069" s="1">
        <v>45569</v>
      </c>
      <c r="C1069" s="2">
        <v>0.45833333333333331</v>
      </c>
      <c r="D1069">
        <v>3</v>
      </c>
      <c r="E1069">
        <v>13.9</v>
      </c>
      <c r="F1069">
        <v>57</v>
      </c>
    </row>
    <row r="1070" spans="1:6" x14ac:dyDescent="0.35">
      <c r="A1070">
        <v>1975</v>
      </c>
      <c r="B1070" s="1">
        <v>45569</v>
      </c>
      <c r="C1070" s="2">
        <v>0.5</v>
      </c>
      <c r="D1070">
        <v>3</v>
      </c>
      <c r="E1070">
        <v>14.3</v>
      </c>
      <c r="F1070">
        <v>57</v>
      </c>
    </row>
    <row r="1071" spans="1:6" x14ac:dyDescent="0.35">
      <c r="A1071">
        <v>1975</v>
      </c>
      <c r="B1071" s="1">
        <v>45569</v>
      </c>
      <c r="C1071" s="2">
        <v>0.54166666666666663</v>
      </c>
      <c r="D1071">
        <v>3</v>
      </c>
      <c r="E1071">
        <v>14.5</v>
      </c>
      <c r="F1071">
        <v>56</v>
      </c>
    </row>
    <row r="1072" spans="1:6" x14ac:dyDescent="0.35">
      <c r="A1072">
        <v>1975</v>
      </c>
      <c r="B1072" s="1">
        <v>45569</v>
      </c>
      <c r="C1072" s="2">
        <v>0.58333333333333337</v>
      </c>
      <c r="D1072">
        <v>3</v>
      </c>
      <c r="E1072">
        <v>13.6</v>
      </c>
      <c r="F1072">
        <v>57</v>
      </c>
    </row>
    <row r="1073" spans="1:6" x14ac:dyDescent="0.35">
      <c r="A1073">
        <v>1975</v>
      </c>
      <c r="B1073" s="1">
        <v>45569</v>
      </c>
      <c r="C1073" s="2">
        <v>0.625</v>
      </c>
      <c r="D1073">
        <v>3</v>
      </c>
      <c r="E1073">
        <v>14.4</v>
      </c>
      <c r="F1073">
        <v>59</v>
      </c>
    </row>
    <row r="1074" spans="1:6" x14ac:dyDescent="0.35">
      <c r="A1074">
        <v>1975</v>
      </c>
      <c r="B1074" s="1">
        <v>45569</v>
      </c>
      <c r="C1074" s="2">
        <v>0.66666666666666663</v>
      </c>
      <c r="D1074">
        <v>3</v>
      </c>
      <c r="E1074">
        <v>13.4</v>
      </c>
      <c r="F1074">
        <v>60</v>
      </c>
    </row>
    <row r="1075" spans="1:6" x14ac:dyDescent="0.35">
      <c r="A1075">
        <v>1975</v>
      </c>
      <c r="B1075" s="1">
        <v>45569</v>
      </c>
      <c r="C1075" s="2">
        <v>0.70833333333333337</v>
      </c>
      <c r="D1075">
        <v>3</v>
      </c>
      <c r="E1075">
        <v>11.3</v>
      </c>
      <c r="F1075">
        <v>68</v>
      </c>
    </row>
    <row r="1076" spans="1:6" x14ac:dyDescent="0.35">
      <c r="A1076">
        <v>1975</v>
      </c>
      <c r="B1076" s="1">
        <v>45569</v>
      </c>
      <c r="C1076" s="2">
        <v>0.75</v>
      </c>
      <c r="D1076">
        <v>3</v>
      </c>
      <c r="E1076">
        <v>9.4</v>
      </c>
      <c r="F1076">
        <v>77</v>
      </c>
    </row>
    <row r="1077" spans="1:6" x14ac:dyDescent="0.35">
      <c r="A1077">
        <v>1975</v>
      </c>
      <c r="B1077" s="1">
        <v>45569</v>
      </c>
      <c r="C1077" s="2">
        <v>0.79166666666666663</v>
      </c>
      <c r="D1077">
        <v>3</v>
      </c>
      <c r="E1077">
        <v>7.1</v>
      </c>
      <c r="F1077">
        <v>92</v>
      </c>
    </row>
    <row r="1078" spans="1:6" x14ac:dyDescent="0.35">
      <c r="A1078">
        <v>1975</v>
      </c>
      <c r="B1078" s="1">
        <v>45569</v>
      </c>
      <c r="C1078" s="2">
        <v>0.83333333333333337</v>
      </c>
      <c r="D1078">
        <v>3</v>
      </c>
      <c r="E1078">
        <v>6</v>
      </c>
      <c r="F1078">
        <v>100</v>
      </c>
    </row>
    <row r="1079" spans="1:6" x14ac:dyDescent="0.35">
      <c r="A1079">
        <v>1975</v>
      </c>
      <c r="B1079" s="1">
        <v>45569</v>
      </c>
      <c r="C1079" s="2">
        <v>0.875</v>
      </c>
      <c r="D1079">
        <v>3</v>
      </c>
      <c r="E1079">
        <v>5.2</v>
      </c>
      <c r="F1079">
        <v>100</v>
      </c>
    </row>
    <row r="1080" spans="1:6" x14ac:dyDescent="0.35">
      <c r="A1080">
        <v>1975</v>
      </c>
      <c r="B1080" s="1">
        <v>45569</v>
      </c>
      <c r="C1080" s="2">
        <v>0.91666666666666663</v>
      </c>
      <c r="D1080">
        <v>3</v>
      </c>
      <c r="E1080">
        <v>5</v>
      </c>
      <c r="F1080">
        <v>100</v>
      </c>
    </row>
    <row r="1081" spans="1:6" x14ac:dyDescent="0.35">
      <c r="A1081">
        <v>1975</v>
      </c>
      <c r="B1081" s="1">
        <v>45569</v>
      </c>
      <c r="C1081" s="2">
        <v>0.95833333333333337</v>
      </c>
      <c r="D1081">
        <v>3</v>
      </c>
      <c r="E1081">
        <v>4.3</v>
      </c>
      <c r="F1081">
        <v>100</v>
      </c>
    </row>
    <row r="1082" spans="1:6" x14ac:dyDescent="0.35">
      <c r="A1082">
        <v>1975</v>
      </c>
      <c r="B1082" s="1">
        <v>45570</v>
      </c>
      <c r="C1082" s="2">
        <v>0</v>
      </c>
      <c r="D1082">
        <v>3</v>
      </c>
      <c r="E1082">
        <v>3.1</v>
      </c>
      <c r="F1082">
        <v>99</v>
      </c>
    </row>
    <row r="1083" spans="1:6" x14ac:dyDescent="0.35">
      <c r="A1083">
        <v>1975</v>
      </c>
      <c r="B1083" s="1">
        <v>45570</v>
      </c>
      <c r="C1083" s="2">
        <v>4.1666666666666657E-2</v>
      </c>
      <c r="D1083">
        <v>3</v>
      </c>
      <c r="E1083">
        <v>2.8</v>
      </c>
      <c r="F1083">
        <v>100</v>
      </c>
    </row>
    <row r="1084" spans="1:6" x14ac:dyDescent="0.35">
      <c r="A1084">
        <v>1975</v>
      </c>
      <c r="B1084" s="1">
        <v>45570</v>
      </c>
      <c r="C1084" s="2">
        <v>8.3333333333333329E-2</v>
      </c>
      <c r="D1084">
        <v>3</v>
      </c>
      <c r="E1084">
        <v>2.2999999999999998</v>
      </c>
      <c r="F1084">
        <v>100</v>
      </c>
    </row>
    <row r="1085" spans="1:6" x14ac:dyDescent="0.35">
      <c r="A1085">
        <v>1975</v>
      </c>
      <c r="B1085" s="1">
        <v>45570</v>
      </c>
      <c r="C1085" s="2">
        <v>0.125</v>
      </c>
      <c r="D1085">
        <v>3</v>
      </c>
      <c r="E1085">
        <v>2.1</v>
      </c>
      <c r="F1085">
        <v>100</v>
      </c>
    </row>
    <row r="1086" spans="1:6" x14ac:dyDescent="0.35">
      <c r="A1086">
        <v>1975</v>
      </c>
      <c r="B1086" s="1">
        <v>45570</v>
      </c>
      <c r="C1086" s="2">
        <v>0.16666666666666671</v>
      </c>
      <c r="D1086">
        <v>3</v>
      </c>
      <c r="E1086">
        <v>1.7</v>
      </c>
      <c r="F1086">
        <v>100</v>
      </c>
    </row>
    <row r="1087" spans="1:6" x14ac:dyDescent="0.35">
      <c r="A1087">
        <v>1975</v>
      </c>
      <c r="B1087" s="1">
        <v>45570</v>
      </c>
      <c r="C1087" s="2">
        <v>0.20833333333333329</v>
      </c>
      <c r="D1087">
        <v>3</v>
      </c>
      <c r="E1087">
        <v>1.8</v>
      </c>
      <c r="F1087">
        <v>100</v>
      </c>
    </row>
    <row r="1088" spans="1:6" x14ac:dyDescent="0.35">
      <c r="A1088">
        <v>1975</v>
      </c>
      <c r="B1088" s="1">
        <v>45570</v>
      </c>
      <c r="C1088" s="2">
        <v>0.25</v>
      </c>
      <c r="D1088">
        <v>3</v>
      </c>
      <c r="E1088">
        <v>1.5</v>
      </c>
      <c r="F1088">
        <v>99</v>
      </c>
    </row>
    <row r="1089" spans="1:6" x14ac:dyDescent="0.35">
      <c r="A1089">
        <v>1975</v>
      </c>
      <c r="B1089" s="1">
        <v>45570</v>
      </c>
      <c r="C1089" s="2">
        <v>0.29166666666666669</v>
      </c>
      <c r="D1089">
        <v>3</v>
      </c>
      <c r="E1089">
        <v>3.1</v>
      </c>
      <c r="F1089">
        <v>88</v>
      </c>
    </row>
    <row r="1090" spans="1:6" x14ac:dyDescent="0.35">
      <c r="A1090">
        <v>1975</v>
      </c>
      <c r="B1090" s="1">
        <v>45570</v>
      </c>
      <c r="C1090" s="2">
        <v>0.33333333333333331</v>
      </c>
      <c r="D1090">
        <v>3</v>
      </c>
      <c r="E1090">
        <v>7.3</v>
      </c>
      <c r="F1090">
        <v>85</v>
      </c>
    </row>
    <row r="1091" spans="1:6" x14ac:dyDescent="0.35">
      <c r="A1091">
        <v>1975</v>
      </c>
      <c r="B1091" s="1">
        <v>45570</v>
      </c>
      <c r="C1091" s="2">
        <v>0.375</v>
      </c>
      <c r="D1091">
        <v>3</v>
      </c>
      <c r="E1091">
        <v>11.6</v>
      </c>
      <c r="F1091">
        <v>76</v>
      </c>
    </row>
    <row r="1092" spans="1:6" x14ac:dyDescent="0.35">
      <c r="A1092">
        <v>1975</v>
      </c>
      <c r="B1092" s="1">
        <v>45570</v>
      </c>
      <c r="C1092" s="2">
        <v>0.41666666666666669</v>
      </c>
      <c r="D1092">
        <v>3</v>
      </c>
      <c r="E1092">
        <v>12.7</v>
      </c>
      <c r="F1092">
        <v>67</v>
      </c>
    </row>
    <row r="1093" spans="1:6" x14ac:dyDescent="0.35">
      <c r="A1093">
        <v>1975</v>
      </c>
      <c r="B1093" s="1">
        <v>45570</v>
      </c>
      <c r="C1093" s="2">
        <v>0.45833333333333331</v>
      </c>
      <c r="D1093">
        <v>3</v>
      </c>
      <c r="E1093">
        <v>13.1</v>
      </c>
      <c r="F1093">
        <v>61</v>
      </c>
    </row>
    <row r="1094" spans="1:6" x14ac:dyDescent="0.35">
      <c r="A1094">
        <v>1975</v>
      </c>
      <c r="B1094" s="1">
        <v>45570</v>
      </c>
      <c r="C1094" s="2">
        <v>0.5</v>
      </c>
      <c r="D1094">
        <v>3</v>
      </c>
      <c r="E1094">
        <v>14</v>
      </c>
      <c r="F1094">
        <v>55</v>
      </c>
    </row>
    <row r="1095" spans="1:6" x14ac:dyDescent="0.35">
      <c r="A1095">
        <v>1975</v>
      </c>
      <c r="B1095" s="1">
        <v>45570</v>
      </c>
      <c r="C1095" s="2">
        <v>0.54166666666666663</v>
      </c>
      <c r="D1095">
        <v>3</v>
      </c>
      <c r="E1095">
        <v>14.1</v>
      </c>
      <c r="F1095">
        <v>53</v>
      </c>
    </row>
    <row r="1096" spans="1:6" x14ac:dyDescent="0.35">
      <c r="A1096">
        <v>1975</v>
      </c>
      <c r="B1096" s="1">
        <v>45570</v>
      </c>
      <c r="C1096" s="2">
        <v>0.58333333333333337</v>
      </c>
      <c r="D1096">
        <v>3</v>
      </c>
      <c r="E1096">
        <v>14.5</v>
      </c>
      <c r="F1096">
        <v>49</v>
      </c>
    </row>
    <row r="1097" spans="1:6" x14ac:dyDescent="0.35">
      <c r="A1097">
        <v>1975</v>
      </c>
      <c r="B1097" s="1">
        <v>45570</v>
      </c>
      <c r="C1097" s="2">
        <v>0.625</v>
      </c>
      <c r="D1097">
        <v>3</v>
      </c>
      <c r="E1097">
        <v>14.5</v>
      </c>
      <c r="F1097">
        <v>48</v>
      </c>
    </row>
    <row r="1098" spans="1:6" x14ac:dyDescent="0.35">
      <c r="A1098">
        <v>1975</v>
      </c>
      <c r="B1098" s="1">
        <v>45570</v>
      </c>
      <c r="C1098" s="2">
        <v>0.66666666666666663</v>
      </c>
      <c r="D1098">
        <v>3</v>
      </c>
      <c r="E1098">
        <v>13.7</v>
      </c>
      <c r="F1098">
        <v>56</v>
      </c>
    </row>
    <row r="1099" spans="1:6" x14ac:dyDescent="0.35">
      <c r="A1099">
        <v>1975</v>
      </c>
      <c r="B1099" s="1">
        <v>45570</v>
      </c>
      <c r="C1099" s="2">
        <v>0.70833333333333337</v>
      </c>
      <c r="D1099">
        <v>3</v>
      </c>
      <c r="E1099">
        <v>10.199999999999999</v>
      </c>
      <c r="F1099">
        <v>80</v>
      </c>
    </row>
    <row r="1100" spans="1:6" x14ac:dyDescent="0.35">
      <c r="A1100">
        <v>1975</v>
      </c>
      <c r="B1100" s="1">
        <v>45570</v>
      </c>
      <c r="C1100" s="2">
        <v>0.75</v>
      </c>
      <c r="D1100">
        <v>3</v>
      </c>
      <c r="E1100">
        <v>8.5</v>
      </c>
      <c r="F1100">
        <v>88</v>
      </c>
    </row>
    <row r="1101" spans="1:6" x14ac:dyDescent="0.35">
      <c r="A1101">
        <v>1975</v>
      </c>
      <c r="B1101" s="1">
        <v>45570</v>
      </c>
      <c r="C1101" s="2">
        <v>0.79166666666666663</v>
      </c>
      <c r="D1101">
        <v>3</v>
      </c>
      <c r="E1101">
        <v>7.4</v>
      </c>
      <c r="F1101">
        <v>93</v>
      </c>
    </row>
    <row r="1102" spans="1:6" x14ac:dyDescent="0.35">
      <c r="A1102">
        <v>1975</v>
      </c>
      <c r="B1102" s="1">
        <v>45570</v>
      </c>
      <c r="C1102" s="2">
        <v>0.83333333333333337</v>
      </c>
      <c r="D1102">
        <v>3</v>
      </c>
      <c r="E1102">
        <v>6.9</v>
      </c>
      <c r="F1102">
        <v>91</v>
      </c>
    </row>
    <row r="1103" spans="1:6" x14ac:dyDescent="0.35">
      <c r="A1103">
        <v>1975</v>
      </c>
      <c r="B1103" s="1">
        <v>45570</v>
      </c>
      <c r="C1103" s="2">
        <v>0.875</v>
      </c>
      <c r="D1103">
        <v>3</v>
      </c>
      <c r="E1103">
        <v>8</v>
      </c>
      <c r="F1103">
        <v>91</v>
      </c>
    </row>
    <row r="1104" spans="1:6" x14ac:dyDescent="0.35">
      <c r="A1104">
        <v>1975</v>
      </c>
      <c r="B1104" s="1">
        <v>45570</v>
      </c>
      <c r="C1104" s="2">
        <v>0.91666666666666663</v>
      </c>
      <c r="D1104">
        <v>3</v>
      </c>
      <c r="E1104">
        <v>5.9</v>
      </c>
      <c r="F1104">
        <v>98</v>
      </c>
    </row>
    <row r="1105" spans="1:6" x14ac:dyDescent="0.35">
      <c r="A1105">
        <v>1975</v>
      </c>
      <c r="B1105" s="1">
        <v>45570</v>
      </c>
      <c r="C1105" s="2">
        <v>0.95833333333333337</v>
      </c>
      <c r="D1105">
        <v>3</v>
      </c>
      <c r="E1105">
        <v>5</v>
      </c>
      <c r="F1105">
        <v>99</v>
      </c>
    </row>
    <row r="1106" spans="1:6" x14ac:dyDescent="0.35">
      <c r="A1106">
        <v>1975</v>
      </c>
      <c r="B1106" s="1">
        <v>45571</v>
      </c>
      <c r="C1106" s="2">
        <v>0</v>
      </c>
      <c r="D1106">
        <v>3</v>
      </c>
      <c r="E1106">
        <v>4.9000000000000004</v>
      </c>
      <c r="F1106">
        <v>100</v>
      </c>
    </row>
    <row r="1107" spans="1:6" x14ac:dyDescent="0.35">
      <c r="A1107">
        <v>1975</v>
      </c>
      <c r="B1107" s="1">
        <v>45571</v>
      </c>
      <c r="C1107" s="2">
        <v>4.1666666666666657E-2</v>
      </c>
      <c r="D1107">
        <v>3</v>
      </c>
      <c r="E1107">
        <v>4.5</v>
      </c>
      <c r="F1107">
        <v>99</v>
      </c>
    </row>
    <row r="1108" spans="1:6" x14ac:dyDescent="0.35">
      <c r="A1108">
        <v>1975</v>
      </c>
      <c r="B1108" s="1">
        <v>45571</v>
      </c>
      <c r="C1108" s="2">
        <v>8.3333333333333329E-2</v>
      </c>
      <c r="D1108">
        <v>3</v>
      </c>
      <c r="E1108">
        <v>4.4000000000000004</v>
      </c>
      <c r="F1108">
        <v>100</v>
      </c>
    </row>
    <row r="1109" spans="1:6" x14ac:dyDescent="0.35">
      <c r="A1109">
        <v>1975</v>
      </c>
      <c r="B1109" s="1">
        <v>45571</v>
      </c>
      <c r="C1109" s="2">
        <v>0.125</v>
      </c>
      <c r="D1109">
        <v>3</v>
      </c>
      <c r="E1109">
        <v>4.0999999999999996</v>
      </c>
      <c r="F1109">
        <v>100</v>
      </c>
    </row>
    <row r="1110" spans="1:6" x14ac:dyDescent="0.35">
      <c r="A1110">
        <v>1975</v>
      </c>
      <c r="B1110" s="1">
        <v>45571</v>
      </c>
      <c r="C1110" s="2">
        <v>0.16666666666666671</v>
      </c>
      <c r="D1110">
        <v>3</v>
      </c>
      <c r="E1110">
        <v>3.6</v>
      </c>
      <c r="F1110">
        <v>100</v>
      </c>
    </row>
    <row r="1111" spans="1:6" x14ac:dyDescent="0.35">
      <c r="A1111">
        <v>1975</v>
      </c>
      <c r="B1111" s="1">
        <v>45571</v>
      </c>
      <c r="C1111" s="2">
        <v>0.20833333333333329</v>
      </c>
      <c r="D1111">
        <v>3</v>
      </c>
      <c r="E1111">
        <v>3.3</v>
      </c>
      <c r="F1111">
        <v>99</v>
      </c>
    </row>
    <row r="1112" spans="1:6" x14ac:dyDescent="0.35">
      <c r="A1112">
        <v>1975</v>
      </c>
      <c r="B1112" s="1">
        <v>45571</v>
      </c>
      <c r="C1112" s="2">
        <v>0.25</v>
      </c>
      <c r="D1112">
        <v>3</v>
      </c>
      <c r="E1112">
        <v>3.8</v>
      </c>
      <c r="F1112">
        <v>100</v>
      </c>
    </row>
    <row r="1113" spans="1:6" x14ac:dyDescent="0.35">
      <c r="A1113">
        <v>1975</v>
      </c>
      <c r="B1113" s="1">
        <v>45571</v>
      </c>
      <c r="C1113" s="2">
        <v>0.29166666666666669</v>
      </c>
      <c r="D1113">
        <v>3</v>
      </c>
      <c r="E1113">
        <v>6.1</v>
      </c>
      <c r="F1113">
        <v>95</v>
      </c>
    </row>
    <row r="1114" spans="1:6" x14ac:dyDescent="0.35">
      <c r="A1114">
        <v>1975</v>
      </c>
      <c r="B1114" s="1">
        <v>45571</v>
      </c>
      <c r="C1114" s="2">
        <v>0.33333333333333331</v>
      </c>
      <c r="D1114">
        <v>3</v>
      </c>
      <c r="E1114">
        <v>8.5</v>
      </c>
      <c r="F1114">
        <v>87</v>
      </c>
    </row>
    <row r="1115" spans="1:6" x14ac:dyDescent="0.35">
      <c r="A1115">
        <v>1975</v>
      </c>
      <c r="B1115" s="1">
        <v>45571</v>
      </c>
      <c r="C1115" s="2">
        <v>0.375</v>
      </c>
      <c r="D1115">
        <v>3</v>
      </c>
      <c r="E1115">
        <v>10.6</v>
      </c>
      <c r="F1115">
        <v>80</v>
      </c>
    </row>
    <row r="1116" spans="1:6" x14ac:dyDescent="0.35">
      <c r="A1116">
        <v>1975</v>
      </c>
      <c r="B1116" s="1">
        <v>45571</v>
      </c>
      <c r="C1116" s="2">
        <v>0.41666666666666669</v>
      </c>
      <c r="D1116">
        <v>3</v>
      </c>
      <c r="E1116">
        <v>12.3</v>
      </c>
      <c r="F1116">
        <v>61</v>
      </c>
    </row>
    <row r="1117" spans="1:6" x14ac:dyDescent="0.35">
      <c r="A1117">
        <v>1975</v>
      </c>
      <c r="B1117" s="1">
        <v>45571</v>
      </c>
      <c r="C1117" s="2">
        <v>0.45833333333333331</v>
      </c>
      <c r="D1117">
        <v>3</v>
      </c>
      <c r="E1117">
        <v>13</v>
      </c>
      <c r="F1117">
        <v>57</v>
      </c>
    </row>
    <row r="1118" spans="1:6" x14ac:dyDescent="0.35">
      <c r="A1118">
        <v>1975</v>
      </c>
      <c r="B1118" s="1">
        <v>45571</v>
      </c>
      <c r="C1118" s="2">
        <v>0.5</v>
      </c>
      <c r="D1118">
        <v>3</v>
      </c>
      <c r="E1118">
        <v>12.6</v>
      </c>
      <c r="F1118">
        <v>58</v>
      </c>
    </row>
    <row r="1119" spans="1:6" x14ac:dyDescent="0.35">
      <c r="A1119">
        <v>1975</v>
      </c>
      <c r="B1119" s="1">
        <v>45571</v>
      </c>
      <c r="C1119" s="2">
        <v>0.54166666666666663</v>
      </c>
      <c r="D1119">
        <v>3</v>
      </c>
      <c r="E1119">
        <v>12.5</v>
      </c>
      <c r="F1119">
        <v>58</v>
      </c>
    </row>
    <row r="1120" spans="1:6" x14ac:dyDescent="0.35">
      <c r="A1120">
        <v>1975</v>
      </c>
      <c r="B1120" s="1">
        <v>45571</v>
      </c>
      <c r="C1120" s="2">
        <v>0.58333333333333337</v>
      </c>
      <c r="D1120">
        <v>3</v>
      </c>
      <c r="E1120">
        <v>13.2</v>
      </c>
      <c r="F1120">
        <v>59</v>
      </c>
    </row>
    <row r="1121" spans="1:6" x14ac:dyDescent="0.35">
      <c r="A1121">
        <v>1975</v>
      </c>
      <c r="B1121" s="1">
        <v>45571</v>
      </c>
      <c r="C1121" s="2">
        <v>0.625</v>
      </c>
      <c r="D1121">
        <v>3</v>
      </c>
      <c r="E1121">
        <v>13</v>
      </c>
      <c r="F1121">
        <v>61</v>
      </c>
    </row>
    <row r="1122" spans="1:6" x14ac:dyDescent="0.35">
      <c r="A1122">
        <v>1975</v>
      </c>
      <c r="B1122" s="1">
        <v>45571</v>
      </c>
      <c r="C1122" s="2">
        <v>0.66666666666666663</v>
      </c>
      <c r="D1122">
        <v>3</v>
      </c>
      <c r="E1122">
        <v>12.1</v>
      </c>
      <c r="F1122">
        <v>65</v>
      </c>
    </row>
    <row r="1123" spans="1:6" x14ac:dyDescent="0.35">
      <c r="A1123">
        <v>1975</v>
      </c>
      <c r="B1123" s="1">
        <v>45571</v>
      </c>
      <c r="C1123" s="2">
        <v>0.70833333333333337</v>
      </c>
      <c r="D1123">
        <v>3</v>
      </c>
      <c r="E1123">
        <v>10.9</v>
      </c>
      <c r="F1123">
        <v>73</v>
      </c>
    </row>
    <row r="1124" spans="1:6" x14ac:dyDescent="0.35">
      <c r="A1124">
        <v>1975</v>
      </c>
      <c r="B1124" s="1">
        <v>45571</v>
      </c>
      <c r="C1124" s="2">
        <v>0.75</v>
      </c>
      <c r="D1124">
        <v>3</v>
      </c>
      <c r="E1124">
        <v>9.8000000000000007</v>
      </c>
      <c r="F1124">
        <v>78</v>
      </c>
    </row>
    <row r="1125" spans="1:6" x14ac:dyDescent="0.35">
      <c r="A1125">
        <v>1975</v>
      </c>
      <c r="B1125" s="1">
        <v>45571</v>
      </c>
      <c r="C1125" s="2">
        <v>0.79166666666666663</v>
      </c>
      <c r="D1125">
        <v>3</v>
      </c>
      <c r="E1125">
        <v>9.3000000000000007</v>
      </c>
      <c r="F1125">
        <v>81</v>
      </c>
    </row>
    <row r="1126" spans="1:6" x14ac:dyDescent="0.35">
      <c r="A1126">
        <v>1975</v>
      </c>
      <c r="B1126" s="1">
        <v>45571</v>
      </c>
      <c r="C1126" s="2">
        <v>0.83333333333333337</v>
      </c>
      <c r="D1126">
        <v>3</v>
      </c>
      <c r="E1126">
        <v>8.9</v>
      </c>
      <c r="F1126">
        <v>84</v>
      </c>
    </row>
    <row r="1127" spans="1:6" x14ac:dyDescent="0.35">
      <c r="A1127">
        <v>1975</v>
      </c>
      <c r="B1127" s="1">
        <v>45571</v>
      </c>
      <c r="C1127" s="2">
        <v>0.875</v>
      </c>
      <c r="D1127">
        <v>3</v>
      </c>
      <c r="E1127">
        <v>8.4</v>
      </c>
      <c r="F1127">
        <v>87</v>
      </c>
    </row>
    <row r="1128" spans="1:6" x14ac:dyDescent="0.35">
      <c r="A1128">
        <v>1975</v>
      </c>
      <c r="B1128" s="1">
        <v>45571</v>
      </c>
      <c r="C1128" s="2">
        <v>0.91666666666666663</v>
      </c>
      <c r="D1128">
        <v>3</v>
      </c>
      <c r="E1128">
        <v>7.9</v>
      </c>
      <c r="F1128">
        <v>89</v>
      </c>
    </row>
    <row r="1129" spans="1:6" x14ac:dyDescent="0.35">
      <c r="A1129">
        <v>1975</v>
      </c>
      <c r="B1129" s="1">
        <v>45571</v>
      </c>
      <c r="C1129" s="2">
        <v>0.95833333333333337</v>
      </c>
      <c r="D1129">
        <v>3</v>
      </c>
      <c r="E1129">
        <v>7.7</v>
      </c>
      <c r="F1129">
        <v>92</v>
      </c>
    </row>
    <row r="1130" spans="1:6" x14ac:dyDescent="0.35">
      <c r="A1130">
        <v>1975</v>
      </c>
      <c r="B1130" s="1">
        <v>45572</v>
      </c>
      <c r="C1130" s="2">
        <v>0</v>
      </c>
      <c r="D1130">
        <v>3</v>
      </c>
      <c r="E1130">
        <v>7.2</v>
      </c>
      <c r="F1130">
        <v>94</v>
      </c>
    </row>
    <row r="1131" spans="1:6" x14ac:dyDescent="0.35">
      <c r="A1131">
        <v>1975</v>
      </c>
      <c r="B1131" s="1">
        <v>45572</v>
      </c>
      <c r="C1131" s="2">
        <v>4.1666666666666657E-2</v>
      </c>
      <c r="D1131">
        <v>3</v>
      </c>
      <c r="E1131">
        <v>7.1</v>
      </c>
      <c r="F1131">
        <v>94</v>
      </c>
    </row>
    <row r="1132" spans="1:6" x14ac:dyDescent="0.35">
      <c r="A1132">
        <v>1975</v>
      </c>
      <c r="B1132" s="1">
        <v>45572</v>
      </c>
      <c r="C1132" s="2">
        <v>8.3333333333333329E-2</v>
      </c>
      <c r="D1132">
        <v>3</v>
      </c>
      <c r="E1132">
        <v>7</v>
      </c>
      <c r="F1132">
        <v>94</v>
      </c>
    </row>
    <row r="1133" spans="1:6" x14ac:dyDescent="0.35">
      <c r="A1133">
        <v>1975</v>
      </c>
      <c r="B1133" s="1">
        <v>45572</v>
      </c>
      <c r="C1133" s="2">
        <v>0.125</v>
      </c>
      <c r="D1133">
        <v>3</v>
      </c>
      <c r="E1133">
        <v>6.9</v>
      </c>
      <c r="F1133">
        <v>94</v>
      </c>
    </row>
    <row r="1134" spans="1:6" x14ac:dyDescent="0.35">
      <c r="A1134">
        <v>1975</v>
      </c>
      <c r="B1134" s="1">
        <v>45572</v>
      </c>
      <c r="C1134" s="2">
        <v>0.16666666666666671</v>
      </c>
      <c r="D1134">
        <v>3</v>
      </c>
      <c r="E1134">
        <v>7.2</v>
      </c>
      <c r="F1134">
        <v>94</v>
      </c>
    </row>
    <row r="1135" spans="1:6" x14ac:dyDescent="0.35">
      <c r="A1135">
        <v>1975</v>
      </c>
      <c r="B1135" s="1">
        <v>45572</v>
      </c>
      <c r="C1135" s="2">
        <v>0.20833333333333329</v>
      </c>
      <c r="D1135">
        <v>3</v>
      </c>
      <c r="E1135">
        <v>7.7</v>
      </c>
      <c r="F1135">
        <v>91</v>
      </c>
    </row>
    <row r="1136" spans="1:6" x14ac:dyDescent="0.35">
      <c r="A1136">
        <v>1975</v>
      </c>
      <c r="B1136" s="1">
        <v>45572</v>
      </c>
      <c r="C1136" s="2">
        <v>0.25</v>
      </c>
      <c r="D1136">
        <v>3</v>
      </c>
      <c r="E1136">
        <v>8</v>
      </c>
      <c r="F1136">
        <v>89</v>
      </c>
    </row>
    <row r="1137" spans="1:6" x14ac:dyDescent="0.35">
      <c r="A1137">
        <v>1975</v>
      </c>
      <c r="B1137" s="1">
        <v>45572</v>
      </c>
      <c r="C1137" s="2">
        <v>0.29166666666666669</v>
      </c>
      <c r="D1137">
        <v>3</v>
      </c>
      <c r="E1137">
        <v>8.3000000000000007</v>
      </c>
      <c r="F1137">
        <v>92</v>
      </c>
    </row>
    <row r="1138" spans="1:6" x14ac:dyDescent="0.35">
      <c r="A1138">
        <v>1975</v>
      </c>
      <c r="B1138" s="1">
        <v>45572</v>
      </c>
      <c r="C1138" s="2">
        <v>0.33333333333333331</v>
      </c>
      <c r="D1138">
        <v>3</v>
      </c>
      <c r="E1138">
        <v>8.1999999999999993</v>
      </c>
      <c r="F1138">
        <v>97</v>
      </c>
    </row>
    <row r="1139" spans="1:6" x14ac:dyDescent="0.35">
      <c r="A1139">
        <v>1975</v>
      </c>
      <c r="B1139" s="1">
        <v>45572</v>
      </c>
      <c r="C1139" s="2">
        <v>0.375</v>
      </c>
      <c r="D1139">
        <v>3</v>
      </c>
      <c r="E1139">
        <v>9</v>
      </c>
      <c r="F1139">
        <v>96</v>
      </c>
    </row>
    <row r="1140" spans="1:6" x14ac:dyDescent="0.35">
      <c r="A1140">
        <v>1975</v>
      </c>
      <c r="B1140" s="1">
        <v>45572</v>
      </c>
      <c r="C1140" s="2">
        <v>0.41666666666666669</v>
      </c>
      <c r="D1140">
        <v>3</v>
      </c>
      <c r="E1140">
        <v>10.7</v>
      </c>
      <c r="F1140">
        <v>94</v>
      </c>
    </row>
    <row r="1141" spans="1:6" x14ac:dyDescent="0.35">
      <c r="A1141">
        <v>1975</v>
      </c>
      <c r="B1141" s="1">
        <v>45572</v>
      </c>
      <c r="C1141" s="2">
        <v>0.45833333333333331</v>
      </c>
      <c r="D1141">
        <v>3</v>
      </c>
      <c r="E1141">
        <v>11.4</v>
      </c>
      <c r="F1141">
        <v>94</v>
      </c>
    </row>
    <row r="1142" spans="1:6" x14ac:dyDescent="0.35">
      <c r="A1142">
        <v>1975</v>
      </c>
      <c r="B1142" s="1">
        <v>45572</v>
      </c>
      <c r="C1142" s="2">
        <v>0.5</v>
      </c>
      <c r="D1142">
        <v>3</v>
      </c>
      <c r="E1142">
        <v>14.5</v>
      </c>
      <c r="F1142">
        <v>88</v>
      </c>
    </row>
    <row r="1143" spans="1:6" x14ac:dyDescent="0.35">
      <c r="A1143">
        <v>1975</v>
      </c>
      <c r="B1143" s="1">
        <v>45572</v>
      </c>
      <c r="C1143" s="2">
        <v>0.54166666666666663</v>
      </c>
      <c r="D1143">
        <v>3</v>
      </c>
      <c r="E1143">
        <v>16</v>
      </c>
      <c r="F1143">
        <v>83</v>
      </c>
    </row>
    <row r="1144" spans="1:6" x14ac:dyDescent="0.35">
      <c r="A1144">
        <v>1975</v>
      </c>
      <c r="B1144" s="1">
        <v>45572</v>
      </c>
      <c r="C1144" s="2">
        <v>0.58333333333333337</v>
      </c>
      <c r="D1144">
        <v>3</v>
      </c>
      <c r="E1144">
        <v>17.8</v>
      </c>
      <c r="F1144">
        <v>72</v>
      </c>
    </row>
    <row r="1145" spans="1:6" x14ac:dyDescent="0.35">
      <c r="A1145">
        <v>1975</v>
      </c>
      <c r="B1145" s="1">
        <v>45572</v>
      </c>
      <c r="C1145" s="2">
        <v>0.625</v>
      </c>
      <c r="D1145">
        <v>3</v>
      </c>
      <c r="E1145">
        <v>17.8</v>
      </c>
      <c r="F1145">
        <v>67</v>
      </c>
    </row>
    <row r="1146" spans="1:6" x14ac:dyDescent="0.35">
      <c r="A1146">
        <v>1975</v>
      </c>
      <c r="B1146" s="1">
        <v>45572</v>
      </c>
      <c r="C1146" s="2">
        <v>0.66666666666666663</v>
      </c>
      <c r="D1146">
        <v>3</v>
      </c>
      <c r="E1146">
        <v>16.3</v>
      </c>
      <c r="F1146">
        <v>71</v>
      </c>
    </row>
    <row r="1147" spans="1:6" x14ac:dyDescent="0.35">
      <c r="A1147">
        <v>1975</v>
      </c>
      <c r="B1147" s="1">
        <v>45572</v>
      </c>
      <c r="C1147" s="2">
        <v>0.70833333333333337</v>
      </c>
      <c r="D1147">
        <v>3</v>
      </c>
      <c r="E1147">
        <v>12.6</v>
      </c>
      <c r="F1147">
        <v>91</v>
      </c>
    </row>
    <row r="1148" spans="1:6" x14ac:dyDescent="0.35">
      <c r="A1148">
        <v>1975</v>
      </c>
      <c r="B1148" s="1">
        <v>45572</v>
      </c>
      <c r="C1148" s="2">
        <v>0.75</v>
      </c>
      <c r="D1148">
        <v>3</v>
      </c>
      <c r="E1148">
        <v>11.2</v>
      </c>
      <c r="F1148">
        <v>98</v>
      </c>
    </row>
    <row r="1149" spans="1:6" x14ac:dyDescent="0.35">
      <c r="A1149">
        <v>1975</v>
      </c>
      <c r="B1149" s="1">
        <v>45572</v>
      </c>
      <c r="C1149" s="2">
        <v>0.79166666666666663</v>
      </c>
      <c r="D1149">
        <v>3</v>
      </c>
      <c r="E1149">
        <v>10.7</v>
      </c>
      <c r="F1149">
        <v>100</v>
      </c>
    </row>
    <row r="1150" spans="1:6" x14ac:dyDescent="0.35">
      <c r="A1150">
        <v>1975</v>
      </c>
      <c r="B1150" s="1">
        <v>45572</v>
      </c>
      <c r="C1150" s="2">
        <v>0.83333333333333337</v>
      </c>
      <c r="D1150">
        <v>3</v>
      </c>
      <c r="E1150">
        <v>11.1</v>
      </c>
      <c r="F1150">
        <v>97</v>
      </c>
    </row>
    <row r="1151" spans="1:6" x14ac:dyDescent="0.35">
      <c r="A1151">
        <v>1975</v>
      </c>
      <c r="B1151" s="1">
        <v>45572</v>
      </c>
      <c r="C1151" s="2">
        <v>0.875</v>
      </c>
      <c r="D1151">
        <v>3</v>
      </c>
      <c r="E1151">
        <v>11</v>
      </c>
      <c r="F1151">
        <v>95</v>
      </c>
    </row>
    <row r="1152" spans="1:6" x14ac:dyDescent="0.35">
      <c r="A1152">
        <v>1975</v>
      </c>
      <c r="B1152" s="1">
        <v>45572</v>
      </c>
      <c r="C1152" s="2">
        <v>0.91666666666666663</v>
      </c>
      <c r="D1152">
        <v>3</v>
      </c>
      <c r="E1152">
        <v>9.8000000000000007</v>
      </c>
      <c r="F1152">
        <v>99</v>
      </c>
    </row>
    <row r="1153" spans="1:6" x14ac:dyDescent="0.35">
      <c r="A1153">
        <v>1975</v>
      </c>
      <c r="B1153" s="1">
        <v>45572</v>
      </c>
      <c r="C1153" s="2">
        <v>0.95833333333333337</v>
      </c>
      <c r="D1153">
        <v>3</v>
      </c>
      <c r="E1153">
        <v>9.8000000000000007</v>
      </c>
      <c r="F1153">
        <v>100</v>
      </c>
    </row>
    <row r="1154" spans="1:6" x14ac:dyDescent="0.35">
      <c r="A1154">
        <v>1975</v>
      </c>
      <c r="B1154" s="1">
        <v>45573</v>
      </c>
      <c r="C1154" s="2">
        <v>0</v>
      </c>
      <c r="D1154">
        <v>3</v>
      </c>
      <c r="E1154">
        <v>9.9</v>
      </c>
      <c r="F1154">
        <v>100</v>
      </c>
    </row>
    <row r="1155" spans="1:6" x14ac:dyDescent="0.35">
      <c r="A1155">
        <v>1975</v>
      </c>
      <c r="B1155" s="1">
        <v>45573</v>
      </c>
      <c r="C1155" s="2">
        <v>4.1666666666666657E-2</v>
      </c>
      <c r="D1155">
        <v>3</v>
      </c>
      <c r="E1155">
        <v>11.2</v>
      </c>
      <c r="F1155">
        <v>100</v>
      </c>
    </row>
    <row r="1156" spans="1:6" x14ac:dyDescent="0.35">
      <c r="A1156">
        <v>1975</v>
      </c>
      <c r="B1156" s="1">
        <v>45573</v>
      </c>
      <c r="C1156" s="2">
        <v>8.3333333333333329E-2</v>
      </c>
      <c r="D1156">
        <v>3</v>
      </c>
      <c r="E1156">
        <v>11.6</v>
      </c>
      <c r="F1156">
        <v>100</v>
      </c>
    </row>
    <row r="1157" spans="1:6" x14ac:dyDescent="0.35">
      <c r="A1157">
        <v>1975</v>
      </c>
      <c r="B1157" s="1">
        <v>45573</v>
      </c>
      <c r="C1157" s="2">
        <v>0.125</v>
      </c>
      <c r="D1157">
        <v>3</v>
      </c>
      <c r="E1157">
        <v>12</v>
      </c>
      <c r="F1157">
        <v>97</v>
      </c>
    </row>
    <row r="1158" spans="1:6" x14ac:dyDescent="0.35">
      <c r="A1158">
        <v>1975</v>
      </c>
      <c r="B1158" s="1">
        <v>45573</v>
      </c>
      <c r="C1158" s="2">
        <v>0.16666666666666671</v>
      </c>
      <c r="D1158">
        <v>3</v>
      </c>
      <c r="E1158">
        <v>12.2</v>
      </c>
      <c r="F1158">
        <v>96</v>
      </c>
    </row>
    <row r="1159" spans="1:6" x14ac:dyDescent="0.35">
      <c r="A1159">
        <v>1975</v>
      </c>
      <c r="B1159" s="1">
        <v>45573</v>
      </c>
      <c r="C1159" s="2">
        <v>0.20833333333333329</v>
      </c>
      <c r="D1159">
        <v>3</v>
      </c>
      <c r="E1159">
        <v>12.4</v>
      </c>
      <c r="F1159">
        <v>96</v>
      </c>
    </row>
    <row r="1160" spans="1:6" x14ac:dyDescent="0.35">
      <c r="A1160">
        <v>1975</v>
      </c>
      <c r="B1160" s="1">
        <v>45573</v>
      </c>
      <c r="C1160" s="2">
        <v>0.25</v>
      </c>
      <c r="D1160">
        <v>3</v>
      </c>
      <c r="E1160">
        <v>12.6</v>
      </c>
      <c r="F1160">
        <v>98</v>
      </c>
    </row>
    <row r="1161" spans="1:6" x14ac:dyDescent="0.35">
      <c r="A1161">
        <v>1975</v>
      </c>
      <c r="B1161" s="1">
        <v>45573</v>
      </c>
      <c r="C1161" s="2">
        <v>0.29166666666666669</v>
      </c>
      <c r="D1161">
        <v>3</v>
      </c>
      <c r="E1161">
        <v>13.2</v>
      </c>
      <c r="F1161">
        <v>97</v>
      </c>
    </row>
    <row r="1162" spans="1:6" x14ac:dyDescent="0.35">
      <c r="A1162">
        <v>1975</v>
      </c>
      <c r="B1162" s="1">
        <v>45573</v>
      </c>
      <c r="C1162" s="2">
        <v>0.33333333333333331</v>
      </c>
      <c r="D1162">
        <v>3</v>
      </c>
      <c r="E1162">
        <v>13.7</v>
      </c>
      <c r="F1162">
        <v>96</v>
      </c>
    </row>
    <row r="1163" spans="1:6" x14ac:dyDescent="0.35">
      <c r="A1163">
        <v>1975</v>
      </c>
      <c r="B1163" s="1">
        <v>45573</v>
      </c>
      <c r="C1163" s="2">
        <v>0.375</v>
      </c>
      <c r="D1163">
        <v>3</v>
      </c>
      <c r="E1163">
        <v>14.5</v>
      </c>
      <c r="F1163">
        <v>95</v>
      </c>
    </row>
    <row r="1164" spans="1:6" x14ac:dyDescent="0.35">
      <c r="A1164">
        <v>1975</v>
      </c>
      <c r="B1164" s="1">
        <v>45573</v>
      </c>
      <c r="C1164" s="2">
        <v>0.41666666666666669</v>
      </c>
      <c r="D1164">
        <v>3</v>
      </c>
      <c r="E1164">
        <v>15.9</v>
      </c>
      <c r="F1164">
        <v>93</v>
      </c>
    </row>
    <row r="1165" spans="1:6" x14ac:dyDescent="0.35">
      <c r="A1165">
        <v>1975</v>
      </c>
      <c r="B1165" s="1">
        <v>45573</v>
      </c>
      <c r="C1165" s="2">
        <v>0.45833333333333331</v>
      </c>
      <c r="D1165">
        <v>3</v>
      </c>
      <c r="E1165">
        <v>17.5</v>
      </c>
      <c r="F1165">
        <v>87</v>
      </c>
    </row>
    <row r="1166" spans="1:6" x14ac:dyDescent="0.35">
      <c r="A1166">
        <v>1975</v>
      </c>
      <c r="B1166" s="1">
        <v>45573</v>
      </c>
      <c r="C1166" s="2">
        <v>0.5</v>
      </c>
      <c r="D1166">
        <v>3</v>
      </c>
      <c r="E1166">
        <v>19.600000000000001</v>
      </c>
      <c r="F1166">
        <v>79</v>
      </c>
    </row>
    <row r="1167" spans="1:6" x14ac:dyDescent="0.35">
      <c r="A1167">
        <v>1975</v>
      </c>
      <c r="B1167" s="1">
        <v>45573</v>
      </c>
      <c r="C1167" s="2">
        <v>0.54166666666666663</v>
      </c>
      <c r="D1167">
        <v>3</v>
      </c>
      <c r="E1167">
        <v>19.7</v>
      </c>
      <c r="F1167">
        <v>73</v>
      </c>
    </row>
    <row r="1168" spans="1:6" x14ac:dyDescent="0.35">
      <c r="A1168">
        <v>1975</v>
      </c>
      <c r="B1168" s="1">
        <v>45573</v>
      </c>
      <c r="C1168" s="2">
        <v>0.58333333333333337</v>
      </c>
      <c r="D1168">
        <v>3</v>
      </c>
      <c r="E1168">
        <v>19.5</v>
      </c>
      <c r="F1168">
        <v>71</v>
      </c>
    </row>
    <row r="1169" spans="1:6" x14ac:dyDescent="0.35">
      <c r="A1169">
        <v>1975</v>
      </c>
      <c r="B1169" s="1">
        <v>45573</v>
      </c>
      <c r="C1169" s="2">
        <v>0.625</v>
      </c>
      <c r="D1169">
        <v>3</v>
      </c>
      <c r="E1169">
        <v>19.2</v>
      </c>
      <c r="F1169">
        <v>69</v>
      </c>
    </row>
    <row r="1170" spans="1:6" x14ac:dyDescent="0.35">
      <c r="A1170">
        <v>1975</v>
      </c>
      <c r="B1170" s="1">
        <v>45573</v>
      </c>
      <c r="C1170" s="2">
        <v>0.66666666666666663</v>
      </c>
      <c r="D1170">
        <v>3</v>
      </c>
      <c r="E1170">
        <v>17.5</v>
      </c>
      <c r="F1170">
        <v>78</v>
      </c>
    </row>
    <row r="1171" spans="1:6" x14ac:dyDescent="0.35">
      <c r="A1171">
        <v>1975</v>
      </c>
      <c r="B1171" s="1">
        <v>45573</v>
      </c>
      <c r="C1171" s="2">
        <v>0.70833333333333337</v>
      </c>
      <c r="D1171">
        <v>3</v>
      </c>
      <c r="E1171">
        <v>16.7</v>
      </c>
      <c r="F1171">
        <v>83</v>
      </c>
    </row>
    <row r="1172" spans="1:6" x14ac:dyDescent="0.35">
      <c r="A1172">
        <v>1975</v>
      </c>
      <c r="B1172" s="1">
        <v>45573</v>
      </c>
      <c r="C1172" s="2">
        <v>0.75</v>
      </c>
      <c r="D1172">
        <v>3</v>
      </c>
      <c r="E1172">
        <v>15.5</v>
      </c>
      <c r="F1172">
        <v>88</v>
      </c>
    </row>
    <row r="1173" spans="1:6" x14ac:dyDescent="0.35">
      <c r="A1173">
        <v>1975</v>
      </c>
      <c r="B1173" s="1">
        <v>45573</v>
      </c>
      <c r="C1173" s="2">
        <v>0.79166666666666663</v>
      </c>
      <c r="D1173">
        <v>3</v>
      </c>
      <c r="E1173">
        <v>15.1</v>
      </c>
      <c r="F1173">
        <v>88</v>
      </c>
    </row>
    <row r="1174" spans="1:6" x14ac:dyDescent="0.35">
      <c r="A1174">
        <v>1975</v>
      </c>
      <c r="B1174" s="1">
        <v>45573</v>
      </c>
      <c r="C1174" s="2">
        <v>0.83333333333333337</v>
      </c>
      <c r="D1174">
        <v>3</v>
      </c>
      <c r="E1174">
        <v>15.1</v>
      </c>
      <c r="F1174">
        <v>89</v>
      </c>
    </row>
    <row r="1175" spans="1:6" x14ac:dyDescent="0.35">
      <c r="A1175">
        <v>1975</v>
      </c>
      <c r="B1175" s="1">
        <v>45573</v>
      </c>
      <c r="C1175" s="2">
        <v>0.875</v>
      </c>
      <c r="D1175">
        <v>3</v>
      </c>
      <c r="E1175">
        <v>14.2</v>
      </c>
      <c r="F1175">
        <v>89</v>
      </c>
    </row>
    <row r="1176" spans="1:6" x14ac:dyDescent="0.35">
      <c r="A1176">
        <v>1975</v>
      </c>
      <c r="B1176" s="1">
        <v>45573</v>
      </c>
      <c r="C1176" s="2">
        <v>0.91666666666666663</v>
      </c>
      <c r="D1176">
        <v>3</v>
      </c>
      <c r="E1176">
        <v>13.2</v>
      </c>
      <c r="F1176">
        <v>98</v>
      </c>
    </row>
    <row r="1177" spans="1:6" x14ac:dyDescent="0.35">
      <c r="A1177">
        <v>1975</v>
      </c>
      <c r="B1177" s="1">
        <v>45573</v>
      </c>
      <c r="C1177" s="2">
        <v>0.95833333333333337</v>
      </c>
      <c r="D1177">
        <v>3</v>
      </c>
      <c r="E1177">
        <v>12.8</v>
      </c>
      <c r="F1177">
        <v>99</v>
      </c>
    </row>
    <row r="1178" spans="1:6" x14ac:dyDescent="0.35">
      <c r="A1178">
        <v>1975</v>
      </c>
      <c r="B1178" s="1">
        <v>45574</v>
      </c>
      <c r="C1178" s="2">
        <v>0</v>
      </c>
      <c r="D1178">
        <v>3</v>
      </c>
      <c r="E1178">
        <v>13.1</v>
      </c>
      <c r="F1178">
        <v>99</v>
      </c>
    </row>
    <row r="1179" spans="1:6" x14ac:dyDescent="0.35">
      <c r="A1179">
        <v>1975</v>
      </c>
      <c r="B1179" s="1">
        <v>45574</v>
      </c>
      <c r="C1179" s="2">
        <v>4.1666666666666657E-2</v>
      </c>
      <c r="D1179">
        <v>3</v>
      </c>
      <c r="E1179">
        <v>12.7</v>
      </c>
      <c r="F1179">
        <v>100</v>
      </c>
    </row>
    <row r="1180" spans="1:6" x14ac:dyDescent="0.35">
      <c r="A1180">
        <v>1975</v>
      </c>
      <c r="B1180" s="1">
        <v>45574</v>
      </c>
      <c r="C1180" s="2">
        <v>8.3333333333333329E-2</v>
      </c>
      <c r="D1180">
        <v>3</v>
      </c>
      <c r="E1180">
        <v>12.3</v>
      </c>
      <c r="F1180">
        <v>100</v>
      </c>
    </row>
    <row r="1181" spans="1:6" x14ac:dyDescent="0.35">
      <c r="A1181">
        <v>1975</v>
      </c>
      <c r="B1181" s="1">
        <v>45574</v>
      </c>
      <c r="C1181" s="2">
        <v>0.125</v>
      </c>
      <c r="D1181">
        <v>3</v>
      </c>
      <c r="E1181">
        <v>12.3</v>
      </c>
      <c r="F1181">
        <v>99</v>
      </c>
    </row>
    <row r="1182" spans="1:6" x14ac:dyDescent="0.35">
      <c r="A1182">
        <v>1975</v>
      </c>
      <c r="B1182" s="1">
        <v>45574</v>
      </c>
      <c r="C1182" s="2">
        <v>0.16666666666666671</v>
      </c>
      <c r="D1182">
        <v>3</v>
      </c>
      <c r="E1182">
        <v>11.9</v>
      </c>
      <c r="F1182">
        <v>99</v>
      </c>
    </row>
    <row r="1183" spans="1:6" x14ac:dyDescent="0.35">
      <c r="A1183">
        <v>1975</v>
      </c>
      <c r="B1183" s="1">
        <v>45574</v>
      </c>
      <c r="C1183" s="2">
        <v>0.20833333333333329</v>
      </c>
      <c r="D1183">
        <v>3</v>
      </c>
      <c r="E1183">
        <v>12.4</v>
      </c>
      <c r="F1183">
        <v>97</v>
      </c>
    </row>
    <row r="1184" spans="1:6" x14ac:dyDescent="0.35">
      <c r="A1184">
        <v>1975</v>
      </c>
      <c r="B1184" s="1">
        <v>45574</v>
      </c>
      <c r="C1184" s="2">
        <v>0.25</v>
      </c>
      <c r="D1184">
        <v>3</v>
      </c>
      <c r="E1184">
        <v>12.4</v>
      </c>
      <c r="F1184">
        <v>97</v>
      </c>
    </row>
    <row r="1185" spans="1:6" x14ac:dyDescent="0.35">
      <c r="A1185">
        <v>1975</v>
      </c>
      <c r="B1185" s="1">
        <v>45574</v>
      </c>
      <c r="C1185" s="2">
        <v>0.29166666666666669</v>
      </c>
      <c r="D1185">
        <v>3</v>
      </c>
      <c r="E1185">
        <v>12.9</v>
      </c>
      <c r="F1185">
        <v>95</v>
      </c>
    </row>
    <row r="1186" spans="1:6" x14ac:dyDescent="0.35">
      <c r="A1186">
        <v>1975</v>
      </c>
      <c r="B1186" s="1">
        <v>45574</v>
      </c>
      <c r="C1186" s="2">
        <v>0.33333333333333331</v>
      </c>
      <c r="D1186">
        <v>3</v>
      </c>
      <c r="E1186">
        <v>13</v>
      </c>
      <c r="F1186">
        <v>97</v>
      </c>
    </row>
    <row r="1187" spans="1:6" x14ac:dyDescent="0.35">
      <c r="A1187">
        <v>1975</v>
      </c>
      <c r="B1187" s="1">
        <v>45574</v>
      </c>
      <c r="C1187" s="2">
        <v>0.375</v>
      </c>
      <c r="D1187">
        <v>3</v>
      </c>
      <c r="E1187">
        <v>13.4</v>
      </c>
      <c r="F1187">
        <v>96</v>
      </c>
    </row>
    <row r="1188" spans="1:6" x14ac:dyDescent="0.35">
      <c r="A1188">
        <v>1975</v>
      </c>
      <c r="B1188" s="1">
        <v>45574</v>
      </c>
      <c r="C1188" s="2">
        <v>0.41666666666666669</v>
      </c>
      <c r="D1188">
        <v>3</v>
      </c>
      <c r="E1188">
        <v>14.3</v>
      </c>
      <c r="F1188">
        <v>92</v>
      </c>
    </row>
    <row r="1189" spans="1:6" x14ac:dyDescent="0.35">
      <c r="A1189">
        <v>1975</v>
      </c>
      <c r="B1189" s="1">
        <v>45574</v>
      </c>
      <c r="C1189" s="2">
        <v>0.45833333333333331</v>
      </c>
      <c r="D1189">
        <v>3</v>
      </c>
      <c r="E1189">
        <v>15.5</v>
      </c>
      <c r="F1189">
        <v>84</v>
      </c>
    </row>
    <row r="1190" spans="1:6" x14ac:dyDescent="0.35">
      <c r="A1190">
        <v>1975</v>
      </c>
      <c r="B1190" s="1">
        <v>45574</v>
      </c>
      <c r="C1190" s="2">
        <v>0.5</v>
      </c>
      <c r="D1190">
        <v>3</v>
      </c>
      <c r="E1190">
        <v>15.9</v>
      </c>
      <c r="F1190">
        <v>78</v>
      </c>
    </row>
    <row r="1191" spans="1:6" x14ac:dyDescent="0.35">
      <c r="A1191">
        <v>1975</v>
      </c>
      <c r="B1191" s="1">
        <v>45574</v>
      </c>
      <c r="C1191" s="2">
        <v>0.54166666666666663</v>
      </c>
      <c r="D1191">
        <v>3</v>
      </c>
      <c r="E1191">
        <v>15.9</v>
      </c>
      <c r="F1191">
        <v>77</v>
      </c>
    </row>
    <row r="1192" spans="1:6" x14ac:dyDescent="0.35">
      <c r="A1192">
        <v>1975</v>
      </c>
      <c r="B1192" s="1">
        <v>45574</v>
      </c>
      <c r="C1192" s="2">
        <v>0.58333333333333337</v>
      </c>
      <c r="D1192">
        <v>3</v>
      </c>
      <c r="E1192">
        <v>16.100000000000001</v>
      </c>
      <c r="F1192">
        <v>79</v>
      </c>
    </row>
    <row r="1193" spans="1:6" x14ac:dyDescent="0.35">
      <c r="A1193">
        <v>1975</v>
      </c>
      <c r="B1193" s="1">
        <v>45574</v>
      </c>
      <c r="C1193" s="2">
        <v>0.625</v>
      </c>
      <c r="D1193">
        <v>3</v>
      </c>
      <c r="E1193">
        <v>15.8</v>
      </c>
      <c r="F1193">
        <v>80</v>
      </c>
    </row>
    <row r="1194" spans="1:6" x14ac:dyDescent="0.35">
      <c r="A1194">
        <v>1975</v>
      </c>
      <c r="B1194" s="1">
        <v>45574</v>
      </c>
      <c r="C1194" s="2">
        <v>0.66666666666666663</v>
      </c>
      <c r="D1194">
        <v>3</v>
      </c>
      <c r="E1194">
        <v>15.3</v>
      </c>
      <c r="F1194">
        <v>84</v>
      </c>
    </row>
    <row r="1195" spans="1:6" x14ac:dyDescent="0.35">
      <c r="A1195">
        <v>1975</v>
      </c>
      <c r="B1195" s="1">
        <v>45574</v>
      </c>
      <c r="C1195" s="2">
        <v>0.70833333333333337</v>
      </c>
      <c r="D1195">
        <v>3</v>
      </c>
      <c r="E1195">
        <v>15.1</v>
      </c>
      <c r="F1195">
        <v>87</v>
      </c>
    </row>
    <row r="1196" spans="1:6" x14ac:dyDescent="0.35">
      <c r="A1196">
        <v>1975</v>
      </c>
      <c r="B1196" s="1">
        <v>45574</v>
      </c>
      <c r="C1196" s="2">
        <v>0.75</v>
      </c>
      <c r="D1196">
        <v>3</v>
      </c>
      <c r="E1196">
        <v>14.1</v>
      </c>
      <c r="F1196">
        <v>95</v>
      </c>
    </row>
    <row r="1197" spans="1:6" x14ac:dyDescent="0.35">
      <c r="A1197">
        <v>1975</v>
      </c>
      <c r="B1197" s="1">
        <v>45574</v>
      </c>
      <c r="C1197" s="2">
        <v>0.79166666666666663</v>
      </c>
      <c r="D1197">
        <v>3</v>
      </c>
      <c r="E1197">
        <v>13.9</v>
      </c>
      <c r="F1197">
        <v>97</v>
      </c>
    </row>
    <row r="1198" spans="1:6" x14ac:dyDescent="0.35">
      <c r="A1198">
        <v>1975</v>
      </c>
      <c r="B1198" s="1">
        <v>45574</v>
      </c>
      <c r="C1198" s="2">
        <v>0.83333333333333337</v>
      </c>
      <c r="D1198">
        <v>3</v>
      </c>
      <c r="E1198">
        <v>13.9</v>
      </c>
      <c r="F1198">
        <v>98</v>
      </c>
    </row>
    <row r="1199" spans="1:6" x14ac:dyDescent="0.35">
      <c r="A1199">
        <v>1975</v>
      </c>
      <c r="B1199" s="1">
        <v>45574</v>
      </c>
      <c r="C1199" s="2">
        <v>0.875</v>
      </c>
      <c r="D1199">
        <v>3</v>
      </c>
      <c r="E1199">
        <v>13.9</v>
      </c>
      <c r="F1199">
        <v>99</v>
      </c>
    </row>
    <row r="1200" spans="1:6" x14ac:dyDescent="0.35">
      <c r="A1200">
        <v>1975</v>
      </c>
      <c r="B1200" s="1">
        <v>45574</v>
      </c>
      <c r="C1200" s="2">
        <v>0.91666666666666663</v>
      </c>
      <c r="D1200">
        <v>3</v>
      </c>
      <c r="E1200">
        <v>13.9</v>
      </c>
      <c r="F1200">
        <v>99</v>
      </c>
    </row>
    <row r="1201" spans="1:6" x14ac:dyDescent="0.35">
      <c r="A1201">
        <v>1975</v>
      </c>
      <c r="B1201" s="1">
        <v>45574</v>
      </c>
      <c r="C1201" s="2">
        <v>0.95833333333333337</v>
      </c>
      <c r="D1201">
        <v>3</v>
      </c>
      <c r="E1201">
        <v>13.8</v>
      </c>
      <c r="F1201">
        <v>100</v>
      </c>
    </row>
    <row r="1202" spans="1:6" x14ac:dyDescent="0.35">
      <c r="A1202">
        <v>1975</v>
      </c>
      <c r="B1202" s="1">
        <v>45575</v>
      </c>
      <c r="C1202" s="2">
        <v>0</v>
      </c>
      <c r="D1202">
        <v>3</v>
      </c>
      <c r="E1202">
        <v>13.9</v>
      </c>
      <c r="F1202">
        <v>100</v>
      </c>
    </row>
    <row r="1203" spans="1:6" x14ac:dyDescent="0.35">
      <c r="A1203">
        <v>1975</v>
      </c>
      <c r="B1203" s="1">
        <v>45575</v>
      </c>
      <c r="C1203" s="2">
        <v>4.1666666666666657E-2</v>
      </c>
      <c r="D1203">
        <v>3</v>
      </c>
      <c r="E1203">
        <v>13.7</v>
      </c>
      <c r="F1203">
        <v>100</v>
      </c>
    </row>
    <row r="1204" spans="1:6" x14ac:dyDescent="0.35">
      <c r="A1204">
        <v>1975</v>
      </c>
      <c r="B1204" s="1">
        <v>45575</v>
      </c>
      <c r="C1204" s="2">
        <v>8.3333333333333329E-2</v>
      </c>
      <c r="D1204">
        <v>3</v>
      </c>
      <c r="E1204">
        <v>13.8</v>
      </c>
      <c r="F1204">
        <v>100</v>
      </c>
    </row>
    <row r="1205" spans="1:6" x14ac:dyDescent="0.35">
      <c r="A1205">
        <v>1975</v>
      </c>
      <c r="B1205" s="1">
        <v>45575</v>
      </c>
      <c r="C1205" s="2">
        <v>0.125</v>
      </c>
      <c r="D1205">
        <v>3</v>
      </c>
      <c r="E1205">
        <v>13.7</v>
      </c>
      <c r="F1205">
        <v>100</v>
      </c>
    </row>
    <row r="1206" spans="1:6" x14ac:dyDescent="0.35">
      <c r="A1206">
        <v>1975</v>
      </c>
      <c r="B1206" s="1">
        <v>45575</v>
      </c>
      <c r="C1206" s="2">
        <v>0.16666666666666671</v>
      </c>
      <c r="D1206">
        <v>3</v>
      </c>
      <c r="E1206">
        <v>13.6</v>
      </c>
      <c r="F1206">
        <v>100</v>
      </c>
    </row>
    <row r="1207" spans="1:6" x14ac:dyDescent="0.35">
      <c r="A1207">
        <v>1975</v>
      </c>
      <c r="B1207" s="1">
        <v>45575</v>
      </c>
      <c r="C1207" s="2">
        <v>0.20833333333333329</v>
      </c>
      <c r="D1207">
        <v>3</v>
      </c>
      <c r="E1207">
        <v>12.7</v>
      </c>
      <c r="F1207">
        <v>99</v>
      </c>
    </row>
    <row r="1208" spans="1:6" x14ac:dyDescent="0.35">
      <c r="A1208">
        <v>1975</v>
      </c>
      <c r="B1208" s="1">
        <v>45575</v>
      </c>
      <c r="C1208" s="2">
        <v>0.25</v>
      </c>
      <c r="D1208">
        <v>3</v>
      </c>
      <c r="E1208">
        <v>12.6</v>
      </c>
      <c r="F1208">
        <v>99</v>
      </c>
    </row>
    <row r="1209" spans="1:6" x14ac:dyDescent="0.35">
      <c r="A1209">
        <v>1975</v>
      </c>
      <c r="B1209" s="1">
        <v>45575</v>
      </c>
      <c r="C1209" s="2">
        <v>0.29166666666666669</v>
      </c>
      <c r="D1209">
        <v>3</v>
      </c>
      <c r="E1209">
        <v>12.7</v>
      </c>
      <c r="F1209">
        <v>97</v>
      </c>
    </row>
    <row r="1210" spans="1:6" x14ac:dyDescent="0.35">
      <c r="A1210">
        <v>1975</v>
      </c>
      <c r="B1210" s="1">
        <v>45575</v>
      </c>
      <c r="C1210" s="2">
        <v>0.33333333333333331</v>
      </c>
      <c r="D1210">
        <v>3</v>
      </c>
      <c r="E1210">
        <v>12.6</v>
      </c>
      <c r="F1210">
        <v>96</v>
      </c>
    </row>
    <row r="1211" spans="1:6" x14ac:dyDescent="0.35">
      <c r="A1211">
        <v>1975</v>
      </c>
      <c r="B1211" s="1">
        <v>45575</v>
      </c>
      <c r="C1211" s="2">
        <v>0.375</v>
      </c>
      <c r="D1211">
        <v>3</v>
      </c>
      <c r="E1211">
        <v>13.4</v>
      </c>
      <c r="F1211">
        <v>95</v>
      </c>
    </row>
    <row r="1212" spans="1:6" x14ac:dyDescent="0.35">
      <c r="A1212">
        <v>1975</v>
      </c>
      <c r="B1212" s="1">
        <v>45575</v>
      </c>
      <c r="C1212" s="2">
        <v>0.41666666666666669</v>
      </c>
      <c r="D1212">
        <v>3</v>
      </c>
      <c r="E1212">
        <v>13.7</v>
      </c>
      <c r="F1212">
        <v>96</v>
      </c>
    </row>
    <row r="1213" spans="1:6" x14ac:dyDescent="0.35">
      <c r="A1213">
        <v>1975</v>
      </c>
      <c r="B1213" s="1">
        <v>45575</v>
      </c>
      <c r="C1213" s="2">
        <v>0.45833333333333331</v>
      </c>
      <c r="D1213">
        <v>3</v>
      </c>
      <c r="E1213">
        <v>14</v>
      </c>
      <c r="F1213">
        <v>95</v>
      </c>
    </row>
    <row r="1214" spans="1:6" x14ac:dyDescent="0.35">
      <c r="A1214">
        <v>1975</v>
      </c>
      <c r="B1214" s="1">
        <v>45575</v>
      </c>
      <c r="C1214" s="2">
        <v>0.5</v>
      </c>
      <c r="D1214">
        <v>3</v>
      </c>
      <c r="E1214">
        <v>13.3</v>
      </c>
      <c r="F1214">
        <v>86</v>
      </c>
    </row>
    <row r="1215" spans="1:6" x14ac:dyDescent="0.35">
      <c r="A1215">
        <v>1975</v>
      </c>
      <c r="B1215" s="1">
        <v>45575</v>
      </c>
      <c r="C1215" s="2">
        <v>0.54166666666666663</v>
      </c>
      <c r="D1215">
        <v>3</v>
      </c>
      <c r="E1215">
        <v>13</v>
      </c>
      <c r="F1215">
        <v>79</v>
      </c>
    </row>
    <row r="1216" spans="1:6" x14ac:dyDescent="0.35">
      <c r="A1216">
        <v>1975</v>
      </c>
      <c r="B1216" s="1">
        <v>45575</v>
      </c>
      <c r="C1216" s="2">
        <v>0.58333333333333337</v>
      </c>
      <c r="D1216">
        <v>3</v>
      </c>
      <c r="E1216">
        <v>12.6</v>
      </c>
      <c r="F1216">
        <v>70</v>
      </c>
    </row>
    <row r="1217" spans="1:6" x14ac:dyDescent="0.35">
      <c r="A1217">
        <v>1975</v>
      </c>
      <c r="B1217" s="1">
        <v>45575</v>
      </c>
      <c r="C1217" s="2">
        <v>0.625</v>
      </c>
      <c r="D1217">
        <v>3</v>
      </c>
      <c r="E1217">
        <v>12</v>
      </c>
      <c r="F1217">
        <v>71</v>
      </c>
    </row>
    <row r="1218" spans="1:6" x14ac:dyDescent="0.35">
      <c r="A1218">
        <v>1975</v>
      </c>
      <c r="B1218" s="1">
        <v>45575</v>
      </c>
      <c r="C1218" s="2">
        <v>0.66666666666666663</v>
      </c>
      <c r="D1218">
        <v>3</v>
      </c>
      <c r="E1218">
        <v>11.5</v>
      </c>
      <c r="F1218">
        <v>66</v>
      </c>
    </row>
    <row r="1219" spans="1:6" x14ac:dyDescent="0.35">
      <c r="A1219">
        <v>1975</v>
      </c>
      <c r="B1219" s="1">
        <v>45575</v>
      </c>
      <c r="C1219" s="2">
        <v>0.70833333333333337</v>
      </c>
      <c r="D1219">
        <v>3</v>
      </c>
      <c r="E1219">
        <v>10.7</v>
      </c>
      <c r="F1219">
        <v>67</v>
      </c>
    </row>
    <row r="1220" spans="1:6" x14ac:dyDescent="0.35">
      <c r="A1220">
        <v>1975</v>
      </c>
      <c r="B1220" s="1">
        <v>45575</v>
      </c>
      <c r="C1220" s="2">
        <v>0.75</v>
      </c>
      <c r="D1220">
        <v>3</v>
      </c>
      <c r="E1220">
        <v>9.8000000000000007</v>
      </c>
      <c r="F1220">
        <v>72</v>
      </c>
    </row>
    <row r="1221" spans="1:6" x14ac:dyDescent="0.35">
      <c r="A1221">
        <v>1975</v>
      </c>
      <c r="B1221" s="1">
        <v>45575</v>
      </c>
      <c r="C1221" s="2">
        <v>0.79166666666666663</v>
      </c>
      <c r="D1221">
        <v>3</v>
      </c>
      <c r="E1221">
        <v>9.4</v>
      </c>
      <c r="F1221">
        <v>78</v>
      </c>
    </row>
    <row r="1222" spans="1:6" x14ac:dyDescent="0.35">
      <c r="A1222">
        <v>1975</v>
      </c>
      <c r="B1222" s="1">
        <v>45575</v>
      </c>
      <c r="C1222" s="2">
        <v>0.83333333333333337</v>
      </c>
      <c r="D1222">
        <v>3</v>
      </c>
      <c r="E1222">
        <v>9.1</v>
      </c>
      <c r="F1222">
        <v>82</v>
      </c>
    </row>
    <row r="1223" spans="1:6" x14ac:dyDescent="0.35">
      <c r="A1223">
        <v>1975</v>
      </c>
      <c r="B1223" s="1">
        <v>45575</v>
      </c>
      <c r="C1223" s="2">
        <v>0.875</v>
      </c>
      <c r="D1223">
        <v>3</v>
      </c>
      <c r="E1223">
        <v>8.5</v>
      </c>
      <c r="F1223">
        <v>88</v>
      </c>
    </row>
    <row r="1224" spans="1:6" x14ac:dyDescent="0.35">
      <c r="A1224">
        <v>1975</v>
      </c>
      <c r="B1224" s="1">
        <v>45575</v>
      </c>
      <c r="C1224" s="2">
        <v>0.91666666666666663</v>
      </c>
      <c r="D1224">
        <v>3</v>
      </c>
      <c r="E1224">
        <v>7.9</v>
      </c>
      <c r="F1224">
        <v>91</v>
      </c>
    </row>
    <row r="1225" spans="1:6" x14ac:dyDescent="0.35">
      <c r="A1225">
        <v>1975</v>
      </c>
      <c r="B1225" s="1">
        <v>45575</v>
      </c>
      <c r="C1225" s="2">
        <v>0.95833333333333337</v>
      </c>
      <c r="D1225">
        <v>3</v>
      </c>
      <c r="E1225">
        <v>7.9</v>
      </c>
      <c r="F1225">
        <v>94</v>
      </c>
    </row>
    <row r="1226" spans="1:6" x14ac:dyDescent="0.35">
      <c r="A1226">
        <v>1975</v>
      </c>
      <c r="B1226" s="1">
        <v>45576</v>
      </c>
      <c r="C1226" s="2">
        <v>0</v>
      </c>
      <c r="D1226">
        <v>3</v>
      </c>
      <c r="E1226">
        <v>7.7</v>
      </c>
      <c r="F1226">
        <v>94</v>
      </c>
    </row>
    <row r="1227" spans="1:6" x14ac:dyDescent="0.35">
      <c r="A1227">
        <v>1975</v>
      </c>
      <c r="B1227" s="1">
        <v>45576</v>
      </c>
      <c r="C1227" s="2">
        <v>4.1666666666666657E-2</v>
      </c>
      <c r="D1227">
        <v>3</v>
      </c>
      <c r="E1227">
        <v>7</v>
      </c>
      <c r="F1227">
        <v>96</v>
      </c>
    </row>
    <row r="1228" spans="1:6" x14ac:dyDescent="0.35">
      <c r="A1228">
        <v>1975</v>
      </c>
      <c r="B1228" s="1">
        <v>45576</v>
      </c>
      <c r="C1228" s="2">
        <v>8.3333333333333329E-2</v>
      </c>
      <c r="D1228">
        <v>3</v>
      </c>
      <c r="E1228">
        <v>7.7</v>
      </c>
      <c r="F1228">
        <v>93</v>
      </c>
    </row>
    <row r="1229" spans="1:6" x14ac:dyDescent="0.35">
      <c r="A1229">
        <v>1975</v>
      </c>
      <c r="B1229" s="1">
        <v>45576</v>
      </c>
      <c r="C1229" s="2">
        <v>0.125</v>
      </c>
      <c r="D1229">
        <v>3</v>
      </c>
      <c r="E1229">
        <v>6.9</v>
      </c>
      <c r="F1229">
        <v>95</v>
      </c>
    </row>
    <row r="1230" spans="1:6" x14ac:dyDescent="0.35">
      <c r="A1230">
        <v>1975</v>
      </c>
      <c r="B1230" s="1">
        <v>45576</v>
      </c>
      <c r="C1230" s="2">
        <v>0.16666666666666671</v>
      </c>
      <c r="D1230">
        <v>3</v>
      </c>
      <c r="E1230">
        <v>6.9</v>
      </c>
      <c r="F1230">
        <v>95</v>
      </c>
    </row>
    <row r="1231" spans="1:6" x14ac:dyDescent="0.35">
      <c r="A1231">
        <v>1975</v>
      </c>
      <c r="B1231" s="1">
        <v>45576</v>
      </c>
      <c r="C1231" s="2">
        <v>0.20833333333333329</v>
      </c>
      <c r="D1231">
        <v>3</v>
      </c>
      <c r="E1231">
        <v>6.7</v>
      </c>
      <c r="F1231">
        <v>94</v>
      </c>
    </row>
    <row r="1232" spans="1:6" x14ac:dyDescent="0.35">
      <c r="A1232">
        <v>1975</v>
      </c>
      <c r="B1232" s="1">
        <v>45576</v>
      </c>
      <c r="C1232" s="2">
        <v>0.25</v>
      </c>
      <c r="D1232">
        <v>3</v>
      </c>
      <c r="E1232">
        <v>6.7</v>
      </c>
      <c r="F1232">
        <v>96</v>
      </c>
    </row>
    <row r="1233" spans="1:6" x14ac:dyDescent="0.35">
      <c r="A1233">
        <v>1975</v>
      </c>
      <c r="B1233" s="1">
        <v>45576</v>
      </c>
      <c r="C1233" s="2">
        <v>0.29166666666666669</v>
      </c>
      <c r="D1233">
        <v>3</v>
      </c>
      <c r="E1233">
        <v>7</v>
      </c>
      <c r="F1233">
        <v>91</v>
      </c>
    </row>
    <row r="1234" spans="1:6" x14ac:dyDescent="0.35">
      <c r="A1234">
        <v>1975</v>
      </c>
      <c r="B1234" s="1">
        <v>45576</v>
      </c>
      <c r="C1234" s="2">
        <v>0.33333333333333331</v>
      </c>
      <c r="D1234">
        <v>3</v>
      </c>
      <c r="E1234">
        <v>8.5</v>
      </c>
      <c r="F1234">
        <v>83</v>
      </c>
    </row>
    <row r="1235" spans="1:6" x14ac:dyDescent="0.35">
      <c r="A1235">
        <v>1975</v>
      </c>
      <c r="B1235" s="1">
        <v>45576</v>
      </c>
      <c r="C1235" s="2">
        <v>0.375</v>
      </c>
      <c r="D1235">
        <v>3</v>
      </c>
      <c r="E1235">
        <v>8.9</v>
      </c>
      <c r="F1235">
        <v>80</v>
      </c>
    </row>
    <row r="1236" spans="1:6" x14ac:dyDescent="0.35">
      <c r="A1236">
        <v>1975</v>
      </c>
      <c r="B1236" s="1">
        <v>45576</v>
      </c>
      <c r="C1236" s="2">
        <v>0.41666666666666669</v>
      </c>
      <c r="D1236">
        <v>3</v>
      </c>
      <c r="E1236">
        <v>10.6</v>
      </c>
      <c r="F1236">
        <v>74</v>
      </c>
    </row>
    <row r="1237" spans="1:6" x14ac:dyDescent="0.35">
      <c r="A1237">
        <v>1975</v>
      </c>
      <c r="B1237" s="1">
        <v>45576</v>
      </c>
      <c r="C1237" s="2">
        <v>0.45833333333333331</v>
      </c>
      <c r="D1237">
        <v>3</v>
      </c>
      <c r="E1237">
        <v>10.9</v>
      </c>
      <c r="F1237">
        <v>72</v>
      </c>
    </row>
    <row r="1238" spans="1:6" x14ac:dyDescent="0.35">
      <c r="A1238">
        <v>1975</v>
      </c>
      <c r="B1238" s="1">
        <v>45576</v>
      </c>
      <c r="C1238" s="2">
        <v>0.5</v>
      </c>
      <c r="D1238">
        <v>3</v>
      </c>
      <c r="E1238">
        <v>11</v>
      </c>
      <c r="F1238">
        <v>71</v>
      </c>
    </row>
    <row r="1239" spans="1:6" x14ac:dyDescent="0.35">
      <c r="A1239">
        <v>1975</v>
      </c>
      <c r="B1239" s="1">
        <v>45576</v>
      </c>
      <c r="C1239" s="2">
        <v>0.54166666666666663</v>
      </c>
      <c r="D1239">
        <v>3</v>
      </c>
      <c r="E1239">
        <v>11.7</v>
      </c>
      <c r="F1239">
        <v>69</v>
      </c>
    </row>
    <row r="1240" spans="1:6" x14ac:dyDescent="0.35">
      <c r="A1240">
        <v>1975</v>
      </c>
      <c r="B1240" s="1">
        <v>45576</v>
      </c>
      <c r="C1240" s="2">
        <v>0.58333333333333337</v>
      </c>
      <c r="D1240">
        <v>3</v>
      </c>
      <c r="E1240">
        <v>9.1999999999999993</v>
      </c>
      <c r="F1240">
        <v>81</v>
      </c>
    </row>
    <row r="1241" spans="1:6" x14ac:dyDescent="0.35">
      <c r="A1241">
        <v>1975</v>
      </c>
      <c r="B1241" s="1">
        <v>45576</v>
      </c>
      <c r="C1241" s="2">
        <v>0.625</v>
      </c>
      <c r="D1241">
        <v>3</v>
      </c>
      <c r="E1241">
        <v>10.199999999999999</v>
      </c>
      <c r="F1241">
        <v>83</v>
      </c>
    </row>
    <row r="1242" spans="1:6" x14ac:dyDescent="0.35">
      <c r="A1242">
        <v>1975</v>
      </c>
      <c r="B1242" s="1">
        <v>45576</v>
      </c>
      <c r="C1242" s="2">
        <v>0.66666666666666663</v>
      </c>
      <c r="D1242">
        <v>3</v>
      </c>
      <c r="E1242">
        <v>10.7</v>
      </c>
      <c r="F1242">
        <v>74</v>
      </c>
    </row>
    <row r="1243" spans="1:6" x14ac:dyDescent="0.35">
      <c r="A1243">
        <v>1975</v>
      </c>
      <c r="B1243" s="1">
        <v>45576</v>
      </c>
      <c r="C1243" s="2">
        <v>0.70833333333333337</v>
      </c>
      <c r="D1243">
        <v>3</v>
      </c>
      <c r="E1243">
        <v>9.1</v>
      </c>
      <c r="F1243">
        <v>85</v>
      </c>
    </row>
    <row r="1244" spans="1:6" x14ac:dyDescent="0.35">
      <c r="A1244">
        <v>1975</v>
      </c>
      <c r="B1244" s="1">
        <v>45576</v>
      </c>
      <c r="C1244" s="2">
        <v>0.75</v>
      </c>
      <c r="D1244">
        <v>3</v>
      </c>
      <c r="E1244">
        <v>8.1</v>
      </c>
      <c r="F1244">
        <v>86</v>
      </c>
    </row>
    <row r="1245" spans="1:6" x14ac:dyDescent="0.35">
      <c r="A1245">
        <v>1975</v>
      </c>
      <c r="B1245" s="1">
        <v>45576</v>
      </c>
      <c r="C1245" s="2">
        <v>0.79166666666666663</v>
      </c>
      <c r="D1245">
        <v>3</v>
      </c>
      <c r="E1245">
        <v>7.4</v>
      </c>
      <c r="F1245">
        <v>85</v>
      </c>
    </row>
    <row r="1246" spans="1:6" x14ac:dyDescent="0.35">
      <c r="A1246">
        <v>1975</v>
      </c>
      <c r="B1246" s="1">
        <v>45576</v>
      </c>
      <c r="C1246" s="2">
        <v>0.83333333333333337</v>
      </c>
      <c r="D1246">
        <v>3</v>
      </c>
      <c r="E1246">
        <v>6.9</v>
      </c>
      <c r="F1246">
        <v>84</v>
      </c>
    </row>
    <row r="1247" spans="1:6" x14ac:dyDescent="0.35">
      <c r="A1247">
        <v>1975</v>
      </c>
      <c r="B1247" s="1">
        <v>45576</v>
      </c>
      <c r="C1247" s="2">
        <v>0.875</v>
      </c>
      <c r="D1247">
        <v>3</v>
      </c>
      <c r="E1247">
        <v>6.3</v>
      </c>
      <c r="F1247">
        <v>86</v>
      </c>
    </row>
    <row r="1248" spans="1:6" x14ac:dyDescent="0.35">
      <c r="A1248">
        <v>1975</v>
      </c>
      <c r="B1248" s="1">
        <v>45576</v>
      </c>
      <c r="C1248" s="2">
        <v>0.91666666666666663</v>
      </c>
      <c r="D1248">
        <v>3</v>
      </c>
      <c r="E1248">
        <v>6</v>
      </c>
      <c r="F1248">
        <v>88</v>
      </c>
    </row>
    <row r="1249" spans="1:6" x14ac:dyDescent="0.35">
      <c r="A1249">
        <v>1975</v>
      </c>
      <c r="B1249" s="1">
        <v>45576</v>
      </c>
      <c r="C1249" s="2">
        <v>0.95833333333333337</v>
      </c>
      <c r="D1249">
        <v>3</v>
      </c>
      <c r="E1249">
        <v>4.5999999999999996</v>
      </c>
      <c r="F1249">
        <v>92</v>
      </c>
    </row>
    <row r="1250" spans="1:6" x14ac:dyDescent="0.35">
      <c r="A1250">
        <v>1975</v>
      </c>
      <c r="B1250" s="1">
        <v>45577</v>
      </c>
      <c r="C1250" s="2">
        <v>0</v>
      </c>
      <c r="D1250">
        <v>3</v>
      </c>
      <c r="E1250">
        <v>4.5999999999999996</v>
      </c>
      <c r="F1250">
        <v>95</v>
      </c>
    </row>
    <row r="1251" spans="1:6" x14ac:dyDescent="0.35">
      <c r="A1251">
        <v>1975</v>
      </c>
      <c r="B1251" s="1">
        <v>45577</v>
      </c>
      <c r="C1251" s="2">
        <v>4.1666666666666657E-2</v>
      </c>
      <c r="D1251">
        <v>3</v>
      </c>
      <c r="E1251">
        <v>4.2</v>
      </c>
      <c r="F1251">
        <v>99</v>
      </c>
    </row>
    <row r="1252" spans="1:6" x14ac:dyDescent="0.35">
      <c r="A1252">
        <v>1975</v>
      </c>
      <c r="B1252" s="1">
        <v>45577</v>
      </c>
      <c r="C1252" s="2">
        <v>8.3333333333333329E-2</v>
      </c>
      <c r="D1252">
        <v>3</v>
      </c>
      <c r="E1252">
        <v>3.5</v>
      </c>
      <c r="F1252">
        <v>99</v>
      </c>
    </row>
    <row r="1253" spans="1:6" x14ac:dyDescent="0.35">
      <c r="A1253">
        <v>1975</v>
      </c>
      <c r="B1253" s="1">
        <v>45577</v>
      </c>
      <c r="C1253" s="2">
        <v>0.125</v>
      </c>
      <c r="D1253">
        <v>3</v>
      </c>
      <c r="E1253">
        <v>4.2</v>
      </c>
      <c r="F1253">
        <v>97</v>
      </c>
    </row>
    <row r="1254" spans="1:6" x14ac:dyDescent="0.35">
      <c r="A1254">
        <v>1975</v>
      </c>
      <c r="B1254" s="1">
        <v>45577</v>
      </c>
      <c r="C1254" s="2">
        <v>0.16666666666666671</v>
      </c>
      <c r="D1254">
        <v>3</v>
      </c>
      <c r="E1254">
        <v>4</v>
      </c>
      <c r="F1254">
        <v>96</v>
      </c>
    </row>
    <row r="1255" spans="1:6" x14ac:dyDescent="0.35">
      <c r="A1255">
        <v>1975</v>
      </c>
      <c r="B1255" s="1">
        <v>45577</v>
      </c>
      <c r="C1255" s="2">
        <v>0.20833333333333329</v>
      </c>
      <c r="D1255">
        <v>3</v>
      </c>
      <c r="E1255">
        <v>3.8</v>
      </c>
      <c r="F1255">
        <v>96</v>
      </c>
    </row>
    <row r="1256" spans="1:6" x14ac:dyDescent="0.35">
      <c r="A1256">
        <v>1975</v>
      </c>
      <c r="B1256" s="1">
        <v>45577</v>
      </c>
      <c r="C1256" s="2">
        <v>0.25</v>
      </c>
      <c r="D1256">
        <v>3</v>
      </c>
      <c r="E1256">
        <v>3</v>
      </c>
      <c r="F1256">
        <v>96</v>
      </c>
    </row>
    <row r="1257" spans="1:6" x14ac:dyDescent="0.35">
      <c r="A1257">
        <v>1975</v>
      </c>
      <c r="B1257" s="1">
        <v>45577</v>
      </c>
      <c r="C1257" s="2">
        <v>0.29166666666666669</v>
      </c>
      <c r="D1257">
        <v>3</v>
      </c>
      <c r="E1257">
        <v>4.7</v>
      </c>
      <c r="F1257">
        <v>92</v>
      </c>
    </row>
    <row r="1258" spans="1:6" x14ac:dyDescent="0.35">
      <c r="A1258">
        <v>1975</v>
      </c>
      <c r="B1258" s="1">
        <v>45577</v>
      </c>
      <c r="C1258" s="2">
        <v>0.33333333333333331</v>
      </c>
      <c r="D1258">
        <v>3</v>
      </c>
      <c r="E1258">
        <v>6.4</v>
      </c>
      <c r="F1258">
        <v>84</v>
      </c>
    </row>
    <row r="1259" spans="1:6" x14ac:dyDescent="0.35">
      <c r="A1259">
        <v>1975</v>
      </c>
      <c r="B1259" s="1">
        <v>45577</v>
      </c>
      <c r="C1259" s="2">
        <v>0.375</v>
      </c>
      <c r="D1259">
        <v>3</v>
      </c>
      <c r="E1259">
        <v>8.9</v>
      </c>
      <c r="F1259">
        <v>74</v>
      </c>
    </row>
    <row r="1260" spans="1:6" x14ac:dyDescent="0.35">
      <c r="A1260">
        <v>1975</v>
      </c>
      <c r="B1260" s="1">
        <v>45577</v>
      </c>
      <c r="C1260" s="2">
        <v>0.41666666666666669</v>
      </c>
      <c r="D1260">
        <v>3</v>
      </c>
      <c r="E1260">
        <v>10.6</v>
      </c>
      <c r="F1260">
        <v>66</v>
      </c>
    </row>
    <row r="1261" spans="1:6" x14ac:dyDescent="0.35">
      <c r="A1261">
        <v>1975</v>
      </c>
      <c r="B1261" s="1">
        <v>45577</v>
      </c>
      <c r="C1261" s="2">
        <v>0.45833333333333331</v>
      </c>
      <c r="D1261">
        <v>3</v>
      </c>
      <c r="E1261">
        <v>11.5</v>
      </c>
      <c r="F1261">
        <v>62</v>
      </c>
    </row>
    <row r="1262" spans="1:6" x14ac:dyDescent="0.35">
      <c r="A1262">
        <v>1975</v>
      </c>
      <c r="B1262" s="1">
        <v>45577</v>
      </c>
      <c r="C1262" s="2">
        <v>0.5</v>
      </c>
      <c r="D1262">
        <v>3</v>
      </c>
      <c r="E1262">
        <v>12.1</v>
      </c>
      <c r="F1262">
        <v>60</v>
      </c>
    </row>
    <row r="1263" spans="1:6" x14ac:dyDescent="0.35">
      <c r="A1263">
        <v>1975</v>
      </c>
      <c r="B1263" s="1">
        <v>45577</v>
      </c>
      <c r="C1263" s="2">
        <v>0.54166666666666663</v>
      </c>
      <c r="D1263">
        <v>3</v>
      </c>
      <c r="E1263">
        <v>12.6</v>
      </c>
      <c r="F1263">
        <v>61</v>
      </c>
    </row>
    <row r="1264" spans="1:6" x14ac:dyDescent="0.35">
      <c r="A1264">
        <v>1975</v>
      </c>
      <c r="B1264" s="1">
        <v>45577</v>
      </c>
      <c r="C1264" s="2">
        <v>0.58333333333333337</v>
      </c>
      <c r="D1264">
        <v>3</v>
      </c>
      <c r="E1264">
        <v>12.1</v>
      </c>
      <c r="F1264">
        <v>63</v>
      </c>
    </row>
    <row r="1265" spans="1:6" x14ac:dyDescent="0.35">
      <c r="A1265">
        <v>1975</v>
      </c>
      <c r="B1265" s="1">
        <v>45577</v>
      </c>
      <c r="C1265" s="2">
        <v>0.625</v>
      </c>
      <c r="D1265">
        <v>3</v>
      </c>
      <c r="E1265">
        <v>11.6</v>
      </c>
      <c r="F1265">
        <v>65</v>
      </c>
    </row>
    <row r="1266" spans="1:6" x14ac:dyDescent="0.35">
      <c r="A1266">
        <v>1975</v>
      </c>
      <c r="B1266" s="1">
        <v>45577</v>
      </c>
      <c r="C1266" s="2">
        <v>0.66666666666666663</v>
      </c>
      <c r="D1266">
        <v>3</v>
      </c>
      <c r="E1266">
        <v>11.2</v>
      </c>
      <c r="F1266">
        <v>68</v>
      </c>
    </row>
    <row r="1267" spans="1:6" x14ac:dyDescent="0.35">
      <c r="A1267">
        <v>1975</v>
      </c>
      <c r="B1267" s="1">
        <v>45577</v>
      </c>
      <c r="C1267" s="2">
        <v>0.70833333333333337</v>
      </c>
      <c r="D1267">
        <v>3</v>
      </c>
      <c r="E1267">
        <v>10.7</v>
      </c>
      <c r="F1267">
        <v>71</v>
      </c>
    </row>
    <row r="1268" spans="1:6" x14ac:dyDescent="0.35">
      <c r="A1268">
        <v>1975</v>
      </c>
      <c r="B1268" s="1">
        <v>45577</v>
      </c>
      <c r="C1268" s="2">
        <v>0.75</v>
      </c>
      <c r="D1268">
        <v>3</v>
      </c>
      <c r="E1268">
        <v>10.7</v>
      </c>
      <c r="F1268">
        <v>73</v>
      </c>
    </row>
    <row r="1269" spans="1:6" x14ac:dyDescent="0.35">
      <c r="A1269">
        <v>1975</v>
      </c>
      <c r="B1269" s="1">
        <v>45577</v>
      </c>
      <c r="C1269" s="2">
        <v>0.79166666666666663</v>
      </c>
      <c r="D1269">
        <v>3</v>
      </c>
      <c r="E1269">
        <v>10.4</v>
      </c>
      <c r="F1269">
        <v>75</v>
      </c>
    </row>
    <row r="1270" spans="1:6" x14ac:dyDescent="0.35">
      <c r="A1270">
        <v>1975</v>
      </c>
      <c r="B1270" s="1">
        <v>45577</v>
      </c>
      <c r="C1270" s="2">
        <v>0.83333333333333337</v>
      </c>
      <c r="D1270">
        <v>3</v>
      </c>
      <c r="E1270">
        <v>10</v>
      </c>
      <c r="F1270">
        <v>78</v>
      </c>
    </row>
    <row r="1271" spans="1:6" x14ac:dyDescent="0.35">
      <c r="A1271">
        <v>1975</v>
      </c>
      <c r="B1271" s="1">
        <v>45577</v>
      </c>
      <c r="C1271" s="2">
        <v>0.875</v>
      </c>
      <c r="D1271">
        <v>3</v>
      </c>
      <c r="E1271">
        <v>9.6</v>
      </c>
      <c r="F1271">
        <v>78</v>
      </c>
    </row>
    <row r="1272" spans="1:6" x14ac:dyDescent="0.35">
      <c r="A1272">
        <v>1975</v>
      </c>
      <c r="B1272" s="1">
        <v>45577</v>
      </c>
      <c r="C1272" s="2">
        <v>0.91666666666666663</v>
      </c>
      <c r="D1272">
        <v>3</v>
      </c>
      <c r="E1272">
        <v>9</v>
      </c>
      <c r="F1272">
        <v>79</v>
      </c>
    </row>
    <row r="1273" spans="1:6" x14ac:dyDescent="0.35">
      <c r="A1273">
        <v>1975</v>
      </c>
      <c r="B1273" s="1">
        <v>45577</v>
      </c>
      <c r="C1273" s="2">
        <v>0.95833333333333337</v>
      </c>
      <c r="D1273">
        <v>3</v>
      </c>
      <c r="E1273">
        <v>7.7</v>
      </c>
      <c r="F1273">
        <v>85</v>
      </c>
    </row>
    <row r="1274" spans="1:6" x14ac:dyDescent="0.35">
      <c r="A1274">
        <v>1975</v>
      </c>
      <c r="B1274" s="1">
        <v>45578</v>
      </c>
      <c r="C1274" s="2">
        <v>0</v>
      </c>
      <c r="D1274">
        <v>3</v>
      </c>
      <c r="E1274">
        <v>8.6</v>
      </c>
      <c r="F1274">
        <v>83</v>
      </c>
    </row>
    <row r="1275" spans="1:6" x14ac:dyDescent="0.35">
      <c r="A1275">
        <v>1975</v>
      </c>
      <c r="B1275" s="1">
        <v>45578</v>
      </c>
      <c r="C1275" s="2">
        <v>4.1666666666666657E-2</v>
      </c>
      <c r="D1275">
        <v>3</v>
      </c>
      <c r="E1275">
        <v>8.6</v>
      </c>
      <c r="F1275">
        <v>85</v>
      </c>
    </row>
    <row r="1276" spans="1:6" x14ac:dyDescent="0.35">
      <c r="A1276">
        <v>1975</v>
      </c>
      <c r="B1276" s="1">
        <v>45578</v>
      </c>
      <c r="C1276" s="2">
        <v>8.3333333333333329E-2</v>
      </c>
      <c r="D1276">
        <v>3</v>
      </c>
      <c r="E1276">
        <v>8.6</v>
      </c>
      <c r="F1276">
        <v>96</v>
      </c>
    </row>
    <row r="1277" spans="1:6" x14ac:dyDescent="0.35">
      <c r="A1277">
        <v>1975</v>
      </c>
      <c r="B1277" s="1">
        <v>45578</v>
      </c>
      <c r="C1277" s="2">
        <v>0.125</v>
      </c>
      <c r="D1277">
        <v>3</v>
      </c>
      <c r="E1277">
        <v>7.5</v>
      </c>
      <c r="F1277">
        <v>92</v>
      </c>
    </row>
    <row r="1278" spans="1:6" x14ac:dyDescent="0.35">
      <c r="A1278">
        <v>1975</v>
      </c>
      <c r="B1278" s="1">
        <v>45578</v>
      </c>
      <c r="C1278" s="2">
        <v>0.16666666666666671</v>
      </c>
      <c r="D1278">
        <v>3</v>
      </c>
      <c r="E1278">
        <v>7.4</v>
      </c>
      <c r="F1278">
        <v>96</v>
      </c>
    </row>
    <row r="1279" spans="1:6" x14ac:dyDescent="0.35">
      <c r="A1279">
        <v>1975</v>
      </c>
      <c r="B1279" s="1">
        <v>45578</v>
      </c>
      <c r="C1279" s="2">
        <v>0.20833333333333329</v>
      </c>
      <c r="D1279">
        <v>3</v>
      </c>
      <c r="E1279">
        <v>7.3</v>
      </c>
      <c r="F1279">
        <v>88</v>
      </c>
    </row>
    <row r="1280" spans="1:6" x14ac:dyDescent="0.35">
      <c r="A1280">
        <v>1975</v>
      </c>
      <c r="B1280" s="1">
        <v>45578</v>
      </c>
      <c r="C1280" s="2">
        <v>0.25</v>
      </c>
      <c r="D1280">
        <v>3</v>
      </c>
      <c r="E1280">
        <v>7.3</v>
      </c>
      <c r="F1280">
        <v>94</v>
      </c>
    </row>
    <row r="1281" spans="1:6" x14ac:dyDescent="0.35">
      <c r="A1281">
        <v>1975</v>
      </c>
      <c r="B1281" s="1">
        <v>45578</v>
      </c>
      <c r="C1281" s="2">
        <v>0.29166666666666669</v>
      </c>
      <c r="D1281">
        <v>3</v>
      </c>
      <c r="E1281">
        <v>7.6</v>
      </c>
      <c r="F1281">
        <v>89</v>
      </c>
    </row>
    <row r="1282" spans="1:6" x14ac:dyDescent="0.35">
      <c r="A1282">
        <v>1975</v>
      </c>
      <c r="B1282" s="1">
        <v>45578</v>
      </c>
      <c r="C1282" s="2">
        <v>0.33333333333333331</v>
      </c>
      <c r="D1282">
        <v>3</v>
      </c>
      <c r="E1282">
        <v>7.9</v>
      </c>
      <c r="F1282">
        <v>91</v>
      </c>
    </row>
    <row r="1283" spans="1:6" x14ac:dyDescent="0.35">
      <c r="A1283">
        <v>1975</v>
      </c>
      <c r="B1283" s="1">
        <v>45578</v>
      </c>
      <c r="C1283" s="2">
        <v>0.375</v>
      </c>
      <c r="D1283">
        <v>3</v>
      </c>
      <c r="E1283">
        <v>9</v>
      </c>
      <c r="F1283">
        <v>88</v>
      </c>
    </row>
    <row r="1284" spans="1:6" x14ac:dyDescent="0.35">
      <c r="A1284">
        <v>1975</v>
      </c>
      <c r="B1284" s="1">
        <v>45578</v>
      </c>
      <c r="C1284" s="2">
        <v>0.41666666666666669</v>
      </c>
      <c r="D1284">
        <v>3</v>
      </c>
      <c r="E1284">
        <v>10.3</v>
      </c>
      <c r="F1284">
        <v>86</v>
      </c>
    </row>
    <row r="1285" spans="1:6" x14ac:dyDescent="0.35">
      <c r="A1285">
        <v>1975</v>
      </c>
      <c r="B1285" s="1">
        <v>45578</v>
      </c>
      <c r="C1285" s="2">
        <v>0.45833333333333331</v>
      </c>
      <c r="D1285">
        <v>3</v>
      </c>
      <c r="E1285">
        <v>10.9</v>
      </c>
      <c r="F1285">
        <v>80</v>
      </c>
    </row>
    <row r="1286" spans="1:6" x14ac:dyDescent="0.35">
      <c r="A1286">
        <v>1975</v>
      </c>
      <c r="B1286" s="1">
        <v>45578</v>
      </c>
      <c r="C1286" s="2">
        <v>0.5</v>
      </c>
      <c r="D1286">
        <v>3</v>
      </c>
      <c r="E1286">
        <v>11.3</v>
      </c>
      <c r="F1286">
        <v>86</v>
      </c>
    </row>
    <row r="1287" spans="1:6" x14ac:dyDescent="0.35">
      <c r="A1287">
        <v>1975</v>
      </c>
      <c r="B1287" s="1">
        <v>45578</v>
      </c>
      <c r="C1287" s="2">
        <v>0.54166666666666663</v>
      </c>
      <c r="D1287">
        <v>3</v>
      </c>
      <c r="E1287">
        <v>11.9</v>
      </c>
      <c r="F1287">
        <v>81</v>
      </c>
    </row>
    <row r="1288" spans="1:6" x14ac:dyDescent="0.35">
      <c r="A1288">
        <v>1975</v>
      </c>
      <c r="B1288" s="1">
        <v>45578</v>
      </c>
      <c r="C1288" s="2">
        <v>0.58333333333333337</v>
      </c>
      <c r="D1288">
        <v>3</v>
      </c>
      <c r="E1288">
        <v>12.1</v>
      </c>
      <c r="F1288">
        <v>77</v>
      </c>
    </row>
    <row r="1289" spans="1:6" x14ac:dyDescent="0.35">
      <c r="A1289">
        <v>1975</v>
      </c>
      <c r="B1289" s="1">
        <v>45578</v>
      </c>
      <c r="C1289" s="2">
        <v>0.625</v>
      </c>
      <c r="D1289">
        <v>3</v>
      </c>
      <c r="E1289">
        <v>10.5</v>
      </c>
      <c r="F1289">
        <v>87</v>
      </c>
    </row>
    <row r="1290" spans="1:6" x14ac:dyDescent="0.35">
      <c r="A1290">
        <v>1975</v>
      </c>
      <c r="B1290" s="1">
        <v>45578</v>
      </c>
      <c r="C1290" s="2">
        <v>0.66666666666666663</v>
      </c>
      <c r="D1290">
        <v>3</v>
      </c>
      <c r="E1290">
        <v>10.7</v>
      </c>
      <c r="F1290">
        <v>83</v>
      </c>
    </row>
    <row r="1291" spans="1:6" x14ac:dyDescent="0.35">
      <c r="A1291">
        <v>1975</v>
      </c>
      <c r="B1291" s="1">
        <v>45578</v>
      </c>
      <c r="C1291" s="2">
        <v>0.70833333333333337</v>
      </c>
      <c r="D1291">
        <v>3</v>
      </c>
      <c r="E1291">
        <v>9.6999999999999993</v>
      </c>
      <c r="F1291">
        <v>86</v>
      </c>
    </row>
    <row r="1292" spans="1:6" x14ac:dyDescent="0.35">
      <c r="A1292">
        <v>1975</v>
      </c>
      <c r="B1292" s="1">
        <v>45578</v>
      </c>
      <c r="C1292" s="2">
        <v>0.75</v>
      </c>
      <c r="D1292">
        <v>3</v>
      </c>
      <c r="E1292">
        <v>9.6</v>
      </c>
      <c r="F1292">
        <v>85</v>
      </c>
    </row>
    <row r="1293" spans="1:6" x14ac:dyDescent="0.35">
      <c r="A1293">
        <v>1975</v>
      </c>
      <c r="B1293" s="1">
        <v>45578</v>
      </c>
      <c r="C1293" s="2">
        <v>0.79166666666666663</v>
      </c>
      <c r="D1293">
        <v>3</v>
      </c>
      <c r="E1293">
        <v>9.6999999999999993</v>
      </c>
      <c r="F1293">
        <v>76</v>
      </c>
    </row>
    <row r="1294" spans="1:6" x14ac:dyDescent="0.35">
      <c r="A1294">
        <v>1975</v>
      </c>
      <c r="B1294" s="1">
        <v>45578</v>
      </c>
      <c r="C1294" s="2">
        <v>0.83333333333333337</v>
      </c>
      <c r="D1294">
        <v>3</v>
      </c>
      <c r="E1294">
        <v>9.1999999999999993</v>
      </c>
      <c r="F1294">
        <v>74</v>
      </c>
    </row>
    <row r="1295" spans="1:6" x14ac:dyDescent="0.35">
      <c r="A1295">
        <v>1975</v>
      </c>
      <c r="B1295" s="1">
        <v>45578</v>
      </c>
      <c r="C1295" s="2">
        <v>0.875</v>
      </c>
      <c r="D1295">
        <v>3</v>
      </c>
      <c r="E1295">
        <v>9</v>
      </c>
      <c r="F1295">
        <v>77</v>
      </c>
    </row>
    <row r="1296" spans="1:6" x14ac:dyDescent="0.35">
      <c r="A1296">
        <v>1975</v>
      </c>
      <c r="B1296" s="1">
        <v>45578</v>
      </c>
      <c r="C1296" s="2">
        <v>0.91666666666666663</v>
      </c>
      <c r="D1296">
        <v>3</v>
      </c>
      <c r="E1296">
        <v>8.1</v>
      </c>
      <c r="F1296">
        <v>80</v>
      </c>
    </row>
    <row r="1297" spans="1:6" x14ac:dyDescent="0.35">
      <c r="A1297">
        <v>1975</v>
      </c>
      <c r="B1297" s="1">
        <v>45578</v>
      </c>
      <c r="C1297" s="2">
        <v>0.95833333333333337</v>
      </c>
      <c r="D1297">
        <v>3</v>
      </c>
      <c r="E1297">
        <v>8.1999999999999993</v>
      </c>
      <c r="F1297">
        <v>81</v>
      </c>
    </row>
    <row r="1298" spans="1:6" x14ac:dyDescent="0.35">
      <c r="A1298">
        <v>1975</v>
      </c>
      <c r="B1298" s="1">
        <v>45579</v>
      </c>
      <c r="C1298" s="2">
        <v>0</v>
      </c>
      <c r="D1298">
        <v>3</v>
      </c>
      <c r="E1298">
        <v>8.1</v>
      </c>
      <c r="F1298">
        <v>80</v>
      </c>
    </row>
    <row r="1299" spans="1:6" x14ac:dyDescent="0.35">
      <c r="A1299">
        <v>1975</v>
      </c>
      <c r="B1299" s="1">
        <v>45579</v>
      </c>
      <c r="C1299" s="2">
        <v>4.1666666666666657E-2</v>
      </c>
      <c r="D1299">
        <v>3</v>
      </c>
      <c r="E1299">
        <v>7.7</v>
      </c>
      <c r="F1299">
        <v>83</v>
      </c>
    </row>
    <row r="1300" spans="1:6" x14ac:dyDescent="0.35">
      <c r="A1300">
        <v>1975</v>
      </c>
      <c r="B1300" s="1">
        <v>45579</v>
      </c>
      <c r="C1300" s="2">
        <v>8.3333333333333329E-2</v>
      </c>
      <c r="D1300">
        <v>3</v>
      </c>
      <c r="E1300">
        <v>7.5</v>
      </c>
      <c r="F1300">
        <v>85</v>
      </c>
    </row>
    <row r="1301" spans="1:6" x14ac:dyDescent="0.35">
      <c r="A1301">
        <v>1975</v>
      </c>
      <c r="B1301" s="1">
        <v>45579</v>
      </c>
      <c r="C1301" s="2">
        <v>0.125</v>
      </c>
      <c r="D1301">
        <v>3</v>
      </c>
      <c r="E1301">
        <v>6.7</v>
      </c>
      <c r="F1301">
        <v>88</v>
      </c>
    </row>
    <row r="1302" spans="1:6" x14ac:dyDescent="0.35">
      <c r="A1302">
        <v>1975</v>
      </c>
      <c r="B1302" s="1">
        <v>45579</v>
      </c>
      <c r="C1302" s="2">
        <v>0.16666666666666671</v>
      </c>
      <c r="D1302">
        <v>3</v>
      </c>
      <c r="E1302">
        <v>7</v>
      </c>
      <c r="F1302">
        <v>87</v>
      </c>
    </row>
    <row r="1303" spans="1:6" x14ac:dyDescent="0.35">
      <c r="A1303">
        <v>1975</v>
      </c>
      <c r="B1303" s="1">
        <v>45579</v>
      </c>
      <c r="C1303" s="2">
        <v>0.20833333333333329</v>
      </c>
      <c r="D1303">
        <v>3</v>
      </c>
      <c r="E1303">
        <v>6.6</v>
      </c>
      <c r="F1303">
        <v>88</v>
      </c>
    </row>
    <row r="1304" spans="1:6" x14ac:dyDescent="0.35">
      <c r="A1304">
        <v>1975</v>
      </c>
      <c r="B1304" s="1">
        <v>45579</v>
      </c>
      <c r="C1304" s="2">
        <v>0.25</v>
      </c>
      <c r="D1304">
        <v>3</v>
      </c>
      <c r="E1304">
        <v>6.7</v>
      </c>
      <c r="F1304">
        <v>89</v>
      </c>
    </row>
    <row r="1305" spans="1:6" x14ac:dyDescent="0.35">
      <c r="A1305">
        <v>1975</v>
      </c>
      <c r="B1305" s="1">
        <v>45579</v>
      </c>
      <c r="C1305" s="2">
        <v>0.29166666666666669</v>
      </c>
      <c r="D1305">
        <v>3</v>
      </c>
      <c r="E1305">
        <v>7.5</v>
      </c>
      <c r="F1305">
        <v>86</v>
      </c>
    </row>
    <row r="1306" spans="1:6" x14ac:dyDescent="0.35">
      <c r="A1306">
        <v>1975</v>
      </c>
      <c r="B1306" s="1">
        <v>45579</v>
      </c>
      <c r="C1306" s="2">
        <v>0.33333333333333331</v>
      </c>
      <c r="D1306">
        <v>3</v>
      </c>
      <c r="E1306">
        <v>8.5</v>
      </c>
      <c r="F1306">
        <v>84</v>
      </c>
    </row>
    <row r="1307" spans="1:6" x14ac:dyDescent="0.35">
      <c r="A1307">
        <v>1975</v>
      </c>
      <c r="B1307" s="1">
        <v>45579</v>
      </c>
      <c r="C1307" s="2">
        <v>0.375</v>
      </c>
      <c r="D1307">
        <v>3</v>
      </c>
      <c r="E1307">
        <v>9.1999999999999993</v>
      </c>
      <c r="F1307">
        <v>80</v>
      </c>
    </row>
    <row r="1308" spans="1:6" x14ac:dyDescent="0.35">
      <c r="A1308">
        <v>1975</v>
      </c>
      <c r="B1308" s="1">
        <v>45579</v>
      </c>
      <c r="C1308" s="2">
        <v>0.41666666666666669</v>
      </c>
      <c r="D1308">
        <v>3</v>
      </c>
      <c r="E1308">
        <v>9.6999999999999993</v>
      </c>
      <c r="F1308">
        <v>77</v>
      </c>
    </row>
    <row r="1309" spans="1:6" x14ac:dyDescent="0.35">
      <c r="A1309">
        <v>1975</v>
      </c>
      <c r="B1309" s="1">
        <v>45579</v>
      </c>
      <c r="C1309" s="2">
        <v>0.45833333333333331</v>
      </c>
      <c r="D1309">
        <v>3</v>
      </c>
      <c r="E1309">
        <v>10.3</v>
      </c>
      <c r="F1309">
        <v>77</v>
      </c>
    </row>
    <row r="1310" spans="1:6" x14ac:dyDescent="0.35">
      <c r="A1310">
        <v>1975</v>
      </c>
      <c r="B1310" s="1">
        <v>45579</v>
      </c>
      <c r="C1310" s="2">
        <v>0.5</v>
      </c>
      <c r="D1310">
        <v>3</v>
      </c>
      <c r="E1310">
        <v>11</v>
      </c>
      <c r="F1310">
        <v>76</v>
      </c>
    </row>
    <row r="1311" spans="1:6" x14ac:dyDescent="0.35">
      <c r="A1311">
        <v>1975</v>
      </c>
      <c r="B1311" s="1">
        <v>45579</v>
      </c>
      <c r="C1311" s="2">
        <v>0.54166666666666663</v>
      </c>
      <c r="D1311">
        <v>3</v>
      </c>
      <c r="E1311">
        <v>10.9</v>
      </c>
      <c r="F1311">
        <v>76</v>
      </c>
    </row>
    <row r="1312" spans="1:6" x14ac:dyDescent="0.35">
      <c r="A1312">
        <v>1975</v>
      </c>
      <c r="B1312" s="1">
        <v>45579</v>
      </c>
      <c r="C1312" s="2">
        <v>0.58333333333333337</v>
      </c>
      <c r="D1312">
        <v>3</v>
      </c>
      <c r="E1312">
        <v>11.1</v>
      </c>
      <c r="F1312">
        <v>80</v>
      </c>
    </row>
    <row r="1313" spans="1:6" x14ac:dyDescent="0.35">
      <c r="A1313">
        <v>1975</v>
      </c>
      <c r="B1313" s="1">
        <v>45579</v>
      </c>
      <c r="C1313" s="2">
        <v>0.625</v>
      </c>
      <c r="D1313">
        <v>3</v>
      </c>
      <c r="E1313">
        <v>10.7</v>
      </c>
      <c r="F1313">
        <v>78</v>
      </c>
    </row>
    <row r="1314" spans="1:6" x14ac:dyDescent="0.35">
      <c r="A1314">
        <v>1975</v>
      </c>
      <c r="B1314" s="1">
        <v>45579</v>
      </c>
      <c r="C1314" s="2">
        <v>0.66666666666666663</v>
      </c>
      <c r="D1314">
        <v>3</v>
      </c>
      <c r="E1314">
        <v>10.1</v>
      </c>
      <c r="F1314">
        <v>74</v>
      </c>
    </row>
    <row r="1315" spans="1:6" x14ac:dyDescent="0.35">
      <c r="A1315">
        <v>1975</v>
      </c>
      <c r="B1315" s="1">
        <v>45579</v>
      </c>
      <c r="C1315" s="2">
        <v>0.70833333333333337</v>
      </c>
      <c r="D1315">
        <v>3</v>
      </c>
      <c r="E1315">
        <v>9.1</v>
      </c>
      <c r="F1315">
        <v>86</v>
      </c>
    </row>
    <row r="1316" spans="1:6" x14ac:dyDescent="0.35">
      <c r="A1316">
        <v>1975</v>
      </c>
      <c r="B1316" s="1">
        <v>45579</v>
      </c>
      <c r="C1316" s="2">
        <v>0.75</v>
      </c>
      <c r="D1316">
        <v>3</v>
      </c>
      <c r="E1316">
        <v>9</v>
      </c>
      <c r="F1316">
        <v>91</v>
      </c>
    </row>
    <row r="1317" spans="1:6" x14ac:dyDescent="0.35">
      <c r="A1317">
        <v>1975</v>
      </c>
      <c r="B1317" s="1">
        <v>45579</v>
      </c>
      <c r="C1317" s="2">
        <v>0.79166666666666663</v>
      </c>
      <c r="D1317">
        <v>3</v>
      </c>
      <c r="E1317">
        <v>9</v>
      </c>
      <c r="F1317">
        <v>89</v>
      </c>
    </row>
    <row r="1318" spans="1:6" x14ac:dyDescent="0.35">
      <c r="A1318">
        <v>1975</v>
      </c>
      <c r="B1318" s="1">
        <v>45579</v>
      </c>
      <c r="C1318" s="2">
        <v>0.83333333333333337</v>
      </c>
      <c r="D1318">
        <v>3</v>
      </c>
      <c r="E1318">
        <v>8.6</v>
      </c>
      <c r="F1318">
        <v>92</v>
      </c>
    </row>
    <row r="1319" spans="1:6" x14ac:dyDescent="0.35">
      <c r="A1319">
        <v>1975</v>
      </c>
      <c r="B1319" s="1">
        <v>45579</v>
      </c>
      <c r="C1319" s="2">
        <v>0.875</v>
      </c>
      <c r="D1319">
        <v>3</v>
      </c>
      <c r="E1319">
        <v>8.3000000000000007</v>
      </c>
      <c r="F1319">
        <v>94</v>
      </c>
    </row>
    <row r="1320" spans="1:6" x14ac:dyDescent="0.35">
      <c r="A1320">
        <v>1975</v>
      </c>
      <c r="B1320" s="1">
        <v>45579</v>
      </c>
      <c r="C1320" s="2">
        <v>0.91666666666666663</v>
      </c>
      <c r="D1320">
        <v>3</v>
      </c>
      <c r="E1320">
        <v>8.4</v>
      </c>
      <c r="F1320">
        <v>93</v>
      </c>
    </row>
    <row r="1321" spans="1:6" x14ac:dyDescent="0.35">
      <c r="A1321">
        <v>1975</v>
      </c>
      <c r="B1321" s="1">
        <v>45579</v>
      </c>
      <c r="C1321" s="2">
        <v>0.95833333333333337</v>
      </c>
      <c r="D1321">
        <v>3</v>
      </c>
      <c r="E1321">
        <v>8.4</v>
      </c>
      <c r="F1321">
        <v>92</v>
      </c>
    </row>
    <row r="1322" spans="1:6" x14ac:dyDescent="0.35">
      <c r="A1322">
        <v>1975</v>
      </c>
      <c r="B1322" s="1">
        <v>45580</v>
      </c>
      <c r="C1322" s="2">
        <v>0</v>
      </c>
      <c r="D1322">
        <v>3</v>
      </c>
      <c r="E1322">
        <v>8</v>
      </c>
      <c r="F1322">
        <v>92</v>
      </c>
    </row>
    <row r="1323" spans="1:6" x14ac:dyDescent="0.35">
      <c r="A1323">
        <v>1975</v>
      </c>
      <c r="B1323" s="1">
        <v>45580</v>
      </c>
      <c r="C1323" s="2">
        <v>4.1666666666666657E-2</v>
      </c>
      <c r="D1323">
        <v>3</v>
      </c>
      <c r="E1323">
        <v>7.5</v>
      </c>
      <c r="F1323">
        <v>97</v>
      </c>
    </row>
    <row r="1324" spans="1:6" x14ac:dyDescent="0.35">
      <c r="A1324">
        <v>1975</v>
      </c>
      <c r="B1324" s="1">
        <v>45580</v>
      </c>
      <c r="C1324" s="2">
        <v>8.3333333333333329E-2</v>
      </c>
      <c r="D1324">
        <v>3</v>
      </c>
      <c r="E1324">
        <v>6.2</v>
      </c>
      <c r="F1324">
        <v>100</v>
      </c>
    </row>
    <row r="1325" spans="1:6" x14ac:dyDescent="0.35">
      <c r="A1325">
        <v>1975</v>
      </c>
      <c r="B1325" s="1">
        <v>45580</v>
      </c>
      <c r="C1325" s="2">
        <v>0.125</v>
      </c>
      <c r="D1325">
        <v>3</v>
      </c>
      <c r="E1325">
        <v>4.5</v>
      </c>
      <c r="F1325">
        <v>100</v>
      </c>
    </row>
    <row r="1326" spans="1:6" x14ac:dyDescent="0.35">
      <c r="A1326">
        <v>1975</v>
      </c>
      <c r="B1326" s="1">
        <v>45580</v>
      </c>
      <c r="C1326" s="2">
        <v>0.16666666666666671</v>
      </c>
      <c r="D1326">
        <v>3</v>
      </c>
      <c r="E1326">
        <v>2.9</v>
      </c>
      <c r="F1326">
        <v>100</v>
      </c>
    </row>
    <row r="1327" spans="1:6" x14ac:dyDescent="0.35">
      <c r="A1327">
        <v>1975</v>
      </c>
      <c r="B1327" s="1">
        <v>45580</v>
      </c>
      <c r="C1327" s="2">
        <v>0.20833333333333329</v>
      </c>
      <c r="D1327">
        <v>3</v>
      </c>
      <c r="E1327">
        <v>3</v>
      </c>
      <c r="F1327">
        <v>100</v>
      </c>
    </row>
    <row r="1328" spans="1:6" x14ac:dyDescent="0.35">
      <c r="A1328">
        <v>1975</v>
      </c>
      <c r="B1328" s="1">
        <v>45580</v>
      </c>
      <c r="C1328" s="2">
        <v>0.25</v>
      </c>
      <c r="D1328">
        <v>3</v>
      </c>
      <c r="E1328">
        <v>2.4</v>
      </c>
      <c r="F1328">
        <v>100</v>
      </c>
    </row>
    <row r="1329" spans="1:6" x14ac:dyDescent="0.35">
      <c r="A1329">
        <v>1975</v>
      </c>
      <c r="B1329" s="1">
        <v>45580</v>
      </c>
      <c r="C1329" s="2">
        <v>0.29166666666666669</v>
      </c>
      <c r="D1329">
        <v>3</v>
      </c>
      <c r="E1329">
        <v>3.3</v>
      </c>
      <c r="F1329">
        <v>97</v>
      </c>
    </row>
    <row r="1330" spans="1:6" x14ac:dyDescent="0.35">
      <c r="A1330">
        <v>1975</v>
      </c>
      <c r="B1330" s="1">
        <v>45580</v>
      </c>
      <c r="C1330" s="2">
        <v>0.33333333333333331</v>
      </c>
      <c r="D1330">
        <v>3</v>
      </c>
      <c r="E1330">
        <v>6.7</v>
      </c>
      <c r="F1330">
        <v>88</v>
      </c>
    </row>
    <row r="1331" spans="1:6" x14ac:dyDescent="0.35">
      <c r="A1331">
        <v>1975</v>
      </c>
      <c r="B1331" s="1">
        <v>45580</v>
      </c>
      <c r="C1331" s="2">
        <v>0.375</v>
      </c>
      <c r="D1331">
        <v>3</v>
      </c>
      <c r="E1331">
        <v>10.6</v>
      </c>
      <c r="F1331">
        <v>67</v>
      </c>
    </row>
    <row r="1332" spans="1:6" x14ac:dyDescent="0.35">
      <c r="A1332">
        <v>1975</v>
      </c>
      <c r="B1332" s="1">
        <v>45580</v>
      </c>
      <c r="C1332" s="2">
        <v>0.41666666666666669</v>
      </c>
      <c r="D1332">
        <v>3</v>
      </c>
      <c r="E1332">
        <v>11.4</v>
      </c>
      <c r="F1332">
        <v>53</v>
      </c>
    </row>
    <row r="1333" spans="1:6" x14ac:dyDescent="0.35">
      <c r="A1333">
        <v>1975</v>
      </c>
      <c r="B1333" s="1">
        <v>45580</v>
      </c>
      <c r="C1333" s="2">
        <v>0.45833333333333331</v>
      </c>
      <c r="D1333">
        <v>3</v>
      </c>
      <c r="E1333">
        <v>11.8</v>
      </c>
      <c r="F1333">
        <v>52</v>
      </c>
    </row>
    <row r="1334" spans="1:6" x14ac:dyDescent="0.35">
      <c r="A1334">
        <v>1975</v>
      </c>
      <c r="B1334" s="1">
        <v>45580</v>
      </c>
      <c r="C1334" s="2">
        <v>0.5</v>
      </c>
      <c r="D1334">
        <v>3</v>
      </c>
      <c r="E1334">
        <v>12.4</v>
      </c>
      <c r="F1334">
        <v>50</v>
      </c>
    </row>
    <row r="1335" spans="1:6" x14ac:dyDescent="0.35">
      <c r="A1335">
        <v>1975</v>
      </c>
      <c r="B1335" s="1">
        <v>45580</v>
      </c>
      <c r="C1335" s="2">
        <v>0.54166666666666663</v>
      </c>
      <c r="D1335">
        <v>3</v>
      </c>
      <c r="E1335">
        <v>12.3</v>
      </c>
      <c r="F1335">
        <v>53</v>
      </c>
    </row>
    <row r="1336" spans="1:6" x14ac:dyDescent="0.35">
      <c r="A1336">
        <v>1975</v>
      </c>
      <c r="B1336" s="1">
        <v>45580</v>
      </c>
      <c r="C1336" s="2">
        <v>0.58333333333333337</v>
      </c>
      <c r="D1336">
        <v>3</v>
      </c>
      <c r="E1336">
        <v>12.4</v>
      </c>
      <c r="F1336">
        <v>56</v>
      </c>
    </row>
    <row r="1337" spans="1:6" x14ac:dyDescent="0.35">
      <c r="A1337">
        <v>1975</v>
      </c>
      <c r="B1337" s="1">
        <v>45580</v>
      </c>
      <c r="C1337" s="2">
        <v>0.625</v>
      </c>
      <c r="D1337">
        <v>3</v>
      </c>
      <c r="E1337">
        <v>11.9</v>
      </c>
      <c r="F1337">
        <v>58</v>
      </c>
    </row>
    <row r="1338" spans="1:6" x14ac:dyDescent="0.35">
      <c r="A1338">
        <v>1975</v>
      </c>
      <c r="B1338" s="1">
        <v>45580</v>
      </c>
      <c r="C1338" s="2">
        <v>0.66666666666666663</v>
      </c>
      <c r="D1338">
        <v>3</v>
      </c>
      <c r="E1338">
        <v>10.8</v>
      </c>
      <c r="F1338">
        <v>62</v>
      </c>
    </row>
    <row r="1339" spans="1:6" x14ac:dyDescent="0.35">
      <c r="A1339">
        <v>1975</v>
      </c>
      <c r="B1339" s="1">
        <v>45580</v>
      </c>
      <c r="C1339" s="2">
        <v>0.70833333333333337</v>
      </c>
      <c r="D1339">
        <v>3</v>
      </c>
      <c r="E1339">
        <v>8.8000000000000007</v>
      </c>
      <c r="F1339">
        <v>72</v>
      </c>
    </row>
    <row r="1340" spans="1:6" x14ac:dyDescent="0.35">
      <c r="A1340">
        <v>1975</v>
      </c>
      <c r="B1340" s="1">
        <v>45580</v>
      </c>
      <c r="C1340" s="2">
        <v>0.75</v>
      </c>
      <c r="D1340">
        <v>3</v>
      </c>
      <c r="E1340">
        <v>8.1999999999999993</v>
      </c>
      <c r="F1340">
        <v>74</v>
      </c>
    </row>
    <row r="1341" spans="1:6" x14ac:dyDescent="0.35">
      <c r="A1341">
        <v>1975</v>
      </c>
      <c r="B1341" s="1">
        <v>45580</v>
      </c>
      <c r="C1341" s="2">
        <v>0.79166666666666663</v>
      </c>
      <c r="D1341">
        <v>3</v>
      </c>
      <c r="E1341">
        <v>7.7</v>
      </c>
      <c r="F1341">
        <v>75</v>
      </c>
    </row>
    <row r="1342" spans="1:6" x14ac:dyDescent="0.35">
      <c r="A1342">
        <v>1975</v>
      </c>
      <c r="B1342" s="1">
        <v>45580</v>
      </c>
      <c r="C1342" s="2">
        <v>0.83333333333333337</v>
      </c>
      <c r="D1342">
        <v>3</v>
      </c>
      <c r="E1342">
        <v>7</v>
      </c>
      <c r="F1342">
        <v>78</v>
      </c>
    </row>
    <row r="1343" spans="1:6" x14ac:dyDescent="0.35">
      <c r="A1343">
        <v>1975</v>
      </c>
      <c r="B1343" s="1">
        <v>45580</v>
      </c>
      <c r="C1343" s="2">
        <v>0.875</v>
      </c>
      <c r="D1343">
        <v>3</v>
      </c>
      <c r="E1343">
        <v>7.2</v>
      </c>
      <c r="F1343">
        <v>76</v>
      </c>
    </row>
    <row r="1344" spans="1:6" x14ac:dyDescent="0.35">
      <c r="A1344">
        <v>1975</v>
      </c>
      <c r="B1344" s="1">
        <v>45580</v>
      </c>
      <c r="C1344" s="2">
        <v>0.91666666666666663</v>
      </c>
      <c r="D1344">
        <v>3</v>
      </c>
      <c r="E1344">
        <v>7</v>
      </c>
      <c r="F1344">
        <v>76</v>
      </c>
    </row>
    <row r="1345" spans="1:6" x14ac:dyDescent="0.35">
      <c r="A1345">
        <v>1975</v>
      </c>
      <c r="B1345" s="1">
        <v>45580</v>
      </c>
      <c r="C1345" s="2">
        <v>0.95833333333333337</v>
      </c>
      <c r="D1345">
        <v>3</v>
      </c>
      <c r="E1345">
        <v>6.2</v>
      </c>
      <c r="F1345">
        <v>79</v>
      </c>
    </row>
    <row r="1346" spans="1:6" x14ac:dyDescent="0.35">
      <c r="A1346">
        <v>1975</v>
      </c>
      <c r="B1346" s="1">
        <v>45581</v>
      </c>
      <c r="C1346" s="2">
        <v>0</v>
      </c>
      <c r="D1346">
        <v>3</v>
      </c>
      <c r="E1346">
        <v>6.2</v>
      </c>
      <c r="F1346">
        <v>79</v>
      </c>
    </row>
    <row r="1347" spans="1:6" x14ac:dyDescent="0.35">
      <c r="A1347">
        <v>1975</v>
      </c>
      <c r="B1347" s="1">
        <v>45581</v>
      </c>
      <c r="C1347" s="2">
        <v>4.1666666666666657E-2</v>
      </c>
      <c r="D1347">
        <v>3</v>
      </c>
      <c r="E1347">
        <v>6.4</v>
      </c>
      <c r="F1347">
        <v>79</v>
      </c>
    </row>
    <row r="1348" spans="1:6" x14ac:dyDescent="0.35">
      <c r="A1348">
        <v>1975</v>
      </c>
      <c r="B1348" s="1">
        <v>45581</v>
      </c>
      <c r="C1348" s="2">
        <v>8.3333333333333329E-2</v>
      </c>
      <c r="D1348">
        <v>3</v>
      </c>
      <c r="E1348">
        <v>6.3</v>
      </c>
      <c r="F1348">
        <v>80</v>
      </c>
    </row>
    <row r="1349" spans="1:6" x14ac:dyDescent="0.35">
      <c r="A1349">
        <v>1975</v>
      </c>
      <c r="B1349" s="1">
        <v>45581</v>
      </c>
      <c r="C1349" s="2">
        <v>0.125</v>
      </c>
      <c r="D1349">
        <v>3</v>
      </c>
      <c r="E1349">
        <v>6.5</v>
      </c>
      <c r="F1349">
        <v>79</v>
      </c>
    </row>
    <row r="1350" spans="1:6" x14ac:dyDescent="0.35">
      <c r="A1350">
        <v>1975</v>
      </c>
      <c r="B1350" s="1">
        <v>45581</v>
      </c>
      <c r="C1350" s="2">
        <v>0.16666666666666671</v>
      </c>
      <c r="D1350">
        <v>3</v>
      </c>
      <c r="E1350">
        <v>6.5</v>
      </c>
      <c r="F1350">
        <v>79</v>
      </c>
    </row>
    <row r="1351" spans="1:6" x14ac:dyDescent="0.35">
      <c r="A1351">
        <v>1975</v>
      </c>
      <c r="B1351" s="1">
        <v>45581</v>
      </c>
      <c r="C1351" s="2">
        <v>0.20833333333333329</v>
      </c>
      <c r="D1351">
        <v>3</v>
      </c>
      <c r="E1351">
        <v>6.4</v>
      </c>
      <c r="F1351">
        <v>81</v>
      </c>
    </row>
    <row r="1352" spans="1:6" x14ac:dyDescent="0.35">
      <c r="A1352">
        <v>1975</v>
      </c>
      <c r="B1352" s="1">
        <v>45581</v>
      </c>
      <c r="C1352" s="2">
        <v>0.25</v>
      </c>
      <c r="D1352">
        <v>3</v>
      </c>
      <c r="E1352">
        <v>6.4</v>
      </c>
      <c r="F1352">
        <v>82</v>
      </c>
    </row>
    <row r="1353" spans="1:6" x14ac:dyDescent="0.35">
      <c r="A1353">
        <v>1975</v>
      </c>
      <c r="B1353" s="1">
        <v>45581</v>
      </c>
      <c r="C1353" s="2">
        <v>0.29166666666666669</v>
      </c>
      <c r="D1353">
        <v>3</v>
      </c>
      <c r="E1353">
        <v>6.9</v>
      </c>
      <c r="F1353">
        <v>81</v>
      </c>
    </row>
    <row r="1354" spans="1:6" x14ac:dyDescent="0.35">
      <c r="A1354">
        <v>1975</v>
      </c>
      <c r="B1354" s="1">
        <v>45581</v>
      </c>
      <c r="C1354" s="2">
        <v>0.33333333333333331</v>
      </c>
      <c r="D1354">
        <v>3</v>
      </c>
      <c r="E1354">
        <v>8.3000000000000007</v>
      </c>
      <c r="F1354">
        <v>76</v>
      </c>
    </row>
    <row r="1355" spans="1:6" x14ac:dyDescent="0.35">
      <c r="A1355">
        <v>1975</v>
      </c>
      <c r="B1355" s="1">
        <v>45581</v>
      </c>
      <c r="C1355" s="2">
        <v>0.375</v>
      </c>
      <c r="D1355">
        <v>3</v>
      </c>
      <c r="E1355">
        <v>9.8000000000000007</v>
      </c>
      <c r="F1355">
        <v>73</v>
      </c>
    </row>
    <row r="1356" spans="1:6" x14ac:dyDescent="0.35">
      <c r="A1356">
        <v>1975</v>
      </c>
      <c r="B1356" s="1">
        <v>45581</v>
      </c>
      <c r="C1356" s="2">
        <v>0.41666666666666669</v>
      </c>
      <c r="D1356">
        <v>3</v>
      </c>
      <c r="E1356">
        <v>11.7</v>
      </c>
      <c r="F1356">
        <v>69</v>
      </c>
    </row>
    <row r="1357" spans="1:6" x14ac:dyDescent="0.35">
      <c r="A1357">
        <v>1975</v>
      </c>
      <c r="B1357" s="1">
        <v>45581</v>
      </c>
      <c r="C1357" s="2">
        <v>0.45833333333333331</v>
      </c>
      <c r="D1357">
        <v>3</v>
      </c>
      <c r="E1357">
        <v>11.9</v>
      </c>
      <c r="F1357">
        <v>64</v>
      </c>
    </row>
    <row r="1358" spans="1:6" x14ac:dyDescent="0.35">
      <c r="A1358">
        <v>1975</v>
      </c>
      <c r="B1358" s="1">
        <v>45581</v>
      </c>
      <c r="C1358" s="2">
        <v>0.5</v>
      </c>
      <c r="D1358">
        <v>3</v>
      </c>
      <c r="E1358">
        <v>13.5</v>
      </c>
      <c r="F1358">
        <v>61</v>
      </c>
    </row>
    <row r="1359" spans="1:6" x14ac:dyDescent="0.35">
      <c r="A1359">
        <v>1975</v>
      </c>
      <c r="B1359" s="1">
        <v>45581</v>
      </c>
      <c r="C1359" s="2">
        <v>0.54166666666666663</v>
      </c>
      <c r="D1359">
        <v>3</v>
      </c>
      <c r="E1359">
        <v>14.5</v>
      </c>
      <c r="F1359">
        <v>57</v>
      </c>
    </row>
    <row r="1360" spans="1:6" x14ac:dyDescent="0.35">
      <c r="A1360">
        <v>1975</v>
      </c>
      <c r="B1360" s="1">
        <v>45581</v>
      </c>
      <c r="C1360" s="2">
        <v>0.58333333333333337</v>
      </c>
      <c r="D1360">
        <v>3</v>
      </c>
      <c r="E1360">
        <v>14.5</v>
      </c>
      <c r="F1360">
        <v>58</v>
      </c>
    </row>
    <row r="1361" spans="1:6" x14ac:dyDescent="0.35">
      <c r="A1361">
        <v>1975</v>
      </c>
      <c r="B1361" s="1">
        <v>45581</v>
      </c>
      <c r="C1361" s="2">
        <v>0.625</v>
      </c>
      <c r="D1361">
        <v>3</v>
      </c>
      <c r="E1361">
        <v>14.4</v>
      </c>
      <c r="F1361">
        <v>59</v>
      </c>
    </row>
    <row r="1362" spans="1:6" x14ac:dyDescent="0.35">
      <c r="A1362">
        <v>1975</v>
      </c>
      <c r="B1362" s="1">
        <v>45581</v>
      </c>
      <c r="C1362" s="2">
        <v>0.66666666666666663</v>
      </c>
      <c r="D1362">
        <v>3</v>
      </c>
      <c r="E1362">
        <v>13.7</v>
      </c>
      <c r="F1362">
        <v>61</v>
      </c>
    </row>
    <row r="1363" spans="1:6" x14ac:dyDescent="0.35">
      <c r="A1363">
        <v>1975</v>
      </c>
      <c r="B1363" s="1">
        <v>45581</v>
      </c>
      <c r="C1363" s="2">
        <v>0.70833333333333337</v>
      </c>
      <c r="D1363">
        <v>3</v>
      </c>
      <c r="E1363">
        <v>12.7</v>
      </c>
      <c r="F1363">
        <v>66</v>
      </c>
    </row>
    <row r="1364" spans="1:6" x14ac:dyDescent="0.35">
      <c r="A1364">
        <v>1975</v>
      </c>
      <c r="B1364" s="1">
        <v>45581</v>
      </c>
      <c r="C1364" s="2">
        <v>0.75</v>
      </c>
      <c r="D1364">
        <v>3</v>
      </c>
      <c r="E1364">
        <v>11.9</v>
      </c>
      <c r="F1364">
        <v>67</v>
      </c>
    </row>
    <row r="1365" spans="1:6" x14ac:dyDescent="0.35">
      <c r="A1365">
        <v>1975</v>
      </c>
      <c r="B1365" s="1">
        <v>45581</v>
      </c>
      <c r="C1365" s="2">
        <v>0.79166666666666663</v>
      </c>
      <c r="D1365">
        <v>3</v>
      </c>
      <c r="E1365">
        <v>11.7</v>
      </c>
      <c r="F1365">
        <v>68</v>
      </c>
    </row>
    <row r="1366" spans="1:6" x14ac:dyDescent="0.35">
      <c r="A1366">
        <v>1975</v>
      </c>
      <c r="B1366" s="1">
        <v>45581</v>
      </c>
      <c r="C1366" s="2">
        <v>0.83333333333333337</v>
      </c>
      <c r="D1366">
        <v>3</v>
      </c>
      <c r="E1366">
        <v>10.8</v>
      </c>
      <c r="F1366">
        <v>72</v>
      </c>
    </row>
    <row r="1367" spans="1:6" x14ac:dyDescent="0.35">
      <c r="A1367">
        <v>1975</v>
      </c>
      <c r="B1367" s="1">
        <v>45581</v>
      </c>
      <c r="C1367" s="2">
        <v>0.875</v>
      </c>
      <c r="D1367">
        <v>3</v>
      </c>
      <c r="E1367">
        <v>10.5</v>
      </c>
      <c r="F1367">
        <v>73</v>
      </c>
    </row>
    <row r="1368" spans="1:6" x14ac:dyDescent="0.35">
      <c r="A1368">
        <v>1975</v>
      </c>
      <c r="B1368" s="1">
        <v>45581</v>
      </c>
      <c r="C1368" s="2">
        <v>0.91666666666666663</v>
      </c>
      <c r="D1368">
        <v>3</v>
      </c>
      <c r="E1368">
        <v>10.1</v>
      </c>
      <c r="F1368">
        <v>77</v>
      </c>
    </row>
    <row r="1369" spans="1:6" x14ac:dyDescent="0.35">
      <c r="A1369">
        <v>1975</v>
      </c>
      <c r="B1369" s="1">
        <v>45581</v>
      </c>
      <c r="C1369" s="2">
        <v>0.95833333333333337</v>
      </c>
      <c r="D1369">
        <v>3</v>
      </c>
      <c r="E1369">
        <v>9.3000000000000007</v>
      </c>
      <c r="F1369">
        <v>81</v>
      </c>
    </row>
    <row r="1370" spans="1:6" x14ac:dyDescent="0.35">
      <c r="A1370">
        <v>1975</v>
      </c>
      <c r="B1370" s="1">
        <v>45582</v>
      </c>
      <c r="C1370" s="2">
        <v>0</v>
      </c>
      <c r="D1370">
        <v>3</v>
      </c>
      <c r="E1370">
        <v>9.4</v>
      </c>
      <c r="F1370">
        <v>82</v>
      </c>
    </row>
    <row r="1371" spans="1:6" x14ac:dyDescent="0.35">
      <c r="A1371">
        <v>1975</v>
      </c>
      <c r="B1371" s="1">
        <v>45582</v>
      </c>
      <c r="C1371" s="2">
        <v>4.1666666666666657E-2</v>
      </c>
      <c r="D1371">
        <v>3</v>
      </c>
      <c r="E1371">
        <v>9.1999999999999993</v>
      </c>
      <c r="F1371">
        <v>84</v>
      </c>
    </row>
    <row r="1372" spans="1:6" x14ac:dyDescent="0.35">
      <c r="A1372">
        <v>1975</v>
      </c>
      <c r="B1372" s="1">
        <v>45582</v>
      </c>
      <c r="C1372" s="2">
        <v>8.3333333333333329E-2</v>
      </c>
      <c r="D1372">
        <v>3</v>
      </c>
      <c r="E1372">
        <v>9.1999999999999993</v>
      </c>
      <c r="F1372">
        <v>84</v>
      </c>
    </row>
    <row r="1373" spans="1:6" x14ac:dyDescent="0.35">
      <c r="A1373">
        <v>1975</v>
      </c>
      <c r="B1373" s="1">
        <v>45582</v>
      </c>
      <c r="C1373" s="2">
        <v>0.125</v>
      </c>
      <c r="D1373">
        <v>3</v>
      </c>
      <c r="E1373">
        <v>9.3000000000000007</v>
      </c>
      <c r="F1373">
        <v>83</v>
      </c>
    </row>
    <row r="1374" spans="1:6" x14ac:dyDescent="0.35">
      <c r="A1374">
        <v>1975</v>
      </c>
      <c r="B1374" s="1">
        <v>45582</v>
      </c>
      <c r="C1374" s="2">
        <v>0.16666666666666671</v>
      </c>
      <c r="D1374">
        <v>3</v>
      </c>
      <c r="E1374">
        <v>9.3000000000000007</v>
      </c>
      <c r="F1374">
        <v>84</v>
      </c>
    </row>
    <row r="1375" spans="1:6" x14ac:dyDescent="0.35">
      <c r="A1375">
        <v>1975</v>
      </c>
      <c r="B1375" s="1">
        <v>45582</v>
      </c>
      <c r="C1375" s="2">
        <v>0.20833333333333329</v>
      </c>
      <c r="D1375">
        <v>3</v>
      </c>
      <c r="E1375">
        <v>9.6999999999999993</v>
      </c>
      <c r="F1375">
        <v>81</v>
      </c>
    </row>
    <row r="1376" spans="1:6" x14ac:dyDescent="0.35">
      <c r="A1376">
        <v>1975</v>
      </c>
      <c r="B1376" s="1">
        <v>45582</v>
      </c>
      <c r="C1376" s="2">
        <v>0.25</v>
      </c>
      <c r="D1376">
        <v>3</v>
      </c>
      <c r="E1376">
        <v>9.5</v>
      </c>
      <c r="F1376">
        <v>81</v>
      </c>
    </row>
    <row r="1377" spans="1:6" x14ac:dyDescent="0.35">
      <c r="A1377">
        <v>1975</v>
      </c>
      <c r="B1377" s="1">
        <v>45582</v>
      </c>
      <c r="C1377" s="2">
        <v>0.29166666666666669</v>
      </c>
      <c r="D1377">
        <v>3</v>
      </c>
      <c r="E1377">
        <v>9.8000000000000007</v>
      </c>
      <c r="F1377">
        <v>80</v>
      </c>
    </row>
    <row r="1378" spans="1:6" x14ac:dyDescent="0.35">
      <c r="A1378">
        <v>1975</v>
      </c>
      <c r="B1378" s="1">
        <v>45582</v>
      </c>
      <c r="C1378" s="2">
        <v>0.33333333333333331</v>
      </c>
      <c r="D1378">
        <v>3</v>
      </c>
      <c r="E1378">
        <v>11.1</v>
      </c>
      <c r="F1378">
        <v>76</v>
      </c>
    </row>
    <row r="1379" spans="1:6" x14ac:dyDescent="0.35">
      <c r="A1379">
        <v>1975</v>
      </c>
      <c r="B1379" s="1">
        <v>45582</v>
      </c>
      <c r="C1379" s="2">
        <v>0.375</v>
      </c>
      <c r="D1379">
        <v>3</v>
      </c>
      <c r="E1379">
        <v>12.1</v>
      </c>
      <c r="F1379">
        <v>75</v>
      </c>
    </row>
    <row r="1380" spans="1:6" x14ac:dyDescent="0.35">
      <c r="A1380">
        <v>1975</v>
      </c>
      <c r="B1380" s="1">
        <v>45582</v>
      </c>
      <c r="C1380" s="2">
        <v>0.41666666666666669</v>
      </c>
      <c r="D1380">
        <v>3</v>
      </c>
      <c r="E1380">
        <v>13.4</v>
      </c>
      <c r="F1380">
        <v>72</v>
      </c>
    </row>
    <row r="1381" spans="1:6" x14ac:dyDescent="0.35">
      <c r="A1381">
        <v>1975</v>
      </c>
      <c r="B1381" s="1">
        <v>45582</v>
      </c>
      <c r="C1381" s="2">
        <v>0.45833333333333331</v>
      </c>
      <c r="D1381">
        <v>3</v>
      </c>
      <c r="E1381">
        <v>13.7</v>
      </c>
      <c r="F1381">
        <v>74</v>
      </c>
    </row>
    <row r="1382" spans="1:6" x14ac:dyDescent="0.35">
      <c r="A1382">
        <v>1975</v>
      </c>
      <c r="B1382" s="1">
        <v>45582</v>
      </c>
      <c r="C1382" s="2">
        <v>0.5</v>
      </c>
      <c r="D1382">
        <v>3</v>
      </c>
      <c r="E1382">
        <v>14</v>
      </c>
      <c r="F1382">
        <v>74</v>
      </c>
    </row>
    <row r="1383" spans="1:6" x14ac:dyDescent="0.35">
      <c r="A1383">
        <v>1975</v>
      </c>
      <c r="B1383" s="1">
        <v>45582</v>
      </c>
      <c r="C1383" s="2">
        <v>0.54166666666666663</v>
      </c>
      <c r="D1383">
        <v>3</v>
      </c>
      <c r="E1383">
        <v>15.5</v>
      </c>
      <c r="F1383">
        <v>72</v>
      </c>
    </row>
    <row r="1384" spans="1:6" x14ac:dyDescent="0.35">
      <c r="A1384">
        <v>1975</v>
      </c>
      <c r="B1384" s="1">
        <v>45582</v>
      </c>
      <c r="C1384" s="2">
        <v>0.58333333333333337</v>
      </c>
      <c r="D1384">
        <v>3</v>
      </c>
      <c r="E1384">
        <v>15.6</v>
      </c>
      <c r="F1384">
        <v>73</v>
      </c>
    </row>
    <row r="1385" spans="1:6" x14ac:dyDescent="0.35">
      <c r="A1385">
        <v>1975</v>
      </c>
      <c r="B1385" s="1">
        <v>45582</v>
      </c>
      <c r="C1385" s="2">
        <v>0.625</v>
      </c>
      <c r="D1385">
        <v>3</v>
      </c>
      <c r="E1385">
        <v>15.7</v>
      </c>
      <c r="F1385">
        <v>75</v>
      </c>
    </row>
    <row r="1386" spans="1:6" x14ac:dyDescent="0.35">
      <c r="A1386">
        <v>1975</v>
      </c>
      <c r="B1386" s="1">
        <v>45582</v>
      </c>
      <c r="C1386" s="2">
        <v>0.66666666666666663</v>
      </c>
      <c r="D1386">
        <v>3</v>
      </c>
      <c r="E1386">
        <v>15.5</v>
      </c>
      <c r="F1386">
        <v>77</v>
      </c>
    </row>
    <row r="1387" spans="1:6" x14ac:dyDescent="0.35">
      <c r="A1387">
        <v>1975</v>
      </c>
      <c r="B1387" s="1">
        <v>45582</v>
      </c>
      <c r="C1387" s="2">
        <v>0.70833333333333337</v>
      </c>
      <c r="D1387">
        <v>3</v>
      </c>
      <c r="E1387">
        <v>15.3</v>
      </c>
      <c r="F1387">
        <v>79</v>
      </c>
    </row>
    <row r="1388" spans="1:6" x14ac:dyDescent="0.35">
      <c r="A1388">
        <v>1975</v>
      </c>
      <c r="B1388" s="1">
        <v>45582</v>
      </c>
      <c r="C1388" s="2">
        <v>0.75</v>
      </c>
      <c r="D1388">
        <v>3</v>
      </c>
      <c r="E1388">
        <v>14.9</v>
      </c>
      <c r="F1388">
        <v>82</v>
      </c>
    </row>
    <row r="1389" spans="1:6" x14ac:dyDescent="0.35">
      <c r="A1389">
        <v>1975</v>
      </c>
      <c r="B1389" s="1">
        <v>45582</v>
      </c>
      <c r="C1389" s="2">
        <v>0.79166666666666663</v>
      </c>
      <c r="D1389">
        <v>3</v>
      </c>
      <c r="E1389">
        <v>14.8</v>
      </c>
      <c r="F1389">
        <v>83</v>
      </c>
    </row>
    <row r="1390" spans="1:6" x14ac:dyDescent="0.35">
      <c r="A1390">
        <v>1975</v>
      </c>
      <c r="B1390" s="1">
        <v>45582</v>
      </c>
      <c r="C1390" s="2">
        <v>0.83333333333333337</v>
      </c>
      <c r="D1390">
        <v>3</v>
      </c>
      <c r="E1390">
        <v>14.8</v>
      </c>
      <c r="F1390">
        <v>83</v>
      </c>
    </row>
    <row r="1391" spans="1:6" x14ac:dyDescent="0.35">
      <c r="A1391">
        <v>1975</v>
      </c>
      <c r="B1391" s="1">
        <v>45582</v>
      </c>
      <c r="C1391" s="2">
        <v>0.875</v>
      </c>
      <c r="D1391">
        <v>3</v>
      </c>
      <c r="E1391">
        <v>14.6</v>
      </c>
      <c r="F1391">
        <v>84</v>
      </c>
    </row>
    <row r="1392" spans="1:6" x14ac:dyDescent="0.35">
      <c r="A1392">
        <v>1975</v>
      </c>
      <c r="B1392" s="1">
        <v>45582</v>
      </c>
      <c r="C1392" s="2">
        <v>0.91666666666666663</v>
      </c>
      <c r="D1392">
        <v>3</v>
      </c>
      <c r="E1392">
        <v>14.2</v>
      </c>
      <c r="F1392">
        <v>86</v>
      </c>
    </row>
    <row r="1393" spans="1:6" x14ac:dyDescent="0.35">
      <c r="A1393">
        <v>1975</v>
      </c>
      <c r="B1393" s="1">
        <v>45582</v>
      </c>
      <c r="C1393" s="2">
        <v>0.95833333333333337</v>
      </c>
      <c r="D1393">
        <v>3</v>
      </c>
      <c r="E1393">
        <v>13.8</v>
      </c>
      <c r="F1393">
        <v>88</v>
      </c>
    </row>
    <row r="1394" spans="1:6" x14ac:dyDescent="0.35">
      <c r="A1394">
        <v>1975</v>
      </c>
      <c r="B1394" s="1">
        <v>45583</v>
      </c>
      <c r="C1394" s="2">
        <v>0</v>
      </c>
      <c r="D1394">
        <v>3</v>
      </c>
      <c r="E1394">
        <v>13.5</v>
      </c>
      <c r="F1394">
        <v>89</v>
      </c>
    </row>
    <row r="1395" spans="1:6" x14ac:dyDescent="0.35">
      <c r="A1395">
        <v>1975</v>
      </c>
      <c r="B1395" s="1">
        <v>45583</v>
      </c>
      <c r="C1395" s="2">
        <v>4.1666666666666657E-2</v>
      </c>
      <c r="D1395">
        <v>3</v>
      </c>
      <c r="E1395">
        <v>12.3</v>
      </c>
      <c r="F1395">
        <v>95</v>
      </c>
    </row>
    <row r="1396" spans="1:6" x14ac:dyDescent="0.35">
      <c r="A1396">
        <v>1975</v>
      </c>
      <c r="B1396" s="1">
        <v>45583</v>
      </c>
      <c r="C1396" s="2">
        <v>8.3333333333333329E-2</v>
      </c>
      <c r="D1396">
        <v>3</v>
      </c>
      <c r="E1396">
        <v>11.9</v>
      </c>
      <c r="F1396">
        <v>98</v>
      </c>
    </row>
    <row r="1397" spans="1:6" x14ac:dyDescent="0.35">
      <c r="A1397">
        <v>1975</v>
      </c>
      <c r="B1397" s="1">
        <v>45583</v>
      </c>
      <c r="C1397" s="2">
        <v>0.125</v>
      </c>
      <c r="D1397">
        <v>3</v>
      </c>
      <c r="E1397">
        <v>11.3</v>
      </c>
      <c r="F1397">
        <v>98</v>
      </c>
    </row>
    <row r="1398" spans="1:6" x14ac:dyDescent="0.35">
      <c r="A1398">
        <v>1975</v>
      </c>
      <c r="B1398" s="1">
        <v>45583</v>
      </c>
      <c r="C1398" s="2">
        <v>0.16666666666666671</v>
      </c>
      <c r="D1398">
        <v>3</v>
      </c>
      <c r="E1398">
        <v>12</v>
      </c>
      <c r="F1398">
        <v>97</v>
      </c>
    </row>
    <row r="1399" spans="1:6" x14ac:dyDescent="0.35">
      <c r="A1399">
        <v>1975</v>
      </c>
      <c r="B1399" s="1">
        <v>45583</v>
      </c>
      <c r="C1399" s="2">
        <v>0.20833333333333329</v>
      </c>
      <c r="D1399">
        <v>3</v>
      </c>
      <c r="E1399">
        <v>12.2</v>
      </c>
      <c r="F1399">
        <v>96</v>
      </c>
    </row>
    <row r="1400" spans="1:6" x14ac:dyDescent="0.35">
      <c r="A1400">
        <v>1975</v>
      </c>
      <c r="B1400" s="1">
        <v>45583</v>
      </c>
      <c r="C1400" s="2">
        <v>0.25</v>
      </c>
      <c r="D1400">
        <v>3</v>
      </c>
      <c r="E1400">
        <v>11.9</v>
      </c>
      <c r="F1400">
        <v>100</v>
      </c>
    </row>
    <row r="1401" spans="1:6" x14ac:dyDescent="0.35">
      <c r="A1401">
        <v>1975</v>
      </c>
      <c r="B1401" s="1">
        <v>45583</v>
      </c>
      <c r="C1401" s="2">
        <v>0.29166666666666669</v>
      </c>
      <c r="D1401">
        <v>3</v>
      </c>
      <c r="E1401">
        <v>12.1</v>
      </c>
      <c r="F1401">
        <v>100</v>
      </c>
    </row>
    <row r="1402" spans="1:6" x14ac:dyDescent="0.35">
      <c r="A1402">
        <v>1975</v>
      </c>
      <c r="B1402" s="1">
        <v>45583</v>
      </c>
      <c r="C1402" s="2">
        <v>0.33333333333333331</v>
      </c>
      <c r="D1402">
        <v>3</v>
      </c>
      <c r="E1402">
        <v>12</v>
      </c>
      <c r="F1402">
        <v>96</v>
      </c>
    </row>
    <row r="1403" spans="1:6" x14ac:dyDescent="0.35">
      <c r="A1403">
        <v>1975</v>
      </c>
      <c r="B1403" s="1">
        <v>45583</v>
      </c>
      <c r="C1403" s="2">
        <v>0.375</v>
      </c>
      <c r="D1403">
        <v>3</v>
      </c>
      <c r="E1403">
        <v>13.5</v>
      </c>
      <c r="F1403">
        <v>85</v>
      </c>
    </row>
    <row r="1404" spans="1:6" x14ac:dyDescent="0.35">
      <c r="A1404">
        <v>1975</v>
      </c>
      <c r="B1404" s="1">
        <v>45583</v>
      </c>
      <c r="C1404" s="2">
        <v>0.41666666666666669</v>
      </c>
      <c r="D1404">
        <v>3</v>
      </c>
      <c r="E1404">
        <v>15.8</v>
      </c>
      <c r="F1404">
        <v>78</v>
      </c>
    </row>
    <row r="1405" spans="1:6" x14ac:dyDescent="0.35">
      <c r="A1405">
        <v>1975</v>
      </c>
      <c r="B1405" s="1">
        <v>45583</v>
      </c>
      <c r="C1405" s="2">
        <v>0.45833333333333331</v>
      </c>
      <c r="D1405">
        <v>3</v>
      </c>
      <c r="E1405">
        <v>16.2</v>
      </c>
      <c r="F1405">
        <v>76</v>
      </c>
    </row>
    <row r="1406" spans="1:6" x14ac:dyDescent="0.35">
      <c r="A1406">
        <v>1975</v>
      </c>
      <c r="B1406" s="1">
        <v>45583</v>
      </c>
      <c r="C1406" s="2">
        <v>0.5</v>
      </c>
      <c r="D1406">
        <v>3</v>
      </c>
      <c r="E1406">
        <v>18</v>
      </c>
      <c r="F1406">
        <v>75</v>
      </c>
    </row>
    <row r="1407" spans="1:6" x14ac:dyDescent="0.35">
      <c r="A1407">
        <v>1975</v>
      </c>
      <c r="B1407" s="1">
        <v>45583</v>
      </c>
      <c r="C1407" s="2">
        <v>0.54166666666666663</v>
      </c>
      <c r="D1407">
        <v>3</v>
      </c>
      <c r="E1407">
        <v>17.7</v>
      </c>
      <c r="F1407">
        <v>77</v>
      </c>
    </row>
    <row r="1408" spans="1:6" x14ac:dyDescent="0.35">
      <c r="A1408">
        <v>1975</v>
      </c>
      <c r="B1408" s="1">
        <v>45583</v>
      </c>
      <c r="C1408" s="2">
        <v>0.58333333333333337</v>
      </c>
      <c r="D1408">
        <v>3</v>
      </c>
      <c r="E1408">
        <v>17.600000000000001</v>
      </c>
      <c r="F1408">
        <v>75</v>
      </c>
    </row>
    <row r="1409" spans="1:6" x14ac:dyDescent="0.35">
      <c r="A1409">
        <v>1975</v>
      </c>
      <c r="B1409" s="1">
        <v>45583</v>
      </c>
      <c r="C1409" s="2">
        <v>0.625</v>
      </c>
      <c r="D1409">
        <v>3</v>
      </c>
      <c r="E1409">
        <v>17.2</v>
      </c>
      <c r="F1409">
        <v>75</v>
      </c>
    </row>
    <row r="1410" spans="1:6" x14ac:dyDescent="0.35">
      <c r="A1410">
        <v>1975</v>
      </c>
      <c r="B1410" s="1">
        <v>45583</v>
      </c>
      <c r="C1410" s="2">
        <v>0.66666666666666663</v>
      </c>
      <c r="D1410">
        <v>3</v>
      </c>
      <c r="E1410">
        <v>16</v>
      </c>
      <c r="F1410">
        <v>82</v>
      </c>
    </row>
    <row r="1411" spans="1:6" x14ac:dyDescent="0.35">
      <c r="A1411">
        <v>1975</v>
      </c>
      <c r="B1411" s="1">
        <v>45583</v>
      </c>
      <c r="C1411" s="2">
        <v>0.70833333333333337</v>
      </c>
      <c r="D1411">
        <v>3</v>
      </c>
      <c r="E1411">
        <v>14.9</v>
      </c>
      <c r="F1411">
        <v>89</v>
      </c>
    </row>
    <row r="1412" spans="1:6" x14ac:dyDescent="0.35">
      <c r="A1412">
        <v>1975</v>
      </c>
      <c r="B1412" s="1">
        <v>45583</v>
      </c>
      <c r="C1412" s="2">
        <v>0.75</v>
      </c>
      <c r="D1412">
        <v>3</v>
      </c>
      <c r="E1412">
        <v>14.1</v>
      </c>
      <c r="F1412">
        <v>91</v>
      </c>
    </row>
    <row r="1413" spans="1:6" x14ac:dyDescent="0.35">
      <c r="A1413">
        <v>1975</v>
      </c>
      <c r="B1413" s="1">
        <v>45583</v>
      </c>
      <c r="C1413" s="2">
        <v>0.79166666666666663</v>
      </c>
      <c r="D1413">
        <v>3</v>
      </c>
      <c r="E1413">
        <v>13.9</v>
      </c>
      <c r="F1413">
        <v>91</v>
      </c>
    </row>
    <row r="1414" spans="1:6" x14ac:dyDescent="0.35">
      <c r="A1414">
        <v>1975</v>
      </c>
      <c r="B1414" s="1">
        <v>45583</v>
      </c>
      <c r="C1414" s="2">
        <v>0.83333333333333337</v>
      </c>
      <c r="D1414">
        <v>3</v>
      </c>
      <c r="E1414">
        <v>13.3</v>
      </c>
      <c r="F1414">
        <v>90</v>
      </c>
    </row>
    <row r="1415" spans="1:6" x14ac:dyDescent="0.35">
      <c r="A1415">
        <v>1975</v>
      </c>
      <c r="B1415" s="1">
        <v>45583</v>
      </c>
      <c r="C1415" s="2">
        <v>0.875</v>
      </c>
      <c r="D1415">
        <v>3</v>
      </c>
      <c r="E1415">
        <v>12.7</v>
      </c>
      <c r="F1415">
        <v>91</v>
      </c>
    </row>
    <row r="1416" spans="1:6" x14ac:dyDescent="0.35">
      <c r="A1416">
        <v>1975</v>
      </c>
      <c r="B1416" s="1">
        <v>45583</v>
      </c>
      <c r="C1416" s="2">
        <v>0.91666666666666663</v>
      </c>
      <c r="D1416">
        <v>3</v>
      </c>
      <c r="E1416">
        <v>12.2</v>
      </c>
      <c r="F1416">
        <v>92</v>
      </c>
    </row>
    <row r="1417" spans="1:6" x14ac:dyDescent="0.35">
      <c r="A1417">
        <v>1975</v>
      </c>
      <c r="B1417" s="1">
        <v>45583</v>
      </c>
      <c r="C1417" s="2">
        <v>0.95833333333333337</v>
      </c>
      <c r="D1417">
        <v>3</v>
      </c>
      <c r="E1417">
        <v>11.5</v>
      </c>
      <c r="F1417">
        <v>93</v>
      </c>
    </row>
    <row r="1418" spans="1:6" x14ac:dyDescent="0.35">
      <c r="A1418">
        <v>1975</v>
      </c>
      <c r="B1418" s="1">
        <v>45584</v>
      </c>
      <c r="C1418" s="2">
        <v>0</v>
      </c>
      <c r="D1418">
        <v>3</v>
      </c>
      <c r="E1418">
        <v>11.7</v>
      </c>
      <c r="F1418">
        <v>92</v>
      </c>
    </row>
    <row r="1419" spans="1:6" x14ac:dyDescent="0.35">
      <c r="A1419">
        <v>1975</v>
      </c>
      <c r="B1419" s="1">
        <v>45584</v>
      </c>
      <c r="C1419" s="2">
        <v>4.1666666666666657E-2</v>
      </c>
      <c r="D1419">
        <v>3</v>
      </c>
      <c r="E1419">
        <v>10</v>
      </c>
      <c r="F1419">
        <v>96</v>
      </c>
    </row>
    <row r="1420" spans="1:6" x14ac:dyDescent="0.35">
      <c r="A1420">
        <v>1975</v>
      </c>
      <c r="B1420" s="1">
        <v>45584</v>
      </c>
      <c r="C1420" s="2">
        <v>8.3333333333333329E-2</v>
      </c>
      <c r="D1420">
        <v>3</v>
      </c>
      <c r="E1420">
        <v>10.1</v>
      </c>
      <c r="F1420">
        <v>100</v>
      </c>
    </row>
    <row r="1421" spans="1:6" x14ac:dyDescent="0.35">
      <c r="A1421">
        <v>1975</v>
      </c>
      <c r="B1421" s="1">
        <v>45584</v>
      </c>
      <c r="C1421" s="2">
        <v>0.125</v>
      </c>
      <c r="D1421">
        <v>3</v>
      </c>
      <c r="E1421">
        <v>10.8</v>
      </c>
      <c r="F1421">
        <v>95</v>
      </c>
    </row>
    <row r="1422" spans="1:6" x14ac:dyDescent="0.35">
      <c r="A1422">
        <v>1975</v>
      </c>
      <c r="B1422" s="1">
        <v>45584</v>
      </c>
      <c r="C1422" s="2">
        <v>0.16666666666666671</v>
      </c>
      <c r="D1422">
        <v>3</v>
      </c>
      <c r="E1422">
        <v>10.7</v>
      </c>
      <c r="F1422">
        <v>95</v>
      </c>
    </row>
    <row r="1423" spans="1:6" x14ac:dyDescent="0.35">
      <c r="A1423">
        <v>1975</v>
      </c>
      <c r="B1423" s="1">
        <v>45584</v>
      </c>
      <c r="C1423" s="2">
        <v>0.20833333333333329</v>
      </c>
      <c r="D1423">
        <v>3</v>
      </c>
      <c r="E1423">
        <v>10.7</v>
      </c>
      <c r="F1423">
        <v>95</v>
      </c>
    </row>
    <row r="1424" spans="1:6" x14ac:dyDescent="0.35">
      <c r="A1424">
        <v>1975</v>
      </c>
      <c r="B1424" s="1">
        <v>45584</v>
      </c>
      <c r="C1424" s="2">
        <v>0.25</v>
      </c>
      <c r="D1424">
        <v>3</v>
      </c>
      <c r="E1424">
        <v>10.7</v>
      </c>
      <c r="F1424">
        <v>95</v>
      </c>
    </row>
    <row r="1425" spans="1:6" x14ac:dyDescent="0.35">
      <c r="A1425">
        <v>1975</v>
      </c>
      <c r="B1425" s="1">
        <v>45584</v>
      </c>
      <c r="C1425" s="2">
        <v>0.29166666666666669</v>
      </c>
      <c r="D1425">
        <v>3</v>
      </c>
      <c r="E1425">
        <v>10.8</v>
      </c>
      <c r="F1425">
        <v>95</v>
      </c>
    </row>
    <row r="1426" spans="1:6" x14ac:dyDescent="0.35">
      <c r="A1426">
        <v>1975</v>
      </c>
      <c r="B1426" s="1">
        <v>45584</v>
      </c>
      <c r="C1426" s="2">
        <v>0.33333333333333331</v>
      </c>
      <c r="D1426">
        <v>3</v>
      </c>
      <c r="E1426">
        <v>11.7</v>
      </c>
      <c r="F1426">
        <v>92</v>
      </c>
    </row>
    <row r="1427" spans="1:6" x14ac:dyDescent="0.35">
      <c r="A1427">
        <v>1975</v>
      </c>
      <c r="B1427" s="1">
        <v>45584</v>
      </c>
      <c r="C1427" s="2">
        <v>0.375</v>
      </c>
      <c r="D1427">
        <v>3</v>
      </c>
      <c r="E1427">
        <v>12.2</v>
      </c>
      <c r="F1427">
        <v>92</v>
      </c>
    </row>
    <row r="1428" spans="1:6" x14ac:dyDescent="0.35">
      <c r="A1428">
        <v>1975</v>
      </c>
      <c r="B1428" s="1">
        <v>45584</v>
      </c>
      <c r="C1428" s="2">
        <v>0.41666666666666669</v>
      </c>
      <c r="D1428">
        <v>3</v>
      </c>
      <c r="E1428">
        <v>12.2</v>
      </c>
      <c r="F1428">
        <v>96</v>
      </c>
    </row>
    <row r="1429" spans="1:6" x14ac:dyDescent="0.35">
      <c r="A1429">
        <v>1975</v>
      </c>
      <c r="B1429" s="1">
        <v>45584</v>
      </c>
      <c r="C1429" s="2">
        <v>0.45833333333333331</v>
      </c>
      <c r="D1429">
        <v>3</v>
      </c>
      <c r="E1429">
        <v>13.9</v>
      </c>
      <c r="F1429">
        <v>93</v>
      </c>
    </row>
    <row r="1430" spans="1:6" x14ac:dyDescent="0.35">
      <c r="A1430">
        <v>1975</v>
      </c>
      <c r="B1430" s="1">
        <v>45584</v>
      </c>
      <c r="C1430" s="2">
        <v>0.5</v>
      </c>
      <c r="D1430">
        <v>3</v>
      </c>
      <c r="E1430">
        <v>14.2</v>
      </c>
      <c r="F1430">
        <v>95</v>
      </c>
    </row>
    <row r="1431" spans="1:6" x14ac:dyDescent="0.35">
      <c r="A1431">
        <v>1975</v>
      </c>
      <c r="B1431" s="1">
        <v>45584</v>
      </c>
      <c r="C1431" s="2">
        <v>0.54166666666666663</v>
      </c>
      <c r="D1431">
        <v>3</v>
      </c>
      <c r="E1431">
        <v>15</v>
      </c>
      <c r="F1431">
        <v>96</v>
      </c>
    </row>
    <row r="1432" spans="1:6" x14ac:dyDescent="0.35">
      <c r="A1432">
        <v>1975</v>
      </c>
      <c r="B1432" s="1">
        <v>45584</v>
      </c>
      <c r="C1432" s="2">
        <v>0.58333333333333337</v>
      </c>
      <c r="D1432">
        <v>3</v>
      </c>
      <c r="E1432">
        <v>15.4</v>
      </c>
      <c r="F1432">
        <v>96</v>
      </c>
    </row>
    <row r="1433" spans="1:6" x14ac:dyDescent="0.35">
      <c r="A1433">
        <v>1975</v>
      </c>
      <c r="B1433" s="1">
        <v>45584</v>
      </c>
      <c r="C1433" s="2">
        <v>0.625</v>
      </c>
      <c r="D1433">
        <v>3</v>
      </c>
      <c r="E1433">
        <v>15.4</v>
      </c>
      <c r="F1433">
        <v>95</v>
      </c>
    </row>
    <row r="1434" spans="1:6" x14ac:dyDescent="0.35">
      <c r="A1434">
        <v>1975</v>
      </c>
      <c r="B1434" s="1">
        <v>45584</v>
      </c>
      <c r="C1434" s="2">
        <v>0.66666666666666663</v>
      </c>
      <c r="D1434">
        <v>3</v>
      </c>
      <c r="E1434">
        <v>15.3</v>
      </c>
      <c r="F1434">
        <v>95</v>
      </c>
    </row>
    <row r="1435" spans="1:6" x14ac:dyDescent="0.35">
      <c r="A1435">
        <v>1975</v>
      </c>
      <c r="B1435" s="1">
        <v>45584</v>
      </c>
      <c r="C1435" s="2">
        <v>0.70833333333333337</v>
      </c>
      <c r="D1435">
        <v>3</v>
      </c>
      <c r="E1435">
        <v>15.1</v>
      </c>
      <c r="F1435">
        <v>95</v>
      </c>
    </row>
    <row r="1436" spans="1:6" x14ac:dyDescent="0.35">
      <c r="A1436">
        <v>1975</v>
      </c>
      <c r="B1436" s="1">
        <v>45584</v>
      </c>
      <c r="C1436" s="2">
        <v>0.75</v>
      </c>
      <c r="D1436">
        <v>3</v>
      </c>
      <c r="E1436">
        <v>15.4</v>
      </c>
      <c r="F1436">
        <v>94</v>
      </c>
    </row>
    <row r="1437" spans="1:6" x14ac:dyDescent="0.35">
      <c r="A1437">
        <v>1975</v>
      </c>
      <c r="B1437" s="1">
        <v>45584</v>
      </c>
      <c r="C1437" s="2">
        <v>0.79166666666666663</v>
      </c>
      <c r="D1437">
        <v>3</v>
      </c>
      <c r="E1437">
        <v>15.3</v>
      </c>
      <c r="F1437">
        <v>95</v>
      </c>
    </row>
    <row r="1438" spans="1:6" x14ac:dyDescent="0.35">
      <c r="A1438">
        <v>1975</v>
      </c>
      <c r="B1438" s="1">
        <v>45584</v>
      </c>
      <c r="C1438" s="2">
        <v>0.83333333333333337</v>
      </c>
      <c r="D1438">
        <v>3</v>
      </c>
      <c r="E1438">
        <v>14.3</v>
      </c>
      <c r="F1438">
        <v>90</v>
      </c>
    </row>
    <row r="1439" spans="1:6" x14ac:dyDescent="0.35">
      <c r="A1439">
        <v>1975</v>
      </c>
      <c r="B1439" s="1">
        <v>45584</v>
      </c>
      <c r="C1439" s="2">
        <v>0.875</v>
      </c>
      <c r="D1439">
        <v>3</v>
      </c>
      <c r="E1439">
        <v>12.9</v>
      </c>
      <c r="F1439">
        <v>93</v>
      </c>
    </row>
    <row r="1440" spans="1:6" x14ac:dyDescent="0.35">
      <c r="A1440">
        <v>1975</v>
      </c>
      <c r="B1440" s="1">
        <v>45584</v>
      </c>
      <c r="C1440" s="2">
        <v>0.91666666666666663</v>
      </c>
      <c r="D1440">
        <v>3</v>
      </c>
      <c r="E1440">
        <v>11.9</v>
      </c>
      <c r="F1440">
        <v>98</v>
      </c>
    </row>
    <row r="1441" spans="1:6" x14ac:dyDescent="0.35">
      <c r="A1441">
        <v>1975</v>
      </c>
      <c r="B1441" s="1">
        <v>45584</v>
      </c>
      <c r="C1441" s="2">
        <v>0.95833333333333337</v>
      </c>
      <c r="D1441">
        <v>3</v>
      </c>
      <c r="E1441">
        <v>11</v>
      </c>
      <c r="F1441">
        <v>99</v>
      </c>
    </row>
    <row r="1442" spans="1:6" x14ac:dyDescent="0.35">
      <c r="A1442">
        <v>1975</v>
      </c>
      <c r="B1442" s="1">
        <v>45585</v>
      </c>
      <c r="C1442" s="2">
        <v>0</v>
      </c>
      <c r="D1442">
        <v>3</v>
      </c>
      <c r="E1442">
        <v>11.3</v>
      </c>
      <c r="F1442">
        <v>100</v>
      </c>
    </row>
    <row r="1443" spans="1:6" x14ac:dyDescent="0.35">
      <c r="A1443">
        <v>1975</v>
      </c>
      <c r="B1443" s="1">
        <v>45585</v>
      </c>
      <c r="C1443" s="2">
        <v>4.1666666666666657E-2</v>
      </c>
      <c r="D1443">
        <v>3</v>
      </c>
      <c r="E1443">
        <v>11.2</v>
      </c>
      <c r="F1443">
        <v>98</v>
      </c>
    </row>
    <row r="1444" spans="1:6" x14ac:dyDescent="0.35">
      <c r="A1444">
        <v>1975</v>
      </c>
      <c r="B1444" s="1">
        <v>45585</v>
      </c>
      <c r="C1444" s="2">
        <v>8.3333333333333329E-2</v>
      </c>
      <c r="D1444">
        <v>3</v>
      </c>
      <c r="E1444">
        <v>10.199999999999999</v>
      </c>
      <c r="F1444">
        <v>100</v>
      </c>
    </row>
    <row r="1445" spans="1:6" x14ac:dyDescent="0.35">
      <c r="A1445">
        <v>1975</v>
      </c>
      <c r="B1445" s="1">
        <v>45585</v>
      </c>
      <c r="C1445" s="2">
        <v>0.125</v>
      </c>
      <c r="D1445">
        <v>3</v>
      </c>
      <c r="E1445">
        <v>10.199999999999999</v>
      </c>
      <c r="F1445">
        <v>100</v>
      </c>
    </row>
    <row r="1446" spans="1:6" x14ac:dyDescent="0.35">
      <c r="A1446">
        <v>1975</v>
      </c>
      <c r="B1446" s="1">
        <v>45585</v>
      </c>
      <c r="C1446" s="2">
        <v>0.16666666666666671</v>
      </c>
      <c r="D1446">
        <v>3</v>
      </c>
      <c r="E1446">
        <v>10.4</v>
      </c>
      <c r="F1446">
        <v>100</v>
      </c>
    </row>
    <row r="1447" spans="1:6" x14ac:dyDescent="0.35">
      <c r="A1447">
        <v>1975</v>
      </c>
      <c r="B1447" s="1">
        <v>45585</v>
      </c>
      <c r="C1447" s="2">
        <v>0.20833333333333329</v>
      </c>
      <c r="D1447">
        <v>3</v>
      </c>
      <c r="E1447">
        <v>10</v>
      </c>
      <c r="F1447">
        <v>100</v>
      </c>
    </row>
    <row r="1448" spans="1:6" x14ac:dyDescent="0.35">
      <c r="A1448">
        <v>1975</v>
      </c>
      <c r="B1448" s="1">
        <v>45585</v>
      </c>
      <c r="C1448" s="2">
        <v>0.25</v>
      </c>
      <c r="D1448">
        <v>3</v>
      </c>
      <c r="E1448">
        <v>9.6999999999999993</v>
      </c>
      <c r="F1448">
        <v>100</v>
      </c>
    </row>
    <row r="1449" spans="1:6" x14ac:dyDescent="0.35">
      <c r="A1449">
        <v>1975</v>
      </c>
      <c r="B1449" s="1">
        <v>45585</v>
      </c>
      <c r="C1449" s="2">
        <v>0.29166666666666669</v>
      </c>
      <c r="D1449">
        <v>3</v>
      </c>
      <c r="E1449">
        <v>10.8</v>
      </c>
      <c r="F1449">
        <v>97</v>
      </c>
    </row>
    <row r="1450" spans="1:6" x14ac:dyDescent="0.35">
      <c r="A1450">
        <v>1975</v>
      </c>
      <c r="B1450" s="1">
        <v>45585</v>
      </c>
      <c r="C1450" s="2">
        <v>0.33333333333333331</v>
      </c>
      <c r="D1450">
        <v>3</v>
      </c>
      <c r="E1450">
        <v>12</v>
      </c>
      <c r="F1450">
        <v>94</v>
      </c>
    </row>
    <row r="1451" spans="1:6" x14ac:dyDescent="0.35">
      <c r="A1451">
        <v>1975</v>
      </c>
      <c r="B1451" s="1">
        <v>45585</v>
      </c>
      <c r="C1451" s="2">
        <v>0.375</v>
      </c>
      <c r="D1451">
        <v>3</v>
      </c>
      <c r="E1451">
        <v>12.9</v>
      </c>
      <c r="F1451">
        <v>90</v>
      </c>
    </row>
    <row r="1452" spans="1:6" x14ac:dyDescent="0.35">
      <c r="A1452">
        <v>1975</v>
      </c>
      <c r="B1452" s="1">
        <v>45585</v>
      </c>
      <c r="C1452" s="2">
        <v>0.41666666666666669</v>
      </c>
      <c r="D1452">
        <v>3</v>
      </c>
      <c r="E1452">
        <v>14.9</v>
      </c>
      <c r="F1452">
        <v>82</v>
      </c>
    </row>
    <row r="1453" spans="1:6" x14ac:dyDescent="0.35">
      <c r="A1453">
        <v>1975</v>
      </c>
      <c r="B1453" s="1">
        <v>45585</v>
      </c>
      <c r="C1453" s="2">
        <v>0.45833333333333331</v>
      </c>
      <c r="D1453">
        <v>3</v>
      </c>
      <c r="E1453">
        <v>16.100000000000001</v>
      </c>
      <c r="F1453">
        <v>79</v>
      </c>
    </row>
    <row r="1454" spans="1:6" x14ac:dyDescent="0.35">
      <c r="A1454">
        <v>1975</v>
      </c>
      <c r="B1454" s="1">
        <v>45585</v>
      </c>
      <c r="C1454" s="2">
        <v>0.5</v>
      </c>
      <c r="D1454">
        <v>3</v>
      </c>
      <c r="E1454">
        <v>17.3</v>
      </c>
      <c r="F1454">
        <v>71</v>
      </c>
    </row>
    <row r="1455" spans="1:6" x14ac:dyDescent="0.35">
      <c r="A1455">
        <v>1975</v>
      </c>
      <c r="B1455" s="1">
        <v>45585</v>
      </c>
      <c r="C1455" s="2">
        <v>0.54166666666666663</v>
      </c>
      <c r="D1455">
        <v>3</v>
      </c>
      <c r="E1455">
        <v>16.899999999999999</v>
      </c>
      <c r="F1455">
        <v>71</v>
      </c>
    </row>
    <row r="1456" spans="1:6" x14ac:dyDescent="0.35">
      <c r="A1456">
        <v>1975</v>
      </c>
      <c r="B1456" s="1">
        <v>45585</v>
      </c>
      <c r="C1456" s="2">
        <v>0.58333333333333337</v>
      </c>
      <c r="D1456">
        <v>3</v>
      </c>
      <c r="E1456">
        <v>17</v>
      </c>
      <c r="F1456">
        <v>71</v>
      </c>
    </row>
    <row r="1457" spans="1:6" x14ac:dyDescent="0.35">
      <c r="A1457">
        <v>1975</v>
      </c>
      <c r="B1457" s="1">
        <v>45585</v>
      </c>
      <c r="C1457" s="2">
        <v>0.625</v>
      </c>
      <c r="D1457">
        <v>3</v>
      </c>
      <c r="E1457">
        <v>16.8</v>
      </c>
      <c r="F1457">
        <v>76</v>
      </c>
    </row>
    <row r="1458" spans="1:6" x14ac:dyDescent="0.35">
      <c r="A1458">
        <v>1975</v>
      </c>
      <c r="B1458" s="1">
        <v>45585</v>
      </c>
      <c r="C1458" s="2">
        <v>0.66666666666666663</v>
      </c>
      <c r="D1458">
        <v>3</v>
      </c>
      <c r="E1458">
        <v>16.8</v>
      </c>
      <c r="F1458">
        <v>76</v>
      </c>
    </row>
    <row r="1459" spans="1:6" x14ac:dyDescent="0.35">
      <c r="A1459">
        <v>1975</v>
      </c>
      <c r="B1459" s="1">
        <v>45585</v>
      </c>
      <c r="C1459" s="2">
        <v>0.70833333333333337</v>
      </c>
      <c r="D1459">
        <v>3</v>
      </c>
      <c r="E1459">
        <v>16.399999999999999</v>
      </c>
      <c r="F1459">
        <v>78</v>
      </c>
    </row>
    <row r="1460" spans="1:6" x14ac:dyDescent="0.35">
      <c r="A1460">
        <v>1975</v>
      </c>
      <c r="B1460" s="1">
        <v>45585</v>
      </c>
      <c r="C1460" s="2">
        <v>0.75</v>
      </c>
      <c r="D1460">
        <v>3</v>
      </c>
      <c r="E1460">
        <v>16.100000000000001</v>
      </c>
      <c r="F1460">
        <v>79</v>
      </c>
    </row>
    <row r="1461" spans="1:6" x14ac:dyDescent="0.35">
      <c r="A1461">
        <v>1975</v>
      </c>
      <c r="B1461" s="1">
        <v>45585</v>
      </c>
      <c r="C1461" s="2">
        <v>0.79166666666666663</v>
      </c>
      <c r="D1461">
        <v>3</v>
      </c>
      <c r="E1461">
        <v>15.9</v>
      </c>
      <c r="F1461">
        <v>80</v>
      </c>
    </row>
    <row r="1462" spans="1:6" x14ac:dyDescent="0.35">
      <c r="A1462">
        <v>1975</v>
      </c>
      <c r="B1462" s="1">
        <v>45585</v>
      </c>
      <c r="C1462" s="2">
        <v>0.83333333333333337</v>
      </c>
      <c r="D1462">
        <v>3</v>
      </c>
      <c r="E1462">
        <v>16.399999999999999</v>
      </c>
      <c r="F1462">
        <v>76</v>
      </c>
    </row>
    <row r="1463" spans="1:6" x14ac:dyDescent="0.35">
      <c r="A1463">
        <v>1975</v>
      </c>
      <c r="B1463" s="1">
        <v>45585</v>
      </c>
      <c r="C1463" s="2">
        <v>0.875</v>
      </c>
      <c r="D1463">
        <v>3</v>
      </c>
      <c r="E1463">
        <v>16.3</v>
      </c>
      <c r="F1463">
        <v>74</v>
      </c>
    </row>
    <row r="1464" spans="1:6" x14ac:dyDescent="0.35">
      <c r="A1464">
        <v>1975</v>
      </c>
      <c r="B1464" s="1">
        <v>45585</v>
      </c>
      <c r="C1464" s="2">
        <v>0.91666666666666663</v>
      </c>
      <c r="D1464">
        <v>3</v>
      </c>
      <c r="E1464">
        <v>15.4</v>
      </c>
      <c r="F1464">
        <v>81</v>
      </c>
    </row>
    <row r="1465" spans="1:6" x14ac:dyDescent="0.35">
      <c r="A1465">
        <v>1975</v>
      </c>
      <c r="B1465" s="1">
        <v>45585</v>
      </c>
      <c r="C1465" s="2">
        <v>0.95833333333333337</v>
      </c>
      <c r="D1465">
        <v>3</v>
      </c>
      <c r="E1465">
        <v>15.4</v>
      </c>
      <c r="F1465">
        <v>81</v>
      </c>
    </row>
    <row r="1466" spans="1:6" x14ac:dyDescent="0.35">
      <c r="A1466">
        <v>1975</v>
      </c>
      <c r="B1466" s="1">
        <v>45586</v>
      </c>
      <c r="C1466" s="2">
        <v>0</v>
      </c>
      <c r="D1466">
        <v>3</v>
      </c>
      <c r="E1466">
        <v>15.1</v>
      </c>
      <c r="F1466">
        <v>85</v>
      </c>
    </row>
    <row r="1467" spans="1:6" x14ac:dyDescent="0.35">
      <c r="A1467">
        <v>1975</v>
      </c>
      <c r="B1467" s="1">
        <v>45586</v>
      </c>
      <c r="C1467" s="2">
        <v>4.1666666666666657E-2</v>
      </c>
      <c r="D1467">
        <v>3</v>
      </c>
      <c r="E1467">
        <v>15.1</v>
      </c>
      <c r="F1467">
        <v>88</v>
      </c>
    </row>
    <row r="1468" spans="1:6" x14ac:dyDescent="0.35">
      <c r="A1468">
        <v>1975</v>
      </c>
      <c r="B1468" s="1">
        <v>45586</v>
      </c>
      <c r="C1468" s="2">
        <v>8.3333333333333329E-2</v>
      </c>
      <c r="D1468">
        <v>3</v>
      </c>
      <c r="E1468">
        <v>15.5</v>
      </c>
      <c r="F1468">
        <v>89</v>
      </c>
    </row>
    <row r="1469" spans="1:6" x14ac:dyDescent="0.35">
      <c r="A1469">
        <v>1975</v>
      </c>
      <c r="B1469" s="1">
        <v>45586</v>
      </c>
      <c r="C1469" s="2">
        <v>0.125</v>
      </c>
      <c r="D1469">
        <v>3</v>
      </c>
      <c r="E1469">
        <v>16</v>
      </c>
      <c r="F1469">
        <v>87</v>
      </c>
    </row>
    <row r="1470" spans="1:6" x14ac:dyDescent="0.35">
      <c r="A1470">
        <v>1975</v>
      </c>
      <c r="B1470" s="1">
        <v>45586</v>
      </c>
      <c r="C1470" s="2">
        <v>0.16666666666666671</v>
      </c>
      <c r="D1470">
        <v>3</v>
      </c>
      <c r="E1470">
        <v>15.9</v>
      </c>
      <c r="F1470">
        <v>90</v>
      </c>
    </row>
    <row r="1471" spans="1:6" x14ac:dyDescent="0.35">
      <c r="A1471">
        <v>1975</v>
      </c>
      <c r="B1471" s="1">
        <v>45586</v>
      </c>
      <c r="C1471" s="2">
        <v>0.20833333333333329</v>
      </c>
      <c r="D1471">
        <v>3</v>
      </c>
      <c r="E1471">
        <v>15.4</v>
      </c>
      <c r="F1471">
        <v>98</v>
      </c>
    </row>
    <row r="1472" spans="1:6" x14ac:dyDescent="0.35">
      <c r="A1472">
        <v>1975</v>
      </c>
      <c r="B1472" s="1">
        <v>45586</v>
      </c>
      <c r="C1472" s="2">
        <v>0.25</v>
      </c>
      <c r="D1472">
        <v>3</v>
      </c>
      <c r="E1472">
        <v>15.3</v>
      </c>
      <c r="F1472">
        <v>96</v>
      </c>
    </row>
    <row r="1473" spans="1:6" x14ac:dyDescent="0.35">
      <c r="A1473">
        <v>1975</v>
      </c>
      <c r="B1473" s="1">
        <v>45586</v>
      </c>
      <c r="C1473" s="2">
        <v>0.29166666666666669</v>
      </c>
      <c r="D1473">
        <v>3</v>
      </c>
      <c r="E1473">
        <v>14.4</v>
      </c>
      <c r="F1473">
        <v>92</v>
      </c>
    </row>
    <row r="1474" spans="1:6" x14ac:dyDescent="0.35">
      <c r="A1474">
        <v>1975</v>
      </c>
      <c r="B1474" s="1">
        <v>45586</v>
      </c>
      <c r="C1474" s="2">
        <v>0.33333333333333331</v>
      </c>
      <c r="D1474">
        <v>3</v>
      </c>
      <c r="E1474">
        <v>14.6</v>
      </c>
      <c r="F1474">
        <v>83</v>
      </c>
    </row>
    <row r="1475" spans="1:6" x14ac:dyDescent="0.35">
      <c r="A1475">
        <v>1975</v>
      </c>
      <c r="B1475" s="1">
        <v>45586</v>
      </c>
      <c r="C1475" s="2">
        <v>0.375</v>
      </c>
      <c r="D1475">
        <v>3</v>
      </c>
      <c r="E1475">
        <v>15</v>
      </c>
      <c r="F1475">
        <v>82</v>
      </c>
    </row>
    <row r="1476" spans="1:6" x14ac:dyDescent="0.35">
      <c r="A1476">
        <v>1975</v>
      </c>
      <c r="B1476" s="1">
        <v>45586</v>
      </c>
      <c r="C1476" s="2">
        <v>0.41666666666666669</v>
      </c>
      <c r="D1476">
        <v>3</v>
      </c>
      <c r="E1476">
        <v>15.4</v>
      </c>
      <c r="F1476">
        <v>79</v>
      </c>
    </row>
    <row r="1477" spans="1:6" x14ac:dyDescent="0.35">
      <c r="A1477">
        <v>1975</v>
      </c>
      <c r="B1477" s="1">
        <v>45586</v>
      </c>
      <c r="C1477" s="2">
        <v>0.45833333333333331</v>
      </c>
      <c r="D1477">
        <v>3</v>
      </c>
      <c r="E1477">
        <v>15.4</v>
      </c>
      <c r="F1477">
        <v>80</v>
      </c>
    </row>
    <row r="1478" spans="1:6" x14ac:dyDescent="0.35">
      <c r="A1478">
        <v>1975</v>
      </c>
      <c r="B1478" s="1">
        <v>45586</v>
      </c>
      <c r="C1478" s="2">
        <v>0.5</v>
      </c>
      <c r="D1478">
        <v>3</v>
      </c>
      <c r="E1478">
        <v>15.8</v>
      </c>
      <c r="F1478">
        <v>78</v>
      </c>
    </row>
    <row r="1479" spans="1:6" x14ac:dyDescent="0.35">
      <c r="A1479">
        <v>1975</v>
      </c>
      <c r="B1479" s="1">
        <v>45586</v>
      </c>
      <c r="C1479" s="2">
        <v>0.54166666666666663</v>
      </c>
      <c r="D1479">
        <v>3</v>
      </c>
      <c r="E1479">
        <v>15.8</v>
      </c>
      <c r="F1479">
        <v>76</v>
      </c>
    </row>
    <row r="1480" spans="1:6" x14ac:dyDescent="0.35">
      <c r="A1480">
        <v>1975</v>
      </c>
      <c r="B1480" s="1">
        <v>45586</v>
      </c>
      <c r="C1480" s="2">
        <v>0.58333333333333337</v>
      </c>
      <c r="D1480">
        <v>3</v>
      </c>
      <c r="E1480">
        <v>15.8</v>
      </c>
      <c r="F1480">
        <v>78</v>
      </c>
    </row>
    <row r="1481" spans="1:6" x14ac:dyDescent="0.35">
      <c r="A1481">
        <v>1975</v>
      </c>
      <c r="B1481" s="1">
        <v>45586</v>
      </c>
      <c r="C1481" s="2">
        <v>0.625</v>
      </c>
      <c r="D1481">
        <v>3</v>
      </c>
      <c r="E1481">
        <v>15.5</v>
      </c>
      <c r="F1481">
        <v>80</v>
      </c>
    </row>
    <row r="1482" spans="1:6" x14ac:dyDescent="0.35">
      <c r="A1482">
        <v>1975</v>
      </c>
      <c r="B1482" s="1">
        <v>45586</v>
      </c>
      <c r="C1482" s="2">
        <v>0.66666666666666663</v>
      </c>
      <c r="D1482">
        <v>3</v>
      </c>
      <c r="E1482">
        <v>15.2</v>
      </c>
      <c r="F1482">
        <v>81</v>
      </c>
    </row>
    <row r="1483" spans="1:6" x14ac:dyDescent="0.35">
      <c r="A1483">
        <v>1975</v>
      </c>
      <c r="B1483" s="1">
        <v>45586</v>
      </c>
      <c r="C1483" s="2">
        <v>0.70833333333333337</v>
      </c>
      <c r="D1483">
        <v>3</v>
      </c>
      <c r="E1483">
        <v>14.4</v>
      </c>
      <c r="F1483">
        <v>86</v>
      </c>
    </row>
    <row r="1484" spans="1:6" x14ac:dyDescent="0.35">
      <c r="A1484">
        <v>1975</v>
      </c>
      <c r="B1484" s="1">
        <v>45586</v>
      </c>
      <c r="C1484" s="2">
        <v>0.75</v>
      </c>
      <c r="D1484">
        <v>3</v>
      </c>
      <c r="E1484">
        <v>12.7</v>
      </c>
      <c r="F1484">
        <v>87</v>
      </c>
    </row>
    <row r="1485" spans="1:6" x14ac:dyDescent="0.35">
      <c r="A1485">
        <v>1975</v>
      </c>
      <c r="B1485" s="1">
        <v>45586</v>
      </c>
      <c r="C1485" s="2">
        <v>0.79166666666666663</v>
      </c>
      <c r="D1485">
        <v>3</v>
      </c>
      <c r="E1485">
        <v>11.7</v>
      </c>
      <c r="F1485">
        <v>90</v>
      </c>
    </row>
    <row r="1486" spans="1:6" x14ac:dyDescent="0.35">
      <c r="A1486">
        <v>1975</v>
      </c>
      <c r="B1486" s="1">
        <v>45586</v>
      </c>
      <c r="C1486" s="2">
        <v>0.83333333333333337</v>
      </c>
      <c r="D1486">
        <v>3</v>
      </c>
      <c r="E1486">
        <v>11.7</v>
      </c>
      <c r="F1486">
        <v>93</v>
      </c>
    </row>
    <row r="1487" spans="1:6" x14ac:dyDescent="0.35">
      <c r="A1487">
        <v>1975</v>
      </c>
      <c r="B1487" s="1">
        <v>45586</v>
      </c>
      <c r="C1487" s="2">
        <v>0.875</v>
      </c>
      <c r="D1487">
        <v>3</v>
      </c>
      <c r="E1487">
        <v>11.9</v>
      </c>
      <c r="F1487">
        <v>92</v>
      </c>
    </row>
    <row r="1488" spans="1:6" x14ac:dyDescent="0.35">
      <c r="A1488">
        <v>1975</v>
      </c>
      <c r="B1488" s="1">
        <v>45586</v>
      </c>
      <c r="C1488" s="2">
        <v>0.91666666666666663</v>
      </c>
      <c r="D1488">
        <v>3</v>
      </c>
      <c r="E1488">
        <v>12.1</v>
      </c>
      <c r="F1488">
        <v>93</v>
      </c>
    </row>
    <row r="1489" spans="1:6" x14ac:dyDescent="0.35">
      <c r="A1489">
        <v>1975</v>
      </c>
      <c r="B1489" s="1">
        <v>45586</v>
      </c>
      <c r="C1489" s="2">
        <v>0.95833333333333337</v>
      </c>
      <c r="D1489">
        <v>3</v>
      </c>
      <c r="E1489">
        <v>12.2</v>
      </c>
      <c r="F1489">
        <v>91</v>
      </c>
    </row>
    <row r="1490" spans="1:6" x14ac:dyDescent="0.35">
      <c r="A1490">
        <v>1975</v>
      </c>
      <c r="B1490" s="1">
        <v>45587</v>
      </c>
      <c r="C1490" s="2">
        <v>0</v>
      </c>
      <c r="D1490">
        <v>3</v>
      </c>
      <c r="E1490">
        <v>11.6</v>
      </c>
      <c r="F1490">
        <v>99</v>
      </c>
    </row>
    <row r="1491" spans="1:6" x14ac:dyDescent="0.35">
      <c r="A1491">
        <v>1975</v>
      </c>
      <c r="B1491" s="1">
        <v>45587</v>
      </c>
      <c r="C1491" s="2">
        <v>4.1666666666666657E-2</v>
      </c>
      <c r="D1491">
        <v>3</v>
      </c>
      <c r="E1491">
        <v>11.5</v>
      </c>
      <c r="F1491">
        <v>100</v>
      </c>
    </row>
    <row r="1492" spans="1:6" x14ac:dyDescent="0.35">
      <c r="A1492">
        <v>1975</v>
      </c>
      <c r="B1492" s="1">
        <v>45587</v>
      </c>
      <c r="C1492" s="2">
        <v>8.3333333333333329E-2</v>
      </c>
      <c r="D1492">
        <v>3</v>
      </c>
      <c r="E1492">
        <v>11.5</v>
      </c>
      <c r="F1492">
        <v>98</v>
      </c>
    </row>
    <row r="1493" spans="1:6" x14ac:dyDescent="0.35">
      <c r="A1493">
        <v>1975</v>
      </c>
      <c r="B1493" s="1">
        <v>45587</v>
      </c>
      <c r="C1493" s="2">
        <v>0.125</v>
      </c>
      <c r="D1493">
        <v>3</v>
      </c>
      <c r="E1493">
        <v>11.2</v>
      </c>
      <c r="F1493">
        <v>98</v>
      </c>
    </row>
    <row r="1494" spans="1:6" x14ac:dyDescent="0.35">
      <c r="A1494">
        <v>1975</v>
      </c>
      <c r="B1494" s="1">
        <v>45587</v>
      </c>
      <c r="C1494" s="2">
        <v>0.16666666666666671</v>
      </c>
      <c r="D1494">
        <v>3</v>
      </c>
      <c r="E1494">
        <v>11</v>
      </c>
      <c r="F1494">
        <v>99</v>
      </c>
    </row>
    <row r="1495" spans="1:6" x14ac:dyDescent="0.35">
      <c r="A1495">
        <v>1975</v>
      </c>
      <c r="B1495" s="1">
        <v>45587</v>
      </c>
      <c r="C1495" s="2">
        <v>0.20833333333333329</v>
      </c>
      <c r="D1495">
        <v>3</v>
      </c>
      <c r="E1495">
        <v>10.6</v>
      </c>
      <c r="F1495">
        <v>99</v>
      </c>
    </row>
    <row r="1496" spans="1:6" x14ac:dyDescent="0.35">
      <c r="A1496">
        <v>1975</v>
      </c>
      <c r="B1496" s="1">
        <v>45587</v>
      </c>
      <c r="C1496" s="2">
        <v>0.25</v>
      </c>
      <c r="D1496">
        <v>3</v>
      </c>
      <c r="E1496">
        <v>10.5</v>
      </c>
      <c r="F1496">
        <v>98</v>
      </c>
    </row>
    <row r="1497" spans="1:6" x14ac:dyDescent="0.35">
      <c r="A1497">
        <v>1975</v>
      </c>
      <c r="B1497" s="1">
        <v>45587</v>
      </c>
      <c r="C1497" s="2">
        <v>0.29166666666666669</v>
      </c>
      <c r="D1497">
        <v>3</v>
      </c>
      <c r="E1497">
        <v>10.199999999999999</v>
      </c>
      <c r="F1497">
        <v>98</v>
      </c>
    </row>
    <row r="1498" spans="1:6" x14ac:dyDescent="0.35">
      <c r="A1498">
        <v>1975</v>
      </c>
      <c r="B1498" s="1">
        <v>45587</v>
      </c>
      <c r="C1498" s="2">
        <v>0.33333333333333331</v>
      </c>
      <c r="D1498">
        <v>3</v>
      </c>
      <c r="E1498">
        <v>10.8</v>
      </c>
      <c r="F1498">
        <v>89</v>
      </c>
    </row>
    <row r="1499" spans="1:6" x14ac:dyDescent="0.35">
      <c r="A1499">
        <v>1975</v>
      </c>
      <c r="B1499" s="1">
        <v>45587</v>
      </c>
      <c r="C1499" s="2">
        <v>0.375</v>
      </c>
      <c r="D1499">
        <v>3</v>
      </c>
      <c r="E1499">
        <v>11.5</v>
      </c>
      <c r="F1499">
        <v>86</v>
      </c>
    </row>
    <row r="1500" spans="1:6" x14ac:dyDescent="0.35">
      <c r="A1500">
        <v>1975</v>
      </c>
      <c r="B1500" s="1">
        <v>45587</v>
      </c>
      <c r="C1500" s="2">
        <v>0.41666666666666669</v>
      </c>
      <c r="D1500">
        <v>3</v>
      </c>
      <c r="E1500">
        <v>12.7</v>
      </c>
      <c r="F1500">
        <v>81</v>
      </c>
    </row>
    <row r="1501" spans="1:6" x14ac:dyDescent="0.35">
      <c r="A1501">
        <v>1975</v>
      </c>
      <c r="B1501" s="1">
        <v>45587</v>
      </c>
      <c r="C1501" s="2">
        <v>0.45833333333333331</v>
      </c>
      <c r="D1501">
        <v>3</v>
      </c>
      <c r="E1501">
        <v>13.7</v>
      </c>
      <c r="F1501">
        <v>73</v>
      </c>
    </row>
    <row r="1502" spans="1:6" x14ac:dyDescent="0.35">
      <c r="A1502">
        <v>1975</v>
      </c>
      <c r="B1502" s="1">
        <v>45587</v>
      </c>
      <c r="C1502" s="2">
        <v>0.5</v>
      </c>
      <c r="D1502">
        <v>3</v>
      </c>
      <c r="E1502">
        <v>14.6</v>
      </c>
      <c r="F1502">
        <v>70</v>
      </c>
    </row>
    <row r="1503" spans="1:6" x14ac:dyDescent="0.35">
      <c r="A1503">
        <v>1975</v>
      </c>
      <c r="B1503" s="1">
        <v>45587</v>
      </c>
      <c r="C1503" s="2">
        <v>0.54166666666666663</v>
      </c>
      <c r="D1503">
        <v>3</v>
      </c>
      <c r="E1503">
        <v>14.6</v>
      </c>
      <c r="F1503">
        <v>68</v>
      </c>
    </row>
    <row r="1504" spans="1:6" x14ac:dyDescent="0.35">
      <c r="A1504">
        <v>1975</v>
      </c>
      <c r="B1504" s="1">
        <v>45587</v>
      </c>
      <c r="C1504" s="2">
        <v>0.58333333333333337</v>
      </c>
      <c r="D1504">
        <v>3</v>
      </c>
      <c r="E1504">
        <v>14.8</v>
      </c>
      <c r="F1504">
        <v>68</v>
      </c>
    </row>
    <row r="1505" spans="1:6" x14ac:dyDescent="0.35">
      <c r="A1505">
        <v>1975</v>
      </c>
      <c r="B1505" s="1">
        <v>45587</v>
      </c>
      <c r="C1505" s="2">
        <v>0.625</v>
      </c>
      <c r="D1505">
        <v>3</v>
      </c>
      <c r="E1505">
        <v>14.3</v>
      </c>
      <c r="F1505">
        <v>70</v>
      </c>
    </row>
    <row r="1506" spans="1:6" x14ac:dyDescent="0.35">
      <c r="A1506">
        <v>1975</v>
      </c>
      <c r="B1506" s="1">
        <v>45587</v>
      </c>
      <c r="C1506" s="2">
        <v>0.66666666666666663</v>
      </c>
      <c r="D1506">
        <v>3</v>
      </c>
      <c r="E1506">
        <v>13.2</v>
      </c>
      <c r="F1506">
        <v>77</v>
      </c>
    </row>
    <row r="1507" spans="1:6" x14ac:dyDescent="0.35">
      <c r="A1507">
        <v>1975</v>
      </c>
      <c r="B1507" s="1">
        <v>45587</v>
      </c>
      <c r="C1507" s="2">
        <v>0.70833333333333337</v>
      </c>
      <c r="D1507">
        <v>3</v>
      </c>
      <c r="E1507">
        <v>11.9</v>
      </c>
      <c r="F1507">
        <v>80</v>
      </c>
    </row>
    <row r="1508" spans="1:6" x14ac:dyDescent="0.35">
      <c r="A1508">
        <v>1975</v>
      </c>
      <c r="B1508" s="1">
        <v>45587</v>
      </c>
      <c r="C1508" s="2">
        <v>0.75</v>
      </c>
      <c r="D1508">
        <v>3</v>
      </c>
      <c r="E1508">
        <v>9.6</v>
      </c>
      <c r="F1508">
        <v>87</v>
      </c>
    </row>
    <row r="1509" spans="1:6" x14ac:dyDescent="0.35">
      <c r="A1509">
        <v>1975</v>
      </c>
      <c r="B1509" s="1">
        <v>45587</v>
      </c>
      <c r="C1509" s="2">
        <v>0.79166666666666663</v>
      </c>
      <c r="D1509">
        <v>3</v>
      </c>
      <c r="E1509">
        <v>9.1</v>
      </c>
      <c r="F1509">
        <v>91</v>
      </c>
    </row>
    <row r="1510" spans="1:6" x14ac:dyDescent="0.35">
      <c r="A1510">
        <v>1975</v>
      </c>
      <c r="B1510" s="1">
        <v>45587</v>
      </c>
      <c r="C1510" s="2">
        <v>0.83333333333333337</v>
      </c>
      <c r="D1510">
        <v>3</v>
      </c>
      <c r="E1510">
        <v>10.6</v>
      </c>
      <c r="F1510">
        <v>88</v>
      </c>
    </row>
    <row r="1511" spans="1:6" x14ac:dyDescent="0.35">
      <c r="A1511">
        <v>1975</v>
      </c>
      <c r="B1511" s="1">
        <v>45587</v>
      </c>
      <c r="C1511" s="2">
        <v>0.875</v>
      </c>
      <c r="D1511">
        <v>3</v>
      </c>
      <c r="E1511">
        <v>9.9</v>
      </c>
      <c r="F1511">
        <v>93</v>
      </c>
    </row>
    <row r="1512" spans="1:6" x14ac:dyDescent="0.35">
      <c r="A1512">
        <v>1975</v>
      </c>
      <c r="B1512" s="1">
        <v>45587</v>
      </c>
      <c r="C1512" s="2">
        <v>0.91666666666666663</v>
      </c>
      <c r="D1512">
        <v>3</v>
      </c>
      <c r="E1512">
        <v>10.1</v>
      </c>
      <c r="F1512">
        <v>93</v>
      </c>
    </row>
    <row r="1513" spans="1:6" x14ac:dyDescent="0.35">
      <c r="A1513">
        <v>1975</v>
      </c>
      <c r="B1513" s="1">
        <v>45587</v>
      </c>
      <c r="C1513" s="2">
        <v>0.95833333333333337</v>
      </c>
      <c r="D1513">
        <v>3</v>
      </c>
      <c r="E1513">
        <v>8.9</v>
      </c>
      <c r="F1513">
        <v>95</v>
      </c>
    </row>
    <row r="1514" spans="1:6" x14ac:dyDescent="0.35">
      <c r="A1514">
        <v>1975</v>
      </c>
      <c r="B1514" s="1">
        <v>45588</v>
      </c>
      <c r="C1514" s="2">
        <v>0</v>
      </c>
      <c r="D1514">
        <v>3</v>
      </c>
      <c r="E1514">
        <v>8.3000000000000007</v>
      </c>
      <c r="F1514">
        <v>96</v>
      </c>
    </row>
    <row r="1515" spans="1:6" x14ac:dyDescent="0.35">
      <c r="A1515">
        <v>1975</v>
      </c>
      <c r="B1515" s="1">
        <v>45588</v>
      </c>
      <c r="C1515" s="2">
        <v>4.1666666666666657E-2</v>
      </c>
      <c r="D1515">
        <v>3</v>
      </c>
      <c r="E1515">
        <v>8.4</v>
      </c>
      <c r="F1515">
        <v>100</v>
      </c>
    </row>
    <row r="1516" spans="1:6" x14ac:dyDescent="0.35">
      <c r="A1516">
        <v>1975</v>
      </c>
      <c r="B1516" s="1">
        <v>45588</v>
      </c>
      <c r="C1516" s="2">
        <v>8.3333333333333329E-2</v>
      </c>
      <c r="D1516">
        <v>3</v>
      </c>
      <c r="E1516">
        <v>7.1</v>
      </c>
      <c r="F1516">
        <v>100</v>
      </c>
    </row>
    <row r="1517" spans="1:6" x14ac:dyDescent="0.35">
      <c r="A1517">
        <v>1975</v>
      </c>
      <c r="B1517" s="1">
        <v>45588</v>
      </c>
      <c r="C1517" s="2">
        <v>0.125</v>
      </c>
      <c r="D1517">
        <v>3</v>
      </c>
      <c r="E1517">
        <v>7.9</v>
      </c>
      <c r="F1517">
        <v>100</v>
      </c>
    </row>
    <row r="1518" spans="1:6" x14ac:dyDescent="0.35">
      <c r="A1518">
        <v>1975</v>
      </c>
      <c r="B1518" s="1">
        <v>45588</v>
      </c>
      <c r="C1518" s="2">
        <v>0.16666666666666671</v>
      </c>
      <c r="D1518">
        <v>3</v>
      </c>
      <c r="E1518">
        <v>7.3</v>
      </c>
      <c r="F1518">
        <v>100</v>
      </c>
    </row>
    <row r="1519" spans="1:6" x14ac:dyDescent="0.35">
      <c r="A1519">
        <v>1975</v>
      </c>
      <c r="B1519" s="1">
        <v>45588</v>
      </c>
      <c r="C1519" s="2">
        <v>0.20833333333333329</v>
      </c>
      <c r="D1519">
        <v>3</v>
      </c>
      <c r="E1519">
        <v>7.5</v>
      </c>
      <c r="F1519">
        <v>100</v>
      </c>
    </row>
    <row r="1520" spans="1:6" x14ac:dyDescent="0.35">
      <c r="A1520">
        <v>1975</v>
      </c>
      <c r="B1520" s="1">
        <v>45588</v>
      </c>
      <c r="C1520" s="2">
        <v>0.25</v>
      </c>
      <c r="D1520">
        <v>3</v>
      </c>
      <c r="E1520">
        <v>8.6999999999999993</v>
      </c>
      <c r="F1520">
        <v>100</v>
      </c>
    </row>
    <row r="1521" spans="1:6" x14ac:dyDescent="0.35">
      <c r="A1521">
        <v>1975</v>
      </c>
      <c r="B1521" s="1">
        <v>45588</v>
      </c>
      <c r="C1521" s="2">
        <v>0.29166666666666669</v>
      </c>
      <c r="D1521">
        <v>3</v>
      </c>
      <c r="E1521">
        <v>9.5</v>
      </c>
      <c r="F1521">
        <v>99</v>
      </c>
    </row>
    <row r="1522" spans="1:6" x14ac:dyDescent="0.35">
      <c r="A1522">
        <v>1975</v>
      </c>
      <c r="B1522" s="1">
        <v>45588</v>
      </c>
      <c r="C1522" s="2">
        <v>0.33333333333333331</v>
      </c>
      <c r="D1522">
        <v>3</v>
      </c>
      <c r="E1522">
        <v>10.3</v>
      </c>
      <c r="F1522">
        <v>97</v>
      </c>
    </row>
    <row r="1523" spans="1:6" x14ac:dyDescent="0.35">
      <c r="A1523">
        <v>1975</v>
      </c>
      <c r="B1523" s="1">
        <v>45588</v>
      </c>
      <c r="C1523" s="2">
        <v>0.375</v>
      </c>
      <c r="D1523">
        <v>3</v>
      </c>
      <c r="E1523">
        <v>10</v>
      </c>
      <c r="F1523">
        <v>98</v>
      </c>
    </row>
    <row r="1524" spans="1:6" x14ac:dyDescent="0.35">
      <c r="A1524">
        <v>1975</v>
      </c>
      <c r="B1524" s="1">
        <v>45588</v>
      </c>
      <c r="C1524" s="2">
        <v>0.41666666666666669</v>
      </c>
      <c r="D1524">
        <v>3</v>
      </c>
      <c r="E1524">
        <v>10.5</v>
      </c>
      <c r="F1524">
        <v>95</v>
      </c>
    </row>
    <row r="1525" spans="1:6" x14ac:dyDescent="0.35">
      <c r="A1525">
        <v>1975</v>
      </c>
      <c r="B1525" s="1">
        <v>45588</v>
      </c>
      <c r="C1525" s="2">
        <v>0.45833333333333331</v>
      </c>
      <c r="D1525">
        <v>3</v>
      </c>
      <c r="E1525">
        <v>10.8</v>
      </c>
      <c r="F1525">
        <v>95</v>
      </c>
    </row>
    <row r="1526" spans="1:6" x14ac:dyDescent="0.35">
      <c r="A1526">
        <v>1975</v>
      </c>
      <c r="B1526" s="1">
        <v>45588</v>
      </c>
      <c r="C1526" s="2">
        <v>0.5</v>
      </c>
      <c r="D1526">
        <v>3</v>
      </c>
      <c r="E1526">
        <v>11.7</v>
      </c>
      <c r="F1526">
        <v>89</v>
      </c>
    </row>
    <row r="1527" spans="1:6" x14ac:dyDescent="0.35">
      <c r="A1527">
        <v>1975</v>
      </c>
      <c r="B1527" s="1">
        <v>45588</v>
      </c>
      <c r="C1527" s="2">
        <v>0.54166666666666663</v>
      </c>
      <c r="D1527">
        <v>3</v>
      </c>
      <c r="E1527">
        <v>12.7</v>
      </c>
      <c r="F1527">
        <v>79</v>
      </c>
    </row>
    <row r="1528" spans="1:6" x14ac:dyDescent="0.35">
      <c r="A1528">
        <v>1975</v>
      </c>
      <c r="B1528" s="1">
        <v>45588</v>
      </c>
      <c r="C1528" s="2">
        <v>0.58333333333333337</v>
      </c>
      <c r="D1528">
        <v>3</v>
      </c>
      <c r="E1528">
        <v>13</v>
      </c>
      <c r="F1528">
        <v>76</v>
      </c>
    </row>
    <row r="1529" spans="1:6" x14ac:dyDescent="0.35">
      <c r="A1529">
        <v>1975</v>
      </c>
      <c r="B1529" s="1">
        <v>45588</v>
      </c>
      <c r="C1529" s="2">
        <v>0.625</v>
      </c>
      <c r="D1529">
        <v>3</v>
      </c>
      <c r="E1529">
        <v>12.2</v>
      </c>
      <c r="F1529">
        <v>80</v>
      </c>
    </row>
    <row r="1530" spans="1:6" x14ac:dyDescent="0.35">
      <c r="A1530">
        <v>1975</v>
      </c>
      <c r="B1530" s="1">
        <v>45588</v>
      </c>
      <c r="C1530" s="2">
        <v>0.66666666666666663</v>
      </c>
      <c r="D1530">
        <v>3</v>
      </c>
      <c r="E1530">
        <v>10.7</v>
      </c>
      <c r="F1530">
        <v>88</v>
      </c>
    </row>
    <row r="1531" spans="1:6" x14ac:dyDescent="0.35">
      <c r="A1531">
        <v>1975</v>
      </c>
      <c r="B1531" s="1">
        <v>45588</v>
      </c>
      <c r="C1531" s="2">
        <v>0.70833333333333337</v>
      </c>
      <c r="D1531">
        <v>3</v>
      </c>
      <c r="E1531">
        <v>8.6</v>
      </c>
      <c r="F1531">
        <v>98</v>
      </c>
    </row>
    <row r="1532" spans="1:6" x14ac:dyDescent="0.35">
      <c r="A1532">
        <v>1975</v>
      </c>
      <c r="B1532" s="1">
        <v>45588</v>
      </c>
      <c r="C1532" s="2">
        <v>0.75</v>
      </c>
      <c r="D1532">
        <v>3</v>
      </c>
      <c r="E1532">
        <v>7.8</v>
      </c>
      <c r="F1532">
        <v>100</v>
      </c>
    </row>
    <row r="1533" spans="1:6" x14ac:dyDescent="0.35">
      <c r="A1533">
        <v>1975</v>
      </c>
      <c r="B1533" s="1">
        <v>45588</v>
      </c>
      <c r="C1533" s="2">
        <v>0.79166666666666663</v>
      </c>
      <c r="D1533">
        <v>3</v>
      </c>
      <c r="E1533">
        <v>6.7</v>
      </c>
      <c r="F1533">
        <v>100</v>
      </c>
    </row>
    <row r="1534" spans="1:6" x14ac:dyDescent="0.35">
      <c r="A1534">
        <v>1975</v>
      </c>
      <c r="B1534" s="1">
        <v>45588</v>
      </c>
      <c r="C1534" s="2">
        <v>0.83333333333333337</v>
      </c>
      <c r="D1534">
        <v>3</v>
      </c>
      <c r="E1534">
        <v>6.3</v>
      </c>
      <c r="F1534">
        <v>100</v>
      </c>
    </row>
    <row r="1535" spans="1:6" x14ac:dyDescent="0.35">
      <c r="A1535">
        <v>1975</v>
      </c>
      <c r="B1535" s="1">
        <v>45588</v>
      </c>
      <c r="C1535" s="2">
        <v>0.875</v>
      </c>
      <c r="D1535">
        <v>3</v>
      </c>
      <c r="E1535">
        <v>5.8</v>
      </c>
      <c r="F1535">
        <v>100</v>
      </c>
    </row>
    <row r="1536" spans="1:6" x14ac:dyDescent="0.35">
      <c r="A1536">
        <v>1975</v>
      </c>
      <c r="B1536" s="1">
        <v>45588</v>
      </c>
      <c r="C1536" s="2">
        <v>0.91666666666666663</v>
      </c>
      <c r="D1536">
        <v>3</v>
      </c>
      <c r="E1536">
        <v>5.6</v>
      </c>
      <c r="F1536">
        <v>100</v>
      </c>
    </row>
    <row r="1537" spans="1:6" x14ac:dyDescent="0.35">
      <c r="A1537">
        <v>1975</v>
      </c>
      <c r="B1537" s="1">
        <v>45588</v>
      </c>
      <c r="C1537" s="2">
        <v>0.95833333333333337</v>
      </c>
      <c r="D1537">
        <v>3</v>
      </c>
      <c r="E1537">
        <v>5.3</v>
      </c>
      <c r="F1537">
        <v>100</v>
      </c>
    </row>
    <row r="1538" spans="1:6" x14ac:dyDescent="0.35">
      <c r="A1538">
        <v>1975</v>
      </c>
      <c r="B1538" s="1">
        <v>45589</v>
      </c>
      <c r="C1538" s="2">
        <v>0</v>
      </c>
      <c r="D1538">
        <v>3</v>
      </c>
      <c r="E1538">
        <v>5.8</v>
      </c>
      <c r="F1538">
        <v>100</v>
      </c>
    </row>
    <row r="1539" spans="1:6" x14ac:dyDescent="0.35">
      <c r="A1539">
        <v>1975</v>
      </c>
      <c r="B1539" s="1">
        <v>45589</v>
      </c>
      <c r="C1539" s="2">
        <v>4.1666666666666657E-2</v>
      </c>
      <c r="D1539">
        <v>3</v>
      </c>
      <c r="E1539">
        <v>6.5</v>
      </c>
      <c r="F1539">
        <v>100</v>
      </c>
    </row>
    <row r="1540" spans="1:6" x14ac:dyDescent="0.35">
      <c r="A1540">
        <v>1975</v>
      </c>
      <c r="B1540" s="1">
        <v>45589</v>
      </c>
      <c r="C1540" s="2">
        <v>8.3333333333333329E-2</v>
      </c>
      <c r="D1540">
        <v>3</v>
      </c>
      <c r="E1540">
        <v>6.9</v>
      </c>
      <c r="F1540">
        <v>100</v>
      </c>
    </row>
    <row r="1541" spans="1:6" x14ac:dyDescent="0.35">
      <c r="A1541">
        <v>1975</v>
      </c>
      <c r="B1541" s="1">
        <v>45589</v>
      </c>
      <c r="C1541" s="2">
        <v>0.125</v>
      </c>
      <c r="D1541">
        <v>3</v>
      </c>
      <c r="E1541">
        <v>6.9</v>
      </c>
      <c r="F1541">
        <v>100</v>
      </c>
    </row>
    <row r="1542" spans="1:6" x14ac:dyDescent="0.35">
      <c r="A1542">
        <v>1975</v>
      </c>
      <c r="B1542" s="1">
        <v>45589</v>
      </c>
      <c r="C1542" s="2">
        <v>0.16666666666666671</v>
      </c>
      <c r="D1542">
        <v>3</v>
      </c>
      <c r="E1542">
        <v>6.6</v>
      </c>
      <c r="F1542">
        <v>100</v>
      </c>
    </row>
    <row r="1543" spans="1:6" x14ac:dyDescent="0.35">
      <c r="A1543">
        <v>1975</v>
      </c>
      <c r="B1543" s="1">
        <v>45589</v>
      </c>
      <c r="C1543" s="2">
        <v>0.20833333333333329</v>
      </c>
      <c r="D1543">
        <v>3</v>
      </c>
      <c r="E1543">
        <v>6.6</v>
      </c>
      <c r="F1543">
        <v>100</v>
      </c>
    </row>
    <row r="1544" spans="1:6" x14ac:dyDescent="0.35">
      <c r="A1544">
        <v>1975</v>
      </c>
      <c r="B1544" s="1">
        <v>45589</v>
      </c>
      <c r="C1544" s="2">
        <v>0.25</v>
      </c>
      <c r="D1544">
        <v>3</v>
      </c>
      <c r="E1544">
        <v>6.3</v>
      </c>
      <c r="F1544">
        <v>100</v>
      </c>
    </row>
    <row r="1545" spans="1:6" x14ac:dyDescent="0.35">
      <c r="A1545">
        <v>1975</v>
      </c>
      <c r="B1545" s="1">
        <v>45589</v>
      </c>
      <c r="C1545" s="2">
        <v>0.29166666666666669</v>
      </c>
      <c r="D1545">
        <v>3</v>
      </c>
      <c r="E1545">
        <v>6.2</v>
      </c>
      <c r="F1545">
        <v>100</v>
      </c>
    </row>
    <row r="1546" spans="1:6" x14ac:dyDescent="0.35">
      <c r="A1546">
        <v>1975</v>
      </c>
      <c r="B1546" s="1">
        <v>45589</v>
      </c>
      <c r="C1546" s="2">
        <v>0.33333333333333331</v>
      </c>
      <c r="D1546">
        <v>3</v>
      </c>
      <c r="E1546">
        <v>6.7</v>
      </c>
      <c r="F1546">
        <v>100</v>
      </c>
    </row>
    <row r="1547" spans="1:6" x14ac:dyDescent="0.35">
      <c r="A1547">
        <v>1975</v>
      </c>
      <c r="B1547" s="1">
        <v>45589</v>
      </c>
      <c r="C1547" s="2">
        <v>0.375</v>
      </c>
      <c r="D1547">
        <v>3</v>
      </c>
      <c r="E1547">
        <v>9.1</v>
      </c>
      <c r="F1547">
        <v>92</v>
      </c>
    </row>
    <row r="1548" spans="1:6" x14ac:dyDescent="0.35">
      <c r="A1548">
        <v>1975</v>
      </c>
      <c r="B1548" s="1">
        <v>45589</v>
      </c>
      <c r="C1548" s="2">
        <v>0.41666666666666669</v>
      </c>
      <c r="D1548">
        <v>3</v>
      </c>
      <c r="E1548">
        <v>11.6</v>
      </c>
      <c r="F1548">
        <v>80</v>
      </c>
    </row>
    <row r="1549" spans="1:6" x14ac:dyDescent="0.35">
      <c r="A1549">
        <v>1975</v>
      </c>
      <c r="B1549" s="1">
        <v>45589</v>
      </c>
      <c r="C1549" s="2">
        <v>0.45833333333333331</v>
      </c>
      <c r="D1549">
        <v>3</v>
      </c>
      <c r="E1549">
        <v>12.1</v>
      </c>
      <c r="F1549">
        <v>77</v>
      </c>
    </row>
    <row r="1550" spans="1:6" x14ac:dyDescent="0.35">
      <c r="A1550">
        <v>1975</v>
      </c>
      <c r="B1550" s="1">
        <v>45589</v>
      </c>
      <c r="C1550" s="2">
        <v>0.5</v>
      </c>
      <c r="D1550">
        <v>3</v>
      </c>
      <c r="E1550">
        <v>13.4</v>
      </c>
      <c r="F1550">
        <v>73</v>
      </c>
    </row>
    <row r="1551" spans="1:6" x14ac:dyDescent="0.35">
      <c r="A1551">
        <v>1975</v>
      </c>
      <c r="B1551" s="1">
        <v>45589</v>
      </c>
      <c r="C1551" s="2">
        <v>0.54166666666666663</v>
      </c>
      <c r="D1551">
        <v>3</v>
      </c>
      <c r="E1551">
        <v>13.9</v>
      </c>
      <c r="F1551">
        <v>67</v>
      </c>
    </row>
    <row r="1552" spans="1:6" x14ac:dyDescent="0.35">
      <c r="A1552">
        <v>1975</v>
      </c>
      <c r="B1552" s="1">
        <v>45589</v>
      </c>
      <c r="C1552" s="2">
        <v>0.58333333333333337</v>
      </c>
      <c r="D1552">
        <v>3</v>
      </c>
      <c r="E1552">
        <v>14.2</v>
      </c>
      <c r="F1552">
        <v>65</v>
      </c>
    </row>
    <row r="1553" spans="1:6" x14ac:dyDescent="0.35">
      <c r="A1553">
        <v>1975</v>
      </c>
      <c r="B1553" s="1">
        <v>45589</v>
      </c>
      <c r="C1553" s="2">
        <v>0.625</v>
      </c>
      <c r="D1553">
        <v>3</v>
      </c>
      <c r="E1553">
        <v>14.4</v>
      </c>
      <c r="F1553">
        <v>64</v>
      </c>
    </row>
    <row r="1554" spans="1:6" x14ac:dyDescent="0.35">
      <c r="A1554">
        <v>1975</v>
      </c>
      <c r="B1554" s="1">
        <v>45589</v>
      </c>
      <c r="C1554" s="2">
        <v>0.66666666666666663</v>
      </c>
      <c r="D1554">
        <v>3</v>
      </c>
      <c r="E1554">
        <v>13.8</v>
      </c>
      <c r="F1554">
        <v>67</v>
      </c>
    </row>
    <row r="1555" spans="1:6" x14ac:dyDescent="0.35">
      <c r="A1555">
        <v>1975</v>
      </c>
      <c r="B1555" s="1">
        <v>45589</v>
      </c>
      <c r="C1555" s="2">
        <v>0.70833333333333337</v>
      </c>
      <c r="D1555">
        <v>3</v>
      </c>
      <c r="E1555">
        <v>12.4</v>
      </c>
      <c r="F1555">
        <v>72</v>
      </c>
    </row>
    <row r="1556" spans="1:6" x14ac:dyDescent="0.35">
      <c r="A1556">
        <v>1975</v>
      </c>
      <c r="B1556" s="1">
        <v>45589</v>
      </c>
      <c r="C1556" s="2">
        <v>0.75</v>
      </c>
      <c r="D1556">
        <v>3</v>
      </c>
      <c r="E1556">
        <v>10.6</v>
      </c>
      <c r="F1556">
        <v>81</v>
      </c>
    </row>
    <row r="1557" spans="1:6" x14ac:dyDescent="0.35">
      <c r="A1557">
        <v>1975</v>
      </c>
      <c r="B1557" s="1">
        <v>45589</v>
      </c>
      <c r="C1557" s="2">
        <v>0.79166666666666663</v>
      </c>
      <c r="D1557">
        <v>3</v>
      </c>
      <c r="E1557">
        <v>10.5</v>
      </c>
      <c r="F1557">
        <v>83</v>
      </c>
    </row>
    <row r="1558" spans="1:6" x14ac:dyDescent="0.35">
      <c r="A1558">
        <v>1975</v>
      </c>
      <c r="B1558" s="1">
        <v>45589</v>
      </c>
      <c r="C1558" s="2">
        <v>0.83333333333333337</v>
      </c>
      <c r="D1558">
        <v>3</v>
      </c>
      <c r="E1558">
        <v>10.1</v>
      </c>
      <c r="F1558">
        <v>85</v>
      </c>
    </row>
    <row r="1559" spans="1:6" x14ac:dyDescent="0.35">
      <c r="A1559">
        <v>1975</v>
      </c>
      <c r="B1559" s="1">
        <v>45589</v>
      </c>
      <c r="C1559" s="2">
        <v>0.875</v>
      </c>
      <c r="D1559">
        <v>3</v>
      </c>
      <c r="E1559">
        <v>9.6</v>
      </c>
      <c r="F1559">
        <v>88</v>
      </c>
    </row>
    <row r="1560" spans="1:6" x14ac:dyDescent="0.35">
      <c r="A1560">
        <v>1975</v>
      </c>
      <c r="B1560" s="1">
        <v>45589</v>
      </c>
      <c r="C1560" s="2">
        <v>0.91666666666666663</v>
      </c>
      <c r="D1560">
        <v>3</v>
      </c>
      <c r="E1560">
        <v>9.1999999999999993</v>
      </c>
      <c r="F1560">
        <v>90</v>
      </c>
    </row>
    <row r="1561" spans="1:6" x14ac:dyDescent="0.35">
      <c r="A1561">
        <v>1975</v>
      </c>
      <c r="B1561" s="1">
        <v>45589</v>
      </c>
      <c r="C1561" s="2">
        <v>0.95833333333333337</v>
      </c>
      <c r="D1561">
        <v>3</v>
      </c>
      <c r="E1561">
        <v>8.8000000000000007</v>
      </c>
      <c r="F1561">
        <v>92</v>
      </c>
    </row>
    <row r="1562" spans="1:6" x14ac:dyDescent="0.35">
      <c r="A1562">
        <v>1975</v>
      </c>
      <c r="B1562" s="1">
        <v>45590</v>
      </c>
      <c r="C1562" s="2">
        <v>0</v>
      </c>
      <c r="D1562">
        <v>3</v>
      </c>
      <c r="E1562">
        <v>9.6999999999999993</v>
      </c>
      <c r="F1562">
        <v>90</v>
      </c>
    </row>
    <row r="1563" spans="1:6" x14ac:dyDescent="0.35">
      <c r="A1563">
        <v>1975</v>
      </c>
      <c r="B1563" s="1">
        <v>45590</v>
      </c>
      <c r="C1563" s="2">
        <v>4.1666666666666657E-2</v>
      </c>
      <c r="D1563">
        <v>3</v>
      </c>
      <c r="E1563">
        <v>9.9</v>
      </c>
      <c r="F1563">
        <v>90</v>
      </c>
    </row>
    <row r="1564" spans="1:6" x14ac:dyDescent="0.35">
      <c r="A1564">
        <v>1975</v>
      </c>
      <c r="B1564" s="1">
        <v>45590</v>
      </c>
      <c r="C1564" s="2">
        <v>8.3333333333333329E-2</v>
      </c>
      <c r="D1564">
        <v>3</v>
      </c>
      <c r="E1564">
        <v>10.3</v>
      </c>
      <c r="F1564">
        <v>90</v>
      </c>
    </row>
    <row r="1565" spans="1:6" x14ac:dyDescent="0.35">
      <c r="A1565">
        <v>1975</v>
      </c>
      <c r="B1565" s="1">
        <v>45590</v>
      </c>
      <c r="C1565" s="2">
        <v>0.125</v>
      </c>
      <c r="D1565">
        <v>3</v>
      </c>
      <c r="E1565">
        <v>10.6</v>
      </c>
      <c r="F1565">
        <v>90</v>
      </c>
    </row>
    <row r="1566" spans="1:6" x14ac:dyDescent="0.35">
      <c r="A1566">
        <v>1975</v>
      </c>
      <c r="B1566" s="1">
        <v>45590</v>
      </c>
      <c r="C1566" s="2">
        <v>0.16666666666666671</v>
      </c>
      <c r="D1566">
        <v>3</v>
      </c>
      <c r="E1566">
        <v>10.7</v>
      </c>
      <c r="F1566">
        <v>91</v>
      </c>
    </row>
    <row r="1567" spans="1:6" x14ac:dyDescent="0.35">
      <c r="A1567">
        <v>1975</v>
      </c>
      <c r="B1567" s="1">
        <v>45590</v>
      </c>
      <c r="C1567" s="2">
        <v>0.20833333333333329</v>
      </c>
      <c r="D1567">
        <v>3</v>
      </c>
      <c r="E1567">
        <v>10.5</v>
      </c>
      <c r="F1567">
        <v>90</v>
      </c>
    </row>
    <row r="1568" spans="1:6" x14ac:dyDescent="0.35">
      <c r="A1568">
        <v>1975</v>
      </c>
      <c r="B1568" s="1">
        <v>45590</v>
      </c>
      <c r="C1568" s="2">
        <v>0.25</v>
      </c>
      <c r="D1568">
        <v>3</v>
      </c>
      <c r="E1568">
        <v>9.6</v>
      </c>
      <c r="F1568">
        <v>95</v>
      </c>
    </row>
    <row r="1569" spans="1:6" x14ac:dyDescent="0.35">
      <c r="A1569">
        <v>1975</v>
      </c>
      <c r="B1569" s="1">
        <v>45590</v>
      </c>
      <c r="C1569" s="2">
        <v>0.29166666666666669</v>
      </c>
      <c r="D1569">
        <v>3</v>
      </c>
      <c r="E1569">
        <v>9.9</v>
      </c>
      <c r="F1569">
        <v>94</v>
      </c>
    </row>
    <row r="1570" spans="1:6" x14ac:dyDescent="0.35">
      <c r="A1570">
        <v>1975</v>
      </c>
      <c r="B1570" s="1">
        <v>45590</v>
      </c>
      <c r="C1570" s="2">
        <v>0.33333333333333331</v>
      </c>
      <c r="D1570">
        <v>3</v>
      </c>
      <c r="E1570">
        <v>10.6</v>
      </c>
      <c r="F1570">
        <v>90</v>
      </c>
    </row>
    <row r="1571" spans="1:6" x14ac:dyDescent="0.35">
      <c r="A1571">
        <v>1975</v>
      </c>
      <c r="B1571" s="1">
        <v>45590</v>
      </c>
      <c r="C1571" s="2">
        <v>0.375</v>
      </c>
      <c r="D1571">
        <v>3</v>
      </c>
      <c r="E1571">
        <v>12.1</v>
      </c>
      <c r="F1571">
        <v>83</v>
      </c>
    </row>
    <row r="1572" spans="1:6" x14ac:dyDescent="0.35">
      <c r="A1572">
        <v>1975</v>
      </c>
      <c r="B1572" s="1">
        <v>45590</v>
      </c>
      <c r="C1572" s="2">
        <v>0.41666666666666669</v>
      </c>
      <c r="D1572">
        <v>3</v>
      </c>
      <c r="E1572">
        <v>13.3</v>
      </c>
      <c r="F1572">
        <v>80</v>
      </c>
    </row>
    <row r="1573" spans="1:6" x14ac:dyDescent="0.35">
      <c r="A1573">
        <v>1975</v>
      </c>
      <c r="B1573" s="1">
        <v>45590</v>
      </c>
      <c r="C1573" s="2">
        <v>0.45833333333333331</v>
      </c>
      <c r="D1573">
        <v>3</v>
      </c>
      <c r="E1573">
        <v>14.5</v>
      </c>
      <c r="F1573">
        <v>77</v>
      </c>
    </row>
    <row r="1574" spans="1:6" x14ac:dyDescent="0.35">
      <c r="A1574">
        <v>1975</v>
      </c>
      <c r="B1574" s="1">
        <v>45590</v>
      </c>
      <c r="C1574" s="2">
        <v>0.5</v>
      </c>
      <c r="D1574">
        <v>3</v>
      </c>
      <c r="E1574">
        <v>15.8</v>
      </c>
      <c r="F1574">
        <v>74</v>
      </c>
    </row>
    <row r="1575" spans="1:6" x14ac:dyDescent="0.35">
      <c r="A1575">
        <v>1975</v>
      </c>
      <c r="B1575" s="1">
        <v>45590</v>
      </c>
      <c r="C1575" s="2">
        <v>0.54166666666666663</v>
      </c>
      <c r="D1575">
        <v>3</v>
      </c>
      <c r="E1575">
        <v>17.100000000000001</v>
      </c>
      <c r="F1575">
        <v>72</v>
      </c>
    </row>
    <row r="1576" spans="1:6" x14ac:dyDescent="0.35">
      <c r="A1576">
        <v>1975</v>
      </c>
      <c r="B1576" s="1">
        <v>45590</v>
      </c>
      <c r="C1576" s="2">
        <v>0.58333333333333337</v>
      </c>
      <c r="D1576">
        <v>3</v>
      </c>
      <c r="E1576">
        <v>17.2</v>
      </c>
      <c r="F1576">
        <v>73</v>
      </c>
    </row>
    <row r="1577" spans="1:6" x14ac:dyDescent="0.35">
      <c r="A1577">
        <v>1975</v>
      </c>
      <c r="B1577" s="1">
        <v>45590</v>
      </c>
      <c r="C1577" s="2">
        <v>0.625</v>
      </c>
      <c r="D1577">
        <v>3</v>
      </c>
      <c r="E1577">
        <v>17.100000000000001</v>
      </c>
      <c r="F1577">
        <v>74</v>
      </c>
    </row>
    <row r="1578" spans="1:6" x14ac:dyDescent="0.35">
      <c r="A1578">
        <v>1975</v>
      </c>
      <c r="B1578" s="1">
        <v>45590</v>
      </c>
      <c r="C1578" s="2">
        <v>0.66666666666666663</v>
      </c>
      <c r="D1578">
        <v>3</v>
      </c>
      <c r="E1578">
        <v>14.7</v>
      </c>
      <c r="F1578">
        <v>84</v>
      </c>
    </row>
    <row r="1579" spans="1:6" x14ac:dyDescent="0.35">
      <c r="A1579">
        <v>1975</v>
      </c>
      <c r="B1579" s="1">
        <v>45590</v>
      </c>
      <c r="C1579" s="2">
        <v>0.70833333333333337</v>
      </c>
      <c r="D1579">
        <v>3</v>
      </c>
      <c r="E1579">
        <v>13.8</v>
      </c>
      <c r="F1579">
        <v>91</v>
      </c>
    </row>
    <row r="1580" spans="1:6" x14ac:dyDescent="0.35">
      <c r="A1580">
        <v>1975</v>
      </c>
      <c r="B1580" s="1">
        <v>45590</v>
      </c>
      <c r="C1580" s="2">
        <v>0.75</v>
      </c>
      <c r="D1580">
        <v>3</v>
      </c>
      <c r="E1580">
        <v>11.7</v>
      </c>
      <c r="F1580">
        <v>99</v>
      </c>
    </row>
    <row r="1581" spans="1:6" x14ac:dyDescent="0.35">
      <c r="A1581">
        <v>1975</v>
      </c>
      <c r="B1581" s="1">
        <v>45590</v>
      </c>
      <c r="C1581" s="2">
        <v>0.79166666666666663</v>
      </c>
      <c r="D1581">
        <v>3</v>
      </c>
      <c r="E1581">
        <v>11.3</v>
      </c>
      <c r="F1581">
        <v>100</v>
      </c>
    </row>
    <row r="1582" spans="1:6" x14ac:dyDescent="0.35">
      <c r="A1582">
        <v>1975</v>
      </c>
      <c r="B1582" s="1">
        <v>45590</v>
      </c>
      <c r="C1582" s="2">
        <v>0.83333333333333337</v>
      </c>
      <c r="D1582">
        <v>3</v>
      </c>
      <c r="E1582">
        <v>10.199999999999999</v>
      </c>
      <c r="F1582">
        <v>100</v>
      </c>
    </row>
    <row r="1583" spans="1:6" x14ac:dyDescent="0.35">
      <c r="A1583">
        <v>1975</v>
      </c>
      <c r="B1583" s="1">
        <v>45590</v>
      </c>
      <c r="C1583" s="2">
        <v>0.875</v>
      </c>
      <c r="D1583">
        <v>3</v>
      </c>
      <c r="E1583">
        <v>9.3000000000000007</v>
      </c>
      <c r="F1583">
        <v>100</v>
      </c>
    </row>
    <row r="1584" spans="1:6" x14ac:dyDescent="0.35">
      <c r="A1584">
        <v>1975</v>
      </c>
      <c r="B1584" s="1">
        <v>45590</v>
      </c>
      <c r="C1584" s="2">
        <v>0.91666666666666663</v>
      </c>
      <c r="D1584">
        <v>3</v>
      </c>
      <c r="E1584">
        <v>8.6</v>
      </c>
      <c r="F1584">
        <v>100</v>
      </c>
    </row>
    <row r="1585" spans="1:6" x14ac:dyDescent="0.35">
      <c r="A1585">
        <v>1975</v>
      </c>
      <c r="B1585" s="1">
        <v>45590</v>
      </c>
      <c r="C1585" s="2">
        <v>0.95833333333333337</v>
      </c>
      <c r="D1585">
        <v>3</v>
      </c>
      <c r="E1585">
        <v>8.1999999999999993</v>
      </c>
      <c r="F1585">
        <v>100</v>
      </c>
    </row>
    <row r="1586" spans="1:6" x14ac:dyDescent="0.35">
      <c r="A1586">
        <v>1975</v>
      </c>
      <c r="B1586" s="1">
        <v>45591</v>
      </c>
      <c r="C1586" s="2">
        <v>0</v>
      </c>
      <c r="D1586">
        <v>3</v>
      </c>
      <c r="E1586">
        <v>7.2</v>
      </c>
      <c r="F1586">
        <v>100</v>
      </c>
    </row>
    <row r="1587" spans="1:6" x14ac:dyDescent="0.35">
      <c r="A1587">
        <v>1975</v>
      </c>
      <c r="B1587" s="1">
        <v>45591</v>
      </c>
      <c r="C1587" s="2">
        <v>4.1666666666666657E-2</v>
      </c>
      <c r="D1587">
        <v>3</v>
      </c>
      <c r="E1587">
        <v>7.5</v>
      </c>
      <c r="F1587">
        <v>100</v>
      </c>
    </row>
    <row r="1588" spans="1:6" x14ac:dyDescent="0.35">
      <c r="A1588">
        <v>1975</v>
      </c>
      <c r="B1588" s="1">
        <v>45591</v>
      </c>
      <c r="C1588" s="2">
        <v>8.3333333333333329E-2</v>
      </c>
      <c r="D1588">
        <v>3</v>
      </c>
      <c r="E1588">
        <v>7.7</v>
      </c>
      <c r="F1588">
        <v>100</v>
      </c>
    </row>
    <row r="1589" spans="1:6" x14ac:dyDescent="0.35">
      <c r="A1589">
        <v>1975</v>
      </c>
      <c r="B1589" s="1">
        <v>45591</v>
      </c>
      <c r="C1589" s="2">
        <v>0.125</v>
      </c>
      <c r="D1589">
        <v>3</v>
      </c>
      <c r="E1589">
        <v>7.6</v>
      </c>
      <c r="F1589">
        <v>100</v>
      </c>
    </row>
    <row r="1590" spans="1:6" x14ac:dyDescent="0.35">
      <c r="A1590">
        <v>1975</v>
      </c>
      <c r="B1590" s="1">
        <v>45591</v>
      </c>
      <c r="C1590" s="2">
        <v>0.16666666666666671</v>
      </c>
      <c r="D1590">
        <v>3</v>
      </c>
      <c r="E1590">
        <v>7.5</v>
      </c>
      <c r="F1590">
        <v>100</v>
      </c>
    </row>
    <row r="1591" spans="1:6" x14ac:dyDescent="0.35">
      <c r="A1591">
        <v>1975</v>
      </c>
      <c r="B1591" s="1">
        <v>45591</v>
      </c>
      <c r="C1591" s="2">
        <v>0.20833333333333329</v>
      </c>
      <c r="D1591">
        <v>3</v>
      </c>
      <c r="E1591">
        <v>7.9</v>
      </c>
      <c r="F1591">
        <v>100</v>
      </c>
    </row>
    <row r="1592" spans="1:6" x14ac:dyDescent="0.35">
      <c r="A1592">
        <v>1975</v>
      </c>
      <c r="B1592" s="1">
        <v>45591</v>
      </c>
      <c r="C1592" s="2">
        <v>0.25</v>
      </c>
      <c r="D1592">
        <v>3</v>
      </c>
      <c r="E1592">
        <v>8.1</v>
      </c>
      <c r="F1592">
        <v>100</v>
      </c>
    </row>
    <row r="1593" spans="1:6" x14ac:dyDescent="0.35">
      <c r="A1593">
        <v>1975</v>
      </c>
      <c r="B1593" s="1">
        <v>45591</v>
      </c>
      <c r="C1593" s="2">
        <v>0.29166666666666669</v>
      </c>
      <c r="D1593">
        <v>3</v>
      </c>
      <c r="E1593">
        <v>8.3000000000000007</v>
      </c>
      <c r="F1593">
        <v>100</v>
      </c>
    </row>
    <row r="1594" spans="1:6" x14ac:dyDescent="0.35">
      <c r="A1594">
        <v>1975</v>
      </c>
      <c r="B1594" s="1">
        <v>45591</v>
      </c>
      <c r="C1594" s="2">
        <v>0.33333333333333331</v>
      </c>
      <c r="D1594">
        <v>3</v>
      </c>
      <c r="E1594">
        <v>9.1999999999999993</v>
      </c>
      <c r="F1594">
        <v>100</v>
      </c>
    </row>
    <row r="1595" spans="1:6" x14ac:dyDescent="0.35">
      <c r="A1595">
        <v>1975</v>
      </c>
      <c r="B1595" s="1">
        <v>45591</v>
      </c>
      <c r="C1595" s="2">
        <v>0.375</v>
      </c>
      <c r="D1595">
        <v>3</v>
      </c>
      <c r="E1595">
        <v>9.9</v>
      </c>
      <c r="F1595">
        <v>100</v>
      </c>
    </row>
    <row r="1596" spans="1:6" x14ac:dyDescent="0.35">
      <c r="A1596">
        <v>1975</v>
      </c>
      <c r="B1596" s="1">
        <v>45591</v>
      </c>
      <c r="C1596" s="2">
        <v>0.41666666666666669</v>
      </c>
      <c r="D1596">
        <v>3</v>
      </c>
      <c r="E1596">
        <v>11.2</v>
      </c>
      <c r="F1596">
        <v>100</v>
      </c>
    </row>
    <row r="1597" spans="1:6" x14ac:dyDescent="0.35">
      <c r="A1597">
        <v>1975</v>
      </c>
      <c r="B1597" s="1">
        <v>45591</v>
      </c>
      <c r="C1597" s="2">
        <v>0.45833333333333331</v>
      </c>
      <c r="D1597">
        <v>3</v>
      </c>
      <c r="E1597">
        <v>13.6</v>
      </c>
      <c r="F1597">
        <v>89</v>
      </c>
    </row>
    <row r="1598" spans="1:6" x14ac:dyDescent="0.35">
      <c r="A1598">
        <v>1975</v>
      </c>
      <c r="B1598" s="1">
        <v>45591</v>
      </c>
      <c r="C1598" s="2">
        <v>0.5</v>
      </c>
      <c r="D1598">
        <v>3</v>
      </c>
      <c r="E1598">
        <v>16.100000000000001</v>
      </c>
      <c r="F1598">
        <v>82</v>
      </c>
    </row>
    <row r="1599" spans="1:6" x14ac:dyDescent="0.35">
      <c r="A1599">
        <v>1975</v>
      </c>
      <c r="B1599" s="1">
        <v>45591</v>
      </c>
      <c r="C1599" s="2">
        <v>0.54166666666666663</v>
      </c>
      <c r="D1599">
        <v>3</v>
      </c>
      <c r="E1599">
        <v>16.899999999999999</v>
      </c>
      <c r="F1599">
        <v>80</v>
      </c>
    </row>
    <row r="1600" spans="1:6" x14ac:dyDescent="0.35">
      <c r="A1600">
        <v>1975</v>
      </c>
      <c r="B1600" s="1">
        <v>45591</v>
      </c>
      <c r="C1600" s="2">
        <v>0.58333333333333337</v>
      </c>
      <c r="D1600">
        <v>3</v>
      </c>
      <c r="E1600">
        <v>16.899999999999999</v>
      </c>
      <c r="F1600">
        <v>80</v>
      </c>
    </row>
    <row r="1601" spans="1:6" x14ac:dyDescent="0.35">
      <c r="A1601">
        <v>1975</v>
      </c>
      <c r="B1601" s="1">
        <v>45591</v>
      </c>
      <c r="C1601" s="2">
        <v>0.625</v>
      </c>
      <c r="D1601">
        <v>3</v>
      </c>
      <c r="E1601">
        <v>16.2</v>
      </c>
      <c r="F1601">
        <v>85</v>
      </c>
    </row>
    <row r="1602" spans="1:6" x14ac:dyDescent="0.35">
      <c r="A1602">
        <v>1975</v>
      </c>
      <c r="B1602" s="1">
        <v>45591</v>
      </c>
      <c r="C1602" s="2">
        <v>0.66666666666666663</v>
      </c>
      <c r="D1602">
        <v>3</v>
      </c>
      <c r="E1602">
        <v>15.7</v>
      </c>
      <c r="F1602">
        <v>87</v>
      </c>
    </row>
    <row r="1603" spans="1:6" x14ac:dyDescent="0.35">
      <c r="A1603">
        <v>1975</v>
      </c>
      <c r="B1603" s="1">
        <v>45591</v>
      </c>
      <c r="C1603" s="2">
        <v>0.70833333333333337</v>
      </c>
      <c r="D1603">
        <v>3</v>
      </c>
      <c r="E1603">
        <v>14.3</v>
      </c>
      <c r="F1603">
        <v>92</v>
      </c>
    </row>
    <row r="1604" spans="1:6" x14ac:dyDescent="0.35">
      <c r="A1604">
        <v>1975</v>
      </c>
      <c r="B1604" s="1">
        <v>45591</v>
      </c>
      <c r="C1604" s="2">
        <v>0.75</v>
      </c>
      <c r="D1604">
        <v>3</v>
      </c>
      <c r="E1604">
        <v>13.9</v>
      </c>
      <c r="F1604">
        <v>95</v>
      </c>
    </row>
    <row r="1605" spans="1:6" x14ac:dyDescent="0.35">
      <c r="A1605">
        <v>1975</v>
      </c>
      <c r="B1605" s="1">
        <v>45591</v>
      </c>
      <c r="C1605" s="2">
        <v>0.79166666666666663</v>
      </c>
      <c r="D1605">
        <v>3</v>
      </c>
      <c r="E1605">
        <v>13.2</v>
      </c>
      <c r="F1605">
        <v>97</v>
      </c>
    </row>
    <row r="1606" spans="1:6" x14ac:dyDescent="0.35">
      <c r="A1606">
        <v>1975</v>
      </c>
      <c r="B1606" s="1">
        <v>45591</v>
      </c>
      <c r="C1606" s="2">
        <v>0.83333333333333337</v>
      </c>
      <c r="D1606">
        <v>3</v>
      </c>
      <c r="E1606">
        <v>13</v>
      </c>
      <c r="F1606">
        <v>99</v>
      </c>
    </row>
    <row r="1607" spans="1:6" x14ac:dyDescent="0.35">
      <c r="A1607">
        <v>1975</v>
      </c>
      <c r="B1607" s="1">
        <v>45591</v>
      </c>
      <c r="C1607" s="2">
        <v>0.875</v>
      </c>
      <c r="D1607">
        <v>3</v>
      </c>
      <c r="E1607">
        <v>12</v>
      </c>
      <c r="F1607">
        <v>100</v>
      </c>
    </row>
    <row r="1608" spans="1:6" x14ac:dyDescent="0.35">
      <c r="A1608">
        <v>1975</v>
      </c>
      <c r="B1608" s="1">
        <v>45591</v>
      </c>
      <c r="C1608" s="2">
        <v>0.91666666666666663</v>
      </c>
      <c r="D1608">
        <v>3</v>
      </c>
      <c r="E1608">
        <v>12.2</v>
      </c>
      <c r="F1608">
        <v>100</v>
      </c>
    </row>
    <row r="1609" spans="1:6" x14ac:dyDescent="0.35">
      <c r="A1609">
        <v>1975</v>
      </c>
      <c r="B1609" s="1">
        <v>45591</v>
      </c>
      <c r="C1609" s="2">
        <v>0.95833333333333337</v>
      </c>
      <c r="D1609">
        <v>3</v>
      </c>
      <c r="E1609">
        <v>13</v>
      </c>
      <c r="F1609">
        <v>97</v>
      </c>
    </row>
    <row r="1610" spans="1:6" x14ac:dyDescent="0.35">
      <c r="A1610">
        <v>1975</v>
      </c>
      <c r="B1610" s="1">
        <v>45592</v>
      </c>
      <c r="C1610" s="2">
        <v>0</v>
      </c>
      <c r="D1610">
        <v>3</v>
      </c>
      <c r="E1610">
        <v>12.5</v>
      </c>
      <c r="F1610">
        <v>97</v>
      </c>
    </row>
    <row r="1611" spans="1:6" x14ac:dyDescent="0.35">
      <c r="A1611">
        <v>1975</v>
      </c>
      <c r="B1611" s="1">
        <v>45592</v>
      </c>
      <c r="C1611" s="2">
        <v>4.1666666666666657E-2</v>
      </c>
      <c r="D1611">
        <v>3</v>
      </c>
      <c r="E1611">
        <v>12.1</v>
      </c>
      <c r="F1611">
        <v>98</v>
      </c>
    </row>
    <row r="1612" spans="1:6" x14ac:dyDescent="0.35">
      <c r="A1612">
        <v>1975</v>
      </c>
      <c r="B1612" s="1">
        <v>45592</v>
      </c>
      <c r="C1612" s="2">
        <v>8.3333333333333329E-2</v>
      </c>
      <c r="D1612">
        <v>3</v>
      </c>
      <c r="E1612">
        <v>11.7</v>
      </c>
      <c r="F1612">
        <v>98</v>
      </c>
    </row>
    <row r="1613" spans="1:6" x14ac:dyDescent="0.35">
      <c r="A1613">
        <v>1975</v>
      </c>
      <c r="B1613" s="1">
        <v>45592</v>
      </c>
      <c r="C1613" s="2">
        <v>0.125</v>
      </c>
      <c r="D1613">
        <v>3</v>
      </c>
      <c r="E1613">
        <v>10.8</v>
      </c>
      <c r="F1613">
        <v>100</v>
      </c>
    </row>
    <row r="1614" spans="1:6" x14ac:dyDescent="0.35">
      <c r="A1614">
        <v>1975</v>
      </c>
      <c r="B1614" s="1">
        <v>45592</v>
      </c>
      <c r="C1614" s="2">
        <v>0.16666666666666671</v>
      </c>
      <c r="D1614">
        <v>3</v>
      </c>
      <c r="E1614">
        <v>10.8</v>
      </c>
      <c r="F1614">
        <v>100</v>
      </c>
    </row>
    <row r="1615" spans="1:6" x14ac:dyDescent="0.35">
      <c r="A1615">
        <v>1975</v>
      </c>
      <c r="B1615" s="1">
        <v>45592</v>
      </c>
      <c r="C1615" s="2">
        <v>0.20833333333333329</v>
      </c>
      <c r="D1615">
        <v>3</v>
      </c>
      <c r="E1615">
        <v>10.9</v>
      </c>
      <c r="F1615">
        <v>99</v>
      </c>
    </row>
    <row r="1616" spans="1:6" x14ac:dyDescent="0.35">
      <c r="A1616">
        <v>1975</v>
      </c>
      <c r="B1616" s="1">
        <v>45592</v>
      </c>
      <c r="C1616" s="2">
        <v>0.25</v>
      </c>
      <c r="D1616">
        <v>3</v>
      </c>
      <c r="E1616">
        <v>11</v>
      </c>
      <c r="F1616">
        <v>98</v>
      </c>
    </row>
    <row r="1617" spans="1:6" x14ac:dyDescent="0.35">
      <c r="A1617">
        <v>1975</v>
      </c>
      <c r="B1617" s="1">
        <v>45592</v>
      </c>
      <c r="C1617" s="2">
        <v>0.29166666666666669</v>
      </c>
      <c r="D1617">
        <v>3</v>
      </c>
      <c r="E1617">
        <v>11.3</v>
      </c>
      <c r="F1617">
        <v>97</v>
      </c>
    </row>
    <row r="1618" spans="1:6" x14ac:dyDescent="0.35">
      <c r="A1618">
        <v>1975</v>
      </c>
      <c r="B1618" s="1">
        <v>45592</v>
      </c>
      <c r="C1618" s="2">
        <v>0.33333333333333331</v>
      </c>
      <c r="D1618">
        <v>3</v>
      </c>
      <c r="E1618">
        <v>12.5</v>
      </c>
      <c r="F1618">
        <v>94</v>
      </c>
    </row>
    <row r="1619" spans="1:6" x14ac:dyDescent="0.35">
      <c r="A1619">
        <v>1975</v>
      </c>
      <c r="B1619" s="1">
        <v>45592</v>
      </c>
      <c r="C1619" s="2">
        <v>0.375</v>
      </c>
      <c r="D1619">
        <v>3</v>
      </c>
      <c r="E1619">
        <v>12.6</v>
      </c>
      <c r="F1619">
        <v>96</v>
      </c>
    </row>
    <row r="1620" spans="1:6" x14ac:dyDescent="0.35">
      <c r="A1620">
        <v>1975</v>
      </c>
      <c r="B1620" s="1">
        <v>45592</v>
      </c>
      <c r="C1620" s="2">
        <v>0.41666666666666669</v>
      </c>
      <c r="D1620">
        <v>3</v>
      </c>
      <c r="E1620">
        <v>12.7</v>
      </c>
      <c r="F1620">
        <v>99</v>
      </c>
    </row>
    <row r="1621" spans="1:6" x14ac:dyDescent="0.35">
      <c r="A1621">
        <v>1975</v>
      </c>
      <c r="B1621" s="1">
        <v>45592</v>
      </c>
      <c r="C1621" s="2">
        <v>0.45833333333333331</v>
      </c>
      <c r="D1621">
        <v>3</v>
      </c>
      <c r="E1621">
        <v>13.1</v>
      </c>
      <c r="F1621">
        <v>96</v>
      </c>
    </row>
    <row r="1622" spans="1:6" x14ac:dyDescent="0.35">
      <c r="A1622">
        <v>1975</v>
      </c>
      <c r="B1622" s="1">
        <v>45592</v>
      </c>
      <c r="C1622" s="2">
        <v>0.5</v>
      </c>
      <c r="D1622">
        <v>3</v>
      </c>
      <c r="E1622">
        <v>13.4</v>
      </c>
      <c r="F1622">
        <v>91</v>
      </c>
    </row>
    <row r="1623" spans="1:6" x14ac:dyDescent="0.35">
      <c r="A1623">
        <v>1975</v>
      </c>
      <c r="B1623" s="1">
        <v>45592</v>
      </c>
      <c r="C1623" s="2">
        <v>0.54166666666666663</v>
      </c>
      <c r="D1623">
        <v>3</v>
      </c>
      <c r="E1623">
        <v>13.9</v>
      </c>
      <c r="F1623">
        <v>82</v>
      </c>
    </row>
    <row r="1624" spans="1:6" x14ac:dyDescent="0.35">
      <c r="A1624">
        <v>1975</v>
      </c>
      <c r="B1624" s="1">
        <v>45592</v>
      </c>
      <c r="C1624" s="2">
        <v>0.58333333333333337</v>
      </c>
      <c r="D1624">
        <v>3</v>
      </c>
      <c r="E1624">
        <v>14.5</v>
      </c>
      <c r="F1624">
        <v>72</v>
      </c>
    </row>
    <row r="1625" spans="1:6" x14ac:dyDescent="0.35">
      <c r="A1625">
        <v>1975</v>
      </c>
      <c r="B1625" s="1">
        <v>45592</v>
      </c>
      <c r="C1625" s="2">
        <v>0.625</v>
      </c>
      <c r="D1625">
        <v>3</v>
      </c>
      <c r="E1625">
        <v>14.5</v>
      </c>
      <c r="F1625">
        <v>73</v>
      </c>
    </row>
    <row r="1626" spans="1:6" x14ac:dyDescent="0.35">
      <c r="A1626">
        <v>1975</v>
      </c>
      <c r="B1626" s="1">
        <v>45592</v>
      </c>
      <c r="C1626" s="2">
        <v>0.66666666666666663</v>
      </c>
      <c r="D1626">
        <v>3</v>
      </c>
      <c r="E1626">
        <v>13.2</v>
      </c>
      <c r="F1626">
        <v>81</v>
      </c>
    </row>
    <row r="1627" spans="1:6" x14ac:dyDescent="0.35">
      <c r="A1627">
        <v>1975</v>
      </c>
      <c r="B1627" s="1">
        <v>45592</v>
      </c>
      <c r="C1627" s="2">
        <v>0.70833333333333337</v>
      </c>
      <c r="D1627">
        <v>3</v>
      </c>
      <c r="E1627">
        <v>12.8</v>
      </c>
      <c r="F1627">
        <v>86</v>
      </c>
    </row>
    <row r="1628" spans="1:6" x14ac:dyDescent="0.35">
      <c r="A1628">
        <v>1975</v>
      </c>
      <c r="B1628" s="1">
        <v>45592</v>
      </c>
      <c r="C1628" s="2">
        <v>0.75</v>
      </c>
      <c r="D1628">
        <v>3</v>
      </c>
      <c r="E1628">
        <v>12.5</v>
      </c>
      <c r="F1628">
        <v>86</v>
      </c>
    </row>
    <row r="1629" spans="1:6" x14ac:dyDescent="0.35">
      <c r="A1629">
        <v>1975</v>
      </c>
      <c r="B1629" s="1">
        <v>45592</v>
      </c>
      <c r="C1629" s="2">
        <v>0.79166666666666663</v>
      </c>
      <c r="D1629">
        <v>3</v>
      </c>
      <c r="E1629">
        <v>10.6</v>
      </c>
      <c r="F1629">
        <v>96</v>
      </c>
    </row>
    <row r="1630" spans="1:6" x14ac:dyDescent="0.35">
      <c r="A1630">
        <v>1975</v>
      </c>
      <c r="B1630" s="1">
        <v>45592</v>
      </c>
      <c r="C1630" s="2">
        <v>0.83333333333333337</v>
      </c>
      <c r="D1630">
        <v>3</v>
      </c>
      <c r="E1630">
        <v>8.1999999999999993</v>
      </c>
      <c r="F1630">
        <v>100</v>
      </c>
    </row>
    <row r="1631" spans="1:6" x14ac:dyDescent="0.35">
      <c r="A1631">
        <v>1975</v>
      </c>
      <c r="B1631" s="1">
        <v>45592</v>
      </c>
      <c r="C1631" s="2">
        <v>0.875</v>
      </c>
      <c r="D1631">
        <v>3</v>
      </c>
      <c r="E1631">
        <v>7.3</v>
      </c>
      <c r="F1631">
        <v>100</v>
      </c>
    </row>
    <row r="1632" spans="1:6" x14ac:dyDescent="0.35">
      <c r="A1632">
        <v>1975</v>
      </c>
      <c r="B1632" s="1">
        <v>45592</v>
      </c>
      <c r="C1632" s="2">
        <v>0.91666666666666663</v>
      </c>
      <c r="D1632">
        <v>3</v>
      </c>
      <c r="E1632">
        <v>7.4</v>
      </c>
      <c r="F1632">
        <v>100</v>
      </c>
    </row>
    <row r="1633" spans="1:6" x14ac:dyDescent="0.35">
      <c r="A1633">
        <v>1975</v>
      </c>
      <c r="B1633" s="1">
        <v>45592</v>
      </c>
      <c r="C1633" s="2">
        <v>0.95833333333333337</v>
      </c>
      <c r="D1633">
        <v>3</v>
      </c>
      <c r="E1633">
        <v>7.2</v>
      </c>
      <c r="F1633">
        <v>100</v>
      </c>
    </row>
    <row r="1634" spans="1:6" x14ac:dyDescent="0.35">
      <c r="A1634">
        <v>1975</v>
      </c>
      <c r="B1634" s="1">
        <v>45593</v>
      </c>
      <c r="C1634" s="2">
        <v>0</v>
      </c>
      <c r="D1634">
        <v>3</v>
      </c>
      <c r="E1634">
        <v>7.5</v>
      </c>
      <c r="F1634">
        <v>100</v>
      </c>
    </row>
    <row r="1635" spans="1:6" x14ac:dyDescent="0.35">
      <c r="A1635">
        <v>1975</v>
      </c>
      <c r="B1635" s="1">
        <v>45593</v>
      </c>
      <c r="C1635" s="2">
        <v>4.1666666666666657E-2</v>
      </c>
      <c r="D1635">
        <v>3</v>
      </c>
      <c r="E1635">
        <v>5.7</v>
      </c>
      <c r="F1635">
        <v>100</v>
      </c>
    </row>
    <row r="1636" spans="1:6" x14ac:dyDescent="0.35">
      <c r="A1636">
        <v>1975</v>
      </c>
      <c r="B1636" s="1">
        <v>45593</v>
      </c>
      <c r="C1636" s="2">
        <v>8.3333333333333329E-2</v>
      </c>
      <c r="D1636">
        <v>3</v>
      </c>
      <c r="E1636">
        <v>6.6</v>
      </c>
      <c r="F1636">
        <v>100</v>
      </c>
    </row>
    <row r="1637" spans="1:6" x14ac:dyDescent="0.35">
      <c r="A1637">
        <v>1975</v>
      </c>
      <c r="B1637" s="1">
        <v>45593</v>
      </c>
      <c r="C1637" s="2">
        <v>0.125</v>
      </c>
      <c r="D1637">
        <v>3</v>
      </c>
      <c r="E1637">
        <v>6.7</v>
      </c>
      <c r="F1637">
        <v>100</v>
      </c>
    </row>
    <row r="1638" spans="1:6" x14ac:dyDescent="0.35">
      <c r="A1638">
        <v>1975</v>
      </c>
      <c r="B1638" s="1">
        <v>45593</v>
      </c>
      <c r="C1638" s="2">
        <v>0.16666666666666671</v>
      </c>
      <c r="D1638">
        <v>3</v>
      </c>
      <c r="E1638">
        <v>7.8</v>
      </c>
      <c r="F1638">
        <v>100</v>
      </c>
    </row>
    <row r="1639" spans="1:6" x14ac:dyDescent="0.35">
      <c r="A1639">
        <v>1975</v>
      </c>
      <c r="B1639" s="1">
        <v>45593</v>
      </c>
      <c r="C1639" s="2">
        <v>0.20833333333333329</v>
      </c>
      <c r="D1639">
        <v>3</v>
      </c>
      <c r="E1639">
        <v>7.8</v>
      </c>
      <c r="F1639">
        <v>100</v>
      </c>
    </row>
    <row r="1640" spans="1:6" x14ac:dyDescent="0.35">
      <c r="A1640">
        <v>1975</v>
      </c>
      <c r="B1640" s="1">
        <v>45593</v>
      </c>
      <c r="C1640" s="2">
        <v>0.25</v>
      </c>
      <c r="D1640">
        <v>3</v>
      </c>
      <c r="E1640">
        <v>8.8000000000000007</v>
      </c>
      <c r="F1640">
        <v>98</v>
      </c>
    </row>
    <row r="1641" spans="1:6" x14ac:dyDescent="0.35">
      <c r="A1641">
        <v>1975</v>
      </c>
      <c r="B1641" s="1">
        <v>45593</v>
      </c>
      <c r="C1641" s="2">
        <v>0.29166666666666669</v>
      </c>
      <c r="D1641">
        <v>3</v>
      </c>
      <c r="E1641">
        <v>9.4</v>
      </c>
      <c r="F1641">
        <v>97</v>
      </c>
    </row>
    <row r="1642" spans="1:6" x14ac:dyDescent="0.35">
      <c r="A1642">
        <v>1975</v>
      </c>
      <c r="B1642" s="1">
        <v>45593</v>
      </c>
      <c r="C1642" s="2">
        <v>0.33333333333333331</v>
      </c>
      <c r="D1642">
        <v>3</v>
      </c>
      <c r="E1642">
        <v>10.3</v>
      </c>
      <c r="F1642">
        <v>94</v>
      </c>
    </row>
    <row r="1643" spans="1:6" x14ac:dyDescent="0.35">
      <c r="A1643">
        <v>1975</v>
      </c>
      <c r="B1643" s="1">
        <v>45593</v>
      </c>
      <c r="C1643" s="2">
        <v>0.375</v>
      </c>
      <c r="D1643">
        <v>3</v>
      </c>
      <c r="E1643">
        <v>11.6</v>
      </c>
      <c r="F1643">
        <v>90</v>
      </c>
    </row>
    <row r="1644" spans="1:6" x14ac:dyDescent="0.35">
      <c r="A1644">
        <v>1975</v>
      </c>
      <c r="B1644" s="1">
        <v>45593</v>
      </c>
      <c r="C1644" s="2">
        <v>0.41666666666666669</v>
      </c>
      <c r="D1644">
        <v>3</v>
      </c>
      <c r="E1644">
        <v>12.4</v>
      </c>
      <c r="F1644">
        <v>87</v>
      </c>
    </row>
    <row r="1645" spans="1:6" x14ac:dyDescent="0.35">
      <c r="A1645">
        <v>1975</v>
      </c>
      <c r="B1645" s="1">
        <v>45593</v>
      </c>
      <c r="C1645" s="2">
        <v>0.45833333333333331</v>
      </c>
      <c r="D1645">
        <v>3</v>
      </c>
      <c r="E1645">
        <v>13.3</v>
      </c>
      <c r="F1645">
        <v>83</v>
      </c>
    </row>
    <row r="1646" spans="1:6" x14ac:dyDescent="0.35">
      <c r="A1646">
        <v>1975</v>
      </c>
      <c r="B1646" s="1">
        <v>45593</v>
      </c>
      <c r="C1646" s="2">
        <v>0.5</v>
      </c>
      <c r="D1646">
        <v>3</v>
      </c>
      <c r="E1646">
        <v>12.9</v>
      </c>
      <c r="F1646">
        <v>89</v>
      </c>
    </row>
    <row r="1647" spans="1:6" x14ac:dyDescent="0.35">
      <c r="A1647">
        <v>1975</v>
      </c>
      <c r="B1647" s="1">
        <v>45593</v>
      </c>
      <c r="C1647" s="2">
        <v>0.54166666666666663</v>
      </c>
      <c r="D1647">
        <v>3</v>
      </c>
      <c r="E1647">
        <v>12.1</v>
      </c>
      <c r="F1647">
        <v>97</v>
      </c>
    </row>
    <row r="1648" spans="1:6" x14ac:dyDescent="0.35">
      <c r="A1648">
        <v>1975</v>
      </c>
      <c r="B1648" s="1">
        <v>45593</v>
      </c>
      <c r="C1648" s="2">
        <v>0.58333333333333337</v>
      </c>
      <c r="D1648">
        <v>3</v>
      </c>
      <c r="E1648">
        <v>12.1</v>
      </c>
      <c r="F1648">
        <v>98</v>
      </c>
    </row>
    <row r="1649" spans="1:6" x14ac:dyDescent="0.35">
      <c r="A1649">
        <v>1975</v>
      </c>
      <c r="B1649" s="1">
        <v>45593</v>
      </c>
      <c r="C1649" s="2">
        <v>0.625</v>
      </c>
      <c r="D1649">
        <v>3</v>
      </c>
      <c r="E1649">
        <v>12.2</v>
      </c>
      <c r="F1649">
        <v>97</v>
      </c>
    </row>
    <row r="1650" spans="1:6" x14ac:dyDescent="0.35">
      <c r="A1650">
        <v>1975</v>
      </c>
      <c r="B1650" s="1">
        <v>45593</v>
      </c>
      <c r="C1650" s="2">
        <v>0.66666666666666663</v>
      </c>
      <c r="D1650">
        <v>3</v>
      </c>
      <c r="E1650">
        <v>12.1</v>
      </c>
      <c r="F1650">
        <v>99</v>
      </c>
    </row>
    <row r="1651" spans="1:6" x14ac:dyDescent="0.35">
      <c r="A1651">
        <v>1975</v>
      </c>
      <c r="B1651" s="1">
        <v>45593</v>
      </c>
      <c r="C1651" s="2">
        <v>0.70833333333333337</v>
      </c>
      <c r="D1651">
        <v>3</v>
      </c>
      <c r="E1651">
        <v>12.3</v>
      </c>
      <c r="F1651">
        <v>98</v>
      </c>
    </row>
    <row r="1652" spans="1:6" x14ac:dyDescent="0.35">
      <c r="A1652">
        <v>1975</v>
      </c>
      <c r="B1652" s="1">
        <v>45593</v>
      </c>
      <c r="C1652" s="2">
        <v>0.75</v>
      </c>
      <c r="D1652">
        <v>3</v>
      </c>
      <c r="E1652">
        <v>12.5</v>
      </c>
      <c r="F1652">
        <v>98</v>
      </c>
    </row>
    <row r="1653" spans="1:6" x14ac:dyDescent="0.35">
      <c r="A1653">
        <v>1975</v>
      </c>
      <c r="B1653" s="1">
        <v>45593</v>
      </c>
      <c r="C1653" s="2">
        <v>0.79166666666666663</v>
      </c>
      <c r="D1653">
        <v>3</v>
      </c>
      <c r="E1653">
        <v>12.7</v>
      </c>
      <c r="F1653">
        <v>98</v>
      </c>
    </row>
    <row r="1654" spans="1:6" x14ac:dyDescent="0.35">
      <c r="A1654">
        <v>1975</v>
      </c>
      <c r="B1654" s="1">
        <v>45593</v>
      </c>
      <c r="C1654" s="2">
        <v>0.83333333333333337</v>
      </c>
      <c r="D1654">
        <v>3</v>
      </c>
      <c r="E1654">
        <v>12.9</v>
      </c>
      <c r="F1654">
        <v>97</v>
      </c>
    </row>
    <row r="1655" spans="1:6" x14ac:dyDescent="0.35">
      <c r="A1655">
        <v>1975</v>
      </c>
      <c r="B1655" s="1">
        <v>45593</v>
      </c>
      <c r="C1655" s="2">
        <v>0.875</v>
      </c>
      <c r="D1655">
        <v>3</v>
      </c>
      <c r="E1655">
        <v>12.9</v>
      </c>
      <c r="F1655">
        <v>99</v>
      </c>
    </row>
    <row r="1656" spans="1:6" x14ac:dyDescent="0.35">
      <c r="A1656">
        <v>1975</v>
      </c>
      <c r="B1656" s="1">
        <v>45593</v>
      </c>
      <c r="C1656" s="2">
        <v>0.91666666666666663</v>
      </c>
      <c r="D1656">
        <v>3</v>
      </c>
      <c r="E1656">
        <v>12.9</v>
      </c>
      <c r="F1656">
        <v>98</v>
      </c>
    </row>
    <row r="1657" spans="1:6" x14ac:dyDescent="0.35">
      <c r="A1657">
        <v>1975</v>
      </c>
      <c r="B1657" s="1">
        <v>45593</v>
      </c>
      <c r="C1657" s="2">
        <v>0.95833333333333337</v>
      </c>
      <c r="D1657">
        <v>3</v>
      </c>
      <c r="E1657">
        <v>12.8</v>
      </c>
      <c r="F1657">
        <v>99</v>
      </c>
    </row>
    <row r="1658" spans="1:6" x14ac:dyDescent="0.35">
      <c r="A1658">
        <v>1975</v>
      </c>
      <c r="B1658" s="1">
        <v>45594</v>
      </c>
      <c r="C1658" s="2">
        <v>0</v>
      </c>
      <c r="D1658">
        <v>3</v>
      </c>
      <c r="E1658">
        <v>12.8</v>
      </c>
      <c r="F1658">
        <v>99</v>
      </c>
    </row>
    <row r="1659" spans="1:6" x14ac:dyDescent="0.35">
      <c r="A1659">
        <v>1975</v>
      </c>
      <c r="B1659" s="1">
        <v>45594</v>
      </c>
      <c r="C1659" s="2">
        <v>4.1666666666666657E-2</v>
      </c>
      <c r="D1659">
        <v>3</v>
      </c>
      <c r="E1659">
        <v>12.8</v>
      </c>
      <c r="F1659">
        <v>99</v>
      </c>
    </row>
    <row r="1660" spans="1:6" x14ac:dyDescent="0.35">
      <c r="A1660">
        <v>1975</v>
      </c>
      <c r="B1660" s="1">
        <v>45594</v>
      </c>
      <c r="C1660" s="2">
        <v>8.3333333333333329E-2</v>
      </c>
      <c r="D1660">
        <v>3</v>
      </c>
      <c r="E1660">
        <v>12.7</v>
      </c>
      <c r="F1660">
        <v>100</v>
      </c>
    </row>
    <row r="1661" spans="1:6" x14ac:dyDescent="0.35">
      <c r="A1661">
        <v>1975</v>
      </c>
      <c r="B1661" s="1">
        <v>45594</v>
      </c>
      <c r="C1661" s="2">
        <v>0.125</v>
      </c>
      <c r="D1661">
        <v>3</v>
      </c>
      <c r="E1661">
        <v>12.7</v>
      </c>
      <c r="F1661">
        <v>99</v>
      </c>
    </row>
    <row r="1662" spans="1:6" x14ac:dyDescent="0.35">
      <c r="A1662">
        <v>1975</v>
      </c>
      <c r="B1662" s="1">
        <v>45594</v>
      </c>
      <c r="C1662" s="2">
        <v>0.16666666666666671</v>
      </c>
      <c r="D1662">
        <v>3</v>
      </c>
      <c r="E1662">
        <v>12.6</v>
      </c>
      <c r="F1662">
        <v>100</v>
      </c>
    </row>
    <row r="1663" spans="1:6" x14ac:dyDescent="0.35">
      <c r="A1663">
        <v>1975</v>
      </c>
      <c r="B1663" s="1">
        <v>45594</v>
      </c>
      <c r="C1663" s="2">
        <v>0.20833333333333329</v>
      </c>
      <c r="D1663">
        <v>3</v>
      </c>
      <c r="E1663">
        <v>12.6</v>
      </c>
      <c r="F1663">
        <v>100</v>
      </c>
    </row>
    <row r="1664" spans="1:6" x14ac:dyDescent="0.35">
      <c r="A1664">
        <v>1975</v>
      </c>
      <c r="B1664" s="1">
        <v>45594</v>
      </c>
      <c r="C1664" s="2">
        <v>0.25</v>
      </c>
      <c r="D1664">
        <v>3</v>
      </c>
      <c r="E1664">
        <v>12.6</v>
      </c>
      <c r="F1664">
        <v>100</v>
      </c>
    </row>
    <row r="1665" spans="1:6" x14ac:dyDescent="0.35">
      <c r="A1665">
        <v>1975</v>
      </c>
      <c r="B1665" s="1">
        <v>45594</v>
      </c>
      <c r="C1665" s="2">
        <v>0.29166666666666669</v>
      </c>
      <c r="D1665">
        <v>3</v>
      </c>
      <c r="E1665">
        <v>12.6</v>
      </c>
      <c r="F1665">
        <v>100</v>
      </c>
    </row>
    <row r="1666" spans="1:6" x14ac:dyDescent="0.35">
      <c r="A1666">
        <v>1975</v>
      </c>
      <c r="B1666" s="1">
        <v>45594</v>
      </c>
      <c r="C1666" s="2">
        <v>0.33333333333333331</v>
      </c>
      <c r="D1666">
        <v>3</v>
      </c>
      <c r="E1666">
        <v>12.8</v>
      </c>
      <c r="F1666">
        <v>100</v>
      </c>
    </row>
    <row r="1667" spans="1:6" x14ac:dyDescent="0.35">
      <c r="A1667">
        <v>1975</v>
      </c>
      <c r="B1667" s="1">
        <v>45594</v>
      </c>
      <c r="C1667" s="2">
        <v>0.375</v>
      </c>
      <c r="D1667">
        <v>3</v>
      </c>
      <c r="E1667">
        <v>13</v>
      </c>
      <c r="F1667">
        <v>100</v>
      </c>
    </row>
    <row r="1668" spans="1:6" x14ac:dyDescent="0.35">
      <c r="A1668">
        <v>1975</v>
      </c>
      <c r="B1668" s="1">
        <v>45594</v>
      </c>
      <c r="C1668" s="2">
        <v>0.41666666666666669</v>
      </c>
      <c r="D1668">
        <v>3</v>
      </c>
      <c r="E1668">
        <v>13.4</v>
      </c>
      <c r="F1668">
        <v>98</v>
      </c>
    </row>
    <row r="1669" spans="1:6" x14ac:dyDescent="0.35">
      <c r="A1669">
        <v>1975</v>
      </c>
      <c r="B1669" s="1">
        <v>45594</v>
      </c>
      <c r="C1669" s="2">
        <v>0.45833333333333331</v>
      </c>
      <c r="D1669">
        <v>3</v>
      </c>
      <c r="E1669">
        <v>13.6</v>
      </c>
      <c r="F1669">
        <v>98</v>
      </c>
    </row>
    <row r="1670" spans="1:6" x14ac:dyDescent="0.35">
      <c r="A1670">
        <v>1975</v>
      </c>
      <c r="B1670" s="1">
        <v>45594</v>
      </c>
      <c r="C1670" s="2">
        <v>0.5</v>
      </c>
      <c r="D1670">
        <v>3</v>
      </c>
      <c r="E1670">
        <v>13.8</v>
      </c>
      <c r="F1670">
        <v>97</v>
      </c>
    </row>
    <row r="1671" spans="1:6" x14ac:dyDescent="0.35">
      <c r="A1671">
        <v>1975</v>
      </c>
      <c r="B1671" s="1">
        <v>45594</v>
      </c>
      <c r="C1671" s="2">
        <v>0.54166666666666663</v>
      </c>
      <c r="D1671">
        <v>3</v>
      </c>
      <c r="E1671">
        <v>14</v>
      </c>
      <c r="F1671">
        <v>96</v>
      </c>
    </row>
    <row r="1672" spans="1:6" x14ac:dyDescent="0.35">
      <c r="A1672">
        <v>1975</v>
      </c>
      <c r="B1672" s="1">
        <v>45594</v>
      </c>
      <c r="C1672" s="2">
        <v>0.58333333333333337</v>
      </c>
      <c r="D1672">
        <v>3</v>
      </c>
      <c r="E1672">
        <v>14.3</v>
      </c>
      <c r="F1672">
        <v>96</v>
      </c>
    </row>
    <row r="1673" spans="1:6" x14ac:dyDescent="0.35">
      <c r="A1673">
        <v>1975</v>
      </c>
      <c r="B1673" s="1">
        <v>45594</v>
      </c>
      <c r="C1673" s="2">
        <v>0.625</v>
      </c>
      <c r="D1673">
        <v>3</v>
      </c>
      <c r="E1673">
        <v>14.1</v>
      </c>
      <c r="F1673">
        <v>96</v>
      </c>
    </row>
    <row r="1674" spans="1:6" x14ac:dyDescent="0.35">
      <c r="A1674">
        <v>1975</v>
      </c>
      <c r="B1674" s="1">
        <v>45594</v>
      </c>
      <c r="C1674" s="2">
        <v>0.66666666666666663</v>
      </c>
      <c r="D1674">
        <v>3</v>
      </c>
      <c r="E1674">
        <v>13.9</v>
      </c>
      <c r="F1674">
        <v>95</v>
      </c>
    </row>
    <row r="1675" spans="1:6" x14ac:dyDescent="0.35">
      <c r="A1675">
        <v>1975</v>
      </c>
      <c r="B1675" s="1">
        <v>45594</v>
      </c>
      <c r="C1675" s="2">
        <v>0.70833333333333337</v>
      </c>
      <c r="D1675">
        <v>3</v>
      </c>
      <c r="E1675">
        <v>13.2</v>
      </c>
      <c r="F1675">
        <v>97</v>
      </c>
    </row>
    <row r="1676" spans="1:6" x14ac:dyDescent="0.35">
      <c r="A1676">
        <v>1975</v>
      </c>
      <c r="B1676" s="1">
        <v>45594</v>
      </c>
      <c r="C1676" s="2">
        <v>0.75</v>
      </c>
      <c r="D1676">
        <v>3</v>
      </c>
      <c r="E1676">
        <v>13.6</v>
      </c>
      <c r="F1676">
        <v>96</v>
      </c>
    </row>
    <row r="1677" spans="1:6" x14ac:dyDescent="0.35">
      <c r="A1677">
        <v>1975</v>
      </c>
      <c r="B1677" s="1">
        <v>45594</v>
      </c>
      <c r="C1677" s="2">
        <v>0.79166666666666663</v>
      </c>
      <c r="D1677">
        <v>3</v>
      </c>
      <c r="E1677">
        <v>13.7</v>
      </c>
      <c r="F1677">
        <v>95</v>
      </c>
    </row>
    <row r="1678" spans="1:6" x14ac:dyDescent="0.35">
      <c r="A1678">
        <v>1975</v>
      </c>
      <c r="B1678" s="1">
        <v>45594</v>
      </c>
      <c r="C1678" s="2">
        <v>0.83333333333333337</v>
      </c>
      <c r="D1678">
        <v>3</v>
      </c>
      <c r="E1678">
        <v>13.6</v>
      </c>
      <c r="F1678">
        <v>95</v>
      </c>
    </row>
    <row r="1679" spans="1:6" x14ac:dyDescent="0.35">
      <c r="A1679">
        <v>1975</v>
      </c>
      <c r="B1679" s="1">
        <v>45594</v>
      </c>
      <c r="C1679" s="2">
        <v>0.875</v>
      </c>
      <c r="D1679">
        <v>3</v>
      </c>
      <c r="E1679">
        <v>13.5</v>
      </c>
      <c r="F1679">
        <v>95</v>
      </c>
    </row>
    <row r="1680" spans="1:6" x14ac:dyDescent="0.35">
      <c r="A1680">
        <v>1975</v>
      </c>
      <c r="B1680" s="1">
        <v>45594</v>
      </c>
      <c r="C1680" s="2">
        <v>0.91666666666666663</v>
      </c>
      <c r="D1680">
        <v>3</v>
      </c>
      <c r="E1680">
        <v>13.2</v>
      </c>
      <c r="F1680">
        <v>98</v>
      </c>
    </row>
    <row r="1681" spans="1:6" x14ac:dyDescent="0.35">
      <c r="A1681">
        <v>1975</v>
      </c>
      <c r="B1681" s="1">
        <v>45594</v>
      </c>
      <c r="C1681" s="2">
        <v>0.95833333333333337</v>
      </c>
      <c r="D1681">
        <v>3</v>
      </c>
      <c r="E1681">
        <v>13.4</v>
      </c>
      <c r="F1681">
        <v>97</v>
      </c>
    </row>
    <row r="1682" spans="1:6" x14ac:dyDescent="0.35">
      <c r="A1682">
        <v>1975</v>
      </c>
      <c r="B1682" s="1">
        <v>45595</v>
      </c>
      <c r="C1682" s="2">
        <v>0</v>
      </c>
      <c r="D1682">
        <v>3</v>
      </c>
      <c r="E1682">
        <v>13.5</v>
      </c>
      <c r="F1682">
        <v>97</v>
      </c>
    </row>
    <row r="1683" spans="1:6" x14ac:dyDescent="0.35">
      <c r="A1683">
        <v>1975</v>
      </c>
      <c r="B1683" s="1">
        <v>45595</v>
      </c>
      <c r="C1683" s="2">
        <v>4.1666666666666657E-2</v>
      </c>
      <c r="D1683">
        <v>3</v>
      </c>
      <c r="E1683">
        <v>13.5</v>
      </c>
      <c r="F1683">
        <v>97</v>
      </c>
    </row>
    <row r="1684" spans="1:6" x14ac:dyDescent="0.35">
      <c r="A1684">
        <v>1975</v>
      </c>
      <c r="B1684" s="1">
        <v>45595</v>
      </c>
      <c r="C1684" s="2">
        <v>8.3333333333333329E-2</v>
      </c>
      <c r="D1684">
        <v>3</v>
      </c>
      <c r="E1684">
        <v>13.5</v>
      </c>
      <c r="F1684">
        <v>98</v>
      </c>
    </row>
    <row r="1685" spans="1:6" x14ac:dyDescent="0.35">
      <c r="A1685">
        <v>1975</v>
      </c>
      <c r="B1685" s="1">
        <v>45595</v>
      </c>
      <c r="C1685" s="2">
        <v>0.125</v>
      </c>
      <c r="D1685">
        <v>3</v>
      </c>
      <c r="E1685">
        <v>13.6</v>
      </c>
      <c r="F1685">
        <v>97</v>
      </c>
    </row>
    <row r="1686" spans="1:6" x14ac:dyDescent="0.35">
      <c r="A1686">
        <v>1975</v>
      </c>
      <c r="B1686" s="1">
        <v>45595</v>
      </c>
      <c r="C1686" s="2">
        <v>0.16666666666666671</v>
      </c>
      <c r="D1686">
        <v>3</v>
      </c>
      <c r="E1686">
        <v>13.6</v>
      </c>
      <c r="F1686">
        <v>97</v>
      </c>
    </row>
    <row r="1687" spans="1:6" x14ac:dyDescent="0.35">
      <c r="A1687">
        <v>1975</v>
      </c>
      <c r="B1687" s="1">
        <v>45595</v>
      </c>
      <c r="C1687" s="2">
        <v>0.20833333333333329</v>
      </c>
      <c r="D1687">
        <v>3</v>
      </c>
      <c r="E1687">
        <v>13.4</v>
      </c>
      <c r="F1687">
        <v>97</v>
      </c>
    </row>
    <row r="1688" spans="1:6" x14ac:dyDescent="0.35">
      <c r="A1688">
        <v>1975</v>
      </c>
      <c r="B1688" s="1">
        <v>45595</v>
      </c>
      <c r="C1688" s="2">
        <v>0.25</v>
      </c>
      <c r="D1688">
        <v>3</v>
      </c>
      <c r="E1688">
        <v>13.3</v>
      </c>
      <c r="F1688">
        <v>96</v>
      </c>
    </row>
    <row r="1689" spans="1:6" x14ac:dyDescent="0.35">
      <c r="A1689">
        <v>1975</v>
      </c>
      <c r="B1689" s="1">
        <v>45595</v>
      </c>
      <c r="C1689" s="2">
        <v>0.29166666666666669</v>
      </c>
      <c r="D1689">
        <v>3</v>
      </c>
      <c r="E1689">
        <v>12.9</v>
      </c>
      <c r="F1689">
        <v>96</v>
      </c>
    </row>
    <row r="1690" spans="1:6" x14ac:dyDescent="0.35">
      <c r="A1690">
        <v>1975</v>
      </c>
      <c r="B1690" s="1">
        <v>45595</v>
      </c>
      <c r="C1690" s="2">
        <v>0.33333333333333331</v>
      </c>
      <c r="D1690">
        <v>3</v>
      </c>
      <c r="E1690">
        <v>12.6</v>
      </c>
      <c r="F1690">
        <v>98</v>
      </c>
    </row>
    <row r="1691" spans="1:6" x14ac:dyDescent="0.35">
      <c r="A1691">
        <v>1975</v>
      </c>
      <c r="B1691" s="1">
        <v>45595</v>
      </c>
      <c r="C1691" s="2">
        <v>0.375</v>
      </c>
      <c r="D1691">
        <v>3</v>
      </c>
      <c r="E1691">
        <v>12.8</v>
      </c>
      <c r="F1691">
        <v>95</v>
      </c>
    </row>
    <row r="1692" spans="1:6" x14ac:dyDescent="0.35">
      <c r="A1692">
        <v>1975</v>
      </c>
      <c r="B1692" s="1">
        <v>45595</v>
      </c>
      <c r="C1692" s="2">
        <v>0.41666666666666669</v>
      </c>
      <c r="D1692">
        <v>3</v>
      </c>
      <c r="E1692">
        <v>13.1</v>
      </c>
      <c r="F1692">
        <v>95</v>
      </c>
    </row>
    <row r="1693" spans="1:6" x14ac:dyDescent="0.35">
      <c r="A1693">
        <v>1975</v>
      </c>
      <c r="B1693" s="1">
        <v>45595</v>
      </c>
      <c r="C1693" s="2">
        <v>0.45833333333333331</v>
      </c>
      <c r="D1693">
        <v>3</v>
      </c>
      <c r="E1693">
        <v>13.7</v>
      </c>
      <c r="F1693">
        <v>90</v>
      </c>
    </row>
    <row r="1694" spans="1:6" x14ac:dyDescent="0.35">
      <c r="A1694">
        <v>1975</v>
      </c>
      <c r="B1694" s="1">
        <v>45595</v>
      </c>
      <c r="C1694" s="2">
        <v>0.5</v>
      </c>
      <c r="D1694">
        <v>3</v>
      </c>
      <c r="E1694">
        <v>13.3</v>
      </c>
      <c r="F1694">
        <v>87</v>
      </c>
    </row>
    <row r="1695" spans="1:6" x14ac:dyDescent="0.35">
      <c r="A1695">
        <v>1975</v>
      </c>
      <c r="B1695" s="1">
        <v>45595</v>
      </c>
      <c r="C1695" s="2">
        <v>0.54166666666666663</v>
      </c>
      <c r="D1695">
        <v>3</v>
      </c>
      <c r="E1695">
        <v>13.5</v>
      </c>
      <c r="F1695">
        <v>81</v>
      </c>
    </row>
    <row r="1696" spans="1:6" x14ac:dyDescent="0.35">
      <c r="A1696">
        <v>1975</v>
      </c>
      <c r="B1696" s="1">
        <v>45595</v>
      </c>
      <c r="C1696" s="2">
        <v>0.58333333333333337</v>
      </c>
      <c r="D1696">
        <v>3</v>
      </c>
      <c r="E1696">
        <v>13.4</v>
      </c>
      <c r="F1696">
        <v>79</v>
      </c>
    </row>
    <row r="1697" spans="1:6" x14ac:dyDescent="0.35">
      <c r="A1697">
        <v>1975</v>
      </c>
      <c r="B1697" s="1">
        <v>45595</v>
      </c>
      <c r="C1697" s="2">
        <v>0.625</v>
      </c>
      <c r="D1697">
        <v>3</v>
      </c>
      <c r="E1697">
        <v>13.2</v>
      </c>
      <c r="F1697">
        <v>80</v>
      </c>
    </row>
    <row r="1698" spans="1:6" x14ac:dyDescent="0.35">
      <c r="A1698">
        <v>1975</v>
      </c>
      <c r="B1698" s="1">
        <v>45595</v>
      </c>
      <c r="C1698" s="2">
        <v>0.66666666666666663</v>
      </c>
      <c r="D1698">
        <v>3</v>
      </c>
      <c r="E1698">
        <v>12.8</v>
      </c>
      <c r="F1698">
        <v>84</v>
      </c>
    </row>
    <row r="1699" spans="1:6" x14ac:dyDescent="0.35">
      <c r="A1699">
        <v>1975</v>
      </c>
      <c r="B1699" s="1">
        <v>45595</v>
      </c>
      <c r="C1699" s="2">
        <v>0.70833333333333337</v>
      </c>
      <c r="D1699">
        <v>3</v>
      </c>
      <c r="E1699">
        <v>11.7</v>
      </c>
      <c r="F1699">
        <v>90</v>
      </c>
    </row>
    <row r="1700" spans="1:6" x14ac:dyDescent="0.35">
      <c r="A1700">
        <v>1975</v>
      </c>
      <c r="B1700" s="1">
        <v>45595</v>
      </c>
      <c r="C1700" s="2">
        <v>0.75</v>
      </c>
      <c r="D1700">
        <v>3</v>
      </c>
      <c r="E1700">
        <v>11.7</v>
      </c>
      <c r="F1700">
        <v>91</v>
      </c>
    </row>
    <row r="1701" spans="1:6" x14ac:dyDescent="0.35">
      <c r="A1701">
        <v>1975</v>
      </c>
      <c r="B1701" s="1">
        <v>45595</v>
      </c>
      <c r="C1701" s="2">
        <v>0.79166666666666663</v>
      </c>
      <c r="D1701">
        <v>3</v>
      </c>
      <c r="E1701">
        <v>11.2</v>
      </c>
      <c r="F1701">
        <v>95</v>
      </c>
    </row>
    <row r="1702" spans="1:6" x14ac:dyDescent="0.35">
      <c r="A1702">
        <v>1975</v>
      </c>
      <c r="B1702" s="1">
        <v>45595</v>
      </c>
      <c r="C1702" s="2">
        <v>0.83333333333333337</v>
      </c>
      <c r="D1702">
        <v>3</v>
      </c>
      <c r="E1702">
        <v>9.8000000000000007</v>
      </c>
      <c r="F1702">
        <v>99</v>
      </c>
    </row>
    <row r="1703" spans="1:6" x14ac:dyDescent="0.35">
      <c r="A1703">
        <v>1975</v>
      </c>
      <c r="B1703" s="1">
        <v>45595</v>
      </c>
      <c r="C1703" s="2">
        <v>0.875</v>
      </c>
      <c r="D1703">
        <v>3</v>
      </c>
      <c r="E1703">
        <v>10.4</v>
      </c>
      <c r="F1703">
        <v>98</v>
      </c>
    </row>
    <row r="1704" spans="1:6" x14ac:dyDescent="0.35">
      <c r="A1704">
        <v>1975</v>
      </c>
      <c r="B1704" s="1">
        <v>45595</v>
      </c>
      <c r="C1704" s="2">
        <v>0.91666666666666663</v>
      </c>
      <c r="D1704">
        <v>3</v>
      </c>
      <c r="E1704">
        <v>10.3</v>
      </c>
      <c r="F1704">
        <v>99</v>
      </c>
    </row>
    <row r="1705" spans="1:6" x14ac:dyDescent="0.35">
      <c r="A1705">
        <v>1975</v>
      </c>
      <c r="B1705" s="1">
        <v>45595</v>
      </c>
      <c r="C1705" s="2">
        <v>0.95833333333333337</v>
      </c>
      <c r="D1705">
        <v>3</v>
      </c>
      <c r="E1705">
        <v>11.2</v>
      </c>
      <c r="F1705">
        <v>99</v>
      </c>
    </row>
    <row r="1706" spans="1:6" x14ac:dyDescent="0.35">
      <c r="A1706">
        <v>1975</v>
      </c>
      <c r="B1706" s="1">
        <v>45596</v>
      </c>
      <c r="C1706" s="2">
        <v>0</v>
      </c>
      <c r="D1706">
        <v>3</v>
      </c>
      <c r="E1706">
        <v>11</v>
      </c>
      <c r="F1706">
        <v>97</v>
      </c>
    </row>
    <row r="1707" spans="1:6" x14ac:dyDescent="0.35">
      <c r="A1707">
        <v>1975</v>
      </c>
      <c r="B1707" s="1">
        <v>45596</v>
      </c>
      <c r="C1707" s="2">
        <v>4.1666666666666657E-2</v>
      </c>
      <c r="D1707">
        <v>3</v>
      </c>
      <c r="E1707">
        <v>11</v>
      </c>
      <c r="F1707">
        <v>97</v>
      </c>
    </row>
    <row r="1708" spans="1:6" x14ac:dyDescent="0.35">
      <c r="A1708">
        <v>1975</v>
      </c>
      <c r="B1708" s="1">
        <v>45596</v>
      </c>
      <c r="C1708" s="2">
        <v>8.3333333333333329E-2</v>
      </c>
      <c r="D1708">
        <v>3</v>
      </c>
      <c r="E1708">
        <v>10.8</v>
      </c>
      <c r="F1708">
        <v>98</v>
      </c>
    </row>
    <row r="1709" spans="1:6" x14ac:dyDescent="0.35">
      <c r="A1709">
        <v>1975</v>
      </c>
      <c r="B1709" s="1">
        <v>45596</v>
      </c>
      <c r="C1709" s="2">
        <v>0.125</v>
      </c>
      <c r="D1709">
        <v>3</v>
      </c>
      <c r="E1709">
        <v>10.8</v>
      </c>
      <c r="F1709">
        <v>95</v>
      </c>
    </row>
    <row r="1710" spans="1:6" x14ac:dyDescent="0.35">
      <c r="A1710">
        <v>1975</v>
      </c>
      <c r="B1710" s="1">
        <v>45596</v>
      </c>
      <c r="C1710" s="2">
        <v>0.16666666666666671</v>
      </c>
      <c r="D1710">
        <v>3</v>
      </c>
      <c r="E1710">
        <v>10</v>
      </c>
      <c r="F1710">
        <v>94</v>
      </c>
    </row>
    <row r="1711" spans="1:6" x14ac:dyDescent="0.35">
      <c r="A1711">
        <v>1975</v>
      </c>
      <c r="B1711" s="1">
        <v>45596</v>
      </c>
      <c r="C1711" s="2">
        <v>0.20833333333333329</v>
      </c>
      <c r="D1711">
        <v>3</v>
      </c>
      <c r="E1711">
        <v>10.4</v>
      </c>
      <c r="F1711">
        <v>93</v>
      </c>
    </row>
    <row r="1712" spans="1:6" x14ac:dyDescent="0.35">
      <c r="A1712">
        <v>1975</v>
      </c>
      <c r="B1712" s="1">
        <v>45596</v>
      </c>
      <c r="C1712" s="2">
        <v>0.25</v>
      </c>
      <c r="D1712">
        <v>3</v>
      </c>
      <c r="E1712">
        <v>10.5</v>
      </c>
      <c r="F1712">
        <v>92</v>
      </c>
    </row>
    <row r="1713" spans="1:6" x14ac:dyDescent="0.35">
      <c r="A1713">
        <v>1975</v>
      </c>
      <c r="B1713" s="1">
        <v>45596</v>
      </c>
      <c r="C1713" s="2">
        <v>0.29166666666666669</v>
      </c>
      <c r="D1713">
        <v>3</v>
      </c>
      <c r="E1713">
        <v>10.4</v>
      </c>
      <c r="F1713">
        <v>95</v>
      </c>
    </row>
    <row r="1714" spans="1:6" x14ac:dyDescent="0.35">
      <c r="A1714">
        <v>1975</v>
      </c>
      <c r="B1714" s="1">
        <v>45596</v>
      </c>
      <c r="C1714" s="2">
        <v>0.33333333333333331</v>
      </c>
      <c r="D1714">
        <v>3</v>
      </c>
      <c r="E1714">
        <v>11.2</v>
      </c>
      <c r="F1714">
        <v>90</v>
      </c>
    </row>
    <row r="1715" spans="1:6" x14ac:dyDescent="0.35">
      <c r="A1715">
        <v>1975</v>
      </c>
      <c r="B1715" s="1">
        <v>45596</v>
      </c>
      <c r="C1715" s="2">
        <v>0.375</v>
      </c>
      <c r="D1715">
        <v>3</v>
      </c>
      <c r="E1715">
        <v>11.7</v>
      </c>
      <c r="F1715">
        <v>87</v>
      </c>
    </row>
    <row r="1716" spans="1:6" x14ac:dyDescent="0.35">
      <c r="A1716">
        <v>1975</v>
      </c>
      <c r="B1716" s="1">
        <v>45596</v>
      </c>
      <c r="C1716" s="2">
        <v>0.41666666666666669</v>
      </c>
      <c r="D1716">
        <v>3</v>
      </c>
      <c r="E1716">
        <v>12.1</v>
      </c>
      <c r="F1716">
        <v>84</v>
      </c>
    </row>
    <row r="1717" spans="1:6" x14ac:dyDescent="0.35">
      <c r="A1717">
        <v>1975</v>
      </c>
      <c r="B1717" s="1">
        <v>45596</v>
      </c>
      <c r="C1717" s="2">
        <v>0.45833333333333331</v>
      </c>
      <c r="D1717">
        <v>3</v>
      </c>
      <c r="E1717">
        <v>12.1</v>
      </c>
      <c r="F1717">
        <v>86</v>
      </c>
    </row>
    <row r="1718" spans="1:6" x14ac:dyDescent="0.35">
      <c r="A1718">
        <v>1975</v>
      </c>
      <c r="B1718" s="1">
        <v>45596</v>
      </c>
      <c r="C1718" s="2">
        <v>0.5</v>
      </c>
      <c r="D1718">
        <v>3</v>
      </c>
      <c r="E1718">
        <v>11.9</v>
      </c>
      <c r="F1718">
        <v>89</v>
      </c>
    </row>
    <row r="1719" spans="1:6" x14ac:dyDescent="0.35">
      <c r="A1719">
        <v>1975</v>
      </c>
      <c r="B1719" s="1">
        <v>45596</v>
      </c>
      <c r="C1719" s="2">
        <v>0.54166666666666663</v>
      </c>
      <c r="D1719">
        <v>3</v>
      </c>
      <c r="E1719">
        <v>12.1</v>
      </c>
      <c r="F1719">
        <v>87</v>
      </c>
    </row>
    <row r="1720" spans="1:6" x14ac:dyDescent="0.35">
      <c r="A1720">
        <v>1975</v>
      </c>
      <c r="B1720" s="1">
        <v>45596</v>
      </c>
      <c r="C1720" s="2">
        <v>0.58333333333333337</v>
      </c>
      <c r="D1720">
        <v>3</v>
      </c>
      <c r="E1720">
        <v>12.5</v>
      </c>
      <c r="F1720">
        <v>82</v>
      </c>
    </row>
    <row r="1721" spans="1:6" x14ac:dyDescent="0.35">
      <c r="A1721">
        <v>1975</v>
      </c>
      <c r="B1721" s="1">
        <v>45596</v>
      </c>
      <c r="C1721" s="2">
        <v>0.625</v>
      </c>
      <c r="D1721">
        <v>3</v>
      </c>
      <c r="E1721">
        <v>12.5</v>
      </c>
      <c r="F1721">
        <v>82</v>
      </c>
    </row>
    <row r="1722" spans="1:6" x14ac:dyDescent="0.35">
      <c r="A1722">
        <v>1975</v>
      </c>
      <c r="B1722" s="1">
        <v>45596</v>
      </c>
      <c r="C1722" s="2">
        <v>0.66666666666666663</v>
      </c>
      <c r="D1722">
        <v>3</v>
      </c>
      <c r="E1722">
        <v>12.6</v>
      </c>
      <c r="F1722">
        <v>81</v>
      </c>
    </row>
    <row r="1723" spans="1:6" x14ac:dyDescent="0.35">
      <c r="A1723">
        <v>1975</v>
      </c>
      <c r="B1723" s="1">
        <v>45596</v>
      </c>
      <c r="C1723" s="2">
        <v>0.70833333333333337</v>
      </c>
      <c r="D1723">
        <v>3</v>
      </c>
      <c r="E1723">
        <v>12.5</v>
      </c>
      <c r="F1723">
        <v>82</v>
      </c>
    </row>
    <row r="1724" spans="1:6" x14ac:dyDescent="0.35">
      <c r="A1724">
        <v>1975</v>
      </c>
      <c r="B1724" s="1">
        <v>45596</v>
      </c>
      <c r="C1724" s="2">
        <v>0.75</v>
      </c>
      <c r="D1724">
        <v>3</v>
      </c>
      <c r="E1724">
        <v>12.6</v>
      </c>
      <c r="F1724">
        <v>82</v>
      </c>
    </row>
    <row r="1725" spans="1:6" x14ac:dyDescent="0.35">
      <c r="A1725">
        <v>1975</v>
      </c>
      <c r="B1725" s="1">
        <v>45596</v>
      </c>
      <c r="C1725" s="2">
        <v>0.79166666666666663</v>
      </c>
      <c r="D1725">
        <v>3</v>
      </c>
      <c r="E1725">
        <v>12.6</v>
      </c>
      <c r="F1725">
        <v>82</v>
      </c>
    </row>
    <row r="1726" spans="1:6" x14ac:dyDescent="0.35">
      <c r="A1726">
        <v>1975</v>
      </c>
      <c r="B1726" s="1">
        <v>45596</v>
      </c>
      <c r="C1726" s="2">
        <v>0.83333333333333337</v>
      </c>
      <c r="D1726">
        <v>3</v>
      </c>
      <c r="E1726">
        <v>12.5</v>
      </c>
      <c r="F1726">
        <v>84</v>
      </c>
    </row>
    <row r="1727" spans="1:6" x14ac:dyDescent="0.35">
      <c r="A1727">
        <v>1975</v>
      </c>
      <c r="B1727" s="1">
        <v>45596</v>
      </c>
      <c r="C1727" s="2">
        <v>0.875</v>
      </c>
      <c r="D1727">
        <v>3</v>
      </c>
      <c r="E1727">
        <v>12.7</v>
      </c>
      <c r="F1727">
        <v>82</v>
      </c>
    </row>
    <row r="1728" spans="1:6" x14ac:dyDescent="0.35">
      <c r="A1728">
        <v>1975</v>
      </c>
      <c r="B1728" s="1">
        <v>45596</v>
      </c>
      <c r="C1728" s="2">
        <v>0.91666666666666663</v>
      </c>
      <c r="D1728">
        <v>3</v>
      </c>
      <c r="E1728">
        <v>12.6</v>
      </c>
      <c r="F1728">
        <v>83</v>
      </c>
    </row>
    <row r="1729" spans="1:6" x14ac:dyDescent="0.35">
      <c r="A1729">
        <v>1975</v>
      </c>
      <c r="B1729" s="1">
        <v>45596</v>
      </c>
      <c r="C1729" s="2">
        <v>0.95833333333333337</v>
      </c>
      <c r="D1729">
        <v>3</v>
      </c>
      <c r="E1729">
        <v>12.7</v>
      </c>
      <c r="F1729">
        <v>83</v>
      </c>
    </row>
    <row r="1730" spans="1:6" x14ac:dyDescent="0.35">
      <c r="A1730">
        <v>1975</v>
      </c>
      <c r="B1730" s="1">
        <v>45597</v>
      </c>
      <c r="C1730" s="2">
        <v>0</v>
      </c>
      <c r="D1730">
        <v>3</v>
      </c>
      <c r="E1730">
        <v>12.7</v>
      </c>
      <c r="F1730">
        <v>84</v>
      </c>
    </row>
    <row r="1731" spans="1:6" x14ac:dyDescent="0.35">
      <c r="A1731">
        <v>1975</v>
      </c>
      <c r="B1731" s="1">
        <v>45597</v>
      </c>
      <c r="C1731" s="2">
        <v>4.1666666666666657E-2</v>
      </c>
      <c r="D1731">
        <v>3</v>
      </c>
      <c r="E1731">
        <v>12.6</v>
      </c>
      <c r="F1731">
        <v>85</v>
      </c>
    </row>
    <row r="1732" spans="1:6" x14ac:dyDescent="0.35">
      <c r="A1732">
        <v>1975</v>
      </c>
      <c r="B1732" s="1">
        <v>45597</v>
      </c>
      <c r="C1732" s="2">
        <v>8.3333333333333329E-2</v>
      </c>
      <c r="D1732">
        <v>3</v>
      </c>
      <c r="E1732">
        <v>12.4</v>
      </c>
      <c r="F1732">
        <v>88</v>
      </c>
    </row>
    <row r="1733" spans="1:6" x14ac:dyDescent="0.35">
      <c r="A1733">
        <v>1975</v>
      </c>
      <c r="B1733" s="1">
        <v>45597</v>
      </c>
      <c r="C1733" s="2">
        <v>0.125</v>
      </c>
      <c r="D1733">
        <v>3</v>
      </c>
      <c r="E1733">
        <v>12.1</v>
      </c>
      <c r="F1733">
        <v>92</v>
      </c>
    </row>
    <row r="1734" spans="1:6" x14ac:dyDescent="0.35">
      <c r="A1734">
        <v>1975</v>
      </c>
      <c r="B1734" s="1">
        <v>45597</v>
      </c>
      <c r="C1734" s="2">
        <v>0.16666666666666671</v>
      </c>
      <c r="D1734">
        <v>3</v>
      </c>
      <c r="E1734">
        <v>12.2</v>
      </c>
      <c r="F1734">
        <v>91</v>
      </c>
    </row>
    <row r="1735" spans="1:6" x14ac:dyDescent="0.35">
      <c r="A1735">
        <v>1975</v>
      </c>
      <c r="B1735" s="1">
        <v>45597</v>
      </c>
      <c r="C1735" s="2">
        <v>0.20833333333333329</v>
      </c>
      <c r="D1735">
        <v>3</v>
      </c>
      <c r="E1735">
        <v>12.2</v>
      </c>
      <c r="F1735">
        <v>92</v>
      </c>
    </row>
    <row r="1736" spans="1:6" x14ac:dyDescent="0.35">
      <c r="A1736">
        <v>1975</v>
      </c>
      <c r="B1736" s="1">
        <v>45597</v>
      </c>
      <c r="C1736" s="2">
        <v>0.25</v>
      </c>
      <c r="D1736">
        <v>3</v>
      </c>
      <c r="E1736">
        <v>12.3</v>
      </c>
      <c r="F1736">
        <v>90</v>
      </c>
    </row>
    <row r="1737" spans="1:6" x14ac:dyDescent="0.35">
      <c r="A1737">
        <v>1975</v>
      </c>
      <c r="B1737" s="1">
        <v>45597</v>
      </c>
      <c r="C1737" s="2">
        <v>0.29166666666666669</v>
      </c>
      <c r="D1737">
        <v>3</v>
      </c>
      <c r="E1737">
        <v>12.4</v>
      </c>
      <c r="F1737">
        <v>88</v>
      </c>
    </row>
    <row r="1738" spans="1:6" x14ac:dyDescent="0.35">
      <c r="A1738">
        <v>1975</v>
      </c>
      <c r="B1738" s="1">
        <v>45597</v>
      </c>
      <c r="C1738" s="2">
        <v>0.33333333333333331</v>
      </c>
      <c r="D1738">
        <v>3</v>
      </c>
      <c r="E1738">
        <v>12.5</v>
      </c>
      <c r="F1738">
        <v>87</v>
      </c>
    </row>
    <row r="1739" spans="1:6" x14ac:dyDescent="0.35">
      <c r="A1739">
        <v>1975</v>
      </c>
      <c r="B1739" s="1">
        <v>45597</v>
      </c>
      <c r="C1739" s="2">
        <v>0.375</v>
      </c>
      <c r="D1739">
        <v>3</v>
      </c>
      <c r="E1739">
        <v>12.6</v>
      </c>
      <c r="F1739">
        <v>87</v>
      </c>
    </row>
    <row r="1740" spans="1:6" x14ac:dyDescent="0.35">
      <c r="A1740">
        <v>1975</v>
      </c>
      <c r="B1740" s="1">
        <v>45597</v>
      </c>
      <c r="C1740" s="2">
        <v>0.41666666666666669</v>
      </c>
      <c r="D1740">
        <v>3</v>
      </c>
      <c r="E1740">
        <v>12.7</v>
      </c>
      <c r="F1740">
        <v>87</v>
      </c>
    </row>
    <row r="1741" spans="1:6" x14ac:dyDescent="0.35">
      <c r="A1741">
        <v>1975</v>
      </c>
      <c r="B1741" s="1">
        <v>45597</v>
      </c>
      <c r="C1741" s="2">
        <v>0.45833333333333331</v>
      </c>
      <c r="D1741">
        <v>3</v>
      </c>
      <c r="E1741">
        <v>12.8</v>
      </c>
      <c r="F1741">
        <v>86</v>
      </c>
    </row>
    <row r="1742" spans="1:6" x14ac:dyDescent="0.35">
      <c r="A1742">
        <v>1975</v>
      </c>
      <c r="B1742" s="1">
        <v>45597</v>
      </c>
      <c r="C1742" s="2">
        <v>0.5</v>
      </c>
      <c r="D1742">
        <v>3</v>
      </c>
      <c r="E1742">
        <v>12.8</v>
      </c>
      <c r="F1742">
        <v>86</v>
      </c>
    </row>
    <row r="1743" spans="1:6" x14ac:dyDescent="0.35">
      <c r="A1743">
        <v>1975</v>
      </c>
      <c r="B1743" s="1">
        <v>45597</v>
      </c>
      <c r="C1743" s="2">
        <v>0.54166666666666663</v>
      </c>
      <c r="D1743">
        <v>3</v>
      </c>
      <c r="E1743">
        <v>12.8</v>
      </c>
      <c r="F1743">
        <v>85</v>
      </c>
    </row>
    <row r="1744" spans="1:6" x14ac:dyDescent="0.35">
      <c r="A1744">
        <v>1975</v>
      </c>
      <c r="B1744" s="1">
        <v>45597</v>
      </c>
      <c r="C1744" s="2">
        <v>0.58333333333333337</v>
      </c>
      <c r="D1744">
        <v>3</v>
      </c>
      <c r="E1744">
        <v>12.9</v>
      </c>
      <c r="F1744">
        <v>86</v>
      </c>
    </row>
    <row r="1745" spans="1:6" x14ac:dyDescent="0.35">
      <c r="A1745">
        <v>1975</v>
      </c>
      <c r="B1745" s="1">
        <v>45597</v>
      </c>
      <c r="C1745" s="2">
        <v>0.625</v>
      </c>
      <c r="D1745">
        <v>3</v>
      </c>
      <c r="E1745">
        <v>12.7</v>
      </c>
      <c r="F1745">
        <v>88</v>
      </c>
    </row>
    <row r="1746" spans="1:6" x14ac:dyDescent="0.35">
      <c r="A1746">
        <v>1975</v>
      </c>
      <c r="B1746" s="1">
        <v>45597</v>
      </c>
      <c r="C1746" s="2">
        <v>0.66666666666666663</v>
      </c>
      <c r="D1746">
        <v>3</v>
      </c>
      <c r="E1746">
        <v>12.7</v>
      </c>
      <c r="F1746">
        <v>88</v>
      </c>
    </row>
    <row r="1747" spans="1:6" x14ac:dyDescent="0.35">
      <c r="A1747">
        <v>1975</v>
      </c>
      <c r="B1747" s="1">
        <v>45597</v>
      </c>
      <c r="C1747" s="2">
        <v>0.70833333333333337</v>
      </c>
      <c r="D1747">
        <v>3</v>
      </c>
      <c r="E1747">
        <v>12.2</v>
      </c>
      <c r="F1747">
        <v>92</v>
      </c>
    </row>
    <row r="1748" spans="1:6" x14ac:dyDescent="0.35">
      <c r="A1748">
        <v>1975</v>
      </c>
      <c r="B1748" s="1">
        <v>45597</v>
      </c>
      <c r="C1748" s="2">
        <v>0.75</v>
      </c>
      <c r="D1748">
        <v>3</v>
      </c>
      <c r="E1748">
        <v>11.8</v>
      </c>
      <c r="F1748">
        <v>98</v>
      </c>
    </row>
    <row r="1749" spans="1:6" x14ac:dyDescent="0.35">
      <c r="A1749">
        <v>1975</v>
      </c>
      <c r="B1749" s="1">
        <v>45597</v>
      </c>
      <c r="C1749" s="2">
        <v>0.79166666666666663</v>
      </c>
      <c r="D1749">
        <v>3</v>
      </c>
      <c r="E1749">
        <v>11.8</v>
      </c>
      <c r="F1749">
        <v>98</v>
      </c>
    </row>
    <row r="1750" spans="1:6" x14ac:dyDescent="0.35">
      <c r="A1750">
        <v>1975</v>
      </c>
      <c r="B1750" s="1">
        <v>45597</v>
      </c>
      <c r="C1750" s="2">
        <v>0.83333333333333337</v>
      </c>
      <c r="D1750">
        <v>3</v>
      </c>
      <c r="E1750">
        <v>11.8</v>
      </c>
      <c r="F1750">
        <v>99</v>
      </c>
    </row>
    <row r="1751" spans="1:6" x14ac:dyDescent="0.35">
      <c r="A1751">
        <v>1975</v>
      </c>
      <c r="B1751" s="1">
        <v>45597</v>
      </c>
      <c r="C1751" s="2">
        <v>0.875</v>
      </c>
      <c r="D1751">
        <v>3</v>
      </c>
      <c r="E1751">
        <v>12.1</v>
      </c>
      <c r="F1751">
        <v>99</v>
      </c>
    </row>
    <row r="1752" spans="1:6" x14ac:dyDescent="0.35">
      <c r="A1752">
        <v>1975</v>
      </c>
      <c r="B1752" s="1">
        <v>45597</v>
      </c>
      <c r="C1752" s="2">
        <v>0.91666666666666663</v>
      </c>
      <c r="D1752">
        <v>3</v>
      </c>
      <c r="E1752">
        <v>11.1</v>
      </c>
      <c r="F1752">
        <v>90</v>
      </c>
    </row>
    <row r="1753" spans="1:6" x14ac:dyDescent="0.35">
      <c r="A1753">
        <v>1975</v>
      </c>
      <c r="B1753" s="1">
        <v>45597</v>
      </c>
      <c r="C1753" s="2">
        <v>0.95833333333333337</v>
      </c>
      <c r="D1753">
        <v>3</v>
      </c>
      <c r="E1753">
        <v>10.1</v>
      </c>
      <c r="F1753">
        <v>83</v>
      </c>
    </row>
    <row r="1754" spans="1:6" x14ac:dyDescent="0.35">
      <c r="A1754">
        <v>1975</v>
      </c>
      <c r="B1754" s="1">
        <v>45598</v>
      </c>
      <c r="C1754" s="2">
        <v>0</v>
      </c>
      <c r="D1754">
        <v>3</v>
      </c>
      <c r="E1754">
        <v>8.8000000000000007</v>
      </c>
      <c r="F1754">
        <v>76</v>
      </c>
    </row>
    <row r="1755" spans="1:6" x14ac:dyDescent="0.35">
      <c r="A1755">
        <v>1975</v>
      </c>
      <c r="B1755" s="1">
        <v>45598</v>
      </c>
      <c r="C1755" s="2">
        <v>4.1666666666666657E-2</v>
      </c>
      <c r="D1755">
        <v>3</v>
      </c>
      <c r="E1755">
        <v>7.5</v>
      </c>
      <c r="F1755">
        <v>79</v>
      </c>
    </row>
    <row r="1756" spans="1:6" x14ac:dyDescent="0.35">
      <c r="A1756">
        <v>1975</v>
      </c>
      <c r="B1756" s="1">
        <v>45598</v>
      </c>
      <c r="C1756" s="2">
        <v>8.3333333333333329E-2</v>
      </c>
      <c r="D1756">
        <v>3</v>
      </c>
      <c r="E1756">
        <v>7.3</v>
      </c>
      <c r="F1756">
        <v>79</v>
      </c>
    </row>
    <row r="1757" spans="1:6" x14ac:dyDescent="0.35">
      <c r="A1757">
        <v>1975</v>
      </c>
      <c r="B1757" s="1">
        <v>45598</v>
      </c>
      <c r="C1757" s="2">
        <v>0.125</v>
      </c>
      <c r="D1757">
        <v>3</v>
      </c>
      <c r="E1757">
        <v>7.8</v>
      </c>
      <c r="F1757">
        <v>69</v>
      </c>
    </row>
    <row r="1758" spans="1:6" x14ac:dyDescent="0.35">
      <c r="A1758">
        <v>1975</v>
      </c>
      <c r="B1758" s="1">
        <v>45598</v>
      </c>
      <c r="C1758" s="2">
        <v>0.16666666666666671</v>
      </c>
      <c r="D1758">
        <v>3</v>
      </c>
      <c r="E1758">
        <v>7.3</v>
      </c>
      <c r="F1758">
        <v>73</v>
      </c>
    </row>
    <row r="1759" spans="1:6" x14ac:dyDescent="0.35">
      <c r="A1759">
        <v>1975</v>
      </c>
      <c r="B1759" s="1">
        <v>45598</v>
      </c>
      <c r="C1759" s="2">
        <v>0.20833333333333329</v>
      </c>
      <c r="D1759">
        <v>3</v>
      </c>
      <c r="E1759">
        <v>6.1</v>
      </c>
      <c r="F1759">
        <v>74</v>
      </c>
    </row>
    <row r="1760" spans="1:6" x14ac:dyDescent="0.35">
      <c r="A1760">
        <v>1975</v>
      </c>
      <c r="B1760" s="1">
        <v>45598</v>
      </c>
      <c r="C1760" s="2">
        <v>0.25</v>
      </c>
      <c r="D1760">
        <v>3</v>
      </c>
      <c r="E1760">
        <v>6.1</v>
      </c>
      <c r="F1760">
        <v>71</v>
      </c>
    </row>
    <row r="1761" spans="1:6" x14ac:dyDescent="0.35">
      <c r="A1761">
        <v>1975</v>
      </c>
      <c r="B1761" s="1">
        <v>45598</v>
      </c>
      <c r="C1761" s="2">
        <v>0.29166666666666669</v>
      </c>
      <c r="D1761">
        <v>3</v>
      </c>
      <c r="E1761">
        <v>4.9000000000000004</v>
      </c>
      <c r="F1761">
        <v>80</v>
      </c>
    </row>
    <row r="1762" spans="1:6" x14ac:dyDescent="0.35">
      <c r="A1762">
        <v>1975</v>
      </c>
      <c r="B1762" s="1">
        <v>45598</v>
      </c>
      <c r="C1762" s="2">
        <v>0.33333333333333331</v>
      </c>
      <c r="D1762">
        <v>3</v>
      </c>
      <c r="E1762">
        <v>5.6</v>
      </c>
      <c r="F1762">
        <v>76</v>
      </c>
    </row>
    <row r="1763" spans="1:6" x14ac:dyDescent="0.35">
      <c r="A1763">
        <v>1975</v>
      </c>
      <c r="B1763" s="1">
        <v>45598</v>
      </c>
      <c r="C1763" s="2">
        <v>0.375</v>
      </c>
      <c r="D1763">
        <v>3</v>
      </c>
      <c r="E1763">
        <v>7.2</v>
      </c>
      <c r="F1763">
        <v>67</v>
      </c>
    </row>
    <row r="1764" spans="1:6" x14ac:dyDescent="0.35">
      <c r="A1764">
        <v>1975</v>
      </c>
      <c r="B1764" s="1">
        <v>45598</v>
      </c>
      <c r="C1764" s="2">
        <v>0.41666666666666669</v>
      </c>
      <c r="D1764">
        <v>3</v>
      </c>
      <c r="E1764">
        <v>8.1999999999999993</v>
      </c>
      <c r="F1764">
        <v>60</v>
      </c>
    </row>
    <row r="1765" spans="1:6" x14ac:dyDescent="0.35">
      <c r="A1765">
        <v>1975</v>
      </c>
      <c r="B1765" s="1">
        <v>45598</v>
      </c>
      <c r="C1765" s="2">
        <v>0.45833333333333331</v>
      </c>
      <c r="D1765">
        <v>3</v>
      </c>
      <c r="E1765">
        <v>9</v>
      </c>
      <c r="F1765">
        <v>56</v>
      </c>
    </row>
    <row r="1766" spans="1:6" x14ac:dyDescent="0.35">
      <c r="A1766">
        <v>1975</v>
      </c>
      <c r="B1766" s="1">
        <v>45598</v>
      </c>
      <c r="C1766" s="2">
        <v>0.5</v>
      </c>
      <c r="D1766">
        <v>3</v>
      </c>
      <c r="E1766">
        <v>9.6999999999999993</v>
      </c>
      <c r="F1766">
        <v>53</v>
      </c>
    </row>
    <row r="1767" spans="1:6" x14ac:dyDescent="0.35">
      <c r="A1767">
        <v>1975</v>
      </c>
      <c r="B1767" s="1">
        <v>45598</v>
      </c>
      <c r="C1767" s="2">
        <v>0.54166666666666663</v>
      </c>
      <c r="D1767">
        <v>3</v>
      </c>
      <c r="E1767">
        <v>9.6</v>
      </c>
      <c r="F1767">
        <v>54</v>
      </c>
    </row>
    <row r="1768" spans="1:6" x14ac:dyDescent="0.35">
      <c r="A1768">
        <v>1975</v>
      </c>
      <c r="B1768" s="1">
        <v>45598</v>
      </c>
      <c r="C1768" s="2">
        <v>0.58333333333333337</v>
      </c>
      <c r="D1768">
        <v>3</v>
      </c>
      <c r="E1768">
        <v>9.3000000000000007</v>
      </c>
      <c r="F1768">
        <v>56</v>
      </c>
    </row>
    <row r="1769" spans="1:6" x14ac:dyDescent="0.35">
      <c r="A1769">
        <v>1975</v>
      </c>
      <c r="B1769" s="1">
        <v>45598</v>
      </c>
      <c r="C1769" s="2">
        <v>0.625</v>
      </c>
      <c r="D1769">
        <v>3</v>
      </c>
      <c r="E1769">
        <v>8.4</v>
      </c>
      <c r="F1769">
        <v>63</v>
      </c>
    </row>
    <row r="1770" spans="1:6" x14ac:dyDescent="0.35">
      <c r="A1770">
        <v>1975</v>
      </c>
      <c r="B1770" s="1">
        <v>45598</v>
      </c>
      <c r="C1770" s="2">
        <v>0.66666666666666663</v>
      </c>
      <c r="D1770">
        <v>3</v>
      </c>
      <c r="E1770">
        <v>7.1</v>
      </c>
      <c r="F1770">
        <v>68</v>
      </c>
    </row>
    <row r="1771" spans="1:6" x14ac:dyDescent="0.35">
      <c r="A1771">
        <v>1975</v>
      </c>
      <c r="B1771" s="1">
        <v>45598</v>
      </c>
      <c r="C1771" s="2">
        <v>0.70833333333333337</v>
      </c>
      <c r="D1771">
        <v>3</v>
      </c>
      <c r="E1771">
        <v>4.4000000000000004</v>
      </c>
      <c r="F1771">
        <v>91</v>
      </c>
    </row>
    <row r="1772" spans="1:6" x14ac:dyDescent="0.35">
      <c r="A1772">
        <v>1975</v>
      </c>
      <c r="B1772" s="1">
        <v>45598</v>
      </c>
      <c r="C1772" s="2">
        <v>0.75</v>
      </c>
      <c r="D1772">
        <v>3</v>
      </c>
      <c r="E1772">
        <v>3.1</v>
      </c>
      <c r="F1772">
        <v>93</v>
      </c>
    </row>
    <row r="1773" spans="1:6" x14ac:dyDescent="0.35">
      <c r="A1773">
        <v>1975</v>
      </c>
      <c r="B1773" s="1">
        <v>45598</v>
      </c>
      <c r="C1773" s="2">
        <v>0.79166666666666663</v>
      </c>
      <c r="D1773">
        <v>3</v>
      </c>
      <c r="E1773">
        <v>1.8</v>
      </c>
      <c r="F1773">
        <v>93</v>
      </c>
    </row>
    <row r="1774" spans="1:6" x14ac:dyDescent="0.35">
      <c r="A1774">
        <v>1975</v>
      </c>
      <c r="B1774" s="1">
        <v>45598</v>
      </c>
      <c r="C1774" s="2">
        <v>0.83333333333333337</v>
      </c>
      <c r="D1774">
        <v>3</v>
      </c>
      <c r="E1774">
        <v>1.8</v>
      </c>
      <c r="F1774">
        <v>99</v>
      </c>
    </row>
    <row r="1775" spans="1:6" x14ac:dyDescent="0.35">
      <c r="A1775">
        <v>1975</v>
      </c>
      <c r="B1775" s="1">
        <v>45598</v>
      </c>
      <c r="C1775" s="2">
        <v>0.875</v>
      </c>
      <c r="D1775">
        <v>3</v>
      </c>
      <c r="E1775">
        <v>1.7</v>
      </c>
      <c r="F1775">
        <v>97</v>
      </c>
    </row>
    <row r="1776" spans="1:6" x14ac:dyDescent="0.35">
      <c r="A1776">
        <v>1975</v>
      </c>
      <c r="B1776" s="1">
        <v>45598</v>
      </c>
      <c r="C1776" s="2">
        <v>0.91666666666666663</v>
      </c>
      <c r="D1776">
        <v>3</v>
      </c>
      <c r="E1776">
        <v>1.5</v>
      </c>
      <c r="F1776">
        <v>98</v>
      </c>
    </row>
    <row r="1777" spans="1:6" x14ac:dyDescent="0.35">
      <c r="A1777">
        <v>1975</v>
      </c>
      <c r="B1777" s="1">
        <v>45598</v>
      </c>
      <c r="C1777" s="2">
        <v>0.95833333333333337</v>
      </c>
      <c r="D1777">
        <v>3</v>
      </c>
      <c r="E1777">
        <v>1</v>
      </c>
      <c r="F1777">
        <v>98</v>
      </c>
    </row>
    <row r="1778" spans="1:6" x14ac:dyDescent="0.35">
      <c r="A1778">
        <v>1975</v>
      </c>
      <c r="B1778" s="1">
        <v>45599</v>
      </c>
      <c r="C1778" s="2">
        <v>0</v>
      </c>
      <c r="D1778">
        <v>3</v>
      </c>
      <c r="E1778">
        <v>1</v>
      </c>
      <c r="F1778">
        <v>100</v>
      </c>
    </row>
    <row r="1779" spans="1:6" x14ac:dyDescent="0.35">
      <c r="A1779">
        <v>1975</v>
      </c>
      <c r="B1779" s="1">
        <v>45599</v>
      </c>
      <c r="C1779" s="2">
        <v>4.1666666666666657E-2</v>
      </c>
      <c r="D1779">
        <v>3</v>
      </c>
      <c r="E1779">
        <v>0.2</v>
      </c>
      <c r="F1779">
        <v>99</v>
      </c>
    </row>
    <row r="1780" spans="1:6" x14ac:dyDescent="0.35">
      <c r="A1780">
        <v>1975</v>
      </c>
      <c r="B1780" s="1">
        <v>45599</v>
      </c>
      <c r="C1780" s="2">
        <v>8.3333333333333329E-2</v>
      </c>
      <c r="D1780">
        <v>3</v>
      </c>
      <c r="E1780">
        <v>0.5</v>
      </c>
      <c r="F1780">
        <v>100</v>
      </c>
    </row>
    <row r="1781" spans="1:6" x14ac:dyDescent="0.35">
      <c r="A1781">
        <v>1975</v>
      </c>
      <c r="B1781" s="1">
        <v>45599</v>
      </c>
      <c r="C1781" s="2">
        <v>0.125</v>
      </c>
      <c r="D1781">
        <v>3</v>
      </c>
      <c r="E1781">
        <v>-0.7</v>
      </c>
      <c r="F1781">
        <v>99</v>
      </c>
    </row>
    <row r="1782" spans="1:6" x14ac:dyDescent="0.35">
      <c r="A1782">
        <v>1975</v>
      </c>
      <c r="B1782" s="1">
        <v>45599</v>
      </c>
      <c r="C1782" s="2">
        <v>0.16666666666666671</v>
      </c>
      <c r="D1782">
        <v>3</v>
      </c>
      <c r="E1782">
        <v>-0.2</v>
      </c>
      <c r="F1782">
        <v>100</v>
      </c>
    </row>
    <row r="1783" spans="1:6" x14ac:dyDescent="0.35">
      <c r="A1783">
        <v>1975</v>
      </c>
      <c r="B1783" s="1">
        <v>45599</v>
      </c>
      <c r="C1783" s="2">
        <v>0.20833333333333329</v>
      </c>
      <c r="D1783">
        <v>3</v>
      </c>
      <c r="E1783">
        <v>0</v>
      </c>
      <c r="F1783">
        <v>100</v>
      </c>
    </row>
    <row r="1784" spans="1:6" x14ac:dyDescent="0.35">
      <c r="A1784">
        <v>1975</v>
      </c>
      <c r="B1784" s="1">
        <v>45599</v>
      </c>
      <c r="C1784" s="2">
        <v>0.25</v>
      </c>
      <c r="D1784">
        <v>3</v>
      </c>
      <c r="E1784">
        <v>-0.3</v>
      </c>
      <c r="F1784">
        <v>100</v>
      </c>
    </row>
    <row r="1785" spans="1:6" x14ac:dyDescent="0.35">
      <c r="A1785">
        <v>1975</v>
      </c>
      <c r="B1785" s="1">
        <v>45599</v>
      </c>
      <c r="C1785" s="2">
        <v>0.29166666666666669</v>
      </c>
      <c r="D1785">
        <v>3</v>
      </c>
      <c r="E1785">
        <v>-0.7</v>
      </c>
      <c r="F1785">
        <v>100</v>
      </c>
    </row>
    <row r="1786" spans="1:6" x14ac:dyDescent="0.35">
      <c r="A1786">
        <v>1975</v>
      </c>
      <c r="B1786" s="1">
        <v>45599</v>
      </c>
      <c r="C1786" s="2">
        <v>0.33333333333333331</v>
      </c>
      <c r="D1786">
        <v>3</v>
      </c>
      <c r="E1786">
        <v>0.1</v>
      </c>
      <c r="F1786">
        <v>95</v>
      </c>
    </row>
    <row r="1787" spans="1:6" x14ac:dyDescent="0.35">
      <c r="A1787">
        <v>1975</v>
      </c>
      <c r="B1787" s="1">
        <v>45599</v>
      </c>
      <c r="C1787" s="2">
        <v>0.375</v>
      </c>
      <c r="D1787">
        <v>3</v>
      </c>
      <c r="E1787">
        <v>5.0999999999999996</v>
      </c>
      <c r="F1787">
        <v>81</v>
      </c>
    </row>
    <row r="1788" spans="1:6" x14ac:dyDescent="0.35">
      <c r="A1788">
        <v>1975</v>
      </c>
      <c r="B1788" s="1">
        <v>45599</v>
      </c>
      <c r="C1788" s="2">
        <v>0.41666666666666669</v>
      </c>
      <c r="D1788">
        <v>3</v>
      </c>
      <c r="E1788">
        <v>6.9</v>
      </c>
      <c r="F1788">
        <v>72</v>
      </c>
    </row>
    <row r="1789" spans="1:6" x14ac:dyDescent="0.35">
      <c r="A1789">
        <v>1975</v>
      </c>
      <c r="B1789" s="1">
        <v>45599</v>
      </c>
      <c r="C1789" s="2">
        <v>0.45833333333333331</v>
      </c>
      <c r="D1789">
        <v>3</v>
      </c>
      <c r="E1789">
        <v>8.4</v>
      </c>
      <c r="F1789">
        <v>65</v>
      </c>
    </row>
    <row r="1790" spans="1:6" x14ac:dyDescent="0.35">
      <c r="A1790">
        <v>1975</v>
      </c>
      <c r="B1790" s="1">
        <v>45599</v>
      </c>
      <c r="C1790" s="2">
        <v>0.5</v>
      </c>
      <c r="D1790">
        <v>3</v>
      </c>
      <c r="E1790">
        <v>9.9</v>
      </c>
      <c r="F1790">
        <v>65</v>
      </c>
    </row>
    <row r="1791" spans="1:6" x14ac:dyDescent="0.35">
      <c r="A1791">
        <v>1975</v>
      </c>
      <c r="B1791" s="1">
        <v>45599</v>
      </c>
      <c r="C1791" s="2">
        <v>0.54166666666666663</v>
      </c>
      <c r="D1791">
        <v>3</v>
      </c>
      <c r="E1791">
        <v>10.4</v>
      </c>
      <c r="F1791">
        <v>69</v>
      </c>
    </row>
    <row r="1792" spans="1:6" x14ac:dyDescent="0.35">
      <c r="A1792">
        <v>1975</v>
      </c>
      <c r="B1792" s="1">
        <v>45599</v>
      </c>
      <c r="C1792" s="2">
        <v>0.58333333333333337</v>
      </c>
      <c r="D1792">
        <v>3</v>
      </c>
      <c r="E1792">
        <v>10</v>
      </c>
      <c r="F1792">
        <v>76</v>
      </c>
    </row>
    <row r="1793" spans="1:6" x14ac:dyDescent="0.35">
      <c r="A1793">
        <v>1975</v>
      </c>
      <c r="B1793" s="1">
        <v>45599</v>
      </c>
      <c r="C1793" s="2">
        <v>0.625</v>
      </c>
      <c r="D1793">
        <v>3</v>
      </c>
      <c r="E1793">
        <v>10</v>
      </c>
      <c r="F1793">
        <v>78</v>
      </c>
    </row>
    <row r="1794" spans="1:6" x14ac:dyDescent="0.35">
      <c r="A1794">
        <v>1975</v>
      </c>
      <c r="B1794" s="1">
        <v>45599</v>
      </c>
      <c r="C1794" s="2">
        <v>0.66666666666666663</v>
      </c>
      <c r="D1794">
        <v>3</v>
      </c>
      <c r="E1794">
        <v>10</v>
      </c>
      <c r="F1794">
        <v>81</v>
      </c>
    </row>
    <row r="1795" spans="1:6" x14ac:dyDescent="0.35">
      <c r="A1795">
        <v>1975</v>
      </c>
      <c r="B1795" s="1">
        <v>45599</v>
      </c>
      <c r="C1795" s="2">
        <v>0.70833333333333337</v>
      </c>
      <c r="D1795">
        <v>3</v>
      </c>
      <c r="E1795">
        <v>9.9</v>
      </c>
      <c r="F1795">
        <v>83</v>
      </c>
    </row>
    <row r="1796" spans="1:6" x14ac:dyDescent="0.35">
      <c r="A1796">
        <v>1975</v>
      </c>
      <c r="B1796" s="1">
        <v>45599</v>
      </c>
      <c r="C1796" s="2">
        <v>0.75</v>
      </c>
      <c r="D1796">
        <v>3</v>
      </c>
      <c r="E1796">
        <v>9.9</v>
      </c>
      <c r="F1796">
        <v>84</v>
      </c>
    </row>
    <row r="1797" spans="1:6" x14ac:dyDescent="0.35">
      <c r="A1797">
        <v>1975</v>
      </c>
      <c r="B1797" s="1">
        <v>45599</v>
      </c>
      <c r="C1797" s="2">
        <v>0.79166666666666663</v>
      </c>
      <c r="D1797">
        <v>3</v>
      </c>
      <c r="E1797">
        <v>9.9</v>
      </c>
      <c r="F1797">
        <v>85</v>
      </c>
    </row>
    <row r="1798" spans="1:6" x14ac:dyDescent="0.35">
      <c r="A1798">
        <v>1975</v>
      </c>
      <c r="B1798" s="1">
        <v>45599</v>
      </c>
      <c r="C1798" s="2">
        <v>0.83333333333333337</v>
      </c>
      <c r="D1798">
        <v>3</v>
      </c>
      <c r="E1798">
        <v>9.8000000000000007</v>
      </c>
      <c r="F1798">
        <v>87</v>
      </c>
    </row>
    <row r="1799" spans="1:6" x14ac:dyDescent="0.35">
      <c r="A1799">
        <v>1975</v>
      </c>
      <c r="B1799" s="1">
        <v>45599</v>
      </c>
      <c r="C1799" s="2">
        <v>0.875</v>
      </c>
      <c r="D1799">
        <v>3</v>
      </c>
      <c r="E1799">
        <v>9</v>
      </c>
      <c r="F1799">
        <v>97</v>
      </c>
    </row>
    <row r="1800" spans="1:6" x14ac:dyDescent="0.35">
      <c r="A1800">
        <v>1975</v>
      </c>
      <c r="B1800" s="1">
        <v>45599</v>
      </c>
      <c r="C1800" s="2">
        <v>0.91666666666666663</v>
      </c>
      <c r="D1800">
        <v>3</v>
      </c>
      <c r="E1800">
        <v>9</v>
      </c>
      <c r="F1800">
        <v>97</v>
      </c>
    </row>
    <row r="1801" spans="1:6" x14ac:dyDescent="0.35">
      <c r="A1801">
        <v>1975</v>
      </c>
      <c r="B1801" s="1">
        <v>45599</v>
      </c>
      <c r="C1801" s="2">
        <v>0.95833333333333337</v>
      </c>
      <c r="D1801">
        <v>3</v>
      </c>
      <c r="E1801">
        <v>9</v>
      </c>
      <c r="F1801">
        <v>99</v>
      </c>
    </row>
    <row r="1802" spans="1:6" x14ac:dyDescent="0.35">
      <c r="A1802">
        <v>1975</v>
      </c>
      <c r="B1802" s="1">
        <v>45600</v>
      </c>
      <c r="C1802" s="2">
        <v>0</v>
      </c>
      <c r="D1802">
        <v>3</v>
      </c>
      <c r="E1802">
        <v>9</v>
      </c>
      <c r="F1802">
        <v>98</v>
      </c>
    </row>
    <row r="1803" spans="1:6" x14ac:dyDescent="0.35">
      <c r="A1803">
        <v>1975</v>
      </c>
      <c r="B1803" s="1">
        <v>45600</v>
      </c>
      <c r="C1803" s="2">
        <v>4.1666666666666657E-2</v>
      </c>
      <c r="D1803">
        <v>3</v>
      </c>
      <c r="E1803">
        <v>9.1999999999999993</v>
      </c>
      <c r="F1803">
        <v>98</v>
      </c>
    </row>
    <row r="1804" spans="1:6" x14ac:dyDescent="0.35">
      <c r="A1804">
        <v>1975</v>
      </c>
      <c r="B1804" s="1">
        <v>45600</v>
      </c>
      <c r="C1804" s="2">
        <v>8.3333333333333329E-2</v>
      </c>
      <c r="D1804">
        <v>3</v>
      </c>
      <c r="E1804">
        <v>9.3000000000000007</v>
      </c>
      <c r="F1804">
        <v>98</v>
      </c>
    </row>
    <row r="1805" spans="1:6" x14ac:dyDescent="0.35">
      <c r="A1805">
        <v>1975</v>
      </c>
      <c r="B1805" s="1">
        <v>45600</v>
      </c>
      <c r="C1805" s="2">
        <v>0.125</v>
      </c>
      <c r="D1805">
        <v>3</v>
      </c>
      <c r="E1805">
        <v>9.1</v>
      </c>
      <c r="F1805">
        <v>99</v>
      </c>
    </row>
    <row r="1806" spans="1:6" x14ac:dyDescent="0.35">
      <c r="A1806">
        <v>1975</v>
      </c>
      <c r="B1806" s="1">
        <v>45600</v>
      </c>
      <c r="C1806" s="2">
        <v>0.16666666666666671</v>
      </c>
      <c r="D1806">
        <v>3</v>
      </c>
      <c r="E1806">
        <v>9.1999999999999993</v>
      </c>
      <c r="F1806">
        <v>98</v>
      </c>
    </row>
    <row r="1807" spans="1:6" x14ac:dyDescent="0.35">
      <c r="A1807">
        <v>1975</v>
      </c>
      <c r="B1807" s="1">
        <v>45600</v>
      </c>
      <c r="C1807" s="2">
        <v>0.20833333333333329</v>
      </c>
      <c r="D1807">
        <v>3</v>
      </c>
      <c r="E1807">
        <v>9.3000000000000007</v>
      </c>
      <c r="F1807">
        <v>98</v>
      </c>
    </row>
    <row r="1808" spans="1:6" x14ac:dyDescent="0.35">
      <c r="A1808">
        <v>1975</v>
      </c>
      <c r="B1808" s="1">
        <v>45600</v>
      </c>
      <c r="C1808" s="2">
        <v>0.25</v>
      </c>
      <c r="D1808">
        <v>3</v>
      </c>
      <c r="E1808">
        <v>9.1</v>
      </c>
      <c r="F1808">
        <v>98</v>
      </c>
    </row>
    <row r="1809" spans="1:6" x14ac:dyDescent="0.35">
      <c r="A1809">
        <v>1975</v>
      </c>
      <c r="B1809" s="1">
        <v>45600</v>
      </c>
      <c r="C1809" s="2">
        <v>0.29166666666666669</v>
      </c>
      <c r="D1809">
        <v>3</v>
      </c>
      <c r="E1809">
        <v>9.1999999999999993</v>
      </c>
      <c r="F1809">
        <v>99</v>
      </c>
    </row>
    <row r="1810" spans="1:6" x14ac:dyDescent="0.35">
      <c r="A1810">
        <v>1975</v>
      </c>
      <c r="B1810" s="1">
        <v>45600</v>
      </c>
      <c r="C1810" s="2">
        <v>0.33333333333333331</v>
      </c>
      <c r="D1810">
        <v>3</v>
      </c>
      <c r="E1810">
        <v>9.5</v>
      </c>
      <c r="F1810">
        <v>98</v>
      </c>
    </row>
    <row r="1811" spans="1:6" x14ac:dyDescent="0.35">
      <c r="A1811">
        <v>1975</v>
      </c>
      <c r="B1811" s="1">
        <v>45600</v>
      </c>
      <c r="C1811" s="2">
        <v>0.375</v>
      </c>
      <c r="D1811">
        <v>3</v>
      </c>
      <c r="E1811">
        <v>9.9</v>
      </c>
      <c r="F1811">
        <v>97</v>
      </c>
    </row>
    <row r="1812" spans="1:6" x14ac:dyDescent="0.35">
      <c r="A1812">
        <v>1975</v>
      </c>
      <c r="B1812" s="1">
        <v>45600</v>
      </c>
      <c r="C1812" s="2">
        <v>0.41666666666666669</v>
      </c>
      <c r="D1812">
        <v>3</v>
      </c>
      <c r="E1812">
        <v>10.1</v>
      </c>
      <c r="F1812">
        <v>93</v>
      </c>
    </row>
    <row r="1813" spans="1:6" x14ac:dyDescent="0.35">
      <c r="A1813">
        <v>1975</v>
      </c>
      <c r="B1813" s="1">
        <v>45600</v>
      </c>
      <c r="C1813" s="2">
        <v>0.45833333333333331</v>
      </c>
      <c r="D1813">
        <v>3</v>
      </c>
      <c r="E1813">
        <v>10.3</v>
      </c>
      <c r="F1813">
        <v>92</v>
      </c>
    </row>
    <row r="1814" spans="1:6" x14ac:dyDescent="0.35">
      <c r="A1814">
        <v>1975</v>
      </c>
      <c r="B1814" s="1">
        <v>45600</v>
      </c>
      <c r="C1814" s="2">
        <v>0.5</v>
      </c>
      <c r="D1814">
        <v>3</v>
      </c>
      <c r="E1814">
        <v>10.3</v>
      </c>
      <c r="F1814">
        <v>90</v>
      </c>
    </row>
    <row r="1815" spans="1:6" x14ac:dyDescent="0.35">
      <c r="A1815">
        <v>1975</v>
      </c>
      <c r="B1815" s="1">
        <v>45600</v>
      </c>
      <c r="C1815" s="2">
        <v>0.54166666666666663</v>
      </c>
      <c r="D1815">
        <v>3</v>
      </c>
      <c r="E1815">
        <v>10.4</v>
      </c>
      <c r="F1815">
        <v>87</v>
      </c>
    </row>
    <row r="1816" spans="1:6" x14ac:dyDescent="0.35">
      <c r="A1816">
        <v>1975</v>
      </c>
      <c r="B1816" s="1">
        <v>45600</v>
      </c>
      <c r="C1816" s="2">
        <v>0.58333333333333337</v>
      </c>
      <c r="D1816">
        <v>3</v>
      </c>
      <c r="E1816">
        <v>10.199999999999999</v>
      </c>
      <c r="F1816">
        <v>88</v>
      </c>
    </row>
    <row r="1817" spans="1:6" x14ac:dyDescent="0.35">
      <c r="A1817">
        <v>1975</v>
      </c>
      <c r="B1817" s="1">
        <v>45600</v>
      </c>
      <c r="C1817" s="2">
        <v>0.625</v>
      </c>
      <c r="D1817">
        <v>3</v>
      </c>
      <c r="E1817">
        <v>9.9</v>
      </c>
      <c r="F1817">
        <v>89</v>
      </c>
    </row>
    <row r="1818" spans="1:6" x14ac:dyDescent="0.35">
      <c r="A1818">
        <v>1975</v>
      </c>
      <c r="B1818" s="1">
        <v>45600</v>
      </c>
      <c r="C1818" s="2">
        <v>0.66666666666666663</v>
      </c>
      <c r="D1818">
        <v>3</v>
      </c>
      <c r="E1818">
        <v>9.6999999999999993</v>
      </c>
      <c r="F1818">
        <v>88</v>
      </c>
    </row>
    <row r="1819" spans="1:6" x14ac:dyDescent="0.35">
      <c r="A1819">
        <v>1975</v>
      </c>
      <c r="B1819" s="1">
        <v>45600</v>
      </c>
      <c r="C1819" s="2">
        <v>0.70833333333333337</v>
      </c>
      <c r="D1819">
        <v>3</v>
      </c>
      <c r="E1819">
        <v>9.5</v>
      </c>
      <c r="F1819">
        <v>90</v>
      </c>
    </row>
    <row r="1820" spans="1:6" x14ac:dyDescent="0.35">
      <c r="A1820">
        <v>1975</v>
      </c>
      <c r="B1820" s="1">
        <v>45600</v>
      </c>
      <c r="C1820" s="2">
        <v>0.75</v>
      </c>
      <c r="D1820">
        <v>3</v>
      </c>
      <c r="E1820">
        <v>9.4</v>
      </c>
      <c r="F1820">
        <v>89</v>
      </c>
    </row>
    <row r="1821" spans="1:6" x14ac:dyDescent="0.35">
      <c r="A1821">
        <v>1975</v>
      </c>
      <c r="B1821" s="1">
        <v>45600</v>
      </c>
      <c r="C1821" s="2">
        <v>0.79166666666666663</v>
      </c>
      <c r="D1821">
        <v>3</v>
      </c>
      <c r="E1821">
        <v>9.1999999999999993</v>
      </c>
      <c r="F1821">
        <v>88</v>
      </c>
    </row>
    <row r="1822" spans="1:6" x14ac:dyDescent="0.35">
      <c r="A1822">
        <v>1975</v>
      </c>
      <c r="B1822" s="1">
        <v>45600</v>
      </c>
      <c r="C1822" s="2">
        <v>0.83333333333333337</v>
      </c>
      <c r="D1822">
        <v>3</v>
      </c>
      <c r="E1822">
        <v>9.1</v>
      </c>
      <c r="F1822">
        <v>88</v>
      </c>
    </row>
    <row r="1823" spans="1:6" x14ac:dyDescent="0.35">
      <c r="A1823">
        <v>1975</v>
      </c>
      <c r="B1823" s="1">
        <v>45600</v>
      </c>
      <c r="C1823" s="2">
        <v>0.875</v>
      </c>
      <c r="D1823">
        <v>3</v>
      </c>
      <c r="E1823">
        <v>8.9</v>
      </c>
      <c r="F1823">
        <v>87</v>
      </c>
    </row>
    <row r="1824" spans="1:6" x14ac:dyDescent="0.35">
      <c r="A1824">
        <v>1975</v>
      </c>
      <c r="B1824" s="1">
        <v>45600</v>
      </c>
      <c r="C1824" s="2">
        <v>0.91666666666666663</v>
      </c>
      <c r="D1824">
        <v>3</v>
      </c>
      <c r="E1824">
        <v>8.8000000000000007</v>
      </c>
      <c r="F1824">
        <v>88</v>
      </c>
    </row>
    <row r="1825" spans="1:6" x14ac:dyDescent="0.35">
      <c r="A1825">
        <v>1975</v>
      </c>
      <c r="B1825" s="1">
        <v>45600</v>
      </c>
      <c r="C1825" s="2">
        <v>0.95833333333333337</v>
      </c>
      <c r="D1825">
        <v>3</v>
      </c>
      <c r="E1825">
        <v>8.5</v>
      </c>
      <c r="F1825">
        <v>87</v>
      </c>
    </row>
    <row r="1826" spans="1:6" x14ac:dyDescent="0.35">
      <c r="A1826">
        <v>1975</v>
      </c>
      <c r="B1826" s="1">
        <v>45601</v>
      </c>
      <c r="C1826" s="2">
        <v>0</v>
      </c>
      <c r="D1826">
        <v>3</v>
      </c>
      <c r="E1826">
        <v>8.5</v>
      </c>
      <c r="F1826">
        <v>88</v>
      </c>
    </row>
    <row r="1827" spans="1:6" x14ac:dyDescent="0.35">
      <c r="A1827">
        <v>1975</v>
      </c>
      <c r="B1827" s="1">
        <v>45601</v>
      </c>
      <c r="C1827" s="2">
        <v>4.1666666666666657E-2</v>
      </c>
      <c r="D1827">
        <v>3</v>
      </c>
      <c r="E1827">
        <v>8.1999999999999993</v>
      </c>
      <c r="F1827">
        <v>89</v>
      </c>
    </row>
    <row r="1828" spans="1:6" x14ac:dyDescent="0.35">
      <c r="A1828">
        <v>1975</v>
      </c>
      <c r="B1828" s="1">
        <v>45601</v>
      </c>
      <c r="C1828" s="2">
        <v>8.3333333333333329E-2</v>
      </c>
      <c r="D1828">
        <v>3</v>
      </c>
      <c r="E1828">
        <v>8.1</v>
      </c>
      <c r="F1828">
        <v>88</v>
      </c>
    </row>
    <row r="1829" spans="1:6" x14ac:dyDescent="0.35">
      <c r="A1829">
        <v>1975</v>
      </c>
      <c r="B1829" s="1">
        <v>45601</v>
      </c>
      <c r="C1829" s="2">
        <v>0.125</v>
      </c>
      <c r="D1829">
        <v>3</v>
      </c>
      <c r="E1829">
        <v>7.8</v>
      </c>
      <c r="F1829">
        <v>89</v>
      </c>
    </row>
    <row r="1830" spans="1:6" x14ac:dyDescent="0.35">
      <c r="A1830">
        <v>1975</v>
      </c>
      <c r="B1830" s="1">
        <v>45601</v>
      </c>
      <c r="C1830" s="2">
        <v>0.16666666666666671</v>
      </c>
      <c r="D1830">
        <v>3</v>
      </c>
      <c r="E1830">
        <v>7.9</v>
      </c>
      <c r="F1830">
        <v>88</v>
      </c>
    </row>
    <row r="1831" spans="1:6" x14ac:dyDescent="0.35">
      <c r="A1831">
        <v>1975</v>
      </c>
      <c r="B1831" s="1">
        <v>45601</v>
      </c>
      <c r="C1831" s="2">
        <v>0.20833333333333329</v>
      </c>
      <c r="D1831">
        <v>3</v>
      </c>
      <c r="E1831">
        <v>7.7</v>
      </c>
      <c r="F1831">
        <v>90</v>
      </c>
    </row>
    <row r="1832" spans="1:6" x14ac:dyDescent="0.35">
      <c r="A1832">
        <v>1975</v>
      </c>
      <c r="B1832" s="1">
        <v>45601</v>
      </c>
      <c r="C1832" s="2">
        <v>0.25</v>
      </c>
      <c r="D1832">
        <v>3</v>
      </c>
      <c r="E1832">
        <v>7.5</v>
      </c>
      <c r="F1832">
        <v>91</v>
      </c>
    </row>
    <row r="1833" spans="1:6" x14ac:dyDescent="0.35">
      <c r="A1833">
        <v>1975</v>
      </c>
      <c r="B1833" s="1">
        <v>45601</v>
      </c>
      <c r="C1833" s="2">
        <v>0.29166666666666669</v>
      </c>
      <c r="D1833">
        <v>3</v>
      </c>
      <c r="E1833">
        <v>7.4</v>
      </c>
      <c r="F1833">
        <v>92</v>
      </c>
    </row>
    <row r="1834" spans="1:6" x14ac:dyDescent="0.35">
      <c r="A1834">
        <v>1975</v>
      </c>
      <c r="B1834" s="1">
        <v>45601</v>
      </c>
      <c r="C1834" s="2">
        <v>0.33333333333333331</v>
      </c>
      <c r="D1834">
        <v>3</v>
      </c>
      <c r="E1834">
        <v>7.5</v>
      </c>
      <c r="F1834">
        <v>91</v>
      </c>
    </row>
    <row r="1835" spans="1:6" x14ac:dyDescent="0.35">
      <c r="A1835">
        <v>1975</v>
      </c>
      <c r="B1835" s="1">
        <v>45601</v>
      </c>
      <c r="C1835" s="2">
        <v>0.375</v>
      </c>
      <c r="D1835">
        <v>3</v>
      </c>
      <c r="E1835">
        <v>7.7</v>
      </c>
      <c r="F1835">
        <v>90</v>
      </c>
    </row>
    <row r="1836" spans="1:6" x14ac:dyDescent="0.35">
      <c r="A1836">
        <v>1975</v>
      </c>
      <c r="B1836" s="1">
        <v>45601</v>
      </c>
      <c r="C1836" s="2">
        <v>0.41666666666666669</v>
      </c>
      <c r="D1836">
        <v>3</v>
      </c>
      <c r="E1836">
        <v>7.7</v>
      </c>
      <c r="F1836">
        <v>89</v>
      </c>
    </row>
    <row r="1837" spans="1:6" x14ac:dyDescent="0.35">
      <c r="A1837">
        <v>1975</v>
      </c>
      <c r="B1837" s="1">
        <v>45601</v>
      </c>
      <c r="C1837" s="2">
        <v>0.45833333333333331</v>
      </c>
      <c r="D1837">
        <v>3</v>
      </c>
      <c r="E1837">
        <v>7.4</v>
      </c>
      <c r="F1837">
        <v>91</v>
      </c>
    </row>
    <row r="1838" spans="1:6" x14ac:dyDescent="0.35">
      <c r="A1838">
        <v>1975</v>
      </c>
      <c r="B1838" s="1">
        <v>45601</v>
      </c>
      <c r="C1838" s="2">
        <v>0.5</v>
      </c>
      <c r="D1838">
        <v>3</v>
      </c>
      <c r="E1838">
        <v>7.4</v>
      </c>
      <c r="F1838">
        <v>91</v>
      </c>
    </row>
    <row r="1839" spans="1:6" x14ac:dyDescent="0.35">
      <c r="A1839">
        <v>1975</v>
      </c>
      <c r="B1839" s="1">
        <v>45601</v>
      </c>
      <c r="C1839" s="2">
        <v>0.54166666666666663</v>
      </c>
      <c r="D1839">
        <v>3</v>
      </c>
      <c r="E1839">
        <v>7.4</v>
      </c>
      <c r="F1839">
        <v>93</v>
      </c>
    </row>
    <row r="1840" spans="1:6" x14ac:dyDescent="0.35">
      <c r="A1840">
        <v>1975</v>
      </c>
      <c r="B1840" s="1">
        <v>45601</v>
      </c>
      <c r="C1840" s="2">
        <v>0.58333333333333337</v>
      </c>
      <c r="D1840">
        <v>3</v>
      </c>
      <c r="E1840">
        <v>7.5</v>
      </c>
      <c r="F1840">
        <v>92</v>
      </c>
    </row>
    <row r="1841" spans="1:6" x14ac:dyDescent="0.35">
      <c r="A1841">
        <v>1975</v>
      </c>
      <c r="B1841" s="1">
        <v>45601</v>
      </c>
      <c r="C1841" s="2">
        <v>0.625</v>
      </c>
      <c r="D1841">
        <v>3</v>
      </c>
      <c r="E1841">
        <v>7.1</v>
      </c>
      <c r="F1841">
        <v>94</v>
      </c>
    </row>
    <row r="1842" spans="1:6" x14ac:dyDescent="0.35">
      <c r="A1842">
        <v>1975</v>
      </c>
      <c r="B1842" s="1">
        <v>45601</v>
      </c>
      <c r="C1842" s="2">
        <v>0.66666666666666663</v>
      </c>
      <c r="D1842">
        <v>3</v>
      </c>
      <c r="E1842">
        <v>7</v>
      </c>
      <c r="F1842">
        <v>94</v>
      </c>
    </row>
    <row r="1843" spans="1:6" x14ac:dyDescent="0.35">
      <c r="A1843">
        <v>1975</v>
      </c>
      <c r="B1843" s="1">
        <v>45601</v>
      </c>
      <c r="C1843" s="2">
        <v>0.70833333333333337</v>
      </c>
      <c r="D1843">
        <v>3</v>
      </c>
      <c r="E1843">
        <v>7.2</v>
      </c>
      <c r="F1843">
        <v>94</v>
      </c>
    </row>
    <row r="1844" spans="1:6" x14ac:dyDescent="0.35">
      <c r="A1844">
        <v>1975</v>
      </c>
      <c r="B1844" s="1">
        <v>45601</v>
      </c>
      <c r="C1844" s="2">
        <v>0.75</v>
      </c>
      <c r="D1844">
        <v>3</v>
      </c>
      <c r="E1844">
        <v>7</v>
      </c>
      <c r="F1844">
        <v>95</v>
      </c>
    </row>
    <row r="1845" spans="1:6" x14ac:dyDescent="0.35">
      <c r="A1845">
        <v>1975</v>
      </c>
      <c r="B1845" s="1">
        <v>45601</v>
      </c>
      <c r="C1845" s="2">
        <v>0.79166666666666663</v>
      </c>
      <c r="D1845">
        <v>3</v>
      </c>
      <c r="E1845">
        <v>7</v>
      </c>
      <c r="F1845">
        <v>95</v>
      </c>
    </row>
    <row r="1846" spans="1:6" x14ac:dyDescent="0.35">
      <c r="A1846">
        <v>1975</v>
      </c>
      <c r="B1846" s="1">
        <v>45601</v>
      </c>
      <c r="C1846" s="2">
        <v>0.83333333333333337</v>
      </c>
      <c r="D1846">
        <v>3</v>
      </c>
      <c r="E1846">
        <v>7</v>
      </c>
      <c r="F1846">
        <v>94</v>
      </c>
    </row>
    <row r="1847" spans="1:6" x14ac:dyDescent="0.35">
      <c r="A1847">
        <v>1975</v>
      </c>
      <c r="B1847" s="1">
        <v>45601</v>
      </c>
      <c r="C1847" s="2">
        <v>0.875</v>
      </c>
      <c r="D1847">
        <v>3</v>
      </c>
      <c r="E1847">
        <v>6.9</v>
      </c>
      <c r="F1847">
        <v>95</v>
      </c>
    </row>
    <row r="1848" spans="1:6" x14ac:dyDescent="0.35">
      <c r="A1848">
        <v>1975</v>
      </c>
      <c r="B1848" s="1">
        <v>45601</v>
      </c>
      <c r="C1848" s="2">
        <v>0.91666666666666663</v>
      </c>
      <c r="D1848">
        <v>3</v>
      </c>
      <c r="E1848">
        <v>6.8</v>
      </c>
      <c r="F1848">
        <v>95</v>
      </c>
    </row>
    <row r="1849" spans="1:6" x14ac:dyDescent="0.35">
      <c r="A1849">
        <v>1975</v>
      </c>
      <c r="B1849" s="1">
        <v>45601</v>
      </c>
      <c r="C1849" s="2">
        <v>0.95833333333333337</v>
      </c>
      <c r="D1849">
        <v>3</v>
      </c>
      <c r="E1849">
        <v>6.7</v>
      </c>
      <c r="F1849">
        <v>97</v>
      </c>
    </row>
    <row r="1850" spans="1:6" x14ac:dyDescent="0.35">
      <c r="A1850">
        <v>1975</v>
      </c>
      <c r="B1850" s="1">
        <v>45602</v>
      </c>
      <c r="C1850" s="2">
        <v>0</v>
      </c>
      <c r="D1850">
        <v>3</v>
      </c>
      <c r="E1850">
        <v>6.6</v>
      </c>
      <c r="F1850">
        <v>95</v>
      </c>
    </row>
    <row r="1851" spans="1:6" x14ac:dyDescent="0.35">
      <c r="A1851">
        <v>1975</v>
      </c>
      <c r="B1851" s="1">
        <v>45602</v>
      </c>
      <c r="C1851" s="2">
        <v>4.1666666666666657E-2</v>
      </c>
      <c r="D1851">
        <v>3</v>
      </c>
      <c r="E1851">
        <v>6.5</v>
      </c>
      <c r="F1851">
        <v>96</v>
      </c>
    </row>
    <row r="1852" spans="1:6" x14ac:dyDescent="0.35">
      <c r="A1852">
        <v>1975</v>
      </c>
      <c r="B1852" s="1">
        <v>45602</v>
      </c>
      <c r="C1852" s="2">
        <v>8.3333333333333329E-2</v>
      </c>
      <c r="D1852">
        <v>3</v>
      </c>
      <c r="E1852">
        <v>6.2</v>
      </c>
      <c r="F1852">
        <v>97</v>
      </c>
    </row>
    <row r="1853" spans="1:6" x14ac:dyDescent="0.35">
      <c r="A1853">
        <v>1975</v>
      </c>
      <c r="B1853" s="1">
        <v>45602</v>
      </c>
      <c r="C1853" s="2">
        <v>0.125</v>
      </c>
      <c r="D1853">
        <v>3</v>
      </c>
      <c r="E1853">
        <v>6.3</v>
      </c>
      <c r="F1853">
        <v>96</v>
      </c>
    </row>
    <row r="1854" spans="1:6" x14ac:dyDescent="0.35">
      <c r="A1854">
        <v>1975</v>
      </c>
      <c r="B1854" s="1">
        <v>45602</v>
      </c>
      <c r="C1854" s="2">
        <v>0.16666666666666671</v>
      </c>
      <c r="D1854">
        <v>3</v>
      </c>
      <c r="E1854">
        <v>6.2</v>
      </c>
      <c r="F1854">
        <v>96</v>
      </c>
    </row>
    <row r="1855" spans="1:6" x14ac:dyDescent="0.35">
      <c r="A1855">
        <v>1975</v>
      </c>
      <c r="B1855" s="1">
        <v>45602</v>
      </c>
      <c r="C1855" s="2">
        <v>0.20833333333333329</v>
      </c>
      <c r="D1855">
        <v>3</v>
      </c>
      <c r="E1855">
        <v>6.2</v>
      </c>
      <c r="F1855">
        <v>97</v>
      </c>
    </row>
    <row r="1856" spans="1:6" x14ac:dyDescent="0.35">
      <c r="A1856">
        <v>1975</v>
      </c>
      <c r="B1856" s="1">
        <v>45602</v>
      </c>
      <c r="C1856" s="2">
        <v>0.25</v>
      </c>
      <c r="D1856">
        <v>3</v>
      </c>
      <c r="E1856">
        <v>6.2</v>
      </c>
      <c r="F1856">
        <v>97</v>
      </c>
    </row>
    <row r="1857" spans="1:6" x14ac:dyDescent="0.35">
      <c r="A1857">
        <v>1975</v>
      </c>
      <c r="B1857" s="1">
        <v>45602</v>
      </c>
      <c r="C1857" s="2">
        <v>0.29166666666666669</v>
      </c>
      <c r="D1857">
        <v>3</v>
      </c>
      <c r="E1857">
        <v>6.1</v>
      </c>
      <c r="F1857">
        <v>98</v>
      </c>
    </row>
    <row r="1858" spans="1:6" x14ac:dyDescent="0.35">
      <c r="A1858">
        <v>1975</v>
      </c>
      <c r="B1858" s="1">
        <v>45602</v>
      </c>
      <c r="C1858" s="2">
        <v>0.33333333333333331</v>
      </c>
      <c r="D1858">
        <v>3</v>
      </c>
      <c r="E1858">
        <v>6.2</v>
      </c>
      <c r="F1858">
        <v>96</v>
      </c>
    </row>
    <row r="1859" spans="1:6" x14ac:dyDescent="0.35">
      <c r="A1859">
        <v>1975</v>
      </c>
      <c r="B1859" s="1">
        <v>45602</v>
      </c>
      <c r="C1859" s="2">
        <v>0.375</v>
      </c>
      <c r="D1859">
        <v>3</v>
      </c>
      <c r="E1859">
        <v>6.5</v>
      </c>
      <c r="F1859">
        <v>95</v>
      </c>
    </row>
    <row r="1860" spans="1:6" x14ac:dyDescent="0.35">
      <c r="A1860">
        <v>1975</v>
      </c>
      <c r="B1860" s="1">
        <v>45602</v>
      </c>
      <c r="C1860" s="2">
        <v>0.41666666666666669</v>
      </c>
      <c r="D1860">
        <v>3</v>
      </c>
      <c r="E1860">
        <v>6.7</v>
      </c>
      <c r="F1860">
        <v>94</v>
      </c>
    </row>
    <row r="1861" spans="1:6" x14ac:dyDescent="0.35">
      <c r="A1861">
        <v>1975</v>
      </c>
      <c r="B1861" s="1">
        <v>45602</v>
      </c>
      <c r="C1861" s="2">
        <v>0.45833333333333331</v>
      </c>
      <c r="D1861">
        <v>3</v>
      </c>
      <c r="E1861">
        <v>6.8</v>
      </c>
      <c r="F1861">
        <v>94</v>
      </c>
    </row>
    <row r="1862" spans="1:6" x14ac:dyDescent="0.35">
      <c r="A1862">
        <v>1975</v>
      </c>
      <c r="B1862" s="1">
        <v>45602</v>
      </c>
      <c r="C1862" s="2">
        <v>0.5</v>
      </c>
      <c r="D1862">
        <v>3</v>
      </c>
      <c r="E1862">
        <v>6.9</v>
      </c>
      <c r="F1862">
        <v>93</v>
      </c>
    </row>
    <row r="1863" spans="1:6" x14ac:dyDescent="0.35">
      <c r="A1863">
        <v>1975</v>
      </c>
      <c r="B1863" s="1">
        <v>45602</v>
      </c>
      <c r="C1863" s="2">
        <v>0.54166666666666663</v>
      </c>
      <c r="D1863">
        <v>3</v>
      </c>
      <c r="E1863">
        <v>6.7</v>
      </c>
      <c r="F1863">
        <v>94</v>
      </c>
    </row>
    <row r="1864" spans="1:6" x14ac:dyDescent="0.35">
      <c r="A1864">
        <v>1975</v>
      </c>
      <c r="B1864" s="1">
        <v>45602</v>
      </c>
      <c r="C1864" s="2">
        <v>0.58333333333333337</v>
      </c>
      <c r="D1864">
        <v>3</v>
      </c>
      <c r="E1864">
        <v>6.4</v>
      </c>
      <c r="F1864">
        <v>95</v>
      </c>
    </row>
    <row r="1865" spans="1:6" x14ac:dyDescent="0.35">
      <c r="A1865">
        <v>1975</v>
      </c>
      <c r="B1865" s="1">
        <v>45602</v>
      </c>
      <c r="C1865" s="2">
        <v>0.625</v>
      </c>
      <c r="D1865">
        <v>3</v>
      </c>
      <c r="E1865">
        <v>6</v>
      </c>
      <c r="F1865">
        <v>97</v>
      </c>
    </row>
    <row r="1866" spans="1:6" x14ac:dyDescent="0.35">
      <c r="A1866">
        <v>1975</v>
      </c>
      <c r="B1866" s="1">
        <v>45602</v>
      </c>
      <c r="C1866" s="2">
        <v>0.66666666666666663</v>
      </c>
      <c r="D1866">
        <v>3</v>
      </c>
      <c r="E1866">
        <v>5.7</v>
      </c>
      <c r="F1866">
        <v>98</v>
      </c>
    </row>
    <row r="1867" spans="1:6" x14ac:dyDescent="0.35">
      <c r="A1867">
        <v>1975</v>
      </c>
      <c r="B1867" s="1">
        <v>45602</v>
      </c>
      <c r="C1867" s="2">
        <v>0.70833333333333337</v>
      </c>
      <c r="D1867">
        <v>3</v>
      </c>
      <c r="E1867">
        <v>5.6</v>
      </c>
      <c r="F1867">
        <v>99</v>
      </c>
    </row>
    <row r="1868" spans="1:6" x14ac:dyDescent="0.35">
      <c r="A1868">
        <v>1975</v>
      </c>
      <c r="B1868" s="1">
        <v>45602</v>
      </c>
      <c r="C1868" s="2">
        <v>0.75</v>
      </c>
      <c r="D1868">
        <v>3</v>
      </c>
      <c r="E1868">
        <v>5.7</v>
      </c>
      <c r="F1868">
        <v>98</v>
      </c>
    </row>
    <row r="1869" spans="1:6" x14ac:dyDescent="0.35">
      <c r="A1869">
        <v>1975</v>
      </c>
      <c r="B1869" s="1">
        <v>45602</v>
      </c>
      <c r="C1869" s="2">
        <v>0.79166666666666663</v>
      </c>
      <c r="D1869">
        <v>3</v>
      </c>
      <c r="E1869">
        <v>5.7</v>
      </c>
      <c r="F1869">
        <v>96</v>
      </c>
    </row>
    <row r="1870" spans="1:6" x14ac:dyDescent="0.35">
      <c r="A1870">
        <v>1975</v>
      </c>
      <c r="B1870" s="1">
        <v>45602</v>
      </c>
      <c r="C1870" s="2">
        <v>0.83333333333333337</v>
      </c>
      <c r="D1870">
        <v>3</v>
      </c>
      <c r="E1870">
        <v>5.5</v>
      </c>
      <c r="F1870">
        <v>97</v>
      </c>
    </row>
    <row r="1871" spans="1:6" x14ac:dyDescent="0.35">
      <c r="A1871">
        <v>1975</v>
      </c>
      <c r="B1871" s="1">
        <v>45602</v>
      </c>
      <c r="C1871" s="2">
        <v>0.875</v>
      </c>
      <c r="D1871">
        <v>3</v>
      </c>
      <c r="E1871">
        <v>5.5</v>
      </c>
      <c r="F1871">
        <v>97</v>
      </c>
    </row>
    <row r="1872" spans="1:6" x14ac:dyDescent="0.35">
      <c r="A1872">
        <v>1975</v>
      </c>
      <c r="B1872" s="1">
        <v>45602</v>
      </c>
      <c r="C1872" s="2">
        <v>0.91666666666666663</v>
      </c>
      <c r="D1872">
        <v>3</v>
      </c>
      <c r="E1872">
        <v>5.3</v>
      </c>
      <c r="F1872">
        <v>97</v>
      </c>
    </row>
    <row r="1873" spans="1:6" x14ac:dyDescent="0.35">
      <c r="A1873">
        <v>1975</v>
      </c>
      <c r="B1873" s="1">
        <v>45602</v>
      </c>
      <c r="C1873" s="2">
        <v>0.95833333333333337</v>
      </c>
      <c r="D1873">
        <v>3</v>
      </c>
      <c r="E1873">
        <v>5</v>
      </c>
      <c r="F1873">
        <v>96</v>
      </c>
    </row>
    <row r="1874" spans="1:6" x14ac:dyDescent="0.35">
      <c r="A1874">
        <v>1975</v>
      </c>
      <c r="B1874" s="1">
        <v>45603</v>
      </c>
      <c r="C1874" s="2">
        <v>0</v>
      </c>
      <c r="D1874">
        <v>3</v>
      </c>
      <c r="E1874">
        <v>4.9000000000000004</v>
      </c>
      <c r="F1874">
        <v>96</v>
      </c>
    </row>
    <row r="1875" spans="1:6" x14ac:dyDescent="0.35">
      <c r="A1875">
        <v>1975</v>
      </c>
      <c r="B1875" s="1">
        <v>45603</v>
      </c>
      <c r="C1875" s="2">
        <v>4.1666666666666657E-2</v>
      </c>
      <c r="D1875">
        <v>3</v>
      </c>
      <c r="E1875">
        <v>4.8</v>
      </c>
      <c r="F1875">
        <v>96</v>
      </c>
    </row>
    <row r="1876" spans="1:6" x14ac:dyDescent="0.35">
      <c r="A1876">
        <v>1975</v>
      </c>
      <c r="B1876" s="1">
        <v>45603</v>
      </c>
      <c r="C1876" s="2">
        <v>8.3333333333333329E-2</v>
      </c>
      <c r="D1876">
        <v>3</v>
      </c>
      <c r="E1876">
        <v>4.8</v>
      </c>
      <c r="F1876">
        <v>95</v>
      </c>
    </row>
    <row r="1877" spans="1:6" x14ac:dyDescent="0.35">
      <c r="A1877">
        <v>1975</v>
      </c>
      <c r="B1877" s="1">
        <v>45603</v>
      </c>
      <c r="C1877" s="2">
        <v>0.125</v>
      </c>
      <c r="D1877">
        <v>3</v>
      </c>
      <c r="E1877">
        <v>4.7</v>
      </c>
      <c r="F1877">
        <v>96</v>
      </c>
    </row>
    <row r="1878" spans="1:6" x14ac:dyDescent="0.35">
      <c r="A1878">
        <v>1975</v>
      </c>
      <c r="B1878" s="1">
        <v>45603</v>
      </c>
      <c r="C1878" s="2">
        <v>0.16666666666666671</v>
      </c>
      <c r="D1878">
        <v>3</v>
      </c>
      <c r="E1878">
        <v>4.5999999999999996</v>
      </c>
      <c r="F1878">
        <v>93</v>
      </c>
    </row>
    <row r="1879" spans="1:6" x14ac:dyDescent="0.35">
      <c r="A1879">
        <v>1975</v>
      </c>
      <c r="B1879" s="1">
        <v>45603</v>
      </c>
      <c r="C1879" s="2">
        <v>0.20833333333333329</v>
      </c>
      <c r="D1879">
        <v>3</v>
      </c>
      <c r="E1879">
        <v>4.5999999999999996</v>
      </c>
      <c r="F1879">
        <v>94</v>
      </c>
    </row>
    <row r="1880" spans="1:6" x14ac:dyDescent="0.35">
      <c r="A1880">
        <v>1975</v>
      </c>
      <c r="B1880" s="1">
        <v>45603</v>
      </c>
      <c r="C1880" s="2">
        <v>0.25</v>
      </c>
      <c r="D1880">
        <v>3</v>
      </c>
      <c r="E1880">
        <v>4.5999999999999996</v>
      </c>
      <c r="F1880">
        <v>93</v>
      </c>
    </row>
    <row r="1881" spans="1:6" x14ac:dyDescent="0.35">
      <c r="A1881">
        <v>1975</v>
      </c>
      <c r="B1881" s="1">
        <v>45603</v>
      </c>
      <c r="C1881" s="2">
        <v>0.29166666666666669</v>
      </c>
      <c r="D1881">
        <v>3</v>
      </c>
      <c r="E1881">
        <v>4.5999999999999996</v>
      </c>
      <c r="F1881">
        <v>92</v>
      </c>
    </row>
    <row r="1882" spans="1:6" x14ac:dyDescent="0.35">
      <c r="A1882">
        <v>1975</v>
      </c>
      <c r="B1882" s="1">
        <v>45603</v>
      </c>
      <c r="C1882" s="2">
        <v>0.33333333333333331</v>
      </c>
      <c r="D1882">
        <v>3</v>
      </c>
      <c r="E1882">
        <v>4.7</v>
      </c>
      <c r="F1882">
        <v>95</v>
      </c>
    </row>
    <row r="1883" spans="1:6" x14ac:dyDescent="0.35">
      <c r="A1883">
        <v>1975</v>
      </c>
      <c r="B1883" s="1">
        <v>45603</v>
      </c>
      <c r="C1883" s="2">
        <v>0.375</v>
      </c>
      <c r="D1883">
        <v>3</v>
      </c>
      <c r="E1883">
        <v>5.2</v>
      </c>
      <c r="F1883">
        <v>89</v>
      </c>
    </row>
    <row r="1884" spans="1:6" x14ac:dyDescent="0.35">
      <c r="A1884">
        <v>1975</v>
      </c>
      <c r="B1884" s="1">
        <v>45603</v>
      </c>
      <c r="C1884" s="2">
        <v>0.41666666666666669</v>
      </c>
      <c r="D1884">
        <v>3</v>
      </c>
      <c r="E1884">
        <v>5.3</v>
      </c>
      <c r="F1884">
        <v>88</v>
      </c>
    </row>
    <row r="1885" spans="1:6" x14ac:dyDescent="0.35">
      <c r="A1885">
        <v>1975</v>
      </c>
      <c r="B1885" s="1">
        <v>45603</v>
      </c>
      <c r="C1885" s="2">
        <v>0.45833333333333331</v>
      </c>
      <c r="D1885">
        <v>3</v>
      </c>
      <c r="E1885">
        <v>5.5</v>
      </c>
      <c r="F1885">
        <v>88</v>
      </c>
    </row>
    <row r="1886" spans="1:6" x14ac:dyDescent="0.35">
      <c r="A1886">
        <v>1975</v>
      </c>
      <c r="B1886" s="1">
        <v>45603</v>
      </c>
      <c r="C1886" s="2">
        <v>0.5</v>
      </c>
      <c r="D1886">
        <v>3</v>
      </c>
      <c r="E1886">
        <v>5.9</v>
      </c>
      <c r="F1886">
        <v>85</v>
      </c>
    </row>
    <row r="1887" spans="1:6" x14ac:dyDescent="0.35">
      <c r="A1887">
        <v>1975</v>
      </c>
      <c r="B1887" s="1">
        <v>45603</v>
      </c>
      <c r="C1887" s="2">
        <v>0.54166666666666663</v>
      </c>
      <c r="D1887">
        <v>3</v>
      </c>
      <c r="E1887">
        <v>5.8</v>
      </c>
      <c r="F1887">
        <v>85</v>
      </c>
    </row>
    <row r="1888" spans="1:6" x14ac:dyDescent="0.35">
      <c r="A1888">
        <v>1975</v>
      </c>
      <c r="B1888" s="1">
        <v>45603</v>
      </c>
      <c r="C1888" s="2">
        <v>0.58333333333333337</v>
      </c>
      <c r="D1888">
        <v>3</v>
      </c>
      <c r="E1888">
        <v>5.5</v>
      </c>
      <c r="F1888">
        <v>89</v>
      </c>
    </row>
    <row r="1889" spans="1:6" x14ac:dyDescent="0.35">
      <c r="A1889">
        <v>1975</v>
      </c>
      <c r="B1889" s="1">
        <v>45603</v>
      </c>
      <c r="C1889" s="2">
        <v>0.625</v>
      </c>
      <c r="D1889">
        <v>3</v>
      </c>
      <c r="E1889">
        <v>5.5</v>
      </c>
      <c r="F1889">
        <v>91</v>
      </c>
    </row>
    <row r="1890" spans="1:6" x14ac:dyDescent="0.35">
      <c r="A1890">
        <v>1975</v>
      </c>
      <c r="B1890" s="1">
        <v>45603</v>
      </c>
      <c r="C1890" s="2">
        <v>0.66666666666666663</v>
      </c>
      <c r="D1890">
        <v>3</v>
      </c>
      <c r="E1890">
        <v>5.4</v>
      </c>
      <c r="F1890">
        <v>89</v>
      </c>
    </row>
    <row r="1891" spans="1:6" x14ac:dyDescent="0.35">
      <c r="A1891">
        <v>1975</v>
      </c>
      <c r="B1891" s="1">
        <v>45603</v>
      </c>
      <c r="C1891" s="2">
        <v>0.70833333333333337</v>
      </c>
      <c r="D1891">
        <v>3</v>
      </c>
      <c r="E1891">
        <v>5.6</v>
      </c>
      <c r="F1891">
        <v>89</v>
      </c>
    </row>
    <row r="1892" spans="1:6" x14ac:dyDescent="0.35">
      <c r="A1892">
        <v>1975</v>
      </c>
      <c r="B1892" s="1">
        <v>45603</v>
      </c>
      <c r="C1892" s="2">
        <v>0.75</v>
      </c>
      <c r="D1892">
        <v>3</v>
      </c>
      <c r="E1892">
        <v>5.6</v>
      </c>
      <c r="F1892">
        <v>91</v>
      </c>
    </row>
    <row r="1893" spans="1:6" x14ac:dyDescent="0.35">
      <c r="A1893">
        <v>1975</v>
      </c>
      <c r="B1893" s="1">
        <v>45603</v>
      </c>
      <c r="C1893" s="2">
        <v>0.79166666666666663</v>
      </c>
      <c r="D1893">
        <v>3</v>
      </c>
      <c r="E1893">
        <v>5.8</v>
      </c>
      <c r="F1893">
        <v>90</v>
      </c>
    </row>
    <row r="1894" spans="1:6" x14ac:dyDescent="0.35">
      <c r="A1894">
        <v>1975</v>
      </c>
      <c r="B1894" s="1">
        <v>45603</v>
      </c>
      <c r="C1894" s="2">
        <v>0.83333333333333337</v>
      </c>
      <c r="D1894">
        <v>3</v>
      </c>
      <c r="E1894">
        <v>5.9</v>
      </c>
      <c r="F1894">
        <v>91</v>
      </c>
    </row>
    <row r="1895" spans="1:6" x14ac:dyDescent="0.35">
      <c r="A1895">
        <v>1975</v>
      </c>
      <c r="B1895" s="1">
        <v>45603</v>
      </c>
      <c r="C1895" s="2">
        <v>0.875</v>
      </c>
      <c r="D1895">
        <v>3</v>
      </c>
      <c r="E1895">
        <v>5.9</v>
      </c>
      <c r="F1895">
        <v>95</v>
      </c>
    </row>
    <row r="1896" spans="1:6" x14ac:dyDescent="0.35">
      <c r="A1896">
        <v>1975</v>
      </c>
      <c r="B1896" s="1">
        <v>45603</v>
      </c>
      <c r="C1896" s="2">
        <v>0.91666666666666663</v>
      </c>
      <c r="D1896">
        <v>3</v>
      </c>
      <c r="E1896">
        <v>6</v>
      </c>
      <c r="F1896">
        <v>94</v>
      </c>
    </row>
    <row r="1897" spans="1:6" x14ac:dyDescent="0.35">
      <c r="A1897">
        <v>1975</v>
      </c>
      <c r="B1897" s="1">
        <v>45603</v>
      </c>
      <c r="C1897" s="2">
        <v>0.95833333333333337</v>
      </c>
      <c r="D1897">
        <v>3</v>
      </c>
      <c r="E1897">
        <v>5.8</v>
      </c>
      <c r="F1897">
        <v>97</v>
      </c>
    </row>
    <row r="1898" spans="1:6" x14ac:dyDescent="0.35">
      <c r="A1898">
        <v>1975</v>
      </c>
      <c r="B1898" s="1">
        <v>45604</v>
      </c>
      <c r="C1898" s="2">
        <v>0</v>
      </c>
      <c r="D1898">
        <v>3</v>
      </c>
      <c r="E1898">
        <v>5.9</v>
      </c>
      <c r="F1898">
        <v>98</v>
      </c>
    </row>
    <row r="1899" spans="1:6" x14ac:dyDescent="0.35">
      <c r="A1899">
        <v>1975</v>
      </c>
      <c r="B1899" s="1">
        <v>45604</v>
      </c>
      <c r="C1899" s="2">
        <v>4.1666666666666657E-2</v>
      </c>
      <c r="D1899">
        <v>3</v>
      </c>
      <c r="E1899">
        <v>6</v>
      </c>
      <c r="F1899">
        <v>97</v>
      </c>
    </row>
    <row r="1900" spans="1:6" x14ac:dyDescent="0.35">
      <c r="A1900">
        <v>1975</v>
      </c>
      <c r="B1900" s="1">
        <v>45604</v>
      </c>
      <c r="C1900" s="2">
        <v>8.3333333333333329E-2</v>
      </c>
      <c r="D1900">
        <v>3</v>
      </c>
      <c r="E1900">
        <v>6</v>
      </c>
      <c r="F1900">
        <v>96</v>
      </c>
    </row>
    <row r="1901" spans="1:6" x14ac:dyDescent="0.35">
      <c r="A1901">
        <v>1975</v>
      </c>
      <c r="B1901" s="1">
        <v>45604</v>
      </c>
      <c r="C1901" s="2">
        <v>0.125</v>
      </c>
      <c r="D1901">
        <v>3</v>
      </c>
      <c r="E1901">
        <v>5.9</v>
      </c>
      <c r="F1901">
        <v>97</v>
      </c>
    </row>
    <row r="1902" spans="1:6" x14ac:dyDescent="0.35">
      <c r="A1902">
        <v>1975</v>
      </c>
      <c r="B1902" s="1">
        <v>45604</v>
      </c>
      <c r="C1902" s="2">
        <v>0.16666666666666671</v>
      </c>
      <c r="D1902">
        <v>3</v>
      </c>
      <c r="E1902">
        <v>6.1</v>
      </c>
      <c r="F1902">
        <v>97</v>
      </c>
    </row>
    <row r="1903" spans="1:6" x14ac:dyDescent="0.35">
      <c r="A1903">
        <v>1975</v>
      </c>
      <c r="B1903" s="1">
        <v>45604</v>
      </c>
      <c r="C1903" s="2">
        <v>0.20833333333333329</v>
      </c>
      <c r="D1903">
        <v>3</v>
      </c>
      <c r="E1903">
        <v>6.2</v>
      </c>
      <c r="F1903">
        <v>96</v>
      </c>
    </row>
    <row r="1904" spans="1:6" x14ac:dyDescent="0.35">
      <c r="A1904">
        <v>1975</v>
      </c>
      <c r="B1904" s="1">
        <v>45604</v>
      </c>
      <c r="C1904" s="2">
        <v>0.25</v>
      </c>
      <c r="D1904">
        <v>3</v>
      </c>
      <c r="E1904">
        <v>6.1</v>
      </c>
      <c r="F1904">
        <v>94</v>
      </c>
    </row>
    <row r="1905" spans="1:6" x14ac:dyDescent="0.35">
      <c r="A1905">
        <v>1975</v>
      </c>
      <c r="B1905" s="1">
        <v>45604</v>
      </c>
      <c r="C1905" s="2">
        <v>0.29166666666666669</v>
      </c>
      <c r="D1905">
        <v>3</v>
      </c>
      <c r="E1905">
        <v>6.1</v>
      </c>
      <c r="F1905">
        <v>86</v>
      </c>
    </row>
    <row r="1906" spans="1:6" x14ac:dyDescent="0.35">
      <c r="A1906">
        <v>1975</v>
      </c>
      <c r="B1906" s="1">
        <v>45604</v>
      </c>
      <c r="C1906" s="2">
        <v>0.33333333333333331</v>
      </c>
      <c r="D1906">
        <v>3</v>
      </c>
      <c r="E1906">
        <v>5.9</v>
      </c>
      <c r="F1906">
        <v>84</v>
      </c>
    </row>
    <row r="1907" spans="1:6" x14ac:dyDescent="0.35">
      <c r="A1907">
        <v>1975</v>
      </c>
      <c r="B1907" s="1">
        <v>45604</v>
      </c>
      <c r="C1907" s="2">
        <v>0.375</v>
      </c>
      <c r="D1907">
        <v>3</v>
      </c>
      <c r="E1907">
        <v>6.1</v>
      </c>
      <c r="F1907">
        <v>83</v>
      </c>
    </row>
    <row r="1908" spans="1:6" x14ac:dyDescent="0.35">
      <c r="A1908">
        <v>1975</v>
      </c>
      <c r="B1908" s="1">
        <v>45604</v>
      </c>
      <c r="C1908" s="2">
        <v>0.41666666666666669</v>
      </c>
      <c r="D1908">
        <v>3</v>
      </c>
      <c r="E1908">
        <v>6.2</v>
      </c>
      <c r="F1908">
        <v>78</v>
      </c>
    </row>
    <row r="1909" spans="1:6" x14ac:dyDescent="0.35">
      <c r="A1909">
        <v>1975</v>
      </c>
      <c r="B1909" s="1">
        <v>45604</v>
      </c>
      <c r="C1909" s="2">
        <v>0.45833333333333331</v>
      </c>
      <c r="D1909">
        <v>3</v>
      </c>
      <c r="E1909">
        <v>5.9</v>
      </c>
      <c r="F1909">
        <v>79</v>
      </c>
    </row>
    <row r="1910" spans="1:6" x14ac:dyDescent="0.35">
      <c r="A1910">
        <v>1975</v>
      </c>
      <c r="B1910" s="1">
        <v>45604</v>
      </c>
      <c r="C1910" s="2">
        <v>0.5</v>
      </c>
      <c r="D1910">
        <v>3</v>
      </c>
      <c r="E1910">
        <v>6.1</v>
      </c>
      <c r="F1910">
        <v>81</v>
      </c>
    </row>
    <row r="1911" spans="1:6" x14ac:dyDescent="0.35">
      <c r="A1911">
        <v>1975</v>
      </c>
      <c r="B1911" s="1">
        <v>45604</v>
      </c>
      <c r="C1911" s="2">
        <v>0.54166666666666663</v>
      </c>
      <c r="D1911">
        <v>3</v>
      </c>
      <c r="E1911">
        <v>6.2</v>
      </c>
      <c r="F1911">
        <v>79</v>
      </c>
    </row>
    <row r="1912" spans="1:6" x14ac:dyDescent="0.35">
      <c r="A1912">
        <v>1975</v>
      </c>
      <c r="B1912" s="1">
        <v>45604</v>
      </c>
      <c r="C1912" s="2">
        <v>0.58333333333333337</v>
      </c>
      <c r="D1912">
        <v>3</v>
      </c>
      <c r="E1912">
        <v>6</v>
      </c>
      <c r="F1912">
        <v>79</v>
      </c>
    </row>
    <row r="1913" spans="1:6" x14ac:dyDescent="0.35">
      <c r="A1913">
        <v>1975</v>
      </c>
      <c r="B1913" s="1">
        <v>45604</v>
      </c>
      <c r="C1913" s="2">
        <v>0.625</v>
      </c>
      <c r="D1913">
        <v>3</v>
      </c>
      <c r="E1913">
        <v>5.9</v>
      </c>
      <c r="F1913">
        <v>79</v>
      </c>
    </row>
    <row r="1914" spans="1:6" x14ac:dyDescent="0.35">
      <c r="A1914">
        <v>1975</v>
      </c>
      <c r="B1914" s="1">
        <v>45604</v>
      </c>
      <c r="C1914" s="2">
        <v>0.66666666666666663</v>
      </c>
      <c r="D1914">
        <v>3</v>
      </c>
      <c r="E1914">
        <v>5.6</v>
      </c>
      <c r="F1914">
        <v>79</v>
      </c>
    </row>
    <row r="1915" spans="1:6" x14ac:dyDescent="0.35">
      <c r="A1915">
        <v>1975</v>
      </c>
      <c r="B1915" s="1">
        <v>45604</v>
      </c>
      <c r="C1915" s="2">
        <v>0.70833333333333337</v>
      </c>
      <c r="D1915">
        <v>3</v>
      </c>
      <c r="E1915">
        <v>5.8</v>
      </c>
      <c r="F1915">
        <v>78</v>
      </c>
    </row>
    <row r="1916" spans="1:6" x14ac:dyDescent="0.35">
      <c r="A1916">
        <v>1975</v>
      </c>
      <c r="B1916" s="1">
        <v>45604</v>
      </c>
      <c r="C1916" s="2">
        <v>0.75</v>
      </c>
      <c r="D1916">
        <v>3</v>
      </c>
      <c r="E1916">
        <v>5.6</v>
      </c>
      <c r="F1916">
        <v>77</v>
      </c>
    </row>
    <row r="1917" spans="1:6" x14ac:dyDescent="0.35">
      <c r="A1917">
        <v>1975</v>
      </c>
      <c r="B1917" s="1">
        <v>45604</v>
      </c>
      <c r="C1917" s="2">
        <v>0.79166666666666663</v>
      </c>
      <c r="D1917">
        <v>3</v>
      </c>
      <c r="E1917">
        <v>5.4</v>
      </c>
      <c r="F1917">
        <v>80</v>
      </c>
    </row>
    <row r="1918" spans="1:6" x14ac:dyDescent="0.35">
      <c r="A1918">
        <v>1975</v>
      </c>
      <c r="B1918" s="1">
        <v>45604</v>
      </c>
      <c r="C1918" s="2">
        <v>0.83333333333333337</v>
      </c>
      <c r="D1918">
        <v>3</v>
      </c>
      <c r="E1918">
        <v>5.6</v>
      </c>
      <c r="F1918">
        <v>81</v>
      </c>
    </row>
    <row r="1919" spans="1:6" x14ac:dyDescent="0.35">
      <c r="A1919">
        <v>1975</v>
      </c>
      <c r="B1919" s="1">
        <v>45604</v>
      </c>
      <c r="C1919" s="2">
        <v>0.875</v>
      </c>
      <c r="D1919">
        <v>3</v>
      </c>
      <c r="E1919">
        <v>5.6</v>
      </c>
      <c r="F1919">
        <v>83</v>
      </c>
    </row>
    <row r="1920" spans="1:6" x14ac:dyDescent="0.35">
      <c r="A1920">
        <v>1975</v>
      </c>
      <c r="B1920" s="1">
        <v>45604</v>
      </c>
      <c r="C1920" s="2">
        <v>0.91666666666666663</v>
      </c>
      <c r="D1920">
        <v>3</v>
      </c>
      <c r="E1920">
        <v>5.6</v>
      </c>
      <c r="F1920">
        <v>83</v>
      </c>
    </row>
    <row r="1921" spans="1:6" x14ac:dyDescent="0.35">
      <c r="A1921">
        <v>1975</v>
      </c>
      <c r="B1921" s="1">
        <v>45604</v>
      </c>
      <c r="C1921" s="2">
        <v>0.95833333333333337</v>
      </c>
      <c r="D1921">
        <v>3</v>
      </c>
      <c r="E1921">
        <v>5.4</v>
      </c>
      <c r="F1921">
        <v>86</v>
      </c>
    </row>
    <row r="1922" spans="1:6" x14ac:dyDescent="0.35">
      <c r="A1922">
        <v>1975</v>
      </c>
      <c r="B1922" s="1">
        <v>45605</v>
      </c>
      <c r="C1922" s="2">
        <v>0</v>
      </c>
      <c r="D1922">
        <v>3</v>
      </c>
      <c r="E1922">
        <v>5.3</v>
      </c>
      <c r="F1922">
        <v>87</v>
      </c>
    </row>
    <row r="1923" spans="1:6" x14ac:dyDescent="0.35">
      <c r="A1923">
        <v>1975</v>
      </c>
      <c r="B1923" s="1">
        <v>45605</v>
      </c>
      <c r="C1923" s="2">
        <v>4.1666666666666657E-2</v>
      </c>
      <c r="D1923">
        <v>3</v>
      </c>
      <c r="E1923">
        <v>5.3</v>
      </c>
      <c r="F1923">
        <v>87</v>
      </c>
    </row>
    <row r="1924" spans="1:6" x14ac:dyDescent="0.35">
      <c r="A1924">
        <v>1975</v>
      </c>
      <c r="B1924" s="1">
        <v>45605</v>
      </c>
      <c r="C1924" s="2">
        <v>8.3333333333333329E-2</v>
      </c>
      <c r="D1924">
        <v>3</v>
      </c>
      <c r="E1924">
        <v>5.3</v>
      </c>
      <c r="F1924">
        <v>88</v>
      </c>
    </row>
    <row r="1925" spans="1:6" x14ac:dyDescent="0.35">
      <c r="A1925">
        <v>1975</v>
      </c>
      <c r="B1925" s="1">
        <v>45605</v>
      </c>
      <c r="C1925" s="2">
        <v>0.125</v>
      </c>
      <c r="D1925">
        <v>3</v>
      </c>
      <c r="E1925">
        <v>5.2</v>
      </c>
      <c r="F1925">
        <v>90</v>
      </c>
    </row>
    <row r="1926" spans="1:6" x14ac:dyDescent="0.35">
      <c r="A1926">
        <v>1975</v>
      </c>
      <c r="B1926" s="1">
        <v>45605</v>
      </c>
      <c r="C1926" s="2">
        <v>0.16666666666666671</v>
      </c>
      <c r="D1926">
        <v>3</v>
      </c>
      <c r="E1926">
        <v>5</v>
      </c>
      <c r="F1926">
        <v>94</v>
      </c>
    </row>
    <row r="1927" spans="1:6" x14ac:dyDescent="0.35">
      <c r="A1927">
        <v>1975</v>
      </c>
      <c r="B1927" s="1">
        <v>45605</v>
      </c>
      <c r="C1927" s="2">
        <v>0.20833333333333329</v>
      </c>
      <c r="D1927">
        <v>3</v>
      </c>
      <c r="E1927">
        <v>5</v>
      </c>
      <c r="F1927">
        <v>95</v>
      </c>
    </row>
    <row r="1928" spans="1:6" x14ac:dyDescent="0.35">
      <c r="A1928">
        <v>1975</v>
      </c>
      <c r="B1928" s="1">
        <v>45605</v>
      </c>
      <c r="C1928" s="2">
        <v>0.25</v>
      </c>
      <c r="D1928">
        <v>3</v>
      </c>
      <c r="E1928">
        <v>4.9000000000000004</v>
      </c>
      <c r="F1928">
        <v>96</v>
      </c>
    </row>
    <row r="1929" spans="1:6" x14ac:dyDescent="0.35">
      <c r="A1929">
        <v>1975</v>
      </c>
      <c r="B1929" s="1">
        <v>45605</v>
      </c>
      <c r="C1929" s="2">
        <v>0.29166666666666669</v>
      </c>
      <c r="D1929">
        <v>3</v>
      </c>
      <c r="E1929">
        <v>4.9000000000000004</v>
      </c>
      <c r="F1929">
        <v>96</v>
      </c>
    </row>
    <row r="1930" spans="1:6" x14ac:dyDescent="0.35">
      <c r="A1930">
        <v>1975</v>
      </c>
      <c r="B1930" s="1">
        <v>45605</v>
      </c>
      <c r="C1930" s="2">
        <v>0.33333333333333331</v>
      </c>
      <c r="D1930">
        <v>3</v>
      </c>
      <c r="E1930">
        <v>5.0999999999999996</v>
      </c>
      <c r="F1930">
        <v>94</v>
      </c>
    </row>
    <row r="1931" spans="1:6" x14ac:dyDescent="0.35">
      <c r="A1931">
        <v>1975</v>
      </c>
      <c r="B1931" s="1">
        <v>45605</v>
      </c>
      <c r="C1931" s="2">
        <v>0.375</v>
      </c>
      <c r="D1931">
        <v>3</v>
      </c>
      <c r="E1931">
        <v>5.2</v>
      </c>
      <c r="F1931">
        <v>93</v>
      </c>
    </row>
    <row r="1932" spans="1:6" x14ac:dyDescent="0.35">
      <c r="A1932">
        <v>1975</v>
      </c>
      <c r="B1932" s="1">
        <v>45605</v>
      </c>
      <c r="C1932" s="2">
        <v>0.41666666666666669</v>
      </c>
      <c r="D1932">
        <v>3</v>
      </c>
      <c r="E1932">
        <v>5.4</v>
      </c>
      <c r="F1932">
        <v>90</v>
      </c>
    </row>
    <row r="1933" spans="1:6" x14ac:dyDescent="0.35">
      <c r="A1933">
        <v>1975</v>
      </c>
      <c r="B1933" s="1">
        <v>45605</v>
      </c>
      <c r="C1933" s="2">
        <v>0.45833333333333331</v>
      </c>
      <c r="D1933">
        <v>3</v>
      </c>
      <c r="E1933">
        <v>5.3</v>
      </c>
      <c r="F1933">
        <v>89</v>
      </c>
    </row>
    <row r="1934" spans="1:6" x14ac:dyDescent="0.35">
      <c r="A1934">
        <v>1975</v>
      </c>
      <c r="B1934" s="1">
        <v>45605</v>
      </c>
      <c r="C1934" s="2">
        <v>0.5</v>
      </c>
      <c r="D1934">
        <v>3</v>
      </c>
      <c r="E1934">
        <v>5.4</v>
      </c>
      <c r="F1934">
        <v>89</v>
      </c>
    </row>
    <row r="1935" spans="1:6" x14ac:dyDescent="0.35">
      <c r="A1935">
        <v>1975</v>
      </c>
      <c r="B1935" s="1">
        <v>45605</v>
      </c>
      <c r="C1935" s="2">
        <v>0.54166666666666663</v>
      </c>
      <c r="D1935">
        <v>3</v>
      </c>
      <c r="E1935">
        <v>5.5</v>
      </c>
      <c r="F1935">
        <v>88</v>
      </c>
    </row>
    <row r="1936" spans="1:6" x14ac:dyDescent="0.35">
      <c r="A1936">
        <v>1975</v>
      </c>
      <c r="B1936" s="1">
        <v>45605</v>
      </c>
      <c r="C1936" s="2">
        <v>0.58333333333333337</v>
      </c>
      <c r="D1936">
        <v>3</v>
      </c>
      <c r="E1936">
        <v>5.4</v>
      </c>
      <c r="F1936">
        <v>89</v>
      </c>
    </row>
    <row r="1937" spans="1:6" x14ac:dyDescent="0.35">
      <c r="A1937">
        <v>1975</v>
      </c>
      <c r="B1937" s="1">
        <v>45605</v>
      </c>
      <c r="C1937" s="2">
        <v>0.625</v>
      </c>
      <c r="D1937">
        <v>3</v>
      </c>
      <c r="E1937">
        <v>5.3</v>
      </c>
      <c r="F1937">
        <v>89</v>
      </c>
    </row>
    <row r="1938" spans="1:6" x14ac:dyDescent="0.35">
      <c r="A1938">
        <v>1975</v>
      </c>
      <c r="B1938" s="1">
        <v>45605</v>
      </c>
      <c r="C1938" s="2">
        <v>0.66666666666666663</v>
      </c>
      <c r="D1938">
        <v>3</v>
      </c>
      <c r="E1938">
        <v>5.3</v>
      </c>
      <c r="F1938">
        <v>88</v>
      </c>
    </row>
    <row r="1939" spans="1:6" x14ac:dyDescent="0.35">
      <c r="A1939">
        <v>1975</v>
      </c>
      <c r="B1939" s="1">
        <v>45605</v>
      </c>
      <c r="C1939" s="2">
        <v>0.70833333333333337</v>
      </c>
      <c r="D1939">
        <v>3</v>
      </c>
      <c r="E1939">
        <v>5.5</v>
      </c>
      <c r="F1939">
        <v>86</v>
      </c>
    </row>
    <row r="1940" spans="1:6" x14ac:dyDescent="0.35">
      <c r="A1940">
        <v>1975</v>
      </c>
      <c r="B1940" s="1">
        <v>45605</v>
      </c>
      <c r="C1940" s="2">
        <v>0.75</v>
      </c>
      <c r="D1940">
        <v>3</v>
      </c>
      <c r="E1940">
        <v>5.5</v>
      </c>
      <c r="F1940">
        <v>86</v>
      </c>
    </row>
    <row r="1941" spans="1:6" x14ac:dyDescent="0.35">
      <c r="A1941">
        <v>1975</v>
      </c>
      <c r="B1941" s="1">
        <v>45605</v>
      </c>
      <c r="C1941" s="2">
        <v>0.79166666666666663</v>
      </c>
      <c r="D1941">
        <v>3</v>
      </c>
      <c r="E1941">
        <v>5.2</v>
      </c>
      <c r="F1941">
        <v>87</v>
      </c>
    </row>
    <row r="1942" spans="1:6" x14ac:dyDescent="0.35">
      <c r="A1942">
        <v>1975</v>
      </c>
      <c r="B1942" s="1">
        <v>45605</v>
      </c>
      <c r="C1942" s="2">
        <v>0.83333333333333337</v>
      </c>
      <c r="D1942">
        <v>3</v>
      </c>
      <c r="E1942">
        <v>5.0999999999999996</v>
      </c>
      <c r="F1942">
        <v>88</v>
      </c>
    </row>
    <row r="1943" spans="1:6" x14ac:dyDescent="0.35">
      <c r="A1943">
        <v>1975</v>
      </c>
      <c r="B1943" s="1">
        <v>45605</v>
      </c>
      <c r="C1943" s="2">
        <v>0.875</v>
      </c>
      <c r="D1943">
        <v>3</v>
      </c>
      <c r="E1943">
        <v>5</v>
      </c>
      <c r="F1943">
        <v>89</v>
      </c>
    </row>
    <row r="1944" spans="1:6" x14ac:dyDescent="0.35">
      <c r="A1944">
        <v>1975</v>
      </c>
      <c r="B1944" s="1">
        <v>45605</v>
      </c>
      <c r="C1944" s="2">
        <v>0.91666666666666663</v>
      </c>
      <c r="D1944">
        <v>3</v>
      </c>
      <c r="E1944">
        <v>4.9000000000000004</v>
      </c>
      <c r="F1944">
        <v>91</v>
      </c>
    </row>
    <row r="1945" spans="1:6" x14ac:dyDescent="0.35">
      <c r="A1945">
        <v>1975</v>
      </c>
      <c r="B1945" s="1">
        <v>45605</v>
      </c>
      <c r="C1945" s="2">
        <v>0.95833333333333337</v>
      </c>
      <c r="D1945">
        <v>3</v>
      </c>
      <c r="E1945">
        <v>4.7</v>
      </c>
      <c r="F1945">
        <v>92</v>
      </c>
    </row>
    <row r="1946" spans="1:6" x14ac:dyDescent="0.35">
      <c r="A1946">
        <v>1975</v>
      </c>
      <c r="B1946" s="1">
        <v>45606</v>
      </c>
      <c r="C1946" s="2">
        <v>0</v>
      </c>
      <c r="D1946">
        <v>3</v>
      </c>
      <c r="E1946">
        <v>4.7</v>
      </c>
      <c r="F1946">
        <v>92</v>
      </c>
    </row>
    <row r="1947" spans="1:6" x14ac:dyDescent="0.35">
      <c r="A1947">
        <v>1975</v>
      </c>
      <c r="B1947" s="1">
        <v>45606</v>
      </c>
      <c r="C1947" s="2">
        <v>4.1666666666666657E-2</v>
      </c>
      <c r="D1947">
        <v>3</v>
      </c>
      <c r="E1947">
        <v>4.5</v>
      </c>
      <c r="F1947">
        <v>95</v>
      </c>
    </row>
    <row r="1948" spans="1:6" x14ac:dyDescent="0.35">
      <c r="A1948">
        <v>1975</v>
      </c>
      <c r="B1948" s="1">
        <v>45606</v>
      </c>
      <c r="C1948" s="2">
        <v>8.3333333333333329E-2</v>
      </c>
      <c r="D1948">
        <v>3</v>
      </c>
      <c r="E1948">
        <v>4.3</v>
      </c>
      <c r="F1948">
        <v>97</v>
      </c>
    </row>
    <row r="1949" spans="1:6" x14ac:dyDescent="0.35">
      <c r="A1949">
        <v>1975</v>
      </c>
      <c r="B1949" s="1">
        <v>45606</v>
      </c>
      <c r="C1949" s="2">
        <v>0.125</v>
      </c>
      <c r="D1949">
        <v>3</v>
      </c>
      <c r="E1949">
        <v>4.4000000000000004</v>
      </c>
      <c r="F1949">
        <v>97</v>
      </c>
    </row>
    <row r="1950" spans="1:6" x14ac:dyDescent="0.35">
      <c r="A1950">
        <v>1975</v>
      </c>
      <c r="B1950" s="1">
        <v>45606</v>
      </c>
      <c r="C1950" s="2">
        <v>0.16666666666666671</v>
      </c>
      <c r="D1950">
        <v>3</v>
      </c>
      <c r="E1950">
        <v>4.3</v>
      </c>
      <c r="F1950">
        <v>97</v>
      </c>
    </row>
    <row r="1951" spans="1:6" x14ac:dyDescent="0.35">
      <c r="A1951">
        <v>1975</v>
      </c>
      <c r="B1951" s="1">
        <v>45606</v>
      </c>
      <c r="C1951" s="2">
        <v>0.20833333333333329</v>
      </c>
      <c r="D1951">
        <v>3</v>
      </c>
      <c r="E1951">
        <v>4.2</v>
      </c>
      <c r="F1951">
        <v>99</v>
      </c>
    </row>
    <row r="1952" spans="1:6" x14ac:dyDescent="0.35">
      <c r="A1952">
        <v>1975</v>
      </c>
      <c r="B1952" s="1">
        <v>45606</v>
      </c>
      <c r="C1952" s="2">
        <v>0.25</v>
      </c>
      <c r="D1952">
        <v>3</v>
      </c>
      <c r="E1952">
        <v>4.4000000000000004</v>
      </c>
      <c r="F1952">
        <v>99</v>
      </c>
    </row>
    <row r="1953" spans="1:6" x14ac:dyDescent="0.35">
      <c r="A1953">
        <v>1975</v>
      </c>
      <c r="B1953" s="1">
        <v>45606</v>
      </c>
      <c r="C1953" s="2">
        <v>0.29166666666666669</v>
      </c>
      <c r="D1953">
        <v>3</v>
      </c>
      <c r="E1953">
        <v>4.5999999999999996</v>
      </c>
      <c r="F1953">
        <v>98</v>
      </c>
    </row>
    <row r="1954" spans="1:6" x14ac:dyDescent="0.35">
      <c r="A1954">
        <v>1975</v>
      </c>
      <c r="B1954" s="1">
        <v>45606</v>
      </c>
      <c r="C1954" s="2">
        <v>0.33333333333333331</v>
      </c>
      <c r="D1954">
        <v>3</v>
      </c>
      <c r="E1954">
        <v>4.9000000000000004</v>
      </c>
      <c r="F1954">
        <v>97</v>
      </c>
    </row>
    <row r="1955" spans="1:6" x14ac:dyDescent="0.35">
      <c r="A1955">
        <v>1975</v>
      </c>
      <c r="B1955" s="1">
        <v>45606</v>
      </c>
      <c r="C1955" s="2">
        <v>0.375</v>
      </c>
      <c r="D1955">
        <v>3</v>
      </c>
      <c r="E1955">
        <v>5.0999999999999996</v>
      </c>
      <c r="F1955">
        <v>96</v>
      </c>
    </row>
    <row r="1956" spans="1:6" x14ac:dyDescent="0.35">
      <c r="A1956">
        <v>1975</v>
      </c>
      <c r="B1956" s="1">
        <v>45606</v>
      </c>
      <c r="C1956" s="2">
        <v>0.41666666666666669</v>
      </c>
      <c r="D1956">
        <v>3</v>
      </c>
      <c r="E1956">
        <v>5.4</v>
      </c>
      <c r="F1956">
        <v>95</v>
      </c>
    </row>
    <row r="1957" spans="1:6" x14ac:dyDescent="0.35">
      <c r="A1957">
        <v>1975</v>
      </c>
      <c r="B1957" s="1">
        <v>45606</v>
      </c>
      <c r="C1957" s="2">
        <v>0.45833333333333331</v>
      </c>
      <c r="D1957">
        <v>3</v>
      </c>
      <c r="E1957">
        <v>5.8</v>
      </c>
      <c r="F1957">
        <v>96</v>
      </c>
    </row>
    <row r="1958" spans="1:6" x14ac:dyDescent="0.35">
      <c r="A1958">
        <v>1975</v>
      </c>
      <c r="B1958" s="1">
        <v>45606</v>
      </c>
      <c r="C1958" s="2">
        <v>0.5</v>
      </c>
      <c r="D1958">
        <v>3</v>
      </c>
      <c r="E1958">
        <v>6.1</v>
      </c>
      <c r="F1958">
        <v>93</v>
      </c>
    </row>
    <row r="1959" spans="1:6" x14ac:dyDescent="0.35">
      <c r="A1959">
        <v>1975</v>
      </c>
      <c r="B1959" s="1">
        <v>45606</v>
      </c>
      <c r="C1959" s="2">
        <v>0.54166666666666663</v>
      </c>
      <c r="D1959">
        <v>3</v>
      </c>
      <c r="E1959">
        <v>6.4</v>
      </c>
      <c r="F1959">
        <v>94</v>
      </c>
    </row>
    <row r="1960" spans="1:6" x14ac:dyDescent="0.35">
      <c r="A1960">
        <v>1975</v>
      </c>
      <c r="B1960" s="1">
        <v>45606</v>
      </c>
      <c r="C1960" s="2">
        <v>0.58333333333333337</v>
      </c>
      <c r="D1960">
        <v>3</v>
      </c>
      <c r="E1960">
        <v>6.3</v>
      </c>
      <c r="F1960">
        <v>92</v>
      </c>
    </row>
    <row r="1961" spans="1:6" x14ac:dyDescent="0.35">
      <c r="A1961">
        <v>1975</v>
      </c>
      <c r="B1961" s="1">
        <v>45606</v>
      </c>
      <c r="C1961" s="2">
        <v>0.625</v>
      </c>
      <c r="D1961">
        <v>3</v>
      </c>
      <c r="E1961">
        <v>6.3</v>
      </c>
      <c r="F1961">
        <v>94</v>
      </c>
    </row>
    <row r="1962" spans="1:6" x14ac:dyDescent="0.35">
      <c r="A1962">
        <v>1975</v>
      </c>
      <c r="B1962" s="1">
        <v>45606</v>
      </c>
      <c r="C1962" s="2">
        <v>0.66666666666666663</v>
      </c>
      <c r="D1962">
        <v>3</v>
      </c>
      <c r="E1962">
        <v>6.4</v>
      </c>
      <c r="F1962">
        <v>94</v>
      </c>
    </row>
    <row r="1963" spans="1:6" x14ac:dyDescent="0.35">
      <c r="A1963">
        <v>1975</v>
      </c>
      <c r="B1963" s="1">
        <v>45606</v>
      </c>
      <c r="C1963" s="2">
        <v>0.70833333333333337</v>
      </c>
      <c r="D1963">
        <v>3</v>
      </c>
      <c r="E1963">
        <v>6.4</v>
      </c>
      <c r="F1963">
        <v>94</v>
      </c>
    </row>
    <row r="1964" spans="1:6" x14ac:dyDescent="0.35">
      <c r="A1964">
        <v>1975</v>
      </c>
      <c r="B1964" s="1">
        <v>45606</v>
      </c>
      <c r="C1964" s="2">
        <v>0.75</v>
      </c>
      <c r="D1964">
        <v>3</v>
      </c>
      <c r="E1964">
        <v>6.3</v>
      </c>
      <c r="F1964">
        <v>94</v>
      </c>
    </row>
    <row r="1965" spans="1:6" x14ac:dyDescent="0.35">
      <c r="A1965">
        <v>1975</v>
      </c>
      <c r="B1965" s="1">
        <v>45606</v>
      </c>
      <c r="C1965" s="2">
        <v>0.79166666666666663</v>
      </c>
      <c r="D1965">
        <v>3</v>
      </c>
      <c r="E1965">
        <v>6.3</v>
      </c>
      <c r="F1965">
        <v>93</v>
      </c>
    </row>
    <row r="1966" spans="1:6" x14ac:dyDescent="0.35">
      <c r="A1966">
        <v>1975</v>
      </c>
      <c r="B1966" s="1">
        <v>45606</v>
      </c>
      <c r="C1966" s="2">
        <v>0.83333333333333337</v>
      </c>
      <c r="D1966">
        <v>3</v>
      </c>
      <c r="E1966">
        <v>6.3</v>
      </c>
      <c r="F1966">
        <v>93</v>
      </c>
    </row>
    <row r="1967" spans="1:6" x14ac:dyDescent="0.35">
      <c r="A1967">
        <v>1975</v>
      </c>
      <c r="B1967" s="1">
        <v>45606</v>
      </c>
      <c r="C1967" s="2">
        <v>0.875</v>
      </c>
      <c r="D1967">
        <v>3</v>
      </c>
      <c r="E1967">
        <v>6.5</v>
      </c>
      <c r="F1967">
        <v>92</v>
      </c>
    </row>
    <row r="1968" spans="1:6" x14ac:dyDescent="0.35">
      <c r="A1968">
        <v>1975</v>
      </c>
      <c r="B1968" s="1">
        <v>45606</v>
      </c>
      <c r="C1968" s="2">
        <v>0.91666666666666663</v>
      </c>
      <c r="D1968">
        <v>3</v>
      </c>
      <c r="E1968">
        <v>6.4</v>
      </c>
      <c r="F1968">
        <v>94</v>
      </c>
    </row>
    <row r="1969" spans="1:6" x14ac:dyDescent="0.35">
      <c r="A1969">
        <v>1975</v>
      </c>
      <c r="B1969" s="1">
        <v>45606</v>
      </c>
      <c r="C1969" s="2">
        <v>0.95833333333333337</v>
      </c>
      <c r="D1969">
        <v>3</v>
      </c>
      <c r="E1969">
        <v>6.4</v>
      </c>
      <c r="F1969">
        <v>95</v>
      </c>
    </row>
    <row r="1970" spans="1:6" x14ac:dyDescent="0.35">
      <c r="A1970">
        <v>1975</v>
      </c>
      <c r="B1970" s="1">
        <v>45607</v>
      </c>
      <c r="C1970" s="2">
        <v>0</v>
      </c>
      <c r="D1970">
        <v>3</v>
      </c>
      <c r="E1970">
        <v>6.5</v>
      </c>
      <c r="F1970">
        <v>96</v>
      </c>
    </row>
    <row r="1971" spans="1:6" x14ac:dyDescent="0.35">
      <c r="A1971">
        <v>1975</v>
      </c>
      <c r="B1971" s="1">
        <v>45607</v>
      </c>
      <c r="C1971" s="2">
        <v>4.1666666666666657E-2</v>
      </c>
      <c r="D1971">
        <v>3</v>
      </c>
      <c r="E1971">
        <v>6.6</v>
      </c>
      <c r="F1971">
        <v>95</v>
      </c>
    </row>
    <row r="1972" spans="1:6" x14ac:dyDescent="0.35">
      <c r="A1972">
        <v>1975</v>
      </c>
      <c r="B1972" s="1">
        <v>45607</v>
      </c>
      <c r="C1972" s="2">
        <v>8.3333333333333329E-2</v>
      </c>
      <c r="D1972">
        <v>3</v>
      </c>
      <c r="E1972">
        <v>7</v>
      </c>
      <c r="F1972">
        <v>95</v>
      </c>
    </row>
    <row r="1973" spans="1:6" x14ac:dyDescent="0.35">
      <c r="A1973">
        <v>1975</v>
      </c>
      <c r="B1973" s="1">
        <v>45607</v>
      </c>
      <c r="C1973" s="2">
        <v>0.125</v>
      </c>
      <c r="D1973">
        <v>3</v>
      </c>
      <c r="E1973">
        <v>6.9</v>
      </c>
      <c r="F1973">
        <v>96</v>
      </c>
    </row>
    <row r="1974" spans="1:6" x14ac:dyDescent="0.35">
      <c r="A1974">
        <v>1975</v>
      </c>
      <c r="B1974" s="1">
        <v>45607</v>
      </c>
      <c r="C1974" s="2">
        <v>0.16666666666666671</v>
      </c>
      <c r="D1974">
        <v>3</v>
      </c>
      <c r="E1974">
        <v>7.1</v>
      </c>
      <c r="F1974">
        <v>96</v>
      </c>
    </row>
    <row r="1975" spans="1:6" x14ac:dyDescent="0.35">
      <c r="A1975">
        <v>1975</v>
      </c>
      <c r="B1975" s="1">
        <v>45607</v>
      </c>
      <c r="C1975" s="2">
        <v>0.20833333333333329</v>
      </c>
      <c r="D1975">
        <v>3</v>
      </c>
      <c r="E1975">
        <v>7.4</v>
      </c>
      <c r="F1975">
        <v>96</v>
      </c>
    </row>
    <row r="1976" spans="1:6" x14ac:dyDescent="0.35">
      <c r="A1976">
        <v>1975</v>
      </c>
      <c r="B1976" s="1">
        <v>45607</v>
      </c>
      <c r="C1976" s="2">
        <v>0.25</v>
      </c>
      <c r="D1976">
        <v>3</v>
      </c>
      <c r="E1976">
        <v>8.1</v>
      </c>
      <c r="F1976">
        <v>94</v>
      </c>
    </row>
    <row r="1977" spans="1:6" x14ac:dyDescent="0.35">
      <c r="A1977">
        <v>1975</v>
      </c>
      <c r="B1977" s="1">
        <v>45607</v>
      </c>
      <c r="C1977" s="2">
        <v>0.29166666666666669</v>
      </c>
      <c r="D1977">
        <v>3</v>
      </c>
      <c r="E1977">
        <v>8.4</v>
      </c>
      <c r="F1977">
        <v>93</v>
      </c>
    </row>
    <row r="1978" spans="1:6" x14ac:dyDescent="0.35">
      <c r="A1978">
        <v>1975</v>
      </c>
      <c r="B1978" s="1">
        <v>45607</v>
      </c>
      <c r="C1978" s="2">
        <v>0.33333333333333331</v>
      </c>
      <c r="D1978">
        <v>3</v>
      </c>
      <c r="E1978">
        <v>8.5</v>
      </c>
      <c r="F1978">
        <v>94</v>
      </c>
    </row>
    <row r="1979" spans="1:6" x14ac:dyDescent="0.35">
      <c r="A1979">
        <v>1975</v>
      </c>
      <c r="B1979" s="1">
        <v>45607</v>
      </c>
      <c r="C1979" s="2">
        <v>0.375</v>
      </c>
      <c r="D1979">
        <v>3</v>
      </c>
      <c r="E1979">
        <v>8.1999999999999993</v>
      </c>
      <c r="F1979">
        <v>97</v>
      </c>
    </row>
    <row r="1980" spans="1:6" x14ac:dyDescent="0.35">
      <c r="A1980">
        <v>1975</v>
      </c>
      <c r="B1980" s="1">
        <v>45607</v>
      </c>
      <c r="C1980" s="2">
        <v>0.41666666666666669</v>
      </c>
      <c r="D1980">
        <v>3</v>
      </c>
      <c r="E1980">
        <v>8.1999999999999993</v>
      </c>
      <c r="F1980">
        <v>97</v>
      </c>
    </row>
    <row r="1981" spans="1:6" x14ac:dyDescent="0.35">
      <c r="A1981">
        <v>1975</v>
      </c>
      <c r="B1981" s="1">
        <v>45607</v>
      </c>
      <c r="C1981" s="2">
        <v>0.45833333333333331</v>
      </c>
      <c r="D1981">
        <v>3</v>
      </c>
      <c r="E1981">
        <v>8.1999999999999993</v>
      </c>
      <c r="F1981">
        <v>97</v>
      </c>
    </row>
    <row r="1982" spans="1:6" x14ac:dyDescent="0.35">
      <c r="A1982">
        <v>1975</v>
      </c>
      <c r="B1982" s="1">
        <v>45607</v>
      </c>
      <c r="C1982" s="2">
        <v>0.5</v>
      </c>
      <c r="D1982">
        <v>3</v>
      </c>
      <c r="E1982">
        <v>8.3000000000000007</v>
      </c>
      <c r="F1982">
        <v>98</v>
      </c>
    </row>
    <row r="1983" spans="1:6" x14ac:dyDescent="0.35">
      <c r="A1983">
        <v>1975</v>
      </c>
      <c r="B1983" s="1">
        <v>45607</v>
      </c>
      <c r="C1983" s="2">
        <v>0.54166666666666663</v>
      </c>
      <c r="D1983">
        <v>3</v>
      </c>
      <c r="E1983">
        <v>8.6</v>
      </c>
      <c r="F1983">
        <v>97</v>
      </c>
    </row>
    <row r="1984" spans="1:6" x14ac:dyDescent="0.35">
      <c r="A1984">
        <v>1975</v>
      </c>
      <c r="B1984" s="1">
        <v>45607</v>
      </c>
      <c r="C1984" s="2">
        <v>0.58333333333333337</v>
      </c>
      <c r="D1984">
        <v>3</v>
      </c>
      <c r="E1984">
        <v>8.8000000000000007</v>
      </c>
      <c r="F1984">
        <v>98</v>
      </c>
    </row>
    <row r="1985" spans="1:6" x14ac:dyDescent="0.35">
      <c r="A1985">
        <v>1975</v>
      </c>
      <c r="B1985" s="1">
        <v>45607</v>
      </c>
      <c r="C1985" s="2">
        <v>0.625</v>
      </c>
      <c r="D1985">
        <v>3</v>
      </c>
      <c r="E1985">
        <v>8.8000000000000007</v>
      </c>
      <c r="F1985">
        <v>100</v>
      </c>
    </row>
    <row r="1986" spans="1:6" x14ac:dyDescent="0.35">
      <c r="A1986">
        <v>1975</v>
      </c>
      <c r="B1986" s="1">
        <v>45607</v>
      </c>
      <c r="C1986" s="2">
        <v>0.66666666666666663</v>
      </c>
      <c r="D1986">
        <v>3</v>
      </c>
      <c r="E1986">
        <v>8.6</v>
      </c>
      <c r="F1986">
        <v>100</v>
      </c>
    </row>
    <row r="1987" spans="1:6" x14ac:dyDescent="0.35">
      <c r="A1987">
        <v>1975</v>
      </c>
      <c r="B1987" s="1">
        <v>45607</v>
      </c>
      <c r="C1987" s="2">
        <v>0.70833333333333337</v>
      </c>
      <c r="D1987">
        <v>3</v>
      </c>
      <c r="E1987">
        <v>8.4</v>
      </c>
      <c r="F1987">
        <v>99</v>
      </c>
    </row>
    <row r="1988" spans="1:6" x14ac:dyDescent="0.35">
      <c r="A1988">
        <v>1975</v>
      </c>
      <c r="B1988" s="1">
        <v>45607</v>
      </c>
      <c r="C1988" s="2">
        <v>0.75</v>
      </c>
      <c r="D1988">
        <v>3</v>
      </c>
      <c r="E1988">
        <v>8.3000000000000007</v>
      </c>
      <c r="F1988">
        <v>99</v>
      </c>
    </row>
    <row r="1989" spans="1:6" x14ac:dyDescent="0.35">
      <c r="A1989">
        <v>1975</v>
      </c>
      <c r="B1989" s="1">
        <v>45607</v>
      </c>
      <c r="C1989" s="2">
        <v>0.79166666666666663</v>
      </c>
      <c r="D1989">
        <v>3</v>
      </c>
      <c r="E1989">
        <v>8.1</v>
      </c>
      <c r="F1989">
        <v>99</v>
      </c>
    </row>
    <row r="1990" spans="1:6" x14ac:dyDescent="0.35">
      <c r="A1990">
        <v>1975</v>
      </c>
      <c r="B1990" s="1">
        <v>45607</v>
      </c>
      <c r="C1990" s="2">
        <v>0.83333333333333337</v>
      </c>
      <c r="D1990">
        <v>3</v>
      </c>
      <c r="E1990">
        <v>7.9</v>
      </c>
      <c r="F1990">
        <v>99</v>
      </c>
    </row>
    <row r="1991" spans="1:6" x14ac:dyDescent="0.35">
      <c r="A1991">
        <v>1975</v>
      </c>
      <c r="B1991" s="1">
        <v>45607</v>
      </c>
      <c r="C1991" s="2">
        <v>0.875</v>
      </c>
      <c r="D1991">
        <v>3</v>
      </c>
      <c r="E1991">
        <v>7.6</v>
      </c>
      <c r="F1991">
        <v>99</v>
      </c>
    </row>
    <row r="1992" spans="1:6" x14ac:dyDescent="0.35">
      <c r="A1992">
        <v>1975</v>
      </c>
      <c r="B1992" s="1">
        <v>45607</v>
      </c>
      <c r="C1992" s="2">
        <v>0.91666666666666663</v>
      </c>
      <c r="D1992">
        <v>3</v>
      </c>
      <c r="E1992">
        <v>7.5</v>
      </c>
      <c r="F1992">
        <v>97</v>
      </c>
    </row>
    <row r="1993" spans="1:6" x14ac:dyDescent="0.35">
      <c r="A1993">
        <v>1975</v>
      </c>
      <c r="B1993" s="1">
        <v>45607</v>
      </c>
      <c r="C1993" s="2">
        <v>0.95833333333333337</v>
      </c>
      <c r="D1993">
        <v>3</v>
      </c>
      <c r="E1993">
        <v>7.3</v>
      </c>
      <c r="F1993">
        <v>97</v>
      </c>
    </row>
    <row r="1994" spans="1:6" x14ac:dyDescent="0.35">
      <c r="A1994">
        <v>1975</v>
      </c>
      <c r="B1994" s="1">
        <v>45608</v>
      </c>
      <c r="C1994" s="2">
        <v>0</v>
      </c>
      <c r="D1994">
        <v>3</v>
      </c>
      <c r="E1994">
        <v>6.9</v>
      </c>
      <c r="F1994">
        <v>97</v>
      </c>
    </row>
    <row r="1995" spans="1:6" x14ac:dyDescent="0.35">
      <c r="A1995">
        <v>1975</v>
      </c>
      <c r="B1995" s="1">
        <v>45608</v>
      </c>
      <c r="C1995" s="2">
        <v>4.1666666666666657E-2</v>
      </c>
      <c r="D1995">
        <v>3</v>
      </c>
      <c r="E1995">
        <v>6.4</v>
      </c>
      <c r="F1995">
        <v>97</v>
      </c>
    </row>
    <row r="1996" spans="1:6" x14ac:dyDescent="0.35">
      <c r="A1996">
        <v>1975</v>
      </c>
      <c r="B1996" s="1">
        <v>45608</v>
      </c>
      <c r="C1996" s="2">
        <v>8.3333333333333329E-2</v>
      </c>
      <c r="D1996">
        <v>3</v>
      </c>
      <c r="E1996">
        <v>6.7</v>
      </c>
      <c r="F1996">
        <v>99</v>
      </c>
    </row>
    <row r="1997" spans="1:6" x14ac:dyDescent="0.35">
      <c r="A1997">
        <v>1975</v>
      </c>
      <c r="B1997" s="1">
        <v>45608</v>
      </c>
      <c r="C1997" s="2">
        <v>0.125</v>
      </c>
      <c r="D1997">
        <v>3</v>
      </c>
      <c r="E1997">
        <v>6.6</v>
      </c>
      <c r="F1997">
        <v>98</v>
      </c>
    </row>
    <row r="1998" spans="1:6" x14ac:dyDescent="0.35">
      <c r="A1998">
        <v>1975</v>
      </c>
      <c r="B1998" s="1">
        <v>45608</v>
      </c>
      <c r="C1998" s="2">
        <v>0.16666666666666671</v>
      </c>
      <c r="D1998">
        <v>3</v>
      </c>
      <c r="E1998">
        <v>6.5</v>
      </c>
      <c r="F1998">
        <v>99</v>
      </c>
    </row>
    <row r="1999" spans="1:6" x14ac:dyDescent="0.35">
      <c r="A1999">
        <v>1975</v>
      </c>
      <c r="B1999" s="1">
        <v>45608</v>
      </c>
      <c r="C1999" s="2">
        <v>0.20833333333333329</v>
      </c>
      <c r="D1999">
        <v>3</v>
      </c>
      <c r="E1999">
        <v>6.4</v>
      </c>
      <c r="F1999">
        <v>100</v>
      </c>
    </row>
    <row r="2000" spans="1:6" x14ac:dyDescent="0.35">
      <c r="A2000">
        <v>1975</v>
      </c>
      <c r="B2000" s="1">
        <v>45608</v>
      </c>
      <c r="C2000" s="2">
        <v>0.25</v>
      </c>
      <c r="D2000">
        <v>3</v>
      </c>
      <c r="E2000">
        <v>6.2</v>
      </c>
      <c r="F2000">
        <v>100</v>
      </c>
    </row>
    <row r="2001" spans="1:6" x14ac:dyDescent="0.35">
      <c r="A2001">
        <v>1975</v>
      </c>
      <c r="B2001" s="1">
        <v>45608</v>
      </c>
      <c r="C2001" s="2">
        <v>0.29166666666666669</v>
      </c>
      <c r="D2001">
        <v>3</v>
      </c>
      <c r="E2001">
        <v>6.2</v>
      </c>
      <c r="F2001">
        <v>100</v>
      </c>
    </row>
    <row r="2002" spans="1:6" x14ac:dyDescent="0.35">
      <c r="A2002">
        <v>1975</v>
      </c>
      <c r="B2002" s="1">
        <v>45608</v>
      </c>
      <c r="C2002" s="2">
        <v>0.33333333333333331</v>
      </c>
      <c r="D2002">
        <v>3</v>
      </c>
      <c r="E2002">
        <v>6.8</v>
      </c>
      <c r="F2002">
        <v>100</v>
      </c>
    </row>
    <row r="2003" spans="1:6" x14ac:dyDescent="0.35">
      <c r="A2003">
        <v>1975</v>
      </c>
      <c r="B2003" s="1">
        <v>45608</v>
      </c>
      <c r="C2003" s="2">
        <v>0.375</v>
      </c>
      <c r="D2003">
        <v>3</v>
      </c>
      <c r="E2003">
        <v>7.7</v>
      </c>
      <c r="F2003">
        <v>96</v>
      </c>
    </row>
    <row r="2004" spans="1:6" x14ac:dyDescent="0.35">
      <c r="A2004">
        <v>1975</v>
      </c>
      <c r="B2004" s="1">
        <v>45608</v>
      </c>
      <c r="C2004" s="2">
        <v>0.41666666666666669</v>
      </c>
      <c r="D2004">
        <v>3</v>
      </c>
      <c r="E2004">
        <v>8.3000000000000007</v>
      </c>
      <c r="F2004">
        <v>94</v>
      </c>
    </row>
    <row r="2005" spans="1:6" x14ac:dyDescent="0.35">
      <c r="A2005">
        <v>1975</v>
      </c>
      <c r="B2005" s="1">
        <v>45608</v>
      </c>
      <c r="C2005" s="2">
        <v>0.45833333333333331</v>
      </c>
      <c r="D2005">
        <v>3</v>
      </c>
      <c r="E2005">
        <v>8.6999999999999993</v>
      </c>
      <c r="F2005">
        <v>90</v>
      </c>
    </row>
    <row r="2006" spans="1:6" x14ac:dyDescent="0.35">
      <c r="A2006">
        <v>1975</v>
      </c>
      <c r="B2006" s="1">
        <v>45608</v>
      </c>
      <c r="C2006" s="2">
        <v>0.5</v>
      </c>
      <c r="D2006">
        <v>3</v>
      </c>
      <c r="E2006">
        <v>9</v>
      </c>
      <c r="F2006">
        <v>89</v>
      </c>
    </row>
    <row r="2007" spans="1:6" x14ac:dyDescent="0.35">
      <c r="A2007">
        <v>1975</v>
      </c>
      <c r="B2007" s="1">
        <v>45608</v>
      </c>
      <c r="C2007" s="2">
        <v>0.54166666666666663</v>
      </c>
      <c r="D2007">
        <v>3</v>
      </c>
      <c r="E2007">
        <v>9.1</v>
      </c>
      <c r="F2007">
        <v>89</v>
      </c>
    </row>
    <row r="2008" spans="1:6" x14ac:dyDescent="0.35">
      <c r="A2008">
        <v>1975</v>
      </c>
      <c r="B2008" s="1">
        <v>45608</v>
      </c>
      <c r="C2008" s="2">
        <v>0.58333333333333337</v>
      </c>
      <c r="D2008">
        <v>3</v>
      </c>
      <c r="E2008">
        <v>9</v>
      </c>
      <c r="F2008">
        <v>90</v>
      </c>
    </row>
    <row r="2009" spans="1:6" x14ac:dyDescent="0.35">
      <c r="A2009">
        <v>1975</v>
      </c>
      <c r="B2009" s="1">
        <v>45608</v>
      </c>
      <c r="C2009" s="2">
        <v>0.625</v>
      </c>
      <c r="D2009">
        <v>3</v>
      </c>
      <c r="E2009">
        <v>8.8000000000000007</v>
      </c>
      <c r="F2009">
        <v>90</v>
      </c>
    </row>
    <row r="2010" spans="1:6" x14ac:dyDescent="0.35">
      <c r="A2010">
        <v>1975</v>
      </c>
      <c r="B2010" s="1">
        <v>45608</v>
      </c>
      <c r="C2010" s="2">
        <v>0.66666666666666663</v>
      </c>
      <c r="D2010">
        <v>3</v>
      </c>
      <c r="E2010">
        <v>8.4</v>
      </c>
      <c r="F2010">
        <v>93</v>
      </c>
    </row>
    <row r="2011" spans="1:6" x14ac:dyDescent="0.35">
      <c r="A2011">
        <v>1975</v>
      </c>
      <c r="B2011" s="1">
        <v>45608</v>
      </c>
      <c r="C2011" s="2">
        <v>0.70833333333333337</v>
      </c>
      <c r="D2011">
        <v>3</v>
      </c>
      <c r="E2011">
        <v>7.9</v>
      </c>
      <c r="F2011">
        <v>96</v>
      </c>
    </row>
    <row r="2012" spans="1:6" x14ac:dyDescent="0.35">
      <c r="A2012">
        <v>1975</v>
      </c>
      <c r="B2012" s="1">
        <v>45608</v>
      </c>
      <c r="C2012" s="2">
        <v>0.75</v>
      </c>
      <c r="D2012">
        <v>3</v>
      </c>
      <c r="E2012">
        <v>7.9</v>
      </c>
      <c r="F2012">
        <v>97</v>
      </c>
    </row>
    <row r="2013" spans="1:6" x14ac:dyDescent="0.35">
      <c r="A2013">
        <v>1975</v>
      </c>
      <c r="B2013" s="1">
        <v>45608</v>
      </c>
      <c r="C2013" s="2">
        <v>0.79166666666666663</v>
      </c>
      <c r="D2013">
        <v>3</v>
      </c>
      <c r="E2013">
        <v>6.9</v>
      </c>
      <c r="F2013">
        <v>97</v>
      </c>
    </row>
    <row r="2014" spans="1:6" x14ac:dyDescent="0.35">
      <c r="A2014">
        <v>1975</v>
      </c>
      <c r="B2014" s="1">
        <v>45608</v>
      </c>
      <c r="C2014" s="2">
        <v>0.83333333333333337</v>
      </c>
      <c r="D2014">
        <v>3</v>
      </c>
      <c r="E2014">
        <v>6.4</v>
      </c>
      <c r="F2014">
        <v>99</v>
      </c>
    </row>
    <row r="2015" spans="1:6" x14ac:dyDescent="0.35">
      <c r="A2015">
        <v>1975</v>
      </c>
      <c r="B2015" s="1">
        <v>45608</v>
      </c>
      <c r="C2015" s="2">
        <v>0.875</v>
      </c>
      <c r="D2015">
        <v>3</v>
      </c>
      <c r="E2015">
        <v>6.5</v>
      </c>
      <c r="F2015">
        <v>100</v>
      </c>
    </row>
    <row r="2016" spans="1:6" x14ac:dyDescent="0.35">
      <c r="A2016">
        <v>1975</v>
      </c>
      <c r="B2016" s="1">
        <v>45608</v>
      </c>
      <c r="C2016" s="2">
        <v>0.91666666666666663</v>
      </c>
      <c r="D2016">
        <v>3</v>
      </c>
      <c r="E2016">
        <v>6.7</v>
      </c>
      <c r="F2016">
        <v>96</v>
      </c>
    </row>
    <row r="2017" spans="1:6" x14ac:dyDescent="0.35">
      <c r="A2017">
        <v>1975</v>
      </c>
      <c r="B2017" s="1">
        <v>45608</v>
      </c>
      <c r="C2017" s="2">
        <v>0.95833333333333337</v>
      </c>
      <c r="D2017">
        <v>3</v>
      </c>
      <c r="E2017">
        <v>6.6</v>
      </c>
      <c r="F2017">
        <v>97</v>
      </c>
    </row>
    <row r="2018" spans="1:6" x14ac:dyDescent="0.35">
      <c r="A2018">
        <v>1975</v>
      </c>
      <c r="B2018" s="1">
        <v>45609</v>
      </c>
      <c r="C2018" s="2">
        <v>0</v>
      </c>
      <c r="D2018">
        <v>3</v>
      </c>
      <c r="E2018">
        <v>6.2</v>
      </c>
      <c r="F2018">
        <v>97</v>
      </c>
    </row>
    <row r="2019" spans="1:6" x14ac:dyDescent="0.35">
      <c r="A2019">
        <v>1975</v>
      </c>
      <c r="B2019" s="1">
        <v>45609</v>
      </c>
      <c r="C2019" s="2">
        <v>4.1666666666666657E-2</v>
      </c>
      <c r="D2019">
        <v>3</v>
      </c>
      <c r="E2019">
        <v>5.2</v>
      </c>
      <c r="F2019">
        <v>100</v>
      </c>
    </row>
    <row r="2020" spans="1:6" x14ac:dyDescent="0.35">
      <c r="A2020">
        <v>1975</v>
      </c>
      <c r="B2020" s="1">
        <v>45609</v>
      </c>
      <c r="C2020" s="2">
        <v>8.3333333333333329E-2</v>
      </c>
      <c r="D2020">
        <v>3</v>
      </c>
      <c r="E2020">
        <v>5.3</v>
      </c>
      <c r="F2020">
        <v>99</v>
      </c>
    </row>
    <row r="2021" spans="1:6" x14ac:dyDescent="0.35">
      <c r="A2021">
        <v>1975</v>
      </c>
      <c r="B2021" s="1">
        <v>45609</v>
      </c>
      <c r="C2021" s="2">
        <v>0.125</v>
      </c>
      <c r="D2021">
        <v>3</v>
      </c>
      <c r="E2021">
        <v>4.7</v>
      </c>
      <c r="F2021">
        <v>100</v>
      </c>
    </row>
    <row r="2022" spans="1:6" x14ac:dyDescent="0.35">
      <c r="A2022">
        <v>1975</v>
      </c>
      <c r="B2022" s="1">
        <v>45609</v>
      </c>
      <c r="C2022" s="2">
        <v>0.16666666666666671</v>
      </c>
      <c r="D2022">
        <v>3</v>
      </c>
      <c r="E2022">
        <v>5.3</v>
      </c>
      <c r="F2022">
        <v>100</v>
      </c>
    </row>
    <row r="2023" spans="1:6" x14ac:dyDescent="0.35">
      <c r="A2023">
        <v>1975</v>
      </c>
      <c r="B2023" s="1">
        <v>45609</v>
      </c>
      <c r="C2023" s="2">
        <v>0.20833333333333329</v>
      </c>
      <c r="D2023">
        <v>3</v>
      </c>
      <c r="E2023">
        <v>5</v>
      </c>
      <c r="F2023">
        <v>100</v>
      </c>
    </row>
    <row r="2024" spans="1:6" x14ac:dyDescent="0.35">
      <c r="A2024">
        <v>1975</v>
      </c>
      <c r="B2024" s="1">
        <v>45609</v>
      </c>
      <c r="C2024" s="2">
        <v>0.25</v>
      </c>
      <c r="D2024">
        <v>3</v>
      </c>
      <c r="E2024">
        <v>5.6</v>
      </c>
      <c r="F2024">
        <v>100</v>
      </c>
    </row>
    <row r="2025" spans="1:6" x14ac:dyDescent="0.35">
      <c r="A2025">
        <v>1975</v>
      </c>
      <c r="B2025" s="1">
        <v>45609</v>
      </c>
      <c r="C2025" s="2">
        <v>0.29166666666666669</v>
      </c>
      <c r="D2025">
        <v>3</v>
      </c>
      <c r="E2025">
        <v>6.1</v>
      </c>
      <c r="F2025">
        <v>100</v>
      </c>
    </row>
    <row r="2026" spans="1:6" x14ac:dyDescent="0.35">
      <c r="A2026">
        <v>1975</v>
      </c>
      <c r="B2026" s="1">
        <v>45609</v>
      </c>
      <c r="C2026" s="2">
        <v>0.33333333333333331</v>
      </c>
      <c r="D2026">
        <v>3</v>
      </c>
      <c r="E2026">
        <v>6.7</v>
      </c>
      <c r="F2026">
        <v>98</v>
      </c>
    </row>
    <row r="2027" spans="1:6" x14ac:dyDescent="0.35">
      <c r="A2027">
        <v>1975</v>
      </c>
      <c r="B2027" s="1">
        <v>45609</v>
      </c>
      <c r="C2027" s="2">
        <v>0.375</v>
      </c>
      <c r="D2027">
        <v>3</v>
      </c>
      <c r="E2027">
        <v>7.2</v>
      </c>
      <c r="F2027">
        <v>98</v>
      </c>
    </row>
    <row r="2028" spans="1:6" x14ac:dyDescent="0.35">
      <c r="A2028">
        <v>1975</v>
      </c>
      <c r="B2028" s="1">
        <v>45609</v>
      </c>
      <c r="C2028" s="2">
        <v>0.41666666666666669</v>
      </c>
      <c r="D2028">
        <v>3</v>
      </c>
      <c r="E2028">
        <v>7.8</v>
      </c>
      <c r="F2028">
        <v>95</v>
      </c>
    </row>
    <row r="2029" spans="1:6" x14ac:dyDescent="0.35">
      <c r="A2029">
        <v>1975</v>
      </c>
      <c r="B2029" s="1">
        <v>45609</v>
      </c>
      <c r="C2029" s="2">
        <v>0.45833333333333331</v>
      </c>
      <c r="D2029">
        <v>3</v>
      </c>
      <c r="E2029">
        <v>7.7</v>
      </c>
      <c r="F2029">
        <v>96</v>
      </c>
    </row>
    <row r="2030" spans="1:6" x14ac:dyDescent="0.35">
      <c r="A2030">
        <v>1975</v>
      </c>
      <c r="B2030" s="1">
        <v>45609</v>
      </c>
      <c r="C2030" s="2">
        <v>0.5</v>
      </c>
      <c r="D2030">
        <v>3</v>
      </c>
      <c r="E2030">
        <v>7.9</v>
      </c>
      <c r="F2030">
        <v>97</v>
      </c>
    </row>
    <row r="2031" spans="1:6" x14ac:dyDescent="0.35">
      <c r="A2031">
        <v>1975</v>
      </c>
      <c r="B2031" s="1">
        <v>45609</v>
      </c>
      <c r="C2031" s="2">
        <v>0.54166666666666663</v>
      </c>
      <c r="D2031">
        <v>3</v>
      </c>
      <c r="E2031">
        <v>7.5</v>
      </c>
      <c r="F2031">
        <v>99</v>
      </c>
    </row>
    <row r="2032" spans="1:6" x14ac:dyDescent="0.35">
      <c r="A2032">
        <v>1975</v>
      </c>
      <c r="B2032" s="1">
        <v>45609</v>
      </c>
      <c r="C2032" s="2">
        <v>0.58333333333333337</v>
      </c>
      <c r="D2032">
        <v>3</v>
      </c>
      <c r="E2032">
        <v>7.4</v>
      </c>
      <c r="F2032">
        <v>99</v>
      </c>
    </row>
    <row r="2033" spans="1:6" x14ac:dyDescent="0.35">
      <c r="A2033">
        <v>1975</v>
      </c>
      <c r="B2033" s="1">
        <v>45609</v>
      </c>
      <c r="C2033" s="2">
        <v>0.625</v>
      </c>
      <c r="D2033">
        <v>3</v>
      </c>
      <c r="E2033">
        <v>7.7</v>
      </c>
      <c r="F2033">
        <v>99</v>
      </c>
    </row>
    <row r="2034" spans="1:6" x14ac:dyDescent="0.35">
      <c r="A2034">
        <v>1975</v>
      </c>
      <c r="B2034" s="1">
        <v>45609</v>
      </c>
      <c r="C2034" s="2">
        <v>0.66666666666666663</v>
      </c>
      <c r="D2034">
        <v>3</v>
      </c>
      <c r="E2034">
        <v>8</v>
      </c>
      <c r="F2034">
        <v>100</v>
      </c>
    </row>
    <row r="2035" spans="1:6" x14ac:dyDescent="0.35">
      <c r="A2035">
        <v>1975</v>
      </c>
      <c r="B2035" s="1">
        <v>45609</v>
      </c>
      <c r="C2035" s="2">
        <v>0.70833333333333337</v>
      </c>
      <c r="D2035">
        <v>3</v>
      </c>
      <c r="E2035">
        <v>8.1999999999999993</v>
      </c>
      <c r="F2035">
        <v>100</v>
      </c>
    </row>
    <row r="2036" spans="1:6" x14ac:dyDescent="0.35">
      <c r="A2036">
        <v>1975</v>
      </c>
      <c r="B2036" s="1">
        <v>45609</v>
      </c>
      <c r="C2036" s="2">
        <v>0.75</v>
      </c>
      <c r="D2036">
        <v>3</v>
      </c>
      <c r="E2036">
        <v>8.4</v>
      </c>
      <c r="F2036">
        <v>100</v>
      </c>
    </row>
    <row r="2037" spans="1:6" x14ac:dyDescent="0.35">
      <c r="A2037">
        <v>1975</v>
      </c>
      <c r="B2037" s="1">
        <v>45609</v>
      </c>
      <c r="C2037" s="2">
        <v>0.79166666666666663</v>
      </c>
      <c r="D2037">
        <v>3</v>
      </c>
      <c r="E2037">
        <v>8.6999999999999993</v>
      </c>
      <c r="F2037">
        <v>100</v>
      </c>
    </row>
    <row r="2038" spans="1:6" x14ac:dyDescent="0.35">
      <c r="A2038">
        <v>1975</v>
      </c>
      <c r="B2038" s="1">
        <v>45609</v>
      </c>
      <c r="C2038" s="2">
        <v>0.83333333333333337</v>
      </c>
      <c r="D2038">
        <v>3</v>
      </c>
      <c r="E2038">
        <v>9</v>
      </c>
      <c r="F2038">
        <v>100</v>
      </c>
    </row>
    <row r="2039" spans="1:6" x14ac:dyDescent="0.35">
      <c r="A2039">
        <v>1975</v>
      </c>
      <c r="B2039" s="1">
        <v>45609</v>
      </c>
      <c r="C2039" s="2">
        <v>0.875</v>
      </c>
      <c r="D2039">
        <v>3</v>
      </c>
      <c r="E2039">
        <v>9.4</v>
      </c>
      <c r="F2039">
        <v>100</v>
      </c>
    </row>
    <row r="2040" spans="1:6" x14ac:dyDescent="0.35">
      <c r="A2040">
        <v>1975</v>
      </c>
      <c r="B2040" s="1">
        <v>45609</v>
      </c>
      <c r="C2040" s="2">
        <v>0.91666666666666663</v>
      </c>
      <c r="D2040">
        <v>3</v>
      </c>
      <c r="E2040">
        <v>9.6999999999999993</v>
      </c>
      <c r="F2040">
        <v>100</v>
      </c>
    </row>
    <row r="2041" spans="1:6" x14ac:dyDescent="0.35">
      <c r="A2041">
        <v>1975</v>
      </c>
      <c r="B2041" s="1">
        <v>45609</v>
      </c>
      <c r="C2041" s="2">
        <v>0.95833333333333337</v>
      </c>
      <c r="D2041">
        <v>3</v>
      </c>
      <c r="E2041">
        <v>10.1</v>
      </c>
      <c r="F2041">
        <v>100</v>
      </c>
    </row>
    <row r="2042" spans="1:6" x14ac:dyDescent="0.35">
      <c r="A2042">
        <v>1975</v>
      </c>
      <c r="B2042" s="1">
        <v>45610</v>
      </c>
      <c r="C2042" s="2">
        <v>0</v>
      </c>
      <c r="D2042">
        <v>3</v>
      </c>
      <c r="E2042">
        <v>10.5</v>
      </c>
      <c r="F2042">
        <v>98</v>
      </c>
    </row>
    <row r="2043" spans="1:6" x14ac:dyDescent="0.35">
      <c r="A2043">
        <v>1975</v>
      </c>
      <c r="B2043" s="1">
        <v>45610</v>
      </c>
      <c r="C2043" s="2">
        <v>4.1666666666666657E-2</v>
      </c>
      <c r="D2043">
        <v>3</v>
      </c>
      <c r="E2043">
        <v>9.6999999999999993</v>
      </c>
      <c r="F2043">
        <v>97</v>
      </c>
    </row>
    <row r="2044" spans="1:6" x14ac:dyDescent="0.35">
      <c r="A2044">
        <v>1975</v>
      </c>
      <c r="B2044" s="1">
        <v>45610</v>
      </c>
      <c r="C2044" s="2">
        <v>8.3333333333333329E-2</v>
      </c>
      <c r="D2044">
        <v>3</v>
      </c>
      <c r="E2044">
        <v>9.6999999999999993</v>
      </c>
      <c r="F2044">
        <v>98</v>
      </c>
    </row>
    <row r="2045" spans="1:6" x14ac:dyDescent="0.35">
      <c r="A2045">
        <v>1975</v>
      </c>
      <c r="B2045" s="1">
        <v>45610</v>
      </c>
      <c r="C2045" s="2">
        <v>0.125</v>
      </c>
      <c r="D2045">
        <v>3</v>
      </c>
      <c r="E2045">
        <v>9.5</v>
      </c>
      <c r="F2045">
        <v>94</v>
      </c>
    </row>
    <row r="2046" spans="1:6" x14ac:dyDescent="0.35">
      <c r="A2046">
        <v>1975</v>
      </c>
      <c r="B2046" s="1">
        <v>45610</v>
      </c>
      <c r="C2046" s="2">
        <v>0.16666666666666671</v>
      </c>
      <c r="D2046">
        <v>3</v>
      </c>
      <c r="E2046">
        <v>9.1</v>
      </c>
      <c r="F2046">
        <v>90</v>
      </c>
    </row>
    <row r="2047" spans="1:6" x14ac:dyDescent="0.35">
      <c r="A2047">
        <v>1975</v>
      </c>
      <c r="B2047" s="1">
        <v>45610</v>
      </c>
      <c r="C2047" s="2">
        <v>0.20833333333333329</v>
      </c>
      <c r="D2047">
        <v>3</v>
      </c>
      <c r="E2047">
        <v>8.9</v>
      </c>
      <c r="F2047">
        <v>90</v>
      </c>
    </row>
    <row r="2048" spans="1:6" x14ac:dyDescent="0.35">
      <c r="A2048">
        <v>1975</v>
      </c>
      <c r="B2048" s="1">
        <v>45610</v>
      </c>
      <c r="C2048" s="2">
        <v>0.25</v>
      </c>
      <c r="D2048">
        <v>3</v>
      </c>
      <c r="E2048">
        <v>9</v>
      </c>
      <c r="F2048">
        <v>83</v>
      </c>
    </row>
    <row r="2049" spans="1:6" x14ac:dyDescent="0.35">
      <c r="A2049">
        <v>1975</v>
      </c>
      <c r="B2049" s="1">
        <v>45610</v>
      </c>
      <c r="C2049" s="2">
        <v>0.29166666666666669</v>
      </c>
      <c r="D2049">
        <v>3</v>
      </c>
      <c r="E2049">
        <v>8.6999999999999993</v>
      </c>
      <c r="F2049">
        <v>88</v>
      </c>
    </row>
    <row r="2050" spans="1:6" x14ac:dyDescent="0.35">
      <c r="A2050">
        <v>1975</v>
      </c>
      <c r="B2050" s="1">
        <v>45610</v>
      </c>
      <c r="C2050" s="2">
        <v>0.33333333333333331</v>
      </c>
      <c r="D2050">
        <v>3</v>
      </c>
      <c r="E2050">
        <v>8.8000000000000007</v>
      </c>
      <c r="F2050">
        <v>85</v>
      </c>
    </row>
    <row r="2051" spans="1:6" x14ac:dyDescent="0.35">
      <c r="A2051">
        <v>1975</v>
      </c>
      <c r="B2051" s="1">
        <v>45610</v>
      </c>
      <c r="C2051" s="2">
        <v>0.375</v>
      </c>
      <c r="D2051">
        <v>3</v>
      </c>
      <c r="E2051">
        <v>9</v>
      </c>
      <c r="F2051">
        <v>84</v>
      </c>
    </row>
    <row r="2052" spans="1:6" x14ac:dyDescent="0.35">
      <c r="A2052">
        <v>1975</v>
      </c>
      <c r="B2052" s="1">
        <v>45610</v>
      </c>
      <c r="C2052" s="2">
        <v>0.41666666666666669</v>
      </c>
      <c r="D2052">
        <v>3</v>
      </c>
      <c r="E2052">
        <v>9.1999999999999993</v>
      </c>
      <c r="F2052">
        <v>86</v>
      </c>
    </row>
    <row r="2053" spans="1:6" x14ac:dyDescent="0.35">
      <c r="A2053">
        <v>1975</v>
      </c>
      <c r="B2053" s="1">
        <v>45610</v>
      </c>
      <c r="C2053" s="2">
        <v>0.45833333333333331</v>
      </c>
      <c r="D2053">
        <v>3</v>
      </c>
      <c r="E2053">
        <v>9.6</v>
      </c>
      <c r="F2053">
        <v>84</v>
      </c>
    </row>
    <row r="2054" spans="1:6" x14ac:dyDescent="0.35">
      <c r="A2054">
        <v>1975</v>
      </c>
      <c r="B2054" s="1">
        <v>45610</v>
      </c>
      <c r="C2054" s="2">
        <v>0.5</v>
      </c>
      <c r="D2054">
        <v>3</v>
      </c>
      <c r="E2054">
        <v>9.5</v>
      </c>
      <c r="F2054">
        <v>87</v>
      </c>
    </row>
    <row r="2055" spans="1:6" x14ac:dyDescent="0.35">
      <c r="A2055">
        <v>1975</v>
      </c>
      <c r="B2055" s="1">
        <v>45610</v>
      </c>
      <c r="C2055" s="2">
        <v>0.54166666666666663</v>
      </c>
      <c r="D2055">
        <v>3</v>
      </c>
      <c r="E2055">
        <v>10.3</v>
      </c>
      <c r="F2055">
        <v>80</v>
      </c>
    </row>
    <row r="2056" spans="1:6" x14ac:dyDescent="0.35">
      <c r="A2056">
        <v>1975</v>
      </c>
      <c r="B2056" s="1">
        <v>45610</v>
      </c>
      <c r="C2056" s="2">
        <v>0.58333333333333337</v>
      </c>
      <c r="D2056">
        <v>3</v>
      </c>
      <c r="E2056">
        <v>10.4</v>
      </c>
      <c r="F2056">
        <v>74</v>
      </c>
    </row>
    <row r="2057" spans="1:6" x14ac:dyDescent="0.35">
      <c r="A2057">
        <v>1975</v>
      </c>
      <c r="B2057" s="1">
        <v>45610</v>
      </c>
      <c r="C2057" s="2">
        <v>0.625</v>
      </c>
      <c r="D2057">
        <v>3</v>
      </c>
      <c r="E2057">
        <v>10.199999999999999</v>
      </c>
      <c r="F2057">
        <v>75</v>
      </c>
    </row>
    <row r="2058" spans="1:6" x14ac:dyDescent="0.35">
      <c r="A2058">
        <v>1975</v>
      </c>
      <c r="B2058" s="1">
        <v>45610</v>
      </c>
      <c r="C2058" s="2">
        <v>0.66666666666666663</v>
      </c>
      <c r="D2058">
        <v>3</v>
      </c>
      <c r="E2058">
        <v>9.3000000000000007</v>
      </c>
      <c r="F2058">
        <v>78</v>
      </c>
    </row>
    <row r="2059" spans="1:6" x14ac:dyDescent="0.35">
      <c r="A2059">
        <v>1975</v>
      </c>
      <c r="B2059" s="1">
        <v>45610</v>
      </c>
      <c r="C2059" s="2">
        <v>0.70833333333333337</v>
      </c>
      <c r="D2059">
        <v>3</v>
      </c>
      <c r="E2059">
        <v>8.5</v>
      </c>
      <c r="F2059">
        <v>84</v>
      </c>
    </row>
    <row r="2060" spans="1:6" x14ac:dyDescent="0.35">
      <c r="A2060">
        <v>1975</v>
      </c>
      <c r="B2060" s="1">
        <v>45610</v>
      </c>
      <c r="C2060" s="2">
        <v>0.75</v>
      </c>
      <c r="D2060">
        <v>3</v>
      </c>
      <c r="E2060">
        <v>8.1</v>
      </c>
      <c r="F2060">
        <v>84</v>
      </c>
    </row>
    <row r="2061" spans="1:6" x14ac:dyDescent="0.35">
      <c r="A2061">
        <v>1975</v>
      </c>
      <c r="B2061" s="1">
        <v>45610</v>
      </c>
      <c r="C2061" s="2">
        <v>0.79166666666666663</v>
      </c>
      <c r="D2061">
        <v>3</v>
      </c>
      <c r="E2061">
        <v>7.4</v>
      </c>
      <c r="F2061">
        <v>85</v>
      </c>
    </row>
    <row r="2062" spans="1:6" x14ac:dyDescent="0.35">
      <c r="A2062">
        <v>1975</v>
      </c>
      <c r="B2062" s="1">
        <v>45610</v>
      </c>
      <c r="C2062" s="2">
        <v>0.83333333333333337</v>
      </c>
      <c r="D2062">
        <v>3</v>
      </c>
      <c r="E2062">
        <v>5.9</v>
      </c>
      <c r="F2062">
        <v>92</v>
      </c>
    </row>
    <row r="2063" spans="1:6" x14ac:dyDescent="0.35">
      <c r="A2063">
        <v>1975</v>
      </c>
      <c r="B2063" s="1">
        <v>45610</v>
      </c>
      <c r="C2063" s="2">
        <v>0.875</v>
      </c>
      <c r="D2063">
        <v>3</v>
      </c>
      <c r="E2063">
        <v>4.8</v>
      </c>
      <c r="F2063">
        <v>97</v>
      </c>
    </row>
    <row r="2064" spans="1:6" x14ac:dyDescent="0.35">
      <c r="A2064">
        <v>1975</v>
      </c>
      <c r="B2064" s="1">
        <v>45610</v>
      </c>
      <c r="C2064" s="2">
        <v>0.91666666666666663</v>
      </c>
      <c r="D2064">
        <v>3</v>
      </c>
      <c r="E2064">
        <v>5</v>
      </c>
      <c r="F2064">
        <v>98</v>
      </c>
    </row>
    <row r="2065" spans="1:6" x14ac:dyDescent="0.35">
      <c r="A2065">
        <v>1975</v>
      </c>
      <c r="B2065" s="1">
        <v>45610</v>
      </c>
      <c r="C2065" s="2">
        <v>0.95833333333333337</v>
      </c>
      <c r="D2065">
        <v>3</v>
      </c>
      <c r="E2065">
        <v>5</v>
      </c>
      <c r="F2065">
        <v>97</v>
      </c>
    </row>
    <row r="2066" spans="1:6" x14ac:dyDescent="0.35">
      <c r="A2066">
        <v>1975</v>
      </c>
      <c r="B2066" s="1">
        <v>45611</v>
      </c>
      <c r="C2066" s="2">
        <v>0</v>
      </c>
      <c r="D2066">
        <v>3</v>
      </c>
      <c r="E2066">
        <v>7.5</v>
      </c>
      <c r="F2066">
        <v>83</v>
      </c>
    </row>
    <row r="2067" spans="1:6" x14ac:dyDescent="0.35">
      <c r="A2067">
        <v>1975</v>
      </c>
      <c r="B2067" s="1">
        <v>45611</v>
      </c>
      <c r="C2067" s="2">
        <v>4.1666666666666657E-2</v>
      </c>
      <c r="D2067">
        <v>3</v>
      </c>
      <c r="E2067">
        <v>8.1</v>
      </c>
      <c r="F2067">
        <v>81</v>
      </c>
    </row>
    <row r="2068" spans="1:6" x14ac:dyDescent="0.35">
      <c r="A2068">
        <v>1975</v>
      </c>
      <c r="B2068" s="1">
        <v>45611</v>
      </c>
      <c r="C2068" s="2">
        <v>8.3333333333333329E-2</v>
      </c>
      <c r="D2068">
        <v>3</v>
      </c>
      <c r="E2068">
        <v>8.5</v>
      </c>
      <c r="F2068">
        <v>81</v>
      </c>
    </row>
    <row r="2069" spans="1:6" x14ac:dyDescent="0.35">
      <c r="A2069">
        <v>1975</v>
      </c>
      <c r="B2069" s="1">
        <v>45611</v>
      </c>
      <c r="C2069" s="2">
        <v>0.125</v>
      </c>
      <c r="D2069">
        <v>3</v>
      </c>
      <c r="E2069">
        <v>8.8000000000000007</v>
      </c>
      <c r="F2069">
        <v>79</v>
      </c>
    </row>
    <row r="2070" spans="1:6" x14ac:dyDescent="0.35">
      <c r="A2070">
        <v>1975</v>
      </c>
      <c r="B2070" s="1">
        <v>45611</v>
      </c>
      <c r="C2070" s="2">
        <v>0.16666666666666671</v>
      </c>
      <c r="D2070">
        <v>3</v>
      </c>
      <c r="E2070">
        <v>8.8000000000000007</v>
      </c>
      <c r="F2070">
        <v>80</v>
      </c>
    </row>
    <row r="2071" spans="1:6" x14ac:dyDescent="0.35">
      <c r="A2071">
        <v>1975</v>
      </c>
      <c r="B2071" s="1">
        <v>45611</v>
      </c>
      <c r="C2071" s="2">
        <v>0.20833333333333329</v>
      </c>
      <c r="D2071">
        <v>3</v>
      </c>
      <c r="E2071">
        <v>9</v>
      </c>
      <c r="F2071">
        <v>80</v>
      </c>
    </row>
    <row r="2072" spans="1:6" x14ac:dyDescent="0.35">
      <c r="A2072">
        <v>1975</v>
      </c>
      <c r="B2072" s="1">
        <v>45611</v>
      </c>
      <c r="C2072" s="2">
        <v>0.25</v>
      </c>
      <c r="D2072">
        <v>3</v>
      </c>
      <c r="E2072">
        <v>9.1999999999999993</v>
      </c>
      <c r="F2072">
        <v>80</v>
      </c>
    </row>
    <row r="2073" spans="1:6" x14ac:dyDescent="0.35">
      <c r="A2073">
        <v>1975</v>
      </c>
      <c r="B2073" s="1">
        <v>45611</v>
      </c>
      <c r="C2073" s="2">
        <v>0.29166666666666669</v>
      </c>
      <c r="D2073">
        <v>3</v>
      </c>
      <c r="E2073">
        <v>9.1999999999999993</v>
      </c>
      <c r="F2073">
        <v>82</v>
      </c>
    </row>
    <row r="2074" spans="1:6" x14ac:dyDescent="0.35">
      <c r="A2074">
        <v>1975</v>
      </c>
      <c r="B2074" s="1">
        <v>45611</v>
      </c>
      <c r="C2074" s="2">
        <v>0.33333333333333331</v>
      </c>
      <c r="D2074">
        <v>3</v>
      </c>
      <c r="E2074">
        <v>9.6</v>
      </c>
      <c r="F2074">
        <v>82</v>
      </c>
    </row>
    <row r="2075" spans="1:6" x14ac:dyDescent="0.35">
      <c r="A2075">
        <v>1975</v>
      </c>
      <c r="B2075" s="1">
        <v>45611</v>
      </c>
      <c r="C2075" s="2">
        <v>0.375</v>
      </c>
      <c r="D2075">
        <v>3</v>
      </c>
      <c r="E2075">
        <v>9.9</v>
      </c>
      <c r="F2075">
        <v>84</v>
      </c>
    </row>
    <row r="2076" spans="1:6" x14ac:dyDescent="0.35">
      <c r="A2076">
        <v>1975</v>
      </c>
      <c r="B2076" s="1">
        <v>45611</v>
      </c>
      <c r="C2076" s="2">
        <v>0.41666666666666669</v>
      </c>
      <c r="D2076">
        <v>3</v>
      </c>
      <c r="E2076">
        <v>9.6999999999999993</v>
      </c>
      <c r="F2076">
        <v>92</v>
      </c>
    </row>
    <row r="2077" spans="1:6" x14ac:dyDescent="0.35">
      <c r="A2077">
        <v>1975</v>
      </c>
      <c r="B2077" s="1">
        <v>45611</v>
      </c>
      <c r="C2077" s="2">
        <v>0.45833333333333331</v>
      </c>
      <c r="D2077">
        <v>3</v>
      </c>
      <c r="E2077">
        <v>10.4</v>
      </c>
      <c r="F2077">
        <v>88</v>
      </c>
    </row>
    <row r="2078" spans="1:6" x14ac:dyDescent="0.35">
      <c r="A2078">
        <v>1975</v>
      </c>
      <c r="B2078" s="1">
        <v>45611</v>
      </c>
      <c r="C2078" s="2">
        <v>0.5</v>
      </c>
      <c r="D2078">
        <v>3</v>
      </c>
      <c r="E2078">
        <v>10</v>
      </c>
      <c r="F2078">
        <v>95</v>
      </c>
    </row>
    <row r="2079" spans="1:6" x14ac:dyDescent="0.35">
      <c r="A2079">
        <v>1975</v>
      </c>
      <c r="B2079" s="1">
        <v>45611</v>
      </c>
      <c r="C2079" s="2">
        <v>0.54166666666666663</v>
      </c>
      <c r="D2079">
        <v>3</v>
      </c>
      <c r="E2079">
        <v>10.4</v>
      </c>
      <c r="F2079">
        <v>92</v>
      </c>
    </row>
    <row r="2080" spans="1:6" x14ac:dyDescent="0.35">
      <c r="A2080">
        <v>1975</v>
      </c>
      <c r="B2080" s="1">
        <v>45611</v>
      </c>
      <c r="C2080" s="2">
        <v>0.58333333333333337</v>
      </c>
      <c r="D2080">
        <v>3</v>
      </c>
      <c r="E2080">
        <v>9.9</v>
      </c>
      <c r="F2080">
        <v>96</v>
      </c>
    </row>
    <row r="2081" spans="1:6" x14ac:dyDescent="0.35">
      <c r="A2081">
        <v>1975</v>
      </c>
      <c r="B2081" s="1">
        <v>45611</v>
      </c>
      <c r="C2081" s="2">
        <v>0.625</v>
      </c>
      <c r="D2081">
        <v>3</v>
      </c>
      <c r="E2081">
        <v>9.5</v>
      </c>
      <c r="F2081">
        <v>99</v>
      </c>
    </row>
    <row r="2082" spans="1:6" x14ac:dyDescent="0.35">
      <c r="A2082">
        <v>1975</v>
      </c>
      <c r="B2082" s="1">
        <v>45611</v>
      </c>
      <c r="C2082" s="2">
        <v>0.66666666666666663</v>
      </c>
      <c r="D2082">
        <v>3</v>
      </c>
      <c r="E2082">
        <v>9.1999999999999993</v>
      </c>
      <c r="F2082">
        <v>98</v>
      </c>
    </row>
    <row r="2083" spans="1:6" x14ac:dyDescent="0.35">
      <c r="A2083">
        <v>1975</v>
      </c>
      <c r="B2083" s="1">
        <v>45611</v>
      </c>
      <c r="C2083" s="2">
        <v>0.70833333333333337</v>
      </c>
      <c r="D2083">
        <v>3</v>
      </c>
      <c r="E2083">
        <v>9.1</v>
      </c>
      <c r="F2083">
        <v>96</v>
      </c>
    </row>
    <row r="2084" spans="1:6" x14ac:dyDescent="0.35">
      <c r="A2084">
        <v>1975</v>
      </c>
      <c r="B2084" s="1">
        <v>45611</v>
      </c>
      <c r="C2084" s="2">
        <v>0.75</v>
      </c>
      <c r="D2084">
        <v>3</v>
      </c>
      <c r="E2084">
        <v>9</v>
      </c>
      <c r="F2084">
        <v>96</v>
      </c>
    </row>
    <row r="2085" spans="1:6" x14ac:dyDescent="0.35">
      <c r="A2085">
        <v>1975</v>
      </c>
      <c r="B2085" s="1">
        <v>45611</v>
      </c>
      <c r="C2085" s="2">
        <v>0.79166666666666663</v>
      </c>
      <c r="D2085">
        <v>3</v>
      </c>
      <c r="E2085">
        <v>8.9</v>
      </c>
      <c r="F2085">
        <v>94</v>
      </c>
    </row>
    <row r="2086" spans="1:6" x14ac:dyDescent="0.35">
      <c r="A2086">
        <v>1975</v>
      </c>
      <c r="B2086" s="1">
        <v>45611</v>
      </c>
      <c r="C2086" s="2">
        <v>0.83333333333333337</v>
      </c>
      <c r="D2086">
        <v>3</v>
      </c>
      <c r="E2086">
        <v>8.8000000000000007</v>
      </c>
      <c r="F2086">
        <v>90</v>
      </c>
    </row>
    <row r="2087" spans="1:6" x14ac:dyDescent="0.35">
      <c r="A2087">
        <v>1975</v>
      </c>
      <c r="B2087" s="1">
        <v>45611</v>
      </c>
      <c r="C2087" s="2">
        <v>0.875</v>
      </c>
      <c r="D2087">
        <v>3</v>
      </c>
      <c r="E2087">
        <v>8.8000000000000007</v>
      </c>
      <c r="F2087">
        <v>84</v>
      </c>
    </row>
    <row r="2088" spans="1:6" x14ac:dyDescent="0.35">
      <c r="A2088">
        <v>1975</v>
      </c>
      <c r="B2088" s="1">
        <v>45611</v>
      </c>
      <c r="C2088" s="2">
        <v>0.91666666666666663</v>
      </c>
      <c r="D2088">
        <v>3</v>
      </c>
      <c r="E2088">
        <v>8.6999999999999993</v>
      </c>
      <c r="F2088">
        <v>81</v>
      </c>
    </row>
    <row r="2089" spans="1:6" x14ac:dyDescent="0.35">
      <c r="A2089">
        <v>1975</v>
      </c>
      <c r="B2089" s="1">
        <v>45611</v>
      </c>
      <c r="C2089" s="2">
        <v>0.95833333333333337</v>
      </c>
      <c r="D2089">
        <v>3</v>
      </c>
      <c r="E2089">
        <v>8.6</v>
      </c>
      <c r="F2089">
        <v>80</v>
      </c>
    </row>
    <row r="2090" spans="1:6" x14ac:dyDescent="0.35">
      <c r="A2090">
        <v>1975</v>
      </c>
      <c r="B2090" s="1">
        <v>45612</v>
      </c>
      <c r="C2090" s="2">
        <v>0</v>
      </c>
      <c r="D2090">
        <v>3</v>
      </c>
      <c r="E2090">
        <v>8.6</v>
      </c>
      <c r="F2090">
        <v>80</v>
      </c>
    </row>
    <row r="2091" spans="1:6" x14ac:dyDescent="0.35">
      <c r="A2091">
        <v>1975</v>
      </c>
      <c r="B2091" s="1">
        <v>45612</v>
      </c>
      <c r="C2091" s="2">
        <v>4.1666666666666657E-2</v>
      </c>
      <c r="D2091">
        <v>3</v>
      </c>
      <c r="E2091">
        <v>8.8000000000000007</v>
      </c>
      <c r="F2091">
        <v>79</v>
      </c>
    </row>
    <row r="2092" spans="1:6" x14ac:dyDescent="0.35">
      <c r="A2092">
        <v>1975</v>
      </c>
      <c r="B2092" s="1">
        <v>45612</v>
      </c>
      <c r="C2092" s="2">
        <v>8.3333333333333329E-2</v>
      </c>
      <c r="D2092">
        <v>3</v>
      </c>
      <c r="E2092">
        <v>8.6</v>
      </c>
      <c r="F2092">
        <v>80</v>
      </c>
    </row>
    <row r="2093" spans="1:6" x14ac:dyDescent="0.35">
      <c r="A2093">
        <v>1975</v>
      </c>
      <c r="B2093" s="1">
        <v>45612</v>
      </c>
      <c r="C2093" s="2">
        <v>0.125</v>
      </c>
      <c r="D2093">
        <v>3</v>
      </c>
      <c r="E2093">
        <v>8.4</v>
      </c>
      <c r="F2093">
        <v>82</v>
      </c>
    </row>
    <row r="2094" spans="1:6" x14ac:dyDescent="0.35">
      <c r="A2094">
        <v>1975</v>
      </c>
      <c r="B2094" s="1">
        <v>45612</v>
      </c>
      <c r="C2094" s="2">
        <v>0.16666666666666671</v>
      </c>
      <c r="D2094">
        <v>3</v>
      </c>
      <c r="E2094">
        <v>8.1</v>
      </c>
      <c r="F2094">
        <v>83</v>
      </c>
    </row>
    <row r="2095" spans="1:6" x14ac:dyDescent="0.35">
      <c r="A2095">
        <v>1975</v>
      </c>
      <c r="B2095" s="1">
        <v>45612</v>
      </c>
      <c r="C2095" s="2">
        <v>0.20833333333333329</v>
      </c>
      <c r="D2095">
        <v>3</v>
      </c>
      <c r="E2095">
        <v>8.1</v>
      </c>
      <c r="F2095">
        <v>82</v>
      </c>
    </row>
    <row r="2096" spans="1:6" x14ac:dyDescent="0.35">
      <c r="A2096">
        <v>1975</v>
      </c>
      <c r="B2096" s="1">
        <v>45612</v>
      </c>
      <c r="C2096" s="2">
        <v>0.25</v>
      </c>
      <c r="D2096">
        <v>3</v>
      </c>
      <c r="E2096">
        <v>8</v>
      </c>
      <c r="F2096">
        <v>81</v>
      </c>
    </row>
    <row r="2097" spans="1:6" x14ac:dyDescent="0.35">
      <c r="A2097">
        <v>1975</v>
      </c>
      <c r="B2097" s="1">
        <v>45612</v>
      </c>
      <c r="C2097" s="2">
        <v>0.29166666666666669</v>
      </c>
      <c r="D2097">
        <v>3</v>
      </c>
      <c r="E2097">
        <v>7.8</v>
      </c>
      <c r="F2097">
        <v>81</v>
      </c>
    </row>
    <row r="2098" spans="1:6" x14ac:dyDescent="0.35">
      <c r="A2098">
        <v>1975</v>
      </c>
      <c r="B2098" s="1">
        <v>45612</v>
      </c>
      <c r="C2098" s="2">
        <v>0.33333333333333331</v>
      </c>
      <c r="D2098">
        <v>3</v>
      </c>
      <c r="E2098">
        <v>7.9</v>
      </c>
      <c r="F2098">
        <v>80</v>
      </c>
    </row>
    <row r="2099" spans="1:6" x14ac:dyDescent="0.35">
      <c r="A2099">
        <v>1975</v>
      </c>
      <c r="B2099" s="1">
        <v>45612</v>
      </c>
      <c r="C2099" s="2">
        <v>0.375</v>
      </c>
      <c r="D2099">
        <v>3</v>
      </c>
      <c r="E2099">
        <v>8</v>
      </c>
      <c r="F2099">
        <v>80</v>
      </c>
    </row>
    <row r="2100" spans="1:6" x14ac:dyDescent="0.35">
      <c r="A2100">
        <v>1975</v>
      </c>
      <c r="B2100" s="1">
        <v>45612</v>
      </c>
      <c r="C2100" s="2">
        <v>0.41666666666666669</v>
      </c>
      <c r="D2100">
        <v>3</v>
      </c>
      <c r="E2100">
        <v>8.1</v>
      </c>
      <c r="F2100">
        <v>81</v>
      </c>
    </row>
    <row r="2101" spans="1:6" x14ac:dyDescent="0.35">
      <c r="A2101">
        <v>1975</v>
      </c>
      <c r="B2101" s="1">
        <v>45612</v>
      </c>
      <c r="C2101" s="2">
        <v>0.45833333333333331</v>
      </c>
      <c r="D2101">
        <v>3</v>
      </c>
      <c r="E2101">
        <v>8.4</v>
      </c>
      <c r="F2101">
        <v>81</v>
      </c>
    </row>
    <row r="2102" spans="1:6" x14ac:dyDescent="0.35">
      <c r="A2102">
        <v>1975</v>
      </c>
      <c r="B2102" s="1">
        <v>45612</v>
      </c>
      <c r="C2102" s="2">
        <v>0.5</v>
      </c>
      <c r="D2102">
        <v>3</v>
      </c>
      <c r="E2102">
        <v>8.4</v>
      </c>
      <c r="F2102">
        <v>80</v>
      </c>
    </row>
    <row r="2103" spans="1:6" x14ac:dyDescent="0.35">
      <c r="A2103">
        <v>1975</v>
      </c>
      <c r="B2103" s="1">
        <v>45612</v>
      </c>
      <c r="C2103" s="2">
        <v>0.54166666666666663</v>
      </c>
      <c r="D2103">
        <v>3</v>
      </c>
      <c r="E2103">
        <v>8</v>
      </c>
      <c r="F2103">
        <v>86</v>
      </c>
    </row>
    <row r="2104" spans="1:6" x14ac:dyDescent="0.35">
      <c r="A2104">
        <v>1975</v>
      </c>
      <c r="B2104" s="1">
        <v>45612</v>
      </c>
      <c r="C2104" s="2">
        <v>0.58333333333333337</v>
      </c>
      <c r="D2104">
        <v>3</v>
      </c>
      <c r="E2104">
        <v>7.6</v>
      </c>
      <c r="F2104">
        <v>92</v>
      </c>
    </row>
    <row r="2105" spans="1:6" x14ac:dyDescent="0.35">
      <c r="A2105">
        <v>1975</v>
      </c>
      <c r="B2105" s="1">
        <v>45612</v>
      </c>
      <c r="C2105" s="2">
        <v>0.625</v>
      </c>
      <c r="D2105">
        <v>3</v>
      </c>
      <c r="E2105">
        <v>7.4</v>
      </c>
      <c r="F2105">
        <v>93</v>
      </c>
    </row>
    <row r="2106" spans="1:6" x14ac:dyDescent="0.35">
      <c r="A2106">
        <v>1975</v>
      </c>
      <c r="B2106" s="1">
        <v>45612</v>
      </c>
      <c r="C2106" s="2">
        <v>0.66666666666666663</v>
      </c>
      <c r="D2106">
        <v>3</v>
      </c>
      <c r="E2106">
        <v>7.5</v>
      </c>
      <c r="F2106">
        <v>92</v>
      </c>
    </row>
    <row r="2107" spans="1:6" x14ac:dyDescent="0.35">
      <c r="A2107">
        <v>1975</v>
      </c>
      <c r="B2107" s="1">
        <v>45612</v>
      </c>
      <c r="C2107" s="2">
        <v>0.70833333333333337</v>
      </c>
      <c r="D2107">
        <v>3</v>
      </c>
      <c r="E2107">
        <v>7.4</v>
      </c>
      <c r="F2107">
        <v>94</v>
      </c>
    </row>
    <row r="2108" spans="1:6" x14ac:dyDescent="0.35">
      <c r="A2108">
        <v>1975</v>
      </c>
      <c r="B2108" s="1">
        <v>45612</v>
      </c>
      <c r="C2108" s="2">
        <v>0.75</v>
      </c>
      <c r="D2108">
        <v>3</v>
      </c>
      <c r="E2108">
        <v>7.4</v>
      </c>
      <c r="F2108">
        <v>95</v>
      </c>
    </row>
    <row r="2109" spans="1:6" x14ac:dyDescent="0.35">
      <c r="A2109">
        <v>1975</v>
      </c>
      <c r="B2109" s="1">
        <v>45612</v>
      </c>
      <c r="C2109" s="2">
        <v>0.79166666666666663</v>
      </c>
      <c r="D2109">
        <v>3</v>
      </c>
      <c r="E2109">
        <v>7.3</v>
      </c>
      <c r="F2109">
        <v>96</v>
      </c>
    </row>
    <row r="2110" spans="1:6" x14ac:dyDescent="0.35">
      <c r="A2110">
        <v>1975</v>
      </c>
      <c r="B2110" s="1">
        <v>45612</v>
      </c>
      <c r="C2110" s="2">
        <v>0.83333333333333337</v>
      </c>
      <c r="D2110">
        <v>3</v>
      </c>
      <c r="E2110">
        <v>7.2</v>
      </c>
      <c r="F2110">
        <v>97</v>
      </c>
    </row>
    <row r="2111" spans="1:6" x14ac:dyDescent="0.35">
      <c r="A2111">
        <v>1975</v>
      </c>
      <c r="B2111" s="1">
        <v>45612</v>
      </c>
      <c r="C2111" s="2">
        <v>0.875</v>
      </c>
      <c r="D2111">
        <v>3</v>
      </c>
      <c r="E2111">
        <v>7.2</v>
      </c>
      <c r="F2111">
        <v>98</v>
      </c>
    </row>
    <row r="2112" spans="1:6" x14ac:dyDescent="0.35">
      <c r="A2112">
        <v>1975</v>
      </c>
      <c r="B2112" s="1">
        <v>45612</v>
      </c>
      <c r="C2112" s="2">
        <v>0.91666666666666663</v>
      </c>
      <c r="D2112">
        <v>3</v>
      </c>
      <c r="E2112">
        <v>7.4</v>
      </c>
      <c r="F2112">
        <v>97</v>
      </c>
    </row>
    <row r="2113" spans="1:6" x14ac:dyDescent="0.35">
      <c r="A2113">
        <v>1975</v>
      </c>
      <c r="B2113" s="1">
        <v>45612</v>
      </c>
      <c r="C2113" s="2">
        <v>0.95833333333333337</v>
      </c>
      <c r="D2113">
        <v>3</v>
      </c>
      <c r="E2113">
        <v>7.4</v>
      </c>
      <c r="F2113">
        <v>97</v>
      </c>
    </row>
    <row r="2114" spans="1:6" x14ac:dyDescent="0.35">
      <c r="A2114">
        <v>1975</v>
      </c>
      <c r="B2114" s="1">
        <v>45613</v>
      </c>
      <c r="C2114" s="2">
        <v>0</v>
      </c>
      <c r="D2114">
        <v>3</v>
      </c>
      <c r="E2114">
        <v>7.6</v>
      </c>
      <c r="F2114">
        <v>96</v>
      </c>
    </row>
    <row r="2115" spans="1:6" x14ac:dyDescent="0.35">
      <c r="A2115">
        <v>1975</v>
      </c>
      <c r="B2115" s="1">
        <v>45613</v>
      </c>
      <c r="C2115" s="2">
        <v>4.1666666666666657E-2</v>
      </c>
      <c r="D2115">
        <v>3</v>
      </c>
      <c r="E2115">
        <v>7.7</v>
      </c>
      <c r="F2115">
        <v>96</v>
      </c>
    </row>
    <row r="2116" spans="1:6" x14ac:dyDescent="0.35">
      <c r="A2116">
        <v>1975</v>
      </c>
      <c r="B2116" s="1">
        <v>45613</v>
      </c>
      <c r="C2116" s="2">
        <v>8.3333333333333329E-2</v>
      </c>
      <c r="D2116">
        <v>3</v>
      </c>
      <c r="E2116">
        <v>7.8</v>
      </c>
      <c r="F2116">
        <v>92</v>
      </c>
    </row>
    <row r="2117" spans="1:6" x14ac:dyDescent="0.35">
      <c r="A2117">
        <v>1975</v>
      </c>
      <c r="B2117" s="1">
        <v>45613</v>
      </c>
      <c r="C2117" s="2">
        <v>0.125</v>
      </c>
      <c r="D2117">
        <v>3</v>
      </c>
      <c r="E2117">
        <v>7.7</v>
      </c>
      <c r="F2117">
        <v>94</v>
      </c>
    </row>
    <row r="2118" spans="1:6" x14ac:dyDescent="0.35">
      <c r="A2118">
        <v>1975</v>
      </c>
      <c r="B2118" s="1">
        <v>45613</v>
      </c>
      <c r="C2118" s="2">
        <v>0.16666666666666671</v>
      </c>
      <c r="D2118">
        <v>3</v>
      </c>
      <c r="E2118">
        <v>7.9</v>
      </c>
      <c r="F2118">
        <v>92</v>
      </c>
    </row>
    <row r="2119" spans="1:6" x14ac:dyDescent="0.35">
      <c r="A2119">
        <v>1975</v>
      </c>
      <c r="B2119" s="1">
        <v>45613</v>
      </c>
      <c r="C2119" s="2">
        <v>0.20833333333333329</v>
      </c>
      <c r="D2119">
        <v>3</v>
      </c>
      <c r="E2119">
        <v>7.4</v>
      </c>
      <c r="F2119">
        <v>91</v>
      </c>
    </row>
    <row r="2120" spans="1:6" x14ac:dyDescent="0.35">
      <c r="A2120">
        <v>1975</v>
      </c>
      <c r="B2120" s="1">
        <v>45613</v>
      </c>
      <c r="C2120" s="2">
        <v>0.25</v>
      </c>
      <c r="D2120">
        <v>3</v>
      </c>
      <c r="E2120">
        <v>7.2</v>
      </c>
      <c r="F2120">
        <v>87</v>
      </c>
    </row>
    <row r="2121" spans="1:6" x14ac:dyDescent="0.35">
      <c r="A2121">
        <v>1975</v>
      </c>
      <c r="B2121" s="1">
        <v>45613</v>
      </c>
      <c r="C2121" s="2">
        <v>0.29166666666666669</v>
      </c>
      <c r="D2121">
        <v>3</v>
      </c>
      <c r="E2121">
        <v>6.4</v>
      </c>
      <c r="F2121">
        <v>93</v>
      </c>
    </row>
    <row r="2122" spans="1:6" x14ac:dyDescent="0.35">
      <c r="A2122">
        <v>1975</v>
      </c>
      <c r="B2122" s="1">
        <v>45613</v>
      </c>
      <c r="C2122" s="2">
        <v>0.33333333333333331</v>
      </c>
      <c r="D2122">
        <v>3</v>
      </c>
      <c r="E2122">
        <v>6.1</v>
      </c>
      <c r="F2122">
        <v>89</v>
      </c>
    </row>
    <row r="2123" spans="1:6" x14ac:dyDescent="0.35">
      <c r="A2123">
        <v>1975</v>
      </c>
      <c r="B2123" s="1">
        <v>45613</v>
      </c>
      <c r="C2123" s="2">
        <v>0.375</v>
      </c>
      <c r="D2123">
        <v>3</v>
      </c>
      <c r="E2123">
        <v>6.5</v>
      </c>
      <c r="F2123">
        <v>85</v>
      </c>
    </row>
    <row r="2124" spans="1:6" x14ac:dyDescent="0.35">
      <c r="A2124">
        <v>1975</v>
      </c>
      <c r="B2124" s="1">
        <v>45613</v>
      </c>
      <c r="C2124" s="2">
        <v>0.41666666666666669</v>
      </c>
      <c r="D2124">
        <v>3</v>
      </c>
      <c r="E2124">
        <v>7</v>
      </c>
      <c r="F2124">
        <v>78</v>
      </c>
    </row>
    <row r="2125" spans="1:6" x14ac:dyDescent="0.35">
      <c r="A2125">
        <v>1975</v>
      </c>
      <c r="B2125" s="1">
        <v>45613</v>
      </c>
      <c r="C2125" s="2">
        <v>0.45833333333333331</v>
      </c>
      <c r="D2125">
        <v>3</v>
      </c>
      <c r="E2125">
        <v>6.4</v>
      </c>
      <c r="F2125">
        <v>81</v>
      </c>
    </row>
    <row r="2126" spans="1:6" x14ac:dyDescent="0.35">
      <c r="A2126">
        <v>1975</v>
      </c>
      <c r="B2126" s="1">
        <v>45613</v>
      </c>
      <c r="C2126" s="2">
        <v>0.5</v>
      </c>
      <c r="D2126">
        <v>3</v>
      </c>
      <c r="E2126">
        <v>6.8</v>
      </c>
      <c r="F2126">
        <v>83</v>
      </c>
    </row>
    <row r="2127" spans="1:6" x14ac:dyDescent="0.35">
      <c r="A2127">
        <v>1975</v>
      </c>
      <c r="B2127" s="1">
        <v>45613</v>
      </c>
      <c r="C2127" s="2">
        <v>0.54166666666666663</v>
      </c>
      <c r="D2127">
        <v>3</v>
      </c>
      <c r="E2127">
        <v>6.5</v>
      </c>
      <c r="F2127">
        <v>88</v>
      </c>
    </row>
    <row r="2128" spans="1:6" x14ac:dyDescent="0.35">
      <c r="A2128">
        <v>1975</v>
      </c>
      <c r="B2128" s="1">
        <v>45613</v>
      </c>
      <c r="C2128" s="2">
        <v>0.58333333333333337</v>
      </c>
      <c r="D2128">
        <v>3</v>
      </c>
      <c r="E2128">
        <v>5.4</v>
      </c>
      <c r="F2128">
        <v>94</v>
      </c>
    </row>
    <row r="2129" spans="1:6" x14ac:dyDescent="0.35">
      <c r="A2129">
        <v>1975</v>
      </c>
      <c r="B2129" s="1">
        <v>45613</v>
      </c>
      <c r="C2129" s="2">
        <v>0.625</v>
      </c>
      <c r="D2129">
        <v>3</v>
      </c>
      <c r="E2129">
        <v>5</v>
      </c>
      <c r="F2129">
        <v>91</v>
      </c>
    </row>
    <row r="2130" spans="1:6" x14ac:dyDescent="0.35">
      <c r="A2130">
        <v>1975</v>
      </c>
      <c r="B2130" s="1">
        <v>45613</v>
      </c>
      <c r="C2130" s="2">
        <v>0.66666666666666663</v>
      </c>
      <c r="D2130">
        <v>3</v>
      </c>
      <c r="E2130">
        <v>4.8</v>
      </c>
      <c r="F2130">
        <v>92</v>
      </c>
    </row>
    <row r="2131" spans="1:6" x14ac:dyDescent="0.35">
      <c r="A2131">
        <v>1975</v>
      </c>
      <c r="B2131" s="1">
        <v>45613</v>
      </c>
      <c r="C2131" s="2">
        <v>0.70833333333333337</v>
      </c>
      <c r="D2131">
        <v>3</v>
      </c>
      <c r="E2131">
        <v>4.5</v>
      </c>
      <c r="F2131">
        <v>94</v>
      </c>
    </row>
    <row r="2132" spans="1:6" x14ac:dyDescent="0.35">
      <c r="A2132">
        <v>1975</v>
      </c>
      <c r="B2132" s="1">
        <v>45613</v>
      </c>
      <c r="C2132" s="2">
        <v>0.75</v>
      </c>
      <c r="D2132">
        <v>3</v>
      </c>
      <c r="E2132">
        <v>4.4000000000000004</v>
      </c>
      <c r="F2132">
        <v>93</v>
      </c>
    </row>
    <row r="2133" spans="1:6" x14ac:dyDescent="0.35">
      <c r="A2133">
        <v>1975</v>
      </c>
      <c r="B2133" s="1">
        <v>45613</v>
      </c>
      <c r="C2133" s="2">
        <v>0.79166666666666663</v>
      </c>
      <c r="D2133">
        <v>3</v>
      </c>
      <c r="E2133">
        <v>4.2</v>
      </c>
      <c r="F2133">
        <v>91</v>
      </c>
    </row>
    <row r="2134" spans="1:6" x14ac:dyDescent="0.35">
      <c r="A2134">
        <v>1975</v>
      </c>
      <c r="B2134" s="1">
        <v>45613</v>
      </c>
      <c r="C2134" s="2">
        <v>0.83333333333333337</v>
      </c>
      <c r="D2134">
        <v>3</v>
      </c>
      <c r="E2134">
        <v>3.6</v>
      </c>
      <c r="F2134">
        <v>94</v>
      </c>
    </row>
    <row r="2135" spans="1:6" x14ac:dyDescent="0.35">
      <c r="A2135">
        <v>1975</v>
      </c>
      <c r="B2135" s="1">
        <v>45613</v>
      </c>
      <c r="C2135" s="2">
        <v>0.875</v>
      </c>
      <c r="D2135">
        <v>3</v>
      </c>
      <c r="E2135">
        <v>3.6</v>
      </c>
      <c r="F2135">
        <v>95</v>
      </c>
    </row>
    <row r="2136" spans="1:6" x14ac:dyDescent="0.35">
      <c r="A2136">
        <v>1975</v>
      </c>
      <c r="B2136" s="1">
        <v>45613</v>
      </c>
      <c r="C2136" s="2">
        <v>0.91666666666666663</v>
      </c>
      <c r="D2136">
        <v>3</v>
      </c>
      <c r="E2136">
        <v>3.5</v>
      </c>
      <c r="F2136">
        <v>96</v>
      </c>
    </row>
    <row r="2137" spans="1:6" x14ac:dyDescent="0.35">
      <c r="A2137">
        <v>1975</v>
      </c>
      <c r="B2137" s="1">
        <v>45613</v>
      </c>
      <c r="C2137" s="2">
        <v>0.95833333333333337</v>
      </c>
      <c r="D2137">
        <v>3</v>
      </c>
      <c r="E2137">
        <v>3.7</v>
      </c>
      <c r="F2137">
        <v>92</v>
      </c>
    </row>
    <row r="2138" spans="1:6" x14ac:dyDescent="0.35">
      <c r="A2138">
        <v>1975</v>
      </c>
      <c r="B2138" s="1">
        <v>45614</v>
      </c>
      <c r="C2138" s="2">
        <v>0</v>
      </c>
      <c r="D2138">
        <v>3</v>
      </c>
      <c r="E2138">
        <v>3.1</v>
      </c>
      <c r="F2138">
        <v>93</v>
      </c>
    </row>
    <row r="2139" spans="1:6" x14ac:dyDescent="0.35">
      <c r="A2139">
        <v>1975</v>
      </c>
      <c r="B2139" s="1">
        <v>45614</v>
      </c>
      <c r="C2139" s="2">
        <v>4.1666666666666657E-2</v>
      </c>
      <c r="D2139">
        <v>3</v>
      </c>
      <c r="E2139">
        <v>3.1</v>
      </c>
      <c r="F2139">
        <v>92</v>
      </c>
    </row>
    <row r="2140" spans="1:6" x14ac:dyDescent="0.35">
      <c r="A2140">
        <v>1975</v>
      </c>
      <c r="B2140" s="1">
        <v>45614</v>
      </c>
      <c r="C2140" s="2">
        <v>8.3333333333333329E-2</v>
      </c>
      <c r="D2140">
        <v>3</v>
      </c>
      <c r="E2140">
        <v>3</v>
      </c>
      <c r="F2140">
        <v>95</v>
      </c>
    </row>
    <row r="2141" spans="1:6" x14ac:dyDescent="0.35">
      <c r="A2141">
        <v>1975</v>
      </c>
      <c r="B2141" s="1">
        <v>45614</v>
      </c>
      <c r="C2141" s="2">
        <v>0.125</v>
      </c>
      <c r="D2141">
        <v>3</v>
      </c>
      <c r="E2141">
        <v>3.2</v>
      </c>
      <c r="F2141">
        <v>92</v>
      </c>
    </row>
    <row r="2142" spans="1:6" x14ac:dyDescent="0.35">
      <c r="A2142">
        <v>1975</v>
      </c>
      <c r="B2142" s="1">
        <v>45614</v>
      </c>
      <c r="C2142" s="2">
        <v>0.16666666666666671</v>
      </c>
      <c r="D2142">
        <v>3</v>
      </c>
      <c r="E2142">
        <v>2.7</v>
      </c>
      <c r="F2142">
        <v>92</v>
      </c>
    </row>
    <row r="2143" spans="1:6" x14ac:dyDescent="0.35">
      <c r="A2143">
        <v>1975</v>
      </c>
      <c r="B2143" s="1">
        <v>45614</v>
      </c>
      <c r="C2143" s="2">
        <v>0.20833333333333329</v>
      </c>
      <c r="D2143">
        <v>3</v>
      </c>
      <c r="E2143">
        <v>2.6</v>
      </c>
      <c r="F2143">
        <v>94</v>
      </c>
    </row>
    <row r="2144" spans="1:6" x14ac:dyDescent="0.35">
      <c r="A2144">
        <v>1975</v>
      </c>
      <c r="B2144" s="1">
        <v>45614</v>
      </c>
      <c r="C2144" s="2">
        <v>0.25</v>
      </c>
      <c r="D2144">
        <v>3</v>
      </c>
      <c r="E2144">
        <v>3</v>
      </c>
      <c r="F2144">
        <v>93</v>
      </c>
    </row>
    <row r="2145" spans="1:6" x14ac:dyDescent="0.35">
      <c r="A2145">
        <v>1975</v>
      </c>
      <c r="B2145" s="1">
        <v>45614</v>
      </c>
      <c r="C2145" s="2">
        <v>0.29166666666666669</v>
      </c>
      <c r="D2145">
        <v>3</v>
      </c>
      <c r="E2145">
        <v>2.7</v>
      </c>
      <c r="F2145">
        <v>95</v>
      </c>
    </row>
    <row r="2146" spans="1:6" x14ac:dyDescent="0.35">
      <c r="A2146">
        <v>1975</v>
      </c>
      <c r="B2146" s="1">
        <v>45614</v>
      </c>
      <c r="C2146" s="2">
        <v>0.33333333333333331</v>
      </c>
      <c r="D2146">
        <v>3</v>
      </c>
      <c r="E2146">
        <v>3.1</v>
      </c>
      <c r="F2146">
        <v>93</v>
      </c>
    </row>
    <row r="2147" spans="1:6" x14ac:dyDescent="0.35">
      <c r="A2147">
        <v>1975</v>
      </c>
      <c r="B2147" s="1">
        <v>45614</v>
      </c>
      <c r="C2147" s="2">
        <v>0.375</v>
      </c>
      <c r="D2147">
        <v>3</v>
      </c>
      <c r="E2147">
        <v>3.3</v>
      </c>
      <c r="F2147">
        <v>92</v>
      </c>
    </row>
    <row r="2148" spans="1:6" x14ac:dyDescent="0.35">
      <c r="A2148">
        <v>1975</v>
      </c>
      <c r="B2148" s="1">
        <v>45614</v>
      </c>
      <c r="C2148" s="2">
        <v>0.41666666666666669</v>
      </c>
      <c r="D2148">
        <v>3</v>
      </c>
      <c r="E2148">
        <v>3.9</v>
      </c>
      <c r="F2148">
        <v>92</v>
      </c>
    </row>
    <row r="2149" spans="1:6" x14ac:dyDescent="0.35">
      <c r="A2149">
        <v>1975</v>
      </c>
      <c r="B2149" s="1">
        <v>45614</v>
      </c>
      <c r="C2149" s="2">
        <v>0.45833333333333331</v>
      </c>
      <c r="D2149">
        <v>3</v>
      </c>
      <c r="E2149">
        <v>3.9</v>
      </c>
      <c r="F2149">
        <v>93</v>
      </c>
    </row>
    <row r="2150" spans="1:6" x14ac:dyDescent="0.35">
      <c r="A2150">
        <v>1975</v>
      </c>
      <c r="B2150" s="1">
        <v>45614</v>
      </c>
      <c r="C2150" s="2">
        <v>0.5</v>
      </c>
      <c r="D2150">
        <v>3</v>
      </c>
      <c r="E2150">
        <v>3.9</v>
      </c>
      <c r="F2150">
        <v>92</v>
      </c>
    </row>
    <row r="2151" spans="1:6" x14ac:dyDescent="0.35">
      <c r="A2151">
        <v>1975</v>
      </c>
      <c r="B2151" s="1">
        <v>45614</v>
      </c>
      <c r="C2151" s="2">
        <v>0.54166666666666663</v>
      </c>
      <c r="D2151">
        <v>3</v>
      </c>
      <c r="E2151">
        <v>4.3</v>
      </c>
      <c r="F2151">
        <v>89</v>
      </c>
    </row>
    <row r="2152" spans="1:6" x14ac:dyDescent="0.35">
      <c r="A2152">
        <v>1975</v>
      </c>
      <c r="B2152" s="1">
        <v>45614</v>
      </c>
      <c r="C2152" s="2">
        <v>0.58333333333333337</v>
      </c>
      <c r="D2152">
        <v>3</v>
      </c>
      <c r="E2152">
        <v>3.7</v>
      </c>
      <c r="F2152">
        <v>90</v>
      </c>
    </row>
    <row r="2153" spans="1:6" x14ac:dyDescent="0.35">
      <c r="A2153">
        <v>1975</v>
      </c>
      <c r="B2153" s="1">
        <v>45614</v>
      </c>
      <c r="C2153" s="2">
        <v>0.625</v>
      </c>
      <c r="D2153">
        <v>3</v>
      </c>
      <c r="E2153">
        <v>4.7</v>
      </c>
      <c r="F2153">
        <v>86</v>
      </c>
    </row>
    <row r="2154" spans="1:6" x14ac:dyDescent="0.35">
      <c r="A2154">
        <v>1975</v>
      </c>
      <c r="B2154" s="1">
        <v>45614</v>
      </c>
      <c r="C2154" s="2">
        <v>0.66666666666666663</v>
      </c>
      <c r="D2154">
        <v>3</v>
      </c>
      <c r="E2154">
        <v>4.2</v>
      </c>
      <c r="F2154">
        <v>91</v>
      </c>
    </row>
    <row r="2155" spans="1:6" x14ac:dyDescent="0.35">
      <c r="A2155">
        <v>1975</v>
      </c>
      <c r="B2155" s="1">
        <v>45614</v>
      </c>
      <c r="C2155" s="2">
        <v>0.70833333333333337</v>
      </c>
      <c r="D2155">
        <v>3</v>
      </c>
      <c r="E2155">
        <v>3.2</v>
      </c>
      <c r="F2155">
        <v>93</v>
      </c>
    </row>
    <row r="2156" spans="1:6" x14ac:dyDescent="0.35">
      <c r="A2156">
        <v>1975</v>
      </c>
      <c r="B2156" s="1">
        <v>45614</v>
      </c>
      <c r="C2156" s="2">
        <v>0.75</v>
      </c>
      <c r="D2156">
        <v>3</v>
      </c>
      <c r="E2156">
        <v>2.6</v>
      </c>
      <c r="F2156">
        <v>93</v>
      </c>
    </row>
    <row r="2157" spans="1:6" x14ac:dyDescent="0.35">
      <c r="A2157">
        <v>1975</v>
      </c>
      <c r="B2157" s="1">
        <v>45614</v>
      </c>
      <c r="C2157" s="2">
        <v>0.79166666666666663</v>
      </c>
      <c r="D2157">
        <v>3</v>
      </c>
      <c r="E2157">
        <v>3.3</v>
      </c>
      <c r="F2157">
        <v>92</v>
      </c>
    </row>
    <row r="2158" spans="1:6" x14ac:dyDescent="0.35">
      <c r="A2158">
        <v>1975</v>
      </c>
      <c r="B2158" s="1">
        <v>45614</v>
      </c>
      <c r="C2158" s="2">
        <v>0.83333333333333337</v>
      </c>
      <c r="D2158">
        <v>3</v>
      </c>
      <c r="E2158">
        <v>2.4</v>
      </c>
      <c r="F2158">
        <v>99</v>
      </c>
    </row>
    <row r="2159" spans="1:6" x14ac:dyDescent="0.35">
      <c r="A2159">
        <v>1975</v>
      </c>
      <c r="B2159" s="1">
        <v>45614</v>
      </c>
      <c r="C2159" s="2">
        <v>0.875</v>
      </c>
      <c r="D2159">
        <v>3</v>
      </c>
      <c r="E2159">
        <v>1.9</v>
      </c>
      <c r="F2159">
        <v>94</v>
      </c>
    </row>
    <row r="2160" spans="1:6" x14ac:dyDescent="0.35">
      <c r="A2160">
        <v>1975</v>
      </c>
      <c r="B2160" s="1">
        <v>45614</v>
      </c>
      <c r="C2160" s="2">
        <v>0.91666666666666663</v>
      </c>
      <c r="D2160">
        <v>3</v>
      </c>
      <c r="E2160">
        <v>1.7</v>
      </c>
      <c r="F2160">
        <v>99</v>
      </c>
    </row>
    <row r="2161" spans="1:6" x14ac:dyDescent="0.35">
      <c r="A2161">
        <v>1975</v>
      </c>
      <c r="B2161" s="1">
        <v>45614</v>
      </c>
      <c r="C2161" s="2">
        <v>0.95833333333333337</v>
      </c>
      <c r="D2161">
        <v>3</v>
      </c>
      <c r="E2161">
        <v>0.8</v>
      </c>
      <c r="F2161">
        <v>98</v>
      </c>
    </row>
    <row r="2162" spans="1:6" x14ac:dyDescent="0.35">
      <c r="A2162">
        <v>1975</v>
      </c>
      <c r="B2162" s="1">
        <v>45615</v>
      </c>
      <c r="C2162" s="2">
        <v>0</v>
      </c>
      <c r="D2162">
        <v>3</v>
      </c>
      <c r="E2162">
        <v>1.4</v>
      </c>
      <c r="F2162">
        <v>96</v>
      </c>
    </row>
    <row r="2163" spans="1:6" x14ac:dyDescent="0.35">
      <c r="A2163">
        <v>1975</v>
      </c>
      <c r="B2163" s="1">
        <v>45615</v>
      </c>
      <c r="C2163" s="2">
        <v>4.1666666666666657E-2</v>
      </c>
      <c r="D2163">
        <v>3</v>
      </c>
      <c r="E2163">
        <v>1.6</v>
      </c>
      <c r="F2163">
        <v>95</v>
      </c>
    </row>
    <row r="2164" spans="1:6" x14ac:dyDescent="0.35">
      <c r="A2164">
        <v>1975</v>
      </c>
      <c r="B2164" s="1">
        <v>45615</v>
      </c>
      <c r="C2164" s="2">
        <v>8.3333333333333329E-2</v>
      </c>
      <c r="D2164">
        <v>3</v>
      </c>
      <c r="E2164">
        <v>1.7</v>
      </c>
      <c r="F2164">
        <v>95</v>
      </c>
    </row>
    <row r="2165" spans="1:6" x14ac:dyDescent="0.35">
      <c r="A2165">
        <v>1975</v>
      </c>
      <c r="B2165" s="1">
        <v>45615</v>
      </c>
      <c r="C2165" s="2">
        <v>0.125</v>
      </c>
      <c r="D2165">
        <v>3</v>
      </c>
      <c r="E2165">
        <v>2.1</v>
      </c>
      <c r="F2165">
        <v>95</v>
      </c>
    </row>
    <row r="2166" spans="1:6" x14ac:dyDescent="0.35">
      <c r="A2166">
        <v>1975</v>
      </c>
      <c r="B2166" s="1">
        <v>45615</v>
      </c>
      <c r="C2166" s="2">
        <v>0.16666666666666671</v>
      </c>
      <c r="D2166">
        <v>3</v>
      </c>
      <c r="E2166">
        <v>2.2999999999999998</v>
      </c>
      <c r="F2166">
        <v>95</v>
      </c>
    </row>
    <row r="2167" spans="1:6" x14ac:dyDescent="0.35">
      <c r="A2167">
        <v>1975</v>
      </c>
      <c r="B2167" s="1">
        <v>45615</v>
      </c>
      <c r="C2167" s="2">
        <v>0.20833333333333329</v>
      </c>
      <c r="D2167">
        <v>3</v>
      </c>
      <c r="E2167">
        <v>2.2999999999999998</v>
      </c>
      <c r="F2167">
        <v>95</v>
      </c>
    </row>
    <row r="2168" spans="1:6" x14ac:dyDescent="0.35">
      <c r="A2168">
        <v>1975</v>
      </c>
      <c r="B2168" s="1">
        <v>45615</v>
      </c>
      <c r="C2168" s="2">
        <v>0.25</v>
      </c>
      <c r="D2168">
        <v>3</v>
      </c>
      <c r="E2168">
        <v>2.2000000000000002</v>
      </c>
      <c r="F2168">
        <v>94</v>
      </c>
    </row>
    <row r="2169" spans="1:6" x14ac:dyDescent="0.35">
      <c r="A2169">
        <v>1975</v>
      </c>
      <c r="B2169" s="1">
        <v>45615</v>
      </c>
      <c r="C2169" s="2">
        <v>0.29166666666666669</v>
      </c>
      <c r="D2169">
        <v>3</v>
      </c>
      <c r="E2169">
        <v>2.2999999999999998</v>
      </c>
      <c r="F2169">
        <v>95</v>
      </c>
    </row>
    <row r="2170" spans="1:6" x14ac:dyDescent="0.35">
      <c r="A2170">
        <v>1975</v>
      </c>
      <c r="B2170" s="1">
        <v>45615</v>
      </c>
      <c r="C2170" s="2">
        <v>0.33333333333333331</v>
      </c>
      <c r="D2170">
        <v>3</v>
      </c>
      <c r="E2170">
        <v>2.2000000000000002</v>
      </c>
      <c r="F2170">
        <v>96</v>
      </c>
    </row>
    <row r="2171" spans="1:6" x14ac:dyDescent="0.35">
      <c r="A2171">
        <v>1975</v>
      </c>
      <c r="B2171" s="1">
        <v>45615</v>
      </c>
      <c r="C2171" s="2">
        <v>0.375</v>
      </c>
      <c r="D2171">
        <v>3</v>
      </c>
      <c r="E2171">
        <v>1.9</v>
      </c>
      <c r="F2171">
        <v>97</v>
      </c>
    </row>
    <row r="2172" spans="1:6" x14ac:dyDescent="0.35">
      <c r="A2172">
        <v>1975</v>
      </c>
      <c r="B2172" s="1">
        <v>45615</v>
      </c>
      <c r="C2172" s="2">
        <v>0.41666666666666669</v>
      </c>
      <c r="D2172">
        <v>3</v>
      </c>
      <c r="E2172">
        <v>1.7</v>
      </c>
      <c r="F2172">
        <v>96</v>
      </c>
    </row>
    <row r="2173" spans="1:6" x14ac:dyDescent="0.35">
      <c r="A2173">
        <v>1975</v>
      </c>
      <c r="B2173" s="1">
        <v>45615</v>
      </c>
      <c r="C2173" s="2">
        <v>0.45833333333333331</v>
      </c>
      <c r="D2173">
        <v>3</v>
      </c>
      <c r="E2173">
        <v>1.5</v>
      </c>
      <c r="F2173">
        <v>96</v>
      </c>
    </row>
    <row r="2174" spans="1:6" x14ac:dyDescent="0.35">
      <c r="A2174">
        <v>1975</v>
      </c>
      <c r="B2174" s="1">
        <v>45615</v>
      </c>
      <c r="C2174" s="2">
        <v>0.5</v>
      </c>
      <c r="D2174">
        <v>3</v>
      </c>
      <c r="E2174">
        <v>2.7</v>
      </c>
      <c r="F2174">
        <v>95</v>
      </c>
    </row>
    <row r="2175" spans="1:6" x14ac:dyDescent="0.35">
      <c r="A2175">
        <v>1975</v>
      </c>
      <c r="B2175" s="1">
        <v>45615</v>
      </c>
      <c r="C2175" s="2">
        <v>0.54166666666666663</v>
      </c>
      <c r="D2175">
        <v>3</v>
      </c>
      <c r="E2175">
        <v>2.5</v>
      </c>
      <c r="F2175">
        <v>92</v>
      </c>
    </row>
    <row r="2176" spans="1:6" x14ac:dyDescent="0.35">
      <c r="A2176">
        <v>1975</v>
      </c>
      <c r="B2176" s="1">
        <v>45615</v>
      </c>
      <c r="C2176" s="2">
        <v>0.58333333333333337</v>
      </c>
      <c r="D2176">
        <v>3</v>
      </c>
      <c r="E2176">
        <v>2.2999999999999998</v>
      </c>
      <c r="F2176">
        <v>93</v>
      </c>
    </row>
    <row r="2177" spans="1:6" x14ac:dyDescent="0.35">
      <c r="A2177">
        <v>1975</v>
      </c>
      <c r="B2177" s="1">
        <v>45615</v>
      </c>
      <c r="C2177" s="2">
        <v>0.625</v>
      </c>
      <c r="D2177">
        <v>3</v>
      </c>
      <c r="E2177">
        <v>2.4</v>
      </c>
      <c r="F2177">
        <v>93</v>
      </c>
    </row>
    <row r="2178" spans="1:6" x14ac:dyDescent="0.35">
      <c r="A2178">
        <v>1975</v>
      </c>
      <c r="B2178" s="1">
        <v>45615</v>
      </c>
      <c r="C2178" s="2">
        <v>0.66666666666666663</v>
      </c>
      <c r="D2178">
        <v>3</v>
      </c>
      <c r="E2178">
        <v>2.2999999999999998</v>
      </c>
      <c r="F2178">
        <v>95</v>
      </c>
    </row>
    <row r="2179" spans="1:6" x14ac:dyDescent="0.35">
      <c r="A2179">
        <v>1975</v>
      </c>
      <c r="B2179" s="1">
        <v>45615</v>
      </c>
      <c r="C2179" s="2">
        <v>0.70833333333333337</v>
      </c>
      <c r="D2179">
        <v>3</v>
      </c>
      <c r="E2179">
        <v>1.9</v>
      </c>
      <c r="F2179">
        <v>97</v>
      </c>
    </row>
    <row r="2180" spans="1:6" x14ac:dyDescent="0.35">
      <c r="A2180">
        <v>1975</v>
      </c>
      <c r="B2180" s="1">
        <v>45615</v>
      </c>
      <c r="C2180" s="2">
        <v>0.75</v>
      </c>
      <c r="D2180">
        <v>3</v>
      </c>
      <c r="E2180">
        <v>2.2999999999999998</v>
      </c>
      <c r="F2180">
        <v>97</v>
      </c>
    </row>
    <row r="2181" spans="1:6" x14ac:dyDescent="0.35">
      <c r="A2181">
        <v>1975</v>
      </c>
      <c r="B2181" s="1">
        <v>45615</v>
      </c>
      <c r="C2181" s="2">
        <v>0.79166666666666663</v>
      </c>
      <c r="D2181">
        <v>3</v>
      </c>
      <c r="E2181">
        <v>2.2000000000000002</v>
      </c>
      <c r="F2181">
        <v>96</v>
      </c>
    </row>
    <row r="2182" spans="1:6" x14ac:dyDescent="0.35">
      <c r="A2182">
        <v>1975</v>
      </c>
      <c r="B2182" s="1">
        <v>45615</v>
      </c>
      <c r="C2182" s="2">
        <v>0.83333333333333337</v>
      </c>
      <c r="D2182">
        <v>3</v>
      </c>
      <c r="E2182">
        <v>2</v>
      </c>
      <c r="F2182">
        <v>97</v>
      </c>
    </row>
    <row r="2183" spans="1:6" x14ac:dyDescent="0.35">
      <c r="A2183">
        <v>1975</v>
      </c>
      <c r="B2183" s="1">
        <v>45615</v>
      </c>
      <c r="C2183" s="2">
        <v>0.875</v>
      </c>
      <c r="D2183">
        <v>3</v>
      </c>
      <c r="E2183">
        <v>1.8</v>
      </c>
      <c r="F2183">
        <v>96</v>
      </c>
    </row>
    <row r="2184" spans="1:6" x14ac:dyDescent="0.35">
      <c r="A2184">
        <v>1975</v>
      </c>
      <c r="B2184" s="1">
        <v>45615</v>
      </c>
      <c r="C2184" s="2">
        <v>0.91666666666666663</v>
      </c>
      <c r="D2184">
        <v>3</v>
      </c>
      <c r="E2184">
        <v>1.9</v>
      </c>
      <c r="F2184">
        <v>94</v>
      </c>
    </row>
    <row r="2185" spans="1:6" x14ac:dyDescent="0.35">
      <c r="A2185">
        <v>1975</v>
      </c>
      <c r="B2185" s="1">
        <v>45615</v>
      </c>
      <c r="C2185" s="2">
        <v>0.95833333333333337</v>
      </c>
      <c r="D2185">
        <v>3</v>
      </c>
      <c r="E2185">
        <v>2</v>
      </c>
      <c r="F2185">
        <v>94</v>
      </c>
    </row>
    <row r="2186" spans="1:6" x14ac:dyDescent="0.35">
      <c r="A2186">
        <v>1975</v>
      </c>
      <c r="B2186" s="1">
        <v>45616</v>
      </c>
      <c r="C2186" s="2">
        <v>0</v>
      </c>
      <c r="D2186">
        <v>3</v>
      </c>
      <c r="E2186">
        <v>1.9</v>
      </c>
      <c r="F2186">
        <v>95</v>
      </c>
    </row>
    <row r="2187" spans="1:6" x14ac:dyDescent="0.35">
      <c r="A2187">
        <v>1975</v>
      </c>
      <c r="B2187" s="1">
        <v>45616</v>
      </c>
      <c r="C2187" s="2">
        <v>4.1666666666666657E-2</v>
      </c>
      <c r="D2187">
        <v>3</v>
      </c>
      <c r="E2187">
        <v>1.1000000000000001</v>
      </c>
      <c r="F2187">
        <v>96</v>
      </c>
    </row>
    <row r="2188" spans="1:6" x14ac:dyDescent="0.35">
      <c r="A2188">
        <v>1975</v>
      </c>
      <c r="B2188" s="1">
        <v>45616</v>
      </c>
      <c r="C2188" s="2">
        <v>8.3333333333333329E-2</v>
      </c>
      <c r="D2188">
        <v>3</v>
      </c>
      <c r="E2188">
        <v>0.9</v>
      </c>
      <c r="F2188">
        <v>100</v>
      </c>
    </row>
    <row r="2189" spans="1:6" x14ac:dyDescent="0.35">
      <c r="A2189">
        <v>1975</v>
      </c>
      <c r="B2189" s="1">
        <v>45616</v>
      </c>
      <c r="C2189" s="2">
        <v>0.125</v>
      </c>
      <c r="D2189">
        <v>3</v>
      </c>
      <c r="E2189">
        <v>0.9</v>
      </c>
      <c r="F2189">
        <v>100</v>
      </c>
    </row>
    <row r="2190" spans="1:6" x14ac:dyDescent="0.35">
      <c r="A2190">
        <v>1975</v>
      </c>
      <c r="B2190" s="1">
        <v>45616</v>
      </c>
      <c r="C2190" s="2">
        <v>0.16666666666666671</v>
      </c>
      <c r="D2190">
        <v>3</v>
      </c>
      <c r="E2190">
        <v>1.2</v>
      </c>
      <c r="F2190">
        <v>98</v>
      </c>
    </row>
    <row r="2191" spans="1:6" x14ac:dyDescent="0.35">
      <c r="A2191">
        <v>1975</v>
      </c>
      <c r="B2191" s="1">
        <v>45616</v>
      </c>
      <c r="C2191" s="2">
        <v>0.20833333333333329</v>
      </c>
      <c r="D2191">
        <v>3</v>
      </c>
      <c r="E2191">
        <v>1.3</v>
      </c>
      <c r="F2191">
        <v>96</v>
      </c>
    </row>
    <row r="2192" spans="1:6" x14ac:dyDescent="0.35">
      <c r="A2192">
        <v>1975</v>
      </c>
      <c r="B2192" s="1">
        <v>45616</v>
      </c>
      <c r="C2192" s="2">
        <v>0.25</v>
      </c>
      <c r="D2192">
        <v>3</v>
      </c>
      <c r="E2192">
        <v>1.3</v>
      </c>
      <c r="F2192">
        <v>95</v>
      </c>
    </row>
    <row r="2193" spans="1:6" x14ac:dyDescent="0.35">
      <c r="A2193">
        <v>1975</v>
      </c>
      <c r="B2193" s="1">
        <v>45616</v>
      </c>
      <c r="C2193" s="2">
        <v>0.29166666666666669</v>
      </c>
      <c r="D2193">
        <v>3</v>
      </c>
      <c r="E2193">
        <v>1.3</v>
      </c>
      <c r="F2193">
        <v>95</v>
      </c>
    </row>
    <row r="2194" spans="1:6" x14ac:dyDescent="0.35">
      <c r="A2194">
        <v>1975</v>
      </c>
      <c r="B2194" s="1">
        <v>45616</v>
      </c>
      <c r="C2194" s="2">
        <v>0.33333333333333331</v>
      </c>
      <c r="D2194">
        <v>3</v>
      </c>
      <c r="E2194">
        <v>1.9</v>
      </c>
      <c r="F2194">
        <v>95</v>
      </c>
    </row>
    <row r="2195" spans="1:6" x14ac:dyDescent="0.35">
      <c r="A2195">
        <v>1975</v>
      </c>
      <c r="B2195" s="1">
        <v>45616</v>
      </c>
      <c r="C2195" s="2">
        <v>0.375</v>
      </c>
      <c r="D2195">
        <v>3</v>
      </c>
      <c r="E2195">
        <v>2.2000000000000002</v>
      </c>
      <c r="F2195">
        <v>92</v>
      </c>
    </row>
    <row r="2196" spans="1:6" x14ac:dyDescent="0.35">
      <c r="A2196">
        <v>1975</v>
      </c>
      <c r="B2196" s="1">
        <v>45616</v>
      </c>
      <c r="C2196" s="2">
        <v>0.41666666666666669</v>
      </c>
      <c r="D2196">
        <v>3</v>
      </c>
      <c r="E2196">
        <v>2.5</v>
      </c>
      <c r="F2196">
        <v>90</v>
      </c>
    </row>
    <row r="2197" spans="1:6" x14ac:dyDescent="0.35">
      <c r="A2197">
        <v>1975</v>
      </c>
      <c r="B2197" s="1">
        <v>45616</v>
      </c>
      <c r="C2197" s="2">
        <v>0.45833333333333331</v>
      </c>
      <c r="D2197">
        <v>3</v>
      </c>
      <c r="E2197">
        <v>2.2999999999999998</v>
      </c>
      <c r="F2197">
        <v>89</v>
      </c>
    </row>
    <row r="2198" spans="1:6" x14ac:dyDescent="0.35">
      <c r="A2198">
        <v>1975</v>
      </c>
      <c r="B2198" s="1">
        <v>45616</v>
      </c>
      <c r="C2198" s="2">
        <v>0.5</v>
      </c>
      <c r="D2198">
        <v>3</v>
      </c>
      <c r="E2198">
        <v>2.2000000000000002</v>
      </c>
      <c r="F2198">
        <v>90</v>
      </c>
    </row>
    <row r="2199" spans="1:6" x14ac:dyDescent="0.35">
      <c r="A2199">
        <v>1975</v>
      </c>
      <c r="B2199" s="1">
        <v>45616</v>
      </c>
      <c r="C2199" s="2">
        <v>0.54166666666666663</v>
      </c>
      <c r="D2199">
        <v>3</v>
      </c>
      <c r="E2199">
        <v>2.4</v>
      </c>
      <c r="F2199">
        <v>88</v>
      </c>
    </row>
    <row r="2200" spans="1:6" x14ac:dyDescent="0.35">
      <c r="A2200">
        <v>1975</v>
      </c>
      <c r="B2200" s="1">
        <v>45616</v>
      </c>
      <c r="C2200" s="2">
        <v>0.58333333333333337</v>
      </c>
      <c r="D2200">
        <v>3</v>
      </c>
      <c r="E2200">
        <v>2.8</v>
      </c>
      <c r="F2200">
        <v>88</v>
      </c>
    </row>
    <row r="2201" spans="1:6" x14ac:dyDescent="0.35">
      <c r="A2201">
        <v>1975</v>
      </c>
      <c r="B2201" s="1">
        <v>45616</v>
      </c>
      <c r="C2201" s="2">
        <v>0.625</v>
      </c>
      <c r="D2201">
        <v>3</v>
      </c>
      <c r="E2201">
        <v>2.6</v>
      </c>
      <c r="F2201">
        <v>93</v>
      </c>
    </row>
    <row r="2202" spans="1:6" x14ac:dyDescent="0.35">
      <c r="A2202">
        <v>1975</v>
      </c>
      <c r="B2202" s="1">
        <v>45616</v>
      </c>
      <c r="C2202" s="2">
        <v>0.66666666666666663</v>
      </c>
      <c r="D2202">
        <v>3</v>
      </c>
      <c r="E2202">
        <v>0.7</v>
      </c>
      <c r="F2202">
        <v>98</v>
      </c>
    </row>
    <row r="2203" spans="1:6" x14ac:dyDescent="0.35">
      <c r="A2203">
        <v>1975</v>
      </c>
      <c r="B2203" s="1">
        <v>45616</v>
      </c>
      <c r="C2203" s="2">
        <v>0.70833333333333337</v>
      </c>
      <c r="D2203">
        <v>3</v>
      </c>
      <c r="E2203">
        <v>1.1000000000000001</v>
      </c>
      <c r="F2203">
        <v>97</v>
      </c>
    </row>
    <row r="2204" spans="1:6" x14ac:dyDescent="0.35">
      <c r="A2204">
        <v>1975</v>
      </c>
      <c r="B2204" s="1">
        <v>45616</v>
      </c>
      <c r="C2204" s="2">
        <v>0.75</v>
      </c>
      <c r="D2204">
        <v>3</v>
      </c>
      <c r="E2204">
        <v>1.2</v>
      </c>
      <c r="F2204">
        <v>97</v>
      </c>
    </row>
    <row r="2205" spans="1:6" x14ac:dyDescent="0.35">
      <c r="A2205">
        <v>1975</v>
      </c>
      <c r="B2205" s="1">
        <v>45616</v>
      </c>
      <c r="C2205" s="2">
        <v>0.79166666666666663</v>
      </c>
      <c r="D2205">
        <v>3</v>
      </c>
      <c r="E2205">
        <v>1.2</v>
      </c>
      <c r="F2205">
        <v>97</v>
      </c>
    </row>
    <row r="2206" spans="1:6" x14ac:dyDescent="0.35">
      <c r="A2206">
        <v>1975</v>
      </c>
      <c r="B2206" s="1">
        <v>45616</v>
      </c>
      <c r="C2206" s="2">
        <v>0.83333333333333337</v>
      </c>
      <c r="D2206">
        <v>3</v>
      </c>
      <c r="E2206">
        <v>0.8</v>
      </c>
      <c r="F2206">
        <v>97</v>
      </c>
    </row>
    <row r="2207" spans="1:6" x14ac:dyDescent="0.35">
      <c r="A2207">
        <v>1975</v>
      </c>
      <c r="B2207" s="1">
        <v>45616</v>
      </c>
      <c r="C2207" s="2">
        <v>0.875</v>
      </c>
      <c r="D2207">
        <v>3</v>
      </c>
      <c r="E2207">
        <v>0.7</v>
      </c>
      <c r="F2207">
        <v>97</v>
      </c>
    </row>
    <row r="2208" spans="1:6" x14ac:dyDescent="0.35">
      <c r="A2208">
        <v>1975</v>
      </c>
      <c r="B2208" s="1">
        <v>45616</v>
      </c>
      <c r="C2208" s="2">
        <v>0.91666666666666663</v>
      </c>
      <c r="D2208">
        <v>3</v>
      </c>
      <c r="E2208">
        <v>-0.1</v>
      </c>
      <c r="F2208">
        <v>96</v>
      </c>
    </row>
    <row r="2209" spans="1:6" x14ac:dyDescent="0.35">
      <c r="A2209">
        <v>1975</v>
      </c>
      <c r="B2209" s="1">
        <v>45616</v>
      </c>
      <c r="C2209" s="2">
        <v>0.95833333333333337</v>
      </c>
      <c r="D2209">
        <v>3</v>
      </c>
      <c r="E2209">
        <v>0.1</v>
      </c>
      <c r="F2209">
        <v>95</v>
      </c>
    </row>
    <row r="2210" spans="1:6" x14ac:dyDescent="0.35">
      <c r="A2210">
        <v>1975</v>
      </c>
      <c r="B2210" s="1">
        <v>45617</v>
      </c>
      <c r="C2210" s="2">
        <v>0</v>
      </c>
      <c r="D2210">
        <v>3</v>
      </c>
      <c r="E2210">
        <v>-0.5</v>
      </c>
      <c r="F2210">
        <v>99</v>
      </c>
    </row>
    <row r="2211" spans="1:6" x14ac:dyDescent="0.35">
      <c r="A2211">
        <v>1975</v>
      </c>
      <c r="B2211" s="1">
        <v>45617</v>
      </c>
      <c r="C2211" s="2">
        <v>4.1666666666666657E-2</v>
      </c>
      <c r="D2211">
        <v>3</v>
      </c>
      <c r="E2211">
        <v>-0.8</v>
      </c>
      <c r="F2211">
        <v>98</v>
      </c>
    </row>
    <row r="2212" spans="1:6" x14ac:dyDescent="0.35">
      <c r="A2212">
        <v>1975</v>
      </c>
      <c r="B2212" s="1">
        <v>45617</v>
      </c>
      <c r="C2212" s="2">
        <v>8.3333333333333329E-2</v>
      </c>
      <c r="D2212">
        <v>3</v>
      </c>
      <c r="E2212">
        <v>-1.7</v>
      </c>
      <c r="F2212">
        <v>99</v>
      </c>
    </row>
    <row r="2213" spans="1:6" x14ac:dyDescent="0.35">
      <c r="A2213">
        <v>1975</v>
      </c>
      <c r="B2213" s="1">
        <v>45617</v>
      </c>
      <c r="C2213" s="2">
        <v>0.125</v>
      </c>
      <c r="D2213">
        <v>3</v>
      </c>
      <c r="E2213">
        <v>-0.4</v>
      </c>
      <c r="F2213">
        <v>99</v>
      </c>
    </row>
    <row r="2214" spans="1:6" x14ac:dyDescent="0.35">
      <c r="A2214">
        <v>1975</v>
      </c>
      <c r="B2214" s="1">
        <v>45617</v>
      </c>
      <c r="C2214" s="2">
        <v>0.16666666666666671</v>
      </c>
      <c r="D2214">
        <v>3</v>
      </c>
      <c r="E2214">
        <v>0.2</v>
      </c>
      <c r="F2214">
        <v>98</v>
      </c>
    </row>
    <row r="2215" spans="1:6" x14ac:dyDescent="0.35">
      <c r="A2215">
        <v>1975</v>
      </c>
      <c r="B2215" s="1">
        <v>45617</v>
      </c>
      <c r="C2215" s="2">
        <v>0.20833333333333329</v>
      </c>
      <c r="D2215">
        <v>3</v>
      </c>
      <c r="E2215">
        <v>0.6</v>
      </c>
      <c r="F2215">
        <v>97</v>
      </c>
    </row>
    <row r="2216" spans="1:6" x14ac:dyDescent="0.35">
      <c r="A2216">
        <v>1975</v>
      </c>
      <c r="B2216" s="1">
        <v>45617</v>
      </c>
      <c r="C2216" s="2">
        <v>0.25</v>
      </c>
      <c r="D2216">
        <v>3</v>
      </c>
      <c r="E2216">
        <v>1.2</v>
      </c>
      <c r="F2216">
        <v>94</v>
      </c>
    </row>
    <row r="2217" spans="1:6" x14ac:dyDescent="0.35">
      <c r="A2217">
        <v>1975</v>
      </c>
      <c r="B2217" s="1">
        <v>45617</v>
      </c>
      <c r="C2217" s="2">
        <v>0.29166666666666669</v>
      </c>
      <c r="D2217">
        <v>3</v>
      </c>
      <c r="E2217">
        <v>1.6</v>
      </c>
      <c r="F2217">
        <v>94</v>
      </c>
    </row>
    <row r="2218" spans="1:6" x14ac:dyDescent="0.35">
      <c r="A2218">
        <v>1975</v>
      </c>
      <c r="B2218" s="1">
        <v>45617</v>
      </c>
      <c r="C2218" s="2">
        <v>0.33333333333333331</v>
      </c>
      <c r="D2218">
        <v>3</v>
      </c>
      <c r="E2218">
        <v>1.8</v>
      </c>
      <c r="F2218">
        <v>93</v>
      </c>
    </row>
    <row r="2219" spans="1:6" x14ac:dyDescent="0.35">
      <c r="A2219">
        <v>1975</v>
      </c>
      <c r="B2219" s="1">
        <v>45617</v>
      </c>
      <c r="C2219" s="2">
        <v>0.375</v>
      </c>
      <c r="D2219">
        <v>3</v>
      </c>
      <c r="E2219">
        <v>2.1</v>
      </c>
      <c r="F2219">
        <v>90</v>
      </c>
    </row>
    <row r="2220" spans="1:6" x14ac:dyDescent="0.35">
      <c r="A2220">
        <v>1975</v>
      </c>
      <c r="B2220" s="1">
        <v>45617</v>
      </c>
      <c r="C2220" s="2">
        <v>0.41666666666666669</v>
      </c>
      <c r="D2220">
        <v>3</v>
      </c>
      <c r="E2220">
        <v>2.4</v>
      </c>
      <c r="F2220">
        <v>85</v>
      </c>
    </row>
    <row r="2221" spans="1:6" x14ac:dyDescent="0.35">
      <c r="A2221">
        <v>1975</v>
      </c>
      <c r="B2221" s="1">
        <v>45617</v>
      </c>
      <c r="C2221" s="2">
        <v>0.45833333333333331</v>
      </c>
      <c r="D2221">
        <v>3</v>
      </c>
      <c r="E2221">
        <v>2.2999999999999998</v>
      </c>
      <c r="F2221">
        <v>83</v>
      </c>
    </row>
    <row r="2222" spans="1:6" x14ac:dyDescent="0.35">
      <c r="A2222">
        <v>1975</v>
      </c>
      <c r="B2222" s="1">
        <v>45617</v>
      </c>
      <c r="C2222" s="2">
        <v>0.5</v>
      </c>
      <c r="D2222">
        <v>3</v>
      </c>
      <c r="E2222">
        <v>2.2999999999999998</v>
      </c>
      <c r="F2222">
        <v>87</v>
      </c>
    </row>
    <row r="2223" spans="1:6" x14ac:dyDescent="0.35">
      <c r="A2223">
        <v>1975</v>
      </c>
      <c r="B2223" s="1">
        <v>45617</v>
      </c>
      <c r="C2223" s="2">
        <v>0.54166666666666663</v>
      </c>
      <c r="D2223">
        <v>3</v>
      </c>
      <c r="E2223">
        <v>1.9</v>
      </c>
      <c r="F2223">
        <v>90</v>
      </c>
    </row>
    <row r="2224" spans="1:6" x14ac:dyDescent="0.35">
      <c r="A2224">
        <v>1975</v>
      </c>
      <c r="B2224" s="1">
        <v>45617</v>
      </c>
      <c r="C2224" s="2">
        <v>0.58333333333333337</v>
      </c>
      <c r="D2224">
        <v>3</v>
      </c>
      <c r="E2224">
        <v>1.3</v>
      </c>
      <c r="F2224">
        <v>95</v>
      </c>
    </row>
    <row r="2225" spans="1:6" x14ac:dyDescent="0.35">
      <c r="A2225">
        <v>1975</v>
      </c>
      <c r="B2225" s="1">
        <v>45617</v>
      </c>
      <c r="C2225" s="2">
        <v>0.625</v>
      </c>
      <c r="D2225">
        <v>3</v>
      </c>
      <c r="E2225">
        <v>0.6</v>
      </c>
      <c r="F2225">
        <v>97</v>
      </c>
    </row>
    <row r="2226" spans="1:6" x14ac:dyDescent="0.35">
      <c r="A2226">
        <v>1975</v>
      </c>
      <c r="B2226" s="1">
        <v>45617</v>
      </c>
      <c r="C2226" s="2">
        <v>0.66666666666666663</v>
      </c>
      <c r="D2226">
        <v>3</v>
      </c>
      <c r="E2226">
        <v>1.2</v>
      </c>
      <c r="F2226">
        <v>97</v>
      </c>
    </row>
    <row r="2227" spans="1:6" x14ac:dyDescent="0.35">
      <c r="A2227">
        <v>1975</v>
      </c>
      <c r="B2227" s="1">
        <v>45617</v>
      </c>
      <c r="C2227" s="2">
        <v>0.70833333333333337</v>
      </c>
      <c r="D2227">
        <v>3</v>
      </c>
      <c r="E2227">
        <v>1.2</v>
      </c>
      <c r="F2227">
        <v>97</v>
      </c>
    </row>
    <row r="2228" spans="1:6" x14ac:dyDescent="0.35">
      <c r="A2228">
        <v>1975</v>
      </c>
      <c r="B2228" s="1">
        <v>45617</v>
      </c>
      <c r="C2228" s="2">
        <v>0.75</v>
      </c>
      <c r="D2228">
        <v>3</v>
      </c>
      <c r="E2228">
        <v>1.5</v>
      </c>
      <c r="F2228">
        <v>97</v>
      </c>
    </row>
    <row r="2229" spans="1:6" x14ac:dyDescent="0.35">
      <c r="A2229">
        <v>1975</v>
      </c>
      <c r="B2229" s="1">
        <v>45617</v>
      </c>
      <c r="C2229" s="2">
        <v>0.79166666666666663</v>
      </c>
      <c r="D2229">
        <v>3</v>
      </c>
      <c r="E2229">
        <v>1.5</v>
      </c>
      <c r="F2229">
        <v>97</v>
      </c>
    </row>
    <row r="2230" spans="1:6" x14ac:dyDescent="0.35">
      <c r="A2230">
        <v>1975</v>
      </c>
      <c r="B2230" s="1">
        <v>45617</v>
      </c>
      <c r="C2230" s="2">
        <v>0.83333333333333337</v>
      </c>
      <c r="D2230">
        <v>3</v>
      </c>
      <c r="E2230">
        <v>1.6</v>
      </c>
      <c r="F2230">
        <v>97</v>
      </c>
    </row>
    <row r="2231" spans="1:6" x14ac:dyDescent="0.35">
      <c r="A2231">
        <v>1975</v>
      </c>
      <c r="B2231" s="1">
        <v>45617</v>
      </c>
      <c r="C2231" s="2">
        <v>0.875</v>
      </c>
      <c r="D2231">
        <v>3</v>
      </c>
      <c r="E2231">
        <v>1.6</v>
      </c>
      <c r="F2231">
        <v>98</v>
      </c>
    </row>
    <row r="2232" spans="1:6" x14ac:dyDescent="0.35">
      <c r="A2232">
        <v>1975</v>
      </c>
      <c r="B2232" s="1">
        <v>45617</v>
      </c>
      <c r="C2232" s="2">
        <v>0.91666666666666663</v>
      </c>
      <c r="D2232">
        <v>3</v>
      </c>
      <c r="E2232">
        <v>1.1000000000000001</v>
      </c>
      <c r="F2232">
        <v>98</v>
      </c>
    </row>
    <row r="2233" spans="1:6" x14ac:dyDescent="0.35">
      <c r="A2233">
        <v>1975</v>
      </c>
      <c r="B2233" s="1">
        <v>45617</v>
      </c>
      <c r="C2233" s="2">
        <v>0.95833333333333337</v>
      </c>
      <c r="D2233">
        <v>3</v>
      </c>
      <c r="E2233">
        <v>1</v>
      </c>
      <c r="F2233">
        <v>97</v>
      </c>
    </row>
    <row r="2234" spans="1:6" x14ac:dyDescent="0.35">
      <c r="A2234">
        <v>1975</v>
      </c>
      <c r="B2234" s="1">
        <v>45618</v>
      </c>
      <c r="C2234" s="2">
        <v>0</v>
      </c>
      <c r="D2234">
        <v>3</v>
      </c>
      <c r="E2234">
        <v>1</v>
      </c>
      <c r="F2234">
        <v>97</v>
      </c>
    </row>
    <row r="2235" spans="1:6" x14ac:dyDescent="0.35">
      <c r="A2235">
        <v>1975</v>
      </c>
      <c r="B2235" s="1">
        <v>45618</v>
      </c>
      <c r="C2235" s="2">
        <v>4.1666666666666657E-2</v>
      </c>
      <c r="D2235">
        <v>3</v>
      </c>
      <c r="E2235">
        <v>1.2</v>
      </c>
      <c r="F2235">
        <v>97</v>
      </c>
    </row>
    <row r="2236" spans="1:6" x14ac:dyDescent="0.35">
      <c r="A2236">
        <v>1975</v>
      </c>
      <c r="B2236" s="1">
        <v>45618</v>
      </c>
      <c r="C2236" s="2">
        <v>8.3333333333333329E-2</v>
      </c>
      <c r="D2236">
        <v>3</v>
      </c>
      <c r="E2236">
        <v>0.9</v>
      </c>
      <c r="F2236">
        <v>97</v>
      </c>
    </row>
    <row r="2237" spans="1:6" x14ac:dyDescent="0.35">
      <c r="A2237">
        <v>1975</v>
      </c>
      <c r="B2237" s="1">
        <v>45618</v>
      </c>
      <c r="C2237" s="2">
        <v>0.125</v>
      </c>
      <c r="D2237">
        <v>3</v>
      </c>
      <c r="E2237">
        <v>0.3</v>
      </c>
      <c r="F2237">
        <v>97</v>
      </c>
    </row>
    <row r="2238" spans="1:6" x14ac:dyDescent="0.35">
      <c r="A2238">
        <v>1975</v>
      </c>
      <c r="B2238" s="1">
        <v>45618</v>
      </c>
      <c r="C2238" s="2">
        <v>0.16666666666666671</v>
      </c>
      <c r="D2238">
        <v>3</v>
      </c>
      <c r="E2238">
        <v>-0.5</v>
      </c>
      <c r="F2238">
        <v>98</v>
      </c>
    </row>
    <row r="2239" spans="1:6" x14ac:dyDescent="0.35">
      <c r="A2239">
        <v>1975</v>
      </c>
      <c r="B2239" s="1">
        <v>45618</v>
      </c>
      <c r="C2239" s="2">
        <v>0.20833333333333329</v>
      </c>
      <c r="D2239">
        <v>3</v>
      </c>
      <c r="E2239">
        <v>-0.4</v>
      </c>
      <c r="F2239">
        <v>98</v>
      </c>
    </row>
    <row r="2240" spans="1:6" x14ac:dyDescent="0.35">
      <c r="A2240">
        <v>1975</v>
      </c>
      <c r="B2240" s="1">
        <v>45618</v>
      </c>
      <c r="C2240" s="2">
        <v>0.25</v>
      </c>
      <c r="D2240">
        <v>3</v>
      </c>
      <c r="E2240">
        <v>-0.1</v>
      </c>
      <c r="F2240">
        <v>96</v>
      </c>
    </row>
    <row r="2241" spans="1:6" x14ac:dyDescent="0.35">
      <c r="A2241">
        <v>1975</v>
      </c>
      <c r="B2241" s="1">
        <v>45618</v>
      </c>
      <c r="C2241" s="2">
        <v>0.29166666666666669</v>
      </c>
      <c r="D2241">
        <v>3</v>
      </c>
      <c r="E2241">
        <v>0.3</v>
      </c>
      <c r="F2241">
        <v>95</v>
      </c>
    </row>
    <row r="2242" spans="1:6" x14ac:dyDescent="0.35">
      <c r="A2242">
        <v>1975</v>
      </c>
      <c r="B2242" s="1">
        <v>45618</v>
      </c>
      <c r="C2242" s="2">
        <v>0.33333333333333331</v>
      </c>
      <c r="D2242">
        <v>3</v>
      </c>
      <c r="E2242">
        <v>0.4</v>
      </c>
      <c r="F2242">
        <v>93</v>
      </c>
    </row>
    <row r="2243" spans="1:6" x14ac:dyDescent="0.35">
      <c r="A2243">
        <v>1975</v>
      </c>
      <c r="B2243" s="1">
        <v>45618</v>
      </c>
      <c r="C2243" s="2">
        <v>0.375</v>
      </c>
      <c r="D2243">
        <v>3</v>
      </c>
      <c r="E2243">
        <v>0.8</v>
      </c>
      <c r="F2243">
        <v>95</v>
      </c>
    </row>
    <row r="2244" spans="1:6" x14ac:dyDescent="0.35">
      <c r="A2244">
        <v>1975</v>
      </c>
      <c r="B2244" s="1">
        <v>45618</v>
      </c>
      <c r="C2244" s="2">
        <v>0.41666666666666669</v>
      </c>
      <c r="D2244">
        <v>3</v>
      </c>
      <c r="E2244">
        <v>1.8</v>
      </c>
      <c r="F2244">
        <v>92</v>
      </c>
    </row>
    <row r="2245" spans="1:6" x14ac:dyDescent="0.35">
      <c r="A2245">
        <v>1975</v>
      </c>
      <c r="B2245" s="1">
        <v>45618</v>
      </c>
      <c r="C2245" s="2">
        <v>0.45833333333333331</v>
      </c>
      <c r="D2245">
        <v>3</v>
      </c>
      <c r="E2245">
        <v>2.7</v>
      </c>
      <c r="F2245">
        <v>88</v>
      </c>
    </row>
    <row r="2246" spans="1:6" x14ac:dyDescent="0.35">
      <c r="A2246">
        <v>1975</v>
      </c>
      <c r="B2246" s="1">
        <v>45618</v>
      </c>
      <c r="C2246" s="2">
        <v>0.5</v>
      </c>
      <c r="D2246">
        <v>3</v>
      </c>
      <c r="E2246">
        <v>4</v>
      </c>
      <c r="F2246">
        <v>81</v>
      </c>
    </row>
    <row r="2247" spans="1:6" x14ac:dyDescent="0.35">
      <c r="A2247">
        <v>1975</v>
      </c>
      <c r="B2247" s="1">
        <v>45618</v>
      </c>
      <c r="C2247" s="2">
        <v>0.54166666666666663</v>
      </c>
      <c r="D2247">
        <v>3</v>
      </c>
      <c r="E2247">
        <v>4.5</v>
      </c>
      <c r="F2247">
        <v>79</v>
      </c>
    </row>
    <row r="2248" spans="1:6" x14ac:dyDescent="0.35">
      <c r="A2248">
        <v>1975</v>
      </c>
      <c r="B2248" s="1">
        <v>45618</v>
      </c>
      <c r="C2248" s="2">
        <v>0.58333333333333337</v>
      </c>
      <c r="D2248">
        <v>3</v>
      </c>
      <c r="E2248">
        <v>4.2</v>
      </c>
      <c r="F2248">
        <v>78</v>
      </c>
    </row>
    <row r="2249" spans="1:6" x14ac:dyDescent="0.35">
      <c r="A2249">
        <v>1975</v>
      </c>
      <c r="B2249" s="1">
        <v>45618</v>
      </c>
      <c r="C2249" s="2">
        <v>0.625</v>
      </c>
      <c r="D2249">
        <v>3</v>
      </c>
      <c r="E2249">
        <v>3.8</v>
      </c>
      <c r="F2249">
        <v>82</v>
      </c>
    </row>
    <row r="2250" spans="1:6" x14ac:dyDescent="0.35">
      <c r="A2250">
        <v>1975</v>
      </c>
      <c r="B2250" s="1">
        <v>45618</v>
      </c>
      <c r="C2250" s="2">
        <v>0.66666666666666663</v>
      </c>
      <c r="D2250">
        <v>3</v>
      </c>
      <c r="E2250">
        <v>3.1</v>
      </c>
      <c r="F2250">
        <v>89</v>
      </c>
    </row>
    <row r="2251" spans="1:6" x14ac:dyDescent="0.35">
      <c r="A2251">
        <v>1975</v>
      </c>
      <c r="B2251" s="1">
        <v>45618</v>
      </c>
      <c r="C2251" s="2">
        <v>0.70833333333333337</v>
      </c>
      <c r="D2251">
        <v>3</v>
      </c>
      <c r="E2251">
        <v>0.6</v>
      </c>
      <c r="F2251">
        <v>97</v>
      </c>
    </row>
    <row r="2252" spans="1:6" x14ac:dyDescent="0.35">
      <c r="A2252">
        <v>1975</v>
      </c>
      <c r="B2252" s="1">
        <v>45618</v>
      </c>
      <c r="C2252" s="2">
        <v>0.75</v>
      </c>
      <c r="D2252">
        <v>3</v>
      </c>
      <c r="E2252">
        <v>0.6</v>
      </c>
      <c r="F2252">
        <v>97</v>
      </c>
    </row>
    <row r="2253" spans="1:6" x14ac:dyDescent="0.35">
      <c r="A2253">
        <v>1975</v>
      </c>
      <c r="B2253" s="1">
        <v>45618</v>
      </c>
      <c r="C2253" s="2">
        <v>0.79166666666666663</v>
      </c>
      <c r="D2253">
        <v>3</v>
      </c>
      <c r="E2253">
        <v>0.5</v>
      </c>
      <c r="F2253">
        <v>92</v>
      </c>
    </row>
    <row r="2254" spans="1:6" x14ac:dyDescent="0.35">
      <c r="A2254">
        <v>1975</v>
      </c>
      <c r="B2254" s="1">
        <v>45618</v>
      </c>
      <c r="C2254" s="2">
        <v>0.83333333333333337</v>
      </c>
      <c r="D2254">
        <v>3</v>
      </c>
      <c r="E2254">
        <v>0</v>
      </c>
      <c r="F2254">
        <v>86</v>
      </c>
    </row>
    <row r="2255" spans="1:6" x14ac:dyDescent="0.35">
      <c r="A2255">
        <v>1975</v>
      </c>
      <c r="B2255" s="1">
        <v>45618</v>
      </c>
      <c r="C2255" s="2">
        <v>0.875</v>
      </c>
      <c r="D2255">
        <v>3</v>
      </c>
      <c r="E2255">
        <v>-0.7</v>
      </c>
      <c r="F2255">
        <v>84</v>
      </c>
    </row>
    <row r="2256" spans="1:6" x14ac:dyDescent="0.35">
      <c r="A2256">
        <v>1975</v>
      </c>
      <c r="B2256" s="1">
        <v>45618</v>
      </c>
      <c r="C2256" s="2">
        <v>0.91666666666666663</v>
      </c>
      <c r="D2256">
        <v>3</v>
      </c>
      <c r="E2256">
        <v>-1.1000000000000001</v>
      </c>
      <c r="F2256">
        <v>86</v>
      </c>
    </row>
    <row r="2257" spans="1:6" x14ac:dyDescent="0.35">
      <c r="A2257">
        <v>1975</v>
      </c>
      <c r="B2257" s="1">
        <v>45618</v>
      </c>
      <c r="C2257" s="2">
        <v>0.95833333333333337</v>
      </c>
      <c r="D2257">
        <v>3</v>
      </c>
      <c r="E2257">
        <v>0.3</v>
      </c>
      <c r="F2257">
        <v>81</v>
      </c>
    </row>
    <row r="2258" spans="1:6" x14ac:dyDescent="0.35">
      <c r="A2258">
        <v>1975</v>
      </c>
      <c r="B2258" s="1">
        <v>45619</v>
      </c>
      <c r="C2258" s="2">
        <v>0</v>
      </c>
      <c r="D2258">
        <v>3</v>
      </c>
      <c r="E2258">
        <v>0.1</v>
      </c>
      <c r="F2258">
        <v>97</v>
      </c>
    </row>
    <row r="2259" spans="1:6" x14ac:dyDescent="0.35">
      <c r="A2259">
        <v>1975</v>
      </c>
      <c r="B2259" s="1">
        <v>45619</v>
      </c>
      <c r="C2259" s="2">
        <v>4.1666666666666657E-2</v>
      </c>
      <c r="D2259">
        <v>3</v>
      </c>
      <c r="E2259">
        <v>1</v>
      </c>
      <c r="F2259">
        <v>95</v>
      </c>
    </row>
    <row r="2260" spans="1:6" x14ac:dyDescent="0.35">
      <c r="A2260">
        <v>1975</v>
      </c>
      <c r="B2260" s="1">
        <v>45619</v>
      </c>
      <c r="C2260" s="2">
        <v>8.3333333333333329E-2</v>
      </c>
      <c r="D2260">
        <v>3</v>
      </c>
      <c r="E2260">
        <v>0.5</v>
      </c>
      <c r="F2260">
        <v>96</v>
      </c>
    </row>
    <row r="2261" spans="1:6" x14ac:dyDescent="0.35">
      <c r="A2261">
        <v>1975</v>
      </c>
      <c r="B2261" s="1">
        <v>45619</v>
      </c>
      <c r="C2261" s="2">
        <v>0.125</v>
      </c>
      <c r="D2261">
        <v>3</v>
      </c>
      <c r="E2261">
        <v>0.4</v>
      </c>
      <c r="F2261">
        <v>98</v>
      </c>
    </row>
    <row r="2262" spans="1:6" x14ac:dyDescent="0.35">
      <c r="A2262">
        <v>1975</v>
      </c>
      <c r="B2262" s="1">
        <v>45619</v>
      </c>
      <c r="C2262" s="2">
        <v>0.16666666666666671</v>
      </c>
      <c r="D2262">
        <v>3</v>
      </c>
      <c r="E2262">
        <v>0.4</v>
      </c>
      <c r="F2262">
        <v>98</v>
      </c>
    </row>
    <row r="2263" spans="1:6" x14ac:dyDescent="0.35">
      <c r="A2263">
        <v>1975</v>
      </c>
      <c r="B2263" s="1">
        <v>45619</v>
      </c>
      <c r="C2263" s="2">
        <v>0.20833333333333329</v>
      </c>
      <c r="D2263">
        <v>3</v>
      </c>
      <c r="E2263">
        <v>0.2</v>
      </c>
      <c r="F2263">
        <v>100</v>
      </c>
    </row>
    <row r="2264" spans="1:6" x14ac:dyDescent="0.35">
      <c r="A2264">
        <v>1975</v>
      </c>
      <c r="B2264" s="1">
        <v>45619</v>
      </c>
      <c r="C2264" s="2">
        <v>0.25</v>
      </c>
      <c r="D2264">
        <v>3</v>
      </c>
      <c r="E2264">
        <v>0.2</v>
      </c>
      <c r="F2264">
        <v>100</v>
      </c>
    </row>
    <row r="2265" spans="1:6" x14ac:dyDescent="0.35">
      <c r="A2265">
        <v>1975</v>
      </c>
      <c r="B2265" s="1">
        <v>45619</v>
      </c>
      <c r="C2265" s="2">
        <v>0.29166666666666669</v>
      </c>
      <c r="D2265">
        <v>3</v>
      </c>
      <c r="E2265">
        <v>0.4</v>
      </c>
      <c r="F2265">
        <v>99</v>
      </c>
    </row>
    <row r="2266" spans="1:6" x14ac:dyDescent="0.35">
      <c r="A2266">
        <v>1975</v>
      </c>
      <c r="B2266" s="1">
        <v>45619</v>
      </c>
      <c r="C2266" s="2">
        <v>0.33333333333333331</v>
      </c>
      <c r="D2266">
        <v>3</v>
      </c>
      <c r="E2266">
        <v>0.7</v>
      </c>
      <c r="F2266">
        <v>97</v>
      </c>
    </row>
    <row r="2267" spans="1:6" x14ac:dyDescent="0.35">
      <c r="A2267">
        <v>1975</v>
      </c>
      <c r="B2267" s="1">
        <v>45619</v>
      </c>
      <c r="C2267" s="2">
        <v>0.375</v>
      </c>
      <c r="D2267">
        <v>3</v>
      </c>
      <c r="E2267">
        <v>1</v>
      </c>
      <c r="F2267">
        <v>95</v>
      </c>
    </row>
    <row r="2268" spans="1:6" x14ac:dyDescent="0.35">
      <c r="A2268">
        <v>1975</v>
      </c>
      <c r="B2268" s="1">
        <v>45619</v>
      </c>
      <c r="C2268" s="2">
        <v>0.41666666666666669</v>
      </c>
      <c r="D2268">
        <v>3</v>
      </c>
      <c r="E2268">
        <v>1.6</v>
      </c>
      <c r="F2268">
        <v>93</v>
      </c>
    </row>
    <row r="2269" spans="1:6" x14ac:dyDescent="0.35">
      <c r="A2269">
        <v>1975</v>
      </c>
      <c r="B2269" s="1">
        <v>45619</v>
      </c>
      <c r="C2269" s="2">
        <v>0.45833333333333331</v>
      </c>
      <c r="D2269">
        <v>3</v>
      </c>
      <c r="E2269">
        <v>2.2999999999999998</v>
      </c>
      <c r="F2269">
        <v>88</v>
      </c>
    </row>
    <row r="2270" spans="1:6" x14ac:dyDescent="0.35">
      <c r="A2270">
        <v>1975</v>
      </c>
      <c r="B2270" s="1">
        <v>45619</v>
      </c>
      <c r="C2270" s="2">
        <v>0.5</v>
      </c>
      <c r="D2270">
        <v>3</v>
      </c>
      <c r="E2270">
        <v>3.1</v>
      </c>
      <c r="F2270">
        <v>83</v>
      </c>
    </row>
    <row r="2271" spans="1:6" x14ac:dyDescent="0.35">
      <c r="A2271">
        <v>1975</v>
      </c>
      <c r="B2271" s="1">
        <v>45619</v>
      </c>
      <c r="C2271" s="2">
        <v>0.54166666666666663</v>
      </c>
      <c r="D2271">
        <v>3</v>
      </c>
      <c r="E2271">
        <v>3.6</v>
      </c>
      <c r="F2271">
        <v>82</v>
      </c>
    </row>
    <row r="2272" spans="1:6" x14ac:dyDescent="0.35">
      <c r="A2272">
        <v>1975</v>
      </c>
      <c r="B2272" s="1">
        <v>45619</v>
      </c>
      <c r="C2272" s="2">
        <v>0.58333333333333337</v>
      </c>
      <c r="D2272">
        <v>3</v>
      </c>
      <c r="E2272">
        <v>3.3</v>
      </c>
      <c r="F2272">
        <v>85</v>
      </c>
    </row>
    <row r="2273" spans="1:6" x14ac:dyDescent="0.35">
      <c r="A2273">
        <v>1975</v>
      </c>
      <c r="B2273" s="1">
        <v>45619</v>
      </c>
      <c r="C2273" s="2">
        <v>0.625</v>
      </c>
      <c r="D2273">
        <v>3</v>
      </c>
      <c r="E2273">
        <v>3.6</v>
      </c>
      <c r="F2273">
        <v>82</v>
      </c>
    </row>
    <row r="2274" spans="1:6" x14ac:dyDescent="0.35">
      <c r="A2274">
        <v>1975</v>
      </c>
      <c r="B2274" s="1">
        <v>45619</v>
      </c>
      <c r="C2274" s="2">
        <v>0.66666666666666663</v>
      </c>
      <c r="D2274">
        <v>3</v>
      </c>
      <c r="E2274">
        <v>3.7</v>
      </c>
      <c r="F2274">
        <v>82</v>
      </c>
    </row>
    <row r="2275" spans="1:6" x14ac:dyDescent="0.35">
      <c r="A2275">
        <v>1975</v>
      </c>
      <c r="B2275" s="1">
        <v>45619</v>
      </c>
      <c r="C2275" s="2">
        <v>0.70833333333333337</v>
      </c>
      <c r="D2275">
        <v>3</v>
      </c>
      <c r="E2275">
        <v>3.7</v>
      </c>
      <c r="F2275">
        <v>82</v>
      </c>
    </row>
    <row r="2276" spans="1:6" x14ac:dyDescent="0.35">
      <c r="A2276">
        <v>1975</v>
      </c>
      <c r="B2276" s="1">
        <v>45619</v>
      </c>
      <c r="C2276" s="2">
        <v>0.75</v>
      </c>
      <c r="D2276">
        <v>3</v>
      </c>
      <c r="E2276">
        <v>3.8</v>
      </c>
      <c r="F2276">
        <v>80</v>
      </c>
    </row>
    <row r="2277" spans="1:6" x14ac:dyDescent="0.35">
      <c r="A2277">
        <v>1975</v>
      </c>
      <c r="B2277" s="1">
        <v>45619</v>
      </c>
      <c r="C2277" s="2">
        <v>0.79166666666666663</v>
      </c>
      <c r="D2277">
        <v>3</v>
      </c>
      <c r="E2277">
        <v>3.6</v>
      </c>
      <c r="F2277">
        <v>81</v>
      </c>
    </row>
    <row r="2278" spans="1:6" x14ac:dyDescent="0.35">
      <c r="A2278">
        <v>1975</v>
      </c>
      <c r="B2278" s="1">
        <v>45619</v>
      </c>
      <c r="C2278" s="2">
        <v>0.83333333333333337</v>
      </c>
      <c r="D2278">
        <v>3</v>
      </c>
      <c r="E2278">
        <v>3.8</v>
      </c>
      <c r="F2278">
        <v>80</v>
      </c>
    </row>
    <row r="2279" spans="1:6" x14ac:dyDescent="0.35">
      <c r="A2279">
        <v>1975</v>
      </c>
      <c r="B2279" s="1">
        <v>45619</v>
      </c>
      <c r="C2279" s="2">
        <v>0.875</v>
      </c>
      <c r="D2279">
        <v>3</v>
      </c>
      <c r="E2279">
        <v>3.6</v>
      </c>
      <c r="F2279">
        <v>86</v>
      </c>
    </row>
    <row r="2280" spans="1:6" x14ac:dyDescent="0.35">
      <c r="A2280">
        <v>1975</v>
      </c>
      <c r="B2280" s="1">
        <v>45619</v>
      </c>
      <c r="C2280" s="2">
        <v>0.91666666666666663</v>
      </c>
      <c r="D2280">
        <v>3</v>
      </c>
      <c r="E2280">
        <v>3.5</v>
      </c>
      <c r="F2280">
        <v>90</v>
      </c>
    </row>
    <row r="2281" spans="1:6" x14ac:dyDescent="0.35">
      <c r="A2281">
        <v>1975</v>
      </c>
      <c r="B2281" s="1">
        <v>45619</v>
      </c>
      <c r="C2281" s="2">
        <v>0.95833333333333337</v>
      </c>
      <c r="D2281">
        <v>3</v>
      </c>
      <c r="E2281">
        <v>3.7</v>
      </c>
      <c r="F2281">
        <v>92</v>
      </c>
    </row>
    <row r="2282" spans="1:6" x14ac:dyDescent="0.35">
      <c r="A2282">
        <v>1975</v>
      </c>
      <c r="B2282" s="1">
        <v>45620</v>
      </c>
      <c r="C2282" s="2">
        <v>0</v>
      </c>
      <c r="D2282">
        <v>3</v>
      </c>
      <c r="E2282">
        <v>4</v>
      </c>
      <c r="F2282">
        <v>96</v>
      </c>
    </row>
    <row r="2283" spans="1:6" x14ac:dyDescent="0.35">
      <c r="A2283">
        <v>1975</v>
      </c>
      <c r="B2283" s="1">
        <v>45620</v>
      </c>
      <c r="C2283" s="2">
        <v>4.1666666666666657E-2</v>
      </c>
      <c r="D2283">
        <v>3</v>
      </c>
      <c r="E2283">
        <v>4.7</v>
      </c>
      <c r="F2283">
        <v>97</v>
      </c>
    </row>
    <row r="2284" spans="1:6" x14ac:dyDescent="0.35">
      <c r="A2284">
        <v>1975</v>
      </c>
      <c r="B2284" s="1">
        <v>45620</v>
      </c>
      <c r="C2284" s="2">
        <v>8.3333333333333329E-2</v>
      </c>
      <c r="D2284">
        <v>3</v>
      </c>
      <c r="E2284">
        <v>4.9000000000000004</v>
      </c>
      <c r="F2284">
        <v>99</v>
      </c>
    </row>
    <row r="2285" spans="1:6" x14ac:dyDescent="0.35">
      <c r="A2285">
        <v>1975</v>
      </c>
      <c r="B2285" s="1">
        <v>45620</v>
      </c>
      <c r="C2285" s="2">
        <v>0.125</v>
      </c>
      <c r="D2285">
        <v>3</v>
      </c>
      <c r="E2285">
        <v>6.3</v>
      </c>
      <c r="F2285">
        <v>98</v>
      </c>
    </row>
    <row r="2286" spans="1:6" x14ac:dyDescent="0.35">
      <c r="A2286">
        <v>1975</v>
      </c>
      <c r="B2286" s="1">
        <v>45620</v>
      </c>
      <c r="C2286" s="2">
        <v>0.16666666666666671</v>
      </c>
      <c r="D2286">
        <v>3</v>
      </c>
      <c r="E2286">
        <v>7.3</v>
      </c>
      <c r="F2286">
        <v>99</v>
      </c>
    </row>
    <row r="2287" spans="1:6" x14ac:dyDescent="0.35">
      <c r="A2287">
        <v>1975</v>
      </c>
      <c r="B2287" s="1">
        <v>45620</v>
      </c>
      <c r="C2287" s="2">
        <v>0.20833333333333329</v>
      </c>
      <c r="D2287">
        <v>3</v>
      </c>
      <c r="E2287">
        <v>8.4</v>
      </c>
      <c r="F2287">
        <v>95</v>
      </c>
    </row>
    <row r="2288" spans="1:6" x14ac:dyDescent="0.35">
      <c r="A2288">
        <v>1975</v>
      </c>
      <c r="B2288" s="1">
        <v>45620</v>
      </c>
      <c r="C2288" s="2">
        <v>0.25</v>
      </c>
      <c r="D2288">
        <v>3</v>
      </c>
      <c r="E2288">
        <v>9.3000000000000007</v>
      </c>
      <c r="F2288">
        <v>94</v>
      </c>
    </row>
    <row r="2289" spans="1:6" x14ac:dyDescent="0.35">
      <c r="A2289">
        <v>1975</v>
      </c>
      <c r="B2289" s="1">
        <v>45620</v>
      </c>
      <c r="C2289" s="2">
        <v>0.29166666666666669</v>
      </c>
      <c r="D2289">
        <v>3</v>
      </c>
      <c r="E2289">
        <v>9.6</v>
      </c>
      <c r="F2289">
        <v>95</v>
      </c>
    </row>
    <row r="2290" spans="1:6" x14ac:dyDescent="0.35">
      <c r="A2290">
        <v>1975</v>
      </c>
      <c r="B2290" s="1">
        <v>45620</v>
      </c>
      <c r="C2290" s="2">
        <v>0.33333333333333331</v>
      </c>
      <c r="D2290">
        <v>3</v>
      </c>
      <c r="E2290">
        <v>9.6</v>
      </c>
      <c r="F2290">
        <v>94</v>
      </c>
    </row>
    <row r="2291" spans="1:6" x14ac:dyDescent="0.35">
      <c r="A2291">
        <v>1975</v>
      </c>
      <c r="B2291" s="1">
        <v>45620</v>
      </c>
      <c r="C2291" s="2">
        <v>0.375</v>
      </c>
      <c r="D2291">
        <v>3</v>
      </c>
      <c r="E2291">
        <v>10.1</v>
      </c>
      <c r="F2291">
        <v>88</v>
      </c>
    </row>
    <row r="2292" spans="1:6" x14ac:dyDescent="0.35">
      <c r="A2292">
        <v>1975</v>
      </c>
      <c r="B2292" s="1">
        <v>45620</v>
      </c>
      <c r="C2292" s="2">
        <v>0.41666666666666669</v>
      </c>
      <c r="D2292">
        <v>3</v>
      </c>
      <c r="E2292">
        <v>11.2</v>
      </c>
      <c r="F2292">
        <v>80</v>
      </c>
    </row>
    <row r="2293" spans="1:6" x14ac:dyDescent="0.35">
      <c r="A2293">
        <v>1975</v>
      </c>
      <c r="B2293" s="1">
        <v>45620</v>
      </c>
      <c r="C2293" s="2">
        <v>0.45833333333333331</v>
      </c>
      <c r="D2293">
        <v>3</v>
      </c>
      <c r="E2293">
        <v>12.2</v>
      </c>
      <c r="F2293">
        <v>75</v>
      </c>
    </row>
    <row r="2294" spans="1:6" x14ac:dyDescent="0.35">
      <c r="A2294">
        <v>1975</v>
      </c>
      <c r="B2294" s="1">
        <v>45620</v>
      </c>
      <c r="C2294" s="2">
        <v>0.5</v>
      </c>
      <c r="D2294">
        <v>3</v>
      </c>
      <c r="E2294">
        <v>13.2</v>
      </c>
      <c r="F2294">
        <v>71</v>
      </c>
    </row>
    <row r="2295" spans="1:6" x14ac:dyDescent="0.35">
      <c r="A2295">
        <v>1975</v>
      </c>
      <c r="B2295" s="1">
        <v>45620</v>
      </c>
      <c r="C2295" s="2">
        <v>0.54166666666666663</v>
      </c>
      <c r="D2295">
        <v>3</v>
      </c>
      <c r="E2295">
        <v>13.4</v>
      </c>
      <c r="F2295">
        <v>70</v>
      </c>
    </row>
    <row r="2296" spans="1:6" x14ac:dyDescent="0.35">
      <c r="A2296">
        <v>1975</v>
      </c>
      <c r="B2296" s="1">
        <v>45620</v>
      </c>
      <c r="C2296" s="2">
        <v>0.58333333333333337</v>
      </c>
      <c r="D2296">
        <v>3</v>
      </c>
      <c r="E2296">
        <v>13.8</v>
      </c>
      <c r="F2296">
        <v>68</v>
      </c>
    </row>
    <row r="2297" spans="1:6" x14ac:dyDescent="0.35">
      <c r="A2297">
        <v>1975</v>
      </c>
      <c r="B2297" s="1">
        <v>45620</v>
      </c>
      <c r="C2297" s="2">
        <v>0.625</v>
      </c>
      <c r="D2297">
        <v>3</v>
      </c>
      <c r="E2297">
        <v>14.3</v>
      </c>
      <c r="F2297">
        <v>66</v>
      </c>
    </row>
    <row r="2298" spans="1:6" x14ac:dyDescent="0.35">
      <c r="A2298">
        <v>1975</v>
      </c>
      <c r="B2298" s="1">
        <v>45620</v>
      </c>
      <c r="C2298" s="2">
        <v>0.66666666666666663</v>
      </c>
      <c r="D2298">
        <v>3</v>
      </c>
      <c r="E2298">
        <v>14.8</v>
      </c>
      <c r="F2298">
        <v>64</v>
      </c>
    </row>
    <row r="2299" spans="1:6" x14ac:dyDescent="0.35">
      <c r="A2299">
        <v>1975</v>
      </c>
      <c r="B2299" s="1">
        <v>45620</v>
      </c>
      <c r="C2299" s="2">
        <v>0.70833333333333337</v>
      </c>
      <c r="D2299">
        <v>3</v>
      </c>
      <c r="E2299">
        <v>12.8</v>
      </c>
      <c r="F2299">
        <v>72</v>
      </c>
    </row>
    <row r="2300" spans="1:6" x14ac:dyDescent="0.35">
      <c r="A2300">
        <v>1975</v>
      </c>
      <c r="B2300" s="1">
        <v>45620</v>
      </c>
      <c r="C2300" s="2">
        <v>0.75</v>
      </c>
      <c r="D2300">
        <v>3</v>
      </c>
      <c r="E2300">
        <v>13.2</v>
      </c>
      <c r="F2300">
        <v>71</v>
      </c>
    </row>
    <row r="2301" spans="1:6" x14ac:dyDescent="0.35">
      <c r="A2301">
        <v>1975</v>
      </c>
      <c r="B2301" s="1">
        <v>45620</v>
      </c>
      <c r="C2301" s="2">
        <v>0.79166666666666663</v>
      </c>
      <c r="D2301">
        <v>3</v>
      </c>
      <c r="E2301">
        <v>13.4</v>
      </c>
      <c r="F2301">
        <v>70</v>
      </c>
    </row>
    <row r="2302" spans="1:6" x14ac:dyDescent="0.35">
      <c r="A2302">
        <v>1975</v>
      </c>
      <c r="B2302" s="1">
        <v>45620</v>
      </c>
      <c r="C2302" s="2">
        <v>0.83333333333333337</v>
      </c>
      <c r="D2302">
        <v>3</v>
      </c>
      <c r="E2302">
        <v>13</v>
      </c>
      <c r="F2302">
        <v>72</v>
      </c>
    </row>
    <row r="2303" spans="1:6" x14ac:dyDescent="0.35">
      <c r="A2303">
        <v>1975</v>
      </c>
      <c r="B2303" s="1">
        <v>45620</v>
      </c>
      <c r="C2303" s="2">
        <v>0.875</v>
      </c>
      <c r="D2303">
        <v>3</v>
      </c>
      <c r="E2303">
        <v>14.3</v>
      </c>
      <c r="F2303">
        <v>67</v>
      </c>
    </row>
    <row r="2304" spans="1:6" x14ac:dyDescent="0.35">
      <c r="A2304">
        <v>1975</v>
      </c>
      <c r="B2304" s="1">
        <v>45620</v>
      </c>
      <c r="C2304" s="2">
        <v>0.91666666666666663</v>
      </c>
      <c r="D2304">
        <v>3</v>
      </c>
      <c r="E2304">
        <v>14.9</v>
      </c>
      <c r="F2304">
        <v>64</v>
      </c>
    </row>
    <row r="2305" spans="1:6" x14ac:dyDescent="0.35">
      <c r="A2305">
        <v>1975</v>
      </c>
      <c r="B2305" s="1">
        <v>45620</v>
      </c>
      <c r="C2305" s="2">
        <v>0.95833333333333337</v>
      </c>
      <c r="D2305">
        <v>3</v>
      </c>
      <c r="E2305">
        <v>15.5</v>
      </c>
      <c r="F2305">
        <v>60</v>
      </c>
    </row>
    <row r="2306" spans="1:6" x14ac:dyDescent="0.35">
      <c r="A2306">
        <v>1975</v>
      </c>
      <c r="B2306" s="1">
        <v>45621</v>
      </c>
      <c r="C2306" s="2">
        <v>0</v>
      </c>
      <c r="D2306">
        <v>3</v>
      </c>
      <c r="E2306">
        <v>15.2</v>
      </c>
      <c r="F2306">
        <v>61</v>
      </c>
    </row>
    <row r="2307" spans="1:6" x14ac:dyDescent="0.35">
      <c r="A2307">
        <v>1975</v>
      </c>
      <c r="B2307" s="1">
        <v>45621</v>
      </c>
      <c r="C2307" s="2">
        <v>4.1666666666666657E-2</v>
      </c>
      <c r="D2307">
        <v>3</v>
      </c>
      <c r="E2307">
        <v>15.7</v>
      </c>
      <c r="F2307">
        <v>58</v>
      </c>
    </row>
    <row r="2308" spans="1:6" x14ac:dyDescent="0.35">
      <c r="A2308">
        <v>1975</v>
      </c>
      <c r="B2308" s="1">
        <v>45621</v>
      </c>
      <c r="C2308" s="2">
        <v>8.3333333333333329E-2</v>
      </c>
      <c r="D2308">
        <v>3</v>
      </c>
      <c r="E2308">
        <v>15.6</v>
      </c>
      <c r="F2308">
        <v>58</v>
      </c>
    </row>
    <row r="2309" spans="1:6" x14ac:dyDescent="0.35">
      <c r="A2309">
        <v>1975</v>
      </c>
      <c r="B2309" s="1">
        <v>45621</v>
      </c>
      <c r="C2309" s="2">
        <v>0.125</v>
      </c>
      <c r="D2309">
        <v>3</v>
      </c>
      <c r="E2309">
        <v>16</v>
      </c>
      <c r="F2309">
        <v>55</v>
      </c>
    </row>
    <row r="2310" spans="1:6" x14ac:dyDescent="0.35">
      <c r="A2310">
        <v>1975</v>
      </c>
      <c r="B2310" s="1">
        <v>45621</v>
      </c>
      <c r="C2310" s="2">
        <v>0.16666666666666671</v>
      </c>
      <c r="D2310">
        <v>3</v>
      </c>
      <c r="E2310">
        <v>16</v>
      </c>
      <c r="F2310">
        <v>55</v>
      </c>
    </row>
    <row r="2311" spans="1:6" x14ac:dyDescent="0.35">
      <c r="A2311">
        <v>1975</v>
      </c>
      <c r="B2311" s="1">
        <v>45621</v>
      </c>
      <c r="C2311" s="2">
        <v>0.20833333333333329</v>
      </c>
      <c r="D2311">
        <v>3</v>
      </c>
      <c r="E2311">
        <v>15.6</v>
      </c>
      <c r="F2311">
        <v>56</v>
      </c>
    </row>
    <row r="2312" spans="1:6" x14ac:dyDescent="0.35">
      <c r="A2312">
        <v>1975</v>
      </c>
      <c r="B2312" s="1">
        <v>45621</v>
      </c>
      <c r="C2312" s="2">
        <v>0.25</v>
      </c>
      <c r="D2312">
        <v>3</v>
      </c>
      <c r="E2312">
        <v>15.3</v>
      </c>
      <c r="F2312">
        <v>57</v>
      </c>
    </row>
    <row r="2313" spans="1:6" x14ac:dyDescent="0.35">
      <c r="A2313">
        <v>1975</v>
      </c>
      <c r="B2313" s="1">
        <v>45621</v>
      </c>
      <c r="C2313" s="2">
        <v>0.29166666666666669</v>
      </c>
      <c r="D2313">
        <v>3</v>
      </c>
      <c r="E2313">
        <v>15.3</v>
      </c>
      <c r="F2313">
        <v>58</v>
      </c>
    </row>
    <row r="2314" spans="1:6" x14ac:dyDescent="0.35">
      <c r="A2314">
        <v>1975</v>
      </c>
      <c r="B2314" s="1">
        <v>45621</v>
      </c>
      <c r="C2314" s="2">
        <v>0.33333333333333331</v>
      </c>
      <c r="D2314">
        <v>3</v>
      </c>
      <c r="E2314">
        <v>15.5</v>
      </c>
      <c r="F2314">
        <v>58</v>
      </c>
    </row>
    <row r="2315" spans="1:6" x14ac:dyDescent="0.35">
      <c r="A2315">
        <v>1975</v>
      </c>
      <c r="B2315" s="1">
        <v>45621</v>
      </c>
      <c r="C2315" s="2">
        <v>0.375</v>
      </c>
      <c r="D2315">
        <v>3</v>
      </c>
      <c r="E2315">
        <v>16.100000000000001</v>
      </c>
      <c r="F2315">
        <v>57</v>
      </c>
    </row>
    <row r="2316" spans="1:6" x14ac:dyDescent="0.35">
      <c r="A2316">
        <v>1975</v>
      </c>
      <c r="B2316" s="1">
        <v>45621</v>
      </c>
      <c r="C2316" s="2">
        <v>0.41666666666666669</v>
      </c>
      <c r="D2316">
        <v>3</v>
      </c>
      <c r="E2316">
        <v>16.399999999999999</v>
      </c>
      <c r="F2316">
        <v>56</v>
      </c>
    </row>
    <row r="2317" spans="1:6" x14ac:dyDescent="0.35">
      <c r="A2317">
        <v>1975</v>
      </c>
      <c r="B2317" s="1">
        <v>45621</v>
      </c>
      <c r="C2317" s="2">
        <v>0.45833333333333331</v>
      </c>
      <c r="D2317">
        <v>3</v>
      </c>
      <c r="E2317">
        <v>16.7</v>
      </c>
      <c r="F2317">
        <v>56</v>
      </c>
    </row>
    <row r="2318" spans="1:6" x14ac:dyDescent="0.35">
      <c r="A2318">
        <v>1975</v>
      </c>
      <c r="B2318" s="1">
        <v>45621</v>
      </c>
      <c r="C2318" s="2">
        <v>0.5</v>
      </c>
      <c r="D2318">
        <v>3</v>
      </c>
      <c r="E2318">
        <v>17.5</v>
      </c>
      <c r="F2318">
        <v>54</v>
      </c>
    </row>
    <row r="2319" spans="1:6" x14ac:dyDescent="0.35">
      <c r="A2319">
        <v>1975</v>
      </c>
      <c r="B2319" s="1">
        <v>45621</v>
      </c>
      <c r="C2319" s="2">
        <v>0.54166666666666663</v>
      </c>
      <c r="D2319">
        <v>3</v>
      </c>
      <c r="E2319">
        <v>17.2</v>
      </c>
      <c r="F2319">
        <v>55</v>
      </c>
    </row>
    <row r="2320" spans="1:6" x14ac:dyDescent="0.35">
      <c r="A2320">
        <v>1975</v>
      </c>
      <c r="B2320" s="1">
        <v>45621</v>
      </c>
      <c r="C2320" s="2">
        <v>0.58333333333333337</v>
      </c>
      <c r="D2320">
        <v>3</v>
      </c>
      <c r="E2320">
        <v>17.2</v>
      </c>
      <c r="F2320">
        <v>56</v>
      </c>
    </row>
    <row r="2321" spans="1:6" x14ac:dyDescent="0.35">
      <c r="A2321">
        <v>1975</v>
      </c>
      <c r="B2321" s="1">
        <v>45621</v>
      </c>
      <c r="C2321" s="2">
        <v>0.625</v>
      </c>
      <c r="D2321">
        <v>3</v>
      </c>
      <c r="E2321">
        <v>16.7</v>
      </c>
      <c r="F2321">
        <v>58</v>
      </c>
    </row>
    <row r="2322" spans="1:6" x14ac:dyDescent="0.35">
      <c r="A2322">
        <v>1975</v>
      </c>
      <c r="B2322" s="1">
        <v>45621</v>
      </c>
      <c r="C2322" s="2">
        <v>0.66666666666666663</v>
      </c>
      <c r="D2322">
        <v>3</v>
      </c>
      <c r="E2322">
        <v>16.399999999999999</v>
      </c>
      <c r="F2322">
        <v>62</v>
      </c>
    </row>
    <row r="2323" spans="1:6" x14ac:dyDescent="0.35">
      <c r="A2323">
        <v>1975</v>
      </c>
      <c r="B2323" s="1">
        <v>45621</v>
      </c>
      <c r="C2323" s="2">
        <v>0.70833333333333337</v>
      </c>
      <c r="D2323">
        <v>3</v>
      </c>
      <c r="E2323">
        <v>13.2</v>
      </c>
      <c r="F2323">
        <v>93</v>
      </c>
    </row>
    <row r="2324" spans="1:6" x14ac:dyDescent="0.35">
      <c r="A2324">
        <v>1975</v>
      </c>
      <c r="B2324" s="1">
        <v>45621</v>
      </c>
      <c r="C2324" s="2">
        <v>0.75</v>
      </c>
      <c r="D2324">
        <v>3</v>
      </c>
      <c r="E2324">
        <v>10.7</v>
      </c>
      <c r="F2324">
        <v>98</v>
      </c>
    </row>
    <row r="2325" spans="1:6" x14ac:dyDescent="0.35">
      <c r="A2325">
        <v>1975</v>
      </c>
      <c r="B2325" s="1">
        <v>45621</v>
      </c>
      <c r="C2325" s="2">
        <v>0.79166666666666663</v>
      </c>
      <c r="D2325">
        <v>3</v>
      </c>
      <c r="E2325">
        <v>9.9</v>
      </c>
      <c r="F2325">
        <v>94</v>
      </c>
    </row>
    <row r="2326" spans="1:6" x14ac:dyDescent="0.35">
      <c r="A2326">
        <v>1975</v>
      </c>
      <c r="B2326" s="1">
        <v>45621</v>
      </c>
      <c r="C2326" s="2">
        <v>0.83333333333333337</v>
      </c>
      <c r="D2326">
        <v>3</v>
      </c>
      <c r="E2326">
        <v>9.5</v>
      </c>
      <c r="F2326">
        <v>95</v>
      </c>
    </row>
    <row r="2327" spans="1:6" x14ac:dyDescent="0.35">
      <c r="A2327">
        <v>1975</v>
      </c>
      <c r="B2327" s="1">
        <v>45621</v>
      </c>
      <c r="C2327" s="2">
        <v>0.875</v>
      </c>
      <c r="D2327">
        <v>3</v>
      </c>
      <c r="E2327">
        <v>9.6999999999999993</v>
      </c>
      <c r="F2327">
        <v>92</v>
      </c>
    </row>
    <row r="2328" spans="1:6" x14ac:dyDescent="0.35">
      <c r="A2328">
        <v>1975</v>
      </c>
      <c r="B2328" s="1">
        <v>45621</v>
      </c>
      <c r="C2328" s="2">
        <v>0.91666666666666663</v>
      </c>
      <c r="D2328">
        <v>3</v>
      </c>
      <c r="E2328">
        <v>8.6</v>
      </c>
      <c r="F2328">
        <v>95</v>
      </c>
    </row>
    <row r="2329" spans="1:6" x14ac:dyDescent="0.35">
      <c r="A2329">
        <v>1975</v>
      </c>
      <c r="B2329" s="1">
        <v>45621</v>
      </c>
      <c r="C2329" s="2">
        <v>0.95833333333333337</v>
      </c>
      <c r="D2329">
        <v>3</v>
      </c>
      <c r="E2329">
        <v>8.6999999999999993</v>
      </c>
      <c r="F2329">
        <v>94</v>
      </c>
    </row>
    <row r="2330" spans="1:6" x14ac:dyDescent="0.35">
      <c r="A2330">
        <v>1975</v>
      </c>
      <c r="B2330" s="1">
        <v>45622</v>
      </c>
      <c r="C2330" s="2">
        <v>0</v>
      </c>
      <c r="D2330">
        <v>3</v>
      </c>
      <c r="E2330">
        <v>8.9</v>
      </c>
      <c r="F2330">
        <v>92</v>
      </c>
    </row>
    <row r="2331" spans="1:6" x14ac:dyDescent="0.35">
      <c r="A2331">
        <v>1975</v>
      </c>
      <c r="B2331" s="1">
        <v>45622</v>
      </c>
      <c r="C2331" s="2">
        <v>4.1666666666666657E-2</v>
      </c>
      <c r="D2331">
        <v>3</v>
      </c>
      <c r="E2331">
        <v>8.6</v>
      </c>
      <c r="F2331">
        <v>92</v>
      </c>
    </row>
    <row r="2332" spans="1:6" x14ac:dyDescent="0.35">
      <c r="A2332">
        <v>1975</v>
      </c>
      <c r="B2332" s="1">
        <v>45622</v>
      </c>
      <c r="C2332" s="2">
        <v>8.3333333333333329E-2</v>
      </c>
      <c r="D2332">
        <v>3</v>
      </c>
      <c r="E2332">
        <v>8.5</v>
      </c>
      <c r="F2332">
        <v>91</v>
      </c>
    </row>
    <row r="2333" spans="1:6" x14ac:dyDescent="0.35">
      <c r="A2333">
        <v>1975</v>
      </c>
      <c r="B2333" s="1">
        <v>45622</v>
      </c>
      <c r="C2333" s="2">
        <v>0.125</v>
      </c>
      <c r="D2333">
        <v>3</v>
      </c>
      <c r="E2333">
        <v>8.4</v>
      </c>
      <c r="F2333">
        <v>91</v>
      </c>
    </row>
    <row r="2334" spans="1:6" x14ac:dyDescent="0.35">
      <c r="A2334">
        <v>1975</v>
      </c>
      <c r="B2334" s="1">
        <v>45622</v>
      </c>
      <c r="C2334" s="2">
        <v>0.16666666666666671</v>
      </c>
      <c r="D2334">
        <v>3</v>
      </c>
      <c r="E2334">
        <v>7.6</v>
      </c>
      <c r="F2334">
        <v>93</v>
      </c>
    </row>
    <row r="2335" spans="1:6" x14ac:dyDescent="0.35">
      <c r="A2335">
        <v>1975</v>
      </c>
      <c r="B2335" s="1">
        <v>45622</v>
      </c>
      <c r="C2335" s="2">
        <v>0.20833333333333329</v>
      </c>
      <c r="D2335">
        <v>3</v>
      </c>
      <c r="E2335">
        <v>7.4</v>
      </c>
      <c r="F2335">
        <v>93</v>
      </c>
    </row>
    <row r="2336" spans="1:6" x14ac:dyDescent="0.35">
      <c r="A2336">
        <v>1975</v>
      </c>
      <c r="B2336" s="1">
        <v>45622</v>
      </c>
      <c r="C2336" s="2">
        <v>0.25</v>
      </c>
      <c r="D2336">
        <v>3</v>
      </c>
      <c r="E2336">
        <v>5.8</v>
      </c>
      <c r="F2336">
        <v>96</v>
      </c>
    </row>
    <row r="2337" spans="1:6" x14ac:dyDescent="0.35">
      <c r="A2337">
        <v>1975</v>
      </c>
      <c r="B2337" s="1">
        <v>45622</v>
      </c>
      <c r="C2337" s="2">
        <v>0.29166666666666669</v>
      </c>
      <c r="D2337">
        <v>3</v>
      </c>
      <c r="E2337">
        <v>5.7</v>
      </c>
      <c r="F2337">
        <v>96</v>
      </c>
    </row>
    <row r="2338" spans="1:6" x14ac:dyDescent="0.35">
      <c r="A2338">
        <v>1975</v>
      </c>
      <c r="B2338" s="1">
        <v>45622</v>
      </c>
      <c r="C2338" s="2">
        <v>0.33333333333333331</v>
      </c>
      <c r="D2338">
        <v>3</v>
      </c>
      <c r="E2338">
        <v>6.8</v>
      </c>
      <c r="F2338">
        <v>91</v>
      </c>
    </row>
    <row r="2339" spans="1:6" x14ac:dyDescent="0.35">
      <c r="A2339">
        <v>1975</v>
      </c>
      <c r="B2339" s="1">
        <v>45622</v>
      </c>
      <c r="C2339" s="2">
        <v>0.375</v>
      </c>
      <c r="D2339">
        <v>3</v>
      </c>
      <c r="E2339">
        <v>7.4</v>
      </c>
      <c r="F2339">
        <v>88</v>
      </c>
    </row>
    <row r="2340" spans="1:6" x14ac:dyDescent="0.35">
      <c r="A2340">
        <v>1975</v>
      </c>
      <c r="B2340" s="1">
        <v>45622</v>
      </c>
      <c r="C2340" s="2">
        <v>0.41666666666666669</v>
      </c>
      <c r="D2340">
        <v>3</v>
      </c>
      <c r="E2340">
        <v>7.9</v>
      </c>
      <c r="F2340">
        <v>87</v>
      </c>
    </row>
    <row r="2341" spans="1:6" x14ac:dyDescent="0.35">
      <c r="A2341">
        <v>1975</v>
      </c>
      <c r="B2341" s="1">
        <v>45622</v>
      </c>
      <c r="C2341" s="2">
        <v>0.45833333333333331</v>
      </c>
      <c r="D2341">
        <v>3</v>
      </c>
      <c r="E2341">
        <v>8.6999999999999993</v>
      </c>
      <c r="F2341">
        <v>83</v>
      </c>
    </row>
    <row r="2342" spans="1:6" x14ac:dyDescent="0.35">
      <c r="A2342">
        <v>1975</v>
      </c>
      <c r="B2342" s="1">
        <v>45622</v>
      </c>
      <c r="C2342" s="2">
        <v>0.5</v>
      </c>
      <c r="D2342">
        <v>3</v>
      </c>
      <c r="E2342">
        <v>9.6999999999999993</v>
      </c>
      <c r="F2342">
        <v>75</v>
      </c>
    </row>
    <row r="2343" spans="1:6" x14ac:dyDescent="0.35">
      <c r="A2343">
        <v>1975</v>
      </c>
      <c r="B2343" s="1">
        <v>45622</v>
      </c>
      <c r="C2343" s="2">
        <v>0.54166666666666663</v>
      </c>
      <c r="D2343">
        <v>3</v>
      </c>
      <c r="E2343">
        <v>9.8000000000000007</v>
      </c>
      <c r="F2343">
        <v>75</v>
      </c>
    </row>
    <row r="2344" spans="1:6" x14ac:dyDescent="0.35">
      <c r="A2344">
        <v>1975</v>
      </c>
      <c r="B2344" s="1">
        <v>45622</v>
      </c>
      <c r="C2344" s="2">
        <v>0.58333333333333337</v>
      </c>
      <c r="D2344">
        <v>3</v>
      </c>
      <c r="E2344">
        <v>9.8000000000000007</v>
      </c>
      <c r="F2344">
        <v>75</v>
      </c>
    </row>
    <row r="2345" spans="1:6" x14ac:dyDescent="0.35">
      <c r="A2345">
        <v>1975</v>
      </c>
      <c r="B2345" s="1">
        <v>45622</v>
      </c>
      <c r="C2345" s="2">
        <v>0.625</v>
      </c>
      <c r="D2345">
        <v>3</v>
      </c>
      <c r="E2345">
        <v>9.1999999999999993</v>
      </c>
      <c r="F2345">
        <v>81</v>
      </c>
    </row>
    <row r="2346" spans="1:6" x14ac:dyDescent="0.35">
      <c r="A2346">
        <v>1975</v>
      </c>
      <c r="B2346" s="1">
        <v>45622</v>
      </c>
      <c r="C2346" s="2">
        <v>0.66666666666666663</v>
      </c>
      <c r="D2346">
        <v>3</v>
      </c>
      <c r="E2346">
        <v>6.3</v>
      </c>
      <c r="F2346">
        <v>96</v>
      </c>
    </row>
    <row r="2347" spans="1:6" x14ac:dyDescent="0.35">
      <c r="A2347">
        <v>1975</v>
      </c>
      <c r="B2347" s="1">
        <v>45622</v>
      </c>
      <c r="C2347" s="2">
        <v>0.70833333333333337</v>
      </c>
      <c r="D2347">
        <v>3</v>
      </c>
      <c r="E2347">
        <v>5.0999999999999996</v>
      </c>
      <c r="F2347">
        <v>93</v>
      </c>
    </row>
    <row r="2348" spans="1:6" x14ac:dyDescent="0.35">
      <c r="A2348">
        <v>1975</v>
      </c>
      <c r="B2348" s="1">
        <v>45622</v>
      </c>
      <c r="C2348" s="2">
        <v>0.75</v>
      </c>
      <c r="D2348">
        <v>3</v>
      </c>
      <c r="E2348">
        <v>5.8</v>
      </c>
      <c r="F2348">
        <v>95</v>
      </c>
    </row>
    <row r="2349" spans="1:6" x14ac:dyDescent="0.35">
      <c r="A2349">
        <v>1975</v>
      </c>
      <c r="B2349" s="1">
        <v>45622</v>
      </c>
      <c r="C2349" s="2">
        <v>0.79166666666666663</v>
      </c>
      <c r="D2349">
        <v>3</v>
      </c>
      <c r="E2349">
        <v>5.6</v>
      </c>
      <c r="F2349">
        <v>94</v>
      </c>
    </row>
    <row r="2350" spans="1:6" x14ac:dyDescent="0.35">
      <c r="A2350">
        <v>1975</v>
      </c>
      <c r="B2350" s="1">
        <v>45622</v>
      </c>
      <c r="C2350" s="2">
        <v>0.83333333333333337</v>
      </c>
      <c r="D2350">
        <v>3</v>
      </c>
      <c r="E2350">
        <v>4.5999999999999996</v>
      </c>
      <c r="F2350">
        <v>97</v>
      </c>
    </row>
    <row r="2351" spans="1:6" x14ac:dyDescent="0.35">
      <c r="A2351">
        <v>1975</v>
      </c>
      <c r="B2351" s="1">
        <v>45622</v>
      </c>
      <c r="C2351" s="2">
        <v>0.875</v>
      </c>
      <c r="D2351">
        <v>3</v>
      </c>
      <c r="E2351">
        <v>4.7</v>
      </c>
      <c r="F2351">
        <v>97</v>
      </c>
    </row>
    <row r="2352" spans="1:6" x14ac:dyDescent="0.35">
      <c r="A2352">
        <v>1975</v>
      </c>
      <c r="B2352" s="1">
        <v>45622</v>
      </c>
      <c r="C2352" s="2">
        <v>0.91666666666666663</v>
      </c>
      <c r="D2352">
        <v>3</v>
      </c>
      <c r="E2352">
        <v>4.5</v>
      </c>
      <c r="F2352">
        <v>96</v>
      </c>
    </row>
    <row r="2353" spans="1:6" x14ac:dyDescent="0.35">
      <c r="A2353">
        <v>1975</v>
      </c>
      <c r="B2353" s="1">
        <v>45622</v>
      </c>
      <c r="C2353" s="2">
        <v>0.95833333333333337</v>
      </c>
      <c r="D2353">
        <v>3</v>
      </c>
      <c r="E2353">
        <v>4.5999999999999996</v>
      </c>
      <c r="F2353">
        <v>96</v>
      </c>
    </row>
    <row r="2354" spans="1:6" x14ac:dyDescent="0.35">
      <c r="A2354">
        <v>1975</v>
      </c>
      <c r="B2354" s="1">
        <v>45623</v>
      </c>
      <c r="C2354" s="2">
        <v>0</v>
      </c>
      <c r="D2354">
        <v>3</v>
      </c>
      <c r="E2354">
        <v>3.8</v>
      </c>
      <c r="F2354">
        <v>98</v>
      </c>
    </row>
    <row r="2355" spans="1:6" x14ac:dyDescent="0.35">
      <c r="A2355">
        <v>1975</v>
      </c>
      <c r="B2355" s="1">
        <v>45623</v>
      </c>
      <c r="C2355" s="2">
        <v>4.1666666666666657E-2</v>
      </c>
      <c r="D2355">
        <v>3</v>
      </c>
      <c r="E2355">
        <v>4.7</v>
      </c>
      <c r="F2355">
        <v>97</v>
      </c>
    </row>
    <row r="2356" spans="1:6" x14ac:dyDescent="0.35">
      <c r="A2356">
        <v>1975</v>
      </c>
      <c r="B2356" s="1">
        <v>45623</v>
      </c>
      <c r="C2356" s="2">
        <v>8.3333333333333329E-2</v>
      </c>
      <c r="D2356">
        <v>3</v>
      </c>
      <c r="E2356">
        <v>3.6</v>
      </c>
      <c r="F2356">
        <v>99</v>
      </c>
    </row>
    <row r="2357" spans="1:6" x14ac:dyDescent="0.35">
      <c r="A2357">
        <v>1975</v>
      </c>
      <c r="B2357" s="1">
        <v>45623</v>
      </c>
      <c r="C2357" s="2">
        <v>0.125</v>
      </c>
      <c r="D2357">
        <v>3</v>
      </c>
      <c r="E2357">
        <v>3.4</v>
      </c>
      <c r="F2357">
        <v>100</v>
      </c>
    </row>
    <row r="2358" spans="1:6" x14ac:dyDescent="0.35">
      <c r="A2358">
        <v>1975</v>
      </c>
      <c r="B2358" s="1">
        <v>45623</v>
      </c>
      <c r="C2358" s="2">
        <v>0.16666666666666671</v>
      </c>
      <c r="D2358">
        <v>3</v>
      </c>
      <c r="E2358">
        <v>3.9</v>
      </c>
      <c r="F2358">
        <v>100</v>
      </c>
    </row>
    <row r="2359" spans="1:6" x14ac:dyDescent="0.35">
      <c r="A2359">
        <v>1975</v>
      </c>
      <c r="B2359" s="1">
        <v>45623</v>
      </c>
      <c r="C2359" s="2">
        <v>0.20833333333333329</v>
      </c>
      <c r="D2359">
        <v>3</v>
      </c>
      <c r="E2359">
        <v>3.9</v>
      </c>
      <c r="F2359">
        <v>99</v>
      </c>
    </row>
    <row r="2360" spans="1:6" x14ac:dyDescent="0.35">
      <c r="A2360">
        <v>1975</v>
      </c>
      <c r="B2360" s="1">
        <v>45623</v>
      </c>
      <c r="C2360" s="2">
        <v>0.25</v>
      </c>
      <c r="D2360">
        <v>3</v>
      </c>
      <c r="E2360">
        <v>3.8</v>
      </c>
      <c r="F2360">
        <v>100</v>
      </c>
    </row>
    <row r="2361" spans="1:6" x14ac:dyDescent="0.35">
      <c r="A2361">
        <v>1975</v>
      </c>
      <c r="B2361" s="1">
        <v>45623</v>
      </c>
      <c r="C2361" s="2">
        <v>0.29166666666666669</v>
      </c>
      <c r="D2361">
        <v>3</v>
      </c>
      <c r="E2361">
        <v>4.0999999999999996</v>
      </c>
      <c r="F2361">
        <v>99</v>
      </c>
    </row>
    <row r="2362" spans="1:6" x14ac:dyDescent="0.35">
      <c r="A2362">
        <v>1975</v>
      </c>
      <c r="B2362" s="1">
        <v>45623</v>
      </c>
      <c r="C2362" s="2">
        <v>0.33333333333333331</v>
      </c>
      <c r="D2362">
        <v>3</v>
      </c>
      <c r="E2362">
        <v>4.3</v>
      </c>
      <c r="F2362">
        <v>98</v>
      </c>
    </row>
    <row r="2363" spans="1:6" x14ac:dyDescent="0.35">
      <c r="A2363">
        <v>1975</v>
      </c>
      <c r="B2363" s="1">
        <v>45623</v>
      </c>
      <c r="C2363" s="2">
        <v>0.375</v>
      </c>
      <c r="D2363">
        <v>3</v>
      </c>
      <c r="E2363">
        <v>5.0999999999999996</v>
      </c>
      <c r="F2363">
        <v>95</v>
      </c>
    </row>
    <row r="2364" spans="1:6" x14ac:dyDescent="0.35">
      <c r="A2364">
        <v>1975</v>
      </c>
      <c r="B2364" s="1">
        <v>45623</v>
      </c>
      <c r="C2364" s="2">
        <v>0.41666666666666669</v>
      </c>
      <c r="D2364">
        <v>3</v>
      </c>
      <c r="E2364">
        <v>5.4</v>
      </c>
      <c r="F2364">
        <v>95</v>
      </c>
    </row>
    <row r="2365" spans="1:6" x14ac:dyDescent="0.35">
      <c r="A2365">
        <v>1975</v>
      </c>
      <c r="B2365" s="1">
        <v>45623</v>
      </c>
      <c r="C2365" s="2">
        <v>0.45833333333333331</v>
      </c>
      <c r="D2365">
        <v>3</v>
      </c>
      <c r="E2365">
        <v>5.7</v>
      </c>
      <c r="F2365">
        <v>92</v>
      </c>
    </row>
    <row r="2366" spans="1:6" x14ac:dyDescent="0.35">
      <c r="A2366">
        <v>1975</v>
      </c>
      <c r="B2366" s="1">
        <v>45623</v>
      </c>
      <c r="C2366" s="2">
        <v>0.5</v>
      </c>
      <c r="D2366">
        <v>3</v>
      </c>
      <c r="E2366">
        <v>5.7</v>
      </c>
      <c r="F2366">
        <v>95</v>
      </c>
    </row>
    <row r="2367" spans="1:6" x14ac:dyDescent="0.35">
      <c r="A2367">
        <v>1975</v>
      </c>
      <c r="B2367" s="1">
        <v>45623</v>
      </c>
      <c r="C2367" s="2">
        <v>0.54166666666666663</v>
      </c>
      <c r="D2367">
        <v>3</v>
      </c>
      <c r="E2367">
        <v>6</v>
      </c>
      <c r="F2367">
        <v>96</v>
      </c>
    </row>
    <row r="2368" spans="1:6" x14ac:dyDescent="0.35">
      <c r="A2368">
        <v>1975</v>
      </c>
      <c r="B2368" s="1">
        <v>45623</v>
      </c>
      <c r="C2368" s="2">
        <v>0.58333333333333337</v>
      </c>
      <c r="D2368">
        <v>3</v>
      </c>
      <c r="E2368">
        <v>6.3</v>
      </c>
      <c r="F2368">
        <v>96</v>
      </c>
    </row>
    <row r="2369" spans="1:6" x14ac:dyDescent="0.35">
      <c r="A2369">
        <v>1975</v>
      </c>
      <c r="B2369" s="1">
        <v>45623</v>
      </c>
      <c r="C2369" s="2">
        <v>0.625</v>
      </c>
      <c r="D2369">
        <v>3</v>
      </c>
      <c r="E2369">
        <v>6.4</v>
      </c>
      <c r="F2369">
        <v>96</v>
      </c>
    </row>
    <row r="2370" spans="1:6" x14ac:dyDescent="0.35">
      <c r="A2370">
        <v>1975</v>
      </c>
      <c r="B2370" s="1">
        <v>45623</v>
      </c>
      <c r="C2370" s="2">
        <v>0.66666666666666663</v>
      </c>
      <c r="D2370">
        <v>3</v>
      </c>
      <c r="E2370">
        <v>6.6</v>
      </c>
      <c r="F2370">
        <v>95</v>
      </c>
    </row>
    <row r="2371" spans="1:6" x14ac:dyDescent="0.35">
      <c r="A2371">
        <v>1975</v>
      </c>
      <c r="B2371" s="1">
        <v>45623</v>
      </c>
      <c r="C2371" s="2">
        <v>0.70833333333333337</v>
      </c>
      <c r="D2371">
        <v>3</v>
      </c>
      <c r="E2371">
        <v>6.8</v>
      </c>
      <c r="F2371">
        <v>96</v>
      </c>
    </row>
    <row r="2372" spans="1:6" x14ac:dyDescent="0.35">
      <c r="A2372">
        <v>1975</v>
      </c>
      <c r="B2372" s="1">
        <v>45623</v>
      </c>
      <c r="C2372" s="2">
        <v>0.75</v>
      </c>
      <c r="D2372">
        <v>3</v>
      </c>
      <c r="E2372">
        <v>7.1</v>
      </c>
      <c r="F2372">
        <v>97</v>
      </c>
    </row>
    <row r="2373" spans="1:6" x14ac:dyDescent="0.35">
      <c r="A2373">
        <v>1975</v>
      </c>
      <c r="B2373" s="1">
        <v>45623</v>
      </c>
      <c r="C2373" s="2">
        <v>0.79166666666666663</v>
      </c>
      <c r="D2373">
        <v>3</v>
      </c>
      <c r="E2373">
        <v>7.5</v>
      </c>
      <c r="F2373">
        <v>98</v>
      </c>
    </row>
    <row r="2374" spans="1:6" x14ac:dyDescent="0.35">
      <c r="A2374">
        <v>1975</v>
      </c>
      <c r="B2374" s="1">
        <v>45623</v>
      </c>
      <c r="C2374" s="2">
        <v>0.83333333333333337</v>
      </c>
      <c r="D2374">
        <v>3</v>
      </c>
      <c r="E2374">
        <v>8.3000000000000007</v>
      </c>
      <c r="F2374">
        <v>96</v>
      </c>
    </row>
    <row r="2375" spans="1:6" x14ac:dyDescent="0.35">
      <c r="A2375">
        <v>1975</v>
      </c>
      <c r="B2375" s="1">
        <v>45623</v>
      </c>
      <c r="C2375" s="2">
        <v>0.875</v>
      </c>
      <c r="D2375">
        <v>3</v>
      </c>
      <c r="E2375">
        <v>9</v>
      </c>
      <c r="F2375">
        <v>94</v>
      </c>
    </row>
    <row r="2376" spans="1:6" x14ac:dyDescent="0.35">
      <c r="A2376">
        <v>1975</v>
      </c>
      <c r="B2376" s="1">
        <v>45623</v>
      </c>
      <c r="C2376" s="2">
        <v>0.91666666666666663</v>
      </c>
      <c r="D2376">
        <v>3</v>
      </c>
      <c r="E2376">
        <v>8.6</v>
      </c>
      <c r="F2376">
        <v>75</v>
      </c>
    </row>
    <row r="2377" spans="1:6" x14ac:dyDescent="0.35">
      <c r="A2377">
        <v>1975</v>
      </c>
      <c r="B2377" s="1">
        <v>45623</v>
      </c>
      <c r="C2377" s="2">
        <v>0.95833333333333337</v>
      </c>
      <c r="D2377">
        <v>3</v>
      </c>
      <c r="E2377">
        <v>7.1</v>
      </c>
      <c r="F2377">
        <v>90</v>
      </c>
    </row>
    <row r="2378" spans="1:6" x14ac:dyDescent="0.35">
      <c r="A2378">
        <v>1975</v>
      </c>
      <c r="B2378" s="1">
        <v>45624</v>
      </c>
      <c r="C2378" s="2">
        <v>0</v>
      </c>
      <c r="D2378">
        <v>3</v>
      </c>
      <c r="E2378">
        <v>6.5</v>
      </c>
      <c r="F2378">
        <v>95</v>
      </c>
    </row>
    <row r="2379" spans="1:6" x14ac:dyDescent="0.35">
      <c r="A2379">
        <v>1975</v>
      </c>
      <c r="B2379" s="1">
        <v>45624</v>
      </c>
      <c r="C2379" s="2">
        <v>4.1666666666666657E-2</v>
      </c>
      <c r="D2379">
        <v>3</v>
      </c>
      <c r="E2379">
        <v>6.6</v>
      </c>
      <c r="F2379">
        <v>98</v>
      </c>
    </row>
    <row r="2380" spans="1:6" x14ac:dyDescent="0.35">
      <c r="A2380">
        <v>1975</v>
      </c>
      <c r="B2380" s="1">
        <v>45624</v>
      </c>
      <c r="C2380" s="2">
        <v>8.3333333333333329E-2</v>
      </c>
      <c r="D2380">
        <v>3</v>
      </c>
      <c r="E2380">
        <v>6.6</v>
      </c>
      <c r="F2380">
        <v>97</v>
      </c>
    </row>
    <row r="2381" spans="1:6" x14ac:dyDescent="0.35">
      <c r="A2381">
        <v>1975</v>
      </c>
      <c r="B2381" s="1">
        <v>45624</v>
      </c>
      <c r="C2381" s="2">
        <v>0.125</v>
      </c>
      <c r="D2381">
        <v>3</v>
      </c>
      <c r="E2381">
        <v>6.6</v>
      </c>
      <c r="F2381">
        <v>98</v>
      </c>
    </row>
    <row r="2382" spans="1:6" x14ac:dyDescent="0.35">
      <c r="A2382">
        <v>1975</v>
      </c>
      <c r="B2382" s="1">
        <v>45624</v>
      </c>
      <c r="C2382" s="2">
        <v>0.16666666666666671</v>
      </c>
      <c r="D2382">
        <v>3</v>
      </c>
      <c r="E2382">
        <v>6.2</v>
      </c>
      <c r="F2382">
        <v>97</v>
      </c>
    </row>
    <row r="2383" spans="1:6" x14ac:dyDescent="0.35">
      <c r="A2383">
        <v>1975</v>
      </c>
      <c r="B2383" s="1">
        <v>45624</v>
      </c>
      <c r="C2383" s="2">
        <v>0.20833333333333329</v>
      </c>
      <c r="D2383">
        <v>3</v>
      </c>
      <c r="E2383">
        <v>5.5</v>
      </c>
      <c r="F2383">
        <v>96</v>
      </c>
    </row>
    <row r="2384" spans="1:6" x14ac:dyDescent="0.35">
      <c r="A2384">
        <v>1975</v>
      </c>
      <c r="B2384" s="1">
        <v>45624</v>
      </c>
      <c r="C2384" s="2">
        <v>0.25</v>
      </c>
      <c r="D2384">
        <v>3</v>
      </c>
      <c r="E2384">
        <v>4.9000000000000004</v>
      </c>
      <c r="F2384">
        <v>92</v>
      </c>
    </row>
    <row r="2385" spans="1:6" x14ac:dyDescent="0.35">
      <c r="A2385">
        <v>1975</v>
      </c>
      <c r="B2385" s="1">
        <v>45624</v>
      </c>
      <c r="C2385" s="2">
        <v>0.29166666666666669</v>
      </c>
      <c r="D2385">
        <v>3</v>
      </c>
      <c r="E2385">
        <v>5</v>
      </c>
      <c r="F2385">
        <v>94</v>
      </c>
    </row>
    <row r="2386" spans="1:6" x14ac:dyDescent="0.35">
      <c r="A2386">
        <v>1975</v>
      </c>
      <c r="B2386" s="1">
        <v>45624</v>
      </c>
      <c r="C2386" s="2">
        <v>0.33333333333333331</v>
      </c>
      <c r="D2386">
        <v>3</v>
      </c>
      <c r="E2386">
        <v>5.2</v>
      </c>
      <c r="F2386">
        <v>93</v>
      </c>
    </row>
    <row r="2387" spans="1:6" x14ac:dyDescent="0.35">
      <c r="A2387">
        <v>1975</v>
      </c>
      <c r="B2387" s="1">
        <v>45624</v>
      </c>
      <c r="C2387" s="2">
        <v>0.375</v>
      </c>
      <c r="D2387">
        <v>3</v>
      </c>
      <c r="E2387">
        <v>5.4</v>
      </c>
      <c r="F2387">
        <v>91</v>
      </c>
    </row>
    <row r="2388" spans="1:6" x14ac:dyDescent="0.35">
      <c r="A2388">
        <v>1975</v>
      </c>
      <c r="B2388" s="1">
        <v>45624</v>
      </c>
      <c r="C2388" s="2">
        <v>0.41666666666666669</v>
      </c>
      <c r="D2388">
        <v>3</v>
      </c>
      <c r="E2388">
        <v>5.8</v>
      </c>
      <c r="F2388">
        <v>90</v>
      </c>
    </row>
    <row r="2389" spans="1:6" x14ac:dyDescent="0.35">
      <c r="A2389">
        <v>1975</v>
      </c>
      <c r="B2389" s="1">
        <v>45624</v>
      </c>
      <c r="C2389" s="2">
        <v>0.45833333333333331</v>
      </c>
      <c r="D2389">
        <v>3</v>
      </c>
      <c r="E2389">
        <v>6.3</v>
      </c>
      <c r="F2389">
        <v>87</v>
      </c>
    </row>
    <row r="2390" spans="1:6" x14ac:dyDescent="0.35">
      <c r="A2390">
        <v>1975</v>
      </c>
      <c r="B2390" s="1">
        <v>45624</v>
      </c>
      <c r="C2390" s="2">
        <v>0.5</v>
      </c>
      <c r="D2390">
        <v>3</v>
      </c>
      <c r="E2390">
        <v>6.6</v>
      </c>
      <c r="F2390">
        <v>82</v>
      </c>
    </row>
    <row r="2391" spans="1:6" x14ac:dyDescent="0.35">
      <c r="A2391">
        <v>1975</v>
      </c>
      <c r="B2391" s="1">
        <v>45624</v>
      </c>
      <c r="C2391" s="2">
        <v>0.54166666666666663</v>
      </c>
      <c r="D2391">
        <v>3</v>
      </c>
      <c r="E2391">
        <v>6.7</v>
      </c>
      <c r="F2391">
        <v>82</v>
      </c>
    </row>
    <row r="2392" spans="1:6" x14ac:dyDescent="0.35">
      <c r="A2392">
        <v>1975</v>
      </c>
      <c r="B2392" s="1">
        <v>45624</v>
      </c>
      <c r="C2392" s="2">
        <v>0.58333333333333337</v>
      </c>
      <c r="D2392">
        <v>3</v>
      </c>
      <c r="E2392">
        <v>6.7</v>
      </c>
      <c r="F2392">
        <v>82</v>
      </c>
    </row>
    <row r="2393" spans="1:6" x14ac:dyDescent="0.35">
      <c r="A2393">
        <v>1975</v>
      </c>
      <c r="B2393" s="1">
        <v>45624</v>
      </c>
      <c r="C2393" s="2">
        <v>0.625</v>
      </c>
      <c r="D2393">
        <v>3</v>
      </c>
      <c r="E2393">
        <v>6</v>
      </c>
      <c r="F2393">
        <v>83</v>
      </c>
    </row>
    <row r="2394" spans="1:6" x14ac:dyDescent="0.35">
      <c r="A2394">
        <v>1975</v>
      </c>
      <c r="B2394" s="1">
        <v>45624</v>
      </c>
      <c r="C2394" s="2">
        <v>0.66666666666666663</v>
      </c>
      <c r="D2394">
        <v>3</v>
      </c>
      <c r="E2394">
        <v>5.9</v>
      </c>
      <c r="F2394">
        <v>84</v>
      </c>
    </row>
    <row r="2395" spans="1:6" x14ac:dyDescent="0.35">
      <c r="A2395">
        <v>1975</v>
      </c>
      <c r="B2395" s="1">
        <v>45624</v>
      </c>
      <c r="C2395" s="2">
        <v>0.70833333333333337</v>
      </c>
      <c r="D2395">
        <v>3</v>
      </c>
      <c r="E2395">
        <v>5.6</v>
      </c>
      <c r="F2395">
        <v>86</v>
      </c>
    </row>
    <row r="2396" spans="1:6" x14ac:dyDescent="0.35">
      <c r="A2396">
        <v>1975</v>
      </c>
      <c r="B2396" s="1">
        <v>45624</v>
      </c>
      <c r="C2396" s="2">
        <v>0.75</v>
      </c>
      <c r="D2396">
        <v>3</v>
      </c>
      <c r="E2396">
        <v>5.7</v>
      </c>
      <c r="F2396">
        <v>84</v>
      </c>
    </row>
    <row r="2397" spans="1:6" x14ac:dyDescent="0.35">
      <c r="A2397">
        <v>1975</v>
      </c>
      <c r="B2397" s="1">
        <v>45624</v>
      </c>
      <c r="C2397" s="2">
        <v>0.79166666666666663</v>
      </c>
      <c r="D2397">
        <v>3</v>
      </c>
      <c r="E2397">
        <v>5.3</v>
      </c>
      <c r="F2397">
        <v>84</v>
      </c>
    </row>
    <row r="2398" spans="1:6" x14ac:dyDescent="0.35">
      <c r="A2398">
        <v>1975</v>
      </c>
      <c r="B2398" s="1">
        <v>45624</v>
      </c>
      <c r="C2398" s="2">
        <v>0.83333333333333337</v>
      </c>
      <c r="D2398">
        <v>3</v>
      </c>
      <c r="E2398">
        <v>5.0999999999999996</v>
      </c>
      <c r="F2398">
        <v>84</v>
      </c>
    </row>
    <row r="2399" spans="1:6" x14ac:dyDescent="0.35">
      <c r="A2399">
        <v>1975</v>
      </c>
      <c r="B2399" s="1">
        <v>45624</v>
      </c>
      <c r="C2399" s="2">
        <v>0.875</v>
      </c>
      <c r="D2399">
        <v>3</v>
      </c>
      <c r="E2399">
        <v>4.8</v>
      </c>
      <c r="F2399">
        <v>85</v>
      </c>
    </row>
    <row r="2400" spans="1:6" x14ac:dyDescent="0.35">
      <c r="A2400">
        <v>1975</v>
      </c>
      <c r="B2400" s="1">
        <v>45624</v>
      </c>
      <c r="C2400" s="2">
        <v>0.91666666666666663</v>
      </c>
      <c r="D2400">
        <v>3</v>
      </c>
      <c r="E2400">
        <v>4.8</v>
      </c>
      <c r="F2400">
        <v>85</v>
      </c>
    </row>
    <row r="2401" spans="1:6" x14ac:dyDescent="0.35">
      <c r="A2401">
        <v>1975</v>
      </c>
      <c r="B2401" s="1">
        <v>45624</v>
      </c>
      <c r="C2401" s="2">
        <v>0.95833333333333337</v>
      </c>
      <c r="D2401">
        <v>3</v>
      </c>
      <c r="E2401">
        <v>4.9000000000000004</v>
      </c>
      <c r="F2401">
        <v>86</v>
      </c>
    </row>
    <row r="2402" spans="1:6" x14ac:dyDescent="0.35">
      <c r="A2402">
        <v>1975</v>
      </c>
      <c r="B2402" s="1">
        <v>45625</v>
      </c>
      <c r="C2402" s="2">
        <v>0</v>
      </c>
      <c r="D2402">
        <v>3</v>
      </c>
      <c r="E2402">
        <v>4.9000000000000004</v>
      </c>
      <c r="F2402">
        <v>85</v>
      </c>
    </row>
    <row r="2403" spans="1:6" x14ac:dyDescent="0.35">
      <c r="A2403">
        <v>1975</v>
      </c>
      <c r="B2403" s="1">
        <v>45625</v>
      </c>
      <c r="C2403" s="2">
        <v>4.1666666666666657E-2</v>
      </c>
      <c r="D2403">
        <v>3</v>
      </c>
      <c r="E2403">
        <v>4.9000000000000004</v>
      </c>
      <c r="F2403">
        <v>86</v>
      </c>
    </row>
    <row r="2404" spans="1:6" x14ac:dyDescent="0.35">
      <c r="A2404">
        <v>1975</v>
      </c>
      <c r="B2404" s="1">
        <v>45625</v>
      </c>
      <c r="C2404" s="2">
        <v>8.3333333333333329E-2</v>
      </c>
      <c r="D2404">
        <v>3</v>
      </c>
      <c r="E2404">
        <v>4.8</v>
      </c>
      <c r="F2404">
        <v>87</v>
      </c>
    </row>
    <row r="2405" spans="1:6" x14ac:dyDescent="0.35">
      <c r="A2405">
        <v>1975</v>
      </c>
      <c r="B2405" s="1">
        <v>45625</v>
      </c>
      <c r="C2405" s="2">
        <v>0.125</v>
      </c>
      <c r="D2405">
        <v>3</v>
      </c>
      <c r="E2405">
        <v>4.7</v>
      </c>
      <c r="F2405">
        <v>88</v>
      </c>
    </row>
    <row r="2406" spans="1:6" x14ac:dyDescent="0.35">
      <c r="A2406">
        <v>1975</v>
      </c>
      <c r="B2406" s="1">
        <v>45625</v>
      </c>
      <c r="C2406" s="2">
        <v>0.16666666666666671</v>
      </c>
      <c r="D2406">
        <v>3</v>
      </c>
      <c r="E2406">
        <v>4.5</v>
      </c>
      <c r="F2406">
        <v>91</v>
      </c>
    </row>
    <row r="2407" spans="1:6" x14ac:dyDescent="0.35">
      <c r="A2407">
        <v>1975</v>
      </c>
      <c r="B2407" s="1">
        <v>45625</v>
      </c>
      <c r="C2407" s="2">
        <v>0.20833333333333329</v>
      </c>
      <c r="D2407">
        <v>3</v>
      </c>
      <c r="E2407">
        <v>3.9</v>
      </c>
      <c r="F2407">
        <v>94</v>
      </c>
    </row>
    <row r="2408" spans="1:6" x14ac:dyDescent="0.35">
      <c r="A2408">
        <v>1975</v>
      </c>
      <c r="B2408" s="1">
        <v>45625</v>
      </c>
      <c r="C2408" s="2">
        <v>0.25</v>
      </c>
      <c r="D2408">
        <v>3</v>
      </c>
      <c r="E2408">
        <v>2.6</v>
      </c>
      <c r="F2408">
        <v>98</v>
      </c>
    </row>
    <row r="2409" spans="1:6" x14ac:dyDescent="0.35">
      <c r="A2409">
        <v>1975</v>
      </c>
      <c r="B2409" s="1">
        <v>45625</v>
      </c>
      <c r="C2409" s="2">
        <v>0.29166666666666669</v>
      </c>
      <c r="D2409">
        <v>3</v>
      </c>
      <c r="E2409">
        <v>1.3</v>
      </c>
      <c r="F2409">
        <v>99</v>
      </c>
    </row>
    <row r="2410" spans="1:6" x14ac:dyDescent="0.35">
      <c r="A2410">
        <v>1975</v>
      </c>
      <c r="B2410" s="1">
        <v>45625</v>
      </c>
      <c r="C2410" s="2">
        <v>0.33333333333333331</v>
      </c>
      <c r="D2410">
        <v>3</v>
      </c>
      <c r="E2410">
        <v>0.6</v>
      </c>
      <c r="F2410">
        <v>100</v>
      </c>
    </row>
    <row r="2411" spans="1:6" x14ac:dyDescent="0.35">
      <c r="A2411">
        <v>1975</v>
      </c>
      <c r="B2411" s="1">
        <v>45625</v>
      </c>
      <c r="C2411" s="2">
        <v>0.375</v>
      </c>
      <c r="D2411">
        <v>3</v>
      </c>
      <c r="E2411">
        <v>3</v>
      </c>
      <c r="F2411">
        <v>84</v>
      </c>
    </row>
    <row r="2412" spans="1:6" x14ac:dyDescent="0.35">
      <c r="A2412">
        <v>1975</v>
      </c>
      <c r="B2412" s="1">
        <v>45625</v>
      </c>
      <c r="C2412" s="2">
        <v>0.41666666666666669</v>
      </c>
      <c r="D2412">
        <v>3</v>
      </c>
      <c r="E2412">
        <v>5.3</v>
      </c>
      <c r="F2412">
        <v>76</v>
      </c>
    </row>
    <row r="2413" spans="1:6" x14ac:dyDescent="0.35">
      <c r="A2413">
        <v>1975</v>
      </c>
      <c r="B2413" s="1">
        <v>45625</v>
      </c>
      <c r="C2413" s="2">
        <v>0.45833333333333331</v>
      </c>
      <c r="D2413">
        <v>3</v>
      </c>
      <c r="E2413">
        <v>6</v>
      </c>
      <c r="F2413">
        <v>72</v>
      </c>
    </row>
    <row r="2414" spans="1:6" x14ac:dyDescent="0.35">
      <c r="A2414">
        <v>1975</v>
      </c>
      <c r="B2414" s="1">
        <v>45625</v>
      </c>
      <c r="C2414" s="2">
        <v>0.5</v>
      </c>
      <c r="D2414">
        <v>3</v>
      </c>
      <c r="E2414">
        <v>6.3</v>
      </c>
      <c r="F2414">
        <v>69</v>
      </c>
    </row>
    <row r="2415" spans="1:6" x14ac:dyDescent="0.35">
      <c r="A2415">
        <v>1975</v>
      </c>
      <c r="B2415" s="1">
        <v>45625</v>
      </c>
      <c r="C2415" s="2">
        <v>0.54166666666666663</v>
      </c>
      <c r="D2415">
        <v>3</v>
      </c>
      <c r="E2415">
        <v>6.3</v>
      </c>
      <c r="F2415">
        <v>72</v>
      </c>
    </row>
    <row r="2416" spans="1:6" x14ac:dyDescent="0.35">
      <c r="A2416">
        <v>1975</v>
      </c>
      <c r="B2416" s="1">
        <v>45625</v>
      </c>
      <c r="C2416" s="2">
        <v>0.58333333333333337</v>
      </c>
      <c r="D2416">
        <v>3</v>
      </c>
      <c r="E2416">
        <v>5.7</v>
      </c>
      <c r="F2416">
        <v>75</v>
      </c>
    </row>
    <row r="2417" spans="1:6" x14ac:dyDescent="0.35">
      <c r="A2417">
        <v>1975</v>
      </c>
      <c r="B2417" s="1">
        <v>45625</v>
      </c>
      <c r="C2417" s="2">
        <v>0.625</v>
      </c>
      <c r="D2417">
        <v>3</v>
      </c>
      <c r="E2417">
        <v>4.7</v>
      </c>
      <c r="F2417">
        <v>78</v>
      </c>
    </row>
    <row r="2418" spans="1:6" x14ac:dyDescent="0.35">
      <c r="A2418">
        <v>1975</v>
      </c>
      <c r="B2418" s="1">
        <v>45625</v>
      </c>
      <c r="C2418" s="2">
        <v>0.66666666666666663</v>
      </c>
      <c r="D2418">
        <v>3</v>
      </c>
      <c r="E2418">
        <v>3.2</v>
      </c>
      <c r="F2418">
        <v>87</v>
      </c>
    </row>
    <row r="2419" spans="1:6" x14ac:dyDescent="0.35">
      <c r="A2419">
        <v>1975</v>
      </c>
      <c r="B2419" s="1">
        <v>45625</v>
      </c>
      <c r="C2419" s="2">
        <v>0.70833333333333337</v>
      </c>
      <c r="D2419">
        <v>3</v>
      </c>
      <c r="E2419">
        <v>3.4</v>
      </c>
      <c r="F2419">
        <v>83</v>
      </c>
    </row>
    <row r="2420" spans="1:6" x14ac:dyDescent="0.35">
      <c r="A2420">
        <v>1975</v>
      </c>
      <c r="B2420" s="1">
        <v>45625</v>
      </c>
      <c r="C2420" s="2">
        <v>0.75</v>
      </c>
      <c r="D2420">
        <v>3</v>
      </c>
      <c r="E2420">
        <v>2.7</v>
      </c>
      <c r="F2420">
        <v>86</v>
      </c>
    </row>
    <row r="2421" spans="1:6" x14ac:dyDescent="0.35">
      <c r="A2421">
        <v>1975</v>
      </c>
      <c r="B2421" s="1">
        <v>45625</v>
      </c>
      <c r="C2421" s="2">
        <v>0.79166666666666663</v>
      </c>
      <c r="D2421">
        <v>3</v>
      </c>
      <c r="E2421">
        <v>3</v>
      </c>
      <c r="F2421">
        <v>83</v>
      </c>
    </row>
    <row r="2422" spans="1:6" x14ac:dyDescent="0.35">
      <c r="A2422">
        <v>1975</v>
      </c>
      <c r="B2422" s="1">
        <v>45625</v>
      </c>
      <c r="C2422" s="2">
        <v>0.83333333333333337</v>
      </c>
      <c r="D2422">
        <v>3</v>
      </c>
      <c r="E2422">
        <v>2.8</v>
      </c>
      <c r="F2422">
        <v>83</v>
      </c>
    </row>
    <row r="2423" spans="1:6" x14ac:dyDescent="0.35">
      <c r="A2423">
        <v>1975</v>
      </c>
      <c r="B2423" s="1">
        <v>45625</v>
      </c>
      <c r="C2423" s="2">
        <v>0.875</v>
      </c>
      <c r="D2423">
        <v>3</v>
      </c>
      <c r="E2423">
        <v>2</v>
      </c>
      <c r="F2423">
        <v>85</v>
      </c>
    </row>
    <row r="2424" spans="1:6" x14ac:dyDescent="0.35">
      <c r="A2424">
        <v>1975</v>
      </c>
      <c r="B2424" s="1">
        <v>45625</v>
      </c>
      <c r="C2424" s="2">
        <v>0.91666666666666663</v>
      </c>
      <c r="D2424">
        <v>3</v>
      </c>
      <c r="E2424">
        <v>1.2</v>
      </c>
      <c r="F2424">
        <v>88</v>
      </c>
    </row>
    <row r="2425" spans="1:6" x14ac:dyDescent="0.35">
      <c r="A2425">
        <v>1975</v>
      </c>
      <c r="B2425" s="1">
        <v>45625</v>
      </c>
      <c r="C2425" s="2">
        <v>0.95833333333333337</v>
      </c>
      <c r="D2425">
        <v>3</v>
      </c>
      <c r="E2425">
        <v>1.6</v>
      </c>
      <c r="F2425">
        <v>85</v>
      </c>
    </row>
    <row r="2426" spans="1:6" x14ac:dyDescent="0.35">
      <c r="A2426">
        <v>1975</v>
      </c>
      <c r="B2426" s="1">
        <v>45626</v>
      </c>
      <c r="C2426" s="2">
        <v>0</v>
      </c>
      <c r="D2426">
        <v>3</v>
      </c>
      <c r="E2426">
        <v>1.3</v>
      </c>
      <c r="F2426">
        <v>86</v>
      </c>
    </row>
    <row r="2427" spans="1:6" x14ac:dyDescent="0.35">
      <c r="A2427">
        <v>1975</v>
      </c>
      <c r="B2427" s="1">
        <v>45626</v>
      </c>
      <c r="C2427" s="2">
        <v>4.1666666666666657E-2</v>
      </c>
      <c r="D2427">
        <v>3</v>
      </c>
      <c r="E2427">
        <v>0.8</v>
      </c>
      <c r="F2427">
        <v>88</v>
      </c>
    </row>
    <row r="2428" spans="1:6" x14ac:dyDescent="0.35">
      <c r="A2428">
        <v>1975</v>
      </c>
      <c r="B2428" s="1">
        <v>45626</v>
      </c>
      <c r="C2428" s="2">
        <v>8.3333333333333329E-2</v>
      </c>
      <c r="D2428">
        <v>3</v>
      </c>
      <c r="E2428">
        <v>0.3</v>
      </c>
      <c r="F2428">
        <v>90</v>
      </c>
    </row>
    <row r="2429" spans="1:6" x14ac:dyDescent="0.35">
      <c r="A2429">
        <v>1975</v>
      </c>
      <c r="B2429" s="1">
        <v>45626</v>
      </c>
      <c r="C2429" s="2">
        <v>0.125</v>
      </c>
      <c r="D2429">
        <v>3</v>
      </c>
      <c r="E2429">
        <v>-0.4</v>
      </c>
      <c r="F2429">
        <v>92</v>
      </c>
    </row>
    <row r="2430" spans="1:6" x14ac:dyDescent="0.35">
      <c r="A2430">
        <v>1975</v>
      </c>
      <c r="B2430" s="1">
        <v>45626</v>
      </c>
      <c r="C2430" s="2">
        <v>0.16666666666666671</v>
      </c>
      <c r="D2430">
        <v>3</v>
      </c>
      <c r="E2430">
        <v>-0.2</v>
      </c>
      <c r="F2430">
        <v>92</v>
      </c>
    </row>
    <row r="2431" spans="1:6" x14ac:dyDescent="0.35">
      <c r="A2431">
        <v>1975</v>
      </c>
      <c r="B2431" s="1">
        <v>45626</v>
      </c>
      <c r="C2431" s="2">
        <v>0.20833333333333329</v>
      </c>
      <c r="D2431">
        <v>3</v>
      </c>
      <c r="E2431">
        <v>-0.4</v>
      </c>
      <c r="F2431">
        <v>93</v>
      </c>
    </row>
    <row r="2432" spans="1:6" x14ac:dyDescent="0.35">
      <c r="A2432">
        <v>1975</v>
      </c>
      <c r="B2432" s="1">
        <v>45626</v>
      </c>
      <c r="C2432" s="2">
        <v>0.25</v>
      </c>
      <c r="D2432">
        <v>3</v>
      </c>
      <c r="E2432">
        <v>-0.1</v>
      </c>
      <c r="F2432">
        <v>90</v>
      </c>
    </row>
    <row r="2433" spans="1:6" x14ac:dyDescent="0.35">
      <c r="A2433">
        <v>1975</v>
      </c>
      <c r="B2433" s="1">
        <v>45626</v>
      </c>
      <c r="C2433" s="2">
        <v>0.29166666666666669</v>
      </c>
      <c r="D2433">
        <v>3</v>
      </c>
      <c r="E2433">
        <v>-0.7</v>
      </c>
      <c r="F2433">
        <v>92</v>
      </c>
    </row>
    <row r="2434" spans="1:6" x14ac:dyDescent="0.35">
      <c r="A2434">
        <v>1975</v>
      </c>
      <c r="B2434" s="1">
        <v>45626</v>
      </c>
      <c r="C2434" s="2">
        <v>0.33333333333333331</v>
      </c>
      <c r="D2434">
        <v>3</v>
      </c>
      <c r="E2434">
        <v>-0.1</v>
      </c>
      <c r="F2434">
        <v>89</v>
      </c>
    </row>
    <row r="2435" spans="1:6" x14ac:dyDescent="0.35">
      <c r="A2435">
        <v>1975</v>
      </c>
      <c r="B2435" s="1">
        <v>45626</v>
      </c>
      <c r="C2435" s="2">
        <v>0.375</v>
      </c>
      <c r="D2435">
        <v>3</v>
      </c>
      <c r="E2435">
        <v>0.4</v>
      </c>
      <c r="F2435">
        <v>87</v>
      </c>
    </row>
    <row r="2436" spans="1:6" x14ac:dyDescent="0.35">
      <c r="A2436">
        <v>1975</v>
      </c>
      <c r="B2436" s="1">
        <v>45626</v>
      </c>
      <c r="C2436" s="2">
        <v>0.41666666666666669</v>
      </c>
      <c r="D2436">
        <v>3</v>
      </c>
      <c r="E2436">
        <v>1.7</v>
      </c>
      <c r="F2436">
        <v>81</v>
      </c>
    </row>
    <row r="2437" spans="1:6" x14ac:dyDescent="0.35">
      <c r="A2437">
        <v>1975</v>
      </c>
      <c r="B2437" s="1">
        <v>45626</v>
      </c>
      <c r="C2437" s="2">
        <v>0.45833333333333331</v>
      </c>
      <c r="D2437">
        <v>3</v>
      </c>
      <c r="E2437">
        <v>2.8</v>
      </c>
      <c r="F2437">
        <v>78</v>
      </c>
    </row>
    <row r="2438" spans="1:6" x14ac:dyDescent="0.35">
      <c r="A2438">
        <v>1975</v>
      </c>
      <c r="B2438" s="1">
        <v>45626</v>
      </c>
      <c r="C2438" s="2">
        <v>0.5</v>
      </c>
      <c r="D2438">
        <v>3</v>
      </c>
      <c r="E2438">
        <v>4</v>
      </c>
      <c r="F2438">
        <v>74</v>
      </c>
    </row>
    <row r="2439" spans="1:6" x14ac:dyDescent="0.35">
      <c r="A2439">
        <v>1975</v>
      </c>
      <c r="B2439" s="1">
        <v>45626</v>
      </c>
      <c r="C2439" s="2">
        <v>0.54166666666666663</v>
      </c>
      <c r="D2439">
        <v>3</v>
      </c>
      <c r="E2439">
        <v>4.8</v>
      </c>
      <c r="F2439">
        <v>72</v>
      </c>
    </row>
    <row r="2440" spans="1:6" x14ac:dyDescent="0.35">
      <c r="A2440">
        <v>1975</v>
      </c>
      <c r="B2440" s="1">
        <v>45626</v>
      </c>
      <c r="C2440" s="2">
        <v>0.58333333333333337</v>
      </c>
      <c r="D2440">
        <v>3</v>
      </c>
      <c r="E2440">
        <v>5</v>
      </c>
      <c r="F2440">
        <v>71</v>
      </c>
    </row>
    <row r="2441" spans="1:6" x14ac:dyDescent="0.35">
      <c r="A2441">
        <v>1975</v>
      </c>
      <c r="B2441" s="1">
        <v>45626</v>
      </c>
      <c r="C2441" s="2">
        <v>0.625</v>
      </c>
      <c r="D2441">
        <v>3</v>
      </c>
      <c r="E2441">
        <v>3.8</v>
      </c>
      <c r="F2441">
        <v>74</v>
      </c>
    </row>
    <row r="2442" spans="1:6" x14ac:dyDescent="0.35">
      <c r="A2442">
        <v>1975</v>
      </c>
      <c r="B2442" s="1">
        <v>45626</v>
      </c>
      <c r="C2442" s="2">
        <v>0.66666666666666663</v>
      </c>
      <c r="D2442">
        <v>3</v>
      </c>
      <c r="E2442">
        <v>3.3</v>
      </c>
      <c r="F2442">
        <v>77</v>
      </c>
    </row>
    <row r="2443" spans="1:6" x14ac:dyDescent="0.35">
      <c r="A2443">
        <v>1975</v>
      </c>
      <c r="B2443" s="1">
        <v>45626</v>
      </c>
      <c r="C2443" s="2">
        <v>0.70833333333333337</v>
      </c>
      <c r="D2443">
        <v>3</v>
      </c>
      <c r="E2443">
        <v>2.7</v>
      </c>
      <c r="F2443">
        <v>79</v>
      </c>
    </row>
    <row r="2444" spans="1:6" x14ac:dyDescent="0.35">
      <c r="A2444">
        <v>1975</v>
      </c>
      <c r="B2444" s="1">
        <v>45626</v>
      </c>
      <c r="C2444" s="2">
        <v>0.75</v>
      </c>
      <c r="D2444">
        <v>3</v>
      </c>
      <c r="E2444">
        <v>2.9</v>
      </c>
      <c r="F2444">
        <v>78</v>
      </c>
    </row>
    <row r="2445" spans="1:6" x14ac:dyDescent="0.35">
      <c r="A2445">
        <v>1975</v>
      </c>
      <c r="B2445" s="1">
        <v>45626</v>
      </c>
      <c r="C2445" s="2">
        <v>0.79166666666666663</v>
      </c>
      <c r="D2445">
        <v>3</v>
      </c>
      <c r="E2445">
        <v>2</v>
      </c>
      <c r="F2445">
        <v>81</v>
      </c>
    </row>
    <row r="2446" spans="1:6" x14ac:dyDescent="0.35">
      <c r="A2446">
        <v>1975</v>
      </c>
      <c r="B2446" s="1">
        <v>45626</v>
      </c>
      <c r="C2446" s="2">
        <v>0.83333333333333337</v>
      </c>
      <c r="D2446">
        <v>3</v>
      </c>
      <c r="E2446">
        <v>1.2</v>
      </c>
      <c r="F2446">
        <v>85</v>
      </c>
    </row>
    <row r="2447" spans="1:6" x14ac:dyDescent="0.35">
      <c r="A2447">
        <v>1975</v>
      </c>
      <c r="B2447" s="1">
        <v>45626</v>
      </c>
      <c r="C2447" s="2">
        <v>0.875</v>
      </c>
      <c r="D2447">
        <v>3</v>
      </c>
      <c r="E2447">
        <v>0.8</v>
      </c>
      <c r="F2447">
        <v>85</v>
      </c>
    </row>
    <row r="2448" spans="1:6" x14ac:dyDescent="0.35">
      <c r="A2448">
        <v>1975</v>
      </c>
      <c r="B2448" s="1">
        <v>45626</v>
      </c>
      <c r="C2448" s="2">
        <v>0.91666666666666663</v>
      </c>
      <c r="D2448">
        <v>3</v>
      </c>
      <c r="E2448">
        <v>0.5</v>
      </c>
      <c r="F2448">
        <v>86</v>
      </c>
    </row>
    <row r="2449" spans="1:6" x14ac:dyDescent="0.35">
      <c r="A2449">
        <v>1975</v>
      </c>
      <c r="B2449" s="1">
        <v>45626</v>
      </c>
      <c r="C2449" s="2">
        <v>0.95833333333333337</v>
      </c>
      <c r="D2449">
        <v>3</v>
      </c>
      <c r="E2449">
        <v>0.5</v>
      </c>
      <c r="F2449">
        <v>86</v>
      </c>
    </row>
    <row r="2450" spans="1:6" x14ac:dyDescent="0.35">
      <c r="A2450">
        <v>1975</v>
      </c>
      <c r="B2450" s="1">
        <v>45627</v>
      </c>
      <c r="C2450" s="2">
        <v>0</v>
      </c>
      <c r="D2450">
        <v>3</v>
      </c>
      <c r="E2450">
        <v>0.1</v>
      </c>
      <c r="F2450">
        <v>87</v>
      </c>
    </row>
    <row r="2451" spans="1:6" x14ac:dyDescent="0.35">
      <c r="A2451">
        <v>1975</v>
      </c>
      <c r="B2451" s="1">
        <v>45627</v>
      </c>
      <c r="C2451" s="2">
        <v>4.1666666666666657E-2</v>
      </c>
      <c r="D2451">
        <v>3</v>
      </c>
      <c r="E2451">
        <v>-0.1</v>
      </c>
      <c r="F2451">
        <v>88</v>
      </c>
    </row>
    <row r="2452" spans="1:6" x14ac:dyDescent="0.35">
      <c r="A2452">
        <v>1975</v>
      </c>
      <c r="B2452" s="1">
        <v>45627</v>
      </c>
      <c r="C2452" s="2">
        <v>8.3333333333333329E-2</v>
      </c>
      <c r="D2452">
        <v>3</v>
      </c>
      <c r="E2452">
        <v>-0.6</v>
      </c>
      <c r="F2452">
        <v>89</v>
      </c>
    </row>
    <row r="2453" spans="1:6" x14ac:dyDescent="0.35">
      <c r="A2453">
        <v>1975</v>
      </c>
      <c r="B2453" s="1">
        <v>45627</v>
      </c>
      <c r="C2453" s="2">
        <v>0.125</v>
      </c>
      <c r="D2453">
        <v>3</v>
      </c>
      <c r="E2453">
        <v>-0.7</v>
      </c>
      <c r="F2453">
        <v>90</v>
      </c>
    </row>
    <row r="2454" spans="1:6" x14ac:dyDescent="0.35">
      <c r="A2454">
        <v>1975</v>
      </c>
      <c r="B2454" s="1">
        <v>45627</v>
      </c>
      <c r="C2454" s="2">
        <v>0.16666666666666671</v>
      </c>
      <c r="D2454">
        <v>3</v>
      </c>
      <c r="E2454">
        <v>-1.1000000000000001</v>
      </c>
      <c r="F2454">
        <v>91</v>
      </c>
    </row>
    <row r="2455" spans="1:6" x14ac:dyDescent="0.35">
      <c r="A2455">
        <v>1975</v>
      </c>
      <c r="B2455" s="1">
        <v>45627</v>
      </c>
      <c r="C2455" s="2">
        <v>0.20833333333333329</v>
      </c>
      <c r="D2455">
        <v>3</v>
      </c>
      <c r="E2455">
        <v>-0.5</v>
      </c>
      <c r="F2455">
        <v>89</v>
      </c>
    </row>
    <row r="2456" spans="1:6" x14ac:dyDescent="0.35">
      <c r="A2456">
        <v>1975</v>
      </c>
      <c r="B2456" s="1">
        <v>45627</v>
      </c>
      <c r="C2456" s="2">
        <v>0.25</v>
      </c>
      <c r="D2456">
        <v>3</v>
      </c>
      <c r="E2456">
        <v>-1.2</v>
      </c>
      <c r="F2456">
        <v>90</v>
      </c>
    </row>
    <row r="2457" spans="1:6" x14ac:dyDescent="0.35">
      <c r="A2457">
        <v>1975</v>
      </c>
      <c r="B2457" s="1">
        <v>45627</v>
      </c>
      <c r="C2457" s="2">
        <v>0.29166666666666669</v>
      </c>
      <c r="D2457">
        <v>3</v>
      </c>
      <c r="E2457">
        <v>-1.1000000000000001</v>
      </c>
      <c r="F2457">
        <v>91</v>
      </c>
    </row>
    <row r="2458" spans="1:6" x14ac:dyDescent="0.35">
      <c r="A2458">
        <v>1975</v>
      </c>
      <c r="B2458" s="1">
        <v>45627</v>
      </c>
      <c r="C2458" s="2">
        <v>0.33333333333333331</v>
      </c>
      <c r="D2458">
        <v>3</v>
      </c>
      <c r="E2458">
        <v>-1.1000000000000001</v>
      </c>
      <c r="F2458">
        <v>90</v>
      </c>
    </row>
    <row r="2459" spans="1:6" x14ac:dyDescent="0.35">
      <c r="A2459">
        <v>1975</v>
      </c>
      <c r="B2459" s="1">
        <v>45627</v>
      </c>
      <c r="C2459" s="2">
        <v>0.375</v>
      </c>
      <c r="D2459">
        <v>3</v>
      </c>
      <c r="E2459">
        <v>0.4</v>
      </c>
      <c r="F2459">
        <v>84</v>
      </c>
    </row>
    <row r="2460" spans="1:6" x14ac:dyDescent="0.35">
      <c r="A2460">
        <v>1975</v>
      </c>
      <c r="B2460" s="1">
        <v>45627</v>
      </c>
      <c r="C2460" s="2">
        <v>0.41666666666666669</v>
      </c>
      <c r="D2460">
        <v>3</v>
      </c>
      <c r="E2460">
        <v>1.6</v>
      </c>
      <c r="F2460">
        <v>80</v>
      </c>
    </row>
    <row r="2461" spans="1:6" x14ac:dyDescent="0.35">
      <c r="A2461">
        <v>1975</v>
      </c>
      <c r="B2461" s="1">
        <v>45627</v>
      </c>
      <c r="C2461" s="2">
        <v>0.45833333333333331</v>
      </c>
      <c r="D2461">
        <v>3</v>
      </c>
      <c r="E2461">
        <v>3.2</v>
      </c>
      <c r="F2461">
        <v>74</v>
      </c>
    </row>
    <row r="2462" spans="1:6" x14ac:dyDescent="0.35">
      <c r="A2462">
        <v>1975</v>
      </c>
      <c r="B2462" s="1">
        <v>45627</v>
      </c>
      <c r="C2462" s="2">
        <v>0.5</v>
      </c>
      <c r="D2462">
        <v>3</v>
      </c>
      <c r="E2462">
        <v>4.8</v>
      </c>
      <c r="F2462">
        <v>71</v>
      </c>
    </row>
    <row r="2463" spans="1:6" x14ac:dyDescent="0.35">
      <c r="A2463">
        <v>1975</v>
      </c>
      <c r="B2463" s="1">
        <v>45627</v>
      </c>
      <c r="C2463" s="2">
        <v>0.54166666666666663</v>
      </c>
      <c r="D2463">
        <v>3</v>
      </c>
      <c r="E2463">
        <v>4.4000000000000004</v>
      </c>
      <c r="F2463">
        <v>72</v>
      </c>
    </row>
    <row r="2464" spans="1:6" x14ac:dyDescent="0.35">
      <c r="A2464">
        <v>1975</v>
      </c>
      <c r="B2464" s="1">
        <v>45627</v>
      </c>
      <c r="C2464" s="2">
        <v>0.58333333333333337</v>
      </c>
      <c r="D2464">
        <v>3</v>
      </c>
      <c r="E2464">
        <v>4.5</v>
      </c>
      <c r="F2464">
        <v>73</v>
      </c>
    </row>
    <row r="2465" spans="1:6" x14ac:dyDescent="0.35">
      <c r="A2465">
        <v>1975</v>
      </c>
      <c r="B2465" s="1">
        <v>45627</v>
      </c>
      <c r="C2465" s="2">
        <v>0.625</v>
      </c>
      <c r="D2465">
        <v>3</v>
      </c>
      <c r="E2465">
        <v>3.4</v>
      </c>
      <c r="F2465">
        <v>78</v>
      </c>
    </row>
    <row r="2466" spans="1:6" x14ac:dyDescent="0.35">
      <c r="A2466">
        <v>1975</v>
      </c>
      <c r="B2466" s="1">
        <v>45627</v>
      </c>
      <c r="C2466" s="2">
        <v>0.66666666666666663</v>
      </c>
      <c r="D2466">
        <v>3</v>
      </c>
      <c r="E2466">
        <v>2.5</v>
      </c>
      <c r="F2466">
        <v>82</v>
      </c>
    </row>
    <row r="2467" spans="1:6" x14ac:dyDescent="0.35">
      <c r="A2467">
        <v>1975</v>
      </c>
      <c r="B2467" s="1">
        <v>45627</v>
      </c>
      <c r="C2467" s="2">
        <v>0.70833333333333337</v>
      </c>
      <c r="D2467">
        <v>3</v>
      </c>
      <c r="E2467">
        <v>2.9</v>
      </c>
      <c r="F2467">
        <v>79</v>
      </c>
    </row>
    <row r="2468" spans="1:6" x14ac:dyDescent="0.35">
      <c r="A2468">
        <v>1975</v>
      </c>
      <c r="B2468" s="1">
        <v>45627</v>
      </c>
      <c r="C2468" s="2">
        <v>0.75</v>
      </c>
      <c r="D2468">
        <v>3</v>
      </c>
      <c r="E2468">
        <v>2.5</v>
      </c>
      <c r="F2468">
        <v>79</v>
      </c>
    </row>
    <row r="2469" spans="1:6" x14ac:dyDescent="0.35">
      <c r="A2469">
        <v>1975</v>
      </c>
      <c r="B2469" s="1">
        <v>45627</v>
      </c>
      <c r="C2469" s="2">
        <v>0.79166666666666663</v>
      </c>
      <c r="D2469">
        <v>3</v>
      </c>
      <c r="E2469">
        <v>2.2999999999999998</v>
      </c>
      <c r="F2469">
        <v>80</v>
      </c>
    </row>
    <row r="2470" spans="1:6" x14ac:dyDescent="0.35">
      <c r="A2470">
        <v>1975</v>
      </c>
      <c r="B2470" s="1">
        <v>45627</v>
      </c>
      <c r="C2470" s="2">
        <v>0.83333333333333337</v>
      </c>
      <c r="D2470">
        <v>3</v>
      </c>
      <c r="E2470">
        <v>1.7</v>
      </c>
      <c r="F2470">
        <v>81</v>
      </c>
    </row>
    <row r="2471" spans="1:6" x14ac:dyDescent="0.35">
      <c r="A2471">
        <v>1975</v>
      </c>
      <c r="B2471" s="1">
        <v>45627</v>
      </c>
      <c r="C2471" s="2">
        <v>0.875</v>
      </c>
      <c r="D2471">
        <v>3</v>
      </c>
      <c r="E2471">
        <v>1.1000000000000001</v>
      </c>
      <c r="F2471">
        <v>83</v>
      </c>
    </row>
    <row r="2472" spans="1:6" x14ac:dyDescent="0.35">
      <c r="A2472">
        <v>1975</v>
      </c>
      <c r="B2472" s="1">
        <v>45627</v>
      </c>
      <c r="C2472" s="2">
        <v>0.91666666666666663</v>
      </c>
      <c r="D2472">
        <v>3</v>
      </c>
      <c r="E2472">
        <v>1.3</v>
      </c>
      <c r="F2472">
        <v>82</v>
      </c>
    </row>
    <row r="2473" spans="1:6" x14ac:dyDescent="0.35">
      <c r="A2473">
        <v>1975</v>
      </c>
      <c r="B2473" s="1">
        <v>45627</v>
      </c>
      <c r="C2473" s="2">
        <v>0.95833333333333337</v>
      </c>
      <c r="D2473">
        <v>3</v>
      </c>
      <c r="E2473">
        <v>1.6</v>
      </c>
      <c r="F2473">
        <v>80</v>
      </c>
    </row>
    <row r="2474" spans="1:6" x14ac:dyDescent="0.35">
      <c r="A2474">
        <v>1975</v>
      </c>
      <c r="B2474" s="1">
        <v>45628</v>
      </c>
      <c r="C2474" s="2">
        <v>0</v>
      </c>
      <c r="D2474">
        <v>3</v>
      </c>
      <c r="E2474">
        <v>1.9</v>
      </c>
      <c r="F2474">
        <v>80</v>
      </c>
    </row>
    <row r="2475" spans="1:6" x14ac:dyDescent="0.35">
      <c r="A2475">
        <v>1975</v>
      </c>
      <c r="B2475" s="1">
        <v>45628</v>
      </c>
      <c r="C2475" s="2">
        <v>4.1666666666666657E-2</v>
      </c>
      <c r="D2475">
        <v>3</v>
      </c>
      <c r="E2475">
        <v>3.9</v>
      </c>
      <c r="F2475">
        <v>76</v>
      </c>
    </row>
    <row r="2476" spans="1:6" x14ac:dyDescent="0.35">
      <c r="A2476">
        <v>1975</v>
      </c>
      <c r="B2476" s="1">
        <v>45628</v>
      </c>
      <c r="C2476" s="2">
        <v>8.3333333333333329E-2</v>
      </c>
      <c r="D2476">
        <v>3</v>
      </c>
      <c r="E2476">
        <v>4.5</v>
      </c>
      <c r="F2476">
        <v>84</v>
      </c>
    </row>
    <row r="2477" spans="1:6" x14ac:dyDescent="0.35">
      <c r="A2477">
        <v>1975</v>
      </c>
      <c r="B2477" s="1">
        <v>45628</v>
      </c>
      <c r="C2477" s="2">
        <v>0.125</v>
      </c>
      <c r="D2477">
        <v>3</v>
      </c>
      <c r="E2477">
        <v>5.0999999999999996</v>
      </c>
      <c r="F2477">
        <v>87</v>
      </c>
    </row>
    <row r="2478" spans="1:6" x14ac:dyDescent="0.35">
      <c r="A2478">
        <v>1975</v>
      </c>
      <c r="B2478" s="1">
        <v>45628</v>
      </c>
      <c r="C2478" s="2">
        <v>0.16666666666666671</v>
      </c>
      <c r="D2478">
        <v>3</v>
      </c>
      <c r="E2478">
        <v>5.3</v>
      </c>
      <c r="F2478">
        <v>90</v>
      </c>
    </row>
    <row r="2479" spans="1:6" x14ac:dyDescent="0.35">
      <c r="A2479">
        <v>1975</v>
      </c>
      <c r="B2479" s="1">
        <v>45628</v>
      </c>
      <c r="C2479" s="2">
        <v>0.20833333333333329</v>
      </c>
      <c r="D2479">
        <v>3</v>
      </c>
      <c r="E2479">
        <v>5.4</v>
      </c>
      <c r="F2479">
        <v>94</v>
      </c>
    </row>
    <row r="2480" spans="1:6" x14ac:dyDescent="0.35">
      <c r="A2480">
        <v>1975</v>
      </c>
      <c r="B2480" s="1">
        <v>45628</v>
      </c>
      <c r="C2480" s="2">
        <v>0.25</v>
      </c>
      <c r="D2480">
        <v>3</v>
      </c>
      <c r="E2480">
        <v>5.9</v>
      </c>
      <c r="F2480">
        <v>93</v>
      </c>
    </row>
    <row r="2481" spans="1:6" x14ac:dyDescent="0.35">
      <c r="A2481">
        <v>1975</v>
      </c>
      <c r="B2481" s="1">
        <v>45628</v>
      </c>
      <c r="C2481" s="2">
        <v>0.29166666666666669</v>
      </c>
      <c r="D2481">
        <v>3</v>
      </c>
      <c r="E2481">
        <v>6.3</v>
      </c>
      <c r="F2481">
        <v>95</v>
      </c>
    </row>
    <row r="2482" spans="1:6" x14ac:dyDescent="0.35">
      <c r="A2482">
        <v>1975</v>
      </c>
      <c r="B2482" s="1">
        <v>45628</v>
      </c>
      <c r="C2482" s="2">
        <v>0.33333333333333331</v>
      </c>
      <c r="D2482">
        <v>3</v>
      </c>
      <c r="E2482">
        <v>6.6</v>
      </c>
      <c r="F2482">
        <v>94</v>
      </c>
    </row>
    <row r="2483" spans="1:6" x14ac:dyDescent="0.35">
      <c r="A2483">
        <v>1975</v>
      </c>
      <c r="B2483" s="1">
        <v>45628</v>
      </c>
      <c r="C2483" s="2">
        <v>0.375</v>
      </c>
      <c r="D2483">
        <v>3</v>
      </c>
      <c r="E2483">
        <v>7.1</v>
      </c>
      <c r="F2483">
        <v>96</v>
      </c>
    </row>
    <row r="2484" spans="1:6" x14ac:dyDescent="0.35">
      <c r="A2484">
        <v>1975</v>
      </c>
      <c r="B2484" s="1">
        <v>45628</v>
      </c>
      <c r="C2484" s="2">
        <v>0.41666666666666669</v>
      </c>
      <c r="D2484">
        <v>3</v>
      </c>
      <c r="E2484">
        <v>7.8</v>
      </c>
      <c r="F2484">
        <v>94</v>
      </c>
    </row>
    <row r="2485" spans="1:6" x14ac:dyDescent="0.35">
      <c r="A2485">
        <v>1975</v>
      </c>
      <c r="B2485" s="1">
        <v>45628</v>
      </c>
      <c r="C2485" s="2">
        <v>0.45833333333333331</v>
      </c>
      <c r="D2485">
        <v>3</v>
      </c>
      <c r="E2485">
        <v>8.3000000000000007</v>
      </c>
      <c r="F2485">
        <v>92</v>
      </c>
    </row>
    <row r="2486" spans="1:6" x14ac:dyDescent="0.35">
      <c r="A2486">
        <v>1975</v>
      </c>
      <c r="B2486" s="1">
        <v>45628</v>
      </c>
      <c r="C2486" s="2">
        <v>0.5</v>
      </c>
      <c r="D2486">
        <v>3</v>
      </c>
      <c r="E2486">
        <v>8.3000000000000007</v>
      </c>
      <c r="F2486">
        <v>96</v>
      </c>
    </row>
    <row r="2487" spans="1:6" x14ac:dyDescent="0.35">
      <c r="A2487">
        <v>1975</v>
      </c>
      <c r="B2487" s="1">
        <v>45628</v>
      </c>
      <c r="C2487" s="2">
        <v>0.54166666666666663</v>
      </c>
      <c r="D2487">
        <v>3</v>
      </c>
      <c r="E2487">
        <v>8.4</v>
      </c>
      <c r="F2487">
        <v>95</v>
      </c>
    </row>
    <row r="2488" spans="1:6" x14ac:dyDescent="0.35">
      <c r="A2488">
        <v>1975</v>
      </c>
      <c r="B2488" s="1">
        <v>45628</v>
      </c>
      <c r="C2488" s="2">
        <v>0.58333333333333337</v>
      </c>
      <c r="D2488">
        <v>3</v>
      </c>
      <c r="E2488">
        <v>8.4</v>
      </c>
      <c r="F2488">
        <v>96</v>
      </c>
    </row>
    <row r="2489" spans="1:6" x14ac:dyDescent="0.35">
      <c r="A2489">
        <v>1975</v>
      </c>
      <c r="B2489" s="1">
        <v>45628</v>
      </c>
      <c r="C2489" s="2">
        <v>0.625</v>
      </c>
      <c r="D2489">
        <v>3</v>
      </c>
      <c r="E2489">
        <v>8.5</v>
      </c>
      <c r="F2489">
        <v>95</v>
      </c>
    </row>
    <row r="2490" spans="1:6" x14ac:dyDescent="0.35">
      <c r="A2490">
        <v>1975</v>
      </c>
      <c r="B2490" s="1">
        <v>45628</v>
      </c>
      <c r="C2490" s="2">
        <v>0.66666666666666663</v>
      </c>
      <c r="D2490">
        <v>3</v>
      </c>
      <c r="E2490">
        <v>8.3000000000000007</v>
      </c>
      <c r="F2490">
        <v>96</v>
      </c>
    </row>
    <row r="2491" spans="1:6" x14ac:dyDescent="0.35">
      <c r="A2491">
        <v>1975</v>
      </c>
      <c r="B2491" s="1">
        <v>45628</v>
      </c>
      <c r="C2491" s="2">
        <v>0.70833333333333337</v>
      </c>
      <c r="D2491">
        <v>3</v>
      </c>
      <c r="E2491">
        <v>8.6999999999999993</v>
      </c>
      <c r="F2491">
        <v>94</v>
      </c>
    </row>
    <row r="2492" spans="1:6" x14ac:dyDescent="0.35">
      <c r="A2492">
        <v>1975</v>
      </c>
      <c r="B2492" s="1">
        <v>45628</v>
      </c>
      <c r="C2492" s="2">
        <v>0.75</v>
      </c>
      <c r="D2492">
        <v>3</v>
      </c>
      <c r="E2492">
        <v>8.8000000000000007</v>
      </c>
      <c r="F2492">
        <v>94</v>
      </c>
    </row>
    <row r="2493" spans="1:6" x14ac:dyDescent="0.35">
      <c r="A2493">
        <v>1975</v>
      </c>
      <c r="B2493" s="1">
        <v>45628</v>
      </c>
      <c r="C2493" s="2">
        <v>0.79166666666666663</v>
      </c>
      <c r="D2493">
        <v>3</v>
      </c>
      <c r="E2493">
        <v>8.6</v>
      </c>
      <c r="F2493">
        <v>95</v>
      </c>
    </row>
    <row r="2494" spans="1:6" x14ac:dyDescent="0.35">
      <c r="A2494">
        <v>1975</v>
      </c>
      <c r="B2494" s="1">
        <v>45628</v>
      </c>
      <c r="C2494" s="2">
        <v>0.83333333333333337</v>
      </c>
      <c r="D2494">
        <v>3</v>
      </c>
      <c r="E2494">
        <v>8.5</v>
      </c>
      <c r="F2494">
        <v>96</v>
      </c>
    </row>
    <row r="2495" spans="1:6" x14ac:dyDescent="0.35">
      <c r="A2495">
        <v>1975</v>
      </c>
      <c r="B2495" s="1">
        <v>45628</v>
      </c>
      <c r="C2495" s="2">
        <v>0.875</v>
      </c>
      <c r="D2495">
        <v>3</v>
      </c>
      <c r="E2495">
        <v>8.1</v>
      </c>
      <c r="F2495">
        <v>98</v>
      </c>
    </row>
    <row r="2496" spans="1:6" x14ac:dyDescent="0.35">
      <c r="A2496">
        <v>1975</v>
      </c>
      <c r="B2496" s="1">
        <v>45628</v>
      </c>
      <c r="C2496" s="2">
        <v>0.91666666666666663</v>
      </c>
      <c r="D2496">
        <v>3</v>
      </c>
      <c r="E2496">
        <v>8.1999999999999993</v>
      </c>
      <c r="F2496">
        <v>98</v>
      </c>
    </row>
    <row r="2497" spans="1:6" x14ac:dyDescent="0.35">
      <c r="A2497">
        <v>1975</v>
      </c>
      <c r="B2497" s="1">
        <v>45628</v>
      </c>
      <c r="C2497" s="2">
        <v>0.95833333333333337</v>
      </c>
      <c r="D2497">
        <v>3</v>
      </c>
      <c r="E2497">
        <v>8.5</v>
      </c>
      <c r="F2497">
        <v>98</v>
      </c>
    </row>
    <row r="2498" spans="1:6" x14ac:dyDescent="0.35">
      <c r="A2498">
        <v>1975</v>
      </c>
      <c r="B2498" s="1">
        <v>45629</v>
      </c>
      <c r="C2498" s="2">
        <v>0</v>
      </c>
      <c r="D2498">
        <v>3</v>
      </c>
      <c r="E2498">
        <v>8.5</v>
      </c>
      <c r="F2498">
        <v>95</v>
      </c>
    </row>
    <row r="2499" spans="1:6" x14ac:dyDescent="0.35">
      <c r="A2499">
        <v>1975</v>
      </c>
      <c r="B2499" s="1">
        <v>45629</v>
      </c>
      <c r="C2499" s="2">
        <v>4.1666666666666657E-2</v>
      </c>
      <c r="D2499">
        <v>3</v>
      </c>
      <c r="E2499">
        <v>8</v>
      </c>
      <c r="F2499">
        <v>95</v>
      </c>
    </row>
    <row r="2500" spans="1:6" x14ac:dyDescent="0.35">
      <c r="A2500">
        <v>1975</v>
      </c>
      <c r="B2500" s="1">
        <v>45629</v>
      </c>
      <c r="C2500" s="2">
        <v>8.3333333333333329E-2</v>
      </c>
      <c r="D2500">
        <v>3</v>
      </c>
      <c r="E2500">
        <v>7.6</v>
      </c>
      <c r="F2500">
        <v>96</v>
      </c>
    </row>
    <row r="2501" spans="1:6" x14ac:dyDescent="0.35">
      <c r="A2501">
        <v>1975</v>
      </c>
      <c r="B2501" s="1">
        <v>45629</v>
      </c>
      <c r="C2501" s="2">
        <v>0.125</v>
      </c>
      <c r="D2501">
        <v>3</v>
      </c>
      <c r="E2501">
        <v>7.2</v>
      </c>
      <c r="F2501">
        <v>97</v>
      </c>
    </row>
    <row r="2502" spans="1:6" x14ac:dyDescent="0.35">
      <c r="A2502">
        <v>1975</v>
      </c>
      <c r="B2502" s="1">
        <v>45629</v>
      </c>
      <c r="C2502" s="2">
        <v>0.16666666666666671</v>
      </c>
      <c r="D2502">
        <v>3</v>
      </c>
      <c r="E2502">
        <v>6.9</v>
      </c>
      <c r="F2502">
        <v>96</v>
      </c>
    </row>
    <row r="2503" spans="1:6" x14ac:dyDescent="0.35">
      <c r="A2503">
        <v>1975</v>
      </c>
      <c r="B2503" s="1">
        <v>45629</v>
      </c>
      <c r="C2503" s="2">
        <v>0.20833333333333329</v>
      </c>
      <c r="D2503">
        <v>3</v>
      </c>
      <c r="E2503">
        <v>6.8</v>
      </c>
      <c r="F2503">
        <v>98</v>
      </c>
    </row>
    <row r="2504" spans="1:6" x14ac:dyDescent="0.35">
      <c r="A2504">
        <v>1975</v>
      </c>
      <c r="B2504" s="1">
        <v>45629</v>
      </c>
      <c r="C2504" s="2">
        <v>0.25</v>
      </c>
      <c r="D2504">
        <v>3</v>
      </c>
      <c r="E2504">
        <v>6.8</v>
      </c>
      <c r="F2504">
        <v>98</v>
      </c>
    </row>
    <row r="2505" spans="1:6" x14ac:dyDescent="0.35">
      <c r="A2505">
        <v>1975</v>
      </c>
      <c r="B2505" s="1">
        <v>45629</v>
      </c>
      <c r="C2505" s="2">
        <v>0.29166666666666669</v>
      </c>
      <c r="D2505">
        <v>3</v>
      </c>
      <c r="E2505">
        <v>6.8</v>
      </c>
      <c r="F2505">
        <v>99</v>
      </c>
    </row>
    <row r="2506" spans="1:6" x14ac:dyDescent="0.35">
      <c r="A2506">
        <v>1975</v>
      </c>
      <c r="B2506" s="1">
        <v>45629</v>
      </c>
      <c r="C2506" s="2">
        <v>0.33333333333333331</v>
      </c>
      <c r="D2506">
        <v>3</v>
      </c>
      <c r="E2506">
        <v>6.6</v>
      </c>
      <c r="F2506">
        <v>97</v>
      </c>
    </row>
    <row r="2507" spans="1:6" x14ac:dyDescent="0.35">
      <c r="A2507">
        <v>1975</v>
      </c>
      <c r="B2507" s="1">
        <v>45629</v>
      </c>
      <c r="C2507" s="2">
        <v>0.375</v>
      </c>
      <c r="D2507">
        <v>3</v>
      </c>
      <c r="E2507">
        <v>5.8</v>
      </c>
      <c r="F2507">
        <v>93</v>
      </c>
    </row>
    <row r="2508" spans="1:6" x14ac:dyDescent="0.35">
      <c r="A2508">
        <v>1975</v>
      </c>
      <c r="B2508" s="1">
        <v>45629</v>
      </c>
      <c r="C2508" s="2">
        <v>0.41666666666666669</v>
      </c>
      <c r="D2508">
        <v>3</v>
      </c>
      <c r="E2508">
        <v>6.3</v>
      </c>
      <c r="F2508">
        <v>93</v>
      </c>
    </row>
    <row r="2509" spans="1:6" x14ac:dyDescent="0.35">
      <c r="A2509">
        <v>1975</v>
      </c>
      <c r="B2509" s="1">
        <v>45629</v>
      </c>
      <c r="C2509" s="2">
        <v>0.45833333333333331</v>
      </c>
      <c r="D2509">
        <v>3</v>
      </c>
      <c r="E2509">
        <v>6.8</v>
      </c>
      <c r="F2509">
        <v>89</v>
      </c>
    </row>
    <row r="2510" spans="1:6" x14ac:dyDescent="0.35">
      <c r="A2510">
        <v>1975</v>
      </c>
      <c r="B2510" s="1">
        <v>45629</v>
      </c>
      <c r="C2510" s="2">
        <v>0.5</v>
      </c>
      <c r="D2510">
        <v>3</v>
      </c>
      <c r="E2510">
        <v>6.4</v>
      </c>
      <c r="F2510">
        <v>86</v>
      </c>
    </row>
    <row r="2511" spans="1:6" x14ac:dyDescent="0.35">
      <c r="A2511">
        <v>1975</v>
      </c>
      <c r="B2511" s="1">
        <v>45629</v>
      </c>
      <c r="C2511" s="2">
        <v>0.54166666666666663</v>
      </c>
      <c r="D2511">
        <v>3</v>
      </c>
      <c r="E2511">
        <v>7</v>
      </c>
      <c r="F2511">
        <v>81</v>
      </c>
    </row>
    <row r="2512" spans="1:6" x14ac:dyDescent="0.35">
      <c r="A2512">
        <v>1975</v>
      </c>
      <c r="B2512" s="1">
        <v>45629</v>
      </c>
      <c r="C2512" s="2">
        <v>0.58333333333333337</v>
      </c>
      <c r="D2512">
        <v>3</v>
      </c>
      <c r="E2512">
        <v>6.6</v>
      </c>
      <c r="F2512">
        <v>83</v>
      </c>
    </row>
    <row r="2513" spans="1:6" x14ac:dyDescent="0.35">
      <c r="A2513">
        <v>1975</v>
      </c>
      <c r="B2513" s="1">
        <v>45629</v>
      </c>
      <c r="C2513" s="2">
        <v>0.625</v>
      </c>
      <c r="D2513">
        <v>3</v>
      </c>
      <c r="E2513">
        <v>6.1</v>
      </c>
      <c r="F2513">
        <v>88</v>
      </c>
    </row>
    <row r="2514" spans="1:6" x14ac:dyDescent="0.35">
      <c r="A2514">
        <v>1975</v>
      </c>
      <c r="B2514" s="1">
        <v>45629</v>
      </c>
      <c r="C2514" s="2">
        <v>0.66666666666666663</v>
      </c>
      <c r="D2514">
        <v>3</v>
      </c>
      <c r="E2514">
        <v>5.6</v>
      </c>
      <c r="F2514">
        <v>95</v>
      </c>
    </row>
    <row r="2515" spans="1:6" x14ac:dyDescent="0.35">
      <c r="A2515">
        <v>1975</v>
      </c>
      <c r="B2515" s="1">
        <v>45629</v>
      </c>
      <c r="C2515" s="2">
        <v>0.70833333333333337</v>
      </c>
      <c r="D2515">
        <v>3</v>
      </c>
      <c r="E2515">
        <v>5.5</v>
      </c>
      <c r="F2515">
        <v>95</v>
      </c>
    </row>
    <row r="2516" spans="1:6" x14ac:dyDescent="0.35">
      <c r="A2516">
        <v>1975</v>
      </c>
      <c r="B2516" s="1">
        <v>45629</v>
      </c>
      <c r="C2516" s="2">
        <v>0.75</v>
      </c>
      <c r="D2516">
        <v>3</v>
      </c>
      <c r="E2516">
        <v>5.3</v>
      </c>
      <c r="F2516">
        <v>95</v>
      </c>
    </row>
    <row r="2517" spans="1:6" x14ac:dyDescent="0.35">
      <c r="A2517">
        <v>1975</v>
      </c>
      <c r="B2517" s="1">
        <v>45629</v>
      </c>
      <c r="C2517" s="2">
        <v>0.79166666666666663</v>
      </c>
      <c r="D2517">
        <v>3</v>
      </c>
      <c r="E2517">
        <v>5.3</v>
      </c>
      <c r="F2517">
        <v>95</v>
      </c>
    </row>
    <row r="2518" spans="1:6" x14ac:dyDescent="0.35">
      <c r="A2518">
        <v>1975</v>
      </c>
      <c r="B2518" s="1">
        <v>45629</v>
      </c>
      <c r="C2518" s="2">
        <v>0.83333333333333337</v>
      </c>
      <c r="D2518">
        <v>3</v>
      </c>
      <c r="E2518">
        <v>4.8</v>
      </c>
      <c r="F2518">
        <v>97</v>
      </c>
    </row>
    <row r="2519" spans="1:6" x14ac:dyDescent="0.35">
      <c r="A2519">
        <v>1975</v>
      </c>
      <c r="B2519" s="1">
        <v>45629</v>
      </c>
      <c r="C2519" s="2">
        <v>0.875</v>
      </c>
      <c r="D2519">
        <v>3</v>
      </c>
      <c r="E2519">
        <v>4.8</v>
      </c>
      <c r="F2519">
        <v>96</v>
      </c>
    </row>
    <row r="2520" spans="1:6" x14ac:dyDescent="0.35">
      <c r="A2520">
        <v>1975</v>
      </c>
      <c r="B2520" s="1">
        <v>45629</v>
      </c>
      <c r="C2520" s="2">
        <v>0.91666666666666663</v>
      </c>
      <c r="D2520">
        <v>3</v>
      </c>
      <c r="E2520">
        <v>4.5</v>
      </c>
      <c r="F2520">
        <v>95</v>
      </c>
    </row>
    <row r="2521" spans="1:6" x14ac:dyDescent="0.35">
      <c r="A2521">
        <v>1975</v>
      </c>
      <c r="B2521" s="1">
        <v>45629</v>
      </c>
      <c r="C2521" s="2">
        <v>0.95833333333333337</v>
      </c>
      <c r="D2521">
        <v>3</v>
      </c>
      <c r="E2521">
        <v>4.4000000000000004</v>
      </c>
      <c r="F2521">
        <v>91</v>
      </c>
    </row>
    <row r="2522" spans="1:6" x14ac:dyDescent="0.35">
      <c r="A2522">
        <v>1975</v>
      </c>
      <c r="B2522" s="1">
        <v>45630</v>
      </c>
      <c r="C2522" s="2">
        <v>0</v>
      </c>
      <c r="D2522">
        <v>3</v>
      </c>
      <c r="E2522">
        <v>4.2</v>
      </c>
      <c r="F2522">
        <v>94</v>
      </c>
    </row>
    <row r="2523" spans="1:6" x14ac:dyDescent="0.35">
      <c r="A2523">
        <v>1975</v>
      </c>
      <c r="B2523" s="1">
        <v>45630</v>
      </c>
      <c r="C2523" s="2">
        <v>4.1666666666666657E-2</v>
      </c>
      <c r="D2523">
        <v>3</v>
      </c>
      <c r="E2523">
        <v>4.2</v>
      </c>
      <c r="F2523">
        <v>93</v>
      </c>
    </row>
    <row r="2524" spans="1:6" x14ac:dyDescent="0.35">
      <c r="A2524">
        <v>1975</v>
      </c>
      <c r="B2524" s="1">
        <v>45630</v>
      </c>
      <c r="C2524" s="2">
        <v>8.3333333333333329E-2</v>
      </c>
      <c r="D2524">
        <v>3</v>
      </c>
      <c r="E2524">
        <v>4.2</v>
      </c>
      <c r="F2524">
        <v>93</v>
      </c>
    </row>
    <row r="2525" spans="1:6" x14ac:dyDescent="0.35">
      <c r="A2525">
        <v>1975</v>
      </c>
      <c r="B2525" s="1">
        <v>45630</v>
      </c>
      <c r="C2525" s="2">
        <v>0.125</v>
      </c>
      <c r="D2525">
        <v>3</v>
      </c>
      <c r="E2525">
        <v>4.2</v>
      </c>
      <c r="F2525">
        <v>94</v>
      </c>
    </row>
    <row r="2526" spans="1:6" x14ac:dyDescent="0.35">
      <c r="A2526">
        <v>1975</v>
      </c>
      <c r="B2526" s="1">
        <v>45630</v>
      </c>
      <c r="C2526" s="2">
        <v>0.16666666666666671</v>
      </c>
      <c r="D2526">
        <v>3</v>
      </c>
      <c r="E2526">
        <v>4.3</v>
      </c>
      <c r="F2526">
        <v>96</v>
      </c>
    </row>
    <row r="2527" spans="1:6" x14ac:dyDescent="0.35">
      <c r="A2527">
        <v>1975</v>
      </c>
      <c r="B2527" s="1">
        <v>45630</v>
      </c>
      <c r="C2527" s="2">
        <v>0.20833333333333329</v>
      </c>
      <c r="D2527">
        <v>3</v>
      </c>
      <c r="E2527">
        <v>4.2</v>
      </c>
      <c r="F2527">
        <v>94</v>
      </c>
    </row>
    <row r="2528" spans="1:6" x14ac:dyDescent="0.35">
      <c r="A2528">
        <v>1975</v>
      </c>
      <c r="B2528" s="1">
        <v>45630</v>
      </c>
      <c r="C2528" s="2">
        <v>0.25</v>
      </c>
      <c r="D2528">
        <v>3</v>
      </c>
      <c r="E2528">
        <v>4.0999999999999996</v>
      </c>
      <c r="F2528">
        <v>95</v>
      </c>
    </row>
    <row r="2529" spans="1:6" x14ac:dyDescent="0.35">
      <c r="A2529">
        <v>1975</v>
      </c>
      <c r="B2529" s="1">
        <v>45630</v>
      </c>
      <c r="C2529" s="2">
        <v>0.29166666666666669</v>
      </c>
      <c r="D2529">
        <v>3</v>
      </c>
      <c r="E2529">
        <v>4</v>
      </c>
      <c r="F2529">
        <v>92</v>
      </c>
    </row>
    <row r="2530" spans="1:6" x14ac:dyDescent="0.35">
      <c r="A2530">
        <v>1975</v>
      </c>
      <c r="B2530" s="1">
        <v>45630</v>
      </c>
      <c r="C2530" s="2">
        <v>0.33333333333333331</v>
      </c>
      <c r="D2530">
        <v>3</v>
      </c>
      <c r="E2530">
        <v>4</v>
      </c>
      <c r="F2530">
        <v>91</v>
      </c>
    </row>
    <row r="2531" spans="1:6" x14ac:dyDescent="0.35">
      <c r="A2531">
        <v>1975</v>
      </c>
      <c r="B2531" s="1">
        <v>45630</v>
      </c>
      <c r="C2531" s="2">
        <v>0.375</v>
      </c>
      <c r="D2531">
        <v>3</v>
      </c>
      <c r="E2531">
        <v>4.3</v>
      </c>
      <c r="F2531">
        <v>92</v>
      </c>
    </row>
    <row r="2532" spans="1:6" x14ac:dyDescent="0.35">
      <c r="A2532">
        <v>1975</v>
      </c>
      <c r="B2532" s="1">
        <v>45630</v>
      </c>
      <c r="C2532" s="2">
        <v>0.41666666666666669</v>
      </c>
      <c r="D2532">
        <v>3</v>
      </c>
      <c r="E2532">
        <v>4.5</v>
      </c>
      <c r="F2532">
        <v>93</v>
      </c>
    </row>
    <row r="2533" spans="1:6" x14ac:dyDescent="0.35">
      <c r="A2533">
        <v>1975</v>
      </c>
      <c r="B2533" s="1">
        <v>45630</v>
      </c>
      <c r="C2533" s="2">
        <v>0.45833333333333331</v>
      </c>
      <c r="D2533">
        <v>3</v>
      </c>
      <c r="E2533">
        <v>5</v>
      </c>
      <c r="F2533">
        <v>90</v>
      </c>
    </row>
    <row r="2534" spans="1:6" x14ac:dyDescent="0.35">
      <c r="A2534">
        <v>1975</v>
      </c>
      <c r="B2534" s="1">
        <v>45630</v>
      </c>
      <c r="C2534" s="2">
        <v>0.5</v>
      </c>
      <c r="D2534">
        <v>3</v>
      </c>
      <c r="E2534">
        <v>5.2</v>
      </c>
      <c r="F2534">
        <v>92</v>
      </c>
    </row>
    <row r="2535" spans="1:6" x14ac:dyDescent="0.35">
      <c r="A2535">
        <v>1975</v>
      </c>
      <c r="B2535" s="1">
        <v>45630</v>
      </c>
      <c r="C2535" s="2">
        <v>0.54166666666666663</v>
      </c>
      <c r="D2535">
        <v>3</v>
      </c>
      <c r="E2535">
        <v>5.4</v>
      </c>
      <c r="F2535">
        <v>92</v>
      </c>
    </row>
    <row r="2536" spans="1:6" x14ac:dyDescent="0.35">
      <c r="A2536">
        <v>1975</v>
      </c>
      <c r="B2536" s="1">
        <v>45630</v>
      </c>
      <c r="C2536" s="2">
        <v>0.58333333333333337</v>
      </c>
      <c r="D2536">
        <v>3</v>
      </c>
      <c r="E2536">
        <v>5.5</v>
      </c>
      <c r="F2536">
        <v>91</v>
      </c>
    </row>
    <row r="2537" spans="1:6" x14ac:dyDescent="0.35">
      <c r="A2537">
        <v>1975</v>
      </c>
      <c r="B2537" s="1">
        <v>45630</v>
      </c>
      <c r="C2537" s="2">
        <v>0.625</v>
      </c>
      <c r="D2537">
        <v>3</v>
      </c>
      <c r="E2537">
        <v>5.4</v>
      </c>
      <c r="F2537">
        <v>92</v>
      </c>
    </row>
    <row r="2538" spans="1:6" x14ac:dyDescent="0.35">
      <c r="A2538">
        <v>1975</v>
      </c>
      <c r="B2538" s="1">
        <v>45630</v>
      </c>
      <c r="C2538" s="2">
        <v>0.66666666666666663</v>
      </c>
      <c r="D2538">
        <v>3</v>
      </c>
      <c r="E2538">
        <v>5.4</v>
      </c>
      <c r="F2538">
        <v>93</v>
      </c>
    </row>
    <row r="2539" spans="1:6" x14ac:dyDescent="0.35">
      <c r="A2539">
        <v>1975</v>
      </c>
      <c r="B2539" s="1">
        <v>45630</v>
      </c>
      <c r="C2539" s="2">
        <v>0.70833333333333337</v>
      </c>
      <c r="D2539">
        <v>3</v>
      </c>
      <c r="E2539">
        <v>5.2</v>
      </c>
      <c r="F2539">
        <v>96</v>
      </c>
    </row>
    <row r="2540" spans="1:6" x14ac:dyDescent="0.35">
      <c r="A2540">
        <v>1975</v>
      </c>
      <c r="B2540" s="1">
        <v>45630</v>
      </c>
      <c r="C2540" s="2">
        <v>0.75</v>
      </c>
      <c r="D2540">
        <v>3</v>
      </c>
      <c r="E2540">
        <v>5.2</v>
      </c>
      <c r="F2540">
        <v>97</v>
      </c>
    </row>
    <row r="2541" spans="1:6" x14ac:dyDescent="0.35">
      <c r="A2541">
        <v>1975</v>
      </c>
      <c r="B2541" s="1">
        <v>45630</v>
      </c>
      <c r="C2541" s="2">
        <v>0.79166666666666663</v>
      </c>
      <c r="D2541">
        <v>3</v>
      </c>
      <c r="E2541">
        <v>5.2</v>
      </c>
      <c r="F2541">
        <v>98</v>
      </c>
    </row>
    <row r="2542" spans="1:6" x14ac:dyDescent="0.35">
      <c r="A2542">
        <v>1975</v>
      </c>
      <c r="B2542" s="1">
        <v>45630</v>
      </c>
      <c r="C2542" s="2">
        <v>0.83333333333333337</v>
      </c>
      <c r="D2542">
        <v>3</v>
      </c>
      <c r="E2542">
        <v>5.2</v>
      </c>
      <c r="F2542">
        <v>97</v>
      </c>
    </row>
    <row r="2543" spans="1:6" x14ac:dyDescent="0.35">
      <c r="A2543">
        <v>1975</v>
      </c>
      <c r="B2543" s="1">
        <v>45630</v>
      </c>
      <c r="C2543" s="2">
        <v>0.875</v>
      </c>
      <c r="D2543">
        <v>3</v>
      </c>
      <c r="E2543">
        <v>4.8</v>
      </c>
      <c r="F2543">
        <v>99</v>
      </c>
    </row>
    <row r="2544" spans="1:6" x14ac:dyDescent="0.35">
      <c r="A2544">
        <v>1975</v>
      </c>
      <c r="B2544" s="1">
        <v>45630</v>
      </c>
      <c r="C2544" s="2">
        <v>0.91666666666666663</v>
      </c>
      <c r="D2544">
        <v>3</v>
      </c>
      <c r="E2544">
        <v>5</v>
      </c>
      <c r="F2544">
        <v>99</v>
      </c>
    </row>
    <row r="2545" spans="1:6" x14ac:dyDescent="0.35">
      <c r="A2545">
        <v>1975</v>
      </c>
      <c r="B2545" s="1">
        <v>45630</v>
      </c>
      <c r="C2545" s="2">
        <v>0.95833333333333337</v>
      </c>
      <c r="D2545">
        <v>3</v>
      </c>
      <c r="E2545">
        <v>4.8</v>
      </c>
      <c r="F2545">
        <v>99</v>
      </c>
    </row>
    <row r="2546" spans="1:6" x14ac:dyDescent="0.35">
      <c r="A2546">
        <v>1975</v>
      </c>
      <c r="B2546" s="1">
        <v>45631</v>
      </c>
      <c r="C2546" s="2">
        <v>0</v>
      </c>
      <c r="D2546">
        <v>3</v>
      </c>
      <c r="E2546">
        <v>4.3</v>
      </c>
      <c r="F2546">
        <v>96</v>
      </c>
    </row>
    <row r="2547" spans="1:6" x14ac:dyDescent="0.35">
      <c r="A2547">
        <v>1975</v>
      </c>
      <c r="B2547" s="1">
        <v>45631</v>
      </c>
      <c r="C2547" s="2">
        <v>4.1666666666666657E-2</v>
      </c>
      <c r="D2547">
        <v>3</v>
      </c>
      <c r="E2547">
        <v>3.9</v>
      </c>
      <c r="F2547">
        <v>97</v>
      </c>
    </row>
    <row r="2548" spans="1:6" x14ac:dyDescent="0.35">
      <c r="A2548">
        <v>1975</v>
      </c>
      <c r="B2548" s="1">
        <v>45631</v>
      </c>
      <c r="C2548" s="2">
        <v>8.3333333333333329E-2</v>
      </c>
      <c r="D2548">
        <v>3</v>
      </c>
      <c r="E2548">
        <v>3.6</v>
      </c>
      <c r="F2548">
        <v>97</v>
      </c>
    </row>
    <row r="2549" spans="1:6" x14ac:dyDescent="0.35">
      <c r="A2549">
        <v>1975</v>
      </c>
      <c r="B2549" s="1">
        <v>45631</v>
      </c>
      <c r="C2549" s="2">
        <v>0.125</v>
      </c>
      <c r="D2549">
        <v>3</v>
      </c>
      <c r="E2549">
        <v>1.5</v>
      </c>
      <c r="F2549">
        <v>100</v>
      </c>
    </row>
    <row r="2550" spans="1:6" x14ac:dyDescent="0.35">
      <c r="A2550">
        <v>1975</v>
      </c>
      <c r="B2550" s="1">
        <v>45631</v>
      </c>
      <c r="C2550" s="2">
        <v>0.16666666666666671</v>
      </c>
      <c r="D2550">
        <v>3</v>
      </c>
      <c r="E2550">
        <v>2.1</v>
      </c>
      <c r="F2550">
        <v>100</v>
      </c>
    </row>
    <row r="2551" spans="1:6" x14ac:dyDescent="0.35">
      <c r="A2551">
        <v>1975</v>
      </c>
      <c r="B2551" s="1">
        <v>45631</v>
      </c>
      <c r="C2551" s="2">
        <v>0.20833333333333329</v>
      </c>
      <c r="D2551">
        <v>3</v>
      </c>
      <c r="E2551">
        <v>2</v>
      </c>
      <c r="F2551">
        <v>99</v>
      </c>
    </row>
    <row r="2552" spans="1:6" x14ac:dyDescent="0.35">
      <c r="A2552">
        <v>1975</v>
      </c>
      <c r="B2552" s="1">
        <v>45631</v>
      </c>
      <c r="C2552" s="2">
        <v>0.25</v>
      </c>
      <c r="D2552">
        <v>3</v>
      </c>
      <c r="E2552">
        <v>2</v>
      </c>
      <c r="F2552">
        <v>98</v>
      </c>
    </row>
    <row r="2553" spans="1:6" x14ac:dyDescent="0.35">
      <c r="A2553">
        <v>1975</v>
      </c>
      <c r="B2553" s="1">
        <v>45631</v>
      </c>
      <c r="C2553" s="2">
        <v>0.29166666666666669</v>
      </c>
      <c r="D2553">
        <v>3</v>
      </c>
      <c r="E2553">
        <v>2.2000000000000002</v>
      </c>
      <c r="F2553">
        <v>96</v>
      </c>
    </row>
    <row r="2554" spans="1:6" x14ac:dyDescent="0.35">
      <c r="A2554">
        <v>1975</v>
      </c>
      <c r="B2554" s="1">
        <v>45631</v>
      </c>
      <c r="C2554" s="2">
        <v>0.33333333333333331</v>
      </c>
      <c r="D2554">
        <v>3</v>
      </c>
      <c r="E2554">
        <v>2.6</v>
      </c>
      <c r="F2554">
        <v>94</v>
      </c>
    </row>
    <row r="2555" spans="1:6" x14ac:dyDescent="0.35">
      <c r="A2555">
        <v>1975</v>
      </c>
      <c r="B2555" s="1">
        <v>45631</v>
      </c>
      <c r="C2555" s="2">
        <v>0.375</v>
      </c>
      <c r="D2555">
        <v>3</v>
      </c>
      <c r="E2555">
        <v>2.8</v>
      </c>
      <c r="F2555">
        <v>94</v>
      </c>
    </row>
    <row r="2556" spans="1:6" x14ac:dyDescent="0.35">
      <c r="A2556">
        <v>1975</v>
      </c>
      <c r="B2556" s="1">
        <v>45631</v>
      </c>
      <c r="C2556" s="2">
        <v>0.41666666666666669</v>
      </c>
      <c r="D2556">
        <v>3</v>
      </c>
      <c r="E2556">
        <v>3.2</v>
      </c>
      <c r="F2556">
        <v>91</v>
      </c>
    </row>
    <row r="2557" spans="1:6" x14ac:dyDescent="0.35">
      <c r="A2557">
        <v>1975</v>
      </c>
      <c r="B2557" s="1">
        <v>45631</v>
      </c>
      <c r="C2557" s="2">
        <v>0.45833333333333331</v>
      </c>
      <c r="D2557">
        <v>3</v>
      </c>
      <c r="E2557">
        <v>3.7</v>
      </c>
      <c r="F2557">
        <v>87</v>
      </c>
    </row>
    <row r="2558" spans="1:6" x14ac:dyDescent="0.35">
      <c r="A2558">
        <v>1975</v>
      </c>
      <c r="B2558" s="1">
        <v>45631</v>
      </c>
      <c r="C2558" s="2">
        <v>0.5</v>
      </c>
      <c r="D2558">
        <v>3</v>
      </c>
      <c r="E2558">
        <v>3.9</v>
      </c>
      <c r="F2558">
        <v>83</v>
      </c>
    </row>
    <row r="2559" spans="1:6" x14ac:dyDescent="0.35">
      <c r="A2559">
        <v>1975</v>
      </c>
      <c r="B2559" s="1">
        <v>45631</v>
      </c>
      <c r="C2559" s="2">
        <v>0.54166666666666663</v>
      </c>
      <c r="D2559">
        <v>3</v>
      </c>
      <c r="E2559">
        <v>3.6</v>
      </c>
      <c r="F2559">
        <v>84</v>
      </c>
    </row>
    <row r="2560" spans="1:6" x14ac:dyDescent="0.35">
      <c r="A2560">
        <v>1975</v>
      </c>
      <c r="B2560" s="1">
        <v>45631</v>
      </c>
      <c r="C2560" s="2">
        <v>0.58333333333333337</v>
      </c>
      <c r="D2560">
        <v>3</v>
      </c>
      <c r="E2560">
        <v>3.7</v>
      </c>
      <c r="F2560">
        <v>83</v>
      </c>
    </row>
    <row r="2561" spans="1:6" x14ac:dyDescent="0.35">
      <c r="A2561">
        <v>1975</v>
      </c>
      <c r="B2561" s="1">
        <v>45631</v>
      </c>
      <c r="C2561" s="2">
        <v>0.625</v>
      </c>
      <c r="D2561">
        <v>3</v>
      </c>
      <c r="E2561">
        <v>3.8</v>
      </c>
      <c r="F2561">
        <v>83</v>
      </c>
    </row>
    <row r="2562" spans="1:6" x14ac:dyDescent="0.35">
      <c r="A2562">
        <v>1975</v>
      </c>
      <c r="B2562" s="1">
        <v>45631</v>
      </c>
      <c r="C2562" s="2">
        <v>0.66666666666666663</v>
      </c>
      <c r="D2562">
        <v>3</v>
      </c>
      <c r="E2562">
        <v>3.6</v>
      </c>
      <c r="F2562">
        <v>87</v>
      </c>
    </row>
    <row r="2563" spans="1:6" x14ac:dyDescent="0.35">
      <c r="A2563">
        <v>1975</v>
      </c>
      <c r="B2563" s="1">
        <v>45631</v>
      </c>
      <c r="C2563" s="2">
        <v>0.70833333333333337</v>
      </c>
      <c r="D2563">
        <v>3</v>
      </c>
      <c r="E2563">
        <v>3.9</v>
      </c>
      <c r="F2563">
        <v>87</v>
      </c>
    </row>
    <row r="2564" spans="1:6" x14ac:dyDescent="0.35">
      <c r="A2564">
        <v>1975</v>
      </c>
      <c r="B2564" s="1">
        <v>45631</v>
      </c>
      <c r="C2564" s="2">
        <v>0.75</v>
      </c>
      <c r="D2564">
        <v>3</v>
      </c>
      <c r="E2564">
        <v>3.8</v>
      </c>
      <c r="F2564">
        <v>89</v>
      </c>
    </row>
    <row r="2565" spans="1:6" x14ac:dyDescent="0.35">
      <c r="A2565">
        <v>1975</v>
      </c>
      <c r="B2565" s="1">
        <v>45631</v>
      </c>
      <c r="C2565" s="2">
        <v>0.79166666666666663</v>
      </c>
      <c r="D2565">
        <v>3</v>
      </c>
      <c r="E2565">
        <v>3.9</v>
      </c>
      <c r="F2565">
        <v>89</v>
      </c>
    </row>
    <row r="2566" spans="1:6" x14ac:dyDescent="0.35">
      <c r="A2566">
        <v>1975</v>
      </c>
      <c r="B2566" s="1">
        <v>45631</v>
      </c>
      <c r="C2566" s="2">
        <v>0.83333333333333337</v>
      </c>
      <c r="D2566">
        <v>3</v>
      </c>
      <c r="E2566">
        <v>3.6</v>
      </c>
      <c r="F2566">
        <v>93</v>
      </c>
    </row>
    <row r="2567" spans="1:6" x14ac:dyDescent="0.35">
      <c r="A2567">
        <v>1975</v>
      </c>
      <c r="B2567" s="1">
        <v>45631</v>
      </c>
      <c r="C2567" s="2">
        <v>0.875</v>
      </c>
      <c r="D2567">
        <v>3</v>
      </c>
      <c r="E2567">
        <v>3.3</v>
      </c>
      <c r="F2567">
        <v>96</v>
      </c>
    </row>
    <row r="2568" spans="1:6" x14ac:dyDescent="0.35">
      <c r="A2568">
        <v>1975</v>
      </c>
      <c r="B2568" s="1">
        <v>45631</v>
      </c>
      <c r="C2568" s="2">
        <v>0.91666666666666663</v>
      </c>
      <c r="D2568">
        <v>3</v>
      </c>
      <c r="E2568">
        <v>3.3</v>
      </c>
      <c r="F2568">
        <v>96</v>
      </c>
    </row>
    <row r="2569" spans="1:6" x14ac:dyDescent="0.35">
      <c r="A2569">
        <v>1975</v>
      </c>
      <c r="B2569" s="1">
        <v>45631</v>
      </c>
      <c r="C2569" s="2">
        <v>0.95833333333333337</v>
      </c>
      <c r="D2569">
        <v>3</v>
      </c>
      <c r="E2569">
        <v>3.3</v>
      </c>
      <c r="F2569">
        <v>97</v>
      </c>
    </row>
    <row r="2570" spans="1:6" x14ac:dyDescent="0.35">
      <c r="A2570">
        <v>1975</v>
      </c>
      <c r="B2570" s="1">
        <v>45632</v>
      </c>
      <c r="C2570" s="2">
        <v>0</v>
      </c>
      <c r="D2570">
        <v>3</v>
      </c>
      <c r="E2570">
        <v>3.4</v>
      </c>
      <c r="F2570">
        <v>97</v>
      </c>
    </row>
    <row r="2571" spans="1:6" x14ac:dyDescent="0.35">
      <c r="A2571">
        <v>1975</v>
      </c>
      <c r="B2571" s="1">
        <v>45632</v>
      </c>
      <c r="C2571" s="2">
        <v>4.1666666666666657E-2</v>
      </c>
      <c r="D2571">
        <v>3</v>
      </c>
      <c r="E2571">
        <v>3.6</v>
      </c>
      <c r="F2571">
        <v>96</v>
      </c>
    </row>
    <row r="2572" spans="1:6" x14ac:dyDescent="0.35">
      <c r="A2572">
        <v>1975</v>
      </c>
      <c r="B2572" s="1">
        <v>45632</v>
      </c>
      <c r="C2572" s="2">
        <v>8.3333333333333329E-2</v>
      </c>
      <c r="D2572">
        <v>3</v>
      </c>
      <c r="E2572">
        <v>3.7</v>
      </c>
      <c r="F2572">
        <v>97</v>
      </c>
    </row>
    <row r="2573" spans="1:6" x14ac:dyDescent="0.35">
      <c r="A2573">
        <v>1975</v>
      </c>
      <c r="B2573" s="1">
        <v>45632</v>
      </c>
      <c r="C2573" s="2">
        <v>0.125</v>
      </c>
      <c r="D2573">
        <v>3</v>
      </c>
      <c r="E2573">
        <v>3.8</v>
      </c>
      <c r="F2573">
        <v>97</v>
      </c>
    </row>
    <row r="2574" spans="1:6" x14ac:dyDescent="0.35">
      <c r="A2574">
        <v>1975</v>
      </c>
      <c r="B2574" s="1">
        <v>45632</v>
      </c>
      <c r="C2574" s="2">
        <v>0.16666666666666671</v>
      </c>
      <c r="D2574">
        <v>3</v>
      </c>
      <c r="E2574">
        <v>4.0999999999999996</v>
      </c>
      <c r="F2574">
        <v>97</v>
      </c>
    </row>
    <row r="2575" spans="1:6" x14ac:dyDescent="0.35">
      <c r="A2575">
        <v>1975</v>
      </c>
      <c r="B2575" s="1">
        <v>45632</v>
      </c>
      <c r="C2575" s="2">
        <v>0.20833333333333329</v>
      </c>
      <c r="D2575">
        <v>3</v>
      </c>
      <c r="E2575">
        <v>4.3</v>
      </c>
      <c r="F2575">
        <v>98</v>
      </c>
    </row>
    <row r="2576" spans="1:6" x14ac:dyDescent="0.35">
      <c r="A2576">
        <v>1975</v>
      </c>
      <c r="B2576" s="1">
        <v>45632</v>
      </c>
      <c r="C2576" s="2">
        <v>0.25</v>
      </c>
      <c r="D2576">
        <v>3</v>
      </c>
      <c r="E2576">
        <v>4.5999999999999996</v>
      </c>
      <c r="F2576">
        <v>99</v>
      </c>
    </row>
    <row r="2577" spans="1:6" x14ac:dyDescent="0.35">
      <c r="A2577">
        <v>1975</v>
      </c>
      <c r="B2577" s="1">
        <v>45632</v>
      </c>
      <c r="C2577" s="2">
        <v>0.29166666666666669</v>
      </c>
      <c r="D2577">
        <v>3</v>
      </c>
      <c r="E2577">
        <v>5.0999999999999996</v>
      </c>
      <c r="F2577">
        <v>99</v>
      </c>
    </row>
    <row r="2578" spans="1:6" x14ac:dyDescent="0.35">
      <c r="A2578">
        <v>1975</v>
      </c>
      <c r="B2578" s="1">
        <v>45632</v>
      </c>
      <c r="C2578" s="2">
        <v>0.33333333333333331</v>
      </c>
      <c r="D2578">
        <v>3</v>
      </c>
      <c r="E2578">
        <v>5.7</v>
      </c>
      <c r="F2578">
        <v>99</v>
      </c>
    </row>
    <row r="2579" spans="1:6" x14ac:dyDescent="0.35">
      <c r="A2579">
        <v>1975</v>
      </c>
      <c r="B2579" s="1">
        <v>45632</v>
      </c>
      <c r="C2579" s="2">
        <v>0.375</v>
      </c>
      <c r="D2579">
        <v>3</v>
      </c>
      <c r="E2579">
        <v>6.4</v>
      </c>
      <c r="F2579">
        <v>99</v>
      </c>
    </row>
    <row r="2580" spans="1:6" x14ac:dyDescent="0.35">
      <c r="A2580">
        <v>1975</v>
      </c>
      <c r="B2580" s="1">
        <v>45632</v>
      </c>
      <c r="C2580" s="2">
        <v>0.41666666666666669</v>
      </c>
      <c r="D2580">
        <v>3</v>
      </c>
      <c r="E2580">
        <v>7.3</v>
      </c>
      <c r="F2580">
        <v>96</v>
      </c>
    </row>
    <row r="2581" spans="1:6" x14ac:dyDescent="0.35">
      <c r="A2581">
        <v>1975</v>
      </c>
      <c r="B2581" s="1">
        <v>45632</v>
      </c>
      <c r="C2581" s="2">
        <v>0.45833333333333331</v>
      </c>
      <c r="D2581">
        <v>3</v>
      </c>
      <c r="E2581">
        <v>7.8</v>
      </c>
      <c r="F2581">
        <v>96</v>
      </c>
    </row>
    <row r="2582" spans="1:6" x14ac:dyDescent="0.35">
      <c r="A2582">
        <v>1975</v>
      </c>
      <c r="B2582" s="1">
        <v>45632</v>
      </c>
      <c r="C2582" s="2">
        <v>0.5</v>
      </c>
      <c r="D2582">
        <v>3</v>
      </c>
      <c r="E2582">
        <v>8.1</v>
      </c>
      <c r="F2582">
        <v>88</v>
      </c>
    </row>
    <row r="2583" spans="1:6" x14ac:dyDescent="0.35">
      <c r="A2583">
        <v>1975</v>
      </c>
      <c r="B2583" s="1">
        <v>45632</v>
      </c>
      <c r="C2583" s="2">
        <v>0.54166666666666663</v>
      </c>
      <c r="D2583">
        <v>3</v>
      </c>
      <c r="E2583">
        <v>8.3000000000000007</v>
      </c>
      <c r="F2583">
        <v>88</v>
      </c>
    </row>
    <row r="2584" spans="1:6" x14ac:dyDescent="0.35">
      <c r="A2584">
        <v>1975</v>
      </c>
      <c r="B2584" s="1">
        <v>45632</v>
      </c>
      <c r="C2584" s="2">
        <v>0.58333333333333337</v>
      </c>
      <c r="D2584">
        <v>3</v>
      </c>
      <c r="E2584">
        <v>8</v>
      </c>
      <c r="F2584">
        <v>92</v>
      </c>
    </row>
    <row r="2585" spans="1:6" x14ac:dyDescent="0.35">
      <c r="A2585">
        <v>1975</v>
      </c>
      <c r="B2585" s="1">
        <v>45632</v>
      </c>
      <c r="C2585" s="2">
        <v>0.625</v>
      </c>
      <c r="D2585">
        <v>3</v>
      </c>
      <c r="E2585">
        <v>7.7</v>
      </c>
      <c r="F2585">
        <v>94</v>
      </c>
    </row>
    <row r="2586" spans="1:6" x14ac:dyDescent="0.35">
      <c r="A2586">
        <v>1975</v>
      </c>
      <c r="B2586" s="1">
        <v>45632</v>
      </c>
      <c r="C2586" s="2">
        <v>0.66666666666666663</v>
      </c>
      <c r="D2586">
        <v>3</v>
      </c>
      <c r="E2586">
        <v>7.4</v>
      </c>
      <c r="F2586">
        <v>96</v>
      </c>
    </row>
    <row r="2587" spans="1:6" x14ac:dyDescent="0.35">
      <c r="A2587">
        <v>1975</v>
      </c>
      <c r="B2587" s="1">
        <v>45632</v>
      </c>
      <c r="C2587" s="2">
        <v>0.70833333333333337</v>
      </c>
      <c r="D2587">
        <v>3</v>
      </c>
      <c r="E2587">
        <v>6.6</v>
      </c>
      <c r="F2587">
        <v>97</v>
      </c>
    </row>
    <row r="2588" spans="1:6" x14ac:dyDescent="0.35">
      <c r="A2588">
        <v>1975</v>
      </c>
      <c r="B2588" s="1">
        <v>45632</v>
      </c>
      <c r="C2588" s="2">
        <v>0.75</v>
      </c>
      <c r="D2588">
        <v>3</v>
      </c>
      <c r="E2588">
        <v>6.1</v>
      </c>
      <c r="F2588">
        <v>96</v>
      </c>
    </row>
    <row r="2589" spans="1:6" x14ac:dyDescent="0.35">
      <c r="A2589">
        <v>1975</v>
      </c>
      <c r="B2589" s="1">
        <v>45632</v>
      </c>
      <c r="C2589" s="2">
        <v>0.79166666666666663</v>
      </c>
      <c r="D2589">
        <v>3</v>
      </c>
      <c r="E2589">
        <v>5.9</v>
      </c>
      <c r="F2589">
        <v>97</v>
      </c>
    </row>
    <row r="2590" spans="1:6" x14ac:dyDescent="0.35">
      <c r="A2590">
        <v>1975</v>
      </c>
      <c r="B2590" s="1">
        <v>45632</v>
      </c>
      <c r="C2590" s="2">
        <v>0.83333333333333337</v>
      </c>
      <c r="D2590">
        <v>3</v>
      </c>
      <c r="E2590">
        <v>5.9</v>
      </c>
      <c r="F2590">
        <v>98</v>
      </c>
    </row>
    <row r="2591" spans="1:6" x14ac:dyDescent="0.35">
      <c r="A2591">
        <v>1975</v>
      </c>
      <c r="B2591" s="1">
        <v>45632</v>
      </c>
      <c r="C2591" s="2">
        <v>0.875</v>
      </c>
      <c r="D2591">
        <v>3</v>
      </c>
      <c r="E2591">
        <v>5.3</v>
      </c>
      <c r="F2591">
        <v>97</v>
      </c>
    </row>
    <row r="2592" spans="1:6" x14ac:dyDescent="0.35">
      <c r="A2592">
        <v>1975</v>
      </c>
      <c r="B2592" s="1">
        <v>45632</v>
      </c>
      <c r="C2592" s="2">
        <v>0.91666666666666663</v>
      </c>
      <c r="D2592">
        <v>3</v>
      </c>
      <c r="E2592">
        <v>5.0999999999999996</v>
      </c>
      <c r="F2592">
        <v>96</v>
      </c>
    </row>
    <row r="2593" spans="1:6" x14ac:dyDescent="0.35">
      <c r="A2593">
        <v>1975</v>
      </c>
      <c r="B2593" s="1">
        <v>45632</v>
      </c>
      <c r="C2593" s="2">
        <v>0.95833333333333337</v>
      </c>
      <c r="D2593">
        <v>3</v>
      </c>
      <c r="E2593">
        <v>4.9000000000000004</v>
      </c>
      <c r="F2593">
        <v>99</v>
      </c>
    </row>
    <row r="2594" spans="1:6" x14ac:dyDescent="0.35">
      <c r="A2594">
        <v>1975</v>
      </c>
      <c r="B2594" s="1">
        <v>45633</v>
      </c>
      <c r="C2594" s="2">
        <v>0</v>
      </c>
      <c r="D2594">
        <v>3</v>
      </c>
      <c r="E2594">
        <v>5</v>
      </c>
      <c r="F2594">
        <v>100</v>
      </c>
    </row>
    <row r="2595" spans="1:6" x14ac:dyDescent="0.35">
      <c r="A2595">
        <v>1975</v>
      </c>
      <c r="B2595" s="1">
        <v>45633</v>
      </c>
      <c r="C2595" s="2">
        <v>4.1666666666666657E-2</v>
      </c>
      <c r="D2595">
        <v>3</v>
      </c>
      <c r="E2595">
        <v>5.2</v>
      </c>
      <c r="F2595">
        <v>100</v>
      </c>
    </row>
    <row r="2596" spans="1:6" x14ac:dyDescent="0.35">
      <c r="A2596">
        <v>1975</v>
      </c>
      <c r="B2596" s="1">
        <v>45633</v>
      </c>
      <c r="C2596" s="2">
        <v>8.3333333333333329E-2</v>
      </c>
      <c r="D2596">
        <v>3</v>
      </c>
      <c r="E2596">
        <v>5.3</v>
      </c>
      <c r="F2596">
        <v>100</v>
      </c>
    </row>
    <row r="2597" spans="1:6" x14ac:dyDescent="0.35">
      <c r="A2597">
        <v>1975</v>
      </c>
      <c r="B2597" s="1">
        <v>45633</v>
      </c>
      <c r="C2597" s="2">
        <v>0.125</v>
      </c>
      <c r="D2597">
        <v>3</v>
      </c>
      <c r="E2597">
        <v>6</v>
      </c>
      <c r="F2597">
        <v>98</v>
      </c>
    </row>
    <row r="2598" spans="1:6" x14ac:dyDescent="0.35">
      <c r="A2598">
        <v>1975</v>
      </c>
      <c r="B2598" s="1">
        <v>45633</v>
      </c>
      <c r="C2598" s="2">
        <v>0.16666666666666671</v>
      </c>
      <c r="D2598">
        <v>3</v>
      </c>
      <c r="E2598">
        <v>5.4</v>
      </c>
      <c r="F2598">
        <v>93</v>
      </c>
    </row>
    <row r="2599" spans="1:6" x14ac:dyDescent="0.35">
      <c r="A2599">
        <v>1975</v>
      </c>
      <c r="B2599" s="1">
        <v>45633</v>
      </c>
      <c r="C2599" s="2">
        <v>0.20833333333333329</v>
      </c>
      <c r="D2599">
        <v>3</v>
      </c>
      <c r="E2599">
        <v>4.2</v>
      </c>
      <c r="F2599">
        <v>92</v>
      </c>
    </row>
    <row r="2600" spans="1:6" x14ac:dyDescent="0.35">
      <c r="A2600">
        <v>1975</v>
      </c>
      <c r="B2600" s="1">
        <v>45633</v>
      </c>
      <c r="C2600" s="2">
        <v>0.25</v>
      </c>
      <c r="D2600">
        <v>3</v>
      </c>
      <c r="E2600">
        <v>5.2</v>
      </c>
      <c r="F2600">
        <v>90</v>
      </c>
    </row>
    <row r="2601" spans="1:6" x14ac:dyDescent="0.35">
      <c r="A2601">
        <v>1975</v>
      </c>
      <c r="B2601" s="1">
        <v>45633</v>
      </c>
      <c r="C2601" s="2">
        <v>0.29166666666666669</v>
      </c>
      <c r="D2601">
        <v>3</v>
      </c>
      <c r="E2601">
        <v>4.9000000000000004</v>
      </c>
      <c r="F2601">
        <v>92</v>
      </c>
    </row>
    <row r="2602" spans="1:6" x14ac:dyDescent="0.35">
      <c r="A2602">
        <v>1975</v>
      </c>
      <c r="B2602" s="1">
        <v>45633</v>
      </c>
      <c r="C2602" s="2">
        <v>0.33333333333333331</v>
      </c>
      <c r="D2602">
        <v>3</v>
      </c>
      <c r="E2602">
        <v>4.8</v>
      </c>
      <c r="F2602">
        <v>89</v>
      </c>
    </row>
    <row r="2603" spans="1:6" x14ac:dyDescent="0.35">
      <c r="A2603">
        <v>1975</v>
      </c>
      <c r="B2603" s="1">
        <v>45633</v>
      </c>
      <c r="C2603" s="2">
        <v>0.375</v>
      </c>
      <c r="D2603">
        <v>3</v>
      </c>
      <c r="E2603">
        <v>4.7</v>
      </c>
      <c r="F2603">
        <v>87</v>
      </c>
    </row>
    <row r="2604" spans="1:6" x14ac:dyDescent="0.35">
      <c r="A2604">
        <v>1975</v>
      </c>
      <c r="B2604" s="1">
        <v>45633</v>
      </c>
      <c r="C2604" s="2">
        <v>0.41666666666666669</v>
      </c>
      <c r="D2604">
        <v>3</v>
      </c>
      <c r="E2604">
        <v>4.4000000000000004</v>
      </c>
      <c r="F2604">
        <v>91</v>
      </c>
    </row>
    <row r="2605" spans="1:6" x14ac:dyDescent="0.35">
      <c r="A2605">
        <v>1975</v>
      </c>
      <c r="B2605" s="1">
        <v>45633</v>
      </c>
      <c r="C2605" s="2">
        <v>0.45833333333333331</v>
      </c>
      <c r="D2605">
        <v>3</v>
      </c>
      <c r="E2605">
        <v>4.4000000000000004</v>
      </c>
      <c r="F2605">
        <v>93</v>
      </c>
    </row>
    <row r="2606" spans="1:6" x14ac:dyDescent="0.35">
      <c r="A2606">
        <v>1975</v>
      </c>
      <c r="B2606" s="1">
        <v>45633</v>
      </c>
      <c r="C2606" s="2">
        <v>0.5</v>
      </c>
      <c r="D2606">
        <v>3</v>
      </c>
      <c r="E2606">
        <v>4.5999999999999996</v>
      </c>
      <c r="F2606">
        <v>94</v>
      </c>
    </row>
    <row r="2607" spans="1:6" x14ac:dyDescent="0.35">
      <c r="A2607">
        <v>1975</v>
      </c>
      <c r="B2607" s="1">
        <v>45633</v>
      </c>
      <c r="C2607" s="2">
        <v>0.54166666666666663</v>
      </c>
      <c r="D2607">
        <v>3</v>
      </c>
      <c r="E2607">
        <v>4.5999999999999996</v>
      </c>
      <c r="F2607">
        <v>96</v>
      </c>
    </row>
    <row r="2608" spans="1:6" x14ac:dyDescent="0.35">
      <c r="A2608">
        <v>1975</v>
      </c>
      <c r="B2608" s="1">
        <v>45633</v>
      </c>
      <c r="C2608" s="2">
        <v>0.58333333333333337</v>
      </c>
      <c r="D2608">
        <v>3</v>
      </c>
      <c r="E2608">
        <v>4.7</v>
      </c>
      <c r="F2608">
        <v>95</v>
      </c>
    </row>
    <row r="2609" spans="1:6" x14ac:dyDescent="0.35">
      <c r="A2609">
        <v>1975</v>
      </c>
      <c r="B2609" s="1">
        <v>45633</v>
      </c>
      <c r="C2609" s="2">
        <v>0.625</v>
      </c>
      <c r="D2609">
        <v>3</v>
      </c>
      <c r="E2609">
        <v>4.9000000000000004</v>
      </c>
      <c r="F2609">
        <v>95</v>
      </c>
    </row>
    <row r="2610" spans="1:6" x14ac:dyDescent="0.35">
      <c r="A2610">
        <v>1975</v>
      </c>
      <c r="B2610" s="1">
        <v>45633</v>
      </c>
      <c r="C2610" s="2">
        <v>0.66666666666666663</v>
      </c>
      <c r="D2610">
        <v>3</v>
      </c>
      <c r="E2610">
        <v>5</v>
      </c>
      <c r="F2610">
        <v>95</v>
      </c>
    </row>
    <row r="2611" spans="1:6" x14ac:dyDescent="0.35">
      <c r="A2611">
        <v>1975</v>
      </c>
      <c r="B2611" s="1">
        <v>45633</v>
      </c>
      <c r="C2611" s="2">
        <v>0.70833333333333337</v>
      </c>
      <c r="D2611">
        <v>3</v>
      </c>
      <c r="E2611">
        <v>5.0999999999999996</v>
      </c>
      <c r="F2611">
        <v>95</v>
      </c>
    </row>
    <row r="2612" spans="1:6" x14ac:dyDescent="0.35">
      <c r="A2612">
        <v>1975</v>
      </c>
      <c r="B2612" s="1">
        <v>45633</v>
      </c>
      <c r="C2612" s="2">
        <v>0.75</v>
      </c>
      <c r="D2612">
        <v>3</v>
      </c>
      <c r="E2612">
        <v>5.0999999999999996</v>
      </c>
      <c r="F2612">
        <v>95</v>
      </c>
    </row>
    <row r="2613" spans="1:6" x14ac:dyDescent="0.35">
      <c r="A2613">
        <v>1975</v>
      </c>
      <c r="B2613" s="1">
        <v>45633</v>
      </c>
      <c r="C2613" s="2">
        <v>0.79166666666666663</v>
      </c>
      <c r="D2613">
        <v>3</v>
      </c>
      <c r="E2613">
        <v>5.2</v>
      </c>
      <c r="F2613">
        <v>95</v>
      </c>
    </row>
    <row r="2614" spans="1:6" x14ac:dyDescent="0.35">
      <c r="A2614">
        <v>1975</v>
      </c>
      <c r="B2614" s="1">
        <v>45633</v>
      </c>
      <c r="C2614" s="2">
        <v>0.83333333333333337</v>
      </c>
      <c r="D2614">
        <v>3</v>
      </c>
      <c r="E2614">
        <v>5.3</v>
      </c>
      <c r="F2614">
        <v>95</v>
      </c>
    </row>
    <row r="2615" spans="1:6" x14ac:dyDescent="0.35">
      <c r="A2615">
        <v>1975</v>
      </c>
      <c r="B2615" s="1">
        <v>45633</v>
      </c>
      <c r="C2615" s="2">
        <v>0.875</v>
      </c>
      <c r="D2615">
        <v>3</v>
      </c>
      <c r="E2615">
        <v>5.4</v>
      </c>
      <c r="F2615">
        <v>95</v>
      </c>
    </row>
    <row r="2616" spans="1:6" x14ac:dyDescent="0.35">
      <c r="A2616">
        <v>1975</v>
      </c>
      <c r="B2616" s="1">
        <v>45633</v>
      </c>
      <c r="C2616" s="2">
        <v>0.91666666666666663</v>
      </c>
      <c r="D2616">
        <v>3</v>
      </c>
      <c r="E2616">
        <v>5.4</v>
      </c>
      <c r="F2616">
        <v>95</v>
      </c>
    </row>
    <row r="2617" spans="1:6" x14ac:dyDescent="0.35">
      <c r="A2617">
        <v>1975</v>
      </c>
      <c r="B2617" s="1">
        <v>45633</v>
      </c>
      <c r="C2617" s="2">
        <v>0.95833333333333337</v>
      </c>
      <c r="D2617">
        <v>3</v>
      </c>
      <c r="E2617">
        <v>5.4</v>
      </c>
      <c r="F2617">
        <v>95</v>
      </c>
    </row>
    <row r="2618" spans="1:6" x14ac:dyDescent="0.35">
      <c r="A2618">
        <v>1975</v>
      </c>
      <c r="B2618" s="1">
        <v>45634</v>
      </c>
      <c r="C2618" s="2">
        <v>0</v>
      </c>
      <c r="D2618">
        <v>3</v>
      </c>
      <c r="E2618">
        <v>5.2</v>
      </c>
      <c r="F2618">
        <v>96</v>
      </c>
    </row>
    <row r="2619" spans="1:6" x14ac:dyDescent="0.35">
      <c r="A2619">
        <v>1975</v>
      </c>
      <c r="B2619" s="1">
        <v>45634</v>
      </c>
      <c r="C2619" s="2">
        <v>4.1666666666666657E-2</v>
      </c>
      <c r="D2619">
        <v>3</v>
      </c>
      <c r="E2619">
        <v>5.3</v>
      </c>
      <c r="F2619">
        <v>96</v>
      </c>
    </row>
    <row r="2620" spans="1:6" x14ac:dyDescent="0.35">
      <c r="A2620">
        <v>1975</v>
      </c>
      <c r="B2620" s="1">
        <v>45634</v>
      </c>
      <c r="C2620" s="2">
        <v>8.3333333333333329E-2</v>
      </c>
      <c r="D2620">
        <v>3</v>
      </c>
      <c r="E2620">
        <v>5.2</v>
      </c>
      <c r="F2620">
        <v>96</v>
      </c>
    </row>
    <row r="2621" spans="1:6" x14ac:dyDescent="0.35">
      <c r="A2621">
        <v>1975</v>
      </c>
      <c r="B2621" s="1">
        <v>45634</v>
      </c>
      <c r="C2621" s="2">
        <v>0.125</v>
      </c>
      <c r="D2621">
        <v>3</v>
      </c>
      <c r="E2621">
        <v>5.2</v>
      </c>
      <c r="F2621">
        <v>96</v>
      </c>
    </row>
    <row r="2622" spans="1:6" x14ac:dyDescent="0.35">
      <c r="A2622">
        <v>1975</v>
      </c>
      <c r="B2622" s="1">
        <v>45634</v>
      </c>
      <c r="C2622" s="2">
        <v>0.16666666666666671</v>
      </c>
      <c r="D2622">
        <v>3</v>
      </c>
      <c r="E2622">
        <v>5.0999999999999996</v>
      </c>
      <c r="F2622">
        <v>97</v>
      </c>
    </row>
    <row r="2623" spans="1:6" x14ac:dyDescent="0.35">
      <c r="A2623">
        <v>1975</v>
      </c>
      <c r="B2623" s="1">
        <v>45634</v>
      </c>
      <c r="C2623" s="2">
        <v>0.20833333333333329</v>
      </c>
      <c r="D2623">
        <v>3</v>
      </c>
      <c r="E2623">
        <v>5</v>
      </c>
      <c r="F2623">
        <v>97</v>
      </c>
    </row>
    <row r="2624" spans="1:6" x14ac:dyDescent="0.35">
      <c r="A2624">
        <v>1975</v>
      </c>
      <c r="B2624" s="1">
        <v>45634</v>
      </c>
      <c r="C2624" s="2">
        <v>0.25</v>
      </c>
      <c r="D2624">
        <v>3</v>
      </c>
      <c r="E2624">
        <v>5</v>
      </c>
      <c r="F2624">
        <v>97</v>
      </c>
    </row>
    <row r="2625" spans="1:6" x14ac:dyDescent="0.35">
      <c r="A2625">
        <v>1975</v>
      </c>
      <c r="B2625" s="1">
        <v>45634</v>
      </c>
      <c r="C2625" s="2">
        <v>0.29166666666666669</v>
      </c>
      <c r="D2625">
        <v>3</v>
      </c>
      <c r="E2625">
        <v>5</v>
      </c>
      <c r="F2625">
        <v>96</v>
      </c>
    </row>
    <row r="2626" spans="1:6" x14ac:dyDescent="0.35">
      <c r="A2626">
        <v>1975</v>
      </c>
      <c r="B2626" s="1">
        <v>45634</v>
      </c>
      <c r="C2626" s="2">
        <v>0.33333333333333331</v>
      </c>
      <c r="D2626">
        <v>3</v>
      </c>
      <c r="E2626">
        <v>5.2</v>
      </c>
      <c r="F2626">
        <v>97</v>
      </c>
    </row>
    <row r="2627" spans="1:6" x14ac:dyDescent="0.35">
      <c r="A2627">
        <v>1975</v>
      </c>
      <c r="B2627" s="1">
        <v>45634</v>
      </c>
      <c r="C2627" s="2">
        <v>0.375</v>
      </c>
      <c r="D2627">
        <v>3</v>
      </c>
      <c r="E2627">
        <v>5.6</v>
      </c>
      <c r="F2627">
        <v>97</v>
      </c>
    </row>
    <row r="2628" spans="1:6" x14ac:dyDescent="0.35">
      <c r="A2628">
        <v>1975</v>
      </c>
      <c r="B2628" s="1">
        <v>45634</v>
      </c>
      <c r="C2628" s="2">
        <v>0.41666666666666669</v>
      </c>
      <c r="D2628">
        <v>3</v>
      </c>
      <c r="E2628">
        <v>5.9</v>
      </c>
      <c r="F2628">
        <v>97</v>
      </c>
    </row>
    <row r="2629" spans="1:6" x14ac:dyDescent="0.35">
      <c r="A2629">
        <v>1975</v>
      </c>
      <c r="B2629" s="1">
        <v>45634</v>
      </c>
      <c r="C2629" s="2">
        <v>0.45833333333333331</v>
      </c>
      <c r="D2629">
        <v>3</v>
      </c>
      <c r="E2629">
        <v>5.7</v>
      </c>
      <c r="F2629">
        <v>96</v>
      </c>
    </row>
    <row r="2630" spans="1:6" x14ac:dyDescent="0.35">
      <c r="A2630">
        <v>1975</v>
      </c>
      <c r="B2630" s="1">
        <v>45634</v>
      </c>
      <c r="C2630" s="2">
        <v>0.5</v>
      </c>
      <c r="D2630">
        <v>3</v>
      </c>
      <c r="E2630">
        <v>5.8</v>
      </c>
      <c r="F2630">
        <v>94</v>
      </c>
    </row>
    <row r="2631" spans="1:6" x14ac:dyDescent="0.35">
      <c r="A2631">
        <v>1975</v>
      </c>
      <c r="B2631" s="1">
        <v>45634</v>
      </c>
      <c r="C2631" s="2">
        <v>0.54166666666666663</v>
      </c>
      <c r="D2631">
        <v>3</v>
      </c>
      <c r="E2631">
        <v>5.7</v>
      </c>
      <c r="F2631">
        <v>94</v>
      </c>
    </row>
    <row r="2632" spans="1:6" x14ac:dyDescent="0.35">
      <c r="A2632">
        <v>1975</v>
      </c>
      <c r="B2632" s="1">
        <v>45634</v>
      </c>
      <c r="C2632" s="2">
        <v>0.58333333333333337</v>
      </c>
      <c r="D2632">
        <v>3</v>
      </c>
      <c r="E2632">
        <v>5.6</v>
      </c>
      <c r="F2632">
        <v>92</v>
      </c>
    </row>
    <row r="2633" spans="1:6" x14ac:dyDescent="0.35">
      <c r="A2633">
        <v>1975</v>
      </c>
      <c r="B2633" s="1">
        <v>45634</v>
      </c>
      <c r="C2633" s="2">
        <v>0.625</v>
      </c>
      <c r="D2633">
        <v>3</v>
      </c>
      <c r="E2633">
        <v>5.5</v>
      </c>
      <c r="F2633">
        <v>91</v>
      </c>
    </row>
    <row r="2634" spans="1:6" x14ac:dyDescent="0.35">
      <c r="A2634">
        <v>1975</v>
      </c>
      <c r="B2634" s="1">
        <v>45634</v>
      </c>
      <c r="C2634" s="2">
        <v>0.66666666666666663</v>
      </c>
      <c r="D2634">
        <v>3</v>
      </c>
      <c r="E2634">
        <v>5.4</v>
      </c>
      <c r="F2634">
        <v>88</v>
      </c>
    </row>
    <row r="2635" spans="1:6" x14ac:dyDescent="0.35">
      <c r="A2635">
        <v>1975</v>
      </c>
      <c r="B2635" s="1">
        <v>45634</v>
      </c>
      <c r="C2635" s="2">
        <v>0.70833333333333337</v>
      </c>
      <c r="D2635">
        <v>3</v>
      </c>
      <c r="E2635">
        <v>4.9000000000000004</v>
      </c>
      <c r="F2635">
        <v>85</v>
      </c>
    </row>
    <row r="2636" spans="1:6" x14ac:dyDescent="0.35">
      <c r="A2636">
        <v>1975</v>
      </c>
      <c r="B2636" s="1">
        <v>45634</v>
      </c>
      <c r="C2636" s="2">
        <v>0.75</v>
      </c>
      <c r="D2636">
        <v>3</v>
      </c>
      <c r="E2636">
        <v>4.8</v>
      </c>
      <c r="F2636">
        <v>83</v>
      </c>
    </row>
    <row r="2637" spans="1:6" x14ac:dyDescent="0.35">
      <c r="A2637">
        <v>1975</v>
      </c>
      <c r="B2637" s="1">
        <v>45634</v>
      </c>
      <c r="C2637" s="2">
        <v>0.79166666666666663</v>
      </c>
      <c r="D2637">
        <v>3</v>
      </c>
      <c r="E2637">
        <v>5</v>
      </c>
      <c r="F2637">
        <v>83</v>
      </c>
    </row>
    <row r="2638" spans="1:6" x14ac:dyDescent="0.35">
      <c r="A2638">
        <v>1975</v>
      </c>
      <c r="B2638" s="1">
        <v>45634</v>
      </c>
      <c r="C2638" s="2">
        <v>0.83333333333333337</v>
      </c>
      <c r="D2638">
        <v>3</v>
      </c>
      <c r="E2638">
        <v>5.0999999999999996</v>
      </c>
      <c r="F2638">
        <v>94</v>
      </c>
    </row>
    <row r="2639" spans="1:6" x14ac:dyDescent="0.35">
      <c r="A2639">
        <v>1975</v>
      </c>
      <c r="B2639" s="1">
        <v>45634</v>
      </c>
      <c r="C2639" s="2">
        <v>0.875</v>
      </c>
      <c r="D2639">
        <v>3</v>
      </c>
      <c r="E2639">
        <v>5.2</v>
      </c>
      <c r="F2639">
        <v>92</v>
      </c>
    </row>
    <row r="2640" spans="1:6" x14ac:dyDescent="0.35">
      <c r="A2640">
        <v>1975</v>
      </c>
      <c r="B2640" s="1">
        <v>45634</v>
      </c>
      <c r="C2640" s="2">
        <v>0.91666666666666663</v>
      </c>
      <c r="D2640">
        <v>3</v>
      </c>
      <c r="E2640">
        <v>5.3</v>
      </c>
      <c r="F2640">
        <v>93</v>
      </c>
    </row>
    <row r="2641" spans="1:6" x14ac:dyDescent="0.35">
      <c r="A2641">
        <v>1975</v>
      </c>
      <c r="B2641" s="1">
        <v>45634</v>
      </c>
      <c r="C2641" s="2">
        <v>0.95833333333333337</v>
      </c>
      <c r="D2641">
        <v>3</v>
      </c>
      <c r="E2641">
        <v>5.4</v>
      </c>
      <c r="F2641">
        <v>95</v>
      </c>
    </row>
    <row r="2642" spans="1:6" x14ac:dyDescent="0.35">
      <c r="A2642">
        <v>1975</v>
      </c>
      <c r="B2642" s="1">
        <v>45635</v>
      </c>
      <c r="C2642" s="2">
        <v>0</v>
      </c>
      <c r="D2642">
        <v>3</v>
      </c>
      <c r="E2642">
        <v>5.5</v>
      </c>
      <c r="F2642">
        <v>93</v>
      </c>
    </row>
    <row r="2643" spans="1:6" x14ac:dyDescent="0.35">
      <c r="A2643">
        <v>1975</v>
      </c>
      <c r="B2643" s="1">
        <v>45635</v>
      </c>
      <c r="C2643" s="2">
        <v>4.1666666666666657E-2</v>
      </c>
      <c r="D2643">
        <v>3</v>
      </c>
      <c r="E2643">
        <v>5.5</v>
      </c>
      <c r="F2643">
        <v>89</v>
      </c>
    </row>
    <row r="2644" spans="1:6" x14ac:dyDescent="0.35">
      <c r="A2644">
        <v>1975</v>
      </c>
      <c r="B2644" s="1">
        <v>45635</v>
      </c>
      <c r="C2644" s="2">
        <v>8.3333333333333329E-2</v>
      </c>
      <c r="D2644">
        <v>3</v>
      </c>
      <c r="E2644">
        <v>5.2</v>
      </c>
      <c r="F2644">
        <v>87</v>
      </c>
    </row>
    <row r="2645" spans="1:6" x14ac:dyDescent="0.35">
      <c r="A2645">
        <v>1975</v>
      </c>
      <c r="B2645" s="1">
        <v>45635</v>
      </c>
      <c r="C2645" s="2">
        <v>0.125</v>
      </c>
      <c r="D2645">
        <v>3</v>
      </c>
      <c r="E2645">
        <v>4.9000000000000004</v>
      </c>
      <c r="F2645">
        <v>90</v>
      </c>
    </row>
    <row r="2646" spans="1:6" x14ac:dyDescent="0.35">
      <c r="A2646">
        <v>1975</v>
      </c>
      <c r="B2646" s="1">
        <v>45635</v>
      </c>
      <c r="C2646" s="2">
        <v>0.16666666666666671</v>
      </c>
      <c r="D2646">
        <v>3</v>
      </c>
      <c r="E2646">
        <v>5</v>
      </c>
      <c r="F2646">
        <v>91</v>
      </c>
    </row>
    <row r="2647" spans="1:6" x14ac:dyDescent="0.35">
      <c r="A2647">
        <v>1975</v>
      </c>
      <c r="B2647" s="1">
        <v>45635</v>
      </c>
      <c r="C2647" s="2">
        <v>0.20833333333333329</v>
      </c>
      <c r="D2647">
        <v>3</v>
      </c>
      <c r="E2647">
        <v>5.2</v>
      </c>
      <c r="F2647">
        <v>92</v>
      </c>
    </row>
    <row r="2648" spans="1:6" x14ac:dyDescent="0.35">
      <c r="A2648">
        <v>1975</v>
      </c>
      <c r="B2648" s="1">
        <v>45635</v>
      </c>
      <c r="C2648" s="2">
        <v>0.25</v>
      </c>
      <c r="D2648">
        <v>3</v>
      </c>
      <c r="E2648">
        <v>5.2</v>
      </c>
      <c r="F2648">
        <v>95</v>
      </c>
    </row>
    <row r="2649" spans="1:6" x14ac:dyDescent="0.35">
      <c r="A2649">
        <v>1975</v>
      </c>
      <c r="B2649" s="1">
        <v>45635</v>
      </c>
      <c r="C2649" s="2">
        <v>0.29166666666666669</v>
      </c>
      <c r="D2649">
        <v>3</v>
      </c>
      <c r="E2649">
        <v>5.5</v>
      </c>
      <c r="F2649">
        <v>93</v>
      </c>
    </row>
    <row r="2650" spans="1:6" x14ac:dyDescent="0.35">
      <c r="A2650">
        <v>1975</v>
      </c>
      <c r="B2650" s="1">
        <v>45635</v>
      </c>
      <c r="C2650" s="2">
        <v>0.33333333333333331</v>
      </c>
      <c r="D2650">
        <v>3</v>
      </c>
      <c r="E2650">
        <v>5.6</v>
      </c>
      <c r="F2650">
        <v>90</v>
      </c>
    </row>
    <row r="2651" spans="1:6" x14ac:dyDescent="0.35">
      <c r="A2651">
        <v>1975</v>
      </c>
      <c r="B2651" s="1">
        <v>45635</v>
      </c>
      <c r="C2651" s="2">
        <v>0.375</v>
      </c>
      <c r="D2651">
        <v>3</v>
      </c>
      <c r="E2651">
        <v>5.8</v>
      </c>
      <c r="F2651">
        <v>90</v>
      </c>
    </row>
    <row r="2652" spans="1:6" x14ac:dyDescent="0.35">
      <c r="A2652">
        <v>1975</v>
      </c>
      <c r="B2652" s="1">
        <v>45635</v>
      </c>
      <c r="C2652" s="2">
        <v>0.41666666666666669</v>
      </c>
      <c r="D2652">
        <v>3</v>
      </c>
      <c r="E2652">
        <v>5.8</v>
      </c>
      <c r="F2652">
        <v>90</v>
      </c>
    </row>
    <row r="2653" spans="1:6" x14ac:dyDescent="0.35">
      <c r="A2653">
        <v>1975</v>
      </c>
      <c r="B2653" s="1">
        <v>45635</v>
      </c>
      <c r="C2653" s="2">
        <v>0.45833333333333331</v>
      </c>
      <c r="D2653">
        <v>3</v>
      </c>
      <c r="E2653">
        <v>5.8</v>
      </c>
      <c r="F2653">
        <v>92</v>
      </c>
    </row>
    <row r="2654" spans="1:6" x14ac:dyDescent="0.35">
      <c r="A2654">
        <v>1975</v>
      </c>
      <c r="B2654" s="1">
        <v>45635</v>
      </c>
      <c r="C2654" s="2">
        <v>0.5</v>
      </c>
      <c r="D2654">
        <v>3</v>
      </c>
      <c r="E2654">
        <v>5.8</v>
      </c>
      <c r="F2654">
        <v>89</v>
      </c>
    </row>
    <row r="2655" spans="1:6" x14ac:dyDescent="0.35">
      <c r="A2655">
        <v>1975</v>
      </c>
      <c r="B2655" s="1">
        <v>45635</v>
      </c>
      <c r="C2655" s="2">
        <v>0.54166666666666663</v>
      </c>
      <c r="D2655">
        <v>3</v>
      </c>
      <c r="E2655">
        <v>5.4</v>
      </c>
      <c r="F2655">
        <v>91</v>
      </c>
    </row>
    <row r="2656" spans="1:6" x14ac:dyDescent="0.35">
      <c r="A2656">
        <v>1975</v>
      </c>
      <c r="B2656" s="1">
        <v>45635</v>
      </c>
      <c r="C2656" s="2">
        <v>0.58333333333333337</v>
      </c>
      <c r="D2656">
        <v>3</v>
      </c>
      <c r="E2656">
        <v>5.6</v>
      </c>
      <c r="F2656">
        <v>89</v>
      </c>
    </row>
    <row r="2657" spans="1:6" x14ac:dyDescent="0.35">
      <c r="A2657">
        <v>1975</v>
      </c>
      <c r="B2657" s="1">
        <v>45635</v>
      </c>
      <c r="C2657" s="2">
        <v>0.625</v>
      </c>
      <c r="D2657">
        <v>3</v>
      </c>
      <c r="E2657">
        <v>5.5</v>
      </c>
      <c r="F2657">
        <v>91</v>
      </c>
    </row>
    <row r="2658" spans="1:6" x14ac:dyDescent="0.35">
      <c r="A2658">
        <v>1975</v>
      </c>
      <c r="B2658" s="1">
        <v>45635</v>
      </c>
      <c r="C2658" s="2">
        <v>0.66666666666666663</v>
      </c>
      <c r="D2658">
        <v>3</v>
      </c>
      <c r="E2658">
        <v>5.9</v>
      </c>
      <c r="F2658">
        <v>84</v>
      </c>
    </row>
    <row r="2659" spans="1:6" x14ac:dyDescent="0.35">
      <c r="A2659">
        <v>1975</v>
      </c>
      <c r="B2659" s="1">
        <v>45635</v>
      </c>
      <c r="C2659" s="2">
        <v>0.70833333333333337</v>
      </c>
      <c r="D2659">
        <v>3</v>
      </c>
      <c r="E2659">
        <v>6</v>
      </c>
      <c r="F2659">
        <v>82</v>
      </c>
    </row>
    <row r="2660" spans="1:6" x14ac:dyDescent="0.35">
      <c r="A2660">
        <v>1975</v>
      </c>
      <c r="B2660" s="1">
        <v>45635</v>
      </c>
      <c r="C2660" s="2">
        <v>0.75</v>
      </c>
      <c r="D2660">
        <v>3</v>
      </c>
      <c r="E2660">
        <v>5.6</v>
      </c>
      <c r="F2660">
        <v>88</v>
      </c>
    </row>
    <row r="2661" spans="1:6" x14ac:dyDescent="0.35">
      <c r="A2661">
        <v>1975</v>
      </c>
      <c r="B2661" s="1">
        <v>45635</v>
      </c>
      <c r="C2661" s="2">
        <v>0.79166666666666663</v>
      </c>
      <c r="D2661">
        <v>3</v>
      </c>
      <c r="E2661">
        <v>5.9</v>
      </c>
      <c r="F2661">
        <v>83</v>
      </c>
    </row>
    <row r="2662" spans="1:6" x14ac:dyDescent="0.35">
      <c r="A2662">
        <v>1975</v>
      </c>
      <c r="B2662" s="1">
        <v>45635</v>
      </c>
      <c r="C2662" s="2">
        <v>0.83333333333333337</v>
      </c>
      <c r="D2662">
        <v>3</v>
      </c>
      <c r="E2662">
        <v>5.9</v>
      </c>
      <c r="F2662">
        <v>80</v>
      </c>
    </row>
    <row r="2663" spans="1:6" x14ac:dyDescent="0.35">
      <c r="A2663">
        <v>1975</v>
      </c>
      <c r="B2663" s="1">
        <v>45635</v>
      </c>
      <c r="C2663" s="2">
        <v>0.875</v>
      </c>
      <c r="D2663">
        <v>3</v>
      </c>
      <c r="E2663">
        <v>5.9</v>
      </c>
      <c r="F2663">
        <v>80</v>
      </c>
    </row>
    <row r="2664" spans="1:6" x14ac:dyDescent="0.35">
      <c r="A2664">
        <v>1975</v>
      </c>
      <c r="B2664" s="1">
        <v>45635</v>
      </c>
      <c r="C2664" s="2">
        <v>0.91666666666666663</v>
      </c>
      <c r="D2664">
        <v>3</v>
      </c>
      <c r="E2664">
        <v>5.8</v>
      </c>
      <c r="F2664">
        <v>80</v>
      </c>
    </row>
    <row r="2665" spans="1:6" x14ac:dyDescent="0.35">
      <c r="A2665">
        <v>1975</v>
      </c>
      <c r="B2665" s="1">
        <v>45635</v>
      </c>
      <c r="C2665" s="2">
        <v>0.95833333333333337</v>
      </c>
      <c r="D2665">
        <v>3</v>
      </c>
      <c r="E2665">
        <v>5.7</v>
      </c>
      <c r="F2665">
        <v>80</v>
      </c>
    </row>
    <row r="2666" spans="1:6" x14ac:dyDescent="0.35">
      <c r="A2666">
        <v>1975</v>
      </c>
      <c r="B2666" s="1">
        <v>45636</v>
      </c>
      <c r="C2666" s="2">
        <v>0</v>
      </c>
      <c r="D2666">
        <v>3</v>
      </c>
      <c r="E2666">
        <v>5.5</v>
      </c>
      <c r="F2666">
        <v>80</v>
      </c>
    </row>
    <row r="2667" spans="1:6" x14ac:dyDescent="0.35">
      <c r="A2667">
        <v>1975</v>
      </c>
      <c r="B2667" s="1">
        <v>45636</v>
      </c>
      <c r="C2667" s="2">
        <v>4.1666666666666657E-2</v>
      </c>
      <c r="D2667">
        <v>3</v>
      </c>
      <c r="E2667">
        <v>5.5</v>
      </c>
      <c r="F2667">
        <v>78</v>
      </c>
    </row>
    <row r="2668" spans="1:6" x14ac:dyDescent="0.35">
      <c r="A2668">
        <v>1975</v>
      </c>
      <c r="B2668" s="1">
        <v>45636</v>
      </c>
      <c r="C2668" s="2">
        <v>8.3333333333333329E-2</v>
      </c>
      <c r="D2668">
        <v>3</v>
      </c>
      <c r="E2668">
        <v>5.3</v>
      </c>
      <c r="F2668">
        <v>81</v>
      </c>
    </row>
    <row r="2669" spans="1:6" x14ac:dyDescent="0.35">
      <c r="A2669">
        <v>1975</v>
      </c>
      <c r="B2669" s="1">
        <v>45636</v>
      </c>
      <c r="C2669" s="2">
        <v>0.125</v>
      </c>
      <c r="D2669">
        <v>3</v>
      </c>
      <c r="E2669">
        <v>5.5</v>
      </c>
      <c r="F2669">
        <v>78</v>
      </c>
    </row>
    <row r="2670" spans="1:6" x14ac:dyDescent="0.35">
      <c r="A2670">
        <v>1975</v>
      </c>
      <c r="B2670" s="1">
        <v>45636</v>
      </c>
      <c r="C2670" s="2">
        <v>0.16666666666666671</v>
      </c>
      <c r="D2670">
        <v>3</v>
      </c>
      <c r="E2670">
        <v>5.3</v>
      </c>
      <c r="F2670">
        <v>80</v>
      </c>
    </row>
    <row r="2671" spans="1:6" x14ac:dyDescent="0.35">
      <c r="A2671">
        <v>1975</v>
      </c>
      <c r="B2671" s="1">
        <v>45636</v>
      </c>
      <c r="C2671" s="2">
        <v>0.20833333333333329</v>
      </c>
      <c r="D2671">
        <v>3</v>
      </c>
      <c r="E2671">
        <v>5.2</v>
      </c>
      <c r="F2671">
        <v>81</v>
      </c>
    </row>
    <row r="2672" spans="1:6" x14ac:dyDescent="0.35">
      <c r="A2672">
        <v>1975</v>
      </c>
      <c r="B2672" s="1">
        <v>45636</v>
      </c>
      <c r="C2672" s="2">
        <v>0.25</v>
      </c>
      <c r="D2672">
        <v>3</v>
      </c>
      <c r="E2672">
        <v>5.3</v>
      </c>
      <c r="F2672">
        <v>80</v>
      </c>
    </row>
    <row r="2673" spans="1:6" x14ac:dyDescent="0.35">
      <c r="A2673">
        <v>1975</v>
      </c>
      <c r="B2673" s="1">
        <v>45636</v>
      </c>
      <c r="C2673" s="2">
        <v>0.29166666666666669</v>
      </c>
      <c r="D2673">
        <v>3</v>
      </c>
      <c r="E2673">
        <v>5.3</v>
      </c>
      <c r="F2673">
        <v>80</v>
      </c>
    </row>
    <row r="2674" spans="1:6" x14ac:dyDescent="0.35">
      <c r="A2674">
        <v>1975</v>
      </c>
      <c r="B2674" s="1">
        <v>45636</v>
      </c>
      <c r="C2674" s="2">
        <v>0.33333333333333331</v>
      </c>
      <c r="D2674">
        <v>3</v>
      </c>
      <c r="E2674">
        <v>5.2</v>
      </c>
      <c r="F2674">
        <v>80</v>
      </c>
    </row>
    <row r="2675" spans="1:6" x14ac:dyDescent="0.35">
      <c r="A2675">
        <v>1975</v>
      </c>
      <c r="B2675" s="1">
        <v>45636</v>
      </c>
      <c r="C2675" s="2">
        <v>0.375</v>
      </c>
      <c r="D2675">
        <v>3</v>
      </c>
      <c r="E2675">
        <v>5.3</v>
      </c>
      <c r="F2675">
        <v>80</v>
      </c>
    </row>
    <row r="2676" spans="1:6" x14ac:dyDescent="0.35">
      <c r="A2676">
        <v>1975</v>
      </c>
      <c r="B2676" s="1">
        <v>45636</v>
      </c>
      <c r="C2676" s="2">
        <v>0.41666666666666669</v>
      </c>
      <c r="D2676">
        <v>3</v>
      </c>
      <c r="E2676">
        <v>5.2</v>
      </c>
      <c r="F2676">
        <v>81</v>
      </c>
    </row>
    <row r="2677" spans="1:6" x14ac:dyDescent="0.35">
      <c r="A2677">
        <v>1975</v>
      </c>
      <c r="B2677" s="1">
        <v>45636</v>
      </c>
      <c r="C2677" s="2">
        <v>0.45833333333333331</v>
      </c>
      <c r="D2677">
        <v>3</v>
      </c>
      <c r="E2677">
        <v>5.0999999999999996</v>
      </c>
      <c r="F2677">
        <v>81</v>
      </c>
    </row>
    <row r="2678" spans="1:6" x14ac:dyDescent="0.35">
      <c r="A2678">
        <v>1975</v>
      </c>
      <c r="B2678" s="1">
        <v>45636</v>
      </c>
      <c r="C2678" s="2">
        <v>0.5</v>
      </c>
      <c r="D2678">
        <v>3</v>
      </c>
      <c r="E2678">
        <v>5</v>
      </c>
      <c r="F2678">
        <v>82</v>
      </c>
    </row>
    <row r="2679" spans="1:6" x14ac:dyDescent="0.35">
      <c r="A2679">
        <v>1975</v>
      </c>
      <c r="B2679" s="1">
        <v>45636</v>
      </c>
      <c r="C2679" s="2">
        <v>0.54166666666666663</v>
      </c>
      <c r="D2679">
        <v>3</v>
      </c>
      <c r="E2679">
        <v>4.8</v>
      </c>
      <c r="F2679">
        <v>83</v>
      </c>
    </row>
    <row r="2680" spans="1:6" x14ac:dyDescent="0.35">
      <c r="A2680">
        <v>1975</v>
      </c>
      <c r="B2680" s="1">
        <v>45636</v>
      </c>
      <c r="C2680" s="2">
        <v>0.58333333333333337</v>
      </c>
      <c r="D2680">
        <v>3</v>
      </c>
      <c r="E2680">
        <v>4.8</v>
      </c>
      <c r="F2680">
        <v>83</v>
      </c>
    </row>
    <row r="2681" spans="1:6" x14ac:dyDescent="0.35">
      <c r="A2681">
        <v>1975</v>
      </c>
      <c r="B2681" s="1">
        <v>45636</v>
      </c>
      <c r="C2681" s="2">
        <v>0.625</v>
      </c>
      <c r="D2681">
        <v>3</v>
      </c>
      <c r="E2681">
        <v>5</v>
      </c>
      <c r="F2681">
        <v>84</v>
      </c>
    </row>
    <row r="2682" spans="1:6" x14ac:dyDescent="0.35">
      <c r="A2682">
        <v>1975</v>
      </c>
      <c r="B2682" s="1">
        <v>45636</v>
      </c>
      <c r="C2682" s="2">
        <v>0.66666666666666663</v>
      </c>
      <c r="D2682">
        <v>3</v>
      </c>
      <c r="E2682">
        <v>5.0999999999999996</v>
      </c>
      <c r="F2682">
        <v>83</v>
      </c>
    </row>
    <row r="2683" spans="1:6" x14ac:dyDescent="0.35">
      <c r="A2683">
        <v>1975</v>
      </c>
      <c r="B2683" s="1">
        <v>45636</v>
      </c>
      <c r="C2683" s="2">
        <v>0.70833333333333337</v>
      </c>
      <c r="D2683">
        <v>3</v>
      </c>
      <c r="E2683">
        <v>5.0999999999999996</v>
      </c>
      <c r="F2683">
        <v>84</v>
      </c>
    </row>
    <row r="2684" spans="1:6" x14ac:dyDescent="0.35">
      <c r="A2684">
        <v>1975</v>
      </c>
      <c r="B2684" s="1">
        <v>45636</v>
      </c>
      <c r="C2684" s="2">
        <v>0.75</v>
      </c>
      <c r="D2684">
        <v>3</v>
      </c>
      <c r="E2684">
        <v>5</v>
      </c>
      <c r="F2684">
        <v>85</v>
      </c>
    </row>
    <row r="2685" spans="1:6" x14ac:dyDescent="0.35">
      <c r="A2685">
        <v>1975</v>
      </c>
      <c r="B2685" s="1">
        <v>45636</v>
      </c>
      <c r="C2685" s="2">
        <v>0.79166666666666663</v>
      </c>
      <c r="D2685">
        <v>3</v>
      </c>
      <c r="E2685">
        <v>4.9000000000000004</v>
      </c>
      <c r="F2685">
        <v>85</v>
      </c>
    </row>
    <row r="2686" spans="1:6" x14ac:dyDescent="0.35">
      <c r="A2686">
        <v>1975</v>
      </c>
      <c r="B2686" s="1">
        <v>45636</v>
      </c>
      <c r="C2686" s="2">
        <v>0.83333333333333337</v>
      </c>
      <c r="D2686">
        <v>3</v>
      </c>
      <c r="E2686">
        <v>4.8</v>
      </c>
      <c r="F2686">
        <v>84</v>
      </c>
    </row>
    <row r="2687" spans="1:6" x14ac:dyDescent="0.35">
      <c r="A2687">
        <v>1975</v>
      </c>
      <c r="B2687" s="1">
        <v>45636</v>
      </c>
      <c r="C2687" s="2">
        <v>0.875</v>
      </c>
      <c r="D2687">
        <v>3</v>
      </c>
      <c r="E2687">
        <v>4.8</v>
      </c>
      <c r="F2687">
        <v>84</v>
      </c>
    </row>
    <row r="2688" spans="1:6" x14ac:dyDescent="0.35">
      <c r="A2688">
        <v>1975</v>
      </c>
      <c r="B2688" s="1">
        <v>45636</v>
      </c>
      <c r="C2688" s="2">
        <v>0.91666666666666663</v>
      </c>
      <c r="D2688">
        <v>3</v>
      </c>
      <c r="E2688">
        <v>4.7</v>
      </c>
      <c r="F2688">
        <v>85</v>
      </c>
    </row>
    <row r="2689" spans="1:6" x14ac:dyDescent="0.35">
      <c r="A2689">
        <v>1975</v>
      </c>
      <c r="B2689" s="1">
        <v>45636</v>
      </c>
      <c r="C2689" s="2">
        <v>0.95833333333333337</v>
      </c>
      <c r="D2689">
        <v>3</v>
      </c>
      <c r="E2689">
        <v>4.5</v>
      </c>
      <c r="F2689">
        <v>86</v>
      </c>
    </row>
    <row r="2690" spans="1:6" x14ac:dyDescent="0.35">
      <c r="A2690">
        <v>1975</v>
      </c>
      <c r="B2690" s="1">
        <v>45637</v>
      </c>
      <c r="C2690" s="2">
        <v>0</v>
      </c>
      <c r="D2690">
        <v>3</v>
      </c>
      <c r="E2690">
        <v>4.3</v>
      </c>
      <c r="F2690">
        <v>86</v>
      </c>
    </row>
    <row r="2691" spans="1:6" x14ac:dyDescent="0.35">
      <c r="A2691">
        <v>1975</v>
      </c>
      <c r="B2691" s="1">
        <v>45637</v>
      </c>
      <c r="C2691" s="2">
        <v>4.1666666666666657E-2</v>
      </c>
      <c r="D2691">
        <v>3</v>
      </c>
      <c r="E2691">
        <v>4.3</v>
      </c>
      <c r="F2691">
        <v>85</v>
      </c>
    </row>
    <row r="2692" spans="1:6" x14ac:dyDescent="0.35">
      <c r="A2692">
        <v>1975</v>
      </c>
      <c r="B2692" s="1">
        <v>45637</v>
      </c>
      <c r="C2692" s="2">
        <v>8.3333333333333329E-2</v>
      </c>
      <c r="D2692">
        <v>3</v>
      </c>
      <c r="E2692">
        <v>4.0999999999999996</v>
      </c>
      <c r="F2692">
        <v>84</v>
      </c>
    </row>
    <row r="2693" spans="1:6" x14ac:dyDescent="0.35">
      <c r="A2693">
        <v>1975</v>
      </c>
      <c r="B2693" s="1">
        <v>45637</v>
      </c>
      <c r="C2693" s="2">
        <v>0.125</v>
      </c>
      <c r="D2693">
        <v>3</v>
      </c>
      <c r="E2693">
        <v>3.9</v>
      </c>
      <c r="F2693">
        <v>84</v>
      </c>
    </row>
    <row r="2694" spans="1:6" x14ac:dyDescent="0.35">
      <c r="A2694">
        <v>1975</v>
      </c>
      <c r="B2694" s="1">
        <v>45637</v>
      </c>
      <c r="C2694" s="2">
        <v>0.16666666666666671</v>
      </c>
      <c r="D2694">
        <v>3</v>
      </c>
      <c r="E2694">
        <v>3.6</v>
      </c>
      <c r="F2694">
        <v>85</v>
      </c>
    </row>
    <row r="2695" spans="1:6" x14ac:dyDescent="0.35">
      <c r="A2695">
        <v>1975</v>
      </c>
      <c r="B2695" s="1">
        <v>45637</v>
      </c>
      <c r="C2695" s="2">
        <v>0.20833333333333329</v>
      </c>
      <c r="D2695">
        <v>3</v>
      </c>
      <c r="E2695">
        <v>3.2</v>
      </c>
      <c r="F2695">
        <v>84</v>
      </c>
    </row>
    <row r="2696" spans="1:6" x14ac:dyDescent="0.35">
      <c r="A2696">
        <v>1975</v>
      </c>
      <c r="B2696" s="1">
        <v>45637</v>
      </c>
      <c r="C2696" s="2">
        <v>0.25</v>
      </c>
      <c r="D2696">
        <v>3</v>
      </c>
      <c r="E2696">
        <v>2.8</v>
      </c>
      <c r="F2696">
        <v>85</v>
      </c>
    </row>
    <row r="2697" spans="1:6" x14ac:dyDescent="0.35">
      <c r="A2697">
        <v>1975</v>
      </c>
      <c r="B2697" s="1">
        <v>45637</v>
      </c>
      <c r="C2697" s="2">
        <v>0.29166666666666669</v>
      </c>
      <c r="D2697">
        <v>3</v>
      </c>
      <c r="E2697">
        <v>2.7</v>
      </c>
      <c r="F2697">
        <v>86</v>
      </c>
    </row>
    <row r="2698" spans="1:6" x14ac:dyDescent="0.35">
      <c r="A2698">
        <v>1975</v>
      </c>
      <c r="B2698" s="1">
        <v>45637</v>
      </c>
      <c r="C2698" s="2">
        <v>0.33333333333333331</v>
      </c>
      <c r="D2698">
        <v>3</v>
      </c>
      <c r="E2698">
        <v>2.5</v>
      </c>
      <c r="F2698">
        <v>84</v>
      </c>
    </row>
    <row r="2699" spans="1:6" x14ac:dyDescent="0.35">
      <c r="A2699">
        <v>1975</v>
      </c>
      <c r="B2699" s="1">
        <v>45637</v>
      </c>
      <c r="C2699" s="2">
        <v>0.375</v>
      </c>
      <c r="D2699">
        <v>3</v>
      </c>
      <c r="E2699">
        <v>2.5</v>
      </c>
      <c r="F2699">
        <v>83</v>
      </c>
    </row>
    <row r="2700" spans="1:6" x14ac:dyDescent="0.35">
      <c r="A2700">
        <v>1975</v>
      </c>
      <c r="B2700" s="1">
        <v>45637</v>
      </c>
      <c r="C2700" s="2">
        <v>0.41666666666666669</v>
      </c>
      <c r="D2700">
        <v>3</v>
      </c>
      <c r="E2700">
        <v>2.4</v>
      </c>
      <c r="F2700">
        <v>82</v>
      </c>
    </row>
    <row r="2701" spans="1:6" x14ac:dyDescent="0.35">
      <c r="A2701">
        <v>1975</v>
      </c>
      <c r="B2701" s="1">
        <v>45637</v>
      </c>
      <c r="C2701" s="2">
        <v>0.45833333333333331</v>
      </c>
      <c r="D2701">
        <v>3</v>
      </c>
      <c r="E2701">
        <v>2.5</v>
      </c>
      <c r="F2701">
        <v>83</v>
      </c>
    </row>
    <row r="2702" spans="1:6" x14ac:dyDescent="0.35">
      <c r="A2702">
        <v>1975</v>
      </c>
      <c r="B2702" s="1">
        <v>45637</v>
      </c>
      <c r="C2702" s="2">
        <v>0.5</v>
      </c>
      <c r="D2702">
        <v>3</v>
      </c>
      <c r="E2702">
        <v>1.9</v>
      </c>
      <c r="F2702">
        <v>83</v>
      </c>
    </row>
    <row r="2703" spans="1:6" x14ac:dyDescent="0.35">
      <c r="A2703">
        <v>1975</v>
      </c>
      <c r="B2703" s="1">
        <v>45637</v>
      </c>
      <c r="C2703" s="2">
        <v>0.54166666666666663</v>
      </c>
      <c r="D2703">
        <v>3</v>
      </c>
      <c r="E2703">
        <v>1.4</v>
      </c>
      <c r="F2703">
        <v>84</v>
      </c>
    </row>
    <row r="2704" spans="1:6" x14ac:dyDescent="0.35">
      <c r="A2704">
        <v>1975</v>
      </c>
      <c r="B2704" s="1">
        <v>45637</v>
      </c>
      <c r="C2704" s="2">
        <v>0.58333333333333337</v>
      </c>
      <c r="D2704">
        <v>3</v>
      </c>
      <c r="E2704">
        <v>1.7</v>
      </c>
      <c r="F2704">
        <v>84</v>
      </c>
    </row>
    <row r="2705" spans="1:6" x14ac:dyDescent="0.35">
      <c r="A2705">
        <v>1975</v>
      </c>
      <c r="B2705" s="1">
        <v>45637</v>
      </c>
      <c r="C2705" s="2">
        <v>0.625</v>
      </c>
      <c r="D2705">
        <v>3</v>
      </c>
      <c r="E2705">
        <v>2</v>
      </c>
      <c r="F2705">
        <v>87</v>
      </c>
    </row>
    <row r="2706" spans="1:6" x14ac:dyDescent="0.35">
      <c r="A2706">
        <v>1975</v>
      </c>
      <c r="B2706" s="1">
        <v>45637</v>
      </c>
      <c r="C2706" s="2">
        <v>0.66666666666666663</v>
      </c>
      <c r="D2706">
        <v>3</v>
      </c>
      <c r="E2706">
        <v>2.2999999999999998</v>
      </c>
      <c r="F2706">
        <v>86</v>
      </c>
    </row>
    <row r="2707" spans="1:6" x14ac:dyDescent="0.35">
      <c r="A2707">
        <v>1975</v>
      </c>
      <c r="B2707" s="1">
        <v>45637</v>
      </c>
      <c r="C2707" s="2">
        <v>0.70833333333333337</v>
      </c>
      <c r="D2707">
        <v>3</v>
      </c>
      <c r="E2707">
        <v>2.2000000000000002</v>
      </c>
      <c r="F2707">
        <v>89</v>
      </c>
    </row>
    <row r="2708" spans="1:6" x14ac:dyDescent="0.35">
      <c r="A2708">
        <v>1975</v>
      </c>
      <c r="B2708" s="1">
        <v>45637</v>
      </c>
      <c r="C2708" s="2">
        <v>0.75</v>
      </c>
      <c r="D2708">
        <v>3</v>
      </c>
      <c r="E2708">
        <v>2.2999999999999998</v>
      </c>
      <c r="F2708">
        <v>91</v>
      </c>
    </row>
    <row r="2709" spans="1:6" x14ac:dyDescent="0.35">
      <c r="A2709">
        <v>1975</v>
      </c>
      <c r="B2709" s="1">
        <v>45637</v>
      </c>
      <c r="C2709" s="2">
        <v>0.79166666666666663</v>
      </c>
      <c r="D2709">
        <v>3</v>
      </c>
      <c r="E2709">
        <v>2.1</v>
      </c>
      <c r="F2709">
        <v>96</v>
      </c>
    </row>
    <row r="2710" spans="1:6" x14ac:dyDescent="0.35">
      <c r="A2710">
        <v>1975</v>
      </c>
      <c r="B2710" s="1">
        <v>45637</v>
      </c>
      <c r="C2710" s="2">
        <v>0.83333333333333337</v>
      </c>
      <c r="D2710">
        <v>3</v>
      </c>
      <c r="E2710">
        <v>2.1</v>
      </c>
      <c r="F2710">
        <v>99</v>
      </c>
    </row>
    <row r="2711" spans="1:6" x14ac:dyDescent="0.35">
      <c r="A2711">
        <v>1975</v>
      </c>
      <c r="B2711" s="1">
        <v>45637</v>
      </c>
      <c r="C2711" s="2">
        <v>0.875</v>
      </c>
      <c r="D2711">
        <v>3</v>
      </c>
      <c r="E2711">
        <v>2.1</v>
      </c>
      <c r="F2711">
        <v>100</v>
      </c>
    </row>
    <row r="2712" spans="1:6" x14ac:dyDescent="0.35">
      <c r="A2712">
        <v>1975</v>
      </c>
      <c r="B2712" s="1">
        <v>45637</v>
      </c>
      <c r="C2712" s="2">
        <v>0.91666666666666663</v>
      </c>
      <c r="D2712">
        <v>3</v>
      </c>
      <c r="E2712">
        <v>2.2000000000000002</v>
      </c>
      <c r="F2712">
        <v>99</v>
      </c>
    </row>
    <row r="2713" spans="1:6" x14ac:dyDescent="0.35">
      <c r="A2713">
        <v>1975</v>
      </c>
      <c r="B2713" s="1">
        <v>45637</v>
      </c>
      <c r="C2713" s="2">
        <v>0.95833333333333337</v>
      </c>
      <c r="D2713">
        <v>3</v>
      </c>
      <c r="E2713">
        <v>2.2999999999999998</v>
      </c>
      <c r="F2713">
        <v>99</v>
      </c>
    </row>
    <row r="2714" spans="1:6" x14ac:dyDescent="0.35">
      <c r="A2714">
        <v>1975</v>
      </c>
      <c r="B2714" s="1">
        <v>45638</v>
      </c>
      <c r="C2714" s="2">
        <v>0</v>
      </c>
      <c r="D2714">
        <v>3</v>
      </c>
      <c r="E2714">
        <v>2.4</v>
      </c>
      <c r="F2714">
        <v>100</v>
      </c>
    </row>
    <row r="2715" spans="1:6" x14ac:dyDescent="0.35">
      <c r="A2715">
        <v>1975</v>
      </c>
      <c r="B2715" s="1">
        <v>45638</v>
      </c>
      <c r="C2715" s="2">
        <v>4.1666666666666657E-2</v>
      </c>
      <c r="D2715">
        <v>3</v>
      </c>
      <c r="E2715">
        <v>2.5</v>
      </c>
      <c r="F2715">
        <v>100</v>
      </c>
    </row>
    <row r="2716" spans="1:6" x14ac:dyDescent="0.35">
      <c r="A2716">
        <v>1975</v>
      </c>
      <c r="B2716" s="1">
        <v>45638</v>
      </c>
      <c r="C2716" s="2">
        <v>8.3333333333333329E-2</v>
      </c>
      <c r="D2716">
        <v>3</v>
      </c>
      <c r="E2716">
        <v>2.6</v>
      </c>
      <c r="F2716">
        <v>100</v>
      </c>
    </row>
    <row r="2717" spans="1:6" x14ac:dyDescent="0.35">
      <c r="A2717">
        <v>1975</v>
      </c>
      <c r="B2717" s="1">
        <v>45638</v>
      </c>
      <c r="C2717" s="2">
        <v>0.125</v>
      </c>
      <c r="D2717">
        <v>3</v>
      </c>
      <c r="E2717">
        <v>2.7</v>
      </c>
      <c r="F2717">
        <v>100</v>
      </c>
    </row>
    <row r="2718" spans="1:6" x14ac:dyDescent="0.35">
      <c r="A2718">
        <v>1975</v>
      </c>
      <c r="B2718" s="1">
        <v>45638</v>
      </c>
      <c r="C2718" s="2">
        <v>0.16666666666666671</v>
      </c>
      <c r="D2718">
        <v>3</v>
      </c>
      <c r="E2718">
        <v>2.8</v>
      </c>
      <c r="F2718">
        <v>100</v>
      </c>
    </row>
    <row r="2719" spans="1:6" x14ac:dyDescent="0.35">
      <c r="A2719">
        <v>1975</v>
      </c>
      <c r="B2719" s="1">
        <v>45638</v>
      </c>
      <c r="C2719" s="2">
        <v>0.20833333333333329</v>
      </c>
      <c r="D2719">
        <v>3</v>
      </c>
      <c r="E2719">
        <v>2.9</v>
      </c>
      <c r="F2719">
        <v>100</v>
      </c>
    </row>
    <row r="2720" spans="1:6" x14ac:dyDescent="0.35">
      <c r="A2720">
        <v>1975</v>
      </c>
      <c r="B2720" s="1">
        <v>45638</v>
      </c>
      <c r="C2720" s="2">
        <v>0.25</v>
      </c>
      <c r="D2720">
        <v>3</v>
      </c>
      <c r="E2720">
        <v>3</v>
      </c>
      <c r="F2720">
        <v>100</v>
      </c>
    </row>
    <row r="2721" spans="1:6" x14ac:dyDescent="0.35">
      <c r="A2721">
        <v>1975</v>
      </c>
      <c r="B2721" s="1">
        <v>45638</v>
      </c>
      <c r="C2721" s="2">
        <v>0.29166666666666669</v>
      </c>
      <c r="D2721">
        <v>3</v>
      </c>
      <c r="E2721">
        <v>3</v>
      </c>
      <c r="F2721">
        <v>99</v>
      </c>
    </row>
    <row r="2722" spans="1:6" x14ac:dyDescent="0.35">
      <c r="A2722">
        <v>1975</v>
      </c>
      <c r="B2722" s="1">
        <v>45638</v>
      </c>
      <c r="C2722" s="2">
        <v>0.33333333333333331</v>
      </c>
      <c r="D2722">
        <v>3</v>
      </c>
      <c r="E2722">
        <v>2.9</v>
      </c>
      <c r="F2722">
        <v>98</v>
      </c>
    </row>
    <row r="2723" spans="1:6" x14ac:dyDescent="0.35">
      <c r="A2723">
        <v>1975</v>
      </c>
      <c r="B2723" s="1">
        <v>45638</v>
      </c>
      <c r="C2723" s="2">
        <v>0.375</v>
      </c>
      <c r="D2723">
        <v>3</v>
      </c>
      <c r="E2723">
        <v>2.8</v>
      </c>
      <c r="F2723">
        <v>96</v>
      </c>
    </row>
    <row r="2724" spans="1:6" x14ac:dyDescent="0.35">
      <c r="A2724">
        <v>1975</v>
      </c>
      <c r="B2724" s="1">
        <v>45638</v>
      </c>
      <c r="C2724" s="2">
        <v>0.41666666666666669</v>
      </c>
      <c r="D2724">
        <v>3</v>
      </c>
      <c r="E2724">
        <v>2.9</v>
      </c>
      <c r="F2724">
        <v>96</v>
      </c>
    </row>
    <row r="2725" spans="1:6" x14ac:dyDescent="0.35">
      <c r="A2725">
        <v>1975</v>
      </c>
      <c r="B2725" s="1">
        <v>45638</v>
      </c>
      <c r="C2725" s="2">
        <v>0.45833333333333331</v>
      </c>
      <c r="D2725">
        <v>3</v>
      </c>
      <c r="E2725">
        <v>3</v>
      </c>
      <c r="F2725">
        <v>94</v>
      </c>
    </row>
    <row r="2726" spans="1:6" x14ac:dyDescent="0.35">
      <c r="A2726">
        <v>1975</v>
      </c>
      <c r="B2726" s="1">
        <v>45638</v>
      </c>
      <c r="C2726" s="2">
        <v>0.5</v>
      </c>
      <c r="D2726">
        <v>3</v>
      </c>
      <c r="E2726">
        <v>3.1</v>
      </c>
      <c r="F2726">
        <v>94</v>
      </c>
    </row>
    <row r="2727" spans="1:6" x14ac:dyDescent="0.35">
      <c r="A2727">
        <v>1975</v>
      </c>
      <c r="B2727" s="1">
        <v>45638</v>
      </c>
      <c r="C2727" s="2">
        <v>0.54166666666666663</v>
      </c>
      <c r="D2727">
        <v>3</v>
      </c>
      <c r="E2727">
        <v>3.2</v>
      </c>
      <c r="F2727">
        <v>89</v>
      </c>
    </row>
    <row r="2728" spans="1:6" x14ac:dyDescent="0.35">
      <c r="A2728">
        <v>1975</v>
      </c>
      <c r="B2728" s="1">
        <v>45638</v>
      </c>
      <c r="C2728" s="2">
        <v>0.58333333333333337</v>
      </c>
      <c r="D2728">
        <v>3</v>
      </c>
      <c r="E2728">
        <v>2.9</v>
      </c>
      <c r="F2728">
        <v>89</v>
      </c>
    </row>
    <row r="2729" spans="1:6" x14ac:dyDescent="0.35">
      <c r="A2729">
        <v>1975</v>
      </c>
      <c r="B2729" s="1">
        <v>45638</v>
      </c>
      <c r="C2729" s="2">
        <v>0.625</v>
      </c>
      <c r="D2729">
        <v>3</v>
      </c>
      <c r="E2729">
        <v>2.6</v>
      </c>
      <c r="F2729">
        <v>84</v>
      </c>
    </row>
    <row r="2730" spans="1:6" x14ac:dyDescent="0.35">
      <c r="A2730">
        <v>1975</v>
      </c>
      <c r="B2730" s="1">
        <v>45638</v>
      </c>
      <c r="C2730" s="2">
        <v>0.66666666666666663</v>
      </c>
      <c r="D2730">
        <v>3</v>
      </c>
      <c r="E2730">
        <v>2.8</v>
      </c>
      <c r="F2730">
        <v>82</v>
      </c>
    </row>
    <row r="2731" spans="1:6" x14ac:dyDescent="0.35">
      <c r="A2731">
        <v>1975</v>
      </c>
      <c r="B2731" s="1">
        <v>45638</v>
      </c>
      <c r="C2731" s="2">
        <v>0.70833333333333337</v>
      </c>
      <c r="D2731">
        <v>3</v>
      </c>
      <c r="E2731">
        <v>2.8</v>
      </c>
      <c r="F2731">
        <v>87</v>
      </c>
    </row>
    <row r="2732" spans="1:6" x14ac:dyDescent="0.35">
      <c r="A2732">
        <v>1975</v>
      </c>
      <c r="B2732" s="1">
        <v>45638</v>
      </c>
      <c r="C2732" s="2">
        <v>0.75</v>
      </c>
      <c r="D2732">
        <v>3</v>
      </c>
      <c r="E2732">
        <v>2.9</v>
      </c>
      <c r="F2732">
        <v>89</v>
      </c>
    </row>
    <row r="2733" spans="1:6" x14ac:dyDescent="0.35">
      <c r="A2733">
        <v>1975</v>
      </c>
      <c r="B2733" s="1">
        <v>45638</v>
      </c>
      <c r="C2733" s="2">
        <v>0.79166666666666663</v>
      </c>
      <c r="D2733">
        <v>3</v>
      </c>
      <c r="E2733">
        <v>3</v>
      </c>
      <c r="F2733">
        <v>91</v>
      </c>
    </row>
    <row r="2734" spans="1:6" x14ac:dyDescent="0.35">
      <c r="A2734">
        <v>1975</v>
      </c>
      <c r="B2734" s="1">
        <v>45638</v>
      </c>
      <c r="C2734" s="2">
        <v>0.83333333333333337</v>
      </c>
      <c r="D2734">
        <v>3</v>
      </c>
      <c r="E2734">
        <v>2.8</v>
      </c>
      <c r="F2734">
        <v>89</v>
      </c>
    </row>
    <row r="2735" spans="1:6" x14ac:dyDescent="0.35">
      <c r="A2735">
        <v>1975</v>
      </c>
      <c r="B2735" s="1">
        <v>45638</v>
      </c>
      <c r="C2735" s="2">
        <v>0.875</v>
      </c>
      <c r="D2735">
        <v>3</v>
      </c>
      <c r="E2735">
        <v>2.4</v>
      </c>
      <c r="F2735">
        <v>89</v>
      </c>
    </row>
    <row r="2736" spans="1:6" x14ac:dyDescent="0.35">
      <c r="A2736">
        <v>1975</v>
      </c>
      <c r="B2736" s="1">
        <v>45638</v>
      </c>
      <c r="C2736" s="2">
        <v>0.91666666666666663</v>
      </c>
      <c r="D2736">
        <v>3</v>
      </c>
      <c r="E2736">
        <v>1.8</v>
      </c>
      <c r="F2736">
        <v>90</v>
      </c>
    </row>
    <row r="2737" spans="1:6" x14ac:dyDescent="0.35">
      <c r="A2737">
        <v>1975</v>
      </c>
      <c r="B2737" s="1">
        <v>45638</v>
      </c>
      <c r="C2737" s="2">
        <v>0.95833333333333337</v>
      </c>
      <c r="D2737">
        <v>3</v>
      </c>
      <c r="E2737">
        <v>1.4</v>
      </c>
      <c r="F2737">
        <v>90</v>
      </c>
    </row>
    <row r="2738" spans="1:6" x14ac:dyDescent="0.35">
      <c r="A2738">
        <v>1975</v>
      </c>
      <c r="B2738" s="1">
        <v>45639</v>
      </c>
      <c r="C2738" s="2">
        <v>0</v>
      </c>
      <c r="D2738">
        <v>3</v>
      </c>
      <c r="E2738">
        <v>1.6</v>
      </c>
      <c r="F2738">
        <v>89</v>
      </c>
    </row>
    <row r="2739" spans="1:6" x14ac:dyDescent="0.35">
      <c r="A2739">
        <v>1975</v>
      </c>
      <c r="B2739" s="1">
        <v>45639</v>
      </c>
      <c r="C2739" s="2">
        <v>4.1666666666666657E-2</v>
      </c>
      <c r="D2739">
        <v>3</v>
      </c>
      <c r="E2739">
        <v>1.6</v>
      </c>
      <c r="F2739">
        <v>91</v>
      </c>
    </row>
    <row r="2740" spans="1:6" x14ac:dyDescent="0.35">
      <c r="A2740">
        <v>1975</v>
      </c>
      <c r="B2740" s="1">
        <v>45639</v>
      </c>
      <c r="C2740" s="2">
        <v>8.3333333333333329E-2</v>
      </c>
      <c r="D2740">
        <v>3</v>
      </c>
      <c r="E2740">
        <v>1.7</v>
      </c>
      <c r="F2740">
        <v>89</v>
      </c>
    </row>
    <row r="2741" spans="1:6" x14ac:dyDescent="0.35">
      <c r="A2741">
        <v>1975</v>
      </c>
      <c r="B2741" s="1">
        <v>45639</v>
      </c>
      <c r="C2741" s="2">
        <v>0.125</v>
      </c>
      <c r="D2741">
        <v>3</v>
      </c>
      <c r="E2741">
        <v>1.7</v>
      </c>
      <c r="F2741">
        <v>88</v>
      </c>
    </row>
    <row r="2742" spans="1:6" x14ac:dyDescent="0.35">
      <c r="A2742">
        <v>1975</v>
      </c>
      <c r="B2742" s="1">
        <v>45639</v>
      </c>
      <c r="C2742" s="2">
        <v>0.16666666666666671</v>
      </c>
      <c r="D2742">
        <v>3</v>
      </c>
      <c r="E2742">
        <v>1.5</v>
      </c>
      <c r="F2742">
        <v>83</v>
      </c>
    </row>
    <row r="2743" spans="1:6" x14ac:dyDescent="0.35">
      <c r="A2743">
        <v>1975</v>
      </c>
      <c r="B2743" s="1">
        <v>45639</v>
      </c>
      <c r="C2743" s="2">
        <v>0.20833333333333329</v>
      </c>
      <c r="D2743">
        <v>3</v>
      </c>
      <c r="E2743">
        <v>1.2</v>
      </c>
      <c r="F2743">
        <v>88</v>
      </c>
    </row>
    <row r="2744" spans="1:6" x14ac:dyDescent="0.35">
      <c r="A2744">
        <v>1975</v>
      </c>
      <c r="B2744" s="1">
        <v>45639</v>
      </c>
      <c r="C2744" s="2">
        <v>0.25</v>
      </c>
      <c r="D2744">
        <v>3</v>
      </c>
      <c r="E2744">
        <v>1.1000000000000001</v>
      </c>
      <c r="F2744">
        <v>92</v>
      </c>
    </row>
    <row r="2745" spans="1:6" x14ac:dyDescent="0.35">
      <c r="A2745">
        <v>1975</v>
      </c>
      <c r="B2745" s="1">
        <v>45639</v>
      </c>
      <c r="C2745" s="2">
        <v>0.29166666666666669</v>
      </c>
      <c r="D2745">
        <v>3</v>
      </c>
      <c r="E2745">
        <v>1.1000000000000001</v>
      </c>
      <c r="F2745">
        <v>82</v>
      </c>
    </row>
    <row r="2746" spans="1:6" x14ac:dyDescent="0.35">
      <c r="A2746">
        <v>1975</v>
      </c>
      <c r="B2746" s="1">
        <v>45639</v>
      </c>
      <c r="C2746" s="2">
        <v>0.33333333333333331</v>
      </c>
      <c r="D2746">
        <v>3</v>
      </c>
      <c r="E2746">
        <v>0.9</v>
      </c>
      <c r="F2746">
        <v>86</v>
      </c>
    </row>
    <row r="2747" spans="1:6" x14ac:dyDescent="0.35">
      <c r="A2747">
        <v>1975</v>
      </c>
      <c r="B2747" s="1">
        <v>45639</v>
      </c>
      <c r="C2747" s="2">
        <v>0.375</v>
      </c>
      <c r="D2747">
        <v>3</v>
      </c>
      <c r="E2747">
        <v>1</v>
      </c>
      <c r="F2747">
        <v>84</v>
      </c>
    </row>
    <row r="2748" spans="1:6" x14ac:dyDescent="0.35">
      <c r="A2748">
        <v>1975</v>
      </c>
      <c r="B2748" s="1">
        <v>45639</v>
      </c>
      <c r="C2748" s="2">
        <v>0.41666666666666669</v>
      </c>
      <c r="D2748">
        <v>3</v>
      </c>
      <c r="E2748">
        <v>0.9</v>
      </c>
      <c r="F2748">
        <v>86</v>
      </c>
    </row>
    <row r="2749" spans="1:6" x14ac:dyDescent="0.35">
      <c r="A2749">
        <v>1975</v>
      </c>
      <c r="B2749" s="1">
        <v>45639</v>
      </c>
      <c r="C2749" s="2">
        <v>0.45833333333333331</v>
      </c>
      <c r="D2749">
        <v>3</v>
      </c>
      <c r="E2749">
        <v>0.7</v>
      </c>
      <c r="F2749">
        <v>88</v>
      </c>
    </row>
    <row r="2750" spans="1:6" x14ac:dyDescent="0.35">
      <c r="A2750">
        <v>1975</v>
      </c>
      <c r="B2750" s="1">
        <v>45639</v>
      </c>
      <c r="C2750" s="2">
        <v>0.5</v>
      </c>
      <c r="D2750">
        <v>3</v>
      </c>
      <c r="E2750">
        <v>0.6</v>
      </c>
      <c r="F2750">
        <v>88</v>
      </c>
    </row>
    <row r="2751" spans="1:6" x14ac:dyDescent="0.35">
      <c r="A2751">
        <v>1975</v>
      </c>
      <c r="B2751" s="1">
        <v>45639</v>
      </c>
      <c r="C2751" s="2">
        <v>0.54166666666666663</v>
      </c>
      <c r="D2751">
        <v>3</v>
      </c>
      <c r="E2751">
        <v>0.5</v>
      </c>
      <c r="F2751">
        <v>88</v>
      </c>
    </row>
    <row r="2752" spans="1:6" x14ac:dyDescent="0.35">
      <c r="A2752">
        <v>1975</v>
      </c>
      <c r="B2752" s="1">
        <v>45639</v>
      </c>
      <c r="C2752" s="2">
        <v>0.58333333333333337</v>
      </c>
      <c r="D2752">
        <v>3</v>
      </c>
      <c r="E2752">
        <v>0.4</v>
      </c>
      <c r="F2752">
        <v>89</v>
      </c>
    </row>
    <row r="2753" spans="1:6" x14ac:dyDescent="0.35">
      <c r="A2753">
        <v>1975</v>
      </c>
      <c r="B2753" s="1">
        <v>45639</v>
      </c>
      <c r="C2753" s="2">
        <v>0.625</v>
      </c>
      <c r="D2753">
        <v>3</v>
      </c>
      <c r="E2753">
        <v>0.4</v>
      </c>
      <c r="F2753">
        <v>88</v>
      </c>
    </row>
    <row r="2754" spans="1:6" x14ac:dyDescent="0.35">
      <c r="A2754">
        <v>1975</v>
      </c>
      <c r="B2754" s="1">
        <v>45639</v>
      </c>
      <c r="C2754" s="2">
        <v>0.66666666666666663</v>
      </c>
      <c r="D2754">
        <v>3</v>
      </c>
      <c r="E2754">
        <v>0.3</v>
      </c>
      <c r="F2754">
        <v>89</v>
      </c>
    </row>
    <row r="2755" spans="1:6" x14ac:dyDescent="0.35">
      <c r="A2755">
        <v>1975</v>
      </c>
      <c r="B2755" s="1">
        <v>45639</v>
      </c>
      <c r="C2755" s="2">
        <v>0.70833333333333337</v>
      </c>
      <c r="D2755">
        <v>3</v>
      </c>
      <c r="E2755">
        <v>0.3</v>
      </c>
      <c r="F2755">
        <v>87</v>
      </c>
    </row>
    <row r="2756" spans="1:6" x14ac:dyDescent="0.35">
      <c r="A2756">
        <v>1975</v>
      </c>
      <c r="B2756" s="1">
        <v>45639</v>
      </c>
      <c r="C2756" s="2">
        <v>0.75</v>
      </c>
      <c r="D2756">
        <v>3</v>
      </c>
      <c r="E2756">
        <v>0.3</v>
      </c>
      <c r="F2756">
        <v>86</v>
      </c>
    </row>
    <row r="2757" spans="1:6" x14ac:dyDescent="0.35">
      <c r="A2757">
        <v>1975</v>
      </c>
      <c r="B2757" s="1">
        <v>45639</v>
      </c>
      <c r="C2757" s="2">
        <v>0.79166666666666663</v>
      </c>
      <c r="D2757">
        <v>3</v>
      </c>
      <c r="E2757">
        <v>0.1</v>
      </c>
      <c r="F2757">
        <v>85</v>
      </c>
    </row>
    <row r="2758" spans="1:6" x14ac:dyDescent="0.35">
      <c r="A2758">
        <v>1975</v>
      </c>
      <c r="B2758" s="1">
        <v>45639</v>
      </c>
      <c r="C2758" s="2">
        <v>0.83333333333333337</v>
      </c>
      <c r="D2758">
        <v>3</v>
      </c>
      <c r="E2758">
        <v>0</v>
      </c>
      <c r="F2758">
        <v>85</v>
      </c>
    </row>
    <row r="2759" spans="1:6" x14ac:dyDescent="0.35">
      <c r="A2759">
        <v>1975</v>
      </c>
      <c r="B2759" s="1">
        <v>45639</v>
      </c>
      <c r="C2759" s="2">
        <v>0.875</v>
      </c>
      <c r="D2759">
        <v>3</v>
      </c>
      <c r="E2759">
        <v>-0.2</v>
      </c>
      <c r="F2759">
        <v>88</v>
      </c>
    </row>
    <row r="2760" spans="1:6" x14ac:dyDescent="0.35">
      <c r="A2760">
        <v>1975</v>
      </c>
      <c r="B2760" s="1">
        <v>45639</v>
      </c>
      <c r="C2760" s="2">
        <v>0.91666666666666663</v>
      </c>
      <c r="D2760">
        <v>3</v>
      </c>
      <c r="E2760">
        <v>-0.3</v>
      </c>
      <c r="F2760">
        <v>88</v>
      </c>
    </row>
    <row r="2761" spans="1:6" x14ac:dyDescent="0.35">
      <c r="A2761">
        <v>1975</v>
      </c>
      <c r="B2761" s="1">
        <v>45639</v>
      </c>
      <c r="C2761" s="2">
        <v>0.95833333333333337</v>
      </c>
      <c r="D2761">
        <v>3</v>
      </c>
      <c r="E2761">
        <v>-0.5</v>
      </c>
      <c r="F2761">
        <v>89</v>
      </c>
    </row>
    <row r="2762" spans="1:6" x14ac:dyDescent="0.35">
      <c r="A2762">
        <v>1975</v>
      </c>
      <c r="B2762" s="1">
        <v>45640</v>
      </c>
      <c r="C2762" s="2">
        <v>0</v>
      </c>
      <c r="D2762">
        <v>3</v>
      </c>
      <c r="E2762">
        <v>-0.1</v>
      </c>
      <c r="F2762">
        <v>88</v>
      </c>
    </row>
    <row r="2763" spans="1:6" x14ac:dyDescent="0.35">
      <c r="A2763">
        <v>1975</v>
      </c>
      <c r="B2763" s="1">
        <v>45640</v>
      </c>
      <c r="C2763" s="2">
        <v>4.1666666666666657E-2</v>
      </c>
      <c r="D2763">
        <v>3</v>
      </c>
      <c r="E2763">
        <v>-0.1</v>
      </c>
      <c r="F2763">
        <v>89</v>
      </c>
    </row>
    <row r="2764" spans="1:6" x14ac:dyDescent="0.35">
      <c r="A2764">
        <v>1975</v>
      </c>
      <c r="B2764" s="1">
        <v>45640</v>
      </c>
      <c r="C2764" s="2">
        <v>8.3333333333333329E-2</v>
      </c>
      <c r="D2764">
        <v>3</v>
      </c>
      <c r="E2764">
        <v>0</v>
      </c>
      <c r="F2764">
        <v>86</v>
      </c>
    </row>
    <row r="2765" spans="1:6" x14ac:dyDescent="0.35">
      <c r="A2765">
        <v>1975</v>
      </c>
      <c r="B2765" s="1">
        <v>45640</v>
      </c>
      <c r="C2765" s="2">
        <v>0.125</v>
      </c>
      <c r="D2765">
        <v>3</v>
      </c>
      <c r="E2765">
        <v>-0.1</v>
      </c>
      <c r="F2765">
        <v>87</v>
      </c>
    </row>
    <row r="2766" spans="1:6" x14ac:dyDescent="0.35">
      <c r="A2766">
        <v>1975</v>
      </c>
      <c r="B2766" s="1">
        <v>45640</v>
      </c>
      <c r="C2766" s="2">
        <v>0.16666666666666671</v>
      </c>
      <c r="D2766">
        <v>3</v>
      </c>
      <c r="E2766">
        <v>0</v>
      </c>
      <c r="F2766">
        <v>89</v>
      </c>
    </row>
    <row r="2767" spans="1:6" x14ac:dyDescent="0.35">
      <c r="A2767">
        <v>1975</v>
      </c>
      <c r="B2767" s="1">
        <v>45640</v>
      </c>
      <c r="C2767" s="2">
        <v>0.20833333333333329</v>
      </c>
      <c r="D2767">
        <v>3</v>
      </c>
      <c r="E2767">
        <v>0.1</v>
      </c>
      <c r="F2767">
        <v>91</v>
      </c>
    </row>
    <row r="2768" spans="1:6" x14ac:dyDescent="0.35">
      <c r="A2768">
        <v>1975</v>
      </c>
      <c r="B2768" s="1">
        <v>45640</v>
      </c>
      <c r="C2768" s="2">
        <v>0.25</v>
      </c>
      <c r="D2768">
        <v>3</v>
      </c>
      <c r="E2768">
        <v>-0.1</v>
      </c>
      <c r="F2768">
        <v>94</v>
      </c>
    </row>
    <row r="2769" spans="1:6" x14ac:dyDescent="0.35">
      <c r="A2769">
        <v>1975</v>
      </c>
      <c r="B2769" s="1">
        <v>45640</v>
      </c>
      <c r="C2769" s="2">
        <v>0.29166666666666669</v>
      </c>
      <c r="D2769">
        <v>3</v>
      </c>
      <c r="E2769">
        <v>-0.1</v>
      </c>
      <c r="F2769">
        <v>95</v>
      </c>
    </row>
    <row r="2770" spans="1:6" x14ac:dyDescent="0.35">
      <c r="A2770">
        <v>1975</v>
      </c>
      <c r="B2770" s="1">
        <v>45640</v>
      </c>
      <c r="C2770" s="2">
        <v>0.33333333333333331</v>
      </c>
      <c r="D2770">
        <v>3</v>
      </c>
      <c r="E2770">
        <v>0.2</v>
      </c>
      <c r="F2770">
        <v>96</v>
      </c>
    </row>
    <row r="2771" spans="1:6" x14ac:dyDescent="0.35">
      <c r="A2771">
        <v>1975</v>
      </c>
      <c r="B2771" s="1">
        <v>45640</v>
      </c>
      <c r="C2771" s="2">
        <v>0.375</v>
      </c>
      <c r="D2771">
        <v>3</v>
      </c>
      <c r="E2771">
        <v>0.4</v>
      </c>
      <c r="F2771">
        <v>94</v>
      </c>
    </row>
    <row r="2772" spans="1:6" x14ac:dyDescent="0.35">
      <c r="A2772">
        <v>1975</v>
      </c>
      <c r="B2772" s="1">
        <v>45640</v>
      </c>
      <c r="C2772" s="2">
        <v>0.41666666666666669</v>
      </c>
      <c r="D2772">
        <v>3</v>
      </c>
      <c r="E2772">
        <v>0.6</v>
      </c>
      <c r="F2772">
        <v>96</v>
      </c>
    </row>
    <row r="2773" spans="1:6" x14ac:dyDescent="0.35">
      <c r="A2773">
        <v>1975</v>
      </c>
      <c r="B2773" s="1">
        <v>45640</v>
      </c>
      <c r="C2773" s="2">
        <v>0.45833333333333331</v>
      </c>
      <c r="D2773">
        <v>3</v>
      </c>
      <c r="E2773">
        <v>0.9</v>
      </c>
      <c r="F2773">
        <v>94</v>
      </c>
    </row>
    <row r="2774" spans="1:6" x14ac:dyDescent="0.35">
      <c r="A2774">
        <v>1975</v>
      </c>
      <c r="B2774" s="1">
        <v>45640</v>
      </c>
      <c r="C2774" s="2">
        <v>0.5</v>
      </c>
      <c r="D2774">
        <v>3</v>
      </c>
      <c r="E2774">
        <v>1.2</v>
      </c>
      <c r="F2774">
        <v>98</v>
      </c>
    </row>
    <row r="2775" spans="1:6" x14ac:dyDescent="0.35">
      <c r="A2775">
        <v>1975</v>
      </c>
      <c r="B2775" s="1">
        <v>45640</v>
      </c>
      <c r="C2775" s="2">
        <v>0.54166666666666663</v>
      </c>
      <c r="D2775">
        <v>3</v>
      </c>
      <c r="E2775">
        <v>2</v>
      </c>
      <c r="F2775">
        <v>97</v>
      </c>
    </row>
    <row r="2776" spans="1:6" x14ac:dyDescent="0.35">
      <c r="A2776">
        <v>1975</v>
      </c>
      <c r="B2776" s="1">
        <v>45640</v>
      </c>
      <c r="C2776" s="2">
        <v>0.58333333333333337</v>
      </c>
      <c r="D2776">
        <v>3</v>
      </c>
      <c r="E2776">
        <v>2.6</v>
      </c>
      <c r="F2776">
        <v>98</v>
      </c>
    </row>
    <row r="2777" spans="1:6" x14ac:dyDescent="0.35">
      <c r="A2777">
        <v>1975</v>
      </c>
      <c r="B2777" s="1">
        <v>45640</v>
      </c>
      <c r="C2777" s="2">
        <v>0.625</v>
      </c>
      <c r="D2777">
        <v>3</v>
      </c>
      <c r="E2777">
        <v>3.2</v>
      </c>
      <c r="F2777">
        <v>97</v>
      </c>
    </row>
    <row r="2778" spans="1:6" x14ac:dyDescent="0.35">
      <c r="A2778">
        <v>1975</v>
      </c>
      <c r="B2778" s="1">
        <v>45640</v>
      </c>
      <c r="C2778" s="2">
        <v>0.66666666666666663</v>
      </c>
      <c r="D2778">
        <v>3</v>
      </c>
      <c r="E2778">
        <v>3.7</v>
      </c>
      <c r="F2778">
        <v>97</v>
      </c>
    </row>
    <row r="2779" spans="1:6" x14ac:dyDescent="0.35">
      <c r="A2779">
        <v>1975</v>
      </c>
      <c r="B2779" s="1">
        <v>45640</v>
      </c>
      <c r="C2779" s="2">
        <v>0.70833333333333337</v>
      </c>
      <c r="D2779">
        <v>3</v>
      </c>
      <c r="E2779">
        <v>4.0999999999999996</v>
      </c>
      <c r="F2779">
        <v>97</v>
      </c>
    </row>
    <row r="2780" spans="1:6" x14ac:dyDescent="0.35">
      <c r="A2780">
        <v>1975</v>
      </c>
      <c r="B2780" s="1">
        <v>45640</v>
      </c>
      <c r="C2780" s="2">
        <v>0.75</v>
      </c>
      <c r="D2780">
        <v>3</v>
      </c>
      <c r="E2780">
        <v>4.3</v>
      </c>
      <c r="F2780">
        <v>97</v>
      </c>
    </row>
    <row r="2781" spans="1:6" x14ac:dyDescent="0.35">
      <c r="A2781">
        <v>1975</v>
      </c>
      <c r="B2781" s="1">
        <v>45640</v>
      </c>
      <c r="C2781" s="2">
        <v>0.79166666666666663</v>
      </c>
      <c r="D2781">
        <v>3</v>
      </c>
      <c r="E2781">
        <v>4.4000000000000004</v>
      </c>
      <c r="F2781">
        <v>97</v>
      </c>
    </row>
    <row r="2782" spans="1:6" x14ac:dyDescent="0.35">
      <c r="A2782">
        <v>1975</v>
      </c>
      <c r="B2782" s="1">
        <v>45640</v>
      </c>
      <c r="C2782" s="2">
        <v>0.83333333333333337</v>
      </c>
      <c r="D2782">
        <v>3</v>
      </c>
      <c r="E2782">
        <v>4.4000000000000004</v>
      </c>
      <c r="F2782">
        <v>97</v>
      </c>
    </row>
    <row r="2783" spans="1:6" x14ac:dyDescent="0.35">
      <c r="A2783">
        <v>1975</v>
      </c>
      <c r="B2783" s="1">
        <v>45640</v>
      </c>
      <c r="C2783" s="2">
        <v>0.875</v>
      </c>
      <c r="D2783">
        <v>3</v>
      </c>
      <c r="E2783">
        <v>4.5</v>
      </c>
      <c r="F2783">
        <v>96</v>
      </c>
    </row>
    <row r="2784" spans="1:6" x14ac:dyDescent="0.35">
      <c r="A2784">
        <v>1975</v>
      </c>
      <c r="B2784" s="1">
        <v>45640</v>
      </c>
      <c r="C2784" s="2">
        <v>0.91666666666666663</v>
      </c>
      <c r="D2784">
        <v>3</v>
      </c>
      <c r="E2784">
        <v>4.3</v>
      </c>
      <c r="F2784">
        <v>96</v>
      </c>
    </row>
    <row r="2785" spans="1:6" x14ac:dyDescent="0.35">
      <c r="A2785">
        <v>1975</v>
      </c>
      <c r="B2785" s="1">
        <v>45640</v>
      </c>
      <c r="C2785" s="2">
        <v>0.95833333333333337</v>
      </c>
      <c r="D2785">
        <v>3</v>
      </c>
      <c r="E2785">
        <v>4.5</v>
      </c>
      <c r="F2785">
        <v>95</v>
      </c>
    </row>
    <row r="2786" spans="1:6" x14ac:dyDescent="0.35">
      <c r="A2786">
        <v>1975</v>
      </c>
      <c r="B2786" s="1">
        <v>45641</v>
      </c>
      <c r="C2786" s="2">
        <v>0</v>
      </c>
      <c r="D2786">
        <v>3</v>
      </c>
      <c r="E2786">
        <v>4.0999999999999996</v>
      </c>
      <c r="F2786">
        <v>95</v>
      </c>
    </row>
    <row r="2787" spans="1:6" x14ac:dyDescent="0.35">
      <c r="A2787">
        <v>1975</v>
      </c>
      <c r="B2787" s="1">
        <v>45641</v>
      </c>
      <c r="C2787" s="2">
        <v>4.1666666666666657E-2</v>
      </c>
      <c r="D2787">
        <v>3</v>
      </c>
      <c r="E2787">
        <v>3.9</v>
      </c>
      <c r="F2787">
        <v>95</v>
      </c>
    </row>
    <row r="2788" spans="1:6" x14ac:dyDescent="0.35">
      <c r="A2788">
        <v>1975</v>
      </c>
      <c r="B2788" s="1">
        <v>45641</v>
      </c>
      <c r="C2788" s="2">
        <v>8.3333333333333329E-2</v>
      </c>
      <c r="D2788">
        <v>3</v>
      </c>
      <c r="E2788">
        <v>4.3</v>
      </c>
      <c r="F2788">
        <v>93</v>
      </c>
    </row>
    <row r="2789" spans="1:6" x14ac:dyDescent="0.35">
      <c r="A2789">
        <v>1975</v>
      </c>
      <c r="B2789" s="1">
        <v>45641</v>
      </c>
      <c r="C2789" s="2">
        <v>0.125</v>
      </c>
      <c r="D2789">
        <v>3</v>
      </c>
      <c r="E2789">
        <v>4.3</v>
      </c>
      <c r="F2789">
        <v>94</v>
      </c>
    </row>
    <row r="2790" spans="1:6" x14ac:dyDescent="0.35">
      <c r="A2790">
        <v>1975</v>
      </c>
      <c r="B2790" s="1">
        <v>45641</v>
      </c>
      <c r="C2790" s="2">
        <v>0.16666666666666671</v>
      </c>
      <c r="D2790">
        <v>3</v>
      </c>
      <c r="E2790">
        <v>4.2</v>
      </c>
      <c r="F2790">
        <v>95</v>
      </c>
    </row>
    <row r="2791" spans="1:6" x14ac:dyDescent="0.35">
      <c r="A2791">
        <v>1975</v>
      </c>
      <c r="B2791" s="1">
        <v>45641</v>
      </c>
      <c r="C2791" s="2">
        <v>0.20833333333333329</v>
      </c>
      <c r="D2791">
        <v>3</v>
      </c>
      <c r="E2791">
        <v>4.5</v>
      </c>
      <c r="F2791">
        <v>94</v>
      </c>
    </row>
    <row r="2792" spans="1:6" x14ac:dyDescent="0.35">
      <c r="A2792">
        <v>1975</v>
      </c>
      <c r="B2792" s="1">
        <v>45641</v>
      </c>
      <c r="C2792" s="2">
        <v>0.25</v>
      </c>
      <c r="D2792">
        <v>3</v>
      </c>
      <c r="E2792">
        <v>4.4000000000000004</v>
      </c>
      <c r="F2792">
        <v>94</v>
      </c>
    </row>
    <row r="2793" spans="1:6" x14ac:dyDescent="0.35">
      <c r="A2793">
        <v>1975</v>
      </c>
      <c r="B2793" s="1">
        <v>45641</v>
      </c>
      <c r="C2793" s="2">
        <v>0.29166666666666669</v>
      </c>
      <c r="D2793">
        <v>3</v>
      </c>
      <c r="E2793">
        <v>4.3</v>
      </c>
      <c r="F2793">
        <v>96</v>
      </c>
    </row>
    <row r="2794" spans="1:6" x14ac:dyDescent="0.35">
      <c r="A2794">
        <v>1975</v>
      </c>
      <c r="B2794" s="1">
        <v>45641</v>
      </c>
      <c r="C2794" s="2">
        <v>0.33333333333333331</v>
      </c>
      <c r="D2794">
        <v>3</v>
      </c>
      <c r="E2794">
        <v>4.3</v>
      </c>
      <c r="F2794">
        <v>96</v>
      </c>
    </row>
    <row r="2795" spans="1:6" x14ac:dyDescent="0.35">
      <c r="A2795">
        <v>1975</v>
      </c>
      <c r="B2795" s="1">
        <v>45641</v>
      </c>
      <c r="C2795" s="2">
        <v>0.375</v>
      </c>
      <c r="D2795">
        <v>3</v>
      </c>
      <c r="E2795">
        <v>4.5999999999999996</v>
      </c>
      <c r="F2795">
        <v>95</v>
      </c>
    </row>
    <row r="2796" spans="1:6" x14ac:dyDescent="0.35">
      <c r="A2796">
        <v>1975</v>
      </c>
      <c r="B2796" s="1">
        <v>45641</v>
      </c>
      <c r="C2796" s="2">
        <v>0.41666666666666669</v>
      </c>
      <c r="D2796">
        <v>3</v>
      </c>
      <c r="E2796">
        <v>5.4</v>
      </c>
      <c r="F2796">
        <v>94</v>
      </c>
    </row>
    <row r="2797" spans="1:6" x14ac:dyDescent="0.35">
      <c r="A2797">
        <v>1975</v>
      </c>
      <c r="B2797" s="1">
        <v>45641</v>
      </c>
      <c r="C2797" s="2">
        <v>0.45833333333333331</v>
      </c>
      <c r="D2797">
        <v>3</v>
      </c>
      <c r="E2797">
        <v>5.5</v>
      </c>
      <c r="F2797">
        <v>97</v>
      </c>
    </row>
    <row r="2798" spans="1:6" x14ac:dyDescent="0.35">
      <c r="A2798">
        <v>1975</v>
      </c>
      <c r="B2798" s="1">
        <v>45641</v>
      </c>
      <c r="C2798" s="2">
        <v>0.5</v>
      </c>
      <c r="D2798">
        <v>3</v>
      </c>
      <c r="E2798">
        <v>6</v>
      </c>
      <c r="F2798">
        <v>97</v>
      </c>
    </row>
    <row r="2799" spans="1:6" x14ac:dyDescent="0.35">
      <c r="A2799">
        <v>1975</v>
      </c>
      <c r="B2799" s="1">
        <v>45641</v>
      </c>
      <c r="C2799" s="2">
        <v>0.54166666666666663</v>
      </c>
      <c r="D2799">
        <v>3</v>
      </c>
      <c r="E2799">
        <v>6.5</v>
      </c>
      <c r="F2799">
        <v>97</v>
      </c>
    </row>
    <row r="2800" spans="1:6" x14ac:dyDescent="0.35">
      <c r="A2800">
        <v>1975</v>
      </c>
      <c r="B2800" s="1">
        <v>45641</v>
      </c>
      <c r="C2800" s="2">
        <v>0.58333333333333337</v>
      </c>
      <c r="D2800">
        <v>3</v>
      </c>
      <c r="E2800">
        <v>7.3</v>
      </c>
      <c r="F2800">
        <v>97</v>
      </c>
    </row>
    <row r="2801" spans="1:6" x14ac:dyDescent="0.35">
      <c r="A2801">
        <v>1975</v>
      </c>
      <c r="B2801" s="1">
        <v>45641</v>
      </c>
      <c r="C2801" s="2">
        <v>0.625</v>
      </c>
      <c r="D2801">
        <v>3</v>
      </c>
      <c r="E2801">
        <v>7.6</v>
      </c>
      <c r="F2801">
        <v>97</v>
      </c>
    </row>
    <row r="2802" spans="1:6" x14ac:dyDescent="0.35">
      <c r="A2802">
        <v>1975</v>
      </c>
      <c r="B2802" s="1">
        <v>45641</v>
      </c>
      <c r="C2802" s="2">
        <v>0.66666666666666663</v>
      </c>
      <c r="D2802">
        <v>3</v>
      </c>
      <c r="E2802">
        <v>8.1</v>
      </c>
      <c r="F2802">
        <v>97</v>
      </c>
    </row>
    <row r="2803" spans="1:6" x14ac:dyDescent="0.35">
      <c r="A2803">
        <v>1975</v>
      </c>
      <c r="B2803" s="1">
        <v>45641</v>
      </c>
      <c r="C2803" s="2">
        <v>0.70833333333333337</v>
      </c>
      <c r="D2803">
        <v>3</v>
      </c>
      <c r="E2803">
        <v>8.4</v>
      </c>
      <c r="F2803">
        <v>98</v>
      </c>
    </row>
    <row r="2804" spans="1:6" x14ac:dyDescent="0.35">
      <c r="A2804">
        <v>1975</v>
      </c>
      <c r="B2804" s="1">
        <v>45641</v>
      </c>
      <c r="C2804" s="2">
        <v>0.75</v>
      </c>
      <c r="D2804">
        <v>3</v>
      </c>
      <c r="E2804">
        <v>8.6</v>
      </c>
      <c r="F2804">
        <v>98</v>
      </c>
    </row>
    <row r="2805" spans="1:6" x14ac:dyDescent="0.35">
      <c r="A2805">
        <v>1975</v>
      </c>
      <c r="B2805" s="1">
        <v>45641</v>
      </c>
      <c r="C2805" s="2">
        <v>0.79166666666666663</v>
      </c>
      <c r="D2805">
        <v>3</v>
      </c>
      <c r="E2805">
        <v>8.9</v>
      </c>
      <c r="F2805">
        <v>99</v>
      </c>
    </row>
    <row r="2806" spans="1:6" x14ac:dyDescent="0.35">
      <c r="A2806">
        <v>1975</v>
      </c>
      <c r="B2806" s="1">
        <v>45641</v>
      </c>
      <c r="C2806" s="2">
        <v>0.83333333333333337</v>
      </c>
      <c r="D2806">
        <v>3</v>
      </c>
      <c r="E2806">
        <v>9.6</v>
      </c>
      <c r="F2806">
        <v>99</v>
      </c>
    </row>
    <row r="2807" spans="1:6" x14ac:dyDescent="0.35">
      <c r="A2807">
        <v>1975</v>
      </c>
      <c r="B2807" s="1">
        <v>45641</v>
      </c>
      <c r="C2807" s="2">
        <v>0.875</v>
      </c>
      <c r="D2807">
        <v>3</v>
      </c>
      <c r="E2807">
        <v>10.1</v>
      </c>
      <c r="F2807">
        <v>97</v>
      </c>
    </row>
    <row r="2808" spans="1:6" x14ac:dyDescent="0.35">
      <c r="A2808">
        <v>1975</v>
      </c>
      <c r="B2808" s="1">
        <v>45641</v>
      </c>
      <c r="C2808" s="2">
        <v>0.91666666666666663</v>
      </c>
      <c r="D2808">
        <v>3</v>
      </c>
      <c r="E2808">
        <v>10.199999999999999</v>
      </c>
      <c r="F2808">
        <v>96</v>
      </c>
    </row>
    <row r="2809" spans="1:6" x14ac:dyDescent="0.35">
      <c r="A2809">
        <v>1975</v>
      </c>
      <c r="B2809" s="1">
        <v>45641</v>
      </c>
      <c r="C2809" s="2">
        <v>0.95833333333333337</v>
      </c>
      <c r="D2809">
        <v>3</v>
      </c>
      <c r="E2809">
        <v>10.7</v>
      </c>
      <c r="F2809">
        <v>93</v>
      </c>
    </row>
    <row r="2810" spans="1:6" x14ac:dyDescent="0.35">
      <c r="A2810">
        <v>1975</v>
      </c>
      <c r="B2810" s="1">
        <v>45642</v>
      </c>
      <c r="C2810" s="2">
        <v>0</v>
      </c>
      <c r="D2810">
        <v>3</v>
      </c>
      <c r="E2810">
        <v>10.8</v>
      </c>
      <c r="F2810">
        <v>89</v>
      </c>
    </row>
    <row r="2811" spans="1:6" x14ac:dyDescent="0.35">
      <c r="A2811">
        <v>1975</v>
      </c>
      <c r="B2811" s="1">
        <v>45642</v>
      </c>
      <c r="C2811" s="2">
        <v>4.1666666666666657E-2</v>
      </c>
      <c r="D2811">
        <v>3</v>
      </c>
      <c r="E2811">
        <v>10.8</v>
      </c>
      <c r="F2811">
        <v>89</v>
      </c>
    </row>
    <row r="2812" spans="1:6" x14ac:dyDescent="0.35">
      <c r="A2812">
        <v>1975</v>
      </c>
      <c r="B2812" s="1">
        <v>45642</v>
      </c>
      <c r="C2812" s="2">
        <v>8.3333333333333329E-2</v>
      </c>
      <c r="D2812">
        <v>3</v>
      </c>
      <c r="E2812">
        <v>11</v>
      </c>
      <c r="F2812">
        <v>87</v>
      </c>
    </row>
    <row r="2813" spans="1:6" x14ac:dyDescent="0.35">
      <c r="A2813">
        <v>1975</v>
      </c>
      <c r="B2813" s="1">
        <v>45642</v>
      </c>
      <c r="C2813" s="2">
        <v>0.125</v>
      </c>
      <c r="D2813">
        <v>3</v>
      </c>
      <c r="E2813">
        <v>10.9</v>
      </c>
      <c r="F2813">
        <v>87</v>
      </c>
    </row>
    <row r="2814" spans="1:6" x14ac:dyDescent="0.35">
      <c r="A2814">
        <v>1975</v>
      </c>
      <c r="B2814" s="1">
        <v>45642</v>
      </c>
      <c r="C2814" s="2">
        <v>0.16666666666666671</v>
      </c>
      <c r="D2814">
        <v>3</v>
      </c>
      <c r="E2814">
        <v>11</v>
      </c>
      <c r="F2814">
        <v>86</v>
      </c>
    </row>
    <row r="2815" spans="1:6" x14ac:dyDescent="0.35">
      <c r="A2815">
        <v>1975</v>
      </c>
      <c r="B2815" s="1">
        <v>45642</v>
      </c>
      <c r="C2815" s="2">
        <v>0.20833333333333329</v>
      </c>
      <c r="D2815">
        <v>3</v>
      </c>
      <c r="E2815">
        <v>11.2</v>
      </c>
      <c r="F2815">
        <v>84</v>
      </c>
    </row>
    <row r="2816" spans="1:6" x14ac:dyDescent="0.35">
      <c r="A2816">
        <v>1975</v>
      </c>
      <c r="B2816" s="1">
        <v>45642</v>
      </c>
      <c r="C2816" s="2">
        <v>0.25</v>
      </c>
      <c r="D2816">
        <v>3</v>
      </c>
      <c r="E2816">
        <v>11.2</v>
      </c>
      <c r="F2816">
        <v>82</v>
      </c>
    </row>
    <row r="2817" spans="1:6" x14ac:dyDescent="0.35">
      <c r="A2817">
        <v>1975</v>
      </c>
      <c r="B2817" s="1">
        <v>45642</v>
      </c>
      <c r="C2817" s="2">
        <v>0.29166666666666669</v>
      </c>
      <c r="D2817">
        <v>3</v>
      </c>
      <c r="E2817">
        <v>11</v>
      </c>
      <c r="F2817">
        <v>85</v>
      </c>
    </row>
    <row r="2818" spans="1:6" x14ac:dyDescent="0.35">
      <c r="A2818">
        <v>1975</v>
      </c>
      <c r="B2818" s="1">
        <v>45642</v>
      </c>
      <c r="C2818" s="2">
        <v>0.33333333333333331</v>
      </c>
      <c r="D2818">
        <v>3</v>
      </c>
      <c r="E2818">
        <v>10.7</v>
      </c>
      <c r="F2818">
        <v>87</v>
      </c>
    </row>
    <row r="2819" spans="1:6" x14ac:dyDescent="0.35">
      <c r="A2819">
        <v>1975</v>
      </c>
      <c r="B2819" s="1">
        <v>45642</v>
      </c>
      <c r="C2819" s="2">
        <v>0.375</v>
      </c>
      <c r="D2819">
        <v>3</v>
      </c>
      <c r="E2819">
        <v>10.3</v>
      </c>
      <c r="F2819">
        <v>91</v>
      </c>
    </row>
    <row r="2820" spans="1:6" x14ac:dyDescent="0.35">
      <c r="A2820">
        <v>1975</v>
      </c>
      <c r="B2820" s="1">
        <v>45642</v>
      </c>
      <c r="C2820" s="2">
        <v>0.41666666666666669</v>
      </c>
      <c r="D2820">
        <v>3</v>
      </c>
      <c r="E2820">
        <v>10.1</v>
      </c>
      <c r="F2820">
        <v>91</v>
      </c>
    </row>
    <row r="2821" spans="1:6" x14ac:dyDescent="0.35">
      <c r="A2821">
        <v>1975</v>
      </c>
      <c r="B2821" s="1">
        <v>45642</v>
      </c>
      <c r="C2821" s="2">
        <v>0.45833333333333331</v>
      </c>
      <c r="D2821">
        <v>3</v>
      </c>
      <c r="E2821">
        <v>10.1</v>
      </c>
      <c r="F2821">
        <v>87</v>
      </c>
    </row>
    <row r="2822" spans="1:6" x14ac:dyDescent="0.35">
      <c r="A2822">
        <v>1975</v>
      </c>
      <c r="B2822" s="1">
        <v>45642</v>
      </c>
      <c r="C2822" s="2">
        <v>0.5</v>
      </c>
      <c r="D2822">
        <v>3</v>
      </c>
      <c r="E2822">
        <v>10.6</v>
      </c>
      <c r="F2822">
        <v>81</v>
      </c>
    </row>
    <row r="2823" spans="1:6" x14ac:dyDescent="0.35">
      <c r="A2823">
        <v>1975</v>
      </c>
      <c r="B2823" s="1">
        <v>45642</v>
      </c>
      <c r="C2823" s="2">
        <v>0.54166666666666663</v>
      </c>
      <c r="D2823">
        <v>3</v>
      </c>
      <c r="E2823">
        <v>9.6999999999999993</v>
      </c>
      <c r="F2823">
        <v>91</v>
      </c>
    </row>
    <row r="2824" spans="1:6" x14ac:dyDescent="0.35">
      <c r="A2824">
        <v>1975</v>
      </c>
      <c r="B2824" s="1">
        <v>45642</v>
      </c>
      <c r="C2824" s="2">
        <v>0.58333333333333337</v>
      </c>
      <c r="D2824">
        <v>3</v>
      </c>
      <c r="E2824">
        <v>9.9</v>
      </c>
      <c r="F2824">
        <v>86</v>
      </c>
    </row>
    <row r="2825" spans="1:6" x14ac:dyDescent="0.35">
      <c r="A2825">
        <v>1975</v>
      </c>
      <c r="B2825" s="1">
        <v>45642</v>
      </c>
      <c r="C2825" s="2">
        <v>0.625</v>
      </c>
      <c r="D2825">
        <v>3</v>
      </c>
      <c r="E2825">
        <v>9.4</v>
      </c>
      <c r="F2825">
        <v>90</v>
      </c>
    </row>
    <row r="2826" spans="1:6" x14ac:dyDescent="0.35">
      <c r="A2826">
        <v>1975</v>
      </c>
      <c r="B2826" s="1">
        <v>45642</v>
      </c>
      <c r="C2826" s="2">
        <v>0.66666666666666663</v>
      </c>
      <c r="D2826">
        <v>3</v>
      </c>
      <c r="E2826">
        <v>9.1999999999999993</v>
      </c>
      <c r="F2826">
        <v>89</v>
      </c>
    </row>
    <row r="2827" spans="1:6" x14ac:dyDescent="0.35">
      <c r="A2827">
        <v>1975</v>
      </c>
      <c r="B2827" s="1">
        <v>45642</v>
      </c>
      <c r="C2827" s="2">
        <v>0.70833333333333337</v>
      </c>
      <c r="D2827">
        <v>3</v>
      </c>
      <c r="E2827">
        <v>8.8000000000000007</v>
      </c>
      <c r="F2827">
        <v>92</v>
      </c>
    </row>
    <row r="2828" spans="1:6" x14ac:dyDescent="0.35">
      <c r="A2828">
        <v>1975</v>
      </c>
      <c r="B2828" s="1">
        <v>45642</v>
      </c>
      <c r="C2828" s="2">
        <v>0.75</v>
      </c>
      <c r="D2828">
        <v>3</v>
      </c>
      <c r="E2828">
        <v>8.5</v>
      </c>
      <c r="F2828">
        <v>94</v>
      </c>
    </row>
    <row r="2829" spans="1:6" x14ac:dyDescent="0.35">
      <c r="A2829">
        <v>1975</v>
      </c>
      <c r="B2829" s="1">
        <v>45642</v>
      </c>
      <c r="C2829" s="2">
        <v>0.79166666666666663</v>
      </c>
      <c r="D2829">
        <v>3</v>
      </c>
      <c r="E2829">
        <v>8.4</v>
      </c>
      <c r="F2829">
        <v>95</v>
      </c>
    </row>
    <row r="2830" spans="1:6" x14ac:dyDescent="0.35">
      <c r="A2830">
        <v>1975</v>
      </c>
      <c r="B2830" s="1">
        <v>45642</v>
      </c>
      <c r="C2830" s="2">
        <v>0.83333333333333337</v>
      </c>
      <c r="D2830">
        <v>3</v>
      </c>
      <c r="E2830">
        <v>8.4</v>
      </c>
      <c r="F2830">
        <v>95</v>
      </c>
    </row>
    <row r="2831" spans="1:6" x14ac:dyDescent="0.35">
      <c r="A2831">
        <v>1975</v>
      </c>
      <c r="B2831" s="1">
        <v>45642</v>
      </c>
      <c r="C2831" s="2">
        <v>0.875</v>
      </c>
      <c r="D2831">
        <v>3</v>
      </c>
      <c r="E2831">
        <v>8.8000000000000007</v>
      </c>
      <c r="F2831">
        <v>92</v>
      </c>
    </row>
    <row r="2832" spans="1:6" x14ac:dyDescent="0.35">
      <c r="A2832">
        <v>1975</v>
      </c>
      <c r="B2832" s="1">
        <v>45642</v>
      </c>
      <c r="C2832" s="2">
        <v>0.91666666666666663</v>
      </c>
      <c r="D2832">
        <v>3</v>
      </c>
      <c r="E2832">
        <v>9.1999999999999993</v>
      </c>
      <c r="F2832">
        <v>87</v>
      </c>
    </row>
    <row r="2833" spans="1:6" x14ac:dyDescent="0.35">
      <c r="A2833">
        <v>1975</v>
      </c>
      <c r="B2833" s="1">
        <v>45642</v>
      </c>
      <c r="C2833" s="2">
        <v>0.95833333333333337</v>
      </c>
      <c r="D2833">
        <v>3</v>
      </c>
      <c r="E2833">
        <v>9.6</v>
      </c>
      <c r="F2833">
        <v>82</v>
      </c>
    </row>
    <row r="2834" spans="1:6" x14ac:dyDescent="0.35">
      <c r="A2834">
        <v>1975</v>
      </c>
      <c r="B2834" s="1">
        <v>45643</v>
      </c>
      <c r="C2834" s="2">
        <v>0</v>
      </c>
      <c r="D2834">
        <v>3</v>
      </c>
      <c r="E2834">
        <v>9.6</v>
      </c>
      <c r="F2834">
        <v>81</v>
      </c>
    </row>
    <row r="2835" spans="1:6" x14ac:dyDescent="0.35">
      <c r="A2835">
        <v>1975</v>
      </c>
      <c r="B2835" s="1">
        <v>45643</v>
      </c>
      <c r="C2835" s="2">
        <v>4.1666666666666657E-2</v>
      </c>
      <c r="D2835">
        <v>3</v>
      </c>
      <c r="E2835">
        <v>9.5</v>
      </c>
      <c r="F2835">
        <v>82</v>
      </c>
    </row>
    <row r="2836" spans="1:6" x14ac:dyDescent="0.35">
      <c r="A2836">
        <v>1975</v>
      </c>
      <c r="B2836" s="1">
        <v>45643</v>
      </c>
      <c r="C2836" s="2">
        <v>8.3333333333333329E-2</v>
      </c>
      <c r="D2836">
        <v>3</v>
      </c>
      <c r="E2836">
        <v>9.4</v>
      </c>
      <c r="F2836">
        <v>83</v>
      </c>
    </row>
    <row r="2837" spans="1:6" x14ac:dyDescent="0.35">
      <c r="A2837">
        <v>1975</v>
      </c>
      <c r="B2837" s="1">
        <v>45643</v>
      </c>
      <c r="C2837" s="2">
        <v>0.125</v>
      </c>
      <c r="D2837">
        <v>3</v>
      </c>
      <c r="E2837">
        <v>9.6</v>
      </c>
      <c r="F2837">
        <v>82</v>
      </c>
    </row>
    <row r="2838" spans="1:6" x14ac:dyDescent="0.35">
      <c r="A2838">
        <v>1975</v>
      </c>
      <c r="B2838" s="1">
        <v>45643</v>
      </c>
      <c r="C2838" s="2">
        <v>0.16666666666666671</v>
      </c>
      <c r="D2838">
        <v>3</v>
      </c>
      <c r="E2838">
        <v>9.6999999999999993</v>
      </c>
      <c r="F2838">
        <v>82</v>
      </c>
    </row>
    <row r="2839" spans="1:6" x14ac:dyDescent="0.35">
      <c r="A2839">
        <v>1975</v>
      </c>
      <c r="B2839" s="1">
        <v>45643</v>
      </c>
      <c r="C2839" s="2">
        <v>0.20833333333333329</v>
      </c>
      <c r="D2839">
        <v>3</v>
      </c>
      <c r="E2839">
        <v>9.6</v>
      </c>
      <c r="F2839">
        <v>83</v>
      </c>
    </row>
    <row r="2840" spans="1:6" x14ac:dyDescent="0.35">
      <c r="A2840">
        <v>1975</v>
      </c>
      <c r="B2840" s="1">
        <v>45643</v>
      </c>
      <c r="C2840" s="2">
        <v>0.25</v>
      </c>
      <c r="D2840">
        <v>3</v>
      </c>
      <c r="E2840">
        <v>9.6</v>
      </c>
      <c r="F2840">
        <v>83</v>
      </c>
    </row>
    <row r="2841" spans="1:6" x14ac:dyDescent="0.35">
      <c r="A2841">
        <v>1975</v>
      </c>
      <c r="B2841" s="1">
        <v>45643</v>
      </c>
      <c r="C2841" s="2">
        <v>0.29166666666666669</v>
      </c>
      <c r="D2841">
        <v>3</v>
      </c>
      <c r="E2841">
        <v>9.3000000000000007</v>
      </c>
      <c r="F2841">
        <v>84</v>
      </c>
    </row>
    <row r="2842" spans="1:6" x14ac:dyDescent="0.35">
      <c r="A2842">
        <v>1975</v>
      </c>
      <c r="B2842" s="1">
        <v>45643</v>
      </c>
      <c r="C2842" s="2">
        <v>0.33333333333333331</v>
      </c>
      <c r="D2842">
        <v>3</v>
      </c>
      <c r="E2842">
        <v>9.1</v>
      </c>
      <c r="F2842">
        <v>86</v>
      </c>
    </row>
    <row r="2843" spans="1:6" x14ac:dyDescent="0.35">
      <c r="A2843">
        <v>1975</v>
      </c>
      <c r="B2843" s="1">
        <v>45643</v>
      </c>
      <c r="C2843" s="2">
        <v>0.375</v>
      </c>
      <c r="D2843">
        <v>3</v>
      </c>
      <c r="E2843">
        <v>9.1</v>
      </c>
      <c r="F2843">
        <v>86</v>
      </c>
    </row>
    <row r="2844" spans="1:6" x14ac:dyDescent="0.35">
      <c r="A2844">
        <v>1975</v>
      </c>
      <c r="B2844" s="1">
        <v>45643</v>
      </c>
      <c r="C2844" s="2">
        <v>0.41666666666666669</v>
      </c>
      <c r="D2844">
        <v>3</v>
      </c>
      <c r="E2844">
        <v>9.1999999999999993</v>
      </c>
      <c r="F2844">
        <v>86</v>
      </c>
    </row>
    <row r="2845" spans="1:6" x14ac:dyDescent="0.35">
      <c r="A2845">
        <v>1975</v>
      </c>
      <c r="B2845" s="1">
        <v>45643</v>
      </c>
      <c r="C2845" s="2">
        <v>0.45833333333333331</v>
      </c>
      <c r="D2845">
        <v>3</v>
      </c>
      <c r="E2845">
        <v>9.3000000000000007</v>
      </c>
      <c r="F2845">
        <v>85</v>
      </c>
    </row>
    <row r="2846" spans="1:6" x14ac:dyDescent="0.35">
      <c r="A2846">
        <v>1975</v>
      </c>
      <c r="B2846" s="1">
        <v>45643</v>
      </c>
      <c r="C2846" s="2">
        <v>0.5</v>
      </c>
      <c r="D2846">
        <v>3</v>
      </c>
      <c r="E2846">
        <v>9.4</v>
      </c>
      <c r="F2846">
        <v>84</v>
      </c>
    </row>
    <row r="2847" spans="1:6" x14ac:dyDescent="0.35">
      <c r="A2847">
        <v>1975</v>
      </c>
      <c r="B2847" s="1">
        <v>45643</v>
      </c>
      <c r="C2847" s="2">
        <v>0.54166666666666663</v>
      </c>
      <c r="D2847">
        <v>3</v>
      </c>
      <c r="E2847">
        <v>9.1</v>
      </c>
      <c r="F2847">
        <v>85</v>
      </c>
    </row>
    <row r="2848" spans="1:6" x14ac:dyDescent="0.35">
      <c r="A2848">
        <v>1975</v>
      </c>
      <c r="B2848" s="1">
        <v>45643</v>
      </c>
      <c r="C2848" s="2">
        <v>0.58333333333333337</v>
      </c>
      <c r="D2848">
        <v>3</v>
      </c>
      <c r="E2848">
        <v>8.8000000000000007</v>
      </c>
      <c r="F2848">
        <v>87</v>
      </c>
    </row>
    <row r="2849" spans="1:6" x14ac:dyDescent="0.35">
      <c r="A2849">
        <v>1975</v>
      </c>
      <c r="B2849" s="1">
        <v>45643</v>
      </c>
      <c r="C2849" s="2">
        <v>0.625</v>
      </c>
      <c r="D2849">
        <v>3</v>
      </c>
      <c r="E2849">
        <v>8.8000000000000007</v>
      </c>
      <c r="F2849">
        <v>87</v>
      </c>
    </row>
    <row r="2850" spans="1:6" x14ac:dyDescent="0.35">
      <c r="A2850">
        <v>1975</v>
      </c>
      <c r="B2850" s="1">
        <v>45643</v>
      </c>
      <c r="C2850" s="2">
        <v>0.66666666666666663</v>
      </c>
      <c r="D2850">
        <v>3</v>
      </c>
      <c r="E2850">
        <v>8.4</v>
      </c>
      <c r="F2850">
        <v>90</v>
      </c>
    </row>
    <row r="2851" spans="1:6" x14ac:dyDescent="0.35">
      <c r="A2851">
        <v>1975</v>
      </c>
      <c r="B2851" s="1">
        <v>45643</v>
      </c>
      <c r="C2851" s="2">
        <v>0.70833333333333337</v>
      </c>
      <c r="D2851">
        <v>3</v>
      </c>
      <c r="E2851">
        <v>8.3000000000000007</v>
      </c>
      <c r="F2851">
        <v>88</v>
      </c>
    </row>
    <row r="2852" spans="1:6" x14ac:dyDescent="0.35">
      <c r="A2852">
        <v>1975</v>
      </c>
      <c r="B2852" s="1">
        <v>45643</v>
      </c>
      <c r="C2852" s="2">
        <v>0.75</v>
      </c>
      <c r="D2852">
        <v>3</v>
      </c>
      <c r="E2852">
        <v>8.5</v>
      </c>
      <c r="F2852">
        <v>86</v>
      </c>
    </row>
    <row r="2853" spans="1:6" x14ac:dyDescent="0.35">
      <c r="A2853">
        <v>1975</v>
      </c>
      <c r="B2853" s="1">
        <v>45643</v>
      </c>
      <c r="C2853" s="2">
        <v>0.79166666666666663</v>
      </c>
      <c r="D2853">
        <v>3</v>
      </c>
      <c r="E2853">
        <v>8.3000000000000007</v>
      </c>
      <c r="F2853">
        <v>85</v>
      </c>
    </row>
    <row r="2854" spans="1:6" x14ac:dyDescent="0.35">
      <c r="A2854">
        <v>1975</v>
      </c>
      <c r="B2854" s="1">
        <v>45643</v>
      </c>
      <c r="C2854" s="2">
        <v>0.83333333333333337</v>
      </c>
      <c r="D2854">
        <v>3</v>
      </c>
      <c r="E2854">
        <v>8.1999999999999993</v>
      </c>
      <c r="F2854">
        <v>85</v>
      </c>
    </row>
    <row r="2855" spans="1:6" x14ac:dyDescent="0.35">
      <c r="A2855">
        <v>1975</v>
      </c>
      <c r="B2855" s="1">
        <v>45643</v>
      </c>
      <c r="C2855" s="2">
        <v>0.875</v>
      </c>
      <c r="D2855">
        <v>3</v>
      </c>
      <c r="E2855">
        <v>7.8</v>
      </c>
      <c r="F2855">
        <v>88</v>
      </c>
    </row>
    <row r="2856" spans="1:6" x14ac:dyDescent="0.35">
      <c r="A2856">
        <v>1975</v>
      </c>
      <c r="B2856" s="1">
        <v>45643</v>
      </c>
      <c r="C2856" s="2">
        <v>0.91666666666666663</v>
      </c>
      <c r="D2856">
        <v>3</v>
      </c>
      <c r="E2856">
        <v>7.7</v>
      </c>
      <c r="F2856">
        <v>87</v>
      </c>
    </row>
    <row r="2857" spans="1:6" x14ac:dyDescent="0.35">
      <c r="A2857">
        <v>1975</v>
      </c>
      <c r="B2857" s="1">
        <v>45643</v>
      </c>
      <c r="C2857" s="2">
        <v>0.95833333333333337</v>
      </c>
      <c r="D2857">
        <v>3</v>
      </c>
      <c r="E2857">
        <v>7.2</v>
      </c>
      <c r="F2857">
        <v>88</v>
      </c>
    </row>
    <row r="2858" spans="1:6" x14ac:dyDescent="0.35">
      <c r="A2858">
        <v>1975</v>
      </c>
      <c r="B2858" s="1">
        <v>45644</v>
      </c>
      <c r="C2858" s="2">
        <v>0</v>
      </c>
      <c r="D2858">
        <v>3</v>
      </c>
      <c r="E2858">
        <v>7.4</v>
      </c>
      <c r="F2858">
        <v>85</v>
      </c>
    </row>
    <row r="2859" spans="1:6" x14ac:dyDescent="0.35">
      <c r="A2859">
        <v>1975</v>
      </c>
      <c r="B2859" s="1">
        <v>45644</v>
      </c>
      <c r="C2859" s="2">
        <v>4.1666666666666657E-2</v>
      </c>
      <c r="D2859">
        <v>3</v>
      </c>
      <c r="E2859">
        <v>7.1</v>
      </c>
      <c r="F2859">
        <v>86</v>
      </c>
    </row>
    <row r="2860" spans="1:6" x14ac:dyDescent="0.35">
      <c r="A2860">
        <v>1975</v>
      </c>
      <c r="B2860" s="1">
        <v>45644</v>
      </c>
      <c r="C2860" s="2">
        <v>8.3333333333333329E-2</v>
      </c>
      <c r="D2860">
        <v>3</v>
      </c>
      <c r="E2860">
        <v>6.9</v>
      </c>
      <c r="F2860">
        <v>85</v>
      </c>
    </row>
    <row r="2861" spans="1:6" x14ac:dyDescent="0.35">
      <c r="A2861">
        <v>1975</v>
      </c>
      <c r="B2861" s="1">
        <v>45644</v>
      </c>
      <c r="C2861" s="2">
        <v>0.125</v>
      </c>
      <c r="D2861">
        <v>3</v>
      </c>
      <c r="E2861">
        <v>6.8</v>
      </c>
      <c r="F2861">
        <v>85</v>
      </c>
    </row>
    <row r="2862" spans="1:6" x14ac:dyDescent="0.35">
      <c r="A2862">
        <v>1975</v>
      </c>
      <c r="B2862" s="1">
        <v>45644</v>
      </c>
      <c r="C2862" s="2">
        <v>0.16666666666666671</v>
      </c>
      <c r="D2862">
        <v>3</v>
      </c>
      <c r="E2862">
        <v>6.7</v>
      </c>
      <c r="F2862">
        <v>85</v>
      </c>
    </row>
    <row r="2863" spans="1:6" x14ac:dyDescent="0.35">
      <c r="A2863">
        <v>1975</v>
      </c>
      <c r="B2863" s="1">
        <v>45644</v>
      </c>
      <c r="C2863" s="2">
        <v>0.20833333333333329</v>
      </c>
      <c r="D2863">
        <v>3</v>
      </c>
      <c r="E2863">
        <v>7.6</v>
      </c>
      <c r="F2863">
        <v>79</v>
      </c>
    </row>
    <row r="2864" spans="1:6" x14ac:dyDescent="0.35">
      <c r="A2864">
        <v>1975</v>
      </c>
      <c r="B2864" s="1">
        <v>45644</v>
      </c>
      <c r="C2864" s="2">
        <v>0.25</v>
      </c>
      <c r="D2864">
        <v>3</v>
      </c>
      <c r="E2864">
        <v>7.4</v>
      </c>
      <c r="F2864">
        <v>80</v>
      </c>
    </row>
    <row r="2865" spans="1:6" x14ac:dyDescent="0.35">
      <c r="A2865">
        <v>1975</v>
      </c>
      <c r="B2865" s="1">
        <v>45644</v>
      </c>
      <c r="C2865" s="2">
        <v>0.29166666666666669</v>
      </c>
      <c r="D2865">
        <v>3</v>
      </c>
      <c r="E2865">
        <v>7.6</v>
      </c>
      <c r="F2865">
        <v>80</v>
      </c>
    </row>
    <row r="2866" spans="1:6" x14ac:dyDescent="0.35">
      <c r="A2866">
        <v>1975</v>
      </c>
      <c r="B2866" s="1">
        <v>45644</v>
      </c>
      <c r="C2866" s="2">
        <v>0.33333333333333331</v>
      </c>
      <c r="D2866">
        <v>3</v>
      </c>
      <c r="E2866">
        <v>7.7</v>
      </c>
      <c r="F2866">
        <v>79</v>
      </c>
    </row>
    <row r="2867" spans="1:6" x14ac:dyDescent="0.35">
      <c r="A2867">
        <v>1975</v>
      </c>
      <c r="B2867" s="1">
        <v>45644</v>
      </c>
      <c r="C2867" s="2">
        <v>0.375</v>
      </c>
      <c r="D2867">
        <v>3</v>
      </c>
      <c r="E2867">
        <v>8.6</v>
      </c>
      <c r="F2867">
        <v>72</v>
      </c>
    </row>
    <row r="2868" spans="1:6" x14ac:dyDescent="0.35">
      <c r="A2868">
        <v>1975</v>
      </c>
      <c r="B2868" s="1">
        <v>45644</v>
      </c>
      <c r="C2868" s="2">
        <v>0.41666666666666669</v>
      </c>
      <c r="D2868">
        <v>3</v>
      </c>
      <c r="E2868">
        <v>9.6999999999999993</v>
      </c>
      <c r="F2868">
        <v>68</v>
      </c>
    </row>
    <row r="2869" spans="1:6" x14ac:dyDescent="0.35">
      <c r="A2869">
        <v>1975</v>
      </c>
      <c r="B2869" s="1">
        <v>45644</v>
      </c>
      <c r="C2869" s="2">
        <v>0.45833333333333331</v>
      </c>
      <c r="D2869">
        <v>3</v>
      </c>
      <c r="E2869">
        <v>10.1</v>
      </c>
      <c r="F2869">
        <v>69</v>
      </c>
    </row>
    <row r="2870" spans="1:6" x14ac:dyDescent="0.35">
      <c r="A2870">
        <v>1975</v>
      </c>
      <c r="B2870" s="1">
        <v>45644</v>
      </c>
      <c r="C2870" s="2">
        <v>0.5</v>
      </c>
      <c r="D2870">
        <v>3</v>
      </c>
      <c r="E2870">
        <v>10</v>
      </c>
      <c r="F2870">
        <v>76</v>
      </c>
    </row>
    <row r="2871" spans="1:6" x14ac:dyDescent="0.35">
      <c r="A2871">
        <v>1975</v>
      </c>
      <c r="B2871" s="1">
        <v>45644</v>
      </c>
      <c r="C2871" s="2">
        <v>0.54166666666666663</v>
      </c>
      <c r="D2871">
        <v>3</v>
      </c>
      <c r="E2871">
        <v>10.199999999999999</v>
      </c>
      <c r="F2871">
        <v>83</v>
      </c>
    </row>
    <row r="2872" spans="1:6" x14ac:dyDescent="0.35">
      <c r="A2872">
        <v>1975</v>
      </c>
      <c r="B2872" s="1">
        <v>45644</v>
      </c>
      <c r="C2872" s="2">
        <v>0.58333333333333337</v>
      </c>
      <c r="D2872">
        <v>3</v>
      </c>
      <c r="E2872">
        <v>10.1</v>
      </c>
      <c r="F2872">
        <v>89</v>
      </c>
    </row>
    <row r="2873" spans="1:6" x14ac:dyDescent="0.35">
      <c r="A2873">
        <v>1975</v>
      </c>
      <c r="B2873" s="1">
        <v>45644</v>
      </c>
      <c r="C2873" s="2">
        <v>0.625</v>
      </c>
      <c r="D2873">
        <v>3</v>
      </c>
      <c r="E2873">
        <v>10.199999999999999</v>
      </c>
      <c r="F2873">
        <v>92</v>
      </c>
    </row>
    <row r="2874" spans="1:6" x14ac:dyDescent="0.35">
      <c r="A2874">
        <v>1975</v>
      </c>
      <c r="B2874" s="1">
        <v>45644</v>
      </c>
      <c r="C2874" s="2">
        <v>0.66666666666666663</v>
      </c>
      <c r="D2874">
        <v>3</v>
      </c>
      <c r="E2874">
        <v>10.199999999999999</v>
      </c>
      <c r="F2874">
        <v>95</v>
      </c>
    </row>
    <row r="2875" spans="1:6" x14ac:dyDescent="0.35">
      <c r="A2875">
        <v>1975</v>
      </c>
      <c r="B2875" s="1">
        <v>45644</v>
      </c>
      <c r="C2875" s="2">
        <v>0.70833333333333337</v>
      </c>
      <c r="D2875">
        <v>3</v>
      </c>
      <c r="E2875">
        <v>10.4</v>
      </c>
      <c r="F2875">
        <v>97</v>
      </c>
    </row>
    <row r="2876" spans="1:6" x14ac:dyDescent="0.35">
      <c r="A2876">
        <v>1975</v>
      </c>
      <c r="B2876" s="1">
        <v>45644</v>
      </c>
      <c r="C2876" s="2">
        <v>0.75</v>
      </c>
      <c r="D2876">
        <v>3</v>
      </c>
      <c r="E2876">
        <v>11</v>
      </c>
      <c r="F2876">
        <v>96</v>
      </c>
    </row>
    <row r="2877" spans="1:6" x14ac:dyDescent="0.35">
      <c r="A2877">
        <v>1975</v>
      </c>
      <c r="B2877" s="1">
        <v>45644</v>
      </c>
      <c r="C2877" s="2">
        <v>0.79166666666666663</v>
      </c>
      <c r="D2877">
        <v>3</v>
      </c>
      <c r="E2877">
        <v>11.2</v>
      </c>
      <c r="F2877">
        <v>96</v>
      </c>
    </row>
    <row r="2878" spans="1:6" x14ac:dyDescent="0.35">
      <c r="A2878">
        <v>1975</v>
      </c>
      <c r="B2878" s="1">
        <v>45644</v>
      </c>
      <c r="C2878" s="2">
        <v>0.83333333333333337</v>
      </c>
      <c r="D2878">
        <v>3</v>
      </c>
      <c r="E2878">
        <v>11.1</v>
      </c>
      <c r="F2878">
        <v>96</v>
      </c>
    </row>
    <row r="2879" spans="1:6" x14ac:dyDescent="0.35">
      <c r="A2879">
        <v>1975</v>
      </c>
      <c r="B2879" s="1">
        <v>45644</v>
      </c>
      <c r="C2879" s="2">
        <v>0.875</v>
      </c>
      <c r="D2879">
        <v>3</v>
      </c>
      <c r="E2879">
        <v>11.1</v>
      </c>
      <c r="F2879">
        <v>97</v>
      </c>
    </row>
    <row r="2880" spans="1:6" x14ac:dyDescent="0.35">
      <c r="A2880">
        <v>1975</v>
      </c>
      <c r="B2880" s="1">
        <v>45644</v>
      </c>
      <c r="C2880" s="2">
        <v>0.91666666666666663</v>
      </c>
      <c r="D2880">
        <v>3</v>
      </c>
      <c r="E2880">
        <v>11.3</v>
      </c>
      <c r="F2880">
        <v>92</v>
      </c>
    </row>
    <row r="2881" spans="1:6" x14ac:dyDescent="0.35">
      <c r="A2881">
        <v>1975</v>
      </c>
      <c r="B2881" s="1">
        <v>45644</v>
      </c>
      <c r="C2881" s="2">
        <v>0.95833333333333337</v>
      </c>
      <c r="D2881">
        <v>3</v>
      </c>
      <c r="E2881">
        <v>11.2</v>
      </c>
      <c r="F2881">
        <v>93</v>
      </c>
    </row>
    <row r="2882" spans="1:6" x14ac:dyDescent="0.35">
      <c r="A2882">
        <v>1975</v>
      </c>
      <c r="B2882" s="1">
        <v>45645</v>
      </c>
      <c r="C2882" s="2">
        <v>0</v>
      </c>
      <c r="D2882">
        <v>3</v>
      </c>
      <c r="E2882">
        <v>10.8</v>
      </c>
      <c r="F2882">
        <v>98</v>
      </c>
    </row>
    <row r="2883" spans="1:6" x14ac:dyDescent="0.35">
      <c r="A2883">
        <v>1975</v>
      </c>
      <c r="B2883" s="1">
        <v>45645</v>
      </c>
      <c r="C2883" s="2">
        <v>4.1666666666666657E-2</v>
      </c>
      <c r="D2883">
        <v>3</v>
      </c>
      <c r="E2883">
        <v>11.2</v>
      </c>
      <c r="F2883">
        <v>93</v>
      </c>
    </row>
    <row r="2884" spans="1:6" x14ac:dyDescent="0.35">
      <c r="A2884">
        <v>1975</v>
      </c>
      <c r="B2884" s="1">
        <v>45645</v>
      </c>
      <c r="C2884" s="2">
        <v>8.3333333333333329E-2</v>
      </c>
      <c r="D2884">
        <v>3</v>
      </c>
      <c r="E2884">
        <v>11.4</v>
      </c>
      <c r="F2884">
        <v>89</v>
      </c>
    </row>
    <row r="2885" spans="1:6" x14ac:dyDescent="0.35">
      <c r="A2885">
        <v>1975</v>
      </c>
      <c r="B2885" s="1">
        <v>45645</v>
      </c>
      <c r="C2885" s="2">
        <v>0.125</v>
      </c>
      <c r="D2885">
        <v>3</v>
      </c>
      <c r="E2885">
        <v>11.2</v>
      </c>
      <c r="F2885">
        <v>88</v>
      </c>
    </row>
    <row r="2886" spans="1:6" x14ac:dyDescent="0.35">
      <c r="A2886">
        <v>1975</v>
      </c>
      <c r="B2886" s="1">
        <v>45645</v>
      </c>
      <c r="C2886" s="2">
        <v>0.16666666666666671</v>
      </c>
      <c r="D2886">
        <v>3</v>
      </c>
      <c r="E2886">
        <v>10.199999999999999</v>
      </c>
      <c r="F2886">
        <v>96</v>
      </c>
    </row>
    <row r="2887" spans="1:6" x14ac:dyDescent="0.35">
      <c r="A2887">
        <v>1975</v>
      </c>
      <c r="B2887" s="1">
        <v>45645</v>
      </c>
      <c r="C2887" s="2">
        <v>0.20833333333333329</v>
      </c>
      <c r="D2887">
        <v>3</v>
      </c>
      <c r="E2887">
        <v>11.1</v>
      </c>
      <c r="F2887">
        <v>93</v>
      </c>
    </row>
    <row r="2888" spans="1:6" x14ac:dyDescent="0.35">
      <c r="A2888">
        <v>1975</v>
      </c>
      <c r="B2888" s="1">
        <v>45645</v>
      </c>
      <c r="C2888" s="2">
        <v>0.25</v>
      </c>
      <c r="D2888">
        <v>3</v>
      </c>
      <c r="E2888">
        <v>11.4</v>
      </c>
      <c r="F2888">
        <v>93</v>
      </c>
    </row>
    <row r="2889" spans="1:6" x14ac:dyDescent="0.35">
      <c r="A2889">
        <v>1975</v>
      </c>
      <c r="B2889" s="1">
        <v>45645</v>
      </c>
      <c r="C2889" s="2">
        <v>0.29166666666666669</v>
      </c>
      <c r="D2889">
        <v>3</v>
      </c>
      <c r="E2889">
        <v>12</v>
      </c>
      <c r="F2889">
        <v>92</v>
      </c>
    </row>
    <row r="2890" spans="1:6" x14ac:dyDescent="0.35">
      <c r="A2890">
        <v>1975</v>
      </c>
      <c r="B2890" s="1">
        <v>45645</v>
      </c>
      <c r="C2890" s="2">
        <v>0.33333333333333331</v>
      </c>
      <c r="D2890">
        <v>3</v>
      </c>
      <c r="E2890">
        <v>12</v>
      </c>
      <c r="F2890">
        <v>89</v>
      </c>
    </row>
    <row r="2891" spans="1:6" x14ac:dyDescent="0.35">
      <c r="A2891">
        <v>1975</v>
      </c>
      <c r="B2891" s="1">
        <v>45645</v>
      </c>
      <c r="C2891" s="2">
        <v>0.375</v>
      </c>
      <c r="D2891">
        <v>3</v>
      </c>
      <c r="E2891">
        <v>12.5</v>
      </c>
      <c r="F2891">
        <v>80</v>
      </c>
    </row>
    <row r="2892" spans="1:6" x14ac:dyDescent="0.35">
      <c r="A2892">
        <v>1975</v>
      </c>
      <c r="B2892" s="1">
        <v>45645</v>
      </c>
      <c r="C2892" s="2">
        <v>0.41666666666666669</v>
      </c>
      <c r="D2892">
        <v>3</v>
      </c>
      <c r="E2892">
        <v>12.3</v>
      </c>
      <c r="F2892">
        <v>84</v>
      </c>
    </row>
    <row r="2893" spans="1:6" x14ac:dyDescent="0.35">
      <c r="A2893">
        <v>1975</v>
      </c>
      <c r="B2893" s="1">
        <v>45645</v>
      </c>
      <c r="C2893" s="2">
        <v>0.45833333333333331</v>
      </c>
      <c r="D2893">
        <v>3</v>
      </c>
      <c r="E2893">
        <v>12.3</v>
      </c>
      <c r="F2893">
        <v>80</v>
      </c>
    </row>
    <row r="2894" spans="1:6" x14ac:dyDescent="0.35">
      <c r="A2894">
        <v>1975</v>
      </c>
      <c r="B2894" s="1">
        <v>45645</v>
      </c>
      <c r="C2894" s="2">
        <v>0.5</v>
      </c>
      <c r="D2894">
        <v>3</v>
      </c>
      <c r="E2894">
        <v>9.6999999999999993</v>
      </c>
      <c r="F2894">
        <v>91</v>
      </c>
    </row>
    <row r="2895" spans="1:6" x14ac:dyDescent="0.35">
      <c r="A2895">
        <v>1975</v>
      </c>
      <c r="B2895" s="1">
        <v>45645</v>
      </c>
      <c r="C2895" s="2">
        <v>0.54166666666666663</v>
      </c>
      <c r="D2895">
        <v>3</v>
      </c>
      <c r="E2895">
        <v>7.3</v>
      </c>
      <c r="F2895">
        <v>93</v>
      </c>
    </row>
    <row r="2896" spans="1:6" x14ac:dyDescent="0.35">
      <c r="A2896">
        <v>1975</v>
      </c>
      <c r="B2896" s="1">
        <v>45645</v>
      </c>
      <c r="C2896" s="2">
        <v>0.58333333333333337</v>
      </c>
      <c r="D2896">
        <v>3</v>
      </c>
      <c r="E2896">
        <v>6.6</v>
      </c>
      <c r="F2896">
        <v>90</v>
      </c>
    </row>
    <row r="2897" spans="1:6" x14ac:dyDescent="0.35">
      <c r="A2897">
        <v>1975</v>
      </c>
      <c r="B2897" s="1">
        <v>45645</v>
      </c>
      <c r="C2897" s="2">
        <v>0.625</v>
      </c>
      <c r="D2897">
        <v>3</v>
      </c>
      <c r="E2897">
        <v>6.5</v>
      </c>
      <c r="F2897">
        <v>87</v>
      </c>
    </row>
    <row r="2898" spans="1:6" x14ac:dyDescent="0.35">
      <c r="A2898">
        <v>1975</v>
      </c>
      <c r="B2898" s="1">
        <v>45645</v>
      </c>
      <c r="C2898" s="2">
        <v>0.66666666666666663</v>
      </c>
      <c r="D2898">
        <v>3</v>
      </c>
      <c r="E2898">
        <v>6.1</v>
      </c>
      <c r="F2898">
        <v>80</v>
      </c>
    </row>
    <row r="2899" spans="1:6" x14ac:dyDescent="0.35">
      <c r="A2899">
        <v>1975</v>
      </c>
      <c r="B2899" s="1">
        <v>45645</v>
      </c>
      <c r="C2899" s="2">
        <v>0.70833333333333337</v>
      </c>
      <c r="D2899">
        <v>3</v>
      </c>
      <c r="E2899">
        <v>5.8</v>
      </c>
      <c r="F2899">
        <v>78</v>
      </c>
    </row>
    <row r="2900" spans="1:6" x14ac:dyDescent="0.35">
      <c r="A2900">
        <v>1975</v>
      </c>
      <c r="B2900" s="1">
        <v>45645</v>
      </c>
      <c r="C2900" s="2">
        <v>0.75</v>
      </c>
      <c r="D2900">
        <v>3</v>
      </c>
      <c r="E2900">
        <v>5.2</v>
      </c>
      <c r="F2900">
        <v>84</v>
      </c>
    </row>
    <row r="2901" spans="1:6" x14ac:dyDescent="0.35">
      <c r="A2901">
        <v>1975</v>
      </c>
      <c r="B2901" s="1">
        <v>45645</v>
      </c>
      <c r="C2901" s="2">
        <v>0.79166666666666663</v>
      </c>
      <c r="D2901">
        <v>3</v>
      </c>
      <c r="E2901">
        <v>5.3</v>
      </c>
      <c r="F2901">
        <v>81</v>
      </c>
    </row>
    <row r="2902" spans="1:6" x14ac:dyDescent="0.35">
      <c r="A2902">
        <v>1975</v>
      </c>
      <c r="B2902" s="1">
        <v>45645</v>
      </c>
      <c r="C2902" s="2">
        <v>0.83333333333333337</v>
      </c>
      <c r="D2902">
        <v>3</v>
      </c>
      <c r="E2902">
        <v>5.0999999999999996</v>
      </c>
      <c r="F2902">
        <v>82</v>
      </c>
    </row>
    <row r="2903" spans="1:6" x14ac:dyDescent="0.35">
      <c r="A2903">
        <v>1975</v>
      </c>
      <c r="B2903" s="1">
        <v>45645</v>
      </c>
      <c r="C2903" s="2">
        <v>0.875</v>
      </c>
      <c r="D2903">
        <v>3</v>
      </c>
      <c r="E2903">
        <v>4.8</v>
      </c>
      <c r="F2903">
        <v>85</v>
      </c>
    </row>
    <row r="2904" spans="1:6" x14ac:dyDescent="0.35">
      <c r="A2904">
        <v>1975</v>
      </c>
      <c r="B2904" s="1">
        <v>45645</v>
      </c>
      <c r="C2904" s="2">
        <v>0.91666666666666663</v>
      </c>
      <c r="D2904">
        <v>3</v>
      </c>
      <c r="E2904">
        <v>4.9000000000000004</v>
      </c>
      <c r="F2904">
        <v>90</v>
      </c>
    </row>
    <row r="2905" spans="1:6" x14ac:dyDescent="0.35">
      <c r="A2905">
        <v>1975</v>
      </c>
      <c r="B2905" s="1">
        <v>45645</v>
      </c>
      <c r="C2905" s="2">
        <v>0.95833333333333337</v>
      </c>
      <c r="D2905">
        <v>3</v>
      </c>
      <c r="E2905">
        <v>4.9000000000000004</v>
      </c>
      <c r="F2905">
        <v>93</v>
      </c>
    </row>
    <row r="2906" spans="1:6" x14ac:dyDescent="0.35">
      <c r="A2906">
        <v>1975</v>
      </c>
      <c r="B2906" s="1">
        <v>45646</v>
      </c>
      <c r="C2906" s="2">
        <v>0</v>
      </c>
      <c r="D2906">
        <v>3</v>
      </c>
      <c r="E2906">
        <v>5.0999999999999996</v>
      </c>
      <c r="F2906">
        <v>90</v>
      </c>
    </row>
    <row r="2907" spans="1:6" x14ac:dyDescent="0.35">
      <c r="A2907">
        <v>1975</v>
      </c>
      <c r="B2907" s="1">
        <v>45646</v>
      </c>
      <c r="C2907" s="2">
        <v>4.1666666666666657E-2</v>
      </c>
      <c r="D2907">
        <v>3</v>
      </c>
      <c r="E2907">
        <v>5.0999999999999996</v>
      </c>
      <c r="F2907">
        <v>88</v>
      </c>
    </row>
    <row r="2908" spans="1:6" x14ac:dyDescent="0.35">
      <c r="A2908">
        <v>1975</v>
      </c>
      <c r="B2908" s="1">
        <v>45646</v>
      </c>
      <c r="C2908" s="2">
        <v>8.3333333333333329E-2</v>
      </c>
      <c r="D2908">
        <v>3</v>
      </c>
      <c r="E2908">
        <v>4.8</v>
      </c>
      <c r="F2908">
        <v>91</v>
      </c>
    </row>
    <row r="2909" spans="1:6" x14ac:dyDescent="0.35">
      <c r="A2909">
        <v>1975</v>
      </c>
      <c r="B2909" s="1">
        <v>45646</v>
      </c>
      <c r="C2909" s="2">
        <v>0.125</v>
      </c>
      <c r="D2909">
        <v>3</v>
      </c>
      <c r="E2909">
        <v>5.4</v>
      </c>
      <c r="F2909">
        <v>81</v>
      </c>
    </row>
    <row r="2910" spans="1:6" x14ac:dyDescent="0.35">
      <c r="A2910">
        <v>1975</v>
      </c>
      <c r="B2910" s="1">
        <v>45646</v>
      </c>
      <c r="C2910" s="2">
        <v>0.16666666666666671</v>
      </c>
      <c r="D2910">
        <v>3</v>
      </c>
      <c r="E2910">
        <v>5.2</v>
      </c>
      <c r="F2910">
        <v>80</v>
      </c>
    </row>
    <row r="2911" spans="1:6" x14ac:dyDescent="0.35">
      <c r="A2911">
        <v>1975</v>
      </c>
      <c r="B2911" s="1">
        <v>45646</v>
      </c>
      <c r="C2911" s="2">
        <v>0.20833333333333329</v>
      </c>
      <c r="D2911">
        <v>3</v>
      </c>
      <c r="E2911">
        <v>5.7</v>
      </c>
      <c r="F2911">
        <v>76</v>
      </c>
    </row>
    <row r="2912" spans="1:6" x14ac:dyDescent="0.35">
      <c r="A2912">
        <v>1975</v>
      </c>
      <c r="B2912" s="1">
        <v>45646</v>
      </c>
      <c r="C2912" s="2">
        <v>0.25</v>
      </c>
      <c r="D2912">
        <v>3</v>
      </c>
      <c r="E2912">
        <v>5.4</v>
      </c>
      <c r="F2912">
        <v>74</v>
      </c>
    </row>
    <row r="2913" spans="1:6" x14ac:dyDescent="0.35">
      <c r="A2913">
        <v>1975</v>
      </c>
      <c r="B2913" s="1">
        <v>45646</v>
      </c>
      <c r="C2913" s="2">
        <v>0.29166666666666669</v>
      </c>
      <c r="D2913">
        <v>3</v>
      </c>
      <c r="E2913">
        <v>5</v>
      </c>
      <c r="F2913">
        <v>76</v>
      </c>
    </row>
    <row r="2914" spans="1:6" x14ac:dyDescent="0.35">
      <c r="A2914">
        <v>1975</v>
      </c>
      <c r="B2914" s="1">
        <v>45646</v>
      </c>
      <c r="C2914" s="2">
        <v>0.33333333333333331</v>
      </c>
      <c r="D2914">
        <v>3</v>
      </c>
      <c r="E2914">
        <v>4.5999999999999996</v>
      </c>
      <c r="F2914">
        <v>78</v>
      </c>
    </row>
    <row r="2915" spans="1:6" x14ac:dyDescent="0.35">
      <c r="A2915">
        <v>1975</v>
      </c>
      <c r="B2915" s="1">
        <v>45646</v>
      </c>
      <c r="C2915" s="2">
        <v>0.375</v>
      </c>
      <c r="D2915">
        <v>3</v>
      </c>
      <c r="E2915">
        <v>4.3</v>
      </c>
      <c r="F2915">
        <v>81</v>
      </c>
    </row>
    <row r="2916" spans="1:6" x14ac:dyDescent="0.35">
      <c r="A2916">
        <v>1975</v>
      </c>
      <c r="B2916" s="1">
        <v>45646</v>
      </c>
      <c r="C2916" s="2">
        <v>0.41666666666666669</v>
      </c>
      <c r="D2916">
        <v>3</v>
      </c>
      <c r="E2916">
        <v>5.0999999999999996</v>
      </c>
      <c r="F2916">
        <v>79</v>
      </c>
    </row>
    <row r="2917" spans="1:6" x14ac:dyDescent="0.35">
      <c r="A2917">
        <v>1975</v>
      </c>
      <c r="B2917" s="1">
        <v>45646</v>
      </c>
      <c r="C2917" s="2">
        <v>0.45833333333333331</v>
      </c>
      <c r="D2917">
        <v>3</v>
      </c>
      <c r="E2917">
        <v>5.6</v>
      </c>
      <c r="F2917">
        <v>78</v>
      </c>
    </row>
    <row r="2918" spans="1:6" x14ac:dyDescent="0.35">
      <c r="A2918">
        <v>1975</v>
      </c>
      <c r="B2918" s="1">
        <v>45646</v>
      </c>
      <c r="C2918" s="2">
        <v>0.5</v>
      </c>
      <c r="D2918">
        <v>3</v>
      </c>
      <c r="E2918">
        <v>5.4</v>
      </c>
      <c r="F2918">
        <v>82</v>
      </c>
    </row>
    <row r="2919" spans="1:6" x14ac:dyDescent="0.35">
      <c r="A2919">
        <v>1975</v>
      </c>
      <c r="B2919" s="1">
        <v>45646</v>
      </c>
      <c r="C2919" s="2">
        <v>0.54166666666666663</v>
      </c>
      <c r="D2919">
        <v>3</v>
      </c>
      <c r="E2919">
        <v>4.9000000000000004</v>
      </c>
      <c r="F2919">
        <v>88</v>
      </c>
    </row>
    <row r="2920" spans="1:6" x14ac:dyDescent="0.35">
      <c r="A2920">
        <v>1975</v>
      </c>
      <c r="B2920" s="1">
        <v>45646</v>
      </c>
      <c r="C2920" s="2">
        <v>0.58333333333333337</v>
      </c>
      <c r="D2920">
        <v>3</v>
      </c>
      <c r="E2920">
        <v>4.7</v>
      </c>
      <c r="F2920">
        <v>90</v>
      </c>
    </row>
    <row r="2921" spans="1:6" x14ac:dyDescent="0.35">
      <c r="A2921">
        <v>1975</v>
      </c>
      <c r="B2921" s="1">
        <v>45646</v>
      </c>
      <c r="C2921" s="2">
        <v>0.625</v>
      </c>
      <c r="D2921">
        <v>3</v>
      </c>
      <c r="E2921">
        <v>4</v>
      </c>
      <c r="F2921">
        <v>92</v>
      </c>
    </row>
    <row r="2922" spans="1:6" x14ac:dyDescent="0.35">
      <c r="A2922">
        <v>1975</v>
      </c>
      <c r="B2922" s="1">
        <v>45646</v>
      </c>
      <c r="C2922" s="2">
        <v>0.66666666666666663</v>
      </c>
      <c r="D2922">
        <v>3</v>
      </c>
      <c r="E2922">
        <v>4.9000000000000004</v>
      </c>
      <c r="F2922">
        <v>88</v>
      </c>
    </row>
    <row r="2923" spans="1:6" x14ac:dyDescent="0.35">
      <c r="A2923">
        <v>1975</v>
      </c>
      <c r="B2923" s="1">
        <v>45646</v>
      </c>
      <c r="C2923" s="2">
        <v>0.70833333333333337</v>
      </c>
      <c r="D2923">
        <v>3</v>
      </c>
      <c r="E2923">
        <v>4.5</v>
      </c>
      <c r="F2923">
        <v>89</v>
      </c>
    </row>
    <row r="2924" spans="1:6" x14ac:dyDescent="0.35">
      <c r="A2924">
        <v>1975</v>
      </c>
      <c r="B2924" s="1">
        <v>45646</v>
      </c>
      <c r="C2924" s="2">
        <v>0.75</v>
      </c>
      <c r="D2924">
        <v>3</v>
      </c>
      <c r="E2924">
        <v>4.5999999999999996</v>
      </c>
      <c r="F2924">
        <v>85</v>
      </c>
    </row>
    <row r="2925" spans="1:6" x14ac:dyDescent="0.35">
      <c r="A2925">
        <v>1975</v>
      </c>
      <c r="B2925" s="1">
        <v>45646</v>
      </c>
      <c r="C2925" s="2">
        <v>0.79166666666666663</v>
      </c>
      <c r="D2925">
        <v>3</v>
      </c>
      <c r="E2925">
        <v>4.4000000000000004</v>
      </c>
      <c r="F2925">
        <v>86</v>
      </c>
    </row>
    <row r="2926" spans="1:6" x14ac:dyDescent="0.35">
      <c r="A2926">
        <v>1975</v>
      </c>
      <c r="B2926" s="1">
        <v>45646</v>
      </c>
      <c r="C2926" s="2">
        <v>0.83333333333333337</v>
      </c>
      <c r="D2926">
        <v>3</v>
      </c>
      <c r="E2926">
        <v>4.3</v>
      </c>
      <c r="F2926">
        <v>87</v>
      </c>
    </row>
    <row r="2927" spans="1:6" x14ac:dyDescent="0.35">
      <c r="A2927">
        <v>1975</v>
      </c>
      <c r="B2927" s="1">
        <v>45646</v>
      </c>
      <c r="C2927" s="2">
        <v>0.875</v>
      </c>
      <c r="D2927">
        <v>3</v>
      </c>
      <c r="E2927">
        <v>4.3</v>
      </c>
      <c r="F2927">
        <v>89</v>
      </c>
    </row>
    <row r="2928" spans="1:6" x14ac:dyDescent="0.35">
      <c r="A2928">
        <v>1975</v>
      </c>
      <c r="B2928" s="1">
        <v>45646</v>
      </c>
      <c r="C2928" s="2">
        <v>0.91666666666666663</v>
      </c>
      <c r="D2928">
        <v>3</v>
      </c>
      <c r="E2928">
        <v>4.3</v>
      </c>
      <c r="F2928">
        <v>88</v>
      </c>
    </row>
    <row r="2929" spans="1:6" x14ac:dyDescent="0.35">
      <c r="A2929">
        <v>1975</v>
      </c>
      <c r="B2929" s="1">
        <v>45646</v>
      </c>
      <c r="C2929" s="2">
        <v>0.95833333333333337</v>
      </c>
      <c r="D2929">
        <v>3</v>
      </c>
      <c r="E2929">
        <v>4.5</v>
      </c>
      <c r="F2929">
        <v>86</v>
      </c>
    </row>
    <row r="2930" spans="1:6" x14ac:dyDescent="0.35">
      <c r="A2930">
        <v>1975</v>
      </c>
      <c r="B2930" s="1">
        <v>45647</v>
      </c>
      <c r="C2930" s="2">
        <v>0</v>
      </c>
      <c r="D2930">
        <v>3</v>
      </c>
      <c r="E2930">
        <v>4.5</v>
      </c>
      <c r="F2930">
        <v>87</v>
      </c>
    </row>
    <row r="2931" spans="1:6" x14ac:dyDescent="0.35">
      <c r="A2931">
        <v>1975</v>
      </c>
      <c r="B2931" s="1">
        <v>45647</v>
      </c>
      <c r="C2931" s="2">
        <v>4.1666666666666657E-2</v>
      </c>
      <c r="D2931">
        <v>3</v>
      </c>
      <c r="E2931">
        <v>4.8</v>
      </c>
      <c r="F2931">
        <v>88</v>
      </c>
    </row>
    <row r="2932" spans="1:6" x14ac:dyDescent="0.35">
      <c r="A2932">
        <v>1975</v>
      </c>
      <c r="B2932" s="1">
        <v>45647</v>
      </c>
      <c r="C2932" s="2">
        <v>8.3333333333333329E-2</v>
      </c>
      <c r="D2932">
        <v>3</v>
      </c>
      <c r="E2932">
        <v>4.8</v>
      </c>
      <c r="F2932">
        <v>92</v>
      </c>
    </row>
    <row r="2933" spans="1:6" x14ac:dyDescent="0.35">
      <c r="A2933">
        <v>1975</v>
      </c>
      <c r="B2933" s="1">
        <v>45647</v>
      </c>
      <c r="C2933" s="2">
        <v>0.125</v>
      </c>
      <c r="D2933">
        <v>3</v>
      </c>
      <c r="E2933">
        <v>4.9000000000000004</v>
      </c>
      <c r="F2933">
        <v>93</v>
      </c>
    </row>
    <row r="2934" spans="1:6" x14ac:dyDescent="0.35">
      <c r="A2934">
        <v>1975</v>
      </c>
      <c r="B2934" s="1">
        <v>45647</v>
      </c>
      <c r="C2934" s="2">
        <v>0.16666666666666671</v>
      </c>
      <c r="D2934">
        <v>3</v>
      </c>
      <c r="E2934">
        <v>4.9000000000000004</v>
      </c>
      <c r="F2934">
        <v>95</v>
      </c>
    </row>
    <row r="2935" spans="1:6" x14ac:dyDescent="0.35">
      <c r="A2935">
        <v>1975</v>
      </c>
      <c r="B2935" s="1">
        <v>45647</v>
      </c>
      <c r="C2935" s="2">
        <v>0.20833333333333329</v>
      </c>
      <c r="D2935">
        <v>3</v>
      </c>
      <c r="E2935">
        <v>5.2</v>
      </c>
      <c r="F2935">
        <v>96</v>
      </c>
    </row>
    <row r="2936" spans="1:6" x14ac:dyDescent="0.35">
      <c r="A2936">
        <v>1975</v>
      </c>
      <c r="B2936" s="1">
        <v>45647</v>
      </c>
      <c r="C2936" s="2">
        <v>0.25</v>
      </c>
      <c r="D2936">
        <v>3</v>
      </c>
      <c r="E2936">
        <v>5.6</v>
      </c>
      <c r="F2936">
        <v>97</v>
      </c>
    </row>
    <row r="2937" spans="1:6" x14ac:dyDescent="0.35">
      <c r="A2937">
        <v>1975</v>
      </c>
      <c r="B2937" s="1">
        <v>45647</v>
      </c>
      <c r="C2937" s="2">
        <v>0.29166666666666669</v>
      </c>
      <c r="D2937">
        <v>3</v>
      </c>
      <c r="E2937">
        <v>6.1</v>
      </c>
      <c r="F2937">
        <v>96</v>
      </c>
    </row>
    <row r="2938" spans="1:6" x14ac:dyDescent="0.35">
      <c r="A2938">
        <v>1975</v>
      </c>
      <c r="B2938" s="1">
        <v>45647</v>
      </c>
      <c r="C2938" s="2">
        <v>0.33333333333333331</v>
      </c>
      <c r="D2938">
        <v>3</v>
      </c>
      <c r="E2938">
        <v>6.4</v>
      </c>
      <c r="F2938">
        <v>97</v>
      </c>
    </row>
    <row r="2939" spans="1:6" x14ac:dyDescent="0.35">
      <c r="A2939">
        <v>1975</v>
      </c>
      <c r="B2939" s="1">
        <v>45647</v>
      </c>
      <c r="C2939" s="2">
        <v>0.375</v>
      </c>
      <c r="D2939">
        <v>3</v>
      </c>
      <c r="E2939">
        <v>6.7</v>
      </c>
      <c r="F2939">
        <v>95</v>
      </c>
    </row>
    <row r="2940" spans="1:6" x14ac:dyDescent="0.35">
      <c r="A2940">
        <v>1975</v>
      </c>
      <c r="B2940" s="1">
        <v>45647</v>
      </c>
      <c r="C2940" s="2">
        <v>0.41666666666666669</v>
      </c>
      <c r="D2940">
        <v>3</v>
      </c>
      <c r="E2940">
        <v>7.2</v>
      </c>
      <c r="F2940">
        <v>91</v>
      </c>
    </row>
    <row r="2941" spans="1:6" x14ac:dyDescent="0.35">
      <c r="A2941">
        <v>1975</v>
      </c>
      <c r="B2941" s="1">
        <v>45647</v>
      </c>
      <c r="C2941" s="2">
        <v>0.45833333333333331</v>
      </c>
      <c r="D2941">
        <v>3</v>
      </c>
      <c r="E2941">
        <v>7.4</v>
      </c>
      <c r="F2941">
        <v>88</v>
      </c>
    </row>
    <row r="2942" spans="1:6" x14ac:dyDescent="0.35">
      <c r="A2942">
        <v>1975</v>
      </c>
      <c r="B2942" s="1">
        <v>45647</v>
      </c>
      <c r="C2942" s="2">
        <v>0.5</v>
      </c>
      <c r="D2942">
        <v>3</v>
      </c>
      <c r="E2942">
        <v>7.4</v>
      </c>
      <c r="F2942">
        <v>87</v>
      </c>
    </row>
    <row r="2943" spans="1:6" x14ac:dyDescent="0.35">
      <c r="A2943">
        <v>1975</v>
      </c>
      <c r="B2943" s="1">
        <v>45647</v>
      </c>
      <c r="C2943" s="2">
        <v>0.54166666666666663</v>
      </c>
      <c r="D2943">
        <v>3</v>
      </c>
      <c r="E2943">
        <v>7.3</v>
      </c>
      <c r="F2943">
        <v>86</v>
      </c>
    </row>
    <row r="2944" spans="1:6" x14ac:dyDescent="0.35">
      <c r="A2944">
        <v>1975</v>
      </c>
      <c r="B2944" s="1">
        <v>45647</v>
      </c>
      <c r="C2944" s="2">
        <v>0.58333333333333337</v>
      </c>
      <c r="D2944">
        <v>3</v>
      </c>
      <c r="E2944">
        <v>7.4</v>
      </c>
      <c r="F2944">
        <v>84</v>
      </c>
    </row>
    <row r="2945" spans="1:6" x14ac:dyDescent="0.35">
      <c r="A2945">
        <v>1975</v>
      </c>
      <c r="B2945" s="1">
        <v>45647</v>
      </c>
      <c r="C2945" s="2">
        <v>0.625</v>
      </c>
      <c r="D2945">
        <v>3</v>
      </c>
      <c r="E2945">
        <v>7.4</v>
      </c>
      <c r="F2945">
        <v>83</v>
      </c>
    </row>
    <row r="2946" spans="1:6" x14ac:dyDescent="0.35">
      <c r="A2946">
        <v>1975</v>
      </c>
      <c r="B2946" s="1">
        <v>45647</v>
      </c>
      <c r="C2946" s="2">
        <v>0.66666666666666663</v>
      </c>
      <c r="D2946">
        <v>3</v>
      </c>
      <c r="E2946">
        <v>7.3</v>
      </c>
      <c r="F2946">
        <v>84</v>
      </c>
    </row>
    <row r="2947" spans="1:6" x14ac:dyDescent="0.35">
      <c r="A2947">
        <v>1975</v>
      </c>
      <c r="B2947" s="1">
        <v>45647</v>
      </c>
      <c r="C2947" s="2">
        <v>0.70833333333333337</v>
      </c>
      <c r="D2947">
        <v>3</v>
      </c>
      <c r="E2947">
        <v>6.4</v>
      </c>
      <c r="F2947">
        <v>93</v>
      </c>
    </row>
    <row r="2948" spans="1:6" x14ac:dyDescent="0.35">
      <c r="A2948">
        <v>1975</v>
      </c>
      <c r="B2948" s="1">
        <v>45647</v>
      </c>
      <c r="C2948" s="2">
        <v>0.75</v>
      </c>
      <c r="D2948">
        <v>3</v>
      </c>
      <c r="E2948">
        <v>6.5</v>
      </c>
      <c r="F2948">
        <v>95</v>
      </c>
    </row>
    <row r="2949" spans="1:6" x14ac:dyDescent="0.35">
      <c r="A2949">
        <v>1975</v>
      </c>
      <c r="B2949" s="1">
        <v>45647</v>
      </c>
      <c r="C2949" s="2">
        <v>0.79166666666666663</v>
      </c>
      <c r="D2949">
        <v>3</v>
      </c>
      <c r="E2949">
        <v>6.8</v>
      </c>
      <c r="F2949">
        <v>95</v>
      </c>
    </row>
    <row r="2950" spans="1:6" x14ac:dyDescent="0.35">
      <c r="A2950">
        <v>1975</v>
      </c>
      <c r="B2950" s="1">
        <v>45647</v>
      </c>
      <c r="C2950" s="2">
        <v>0.83333333333333337</v>
      </c>
      <c r="D2950">
        <v>3</v>
      </c>
      <c r="E2950">
        <v>7.1</v>
      </c>
      <c r="F2950">
        <v>96</v>
      </c>
    </row>
    <row r="2951" spans="1:6" x14ac:dyDescent="0.35">
      <c r="A2951">
        <v>1975</v>
      </c>
      <c r="B2951" s="1">
        <v>45647</v>
      </c>
      <c r="C2951" s="2">
        <v>0.875</v>
      </c>
      <c r="D2951">
        <v>3</v>
      </c>
      <c r="E2951">
        <v>7.5</v>
      </c>
      <c r="F2951">
        <v>97</v>
      </c>
    </row>
    <row r="2952" spans="1:6" x14ac:dyDescent="0.35">
      <c r="A2952">
        <v>1975</v>
      </c>
      <c r="B2952" s="1">
        <v>45647</v>
      </c>
      <c r="C2952" s="2">
        <v>0.91666666666666663</v>
      </c>
      <c r="D2952">
        <v>3</v>
      </c>
      <c r="E2952">
        <v>8.1</v>
      </c>
      <c r="F2952">
        <v>93</v>
      </c>
    </row>
    <row r="2953" spans="1:6" x14ac:dyDescent="0.35">
      <c r="A2953">
        <v>1975</v>
      </c>
      <c r="B2953" s="1">
        <v>45647</v>
      </c>
      <c r="C2953" s="2">
        <v>0.95833333333333337</v>
      </c>
      <c r="D2953">
        <v>3</v>
      </c>
      <c r="E2953">
        <v>8</v>
      </c>
      <c r="F2953">
        <v>92</v>
      </c>
    </row>
    <row r="2954" spans="1:6" x14ac:dyDescent="0.35">
      <c r="A2954">
        <v>1975</v>
      </c>
      <c r="B2954" s="1">
        <v>45648</v>
      </c>
      <c r="C2954" s="2">
        <v>0</v>
      </c>
      <c r="D2954">
        <v>3</v>
      </c>
      <c r="E2954">
        <v>7.9</v>
      </c>
      <c r="F2954">
        <v>92</v>
      </c>
    </row>
    <row r="2955" spans="1:6" x14ac:dyDescent="0.35">
      <c r="A2955">
        <v>1975</v>
      </c>
      <c r="B2955" s="1">
        <v>45648</v>
      </c>
      <c r="C2955" s="2">
        <v>4.1666666666666657E-2</v>
      </c>
      <c r="D2955">
        <v>3</v>
      </c>
      <c r="E2955">
        <v>7.7</v>
      </c>
      <c r="F2955">
        <v>90</v>
      </c>
    </row>
    <row r="2956" spans="1:6" x14ac:dyDescent="0.35">
      <c r="A2956">
        <v>1975</v>
      </c>
      <c r="B2956" s="1">
        <v>45648</v>
      </c>
      <c r="C2956" s="2">
        <v>8.3333333333333329E-2</v>
      </c>
      <c r="D2956">
        <v>3</v>
      </c>
      <c r="E2956">
        <v>7.9</v>
      </c>
      <c r="F2956">
        <v>86</v>
      </c>
    </row>
    <row r="2957" spans="1:6" x14ac:dyDescent="0.35">
      <c r="A2957">
        <v>1975</v>
      </c>
      <c r="B2957" s="1">
        <v>45648</v>
      </c>
      <c r="C2957" s="2">
        <v>0.125</v>
      </c>
      <c r="D2957">
        <v>3</v>
      </c>
      <c r="E2957">
        <v>7.6</v>
      </c>
      <c r="F2957">
        <v>84</v>
      </c>
    </row>
    <row r="2958" spans="1:6" x14ac:dyDescent="0.35">
      <c r="A2958">
        <v>1975</v>
      </c>
      <c r="B2958" s="1">
        <v>45648</v>
      </c>
      <c r="C2958" s="2">
        <v>0.16666666666666671</v>
      </c>
      <c r="D2958">
        <v>3</v>
      </c>
      <c r="E2958">
        <v>7.1</v>
      </c>
      <c r="F2958">
        <v>82</v>
      </c>
    </row>
    <row r="2959" spans="1:6" x14ac:dyDescent="0.35">
      <c r="A2959">
        <v>1975</v>
      </c>
      <c r="B2959" s="1">
        <v>45648</v>
      </c>
      <c r="C2959" s="2">
        <v>0.20833333333333329</v>
      </c>
      <c r="D2959">
        <v>3</v>
      </c>
      <c r="E2959">
        <v>5.8</v>
      </c>
      <c r="F2959">
        <v>85</v>
      </c>
    </row>
    <row r="2960" spans="1:6" x14ac:dyDescent="0.35">
      <c r="A2960">
        <v>1975</v>
      </c>
      <c r="B2960" s="1">
        <v>45648</v>
      </c>
      <c r="C2960" s="2">
        <v>0.25</v>
      </c>
      <c r="D2960">
        <v>3</v>
      </c>
      <c r="E2960">
        <v>5.5</v>
      </c>
      <c r="F2960">
        <v>88</v>
      </c>
    </row>
    <row r="2961" spans="1:6" x14ac:dyDescent="0.35">
      <c r="A2961">
        <v>1975</v>
      </c>
      <c r="B2961" s="1">
        <v>45648</v>
      </c>
      <c r="C2961" s="2">
        <v>0.29166666666666669</v>
      </c>
      <c r="D2961">
        <v>3</v>
      </c>
      <c r="E2961">
        <v>5.7</v>
      </c>
      <c r="F2961">
        <v>89</v>
      </c>
    </row>
    <row r="2962" spans="1:6" x14ac:dyDescent="0.35">
      <c r="A2962">
        <v>1975</v>
      </c>
      <c r="B2962" s="1">
        <v>45648</v>
      </c>
      <c r="C2962" s="2">
        <v>0.33333333333333331</v>
      </c>
      <c r="D2962">
        <v>3</v>
      </c>
      <c r="E2962">
        <v>5.9</v>
      </c>
      <c r="F2962">
        <v>84</v>
      </c>
    </row>
    <row r="2963" spans="1:6" x14ac:dyDescent="0.35">
      <c r="A2963">
        <v>1975</v>
      </c>
      <c r="B2963" s="1">
        <v>45648</v>
      </c>
      <c r="C2963" s="2">
        <v>0.375</v>
      </c>
      <c r="D2963">
        <v>3</v>
      </c>
      <c r="E2963">
        <v>5.4</v>
      </c>
      <c r="F2963">
        <v>81</v>
      </c>
    </row>
    <row r="2964" spans="1:6" x14ac:dyDescent="0.35">
      <c r="A2964">
        <v>1975</v>
      </c>
      <c r="B2964" s="1">
        <v>45648</v>
      </c>
      <c r="C2964" s="2">
        <v>0.41666666666666669</v>
      </c>
      <c r="D2964">
        <v>3</v>
      </c>
      <c r="E2964">
        <v>5.4</v>
      </c>
      <c r="F2964">
        <v>79</v>
      </c>
    </row>
    <row r="2965" spans="1:6" x14ac:dyDescent="0.35">
      <c r="A2965">
        <v>1975</v>
      </c>
      <c r="B2965" s="1">
        <v>45648</v>
      </c>
      <c r="C2965" s="2">
        <v>0.45833333333333331</v>
      </c>
      <c r="D2965">
        <v>3</v>
      </c>
      <c r="E2965">
        <v>5.5</v>
      </c>
      <c r="F2965">
        <v>85</v>
      </c>
    </row>
    <row r="2966" spans="1:6" x14ac:dyDescent="0.35">
      <c r="A2966">
        <v>1975</v>
      </c>
      <c r="B2966" s="1">
        <v>45648</v>
      </c>
      <c r="C2966" s="2">
        <v>0.5</v>
      </c>
      <c r="D2966">
        <v>3</v>
      </c>
      <c r="E2966">
        <v>5.6</v>
      </c>
      <c r="F2966">
        <v>77</v>
      </c>
    </row>
    <row r="2967" spans="1:6" x14ac:dyDescent="0.35">
      <c r="A2967">
        <v>1975</v>
      </c>
      <c r="B2967" s="1">
        <v>45648</v>
      </c>
      <c r="C2967" s="2">
        <v>0.54166666666666663</v>
      </c>
      <c r="D2967">
        <v>3</v>
      </c>
      <c r="E2967">
        <v>5.5</v>
      </c>
      <c r="F2967">
        <v>76</v>
      </c>
    </row>
    <row r="2968" spans="1:6" x14ac:dyDescent="0.35">
      <c r="A2968">
        <v>1975</v>
      </c>
      <c r="B2968" s="1">
        <v>45648</v>
      </c>
      <c r="C2968" s="2">
        <v>0.58333333333333337</v>
      </c>
      <c r="D2968">
        <v>3</v>
      </c>
      <c r="E2968">
        <v>5.0999999999999996</v>
      </c>
      <c r="F2968">
        <v>82</v>
      </c>
    </row>
    <row r="2969" spans="1:6" x14ac:dyDescent="0.35">
      <c r="A2969">
        <v>1975</v>
      </c>
      <c r="B2969" s="1">
        <v>45648</v>
      </c>
      <c r="C2969" s="2">
        <v>0.625</v>
      </c>
      <c r="D2969">
        <v>3</v>
      </c>
      <c r="E2969">
        <v>5.2</v>
      </c>
      <c r="F2969">
        <v>81</v>
      </c>
    </row>
    <row r="2970" spans="1:6" x14ac:dyDescent="0.35">
      <c r="A2970">
        <v>1975</v>
      </c>
      <c r="B2970" s="1">
        <v>45648</v>
      </c>
      <c r="C2970" s="2">
        <v>0.66666666666666663</v>
      </c>
      <c r="D2970">
        <v>3</v>
      </c>
      <c r="E2970">
        <v>3.8</v>
      </c>
      <c r="F2970">
        <v>87</v>
      </c>
    </row>
    <row r="2971" spans="1:6" x14ac:dyDescent="0.35">
      <c r="A2971">
        <v>1975</v>
      </c>
      <c r="B2971" s="1">
        <v>45648</v>
      </c>
      <c r="C2971" s="2">
        <v>0.70833333333333337</v>
      </c>
      <c r="D2971">
        <v>3</v>
      </c>
      <c r="E2971">
        <v>3.6</v>
      </c>
      <c r="F2971">
        <v>93</v>
      </c>
    </row>
    <row r="2972" spans="1:6" x14ac:dyDescent="0.35">
      <c r="A2972">
        <v>1975</v>
      </c>
      <c r="B2972" s="1">
        <v>45648</v>
      </c>
      <c r="C2972" s="2">
        <v>0.75</v>
      </c>
      <c r="D2972">
        <v>3</v>
      </c>
      <c r="E2972">
        <v>3.2</v>
      </c>
      <c r="F2972">
        <v>92</v>
      </c>
    </row>
    <row r="2973" spans="1:6" x14ac:dyDescent="0.35">
      <c r="A2973">
        <v>1975</v>
      </c>
      <c r="B2973" s="1">
        <v>45648</v>
      </c>
      <c r="C2973" s="2">
        <v>0.79166666666666663</v>
      </c>
      <c r="D2973">
        <v>3</v>
      </c>
      <c r="E2973">
        <v>2.9</v>
      </c>
      <c r="F2973">
        <v>93</v>
      </c>
    </row>
    <row r="2974" spans="1:6" x14ac:dyDescent="0.35">
      <c r="A2974">
        <v>1975</v>
      </c>
      <c r="B2974" s="1">
        <v>45648</v>
      </c>
      <c r="C2974" s="2">
        <v>0.83333333333333337</v>
      </c>
      <c r="D2974">
        <v>3</v>
      </c>
      <c r="E2974">
        <v>3.1</v>
      </c>
      <c r="F2974">
        <v>93</v>
      </c>
    </row>
    <row r="2975" spans="1:6" x14ac:dyDescent="0.35">
      <c r="A2975">
        <v>1975</v>
      </c>
      <c r="B2975" s="1">
        <v>45648</v>
      </c>
      <c r="C2975" s="2">
        <v>0.875</v>
      </c>
      <c r="D2975">
        <v>3</v>
      </c>
      <c r="E2975">
        <v>3.2</v>
      </c>
      <c r="F2975">
        <v>93</v>
      </c>
    </row>
    <row r="2976" spans="1:6" x14ac:dyDescent="0.35">
      <c r="A2976">
        <v>1975</v>
      </c>
      <c r="B2976" s="1">
        <v>45648</v>
      </c>
      <c r="C2976" s="2">
        <v>0.91666666666666663</v>
      </c>
      <c r="D2976">
        <v>3</v>
      </c>
      <c r="E2976">
        <v>2.6</v>
      </c>
      <c r="F2976">
        <v>93</v>
      </c>
    </row>
    <row r="2977" spans="1:6" x14ac:dyDescent="0.35">
      <c r="A2977">
        <v>1975</v>
      </c>
      <c r="B2977" s="1">
        <v>45648</v>
      </c>
      <c r="C2977" s="2">
        <v>0.95833333333333337</v>
      </c>
      <c r="D2977">
        <v>3</v>
      </c>
      <c r="E2977">
        <v>2.2999999999999998</v>
      </c>
      <c r="F2977">
        <v>94</v>
      </c>
    </row>
    <row r="2978" spans="1:6" x14ac:dyDescent="0.35">
      <c r="A2978">
        <v>1975</v>
      </c>
      <c r="B2978" s="1">
        <v>45649</v>
      </c>
      <c r="C2978" s="2">
        <v>0</v>
      </c>
      <c r="D2978">
        <v>3</v>
      </c>
      <c r="E2978">
        <v>2.5</v>
      </c>
      <c r="F2978">
        <v>93</v>
      </c>
    </row>
    <row r="2979" spans="1:6" x14ac:dyDescent="0.35">
      <c r="A2979">
        <v>1975</v>
      </c>
      <c r="B2979" s="1">
        <v>45649</v>
      </c>
      <c r="C2979" s="2">
        <v>4.1666666666666657E-2</v>
      </c>
      <c r="D2979">
        <v>3</v>
      </c>
      <c r="E2979">
        <v>1.9</v>
      </c>
      <c r="F2979">
        <v>93</v>
      </c>
    </row>
    <row r="2980" spans="1:6" x14ac:dyDescent="0.35">
      <c r="A2980">
        <v>1975</v>
      </c>
      <c r="B2980" s="1">
        <v>45649</v>
      </c>
      <c r="C2980" s="2">
        <v>8.3333333333333329E-2</v>
      </c>
      <c r="D2980">
        <v>3</v>
      </c>
      <c r="E2980">
        <v>2.6</v>
      </c>
      <c r="F2980">
        <v>91</v>
      </c>
    </row>
    <row r="2981" spans="1:6" x14ac:dyDescent="0.35">
      <c r="A2981">
        <v>1975</v>
      </c>
      <c r="B2981" s="1">
        <v>45649</v>
      </c>
      <c r="C2981" s="2">
        <v>0.125</v>
      </c>
      <c r="D2981">
        <v>3</v>
      </c>
      <c r="E2981">
        <v>3</v>
      </c>
      <c r="F2981">
        <v>91</v>
      </c>
    </row>
    <row r="2982" spans="1:6" x14ac:dyDescent="0.35">
      <c r="A2982">
        <v>1975</v>
      </c>
      <c r="B2982" s="1">
        <v>45649</v>
      </c>
      <c r="C2982" s="2">
        <v>0.16666666666666671</v>
      </c>
      <c r="D2982">
        <v>3</v>
      </c>
      <c r="E2982">
        <v>3.1</v>
      </c>
      <c r="F2982">
        <v>93</v>
      </c>
    </row>
    <row r="2983" spans="1:6" x14ac:dyDescent="0.35">
      <c r="A2983">
        <v>1975</v>
      </c>
      <c r="B2983" s="1">
        <v>45649</v>
      </c>
      <c r="C2983" s="2">
        <v>0.20833333333333329</v>
      </c>
      <c r="D2983">
        <v>3</v>
      </c>
      <c r="E2983">
        <v>3.1</v>
      </c>
      <c r="F2983">
        <v>94</v>
      </c>
    </row>
    <row r="2984" spans="1:6" x14ac:dyDescent="0.35">
      <c r="A2984">
        <v>1975</v>
      </c>
      <c r="B2984" s="1">
        <v>45649</v>
      </c>
      <c r="C2984" s="2">
        <v>0.25</v>
      </c>
      <c r="D2984">
        <v>3</v>
      </c>
      <c r="E2984">
        <v>3</v>
      </c>
      <c r="F2984">
        <v>96</v>
      </c>
    </row>
    <row r="2985" spans="1:6" x14ac:dyDescent="0.35">
      <c r="A2985">
        <v>1975</v>
      </c>
      <c r="B2985" s="1">
        <v>45649</v>
      </c>
      <c r="C2985" s="2">
        <v>0.29166666666666669</v>
      </c>
      <c r="D2985">
        <v>3</v>
      </c>
      <c r="E2985">
        <v>3.9</v>
      </c>
      <c r="F2985">
        <v>94</v>
      </c>
    </row>
    <row r="2986" spans="1:6" x14ac:dyDescent="0.35">
      <c r="A2986">
        <v>1975</v>
      </c>
      <c r="B2986" s="1">
        <v>45649</v>
      </c>
      <c r="C2986" s="2">
        <v>0.33333333333333331</v>
      </c>
      <c r="D2986">
        <v>3</v>
      </c>
      <c r="E2986">
        <v>5</v>
      </c>
      <c r="F2986">
        <v>90</v>
      </c>
    </row>
    <row r="2987" spans="1:6" x14ac:dyDescent="0.35">
      <c r="A2987">
        <v>1975</v>
      </c>
      <c r="B2987" s="1">
        <v>45649</v>
      </c>
      <c r="C2987" s="2">
        <v>0.375</v>
      </c>
      <c r="D2987">
        <v>3</v>
      </c>
      <c r="E2987">
        <v>6.6</v>
      </c>
      <c r="F2987">
        <v>77</v>
      </c>
    </row>
    <row r="2988" spans="1:6" x14ac:dyDescent="0.35">
      <c r="A2988">
        <v>1975</v>
      </c>
      <c r="B2988" s="1">
        <v>45649</v>
      </c>
      <c r="C2988" s="2">
        <v>0.41666666666666669</v>
      </c>
      <c r="D2988">
        <v>3</v>
      </c>
      <c r="E2988">
        <v>7</v>
      </c>
      <c r="F2988">
        <v>74</v>
      </c>
    </row>
    <row r="2989" spans="1:6" x14ac:dyDescent="0.35">
      <c r="A2989">
        <v>1975</v>
      </c>
      <c r="B2989" s="1">
        <v>45649</v>
      </c>
      <c r="C2989" s="2">
        <v>0.45833333333333331</v>
      </c>
      <c r="D2989">
        <v>3</v>
      </c>
      <c r="E2989">
        <v>7</v>
      </c>
      <c r="F2989">
        <v>74</v>
      </c>
    </row>
    <row r="2990" spans="1:6" x14ac:dyDescent="0.35">
      <c r="A2990">
        <v>1975</v>
      </c>
      <c r="B2990" s="1">
        <v>45649</v>
      </c>
      <c r="C2990" s="2">
        <v>0.5</v>
      </c>
      <c r="D2990">
        <v>3</v>
      </c>
      <c r="E2990">
        <v>7.2</v>
      </c>
      <c r="F2990">
        <v>71</v>
      </c>
    </row>
    <row r="2991" spans="1:6" x14ac:dyDescent="0.35">
      <c r="A2991">
        <v>1975</v>
      </c>
      <c r="B2991" s="1">
        <v>45649</v>
      </c>
      <c r="C2991" s="2">
        <v>0.54166666666666663</v>
      </c>
      <c r="D2991">
        <v>3</v>
      </c>
      <c r="E2991">
        <v>7.2</v>
      </c>
      <c r="F2991">
        <v>70</v>
      </c>
    </row>
    <row r="2992" spans="1:6" x14ac:dyDescent="0.35">
      <c r="A2992">
        <v>1975</v>
      </c>
      <c r="B2992" s="1">
        <v>45649</v>
      </c>
      <c r="C2992" s="2">
        <v>0.58333333333333337</v>
      </c>
      <c r="D2992">
        <v>3</v>
      </c>
      <c r="E2992">
        <v>6.9</v>
      </c>
      <c r="F2992">
        <v>70</v>
      </c>
    </row>
    <row r="2993" spans="1:6" x14ac:dyDescent="0.35">
      <c r="A2993">
        <v>1975</v>
      </c>
      <c r="B2993" s="1">
        <v>45649</v>
      </c>
      <c r="C2993" s="2">
        <v>0.625</v>
      </c>
      <c r="D2993">
        <v>3</v>
      </c>
      <c r="E2993">
        <v>6.1</v>
      </c>
      <c r="F2993">
        <v>71</v>
      </c>
    </row>
    <row r="2994" spans="1:6" x14ac:dyDescent="0.35">
      <c r="A2994">
        <v>1975</v>
      </c>
      <c r="B2994" s="1">
        <v>45649</v>
      </c>
      <c r="C2994" s="2">
        <v>0.66666666666666663</v>
      </c>
      <c r="D2994">
        <v>3</v>
      </c>
      <c r="E2994">
        <v>5.5</v>
      </c>
      <c r="F2994">
        <v>75</v>
      </c>
    </row>
    <row r="2995" spans="1:6" x14ac:dyDescent="0.35">
      <c r="A2995">
        <v>1975</v>
      </c>
      <c r="B2995" s="1">
        <v>45649</v>
      </c>
      <c r="C2995" s="2">
        <v>0.70833333333333337</v>
      </c>
      <c r="D2995">
        <v>3</v>
      </c>
      <c r="E2995">
        <v>4.8</v>
      </c>
      <c r="F2995">
        <v>79</v>
      </c>
    </row>
    <row r="2996" spans="1:6" x14ac:dyDescent="0.35">
      <c r="A2996">
        <v>1975</v>
      </c>
      <c r="B2996" s="1">
        <v>45649</v>
      </c>
      <c r="C2996" s="2">
        <v>0.75</v>
      </c>
      <c r="D2996">
        <v>3</v>
      </c>
      <c r="E2996">
        <v>4.4000000000000004</v>
      </c>
      <c r="F2996">
        <v>77</v>
      </c>
    </row>
    <row r="2997" spans="1:6" x14ac:dyDescent="0.35">
      <c r="A2997">
        <v>1975</v>
      </c>
      <c r="B2997" s="1">
        <v>45649</v>
      </c>
      <c r="C2997" s="2">
        <v>0.79166666666666663</v>
      </c>
      <c r="D2997">
        <v>3</v>
      </c>
      <c r="E2997">
        <v>4.0999999999999996</v>
      </c>
      <c r="F2997">
        <v>74</v>
      </c>
    </row>
    <row r="2998" spans="1:6" x14ac:dyDescent="0.35">
      <c r="A2998">
        <v>1975</v>
      </c>
      <c r="B2998" s="1">
        <v>45649</v>
      </c>
      <c r="C2998" s="2">
        <v>0.83333333333333337</v>
      </c>
      <c r="D2998">
        <v>3</v>
      </c>
      <c r="E2998">
        <v>4.0999999999999996</v>
      </c>
      <c r="F2998">
        <v>72</v>
      </c>
    </row>
    <row r="2999" spans="1:6" x14ac:dyDescent="0.35">
      <c r="A2999">
        <v>1975</v>
      </c>
      <c r="B2999" s="1">
        <v>45649</v>
      </c>
      <c r="C2999" s="2">
        <v>0.875</v>
      </c>
      <c r="D2999">
        <v>3</v>
      </c>
      <c r="E2999">
        <v>3.1</v>
      </c>
      <c r="F2999">
        <v>79</v>
      </c>
    </row>
    <row r="3000" spans="1:6" x14ac:dyDescent="0.35">
      <c r="A3000">
        <v>1975</v>
      </c>
      <c r="B3000" s="1">
        <v>45649</v>
      </c>
      <c r="C3000" s="2">
        <v>0.91666666666666663</v>
      </c>
      <c r="D3000">
        <v>3</v>
      </c>
      <c r="E3000">
        <v>2.4</v>
      </c>
      <c r="F3000">
        <v>82</v>
      </c>
    </row>
    <row r="3001" spans="1:6" x14ac:dyDescent="0.35">
      <c r="A3001">
        <v>1975</v>
      </c>
      <c r="B3001" s="1">
        <v>45649</v>
      </c>
      <c r="C3001" s="2">
        <v>0.95833333333333337</v>
      </c>
      <c r="D3001">
        <v>3</v>
      </c>
      <c r="E3001">
        <v>2.2000000000000002</v>
      </c>
      <c r="F3001">
        <v>82</v>
      </c>
    </row>
    <row r="3002" spans="1:6" x14ac:dyDescent="0.35">
      <c r="A3002">
        <v>1975</v>
      </c>
      <c r="B3002" s="1">
        <v>45650</v>
      </c>
      <c r="C3002" s="2">
        <v>0</v>
      </c>
      <c r="D3002">
        <v>3</v>
      </c>
      <c r="E3002">
        <v>1.9</v>
      </c>
      <c r="F3002">
        <v>83</v>
      </c>
    </row>
    <row r="3003" spans="1:6" x14ac:dyDescent="0.35">
      <c r="A3003">
        <v>1975</v>
      </c>
      <c r="B3003" s="1">
        <v>45650</v>
      </c>
      <c r="C3003" s="2">
        <v>4.1666666666666657E-2</v>
      </c>
      <c r="D3003">
        <v>3</v>
      </c>
      <c r="E3003">
        <v>1.6</v>
      </c>
      <c r="F3003">
        <v>85</v>
      </c>
    </row>
    <row r="3004" spans="1:6" x14ac:dyDescent="0.35">
      <c r="A3004">
        <v>1975</v>
      </c>
      <c r="B3004" s="1">
        <v>45650</v>
      </c>
      <c r="C3004" s="2">
        <v>8.3333333333333329E-2</v>
      </c>
      <c r="D3004">
        <v>3</v>
      </c>
      <c r="E3004">
        <v>-0.7</v>
      </c>
      <c r="F3004">
        <v>90</v>
      </c>
    </row>
    <row r="3005" spans="1:6" x14ac:dyDescent="0.35">
      <c r="A3005">
        <v>1975</v>
      </c>
      <c r="B3005" s="1">
        <v>45650</v>
      </c>
      <c r="C3005" s="2">
        <v>0.125</v>
      </c>
      <c r="D3005">
        <v>3</v>
      </c>
      <c r="E3005">
        <v>-1.3</v>
      </c>
      <c r="F3005">
        <v>96</v>
      </c>
    </row>
    <row r="3006" spans="1:6" x14ac:dyDescent="0.35">
      <c r="A3006">
        <v>1975</v>
      </c>
      <c r="B3006" s="1">
        <v>45650</v>
      </c>
      <c r="C3006" s="2">
        <v>0.16666666666666671</v>
      </c>
      <c r="D3006">
        <v>3</v>
      </c>
      <c r="E3006">
        <v>-1.9</v>
      </c>
      <c r="F3006">
        <v>98</v>
      </c>
    </row>
    <row r="3007" spans="1:6" x14ac:dyDescent="0.35">
      <c r="A3007">
        <v>1975</v>
      </c>
      <c r="B3007" s="1">
        <v>45650</v>
      </c>
      <c r="C3007" s="2">
        <v>0.20833333333333329</v>
      </c>
      <c r="D3007">
        <v>3</v>
      </c>
      <c r="E3007">
        <v>-2.6</v>
      </c>
      <c r="F3007">
        <v>96</v>
      </c>
    </row>
    <row r="3008" spans="1:6" x14ac:dyDescent="0.35">
      <c r="A3008">
        <v>1975</v>
      </c>
      <c r="B3008" s="1">
        <v>45650</v>
      </c>
      <c r="C3008" s="2">
        <v>0.25</v>
      </c>
      <c r="D3008">
        <v>3</v>
      </c>
      <c r="E3008">
        <v>-1.2</v>
      </c>
      <c r="F3008">
        <v>99</v>
      </c>
    </row>
    <row r="3009" spans="1:6" x14ac:dyDescent="0.35">
      <c r="A3009">
        <v>1975</v>
      </c>
      <c r="B3009" s="1">
        <v>45650</v>
      </c>
      <c r="C3009" s="2">
        <v>0.29166666666666669</v>
      </c>
      <c r="D3009">
        <v>3</v>
      </c>
      <c r="E3009">
        <v>-1.5</v>
      </c>
      <c r="F3009">
        <v>99</v>
      </c>
    </row>
    <row r="3010" spans="1:6" x14ac:dyDescent="0.35">
      <c r="A3010">
        <v>1975</v>
      </c>
      <c r="B3010" s="1">
        <v>45650</v>
      </c>
      <c r="C3010" s="2">
        <v>0.33333333333333331</v>
      </c>
      <c r="D3010">
        <v>3</v>
      </c>
      <c r="E3010">
        <v>-0.2</v>
      </c>
      <c r="F3010">
        <v>100</v>
      </c>
    </row>
    <row r="3011" spans="1:6" x14ac:dyDescent="0.35">
      <c r="A3011">
        <v>1975</v>
      </c>
      <c r="B3011" s="1">
        <v>45650</v>
      </c>
      <c r="C3011" s="2">
        <v>0.375</v>
      </c>
      <c r="D3011">
        <v>3</v>
      </c>
      <c r="E3011">
        <v>0.4</v>
      </c>
      <c r="F3011">
        <v>97</v>
      </c>
    </row>
    <row r="3012" spans="1:6" x14ac:dyDescent="0.35">
      <c r="A3012">
        <v>1975</v>
      </c>
      <c r="B3012" s="1">
        <v>45650</v>
      </c>
      <c r="C3012" s="2">
        <v>0.41666666666666669</v>
      </c>
      <c r="D3012">
        <v>3</v>
      </c>
      <c r="E3012">
        <v>2.5</v>
      </c>
      <c r="F3012">
        <v>93</v>
      </c>
    </row>
    <row r="3013" spans="1:6" x14ac:dyDescent="0.35">
      <c r="A3013">
        <v>1975</v>
      </c>
      <c r="B3013" s="1">
        <v>45650</v>
      </c>
      <c r="C3013" s="2">
        <v>0.45833333333333331</v>
      </c>
      <c r="D3013">
        <v>3</v>
      </c>
      <c r="E3013">
        <v>4.4000000000000004</v>
      </c>
      <c r="F3013">
        <v>84</v>
      </c>
    </row>
    <row r="3014" spans="1:6" x14ac:dyDescent="0.35">
      <c r="A3014">
        <v>1975</v>
      </c>
      <c r="B3014" s="1">
        <v>45650</v>
      </c>
      <c r="C3014" s="2">
        <v>0.5</v>
      </c>
      <c r="D3014">
        <v>3</v>
      </c>
      <c r="E3014">
        <v>5.0999999999999996</v>
      </c>
      <c r="F3014">
        <v>84</v>
      </c>
    </row>
    <row r="3015" spans="1:6" x14ac:dyDescent="0.35">
      <c r="A3015">
        <v>1975</v>
      </c>
      <c r="B3015" s="1">
        <v>45650</v>
      </c>
      <c r="C3015" s="2">
        <v>0.54166666666666663</v>
      </c>
      <c r="D3015">
        <v>3</v>
      </c>
      <c r="E3015">
        <v>5.3</v>
      </c>
      <c r="F3015">
        <v>84</v>
      </c>
    </row>
    <row r="3016" spans="1:6" x14ac:dyDescent="0.35">
      <c r="A3016">
        <v>1975</v>
      </c>
      <c r="B3016" s="1">
        <v>45650</v>
      </c>
      <c r="C3016" s="2">
        <v>0.58333333333333337</v>
      </c>
      <c r="D3016">
        <v>3</v>
      </c>
      <c r="E3016">
        <v>5.0999999999999996</v>
      </c>
      <c r="F3016">
        <v>89</v>
      </c>
    </row>
    <row r="3017" spans="1:6" x14ac:dyDescent="0.35">
      <c r="A3017">
        <v>1975</v>
      </c>
      <c r="B3017" s="1">
        <v>45650</v>
      </c>
      <c r="C3017" s="2">
        <v>0.625</v>
      </c>
      <c r="D3017">
        <v>3</v>
      </c>
      <c r="E3017">
        <v>5.3</v>
      </c>
      <c r="F3017">
        <v>87</v>
      </c>
    </row>
    <row r="3018" spans="1:6" x14ac:dyDescent="0.35">
      <c r="A3018">
        <v>1975</v>
      </c>
      <c r="B3018" s="1">
        <v>45650</v>
      </c>
      <c r="C3018" s="2">
        <v>0.66666666666666663</v>
      </c>
      <c r="D3018">
        <v>3</v>
      </c>
      <c r="E3018">
        <v>5.4</v>
      </c>
      <c r="F3018">
        <v>85</v>
      </c>
    </row>
    <row r="3019" spans="1:6" x14ac:dyDescent="0.35">
      <c r="A3019">
        <v>1975</v>
      </c>
      <c r="B3019" s="1">
        <v>45650</v>
      </c>
      <c r="C3019" s="2">
        <v>0.70833333333333337</v>
      </c>
      <c r="D3019">
        <v>3</v>
      </c>
      <c r="E3019">
        <v>5.5</v>
      </c>
      <c r="F3019">
        <v>84</v>
      </c>
    </row>
    <row r="3020" spans="1:6" x14ac:dyDescent="0.35">
      <c r="A3020">
        <v>1975</v>
      </c>
      <c r="B3020" s="1">
        <v>45650</v>
      </c>
      <c r="C3020" s="2">
        <v>0.75</v>
      </c>
      <c r="D3020">
        <v>3</v>
      </c>
      <c r="E3020">
        <v>5.5</v>
      </c>
      <c r="F3020">
        <v>83</v>
      </c>
    </row>
    <row r="3021" spans="1:6" x14ac:dyDescent="0.35">
      <c r="A3021">
        <v>1975</v>
      </c>
      <c r="B3021" s="1">
        <v>45650</v>
      </c>
      <c r="C3021" s="2">
        <v>0.79166666666666663</v>
      </c>
      <c r="D3021">
        <v>3</v>
      </c>
      <c r="E3021">
        <v>5.3</v>
      </c>
      <c r="F3021">
        <v>86</v>
      </c>
    </row>
    <row r="3022" spans="1:6" x14ac:dyDescent="0.35">
      <c r="A3022">
        <v>1975</v>
      </c>
      <c r="B3022" s="1">
        <v>45650</v>
      </c>
      <c r="C3022" s="2">
        <v>0.83333333333333337</v>
      </c>
      <c r="D3022">
        <v>3</v>
      </c>
      <c r="E3022">
        <v>5.0999999999999996</v>
      </c>
      <c r="F3022">
        <v>88</v>
      </c>
    </row>
    <row r="3023" spans="1:6" x14ac:dyDescent="0.35">
      <c r="A3023">
        <v>1975</v>
      </c>
      <c r="B3023" s="1">
        <v>45650</v>
      </c>
      <c r="C3023" s="2">
        <v>0.875</v>
      </c>
      <c r="D3023">
        <v>3</v>
      </c>
      <c r="E3023">
        <v>5.2</v>
      </c>
      <c r="F3023">
        <v>89</v>
      </c>
    </row>
    <row r="3024" spans="1:6" x14ac:dyDescent="0.35">
      <c r="A3024">
        <v>1975</v>
      </c>
      <c r="B3024" s="1">
        <v>45650</v>
      </c>
      <c r="C3024" s="2">
        <v>0.91666666666666663</v>
      </c>
      <c r="D3024">
        <v>3</v>
      </c>
      <c r="E3024">
        <v>5.3</v>
      </c>
      <c r="F3024">
        <v>89</v>
      </c>
    </row>
    <row r="3025" spans="1:6" x14ac:dyDescent="0.35">
      <c r="A3025">
        <v>1975</v>
      </c>
      <c r="B3025" s="1">
        <v>45650</v>
      </c>
      <c r="C3025" s="2">
        <v>0.95833333333333337</v>
      </c>
      <c r="D3025">
        <v>3</v>
      </c>
      <c r="E3025">
        <v>5</v>
      </c>
      <c r="F3025">
        <v>95</v>
      </c>
    </row>
    <row r="3026" spans="1:6" x14ac:dyDescent="0.35">
      <c r="A3026">
        <v>1975</v>
      </c>
      <c r="B3026" s="1">
        <v>45651</v>
      </c>
      <c r="C3026" s="2">
        <v>0</v>
      </c>
      <c r="D3026">
        <v>3</v>
      </c>
      <c r="E3026">
        <v>5</v>
      </c>
      <c r="F3026">
        <v>98</v>
      </c>
    </row>
    <row r="3027" spans="1:6" x14ac:dyDescent="0.35">
      <c r="A3027">
        <v>1975</v>
      </c>
      <c r="B3027" s="1">
        <v>45651</v>
      </c>
      <c r="C3027" s="2">
        <v>4.1666666666666657E-2</v>
      </c>
      <c r="D3027">
        <v>3</v>
      </c>
      <c r="E3027">
        <v>4.9000000000000004</v>
      </c>
      <c r="F3027">
        <v>99</v>
      </c>
    </row>
    <row r="3028" spans="1:6" x14ac:dyDescent="0.35">
      <c r="A3028">
        <v>1975</v>
      </c>
      <c r="B3028" s="1">
        <v>45651</v>
      </c>
      <c r="C3028" s="2">
        <v>8.3333333333333329E-2</v>
      </c>
      <c r="D3028">
        <v>3</v>
      </c>
      <c r="E3028">
        <v>5.0999999999999996</v>
      </c>
      <c r="F3028">
        <v>99</v>
      </c>
    </row>
    <row r="3029" spans="1:6" x14ac:dyDescent="0.35">
      <c r="A3029">
        <v>1975</v>
      </c>
      <c r="B3029" s="1">
        <v>45651</v>
      </c>
      <c r="C3029" s="2">
        <v>0.125</v>
      </c>
      <c r="D3029">
        <v>3</v>
      </c>
      <c r="E3029">
        <v>5</v>
      </c>
      <c r="F3029">
        <v>100</v>
      </c>
    </row>
    <row r="3030" spans="1:6" x14ac:dyDescent="0.35">
      <c r="A3030">
        <v>1975</v>
      </c>
      <c r="B3030" s="1">
        <v>45651</v>
      </c>
      <c r="C3030" s="2">
        <v>0.16666666666666671</v>
      </c>
      <c r="D3030">
        <v>3</v>
      </c>
      <c r="E3030">
        <v>5.2</v>
      </c>
      <c r="F3030">
        <v>99</v>
      </c>
    </row>
    <row r="3031" spans="1:6" x14ac:dyDescent="0.35">
      <c r="A3031">
        <v>1975</v>
      </c>
      <c r="B3031" s="1">
        <v>45651</v>
      </c>
      <c r="C3031" s="2">
        <v>0.20833333333333329</v>
      </c>
      <c r="D3031">
        <v>3</v>
      </c>
      <c r="E3031">
        <v>5.4</v>
      </c>
      <c r="F3031">
        <v>100</v>
      </c>
    </row>
    <row r="3032" spans="1:6" x14ac:dyDescent="0.35">
      <c r="A3032">
        <v>1975</v>
      </c>
      <c r="B3032" s="1">
        <v>45651</v>
      </c>
      <c r="C3032" s="2">
        <v>0.25</v>
      </c>
      <c r="D3032">
        <v>3</v>
      </c>
      <c r="E3032">
        <v>5.5</v>
      </c>
      <c r="F3032">
        <v>100</v>
      </c>
    </row>
    <row r="3033" spans="1:6" x14ac:dyDescent="0.35">
      <c r="A3033">
        <v>1975</v>
      </c>
      <c r="B3033" s="1">
        <v>45651</v>
      </c>
      <c r="C3033" s="2">
        <v>0.29166666666666669</v>
      </c>
      <c r="D3033">
        <v>3</v>
      </c>
      <c r="E3033">
        <v>5.6</v>
      </c>
      <c r="F3033">
        <v>100</v>
      </c>
    </row>
    <row r="3034" spans="1:6" x14ac:dyDescent="0.35">
      <c r="A3034">
        <v>1975</v>
      </c>
      <c r="B3034" s="1">
        <v>45651</v>
      </c>
      <c r="C3034" s="2">
        <v>0.33333333333333331</v>
      </c>
      <c r="D3034">
        <v>3</v>
      </c>
      <c r="E3034">
        <v>5.8</v>
      </c>
      <c r="F3034">
        <v>100</v>
      </c>
    </row>
    <row r="3035" spans="1:6" x14ac:dyDescent="0.35">
      <c r="A3035">
        <v>1975</v>
      </c>
      <c r="B3035" s="1">
        <v>45651</v>
      </c>
      <c r="C3035" s="2">
        <v>0.375</v>
      </c>
      <c r="D3035">
        <v>3</v>
      </c>
      <c r="E3035">
        <v>6.1</v>
      </c>
      <c r="F3035">
        <v>100</v>
      </c>
    </row>
    <row r="3036" spans="1:6" x14ac:dyDescent="0.35">
      <c r="A3036">
        <v>1975</v>
      </c>
      <c r="B3036" s="1">
        <v>45651</v>
      </c>
      <c r="C3036" s="2">
        <v>0.41666666666666669</v>
      </c>
      <c r="D3036">
        <v>3</v>
      </c>
      <c r="E3036">
        <v>6.5</v>
      </c>
      <c r="F3036">
        <v>100</v>
      </c>
    </row>
    <row r="3037" spans="1:6" x14ac:dyDescent="0.35">
      <c r="A3037">
        <v>1975</v>
      </c>
      <c r="B3037" s="1">
        <v>45651</v>
      </c>
      <c r="C3037" s="2">
        <v>0.45833333333333331</v>
      </c>
      <c r="D3037">
        <v>3</v>
      </c>
      <c r="E3037">
        <v>7</v>
      </c>
      <c r="F3037">
        <v>100</v>
      </c>
    </row>
    <row r="3038" spans="1:6" x14ac:dyDescent="0.35">
      <c r="A3038">
        <v>1975</v>
      </c>
      <c r="B3038" s="1">
        <v>45651</v>
      </c>
      <c r="C3038" s="2">
        <v>0.5</v>
      </c>
      <c r="D3038">
        <v>3</v>
      </c>
      <c r="E3038">
        <v>7.3</v>
      </c>
      <c r="F3038">
        <v>100</v>
      </c>
    </row>
    <row r="3039" spans="1:6" x14ac:dyDescent="0.35">
      <c r="A3039">
        <v>1975</v>
      </c>
      <c r="B3039" s="1">
        <v>45651</v>
      </c>
      <c r="C3039" s="2">
        <v>0.54166666666666663</v>
      </c>
      <c r="D3039">
        <v>3</v>
      </c>
      <c r="E3039">
        <v>7.6</v>
      </c>
      <c r="F3039">
        <v>100</v>
      </c>
    </row>
    <row r="3040" spans="1:6" x14ac:dyDescent="0.35">
      <c r="A3040">
        <v>1975</v>
      </c>
      <c r="B3040" s="1">
        <v>45651</v>
      </c>
      <c r="C3040" s="2">
        <v>0.58333333333333337</v>
      </c>
      <c r="D3040">
        <v>3</v>
      </c>
      <c r="E3040">
        <v>7.7</v>
      </c>
      <c r="F3040">
        <v>100</v>
      </c>
    </row>
    <row r="3041" spans="1:6" x14ac:dyDescent="0.35">
      <c r="A3041">
        <v>1975</v>
      </c>
      <c r="B3041" s="1">
        <v>45651</v>
      </c>
      <c r="C3041" s="2">
        <v>0.625</v>
      </c>
      <c r="D3041">
        <v>3</v>
      </c>
      <c r="E3041">
        <v>7.6</v>
      </c>
      <c r="F3041">
        <v>100</v>
      </c>
    </row>
    <row r="3042" spans="1:6" x14ac:dyDescent="0.35">
      <c r="A3042">
        <v>1975</v>
      </c>
      <c r="B3042" s="1">
        <v>45651</v>
      </c>
      <c r="C3042" s="2">
        <v>0.66666666666666663</v>
      </c>
      <c r="D3042">
        <v>3</v>
      </c>
      <c r="E3042">
        <v>7.7</v>
      </c>
      <c r="F3042">
        <v>100</v>
      </c>
    </row>
    <row r="3043" spans="1:6" x14ac:dyDescent="0.35">
      <c r="A3043">
        <v>1975</v>
      </c>
      <c r="B3043" s="1">
        <v>45651</v>
      </c>
      <c r="C3043" s="2">
        <v>0.70833333333333337</v>
      </c>
      <c r="D3043">
        <v>3</v>
      </c>
      <c r="E3043">
        <v>7.8</v>
      </c>
      <c r="F3043">
        <v>100</v>
      </c>
    </row>
    <row r="3044" spans="1:6" x14ac:dyDescent="0.35">
      <c r="A3044">
        <v>1975</v>
      </c>
      <c r="B3044" s="1">
        <v>45651</v>
      </c>
      <c r="C3044" s="2">
        <v>0.75</v>
      </c>
      <c r="D3044">
        <v>3</v>
      </c>
      <c r="E3044">
        <v>7.9</v>
      </c>
      <c r="F3044">
        <v>100</v>
      </c>
    </row>
    <row r="3045" spans="1:6" x14ac:dyDescent="0.35">
      <c r="A3045">
        <v>1975</v>
      </c>
      <c r="B3045" s="1">
        <v>45651</v>
      </c>
      <c r="C3045" s="2">
        <v>0.79166666666666663</v>
      </c>
      <c r="D3045">
        <v>3</v>
      </c>
      <c r="E3045">
        <v>8.1</v>
      </c>
      <c r="F3045">
        <v>100</v>
      </c>
    </row>
    <row r="3046" spans="1:6" x14ac:dyDescent="0.35">
      <c r="A3046">
        <v>1975</v>
      </c>
      <c r="B3046" s="1">
        <v>45651</v>
      </c>
      <c r="C3046" s="2">
        <v>0.83333333333333337</v>
      </c>
      <c r="D3046">
        <v>3</v>
      </c>
      <c r="E3046">
        <v>7.9</v>
      </c>
      <c r="F3046">
        <v>100</v>
      </c>
    </row>
    <row r="3047" spans="1:6" x14ac:dyDescent="0.35">
      <c r="A3047">
        <v>1975</v>
      </c>
      <c r="B3047" s="1">
        <v>45651</v>
      </c>
      <c r="C3047" s="2">
        <v>0.875</v>
      </c>
      <c r="D3047">
        <v>3</v>
      </c>
      <c r="E3047">
        <v>7.9</v>
      </c>
      <c r="F3047">
        <v>100</v>
      </c>
    </row>
    <row r="3048" spans="1:6" x14ac:dyDescent="0.35">
      <c r="A3048">
        <v>1975</v>
      </c>
      <c r="B3048" s="1">
        <v>45651</v>
      </c>
      <c r="C3048" s="2">
        <v>0.91666666666666663</v>
      </c>
      <c r="D3048">
        <v>3</v>
      </c>
      <c r="E3048">
        <v>7.9</v>
      </c>
      <c r="F3048">
        <v>100</v>
      </c>
    </row>
    <row r="3049" spans="1:6" x14ac:dyDescent="0.35">
      <c r="A3049">
        <v>1975</v>
      </c>
      <c r="B3049" s="1">
        <v>45651</v>
      </c>
      <c r="C3049" s="2">
        <v>0.95833333333333337</v>
      </c>
      <c r="D3049">
        <v>3</v>
      </c>
      <c r="E3049">
        <v>7.9</v>
      </c>
      <c r="F3049">
        <v>100</v>
      </c>
    </row>
    <row r="3050" spans="1:6" x14ac:dyDescent="0.35">
      <c r="A3050">
        <v>1975</v>
      </c>
      <c r="B3050" s="1">
        <v>45652</v>
      </c>
      <c r="C3050" s="2">
        <v>0</v>
      </c>
      <c r="D3050">
        <v>3</v>
      </c>
      <c r="E3050">
        <v>7.9</v>
      </c>
      <c r="F3050">
        <v>100</v>
      </c>
    </row>
    <row r="3051" spans="1:6" x14ac:dyDescent="0.35">
      <c r="A3051">
        <v>1975</v>
      </c>
      <c r="B3051" s="1">
        <v>45652</v>
      </c>
      <c r="C3051" s="2">
        <v>4.1666666666666657E-2</v>
      </c>
      <c r="D3051">
        <v>3</v>
      </c>
      <c r="E3051">
        <v>7.7</v>
      </c>
      <c r="F3051">
        <v>100</v>
      </c>
    </row>
    <row r="3052" spans="1:6" x14ac:dyDescent="0.35">
      <c r="A3052">
        <v>1975</v>
      </c>
      <c r="B3052" s="1">
        <v>45652</v>
      </c>
      <c r="C3052" s="2">
        <v>8.3333333333333329E-2</v>
      </c>
      <c r="D3052">
        <v>3</v>
      </c>
      <c r="E3052">
        <v>7.7</v>
      </c>
      <c r="F3052">
        <v>99</v>
      </c>
    </row>
    <row r="3053" spans="1:6" x14ac:dyDescent="0.35">
      <c r="A3053">
        <v>1975</v>
      </c>
      <c r="B3053" s="1">
        <v>45652</v>
      </c>
      <c r="C3053" s="2">
        <v>0.125</v>
      </c>
      <c r="D3053">
        <v>3</v>
      </c>
      <c r="E3053">
        <v>7.5</v>
      </c>
      <c r="F3053">
        <v>100</v>
      </c>
    </row>
    <row r="3054" spans="1:6" x14ac:dyDescent="0.35">
      <c r="A3054">
        <v>1975</v>
      </c>
      <c r="B3054" s="1">
        <v>45652</v>
      </c>
      <c r="C3054" s="2">
        <v>0.16666666666666671</v>
      </c>
      <c r="D3054">
        <v>3</v>
      </c>
      <c r="E3054">
        <v>7.5</v>
      </c>
      <c r="F3054">
        <v>99</v>
      </c>
    </row>
    <row r="3055" spans="1:6" x14ac:dyDescent="0.35">
      <c r="A3055">
        <v>1975</v>
      </c>
      <c r="B3055" s="1">
        <v>45652</v>
      </c>
      <c r="C3055" s="2">
        <v>0.20833333333333329</v>
      </c>
      <c r="D3055">
        <v>3</v>
      </c>
      <c r="E3055">
        <v>7.4</v>
      </c>
      <c r="F3055">
        <v>100</v>
      </c>
    </row>
    <row r="3056" spans="1:6" x14ac:dyDescent="0.35">
      <c r="A3056">
        <v>1975</v>
      </c>
      <c r="B3056" s="1">
        <v>45652</v>
      </c>
      <c r="C3056" s="2">
        <v>0.25</v>
      </c>
      <c r="D3056">
        <v>3</v>
      </c>
      <c r="E3056">
        <v>7.2</v>
      </c>
      <c r="F3056">
        <v>99</v>
      </c>
    </row>
    <row r="3057" spans="1:6" x14ac:dyDescent="0.35">
      <c r="A3057">
        <v>1975</v>
      </c>
      <c r="B3057" s="1">
        <v>45652</v>
      </c>
      <c r="C3057" s="2">
        <v>0.29166666666666669</v>
      </c>
      <c r="D3057">
        <v>3</v>
      </c>
      <c r="E3057">
        <v>7.2</v>
      </c>
      <c r="F3057">
        <v>98</v>
      </c>
    </row>
    <row r="3058" spans="1:6" x14ac:dyDescent="0.35">
      <c r="A3058">
        <v>1975</v>
      </c>
      <c r="B3058" s="1">
        <v>45652</v>
      </c>
      <c r="C3058" s="2">
        <v>0.33333333333333331</v>
      </c>
      <c r="D3058">
        <v>3</v>
      </c>
      <c r="E3058">
        <v>7.1</v>
      </c>
      <c r="F3058">
        <v>99</v>
      </c>
    </row>
    <row r="3059" spans="1:6" x14ac:dyDescent="0.35">
      <c r="A3059">
        <v>1975</v>
      </c>
      <c r="B3059" s="1">
        <v>45652</v>
      </c>
      <c r="C3059" s="2">
        <v>0.375</v>
      </c>
      <c r="D3059">
        <v>3</v>
      </c>
      <c r="E3059">
        <v>7.1</v>
      </c>
      <c r="F3059">
        <v>99</v>
      </c>
    </row>
    <row r="3060" spans="1:6" x14ac:dyDescent="0.35">
      <c r="A3060">
        <v>1975</v>
      </c>
      <c r="B3060" s="1">
        <v>45652</v>
      </c>
      <c r="C3060" s="2">
        <v>0.41666666666666669</v>
      </c>
      <c r="D3060">
        <v>3</v>
      </c>
      <c r="E3060">
        <v>7.1</v>
      </c>
      <c r="F3060">
        <v>97</v>
      </c>
    </row>
    <row r="3061" spans="1:6" x14ac:dyDescent="0.35">
      <c r="A3061">
        <v>1975</v>
      </c>
      <c r="B3061" s="1">
        <v>45652</v>
      </c>
      <c r="C3061" s="2">
        <v>0.45833333333333331</v>
      </c>
      <c r="D3061">
        <v>3</v>
      </c>
      <c r="E3061">
        <v>7.2</v>
      </c>
      <c r="F3061">
        <v>99</v>
      </c>
    </row>
    <row r="3062" spans="1:6" x14ac:dyDescent="0.35">
      <c r="A3062">
        <v>1975</v>
      </c>
      <c r="B3062" s="1">
        <v>45652</v>
      </c>
      <c r="C3062" s="2">
        <v>0.5</v>
      </c>
      <c r="D3062">
        <v>3</v>
      </c>
      <c r="E3062">
        <v>7.3</v>
      </c>
      <c r="F3062">
        <v>98</v>
      </c>
    </row>
    <row r="3063" spans="1:6" x14ac:dyDescent="0.35">
      <c r="A3063">
        <v>1975</v>
      </c>
      <c r="B3063" s="1">
        <v>45652</v>
      </c>
      <c r="C3063" s="2">
        <v>0.54166666666666663</v>
      </c>
      <c r="D3063">
        <v>3</v>
      </c>
      <c r="E3063">
        <v>7.3</v>
      </c>
      <c r="F3063">
        <v>98</v>
      </c>
    </row>
    <row r="3064" spans="1:6" x14ac:dyDescent="0.35">
      <c r="A3064">
        <v>1975</v>
      </c>
      <c r="B3064" s="1">
        <v>45652</v>
      </c>
      <c r="C3064" s="2">
        <v>0.58333333333333337</v>
      </c>
      <c r="D3064">
        <v>3</v>
      </c>
      <c r="E3064">
        <v>7.2</v>
      </c>
      <c r="F3064">
        <v>100</v>
      </c>
    </row>
    <row r="3065" spans="1:6" x14ac:dyDescent="0.35">
      <c r="A3065">
        <v>1975</v>
      </c>
      <c r="B3065" s="1">
        <v>45652</v>
      </c>
      <c r="C3065" s="2">
        <v>0.625</v>
      </c>
      <c r="D3065">
        <v>3</v>
      </c>
      <c r="E3065">
        <v>7</v>
      </c>
      <c r="F3065">
        <v>98</v>
      </c>
    </row>
    <row r="3066" spans="1:6" x14ac:dyDescent="0.35">
      <c r="A3066">
        <v>1975</v>
      </c>
      <c r="B3066" s="1">
        <v>45652</v>
      </c>
      <c r="C3066" s="2">
        <v>0.66666666666666663</v>
      </c>
      <c r="D3066">
        <v>3</v>
      </c>
      <c r="E3066">
        <v>6.8</v>
      </c>
      <c r="F3066">
        <v>98</v>
      </c>
    </row>
    <row r="3067" spans="1:6" x14ac:dyDescent="0.35">
      <c r="A3067">
        <v>1975</v>
      </c>
      <c r="B3067" s="1">
        <v>45652</v>
      </c>
      <c r="C3067" s="2">
        <v>0.70833333333333337</v>
      </c>
      <c r="D3067">
        <v>3</v>
      </c>
      <c r="E3067">
        <v>6.7</v>
      </c>
      <c r="F3067">
        <v>100</v>
      </c>
    </row>
    <row r="3068" spans="1:6" x14ac:dyDescent="0.35">
      <c r="A3068">
        <v>1975</v>
      </c>
      <c r="B3068" s="1">
        <v>45652</v>
      </c>
      <c r="C3068" s="2">
        <v>0.75</v>
      </c>
      <c r="D3068">
        <v>3</v>
      </c>
      <c r="E3068">
        <v>6.6</v>
      </c>
      <c r="F3068">
        <v>98</v>
      </c>
    </row>
    <row r="3069" spans="1:6" x14ac:dyDescent="0.35">
      <c r="A3069">
        <v>1975</v>
      </c>
      <c r="B3069" s="1">
        <v>45652</v>
      </c>
      <c r="C3069" s="2">
        <v>0.79166666666666663</v>
      </c>
      <c r="D3069">
        <v>3</v>
      </c>
      <c r="E3069">
        <v>6.5</v>
      </c>
      <c r="F3069">
        <v>100</v>
      </c>
    </row>
    <row r="3070" spans="1:6" x14ac:dyDescent="0.35">
      <c r="A3070">
        <v>1975</v>
      </c>
      <c r="B3070" s="1">
        <v>45652</v>
      </c>
      <c r="C3070" s="2">
        <v>0.83333333333333337</v>
      </c>
      <c r="D3070">
        <v>3</v>
      </c>
      <c r="E3070">
        <v>6.5</v>
      </c>
      <c r="F3070">
        <v>100</v>
      </c>
    </row>
    <row r="3071" spans="1:6" x14ac:dyDescent="0.35">
      <c r="A3071">
        <v>1975</v>
      </c>
      <c r="B3071" s="1">
        <v>45652</v>
      </c>
      <c r="C3071" s="2">
        <v>0.875</v>
      </c>
      <c r="D3071">
        <v>3</v>
      </c>
      <c r="E3071">
        <v>6.2</v>
      </c>
      <c r="F3071">
        <v>100</v>
      </c>
    </row>
    <row r="3072" spans="1:6" x14ac:dyDescent="0.35">
      <c r="A3072">
        <v>1975</v>
      </c>
      <c r="B3072" s="1">
        <v>45652</v>
      </c>
      <c r="C3072" s="2">
        <v>0.91666666666666663</v>
      </c>
      <c r="D3072">
        <v>3</v>
      </c>
      <c r="E3072">
        <v>6</v>
      </c>
      <c r="F3072">
        <v>100</v>
      </c>
    </row>
    <row r="3073" spans="1:6" x14ac:dyDescent="0.35">
      <c r="A3073">
        <v>1975</v>
      </c>
      <c r="B3073" s="1">
        <v>45652</v>
      </c>
      <c r="C3073" s="2">
        <v>0.95833333333333337</v>
      </c>
      <c r="D3073">
        <v>3</v>
      </c>
      <c r="E3073">
        <v>6</v>
      </c>
      <c r="F3073">
        <v>100</v>
      </c>
    </row>
    <row r="3074" spans="1:6" x14ac:dyDescent="0.35">
      <c r="A3074">
        <v>1975</v>
      </c>
      <c r="B3074" s="1">
        <v>45653</v>
      </c>
      <c r="C3074" s="2">
        <v>0</v>
      </c>
      <c r="D3074">
        <v>3</v>
      </c>
      <c r="E3074">
        <v>5.8</v>
      </c>
      <c r="F3074">
        <v>100</v>
      </c>
    </row>
    <row r="3075" spans="1:6" x14ac:dyDescent="0.35">
      <c r="A3075">
        <v>1975</v>
      </c>
      <c r="B3075" s="1">
        <v>45653</v>
      </c>
      <c r="C3075" s="2">
        <v>4.1666666666666657E-2</v>
      </c>
      <c r="D3075">
        <v>3</v>
      </c>
      <c r="E3075">
        <v>5.4</v>
      </c>
      <c r="F3075">
        <v>100</v>
      </c>
    </row>
    <row r="3076" spans="1:6" x14ac:dyDescent="0.35">
      <c r="A3076">
        <v>1975</v>
      </c>
      <c r="B3076" s="1">
        <v>45653</v>
      </c>
      <c r="C3076" s="2">
        <v>8.3333333333333329E-2</v>
      </c>
      <c r="D3076">
        <v>3</v>
      </c>
      <c r="E3076">
        <v>5.0999999999999996</v>
      </c>
      <c r="F3076">
        <v>100</v>
      </c>
    </row>
    <row r="3077" spans="1:6" x14ac:dyDescent="0.35">
      <c r="A3077">
        <v>1975</v>
      </c>
      <c r="B3077" s="1">
        <v>45653</v>
      </c>
      <c r="C3077" s="2">
        <v>0.125</v>
      </c>
      <c r="D3077">
        <v>3</v>
      </c>
      <c r="E3077">
        <v>4.8</v>
      </c>
      <c r="F3077">
        <v>100</v>
      </c>
    </row>
    <row r="3078" spans="1:6" x14ac:dyDescent="0.35">
      <c r="A3078">
        <v>1975</v>
      </c>
      <c r="B3078" s="1">
        <v>45653</v>
      </c>
      <c r="C3078" s="2">
        <v>0.16666666666666671</v>
      </c>
      <c r="D3078">
        <v>3</v>
      </c>
      <c r="E3078">
        <v>4.2</v>
      </c>
      <c r="F3078">
        <v>100</v>
      </c>
    </row>
    <row r="3079" spans="1:6" x14ac:dyDescent="0.35">
      <c r="A3079">
        <v>1975</v>
      </c>
      <c r="B3079" s="1">
        <v>45653</v>
      </c>
      <c r="C3079" s="2">
        <v>0.20833333333333329</v>
      </c>
      <c r="D3079">
        <v>3</v>
      </c>
      <c r="E3079">
        <v>3.5</v>
      </c>
      <c r="F3079">
        <v>100</v>
      </c>
    </row>
    <row r="3080" spans="1:6" x14ac:dyDescent="0.35">
      <c r="A3080">
        <v>1975</v>
      </c>
      <c r="B3080" s="1">
        <v>45653</v>
      </c>
      <c r="C3080" s="2">
        <v>0.25</v>
      </c>
      <c r="D3080">
        <v>3</v>
      </c>
      <c r="E3080">
        <v>3.3</v>
      </c>
      <c r="F3080">
        <v>100</v>
      </c>
    </row>
    <row r="3081" spans="1:6" x14ac:dyDescent="0.35">
      <c r="A3081">
        <v>1975</v>
      </c>
      <c r="B3081" s="1">
        <v>45653</v>
      </c>
      <c r="C3081" s="2">
        <v>0.29166666666666669</v>
      </c>
      <c r="D3081">
        <v>3</v>
      </c>
      <c r="E3081">
        <v>3.3</v>
      </c>
      <c r="F3081">
        <v>100</v>
      </c>
    </row>
    <row r="3082" spans="1:6" x14ac:dyDescent="0.35">
      <c r="A3082">
        <v>1975</v>
      </c>
      <c r="B3082" s="1">
        <v>45653</v>
      </c>
      <c r="C3082" s="2">
        <v>0.33333333333333331</v>
      </c>
      <c r="D3082">
        <v>3</v>
      </c>
      <c r="E3082">
        <v>3.4</v>
      </c>
      <c r="F3082">
        <v>100</v>
      </c>
    </row>
    <row r="3083" spans="1:6" x14ac:dyDescent="0.35">
      <c r="A3083">
        <v>1975</v>
      </c>
      <c r="B3083" s="1">
        <v>45653</v>
      </c>
      <c r="C3083" s="2">
        <v>0.375</v>
      </c>
      <c r="D3083">
        <v>3</v>
      </c>
      <c r="E3083">
        <v>3</v>
      </c>
      <c r="F3083">
        <v>100</v>
      </c>
    </row>
    <row r="3084" spans="1:6" x14ac:dyDescent="0.35">
      <c r="A3084">
        <v>1975</v>
      </c>
      <c r="B3084" s="1">
        <v>45653</v>
      </c>
      <c r="C3084" s="2">
        <v>0.41666666666666669</v>
      </c>
      <c r="D3084">
        <v>3</v>
      </c>
      <c r="E3084">
        <v>3.1</v>
      </c>
      <c r="F3084">
        <v>100</v>
      </c>
    </row>
    <row r="3085" spans="1:6" x14ac:dyDescent="0.35">
      <c r="A3085">
        <v>1975</v>
      </c>
      <c r="B3085" s="1">
        <v>45653</v>
      </c>
      <c r="C3085" s="2">
        <v>0.45833333333333331</v>
      </c>
      <c r="D3085">
        <v>3</v>
      </c>
      <c r="E3085">
        <v>3.3</v>
      </c>
      <c r="F3085">
        <v>100</v>
      </c>
    </row>
    <row r="3086" spans="1:6" x14ac:dyDescent="0.35">
      <c r="A3086">
        <v>1975</v>
      </c>
      <c r="B3086" s="1">
        <v>45653</v>
      </c>
      <c r="C3086" s="2">
        <v>0.5</v>
      </c>
      <c r="D3086">
        <v>3</v>
      </c>
      <c r="E3086">
        <v>3.4</v>
      </c>
      <c r="F3086">
        <v>100</v>
      </c>
    </row>
    <row r="3087" spans="1:6" x14ac:dyDescent="0.35">
      <c r="A3087">
        <v>1975</v>
      </c>
      <c r="B3087" s="1">
        <v>45653</v>
      </c>
      <c r="C3087" s="2">
        <v>0.54166666666666663</v>
      </c>
      <c r="D3087">
        <v>3</v>
      </c>
      <c r="E3087">
        <v>3.6</v>
      </c>
      <c r="F3087">
        <v>100</v>
      </c>
    </row>
    <row r="3088" spans="1:6" x14ac:dyDescent="0.35">
      <c r="A3088">
        <v>1975</v>
      </c>
      <c r="B3088" s="1">
        <v>45653</v>
      </c>
      <c r="C3088" s="2">
        <v>0.58333333333333337</v>
      </c>
      <c r="D3088">
        <v>3</v>
      </c>
      <c r="E3088">
        <v>3.5</v>
      </c>
      <c r="F3088">
        <v>100</v>
      </c>
    </row>
    <row r="3089" spans="1:6" x14ac:dyDescent="0.35">
      <c r="A3089">
        <v>1975</v>
      </c>
      <c r="B3089" s="1">
        <v>45653</v>
      </c>
      <c r="C3089" s="2">
        <v>0.625</v>
      </c>
      <c r="D3089">
        <v>3</v>
      </c>
      <c r="E3089">
        <v>3.8</v>
      </c>
      <c r="F3089">
        <v>100</v>
      </c>
    </row>
    <row r="3090" spans="1:6" x14ac:dyDescent="0.35">
      <c r="A3090">
        <v>1975</v>
      </c>
      <c r="B3090" s="1">
        <v>45653</v>
      </c>
      <c r="C3090" s="2">
        <v>0.66666666666666663</v>
      </c>
      <c r="D3090">
        <v>3</v>
      </c>
      <c r="E3090">
        <v>3.6</v>
      </c>
      <c r="F3090">
        <v>100</v>
      </c>
    </row>
    <row r="3091" spans="1:6" x14ac:dyDescent="0.35">
      <c r="A3091">
        <v>1975</v>
      </c>
      <c r="B3091" s="1">
        <v>45653</v>
      </c>
      <c r="C3091" s="2">
        <v>0.70833333333333337</v>
      </c>
      <c r="D3091">
        <v>3</v>
      </c>
      <c r="E3091">
        <v>3.4</v>
      </c>
      <c r="F3091">
        <v>100</v>
      </c>
    </row>
    <row r="3092" spans="1:6" x14ac:dyDescent="0.35">
      <c r="A3092">
        <v>1975</v>
      </c>
      <c r="B3092" s="1">
        <v>45653</v>
      </c>
      <c r="C3092" s="2">
        <v>0.75</v>
      </c>
      <c r="D3092">
        <v>3</v>
      </c>
      <c r="E3092">
        <v>3.3</v>
      </c>
      <c r="F3092">
        <v>100</v>
      </c>
    </row>
    <row r="3093" spans="1:6" x14ac:dyDescent="0.35">
      <c r="A3093">
        <v>1975</v>
      </c>
      <c r="B3093" s="1">
        <v>45653</v>
      </c>
      <c r="C3093" s="2">
        <v>0.79166666666666663</v>
      </c>
      <c r="D3093">
        <v>3</v>
      </c>
      <c r="E3093">
        <v>3.1</v>
      </c>
      <c r="F3093">
        <v>100</v>
      </c>
    </row>
    <row r="3094" spans="1:6" x14ac:dyDescent="0.35">
      <c r="A3094">
        <v>1975</v>
      </c>
      <c r="B3094" s="1">
        <v>45653</v>
      </c>
      <c r="C3094" s="2">
        <v>0.83333333333333337</v>
      </c>
      <c r="D3094">
        <v>3</v>
      </c>
      <c r="E3094">
        <v>3</v>
      </c>
      <c r="F3094">
        <v>100</v>
      </c>
    </row>
    <row r="3095" spans="1:6" x14ac:dyDescent="0.35">
      <c r="A3095">
        <v>1975</v>
      </c>
      <c r="B3095" s="1">
        <v>45653</v>
      </c>
      <c r="C3095" s="2">
        <v>0.875</v>
      </c>
      <c r="D3095">
        <v>3</v>
      </c>
      <c r="E3095">
        <v>3</v>
      </c>
      <c r="F3095">
        <v>100</v>
      </c>
    </row>
    <row r="3096" spans="1:6" x14ac:dyDescent="0.35">
      <c r="A3096">
        <v>1975</v>
      </c>
      <c r="B3096" s="1">
        <v>45653</v>
      </c>
      <c r="C3096" s="2">
        <v>0.91666666666666663</v>
      </c>
      <c r="D3096">
        <v>3</v>
      </c>
      <c r="E3096">
        <v>2.8</v>
      </c>
      <c r="F3096">
        <v>100</v>
      </c>
    </row>
    <row r="3097" spans="1:6" x14ac:dyDescent="0.35">
      <c r="A3097">
        <v>1975</v>
      </c>
      <c r="B3097" s="1">
        <v>45653</v>
      </c>
      <c r="C3097" s="2">
        <v>0.95833333333333337</v>
      </c>
      <c r="D3097">
        <v>3</v>
      </c>
      <c r="E3097">
        <v>2.6</v>
      </c>
      <c r="F3097">
        <v>100</v>
      </c>
    </row>
    <row r="3098" spans="1:6" x14ac:dyDescent="0.35">
      <c r="A3098">
        <v>1975</v>
      </c>
      <c r="B3098" s="1">
        <v>45654</v>
      </c>
      <c r="C3098" s="2">
        <v>0</v>
      </c>
      <c r="D3098">
        <v>3</v>
      </c>
      <c r="E3098">
        <v>2.4</v>
      </c>
      <c r="F3098">
        <v>100</v>
      </c>
    </row>
    <row r="3099" spans="1:6" x14ac:dyDescent="0.35">
      <c r="A3099">
        <v>1975</v>
      </c>
      <c r="B3099" s="1">
        <v>45654</v>
      </c>
      <c r="C3099" s="2">
        <v>4.1666666666666657E-2</v>
      </c>
      <c r="D3099">
        <v>3</v>
      </c>
      <c r="E3099">
        <v>2.2999999999999998</v>
      </c>
      <c r="F3099">
        <v>100</v>
      </c>
    </row>
    <row r="3100" spans="1:6" x14ac:dyDescent="0.35">
      <c r="A3100">
        <v>1975</v>
      </c>
      <c r="B3100" s="1">
        <v>45654</v>
      </c>
      <c r="C3100" s="2">
        <v>8.3333333333333329E-2</v>
      </c>
      <c r="D3100">
        <v>3</v>
      </c>
      <c r="E3100">
        <v>2</v>
      </c>
      <c r="F3100">
        <v>100</v>
      </c>
    </row>
    <row r="3101" spans="1:6" x14ac:dyDescent="0.35">
      <c r="A3101">
        <v>1975</v>
      </c>
      <c r="B3101" s="1">
        <v>45654</v>
      </c>
      <c r="C3101" s="2">
        <v>0.125</v>
      </c>
      <c r="D3101">
        <v>3</v>
      </c>
      <c r="E3101">
        <v>2.2000000000000002</v>
      </c>
      <c r="F3101">
        <v>100</v>
      </c>
    </row>
    <row r="3102" spans="1:6" x14ac:dyDescent="0.35">
      <c r="A3102">
        <v>1975</v>
      </c>
      <c r="B3102" s="1">
        <v>45654</v>
      </c>
      <c r="C3102" s="2">
        <v>0.16666666666666671</v>
      </c>
      <c r="D3102">
        <v>3</v>
      </c>
      <c r="E3102">
        <v>1.7</v>
      </c>
      <c r="F3102">
        <v>100</v>
      </c>
    </row>
    <row r="3103" spans="1:6" x14ac:dyDescent="0.35">
      <c r="A3103">
        <v>1975</v>
      </c>
      <c r="B3103" s="1">
        <v>45654</v>
      </c>
      <c r="C3103" s="2">
        <v>0.20833333333333329</v>
      </c>
      <c r="D3103">
        <v>3</v>
      </c>
      <c r="E3103">
        <v>1.6</v>
      </c>
      <c r="F3103">
        <v>100</v>
      </c>
    </row>
    <row r="3104" spans="1:6" x14ac:dyDescent="0.35">
      <c r="A3104">
        <v>1975</v>
      </c>
      <c r="B3104" s="1">
        <v>45654</v>
      </c>
      <c r="C3104" s="2">
        <v>0.25</v>
      </c>
      <c r="D3104">
        <v>3</v>
      </c>
      <c r="E3104">
        <v>1.3</v>
      </c>
      <c r="F3104">
        <v>100</v>
      </c>
    </row>
    <row r="3105" spans="1:6" x14ac:dyDescent="0.35">
      <c r="A3105">
        <v>1975</v>
      </c>
      <c r="B3105" s="1">
        <v>45654</v>
      </c>
      <c r="C3105" s="2">
        <v>0.29166666666666669</v>
      </c>
      <c r="D3105">
        <v>3</v>
      </c>
      <c r="E3105">
        <v>1</v>
      </c>
      <c r="F3105">
        <v>100</v>
      </c>
    </row>
    <row r="3106" spans="1:6" x14ac:dyDescent="0.35">
      <c r="A3106">
        <v>1975</v>
      </c>
      <c r="B3106" s="1">
        <v>45654</v>
      </c>
      <c r="C3106" s="2">
        <v>0.33333333333333331</v>
      </c>
      <c r="D3106">
        <v>3</v>
      </c>
      <c r="E3106">
        <v>0.8</v>
      </c>
      <c r="F3106">
        <v>100</v>
      </c>
    </row>
    <row r="3107" spans="1:6" x14ac:dyDescent="0.35">
      <c r="A3107">
        <v>1975</v>
      </c>
      <c r="B3107" s="1">
        <v>45654</v>
      </c>
      <c r="C3107" s="2">
        <v>0.375</v>
      </c>
      <c r="D3107">
        <v>3</v>
      </c>
      <c r="E3107">
        <v>1</v>
      </c>
      <c r="F3107">
        <v>100</v>
      </c>
    </row>
    <row r="3108" spans="1:6" x14ac:dyDescent="0.35">
      <c r="A3108">
        <v>1975</v>
      </c>
      <c r="B3108" s="1">
        <v>45654</v>
      </c>
      <c r="C3108" s="2">
        <v>0.41666666666666669</v>
      </c>
      <c r="D3108">
        <v>3</v>
      </c>
      <c r="E3108">
        <v>0.8</v>
      </c>
      <c r="F3108">
        <v>100</v>
      </c>
    </row>
    <row r="3109" spans="1:6" x14ac:dyDescent="0.35">
      <c r="A3109">
        <v>1975</v>
      </c>
      <c r="B3109" s="1">
        <v>45654</v>
      </c>
      <c r="C3109" s="2">
        <v>0.45833333333333331</v>
      </c>
      <c r="D3109">
        <v>3</v>
      </c>
      <c r="E3109">
        <v>0.8</v>
      </c>
      <c r="F3109">
        <v>100</v>
      </c>
    </row>
    <row r="3110" spans="1:6" x14ac:dyDescent="0.35">
      <c r="A3110">
        <v>1975</v>
      </c>
      <c r="B3110" s="1">
        <v>45654</v>
      </c>
      <c r="C3110" s="2">
        <v>0.5</v>
      </c>
      <c r="D3110">
        <v>3</v>
      </c>
      <c r="E3110">
        <v>0.8</v>
      </c>
      <c r="F3110">
        <v>100</v>
      </c>
    </row>
    <row r="3111" spans="1:6" x14ac:dyDescent="0.35">
      <c r="A3111">
        <v>1975</v>
      </c>
      <c r="B3111" s="1">
        <v>45654</v>
      </c>
      <c r="C3111" s="2">
        <v>0.54166666666666663</v>
      </c>
      <c r="D3111">
        <v>3</v>
      </c>
      <c r="E3111">
        <v>0.9</v>
      </c>
      <c r="F3111">
        <v>99</v>
      </c>
    </row>
    <row r="3112" spans="1:6" x14ac:dyDescent="0.35">
      <c r="A3112">
        <v>1975</v>
      </c>
      <c r="B3112" s="1">
        <v>45654</v>
      </c>
      <c r="C3112" s="2">
        <v>0.58333333333333337</v>
      </c>
      <c r="D3112">
        <v>3</v>
      </c>
      <c r="E3112">
        <v>0.9</v>
      </c>
      <c r="F3112">
        <v>98</v>
      </c>
    </row>
    <row r="3113" spans="1:6" x14ac:dyDescent="0.35">
      <c r="A3113">
        <v>1975</v>
      </c>
      <c r="B3113" s="1">
        <v>45654</v>
      </c>
      <c r="C3113" s="2">
        <v>0.625</v>
      </c>
      <c r="D3113">
        <v>3</v>
      </c>
      <c r="E3113">
        <v>0.9</v>
      </c>
      <c r="F3113">
        <v>100</v>
      </c>
    </row>
    <row r="3114" spans="1:6" x14ac:dyDescent="0.35">
      <c r="A3114">
        <v>1975</v>
      </c>
      <c r="B3114" s="1">
        <v>45654</v>
      </c>
      <c r="C3114" s="2">
        <v>0.66666666666666663</v>
      </c>
      <c r="D3114">
        <v>3</v>
      </c>
      <c r="E3114">
        <v>0.9</v>
      </c>
      <c r="F3114">
        <v>100</v>
      </c>
    </row>
    <row r="3115" spans="1:6" x14ac:dyDescent="0.35">
      <c r="A3115">
        <v>1975</v>
      </c>
      <c r="B3115" s="1">
        <v>45654</v>
      </c>
      <c r="C3115" s="2">
        <v>0.70833333333333337</v>
      </c>
      <c r="D3115">
        <v>3</v>
      </c>
      <c r="E3115">
        <v>0.7</v>
      </c>
      <c r="F3115">
        <v>100</v>
      </c>
    </row>
    <row r="3116" spans="1:6" x14ac:dyDescent="0.35">
      <c r="A3116">
        <v>1975</v>
      </c>
      <c r="B3116" s="1">
        <v>45654</v>
      </c>
      <c r="C3116" s="2">
        <v>0.75</v>
      </c>
      <c r="D3116">
        <v>3</v>
      </c>
      <c r="E3116">
        <v>0.5</v>
      </c>
      <c r="F3116">
        <v>100</v>
      </c>
    </row>
    <row r="3117" spans="1:6" x14ac:dyDescent="0.35">
      <c r="A3117">
        <v>1975</v>
      </c>
      <c r="B3117" s="1">
        <v>45654</v>
      </c>
      <c r="C3117" s="2">
        <v>0.79166666666666663</v>
      </c>
      <c r="D3117">
        <v>3</v>
      </c>
      <c r="E3117">
        <v>-0.1</v>
      </c>
      <c r="F3117">
        <v>100</v>
      </c>
    </row>
    <row r="3118" spans="1:6" x14ac:dyDescent="0.35">
      <c r="A3118">
        <v>1975</v>
      </c>
      <c r="B3118" s="1">
        <v>45654</v>
      </c>
      <c r="C3118" s="2">
        <v>0.83333333333333337</v>
      </c>
      <c r="D3118">
        <v>3</v>
      </c>
      <c r="E3118">
        <v>-0.4</v>
      </c>
      <c r="F3118">
        <v>100</v>
      </c>
    </row>
    <row r="3119" spans="1:6" x14ac:dyDescent="0.35">
      <c r="A3119">
        <v>1975</v>
      </c>
      <c r="B3119" s="1">
        <v>45654</v>
      </c>
      <c r="C3119" s="2">
        <v>0.875</v>
      </c>
      <c r="D3119">
        <v>3</v>
      </c>
      <c r="E3119">
        <v>-0.3</v>
      </c>
      <c r="F3119">
        <v>100</v>
      </c>
    </row>
    <row r="3120" spans="1:6" x14ac:dyDescent="0.35">
      <c r="A3120">
        <v>1975</v>
      </c>
      <c r="B3120" s="1">
        <v>45654</v>
      </c>
      <c r="C3120" s="2">
        <v>0.91666666666666663</v>
      </c>
      <c r="D3120">
        <v>3</v>
      </c>
      <c r="E3120">
        <v>-0.5</v>
      </c>
      <c r="F3120">
        <v>99</v>
      </c>
    </row>
    <row r="3121" spans="1:6" x14ac:dyDescent="0.35">
      <c r="A3121">
        <v>1975</v>
      </c>
      <c r="B3121" s="1">
        <v>45654</v>
      </c>
      <c r="C3121" s="2">
        <v>0.95833333333333337</v>
      </c>
      <c r="D3121">
        <v>3</v>
      </c>
      <c r="E3121">
        <v>-0.4</v>
      </c>
      <c r="F3121">
        <v>99</v>
      </c>
    </row>
    <row r="3122" spans="1:6" x14ac:dyDescent="0.35">
      <c r="A3122">
        <v>1975</v>
      </c>
      <c r="B3122" s="1">
        <v>45655</v>
      </c>
      <c r="C3122" s="2">
        <v>0</v>
      </c>
      <c r="D3122">
        <v>3</v>
      </c>
      <c r="E3122">
        <v>-0.3</v>
      </c>
      <c r="F3122">
        <v>99</v>
      </c>
    </row>
    <row r="3123" spans="1:6" x14ac:dyDescent="0.35">
      <c r="A3123">
        <v>1975</v>
      </c>
      <c r="B3123" s="1">
        <v>45655</v>
      </c>
      <c r="C3123" s="2">
        <v>4.1666666666666657E-2</v>
      </c>
      <c r="D3123">
        <v>3</v>
      </c>
      <c r="E3123">
        <v>-0.4</v>
      </c>
      <c r="F3123">
        <v>99</v>
      </c>
    </row>
    <row r="3124" spans="1:6" x14ac:dyDescent="0.35">
      <c r="A3124">
        <v>1975</v>
      </c>
      <c r="B3124" s="1">
        <v>45655</v>
      </c>
      <c r="C3124" s="2">
        <v>8.3333333333333329E-2</v>
      </c>
      <c r="D3124">
        <v>3</v>
      </c>
      <c r="E3124">
        <v>-0.4</v>
      </c>
      <c r="F3124">
        <v>100</v>
      </c>
    </row>
    <row r="3125" spans="1:6" x14ac:dyDescent="0.35">
      <c r="A3125">
        <v>1975</v>
      </c>
      <c r="B3125" s="1">
        <v>45655</v>
      </c>
      <c r="C3125" s="2">
        <v>0.125</v>
      </c>
      <c r="D3125">
        <v>3</v>
      </c>
      <c r="E3125">
        <v>-0.3</v>
      </c>
      <c r="F3125">
        <v>99</v>
      </c>
    </row>
    <row r="3126" spans="1:6" x14ac:dyDescent="0.35">
      <c r="A3126">
        <v>1975</v>
      </c>
      <c r="B3126" s="1">
        <v>45655</v>
      </c>
      <c r="C3126" s="2">
        <v>0.16666666666666671</v>
      </c>
      <c r="D3126">
        <v>3</v>
      </c>
      <c r="E3126">
        <v>-0.2</v>
      </c>
      <c r="F3126">
        <v>100</v>
      </c>
    </row>
    <row r="3127" spans="1:6" x14ac:dyDescent="0.35">
      <c r="A3127">
        <v>1975</v>
      </c>
      <c r="B3127" s="1">
        <v>45655</v>
      </c>
      <c r="C3127" s="2">
        <v>0.20833333333333329</v>
      </c>
      <c r="D3127">
        <v>3</v>
      </c>
      <c r="E3127">
        <v>-0.2</v>
      </c>
      <c r="F3127">
        <v>100</v>
      </c>
    </row>
    <row r="3128" spans="1:6" x14ac:dyDescent="0.35">
      <c r="A3128">
        <v>1975</v>
      </c>
      <c r="B3128" s="1">
        <v>45655</v>
      </c>
      <c r="C3128" s="2">
        <v>0.25</v>
      </c>
      <c r="D3128">
        <v>3</v>
      </c>
      <c r="E3128">
        <v>-0.2</v>
      </c>
      <c r="F3128">
        <v>100</v>
      </c>
    </row>
    <row r="3129" spans="1:6" x14ac:dyDescent="0.35">
      <c r="A3129">
        <v>1975</v>
      </c>
      <c r="B3129" s="1">
        <v>45655</v>
      </c>
      <c r="C3129" s="2">
        <v>0.29166666666666669</v>
      </c>
      <c r="D3129">
        <v>3</v>
      </c>
      <c r="E3129">
        <v>-0.3</v>
      </c>
      <c r="F3129">
        <v>100</v>
      </c>
    </row>
    <row r="3130" spans="1:6" x14ac:dyDescent="0.35">
      <c r="A3130">
        <v>1975</v>
      </c>
      <c r="B3130" s="1">
        <v>45655</v>
      </c>
      <c r="C3130" s="2">
        <v>0.33333333333333331</v>
      </c>
      <c r="D3130">
        <v>3</v>
      </c>
      <c r="E3130">
        <v>0</v>
      </c>
      <c r="F3130">
        <v>100</v>
      </c>
    </row>
    <row r="3131" spans="1:6" x14ac:dyDescent="0.35">
      <c r="A3131">
        <v>1975</v>
      </c>
      <c r="B3131" s="1">
        <v>45655</v>
      </c>
      <c r="C3131" s="2">
        <v>0.375</v>
      </c>
      <c r="D3131">
        <v>3</v>
      </c>
      <c r="E3131">
        <v>0.3</v>
      </c>
      <c r="F3131">
        <v>99</v>
      </c>
    </row>
    <row r="3132" spans="1:6" x14ac:dyDescent="0.35">
      <c r="A3132">
        <v>1975</v>
      </c>
      <c r="B3132" s="1">
        <v>45655</v>
      </c>
      <c r="C3132" s="2">
        <v>0.41666666666666669</v>
      </c>
      <c r="D3132">
        <v>3</v>
      </c>
      <c r="E3132">
        <v>0.8</v>
      </c>
      <c r="F3132">
        <v>99</v>
      </c>
    </row>
    <row r="3133" spans="1:6" x14ac:dyDescent="0.35">
      <c r="A3133">
        <v>1975</v>
      </c>
      <c r="B3133" s="1">
        <v>45655</v>
      </c>
      <c r="C3133" s="2">
        <v>0.45833333333333331</v>
      </c>
      <c r="D3133">
        <v>3</v>
      </c>
      <c r="E3133">
        <v>1.4</v>
      </c>
      <c r="F3133">
        <v>98</v>
      </c>
    </row>
    <row r="3134" spans="1:6" x14ac:dyDescent="0.35">
      <c r="A3134">
        <v>1975</v>
      </c>
      <c r="B3134" s="1">
        <v>45655</v>
      </c>
      <c r="C3134" s="2">
        <v>0.5</v>
      </c>
      <c r="D3134">
        <v>3</v>
      </c>
      <c r="E3134">
        <v>1.9</v>
      </c>
      <c r="F3134">
        <v>99</v>
      </c>
    </row>
    <row r="3135" spans="1:6" x14ac:dyDescent="0.35">
      <c r="A3135">
        <v>1975</v>
      </c>
      <c r="B3135" s="1">
        <v>45655</v>
      </c>
      <c r="C3135" s="2">
        <v>0.54166666666666663</v>
      </c>
      <c r="D3135">
        <v>3</v>
      </c>
      <c r="E3135">
        <v>2.2999999999999998</v>
      </c>
      <c r="F3135">
        <v>99</v>
      </c>
    </row>
    <row r="3136" spans="1:6" x14ac:dyDescent="0.35">
      <c r="A3136">
        <v>1975</v>
      </c>
      <c r="B3136" s="1">
        <v>45655</v>
      </c>
      <c r="C3136" s="2">
        <v>0.58333333333333337</v>
      </c>
      <c r="D3136">
        <v>3</v>
      </c>
      <c r="E3136">
        <v>2.8</v>
      </c>
      <c r="F3136">
        <v>99</v>
      </c>
    </row>
    <row r="3137" spans="1:6" x14ac:dyDescent="0.35">
      <c r="A3137">
        <v>1975</v>
      </c>
      <c r="B3137" s="1">
        <v>45655</v>
      </c>
      <c r="C3137" s="2">
        <v>0.625</v>
      </c>
      <c r="D3137">
        <v>3</v>
      </c>
      <c r="E3137">
        <v>3.3</v>
      </c>
      <c r="F3137">
        <v>99</v>
      </c>
    </row>
    <row r="3138" spans="1:6" x14ac:dyDescent="0.35">
      <c r="A3138">
        <v>1975</v>
      </c>
      <c r="B3138" s="1">
        <v>45655</v>
      </c>
      <c r="C3138" s="2">
        <v>0.66666666666666663</v>
      </c>
      <c r="D3138">
        <v>3</v>
      </c>
      <c r="E3138">
        <v>3.5</v>
      </c>
      <c r="F3138">
        <v>99</v>
      </c>
    </row>
    <row r="3139" spans="1:6" x14ac:dyDescent="0.35">
      <c r="A3139">
        <v>1975</v>
      </c>
      <c r="B3139" s="1">
        <v>45655</v>
      </c>
      <c r="C3139" s="2">
        <v>0.70833333333333337</v>
      </c>
      <c r="D3139">
        <v>3</v>
      </c>
      <c r="E3139">
        <v>3.8</v>
      </c>
      <c r="F3139">
        <v>99</v>
      </c>
    </row>
    <row r="3140" spans="1:6" x14ac:dyDescent="0.35">
      <c r="A3140">
        <v>1975</v>
      </c>
      <c r="B3140" s="1">
        <v>45655</v>
      </c>
      <c r="C3140" s="2">
        <v>0.75</v>
      </c>
      <c r="D3140">
        <v>3</v>
      </c>
      <c r="E3140">
        <v>3.8</v>
      </c>
      <c r="F3140">
        <v>99</v>
      </c>
    </row>
    <row r="3141" spans="1:6" x14ac:dyDescent="0.35">
      <c r="A3141">
        <v>1975</v>
      </c>
      <c r="B3141" s="1">
        <v>45655</v>
      </c>
      <c r="C3141" s="2">
        <v>0.79166666666666663</v>
      </c>
      <c r="D3141">
        <v>3</v>
      </c>
      <c r="E3141">
        <v>3.8</v>
      </c>
      <c r="F3141">
        <v>98</v>
      </c>
    </row>
    <row r="3142" spans="1:6" x14ac:dyDescent="0.35">
      <c r="A3142">
        <v>1975</v>
      </c>
      <c r="B3142" s="1">
        <v>45655</v>
      </c>
      <c r="C3142" s="2">
        <v>0.83333333333333337</v>
      </c>
      <c r="D3142">
        <v>3</v>
      </c>
      <c r="E3142">
        <v>3.7</v>
      </c>
      <c r="F3142">
        <v>98</v>
      </c>
    </row>
    <row r="3143" spans="1:6" x14ac:dyDescent="0.35">
      <c r="A3143">
        <v>1975</v>
      </c>
      <c r="B3143" s="1">
        <v>45655</v>
      </c>
      <c r="C3143" s="2">
        <v>0.875</v>
      </c>
      <c r="D3143">
        <v>3</v>
      </c>
      <c r="E3143">
        <v>3.9</v>
      </c>
      <c r="F3143">
        <v>98</v>
      </c>
    </row>
    <row r="3144" spans="1:6" x14ac:dyDescent="0.35">
      <c r="A3144">
        <v>1975</v>
      </c>
      <c r="B3144" s="1">
        <v>45655</v>
      </c>
      <c r="C3144" s="2">
        <v>0.91666666666666663</v>
      </c>
      <c r="D3144">
        <v>3</v>
      </c>
      <c r="E3144">
        <v>4.0999999999999996</v>
      </c>
      <c r="F3144">
        <v>98</v>
      </c>
    </row>
    <row r="3145" spans="1:6" x14ac:dyDescent="0.35">
      <c r="A3145">
        <v>1975</v>
      </c>
      <c r="B3145" s="1">
        <v>45655</v>
      </c>
      <c r="C3145" s="2">
        <v>0.95833333333333337</v>
      </c>
      <c r="D3145">
        <v>3</v>
      </c>
      <c r="E3145">
        <v>4.3</v>
      </c>
      <c r="F3145">
        <v>98</v>
      </c>
    </row>
    <row r="3146" spans="1:6" x14ac:dyDescent="0.35">
      <c r="A3146">
        <v>1975</v>
      </c>
      <c r="B3146" s="1">
        <v>45656</v>
      </c>
      <c r="C3146" s="2">
        <v>0</v>
      </c>
      <c r="D3146">
        <v>3</v>
      </c>
      <c r="E3146">
        <v>4.5</v>
      </c>
      <c r="F3146">
        <v>98</v>
      </c>
    </row>
    <row r="3147" spans="1:6" x14ac:dyDescent="0.35">
      <c r="A3147">
        <v>1975</v>
      </c>
      <c r="B3147" s="1">
        <v>45656</v>
      </c>
      <c r="C3147" s="2">
        <v>4.1666666666666657E-2</v>
      </c>
      <c r="D3147">
        <v>3</v>
      </c>
      <c r="E3147">
        <v>4.7</v>
      </c>
      <c r="F3147">
        <v>98</v>
      </c>
    </row>
    <row r="3148" spans="1:6" x14ac:dyDescent="0.35">
      <c r="A3148">
        <v>1975</v>
      </c>
      <c r="B3148" s="1">
        <v>45656</v>
      </c>
      <c r="C3148" s="2">
        <v>8.3333333333333329E-2</v>
      </c>
      <c r="D3148">
        <v>3</v>
      </c>
      <c r="E3148">
        <v>5.2</v>
      </c>
      <c r="F3148">
        <v>98</v>
      </c>
    </row>
    <row r="3149" spans="1:6" x14ac:dyDescent="0.35">
      <c r="A3149">
        <v>1975</v>
      </c>
      <c r="B3149" s="1">
        <v>45656</v>
      </c>
      <c r="C3149" s="2">
        <v>0.125</v>
      </c>
      <c r="D3149">
        <v>3</v>
      </c>
      <c r="E3149">
        <v>5.5</v>
      </c>
      <c r="F3149">
        <v>97</v>
      </c>
    </row>
    <row r="3150" spans="1:6" x14ac:dyDescent="0.35">
      <c r="A3150">
        <v>1975</v>
      </c>
      <c r="B3150" s="1">
        <v>45656</v>
      </c>
      <c r="C3150" s="2">
        <v>0.16666666666666671</v>
      </c>
      <c r="D3150">
        <v>3</v>
      </c>
      <c r="E3150">
        <v>5.5</v>
      </c>
      <c r="F3150">
        <v>97</v>
      </c>
    </row>
    <row r="3151" spans="1:6" x14ac:dyDescent="0.35">
      <c r="A3151">
        <v>1975</v>
      </c>
      <c r="B3151" s="1">
        <v>45656</v>
      </c>
      <c r="C3151" s="2">
        <v>0.20833333333333329</v>
      </c>
      <c r="D3151">
        <v>3</v>
      </c>
      <c r="E3151">
        <v>5.7</v>
      </c>
      <c r="F3151">
        <v>96</v>
      </c>
    </row>
    <row r="3152" spans="1:6" x14ac:dyDescent="0.35">
      <c r="A3152">
        <v>1975</v>
      </c>
      <c r="B3152" s="1">
        <v>45656</v>
      </c>
      <c r="C3152" s="2">
        <v>0.25</v>
      </c>
      <c r="D3152">
        <v>3</v>
      </c>
      <c r="E3152">
        <v>5.6</v>
      </c>
      <c r="F3152">
        <v>96</v>
      </c>
    </row>
    <row r="3153" spans="1:6" x14ac:dyDescent="0.35">
      <c r="A3153">
        <v>1975</v>
      </c>
      <c r="B3153" s="1">
        <v>45656</v>
      </c>
      <c r="C3153" s="2">
        <v>0.29166666666666669</v>
      </c>
      <c r="D3153">
        <v>3</v>
      </c>
      <c r="E3153">
        <v>5.6</v>
      </c>
      <c r="F3153">
        <v>96</v>
      </c>
    </row>
    <row r="3154" spans="1:6" x14ac:dyDescent="0.35">
      <c r="A3154">
        <v>1975</v>
      </c>
      <c r="B3154" s="1">
        <v>45656</v>
      </c>
      <c r="C3154" s="2">
        <v>0.33333333333333331</v>
      </c>
      <c r="D3154">
        <v>3</v>
      </c>
      <c r="E3154">
        <v>5.7</v>
      </c>
      <c r="F3154">
        <v>95</v>
      </c>
    </row>
    <row r="3155" spans="1:6" x14ac:dyDescent="0.35">
      <c r="A3155">
        <v>1975</v>
      </c>
      <c r="B3155" s="1">
        <v>45656</v>
      </c>
      <c r="C3155" s="2">
        <v>0.375</v>
      </c>
      <c r="D3155">
        <v>3</v>
      </c>
      <c r="E3155">
        <v>5.7</v>
      </c>
      <c r="F3155">
        <v>95</v>
      </c>
    </row>
    <row r="3156" spans="1:6" x14ac:dyDescent="0.35">
      <c r="A3156">
        <v>1975</v>
      </c>
      <c r="B3156" s="1">
        <v>45656</v>
      </c>
      <c r="C3156" s="2">
        <v>0.41666666666666669</v>
      </c>
      <c r="D3156">
        <v>3</v>
      </c>
      <c r="E3156">
        <v>5.6</v>
      </c>
      <c r="F3156">
        <v>95</v>
      </c>
    </row>
    <row r="3157" spans="1:6" x14ac:dyDescent="0.35">
      <c r="A3157">
        <v>1975</v>
      </c>
      <c r="B3157" s="1">
        <v>45656</v>
      </c>
      <c r="C3157" s="2">
        <v>0.45833333333333331</v>
      </c>
      <c r="D3157">
        <v>3</v>
      </c>
      <c r="E3157">
        <v>5.6</v>
      </c>
      <c r="F3157">
        <v>94</v>
      </c>
    </row>
    <row r="3158" spans="1:6" x14ac:dyDescent="0.35">
      <c r="A3158">
        <v>1975</v>
      </c>
      <c r="B3158" s="1">
        <v>45656</v>
      </c>
      <c r="C3158" s="2">
        <v>0.5</v>
      </c>
      <c r="D3158">
        <v>3</v>
      </c>
      <c r="E3158">
        <v>5.6</v>
      </c>
      <c r="F3158">
        <v>94</v>
      </c>
    </row>
    <row r="3159" spans="1:6" x14ac:dyDescent="0.35">
      <c r="A3159">
        <v>1975</v>
      </c>
      <c r="B3159" s="1">
        <v>45656</v>
      </c>
      <c r="C3159" s="2">
        <v>0.54166666666666663</v>
      </c>
      <c r="D3159">
        <v>3</v>
      </c>
      <c r="E3159">
        <v>5.6</v>
      </c>
      <c r="F3159">
        <v>93</v>
      </c>
    </row>
    <row r="3160" spans="1:6" x14ac:dyDescent="0.35">
      <c r="A3160">
        <v>1975</v>
      </c>
      <c r="B3160" s="1">
        <v>45656</v>
      </c>
      <c r="C3160" s="2">
        <v>0.58333333333333337</v>
      </c>
      <c r="D3160">
        <v>3</v>
      </c>
      <c r="E3160">
        <v>5.7</v>
      </c>
      <c r="F3160">
        <v>93</v>
      </c>
    </row>
    <row r="3161" spans="1:6" x14ac:dyDescent="0.35">
      <c r="A3161">
        <v>1975</v>
      </c>
      <c r="B3161" s="1">
        <v>45656</v>
      </c>
      <c r="C3161" s="2">
        <v>0.625</v>
      </c>
      <c r="D3161">
        <v>3</v>
      </c>
      <c r="E3161">
        <v>6.2</v>
      </c>
      <c r="F3161">
        <v>89</v>
      </c>
    </row>
    <row r="3162" spans="1:6" x14ac:dyDescent="0.35">
      <c r="A3162">
        <v>1975</v>
      </c>
      <c r="B3162" s="1">
        <v>45656</v>
      </c>
      <c r="C3162" s="2">
        <v>0.66666666666666663</v>
      </c>
      <c r="D3162">
        <v>3</v>
      </c>
      <c r="E3162">
        <v>6.3</v>
      </c>
      <c r="F3162">
        <v>87</v>
      </c>
    </row>
    <row r="3163" spans="1:6" x14ac:dyDescent="0.35">
      <c r="A3163">
        <v>1975</v>
      </c>
      <c r="B3163" s="1">
        <v>45656</v>
      </c>
      <c r="C3163" s="2">
        <v>0.70833333333333337</v>
      </c>
      <c r="D3163">
        <v>3</v>
      </c>
      <c r="E3163">
        <v>6.4</v>
      </c>
      <c r="F3163">
        <v>88</v>
      </c>
    </row>
    <row r="3164" spans="1:6" x14ac:dyDescent="0.35">
      <c r="A3164">
        <v>1975</v>
      </c>
      <c r="B3164" s="1">
        <v>45656</v>
      </c>
      <c r="C3164" s="2">
        <v>0.75</v>
      </c>
      <c r="D3164">
        <v>3</v>
      </c>
      <c r="E3164">
        <v>6.6</v>
      </c>
      <c r="F3164">
        <v>87</v>
      </c>
    </row>
    <row r="3165" spans="1:6" x14ac:dyDescent="0.35">
      <c r="A3165">
        <v>1975</v>
      </c>
      <c r="B3165" s="1">
        <v>45656</v>
      </c>
      <c r="C3165" s="2">
        <v>0.79166666666666663</v>
      </c>
      <c r="D3165">
        <v>3</v>
      </c>
      <c r="E3165">
        <v>6.8</v>
      </c>
      <c r="F3165">
        <v>85</v>
      </c>
    </row>
    <row r="3166" spans="1:6" x14ac:dyDescent="0.35">
      <c r="A3166">
        <v>1975</v>
      </c>
      <c r="B3166" s="1">
        <v>45656</v>
      </c>
      <c r="C3166" s="2">
        <v>0.83333333333333337</v>
      </c>
      <c r="D3166">
        <v>3</v>
      </c>
      <c r="E3166">
        <v>6.8</v>
      </c>
      <c r="F3166">
        <v>84</v>
      </c>
    </row>
    <row r="3167" spans="1:6" x14ac:dyDescent="0.35">
      <c r="A3167">
        <v>1975</v>
      </c>
      <c r="B3167" s="1">
        <v>45656</v>
      </c>
      <c r="C3167" s="2">
        <v>0.875</v>
      </c>
      <c r="D3167">
        <v>3</v>
      </c>
      <c r="E3167">
        <v>6.6</v>
      </c>
      <c r="F3167">
        <v>85</v>
      </c>
    </row>
    <row r="3168" spans="1:6" x14ac:dyDescent="0.35">
      <c r="A3168">
        <v>1975</v>
      </c>
      <c r="B3168" s="1">
        <v>45656</v>
      </c>
      <c r="C3168" s="2">
        <v>0.91666666666666663</v>
      </c>
      <c r="D3168">
        <v>3</v>
      </c>
      <c r="E3168">
        <v>6.6</v>
      </c>
      <c r="F3168">
        <v>85</v>
      </c>
    </row>
    <row r="3169" spans="1:6" x14ac:dyDescent="0.35">
      <c r="A3169">
        <v>1975</v>
      </c>
      <c r="B3169" s="1">
        <v>45656</v>
      </c>
      <c r="C3169" s="2">
        <v>0.95833333333333337</v>
      </c>
      <c r="D3169">
        <v>3</v>
      </c>
      <c r="E3169">
        <v>6.8</v>
      </c>
      <c r="F3169">
        <v>85</v>
      </c>
    </row>
    <row r="3170" spans="1:6" x14ac:dyDescent="0.35">
      <c r="A3170">
        <v>1975</v>
      </c>
      <c r="B3170" s="1">
        <v>45657</v>
      </c>
      <c r="C3170" s="2">
        <v>0</v>
      </c>
      <c r="D3170">
        <v>3</v>
      </c>
      <c r="E3170">
        <v>6.9</v>
      </c>
      <c r="F3170">
        <v>85</v>
      </c>
    </row>
    <row r="3171" spans="1:6" x14ac:dyDescent="0.35">
      <c r="A3171">
        <v>1975</v>
      </c>
      <c r="B3171" s="1">
        <v>45657</v>
      </c>
      <c r="C3171" s="2">
        <v>4.1666666666666657E-2</v>
      </c>
      <c r="D3171">
        <v>3</v>
      </c>
      <c r="E3171">
        <v>7</v>
      </c>
      <c r="F3171">
        <v>85</v>
      </c>
    </row>
    <row r="3172" spans="1:6" x14ac:dyDescent="0.35">
      <c r="A3172">
        <v>1975</v>
      </c>
      <c r="B3172" s="1">
        <v>45657</v>
      </c>
      <c r="C3172" s="2">
        <v>8.3333333333333329E-2</v>
      </c>
      <c r="D3172">
        <v>3</v>
      </c>
      <c r="E3172">
        <v>7</v>
      </c>
      <c r="F3172">
        <v>87</v>
      </c>
    </row>
    <row r="3173" spans="1:6" x14ac:dyDescent="0.35">
      <c r="A3173">
        <v>1975</v>
      </c>
      <c r="B3173" s="1">
        <v>45657</v>
      </c>
      <c r="C3173" s="2">
        <v>0.125</v>
      </c>
      <c r="D3173">
        <v>3</v>
      </c>
      <c r="E3173">
        <v>7</v>
      </c>
      <c r="F3173">
        <v>86</v>
      </c>
    </row>
    <row r="3174" spans="1:6" x14ac:dyDescent="0.35">
      <c r="A3174">
        <v>1975</v>
      </c>
      <c r="B3174" s="1">
        <v>45657</v>
      </c>
      <c r="C3174" s="2">
        <v>0.16666666666666671</v>
      </c>
      <c r="D3174">
        <v>3</v>
      </c>
      <c r="E3174">
        <v>7</v>
      </c>
      <c r="F3174">
        <v>84</v>
      </c>
    </row>
    <row r="3175" spans="1:6" x14ac:dyDescent="0.35">
      <c r="A3175">
        <v>1975</v>
      </c>
      <c r="B3175" s="1">
        <v>45657</v>
      </c>
      <c r="C3175" s="2">
        <v>0.20833333333333329</v>
      </c>
      <c r="D3175">
        <v>3</v>
      </c>
      <c r="E3175">
        <v>7</v>
      </c>
      <c r="F3175">
        <v>81</v>
      </c>
    </row>
    <row r="3176" spans="1:6" x14ac:dyDescent="0.35">
      <c r="A3176">
        <v>1975</v>
      </c>
      <c r="B3176" s="1">
        <v>45657</v>
      </c>
      <c r="C3176" s="2">
        <v>0.25</v>
      </c>
      <c r="D3176">
        <v>3</v>
      </c>
      <c r="E3176">
        <v>6.7</v>
      </c>
      <c r="F3176">
        <v>81</v>
      </c>
    </row>
    <row r="3177" spans="1:6" x14ac:dyDescent="0.35">
      <c r="A3177">
        <v>1975</v>
      </c>
      <c r="B3177" s="1">
        <v>45657</v>
      </c>
      <c r="C3177" s="2">
        <v>0.29166666666666669</v>
      </c>
      <c r="D3177">
        <v>3</v>
      </c>
      <c r="E3177">
        <v>6.4</v>
      </c>
      <c r="F3177">
        <v>81</v>
      </c>
    </row>
    <row r="3178" spans="1:6" x14ac:dyDescent="0.35">
      <c r="A3178">
        <v>1975</v>
      </c>
      <c r="B3178" s="1">
        <v>45657</v>
      </c>
      <c r="C3178" s="2">
        <v>0.33333333333333331</v>
      </c>
      <c r="D3178">
        <v>3</v>
      </c>
      <c r="E3178">
        <v>5.8</v>
      </c>
      <c r="F3178">
        <v>86</v>
      </c>
    </row>
    <row r="3179" spans="1:6" x14ac:dyDescent="0.35">
      <c r="A3179">
        <v>1975</v>
      </c>
      <c r="B3179" s="1">
        <v>45657</v>
      </c>
      <c r="C3179" s="2">
        <v>0.375</v>
      </c>
      <c r="D3179">
        <v>3</v>
      </c>
      <c r="E3179">
        <v>4.2</v>
      </c>
      <c r="F3179">
        <v>95</v>
      </c>
    </row>
    <row r="3180" spans="1:6" x14ac:dyDescent="0.35">
      <c r="A3180">
        <v>1975</v>
      </c>
      <c r="B3180" s="1">
        <v>45657</v>
      </c>
      <c r="C3180" s="2">
        <v>0.41666666666666669</v>
      </c>
      <c r="D3180">
        <v>3</v>
      </c>
      <c r="E3180">
        <v>3.8</v>
      </c>
      <c r="F3180">
        <v>95</v>
      </c>
    </row>
    <row r="3181" spans="1:6" x14ac:dyDescent="0.35">
      <c r="A3181">
        <v>1975</v>
      </c>
      <c r="B3181" s="1">
        <v>45657</v>
      </c>
      <c r="C3181" s="2">
        <v>0.45833333333333331</v>
      </c>
      <c r="D3181">
        <v>3</v>
      </c>
      <c r="E3181">
        <v>3.8</v>
      </c>
      <c r="F3181">
        <v>96</v>
      </c>
    </row>
    <row r="3182" spans="1:6" x14ac:dyDescent="0.35">
      <c r="A3182">
        <v>1975</v>
      </c>
      <c r="B3182" s="1">
        <v>45657</v>
      </c>
      <c r="C3182" s="2">
        <v>0.5</v>
      </c>
      <c r="D3182">
        <v>3</v>
      </c>
      <c r="E3182">
        <v>4</v>
      </c>
      <c r="F3182">
        <v>93</v>
      </c>
    </row>
    <row r="3183" spans="1:6" x14ac:dyDescent="0.35">
      <c r="A3183">
        <v>1975</v>
      </c>
      <c r="B3183" s="1">
        <v>45657</v>
      </c>
      <c r="C3183" s="2">
        <v>0.54166666666666663</v>
      </c>
      <c r="D3183">
        <v>3</v>
      </c>
      <c r="E3183">
        <v>3.7</v>
      </c>
      <c r="F3183">
        <v>94</v>
      </c>
    </row>
    <row r="3184" spans="1:6" x14ac:dyDescent="0.35">
      <c r="A3184">
        <v>1975</v>
      </c>
      <c r="B3184" s="1">
        <v>45657</v>
      </c>
      <c r="C3184" s="2">
        <v>0.58333333333333337</v>
      </c>
      <c r="D3184">
        <v>3</v>
      </c>
      <c r="E3184">
        <v>3.4</v>
      </c>
      <c r="F3184">
        <v>92</v>
      </c>
    </row>
    <row r="3185" spans="1:6" x14ac:dyDescent="0.35">
      <c r="A3185">
        <v>1975</v>
      </c>
      <c r="B3185" s="1">
        <v>45657</v>
      </c>
      <c r="C3185" s="2">
        <v>0.625</v>
      </c>
      <c r="D3185">
        <v>3</v>
      </c>
      <c r="E3185">
        <v>3</v>
      </c>
      <c r="F3185">
        <v>93</v>
      </c>
    </row>
    <row r="3186" spans="1:6" x14ac:dyDescent="0.35">
      <c r="A3186">
        <v>1975</v>
      </c>
      <c r="B3186" s="1">
        <v>45657</v>
      </c>
      <c r="C3186" s="2">
        <v>0.66666666666666663</v>
      </c>
      <c r="D3186">
        <v>3</v>
      </c>
      <c r="E3186">
        <v>2.6</v>
      </c>
      <c r="F3186">
        <v>95</v>
      </c>
    </row>
    <row r="3187" spans="1:6" x14ac:dyDescent="0.35">
      <c r="A3187">
        <v>1975</v>
      </c>
      <c r="B3187" s="1">
        <v>45657</v>
      </c>
      <c r="C3187" s="2">
        <v>0.70833333333333337</v>
      </c>
      <c r="D3187">
        <v>3</v>
      </c>
      <c r="E3187">
        <v>2.7</v>
      </c>
      <c r="F3187">
        <v>91</v>
      </c>
    </row>
    <row r="3188" spans="1:6" x14ac:dyDescent="0.35">
      <c r="A3188">
        <v>1975</v>
      </c>
      <c r="B3188" s="1">
        <v>45657</v>
      </c>
      <c r="C3188" s="2">
        <v>0.75</v>
      </c>
      <c r="D3188">
        <v>3</v>
      </c>
      <c r="E3188">
        <v>3</v>
      </c>
      <c r="F3188">
        <v>91</v>
      </c>
    </row>
    <row r="3189" spans="1:6" x14ac:dyDescent="0.35">
      <c r="A3189">
        <v>1975</v>
      </c>
      <c r="B3189" s="1">
        <v>45657</v>
      </c>
      <c r="C3189" s="2">
        <v>0.79166666666666663</v>
      </c>
      <c r="D3189">
        <v>3</v>
      </c>
      <c r="E3189">
        <v>3.2</v>
      </c>
      <c r="F3189">
        <v>92</v>
      </c>
    </row>
    <row r="3190" spans="1:6" x14ac:dyDescent="0.35">
      <c r="A3190">
        <v>1975</v>
      </c>
      <c r="B3190" s="1">
        <v>45657</v>
      </c>
      <c r="C3190" s="2">
        <v>0.83333333333333337</v>
      </c>
      <c r="D3190">
        <v>3</v>
      </c>
      <c r="E3190">
        <v>3.6</v>
      </c>
      <c r="F3190">
        <v>88</v>
      </c>
    </row>
    <row r="3191" spans="1:6" x14ac:dyDescent="0.35">
      <c r="A3191">
        <v>1975</v>
      </c>
      <c r="B3191" s="1">
        <v>45657</v>
      </c>
      <c r="C3191" s="2">
        <v>0.875</v>
      </c>
      <c r="D3191">
        <v>3</v>
      </c>
      <c r="E3191">
        <v>3.7</v>
      </c>
      <c r="F3191">
        <v>85</v>
      </c>
    </row>
    <row r="3192" spans="1:6" x14ac:dyDescent="0.35">
      <c r="A3192">
        <v>1975</v>
      </c>
      <c r="B3192" s="1">
        <v>45657</v>
      </c>
      <c r="C3192" s="2">
        <v>0.91666666666666663</v>
      </c>
      <c r="D3192">
        <v>3</v>
      </c>
      <c r="E3192">
        <v>4.0999999999999996</v>
      </c>
      <c r="F3192">
        <v>84</v>
      </c>
    </row>
    <row r="3193" spans="1:6" x14ac:dyDescent="0.35">
      <c r="A3193">
        <v>1975</v>
      </c>
      <c r="B3193" s="1">
        <v>45657</v>
      </c>
      <c r="C3193" s="2">
        <v>0.95833333333333337</v>
      </c>
      <c r="D3193">
        <v>3</v>
      </c>
      <c r="E3193">
        <v>4.4000000000000004</v>
      </c>
      <c r="F3193">
        <v>86</v>
      </c>
    </row>
    <row r="3194" spans="1:6" x14ac:dyDescent="0.35">
      <c r="A3194">
        <v>1975</v>
      </c>
      <c r="B3194" s="1">
        <v>45658</v>
      </c>
      <c r="C3194" s="2">
        <v>0</v>
      </c>
      <c r="D3194">
        <v>3</v>
      </c>
      <c r="E3194">
        <v>5</v>
      </c>
      <c r="F3194">
        <v>86</v>
      </c>
    </row>
    <row r="3195" spans="1:6" x14ac:dyDescent="0.35">
      <c r="A3195">
        <v>1975</v>
      </c>
      <c r="B3195" s="1">
        <v>45658</v>
      </c>
      <c r="C3195" s="2">
        <v>4.1666666666666657E-2</v>
      </c>
      <c r="D3195">
        <v>3</v>
      </c>
      <c r="E3195">
        <v>5.8</v>
      </c>
      <c r="F3195">
        <v>85</v>
      </c>
    </row>
    <row r="3196" spans="1:6" x14ac:dyDescent="0.35">
      <c r="A3196">
        <v>1975</v>
      </c>
      <c r="B3196" s="1">
        <v>45658</v>
      </c>
      <c r="C3196" s="2">
        <v>8.3333333333333329E-2</v>
      </c>
      <c r="D3196">
        <v>3</v>
      </c>
      <c r="E3196">
        <v>6.1</v>
      </c>
      <c r="F3196">
        <v>89</v>
      </c>
    </row>
    <row r="3197" spans="1:6" x14ac:dyDescent="0.35">
      <c r="A3197">
        <v>1975</v>
      </c>
      <c r="B3197" s="1">
        <v>45658</v>
      </c>
      <c r="C3197" s="2">
        <v>0.125</v>
      </c>
      <c r="D3197">
        <v>3</v>
      </c>
      <c r="E3197">
        <v>6.6</v>
      </c>
      <c r="F3197">
        <v>89</v>
      </c>
    </row>
    <row r="3198" spans="1:6" x14ac:dyDescent="0.35">
      <c r="A3198">
        <v>1975</v>
      </c>
      <c r="B3198" s="1">
        <v>45658</v>
      </c>
      <c r="C3198" s="2">
        <v>0.16666666666666671</v>
      </c>
      <c r="D3198">
        <v>3</v>
      </c>
      <c r="E3198">
        <v>6.8</v>
      </c>
      <c r="F3198">
        <v>88</v>
      </c>
    </row>
    <row r="3199" spans="1:6" x14ac:dyDescent="0.35">
      <c r="A3199">
        <v>1975</v>
      </c>
      <c r="B3199" s="1">
        <v>45658</v>
      </c>
      <c r="C3199" s="2">
        <v>0.20833333333333329</v>
      </c>
      <c r="D3199">
        <v>3</v>
      </c>
      <c r="E3199">
        <v>7.4</v>
      </c>
      <c r="F3199">
        <v>84</v>
      </c>
    </row>
    <row r="3200" spans="1:6" x14ac:dyDescent="0.35">
      <c r="A3200">
        <v>1975</v>
      </c>
      <c r="B3200" s="1">
        <v>45658</v>
      </c>
      <c r="C3200" s="2">
        <v>0.25</v>
      </c>
      <c r="D3200">
        <v>3</v>
      </c>
      <c r="E3200">
        <v>7.7</v>
      </c>
      <c r="F3200">
        <v>83</v>
      </c>
    </row>
    <row r="3201" spans="1:6" x14ac:dyDescent="0.35">
      <c r="A3201">
        <v>1975</v>
      </c>
      <c r="B3201" s="1">
        <v>45658</v>
      </c>
      <c r="C3201" s="2">
        <v>0.29166666666666669</v>
      </c>
      <c r="D3201">
        <v>3</v>
      </c>
      <c r="E3201">
        <v>7.4</v>
      </c>
      <c r="F3201">
        <v>89</v>
      </c>
    </row>
    <row r="3202" spans="1:6" x14ac:dyDescent="0.35">
      <c r="A3202">
        <v>1975</v>
      </c>
      <c r="B3202" s="1">
        <v>45658</v>
      </c>
      <c r="C3202" s="2">
        <v>0.33333333333333331</v>
      </c>
      <c r="D3202">
        <v>3</v>
      </c>
      <c r="E3202">
        <v>7.6</v>
      </c>
      <c r="F3202">
        <v>85</v>
      </c>
    </row>
    <row r="3203" spans="1:6" x14ac:dyDescent="0.35">
      <c r="A3203">
        <v>1975</v>
      </c>
      <c r="B3203" s="1">
        <v>45658</v>
      </c>
      <c r="C3203" s="2">
        <v>0.375</v>
      </c>
      <c r="D3203">
        <v>3</v>
      </c>
      <c r="E3203">
        <v>7.9</v>
      </c>
      <c r="F3203">
        <v>81</v>
      </c>
    </row>
    <row r="3204" spans="1:6" x14ac:dyDescent="0.35">
      <c r="A3204">
        <v>1975</v>
      </c>
      <c r="B3204" s="1">
        <v>45658</v>
      </c>
      <c r="C3204" s="2">
        <v>0.41666666666666669</v>
      </c>
      <c r="D3204">
        <v>3</v>
      </c>
      <c r="E3204">
        <v>7.8</v>
      </c>
      <c r="F3204">
        <v>81</v>
      </c>
    </row>
    <row r="3205" spans="1:6" x14ac:dyDescent="0.35">
      <c r="A3205">
        <v>1975</v>
      </c>
      <c r="B3205" s="1">
        <v>45658</v>
      </c>
      <c r="C3205" s="2">
        <v>0.45833333333333331</v>
      </c>
      <c r="D3205">
        <v>3</v>
      </c>
      <c r="E3205">
        <v>7.6</v>
      </c>
      <c r="F3205">
        <v>82</v>
      </c>
    </row>
    <row r="3206" spans="1:6" x14ac:dyDescent="0.35">
      <c r="A3206">
        <v>1975</v>
      </c>
      <c r="B3206" s="1">
        <v>45658</v>
      </c>
      <c r="C3206" s="2">
        <v>0.5</v>
      </c>
      <c r="D3206">
        <v>3</v>
      </c>
      <c r="E3206">
        <v>7.5</v>
      </c>
      <c r="F3206">
        <v>82</v>
      </c>
    </row>
    <row r="3207" spans="1:6" x14ac:dyDescent="0.35">
      <c r="A3207">
        <v>1975</v>
      </c>
      <c r="B3207" s="1">
        <v>45658</v>
      </c>
      <c r="C3207" s="2">
        <v>0.54166666666666663</v>
      </c>
      <c r="D3207">
        <v>3</v>
      </c>
      <c r="E3207">
        <v>7.6</v>
      </c>
      <c r="F3207">
        <v>84</v>
      </c>
    </row>
    <row r="3208" spans="1:6" x14ac:dyDescent="0.35">
      <c r="A3208">
        <v>1975</v>
      </c>
      <c r="B3208" s="1">
        <v>45658</v>
      </c>
      <c r="C3208" s="2">
        <v>0.58333333333333337</v>
      </c>
      <c r="D3208">
        <v>3</v>
      </c>
      <c r="E3208">
        <v>7.7</v>
      </c>
      <c r="F3208">
        <v>85</v>
      </c>
    </row>
    <row r="3209" spans="1:6" x14ac:dyDescent="0.35">
      <c r="A3209">
        <v>1975</v>
      </c>
      <c r="B3209" s="1">
        <v>45658</v>
      </c>
      <c r="C3209" s="2">
        <v>0.625</v>
      </c>
      <c r="D3209">
        <v>3</v>
      </c>
      <c r="E3209">
        <v>7.5</v>
      </c>
      <c r="F3209">
        <v>91</v>
      </c>
    </row>
    <row r="3210" spans="1:6" x14ac:dyDescent="0.35">
      <c r="A3210">
        <v>1975</v>
      </c>
      <c r="B3210" s="1">
        <v>45658</v>
      </c>
      <c r="C3210" s="2">
        <v>0.66666666666666663</v>
      </c>
      <c r="D3210">
        <v>3</v>
      </c>
      <c r="E3210">
        <v>7.6</v>
      </c>
      <c r="F3210">
        <v>92</v>
      </c>
    </row>
    <row r="3211" spans="1:6" x14ac:dyDescent="0.35">
      <c r="A3211">
        <v>1975</v>
      </c>
      <c r="B3211" s="1">
        <v>45658</v>
      </c>
      <c r="C3211" s="2">
        <v>0.70833333333333337</v>
      </c>
      <c r="D3211">
        <v>3</v>
      </c>
      <c r="E3211">
        <v>7.8</v>
      </c>
      <c r="F3211">
        <v>92</v>
      </c>
    </row>
    <row r="3212" spans="1:6" x14ac:dyDescent="0.35">
      <c r="A3212">
        <v>1975</v>
      </c>
      <c r="B3212" s="1">
        <v>45658</v>
      </c>
      <c r="C3212" s="2">
        <v>0.75</v>
      </c>
      <c r="D3212">
        <v>3</v>
      </c>
      <c r="E3212">
        <v>7.5</v>
      </c>
      <c r="F3212">
        <v>92</v>
      </c>
    </row>
    <row r="3213" spans="1:6" x14ac:dyDescent="0.35">
      <c r="A3213">
        <v>1975</v>
      </c>
      <c r="B3213" s="1">
        <v>45658</v>
      </c>
      <c r="C3213" s="2">
        <v>0.79166666666666663</v>
      </c>
      <c r="D3213">
        <v>3</v>
      </c>
      <c r="E3213">
        <v>5.9</v>
      </c>
      <c r="F3213">
        <v>91</v>
      </c>
    </row>
    <row r="3214" spans="1:6" x14ac:dyDescent="0.35">
      <c r="A3214">
        <v>1975</v>
      </c>
      <c r="B3214" s="1">
        <v>45658</v>
      </c>
      <c r="C3214" s="2">
        <v>0.83333333333333337</v>
      </c>
      <c r="D3214">
        <v>3</v>
      </c>
      <c r="E3214">
        <v>5.7</v>
      </c>
      <c r="F3214">
        <v>91</v>
      </c>
    </row>
    <row r="3215" spans="1:6" x14ac:dyDescent="0.35">
      <c r="A3215">
        <v>1975</v>
      </c>
      <c r="B3215" s="1">
        <v>45658</v>
      </c>
      <c r="C3215" s="2">
        <v>0.875</v>
      </c>
      <c r="D3215">
        <v>3</v>
      </c>
      <c r="E3215">
        <v>5.3</v>
      </c>
      <c r="F3215">
        <v>91</v>
      </c>
    </row>
    <row r="3216" spans="1:6" x14ac:dyDescent="0.35">
      <c r="A3216">
        <v>1975</v>
      </c>
      <c r="B3216" s="1">
        <v>45658</v>
      </c>
      <c r="C3216" s="2">
        <v>0.91666666666666663</v>
      </c>
      <c r="D3216">
        <v>3</v>
      </c>
      <c r="E3216">
        <v>5.3</v>
      </c>
      <c r="F3216">
        <v>91</v>
      </c>
    </row>
    <row r="3217" spans="1:6" x14ac:dyDescent="0.35">
      <c r="A3217">
        <v>1975</v>
      </c>
      <c r="B3217" s="1">
        <v>45658</v>
      </c>
      <c r="C3217" s="2">
        <v>0.95833333333333337</v>
      </c>
      <c r="D3217">
        <v>3</v>
      </c>
      <c r="E3217">
        <v>5.3</v>
      </c>
      <c r="F3217">
        <v>92</v>
      </c>
    </row>
    <row r="3218" spans="1:6" x14ac:dyDescent="0.35">
      <c r="A3218">
        <v>1975</v>
      </c>
      <c r="B3218" s="1">
        <v>45659</v>
      </c>
      <c r="C3218" s="2">
        <v>0</v>
      </c>
      <c r="D3218">
        <v>3</v>
      </c>
      <c r="E3218">
        <v>5.5</v>
      </c>
      <c r="F3218">
        <v>90</v>
      </c>
    </row>
    <row r="3219" spans="1:6" x14ac:dyDescent="0.35">
      <c r="A3219">
        <v>1975</v>
      </c>
      <c r="B3219" s="1">
        <v>45659</v>
      </c>
      <c r="C3219" s="2">
        <v>4.1666666666666657E-2</v>
      </c>
      <c r="D3219">
        <v>3</v>
      </c>
      <c r="E3219">
        <v>5.7</v>
      </c>
      <c r="F3219">
        <v>87</v>
      </c>
    </row>
    <row r="3220" spans="1:6" x14ac:dyDescent="0.35">
      <c r="A3220">
        <v>1975</v>
      </c>
      <c r="B3220" s="1">
        <v>45659</v>
      </c>
      <c r="C3220" s="2">
        <v>8.3333333333333329E-2</v>
      </c>
      <c r="D3220">
        <v>3</v>
      </c>
      <c r="E3220">
        <v>2.8</v>
      </c>
      <c r="F3220">
        <v>93</v>
      </c>
    </row>
    <row r="3221" spans="1:6" x14ac:dyDescent="0.35">
      <c r="A3221">
        <v>1975</v>
      </c>
      <c r="B3221" s="1">
        <v>45659</v>
      </c>
      <c r="C3221" s="2">
        <v>0.125</v>
      </c>
      <c r="D3221">
        <v>3</v>
      </c>
      <c r="E3221">
        <v>2.7</v>
      </c>
      <c r="F3221">
        <v>91</v>
      </c>
    </row>
    <row r="3222" spans="1:6" x14ac:dyDescent="0.35">
      <c r="A3222">
        <v>1975</v>
      </c>
      <c r="B3222" s="1">
        <v>45659</v>
      </c>
      <c r="C3222" s="2">
        <v>0.16666666666666671</v>
      </c>
      <c r="D3222">
        <v>3</v>
      </c>
      <c r="E3222">
        <v>1.9</v>
      </c>
      <c r="F3222">
        <v>95</v>
      </c>
    </row>
    <row r="3223" spans="1:6" x14ac:dyDescent="0.35">
      <c r="A3223">
        <v>1975</v>
      </c>
      <c r="B3223" s="1">
        <v>45659</v>
      </c>
      <c r="C3223" s="2">
        <v>0.20833333333333329</v>
      </c>
      <c r="D3223">
        <v>3</v>
      </c>
      <c r="E3223">
        <v>1.9</v>
      </c>
      <c r="F3223">
        <v>93</v>
      </c>
    </row>
    <row r="3224" spans="1:6" x14ac:dyDescent="0.35">
      <c r="A3224">
        <v>1975</v>
      </c>
      <c r="B3224" s="1">
        <v>45659</v>
      </c>
      <c r="C3224" s="2">
        <v>0.25</v>
      </c>
      <c r="D3224">
        <v>3</v>
      </c>
      <c r="E3224">
        <v>1.6</v>
      </c>
      <c r="F3224">
        <v>93</v>
      </c>
    </row>
    <row r="3225" spans="1:6" x14ac:dyDescent="0.35">
      <c r="A3225">
        <v>1975</v>
      </c>
      <c r="B3225" s="1">
        <v>45659</v>
      </c>
      <c r="C3225" s="2">
        <v>0.29166666666666669</v>
      </c>
      <c r="D3225">
        <v>3</v>
      </c>
      <c r="E3225">
        <v>1.7</v>
      </c>
      <c r="F3225">
        <v>93</v>
      </c>
    </row>
    <row r="3226" spans="1:6" x14ac:dyDescent="0.35">
      <c r="A3226">
        <v>1975</v>
      </c>
      <c r="B3226" s="1">
        <v>45659</v>
      </c>
      <c r="C3226" s="2">
        <v>0.33333333333333331</v>
      </c>
      <c r="D3226">
        <v>3</v>
      </c>
      <c r="E3226">
        <v>1.9</v>
      </c>
      <c r="F3226">
        <v>91</v>
      </c>
    </row>
    <row r="3227" spans="1:6" x14ac:dyDescent="0.35">
      <c r="A3227">
        <v>1975</v>
      </c>
      <c r="B3227" s="1">
        <v>45659</v>
      </c>
      <c r="C3227" s="2">
        <v>0.375</v>
      </c>
      <c r="D3227">
        <v>3</v>
      </c>
      <c r="E3227">
        <v>2.4</v>
      </c>
      <c r="F3227">
        <v>86</v>
      </c>
    </row>
    <row r="3228" spans="1:6" x14ac:dyDescent="0.35">
      <c r="A3228">
        <v>1975</v>
      </c>
      <c r="B3228" s="1">
        <v>45659</v>
      </c>
      <c r="C3228" s="2">
        <v>0.41666666666666669</v>
      </c>
      <c r="D3228">
        <v>3</v>
      </c>
      <c r="E3228">
        <v>2.4</v>
      </c>
      <c r="F3228">
        <v>90</v>
      </c>
    </row>
    <row r="3229" spans="1:6" x14ac:dyDescent="0.35">
      <c r="A3229">
        <v>1975</v>
      </c>
      <c r="B3229" s="1">
        <v>45659</v>
      </c>
      <c r="C3229" s="2">
        <v>0.45833333333333331</v>
      </c>
      <c r="D3229">
        <v>3</v>
      </c>
      <c r="E3229">
        <v>3</v>
      </c>
      <c r="F3229">
        <v>85</v>
      </c>
    </row>
    <row r="3230" spans="1:6" x14ac:dyDescent="0.35">
      <c r="A3230">
        <v>1975</v>
      </c>
      <c r="B3230" s="1">
        <v>45659</v>
      </c>
      <c r="C3230" s="2">
        <v>0.5</v>
      </c>
      <c r="D3230">
        <v>3</v>
      </c>
      <c r="E3230">
        <v>2.8</v>
      </c>
      <c r="F3230">
        <v>90</v>
      </c>
    </row>
    <row r="3231" spans="1:6" x14ac:dyDescent="0.35">
      <c r="A3231">
        <v>1975</v>
      </c>
      <c r="B3231" s="1">
        <v>45659</v>
      </c>
      <c r="C3231" s="2">
        <v>0.54166666666666663</v>
      </c>
      <c r="D3231">
        <v>3</v>
      </c>
      <c r="E3231">
        <v>3.6</v>
      </c>
      <c r="F3231">
        <v>86</v>
      </c>
    </row>
    <row r="3232" spans="1:6" x14ac:dyDescent="0.35">
      <c r="A3232">
        <v>1975</v>
      </c>
      <c r="B3232" s="1">
        <v>45659</v>
      </c>
      <c r="C3232" s="2">
        <v>0.58333333333333337</v>
      </c>
      <c r="D3232">
        <v>3</v>
      </c>
      <c r="E3232">
        <v>3.9</v>
      </c>
      <c r="F3232">
        <v>83</v>
      </c>
    </row>
    <row r="3233" spans="1:6" x14ac:dyDescent="0.35">
      <c r="A3233">
        <v>1975</v>
      </c>
      <c r="B3233" s="1">
        <v>45659</v>
      </c>
      <c r="C3233" s="2">
        <v>0.625</v>
      </c>
      <c r="D3233">
        <v>3</v>
      </c>
      <c r="E3233">
        <v>3.1</v>
      </c>
      <c r="F3233">
        <v>88</v>
      </c>
    </row>
    <row r="3234" spans="1:6" x14ac:dyDescent="0.35">
      <c r="A3234">
        <v>1975</v>
      </c>
      <c r="B3234" s="1">
        <v>45659</v>
      </c>
      <c r="C3234" s="2">
        <v>0.66666666666666663</v>
      </c>
      <c r="D3234">
        <v>3</v>
      </c>
      <c r="E3234">
        <v>2.2000000000000002</v>
      </c>
      <c r="F3234">
        <v>92</v>
      </c>
    </row>
    <row r="3235" spans="1:6" x14ac:dyDescent="0.35">
      <c r="A3235">
        <v>1975</v>
      </c>
      <c r="B3235" s="1">
        <v>45659</v>
      </c>
      <c r="C3235" s="2">
        <v>0.70833333333333337</v>
      </c>
      <c r="D3235">
        <v>3</v>
      </c>
      <c r="E3235">
        <v>1.2</v>
      </c>
      <c r="F3235">
        <v>96</v>
      </c>
    </row>
    <row r="3236" spans="1:6" x14ac:dyDescent="0.35">
      <c r="A3236">
        <v>1975</v>
      </c>
      <c r="B3236" s="1">
        <v>45659</v>
      </c>
      <c r="C3236" s="2">
        <v>0.75</v>
      </c>
      <c r="D3236">
        <v>3</v>
      </c>
      <c r="E3236">
        <v>1.9</v>
      </c>
      <c r="F3236">
        <v>91</v>
      </c>
    </row>
    <row r="3237" spans="1:6" x14ac:dyDescent="0.35">
      <c r="A3237">
        <v>1975</v>
      </c>
      <c r="B3237" s="1">
        <v>45659</v>
      </c>
      <c r="C3237" s="2">
        <v>0.79166666666666663</v>
      </c>
      <c r="D3237">
        <v>3</v>
      </c>
      <c r="E3237">
        <v>1.4</v>
      </c>
      <c r="F3237">
        <v>96</v>
      </c>
    </row>
    <row r="3238" spans="1:6" x14ac:dyDescent="0.35">
      <c r="A3238">
        <v>1975</v>
      </c>
      <c r="B3238" s="1">
        <v>45659</v>
      </c>
      <c r="C3238" s="2">
        <v>0.83333333333333337</v>
      </c>
      <c r="D3238">
        <v>3</v>
      </c>
      <c r="E3238">
        <v>0.9</v>
      </c>
      <c r="F3238">
        <v>96</v>
      </c>
    </row>
    <row r="3239" spans="1:6" x14ac:dyDescent="0.35">
      <c r="A3239">
        <v>1975</v>
      </c>
      <c r="B3239" s="1">
        <v>45659</v>
      </c>
      <c r="C3239" s="2">
        <v>0.875</v>
      </c>
      <c r="D3239">
        <v>3</v>
      </c>
      <c r="E3239">
        <v>0.7</v>
      </c>
      <c r="F3239">
        <v>98</v>
      </c>
    </row>
    <row r="3240" spans="1:6" x14ac:dyDescent="0.35">
      <c r="A3240">
        <v>1975</v>
      </c>
      <c r="B3240" s="1">
        <v>45659</v>
      </c>
      <c r="C3240" s="2">
        <v>0.91666666666666663</v>
      </c>
      <c r="D3240">
        <v>3</v>
      </c>
      <c r="E3240">
        <v>1.7</v>
      </c>
      <c r="F3240">
        <v>96</v>
      </c>
    </row>
    <row r="3241" spans="1:6" x14ac:dyDescent="0.35">
      <c r="A3241">
        <v>1975</v>
      </c>
      <c r="B3241" s="1">
        <v>45659</v>
      </c>
      <c r="C3241" s="2">
        <v>0.95833333333333337</v>
      </c>
      <c r="D3241">
        <v>3</v>
      </c>
      <c r="E3241">
        <v>1.2</v>
      </c>
      <c r="F3241">
        <v>97</v>
      </c>
    </row>
    <row r="3242" spans="1:6" x14ac:dyDescent="0.35">
      <c r="A3242">
        <v>1975</v>
      </c>
      <c r="B3242" s="1">
        <v>45660</v>
      </c>
      <c r="C3242" s="2">
        <v>0</v>
      </c>
      <c r="D3242">
        <v>3</v>
      </c>
      <c r="E3242">
        <v>0.9</v>
      </c>
      <c r="F3242">
        <v>97</v>
      </c>
    </row>
    <row r="3243" spans="1:6" x14ac:dyDescent="0.35">
      <c r="A3243">
        <v>1975</v>
      </c>
      <c r="B3243" s="1">
        <v>45660</v>
      </c>
      <c r="C3243" s="2">
        <v>4.1666666666666657E-2</v>
      </c>
      <c r="D3243">
        <v>3</v>
      </c>
      <c r="E3243">
        <v>0.9</v>
      </c>
      <c r="F3243">
        <v>96</v>
      </c>
    </row>
    <row r="3244" spans="1:6" x14ac:dyDescent="0.35">
      <c r="A3244">
        <v>1975</v>
      </c>
      <c r="B3244" s="1">
        <v>45660</v>
      </c>
      <c r="C3244" s="2">
        <v>8.3333333333333329E-2</v>
      </c>
      <c r="D3244">
        <v>3</v>
      </c>
      <c r="E3244">
        <v>0.8</v>
      </c>
      <c r="F3244">
        <v>95</v>
      </c>
    </row>
    <row r="3245" spans="1:6" x14ac:dyDescent="0.35">
      <c r="A3245">
        <v>1975</v>
      </c>
      <c r="B3245" s="1">
        <v>45660</v>
      </c>
      <c r="C3245" s="2">
        <v>0.125</v>
      </c>
      <c r="D3245">
        <v>3</v>
      </c>
      <c r="E3245">
        <v>0.6</v>
      </c>
      <c r="F3245">
        <v>97</v>
      </c>
    </row>
    <row r="3246" spans="1:6" x14ac:dyDescent="0.35">
      <c r="A3246">
        <v>1975</v>
      </c>
      <c r="B3246" s="1">
        <v>45660</v>
      </c>
      <c r="C3246" s="2">
        <v>0.16666666666666671</v>
      </c>
      <c r="D3246">
        <v>3</v>
      </c>
      <c r="E3246">
        <v>0.8</v>
      </c>
      <c r="F3246">
        <v>95</v>
      </c>
    </row>
    <row r="3247" spans="1:6" x14ac:dyDescent="0.35">
      <c r="A3247">
        <v>1975</v>
      </c>
      <c r="B3247" s="1">
        <v>45660</v>
      </c>
      <c r="C3247" s="2">
        <v>0.20833333333333329</v>
      </c>
      <c r="D3247">
        <v>3</v>
      </c>
      <c r="E3247">
        <v>0.4</v>
      </c>
      <c r="F3247">
        <v>97</v>
      </c>
    </row>
    <row r="3248" spans="1:6" x14ac:dyDescent="0.35">
      <c r="A3248">
        <v>1975</v>
      </c>
      <c r="B3248" s="1">
        <v>45660</v>
      </c>
      <c r="C3248" s="2">
        <v>0.25</v>
      </c>
      <c r="D3248">
        <v>3</v>
      </c>
      <c r="E3248">
        <v>0.5</v>
      </c>
      <c r="F3248">
        <v>95</v>
      </c>
    </row>
    <row r="3249" spans="1:6" x14ac:dyDescent="0.35">
      <c r="A3249">
        <v>1975</v>
      </c>
      <c r="B3249" s="1">
        <v>45660</v>
      </c>
      <c r="C3249" s="2">
        <v>0.29166666666666669</v>
      </c>
      <c r="D3249">
        <v>3</v>
      </c>
      <c r="E3249">
        <v>0.7</v>
      </c>
      <c r="F3249">
        <v>94</v>
      </c>
    </row>
    <row r="3250" spans="1:6" x14ac:dyDescent="0.35">
      <c r="A3250">
        <v>1975</v>
      </c>
      <c r="B3250" s="1">
        <v>45660</v>
      </c>
      <c r="C3250" s="2">
        <v>0.33333333333333331</v>
      </c>
      <c r="D3250">
        <v>3</v>
      </c>
      <c r="E3250">
        <v>0.5</v>
      </c>
      <c r="F3250">
        <v>96</v>
      </c>
    </row>
    <row r="3251" spans="1:6" x14ac:dyDescent="0.35">
      <c r="A3251">
        <v>1975</v>
      </c>
      <c r="B3251" s="1">
        <v>45660</v>
      </c>
      <c r="C3251" s="2">
        <v>0.375</v>
      </c>
      <c r="D3251">
        <v>3</v>
      </c>
      <c r="E3251">
        <v>1</v>
      </c>
      <c r="F3251">
        <v>93</v>
      </c>
    </row>
    <row r="3252" spans="1:6" x14ac:dyDescent="0.35">
      <c r="A3252">
        <v>1975</v>
      </c>
      <c r="B3252" s="1">
        <v>45660</v>
      </c>
      <c r="C3252" s="2">
        <v>0.41666666666666669</v>
      </c>
      <c r="D3252">
        <v>3</v>
      </c>
      <c r="E3252">
        <v>0.2</v>
      </c>
      <c r="F3252">
        <v>100</v>
      </c>
    </row>
    <row r="3253" spans="1:6" x14ac:dyDescent="0.35">
      <c r="A3253">
        <v>1975</v>
      </c>
      <c r="B3253" s="1">
        <v>45660</v>
      </c>
      <c r="C3253" s="2">
        <v>0.45833333333333331</v>
      </c>
      <c r="D3253">
        <v>3</v>
      </c>
      <c r="E3253">
        <v>0.3</v>
      </c>
      <c r="F3253">
        <v>99</v>
      </c>
    </row>
    <row r="3254" spans="1:6" x14ac:dyDescent="0.35">
      <c r="A3254">
        <v>1975</v>
      </c>
      <c r="B3254" s="1">
        <v>45660</v>
      </c>
      <c r="C3254" s="2">
        <v>0.5</v>
      </c>
      <c r="D3254">
        <v>3</v>
      </c>
      <c r="E3254">
        <v>0.7</v>
      </c>
      <c r="F3254">
        <v>89</v>
      </c>
    </row>
    <row r="3255" spans="1:6" x14ac:dyDescent="0.35">
      <c r="A3255">
        <v>1975</v>
      </c>
      <c r="B3255" s="1">
        <v>45660</v>
      </c>
      <c r="C3255" s="2">
        <v>0.54166666666666663</v>
      </c>
      <c r="D3255">
        <v>3</v>
      </c>
      <c r="E3255">
        <v>0.3</v>
      </c>
      <c r="F3255">
        <v>87</v>
      </c>
    </row>
    <row r="3256" spans="1:6" x14ac:dyDescent="0.35">
      <c r="A3256">
        <v>1975</v>
      </c>
      <c r="B3256" s="1">
        <v>45660</v>
      </c>
      <c r="C3256" s="2">
        <v>0.58333333333333337</v>
      </c>
      <c r="D3256">
        <v>3</v>
      </c>
      <c r="E3256">
        <v>0</v>
      </c>
      <c r="F3256">
        <v>94</v>
      </c>
    </row>
    <row r="3257" spans="1:6" x14ac:dyDescent="0.35">
      <c r="A3257">
        <v>1975</v>
      </c>
      <c r="B3257" s="1">
        <v>45660</v>
      </c>
      <c r="C3257" s="2">
        <v>0.625</v>
      </c>
      <c r="D3257">
        <v>3</v>
      </c>
      <c r="E3257">
        <v>-0.1</v>
      </c>
      <c r="F3257">
        <v>94</v>
      </c>
    </row>
    <row r="3258" spans="1:6" x14ac:dyDescent="0.35">
      <c r="A3258">
        <v>1975</v>
      </c>
      <c r="B3258" s="1">
        <v>45660</v>
      </c>
      <c r="C3258" s="2">
        <v>0.66666666666666663</v>
      </c>
      <c r="D3258">
        <v>3</v>
      </c>
      <c r="E3258">
        <v>-0.5</v>
      </c>
      <c r="F3258">
        <v>90</v>
      </c>
    </row>
    <row r="3259" spans="1:6" x14ac:dyDescent="0.35">
      <c r="A3259">
        <v>1975</v>
      </c>
      <c r="B3259" s="1">
        <v>45660</v>
      </c>
      <c r="C3259" s="2">
        <v>0.70833333333333337</v>
      </c>
      <c r="D3259">
        <v>3</v>
      </c>
      <c r="E3259">
        <v>-0.4</v>
      </c>
      <c r="F3259">
        <v>94</v>
      </c>
    </row>
    <row r="3260" spans="1:6" x14ac:dyDescent="0.35">
      <c r="A3260">
        <v>1975</v>
      </c>
      <c r="B3260" s="1">
        <v>45660</v>
      </c>
      <c r="C3260" s="2">
        <v>0.75</v>
      </c>
      <c r="D3260">
        <v>3</v>
      </c>
      <c r="E3260">
        <v>-0.4</v>
      </c>
      <c r="F3260">
        <v>95</v>
      </c>
    </row>
    <row r="3261" spans="1:6" x14ac:dyDescent="0.35">
      <c r="A3261">
        <v>1975</v>
      </c>
      <c r="B3261" s="1">
        <v>45660</v>
      </c>
      <c r="C3261" s="2">
        <v>0.79166666666666663</v>
      </c>
      <c r="D3261">
        <v>3</v>
      </c>
      <c r="E3261">
        <v>-1</v>
      </c>
      <c r="F3261">
        <v>94</v>
      </c>
    </row>
    <row r="3262" spans="1:6" x14ac:dyDescent="0.35">
      <c r="A3262">
        <v>1975</v>
      </c>
      <c r="B3262" s="1">
        <v>45660</v>
      </c>
      <c r="C3262" s="2">
        <v>0.83333333333333337</v>
      </c>
      <c r="D3262">
        <v>3</v>
      </c>
      <c r="E3262">
        <v>-0.5</v>
      </c>
      <c r="F3262">
        <v>95</v>
      </c>
    </row>
    <row r="3263" spans="1:6" x14ac:dyDescent="0.35">
      <c r="A3263">
        <v>1975</v>
      </c>
      <c r="B3263" s="1">
        <v>45660</v>
      </c>
      <c r="C3263" s="2">
        <v>0.875</v>
      </c>
      <c r="D3263">
        <v>3</v>
      </c>
      <c r="E3263">
        <v>-0.9</v>
      </c>
      <c r="F3263">
        <v>96</v>
      </c>
    </row>
    <row r="3264" spans="1:6" x14ac:dyDescent="0.35">
      <c r="A3264">
        <v>1975</v>
      </c>
      <c r="B3264" s="1">
        <v>45660</v>
      </c>
      <c r="C3264" s="2">
        <v>0.91666666666666663</v>
      </c>
      <c r="D3264">
        <v>3</v>
      </c>
      <c r="E3264">
        <v>-0.8</v>
      </c>
      <c r="F3264">
        <v>95</v>
      </c>
    </row>
    <row r="3265" spans="1:6" x14ac:dyDescent="0.35">
      <c r="A3265">
        <v>1975</v>
      </c>
      <c r="B3265" s="1">
        <v>45660</v>
      </c>
      <c r="C3265" s="2">
        <v>0.95833333333333337</v>
      </c>
      <c r="D3265">
        <v>3</v>
      </c>
      <c r="E3265">
        <v>-0.5</v>
      </c>
      <c r="F3265">
        <v>93</v>
      </c>
    </row>
    <row r="3266" spans="1:6" x14ac:dyDescent="0.35">
      <c r="A3266">
        <v>1975</v>
      </c>
      <c r="B3266" s="1">
        <v>45661</v>
      </c>
      <c r="C3266" s="2">
        <v>0</v>
      </c>
      <c r="D3266">
        <v>3</v>
      </c>
      <c r="E3266">
        <v>-0.4</v>
      </c>
      <c r="F3266">
        <v>95</v>
      </c>
    </row>
    <row r="3267" spans="1:6" x14ac:dyDescent="0.35">
      <c r="A3267">
        <v>1975</v>
      </c>
      <c r="B3267" s="1">
        <v>45661</v>
      </c>
      <c r="C3267" s="2">
        <v>4.1666666666666657E-2</v>
      </c>
      <c r="D3267">
        <v>3</v>
      </c>
      <c r="E3267">
        <v>-0.9</v>
      </c>
      <c r="F3267">
        <v>96</v>
      </c>
    </row>
    <row r="3268" spans="1:6" x14ac:dyDescent="0.35">
      <c r="A3268">
        <v>1975</v>
      </c>
      <c r="B3268" s="1">
        <v>45661</v>
      </c>
      <c r="C3268" s="2">
        <v>8.3333333333333329E-2</v>
      </c>
      <c r="D3268">
        <v>3</v>
      </c>
      <c r="E3268">
        <v>-1.4</v>
      </c>
      <c r="F3268">
        <v>96</v>
      </c>
    </row>
    <row r="3269" spans="1:6" x14ac:dyDescent="0.35">
      <c r="A3269">
        <v>1975</v>
      </c>
      <c r="B3269" s="1">
        <v>45661</v>
      </c>
      <c r="C3269" s="2">
        <v>0.125</v>
      </c>
      <c r="D3269">
        <v>3</v>
      </c>
      <c r="E3269">
        <v>-0.9</v>
      </c>
      <c r="F3269">
        <v>96</v>
      </c>
    </row>
    <row r="3270" spans="1:6" x14ac:dyDescent="0.35">
      <c r="A3270">
        <v>1975</v>
      </c>
      <c r="B3270" s="1">
        <v>45661</v>
      </c>
      <c r="C3270" s="2">
        <v>0.16666666666666671</v>
      </c>
      <c r="D3270">
        <v>3</v>
      </c>
      <c r="E3270">
        <v>-0.5</v>
      </c>
      <c r="F3270">
        <v>96</v>
      </c>
    </row>
    <row r="3271" spans="1:6" x14ac:dyDescent="0.35">
      <c r="A3271">
        <v>1975</v>
      </c>
      <c r="B3271" s="1">
        <v>45661</v>
      </c>
      <c r="C3271" s="2">
        <v>0.20833333333333329</v>
      </c>
      <c r="D3271">
        <v>3</v>
      </c>
      <c r="E3271">
        <v>-1.7</v>
      </c>
      <c r="F3271">
        <v>97</v>
      </c>
    </row>
    <row r="3272" spans="1:6" x14ac:dyDescent="0.35">
      <c r="A3272">
        <v>1975</v>
      </c>
      <c r="B3272" s="1">
        <v>45661</v>
      </c>
      <c r="C3272" s="2">
        <v>0.25</v>
      </c>
      <c r="D3272">
        <v>3</v>
      </c>
      <c r="E3272">
        <v>-1.3</v>
      </c>
      <c r="F3272">
        <v>97</v>
      </c>
    </row>
    <row r="3273" spans="1:6" x14ac:dyDescent="0.35">
      <c r="A3273">
        <v>1975</v>
      </c>
      <c r="B3273" s="1">
        <v>45661</v>
      </c>
      <c r="C3273" s="2">
        <v>0.29166666666666669</v>
      </c>
      <c r="D3273">
        <v>3</v>
      </c>
      <c r="E3273">
        <v>-1.1000000000000001</v>
      </c>
      <c r="F3273">
        <v>98</v>
      </c>
    </row>
    <row r="3274" spans="1:6" x14ac:dyDescent="0.35">
      <c r="A3274">
        <v>1975</v>
      </c>
      <c r="B3274" s="1">
        <v>45661</v>
      </c>
      <c r="C3274" s="2">
        <v>0.33333333333333331</v>
      </c>
      <c r="D3274">
        <v>3</v>
      </c>
      <c r="E3274">
        <v>-0.8</v>
      </c>
      <c r="F3274">
        <v>96</v>
      </c>
    </row>
    <row r="3275" spans="1:6" x14ac:dyDescent="0.35">
      <c r="A3275">
        <v>1975</v>
      </c>
      <c r="B3275" s="1">
        <v>45661</v>
      </c>
      <c r="C3275" s="2">
        <v>0.375</v>
      </c>
      <c r="D3275">
        <v>3</v>
      </c>
      <c r="E3275">
        <v>-0.7</v>
      </c>
      <c r="F3275">
        <v>96</v>
      </c>
    </row>
    <row r="3276" spans="1:6" x14ac:dyDescent="0.35">
      <c r="A3276">
        <v>1975</v>
      </c>
      <c r="B3276" s="1">
        <v>45661</v>
      </c>
      <c r="C3276" s="2">
        <v>0.41666666666666669</v>
      </c>
      <c r="D3276">
        <v>3</v>
      </c>
      <c r="E3276">
        <v>-0.6</v>
      </c>
      <c r="F3276">
        <v>95</v>
      </c>
    </row>
    <row r="3277" spans="1:6" x14ac:dyDescent="0.35">
      <c r="A3277">
        <v>1975</v>
      </c>
      <c r="B3277" s="1">
        <v>45661</v>
      </c>
      <c r="C3277" s="2">
        <v>0.45833333333333331</v>
      </c>
      <c r="D3277">
        <v>3</v>
      </c>
      <c r="E3277">
        <v>-0.1</v>
      </c>
      <c r="F3277">
        <v>95</v>
      </c>
    </row>
    <row r="3278" spans="1:6" x14ac:dyDescent="0.35">
      <c r="A3278">
        <v>1975</v>
      </c>
      <c r="B3278" s="1">
        <v>45661</v>
      </c>
      <c r="C3278" s="2">
        <v>0.5</v>
      </c>
      <c r="D3278">
        <v>3</v>
      </c>
      <c r="E3278">
        <v>0.4</v>
      </c>
      <c r="F3278">
        <v>93</v>
      </c>
    </row>
    <row r="3279" spans="1:6" x14ac:dyDescent="0.35">
      <c r="A3279">
        <v>1975</v>
      </c>
      <c r="B3279" s="1">
        <v>45661</v>
      </c>
      <c r="C3279" s="2">
        <v>0.54166666666666663</v>
      </c>
      <c r="D3279">
        <v>3</v>
      </c>
      <c r="E3279">
        <v>0.5</v>
      </c>
      <c r="F3279">
        <v>93</v>
      </c>
    </row>
    <row r="3280" spans="1:6" x14ac:dyDescent="0.35">
      <c r="A3280">
        <v>1975</v>
      </c>
      <c r="B3280" s="1">
        <v>45661</v>
      </c>
      <c r="C3280" s="2">
        <v>0.58333333333333337</v>
      </c>
      <c r="D3280">
        <v>3</v>
      </c>
      <c r="E3280">
        <v>0.6</v>
      </c>
      <c r="F3280">
        <v>93</v>
      </c>
    </row>
    <row r="3281" spans="1:6" x14ac:dyDescent="0.35">
      <c r="A3281">
        <v>1975</v>
      </c>
      <c r="B3281" s="1">
        <v>45661</v>
      </c>
      <c r="C3281" s="2">
        <v>0.625</v>
      </c>
      <c r="D3281">
        <v>3</v>
      </c>
      <c r="E3281">
        <v>0.7</v>
      </c>
      <c r="F3281">
        <v>93</v>
      </c>
    </row>
    <row r="3282" spans="1:6" x14ac:dyDescent="0.35">
      <c r="A3282">
        <v>1975</v>
      </c>
      <c r="B3282" s="1">
        <v>45661</v>
      </c>
      <c r="C3282" s="2">
        <v>0.66666666666666663</v>
      </c>
      <c r="D3282">
        <v>3</v>
      </c>
      <c r="E3282">
        <v>0.7</v>
      </c>
      <c r="F3282">
        <v>94</v>
      </c>
    </row>
    <row r="3283" spans="1:6" x14ac:dyDescent="0.35">
      <c r="A3283">
        <v>1975</v>
      </c>
      <c r="B3283" s="1">
        <v>45661</v>
      </c>
      <c r="C3283" s="2">
        <v>0.70833333333333337</v>
      </c>
      <c r="D3283">
        <v>3</v>
      </c>
      <c r="E3283">
        <v>0.9</v>
      </c>
      <c r="F3283">
        <v>93</v>
      </c>
    </row>
    <row r="3284" spans="1:6" x14ac:dyDescent="0.35">
      <c r="A3284">
        <v>1975</v>
      </c>
      <c r="B3284" s="1">
        <v>45661</v>
      </c>
      <c r="C3284" s="2">
        <v>0.75</v>
      </c>
      <c r="D3284">
        <v>3</v>
      </c>
      <c r="E3284">
        <v>1</v>
      </c>
      <c r="F3284">
        <v>93</v>
      </c>
    </row>
    <row r="3285" spans="1:6" x14ac:dyDescent="0.35">
      <c r="A3285">
        <v>1975</v>
      </c>
      <c r="B3285" s="1">
        <v>45661</v>
      </c>
      <c r="C3285" s="2">
        <v>0.79166666666666663</v>
      </c>
      <c r="D3285">
        <v>3</v>
      </c>
      <c r="E3285">
        <v>1.1000000000000001</v>
      </c>
      <c r="F3285">
        <v>94</v>
      </c>
    </row>
    <row r="3286" spans="1:6" x14ac:dyDescent="0.35">
      <c r="A3286">
        <v>1975</v>
      </c>
      <c r="B3286" s="1">
        <v>45661</v>
      </c>
      <c r="C3286" s="2">
        <v>0.83333333333333337</v>
      </c>
      <c r="D3286">
        <v>3</v>
      </c>
      <c r="E3286">
        <v>1.1000000000000001</v>
      </c>
      <c r="F3286">
        <v>94</v>
      </c>
    </row>
    <row r="3287" spans="1:6" x14ac:dyDescent="0.35">
      <c r="A3287">
        <v>1975</v>
      </c>
      <c r="B3287" s="1">
        <v>45661</v>
      </c>
      <c r="C3287" s="2">
        <v>0.875</v>
      </c>
      <c r="D3287">
        <v>3</v>
      </c>
      <c r="E3287">
        <v>1</v>
      </c>
      <c r="F3287">
        <v>94</v>
      </c>
    </row>
    <row r="3288" spans="1:6" x14ac:dyDescent="0.35">
      <c r="A3288">
        <v>1975</v>
      </c>
      <c r="B3288" s="1">
        <v>45661</v>
      </c>
      <c r="C3288" s="2">
        <v>0.91666666666666663</v>
      </c>
      <c r="D3288">
        <v>3</v>
      </c>
      <c r="E3288">
        <v>1</v>
      </c>
      <c r="F3288">
        <v>95</v>
      </c>
    </row>
    <row r="3289" spans="1:6" x14ac:dyDescent="0.35">
      <c r="A3289">
        <v>1975</v>
      </c>
      <c r="B3289" s="1">
        <v>45661</v>
      </c>
      <c r="C3289" s="2">
        <v>0.95833333333333337</v>
      </c>
      <c r="D3289">
        <v>3</v>
      </c>
      <c r="E3289">
        <v>1</v>
      </c>
      <c r="F3289">
        <v>96</v>
      </c>
    </row>
    <row r="3290" spans="1:6" x14ac:dyDescent="0.35">
      <c r="A3290">
        <v>1975</v>
      </c>
      <c r="B3290" s="1">
        <v>45662</v>
      </c>
      <c r="C3290" s="2">
        <v>0</v>
      </c>
      <c r="D3290">
        <v>3</v>
      </c>
      <c r="E3290">
        <v>1</v>
      </c>
      <c r="F3290">
        <v>96</v>
      </c>
    </row>
    <row r="3291" spans="1:6" x14ac:dyDescent="0.35">
      <c r="A3291">
        <v>1975</v>
      </c>
      <c r="B3291" s="1">
        <v>45662</v>
      </c>
      <c r="C3291" s="2">
        <v>4.1666666666666657E-2</v>
      </c>
      <c r="D3291">
        <v>3</v>
      </c>
      <c r="E3291">
        <v>1.1000000000000001</v>
      </c>
      <c r="F3291">
        <v>95</v>
      </c>
    </row>
    <row r="3292" spans="1:6" x14ac:dyDescent="0.35">
      <c r="A3292">
        <v>1975</v>
      </c>
      <c r="B3292" s="1">
        <v>45662</v>
      </c>
      <c r="C3292" s="2">
        <v>8.3333333333333329E-2</v>
      </c>
      <c r="D3292">
        <v>3</v>
      </c>
      <c r="E3292">
        <v>1</v>
      </c>
      <c r="F3292">
        <v>93</v>
      </c>
    </row>
    <row r="3293" spans="1:6" x14ac:dyDescent="0.35">
      <c r="A3293">
        <v>1975</v>
      </c>
      <c r="B3293" s="1">
        <v>45662</v>
      </c>
      <c r="C3293" s="2">
        <v>0.125</v>
      </c>
      <c r="D3293">
        <v>3</v>
      </c>
      <c r="E3293">
        <v>1.1000000000000001</v>
      </c>
      <c r="F3293">
        <v>93</v>
      </c>
    </row>
    <row r="3294" spans="1:6" x14ac:dyDescent="0.35">
      <c r="A3294">
        <v>1975</v>
      </c>
      <c r="B3294" s="1">
        <v>45662</v>
      </c>
      <c r="C3294" s="2">
        <v>0.16666666666666671</v>
      </c>
      <c r="D3294">
        <v>3</v>
      </c>
      <c r="E3294">
        <v>0.9</v>
      </c>
      <c r="F3294">
        <v>94</v>
      </c>
    </row>
    <row r="3295" spans="1:6" x14ac:dyDescent="0.35">
      <c r="A3295">
        <v>1975</v>
      </c>
      <c r="B3295" s="1">
        <v>45662</v>
      </c>
      <c r="C3295" s="2">
        <v>0.20833333333333329</v>
      </c>
      <c r="D3295">
        <v>3</v>
      </c>
      <c r="E3295">
        <v>0.4</v>
      </c>
      <c r="F3295">
        <v>94</v>
      </c>
    </row>
    <row r="3296" spans="1:6" x14ac:dyDescent="0.35">
      <c r="A3296">
        <v>1975</v>
      </c>
      <c r="B3296" s="1">
        <v>45662</v>
      </c>
      <c r="C3296" s="2">
        <v>0.25</v>
      </c>
      <c r="D3296">
        <v>3</v>
      </c>
      <c r="E3296">
        <v>0.1</v>
      </c>
      <c r="F3296">
        <v>95</v>
      </c>
    </row>
    <row r="3297" spans="1:6" x14ac:dyDescent="0.35">
      <c r="A3297">
        <v>1975</v>
      </c>
      <c r="B3297" s="1">
        <v>45662</v>
      </c>
      <c r="C3297" s="2">
        <v>0.29166666666666669</v>
      </c>
      <c r="D3297">
        <v>3</v>
      </c>
      <c r="E3297">
        <v>-0.1</v>
      </c>
      <c r="F3297">
        <v>92</v>
      </c>
    </row>
    <row r="3298" spans="1:6" x14ac:dyDescent="0.35">
      <c r="A3298">
        <v>1975</v>
      </c>
      <c r="B3298" s="1">
        <v>45662</v>
      </c>
      <c r="C3298" s="2">
        <v>0.33333333333333331</v>
      </c>
      <c r="D3298">
        <v>3</v>
      </c>
      <c r="E3298">
        <v>-0.1</v>
      </c>
      <c r="F3298">
        <v>91</v>
      </c>
    </row>
    <row r="3299" spans="1:6" x14ac:dyDescent="0.35">
      <c r="A3299">
        <v>1975</v>
      </c>
      <c r="B3299" s="1">
        <v>45662</v>
      </c>
      <c r="C3299" s="2">
        <v>0.375</v>
      </c>
      <c r="D3299">
        <v>3</v>
      </c>
      <c r="E3299">
        <v>0.6</v>
      </c>
      <c r="F3299">
        <v>84</v>
      </c>
    </row>
    <row r="3300" spans="1:6" x14ac:dyDescent="0.35">
      <c r="A3300">
        <v>1975</v>
      </c>
      <c r="B3300" s="1">
        <v>45662</v>
      </c>
      <c r="C3300" s="2">
        <v>0.41666666666666669</v>
      </c>
      <c r="D3300">
        <v>3</v>
      </c>
      <c r="E3300">
        <v>0.9</v>
      </c>
      <c r="F3300">
        <v>80</v>
      </c>
    </row>
    <row r="3301" spans="1:6" x14ac:dyDescent="0.35">
      <c r="A3301">
        <v>1975</v>
      </c>
      <c r="B3301" s="1">
        <v>45662</v>
      </c>
      <c r="C3301" s="2">
        <v>0.45833333333333331</v>
      </c>
      <c r="D3301">
        <v>3</v>
      </c>
      <c r="E3301">
        <v>0.8</v>
      </c>
      <c r="F3301">
        <v>78</v>
      </c>
    </row>
    <row r="3302" spans="1:6" x14ac:dyDescent="0.35">
      <c r="A3302">
        <v>1975</v>
      </c>
      <c r="B3302" s="1">
        <v>45662</v>
      </c>
      <c r="C3302" s="2">
        <v>0.5</v>
      </c>
      <c r="D3302">
        <v>3</v>
      </c>
      <c r="E3302">
        <v>0.6</v>
      </c>
      <c r="F3302">
        <v>79</v>
      </c>
    </row>
    <row r="3303" spans="1:6" x14ac:dyDescent="0.35">
      <c r="A3303">
        <v>1975</v>
      </c>
      <c r="B3303" s="1">
        <v>45662</v>
      </c>
      <c r="C3303" s="2">
        <v>0.54166666666666663</v>
      </c>
      <c r="D3303">
        <v>3</v>
      </c>
      <c r="E3303">
        <v>0.8</v>
      </c>
      <c r="F3303">
        <v>78</v>
      </c>
    </row>
    <row r="3304" spans="1:6" x14ac:dyDescent="0.35">
      <c r="A3304">
        <v>1975</v>
      </c>
      <c r="B3304" s="1">
        <v>45662</v>
      </c>
      <c r="C3304" s="2">
        <v>0.58333333333333337</v>
      </c>
      <c r="D3304">
        <v>3</v>
      </c>
      <c r="E3304">
        <v>0.3</v>
      </c>
      <c r="F3304">
        <v>82</v>
      </c>
    </row>
    <row r="3305" spans="1:6" x14ac:dyDescent="0.35">
      <c r="A3305">
        <v>1975</v>
      </c>
      <c r="B3305" s="1">
        <v>45662</v>
      </c>
      <c r="C3305" s="2">
        <v>0.625</v>
      </c>
      <c r="D3305">
        <v>3</v>
      </c>
      <c r="E3305">
        <v>-0.3</v>
      </c>
      <c r="F3305">
        <v>95</v>
      </c>
    </row>
    <row r="3306" spans="1:6" x14ac:dyDescent="0.35">
      <c r="A3306">
        <v>1975</v>
      </c>
      <c r="B3306" s="1">
        <v>45662</v>
      </c>
      <c r="C3306" s="2">
        <v>0.66666666666666663</v>
      </c>
      <c r="D3306">
        <v>3</v>
      </c>
      <c r="E3306">
        <v>-0.4</v>
      </c>
      <c r="F3306">
        <v>96</v>
      </c>
    </row>
    <row r="3307" spans="1:6" x14ac:dyDescent="0.35">
      <c r="A3307">
        <v>1975</v>
      </c>
      <c r="B3307" s="1">
        <v>45662</v>
      </c>
      <c r="C3307" s="2">
        <v>0.70833333333333337</v>
      </c>
      <c r="D3307">
        <v>3</v>
      </c>
      <c r="E3307">
        <v>-0.3</v>
      </c>
      <c r="F3307">
        <v>93</v>
      </c>
    </row>
    <row r="3308" spans="1:6" x14ac:dyDescent="0.35">
      <c r="A3308">
        <v>1975</v>
      </c>
      <c r="B3308" s="1">
        <v>45662</v>
      </c>
      <c r="C3308" s="2">
        <v>0.75</v>
      </c>
      <c r="D3308">
        <v>3</v>
      </c>
      <c r="E3308">
        <v>-0.1</v>
      </c>
      <c r="F3308">
        <v>94</v>
      </c>
    </row>
    <row r="3309" spans="1:6" x14ac:dyDescent="0.35">
      <c r="A3309">
        <v>1975</v>
      </c>
      <c r="B3309" s="1">
        <v>45662</v>
      </c>
      <c r="C3309" s="2">
        <v>0.79166666666666663</v>
      </c>
      <c r="D3309">
        <v>3</v>
      </c>
      <c r="E3309">
        <v>0</v>
      </c>
      <c r="F3309">
        <v>94</v>
      </c>
    </row>
    <row r="3310" spans="1:6" x14ac:dyDescent="0.35">
      <c r="A3310">
        <v>1975</v>
      </c>
      <c r="B3310" s="1">
        <v>45662</v>
      </c>
      <c r="C3310" s="2">
        <v>0.83333333333333337</v>
      </c>
      <c r="D3310">
        <v>3</v>
      </c>
      <c r="E3310">
        <v>0.1</v>
      </c>
      <c r="F3310">
        <v>96</v>
      </c>
    </row>
    <row r="3311" spans="1:6" x14ac:dyDescent="0.35">
      <c r="A3311">
        <v>1975</v>
      </c>
      <c r="B3311" s="1">
        <v>45662</v>
      </c>
      <c r="C3311" s="2">
        <v>0.875</v>
      </c>
      <c r="D3311">
        <v>3</v>
      </c>
      <c r="E3311">
        <v>0.2</v>
      </c>
      <c r="F3311">
        <v>96</v>
      </c>
    </row>
    <row r="3312" spans="1:6" x14ac:dyDescent="0.35">
      <c r="A3312">
        <v>1975</v>
      </c>
      <c r="B3312" s="1">
        <v>45662</v>
      </c>
      <c r="C3312" s="2">
        <v>0.91666666666666663</v>
      </c>
      <c r="D3312">
        <v>3</v>
      </c>
      <c r="E3312">
        <v>0.4</v>
      </c>
      <c r="F3312">
        <v>98</v>
      </c>
    </row>
    <row r="3313" spans="1:6" x14ac:dyDescent="0.35">
      <c r="A3313">
        <v>1975</v>
      </c>
      <c r="B3313" s="1">
        <v>45662</v>
      </c>
      <c r="C3313" s="2">
        <v>0.95833333333333337</v>
      </c>
      <c r="D3313">
        <v>3</v>
      </c>
      <c r="E3313">
        <v>0.8</v>
      </c>
      <c r="F3313">
        <v>98</v>
      </c>
    </row>
    <row r="3314" spans="1:6" x14ac:dyDescent="0.35">
      <c r="A3314">
        <v>1975</v>
      </c>
      <c r="B3314" s="1">
        <v>45663</v>
      </c>
      <c r="C3314" s="2">
        <v>0</v>
      </c>
      <c r="D3314">
        <v>3</v>
      </c>
      <c r="E3314">
        <v>1.2</v>
      </c>
      <c r="F3314">
        <v>99</v>
      </c>
    </row>
    <row r="3315" spans="1:6" x14ac:dyDescent="0.35">
      <c r="A3315">
        <v>1975</v>
      </c>
      <c r="B3315" s="1">
        <v>45663</v>
      </c>
      <c r="C3315" s="2">
        <v>4.1666666666666657E-2</v>
      </c>
      <c r="D3315">
        <v>3</v>
      </c>
      <c r="E3315">
        <v>2.2999999999999998</v>
      </c>
      <c r="F3315">
        <v>100</v>
      </c>
    </row>
    <row r="3316" spans="1:6" x14ac:dyDescent="0.35">
      <c r="A3316">
        <v>1975</v>
      </c>
      <c r="B3316" s="1">
        <v>45663</v>
      </c>
      <c r="C3316" s="2">
        <v>8.3333333333333329E-2</v>
      </c>
      <c r="D3316">
        <v>3</v>
      </c>
      <c r="E3316">
        <v>3.1</v>
      </c>
      <c r="F3316">
        <v>100</v>
      </c>
    </row>
    <row r="3317" spans="1:6" x14ac:dyDescent="0.35">
      <c r="A3317">
        <v>1975</v>
      </c>
      <c r="B3317" s="1">
        <v>45663</v>
      </c>
      <c r="C3317" s="2">
        <v>0.125</v>
      </c>
      <c r="D3317">
        <v>3</v>
      </c>
      <c r="E3317">
        <v>4.2</v>
      </c>
      <c r="F3317">
        <v>100</v>
      </c>
    </row>
    <row r="3318" spans="1:6" x14ac:dyDescent="0.35">
      <c r="A3318">
        <v>1975</v>
      </c>
      <c r="B3318" s="1">
        <v>45663</v>
      </c>
      <c r="C3318" s="2">
        <v>0.16666666666666671</v>
      </c>
      <c r="D3318">
        <v>3</v>
      </c>
      <c r="E3318">
        <v>7.2</v>
      </c>
      <c r="F3318">
        <v>100</v>
      </c>
    </row>
    <row r="3319" spans="1:6" x14ac:dyDescent="0.35">
      <c r="A3319">
        <v>1975</v>
      </c>
      <c r="B3319" s="1">
        <v>45663</v>
      </c>
      <c r="C3319" s="2">
        <v>0.20833333333333329</v>
      </c>
      <c r="D3319">
        <v>3</v>
      </c>
      <c r="E3319">
        <v>9</v>
      </c>
      <c r="F3319">
        <v>99</v>
      </c>
    </row>
    <row r="3320" spans="1:6" x14ac:dyDescent="0.35">
      <c r="A3320">
        <v>1975</v>
      </c>
      <c r="B3320" s="1">
        <v>45663</v>
      </c>
      <c r="C3320" s="2">
        <v>0.25</v>
      </c>
      <c r="D3320">
        <v>3</v>
      </c>
      <c r="E3320">
        <v>10.199999999999999</v>
      </c>
      <c r="F3320">
        <v>94</v>
      </c>
    </row>
    <row r="3321" spans="1:6" x14ac:dyDescent="0.35">
      <c r="A3321">
        <v>1975</v>
      </c>
      <c r="B3321" s="1">
        <v>45663</v>
      </c>
      <c r="C3321" s="2">
        <v>0.29166666666666669</v>
      </c>
      <c r="D3321">
        <v>3</v>
      </c>
      <c r="E3321">
        <v>10.4</v>
      </c>
      <c r="F3321">
        <v>91</v>
      </c>
    </row>
    <row r="3322" spans="1:6" x14ac:dyDescent="0.35">
      <c r="A3322">
        <v>1975</v>
      </c>
      <c r="B3322" s="1">
        <v>45663</v>
      </c>
      <c r="C3322" s="2">
        <v>0.33333333333333331</v>
      </c>
      <c r="D3322">
        <v>3</v>
      </c>
      <c r="E3322">
        <v>10.6</v>
      </c>
      <c r="F3322">
        <v>89</v>
      </c>
    </row>
    <row r="3323" spans="1:6" x14ac:dyDescent="0.35">
      <c r="A3323">
        <v>1975</v>
      </c>
      <c r="B3323" s="1">
        <v>45663</v>
      </c>
      <c r="C3323" s="2">
        <v>0.375</v>
      </c>
      <c r="D3323">
        <v>3</v>
      </c>
      <c r="E3323">
        <v>10.4</v>
      </c>
      <c r="F3323">
        <v>91</v>
      </c>
    </row>
    <row r="3324" spans="1:6" x14ac:dyDescent="0.35">
      <c r="A3324">
        <v>1975</v>
      </c>
      <c r="B3324" s="1">
        <v>45663</v>
      </c>
      <c r="C3324" s="2">
        <v>0.41666666666666669</v>
      </c>
      <c r="D3324">
        <v>3</v>
      </c>
      <c r="E3324">
        <v>10.7</v>
      </c>
      <c r="F3324">
        <v>85</v>
      </c>
    </row>
    <row r="3325" spans="1:6" x14ac:dyDescent="0.35">
      <c r="A3325">
        <v>1975</v>
      </c>
      <c r="B3325" s="1">
        <v>45663</v>
      </c>
      <c r="C3325" s="2">
        <v>0.45833333333333331</v>
      </c>
      <c r="D3325">
        <v>3</v>
      </c>
      <c r="E3325">
        <v>10.4</v>
      </c>
      <c r="F3325">
        <v>85</v>
      </c>
    </row>
    <row r="3326" spans="1:6" x14ac:dyDescent="0.35">
      <c r="A3326">
        <v>1975</v>
      </c>
      <c r="B3326" s="1">
        <v>45663</v>
      </c>
      <c r="C3326" s="2">
        <v>0.5</v>
      </c>
      <c r="D3326">
        <v>3</v>
      </c>
      <c r="E3326">
        <v>10.5</v>
      </c>
      <c r="F3326">
        <v>87</v>
      </c>
    </row>
    <row r="3327" spans="1:6" x14ac:dyDescent="0.35">
      <c r="A3327">
        <v>1975</v>
      </c>
      <c r="B3327" s="1">
        <v>45663</v>
      </c>
      <c r="C3327" s="2">
        <v>0.54166666666666663</v>
      </c>
      <c r="D3327">
        <v>3</v>
      </c>
      <c r="E3327">
        <v>10.5</v>
      </c>
      <c r="F3327">
        <v>90</v>
      </c>
    </row>
    <row r="3328" spans="1:6" x14ac:dyDescent="0.35">
      <c r="A3328">
        <v>1975</v>
      </c>
      <c r="B3328" s="1">
        <v>45663</v>
      </c>
      <c r="C3328" s="2">
        <v>0.58333333333333337</v>
      </c>
      <c r="D3328">
        <v>3</v>
      </c>
      <c r="E3328">
        <v>10.6</v>
      </c>
      <c r="F3328">
        <v>88</v>
      </c>
    </row>
    <row r="3329" spans="1:6" x14ac:dyDescent="0.35">
      <c r="A3329">
        <v>1975</v>
      </c>
      <c r="B3329" s="1">
        <v>45663</v>
      </c>
      <c r="C3329" s="2">
        <v>0.625</v>
      </c>
      <c r="D3329">
        <v>3</v>
      </c>
      <c r="E3329">
        <v>10.3</v>
      </c>
      <c r="F3329">
        <v>85</v>
      </c>
    </row>
    <row r="3330" spans="1:6" x14ac:dyDescent="0.35">
      <c r="A3330">
        <v>1975</v>
      </c>
      <c r="B3330" s="1">
        <v>45663</v>
      </c>
      <c r="C3330" s="2">
        <v>0.66666666666666663</v>
      </c>
      <c r="D3330">
        <v>3</v>
      </c>
      <c r="E3330">
        <v>10.4</v>
      </c>
      <c r="F3330">
        <v>83</v>
      </c>
    </row>
    <row r="3331" spans="1:6" x14ac:dyDescent="0.35">
      <c r="A3331">
        <v>1975</v>
      </c>
      <c r="B3331" s="1">
        <v>45663</v>
      </c>
      <c r="C3331" s="2">
        <v>0.70833333333333337</v>
      </c>
      <c r="D3331">
        <v>3</v>
      </c>
      <c r="E3331">
        <v>11.2</v>
      </c>
      <c r="F3331">
        <v>79</v>
      </c>
    </row>
    <row r="3332" spans="1:6" x14ac:dyDescent="0.35">
      <c r="A3332">
        <v>1975</v>
      </c>
      <c r="B3332" s="1">
        <v>45663</v>
      </c>
      <c r="C3332" s="2">
        <v>0.75</v>
      </c>
      <c r="D3332">
        <v>3</v>
      </c>
      <c r="E3332">
        <v>9.1999999999999993</v>
      </c>
      <c r="F3332">
        <v>72</v>
      </c>
    </row>
    <row r="3333" spans="1:6" x14ac:dyDescent="0.35">
      <c r="A3333">
        <v>1975</v>
      </c>
      <c r="B3333" s="1">
        <v>45663</v>
      </c>
      <c r="C3333" s="2">
        <v>0.79166666666666663</v>
      </c>
      <c r="D3333">
        <v>3</v>
      </c>
      <c r="E3333">
        <v>8.1999999999999993</v>
      </c>
      <c r="F3333">
        <v>69</v>
      </c>
    </row>
    <row r="3334" spans="1:6" x14ac:dyDescent="0.35">
      <c r="A3334">
        <v>1975</v>
      </c>
      <c r="B3334" s="1">
        <v>45663</v>
      </c>
      <c r="C3334" s="2">
        <v>0.83333333333333337</v>
      </c>
      <c r="D3334">
        <v>3</v>
      </c>
      <c r="E3334">
        <v>7.2</v>
      </c>
      <c r="F3334">
        <v>69</v>
      </c>
    </row>
    <row r="3335" spans="1:6" x14ac:dyDescent="0.35">
      <c r="A3335">
        <v>1975</v>
      </c>
      <c r="B3335" s="1">
        <v>45663</v>
      </c>
      <c r="C3335" s="2">
        <v>0.875</v>
      </c>
      <c r="D3335">
        <v>3</v>
      </c>
      <c r="E3335">
        <v>6.7</v>
      </c>
      <c r="F3335">
        <v>67</v>
      </c>
    </row>
    <row r="3336" spans="1:6" x14ac:dyDescent="0.35">
      <c r="A3336">
        <v>1975</v>
      </c>
      <c r="B3336" s="1">
        <v>45663</v>
      </c>
      <c r="C3336" s="2">
        <v>0.91666666666666663</v>
      </c>
      <c r="D3336">
        <v>3</v>
      </c>
      <c r="E3336">
        <v>6</v>
      </c>
      <c r="F3336">
        <v>73</v>
      </c>
    </row>
    <row r="3337" spans="1:6" x14ac:dyDescent="0.35">
      <c r="A3337">
        <v>1975</v>
      </c>
      <c r="B3337" s="1">
        <v>45663</v>
      </c>
      <c r="C3337" s="2">
        <v>0.95833333333333337</v>
      </c>
      <c r="D3337">
        <v>3</v>
      </c>
      <c r="E3337">
        <v>5.9</v>
      </c>
      <c r="F3337">
        <v>71</v>
      </c>
    </row>
    <row r="3338" spans="1:6" x14ac:dyDescent="0.35">
      <c r="A3338">
        <v>1975</v>
      </c>
      <c r="B3338" s="1">
        <v>45664</v>
      </c>
      <c r="C3338" s="2">
        <v>0</v>
      </c>
      <c r="D3338">
        <v>3</v>
      </c>
      <c r="E3338">
        <v>5.3</v>
      </c>
      <c r="F3338">
        <v>73</v>
      </c>
    </row>
    <row r="3339" spans="1:6" x14ac:dyDescent="0.35">
      <c r="A3339">
        <v>1975</v>
      </c>
      <c r="B3339" s="1">
        <v>45664</v>
      </c>
      <c r="C3339" s="2">
        <v>4.1666666666666657E-2</v>
      </c>
      <c r="D3339">
        <v>3</v>
      </c>
      <c r="E3339">
        <v>5.3</v>
      </c>
      <c r="F3339">
        <v>73</v>
      </c>
    </row>
    <row r="3340" spans="1:6" x14ac:dyDescent="0.35">
      <c r="A3340">
        <v>1975</v>
      </c>
      <c r="B3340" s="1">
        <v>45664</v>
      </c>
      <c r="C3340" s="2">
        <v>8.3333333333333329E-2</v>
      </c>
      <c r="D3340">
        <v>3</v>
      </c>
      <c r="E3340">
        <v>4.8</v>
      </c>
      <c r="F3340">
        <v>73</v>
      </c>
    </row>
    <row r="3341" spans="1:6" x14ac:dyDescent="0.35">
      <c r="A3341">
        <v>1975</v>
      </c>
      <c r="B3341" s="1">
        <v>45664</v>
      </c>
      <c r="C3341" s="2">
        <v>0.125</v>
      </c>
      <c r="D3341">
        <v>3</v>
      </c>
      <c r="E3341">
        <v>4.5999999999999996</v>
      </c>
      <c r="F3341">
        <v>76</v>
      </c>
    </row>
    <row r="3342" spans="1:6" x14ac:dyDescent="0.35">
      <c r="A3342">
        <v>1975</v>
      </c>
      <c r="B3342" s="1">
        <v>45664</v>
      </c>
      <c r="C3342" s="2">
        <v>0.16666666666666671</v>
      </c>
      <c r="D3342">
        <v>3</v>
      </c>
      <c r="E3342">
        <v>5.2</v>
      </c>
      <c r="F3342">
        <v>75</v>
      </c>
    </row>
    <row r="3343" spans="1:6" x14ac:dyDescent="0.35">
      <c r="A3343">
        <v>1975</v>
      </c>
      <c r="B3343" s="1">
        <v>45664</v>
      </c>
      <c r="C3343" s="2">
        <v>0.20833333333333329</v>
      </c>
      <c r="D3343">
        <v>3</v>
      </c>
      <c r="E3343">
        <v>5</v>
      </c>
      <c r="F3343">
        <v>75</v>
      </c>
    </row>
    <row r="3344" spans="1:6" x14ac:dyDescent="0.35">
      <c r="A3344">
        <v>1975</v>
      </c>
      <c r="B3344" s="1">
        <v>45664</v>
      </c>
      <c r="C3344" s="2">
        <v>0.25</v>
      </c>
      <c r="D3344">
        <v>3</v>
      </c>
      <c r="E3344">
        <v>5</v>
      </c>
      <c r="F3344">
        <v>75</v>
      </c>
    </row>
    <row r="3345" spans="1:6" x14ac:dyDescent="0.35">
      <c r="A3345">
        <v>1975</v>
      </c>
      <c r="B3345" s="1">
        <v>45664</v>
      </c>
      <c r="C3345" s="2">
        <v>0.29166666666666669</v>
      </c>
      <c r="D3345">
        <v>3</v>
      </c>
      <c r="E3345">
        <v>4.8</v>
      </c>
      <c r="F3345">
        <v>72</v>
      </c>
    </row>
    <row r="3346" spans="1:6" x14ac:dyDescent="0.35">
      <c r="A3346">
        <v>1975</v>
      </c>
      <c r="B3346" s="1">
        <v>45664</v>
      </c>
      <c r="C3346" s="2">
        <v>0.33333333333333331</v>
      </c>
      <c r="D3346">
        <v>3</v>
      </c>
      <c r="E3346">
        <v>4.3</v>
      </c>
      <c r="F3346">
        <v>77</v>
      </c>
    </row>
    <row r="3347" spans="1:6" x14ac:dyDescent="0.35">
      <c r="A3347">
        <v>1975</v>
      </c>
      <c r="B3347" s="1">
        <v>45664</v>
      </c>
      <c r="C3347" s="2">
        <v>0.375</v>
      </c>
      <c r="D3347">
        <v>3</v>
      </c>
      <c r="E3347">
        <v>4.5</v>
      </c>
      <c r="F3347">
        <v>78</v>
      </c>
    </row>
    <row r="3348" spans="1:6" x14ac:dyDescent="0.35">
      <c r="A3348">
        <v>1975</v>
      </c>
      <c r="B3348" s="1">
        <v>45664</v>
      </c>
      <c r="C3348" s="2">
        <v>0.41666666666666669</v>
      </c>
      <c r="D3348">
        <v>3</v>
      </c>
      <c r="E3348">
        <v>4.7</v>
      </c>
      <c r="F3348">
        <v>78</v>
      </c>
    </row>
    <row r="3349" spans="1:6" x14ac:dyDescent="0.35">
      <c r="A3349">
        <v>1975</v>
      </c>
      <c r="B3349" s="1">
        <v>45664</v>
      </c>
      <c r="C3349" s="2">
        <v>0.45833333333333331</v>
      </c>
      <c r="D3349">
        <v>3</v>
      </c>
      <c r="E3349">
        <v>4.9000000000000004</v>
      </c>
      <c r="F3349">
        <v>78</v>
      </c>
    </row>
    <row r="3350" spans="1:6" x14ac:dyDescent="0.35">
      <c r="A3350">
        <v>1975</v>
      </c>
      <c r="B3350" s="1">
        <v>45664</v>
      </c>
      <c r="C3350" s="2">
        <v>0.5</v>
      </c>
      <c r="D3350">
        <v>3</v>
      </c>
      <c r="E3350">
        <v>5</v>
      </c>
      <c r="F3350">
        <v>77</v>
      </c>
    </row>
    <row r="3351" spans="1:6" x14ac:dyDescent="0.35">
      <c r="A3351">
        <v>1975</v>
      </c>
      <c r="B3351" s="1">
        <v>45664</v>
      </c>
      <c r="C3351" s="2">
        <v>0.54166666666666663</v>
      </c>
      <c r="D3351">
        <v>3</v>
      </c>
      <c r="E3351">
        <v>5.2</v>
      </c>
      <c r="F3351">
        <v>75</v>
      </c>
    </row>
    <row r="3352" spans="1:6" x14ac:dyDescent="0.35">
      <c r="A3352">
        <v>1975</v>
      </c>
      <c r="B3352" s="1">
        <v>45664</v>
      </c>
      <c r="C3352" s="2">
        <v>0.58333333333333337</v>
      </c>
      <c r="D3352">
        <v>3</v>
      </c>
      <c r="E3352">
        <v>5</v>
      </c>
      <c r="F3352">
        <v>74</v>
      </c>
    </row>
    <row r="3353" spans="1:6" x14ac:dyDescent="0.35">
      <c r="A3353">
        <v>1975</v>
      </c>
      <c r="B3353" s="1">
        <v>45664</v>
      </c>
      <c r="C3353" s="2">
        <v>0.625</v>
      </c>
      <c r="D3353">
        <v>3</v>
      </c>
      <c r="E3353">
        <v>4.5999999999999996</v>
      </c>
      <c r="F3353">
        <v>75</v>
      </c>
    </row>
    <row r="3354" spans="1:6" x14ac:dyDescent="0.35">
      <c r="A3354">
        <v>1975</v>
      </c>
      <c r="B3354" s="1">
        <v>45664</v>
      </c>
      <c r="C3354" s="2">
        <v>0.66666666666666663</v>
      </c>
      <c r="D3354">
        <v>3</v>
      </c>
      <c r="E3354">
        <v>2.1</v>
      </c>
      <c r="F3354">
        <v>87</v>
      </c>
    </row>
    <row r="3355" spans="1:6" x14ac:dyDescent="0.35">
      <c r="A3355">
        <v>1975</v>
      </c>
      <c r="B3355" s="1">
        <v>45664</v>
      </c>
      <c r="C3355" s="2">
        <v>0.70833333333333337</v>
      </c>
      <c r="D3355">
        <v>3</v>
      </c>
      <c r="E3355">
        <v>3.3</v>
      </c>
      <c r="F3355">
        <v>84</v>
      </c>
    </row>
    <row r="3356" spans="1:6" x14ac:dyDescent="0.35">
      <c r="A3356">
        <v>1975</v>
      </c>
      <c r="B3356" s="1">
        <v>45664</v>
      </c>
      <c r="C3356" s="2">
        <v>0.75</v>
      </c>
      <c r="D3356">
        <v>3</v>
      </c>
      <c r="E3356">
        <v>2.9</v>
      </c>
      <c r="F3356">
        <v>85</v>
      </c>
    </row>
    <row r="3357" spans="1:6" x14ac:dyDescent="0.35">
      <c r="A3357">
        <v>1975</v>
      </c>
      <c r="B3357" s="1">
        <v>45664</v>
      </c>
      <c r="C3357" s="2">
        <v>0.79166666666666663</v>
      </c>
      <c r="D3357">
        <v>3</v>
      </c>
      <c r="E3357">
        <v>2.5</v>
      </c>
      <c r="F3357">
        <v>88</v>
      </c>
    </row>
    <row r="3358" spans="1:6" x14ac:dyDescent="0.35">
      <c r="A3358">
        <v>1975</v>
      </c>
      <c r="B3358" s="1">
        <v>45664</v>
      </c>
      <c r="C3358" s="2">
        <v>0.83333333333333337</v>
      </c>
      <c r="D3358">
        <v>3</v>
      </c>
      <c r="E3358">
        <v>1.8</v>
      </c>
      <c r="F3358">
        <v>86</v>
      </c>
    </row>
    <row r="3359" spans="1:6" x14ac:dyDescent="0.35">
      <c r="A3359">
        <v>1975</v>
      </c>
      <c r="B3359" s="1">
        <v>45664</v>
      </c>
      <c r="C3359" s="2">
        <v>0.875</v>
      </c>
      <c r="D3359">
        <v>3</v>
      </c>
      <c r="E3359">
        <v>1.2</v>
      </c>
      <c r="F3359">
        <v>87</v>
      </c>
    </row>
    <row r="3360" spans="1:6" x14ac:dyDescent="0.35">
      <c r="A3360">
        <v>1975</v>
      </c>
      <c r="B3360" s="1">
        <v>45664</v>
      </c>
      <c r="C3360" s="2">
        <v>0.91666666666666663</v>
      </c>
      <c r="D3360">
        <v>3</v>
      </c>
      <c r="E3360">
        <v>1.4</v>
      </c>
      <c r="F3360">
        <v>87</v>
      </c>
    </row>
    <row r="3361" spans="1:6" x14ac:dyDescent="0.35">
      <c r="A3361">
        <v>1975</v>
      </c>
      <c r="B3361" s="1">
        <v>45664</v>
      </c>
      <c r="C3361" s="2">
        <v>0.95833333333333337</v>
      </c>
      <c r="D3361">
        <v>3</v>
      </c>
      <c r="E3361">
        <v>1.5</v>
      </c>
      <c r="F3361">
        <v>87</v>
      </c>
    </row>
    <row r="3362" spans="1:6" x14ac:dyDescent="0.35">
      <c r="A3362">
        <v>1975</v>
      </c>
      <c r="B3362" s="1">
        <v>45665</v>
      </c>
      <c r="C3362" s="2">
        <v>0</v>
      </c>
      <c r="D3362">
        <v>3</v>
      </c>
      <c r="E3362">
        <v>2.1</v>
      </c>
      <c r="F3362">
        <v>84</v>
      </c>
    </row>
    <row r="3363" spans="1:6" x14ac:dyDescent="0.35">
      <c r="A3363">
        <v>1975</v>
      </c>
      <c r="B3363" s="1">
        <v>45665</v>
      </c>
      <c r="C3363" s="2">
        <v>4.1666666666666657E-2</v>
      </c>
      <c r="D3363">
        <v>3</v>
      </c>
      <c r="E3363">
        <v>2.4</v>
      </c>
      <c r="F3363">
        <v>86</v>
      </c>
    </row>
    <row r="3364" spans="1:6" x14ac:dyDescent="0.35">
      <c r="A3364">
        <v>1975</v>
      </c>
      <c r="B3364" s="1">
        <v>45665</v>
      </c>
      <c r="C3364" s="2">
        <v>8.3333333333333329E-2</v>
      </c>
      <c r="D3364">
        <v>3</v>
      </c>
      <c r="E3364">
        <v>2.5</v>
      </c>
      <c r="F3364">
        <v>86</v>
      </c>
    </row>
    <row r="3365" spans="1:6" x14ac:dyDescent="0.35">
      <c r="A3365">
        <v>1975</v>
      </c>
      <c r="B3365" s="1">
        <v>45665</v>
      </c>
      <c r="C3365" s="2">
        <v>0.125</v>
      </c>
      <c r="D3365">
        <v>3</v>
      </c>
      <c r="E3365">
        <v>2.6</v>
      </c>
      <c r="F3365">
        <v>85</v>
      </c>
    </row>
    <row r="3366" spans="1:6" x14ac:dyDescent="0.35">
      <c r="A3366">
        <v>1975</v>
      </c>
      <c r="B3366" s="1">
        <v>45665</v>
      </c>
      <c r="C3366" s="2">
        <v>0.16666666666666671</v>
      </c>
      <c r="D3366">
        <v>3</v>
      </c>
      <c r="E3366">
        <v>2.6</v>
      </c>
      <c r="F3366">
        <v>83</v>
      </c>
    </row>
    <row r="3367" spans="1:6" x14ac:dyDescent="0.35">
      <c r="A3367">
        <v>1975</v>
      </c>
      <c r="B3367" s="1">
        <v>45665</v>
      </c>
      <c r="C3367" s="2">
        <v>0.20833333333333329</v>
      </c>
      <c r="D3367">
        <v>3</v>
      </c>
      <c r="E3367">
        <v>2.7</v>
      </c>
      <c r="F3367">
        <v>81</v>
      </c>
    </row>
    <row r="3368" spans="1:6" x14ac:dyDescent="0.35">
      <c r="A3368">
        <v>1975</v>
      </c>
      <c r="B3368" s="1">
        <v>45665</v>
      </c>
      <c r="C3368" s="2">
        <v>0.25</v>
      </c>
      <c r="D3368">
        <v>3</v>
      </c>
      <c r="E3368">
        <v>2.4</v>
      </c>
      <c r="F3368">
        <v>82</v>
      </c>
    </row>
    <row r="3369" spans="1:6" x14ac:dyDescent="0.35">
      <c r="A3369">
        <v>1975</v>
      </c>
      <c r="B3369" s="1">
        <v>45665</v>
      </c>
      <c r="C3369" s="2">
        <v>0.29166666666666669</v>
      </c>
      <c r="D3369">
        <v>3</v>
      </c>
      <c r="E3369">
        <v>2.4</v>
      </c>
      <c r="F3369">
        <v>82</v>
      </c>
    </row>
    <row r="3370" spans="1:6" x14ac:dyDescent="0.35">
      <c r="A3370">
        <v>1975</v>
      </c>
      <c r="B3370" s="1">
        <v>45665</v>
      </c>
      <c r="C3370" s="2">
        <v>0.33333333333333331</v>
      </c>
      <c r="D3370">
        <v>3</v>
      </c>
      <c r="E3370">
        <v>2.6</v>
      </c>
      <c r="F3370">
        <v>82</v>
      </c>
    </row>
    <row r="3371" spans="1:6" x14ac:dyDescent="0.35">
      <c r="A3371">
        <v>1975</v>
      </c>
      <c r="B3371" s="1">
        <v>45665</v>
      </c>
      <c r="C3371" s="2">
        <v>0.375</v>
      </c>
      <c r="D3371">
        <v>3</v>
      </c>
      <c r="E3371">
        <v>2.7</v>
      </c>
      <c r="F3371">
        <v>81</v>
      </c>
    </row>
    <row r="3372" spans="1:6" x14ac:dyDescent="0.35">
      <c r="A3372">
        <v>1975</v>
      </c>
      <c r="B3372" s="1">
        <v>45665</v>
      </c>
      <c r="C3372" s="2">
        <v>0.41666666666666669</v>
      </c>
      <c r="D3372">
        <v>3</v>
      </c>
      <c r="E3372">
        <v>3.1</v>
      </c>
      <c r="F3372">
        <v>78</v>
      </c>
    </row>
    <row r="3373" spans="1:6" x14ac:dyDescent="0.35">
      <c r="A3373">
        <v>1975</v>
      </c>
      <c r="B3373" s="1">
        <v>45665</v>
      </c>
      <c r="C3373" s="2">
        <v>0.45833333333333331</v>
      </c>
      <c r="D3373">
        <v>3</v>
      </c>
      <c r="E3373">
        <v>3.9</v>
      </c>
      <c r="F3373">
        <v>73</v>
      </c>
    </row>
    <row r="3374" spans="1:6" x14ac:dyDescent="0.35">
      <c r="A3374">
        <v>1975</v>
      </c>
      <c r="B3374" s="1">
        <v>45665</v>
      </c>
      <c r="C3374" s="2">
        <v>0.5</v>
      </c>
      <c r="D3374">
        <v>3</v>
      </c>
      <c r="E3374">
        <v>4.4000000000000004</v>
      </c>
      <c r="F3374">
        <v>72</v>
      </c>
    </row>
    <row r="3375" spans="1:6" x14ac:dyDescent="0.35">
      <c r="A3375">
        <v>1975</v>
      </c>
      <c r="B3375" s="1">
        <v>45665</v>
      </c>
      <c r="C3375" s="2">
        <v>0.54166666666666663</v>
      </c>
      <c r="D3375">
        <v>3</v>
      </c>
      <c r="E3375">
        <v>4.8</v>
      </c>
      <c r="F3375">
        <v>70</v>
      </c>
    </row>
    <row r="3376" spans="1:6" x14ac:dyDescent="0.35">
      <c r="A3376">
        <v>1975</v>
      </c>
      <c r="B3376" s="1">
        <v>45665</v>
      </c>
      <c r="C3376" s="2">
        <v>0.58333333333333337</v>
      </c>
      <c r="D3376">
        <v>3</v>
      </c>
      <c r="E3376">
        <v>4.9000000000000004</v>
      </c>
      <c r="F3376">
        <v>70</v>
      </c>
    </row>
    <row r="3377" spans="1:6" x14ac:dyDescent="0.35">
      <c r="A3377">
        <v>1975</v>
      </c>
      <c r="B3377" s="1">
        <v>45665</v>
      </c>
      <c r="C3377" s="2">
        <v>0.625</v>
      </c>
      <c r="D3377">
        <v>3</v>
      </c>
      <c r="E3377">
        <v>4.2</v>
      </c>
      <c r="F3377">
        <v>74</v>
      </c>
    </row>
    <row r="3378" spans="1:6" x14ac:dyDescent="0.35">
      <c r="A3378">
        <v>1975</v>
      </c>
      <c r="B3378" s="1">
        <v>45665</v>
      </c>
      <c r="C3378" s="2">
        <v>0.66666666666666663</v>
      </c>
      <c r="D3378">
        <v>3</v>
      </c>
      <c r="E3378">
        <v>3.7</v>
      </c>
      <c r="F3378">
        <v>75</v>
      </c>
    </row>
    <row r="3379" spans="1:6" x14ac:dyDescent="0.35">
      <c r="A3379">
        <v>1975</v>
      </c>
      <c r="B3379" s="1">
        <v>45665</v>
      </c>
      <c r="C3379" s="2">
        <v>0.70833333333333337</v>
      </c>
      <c r="D3379">
        <v>3</v>
      </c>
      <c r="E3379">
        <v>3.2</v>
      </c>
      <c r="F3379">
        <v>77</v>
      </c>
    </row>
    <row r="3380" spans="1:6" x14ac:dyDescent="0.35">
      <c r="A3380">
        <v>1975</v>
      </c>
      <c r="B3380" s="1">
        <v>45665</v>
      </c>
      <c r="C3380" s="2">
        <v>0.75</v>
      </c>
      <c r="D3380">
        <v>3</v>
      </c>
      <c r="E3380">
        <v>2.5</v>
      </c>
      <c r="F3380">
        <v>80</v>
      </c>
    </row>
    <row r="3381" spans="1:6" x14ac:dyDescent="0.35">
      <c r="A3381">
        <v>1975</v>
      </c>
      <c r="B3381" s="1">
        <v>45665</v>
      </c>
      <c r="C3381" s="2">
        <v>0.79166666666666663</v>
      </c>
      <c r="D3381">
        <v>3</v>
      </c>
      <c r="E3381">
        <v>1.8</v>
      </c>
      <c r="F3381">
        <v>83</v>
      </c>
    </row>
    <row r="3382" spans="1:6" x14ac:dyDescent="0.35">
      <c r="A3382">
        <v>1975</v>
      </c>
      <c r="B3382" s="1">
        <v>45665</v>
      </c>
      <c r="C3382" s="2">
        <v>0.83333333333333337</v>
      </c>
      <c r="D3382">
        <v>3</v>
      </c>
      <c r="E3382">
        <v>1</v>
      </c>
      <c r="F3382">
        <v>87</v>
      </c>
    </row>
    <row r="3383" spans="1:6" x14ac:dyDescent="0.35">
      <c r="A3383">
        <v>1975</v>
      </c>
      <c r="B3383" s="1">
        <v>45665</v>
      </c>
      <c r="C3383" s="2">
        <v>0.875</v>
      </c>
      <c r="D3383">
        <v>3</v>
      </c>
      <c r="E3383">
        <v>1.2</v>
      </c>
      <c r="F3383">
        <v>88</v>
      </c>
    </row>
    <row r="3384" spans="1:6" x14ac:dyDescent="0.35">
      <c r="A3384">
        <v>1975</v>
      </c>
      <c r="B3384" s="1">
        <v>45665</v>
      </c>
      <c r="C3384" s="2">
        <v>0.91666666666666663</v>
      </c>
      <c r="D3384">
        <v>3</v>
      </c>
      <c r="E3384">
        <v>0.8</v>
      </c>
      <c r="F3384">
        <v>90</v>
      </c>
    </row>
    <row r="3385" spans="1:6" x14ac:dyDescent="0.35">
      <c r="A3385">
        <v>1975</v>
      </c>
      <c r="B3385" s="1">
        <v>45665</v>
      </c>
      <c r="C3385" s="2">
        <v>0.95833333333333337</v>
      </c>
      <c r="D3385">
        <v>3</v>
      </c>
      <c r="E3385">
        <v>1.6</v>
      </c>
      <c r="F3385">
        <v>86</v>
      </c>
    </row>
    <row r="3386" spans="1:6" x14ac:dyDescent="0.35">
      <c r="A3386">
        <v>1975</v>
      </c>
      <c r="B3386" s="1">
        <v>45666</v>
      </c>
      <c r="C3386" s="2">
        <v>0</v>
      </c>
      <c r="D3386">
        <v>3</v>
      </c>
      <c r="E3386">
        <v>0.9</v>
      </c>
      <c r="F3386">
        <v>91</v>
      </c>
    </row>
    <row r="3387" spans="1:6" x14ac:dyDescent="0.35">
      <c r="A3387">
        <v>1975</v>
      </c>
      <c r="B3387" s="1">
        <v>45666</v>
      </c>
      <c r="C3387" s="2">
        <v>4.1666666666666657E-2</v>
      </c>
      <c r="D3387">
        <v>3</v>
      </c>
      <c r="E3387">
        <v>1.1000000000000001</v>
      </c>
      <c r="F3387">
        <v>90</v>
      </c>
    </row>
    <row r="3388" spans="1:6" x14ac:dyDescent="0.35">
      <c r="A3388">
        <v>1975</v>
      </c>
      <c r="B3388" s="1">
        <v>45666</v>
      </c>
      <c r="C3388" s="2">
        <v>8.3333333333333329E-2</v>
      </c>
      <c r="D3388">
        <v>3</v>
      </c>
      <c r="E3388">
        <v>0.7</v>
      </c>
      <c r="F3388">
        <v>90</v>
      </c>
    </row>
    <row r="3389" spans="1:6" x14ac:dyDescent="0.35">
      <c r="A3389">
        <v>1975</v>
      </c>
      <c r="B3389" s="1">
        <v>45666</v>
      </c>
      <c r="C3389" s="2">
        <v>0.125</v>
      </c>
      <c r="D3389">
        <v>3</v>
      </c>
      <c r="E3389">
        <v>0.5</v>
      </c>
      <c r="F3389">
        <v>91</v>
      </c>
    </row>
    <row r="3390" spans="1:6" x14ac:dyDescent="0.35">
      <c r="A3390">
        <v>1975</v>
      </c>
      <c r="B3390" s="1">
        <v>45666</v>
      </c>
      <c r="C3390" s="2">
        <v>0.16666666666666671</v>
      </c>
      <c r="D3390">
        <v>3</v>
      </c>
      <c r="E3390">
        <v>0.2</v>
      </c>
      <c r="F3390">
        <v>95</v>
      </c>
    </row>
    <row r="3391" spans="1:6" x14ac:dyDescent="0.35">
      <c r="A3391">
        <v>1975</v>
      </c>
      <c r="B3391" s="1">
        <v>45666</v>
      </c>
      <c r="C3391" s="2">
        <v>0.20833333333333329</v>
      </c>
      <c r="D3391">
        <v>3</v>
      </c>
      <c r="E3391">
        <v>0.7</v>
      </c>
      <c r="F3391">
        <v>91</v>
      </c>
    </row>
    <row r="3392" spans="1:6" x14ac:dyDescent="0.35">
      <c r="A3392">
        <v>1975</v>
      </c>
      <c r="B3392" s="1">
        <v>45666</v>
      </c>
      <c r="C3392" s="2">
        <v>0.25</v>
      </c>
      <c r="D3392">
        <v>3</v>
      </c>
      <c r="E3392">
        <v>0.4</v>
      </c>
      <c r="F3392">
        <v>91</v>
      </c>
    </row>
    <row r="3393" spans="1:6" x14ac:dyDescent="0.35">
      <c r="A3393">
        <v>1975</v>
      </c>
      <c r="B3393" s="1">
        <v>45666</v>
      </c>
      <c r="C3393" s="2">
        <v>0.29166666666666669</v>
      </c>
      <c r="D3393">
        <v>3</v>
      </c>
      <c r="E3393">
        <v>0.4</v>
      </c>
      <c r="F3393">
        <v>92</v>
      </c>
    </row>
    <row r="3394" spans="1:6" x14ac:dyDescent="0.35">
      <c r="A3394">
        <v>1975</v>
      </c>
      <c r="B3394" s="1">
        <v>45666</v>
      </c>
      <c r="C3394" s="2">
        <v>0.33333333333333331</v>
      </c>
      <c r="D3394">
        <v>3</v>
      </c>
      <c r="E3394">
        <v>-0.4</v>
      </c>
      <c r="F3394">
        <v>94</v>
      </c>
    </row>
    <row r="3395" spans="1:6" x14ac:dyDescent="0.35">
      <c r="A3395">
        <v>1975</v>
      </c>
      <c r="B3395" s="1">
        <v>45666</v>
      </c>
      <c r="C3395" s="2">
        <v>0.375</v>
      </c>
      <c r="D3395">
        <v>3</v>
      </c>
      <c r="E3395">
        <v>0</v>
      </c>
      <c r="F3395">
        <v>94</v>
      </c>
    </row>
    <row r="3396" spans="1:6" x14ac:dyDescent="0.35">
      <c r="A3396">
        <v>1975</v>
      </c>
      <c r="B3396" s="1">
        <v>45666</v>
      </c>
      <c r="C3396" s="2">
        <v>0.41666666666666669</v>
      </c>
      <c r="D3396">
        <v>3</v>
      </c>
      <c r="E3396">
        <v>1.1000000000000001</v>
      </c>
      <c r="F3396">
        <v>91</v>
      </c>
    </row>
    <row r="3397" spans="1:6" x14ac:dyDescent="0.35">
      <c r="A3397">
        <v>1975</v>
      </c>
      <c r="B3397" s="1">
        <v>45666</v>
      </c>
      <c r="C3397" s="2">
        <v>0.45833333333333331</v>
      </c>
      <c r="D3397">
        <v>3</v>
      </c>
      <c r="E3397">
        <v>1.3</v>
      </c>
      <c r="F3397">
        <v>94</v>
      </c>
    </row>
    <row r="3398" spans="1:6" x14ac:dyDescent="0.35">
      <c r="A3398">
        <v>1975</v>
      </c>
      <c r="B3398" s="1">
        <v>45666</v>
      </c>
      <c r="C3398" s="2">
        <v>0.5</v>
      </c>
      <c r="D3398">
        <v>3</v>
      </c>
      <c r="E3398">
        <v>1.6</v>
      </c>
      <c r="F3398">
        <v>93</v>
      </c>
    </row>
    <row r="3399" spans="1:6" x14ac:dyDescent="0.35">
      <c r="A3399">
        <v>1975</v>
      </c>
      <c r="B3399" s="1">
        <v>45666</v>
      </c>
      <c r="C3399" s="2">
        <v>0.54166666666666663</v>
      </c>
      <c r="D3399">
        <v>3</v>
      </c>
      <c r="E3399">
        <v>1.5</v>
      </c>
      <c r="F3399">
        <v>96</v>
      </c>
    </row>
    <row r="3400" spans="1:6" x14ac:dyDescent="0.35">
      <c r="A3400">
        <v>1975</v>
      </c>
      <c r="B3400" s="1">
        <v>45666</v>
      </c>
      <c r="C3400" s="2">
        <v>0.58333333333333337</v>
      </c>
      <c r="D3400">
        <v>3</v>
      </c>
      <c r="E3400">
        <v>1.5</v>
      </c>
      <c r="F3400">
        <v>96</v>
      </c>
    </row>
    <row r="3401" spans="1:6" x14ac:dyDescent="0.35">
      <c r="A3401">
        <v>1975</v>
      </c>
      <c r="B3401" s="1">
        <v>45666</v>
      </c>
      <c r="C3401" s="2">
        <v>0.625</v>
      </c>
      <c r="D3401">
        <v>3</v>
      </c>
      <c r="E3401">
        <v>1.6</v>
      </c>
      <c r="F3401">
        <v>96</v>
      </c>
    </row>
    <row r="3402" spans="1:6" x14ac:dyDescent="0.35">
      <c r="A3402">
        <v>1975</v>
      </c>
      <c r="B3402" s="1">
        <v>45666</v>
      </c>
      <c r="C3402" s="2">
        <v>0.66666666666666663</v>
      </c>
      <c r="D3402">
        <v>3</v>
      </c>
      <c r="E3402">
        <v>1.7</v>
      </c>
      <c r="F3402">
        <v>96</v>
      </c>
    </row>
    <row r="3403" spans="1:6" x14ac:dyDescent="0.35">
      <c r="A3403">
        <v>1975</v>
      </c>
      <c r="B3403" s="1">
        <v>45666</v>
      </c>
      <c r="C3403" s="2">
        <v>0.70833333333333337</v>
      </c>
      <c r="D3403">
        <v>3</v>
      </c>
      <c r="E3403">
        <v>1.6</v>
      </c>
      <c r="F3403">
        <v>99</v>
      </c>
    </row>
    <row r="3404" spans="1:6" x14ac:dyDescent="0.35">
      <c r="A3404">
        <v>1975</v>
      </c>
      <c r="B3404" s="1">
        <v>45666</v>
      </c>
      <c r="C3404" s="2">
        <v>0.75</v>
      </c>
      <c r="D3404">
        <v>3</v>
      </c>
      <c r="E3404">
        <v>2</v>
      </c>
      <c r="F3404">
        <v>97</v>
      </c>
    </row>
    <row r="3405" spans="1:6" x14ac:dyDescent="0.35">
      <c r="A3405">
        <v>1975</v>
      </c>
      <c r="B3405" s="1">
        <v>45666</v>
      </c>
      <c r="C3405" s="2">
        <v>0.79166666666666663</v>
      </c>
      <c r="D3405">
        <v>3</v>
      </c>
      <c r="E3405">
        <v>2.1</v>
      </c>
      <c r="F3405">
        <v>94</v>
      </c>
    </row>
    <row r="3406" spans="1:6" x14ac:dyDescent="0.35">
      <c r="A3406">
        <v>1975</v>
      </c>
      <c r="B3406" s="1">
        <v>45666</v>
      </c>
      <c r="C3406" s="2">
        <v>0.83333333333333337</v>
      </c>
      <c r="D3406">
        <v>3</v>
      </c>
      <c r="E3406">
        <v>1.6</v>
      </c>
      <c r="F3406">
        <v>94</v>
      </c>
    </row>
    <row r="3407" spans="1:6" x14ac:dyDescent="0.35">
      <c r="A3407">
        <v>1975</v>
      </c>
      <c r="B3407" s="1">
        <v>45666</v>
      </c>
      <c r="C3407" s="2">
        <v>0.875</v>
      </c>
      <c r="D3407">
        <v>3</v>
      </c>
      <c r="E3407">
        <v>1.6</v>
      </c>
      <c r="F3407">
        <v>93</v>
      </c>
    </row>
    <row r="3408" spans="1:6" x14ac:dyDescent="0.35">
      <c r="A3408">
        <v>1975</v>
      </c>
      <c r="B3408" s="1">
        <v>45666</v>
      </c>
      <c r="C3408" s="2">
        <v>0.91666666666666663</v>
      </c>
      <c r="D3408">
        <v>3</v>
      </c>
      <c r="E3408">
        <v>1</v>
      </c>
      <c r="F3408">
        <v>96</v>
      </c>
    </row>
    <row r="3409" spans="1:6" x14ac:dyDescent="0.35">
      <c r="A3409">
        <v>1975</v>
      </c>
      <c r="B3409" s="1">
        <v>45666</v>
      </c>
      <c r="C3409" s="2">
        <v>0.95833333333333337</v>
      </c>
      <c r="D3409">
        <v>3</v>
      </c>
      <c r="E3409">
        <v>1.2</v>
      </c>
      <c r="F3409">
        <v>95</v>
      </c>
    </row>
    <row r="3410" spans="1:6" x14ac:dyDescent="0.35">
      <c r="A3410">
        <v>1975</v>
      </c>
      <c r="B3410" s="1">
        <v>45667</v>
      </c>
      <c r="C3410" s="2">
        <v>0</v>
      </c>
      <c r="D3410">
        <v>3</v>
      </c>
      <c r="E3410">
        <v>1.3</v>
      </c>
      <c r="F3410">
        <v>93</v>
      </c>
    </row>
    <row r="3411" spans="1:6" x14ac:dyDescent="0.35">
      <c r="A3411">
        <v>1975</v>
      </c>
      <c r="B3411" s="1">
        <v>45667</v>
      </c>
      <c r="C3411" s="2">
        <v>4.1666666666666657E-2</v>
      </c>
      <c r="D3411">
        <v>3</v>
      </c>
      <c r="E3411">
        <v>1.5</v>
      </c>
      <c r="F3411">
        <v>92</v>
      </c>
    </row>
    <row r="3412" spans="1:6" x14ac:dyDescent="0.35">
      <c r="A3412">
        <v>1975</v>
      </c>
      <c r="B3412" s="1">
        <v>45667</v>
      </c>
      <c r="C3412" s="2">
        <v>8.3333333333333329E-2</v>
      </c>
      <c r="D3412">
        <v>3</v>
      </c>
      <c r="E3412">
        <v>1.8</v>
      </c>
      <c r="F3412">
        <v>91</v>
      </c>
    </row>
    <row r="3413" spans="1:6" x14ac:dyDescent="0.35">
      <c r="A3413">
        <v>1975</v>
      </c>
      <c r="B3413" s="1">
        <v>45667</v>
      </c>
      <c r="C3413" s="2">
        <v>0.125</v>
      </c>
      <c r="D3413">
        <v>3</v>
      </c>
      <c r="E3413">
        <v>1.7</v>
      </c>
      <c r="F3413">
        <v>92</v>
      </c>
    </row>
    <row r="3414" spans="1:6" x14ac:dyDescent="0.35">
      <c r="A3414">
        <v>1975</v>
      </c>
      <c r="B3414" s="1">
        <v>45667</v>
      </c>
      <c r="C3414" s="2">
        <v>0.16666666666666671</v>
      </c>
      <c r="D3414">
        <v>3</v>
      </c>
      <c r="E3414">
        <v>1.8</v>
      </c>
      <c r="F3414">
        <v>93</v>
      </c>
    </row>
    <row r="3415" spans="1:6" x14ac:dyDescent="0.35">
      <c r="A3415">
        <v>1975</v>
      </c>
      <c r="B3415" s="1">
        <v>45667</v>
      </c>
      <c r="C3415" s="2">
        <v>0.20833333333333329</v>
      </c>
      <c r="D3415">
        <v>3</v>
      </c>
      <c r="E3415">
        <v>1.4</v>
      </c>
      <c r="F3415">
        <v>94</v>
      </c>
    </row>
    <row r="3416" spans="1:6" x14ac:dyDescent="0.35">
      <c r="A3416">
        <v>1975</v>
      </c>
      <c r="B3416" s="1">
        <v>45667</v>
      </c>
      <c r="C3416" s="2">
        <v>0.25</v>
      </c>
      <c r="D3416">
        <v>3</v>
      </c>
      <c r="E3416">
        <v>1</v>
      </c>
      <c r="F3416">
        <v>97</v>
      </c>
    </row>
    <row r="3417" spans="1:6" x14ac:dyDescent="0.35">
      <c r="A3417">
        <v>1975</v>
      </c>
      <c r="B3417" s="1">
        <v>45667</v>
      </c>
      <c r="C3417" s="2">
        <v>0.29166666666666669</v>
      </c>
      <c r="D3417">
        <v>3</v>
      </c>
      <c r="E3417">
        <v>1.3</v>
      </c>
      <c r="F3417">
        <v>96</v>
      </c>
    </row>
    <row r="3418" spans="1:6" x14ac:dyDescent="0.35">
      <c r="A3418">
        <v>1975</v>
      </c>
      <c r="B3418" s="1">
        <v>45667</v>
      </c>
      <c r="C3418" s="2">
        <v>0.33333333333333331</v>
      </c>
      <c r="D3418">
        <v>3</v>
      </c>
      <c r="E3418">
        <v>0.9</v>
      </c>
      <c r="F3418">
        <v>97</v>
      </c>
    </row>
    <row r="3419" spans="1:6" x14ac:dyDescent="0.35">
      <c r="A3419">
        <v>1975</v>
      </c>
      <c r="B3419" s="1">
        <v>45667</v>
      </c>
      <c r="C3419" s="2">
        <v>0.375</v>
      </c>
      <c r="D3419">
        <v>3</v>
      </c>
      <c r="E3419">
        <v>1.4</v>
      </c>
      <c r="F3419">
        <v>96</v>
      </c>
    </row>
    <row r="3420" spans="1:6" x14ac:dyDescent="0.35">
      <c r="A3420">
        <v>1975</v>
      </c>
      <c r="B3420" s="1">
        <v>45667</v>
      </c>
      <c r="C3420" s="2">
        <v>0.41666666666666669</v>
      </c>
      <c r="D3420">
        <v>3</v>
      </c>
      <c r="E3420">
        <v>0.9</v>
      </c>
      <c r="F3420">
        <v>98</v>
      </c>
    </row>
    <row r="3421" spans="1:6" x14ac:dyDescent="0.35">
      <c r="A3421">
        <v>1975</v>
      </c>
      <c r="B3421" s="1">
        <v>45667</v>
      </c>
      <c r="C3421" s="2">
        <v>0.45833333333333331</v>
      </c>
      <c r="D3421">
        <v>3</v>
      </c>
      <c r="E3421">
        <v>1.9</v>
      </c>
      <c r="F3421">
        <v>97</v>
      </c>
    </row>
    <row r="3422" spans="1:6" x14ac:dyDescent="0.35">
      <c r="A3422">
        <v>1975</v>
      </c>
      <c r="B3422" s="1">
        <v>45667</v>
      </c>
      <c r="C3422" s="2">
        <v>0.5</v>
      </c>
      <c r="D3422">
        <v>3</v>
      </c>
      <c r="E3422">
        <v>2.2999999999999998</v>
      </c>
      <c r="F3422">
        <v>96</v>
      </c>
    </row>
    <row r="3423" spans="1:6" x14ac:dyDescent="0.35">
      <c r="A3423">
        <v>1975</v>
      </c>
      <c r="B3423" s="1">
        <v>45667</v>
      </c>
      <c r="C3423" s="2">
        <v>0.54166666666666663</v>
      </c>
      <c r="D3423">
        <v>3</v>
      </c>
      <c r="E3423">
        <v>3</v>
      </c>
      <c r="F3423">
        <v>91</v>
      </c>
    </row>
    <row r="3424" spans="1:6" x14ac:dyDescent="0.35">
      <c r="A3424">
        <v>1975</v>
      </c>
      <c r="B3424" s="1">
        <v>45667</v>
      </c>
      <c r="C3424" s="2">
        <v>0.58333333333333337</v>
      </c>
      <c r="D3424">
        <v>3</v>
      </c>
      <c r="E3424">
        <v>2.9</v>
      </c>
      <c r="F3424">
        <v>89</v>
      </c>
    </row>
    <row r="3425" spans="1:6" x14ac:dyDescent="0.35">
      <c r="A3425">
        <v>1975</v>
      </c>
      <c r="B3425" s="1">
        <v>45667</v>
      </c>
      <c r="C3425" s="2">
        <v>0.625</v>
      </c>
      <c r="D3425">
        <v>3</v>
      </c>
      <c r="E3425">
        <v>2.1</v>
      </c>
      <c r="F3425">
        <v>88</v>
      </c>
    </row>
    <row r="3426" spans="1:6" x14ac:dyDescent="0.35">
      <c r="A3426">
        <v>1975</v>
      </c>
      <c r="B3426" s="1">
        <v>45667</v>
      </c>
      <c r="C3426" s="2">
        <v>0.66666666666666663</v>
      </c>
      <c r="D3426">
        <v>3</v>
      </c>
      <c r="E3426">
        <v>0.9</v>
      </c>
      <c r="F3426">
        <v>93</v>
      </c>
    </row>
    <row r="3427" spans="1:6" x14ac:dyDescent="0.35">
      <c r="A3427">
        <v>1975</v>
      </c>
      <c r="B3427" s="1">
        <v>45667</v>
      </c>
      <c r="C3427" s="2">
        <v>0.70833333333333337</v>
      </c>
      <c r="D3427">
        <v>3</v>
      </c>
      <c r="E3427">
        <v>0.8</v>
      </c>
      <c r="F3427">
        <v>88</v>
      </c>
    </row>
    <row r="3428" spans="1:6" x14ac:dyDescent="0.35">
      <c r="A3428">
        <v>1975</v>
      </c>
      <c r="B3428" s="1">
        <v>45667</v>
      </c>
      <c r="C3428" s="2">
        <v>0.75</v>
      </c>
      <c r="D3428">
        <v>3</v>
      </c>
      <c r="E3428">
        <v>-0.1</v>
      </c>
      <c r="F3428">
        <v>89</v>
      </c>
    </row>
    <row r="3429" spans="1:6" x14ac:dyDescent="0.35">
      <c r="A3429">
        <v>1975</v>
      </c>
      <c r="B3429" s="1">
        <v>45667</v>
      </c>
      <c r="C3429" s="2">
        <v>0.79166666666666663</v>
      </c>
      <c r="D3429">
        <v>3</v>
      </c>
      <c r="E3429">
        <v>-0.3</v>
      </c>
      <c r="F3429">
        <v>89</v>
      </c>
    </row>
    <row r="3430" spans="1:6" x14ac:dyDescent="0.35">
      <c r="A3430">
        <v>1975</v>
      </c>
      <c r="B3430" s="1">
        <v>45667</v>
      </c>
      <c r="C3430" s="2">
        <v>0.83333333333333337</v>
      </c>
      <c r="D3430">
        <v>3</v>
      </c>
      <c r="E3430">
        <v>-0.1</v>
      </c>
      <c r="F3430">
        <v>90</v>
      </c>
    </row>
    <row r="3431" spans="1:6" x14ac:dyDescent="0.35">
      <c r="A3431">
        <v>1975</v>
      </c>
      <c r="B3431" s="1">
        <v>45667</v>
      </c>
      <c r="C3431" s="2">
        <v>0.875</v>
      </c>
      <c r="D3431">
        <v>3</v>
      </c>
      <c r="E3431">
        <v>0.1</v>
      </c>
      <c r="F3431">
        <v>87</v>
      </c>
    </row>
    <row r="3432" spans="1:6" x14ac:dyDescent="0.35">
      <c r="A3432">
        <v>1975</v>
      </c>
      <c r="B3432" s="1">
        <v>45667</v>
      </c>
      <c r="C3432" s="2">
        <v>0.91666666666666663</v>
      </c>
      <c r="D3432">
        <v>3</v>
      </c>
      <c r="E3432">
        <v>-0.3</v>
      </c>
      <c r="F3432">
        <v>87</v>
      </c>
    </row>
    <row r="3433" spans="1:6" x14ac:dyDescent="0.35">
      <c r="A3433">
        <v>1975</v>
      </c>
      <c r="B3433" s="1">
        <v>45667</v>
      </c>
      <c r="C3433" s="2">
        <v>0.95833333333333337</v>
      </c>
      <c r="D3433">
        <v>3</v>
      </c>
      <c r="E3433">
        <v>-0.4</v>
      </c>
      <c r="F3433">
        <v>85</v>
      </c>
    </row>
    <row r="3434" spans="1:6" x14ac:dyDescent="0.35">
      <c r="A3434">
        <v>1975</v>
      </c>
      <c r="B3434" s="1">
        <v>45668</v>
      </c>
      <c r="C3434" s="2">
        <v>0</v>
      </c>
      <c r="D3434">
        <v>3</v>
      </c>
      <c r="E3434">
        <v>-0.4</v>
      </c>
      <c r="F3434">
        <v>85</v>
      </c>
    </row>
    <row r="3435" spans="1:6" x14ac:dyDescent="0.35">
      <c r="A3435">
        <v>1975</v>
      </c>
      <c r="B3435" s="1">
        <v>45668</v>
      </c>
      <c r="C3435" s="2">
        <v>4.1666666666666657E-2</v>
      </c>
      <c r="D3435">
        <v>3</v>
      </c>
      <c r="E3435">
        <v>-0.7</v>
      </c>
      <c r="F3435">
        <v>84</v>
      </c>
    </row>
    <row r="3436" spans="1:6" x14ac:dyDescent="0.35">
      <c r="A3436">
        <v>1975</v>
      </c>
      <c r="B3436" s="1">
        <v>45668</v>
      </c>
      <c r="C3436" s="2">
        <v>8.3333333333333329E-2</v>
      </c>
      <c r="D3436">
        <v>3</v>
      </c>
      <c r="E3436">
        <v>-1.2</v>
      </c>
      <c r="F3436">
        <v>83</v>
      </c>
    </row>
    <row r="3437" spans="1:6" x14ac:dyDescent="0.35">
      <c r="A3437">
        <v>1975</v>
      </c>
      <c r="B3437" s="1">
        <v>45668</v>
      </c>
      <c r="C3437" s="2">
        <v>0.125</v>
      </c>
      <c r="D3437">
        <v>3</v>
      </c>
      <c r="E3437">
        <v>-1.4</v>
      </c>
      <c r="F3437">
        <v>83</v>
      </c>
    </row>
    <row r="3438" spans="1:6" x14ac:dyDescent="0.35">
      <c r="A3438">
        <v>1975</v>
      </c>
      <c r="B3438" s="1">
        <v>45668</v>
      </c>
      <c r="C3438" s="2">
        <v>0.16666666666666671</v>
      </c>
      <c r="D3438">
        <v>3</v>
      </c>
      <c r="E3438">
        <v>-1.2</v>
      </c>
      <c r="F3438">
        <v>80</v>
      </c>
    </row>
    <row r="3439" spans="1:6" x14ac:dyDescent="0.35">
      <c r="A3439">
        <v>1975</v>
      </c>
      <c r="B3439" s="1">
        <v>45668</v>
      </c>
      <c r="C3439" s="2">
        <v>0.20833333333333329</v>
      </c>
      <c r="D3439">
        <v>3</v>
      </c>
      <c r="E3439">
        <v>-1.6</v>
      </c>
      <c r="F3439">
        <v>81</v>
      </c>
    </row>
    <row r="3440" spans="1:6" x14ac:dyDescent="0.35">
      <c r="A3440">
        <v>1975</v>
      </c>
      <c r="B3440" s="1">
        <v>45668</v>
      </c>
      <c r="C3440" s="2">
        <v>0.25</v>
      </c>
      <c r="D3440">
        <v>3</v>
      </c>
      <c r="E3440">
        <v>-1.7</v>
      </c>
      <c r="F3440">
        <v>81</v>
      </c>
    </row>
    <row r="3441" spans="1:6" x14ac:dyDescent="0.35">
      <c r="A3441">
        <v>1975</v>
      </c>
      <c r="B3441" s="1">
        <v>45668</v>
      </c>
      <c r="C3441" s="2">
        <v>0.29166666666666669</v>
      </c>
      <c r="D3441">
        <v>3</v>
      </c>
      <c r="E3441">
        <v>-1.5</v>
      </c>
      <c r="F3441">
        <v>80</v>
      </c>
    </row>
    <row r="3442" spans="1:6" x14ac:dyDescent="0.35">
      <c r="A3442">
        <v>1975</v>
      </c>
      <c r="B3442" s="1">
        <v>45668</v>
      </c>
      <c r="C3442" s="2">
        <v>0.33333333333333331</v>
      </c>
      <c r="D3442">
        <v>3</v>
      </c>
      <c r="E3442">
        <v>-1.1000000000000001</v>
      </c>
      <c r="F3442">
        <v>78</v>
      </c>
    </row>
    <row r="3443" spans="1:6" x14ac:dyDescent="0.35">
      <c r="A3443">
        <v>1975</v>
      </c>
      <c r="B3443" s="1">
        <v>45668</v>
      </c>
      <c r="C3443" s="2">
        <v>0.375</v>
      </c>
      <c r="D3443">
        <v>3</v>
      </c>
      <c r="E3443">
        <v>-0.6</v>
      </c>
      <c r="F3443">
        <v>75</v>
      </c>
    </row>
    <row r="3444" spans="1:6" x14ac:dyDescent="0.35">
      <c r="A3444">
        <v>1975</v>
      </c>
      <c r="B3444" s="1">
        <v>45668</v>
      </c>
      <c r="C3444" s="2">
        <v>0.41666666666666669</v>
      </c>
      <c r="D3444">
        <v>3</v>
      </c>
      <c r="E3444">
        <v>0.3</v>
      </c>
      <c r="F3444">
        <v>73</v>
      </c>
    </row>
    <row r="3445" spans="1:6" x14ac:dyDescent="0.35">
      <c r="A3445">
        <v>1975</v>
      </c>
      <c r="B3445" s="1">
        <v>45668</v>
      </c>
      <c r="C3445" s="2">
        <v>0.45833333333333331</v>
      </c>
      <c r="D3445">
        <v>3</v>
      </c>
      <c r="E3445">
        <v>1.2</v>
      </c>
      <c r="F3445">
        <v>69</v>
      </c>
    </row>
    <row r="3446" spans="1:6" x14ac:dyDescent="0.35">
      <c r="A3446">
        <v>1975</v>
      </c>
      <c r="B3446" s="1">
        <v>45668</v>
      </c>
      <c r="C3446" s="2">
        <v>0.5</v>
      </c>
      <c r="D3446">
        <v>3</v>
      </c>
      <c r="E3446">
        <v>1.9</v>
      </c>
      <c r="F3446">
        <v>69</v>
      </c>
    </row>
    <row r="3447" spans="1:6" x14ac:dyDescent="0.35">
      <c r="A3447">
        <v>1975</v>
      </c>
      <c r="B3447" s="1">
        <v>45668</v>
      </c>
      <c r="C3447" s="2">
        <v>0.54166666666666663</v>
      </c>
      <c r="D3447">
        <v>3</v>
      </c>
      <c r="E3447">
        <v>2</v>
      </c>
      <c r="F3447">
        <v>67</v>
      </c>
    </row>
    <row r="3448" spans="1:6" x14ac:dyDescent="0.35">
      <c r="A3448">
        <v>1975</v>
      </c>
      <c r="B3448" s="1">
        <v>45668</v>
      </c>
      <c r="C3448" s="2">
        <v>0.58333333333333337</v>
      </c>
      <c r="D3448">
        <v>3</v>
      </c>
      <c r="E3448">
        <v>1.9</v>
      </c>
      <c r="F3448">
        <v>67</v>
      </c>
    </row>
    <row r="3449" spans="1:6" x14ac:dyDescent="0.35">
      <c r="A3449">
        <v>1975</v>
      </c>
      <c r="B3449" s="1">
        <v>45668</v>
      </c>
      <c r="C3449" s="2">
        <v>0.625</v>
      </c>
      <c r="D3449">
        <v>3</v>
      </c>
      <c r="E3449">
        <v>1.5</v>
      </c>
      <c r="F3449">
        <v>66</v>
      </c>
    </row>
    <row r="3450" spans="1:6" x14ac:dyDescent="0.35">
      <c r="A3450">
        <v>1975</v>
      </c>
      <c r="B3450" s="1">
        <v>45668</v>
      </c>
      <c r="C3450" s="2">
        <v>0.66666666666666663</v>
      </c>
      <c r="D3450">
        <v>3</v>
      </c>
      <c r="E3450">
        <v>0.6</v>
      </c>
      <c r="F3450">
        <v>71</v>
      </c>
    </row>
    <row r="3451" spans="1:6" x14ac:dyDescent="0.35">
      <c r="A3451">
        <v>1975</v>
      </c>
      <c r="B3451" s="1">
        <v>45668</v>
      </c>
      <c r="C3451" s="2">
        <v>0.70833333333333337</v>
      </c>
      <c r="D3451">
        <v>3</v>
      </c>
      <c r="E3451">
        <v>0.1</v>
      </c>
      <c r="F3451">
        <v>75</v>
      </c>
    </row>
    <row r="3452" spans="1:6" x14ac:dyDescent="0.35">
      <c r="A3452">
        <v>1975</v>
      </c>
      <c r="B3452" s="1">
        <v>45668</v>
      </c>
      <c r="C3452" s="2">
        <v>0.75</v>
      </c>
      <c r="D3452">
        <v>3</v>
      </c>
      <c r="E3452">
        <v>-0.4</v>
      </c>
      <c r="F3452">
        <v>78</v>
      </c>
    </row>
    <row r="3453" spans="1:6" x14ac:dyDescent="0.35">
      <c r="A3453">
        <v>1975</v>
      </c>
      <c r="B3453" s="1">
        <v>45668</v>
      </c>
      <c r="C3453" s="2">
        <v>0.79166666666666663</v>
      </c>
      <c r="D3453">
        <v>3</v>
      </c>
      <c r="E3453">
        <v>-0.2</v>
      </c>
      <c r="F3453">
        <v>78</v>
      </c>
    </row>
    <row r="3454" spans="1:6" x14ac:dyDescent="0.35">
      <c r="A3454">
        <v>1975</v>
      </c>
      <c r="B3454" s="1">
        <v>45668</v>
      </c>
      <c r="C3454" s="2">
        <v>0.83333333333333337</v>
      </c>
      <c r="D3454">
        <v>3</v>
      </c>
      <c r="E3454">
        <v>-0.4</v>
      </c>
      <c r="F3454">
        <v>80</v>
      </c>
    </row>
    <row r="3455" spans="1:6" x14ac:dyDescent="0.35">
      <c r="A3455">
        <v>1975</v>
      </c>
      <c r="B3455" s="1">
        <v>45668</v>
      </c>
      <c r="C3455" s="2">
        <v>0.875</v>
      </c>
      <c r="D3455">
        <v>3</v>
      </c>
      <c r="E3455">
        <v>-0.4</v>
      </c>
      <c r="F3455">
        <v>80</v>
      </c>
    </row>
    <row r="3456" spans="1:6" x14ac:dyDescent="0.35">
      <c r="A3456">
        <v>1975</v>
      </c>
      <c r="B3456" s="1">
        <v>45668</v>
      </c>
      <c r="C3456" s="2">
        <v>0.91666666666666663</v>
      </c>
      <c r="D3456">
        <v>3</v>
      </c>
      <c r="E3456">
        <v>-0.8</v>
      </c>
      <c r="F3456">
        <v>81</v>
      </c>
    </row>
    <row r="3457" spans="1:6" x14ac:dyDescent="0.35">
      <c r="A3457">
        <v>1975</v>
      </c>
      <c r="B3457" s="1">
        <v>45668</v>
      </c>
      <c r="C3457" s="2">
        <v>0.95833333333333337</v>
      </c>
      <c r="D3457">
        <v>3</v>
      </c>
      <c r="E3457">
        <v>-1</v>
      </c>
      <c r="F3457">
        <v>83</v>
      </c>
    </row>
    <row r="3458" spans="1:6" x14ac:dyDescent="0.35">
      <c r="A3458">
        <v>1975</v>
      </c>
      <c r="B3458" s="1">
        <v>45669</v>
      </c>
      <c r="C3458" s="2">
        <v>0</v>
      </c>
      <c r="D3458">
        <v>3</v>
      </c>
      <c r="E3458">
        <v>-1.4</v>
      </c>
      <c r="F3458">
        <v>85</v>
      </c>
    </row>
    <row r="3459" spans="1:6" x14ac:dyDescent="0.35">
      <c r="A3459">
        <v>1975</v>
      </c>
      <c r="B3459" s="1">
        <v>45669</v>
      </c>
      <c r="C3459" s="2">
        <v>4.1666666666666657E-2</v>
      </c>
      <c r="D3459">
        <v>3</v>
      </c>
      <c r="E3459">
        <v>-1.3</v>
      </c>
      <c r="F3459">
        <v>85</v>
      </c>
    </row>
    <row r="3460" spans="1:6" x14ac:dyDescent="0.35">
      <c r="A3460">
        <v>1975</v>
      </c>
      <c r="B3460" s="1">
        <v>45669</v>
      </c>
      <c r="C3460" s="2">
        <v>8.3333333333333329E-2</v>
      </c>
      <c r="D3460">
        <v>3</v>
      </c>
      <c r="E3460">
        <v>-1.6</v>
      </c>
      <c r="F3460">
        <v>86</v>
      </c>
    </row>
    <row r="3461" spans="1:6" x14ac:dyDescent="0.35">
      <c r="A3461">
        <v>1975</v>
      </c>
      <c r="B3461" s="1">
        <v>45669</v>
      </c>
      <c r="C3461" s="2">
        <v>0.125</v>
      </c>
      <c r="D3461">
        <v>3</v>
      </c>
      <c r="E3461">
        <v>-2.2000000000000002</v>
      </c>
      <c r="F3461">
        <v>88</v>
      </c>
    </row>
    <row r="3462" spans="1:6" x14ac:dyDescent="0.35">
      <c r="A3462">
        <v>1975</v>
      </c>
      <c r="B3462" s="1">
        <v>45669</v>
      </c>
      <c r="C3462" s="2">
        <v>0.16666666666666671</v>
      </c>
      <c r="D3462">
        <v>3</v>
      </c>
      <c r="E3462">
        <v>-1.9</v>
      </c>
      <c r="F3462">
        <v>87</v>
      </c>
    </row>
    <row r="3463" spans="1:6" x14ac:dyDescent="0.35">
      <c r="A3463">
        <v>1975</v>
      </c>
      <c r="B3463" s="1">
        <v>45669</v>
      </c>
      <c r="C3463" s="2">
        <v>0.20833333333333329</v>
      </c>
      <c r="D3463">
        <v>3</v>
      </c>
      <c r="E3463">
        <v>-1.9</v>
      </c>
      <c r="F3463">
        <v>87</v>
      </c>
    </row>
    <row r="3464" spans="1:6" x14ac:dyDescent="0.35">
      <c r="A3464">
        <v>1975</v>
      </c>
      <c r="B3464" s="1">
        <v>45669</v>
      </c>
      <c r="C3464" s="2">
        <v>0.25</v>
      </c>
      <c r="D3464">
        <v>3</v>
      </c>
      <c r="E3464">
        <v>-2</v>
      </c>
      <c r="F3464">
        <v>88</v>
      </c>
    </row>
    <row r="3465" spans="1:6" x14ac:dyDescent="0.35">
      <c r="A3465">
        <v>1975</v>
      </c>
      <c r="B3465" s="1">
        <v>45669</v>
      </c>
      <c r="C3465" s="2">
        <v>0.29166666666666669</v>
      </c>
      <c r="D3465">
        <v>3</v>
      </c>
      <c r="E3465">
        <v>-2</v>
      </c>
      <c r="F3465">
        <v>89</v>
      </c>
    </row>
    <row r="3466" spans="1:6" x14ac:dyDescent="0.35">
      <c r="A3466">
        <v>1975</v>
      </c>
      <c r="B3466" s="1">
        <v>45669</v>
      </c>
      <c r="C3466" s="2">
        <v>0.33333333333333331</v>
      </c>
      <c r="D3466">
        <v>3</v>
      </c>
      <c r="E3466">
        <v>-1.9</v>
      </c>
      <c r="F3466">
        <v>87</v>
      </c>
    </row>
    <row r="3467" spans="1:6" x14ac:dyDescent="0.35">
      <c r="A3467">
        <v>1975</v>
      </c>
      <c r="B3467" s="1">
        <v>45669</v>
      </c>
      <c r="C3467" s="2">
        <v>0.375</v>
      </c>
      <c r="D3467">
        <v>3</v>
      </c>
      <c r="E3467">
        <v>-1.3</v>
      </c>
      <c r="F3467">
        <v>84</v>
      </c>
    </row>
    <row r="3468" spans="1:6" x14ac:dyDescent="0.35">
      <c r="A3468">
        <v>1975</v>
      </c>
      <c r="B3468" s="1">
        <v>45669</v>
      </c>
      <c r="C3468" s="2">
        <v>0.41666666666666669</v>
      </c>
      <c r="D3468">
        <v>3</v>
      </c>
      <c r="E3468">
        <v>-0.2</v>
      </c>
      <c r="F3468">
        <v>80</v>
      </c>
    </row>
    <row r="3469" spans="1:6" x14ac:dyDescent="0.35">
      <c r="A3469">
        <v>1975</v>
      </c>
      <c r="B3469" s="1">
        <v>45669</v>
      </c>
      <c r="C3469" s="2">
        <v>0.45833333333333331</v>
      </c>
      <c r="D3469">
        <v>3</v>
      </c>
      <c r="E3469">
        <v>0.5</v>
      </c>
      <c r="F3469">
        <v>79</v>
      </c>
    </row>
    <row r="3470" spans="1:6" x14ac:dyDescent="0.35">
      <c r="A3470">
        <v>1975</v>
      </c>
      <c r="B3470" s="1">
        <v>45669</v>
      </c>
      <c r="C3470" s="2">
        <v>0.5</v>
      </c>
      <c r="D3470">
        <v>3</v>
      </c>
      <c r="E3470">
        <v>1.5</v>
      </c>
      <c r="F3470">
        <v>77</v>
      </c>
    </row>
    <row r="3471" spans="1:6" x14ac:dyDescent="0.35">
      <c r="A3471">
        <v>1975</v>
      </c>
      <c r="B3471" s="1">
        <v>45669</v>
      </c>
      <c r="C3471" s="2">
        <v>0.54166666666666663</v>
      </c>
      <c r="D3471">
        <v>3</v>
      </c>
      <c r="E3471">
        <v>1.9</v>
      </c>
      <c r="F3471">
        <v>78</v>
      </c>
    </row>
    <row r="3472" spans="1:6" x14ac:dyDescent="0.35">
      <c r="A3472">
        <v>1975</v>
      </c>
      <c r="B3472" s="1">
        <v>45669</v>
      </c>
      <c r="C3472" s="2">
        <v>0.58333333333333337</v>
      </c>
      <c r="D3472">
        <v>3</v>
      </c>
      <c r="E3472">
        <v>2.1</v>
      </c>
      <c r="F3472">
        <v>75</v>
      </c>
    </row>
    <row r="3473" spans="1:6" x14ac:dyDescent="0.35">
      <c r="A3473">
        <v>1975</v>
      </c>
      <c r="B3473" s="1">
        <v>45669</v>
      </c>
      <c r="C3473" s="2">
        <v>0.625</v>
      </c>
      <c r="D3473">
        <v>3</v>
      </c>
      <c r="E3473">
        <v>1.3</v>
      </c>
      <c r="F3473">
        <v>79</v>
      </c>
    </row>
    <row r="3474" spans="1:6" x14ac:dyDescent="0.35">
      <c r="A3474">
        <v>1975</v>
      </c>
      <c r="B3474" s="1">
        <v>45669</v>
      </c>
      <c r="C3474" s="2">
        <v>0.66666666666666663</v>
      </c>
      <c r="D3474">
        <v>3</v>
      </c>
      <c r="E3474">
        <v>-0.6</v>
      </c>
      <c r="F3474">
        <v>88</v>
      </c>
    </row>
    <row r="3475" spans="1:6" x14ac:dyDescent="0.35">
      <c r="A3475">
        <v>1975</v>
      </c>
      <c r="B3475" s="1">
        <v>45669</v>
      </c>
      <c r="C3475" s="2">
        <v>0.70833333333333337</v>
      </c>
      <c r="D3475">
        <v>3</v>
      </c>
      <c r="E3475">
        <v>-1</v>
      </c>
      <c r="F3475">
        <v>89</v>
      </c>
    </row>
    <row r="3476" spans="1:6" x14ac:dyDescent="0.35">
      <c r="A3476">
        <v>1975</v>
      </c>
      <c r="B3476" s="1">
        <v>45669</v>
      </c>
      <c r="C3476" s="2">
        <v>0.75</v>
      </c>
      <c r="D3476">
        <v>3</v>
      </c>
      <c r="E3476">
        <v>-1.4</v>
      </c>
      <c r="F3476">
        <v>91</v>
      </c>
    </row>
    <row r="3477" spans="1:6" x14ac:dyDescent="0.35">
      <c r="A3477">
        <v>1975</v>
      </c>
      <c r="B3477" s="1">
        <v>45669</v>
      </c>
      <c r="C3477" s="2">
        <v>0.79166666666666663</v>
      </c>
      <c r="D3477">
        <v>3</v>
      </c>
      <c r="E3477">
        <v>-2.8</v>
      </c>
      <c r="F3477">
        <v>95</v>
      </c>
    </row>
    <row r="3478" spans="1:6" x14ac:dyDescent="0.35">
      <c r="A3478">
        <v>1975</v>
      </c>
      <c r="B3478" s="1">
        <v>45669</v>
      </c>
      <c r="C3478" s="2">
        <v>0.83333333333333337</v>
      </c>
      <c r="D3478">
        <v>3</v>
      </c>
      <c r="E3478">
        <v>-4.4000000000000004</v>
      </c>
      <c r="F3478">
        <v>96</v>
      </c>
    </row>
    <row r="3479" spans="1:6" x14ac:dyDescent="0.35">
      <c r="A3479">
        <v>1975</v>
      </c>
      <c r="B3479" s="1">
        <v>45669</v>
      </c>
      <c r="C3479" s="2">
        <v>0.875</v>
      </c>
      <c r="D3479">
        <v>3</v>
      </c>
      <c r="E3479">
        <v>-5</v>
      </c>
      <c r="F3479">
        <v>97</v>
      </c>
    </row>
    <row r="3480" spans="1:6" x14ac:dyDescent="0.35">
      <c r="A3480">
        <v>1975</v>
      </c>
      <c r="B3480" s="1">
        <v>45669</v>
      </c>
      <c r="C3480" s="2">
        <v>0.91666666666666663</v>
      </c>
      <c r="D3480">
        <v>3</v>
      </c>
      <c r="E3480">
        <v>-4.4000000000000004</v>
      </c>
      <c r="F3480">
        <v>99</v>
      </c>
    </row>
    <row r="3481" spans="1:6" x14ac:dyDescent="0.35">
      <c r="A3481">
        <v>1975</v>
      </c>
      <c r="B3481" s="1">
        <v>45669</v>
      </c>
      <c r="C3481" s="2">
        <v>0.95833333333333337</v>
      </c>
      <c r="D3481">
        <v>3</v>
      </c>
      <c r="E3481">
        <v>-5.6</v>
      </c>
      <c r="F3481">
        <v>100</v>
      </c>
    </row>
    <row r="3482" spans="1:6" x14ac:dyDescent="0.35">
      <c r="A3482">
        <v>1975</v>
      </c>
      <c r="B3482" s="1">
        <v>45670</v>
      </c>
      <c r="C3482" s="2">
        <v>0</v>
      </c>
      <c r="D3482">
        <v>3</v>
      </c>
      <c r="E3482">
        <v>-6.9</v>
      </c>
      <c r="F3482">
        <v>97</v>
      </c>
    </row>
    <row r="3483" spans="1:6" x14ac:dyDescent="0.35">
      <c r="A3483">
        <v>1975</v>
      </c>
      <c r="B3483" s="1">
        <v>45670</v>
      </c>
      <c r="C3483" s="2">
        <v>4.1666666666666657E-2</v>
      </c>
      <c r="D3483">
        <v>3</v>
      </c>
      <c r="E3483">
        <v>-6.6</v>
      </c>
      <c r="F3483">
        <v>94</v>
      </c>
    </row>
    <row r="3484" spans="1:6" x14ac:dyDescent="0.35">
      <c r="A3484">
        <v>1975</v>
      </c>
      <c r="B3484" s="1">
        <v>45670</v>
      </c>
      <c r="C3484" s="2">
        <v>8.3333333333333329E-2</v>
      </c>
      <c r="D3484">
        <v>3</v>
      </c>
      <c r="E3484">
        <v>-7.4</v>
      </c>
      <c r="F3484">
        <v>96</v>
      </c>
    </row>
    <row r="3485" spans="1:6" x14ac:dyDescent="0.35">
      <c r="A3485">
        <v>1975</v>
      </c>
      <c r="B3485" s="1">
        <v>45670</v>
      </c>
      <c r="C3485" s="2">
        <v>0.125</v>
      </c>
      <c r="D3485">
        <v>3</v>
      </c>
      <c r="E3485">
        <v>-6.7</v>
      </c>
      <c r="F3485">
        <v>96</v>
      </c>
    </row>
    <row r="3486" spans="1:6" x14ac:dyDescent="0.35">
      <c r="A3486">
        <v>1975</v>
      </c>
      <c r="B3486" s="1">
        <v>45670</v>
      </c>
      <c r="C3486" s="2">
        <v>0.16666666666666671</v>
      </c>
      <c r="D3486">
        <v>3</v>
      </c>
      <c r="E3486">
        <v>-7.6</v>
      </c>
      <c r="F3486">
        <v>92</v>
      </c>
    </row>
    <row r="3487" spans="1:6" x14ac:dyDescent="0.35">
      <c r="A3487">
        <v>1975</v>
      </c>
      <c r="B3487" s="1">
        <v>45670</v>
      </c>
      <c r="C3487" s="2">
        <v>0.20833333333333329</v>
      </c>
      <c r="D3487">
        <v>3</v>
      </c>
      <c r="E3487">
        <v>-7.2</v>
      </c>
      <c r="F3487">
        <v>96</v>
      </c>
    </row>
    <row r="3488" spans="1:6" x14ac:dyDescent="0.35">
      <c r="A3488">
        <v>1975</v>
      </c>
      <c r="B3488" s="1">
        <v>45670</v>
      </c>
      <c r="C3488" s="2">
        <v>0.25</v>
      </c>
      <c r="D3488">
        <v>3</v>
      </c>
      <c r="E3488">
        <v>-7.8</v>
      </c>
      <c r="F3488">
        <v>94</v>
      </c>
    </row>
    <row r="3489" spans="1:6" x14ac:dyDescent="0.35">
      <c r="A3489">
        <v>1975</v>
      </c>
      <c r="B3489" s="1">
        <v>45670</v>
      </c>
      <c r="C3489" s="2">
        <v>0.29166666666666669</v>
      </c>
      <c r="D3489">
        <v>3</v>
      </c>
      <c r="E3489">
        <v>-8.4</v>
      </c>
      <c r="F3489">
        <v>94</v>
      </c>
    </row>
    <row r="3490" spans="1:6" x14ac:dyDescent="0.35">
      <c r="A3490">
        <v>1975</v>
      </c>
      <c r="B3490" s="1">
        <v>45670</v>
      </c>
      <c r="C3490" s="2">
        <v>0.33333333333333331</v>
      </c>
      <c r="D3490">
        <v>3</v>
      </c>
      <c r="E3490">
        <v>-6</v>
      </c>
      <c r="F3490">
        <v>97</v>
      </c>
    </row>
    <row r="3491" spans="1:6" x14ac:dyDescent="0.35">
      <c r="A3491">
        <v>1975</v>
      </c>
      <c r="B3491" s="1">
        <v>45670</v>
      </c>
      <c r="C3491" s="2">
        <v>0.375</v>
      </c>
      <c r="D3491">
        <v>3</v>
      </c>
      <c r="E3491">
        <v>-3.9</v>
      </c>
      <c r="F3491">
        <v>92</v>
      </c>
    </row>
    <row r="3492" spans="1:6" x14ac:dyDescent="0.35">
      <c r="A3492">
        <v>1975</v>
      </c>
      <c r="B3492" s="1">
        <v>45670</v>
      </c>
      <c r="C3492" s="2">
        <v>0.41666666666666669</v>
      </c>
      <c r="D3492">
        <v>3</v>
      </c>
      <c r="E3492">
        <v>-2.4</v>
      </c>
      <c r="F3492">
        <v>88</v>
      </c>
    </row>
    <row r="3493" spans="1:6" x14ac:dyDescent="0.35">
      <c r="A3493">
        <v>1975</v>
      </c>
      <c r="B3493" s="1">
        <v>45670</v>
      </c>
      <c r="C3493" s="2">
        <v>0.45833333333333331</v>
      </c>
      <c r="D3493">
        <v>3</v>
      </c>
      <c r="E3493">
        <v>-0.9</v>
      </c>
      <c r="F3493">
        <v>87</v>
      </c>
    </row>
    <row r="3494" spans="1:6" x14ac:dyDescent="0.35">
      <c r="A3494">
        <v>1975</v>
      </c>
      <c r="B3494" s="1">
        <v>45670</v>
      </c>
      <c r="C3494" s="2">
        <v>0.5</v>
      </c>
      <c r="D3494">
        <v>3</v>
      </c>
      <c r="E3494">
        <v>-0.1</v>
      </c>
      <c r="F3494">
        <v>88</v>
      </c>
    </row>
    <row r="3495" spans="1:6" x14ac:dyDescent="0.35">
      <c r="A3495">
        <v>1975</v>
      </c>
      <c r="B3495" s="1">
        <v>45670</v>
      </c>
      <c r="C3495" s="2">
        <v>0.54166666666666663</v>
      </c>
      <c r="D3495">
        <v>3</v>
      </c>
      <c r="E3495">
        <v>0.6</v>
      </c>
      <c r="F3495">
        <v>83</v>
      </c>
    </row>
    <row r="3496" spans="1:6" x14ac:dyDescent="0.35">
      <c r="A3496">
        <v>1975</v>
      </c>
      <c r="B3496" s="1">
        <v>45670</v>
      </c>
      <c r="C3496" s="2">
        <v>0.58333333333333337</v>
      </c>
      <c r="D3496">
        <v>3</v>
      </c>
      <c r="E3496">
        <v>0.7</v>
      </c>
      <c r="F3496">
        <v>82</v>
      </c>
    </row>
    <row r="3497" spans="1:6" x14ac:dyDescent="0.35">
      <c r="A3497">
        <v>1975</v>
      </c>
      <c r="B3497" s="1">
        <v>45670</v>
      </c>
      <c r="C3497" s="2">
        <v>0.625</v>
      </c>
      <c r="D3497">
        <v>3</v>
      </c>
      <c r="E3497">
        <v>0</v>
      </c>
      <c r="F3497">
        <v>86</v>
      </c>
    </row>
    <row r="3498" spans="1:6" x14ac:dyDescent="0.35">
      <c r="A3498">
        <v>1975</v>
      </c>
      <c r="B3498" s="1">
        <v>45670</v>
      </c>
      <c r="C3498" s="2">
        <v>0.66666666666666663</v>
      </c>
      <c r="D3498">
        <v>3</v>
      </c>
      <c r="E3498">
        <v>-0.9</v>
      </c>
      <c r="F3498">
        <v>90</v>
      </c>
    </row>
    <row r="3499" spans="1:6" x14ac:dyDescent="0.35">
      <c r="A3499">
        <v>1975</v>
      </c>
      <c r="B3499" s="1">
        <v>45670</v>
      </c>
      <c r="C3499" s="2">
        <v>0.70833333333333337</v>
      </c>
      <c r="D3499">
        <v>3</v>
      </c>
      <c r="E3499">
        <v>-1.7</v>
      </c>
      <c r="F3499">
        <v>92</v>
      </c>
    </row>
    <row r="3500" spans="1:6" x14ac:dyDescent="0.35">
      <c r="A3500">
        <v>1975</v>
      </c>
      <c r="B3500" s="1">
        <v>45670</v>
      </c>
      <c r="C3500" s="2">
        <v>0.75</v>
      </c>
      <c r="D3500">
        <v>3</v>
      </c>
      <c r="E3500">
        <v>-1.9</v>
      </c>
      <c r="F3500">
        <v>95</v>
      </c>
    </row>
    <row r="3501" spans="1:6" x14ac:dyDescent="0.35">
      <c r="A3501">
        <v>1975</v>
      </c>
      <c r="B3501" s="1">
        <v>45670</v>
      </c>
      <c r="C3501" s="2">
        <v>0.79166666666666663</v>
      </c>
      <c r="D3501">
        <v>3</v>
      </c>
      <c r="E3501">
        <v>-1.6</v>
      </c>
      <c r="F3501">
        <v>96</v>
      </c>
    </row>
    <row r="3502" spans="1:6" x14ac:dyDescent="0.35">
      <c r="A3502">
        <v>1975</v>
      </c>
      <c r="B3502" s="1">
        <v>45670</v>
      </c>
      <c r="C3502" s="2">
        <v>0.83333333333333337</v>
      </c>
      <c r="D3502">
        <v>3</v>
      </c>
      <c r="E3502">
        <v>-1.4</v>
      </c>
      <c r="F3502">
        <v>94</v>
      </c>
    </row>
    <row r="3503" spans="1:6" x14ac:dyDescent="0.35">
      <c r="A3503">
        <v>1975</v>
      </c>
      <c r="B3503" s="1">
        <v>45670</v>
      </c>
      <c r="C3503" s="2">
        <v>0.875</v>
      </c>
      <c r="D3503">
        <v>3</v>
      </c>
      <c r="E3503">
        <v>-1.5</v>
      </c>
      <c r="F3503">
        <v>93</v>
      </c>
    </row>
    <row r="3504" spans="1:6" x14ac:dyDescent="0.35">
      <c r="A3504">
        <v>1975</v>
      </c>
      <c r="B3504" s="1">
        <v>45670</v>
      </c>
      <c r="C3504" s="2">
        <v>0.91666666666666663</v>
      </c>
      <c r="D3504">
        <v>3</v>
      </c>
      <c r="E3504">
        <v>-1.7</v>
      </c>
      <c r="F3504">
        <v>91</v>
      </c>
    </row>
    <row r="3505" spans="1:6" x14ac:dyDescent="0.35">
      <c r="A3505">
        <v>1975</v>
      </c>
      <c r="B3505" s="1">
        <v>45670</v>
      </c>
      <c r="C3505" s="2">
        <v>0.95833333333333337</v>
      </c>
      <c r="D3505">
        <v>3</v>
      </c>
      <c r="E3505">
        <v>-1.8</v>
      </c>
      <c r="F3505">
        <v>91</v>
      </c>
    </row>
    <row r="3506" spans="1:6" x14ac:dyDescent="0.35">
      <c r="A3506">
        <v>1975</v>
      </c>
      <c r="B3506" s="1">
        <v>45671</v>
      </c>
      <c r="C3506" s="2">
        <v>0</v>
      </c>
      <c r="D3506">
        <v>3</v>
      </c>
      <c r="E3506">
        <v>-2.4</v>
      </c>
      <c r="F3506">
        <v>90</v>
      </c>
    </row>
    <row r="3507" spans="1:6" x14ac:dyDescent="0.35">
      <c r="A3507">
        <v>1975</v>
      </c>
      <c r="B3507" s="1">
        <v>45671</v>
      </c>
      <c r="C3507" s="2">
        <v>4.1666666666666657E-2</v>
      </c>
      <c r="D3507">
        <v>3</v>
      </c>
      <c r="E3507">
        <v>-2.8</v>
      </c>
      <c r="F3507">
        <v>89</v>
      </c>
    </row>
    <row r="3508" spans="1:6" x14ac:dyDescent="0.35">
      <c r="A3508">
        <v>1975</v>
      </c>
      <c r="B3508" s="1">
        <v>45671</v>
      </c>
      <c r="C3508" s="2">
        <v>8.3333333333333329E-2</v>
      </c>
      <c r="D3508">
        <v>3</v>
      </c>
      <c r="E3508">
        <v>-2.1</v>
      </c>
      <c r="F3508">
        <v>86</v>
      </c>
    </row>
    <row r="3509" spans="1:6" x14ac:dyDescent="0.35">
      <c r="A3509">
        <v>1975</v>
      </c>
      <c r="B3509" s="1">
        <v>45671</v>
      </c>
      <c r="C3509" s="2">
        <v>0.125</v>
      </c>
      <c r="D3509">
        <v>3</v>
      </c>
      <c r="E3509">
        <v>-1.7</v>
      </c>
      <c r="F3509">
        <v>82</v>
      </c>
    </row>
    <row r="3510" spans="1:6" x14ac:dyDescent="0.35">
      <c r="A3510">
        <v>1975</v>
      </c>
      <c r="B3510" s="1">
        <v>45671</v>
      </c>
      <c r="C3510" s="2">
        <v>0.16666666666666671</v>
      </c>
      <c r="D3510">
        <v>3</v>
      </c>
      <c r="E3510">
        <v>-1.4</v>
      </c>
      <c r="F3510">
        <v>82</v>
      </c>
    </row>
    <row r="3511" spans="1:6" x14ac:dyDescent="0.35">
      <c r="A3511">
        <v>1975</v>
      </c>
      <c r="B3511" s="1">
        <v>45671</v>
      </c>
      <c r="C3511" s="2">
        <v>0.20833333333333329</v>
      </c>
      <c r="D3511">
        <v>3</v>
      </c>
      <c r="E3511">
        <v>-1.1000000000000001</v>
      </c>
      <c r="F3511">
        <v>81</v>
      </c>
    </row>
    <row r="3512" spans="1:6" x14ac:dyDescent="0.35">
      <c r="A3512">
        <v>1975</v>
      </c>
      <c r="B3512" s="1">
        <v>45671</v>
      </c>
      <c r="C3512" s="2">
        <v>0.25</v>
      </c>
      <c r="D3512">
        <v>3</v>
      </c>
      <c r="E3512">
        <v>-0.5</v>
      </c>
      <c r="F3512">
        <v>77</v>
      </c>
    </row>
    <row r="3513" spans="1:6" x14ac:dyDescent="0.35">
      <c r="A3513">
        <v>1975</v>
      </c>
      <c r="B3513" s="1">
        <v>45671</v>
      </c>
      <c r="C3513" s="2">
        <v>0.29166666666666669</v>
      </c>
      <c r="D3513">
        <v>3</v>
      </c>
      <c r="E3513">
        <v>-0.4</v>
      </c>
      <c r="F3513">
        <v>78</v>
      </c>
    </row>
    <row r="3514" spans="1:6" x14ac:dyDescent="0.35">
      <c r="A3514">
        <v>1975</v>
      </c>
      <c r="B3514" s="1">
        <v>45671</v>
      </c>
      <c r="C3514" s="2">
        <v>0.33333333333333331</v>
      </c>
      <c r="D3514">
        <v>3</v>
      </c>
      <c r="E3514">
        <v>-0.1</v>
      </c>
      <c r="F3514">
        <v>78</v>
      </c>
    </row>
    <row r="3515" spans="1:6" x14ac:dyDescent="0.35">
      <c r="A3515">
        <v>1975</v>
      </c>
      <c r="B3515" s="1">
        <v>45671</v>
      </c>
      <c r="C3515" s="2">
        <v>0.375</v>
      </c>
      <c r="D3515">
        <v>3</v>
      </c>
      <c r="E3515">
        <v>0.1</v>
      </c>
      <c r="F3515">
        <v>80</v>
      </c>
    </row>
    <row r="3516" spans="1:6" x14ac:dyDescent="0.35">
      <c r="A3516">
        <v>1975</v>
      </c>
      <c r="B3516" s="1">
        <v>45671</v>
      </c>
      <c r="C3516" s="2">
        <v>0.41666666666666669</v>
      </c>
      <c r="D3516">
        <v>3</v>
      </c>
      <c r="E3516">
        <v>0.6</v>
      </c>
      <c r="F3516">
        <v>82</v>
      </c>
    </row>
    <row r="3517" spans="1:6" x14ac:dyDescent="0.35">
      <c r="A3517">
        <v>1975</v>
      </c>
      <c r="B3517" s="1">
        <v>45671</v>
      </c>
      <c r="C3517" s="2">
        <v>0.45833333333333331</v>
      </c>
      <c r="D3517">
        <v>3</v>
      </c>
      <c r="E3517">
        <v>1.1000000000000001</v>
      </c>
      <c r="F3517">
        <v>81</v>
      </c>
    </row>
    <row r="3518" spans="1:6" x14ac:dyDescent="0.35">
      <c r="A3518">
        <v>1975</v>
      </c>
      <c r="B3518" s="1">
        <v>45671</v>
      </c>
      <c r="C3518" s="2">
        <v>0.5</v>
      </c>
      <c r="D3518">
        <v>3</v>
      </c>
      <c r="E3518">
        <v>1.5</v>
      </c>
      <c r="F3518">
        <v>85</v>
      </c>
    </row>
    <row r="3519" spans="1:6" x14ac:dyDescent="0.35">
      <c r="A3519">
        <v>1975</v>
      </c>
      <c r="B3519" s="1">
        <v>45671</v>
      </c>
      <c r="C3519" s="2">
        <v>0.54166666666666663</v>
      </c>
      <c r="D3519">
        <v>3</v>
      </c>
      <c r="E3519">
        <v>1.8</v>
      </c>
      <c r="F3519">
        <v>88</v>
      </c>
    </row>
    <row r="3520" spans="1:6" x14ac:dyDescent="0.35">
      <c r="A3520">
        <v>1975</v>
      </c>
      <c r="B3520" s="1">
        <v>45671</v>
      </c>
      <c r="C3520" s="2">
        <v>0.58333333333333337</v>
      </c>
      <c r="D3520">
        <v>3</v>
      </c>
      <c r="E3520">
        <v>1.8</v>
      </c>
      <c r="F3520">
        <v>94</v>
      </c>
    </row>
    <row r="3521" spans="1:6" x14ac:dyDescent="0.35">
      <c r="A3521">
        <v>1975</v>
      </c>
      <c r="B3521" s="1">
        <v>45671</v>
      </c>
      <c r="C3521" s="2">
        <v>0.625</v>
      </c>
      <c r="D3521">
        <v>3</v>
      </c>
      <c r="E3521">
        <v>1.9</v>
      </c>
      <c r="F3521">
        <v>99</v>
      </c>
    </row>
    <row r="3522" spans="1:6" x14ac:dyDescent="0.35">
      <c r="A3522">
        <v>1975</v>
      </c>
      <c r="B3522" s="1">
        <v>45671</v>
      </c>
      <c r="C3522" s="2">
        <v>0.66666666666666663</v>
      </c>
      <c r="D3522">
        <v>3</v>
      </c>
      <c r="E3522">
        <v>2.2999999999999998</v>
      </c>
      <c r="F3522">
        <v>100</v>
      </c>
    </row>
    <row r="3523" spans="1:6" x14ac:dyDescent="0.35">
      <c r="A3523">
        <v>1975</v>
      </c>
      <c r="B3523" s="1">
        <v>45671</v>
      </c>
      <c r="C3523" s="2">
        <v>0.70833333333333337</v>
      </c>
      <c r="D3523">
        <v>3</v>
      </c>
      <c r="E3523">
        <v>2.2999999999999998</v>
      </c>
      <c r="F3523">
        <v>100</v>
      </c>
    </row>
    <row r="3524" spans="1:6" x14ac:dyDescent="0.35">
      <c r="A3524">
        <v>1975</v>
      </c>
      <c r="B3524" s="1">
        <v>45671</v>
      </c>
      <c r="C3524" s="2">
        <v>0.75</v>
      </c>
      <c r="D3524">
        <v>3</v>
      </c>
      <c r="E3524">
        <v>3</v>
      </c>
      <c r="F3524">
        <v>100</v>
      </c>
    </row>
    <row r="3525" spans="1:6" x14ac:dyDescent="0.35">
      <c r="A3525">
        <v>1975</v>
      </c>
      <c r="B3525" s="1">
        <v>45671</v>
      </c>
      <c r="C3525" s="2">
        <v>0.79166666666666663</v>
      </c>
      <c r="D3525">
        <v>3</v>
      </c>
      <c r="E3525">
        <v>3.7</v>
      </c>
      <c r="F3525">
        <v>100</v>
      </c>
    </row>
    <row r="3526" spans="1:6" x14ac:dyDescent="0.35">
      <c r="A3526">
        <v>1975</v>
      </c>
      <c r="B3526" s="1">
        <v>45671</v>
      </c>
      <c r="C3526" s="2">
        <v>0.83333333333333337</v>
      </c>
      <c r="D3526">
        <v>3</v>
      </c>
      <c r="E3526">
        <v>3.9</v>
      </c>
      <c r="F3526">
        <v>100</v>
      </c>
    </row>
    <row r="3527" spans="1:6" x14ac:dyDescent="0.35">
      <c r="A3527">
        <v>1975</v>
      </c>
      <c r="B3527" s="1">
        <v>45671</v>
      </c>
      <c r="C3527" s="2">
        <v>0.875</v>
      </c>
      <c r="D3527">
        <v>3</v>
      </c>
      <c r="E3527">
        <v>4.2</v>
      </c>
      <c r="F3527">
        <v>100</v>
      </c>
    </row>
    <row r="3528" spans="1:6" x14ac:dyDescent="0.35">
      <c r="A3528">
        <v>1975</v>
      </c>
      <c r="B3528" s="1">
        <v>45671</v>
      </c>
      <c r="C3528" s="2">
        <v>0.91666666666666663</v>
      </c>
      <c r="D3528">
        <v>3</v>
      </c>
      <c r="E3528">
        <v>4.8</v>
      </c>
      <c r="F3528">
        <v>100</v>
      </c>
    </row>
    <row r="3529" spans="1:6" x14ac:dyDescent="0.35">
      <c r="A3529">
        <v>1975</v>
      </c>
      <c r="B3529" s="1">
        <v>45671</v>
      </c>
      <c r="C3529" s="2">
        <v>0.95833333333333337</v>
      </c>
      <c r="D3529">
        <v>3</v>
      </c>
      <c r="E3529">
        <v>5.0999999999999996</v>
      </c>
      <c r="F3529">
        <v>100</v>
      </c>
    </row>
    <row r="3530" spans="1:6" x14ac:dyDescent="0.35">
      <c r="A3530">
        <v>1975</v>
      </c>
      <c r="B3530" s="1">
        <v>45672</v>
      </c>
      <c r="C3530" s="2">
        <v>0</v>
      </c>
      <c r="D3530">
        <v>3</v>
      </c>
      <c r="E3530">
        <v>5.3</v>
      </c>
      <c r="F3530">
        <v>100</v>
      </c>
    </row>
    <row r="3531" spans="1:6" x14ac:dyDescent="0.35">
      <c r="A3531">
        <v>1975</v>
      </c>
      <c r="B3531" s="1">
        <v>45672</v>
      </c>
      <c r="C3531" s="2">
        <v>4.1666666666666657E-2</v>
      </c>
      <c r="D3531">
        <v>3</v>
      </c>
      <c r="E3531">
        <v>5.7</v>
      </c>
      <c r="F3531">
        <v>100</v>
      </c>
    </row>
    <row r="3532" spans="1:6" x14ac:dyDescent="0.35">
      <c r="A3532">
        <v>1975</v>
      </c>
      <c r="B3532" s="1">
        <v>45672</v>
      </c>
      <c r="C3532" s="2">
        <v>8.3333333333333329E-2</v>
      </c>
      <c r="D3532">
        <v>3</v>
      </c>
      <c r="E3532">
        <v>5.8</v>
      </c>
      <c r="F3532">
        <v>98</v>
      </c>
    </row>
    <row r="3533" spans="1:6" x14ac:dyDescent="0.35">
      <c r="A3533">
        <v>1975</v>
      </c>
      <c r="B3533" s="1">
        <v>45672</v>
      </c>
      <c r="C3533" s="2">
        <v>0.125</v>
      </c>
      <c r="D3533">
        <v>3</v>
      </c>
      <c r="E3533">
        <v>5.8</v>
      </c>
      <c r="F3533">
        <v>98</v>
      </c>
    </row>
    <row r="3534" spans="1:6" x14ac:dyDescent="0.35">
      <c r="A3534">
        <v>1975</v>
      </c>
      <c r="B3534" s="1">
        <v>45672</v>
      </c>
      <c r="C3534" s="2">
        <v>0.16666666666666671</v>
      </c>
      <c r="D3534">
        <v>3</v>
      </c>
      <c r="E3534">
        <v>5.7</v>
      </c>
      <c r="F3534">
        <v>98</v>
      </c>
    </row>
    <row r="3535" spans="1:6" x14ac:dyDescent="0.35">
      <c r="A3535">
        <v>1975</v>
      </c>
      <c r="B3535" s="1">
        <v>45672</v>
      </c>
      <c r="C3535" s="2">
        <v>0.20833333333333329</v>
      </c>
      <c r="D3535">
        <v>3</v>
      </c>
      <c r="E3535">
        <v>5.7</v>
      </c>
      <c r="F3535">
        <v>97</v>
      </c>
    </row>
    <row r="3536" spans="1:6" x14ac:dyDescent="0.35">
      <c r="A3536">
        <v>1975</v>
      </c>
      <c r="B3536" s="1">
        <v>45672</v>
      </c>
      <c r="C3536" s="2">
        <v>0.25</v>
      </c>
      <c r="D3536">
        <v>3</v>
      </c>
      <c r="E3536">
        <v>5.4</v>
      </c>
      <c r="F3536">
        <v>99</v>
      </c>
    </row>
    <row r="3537" spans="1:6" x14ac:dyDescent="0.35">
      <c r="A3537">
        <v>1975</v>
      </c>
      <c r="B3537" s="1">
        <v>45672</v>
      </c>
      <c r="C3537" s="2">
        <v>0.29166666666666669</v>
      </c>
      <c r="D3537">
        <v>3</v>
      </c>
      <c r="E3537">
        <v>5.4</v>
      </c>
      <c r="F3537">
        <v>100</v>
      </c>
    </row>
    <row r="3538" spans="1:6" x14ac:dyDescent="0.35">
      <c r="A3538">
        <v>1975</v>
      </c>
      <c r="B3538" s="1">
        <v>45672</v>
      </c>
      <c r="C3538" s="2">
        <v>0.33333333333333331</v>
      </c>
      <c r="D3538">
        <v>3</v>
      </c>
      <c r="E3538">
        <v>5.6</v>
      </c>
      <c r="F3538">
        <v>96</v>
      </c>
    </row>
    <row r="3539" spans="1:6" x14ac:dyDescent="0.35">
      <c r="A3539">
        <v>1975</v>
      </c>
      <c r="B3539" s="1">
        <v>45672</v>
      </c>
      <c r="C3539" s="2">
        <v>0.375</v>
      </c>
      <c r="D3539">
        <v>3</v>
      </c>
      <c r="E3539">
        <v>5.7</v>
      </c>
      <c r="F3539">
        <v>96</v>
      </c>
    </row>
    <row r="3540" spans="1:6" x14ac:dyDescent="0.35">
      <c r="A3540">
        <v>1975</v>
      </c>
      <c r="B3540" s="1">
        <v>45672</v>
      </c>
      <c r="C3540" s="2">
        <v>0.41666666666666669</v>
      </c>
      <c r="D3540">
        <v>3</v>
      </c>
      <c r="E3540">
        <v>5.6</v>
      </c>
      <c r="F3540">
        <v>97</v>
      </c>
    </row>
    <row r="3541" spans="1:6" x14ac:dyDescent="0.35">
      <c r="A3541">
        <v>1975</v>
      </c>
      <c r="B3541" s="1">
        <v>45672</v>
      </c>
      <c r="C3541" s="2">
        <v>0.45833333333333331</v>
      </c>
      <c r="D3541">
        <v>3</v>
      </c>
      <c r="E3541">
        <v>5.6</v>
      </c>
      <c r="F3541">
        <v>-999</v>
      </c>
    </row>
    <row r="3542" spans="1:6" x14ac:dyDescent="0.35">
      <c r="A3542">
        <v>1975</v>
      </c>
      <c r="B3542" s="1">
        <v>45672</v>
      </c>
      <c r="C3542" s="2">
        <v>0.5</v>
      </c>
      <c r="D3542">
        <v>3</v>
      </c>
      <c r="E3542">
        <v>5.6</v>
      </c>
      <c r="F3542">
        <v>97</v>
      </c>
    </row>
    <row r="3543" spans="1:6" x14ac:dyDescent="0.35">
      <c r="A3543">
        <v>1975</v>
      </c>
      <c r="B3543" s="1">
        <v>45672</v>
      </c>
      <c r="C3543" s="2">
        <v>0.54166666666666663</v>
      </c>
      <c r="D3543">
        <v>3</v>
      </c>
      <c r="E3543">
        <v>5.4</v>
      </c>
      <c r="F3543">
        <v>97</v>
      </c>
    </row>
    <row r="3544" spans="1:6" x14ac:dyDescent="0.35">
      <c r="A3544">
        <v>1975</v>
      </c>
      <c r="B3544" s="1">
        <v>45672</v>
      </c>
      <c r="C3544" s="2">
        <v>0.58333333333333337</v>
      </c>
      <c r="D3544">
        <v>3</v>
      </c>
      <c r="E3544">
        <v>5.0999999999999996</v>
      </c>
      <c r="F3544">
        <v>98</v>
      </c>
    </row>
    <row r="3545" spans="1:6" x14ac:dyDescent="0.35">
      <c r="A3545">
        <v>1975</v>
      </c>
      <c r="B3545" s="1">
        <v>45672</v>
      </c>
      <c r="C3545" s="2">
        <v>0.625</v>
      </c>
      <c r="D3545">
        <v>3</v>
      </c>
      <c r="E3545">
        <v>4.4000000000000004</v>
      </c>
      <c r="F3545">
        <v>99</v>
      </c>
    </row>
    <row r="3546" spans="1:6" x14ac:dyDescent="0.35">
      <c r="A3546">
        <v>1975</v>
      </c>
      <c r="B3546" s="1">
        <v>45672</v>
      </c>
      <c r="C3546" s="2">
        <v>0.66666666666666663</v>
      </c>
      <c r="D3546">
        <v>3</v>
      </c>
      <c r="E3546">
        <v>4.5</v>
      </c>
      <c r="F3546">
        <v>100</v>
      </c>
    </row>
    <row r="3547" spans="1:6" x14ac:dyDescent="0.35">
      <c r="A3547">
        <v>1975</v>
      </c>
      <c r="B3547" s="1">
        <v>45672</v>
      </c>
      <c r="C3547" s="2">
        <v>0.70833333333333337</v>
      </c>
      <c r="D3547">
        <v>3</v>
      </c>
      <c r="E3547">
        <v>4.7</v>
      </c>
      <c r="F3547">
        <v>98</v>
      </c>
    </row>
    <row r="3548" spans="1:6" x14ac:dyDescent="0.35">
      <c r="A3548">
        <v>1975</v>
      </c>
      <c r="B3548" s="1">
        <v>45672</v>
      </c>
      <c r="C3548" s="2">
        <v>0.75</v>
      </c>
      <c r="D3548">
        <v>3</v>
      </c>
      <c r="E3548">
        <v>4.3</v>
      </c>
      <c r="F3548">
        <v>98</v>
      </c>
    </row>
    <row r="3549" spans="1:6" x14ac:dyDescent="0.35">
      <c r="A3549">
        <v>1975</v>
      </c>
      <c r="B3549" s="1">
        <v>45672</v>
      </c>
      <c r="C3549" s="2">
        <v>0.79166666666666663</v>
      </c>
      <c r="D3549">
        <v>3</v>
      </c>
      <c r="E3549">
        <v>4</v>
      </c>
      <c r="F3549">
        <v>100</v>
      </c>
    </row>
    <row r="3550" spans="1:6" x14ac:dyDescent="0.35">
      <c r="A3550">
        <v>1975</v>
      </c>
      <c r="B3550" s="1">
        <v>45672</v>
      </c>
      <c r="C3550" s="2">
        <v>0.83333333333333337</v>
      </c>
      <c r="D3550">
        <v>3</v>
      </c>
      <c r="E3550">
        <v>4</v>
      </c>
      <c r="F3550">
        <v>100</v>
      </c>
    </row>
    <row r="3551" spans="1:6" x14ac:dyDescent="0.35">
      <c r="A3551">
        <v>1975</v>
      </c>
      <c r="B3551" s="1">
        <v>45672</v>
      </c>
      <c r="C3551" s="2">
        <v>0.875</v>
      </c>
      <c r="D3551">
        <v>3</v>
      </c>
      <c r="E3551">
        <v>4</v>
      </c>
      <c r="F3551">
        <v>100</v>
      </c>
    </row>
    <row r="3552" spans="1:6" x14ac:dyDescent="0.35">
      <c r="A3552">
        <v>1975</v>
      </c>
      <c r="B3552" s="1">
        <v>45672</v>
      </c>
      <c r="C3552" s="2">
        <v>0.91666666666666663</v>
      </c>
      <c r="D3552">
        <v>3</v>
      </c>
      <c r="E3552">
        <v>3.8</v>
      </c>
      <c r="F3552">
        <v>100</v>
      </c>
    </row>
    <row r="3553" spans="1:6" x14ac:dyDescent="0.35">
      <c r="A3553">
        <v>1975</v>
      </c>
      <c r="B3553" s="1">
        <v>45672</v>
      </c>
      <c r="C3553" s="2">
        <v>0.95833333333333337</v>
      </c>
      <c r="D3553">
        <v>3</v>
      </c>
      <c r="E3553">
        <v>3.9</v>
      </c>
      <c r="F3553">
        <v>100</v>
      </c>
    </row>
    <row r="3554" spans="1:6" x14ac:dyDescent="0.35">
      <c r="A3554">
        <v>1975</v>
      </c>
      <c r="B3554" s="1">
        <v>45673</v>
      </c>
      <c r="C3554" s="2">
        <v>0</v>
      </c>
      <c r="D3554">
        <v>3</v>
      </c>
      <c r="E3554">
        <v>3.8</v>
      </c>
      <c r="F3554">
        <v>100</v>
      </c>
    </row>
    <row r="3555" spans="1:6" x14ac:dyDescent="0.35">
      <c r="A3555">
        <v>1975</v>
      </c>
      <c r="B3555" s="1">
        <v>45673</v>
      </c>
      <c r="C3555" s="2">
        <v>4.1666666666666657E-2</v>
      </c>
      <c r="D3555">
        <v>3</v>
      </c>
      <c r="E3555">
        <v>4</v>
      </c>
      <c r="F3555">
        <v>100</v>
      </c>
    </row>
    <row r="3556" spans="1:6" x14ac:dyDescent="0.35">
      <c r="A3556">
        <v>1975</v>
      </c>
      <c r="B3556" s="1">
        <v>45673</v>
      </c>
      <c r="C3556" s="2">
        <v>8.3333333333333329E-2</v>
      </c>
      <c r="D3556">
        <v>3</v>
      </c>
      <c r="E3556">
        <v>4.3</v>
      </c>
      <c r="F3556">
        <v>100</v>
      </c>
    </row>
    <row r="3557" spans="1:6" x14ac:dyDescent="0.35">
      <c r="A3557">
        <v>1975</v>
      </c>
      <c r="B3557" s="1">
        <v>45673</v>
      </c>
      <c r="C3557" s="2">
        <v>0.125</v>
      </c>
      <c r="D3557">
        <v>3</v>
      </c>
      <c r="E3557">
        <v>4.3</v>
      </c>
      <c r="F3557">
        <v>100</v>
      </c>
    </row>
    <row r="3558" spans="1:6" x14ac:dyDescent="0.35">
      <c r="A3558">
        <v>1975</v>
      </c>
      <c r="B3558" s="1">
        <v>45673</v>
      </c>
      <c r="C3558" s="2">
        <v>0.16666666666666671</v>
      </c>
      <c r="D3558">
        <v>3</v>
      </c>
      <c r="E3558">
        <v>4.3</v>
      </c>
      <c r="F3558">
        <v>100</v>
      </c>
    </row>
    <row r="3559" spans="1:6" x14ac:dyDescent="0.35">
      <c r="A3559">
        <v>1975</v>
      </c>
      <c r="B3559" s="1">
        <v>45673</v>
      </c>
      <c r="C3559" s="2">
        <v>0.20833333333333329</v>
      </c>
      <c r="D3559">
        <v>3</v>
      </c>
      <c r="E3559">
        <v>4.2</v>
      </c>
      <c r="F3559">
        <v>100</v>
      </c>
    </row>
    <row r="3560" spans="1:6" x14ac:dyDescent="0.35">
      <c r="A3560">
        <v>1975</v>
      </c>
      <c r="B3560" s="1">
        <v>45673</v>
      </c>
      <c r="C3560" s="2">
        <v>0.25</v>
      </c>
      <c r="D3560">
        <v>3</v>
      </c>
      <c r="E3560">
        <v>4.2</v>
      </c>
      <c r="F3560">
        <v>100</v>
      </c>
    </row>
    <row r="3561" spans="1:6" x14ac:dyDescent="0.35">
      <c r="A3561">
        <v>1975</v>
      </c>
      <c r="B3561" s="1">
        <v>45673</v>
      </c>
      <c r="C3561" s="2">
        <v>0.29166666666666669</v>
      </c>
      <c r="D3561">
        <v>3</v>
      </c>
      <c r="E3561">
        <v>4.2</v>
      </c>
      <c r="F3561">
        <v>100</v>
      </c>
    </row>
    <row r="3562" spans="1:6" x14ac:dyDescent="0.35">
      <c r="A3562">
        <v>1975</v>
      </c>
      <c r="B3562" s="1">
        <v>45673</v>
      </c>
      <c r="C3562" s="2">
        <v>0.33333333333333331</v>
      </c>
      <c r="D3562">
        <v>3</v>
      </c>
      <c r="E3562">
        <v>4.2</v>
      </c>
      <c r="F3562">
        <v>100</v>
      </c>
    </row>
    <row r="3563" spans="1:6" x14ac:dyDescent="0.35">
      <c r="A3563">
        <v>1975</v>
      </c>
      <c r="B3563" s="1">
        <v>45673</v>
      </c>
      <c r="C3563" s="2">
        <v>0.375</v>
      </c>
      <c r="D3563">
        <v>3</v>
      </c>
      <c r="E3563">
        <v>4.0999999999999996</v>
      </c>
      <c r="F3563">
        <v>100</v>
      </c>
    </row>
    <row r="3564" spans="1:6" x14ac:dyDescent="0.35">
      <c r="A3564">
        <v>1975</v>
      </c>
      <c r="B3564" s="1">
        <v>45673</v>
      </c>
      <c r="C3564" s="2">
        <v>0.41666666666666669</v>
      </c>
      <c r="D3564">
        <v>3</v>
      </c>
      <c r="E3564">
        <v>4</v>
      </c>
      <c r="F3564">
        <v>100</v>
      </c>
    </row>
    <row r="3565" spans="1:6" x14ac:dyDescent="0.35">
      <c r="A3565">
        <v>1975</v>
      </c>
      <c r="B3565" s="1">
        <v>45673</v>
      </c>
      <c r="C3565" s="2">
        <v>0.45833333333333331</v>
      </c>
      <c r="D3565">
        <v>3</v>
      </c>
      <c r="E3565">
        <v>4.2</v>
      </c>
      <c r="F3565">
        <v>100</v>
      </c>
    </row>
    <row r="3566" spans="1:6" x14ac:dyDescent="0.35">
      <c r="A3566">
        <v>1975</v>
      </c>
      <c r="B3566" s="1">
        <v>45673</v>
      </c>
      <c r="C3566" s="2">
        <v>0.5</v>
      </c>
      <c r="D3566">
        <v>3</v>
      </c>
      <c r="E3566">
        <v>4.2</v>
      </c>
      <c r="F3566">
        <v>100</v>
      </c>
    </row>
    <row r="3567" spans="1:6" x14ac:dyDescent="0.35">
      <c r="A3567">
        <v>1975</v>
      </c>
      <c r="B3567" s="1">
        <v>45673</v>
      </c>
      <c r="C3567" s="2">
        <v>0.54166666666666663</v>
      </c>
      <c r="D3567">
        <v>3</v>
      </c>
      <c r="E3567">
        <v>4.2</v>
      </c>
      <c r="F3567">
        <v>100</v>
      </c>
    </row>
    <row r="3568" spans="1:6" x14ac:dyDescent="0.35">
      <c r="A3568">
        <v>1975</v>
      </c>
      <c r="B3568" s="1">
        <v>45673</v>
      </c>
      <c r="C3568" s="2">
        <v>0.58333333333333337</v>
      </c>
      <c r="D3568">
        <v>3</v>
      </c>
      <c r="E3568">
        <v>4.0999999999999996</v>
      </c>
      <c r="F3568">
        <v>100</v>
      </c>
    </row>
    <row r="3569" spans="1:6" x14ac:dyDescent="0.35">
      <c r="A3569">
        <v>1975</v>
      </c>
      <c r="B3569" s="1">
        <v>45673</v>
      </c>
      <c r="C3569" s="2">
        <v>0.625</v>
      </c>
      <c r="D3569">
        <v>3</v>
      </c>
      <c r="E3569">
        <v>3.8</v>
      </c>
      <c r="F3569">
        <v>100</v>
      </c>
    </row>
    <row r="3570" spans="1:6" x14ac:dyDescent="0.35">
      <c r="A3570">
        <v>1975</v>
      </c>
      <c r="B3570" s="1">
        <v>45673</v>
      </c>
      <c r="C3570" s="2">
        <v>0.66666666666666663</v>
      </c>
      <c r="D3570">
        <v>3</v>
      </c>
      <c r="E3570">
        <v>3.6</v>
      </c>
      <c r="F3570">
        <v>100</v>
      </c>
    </row>
    <row r="3571" spans="1:6" x14ac:dyDescent="0.35">
      <c r="A3571">
        <v>1975</v>
      </c>
      <c r="B3571" s="1">
        <v>45673</v>
      </c>
      <c r="C3571" s="2">
        <v>0.70833333333333337</v>
      </c>
      <c r="D3571">
        <v>3</v>
      </c>
      <c r="E3571">
        <v>3.2</v>
      </c>
      <c r="F3571">
        <v>100</v>
      </c>
    </row>
    <row r="3572" spans="1:6" x14ac:dyDescent="0.35">
      <c r="A3572">
        <v>1975</v>
      </c>
      <c r="B3572" s="1">
        <v>45673</v>
      </c>
      <c r="C3572" s="2">
        <v>0.75</v>
      </c>
      <c r="D3572">
        <v>3</v>
      </c>
      <c r="E3572">
        <v>2.8</v>
      </c>
      <c r="F3572">
        <v>100</v>
      </c>
    </row>
    <row r="3573" spans="1:6" x14ac:dyDescent="0.35">
      <c r="A3573">
        <v>1975</v>
      </c>
      <c r="B3573" s="1">
        <v>45673</v>
      </c>
      <c r="C3573" s="2">
        <v>0.79166666666666663</v>
      </c>
      <c r="D3573">
        <v>3</v>
      </c>
      <c r="E3573">
        <v>2.6</v>
      </c>
      <c r="F3573">
        <v>100</v>
      </c>
    </row>
    <row r="3574" spans="1:6" x14ac:dyDescent="0.35">
      <c r="A3574">
        <v>1975</v>
      </c>
      <c r="B3574" s="1">
        <v>45673</v>
      </c>
      <c r="C3574" s="2">
        <v>0.83333333333333337</v>
      </c>
      <c r="D3574">
        <v>3</v>
      </c>
      <c r="E3574">
        <v>2.2999999999999998</v>
      </c>
      <c r="F3574">
        <v>100</v>
      </c>
    </row>
    <row r="3575" spans="1:6" x14ac:dyDescent="0.35">
      <c r="A3575">
        <v>1975</v>
      </c>
      <c r="B3575" s="1">
        <v>45673</v>
      </c>
      <c r="C3575" s="2">
        <v>0.875</v>
      </c>
      <c r="D3575">
        <v>3</v>
      </c>
      <c r="E3575">
        <v>2</v>
      </c>
      <c r="F3575">
        <v>100</v>
      </c>
    </row>
    <row r="3576" spans="1:6" x14ac:dyDescent="0.35">
      <c r="A3576">
        <v>1975</v>
      </c>
      <c r="B3576" s="1">
        <v>45673</v>
      </c>
      <c r="C3576" s="2">
        <v>0.91666666666666663</v>
      </c>
      <c r="D3576">
        <v>3</v>
      </c>
      <c r="E3576">
        <v>1.6</v>
      </c>
      <c r="F3576">
        <v>100</v>
      </c>
    </row>
    <row r="3577" spans="1:6" x14ac:dyDescent="0.35">
      <c r="A3577">
        <v>1975</v>
      </c>
      <c r="B3577" s="1">
        <v>45673</v>
      </c>
      <c r="C3577" s="2">
        <v>0.95833333333333337</v>
      </c>
      <c r="D3577">
        <v>3</v>
      </c>
      <c r="E3577">
        <v>1.5</v>
      </c>
      <c r="F3577">
        <v>100</v>
      </c>
    </row>
    <row r="3578" spans="1:6" x14ac:dyDescent="0.35">
      <c r="A3578">
        <v>1975</v>
      </c>
      <c r="B3578" s="1">
        <v>45674</v>
      </c>
      <c r="C3578" s="2">
        <v>0</v>
      </c>
      <c r="D3578">
        <v>3</v>
      </c>
      <c r="E3578">
        <v>1</v>
      </c>
      <c r="F3578">
        <v>100</v>
      </c>
    </row>
    <row r="3579" spans="1:6" x14ac:dyDescent="0.35">
      <c r="A3579">
        <v>1975</v>
      </c>
      <c r="B3579" s="1">
        <v>45674</v>
      </c>
      <c r="C3579" s="2">
        <v>4.1666666666666657E-2</v>
      </c>
      <c r="D3579">
        <v>3</v>
      </c>
      <c r="E3579">
        <v>0.6</v>
      </c>
      <c r="F3579">
        <v>100</v>
      </c>
    </row>
    <row r="3580" spans="1:6" x14ac:dyDescent="0.35">
      <c r="A3580">
        <v>1975</v>
      </c>
      <c r="B3580" s="1">
        <v>45674</v>
      </c>
      <c r="C3580" s="2">
        <v>8.3333333333333329E-2</v>
      </c>
      <c r="D3580">
        <v>3</v>
      </c>
      <c r="E3580">
        <v>0.5</v>
      </c>
      <c r="F3580">
        <v>100</v>
      </c>
    </row>
    <row r="3581" spans="1:6" x14ac:dyDescent="0.35">
      <c r="A3581">
        <v>1975</v>
      </c>
      <c r="B3581" s="1">
        <v>45674</v>
      </c>
      <c r="C3581" s="2">
        <v>0.125</v>
      </c>
      <c r="D3581">
        <v>3</v>
      </c>
      <c r="E3581">
        <v>0.2</v>
      </c>
      <c r="F3581">
        <v>100</v>
      </c>
    </row>
    <row r="3582" spans="1:6" x14ac:dyDescent="0.35">
      <c r="A3582">
        <v>1975</v>
      </c>
      <c r="B3582" s="1">
        <v>45674</v>
      </c>
      <c r="C3582" s="2">
        <v>0.16666666666666671</v>
      </c>
      <c r="D3582">
        <v>3</v>
      </c>
      <c r="E3582">
        <v>-0.1</v>
      </c>
      <c r="F3582">
        <v>100</v>
      </c>
    </row>
    <row r="3583" spans="1:6" x14ac:dyDescent="0.35">
      <c r="A3583">
        <v>1975</v>
      </c>
      <c r="B3583" s="1">
        <v>45674</v>
      </c>
      <c r="C3583" s="2">
        <v>0.20833333333333329</v>
      </c>
      <c r="D3583">
        <v>3</v>
      </c>
      <c r="E3583">
        <v>-0.2</v>
      </c>
      <c r="F3583">
        <v>100</v>
      </c>
    </row>
    <row r="3584" spans="1:6" x14ac:dyDescent="0.35">
      <c r="A3584">
        <v>1975</v>
      </c>
      <c r="B3584" s="1">
        <v>45674</v>
      </c>
      <c r="C3584" s="2">
        <v>0.25</v>
      </c>
      <c r="D3584">
        <v>3</v>
      </c>
      <c r="E3584">
        <v>-0.2</v>
      </c>
      <c r="F3584">
        <v>100</v>
      </c>
    </row>
    <row r="3585" spans="1:6" x14ac:dyDescent="0.35">
      <c r="A3585">
        <v>1975</v>
      </c>
      <c r="B3585" s="1">
        <v>45674</v>
      </c>
      <c r="C3585" s="2">
        <v>0.29166666666666669</v>
      </c>
      <c r="D3585">
        <v>3</v>
      </c>
      <c r="E3585">
        <v>-0.3</v>
      </c>
      <c r="F3585">
        <v>100</v>
      </c>
    </row>
    <row r="3586" spans="1:6" x14ac:dyDescent="0.35">
      <c r="A3586">
        <v>1975</v>
      </c>
      <c r="B3586" s="1">
        <v>45674</v>
      </c>
      <c r="C3586" s="2">
        <v>0.33333333333333331</v>
      </c>
      <c r="D3586">
        <v>3</v>
      </c>
      <c r="E3586">
        <v>-0.5</v>
      </c>
      <c r="F3586">
        <v>100</v>
      </c>
    </row>
    <row r="3587" spans="1:6" x14ac:dyDescent="0.35">
      <c r="A3587">
        <v>1975</v>
      </c>
      <c r="B3587" s="1">
        <v>45674</v>
      </c>
      <c r="C3587" s="2">
        <v>0.375</v>
      </c>
      <c r="D3587">
        <v>3</v>
      </c>
      <c r="E3587">
        <v>-0.5</v>
      </c>
      <c r="F3587">
        <v>100</v>
      </c>
    </row>
    <row r="3588" spans="1:6" x14ac:dyDescent="0.35">
      <c r="A3588">
        <v>1975</v>
      </c>
      <c r="B3588" s="1">
        <v>45674</v>
      </c>
      <c r="C3588" s="2">
        <v>0.41666666666666669</v>
      </c>
      <c r="D3588">
        <v>3</v>
      </c>
      <c r="E3588">
        <v>-0.4</v>
      </c>
      <c r="F3588">
        <v>100</v>
      </c>
    </row>
    <row r="3589" spans="1:6" x14ac:dyDescent="0.35">
      <c r="A3589">
        <v>1975</v>
      </c>
      <c r="B3589" s="1">
        <v>45674</v>
      </c>
      <c r="C3589" s="2">
        <v>0.45833333333333331</v>
      </c>
      <c r="D3589">
        <v>3</v>
      </c>
      <c r="E3589">
        <v>-0.7</v>
      </c>
      <c r="F3589">
        <v>100</v>
      </c>
    </row>
    <row r="3590" spans="1:6" x14ac:dyDescent="0.35">
      <c r="A3590">
        <v>1975</v>
      </c>
      <c r="B3590" s="1">
        <v>45674</v>
      </c>
      <c r="C3590" s="2">
        <v>0.5</v>
      </c>
      <c r="D3590">
        <v>3</v>
      </c>
      <c r="E3590">
        <v>-0.5</v>
      </c>
      <c r="F3590">
        <v>100</v>
      </c>
    </row>
    <row r="3591" spans="1:6" x14ac:dyDescent="0.35">
      <c r="A3591">
        <v>1975</v>
      </c>
      <c r="B3591" s="1">
        <v>45674</v>
      </c>
      <c r="C3591" s="2">
        <v>0.54166666666666663</v>
      </c>
      <c r="D3591">
        <v>3</v>
      </c>
      <c r="E3591">
        <v>-0.4</v>
      </c>
      <c r="F3591">
        <v>100</v>
      </c>
    </row>
    <row r="3592" spans="1:6" x14ac:dyDescent="0.35">
      <c r="A3592">
        <v>1975</v>
      </c>
      <c r="B3592" s="1">
        <v>45674</v>
      </c>
      <c r="C3592" s="2">
        <v>0.58333333333333337</v>
      </c>
      <c r="D3592">
        <v>3</v>
      </c>
      <c r="E3592">
        <v>-0.6</v>
      </c>
      <c r="F3592">
        <v>99</v>
      </c>
    </row>
    <row r="3593" spans="1:6" x14ac:dyDescent="0.35">
      <c r="A3593">
        <v>1975</v>
      </c>
      <c r="B3593" s="1">
        <v>45674</v>
      </c>
      <c r="C3593" s="2">
        <v>0.625</v>
      </c>
      <c r="D3593">
        <v>3</v>
      </c>
      <c r="E3593">
        <v>-0.8</v>
      </c>
      <c r="F3593">
        <v>100</v>
      </c>
    </row>
    <row r="3594" spans="1:6" x14ac:dyDescent="0.35">
      <c r="A3594">
        <v>1975</v>
      </c>
      <c r="B3594" s="1">
        <v>45674</v>
      </c>
      <c r="C3594" s="2">
        <v>0.66666666666666663</v>
      </c>
      <c r="D3594">
        <v>3</v>
      </c>
      <c r="E3594">
        <v>-0.9</v>
      </c>
      <c r="F3594">
        <v>100</v>
      </c>
    </row>
    <row r="3595" spans="1:6" x14ac:dyDescent="0.35">
      <c r="A3595">
        <v>1975</v>
      </c>
      <c r="B3595" s="1">
        <v>45674</v>
      </c>
      <c r="C3595" s="2">
        <v>0.70833333333333337</v>
      </c>
      <c r="D3595">
        <v>3</v>
      </c>
      <c r="E3595">
        <v>-1.1000000000000001</v>
      </c>
      <c r="F3595">
        <v>100</v>
      </c>
    </row>
    <row r="3596" spans="1:6" x14ac:dyDescent="0.35">
      <c r="A3596">
        <v>1975</v>
      </c>
      <c r="B3596" s="1">
        <v>45674</v>
      </c>
      <c r="C3596" s="2">
        <v>0.75</v>
      </c>
      <c r="D3596">
        <v>3</v>
      </c>
      <c r="E3596">
        <v>-1</v>
      </c>
      <c r="F3596">
        <v>100</v>
      </c>
    </row>
    <row r="3597" spans="1:6" x14ac:dyDescent="0.35">
      <c r="A3597">
        <v>1975</v>
      </c>
      <c r="B3597" s="1">
        <v>45674</v>
      </c>
      <c r="C3597" s="2">
        <v>0.79166666666666663</v>
      </c>
      <c r="D3597">
        <v>3</v>
      </c>
      <c r="E3597">
        <v>-1.1000000000000001</v>
      </c>
      <c r="F3597">
        <v>100</v>
      </c>
    </row>
    <row r="3598" spans="1:6" x14ac:dyDescent="0.35">
      <c r="A3598">
        <v>1975</v>
      </c>
      <c r="B3598" s="1">
        <v>45674</v>
      </c>
      <c r="C3598" s="2">
        <v>0.83333333333333337</v>
      </c>
      <c r="D3598">
        <v>3</v>
      </c>
      <c r="E3598">
        <v>-1.3</v>
      </c>
      <c r="F3598">
        <v>100</v>
      </c>
    </row>
    <row r="3599" spans="1:6" x14ac:dyDescent="0.35">
      <c r="A3599">
        <v>1975</v>
      </c>
      <c r="B3599" s="1">
        <v>45674</v>
      </c>
      <c r="C3599" s="2">
        <v>0.875</v>
      </c>
      <c r="D3599">
        <v>3</v>
      </c>
      <c r="E3599">
        <v>-1.3</v>
      </c>
      <c r="F3599">
        <v>100</v>
      </c>
    </row>
    <row r="3600" spans="1:6" x14ac:dyDescent="0.35">
      <c r="A3600">
        <v>1975</v>
      </c>
      <c r="B3600" s="1">
        <v>45674</v>
      </c>
      <c r="C3600" s="2">
        <v>0.91666666666666663</v>
      </c>
      <c r="D3600">
        <v>3</v>
      </c>
      <c r="E3600">
        <v>-1.2</v>
      </c>
      <c r="F3600">
        <v>100</v>
      </c>
    </row>
    <row r="3601" spans="1:6" x14ac:dyDescent="0.35">
      <c r="A3601">
        <v>1975</v>
      </c>
      <c r="B3601" s="1">
        <v>45674</v>
      </c>
      <c r="C3601" s="2">
        <v>0.95833333333333337</v>
      </c>
      <c r="D3601">
        <v>3</v>
      </c>
      <c r="E3601">
        <v>-1.4</v>
      </c>
      <c r="F3601">
        <v>100</v>
      </c>
    </row>
    <row r="3602" spans="1:6" x14ac:dyDescent="0.35">
      <c r="A3602">
        <v>1975</v>
      </c>
      <c r="B3602" s="1">
        <v>45675</v>
      </c>
      <c r="C3602" s="2">
        <v>0</v>
      </c>
      <c r="D3602">
        <v>3</v>
      </c>
      <c r="E3602">
        <v>-1.4</v>
      </c>
      <c r="F3602">
        <v>100</v>
      </c>
    </row>
    <row r="3603" spans="1:6" x14ac:dyDescent="0.35">
      <c r="A3603">
        <v>1975</v>
      </c>
      <c r="B3603" s="1">
        <v>45675</v>
      </c>
      <c r="C3603" s="2">
        <v>4.1666666666666657E-2</v>
      </c>
      <c r="D3603">
        <v>3</v>
      </c>
      <c r="E3603">
        <v>-1.6</v>
      </c>
      <c r="F3603">
        <v>100</v>
      </c>
    </row>
    <row r="3604" spans="1:6" x14ac:dyDescent="0.35">
      <c r="A3604">
        <v>1975</v>
      </c>
      <c r="B3604" s="1">
        <v>45675</v>
      </c>
      <c r="C3604" s="2">
        <v>8.3333333333333329E-2</v>
      </c>
      <c r="D3604">
        <v>3</v>
      </c>
      <c r="E3604">
        <v>-1.7</v>
      </c>
      <c r="F3604">
        <v>100</v>
      </c>
    </row>
    <row r="3605" spans="1:6" x14ac:dyDescent="0.35">
      <c r="A3605">
        <v>1975</v>
      </c>
      <c r="B3605" s="1">
        <v>45675</v>
      </c>
      <c r="C3605" s="2">
        <v>0.125</v>
      </c>
      <c r="D3605">
        <v>3</v>
      </c>
      <c r="E3605">
        <v>-1.8</v>
      </c>
      <c r="F3605">
        <v>100</v>
      </c>
    </row>
    <row r="3606" spans="1:6" x14ac:dyDescent="0.35">
      <c r="A3606">
        <v>1975</v>
      </c>
      <c r="B3606" s="1">
        <v>45675</v>
      </c>
      <c r="C3606" s="2">
        <v>0.16666666666666671</v>
      </c>
      <c r="D3606">
        <v>3</v>
      </c>
      <c r="E3606">
        <v>-1.8</v>
      </c>
      <c r="F3606">
        <v>100</v>
      </c>
    </row>
    <row r="3607" spans="1:6" x14ac:dyDescent="0.35">
      <c r="A3607">
        <v>1975</v>
      </c>
      <c r="B3607" s="1">
        <v>45675</v>
      </c>
      <c r="C3607" s="2">
        <v>0.20833333333333329</v>
      </c>
      <c r="D3607">
        <v>3</v>
      </c>
      <c r="E3607">
        <v>-2.1</v>
      </c>
      <c r="F3607">
        <v>99</v>
      </c>
    </row>
    <row r="3608" spans="1:6" x14ac:dyDescent="0.35">
      <c r="A3608">
        <v>1975</v>
      </c>
      <c r="B3608" s="1">
        <v>45675</v>
      </c>
      <c r="C3608" s="2">
        <v>0.25</v>
      </c>
      <c r="D3608">
        <v>3</v>
      </c>
      <c r="E3608">
        <v>-2.1</v>
      </c>
      <c r="F3608">
        <v>100</v>
      </c>
    </row>
    <row r="3609" spans="1:6" x14ac:dyDescent="0.35">
      <c r="A3609">
        <v>1975</v>
      </c>
      <c r="B3609" s="1">
        <v>45675</v>
      </c>
      <c r="C3609" s="2">
        <v>0.29166666666666669</v>
      </c>
      <c r="D3609">
        <v>3</v>
      </c>
      <c r="E3609">
        <v>-2.1</v>
      </c>
      <c r="F3609">
        <v>100</v>
      </c>
    </row>
    <row r="3610" spans="1:6" x14ac:dyDescent="0.35">
      <c r="A3610">
        <v>1975</v>
      </c>
      <c r="B3610" s="1">
        <v>45675</v>
      </c>
      <c r="C3610" s="2">
        <v>0.33333333333333331</v>
      </c>
      <c r="D3610">
        <v>3</v>
      </c>
      <c r="E3610">
        <v>-2.2999999999999998</v>
      </c>
      <c r="F3610">
        <v>100</v>
      </c>
    </row>
    <row r="3611" spans="1:6" x14ac:dyDescent="0.35">
      <c r="A3611">
        <v>1975</v>
      </c>
      <c r="B3611" s="1">
        <v>45675</v>
      </c>
      <c r="C3611" s="2">
        <v>0.375</v>
      </c>
      <c r="D3611">
        <v>3</v>
      </c>
      <c r="E3611">
        <v>-2.2000000000000002</v>
      </c>
      <c r="F3611">
        <v>99</v>
      </c>
    </row>
    <row r="3612" spans="1:6" x14ac:dyDescent="0.35">
      <c r="A3612">
        <v>1975</v>
      </c>
      <c r="B3612" s="1">
        <v>45675</v>
      </c>
      <c r="C3612" s="2">
        <v>0.41666666666666669</v>
      </c>
      <c r="D3612">
        <v>3</v>
      </c>
      <c r="E3612">
        <v>-1.8</v>
      </c>
      <c r="F3612">
        <v>100</v>
      </c>
    </row>
    <row r="3613" spans="1:6" x14ac:dyDescent="0.35">
      <c r="A3613">
        <v>1975</v>
      </c>
      <c r="B3613" s="1">
        <v>45675</v>
      </c>
      <c r="C3613" s="2">
        <v>0.45833333333333331</v>
      </c>
      <c r="D3613">
        <v>3</v>
      </c>
      <c r="E3613">
        <v>-1</v>
      </c>
      <c r="F3613">
        <v>100</v>
      </c>
    </row>
    <row r="3614" spans="1:6" x14ac:dyDescent="0.35">
      <c r="A3614">
        <v>1975</v>
      </c>
      <c r="B3614" s="1">
        <v>45675</v>
      </c>
      <c r="C3614" s="2">
        <v>0.5</v>
      </c>
      <c r="D3614">
        <v>3</v>
      </c>
      <c r="E3614">
        <v>-1.4</v>
      </c>
      <c r="F3614">
        <v>99</v>
      </c>
    </row>
    <row r="3615" spans="1:6" x14ac:dyDescent="0.35">
      <c r="A3615">
        <v>1975</v>
      </c>
      <c r="B3615" s="1">
        <v>45675</v>
      </c>
      <c r="C3615" s="2">
        <v>0.54166666666666663</v>
      </c>
      <c r="D3615">
        <v>3</v>
      </c>
      <c r="E3615">
        <v>-1.3</v>
      </c>
      <c r="F3615">
        <v>99</v>
      </c>
    </row>
    <row r="3616" spans="1:6" x14ac:dyDescent="0.35">
      <c r="A3616">
        <v>1975</v>
      </c>
      <c r="B3616" s="1">
        <v>45675</v>
      </c>
      <c r="C3616" s="2">
        <v>0.58333333333333337</v>
      </c>
      <c r="D3616">
        <v>3</v>
      </c>
      <c r="E3616">
        <v>-1.3</v>
      </c>
      <c r="F3616">
        <v>99</v>
      </c>
    </row>
    <row r="3617" spans="1:6" x14ac:dyDescent="0.35">
      <c r="A3617">
        <v>1975</v>
      </c>
      <c r="B3617" s="1">
        <v>45675</v>
      </c>
      <c r="C3617" s="2">
        <v>0.625</v>
      </c>
      <c r="D3617">
        <v>3</v>
      </c>
      <c r="E3617">
        <v>-1.4</v>
      </c>
      <c r="F3617">
        <v>98</v>
      </c>
    </row>
    <row r="3618" spans="1:6" x14ac:dyDescent="0.35">
      <c r="A3618">
        <v>1975</v>
      </c>
      <c r="B3618" s="1">
        <v>45675</v>
      </c>
      <c r="C3618" s="2">
        <v>0.66666666666666663</v>
      </c>
      <c r="D3618">
        <v>3</v>
      </c>
      <c r="E3618">
        <v>-1.7</v>
      </c>
      <c r="F3618">
        <v>100</v>
      </c>
    </row>
    <row r="3619" spans="1:6" x14ac:dyDescent="0.35">
      <c r="A3619">
        <v>1975</v>
      </c>
      <c r="B3619" s="1">
        <v>45675</v>
      </c>
      <c r="C3619" s="2">
        <v>0.70833333333333337</v>
      </c>
      <c r="D3619">
        <v>3</v>
      </c>
      <c r="E3619">
        <v>-2</v>
      </c>
      <c r="F3619">
        <v>100</v>
      </c>
    </row>
    <row r="3620" spans="1:6" x14ac:dyDescent="0.35">
      <c r="A3620">
        <v>1975</v>
      </c>
      <c r="B3620" s="1">
        <v>45675</v>
      </c>
      <c r="C3620" s="2">
        <v>0.75</v>
      </c>
      <c r="D3620">
        <v>3</v>
      </c>
      <c r="E3620">
        <v>-2.1</v>
      </c>
      <c r="F3620">
        <v>100</v>
      </c>
    </row>
    <row r="3621" spans="1:6" x14ac:dyDescent="0.35">
      <c r="A3621">
        <v>1975</v>
      </c>
      <c r="B3621" s="1">
        <v>45675</v>
      </c>
      <c r="C3621" s="2">
        <v>0.79166666666666663</v>
      </c>
      <c r="D3621">
        <v>3</v>
      </c>
      <c r="E3621">
        <v>-2.1</v>
      </c>
      <c r="F3621">
        <v>100</v>
      </c>
    </row>
    <row r="3622" spans="1:6" x14ac:dyDescent="0.35">
      <c r="A3622">
        <v>1975</v>
      </c>
      <c r="B3622" s="1">
        <v>45675</v>
      </c>
      <c r="C3622" s="2">
        <v>0.83333333333333337</v>
      </c>
      <c r="D3622">
        <v>3</v>
      </c>
      <c r="E3622">
        <v>-2.7</v>
      </c>
      <c r="F3622">
        <v>99</v>
      </c>
    </row>
    <row r="3623" spans="1:6" x14ac:dyDescent="0.35">
      <c r="A3623">
        <v>1975</v>
      </c>
      <c r="B3623" s="1">
        <v>45675</v>
      </c>
      <c r="C3623" s="2">
        <v>0.875</v>
      </c>
      <c r="D3623">
        <v>3</v>
      </c>
      <c r="E3623">
        <v>-3.1</v>
      </c>
      <c r="F3623">
        <v>99</v>
      </c>
    </row>
    <row r="3624" spans="1:6" x14ac:dyDescent="0.35">
      <c r="A3624">
        <v>1975</v>
      </c>
      <c r="B3624" s="1">
        <v>45675</v>
      </c>
      <c r="C3624" s="2">
        <v>0.91666666666666663</v>
      </c>
      <c r="D3624">
        <v>3</v>
      </c>
      <c r="E3624">
        <v>-3.2</v>
      </c>
      <c r="F3624">
        <v>99</v>
      </c>
    </row>
    <row r="3625" spans="1:6" x14ac:dyDescent="0.35">
      <c r="A3625">
        <v>1975</v>
      </c>
      <c r="B3625" s="1">
        <v>45675</v>
      </c>
      <c r="C3625" s="2">
        <v>0.95833333333333337</v>
      </c>
      <c r="D3625">
        <v>3</v>
      </c>
      <c r="E3625">
        <v>-3.6</v>
      </c>
      <c r="F3625">
        <v>99</v>
      </c>
    </row>
    <row r="3626" spans="1:6" x14ac:dyDescent="0.35">
      <c r="A3626">
        <v>1975</v>
      </c>
      <c r="B3626" s="1">
        <v>45676</v>
      </c>
      <c r="C3626" s="2">
        <v>0</v>
      </c>
      <c r="D3626">
        <v>3</v>
      </c>
      <c r="E3626">
        <v>-3.8</v>
      </c>
      <c r="F3626">
        <v>98</v>
      </c>
    </row>
    <row r="3627" spans="1:6" x14ac:dyDescent="0.35">
      <c r="A3627">
        <v>1975</v>
      </c>
      <c r="B3627" s="1">
        <v>45676</v>
      </c>
      <c r="C3627" s="2">
        <v>4.1666666666666657E-2</v>
      </c>
      <c r="D3627">
        <v>3</v>
      </c>
      <c r="E3627">
        <v>-4.0999999999999996</v>
      </c>
      <c r="F3627">
        <v>97</v>
      </c>
    </row>
    <row r="3628" spans="1:6" x14ac:dyDescent="0.35">
      <c r="A3628">
        <v>1975</v>
      </c>
      <c r="B3628" s="1">
        <v>45676</v>
      </c>
      <c r="C3628" s="2">
        <v>8.3333333333333329E-2</v>
      </c>
      <c r="D3628">
        <v>3</v>
      </c>
      <c r="E3628">
        <v>-4.0999999999999996</v>
      </c>
      <c r="F3628">
        <v>96</v>
      </c>
    </row>
    <row r="3629" spans="1:6" x14ac:dyDescent="0.35">
      <c r="A3629">
        <v>1975</v>
      </c>
      <c r="B3629" s="1">
        <v>45676</v>
      </c>
      <c r="C3629" s="2">
        <v>0.125</v>
      </c>
      <c r="D3629">
        <v>3</v>
      </c>
      <c r="E3629">
        <v>-4.4000000000000004</v>
      </c>
      <c r="F3629">
        <v>96</v>
      </c>
    </row>
    <row r="3630" spans="1:6" x14ac:dyDescent="0.35">
      <c r="A3630">
        <v>1975</v>
      </c>
      <c r="B3630" s="1">
        <v>45676</v>
      </c>
      <c r="C3630" s="2">
        <v>0.16666666666666671</v>
      </c>
      <c r="D3630">
        <v>3</v>
      </c>
      <c r="E3630">
        <v>-4.3</v>
      </c>
      <c r="F3630">
        <v>94</v>
      </c>
    </row>
    <row r="3631" spans="1:6" x14ac:dyDescent="0.35">
      <c r="A3631">
        <v>1975</v>
      </c>
      <c r="B3631" s="1">
        <v>45676</v>
      </c>
      <c r="C3631" s="2">
        <v>0.20833333333333329</v>
      </c>
      <c r="D3631">
        <v>3</v>
      </c>
      <c r="E3631">
        <v>-4.4000000000000004</v>
      </c>
      <c r="F3631">
        <v>94</v>
      </c>
    </row>
    <row r="3632" spans="1:6" x14ac:dyDescent="0.35">
      <c r="A3632">
        <v>1975</v>
      </c>
      <c r="B3632" s="1">
        <v>45676</v>
      </c>
      <c r="C3632" s="2">
        <v>0.25</v>
      </c>
      <c r="D3632">
        <v>3</v>
      </c>
      <c r="E3632">
        <v>-4.5</v>
      </c>
      <c r="F3632">
        <v>95</v>
      </c>
    </row>
    <row r="3633" spans="1:6" x14ac:dyDescent="0.35">
      <c r="A3633">
        <v>1975</v>
      </c>
      <c r="B3633" s="1">
        <v>45676</v>
      </c>
      <c r="C3633" s="2">
        <v>0.29166666666666669</v>
      </c>
      <c r="D3633">
        <v>3</v>
      </c>
      <c r="E3633">
        <v>-4.2</v>
      </c>
      <c r="F3633">
        <v>94</v>
      </c>
    </row>
    <row r="3634" spans="1:6" x14ac:dyDescent="0.35">
      <c r="A3634">
        <v>1975</v>
      </c>
      <c r="B3634" s="1">
        <v>45676</v>
      </c>
      <c r="C3634" s="2">
        <v>0.33333333333333331</v>
      </c>
      <c r="D3634">
        <v>3</v>
      </c>
      <c r="E3634">
        <v>-3.8</v>
      </c>
      <c r="F3634">
        <v>94</v>
      </c>
    </row>
    <row r="3635" spans="1:6" x14ac:dyDescent="0.35">
      <c r="A3635">
        <v>1975</v>
      </c>
      <c r="B3635" s="1">
        <v>45676</v>
      </c>
      <c r="C3635" s="2">
        <v>0.375</v>
      </c>
      <c r="D3635">
        <v>3</v>
      </c>
      <c r="E3635">
        <v>-3.1</v>
      </c>
      <c r="F3635">
        <v>92</v>
      </c>
    </row>
    <row r="3636" spans="1:6" x14ac:dyDescent="0.35">
      <c r="A3636">
        <v>1975</v>
      </c>
      <c r="B3636" s="1">
        <v>45676</v>
      </c>
      <c r="C3636" s="2">
        <v>0.41666666666666669</v>
      </c>
      <c r="D3636">
        <v>3</v>
      </c>
      <c r="E3636">
        <v>-2.1</v>
      </c>
      <c r="F3636">
        <v>90</v>
      </c>
    </row>
    <row r="3637" spans="1:6" x14ac:dyDescent="0.35">
      <c r="A3637">
        <v>1975</v>
      </c>
      <c r="B3637" s="1">
        <v>45676</v>
      </c>
      <c r="C3637" s="2">
        <v>0.45833333333333331</v>
      </c>
      <c r="D3637">
        <v>3</v>
      </c>
      <c r="E3637">
        <v>-0.8</v>
      </c>
      <c r="F3637">
        <v>86</v>
      </c>
    </row>
    <row r="3638" spans="1:6" x14ac:dyDescent="0.35">
      <c r="A3638">
        <v>1975</v>
      </c>
      <c r="B3638" s="1">
        <v>45676</v>
      </c>
      <c r="C3638" s="2">
        <v>0.5</v>
      </c>
      <c r="D3638">
        <v>3</v>
      </c>
      <c r="E3638">
        <v>1.1000000000000001</v>
      </c>
      <c r="F3638">
        <v>82</v>
      </c>
    </row>
    <row r="3639" spans="1:6" x14ac:dyDescent="0.35">
      <c r="A3639">
        <v>1975</v>
      </c>
      <c r="B3639" s="1">
        <v>45676</v>
      </c>
      <c r="C3639" s="2">
        <v>0.54166666666666663</v>
      </c>
      <c r="D3639">
        <v>3</v>
      </c>
      <c r="E3639">
        <v>2.6</v>
      </c>
      <c r="F3639">
        <v>79</v>
      </c>
    </row>
    <row r="3640" spans="1:6" x14ac:dyDescent="0.35">
      <c r="A3640">
        <v>1975</v>
      </c>
      <c r="B3640" s="1">
        <v>45676</v>
      </c>
      <c r="C3640" s="2">
        <v>0.58333333333333337</v>
      </c>
      <c r="D3640">
        <v>3</v>
      </c>
      <c r="E3640">
        <v>3.2</v>
      </c>
      <c r="F3640">
        <v>77</v>
      </c>
    </row>
    <row r="3641" spans="1:6" x14ac:dyDescent="0.35">
      <c r="A3641">
        <v>1975</v>
      </c>
      <c r="B3641" s="1">
        <v>45676</v>
      </c>
      <c r="C3641" s="2">
        <v>0.625</v>
      </c>
      <c r="D3641">
        <v>3</v>
      </c>
      <c r="E3641">
        <v>2.7</v>
      </c>
      <c r="F3641">
        <v>80</v>
      </c>
    </row>
    <row r="3642" spans="1:6" x14ac:dyDescent="0.35">
      <c r="A3642">
        <v>1975</v>
      </c>
      <c r="B3642" s="1">
        <v>45676</v>
      </c>
      <c r="C3642" s="2">
        <v>0.66666666666666663</v>
      </c>
      <c r="D3642">
        <v>3</v>
      </c>
      <c r="E3642">
        <v>1.7</v>
      </c>
      <c r="F3642">
        <v>86</v>
      </c>
    </row>
    <row r="3643" spans="1:6" x14ac:dyDescent="0.35">
      <c r="A3643">
        <v>1975</v>
      </c>
      <c r="B3643" s="1">
        <v>45676</v>
      </c>
      <c r="C3643" s="2">
        <v>0.70833333333333337</v>
      </c>
      <c r="D3643">
        <v>3</v>
      </c>
      <c r="E3643">
        <v>0.9</v>
      </c>
      <c r="F3643">
        <v>86</v>
      </c>
    </row>
    <row r="3644" spans="1:6" x14ac:dyDescent="0.35">
      <c r="A3644">
        <v>1975</v>
      </c>
      <c r="B3644" s="1">
        <v>45676</v>
      </c>
      <c r="C3644" s="2">
        <v>0.75</v>
      </c>
      <c r="D3644">
        <v>3</v>
      </c>
      <c r="E3644">
        <v>0.4</v>
      </c>
      <c r="F3644">
        <v>90</v>
      </c>
    </row>
    <row r="3645" spans="1:6" x14ac:dyDescent="0.35">
      <c r="A3645">
        <v>1975</v>
      </c>
      <c r="B3645" s="1">
        <v>45676</v>
      </c>
      <c r="C3645" s="2">
        <v>0.79166666666666663</v>
      </c>
      <c r="D3645">
        <v>3</v>
      </c>
      <c r="E3645">
        <v>0.2</v>
      </c>
      <c r="F3645">
        <v>91</v>
      </c>
    </row>
    <row r="3646" spans="1:6" x14ac:dyDescent="0.35">
      <c r="A3646">
        <v>1975</v>
      </c>
      <c r="B3646" s="1">
        <v>45676</v>
      </c>
      <c r="C3646" s="2">
        <v>0.83333333333333337</v>
      </c>
      <c r="D3646">
        <v>3</v>
      </c>
      <c r="E3646">
        <v>-0.6</v>
      </c>
      <c r="F3646">
        <v>93</v>
      </c>
    </row>
    <row r="3647" spans="1:6" x14ac:dyDescent="0.35">
      <c r="A3647">
        <v>1975</v>
      </c>
      <c r="B3647" s="1">
        <v>45676</v>
      </c>
      <c r="C3647" s="2">
        <v>0.875</v>
      </c>
      <c r="D3647">
        <v>3</v>
      </c>
      <c r="E3647">
        <v>-0.6</v>
      </c>
      <c r="F3647">
        <v>94</v>
      </c>
    </row>
    <row r="3648" spans="1:6" x14ac:dyDescent="0.35">
      <c r="A3648">
        <v>1975</v>
      </c>
      <c r="B3648" s="1">
        <v>45676</v>
      </c>
      <c r="C3648" s="2">
        <v>0.91666666666666663</v>
      </c>
      <c r="D3648">
        <v>3</v>
      </c>
      <c r="E3648">
        <v>-1.5</v>
      </c>
      <c r="F3648">
        <v>93</v>
      </c>
    </row>
    <row r="3649" spans="1:6" x14ac:dyDescent="0.35">
      <c r="A3649">
        <v>1975</v>
      </c>
      <c r="B3649" s="1">
        <v>45676</v>
      </c>
      <c r="C3649" s="2">
        <v>0.95833333333333337</v>
      </c>
      <c r="D3649">
        <v>3</v>
      </c>
      <c r="E3649">
        <v>-0.5</v>
      </c>
      <c r="F3649">
        <v>98</v>
      </c>
    </row>
    <row r="3650" spans="1:6" x14ac:dyDescent="0.35">
      <c r="A3650">
        <v>1975</v>
      </c>
      <c r="B3650" s="1">
        <v>45677</v>
      </c>
      <c r="C3650" s="2">
        <v>0</v>
      </c>
      <c r="D3650">
        <v>3</v>
      </c>
      <c r="E3650">
        <v>-1.6</v>
      </c>
      <c r="F3650">
        <v>99</v>
      </c>
    </row>
    <row r="3651" spans="1:6" x14ac:dyDescent="0.35">
      <c r="A3651">
        <v>1975</v>
      </c>
      <c r="B3651" s="1">
        <v>45677</v>
      </c>
      <c r="C3651" s="2">
        <v>4.1666666666666657E-2</v>
      </c>
      <c r="D3651">
        <v>3</v>
      </c>
      <c r="E3651">
        <v>-2.6</v>
      </c>
      <c r="F3651">
        <v>99</v>
      </c>
    </row>
    <row r="3652" spans="1:6" x14ac:dyDescent="0.35">
      <c r="A3652">
        <v>1975</v>
      </c>
      <c r="B3652" s="1">
        <v>45677</v>
      </c>
      <c r="C3652" s="2">
        <v>8.3333333333333329E-2</v>
      </c>
      <c r="D3652">
        <v>3</v>
      </c>
      <c r="E3652">
        <v>-2.7</v>
      </c>
      <c r="F3652">
        <v>98</v>
      </c>
    </row>
    <row r="3653" spans="1:6" x14ac:dyDescent="0.35">
      <c r="A3653">
        <v>1975</v>
      </c>
      <c r="B3653" s="1">
        <v>45677</v>
      </c>
      <c r="C3653" s="2">
        <v>0.125</v>
      </c>
      <c r="D3653">
        <v>3</v>
      </c>
      <c r="E3653">
        <v>-3.4</v>
      </c>
      <c r="F3653">
        <v>98</v>
      </c>
    </row>
    <row r="3654" spans="1:6" x14ac:dyDescent="0.35">
      <c r="A3654">
        <v>1975</v>
      </c>
      <c r="B3654" s="1">
        <v>45677</v>
      </c>
      <c r="C3654" s="2">
        <v>0.16666666666666671</v>
      </c>
      <c r="D3654">
        <v>3</v>
      </c>
      <c r="E3654">
        <v>-2.9</v>
      </c>
      <c r="F3654">
        <v>99</v>
      </c>
    </row>
    <row r="3655" spans="1:6" x14ac:dyDescent="0.35">
      <c r="A3655">
        <v>1975</v>
      </c>
      <c r="B3655" s="1">
        <v>45677</v>
      </c>
      <c r="C3655" s="2">
        <v>0.20833333333333329</v>
      </c>
      <c r="D3655">
        <v>3</v>
      </c>
      <c r="E3655">
        <v>-1.7</v>
      </c>
      <c r="F3655">
        <v>100</v>
      </c>
    </row>
    <row r="3656" spans="1:6" x14ac:dyDescent="0.35">
      <c r="A3656">
        <v>1975</v>
      </c>
      <c r="B3656" s="1">
        <v>45677</v>
      </c>
      <c r="C3656" s="2">
        <v>0.25</v>
      </c>
      <c r="D3656">
        <v>3</v>
      </c>
      <c r="E3656">
        <v>-2</v>
      </c>
      <c r="F3656">
        <v>100</v>
      </c>
    </row>
    <row r="3657" spans="1:6" x14ac:dyDescent="0.35">
      <c r="A3657">
        <v>1975</v>
      </c>
      <c r="B3657" s="1">
        <v>45677</v>
      </c>
      <c r="C3657" s="2">
        <v>0.29166666666666669</v>
      </c>
      <c r="D3657">
        <v>3</v>
      </c>
      <c r="E3657">
        <v>-2.2999999999999998</v>
      </c>
      <c r="F3657">
        <v>100</v>
      </c>
    </row>
    <row r="3658" spans="1:6" x14ac:dyDescent="0.35">
      <c r="A3658">
        <v>1975</v>
      </c>
      <c r="B3658" s="1">
        <v>45677</v>
      </c>
      <c r="C3658" s="2">
        <v>0.33333333333333331</v>
      </c>
      <c r="D3658">
        <v>3</v>
      </c>
      <c r="E3658">
        <v>-2.1</v>
      </c>
      <c r="F3658">
        <v>100</v>
      </c>
    </row>
    <row r="3659" spans="1:6" x14ac:dyDescent="0.35">
      <c r="A3659">
        <v>1975</v>
      </c>
      <c r="B3659" s="1">
        <v>45677</v>
      </c>
      <c r="C3659" s="2">
        <v>0.375</v>
      </c>
      <c r="D3659">
        <v>3</v>
      </c>
      <c r="E3659">
        <v>-2.4</v>
      </c>
      <c r="F3659">
        <v>99</v>
      </c>
    </row>
    <row r="3660" spans="1:6" x14ac:dyDescent="0.35">
      <c r="A3660">
        <v>1975</v>
      </c>
      <c r="B3660" s="1">
        <v>45677</v>
      </c>
      <c r="C3660" s="2">
        <v>0.41666666666666669</v>
      </c>
      <c r="D3660">
        <v>3</v>
      </c>
      <c r="E3660">
        <v>-2.2999999999999998</v>
      </c>
      <c r="F3660">
        <v>99</v>
      </c>
    </row>
    <row r="3661" spans="1:6" x14ac:dyDescent="0.35">
      <c r="A3661">
        <v>1975</v>
      </c>
      <c r="B3661" s="1">
        <v>45677</v>
      </c>
      <c r="C3661" s="2">
        <v>0.45833333333333331</v>
      </c>
      <c r="D3661">
        <v>3</v>
      </c>
      <c r="E3661">
        <v>-2.2000000000000002</v>
      </c>
      <c r="F3661">
        <v>99</v>
      </c>
    </row>
    <row r="3662" spans="1:6" x14ac:dyDescent="0.35">
      <c r="A3662">
        <v>1975</v>
      </c>
      <c r="B3662" s="1">
        <v>45677</v>
      </c>
      <c r="C3662" s="2">
        <v>0.5</v>
      </c>
      <c r="D3662">
        <v>3</v>
      </c>
      <c r="E3662">
        <v>-2.6</v>
      </c>
      <c r="F3662">
        <v>99</v>
      </c>
    </row>
    <row r="3663" spans="1:6" x14ac:dyDescent="0.35">
      <c r="A3663">
        <v>1975</v>
      </c>
      <c r="B3663" s="1">
        <v>45677</v>
      </c>
      <c r="C3663" s="2">
        <v>0.54166666666666663</v>
      </c>
      <c r="D3663">
        <v>3</v>
      </c>
      <c r="E3663">
        <v>-2.5</v>
      </c>
      <c r="F3663">
        <v>99</v>
      </c>
    </row>
    <row r="3664" spans="1:6" x14ac:dyDescent="0.35">
      <c r="A3664">
        <v>1975</v>
      </c>
      <c r="B3664" s="1">
        <v>45677</v>
      </c>
      <c r="C3664" s="2">
        <v>0.58333333333333337</v>
      </c>
      <c r="D3664">
        <v>3</v>
      </c>
      <c r="E3664">
        <v>-2.2999999999999998</v>
      </c>
      <c r="F3664">
        <v>98</v>
      </c>
    </row>
    <row r="3665" spans="1:6" x14ac:dyDescent="0.35">
      <c r="A3665">
        <v>1975</v>
      </c>
      <c r="B3665" s="1">
        <v>45677</v>
      </c>
      <c r="C3665" s="2">
        <v>0.625</v>
      </c>
      <c r="D3665">
        <v>3</v>
      </c>
      <c r="E3665">
        <v>-2.2999999999999998</v>
      </c>
      <c r="F3665">
        <v>99</v>
      </c>
    </row>
    <row r="3666" spans="1:6" x14ac:dyDescent="0.35">
      <c r="A3666">
        <v>1975</v>
      </c>
      <c r="B3666" s="1">
        <v>45677</v>
      </c>
      <c r="C3666" s="2">
        <v>0.66666666666666663</v>
      </c>
      <c r="D3666">
        <v>3</v>
      </c>
      <c r="E3666">
        <v>-2.1</v>
      </c>
      <c r="F3666">
        <v>99</v>
      </c>
    </row>
    <row r="3667" spans="1:6" x14ac:dyDescent="0.35">
      <c r="A3667">
        <v>1975</v>
      </c>
      <c r="B3667" s="1">
        <v>45677</v>
      </c>
      <c r="C3667" s="2">
        <v>0.70833333333333337</v>
      </c>
      <c r="D3667">
        <v>3</v>
      </c>
      <c r="E3667">
        <v>-2.4</v>
      </c>
      <c r="F3667">
        <v>98</v>
      </c>
    </row>
    <row r="3668" spans="1:6" x14ac:dyDescent="0.35">
      <c r="A3668">
        <v>1975</v>
      </c>
      <c r="B3668" s="1">
        <v>45677</v>
      </c>
      <c r="C3668" s="2">
        <v>0.75</v>
      </c>
      <c r="D3668">
        <v>3</v>
      </c>
      <c r="E3668">
        <v>-2.2999999999999998</v>
      </c>
      <c r="F3668">
        <v>99</v>
      </c>
    </row>
    <row r="3669" spans="1:6" x14ac:dyDescent="0.35">
      <c r="A3669">
        <v>1975</v>
      </c>
      <c r="B3669" s="1">
        <v>45677</v>
      </c>
      <c r="C3669" s="2">
        <v>0.79166666666666663</v>
      </c>
      <c r="D3669">
        <v>3</v>
      </c>
      <c r="E3669">
        <v>-2.1</v>
      </c>
      <c r="F3669">
        <v>98</v>
      </c>
    </row>
    <row r="3670" spans="1:6" x14ac:dyDescent="0.35">
      <c r="A3670">
        <v>1975</v>
      </c>
      <c r="B3670" s="1">
        <v>45677</v>
      </c>
      <c r="C3670" s="2">
        <v>0.83333333333333337</v>
      </c>
      <c r="D3670">
        <v>3</v>
      </c>
      <c r="E3670">
        <v>-1.9</v>
      </c>
      <c r="F3670">
        <v>98</v>
      </c>
    </row>
    <row r="3671" spans="1:6" x14ac:dyDescent="0.35">
      <c r="A3671">
        <v>1975</v>
      </c>
      <c r="B3671" s="1">
        <v>45677</v>
      </c>
      <c r="C3671" s="2">
        <v>0.875</v>
      </c>
      <c r="D3671">
        <v>3</v>
      </c>
      <c r="E3671">
        <v>-1.7</v>
      </c>
      <c r="F3671">
        <v>97</v>
      </c>
    </row>
    <row r="3672" spans="1:6" x14ac:dyDescent="0.35">
      <c r="A3672">
        <v>1975</v>
      </c>
      <c r="B3672" s="1">
        <v>45677</v>
      </c>
      <c r="C3672" s="2">
        <v>0.91666666666666663</v>
      </c>
      <c r="D3672">
        <v>3</v>
      </c>
      <c r="E3672">
        <v>-1.6</v>
      </c>
      <c r="F3672">
        <v>97</v>
      </c>
    </row>
    <row r="3673" spans="1:6" x14ac:dyDescent="0.35">
      <c r="A3673">
        <v>1975</v>
      </c>
      <c r="B3673" s="1">
        <v>45677</v>
      </c>
      <c r="C3673" s="2">
        <v>0.95833333333333337</v>
      </c>
      <c r="D3673">
        <v>3</v>
      </c>
      <c r="E3673">
        <v>-1.4</v>
      </c>
      <c r="F3673">
        <v>98</v>
      </c>
    </row>
    <row r="3674" spans="1:6" x14ac:dyDescent="0.35">
      <c r="A3674">
        <v>1975</v>
      </c>
      <c r="B3674" s="1">
        <v>45678</v>
      </c>
      <c r="C3674" s="2">
        <v>0</v>
      </c>
      <c r="D3674">
        <v>3</v>
      </c>
      <c r="E3674">
        <v>-1.1000000000000001</v>
      </c>
      <c r="F3674">
        <v>97</v>
      </c>
    </row>
    <row r="3675" spans="1:6" x14ac:dyDescent="0.35">
      <c r="A3675">
        <v>1975</v>
      </c>
      <c r="B3675" s="1">
        <v>45678</v>
      </c>
      <c r="C3675" s="2">
        <v>4.1666666666666657E-2</v>
      </c>
      <c r="D3675">
        <v>3</v>
      </c>
      <c r="E3675">
        <v>-0.9</v>
      </c>
      <c r="F3675">
        <v>97</v>
      </c>
    </row>
    <row r="3676" spans="1:6" x14ac:dyDescent="0.35">
      <c r="A3676">
        <v>1975</v>
      </c>
      <c r="B3676" s="1">
        <v>45678</v>
      </c>
      <c r="C3676" s="2">
        <v>8.3333333333333329E-2</v>
      </c>
      <c r="D3676">
        <v>3</v>
      </c>
      <c r="E3676">
        <v>-0.9</v>
      </c>
      <c r="F3676">
        <v>96</v>
      </c>
    </row>
    <row r="3677" spans="1:6" x14ac:dyDescent="0.35">
      <c r="A3677">
        <v>1975</v>
      </c>
      <c r="B3677" s="1">
        <v>45678</v>
      </c>
      <c r="C3677" s="2">
        <v>0.125</v>
      </c>
      <c r="D3677">
        <v>3</v>
      </c>
      <c r="E3677">
        <v>-0.8</v>
      </c>
      <c r="F3677">
        <v>96</v>
      </c>
    </row>
    <row r="3678" spans="1:6" x14ac:dyDescent="0.35">
      <c r="A3678">
        <v>1975</v>
      </c>
      <c r="B3678" s="1">
        <v>45678</v>
      </c>
      <c r="C3678" s="2">
        <v>0.16666666666666671</v>
      </c>
      <c r="D3678">
        <v>3</v>
      </c>
      <c r="E3678">
        <v>-0.7</v>
      </c>
      <c r="F3678">
        <v>95</v>
      </c>
    </row>
    <row r="3679" spans="1:6" x14ac:dyDescent="0.35">
      <c r="A3679">
        <v>1975</v>
      </c>
      <c r="B3679" s="1">
        <v>45678</v>
      </c>
      <c r="C3679" s="2">
        <v>0.20833333333333329</v>
      </c>
      <c r="D3679">
        <v>3</v>
      </c>
      <c r="E3679">
        <v>-0.5</v>
      </c>
      <c r="F3679">
        <v>95</v>
      </c>
    </row>
    <row r="3680" spans="1:6" x14ac:dyDescent="0.35">
      <c r="A3680">
        <v>1975</v>
      </c>
      <c r="B3680" s="1">
        <v>45678</v>
      </c>
      <c r="C3680" s="2">
        <v>0.25</v>
      </c>
      <c r="D3680">
        <v>3</v>
      </c>
      <c r="E3680">
        <v>-0.5</v>
      </c>
      <c r="F3680">
        <v>93</v>
      </c>
    </row>
    <row r="3681" spans="1:6" x14ac:dyDescent="0.35">
      <c r="A3681">
        <v>1975</v>
      </c>
      <c r="B3681" s="1">
        <v>45678</v>
      </c>
      <c r="C3681" s="2">
        <v>0.29166666666666669</v>
      </c>
      <c r="D3681">
        <v>3</v>
      </c>
      <c r="E3681">
        <v>-0.2</v>
      </c>
      <c r="F3681">
        <v>93</v>
      </c>
    </row>
    <row r="3682" spans="1:6" x14ac:dyDescent="0.35">
      <c r="A3682">
        <v>1975</v>
      </c>
      <c r="B3682" s="1">
        <v>45678</v>
      </c>
      <c r="C3682" s="2">
        <v>0.33333333333333331</v>
      </c>
      <c r="D3682">
        <v>3</v>
      </c>
      <c r="E3682">
        <v>-0.2</v>
      </c>
      <c r="F3682">
        <v>92</v>
      </c>
    </row>
    <row r="3683" spans="1:6" x14ac:dyDescent="0.35">
      <c r="A3683">
        <v>1975</v>
      </c>
      <c r="B3683" s="1">
        <v>45678</v>
      </c>
      <c r="C3683" s="2">
        <v>0.375</v>
      </c>
      <c r="D3683">
        <v>3</v>
      </c>
      <c r="E3683">
        <v>-0.1</v>
      </c>
      <c r="F3683">
        <v>93</v>
      </c>
    </row>
    <row r="3684" spans="1:6" x14ac:dyDescent="0.35">
      <c r="A3684">
        <v>1975</v>
      </c>
      <c r="B3684" s="1">
        <v>45678</v>
      </c>
      <c r="C3684" s="2">
        <v>0.41666666666666669</v>
      </c>
      <c r="D3684">
        <v>3</v>
      </c>
      <c r="E3684">
        <v>0.6</v>
      </c>
      <c r="F3684">
        <v>89</v>
      </c>
    </row>
    <row r="3685" spans="1:6" x14ac:dyDescent="0.35">
      <c r="A3685">
        <v>1975</v>
      </c>
      <c r="B3685" s="1">
        <v>45678</v>
      </c>
      <c r="C3685" s="2">
        <v>0.45833333333333331</v>
      </c>
      <c r="D3685">
        <v>3</v>
      </c>
      <c r="E3685">
        <v>1.2</v>
      </c>
      <c r="F3685">
        <v>90</v>
      </c>
    </row>
    <row r="3686" spans="1:6" x14ac:dyDescent="0.35">
      <c r="A3686">
        <v>1975</v>
      </c>
      <c r="B3686" s="1">
        <v>45678</v>
      </c>
      <c r="C3686" s="2">
        <v>0.5</v>
      </c>
      <c r="D3686">
        <v>3</v>
      </c>
      <c r="E3686">
        <v>0.7</v>
      </c>
      <c r="F3686">
        <v>89</v>
      </c>
    </row>
    <row r="3687" spans="1:6" x14ac:dyDescent="0.35">
      <c r="A3687">
        <v>1975</v>
      </c>
      <c r="B3687" s="1">
        <v>45678</v>
      </c>
      <c r="C3687" s="2">
        <v>0.54166666666666663</v>
      </c>
      <c r="D3687">
        <v>3</v>
      </c>
      <c r="E3687">
        <v>0.4</v>
      </c>
      <c r="F3687">
        <v>90</v>
      </c>
    </row>
    <row r="3688" spans="1:6" x14ac:dyDescent="0.35">
      <c r="A3688">
        <v>1975</v>
      </c>
      <c r="B3688" s="1">
        <v>45678</v>
      </c>
      <c r="C3688" s="2">
        <v>0.58333333333333337</v>
      </c>
      <c r="D3688">
        <v>3</v>
      </c>
      <c r="E3688">
        <v>0.1</v>
      </c>
      <c r="F3688">
        <v>91</v>
      </c>
    </row>
    <row r="3689" spans="1:6" x14ac:dyDescent="0.35">
      <c r="A3689">
        <v>1975</v>
      </c>
      <c r="B3689" s="1">
        <v>45678</v>
      </c>
      <c r="C3689" s="2">
        <v>0.625</v>
      </c>
      <c r="D3689">
        <v>3</v>
      </c>
      <c r="E3689">
        <v>-0.4</v>
      </c>
      <c r="F3689">
        <v>93</v>
      </c>
    </row>
    <row r="3690" spans="1:6" x14ac:dyDescent="0.35">
      <c r="A3690">
        <v>1975</v>
      </c>
      <c r="B3690" s="1">
        <v>45678</v>
      </c>
      <c r="C3690" s="2">
        <v>0.66666666666666663</v>
      </c>
      <c r="D3690">
        <v>3</v>
      </c>
      <c r="E3690">
        <v>-0.3</v>
      </c>
      <c r="F3690">
        <v>93</v>
      </c>
    </row>
    <row r="3691" spans="1:6" x14ac:dyDescent="0.35">
      <c r="A3691">
        <v>1975</v>
      </c>
      <c r="B3691" s="1">
        <v>45678</v>
      </c>
      <c r="C3691" s="2">
        <v>0.70833333333333337</v>
      </c>
      <c r="D3691">
        <v>3</v>
      </c>
      <c r="E3691">
        <v>-0.4</v>
      </c>
      <c r="F3691">
        <v>91</v>
      </c>
    </row>
    <row r="3692" spans="1:6" x14ac:dyDescent="0.35">
      <c r="A3692">
        <v>1975</v>
      </c>
      <c r="B3692" s="1">
        <v>45678</v>
      </c>
      <c r="C3692" s="2">
        <v>0.75</v>
      </c>
      <c r="D3692">
        <v>3</v>
      </c>
      <c r="E3692">
        <v>-0.5</v>
      </c>
      <c r="F3692">
        <v>93</v>
      </c>
    </row>
    <row r="3693" spans="1:6" x14ac:dyDescent="0.35">
      <c r="A3693">
        <v>1975</v>
      </c>
      <c r="B3693" s="1">
        <v>45678</v>
      </c>
      <c r="C3693" s="2">
        <v>0.79166666666666663</v>
      </c>
      <c r="D3693">
        <v>3</v>
      </c>
      <c r="E3693">
        <v>-0.7</v>
      </c>
      <c r="F3693">
        <v>97</v>
      </c>
    </row>
    <row r="3694" spans="1:6" x14ac:dyDescent="0.35">
      <c r="A3694">
        <v>1975</v>
      </c>
      <c r="B3694" s="1">
        <v>45678</v>
      </c>
      <c r="C3694" s="2">
        <v>0.83333333333333337</v>
      </c>
      <c r="D3694">
        <v>3</v>
      </c>
      <c r="E3694">
        <v>-0.6</v>
      </c>
      <c r="F3694">
        <v>97</v>
      </c>
    </row>
    <row r="3695" spans="1:6" x14ac:dyDescent="0.35">
      <c r="A3695">
        <v>1975</v>
      </c>
      <c r="B3695" s="1">
        <v>45678</v>
      </c>
      <c r="C3695" s="2">
        <v>0.875</v>
      </c>
      <c r="D3695">
        <v>3</v>
      </c>
      <c r="E3695">
        <v>-0.7</v>
      </c>
      <c r="F3695">
        <v>96</v>
      </c>
    </row>
    <row r="3696" spans="1:6" x14ac:dyDescent="0.35">
      <c r="A3696">
        <v>1975</v>
      </c>
      <c r="B3696" s="1">
        <v>45678</v>
      </c>
      <c r="C3696" s="2">
        <v>0.91666666666666663</v>
      </c>
      <c r="D3696">
        <v>3</v>
      </c>
      <c r="E3696">
        <v>-0.4</v>
      </c>
      <c r="F3696">
        <v>95</v>
      </c>
    </row>
    <row r="3697" spans="1:6" x14ac:dyDescent="0.35">
      <c r="A3697">
        <v>1975</v>
      </c>
      <c r="B3697" s="1">
        <v>45678</v>
      </c>
      <c r="C3697" s="2">
        <v>0.95833333333333337</v>
      </c>
      <c r="D3697">
        <v>3</v>
      </c>
      <c r="E3697">
        <v>-0.6</v>
      </c>
      <c r="F3697">
        <v>95</v>
      </c>
    </row>
    <row r="3698" spans="1:6" x14ac:dyDescent="0.35">
      <c r="A3698">
        <v>1975</v>
      </c>
      <c r="B3698" s="1">
        <v>45679</v>
      </c>
      <c r="C3698" s="2">
        <v>0</v>
      </c>
      <c r="D3698">
        <v>3</v>
      </c>
      <c r="E3698">
        <v>-1.1000000000000001</v>
      </c>
      <c r="F3698">
        <v>96</v>
      </c>
    </row>
    <row r="3699" spans="1:6" x14ac:dyDescent="0.35">
      <c r="A3699">
        <v>1975</v>
      </c>
      <c r="B3699" s="1">
        <v>45679</v>
      </c>
      <c r="C3699" s="2">
        <v>4.1666666666666657E-2</v>
      </c>
      <c r="D3699">
        <v>3</v>
      </c>
      <c r="E3699">
        <v>-1.5</v>
      </c>
      <c r="F3699">
        <v>99</v>
      </c>
    </row>
    <row r="3700" spans="1:6" x14ac:dyDescent="0.35">
      <c r="A3700">
        <v>1975</v>
      </c>
      <c r="B3700" s="1">
        <v>45679</v>
      </c>
      <c r="C3700" s="2">
        <v>8.3333333333333329E-2</v>
      </c>
      <c r="D3700">
        <v>3</v>
      </c>
      <c r="E3700">
        <v>-1.7</v>
      </c>
      <c r="F3700">
        <v>99</v>
      </c>
    </row>
    <row r="3701" spans="1:6" x14ac:dyDescent="0.35">
      <c r="A3701">
        <v>1975</v>
      </c>
      <c r="B3701" s="1">
        <v>45679</v>
      </c>
      <c r="C3701" s="2">
        <v>0.125</v>
      </c>
      <c r="D3701">
        <v>3</v>
      </c>
      <c r="E3701">
        <v>-1.7</v>
      </c>
      <c r="F3701">
        <v>100</v>
      </c>
    </row>
    <row r="3702" spans="1:6" x14ac:dyDescent="0.35">
      <c r="A3702">
        <v>1975</v>
      </c>
      <c r="B3702" s="1">
        <v>45679</v>
      </c>
      <c r="C3702" s="2">
        <v>0.16666666666666671</v>
      </c>
      <c r="D3702">
        <v>3</v>
      </c>
      <c r="E3702">
        <v>-1.9</v>
      </c>
      <c r="F3702">
        <v>99</v>
      </c>
    </row>
    <row r="3703" spans="1:6" x14ac:dyDescent="0.35">
      <c r="A3703">
        <v>1975</v>
      </c>
      <c r="B3703" s="1">
        <v>45679</v>
      </c>
      <c r="C3703" s="2">
        <v>0.20833333333333329</v>
      </c>
      <c r="D3703">
        <v>3</v>
      </c>
      <c r="E3703">
        <v>-1.8</v>
      </c>
      <c r="F3703">
        <v>98</v>
      </c>
    </row>
    <row r="3704" spans="1:6" x14ac:dyDescent="0.35">
      <c r="A3704">
        <v>1975</v>
      </c>
      <c r="B3704" s="1">
        <v>45679</v>
      </c>
      <c r="C3704" s="2">
        <v>0.25</v>
      </c>
      <c r="D3704">
        <v>3</v>
      </c>
      <c r="E3704">
        <v>-1.9</v>
      </c>
      <c r="F3704">
        <v>97</v>
      </c>
    </row>
    <row r="3705" spans="1:6" x14ac:dyDescent="0.35">
      <c r="A3705">
        <v>1975</v>
      </c>
      <c r="B3705" s="1">
        <v>45679</v>
      </c>
      <c r="C3705" s="2">
        <v>0.29166666666666669</v>
      </c>
      <c r="D3705">
        <v>3</v>
      </c>
      <c r="E3705">
        <v>-2</v>
      </c>
      <c r="F3705">
        <v>96</v>
      </c>
    </row>
    <row r="3706" spans="1:6" x14ac:dyDescent="0.35">
      <c r="A3706">
        <v>1975</v>
      </c>
      <c r="B3706" s="1">
        <v>45679</v>
      </c>
      <c r="C3706" s="2">
        <v>0.33333333333333331</v>
      </c>
      <c r="D3706">
        <v>3</v>
      </c>
      <c r="E3706">
        <v>-2</v>
      </c>
      <c r="F3706">
        <v>94</v>
      </c>
    </row>
    <row r="3707" spans="1:6" x14ac:dyDescent="0.35">
      <c r="A3707">
        <v>1975</v>
      </c>
      <c r="B3707" s="1">
        <v>45679</v>
      </c>
      <c r="C3707" s="2">
        <v>0.375</v>
      </c>
      <c r="D3707">
        <v>3</v>
      </c>
      <c r="E3707">
        <v>-1.4</v>
      </c>
      <c r="F3707">
        <v>90</v>
      </c>
    </row>
    <row r="3708" spans="1:6" x14ac:dyDescent="0.35">
      <c r="A3708">
        <v>1975</v>
      </c>
      <c r="B3708" s="1">
        <v>45679</v>
      </c>
      <c r="C3708" s="2">
        <v>0.41666666666666669</v>
      </c>
      <c r="D3708">
        <v>3</v>
      </c>
      <c r="E3708">
        <v>-0.6</v>
      </c>
      <c r="F3708">
        <v>86</v>
      </c>
    </row>
    <row r="3709" spans="1:6" x14ac:dyDescent="0.35">
      <c r="A3709">
        <v>1975</v>
      </c>
      <c r="B3709" s="1">
        <v>45679</v>
      </c>
      <c r="C3709" s="2">
        <v>0.45833333333333331</v>
      </c>
      <c r="D3709">
        <v>3</v>
      </c>
      <c r="E3709">
        <v>-0.2</v>
      </c>
      <c r="F3709">
        <v>81</v>
      </c>
    </row>
    <row r="3710" spans="1:6" x14ac:dyDescent="0.35">
      <c r="A3710">
        <v>1975</v>
      </c>
      <c r="B3710" s="1">
        <v>45679</v>
      </c>
      <c r="C3710" s="2">
        <v>0.5</v>
      </c>
      <c r="D3710">
        <v>3</v>
      </c>
      <c r="E3710">
        <v>0.7</v>
      </c>
      <c r="F3710">
        <v>79</v>
      </c>
    </row>
    <row r="3711" spans="1:6" x14ac:dyDescent="0.35">
      <c r="A3711">
        <v>1975</v>
      </c>
      <c r="B3711" s="1">
        <v>45679</v>
      </c>
      <c r="C3711" s="2">
        <v>0.54166666666666663</v>
      </c>
      <c r="D3711">
        <v>3</v>
      </c>
      <c r="E3711">
        <v>1.6</v>
      </c>
      <c r="F3711">
        <v>79</v>
      </c>
    </row>
    <row r="3712" spans="1:6" x14ac:dyDescent="0.35">
      <c r="A3712">
        <v>1975</v>
      </c>
      <c r="B3712" s="1">
        <v>45679</v>
      </c>
      <c r="C3712" s="2">
        <v>0.58333333333333337</v>
      </c>
      <c r="D3712">
        <v>3</v>
      </c>
      <c r="E3712">
        <v>2.4</v>
      </c>
      <c r="F3712">
        <v>76</v>
      </c>
    </row>
    <row r="3713" spans="1:6" x14ac:dyDescent="0.35">
      <c r="A3713">
        <v>1975</v>
      </c>
      <c r="B3713" s="1">
        <v>45679</v>
      </c>
      <c r="C3713" s="2">
        <v>0.625</v>
      </c>
      <c r="D3713">
        <v>3</v>
      </c>
      <c r="E3713">
        <v>1.5</v>
      </c>
      <c r="F3713">
        <v>80</v>
      </c>
    </row>
    <row r="3714" spans="1:6" x14ac:dyDescent="0.35">
      <c r="A3714">
        <v>1975</v>
      </c>
      <c r="B3714" s="1">
        <v>45679</v>
      </c>
      <c r="C3714" s="2">
        <v>0.66666666666666663</v>
      </c>
      <c r="D3714">
        <v>3</v>
      </c>
      <c r="E3714">
        <v>1.4</v>
      </c>
      <c r="F3714">
        <v>82</v>
      </c>
    </row>
    <row r="3715" spans="1:6" x14ac:dyDescent="0.35">
      <c r="A3715">
        <v>1975</v>
      </c>
      <c r="B3715" s="1">
        <v>45679</v>
      </c>
      <c r="C3715" s="2">
        <v>0.70833333333333337</v>
      </c>
      <c r="D3715">
        <v>3</v>
      </c>
      <c r="E3715">
        <v>1.5</v>
      </c>
      <c r="F3715">
        <v>83</v>
      </c>
    </row>
    <row r="3716" spans="1:6" x14ac:dyDescent="0.35">
      <c r="A3716">
        <v>1975</v>
      </c>
      <c r="B3716" s="1">
        <v>45679</v>
      </c>
      <c r="C3716" s="2">
        <v>0.75</v>
      </c>
      <c r="D3716">
        <v>3</v>
      </c>
      <c r="E3716">
        <v>1.9</v>
      </c>
      <c r="F3716">
        <v>81</v>
      </c>
    </row>
    <row r="3717" spans="1:6" x14ac:dyDescent="0.35">
      <c r="A3717">
        <v>1975</v>
      </c>
      <c r="B3717" s="1">
        <v>45679</v>
      </c>
      <c r="C3717" s="2">
        <v>0.79166666666666663</v>
      </c>
      <c r="D3717">
        <v>3</v>
      </c>
      <c r="E3717">
        <v>1.9</v>
      </c>
      <c r="F3717">
        <v>83</v>
      </c>
    </row>
    <row r="3718" spans="1:6" x14ac:dyDescent="0.35">
      <c r="A3718">
        <v>1975</v>
      </c>
      <c r="B3718" s="1">
        <v>45679</v>
      </c>
      <c r="C3718" s="2">
        <v>0.83333333333333337</v>
      </c>
      <c r="D3718">
        <v>3</v>
      </c>
      <c r="E3718">
        <v>2</v>
      </c>
      <c r="F3718">
        <v>84</v>
      </c>
    </row>
    <row r="3719" spans="1:6" x14ac:dyDescent="0.35">
      <c r="A3719">
        <v>1975</v>
      </c>
      <c r="B3719" s="1">
        <v>45679</v>
      </c>
      <c r="C3719" s="2">
        <v>0.875</v>
      </c>
      <c r="D3719">
        <v>3</v>
      </c>
      <c r="E3719">
        <v>2.1</v>
      </c>
      <c r="F3719">
        <v>88</v>
      </c>
    </row>
    <row r="3720" spans="1:6" x14ac:dyDescent="0.35">
      <c r="A3720">
        <v>1975</v>
      </c>
      <c r="B3720" s="1">
        <v>45679</v>
      </c>
      <c r="C3720" s="2">
        <v>0.91666666666666663</v>
      </c>
      <c r="D3720">
        <v>3</v>
      </c>
      <c r="E3720">
        <v>2.2999999999999998</v>
      </c>
      <c r="F3720">
        <v>87</v>
      </c>
    </row>
    <row r="3721" spans="1:6" x14ac:dyDescent="0.35">
      <c r="A3721">
        <v>1975</v>
      </c>
      <c r="B3721" s="1">
        <v>45679</v>
      </c>
      <c r="C3721" s="2">
        <v>0.95833333333333337</v>
      </c>
      <c r="D3721">
        <v>3</v>
      </c>
      <c r="E3721">
        <v>2.6</v>
      </c>
      <c r="F3721">
        <v>86</v>
      </c>
    </row>
    <row r="3722" spans="1:6" x14ac:dyDescent="0.35">
      <c r="A3722">
        <v>1975</v>
      </c>
      <c r="B3722" s="1">
        <v>45680</v>
      </c>
      <c r="C3722" s="2">
        <v>0</v>
      </c>
      <c r="D3722">
        <v>3</v>
      </c>
      <c r="E3722">
        <v>3.1</v>
      </c>
      <c r="F3722">
        <v>86</v>
      </c>
    </row>
    <row r="3723" spans="1:6" x14ac:dyDescent="0.35">
      <c r="A3723">
        <v>1975</v>
      </c>
      <c r="B3723" s="1">
        <v>45680</v>
      </c>
      <c r="C3723" s="2">
        <v>4.1666666666666657E-2</v>
      </c>
      <c r="D3723">
        <v>3</v>
      </c>
      <c r="E3723">
        <v>3.4</v>
      </c>
      <c r="F3723">
        <v>85</v>
      </c>
    </row>
    <row r="3724" spans="1:6" x14ac:dyDescent="0.35">
      <c r="A3724">
        <v>1975</v>
      </c>
      <c r="B3724" s="1">
        <v>45680</v>
      </c>
      <c r="C3724" s="2">
        <v>8.3333333333333329E-2</v>
      </c>
      <c r="D3724">
        <v>3</v>
      </c>
      <c r="E3724">
        <v>3.6</v>
      </c>
      <c r="F3724">
        <v>85</v>
      </c>
    </row>
    <row r="3725" spans="1:6" x14ac:dyDescent="0.35">
      <c r="A3725">
        <v>1975</v>
      </c>
      <c r="B3725" s="1">
        <v>45680</v>
      </c>
      <c r="C3725" s="2">
        <v>0.125</v>
      </c>
      <c r="D3725">
        <v>3</v>
      </c>
      <c r="E3725">
        <v>3.1</v>
      </c>
      <c r="F3725">
        <v>93</v>
      </c>
    </row>
    <row r="3726" spans="1:6" x14ac:dyDescent="0.35">
      <c r="A3726">
        <v>1975</v>
      </c>
      <c r="B3726" s="1">
        <v>45680</v>
      </c>
      <c r="C3726" s="2">
        <v>0.16666666666666671</v>
      </c>
      <c r="D3726">
        <v>3</v>
      </c>
      <c r="E3726">
        <v>2.9</v>
      </c>
      <c r="F3726">
        <v>96</v>
      </c>
    </row>
    <row r="3727" spans="1:6" x14ac:dyDescent="0.35">
      <c r="A3727">
        <v>1975</v>
      </c>
      <c r="B3727" s="1">
        <v>45680</v>
      </c>
      <c r="C3727" s="2">
        <v>0.20833333333333329</v>
      </c>
      <c r="D3727">
        <v>3</v>
      </c>
      <c r="E3727">
        <v>2.8</v>
      </c>
      <c r="F3727">
        <v>99</v>
      </c>
    </row>
    <row r="3728" spans="1:6" x14ac:dyDescent="0.35">
      <c r="A3728">
        <v>1975</v>
      </c>
      <c r="B3728" s="1">
        <v>45680</v>
      </c>
      <c r="C3728" s="2">
        <v>0.25</v>
      </c>
      <c r="D3728">
        <v>3</v>
      </c>
      <c r="E3728">
        <v>3.3</v>
      </c>
      <c r="F3728">
        <v>99</v>
      </c>
    </row>
    <row r="3729" spans="1:6" x14ac:dyDescent="0.35">
      <c r="A3729">
        <v>1975</v>
      </c>
      <c r="B3729" s="1">
        <v>45680</v>
      </c>
      <c r="C3729" s="2">
        <v>0.29166666666666669</v>
      </c>
      <c r="D3729">
        <v>3</v>
      </c>
      <c r="E3729">
        <v>2.9</v>
      </c>
      <c r="F3729">
        <v>94</v>
      </c>
    </row>
    <row r="3730" spans="1:6" x14ac:dyDescent="0.35">
      <c r="A3730">
        <v>1975</v>
      </c>
      <c r="B3730" s="1">
        <v>45680</v>
      </c>
      <c r="C3730" s="2">
        <v>0.33333333333333331</v>
      </c>
      <c r="D3730">
        <v>3</v>
      </c>
      <c r="E3730">
        <v>2.5</v>
      </c>
      <c r="F3730">
        <v>96</v>
      </c>
    </row>
    <row r="3731" spans="1:6" x14ac:dyDescent="0.35">
      <c r="A3731">
        <v>1975</v>
      </c>
      <c r="B3731" s="1">
        <v>45680</v>
      </c>
      <c r="C3731" s="2">
        <v>0.375</v>
      </c>
      <c r="D3731">
        <v>3</v>
      </c>
      <c r="E3731">
        <v>2.8</v>
      </c>
      <c r="F3731">
        <v>97</v>
      </c>
    </row>
    <row r="3732" spans="1:6" x14ac:dyDescent="0.35">
      <c r="A3732">
        <v>1975</v>
      </c>
      <c r="B3732" s="1">
        <v>45680</v>
      </c>
      <c r="C3732" s="2">
        <v>0.41666666666666669</v>
      </c>
      <c r="D3732">
        <v>3</v>
      </c>
      <c r="E3732">
        <v>4</v>
      </c>
      <c r="F3732">
        <v>96</v>
      </c>
    </row>
    <row r="3733" spans="1:6" x14ac:dyDescent="0.35">
      <c r="A3733">
        <v>1975</v>
      </c>
      <c r="B3733" s="1">
        <v>45680</v>
      </c>
      <c r="C3733" s="2">
        <v>0.45833333333333331</v>
      </c>
      <c r="D3733">
        <v>3</v>
      </c>
      <c r="E3733">
        <v>4.8</v>
      </c>
      <c r="F3733">
        <v>92</v>
      </c>
    </row>
    <row r="3734" spans="1:6" x14ac:dyDescent="0.35">
      <c r="A3734">
        <v>1975</v>
      </c>
      <c r="B3734" s="1">
        <v>45680</v>
      </c>
      <c r="C3734" s="2">
        <v>0.5</v>
      </c>
      <c r="D3734">
        <v>3</v>
      </c>
      <c r="E3734">
        <v>5.4</v>
      </c>
      <c r="F3734">
        <v>88</v>
      </c>
    </row>
    <row r="3735" spans="1:6" x14ac:dyDescent="0.35">
      <c r="A3735">
        <v>1975</v>
      </c>
      <c r="B3735" s="1">
        <v>45680</v>
      </c>
      <c r="C3735" s="2">
        <v>0.54166666666666663</v>
      </c>
      <c r="D3735">
        <v>3</v>
      </c>
      <c r="E3735">
        <v>5.6</v>
      </c>
      <c r="F3735">
        <v>86</v>
      </c>
    </row>
    <row r="3736" spans="1:6" x14ac:dyDescent="0.35">
      <c r="A3736">
        <v>1975</v>
      </c>
      <c r="B3736" s="1">
        <v>45680</v>
      </c>
      <c r="C3736" s="2">
        <v>0.58333333333333337</v>
      </c>
      <c r="D3736">
        <v>3</v>
      </c>
      <c r="E3736">
        <v>5.7</v>
      </c>
      <c r="F3736">
        <v>86</v>
      </c>
    </row>
    <row r="3737" spans="1:6" x14ac:dyDescent="0.35">
      <c r="A3737">
        <v>1975</v>
      </c>
      <c r="B3737" s="1">
        <v>45680</v>
      </c>
      <c r="C3737" s="2">
        <v>0.625</v>
      </c>
      <c r="D3737">
        <v>3</v>
      </c>
      <c r="E3737">
        <v>5.5</v>
      </c>
      <c r="F3737">
        <v>86</v>
      </c>
    </row>
    <row r="3738" spans="1:6" x14ac:dyDescent="0.35">
      <c r="A3738">
        <v>1975</v>
      </c>
      <c r="B3738" s="1">
        <v>45680</v>
      </c>
      <c r="C3738" s="2">
        <v>0.66666666666666663</v>
      </c>
      <c r="D3738">
        <v>3</v>
      </c>
      <c r="E3738">
        <v>5</v>
      </c>
      <c r="F3738">
        <v>80</v>
      </c>
    </row>
    <row r="3739" spans="1:6" x14ac:dyDescent="0.35">
      <c r="A3739">
        <v>1975</v>
      </c>
      <c r="B3739" s="1">
        <v>45680</v>
      </c>
      <c r="C3739" s="2">
        <v>0.70833333333333337</v>
      </c>
      <c r="D3739">
        <v>3</v>
      </c>
      <c r="E3739">
        <v>3.9</v>
      </c>
      <c r="F3739">
        <v>90</v>
      </c>
    </row>
    <row r="3740" spans="1:6" x14ac:dyDescent="0.35">
      <c r="A3740">
        <v>1975</v>
      </c>
      <c r="B3740" s="1">
        <v>45680</v>
      </c>
      <c r="C3740" s="2">
        <v>0.75</v>
      </c>
      <c r="D3740">
        <v>3</v>
      </c>
      <c r="E3740">
        <v>4.0999999999999996</v>
      </c>
      <c r="F3740">
        <v>86</v>
      </c>
    </row>
    <row r="3741" spans="1:6" x14ac:dyDescent="0.35">
      <c r="A3741">
        <v>1975</v>
      </c>
      <c r="B3741" s="1">
        <v>45680</v>
      </c>
      <c r="C3741" s="2">
        <v>0.79166666666666663</v>
      </c>
      <c r="D3741">
        <v>3</v>
      </c>
      <c r="E3741">
        <v>2.9</v>
      </c>
      <c r="F3741">
        <v>89</v>
      </c>
    </row>
    <row r="3742" spans="1:6" x14ac:dyDescent="0.35">
      <c r="A3742">
        <v>1975</v>
      </c>
      <c r="B3742" s="1">
        <v>45680</v>
      </c>
      <c r="C3742" s="2">
        <v>0.83333333333333337</v>
      </c>
      <c r="D3742">
        <v>3</v>
      </c>
      <c r="E3742">
        <v>4</v>
      </c>
      <c r="F3742">
        <v>84</v>
      </c>
    </row>
    <row r="3743" spans="1:6" x14ac:dyDescent="0.35">
      <c r="A3743">
        <v>1975</v>
      </c>
      <c r="B3743" s="1">
        <v>45680</v>
      </c>
      <c r="C3743" s="2">
        <v>0.875</v>
      </c>
      <c r="D3743">
        <v>3</v>
      </c>
      <c r="E3743">
        <v>4.5</v>
      </c>
      <c r="F3743">
        <v>81</v>
      </c>
    </row>
    <row r="3744" spans="1:6" x14ac:dyDescent="0.35">
      <c r="A3744">
        <v>1975</v>
      </c>
      <c r="B3744" s="1">
        <v>45680</v>
      </c>
      <c r="C3744" s="2">
        <v>0.91666666666666663</v>
      </c>
      <c r="D3744">
        <v>3</v>
      </c>
      <c r="E3744">
        <v>4.3</v>
      </c>
      <c r="F3744">
        <v>82</v>
      </c>
    </row>
    <row r="3745" spans="1:6" x14ac:dyDescent="0.35">
      <c r="A3745">
        <v>1975</v>
      </c>
      <c r="B3745" s="1">
        <v>45680</v>
      </c>
      <c r="C3745" s="2">
        <v>0.95833333333333337</v>
      </c>
      <c r="D3745">
        <v>3</v>
      </c>
      <c r="E3745">
        <v>4.2</v>
      </c>
      <c r="F3745">
        <v>79</v>
      </c>
    </row>
    <row r="3746" spans="1:6" x14ac:dyDescent="0.35">
      <c r="A3746">
        <v>1975</v>
      </c>
      <c r="B3746" s="1">
        <v>45681</v>
      </c>
      <c r="C3746" s="2">
        <v>0</v>
      </c>
      <c r="D3746">
        <v>3</v>
      </c>
      <c r="E3746">
        <v>4.4000000000000004</v>
      </c>
      <c r="F3746">
        <v>76</v>
      </c>
    </row>
    <row r="3747" spans="1:6" x14ac:dyDescent="0.35">
      <c r="A3747">
        <v>1975</v>
      </c>
      <c r="B3747" s="1">
        <v>45681</v>
      </c>
      <c r="C3747" s="2">
        <v>4.1666666666666657E-2</v>
      </c>
      <c r="D3747">
        <v>3</v>
      </c>
      <c r="E3747">
        <v>4.2</v>
      </c>
      <c r="F3747">
        <v>81</v>
      </c>
    </row>
    <row r="3748" spans="1:6" x14ac:dyDescent="0.35">
      <c r="A3748">
        <v>1975</v>
      </c>
      <c r="B3748" s="1">
        <v>45681</v>
      </c>
      <c r="C3748" s="2">
        <v>8.3333333333333329E-2</v>
      </c>
      <c r="D3748">
        <v>3</v>
      </c>
      <c r="E3748">
        <v>4.3</v>
      </c>
      <c r="F3748">
        <v>85</v>
      </c>
    </row>
    <row r="3749" spans="1:6" x14ac:dyDescent="0.35">
      <c r="A3749">
        <v>1975</v>
      </c>
      <c r="B3749" s="1">
        <v>45681</v>
      </c>
      <c r="C3749" s="2">
        <v>0.125</v>
      </c>
      <c r="D3749">
        <v>3</v>
      </c>
      <c r="E3749">
        <v>4.3</v>
      </c>
      <c r="F3749">
        <v>87</v>
      </c>
    </row>
    <row r="3750" spans="1:6" x14ac:dyDescent="0.35">
      <c r="A3750">
        <v>1975</v>
      </c>
      <c r="B3750" s="1">
        <v>45681</v>
      </c>
      <c r="C3750" s="2">
        <v>0.16666666666666671</v>
      </c>
      <c r="D3750">
        <v>3</v>
      </c>
      <c r="E3750">
        <v>4.4000000000000004</v>
      </c>
      <c r="F3750">
        <v>89</v>
      </c>
    </row>
    <row r="3751" spans="1:6" x14ac:dyDescent="0.35">
      <c r="A3751">
        <v>1975</v>
      </c>
      <c r="B3751" s="1">
        <v>45681</v>
      </c>
      <c r="C3751" s="2">
        <v>0.20833333333333329</v>
      </c>
      <c r="D3751">
        <v>3</v>
      </c>
      <c r="E3751">
        <v>4.5999999999999996</v>
      </c>
      <c r="F3751">
        <v>90</v>
      </c>
    </row>
    <row r="3752" spans="1:6" x14ac:dyDescent="0.35">
      <c r="A3752">
        <v>1975</v>
      </c>
      <c r="B3752" s="1">
        <v>45681</v>
      </c>
      <c r="C3752" s="2">
        <v>0.25</v>
      </c>
      <c r="D3752">
        <v>3</v>
      </c>
      <c r="E3752">
        <v>4.9000000000000004</v>
      </c>
      <c r="F3752">
        <v>90</v>
      </c>
    </row>
    <row r="3753" spans="1:6" x14ac:dyDescent="0.35">
      <c r="A3753">
        <v>1975</v>
      </c>
      <c r="B3753" s="1">
        <v>45681</v>
      </c>
      <c r="C3753" s="2">
        <v>0.29166666666666669</v>
      </c>
      <c r="D3753">
        <v>3</v>
      </c>
      <c r="E3753">
        <v>4.7</v>
      </c>
      <c r="F3753">
        <v>89</v>
      </c>
    </row>
    <row r="3754" spans="1:6" x14ac:dyDescent="0.35">
      <c r="A3754">
        <v>1975</v>
      </c>
      <c r="B3754" s="1">
        <v>45681</v>
      </c>
      <c r="C3754" s="2">
        <v>0.33333333333333331</v>
      </c>
      <c r="D3754">
        <v>3</v>
      </c>
      <c r="E3754">
        <v>4.8</v>
      </c>
      <c r="F3754">
        <v>88</v>
      </c>
    </row>
    <row r="3755" spans="1:6" x14ac:dyDescent="0.35">
      <c r="A3755">
        <v>1975</v>
      </c>
      <c r="B3755" s="1">
        <v>45681</v>
      </c>
      <c r="C3755" s="2">
        <v>0.375</v>
      </c>
      <c r="D3755">
        <v>3</v>
      </c>
      <c r="E3755">
        <v>5</v>
      </c>
      <c r="F3755">
        <v>88</v>
      </c>
    </row>
    <row r="3756" spans="1:6" x14ac:dyDescent="0.35">
      <c r="A3756">
        <v>1975</v>
      </c>
      <c r="B3756" s="1">
        <v>45681</v>
      </c>
      <c r="C3756" s="2">
        <v>0.41666666666666669</v>
      </c>
      <c r="D3756">
        <v>3</v>
      </c>
      <c r="E3756">
        <v>5.7</v>
      </c>
      <c r="F3756">
        <v>85</v>
      </c>
    </row>
    <row r="3757" spans="1:6" x14ac:dyDescent="0.35">
      <c r="A3757">
        <v>1975</v>
      </c>
      <c r="B3757" s="1">
        <v>45681</v>
      </c>
      <c r="C3757" s="2">
        <v>0.45833333333333331</v>
      </c>
      <c r="D3757">
        <v>3</v>
      </c>
      <c r="E3757">
        <v>6.1</v>
      </c>
      <c r="F3757">
        <v>82</v>
      </c>
    </row>
    <row r="3758" spans="1:6" x14ac:dyDescent="0.35">
      <c r="A3758">
        <v>1975</v>
      </c>
      <c r="B3758" s="1">
        <v>45681</v>
      </c>
      <c r="C3758" s="2">
        <v>0.5</v>
      </c>
      <c r="D3758">
        <v>3</v>
      </c>
      <c r="E3758">
        <v>6.6</v>
      </c>
      <c r="F3758">
        <v>83</v>
      </c>
    </row>
    <row r="3759" spans="1:6" x14ac:dyDescent="0.35">
      <c r="A3759">
        <v>1975</v>
      </c>
      <c r="B3759" s="1">
        <v>45681</v>
      </c>
      <c r="C3759" s="2">
        <v>0.54166666666666663</v>
      </c>
      <c r="D3759">
        <v>3</v>
      </c>
      <c r="E3759">
        <v>6.7</v>
      </c>
      <c r="F3759">
        <v>84</v>
      </c>
    </row>
    <row r="3760" spans="1:6" x14ac:dyDescent="0.35">
      <c r="A3760">
        <v>1975</v>
      </c>
      <c r="B3760" s="1">
        <v>45681</v>
      </c>
      <c r="C3760" s="2">
        <v>0.58333333333333337</v>
      </c>
      <c r="D3760">
        <v>3</v>
      </c>
      <c r="E3760">
        <v>7.7</v>
      </c>
      <c r="F3760">
        <v>80</v>
      </c>
    </row>
    <row r="3761" spans="1:6" x14ac:dyDescent="0.35">
      <c r="A3761">
        <v>1975</v>
      </c>
      <c r="B3761" s="1">
        <v>45681</v>
      </c>
      <c r="C3761" s="2">
        <v>0.625</v>
      </c>
      <c r="D3761">
        <v>3</v>
      </c>
      <c r="E3761">
        <v>7.4</v>
      </c>
      <c r="F3761">
        <v>83</v>
      </c>
    </row>
    <row r="3762" spans="1:6" x14ac:dyDescent="0.35">
      <c r="A3762">
        <v>1975</v>
      </c>
      <c r="B3762" s="1">
        <v>45681</v>
      </c>
      <c r="C3762" s="2">
        <v>0.66666666666666663</v>
      </c>
      <c r="D3762">
        <v>3</v>
      </c>
      <c r="E3762">
        <v>7.2</v>
      </c>
      <c r="F3762">
        <v>88</v>
      </c>
    </row>
    <row r="3763" spans="1:6" x14ac:dyDescent="0.35">
      <c r="A3763">
        <v>1975</v>
      </c>
      <c r="B3763" s="1">
        <v>45681</v>
      </c>
      <c r="C3763" s="2">
        <v>0.70833333333333337</v>
      </c>
      <c r="D3763">
        <v>3</v>
      </c>
      <c r="E3763">
        <v>7.2</v>
      </c>
      <c r="F3763">
        <v>91</v>
      </c>
    </row>
    <row r="3764" spans="1:6" x14ac:dyDescent="0.35">
      <c r="A3764">
        <v>1975</v>
      </c>
      <c r="B3764" s="1">
        <v>45681</v>
      </c>
      <c r="C3764" s="2">
        <v>0.75</v>
      </c>
      <c r="D3764">
        <v>3</v>
      </c>
      <c r="E3764">
        <v>7.2</v>
      </c>
      <c r="F3764">
        <v>95</v>
      </c>
    </row>
    <row r="3765" spans="1:6" x14ac:dyDescent="0.35">
      <c r="A3765">
        <v>1975</v>
      </c>
      <c r="B3765" s="1">
        <v>45681</v>
      </c>
      <c r="C3765" s="2">
        <v>0.79166666666666663</v>
      </c>
      <c r="D3765">
        <v>3</v>
      </c>
      <c r="E3765">
        <v>7.5</v>
      </c>
      <c r="F3765">
        <v>94</v>
      </c>
    </row>
    <row r="3766" spans="1:6" x14ac:dyDescent="0.35">
      <c r="A3766">
        <v>1975</v>
      </c>
      <c r="B3766" s="1">
        <v>45681</v>
      </c>
      <c r="C3766" s="2">
        <v>0.83333333333333337</v>
      </c>
      <c r="D3766">
        <v>3</v>
      </c>
      <c r="E3766">
        <v>7.5</v>
      </c>
      <c r="F3766">
        <v>92</v>
      </c>
    </row>
    <row r="3767" spans="1:6" x14ac:dyDescent="0.35">
      <c r="A3767">
        <v>1975</v>
      </c>
      <c r="B3767" s="1">
        <v>45681</v>
      </c>
      <c r="C3767" s="2">
        <v>0.875</v>
      </c>
      <c r="D3767">
        <v>3</v>
      </c>
      <c r="E3767">
        <v>6.9</v>
      </c>
      <c r="F3767">
        <v>93</v>
      </c>
    </row>
    <row r="3768" spans="1:6" x14ac:dyDescent="0.35">
      <c r="A3768">
        <v>1975</v>
      </c>
      <c r="B3768" s="1">
        <v>45681</v>
      </c>
      <c r="C3768" s="2">
        <v>0.91666666666666663</v>
      </c>
      <c r="D3768">
        <v>3</v>
      </c>
      <c r="E3768">
        <v>6.7</v>
      </c>
      <c r="F3768">
        <v>93</v>
      </c>
    </row>
    <row r="3769" spans="1:6" x14ac:dyDescent="0.35">
      <c r="A3769">
        <v>1975</v>
      </c>
      <c r="B3769" s="1">
        <v>45681</v>
      </c>
      <c r="C3769" s="2">
        <v>0.95833333333333337</v>
      </c>
      <c r="D3769">
        <v>3</v>
      </c>
      <c r="E3769">
        <v>6.1</v>
      </c>
      <c r="F3769">
        <v>95</v>
      </c>
    </row>
    <row r="3770" spans="1:6" x14ac:dyDescent="0.35">
      <c r="A3770">
        <v>1975</v>
      </c>
      <c r="B3770" s="1">
        <v>45682</v>
      </c>
      <c r="C3770" s="2">
        <v>0</v>
      </c>
      <c r="D3770">
        <v>3</v>
      </c>
      <c r="E3770">
        <v>6.9</v>
      </c>
      <c r="F3770">
        <v>93</v>
      </c>
    </row>
    <row r="3771" spans="1:6" x14ac:dyDescent="0.35">
      <c r="A3771">
        <v>1975</v>
      </c>
      <c r="B3771" s="1">
        <v>45682</v>
      </c>
      <c r="C3771" s="2">
        <v>4.1666666666666657E-2</v>
      </c>
      <c r="D3771">
        <v>3</v>
      </c>
      <c r="E3771">
        <v>6.1</v>
      </c>
      <c r="F3771">
        <v>94</v>
      </c>
    </row>
    <row r="3772" spans="1:6" x14ac:dyDescent="0.35">
      <c r="A3772">
        <v>1975</v>
      </c>
      <c r="B3772" s="1">
        <v>45682</v>
      </c>
      <c r="C3772" s="2">
        <v>8.3333333333333329E-2</v>
      </c>
      <c r="D3772">
        <v>3</v>
      </c>
      <c r="E3772">
        <v>6</v>
      </c>
      <c r="F3772">
        <v>95</v>
      </c>
    </row>
    <row r="3773" spans="1:6" x14ac:dyDescent="0.35">
      <c r="A3773">
        <v>1975</v>
      </c>
      <c r="B3773" s="1">
        <v>45682</v>
      </c>
      <c r="C3773" s="2">
        <v>0.125</v>
      </c>
      <c r="D3773">
        <v>3</v>
      </c>
      <c r="E3773">
        <v>5.9</v>
      </c>
      <c r="F3773">
        <v>97</v>
      </c>
    </row>
    <row r="3774" spans="1:6" x14ac:dyDescent="0.35">
      <c r="A3774">
        <v>1975</v>
      </c>
      <c r="B3774" s="1">
        <v>45682</v>
      </c>
      <c r="C3774" s="2">
        <v>0.16666666666666671</v>
      </c>
      <c r="D3774">
        <v>3</v>
      </c>
      <c r="E3774">
        <v>6</v>
      </c>
      <c r="F3774">
        <v>99</v>
      </c>
    </row>
    <row r="3775" spans="1:6" x14ac:dyDescent="0.35">
      <c r="A3775">
        <v>1975</v>
      </c>
      <c r="B3775" s="1">
        <v>45682</v>
      </c>
      <c r="C3775" s="2">
        <v>0.20833333333333329</v>
      </c>
      <c r="D3775">
        <v>3</v>
      </c>
      <c r="E3775">
        <v>6.3</v>
      </c>
      <c r="F3775">
        <v>99</v>
      </c>
    </row>
    <row r="3776" spans="1:6" x14ac:dyDescent="0.35">
      <c r="A3776">
        <v>1975</v>
      </c>
      <c r="B3776" s="1">
        <v>45682</v>
      </c>
      <c r="C3776" s="2">
        <v>0.25</v>
      </c>
      <c r="D3776">
        <v>3</v>
      </c>
      <c r="E3776">
        <v>6.2</v>
      </c>
      <c r="F3776">
        <v>100</v>
      </c>
    </row>
    <row r="3777" spans="1:6" x14ac:dyDescent="0.35">
      <c r="A3777">
        <v>1975</v>
      </c>
      <c r="B3777" s="1">
        <v>45682</v>
      </c>
      <c r="C3777" s="2">
        <v>0.29166666666666669</v>
      </c>
      <c r="D3777">
        <v>3</v>
      </c>
      <c r="E3777">
        <v>5.9</v>
      </c>
      <c r="F3777">
        <v>98</v>
      </c>
    </row>
    <row r="3778" spans="1:6" x14ac:dyDescent="0.35">
      <c r="A3778">
        <v>1975</v>
      </c>
      <c r="B3778" s="1">
        <v>45682</v>
      </c>
      <c r="C3778" s="2">
        <v>0.33333333333333331</v>
      </c>
      <c r="D3778">
        <v>3</v>
      </c>
      <c r="E3778">
        <v>5.6</v>
      </c>
      <c r="F3778">
        <v>98</v>
      </c>
    </row>
    <row r="3779" spans="1:6" x14ac:dyDescent="0.35">
      <c r="A3779">
        <v>1975</v>
      </c>
      <c r="B3779" s="1">
        <v>45682</v>
      </c>
      <c r="C3779" s="2">
        <v>0.375</v>
      </c>
      <c r="D3779">
        <v>3</v>
      </c>
      <c r="E3779">
        <v>5.6</v>
      </c>
      <c r="F3779">
        <v>98</v>
      </c>
    </row>
    <row r="3780" spans="1:6" x14ac:dyDescent="0.35">
      <c r="A3780">
        <v>1975</v>
      </c>
      <c r="B3780" s="1">
        <v>45682</v>
      </c>
      <c r="C3780" s="2">
        <v>0.41666666666666669</v>
      </c>
      <c r="D3780">
        <v>3</v>
      </c>
      <c r="E3780">
        <v>5.9</v>
      </c>
      <c r="F3780">
        <v>95</v>
      </c>
    </row>
    <row r="3781" spans="1:6" x14ac:dyDescent="0.35">
      <c r="A3781">
        <v>1975</v>
      </c>
      <c r="B3781" s="1">
        <v>45682</v>
      </c>
      <c r="C3781" s="2">
        <v>0.45833333333333331</v>
      </c>
      <c r="D3781">
        <v>3</v>
      </c>
      <c r="E3781">
        <v>6</v>
      </c>
      <c r="F3781">
        <v>96</v>
      </c>
    </row>
    <row r="3782" spans="1:6" x14ac:dyDescent="0.35">
      <c r="A3782">
        <v>1975</v>
      </c>
      <c r="B3782" s="1">
        <v>45682</v>
      </c>
      <c r="C3782" s="2">
        <v>0.5</v>
      </c>
      <c r="D3782">
        <v>3</v>
      </c>
      <c r="E3782">
        <v>6.1</v>
      </c>
      <c r="F3782">
        <v>94</v>
      </c>
    </row>
    <row r="3783" spans="1:6" x14ac:dyDescent="0.35">
      <c r="A3783">
        <v>1975</v>
      </c>
      <c r="B3783" s="1">
        <v>45682</v>
      </c>
      <c r="C3783" s="2">
        <v>0.54166666666666663</v>
      </c>
      <c r="D3783">
        <v>3</v>
      </c>
      <c r="E3783">
        <v>5.8</v>
      </c>
      <c r="F3783">
        <v>89</v>
      </c>
    </row>
    <row r="3784" spans="1:6" x14ac:dyDescent="0.35">
      <c r="A3784">
        <v>1975</v>
      </c>
      <c r="B3784" s="1">
        <v>45682</v>
      </c>
      <c r="C3784" s="2">
        <v>0.58333333333333337</v>
      </c>
      <c r="D3784">
        <v>3</v>
      </c>
      <c r="E3784">
        <v>6.1</v>
      </c>
      <c r="F3784">
        <v>90</v>
      </c>
    </row>
    <row r="3785" spans="1:6" x14ac:dyDescent="0.35">
      <c r="A3785">
        <v>1975</v>
      </c>
      <c r="B3785" s="1">
        <v>45682</v>
      </c>
      <c r="C3785" s="2">
        <v>0.625</v>
      </c>
      <c r="D3785">
        <v>3</v>
      </c>
      <c r="E3785">
        <v>5.9</v>
      </c>
      <c r="F3785">
        <v>87</v>
      </c>
    </row>
    <row r="3786" spans="1:6" x14ac:dyDescent="0.35">
      <c r="A3786">
        <v>1975</v>
      </c>
      <c r="B3786" s="1">
        <v>45682</v>
      </c>
      <c r="C3786" s="2">
        <v>0.66666666666666663</v>
      </c>
      <c r="D3786">
        <v>3</v>
      </c>
      <c r="E3786">
        <v>4.8</v>
      </c>
      <c r="F3786">
        <v>94</v>
      </c>
    </row>
    <row r="3787" spans="1:6" x14ac:dyDescent="0.35">
      <c r="A3787">
        <v>1975</v>
      </c>
      <c r="B3787" s="1">
        <v>45682</v>
      </c>
      <c r="C3787" s="2">
        <v>0.70833333333333337</v>
      </c>
      <c r="D3787">
        <v>3</v>
      </c>
      <c r="E3787">
        <v>5.5</v>
      </c>
      <c r="F3787">
        <v>94</v>
      </c>
    </row>
    <row r="3788" spans="1:6" x14ac:dyDescent="0.35">
      <c r="A3788">
        <v>1975</v>
      </c>
      <c r="B3788" s="1">
        <v>45682</v>
      </c>
      <c r="C3788" s="2">
        <v>0.75</v>
      </c>
      <c r="D3788">
        <v>3</v>
      </c>
      <c r="E3788">
        <v>5.4</v>
      </c>
      <c r="F3788">
        <v>95</v>
      </c>
    </row>
    <row r="3789" spans="1:6" x14ac:dyDescent="0.35">
      <c r="A3789">
        <v>1975</v>
      </c>
      <c r="B3789" s="1">
        <v>45682</v>
      </c>
      <c r="C3789" s="2">
        <v>0.79166666666666663</v>
      </c>
      <c r="D3789">
        <v>3</v>
      </c>
      <c r="E3789">
        <v>5.5</v>
      </c>
      <c r="F3789">
        <v>95</v>
      </c>
    </row>
    <row r="3790" spans="1:6" x14ac:dyDescent="0.35">
      <c r="A3790">
        <v>1975</v>
      </c>
      <c r="B3790" s="1">
        <v>45682</v>
      </c>
      <c r="C3790" s="2">
        <v>0.83333333333333337</v>
      </c>
      <c r="D3790">
        <v>3</v>
      </c>
      <c r="E3790">
        <v>5.6</v>
      </c>
      <c r="F3790">
        <v>94</v>
      </c>
    </row>
    <row r="3791" spans="1:6" x14ac:dyDescent="0.35">
      <c r="A3791">
        <v>1975</v>
      </c>
      <c r="B3791" s="1">
        <v>45682</v>
      </c>
      <c r="C3791" s="2">
        <v>0.875</v>
      </c>
      <c r="D3791">
        <v>3</v>
      </c>
      <c r="E3791">
        <v>4.4000000000000004</v>
      </c>
      <c r="F3791">
        <v>94</v>
      </c>
    </row>
    <row r="3792" spans="1:6" x14ac:dyDescent="0.35">
      <c r="A3792">
        <v>1975</v>
      </c>
      <c r="B3792" s="1">
        <v>45682</v>
      </c>
      <c r="C3792" s="2">
        <v>0.91666666666666663</v>
      </c>
      <c r="D3792">
        <v>3</v>
      </c>
      <c r="E3792">
        <v>2.9</v>
      </c>
      <c r="F3792">
        <v>100</v>
      </c>
    </row>
    <row r="3793" spans="1:6" x14ac:dyDescent="0.35">
      <c r="A3793">
        <v>1975</v>
      </c>
      <c r="B3793" s="1">
        <v>45682</v>
      </c>
      <c r="C3793" s="2">
        <v>0.95833333333333337</v>
      </c>
      <c r="D3793">
        <v>3</v>
      </c>
      <c r="E3793">
        <v>2.4</v>
      </c>
      <c r="F3793">
        <v>100</v>
      </c>
    </row>
    <row r="3794" spans="1:6" x14ac:dyDescent="0.35">
      <c r="A3794">
        <v>1975</v>
      </c>
      <c r="B3794" s="1">
        <v>45683</v>
      </c>
      <c r="C3794" s="2">
        <v>0</v>
      </c>
      <c r="D3794">
        <v>3</v>
      </c>
      <c r="E3794">
        <v>2.2999999999999998</v>
      </c>
      <c r="F3794">
        <v>100</v>
      </c>
    </row>
    <row r="3795" spans="1:6" x14ac:dyDescent="0.35">
      <c r="A3795">
        <v>1975</v>
      </c>
      <c r="B3795" s="1">
        <v>45683</v>
      </c>
      <c r="C3795" s="2">
        <v>4.1666666666666657E-2</v>
      </c>
      <c r="D3795">
        <v>3</v>
      </c>
      <c r="E3795">
        <v>2.1</v>
      </c>
      <c r="F3795">
        <v>100</v>
      </c>
    </row>
    <row r="3796" spans="1:6" x14ac:dyDescent="0.35">
      <c r="A3796">
        <v>1975</v>
      </c>
      <c r="B3796" s="1">
        <v>45683</v>
      </c>
      <c r="C3796" s="2">
        <v>8.3333333333333329E-2</v>
      </c>
      <c r="D3796">
        <v>3</v>
      </c>
      <c r="E3796">
        <v>1.8</v>
      </c>
      <c r="F3796">
        <v>100</v>
      </c>
    </row>
    <row r="3797" spans="1:6" x14ac:dyDescent="0.35">
      <c r="A3797">
        <v>1975</v>
      </c>
      <c r="B3797" s="1">
        <v>45683</v>
      </c>
      <c r="C3797" s="2">
        <v>0.125</v>
      </c>
      <c r="D3797">
        <v>3</v>
      </c>
      <c r="E3797">
        <v>2.8</v>
      </c>
      <c r="F3797">
        <v>100</v>
      </c>
    </row>
    <row r="3798" spans="1:6" x14ac:dyDescent="0.35">
      <c r="A3798">
        <v>1975</v>
      </c>
      <c r="B3798" s="1">
        <v>45683</v>
      </c>
      <c r="C3798" s="2">
        <v>0.16666666666666671</v>
      </c>
      <c r="D3798">
        <v>3</v>
      </c>
      <c r="E3798">
        <v>2.7</v>
      </c>
      <c r="F3798">
        <v>99</v>
      </c>
    </row>
    <row r="3799" spans="1:6" x14ac:dyDescent="0.35">
      <c r="A3799">
        <v>1975</v>
      </c>
      <c r="B3799" s="1">
        <v>45683</v>
      </c>
      <c r="C3799" s="2">
        <v>0.20833333333333329</v>
      </c>
      <c r="D3799">
        <v>3</v>
      </c>
      <c r="E3799">
        <v>3.8</v>
      </c>
      <c r="F3799">
        <v>88</v>
      </c>
    </row>
    <row r="3800" spans="1:6" x14ac:dyDescent="0.35">
      <c r="A3800">
        <v>1975</v>
      </c>
      <c r="B3800" s="1">
        <v>45683</v>
      </c>
      <c r="C3800" s="2">
        <v>0.25</v>
      </c>
      <c r="D3800">
        <v>3</v>
      </c>
      <c r="E3800">
        <v>3</v>
      </c>
      <c r="F3800">
        <v>88</v>
      </c>
    </row>
    <row r="3801" spans="1:6" x14ac:dyDescent="0.35">
      <c r="A3801">
        <v>1975</v>
      </c>
      <c r="B3801" s="1">
        <v>45683</v>
      </c>
      <c r="C3801" s="2">
        <v>0.29166666666666669</v>
      </c>
      <c r="D3801">
        <v>3</v>
      </c>
      <c r="E3801">
        <v>2.7</v>
      </c>
      <c r="F3801">
        <v>92</v>
      </c>
    </row>
    <row r="3802" spans="1:6" x14ac:dyDescent="0.35">
      <c r="A3802">
        <v>1975</v>
      </c>
      <c r="B3802" s="1">
        <v>45683</v>
      </c>
      <c r="C3802" s="2">
        <v>0.33333333333333331</v>
      </c>
      <c r="D3802">
        <v>3</v>
      </c>
      <c r="E3802">
        <v>2.4</v>
      </c>
      <c r="F3802">
        <v>96</v>
      </c>
    </row>
    <row r="3803" spans="1:6" x14ac:dyDescent="0.35">
      <c r="A3803">
        <v>1975</v>
      </c>
      <c r="B3803" s="1">
        <v>45683</v>
      </c>
      <c r="C3803" s="2">
        <v>0.375</v>
      </c>
      <c r="D3803">
        <v>3</v>
      </c>
      <c r="E3803">
        <v>2.8</v>
      </c>
      <c r="F3803">
        <v>95</v>
      </c>
    </row>
    <row r="3804" spans="1:6" x14ac:dyDescent="0.35">
      <c r="A3804">
        <v>1975</v>
      </c>
      <c r="B3804" s="1">
        <v>45683</v>
      </c>
      <c r="C3804" s="2">
        <v>0.41666666666666669</v>
      </c>
      <c r="D3804">
        <v>3</v>
      </c>
      <c r="E3804">
        <v>2.8</v>
      </c>
      <c r="F3804">
        <v>92</v>
      </c>
    </row>
    <row r="3805" spans="1:6" x14ac:dyDescent="0.35">
      <c r="A3805">
        <v>1975</v>
      </c>
      <c r="B3805" s="1">
        <v>45683</v>
      </c>
      <c r="C3805" s="2">
        <v>0.45833333333333331</v>
      </c>
      <c r="D3805">
        <v>3</v>
      </c>
      <c r="E3805">
        <v>3.1</v>
      </c>
      <c r="F3805">
        <v>92</v>
      </c>
    </row>
    <row r="3806" spans="1:6" x14ac:dyDescent="0.35">
      <c r="A3806">
        <v>1975</v>
      </c>
      <c r="B3806" s="1">
        <v>45683</v>
      </c>
      <c r="C3806" s="2">
        <v>0.5</v>
      </c>
      <c r="D3806">
        <v>3</v>
      </c>
      <c r="E3806">
        <v>3.3</v>
      </c>
      <c r="F3806">
        <v>91</v>
      </c>
    </row>
    <row r="3807" spans="1:6" x14ac:dyDescent="0.35">
      <c r="A3807">
        <v>1975</v>
      </c>
      <c r="B3807" s="1">
        <v>45683</v>
      </c>
      <c r="C3807" s="2">
        <v>0.54166666666666663</v>
      </c>
      <c r="D3807">
        <v>3</v>
      </c>
      <c r="E3807">
        <v>3.5</v>
      </c>
      <c r="F3807">
        <v>92</v>
      </c>
    </row>
    <row r="3808" spans="1:6" x14ac:dyDescent="0.35">
      <c r="A3808">
        <v>1975</v>
      </c>
      <c r="B3808" s="1">
        <v>45683</v>
      </c>
      <c r="C3808" s="2">
        <v>0.58333333333333337</v>
      </c>
      <c r="D3808">
        <v>3</v>
      </c>
      <c r="E3808">
        <v>3.7</v>
      </c>
      <c r="F3808">
        <v>90</v>
      </c>
    </row>
    <row r="3809" spans="1:6" x14ac:dyDescent="0.35">
      <c r="A3809">
        <v>1975</v>
      </c>
      <c r="B3809" s="1">
        <v>45683</v>
      </c>
      <c r="C3809" s="2">
        <v>0.625</v>
      </c>
      <c r="D3809">
        <v>3</v>
      </c>
      <c r="E3809">
        <v>3.4</v>
      </c>
      <c r="F3809">
        <v>93</v>
      </c>
    </row>
    <row r="3810" spans="1:6" x14ac:dyDescent="0.35">
      <c r="A3810">
        <v>1975</v>
      </c>
      <c r="B3810" s="1">
        <v>45683</v>
      </c>
      <c r="C3810" s="2">
        <v>0.66666666666666663</v>
      </c>
      <c r="D3810">
        <v>3</v>
      </c>
      <c r="E3810">
        <v>2.9</v>
      </c>
      <c r="F3810">
        <v>95</v>
      </c>
    </row>
    <row r="3811" spans="1:6" x14ac:dyDescent="0.35">
      <c r="A3811">
        <v>1975</v>
      </c>
      <c r="B3811" s="1">
        <v>45683</v>
      </c>
      <c r="C3811" s="2">
        <v>0.70833333333333337</v>
      </c>
      <c r="D3811">
        <v>3</v>
      </c>
      <c r="E3811">
        <v>2.8</v>
      </c>
      <c r="F3811">
        <v>95</v>
      </c>
    </row>
    <row r="3812" spans="1:6" x14ac:dyDescent="0.35">
      <c r="A3812">
        <v>1975</v>
      </c>
      <c r="B3812" s="1">
        <v>45683</v>
      </c>
      <c r="C3812" s="2">
        <v>0.75</v>
      </c>
      <c r="D3812">
        <v>3</v>
      </c>
      <c r="E3812">
        <v>3.2</v>
      </c>
      <c r="F3812">
        <v>94</v>
      </c>
    </row>
    <row r="3813" spans="1:6" x14ac:dyDescent="0.35">
      <c r="A3813">
        <v>1975</v>
      </c>
      <c r="B3813" s="1">
        <v>45683</v>
      </c>
      <c r="C3813" s="2">
        <v>0.79166666666666663</v>
      </c>
      <c r="D3813">
        <v>3</v>
      </c>
      <c r="E3813">
        <v>3.2</v>
      </c>
      <c r="F3813">
        <v>96</v>
      </c>
    </row>
    <row r="3814" spans="1:6" x14ac:dyDescent="0.35">
      <c r="A3814">
        <v>1975</v>
      </c>
      <c r="B3814" s="1">
        <v>45683</v>
      </c>
      <c r="C3814" s="2">
        <v>0.83333333333333337</v>
      </c>
      <c r="D3814">
        <v>3</v>
      </c>
      <c r="E3814">
        <v>3.2</v>
      </c>
      <c r="F3814">
        <v>95</v>
      </c>
    </row>
    <row r="3815" spans="1:6" x14ac:dyDescent="0.35">
      <c r="A3815">
        <v>1975</v>
      </c>
      <c r="B3815" s="1">
        <v>45683</v>
      </c>
      <c r="C3815" s="2">
        <v>0.875</v>
      </c>
      <c r="D3815">
        <v>3</v>
      </c>
      <c r="E3815">
        <v>2.6</v>
      </c>
      <c r="F3815">
        <v>96</v>
      </c>
    </row>
    <row r="3816" spans="1:6" x14ac:dyDescent="0.35">
      <c r="A3816">
        <v>1975</v>
      </c>
      <c r="B3816" s="1">
        <v>45683</v>
      </c>
      <c r="C3816" s="2">
        <v>0.91666666666666663</v>
      </c>
      <c r="D3816">
        <v>3</v>
      </c>
      <c r="E3816">
        <v>2.6</v>
      </c>
      <c r="F3816">
        <v>95</v>
      </c>
    </row>
    <row r="3817" spans="1:6" x14ac:dyDescent="0.35">
      <c r="A3817">
        <v>1975</v>
      </c>
      <c r="B3817" s="1">
        <v>45683</v>
      </c>
      <c r="C3817" s="2">
        <v>0.95833333333333337</v>
      </c>
      <c r="D3817">
        <v>3</v>
      </c>
      <c r="E3817">
        <v>2.5</v>
      </c>
      <c r="F3817">
        <v>93</v>
      </c>
    </row>
    <row r="3818" spans="1:6" x14ac:dyDescent="0.35">
      <c r="A3818">
        <v>1975</v>
      </c>
      <c r="B3818" s="1">
        <v>45684</v>
      </c>
      <c r="C3818" s="2">
        <v>0</v>
      </c>
      <c r="D3818">
        <v>3</v>
      </c>
      <c r="E3818">
        <v>2.5</v>
      </c>
      <c r="F3818">
        <v>93</v>
      </c>
    </row>
    <row r="3819" spans="1:6" x14ac:dyDescent="0.35">
      <c r="A3819">
        <v>1975</v>
      </c>
      <c r="B3819" s="1">
        <v>45684</v>
      </c>
      <c r="C3819" s="2">
        <v>4.1666666666666657E-2</v>
      </c>
      <c r="D3819">
        <v>3</v>
      </c>
      <c r="E3819">
        <v>2.6</v>
      </c>
      <c r="F3819">
        <v>94</v>
      </c>
    </row>
    <row r="3820" spans="1:6" x14ac:dyDescent="0.35">
      <c r="A3820">
        <v>1975</v>
      </c>
      <c r="B3820" s="1">
        <v>45684</v>
      </c>
      <c r="C3820" s="2">
        <v>8.3333333333333329E-2</v>
      </c>
      <c r="D3820">
        <v>3</v>
      </c>
      <c r="E3820">
        <v>3</v>
      </c>
      <c r="F3820">
        <v>94</v>
      </c>
    </row>
    <row r="3821" spans="1:6" x14ac:dyDescent="0.35">
      <c r="A3821">
        <v>1975</v>
      </c>
      <c r="B3821" s="1">
        <v>45684</v>
      </c>
      <c r="C3821" s="2">
        <v>0.125</v>
      </c>
      <c r="D3821">
        <v>3</v>
      </c>
      <c r="E3821">
        <v>3.5</v>
      </c>
      <c r="F3821">
        <v>93</v>
      </c>
    </row>
    <row r="3822" spans="1:6" x14ac:dyDescent="0.35">
      <c r="A3822">
        <v>1975</v>
      </c>
      <c r="B3822" s="1">
        <v>45684</v>
      </c>
      <c r="C3822" s="2">
        <v>0.16666666666666671</v>
      </c>
      <c r="D3822">
        <v>3</v>
      </c>
      <c r="E3822">
        <v>3.7</v>
      </c>
      <c r="F3822">
        <v>92</v>
      </c>
    </row>
    <row r="3823" spans="1:6" x14ac:dyDescent="0.35">
      <c r="A3823">
        <v>1975</v>
      </c>
      <c r="B3823" s="1">
        <v>45684</v>
      </c>
      <c r="C3823" s="2">
        <v>0.20833333333333329</v>
      </c>
      <c r="D3823">
        <v>3</v>
      </c>
      <c r="E3823">
        <v>3.9</v>
      </c>
      <c r="F3823">
        <v>91</v>
      </c>
    </row>
    <row r="3824" spans="1:6" x14ac:dyDescent="0.35">
      <c r="A3824">
        <v>1975</v>
      </c>
      <c r="B3824" s="1">
        <v>45684</v>
      </c>
      <c r="C3824" s="2">
        <v>0.25</v>
      </c>
      <c r="D3824">
        <v>3</v>
      </c>
      <c r="E3824">
        <v>4.2</v>
      </c>
      <c r="F3824">
        <v>93</v>
      </c>
    </row>
    <row r="3825" spans="1:6" x14ac:dyDescent="0.35">
      <c r="A3825">
        <v>1975</v>
      </c>
      <c r="B3825" s="1">
        <v>45684</v>
      </c>
      <c r="C3825" s="2">
        <v>0.29166666666666669</v>
      </c>
      <c r="D3825">
        <v>3</v>
      </c>
      <c r="E3825">
        <v>4.5</v>
      </c>
      <c r="F3825">
        <v>98</v>
      </c>
    </row>
    <row r="3826" spans="1:6" x14ac:dyDescent="0.35">
      <c r="A3826">
        <v>1975</v>
      </c>
      <c r="B3826" s="1">
        <v>45684</v>
      </c>
      <c r="C3826" s="2">
        <v>0.33333333333333331</v>
      </c>
      <c r="D3826">
        <v>3</v>
      </c>
      <c r="E3826">
        <v>5.5</v>
      </c>
      <c r="F3826">
        <v>97</v>
      </c>
    </row>
    <row r="3827" spans="1:6" x14ac:dyDescent="0.35">
      <c r="A3827">
        <v>1975</v>
      </c>
      <c r="B3827" s="1">
        <v>45684</v>
      </c>
      <c r="C3827" s="2">
        <v>0.375</v>
      </c>
      <c r="D3827">
        <v>3</v>
      </c>
      <c r="E3827">
        <v>7.1</v>
      </c>
      <c r="F3827">
        <v>94</v>
      </c>
    </row>
    <row r="3828" spans="1:6" x14ac:dyDescent="0.35">
      <c r="A3828">
        <v>1975</v>
      </c>
      <c r="B3828" s="1">
        <v>45684</v>
      </c>
      <c r="C3828" s="2">
        <v>0.41666666666666669</v>
      </c>
      <c r="D3828">
        <v>3</v>
      </c>
      <c r="E3828">
        <v>9.1999999999999993</v>
      </c>
      <c r="F3828">
        <v>87</v>
      </c>
    </row>
    <row r="3829" spans="1:6" x14ac:dyDescent="0.35">
      <c r="A3829">
        <v>1975</v>
      </c>
      <c r="B3829" s="1">
        <v>45684</v>
      </c>
      <c r="C3829" s="2">
        <v>0.45833333333333331</v>
      </c>
      <c r="D3829">
        <v>3</v>
      </c>
      <c r="E3829">
        <v>9.9</v>
      </c>
      <c r="F3829">
        <v>79</v>
      </c>
    </row>
    <row r="3830" spans="1:6" x14ac:dyDescent="0.35">
      <c r="A3830">
        <v>1975</v>
      </c>
      <c r="B3830" s="1">
        <v>45684</v>
      </c>
      <c r="C3830" s="2">
        <v>0.5</v>
      </c>
      <c r="D3830">
        <v>3</v>
      </c>
      <c r="E3830">
        <v>10.1</v>
      </c>
      <c r="F3830">
        <v>76</v>
      </c>
    </row>
    <row r="3831" spans="1:6" x14ac:dyDescent="0.35">
      <c r="A3831">
        <v>1975</v>
      </c>
      <c r="B3831" s="1">
        <v>45684</v>
      </c>
      <c r="C3831" s="2">
        <v>0.54166666666666663</v>
      </c>
      <c r="D3831">
        <v>3</v>
      </c>
      <c r="E3831">
        <v>11</v>
      </c>
      <c r="F3831">
        <v>72</v>
      </c>
    </row>
    <row r="3832" spans="1:6" x14ac:dyDescent="0.35">
      <c r="A3832">
        <v>1975</v>
      </c>
      <c r="B3832" s="1">
        <v>45684</v>
      </c>
      <c r="C3832" s="2">
        <v>0.58333333333333337</v>
      </c>
      <c r="D3832">
        <v>3</v>
      </c>
      <c r="E3832">
        <v>10.7</v>
      </c>
      <c r="F3832">
        <v>72</v>
      </c>
    </row>
    <row r="3833" spans="1:6" x14ac:dyDescent="0.35">
      <c r="A3833">
        <v>1975</v>
      </c>
      <c r="B3833" s="1">
        <v>45684</v>
      </c>
      <c r="C3833" s="2">
        <v>0.625</v>
      </c>
      <c r="D3833">
        <v>3</v>
      </c>
      <c r="E3833">
        <v>9.9</v>
      </c>
      <c r="F3833">
        <v>76</v>
      </c>
    </row>
    <row r="3834" spans="1:6" x14ac:dyDescent="0.35">
      <c r="A3834">
        <v>1975</v>
      </c>
      <c r="B3834" s="1">
        <v>45684</v>
      </c>
      <c r="C3834" s="2">
        <v>0.66666666666666663</v>
      </c>
      <c r="D3834">
        <v>3</v>
      </c>
      <c r="E3834">
        <v>9.9</v>
      </c>
      <c r="F3834">
        <v>78</v>
      </c>
    </row>
    <row r="3835" spans="1:6" x14ac:dyDescent="0.35">
      <c r="A3835">
        <v>1975</v>
      </c>
      <c r="B3835" s="1">
        <v>45684</v>
      </c>
      <c r="C3835" s="2">
        <v>0.70833333333333337</v>
      </c>
      <c r="D3835">
        <v>3</v>
      </c>
      <c r="E3835">
        <v>8.5</v>
      </c>
      <c r="F3835">
        <v>87</v>
      </c>
    </row>
    <row r="3836" spans="1:6" x14ac:dyDescent="0.35">
      <c r="A3836">
        <v>1975</v>
      </c>
      <c r="B3836" s="1">
        <v>45684</v>
      </c>
      <c r="C3836" s="2">
        <v>0.75</v>
      </c>
      <c r="D3836">
        <v>3</v>
      </c>
      <c r="E3836">
        <v>8.3000000000000007</v>
      </c>
      <c r="F3836">
        <v>80</v>
      </c>
    </row>
    <row r="3837" spans="1:6" x14ac:dyDescent="0.35">
      <c r="A3837">
        <v>1975</v>
      </c>
      <c r="B3837" s="1">
        <v>45684</v>
      </c>
      <c r="C3837" s="2">
        <v>0.79166666666666663</v>
      </c>
      <c r="D3837">
        <v>3</v>
      </c>
      <c r="E3837">
        <v>7.1</v>
      </c>
      <c r="F3837">
        <v>87</v>
      </c>
    </row>
    <row r="3838" spans="1:6" x14ac:dyDescent="0.35">
      <c r="A3838">
        <v>1975</v>
      </c>
      <c r="B3838" s="1">
        <v>45684</v>
      </c>
      <c r="C3838" s="2">
        <v>0.83333333333333337</v>
      </c>
      <c r="D3838">
        <v>3</v>
      </c>
      <c r="E3838">
        <v>7.7</v>
      </c>
      <c r="F3838">
        <v>89</v>
      </c>
    </row>
    <row r="3839" spans="1:6" x14ac:dyDescent="0.35">
      <c r="A3839">
        <v>1975</v>
      </c>
      <c r="B3839" s="1">
        <v>45684</v>
      </c>
      <c r="C3839" s="2">
        <v>0.875</v>
      </c>
      <c r="D3839">
        <v>3</v>
      </c>
      <c r="E3839">
        <v>6.4</v>
      </c>
      <c r="F3839">
        <v>92</v>
      </c>
    </row>
    <row r="3840" spans="1:6" x14ac:dyDescent="0.35">
      <c r="A3840">
        <v>1975</v>
      </c>
      <c r="B3840" s="1">
        <v>45684</v>
      </c>
      <c r="C3840" s="2">
        <v>0.91666666666666663</v>
      </c>
      <c r="D3840">
        <v>3</v>
      </c>
      <c r="E3840">
        <v>6.4</v>
      </c>
      <c r="F3840">
        <v>87</v>
      </c>
    </row>
    <row r="3841" spans="1:6" x14ac:dyDescent="0.35">
      <c r="A3841">
        <v>1975</v>
      </c>
      <c r="B3841" s="1">
        <v>45684</v>
      </c>
      <c r="C3841" s="2">
        <v>0.95833333333333337</v>
      </c>
      <c r="D3841">
        <v>3</v>
      </c>
      <c r="E3841">
        <v>6.9</v>
      </c>
      <c r="F3841">
        <v>85</v>
      </c>
    </row>
    <row r="3842" spans="1:6" x14ac:dyDescent="0.35">
      <c r="A3842">
        <v>1975</v>
      </c>
      <c r="B3842" s="1">
        <v>45685</v>
      </c>
      <c r="C3842" s="2">
        <v>0</v>
      </c>
      <c r="D3842">
        <v>3</v>
      </c>
      <c r="E3842">
        <v>6.4</v>
      </c>
      <c r="F3842">
        <v>88</v>
      </c>
    </row>
    <row r="3843" spans="1:6" x14ac:dyDescent="0.35">
      <c r="A3843">
        <v>1975</v>
      </c>
      <c r="B3843" s="1">
        <v>45685</v>
      </c>
      <c r="C3843" s="2">
        <v>4.1666666666666657E-2</v>
      </c>
      <c r="D3843">
        <v>3</v>
      </c>
      <c r="E3843">
        <v>6.8</v>
      </c>
      <c r="F3843">
        <v>87</v>
      </c>
    </row>
    <row r="3844" spans="1:6" x14ac:dyDescent="0.35">
      <c r="A3844">
        <v>1975</v>
      </c>
      <c r="B3844" s="1">
        <v>45685</v>
      </c>
      <c r="C3844" s="2">
        <v>8.3333333333333329E-2</v>
      </c>
      <c r="D3844">
        <v>3</v>
      </c>
      <c r="E3844">
        <v>7.1</v>
      </c>
      <c r="F3844">
        <v>85</v>
      </c>
    </row>
    <row r="3845" spans="1:6" x14ac:dyDescent="0.35">
      <c r="A3845">
        <v>1975</v>
      </c>
      <c r="B3845" s="1">
        <v>45685</v>
      </c>
      <c r="C3845" s="2">
        <v>0.125</v>
      </c>
      <c r="D3845">
        <v>3</v>
      </c>
      <c r="E3845">
        <v>5.2</v>
      </c>
      <c r="F3845">
        <v>87</v>
      </c>
    </row>
    <row r="3846" spans="1:6" x14ac:dyDescent="0.35">
      <c r="A3846">
        <v>1975</v>
      </c>
      <c r="B3846" s="1">
        <v>45685</v>
      </c>
      <c r="C3846" s="2">
        <v>0.16666666666666671</v>
      </c>
      <c r="D3846">
        <v>3</v>
      </c>
      <c r="E3846">
        <v>6.4</v>
      </c>
      <c r="F3846">
        <v>86</v>
      </c>
    </row>
    <row r="3847" spans="1:6" x14ac:dyDescent="0.35">
      <c r="A3847">
        <v>1975</v>
      </c>
      <c r="B3847" s="1">
        <v>45685</v>
      </c>
      <c r="C3847" s="2">
        <v>0.20833333333333329</v>
      </c>
      <c r="D3847">
        <v>3</v>
      </c>
      <c r="E3847">
        <v>5.3</v>
      </c>
      <c r="F3847">
        <v>88</v>
      </c>
    </row>
    <row r="3848" spans="1:6" x14ac:dyDescent="0.35">
      <c r="A3848">
        <v>1975</v>
      </c>
      <c r="B3848" s="1">
        <v>45685</v>
      </c>
      <c r="C3848" s="2">
        <v>0.25</v>
      </c>
      <c r="D3848">
        <v>3</v>
      </c>
      <c r="E3848">
        <v>5.3</v>
      </c>
      <c r="F3848">
        <v>85</v>
      </c>
    </row>
    <row r="3849" spans="1:6" x14ac:dyDescent="0.35">
      <c r="A3849">
        <v>1975</v>
      </c>
      <c r="B3849" s="1">
        <v>45685</v>
      </c>
      <c r="C3849" s="2">
        <v>0.29166666666666669</v>
      </c>
      <c r="D3849">
        <v>3</v>
      </c>
      <c r="E3849">
        <v>4.8</v>
      </c>
      <c r="F3849">
        <v>88</v>
      </c>
    </row>
    <row r="3850" spans="1:6" x14ac:dyDescent="0.35">
      <c r="A3850">
        <v>1975</v>
      </c>
      <c r="B3850" s="1">
        <v>45685</v>
      </c>
      <c r="C3850" s="2">
        <v>0.33333333333333331</v>
      </c>
      <c r="D3850">
        <v>3</v>
      </c>
      <c r="E3850">
        <v>5.4</v>
      </c>
      <c r="F3850">
        <v>86</v>
      </c>
    </row>
    <row r="3851" spans="1:6" x14ac:dyDescent="0.35">
      <c r="A3851">
        <v>1975</v>
      </c>
      <c r="B3851" s="1">
        <v>45685</v>
      </c>
      <c r="C3851" s="2">
        <v>0.375</v>
      </c>
      <c r="D3851">
        <v>3</v>
      </c>
      <c r="E3851">
        <v>6.1</v>
      </c>
      <c r="F3851">
        <v>83</v>
      </c>
    </row>
    <row r="3852" spans="1:6" x14ac:dyDescent="0.35">
      <c r="A3852">
        <v>1975</v>
      </c>
      <c r="B3852" s="1">
        <v>45685</v>
      </c>
      <c r="C3852" s="2">
        <v>0.41666666666666669</v>
      </c>
      <c r="D3852">
        <v>3</v>
      </c>
      <c r="E3852">
        <v>6.4</v>
      </c>
      <c r="F3852">
        <v>83</v>
      </c>
    </row>
    <row r="3853" spans="1:6" x14ac:dyDescent="0.35">
      <c r="A3853">
        <v>1975</v>
      </c>
      <c r="B3853" s="1">
        <v>45685</v>
      </c>
      <c r="C3853" s="2">
        <v>0.45833333333333331</v>
      </c>
      <c r="D3853">
        <v>3</v>
      </c>
      <c r="E3853">
        <v>7</v>
      </c>
      <c r="F3853">
        <v>82</v>
      </c>
    </row>
    <row r="3854" spans="1:6" x14ac:dyDescent="0.35">
      <c r="A3854">
        <v>1975</v>
      </c>
      <c r="B3854" s="1">
        <v>45685</v>
      </c>
      <c r="C3854" s="2">
        <v>0.5</v>
      </c>
      <c r="D3854">
        <v>3</v>
      </c>
      <c r="E3854">
        <v>8</v>
      </c>
      <c r="F3854">
        <v>79</v>
      </c>
    </row>
    <row r="3855" spans="1:6" x14ac:dyDescent="0.35">
      <c r="A3855">
        <v>1975</v>
      </c>
      <c r="B3855" s="1">
        <v>45685</v>
      </c>
      <c r="C3855" s="2">
        <v>0.54166666666666663</v>
      </c>
      <c r="D3855">
        <v>3</v>
      </c>
      <c r="E3855">
        <v>8.6999999999999993</v>
      </c>
      <c r="F3855">
        <v>79</v>
      </c>
    </row>
    <row r="3856" spans="1:6" x14ac:dyDescent="0.35">
      <c r="A3856">
        <v>1975</v>
      </c>
      <c r="B3856" s="1">
        <v>45685</v>
      </c>
      <c r="C3856" s="2">
        <v>0.58333333333333337</v>
      </c>
      <c r="D3856">
        <v>3</v>
      </c>
      <c r="E3856">
        <v>8.8000000000000007</v>
      </c>
      <c r="F3856">
        <v>77</v>
      </c>
    </row>
    <row r="3857" spans="1:6" x14ac:dyDescent="0.35">
      <c r="A3857">
        <v>1975</v>
      </c>
      <c r="B3857" s="1">
        <v>45685</v>
      </c>
      <c r="C3857" s="2">
        <v>0.625</v>
      </c>
      <c r="D3857">
        <v>3</v>
      </c>
      <c r="E3857">
        <v>9</v>
      </c>
      <c r="F3857">
        <v>74</v>
      </c>
    </row>
    <row r="3858" spans="1:6" x14ac:dyDescent="0.35">
      <c r="A3858">
        <v>1975</v>
      </c>
      <c r="B3858" s="1">
        <v>45685</v>
      </c>
      <c r="C3858" s="2">
        <v>0.66666666666666663</v>
      </c>
      <c r="D3858">
        <v>3</v>
      </c>
      <c r="E3858">
        <v>8.1</v>
      </c>
      <c r="F3858">
        <v>79</v>
      </c>
    </row>
    <row r="3859" spans="1:6" x14ac:dyDescent="0.35">
      <c r="A3859">
        <v>1975</v>
      </c>
      <c r="B3859" s="1">
        <v>45685</v>
      </c>
      <c r="C3859" s="2">
        <v>0.70833333333333337</v>
      </c>
      <c r="D3859">
        <v>3</v>
      </c>
      <c r="E3859">
        <v>6.3</v>
      </c>
      <c r="F3859">
        <v>85</v>
      </c>
    </row>
    <row r="3860" spans="1:6" x14ac:dyDescent="0.35">
      <c r="A3860">
        <v>1975</v>
      </c>
      <c r="B3860" s="1">
        <v>45685</v>
      </c>
      <c r="C3860" s="2">
        <v>0.75</v>
      </c>
      <c r="D3860">
        <v>3</v>
      </c>
      <c r="E3860">
        <v>5.4</v>
      </c>
      <c r="F3860">
        <v>88</v>
      </c>
    </row>
    <row r="3861" spans="1:6" x14ac:dyDescent="0.35">
      <c r="A3861">
        <v>1975</v>
      </c>
      <c r="B3861" s="1">
        <v>45685</v>
      </c>
      <c r="C3861" s="2">
        <v>0.79166666666666663</v>
      </c>
      <c r="D3861">
        <v>3</v>
      </c>
      <c r="E3861">
        <v>4.5999999999999996</v>
      </c>
      <c r="F3861">
        <v>91</v>
      </c>
    </row>
    <row r="3862" spans="1:6" x14ac:dyDescent="0.35">
      <c r="A3862">
        <v>1975</v>
      </c>
      <c r="B3862" s="1">
        <v>45685</v>
      </c>
      <c r="C3862" s="2">
        <v>0.83333333333333337</v>
      </c>
      <c r="D3862">
        <v>3</v>
      </c>
      <c r="E3862">
        <v>4.8</v>
      </c>
      <c r="F3862">
        <v>92</v>
      </c>
    </row>
    <row r="3863" spans="1:6" x14ac:dyDescent="0.35">
      <c r="A3863">
        <v>1975</v>
      </c>
      <c r="B3863" s="1">
        <v>45685</v>
      </c>
      <c r="C3863" s="2">
        <v>0.875</v>
      </c>
      <c r="D3863">
        <v>3</v>
      </c>
      <c r="E3863">
        <v>5.0999999999999996</v>
      </c>
      <c r="F3863">
        <v>90</v>
      </c>
    </row>
    <row r="3864" spans="1:6" x14ac:dyDescent="0.35">
      <c r="A3864">
        <v>1975</v>
      </c>
      <c r="B3864" s="1">
        <v>45685</v>
      </c>
      <c r="C3864" s="2">
        <v>0.91666666666666663</v>
      </c>
      <c r="D3864">
        <v>3</v>
      </c>
      <c r="E3864">
        <v>3.9</v>
      </c>
      <c r="F3864">
        <v>94</v>
      </c>
    </row>
    <row r="3865" spans="1:6" x14ac:dyDescent="0.35">
      <c r="A3865">
        <v>1975</v>
      </c>
      <c r="B3865" s="1">
        <v>45685</v>
      </c>
      <c r="C3865" s="2">
        <v>0.95833333333333337</v>
      </c>
      <c r="D3865">
        <v>3</v>
      </c>
      <c r="E3865">
        <v>3.6</v>
      </c>
      <c r="F3865">
        <v>93</v>
      </c>
    </row>
    <row r="3866" spans="1:6" x14ac:dyDescent="0.35">
      <c r="A3866">
        <v>1975</v>
      </c>
      <c r="B3866" s="1">
        <v>45686</v>
      </c>
      <c r="C3866" s="2">
        <v>0</v>
      </c>
      <c r="D3866">
        <v>3</v>
      </c>
      <c r="E3866">
        <v>2.8</v>
      </c>
      <c r="F3866">
        <v>93</v>
      </c>
    </row>
    <row r="3867" spans="1:6" x14ac:dyDescent="0.35">
      <c r="A3867">
        <v>1975</v>
      </c>
      <c r="B3867" s="1">
        <v>45686</v>
      </c>
      <c r="C3867" s="2">
        <v>4.1666666666666657E-2</v>
      </c>
      <c r="D3867">
        <v>3</v>
      </c>
      <c r="E3867">
        <v>2</v>
      </c>
      <c r="F3867">
        <v>97</v>
      </c>
    </row>
    <row r="3868" spans="1:6" x14ac:dyDescent="0.35">
      <c r="A3868">
        <v>1975</v>
      </c>
      <c r="B3868" s="1">
        <v>45686</v>
      </c>
      <c r="C3868" s="2">
        <v>8.3333333333333329E-2</v>
      </c>
      <c r="D3868">
        <v>3</v>
      </c>
      <c r="E3868">
        <v>4</v>
      </c>
      <c r="F3868">
        <v>91</v>
      </c>
    </row>
    <row r="3869" spans="1:6" x14ac:dyDescent="0.35">
      <c r="A3869">
        <v>1975</v>
      </c>
      <c r="B3869" s="1">
        <v>45686</v>
      </c>
      <c r="C3869" s="2">
        <v>0.125</v>
      </c>
      <c r="D3869">
        <v>3</v>
      </c>
      <c r="E3869">
        <v>4.5</v>
      </c>
      <c r="F3869">
        <v>89</v>
      </c>
    </row>
    <row r="3870" spans="1:6" x14ac:dyDescent="0.35">
      <c r="A3870">
        <v>1975</v>
      </c>
      <c r="B3870" s="1">
        <v>45686</v>
      </c>
      <c r="C3870" s="2">
        <v>0.16666666666666671</v>
      </c>
      <c r="D3870">
        <v>3</v>
      </c>
      <c r="E3870">
        <v>5.4</v>
      </c>
      <c r="F3870">
        <v>87</v>
      </c>
    </row>
    <row r="3871" spans="1:6" x14ac:dyDescent="0.35">
      <c r="A3871">
        <v>1975</v>
      </c>
      <c r="B3871" s="1">
        <v>45686</v>
      </c>
      <c r="C3871" s="2">
        <v>0.20833333333333329</v>
      </c>
      <c r="D3871">
        <v>3</v>
      </c>
      <c r="E3871">
        <v>4.5</v>
      </c>
      <c r="F3871">
        <v>91</v>
      </c>
    </row>
    <row r="3872" spans="1:6" x14ac:dyDescent="0.35">
      <c r="A3872">
        <v>1975</v>
      </c>
      <c r="B3872" s="1">
        <v>45686</v>
      </c>
      <c r="C3872" s="2">
        <v>0.25</v>
      </c>
      <c r="D3872">
        <v>3</v>
      </c>
      <c r="E3872">
        <v>5.2</v>
      </c>
      <c r="F3872">
        <v>87</v>
      </c>
    </row>
    <row r="3873" spans="1:6" x14ac:dyDescent="0.35">
      <c r="A3873">
        <v>1975</v>
      </c>
      <c r="B3873" s="1">
        <v>45686</v>
      </c>
      <c r="C3873" s="2">
        <v>0.29166666666666669</v>
      </c>
      <c r="D3873">
        <v>3</v>
      </c>
      <c r="E3873">
        <v>5.4</v>
      </c>
      <c r="F3873">
        <v>89</v>
      </c>
    </row>
    <row r="3874" spans="1:6" x14ac:dyDescent="0.35">
      <c r="A3874">
        <v>1975</v>
      </c>
      <c r="B3874" s="1">
        <v>45686</v>
      </c>
      <c r="C3874" s="2">
        <v>0.33333333333333331</v>
      </c>
      <c r="D3874">
        <v>3</v>
      </c>
      <c r="E3874">
        <v>5.4</v>
      </c>
      <c r="F3874">
        <v>94</v>
      </c>
    </row>
    <row r="3875" spans="1:6" x14ac:dyDescent="0.35">
      <c r="A3875">
        <v>1975</v>
      </c>
      <c r="B3875" s="1">
        <v>45686</v>
      </c>
      <c r="C3875" s="2">
        <v>0.375</v>
      </c>
      <c r="D3875">
        <v>3</v>
      </c>
      <c r="E3875">
        <v>6.1</v>
      </c>
      <c r="F3875">
        <v>98</v>
      </c>
    </row>
    <row r="3876" spans="1:6" x14ac:dyDescent="0.35">
      <c r="A3876">
        <v>1975</v>
      </c>
      <c r="B3876" s="1">
        <v>45686</v>
      </c>
      <c r="C3876" s="2">
        <v>0.41666666666666669</v>
      </c>
      <c r="D3876">
        <v>3</v>
      </c>
      <c r="E3876">
        <v>6.9</v>
      </c>
      <c r="F3876">
        <v>98</v>
      </c>
    </row>
    <row r="3877" spans="1:6" x14ac:dyDescent="0.35">
      <c r="A3877">
        <v>1975</v>
      </c>
      <c r="B3877" s="1">
        <v>45686</v>
      </c>
      <c r="C3877" s="2">
        <v>0.45833333333333331</v>
      </c>
      <c r="D3877">
        <v>3</v>
      </c>
      <c r="E3877">
        <v>7.3</v>
      </c>
      <c r="F3877">
        <v>96</v>
      </c>
    </row>
    <row r="3878" spans="1:6" x14ac:dyDescent="0.35">
      <c r="A3878">
        <v>1975</v>
      </c>
      <c r="B3878" s="1">
        <v>45686</v>
      </c>
      <c r="C3878" s="2">
        <v>0.5</v>
      </c>
      <c r="D3878">
        <v>3</v>
      </c>
      <c r="E3878">
        <v>7</v>
      </c>
      <c r="F3878">
        <v>98</v>
      </c>
    </row>
    <row r="3879" spans="1:6" x14ac:dyDescent="0.35">
      <c r="A3879">
        <v>1975</v>
      </c>
      <c r="B3879" s="1">
        <v>45686</v>
      </c>
      <c r="C3879" s="2">
        <v>0.54166666666666663</v>
      </c>
      <c r="D3879">
        <v>3</v>
      </c>
      <c r="E3879">
        <v>6.5</v>
      </c>
      <c r="F3879">
        <v>93</v>
      </c>
    </row>
    <row r="3880" spans="1:6" x14ac:dyDescent="0.35">
      <c r="A3880">
        <v>1975</v>
      </c>
      <c r="B3880" s="1">
        <v>45686</v>
      </c>
      <c r="C3880" s="2">
        <v>0.58333333333333337</v>
      </c>
      <c r="D3880">
        <v>3</v>
      </c>
      <c r="E3880">
        <v>6.8</v>
      </c>
      <c r="F3880">
        <v>87</v>
      </c>
    </row>
    <row r="3881" spans="1:6" x14ac:dyDescent="0.35">
      <c r="A3881">
        <v>1975</v>
      </c>
      <c r="B3881" s="1">
        <v>45686</v>
      </c>
      <c r="C3881" s="2">
        <v>0.625</v>
      </c>
      <c r="D3881">
        <v>3</v>
      </c>
      <c r="E3881">
        <v>7</v>
      </c>
      <c r="F3881">
        <v>82</v>
      </c>
    </row>
    <row r="3882" spans="1:6" x14ac:dyDescent="0.35">
      <c r="A3882">
        <v>1975</v>
      </c>
      <c r="B3882" s="1">
        <v>45686</v>
      </c>
      <c r="C3882" s="2">
        <v>0.66666666666666663</v>
      </c>
      <c r="D3882">
        <v>3</v>
      </c>
      <c r="E3882">
        <v>7</v>
      </c>
      <c r="F3882">
        <v>79</v>
      </c>
    </row>
    <row r="3883" spans="1:6" x14ac:dyDescent="0.35">
      <c r="A3883">
        <v>1975</v>
      </c>
      <c r="B3883" s="1">
        <v>45686</v>
      </c>
      <c r="C3883" s="2">
        <v>0.70833333333333337</v>
      </c>
      <c r="D3883">
        <v>3</v>
      </c>
      <c r="E3883">
        <v>6.9</v>
      </c>
      <c r="F3883">
        <v>77</v>
      </c>
    </row>
    <row r="3884" spans="1:6" x14ac:dyDescent="0.35">
      <c r="A3884">
        <v>1975</v>
      </c>
      <c r="B3884" s="1">
        <v>45686</v>
      </c>
      <c r="C3884" s="2">
        <v>0.75</v>
      </c>
      <c r="D3884">
        <v>3</v>
      </c>
      <c r="E3884">
        <v>6.1</v>
      </c>
      <c r="F3884">
        <v>88</v>
      </c>
    </row>
    <row r="3885" spans="1:6" x14ac:dyDescent="0.35">
      <c r="A3885">
        <v>1975</v>
      </c>
      <c r="B3885" s="1">
        <v>45686</v>
      </c>
      <c r="C3885" s="2">
        <v>0.79166666666666663</v>
      </c>
      <c r="D3885">
        <v>3</v>
      </c>
      <c r="E3885">
        <v>5.7</v>
      </c>
      <c r="F3885">
        <v>92</v>
      </c>
    </row>
    <row r="3886" spans="1:6" x14ac:dyDescent="0.35">
      <c r="A3886">
        <v>1975</v>
      </c>
      <c r="B3886" s="1">
        <v>45686</v>
      </c>
      <c r="C3886" s="2">
        <v>0.83333333333333337</v>
      </c>
      <c r="D3886">
        <v>3</v>
      </c>
      <c r="E3886">
        <v>5.7</v>
      </c>
      <c r="F3886">
        <v>92</v>
      </c>
    </row>
    <row r="3887" spans="1:6" x14ac:dyDescent="0.35">
      <c r="A3887">
        <v>1975</v>
      </c>
      <c r="B3887" s="1">
        <v>45686</v>
      </c>
      <c r="C3887" s="2">
        <v>0.875</v>
      </c>
      <c r="D3887">
        <v>3</v>
      </c>
      <c r="E3887">
        <v>5.4</v>
      </c>
      <c r="F3887">
        <v>92</v>
      </c>
    </row>
    <row r="3888" spans="1:6" x14ac:dyDescent="0.35">
      <c r="A3888">
        <v>1975</v>
      </c>
      <c r="B3888" s="1">
        <v>45686</v>
      </c>
      <c r="C3888" s="2">
        <v>0.91666666666666663</v>
      </c>
      <c r="D3888">
        <v>3</v>
      </c>
      <c r="E3888">
        <v>5.6</v>
      </c>
      <c r="F3888">
        <v>88</v>
      </c>
    </row>
    <row r="3889" spans="1:6" x14ac:dyDescent="0.35">
      <c r="A3889">
        <v>1975</v>
      </c>
      <c r="B3889" s="1">
        <v>45686</v>
      </c>
      <c r="C3889" s="2">
        <v>0.95833333333333337</v>
      </c>
      <c r="D3889">
        <v>3</v>
      </c>
      <c r="E3889">
        <v>3.3</v>
      </c>
      <c r="F3889">
        <v>91</v>
      </c>
    </row>
    <row r="3890" spans="1:6" x14ac:dyDescent="0.35">
      <c r="A3890">
        <v>1975</v>
      </c>
      <c r="B3890" s="1">
        <v>45687</v>
      </c>
      <c r="C3890" s="2">
        <v>0</v>
      </c>
      <c r="D3890">
        <v>3</v>
      </c>
      <c r="E3890">
        <v>3.8</v>
      </c>
      <c r="F3890">
        <v>93</v>
      </c>
    </row>
    <row r="3891" spans="1:6" x14ac:dyDescent="0.35">
      <c r="A3891">
        <v>1975</v>
      </c>
      <c r="B3891" s="1">
        <v>45687</v>
      </c>
      <c r="C3891" s="2">
        <v>4.1666666666666657E-2</v>
      </c>
      <c r="D3891">
        <v>3</v>
      </c>
      <c r="E3891">
        <v>4.2</v>
      </c>
      <c r="F3891">
        <v>92</v>
      </c>
    </row>
    <row r="3892" spans="1:6" x14ac:dyDescent="0.35">
      <c r="A3892">
        <v>1975</v>
      </c>
      <c r="B3892" s="1">
        <v>45687</v>
      </c>
      <c r="C3892" s="2">
        <v>8.3333333333333329E-2</v>
      </c>
      <c r="D3892">
        <v>3</v>
      </c>
      <c r="E3892">
        <v>4.2</v>
      </c>
      <c r="F3892">
        <v>92</v>
      </c>
    </row>
    <row r="3893" spans="1:6" x14ac:dyDescent="0.35">
      <c r="A3893">
        <v>1975</v>
      </c>
      <c r="B3893" s="1">
        <v>45687</v>
      </c>
      <c r="C3893" s="2">
        <v>0.125</v>
      </c>
      <c r="D3893">
        <v>3</v>
      </c>
      <c r="E3893">
        <v>3.6</v>
      </c>
      <c r="F3893">
        <v>95</v>
      </c>
    </row>
    <row r="3894" spans="1:6" x14ac:dyDescent="0.35">
      <c r="A3894">
        <v>1975</v>
      </c>
      <c r="B3894" s="1">
        <v>45687</v>
      </c>
      <c r="C3894" s="2">
        <v>0.16666666666666671</v>
      </c>
      <c r="D3894">
        <v>3</v>
      </c>
      <c r="E3894">
        <v>3.3</v>
      </c>
      <c r="F3894">
        <v>96</v>
      </c>
    </row>
    <row r="3895" spans="1:6" x14ac:dyDescent="0.35">
      <c r="A3895">
        <v>1975</v>
      </c>
      <c r="B3895" s="1">
        <v>45687</v>
      </c>
      <c r="C3895" s="2">
        <v>0.20833333333333329</v>
      </c>
      <c r="D3895">
        <v>3</v>
      </c>
      <c r="E3895">
        <v>3.8</v>
      </c>
      <c r="F3895">
        <v>97</v>
      </c>
    </row>
    <row r="3896" spans="1:6" x14ac:dyDescent="0.35">
      <c r="A3896">
        <v>1975</v>
      </c>
      <c r="B3896" s="1">
        <v>45687</v>
      </c>
      <c r="C3896" s="2">
        <v>0.25</v>
      </c>
      <c r="D3896">
        <v>3</v>
      </c>
      <c r="E3896">
        <v>4</v>
      </c>
      <c r="F3896">
        <v>96</v>
      </c>
    </row>
    <row r="3897" spans="1:6" x14ac:dyDescent="0.35">
      <c r="A3897">
        <v>1975</v>
      </c>
      <c r="B3897" s="1">
        <v>45687</v>
      </c>
      <c r="C3897" s="2">
        <v>0.29166666666666669</v>
      </c>
      <c r="D3897">
        <v>3</v>
      </c>
      <c r="E3897">
        <v>5</v>
      </c>
      <c r="F3897">
        <v>93</v>
      </c>
    </row>
    <row r="3898" spans="1:6" x14ac:dyDescent="0.35">
      <c r="A3898">
        <v>1975</v>
      </c>
      <c r="B3898" s="1">
        <v>45687</v>
      </c>
      <c r="C3898" s="2">
        <v>0.33333333333333331</v>
      </c>
      <c r="D3898">
        <v>3</v>
      </c>
      <c r="E3898">
        <v>5.3</v>
      </c>
      <c r="F3898">
        <v>93</v>
      </c>
    </row>
    <row r="3899" spans="1:6" x14ac:dyDescent="0.35">
      <c r="A3899">
        <v>1975</v>
      </c>
      <c r="B3899" s="1">
        <v>45687</v>
      </c>
      <c r="C3899" s="2">
        <v>0.375</v>
      </c>
      <c r="D3899">
        <v>3</v>
      </c>
      <c r="E3899">
        <v>5.6</v>
      </c>
      <c r="F3899">
        <v>92</v>
      </c>
    </row>
    <row r="3900" spans="1:6" x14ac:dyDescent="0.35">
      <c r="A3900">
        <v>1975</v>
      </c>
      <c r="B3900" s="1">
        <v>45687</v>
      </c>
      <c r="C3900" s="2">
        <v>0.41666666666666669</v>
      </c>
      <c r="D3900">
        <v>3</v>
      </c>
      <c r="E3900">
        <v>6.3</v>
      </c>
      <c r="F3900">
        <v>90</v>
      </c>
    </row>
    <row r="3901" spans="1:6" x14ac:dyDescent="0.35">
      <c r="A3901">
        <v>1975</v>
      </c>
      <c r="B3901" s="1">
        <v>45687</v>
      </c>
      <c r="C3901" s="2">
        <v>0.45833333333333331</v>
      </c>
      <c r="D3901">
        <v>3</v>
      </c>
      <c r="E3901">
        <v>6.1</v>
      </c>
      <c r="F3901">
        <v>93</v>
      </c>
    </row>
    <row r="3902" spans="1:6" x14ac:dyDescent="0.35">
      <c r="A3902">
        <v>1975</v>
      </c>
      <c r="B3902" s="1">
        <v>45687</v>
      </c>
      <c r="C3902" s="2">
        <v>0.5</v>
      </c>
      <c r="D3902">
        <v>3</v>
      </c>
      <c r="E3902">
        <v>6.6</v>
      </c>
      <c r="F3902">
        <v>88</v>
      </c>
    </row>
    <row r="3903" spans="1:6" x14ac:dyDescent="0.35">
      <c r="A3903">
        <v>1975</v>
      </c>
      <c r="B3903" s="1">
        <v>45687</v>
      </c>
      <c r="C3903" s="2">
        <v>0.54166666666666663</v>
      </c>
      <c r="D3903">
        <v>3</v>
      </c>
      <c r="E3903">
        <v>6.6</v>
      </c>
      <c r="F3903">
        <v>88</v>
      </c>
    </row>
    <row r="3904" spans="1:6" x14ac:dyDescent="0.35">
      <c r="A3904">
        <v>1975</v>
      </c>
      <c r="B3904" s="1">
        <v>45687</v>
      </c>
      <c r="C3904" s="2">
        <v>0.58333333333333337</v>
      </c>
      <c r="D3904">
        <v>3</v>
      </c>
      <c r="E3904">
        <v>6.8</v>
      </c>
      <c r="F3904">
        <v>87</v>
      </c>
    </row>
    <row r="3905" spans="1:6" x14ac:dyDescent="0.35">
      <c r="A3905">
        <v>1975</v>
      </c>
      <c r="B3905" s="1">
        <v>45687</v>
      </c>
      <c r="C3905" s="2">
        <v>0.625</v>
      </c>
      <c r="D3905">
        <v>3</v>
      </c>
      <c r="E3905">
        <v>6.7</v>
      </c>
      <c r="F3905">
        <v>85</v>
      </c>
    </row>
    <row r="3906" spans="1:6" x14ac:dyDescent="0.35">
      <c r="A3906">
        <v>1975</v>
      </c>
      <c r="B3906" s="1">
        <v>45687</v>
      </c>
      <c r="C3906" s="2">
        <v>0.66666666666666663</v>
      </c>
      <c r="D3906">
        <v>3</v>
      </c>
      <c r="E3906">
        <v>6.4</v>
      </c>
      <c r="F3906">
        <v>86</v>
      </c>
    </row>
    <row r="3907" spans="1:6" x14ac:dyDescent="0.35">
      <c r="A3907">
        <v>1975</v>
      </c>
      <c r="B3907" s="1">
        <v>45687</v>
      </c>
      <c r="C3907" s="2">
        <v>0.70833333333333337</v>
      </c>
      <c r="D3907">
        <v>3</v>
      </c>
      <c r="E3907">
        <v>6.1</v>
      </c>
      <c r="F3907">
        <v>87</v>
      </c>
    </row>
    <row r="3908" spans="1:6" x14ac:dyDescent="0.35">
      <c r="A3908">
        <v>1975</v>
      </c>
      <c r="B3908" s="1">
        <v>45687</v>
      </c>
      <c r="C3908" s="2">
        <v>0.75</v>
      </c>
      <c r="D3908">
        <v>3</v>
      </c>
      <c r="E3908">
        <v>5.7</v>
      </c>
      <c r="F3908">
        <v>89</v>
      </c>
    </row>
    <row r="3909" spans="1:6" x14ac:dyDescent="0.35">
      <c r="A3909">
        <v>1975</v>
      </c>
      <c r="B3909" s="1">
        <v>45687</v>
      </c>
      <c r="C3909" s="2">
        <v>0.79166666666666663</v>
      </c>
      <c r="D3909">
        <v>3</v>
      </c>
      <c r="E3909">
        <v>5.4</v>
      </c>
      <c r="F3909">
        <v>90</v>
      </c>
    </row>
    <row r="3910" spans="1:6" x14ac:dyDescent="0.35">
      <c r="A3910">
        <v>1975</v>
      </c>
      <c r="B3910" s="1">
        <v>45687</v>
      </c>
      <c r="C3910" s="2">
        <v>0.83333333333333337</v>
      </c>
      <c r="D3910">
        <v>3</v>
      </c>
      <c r="E3910">
        <v>5</v>
      </c>
      <c r="F3910">
        <v>92</v>
      </c>
    </row>
    <row r="3911" spans="1:6" x14ac:dyDescent="0.35">
      <c r="A3911">
        <v>1975</v>
      </c>
      <c r="B3911" s="1">
        <v>45687</v>
      </c>
      <c r="C3911" s="2">
        <v>0.875</v>
      </c>
      <c r="D3911">
        <v>3</v>
      </c>
      <c r="E3911">
        <v>4.7</v>
      </c>
      <c r="F3911">
        <v>91</v>
      </c>
    </row>
    <row r="3912" spans="1:6" x14ac:dyDescent="0.35">
      <c r="A3912">
        <v>1975</v>
      </c>
      <c r="B3912" s="1">
        <v>45687</v>
      </c>
      <c r="C3912" s="2">
        <v>0.91666666666666663</v>
      </c>
      <c r="D3912">
        <v>3</v>
      </c>
      <c r="E3912">
        <v>4.3</v>
      </c>
      <c r="F3912">
        <v>90</v>
      </c>
    </row>
    <row r="3913" spans="1:6" x14ac:dyDescent="0.35">
      <c r="A3913">
        <v>1975</v>
      </c>
      <c r="B3913" s="1">
        <v>45687</v>
      </c>
      <c r="C3913" s="2">
        <v>0.95833333333333337</v>
      </c>
      <c r="D3913">
        <v>3</v>
      </c>
      <c r="E3913">
        <v>3.3</v>
      </c>
      <c r="F3913">
        <v>93</v>
      </c>
    </row>
    <row r="3914" spans="1:6" x14ac:dyDescent="0.35">
      <c r="A3914">
        <v>1975</v>
      </c>
      <c r="B3914" s="1">
        <v>45688</v>
      </c>
      <c r="C3914" s="2">
        <v>0</v>
      </c>
      <c r="D3914">
        <v>3</v>
      </c>
      <c r="E3914">
        <v>2.9</v>
      </c>
      <c r="F3914">
        <v>91</v>
      </c>
    </row>
    <row r="3915" spans="1:6" x14ac:dyDescent="0.35">
      <c r="A3915">
        <v>1975</v>
      </c>
      <c r="B3915" s="1">
        <v>45688</v>
      </c>
      <c r="C3915" s="2">
        <v>4.1666666666666657E-2</v>
      </c>
      <c r="D3915">
        <v>3</v>
      </c>
      <c r="E3915">
        <v>2.1</v>
      </c>
      <c r="F3915">
        <v>94</v>
      </c>
    </row>
    <row r="3916" spans="1:6" x14ac:dyDescent="0.35">
      <c r="A3916">
        <v>1975</v>
      </c>
      <c r="B3916" s="1">
        <v>45688</v>
      </c>
      <c r="C3916" s="2">
        <v>8.3333333333333329E-2</v>
      </c>
      <c r="D3916">
        <v>3</v>
      </c>
      <c r="E3916">
        <v>1.8</v>
      </c>
      <c r="F3916">
        <v>93</v>
      </c>
    </row>
    <row r="3917" spans="1:6" x14ac:dyDescent="0.35">
      <c r="A3917">
        <v>1975</v>
      </c>
      <c r="B3917" s="1">
        <v>45688</v>
      </c>
      <c r="C3917" s="2">
        <v>0.125</v>
      </c>
      <c r="D3917">
        <v>3</v>
      </c>
      <c r="E3917">
        <v>1.6</v>
      </c>
      <c r="F3917">
        <v>92</v>
      </c>
    </row>
    <row r="3918" spans="1:6" x14ac:dyDescent="0.35">
      <c r="A3918">
        <v>1975</v>
      </c>
      <c r="B3918" s="1">
        <v>45688</v>
      </c>
      <c r="C3918" s="2">
        <v>0.16666666666666671</v>
      </c>
      <c r="D3918">
        <v>3</v>
      </c>
      <c r="E3918">
        <v>1.8</v>
      </c>
      <c r="F3918">
        <v>90</v>
      </c>
    </row>
    <row r="3919" spans="1:6" x14ac:dyDescent="0.35">
      <c r="A3919">
        <v>1975</v>
      </c>
      <c r="B3919" s="1">
        <v>45688</v>
      </c>
      <c r="C3919" s="2">
        <v>0.20833333333333329</v>
      </c>
      <c r="D3919">
        <v>3</v>
      </c>
      <c r="E3919">
        <v>2.2999999999999998</v>
      </c>
      <c r="F3919">
        <v>87</v>
      </c>
    </row>
    <row r="3920" spans="1:6" x14ac:dyDescent="0.35">
      <c r="A3920">
        <v>1975</v>
      </c>
      <c r="B3920" s="1">
        <v>45688</v>
      </c>
      <c r="C3920" s="2">
        <v>0.25</v>
      </c>
      <c r="D3920">
        <v>3</v>
      </c>
      <c r="E3920">
        <v>2.4</v>
      </c>
      <c r="F3920">
        <v>86</v>
      </c>
    </row>
    <row r="3921" spans="1:6" x14ac:dyDescent="0.35">
      <c r="A3921">
        <v>1975</v>
      </c>
      <c r="B3921" s="1">
        <v>45688</v>
      </c>
      <c r="C3921" s="2">
        <v>0.29166666666666669</v>
      </c>
      <c r="D3921">
        <v>3</v>
      </c>
      <c r="E3921">
        <v>2.5</v>
      </c>
      <c r="F3921">
        <v>87</v>
      </c>
    </row>
    <row r="3922" spans="1:6" x14ac:dyDescent="0.35">
      <c r="A3922">
        <v>1975</v>
      </c>
      <c r="B3922" s="1">
        <v>45688</v>
      </c>
      <c r="C3922" s="2">
        <v>0.33333333333333331</v>
      </c>
      <c r="D3922">
        <v>3</v>
      </c>
      <c r="E3922">
        <v>2.4</v>
      </c>
      <c r="F3922">
        <v>84</v>
      </c>
    </row>
    <row r="3923" spans="1:6" x14ac:dyDescent="0.35">
      <c r="A3923">
        <v>1975</v>
      </c>
      <c r="B3923" s="1">
        <v>45688</v>
      </c>
      <c r="C3923" s="2">
        <v>0.375</v>
      </c>
      <c r="D3923">
        <v>3</v>
      </c>
      <c r="E3923">
        <v>3.3</v>
      </c>
      <c r="F3923">
        <v>79</v>
      </c>
    </row>
    <row r="3924" spans="1:6" x14ac:dyDescent="0.35">
      <c r="A3924">
        <v>1975</v>
      </c>
      <c r="B3924" s="1">
        <v>45688</v>
      </c>
      <c r="C3924" s="2">
        <v>0.41666666666666669</v>
      </c>
      <c r="D3924">
        <v>3</v>
      </c>
      <c r="E3924">
        <v>4.4000000000000004</v>
      </c>
      <c r="F3924">
        <v>76</v>
      </c>
    </row>
    <row r="3925" spans="1:6" x14ac:dyDescent="0.35">
      <c r="A3925">
        <v>1975</v>
      </c>
      <c r="B3925" s="1">
        <v>45688</v>
      </c>
      <c r="C3925" s="2">
        <v>0.45833333333333331</v>
      </c>
      <c r="D3925">
        <v>3</v>
      </c>
      <c r="E3925">
        <v>5.4</v>
      </c>
      <c r="F3925">
        <v>74</v>
      </c>
    </row>
    <row r="3926" spans="1:6" x14ac:dyDescent="0.35">
      <c r="A3926">
        <v>1975</v>
      </c>
      <c r="B3926" s="1">
        <v>45688</v>
      </c>
      <c r="C3926" s="2">
        <v>0.5</v>
      </c>
      <c r="D3926">
        <v>3</v>
      </c>
      <c r="E3926">
        <v>5.9</v>
      </c>
      <c r="F3926">
        <v>71</v>
      </c>
    </row>
    <row r="3927" spans="1:6" x14ac:dyDescent="0.35">
      <c r="A3927">
        <v>1975</v>
      </c>
      <c r="B3927" s="1">
        <v>45688</v>
      </c>
      <c r="C3927" s="2">
        <v>0.54166666666666663</v>
      </c>
      <c r="D3927">
        <v>3</v>
      </c>
      <c r="E3927">
        <v>6.6</v>
      </c>
      <c r="F3927">
        <v>69</v>
      </c>
    </row>
    <row r="3928" spans="1:6" x14ac:dyDescent="0.35">
      <c r="A3928">
        <v>1975</v>
      </c>
      <c r="B3928" s="1">
        <v>45688</v>
      </c>
      <c r="C3928" s="2">
        <v>0.58333333333333337</v>
      </c>
      <c r="D3928">
        <v>3</v>
      </c>
      <c r="E3928">
        <v>6.1</v>
      </c>
      <c r="F3928">
        <v>68</v>
      </c>
    </row>
    <row r="3929" spans="1:6" x14ac:dyDescent="0.35">
      <c r="A3929">
        <v>1975</v>
      </c>
      <c r="B3929" s="1">
        <v>45688</v>
      </c>
      <c r="C3929" s="2">
        <v>0.625</v>
      </c>
      <c r="D3929">
        <v>3</v>
      </c>
      <c r="E3929">
        <v>6</v>
      </c>
      <c r="F3929">
        <v>68</v>
      </c>
    </row>
    <row r="3930" spans="1:6" x14ac:dyDescent="0.35">
      <c r="A3930">
        <v>1975</v>
      </c>
      <c r="B3930" s="1">
        <v>45688</v>
      </c>
      <c r="C3930" s="2">
        <v>0.66666666666666663</v>
      </c>
      <c r="D3930">
        <v>3</v>
      </c>
      <c r="E3930">
        <v>5</v>
      </c>
      <c r="F3930">
        <v>73</v>
      </c>
    </row>
    <row r="3931" spans="1:6" x14ac:dyDescent="0.35">
      <c r="A3931">
        <v>1975</v>
      </c>
      <c r="B3931" s="1">
        <v>45688</v>
      </c>
      <c r="C3931" s="2">
        <v>0.70833333333333337</v>
      </c>
      <c r="D3931">
        <v>3</v>
      </c>
      <c r="E3931">
        <v>4.5999999999999996</v>
      </c>
      <c r="F3931">
        <v>78</v>
      </c>
    </row>
    <row r="3932" spans="1:6" x14ac:dyDescent="0.35">
      <c r="A3932">
        <v>1975</v>
      </c>
      <c r="B3932" s="1">
        <v>45688</v>
      </c>
      <c r="C3932" s="2">
        <v>0.75</v>
      </c>
      <c r="D3932">
        <v>3</v>
      </c>
      <c r="E3932">
        <v>4.8</v>
      </c>
      <c r="F3932">
        <v>79</v>
      </c>
    </row>
    <row r="3933" spans="1:6" x14ac:dyDescent="0.35">
      <c r="A3933">
        <v>1975</v>
      </c>
      <c r="B3933" s="1">
        <v>45688</v>
      </c>
      <c r="C3933" s="2">
        <v>0.79166666666666663</v>
      </c>
      <c r="D3933">
        <v>3</v>
      </c>
      <c r="E3933">
        <v>4.7</v>
      </c>
      <c r="F3933">
        <v>81</v>
      </c>
    </row>
    <row r="3934" spans="1:6" x14ac:dyDescent="0.35">
      <c r="A3934">
        <v>1975</v>
      </c>
      <c r="B3934" s="1">
        <v>45688</v>
      </c>
      <c r="C3934" s="2">
        <v>0.83333333333333337</v>
      </c>
      <c r="D3934">
        <v>3</v>
      </c>
      <c r="E3934">
        <v>4.5</v>
      </c>
      <c r="F3934">
        <v>83</v>
      </c>
    </row>
    <row r="3935" spans="1:6" x14ac:dyDescent="0.35">
      <c r="A3935">
        <v>1975</v>
      </c>
      <c r="B3935" s="1">
        <v>45688</v>
      </c>
      <c r="C3935" s="2">
        <v>0.875</v>
      </c>
      <c r="D3935">
        <v>3</v>
      </c>
      <c r="E3935">
        <v>3.9</v>
      </c>
      <c r="F3935">
        <v>88</v>
      </c>
    </row>
    <row r="3936" spans="1:6" x14ac:dyDescent="0.35">
      <c r="A3936">
        <v>1975</v>
      </c>
      <c r="B3936" s="1">
        <v>45688</v>
      </c>
      <c r="C3936" s="2">
        <v>0.91666666666666663</v>
      </c>
      <c r="D3936">
        <v>3</v>
      </c>
      <c r="E3936">
        <v>3.5</v>
      </c>
      <c r="F3936">
        <v>88</v>
      </c>
    </row>
    <row r="3937" spans="1:6" x14ac:dyDescent="0.35">
      <c r="A3937">
        <v>1975</v>
      </c>
      <c r="B3937" s="1">
        <v>45688</v>
      </c>
      <c r="C3937" s="2">
        <v>0.95833333333333337</v>
      </c>
      <c r="D3937">
        <v>3</v>
      </c>
      <c r="E3937">
        <v>2.9</v>
      </c>
      <c r="F3937">
        <v>90</v>
      </c>
    </row>
    <row r="3938" spans="1:6" x14ac:dyDescent="0.35">
      <c r="A3938">
        <v>1975</v>
      </c>
      <c r="B3938" s="1">
        <v>45689</v>
      </c>
      <c r="C3938" s="2">
        <v>0</v>
      </c>
      <c r="D3938">
        <v>3</v>
      </c>
      <c r="E3938">
        <v>1.9</v>
      </c>
      <c r="F3938">
        <v>91</v>
      </c>
    </row>
    <row r="3939" spans="1:6" x14ac:dyDescent="0.35">
      <c r="A3939">
        <v>1975</v>
      </c>
      <c r="B3939" s="1">
        <v>45689</v>
      </c>
      <c r="C3939" s="2">
        <v>4.1666666666666657E-2</v>
      </c>
      <c r="D3939">
        <v>3</v>
      </c>
      <c r="E3939">
        <v>2.7</v>
      </c>
      <c r="F3939">
        <v>90</v>
      </c>
    </row>
    <row r="3940" spans="1:6" x14ac:dyDescent="0.35">
      <c r="A3940">
        <v>1975</v>
      </c>
      <c r="B3940" s="1">
        <v>45689</v>
      </c>
      <c r="C3940" s="2">
        <v>8.3333333333333329E-2</v>
      </c>
      <c r="D3940">
        <v>3</v>
      </c>
      <c r="E3940">
        <v>2.7</v>
      </c>
      <c r="F3940">
        <v>91</v>
      </c>
    </row>
    <row r="3941" spans="1:6" x14ac:dyDescent="0.35">
      <c r="A3941">
        <v>1975</v>
      </c>
      <c r="B3941" s="1">
        <v>45689</v>
      </c>
      <c r="C3941" s="2">
        <v>0.125</v>
      </c>
      <c r="D3941">
        <v>3</v>
      </c>
      <c r="E3941">
        <v>2.1</v>
      </c>
      <c r="F3941">
        <v>94</v>
      </c>
    </row>
    <row r="3942" spans="1:6" x14ac:dyDescent="0.35">
      <c r="A3942">
        <v>1975</v>
      </c>
      <c r="B3942" s="1">
        <v>45689</v>
      </c>
      <c r="C3942" s="2">
        <v>0.16666666666666671</v>
      </c>
      <c r="D3942">
        <v>3</v>
      </c>
      <c r="E3942">
        <v>1.9</v>
      </c>
      <c r="F3942">
        <v>94</v>
      </c>
    </row>
    <row r="3943" spans="1:6" x14ac:dyDescent="0.35">
      <c r="A3943">
        <v>1975</v>
      </c>
      <c r="B3943" s="1">
        <v>45689</v>
      </c>
      <c r="C3943" s="2">
        <v>0.20833333333333329</v>
      </c>
      <c r="D3943">
        <v>3</v>
      </c>
      <c r="E3943">
        <v>1.4</v>
      </c>
      <c r="F3943">
        <v>96</v>
      </c>
    </row>
    <row r="3944" spans="1:6" x14ac:dyDescent="0.35">
      <c r="A3944">
        <v>1975</v>
      </c>
      <c r="B3944" s="1">
        <v>45689</v>
      </c>
      <c r="C3944" s="2">
        <v>0.25</v>
      </c>
      <c r="D3944">
        <v>3</v>
      </c>
      <c r="E3944">
        <v>0.8</v>
      </c>
      <c r="F3944">
        <v>98</v>
      </c>
    </row>
    <row r="3945" spans="1:6" x14ac:dyDescent="0.35">
      <c r="A3945">
        <v>1975</v>
      </c>
      <c r="B3945" s="1">
        <v>45689</v>
      </c>
      <c r="C3945" s="2">
        <v>0.29166666666666669</v>
      </c>
      <c r="D3945">
        <v>3</v>
      </c>
      <c r="E3945">
        <v>0</v>
      </c>
      <c r="F3945">
        <v>100</v>
      </c>
    </row>
    <row r="3946" spans="1:6" x14ac:dyDescent="0.35">
      <c r="A3946">
        <v>1975</v>
      </c>
      <c r="B3946" s="1">
        <v>45689</v>
      </c>
      <c r="C3946" s="2">
        <v>0.33333333333333331</v>
      </c>
      <c r="D3946">
        <v>3</v>
      </c>
      <c r="E3946">
        <v>-0.7</v>
      </c>
      <c r="F3946">
        <v>99</v>
      </c>
    </row>
    <row r="3947" spans="1:6" x14ac:dyDescent="0.35">
      <c r="A3947">
        <v>1975</v>
      </c>
      <c r="B3947" s="1">
        <v>45689</v>
      </c>
      <c r="C3947" s="2">
        <v>0.375</v>
      </c>
      <c r="D3947">
        <v>3</v>
      </c>
      <c r="E3947">
        <v>-0.1</v>
      </c>
      <c r="F3947">
        <v>100</v>
      </c>
    </row>
    <row r="3948" spans="1:6" x14ac:dyDescent="0.35">
      <c r="A3948">
        <v>1975</v>
      </c>
      <c r="B3948" s="1">
        <v>45689</v>
      </c>
      <c r="C3948" s="2">
        <v>0.41666666666666669</v>
      </c>
      <c r="D3948">
        <v>3</v>
      </c>
      <c r="E3948">
        <v>0.7</v>
      </c>
      <c r="F3948">
        <v>100</v>
      </c>
    </row>
    <row r="3949" spans="1:6" x14ac:dyDescent="0.35">
      <c r="A3949">
        <v>1975</v>
      </c>
      <c r="B3949" s="1">
        <v>45689</v>
      </c>
      <c r="C3949" s="2">
        <v>0.45833333333333331</v>
      </c>
      <c r="D3949">
        <v>3</v>
      </c>
      <c r="E3949">
        <v>1.4</v>
      </c>
      <c r="F3949">
        <v>100</v>
      </c>
    </row>
    <row r="3950" spans="1:6" x14ac:dyDescent="0.35">
      <c r="A3950">
        <v>1975</v>
      </c>
      <c r="B3950" s="1">
        <v>45689</v>
      </c>
      <c r="C3950" s="2">
        <v>0.5</v>
      </c>
      <c r="D3950">
        <v>3</v>
      </c>
      <c r="E3950">
        <v>1.3</v>
      </c>
      <c r="F3950">
        <v>100</v>
      </c>
    </row>
    <row r="3951" spans="1:6" x14ac:dyDescent="0.35">
      <c r="A3951">
        <v>1975</v>
      </c>
      <c r="B3951" s="1">
        <v>45689</v>
      </c>
      <c r="C3951" s="2">
        <v>0.54166666666666663</v>
      </c>
      <c r="D3951">
        <v>3</v>
      </c>
      <c r="E3951">
        <v>1.7</v>
      </c>
      <c r="F3951">
        <v>100</v>
      </c>
    </row>
    <row r="3952" spans="1:6" x14ac:dyDescent="0.35">
      <c r="A3952">
        <v>1975</v>
      </c>
      <c r="B3952" s="1">
        <v>45689</v>
      </c>
      <c r="C3952" s="2">
        <v>0.58333333333333337</v>
      </c>
      <c r="D3952">
        <v>3</v>
      </c>
      <c r="E3952">
        <v>1.9</v>
      </c>
      <c r="F3952">
        <v>99</v>
      </c>
    </row>
    <row r="3953" spans="1:6" x14ac:dyDescent="0.35">
      <c r="A3953">
        <v>1975</v>
      </c>
      <c r="B3953" s="1">
        <v>45689</v>
      </c>
      <c r="C3953" s="2">
        <v>0.625</v>
      </c>
      <c r="D3953">
        <v>3</v>
      </c>
      <c r="E3953">
        <v>2</v>
      </c>
      <c r="F3953">
        <v>99</v>
      </c>
    </row>
    <row r="3954" spans="1:6" x14ac:dyDescent="0.35">
      <c r="A3954">
        <v>1975</v>
      </c>
      <c r="B3954" s="1">
        <v>45689</v>
      </c>
      <c r="C3954" s="2">
        <v>0.66666666666666663</v>
      </c>
      <c r="D3954">
        <v>3</v>
      </c>
      <c r="E3954">
        <v>1.9</v>
      </c>
      <c r="F3954">
        <v>100</v>
      </c>
    </row>
    <row r="3955" spans="1:6" x14ac:dyDescent="0.35">
      <c r="A3955">
        <v>1975</v>
      </c>
      <c r="B3955" s="1">
        <v>45689</v>
      </c>
      <c r="C3955" s="2">
        <v>0.70833333333333337</v>
      </c>
      <c r="D3955">
        <v>3</v>
      </c>
      <c r="E3955">
        <v>1</v>
      </c>
      <c r="F3955">
        <v>100</v>
      </c>
    </row>
    <row r="3956" spans="1:6" x14ac:dyDescent="0.35">
      <c r="A3956">
        <v>1975</v>
      </c>
      <c r="B3956" s="1">
        <v>45689</v>
      </c>
      <c r="C3956" s="2">
        <v>0.75</v>
      </c>
      <c r="D3956">
        <v>3</v>
      </c>
      <c r="E3956">
        <v>1.2</v>
      </c>
      <c r="F3956">
        <v>100</v>
      </c>
    </row>
    <row r="3957" spans="1:6" x14ac:dyDescent="0.35">
      <c r="A3957">
        <v>1975</v>
      </c>
      <c r="B3957" s="1">
        <v>45689</v>
      </c>
      <c r="C3957" s="2">
        <v>0.79166666666666663</v>
      </c>
      <c r="D3957">
        <v>3</v>
      </c>
      <c r="E3957">
        <v>0.7</v>
      </c>
      <c r="F3957">
        <v>100</v>
      </c>
    </row>
    <row r="3958" spans="1:6" x14ac:dyDescent="0.35">
      <c r="A3958">
        <v>1975</v>
      </c>
      <c r="B3958" s="1">
        <v>45689</v>
      </c>
      <c r="C3958" s="2">
        <v>0.83333333333333337</v>
      </c>
      <c r="D3958">
        <v>3</v>
      </c>
      <c r="E3958">
        <v>-0.1</v>
      </c>
      <c r="F3958">
        <v>100</v>
      </c>
    </row>
    <row r="3959" spans="1:6" x14ac:dyDescent="0.35">
      <c r="A3959">
        <v>1975</v>
      </c>
      <c r="B3959" s="1">
        <v>45689</v>
      </c>
      <c r="C3959" s="2">
        <v>0.875</v>
      </c>
      <c r="D3959">
        <v>3</v>
      </c>
      <c r="E3959">
        <v>-0.5</v>
      </c>
      <c r="F3959">
        <v>100</v>
      </c>
    </row>
    <row r="3960" spans="1:6" x14ac:dyDescent="0.35">
      <c r="A3960">
        <v>1975</v>
      </c>
      <c r="B3960" s="1">
        <v>45689</v>
      </c>
      <c r="C3960" s="2">
        <v>0.91666666666666663</v>
      </c>
      <c r="D3960">
        <v>3</v>
      </c>
      <c r="E3960">
        <v>-0.9</v>
      </c>
      <c r="F3960">
        <v>100</v>
      </c>
    </row>
    <row r="3961" spans="1:6" x14ac:dyDescent="0.35">
      <c r="A3961">
        <v>1975</v>
      </c>
      <c r="B3961" s="1">
        <v>45689</v>
      </c>
      <c r="C3961" s="2">
        <v>0.95833333333333337</v>
      </c>
      <c r="D3961">
        <v>3</v>
      </c>
      <c r="E3961">
        <v>-0.9</v>
      </c>
      <c r="F3961">
        <v>100</v>
      </c>
    </row>
    <row r="3962" spans="1:6" x14ac:dyDescent="0.35">
      <c r="A3962">
        <v>1975</v>
      </c>
      <c r="B3962" s="1">
        <v>45690</v>
      </c>
      <c r="C3962" s="2">
        <v>0</v>
      </c>
      <c r="D3962">
        <v>3</v>
      </c>
      <c r="E3962">
        <v>-0.7</v>
      </c>
      <c r="F3962">
        <v>100</v>
      </c>
    </row>
    <row r="3963" spans="1:6" x14ac:dyDescent="0.35">
      <c r="A3963">
        <v>1975</v>
      </c>
      <c r="B3963" s="1">
        <v>45690</v>
      </c>
      <c r="C3963" s="2">
        <v>4.1666666666666657E-2</v>
      </c>
      <c r="D3963">
        <v>3</v>
      </c>
      <c r="E3963">
        <v>-0.8</v>
      </c>
      <c r="F3963">
        <v>100</v>
      </c>
    </row>
    <row r="3964" spans="1:6" x14ac:dyDescent="0.35">
      <c r="A3964">
        <v>1975</v>
      </c>
      <c r="B3964" s="1">
        <v>45690</v>
      </c>
      <c r="C3964" s="2">
        <v>8.3333333333333329E-2</v>
      </c>
      <c r="D3964">
        <v>3</v>
      </c>
      <c r="E3964">
        <v>-0.7</v>
      </c>
      <c r="F3964">
        <v>100</v>
      </c>
    </row>
    <row r="3965" spans="1:6" x14ac:dyDescent="0.35">
      <c r="A3965">
        <v>1975</v>
      </c>
      <c r="B3965" s="1">
        <v>45690</v>
      </c>
      <c r="C3965" s="2">
        <v>0.125</v>
      </c>
      <c r="D3965">
        <v>3</v>
      </c>
      <c r="E3965">
        <v>-0.8</v>
      </c>
      <c r="F3965">
        <v>100</v>
      </c>
    </row>
    <row r="3966" spans="1:6" x14ac:dyDescent="0.35">
      <c r="A3966">
        <v>1975</v>
      </c>
      <c r="B3966" s="1">
        <v>45690</v>
      </c>
      <c r="C3966" s="2">
        <v>0.16666666666666671</v>
      </c>
      <c r="D3966">
        <v>3</v>
      </c>
      <c r="E3966">
        <v>-0.6</v>
      </c>
      <c r="F3966">
        <v>100</v>
      </c>
    </row>
    <row r="3967" spans="1:6" x14ac:dyDescent="0.35">
      <c r="A3967">
        <v>1975</v>
      </c>
      <c r="B3967" s="1">
        <v>45690</v>
      </c>
      <c r="C3967" s="2">
        <v>0.20833333333333329</v>
      </c>
      <c r="D3967">
        <v>3</v>
      </c>
      <c r="E3967">
        <v>-0.9</v>
      </c>
      <c r="F3967">
        <v>100</v>
      </c>
    </row>
    <row r="3968" spans="1:6" x14ac:dyDescent="0.35">
      <c r="A3968">
        <v>1975</v>
      </c>
      <c r="B3968" s="1">
        <v>45690</v>
      </c>
      <c r="C3968" s="2">
        <v>0.25</v>
      </c>
      <c r="D3968">
        <v>3</v>
      </c>
      <c r="E3968">
        <v>-1.3</v>
      </c>
      <c r="F3968">
        <v>100</v>
      </c>
    </row>
    <row r="3969" spans="1:6" x14ac:dyDescent="0.35">
      <c r="A3969">
        <v>1975</v>
      </c>
      <c r="B3969" s="1">
        <v>45690</v>
      </c>
      <c r="C3969" s="2">
        <v>0.29166666666666669</v>
      </c>
      <c r="D3969">
        <v>3</v>
      </c>
      <c r="E3969">
        <v>-1.4</v>
      </c>
      <c r="F3969">
        <v>100</v>
      </c>
    </row>
    <row r="3970" spans="1:6" x14ac:dyDescent="0.35">
      <c r="A3970">
        <v>1975</v>
      </c>
      <c r="B3970" s="1">
        <v>45690</v>
      </c>
      <c r="C3970" s="2">
        <v>0.33333333333333331</v>
      </c>
      <c r="D3970">
        <v>3</v>
      </c>
      <c r="E3970">
        <v>-1.5</v>
      </c>
      <c r="F3970">
        <v>100</v>
      </c>
    </row>
    <row r="3971" spans="1:6" x14ac:dyDescent="0.35">
      <c r="A3971">
        <v>1975</v>
      </c>
      <c r="B3971" s="1">
        <v>45690</v>
      </c>
      <c r="C3971" s="2">
        <v>0.375</v>
      </c>
      <c r="D3971">
        <v>3</v>
      </c>
      <c r="E3971">
        <v>-1.9</v>
      </c>
      <c r="F3971">
        <v>100</v>
      </c>
    </row>
    <row r="3972" spans="1:6" x14ac:dyDescent="0.35">
      <c r="A3972">
        <v>1975</v>
      </c>
      <c r="B3972" s="1">
        <v>45690</v>
      </c>
      <c r="C3972" s="2">
        <v>0.41666666666666669</v>
      </c>
      <c r="D3972">
        <v>3</v>
      </c>
      <c r="E3972">
        <v>-1.6</v>
      </c>
      <c r="F3972">
        <v>100</v>
      </c>
    </row>
    <row r="3973" spans="1:6" x14ac:dyDescent="0.35">
      <c r="A3973">
        <v>1975</v>
      </c>
      <c r="B3973" s="1">
        <v>45690</v>
      </c>
      <c r="C3973" s="2">
        <v>0.45833333333333331</v>
      </c>
      <c r="D3973">
        <v>3</v>
      </c>
      <c r="E3973">
        <v>-0.8</v>
      </c>
      <c r="F3973">
        <v>96</v>
      </c>
    </row>
    <row r="3974" spans="1:6" x14ac:dyDescent="0.35">
      <c r="A3974">
        <v>1975</v>
      </c>
      <c r="B3974" s="1">
        <v>45690</v>
      </c>
      <c r="C3974" s="2">
        <v>0.5</v>
      </c>
      <c r="D3974">
        <v>3</v>
      </c>
      <c r="E3974">
        <v>-0.1</v>
      </c>
      <c r="F3974">
        <v>94</v>
      </c>
    </row>
    <row r="3975" spans="1:6" x14ac:dyDescent="0.35">
      <c r="A3975">
        <v>1975</v>
      </c>
      <c r="B3975" s="1">
        <v>45690</v>
      </c>
      <c r="C3975" s="2">
        <v>0.54166666666666663</v>
      </c>
      <c r="D3975">
        <v>3</v>
      </c>
      <c r="E3975">
        <v>1.4</v>
      </c>
      <c r="F3975">
        <v>82</v>
      </c>
    </row>
    <row r="3976" spans="1:6" x14ac:dyDescent="0.35">
      <c r="A3976">
        <v>1975</v>
      </c>
      <c r="B3976" s="1">
        <v>45690</v>
      </c>
      <c r="C3976" s="2">
        <v>0.58333333333333337</v>
      </c>
      <c r="D3976">
        <v>3</v>
      </c>
      <c r="E3976">
        <v>2.2000000000000002</v>
      </c>
      <c r="F3976">
        <v>79</v>
      </c>
    </row>
    <row r="3977" spans="1:6" x14ac:dyDescent="0.35">
      <c r="A3977">
        <v>1975</v>
      </c>
      <c r="B3977" s="1">
        <v>45690</v>
      </c>
      <c r="C3977" s="2">
        <v>0.625</v>
      </c>
      <c r="D3977">
        <v>3</v>
      </c>
      <c r="E3977">
        <v>2.9</v>
      </c>
      <c r="F3977">
        <v>71</v>
      </c>
    </row>
    <row r="3978" spans="1:6" x14ac:dyDescent="0.35">
      <c r="A3978">
        <v>1975</v>
      </c>
      <c r="B3978" s="1">
        <v>45690</v>
      </c>
      <c r="C3978" s="2">
        <v>0.66666666666666663</v>
      </c>
      <c r="D3978">
        <v>3</v>
      </c>
      <c r="E3978">
        <v>1.7</v>
      </c>
      <c r="F3978">
        <v>79</v>
      </c>
    </row>
    <row r="3979" spans="1:6" x14ac:dyDescent="0.35">
      <c r="A3979">
        <v>1975</v>
      </c>
      <c r="B3979" s="1">
        <v>45690</v>
      </c>
      <c r="C3979" s="2">
        <v>0.70833333333333337</v>
      </c>
      <c r="D3979">
        <v>3</v>
      </c>
      <c r="E3979">
        <v>1.1000000000000001</v>
      </c>
      <c r="F3979">
        <v>81</v>
      </c>
    </row>
    <row r="3980" spans="1:6" x14ac:dyDescent="0.35">
      <c r="A3980">
        <v>1975</v>
      </c>
      <c r="B3980" s="1">
        <v>45690</v>
      </c>
      <c r="C3980" s="2">
        <v>0.75</v>
      </c>
      <c r="D3980">
        <v>3</v>
      </c>
      <c r="E3980">
        <v>0.9</v>
      </c>
      <c r="F3980">
        <v>86</v>
      </c>
    </row>
    <row r="3981" spans="1:6" x14ac:dyDescent="0.35">
      <c r="A3981">
        <v>1975</v>
      </c>
      <c r="B3981" s="1">
        <v>45690</v>
      </c>
      <c r="C3981" s="2">
        <v>0.79166666666666663</v>
      </c>
      <c r="D3981">
        <v>3</v>
      </c>
      <c r="E3981">
        <v>0.9</v>
      </c>
      <c r="F3981">
        <v>86</v>
      </c>
    </row>
    <row r="3982" spans="1:6" x14ac:dyDescent="0.35">
      <c r="A3982">
        <v>1975</v>
      </c>
      <c r="B3982" s="1">
        <v>45690</v>
      </c>
      <c r="C3982" s="2">
        <v>0.83333333333333337</v>
      </c>
      <c r="D3982">
        <v>3</v>
      </c>
      <c r="E3982">
        <v>0.3</v>
      </c>
      <c r="F3982">
        <v>92</v>
      </c>
    </row>
    <row r="3983" spans="1:6" x14ac:dyDescent="0.35">
      <c r="A3983">
        <v>1975</v>
      </c>
      <c r="B3983" s="1">
        <v>45690</v>
      </c>
      <c r="C3983" s="2">
        <v>0.875</v>
      </c>
      <c r="D3983">
        <v>3</v>
      </c>
      <c r="E3983">
        <v>-0.3</v>
      </c>
      <c r="F3983">
        <v>94</v>
      </c>
    </row>
    <row r="3984" spans="1:6" x14ac:dyDescent="0.35">
      <c r="A3984">
        <v>1975</v>
      </c>
      <c r="B3984" s="1">
        <v>45690</v>
      </c>
      <c r="C3984" s="2">
        <v>0.91666666666666663</v>
      </c>
      <c r="D3984">
        <v>3</v>
      </c>
      <c r="E3984">
        <v>-1.2</v>
      </c>
      <c r="F3984">
        <v>95</v>
      </c>
    </row>
    <row r="3985" spans="1:6" x14ac:dyDescent="0.35">
      <c r="A3985">
        <v>1975</v>
      </c>
      <c r="B3985" s="1">
        <v>45690</v>
      </c>
      <c r="C3985" s="2">
        <v>0.95833333333333337</v>
      </c>
      <c r="D3985">
        <v>3</v>
      </c>
      <c r="E3985">
        <v>-1.9</v>
      </c>
      <c r="F3985">
        <v>99</v>
      </c>
    </row>
    <row r="3986" spans="1:6" x14ac:dyDescent="0.35">
      <c r="A3986">
        <v>1975</v>
      </c>
      <c r="B3986" s="1">
        <v>45691</v>
      </c>
      <c r="C3986" s="2">
        <v>0</v>
      </c>
      <c r="D3986">
        <v>3</v>
      </c>
      <c r="E3986">
        <v>-1.9</v>
      </c>
      <c r="F3986">
        <v>98</v>
      </c>
    </row>
    <row r="3987" spans="1:6" x14ac:dyDescent="0.35">
      <c r="A3987">
        <v>1975</v>
      </c>
      <c r="B3987" s="1">
        <v>45691</v>
      </c>
      <c r="C3987" s="2">
        <v>4.1666666666666657E-2</v>
      </c>
      <c r="D3987">
        <v>3</v>
      </c>
      <c r="E3987">
        <v>-1.4</v>
      </c>
      <c r="F3987">
        <v>97</v>
      </c>
    </row>
    <row r="3988" spans="1:6" x14ac:dyDescent="0.35">
      <c r="A3988">
        <v>1975</v>
      </c>
      <c r="B3988" s="1">
        <v>45691</v>
      </c>
      <c r="C3988" s="2">
        <v>8.3333333333333329E-2</v>
      </c>
      <c r="D3988">
        <v>3</v>
      </c>
      <c r="E3988">
        <v>-2</v>
      </c>
      <c r="F3988">
        <v>98</v>
      </c>
    </row>
    <row r="3989" spans="1:6" x14ac:dyDescent="0.35">
      <c r="A3989">
        <v>1975</v>
      </c>
      <c r="B3989" s="1">
        <v>45691</v>
      </c>
      <c r="C3989" s="2">
        <v>0.125</v>
      </c>
      <c r="D3989">
        <v>3</v>
      </c>
      <c r="E3989">
        <v>-1.9</v>
      </c>
      <c r="F3989">
        <v>97</v>
      </c>
    </row>
    <row r="3990" spans="1:6" x14ac:dyDescent="0.35">
      <c r="A3990">
        <v>1975</v>
      </c>
      <c r="B3990" s="1">
        <v>45691</v>
      </c>
      <c r="C3990" s="2">
        <v>0.16666666666666671</v>
      </c>
      <c r="D3990">
        <v>3</v>
      </c>
      <c r="E3990">
        <v>-2.2000000000000002</v>
      </c>
      <c r="F3990">
        <v>97</v>
      </c>
    </row>
    <row r="3991" spans="1:6" x14ac:dyDescent="0.35">
      <c r="A3991">
        <v>1975</v>
      </c>
      <c r="B3991" s="1">
        <v>45691</v>
      </c>
      <c r="C3991" s="2">
        <v>0.20833333333333329</v>
      </c>
      <c r="D3991">
        <v>3</v>
      </c>
      <c r="E3991">
        <v>-3.2</v>
      </c>
      <c r="F3991">
        <v>98</v>
      </c>
    </row>
    <row r="3992" spans="1:6" x14ac:dyDescent="0.35">
      <c r="A3992">
        <v>1975</v>
      </c>
      <c r="B3992" s="1">
        <v>45691</v>
      </c>
      <c r="C3992" s="2">
        <v>0.25</v>
      </c>
      <c r="D3992">
        <v>3</v>
      </c>
      <c r="E3992">
        <v>-3.1</v>
      </c>
      <c r="F3992">
        <v>99</v>
      </c>
    </row>
    <row r="3993" spans="1:6" x14ac:dyDescent="0.35">
      <c r="A3993">
        <v>1975</v>
      </c>
      <c r="B3993" s="1">
        <v>45691</v>
      </c>
      <c r="C3993" s="2">
        <v>0.29166666666666669</v>
      </c>
      <c r="D3993">
        <v>3</v>
      </c>
      <c r="E3993">
        <v>-3.6</v>
      </c>
      <c r="F3993">
        <v>98</v>
      </c>
    </row>
    <row r="3994" spans="1:6" x14ac:dyDescent="0.35">
      <c r="A3994">
        <v>1975</v>
      </c>
      <c r="B3994" s="1">
        <v>45691</v>
      </c>
      <c r="C3994" s="2">
        <v>0.33333333333333331</v>
      </c>
      <c r="D3994">
        <v>3</v>
      </c>
      <c r="E3994">
        <v>-2.5</v>
      </c>
      <c r="F3994">
        <v>93</v>
      </c>
    </row>
    <row r="3995" spans="1:6" x14ac:dyDescent="0.35">
      <c r="A3995">
        <v>1975</v>
      </c>
      <c r="B3995" s="1">
        <v>45691</v>
      </c>
      <c r="C3995" s="2">
        <v>0.375</v>
      </c>
      <c r="D3995">
        <v>3</v>
      </c>
      <c r="E3995">
        <v>-1.5</v>
      </c>
      <c r="F3995">
        <v>92</v>
      </c>
    </row>
    <row r="3996" spans="1:6" x14ac:dyDescent="0.35">
      <c r="A3996">
        <v>1975</v>
      </c>
      <c r="B3996" s="1">
        <v>45691</v>
      </c>
      <c r="C3996" s="2">
        <v>0.41666666666666669</v>
      </c>
      <c r="D3996">
        <v>3</v>
      </c>
      <c r="E3996">
        <v>0.2</v>
      </c>
      <c r="F3996">
        <v>84</v>
      </c>
    </row>
    <row r="3997" spans="1:6" x14ac:dyDescent="0.35">
      <c r="A3997">
        <v>1975</v>
      </c>
      <c r="B3997" s="1">
        <v>45691</v>
      </c>
      <c r="C3997" s="2">
        <v>0.45833333333333331</v>
      </c>
      <c r="D3997">
        <v>3</v>
      </c>
      <c r="E3997">
        <v>2</v>
      </c>
      <c r="F3997">
        <v>77</v>
      </c>
    </row>
    <row r="3998" spans="1:6" x14ac:dyDescent="0.35">
      <c r="A3998">
        <v>1975</v>
      </c>
      <c r="B3998" s="1">
        <v>45691</v>
      </c>
      <c r="C3998" s="2">
        <v>0.5</v>
      </c>
      <c r="D3998">
        <v>3</v>
      </c>
      <c r="E3998">
        <v>3.1</v>
      </c>
      <c r="F3998">
        <v>74</v>
      </c>
    </row>
    <row r="3999" spans="1:6" x14ac:dyDescent="0.35">
      <c r="A3999">
        <v>1975</v>
      </c>
      <c r="B3999" s="1">
        <v>45691</v>
      </c>
      <c r="C3999" s="2">
        <v>0.54166666666666663</v>
      </c>
      <c r="D3999">
        <v>3</v>
      </c>
      <c r="E3999">
        <v>2.9</v>
      </c>
      <c r="F3999">
        <v>76</v>
      </c>
    </row>
    <row r="4000" spans="1:6" x14ac:dyDescent="0.35">
      <c r="A4000">
        <v>1975</v>
      </c>
      <c r="B4000" s="1">
        <v>45691</v>
      </c>
      <c r="C4000" s="2">
        <v>0.58333333333333337</v>
      </c>
      <c r="D4000">
        <v>3</v>
      </c>
      <c r="E4000">
        <v>2.9</v>
      </c>
      <c r="F4000">
        <v>74</v>
      </c>
    </row>
    <row r="4001" spans="1:6" x14ac:dyDescent="0.35">
      <c r="A4001">
        <v>1975</v>
      </c>
      <c r="B4001" s="1">
        <v>45691</v>
      </c>
      <c r="C4001" s="2">
        <v>0.625</v>
      </c>
      <c r="D4001">
        <v>3</v>
      </c>
      <c r="E4001">
        <v>2.6</v>
      </c>
      <c r="F4001">
        <v>75</v>
      </c>
    </row>
    <row r="4002" spans="1:6" x14ac:dyDescent="0.35">
      <c r="A4002">
        <v>1975</v>
      </c>
      <c r="B4002" s="1">
        <v>45691</v>
      </c>
      <c r="C4002" s="2">
        <v>0.66666666666666663</v>
      </c>
      <c r="D4002">
        <v>3</v>
      </c>
      <c r="E4002">
        <v>1.4</v>
      </c>
      <c r="F4002">
        <v>81</v>
      </c>
    </row>
    <row r="4003" spans="1:6" x14ac:dyDescent="0.35">
      <c r="A4003">
        <v>1975</v>
      </c>
      <c r="B4003" s="1">
        <v>45691</v>
      </c>
      <c r="C4003" s="2">
        <v>0.70833333333333337</v>
      </c>
      <c r="D4003">
        <v>3</v>
      </c>
      <c r="E4003">
        <v>-0.2</v>
      </c>
      <c r="F4003">
        <v>90</v>
      </c>
    </row>
    <row r="4004" spans="1:6" x14ac:dyDescent="0.35">
      <c r="A4004">
        <v>1975</v>
      </c>
      <c r="B4004" s="1">
        <v>45691</v>
      </c>
      <c r="C4004" s="2">
        <v>0.75</v>
      </c>
      <c r="D4004">
        <v>3</v>
      </c>
      <c r="E4004">
        <v>-1.4</v>
      </c>
      <c r="F4004">
        <v>96</v>
      </c>
    </row>
    <row r="4005" spans="1:6" x14ac:dyDescent="0.35">
      <c r="A4005">
        <v>1975</v>
      </c>
      <c r="B4005" s="1">
        <v>45691</v>
      </c>
      <c r="C4005" s="2">
        <v>0.79166666666666663</v>
      </c>
      <c r="D4005">
        <v>3</v>
      </c>
      <c r="E4005">
        <v>-1.5</v>
      </c>
      <c r="F4005">
        <v>95</v>
      </c>
    </row>
    <row r="4006" spans="1:6" x14ac:dyDescent="0.35">
      <c r="A4006">
        <v>1975</v>
      </c>
      <c r="B4006" s="1">
        <v>45691</v>
      </c>
      <c r="C4006" s="2">
        <v>0.83333333333333337</v>
      </c>
      <c r="D4006">
        <v>3</v>
      </c>
      <c r="E4006">
        <v>-1.4</v>
      </c>
      <c r="F4006">
        <v>96</v>
      </c>
    </row>
    <row r="4007" spans="1:6" x14ac:dyDescent="0.35">
      <c r="A4007">
        <v>1975</v>
      </c>
      <c r="B4007" s="1">
        <v>45691</v>
      </c>
      <c r="C4007" s="2">
        <v>0.875</v>
      </c>
      <c r="D4007">
        <v>3</v>
      </c>
      <c r="E4007">
        <v>-2.6</v>
      </c>
      <c r="F4007">
        <v>98</v>
      </c>
    </row>
    <row r="4008" spans="1:6" x14ac:dyDescent="0.35">
      <c r="A4008">
        <v>1975</v>
      </c>
      <c r="B4008" s="1">
        <v>45691</v>
      </c>
      <c r="C4008" s="2">
        <v>0.91666666666666663</v>
      </c>
      <c r="D4008">
        <v>3</v>
      </c>
      <c r="E4008">
        <v>-2.4</v>
      </c>
      <c r="F4008">
        <v>99</v>
      </c>
    </row>
    <row r="4009" spans="1:6" x14ac:dyDescent="0.35">
      <c r="A4009">
        <v>1975</v>
      </c>
      <c r="B4009" s="1">
        <v>45691</v>
      </c>
      <c r="C4009" s="2">
        <v>0.95833333333333337</v>
      </c>
      <c r="D4009">
        <v>3</v>
      </c>
      <c r="E4009">
        <v>-2.8</v>
      </c>
      <c r="F4009">
        <v>99</v>
      </c>
    </row>
    <row r="4010" spans="1:6" x14ac:dyDescent="0.35">
      <c r="A4010">
        <v>1975</v>
      </c>
      <c r="B4010" s="1">
        <v>45692</v>
      </c>
      <c r="C4010" s="2">
        <v>0</v>
      </c>
      <c r="D4010">
        <v>3</v>
      </c>
      <c r="E4010">
        <v>-2.6</v>
      </c>
      <c r="F4010">
        <v>99</v>
      </c>
    </row>
    <row r="4011" spans="1:6" x14ac:dyDescent="0.35">
      <c r="A4011">
        <v>1975</v>
      </c>
      <c r="B4011" s="1">
        <v>45692</v>
      </c>
      <c r="C4011" s="2">
        <v>4.1666666666666657E-2</v>
      </c>
      <c r="D4011">
        <v>3</v>
      </c>
      <c r="E4011">
        <v>-2.7</v>
      </c>
      <c r="F4011">
        <v>97</v>
      </c>
    </row>
    <row r="4012" spans="1:6" x14ac:dyDescent="0.35">
      <c r="A4012">
        <v>1975</v>
      </c>
      <c r="B4012" s="1">
        <v>45692</v>
      </c>
      <c r="C4012" s="2">
        <v>8.3333333333333329E-2</v>
      </c>
      <c r="D4012">
        <v>3</v>
      </c>
      <c r="E4012">
        <v>-3.3</v>
      </c>
      <c r="F4012">
        <v>98</v>
      </c>
    </row>
    <row r="4013" spans="1:6" x14ac:dyDescent="0.35">
      <c r="A4013">
        <v>1975</v>
      </c>
      <c r="B4013" s="1">
        <v>45692</v>
      </c>
      <c r="C4013" s="2">
        <v>0.125</v>
      </c>
      <c r="D4013">
        <v>3</v>
      </c>
      <c r="E4013">
        <v>-3.2</v>
      </c>
      <c r="F4013">
        <v>97</v>
      </c>
    </row>
    <row r="4014" spans="1:6" x14ac:dyDescent="0.35">
      <c r="A4014">
        <v>1975</v>
      </c>
      <c r="B4014" s="1">
        <v>45692</v>
      </c>
      <c r="C4014" s="2">
        <v>0.16666666666666671</v>
      </c>
      <c r="D4014">
        <v>3</v>
      </c>
      <c r="E4014">
        <v>-3.3</v>
      </c>
      <c r="F4014">
        <v>99</v>
      </c>
    </row>
    <row r="4015" spans="1:6" x14ac:dyDescent="0.35">
      <c r="A4015">
        <v>1975</v>
      </c>
      <c r="B4015" s="1">
        <v>45692</v>
      </c>
      <c r="C4015" s="2">
        <v>0.20833333333333329</v>
      </c>
      <c r="D4015">
        <v>3</v>
      </c>
      <c r="E4015">
        <v>-3.4</v>
      </c>
      <c r="F4015">
        <v>98</v>
      </c>
    </row>
    <row r="4016" spans="1:6" x14ac:dyDescent="0.35">
      <c r="A4016">
        <v>1975</v>
      </c>
      <c r="B4016" s="1">
        <v>45692</v>
      </c>
      <c r="C4016" s="2">
        <v>0.25</v>
      </c>
      <c r="D4016">
        <v>3</v>
      </c>
      <c r="E4016">
        <v>-3.2</v>
      </c>
      <c r="F4016">
        <v>97</v>
      </c>
    </row>
    <row r="4017" spans="1:6" x14ac:dyDescent="0.35">
      <c r="A4017">
        <v>1975</v>
      </c>
      <c r="B4017" s="1">
        <v>45692</v>
      </c>
      <c r="C4017" s="2">
        <v>0.29166666666666669</v>
      </c>
      <c r="D4017">
        <v>3</v>
      </c>
      <c r="E4017">
        <v>-3.1</v>
      </c>
      <c r="F4017">
        <v>96</v>
      </c>
    </row>
    <row r="4018" spans="1:6" x14ac:dyDescent="0.35">
      <c r="A4018">
        <v>1975</v>
      </c>
      <c r="B4018" s="1">
        <v>45692</v>
      </c>
      <c r="C4018" s="2">
        <v>0.33333333333333331</v>
      </c>
      <c r="D4018">
        <v>3</v>
      </c>
      <c r="E4018">
        <v>-2.1</v>
      </c>
      <c r="F4018">
        <v>93</v>
      </c>
    </row>
    <row r="4019" spans="1:6" x14ac:dyDescent="0.35">
      <c r="A4019">
        <v>1975</v>
      </c>
      <c r="B4019" s="1">
        <v>45692</v>
      </c>
      <c r="C4019" s="2">
        <v>0.375</v>
      </c>
      <c r="D4019">
        <v>3</v>
      </c>
      <c r="E4019">
        <v>-0.1</v>
      </c>
      <c r="F4019">
        <v>91</v>
      </c>
    </row>
    <row r="4020" spans="1:6" x14ac:dyDescent="0.35">
      <c r="A4020">
        <v>1975</v>
      </c>
      <c r="B4020" s="1">
        <v>45692</v>
      </c>
      <c r="C4020" s="2">
        <v>0.41666666666666669</v>
      </c>
      <c r="D4020">
        <v>3</v>
      </c>
      <c r="E4020">
        <v>0.5</v>
      </c>
      <c r="F4020">
        <v>95</v>
      </c>
    </row>
    <row r="4021" spans="1:6" x14ac:dyDescent="0.35">
      <c r="A4021">
        <v>1975</v>
      </c>
      <c r="B4021" s="1">
        <v>45692</v>
      </c>
      <c r="C4021" s="2">
        <v>0.45833333333333331</v>
      </c>
      <c r="D4021">
        <v>3</v>
      </c>
      <c r="E4021">
        <v>1.1000000000000001</v>
      </c>
      <c r="F4021">
        <v>94</v>
      </c>
    </row>
    <row r="4022" spans="1:6" x14ac:dyDescent="0.35">
      <c r="A4022">
        <v>1975</v>
      </c>
      <c r="B4022" s="1">
        <v>45692</v>
      </c>
      <c r="C4022" s="2">
        <v>0.5</v>
      </c>
      <c r="D4022">
        <v>3</v>
      </c>
      <c r="E4022">
        <v>1.6</v>
      </c>
      <c r="F4022">
        <v>93</v>
      </c>
    </row>
    <row r="4023" spans="1:6" x14ac:dyDescent="0.35">
      <c r="A4023">
        <v>1975</v>
      </c>
      <c r="B4023" s="1">
        <v>45692</v>
      </c>
      <c r="C4023" s="2">
        <v>0.54166666666666663</v>
      </c>
      <c r="D4023">
        <v>3</v>
      </c>
      <c r="E4023">
        <v>1.6</v>
      </c>
      <c r="F4023">
        <v>92</v>
      </c>
    </row>
    <row r="4024" spans="1:6" x14ac:dyDescent="0.35">
      <c r="A4024">
        <v>1975</v>
      </c>
      <c r="B4024" s="1">
        <v>45692</v>
      </c>
      <c r="C4024" s="2">
        <v>0.58333333333333337</v>
      </c>
      <c r="D4024">
        <v>3</v>
      </c>
      <c r="E4024">
        <v>1.9</v>
      </c>
      <c r="F4024">
        <v>89</v>
      </c>
    </row>
    <row r="4025" spans="1:6" x14ac:dyDescent="0.35">
      <c r="A4025">
        <v>1975</v>
      </c>
      <c r="B4025" s="1">
        <v>45692</v>
      </c>
      <c r="C4025" s="2">
        <v>0.625</v>
      </c>
      <c r="D4025">
        <v>3</v>
      </c>
      <c r="E4025">
        <v>2.4</v>
      </c>
      <c r="F4025">
        <v>87</v>
      </c>
    </row>
    <row r="4026" spans="1:6" x14ac:dyDescent="0.35">
      <c r="A4026">
        <v>1975</v>
      </c>
      <c r="B4026" s="1">
        <v>45692</v>
      </c>
      <c r="C4026" s="2">
        <v>0.66666666666666663</v>
      </c>
      <c r="D4026">
        <v>3</v>
      </c>
      <c r="E4026">
        <v>2.5</v>
      </c>
      <c r="F4026">
        <v>88</v>
      </c>
    </row>
    <row r="4027" spans="1:6" x14ac:dyDescent="0.35">
      <c r="A4027">
        <v>1975</v>
      </c>
      <c r="B4027" s="1">
        <v>45692</v>
      </c>
      <c r="C4027" s="2">
        <v>0.70833333333333337</v>
      </c>
      <c r="D4027">
        <v>3</v>
      </c>
      <c r="E4027">
        <v>2.9</v>
      </c>
      <c r="F4027">
        <v>85</v>
      </c>
    </row>
    <row r="4028" spans="1:6" x14ac:dyDescent="0.35">
      <c r="A4028">
        <v>1975</v>
      </c>
      <c r="B4028" s="1">
        <v>45692</v>
      </c>
      <c r="C4028" s="2">
        <v>0.75</v>
      </c>
      <c r="D4028">
        <v>3</v>
      </c>
      <c r="E4028">
        <v>3.2</v>
      </c>
      <c r="F4028">
        <v>84</v>
      </c>
    </row>
    <row r="4029" spans="1:6" x14ac:dyDescent="0.35">
      <c r="A4029">
        <v>1975</v>
      </c>
      <c r="B4029" s="1">
        <v>45692</v>
      </c>
      <c r="C4029" s="2">
        <v>0.79166666666666663</v>
      </c>
      <c r="D4029">
        <v>3</v>
      </c>
      <c r="E4029">
        <v>3.3</v>
      </c>
      <c r="F4029">
        <v>83</v>
      </c>
    </row>
    <row r="4030" spans="1:6" x14ac:dyDescent="0.35">
      <c r="A4030">
        <v>1975</v>
      </c>
      <c r="B4030" s="1">
        <v>45692</v>
      </c>
      <c r="C4030" s="2">
        <v>0.83333333333333337</v>
      </c>
      <c r="D4030">
        <v>3</v>
      </c>
      <c r="E4030">
        <v>3.6</v>
      </c>
      <c r="F4030">
        <v>82</v>
      </c>
    </row>
    <row r="4031" spans="1:6" x14ac:dyDescent="0.35">
      <c r="A4031">
        <v>1975</v>
      </c>
      <c r="B4031" s="1">
        <v>45692</v>
      </c>
      <c r="C4031" s="2">
        <v>0.875</v>
      </c>
      <c r="D4031">
        <v>3</v>
      </c>
      <c r="E4031">
        <v>3.3</v>
      </c>
      <c r="F4031">
        <v>83</v>
      </c>
    </row>
    <row r="4032" spans="1:6" x14ac:dyDescent="0.35">
      <c r="A4032">
        <v>1975</v>
      </c>
      <c r="B4032" s="1">
        <v>45692</v>
      </c>
      <c r="C4032" s="2">
        <v>0.91666666666666663</v>
      </c>
      <c r="D4032">
        <v>3</v>
      </c>
      <c r="E4032">
        <v>3.3</v>
      </c>
      <c r="F4032">
        <v>84</v>
      </c>
    </row>
    <row r="4033" spans="1:6" x14ac:dyDescent="0.35">
      <c r="A4033">
        <v>1975</v>
      </c>
      <c r="B4033" s="1">
        <v>45692</v>
      </c>
      <c r="C4033" s="2">
        <v>0.95833333333333337</v>
      </c>
      <c r="D4033">
        <v>3</v>
      </c>
      <c r="E4033">
        <v>3.1</v>
      </c>
      <c r="F4033">
        <v>86</v>
      </c>
    </row>
    <row r="4034" spans="1:6" x14ac:dyDescent="0.35">
      <c r="A4034">
        <v>1975</v>
      </c>
      <c r="B4034" s="1">
        <v>45693</v>
      </c>
      <c r="C4034" s="2">
        <v>0</v>
      </c>
      <c r="D4034">
        <v>3</v>
      </c>
      <c r="E4034">
        <v>3</v>
      </c>
      <c r="F4034">
        <v>82</v>
      </c>
    </row>
    <row r="4035" spans="1:6" x14ac:dyDescent="0.35">
      <c r="A4035">
        <v>1975</v>
      </c>
      <c r="B4035" s="1">
        <v>45693</v>
      </c>
      <c r="C4035" s="2">
        <v>4.1666666666666657E-2</v>
      </c>
      <c r="D4035">
        <v>3</v>
      </c>
      <c r="E4035">
        <v>1.8</v>
      </c>
      <c r="F4035">
        <v>85</v>
      </c>
    </row>
    <row r="4036" spans="1:6" x14ac:dyDescent="0.35">
      <c r="A4036">
        <v>1975</v>
      </c>
      <c r="B4036" s="1">
        <v>45693</v>
      </c>
      <c r="C4036" s="2">
        <v>8.3333333333333329E-2</v>
      </c>
      <c r="D4036">
        <v>3</v>
      </c>
      <c r="E4036">
        <v>1.6</v>
      </c>
      <c r="F4036">
        <v>85</v>
      </c>
    </row>
    <row r="4037" spans="1:6" x14ac:dyDescent="0.35">
      <c r="A4037">
        <v>1975</v>
      </c>
      <c r="B4037" s="1">
        <v>45693</v>
      </c>
      <c r="C4037" s="2">
        <v>0.125</v>
      </c>
      <c r="D4037">
        <v>3</v>
      </c>
      <c r="E4037">
        <v>1.3</v>
      </c>
      <c r="F4037">
        <v>89</v>
      </c>
    </row>
    <row r="4038" spans="1:6" x14ac:dyDescent="0.35">
      <c r="A4038">
        <v>1975</v>
      </c>
      <c r="B4038" s="1">
        <v>45693</v>
      </c>
      <c r="C4038" s="2">
        <v>0.16666666666666671</v>
      </c>
      <c r="D4038">
        <v>3</v>
      </c>
      <c r="E4038">
        <v>1.1000000000000001</v>
      </c>
      <c r="F4038">
        <v>96</v>
      </c>
    </row>
    <row r="4039" spans="1:6" x14ac:dyDescent="0.35">
      <c r="A4039">
        <v>1975</v>
      </c>
      <c r="B4039" s="1">
        <v>45693</v>
      </c>
      <c r="C4039" s="2">
        <v>0.20833333333333329</v>
      </c>
      <c r="D4039">
        <v>3</v>
      </c>
      <c r="E4039">
        <v>1.4</v>
      </c>
      <c r="F4039">
        <v>98</v>
      </c>
    </row>
    <row r="4040" spans="1:6" x14ac:dyDescent="0.35">
      <c r="A4040">
        <v>1975</v>
      </c>
      <c r="B4040" s="1">
        <v>45693</v>
      </c>
      <c r="C4040" s="2">
        <v>0.25</v>
      </c>
      <c r="D4040">
        <v>3</v>
      </c>
      <c r="E4040">
        <v>1.8</v>
      </c>
      <c r="F4040">
        <v>98</v>
      </c>
    </row>
    <row r="4041" spans="1:6" x14ac:dyDescent="0.35">
      <c r="A4041">
        <v>1975</v>
      </c>
      <c r="B4041" s="1">
        <v>45693</v>
      </c>
      <c r="C4041" s="2">
        <v>0.29166666666666669</v>
      </c>
      <c r="D4041">
        <v>3</v>
      </c>
      <c r="E4041">
        <v>2.4</v>
      </c>
      <c r="F4041">
        <v>99</v>
      </c>
    </row>
    <row r="4042" spans="1:6" x14ac:dyDescent="0.35">
      <c r="A4042">
        <v>1975</v>
      </c>
      <c r="B4042" s="1">
        <v>45693</v>
      </c>
      <c r="C4042" s="2">
        <v>0.33333333333333331</v>
      </c>
      <c r="D4042">
        <v>3</v>
      </c>
      <c r="E4042">
        <v>2.8</v>
      </c>
      <c r="F4042">
        <v>100</v>
      </c>
    </row>
    <row r="4043" spans="1:6" x14ac:dyDescent="0.35">
      <c r="A4043">
        <v>1975</v>
      </c>
      <c r="B4043" s="1">
        <v>45693</v>
      </c>
      <c r="C4043" s="2">
        <v>0.375</v>
      </c>
      <c r="D4043">
        <v>3</v>
      </c>
      <c r="E4043">
        <v>3.4</v>
      </c>
      <c r="F4043">
        <v>100</v>
      </c>
    </row>
    <row r="4044" spans="1:6" x14ac:dyDescent="0.35">
      <c r="A4044">
        <v>1975</v>
      </c>
      <c r="B4044" s="1">
        <v>45693</v>
      </c>
      <c r="C4044" s="2">
        <v>0.41666666666666669</v>
      </c>
      <c r="D4044">
        <v>3</v>
      </c>
      <c r="E4044">
        <v>4</v>
      </c>
      <c r="F4044">
        <v>100</v>
      </c>
    </row>
    <row r="4045" spans="1:6" x14ac:dyDescent="0.35">
      <c r="A4045">
        <v>1975</v>
      </c>
      <c r="B4045" s="1">
        <v>45693</v>
      </c>
      <c r="C4045" s="2">
        <v>0.45833333333333331</v>
      </c>
      <c r="D4045">
        <v>3</v>
      </c>
      <c r="E4045">
        <v>4.8</v>
      </c>
      <c r="F4045">
        <v>99</v>
      </c>
    </row>
    <row r="4046" spans="1:6" x14ac:dyDescent="0.35">
      <c r="A4046">
        <v>1975</v>
      </c>
      <c r="B4046" s="1">
        <v>45693</v>
      </c>
      <c r="C4046" s="2">
        <v>0.5</v>
      </c>
      <c r="D4046">
        <v>3</v>
      </c>
      <c r="E4046">
        <v>5.7</v>
      </c>
      <c r="F4046">
        <v>96</v>
      </c>
    </row>
    <row r="4047" spans="1:6" x14ac:dyDescent="0.35">
      <c r="A4047">
        <v>1975</v>
      </c>
      <c r="B4047" s="1">
        <v>45693</v>
      </c>
      <c r="C4047" s="2">
        <v>0.54166666666666663</v>
      </c>
      <c r="D4047">
        <v>3</v>
      </c>
      <c r="E4047">
        <v>6.3</v>
      </c>
      <c r="F4047">
        <v>92</v>
      </c>
    </row>
    <row r="4048" spans="1:6" x14ac:dyDescent="0.35">
      <c r="A4048">
        <v>1975</v>
      </c>
      <c r="B4048" s="1">
        <v>45693</v>
      </c>
      <c r="C4048" s="2">
        <v>0.58333333333333337</v>
      </c>
      <c r="D4048">
        <v>3</v>
      </c>
      <c r="E4048">
        <v>6.9</v>
      </c>
      <c r="F4048">
        <v>90</v>
      </c>
    </row>
    <row r="4049" spans="1:6" x14ac:dyDescent="0.35">
      <c r="A4049">
        <v>1975</v>
      </c>
      <c r="B4049" s="1">
        <v>45693</v>
      </c>
      <c r="C4049" s="2">
        <v>0.625</v>
      </c>
      <c r="D4049">
        <v>3</v>
      </c>
      <c r="E4049">
        <v>6.8</v>
      </c>
      <c r="F4049">
        <v>88</v>
      </c>
    </row>
    <row r="4050" spans="1:6" x14ac:dyDescent="0.35">
      <c r="A4050">
        <v>1975</v>
      </c>
      <c r="B4050" s="1">
        <v>45693</v>
      </c>
      <c r="C4050" s="2">
        <v>0.66666666666666663</v>
      </c>
      <c r="D4050">
        <v>3</v>
      </c>
      <c r="E4050">
        <v>6.5</v>
      </c>
      <c r="F4050">
        <v>88</v>
      </c>
    </row>
    <row r="4051" spans="1:6" x14ac:dyDescent="0.35">
      <c r="A4051">
        <v>1975</v>
      </c>
      <c r="B4051" s="1">
        <v>45693</v>
      </c>
      <c r="C4051" s="2">
        <v>0.70833333333333337</v>
      </c>
      <c r="D4051">
        <v>3</v>
      </c>
      <c r="E4051">
        <v>5.5</v>
      </c>
      <c r="F4051">
        <v>90</v>
      </c>
    </row>
    <row r="4052" spans="1:6" x14ac:dyDescent="0.35">
      <c r="A4052">
        <v>1975</v>
      </c>
      <c r="B4052" s="1">
        <v>45693</v>
      </c>
      <c r="C4052" s="2">
        <v>0.75</v>
      </c>
      <c r="D4052">
        <v>3</v>
      </c>
      <c r="E4052">
        <v>5.2</v>
      </c>
      <c r="F4052">
        <v>93</v>
      </c>
    </row>
    <row r="4053" spans="1:6" x14ac:dyDescent="0.35">
      <c r="A4053">
        <v>1975</v>
      </c>
      <c r="B4053" s="1">
        <v>45693</v>
      </c>
      <c r="C4053" s="2">
        <v>0.79166666666666663</v>
      </c>
      <c r="D4053">
        <v>3</v>
      </c>
      <c r="E4053">
        <v>4.3</v>
      </c>
      <c r="F4053">
        <v>97</v>
      </c>
    </row>
    <row r="4054" spans="1:6" x14ac:dyDescent="0.35">
      <c r="A4054">
        <v>1975</v>
      </c>
      <c r="B4054" s="1">
        <v>45693</v>
      </c>
      <c r="C4054" s="2">
        <v>0.83333333333333337</v>
      </c>
      <c r="D4054">
        <v>3</v>
      </c>
      <c r="E4054">
        <v>4.7</v>
      </c>
      <c r="F4054">
        <v>97</v>
      </c>
    </row>
    <row r="4055" spans="1:6" x14ac:dyDescent="0.35">
      <c r="A4055">
        <v>1975</v>
      </c>
      <c r="B4055" s="1">
        <v>45693</v>
      </c>
      <c r="C4055" s="2">
        <v>0.875</v>
      </c>
      <c r="D4055">
        <v>3</v>
      </c>
      <c r="E4055">
        <v>3.1</v>
      </c>
      <c r="F4055">
        <v>100</v>
      </c>
    </row>
    <row r="4056" spans="1:6" x14ac:dyDescent="0.35">
      <c r="A4056">
        <v>1975</v>
      </c>
      <c r="B4056" s="1">
        <v>45693</v>
      </c>
      <c r="C4056" s="2">
        <v>0.91666666666666663</v>
      </c>
      <c r="D4056">
        <v>3</v>
      </c>
      <c r="E4056">
        <v>3.1</v>
      </c>
      <c r="F4056">
        <v>100</v>
      </c>
    </row>
    <row r="4057" spans="1:6" x14ac:dyDescent="0.35">
      <c r="A4057">
        <v>1975</v>
      </c>
      <c r="B4057" s="1">
        <v>45693</v>
      </c>
      <c r="C4057" s="2">
        <v>0.95833333333333337</v>
      </c>
      <c r="D4057">
        <v>3</v>
      </c>
      <c r="E4057">
        <v>4.2</v>
      </c>
      <c r="F4057">
        <v>97</v>
      </c>
    </row>
    <row r="4058" spans="1:6" x14ac:dyDescent="0.35">
      <c r="A4058">
        <v>1975</v>
      </c>
      <c r="B4058" s="1">
        <v>45694</v>
      </c>
      <c r="C4058" s="2">
        <v>0</v>
      </c>
      <c r="D4058">
        <v>3</v>
      </c>
      <c r="E4058">
        <v>4.3</v>
      </c>
      <c r="F4058">
        <v>97</v>
      </c>
    </row>
    <row r="4059" spans="1:6" x14ac:dyDescent="0.35">
      <c r="A4059">
        <v>1975</v>
      </c>
      <c r="B4059" s="1">
        <v>45694</v>
      </c>
      <c r="C4059" s="2">
        <v>4.1666666666666657E-2</v>
      </c>
      <c r="D4059">
        <v>3</v>
      </c>
      <c r="E4059">
        <v>4.0999999999999996</v>
      </c>
      <c r="F4059">
        <v>98</v>
      </c>
    </row>
    <row r="4060" spans="1:6" x14ac:dyDescent="0.35">
      <c r="A4060">
        <v>1975</v>
      </c>
      <c r="B4060" s="1">
        <v>45694</v>
      </c>
      <c r="C4060" s="2">
        <v>8.3333333333333329E-2</v>
      </c>
      <c r="D4060">
        <v>3</v>
      </c>
      <c r="E4060">
        <v>3.9</v>
      </c>
      <c r="F4060">
        <v>100</v>
      </c>
    </row>
    <row r="4061" spans="1:6" x14ac:dyDescent="0.35">
      <c r="A4061">
        <v>1975</v>
      </c>
      <c r="B4061" s="1">
        <v>45694</v>
      </c>
      <c r="C4061" s="2">
        <v>0.125</v>
      </c>
      <c r="D4061">
        <v>3</v>
      </c>
      <c r="E4061">
        <v>3.7</v>
      </c>
      <c r="F4061">
        <v>100</v>
      </c>
    </row>
    <row r="4062" spans="1:6" x14ac:dyDescent="0.35">
      <c r="A4062">
        <v>1975</v>
      </c>
      <c r="B4062" s="1">
        <v>45694</v>
      </c>
      <c r="C4062" s="2">
        <v>0.16666666666666671</v>
      </c>
      <c r="D4062">
        <v>3</v>
      </c>
      <c r="E4062">
        <v>3.6</v>
      </c>
      <c r="F4062">
        <v>100</v>
      </c>
    </row>
    <row r="4063" spans="1:6" x14ac:dyDescent="0.35">
      <c r="A4063">
        <v>1975</v>
      </c>
      <c r="B4063" s="1">
        <v>45694</v>
      </c>
      <c r="C4063" s="2">
        <v>0.20833333333333329</v>
      </c>
      <c r="D4063">
        <v>3</v>
      </c>
      <c r="E4063">
        <v>3.7</v>
      </c>
      <c r="F4063">
        <v>100</v>
      </c>
    </row>
    <row r="4064" spans="1:6" x14ac:dyDescent="0.35">
      <c r="A4064">
        <v>1975</v>
      </c>
      <c r="B4064" s="1">
        <v>45694</v>
      </c>
      <c r="C4064" s="2">
        <v>0.25</v>
      </c>
      <c r="D4064">
        <v>3</v>
      </c>
      <c r="E4064">
        <v>3.7</v>
      </c>
      <c r="F4064">
        <v>100</v>
      </c>
    </row>
    <row r="4065" spans="1:6" x14ac:dyDescent="0.35">
      <c r="A4065">
        <v>1975</v>
      </c>
      <c r="B4065" s="1">
        <v>45694</v>
      </c>
      <c r="C4065" s="2">
        <v>0.29166666666666669</v>
      </c>
      <c r="D4065">
        <v>3</v>
      </c>
      <c r="E4065">
        <v>3.8</v>
      </c>
      <c r="F4065">
        <v>100</v>
      </c>
    </row>
    <row r="4066" spans="1:6" x14ac:dyDescent="0.35">
      <c r="A4066">
        <v>1975</v>
      </c>
      <c r="B4066" s="1">
        <v>45694</v>
      </c>
      <c r="C4066" s="2">
        <v>0.33333333333333331</v>
      </c>
      <c r="D4066">
        <v>3</v>
      </c>
      <c r="E4066">
        <v>4.0999999999999996</v>
      </c>
      <c r="F4066">
        <v>97</v>
      </c>
    </row>
    <row r="4067" spans="1:6" x14ac:dyDescent="0.35">
      <c r="A4067">
        <v>1975</v>
      </c>
      <c r="B4067" s="1">
        <v>45694</v>
      </c>
      <c r="C4067" s="2">
        <v>0.375</v>
      </c>
      <c r="D4067">
        <v>3</v>
      </c>
      <c r="E4067">
        <v>4.0999999999999996</v>
      </c>
      <c r="F4067">
        <v>97</v>
      </c>
    </row>
    <row r="4068" spans="1:6" x14ac:dyDescent="0.35">
      <c r="A4068">
        <v>1975</v>
      </c>
      <c r="B4068" s="1">
        <v>45694</v>
      </c>
      <c r="C4068" s="2">
        <v>0.41666666666666669</v>
      </c>
      <c r="D4068">
        <v>3</v>
      </c>
      <c r="E4068">
        <v>4.7</v>
      </c>
      <c r="F4068">
        <v>92</v>
      </c>
    </row>
    <row r="4069" spans="1:6" x14ac:dyDescent="0.35">
      <c r="A4069">
        <v>1975</v>
      </c>
      <c r="B4069" s="1">
        <v>45694</v>
      </c>
      <c r="C4069" s="2">
        <v>0.45833333333333331</v>
      </c>
      <c r="D4069">
        <v>3</v>
      </c>
      <c r="E4069">
        <v>4.5999999999999996</v>
      </c>
      <c r="F4069">
        <v>89</v>
      </c>
    </row>
    <row r="4070" spans="1:6" x14ac:dyDescent="0.35">
      <c r="A4070">
        <v>1975</v>
      </c>
      <c r="B4070" s="1">
        <v>45694</v>
      </c>
      <c r="C4070" s="2">
        <v>0.5</v>
      </c>
      <c r="D4070">
        <v>3</v>
      </c>
      <c r="E4070">
        <v>5.3</v>
      </c>
      <c r="F4070">
        <v>81</v>
      </c>
    </row>
    <row r="4071" spans="1:6" x14ac:dyDescent="0.35">
      <c r="A4071">
        <v>1975</v>
      </c>
      <c r="B4071" s="1">
        <v>45694</v>
      </c>
      <c r="C4071" s="2">
        <v>0.54166666666666663</v>
      </c>
      <c r="D4071">
        <v>3</v>
      </c>
      <c r="E4071">
        <v>5.5</v>
      </c>
      <c r="F4071">
        <v>79</v>
      </c>
    </row>
    <row r="4072" spans="1:6" x14ac:dyDescent="0.35">
      <c r="A4072">
        <v>1975</v>
      </c>
      <c r="B4072" s="1">
        <v>45694</v>
      </c>
      <c r="C4072" s="2">
        <v>0.58333333333333337</v>
      </c>
      <c r="D4072">
        <v>3</v>
      </c>
      <c r="E4072">
        <v>5.8</v>
      </c>
      <c r="F4072">
        <v>76</v>
      </c>
    </row>
    <row r="4073" spans="1:6" x14ac:dyDescent="0.35">
      <c r="A4073">
        <v>1975</v>
      </c>
      <c r="B4073" s="1">
        <v>45694</v>
      </c>
      <c r="C4073" s="2">
        <v>0.625</v>
      </c>
      <c r="D4073">
        <v>3</v>
      </c>
      <c r="E4073">
        <v>5.3</v>
      </c>
      <c r="F4073">
        <v>75</v>
      </c>
    </row>
    <row r="4074" spans="1:6" x14ac:dyDescent="0.35">
      <c r="A4074">
        <v>1975</v>
      </c>
      <c r="B4074" s="1">
        <v>45694</v>
      </c>
      <c r="C4074" s="2">
        <v>0.66666666666666663</v>
      </c>
      <c r="D4074">
        <v>3</v>
      </c>
      <c r="E4074">
        <v>4.3</v>
      </c>
      <c r="F4074">
        <v>82</v>
      </c>
    </row>
    <row r="4075" spans="1:6" x14ac:dyDescent="0.35">
      <c r="A4075">
        <v>1975</v>
      </c>
      <c r="B4075" s="1">
        <v>45694</v>
      </c>
      <c r="C4075" s="2">
        <v>0.70833333333333337</v>
      </c>
      <c r="D4075">
        <v>3</v>
      </c>
      <c r="E4075">
        <v>4</v>
      </c>
      <c r="F4075">
        <v>84</v>
      </c>
    </row>
    <row r="4076" spans="1:6" x14ac:dyDescent="0.35">
      <c r="A4076">
        <v>1975</v>
      </c>
      <c r="B4076" s="1">
        <v>45694</v>
      </c>
      <c r="C4076" s="2">
        <v>0.75</v>
      </c>
      <c r="D4076">
        <v>3</v>
      </c>
      <c r="E4076">
        <v>4.2</v>
      </c>
      <c r="F4076">
        <v>81</v>
      </c>
    </row>
    <row r="4077" spans="1:6" x14ac:dyDescent="0.35">
      <c r="A4077">
        <v>1975</v>
      </c>
      <c r="B4077" s="1">
        <v>45694</v>
      </c>
      <c r="C4077" s="2">
        <v>0.79166666666666663</v>
      </c>
      <c r="D4077">
        <v>3</v>
      </c>
      <c r="E4077">
        <v>3.3</v>
      </c>
      <c r="F4077">
        <v>83</v>
      </c>
    </row>
    <row r="4078" spans="1:6" x14ac:dyDescent="0.35">
      <c r="A4078">
        <v>1975</v>
      </c>
      <c r="B4078" s="1">
        <v>45694</v>
      </c>
      <c r="C4078" s="2">
        <v>0.83333333333333337</v>
      </c>
      <c r="D4078">
        <v>3</v>
      </c>
      <c r="E4078">
        <v>3</v>
      </c>
      <c r="F4078">
        <v>83</v>
      </c>
    </row>
    <row r="4079" spans="1:6" x14ac:dyDescent="0.35">
      <c r="A4079">
        <v>1975</v>
      </c>
      <c r="B4079" s="1">
        <v>45694</v>
      </c>
      <c r="C4079" s="2">
        <v>0.875</v>
      </c>
      <c r="D4079">
        <v>3</v>
      </c>
      <c r="E4079">
        <v>3</v>
      </c>
      <c r="F4079">
        <v>82</v>
      </c>
    </row>
    <row r="4080" spans="1:6" x14ac:dyDescent="0.35">
      <c r="A4080">
        <v>1975</v>
      </c>
      <c r="B4080" s="1">
        <v>45694</v>
      </c>
      <c r="C4080" s="2">
        <v>0.91666666666666663</v>
      </c>
      <c r="D4080">
        <v>3</v>
      </c>
      <c r="E4080">
        <v>3</v>
      </c>
      <c r="F4080">
        <v>82</v>
      </c>
    </row>
    <row r="4081" spans="1:6" x14ac:dyDescent="0.35">
      <c r="A4081">
        <v>1975</v>
      </c>
      <c r="B4081" s="1">
        <v>45694</v>
      </c>
      <c r="C4081" s="2">
        <v>0.95833333333333337</v>
      </c>
      <c r="D4081">
        <v>3</v>
      </c>
      <c r="E4081">
        <v>3</v>
      </c>
      <c r="F4081">
        <v>80</v>
      </c>
    </row>
    <row r="4082" spans="1:6" x14ac:dyDescent="0.35">
      <c r="A4082">
        <v>1975</v>
      </c>
      <c r="B4082" s="1">
        <v>45695</v>
      </c>
      <c r="C4082" s="2">
        <v>0</v>
      </c>
      <c r="D4082">
        <v>3</v>
      </c>
      <c r="E4082">
        <v>3.1</v>
      </c>
      <c r="F4082">
        <v>78</v>
      </c>
    </row>
    <row r="4083" spans="1:6" x14ac:dyDescent="0.35">
      <c r="A4083">
        <v>1975</v>
      </c>
      <c r="B4083" s="1">
        <v>45695</v>
      </c>
      <c r="C4083" s="2">
        <v>4.1666666666666657E-2</v>
      </c>
      <c r="D4083">
        <v>3</v>
      </c>
      <c r="E4083">
        <v>3.1</v>
      </c>
      <c r="F4083">
        <v>80</v>
      </c>
    </row>
    <row r="4084" spans="1:6" x14ac:dyDescent="0.35">
      <c r="A4084">
        <v>1975</v>
      </c>
      <c r="B4084" s="1">
        <v>45695</v>
      </c>
      <c r="C4084" s="2">
        <v>8.3333333333333329E-2</v>
      </c>
      <c r="D4084">
        <v>3</v>
      </c>
      <c r="E4084">
        <v>3.2</v>
      </c>
      <c r="F4084">
        <v>78</v>
      </c>
    </row>
    <row r="4085" spans="1:6" x14ac:dyDescent="0.35">
      <c r="A4085">
        <v>1975</v>
      </c>
      <c r="B4085" s="1">
        <v>45695</v>
      </c>
      <c r="C4085" s="2">
        <v>0.125</v>
      </c>
      <c r="D4085">
        <v>3</v>
      </c>
      <c r="E4085">
        <v>3.2</v>
      </c>
      <c r="F4085">
        <v>77</v>
      </c>
    </row>
    <row r="4086" spans="1:6" x14ac:dyDescent="0.35">
      <c r="A4086">
        <v>1975</v>
      </c>
      <c r="B4086" s="1">
        <v>45695</v>
      </c>
      <c r="C4086" s="2">
        <v>0.16666666666666671</v>
      </c>
      <c r="D4086">
        <v>3</v>
      </c>
      <c r="E4086">
        <v>3</v>
      </c>
      <c r="F4086">
        <v>80</v>
      </c>
    </row>
    <row r="4087" spans="1:6" x14ac:dyDescent="0.35">
      <c r="A4087">
        <v>1975</v>
      </c>
      <c r="B4087" s="1">
        <v>45695</v>
      </c>
      <c r="C4087" s="2">
        <v>0.20833333333333329</v>
      </c>
      <c r="D4087">
        <v>3</v>
      </c>
      <c r="E4087">
        <v>2.8</v>
      </c>
      <c r="F4087">
        <v>79</v>
      </c>
    </row>
    <row r="4088" spans="1:6" x14ac:dyDescent="0.35">
      <c r="A4088">
        <v>1975</v>
      </c>
      <c r="B4088" s="1">
        <v>45695</v>
      </c>
      <c r="C4088" s="2">
        <v>0.25</v>
      </c>
      <c r="D4088">
        <v>3</v>
      </c>
      <c r="E4088">
        <v>2.5</v>
      </c>
      <c r="F4088">
        <v>79</v>
      </c>
    </row>
    <row r="4089" spans="1:6" x14ac:dyDescent="0.35">
      <c r="A4089">
        <v>1975</v>
      </c>
      <c r="B4089" s="1">
        <v>45695</v>
      </c>
      <c r="C4089" s="2">
        <v>0.29166666666666669</v>
      </c>
      <c r="D4089">
        <v>3</v>
      </c>
      <c r="E4089">
        <v>2.2000000000000002</v>
      </c>
      <c r="F4089">
        <v>79</v>
      </c>
    </row>
    <row r="4090" spans="1:6" x14ac:dyDescent="0.35">
      <c r="A4090">
        <v>1975</v>
      </c>
      <c r="B4090" s="1">
        <v>45695</v>
      </c>
      <c r="C4090" s="2">
        <v>0.33333333333333331</v>
      </c>
      <c r="D4090">
        <v>3</v>
      </c>
      <c r="E4090">
        <v>2.4</v>
      </c>
      <c r="F4090">
        <v>79</v>
      </c>
    </row>
    <row r="4091" spans="1:6" x14ac:dyDescent="0.35">
      <c r="A4091">
        <v>1975</v>
      </c>
      <c r="B4091" s="1">
        <v>45695</v>
      </c>
      <c r="C4091" s="2">
        <v>0.375</v>
      </c>
      <c r="D4091">
        <v>3</v>
      </c>
      <c r="E4091">
        <v>2.6</v>
      </c>
      <c r="F4091">
        <v>80</v>
      </c>
    </row>
    <row r="4092" spans="1:6" x14ac:dyDescent="0.35">
      <c r="A4092">
        <v>1975</v>
      </c>
      <c r="B4092" s="1">
        <v>45695</v>
      </c>
      <c r="C4092" s="2">
        <v>0.41666666666666669</v>
      </c>
      <c r="D4092">
        <v>3</v>
      </c>
      <c r="E4092">
        <v>2.9</v>
      </c>
      <c r="F4092">
        <v>79</v>
      </c>
    </row>
    <row r="4093" spans="1:6" x14ac:dyDescent="0.35">
      <c r="A4093">
        <v>1975</v>
      </c>
      <c r="B4093" s="1">
        <v>45695</v>
      </c>
      <c r="C4093" s="2">
        <v>0.45833333333333331</v>
      </c>
      <c r="D4093">
        <v>3</v>
      </c>
      <c r="E4093">
        <v>3.2</v>
      </c>
      <c r="F4093">
        <v>75</v>
      </c>
    </row>
    <row r="4094" spans="1:6" x14ac:dyDescent="0.35">
      <c r="A4094">
        <v>1975</v>
      </c>
      <c r="B4094" s="1">
        <v>45695</v>
      </c>
      <c r="C4094" s="2">
        <v>0.5</v>
      </c>
      <c r="D4094">
        <v>3</v>
      </c>
      <c r="E4094">
        <v>3.3</v>
      </c>
      <c r="F4094">
        <v>75</v>
      </c>
    </row>
    <row r="4095" spans="1:6" x14ac:dyDescent="0.35">
      <c r="A4095">
        <v>1975</v>
      </c>
      <c r="B4095" s="1">
        <v>45695</v>
      </c>
      <c r="C4095" s="2">
        <v>0.54166666666666663</v>
      </c>
      <c r="D4095">
        <v>3</v>
      </c>
      <c r="E4095">
        <v>3</v>
      </c>
      <c r="F4095">
        <v>84</v>
      </c>
    </row>
    <row r="4096" spans="1:6" x14ac:dyDescent="0.35">
      <c r="A4096">
        <v>1975</v>
      </c>
      <c r="B4096" s="1">
        <v>45695</v>
      </c>
      <c r="C4096" s="2">
        <v>0.58333333333333337</v>
      </c>
      <c r="D4096">
        <v>3</v>
      </c>
      <c r="E4096">
        <v>3.5</v>
      </c>
      <c r="F4096">
        <v>75</v>
      </c>
    </row>
    <row r="4097" spans="1:6" x14ac:dyDescent="0.35">
      <c r="A4097">
        <v>1975</v>
      </c>
      <c r="B4097" s="1">
        <v>45695</v>
      </c>
      <c r="C4097" s="2">
        <v>0.625</v>
      </c>
      <c r="D4097">
        <v>3</v>
      </c>
      <c r="E4097">
        <v>3.8</v>
      </c>
      <c r="F4097">
        <v>72</v>
      </c>
    </row>
    <row r="4098" spans="1:6" x14ac:dyDescent="0.35">
      <c r="A4098">
        <v>1975</v>
      </c>
      <c r="B4098" s="1">
        <v>45695</v>
      </c>
      <c r="C4098" s="2">
        <v>0.66666666666666663</v>
      </c>
      <c r="D4098">
        <v>3</v>
      </c>
      <c r="E4098">
        <v>3.3</v>
      </c>
      <c r="F4098">
        <v>83</v>
      </c>
    </row>
    <row r="4099" spans="1:6" x14ac:dyDescent="0.35">
      <c r="A4099">
        <v>1975</v>
      </c>
      <c r="B4099" s="1">
        <v>45695</v>
      </c>
      <c r="C4099" s="2">
        <v>0.70833333333333337</v>
      </c>
      <c r="D4099">
        <v>3</v>
      </c>
      <c r="E4099">
        <v>2.8</v>
      </c>
      <c r="F4099">
        <v>82</v>
      </c>
    </row>
    <row r="4100" spans="1:6" x14ac:dyDescent="0.35">
      <c r="A4100">
        <v>1975</v>
      </c>
      <c r="B4100" s="1">
        <v>45695</v>
      </c>
      <c r="C4100" s="2">
        <v>0.75</v>
      </c>
      <c r="D4100">
        <v>3</v>
      </c>
      <c r="E4100">
        <v>2.9</v>
      </c>
      <c r="F4100">
        <v>82</v>
      </c>
    </row>
    <row r="4101" spans="1:6" x14ac:dyDescent="0.35">
      <c r="A4101">
        <v>1975</v>
      </c>
      <c r="B4101" s="1">
        <v>45695</v>
      </c>
      <c r="C4101" s="2">
        <v>0.79166666666666663</v>
      </c>
      <c r="D4101">
        <v>3</v>
      </c>
      <c r="E4101">
        <v>2.8</v>
      </c>
      <c r="F4101">
        <v>82</v>
      </c>
    </row>
    <row r="4102" spans="1:6" x14ac:dyDescent="0.35">
      <c r="A4102">
        <v>1975</v>
      </c>
      <c r="B4102" s="1">
        <v>45695</v>
      </c>
      <c r="C4102" s="2">
        <v>0.83333333333333337</v>
      </c>
      <c r="D4102">
        <v>3</v>
      </c>
      <c r="E4102">
        <v>2.6</v>
      </c>
      <c r="F4102">
        <v>75</v>
      </c>
    </row>
    <row r="4103" spans="1:6" x14ac:dyDescent="0.35">
      <c r="A4103">
        <v>1975</v>
      </c>
      <c r="B4103" s="1">
        <v>45695</v>
      </c>
      <c r="C4103" s="2">
        <v>0.875</v>
      </c>
      <c r="D4103">
        <v>3</v>
      </c>
      <c r="E4103">
        <v>2.4</v>
      </c>
      <c r="F4103">
        <v>78</v>
      </c>
    </row>
    <row r="4104" spans="1:6" x14ac:dyDescent="0.35">
      <c r="A4104">
        <v>1975</v>
      </c>
      <c r="B4104" s="1">
        <v>45695</v>
      </c>
      <c r="C4104" s="2">
        <v>0.91666666666666663</v>
      </c>
      <c r="D4104">
        <v>3</v>
      </c>
      <c r="E4104">
        <v>1.8</v>
      </c>
      <c r="F4104">
        <v>80</v>
      </c>
    </row>
    <row r="4105" spans="1:6" x14ac:dyDescent="0.35">
      <c r="A4105">
        <v>1975</v>
      </c>
      <c r="B4105" s="1">
        <v>45695</v>
      </c>
      <c r="C4105" s="2">
        <v>0.95833333333333337</v>
      </c>
      <c r="D4105">
        <v>3</v>
      </c>
      <c r="E4105">
        <v>1.3</v>
      </c>
      <c r="F4105">
        <v>85</v>
      </c>
    </row>
    <row r="4106" spans="1:6" x14ac:dyDescent="0.35">
      <c r="A4106">
        <v>1975</v>
      </c>
      <c r="B4106" s="1">
        <v>45696</v>
      </c>
      <c r="C4106" s="2">
        <v>0</v>
      </c>
      <c r="D4106">
        <v>3</v>
      </c>
      <c r="E4106">
        <v>1.1000000000000001</v>
      </c>
      <c r="F4106">
        <v>85</v>
      </c>
    </row>
    <row r="4107" spans="1:6" x14ac:dyDescent="0.35">
      <c r="A4107">
        <v>1975</v>
      </c>
      <c r="B4107" s="1">
        <v>45696</v>
      </c>
      <c r="C4107" s="2">
        <v>4.1666666666666657E-2</v>
      </c>
      <c r="D4107">
        <v>3</v>
      </c>
      <c r="E4107">
        <v>0.7</v>
      </c>
      <c r="F4107">
        <v>84</v>
      </c>
    </row>
    <row r="4108" spans="1:6" x14ac:dyDescent="0.35">
      <c r="A4108">
        <v>1975</v>
      </c>
      <c r="B4108" s="1">
        <v>45696</v>
      </c>
      <c r="C4108" s="2">
        <v>8.3333333333333329E-2</v>
      </c>
      <c r="D4108">
        <v>3</v>
      </c>
      <c r="E4108">
        <v>0.7</v>
      </c>
      <c r="F4108">
        <v>82</v>
      </c>
    </row>
    <row r="4109" spans="1:6" x14ac:dyDescent="0.35">
      <c r="A4109">
        <v>1975</v>
      </c>
      <c r="B4109" s="1">
        <v>45696</v>
      </c>
      <c r="C4109" s="2">
        <v>0.125</v>
      </c>
      <c r="D4109">
        <v>3</v>
      </c>
      <c r="E4109">
        <v>0.4</v>
      </c>
      <c r="F4109">
        <v>82</v>
      </c>
    </row>
    <row r="4110" spans="1:6" x14ac:dyDescent="0.35">
      <c r="A4110">
        <v>1975</v>
      </c>
      <c r="B4110" s="1">
        <v>45696</v>
      </c>
      <c r="C4110" s="2">
        <v>0.16666666666666671</v>
      </c>
      <c r="D4110">
        <v>3</v>
      </c>
      <c r="E4110">
        <v>0.2</v>
      </c>
      <c r="F4110">
        <v>82</v>
      </c>
    </row>
    <row r="4111" spans="1:6" x14ac:dyDescent="0.35">
      <c r="A4111">
        <v>1975</v>
      </c>
      <c r="B4111" s="1">
        <v>45696</v>
      </c>
      <c r="C4111" s="2">
        <v>0.20833333333333329</v>
      </c>
      <c r="D4111">
        <v>3</v>
      </c>
      <c r="E4111">
        <v>0.1</v>
      </c>
      <c r="F4111">
        <v>81</v>
      </c>
    </row>
    <row r="4112" spans="1:6" x14ac:dyDescent="0.35">
      <c r="A4112">
        <v>1975</v>
      </c>
      <c r="B4112" s="1">
        <v>45696</v>
      </c>
      <c r="C4112" s="2">
        <v>0.25</v>
      </c>
      <c r="D4112">
        <v>3</v>
      </c>
      <c r="E4112">
        <v>-0.2</v>
      </c>
      <c r="F4112">
        <v>81</v>
      </c>
    </row>
    <row r="4113" spans="1:6" x14ac:dyDescent="0.35">
      <c r="A4113">
        <v>1975</v>
      </c>
      <c r="B4113" s="1">
        <v>45696</v>
      </c>
      <c r="C4113" s="2">
        <v>0.29166666666666669</v>
      </c>
      <c r="D4113">
        <v>3</v>
      </c>
      <c r="E4113">
        <v>-0.4</v>
      </c>
      <c r="F4113">
        <v>81</v>
      </c>
    </row>
    <row r="4114" spans="1:6" x14ac:dyDescent="0.35">
      <c r="A4114">
        <v>1975</v>
      </c>
      <c r="B4114" s="1">
        <v>45696</v>
      </c>
      <c r="C4114" s="2">
        <v>0.33333333333333331</v>
      </c>
      <c r="D4114">
        <v>3</v>
      </c>
      <c r="E4114">
        <v>-0.3</v>
      </c>
      <c r="F4114">
        <v>80</v>
      </c>
    </row>
    <row r="4115" spans="1:6" x14ac:dyDescent="0.35">
      <c r="A4115">
        <v>1975</v>
      </c>
      <c r="B4115" s="1">
        <v>45696</v>
      </c>
      <c r="C4115" s="2">
        <v>0.375</v>
      </c>
      <c r="D4115">
        <v>3</v>
      </c>
      <c r="E4115">
        <v>0.3</v>
      </c>
      <c r="F4115">
        <v>78</v>
      </c>
    </row>
    <row r="4116" spans="1:6" x14ac:dyDescent="0.35">
      <c r="A4116">
        <v>1975</v>
      </c>
      <c r="B4116" s="1">
        <v>45696</v>
      </c>
      <c r="C4116" s="2">
        <v>0.41666666666666669</v>
      </c>
      <c r="D4116">
        <v>3</v>
      </c>
      <c r="E4116">
        <v>1.4</v>
      </c>
      <c r="F4116">
        <v>75</v>
      </c>
    </row>
    <row r="4117" spans="1:6" x14ac:dyDescent="0.35">
      <c r="A4117">
        <v>1975</v>
      </c>
      <c r="B4117" s="1">
        <v>45696</v>
      </c>
      <c r="C4117" s="2">
        <v>0.45833333333333331</v>
      </c>
      <c r="D4117">
        <v>3</v>
      </c>
      <c r="E4117">
        <v>2.5</v>
      </c>
      <c r="F4117">
        <v>73</v>
      </c>
    </row>
    <row r="4118" spans="1:6" x14ac:dyDescent="0.35">
      <c r="A4118">
        <v>1975</v>
      </c>
      <c r="B4118" s="1">
        <v>45696</v>
      </c>
      <c r="C4118" s="2">
        <v>0.5</v>
      </c>
      <c r="D4118">
        <v>3</v>
      </c>
      <c r="E4118">
        <v>3</v>
      </c>
      <c r="F4118">
        <v>70</v>
      </c>
    </row>
    <row r="4119" spans="1:6" x14ac:dyDescent="0.35">
      <c r="A4119">
        <v>1975</v>
      </c>
      <c r="B4119" s="1">
        <v>45696</v>
      </c>
      <c r="C4119" s="2">
        <v>0.54166666666666663</v>
      </c>
      <c r="D4119">
        <v>3</v>
      </c>
      <c r="E4119">
        <v>3.7</v>
      </c>
      <c r="F4119">
        <v>71</v>
      </c>
    </row>
    <row r="4120" spans="1:6" x14ac:dyDescent="0.35">
      <c r="A4120">
        <v>1975</v>
      </c>
      <c r="B4120" s="1">
        <v>45696</v>
      </c>
      <c r="C4120" s="2">
        <v>0.58333333333333337</v>
      </c>
      <c r="D4120">
        <v>3</v>
      </c>
      <c r="E4120">
        <v>4</v>
      </c>
      <c r="F4120">
        <v>68</v>
      </c>
    </row>
    <row r="4121" spans="1:6" x14ac:dyDescent="0.35">
      <c r="A4121">
        <v>1975</v>
      </c>
      <c r="B4121" s="1">
        <v>45696</v>
      </c>
      <c r="C4121" s="2">
        <v>0.625</v>
      </c>
      <c r="D4121">
        <v>3</v>
      </c>
      <c r="E4121">
        <v>3.8</v>
      </c>
      <c r="F4121">
        <v>70</v>
      </c>
    </row>
    <row r="4122" spans="1:6" x14ac:dyDescent="0.35">
      <c r="A4122">
        <v>1975</v>
      </c>
      <c r="B4122" s="1">
        <v>45696</v>
      </c>
      <c r="C4122" s="2">
        <v>0.66666666666666663</v>
      </c>
      <c r="D4122">
        <v>3</v>
      </c>
      <c r="E4122">
        <v>3.2</v>
      </c>
      <c r="F4122">
        <v>73</v>
      </c>
    </row>
    <row r="4123" spans="1:6" x14ac:dyDescent="0.35">
      <c r="A4123">
        <v>1975</v>
      </c>
      <c r="B4123" s="1">
        <v>45696</v>
      </c>
      <c r="C4123" s="2">
        <v>0.70833333333333337</v>
      </c>
      <c r="D4123">
        <v>3</v>
      </c>
      <c r="E4123">
        <v>2.9</v>
      </c>
      <c r="F4123">
        <v>74</v>
      </c>
    </row>
    <row r="4124" spans="1:6" x14ac:dyDescent="0.35">
      <c r="A4124">
        <v>1975</v>
      </c>
      <c r="B4124" s="1">
        <v>45696</v>
      </c>
      <c r="C4124" s="2">
        <v>0.75</v>
      </c>
      <c r="D4124">
        <v>3</v>
      </c>
      <c r="E4124">
        <v>2.9</v>
      </c>
      <c r="F4124">
        <v>74</v>
      </c>
    </row>
    <row r="4125" spans="1:6" x14ac:dyDescent="0.35">
      <c r="A4125">
        <v>1975</v>
      </c>
      <c r="B4125" s="1">
        <v>45696</v>
      </c>
      <c r="C4125" s="2">
        <v>0.79166666666666663</v>
      </c>
      <c r="D4125">
        <v>3</v>
      </c>
      <c r="E4125">
        <v>2.8</v>
      </c>
      <c r="F4125">
        <v>74</v>
      </c>
    </row>
    <row r="4126" spans="1:6" x14ac:dyDescent="0.35">
      <c r="A4126">
        <v>1975</v>
      </c>
      <c r="B4126" s="1">
        <v>45696</v>
      </c>
      <c r="C4126" s="2">
        <v>0.83333333333333337</v>
      </c>
      <c r="D4126">
        <v>3</v>
      </c>
      <c r="E4126">
        <v>2.5</v>
      </c>
      <c r="F4126">
        <v>76</v>
      </c>
    </row>
    <row r="4127" spans="1:6" x14ac:dyDescent="0.35">
      <c r="A4127">
        <v>1975</v>
      </c>
      <c r="B4127" s="1">
        <v>45696</v>
      </c>
      <c r="C4127" s="2">
        <v>0.875</v>
      </c>
      <c r="D4127">
        <v>3</v>
      </c>
      <c r="E4127">
        <v>2.1</v>
      </c>
      <c r="F4127">
        <v>76</v>
      </c>
    </row>
    <row r="4128" spans="1:6" x14ac:dyDescent="0.35">
      <c r="A4128">
        <v>1975</v>
      </c>
      <c r="B4128" s="1">
        <v>45696</v>
      </c>
      <c r="C4128" s="2">
        <v>0.91666666666666663</v>
      </c>
      <c r="D4128">
        <v>3</v>
      </c>
      <c r="E4128">
        <v>1.6</v>
      </c>
      <c r="F4128">
        <v>78</v>
      </c>
    </row>
    <row r="4129" spans="1:6" x14ac:dyDescent="0.35">
      <c r="A4129">
        <v>1975</v>
      </c>
      <c r="B4129" s="1">
        <v>45696</v>
      </c>
      <c r="C4129" s="2">
        <v>0.95833333333333337</v>
      </c>
      <c r="D4129">
        <v>3</v>
      </c>
      <c r="E4129">
        <v>1.3</v>
      </c>
      <c r="F4129">
        <v>79</v>
      </c>
    </row>
    <row r="4130" spans="1:6" x14ac:dyDescent="0.35">
      <c r="A4130">
        <v>1975</v>
      </c>
      <c r="B4130" s="1">
        <v>45697</v>
      </c>
      <c r="C4130" s="2">
        <v>0</v>
      </c>
      <c r="D4130">
        <v>3</v>
      </c>
      <c r="E4130">
        <v>0.8</v>
      </c>
      <c r="F4130">
        <v>81</v>
      </c>
    </row>
    <row r="4131" spans="1:6" x14ac:dyDescent="0.35">
      <c r="A4131">
        <v>1975</v>
      </c>
      <c r="B4131" s="1">
        <v>45697</v>
      </c>
      <c r="C4131" s="2">
        <v>4.1666666666666657E-2</v>
      </c>
      <c r="D4131">
        <v>3</v>
      </c>
      <c r="E4131">
        <v>0.8</v>
      </c>
      <c r="F4131">
        <v>81</v>
      </c>
    </row>
    <row r="4132" spans="1:6" x14ac:dyDescent="0.35">
      <c r="A4132">
        <v>1975</v>
      </c>
      <c r="B4132" s="1">
        <v>45697</v>
      </c>
      <c r="C4132" s="2">
        <v>8.3333333333333329E-2</v>
      </c>
      <c r="D4132">
        <v>3</v>
      </c>
      <c r="E4132">
        <v>0.6</v>
      </c>
      <c r="F4132">
        <v>82</v>
      </c>
    </row>
    <row r="4133" spans="1:6" x14ac:dyDescent="0.35">
      <c r="A4133">
        <v>1975</v>
      </c>
      <c r="B4133" s="1">
        <v>45697</v>
      </c>
      <c r="C4133" s="2">
        <v>0.125</v>
      </c>
      <c r="D4133">
        <v>3</v>
      </c>
      <c r="E4133">
        <v>0.2</v>
      </c>
      <c r="F4133">
        <v>84</v>
      </c>
    </row>
    <row r="4134" spans="1:6" x14ac:dyDescent="0.35">
      <c r="A4134">
        <v>1975</v>
      </c>
      <c r="B4134" s="1">
        <v>45697</v>
      </c>
      <c r="C4134" s="2">
        <v>0.16666666666666671</v>
      </c>
      <c r="D4134">
        <v>3</v>
      </c>
      <c r="E4134">
        <v>-0.2</v>
      </c>
      <c r="F4134">
        <v>86</v>
      </c>
    </row>
    <row r="4135" spans="1:6" x14ac:dyDescent="0.35">
      <c r="A4135">
        <v>1975</v>
      </c>
      <c r="B4135" s="1">
        <v>45697</v>
      </c>
      <c r="C4135" s="2">
        <v>0.20833333333333329</v>
      </c>
      <c r="D4135">
        <v>3</v>
      </c>
      <c r="E4135">
        <v>-0.6</v>
      </c>
      <c r="F4135">
        <v>89</v>
      </c>
    </row>
    <row r="4136" spans="1:6" x14ac:dyDescent="0.35">
      <c r="A4136">
        <v>1975</v>
      </c>
      <c r="B4136" s="1">
        <v>45697</v>
      </c>
      <c r="C4136" s="2">
        <v>0.25</v>
      </c>
      <c r="D4136">
        <v>3</v>
      </c>
      <c r="E4136">
        <v>-0.5</v>
      </c>
      <c r="F4136">
        <v>88</v>
      </c>
    </row>
    <row r="4137" spans="1:6" x14ac:dyDescent="0.35">
      <c r="A4137">
        <v>1975</v>
      </c>
      <c r="B4137" s="1">
        <v>45697</v>
      </c>
      <c r="C4137" s="2">
        <v>0.29166666666666669</v>
      </c>
      <c r="D4137">
        <v>3</v>
      </c>
      <c r="E4137">
        <v>-0.8</v>
      </c>
      <c r="F4137">
        <v>88</v>
      </c>
    </row>
    <row r="4138" spans="1:6" x14ac:dyDescent="0.35">
      <c r="A4138">
        <v>1975</v>
      </c>
      <c r="B4138" s="1">
        <v>45697</v>
      </c>
      <c r="C4138" s="2">
        <v>0.33333333333333331</v>
      </c>
      <c r="D4138">
        <v>3</v>
      </c>
      <c r="E4138">
        <v>-0.1</v>
      </c>
      <c r="F4138">
        <v>86</v>
      </c>
    </row>
    <row r="4139" spans="1:6" x14ac:dyDescent="0.35">
      <c r="A4139">
        <v>1975</v>
      </c>
      <c r="B4139" s="1">
        <v>45697</v>
      </c>
      <c r="C4139" s="2">
        <v>0.375</v>
      </c>
      <c r="D4139">
        <v>3</v>
      </c>
      <c r="E4139">
        <v>1.9</v>
      </c>
      <c r="F4139">
        <v>77</v>
      </c>
    </row>
    <row r="4140" spans="1:6" x14ac:dyDescent="0.35">
      <c r="A4140">
        <v>1975</v>
      </c>
      <c r="B4140" s="1">
        <v>45697</v>
      </c>
      <c r="C4140" s="2">
        <v>0.41666666666666669</v>
      </c>
      <c r="D4140">
        <v>3</v>
      </c>
      <c r="E4140">
        <v>2.7</v>
      </c>
      <c r="F4140">
        <v>72</v>
      </c>
    </row>
    <row r="4141" spans="1:6" x14ac:dyDescent="0.35">
      <c r="A4141">
        <v>1975</v>
      </c>
      <c r="B4141" s="1">
        <v>45697</v>
      </c>
      <c r="C4141" s="2">
        <v>0.45833333333333331</v>
      </c>
      <c r="D4141">
        <v>3</v>
      </c>
      <c r="E4141">
        <v>3.6</v>
      </c>
      <c r="F4141">
        <v>70</v>
      </c>
    </row>
    <row r="4142" spans="1:6" x14ac:dyDescent="0.35">
      <c r="A4142">
        <v>1975</v>
      </c>
      <c r="B4142" s="1">
        <v>45697</v>
      </c>
      <c r="C4142" s="2">
        <v>0.5</v>
      </c>
      <c r="D4142">
        <v>3</v>
      </c>
      <c r="E4142">
        <v>4</v>
      </c>
      <c r="F4142">
        <v>66</v>
      </c>
    </row>
    <row r="4143" spans="1:6" x14ac:dyDescent="0.35">
      <c r="A4143">
        <v>1975</v>
      </c>
      <c r="B4143" s="1">
        <v>45697</v>
      </c>
      <c r="C4143" s="2">
        <v>0.54166666666666663</v>
      </c>
      <c r="D4143">
        <v>3</v>
      </c>
      <c r="E4143">
        <v>4.8</v>
      </c>
      <c r="F4143">
        <v>65</v>
      </c>
    </row>
    <row r="4144" spans="1:6" x14ac:dyDescent="0.35">
      <c r="A4144">
        <v>1975</v>
      </c>
      <c r="B4144" s="1">
        <v>45697</v>
      </c>
      <c r="C4144" s="2">
        <v>0.58333333333333337</v>
      </c>
      <c r="D4144">
        <v>3</v>
      </c>
      <c r="E4144">
        <v>4.3</v>
      </c>
      <c r="F4144">
        <v>71</v>
      </c>
    </row>
    <row r="4145" spans="1:6" x14ac:dyDescent="0.35">
      <c r="A4145">
        <v>1975</v>
      </c>
      <c r="B4145" s="1">
        <v>45697</v>
      </c>
      <c r="C4145" s="2">
        <v>0.625</v>
      </c>
      <c r="D4145">
        <v>3</v>
      </c>
      <c r="E4145">
        <v>3.4</v>
      </c>
      <c r="F4145">
        <v>76</v>
      </c>
    </row>
    <row r="4146" spans="1:6" x14ac:dyDescent="0.35">
      <c r="A4146">
        <v>1975</v>
      </c>
      <c r="B4146" s="1">
        <v>45697</v>
      </c>
      <c r="C4146" s="2">
        <v>0.66666666666666663</v>
      </c>
      <c r="D4146">
        <v>3</v>
      </c>
      <c r="E4146">
        <v>2.5</v>
      </c>
      <c r="F4146">
        <v>79</v>
      </c>
    </row>
    <row r="4147" spans="1:6" x14ac:dyDescent="0.35">
      <c r="A4147">
        <v>1975</v>
      </c>
      <c r="B4147" s="1">
        <v>45697</v>
      </c>
      <c r="C4147" s="2">
        <v>0.70833333333333337</v>
      </c>
      <c r="D4147">
        <v>3</v>
      </c>
      <c r="E4147">
        <v>2.6</v>
      </c>
      <c r="F4147">
        <v>79</v>
      </c>
    </row>
    <row r="4148" spans="1:6" x14ac:dyDescent="0.35">
      <c r="A4148">
        <v>1975</v>
      </c>
      <c r="B4148" s="1">
        <v>45697</v>
      </c>
      <c r="C4148" s="2">
        <v>0.75</v>
      </c>
      <c r="D4148">
        <v>3</v>
      </c>
      <c r="E4148">
        <v>2.7</v>
      </c>
      <c r="F4148">
        <v>79</v>
      </c>
    </row>
    <row r="4149" spans="1:6" x14ac:dyDescent="0.35">
      <c r="A4149">
        <v>1975</v>
      </c>
      <c r="B4149" s="1">
        <v>45697</v>
      </c>
      <c r="C4149" s="2">
        <v>0.79166666666666663</v>
      </c>
      <c r="D4149">
        <v>3</v>
      </c>
      <c r="E4149">
        <v>3</v>
      </c>
      <c r="F4149">
        <v>81</v>
      </c>
    </row>
    <row r="4150" spans="1:6" x14ac:dyDescent="0.35">
      <c r="A4150">
        <v>1975</v>
      </c>
      <c r="B4150" s="1">
        <v>45697</v>
      </c>
      <c r="C4150" s="2">
        <v>0.83333333333333337</v>
      </c>
      <c r="D4150">
        <v>3</v>
      </c>
      <c r="E4150">
        <v>3</v>
      </c>
      <c r="F4150">
        <v>81</v>
      </c>
    </row>
    <row r="4151" spans="1:6" x14ac:dyDescent="0.35">
      <c r="A4151">
        <v>1975</v>
      </c>
      <c r="B4151" s="1">
        <v>45697</v>
      </c>
      <c r="C4151" s="2">
        <v>0.875</v>
      </c>
      <c r="D4151">
        <v>3</v>
      </c>
      <c r="E4151">
        <v>2.8</v>
      </c>
      <c r="F4151">
        <v>82</v>
      </c>
    </row>
    <row r="4152" spans="1:6" x14ac:dyDescent="0.35">
      <c r="A4152">
        <v>1975</v>
      </c>
      <c r="B4152" s="1">
        <v>45697</v>
      </c>
      <c r="C4152" s="2">
        <v>0.91666666666666663</v>
      </c>
      <c r="D4152">
        <v>3</v>
      </c>
      <c r="E4152">
        <v>2.7</v>
      </c>
      <c r="F4152">
        <v>80</v>
      </c>
    </row>
    <row r="4153" spans="1:6" x14ac:dyDescent="0.35">
      <c r="A4153">
        <v>1975</v>
      </c>
      <c r="B4153" s="1">
        <v>45697</v>
      </c>
      <c r="C4153" s="2">
        <v>0.95833333333333337</v>
      </c>
      <c r="D4153">
        <v>3</v>
      </c>
      <c r="E4153">
        <v>2.6</v>
      </c>
      <c r="F4153">
        <v>81</v>
      </c>
    </row>
    <row r="4154" spans="1:6" x14ac:dyDescent="0.35">
      <c r="A4154">
        <v>1975</v>
      </c>
      <c r="B4154" s="1">
        <v>45698</v>
      </c>
      <c r="C4154" s="2">
        <v>0</v>
      </c>
      <c r="D4154">
        <v>3</v>
      </c>
      <c r="E4154">
        <v>2.7</v>
      </c>
      <c r="F4154">
        <v>82</v>
      </c>
    </row>
    <row r="4155" spans="1:6" x14ac:dyDescent="0.35">
      <c r="A4155">
        <v>1975</v>
      </c>
      <c r="B4155" s="1">
        <v>45698</v>
      </c>
      <c r="C4155" s="2">
        <v>4.1666666666666657E-2</v>
      </c>
      <c r="D4155">
        <v>3</v>
      </c>
      <c r="E4155">
        <v>2.6</v>
      </c>
      <c r="F4155">
        <v>82</v>
      </c>
    </row>
    <row r="4156" spans="1:6" x14ac:dyDescent="0.35">
      <c r="A4156">
        <v>1975</v>
      </c>
      <c r="B4156" s="1">
        <v>45698</v>
      </c>
      <c r="C4156" s="2">
        <v>8.3333333333333329E-2</v>
      </c>
      <c r="D4156">
        <v>3</v>
      </c>
      <c r="E4156">
        <v>2.5</v>
      </c>
      <c r="F4156">
        <v>82</v>
      </c>
    </row>
    <row r="4157" spans="1:6" x14ac:dyDescent="0.35">
      <c r="A4157">
        <v>1975</v>
      </c>
      <c r="B4157" s="1">
        <v>45698</v>
      </c>
      <c r="C4157" s="2">
        <v>0.125</v>
      </c>
      <c r="D4157">
        <v>3</v>
      </c>
      <c r="E4157">
        <v>2.2999999999999998</v>
      </c>
      <c r="F4157">
        <v>82</v>
      </c>
    </row>
    <row r="4158" spans="1:6" x14ac:dyDescent="0.35">
      <c r="A4158">
        <v>1975</v>
      </c>
      <c r="B4158" s="1">
        <v>45698</v>
      </c>
      <c r="C4158" s="2">
        <v>0.16666666666666671</v>
      </c>
      <c r="D4158">
        <v>3</v>
      </c>
      <c r="E4158">
        <v>2.2000000000000002</v>
      </c>
      <c r="F4158">
        <v>81</v>
      </c>
    </row>
    <row r="4159" spans="1:6" x14ac:dyDescent="0.35">
      <c r="A4159">
        <v>1975</v>
      </c>
      <c r="B4159" s="1">
        <v>45698</v>
      </c>
      <c r="C4159" s="2">
        <v>0.20833333333333329</v>
      </c>
      <c r="D4159">
        <v>3</v>
      </c>
      <c r="E4159">
        <v>2</v>
      </c>
      <c r="F4159">
        <v>80</v>
      </c>
    </row>
    <row r="4160" spans="1:6" x14ac:dyDescent="0.35">
      <c r="A4160">
        <v>1975</v>
      </c>
      <c r="B4160" s="1">
        <v>45698</v>
      </c>
      <c r="C4160" s="2">
        <v>0.25</v>
      </c>
      <c r="D4160">
        <v>3</v>
      </c>
      <c r="E4160">
        <v>1.9</v>
      </c>
      <c r="F4160">
        <v>81</v>
      </c>
    </row>
    <row r="4161" spans="1:6" x14ac:dyDescent="0.35">
      <c r="A4161">
        <v>1975</v>
      </c>
      <c r="B4161" s="1">
        <v>45698</v>
      </c>
      <c r="C4161" s="2">
        <v>0.29166666666666669</v>
      </c>
      <c r="D4161">
        <v>3</v>
      </c>
      <c r="E4161">
        <v>1.8</v>
      </c>
      <c r="F4161">
        <v>81</v>
      </c>
    </row>
    <row r="4162" spans="1:6" x14ac:dyDescent="0.35">
      <c r="A4162">
        <v>1975</v>
      </c>
      <c r="B4162" s="1">
        <v>45698</v>
      </c>
      <c r="C4162" s="2">
        <v>0.33333333333333331</v>
      </c>
      <c r="D4162">
        <v>3</v>
      </c>
      <c r="E4162">
        <v>1.8</v>
      </c>
      <c r="F4162">
        <v>79</v>
      </c>
    </row>
    <row r="4163" spans="1:6" x14ac:dyDescent="0.35">
      <c r="A4163">
        <v>1975</v>
      </c>
      <c r="B4163" s="1">
        <v>45698</v>
      </c>
      <c r="C4163" s="2">
        <v>0.375</v>
      </c>
      <c r="D4163">
        <v>3</v>
      </c>
      <c r="E4163">
        <v>2</v>
      </c>
      <c r="F4163">
        <v>78</v>
      </c>
    </row>
    <row r="4164" spans="1:6" x14ac:dyDescent="0.35">
      <c r="A4164">
        <v>1975</v>
      </c>
      <c r="B4164" s="1">
        <v>45698</v>
      </c>
      <c r="C4164" s="2">
        <v>0.41666666666666669</v>
      </c>
      <c r="D4164">
        <v>3</v>
      </c>
      <c r="E4164">
        <v>2.2000000000000002</v>
      </c>
      <c r="F4164">
        <v>76</v>
      </c>
    </row>
    <row r="4165" spans="1:6" x14ac:dyDescent="0.35">
      <c r="A4165">
        <v>1975</v>
      </c>
      <c r="B4165" s="1">
        <v>45698</v>
      </c>
      <c r="C4165" s="2">
        <v>0.45833333333333331</v>
      </c>
      <c r="D4165">
        <v>3</v>
      </c>
      <c r="E4165">
        <v>2.6</v>
      </c>
      <c r="F4165">
        <v>74</v>
      </c>
    </row>
    <row r="4166" spans="1:6" x14ac:dyDescent="0.35">
      <c r="A4166">
        <v>1975</v>
      </c>
      <c r="B4166" s="1">
        <v>45698</v>
      </c>
      <c r="C4166" s="2">
        <v>0.5</v>
      </c>
      <c r="D4166">
        <v>3</v>
      </c>
      <c r="E4166">
        <v>3</v>
      </c>
      <c r="F4166">
        <v>74</v>
      </c>
    </row>
    <row r="4167" spans="1:6" x14ac:dyDescent="0.35">
      <c r="A4167">
        <v>1975</v>
      </c>
      <c r="B4167" s="1">
        <v>45698</v>
      </c>
      <c r="C4167" s="2">
        <v>0.54166666666666663</v>
      </c>
      <c r="D4167">
        <v>3</v>
      </c>
      <c r="E4167">
        <v>3.9</v>
      </c>
      <c r="F4167">
        <v>70</v>
      </c>
    </row>
    <row r="4168" spans="1:6" x14ac:dyDescent="0.35">
      <c r="A4168">
        <v>1975</v>
      </c>
      <c r="B4168" s="1">
        <v>45698</v>
      </c>
      <c r="C4168" s="2">
        <v>0.58333333333333337</v>
      </c>
      <c r="D4168">
        <v>3</v>
      </c>
      <c r="E4168">
        <v>3.7</v>
      </c>
      <c r="F4168">
        <v>70</v>
      </c>
    </row>
    <row r="4169" spans="1:6" x14ac:dyDescent="0.35">
      <c r="A4169">
        <v>1975</v>
      </c>
      <c r="B4169" s="1">
        <v>45698</v>
      </c>
      <c r="C4169" s="2">
        <v>0.625</v>
      </c>
      <c r="D4169">
        <v>3</v>
      </c>
      <c r="E4169">
        <v>3.2</v>
      </c>
      <c r="F4169">
        <v>73</v>
      </c>
    </row>
    <row r="4170" spans="1:6" x14ac:dyDescent="0.35">
      <c r="A4170">
        <v>1975</v>
      </c>
      <c r="B4170" s="1">
        <v>45698</v>
      </c>
      <c r="C4170" s="2">
        <v>0.66666666666666663</v>
      </c>
      <c r="D4170">
        <v>3</v>
      </c>
      <c r="E4170">
        <v>2.8</v>
      </c>
      <c r="F4170">
        <v>73</v>
      </c>
    </row>
    <row r="4171" spans="1:6" x14ac:dyDescent="0.35">
      <c r="A4171">
        <v>1975</v>
      </c>
      <c r="B4171" s="1">
        <v>45698</v>
      </c>
      <c r="C4171" s="2">
        <v>0.70833333333333337</v>
      </c>
      <c r="D4171">
        <v>3</v>
      </c>
      <c r="E4171">
        <v>2</v>
      </c>
      <c r="F4171">
        <v>76</v>
      </c>
    </row>
    <row r="4172" spans="1:6" x14ac:dyDescent="0.35">
      <c r="A4172">
        <v>1975</v>
      </c>
      <c r="B4172" s="1">
        <v>45698</v>
      </c>
      <c r="C4172" s="2">
        <v>0.75</v>
      </c>
      <c r="D4172">
        <v>3</v>
      </c>
      <c r="E4172">
        <v>1.4</v>
      </c>
      <c r="F4172">
        <v>78</v>
      </c>
    </row>
    <row r="4173" spans="1:6" x14ac:dyDescent="0.35">
      <c r="A4173">
        <v>1975</v>
      </c>
      <c r="B4173" s="1">
        <v>45698</v>
      </c>
      <c r="C4173" s="2">
        <v>0.79166666666666663</v>
      </c>
      <c r="D4173">
        <v>3</v>
      </c>
      <c r="E4173">
        <v>1</v>
      </c>
      <c r="F4173">
        <v>82</v>
      </c>
    </row>
    <row r="4174" spans="1:6" x14ac:dyDescent="0.35">
      <c r="A4174">
        <v>1975</v>
      </c>
      <c r="B4174" s="1">
        <v>45698</v>
      </c>
      <c r="C4174" s="2">
        <v>0.83333333333333337</v>
      </c>
      <c r="D4174">
        <v>3</v>
      </c>
      <c r="E4174">
        <v>0.6</v>
      </c>
      <c r="F4174">
        <v>80</v>
      </c>
    </row>
    <row r="4175" spans="1:6" x14ac:dyDescent="0.35">
      <c r="A4175">
        <v>1975</v>
      </c>
      <c r="B4175" s="1">
        <v>45698</v>
      </c>
      <c r="C4175" s="2">
        <v>0.875</v>
      </c>
      <c r="D4175">
        <v>3</v>
      </c>
      <c r="E4175">
        <v>0.7</v>
      </c>
      <c r="F4175">
        <v>78</v>
      </c>
    </row>
    <row r="4176" spans="1:6" x14ac:dyDescent="0.35">
      <c r="A4176">
        <v>1975</v>
      </c>
      <c r="B4176" s="1">
        <v>45698</v>
      </c>
      <c r="C4176" s="2">
        <v>0.91666666666666663</v>
      </c>
      <c r="D4176">
        <v>3</v>
      </c>
      <c r="E4176">
        <v>0.6</v>
      </c>
      <c r="F4176">
        <v>73</v>
      </c>
    </row>
    <row r="4177" spans="1:6" x14ac:dyDescent="0.35">
      <c r="A4177">
        <v>1975</v>
      </c>
      <c r="B4177" s="1">
        <v>45698</v>
      </c>
      <c r="C4177" s="2">
        <v>0.95833333333333337</v>
      </c>
      <c r="D4177">
        <v>3</v>
      </c>
      <c r="E4177">
        <v>0.5</v>
      </c>
      <c r="F4177">
        <v>73</v>
      </c>
    </row>
    <row r="4178" spans="1:6" x14ac:dyDescent="0.35">
      <c r="A4178">
        <v>1975</v>
      </c>
      <c r="B4178" s="1">
        <v>45699</v>
      </c>
      <c r="C4178" s="2">
        <v>0</v>
      </c>
      <c r="D4178">
        <v>3</v>
      </c>
      <c r="E4178">
        <v>0.4</v>
      </c>
      <c r="F4178">
        <v>72</v>
      </c>
    </row>
    <row r="4179" spans="1:6" x14ac:dyDescent="0.35">
      <c r="A4179">
        <v>1975</v>
      </c>
      <c r="B4179" s="1">
        <v>45699</v>
      </c>
      <c r="C4179" s="2">
        <v>4.1666666666666657E-2</v>
      </c>
      <c r="D4179">
        <v>3</v>
      </c>
      <c r="E4179">
        <v>0</v>
      </c>
      <c r="F4179">
        <v>73</v>
      </c>
    </row>
    <row r="4180" spans="1:6" x14ac:dyDescent="0.35">
      <c r="A4180">
        <v>1975</v>
      </c>
      <c r="B4180" s="1">
        <v>45699</v>
      </c>
      <c r="C4180" s="2">
        <v>8.3333333333333329E-2</v>
      </c>
      <c r="D4180">
        <v>3</v>
      </c>
      <c r="E4180">
        <v>-0.3</v>
      </c>
      <c r="F4180">
        <v>73</v>
      </c>
    </row>
    <row r="4181" spans="1:6" x14ac:dyDescent="0.35">
      <c r="A4181">
        <v>1975</v>
      </c>
      <c r="B4181" s="1">
        <v>45699</v>
      </c>
      <c r="C4181" s="2">
        <v>0.125</v>
      </c>
      <c r="D4181">
        <v>3</v>
      </c>
      <c r="E4181">
        <v>-0.6</v>
      </c>
      <c r="F4181">
        <v>72</v>
      </c>
    </row>
    <row r="4182" spans="1:6" x14ac:dyDescent="0.35">
      <c r="A4182">
        <v>1975</v>
      </c>
      <c r="B4182" s="1">
        <v>45699</v>
      </c>
      <c r="C4182" s="2">
        <v>0.16666666666666671</v>
      </c>
      <c r="D4182">
        <v>3</v>
      </c>
      <c r="E4182">
        <v>-0.9</v>
      </c>
      <c r="F4182">
        <v>70</v>
      </c>
    </row>
    <row r="4183" spans="1:6" x14ac:dyDescent="0.35">
      <c r="A4183">
        <v>1975</v>
      </c>
      <c r="B4183" s="1">
        <v>45699</v>
      </c>
      <c r="C4183" s="2">
        <v>0.20833333333333329</v>
      </c>
      <c r="D4183">
        <v>3</v>
      </c>
      <c r="E4183">
        <v>-1.2</v>
      </c>
      <c r="F4183">
        <v>70</v>
      </c>
    </row>
    <row r="4184" spans="1:6" x14ac:dyDescent="0.35">
      <c r="A4184">
        <v>1975</v>
      </c>
      <c r="B4184" s="1">
        <v>45699</v>
      </c>
      <c r="C4184" s="2">
        <v>0.25</v>
      </c>
      <c r="D4184">
        <v>3</v>
      </c>
      <c r="E4184">
        <v>-1.2</v>
      </c>
      <c r="F4184">
        <v>68</v>
      </c>
    </row>
    <row r="4185" spans="1:6" x14ac:dyDescent="0.35">
      <c r="A4185">
        <v>1975</v>
      </c>
      <c r="B4185" s="1">
        <v>45699</v>
      </c>
      <c r="C4185" s="2">
        <v>0.29166666666666669</v>
      </c>
      <c r="D4185">
        <v>3</v>
      </c>
      <c r="E4185">
        <v>-1.2</v>
      </c>
      <c r="F4185">
        <v>67</v>
      </c>
    </row>
    <row r="4186" spans="1:6" x14ac:dyDescent="0.35">
      <c r="A4186">
        <v>1975</v>
      </c>
      <c r="B4186" s="1">
        <v>45699</v>
      </c>
      <c r="C4186" s="2">
        <v>0.33333333333333331</v>
      </c>
      <c r="D4186">
        <v>3</v>
      </c>
      <c r="E4186">
        <v>-0.5</v>
      </c>
      <c r="F4186">
        <v>63</v>
      </c>
    </row>
    <row r="4187" spans="1:6" x14ac:dyDescent="0.35">
      <c r="A4187">
        <v>1975</v>
      </c>
      <c r="B4187" s="1">
        <v>45699</v>
      </c>
      <c r="C4187" s="2">
        <v>0.375</v>
      </c>
      <c r="D4187">
        <v>3</v>
      </c>
      <c r="E4187">
        <v>-0.4</v>
      </c>
      <c r="F4187">
        <v>62</v>
      </c>
    </row>
    <row r="4188" spans="1:6" x14ac:dyDescent="0.35">
      <c r="A4188">
        <v>1975</v>
      </c>
      <c r="B4188" s="1">
        <v>45699</v>
      </c>
      <c r="C4188" s="2">
        <v>0.41666666666666669</v>
      </c>
      <c r="D4188">
        <v>3</v>
      </c>
      <c r="E4188">
        <v>-0.1</v>
      </c>
      <c r="F4188">
        <v>62</v>
      </c>
    </row>
    <row r="4189" spans="1:6" x14ac:dyDescent="0.35">
      <c r="A4189">
        <v>1975</v>
      </c>
      <c r="B4189" s="1">
        <v>45699</v>
      </c>
      <c r="C4189" s="2">
        <v>0.45833333333333331</v>
      </c>
      <c r="D4189">
        <v>3</v>
      </c>
      <c r="E4189">
        <v>0.5</v>
      </c>
      <c r="F4189">
        <v>60</v>
      </c>
    </row>
    <row r="4190" spans="1:6" x14ac:dyDescent="0.35">
      <c r="A4190">
        <v>1975</v>
      </c>
      <c r="B4190" s="1">
        <v>45699</v>
      </c>
      <c r="C4190" s="2">
        <v>0.5</v>
      </c>
      <c r="D4190">
        <v>3</v>
      </c>
      <c r="E4190">
        <v>1.2</v>
      </c>
      <c r="F4190">
        <v>57</v>
      </c>
    </row>
    <row r="4191" spans="1:6" x14ac:dyDescent="0.35">
      <c r="A4191">
        <v>1975</v>
      </c>
      <c r="B4191" s="1">
        <v>45699</v>
      </c>
      <c r="C4191" s="2">
        <v>0.54166666666666663</v>
      </c>
      <c r="D4191">
        <v>3</v>
      </c>
      <c r="E4191">
        <v>1.9</v>
      </c>
      <c r="F4191">
        <v>55</v>
      </c>
    </row>
    <row r="4192" spans="1:6" x14ac:dyDescent="0.35">
      <c r="A4192">
        <v>1975</v>
      </c>
      <c r="B4192" s="1">
        <v>45699</v>
      </c>
      <c r="C4192" s="2">
        <v>0.58333333333333337</v>
      </c>
      <c r="D4192">
        <v>3</v>
      </c>
      <c r="E4192">
        <v>2.4</v>
      </c>
      <c r="F4192">
        <v>55</v>
      </c>
    </row>
    <row r="4193" spans="1:6" x14ac:dyDescent="0.35">
      <c r="A4193">
        <v>1975</v>
      </c>
      <c r="B4193" s="1">
        <v>45699</v>
      </c>
      <c r="C4193" s="2">
        <v>0.625</v>
      </c>
      <c r="D4193">
        <v>3</v>
      </c>
      <c r="E4193">
        <v>2.2999999999999998</v>
      </c>
      <c r="F4193">
        <v>54</v>
      </c>
    </row>
    <row r="4194" spans="1:6" x14ac:dyDescent="0.35">
      <c r="A4194">
        <v>1975</v>
      </c>
      <c r="B4194" s="1">
        <v>45699</v>
      </c>
      <c r="C4194" s="2">
        <v>0.66666666666666663</v>
      </c>
      <c r="D4194">
        <v>3</v>
      </c>
      <c r="E4194">
        <v>2.2999999999999998</v>
      </c>
      <c r="F4194">
        <v>54</v>
      </c>
    </row>
    <row r="4195" spans="1:6" x14ac:dyDescent="0.35">
      <c r="A4195">
        <v>1975</v>
      </c>
      <c r="B4195" s="1">
        <v>45699</v>
      </c>
      <c r="C4195" s="2">
        <v>0.70833333333333337</v>
      </c>
      <c r="D4195">
        <v>3</v>
      </c>
      <c r="E4195">
        <v>2.4</v>
      </c>
      <c r="F4195">
        <v>53</v>
      </c>
    </row>
    <row r="4196" spans="1:6" x14ac:dyDescent="0.35">
      <c r="A4196">
        <v>1975</v>
      </c>
      <c r="B4196" s="1">
        <v>45699</v>
      </c>
      <c r="C4196" s="2">
        <v>0.75</v>
      </c>
      <c r="D4196">
        <v>3</v>
      </c>
      <c r="E4196">
        <v>2.2999999999999998</v>
      </c>
      <c r="F4196">
        <v>53</v>
      </c>
    </row>
    <row r="4197" spans="1:6" x14ac:dyDescent="0.35">
      <c r="A4197">
        <v>1975</v>
      </c>
      <c r="B4197" s="1">
        <v>45699</v>
      </c>
      <c r="C4197" s="2">
        <v>0.79166666666666663</v>
      </c>
      <c r="D4197">
        <v>3</v>
      </c>
      <c r="E4197">
        <v>1.8</v>
      </c>
      <c r="F4197">
        <v>57</v>
      </c>
    </row>
    <row r="4198" spans="1:6" x14ac:dyDescent="0.35">
      <c r="A4198">
        <v>1975</v>
      </c>
      <c r="B4198" s="1">
        <v>45699</v>
      </c>
      <c r="C4198" s="2">
        <v>0.83333333333333337</v>
      </c>
      <c r="D4198">
        <v>3</v>
      </c>
      <c r="E4198">
        <v>1.5</v>
      </c>
      <c r="F4198">
        <v>59</v>
      </c>
    </row>
    <row r="4199" spans="1:6" x14ac:dyDescent="0.35">
      <c r="A4199">
        <v>1975</v>
      </c>
      <c r="B4199" s="1">
        <v>45699</v>
      </c>
      <c r="C4199" s="2">
        <v>0.875</v>
      </c>
      <c r="D4199">
        <v>3</v>
      </c>
      <c r="E4199">
        <v>1.3</v>
      </c>
      <c r="F4199">
        <v>58</v>
      </c>
    </row>
    <row r="4200" spans="1:6" x14ac:dyDescent="0.35">
      <c r="A4200">
        <v>1975</v>
      </c>
      <c r="B4200" s="1">
        <v>45699</v>
      </c>
      <c r="C4200" s="2">
        <v>0.91666666666666663</v>
      </c>
      <c r="D4200">
        <v>3</v>
      </c>
      <c r="E4200">
        <v>0.9</v>
      </c>
      <c r="F4200">
        <v>60</v>
      </c>
    </row>
    <row r="4201" spans="1:6" x14ac:dyDescent="0.35">
      <c r="A4201">
        <v>1975</v>
      </c>
      <c r="B4201" s="1">
        <v>45699</v>
      </c>
      <c r="C4201" s="2">
        <v>0.95833333333333337</v>
      </c>
      <c r="D4201">
        <v>3</v>
      </c>
      <c r="E4201">
        <v>0.4</v>
      </c>
      <c r="F4201">
        <v>62</v>
      </c>
    </row>
    <row r="4202" spans="1:6" x14ac:dyDescent="0.35">
      <c r="A4202">
        <v>1975</v>
      </c>
      <c r="B4202" s="1">
        <v>45700</v>
      </c>
      <c r="C4202" s="2">
        <v>0</v>
      </c>
      <c r="D4202">
        <v>3</v>
      </c>
      <c r="E4202">
        <v>0.4</v>
      </c>
      <c r="F4202">
        <v>63</v>
      </c>
    </row>
    <row r="4203" spans="1:6" x14ac:dyDescent="0.35">
      <c r="A4203">
        <v>1975</v>
      </c>
      <c r="B4203" s="1">
        <v>45700</v>
      </c>
      <c r="C4203" s="2">
        <v>4.1666666666666657E-2</v>
      </c>
      <c r="D4203">
        <v>3</v>
      </c>
      <c r="E4203">
        <v>-0.4</v>
      </c>
      <c r="F4203">
        <v>66</v>
      </c>
    </row>
    <row r="4204" spans="1:6" x14ac:dyDescent="0.35">
      <c r="A4204">
        <v>1975</v>
      </c>
      <c r="B4204" s="1">
        <v>45700</v>
      </c>
      <c r="C4204" s="2">
        <v>8.3333333333333329E-2</v>
      </c>
      <c r="D4204">
        <v>3</v>
      </c>
      <c r="E4204">
        <v>-0.9</v>
      </c>
      <c r="F4204">
        <v>69</v>
      </c>
    </row>
    <row r="4205" spans="1:6" x14ac:dyDescent="0.35">
      <c r="A4205">
        <v>1975</v>
      </c>
      <c r="B4205" s="1">
        <v>45700</v>
      </c>
      <c r="C4205" s="2">
        <v>0.125</v>
      </c>
      <c r="D4205">
        <v>3</v>
      </c>
      <c r="E4205">
        <v>-1.3</v>
      </c>
      <c r="F4205">
        <v>71</v>
      </c>
    </row>
    <row r="4206" spans="1:6" x14ac:dyDescent="0.35">
      <c r="A4206">
        <v>1975</v>
      </c>
      <c r="B4206" s="1">
        <v>45700</v>
      </c>
      <c r="C4206" s="2">
        <v>0.16666666666666671</v>
      </c>
      <c r="D4206">
        <v>3</v>
      </c>
      <c r="E4206">
        <v>-1.4</v>
      </c>
      <c r="F4206">
        <v>72</v>
      </c>
    </row>
    <row r="4207" spans="1:6" x14ac:dyDescent="0.35">
      <c r="A4207">
        <v>1975</v>
      </c>
      <c r="B4207" s="1">
        <v>45700</v>
      </c>
      <c r="C4207" s="2">
        <v>0.20833333333333329</v>
      </c>
      <c r="D4207">
        <v>3</v>
      </c>
      <c r="E4207">
        <v>-1.7</v>
      </c>
      <c r="F4207">
        <v>73</v>
      </c>
    </row>
    <row r="4208" spans="1:6" x14ac:dyDescent="0.35">
      <c r="A4208">
        <v>1975</v>
      </c>
      <c r="B4208" s="1">
        <v>45700</v>
      </c>
      <c r="C4208" s="2">
        <v>0.25</v>
      </c>
      <c r="D4208">
        <v>3</v>
      </c>
      <c r="E4208">
        <v>-2.2999999999999998</v>
      </c>
      <c r="F4208">
        <v>75</v>
      </c>
    </row>
    <row r="4209" spans="1:6" x14ac:dyDescent="0.35">
      <c r="A4209">
        <v>1975</v>
      </c>
      <c r="B4209" s="1">
        <v>45700</v>
      </c>
      <c r="C4209" s="2">
        <v>0.29166666666666669</v>
      </c>
      <c r="D4209">
        <v>3</v>
      </c>
      <c r="E4209">
        <v>-2.8</v>
      </c>
      <c r="F4209">
        <v>76</v>
      </c>
    </row>
    <row r="4210" spans="1:6" x14ac:dyDescent="0.35">
      <c r="A4210">
        <v>1975</v>
      </c>
      <c r="B4210" s="1">
        <v>45700</v>
      </c>
      <c r="C4210" s="2">
        <v>0.33333333333333331</v>
      </c>
      <c r="D4210">
        <v>3</v>
      </c>
      <c r="E4210">
        <v>-3</v>
      </c>
      <c r="F4210">
        <v>77</v>
      </c>
    </row>
    <row r="4211" spans="1:6" x14ac:dyDescent="0.35">
      <c r="A4211">
        <v>1975</v>
      </c>
      <c r="B4211" s="1">
        <v>45700</v>
      </c>
      <c r="C4211" s="2">
        <v>0.375</v>
      </c>
      <c r="D4211">
        <v>3</v>
      </c>
      <c r="E4211">
        <v>-2.5</v>
      </c>
      <c r="F4211">
        <v>75</v>
      </c>
    </row>
    <row r="4212" spans="1:6" x14ac:dyDescent="0.35">
      <c r="A4212">
        <v>1975</v>
      </c>
      <c r="B4212" s="1">
        <v>45700</v>
      </c>
      <c r="C4212" s="2">
        <v>0.41666666666666669</v>
      </c>
      <c r="D4212">
        <v>3</v>
      </c>
      <c r="E4212">
        <v>-1.9</v>
      </c>
      <c r="F4212">
        <v>72</v>
      </c>
    </row>
    <row r="4213" spans="1:6" x14ac:dyDescent="0.35">
      <c r="A4213">
        <v>1975</v>
      </c>
      <c r="B4213" s="1">
        <v>45700</v>
      </c>
      <c r="C4213" s="2">
        <v>0.45833333333333331</v>
      </c>
      <c r="D4213">
        <v>3</v>
      </c>
      <c r="E4213">
        <v>-1.3</v>
      </c>
      <c r="F4213">
        <v>72</v>
      </c>
    </row>
    <row r="4214" spans="1:6" x14ac:dyDescent="0.35">
      <c r="A4214">
        <v>1975</v>
      </c>
      <c r="B4214" s="1">
        <v>45700</v>
      </c>
      <c r="C4214" s="2">
        <v>0.5</v>
      </c>
      <c r="D4214">
        <v>3</v>
      </c>
      <c r="E4214">
        <v>-0.6</v>
      </c>
      <c r="F4214">
        <v>72</v>
      </c>
    </row>
    <row r="4215" spans="1:6" x14ac:dyDescent="0.35">
      <c r="A4215">
        <v>1975</v>
      </c>
      <c r="B4215" s="1">
        <v>45700</v>
      </c>
      <c r="C4215" s="2">
        <v>0.54166666666666663</v>
      </c>
      <c r="D4215">
        <v>3</v>
      </c>
      <c r="E4215">
        <v>0.4</v>
      </c>
      <c r="F4215">
        <v>68</v>
      </c>
    </row>
    <row r="4216" spans="1:6" x14ac:dyDescent="0.35">
      <c r="A4216">
        <v>1975</v>
      </c>
      <c r="B4216" s="1">
        <v>45700</v>
      </c>
      <c r="C4216" s="2">
        <v>0.58333333333333337</v>
      </c>
      <c r="D4216">
        <v>3</v>
      </c>
      <c r="E4216">
        <v>-0.4</v>
      </c>
      <c r="F4216">
        <v>71</v>
      </c>
    </row>
    <row r="4217" spans="1:6" x14ac:dyDescent="0.35">
      <c r="A4217">
        <v>1975</v>
      </c>
      <c r="B4217" s="1">
        <v>45700</v>
      </c>
      <c r="C4217" s="2">
        <v>0.625</v>
      </c>
      <c r="D4217">
        <v>3</v>
      </c>
      <c r="E4217">
        <v>-1.2</v>
      </c>
      <c r="F4217">
        <v>74</v>
      </c>
    </row>
    <row r="4218" spans="1:6" x14ac:dyDescent="0.35">
      <c r="A4218">
        <v>1975</v>
      </c>
      <c r="B4218" s="1">
        <v>45700</v>
      </c>
      <c r="C4218" s="2">
        <v>0.66666666666666663</v>
      </c>
      <c r="D4218">
        <v>3</v>
      </c>
      <c r="E4218">
        <v>-2.2000000000000002</v>
      </c>
      <c r="F4218">
        <v>78</v>
      </c>
    </row>
    <row r="4219" spans="1:6" x14ac:dyDescent="0.35">
      <c r="A4219">
        <v>1975</v>
      </c>
      <c r="B4219" s="1">
        <v>45700</v>
      </c>
      <c r="C4219" s="2">
        <v>0.70833333333333337</v>
      </c>
      <c r="D4219">
        <v>3</v>
      </c>
      <c r="E4219">
        <v>-3.3</v>
      </c>
      <c r="F4219">
        <v>83</v>
      </c>
    </row>
    <row r="4220" spans="1:6" x14ac:dyDescent="0.35">
      <c r="A4220">
        <v>1975</v>
      </c>
      <c r="B4220" s="1">
        <v>45700</v>
      </c>
      <c r="C4220" s="2">
        <v>0.75</v>
      </c>
      <c r="D4220">
        <v>3</v>
      </c>
      <c r="E4220">
        <v>-3.8</v>
      </c>
      <c r="F4220">
        <v>85</v>
      </c>
    </row>
    <row r="4221" spans="1:6" x14ac:dyDescent="0.35">
      <c r="A4221">
        <v>1975</v>
      </c>
      <c r="B4221" s="1">
        <v>45700</v>
      </c>
      <c r="C4221" s="2">
        <v>0.79166666666666663</v>
      </c>
      <c r="D4221">
        <v>3</v>
      </c>
      <c r="E4221">
        <v>-4</v>
      </c>
      <c r="F4221">
        <v>85</v>
      </c>
    </row>
    <row r="4222" spans="1:6" x14ac:dyDescent="0.35">
      <c r="A4222">
        <v>1975</v>
      </c>
      <c r="B4222" s="1">
        <v>45700</v>
      </c>
      <c r="C4222" s="2">
        <v>0.83333333333333337</v>
      </c>
      <c r="D4222">
        <v>3</v>
      </c>
      <c r="E4222">
        <v>-4</v>
      </c>
      <c r="F4222">
        <v>85</v>
      </c>
    </row>
    <row r="4223" spans="1:6" x14ac:dyDescent="0.35">
      <c r="A4223">
        <v>1975</v>
      </c>
      <c r="B4223" s="1">
        <v>45700</v>
      </c>
      <c r="C4223" s="2">
        <v>0.875</v>
      </c>
      <c r="D4223">
        <v>3</v>
      </c>
      <c r="E4223">
        <v>-3.9</v>
      </c>
      <c r="F4223">
        <v>86</v>
      </c>
    </row>
    <row r="4224" spans="1:6" x14ac:dyDescent="0.35">
      <c r="A4224">
        <v>1975</v>
      </c>
      <c r="B4224" s="1">
        <v>45700</v>
      </c>
      <c r="C4224" s="2">
        <v>0.91666666666666663</v>
      </c>
      <c r="D4224">
        <v>3</v>
      </c>
      <c r="E4224">
        <v>-3.7</v>
      </c>
      <c r="F4224">
        <v>84</v>
      </c>
    </row>
    <row r="4225" spans="1:6" x14ac:dyDescent="0.35">
      <c r="A4225">
        <v>1975</v>
      </c>
      <c r="B4225" s="1">
        <v>45700</v>
      </c>
      <c r="C4225" s="2">
        <v>0.95833333333333337</v>
      </c>
      <c r="D4225">
        <v>3</v>
      </c>
      <c r="E4225">
        <v>-3.7</v>
      </c>
      <c r="F4225">
        <v>84</v>
      </c>
    </row>
    <row r="4226" spans="1:6" x14ac:dyDescent="0.35">
      <c r="A4226">
        <v>1975</v>
      </c>
      <c r="B4226" s="1">
        <v>45701</v>
      </c>
      <c r="C4226" s="2">
        <v>0</v>
      </c>
      <c r="D4226">
        <v>3</v>
      </c>
      <c r="E4226">
        <v>-3.7</v>
      </c>
      <c r="F4226">
        <v>84</v>
      </c>
    </row>
    <row r="4227" spans="1:6" x14ac:dyDescent="0.35">
      <c r="A4227">
        <v>1975</v>
      </c>
      <c r="B4227" s="1">
        <v>45701</v>
      </c>
      <c r="C4227" s="2">
        <v>4.1666666666666657E-2</v>
      </c>
      <c r="D4227">
        <v>3</v>
      </c>
      <c r="E4227">
        <v>-3.7</v>
      </c>
      <c r="F4227">
        <v>84</v>
      </c>
    </row>
    <row r="4228" spans="1:6" x14ac:dyDescent="0.35">
      <c r="A4228">
        <v>1975</v>
      </c>
      <c r="B4228" s="1">
        <v>45701</v>
      </c>
      <c r="C4228" s="2">
        <v>8.3333333333333329E-2</v>
      </c>
      <c r="D4228">
        <v>3</v>
      </c>
      <c r="E4228">
        <v>-5.5</v>
      </c>
      <c r="F4228">
        <v>90</v>
      </c>
    </row>
    <row r="4229" spans="1:6" x14ac:dyDescent="0.35">
      <c r="A4229">
        <v>1975</v>
      </c>
      <c r="B4229" s="1">
        <v>45701</v>
      </c>
      <c r="C4229" s="2">
        <v>0.125</v>
      </c>
      <c r="D4229">
        <v>3</v>
      </c>
      <c r="E4229">
        <v>-4.4000000000000004</v>
      </c>
      <c r="F4229">
        <v>89</v>
      </c>
    </row>
    <row r="4230" spans="1:6" x14ac:dyDescent="0.35">
      <c r="A4230">
        <v>1975</v>
      </c>
      <c r="B4230" s="1">
        <v>45701</v>
      </c>
      <c r="C4230" s="2">
        <v>0.16666666666666671</v>
      </c>
      <c r="D4230">
        <v>3</v>
      </c>
      <c r="E4230">
        <v>-4</v>
      </c>
      <c r="F4230">
        <v>89</v>
      </c>
    </row>
    <row r="4231" spans="1:6" x14ac:dyDescent="0.35">
      <c r="A4231">
        <v>1975</v>
      </c>
      <c r="B4231" s="1">
        <v>45701</v>
      </c>
      <c r="C4231" s="2">
        <v>0.20833333333333329</v>
      </c>
      <c r="D4231">
        <v>3</v>
      </c>
      <c r="E4231">
        <v>-3.3</v>
      </c>
      <c r="F4231">
        <v>89</v>
      </c>
    </row>
    <row r="4232" spans="1:6" x14ac:dyDescent="0.35">
      <c r="A4232">
        <v>1975</v>
      </c>
      <c r="B4232" s="1">
        <v>45701</v>
      </c>
      <c r="C4232" s="2">
        <v>0.25</v>
      </c>
      <c r="D4232">
        <v>3</v>
      </c>
      <c r="E4232">
        <v>-3</v>
      </c>
      <c r="F4232">
        <v>94</v>
      </c>
    </row>
    <row r="4233" spans="1:6" x14ac:dyDescent="0.35">
      <c r="A4233">
        <v>1975</v>
      </c>
      <c r="B4233" s="1">
        <v>45701</v>
      </c>
      <c r="C4233" s="2">
        <v>0.29166666666666669</v>
      </c>
      <c r="D4233">
        <v>3</v>
      </c>
      <c r="E4233">
        <v>-2.6</v>
      </c>
      <c r="F4233">
        <v>94</v>
      </c>
    </row>
    <row r="4234" spans="1:6" x14ac:dyDescent="0.35">
      <c r="A4234">
        <v>1975</v>
      </c>
      <c r="B4234" s="1">
        <v>45701</v>
      </c>
      <c r="C4234" s="2">
        <v>0.33333333333333331</v>
      </c>
      <c r="D4234">
        <v>3</v>
      </c>
      <c r="E4234">
        <v>-2</v>
      </c>
      <c r="F4234">
        <v>96</v>
      </c>
    </row>
    <row r="4235" spans="1:6" x14ac:dyDescent="0.35">
      <c r="A4235">
        <v>1975</v>
      </c>
      <c r="B4235" s="1">
        <v>45701</v>
      </c>
      <c r="C4235" s="2">
        <v>0.375</v>
      </c>
      <c r="D4235">
        <v>3</v>
      </c>
      <c r="E4235">
        <v>-1.2</v>
      </c>
      <c r="F4235">
        <v>95</v>
      </c>
    </row>
    <row r="4236" spans="1:6" x14ac:dyDescent="0.35">
      <c r="A4236">
        <v>1975</v>
      </c>
      <c r="B4236" s="1">
        <v>45701</v>
      </c>
      <c r="C4236" s="2">
        <v>0.41666666666666669</v>
      </c>
      <c r="D4236">
        <v>3</v>
      </c>
      <c r="E4236">
        <v>-0.4</v>
      </c>
      <c r="F4236">
        <v>82</v>
      </c>
    </row>
    <row r="4237" spans="1:6" x14ac:dyDescent="0.35">
      <c r="A4237">
        <v>1975</v>
      </c>
      <c r="B4237" s="1">
        <v>45701</v>
      </c>
      <c r="C4237" s="2">
        <v>0.45833333333333331</v>
      </c>
      <c r="D4237">
        <v>3</v>
      </c>
      <c r="E4237">
        <v>0.2</v>
      </c>
      <c r="F4237">
        <v>81</v>
      </c>
    </row>
    <row r="4238" spans="1:6" x14ac:dyDescent="0.35">
      <c r="A4238">
        <v>1975</v>
      </c>
      <c r="B4238" s="1">
        <v>45701</v>
      </c>
      <c r="C4238" s="2">
        <v>0.5</v>
      </c>
      <c r="D4238">
        <v>3</v>
      </c>
      <c r="E4238">
        <v>0.9</v>
      </c>
      <c r="F4238">
        <v>80</v>
      </c>
    </row>
    <row r="4239" spans="1:6" x14ac:dyDescent="0.35">
      <c r="A4239">
        <v>1975</v>
      </c>
      <c r="B4239" s="1">
        <v>45701</v>
      </c>
      <c r="C4239" s="2">
        <v>0.54166666666666663</v>
      </c>
      <c r="D4239">
        <v>3</v>
      </c>
      <c r="E4239">
        <v>1.5</v>
      </c>
      <c r="F4239">
        <v>80</v>
      </c>
    </row>
    <row r="4240" spans="1:6" x14ac:dyDescent="0.35">
      <c r="A4240">
        <v>1975</v>
      </c>
      <c r="B4240" s="1">
        <v>45701</v>
      </c>
      <c r="C4240" s="2">
        <v>0.58333333333333337</v>
      </c>
      <c r="D4240">
        <v>3</v>
      </c>
      <c r="E4240">
        <v>1.6</v>
      </c>
      <c r="F4240">
        <v>81</v>
      </c>
    </row>
    <row r="4241" spans="1:6" x14ac:dyDescent="0.35">
      <c r="A4241">
        <v>1975</v>
      </c>
      <c r="B4241" s="1">
        <v>45701</v>
      </c>
      <c r="C4241" s="2">
        <v>0.625</v>
      </c>
      <c r="D4241">
        <v>3</v>
      </c>
      <c r="E4241">
        <v>0.9</v>
      </c>
      <c r="F4241">
        <v>89</v>
      </c>
    </row>
    <row r="4242" spans="1:6" x14ac:dyDescent="0.35">
      <c r="A4242">
        <v>1975</v>
      </c>
      <c r="B4242" s="1">
        <v>45701</v>
      </c>
      <c r="C4242" s="2">
        <v>0.66666666666666663</v>
      </c>
      <c r="D4242">
        <v>3</v>
      </c>
      <c r="E4242">
        <v>0.4</v>
      </c>
      <c r="F4242">
        <v>96</v>
      </c>
    </row>
    <row r="4243" spans="1:6" x14ac:dyDescent="0.35">
      <c r="A4243">
        <v>1975</v>
      </c>
      <c r="B4243" s="1">
        <v>45701</v>
      </c>
      <c r="C4243" s="2">
        <v>0.70833333333333337</v>
      </c>
      <c r="D4243">
        <v>3</v>
      </c>
      <c r="E4243">
        <v>0.3</v>
      </c>
      <c r="F4243">
        <v>97</v>
      </c>
    </row>
    <row r="4244" spans="1:6" x14ac:dyDescent="0.35">
      <c r="A4244">
        <v>1975</v>
      </c>
      <c r="B4244" s="1">
        <v>45701</v>
      </c>
      <c r="C4244" s="2">
        <v>0.75</v>
      </c>
      <c r="D4244">
        <v>3</v>
      </c>
      <c r="E4244">
        <v>0.1</v>
      </c>
      <c r="F4244">
        <v>96</v>
      </c>
    </row>
    <row r="4245" spans="1:6" x14ac:dyDescent="0.35">
      <c r="A4245">
        <v>1975</v>
      </c>
      <c r="B4245" s="1">
        <v>45701</v>
      </c>
      <c r="C4245" s="2">
        <v>0.79166666666666663</v>
      </c>
      <c r="D4245">
        <v>3</v>
      </c>
      <c r="E4245">
        <v>0.3</v>
      </c>
      <c r="F4245">
        <v>93</v>
      </c>
    </row>
    <row r="4246" spans="1:6" x14ac:dyDescent="0.35">
      <c r="A4246">
        <v>1975</v>
      </c>
      <c r="B4246" s="1">
        <v>45701</v>
      </c>
      <c r="C4246" s="2">
        <v>0.83333333333333337</v>
      </c>
      <c r="D4246">
        <v>3</v>
      </c>
      <c r="E4246">
        <v>0.3</v>
      </c>
      <c r="F4246">
        <v>90</v>
      </c>
    </row>
    <row r="4247" spans="1:6" x14ac:dyDescent="0.35">
      <c r="A4247">
        <v>1975</v>
      </c>
      <c r="B4247" s="1">
        <v>45701</v>
      </c>
      <c r="C4247" s="2">
        <v>0.875</v>
      </c>
      <c r="D4247">
        <v>3</v>
      </c>
      <c r="E4247">
        <v>0.1</v>
      </c>
      <c r="F4247">
        <v>93</v>
      </c>
    </row>
    <row r="4248" spans="1:6" x14ac:dyDescent="0.35">
      <c r="A4248">
        <v>1975</v>
      </c>
      <c r="B4248" s="1">
        <v>45701</v>
      </c>
      <c r="C4248" s="2">
        <v>0.91666666666666663</v>
      </c>
      <c r="D4248">
        <v>3</v>
      </c>
      <c r="E4248">
        <v>0.2</v>
      </c>
      <c r="F4248">
        <v>91</v>
      </c>
    </row>
    <row r="4249" spans="1:6" x14ac:dyDescent="0.35">
      <c r="A4249">
        <v>1975</v>
      </c>
      <c r="B4249" s="1">
        <v>45701</v>
      </c>
      <c r="C4249" s="2">
        <v>0.95833333333333337</v>
      </c>
      <c r="D4249">
        <v>3</v>
      </c>
      <c r="E4249">
        <v>0.1</v>
      </c>
      <c r="F4249">
        <v>91</v>
      </c>
    </row>
    <row r="4250" spans="1:6" x14ac:dyDescent="0.35">
      <c r="A4250">
        <v>1975</v>
      </c>
      <c r="B4250" s="1">
        <v>45702</v>
      </c>
      <c r="C4250" s="2">
        <v>0</v>
      </c>
      <c r="D4250">
        <v>3</v>
      </c>
      <c r="E4250">
        <v>0</v>
      </c>
      <c r="F4250">
        <v>91</v>
      </c>
    </row>
    <row r="4251" spans="1:6" x14ac:dyDescent="0.35">
      <c r="A4251">
        <v>1975</v>
      </c>
      <c r="B4251" s="1">
        <v>45702</v>
      </c>
      <c r="C4251" s="2">
        <v>4.1666666666666657E-2</v>
      </c>
      <c r="D4251">
        <v>3</v>
      </c>
      <c r="E4251">
        <v>-0.1</v>
      </c>
      <c r="F4251">
        <v>89</v>
      </c>
    </row>
    <row r="4252" spans="1:6" x14ac:dyDescent="0.35">
      <c r="A4252">
        <v>1975</v>
      </c>
      <c r="B4252" s="1">
        <v>45702</v>
      </c>
      <c r="C4252" s="2">
        <v>8.3333333333333329E-2</v>
      </c>
      <c r="D4252">
        <v>3</v>
      </c>
      <c r="E4252">
        <v>-0.3</v>
      </c>
      <c r="F4252">
        <v>89</v>
      </c>
    </row>
    <row r="4253" spans="1:6" x14ac:dyDescent="0.35">
      <c r="A4253">
        <v>1975</v>
      </c>
      <c r="B4253" s="1">
        <v>45702</v>
      </c>
      <c r="C4253" s="2">
        <v>0.125</v>
      </c>
      <c r="D4253">
        <v>3</v>
      </c>
      <c r="E4253">
        <v>-0.4</v>
      </c>
      <c r="F4253">
        <v>88</v>
      </c>
    </row>
    <row r="4254" spans="1:6" x14ac:dyDescent="0.35">
      <c r="A4254">
        <v>1975</v>
      </c>
      <c r="B4254" s="1">
        <v>45702</v>
      </c>
      <c r="C4254" s="2">
        <v>0.16666666666666671</v>
      </c>
      <c r="D4254">
        <v>3</v>
      </c>
      <c r="E4254">
        <v>-0.4</v>
      </c>
      <c r="F4254">
        <v>85</v>
      </c>
    </row>
    <row r="4255" spans="1:6" x14ac:dyDescent="0.35">
      <c r="A4255">
        <v>1975</v>
      </c>
      <c r="B4255" s="1">
        <v>45702</v>
      </c>
      <c r="C4255" s="2">
        <v>0.20833333333333329</v>
      </c>
      <c r="D4255">
        <v>3</v>
      </c>
      <c r="E4255">
        <v>-0.4</v>
      </c>
      <c r="F4255">
        <v>85</v>
      </c>
    </row>
    <row r="4256" spans="1:6" x14ac:dyDescent="0.35">
      <c r="A4256">
        <v>1975</v>
      </c>
      <c r="B4256" s="1">
        <v>45702</v>
      </c>
      <c r="C4256" s="2">
        <v>0.25</v>
      </c>
      <c r="D4256">
        <v>3</v>
      </c>
      <c r="E4256">
        <v>-0.6</v>
      </c>
      <c r="F4256">
        <v>86</v>
      </c>
    </row>
    <row r="4257" spans="1:6" x14ac:dyDescent="0.35">
      <c r="A4257">
        <v>1975</v>
      </c>
      <c r="B4257" s="1">
        <v>45702</v>
      </c>
      <c r="C4257" s="2">
        <v>0.29166666666666669</v>
      </c>
      <c r="D4257">
        <v>3</v>
      </c>
      <c r="E4257">
        <v>-0.6</v>
      </c>
      <c r="F4257">
        <v>86</v>
      </c>
    </row>
    <row r="4258" spans="1:6" x14ac:dyDescent="0.35">
      <c r="A4258">
        <v>1975</v>
      </c>
      <c r="B4258" s="1">
        <v>45702</v>
      </c>
      <c r="C4258" s="2">
        <v>0.33333333333333331</v>
      </c>
      <c r="D4258">
        <v>3</v>
      </c>
      <c r="E4258">
        <v>-0.6</v>
      </c>
      <c r="F4258">
        <v>87</v>
      </c>
    </row>
    <row r="4259" spans="1:6" x14ac:dyDescent="0.35">
      <c r="A4259">
        <v>1975</v>
      </c>
      <c r="B4259" s="1">
        <v>45702</v>
      </c>
      <c r="C4259" s="2">
        <v>0.375</v>
      </c>
      <c r="D4259">
        <v>3</v>
      </c>
      <c r="E4259">
        <v>-0.4</v>
      </c>
      <c r="F4259">
        <v>86</v>
      </c>
    </row>
    <row r="4260" spans="1:6" x14ac:dyDescent="0.35">
      <c r="A4260">
        <v>1975</v>
      </c>
      <c r="B4260" s="1">
        <v>45702</v>
      </c>
      <c r="C4260" s="2">
        <v>0.41666666666666669</v>
      </c>
      <c r="D4260">
        <v>3</v>
      </c>
      <c r="E4260">
        <v>-0.1</v>
      </c>
      <c r="F4260">
        <v>85</v>
      </c>
    </row>
    <row r="4261" spans="1:6" x14ac:dyDescent="0.35">
      <c r="A4261">
        <v>1975</v>
      </c>
      <c r="B4261" s="1">
        <v>45702</v>
      </c>
      <c r="C4261" s="2">
        <v>0.45833333333333331</v>
      </c>
      <c r="D4261">
        <v>3</v>
      </c>
      <c r="E4261">
        <v>0</v>
      </c>
      <c r="F4261">
        <v>86</v>
      </c>
    </row>
    <row r="4262" spans="1:6" x14ac:dyDescent="0.35">
      <c r="A4262">
        <v>1975</v>
      </c>
      <c r="B4262" s="1">
        <v>45702</v>
      </c>
      <c r="C4262" s="2">
        <v>0.5</v>
      </c>
      <c r="D4262">
        <v>3</v>
      </c>
      <c r="E4262">
        <v>0.4</v>
      </c>
      <c r="F4262">
        <v>82</v>
      </c>
    </row>
    <row r="4263" spans="1:6" x14ac:dyDescent="0.35">
      <c r="A4263">
        <v>1975</v>
      </c>
      <c r="B4263" s="1">
        <v>45702</v>
      </c>
      <c r="C4263" s="2">
        <v>0.54166666666666663</v>
      </c>
      <c r="D4263">
        <v>3</v>
      </c>
      <c r="E4263">
        <v>0.7</v>
      </c>
      <c r="F4263">
        <v>80</v>
      </c>
    </row>
    <row r="4264" spans="1:6" x14ac:dyDescent="0.35">
      <c r="A4264">
        <v>1975</v>
      </c>
      <c r="B4264" s="1">
        <v>45702</v>
      </c>
      <c r="C4264" s="2">
        <v>0.58333333333333337</v>
      </c>
      <c r="D4264">
        <v>3</v>
      </c>
      <c r="E4264">
        <v>0.8</v>
      </c>
      <c r="F4264">
        <v>78</v>
      </c>
    </row>
    <row r="4265" spans="1:6" x14ac:dyDescent="0.35">
      <c r="A4265">
        <v>1975</v>
      </c>
      <c r="B4265" s="1">
        <v>45702</v>
      </c>
      <c r="C4265" s="2">
        <v>0.625</v>
      </c>
      <c r="D4265">
        <v>3</v>
      </c>
      <c r="E4265">
        <v>0.6</v>
      </c>
      <c r="F4265">
        <v>75</v>
      </c>
    </row>
    <row r="4266" spans="1:6" x14ac:dyDescent="0.35">
      <c r="A4266">
        <v>1975</v>
      </c>
      <c r="B4266" s="1">
        <v>45702</v>
      </c>
      <c r="C4266" s="2">
        <v>0.66666666666666663</v>
      </c>
      <c r="D4266">
        <v>3</v>
      </c>
      <c r="E4266">
        <v>0.5</v>
      </c>
      <c r="F4266">
        <v>72</v>
      </c>
    </row>
    <row r="4267" spans="1:6" x14ac:dyDescent="0.35">
      <c r="A4267">
        <v>1975</v>
      </c>
      <c r="B4267" s="1">
        <v>45702</v>
      </c>
      <c r="C4267" s="2">
        <v>0.70833333333333337</v>
      </c>
      <c r="D4267">
        <v>3</v>
      </c>
      <c r="E4267">
        <v>0.2</v>
      </c>
      <c r="F4267">
        <v>77</v>
      </c>
    </row>
    <row r="4268" spans="1:6" x14ac:dyDescent="0.35">
      <c r="A4268">
        <v>1975</v>
      </c>
      <c r="B4268" s="1">
        <v>45702</v>
      </c>
      <c r="C4268" s="2">
        <v>0.75</v>
      </c>
      <c r="D4268">
        <v>3</v>
      </c>
      <c r="E4268">
        <v>-0.2</v>
      </c>
      <c r="F4268">
        <v>76</v>
      </c>
    </row>
    <row r="4269" spans="1:6" x14ac:dyDescent="0.35">
      <c r="A4269">
        <v>1975</v>
      </c>
      <c r="B4269" s="1">
        <v>45702</v>
      </c>
      <c r="C4269" s="2">
        <v>0.79166666666666663</v>
      </c>
      <c r="D4269">
        <v>3</v>
      </c>
      <c r="E4269">
        <v>-0.3</v>
      </c>
      <c r="F4269">
        <v>75</v>
      </c>
    </row>
    <row r="4270" spans="1:6" x14ac:dyDescent="0.35">
      <c r="A4270">
        <v>1975</v>
      </c>
      <c r="B4270" s="1">
        <v>45702</v>
      </c>
      <c r="C4270" s="2">
        <v>0.83333333333333337</v>
      </c>
      <c r="D4270">
        <v>3</v>
      </c>
      <c r="E4270">
        <v>-0.5</v>
      </c>
      <c r="F4270">
        <v>79</v>
      </c>
    </row>
    <row r="4271" spans="1:6" x14ac:dyDescent="0.35">
      <c r="A4271">
        <v>1975</v>
      </c>
      <c r="B4271" s="1">
        <v>45702</v>
      </c>
      <c r="C4271" s="2">
        <v>0.875</v>
      </c>
      <c r="D4271">
        <v>3</v>
      </c>
      <c r="E4271">
        <v>-0.2</v>
      </c>
      <c r="F4271">
        <v>74</v>
      </c>
    </row>
    <row r="4272" spans="1:6" x14ac:dyDescent="0.35">
      <c r="A4272">
        <v>1975</v>
      </c>
      <c r="B4272" s="1">
        <v>45702</v>
      </c>
      <c r="C4272" s="2">
        <v>0.91666666666666663</v>
      </c>
      <c r="D4272">
        <v>3</v>
      </c>
      <c r="E4272">
        <v>-0.4</v>
      </c>
      <c r="F4272">
        <v>78</v>
      </c>
    </row>
    <row r="4273" spans="1:6" x14ac:dyDescent="0.35">
      <c r="A4273">
        <v>1975</v>
      </c>
      <c r="B4273" s="1">
        <v>45702</v>
      </c>
      <c r="C4273" s="2">
        <v>0.95833333333333337</v>
      </c>
      <c r="D4273">
        <v>3</v>
      </c>
      <c r="E4273">
        <v>-0.6</v>
      </c>
      <c r="F4273">
        <v>82</v>
      </c>
    </row>
    <row r="4274" spans="1:6" x14ac:dyDescent="0.35">
      <c r="A4274">
        <v>1975</v>
      </c>
      <c r="B4274" s="1">
        <v>45703</v>
      </c>
      <c r="C4274" s="2">
        <v>0</v>
      </c>
      <c r="D4274">
        <v>3</v>
      </c>
      <c r="E4274">
        <v>-1</v>
      </c>
      <c r="F4274">
        <v>86</v>
      </c>
    </row>
    <row r="4275" spans="1:6" x14ac:dyDescent="0.35">
      <c r="A4275">
        <v>1975</v>
      </c>
      <c r="B4275" s="1">
        <v>45703</v>
      </c>
      <c r="C4275" s="2">
        <v>4.1666666666666657E-2</v>
      </c>
      <c r="D4275">
        <v>3</v>
      </c>
      <c r="E4275">
        <v>-1</v>
      </c>
      <c r="F4275">
        <v>88</v>
      </c>
    </row>
    <row r="4276" spans="1:6" x14ac:dyDescent="0.35">
      <c r="A4276">
        <v>1975</v>
      </c>
      <c r="B4276" s="1">
        <v>45703</v>
      </c>
      <c r="C4276" s="2">
        <v>8.3333333333333329E-2</v>
      </c>
      <c r="D4276">
        <v>3</v>
      </c>
      <c r="E4276">
        <v>-1.1000000000000001</v>
      </c>
      <c r="F4276">
        <v>93</v>
      </c>
    </row>
    <row r="4277" spans="1:6" x14ac:dyDescent="0.35">
      <c r="A4277">
        <v>1975</v>
      </c>
      <c r="B4277" s="1">
        <v>45703</v>
      </c>
      <c r="C4277" s="2">
        <v>0.125</v>
      </c>
      <c r="D4277">
        <v>3</v>
      </c>
      <c r="E4277">
        <v>-1.3</v>
      </c>
      <c r="F4277">
        <v>94</v>
      </c>
    </row>
    <row r="4278" spans="1:6" x14ac:dyDescent="0.35">
      <c r="A4278">
        <v>1975</v>
      </c>
      <c r="B4278" s="1">
        <v>45703</v>
      </c>
      <c r="C4278" s="2">
        <v>0.16666666666666671</v>
      </c>
      <c r="D4278">
        <v>3</v>
      </c>
      <c r="E4278">
        <v>-0.9</v>
      </c>
      <c r="F4278">
        <v>91</v>
      </c>
    </row>
    <row r="4279" spans="1:6" x14ac:dyDescent="0.35">
      <c r="A4279">
        <v>1975</v>
      </c>
      <c r="B4279" s="1">
        <v>45703</v>
      </c>
      <c r="C4279" s="2">
        <v>0.20833333333333329</v>
      </c>
      <c r="D4279">
        <v>3</v>
      </c>
      <c r="E4279">
        <v>-1.4</v>
      </c>
      <c r="F4279">
        <v>94</v>
      </c>
    </row>
    <row r="4280" spans="1:6" x14ac:dyDescent="0.35">
      <c r="A4280">
        <v>1975</v>
      </c>
      <c r="B4280" s="1">
        <v>45703</v>
      </c>
      <c r="C4280" s="2">
        <v>0.25</v>
      </c>
      <c r="D4280">
        <v>3</v>
      </c>
      <c r="E4280">
        <v>-1.3</v>
      </c>
      <c r="F4280">
        <v>93</v>
      </c>
    </row>
    <row r="4281" spans="1:6" x14ac:dyDescent="0.35">
      <c r="A4281">
        <v>1975</v>
      </c>
      <c r="B4281" s="1">
        <v>45703</v>
      </c>
      <c r="C4281" s="2">
        <v>0.29166666666666669</v>
      </c>
      <c r="D4281">
        <v>3</v>
      </c>
      <c r="E4281">
        <v>-1</v>
      </c>
      <c r="F4281">
        <v>90</v>
      </c>
    </row>
    <row r="4282" spans="1:6" x14ac:dyDescent="0.35">
      <c r="A4282">
        <v>1975</v>
      </c>
      <c r="B4282" s="1">
        <v>45703</v>
      </c>
      <c r="C4282" s="2">
        <v>0.33333333333333331</v>
      </c>
      <c r="D4282">
        <v>3</v>
      </c>
      <c r="E4282">
        <v>-0.8</v>
      </c>
      <c r="F4282">
        <v>89</v>
      </c>
    </row>
    <row r="4283" spans="1:6" x14ac:dyDescent="0.35">
      <c r="A4283">
        <v>1975</v>
      </c>
      <c r="B4283" s="1">
        <v>45703</v>
      </c>
      <c r="C4283" s="2">
        <v>0.375</v>
      </c>
      <c r="D4283">
        <v>3</v>
      </c>
      <c r="E4283">
        <v>-0.2</v>
      </c>
      <c r="F4283">
        <v>87</v>
      </c>
    </row>
    <row r="4284" spans="1:6" x14ac:dyDescent="0.35">
      <c r="A4284">
        <v>1975</v>
      </c>
      <c r="B4284" s="1">
        <v>45703</v>
      </c>
      <c r="C4284" s="2">
        <v>0.41666666666666669</v>
      </c>
      <c r="D4284">
        <v>3</v>
      </c>
      <c r="E4284">
        <v>0.3</v>
      </c>
      <c r="F4284">
        <v>80</v>
      </c>
    </row>
    <row r="4285" spans="1:6" x14ac:dyDescent="0.35">
      <c r="A4285">
        <v>1975</v>
      </c>
      <c r="B4285" s="1">
        <v>45703</v>
      </c>
      <c r="C4285" s="2">
        <v>0.45833333333333331</v>
      </c>
      <c r="D4285">
        <v>3</v>
      </c>
      <c r="E4285">
        <v>0.9</v>
      </c>
      <c r="F4285">
        <v>74</v>
      </c>
    </row>
    <row r="4286" spans="1:6" x14ac:dyDescent="0.35">
      <c r="A4286">
        <v>1975</v>
      </c>
      <c r="B4286" s="1">
        <v>45703</v>
      </c>
      <c r="C4286" s="2">
        <v>0.5</v>
      </c>
      <c r="D4286">
        <v>3</v>
      </c>
      <c r="E4286">
        <v>0.9</v>
      </c>
      <c r="F4286">
        <v>66</v>
      </c>
    </row>
    <row r="4287" spans="1:6" x14ac:dyDescent="0.35">
      <c r="A4287">
        <v>1975</v>
      </c>
      <c r="B4287" s="1">
        <v>45703</v>
      </c>
      <c r="C4287" s="2">
        <v>0.54166666666666663</v>
      </c>
      <c r="D4287">
        <v>3</v>
      </c>
      <c r="E4287">
        <v>1.7</v>
      </c>
      <c r="F4287">
        <v>66</v>
      </c>
    </row>
    <row r="4288" spans="1:6" x14ac:dyDescent="0.35">
      <c r="A4288">
        <v>1975</v>
      </c>
      <c r="B4288" s="1">
        <v>45703</v>
      </c>
      <c r="C4288" s="2">
        <v>0.58333333333333337</v>
      </c>
      <c r="D4288">
        <v>3</v>
      </c>
      <c r="E4288">
        <v>1.6</v>
      </c>
      <c r="F4288">
        <v>63</v>
      </c>
    </row>
    <row r="4289" spans="1:6" x14ac:dyDescent="0.35">
      <c r="A4289">
        <v>1975</v>
      </c>
      <c r="B4289" s="1">
        <v>45703</v>
      </c>
      <c r="C4289" s="2">
        <v>0.625</v>
      </c>
      <c r="D4289">
        <v>3</v>
      </c>
      <c r="E4289">
        <v>1.6</v>
      </c>
      <c r="F4289">
        <v>67</v>
      </c>
    </row>
    <row r="4290" spans="1:6" x14ac:dyDescent="0.35">
      <c r="A4290">
        <v>1975</v>
      </c>
      <c r="B4290" s="1">
        <v>45703</v>
      </c>
      <c r="C4290" s="2">
        <v>0.66666666666666663</v>
      </c>
      <c r="D4290">
        <v>3</v>
      </c>
      <c r="E4290">
        <v>1.4</v>
      </c>
      <c r="F4290">
        <v>69</v>
      </c>
    </row>
    <row r="4291" spans="1:6" x14ac:dyDescent="0.35">
      <c r="A4291">
        <v>1975</v>
      </c>
      <c r="B4291" s="1">
        <v>45703</v>
      </c>
      <c r="C4291" s="2">
        <v>0.70833333333333337</v>
      </c>
      <c r="D4291">
        <v>3</v>
      </c>
      <c r="E4291">
        <v>0.5</v>
      </c>
      <c r="F4291">
        <v>74</v>
      </c>
    </row>
    <row r="4292" spans="1:6" x14ac:dyDescent="0.35">
      <c r="A4292">
        <v>1975</v>
      </c>
      <c r="B4292" s="1">
        <v>45703</v>
      </c>
      <c r="C4292" s="2">
        <v>0.75</v>
      </c>
      <c r="D4292">
        <v>3</v>
      </c>
      <c r="E4292">
        <v>-1.1000000000000001</v>
      </c>
      <c r="F4292">
        <v>83</v>
      </c>
    </row>
    <row r="4293" spans="1:6" x14ac:dyDescent="0.35">
      <c r="A4293">
        <v>1975</v>
      </c>
      <c r="B4293" s="1">
        <v>45703</v>
      </c>
      <c r="C4293" s="2">
        <v>0.79166666666666663</v>
      </c>
      <c r="D4293">
        <v>3</v>
      </c>
      <c r="E4293">
        <v>-2.5</v>
      </c>
      <c r="F4293">
        <v>87</v>
      </c>
    </row>
    <row r="4294" spans="1:6" x14ac:dyDescent="0.35">
      <c r="A4294">
        <v>1975</v>
      </c>
      <c r="B4294" s="1">
        <v>45703</v>
      </c>
      <c r="C4294" s="2">
        <v>0.83333333333333337</v>
      </c>
      <c r="D4294">
        <v>3</v>
      </c>
      <c r="E4294">
        <v>-3.1</v>
      </c>
      <c r="F4294">
        <v>93</v>
      </c>
    </row>
    <row r="4295" spans="1:6" x14ac:dyDescent="0.35">
      <c r="A4295">
        <v>1975</v>
      </c>
      <c r="B4295" s="1">
        <v>45703</v>
      </c>
      <c r="C4295" s="2">
        <v>0.875</v>
      </c>
      <c r="D4295">
        <v>3</v>
      </c>
      <c r="E4295">
        <v>-3.2</v>
      </c>
      <c r="F4295">
        <v>95</v>
      </c>
    </row>
    <row r="4296" spans="1:6" x14ac:dyDescent="0.35">
      <c r="A4296">
        <v>1975</v>
      </c>
      <c r="B4296" s="1">
        <v>45703</v>
      </c>
      <c r="C4296" s="2">
        <v>0.91666666666666663</v>
      </c>
      <c r="D4296">
        <v>3</v>
      </c>
      <c r="E4296">
        <v>-2.2000000000000002</v>
      </c>
      <c r="F4296">
        <v>91</v>
      </c>
    </row>
    <row r="4297" spans="1:6" x14ac:dyDescent="0.35">
      <c r="A4297">
        <v>1975</v>
      </c>
      <c r="B4297" s="1">
        <v>45703</v>
      </c>
      <c r="C4297" s="2">
        <v>0.95833333333333337</v>
      </c>
      <c r="D4297">
        <v>3</v>
      </c>
      <c r="E4297">
        <v>-1.6</v>
      </c>
      <c r="F4297">
        <v>89</v>
      </c>
    </row>
    <row r="4298" spans="1:6" x14ac:dyDescent="0.35">
      <c r="A4298">
        <v>1975</v>
      </c>
      <c r="B4298" s="1">
        <v>45704</v>
      </c>
      <c r="C4298" s="2">
        <v>0</v>
      </c>
      <c r="D4298">
        <v>3</v>
      </c>
      <c r="E4298">
        <v>-0.7</v>
      </c>
      <c r="F4298">
        <v>86</v>
      </c>
    </row>
    <row r="4299" spans="1:6" x14ac:dyDescent="0.35">
      <c r="A4299">
        <v>1975</v>
      </c>
      <c r="B4299" s="1">
        <v>45704</v>
      </c>
      <c r="C4299" s="2">
        <v>4.1666666666666657E-2</v>
      </c>
      <c r="D4299">
        <v>3</v>
      </c>
      <c r="E4299">
        <v>-0.6</v>
      </c>
      <c r="F4299">
        <v>84</v>
      </c>
    </row>
    <row r="4300" spans="1:6" x14ac:dyDescent="0.35">
      <c r="A4300">
        <v>1975</v>
      </c>
      <c r="B4300" s="1">
        <v>45704</v>
      </c>
      <c r="C4300" s="2">
        <v>8.3333333333333329E-2</v>
      </c>
      <c r="D4300">
        <v>3</v>
      </c>
      <c r="E4300">
        <v>-0.2</v>
      </c>
      <c r="F4300">
        <v>86</v>
      </c>
    </row>
    <row r="4301" spans="1:6" x14ac:dyDescent="0.35">
      <c r="A4301">
        <v>1975</v>
      </c>
      <c r="B4301" s="1">
        <v>45704</v>
      </c>
      <c r="C4301" s="2">
        <v>0.125</v>
      </c>
      <c r="D4301">
        <v>3</v>
      </c>
      <c r="E4301">
        <v>-0.3</v>
      </c>
      <c r="F4301">
        <v>83</v>
      </c>
    </row>
    <row r="4302" spans="1:6" x14ac:dyDescent="0.35">
      <c r="A4302">
        <v>1975</v>
      </c>
      <c r="B4302" s="1">
        <v>45704</v>
      </c>
      <c r="C4302" s="2">
        <v>0.16666666666666671</v>
      </c>
      <c r="D4302">
        <v>3</v>
      </c>
      <c r="E4302">
        <v>-1</v>
      </c>
      <c r="F4302">
        <v>83</v>
      </c>
    </row>
    <row r="4303" spans="1:6" x14ac:dyDescent="0.35">
      <c r="A4303">
        <v>1975</v>
      </c>
      <c r="B4303" s="1">
        <v>45704</v>
      </c>
      <c r="C4303" s="2">
        <v>0.20833333333333329</v>
      </c>
      <c r="D4303">
        <v>3</v>
      </c>
      <c r="E4303">
        <v>-1.5</v>
      </c>
      <c r="F4303">
        <v>86</v>
      </c>
    </row>
    <row r="4304" spans="1:6" x14ac:dyDescent="0.35">
      <c r="A4304">
        <v>1975</v>
      </c>
      <c r="B4304" s="1">
        <v>45704</v>
      </c>
      <c r="C4304" s="2">
        <v>0.25</v>
      </c>
      <c r="D4304">
        <v>3</v>
      </c>
      <c r="E4304">
        <v>-2</v>
      </c>
      <c r="F4304">
        <v>86</v>
      </c>
    </row>
    <row r="4305" spans="1:6" x14ac:dyDescent="0.35">
      <c r="A4305">
        <v>1975</v>
      </c>
      <c r="B4305" s="1">
        <v>45704</v>
      </c>
      <c r="C4305" s="2">
        <v>0.29166666666666669</v>
      </c>
      <c r="D4305">
        <v>3</v>
      </c>
      <c r="E4305">
        <v>-2</v>
      </c>
      <c r="F4305">
        <v>86</v>
      </c>
    </row>
    <row r="4306" spans="1:6" x14ac:dyDescent="0.35">
      <c r="A4306">
        <v>1975</v>
      </c>
      <c r="B4306" s="1">
        <v>45704</v>
      </c>
      <c r="C4306" s="2">
        <v>0.33333333333333331</v>
      </c>
      <c r="D4306">
        <v>3</v>
      </c>
      <c r="E4306">
        <v>-1.8</v>
      </c>
      <c r="F4306">
        <v>88</v>
      </c>
    </row>
    <row r="4307" spans="1:6" x14ac:dyDescent="0.35">
      <c r="A4307">
        <v>1975</v>
      </c>
      <c r="B4307" s="1">
        <v>45704</v>
      </c>
      <c r="C4307" s="2">
        <v>0.375</v>
      </c>
      <c r="D4307">
        <v>3</v>
      </c>
      <c r="E4307">
        <v>-1</v>
      </c>
      <c r="F4307">
        <v>75</v>
      </c>
    </row>
    <row r="4308" spans="1:6" x14ac:dyDescent="0.35">
      <c r="A4308">
        <v>1975</v>
      </c>
      <c r="B4308" s="1">
        <v>45704</v>
      </c>
      <c r="C4308" s="2">
        <v>0.41666666666666669</v>
      </c>
      <c r="D4308">
        <v>3</v>
      </c>
      <c r="E4308">
        <v>-0.5</v>
      </c>
      <c r="F4308">
        <v>71</v>
      </c>
    </row>
    <row r="4309" spans="1:6" x14ac:dyDescent="0.35">
      <c r="A4309">
        <v>1975</v>
      </c>
      <c r="B4309" s="1">
        <v>45704</v>
      </c>
      <c r="C4309" s="2">
        <v>0.45833333333333331</v>
      </c>
      <c r="D4309">
        <v>3</v>
      </c>
      <c r="E4309">
        <v>-0.1</v>
      </c>
      <c r="F4309">
        <v>64</v>
      </c>
    </row>
    <row r="4310" spans="1:6" x14ac:dyDescent="0.35">
      <c r="A4310">
        <v>1975</v>
      </c>
      <c r="B4310" s="1">
        <v>45704</v>
      </c>
      <c r="C4310" s="2">
        <v>0.5</v>
      </c>
      <c r="D4310">
        <v>3</v>
      </c>
      <c r="E4310">
        <v>0.6</v>
      </c>
      <c r="F4310">
        <v>55</v>
      </c>
    </row>
    <row r="4311" spans="1:6" x14ac:dyDescent="0.35">
      <c r="A4311">
        <v>1975</v>
      </c>
      <c r="B4311" s="1">
        <v>45704</v>
      </c>
      <c r="C4311" s="2">
        <v>0.54166666666666663</v>
      </c>
      <c r="D4311">
        <v>3</v>
      </c>
      <c r="E4311">
        <v>0.4</v>
      </c>
      <c r="F4311">
        <v>55</v>
      </c>
    </row>
    <row r="4312" spans="1:6" x14ac:dyDescent="0.35">
      <c r="A4312">
        <v>1975</v>
      </c>
      <c r="B4312" s="1">
        <v>45704</v>
      </c>
      <c r="C4312" s="2">
        <v>0.58333333333333337</v>
      </c>
      <c r="D4312">
        <v>3</v>
      </c>
      <c r="E4312">
        <v>0.6</v>
      </c>
      <c r="F4312">
        <v>54</v>
      </c>
    </row>
    <row r="4313" spans="1:6" x14ac:dyDescent="0.35">
      <c r="A4313">
        <v>1975</v>
      </c>
      <c r="B4313" s="1">
        <v>45704</v>
      </c>
      <c r="C4313" s="2">
        <v>0.625</v>
      </c>
      <c r="D4313">
        <v>3</v>
      </c>
      <c r="E4313">
        <v>0.3</v>
      </c>
      <c r="F4313">
        <v>52</v>
      </c>
    </row>
    <row r="4314" spans="1:6" x14ac:dyDescent="0.35">
      <c r="A4314">
        <v>1975</v>
      </c>
      <c r="B4314" s="1">
        <v>45704</v>
      </c>
      <c r="C4314" s="2">
        <v>0.66666666666666663</v>
      </c>
      <c r="D4314">
        <v>3</v>
      </c>
      <c r="E4314">
        <v>0</v>
      </c>
      <c r="F4314">
        <v>54</v>
      </c>
    </row>
    <row r="4315" spans="1:6" x14ac:dyDescent="0.35">
      <c r="A4315">
        <v>1975</v>
      </c>
      <c r="B4315" s="1">
        <v>45704</v>
      </c>
      <c r="C4315" s="2">
        <v>0.70833333333333337</v>
      </c>
      <c r="D4315">
        <v>3</v>
      </c>
      <c r="E4315">
        <v>-1.5</v>
      </c>
      <c r="F4315">
        <v>69</v>
      </c>
    </row>
    <row r="4316" spans="1:6" x14ac:dyDescent="0.35">
      <c r="A4316">
        <v>1975</v>
      </c>
      <c r="B4316" s="1">
        <v>45704</v>
      </c>
      <c r="C4316" s="2">
        <v>0.75</v>
      </c>
      <c r="D4316">
        <v>3</v>
      </c>
      <c r="E4316">
        <v>-2.4</v>
      </c>
      <c r="F4316">
        <v>75</v>
      </c>
    </row>
    <row r="4317" spans="1:6" x14ac:dyDescent="0.35">
      <c r="A4317">
        <v>1975</v>
      </c>
      <c r="B4317" s="1">
        <v>45704</v>
      </c>
      <c r="C4317" s="2">
        <v>0.79166666666666663</v>
      </c>
      <c r="D4317">
        <v>3</v>
      </c>
      <c r="E4317">
        <v>-2.7</v>
      </c>
      <c r="F4317">
        <v>78</v>
      </c>
    </row>
    <row r="4318" spans="1:6" x14ac:dyDescent="0.35">
      <c r="A4318">
        <v>1975</v>
      </c>
      <c r="B4318" s="1">
        <v>45704</v>
      </c>
      <c r="C4318" s="2">
        <v>0.83333333333333337</v>
      </c>
      <c r="D4318">
        <v>3</v>
      </c>
      <c r="E4318">
        <v>-3.3</v>
      </c>
      <c r="F4318">
        <v>80</v>
      </c>
    </row>
    <row r="4319" spans="1:6" x14ac:dyDescent="0.35">
      <c r="A4319">
        <v>1975</v>
      </c>
      <c r="B4319" s="1">
        <v>45704</v>
      </c>
      <c r="C4319" s="2">
        <v>0.875</v>
      </c>
      <c r="D4319">
        <v>3</v>
      </c>
      <c r="E4319">
        <v>-4.5999999999999996</v>
      </c>
      <c r="F4319">
        <v>85</v>
      </c>
    </row>
    <row r="4320" spans="1:6" x14ac:dyDescent="0.35">
      <c r="A4320">
        <v>1975</v>
      </c>
      <c r="B4320" s="1">
        <v>45704</v>
      </c>
      <c r="C4320" s="2">
        <v>0.91666666666666663</v>
      </c>
      <c r="D4320">
        <v>3</v>
      </c>
      <c r="E4320">
        <v>-5.0999999999999996</v>
      </c>
      <c r="F4320">
        <v>84</v>
      </c>
    </row>
    <row r="4321" spans="1:6" x14ac:dyDescent="0.35">
      <c r="A4321">
        <v>1975</v>
      </c>
      <c r="B4321" s="1">
        <v>45704</v>
      </c>
      <c r="C4321" s="2">
        <v>0.95833333333333337</v>
      </c>
      <c r="D4321">
        <v>3</v>
      </c>
      <c r="E4321">
        <v>-5.3</v>
      </c>
      <c r="F4321">
        <v>86</v>
      </c>
    </row>
    <row r="4322" spans="1:6" x14ac:dyDescent="0.35">
      <c r="A4322">
        <v>1975</v>
      </c>
      <c r="B4322" s="1">
        <v>45705</v>
      </c>
      <c r="C4322" s="2">
        <v>0</v>
      </c>
      <c r="D4322">
        <v>3</v>
      </c>
      <c r="E4322">
        <v>-5.7</v>
      </c>
      <c r="F4322">
        <v>86</v>
      </c>
    </row>
    <row r="4323" spans="1:6" x14ac:dyDescent="0.35">
      <c r="A4323">
        <v>1975</v>
      </c>
      <c r="B4323" s="1">
        <v>45705</v>
      </c>
      <c r="C4323" s="2">
        <v>4.1666666666666657E-2</v>
      </c>
      <c r="D4323">
        <v>3</v>
      </c>
      <c r="E4323">
        <v>-6.2</v>
      </c>
      <c r="F4323">
        <v>88</v>
      </c>
    </row>
    <row r="4324" spans="1:6" x14ac:dyDescent="0.35">
      <c r="A4324">
        <v>1975</v>
      </c>
      <c r="B4324" s="1">
        <v>45705</v>
      </c>
      <c r="C4324" s="2">
        <v>8.3333333333333329E-2</v>
      </c>
      <c r="D4324">
        <v>3</v>
      </c>
      <c r="E4324">
        <v>-5.8</v>
      </c>
      <c r="F4324">
        <v>87</v>
      </c>
    </row>
    <row r="4325" spans="1:6" x14ac:dyDescent="0.35">
      <c r="A4325">
        <v>1975</v>
      </c>
      <c r="B4325" s="1">
        <v>45705</v>
      </c>
      <c r="C4325" s="2">
        <v>0.125</v>
      </c>
      <c r="D4325">
        <v>3</v>
      </c>
      <c r="E4325">
        <v>-6.6</v>
      </c>
      <c r="F4325">
        <v>87</v>
      </c>
    </row>
    <row r="4326" spans="1:6" x14ac:dyDescent="0.35">
      <c r="A4326">
        <v>1975</v>
      </c>
      <c r="B4326" s="1">
        <v>45705</v>
      </c>
      <c r="C4326" s="2">
        <v>0.16666666666666671</v>
      </c>
      <c r="D4326">
        <v>3</v>
      </c>
      <c r="E4326">
        <v>-7</v>
      </c>
      <c r="F4326">
        <v>89</v>
      </c>
    </row>
    <row r="4327" spans="1:6" x14ac:dyDescent="0.35">
      <c r="A4327">
        <v>1975</v>
      </c>
      <c r="B4327" s="1">
        <v>45705</v>
      </c>
      <c r="C4327" s="2">
        <v>0.20833333333333329</v>
      </c>
      <c r="D4327">
        <v>3</v>
      </c>
      <c r="E4327">
        <v>-7.7</v>
      </c>
      <c r="F4327">
        <v>89</v>
      </c>
    </row>
    <row r="4328" spans="1:6" x14ac:dyDescent="0.35">
      <c r="A4328">
        <v>1975</v>
      </c>
      <c r="B4328" s="1">
        <v>45705</v>
      </c>
      <c r="C4328" s="2">
        <v>0.25</v>
      </c>
      <c r="D4328">
        <v>3</v>
      </c>
      <c r="E4328">
        <v>-7</v>
      </c>
      <c r="F4328">
        <v>88</v>
      </c>
    </row>
    <row r="4329" spans="1:6" x14ac:dyDescent="0.35">
      <c r="A4329">
        <v>1975</v>
      </c>
      <c r="B4329" s="1">
        <v>45705</v>
      </c>
      <c r="C4329" s="2">
        <v>0.29166666666666669</v>
      </c>
      <c r="D4329">
        <v>3</v>
      </c>
      <c r="E4329">
        <v>-7.4</v>
      </c>
      <c r="F4329">
        <v>88</v>
      </c>
    </row>
    <row r="4330" spans="1:6" x14ac:dyDescent="0.35">
      <c r="A4330">
        <v>1975</v>
      </c>
      <c r="B4330" s="1">
        <v>45705</v>
      </c>
      <c r="C4330" s="2">
        <v>0.33333333333333331</v>
      </c>
      <c r="D4330">
        <v>3</v>
      </c>
      <c r="E4330">
        <v>-4.9000000000000004</v>
      </c>
      <c r="F4330">
        <v>78</v>
      </c>
    </row>
    <row r="4331" spans="1:6" x14ac:dyDescent="0.35">
      <c r="A4331">
        <v>1975</v>
      </c>
      <c r="B4331" s="1">
        <v>45705</v>
      </c>
      <c r="C4331" s="2">
        <v>0.375</v>
      </c>
      <c r="D4331">
        <v>3</v>
      </c>
      <c r="E4331">
        <v>-2.9</v>
      </c>
      <c r="F4331">
        <v>72</v>
      </c>
    </row>
    <row r="4332" spans="1:6" x14ac:dyDescent="0.35">
      <c r="A4332">
        <v>1975</v>
      </c>
      <c r="B4332" s="1">
        <v>45705</v>
      </c>
      <c r="C4332" s="2">
        <v>0.41666666666666669</v>
      </c>
      <c r="D4332">
        <v>3</v>
      </c>
      <c r="E4332">
        <v>-1.6</v>
      </c>
      <c r="F4332">
        <v>68</v>
      </c>
    </row>
    <row r="4333" spans="1:6" x14ac:dyDescent="0.35">
      <c r="A4333">
        <v>1975</v>
      </c>
      <c r="B4333" s="1">
        <v>45705</v>
      </c>
      <c r="C4333" s="2">
        <v>0.45833333333333331</v>
      </c>
      <c r="D4333">
        <v>3</v>
      </c>
      <c r="E4333">
        <v>-0.5</v>
      </c>
      <c r="F4333">
        <v>61</v>
      </c>
    </row>
    <row r="4334" spans="1:6" x14ac:dyDescent="0.35">
      <c r="A4334">
        <v>1975</v>
      </c>
      <c r="B4334" s="1">
        <v>45705</v>
      </c>
      <c r="C4334" s="2">
        <v>0.5</v>
      </c>
      <c r="D4334">
        <v>3</v>
      </c>
      <c r="E4334">
        <v>-0.2</v>
      </c>
      <c r="F4334">
        <v>56</v>
      </c>
    </row>
    <row r="4335" spans="1:6" x14ac:dyDescent="0.35">
      <c r="A4335">
        <v>1975</v>
      </c>
      <c r="B4335" s="1">
        <v>45705</v>
      </c>
      <c r="C4335" s="2">
        <v>0.54166666666666663</v>
      </c>
      <c r="D4335">
        <v>3</v>
      </c>
      <c r="E4335">
        <v>0.7</v>
      </c>
      <c r="F4335">
        <v>48</v>
      </c>
    </row>
    <row r="4336" spans="1:6" x14ac:dyDescent="0.35">
      <c r="A4336">
        <v>1975</v>
      </c>
      <c r="B4336" s="1">
        <v>45705</v>
      </c>
      <c r="C4336" s="2">
        <v>0.58333333333333337</v>
      </c>
      <c r="D4336">
        <v>3</v>
      </c>
      <c r="E4336">
        <v>0.7</v>
      </c>
      <c r="F4336">
        <v>50</v>
      </c>
    </row>
    <row r="4337" spans="1:6" x14ac:dyDescent="0.35">
      <c r="A4337">
        <v>1975</v>
      </c>
      <c r="B4337" s="1">
        <v>45705</v>
      </c>
      <c r="C4337" s="2">
        <v>0.625</v>
      </c>
      <c r="D4337">
        <v>3</v>
      </c>
      <c r="E4337">
        <v>0.5</v>
      </c>
      <c r="F4337">
        <v>51</v>
      </c>
    </row>
    <row r="4338" spans="1:6" x14ac:dyDescent="0.35">
      <c r="A4338">
        <v>1975</v>
      </c>
      <c r="B4338" s="1">
        <v>45705</v>
      </c>
      <c r="C4338" s="2">
        <v>0.66666666666666663</v>
      </c>
      <c r="D4338">
        <v>3</v>
      </c>
      <c r="E4338">
        <v>-0.4</v>
      </c>
      <c r="F4338">
        <v>54</v>
      </c>
    </row>
    <row r="4339" spans="1:6" x14ac:dyDescent="0.35">
      <c r="A4339">
        <v>1975</v>
      </c>
      <c r="B4339" s="1">
        <v>45705</v>
      </c>
      <c r="C4339" s="2">
        <v>0.70833333333333337</v>
      </c>
      <c r="D4339">
        <v>3</v>
      </c>
      <c r="E4339">
        <v>-1.1000000000000001</v>
      </c>
      <c r="F4339">
        <v>57</v>
      </c>
    </row>
    <row r="4340" spans="1:6" x14ac:dyDescent="0.35">
      <c r="A4340">
        <v>1975</v>
      </c>
      <c r="B4340" s="1">
        <v>45705</v>
      </c>
      <c r="C4340" s="2">
        <v>0.75</v>
      </c>
      <c r="D4340">
        <v>3</v>
      </c>
      <c r="E4340">
        <v>-2.9</v>
      </c>
      <c r="F4340">
        <v>66</v>
      </c>
    </row>
    <row r="4341" spans="1:6" x14ac:dyDescent="0.35">
      <c r="A4341">
        <v>1975</v>
      </c>
      <c r="B4341" s="1">
        <v>45705</v>
      </c>
      <c r="C4341" s="2">
        <v>0.79166666666666663</v>
      </c>
      <c r="D4341">
        <v>3</v>
      </c>
      <c r="E4341">
        <v>-4.4000000000000004</v>
      </c>
      <c r="F4341">
        <v>74</v>
      </c>
    </row>
    <row r="4342" spans="1:6" x14ac:dyDescent="0.35">
      <c r="A4342">
        <v>1975</v>
      </c>
      <c r="B4342" s="1">
        <v>45705</v>
      </c>
      <c r="C4342" s="2">
        <v>0.83333333333333337</v>
      </c>
      <c r="D4342">
        <v>3</v>
      </c>
      <c r="E4342">
        <v>-3.9</v>
      </c>
      <c r="F4342">
        <v>73</v>
      </c>
    </row>
    <row r="4343" spans="1:6" x14ac:dyDescent="0.35">
      <c r="A4343">
        <v>1975</v>
      </c>
      <c r="B4343" s="1">
        <v>45705</v>
      </c>
      <c r="C4343" s="2">
        <v>0.875</v>
      </c>
      <c r="D4343">
        <v>3</v>
      </c>
      <c r="E4343">
        <v>-5.4</v>
      </c>
      <c r="F4343">
        <v>80</v>
      </c>
    </row>
    <row r="4344" spans="1:6" x14ac:dyDescent="0.35">
      <c r="A4344">
        <v>1975</v>
      </c>
      <c r="B4344" s="1">
        <v>45705</v>
      </c>
      <c r="C4344" s="2">
        <v>0.91666666666666663</v>
      </c>
      <c r="D4344">
        <v>3</v>
      </c>
      <c r="E4344">
        <v>-6.5</v>
      </c>
      <c r="F4344">
        <v>87</v>
      </c>
    </row>
    <row r="4345" spans="1:6" x14ac:dyDescent="0.35">
      <c r="A4345">
        <v>1975</v>
      </c>
      <c r="B4345" s="1">
        <v>45705</v>
      </c>
      <c r="C4345" s="2">
        <v>0.95833333333333337</v>
      </c>
      <c r="D4345">
        <v>3</v>
      </c>
      <c r="E4345">
        <v>-7</v>
      </c>
      <c r="F4345">
        <v>90</v>
      </c>
    </row>
    <row r="4346" spans="1:6" x14ac:dyDescent="0.35">
      <c r="A4346">
        <v>1975</v>
      </c>
      <c r="B4346" s="1">
        <v>45706</v>
      </c>
      <c r="C4346" s="2">
        <v>0</v>
      </c>
      <c r="D4346">
        <v>3</v>
      </c>
      <c r="E4346">
        <v>-7.5</v>
      </c>
      <c r="F4346">
        <v>88</v>
      </c>
    </row>
    <row r="4347" spans="1:6" x14ac:dyDescent="0.35">
      <c r="A4347">
        <v>1975</v>
      </c>
      <c r="B4347" s="1">
        <v>45706</v>
      </c>
      <c r="C4347" s="2">
        <v>4.1666666666666657E-2</v>
      </c>
      <c r="D4347">
        <v>3</v>
      </c>
      <c r="E4347">
        <v>-8.3000000000000007</v>
      </c>
      <c r="F4347">
        <v>93</v>
      </c>
    </row>
    <row r="4348" spans="1:6" x14ac:dyDescent="0.35">
      <c r="A4348">
        <v>1975</v>
      </c>
      <c r="B4348" s="1">
        <v>45706</v>
      </c>
      <c r="C4348" s="2">
        <v>8.3333333333333329E-2</v>
      </c>
      <c r="D4348">
        <v>3</v>
      </c>
      <c r="E4348">
        <v>-8.3000000000000007</v>
      </c>
      <c r="F4348">
        <v>91</v>
      </c>
    </row>
    <row r="4349" spans="1:6" x14ac:dyDescent="0.35">
      <c r="A4349">
        <v>1975</v>
      </c>
      <c r="B4349" s="1">
        <v>45706</v>
      </c>
      <c r="C4349" s="2">
        <v>0.125</v>
      </c>
      <c r="D4349">
        <v>3</v>
      </c>
      <c r="E4349">
        <v>-8.6999999999999993</v>
      </c>
      <c r="F4349">
        <v>94</v>
      </c>
    </row>
    <row r="4350" spans="1:6" x14ac:dyDescent="0.35">
      <c r="A4350">
        <v>1975</v>
      </c>
      <c r="B4350" s="1">
        <v>45706</v>
      </c>
      <c r="C4350" s="2">
        <v>0.16666666666666671</v>
      </c>
      <c r="D4350">
        <v>3</v>
      </c>
      <c r="E4350">
        <v>-9.1999999999999993</v>
      </c>
      <c r="F4350">
        <v>94</v>
      </c>
    </row>
    <row r="4351" spans="1:6" x14ac:dyDescent="0.35">
      <c r="A4351">
        <v>1975</v>
      </c>
      <c r="B4351" s="1">
        <v>45706</v>
      </c>
      <c r="C4351" s="2">
        <v>0.20833333333333329</v>
      </c>
      <c r="D4351">
        <v>3</v>
      </c>
      <c r="E4351">
        <v>-9.1999999999999993</v>
      </c>
      <c r="F4351">
        <v>91</v>
      </c>
    </row>
    <row r="4352" spans="1:6" x14ac:dyDescent="0.35">
      <c r="A4352">
        <v>1975</v>
      </c>
      <c r="B4352" s="1">
        <v>45706</v>
      </c>
      <c r="C4352" s="2">
        <v>0.25</v>
      </c>
      <c r="D4352">
        <v>3</v>
      </c>
      <c r="E4352">
        <v>-9.4</v>
      </c>
      <c r="F4352">
        <v>92</v>
      </c>
    </row>
    <row r="4353" spans="1:6" x14ac:dyDescent="0.35">
      <c r="A4353">
        <v>1975</v>
      </c>
      <c r="B4353" s="1">
        <v>45706</v>
      </c>
      <c r="C4353" s="2">
        <v>0.29166666666666669</v>
      </c>
      <c r="D4353">
        <v>3</v>
      </c>
      <c r="E4353">
        <v>-9.3000000000000007</v>
      </c>
      <c r="F4353">
        <v>90</v>
      </c>
    </row>
    <row r="4354" spans="1:6" x14ac:dyDescent="0.35">
      <c r="A4354">
        <v>1975</v>
      </c>
      <c r="B4354" s="1">
        <v>45706</v>
      </c>
      <c r="C4354" s="2">
        <v>0.33333333333333331</v>
      </c>
      <c r="D4354">
        <v>3</v>
      </c>
      <c r="E4354">
        <v>-6.1</v>
      </c>
      <c r="F4354">
        <v>79</v>
      </c>
    </row>
    <row r="4355" spans="1:6" x14ac:dyDescent="0.35">
      <c r="A4355">
        <v>1975</v>
      </c>
      <c r="B4355" s="1">
        <v>45706</v>
      </c>
      <c r="C4355" s="2">
        <v>0.375</v>
      </c>
      <c r="D4355">
        <v>3</v>
      </c>
      <c r="E4355">
        <v>-2.7</v>
      </c>
      <c r="F4355">
        <v>69</v>
      </c>
    </row>
    <row r="4356" spans="1:6" x14ac:dyDescent="0.35">
      <c r="A4356">
        <v>1975</v>
      </c>
      <c r="B4356" s="1">
        <v>45706</v>
      </c>
      <c r="C4356" s="2">
        <v>0.41666666666666669</v>
      </c>
      <c r="D4356">
        <v>3</v>
      </c>
      <c r="E4356">
        <v>-0.2</v>
      </c>
      <c r="F4356">
        <v>53</v>
      </c>
    </row>
    <row r="4357" spans="1:6" x14ac:dyDescent="0.35">
      <c r="A4357">
        <v>1975</v>
      </c>
      <c r="B4357" s="1">
        <v>45706</v>
      </c>
      <c r="C4357" s="2">
        <v>0.45833333333333331</v>
      </c>
      <c r="D4357">
        <v>3</v>
      </c>
      <c r="E4357">
        <v>0.2</v>
      </c>
      <c r="F4357">
        <v>50</v>
      </c>
    </row>
    <row r="4358" spans="1:6" x14ac:dyDescent="0.35">
      <c r="A4358">
        <v>1975</v>
      </c>
      <c r="B4358" s="1">
        <v>45706</v>
      </c>
      <c r="C4358" s="2">
        <v>0.5</v>
      </c>
      <c r="D4358">
        <v>3</v>
      </c>
      <c r="E4358">
        <v>0.8</v>
      </c>
      <c r="F4358">
        <v>41</v>
      </c>
    </row>
    <row r="4359" spans="1:6" x14ac:dyDescent="0.35">
      <c r="A4359">
        <v>1975</v>
      </c>
      <c r="B4359" s="1">
        <v>45706</v>
      </c>
      <c r="C4359" s="2">
        <v>0.54166666666666663</v>
      </c>
      <c r="D4359">
        <v>3</v>
      </c>
      <c r="E4359">
        <v>1.9</v>
      </c>
      <c r="F4359">
        <v>37</v>
      </c>
    </row>
    <row r="4360" spans="1:6" x14ac:dyDescent="0.35">
      <c r="A4360">
        <v>1975</v>
      </c>
      <c r="B4360" s="1">
        <v>45706</v>
      </c>
      <c r="C4360" s="2">
        <v>0.58333333333333337</v>
      </c>
      <c r="D4360">
        <v>3</v>
      </c>
      <c r="E4360">
        <v>2</v>
      </c>
      <c r="F4360">
        <v>39</v>
      </c>
    </row>
    <row r="4361" spans="1:6" x14ac:dyDescent="0.35">
      <c r="A4361">
        <v>1975</v>
      </c>
      <c r="B4361" s="1">
        <v>45706</v>
      </c>
      <c r="C4361" s="2">
        <v>0.625</v>
      </c>
      <c r="D4361">
        <v>3</v>
      </c>
      <c r="E4361">
        <v>2</v>
      </c>
      <c r="F4361">
        <v>38</v>
      </c>
    </row>
    <row r="4362" spans="1:6" x14ac:dyDescent="0.35">
      <c r="A4362">
        <v>1975</v>
      </c>
      <c r="B4362" s="1">
        <v>45706</v>
      </c>
      <c r="C4362" s="2">
        <v>0.66666666666666663</v>
      </c>
      <c r="D4362">
        <v>3</v>
      </c>
      <c r="E4362">
        <v>1.2</v>
      </c>
      <c r="F4362">
        <v>43</v>
      </c>
    </row>
    <row r="4363" spans="1:6" x14ac:dyDescent="0.35">
      <c r="A4363">
        <v>1975</v>
      </c>
      <c r="B4363" s="1">
        <v>45706</v>
      </c>
      <c r="C4363" s="2">
        <v>0.70833333333333337</v>
      </c>
      <c r="D4363">
        <v>3</v>
      </c>
      <c r="E4363">
        <v>-1.1000000000000001</v>
      </c>
      <c r="F4363">
        <v>51</v>
      </c>
    </row>
    <row r="4364" spans="1:6" x14ac:dyDescent="0.35">
      <c r="A4364">
        <v>1975</v>
      </c>
      <c r="B4364" s="1">
        <v>45706</v>
      </c>
      <c r="C4364" s="2">
        <v>0.75</v>
      </c>
      <c r="D4364">
        <v>3</v>
      </c>
      <c r="E4364">
        <v>-2.2999999999999998</v>
      </c>
      <c r="F4364">
        <v>57</v>
      </c>
    </row>
    <row r="4365" spans="1:6" x14ac:dyDescent="0.35">
      <c r="A4365">
        <v>1975</v>
      </c>
      <c r="B4365" s="1">
        <v>45706</v>
      </c>
      <c r="C4365" s="2">
        <v>0.79166666666666663</v>
      </c>
      <c r="D4365">
        <v>3</v>
      </c>
      <c r="E4365">
        <v>-3.3</v>
      </c>
      <c r="F4365">
        <v>58</v>
      </c>
    </row>
    <row r="4366" spans="1:6" x14ac:dyDescent="0.35">
      <c r="A4366">
        <v>1975</v>
      </c>
      <c r="B4366" s="1">
        <v>45706</v>
      </c>
      <c r="C4366" s="2">
        <v>0.83333333333333337</v>
      </c>
      <c r="D4366">
        <v>3</v>
      </c>
      <c r="E4366">
        <v>-4</v>
      </c>
      <c r="F4366">
        <v>59</v>
      </c>
    </row>
    <row r="4367" spans="1:6" x14ac:dyDescent="0.35">
      <c r="A4367">
        <v>1975</v>
      </c>
      <c r="B4367" s="1">
        <v>45706</v>
      </c>
      <c r="C4367" s="2">
        <v>0.875</v>
      </c>
      <c r="D4367">
        <v>3</v>
      </c>
      <c r="E4367">
        <v>-3.4</v>
      </c>
      <c r="F4367">
        <v>57</v>
      </c>
    </row>
    <row r="4368" spans="1:6" x14ac:dyDescent="0.35">
      <c r="A4368">
        <v>1975</v>
      </c>
      <c r="B4368" s="1">
        <v>45706</v>
      </c>
      <c r="C4368" s="2">
        <v>0.91666666666666663</v>
      </c>
      <c r="D4368">
        <v>3</v>
      </c>
      <c r="E4368">
        <v>-4.5999999999999996</v>
      </c>
      <c r="F4368">
        <v>64</v>
      </c>
    </row>
    <row r="4369" spans="1:6" x14ac:dyDescent="0.35">
      <c r="A4369">
        <v>1975</v>
      </c>
      <c r="B4369" s="1">
        <v>45706</v>
      </c>
      <c r="C4369" s="2">
        <v>0.95833333333333337</v>
      </c>
      <c r="D4369">
        <v>3</v>
      </c>
      <c r="E4369">
        <v>-5.0999999999999996</v>
      </c>
      <c r="F4369">
        <v>66</v>
      </c>
    </row>
    <row r="4370" spans="1:6" x14ac:dyDescent="0.35">
      <c r="A4370">
        <v>1975</v>
      </c>
      <c r="B4370" s="1">
        <v>45707</v>
      </c>
      <c r="C4370" s="2">
        <v>0</v>
      </c>
      <c r="D4370">
        <v>3</v>
      </c>
      <c r="E4370">
        <v>-5.3</v>
      </c>
      <c r="F4370">
        <v>67</v>
      </c>
    </row>
    <row r="4371" spans="1:6" x14ac:dyDescent="0.35">
      <c r="A4371">
        <v>1975</v>
      </c>
      <c r="B4371" s="1">
        <v>45707</v>
      </c>
      <c r="C4371" s="2">
        <v>4.1666666666666657E-2</v>
      </c>
      <c r="D4371">
        <v>3</v>
      </c>
      <c r="E4371">
        <v>-5.2</v>
      </c>
      <c r="F4371">
        <v>67</v>
      </c>
    </row>
    <row r="4372" spans="1:6" x14ac:dyDescent="0.35">
      <c r="A4372">
        <v>1975</v>
      </c>
      <c r="B4372" s="1">
        <v>45707</v>
      </c>
      <c r="C4372" s="2">
        <v>8.3333333333333329E-2</v>
      </c>
      <c r="D4372">
        <v>3</v>
      </c>
      <c r="E4372">
        <v>-6</v>
      </c>
      <c r="F4372">
        <v>72</v>
      </c>
    </row>
    <row r="4373" spans="1:6" x14ac:dyDescent="0.35">
      <c r="A4373">
        <v>1975</v>
      </c>
      <c r="B4373" s="1">
        <v>45707</v>
      </c>
      <c r="C4373" s="2">
        <v>0.125</v>
      </c>
      <c r="D4373">
        <v>3</v>
      </c>
      <c r="E4373">
        <v>-6.5</v>
      </c>
      <c r="F4373">
        <v>75</v>
      </c>
    </row>
    <row r="4374" spans="1:6" x14ac:dyDescent="0.35">
      <c r="A4374">
        <v>1975</v>
      </c>
      <c r="B4374" s="1">
        <v>45707</v>
      </c>
      <c r="C4374" s="2">
        <v>0.16666666666666671</v>
      </c>
      <c r="D4374">
        <v>3</v>
      </c>
      <c r="E4374">
        <v>-7</v>
      </c>
      <c r="F4374">
        <v>75</v>
      </c>
    </row>
    <row r="4375" spans="1:6" x14ac:dyDescent="0.35">
      <c r="A4375">
        <v>1975</v>
      </c>
      <c r="B4375" s="1">
        <v>45707</v>
      </c>
      <c r="C4375" s="2">
        <v>0.20833333333333329</v>
      </c>
      <c r="D4375">
        <v>3</v>
      </c>
      <c r="E4375">
        <v>-6.9</v>
      </c>
      <c r="F4375">
        <v>76</v>
      </c>
    </row>
    <row r="4376" spans="1:6" x14ac:dyDescent="0.35">
      <c r="A4376">
        <v>1975</v>
      </c>
      <c r="B4376" s="1">
        <v>45707</v>
      </c>
      <c r="C4376" s="2">
        <v>0.25</v>
      </c>
      <c r="D4376">
        <v>3</v>
      </c>
      <c r="E4376">
        <v>-6.1</v>
      </c>
      <c r="F4376">
        <v>74</v>
      </c>
    </row>
    <row r="4377" spans="1:6" x14ac:dyDescent="0.35">
      <c r="A4377">
        <v>1975</v>
      </c>
      <c r="B4377" s="1">
        <v>45707</v>
      </c>
      <c r="C4377" s="2">
        <v>0.29166666666666669</v>
      </c>
      <c r="D4377">
        <v>3</v>
      </c>
      <c r="E4377">
        <v>-5.3</v>
      </c>
      <c r="F4377">
        <v>71</v>
      </c>
    </row>
    <row r="4378" spans="1:6" x14ac:dyDescent="0.35">
      <c r="A4378">
        <v>1975</v>
      </c>
      <c r="B4378" s="1">
        <v>45707</v>
      </c>
      <c r="C4378" s="2">
        <v>0.33333333333333331</v>
      </c>
      <c r="D4378">
        <v>3</v>
      </c>
      <c r="E4378">
        <v>-4.0999999999999996</v>
      </c>
      <c r="F4378">
        <v>66</v>
      </c>
    </row>
    <row r="4379" spans="1:6" x14ac:dyDescent="0.35">
      <c r="A4379">
        <v>1975</v>
      </c>
      <c r="B4379" s="1">
        <v>45707</v>
      </c>
      <c r="C4379" s="2">
        <v>0.375</v>
      </c>
      <c r="D4379">
        <v>3</v>
      </c>
      <c r="E4379">
        <v>-2</v>
      </c>
      <c r="F4379">
        <v>59</v>
      </c>
    </row>
    <row r="4380" spans="1:6" x14ac:dyDescent="0.35">
      <c r="A4380">
        <v>1975</v>
      </c>
      <c r="B4380" s="1">
        <v>45707</v>
      </c>
      <c r="C4380" s="2">
        <v>0.41666666666666669</v>
      </c>
      <c r="D4380">
        <v>3</v>
      </c>
      <c r="E4380">
        <v>0.1</v>
      </c>
      <c r="F4380">
        <v>53</v>
      </c>
    </row>
    <row r="4381" spans="1:6" x14ac:dyDescent="0.35">
      <c r="A4381">
        <v>1975</v>
      </c>
      <c r="B4381" s="1">
        <v>45707</v>
      </c>
      <c r="C4381" s="2">
        <v>0.45833333333333331</v>
      </c>
      <c r="D4381">
        <v>3</v>
      </c>
      <c r="E4381">
        <v>1.4</v>
      </c>
      <c r="F4381">
        <v>45</v>
      </c>
    </row>
    <row r="4382" spans="1:6" x14ac:dyDescent="0.35">
      <c r="A4382">
        <v>1975</v>
      </c>
      <c r="B4382" s="1">
        <v>45707</v>
      </c>
      <c r="C4382" s="2">
        <v>0.5</v>
      </c>
      <c r="D4382">
        <v>3</v>
      </c>
      <c r="E4382">
        <v>2.2999999999999998</v>
      </c>
      <c r="F4382">
        <v>44</v>
      </c>
    </row>
    <row r="4383" spans="1:6" x14ac:dyDescent="0.35">
      <c r="A4383">
        <v>1975</v>
      </c>
      <c r="B4383" s="1">
        <v>45707</v>
      </c>
      <c r="C4383" s="2">
        <v>0.54166666666666663</v>
      </c>
      <c r="D4383">
        <v>3</v>
      </c>
      <c r="E4383">
        <v>3.3</v>
      </c>
      <c r="F4383">
        <v>37</v>
      </c>
    </row>
    <row r="4384" spans="1:6" x14ac:dyDescent="0.35">
      <c r="A4384">
        <v>1975</v>
      </c>
      <c r="B4384" s="1">
        <v>45707</v>
      </c>
      <c r="C4384" s="2">
        <v>0.58333333333333337</v>
      </c>
      <c r="D4384">
        <v>3</v>
      </c>
      <c r="E4384">
        <v>3.5</v>
      </c>
      <c r="F4384">
        <v>37</v>
      </c>
    </row>
    <row r="4385" spans="1:6" x14ac:dyDescent="0.35">
      <c r="A4385">
        <v>1975</v>
      </c>
      <c r="B4385" s="1">
        <v>45707</v>
      </c>
      <c r="C4385" s="2">
        <v>0.625</v>
      </c>
      <c r="D4385">
        <v>3</v>
      </c>
      <c r="E4385">
        <v>3.3</v>
      </c>
      <c r="F4385">
        <v>41</v>
      </c>
    </row>
    <row r="4386" spans="1:6" x14ac:dyDescent="0.35">
      <c r="A4386">
        <v>1975</v>
      </c>
      <c r="B4386" s="1">
        <v>45707</v>
      </c>
      <c r="C4386" s="2">
        <v>0.66666666666666663</v>
      </c>
      <c r="D4386">
        <v>3</v>
      </c>
      <c r="E4386">
        <v>2.6</v>
      </c>
      <c r="F4386">
        <v>41</v>
      </c>
    </row>
    <row r="4387" spans="1:6" x14ac:dyDescent="0.35">
      <c r="A4387">
        <v>1975</v>
      </c>
      <c r="B4387" s="1">
        <v>45707</v>
      </c>
      <c r="C4387" s="2">
        <v>0.70833333333333337</v>
      </c>
      <c r="D4387">
        <v>3</v>
      </c>
      <c r="E4387">
        <v>1.6</v>
      </c>
      <c r="F4387">
        <v>42</v>
      </c>
    </row>
    <row r="4388" spans="1:6" x14ac:dyDescent="0.35">
      <c r="A4388">
        <v>1975</v>
      </c>
      <c r="B4388" s="1">
        <v>45707</v>
      </c>
      <c r="C4388" s="2">
        <v>0.75</v>
      </c>
      <c r="D4388">
        <v>3</v>
      </c>
      <c r="E4388">
        <v>0.8</v>
      </c>
      <c r="F4388">
        <v>49</v>
      </c>
    </row>
    <row r="4389" spans="1:6" x14ac:dyDescent="0.35">
      <c r="A4389">
        <v>1975</v>
      </c>
      <c r="B4389" s="1">
        <v>45707</v>
      </c>
      <c r="C4389" s="2">
        <v>0.79166666666666663</v>
      </c>
      <c r="D4389">
        <v>3</v>
      </c>
      <c r="E4389">
        <v>0.3</v>
      </c>
      <c r="F4389">
        <v>51</v>
      </c>
    </row>
    <row r="4390" spans="1:6" x14ac:dyDescent="0.35">
      <c r="A4390">
        <v>1975</v>
      </c>
      <c r="B4390" s="1">
        <v>45707</v>
      </c>
      <c r="C4390" s="2">
        <v>0.83333333333333337</v>
      </c>
      <c r="D4390">
        <v>3</v>
      </c>
      <c r="E4390">
        <v>-0.4</v>
      </c>
      <c r="F4390">
        <v>55</v>
      </c>
    </row>
    <row r="4391" spans="1:6" x14ac:dyDescent="0.35">
      <c r="A4391">
        <v>1975</v>
      </c>
      <c r="B4391" s="1">
        <v>45707</v>
      </c>
      <c r="C4391" s="2">
        <v>0.875</v>
      </c>
      <c r="D4391">
        <v>3</v>
      </c>
      <c r="E4391">
        <v>-0.9</v>
      </c>
      <c r="F4391">
        <v>57</v>
      </c>
    </row>
    <row r="4392" spans="1:6" x14ac:dyDescent="0.35">
      <c r="A4392">
        <v>1975</v>
      </c>
      <c r="B4392" s="1">
        <v>45707</v>
      </c>
      <c r="C4392" s="2">
        <v>0.91666666666666663</v>
      </c>
      <c r="D4392">
        <v>3</v>
      </c>
      <c r="E4392">
        <v>-1.1000000000000001</v>
      </c>
      <c r="F4392">
        <v>58</v>
      </c>
    </row>
    <row r="4393" spans="1:6" x14ac:dyDescent="0.35">
      <c r="A4393">
        <v>1975</v>
      </c>
      <c r="B4393" s="1">
        <v>45707</v>
      </c>
      <c r="C4393" s="2">
        <v>0.95833333333333337</v>
      </c>
      <c r="D4393">
        <v>3</v>
      </c>
      <c r="E4393">
        <v>-1.5</v>
      </c>
      <c r="F4393">
        <v>59</v>
      </c>
    </row>
    <row r="4394" spans="1:6" x14ac:dyDescent="0.35">
      <c r="A4394">
        <v>1975</v>
      </c>
      <c r="B4394" s="1">
        <v>45708</v>
      </c>
      <c r="C4394" s="2">
        <v>0</v>
      </c>
      <c r="D4394">
        <v>3</v>
      </c>
      <c r="E4394">
        <v>-1.7</v>
      </c>
      <c r="F4394">
        <v>58</v>
      </c>
    </row>
    <row r="4395" spans="1:6" x14ac:dyDescent="0.35">
      <c r="A4395">
        <v>1975</v>
      </c>
      <c r="B4395" s="1">
        <v>45708</v>
      </c>
      <c r="C4395" s="2">
        <v>4.1666666666666657E-2</v>
      </c>
      <c r="D4395">
        <v>3</v>
      </c>
      <c r="E4395">
        <v>-2.1</v>
      </c>
      <c r="F4395">
        <v>61</v>
      </c>
    </row>
    <row r="4396" spans="1:6" x14ac:dyDescent="0.35">
      <c r="A4396">
        <v>1975</v>
      </c>
      <c r="B4396" s="1">
        <v>45708</v>
      </c>
      <c r="C4396" s="2">
        <v>8.3333333333333329E-2</v>
      </c>
      <c r="D4396">
        <v>3</v>
      </c>
      <c r="E4396">
        <v>-2.7</v>
      </c>
      <c r="F4396">
        <v>63</v>
      </c>
    </row>
    <row r="4397" spans="1:6" x14ac:dyDescent="0.35">
      <c r="A4397">
        <v>1975</v>
      </c>
      <c r="B4397" s="1">
        <v>45708</v>
      </c>
      <c r="C4397" s="2">
        <v>0.125</v>
      </c>
      <c r="D4397">
        <v>3</v>
      </c>
      <c r="E4397">
        <v>-2.9</v>
      </c>
      <c r="F4397">
        <v>64</v>
      </c>
    </row>
    <row r="4398" spans="1:6" x14ac:dyDescent="0.35">
      <c r="A4398">
        <v>1975</v>
      </c>
      <c r="B4398" s="1">
        <v>45708</v>
      </c>
      <c r="C4398" s="2">
        <v>0.16666666666666671</v>
      </c>
      <c r="D4398">
        <v>3</v>
      </c>
      <c r="E4398">
        <v>-2.7</v>
      </c>
      <c r="F4398">
        <v>62</v>
      </c>
    </row>
    <row r="4399" spans="1:6" x14ac:dyDescent="0.35">
      <c r="A4399">
        <v>1975</v>
      </c>
      <c r="B4399" s="1">
        <v>45708</v>
      </c>
      <c r="C4399" s="2">
        <v>0.20833333333333329</v>
      </c>
      <c r="D4399">
        <v>3</v>
      </c>
      <c r="E4399">
        <v>-2.8</v>
      </c>
      <c r="F4399">
        <v>63</v>
      </c>
    </row>
    <row r="4400" spans="1:6" x14ac:dyDescent="0.35">
      <c r="A4400">
        <v>1975</v>
      </c>
      <c r="B4400" s="1">
        <v>45708</v>
      </c>
      <c r="C4400" s="2">
        <v>0.25</v>
      </c>
      <c r="D4400">
        <v>3</v>
      </c>
      <c r="E4400">
        <v>-3.3</v>
      </c>
      <c r="F4400">
        <v>65</v>
      </c>
    </row>
    <row r="4401" spans="1:6" x14ac:dyDescent="0.35">
      <c r="A4401">
        <v>1975</v>
      </c>
      <c r="B4401" s="1">
        <v>45708</v>
      </c>
      <c r="C4401" s="2">
        <v>0.29166666666666669</v>
      </c>
      <c r="D4401">
        <v>3</v>
      </c>
      <c r="E4401">
        <v>-3.2</v>
      </c>
      <c r="F4401">
        <v>65</v>
      </c>
    </row>
    <row r="4402" spans="1:6" x14ac:dyDescent="0.35">
      <c r="A4402">
        <v>1975</v>
      </c>
      <c r="B4402" s="1">
        <v>45708</v>
      </c>
      <c r="C4402" s="2">
        <v>0.33333333333333331</v>
      </c>
      <c r="D4402">
        <v>3</v>
      </c>
      <c r="E4402">
        <v>-2.2999999999999998</v>
      </c>
      <c r="F4402">
        <v>61</v>
      </c>
    </row>
    <row r="4403" spans="1:6" x14ac:dyDescent="0.35">
      <c r="A4403">
        <v>1975</v>
      </c>
      <c r="B4403" s="1">
        <v>45708</v>
      </c>
      <c r="C4403" s="2">
        <v>0.375</v>
      </c>
      <c r="D4403">
        <v>3</v>
      </c>
      <c r="E4403">
        <v>-1.2</v>
      </c>
      <c r="F4403">
        <v>57</v>
      </c>
    </row>
    <row r="4404" spans="1:6" x14ac:dyDescent="0.35">
      <c r="A4404">
        <v>1975</v>
      </c>
      <c r="B4404" s="1">
        <v>45708</v>
      </c>
      <c r="C4404" s="2">
        <v>0.41666666666666669</v>
      </c>
      <c r="D4404">
        <v>3</v>
      </c>
      <c r="E4404">
        <v>0.3</v>
      </c>
      <c r="F4404">
        <v>54</v>
      </c>
    </row>
    <row r="4405" spans="1:6" x14ac:dyDescent="0.35">
      <c r="A4405">
        <v>1975</v>
      </c>
      <c r="B4405" s="1">
        <v>45708</v>
      </c>
      <c r="C4405" s="2">
        <v>0.45833333333333331</v>
      </c>
      <c r="D4405">
        <v>3</v>
      </c>
      <c r="E4405">
        <v>1.9</v>
      </c>
      <c r="F4405">
        <v>52</v>
      </c>
    </row>
    <row r="4406" spans="1:6" x14ac:dyDescent="0.35">
      <c r="A4406">
        <v>1975</v>
      </c>
      <c r="B4406" s="1">
        <v>45708</v>
      </c>
      <c r="C4406" s="2">
        <v>0.5</v>
      </c>
      <c r="D4406">
        <v>3</v>
      </c>
      <c r="E4406">
        <v>3.5</v>
      </c>
      <c r="F4406">
        <v>51</v>
      </c>
    </row>
    <row r="4407" spans="1:6" x14ac:dyDescent="0.35">
      <c r="A4407">
        <v>1975</v>
      </c>
      <c r="B4407" s="1">
        <v>45708</v>
      </c>
      <c r="C4407" s="2">
        <v>0.54166666666666663</v>
      </c>
      <c r="D4407">
        <v>3</v>
      </c>
      <c r="E4407">
        <v>3.8</v>
      </c>
      <c r="F4407">
        <v>53</v>
      </c>
    </row>
    <row r="4408" spans="1:6" x14ac:dyDescent="0.35">
      <c r="A4408">
        <v>1975</v>
      </c>
      <c r="B4408" s="1">
        <v>45708</v>
      </c>
      <c r="C4408" s="2">
        <v>0.58333333333333337</v>
      </c>
      <c r="D4408">
        <v>3</v>
      </c>
      <c r="E4408">
        <v>4.5</v>
      </c>
      <c r="F4408">
        <v>55</v>
      </c>
    </row>
    <row r="4409" spans="1:6" x14ac:dyDescent="0.35">
      <c r="A4409">
        <v>1975</v>
      </c>
      <c r="B4409" s="1">
        <v>45708</v>
      </c>
      <c r="C4409" s="2">
        <v>0.625</v>
      </c>
      <c r="D4409">
        <v>3</v>
      </c>
      <c r="E4409">
        <v>4.5999999999999996</v>
      </c>
      <c r="F4409">
        <v>55</v>
      </c>
    </row>
    <row r="4410" spans="1:6" x14ac:dyDescent="0.35">
      <c r="A4410">
        <v>1975</v>
      </c>
      <c r="B4410" s="1">
        <v>45708</v>
      </c>
      <c r="C4410" s="2">
        <v>0.66666666666666663</v>
      </c>
      <c r="D4410">
        <v>3</v>
      </c>
      <c r="E4410">
        <v>4.7</v>
      </c>
      <c r="F4410">
        <v>56</v>
      </c>
    </row>
    <row r="4411" spans="1:6" x14ac:dyDescent="0.35">
      <c r="A4411">
        <v>1975</v>
      </c>
      <c r="B4411" s="1">
        <v>45708</v>
      </c>
      <c r="C4411" s="2">
        <v>0.70833333333333337</v>
      </c>
      <c r="D4411">
        <v>3</v>
      </c>
      <c r="E4411">
        <v>4.5999999999999996</v>
      </c>
      <c r="F4411">
        <v>58</v>
      </c>
    </row>
    <row r="4412" spans="1:6" x14ac:dyDescent="0.35">
      <c r="A4412">
        <v>1975</v>
      </c>
      <c r="B4412" s="1">
        <v>45708</v>
      </c>
      <c r="C4412" s="2">
        <v>0.75</v>
      </c>
      <c r="D4412">
        <v>3</v>
      </c>
      <c r="E4412">
        <v>4.5999999999999996</v>
      </c>
      <c r="F4412">
        <v>60</v>
      </c>
    </row>
    <row r="4413" spans="1:6" x14ac:dyDescent="0.35">
      <c r="A4413">
        <v>1975</v>
      </c>
      <c r="B4413" s="1">
        <v>45708</v>
      </c>
      <c r="C4413" s="2">
        <v>0.79166666666666663</v>
      </c>
      <c r="D4413">
        <v>3</v>
      </c>
      <c r="E4413">
        <v>4.2</v>
      </c>
      <c r="F4413">
        <v>63</v>
      </c>
    </row>
    <row r="4414" spans="1:6" x14ac:dyDescent="0.35">
      <c r="A4414">
        <v>1975</v>
      </c>
      <c r="B4414" s="1">
        <v>45708</v>
      </c>
      <c r="C4414" s="2">
        <v>0.83333333333333337</v>
      </c>
      <c r="D4414">
        <v>3</v>
      </c>
      <c r="E4414">
        <v>3.8</v>
      </c>
      <c r="F4414">
        <v>65</v>
      </c>
    </row>
    <row r="4415" spans="1:6" x14ac:dyDescent="0.35">
      <c r="A4415">
        <v>1975</v>
      </c>
      <c r="B4415" s="1">
        <v>45708</v>
      </c>
      <c r="C4415" s="2">
        <v>0.875</v>
      </c>
      <c r="D4415">
        <v>3</v>
      </c>
      <c r="E4415">
        <v>3.8</v>
      </c>
      <c r="F4415">
        <v>67</v>
      </c>
    </row>
    <row r="4416" spans="1:6" x14ac:dyDescent="0.35">
      <c r="A4416">
        <v>1975</v>
      </c>
      <c r="B4416" s="1">
        <v>45708</v>
      </c>
      <c r="C4416" s="2">
        <v>0.91666666666666663</v>
      </c>
      <c r="D4416">
        <v>3</v>
      </c>
      <c r="E4416">
        <v>3.7</v>
      </c>
      <c r="F4416">
        <v>69</v>
      </c>
    </row>
    <row r="4417" spans="1:6" x14ac:dyDescent="0.35">
      <c r="A4417">
        <v>1975</v>
      </c>
      <c r="B4417" s="1">
        <v>45708</v>
      </c>
      <c r="C4417" s="2">
        <v>0.95833333333333337</v>
      </c>
      <c r="D4417">
        <v>3</v>
      </c>
      <c r="E4417">
        <v>3.6</v>
      </c>
      <c r="F4417">
        <v>76</v>
      </c>
    </row>
    <row r="4418" spans="1:6" x14ac:dyDescent="0.35">
      <c r="A4418">
        <v>1975</v>
      </c>
      <c r="B4418" s="1">
        <v>45709</v>
      </c>
      <c r="C4418" s="2">
        <v>0</v>
      </c>
      <c r="D4418">
        <v>3</v>
      </c>
      <c r="E4418">
        <v>3</v>
      </c>
      <c r="F4418">
        <v>88</v>
      </c>
    </row>
    <row r="4419" spans="1:6" x14ac:dyDescent="0.35">
      <c r="A4419">
        <v>1975</v>
      </c>
      <c r="B4419" s="1">
        <v>45709</v>
      </c>
      <c r="C4419" s="2">
        <v>4.1666666666666657E-2</v>
      </c>
      <c r="D4419">
        <v>3</v>
      </c>
      <c r="E4419">
        <v>3.2</v>
      </c>
      <c r="F4419">
        <v>92</v>
      </c>
    </row>
    <row r="4420" spans="1:6" x14ac:dyDescent="0.35">
      <c r="A4420">
        <v>1975</v>
      </c>
      <c r="B4420" s="1">
        <v>45709</v>
      </c>
      <c r="C4420" s="2">
        <v>8.3333333333333329E-2</v>
      </c>
      <c r="D4420">
        <v>3</v>
      </c>
      <c r="E4420">
        <v>3.5</v>
      </c>
      <c r="F4420">
        <v>95</v>
      </c>
    </row>
    <row r="4421" spans="1:6" x14ac:dyDescent="0.35">
      <c r="A4421">
        <v>1975</v>
      </c>
      <c r="B4421" s="1">
        <v>45709</v>
      </c>
      <c r="C4421" s="2">
        <v>0.125</v>
      </c>
      <c r="D4421">
        <v>3</v>
      </c>
      <c r="E4421">
        <v>3.5</v>
      </c>
      <c r="F4421">
        <v>100</v>
      </c>
    </row>
    <row r="4422" spans="1:6" x14ac:dyDescent="0.35">
      <c r="A4422">
        <v>1975</v>
      </c>
      <c r="B4422" s="1">
        <v>45709</v>
      </c>
      <c r="C4422" s="2">
        <v>0.16666666666666671</v>
      </c>
      <c r="D4422">
        <v>3</v>
      </c>
      <c r="E4422">
        <v>4.3</v>
      </c>
      <c r="F4422">
        <v>98</v>
      </c>
    </row>
    <row r="4423" spans="1:6" x14ac:dyDescent="0.35">
      <c r="A4423">
        <v>1975</v>
      </c>
      <c r="B4423" s="1">
        <v>45709</v>
      </c>
      <c r="C4423" s="2">
        <v>0.20833333333333329</v>
      </c>
      <c r="D4423">
        <v>3</v>
      </c>
      <c r="E4423">
        <v>4.8</v>
      </c>
      <c r="F4423">
        <v>99</v>
      </c>
    </row>
    <row r="4424" spans="1:6" x14ac:dyDescent="0.35">
      <c r="A4424">
        <v>1975</v>
      </c>
      <c r="B4424" s="1">
        <v>45709</v>
      </c>
      <c r="C4424" s="2">
        <v>0.25</v>
      </c>
      <c r="D4424">
        <v>3</v>
      </c>
      <c r="E4424">
        <v>5.3</v>
      </c>
      <c r="F4424">
        <v>99</v>
      </c>
    </row>
    <row r="4425" spans="1:6" x14ac:dyDescent="0.35">
      <c r="A4425">
        <v>1975</v>
      </c>
      <c r="B4425" s="1">
        <v>45709</v>
      </c>
      <c r="C4425" s="2">
        <v>0.29166666666666669</v>
      </c>
      <c r="D4425">
        <v>3</v>
      </c>
      <c r="E4425">
        <v>5.7</v>
      </c>
      <c r="F4425">
        <v>100</v>
      </c>
    </row>
    <row r="4426" spans="1:6" x14ac:dyDescent="0.35">
      <c r="A4426">
        <v>1975</v>
      </c>
      <c r="B4426" s="1">
        <v>45709</v>
      </c>
      <c r="C4426" s="2">
        <v>0.33333333333333331</v>
      </c>
      <c r="D4426">
        <v>3</v>
      </c>
      <c r="E4426">
        <v>6.1</v>
      </c>
      <c r="F4426">
        <v>100</v>
      </c>
    </row>
    <row r="4427" spans="1:6" x14ac:dyDescent="0.35">
      <c r="A4427">
        <v>1975</v>
      </c>
      <c r="B4427" s="1">
        <v>45709</v>
      </c>
      <c r="C4427" s="2">
        <v>0.375</v>
      </c>
      <c r="D4427">
        <v>3</v>
      </c>
      <c r="E4427">
        <v>6.7</v>
      </c>
      <c r="F4427">
        <v>100</v>
      </c>
    </row>
    <row r="4428" spans="1:6" x14ac:dyDescent="0.35">
      <c r="A4428">
        <v>1975</v>
      </c>
      <c r="B4428" s="1">
        <v>45709</v>
      </c>
      <c r="C4428" s="2">
        <v>0.41666666666666669</v>
      </c>
      <c r="D4428">
        <v>3</v>
      </c>
      <c r="E4428">
        <v>7.2</v>
      </c>
      <c r="F4428">
        <v>99</v>
      </c>
    </row>
    <row r="4429" spans="1:6" x14ac:dyDescent="0.35">
      <c r="A4429">
        <v>1975</v>
      </c>
      <c r="B4429" s="1">
        <v>45709</v>
      </c>
      <c r="C4429" s="2">
        <v>0.45833333333333331</v>
      </c>
      <c r="D4429">
        <v>3</v>
      </c>
      <c r="E4429">
        <v>7.7</v>
      </c>
      <c r="F4429">
        <v>96</v>
      </c>
    </row>
    <row r="4430" spans="1:6" x14ac:dyDescent="0.35">
      <c r="A4430">
        <v>1975</v>
      </c>
      <c r="B4430" s="1">
        <v>45709</v>
      </c>
      <c r="C4430" s="2">
        <v>0.5</v>
      </c>
      <c r="D4430">
        <v>3</v>
      </c>
      <c r="E4430">
        <v>8.6999999999999993</v>
      </c>
      <c r="F4430">
        <v>91</v>
      </c>
    </row>
    <row r="4431" spans="1:6" x14ac:dyDescent="0.35">
      <c r="A4431">
        <v>1975</v>
      </c>
      <c r="B4431" s="1">
        <v>45709</v>
      </c>
      <c r="C4431" s="2">
        <v>0.54166666666666663</v>
      </c>
      <c r="D4431">
        <v>3</v>
      </c>
      <c r="E4431">
        <v>10.5</v>
      </c>
      <c r="F4431">
        <v>83</v>
      </c>
    </row>
    <row r="4432" spans="1:6" x14ac:dyDescent="0.35">
      <c r="A4432">
        <v>1975</v>
      </c>
      <c r="B4432" s="1">
        <v>45709</v>
      </c>
      <c r="C4432" s="2">
        <v>0.58333333333333337</v>
      </c>
      <c r="D4432">
        <v>3</v>
      </c>
      <c r="E4432">
        <v>12.1</v>
      </c>
      <c r="F4432">
        <v>77</v>
      </c>
    </row>
    <row r="4433" spans="1:6" x14ac:dyDescent="0.35">
      <c r="A4433">
        <v>1975</v>
      </c>
      <c r="B4433" s="1">
        <v>45709</v>
      </c>
      <c r="C4433" s="2">
        <v>0.625</v>
      </c>
      <c r="D4433">
        <v>3</v>
      </c>
      <c r="E4433">
        <v>12.6</v>
      </c>
      <c r="F4433">
        <v>76</v>
      </c>
    </row>
    <row r="4434" spans="1:6" x14ac:dyDescent="0.35">
      <c r="A4434">
        <v>1975</v>
      </c>
      <c r="B4434" s="1">
        <v>45709</v>
      </c>
      <c r="C4434" s="2">
        <v>0.66666666666666663</v>
      </c>
      <c r="D4434">
        <v>3</v>
      </c>
      <c r="E4434">
        <v>11.7</v>
      </c>
      <c r="F4434">
        <v>77</v>
      </c>
    </row>
    <row r="4435" spans="1:6" x14ac:dyDescent="0.35">
      <c r="A4435">
        <v>1975</v>
      </c>
      <c r="B4435" s="1">
        <v>45709</v>
      </c>
      <c r="C4435" s="2">
        <v>0.70833333333333337</v>
      </c>
      <c r="D4435">
        <v>3</v>
      </c>
      <c r="E4435">
        <v>10.8</v>
      </c>
      <c r="F4435">
        <v>81</v>
      </c>
    </row>
    <row r="4436" spans="1:6" x14ac:dyDescent="0.35">
      <c r="A4436">
        <v>1975</v>
      </c>
      <c r="B4436" s="1">
        <v>45709</v>
      </c>
      <c r="C4436" s="2">
        <v>0.75</v>
      </c>
      <c r="D4436">
        <v>3</v>
      </c>
      <c r="E4436">
        <v>10.3</v>
      </c>
      <c r="F4436">
        <v>83</v>
      </c>
    </row>
    <row r="4437" spans="1:6" x14ac:dyDescent="0.35">
      <c r="A4437">
        <v>1975</v>
      </c>
      <c r="B4437" s="1">
        <v>45709</v>
      </c>
      <c r="C4437" s="2">
        <v>0.79166666666666663</v>
      </c>
      <c r="D4437">
        <v>3</v>
      </c>
      <c r="E4437">
        <v>10.1</v>
      </c>
      <c r="F4437">
        <v>84</v>
      </c>
    </row>
    <row r="4438" spans="1:6" x14ac:dyDescent="0.35">
      <c r="A4438">
        <v>1975</v>
      </c>
      <c r="B4438" s="1">
        <v>45709</v>
      </c>
      <c r="C4438" s="2">
        <v>0.83333333333333337</v>
      </c>
      <c r="D4438">
        <v>3</v>
      </c>
      <c r="E4438">
        <v>9.5</v>
      </c>
      <c r="F4438">
        <v>85</v>
      </c>
    </row>
    <row r="4439" spans="1:6" x14ac:dyDescent="0.35">
      <c r="A4439">
        <v>1975</v>
      </c>
      <c r="B4439" s="1">
        <v>45709</v>
      </c>
      <c r="C4439" s="2">
        <v>0.875</v>
      </c>
      <c r="D4439">
        <v>3</v>
      </c>
      <c r="E4439">
        <v>8.9</v>
      </c>
      <c r="F4439">
        <v>87</v>
      </c>
    </row>
    <row r="4440" spans="1:6" x14ac:dyDescent="0.35">
      <c r="A4440">
        <v>1975</v>
      </c>
      <c r="B4440" s="1">
        <v>45709</v>
      </c>
      <c r="C4440" s="2">
        <v>0.91666666666666663</v>
      </c>
      <c r="D4440">
        <v>3</v>
      </c>
      <c r="E4440">
        <v>8.3000000000000007</v>
      </c>
      <c r="F4440">
        <v>88</v>
      </c>
    </row>
    <row r="4441" spans="1:6" x14ac:dyDescent="0.35">
      <c r="A4441">
        <v>1975</v>
      </c>
      <c r="B4441" s="1">
        <v>45709</v>
      </c>
      <c r="C4441" s="2">
        <v>0.95833333333333337</v>
      </c>
      <c r="D4441">
        <v>3</v>
      </c>
      <c r="E4441">
        <v>8</v>
      </c>
      <c r="F4441">
        <v>90</v>
      </c>
    </row>
    <row r="4442" spans="1:6" x14ac:dyDescent="0.35">
      <c r="A4442">
        <v>1975</v>
      </c>
      <c r="B4442" s="1">
        <v>45710</v>
      </c>
      <c r="C4442" s="2">
        <v>0</v>
      </c>
      <c r="D4442">
        <v>3</v>
      </c>
      <c r="E4442">
        <v>7.2</v>
      </c>
      <c r="F4442">
        <v>92</v>
      </c>
    </row>
    <row r="4443" spans="1:6" x14ac:dyDescent="0.35">
      <c r="A4443">
        <v>1975</v>
      </c>
      <c r="B4443" s="1">
        <v>45710</v>
      </c>
      <c r="C4443" s="2">
        <v>4.1666666666666657E-2</v>
      </c>
      <c r="D4443">
        <v>3</v>
      </c>
      <c r="E4443">
        <v>6.9</v>
      </c>
      <c r="F4443">
        <v>94</v>
      </c>
    </row>
    <row r="4444" spans="1:6" x14ac:dyDescent="0.35">
      <c r="A4444">
        <v>1975</v>
      </c>
      <c r="B4444" s="1">
        <v>45710</v>
      </c>
      <c r="C4444" s="2">
        <v>8.3333333333333329E-2</v>
      </c>
      <c r="D4444">
        <v>3</v>
      </c>
      <c r="E4444">
        <v>6.3</v>
      </c>
      <c r="F4444">
        <v>95</v>
      </c>
    </row>
    <row r="4445" spans="1:6" x14ac:dyDescent="0.35">
      <c r="A4445">
        <v>1975</v>
      </c>
      <c r="B4445" s="1">
        <v>45710</v>
      </c>
      <c r="C4445" s="2">
        <v>0.125</v>
      </c>
      <c r="D4445">
        <v>3</v>
      </c>
      <c r="E4445">
        <v>5.4</v>
      </c>
      <c r="F4445">
        <v>97</v>
      </c>
    </row>
    <row r="4446" spans="1:6" x14ac:dyDescent="0.35">
      <c r="A4446">
        <v>1975</v>
      </c>
      <c r="B4446" s="1">
        <v>45710</v>
      </c>
      <c r="C4446" s="2">
        <v>0.16666666666666671</v>
      </c>
      <c r="D4446">
        <v>3</v>
      </c>
      <c r="E4446">
        <v>5.5</v>
      </c>
      <c r="F4446">
        <v>95</v>
      </c>
    </row>
    <row r="4447" spans="1:6" x14ac:dyDescent="0.35">
      <c r="A4447">
        <v>1975</v>
      </c>
      <c r="B4447" s="1">
        <v>45710</v>
      </c>
      <c r="C4447" s="2">
        <v>0.20833333333333329</v>
      </c>
      <c r="D4447">
        <v>3</v>
      </c>
      <c r="E4447">
        <v>5.3</v>
      </c>
      <c r="F4447">
        <v>94</v>
      </c>
    </row>
    <row r="4448" spans="1:6" x14ac:dyDescent="0.35">
      <c r="A4448">
        <v>1975</v>
      </c>
      <c r="B4448" s="1">
        <v>45710</v>
      </c>
      <c r="C4448" s="2">
        <v>0.25</v>
      </c>
      <c r="D4448">
        <v>3</v>
      </c>
      <c r="E4448">
        <v>4.8</v>
      </c>
      <c r="F4448">
        <v>93</v>
      </c>
    </row>
    <row r="4449" spans="1:6" x14ac:dyDescent="0.35">
      <c r="A4449">
        <v>1975</v>
      </c>
      <c r="B4449" s="1">
        <v>45710</v>
      </c>
      <c r="C4449" s="2">
        <v>0.29166666666666669</v>
      </c>
      <c r="D4449">
        <v>3</v>
      </c>
      <c r="E4449">
        <v>4.8</v>
      </c>
      <c r="F4449">
        <v>90</v>
      </c>
    </row>
    <row r="4450" spans="1:6" x14ac:dyDescent="0.35">
      <c r="A4450">
        <v>1975</v>
      </c>
      <c r="B4450" s="1">
        <v>45710</v>
      </c>
      <c r="C4450" s="2">
        <v>0.33333333333333331</v>
      </c>
      <c r="D4450">
        <v>3</v>
      </c>
      <c r="E4450">
        <v>5.6</v>
      </c>
      <c r="F4450">
        <v>85</v>
      </c>
    </row>
    <row r="4451" spans="1:6" x14ac:dyDescent="0.35">
      <c r="A4451">
        <v>1975</v>
      </c>
      <c r="B4451" s="1">
        <v>45710</v>
      </c>
      <c r="C4451" s="2">
        <v>0.375</v>
      </c>
      <c r="D4451">
        <v>3</v>
      </c>
      <c r="E4451">
        <v>6</v>
      </c>
      <c r="F4451">
        <v>82</v>
      </c>
    </row>
    <row r="4452" spans="1:6" x14ac:dyDescent="0.35">
      <c r="A4452">
        <v>1975</v>
      </c>
      <c r="B4452" s="1">
        <v>45710</v>
      </c>
      <c r="C4452" s="2">
        <v>0.41666666666666669</v>
      </c>
      <c r="D4452">
        <v>3</v>
      </c>
      <c r="E4452">
        <v>7</v>
      </c>
      <c r="F4452">
        <v>80</v>
      </c>
    </row>
    <row r="4453" spans="1:6" x14ac:dyDescent="0.35">
      <c r="A4453">
        <v>1975</v>
      </c>
      <c r="B4453" s="1">
        <v>45710</v>
      </c>
      <c r="C4453" s="2">
        <v>0.45833333333333331</v>
      </c>
      <c r="D4453">
        <v>3</v>
      </c>
      <c r="E4453">
        <v>8.4</v>
      </c>
      <c r="F4453">
        <v>75</v>
      </c>
    </row>
    <row r="4454" spans="1:6" x14ac:dyDescent="0.35">
      <c r="A4454">
        <v>1975</v>
      </c>
      <c r="B4454" s="1">
        <v>45710</v>
      </c>
      <c r="C4454" s="2">
        <v>0.5</v>
      </c>
      <c r="D4454">
        <v>3</v>
      </c>
      <c r="E4454">
        <v>9</v>
      </c>
      <c r="F4454">
        <v>75</v>
      </c>
    </row>
    <row r="4455" spans="1:6" x14ac:dyDescent="0.35">
      <c r="A4455">
        <v>1975</v>
      </c>
      <c r="B4455" s="1">
        <v>45710</v>
      </c>
      <c r="C4455" s="2">
        <v>0.54166666666666663</v>
      </c>
      <c r="D4455">
        <v>3</v>
      </c>
      <c r="E4455">
        <v>9.8000000000000007</v>
      </c>
      <c r="F4455">
        <v>74</v>
      </c>
    </row>
    <row r="4456" spans="1:6" x14ac:dyDescent="0.35">
      <c r="A4456">
        <v>1975</v>
      </c>
      <c r="B4456" s="1">
        <v>45710</v>
      </c>
      <c r="C4456" s="2">
        <v>0.58333333333333337</v>
      </c>
      <c r="D4456">
        <v>3</v>
      </c>
      <c r="E4456">
        <v>11.6</v>
      </c>
      <c r="F4456">
        <v>68</v>
      </c>
    </row>
    <row r="4457" spans="1:6" x14ac:dyDescent="0.35">
      <c r="A4457">
        <v>1975</v>
      </c>
      <c r="B4457" s="1">
        <v>45710</v>
      </c>
      <c r="C4457" s="2">
        <v>0.625</v>
      </c>
      <c r="D4457">
        <v>3</v>
      </c>
      <c r="E4457">
        <v>11.8</v>
      </c>
      <c r="F4457">
        <v>69</v>
      </c>
    </row>
    <row r="4458" spans="1:6" x14ac:dyDescent="0.35">
      <c r="A4458">
        <v>1975</v>
      </c>
      <c r="B4458" s="1">
        <v>45710</v>
      </c>
      <c r="C4458" s="2">
        <v>0.66666666666666663</v>
      </c>
      <c r="D4458">
        <v>3</v>
      </c>
      <c r="E4458">
        <v>11.2</v>
      </c>
      <c r="F4458">
        <v>72</v>
      </c>
    </row>
    <row r="4459" spans="1:6" x14ac:dyDescent="0.35">
      <c r="A4459">
        <v>1975</v>
      </c>
      <c r="B4459" s="1">
        <v>45710</v>
      </c>
      <c r="C4459" s="2">
        <v>0.70833333333333337</v>
      </c>
      <c r="D4459">
        <v>3</v>
      </c>
      <c r="E4459">
        <v>11</v>
      </c>
      <c r="F4459">
        <v>74</v>
      </c>
    </row>
    <row r="4460" spans="1:6" x14ac:dyDescent="0.35">
      <c r="A4460">
        <v>1975</v>
      </c>
      <c r="B4460" s="1">
        <v>45710</v>
      </c>
      <c r="C4460" s="2">
        <v>0.75</v>
      </c>
      <c r="D4460">
        <v>3</v>
      </c>
      <c r="E4460">
        <v>11.4</v>
      </c>
      <c r="F4460">
        <v>71</v>
      </c>
    </row>
    <row r="4461" spans="1:6" x14ac:dyDescent="0.35">
      <c r="A4461">
        <v>1975</v>
      </c>
      <c r="B4461" s="1">
        <v>45710</v>
      </c>
      <c r="C4461" s="2">
        <v>0.79166666666666663</v>
      </c>
      <c r="D4461">
        <v>3</v>
      </c>
      <c r="E4461">
        <v>10.9</v>
      </c>
      <c r="F4461">
        <v>74</v>
      </c>
    </row>
    <row r="4462" spans="1:6" x14ac:dyDescent="0.35">
      <c r="A4462">
        <v>1975</v>
      </c>
      <c r="B4462" s="1">
        <v>45710</v>
      </c>
      <c r="C4462" s="2">
        <v>0.83333333333333337</v>
      </c>
      <c r="D4462">
        <v>3</v>
      </c>
      <c r="E4462">
        <v>10.1</v>
      </c>
      <c r="F4462">
        <v>80</v>
      </c>
    </row>
    <row r="4463" spans="1:6" x14ac:dyDescent="0.35">
      <c r="A4463">
        <v>1975</v>
      </c>
      <c r="B4463" s="1">
        <v>45710</v>
      </c>
      <c r="C4463" s="2">
        <v>0.875</v>
      </c>
      <c r="D4463">
        <v>3</v>
      </c>
      <c r="E4463">
        <v>9.6999999999999993</v>
      </c>
      <c r="F4463">
        <v>81</v>
      </c>
    </row>
    <row r="4464" spans="1:6" x14ac:dyDescent="0.35">
      <c r="A4464">
        <v>1975</v>
      </c>
      <c r="B4464" s="1">
        <v>45710</v>
      </c>
      <c r="C4464" s="2">
        <v>0.91666666666666663</v>
      </c>
      <c r="D4464">
        <v>3</v>
      </c>
      <c r="E4464">
        <v>9.3000000000000007</v>
      </c>
      <c r="F4464">
        <v>84</v>
      </c>
    </row>
    <row r="4465" spans="1:6" x14ac:dyDescent="0.35">
      <c r="A4465">
        <v>1975</v>
      </c>
      <c r="B4465" s="1">
        <v>45710</v>
      </c>
      <c r="C4465" s="2">
        <v>0.95833333333333337</v>
      </c>
      <c r="D4465">
        <v>3</v>
      </c>
      <c r="E4465">
        <v>9.3000000000000007</v>
      </c>
      <c r="F4465">
        <v>85</v>
      </c>
    </row>
    <row r="4466" spans="1:6" x14ac:dyDescent="0.35">
      <c r="A4466">
        <v>1975</v>
      </c>
      <c r="B4466" s="1">
        <v>45711</v>
      </c>
      <c r="C4466" s="2">
        <v>0</v>
      </c>
      <c r="D4466">
        <v>3</v>
      </c>
      <c r="E4466">
        <v>9.8000000000000007</v>
      </c>
      <c r="F4466">
        <v>84</v>
      </c>
    </row>
    <row r="4467" spans="1:6" x14ac:dyDescent="0.35">
      <c r="A4467">
        <v>1975</v>
      </c>
      <c r="B4467" s="1">
        <v>45711</v>
      </c>
      <c r="C4467" s="2">
        <v>4.1666666666666657E-2</v>
      </c>
      <c r="D4467">
        <v>3</v>
      </c>
      <c r="E4467">
        <v>10.4</v>
      </c>
      <c r="F4467">
        <v>90</v>
      </c>
    </row>
    <row r="4468" spans="1:6" x14ac:dyDescent="0.35">
      <c r="A4468">
        <v>1975</v>
      </c>
      <c r="B4468" s="1">
        <v>45711</v>
      </c>
      <c r="C4468" s="2">
        <v>8.3333333333333329E-2</v>
      </c>
      <c r="D4468">
        <v>3</v>
      </c>
      <c r="E4468">
        <v>9</v>
      </c>
      <c r="F4468">
        <v>96</v>
      </c>
    </row>
    <row r="4469" spans="1:6" x14ac:dyDescent="0.35">
      <c r="A4469">
        <v>1975</v>
      </c>
      <c r="B4469" s="1">
        <v>45711</v>
      </c>
      <c r="C4469" s="2">
        <v>0.125</v>
      </c>
      <c r="D4469">
        <v>3</v>
      </c>
      <c r="E4469">
        <v>8.6</v>
      </c>
      <c r="F4469">
        <v>99</v>
      </c>
    </row>
    <row r="4470" spans="1:6" x14ac:dyDescent="0.35">
      <c r="A4470">
        <v>1975</v>
      </c>
      <c r="B4470" s="1">
        <v>45711</v>
      </c>
      <c r="C4470" s="2">
        <v>0.16666666666666671</v>
      </c>
      <c r="D4470">
        <v>3</v>
      </c>
      <c r="E4470">
        <v>8.9</v>
      </c>
      <c r="F4470">
        <v>93</v>
      </c>
    </row>
    <row r="4471" spans="1:6" x14ac:dyDescent="0.35">
      <c r="A4471">
        <v>1975</v>
      </c>
      <c r="B4471" s="1">
        <v>45711</v>
      </c>
      <c r="C4471" s="2">
        <v>0.20833333333333329</v>
      </c>
      <c r="D4471">
        <v>3</v>
      </c>
      <c r="E4471">
        <v>8.8000000000000007</v>
      </c>
      <c r="F4471">
        <v>90</v>
      </c>
    </row>
    <row r="4472" spans="1:6" x14ac:dyDescent="0.35">
      <c r="A4472">
        <v>1975</v>
      </c>
      <c r="B4472" s="1">
        <v>45711</v>
      </c>
      <c r="C4472" s="2">
        <v>0.25</v>
      </c>
      <c r="D4472">
        <v>3</v>
      </c>
      <c r="E4472">
        <v>8.5</v>
      </c>
      <c r="F4472">
        <v>89</v>
      </c>
    </row>
    <row r="4473" spans="1:6" x14ac:dyDescent="0.35">
      <c r="A4473">
        <v>1975</v>
      </c>
      <c r="B4473" s="1">
        <v>45711</v>
      </c>
      <c r="C4473" s="2">
        <v>0.29166666666666669</v>
      </c>
      <c r="D4473">
        <v>3</v>
      </c>
      <c r="E4473">
        <v>8.1</v>
      </c>
      <c r="F4473">
        <v>89</v>
      </c>
    </row>
    <row r="4474" spans="1:6" x14ac:dyDescent="0.35">
      <c r="A4474">
        <v>1975</v>
      </c>
      <c r="B4474" s="1">
        <v>45711</v>
      </c>
      <c r="C4474" s="2">
        <v>0.33333333333333331</v>
      </c>
      <c r="D4474">
        <v>3</v>
      </c>
      <c r="E4474">
        <v>8.1</v>
      </c>
      <c r="F4474">
        <v>89</v>
      </c>
    </row>
    <row r="4475" spans="1:6" x14ac:dyDescent="0.35">
      <c r="A4475">
        <v>1975</v>
      </c>
      <c r="B4475" s="1">
        <v>45711</v>
      </c>
      <c r="C4475" s="2">
        <v>0.375</v>
      </c>
      <c r="D4475">
        <v>3</v>
      </c>
      <c r="E4475">
        <v>8.6</v>
      </c>
      <c r="F4475">
        <v>88</v>
      </c>
    </row>
    <row r="4476" spans="1:6" x14ac:dyDescent="0.35">
      <c r="A4476">
        <v>1975</v>
      </c>
      <c r="B4476" s="1">
        <v>45711</v>
      </c>
      <c r="C4476" s="2">
        <v>0.41666666666666669</v>
      </c>
      <c r="D4476">
        <v>3</v>
      </c>
      <c r="E4476">
        <v>9.1</v>
      </c>
      <c r="F4476">
        <v>86</v>
      </c>
    </row>
    <row r="4477" spans="1:6" x14ac:dyDescent="0.35">
      <c r="A4477">
        <v>1975</v>
      </c>
      <c r="B4477" s="1">
        <v>45711</v>
      </c>
      <c r="C4477" s="2">
        <v>0.45833333333333331</v>
      </c>
      <c r="D4477">
        <v>3</v>
      </c>
      <c r="E4477">
        <v>9.9</v>
      </c>
      <c r="F4477">
        <v>81</v>
      </c>
    </row>
    <row r="4478" spans="1:6" x14ac:dyDescent="0.35">
      <c r="A4478">
        <v>1975</v>
      </c>
      <c r="B4478" s="1">
        <v>45711</v>
      </c>
      <c r="C4478" s="2">
        <v>0.5</v>
      </c>
      <c r="D4478">
        <v>3</v>
      </c>
      <c r="E4478">
        <v>10.7</v>
      </c>
      <c r="F4478">
        <v>76</v>
      </c>
    </row>
    <row r="4479" spans="1:6" x14ac:dyDescent="0.35">
      <c r="A4479">
        <v>1975</v>
      </c>
      <c r="B4479" s="1">
        <v>45711</v>
      </c>
      <c r="C4479" s="2">
        <v>0.54166666666666663</v>
      </c>
      <c r="D4479">
        <v>3</v>
      </c>
      <c r="E4479">
        <v>11</v>
      </c>
      <c r="F4479">
        <v>75</v>
      </c>
    </row>
    <row r="4480" spans="1:6" x14ac:dyDescent="0.35">
      <c r="A4480">
        <v>1975</v>
      </c>
      <c r="B4480" s="1">
        <v>45711</v>
      </c>
      <c r="C4480" s="2">
        <v>0.58333333333333337</v>
      </c>
      <c r="D4480">
        <v>3</v>
      </c>
      <c r="E4480">
        <v>11.1</v>
      </c>
      <c r="F4480">
        <v>75</v>
      </c>
    </row>
    <row r="4481" spans="1:6" x14ac:dyDescent="0.35">
      <c r="A4481">
        <v>1975</v>
      </c>
      <c r="B4481" s="1">
        <v>45711</v>
      </c>
      <c r="C4481" s="2">
        <v>0.625</v>
      </c>
      <c r="D4481">
        <v>3</v>
      </c>
      <c r="E4481">
        <v>11.3</v>
      </c>
      <c r="F4481">
        <v>73</v>
      </c>
    </row>
    <row r="4482" spans="1:6" x14ac:dyDescent="0.35">
      <c r="A4482">
        <v>1975</v>
      </c>
      <c r="B4482" s="1">
        <v>45711</v>
      </c>
      <c r="C4482" s="2">
        <v>0.66666666666666663</v>
      </c>
      <c r="D4482">
        <v>3</v>
      </c>
      <c r="E4482">
        <v>10.5</v>
      </c>
      <c r="F4482">
        <v>75</v>
      </c>
    </row>
    <row r="4483" spans="1:6" x14ac:dyDescent="0.35">
      <c r="A4483">
        <v>1975</v>
      </c>
      <c r="B4483" s="1">
        <v>45711</v>
      </c>
      <c r="C4483" s="2">
        <v>0.70833333333333337</v>
      </c>
      <c r="D4483">
        <v>3</v>
      </c>
      <c r="E4483">
        <v>8.3000000000000007</v>
      </c>
      <c r="F4483">
        <v>81</v>
      </c>
    </row>
    <row r="4484" spans="1:6" x14ac:dyDescent="0.35">
      <c r="A4484">
        <v>1975</v>
      </c>
      <c r="B4484" s="1">
        <v>45711</v>
      </c>
      <c r="C4484" s="2">
        <v>0.75</v>
      </c>
      <c r="D4484">
        <v>3</v>
      </c>
      <c r="E4484">
        <v>7.4</v>
      </c>
      <c r="F4484">
        <v>85</v>
      </c>
    </row>
    <row r="4485" spans="1:6" x14ac:dyDescent="0.35">
      <c r="A4485">
        <v>1975</v>
      </c>
      <c r="B4485" s="1">
        <v>45711</v>
      </c>
      <c r="C4485" s="2">
        <v>0.79166666666666663</v>
      </c>
      <c r="D4485">
        <v>3</v>
      </c>
      <c r="E4485">
        <v>7.2</v>
      </c>
      <c r="F4485">
        <v>85</v>
      </c>
    </row>
    <row r="4486" spans="1:6" x14ac:dyDescent="0.35">
      <c r="A4486">
        <v>1975</v>
      </c>
      <c r="B4486" s="1">
        <v>45711</v>
      </c>
      <c r="C4486" s="2">
        <v>0.83333333333333337</v>
      </c>
      <c r="D4486">
        <v>3</v>
      </c>
      <c r="E4486">
        <v>5.7</v>
      </c>
      <c r="F4486">
        <v>91</v>
      </c>
    </row>
    <row r="4487" spans="1:6" x14ac:dyDescent="0.35">
      <c r="A4487">
        <v>1975</v>
      </c>
      <c r="B4487" s="1">
        <v>45711</v>
      </c>
      <c r="C4487" s="2">
        <v>0.875</v>
      </c>
      <c r="D4487">
        <v>3</v>
      </c>
      <c r="E4487">
        <v>6.9</v>
      </c>
      <c r="F4487">
        <v>87</v>
      </c>
    </row>
    <row r="4488" spans="1:6" x14ac:dyDescent="0.35">
      <c r="A4488">
        <v>1975</v>
      </c>
      <c r="B4488" s="1">
        <v>45711</v>
      </c>
      <c r="C4488" s="2">
        <v>0.91666666666666663</v>
      </c>
      <c r="D4488">
        <v>3</v>
      </c>
      <c r="E4488">
        <v>6.3</v>
      </c>
      <c r="F4488">
        <v>87</v>
      </c>
    </row>
    <row r="4489" spans="1:6" x14ac:dyDescent="0.35">
      <c r="A4489">
        <v>1975</v>
      </c>
      <c r="B4489" s="1">
        <v>45711</v>
      </c>
      <c r="C4489" s="2">
        <v>0.95833333333333337</v>
      </c>
      <c r="D4489">
        <v>3</v>
      </c>
      <c r="E4489">
        <v>6.7</v>
      </c>
      <c r="F4489">
        <v>86</v>
      </c>
    </row>
    <row r="4490" spans="1:6" x14ac:dyDescent="0.35">
      <c r="A4490">
        <v>1975</v>
      </c>
      <c r="B4490" s="1">
        <v>45712</v>
      </c>
      <c r="C4490" s="2">
        <v>0</v>
      </c>
      <c r="D4490">
        <v>3</v>
      </c>
      <c r="E4490">
        <v>6.1</v>
      </c>
      <c r="F4490">
        <v>86</v>
      </c>
    </row>
    <row r="4491" spans="1:6" x14ac:dyDescent="0.35">
      <c r="A4491">
        <v>1975</v>
      </c>
      <c r="B4491" s="1">
        <v>45712</v>
      </c>
      <c r="C4491" s="2">
        <v>4.1666666666666657E-2</v>
      </c>
      <c r="D4491">
        <v>3</v>
      </c>
      <c r="E4491">
        <v>6.3</v>
      </c>
      <c r="F4491">
        <v>85</v>
      </c>
    </row>
    <row r="4492" spans="1:6" x14ac:dyDescent="0.35">
      <c r="A4492">
        <v>1975</v>
      </c>
      <c r="B4492" s="1">
        <v>45712</v>
      </c>
      <c r="C4492" s="2">
        <v>8.3333333333333329E-2</v>
      </c>
      <c r="D4492">
        <v>3</v>
      </c>
      <c r="E4492">
        <v>6.3</v>
      </c>
      <c r="F4492">
        <v>84</v>
      </c>
    </row>
    <row r="4493" spans="1:6" x14ac:dyDescent="0.35">
      <c r="A4493">
        <v>1975</v>
      </c>
      <c r="B4493" s="1">
        <v>45712</v>
      </c>
      <c r="C4493" s="2">
        <v>0.125</v>
      </c>
      <c r="D4493">
        <v>3</v>
      </c>
      <c r="E4493">
        <v>6</v>
      </c>
      <c r="F4493">
        <v>85</v>
      </c>
    </row>
    <row r="4494" spans="1:6" x14ac:dyDescent="0.35">
      <c r="A4494">
        <v>1975</v>
      </c>
      <c r="B4494" s="1">
        <v>45712</v>
      </c>
      <c r="C4494" s="2">
        <v>0.16666666666666671</v>
      </c>
      <c r="D4494">
        <v>3</v>
      </c>
      <c r="E4494">
        <v>5.9</v>
      </c>
      <c r="F4494">
        <v>84</v>
      </c>
    </row>
    <row r="4495" spans="1:6" x14ac:dyDescent="0.35">
      <c r="A4495">
        <v>1975</v>
      </c>
      <c r="B4495" s="1">
        <v>45712</v>
      </c>
      <c r="C4495" s="2">
        <v>0.20833333333333329</v>
      </c>
      <c r="D4495">
        <v>3</v>
      </c>
      <c r="E4495">
        <v>6.4</v>
      </c>
      <c r="F4495">
        <v>81</v>
      </c>
    </row>
    <row r="4496" spans="1:6" x14ac:dyDescent="0.35">
      <c r="A4496">
        <v>1975</v>
      </c>
      <c r="B4496" s="1">
        <v>45712</v>
      </c>
      <c r="C4496" s="2">
        <v>0.25</v>
      </c>
      <c r="D4496">
        <v>3</v>
      </c>
      <c r="E4496">
        <v>6.2</v>
      </c>
      <c r="F4496">
        <v>82</v>
      </c>
    </row>
    <row r="4497" spans="1:6" x14ac:dyDescent="0.35">
      <c r="A4497">
        <v>1975</v>
      </c>
      <c r="B4497" s="1">
        <v>45712</v>
      </c>
      <c r="C4497" s="2">
        <v>0.29166666666666669</v>
      </c>
      <c r="D4497">
        <v>3</v>
      </c>
      <c r="E4497">
        <v>6.4</v>
      </c>
      <c r="F4497">
        <v>83</v>
      </c>
    </row>
    <row r="4498" spans="1:6" x14ac:dyDescent="0.35">
      <c r="A4498">
        <v>1975</v>
      </c>
      <c r="B4498" s="1">
        <v>45712</v>
      </c>
      <c r="C4498" s="2">
        <v>0.33333333333333331</v>
      </c>
      <c r="D4498">
        <v>3</v>
      </c>
      <c r="E4498">
        <v>7.8</v>
      </c>
      <c r="F4498">
        <v>79</v>
      </c>
    </row>
    <row r="4499" spans="1:6" x14ac:dyDescent="0.35">
      <c r="A4499">
        <v>1975</v>
      </c>
      <c r="B4499" s="1">
        <v>45712</v>
      </c>
      <c r="C4499" s="2">
        <v>0.375</v>
      </c>
      <c r="D4499">
        <v>3</v>
      </c>
      <c r="E4499">
        <v>9.4</v>
      </c>
      <c r="F4499">
        <v>75</v>
      </c>
    </row>
    <row r="4500" spans="1:6" x14ac:dyDescent="0.35">
      <c r="A4500">
        <v>1975</v>
      </c>
      <c r="B4500" s="1">
        <v>45712</v>
      </c>
      <c r="C4500" s="2">
        <v>0.41666666666666669</v>
      </c>
      <c r="D4500">
        <v>3</v>
      </c>
      <c r="E4500">
        <v>10.8</v>
      </c>
      <c r="F4500">
        <v>70</v>
      </c>
    </row>
    <row r="4501" spans="1:6" x14ac:dyDescent="0.35">
      <c r="A4501">
        <v>1975</v>
      </c>
      <c r="B4501" s="1">
        <v>45712</v>
      </c>
      <c r="C4501" s="2">
        <v>0.45833333333333331</v>
      </c>
      <c r="D4501">
        <v>3</v>
      </c>
      <c r="E4501">
        <v>11.9</v>
      </c>
      <c r="F4501">
        <v>68</v>
      </c>
    </row>
    <row r="4502" spans="1:6" x14ac:dyDescent="0.35">
      <c r="A4502">
        <v>1975</v>
      </c>
      <c r="B4502" s="1">
        <v>45712</v>
      </c>
      <c r="C4502" s="2">
        <v>0.5</v>
      </c>
      <c r="D4502">
        <v>3</v>
      </c>
      <c r="E4502">
        <v>12.4</v>
      </c>
      <c r="F4502">
        <v>65</v>
      </c>
    </row>
    <row r="4503" spans="1:6" x14ac:dyDescent="0.35">
      <c r="A4503">
        <v>1975</v>
      </c>
      <c r="B4503" s="1">
        <v>45712</v>
      </c>
      <c r="C4503" s="2">
        <v>0.54166666666666663</v>
      </c>
      <c r="D4503">
        <v>3</v>
      </c>
      <c r="E4503">
        <v>12.6</v>
      </c>
      <c r="F4503">
        <v>63</v>
      </c>
    </row>
    <row r="4504" spans="1:6" x14ac:dyDescent="0.35">
      <c r="A4504">
        <v>1975</v>
      </c>
      <c r="B4504" s="1">
        <v>45712</v>
      </c>
      <c r="C4504" s="2">
        <v>0.58333333333333337</v>
      </c>
      <c r="D4504">
        <v>3</v>
      </c>
      <c r="E4504">
        <v>12.4</v>
      </c>
      <c r="F4504">
        <v>65</v>
      </c>
    </row>
    <row r="4505" spans="1:6" x14ac:dyDescent="0.35">
      <c r="A4505">
        <v>1975</v>
      </c>
      <c r="B4505" s="1">
        <v>45712</v>
      </c>
      <c r="C4505" s="2">
        <v>0.625</v>
      </c>
      <c r="D4505">
        <v>3</v>
      </c>
      <c r="E4505">
        <v>12.1</v>
      </c>
      <c r="F4505">
        <v>68</v>
      </c>
    </row>
    <row r="4506" spans="1:6" x14ac:dyDescent="0.35">
      <c r="A4506">
        <v>1975</v>
      </c>
      <c r="B4506" s="1">
        <v>45712</v>
      </c>
      <c r="C4506" s="2">
        <v>0.66666666666666663</v>
      </c>
      <c r="D4506">
        <v>3</v>
      </c>
      <c r="E4506">
        <v>12</v>
      </c>
      <c r="F4506">
        <v>70</v>
      </c>
    </row>
    <row r="4507" spans="1:6" x14ac:dyDescent="0.35">
      <c r="A4507">
        <v>1975</v>
      </c>
      <c r="B4507" s="1">
        <v>45712</v>
      </c>
      <c r="C4507" s="2">
        <v>0.70833333333333337</v>
      </c>
      <c r="D4507">
        <v>3</v>
      </c>
      <c r="E4507">
        <v>11.8</v>
      </c>
      <c r="F4507">
        <v>71</v>
      </c>
    </row>
    <row r="4508" spans="1:6" x14ac:dyDescent="0.35">
      <c r="A4508">
        <v>1975</v>
      </c>
      <c r="B4508" s="1">
        <v>45712</v>
      </c>
      <c r="C4508" s="2">
        <v>0.75</v>
      </c>
      <c r="D4508">
        <v>3</v>
      </c>
      <c r="E4508">
        <v>11.3</v>
      </c>
      <c r="F4508">
        <v>75</v>
      </c>
    </row>
    <row r="4509" spans="1:6" x14ac:dyDescent="0.35">
      <c r="A4509">
        <v>1975</v>
      </c>
      <c r="B4509" s="1">
        <v>45712</v>
      </c>
      <c r="C4509" s="2">
        <v>0.79166666666666663</v>
      </c>
      <c r="D4509">
        <v>3</v>
      </c>
      <c r="E4509">
        <v>10.5</v>
      </c>
      <c r="F4509">
        <v>81</v>
      </c>
    </row>
    <row r="4510" spans="1:6" x14ac:dyDescent="0.35">
      <c r="A4510">
        <v>1975</v>
      </c>
      <c r="B4510" s="1">
        <v>45712</v>
      </c>
      <c r="C4510" s="2">
        <v>0.83333333333333337</v>
      </c>
      <c r="D4510">
        <v>3</v>
      </c>
      <c r="E4510">
        <v>10.8</v>
      </c>
      <c r="F4510">
        <v>78</v>
      </c>
    </row>
    <row r="4511" spans="1:6" x14ac:dyDescent="0.35">
      <c r="A4511">
        <v>1975</v>
      </c>
      <c r="B4511" s="1">
        <v>45712</v>
      </c>
      <c r="C4511" s="2">
        <v>0.875</v>
      </c>
      <c r="D4511">
        <v>3</v>
      </c>
      <c r="E4511">
        <v>10.1</v>
      </c>
      <c r="F4511">
        <v>84</v>
      </c>
    </row>
    <row r="4512" spans="1:6" x14ac:dyDescent="0.35">
      <c r="A4512">
        <v>1975</v>
      </c>
      <c r="B4512" s="1">
        <v>45712</v>
      </c>
      <c r="C4512" s="2">
        <v>0.91666666666666663</v>
      </c>
      <c r="D4512">
        <v>3</v>
      </c>
      <c r="E4512">
        <v>9.1999999999999993</v>
      </c>
      <c r="F4512">
        <v>99</v>
      </c>
    </row>
    <row r="4513" spans="1:6" x14ac:dyDescent="0.35">
      <c r="A4513">
        <v>1975</v>
      </c>
      <c r="B4513" s="1">
        <v>45712</v>
      </c>
      <c r="C4513" s="2">
        <v>0.95833333333333337</v>
      </c>
      <c r="D4513">
        <v>3</v>
      </c>
      <c r="E4513">
        <v>9.3000000000000007</v>
      </c>
      <c r="F4513">
        <v>98</v>
      </c>
    </row>
    <row r="4514" spans="1:6" x14ac:dyDescent="0.35">
      <c r="A4514">
        <v>1975</v>
      </c>
      <c r="B4514" s="1">
        <v>45713</v>
      </c>
      <c r="C4514" s="2">
        <v>0</v>
      </c>
      <c r="D4514">
        <v>3</v>
      </c>
      <c r="E4514">
        <v>9</v>
      </c>
      <c r="F4514">
        <v>97</v>
      </c>
    </row>
    <row r="4515" spans="1:6" x14ac:dyDescent="0.35">
      <c r="A4515">
        <v>1975</v>
      </c>
      <c r="B4515" s="1">
        <v>45713</v>
      </c>
      <c r="C4515" s="2">
        <v>4.1666666666666657E-2</v>
      </c>
      <c r="D4515">
        <v>3</v>
      </c>
      <c r="E4515">
        <v>8.5</v>
      </c>
      <c r="F4515">
        <v>99</v>
      </c>
    </row>
    <row r="4516" spans="1:6" x14ac:dyDescent="0.35">
      <c r="A4516">
        <v>1975</v>
      </c>
      <c r="B4516" s="1">
        <v>45713</v>
      </c>
      <c r="C4516" s="2">
        <v>8.3333333333333329E-2</v>
      </c>
      <c r="D4516">
        <v>3</v>
      </c>
      <c r="E4516">
        <v>8.3000000000000007</v>
      </c>
      <c r="F4516">
        <v>100</v>
      </c>
    </row>
    <row r="4517" spans="1:6" x14ac:dyDescent="0.35">
      <c r="A4517">
        <v>1975</v>
      </c>
      <c r="B4517" s="1">
        <v>45713</v>
      </c>
      <c r="C4517" s="2">
        <v>0.125</v>
      </c>
      <c r="D4517">
        <v>3</v>
      </c>
      <c r="E4517">
        <v>8.6</v>
      </c>
      <c r="F4517">
        <v>99</v>
      </c>
    </row>
    <row r="4518" spans="1:6" x14ac:dyDescent="0.35">
      <c r="A4518">
        <v>1975</v>
      </c>
      <c r="B4518" s="1">
        <v>45713</v>
      </c>
      <c r="C4518" s="2">
        <v>0.16666666666666671</v>
      </c>
      <c r="D4518">
        <v>3</v>
      </c>
      <c r="E4518">
        <v>8.9</v>
      </c>
      <c r="F4518">
        <v>96</v>
      </c>
    </row>
    <row r="4519" spans="1:6" x14ac:dyDescent="0.35">
      <c r="A4519">
        <v>1975</v>
      </c>
      <c r="B4519" s="1">
        <v>45713</v>
      </c>
      <c r="C4519" s="2">
        <v>0.20833333333333329</v>
      </c>
      <c r="D4519">
        <v>3</v>
      </c>
      <c r="E4519">
        <v>8.4</v>
      </c>
      <c r="F4519">
        <v>97</v>
      </c>
    </row>
    <row r="4520" spans="1:6" x14ac:dyDescent="0.35">
      <c r="A4520">
        <v>1975</v>
      </c>
      <c r="B4520" s="1">
        <v>45713</v>
      </c>
      <c r="C4520" s="2">
        <v>0.25</v>
      </c>
      <c r="D4520">
        <v>3</v>
      </c>
      <c r="E4520">
        <v>8.8000000000000007</v>
      </c>
      <c r="F4520">
        <v>93</v>
      </c>
    </row>
    <row r="4521" spans="1:6" x14ac:dyDescent="0.35">
      <c r="A4521">
        <v>1975</v>
      </c>
      <c r="B4521" s="1">
        <v>45713</v>
      </c>
      <c r="C4521" s="2">
        <v>0.29166666666666669</v>
      </c>
      <c r="D4521">
        <v>3</v>
      </c>
      <c r="E4521">
        <v>8.6</v>
      </c>
      <c r="F4521">
        <v>94</v>
      </c>
    </row>
    <row r="4522" spans="1:6" x14ac:dyDescent="0.35">
      <c r="A4522">
        <v>1975</v>
      </c>
      <c r="B4522" s="1">
        <v>45713</v>
      </c>
      <c r="C4522" s="2">
        <v>0.33333333333333331</v>
      </c>
      <c r="D4522">
        <v>3</v>
      </c>
      <c r="E4522">
        <v>8.6999999999999993</v>
      </c>
      <c r="F4522">
        <v>92</v>
      </c>
    </row>
    <row r="4523" spans="1:6" x14ac:dyDescent="0.35">
      <c r="A4523">
        <v>1975</v>
      </c>
      <c r="B4523" s="1">
        <v>45713</v>
      </c>
      <c r="C4523" s="2">
        <v>0.375</v>
      </c>
      <c r="D4523">
        <v>3</v>
      </c>
      <c r="E4523">
        <v>9.1999999999999993</v>
      </c>
      <c r="F4523">
        <v>90</v>
      </c>
    </row>
    <row r="4524" spans="1:6" x14ac:dyDescent="0.35">
      <c r="A4524">
        <v>1975</v>
      </c>
      <c r="B4524" s="1">
        <v>45713</v>
      </c>
      <c r="C4524" s="2">
        <v>0.41666666666666669</v>
      </c>
      <c r="D4524">
        <v>3</v>
      </c>
      <c r="E4524">
        <v>10</v>
      </c>
      <c r="F4524">
        <v>84</v>
      </c>
    </row>
    <row r="4525" spans="1:6" x14ac:dyDescent="0.35">
      <c r="A4525">
        <v>1975</v>
      </c>
      <c r="B4525" s="1">
        <v>45713</v>
      </c>
      <c r="C4525" s="2">
        <v>0.45833333333333331</v>
      </c>
      <c r="D4525">
        <v>3</v>
      </c>
      <c r="E4525">
        <v>10.5</v>
      </c>
      <c r="F4525">
        <v>80</v>
      </c>
    </row>
    <row r="4526" spans="1:6" x14ac:dyDescent="0.35">
      <c r="A4526">
        <v>1975</v>
      </c>
      <c r="B4526" s="1">
        <v>45713</v>
      </c>
      <c r="C4526" s="2">
        <v>0.5</v>
      </c>
      <c r="D4526">
        <v>3</v>
      </c>
      <c r="E4526">
        <v>10.8</v>
      </c>
      <c r="F4526">
        <v>75</v>
      </c>
    </row>
    <row r="4527" spans="1:6" x14ac:dyDescent="0.35">
      <c r="A4527">
        <v>1975</v>
      </c>
      <c r="B4527" s="1">
        <v>45713</v>
      </c>
      <c r="C4527" s="2">
        <v>0.54166666666666663</v>
      </c>
      <c r="D4527">
        <v>3</v>
      </c>
      <c r="E4527">
        <v>11.6</v>
      </c>
      <c r="F4527">
        <v>68</v>
      </c>
    </row>
    <row r="4528" spans="1:6" x14ac:dyDescent="0.35">
      <c r="A4528">
        <v>1975</v>
      </c>
      <c r="B4528" s="1">
        <v>45713</v>
      </c>
      <c r="C4528" s="2">
        <v>0.58333333333333337</v>
      </c>
      <c r="D4528">
        <v>3</v>
      </c>
      <c r="E4528">
        <v>11.9</v>
      </c>
      <c r="F4528">
        <v>67</v>
      </c>
    </row>
    <row r="4529" spans="1:6" x14ac:dyDescent="0.35">
      <c r="A4529">
        <v>1975</v>
      </c>
      <c r="B4529" s="1">
        <v>45713</v>
      </c>
      <c r="C4529" s="2">
        <v>0.625</v>
      </c>
      <c r="D4529">
        <v>3</v>
      </c>
      <c r="E4529">
        <v>11.3</v>
      </c>
      <c r="F4529">
        <v>68</v>
      </c>
    </row>
    <row r="4530" spans="1:6" x14ac:dyDescent="0.35">
      <c r="A4530">
        <v>1975</v>
      </c>
      <c r="B4530" s="1">
        <v>45713</v>
      </c>
      <c r="C4530" s="2">
        <v>0.66666666666666663</v>
      </c>
      <c r="D4530">
        <v>3</v>
      </c>
      <c r="E4530">
        <v>11.1</v>
      </c>
      <c r="F4530">
        <v>70</v>
      </c>
    </row>
    <row r="4531" spans="1:6" x14ac:dyDescent="0.35">
      <c r="A4531">
        <v>1975</v>
      </c>
      <c r="B4531" s="1">
        <v>45713</v>
      </c>
      <c r="C4531" s="2">
        <v>0.70833333333333337</v>
      </c>
      <c r="D4531">
        <v>3</v>
      </c>
      <c r="E4531">
        <v>9.9</v>
      </c>
      <c r="F4531">
        <v>75</v>
      </c>
    </row>
    <row r="4532" spans="1:6" x14ac:dyDescent="0.35">
      <c r="A4532">
        <v>1975</v>
      </c>
      <c r="B4532" s="1">
        <v>45713</v>
      </c>
      <c r="C4532" s="2">
        <v>0.75</v>
      </c>
      <c r="D4532">
        <v>3</v>
      </c>
      <c r="E4532">
        <v>7.1</v>
      </c>
      <c r="F4532">
        <v>86</v>
      </c>
    </row>
    <row r="4533" spans="1:6" x14ac:dyDescent="0.35">
      <c r="A4533">
        <v>1975</v>
      </c>
      <c r="B4533" s="1">
        <v>45713</v>
      </c>
      <c r="C4533" s="2">
        <v>0.79166666666666663</v>
      </c>
      <c r="D4533">
        <v>3</v>
      </c>
      <c r="E4533">
        <v>5.3</v>
      </c>
      <c r="F4533">
        <v>94</v>
      </c>
    </row>
    <row r="4534" spans="1:6" x14ac:dyDescent="0.35">
      <c r="A4534">
        <v>1975</v>
      </c>
      <c r="B4534" s="1">
        <v>45713</v>
      </c>
      <c r="C4534" s="2">
        <v>0.83333333333333337</v>
      </c>
      <c r="D4534">
        <v>3</v>
      </c>
      <c r="E4534">
        <v>4.3</v>
      </c>
      <c r="F4534">
        <v>94</v>
      </c>
    </row>
    <row r="4535" spans="1:6" x14ac:dyDescent="0.35">
      <c r="A4535">
        <v>1975</v>
      </c>
      <c r="B4535" s="1">
        <v>45713</v>
      </c>
      <c r="C4535" s="2">
        <v>0.875</v>
      </c>
      <c r="D4535">
        <v>3</v>
      </c>
      <c r="E4535">
        <v>5.4</v>
      </c>
      <c r="F4535">
        <v>96</v>
      </c>
    </row>
    <row r="4536" spans="1:6" x14ac:dyDescent="0.35">
      <c r="A4536">
        <v>1975</v>
      </c>
      <c r="B4536" s="1">
        <v>45713</v>
      </c>
      <c r="C4536" s="2">
        <v>0.91666666666666663</v>
      </c>
      <c r="D4536">
        <v>3</v>
      </c>
      <c r="E4536">
        <v>4.4000000000000004</v>
      </c>
      <c r="F4536">
        <v>97</v>
      </c>
    </row>
    <row r="4537" spans="1:6" x14ac:dyDescent="0.35">
      <c r="A4537">
        <v>1975</v>
      </c>
      <c r="B4537" s="1">
        <v>45713</v>
      </c>
      <c r="C4537" s="2">
        <v>0.95833333333333337</v>
      </c>
      <c r="D4537">
        <v>3</v>
      </c>
      <c r="E4537">
        <v>3.8</v>
      </c>
      <c r="F4537">
        <v>100</v>
      </c>
    </row>
    <row r="4538" spans="1:6" x14ac:dyDescent="0.35">
      <c r="A4538">
        <v>1975</v>
      </c>
      <c r="B4538" s="1">
        <v>45714</v>
      </c>
      <c r="C4538" s="2">
        <v>0</v>
      </c>
      <c r="D4538">
        <v>3</v>
      </c>
      <c r="E4538">
        <v>4.2</v>
      </c>
      <c r="F4538">
        <v>99</v>
      </c>
    </row>
    <row r="4539" spans="1:6" x14ac:dyDescent="0.35">
      <c r="A4539">
        <v>1975</v>
      </c>
      <c r="B4539" s="1">
        <v>45714</v>
      </c>
      <c r="C4539" s="2">
        <v>4.1666666666666657E-2</v>
      </c>
      <c r="D4539">
        <v>3</v>
      </c>
      <c r="E4539">
        <v>4.3</v>
      </c>
      <c r="F4539">
        <v>100</v>
      </c>
    </row>
    <row r="4540" spans="1:6" x14ac:dyDescent="0.35">
      <c r="A4540">
        <v>1975</v>
      </c>
      <c r="B4540" s="1">
        <v>45714</v>
      </c>
      <c r="C4540" s="2">
        <v>8.3333333333333329E-2</v>
      </c>
      <c r="D4540">
        <v>3</v>
      </c>
      <c r="E4540">
        <v>4.2</v>
      </c>
      <c r="F4540">
        <v>100</v>
      </c>
    </row>
    <row r="4541" spans="1:6" x14ac:dyDescent="0.35">
      <c r="A4541">
        <v>1975</v>
      </c>
      <c r="B4541" s="1">
        <v>45714</v>
      </c>
      <c r="C4541" s="2">
        <v>0.125</v>
      </c>
      <c r="D4541">
        <v>3</v>
      </c>
      <c r="E4541">
        <v>3.3</v>
      </c>
      <c r="F4541">
        <v>99</v>
      </c>
    </row>
    <row r="4542" spans="1:6" x14ac:dyDescent="0.35">
      <c r="A4542">
        <v>1975</v>
      </c>
      <c r="B4542" s="1">
        <v>45714</v>
      </c>
      <c r="C4542" s="2">
        <v>0.16666666666666671</v>
      </c>
      <c r="D4542">
        <v>3</v>
      </c>
      <c r="E4542">
        <v>3.6</v>
      </c>
      <c r="F4542">
        <v>100</v>
      </c>
    </row>
    <row r="4543" spans="1:6" x14ac:dyDescent="0.35">
      <c r="A4543">
        <v>1975</v>
      </c>
      <c r="B4543" s="1">
        <v>45714</v>
      </c>
      <c r="C4543" s="2">
        <v>0.20833333333333329</v>
      </c>
      <c r="D4543">
        <v>3</v>
      </c>
      <c r="E4543">
        <v>3</v>
      </c>
      <c r="F4543">
        <v>98</v>
      </c>
    </row>
    <row r="4544" spans="1:6" x14ac:dyDescent="0.35">
      <c r="A4544">
        <v>1975</v>
      </c>
      <c r="B4544" s="1">
        <v>45714</v>
      </c>
      <c r="C4544" s="2">
        <v>0.25</v>
      </c>
      <c r="D4544">
        <v>3</v>
      </c>
      <c r="E4544">
        <v>4</v>
      </c>
      <c r="F4544">
        <v>100</v>
      </c>
    </row>
    <row r="4545" spans="1:6" x14ac:dyDescent="0.35">
      <c r="A4545">
        <v>1975</v>
      </c>
      <c r="B4545" s="1">
        <v>45714</v>
      </c>
      <c r="C4545" s="2">
        <v>0.29166666666666669</v>
      </c>
      <c r="D4545">
        <v>3</v>
      </c>
      <c r="E4545">
        <v>4.9000000000000004</v>
      </c>
      <c r="F4545">
        <v>100</v>
      </c>
    </row>
    <row r="4546" spans="1:6" x14ac:dyDescent="0.35">
      <c r="A4546">
        <v>1975</v>
      </c>
      <c r="B4546" s="1">
        <v>45714</v>
      </c>
      <c r="C4546" s="2">
        <v>0.33333333333333331</v>
      </c>
      <c r="D4546">
        <v>3</v>
      </c>
      <c r="E4546">
        <v>5.0999999999999996</v>
      </c>
      <c r="F4546">
        <v>100</v>
      </c>
    </row>
    <row r="4547" spans="1:6" x14ac:dyDescent="0.35">
      <c r="A4547">
        <v>1975</v>
      </c>
      <c r="B4547" s="1">
        <v>45714</v>
      </c>
      <c r="C4547" s="2">
        <v>0.375</v>
      </c>
      <c r="D4547">
        <v>3</v>
      </c>
      <c r="E4547">
        <v>5.7</v>
      </c>
      <c r="F4547">
        <v>98</v>
      </c>
    </row>
    <row r="4548" spans="1:6" x14ac:dyDescent="0.35">
      <c r="A4548">
        <v>1975</v>
      </c>
      <c r="B4548" s="1">
        <v>45714</v>
      </c>
      <c r="C4548" s="2">
        <v>0.41666666666666669</v>
      </c>
      <c r="D4548">
        <v>3</v>
      </c>
      <c r="E4548">
        <v>6.5</v>
      </c>
      <c r="F4548">
        <v>97</v>
      </c>
    </row>
    <row r="4549" spans="1:6" x14ac:dyDescent="0.35">
      <c r="A4549">
        <v>1975</v>
      </c>
      <c r="B4549" s="1">
        <v>45714</v>
      </c>
      <c r="C4549" s="2">
        <v>0.45833333333333331</v>
      </c>
      <c r="D4549">
        <v>3</v>
      </c>
      <c r="E4549">
        <v>7.9</v>
      </c>
      <c r="F4549">
        <v>86</v>
      </c>
    </row>
    <row r="4550" spans="1:6" x14ac:dyDescent="0.35">
      <c r="A4550">
        <v>1975</v>
      </c>
      <c r="B4550" s="1">
        <v>45714</v>
      </c>
      <c r="C4550" s="2">
        <v>0.5</v>
      </c>
      <c r="D4550">
        <v>3</v>
      </c>
      <c r="E4550">
        <v>-999</v>
      </c>
      <c r="F4550">
        <v>-999</v>
      </c>
    </row>
    <row r="4551" spans="1:6" x14ac:dyDescent="0.35">
      <c r="A4551">
        <v>1975</v>
      </c>
      <c r="B4551" s="1">
        <v>45714</v>
      </c>
      <c r="C4551" s="2">
        <v>0.54166666666666663</v>
      </c>
      <c r="D4551">
        <v>3</v>
      </c>
      <c r="E4551">
        <v>-999</v>
      </c>
      <c r="F4551">
        <v>-999</v>
      </c>
    </row>
    <row r="4552" spans="1:6" x14ac:dyDescent="0.35">
      <c r="A4552">
        <v>1975</v>
      </c>
      <c r="B4552" s="1">
        <v>45714</v>
      </c>
      <c r="C4552" s="2">
        <v>0.58333333333333337</v>
      </c>
      <c r="D4552">
        <v>3</v>
      </c>
      <c r="E4552">
        <v>-999</v>
      </c>
      <c r="F4552">
        <v>-999</v>
      </c>
    </row>
    <row r="4553" spans="1:6" x14ac:dyDescent="0.35">
      <c r="A4553">
        <v>1975</v>
      </c>
      <c r="B4553" s="1">
        <v>45714</v>
      </c>
      <c r="C4553" s="2">
        <v>0.625</v>
      </c>
      <c r="D4553">
        <v>3</v>
      </c>
      <c r="E4553">
        <v>7.9</v>
      </c>
      <c r="F4553">
        <v>83</v>
      </c>
    </row>
    <row r="4554" spans="1:6" x14ac:dyDescent="0.35">
      <c r="A4554">
        <v>1975</v>
      </c>
      <c r="B4554" s="1">
        <v>45714</v>
      </c>
      <c r="C4554" s="2">
        <v>0.66666666666666663</v>
      </c>
      <c r="D4554">
        <v>3</v>
      </c>
      <c r="E4554">
        <v>7.1</v>
      </c>
      <c r="F4554">
        <v>77</v>
      </c>
    </row>
    <row r="4555" spans="1:6" x14ac:dyDescent="0.35">
      <c r="A4555">
        <v>1975</v>
      </c>
      <c r="B4555" s="1">
        <v>45714</v>
      </c>
      <c r="C4555" s="2">
        <v>0.70833333333333337</v>
      </c>
      <c r="D4555">
        <v>3</v>
      </c>
      <c r="E4555">
        <v>6.9</v>
      </c>
      <c r="F4555">
        <v>77</v>
      </c>
    </row>
    <row r="4556" spans="1:6" x14ac:dyDescent="0.35">
      <c r="A4556">
        <v>1975</v>
      </c>
      <c r="B4556" s="1">
        <v>45714</v>
      </c>
      <c r="C4556" s="2">
        <v>0.75</v>
      </c>
      <c r="D4556">
        <v>3</v>
      </c>
      <c r="E4556">
        <v>5.2</v>
      </c>
      <c r="F4556">
        <v>86</v>
      </c>
    </row>
    <row r="4557" spans="1:6" x14ac:dyDescent="0.35">
      <c r="A4557">
        <v>1975</v>
      </c>
      <c r="B4557" s="1">
        <v>45714</v>
      </c>
      <c r="C4557" s="2">
        <v>0.79166666666666663</v>
      </c>
      <c r="D4557">
        <v>3</v>
      </c>
      <c r="E4557">
        <v>3.1</v>
      </c>
      <c r="F4557">
        <v>97</v>
      </c>
    </row>
    <row r="4558" spans="1:6" x14ac:dyDescent="0.35">
      <c r="A4558">
        <v>1975</v>
      </c>
      <c r="B4558" s="1">
        <v>45714</v>
      </c>
      <c r="C4558" s="2">
        <v>0.83333333333333337</v>
      </c>
      <c r="D4558">
        <v>3</v>
      </c>
      <c r="E4558">
        <v>1.9</v>
      </c>
      <c r="F4558">
        <v>100</v>
      </c>
    </row>
    <row r="4559" spans="1:6" x14ac:dyDescent="0.35">
      <c r="A4559">
        <v>1975</v>
      </c>
      <c r="B4559" s="1">
        <v>45714</v>
      </c>
      <c r="C4559" s="2">
        <v>0.875</v>
      </c>
      <c r="D4559">
        <v>3</v>
      </c>
      <c r="E4559">
        <v>1.2</v>
      </c>
      <c r="F4559">
        <v>100</v>
      </c>
    </row>
    <row r="4560" spans="1:6" x14ac:dyDescent="0.35">
      <c r="A4560">
        <v>1975</v>
      </c>
      <c r="B4560" s="1">
        <v>45714</v>
      </c>
      <c r="C4560" s="2">
        <v>0.91666666666666663</v>
      </c>
      <c r="D4560">
        <v>3</v>
      </c>
      <c r="E4560">
        <v>0.1</v>
      </c>
      <c r="F4560">
        <v>100</v>
      </c>
    </row>
    <row r="4561" spans="1:6" x14ac:dyDescent="0.35">
      <c r="A4561">
        <v>1975</v>
      </c>
      <c r="B4561" s="1">
        <v>45714</v>
      </c>
      <c r="C4561" s="2">
        <v>0.95833333333333337</v>
      </c>
      <c r="D4561">
        <v>3</v>
      </c>
      <c r="E4561">
        <v>1.2</v>
      </c>
      <c r="F4561">
        <v>99</v>
      </c>
    </row>
    <row r="4562" spans="1:6" x14ac:dyDescent="0.35">
      <c r="A4562">
        <v>1975</v>
      </c>
      <c r="B4562" s="1">
        <v>45715</v>
      </c>
      <c r="C4562" s="2">
        <v>0</v>
      </c>
      <c r="D4562">
        <v>3</v>
      </c>
      <c r="E4562">
        <v>2</v>
      </c>
      <c r="F4562">
        <v>99</v>
      </c>
    </row>
    <row r="4563" spans="1:6" x14ac:dyDescent="0.35">
      <c r="A4563">
        <v>1975</v>
      </c>
      <c r="B4563" s="1">
        <v>45715</v>
      </c>
      <c r="C4563" s="2">
        <v>4.1666666666666657E-2</v>
      </c>
      <c r="D4563">
        <v>3</v>
      </c>
      <c r="E4563">
        <v>2.8</v>
      </c>
      <c r="F4563">
        <v>97</v>
      </c>
    </row>
    <row r="4564" spans="1:6" x14ac:dyDescent="0.35">
      <c r="A4564">
        <v>1975</v>
      </c>
      <c r="B4564" s="1">
        <v>45715</v>
      </c>
      <c r="C4564" s="2">
        <v>8.3333333333333329E-2</v>
      </c>
      <c r="D4564">
        <v>3</v>
      </c>
      <c r="E4564">
        <v>3.5</v>
      </c>
      <c r="F4564">
        <v>94</v>
      </c>
    </row>
    <row r="4565" spans="1:6" x14ac:dyDescent="0.35">
      <c r="A4565">
        <v>1975</v>
      </c>
      <c r="B4565" s="1">
        <v>45715</v>
      </c>
      <c r="C4565" s="2">
        <v>0.125</v>
      </c>
      <c r="D4565">
        <v>3</v>
      </c>
      <c r="E4565">
        <v>3</v>
      </c>
      <c r="F4565">
        <v>92</v>
      </c>
    </row>
    <row r="4566" spans="1:6" x14ac:dyDescent="0.35">
      <c r="A4566">
        <v>1975</v>
      </c>
      <c r="B4566" s="1">
        <v>45715</v>
      </c>
      <c r="C4566" s="2">
        <v>0.16666666666666671</v>
      </c>
      <c r="D4566">
        <v>3</v>
      </c>
      <c r="E4566">
        <v>2.8</v>
      </c>
      <c r="F4566">
        <v>92</v>
      </c>
    </row>
    <row r="4567" spans="1:6" x14ac:dyDescent="0.35">
      <c r="A4567">
        <v>1975</v>
      </c>
      <c r="B4567" s="1">
        <v>45715</v>
      </c>
      <c r="C4567" s="2">
        <v>0.20833333333333329</v>
      </c>
      <c r="D4567">
        <v>3</v>
      </c>
      <c r="E4567">
        <v>3.1</v>
      </c>
      <c r="F4567">
        <v>92</v>
      </c>
    </row>
    <row r="4568" spans="1:6" x14ac:dyDescent="0.35">
      <c r="A4568">
        <v>1975</v>
      </c>
      <c r="B4568" s="1">
        <v>45715</v>
      </c>
      <c r="C4568" s="2">
        <v>0.25</v>
      </c>
      <c r="D4568">
        <v>3</v>
      </c>
      <c r="E4568">
        <v>4</v>
      </c>
      <c r="F4568">
        <v>88</v>
      </c>
    </row>
    <row r="4569" spans="1:6" x14ac:dyDescent="0.35">
      <c r="A4569">
        <v>1975</v>
      </c>
      <c r="B4569" s="1">
        <v>45715</v>
      </c>
      <c r="C4569" s="2">
        <v>0.29166666666666669</v>
      </c>
      <c r="D4569">
        <v>3</v>
      </c>
      <c r="E4569">
        <v>3.9</v>
      </c>
      <c r="F4569">
        <v>89</v>
      </c>
    </row>
    <row r="4570" spans="1:6" x14ac:dyDescent="0.35">
      <c r="A4570">
        <v>1975</v>
      </c>
      <c r="B4570" s="1">
        <v>45715</v>
      </c>
      <c r="C4570" s="2">
        <v>0.33333333333333331</v>
      </c>
      <c r="D4570">
        <v>3</v>
      </c>
      <c r="E4570">
        <v>4.0999999999999996</v>
      </c>
      <c r="F4570">
        <v>90</v>
      </c>
    </row>
    <row r="4571" spans="1:6" x14ac:dyDescent="0.35">
      <c r="A4571">
        <v>1975</v>
      </c>
      <c r="B4571" s="1">
        <v>45715</v>
      </c>
      <c r="C4571" s="2">
        <v>0.375</v>
      </c>
      <c r="D4571">
        <v>3</v>
      </c>
      <c r="E4571">
        <v>4.3</v>
      </c>
      <c r="F4571">
        <v>92</v>
      </c>
    </row>
    <row r="4572" spans="1:6" x14ac:dyDescent="0.35">
      <c r="A4572">
        <v>1975</v>
      </c>
      <c r="B4572" s="1">
        <v>45715</v>
      </c>
      <c r="C4572" s="2">
        <v>0.41666666666666669</v>
      </c>
      <c r="D4572">
        <v>3</v>
      </c>
      <c r="E4572">
        <v>4.5</v>
      </c>
      <c r="F4572">
        <v>94</v>
      </c>
    </row>
    <row r="4573" spans="1:6" x14ac:dyDescent="0.35">
      <c r="A4573">
        <v>1975</v>
      </c>
      <c r="B4573" s="1">
        <v>45715</v>
      </c>
      <c r="C4573" s="2">
        <v>0.45833333333333331</v>
      </c>
      <c r="D4573">
        <v>3</v>
      </c>
      <c r="E4573">
        <v>5.3</v>
      </c>
      <c r="F4573">
        <v>93</v>
      </c>
    </row>
    <row r="4574" spans="1:6" x14ac:dyDescent="0.35">
      <c r="A4574">
        <v>1975</v>
      </c>
      <c r="B4574" s="1">
        <v>45715</v>
      </c>
      <c r="C4574" s="2">
        <v>0.5</v>
      </c>
      <c r="D4574">
        <v>3</v>
      </c>
      <c r="E4574">
        <v>6.3</v>
      </c>
      <c r="F4574">
        <v>85</v>
      </c>
    </row>
    <row r="4575" spans="1:6" x14ac:dyDescent="0.35">
      <c r="A4575">
        <v>1975</v>
      </c>
      <c r="B4575" s="1">
        <v>45715</v>
      </c>
      <c r="C4575" s="2">
        <v>0.54166666666666663</v>
      </c>
      <c r="D4575">
        <v>3</v>
      </c>
      <c r="E4575">
        <v>7.2</v>
      </c>
      <c r="F4575">
        <v>78</v>
      </c>
    </row>
    <row r="4576" spans="1:6" x14ac:dyDescent="0.35">
      <c r="A4576">
        <v>1975</v>
      </c>
      <c r="B4576" s="1">
        <v>45715</v>
      </c>
      <c r="C4576" s="2">
        <v>0.58333333333333337</v>
      </c>
      <c r="D4576">
        <v>3</v>
      </c>
      <c r="E4576">
        <v>7.4</v>
      </c>
      <c r="F4576">
        <v>77</v>
      </c>
    </row>
    <row r="4577" spans="1:6" x14ac:dyDescent="0.35">
      <c r="A4577">
        <v>1975</v>
      </c>
      <c r="B4577" s="1">
        <v>45715</v>
      </c>
      <c r="C4577" s="2">
        <v>0.625</v>
      </c>
      <c r="D4577">
        <v>3</v>
      </c>
      <c r="E4577">
        <v>6.6</v>
      </c>
      <c r="F4577">
        <v>85</v>
      </c>
    </row>
    <row r="4578" spans="1:6" x14ac:dyDescent="0.35">
      <c r="A4578">
        <v>1975</v>
      </c>
      <c r="B4578" s="1">
        <v>45715</v>
      </c>
      <c r="C4578" s="2">
        <v>0.66666666666666663</v>
      </c>
      <c r="D4578">
        <v>3</v>
      </c>
      <c r="E4578">
        <v>6.4</v>
      </c>
      <c r="F4578">
        <v>89</v>
      </c>
    </row>
    <row r="4579" spans="1:6" x14ac:dyDescent="0.35">
      <c r="A4579">
        <v>1975</v>
      </c>
      <c r="B4579" s="1">
        <v>45715</v>
      </c>
      <c r="C4579" s="2">
        <v>0.70833333333333337</v>
      </c>
      <c r="D4579">
        <v>3</v>
      </c>
      <c r="E4579">
        <v>5</v>
      </c>
      <c r="F4579">
        <v>99</v>
      </c>
    </row>
    <row r="4580" spans="1:6" x14ac:dyDescent="0.35">
      <c r="A4580">
        <v>1975</v>
      </c>
      <c r="B4580" s="1">
        <v>45715</v>
      </c>
      <c r="C4580" s="2">
        <v>0.75</v>
      </c>
      <c r="D4580">
        <v>3</v>
      </c>
      <c r="E4580">
        <v>3.5</v>
      </c>
      <c r="F4580">
        <v>100</v>
      </c>
    </row>
    <row r="4581" spans="1:6" x14ac:dyDescent="0.35">
      <c r="A4581">
        <v>1975</v>
      </c>
      <c r="B4581" s="1">
        <v>45715</v>
      </c>
      <c r="C4581" s="2">
        <v>0.79166666666666663</v>
      </c>
      <c r="D4581">
        <v>3</v>
      </c>
      <c r="E4581">
        <v>3.6</v>
      </c>
      <c r="F4581">
        <v>100</v>
      </c>
    </row>
    <row r="4582" spans="1:6" x14ac:dyDescent="0.35">
      <c r="A4582">
        <v>1975</v>
      </c>
      <c r="B4582" s="1">
        <v>45715</v>
      </c>
      <c r="C4582" s="2">
        <v>0.83333333333333337</v>
      </c>
      <c r="D4582">
        <v>3</v>
      </c>
      <c r="E4582">
        <v>4.2</v>
      </c>
      <c r="F4582">
        <v>99</v>
      </c>
    </row>
    <row r="4583" spans="1:6" x14ac:dyDescent="0.35">
      <c r="A4583">
        <v>1975</v>
      </c>
      <c r="B4583" s="1">
        <v>45715</v>
      </c>
      <c r="C4583" s="2">
        <v>0.875</v>
      </c>
      <c r="D4583">
        <v>3</v>
      </c>
      <c r="E4583">
        <v>4.2</v>
      </c>
      <c r="F4583">
        <v>98</v>
      </c>
    </row>
    <row r="4584" spans="1:6" x14ac:dyDescent="0.35">
      <c r="A4584">
        <v>1975</v>
      </c>
      <c r="B4584" s="1">
        <v>45715</v>
      </c>
      <c r="C4584" s="2">
        <v>0.91666666666666663</v>
      </c>
      <c r="D4584">
        <v>3</v>
      </c>
      <c r="E4584">
        <v>3.9</v>
      </c>
      <c r="F4584">
        <v>99</v>
      </c>
    </row>
    <row r="4585" spans="1:6" x14ac:dyDescent="0.35">
      <c r="A4585">
        <v>1975</v>
      </c>
      <c r="B4585" s="1">
        <v>45715</v>
      </c>
      <c r="C4585" s="2">
        <v>0.95833333333333337</v>
      </c>
      <c r="D4585">
        <v>3</v>
      </c>
      <c r="E4585">
        <v>3.4</v>
      </c>
      <c r="F4585">
        <v>98</v>
      </c>
    </row>
    <row r="4586" spans="1:6" x14ac:dyDescent="0.35">
      <c r="A4586">
        <v>1975</v>
      </c>
      <c r="B4586" s="1">
        <v>45716</v>
      </c>
      <c r="C4586" s="2">
        <v>0</v>
      </c>
      <c r="D4586">
        <v>3</v>
      </c>
      <c r="E4586">
        <v>4.2</v>
      </c>
      <c r="F4586">
        <v>97</v>
      </c>
    </row>
    <row r="4587" spans="1:6" x14ac:dyDescent="0.35">
      <c r="A4587">
        <v>1975</v>
      </c>
      <c r="B4587" s="1">
        <v>45716</v>
      </c>
      <c r="C4587" s="2">
        <v>4.1666666666666657E-2</v>
      </c>
      <c r="D4587">
        <v>3</v>
      </c>
      <c r="E4587">
        <v>3.9</v>
      </c>
      <c r="F4587">
        <v>98</v>
      </c>
    </row>
    <row r="4588" spans="1:6" x14ac:dyDescent="0.35">
      <c r="A4588">
        <v>1975</v>
      </c>
      <c r="B4588" s="1">
        <v>45716</v>
      </c>
      <c r="C4588" s="2">
        <v>8.3333333333333329E-2</v>
      </c>
      <c r="D4588">
        <v>3</v>
      </c>
      <c r="E4588">
        <v>4</v>
      </c>
      <c r="F4588">
        <v>96</v>
      </c>
    </row>
    <row r="4589" spans="1:6" x14ac:dyDescent="0.35">
      <c r="A4589">
        <v>1975</v>
      </c>
      <c r="B4589" s="1">
        <v>45716</v>
      </c>
      <c r="C4589" s="2">
        <v>0.125</v>
      </c>
      <c r="D4589">
        <v>3</v>
      </c>
      <c r="E4589">
        <v>3.7</v>
      </c>
      <c r="F4589">
        <v>98</v>
      </c>
    </row>
    <row r="4590" spans="1:6" x14ac:dyDescent="0.35">
      <c r="A4590">
        <v>1975</v>
      </c>
      <c r="B4590" s="1">
        <v>45716</v>
      </c>
      <c r="C4590" s="2">
        <v>0.16666666666666671</v>
      </c>
      <c r="D4590">
        <v>3</v>
      </c>
      <c r="E4590">
        <v>3.5</v>
      </c>
      <c r="F4590">
        <v>97</v>
      </c>
    </row>
    <row r="4591" spans="1:6" x14ac:dyDescent="0.35">
      <c r="A4591">
        <v>1975</v>
      </c>
      <c r="B4591" s="1">
        <v>45716</v>
      </c>
      <c r="C4591" s="2">
        <v>0.20833333333333329</v>
      </c>
      <c r="D4591">
        <v>3</v>
      </c>
      <c r="E4591">
        <v>3.4</v>
      </c>
      <c r="F4591">
        <v>97</v>
      </c>
    </row>
    <row r="4592" spans="1:6" x14ac:dyDescent="0.35">
      <c r="A4592">
        <v>1975</v>
      </c>
      <c r="B4592" s="1">
        <v>45716</v>
      </c>
      <c r="C4592" s="2">
        <v>0.25</v>
      </c>
      <c r="D4592">
        <v>3</v>
      </c>
      <c r="E4592">
        <v>3.5</v>
      </c>
      <c r="F4592">
        <v>96</v>
      </c>
    </row>
    <row r="4593" spans="1:6" x14ac:dyDescent="0.35">
      <c r="A4593">
        <v>1975</v>
      </c>
      <c r="B4593" s="1">
        <v>45716</v>
      </c>
      <c r="C4593" s="2">
        <v>0.29166666666666669</v>
      </c>
      <c r="D4593">
        <v>3</v>
      </c>
      <c r="E4593">
        <v>3.7</v>
      </c>
      <c r="F4593">
        <v>98</v>
      </c>
    </row>
    <row r="4594" spans="1:6" x14ac:dyDescent="0.35">
      <c r="A4594">
        <v>1975</v>
      </c>
      <c r="B4594" s="1">
        <v>45716</v>
      </c>
      <c r="C4594" s="2">
        <v>0.33333333333333331</v>
      </c>
      <c r="D4594">
        <v>3</v>
      </c>
      <c r="E4594">
        <v>3.4</v>
      </c>
      <c r="F4594">
        <v>98</v>
      </c>
    </row>
    <row r="4595" spans="1:6" x14ac:dyDescent="0.35">
      <c r="A4595">
        <v>1975</v>
      </c>
      <c r="B4595" s="1">
        <v>45716</v>
      </c>
      <c r="C4595" s="2">
        <v>0.375</v>
      </c>
      <c r="D4595">
        <v>3</v>
      </c>
      <c r="E4595">
        <v>3.5</v>
      </c>
      <c r="F4595">
        <v>99</v>
      </c>
    </row>
    <row r="4596" spans="1:6" x14ac:dyDescent="0.35">
      <c r="A4596">
        <v>1975</v>
      </c>
      <c r="B4596" s="1">
        <v>45716</v>
      </c>
      <c r="C4596" s="2">
        <v>0.41666666666666669</v>
      </c>
      <c r="D4596">
        <v>3</v>
      </c>
      <c r="E4596">
        <v>3.9</v>
      </c>
      <c r="F4596">
        <v>94</v>
      </c>
    </row>
    <row r="4597" spans="1:6" x14ac:dyDescent="0.35">
      <c r="A4597">
        <v>1975</v>
      </c>
      <c r="B4597" s="1">
        <v>45716</v>
      </c>
      <c r="C4597" s="2">
        <v>0.45833333333333331</v>
      </c>
      <c r="D4597">
        <v>3</v>
      </c>
      <c r="E4597">
        <v>4</v>
      </c>
      <c r="F4597">
        <v>95</v>
      </c>
    </row>
    <row r="4598" spans="1:6" x14ac:dyDescent="0.35">
      <c r="A4598">
        <v>1975</v>
      </c>
      <c r="B4598" s="1">
        <v>45716</v>
      </c>
      <c r="C4598" s="2">
        <v>0.5</v>
      </c>
      <c r="D4598">
        <v>3</v>
      </c>
      <c r="E4598">
        <v>4.0999999999999996</v>
      </c>
      <c r="F4598">
        <v>92</v>
      </c>
    </row>
    <row r="4599" spans="1:6" x14ac:dyDescent="0.35">
      <c r="A4599">
        <v>1975</v>
      </c>
      <c r="B4599" s="1">
        <v>45716</v>
      </c>
      <c r="C4599" s="2">
        <v>0.54166666666666663</v>
      </c>
      <c r="D4599">
        <v>3</v>
      </c>
      <c r="E4599">
        <v>3.9</v>
      </c>
      <c r="F4599">
        <v>92</v>
      </c>
    </row>
    <row r="4600" spans="1:6" x14ac:dyDescent="0.35">
      <c r="A4600">
        <v>1975</v>
      </c>
      <c r="B4600" s="1">
        <v>45716</v>
      </c>
      <c r="C4600" s="2">
        <v>0.58333333333333337</v>
      </c>
      <c r="D4600">
        <v>3</v>
      </c>
      <c r="E4600">
        <v>4.0999999999999996</v>
      </c>
      <c r="F4600">
        <v>92</v>
      </c>
    </row>
    <row r="4601" spans="1:6" x14ac:dyDescent="0.35">
      <c r="A4601">
        <v>1975</v>
      </c>
      <c r="B4601" s="1">
        <v>45716</v>
      </c>
      <c r="C4601" s="2">
        <v>0.625</v>
      </c>
      <c r="D4601">
        <v>3</v>
      </c>
      <c r="E4601">
        <v>4</v>
      </c>
      <c r="F4601">
        <v>92</v>
      </c>
    </row>
    <row r="4602" spans="1:6" x14ac:dyDescent="0.35">
      <c r="A4602">
        <v>1975</v>
      </c>
      <c r="B4602" s="1">
        <v>45716</v>
      </c>
      <c r="C4602" s="2">
        <v>0.66666666666666663</v>
      </c>
      <c r="D4602">
        <v>3</v>
      </c>
      <c r="E4602">
        <v>3.7</v>
      </c>
      <c r="F4602">
        <v>93</v>
      </c>
    </row>
    <row r="4603" spans="1:6" x14ac:dyDescent="0.35">
      <c r="A4603">
        <v>1975</v>
      </c>
      <c r="B4603" s="1">
        <v>45716</v>
      </c>
      <c r="C4603" s="2">
        <v>0.70833333333333337</v>
      </c>
      <c r="D4603">
        <v>3</v>
      </c>
      <c r="E4603">
        <v>3.7</v>
      </c>
      <c r="F4603">
        <v>95</v>
      </c>
    </row>
    <row r="4604" spans="1:6" x14ac:dyDescent="0.35">
      <c r="A4604">
        <v>1975</v>
      </c>
      <c r="B4604" s="1">
        <v>45716</v>
      </c>
      <c r="C4604" s="2">
        <v>0.75</v>
      </c>
      <c r="D4604">
        <v>3</v>
      </c>
      <c r="E4604">
        <v>3.8</v>
      </c>
      <c r="F4604">
        <v>95</v>
      </c>
    </row>
    <row r="4605" spans="1:6" x14ac:dyDescent="0.35">
      <c r="A4605">
        <v>1975</v>
      </c>
      <c r="B4605" s="1">
        <v>45716</v>
      </c>
      <c r="C4605" s="2">
        <v>0.79166666666666663</v>
      </c>
      <c r="D4605">
        <v>3</v>
      </c>
      <c r="E4605">
        <v>3.7</v>
      </c>
      <c r="F4605">
        <v>96</v>
      </c>
    </row>
    <row r="4606" spans="1:6" x14ac:dyDescent="0.35">
      <c r="A4606">
        <v>1975</v>
      </c>
      <c r="B4606" s="1">
        <v>45716</v>
      </c>
      <c r="C4606" s="2">
        <v>0.83333333333333337</v>
      </c>
      <c r="D4606">
        <v>3</v>
      </c>
      <c r="E4606">
        <v>3.8</v>
      </c>
      <c r="F4606">
        <v>95</v>
      </c>
    </row>
    <row r="4607" spans="1:6" x14ac:dyDescent="0.35">
      <c r="A4607">
        <v>1975</v>
      </c>
      <c r="B4607" s="1">
        <v>45716</v>
      </c>
      <c r="C4607" s="2">
        <v>0.875</v>
      </c>
      <c r="D4607">
        <v>3</v>
      </c>
      <c r="E4607">
        <v>3.7</v>
      </c>
      <c r="F4607">
        <v>95</v>
      </c>
    </row>
    <row r="4608" spans="1:6" x14ac:dyDescent="0.35">
      <c r="A4608">
        <v>1975</v>
      </c>
      <c r="B4608" s="1">
        <v>45716</v>
      </c>
      <c r="C4608" s="2">
        <v>0.91666666666666663</v>
      </c>
      <c r="D4608">
        <v>3</v>
      </c>
      <c r="E4608">
        <v>3.8</v>
      </c>
      <c r="F4608">
        <v>94</v>
      </c>
    </row>
    <row r="4609" spans="1:6" x14ac:dyDescent="0.35">
      <c r="A4609">
        <v>1975</v>
      </c>
      <c r="B4609" s="1">
        <v>45716</v>
      </c>
      <c r="C4609" s="2">
        <v>0.95833333333333337</v>
      </c>
      <c r="D4609">
        <v>3</v>
      </c>
      <c r="E4609">
        <v>3.5</v>
      </c>
      <c r="F4609">
        <v>96</v>
      </c>
    </row>
    <row r="4610" spans="1:6" x14ac:dyDescent="0.35">
      <c r="A4610">
        <v>1975</v>
      </c>
      <c r="B4610" s="1">
        <v>45717</v>
      </c>
      <c r="C4610" s="2">
        <v>0</v>
      </c>
      <c r="D4610">
        <v>3</v>
      </c>
      <c r="E4610">
        <v>3.3</v>
      </c>
      <c r="F4610">
        <v>96</v>
      </c>
    </row>
    <row r="4611" spans="1:6" x14ac:dyDescent="0.35">
      <c r="A4611">
        <v>1975</v>
      </c>
      <c r="B4611" s="1">
        <v>45717</v>
      </c>
      <c r="C4611" s="2">
        <v>4.1666666666666657E-2</v>
      </c>
      <c r="D4611">
        <v>3</v>
      </c>
      <c r="E4611">
        <v>3.1</v>
      </c>
      <c r="F4611">
        <v>97</v>
      </c>
    </row>
    <row r="4612" spans="1:6" x14ac:dyDescent="0.35">
      <c r="A4612">
        <v>1975</v>
      </c>
      <c r="B4612" s="1">
        <v>45717</v>
      </c>
      <c r="C4612" s="2">
        <v>8.3333333333333329E-2</v>
      </c>
      <c r="D4612">
        <v>3</v>
      </c>
      <c r="E4612">
        <v>3.1</v>
      </c>
      <c r="F4612">
        <v>99</v>
      </c>
    </row>
    <row r="4613" spans="1:6" x14ac:dyDescent="0.35">
      <c r="A4613">
        <v>1975</v>
      </c>
      <c r="B4613" s="1">
        <v>45717</v>
      </c>
      <c r="C4613" s="2">
        <v>0.125</v>
      </c>
      <c r="D4613">
        <v>3</v>
      </c>
      <c r="E4613">
        <v>3.3</v>
      </c>
      <c r="F4613">
        <v>96</v>
      </c>
    </row>
    <row r="4614" spans="1:6" x14ac:dyDescent="0.35">
      <c r="A4614">
        <v>1975</v>
      </c>
      <c r="B4614" s="1">
        <v>45717</v>
      </c>
      <c r="C4614" s="2">
        <v>0.16666666666666671</v>
      </c>
      <c r="D4614">
        <v>3</v>
      </c>
      <c r="E4614">
        <v>3.4</v>
      </c>
      <c r="F4614">
        <v>95</v>
      </c>
    </row>
    <row r="4615" spans="1:6" x14ac:dyDescent="0.35">
      <c r="A4615">
        <v>1975</v>
      </c>
      <c r="B4615" s="1">
        <v>45717</v>
      </c>
      <c r="C4615" s="2">
        <v>0.20833333333333329</v>
      </c>
      <c r="D4615">
        <v>3</v>
      </c>
      <c r="E4615">
        <v>3.4</v>
      </c>
      <c r="F4615">
        <v>96</v>
      </c>
    </row>
    <row r="4616" spans="1:6" x14ac:dyDescent="0.35">
      <c r="A4616">
        <v>1975</v>
      </c>
      <c r="B4616" s="1">
        <v>45717</v>
      </c>
      <c r="C4616" s="2">
        <v>0.25</v>
      </c>
      <c r="D4616">
        <v>3</v>
      </c>
      <c r="E4616">
        <v>3.1</v>
      </c>
      <c r="F4616">
        <v>96</v>
      </c>
    </row>
    <row r="4617" spans="1:6" x14ac:dyDescent="0.35">
      <c r="A4617">
        <v>1975</v>
      </c>
      <c r="B4617" s="1">
        <v>45717</v>
      </c>
      <c r="C4617" s="2">
        <v>0.29166666666666669</v>
      </c>
      <c r="D4617">
        <v>3</v>
      </c>
      <c r="E4617">
        <v>3.1</v>
      </c>
      <c r="F4617">
        <v>96</v>
      </c>
    </row>
    <row r="4618" spans="1:6" x14ac:dyDescent="0.35">
      <c r="A4618">
        <v>1975</v>
      </c>
      <c r="B4618" s="1">
        <v>45717</v>
      </c>
      <c r="C4618" s="2">
        <v>0.33333333333333331</v>
      </c>
      <c r="D4618">
        <v>3</v>
      </c>
      <c r="E4618">
        <v>3.4</v>
      </c>
      <c r="F4618">
        <v>95</v>
      </c>
    </row>
    <row r="4619" spans="1:6" x14ac:dyDescent="0.35">
      <c r="A4619">
        <v>1975</v>
      </c>
      <c r="B4619" s="1">
        <v>45717</v>
      </c>
      <c r="C4619" s="2">
        <v>0.375</v>
      </c>
      <c r="D4619">
        <v>3</v>
      </c>
      <c r="E4619">
        <v>4.8</v>
      </c>
      <c r="F4619">
        <v>85</v>
      </c>
    </row>
    <row r="4620" spans="1:6" x14ac:dyDescent="0.35">
      <c r="A4620">
        <v>1975</v>
      </c>
      <c r="B4620" s="1">
        <v>45717</v>
      </c>
      <c r="C4620" s="2">
        <v>0.41666666666666669</v>
      </c>
      <c r="D4620">
        <v>3</v>
      </c>
      <c r="E4620">
        <v>5.7</v>
      </c>
      <c r="F4620">
        <v>81</v>
      </c>
    </row>
    <row r="4621" spans="1:6" x14ac:dyDescent="0.35">
      <c r="A4621">
        <v>1975</v>
      </c>
      <c r="B4621" s="1">
        <v>45717</v>
      </c>
      <c r="C4621" s="2">
        <v>0.45833333333333331</v>
      </c>
      <c r="D4621">
        <v>3</v>
      </c>
      <c r="E4621">
        <v>4.3</v>
      </c>
      <c r="F4621">
        <v>87</v>
      </c>
    </row>
    <row r="4622" spans="1:6" x14ac:dyDescent="0.35">
      <c r="A4622">
        <v>1975</v>
      </c>
      <c r="B4622" s="1">
        <v>45717</v>
      </c>
      <c r="C4622" s="2">
        <v>0.5</v>
      </c>
      <c r="D4622">
        <v>3</v>
      </c>
      <c r="E4622">
        <v>4.2</v>
      </c>
      <c r="F4622">
        <v>89</v>
      </c>
    </row>
    <row r="4623" spans="1:6" x14ac:dyDescent="0.35">
      <c r="A4623">
        <v>1975</v>
      </c>
      <c r="B4623" s="1">
        <v>45717</v>
      </c>
      <c r="C4623" s="2">
        <v>0.54166666666666663</v>
      </c>
      <c r="D4623">
        <v>3</v>
      </c>
      <c r="E4623">
        <v>4.2</v>
      </c>
      <c r="F4623">
        <v>84</v>
      </c>
    </row>
    <row r="4624" spans="1:6" x14ac:dyDescent="0.35">
      <c r="A4624">
        <v>1975</v>
      </c>
      <c r="B4624" s="1">
        <v>45717</v>
      </c>
      <c r="C4624" s="2">
        <v>0.58333333333333337</v>
      </c>
      <c r="D4624">
        <v>3</v>
      </c>
      <c r="E4624">
        <v>4.8</v>
      </c>
      <c r="F4624">
        <v>83</v>
      </c>
    </row>
    <row r="4625" spans="1:6" x14ac:dyDescent="0.35">
      <c r="A4625">
        <v>1975</v>
      </c>
      <c r="B4625" s="1">
        <v>45717</v>
      </c>
      <c r="C4625" s="2">
        <v>0.625</v>
      </c>
      <c r="D4625">
        <v>3</v>
      </c>
      <c r="E4625">
        <v>5.3</v>
      </c>
      <c r="F4625">
        <v>83</v>
      </c>
    </row>
    <row r="4626" spans="1:6" x14ac:dyDescent="0.35">
      <c r="A4626">
        <v>1975</v>
      </c>
      <c r="B4626" s="1">
        <v>45717</v>
      </c>
      <c r="C4626" s="2">
        <v>0.66666666666666663</v>
      </c>
      <c r="D4626">
        <v>3</v>
      </c>
      <c r="E4626">
        <v>4.9000000000000004</v>
      </c>
      <c r="F4626">
        <v>83</v>
      </c>
    </row>
    <row r="4627" spans="1:6" x14ac:dyDescent="0.35">
      <c r="A4627">
        <v>1975</v>
      </c>
      <c r="B4627" s="1">
        <v>45717</v>
      </c>
      <c r="C4627" s="2">
        <v>0.70833333333333337</v>
      </c>
      <c r="D4627">
        <v>3</v>
      </c>
      <c r="E4627">
        <v>3.7</v>
      </c>
      <c r="F4627">
        <v>84</v>
      </c>
    </row>
    <row r="4628" spans="1:6" x14ac:dyDescent="0.35">
      <c r="A4628">
        <v>1975</v>
      </c>
      <c r="B4628" s="1">
        <v>45717</v>
      </c>
      <c r="C4628" s="2">
        <v>0.75</v>
      </c>
      <c r="D4628">
        <v>3</v>
      </c>
      <c r="E4628">
        <v>3.5</v>
      </c>
      <c r="F4628">
        <v>86</v>
      </c>
    </row>
    <row r="4629" spans="1:6" x14ac:dyDescent="0.35">
      <c r="A4629">
        <v>1975</v>
      </c>
      <c r="B4629" s="1">
        <v>45717</v>
      </c>
      <c r="C4629" s="2">
        <v>0.79166666666666663</v>
      </c>
      <c r="D4629">
        <v>3</v>
      </c>
      <c r="E4629">
        <v>2.7</v>
      </c>
      <c r="F4629">
        <v>91</v>
      </c>
    </row>
    <row r="4630" spans="1:6" x14ac:dyDescent="0.35">
      <c r="A4630">
        <v>1975</v>
      </c>
      <c r="B4630" s="1">
        <v>45717</v>
      </c>
      <c r="C4630" s="2">
        <v>0.83333333333333337</v>
      </c>
      <c r="D4630">
        <v>3</v>
      </c>
      <c r="E4630">
        <v>3</v>
      </c>
      <c r="F4630">
        <v>90</v>
      </c>
    </row>
    <row r="4631" spans="1:6" x14ac:dyDescent="0.35">
      <c r="A4631">
        <v>1975</v>
      </c>
      <c r="B4631" s="1">
        <v>45717</v>
      </c>
      <c r="C4631" s="2">
        <v>0.875</v>
      </c>
      <c r="D4631">
        <v>3</v>
      </c>
      <c r="E4631">
        <v>2.8</v>
      </c>
      <c r="F4631">
        <v>92</v>
      </c>
    </row>
    <row r="4632" spans="1:6" x14ac:dyDescent="0.35">
      <c r="A4632">
        <v>1975</v>
      </c>
      <c r="B4632" s="1">
        <v>45717</v>
      </c>
      <c r="C4632" s="2">
        <v>0.91666666666666663</v>
      </c>
      <c r="D4632">
        <v>3</v>
      </c>
      <c r="E4632">
        <v>2.8</v>
      </c>
      <c r="F4632">
        <v>93</v>
      </c>
    </row>
    <row r="4633" spans="1:6" x14ac:dyDescent="0.35">
      <c r="A4633">
        <v>1975</v>
      </c>
      <c r="B4633" s="1">
        <v>45717</v>
      </c>
      <c r="C4633" s="2">
        <v>0.95833333333333337</v>
      </c>
      <c r="D4633">
        <v>3</v>
      </c>
      <c r="E4633">
        <v>2.9</v>
      </c>
      <c r="F4633">
        <v>93</v>
      </c>
    </row>
    <row r="4634" spans="1:6" x14ac:dyDescent="0.35">
      <c r="A4634">
        <v>1975</v>
      </c>
      <c r="B4634" s="1">
        <v>45718</v>
      </c>
      <c r="C4634" s="2">
        <v>0</v>
      </c>
      <c r="D4634">
        <v>3</v>
      </c>
      <c r="E4634">
        <v>2.2999999999999998</v>
      </c>
      <c r="F4634">
        <v>94</v>
      </c>
    </row>
    <row r="4635" spans="1:6" x14ac:dyDescent="0.35">
      <c r="A4635">
        <v>1975</v>
      </c>
      <c r="B4635" s="1">
        <v>45718</v>
      </c>
      <c r="C4635" s="2">
        <v>4.1666666666666657E-2</v>
      </c>
      <c r="D4635">
        <v>3</v>
      </c>
      <c r="E4635">
        <v>1.8</v>
      </c>
      <c r="F4635">
        <v>96</v>
      </c>
    </row>
    <row r="4636" spans="1:6" x14ac:dyDescent="0.35">
      <c r="A4636">
        <v>1975</v>
      </c>
      <c r="B4636" s="1">
        <v>45718</v>
      </c>
      <c r="C4636" s="2">
        <v>8.3333333333333329E-2</v>
      </c>
      <c r="D4636">
        <v>3</v>
      </c>
      <c r="E4636">
        <v>1.4</v>
      </c>
      <c r="F4636">
        <v>99</v>
      </c>
    </row>
    <row r="4637" spans="1:6" x14ac:dyDescent="0.35">
      <c r="A4637">
        <v>1975</v>
      </c>
      <c r="B4637" s="1">
        <v>45718</v>
      </c>
      <c r="C4637" s="2">
        <v>0.125</v>
      </c>
      <c r="D4637">
        <v>3</v>
      </c>
      <c r="E4637">
        <v>1.3</v>
      </c>
      <c r="F4637">
        <v>100</v>
      </c>
    </row>
    <row r="4638" spans="1:6" x14ac:dyDescent="0.35">
      <c r="A4638">
        <v>1975</v>
      </c>
      <c r="B4638" s="1">
        <v>45718</v>
      </c>
      <c r="C4638" s="2">
        <v>0.16666666666666671</v>
      </c>
      <c r="D4638">
        <v>3</v>
      </c>
      <c r="E4638">
        <v>1.5</v>
      </c>
      <c r="F4638">
        <v>99</v>
      </c>
    </row>
    <row r="4639" spans="1:6" x14ac:dyDescent="0.35">
      <c r="A4639">
        <v>1975</v>
      </c>
      <c r="B4639" s="1">
        <v>45718</v>
      </c>
      <c r="C4639" s="2">
        <v>0.20833333333333329</v>
      </c>
      <c r="D4639">
        <v>3</v>
      </c>
      <c r="E4639">
        <v>1.3</v>
      </c>
      <c r="F4639">
        <v>98</v>
      </c>
    </row>
    <row r="4640" spans="1:6" x14ac:dyDescent="0.35">
      <c r="A4640">
        <v>1975</v>
      </c>
      <c r="B4640" s="1">
        <v>45718</v>
      </c>
      <c r="C4640" s="2">
        <v>0.25</v>
      </c>
      <c r="D4640">
        <v>3</v>
      </c>
      <c r="E4640">
        <v>1.1000000000000001</v>
      </c>
      <c r="F4640">
        <v>98</v>
      </c>
    </row>
    <row r="4641" spans="1:6" x14ac:dyDescent="0.35">
      <c r="A4641">
        <v>1975</v>
      </c>
      <c r="B4641" s="1">
        <v>45718</v>
      </c>
      <c r="C4641" s="2">
        <v>0.29166666666666669</v>
      </c>
      <c r="D4641">
        <v>3</v>
      </c>
      <c r="E4641">
        <v>0.9</v>
      </c>
      <c r="F4641">
        <v>99</v>
      </c>
    </row>
    <row r="4642" spans="1:6" x14ac:dyDescent="0.35">
      <c r="A4642">
        <v>1975</v>
      </c>
      <c r="B4642" s="1">
        <v>45718</v>
      </c>
      <c r="C4642" s="2">
        <v>0.33333333333333331</v>
      </c>
      <c r="D4642">
        <v>3</v>
      </c>
      <c r="E4642">
        <v>0.9</v>
      </c>
      <c r="F4642">
        <v>98</v>
      </c>
    </row>
    <row r="4643" spans="1:6" x14ac:dyDescent="0.35">
      <c r="A4643">
        <v>1975</v>
      </c>
      <c r="B4643" s="1">
        <v>45718</v>
      </c>
      <c r="C4643" s="2">
        <v>0.375</v>
      </c>
      <c r="D4643">
        <v>3</v>
      </c>
      <c r="E4643">
        <v>2</v>
      </c>
      <c r="F4643">
        <v>94</v>
      </c>
    </row>
    <row r="4644" spans="1:6" x14ac:dyDescent="0.35">
      <c r="A4644">
        <v>1975</v>
      </c>
      <c r="B4644" s="1">
        <v>45718</v>
      </c>
      <c r="C4644" s="2">
        <v>0.41666666666666669</v>
      </c>
      <c r="D4644">
        <v>3</v>
      </c>
      <c r="E4644">
        <v>3.2</v>
      </c>
      <c r="F4644">
        <v>91</v>
      </c>
    </row>
    <row r="4645" spans="1:6" x14ac:dyDescent="0.35">
      <c r="A4645">
        <v>1975</v>
      </c>
      <c r="B4645" s="1">
        <v>45718</v>
      </c>
      <c r="C4645" s="2">
        <v>0.45833333333333331</v>
      </c>
      <c r="D4645">
        <v>3</v>
      </c>
      <c r="E4645">
        <v>4.4000000000000004</v>
      </c>
      <c r="F4645">
        <v>83</v>
      </c>
    </row>
    <row r="4646" spans="1:6" x14ac:dyDescent="0.35">
      <c r="A4646">
        <v>1975</v>
      </c>
      <c r="B4646" s="1">
        <v>45718</v>
      </c>
      <c r="C4646" s="2">
        <v>0.5</v>
      </c>
      <c r="D4646">
        <v>3</v>
      </c>
      <c r="E4646">
        <v>5.3</v>
      </c>
      <c r="F4646">
        <v>79</v>
      </c>
    </row>
    <row r="4647" spans="1:6" x14ac:dyDescent="0.35">
      <c r="A4647">
        <v>1975</v>
      </c>
      <c r="B4647" s="1">
        <v>45718</v>
      </c>
      <c r="C4647" s="2">
        <v>0.54166666666666663</v>
      </c>
      <c r="D4647">
        <v>3</v>
      </c>
      <c r="E4647">
        <v>5.7</v>
      </c>
      <c r="F4647">
        <v>78</v>
      </c>
    </row>
    <row r="4648" spans="1:6" x14ac:dyDescent="0.35">
      <c r="A4648">
        <v>1975</v>
      </c>
      <c r="B4648" s="1">
        <v>45718</v>
      </c>
      <c r="C4648" s="2">
        <v>0.58333333333333337</v>
      </c>
      <c r="D4648">
        <v>3</v>
      </c>
      <c r="E4648">
        <v>6.1</v>
      </c>
      <c r="F4648">
        <v>77</v>
      </c>
    </row>
    <row r="4649" spans="1:6" x14ac:dyDescent="0.35">
      <c r="A4649">
        <v>1975</v>
      </c>
      <c r="B4649" s="1">
        <v>45718</v>
      </c>
      <c r="C4649" s="2">
        <v>0.625</v>
      </c>
      <c r="D4649">
        <v>3</v>
      </c>
      <c r="E4649">
        <v>6.1</v>
      </c>
      <c r="F4649">
        <v>77</v>
      </c>
    </row>
    <row r="4650" spans="1:6" x14ac:dyDescent="0.35">
      <c r="A4650">
        <v>1975</v>
      </c>
      <c r="B4650" s="1">
        <v>45718</v>
      </c>
      <c r="C4650" s="2">
        <v>0.66666666666666663</v>
      </c>
      <c r="D4650">
        <v>3</v>
      </c>
      <c r="E4650">
        <v>6.1</v>
      </c>
      <c r="F4650">
        <v>77</v>
      </c>
    </row>
    <row r="4651" spans="1:6" x14ac:dyDescent="0.35">
      <c r="A4651">
        <v>1975</v>
      </c>
      <c r="B4651" s="1">
        <v>45718</v>
      </c>
      <c r="C4651" s="2">
        <v>0.70833333333333337</v>
      </c>
      <c r="D4651">
        <v>3</v>
      </c>
      <c r="E4651">
        <v>6.1</v>
      </c>
      <c r="F4651">
        <v>77</v>
      </c>
    </row>
    <row r="4652" spans="1:6" x14ac:dyDescent="0.35">
      <c r="A4652">
        <v>1975</v>
      </c>
      <c r="B4652" s="1">
        <v>45718</v>
      </c>
      <c r="C4652" s="2">
        <v>0.75</v>
      </c>
      <c r="D4652">
        <v>3</v>
      </c>
      <c r="E4652">
        <v>6</v>
      </c>
      <c r="F4652">
        <v>77</v>
      </c>
    </row>
    <row r="4653" spans="1:6" x14ac:dyDescent="0.35">
      <c r="A4653">
        <v>1975</v>
      </c>
      <c r="B4653" s="1">
        <v>45718</v>
      </c>
      <c r="C4653" s="2">
        <v>0.79166666666666663</v>
      </c>
      <c r="D4653">
        <v>3</v>
      </c>
      <c r="E4653">
        <v>5.9</v>
      </c>
      <c r="F4653">
        <v>76</v>
      </c>
    </row>
    <row r="4654" spans="1:6" x14ac:dyDescent="0.35">
      <c r="A4654">
        <v>1975</v>
      </c>
      <c r="B4654" s="1">
        <v>45718</v>
      </c>
      <c r="C4654" s="2">
        <v>0.83333333333333337</v>
      </c>
      <c r="D4654">
        <v>3</v>
      </c>
      <c r="E4654">
        <v>6</v>
      </c>
      <c r="F4654">
        <v>76</v>
      </c>
    </row>
    <row r="4655" spans="1:6" x14ac:dyDescent="0.35">
      <c r="A4655">
        <v>1975</v>
      </c>
      <c r="B4655" s="1">
        <v>45718</v>
      </c>
      <c r="C4655" s="2">
        <v>0.875</v>
      </c>
      <c r="D4655">
        <v>3</v>
      </c>
      <c r="E4655">
        <v>6.1</v>
      </c>
      <c r="F4655">
        <v>75</v>
      </c>
    </row>
    <row r="4656" spans="1:6" x14ac:dyDescent="0.35">
      <c r="A4656">
        <v>1975</v>
      </c>
      <c r="B4656" s="1">
        <v>45718</v>
      </c>
      <c r="C4656" s="2">
        <v>0.91666666666666663</v>
      </c>
      <c r="D4656">
        <v>3</v>
      </c>
      <c r="E4656">
        <v>4.5999999999999996</v>
      </c>
      <c r="F4656">
        <v>79</v>
      </c>
    </row>
    <row r="4657" spans="1:6" x14ac:dyDescent="0.35">
      <c r="A4657">
        <v>1975</v>
      </c>
      <c r="B4657" s="1">
        <v>45718</v>
      </c>
      <c r="C4657" s="2">
        <v>0.95833333333333337</v>
      </c>
      <c r="D4657">
        <v>3</v>
      </c>
      <c r="E4657">
        <v>3.8</v>
      </c>
      <c r="F4657">
        <v>83</v>
      </c>
    </row>
    <row r="4658" spans="1:6" x14ac:dyDescent="0.35">
      <c r="A4658">
        <v>1975</v>
      </c>
      <c r="B4658" s="1">
        <v>45719</v>
      </c>
      <c r="C4658" s="2">
        <v>0</v>
      </c>
      <c r="D4658">
        <v>3</v>
      </c>
      <c r="E4658">
        <v>3.1</v>
      </c>
      <c r="F4658">
        <v>84</v>
      </c>
    </row>
    <row r="4659" spans="1:6" x14ac:dyDescent="0.35">
      <c r="A4659">
        <v>1975</v>
      </c>
      <c r="B4659" s="1">
        <v>45719</v>
      </c>
      <c r="C4659" s="2">
        <v>4.1666666666666657E-2</v>
      </c>
      <c r="D4659">
        <v>3</v>
      </c>
      <c r="E4659">
        <v>2.4</v>
      </c>
      <c r="F4659">
        <v>87</v>
      </c>
    </row>
    <row r="4660" spans="1:6" x14ac:dyDescent="0.35">
      <c r="A4660">
        <v>1975</v>
      </c>
      <c r="B4660" s="1">
        <v>45719</v>
      </c>
      <c r="C4660" s="2">
        <v>8.3333333333333329E-2</v>
      </c>
      <c r="D4660">
        <v>3</v>
      </c>
      <c r="E4660">
        <v>1.8</v>
      </c>
      <c r="F4660">
        <v>90</v>
      </c>
    </row>
    <row r="4661" spans="1:6" x14ac:dyDescent="0.35">
      <c r="A4661">
        <v>1975</v>
      </c>
      <c r="B4661" s="1">
        <v>45719</v>
      </c>
      <c r="C4661" s="2">
        <v>0.125</v>
      </c>
      <c r="D4661">
        <v>3</v>
      </c>
      <c r="E4661">
        <v>0.8</v>
      </c>
      <c r="F4661">
        <v>94</v>
      </c>
    </row>
    <row r="4662" spans="1:6" x14ac:dyDescent="0.35">
      <c r="A4662">
        <v>1975</v>
      </c>
      <c r="B4662" s="1">
        <v>45719</v>
      </c>
      <c r="C4662" s="2">
        <v>0.16666666666666671</v>
      </c>
      <c r="D4662">
        <v>3</v>
      </c>
      <c r="E4662">
        <v>0.4</v>
      </c>
      <c r="F4662">
        <v>96</v>
      </c>
    </row>
    <row r="4663" spans="1:6" x14ac:dyDescent="0.35">
      <c r="A4663">
        <v>1975</v>
      </c>
      <c r="B4663" s="1">
        <v>45719</v>
      </c>
      <c r="C4663" s="2">
        <v>0.20833333333333329</v>
      </c>
      <c r="D4663">
        <v>3</v>
      </c>
      <c r="E4663">
        <v>-0.1</v>
      </c>
      <c r="F4663">
        <v>95</v>
      </c>
    </row>
    <row r="4664" spans="1:6" x14ac:dyDescent="0.35">
      <c r="A4664">
        <v>1975</v>
      </c>
      <c r="B4664" s="1">
        <v>45719</v>
      </c>
      <c r="C4664" s="2">
        <v>0.25</v>
      </c>
      <c r="D4664">
        <v>3</v>
      </c>
      <c r="E4664">
        <v>-0.8</v>
      </c>
      <c r="F4664">
        <v>92</v>
      </c>
    </row>
    <row r="4665" spans="1:6" x14ac:dyDescent="0.35">
      <c r="A4665">
        <v>1975</v>
      </c>
      <c r="B4665" s="1">
        <v>45719</v>
      </c>
      <c r="C4665" s="2">
        <v>0.29166666666666669</v>
      </c>
      <c r="D4665">
        <v>3</v>
      </c>
      <c r="E4665">
        <v>2.2999999999999998</v>
      </c>
      <c r="F4665">
        <v>87</v>
      </c>
    </row>
    <row r="4666" spans="1:6" x14ac:dyDescent="0.35">
      <c r="A4666">
        <v>1975</v>
      </c>
      <c r="B4666" s="1">
        <v>45719</v>
      </c>
      <c r="C4666" s="2">
        <v>0.33333333333333331</v>
      </c>
      <c r="D4666">
        <v>3</v>
      </c>
      <c r="E4666">
        <v>3.4</v>
      </c>
      <c r="F4666">
        <v>80</v>
      </c>
    </row>
    <row r="4667" spans="1:6" x14ac:dyDescent="0.35">
      <c r="A4667">
        <v>1975</v>
      </c>
      <c r="B4667" s="1">
        <v>45719</v>
      </c>
      <c r="C4667" s="2">
        <v>0.375</v>
      </c>
      <c r="D4667">
        <v>3</v>
      </c>
      <c r="E4667">
        <v>5.0999999999999996</v>
      </c>
      <c r="F4667">
        <v>71</v>
      </c>
    </row>
    <row r="4668" spans="1:6" x14ac:dyDescent="0.35">
      <c r="A4668">
        <v>1975</v>
      </c>
      <c r="B4668" s="1">
        <v>45719</v>
      </c>
      <c r="C4668" s="2">
        <v>0.41666666666666669</v>
      </c>
      <c r="D4668">
        <v>3</v>
      </c>
      <c r="E4668">
        <v>6.6</v>
      </c>
      <c r="F4668">
        <v>67</v>
      </c>
    </row>
    <row r="4669" spans="1:6" x14ac:dyDescent="0.35">
      <c r="A4669">
        <v>1975</v>
      </c>
      <c r="B4669" s="1">
        <v>45719</v>
      </c>
      <c r="C4669" s="2">
        <v>0.45833333333333331</v>
      </c>
      <c r="D4669">
        <v>3</v>
      </c>
      <c r="E4669">
        <v>8.3000000000000007</v>
      </c>
      <c r="F4669">
        <v>61</v>
      </c>
    </row>
    <row r="4670" spans="1:6" x14ac:dyDescent="0.35">
      <c r="A4670">
        <v>1975</v>
      </c>
      <c r="B4670" s="1">
        <v>45719</v>
      </c>
      <c r="C4670" s="2">
        <v>0.5</v>
      </c>
      <c r="D4670">
        <v>3</v>
      </c>
      <c r="E4670">
        <v>8.5</v>
      </c>
      <c r="F4670">
        <v>58</v>
      </c>
    </row>
    <row r="4671" spans="1:6" x14ac:dyDescent="0.35">
      <c r="A4671">
        <v>1975</v>
      </c>
      <c r="B4671" s="1">
        <v>45719</v>
      </c>
      <c r="C4671" s="2">
        <v>0.54166666666666663</v>
      </c>
      <c r="D4671">
        <v>3</v>
      </c>
      <c r="E4671">
        <v>8.9</v>
      </c>
      <c r="F4671">
        <v>59</v>
      </c>
    </row>
    <row r="4672" spans="1:6" x14ac:dyDescent="0.35">
      <c r="A4672">
        <v>1975</v>
      </c>
      <c r="B4672" s="1">
        <v>45719</v>
      </c>
      <c r="C4672" s="2">
        <v>0.58333333333333337</v>
      </c>
      <c r="D4672">
        <v>3</v>
      </c>
      <c r="E4672">
        <v>8.9</v>
      </c>
      <c r="F4672">
        <v>60</v>
      </c>
    </row>
    <row r="4673" spans="1:6" x14ac:dyDescent="0.35">
      <c r="A4673">
        <v>1975</v>
      </c>
      <c r="B4673" s="1">
        <v>45719</v>
      </c>
      <c r="C4673" s="2">
        <v>0.625</v>
      </c>
      <c r="D4673">
        <v>3</v>
      </c>
      <c r="E4673">
        <v>8.8000000000000007</v>
      </c>
      <c r="F4673">
        <v>60</v>
      </c>
    </row>
    <row r="4674" spans="1:6" x14ac:dyDescent="0.35">
      <c r="A4674">
        <v>1975</v>
      </c>
      <c r="B4674" s="1">
        <v>45719</v>
      </c>
      <c r="C4674" s="2">
        <v>0.66666666666666663</v>
      </c>
      <c r="D4674">
        <v>3</v>
      </c>
      <c r="E4674">
        <v>8.6</v>
      </c>
      <c r="F4674">
        <v>61</v>
      </c>
    </row>
    <row r="4675" spans="1:6" x14ac:dyDescent="0.35">
      <c r="A4675">
        <v>1975</v>
      </c>
      <c r="B4675" s="1">
        <v>45719</v>
      </c>
      <c r="C4675" s="2">
        <v>0.70833333333333337</v>
      </c>
      <c r="D4675">
        <v>3</v>
      </c>
      <c r="E4675">
        <v>7.4</v>
      </c>
      <c r="F4675">
        <v>65</v>
      </c>
    </row>
    <row r="4676" spans="1:6" x14ac:dyDescent="0.35">
      <c r="A4676">
        <v>1975</v>
      </c>
      <c r="B4676" s="1">
        <v>45719</v>
      </c>
      <c r="C4676" s="2">
        <v>0.75</v>
      </c>
      <c r="D4676">
        <v>3</v>
      </c>
      <c r="E4676">
        <v>6.5</v>
      </c>
      <c r="F4676">
        <v>70</v>
      </c>
    </row>
    <row r="4677" spans="1:6" x14ac:dyDescent="0.35">
      <c r="A4677">
        <v>1975</v>
      </c>
      <c r="B4677" s="1">
        <v>45719</v>
      </c>
      <c r="C4677" s="2">
        <v>0.79166666666666663</v>
      </c>
      <c r="D4677">
        <v>3</v>
      </c>
      <c r="E4677">
        <v>4.3</v>
      </c>
      <c r="F4677">
        <v>79</v>
      </c>
    </row>
    <row r="4678" spans="1:6" x14ac:dyDescent="0.35">
      <c r="A4678">
        <v>1975</v>
      </c>
      <c r="B4678" s="1">
        <v>45719</v>
      </c>
      <c r="C4678" s="2">
        <v>0.83333333333333337</v>
      </c>
      <c r="D4678">
        <v>3</v>
      </c>
      <c r="E4678">
        <v>2.9</v>
      </c>
      <c r="F4678">
        <v>82</v>
      </c>
    </row>
    <row r="4679" spans="1:6" x14ac:dyDescent="0.35">
      <c r="A4679">
        <v>1975</v>
      </c>
      <c r="B4679" s="1">
        <v>45719</v>
      </c>
      <c r="C4679" s="2">
        <v>0.875</v>
      </c>
      <c r="D4679">
        <v>3</v>
      </c>
      <c r="E4679">
        <v>3.4</v>
      </c>
      <c r="F4679">
        <v>85</v>
      </c>
    </row>
    <row r="4680" spans="1:6" x14ac:dyDescent="0.35">
      <c r="A4680">
        <v>1975</v>
      </c>
      <c r="B4680" s="1">
        <v>45719</v>
      </c>
      <c r="C4680" s="2">
        <v>0.91666666666666663</v>
      </c>
      <c r="D4680">
        <v>3</v>
      </c>
      <c r="E4680">
        <v>2.8</v>
      </c>
      <c r="F4680">
        <v>87</v>
      </c>
    </row>
    <row r="4681" spans="1:6" x14ac:dyDescent="0.35">
      <c r="A4681">
        <v>1975</v>
      </c>
      <c r="B4681" s="1">
        <v>45719</v>
      </c>
      <c r="C4681" s="2">
        <v>0.95833333333333337</v>
      </c>
      <c r="D4681">
        <v>3</v>
      </c>
      <c r="E4681">
        <v>1.3</v>
      </c>
      <c r="F4681">
        <v>91</v>
      </c>
    </row>
    <row r="4682" spans="1:6" x14ac:dyDescent="0.35">
      <c r="A4682">
        <v>1975</v>
      </c>
      <c r="B4682" s="1">
        <v>45720</v>
      </c>
      <c r="C4682" s="2">
        <v>0</v>
      </c>
      <c r="D4682">
        <v>3</v>
      </c>
      <c r="E4682">
        <v>1.1000000000000001</v>
      </c>
      <c r="F4682">
        <v>91</v>
      </c>
    </row>
    <row r="4683" spans="1:6" x14ac:dyDescent="0.35">
      <c r="A4683">
        <v>1975</v>
      </c>
      <c r="B4683" s="1">
        <v>45720</v>
      </c>
      <c r="C4683" s="2">
        <v>4.1666666666666657E-2</v>
      </c>
      <c r="D4683">
        <v>3</v>
      </c>
      <c r="E4683">
        <v>1.9</v>
      </c>
      <c r="F4683">
        <v>89</v>
      </c>
    </row>
    <row r="4684" spans="1:6" x14ac:dyDescent="0.35">
      <c r="A4684">
        <v>1975</v>
      </c>
      <c r="B4684" s="1">
        <v>45720</v>
      </c>
      <c r="C4684" s="2">
        <v>8.3333333333333329E-2</v>
      </c>
      <c r="D4684">
        <v>3</v>
      </c>
      <c r="E4684">
        <v>0.9</v>
      </c>
      <c r="F4684">
        <v>96</v>
      </c>
    </row>
    <row r="4685" spans="1:6" x14ac:dyDescent="0.35">
      <c r="A4685">
        <v>1975</v>
      </c>
      <c r="B4685" s="1">
        <v>45720</v>
      </c>
      <c r="C4685" s="2">
        <v>0.125</v>
      </c>
      <c r="D4685">
        <v>3</v>
      </c>
      <c r="E4685">
        <v>2.5</v>
      </c>
      <c r="F4685">
        <v>86</v>
      </c>
    </row>
    <row r="4686" spans="1:6" x14ac:dyDescent="0.35">
      <c r="A4686">
        <v>1975</v>
      </c>
      <c r="B4686" s="1">
        <v>45720</v>
      </c>
      <c r="C4686" s="2">
        <v>0.16666666666666671</v>
      </c>
      <c r="D4686">
        <v>3</v>
      </c>
      <c r="E4686">
        <v>1</v>
      </c>
      <c r="F4686">
        <v>92</v>
      </c>
    </row>
    <row r="4687" spans="1:6" x14ac:dyDescent="0.35">
      <c r="A4687">
        <v>1975</v>
      </c>
      <c r="B4687" s="1">
        <v>45720</v>
      </c>
      <c r="C4687" s="2">
        <v>0.20833333333333329</v>
      </c>
      <c r="D4687">
        <v>3</v>
      </c>
      <c r="E4687">
        <v>-1.2</v>
      </c>
      <c r="F4687">
        <v>93</v>
      </c>
    </row>
    <row r="4688" spans="1:6" x14ac:dyDescent="0.35">
      <c r="A4688">
        <v>1975</v>
      </c>
      <c r="B4688" s="1">
        <v>45720</v>
      </c>
      <c r="C4688" s="2">
        <v>0.25</v>
      </c>
      <c r="D4688">
        <v>3</v>
      </c>
      <c r="E4688">
        <v>0.4</v>
      </c>
      <c r="F4688">
        <v>92</v>
      </c>
    </row>
    <row r="4689" spans="1:6" x14ac:dyDescent="0.35">
      <c r="A4689">
        <v>1975</v>
      </c>
      <c r="B4689" s="1">
        <v>45720</v>
      </c>
      <c r="C4689" s="2">
        <v>0.29166666666666669</v>
      </c>
      <c r="D4689">
        <v>3</v>
      </c>
      <c r="E4689">
        <v>0</v>
      </c>
      <c r="F4689">
        <v>90</v>
      </c>
    </row>
    <row r="4690" spans="1:6" x14ac:dyDescent="0.35">
      <c r="A4690">
        <v>1975</v>
      </c>
      <c r="B4690" s="1">
        <v>45720</v>
      </c>
      <c r="C4690" s="2">
        <v>0.33333333333333331</v>
      </c>
      <c r="D4690">
        <v>3</v>
      </c>
      <c r="E4690">
        <v>4</v>
      </c>
      <c r="F4690">
        <v>75</v>
      </c>
    </row>
    <row r="4691" spans="1:6" x14ac:dyDescent="0.35">
      <c r="A4691">
        <v>1975</v>
      </c>
      <c r="B4691" s="1">
        <v>45720</v>
      </c>
      <c r="C4691" s="2">
        <v>0.375</v>
      </c>
      <c r="D4691">
        <v>3</v>
      </c>
      <c r="E4691">
        <v>6</v>
      </c>
      <c r="F4691">
        <v>66</v>
      </c>
    </row>
    <row r="4692" spans="1:6" x14ac:dyDescent="0.35">
      <c r="A4692">
        <v>1975</v>
      </c>
      <c r="B4692" s="1">
        <v>45720</v>
      </c>
      <c r="C4692" s="2">
        <v>0.41666666666666669</v>
      </c>
      <c r="D4692">
        <v>3</v>
      </c>
      <c r="E4692">
        <v>7.4</v>
      </c>
      <c r="F4692">
        <v>65</v>
      </c>
    </row>
    <row r="4693" spans="1:6" x14ac:dyDescent="0.35">
      <c r="A4693">
        <v>1975</v>
      </c>
      <c r="B4693" s="1">
        <v>45720</v>
      </c>
      <c r="C4693" s="2">
        <v>0.45833333333333331</v>
      </c>
      <c r="D4693">
        <v>3</v>
      </c>
      <c r="E4693">
        <v>9</v>
      </c>
      <c r="F4693">
        <v>67</v>
      </c>
    </row>
    <row r="4694" spans="1:6" x14ac:dyDescent="0.35">
      <c r="A4694">
        <v>1975</v>
      </c>
      <c r="B4694" s="1">
        <v>45720</v>
      </c>
      <c r="C4694" s="2">
        <v>0.5</v>
      </c>
      <c r="D4694">
        <v>3</v>
      </c>
      <c r="E4694">
        <v>8.6</v>
      </c>
      <c r="F4694">
        <v>73</v>
      </c>
    </row>
    <row r="4695" spans="1:6" x14ac:dyDescent="0.35">
      <c r="A4695">
        <v>1975</v>
      </c>
      <c r="B4695" s="1">
        <v>45720</v>
      </c>
      <c r="C4695" s="2">
        <v>0.54166666666666663</v>
      </c>
      <c r="D4695">
        <v>3</v>
      </c>
      <c r="E4695">
        <v>8.3000000000000007</v>
      </c>
      <c r="F4695">
        <v>77</v>
      </c>
    </row>
    <row r="4696" spans="1:6" x14ac:dyDescent="0.35">
      <c r="A4696">
        <v>1975</v>
      </c>
      <c r="B4696" s="1">
        <v>45720</v>
      </c>
      <c r="C4696" s="2">
        <v>0.58333333333333337</v>
      </c>
      <c r="D4696">
        <v>3</v>
      </c>
      <c r="E4696">
        <v>9.3000000000000007</v>
      </c>
      <c r="F4696">
        <v>73</v>
      </c>
    </row>
    <row r="4697" spans="1:6" x14ac:dyDescent="0.35">
      <c r="A4697">
        <v>1975</v>
      </c>
      <c r="B4697" s="1">
        <v>45720</v>
      </c>
      <c r="C4697" s="2">
        <v>0.625</v>
      </c>
      <c r="D4697">
        <v>3</v>
      </c>
      <c r="E4697">
        <v>10</v>
      </c>
      <c r="F4697">
        <v>71</v>
      </c>
    </row>
    <row r="4698" spans="1:6" x14ac:dyDescent="0.35">
      <c r="A4698">
        <v>1975</v>
      </c>
      <c r="B4698" s="1">
        <v>45720</v>
      </c>
      <c r="C4698" s="2">
        <v>0.66666666666666663</v>
      </c>
      <c r="D4698">
        <v>3</v>
      </c>
      <c r="E4698">
        <v>10</v>
      </c>
      <c r="F4698">
        <v>72</v>
      </c>
    </row>
    <row r="4699" spans="1:6" x14ac:dyDescent="0.35">
      <c r="A4699">
        <v>1975</v>
      </c>
      <c r="B4699" s="1">
        <v>45720</v>
      </c>
      <c r="C4699" s="2">
        <v>0.70833333333333337</v>
      </c>
      <c r="D4699">
        <v>3</v>
      </c>
      <c r="E4699">
        <v>8.9</v>
      </c>
      <c r="F4699">
        <v>76</v>
      </c>
    </row>
    <row r="4700" spans="1:6" x14ac:dyDescent="0.35">
      <c r="A4700">
        <v>1975</v>
      </c>
      <c r="B4700" s="1">
        <v>45720</v>
      </c>
      <c r="C4700" s="2">
        <v>0.75</v>
      </c>
      <c r="D4700">
        <v>3</v>
      </c>
      <c r="E4700">
        <v>6.7</v>
      </c>
      <c r="F4700">
        <v>83</v>
      </c>
    </row>
    <row r="4701" spans="1:6" x14ac:dyDescent="0.35">
      <c r="A4701">
        <v>1975</v>
      </c>
      <c r="B4701" s="1">
        <v>45720</v>
      </c>
      <c r="C4701" s="2">
        <v>0.79166666666666663</v>
      </c>
      <c r="D4701">
        <v>3</v>
      </c>
      <c r="E4701">
        <v>6.7</v>
      </c>
      <c r="F4701">
        <v>83</v>
      </c>
    </row>
    <row r="4702" spans="1:6" x14ac:dyDescent="0.35">
      <c r="A4702">
        <v>1975</v>
      </c>
      <c r="B4702" s="1">
        <v>45720</v>
      </c>
      <c r="C4702" s="2">
        <v>0.83333333333333337</v>
      </c>
      <c r="D4702">
        <v>3</v>
      </c>
      <c r="E4702">
        <v>6.3</v>
      </c>
      <c r="F4702">
        <v>86</v>
      </c>
    </row>
    <row r="4703" spans="1:6" x14ac:dyDescent="0.35">
      <c r="A4703">
        <v>1975</v>
      </c>
      <c r="B4703" s="1">
        <v>45720</v>
      </c>
      <c r="C4703" s="2">
        <v>0.875</v>
      </c>
      <c r="D4703">
        <v>3</v>
      </c>
      <c r="E4703">
        <v>4.0999999999999996</v>
      </c>
      <c r="F4703">
        <v>90</v>
      </c>
    </row>
    <row r="4704" spans="1:6" x14ac:dyDescent="0.35">
      <c r="A4704">
        <v>1975</v>
      </c>
      <c r="B4704" s="1">
        <v>45720</v>
      </c>
      <c r="C4704" s="2">
        <v>0.91666666666666663</v>
      </c>
      <c r="D4704">
        <v>3</v>
      </c>
      <c r="E4704">
        <v>5.0999999999999996</v>
      </c>
      <c r="F4704">
        <v>86</v>
      </c>
    </row>
    <row r="4705" spans="1:6" x14ac:dyDescent="0.35">
      <c r="A4705">
        <v>1975</v>
      </c>
      <c r="B4705" s="1">
        <v>45720</v>
      </c>
      <c r="C4705" s="2">
        <v>0.95833333333333337</v>
      </c>
      <c r="D4705">
        <v>3</v>
      </c>
      <c r="E4705">
        <v>4.5999999999999996</v>
      </c>
      <c r="F4705">
        <v>88</v>
      </c>
    </row>
    <row r="4706" spans="1:6" x14ac:dyDescent="0.35">
      <c r="A4706">
        <v>1975</v>
      </c>
      <c r="B4706" s="1">
        <v>45721</v>
      </c>
      <c r="C4706" s="2">
        <v>0</v>
      </c>
      <c r="D4706">
        <v>3</v>
      </c>
      <c r="E4706">
        <v>2.9</v>
      </c>
      <c r="F4706">
        <v>92</v>
      </c>
    </row>
    <row r="4707" spans="1:6" x14ac:dyDescent="0.35">
      <c r="A4707">
        <v>1975</v>
      </c>
      <c r="B4707" s="1">
        <v>45721</v>
      </c>
      <c r="C4707" s="2">
        <v>4.1666666666666657E-2</v>
      </c>
      <c r="D4707">
        <v>3</v>
      </c>
      <c r="E4707">
        <v>2.8</v>
      </c>
      <c r="F4707">
        <v>92</v>
      </c>
    </row>
    <row r="4708" spans="1:6" x14ac:dyDescent="0.35">
      <c r="A4708">
        <v>1975</v>
      </c>
      <c r="B4708" s="1">
        <v>45721</v>
      </c>
      <c r="C4708" s="2">
        <v>8.3333333333333329E-2</v>
      </c>
      <c r="D4708">
        <v>3</v>
      </c>
      <c r="E4708">
        <v>3.4</v>
      </c>
      <c r="F4708">
        <v>90</v>
      </c>
    </row>
    <row r="4709" spans="1:6" x14ac:dyDescent="0.35">
      <c r="A4709">
        <v>1975</v>
      </c>
      <c r="B4709" s="1">
        <v>45721</v>
      </c>
      <c r="C4709" s="2">
        <v>0.125</v>
      </c>
      <c r="D4709">
        <v>3</v>
      </c>
      <c r="E4709">
        <v>2.7</v>
      </c>
      <c r="F4709">
        <v>89</v>
      </c>
    </row>
    <row r="4710" spans="1:6" x14ac:dyDescent="0.35">
      <c r="A4710">
        <v>1975</v>
      </c>
      <c r="B4710" s="1">
        <v>45721</v>
      </c>
      <c r="C4710" s="2">
        <v>0.16666666666666671</v>
      </c>
      <c r="D4710">
        <v>3</v>
      </c>
      <c r="E4710">
        <v>1.9</v>
      </c>
      <c r="F4710">
        <v>86</v>
      </c>
    </row>
    <row r="4711" spans="1:6" x14ac:dyDescent="0.35">
      <c r="A4711">
        <v>1975</v>
      </c>
      <c r="B4711" s="1">
        <v>45721</v>
      </c>
      <c r="C4711" s="2">
        <v>0.20833333333333329</v>
      </c>
      <c r="D4711">
        <v>3</v>
      </c>
      <c r="E4711">
        <v>2.4</v>
      </c>
      <c r="F4711">
        <v>80</v>
      </c>
    </row>
    <row r="4712" spans="1:6" x14ac:dyDescent="0.35">
      <c r="A4712">
        <v>1975</v>
      </c>
      <c r="B4712" s="1">
        <v>45721</v>
      </c>
      <c r="C4712" s="2">
        <v>0.25</v>
      </c>
      <c r="D4712">
        <v>3</v>
      </c>
      <c r="E4712">
        <v>0.8</v>
      </c>
      <c r="F4712">
        <v>82</v>
      </c>
    </row>
    <row r="4713" spans="1:6" x14ac:dyDescent="0.35">
      <c r="A4713">
        <v>1975</v>
      </c>
      <c r="B4713" s="1">
        <v>45721</v>
      </c>
      <c r="C4713" s="2">
        <v>0.29166666666666669</v>
      </c>
      <c r="D4713">
        <v>3</v>
      </c>
      <c r="E4713">
        <v>2.9</v>
      </c>
      <c r="F4713">
        <v>76</v>
      </c>
    </row>
    <row r="4714" spans="1:6" x14ac:dyDescent="0.35">
      <c r="A4714">
        <v>1975</v>
      </c>
      <c r="B4714" s="1">
        <v>45721</v>
      </c>
      <c r="C4714" s="2">
        <v>0.33333333333333331</v>
      </c>
      <c r="D4714">
        <v>3</v>
      </c>
      <c r="E4714">
        <v>5.3</v>
      </c>
      <c r="F4714">
        <v>68</v>
      </c>
    </row>
    <row r="4715" spans="1:6" x14ac:dyDescent="0.35">
      <c r="A4715">
        <v>1975</v>
      </c>
      <c r="B4715" s="1">
        <v>45721</v>
      </c>
      <c r="C4715" s="2">
        <v>0.375</v>
      </c>
      <c r="D4715">
        <v>3</v>
      </c>
      <c r="E4715">
        <v>7.3</v>
      </c>
      <c r="F4715">
        <v>63</v>
      </c>
    </row>
    <row r="4716" spans="1:6" x14ac:dyDescent="0.35">
      <c r="A4716">
        <v>1975</v>
      </c>
      <c r="B4716" s="1">
        <v>45721</v>
      </c>
      <c r="C4716" s="2">
        <v>0.41666666666666669</v>
      </c>
      <c r="D4716">
        <v>3</v>
      </c>
      <c r="E4716">
        <v>9.6</v>
      </c>
      <c r="F4716">
        <v>57</v>
      </c>
    </row>
    <row r="4717" spans="1:6" x14ac:dyDescent="0.35">
      <c r="A4717">
        <v>1975</v>
      </c>
      <c r="B4717" s="1">
        <v>45721</v>
      </c>
      <c r="C4717" s="2">
        <v>0.45833333333333331</v>
      </c>
      <c r="D4717">
        <v>3</v>
      </c>
      <c r="E4717">
        <v>11.3</v>
      </c>
      <c r="F4717">
        <v>47</v>
      </c>
    </row>
    <row r="4718" spans="1:6" x14ac:dyDescent="0.35">
      <c r="A4718">
        <v>1975</v>
      </c>
      <c r="B4718" s="1">
        <v>45721</v>
      </c>
      <c r="C4718" s="2">
        <v>0.5</v>
      </c>
      <c r="D4718">
        <v>3</v>
      </c>
      <c r="E4718">
        <v>12.5</v>
      </c>
      <c r="F4718">
        <v>42</v>
      </c>
    </row>
    <row r="4719" spans="1:6" x14ac:dyDescent="0.35">
      <c r="A4719">
        <v>1975</v>
      </c>
      <c r="B4719" s="1">
        <v>45721</v>
      </c>
      <c r="C4719" s="2">
        <v>0.54166666666666663</v>
      </c>
      <c r="D4719">
        <v>3</v>
      </c>
      <c r="E4719">
        <v>13.7</v>
      </c>
      <c r="F4719">
        <v>37</v>
      </c>
    </row>
    <row r="4720" spans="1:6" x14ac:dyDescent="0.35">
      <c r="A4720">
        <v>1975</v>
      </c>
      <c r="B4720" s="1">
        <v>45721</v>
      </c>
      <c r="C4720" s="2">
        <v>0.58333333333333337</v>
      </c>
      <c r="D4720">
        <v>3</v>
      </c>
      <c r="E4720">
        <v>14</v>
      </c>
      <c r="F4720">
        <v>37</v>
      </c>
    </row>
    <row r="4721" spans="1:6" x14ac:dyDescent="0.35">
      <c r="A4721">
        <v>1975</v>
      </c>
      <c r="B4721" s="1">
        <v>45721</v>
      </c>
      <c r="C4721" s="2">
        <v>0.625</v>
      </c>
      <c r="D4721">
        <v>3</v>
      </c>
      <c r="E4721">
        <v>13.8</v>
      </c>
      <c r="F4721">
        <v>40</v>
      </c>
    </row>
    <row r="4722" spans="1:6" x14ac:dyDescent="0.35">
      <c r="A4722">
        <v>1975</v>
      </c>
      <c r="B4722" s="1">
        <v>45721</v>
      </c>
      <c r="C4722" s="2">
        <v>0.66666666666666663</v>
      </c>
      <c r="D4722">
        <v>3</v>
      </c>
      <c r="E4722">
        <v>13.7</v>
      </c>
      <c r="F4722">
        <v>41</v>
      </c>
    </row>
    <row r="4723" spans="1:6" x14ac:dyDescent="0.35">
      <c r="A4723">
        <v>1975</v>
      </c>
      <c r="B4723" s="1">
        <v>45721</v>
      </c>
      <c r="C4723" s="2">
        <v>0.70833333333333337</v>
      </c>
      <c r="D4723">
        <v>3</v>
      </c>
      <c r="E4723">
        <v>10.9</v>
      </c>
      <c r="F4723">
        <v>51</v>
      </c>
    </row>
    <row r="4724" spans="1:6" x14ac:dyDescent="0.35">
      <c r="A4724">
        <v>1975</v>
      </c>
      <c r="B4724" s="1">
        <v>45721</v>
      </c>
      <c r="C4724" s="2">
        <v>0.75</v>
      </c>
      <c r="D4724">
        <v>3</v>
      </c>
      <c r="E4724">
        <v>9.6</v>
      </c>
      <c r="F4724">
        <v>53</v>
      </c>
    </row>
    <row r="4725" spans="1:6" x14ac:dyDescent="0.35">
      <c r="A4725">
        <v>1975</v>
      </c>
      <c r="B4725" s="1">
        <v>45721</v>
      </c>
      <c r="C4725" s="2">
        <v>0.79166666666666663</v>
      </c>
      <c r="D4725">
        <v>3</v>
      </c>
      <c r="E4725">
        <v>6.3</v>
      </c>
      <c r="F4725">
        <v>65</v>
      </c>
    </row>
    <row r="4726" spans="1:6" x14ac:dyDescent="0.35">
      <c r="A4726">
        <v>1975</v>
      </c>
      <c r="B4726" s="1">
        <v>45721</v>
      </c>
      <c r="C4726" s="2">
        <v>0.83333333333333337</v>
      </c>
      <c r="D4726">
        <v>3</v>
      </c>
      <c r="E4726">
        <v>5.3</v>
      </c>
      <c r="F4726">
        <v>70</v>
      </c>
    </row>
    <row r="4727" spans="1:6" x14ac:dyDescent="0.35">
      <c r="A4727">
        <v>1975</v>
      </c>
      <c r="B4727" s="1">
        <v>45721</v>
      </c>
      <c r="C4727" s="2">
        <v>0.875</v>
      </c>
      <c r="D4727">
        <v>3</v>
      </c>
      <c r="E4727">
        <v>4.3</v>
      </c>
      <c r="F4727">
        <v>73</v>
      </c>
    </row>
    <row r="4728" spans="1:6" x14ac:dyDescent="0.35">
      <c r="A4728">
        <v>1975</v>
      </c>
      <c r="B4728" s="1">
        <v>45721</v>
      </c>
      <c r="C4728" s="2">
        <v>0.91666666666666663</v>
      </c>
      <c r="D4728">
        <v>3</v>
      </c>
      <c r="E4728">
        <v>4.5</v>
      </c>
      <c r="F4728">
        <v>73</v>
      </c>
    </row>
    <row r="4729" spans="1:6" x14ac:dyDescent="0.35">
      <c r="A4729">
        <v>1975</v>
      </c>
      <c r="B4729" s="1">
        <v>45721</v>
      </c>
      <c r="C4729" s="2">
        <v>0.95833333333333337</v>
      </c>
      <c r="D4729">
        <v>3</v>
      </c>
      <c r="E4729">
        <v>3.6</v>
      </c>
      <c r="F4729">
        <v>75</v>
      </c>
    </row>
    <row r="4730" spans="1:6" x14ac:dyDescent="0.35">
      <c r="A4730">
        <v>1975</v>
      </c>
      <c r="B4730" s="1">
        <v>45722</v>
      </c>
      <c r="C4730" s="2">
        <v>0</v>
      </c>
      <c r="D4730">
        <v>3</v>
      </c>
      <c r="E4730">
        <v>3.3</v>
      </c>
      <c r="F4730">
        <v>73</v>
      </c>
    </row>
    <row r="4731" spans="1:6" x14ac:dyDescent="0.35">
      <c r="A4731">
        <v>1975</v>
      </c>
      <c r="B4731" s="1">
        <v>45722</v>
      </c>
      <c r="C4731" s="2">
        <v>4.1666666666666657E-2</v>
      </c>
      <c r="D4731">
        <v>3</v>
      </c>
      <c r="E4731">
        <v>2.7</v>
      </c>
      <c r="F4731">
        <v>78</v>
      </c>
    </row>
    <row r="4732" spans="1:6" x14ac:dyDescent="0.35">
      <c r="A4732">
        <v>1975</v>
      </c>
      <c r="B4732" s="1">
        <v>45722</v>
      </c>
      <c r="C4732" s="2">
        <v>8.3333333333333329E-2</v>
      </c>
      <c r="D4732">
        <v>3</v>
      </c>
      <c r="E4732">
        <v>1.8</v>
      </c>
      <c r="F4732">
        <v>82</v>
      </c>
    </row>
    <row r="4733" spans="1:6" x14ac:dyDescent="0.35">
      <c r="A4733">
        <v>1975</v>
      </c>
      <c r="B4733" s="1">
        <v>45722</v>
      </c>
      <c r="C4733" s="2">
        <v>0.125</v>
      </c>
      <c r="D4733">
        <v>3</v>
      </c>
      <c r="E4733">
        <v>0</v>
      </c>
      <c r="F4733">
        <v>84</v>
      </c>
    </row>
    <row r="4734" spans="1:6" x14ac:dyDescent="0.35">
      <c r="A4734">
        <v>1975</v>
      </c>
      <c r="B4734" s="1">
        <v>45722</v>
      </c>
      <c r="C4734" s="2">
        <v>0.16666666666666671</v>
      </c>
      <c r="D4734">
        <v>3</v>
      </c>
      <c r="E4734">
        <v>-0.5</v>
      </c>
      <c r="F4734">
        <v>87</v>
      </c>
    </row>
    <row r="4735" spans="1:6" x14ac:dyDescent="0.35">
      <c r="A4735">
        <v>1975</v>
      </c>
      <c r="B4735" s="1">
        <v>45722</v>
      </c>
      <c r="C4735" s="2">
        <v>0.20833333333333329</v>
      </c>
      <c r="D4735">
        <v>3</v>
      </c>
      <c r="E4735">
        <v>0.6</v>
      </c>
      <c r="F4735">
        <v>86</v>
      </c>
    </row>
    <row r="4736" spans="1:6" x14ac:dyDescent="0.35">
      <c r="A4736">
        <v>1975</v>
      </c>
      <c r="B4736" s="1">
        <v>45722</v>
      </c>
      <c r="C4736" s="2">
        <v>0.25</v>
      </c>
      <c r="D4736">
        <v>3</v>
      </c>
      <c r="E4736">
        <v>0.8</v>
      </c>
      <c r="F4736">
        <v>84</v>
      </c>
    </row>
    <row r="4737" spans="1:6" x14ac:dyDescent="0.35">
      <c r="A4737">
        <v>1975</v>
      </c>
      <c r="B4737" s="1">
        <v>45722</v>
      </c>
      <c r="C4737" s="2">
        <v>0.29166666666666669</v>
      </c>
      <c r="D4737">
        <v>3</v>
      </c>
      <c r="E4737">
        <v>2.2999999999999998</v>
      </c>
      <c r="F4737">
        <v>78</v>
      </c>
    </row>
    <row r="4738" spans="1:6" x14ac:dyDescent="0.35">
      <c r="A4738">
        <v>1975</v>
      </c>
      <c r="B4738" s="1">
        <v>45722</v>
      </c>
      <c r="C4738" s="2">
        <v>0.33333333333333331</v>
      </c>
      <c r="D4738">
        <v>3</v>
      </c>
      <c r="E4738">
        <v>5.8</v>
      </c>
      <c r="F4738">
        <v>69</v>
      </c>
    </row>
    <row r="4739" spans="1:6" x14ac:dyDescent="0.35">
      <c r="A4739">
        <v>1975</v>
      </c>
      <c r="B4739" s="1">
        <v>45722</v>
      </c>
      <c r="C4739" s="2">
        <v>0.375</v>
      </c>
      <c r="D4739">
        <v>3</v>
      </c>
      <c r="E4739">
        <v>9.6</v>
      </c>
      <c r="F4739">
        <v>55</v>
      </c>
    </row>
    <row r="4740" spans="1:6" x14ac:dyDescent="0.35">
      <c r="A4740">
        <v>1975</v>
      </c>
      <c r="B4740" s="1">
        <v>45722</v>
      </c>
      <c r="C4740" s="2">
        <v>0.41666666666666669</v>
      </c>
      <c r="D4740">
        <v>3</v>
      </c>
      <c r="E4740">
        <v>11.9</v>
      </c>
      <c r="F4740">
        <v>49</v>
      </c>
    </row>
    <row r="4741" spans="1:6" x14ac:dyDescent="0.35">
      <c r="A4741">
        <v>1975</v>
      </c>
      <c r="B4741" s="1">
        <v>45722</v>
      </c>
      <c r="C4741" s="2">
        <v>0.45833333333333331</v>
      </c>
      <c r="D4741">
        <v>3</v>
      </c>
      <c r="E4741">
        <v>14</v>
      </c>
      <c r="F4741">
        <v>46</v>
      </c>
    </row>
    <row r="4742" spans="1:6" x14ac:dyDescent="0.35">
      <c r="A4742">
        <v>1975</v>
      </c>
      <c r="B4742" s="1">
        <v>45722</v>
      </c>
      <c r="C4742" s="2">
        <v>0.5</v>
      </c>
      <c r="D4742">
        <v>3</v>
      </c>
      <c r="E4742">
        <v>15.2</v>
      </c>
      <c r="F4742">
        <v>45</v>
      </c>
    </row>
    <row r="4743" spans="1:6" x14ac:dyDescent="0.35">
      <c r="A4743">
        <v>1975</v>
      </c>
      <c r="B4743" s="1">
        <v>45722</v>
      </c>
      <c r="C4743" s="2">
        <v>0.54166666666666663</v>
      </c>
      <c r="D4743">
        <v>3</v>
      </c>
      <c r="E4743">
        <v>16</v>
      </c>
      <c r="F4743">
        <v>42</v>
      </c>
    </row>
    <row r="4744" spans="1:6" x14ac:dyDescent="0.35">
      <c r="A4744">
        <v>1975</v>
      </c>
      <c r="B4744" s="1">
        <v>45722</v>
      </c>
      <c r="C4744" s="2">
        <v>0.58333333333333337</v>
      </c>
      <c r="D4744">
        <v>3</v>
      </c>
      <c r="E4744">
        <v>15.9</v>
      </c>
      <c r="F4744">
        <v>43</v>
      </c>
    </row>
    <row r="4745" spans="1:6" x14ac:dyDescent="0.35">
      <c r="A4745">
        <v>1975</v>
      </c>
      <c r="B4745" s="1">
        <v>45722</v>
      </c>
      <c r="C4745" s="2">
        <v>0.625</v>
      </c>
      <c r="D4745">
        <v>3</v>
      </c>
      <c r="E4745">
        <v>15.8</v>
      </c>
      <c r="F4745">
        <v>43</v>
      </c>
    </row>
    <row r="4746" spans="1:6" x14ac:dyDescent="0.35">
      <c r="A4746">
        <v>1975</v>
      </c>
      <c r="B4746" s="1">
        <v>45722</v>
      </c>
      <c r="C4746" s="2">
        <v>0.66666666666666663</v>
      </c>
      <c r="D4746">
        <v>3</v>
      </c>
      <c r="E4746">
        <v>14.9</v>
      </c>
      <c r="F4746">
        <v>47</v>
      </c>
    </row>
    <row r="4747" spans="1:6" x14ac:dyDescent="0.35">
      <c r="A4747">
        <v>1975</v>
      </c>
      <c r="B4747" s="1">
        <v>45722</v>
      </c>
      <c r="C4747" s="2">
        <v>0.70833333333333337</v>
      </c>
      <c r="D4747">
        <v>3</v>
      </c>
      <c r="E4747">
        <v>13.2</v>
      </c>
      <c r="F4747">
        <v>50</v>
      </c>
    </row>
    <row r="4748" spans="1:6" x14ac:dyDescent="0.35">
      <c r="A4748">
        <v>1975</v>
      </c>
      <c r="B4748" s="1">
        <v>45722</v>
      </c>
      <c r="C4748" s="2">
        <v>0.75</v>
      </c>
      <c r="D4748">
        <v>3</v>
      </c>
      <c r="E4748">
        <v>9.4</v>
      </c>
      <c r="F4748">
        <v>65</v>
      </c>
    </row>
    <row r="4749" spans="1:6" x14ac:dyDescent="0.35">
      <c r="A4749">
        <v>1975</v>
      </c>
      <c r="B4749" s="1">
        <v>45722</v>
      </c>
      <c r="C4749" s="2">
        <v>0.79166666666666663</v>
      </c>
      <c r="D4749">
        <v>3</v>
      </c>
      <c r="E4749">
        <v>7.2</v>
      </c>
      <c r="F4749">
        <v>75</v>
      </c>
    </row>
    <row r="4750" spans="1:6" x14ac:dyDescent="0.35">
      <c r="A4750">
        <v>1975</v>
      </c>
      <c r="B4750" s="1">
        <v>45722</v>
      </c>
      <c r="C4750" s="2">
        <v>0.83333333333333337</v>
      </c>
      <c r="D4750">
        <v>3</v>
      </c>
      <c r="E4750">
        <v>5.5</v>
      </c>
      <c r="F4750">
        <v>81</v>
      </c>
    </row>
    <row r="4751" spans="1:6" x14ac:dyDescent="0.35">
      <c r="A4751">
        <v>1975</v>
      </c>
      <c r="B4751" s="1">
        <v>45722</v>
      </c>
      <c r="C4751" s="2">
        <v>0.875</v>
      </c>
      <c r="D4751">
        <v>3</v>
      </c>
      <c r="E4751">
        <v>4.7</v>
      </c>
      <c r="F4751">
        <v>87</v>
      </c>
    </row>
    <row r="4752" spans="1:6" x14ac:dyDescent="0.35">
      <c r="A4752">
        <v>1975</v>
      </c>
      <c r="B4752" s="1">
        <v>45722</v>
      </c>
      <c r="C4752" s="2">
        <v>0.91666666666666663</v>
      </c>
      <c r="D4752">
        <v>3</v>
      </c>
      <c r="E4752">
        <v>3.6</v>
      </c>
      <c r="F4752">
        <v>92</v>
      </c>
    </row>
    <row r="4753" spans="1:6" x14ac:dyDescent="0.35">
      <c r="A4753">
        <v>1975</v>
      </c>
      <c r="B4753" s="1">
        <v>45722</v>
      </c>
      <c r="C4753" s="2">
        <v>0.95833333333333337</v>
      </c>
      <c r="D4753">
        <v>3</v>
      </c>
      <c r="E4753">
        <v>3.1</v>
      </c>
      <c r="F4753">
        <v>88</v>
      </c>
    </row>
    <row r="4754" spans="1:6" x14ac:dyDescent="0.35">
      <c r="A4754">
        <v>1975</v>
      </c>
      <c r="B4754" s="1">
        <v>45723</v>
      </c>
      <c r="C4754" s="2">
        <v>0</v>
      </c>
      <c r="D4754">
        <v>3</v>
      </c>
      <c r="E4754">
        <v>4</v>
      </c>
      <c r="F4754">
        <v>87</v>
      </c>
    </row>
    <row r="4755" spans="1:6" x14ac:dyDescent="0.35">
      <c r="A4755">
        <v>1975</v>
      </c>
      <c r="B4755" s="1">
        <v>45723</v>
      </c>
      <c r="C4755" s="2">
        <v>4.1666666666666657E-2</v>
      </c>
      <c r="D4755">
        <v>3</v>
      </c>
      <c r="E4755">
        <v>4.7</v>
      </c>
      <c r="F4755">
        <v>80</v>
      </c>
    </row>
    <row r="4756" spans="1:6" x14ac:dyDescent="0.35">
      <c r="A4756">
        <v>1975</v>
      </c>
      <c r="B4756" s="1">
        <v>45723</v>
      </c>
      <c r="C4756" s="2">
        <v>8.3333333333333329E-2</v>
      </c>
      <c r="D4756">
        <v>3</v>
      </c>
      <c r="E4756">
        <v>4.5</v>
      </c>
      <c r="F4756">
        <v>79</v>
      </c>
    </row>
    <row r="4757" spans="1:6" x14ac:dyDescent="0.35">
      <c r="A4757">
        <v>1975</v>
      </c>
      <c r="B4757" s="1">
        <v>45723</v>
      </c>
      <c r="C4757" s="2">
        <v>0.125</v>
      </c>
      <c r="D4757">
        <v>3</v>
      </c>
      <c r="E4757">
        <v>3.9</v>
      </c>
      <c r="F4757">
        <v>81</v>
      </c>
    </row>
    <row r="4758" spans="1:6" x14ac:dyDescent="0.35">
      <c r="A4758">
        <v>1975</v>
      </c>
      <c r="B4758" s="1">
        <v>45723</v>
      </c>
      <c r="C4758" s="2">
        <v>0.16666666666666671</v>
      </c>
      <c r="D4758">
        <v>3</v>
      </c>
      <c r="E4758">
        <v>4.0999999999999996</v>
      </c>
      <c r="F4758">
        <v>79</v>
      </c>
    </row>
    <row r="4759" spans="1:6" x14ac:dyDescent="0.35">
      <c r="A4759">
        <v>1975</v>
      </c>
      <c r="B4759" s="1">
        <v>45723</v>
      </c>
      <c r="C4759" s="2">
        <v>0.20833333333333329</v>
      </c>
      <c r="D4759">
        <v>3</v>
      </c>
      <c r="E4759">
        <v>3.9</v>
      </c>
      <c r="F4759">
        <v>79</v>
      </c>
    </row>
    <row r="4760" spans="1:6" x14ac:dyDescent="0.35">
      <c r="A4760">
        <v>1975</v>
      </c>
      <c r="B4760" s="1">
        <v>45723</v>
      </c>
      <c r="C4760" s="2">
        <v>0.25</v>
      </c>
      <c r="D4760">
        <v>3</v>
      </c>
      <c r="E4760">
        <v>4.5</v>
      </c>
      <c r="F4760">
        <v>75</v>
      </c>
    </row>
    <row r="4761" spans="1:6" x14ac:dyDescent="0.35">
      <c r="A4761">
        <v>1975</v>
      </c>
      <c r="B4761" s="1">
        <v>45723</v>
      </c>
      <c r="C4761" s="2">
        <v>0.29166666666666669</v>
      </c>
      <c r="D4761">
        <v>3</v>
      </c>
      <c r="E4761">
        <v>4.7</v>
      </c>
      <c r="F4761">
        <v>76</v>
      </c>
    </row>
    <row r="4762" spans="1:6" x14ac:dyDescent="0.35">
      <c r="A4762">
        <v>1975</v>
      </c>
      <c r="B4762" s="1">
        <v>45723</v>
      </c>
      <c r="C4762" s="2">
        <v>0.33333333333333331</v>
      </c>
      <c r="D4762">
        <v>3</v>
      </c>
      <c r="E4762">
        <v>7.5</v>
      </c>
      <c r="F4762">
        <v>69</v>
      </c>
    </row>
    <row r="4763" spans="1:6" x14ac:dyDescent="0.35">
      <c r="A4763">
        <v>1975</v>
      </c>
      <c r="B4763" s="1">
        <v>45723</v>
      </c>
      <c r="C4763" s="2">
        <v>0.375</v>
      </c>
      <c r="D4763">
        <v>3</v>
      </c>
      <c r="E4763">
        <v>10.7</v>
      </c>
      <c r="F4763">
        <v>59</v>
      </c>
    </row>
    <row r="4764" spans="1:6" x14ac:dyDescent="0.35">
      <c r="A4764">
        <v>1975</v>
      </c>
      <c r="B4764" s="1">
        <v>45723</v>
      </c>
      <c r="C4764" s="2">
        <v>0.41666666666666669</v>
      </c>
      <c r="D4764">
        <v>3</v>
      </c>
      <c r="E4764">
        <v>13.5</v>
      </c>
      <c r="F4764">
        <v>51</v>
      </c>
    </row>
    <row r="4765" spans="1:6" x14ac:dyDescent="0.35">
      <c r="A4765">
        <v>1975</v>
      </c>
      <c r="B4765" s="1">
        <v>45723</v>
      </c>
      <c r="C4765" s="2">
        <v>0.45833333333333331</v>
      </c>
      <c r="D4765">
        <v>3</v>
      </c>
      <c r="E4765">
        <v>15</v>
      </c>
      <c r="F4765">
        <v>44</v>
      </c>
    </row>
    <row r="4766" spans="1:6" x14ac:dyDescent="0.35">
      <c r="A4766">
        <v>1975</v>
      </c>
      <c r="B4766" s="1">
        <v>45723</v>
      </c>
      <c r="C4766" s="2">
        <v>0.5</v>
      </c>
      <c r="D4766">
        <v>3</v>
      </c>
      <c r="E4766">
        <v>16.7</v>
      </c>
      <c r="F4766">
        <v>42</v>
      </c>
    </row>
    <row r="4767" spans="1:6" x14ac:dyDescent="0.35">
      <c r="A4767">
        <v>1975</v>
      </c>
      <c r="B4767" s="1">
        <v>45723</v>
      </c>
      <c r="C4767" s="2">
        <v>0.54166666666666663</v>
      </c>
      <c r="D4767">
        <v>3</v>
      </c>
      <c r="E4767">
        <v>17.5</v>
      </c>
      <c r="F4767">
        <v>38</v>
      </c>
    </row>
    <row r="4768" spans="1:6" x14ac:dyDescent="0.35">
      <c r="A4768">
        <v>1975</v>
      </c>
      <c r="B4768" s="1">
        <v>45723</v>
      </c>
      <c r="C4768" s="2">
        <v>0.58333333333333337</v>
      </c>
      <c r="D4768">
        <v>3</v>
      </c>
      <c r="E4768">
        <v>17.7</v>
      </c>
      <c r="F4768">
        <v>38</v>
      </c>
    </row>
    <row r="4769" spans="1:6" x14ac:dyDescent="0.35">
      <c r="A4769">
        <v>1975</v>
      </c>
      <c r="B4769" s="1">
        <v>45723</v>
      </c>
      <c r="C4769" s="2">
        <v>0.625</v>
      </c>
      <c r="D4769">
        <v>3</v>
      </c>
      <c r="E4769">
        <v>17.5</v>
      </c>
      <c r="F4769">
        <v>37</v>
      </c>
    </row>
    <row r="4770" spans="1:6" x14ac:dyDescent="0.35">
      <c r="A4770">
        <v>1975</v>
      </c>
      <c r="B4770" s="1">
        <v>45723</v>
      </c>
      <c r="C4770" s="2">
        <v>0.66666666666666663</v>
      </c>
      <c r="D4770">
        <v>3</v>
      </c>
      <c r="E4770">
        <v>16.7</v>
      </c>
      <c r="F4770">
        <v>40</v>
      </c>
    </row>
    <row r="4771" spans="1:6" x14ac:dyDescent="0.35">
      <c r="A4771">
        <v>1975</v>
      </c>
      <c r="B4771" s="1">
        <v>45723</v>
      </c>
      <c r="C4771" s="2">
        <v>0.70833333333333337</v>
      </c>
      <c r="D4771">
        <v>3</v>
      </c>
      <c r="E4771">
        <v>14.4</v>
      </c>
      <c r="F4771">
        <v>45</v>
      </c>
    </row>
    <row r="4772" spans="1:6" x14ac:dyDescent="0.35">
      <c r="A4772">
        <v>1975</v>
      </c>
      <c r="B4772" s="1">
        <v>45723</v>
      </c>
      <c r="C4772" s="2">
        <v>0.75</v>
      </c>
      <c r="D4772">
        <v>3</v>
      </c>
      <c r="E4772">
        <v>11.3</v>
      </c>
      <c r="F4772">
        <v>57</v>
      </c>
    </row>
    <row r="4773" spans="1:6" x14ac:dyDescent="0.35">
      <c r="A4773">
        <v>1975</v>
      </c>
      <c r="B4773" s="1">
        <v>45723</v>
      </c>
      <c r="C4773" s="2">
        <v>0.79166666666666663</v>
      </c>
      <c r="D4773">
        <v>3</v>
      </c>
      <c r="E4773">
        <v>9.1999999999999993</v>
      </c>
      <c r="F4773">
        <v>65</v>
      </c>
    </row>
    <row r="4774" spans="1:6" x14ac:dyDescent="0.35">
      <c r="A4774">
        <v>1975</v>
      </c>
      <c r="B4774" s="1">
        <v>45723</v>
      </c>
      <c r="C4774" s="2">
        <v>0.83333333333333337</v>
      </c>
      <c r="D4774">
        <v>3</v>
      </c>
      <c r="E4774">
        <v>7.4</v>
      </c>
      <c r="F4774">
        <v>72</v>
      </c>
    </row>
    <row r="4775" spans="1:6" x14ac:dyDescent="0.35">
      <c r="A4775">
        <v>1975</v>
      </c>
      <c r="B4775" s="1">
        <v>45723</v>
      </c>
      <c r="C4775" s="2">
        <v>0.875</v>
      </c>
      <c r="D4775">
        <v>3</v>
      </c>
      <c r="E4775">
        <v>6.4</v>
      </c>
      <c r="F4775">
        <v>78</v>
      </c>
    </row>
    <row r="4776" spans="1:6" x14ac:dyDescent="0.35">
      <c r="A4776">
        <v>1975</v>
      </c>
      <c r="B4776" s="1">
        <v>45723</v>
      </c>
      <c r="C4776" s="2">
        <v>0.91666666666666663</v>
      </c>
      <c r="D4776">
        <v>3</v>
      </c>
      <c r="E4776">
        <v>5.4</v>
      </c>
      <c r="F4776">
        <v>75</v>
      </c>
    </row>
    <row r="4777" spans="1:6" x14ac:dyDescent="0.35">
      <c r="A4777">
        <v>1975</v>
      </c>
      <c r="B4777" s="1">
        <v>45723</v>
      </c>
      <c r="C4777" s="2">
        <v>0.95833333333333337</v>
      </c>
      <c r="D4777">
        <v>3</v>
      </c>
      <c r="E4777">
        <v>5.0999999999999996</v>
      </c>
      <c r="F4777">
        <v>81</v>
      </c>
    </row>
    <row r="4778" spans="1:6" x14ac:dyDescent="0.35">
      <c r="A4778">
        <v>1975</v>
      </c>
      <c r="B4778" s="1">
        <v>45724</v>
      </c>
      <c r="C4778" s="2">
        <v>0</v>
      </c>
      <c r="D4778">
        <v>3</v>
      </c>
      <c r="E4778">
        <v>3.6</v>
      </c>
      <c r="F4778">
        <v>88</v>
      </c>
    </row>
    <row r="4779" spans="1:6" x14ac:dyDescent="0.35">
      <c r="A4779">
        <v>1975</v>
      </c>
      <c r="B4779" s="1">
        <v>45724</v>
      </c>
      <c r="C4779" s="2">
        <v>4.1666666666666657E-2</v>
      </c>
      <c r="D4779">
        <v>3</v>
      </c>
      <c r="E4779">
        <v>3</v>
      </c>
      <c r="F4779">
        <v>85</v>
      </c>
    </row>
    <row r="4780" spans="1:6" x14ac:dyDescent="0.35">
      <c r="A4780">
        <v>1975</v>
      </c>
      <c r="B4780" s="1">
        <v>45724</v>
      </c>
      <c r="C4780" s="2">
        <v>8.3333333333333329E-2</v>
      </c>
      <c r="D4780">
        <v>3</v>
      </c>
      <c r="E4780">
        <v>3.6</v>
      </c>
      <c r="F4780">
        <v>85</v>
      </c>
    </row>
    <row r="4781" spans="1:6" x14ac:dyDescent="0.35">
      <c r="A4781">
        <v>1975</v>
      </c>
      <c r="B4781" s="1">
        <v>45724</v>
      </c>
      <c r="C4781" s="2">
        <v>0.125</v>
      </c>
      <c r="D4781">
        <v>3</v>
      </c>
      <c r="E4781">
        <v>3</v>
      </c>
      <c r="F4781">
        <v>87</v>
      </c>
    </row>
    <row r="4782" spans="1:6" x14ac:dyDescent="0.35">
      <c r="A4782">
        <v>1975</v>
      </c>
      <c r="B4782" s="1">
        <v>45724</v>
      </c>
      <c r="C4782" s="2">
        <v>0.16666666666666671</v>
      </c>
      <c r="D4782">
        <v>3</v>
      </c>
      <c r="E4782">
        <v>2.1</v>
      </c>
      <c r="F4782">
        <v>89</v>
      </c>
    </row>
    <row r="4783" spans="1:6" x14ac:dyDescent="0.35">
      <c r="A4783">
        <v>1975</v>
      </c>
      <c r="B4783" s="1">
        <v>45724</v>
      </c>
      <c r="C4783" s="2">
        <v>0.20833333333333329</v>
      </c>
      <c r="D4783">
        <v>3</v>
      </c>
      <c r="E4783">
        <v>2.1</v>
      </c>
      <c r="F4783">
        <v>89</v>
      </c>
    </row>
    <row r="4784" spans="1:6" x14ac:dyDescent="0.35">
      <c r="A4784">
        <v>1975</v>
      </c>
      <c r="B4784" s="1">
        <v>45724</v>
      </c>
      <c r="C4784" s="2">
        <v>0.25</v>
      </c>
      <c r="D4784">
        <v>3</v>
      </c>
      <c r="E4784">
        <v>2.1</v>
      </c>
      <c r="F4784">
        <v>90</v>
      </c>
    </row>
    <row r="4785" spans="1:6" x14ac:dyDescent="0.35">
      <c r="A4785">
        <v>1975</v>
      </c>
      <c r="B4785" s="1">
        <v>45724</v>
      </c>
      <c r="C4785" s="2">
        <v>0.29166666666666669</v>
      </c>
      <c r="D4785">
        <v>3</v>
      </c>
      <c r="E4785">
        <v>3.6</v>
      </c>
      <c r="F4785">
        <v>80</v>
      </c>
    </row>
    <row r="4786" spans="1:6" x14ac:dyDescent="0.35">
      <c r="A4786">
        <v>1975</v>
      </c>
      <c r="B4786" s="1">
        <v>45724</v>
      </c>
      <c r="C4786" s="2">
        <v>0.33333333333333331</v>
      </c>
      <c r="D4786">
        <v>3</v>
      </c>
      <c r="E4786">
        <v>7.1</v>
      </c>
      <c r="F4786">
        <v>71</v>
      </c>
    </row>
    <row r="4787" spans="1:6" x14ac:dyDescent="0.35">
      <c r="A4787">
        <v>1975</v>
      </c>
      <c r="B4787" s="1">
        <v>45724</v>
      </c>
      <c r="C4787" s="2">
        <v>0.375</v>
      </c>
      <c r="D4787">
        <v>3</v>
      </c>
      <c r="E4787">
        <v>10.8</v>
      </c>
      <c r="F4787">
        <v>56</v>
      </c>
    </row>
    <row r="4788" spans="1:6" x14ac:dyDescent="0.35">
      <c r="A4788">
        <v>1975</v>
      </c>
      <c r="B4788" s="1">
        <v>45724</v>
      </c>
      <c r="C4788" s="2">
        <v>0.41666666666666669</v>
      </c>
      <c r="D4788">
        <v>3</v>
      </c>
      <c r="E4788">
        <v>14</v>
      </c>
      <c r="F4788">
        <v>44</v>
      </c>
    </row>
    <row r="4789" spans="1:6" x14ac:dyDescent="0.35">
      <c r="A4789">
        <v>1975</v>
      </c>
      <c r="B4789" s="1">
        <v>45724</v>
      </c>
      <c r="C4789" s="2">
        <v>0.45833333333333331</v>
      </c>
      <c r="D4789">
        <v>3</v>
      </c>
      <c r="E4789">
        <v>16.8</v>
      </c>
      <c r="F4789">
        <v>39</v>
      </c>
    </row>
    <row r="4790" spans="1:6" x14ac:dyDescent="0.35">
      <c r="A4790">
        <v>1975</v>
      </c>
      <c r="B4790" s="1">
        <v>45724</v>
      </c>
      <c r="C4790" s="2">
        <v>0.5</v>
      </c>
      <c r="D4790">
        <v>3</v>
      </c>
      <c r="E4790">
        <v>17.100000000000001</v>
      </c>
      <c r="F4790">
        <v>36</v>
      </c>
    </row>
    <row r="4791" spans="1:6" x14ac:dyDescent="0.35">
      <c r="A4791">
        <v>1975</v>
      </c>
      <c r="B4791" s="1">
        <v>45724</v>
      </c>
      <c r="C4791" s="2">
        <v>0.54166666666666663</v>
      </c>
      <c r="D4791">
        <v>3</v>
      </c>
      <c r="E4791">
        <v>17.600000000000001</v>
      </c>
      <c r="F4791">
        <v>34</v>
      </c>
    </row>
    <row r="4792" spans="1:6" x14ac:dyDescent="0.35">
      <c r="A4792">
        <v>1975</v>
      </c>
      <c r="B4792" s="1">
        <v>45724</v>
      </c>
      <c r="C4792" s="2">
        <v>0.58333333333333337</v>
      </c>
      <c r="D4792">
        <v>3</v>
      </c>
      <c r="E4792">
        <v>17.5</v>
      </c>
      <c r="F4792">
        <v>31</v>
      </c>
    </row>
    <row r="4793" spans="1:6" x14ac:dyDescent="0.35">
      <c r="A4793">
        <v>1975</v>
      </c>
      <c r="B4793" s="1">
        <v>45724</v>
      </c>
      <c r="C4793" s="2">
        <v>0.625</v>
      </c>
      <c r="D4793">
        <v>3</v>
      </c>
      <c r="E4793">
        <v>17.399999999999999</v>
      </c>
      <c r="F4793">
        <v>34</v>
      </c>
    </row>
    <row r="4794" spans="1:6" x14ac:dyDescent="0.35">
      <c r="A4794">
        <v>1975</v>
      </c>
      <c r="B4794" s="1">
        <v>45724</v>
      </c>
      <c r="C4794" s="2">
        <v>0.66666666666666663</v>
      </c>
      <c r="D4794">
        <v>3</v>
      </c>
      <c r="E4794">
        <v>16.899999999999999</v>
      </c>
      <c r="F4794">
        <v>32</v>
      </c>
    </row>
    <row r="4795" spans="1:6" x14ac:dyDescent="0.35">
      <c r="A4795">
        <v>1975</v>
      </c>
      <c r="B4795" s="1">
        <v>45724</v>
      </c>
      <c r="C4795" s="2">
        <v>0.70833333333333337</v>
      </c>
      <c r="D4795">
        <v>3</v>
      </c>
      <c r="E4795">
        <v>15.1</v>
      </c>
      <c r="F4795">
        <v>37</v>
      </c>
    </row>
    <row r="4796" spans="1:6" x14ac:dyDescent="0.35">
      <c r="A4796">
        <v>1975</v>
      </c>
      <c r="B4796" s="1">
        <v>45724</v>
      </c>
      <c r="C4796" s="2">
        <v>0.75</v>
      </c>
      <c r="D4796">
        <v>3</v>
      </c>
      <c r="E4796">
        <v>12.9</v>
      </c>
      <c r="F4796">
        <v>44</v>
      </c>
    </row>
    <row r="4797" spans="1:6" x14ac:dyDescent="0.35">
      <c r="A4797">
        <v>1975</v>
      </c>
      <c r="B4797" s="1">
        <v>45724</v>
      </c>
      <c r="C4797" s="2">
        <v>0.79166666666666663</v>
      </c>
      <c r="D4797">
        <v>3</v>
      </c>
      <c r="E4797">
        <v>10.7</v>
      </c>
      <c r="F4797">
        <v>57</v>
      </c>
    </row>
    <row r="4798" spans="1:6" x14ac:dyDescent="0.35">
      <c r="A4798">
        <v>1975</v>
      </c>
      <c r="B4798" s="1">
        <v>45724</v>
      </c>
      <c r="C4798" s="2">
        <v>0.83333333333333337</v>
      </c>
      <c r="D4798">
        <v>3</v>
      </c>
      <c r="E4798">
        <v>9</v>
      </c>
      <c r="F4798">
        <v>64</v>
      </c>
    </row>
    <row r="4799" spans="1:6" x14ac:dyDescent="0.35">
      <c r="A4799">
        <v>1975</v>
      </c>
      <c r="B4799" s="1">
        <v>45724</v>
      </c>
      <c r="C4799" s="2">
        <v>0.875</v>
      </c>
      <c r="D4799">
        <v>3</v>
      </c>
      <c r="E4799">
        <v>7.8</v>
      </c>
      <c r="F4799">
        <v>68</v>
      </c>
    </row>
    <row r="4800" spans="1:6" x14ac:dyDescent="0.35">
      <c r="A4800">
        <v>1975</v>
      </c>
      <c r="B4800" s="1">
        <v>45724</v>
      </c>
      <c r="C4800" s="2">
        <v>0.91666666666666663</v>
      </c>
      <c r="D4800">
        <v>3</v>
      </c>
      <c r="E4800">
        <v>6.7</v>
      </c>
      <c r="F4800">
        <v>70</v>
      </c>
    </row>
    <row r="4801" spans="1:6" x14ac:dyDescent="0.35">
      <c r="A4801">
        <v>1975</v>
      </c>
      <c r="B4801" s="1">
        <v>45724</v>
      </c>
      <c r="C4801" s="2">
        <v>0.95833333333333337</v>
      </c>
      <c r="D4801">
        <v>3</v>
      </c>
      <c r="E4801">
        <v>6.1</v>
      </c>
      <c r="F4801">
        <v>73</v>
      </c>
    </row>
    <row r="4802" spans="1:6" x14ac:dyDescent="0.35">
      <c r="A4802">
        <v>1975</v>
      </c>
      <c r="B4802" s="1">
        <v>45725</v>
      </c>
      <c r="C4802" s="2">
        <v>0</v>
      </c>
      <c r="D4802">
        <v>3</v>
      </c>
      <c r="E4802">
        <v>5.7</v>
      </c>
      <c r="F4802">
        <v>73</v>
      </c>
    </row>
    <row r="4803" spans="1:6" x14ac:dyDescent="0.35">
      <c r="A4803">
        <v>1975</v>
      </c>
      <c r="B4803" s="1">
        <v>45725</v>
      </c>
      <c r="C4803" s="2">
        <v>4.1666666666666657E-2</v>
      </c>
      <c r="D4803">
        <v>3</v>
      </c>
      <c r="E4803">
        <v>5.2</v>
      </c>
      <c r="F4803">
        <v>75</v>
      </c>
    </row>
    <row r="4804" spans="1:6" x14ac:dyDescent="0.35">
      <c r="A4804">
        <v>1975</v>
      </c>
      <c r="B4804" s="1">
        <v>45725</v>
      </c>
      <c r="C4804" s="2">
        <v>8.3333333333333329E-2</v>
      </c>
      <c r="D4804">
        <v>3</v>
      </c>
      <c r="E4804">
        <v>5.7</v>
      </c>
      <c r="F4804">
        <v>73</v>
      </c>
    </row>
    <row r="4805" spans="1:6" x14ac:dyDescent="0.35">
      <c r="A4805">
        <v>1975</v>
      </c>
      <c r="B4805" s="1">
        <v>45725</v>
      </c>
      <c r="C4805" s="2">
        <v>0.125</v>
      </c>
      <c r="D4805">
        <v>3</v>
      </c>
      <c r="E4805">
        <v>5.4</v>
      </c>
      <c r="F4805">
        <v>73</v>
      </c>
    </row>
    <row r="4806" spans="1:6" x14ac:dyDescent="0.35">
      <c r="A4806">
        <v>1975</v>
      </c>
      <c r="B4806" s="1">
        <v>45725</v>
      </c>
      <c r="C4806" s="2">
        <v>0.16666666666666671</v>
      </c>
      <c r="D4806">
        <v>3</v>
      </c>
      <c r="E4806">
        <v>4.8</v>
      </c>
      <c r="F4806">
        <v>76</v>
      </c>
    </row>
    <row r="4807" spans="1:6" x14ac:dyDescent="0.35">
      <c r="A4807">
        <v>1975</v>
      </c>
      <c r="B4807" s="1">
        <v>45725</v>
      </c>
      <c r="C4807" s="2">
        <v>0.20833333333333329</v>
      </c>
      <c r="D4807">
        <v>3</v>
      </c>
      <c r="E4807">
        <v>4.4000000000000004</v>
      </c>
      <c r="F4807">
        <v>78</v>
      </c>
    </row>
    <row r="4808" spans="1:6" x14ac:dyDescent="0.35">
      <c r="A4808">
        <v>1975</v>
      </c>
      <c r="B4808" s="1">
        <v>45725</v>
      </c>
      <c r="C4808" s="2">
        <v>0.25</v>
      </c>
      <c r="D4808">
        <v>3</v>
      </c>
      <c r="E4808">
        <v>3.7</v>
      </c>
      <c r="F4808">
        <v>78</v>
      </c>
    </row>
    <row r="4809" spans="1:6" x14ac:dyDescent="0.35">
      <c r="A4809">
        <v>1975</v>
      </c>
      <c r="B4809" s="1">
        <v>45725</v>
      </c>
      <c r="C4809" s="2">
        <v>0.29166666666666669</v>
      </c>
      <c r="D4809">
        <v>3</v>
      </c>
      <c r="E4809">
        <v>4</v>
      </c>
      <c r="F4809">
        <v>77</v>
      </c>
    </row>
    <row r="4810" spans="1:6" x14ac:dyDescent="0.35">
      <c r="A4810">
        <v>1975</v>
      </c>
      <c r="B4810" s="1">
        <v>45725</v>
      </c>
      <c r="C4810" s="2">
        <v>0.33333333333333331</v>
      </c>
      <c r="D4810">
        <v>3</v>
      </c>
      <c r="E4810">
        <v>6.4</v>
      </c>
      <c r="F4810">
        <v>71</v>
      </c>
    </row>
    <row r="4811" spans="1:6" x14ac:dyDescent="0.35">
      <c r="A4811">
        <v>1975</v>
      </c>
      <c r="B4811" s="1">
        <v>45725</v>
      </c>
      <c r="C4811" s="2">
        <v>0.375</v>
      </c>
      <c r="D4811">
        <v>3</v>
      </c>
      <c r="E4811">
        <v>9.3000000000000007</v>
      </c>
      <c r="F4811">
        <v>62</v>
      </c>
    </row>
    <row r="4812" spans="1:6" x14ac:dyDescent="0.35">
      <c r="A4812">
        <v>1975</v>
      </c>
      <c r="B4812" s="1">
        <v>45725</v>
      </c>
      <c r="C4812" s="2">
        <v>0.41666666666666669</v>
      </c>
      <c r="D4812">
        <v>3</v>
      </c>
      <c r="E4812">
        <v>11.6</v>
      </c>
      <c r="F4812">
        <v>56</v>
      </c>
    </row>
    <row r="4813" spans="1:6" x14ac:dyDescent="0.35">
      <c r="A4813">
        <v>1975</v>
      </c>
      <c r="B4813" s="1">
        <v>45725</v>
      </c>
      <c r="C4813" s="2">
        <v>0.45833333333333331</v>
      </c>
      <c r="D4813">
        <v>3</v>
      </c>
      <c r="E4813">
        <v>14.4</v>
      </c>
      <c r="F4813">
        <v>49</v>
      </c>
    </row>
    <row r="4814" spans="1:6" x14ac:dyDescent="0.35">
      <c r="A4814">
        <v>1975</v>
      </c>
      <c r="B4814" s="1">
        <v>45725</v>
      </c>
      <c r="C4814" s="2">
        <v>0.5</v>
      </c>
      <c r="D4814">
        <v>3</v>
      </c>
      <c r="E4814">
        <v>15.2</v>
      </c>
      <c r="F4814">
        <v>46</v>
      </c>
    </row>
    <row r="4815" spans="1:6" x14ac:dyDescent="0.35">
      <c r="A4815">
        <v>1975</v>
      </c>
      <c r="B4815" s="1">
        <v>45725</v>
      </c>
      <c r="C4815" s="2">
        <v>0.54166666666666663</v>
      </c>
      <c r="D4815">
        <v>3</v>
      </c>
      <c r="E4815">
        <v>15.9</v>
      </c>
      <c r="F4815">
        <v>44</v>
      </c>
    </row>
    <row r="4816" spans="1:6" x14ac:dyDescent="0.35">
      <c r="A4816">
        <v>1975</v>
      </c>
      <c r="B4816" s="1">
        <v>45725</v>
      </c>
      <c r="C4816" s="2">
        <v>0.58333333333333337</v>
      </c>
      <c r="D4816">
        <v>3</v>
      </c>
      <c r="E4816">
        <v>16.3</v>
      </c>
      <c r="F4816">
        <v>40</v>
      </c>
    </row>
    <row r="4817" spans="1:6" x14ac:dyDescent="0.35">
      <c r="A4817">
        <v>1975</v>
      </c>
      <c r="B4817" s="1">
        <v>45725</v>
      </c>
      <c r="C4817" s="2">
        <v>0.625</v>
      </c>
      <c r="D4817">
        <v>3</v>
      </c>
      <c r="E4817">
        <v>15.8</v>
      </c>
      <c r="F4817">
        <v>43</v>
      </c>
    </row>
    <row r="4818" spans="1:6" x14ac:dyDescent="0.35">
      <c r="A4818">
        <v>1975</v>
      </c>
      <c r="B4818" s="1">
        <v>45725</v>
      </c>
      <c r="C4818" s="2">
        <v>0.66666666666666663</v>
      </c>
      <c r="D4818">
        <v>3</v>
      </c>
      <c r="E4818">
        <v>14.1</v>
      </c>
      <c r="F4818">
        <v>47</v>
      </c>
    </row>
    <row r="4819" spans="1:6" x14ac:dyDescent="0.35">
      <c r="A4819">
        <v>1975</v>
      </c>
      <c r="B4819" s="1">
        <v>45725</v>
      </c>
      <c r="C4819" s="2">
        <v>0.70833333333333337</v>
      </c>
      <c r="D4819">
        <v>3</v>
      </c>
      <c r="E4819">
        <v>11</v>
      </c>
      <c r="F4819">
        <v>60</v>
      </c>
    </row>
    <row r="4820" spans="1:6" x14ac:dyDescent="0.35">
      <c r="A4820">
        <v>1975</v>
      </c>
      <c r="B4820" s="1">
        <v>45725</v>
      </c>
      <c r="C4820" s="2">
        <v>0.75</v>
      </c>
      <c r="D4820">
        <v>3</v>
      </c>
      <c r="E4820">
        <v>9.6</v>
      </c>
      <c r="F4820">
        <v>64</v>
      </c>
    </row>
    <row r="4821" spans="1:6" x14ac:dyDescent="0.35">
      <c r="A4821">
        <v>1975</v>
      </c>
      <c r="B4821" s="1">
        <v>45725</v>
      </c>
      <c r="C4821" s="2">
        <v>0.79166666666666663</v>
      </c>
      <c r="D4821">
        <v>3</v>
      </c>
      <c r="E4821">
        <v>7.5</v>
      </c>
      <c r="F4821">
        <v>72</v>
      </c>
    </row>
    <row r="4822" spans="1:6" x14ac:dyDescent="0.35">
      <c r="A4822">
        <v>1975</v>
      </c>
      <c r="B4822" s="1">
        <v>45725</v>
      </c>
      <c r="C4822" s="2">
        <v>0.83333333333333337</v>
      </c>
      <c r="D4822">
        <v>3</v>
      </c>
      <c r="E4822">
        <v>6.4</v>
      </c>
      <c r="F4822">
        <v>78</v>
      </c>
    </row>
    <row r="4823" spans="1:6" x14ac:dyDescent="0.35">
      <c r="A4823">
        <v>1975</v>
      </c>
      <c r="B4823" s="1">
        <v>45725</v>
      </c>
      <c r="C4823" s="2">
        <v>0.875</v>
      </c>
      <c r="D4823">
        <v>3</v>
      </c>
      <c r="E4823">
        <v>3.5</v>
      </c>
      <c r="F4823">
        <v>90</v>
      </c>
    </row>
    <row r="4824" spans="1:6" x14ac:dyDescent="0.35">
      <c r="A4824">
        <v>1975</v>
      </c>
      <c r="B4824" s="1">
        <v>45725</v>
      </c>
      <c r="C4824" s="2">
        <v>0.91666666666666663</v>
      </c>
      <c r="D4824">
        <v>3</v>
      </c>
      <c r="E4824">
        <v>2.4</v>
      </c>
      <c r="F4824">
        <v>95</v>
      </c>
    </row>
    <row r="4825" spans="1:6" x14ac:dyDescent="0.35">
      <c r="A4825">
        <v>1975</v>
      </c>
      <c r="B4825" s="1">
        <v>45725</v>
      </c>
      <c r="C4825" s="2">
        <v>0.95833333333333337</v>
      </c>
      <c r="D4825">
        <v>3</v>
      </c>
      <c r="E4825">
        <v>1.6</v>
      </c>
      <c r="F4825">
        <v>93</v>
      </c>
    </row>
    <row r="4826" spans="1:6" x14ac:dyDescent="0.35">
      <c r="A4826">
        <v>1975</v>
      </c>
      <c r="B4826" s="1">
        <v>45726</v>
      </c>
      <c r="C4826" s="2">
        <v>0</v>
      </c>
      <c r="D4826">
        <v>3</v>
      </c>
      <c r="E4826">
        <v>0.7</v>
      </c>
      <c r="F4826">
        <v>97</v>
      </c>
    </row>
    <row r="4827" spans="1:6" x14ac:dyDescent="0.35">
      <c r="A4827">
        <v>1975</v>
      </c>
      <c r="B4827" s="1">
        <v>45726</v>
      </c>
      <c r="C4827" s="2">
        <v>4.1666666666666657E-2</v>
      </c>
      <c r="D4827">
        <v>3</v>
      </c>
      <c r="E4827">
        <v>-0.1</v>
      </c>
      <c r="F4827">
        <v>100</v>
      </c>
    </row>
    <row r="4828" spans="1:6" x14ac:dyDescent="0.35">
      <c r="A4828">
        <v>1975</v>
      </c>
      <c r="B4828" s="1">
        <v>45726</v>
      </c>
      <c r="C4828" s="2">
        <v>8.3333333333333329E-2</v>
      </c>
      <c r="D4828">
        <v>3</v>
      </c>
      <c r="E4828">
        <v>-0.2</v>
      </c>
      <c r="F4828">
        <v>100</v>
      </c>
    </row>
    <row r="4829" spans="1:6" x14ac:dyDescent="0.35">
      <c r="A4829">
        <v>1975</v>
      </c>
      <c r="B4829" s="1">
        <v>45726</v>
      </c>
      <c r="C4829" s="2">
        <v>0.125</v>
      </c>
      <c r="D4829">
        <v>3</v>
      </c>
      <c r="E4829">
        <v>-1.7</v>
      </c>
      <c r="F4829">
        <v>95</v>
      </c>
    </row>
    <row r="4830" spans="1:6" x14ac:dyDescent="0.35">
      <c r="A4830">
        <v>1975</v>
      </c>
      <c r="B4830" s="1">
        <v>45726</v>
      </c>
      <c r="C4830" s="2">
        <v>0.16666666666666671</v>
      </c>
      <c r="D4830">
        <v>3</v>
      </c>
      <c r="E4830">
        <v>-1.9</v>
      </c>
      <c r="F4830">
        <v>98</v>
      </c>
    </row>
    <row r="4831" spans="1:6" x14ac:dyDescent="0.35">
      <c r="A4831">
        <v>1975</v>
      </c>
      <c r="B4831" s="1">
        <v>45726</v>
      </c>
      <c r="C4831" s="2">
        <v>0.20833333333333329</v>
      </c>
      <c r="D4831">
        <v>3</v>
      </c>
      <c r="E4831">
        <v>-2.2000000000000002</v>
      </c>
      <c r="F4831">
        <v>99</v>
      </c>
    </row>
    <row r="4832" spans="1:6" x14ac:dyDescent="0.35">
      <c r="A4832">
        <v>1975</v>
      </c>
      <c r="B4832" s="1">
        <v>45726</v>
      </c>
      <c r="C4832" s="2">
        <v>0.25</v>
      </c>
      <c r="D4832">
        <v>3</v>
      </c>
      <c r="E4832">
        <v>-0.8</v>
      </c>
      <c r="F4832">
        <v>100</v>
      </c>
    </row>
    <row r="4833" spans="1:6" x14ac:dyDescent="0.35">
      <c r="A4833">
        <v>1975</v>
      </c>
      <c r="B4833" s="1">
        <v>45726</v>
      </c>
      <c r="C4833" s="2">
        <v>0.29166666666666669</v>
      </c>
      <c r="D4833">
        <v>3</v>
      </c>
      <c r="E4833">
        <v>-0.8</v>
      </c>
      <c r="F4833">
        <v>100</v>
      </c>
    </row>
    <row r="4834" spans="1:6" x14ac:dyDescent="0.35">
      <c r="A4834">
        <v>1975</v>
      </c>
      <c r="B4834" s="1">
        <v>45726</v>
      </c>
      <c r="C4834" s="2">
        <v>0.33333333333333331</v>
      </c>
      <c r="D4834">
        <v>3</v>
      </c>
      <c r="E4834">
        <v>-0.2</v>
      </c>
      <c r="F4834">
        <v>100</v>
      </c>
    </row>
    <row r="4835" spans="1:6" x14ac:dyDescent="0.35">
      <c r="A4835">
        <v>1975</v>
      </c>
      <c r="B4835" s="1">
        <v>45726</v>
      </c>
      <c r="C4835" s="2">
        <v>0.375</v>
      </c>
      <c r="D4835">
        <v>3</v>
      </c>
      <c r="E4835">
        <v>1</v>
      </c>
      <c r="F4835">
        <v>100</v>
      </c>
    </row>
    <row r="4836" spans="1:6" x14ac:dyDescent="0.35">
      <c r="A4836">
        <v>1975</v>
      </c>
      <c r="B4836" s="1">
        <v>45726</v>
      </c>
      <c r="C4836" s="2">
        <v>0.41666666666666669</v>
      </c>
      <c r="D4836">
        <v>3</v>
      </c>
      <c r="E4836">
        <v>2.2999999999999998</v>
      </c>
      <c r="F4836">
        <v>100</v>
      </c>
    </row>
    <row r="4837" spans="1:6" x14ac:dyDescent="0.35">
      <c r="A4837">
        <v>1975</v>
      </c>
      <c r="B4837" s="1">
        <v>45726</v>
      </c>
      <c r="C4837" s="2">
        <v>0.45833333333333331</v>
      </c>
      <c r="D4837">
        <v>3</v>
      </c>
      <c r="E4837">
        <v>3.4</v>
      </c>
      <c r="F4837">
        <v>97</v>
      </c>
    </row>
    <row r="4838" spans="1:6" x14ac:dyDescent="0.35">
      <c r="A4838">
        <v>1975</v>
      </c>
      <c r="B4838" s="1">
        <v>45726</v>
      </c>
      <c r="C4838" s="2">
        <v>0.5</v>
      </c>
      <c r="D4838">
        <v>3</v>
      </c>
      <c r="E4838">
        <v>4.4000000000000004</v>
      </c>
      <c r="F4838">
        <v>92</v>
      </c>
    </row>
    <row r="4839" spans="1:6" x14ac:dyDescent="0.35">
      <c r="A4839">
        <v>1975</v>
      </c>
      <c r="B4839" s="1">
        <v>45726</v>
      </c>
      <c r="C4839" s="2">
        <v>0.54166666666666663</v>
      </c>
      <c r="D4839">
        <v>3</v>
      </c>
      <c r="E4839">
        <v>4.9000000000000004</v>
      </c>
      <c r="F4839">
        <v>89</v>
      </c>
    </row>
    <row r="4840" spans="1:6" x14ac:dyDescent="0.35">
      <c r="A4840">
        <v>1975</v>
      </c>
      <c r="B4840" s="1">
        <v>45726</v>
      </c>
      <c r="C4840" s="2">
        <v>0.58333333333333337</v>
      </c>
      <c r="D4840">
        <v>3</v>
      </c>
      <c r="E4840">
        <v>5.4</v>
      </c>
      <c r="F4840">
        <v>83</v>
      </c>
    </row>
    <row r="4841" spans="1:6" x14ac:dyDescent="0.35">
      <c r="A4841">
        <v>1975</v>
      </c>
      <c r="B4841" s="1">
        <v>45726</v>
      </c>
      <c r="C4841" s="2">
        <v>0.625</v>
      </c>
      <c r="D4841">
        <v>3</v>
      </c>
      <c r="E4841">
        <v>7.1</v>
      </c>
      <c r="F4841">
        <v>79</v>
      </c>
    </row>
    <row r="4842" spans="1:6" x14ac:dyDescent="0.35">
      <c r="A4842">
        <v>1975</v>
      </c>
      <c r="B4842" s="1">
        <v>45726</v>
      </c>
      <c r="C4842" s="2">
        <v>0.66666666666666663</v>
      </c>
      <c r="D4842">
        <v>3</v>
      </c>
      <c r="E4842">
        <v>7.6</v>
      </c>
      <c r="F4842">
        <v>80</v>
      </c>
    </row>
    <row r="4843" spans="1:6" x14ac:dyDescent="0.35">
      <c r="A4843">
        <v>1975</v>
      </c>
      <c r="B4843" s="1">
        <v>45726</v>
      </c>
      <c r="C4843" s="2">
        <v>0.70833333333333337</v>
      </c>
      <c r="D4843">
        <v>3</v>
      </c>
      <c r="E4843">
        <v>6.6</v>
      </c>
      <c r="F4843">
        <v>86</v>
      </c>
    </row>
    <row r="4844" spans="1:6" x14ac:dyDescent="0.35">
      <c r="A4844">
        <v>1975</v>
      </c>
      <c r="B4844" s="1">
        <v>45726</v>
      </c>
      <c r="C4844" s="2">
        <v>0.75</v>
      </c>
      <c r="D4844">
        <v>3</v>
      </c>
      <c r="E4844">
        <v>4.5999999999999996</v>
      </c>
      <c r="F4844">
        <v>95</v>
      </c>
    </row>
    <row r="4845" spans="1:6" x14ac:dyDescent="0.35">
      <c r="A4845">
        <v>1975</v>
      </c>
      <c r="B4845" s="1">
        <v>45726</v>
      </c>
      <c r="C4845" s="2">
        <v>0.79166666666666663</v>
      </c>
      <c r="D4845">
        <v>3</v>
      </c>
      <c r="E4845">
        <v>3.2</v>
      </c>
      <c r="F4845">
        <v>98</v>
      </c>
    </row>
    <row r="4846" spans="1:6" x14ac:dyDescent="0.35">
      <c r="A4846">
        <v>1975</v>
      </c>
      <c r="B4846" s="1">
        <v>45726</v>
      </c>
      <c r="C4846" s="2">
        <v>0.83333333333333337</v>
      </c>
      <c r="D4846">
        <v>3</v>
      </c>
      <c r="E4846">
        <v>1.6</v>
      </c>
      <c r="F4846">
        <v>98</v>
      </c>
    </row>
    <row r="4847" spans="1:6" x14ac:dyDescent="0.35">
      <c r="A4847">
        <v>1975</v>
      </c>
      <c r="B4847" s="1">
        <v>45726</v>
      </c>
      <c r="C4847" s="2">
        <v>0.875</v>
      </c>
      <c r="D4847">
        <v>3</v>
      </c>
      <c r="E4847">
        <v>1</v>
      </c>
      <c r="F4847">
        <v>100</v>
      </c>
    </row>
    <row r="4848" spans="1:6" x14ac:dyDescent="0.35">
      <c r="A4848">
        <v>1975</v>
      </c>
      <c r="B4848" s="1">
        <v>45726</v>
      </c>
      <c r="C4848" s="2">
        <v>0.91666666666666663</v>
      </c>
      <c r="D4848">
        <v>3</v>
      </c>
      <c r="E4848">
        <v>0.4</v>
      </c>
      <c r="F4848">
        <v>100</v>
      </c>
    </row>
    <row r="4849" spans="1:6" x14ac:dyDescent="0.35">
      <c r="A4849">
        <v>1975</v>
      </c>
      <c r="B4849" s="1">
        <v>45726</v>
      </c>
      <c r="C4849" s="2">
        <v>0.95833333333333337</v>
      </c>
      <c r="D4849">
        <v>3</v>
      </c>
      <c r="E4849">
        <v>-1.3</v>
      </c>
      <c r="F4849">
        <v>100</v>
      </c>
    </row>
    <row r="4850" spans="1:6" x14ac:dyDescent="0.35">
      <c r="A4850">
        <v>1975</v>
      </c>
      <c r="B4850" s="1">
        <v>45727</v>
      </c>
      <c r="C4850" s="2">
        <v>0</v>
      </c>
      <c r="D4850">
        <v>3</v>
      </c>
      <c r="E4850">
        <v>-1.7</v>
      </c>
      <c r="F4850">
        <v>100</v>
      </c>
    </row>
    <row r="4851" spans="1:6" x14ac:dyDescent="0.35">
      <c r="A4851">
        <v>1975</v>
      </c>
      <c r="B4851" s="1">
        <v>45727</v>
      </c>
      <c r="C4851" s="2">
        <v>4.1666666666666657E-2</v>
      </c>
      <c r="D4851">
        <v>3</v>
      </c>
      <c r="E4851">
        <v>-1.1000000000000001</v>
      </c>
      <c r="F4851">
        <v>100</v>
      </c>
    </row>
    <row r="4852" spans="1:6" x14ac:dyDescent="0.35">
      <c r="A4852">
        <v>1975</v>
      </c>
      <c r="B4852" s="1">
        <v>45727</v>
      </c>
      <c r="C4852" s="2">
        <v>8.3333333333333329E-2</v>
      </c>
      <c r="D4852">
        <v>3</v>
      </c>
      <c r="E4852">
        <v>-1</v>
      </c>
      <c r="F4852">
        <v>100</v>
      </c>
    </row>
    <row r="4853" spans="1:6" x14ac:dyDescent="0.35">
      <c r="A4853">
        <v>1975</v>
      </c>
      <c r="B4853" s="1">
        <v>45727</v>
      </c>
      <c r="C4853" s="2">
        <v>0.125</v>
      </c>
      <c r="D4853">
        <v>3</v>
      </c>
      <c r="E4853">
        <v>-1.4</v>
      </c>
      <c r="F4853">
        <v>100</v>
      </c>
    </row>
    <row r="4854" spans="1:6" x14ac:dyDescent="0.35">
      <c r="A4854">
        <v>1975</v>
      </c>
      <c r="B4854" s="1">
        <v>45727</v>
      </c>
      <c r="C4854" s="2">
        <v>0.16666666666666671</v>
      </c>
      <c r="D4854">
        <v>3</v>
      </c>
      <c r="E4854">
        <v>-1.8</v>
      </c>
      <c r="F4854">
        <v>100</v>
      </c>
    </row>
    <row r="4855" spans="1:6" x14ac:dyDescent="0.35">
      <c r="A4855">
        <v>1975</v>
      </c>
      <c r="B4855" s="1">
        <v>45727</v>
      </c>
      <c r="C4855" s="2">
        <v>0.20833333333333329</v>
      </c>
      <c r="D4855">
        <v>3</v>
      </c>
      <c r="E4855">
        <v>-1.8</v>
      </c>
      <c r="F4855">
        <v>100</v>
      </c>
    </row>
    <row r="4856" spans="1:6" x14ac:dyDescent="0.35">
      <c r="A4856">
        <v>1975</v>
      </c>
      <c r="B4856" s="1">
        <v>45727</v>
      </c>
      <c r="C4856" s="2">
        <v>0.25</v>
      </c>
      <c r="D4856">
        <v>3</v>
      </c>
      <c r="E4856">
        <v>-2</v>
      </c>
      <c r="F4856">
        <v>100</v>
      </c>
    </row>
    <row r="4857" spans="1:6" x14ac:dyDescent="0.35">
      <c r="A4857">
        <v>1975</v>
      </c>
      <c r="B4857" s="1">
        <v>45727</v>
      </c>
      <c r="C4857" s="2">
        <v>0.29166666666666669</v>
      </c>
      <c r="D4857">
        <v>3</v>
      </c>
      <c r="E4857">
        <v>-0.4</v>
      </c>
      <c r="F4857">
        <v>100</v>
      </c>
    </row>
    <row r="4858" spans="1:6" x14ac:dyDescent="0.35">
      <c r="A4858">
        <v>1975</v>
      </c>
      <c r="B4858" s="1">
        <v>45727</v>
      </c>
      <c r="C4858" s="2">
        <v>0.33333333333333331</v>
      </c>
      <c r="D4858">
        <v>3</v>
      </c>
      <c r="E4858">
        <v>0.9</v>
      </c>
      <c r="F4858">
        <v>100</v>
      </c>
    </row>
    <row r="4859" spans="1:6" x14ac:dyDescent="0.35">
      <c r="A4859">
        <v>1975</v>
      </c>
      <c r="B4859" s="1">
        <v>45727</v>
      </c>
      <c r="C4859" s="2">
        <v>0.375</v>
      </c>
      <c r="D4859">
        <v>3</v>
      </c>
      <c r="E4859">
        <v>1.8</v>
      </c>
      <c r="F4859">
        <v>100</v>
      </c>
    </row>
    <row r="4860" spans="1:6" x14ac:dyDescent="0.35">
      <c r="A4860">
        <v>1975</v>
      </c>
      <c r="B4860" s="1">
        <v>45727</v>
      </c>
      <c r="C4860" s="2">
        <v>0.41666666666666669</v>
      </c>
      <c r="D4860">
        <v>3</v>
      </c>
      <c r="E4860">
        <v>2.5</v>
      </c>
      <c r="F4860">
        <v>100</v>
      </c>
    </row>
    <row r="4861" spans="1:6" x14ac:dyDescent="0.35">
      <c r="A4861">
        <v>1975</v>
      </c>
      <c r="B4861" s="1">
        <v>45727</v>
      </c>
      <c r="C4861" s="2">
        <v>0.45833333333333331</v>
      </c>
      <c r="D4861">
        <v>3</v>
      </c>
      <c r="E4861">
        <v>3</v>
      </c>
      <c r="F4861">
        <v>99</v>
      </c>
    </row>
    <row r="4862" spans="1:6" x14ac:dyDescent="0.35">
      <c r="A4862">
        <v>1975</v>
      </c>
      <c r="B4862" s="1">
        <v>45727</v>
      </c>
      <c r="C4862" s="2">
        <v>0.5</v>
      </c>
      <c r="D4862">
        <v>3</v>
      </c>
      <c r="E4862">
        <v>4.5</v>
      </c>
      <c r="F4862">
        <v>98</v>
      </c>
    </row>
    <row r="4863" spans="1:6" x14ac:dyDescent="0.35">
      <c r="A4863">
        <v>1975</v>
      </c>
      <c r="B4863" s="1">
        <v>45727</v>
      </c>
      <c r="C4863" s="2">
        <v>0.54166666666666663</v>
      </c>
      <c r="D4863">
        <v>3</v>
      </c>
      <c r="E4863">
        <v>5.2</v>
      </c>
      <c r="F4863">
        <v>95</v>
      </c>
    </row>
    <row r="4864" spans="1:6" x14ac:dyDescent="0.35">
      <c r="A4864">
        <v>1975</v>
      </c>
      <c r="B4864" s="1">
        <v>45727</v>
      </c>
      <c r="C4864" s="2">
        <v>0.58333333333333337</v>
      </c>
      <c r="D4864">
        <v>3</v>
      </c>
      <c r="E4864">
        <v>5.4</v>
      </c>
      <c r="F4864">
        <v>96</v>
      </c>
    </row>
    <row r="4865" spans="1:6" x14ac:dyDescent="0.35">
      <c r="A4865">
        <v>1975</v>
      </c>
      <c r="B4865" s="1">
        <v>45727</v>
      </c>
      <c r="C4865" s="2">
        <v>0.625</v>
      </c>
      <c r="D4865">
        <v>3</v>
      </c>
      <c r="E4865">
        <v>6</v>
      </c>
      <c r="F4865">
        <v>86</v>
      </c>
    </row>
    <row r="4866" spans="1:6" x14ac:dyDescent="0.35">
      <c r="A4866">
        <v>1975</v>
      </c>
      <c r="B4866" s="1">
        <v>45727</v>
      </c>
      <c r="C4866" s="2">
        <v>0.66666666666666663</v>
      </c>
      <c r="D4866">
        <v>3</v>
      </c>
      <c r="E4866">
        <v>6.1</v>
      </c>
      <c r="F4866">
        <v>85</v>
      </c>
    </row>
    <row r="4867" spans="1:6" x14ac:dyDescent="0.35">
      <c r="A4867">
        <v>1975</v>
      </c>
      <c r="B4867" s="1">
        <v>45727</v>
      </c>
      <c r="C4867" s="2">
        <v>0.70833333333333337</v>
      </c>
      <c r="D4867">
        <v>3</v>
      </c>
      <c r="E4867">
        <v>5.7</v>
      </c>
      <c r="F4867">
        <v>90</v>
      </c>
    </row>
    <row r="4868" spans="1:6" x14ac:dyDescent="0.35">
      <c r="A4868">
        <v>1975</v>
      </c>
      <c r="B4868" s="1">
        <v>45727</v>
      </c>
      <c r="C4868" s="2">
        <v>0.75</v>
      </c>
      <c r="D4868">
        <v>3</v>
      </c>
      <c r="E4868">
        <v>5.2</v>
      </c>
      <c r="F4868">
        <v>91</v>
      </c>
    </row>
    <row r="4869" spans="1:6" x14ac:dyDescent="0.35">
      <c r="A4869">
        <v>1975</v>
      </c>
      <c r="B4869" s="1">
        <v>45727</v>
      </c>
      <c r="C4869" s="2">
        <v>0.79166666666666663</v>
      </c>
      <c r="D4869">
        <v>3</v>
      </c>
      <c r="E4869">
        <v>4.7</v>
      </c>
      <c r="F4869">
        <v>93</v>
      </c>
    </row>
    <row r="4870" spans="1:6" x14ac:dyDescent="0.35">
      <c r="A4870">
        <v>1975</v>
      </c>
      <c r="B4870" s="1">
        <v>45727</v>
      </c>
      <c r="C4870" s="2">
        <v>0.83333333333333337</v>
      </c>
      <c r="D4870">
        <v>3</v>
      </c>
      <c r="E4870">
        <v>4.2</v>
      </c>
      <c r="F4870">
        <v>94</v>
      </c>
    </row>
    <row r="4871" spans="1:6" x14ac:dyDescent="0.35">
      <c r="A4871">
        <v>1975</v>
      </c>
      <c r="B4871" s="1">
        <v>45727</v>
      </c>
      <c r="C4871" s="2">
        <v>0.875</v>
      </c>
      <c r="D4871">
        <v>3</v>
      </c>
      <c r="E4871">
        <v>3.2</v>
      </c>
      <c r="F4871">
        <v>95</v>
      </c>
    </row>
    <row r="4872" spans="1:6" x14ac:dyDescent="0.35">
      <c r="A4872">
        <v>1975</v>
      </c>
      <c r="B4872" s="1">
        <v>45727</v>
      </c>
      <c r="C4872" s="2">
        <v>0.91666666666666663</v>
      </c>
      <c r="D4872">
        <v>3</v>
      </c>
      <c r="E4872">
        <v>2.6</v>
      </c>
      <c r="F4872">
        <v>97</v>
      </c>
    </row>
    <row r="4873" spans="1:6" x14ac:dyDescent="0.35">
      <c r="A4873">
        <v>1975</v>
      </c>
      <c r="B4873" s="1">
        <v>45727</v>
      </c>
      <c r="C4873" s="2">
        <v>0.95833333333333337</v>
      </c>
      <c r="D4873">
        <v>3</v>
      </c>
      <c r="E4873">
        <v>3.8</v>
      </c>
      <c r="F4873">
        <v>94</v>
      </c>
    </row>
    <row r="4874" spans="1:6" x14ac:dyDescent="0.35">
      <c r="A4874">
        <v>1975</v>
      </c>
      <c r="B4874" s="1">
        <v>45728</v>
      </c>
      <c r="C4874" s="2">
        <v>0</v>
      </c>
      <c r="D4874">
        <v>3</v>
      </c>
      <c r="E4874">
        <v>3.6</v>
      </c>
      <c r="F4874">
        <v>91</v>
      </c>
    </row>
    <row r="4875" spans="1:6" x14ac:dyDescent="0.35">
      <c r="A4875">
        <v>1975</v>
      </c>
      <c r="B4875" s="1">
        <v>45728</v>
      </c>
      <c r="C4875" s="2">
        <v>4.1666666666666657E-2</v>
      </c>
      <c r="D4875">
        <v>3</v>
      </c>
      <c r="E4875">
        <v>3.1</v>
      </c>
      <c r="F4875">
        <v>92</v>
      </c>
    </row>
    <row r="4876" spans="1:6" x14ac:dyDescent="0.35">
      <c r="A4876">
        <v>1975</v>
      </c>
      <c r="B4876" s="1">
        <v>45728</v>
      </c>
      <c r="C4876" s="2">
        <v>8.3333333333333329E-2</v>
      </c>
      <c r="D4876">
        <v>3</v>
      </c>
      <c r="E4876">
        <v>3.1</v>
      </c>
      <c r="F4876">
        <v>94</v>
      </c>
    </row>
    <row r="4877" spans="1:6" x14ac:dyDescent="0.35">
      <c r="A4877">
        <v>1975</v>
      </c>
      <c r="B4877" s="1">
        <v>45728</v>
      </c>
      <c r="C4877" s="2">
        <v>0.125</v>
      </c>
      <c r="D4877">
        <v>3</v>
      </c>
      <c r="E4877">
        <v>3.4</v>
      </c>
      <c r="F4877">
        <v>94</v>
      </c>
    </row>
    <row r="4878" spans="1:6" x14ac:dyDescent="0.35">
      <c r="A4878">
        <v>1975</v>
      </c>
      <c r="B4878" s="1">
        <v>45728</v>
      </c>
      <c r="C4878" s="2">
        <v>0.16666666666666671</v>
      </c>
      <c r="D4878">
        <v>3</v>
      </c>
      <c r="E4878">
        <v>3.5</v>
      </c>
      <c r="F4878">
        <v>93</v>
      </c>
    </row>
    <row r="4879" spans="1:6" x14ac:dyDescent="0.35">
      <c r="A4879">
        <v>1975</v>
      </c>
      <c r="B4879" s="1">
        <v>45728</v>
      </c>
      <c r="C4879" s="2">
        <v>0.20833333333333329</v>
      </c>
      <c r="D4879">
        <v>3</v>
      </c>
      <c r="E4879">
        <v>3.2</v>
      </c>
      <c r="F4879">
        <v>93</v>
      </c>
    </row>
    <row r="4880" spans="1:6" x14ac:dyDescent="0.35">
      <c r="A4880">
        <v>1975</v>
      </c>
      <c r="B4880" s="1">
        <v>45728</v>
      </c>
      <c r="C4880" s="2">
        <v>0.25</v>
      </c>
      <c r="D4880">
        <v>3</v>
      </c>
      <c r="E4880">
        <v>3.4</v>
      </c>
      <c r="F4880">
        <v>91</v>
      </c>
    </row>
    <row r="4881" spans="1:6" x14ac:dyDescent="0.35">
      <c r="A4881">
        <v>1975</v>
      </c>
      <c r="B4881" s="1">
        <v>45728</v>
      </c>
      <c r="C4881" s="2">
        <v>0.29166666666666669</v>
      </c>
      <c r="D4881">
        <v>3</v>
      </c>
      <c r="E4881">
        <v>3.5</v>
      </c>
      <c r="F4881">
        <v>91</v>
      </c>
    </row>
    <row r="4882" spans="1:6" x14ac:dyDescent="0.35">
      <c r="A4882">
        <v>1975</v>
      </c>
      <c r="B4882" s="1">
        <v>45728</v>
      </c>
      <c r="C4882" s="2">
        <v>0.33333333333333331</v>
      </c>
      <c r="D4882">
        <v>3</v>
      </c>
      <c r="E4882">
        <v>4.0999999999999996</v>
      </c>
      <c r="F4882">
        <v>86</v>
      </c>
    </row>
    <row r="4883" spans="1:6" x14ac:dyDescent="0.35">
      <c r="A4883">
        <v>1975</v>
      </c>
      <c r="B4883" s="1">
        <v>45728</v>
      </c>
      <c r="C4883" s="2">
        <v>0.375</v>
      </c>
      <c r="D4883">
        <v>3</v>
      </c>
      <c r="E4883">
        <v>4.9000000000000004</v>
      </c>
      <c r="F4883">
        <v>75</v>
      </c>
    </row>
    <row r="4884" spans="1:6" x14ac:dyDescent="0.35">
      <c r="A4884">
        <v>1975</v>
      </c>
      <c r="B4884" s="1">
        <v>45728</v>
      </c>
      <c r="C4884" s="2">
        <v>0.41666666666666669</v>
      </c>
      <c r="D4884">
        <v>3</v>
      </c>
      <c r="E4884">
        <v>5.4</v>
      </c>
      <c r="F4884">
        <v>71</v>
      </c>
    </row>
    <row r="4885" spans="1:6" x14ac:dyDescent="0.35">
      <c r="A4885">
        <v>1975</v>
      </c>
      <c r="B4885" s="1">
        <v>45728</v>
      </c>
      <c r="C4885" s="2">
        <v>0.45833333333333331</v>
      </c>
      <c r="D4885">
        <v>3</v>
      </c>
      <c r="E4885">
        <v>6</v>
      </c>
      <c r="F4885">
        <v>70</v>
      </c>
    </row>
    <row r="4886" spans="1:6" x14ac:dyDescent="0.35">
      <c r="A4886">
        <v>1975</v>
      </c>
      <c r="B4886" s="1">
        <v>45728</v>
      </c>
      <c r="C4886" s="2">
        <v>0.5</v>
      </c>
      <c r="D4886">
        <v>3</v>
      </c>
      <c r="E4886">
        <v>5.7</v>
      </c>
      <c r="F4886">
        <v>73</v>
      </c>
    </row>
    <row r="4887" spans="1:6" x14ac:dyDescent="0.35">
      <c r="A4887">
        <v>1975</v>
      </c>
      <c r="B4887" s="1">
        <v>45728</v>
      </c>
      <c r="C4887" s="2">
        <v>0.54166666666666663</v>
      </c>
      <c r="D4887">
        <v>3</v>
      </c>
      <c r="E4887">
        <v>5.9</v>
      </c>
      <c r="F4887">
        <v>69</v>
      </c>
    </row>
    <row r="4888" spans="1:6" x14ac:dyDescent="0.35">
      <c r="A4888">
        <v>1975</v>
      </c>
      <c r="B4888" s="1">
        <v>45728</v>
      </c>
      <c r="C4888" s="2">
        <v>0.58333333333333337</v>
      </c>
      <c r="D4888">
        <v>3</v>
      </c>
      <c r="E4888">
        <v>6.2</v>
      </c>
      <c r="F4888">
        <v>70</v>
      </c>
    </row>
    <row r="4889" spans="1:6" x14ac:dyDescent="0.35">
      <c r="A4889">
        <v>1975</v>
      </c>
      <c r="B4889" s="1">
        <v>45728</v>
      </c>
      <c r="C4889" s="2">
        <v>0.625</v>
      </c>
      <c r="D4889">
        <v>3</v>
      </c>
      <c r="E4889">
        <v>6.7</v>
      </c>
      <c r="F4889">
        <v>64</v>
      </c>
    </row>
    <row r="4890" spans="1:6" x14ac:dyDescent="0.35">
      <c r="A4890">
        <v>1975</v>
      </c>
      <c r="B4890" s="1">
        <v>45728</v>
      </c>
      <c r="C4890" s="2">
        <v>0.66666666666666663</v>
      </c>
      <c r="D4890">
        <v>3</v>
      </c>
      <c r="E4890">
        <v>6.4</v>
      </c>
      <c r="F4890">
        <v>68</v>
      </c>
    </row>
    <row r="4891" spans="1:6" x14ac:dyDescent="0.35">
      <c r="A4891">
        <v>1975</v>
      </c>
      <c r="B4891" s="1">
        <v>45728</v>
      </c>
      <c r="C4891" s="2">
        <v>0.70833333333333337</v>
      </c>
      <c r="D4891">
        <v>3</v>
      </c>
      <c r="E4891">
        <v>6.1</v>
      </c>
      <c r="F4891">
        <v>71</v>
      </c>
    </row>
    <row r="4892" spans="1:6" x14ac:dyDescent="0.35">
      <c r="A4892">
        <v>1975</v>
      </c>
      <c r="B4892" s="1">
        <v>45728</v>
      </c>
      <c r="C4892" s="2">
        <v>0.75</v>
      </c>
      <c r="D4892">
        <v>3</v>
      </c>
      <c r="E4892">
        <v>4.4000000000000004</v>
      </c>
      <c r="F4892">
        <v>82</v>
      </c>
    </row>
    <row r="4893" spans="1:6" x14ac:dyDescent="0.35">
      <c r="A4893">
        <v>1975</v>
      </c>
      <c r="B4893" s="1">
        <v>45728</v>
      </c>
      <c r="C4893" s="2">
        <v>0.79166666666666663</v>
      </c>
      <c r="D4893">
        <v>3</v>
      </c>
      <c r="E4893">
        <v>3</v>
      </c>
      <c r="F4893">
        <v>86</v>
      </c>
    </row>
    <row r="4894" spans="1:6" x14ac:dyDescent="0.35">
      <c r="A4894">
        <v>1975</v>
      </c>
      <c r="B4894" s="1">
        <v>45728</v>
      </c>
      <c r="C4894" s="2">
        <v>0.83333333333333337</v>
      </c>
      <c r="D4894">
        <v>3</v>
      </c>
      <c r="E4894">
        <v>2.2000000000000002</v>
      </c>
      <c r="F4894">
        <v>91</v>
      </c>
    </row>
    <row r="4895" spans="1:6" x14ac:dyDescent="0.35">
      <c r="A4895">
        <v>1975</v>
      </c>
      <c r="B4895" s="1">
        <v>45728</v>
      </c>
      <c r="C4895" s="2">
        <v>0.875</v>
      </c>
      <c r="D4895">
        <v>3</v>
      </c>
      <c r="E4895">
        <v>1</v>
      </c>
      <c r="F4895">
        <v>96</v>
      </c>
    </row>
    <row r="4896" spans="1:6" x14ac:dyDescent="0.35">
      <c r="A4896">
        <v>1975</v>
      </c>
      <c r="B4896" s="1">
        <v>45728</v>
      </c>
      <c r="C4896" s="2">
        <v>0.91666666666666663</v>
      </c>
      <c r="D4896">
        <v>3</v>
      </c>
      <c r="E4896">
        <v>-0.1</v>
      </c>
      <c r="F4896">
        <v>98</v>
      </c>
    </row>
    <row r="4897" spans="1:6" x14ac:dyDescent="0.35">
      <c r="A4897">
        <v>1975</v>
      </c>
      <c r="B4897" s="1">
        <v>45728</v>
      </c>
      <c r="C4897" s="2">
        <v>0.95833333333333337</v>
      </c>
      <c r="D4897">
        <v>3</v>
      </c>
      <c r="E4897">
        <v>1.2</v>
      </c>
      <c r="F4897">
        <v>97</v>
      </c>
    </row>
    <row r="4898" spans="1:6" x14ac:dyDescent="0.35">
      <c r="A4898">
        <v>1975</v>
      </c>
      <c r="B4898" s="1">
        <v>45729</v>
      </c>
      <c r="C4898" s="2">
        <v>0</v>
      </c>
      <c r="D4898">
        <v>3</v>
      </c>
      <c r="E4898">
        <v>-0.6</v>
      </c>
      <c r="F4898">
        <v>100</v>
      </c>
    </row>
    <row r="4899" spans="1:6" x14ac:dyDescent="0.35">
      <c r="A4899">
        <v>1975</v>
      </c>
      <c r="B4899" s="1">
        <v>45729</v>
      </c>
      <c r="C4899" s="2">
        <v>4.1666666666666657E-2</v>
      </c>
      <c r="D4899">
        <v>3</v>
      </c>
      <c r="E4899">
        <v>-1.3</v>
      </c>
      <c r="F4899">
        <v>100</v>
      </c>
    </row>
    <row r="4900" spans="1:6" x14ac:dyDescent="0.35">
      <c r="A4900">
        <v>1975</v>
      </c>
      <c r="B4900" s="1">
        <v>45729</v>
      </c>
      <c r="C4900" s="2">
        <v>8.3333333333333329E-2</v>
      </c>
      <c r="D4900">
        <v>3</v>
      </c>
      <c r="E4900">
        <v>-2.2999999999999998</v>
      </c>
      <c r="F4900">
        <v>100</v>
      </c>
    </row>
    <row r="4901" spans="1:6" x14ac:dyDescent="0.35">
      <c r="A4901">
        <v>1975</v>
      </c>
      <c r="B4901" s="1">
        <v>45729</v>
      </c>
      <c r="C4901" s="2">
        <v>0.125</v>
      </c>
      <c r="D4901">
        <v>3</v>
      </c>
      <c r="E4901">
        <v>-2.5</v>
      </c>
      <c r="F4901">
        <v>99</v>
      </c>
    </row>
    <row r="4902" spans="1:6" x14ac:dyDescent="0.35">
      <c r="A4902">
        <v>1975</v>
      </c>
      <c r="B4902" s="1">
        <v>45729</v>
      </c>
      <c r="C4902" s="2">
        <v>0.16666666666666671</v>
      </c>
      <c r="D4902">
        <v>3</v>
      </c>
      <c r="E4902">
        <v>-3.6</v>
      </c>
      <c r="F4902">
        <v>100</v>
      </c>
    </row>
    <row r="4903" spans="1:6" x14ac:dyDescent="0.35">
      <c r="A4903">
        <v>1975</v>
      </c>
      <c r="B4903" s="1">
        <v>45729</v>
      </c>
      <c r="C4903" s="2">
        <v>0.20833333333333329</v>
      </c>
      <c r="D4903">
        <v>3</v>
      </c>
      <c r="E4903">
        <v>-3</v>
      </c>
      <c r="F4903">
        <v>100</v>
      </c>
    </row>
    <row r="4904" spans="1:6" x14ac:dyDescent="0.35">
      <c r="A4904">
        <v>1975</v>
      </c>
      <c r="B4904" s="1">
        <v>45729</v>
      </c>
      <c r="C4904" s="2">
        <v>0.25</v>
      </c>
      <c r="D4904">
        <v>3</v>
      </c>
      <c r="E4904">
        <v>-1.3</v>
      </c>
      <c r="F4904">
        <v>100</v>
      </c>
    </row>
    <row r="4905" spans="1:6" x14ac:dyDescent="0.35">
      <c r="A4905">
        <v>1975</v>
      </c>
      <c r="B4905" s="1">
        <v>45729</v>
      </c>
      <c r="C4905" s="2">
        <v>0.29166666666666669</v>
      </c>
      <c r="D4905">
        <v>3</v>
      </c>
      <c r="E4905">
        <v>0.2</v>
      </c>
      <c r="F4905">
        <v>98</v>
      </c>
    </row>
    <row r="4906" spans="1:6" x14ac:dyDescent="0.35">
      <c r="A4906">
        <v>1975</v>
      </c>
      <c r="B4906" s="1">
        <v>45729</v>
      </c>
      <c r="C4906" s="2">
        <v>0.33333333333333331</v>
      </c>
      <c r="D4906">
        <v>3</v>
      </c>
      <c r="E4906">
        <v>2</v>
      </c>
      <c r="F4906">
        <v>91</v>
      </c>
    </row>
    <row r="4907" spans="1:6" x14ac:dyDescent="0.35">
      <c r="A4907">
        <v>1975</v>
      </c>
      <c r="B4907" s="1">
        <v>45729</v>
      </c>
      <c r="C4907" s="2">
        <v>0.375</v>
      </c>
      <c r="D4907">
        <v>3</v>
      </c>
      <c r="E4907">
        <v>3.9</v>
      </c>
      <c r="F4907">
        <v>78</v>
      </c>
    </row>
    <row r="4908" spans="1:6" x14ac:dyDescent="0.35">
      <c r="A4908">
        <v>1975</v>
      </c>
      <c r="B4908" s="1">
        <v>45729</v>
      </c>
      <c r="C4908" s="2">
        <v>0.41666666666666669</v>
      </c>
      <c r="D4908">
        <v>3</v>
      </c>
      <c r="E4908">
        <v>4.9000000000000004</v>
      </c>
      <c r="F4908">
        <v>75</v>
      </c>
    </row>
    <row r="4909" spans="1:6" x14ac:dyDescent="0.35">
      <c r="A4909">
        <v>1975</v>
      </c>
      <c r="B4909" s="1">
        <v>45729</v>
      </c>
      <c r="C4909" s="2">
        <v>0.45833333333333331</v>
      </c>
      <c r="D4909">
        <v>3</v>
      </c>
      <c r="E4909">
        <v>6.5</v>
      </c>
      <c r="F4909">
        <v>66</v>
      </c>
    </row>
    <row r="4910" spans="1:6" x14ac:dyDescent="0.35">
      <c r="A4910">
        <v>1975</v>
      </c>
      <c r="B4910" s="1">
        <v>45729</v>
      </c>
      <c r="C4910" s="2">
        <v>0.5</v>
      </c>
      <c r="D4910">
        <v>3</v>
      </c>
      <c r="E4910">
        <v>5.4</v>
      </c>
      <c r="F4910">
        <v>73</v>
      </c>
    </row>
    <row r="4911" spans="1:6" x14ac:dyDescent="0.35">
      <c r="A4911">
        <v>1975</v>
      </c>
      <c r="B4911" s="1">
        <v>45729</v>
      </c>
      <c r="C4911" s="2">
        <v>0.54166666666666663</v>
      </c>
      <c r="D4911">
        <v>3</v>
      </c>
      <c r="E4911">
        <v>5.8</v>
      </c>
      <c r="F4911">
        <v>72</v>
      </c>
    </row>
    <row r="4912" spans="1:6" x14ac:dyDescent="0.35">
      <c r="A4912">
        <v>1975</v>
      </c>
      <c r="B4912" s="1">
        <v>45729</v>
      </c>
      <c r="C4912" s="2">
        <v>0.58333333333333337</v>
      </c>
      <c r="D4912">
        <v>3</v>
      </c>
      <c r="E4912">
        <v>5.9</v>
      </c>
      <c r="F4912">
        <v>65</v>
      </c>
    </row>
    <row r="4913" spans="1:6" x14ac:dyDescent="0.35">
      <c r="A4913">
        <v>1975</v>
      </c>
      <c r="B4913" s="1">
        <v>45729</v>
      </c>
      <c r="C4913" s="2">
        <v>0.625</v>
      </c>
      <c r="D4913">
        <v>3</v>
      </c>
      <c r="E4913">
        <v>6</v>
      </c>
      <c r="F4913">
        <v>61</v>
      </c>
    </row>
    <row r="4914" spans="1:6" x14ac:dyDescent="0.35">
      <c r="A4914">
        <v>1975</v>
      </c>
      <c r="B4914" s="1">
        <v>45729</v>
      </c>
      <c r="C4914" s="2">
        <v>0.66666666666666663</v>
      </c>
      <c r="D4914">
        <v>3</v>
      </c>
      <c r="E4914">
        <v>5.4</v>
      </c>
      <c r="F4914">
        <v>67</v>
      </c>
    </row>
    <row r="4915" spans="1:6" x14ac:dyDescent="0.35">
      <c r="A4915">
        <v>1975</v>
      </c>
      <c r="B4915" s="1">
        <v>45729</v>
      </c>
      <c r="C4915" s="2">
        <v>0.70833333333333337</v>
      </c>
      <c r="D4915">
        <v>3</v>
      </c>
      <c r="E4915">
        <v>5</v>
      </c>
      <c r="F4915">
        <v>67</v>
      </c>
    </row>
    <row r="4916" spans="1:6" x14ac:dyDescent="0.35">
      <c r="A4916">
        <v>1975</v>
      </c>
      <c r="B4916" s="1">
        <v>45729</v>
      </c>
      <c r="C4916" s="2">
        <v>0.75</v>
      </c>
      <c r="D4916">
        <v>3</v>
      </c>
      <c r="E4916">
        <v>4</v>
      </c>
      <c r="F4916">
        <v>73</v>
      </c>
    </row>
    <row r="4917" spans="1:6" x14ac:dyDescent="0.35">
      <c r="A4917">
        <v>1975</v>
      </c>
      <c r="B4917" s="1">
        <v>45729</v>
      </c>
      <c r="C4917" s="2">
        <v>0.79166666666666663</v>
      </c>
      <c r="D4917">
        <v>3</v>
      </c>
      <c r="E4917">
        <v>3.7</v>
      </c>
      <c r="F4917">
        <v>79</v>
      </c>
    </row>
    <row r="4918" spans="1:6" x14ac:dyDescent="0.35">
      <c r="A4918">
        <v>1975</v>
      </c>
      <c r="B4918" s="1">
        <v>45729</v>
      </c>
      <c r="C4918" s="2">
        <v>0.83333333333333337</v>
      </c>
      <c r="D4918">
        <v>3</v>
      </c>
      <c r="E4918">
        <v>2.5</v>
      </c>
      <c r="F4918">
        <v>82</v>
      </c>
    </row>
    <row r="4919" spans="1:6" x14ac:dyDescent="0.35">
      <c r="A4919">
        <v>1975</v>
      </c>
      <c r="B4919" s="1">
        <v>45729</v>
      </c>
      <c r="C4919" s="2">
        <v>0.875</v>
      </c>
      <c r="D4919">
        <v>3</v>
      </c>
      <c r="E4919">
        <v>2.5</v>
      </c>
      <c r="F4919">
        <v>84</v>
      </c>
    </row>
    <row r="4920" spans="1:6" x14ac:dyDescent="0.35">
      <c r="A4920">
        <v>1975</v>
      </c>
      <c r="B4920" s="1">
        <v>45729</v>
      </c>
      <c r="C4920" s="2">
        <v>0.91666666666666663</v>
      </c>
      <c r="D4920">
        <v>3</v>
      </c>
      <c r="E4920">
        <v>1.7</v>
      </c>
      <c r="F4920">
        <v>85</v>
      </c>
    </row>
    <row r="4921" spans="1:6" x14ac:dyDescent="0.35">
      <c r="A4921">
        <v>1975</v>
      </c>
      <c r="B4921" s="1">
        <v>45729</v>
      </c>
      <c r="C4921" s="2">
        <v>0.95833333333333337</v>
      </c>
      <c r="D4921">
        <v>3</v>
      </c>
      <c r="E4921">
        <v>1.3</v>
      </c>
      <c r="F4921">
        <v>88</v>
      </c>
    </row>
    <row r="4922" spans="1:6" x14ac:dyDescent="0.35">
      <c r="A4922">
        <v>1975</v>
      </c>
      <c r="B4922" s="1">
        <v>45730</v>
      </c>
      <c r="C4922" s="2">
        <v>0</v>
      </c>
      <c r="D4922">
        <v>3</v>
      </c>
      <c r="E4922">
        <v>0</v>
      </c>
      <c r="F4922">
        <v>92</v>
      </c>
    </row>
    <row r="4923" spans="1:6" x14ac:dyDescent="0.35">
      <c r="A4923">
        <v>1975</v>
      </c>
      <c r="B4923" s="1">
        <v>45730</v>
      </c>
      <c r="C4923" s="2">
        <v>4.1666666666666657E-2</v>
      </c>
      <c r="D4923">
        <v>3</v>
      </c>
      <c r="E4923">
        <v>-1.3</v>
      </c>
      <c r="F4923">
        <v>99</v>
      </c>
    </row>
    <row r="4924" spans="1:6" x14ac:dyDescent="0.35">
      <c r="A4924">
        <v>1975</v>
      </c>
      <c r="B4924" s="1">
        <v>45730</v>
      </c>
      <c r="C4924" s="2">
        <v>8.3333333333333329E-2</v>
      </c>
      <c r="D4924">
        <v>3</v>
      </c>
      <c r="E4924">
        <v>-2.2000000000000002</v>
      </c>
      <c r="F4924">
        <v>100</v>
      </c>
    </row>
    <row r="4925" spans="1:6" x14ac:dyDescent="0.35">
      <c r="A4925">
        <v>1975</v>
      </c>
      <c r="B4925" s="1">
        <v>45730</v>
      </c>
      <c r="C4925" s="2">
        <v>0.125</v>
      </c>
      <c r="D4925">
        <v>3</v>
      </c>
      <c r="E4925">
        <v>-1.4</v>
      </c>
      <c r="F4925">
        <v>99</v>
      </c>
    </row>
    <row r="4926" spans="1:6" x14ac:dyDescent="0.35">
      <c r="A4926">
        <v>1975</v>
      </c>
      <c r="B4926" s="1">
        <v>45730</v>
      </c>
      <c r="C4926" s="2">
        <v>0.16666666666666671</v>
      </c>
      <c r="D4926">
        <v>3</v>
      </c>
      <c r="E4926">
        <v>-0.1</v>
      </c>
      <c r="F4926">
        <v>98</v>
      </c>
    </row>
    <row r="4927" spans="1:6" x14ac:dyDescent="0.35">
      <c r="A4927">
        <v>1975</v>
      </c>
      <c r="B4927" s="1">
        <v>45730</v>
      </c>
      <c r="C4927" s="2">
        <v>0.20833333333333329</v>
      </c>
      <c r="D4927">
        <v>3</v>
      </c>
      <c r="E4927">
        <v>0.1</v>
      </c>
      <c r="F4927">
        <v>96</v>
      </c>
    </row>
    <row r="4928" spans="1:6" x14ac:dyDescent="0.35">
      <c r="A4928">
        <v>1975</v>
      </c>
      <c r="B4928" s="1">
        <v>45730</v>
      </c>
      <c r="C4928" s="2">
        <v>0.25</v>
      </c>
      <c r="D4928">
        <v>3</v>
      </c>
      <c r="E4928">
        <v>0.5</v>
      </c>
      <c r="F4928">
        <v>97</v>
      </c>
    </row>
    <row r="4929" spans="1:6" x14ac:dyDescent="0.35">
      <c r="A4929">
        <v>1975</v>
      </c>
      <c r="B4929" s="1">
        <v>45730</v>
      </c>
      <c r="C4929" s="2">
        <v>0.29166666666666669</v>
      </c>
      <c r="D4929">
        <v>3</v>
      </c>
      <c r="E4929">
        <v>0.9</v>
      </c>
      <c r="F4929">
        <v>94</v>
      </c>
    </row>
    <row r="4930" spans="1:6" x14ac:dyDescent="0.35">
      <c r="A4930">
        <v>1975</v>
      </c>
      <c r="B4930" s="1">
        <v>45730</v>
      </c>
      <c r="C4930" s="2">
        <v>0.33333333333333331</v>
      </c>
      <c r="D4930">
        <v>3</v>
      </c>
      <c r="E4930">
        <v>2.2000000000000002</v>
      </c>
      <c r="F4930">
        <v>90</v>
      </c>
    </row>
    <row r="4931" spans="1:6" x14ac:dyDescent="0.35">
      <c r="A4931">
        <v>1975</v>
      </c>
      <c r="B4931" s="1">
        <v>45730</v>
      </c>
      <c r="C4931" s="2">
        <v>0.375</v>
      </c>
      <c r="D4931">
        <v>3</v>
      </c>
      <c r="E4931">
        <v>3.3</v>
      </c>
      <c r="F4931">
        <v>85</v>
      </c>
    </row>
    <row r="4932" spans="1:6" x14ac:dyDescent="0.35">
      <c r="A4932">
        <v>1975</v>
      </c>
      <c r="B4932" s="1">
        <v>45730</v>
      </c>
      <c r="C4932" s="2">
        <v>0.41666666666666669</v>
      </c>
      <c r="D4932">
        <v>3</v>
      </c>
      <c r="E4932">
        <v>4.5</v>
      </c>
      <c r="F4932">
        <v>81</v>
      </c>
    </row>
    <row r="4933" spans="1:6" x14ac:dyDescent="0.35">
      <c r="A4933">
        <v>1975</v>
      </c>
      <c r="B4933" s="1">
        <v>45730</v>
      </c>
      <c r="C4933" s="2">
        <v>0.45833333333333331</v>
      </c>
      <c r="D4933">
        <v>3</v>
      </c>
      <c r="E4933">
        <v>4.7</v>
      </c>
      <c r="F4933">
        <v>78</v>
      </c>
    </row>
    <row r="4934" spans="1:6" x14ac:dyDescent="0.35">
      <c r="A4934">
        <v>1975</v>
      </c>
      <c r="B4934" s="1">
        <v>45730</v>
      </c>
      <c r="C4934" s="2">
        <v>0.5</v>
      </c>
      <c r="D4934">
        <v>3</v>
      </c>
      <c r="E4934">
        <v>5.3</v>
      </c>
      <c r="F4934">
        <v>69</v>
      </c>
    </row>
    <row r="4935" spans="1:6" x14ac:dyDescent="0.35">
      <c r="A4935">
        <v>1975</v>
      </c>
      <c r="B4935" s="1">
        <v>45730</v>
      </c>
      <c r="C4935" s="2">
        <v>0.54166666666666663</v>
      </c>
      <c r="D4935">
        <v>3</v>
      </c>
      <c r="E4935">
        <v>3</v>
      </c>
      <c r="F4935">
        <v>83</v>
      </c>
    </row>
    <row r="4936" spans="1:6" x14ac:dyDescent="0.35">
      <c r="A4936">
        <v>1975</v>
      </c>
      <c r="B4936" s="1">
        <v>45730</v>
      </c>
      <c r="C4936" s="2">
        <v>0.58333333333333337</v>
      </c>
      <c r="D4936">
        <v>3</v>
      </c>
      <c r="E4936">
        <v>4.0999999999999996</v>
      </c>
      <c r="F4936">
        <v>78</v>
      </c>
    </row>
    <row r="4937" spans="1:6" x14ac:dyDescent="0.35">
      <c r="A4937">
        <v>1975</v>
      </c>
      <c r="B4937" s="1">
        <v>45730</v>
      </c>
      <c r="C4937" s="2">
        <v>0.625</v>
      </c>
      <c r="D4937">
        <v>3</v>
      </c>
      <c r="E4937">
        <v>4.5999999999999996</v>
      </c>
      <c r="F4937">
        <v>77</v>
      </c>
    </row>
    <row r="4938" spans="1:6" x14ac:dyDescent="0.35">
      <c r="A4938">
        <v>1975</v>
      </c>
      <c r="B4938" s="1">
        <v>45730</v>
      </c>
      <c r="C4938" s="2">
        <v>0.66666666666666663</v>
      </c>
      <c r="D4938">
        <v>3</v>
      </c>
      <c r="E4938">
        <v>4</v>
      </c>
      <c r="F4938">
        <v>82</v>
      </c>
    </row>
    <row r="4939" spans="1:6" x14ac:dyDescent="0.35">
      <c r="A4939">
        <v>1975</v>
      </c>
      <c r="B4939" s="1">
        <v>45730</v>
      </c>
      <c r="C4939" s="2">
        <v>0.70833333333333337</v>
      </c>
      <c r="D4939">
        <v>3</v>
      </c>
      <c r="E4939">
        <v>3.3</v>
      </c>
      <c r="F4939">
        <v>82</v>
      </c>
    </row>
    <row r="4940" spans="1:6" x14ac:dyDescent="0.35">
      <c r="A4940">
        <v>1975</v>
      </c>
      <c r="B4940" s="1">
        <v>45730</v>
      </c>
      <c r="C4940" s="2">
        <v>0.75</v>
      </c>
      <c r="D4940">
        <v>3</v>
      </c>
      <c r="E4940">
        <v>3.3</v>
      </c>
      <c r="F4940">
        <v>83</v>
      </c>
    </row>
    <row r="4941" spans="1:6" x14ac:dyDescent="0.35">
      <c r="A4941">
        <v>1975</v>
      </c>
      <c r="B4941" s="1">
        <v>45730</v>
      </c>
      <c r="C4941" s="2">
        <v>0.79166666666666663</v>
      </c>
      <c r="D4941">
        <v>3</v>
      </c>
      <c r="E4941">
        <v>3.1</v>
      </c>
      <c r="F4941">
        <v>79</v>
      </c>
    </row>
    <row r="4942" spans="1:6" x14ac:dyDescent="0.35">
      <c r="A4942">
        <v>1975</v>
      </c>
      <c r="B4942" s="1">
        <v>45730</v>
      </c>
      <c r="C4942" s="2">
        <v>0.83333333333333337</v>
      </c>
      <c r="D4942">
        <v>3</v>
      </c>
      <c r="E4942">
        <v>2.7</v>
      </c>
      <c r="F4942">
        <v>82</v>
      </c>
    </row>
    <row r="4943" spans="1:6" x14ac:dyDescent="0.35">
      <c r="A4943">
        <v>1975</v>
      </c>
      <c r="B4943" s="1">
        <v>45730</v>
      </c>
      <c r="C4943" s="2">
        <v>0.875</v>
      </c>
      <c r="D4943">
        <v>3</v>
      </c>
      <c r="E4943">
        <v>1.3</v>
      </c>
      <c r="F4943">
        <v>81</v>
      </c>
    </row>
    <row r="4944" spans="1:6" x14ac:dyDescent="0.35">
      <c r="A4944">
        <v>1975</v>
      </c>
      <c r="B4944" s="1">
        <v>45730</v>
      </c>
      <c r="C4944" s="2">
        <v>0.91666666666666663</v>
      </c>
      <c r="D4944">
        <v>3</v>
      </c>
      <c r="E4944">
        <v>1.3</v>
      </c>
      <c r="F4944">
        <v>84</v>
      </c>
    </row>
    <row r="4945" spans="1:6" x14ac:dyDescent="0.35">
      <c r="A4945">
        <v>1975</v>
      </c>
      <c r="B4945" s="1">
        <v>45730</v>
      </c>
      <c r="C4945" s="2">
        <v>0.95833333333333337</v>
      </c>
      <c r="D4945">
        <v>3</v>
      </c>
      <c r="E4945">
        <v>1.1000000000000001</v>
      </c>
      <c r="F4945">
        <v>86</v>
      </c>
    </row>
    <row r="4946" spans="1:6" x14ac:dyDescent="0.35">
      <c r="A4946">
        <v>1975</v>
      </c>
      <c r="B4946" s="1">
        <v>45731</v>
      </c>
      <c r="C4946" s="2">
        <v>0</v>
      </c>
      <c r="D4946">
        <v>3</v>
      </c>
      <c r="E4946">
        <v>-0.2</v>
      </c>
      <c r="F4946">
        <v>92</v>
      </c>
    </row>
    <row r="4947" spans="1:6" x14ac:dyDescent="0.35">
      <c r="A4947">
        <v>1975</v>
      </c>
      <c r="B4947" s="1">
        <v>45731</v>
      </c>
      <c r="C4947" s="2">
        <v>4.1666666666666657E-2</v>
      </c>
      <c r="D4947">
        <v>3</v>
      </c>
      <c r="E4947">
        <v>-0.6</v>
      </c>
      <c r="F4947">
        <v>94</v>
      </c>
    </row>
    <row r="4948" spans="1:6" x14ac:dyDescent="0.35">
      <c r="A4948">
        <v>1975</v>
      </c>
      <c r="B4948" s="1">
        <v>45731</v>
      </c>
      <c r="C4948" s="2">
        <v>8.3333333333333329E-2</v>
      </c>
      <c r="D4948">
        <v>3</v>
      </c>
      <c r="E4948">
        <v>-0.3</v>
      </c>
      <c r="F4948">
        <v>95</v>
      </c>
    </row>
    <row r="4949" spans="1:6" x14ac:dyDescent="0.35">
      <c r="A4949">
        <v>1975</v>
      </c>
      <c r="B4949" s="1">
        <v>45731</v>
      </c>
      <c r="C4949" s="2">
        <v>0.125</v>
      </c>
      <c r="D4949">
        <v>3</v>
      </c>
      <c r="E4949">
        <v>-0.4</v>
      </c>
      <c r="F4949">
        <v>94</v>
      </c>
    </row>
    <row r="4950" spans="1:6" x14ac:dyDescent="0.35">
      <c r="A4950">
        <v>1975</v>
      </c>
      <c r="B4950" s="1">
        <v>45731</v>
      </c>
      <c r="C4950" s="2">
        <v>0.16666666666666671</v>
      </c>
      <c r="D4950">
        <v>3</v>
      </c>
      <c r="E4950">
        <v>-0.2</v>
      </c>
      <c r="F4950">
        <v>92</v>
      </c>
    </row>
    <row r="4951" spans="1:6" x14ac:dyDescent="0.35">
      <c r="A4951">
        <v>1975</v>
      </c>
      <c r="B4951" s="1">
        <v>45731</v>
      </c>
      <c r="C4951" s="2">
        <v>0.20833333333333329</v>
      </c>
      <c r="D4951">
        <v>3</v>
      </c>
      <c r="E4951">
        <v>-2</v>
      </c>
      <c r="F4951">
        <v>97</v>
      </c>
    </row>
    <row r="4952" spans="1:6" x14ac:dyDescent="0.35">
      <c r="A4952">
        <v>1975</v>
      </c>
      <c r="B4952" s="1">
        <v>45731</v>
      </c>
      <c r="C4952" s="2">
        <v>0.25</v>
      </c>
      <c r="D4952">
        <v>3</v>
      </c>
      <c r="E4952">
        <v>-2.7</v>
      </c>
      <c r="F4952">
        <v>94</v>
      </c>
    </row>
    <row r="4953" spans="1:6" x14ac:dyDescent="0.35">
      <c r="A4953">
        <v>1975</v>
      </c>
      <c r="B4953" s="1">
        <v>45731</v>
      </c>
      <c r="C4953" s="2">
        <v>0.29166666666666669</v>
      </c>
      <c r="D4953">
        <v>3</v>
      </c>
      <c r="E4953">
        <v>-0.9</v>
      </c>
      <c r="F4953">
        <v>89</v>
      </c>
    </row>
    <row r="4954" spans="1:6" x14ac:dyDescent="0.35">
      <c r="A4954">
        <v>1975</v>
      </c>
      <c r="B4954" s="1">
        <v>45731</v>
      </c>
      <c r="C4954" s="2">
        <v>0.33333333333333331</v>
      </c>
      <c r="D4954">
        <v>3</v>
      </c>
      <c r="E4954">
        <v>1.8</v>
      </c>
      <c r="F4954">
        <v>79</v>
      </c>
    </row>
    <row r="4955" spans="1:6" x14ac:dyDescent="0.35">
      <c r="A4955">
        <v>1975</v>
      </c>
      <c r="B4955" s="1">
        <v>45731</v>
      </c>
      <c r="C4955" s="2">
        <v>0.375</v>
      </c>
      <c r="D4955">
        <v>3</v>
      </c>
      <c r="E4955">
        <v>3.1</v>
      </c>
      <c r="F4955">
        <v>78</v>
      </c>
    </row>
    <row r="4956" spans="1:6" x14ac:dyDescent="0.35">
      <c r="A4956">
        <v>1975</v>
      </c>
      <c r="B4956" s="1">
        <v>45731</v>
      </c>
      <c r="C4956" s="2">
        <v>0.41666666666666669</v>
      </c>
      <c r="D4956">
        <v>3</v>
      </c>
      <c r="E4956">
        <v>5</v>
      </c>
      <c r="F4956">
        <v>77</v>
      </c>
    </row>
    <row r="4957" spans="1:6" x14ac:dyDescent="0.35">
      <c r="A4957">
        <v>1975</v>
      </c>
      <c r="B4957" s="1">
        <v>45731</v>
      </c>
      <c r="C4957" s="2">
        <v>0.45833333333333331</v>
      </c>
      <c r="D4957">
        <v>3</v>
      </c>
      <c r="E4957">
        <v>4.8</v>
      </c>
      <c r="F4957">
        <v>70</v>
      </c>
    </row>
    <row r="4958" spans="1:6" x14ac:dyDescent="0.35">
      <c r="A4958">
        <v>1975</v>
      </c>
      <c r="B4958" s="1">
        <v>45731</v>
      </c>
      <c r="C4958" s="2">
        <v>0.5</v>
      </c>
      <c r="D4958">
        <v>3</v>
      </c>
      <c r="E4958">
        <v>6.8</v>
      </c>
      <c r="F4958">
        <v>60</v>
      </c>
    </row>
    <row r="4959" spans="1:6" x14ac:dyDescent="0.35">
      <c r="A4959">
        <v>1975</v>
      </c>
      <c r="B4959" s="1">
        <v>45731</v>
      </c>
      <c r="C4959" s="2">
        <v>0.54166666666666663</v>
      </c>
      <c r="D4959">
        <v>3</v>
      </c>
      <c r="E4959">
        <v>7.1</v>
      </c>
      <c r="F4959">
        <v>62</v>
      </c>
    </row>
    <row r="4960" spans="1:6" x14ac:dyDescent="0.35">
      <c r="A4960">
        <v>1975</v>
      </c>
      <c r="B4960" s="1">
        <v>45731</v>
      </c>
      <c r="C4960" s="2">
        <v>0.58333333333333337</v>
      </c>
      <c r="D4960">
        <v>3</v>
      </c>
      <c r="E4960">
        <v>7.2</v>
      </c>
      <c r="F4960">
        <v>55</v>
      </c>
    </row>
    <row r="4961" spans="1:6" x14ac:dyDescent="0.35">
      <c r="A4961">
        <v>1975</v>
      </c>
      <c r="B4961" s="1">
        <v>45731</v>
      </c>
      <c r="C4961" s="2">
        <v>0.625</v>
      </c>
      <c r="D4961">
        <v>3</v>
      </c>
      <c r="E4961">
        <v>7.2</v>
      </c>
      <c r="F4961">
        <v>56</v>
      </c>
    </row>
    <row r="4962" spans="1:6" x14ac:dyDescent="0.35">
      <c r="A4962">
        <v>1975</v>
      </c>
      <c r="B4962" s="1">
        <v>45731</v>
      </c>
      <c r="C4962" s="2">
        <v>0.66666666666666663</v>
      </c>
      <c r="D4962">
        <v>3</v>
      </c>
      <c r="E4962">
        <v>6.7</v>
      </c>
      <c r="F4962">
        <v>58</v>
      </c>
    </row>
    <row r="4963" spans="1:6" x14ac:dyDescent="0.35">
      <c r="A4963">
        <v>1975</v>
      </c>
      <c r="B4963" s="1">
        <v>45731</v>
      </c>
      <c r="C4963" s="2">
        <v>0.70833333333333337</v>
      </c>
      <c r="D4963">
        <v>3</v>
      </c>
      <c r="E4963">
        <v>5.7</v>
      </c>
      <c r="F4963">
        <v>60</v>
      </c>
    </row>
    <row r="4964" spans="1:6" x14ac:dyDescent="0.35">
      <c r="A4964">
        <v>1975</v>
      </c>
      <c r="B4964" s="1">
        <v>45731</v>
      </c>
      <c r="C4964" s="2">
        <v>0.75</v>
      </c>
      <c r="D4964">
        <v>3</v>
      </c>
      <c r="E4964">
        <v>4.4000000000000004</v>
      </c>
      <c r="F4964">
        <v>65</v>
      </c>
    </row>
    <row r="4965" spans="1:6" x14ac:dyDescent="0.35">
      <c r="A4965">
        <v>1975</v>
      </c>
      <c r="B4965" s="1">
        <v>45731</v>
      </c>
      <c r="C4965" s="2">
        <v>0.79166666666666663</v>
      </c>
      <c r="D4965">
        <v>3</v>
      </c>
      <c r="E4965">
        <v>3.2</v>
      </c>
      <c r="F4965">
        <v>74</v>
      </c>
    </row>
    <row r="4966" spans="1:6" x14ac:dyDescent="0.35">
      <c r="A4966">
        <v>1975</v>
      </c>
      <c r="B4966" s="1">
        <v>45731</v>
      </c>
      <c r="C4966" s="2">
        <v>0.83333333333333337</v>
      </c>
      <c r="D4966">
        <v>3</v>
      </c>
      <c r="E4966">
        <v>1.4</v>
      </c>
      <c r="F4966">
        <v>79</v>
      </c>
    </row>
    <row r="4967" spans="1:6" x14ac:dyDescent="0.35">
      <c r="A4967">
        <v>1975</v>
      </c>
      <c r="B4967" s="1">
        <v>45731</v>
      </c>
      <c r="C4967" s="2">
        <v>0.875</v>
      </c>
      <c r="D4967">
        <v>3</v>
      </c>
      <c r="E4967">
        <v>-0.4</v>
      </c>
      <c r="F4967">
        <v>89</v>
      </c>
    </row>
    <row r="4968" spans="1:6" x14ac:dyDescent="0.35">
      <c r="A4968">
        <v>1975</v>
      </c>
      <c r="B4968" s="1">
        <v>45731</v>
      </c>
      <c r="C4968" s="2">
        <v>0.91666666666666663</v>
      </c>
      <c r="D4968">
        <v>3</v>
      </c>
      <c r="E4968">
        <v>-1.5</v>
      </c>
      <c r="F4968">
        <v>96</v>
      </c>
    </row>
    <row r="4969" spans="1:6" x14ac:dyDescent="0.35">
      <c r="A4969">
        <v>1975</v>
      </c>
      <c r="B4969" s="1">
        <v>45731</v>
      </c>
      <c r="C4969" s="2">
        <v>0.95833333333333337</v>
      </c>
      <c r="D4969">
        <v>3</v>
      </c>
      <c r="E4969">
        <v>-2.5</v>
      </c>
      <c r="F4969">
        <v>97</v>
      </c>
    </row>
    <row r="4970" spans="1:6" x14ac:dyDescent="0.35">
      <c r="A4970">
        <v>1975</v>
      </c>
      <c r="B4970" s="1">
        <v>45732</v>
      </c>
      <c r="C4970" s="2">
        <v>0</v>
      </c>
      <c r="D4970">
        <v>3</v>
      </c>
      <c r="E4970">
        <v>-3.5</v>
      </c>
      <c r="F4970">
        <v>98</v>
      </c>
    </row>
    <row r="4971" spans="1:6" x14ac:dyDescent="0.35">
      <c r="A4971">
        <v>1975</v>
      </c>
      <c r="B4971" s="1">
        <v>45732</v>
      </c>
      <c r="C4971" s="2">
        <v>4.1666666666666657E-2</v>
      </c>
      <c r="D4971">
        <v>3</v>
      </c>
      <c r="E4971">
        <v>-3.9</v>
      </c>
      <c r="F4971">
        <v>99</v>
      </c>
    </row>
    <row r="4972" spans="1:6" x14ac:dyDescent="0.35">
      <c r="A4972">
        <v>1975</v>
      </c>
      <c r="B4972" s="1">
        <v>45732</v>
      </c>
      <c r="C4972" s="2">
        <v>8.3333333333333329E-2</v>
      </c>
      <c r="D4972">
        <v>3</v>
      </c>
      <c r="E4972">
        <v>-4.0999999999999996</v>
      </c>
      <c r="F4972">
        <v>99</v>
      </c>
    </row>
    <row r="4973" spans="1:6" x14ac:dyDescent="0.35">
      <c r="A4973">
        <v>1975</v>
      </c>
      <c r="B4973" s="1">
        <v>45732</v>
      </c>
      <c r="C4973" s="2">
        <v>0.125</v>
      </c>
      <c r="D4973">
        <v>3</v>
      </c>
      <c r="E4973">
        <v>-4.5</v>
      </c>
      <c r="F4973">
        <v>99</v>
      </c>
    </row>
    <row r="4974" spans="1:6" x14ac:dyDescent="0.35">
      <c r="A4974">
        <v>1975</v>
      </c>
      <c r="B4974" s="1">
        <v>45732</v>
      </c>
      <c r="C4974" s="2">
        <v>0.16666666666666671</v>
      </c>
      <c r="D4974">
        <v>3</v>
      </c>
      <c r="E4974">
        <v>-5</v>
      </c>
      <c r="F4974">
        <v>97</v>
      </c>
    </row>
    <row r="4975" spans="1:6" x14ac:dyDescent="0.35">
      <c r="A4975">
        <v>1975</v>
      </c>
      <c r="B4975" s="1">
        <v>45732</v>
      </c>
      <c r="C4975" s="2">
        <v>0.20833333333333329</v>
      </c>
      <c r="D4975">
        <v>3</v>
      </c>
      <c r="E4975">
        <v>-4.9000000000000004</v>
      </c>
      <c r="F4975">
        <v>98</v>
      </c>
    </row>
    <row r="4976" spans="1:6" x14ac:dyDescent="0.35">
      <c r="A4976">
        <v>1975</v>
      </c>
      <c r="B4976" s="1">
        <v>45732</v>
      </c>
      <c r="C4976" s="2">
        <v>0.25</v>
      </c>
      <c r="D4976">
        <v>3</v>
      </c>
      <c r="E4976">
        <v>-5</v>
      </c>
      <c r="F4976">
        <v>98</v>
      </c>
    </row>
    <row r="4977" spans="1:6" x14ac:dyDescent="0.35">
      <c r="A4977">
        <v>1975</v>
      </c>
      <c r="B4977" s="1">
        <v>45732</v>
      </c>
      <c r="C4977" s="2">
        <v>0.29166666666666669</v>
      </c>
      <c r="D4977">
        <v>3</v>
      </c>
      <c r="E4977">
        <v>-1.9</v>
      </c>
      <c r="F4977">
        <v>89</v>
      </c>
    </row>
    <row r="4978" spans="1:6" x14ac:dyDescent="0.35">
      <c r="A4978">
        <v>1975</v>
      </c>
      <c r="B4978" s="1">
        <v>45732</v>
      </c>
      <c r="C4978" s="2">
        <v>0.33333333333333331</v>
      </c>
      <c r="D4978">
        <v>3</v>
      </c>
      <c r="E4978">
        <v>2</v>
      </c>
      <c r="F4978">
        <v>85</v>
      </c>
    </row>
    <row r="4979" spans="1:6" x14ac:dyDescent="0.35">
      <c r="A4979">
        <v>1975</v>
      </c>
      <c r="B4979" s="1">
        <v>45732</v>
      </c>
      <c r="C4979" s="2">
        <v>0.375</v>
      </c>
      <c r="D4979">
        <v>3</v>
      </c>
      <c r="E4979">
        <v>3.5</v>
      </c>
      <c r="F4979">
        <v>87</v>
      </c>
    </row>
    <row r="4980" spans="1:6" x14ac:dyDescent="0.35">
      <c r="A4980">
        <v>1975</v>
      </c>
      <c r="B4980" s="1">
        <v>45732</v>
      </c>
      <c r="C4980" s="2">
        <v>0.41666666666666669</v>
      </c>
      <c r="D4980">
        <v>3</v>
      </c>
      <c r="E4980">
        <v>5</v>
      </c>
      <c r="F4980">
        <v>78</v>
      </c>
    </row>
    <row r="4981" spans="1:6" x14ac:dyDescent="0.35">
      <c r="A4981">
        <v>1975</v>
      </c>
      <c r="B4981" s="1">
        <v>45732</v>
      </c>
      <c r="C4981" s="2">
        <v>0.45833333333333331</v>
      </c>
      <c r="D4981">
        <v>3</v>
      </c>
      <c r="E4981">
        <v>6.1</v>
      </c>
      <c r="F4981">
        <v>72</v>
      </c>
    </row>
    <row r="4982" spans="1:6" x14ac:dyDescent="0.35">
      <c r="A4982">
        <v>1975</v>
      </c>
      <c r="B4982" s="1">
        <v>45732</v>
      </c>
      <c r="C4982" s="2">
        <v>0.5</v>
      </c>
      <c r="D4982">
        <v>3</v>
      </c>
      <c r="E4982">
        <v>6.4</v>
      </c>
      <c r="F4982">
        <v>72</v>
      </c>
    </row>
    <row r="4983" spans="1:6" x14ac:dyDescent="0.35">
      <c r="A4983">
        <v>1975</v>
      </c>
      <c r="B4983" s="1">
        <v>45732</v>
      </c>
      <c r="C4983" s="2">
        <v>0.54166666666666663</v>
      </c>
      <c r="D4983">
        <v>3</v>
      </c>
      <c r="E4983">
        <v>6.3</v>
      </c>
      <c r="F4983">
        <v>72</v>
      </c>
    </row>
    <row r="4984" spans="1:6" x14ac:dyDescent="0.35">
      <c r="A4984">
        <v>1975</v>
      </c>
      <c r="B4984" s="1">
        <v>45732</v>
      </c>
      <c r="C4984" s="2">
        <v>0.58333333333333337</v>
      </c>
      <c r="D4984">
        <v>3</v>
      </c>
      <c r="E4984">
        <v>6.7</v>
      </c>
      <c r="F4984">
        <v>73</v>
      </c>
    </row>
    <row r="4985" spans="1:6" x14ac:dyDescent="0.35">
      <c r="A4985">
        <v>1975</v>
      </c>
      <c r="B4985" s="1">
        <v>45732</v>
      </c>
      <c r="C4985" s="2">
        <v>0.625</v>
      </c>
      <c r="D4985">
        <v>3</v>
      </c>
      <c r="E4985">
        <v>6.5</v>
      </c>
      <c r="F4985">
        <v>76</v>
      </c>
    </row>
    <row r="4986" spans="1:6" x14ac:dyDescent="0.35">
      <c r="A4986">
        <v>1975</v>
      </c>
      <c r="B4986" s="1">
        <v>45732</v>
      </c>
      <c r="C4986" s="2">
        <v>0.66666666666666663</v>
      </c>
      <c r="D4986">
        <v>3</v>
      </c>
      <c r="E4986">
        <v>6.3</v>
      </c>
      <c r="F4986">
        <v>81</v>
      </c>
    </row>
    <row r="4987" spans="1:6" x14ac:dyDescent="0.35">
      <c r="A4987">
        <v>1975</v>
      </c>
      <c r="B4987" s="1">
        <v>45732</v>
      </c>
      <c r="C4987" s="2">
        <v>0.70833333333333337</v>
      </c>
      <c r="D4987">
        <v>3</v>
      </c>
      <c r="E4987">
        <v>5.4</v>
      </c>
      <c r="F4987">
        <v>97</v>
      </c>
    </row>
    <row r="4988" spans="1:6" x14ac:dyDescent="0.35">
      <c r="A4988">
        <v>1975</v>
      </c>
      <c r="B4988" s="1">
        <v>45732</v>
      </c>
      <c r="C4988" s="2">
        <v>0.75</v>
      </c>
      <c r="D4988">
        <v>3</v>
      </c>
      <c r="E4988">
        <v>5.3</v>
      </c>
      <c r="F4988">
        <v>96</v>
      </c>
    </row>
    <row r="4989" spans="1:6" x14ac:dyDescent="0.35">
      <c r="A4989">
        <v>1975</v>
      </c>
      <c r="B4989" s="1">
        <v>45732</v>
      </c>
      <c r="C4989" s="2">
        <v>0.79166666666666663</v>
      </c>
      <c r="D4989">
        <v>3</v>
      </c>
      <c r="E4989">
        <v>5.3</v>
      </c>
      <c r="F4989">
        <v>88</v>
      </c>
    </row>
    <row r="4990" spans="1:6" x14ac:dyDescent="0.35">
      <c r="A4990">
        <v>1975</v>
      </c>
      <c r="B4990" s="1">
        <v>45732</v>
      </c>
      <c r="C4990" s="2">
        <v>0.83333333333333337</v>
      </c>
      <c r="D4990">
        <v>3</v>
      </c>
      <c r="E4990">
        <v>4.0999999999999996</v>
      </c>
      <c r="F4990">
        <v>80</v>
      </c>
    </row>
    <row r="4991" spans="1:6" x14ac:dyDescent="0.35">
      <c r="A4991">
        <v>1975</v>
      </c>
      <c r="B4991" s="1">
        <v>45732</v>
      </c>
      <c r="C4991" s="2">
        <v>0.875</v>
      </c>
      <c r="D4991">
        <v>3</v>
      </c>
      <c r="E4991">
        <v>3.8</v>
      </c>
      <c r="F4991">
        <v>79</v>
      </c>
    </row>
    <row r="4992" spans="1:6" x14ac:dyDescent="0.35">
      <c r="A4992">
        <v>1975</v>
      </c>
      <c r="B4992" s="1">
        <v>45732</v>
      </c>
      <c r="C4992" s="2">
        <v>0.91666666666666663</v>
      </c>
      <c r="D4992">
        <v>3</v>
      </c>
      <c r="E4992">
        <v>3</v>
      </c>
      <c r="F4992">
        <v>84</v>
      </c>
    </row>
    <row r="4993" spans="1:6" x14ac:dyDescent="0.35">
      <c r="A4993">
        <v>1975</v>
      </c>
      <c r="B4993" s="1">
        <v>45732</v>
      </c>
      <c r="C4993" s="2">
        <v>0.95833333333333337</v>
      </c>
      <c r="D4993">
        <v>3</v>
      </c>
      <c r="E4993">
        <v>3.5</v>
      </c>
      <c r="F4993">
        <v>74</v>
      </c>
    </row>
    <row r="4994" spans="1:6" x14ac:dyDescent="0.35">
      <c r="A4994">
        <v>1975</v>
      </c>
      <c r="B4994" s="1">
        <v>45733</v>
      </c>
      <c r="C4994" s="2">
        <v>0</v>
      </c>
      <c r="D4994">
        <v>3</v>
      </c>
      <c r="E4994">
        <v>3.2</v>
      </c>
      <c r="F4994">
        <v>61</v>
      </c>
    </row>
    <row r="4995" spans="1:6" x14ac:dyDescent="0.35">
      <c r="A4995">
        <v>1975</v>
      </c>
      <c r="B4995" s="1">
        <v>45733</v>
      </c>
      <c r="C4995" s="2">
        <v>4.1666666666666657E-2</v>
      </c>
      <c r="D4995">
        <v>3</v>
      </c>
      <c r="E4995">
        <v>2.2000000000000002</v>
      </c>
      <c r="F4995">
        <v>61</v>
      </c>
    </row>
    <row r="4996" spans="1:6" x14ac:dyDescent="0.35">
      <c r="A4996">
        <v>1975</v>
      </c>
      <c r="B4996" s="1">
        <v>45733</v>
      </c>
      <c r="C4996" s="2">
        <v>8.3333333333333329E-2</v>
      </c>
      <c r="D4996">
        <v>3</v>
      </c>
      <c r="E4996">
        <v>1.8</v>
      </c>
      <c r="F4996">
        <v>64</v>
      </c>
    </row>
    <row r="4997" spans="1:6" x14ac:dyDescent="0.35">
      <c r="A4997">
        <v>1975</v>
      </c>
      <c r="B4997" s="1">
        <v>45733</v>
      </c>
      <c r="C4997" s="2">
        <v>0.125</v>
      </c>
      <c r="D4997">
        <v>3</v>
      </c>
      <c r="E4997">
        <v>0.3</v>
      </c>
      <c r="F4997">
        <v>67</v>
      </c>
    </row>
    <row r="4998" spans="1:6" x14ac:dyDescent="0.35">
      <c r="A4998">
        <v>1975</v>
      </c>
      <c r="B4998" s="1">
        <v>45733</v>
      </c>
      <c r="C4998" s="2">
        <v>0.16666666666666671</v>
      </c>
      <c r="D4998">
        <v>3</v>
      </c>
      <c r="E4998">
        <v>-0.1</v>
      </c>
      <c r="F4998">
        <v>68</v>
      </c>
    </row>
    <row r="4999" spans="1:6" x14ac:dyDescent="0.35">
      <c r="A4999">
        <v>1975</v>
      </c>
      <c r="B4999" s="1">
        <v>45733</v>
      </c>
      <c r="C4999" s="2">
        <v>0.20833333333333329</v>
      </c>
      <c r="D4999">
        <v>3</v>
      </c>
      <c r="E4999">
        <v>-0.6</v>
      </c>
      <c r="F4999">
        <v>67</v>
      </c>
    </row>
    <row r="5000" spans="1:6" x14ac:dyDescent="0.35">
      <c r="A5000">
        <v>1975</v>
      </c>
      <c r="B5000" s="1">
        <v>45733</v>
      </c>
      <c r="C5000" s="2">
        <v>0.25</v>
      </c>
      <c r="D5000">
        <v>3</v>
      </c>
      <c r="E5000">
        <v>-0.5</v>
      </c>
      <c r="F5000">
        <v>65</v>
      </c>
    </row>
    <row r="5001" spans="1:6" x14ac:dyDescent="0.35">
      <c r="A5001">
        <v>1975</v>
      </c>
      <c r="B5001" s="1">
        <v>45733</v>
      </c>
      <c r="C5001" s="2">
        <v>0.29166666666666669</v>
      </c>
      <c r="D5001">
        <v>3</v>
      </c>
      <c r="E5001">
        <v>1</v>
      </c>
      <c r="F5001">
        <v>60</v>
      </c>
    </row>
    <row r="5002" spans="1:6" x14ac:dyDescent="0.35">
      <c r="A5002">
        <v>1975</v>
      </c>
      <c r="B5002" s="1">
        <v>45733</v>
      </c>
      <c r="C5002" s="2">
        <v>0.33333333333333331</v>
      </c>
      <c r="D5002">
        <v>3</v>
      </c>
      <c r="E5002">
        <v>2.5</v>
      </c>
      <c r="F5002">
        <v>52</v>
      </c>
    </row>
    <row r="5003" spans="1:6" x14ac:dyDescent="0.35">
      <c r="A5003">
        <v>1975</v>
      </c>
      <c r="B5003" s="1">
        <v>45733</v>
      </c>
      <c r="C5003" s="2">
        <v>0.375</v>
      </c>
      <c r="D5003">
        <v>3</v>
      </c>
      <c r="E5003">
        <v>3.9</v>
      </c>
      <c r="F5003">
        <v>49</v>
      </c>
    </row>
    <row r="5004" spans="1:6" x14ac:dyDescent="0.35">
      <c r="A5004">
        <v>1975</v>
      </c>
      <c r="B5004" s="1">
        <v>45733</v>
      </c>
      <c r="C5004" s="2">
        <v>0.41666666666666669</v>
      </c>
      <c r="D5004">
        <v>3</v>
      </c>
      <c r="E5004">
        <v>5.3</v>
      </c>
      <c r="F5004">
        <v>48</v>
      </c>
    </row>
    <row r="5005" spans="1:6" x14ac:dyDescent="0.35">
      <c r="A5005">
        <v>1975</v>
      </c>
      <c r="B5005" s="1">
        <v>45733</v>
      </c>
      <c r="C5005" s="2">
        <v>0.45833333333333331</v>
      </c>
      <c r="D5005">
        <v>3</v>
      </c>
      <c r="E5005">
        <v>5.2</v>
      </c>
      <c r="F5005">
        <v>40</v>
      </c>
    </row>
    <row r="5006" spans="1:6" x14ac:dyDescent="0.35">
      <c r="A5006">
        <v>1975</v>
      </c>
      <c r="B5006" s="1">
        <v>45733</v>
      </c>
      <c r="C5006" s="2">
        <v>0.5</v>
      </c>
      <c r="D5006">
        <v>3</v>
      </c>
      <c r="E5006">
        <v>6.3</v>
      </c>
      <c r="F5006">
        <v>33</v>
      </c>
    </row>
    <row r="5007" spans="1:6" x14ac:dyDescent="0.35">
      <c r="A5007">
        <v>1975</v>
      </c>
      <c r="B5007" s="1">
        <v>45733</v>
      </c>
      <c r="C5007" s="2">
        <v>0.54166666666666663</v>
      </c>
      <c r="D5007">
        <v>3</v>
      </c>
      <c r="E5007">
        <v>6</v>
      </c>
      <c r="F5007">
        <v>30</v>
      </c>
    </row>
    <row r="5008" spans="1:6" x14ac:dyDescent="0.35">
      <c r="A5008">
        <v>1975</v>
      </c>
      <c r="B5008" s="1">
        <v>45733</v>
      </c>
      <c r="C5008" s="2">
        <v>0.58333333333333337</v>
      </c>
      <c r="D5008">
        <v>3</v>
      </c>
      <c r="E5008">
        <v>6.3</v>
      </c>
      <c r="F5008">
        <v>36</v>
      </c>
    </row>
    <row r="5009" spans="1:6" x14ac:dyDescent="0.35">
      <c r="A5009">
        <v>1975</v>
      </c>
      <c r="B5009" s="1">
        <v>45733</v>
      </c>
      <c r="C5009" s="2">
        <v>0.625</v>
      </c>
      <c r="D5009">
        <v>3</v>
      </c>
      <c r="E5009">
        <v>6.1</v>
      </c>
      <c r="F5009">
        <v>26</v>
      </c>
    </row>
    <row r="5010" spans="1:6" x14ac:dyDescent="0.35">
      <c r="A5010">
        <v>1975</v>
      </c>
      <c r="B5010" s="1">
        <v>45733</v>
      </c>
      <c r="C5010" s="2">
        <v>0.66666666666666663</v>
      </c>
      <c r="D5010">
        <v>3</v>
      </c>
      <c r="E5010">
        <v>5.9</v>
      </c>
      <c r="F5010">
        <v>24</v>
      </c>
    </row>
    <row r="5011" spans="1:6" x14ac:dyDescent="0.35">
      <c r="A5011">
        <v>1975</v>
      </c>
      <c r="B5011" s="1">
        <v>45733</v>
      </c>
      <c r="C5011" s="2">
        <v>0.70833333333333337</v>
      </c>
      <c r="D5011">
        <v>3</v>
      </c>
      <c r="E5011">
        <v>4.8</v>
      </c>
      <c r="F5011">
        <v>24</v>
      </c>
    </row>
    <row r="5012" spans="1:6" x14ac:dyDescent="0.35">
      <c r="A5012">
        <v>1975</v>
      </c>
      <c r="B5012" s="1">
        <v>45733</v>
      </c>
      <c r="C5012" s="2">
        <v>0.75</v>
      </c>
      <c r="D5012">
        <v>3</v>
      </c>
      <c r="E5012">
        <v>3.5</v>
      </c>
      <c r="F5012">
        <v>26</v>
      </c>
    </row>
    <row r="5013" spans="1:6" x14ac:dyDescent="0.35">
      <c r="A5013">
        <v>1975</v>
      </c>
      <c r="B5013" s="1">
        <v>45733</v>
      </c>
      <c r="C5013" s="2">
        <v>0.79166666666666663</v>
      </c>
      <c r="D5013">
        <v>3</v>
      </c>
      <c r="E5013">
        <v>1.4</v>
      </c>
      <c r="F5013">
        <v>34</v>
      </c>
    </row>
    <row r="5014" spans="1:6" x14ac:dyDescent="0.35">
      <c r="A5014">
        <v>1975</v>
      </c>
      <c r="B5014" s="1">
        <v>45733</v>
      </c>
      <c r="C5014" s="2">
        <v>0.83333333333333337</v>
      </c>
      <c r="D5014">
        <v>3</v>
      </c>
      <c r="E5014">
        <v>-1.4</v>
      </c>
      <c r="F5014">
        <v>65</v>
      </c>
    </row>
    <row r="5015" spans="1:6" x14ac:dyDescent="0.35">
      <c r="A5015">
        <v>1975</v>
      </c>
      <c r="B5015" s="1">
        <v>45733</v>
      </c>
      <c r="C5015" s="2">
        <v>0.875</v>
      </c>
      <c r="D5015">
        <v>3</v>
      </c>
      <c r="E5015">
        <v>-1.7</v>
      </c>
      <c r="F5015">
        <v>50</v>
      </c>
    </row>
    <row r="5016" spans="1:6" x14ac:dyDescent="0.35">
      <c r="A5016">
        <v>1975</v>
      </c>
      <c r="B5016" s="1">
        <v>45733</v>
      </c>
      <c r="C5016" s="2">
        <v>0.91666666666666663</v>
      </c>
      <c r="D5016">
        <v>3</v>
      </c>
      <c r="E5016">
        <v>-2.5</v>
      </c>
      <c r="F5016">
        <v>66</v>
      </c>
    </row>
    <row r="5017" spans="1:6" x14ac:dyDescent="0.35">
      <c r="A5017">
        <v>1975</v>
      </c>
      <c r="B5017" s="1">
        <v>45733</v>
      </c>
      <c r="C5017" s="2">
        <v>0.95833333333333337</v>
      </c>
      <c r="D5017">
        <v>3</v>
      </c>
      <c r="E5017">
        <v>-2.9</v>
      </c>
      <c r="F5017">
        <v>72</v>
      </c>
    </row>
    <row r="5018" spans="1:6" x14ac:dyDescent="0.35">
      <c r="A5018">
        <v>1975</v>
      </c>
      <c r="B5018" s="1">
        <v>45734</v>
      </c>
      <c r="C5018" s="2">
        <v>0</v>
      </c>
      <c r="D5018">
        <v>3</v>
      </c>
      <c r="E5018">
        <v>-4.2</v>
      </c>
      <c r="F5018">
        <v>70</v>
      </c>
    </row>
    <row r="5019" spans="1:6" x14ac:dyDescent="0.35">
      <c r="A5019">
        <v>1975</v>
      </c>
      <c r="B5019" s="1">
        <v>45734</v>
      </c>
      <c r="C5019" s="2">
        <v>4.1666666666666657E-2</v>
      </c>
      <c r="D5019">
        <v>3</v>
      </c>
      <c r="E5019">
        <v>-4.0999999999999996</v>
      </c>
      <c r="F5019">
        <v>68</v>
      </c>
    </row>
    <row r="5020" spans="1:6" x14ac:dyDescent="0.35">
      <c r="A5020">
        <v>1975</v>
      </c>
      <c r="B5020" s="1">
        <v>45734</v>
      </c>
      <c r="C5020" s="2">
        <v>8.3333333333333329E-2</v>
      </c>
      <c r="D5020">
        <v>3</v>
      </c>
      <c r="E5020">
        <v>-4.5</v>
      </c>
      <c r="F5020">
        <v>71</v>
      </c>
    </row>
    <row r="5021" spans="1:6" x14ac:dyDescent="0.35">
      <c r="A5021">
        <v>1975</v>
      </c>
      <c r="B5021" s="1">
        <v>45734</v>
      </c>
      <c r="C5021" s="2">
        <v>0.125</v>
      </c>
      <c r="D5021">
        <v>3</v>
      </c>
      <c r="E5021">
        <v>-5</v>
      </c>
      <c r="F5021">
        <v>79</v>
      </c>
    </row>
    <row r="5022" spans="1:6" x14ac:dyDescent="0.35">
      <c r="A5022">
        <v>1975</v>
      </c>
      <c r="B5022" s="1">
        <v>45734</v>
      </c>
      <c r="C5022" s="2">
        <v>0.16666666666666671</v>
      </c>
      <c r="D5022">
        <v>3</v>
      </c>
      <c r="E5022">
        <v>-5.6</v>
      </c>
      <c r="F5022">
        <v>80</v>
      </c>
    </row>
    <row r="5023" spans="1:6" x14ac:dyDescent="0.35">
      <c r="A5023">
        <v>1975</v>
      </c>
      <c r="B5023" s="1">
        <v>45734</v>
      </c>
      <c r="C5023" s="2">
        <v>0.20833333333333329</v>
      </c>
      <c r="D5023">
        <v>3</v>
      </c>
      <c r="E5023">
        <v>-5.9</v>
      </c>
      <c r="F5023">
        <v>86</v>
      </c>
    </row>
    <row r="5024" spans="1:6" x14ac:dyDescent="0.35">
      <c r="A5024">
        <v>1975</v>
      </c>
      <c r="B5024" s="1">
        <v>45734</v>
      </c>
      <c r="C5024" s="2">
        <v>0.25</v>
      </c>
      <c r="D5024">
        <v>3</v>
      </c>
      <c r="E5024">
        <v>-6</v>
      </c>
      <c r="F5024">
        <v>83</v>
      </c>
    </row>
    <row r="5025" spans="1:6" x14ac:dyDescent="0.35">
      <c r="A5025">
        <v>1975</v>
      </c>
      <c r="B5025" s="1">
        <v>45734</v>
      </c>
      <c r="C5025" s="2">
        <v>0.29166666666666669</v>
      </c>
      <c r="D5025">
        <v>3</v>
      </c>
      <c r="E5025">
        <v>-1.1000000000000001</v>
      </c>
      <c r="F5025">
        <v>66</v>
      </c>
    </row>
    <row r="5026" spans="1:6" x14ac:dyDescent="0.35">
      <c r="A5026">
        <v>1975</v>
      </c>
      <c r="B5026" s="1">
        <v>45734</v>
      </c>
      <c r="C5026" s="2">
        <v>0.33333333333333331</v>
      </c>
      <c r="D5026">
        <v>3</v>
      </c>
      <c r="E5026">
        <v>2</v>
      </c>
      <c r="F5026">
        <v>56</v>
      </c>
    </row>
    <row r="5027" spans="1:6" x14ac:dyDescent="0.35">
      <c r="A5027">
        <v>1975</v>
      </c>
      <c r="B5027" s="1">
        <v>45734</v>
      </c>
      <c r="C5027" s="2">
        <v>0.375</v>
      </c>
      <c r="D5027">
        <v>3</v>
      </c>
      <c r="E5027">
        <v>5.3</v>
      </c>
      <c r="F5027">
        <v>35</v>
      </c>
    </row>
    <row r="5028" spans="1:6" x14ac:dyDescent="0.35">
      <c r="A5028">
        <v>1975</v>
      </c>
      <c r="B5028" s="1">
        <v>45734</v>
      </c>
      <c r="C5028" s="2">
        <v>0.41666666666666669</v>
      </c>
      <c r="D5028">
        <v>3</v>
      </c>
      <c r="E5028">
        <v>5.9</v>
      </c>
      <c r="F5028">
        <v>31</v>
      </c>
    </row>
    <row r="5029" spans="1:6" x14ac:dyDescent="0.35">
      <c r="A5029">
        <v>1975</v>
      </c>
      <c r="B5029" s="1">
        <v>45734</v>
      </c>
      <c r="C5029" s="2">
        <v>0.45833333333333331</v>
      </c>
      <c r="D5029">
        <v>3</v>
      </c>
      <c r="E5029">
        <v>7.2</v>
      </c>
      <c r="F5029">
        <v>27</v>
      </c>
    </row>
    <row r="5030" spans="1:6" x14ac:dyDescent="0.35">
      <c r="A5030">
        <v>1975</v>
      </c>
      <c r="B5030" s="1">
        <v>45734</v>
      </c>
      <c r="C5030" s="2">
        <v>0.5</v>
      </c>
      <c r="D5030">
        <v>3</v>
      </c>
      <c r="E5030">
        <v>8.6999999999999993</v>
      </c>
      <c r="F5030">
        <v>25</v>
      </c>
    </row>
    <row r="5031" spans="1:6" x14ac:dyDescent="0.35">
      <c r="A5031">
        <v>1975</v>
      </c>
      <c r="B5031" s="1">
        <v>45734</v>
      </c>
      <c r="C5031" s="2">
        <v>0.54166666666666663</v>
      </c>
      <c r="D5031">
        <v>3</v>
      </c>
      <c r="E5031">
        <v>8.6</v>
      </c>
      <c r="F5031">
        <v>24</v>
      </c>
    </row>
    <row r="5032" spans="1:6" x14ac:dyDescent="0.35">
      <c r="A5032">
        <v>1975</v>
      </c>
      <c r="B5032" s="1">
        <v>45734</v>
      </c>
      <c r="C5032" s="2">
        <v>0.58333333333333337</v>
      </c>
      <c r="D5032">
        <v>3</v>
      </c>
      <c r="E5032">
        <v>8.9</v>
      </c>
      <c r="F5032">
        <v>24</v>
      </c>
    </row>
    <row r="5033" spans="1:6" x14ac:dyDescent="0.35">
      <c r="A5033">
        <v>1975</v>
      </c>
      <c r="B5033" s="1">
        <v>45734</v>
      </c>
      <c r="C5033" s="2">
        <v>0.625</v>
      </c>
      <c r="D5033">
        <v>3</v>
      </c>
      <c r="E5033">
        <v>8.9</v>
      </c>
      <c r="F5033">
        <v>23</v>
      </c>
    </row>
    <row r="5034" spans="1:6" x14ac:dyDescent="0.35">
      <c r="A5034">
        <v>1975</v>
      </c>
      <c r="B5034" s="1">
        <v>45734</v>
      </c>
      <c r="C5034" s="2">
        <v>0.66666666666666663</v>
      </c>
      <c r="D5034">
        <v>3</v>
      </c>
      <c r="E5034">
        <v>8.8000000000000007</v>
      </c>
      <c r="F5034">
        <v>24</v>
      </c>
    </row>
    <row r="5035" spans="1:6" x14ac:dyDescent="0.35">
      <c r="A5035">
        <v>1975</v>
      </c>
      <c r="B5035" s="1">
        <v>45734</v>
      </c>
      <c r="C5035" s="2">
        <v>0.70833333333333337</v>
      </c>
      <c r="D5035">
        <v>3</v>
      </c>
      <c r="E5035">
        <v>6.9</v>
      </c>
      <c r="F5035">
        <v>32</v>
      </c>
    </row>
    <row r="5036" spans="1:6" x14ac:dyDescent="0.35">
      <c r="A5036">
        <v>1975</v>
      </c>
      <c r="B5036" s="1">
        <v>45734</v>
      </c>
      <c r="C5036" s="2">
        <v>0.75</v>
      </c>
      <c r="D5036">
        <v>3</v>
      </c>
      <c r="E5036">
        <v>5</v>
      </c>
      <c r="F5036">
        <v>36</v>
      </c>
    </row>
    <row r="5037" spans="1:6" x14ac:dyDescent="0.35">
      <c r="A5037">
        <v>1975</v>
      </c>
      <c r="B5037" s="1">
        <v>45734</v>
      </c>
      <c r="C5037" s="2">
        <v>0.79166666666666663</v>
      </c>
      <c r="D5037">
        <v>3</v>
      </c>
      <c r="E5037">
        <v>1.3</v>
      </c>
      <c r="F5037">
        <v>62</v>
      </c>
    </row>
    <row r="5038" spans="1:6" x14ac:dyDescent="0.35">
      <c r="A5038">
        <v>1975</v>
      </c>
      <c r="B5038" s="1">
        <v>45734</v>
      </c>
      <c r="C5038" s="2">
        <v>0.83333333333333337</v>
      </c>
      <c r="D5038">
        <v>3</v>
      </c>
      <c r="E5038">
        <v>0.7</v>
      </c>
      <c r="F5038">
        <v>55</v>
      </c>
    </row>
    <row r="5039" spans="1:6" x14ac:dyDescent="0.35">
      <c r="A5039">
        <v>1975</v>
      </c>
      <c r="B5039" s="1">
        <v>45734</v>
      </c>
      <c r="C5039" s="2">
        <v>0.875</v>
      </c>
      <c r="D5039">
        <v>3</v>
      </c>
      <c r="E5039">
        <v>-0.6</v>
      </c>
      <c r="F5039">
        <v>55</v>
      </c>
    </row>
    <row r="5040" spans="1:6" x14ac:dyDescent="0.35">
      <c r="A5040">
        <v>1975</v>
      </c>
      <c r="B5040" s="1">
        <v>45734</v>
      </c>
      <c r="C5040" s="2">
        <v>0.91666666666666663</v>
      </c>
      <c r="D5040">
        <v>3</v>
      </c>
      <c r="E5040">
        <v>-1.6</v>
      </c>
      <c r="F5040">
        <v>73</v>
      </c>
    </row>
    <row r="5041" spans="1:6" x14ac:dyDescent="0.35">
      <c r="A5041">
        <v>1975</v>
      </c>
      <c r="B5041" s="1">
        <v>45734</v>
      </c>
      <c r="C5041" s="2">
        <v>0.95833333333333337</v>
      </c>
      <c r="D5041">
        <v>3</v>
      </c>
      <c r="E5041">
        <v>-1.6</v>
      </c>
      <c r="F5041">
        <v>64</v>
      </c>
    </row>
    <row r="5042" spans="1:6" x14ac:dyDescent="0.35">
      <c r="A5042">
        <v>1975</v>
      </c>
      <c r="B5042" s="1">
        <v>45735</v>
      </c>
      <c r="C5042" s="2">
        <v>0</v>
      </c>
      <c r="D5042">
        <v>3</v>
      </c>
      <c r="E5042">
        <v>-3</v>
      </c>
      <c r="F5042">
        <v>76</v>
      </c>
    </row>
    <row r="5043" spans="1:6" x14ac:dyDescent="0.35">
      <c r="A5043">
        <v>1975</v>
      </c>
      <c r="B5043" s="1">
        <v>45735</v>
      </c>
      <c r="C5043" s="2">
        <v>4.1666666666666657E-2</v>
      </c>
      <c r="D5043">
        <v>3</v>
      </c>
      <c r="E5043">
        <v>-2.7</v>
      </c>
      <c r="F5043">
        <v>73</v>
      </c>
    </row>
    <row r="5044" spans="1:6" x14ac:dyDescent="0.35">
      <c r="A5044">
        <v>1975</v>
      </c>
      <c r="B5044" s="1">
        <v>45735</v>
      </c>
      <c r="C5044" s="2">
        <v>8.3333333333333329E-2</v>
      </c>
      <c r="D5044">
        <v>3</v>
      </c>
      <c r="E5044">
        <v>-3.2</v>
      </c>
      <c r="F5044">
        <v>75</v>
      </c>
    </row>
    <row r="5045" spans="1:6" x14ac:dyDescent="0.35">
      <c r="A5045">
        <v>1975</v>
      </c>
      <c r="B5045" s="1">
        <v>45735</v>
      </c>
      <c r="C5045" s="2">
        <v>0.125</v>
      </c>
      <c r="D5045">
        <v>3</v>
      </c>
      <c r="E5045">
        <v>-3.9</v>
      </c>
      <c r="F5045">
        <v>83</v>
      </c>
    </row>
    <row r="5046" spans="1:6" x14ac:dyDescent="0.35">
      <c r="A5046">
        <v>1975</v>
      </c>
      <c r="B5046" s="1">
        <v>45735</v>
      </c>
      <c r="C5046" s="2">
        <v>0.16666666666666671</v>
      </c>
      <c r="D5046">
        <v>3</v>
      </c>
      <c r="E5046">
        <v>-3.6</v>
      </c>
      <c r="F5046">
        <v>75</v>
      </c>
    </row>
    <row r="5047" spans="1:6" x14ac:dyDescent="0.35">
      <c r="A5047">
        <v>1975</v>
      </c>
      <c r="B5047" s="1">
        <v>45735</v>
      </c>
      <c r="C5047" s="2">
        <v>0.20833333333333329</v>
      </c>
      <c r="D5047">
        <v>3</v>
      </c>
      <c r="E5047">
        <v>-3.1</v>
      </c>
      <c r="F5047">
        <v>70</v>
      </c>
    </row>
    <row r="5048" spans="1:6" x14ac:dyDescent="0.35">
      <c r="A5048">
        <v>1975</v>
      </c>
      <c r="B5048" s="1">
        <v>45735</v>
      </c>
      <c r="C5048" s="2">
        <v>0.25</v>
      </c>
      <c r="D5048">
        <v>3</v>
      </c>
      <c r="E5048">
        <v>-2.2999999999999998</v>
      </c>
      <c r="F5048">
        <v>69</v>
      </c>
    </row>
    <row r="5049" spans="1:6" x14ac:dyDescent="0.35">
      <c r="A5049">
        <v>1975</v>
      </c>
      <c r="B5049" s="1">
        <v>45735</v>
      </c>
      <c r="C5049" s="2">
        <v>0.29166666666666669</v>
      </c>
      <c r="D5049">
        <v>3</v>
      </c>
      <c r="E5049">
        <v>0.6</v>
      </c>
      <c r="F5049">
        <v>59</v>
      </c>
    </row>
    <row r="5050" spans="1:6" x14ac:dyDescent="0.35">
      <c r="A5050">
        <v>1975</v>
      </c>
      <c r="B5050" s="1">
        <v>45735</v>
      </c>
      <c r="C5050" s="2">
        <v>0.33333333333333331</v>
      </c>
      <c r="D5050">
        <v>3</v>
      </c>
      <c r="E5050">
        <v>3.3</v>
      </c>
      <c r="F5050">
        <v>49</v>
      </c>
    </row>
    <row r="5051" spans="1:6" x14ac:dyDescent="0.35">
      <c r="A5051">
        <v>1975</v>
      </c>
      <c r="B5051" s="1">
        <v>45735</v>
      </c>
      <c r="C5051" s="2">
        <v>0.375</v>
      </c>
      <c r="D5051">
        <v>3</v>
      </c>
      <c r="E5051">
        <v>6.2</v>
      </c>
      <c r="F5051">
        <v>39</v>
      </c>
    </row>
    <row r="5052" spans="1:6" x14ac:dyDescent="0.35">
      <c r="A5052">
        <v>1975</v>
      </c>
      <c r="B5052" s="1">
        <v>45735</v>
      </c>
      <c r="C5052" s="2">
        <v>0.41666666666666669</v>
      </c>
      <c r="D5052">
        <v>3</v>
      </c>
      <c r="E5052">
        <v>8.5</v>
      </c>
      <c r="F5052">
        <v>32</v>
      </c>
    </row>
    <row r="5053" spans="1:6" x14ac:dyDescent="0.35">
      <c r="A5053">
        <v>1975</v>
      </c>
      <c r="B5053" s="1">
        <v>45735</v>
      </c>
      <c r="C5053" s="2">
        <v>0.45833333333333331</v>
      </c>
      <c r="D5053">
        <v>3</v>
      </c>
      <c r="E5053">
        <v>10.3</v>
      </c>
      <c r="F5053">
        <v>29</v>
      </c>
    </row>
    <row r="5054" spans="1:6" x14ac:dyDescent="0.35">
      <c r="A5054">
        <v>1975</v>
      </c>
      <c r="B5054" s="1">
        <v>45735</v>
      </c>
      <c r="C5054" s="2">
        <v>0.5</v>
      </c>
      <c r="D5054">
        <v>3</v>
      </c>
      <c r="E5054">
        <v>11.6</v>
      </c>
      <c r="F5054">
        <v>27</v>
      </c>
    </row>
    <row r="5055" spans="1:6" x14ac:dyDescent="0.35">
      <c r="A5055">
        <v>1975</v>
      </c>
      <c r="B5055" s="1">
        <v>45735</v>
      </c>
      <c r="C5055" s="2">
        <v>0.54166666666666663</v>
      </c>
      <c r="D5055">
        <v>3</v>
      </c>
      <c r="E5055">
        <v>13</v>
      </c>
      <c r="F5055">
        <v>25</v>
      </c>
    </row>
    <row r="5056" spans="1:6" x14ac:dyDescent="0.35">
      <c r="A5056">
        <v>1975</v>
      </c>
      <c r="B5056" s="1">
        <v>45735</v>
      </c>
      <c r="C5056" s="2">
        <v>0.58333333333333337</v>
      </c>
      <c r="D5056">
        <v>3</v>
      </c>
      <c r="E5056">
        <v>13.3</v>
      </c>
      <c r="F5056">
        <v>26</v>
      </c>
    </row>
    <row r="5057" spans="1:6" x14ac:dyDescent="0.35">
      <c r="A5057">
        <v>1975</v>
      </c>
      <c r="B5057" s="1">
        <v>45735</v>
      </c>
      <c r="C5057" s="2">
        <v>0.625</v>
      </c>
      <c r="D5057">
        <v>3</v>
      </c>
      <c r="E5057">
        <v>14.1</v>
      </c>
      <c r="F5057">
        <v>24</v>
      </c>
    </row>
    <row r="5058" spans="1:6" x14ac:dyDescent="0.35">
      <c r="A5058">
        <v>1975</v>
      </c>
      <c r="B5058" s="1">
        <v>45735</v>
      </c>
      <c r="C5058" s="2">
        <v>0.66666666666666663</v>
      </c>
      <c r="D5058">
        <v>3</v>
      </c>
      <c r="E5058">
        <v>14.3</v>
      </c>
      <c r="F5058">
        <v>27</v>
      </c>
    </row>
    <row r="5059" spans="1:6" x14ac:dyDescent="0.35">
      <c r="A5059">
        <v>1975</v>
      </c>
      <c r="B5059" s="1">
        <v>45735</v>
      </c>
      <c r="C5059" s="2">
        <v>0.70833333333333337</v>
      </c>
      <c r="D5059">
        <v>3</v>
      </c>
      <c r="E5059">
        <v>12.9</v>
      </c>
      <c r="F5059">
        <v>27</v>
      </c>
    </row>
    <row r="5060" spans="1:6" x14ac:dyDescent="0.35">
      <c r="A5060">
        <v>1975</v>
      </c>
      <c r="B5060" s="1">
        <v>45735</v>
      </c>
      <c r="C5060" s="2">
        <v>0.75</v>
      </c>
      <c r="D5060">
        <v>3</v>
      </c>
      <c r="E5060">
        <v>11.2</v>
      </c>
      <c r="F5060">
        <v>31</v>
      </c>
    </row>
    <row r="5061" spans="1:6" x14ac:dyDescent="0.35">
      <c r="A5061">
        <v>1975</v>
      </c>
      <c r="B5061" s="1">
        <v>45735</v>
      </c>
      <c r="C5061" s="2">
        <v>0.79166666666666663</v>
      </c>
      <c r="D5061">
        <v>3</v>
      </c>
      <c r="E5061">
        <v>9.4</v>
      </c>
      <c r="F5061">
        <v>36</v>
      </c>
    </row>
    <row r="5062" spans="1:6" x14ac:dyDescent="0.35">
      <c r="A5062">
        <v>1975</v>
      </c>
      <c r="B5062" s="1">
        <v>45735</v>
      </c>
      <c r="C5062" s="2">
        <v>0.83333333333333337</v>
      </c>
      <c r="D5062">
        <v>3</v>
      </c>
      <c r="E5062">
        <v>6.4</v>
      </c>
      <c r="F5062">
        <v>45</v>
      </c>
    </row>
    <row r="5063" spans="1:6" x14ac:dyDescent="0.35">
      <c r="A5063">
        <v>1975</v>
      </c>
      <c r="B5063" s="1">
        <v>45735</v>
      </c>
      <c r="C5063" s="2">
        <v>0.875</v>
      </c>
      <c r="D5063">
        <v>3</v>
      </c>
      <c r="E5063">
        <v>6.6</v>
      </c>
      <c r="F5063">
        <v>46</v>
      </c>
    </row>
    <row r="5064" spans="1:6" x14ac:dyDescent="0.35">
      <c r="A5064">
        <v>1975</v>
      </c>
      <c r="B5064" s="1">
        <v>45735</v>
      </c>
      <c r="C5064" s="2">
        <v>0.91666666666666663</v>
      </c>
      <c r="D5064">
        <v>3</v>
      </c>
      <c r="E5064">
        <v>4.5</v>
      </c>
      <c r="F5064">
        <v>52</v>
      </c>
    </row>
    <row r="5065" spans="1:6" x14ac:dyDescent="0.35">
      <c r="A5065">
        <v>1975</v>
      </c>
      <c r="B5065" s="1">
        <v>45735</v>
      </c>
      <c r="C5065" s="2">
        <v>0.95833333333333337</v>
      </c>
      <c r="D5065">
        <v>3</v>
      </c>
      <c r="E5065">
        <v>3.6</v>
      </c>
      <c r="F5065">
        <v>56</v>
      </c>
    </row>
    <row r="5066" spans="1:6" x14ac:dyDescent="0.35">
      <c r="A5066">
        <v>1975</v>
      </c>
      <c r="B5066" s="1">
        <v>45736</v>
      </c>
      <c r="C5066" s="2">
        <v>0</v>
      </c>
      <c r="D5066">
        <v>3</v>
      </c>
      <c r="E5066">
        <v>1</v>
      </c>
      <c r="F5066">
        <v>71</v>
      </c>
    </row>
    <row r="5067" spans="1:6" x14ac:dyDescent="0.35">
      <c r="A5067">
        <v>1975</v>
      </c>
      <c r="B5067" s="1">
        <v>45736</v>
      </c>
      <c r="C5067" s="2">
        <v>4.1666666666666657E-2</v>
      </c>
      <c r="D5067">
        <v>3</v>
      </c>
      <c r="E5067">
        <v>0.2</v>
      </c>
      <c r="F5067">
        <v>78</v>
      </c>
    </row>
    <row r="5068" spans="1:6" x14ac:dyDescent="0.35">
      <c r="A5068">
        <v>1975</v>
      </c>
      <c r="B5068" s="1">
        <v>45736</v>
      </c>
      <c r="C5068" s="2">
        <v>8.3333333333333329E-2</v>
      </c>
      <c r="D5068">
        <v>3</v>
      </c>
      <c r="E5068">
        <v>-0.5</v>
      </c>
      <c r="F5068">
        <v>78</v>
      </c>
    </row>
    <row r="5069" spans="1:6" x14ac:dyDescent="0.35">
      <c r="A5069">
        <v>1975</v>
      </c>
      <c r="B5069" s="1">
        <v>45736</v>
      </c>
      <c r="C5069" s="2">
        <v>0.125</v>
      </c>
      <c r="D5069">
        <v>3</v>
      </c>
      <c r="E5069">
        <v>-1.4</v>
      </c>
      <c r="F5069">
        <v>81</v>
      </c>
    </row>
    <row r="5070" spans="1:6" x14ac:dyDescent="0.35">
      <c r="A5070">
        <v>1975</v>
      </c>
      <c r="B5070" s="1">
        <v>45736</v>
      </c>
      <c r="C5070" s="2">
        <v>0.16666666666666671</v>
      </c>
      <c r="D5070">
        <v>3</v>
      </c>
      <c r="E5070">
        <v>0</v>
      </c>
      <c r="F5070">
        <v>74</v>
      </c>
    </row>
    <row r="5071" spans="1:6" x14ac:dyDescent="0.35">
      <c r="A5071">
        <v>1975</v>
      </c>
      <c r="B5071" s="1">
        <v>45736</v>
      </c>
      <c r="C5071" s="2">
        <v>0.20833333333333329</v>
      </c>
      <c r="D5071">
        <v>3</v>
      </c>
      <c r="E5071">
        <v>0.4</v>
      </c>
      <c r="F5071">
        <v>70</v>
      </c>
    </row>
    <row r="5072" spans="1:6" x14ac:dyDescent="0.35">
      <c r="A5072">
        <v>1975</v>
      </c>
      <c r="B5072" s="1">
        <v>45736</v>
      </c>
      <c r="C5072" s="2">
        <v>0.25</v>
      </c>
      <c r="D5072">
        <v>3</v>
      </c>
      <c r="E5072">
        <v>0.8</v>
      </c>
      <c r="F5072">
        <v>68</v>
      </c>
    </row>
    <row r="5073" spans="1:6" x14ac:dyDescent="0.35">
      <c r="A5073">
        <v>1975</v>
      </c>
      <c r="B5073" s="1">
        <v>45736</v>
      </c>
      <c r="C5073" s="2">
        <v>0.29166666666666669</v>
      </c>
      <c r="D5073">
        <v>3</v>
      </c>
      <c r="E5073">
        <v>4</v>
      </c>
      <c r="F5073">
        <v>59</v>
      </c>
    </row>
    <row r="5074" spans="1:6" x14ac:dyDescent="0.35">
      <c r="A5074">
        <v>1975</v>
      </c>
      <c r="B5074" s="1">
        <v>45736</v>
      </c>
      <c r="C5074" s="2">
        <v>0.33333333333333331</v>
      </c>
      <c r="D5074">
        <v>3</v>
      </c>
      <c r="E5074">
        <v>7.5</v>
      </c>
      <c r="F5074">
        <v>48</v>
      </c>
    </row>
    <row r="5075" spans="1:6" x14ac:dyDescent="0.35">
      <c r="A5075">
        <v>1975</v>
      </c>
      <c r="B5075" s="1">
        <v>45736</v>
      </c>
      <c r="C5075" s="2">
        <v>0.375</v>
      </c>
      <c r="D5075">
        <v>3</v>
      </c>
      <c r="E5075">
        <v>10.5</v>
      </c>
      <c r="F5075">
        <v>41</v>
      </c>
    </row>
    <row r="5076" spans="1:6" x14ac:dyDescent="0.35">
      <c r="A5076">
        <v>1975</v>
      </c>
      <c r="B5076" s="1">
        <v>45736</v>
      </c>
      <c r="C5076" s="2">
        <v>0.41666666666666669</v>
      </c>
      <c r="D5076">
        <v>3</v>
      </c>
      <c r="E5076">
        <v>13.2</v>
      </c>
      <c r="F5076">
        <v>39</v>
      </c>
    </row>
    <row r="5077" spans="1:6" x14ac:dyDescent="0.35">
      <c r="A5077">
        <v>1975</v>
      </c>
      <c r="B5077" s="1">
        <v>45736</v>
      </c>
      <c r="C5077" s="2">
        <v>0.45833333333333331</v>
      </c>
      <c r="D5077">
        <v>3</v>
      </c>
      <c r="E5077">
        <v>16.600000000000001</v>
      </c>
      <c r="F5077">
        <v>38</v>
      </c>
    </row>
    <row r="5078" spans="1:6" x14ac:dyDescent="0.35">
      <c r="A5078">
        <v>1975</v>
      </c>
      <c r="B5078" s="1">
        <v>45736</v>
      </c>
      <c r="C5078" s="2">
        <v>0.5</v>
      </c>
      <c r="D5078">
        <v>3</v>
      </c>
      <c r="E5078">
        <v>17.600000000000001</v>
      </c>
      <c r="F5078">
        <v>35</v>
      </c>
    </row>
    <row r="5079" spans="1:6" x14ac:dyDescent="0.35">
      <c r="A5079">
        <v>1975</v>
      </c>
      <c r="B5079" s="1">
        <v>45736</v>
      </c>
      <c r="C5079" s="2">
        <v>0.54166666666666663</v>
      </c>
      <c r="D5079">
        <v>3</v>
      </c>
      <c r="E5079">
        <v>17.899999999999999</v>
      </c>
      <c r="F5079">
        <v>33</v>
      </c>
    </row>
    <row r="5080" spans="1:6" x14ac:dyDescent="0.35">
      <c r="A5080">
        <v>1975</v>
      </c>
      <c r="B5080" s="1">
        <v>45736</v>
      </c>
      <c r="C5080" s="2">
        <v>0.58333333333333337</v>
      </c>
      <c r="D5080">
        <v>3</v>
      </c>
      <c r="E5080">
        <v>17.399999999999999</v>
      </c>
      <c r="F5080">
        <v>34</v>
      </c>
    </row>
    <row r="5081" spans="1:6" x14ac:dyDescent="0.35">
      <c r="A5081">
        <v>1975</v>
      </c>
      <c r="B5081" s="1">
        <v>45736</v>
      </c>
      <c r="C5081" s="2">
        <v>0.625</v>
      </c>
      <c r="D5081">
        <v>3</v>
      </c>
      <c r="E5081">
        <v>17.3</v>
      </c>
      <c r="F5081">
        <v>33</v>
      </c>
    </row>
    <row r="5082" spans="1:6" x14ac:dyDescent="0.35">
      <c r="A5082">
        <v>1975</v>
      </c>
      <c r="B5082" s="1">
        <v>45736</v>
      </c>
      <c r="C5082" s="2">
        <v>0.66666666666666663</v>
      </c>
      <c r="D5082">
        <v>3</v>
      </c>
      <c r="E5082">
        <v>17.399999999999999</v>
      </c>
      <c r="F5082">
        <v>35</v>
      </c>
    </row>
    <row r="5083" spans="1:6" x14ac:dyDescent="0.35">
      <c r="A5083">
        <v>1975</v>
      </c>
      <c r="B5083" s="1">
        <v>45736</v>
      </c>
      <c r="C5083" s="2">
        <v>0.70833333333333337</v>
      </c>
      <c r="D5083">
        <v>3</v>
      </c>
      <c r="E5083">
        <v>15.7</v>
      </c>
      <c r="F5083">
        <v>40</v>
      </c>
    </row>
    <row r="5084" spans="1:6" x14ac:dyDescent="0.35">
      <c r="A5084">
        <v>1975</v>
      </c>
      <c r="B5084" s="1">
        <v>45736</v>
      </c>
      <c r="C5084" s="2">
        <v>0.75</v>
      </c>
      <c r="D5084">
        <v>3</v>
      </c>
      <c r="E5084">
        <v>13.8</v>
      </c>
      <c r="F5084">
        <v>47</v>
      </c>
    </row>
    <row r="5085" spans="1:6" x14ac:dyDescent="0.35">
      <c r="A5085">
        <v>1975</v>
      </c>
      <c r="B5085" s="1">
        <v>45736</v>
      </c>
      <c r="C5085" s="2">
        <v>0.79166666666666663</v>
      </c>
      <c r="D5085">
        <v>3</v>
      </c>
      <c r="E5085">
        <v>8.5</v>
      </c>
      <c r="F5085">
        <v>66</v>
      </c>
    </row>
    <row r="5086" spans="1:6" x14ac:dyDescent="0.35">
      <c r="A5086">
        <v>1975</v>
      </c>
      <c r="B5086" s="1">
        <v>45736</v>
      </c>
      <c r="C5086" s="2">
        <v>0.83333333333333337</v>
      </c>
      <c r="D5086">
        <v>3</v>
      </c>
      <c r="E5086">
        <v>7.2</v>
      </c>
      <c r="F5086">
        <v>75</v>
      </c>
    </row>
    <row r="5087" spans="1:6" x14ac:dyDescent="0.35">
      <c r="A5087">
        <v>1975</v>
      </c>
      <c r="B5087" s="1">
        <v>45736</v>
      </c>
      <c r="C5087" s="2">
        <v>0.875</v>
      </c>
      <c r="D5087">
        <v>3</v>
      </c>
      <c r="E5087">
        <v>5.9</v>
      </c>
      <c r="F5087">
        <v>82</v>
      </c>
    </row>
    <row r="5088" spans="1:6" x14ac:dyDescent="0.35">
      <c r="A5088">
        <v>1975</v>
      </c>
      <c r="B5088" s="1">
        <v>45736</v>
      </c>
      <c r="C5088" s="2">
        <v>0.91666666666666663</v>
      </c>
      <c r="D5088">
        <v>3</v>
      </c>
      <c r="E5088">
        <v>4.8</v>
      </c>
      <c r="F5088">
        <v>85</v>
      </c>
    </row>
    <row r="5089" spans="1:6" x14ac:dyDescent="0.35">
      <c r="A5089">
        <v>1975</v>
      </c>
      <c r="B5089" s="1">
        <v>45736</v>
      </c>
      <c r="C5089" s="2">
        <v>0.95833333333333337</v>
      </c>
      <c r="D5089">
        <v>3</v>
      </c>
      <c r="E5089">
        <v>3.9</v>
      </c>
      <c r="F5089">
        <v>85</v>
      </c>
    </row>
    <row r="5090" spans="1:6" x14ac:dyDescent="0.35">
      <c r="A5090">
        <v>1975</v>
      </c>
      <c r="B5090" s="1">
        <v>45737</v>
      </c>
      <c r="C5090" s="2">
        <v>0</v>
      </c>
      <c r="D5090">
        <v>3</v>
      </c>
      <c r="E5090">
        <v>2.9</v>
      </c>
      <c r="F5090">
        <v>91</v>
      </c>
    </row>
    <row r="5091" spans="1:6" x14ac:dyDescent="0.35">
      <c r="A5091">
        <v>1975</v>
      </c>
      <c r="B5091" s="1">
        <v>45737</v>
      </c>
      <c r="C5091" s="2">
        <v>4.1666666666666657E-2</v>
      </c>
      <c r="D5091">
        <v>3</v>
      </c>
      <c r="E5091">
        <v>2.2000000000000002</v>
      </c>
      <c r="F5091">
        <v>94</v>
      </c>
    </row>
    <row r="5092" spans="1:6" x14ac:dyDescent="0.35">
      <c r="A5092">
        <v>1975</v>
      </c>
      <c r="B5092" s="1">
        <v>45737</v>
      </c>
      <c r="C5092" s="2">
        <v>8.3333333333333329E-2</v>
      </c>
      <c r="D5092">
        <v>3</v>
      </c>
      <c r="E5092">
        <v>1.8</v>
      </c>
      <c r="F5092">
        <v>94</v>
      </c>
    </row>
    <row r="5093" spans="1:6" x14ac:dyDescent="0.35">
      <c r="A5093">
        <v>1975</v>
      </c>
      <c r="B5093" s="1">
        <v>45737</v>
      </c>
      <c r="C5093" s="2">
        <v>0.125</v>
      </c>
      <c r="D5093">
        <v>3</v>
      </c>
      <c r="E5093">
        <v>0.6</v>
      </c>
      <c r="F5093">
        <v>89</v>
      </c>
    </row>
    <row r="5094" spans="1:6" x14ac:dyDescent="0.35">
      <c r="A5094">
        <v>1975</v>
      </c>
      <c r="B5094" s="1">
        <v>45737</v>
      </c>
      <c r="C5094" s="2">
        <v>0.16666666666666671</v>
      </c>
      <c r="D5094">
        <v>3</v>
      </c>
      <c r="E5094">
        <v>1.1000000000000001</v>
      </c>
      <c r="F5094">
        <v>97</v>
      </c>
    </row>
    <row r="5095" spans="1:6" x14ac:dyDescent="0.35">
      <c r="A5095">
        <v>1975</v>
      </c>
      <c r="B5095" s="1">
        <v>45737</v>
      </c>
      <c r="C5095" s="2">
        <v>0.20833333333333329</v>
      </c>
      <c r="D5095">
        <v>3</v>
      </c>
      <c r="E5095">
        <v>2.2999999999999998</v>
      </c>
      <c r="F5095">
        <v>91</v>
      </c>
    </row>
    <row r="5096" spans="1:6" x14ac:dyDescent="0.35">
      <c r="A5096">
        <v>1975</v>
      </c>
      <c r="B5096" s="1">
        <v>45737</v>
      </c>
      <c r="C5096" s="2">
        <v>0.25</v>
      </c>
      <c r="D5096">
        <v>3</v>
      </c>
      <c r="E5096">
        <v>3.4</v>
      </c>
      <c r="F5096">
        <v>84</v>
      </c>
    </row>
    <row r="5097" spans="1:6" x14ac:dyDescent="0.35">
      <c r="A5097">
        <v>1975</v>
      </c>
      <c r="B5097" s="1">
        <v>45737</v>
      </c>
      <c r="C5097" s="2">
        <v>0.29166666666666669</v>
      </c>
      <c r="D5097">
        <v>3</v>
      </c>
      <c r="E5097">
        <v>5.8</v>
      </c>
      <c r="F5097">
        <v>76</v>
      </c>
    </row>
    <row r="5098" spans="1:6" x14ac:dyDescent="0.35">
      <c r="A5098">
        <v>1975</v>
      </c>
      <c r="B5098" s="1">
        <v>45737</v>
      </c>
      <c r="C5098" s="2">
        <v>0.33333333333333331</v>
      </c>
      <c r="D5098">
        <v>3</v>
      </c>
      <c r="E5098">
        <v>9.6999999999999993</v>
      </c>
      <c r="F5098">
        <v>63</v>
      </c>
    </row>
    <row r="5099" spans="1:6" x14ac:dyDescent="0.35">
      <c r="A5099">
        <v>1975</v>
      </c>
      <c r="B5099" s="1">
        <v>45737</v>
      </c>
      <c r="C5099" s="2">
        <v>0.375</v>
      </c>
      <c r="D5099">
        <v>3</v>
      </c>
      <c r="E5099">
        <v>13.1</v>
      </c>
      <c r="F5099">
        <v>51</v>
      </c>
    </row>
    <row r="5100" spans="1:6" x14ac:dyDescent="0.35">
      <c r="A5100">
        <v>1975</v>
      </c>
      <c r="B5100" s="1">
        <v>45737</v>
      </c>
      <c r="C5100" s="2">
        <v>0.41666666666666669</v>
      </c>
      <c r="D5100">
        <v>3</v>
      </c>
      <c r="E5100">
        <v>16.399999999999999</v>
      </c>
      <c r="F5100">
        <v>42</v>
      </c>
    </row>
    <row r="5101" spans="1:6" x14ac:dyDescent="0.35">
      <c r="A5101">
        <v>1975</v>
      </c>
      <c r="B5101" s="1">
        <v>45737</v>
      </c>
      <c r="C5101" s="2">
        <v>0.45833333333333331</v>
      </c>
      <c r="D5101">
        <v>3</v>
      </c>
      <c r="E5101">
        <v>17.7</v>
      </c>
      <c r="F5101">
        <v>34</v>
      </c>
    </row>
    <row r="5102" spans="1:6" x14ac:dyDescent="0.35">
      <c r="A5102">
        <v>1975</v>
      </c>
      <c r="B5102" s="1">
        <v>45737</v>
      </c>
      <c r="C5102" s="2">
        <v>0.5</v>
      </c>
      <c r="D5102">
        <v>3</v>
      </c>
      <c r="E5102">
        <v>18.899999999999999</v>
      </c>
      <c r="F5102">
        <v>31</v>
      </c>
    </row>
    <row r="5103" spans="1:6" x14ac:dyDescent="0.35">
      <c r="A5103">
        <v>1975</v>
      </c>
      <c r="B5103" s="1">
        <v>45737</v>
      </c>
      <c r="C5103" s="2">
        <v>0.54166666666666663</v>
      </c>
      <c r="D5103">
        <v>3</v>
      </c>
      <c r="E5103">
        <v>18.5</v>
      </c>
      <c r="F5103">
        <v>30</v>
      </c>
    </row>
    <row r="5104" spans="1:6" x14ac:dyDescent="0.35">
      <c r="A5104">
        <v>1975</v>
      </c>
      <c r="B5104" s="1">
        <v>45737</v>
      </c>
      <c r="C5104" s="2">
        <v>0.58333333333333337</v>
      </c>
      <c r="D5104">
        <v>3</v>
      </c>
      <c r="E5104">
        <v>19</v>
      </c>
      <c r="F5104">
        <v>30</v>
      </c>
    </row>
    <row r="5105" spans="1:6" x14ac:dyDescent="0.35">
      <c r="A5105">
        <v>1975</v>
      </c>
      <c r="B5105" s="1">
        <v>45737</v>
      </c>
      <c r="C5105" s="2">
        <v>0.625</v>
      </c>
      <c r="D5105">
        <v>3</v>
      </c>
      <c r="E5105">
        <v>18.5</v>
      </c>
      <c r="F5105">
        <v>30</v>
      </c>
    </row>
    <row r="5106" spans="1:6" x14ac:dyDescent="0.35">
      <c r="A5106">
        <v>1975</v>
      </c>
      <c r="B5106" s="1">
        <v>45737</v>
      </c>
      <c r="C5106" s="2">
        <v>0.66666666666666663</v>
      </c>
      <c r="D5106">
        <v>3</v>
      </c>
      <c r="E5106">
        <v>18</v>
      </c>
      <c r="F5106">
        <v>32</v>
      </c>
    </row>
    <row r="5107" spans="1:6" x14ac:dyDescent="0.35">
      <c r="A5107">
        <v>1975</v>
      </c>
      <c r="B5107" s="1">
        <v>45737</v>
      </c>
      <c r="C5107" s="2">
        <v>0.70833333333333337</v>
      </c>
      <c r="D5107">
        <v>3</v>
      </c>
      <c r="E5107">
        <v>17</v>
      </c>
      <c r="F5107">
        <v>33</v>
      </c>
    </row>
    <row r="5108" spans="1:6" x14ac:dyDescent="0.35">
      <c r="A5108">
        <v>1975</v>
      </c>
      <c r="B5108" s="1">
        <v>45737</v>
      </c>
      <c r="C5108" s="2">
        <v>0.75</v>
      </c>
      <c r="D5108">
        <v>3</v>
      </c>
      <c r="E5108">
        <v>12</v>
      </c>
      <c r="F5108">
        <v>63</v>
      </c>
    </row>
    <row r="5109" spans="1:6" x14ac:dyDescent="0.35">
      <c r="A5109">
        <v>1975</v>
      </c>
      <c r="B5109" s="1">
        <v>45737</v>
      </c>
      <c r="C5109" s="2">
        <v>0.79166666666666663</v>
      </c>
      <c r="D5109">
        <v>3</v>
      </c>
      <c r="E5109">
        <v>9.9</v>
      </c>
      <c r="F5109">
        <v>70</v>
      </c>
    </row>
    <row r="5110" spans="1:6" x14ac:dyDescent="0.35">
      <c r="A5110">
        <v>1975</v>
      </c>
      <c r="B5110" s="1">
        <v>45737</v>
      </c>
      <c r="C5110" s="2">
        <v>0.83333333333333337</v>
      </c>
      <c r="D5110">
        <v>3</v>
      </c>
      <c r="E5110">
        <v>10</v>
      </c>
      <c r="F5110">
        <v>67</v>
      </c>
    </row>
    <row r="5111" spans="1:6" x14ac:dyDescent="0.35">
      <c r="A5111">
        <v>1975</v>
      </c>
      <c r="B5111" s="1">
        <v>45737</v>
      </c>
      <c r="C5111" s="2">
        <v>0.875</v>
      </c>
      <c r="D5111">
        <v>3</v>
      </c>
      <c r="E5111">
        <v>11.3</v>
      </c>
      <c r="F5111">
        <v>58</v>
      </c>
    </row>
    <row r="5112" spans="1:6" x14ac:dyDescent="0.35">
      <c r="A5112">
        <v>1975</v>
      </c>
      <c r="B5112" s="1">
        <v>45737</v>
      </c>
      <c r="C5112" s="2">
        <v>0.91666666666666663</v>
      </c>
      <c r="D5112">
        <v>3</v>
      </c>
      <c r="E5112">
        <v>10.199999999999999</v>
      </c>
      <c r="F5112">
        <v>57</v>
      </c>
    </row>
    <row r="5113" spans="1:6" x14ac:dyDescent="0.35">
      <c r="A5113">
        <v>1975</v>
      </c>
      <c r="B5113" s="1">
        <v>45737</v>
      </c>
      <c r="C5113" s="2">
        <v>0.95833333333333337</v>
      </c>
      <c r="D5113">
        <v>3</v>
      </c>
      <c r="E5113">
        <v>9.6</v>
      </c>
      <c r="F5113">
        <v>56</v>
      </c>
    </row>
    <row r="5114" spans="1:6" x14ac:dyDescent="0.35">
      <c r="A5114">
        <v>1975</v>
      </c>
      <c r="B5114" s="1">
        <v>45738</v>
      </c>
      <c r="C5114" s="2">
        <v>0</v>
      </c>
      <c r="D5114">
        <v>3</v>
      </c>
      <c r="E5114">
        <v>8.6999999999999993</v>
      </c>
      <c r="F5114">
        <v>58</v>
      </c>
    </row>
    <row r="5115" spans="1:6" x14ac:dyDescent="0.35">
      <c r="A5115">
        <v>1975</v>
      </c>
      <c r="B5115" s="1">
        <v>45738</v>
      </c>
      <c r="C5115" s="2">
        <v>4.1666666666666657E-2</v>
      </c>
      <c r="D5115">
        <v>3</v>
      </c>
      <c r="E5115">
        <v>7.6</v>
      </c>
      <c r="F5115">
        <v>61</v>
      </c>
    </row>
    <row r="5116" spans="1:6" x14ac:dyDescent="0.35">
      <c r="A5116">
        <v>1975</v>
      </c>
      <c r="B5116" s="1">
        <v>45738</v>
      </c>
      <c r="C5116" s="2">
        <v>8.3333333333333329E-2</v>
      </c>
      <c r="D5116">
        <v>3</v>
      </c>
      <c r="E5116">
        <v>6.2</v>
      </c>
      <c r="F5116">
        <v>67</v>
      </c>
    </row>
    <row r="5117" spans="1:6" x14ac:dyDescent="0.35">
      <c r="A5117">
        <v>1975</v>
      </c>
      <c r="B5117" s="1">
        <v>45738</v>
      </c>
      <c r="C5117" s="2">
        <v>0.125</v>
      </c>
      <c r="D5117">
        <v>3</v>
      </c>
      <c r="E5117">
        <v>5.5</v>
      </c>
      <c r="F5117">
        <v>70</v>
      </c>
    </row>
    <row r="5118" spans="1:6" x14ac:dyDescent="0.35">
      <c r="A5118">
        <v>1975</v>
      </c>
      <c r="B5118" s="1">
        <v>45738</v>
      </c>
      <c r="C5118" s="2">
        <v>0.16666666666666671</v>
      </c>
      <c r="D5118">
        <v>3</v>
      </c>
      <c r="E5118">
        <v>6.1</v>
      </c>
      <c r="F5118">
        <v>67</v>
      </c>
    </row>
    <row r="5119" spans="1:6" x14ac:dyDescent="0.35">
      <c r="A5119">
        <v>1975</v>
      </c>
      <c r="B5119" s="1">
        <v>45738</v>
      </c>
      <c r="C5119" s="2">
        <v>0.20833333333333329</v>
      </c>
      <c r="D5119">
        <v>3</v>
      </c>
      <c r="E5119">
        <v>6.3</v>
      </c>
      <c r="F5119">
        <v>66</v>
      </c>
    </row>
    <row r="5120" spans="1:6" x14ac:dyDescent="0.35">
      <c r="A5120">
        <v>1975</v>
      </c>
      <c r="B5120" s="1">
        <v>45738</v>
      </c>
      <c r="C5120" s="2">
        <v>0.25</v>
      </c>
      <c r="D5120">
        <v>3</v>
      </c>
      <c r="E5120">
        <v>6.7</v>
      </c>
      <c r="F5120">
        <v>63</v>
      </c>
    </row>
    <row r="5121" spans="1:6" x14ac:dyDescent="0.35">
      <c r="A5121">
        <v>1975</v>
      </c>
      <c r="B5121" s="1">
        <v>45738</v>
      </c>
      <c r="C5121" s="2">
        <v>0.29166666666666669</v>
      </c>
      <c r="D5121">
        <v>3</v>
      </c>
      <c r="E5121">
        <v>8</v>
      </c>
      <c r="F5121">
        <v>59</v>
      </c>
    </row>
    <row r="5122" spans="1:6" x14ac:dyDescent="0.35">
      <c r="A5122">
        <v>1975</v>
      </c>
      <c r="B5122" s="1">
        <v>45738</v>
      </c>
      <c r="C5122" s="2">
        <v>0.33333333333333331</v>
      </c>
      <c r="D5122">
        <v>3</v>
      </c>
      <c r="E5122">
        <v>10.1</v>
      </c>
      <c r="F5122">
        <v>50</v>
      </c>
    </row>
    <row r="5123" spans="1:6" x14ac:dyDescent="0.35">
      <c r="A5123">
        <v>1975</v>
      </c>
      <c r="B5123" s="1">
        <v>45738</v>
      </c>
      <c r="C5123" s="2">
        <v>0.375</v>
      </c>
      <c r="D5123">
        <v>3</v>
      </c>
      <c r="E5123">
        <v>12.6</v>
      </c>
      <c r="F5123">
        <v>43</v>
      </c>
    </row>
    <row r="5124" spans="1:6" x14ac:dyDescent="0.35">
      <c r="A5124">
        <v>1975</v>
      </c>
      <c r="B5124" s="1">
        <v>45738</v>
      </c>
      <c r="C5124" s="2">
        <v>0.41666666666666669</v>
      </c>
      <c r="D5124">
        <v>3</v>
      </c>
      <c r="E5124">
        <v>14.2</v>
      </c>
      <c r="F5124">
        <v>39</v>
      </c>
    </row>
    <row r="5125" spans="1:6" x14ac:dyDescent="0.35">
      <c r="A5125">
        <v>1975</v>
      </c>
      <c r="B5125" s="1">
        <v>45738</v>
      </c>
      <c r="C5125" s="2">
        <v>0.45833333333333331</v>
      </c>
      <c r="D5125">
        <v>3</v>
      </c>
      <c r="E5125">
        <v>15.8</v>
      </c>
      <c r="F5125">
        <v>35</v>
      </c>
    </row>
    <row r="5126" spans="1:6" x14ac:dyDescent="0.35">
      <c r="A5126">
        <v>1975</v>
      </c>
      <c r="B5126" s="1">
        <v>45738</v>
      </c>
      <c r="C5126" s="2">
        <v>0.5</v>
      </c>
      <c r="D5126">
        <v>3</v>
      </c>
      <c r="E5126">
        <v>16</v>
      </c>
      <c r="F5126">
        <v>32</v>
      </c>
    </row>
    <row r="5127" spans="1:6" x14ac:dyDescent="0.35">
      <c r="A5127">
        <v>1975</v>
      </c>
      <c r="B5127" s="1">
        <v>45738</v>
      </c>
      <c r="C5127" s="2">
        <v>0.54166666666666663</v>
      </c>
      <c r="D5127">
        <v>3</v>
      </c>
      <c r="E5127">
        <v>16.600000000000001</v>
      </c>
      <c r="F5127">
        <v>29</v>
      </c>
    </row>
    <row r="5128" spans="1:6" x14ac:dyDescent="0.35">
      <c r="A5128">
        <v>1975</v>
      </c>
      <c r="B5128" s="1">
        <v>45738</v>
      </c>
      <c r="C5128" s="2">
        <v>0.58333333333333337</v>
      </c>
      <c r="D5128">
        <v>3</v>
      </c>
      <c r="E5128">
        <v>16.3</v>
      </c>
      <c r="F5128">
        <v>35</v>
      </c>
    </row>
    <row r="5129" spans="1:6" x14ac:dyDescent="0.35">
      <c r="A5129">
        <v>1975</v>
      </c>
      <c r="B5129" s="1">
        <v>45738</v>
      </c>
      <c r="C5129" s="2">
        <v>0.625</v>
      </c>
      <c r="D5129">
        <v>3</v>
      </c>
      <c r="E5129">
        <v>15.7</v>
      </c>
      <c r="F5129">
        <v>33</v>
      </c>
    </row>
    <row r="5130" spans="1:6" x14ac:dyDescent="0.35">
      <c r="A5130">
        <v>1975</v>
      </c>
      <c r="B5130" s="1">
        <v>45738</v>
      </c>
      <c r="C5130" s="2">
        <v>0.66666666666666663</v>
      </c>
      <c r="D5130">
        <v>3</v>
      </c>
      <c r="E5130">
        <v>14.8</v>
      </c>
      <c r="F5130">
        <v>25</v>
      </c>
    </row>
    <row r="5131" spans="1:6" x14ac:dyDescent="0.35">
      <c r="A5131">
        <v>1975</v>
      </c>
      <c r="B5131" s="1">
        <v>45738</v>
      </c>
      <c r="C5131" s="2">
        <v>0.70833333333333337</v>
      </c>
      <c r="D5131">
        <v>3</v>
      </c>
      <c r="E5131">
        <v>13.5</v>
      </c>
      <c r="F5131">
        <v>27</v>
      </c>
    </row>
    <row r="5132" spans="1:6" x14ac:dyDescent="0.35">
      <c r="A5132">
        <v>1975</v>
      </c>
      <c r="B5132" s="1">
        <v>45738</v>
      </c>
      <c r="C5132" s="2">
        <v>0.75</v>
      </c>
      <c r="D5132">
        <v>3</v>
      </c>
      <c r="E5132">
        <v>10.8</v>
      </c>
      <c r="F5132">
        <v>48</v>
      </c>
    </row>
    <row r="5133" spans="1:6" x14ac:dyDescent="0.35">
      <c r="A5133">
        <v>1975</v>
      </c>
      <c r="B5133" s="1">
        <v>45738</v>
      </c>
      <c r="C5133" s="2">
        <v>0.79166666666666663</v>
      </c>
      <c r="D5133">
        <v>3</v>
      </c>
      <c r="E5133">
        <v>8.8000000000000007</v>
      </c>
      <c r="F5133">
        <v>58</v>
      </c>
    </row>
    <row r="5134" spans="1:6" x14ac:dyDescent="0.35">
      <c r="A5134">
        <v>1975</v>
      </c>
      <c r="B5134" s="1">
        <v>45738</v>
      </c>
      <c r="C5134" s="2">
        <v>0.83333333333333337</v>
      </c>
      <c r="D5134">
        <v>3</v>
      </c>
      <c r="E5134">
        <v>7.4</v>
      </c>
      <c r="F5134">
        <v>64</v>
      </c>
    </row>
    <row r="5135" spans="1:6" x14ac:dyDescent="0.35">
      <c r="A5135">
        <v>1975</v>
      </c>
      <c r="B5135" s="1">
        <v>45738</v>
      </c>
      <c r="C5135" s="2">
        <v>0.875</v>
      </c>
      <c r="D5135">
        <v>3</v>
      </c>
      <c r="E5135">
        <v>6.9</v>
      </c>
      <c r="F5135">
        <v>63</v>
      </c>
    </row>
    <row r="5136" spans="1:6" x14ac:dyDescent="0.35">
      <c r="A5136">
        <v>1975</v>
      </c>
      <c r="B5136" s="1">
        <v>45738</v>
      </c>
      <c r="C5136" s="2">
        <v>0.91666666666666663</v>
      </c>
      <c r="D5136">
        <v>3</v>
      </c>
      <c r="E5136">
        <v>6.6</v>
      </c>
      <c r="F5136">
        <v>63</v>
      </c>
    </row>
    <row r="5137" spans="1:6" x14ac:dyDescent="0.35">
      <c r="A5137">
        <v>1975</v>
      </c>
      <c r="B5137" s="1">
        <v>45738</v>
      </c>
      <c r="C5137" s="2">
        <v>0.95833333333333337</v>
      </c>
      <c r="D5137">
        <v>3</v>
      </c>
      <c r="E5137">
        <v>5.7</v>
      </c>
      <c r="F5137">
        <v>67</v>
      </c>
    </row>
    <row r="5138" spans="1:6" x14ac:dyDescent="0.35">
      <c r="A5138">
        <v>1975</v>
      </c>
      <c r="B5138" s="1">
        <v>45739</v>
      </c>
      <c r="C5138" s="2">
        <v>0</v>
      </c>
      <c r="D5138">
        <v>3</v>
      </c>
      <c r="E5138">
        <v>5.6</v>
      </c>
      <c r="F5138">
        <v>70</v>
      </c>
    </row>
    <row r="5139" spans="1:6" x14ac:dyDescent="0.35">
      <c r="A5139">
        <v>1975</v>
      </c>
      <c r="B5139" s="1">
        <v>45739</v>
      </c>
      <c r="C5139" s="2">
        <v>4.1666666666666657E-2</v>
      </c>
      <c r="D5139">
        <v>3</v>
      </c>
      <c r="E5139">
        <v>5.2</v>
      </c>
      <c r="F5139">
        <v>72</v>
      </c>
    </row>
    <row r="5140" spans="1:6" x14ac:dyDescent="0.35">
      <c r="A5140">
        <v>1975</v>
      </c>
      <c r="B5140" s="1">
        <v>45739</v>
      </c>
      <c r="C5140" s="2">
        <v>8.3333333333333329E-2</v>
      </c>
      <c r="D5140">
        <v>3</v>
      </c>
      <c r="E5140">
        <v>5.7</v>
      </c>
      <c r="F5140">
        <v>70</v>
      </c>
    </row>
    <row r="5141" spans="1:6" x14ac:dyDescent="0.35">
      <c r="A5141">
        <v>1975</v>
      </c>
      <c r="B5141" s="1">
        <v>45739</v>
      </c>
      <c r="C5141" s="2">
        <v>0.125</v>
      </c>
      <c r="D5141">
        <v>3</v>
      </c>
      <c r="E5141">
        <v>6.1</v>
      </c>
      <c r="F5141">
        <v>68</v>
      </c>
    </row>
    <row r="5142" spans="1:6" x14ac:dyDescent="0.35">
      <c r="A5142">
        <v>1975</v>
      </c>
      <c r="B5142" s="1">
        <v>45739</v>
      </c>
      <c r="C5142" s="2">
        <v>0.16666666666666671</v>
      </c>
      <c r="D5142">
        <v>3</v>
      </c>
      <c r="E5142">
        <v>7</v>
      </c>
      <c r="F5142">
        <v>64</v>
      </c>
    </row>
    <row r="5143" spans="1:6" x14ac:dyDescent="0.35">
      <c r="A5143">
        <v>1975</v>
      </c>
      <c r="B5143" s="1">
        <v>45739</v>
      </c>
      <c r="C5143" s="2">
        <v>0.20833333333333329</v>
      </c>
      <c r="D5143">
        <v>3</v>
      </c>
      <c r="E5143">
        <v>7.4</v>
      </c>
      <c r="F5143">
        <v>61</v>
      </c>
    </row>
    <row r="5144" spans="1:6" x14ac:dyDescent="0.35">
      <c r="A5144">
        <v>1975</v>
      </c>
      <c r="B5144" s="1">
        <v>45739</v>
      </c>
      <c r="C5144" s="2">
        <v>0.25</v>
      </c>
      <c r="D5144">
        <v>3</v>
      </c>
      <c r="E5144">
        <v>7.4</v>
      </c>
      <c r="F5144">
        <v>61</v>
      </c>
    </row>
    <row r="5145" spans="1:6" x14ac:dyDescent="0.35">
      <c r="A5145">
        <v>1975</v>
      </c>
      <c r="B5145" s="1">
        <v>45739</v>
      </c>
      <c r="C5145" s="2">
        <v>0.29166666666666669</v>
      </c>
      <c r="D5145">
        <v>3</v>
      </c>
      <c r="E5145">
        <v>7.8</v>
      </c>
      <c r="F5145">
        <v>59</v>
      </c>
    </row>
    <row r="5146" spans="1:6" x14ac:dyDescent="0.35">
      <c r="A5146">
        <v>1975</v>
      </c>
      <c r="B5146" s="1">
        <v>45739</v>
      </c>
      <c r="C5146" s="2">
        <v>0.33333333333333331</v>
      </c>
      <c r="D5146">
        <v>3</v>
      </c>
      <c r="E5146">
        <v>8.5</v>
      </c>
      <c r="F5146">
        <v>56</v>
      </c>
    </row>
    <row r="5147" spans="1:6" x14ac:dyDescent="0.35">
      <c r="A5147">
        <v>1975</v>
      </c>
      <c r="B5147" s="1">
        <v>45739</v>
      </c>
      <c r="C5147" s="2">
        <v>0.375</v>
      </c>
      <c r="D5147">
        <v>3</v>
      </c>
      <c r="E5147">
        <v>9.6</v>
      </c>
      <c r="F5147">
        <v>53</v>
      </c>
    </row>
    <row r="5148" spans="1:6" x14ac:dyDescent="0.35">
      <c r="A5148">
        <v>1975</v>
      </c>
      <c r="B5148" s="1">
        <v>45739</v>
      </c>
      <c r="C5148" s="2">
        <v>0.41666666666666669</v>
      </c>
      <c r="D5148">
        <v>3</v>
      </c>
      <c r="E5148">
        <v>12.7</v>
      </c>
      <c r="F5148">
        <v>45</v>
      </c>
    </row>
    <row r="5149" spans="1:6" x14ac:dyDescent="0.35">
      <c r="A5149">
        <v>1975</v>
      </c>
      <c r="B5149" s="1">
        <v>45739</v>
      </c>
      <c r="C5149" s="2">
        <v>0.45833333333333331</v>
      </c>
      <c r="D5149">
        <v>3</v>
      </c>
      <c r="E5149">
        <v>13.8</v>
      </c>
      <c r="F5149">
        <v>44</v>
      </c>
    </row>
    <row r="5150" spans="1:6" x14ac:dyDescent="0.35">
      <c r="A5150">
        <v>1975</v>
      </c>
      <c r="B5150" s="1">
        <v>45739</v>
      </c>
      <c r="C5150" s="2">
        <v>0.5</v>
      </c>
      <c r="D5150">
        <v>3</v>
      </c>
      <c r="E5150">
        <v>15.2</v>
      </c>
      <c r="F5150">
        <v>43</v>
      </c>
    </row>
    <row r="5151" spans="1:6" x14ac:dyDescent="0.35">
      <c r="A5151">
        <v>1975</v>
      </c>
      <c r="B5151" s="1">
        <v>45739</v>
      </c>
      <c r="C5151" s="2">
        <v>0.54166666666666663</v>
      </c>
      <c r="D5151">
        <v>3</v>
      </c>
      <c r="E5151">
        <v>15.3</v>
      </c>
      <c r="F5151">
        <v>42</v>
      </c>
    </row>
    <row r="5152" spans="1:6" x14ac:dyDescent="0.35">
      <c r="A5152">
        <v>1975</v>
      </c>
      <c r="B5152" s="1">
        <v>45739</v>
      </c>
      <c r="C5152" s="2">
        <v>0.58333333333333337</v>
      </c>
      <c r="D5152">
        <v>3</v>
      </c>
      <c r="E5152">
        <v>16.3</v>
      </c>
      <c r="F5152">
        <v>43</v>
      </c>
    </row>
    <row r="5153" spans="1:6" x14ac:dyDescent="0.35">
      <c r="A5153">
        <v>1975</v>
      </c>
      <c r="B5153" s="1">
        <v>45739</v>
      </c>
      <c r="C5153" s="2">
        <v>0.625</v>
      </c>
      <c r="D5153">
        <v>3</v>
      </c>
      <c r="E5153">
        <v>16.5</v>
      </c>
      <c r="F5153">
        <v>44</v>
      </c>
    </row>
    <row r="5154" spans="1:6" x14ac:dyDescent="0.35">
      <c r="A5154">
        <v>1975</v>
      </c>
      <c r="B5154" s="1">
        <v>45739</v>
      </c>
      <c r="C5154" s="2">
        <v>0.66666666666666663</v>
      </c>
      <c r="D5154">
        <v>3</v>
      </c>
      <c r="E5154">
        <v>15.7</v>
      </c>
      <c r="F5154">
        <v>46</v>
      </c>
    </row>
    <row r="5155" spans="1:6" x14ac:dyDescent="0.35">
      <c r="A5155">
        <v>1975</v>
      </c>
      <c r="B5155" s="1">
        <v>45739</v>
      </c>
      <c r="C5155" s="2">
        <v>0.70833333333333337</v>
      </c>
      <c r="D5155">
        <v>3</v>
      </c>
      <c r="E5155">
        <v>13.7</v>
      </c>
      <c r="F5155">
        <v>51</v>
      </c>
    </row>
    <row r="5156" spans="1:6" x14ac:dyDescent="0.35">
      <c r="A5156">
        <v>1975</v>
      </c>
      <c r="B5156" s="1">
        <v>45739</v>
      </c>
      <c r="C5156" s="2">
        <v>0.75</v>
      </c>
      <c r="D5156">
        <v>3</v>
      </c>
      <c r="E5156">
        <v>10.9</v>
      </c>
      <c r="F5156">
        <v>62</v>
      </c>
    </row>
    <row r="5157" spans="1:6" x14ac:dyDescent="0.35">
      <c r="A5157">
        <v>1975</v>
      </c>
      <c r="B5157" s="1">
        <v>45739</v>
      </c>
      <c r="C5157" s="2">
        <v>0.79166666666666663</v>
      </c>
      <c r="D5157">
        <v>3</v>
      </c>
      <c r="E5157">
        <v>8.6999999999999993</v>
      </c>
      <c r="F5157">
        <v>70</v>
      </c>
    </row>
    <row r="5158" spans="1:6" x14ac:dyDescent="0.35">
      <c r="A5158">
        <v>1975</v>
      </c>
      <c r="B5158" s="1">
        <v>45739</v>
      </c>
      <c r="C5158" s="2">
        <v>0.83333333333333337</v>
      </c>
      <c r="D5158">
        <v>3</v>
      </c>
      <c r="E5158">
        <v>7</v>
      </c>
      <c r="F5158">
        <v>77</v>
      </c>
    </row>
    <row r="5159" spans="1:6" x14ac:dyDescent="0.35">
      <c r="A5159">
        <v>1975</v>
      </c>
      <c r="B5159" s="1">
        <v>45739</v>
      </c>
      <c r="C5159" s="2">
        <v>0.875</v>
      </c>
      <c r="D5159">
        <v>3</v>
      </c>
      <c r="E5159">
        <v>5.7</v>
      </c>
      <c r="F5159">
        <v>83</v>
      </c>
    </row>
    <row r="5160" spans="1:6" x14ac:dyDescent="0.35">
      <c r="A5160">
        <v>1975</v>
      </c>
      <c r="B5160" s="1">
        <v>45739</v>
      </c>
      <c r="C5160" s="2">
        <v>0.91666666666666663</v>
      </c>
      <c r="D5160">
        <v>3</v>
      </c>
      <c r="E5160">
        <v>5.4</v>
      </c>
      <c r="F5160">
        <v>86</v>
      </c>
    </row>
    <row r="5161" spans="1:6" x14ac:dyDescent="0.35">
      <c r="A5161">
        <v>1975</v>
      </c>
      <c r="B5161" s="1">
        <v>45739</v>
      </c>
      <c r="C5161" s="2">
        <v>0.95833333333333337</v>
      </c>
      <c r="D5161">
        <v>3</v>
      </c>
      <c r="E5161">
        <v>4.8</v>
      </c>
      <c r="F5161">
        <v>89</v>
      </c>
    </row>
    <row r="5162" spans="1:6" x14ac:dyDescent="0.35">
      <c r="A5162">
        <v>1975</v>
      </c>
      <c r="B5162" s="1">
        <v>45740</v>
      </c>
      <c r="C5162" s="2">
        <v>0</v>
      </c>
      <c r="D5162">
        <v>3</v>
      </c>
      <c r="E5162">
        <v>4.2</v>
      </c>
      <c r="F5162">
        <v>90</v>
      </c>
    </row>
    <row r="5163" spans="1:6" x14ac:dyDescent="0.35">
      <c r="A5163">
        <v>1975</v>
      </c>
      <c r="B5163" s="1">
        <v>45740</v>
      </c>
      <c r="C5163" s="2">
        <v>4.1666666666666657E-2</v>
      </c>
      <c r="D5163">
        <v>3</v>
      </c>
      <c r="E5163">
        <v>4.3</v>
      </c>
      <c r="F5163">
        <v>91</v>
      </c>
    </row>
    <row r="5164" spans="1:6" x14ac:dyDescent="0.35">
      <c r="A5164">
        <v>1975</v>
      </c>
      <c r="B5164" s="1">
        <v>45740</v>
      </c>
      <c r="C5164" s="2">
        <v>8.3333333333333329E-2</v>
      </c>
      <c r="D5164">
        <v>3</v>
      </c>
      <c r="E5164">
        <v>3.4</v>
      </c>
      <c r="F5164">
        <v>93</v>
      </c>
    </row>
    <row r="5165" spans="1:6" x14ac:dyDescent="0.35">
      <c r="A5165">
        <v>1975</v>
      </c>
      <c r="B5165" s="1">
        <v>45740</v>
      </c>
      <c r="C5165" s="2">
        <v>0.125</v>
      </c>
      <c r="D5165">
        <v>3</v>
      </c>
      <c r="E5165">
        <v>4.0999999999999996</v>
      </c>
      <c r="F5165">
        <v>94</v>
      </c>
    </row>
    <row r="5166" spans="1:6" x14ac:dyDescent="0.35">
      <c r="A5166">
        <v>1975</v>
      </c>
      <c r="B5166" s="1">
        <v>45740</v>
      </c>
      <c r="C5166" s="2">
        <v>0.16666666666666671</v>
      </c>
      <c r="D5166">
        <v>3</v>
      </c>
      <c r="E5166">
        <v>4.0999999999999996</v>
      </c>
      <c r="F5166">
        <v>94</v>
      </c>
    </row>
    <row r="5167" spans="1:6" x14ac:dyDescent="0.35">
      <c r="A5167">
        <v>1975</v>
      </c>
      <c r="B5167" s="1">
        <v>45740</v>
      </c>
      <c r="C5167" s="2">
        <v>0.20833333333333329</v>
      </c>
      <c r="D5167">
        <v>3</v>
      </c>
      <c r="E5167">
        <v>3.8</v>
      </c>
      <c r="F5167">
        <v>93</v>
      </c>
    </row>
    <row r="5168" spans="1:6" x14ac:dyDescent="0.35">
      <c r="A5168">
        <v>1975</v>
      </c>
      <c r="B5168" s="1">
        <v>45740</v>
      </c>
      <c r="C5168" s="2">
        <v>0.25</v>
      </c>
      <c r="D5168">
        <v>3</v>
      </c>
      <c r="E5168">
        <v>4.9000000000000004</v>
      </c>
      <c r="F5168">
        <v>90</v>
      </c>
    </row>
    <row r="5169" spans="1:6" x14ac:dyDescent="0.35">
      <c r="A5169">
        <v>1975</v>
      </c>
      <c r="B5169" s="1">
        <v>45740</v>
      </c>
      <c r="C5169" s="2">
        <v>0.29166666666666669</v>
      </c>
      <c r="D5169">
        <v>3</v>
      </c>
      <c r="E5169">
        <v>6</v>
      </c>
      <c r="F5169">
        <v>86</v>
      </c>
    </row>
    <row r="5170" spans="1:6" x14ac:dyDescent="0.35">
      <c r="A5170">
        <v>1975</v>
      </c>
      <c r="B5170" s="1">
        <v>45740</v>
      </c>
      <c r="C5170" s="2">
        <v>0.33333333333333331</v>
      </c>
      <c r="D5170">
        <v>3</v>
      </c>
      <c r="E5170">
        <v>7.4</v>
      </c>
      <c r="F5170">
        <v>82</v>
      </c>
    </row>
    <row r="5171" spans="1:6" x14ac:dyDescent="0.35">
      <c r="A5171">
        <v>1975</v>
      </c>
      <c r="B5171" s="1">
        <v>45740</v>
      </c>
      <c r="C5171" s="2">
        <v>0.375</v>
      </c>
      <c r="D5171">
        <v>3</v>
      </c>
      <c r="E5171">
        <v>9.3000000000000007</v>
      </c>
      <c r="F5171">
        <v>71</v>
      </c>
    </row>
    <row r="5172" spans="1:6" x14ac:dyDescent="0.35">
      <c r="A5172">
        <v>1975</v>
      </c>
      <c r="B5172" s="1">
        <v>45740</v>
      </c>
      <c r="C5172" s="2">
        <v>0.41666666666666669</v>
      </c>
      <c r="D5172">
        <v>3</v>
      </c>
      <c r="E5172">
        <v>11.8</v>
      </c>
      <c r="F5172">
        <v>61</v>
      </c>
    </row>
    <row r="5173" spans="1:6" x14ac:dyDescent="0.35">
      <c r="A5173">
        <v>1975</v>
      </c>
      <c r="B5173" s="1">
        <v>45740</v>
      </c>
      <c r="C5173" s="2">
        <v>0.45833333333333331</v>
      </c>
      <c r="D5173">
        <v>3</v>
      </c>
      <c r="E5173">
        <v>13.2</v>
      </c>
      <c r="F5173">
        <v>57</v>
      </c>
    </row>
    <row r="5174" spans="1:6" x14ac:dyDescent="0.35">
      <c r="A5174">
        <v>1975</v>
      </c>
      <c r="B5174" s="1">
        <v>45740</v>
      </c>
      <c r="C5174" s="2">
        <v>0.5</v>
      </c>
      <c r="D5174">
        <v>3</v>
      </c>
      <c r="E5174">
        <v>14</v>
      </c>
      <c r="F5174">
        <v>55</v>
      </c>
    </row>
    <row r="5175" spans="1:6" x14ac:dyDescent="0.35">
      <c r="A5175">
        <v>1975</v>
      </c>
      <c r="B5175" s="1">
        <v>45740</v>
      </c>
      <c r="C5175" s="2">
        <v>0.54166666666666663</v>
      </c>
      <c r="D5175">
        <v>3</v>
      </c>
      <c r="E5175">
        <v>15</v>
      </c>
      <c r="F5175">
        <v>58</v>
      </c>
    </row>
    <row r="5176" spans="1:6" x14ac:dyDescent="0.35">
      <c r="A5176">
        <v>1975</v>
      </c>
      <c r="B5176" s="1">
        <v>45740</v>
      </c>
      <c r="C5176" s="2">
        <v>0.58333333333333337</v>
      </c>
      <c r="D5176">
        <v>3</v>
      </c>
      <c r="E5176">
        <v>15</v>
      </c>
      <c r="F5176">
        <v>57</v>
      </c>
    </row>
    <row r="5177" spans="1:6" x14ac:dyDescent="0.35">
      <c r="A5177">
        <v>1975</v>
      </c>
      <c r="B5177" s="1">
        <v>45740</v>
      </c>
      <c r="C5177" s="2">
        <v>0.625</v>
      </c>
      <c r="D5177">
        <v>3</v>
      </c>
      <c r="E5177">
        <v>14.7</v>
      </c>
      <c r="F5177">
        <v>59</v>
      </c>
    </row>
    <row r="5178" spans="1:6" x14ac:dyDescent="0.35">
      <c r="A5178">
        <v>1975</v>
      </c>
      <c r="B5178" s="1">
        <v>45740</v>
      </c>
      <c r="C5178" s="2">
        <v>0.66666666666666663</v>
      </c>
      <c r="D5178">
        <v>3</v>
      </c>
      <c r="E5178">
        <v>14.3</v>
      </c>
      <c r="F5178">
        <v>58</v>
      </c>
    </row>
    <row r="5179" spans="1:6" x14ac:dyDescent="0.35">
      <c r="A5179">
        <v>1975</v>
      </c>
      <c r="B5179" s="1">
        <v>45740</v>
      </c>
      <c r="C5179" s="2">
        <v>0.70833333333333337</v>
      </c>
      <c r="D5179">
        <v>3</v>
      </c>
      <c r="E5179">
        <v>13.1</v>
      </c>
      <c r="F5179">
        <v>58</v>
      </c>
    </row>
    <row r="5180" spans="1:6" x14ac:dyDescent="0.35">
      <c r="A5180">
        <v>1975</v>
      </c>
      <c r="B5180" s="1">
        <v>45740</v>
      </c>
      <c r="C5180" s="2">
        <v>0.75</v>
      </c>
      <c r="D5180">
        <v>3</v>
      </c>
      <c r="E5180">
        <v>11.4</v>
      </c>
      <c r="F5180">
        <v>66</v>
      </c>
    </row>
    <row r="5181" spans="1:6" x14ac:dyDescent="0.35">
      <c r="A5181">
        <v>1975</v>
      </c>
      <c r="B5181" s="1">
        <v>45740</v>
      </c>
      <c r="C5181" s="2">
        <v>0.79166666666666663</v>
      </c>
      <c r="D5181">
        <v>3</v>
      </c>
      <c r="E5181">
        <v>9.6</v>
      </c>
      <c r="F5181">
        <v>71</v>
      </c>
    </row>
    <row r="5182" spans="1:6" x14ac:dyDescent="0.35">
      <c r="A5182">
        <v>1975</v>
      </c>
      <c r="B5182" s="1">
        <v>45740</v>
      </c>
      <c r="C5182" s="2">
        <v>0.83333333333333337</v>
      </c>
      <c r="D5182">
        <v>3</v>
      </c>
      <c r="E5182">
        <v>7.2</v>
      </c>
      <c r="F5182">
        <v>81</v>
      </c>
    </row>
    <row r="5183" spans="1:6" x14ac:dyDescent="0.35">
      <c r="A5183">
        <v>1975</v>
      </c>
      <c r="B5183" s="1">
        <v>45740</v>
      </c>
      <c r="C5183" s="2">
        <v>0.875</v>
      </c>
      <c r="D5183">
        <v>3</v>
      </c>
      <c r="E5183">
        <v>6</v>
      </c>
      <c r="F5183">
        <v>88</v>
      </c>
    </row>
    <row r="5184" spans="1:6" x14ac:dyDescent="0.35">
      <c r="A5184">
        <v>1975</v>
      </c>
      <c r="B5184" s="1">
        <v>45740</v>
      </c>
      <c r="C5184" s="2">
        <v>0.91666666666666663</v>
      </c>
      <c r="D5184">
        <v>3</v>
      </c>
      <c r="E5184">
        <v>5</v>
      </c>
      <c r="F5184">
        <v>94</v>
      </c>
    </row>
    <row r="5185" spans="1:6" x14ac:dyDescent="0.35">
      <c r="A5185">
        <v>1975</v>
      </c>
      <c r="B5185" s="1">
        <v>45740</v>
      </c>
      <c r="C5185" s="2">
        <v>0.95833333333333337</v>
      </c>
      <c r="D5185">
        <v>3</v>
      </c>
      <c r="E5185">
        <v>4.3</v>
      </c>
      <c r="F5185">
        <v>97</v>
      </c>
    </row>
    <row r="5186" spans="1:6" x14ac:dyDescent="0.35">
      <c r="A5186">
        <v>1975</v>
      </c>
      <c r="B5186" s="1">
        <v>45741</v>
      </c>
      <c r="C5186" s="2">
        <v>0</v>
      </c>
      <c r="D5186">
        <v>3</v>
      </c>
      <c r="E5186">
        <v>4.5999999999999996</v>
      </c>
      <c r="F5186">
        <v>98</v>
      </c>
    </row>
    <row r="5187" spans="1:6" x14ac:dyDescent="0.35">
      <c r="A5187">
        <v>1975</v>
      </c>
      <c r="B5187" s="1">
        <v>45741</v>
      </c>
      <c r="C5187" s="2">
        <v>4.1666666666666657E-2</v>
      </c>
      <c r="D5187">
        <v>3</v>
      </c>
      <c r="E5187">
        <v>4.7</v>
      </c>
      <c r="F5187">
        <v>97</v>
      </c>
    </row>
    <row r="5188" spans="1:6" x14ac:dyDescent="0.35">
      <c r="A5188">
        <v>1975</v>
      </c>
      <c r="B5188" s="1">
        <v>45741</v>
      </c>
      <c r="C5188" s="2">
        <v>8.3333333333333329E-2</v>
      </c>
      <c r="D5188">
        <v>3</v>
      </c>
      <c r="E5188">
        <v>4.9000000000000004</v>
      </c>
      <c r="F5188">
        <v>93</v>
      </c>
    </row>
    <row r="5189" spans="1:6" x14ac:dyDescent="0.35">
      <c r="A5189">
        <v>1975</v>
      </c>
      <c r="B5189" s="1">
        <v>45741</v>
      </c>
      <c r="C5189" s="2">
        <v>0.125</v>
      </c>
      <c r="D5189">
        <v>3</v>
      </c>
      <c r="E5189">
        <v>5</v>
      </c>
      <c r="F5189">
        <v>92</v>
      </c>
    </row>
    <row r="5190" spans="1:6" x14ac:dyDescent="0.35">
      <c r="A5190">
        <v>1975</v>
      </c>
      <c r="B5190" s="1">
        <v>45741</v>
      </c>
      <c r="C5190" s="2">
        <v>0.16666666666666671</v>
      </c>
      <c r="D5190">
        <v>3</v>
      </c>
      <c r="E5190">
        <v>4.9000000000000004</v>
      </c>
      <c r="F5190">
        <v>90</v>
      </c>
    </row>
    <row r="5191" spans="1:6" x14ac:dyDescent="0.35">
      <c r="A5191">
        <v>1975</v>
      </c>
      <c r="B5191" s="1">
        <v>45741</v>
      </c>
      <c r="C5191" s="2">
        <v>0.20833333333333329</v>
      </c>
      <c r="D5191">
        <v>3</v>
      </c>
      <c r="E5191">
        <v>5.2</v>
      </c>
      <c r="F5191">
        <v>88</v>
      </c>
    </row>
    <row r="5192" spans="1:6" x14ac:dyDescent="0.35">
      <c r="A5192">
        <v>1975</v>
      </c>
      <c r="B5192" s="1">
        <v>45741</v>
      </c>
      <c r="C5192" s="2">
        <v>0.25</v>
      </c>
      <c r="D5192">
        <v>3</v>
      </c>
      <c r="E5192">
        <v>5.2</v>
      </c>
      <c r="F5192">
        <v>89</v>
      </c>
    </row>
    <row r="5193" spans="1:6" x14ac:dyDescent="0.35">
      <c r="A5193">
        <v>1975</v>
      </c>
      <c r="B5193" s="1">
        <v>45741</v>
      </c>
      <c r="C5193" s="2">
        <v>0.29166666666666669</v>
      </c>
      <c r="D5193">
        <v>3</v>
      </c>
      <c r="E5193">
        <v>5.0999999999999996</v>
      </c>
      <c r="F5193">
        <v>92</v>
      </c>
    </row>
    <row r="5194" spans="1:6" x14ac:dyDescent="0.35">
      <c r="A5194">
        <v>1975</v>
      </c>
      <c r="B5194" s="1">
        <v>45741</v>
      </c>
      <c r="C5194" s="2">
        <v>0.33333333333333331</v>
      </c>
      <c r="D5194">
        <v>3</v>
      </c>
      <c r="E5194">
        <v>5.0999999999999996</v>
      </c>
      <c r="F5194">
        <v>91</v>
      </c>
    </row>
    <row r="5195" spans="1:6" x14ac:dyDescent="0.35">
      <c r="A5195">
        <v>1975</v>
      </c>
      <c r="B5195" s="1">
        <v>45741</v>
      </c>
      <c r="C5195" s="2">
        <v>0.375</v>
      </c>
      <c r="D5195">
        <v>3</v>
      </c>
      <c r="E5195">
        <v>5.6</v>
      </c>
      <c r="F5195">
        <v>88</v>
      </c>
    </row>
    <row r="5196" spans="1:6" x14ac:dyDescent="0.35">
      <c r="A5196">
        <v>1975</v>
      </c>
      <c r="B5196" s="1">
        <v>45741</v>
      </c>
      <c r="C5196" s="2">
        <v>0.41666666666666669</v>
      </c>
      <c r="D5196">
        <v>3</v>
      </c>
      <c r="E5196">
        <v>6.8</v>
      </c>
      <c r="F5196">
        <v>76</v>
      </c>
    </row>
    <row r="5197" spans="1:6" x14ac:dyDescent="0.35">
      <c r="A5197">
        <v>1975</v>
      </c>
      <c r="B5197" s="1">
        <v>45741</v>
      </c>
      <c r="C5197" s="2">
        <v>0.45833333333333331</v>
      </c>
      <c r="D5197">
        <v>3</v>
      </c>
      <c r="E5197">
        <v>8.3000000000000007</v>
      </c>
      <c r="F5197">
        <v>70</v>
      </c>
    </row>
    <row r="5198" spans="1:6" x14ac:dyDescent="0.35">
      <c r="A5198">
        <v>1975</v>
      </c>
      <c r="B5198" s="1">
        <v>45741</v>
      </c>
      <c r="C5198" s="2">
        <v>0.5</v>
      </c>
      <c r="D5198">
        <v>3</v>
      </c>
      <c r="E5198">
        <v>9.1</v>
      </c>
      <c r="F5198">
        <v>69</v>
      </c>
    </row>
    <row r="5199" spans="1:6" x14ac:dyDescent="0.35">
      <c r="A5199">
        <v>1975</v>
      </c>
      <c r="B5199" s="1">
        <v>45741</v>
      </c>
      <c r="C5199" s="2">
        <v>0.54166666666666663</v>
      </c>
      <c r="D5199">
        <v>3</v>
      </c>
      <c r="E5199">
        <v>10.3</v>
      </c>
      <c r="F5199">
        <v>65</v>
      </c>
    </row>
    <row r="5200" spans="1:6" x14ac:dyDescent="0.35">
      <c r="A5200">
        <v>1975</v>
      </c>
      <c r="B5200" s="1">
        <v>45741</v>
      </c>
      <c r="C5200" s="2">
        <v>0.58333333333333337</v>
      </c>
      <c r="D5200">
        <v>3</v>
      </c>
      <c r="E5200">
        <v>10.7</v>
      </c>
      <c r="F5200">
        <v>67</v>
      </c>
    </row>
    <row r="5201" spans="1:6" x14ac:dyDescent="0.35">
      <c r="A5201">
        <v>1975</v>
      </c>
      <c r="B5201" s="1">
        <v>45741</v>
      </c>
      <c r="C5201" s="2">
        <v>0.625</v>
      </c>
      <c r="D5201">
        <v>3</v>
      </c>
      <c r="E5201">
        <v>11.3</v>
      </c>
      <c r="F5201">
        <v>67</v>
      </c>
    </row>
    <row r="5202" spans="1:6" x14ac:dyDescent="0.35">
      <c r="A5202">
        <v>1975</v>
      </c>
      <c r="B5202" s="1">
        <v>45741</v>
      </c>
      <c r="C5202" s="2">
        <v>0.66666666666666663</v>
      </c>
      <c r="D5202">
        <v>3</v>
      </c>
      <c r="E5202">
        <v>11.5</v>
      </c>
      <c r="F5202">
        <v>67</v>
      </c>
    </row>
    <row r="5203" spans="1:6" x14ac:dyDescent="0.35">
      <c r="A5203">
        <v>1975</v>
      </c>
      <c r="B5203" s="1">
        <v>45741</v>
      </c>
      <c r="C5203" s="2">
        <v>0.70833333333333337</v>
      </c>
      <c r="D5203">
        <v>3</v>
      </c>
      <c r="E5203">
        <v>11.5</v>
      </c>
      <c r="F5203">
        <v>67</v>
      </c>
    </row>
    <row r="5204" spans="1:6" x14ac:dyDescent="0.35">
      <c r="A5204">
        <v>1975</v>
      </c>
      <c r="B5204" s="1">
        <v>45741</v>
      </c>
      <c r="C5204" s="2">
        <v>0.75</v>
      </c>
      <c r="D5204">
        <v>3</v>
      </c>
      <c r="E5204">
        <v>9.6</v>
      </c>
      <c r="F5204">
        <v>83</v>
      </c>
    </row>
    <row r="5205" spans="1:6" x14ac:dyDescent="0.35">
      <c r="A5205">
        <v>1975</v>
      </c>
      <c r="B5205" s="1">
        <v>45741</v>
      </c>
      <c r="C5205" s="2">
        <v>0.79166666666666663</v>
      </c>
      <c r="D5205">
        <v>3</v>
      </c>
      <c r="E5205">
        <v>8.5</v>
      </c>
      <c r="F5205">
        <v>95</v>
      </c>
    </row>
    <row r="5206" spans="1:6" x14ac:dyDescent="0.35">
      <c r="A5206">
        <v>1975</v>
      </c>
      <c r="B5206" s="1">
        <v>45741</v>
      </c>
      <c r="C5206" s="2">
        <v>0.83333333333333337</v>
      </c>
      <c r="D5206">
        <v>3</v>
      </c>
      <c r="E5206">
        <v>8.4</v>
      </c>
      <c r="F5206">
        <v>90</v>
      </c>
    </row>
    <row r="5207" spans="1:6" x14ac:dyDescent="0.35">
      <c r="A5207">
        <v>1975</v>
      </c>
      <c r="B5207" s="1">
        <v>45741</v>
      </c>
      <c r="C5207" s="2">
        <v>0.875</v>
      </c>
      <c r="D5207">
        <v>3</v>
      </c>
      <c r="E5207">
        <v>7.8</v>
      </c>
      <c r="F5207">
        <v>94</v>
      </c>
    </row>
    <row r="5208" spans="1:6" x14ac:dyDescent="0.35">
      <c r="A5208">
        <v>1975</v>
      </c>
      <c r="B5208" s="1">
        <v>45741</v>
      </c>
      <c r="C5208" s="2">
        <v>0.91666666666666663</v>
      </c>
      <c r="D5208">
        <v>3</v>
      </c>
      <c r="E5208">
        <v>7.5</v>
      </c>
      <c r="F5208">
        <v>97</v>
      </c>
    </row>
    <row r="5209" spans="1:6" x14ac:dyDescent="0.35">
      <c r="A5209">
        <v>1975</v>
      </c>
      <c r="B5209" s="1">
        <v>45741</v>
      </c>
      <c r="C5209" s="2">
        <v>0.95833333333333337</v>
      </c>
      <c r="D5209">
        <v>3</v>
      </c>
      <c r="E5209">
        <v>7.2</v>
      </c>
      <c r="F5209">
        <v>99</v>
      </c>
    </row>
    <row r="5210" spans="1:6" x14ac:dyDescent="0.35">
      <c r="A5210">
        <v>1975</v>
      </c>
      <c r="B5210" s="1">
        <v>45742</v>
      </c>
      <c r="C5210" s="2">
        <v>0</v>
      </c>
      <c r="D5210">
        <v>3</v>
      </c>
      <c r="E5210">
        <v>7</v>
      </c>
      <c r="F5210">
        <v>94</v>
      </c>
    </row>
    <row r="5211" spans="1:6" x14ac:dyDescent="0.35">
      <c r="A5211">
        <v>1975</v>
      </c>
      <c r="B5211" s="1">
        <v>45742</v>
      </c>
      <c r="C5211" s="2">
        <v>4.1666666666666657E-2</v>
      </c>
      <c r="D5211">
        <v>3</v>
      </c>
      <c r="E5211">
        <v>6.9</v>
      </c>
      <c r="F5211">
        <v>93</v>
      </c>
    </row>
    <row r="5212" spans="1:6" x14ac:dyDescent="0.35">
      <c r="A5212">
        <v>1975</v>
      </c>
      <c r="B5212" s="1">
        <v>45742</v>
      </c>
      <c r="C5212" s="2">
        <v>8.3333333333333329E-2</v>
      </c>
      <c r="D5212">
        <v>3</v>
      </c>
      <c r="E5212">
        <v>6.2</v>
      </c>
      <c r="F5212">
        <v>94</v>
      </c>
    </row>
    <row r="5213" spans="1:6" x14ac:dyDescent="0.35">
      <c r="A5213">
        <v>1975</v>
      </c>
      <c r="B5213" s="1">
        <v>45742</v>
      </c>
      <c r="C5213" s="2">
        <v>0.125</v>
      </c>
      <c r="D5213">
        <v>3</v>
      </c>
      <c r="E5213">
        <v>6.4</v>
      </c>
      <c r="F5213">
        <v>96</v>
      </c>
    </row>
    <row r="5214" spans="1:6" x14ac:dyDescent="0.35">
      <c r="A5214">
        <v>1975</v>
      </c>
      <c r="B5214" s="1">
        <v>45742</v>
      </c>
      <c r="C5214" s="2">
        <v>0.16666666666666671</v>
      </c>
      <c r="D5214">
        <v>3</v>
      </c>
      <c r="E5214">
        <v>6.5</v>
      </c>
      <c r="F5214">
        <v>94</v>
      </c>
    </row>
    <row r="5215" spans="1:6" x14ac:dyDescent="0.35">
      <c r="A5215">
        <v>1975</v>
      </c>
      <c r="B5215" s="1">
        <v>45742</v>
      </c>
      <c r="C5215" s="2">
        <v>0.20833333333333329</v>
      </c>
      <c r="D5215">
        <v>3</v>
      </c>
      <c r="E5215">
        <v>6.3</v>
      </c>
      <c r="F5215">
        <v>95</v>
      </c>
    </row>
    <row r="5216" spans="1:6" x14ac:dyDescent="0.35">
      <c r="A5216">
        <v>1975</v>
      </c>
      <c r="B5216" s="1">
        <v>45742</v>
      </c>
      <c r="C5216" s="2">
        <v>0.25</v>
      </c>
      <c r="D5216">
        <v>3</v>
      </c>
      <c r="E5216">
        <v>6.5</v>
      </c>
      <c r="F5216">
        <v>90</v>
      </c>
    </row>
    <row r="5217" spans="1:6" x14ac:dyDescent="0.35">
      <c r="A5217">
        <v>1975</v>
      </c>
      <c r="B5217" s="1">
        <v>45742</v>
      </c>
      <c r="C5217" s="2">
        <v>0.29166666666666669</v>
      </c>
      <c r="D5217">
        <v>3</v>
      </c>
      <c r="E5217">
        <v>6.5</v>
      </c>
      <c r="F5217">
        <v>92</v>
      </c>
    </row>
    <row r="5218" spans="1:6" x14ac:dyDescent="0.35">
      <c r="A5218">
        <v>1975</v>
      </c>
      <c r="B5218" s="1">
        <v>45742</v>
      </c>
      <c r="C5218" s="2">
        <v>0.33333333333333331</v>
      </c>
      <c r="D5218">
        <v>3</v>
      </c>
      <c r="E5218">
        <v>7</v>
      </c>
      <c r="F5218">
        <v>84</v>
      </c>
    </row>
    <row r="5219" spans="1:6" x14ac:dyDescent="0.35">
      <c r="A5219">
        <v>1975</v>
      </c>
      <c r="B5219" s="1">
        <v>45742</v>
      </c>
      <c r="C5219" s="2">
        <v>0.375</v>
      </c>
      <c r="D5219">
        <v>3</v>
      </c>
      <c r="E5219">
        <v>7.9</v>
      </c>
      <c r="F5219">
        <v>81</v>
      </c>
    </row>
    <row r="5220" spans="1:6" x14ac:dyDescent="0.35">
      <c r="A5220">
        <v>1975</v>
      </c>
      <c r="B5220" s="1">
        <v>45742</v>
      </c>
      <c r="C5220" s="2">
        <v>0.41666666666666669</v>
      </c>
      <c r="D5220">
        <v>3</v>
      </c>
      <c r="E5220">
        <v>8.6999999999999993</v>
      </c>
      <c r="F5220">
        <v>77</v>
      </c>
    </row>
    <row r="5221" spans="1:6" x14ac:dyDescent="0.35">
      <c r="A5221">
        <v>1975</v>
      </c>
      <c r="B5221" s="1">
        <v>45742</v>
      </c>
      <c r="C5221" s="2">
        <v>0.45833333333333331</v>
      </c>
      <c r="D5221">
        <v>3</v>
      </c>
      <c r="E5221">
        <v>9.6</v>
      </c>
      <c r="F5221">
        <v>74</v>
      </c>
    </row>
    <row r="5222" spans="1:6" x14ac:dyDescent="0.35">
      <c r="A5222">
        <v>1975</v>
      </c>
      <c r="B5222" s="1">
        <v>45742</v>
      </c>
      <c r="C5222" s="2">
        <v>0.5</v>
      </c>
      <c r="D5222">
        <v>3</v>
      </c>
      <c r="E5222">
        <v>10</v>
      </c>
      <c r="F5222">
        <v>73</v>
      </c>
    </row>
    <row r="5223" spans="1:6" x14ac:dyDescent="0.35">
      <c r="A5223">
        <v>1975</v>
      </c>
      <c r="B5223" s="1">
        <v>45742</v>
      </c>
      <c r="C5223" s="2">
        <v>0.54166666666666663</v>
      </c>
      <c r="D5223">
        <v>3</v>
      </c>
      <c r="E5223">
        <v>10</v>
      </c>
      <c r="F5223">
        <v>74</v>
      </c>
    </row>
    <row r="5224" spans="1:6" x14ac:dyDescent="0.35">
      <c r="A5224">
        <v>1975</v>
      </c>
      <c r="B5224" s="1">
        <v>45742</v>
      </c>
      <c r="C5224" s="2">
        <v>0.58333333333333337</v>
      </c>
      <c r="D5224">
        <v>3</v>
      </c>
      <c r="E5224">
        <v>10.9</v>
      </c>
      <c r="F5224">
        <v>70</v>
      </c>
    </row>
    <row r="5225" spans="1:6" x14ac:dyDescent="0.35">
      <c r="A5225">
        <v>1975</v>
      </c>
      <c r="B5225" s="1">
        <v>45742</v>
      </c>
      <c r="C5225" s="2">
        <v>0.625</v>
      </c>
      <c r="D5225">
        <v>3</v>
      </c>
      <c r="E5225">
        <v>9.6999999999999993</v>
      </c>
      <c r="F5225">
        <v>75</v>
      </c>
    </row>
    <row r="5226" spans="1:6" x14ac:dyDescent="0.35">
      <c r="A5226">
        <v>1975</v>
      </c>
      <c r="B5226" s="1">
        <v>45742</v>
      </c>
      <c r="C5226" s="2">
        <v>0.66666666666666663</v>
      </c>
      <c r="D5226">
        <v>3</v>
      </c>
      <c r="E5226">
        <v>8.6999999999999993</v>
      </c>
      <c r="F5226">
        <v>78</v>
      </c>
    </row>
    <row r="5227" spans="1:6" x14ac:dyDescent="0.35">
      <c r="A5227">
        <v>1975</v>
      </c>
      <c r="B5227" s="1">
        <v>45742</v>
      </c>
      <c r="C5227" s="2">
        <v>0.70833333333333337</v>
      </c>
      <c r="D5227">
        <v>3</v>
      </c>
      <c r="E5227">
        <v>8.1999999999999993</v>
      </c>
      <c r="F5227">
        <v>80</v>
      </c>
    </row>
    <row r="5228" spans="1:6" x14ac:dyDescent="0.35">
      <c r="A5228">
        <v>1975</v>
      </c>
      <c r="B5228" s="1">
        <v>45742</v>
      </c>
      <c r="C5228" s="2">
        <v>0.75</v>
      </c>
      <c r="D5228">
        <v>3</v>
      </c>
      <c r="E5228">
        <v>7.4</v>
      </c>
      <c r="F5228">
        <v>82</v>
      </c>
    </row>
    <row r="5229" spans="1:6" x14ac:dyDescent="0.35">
      <c r="A5229">
        <v>1975</v>
      </c>
      <c r="B5229" s="1">
        <v>45742</v>
      </c>
      <c r="C5229" s="2">
        <v>0.79166666666666663</v>
      </c>
      <c r="D5229">
        <v>3</v>
      </c>
      <c r="E5229">
        <v>7</v>
      </c>
      <c r="F5229">
        <v>83</v>
      </c>
    </row>
    <row r="5230" spans="1:6" x14ac:dyDescent="0.35">
      <c r="A5230">
        <v>1975</v>
      </c>
      <c r="B5230" s="1">
        <v>45742</v>
      </c>
      <c r="C5230" s="2">
        <v>0.83333333333333337</v>
      </c>
      <c r="D5230">
        <v>3</v>
      </c>
      <c r="E5230">
        <v>6.8</v>
      </c>
      <c r="F5230">
        <v>83</v>
      </c>
    </row>
    <row r="5231" spans="1:6" x14ac:dyDescent="0.35">
      <c r="A5231">
        <v>1975</v>
      </c>
      <c r="B5231" s="1">
        <v>45742</v>
      </c>
      <c r="C5231" s="2">
        <v>0.875</v>
      </c>
      <c r="D5231">
        <v>3</v>
      </c>
      <c r="E5231">
        <v>6.8</v>
      </c>
      <c r="F5231">
        <v>83</v>
      </c>
    </row>
    <row r="5232" spans="1:6" x14ac:dyDescent="0.35">
      <c r="A5232">
        <v>1975</v>
      </c>
      <c r="B5232" s="1">
        <v>45742</v>
      </c>
      <c r="C5232" s="2">
        <v>0.91666666666666663</v>
      </c>
      <c r="D5232">
        <v>3</v>
      </c>
      <c r="E5232">
        <v>5.6</v>
      </c>
      <c r="F5232">
        <v>90</v>
      </c>
    </row>
    <row r="5233" spans="1:6" x14ac:dyDescent="0.35">
      <c r="A5233">
        <v>1975</v>
      </c>
      <c r="B5233" s="1">
        <v>45742</v>
      </c>
      <c r="C5233" s="2">
        <v>0.95833333333333337</v>
      </c>
      <c r="D5233">
        <v>3</v>
      </c>
      <c r="E5233">
        <v>4.0999999999999996</v>
      </c>
      <c r="F5233">
        <v>96</v>
      </c>
    </row>
    <row r="5234" spans="1:6" x14ac:dyDescent="0.35">
      <c r="A5234">
        <v>1975</v>
      </c>
      <c r="B5234" s="1">
        <v>45743</v>
      </c>
      <c r="C5234" s="2">
        <v>0</v>
      </c>
      <c r="D5234">
        <v>3</v>
      </c>
      <c r="E5234">
        <v>5.3</v>
      </c>
      <c r="F5234">
        <v>95</v>
      </c>
    </row>
    <row r="5235" spans="1:6" x14ac:dyDescent="0.35">
      <c r="A5235">
        <v>1975</v>
      </c>
      <c r="B5235" s="1">
        <v>45743</v>
      </c>
      <c r="C5235" s="2">
        <v>4.1666666666666657E-2</v>
      </c>
      <c r="D5235">
        <v>3</v>
      </c>
      <c r="E5235">
        <v>4.9000000000000004</v>
      </c>
      <c r="F5235">
        <v>97</v>
      </c>
    </row>
    <row r="5236" spans="1:6" x14ac:dyDescent="0.35">
      <c r="A5236">
        <v>1975</v>
      </c>
      <c r="B5236" s="1">
        <v>45743</v>
      </c>
      <c r="C5236" s="2">
        <v>8.3333333333333329E-2</v>
      </c>
      <c r="D5236">
        <v>3</v>
      </c>
      <c r="E5236">
        <v>4.0999999999999996</v>
      </c>
      <c r="F5236">
        <v>100</v>
      </c>
    </row>
    <row r="5237" spans="1:6" x14ac:dyDescent="0.35">
      <c r="A5237">
        <v>1975</v>
      </c>
      <c r="B5237" s="1">
        <v>45743</v>
      </c>
      <c r="C5237" s="2">
        <v>0.125</v>
      </c>
      <c r="D5237">
        <v>3</v>
      </c>
      <c r="E5237">
        <v>4.0999999999999996</v>
      </c>
      <c r="F5237">
        <v>100</v>
      </c>
    </row>
    <row r="5238" spans="1:6" x14ac:dyDescent="0.35">
      <c r="A5238">
        <v>1975</v>
      </c>
      <c r="B5238" s="1">
        <v>45743</v>
      </c>
      <c r="C5238" s="2">
        <v>0.16666666666666671</v>
      </c>
      <c r="D5238">
        <v>3</v>
      </c>
      <c r="E5238">
        <v>4.0999999999999996</v>
      </c>
      <c r="F5238">
        <v>100</v>
      </c>
    </row>
    <row r="5239" spans="1:6" x14ac:dyDescent="0.35">
      <c r="A5239">
        <v>1975</v>
      </c>
      <c r="B5239" s="1">
        <v>45743</v>
      </c>
      <c r="C5239" s="2">
        <v>0.20833333333333329</v>
      </c>
      <c r="D5239">
        <v>3</v>
      </c>
      <c r="E5239">
        <v>3.9</v>
      </c>
      <c r="F5239">
        <v>100</v>
      </c>
    </row>
    <row r="5240" spans="1:6" x14ac:dyDescent="0.35">
      <c r="A5240">
        <v>1975</v>
      </c>
      <c r="B5240" s="1">
        <v>45743</v>
      </c>
      <c r="C5240" s="2">
        <v>0.25</v>
      </c>
      <c r="D5240">
        <v>3</v>
      </c>
      <c r="E5240">
        <v>4.3</v>
      </c>
      <c r="F5240">
        <v>100</v>
      </c>
    </row>
    <row r="5241" spans="1:6" x14ac:dyDescent="0.35">
      <c r="A5241">
        <v>1975</v>
      </c>
      <c r="B5241" s="1">
        <v>45743</v>
      </c>
      <c r="C5241" s="2">
        <v>0.29166666666666669</v>
      </c>
      <c r="D5241">
        <v>3</v>
      </c>
      <c r="E5241">
        <v>4.7</v>
      </c>
      <c r="F5241">
        <v>96</v>
      </c>
    </row>
    <row r="5242" spans="1:6" x14ac:dyDescent="0.35">
      <c r="A5242">
        <v>1975</v>
      </c>
      <c r="B5242" s="1">
        <v>45743</v>
      </c>
      <c r="C5242" s="2">
        <v>0.33333333333333331</v>
      </c>
      <c r="D5242">
        <v>3</v>
      </c>
      <c r="E5242">
        <v>5.2</v>
      </c>
      <c r="F5242">
        <v>95</v>
      </c>
    </row>
    <row r="5243" spans="1:6" x14ac:dyDescent="0.35">
      <c r="A5243">
        <v>1975</v>
      </c>
      <c r="B5243" s="1">
        <v>45743</v>
      </c>
      <c r="C5243" s="2">
        <v>0.375</v>
      </c>
      <c r="D5243">
        <v>3</v>
      </c>
      <c r="E5243">
        <v>6</v>
      </c>
      <c r="F5243">
        <v>89</v>
      </c>
    </row>
    <row r="5244" spans="1:6" x14ac:dyDescent="0.35">
      <c r="A5244">
        <v>1975</v>
      </c>
      <c r="B5244" s="1">
        <v>45743</v>
      </c>
      <c r="C5244" s="2">
        <v>0.41666666666666669</v>
      </c>
      <c r="D5244">
        <v>3</v>
      </c>
      <c r="E5244">
        <v>7.3</v>
      </c>
      <c r="F5244">
        <v>82</v>
      </c>
    </row>
    <row r="5245" spans="1:6" x14ac:dyDescent="0.35">
      <c r="A5245">
        <v>1975</v>
      </c>
      <c r="B5245" s="1">
        <v>45743</v>
      </c>
      <c r="C5245" s="2">
        <v>0.45833333333333331</v>
      </c>
      <c r="D5245">
        <v>3</v>
      </c>
      <c r="E5245">
        <v>9.4</v>
      </c>
      <c r="F5245">
        <v>73</v>
      </c>
    </row>
    <row r="5246" spans="1:6" x14ac:dyDescent="0.35">
      <c r="A5246">
        <v>1975</v>
      </c>
      <c r="B5246" s="1">
        <v>45743</v>
      </c>
      <c r="C5246" s="2">
        <v>0.5</v>
      </c>
      <c r="D5246">
        <v>3</v>
      </c>
      <c r="E5246">
        <v>11.1</v>
      </c>
      <c r="F5246">
        <v>66</v>
      </c>
    </row>
    <row r="5247" spans="1:6" x14ac:dyDescent="0.35">
      <c r="A5247">
        <v>1975</v>
      </c>
      <c r="B5247" s="1">
        <v>45743</v>
      </c>
      <c r="C5247" s="2">
        <v>0.54166666666666663</v>
      </c>
      <c r="D5247">
        <v>3</v>
      </c>
      <c r="E5247">
        <v>11.6</v>
      </c>
      <c r="F5247">
        <v>61</v>
      </c>
    </row>
    <row r="5248" spans="1:6" x14ac:dyDescent="0.35">
      <c r="A5248">
        <v>1975</v>
      </c>
      <c r="B5248" s="1">
        <v>45743</v>
      </c>
      <c r="C5248" s="2">
        <v>0.58333333333333337</v>
      </c>
      <c r="D5248">
        <v>3</v>
      </c>
      <c r="E5248">
        <v>13.4</v>
      </c>
      <c r="F5248">
        <v>59</v>
      </c>
    </row>
    <row r="5249" spans="1:6" x14ac:dyDescent="0.35">
      <c r="A5249">
        <v>1975</v>
      </c>
      <c r="B5249" s="1">
        <v>45743</v>
      </c>
      <c r="C5249" s="2">
        <v>0.625</v>
      </c>
      <c r="D5249">
        <v>3</v>
      </c>
      <c r="E5249">
        <v>13.7</v>
      </c>
      <c r="F5249">
        <v>55</v>
      </c>
    </row>
    <row r="5250" spans="1:6" x14ac:dyDescent="0.35">
      <c r="A5250">
        <v>1975</v>
      </c>
      <c r="B5250" s="1">
        <v>45743</v>
      </c>
      <c r="C5250" s="2">
        <v>0.66666666666666663</v>
      </c>
      <c r="D5250">
        <v>3</v>
      </c>
      <c r="E5250">
        <v>13.8</v>
      </c>
      <c r="F5250">
        <v>55</v>
      </c>
    </row>
    <row r="5251" spans="1:6" x14ac:dyDescent="0.35">
      <c r="A5251">
        <v>1975</v>
      </c>
      <c r="B5251" s="1">
        <v>45743</v>
      </c>
      <c r="C5251" s="2">
        <v>0.70833333333333337</v>
      </c>
      <c r="D5251">
        <v>3</v>
      </c>
      <c r="E5251">
        <v>12.4</v>
      </c>
      <c r="F5251">
        <v>62</v>
      </c>
    </row>
    <row r="5252" spans="1:6" x14ac:dyDescent="0.35">
      <c r="A5252">
        <v>1975</v>
      </c>
      <c r="B5252" s="1">
        <v>45743</v>
      </c>
      <c r="C5252" s="2">
        <v>0.75</v>
      </c>
      <c r="D5252">
        <v>3</v>
      </c>
      <c r="E5252">
        <v>10.7</v>
      </c>
      <c r="F5252">
        <v>65</v>
      </c>
    </row>
    <row r="5253" spans="1:6" x14ac:dyDescent="0.35">
      <c r="A5253">
        <v>1975</v>
      </c>
      <c r="B5253" s="1">
        <v>45743</v>
      </c>
      <c r="C5253" s="2">
        <v>0.79166666666666663</v>
      </c>
      <c r="D5253">
        <v>3</v>
      </c>
      <c r="E5253">
        <v>9.1999999999999993</v>
      </c>
      <c r="F5253">
        <v>70</v>
      </c>
    </row>
    <row r="5254" spans="1:6" x14ac:dyDescent="0.35">
      <c r="A5254">
        <v>1975</v>
      </c>
      <c r="B5254" s="1">
        <v>45743</v>
      </c>
      <c r="C5254" s="2">
        <v>0.83333333333333337</v>
      </c>
      <c r="D5254">
        <v>3</v>
      </c>
      <c r="E5254">
        <v>7.3</v>
      </c>
      <c r="F5254">
        <v>76</v>
      </c>
    </row>
    <row r="5255" spans="1:6" x14ac:dyDescent="0.35">
      <c r="A5255">
        <v>1975</v>
      </c>
      <c r="B5255" s="1">
        <v>45743</v>
      </c>
      <c r="C5255" s="2">
        <v>0.875</v>
      </c>
      <c r="D5255">
        <v>3</v>
      </c>
      <c r="E5255">
        <v>6</v>
      </c>
      <c r="F5255">
        <v>84</v>
      </c>
    </row>
    <row r="5256" spans="1:6" x14ac:dyDescent="0.35">
      <c r="A5256">
        <v>1975</v>
      </c>
      <c r="B5256" s="1">
        <v>45743</v>
      </c>
      <c r="C5256" s="2">
        <v>0.91666666666666663</v>
      </c>
      <c r="D5256">
        <v>3</v>
      </c>
      <c r="E5256">
        <v>4.8</v>
      </c>
      <c r="F5256">
        <v>86</v>
      </c>
    </row>
    <row r="5257" spans="1:6" x14ac:dyDescent="0.35">
      <c r="A5257">
        <v>1975</v>
      </c>
      <c r="B5257" s="1">
        <v>45743</v>
      </c>
      <c r="C5257" s="2">
        <v>0.95833333333333337</v>
      </c>
      <c r="D5257">
        <v>3</v>
      </c>
      <c r="E5257">
        <v>5.0999999999999996</v>
      </c>
      <c r="F5257">
        <v>83</v>
      </c>
    </row>
    <row r="5258" spans="1:6" x14ac:dyDescent="0.35">
      <c r="A5258">
        <v>1975</v>
      </c>
      <c r="B5258" s="1">
        <v>45744</v>
      </c>
      <c r="C5258" s="2">
        <v>0</v>
      </c>
      <c r="D5258">
        <v>3</v>
      </c>
      <c r="E5258">
        <v>5.6</v>
      </c>
      <c r="F5258">
        <v>82</v>
      </c>
    </row>
    <row r="5259" spans="1:6" x14ac:dyDescent="0.35">
      <c r="A5259">
        <v>1975</v>
      </c>
      <c r="B5259" s="1">
        <v>45744</v>
      </c>
      <c r="C5259" s="2">
        <v>4.1666666666666657E-2</v>
      </c>
      <c r="D5259">
        <v>3</v>
      </c>
      <c r="E5259">
        <v>5.5</v>
      </c>
      <c r="F5259">
        <v>80</v>
      </c>
    </row>
    <row r="5260" spans="1:6" x14ac:dyDescent="0.35">
      <c r="A5260">
        <v>1975</v>
      </c>
      <c r="B5260" s="1">
        <v>45744</v>
      </c>
      <c r="C5260" s="2">
        <v>8.3333333333333329E-2</v>
      </c>
      <c r="D5260">
        <v>3</v>
      </c>
      <c r="E5260">
        <v>5.5</v>
      </c>
      <c r="F5260">
        <v>80</v>
      </c>
    </row>
    <row r="5261" spans="1:6" x14ac:dyDescent="0.35">
      <c r="A5261">
        <v>1975</v>
      </c>
      <c r="B5261" s="1">
        <v>45744</v>
      </c>
      <c r="C5261" s="2">
        <v>0.125</v>
      </c>
      <c r="D5261">
        <v>3</v>
      </c>
      <c r="E5261">
        <v>4.2</v>
      </c>
      <c r="F5261">
        <v>85</v>
      </c>
    </row>
    <row r="5262" spans="1:6" x14ac:dyDescent="0.35">
      <c r="A5262">
        <v>1975</v>
      </c>
      <c r="B5262" s="1">
        <v>45744</v>
      </c>
      <c r="C5262" s="2">
        <v>0.16666666666666671</v>
      </c>
      <c r="D5262">
        <v>3</v>
      </c>
      <c r="E5262">
        <v>4.2</v>
      </c>
      <c r="F5262">
        <v>84</v>
      </c>
    </row>
    <row r="5263" spans="1:6" x14ac:dyDescent="0.35">
      <c r="A5263">
        <v>1975</v>
      </c>
      <c r="B5263" s="1">
        <v>45744</v>
      </c>
      <c r="C5263" s="2">
        <v>0.20833333333333329</v>
      </c>
      <c r="D5263">
        <v>3</v>
      </c>
      <c r="E5263">
        <v>3.8</v>
      </c>
      <c r="F5263">
        <v>84</v>
      </c>
    </row>
    <row r="5264" spans="1:6" x14ac:dyDescent="0.35">
      <c r="A5264">
        <v>1975</v>
      </c>
      <c r="B5264" s="1">
        <v>45744</v>
      </c>
      <c r="C5264" s="2">
        <v>0.25</v>
      </c>
      <c r="D5264">
        <v>3</v>
      </c>
      <c r="E5264">
        <v>3.5</v>
      </c>
      <c r="F5264">
        <v>85</v>
      </c>
    </row>
    <row r="5265" spans="1:6" x14ac:dyDescent="0.35">
      <c r="A5265">
        <v>1975</v>
      </c>
      <c r="B5265" s="1">
        <v>45744</v>
      </c>
      <c r="C5265" s="2">
        <v>0.29166666666666669</v>
      </c>
      <c r="D5265">
        <v>3</v>
      </c>
      <c r="E5265">
        <v>6</v>
      </c>
      <c r="F5265">
        <v>77</v>
      </c>
    </row>
    <row r="5266" spans="1:6" x14ac:dyDescent="0.35">
      <c r="A5266">
        <v>1975</v>
      </c>
      <c r="B5266" s="1">
        <v>45744</v>
      </c>
      <c r="C5266" s="2">
        <v>0.33333333333333331</v>
      </c>
      <c r="D5266">
        <v>3</v>
      </c>
      <c r="E5266">
        <v>8.9</v>
      </c>
      <c r="F5266">
        <v>67</v>
      </c>
    </row>
    <row r="5267" spans="1:6" x14ac:dyDescent="0.35">
      <c r="A5267">
        <v>1975</v>
      </c>
      <c r="B5267" s="1">
        <v>45744</v>
      </c>
      <c r="C5267" s="2">
        <v>0.375</v>
      </c>
      <c r="D5267">
        <v>3</v>
      </c>
      <c r="E5267">
        <v>11.2</v>
      </c>
      <c r="F5267">
        <v>59</v>
      </c>
    </row>
    <row r="5268" spans="1:6" x14ac:dyDescent="0.35">
      <c r="A5268">
        <v>1975</v>
      </c>
      <c r="B5268" s="1">
        <v>45744</v>
      </c>
      <c r="C5268" s="2">
        <v>0.41666666666666669</v>
      </c>
      <c r="D5268">
        <v>3</v>
      </c>
      <c r="E5268">
        <v>13.4</v>
      </c>
      <c r="F5268">
        <v>52</v>
      </c>
    </row>
    <row r="5269" spans="1:6" x14ac:dyDescent="0.35">
      <c r="A5269">
        <v>1975</v>
      </c>
      <c r="B5269" s="1">
        <v>45744</v>
      </c>
      <c r="C5269" s="2">
        <v>0.45833333333333331</v>
      </c>
      <c r="D5269">
        <v>3</v>
      </c>
      <c r="E5269">
        <v>14.9</v>
      </c>
      <c r="F5269">
        <v>48</v>
      </c>
    </row>
    <row r="5270" spans="1:6" x14ac:dyDescent="0.35">
      <c r="A5270">
        <v>1975</v>
      </c>
      <c r="B5270" s="1">
        <v>45744</v>
      </c>
      <c r="C5270" s="2">
        <v>0.5</v>
      </c>
      <c r="D5270">
        <v>3</v>
      </c>
      <c r="E5270">
        <v>16.399999999999999</v>
      </c>
      <c r="F5270">
        <v>37</v>
      </c>
    </row>
    <row r="5271" spans="1:6" x14ac:dyDescent="0.35">
      <c r="A5271">
        <v>1975</v>
      </c>
      <c r="B5271" s="1">
        <v>45744</v>
      </c>
      <c r="C5271" s="2">
        <v>0.54166666666666663</v>
      </c>
      <c r="D5271">
        <v>3</v>
      </c>
      <c r="E5271">
        <v>17.2</v>
      </c>
      <c r="F5271">
        <v>39</v>
      </c>
    </row>
    <row r="5272" spans="1:6" x14ac:dyDescent="0.35">
      <c r="A5272">
        <v>1975</v>
      </c>
      <c r="B5272" s="1">
        <v>45744</v>
      </c>
      <c r="C5272" s="2">
        <v>0.58333333333333337</v>
      </c>
      <c r="D5272">
        <v>3</v>
      </c>
      <c r="E5272">
        <v>17.600000000000001</v>
      </c>
      <c r="F5272">
        <v>34</v>
      </c>
    </row>
    <row r="5273" spans="1:6" x14ac:dyDescent="0.35">
      <c r="A5273">
        <v>1975</v>
      </c>
      <c r="B5273" s="1">
        <v>45744</v>
      </c>
      <c r="C5273" s="2">
        <v>0.625</v>
      </c>
      <c r="D5273">
        <v>3</v>
      </c>
      <c r="E5273">
        <v>17.8</v>
      </c>
      <c r="F5273">
        <v>35</v>
      </c>
    </row>
    <row r="5274" spans="1:6" x14ac:dyDescent="0.35">
      <c r="A5274">
        <v>1975</v>
      </c>
      <c r="B5274" s="1">
        <v>45744</v>
      </c>
      <c r="C5274" s="2">
        <v>0.66666666666666663</v>
      </c>
      <c r="D5274">
        <v>3</v>
      </c>
      <c r="E5274">
        <v>17.399999999999999</v>
      </c>
      <c r="F5274">
        <v>35</v>
      </c>
    </row>
    <row r="5275" spans="1:6" x14ac:dyDescent="0.35">
      <c r="A5275">
        <v>1975</v>
      </c>
      <c r="B5275" s="1">
        <v>45744</v>
      </c>
      <c r="C5275" s="2">
        <v>0.70833333333333337</v>
      </c>
      <c r="D5275">
        <v>3</v>
      </c>
      <c r="E5275">
        <v>16.3</v>
      </c>
      <c r="F5275">
        <v>38</v>
      </c>
    </row>
    <row r="5276" spans="1:6" x14ac:dyDescent="0.35">
      <c r="A5276">
        <v>1975</v>
      </c>
      <c r="B5276" s="1">
        <v>45744</v>
      </c>
      <c r="C5276" s="2">
        <v>0.75</v>
      </c>
      <c r="D5276">
        <v>3</v>
      </c>
      <c r="E5276">
        <v>14.3</v>
      </c>
      <c r="F5276">
        <v>43</v>
      </c>
    </row>
    <row r="5277" spans="1:6" x14ac:dyDescent="0.35">
      <c r="A5277">
        <v>1975</v>
      </c>
      <c r="B5277" s="1">
        <v>45744</v>
      </c>
      <c r="C5277" s="2">
        <v>0.79166666666666663</v>
      </c>
      <c r="D5277">
        <v>3</v>
      </c>
      <c r="E5277">
        <v>9.6999999999999993</v>
      </c>
      <c r="F5277">
        <v>79</v>
      </c>
    </row>
    <row r="5278" spans="1:6" x14ac:dyDescent="0.35">
      <c r="A5278">
        <v>1975</v>
      </c>
      <c r="B5278" s="1">
        <v>45744</v>
      </c>
      <c r="C5278" s="2">
        <v>0.83333333333333337</v>
      </c>
      <c r="D5278">
        <v>3</v>
      </c>
      <c r="E5278">
        <v>7.7</v>
      </c>
      <c r="F5278">
        <v>88</v>
      </c>
    </row>
    <row r="5279" spans="1:6" x14ac:dyDescent="0.35">
      <c r="A5279">
        <v>1975</v>
      </c>
      <c r="B5279" s="1">
        <v>45744</v>
      </c>
      <c r="C5279" s="2">
        <v>0.875</v>
      </c>
      <c r="D5279">
        <v>3</v>
      </c>
      <c r="E5279">
        <v>7</v>
      </c>
      <c r="F5279">
        <v>90</v>
      </c>
    </row>
    <row r="5280" spans="1:6" x14ac:dyDescent="0.35">
      <c r="A5280">
        <v>1975</v>
      </c>
      <c r="B5280" s="1">
        <v>45744</v>
      </c>
      <c r="C5280" s="2">
        <v>0.91666666666666663</v>
      </c>
      <c r="D5280">
        <v>3</v>
      </c>
      <c r="E5280">
        <v>7.3</v>
      </c>
      <c r="F5280">
        <v>92</v>
      </c>
    </row>
    <row r="5281" spans="1:6" x14ac:dyDescent="0.35">
      <c r="A5281">
        <v>1975</v>
      </c>
      <c r="B5281" s="1">
        <v>45744</v>
      </c>
      <c r="C5281" s="2">
        <v>0.95833333333333337</v>
      </c>
      <c r="D5281">
        <v>3</v>
      </c>
      <c r="E5281">
        <v>7.6</v>
      </c>
      <c r="F5281">
        <v>90</v>
      </c>
    </row>
    <row r="5282" spans="1:6" x14ac:dyDescent="0.35">
      <c r="A5282">
        <v>1975</v>
      </c>
      <c r="B5282" s="1">
        <v>45745</v>
      </c>
      <c r="C5282" s="2">
        <v>0</v>
      </c>
      <c r="D5282">
        <v>3</v>
      </c>
      <c r="E5282">
        <v>7.7</v>
      </c>
      <c r="F5282">
        <v>88</v>
      </c>
    </row>
    <row r="5283" spans="1:6" x14ac:dyDescent="0.35">
      <c r="A5283">
        <v>1975</v>
      </c>
      <c r="B5283" s="1">
        <v>45745</v>
      </c>
      <c r="C5283" s="2">
        <v>4.1666666666666657E-2</v>
      </c>
      <c r="D5283">
        <v>3</v>
      </c>
      <c r="E5283">
        <v>7.6</v>
      </c>
      <c r="F5283">
        <v>89</v>
      </c>
    </row>
    <row r="5284" spans="1:6" x14ac:dyDescent="0.35">
      <c r="A5284">
        <v>1975</v>
      </c>
      <c r="B5284" s="1">
        <v>45745</v>
      </c>
      <c r="C5284" s="2">
        <v>8.3333333333333329E-2</v>
      </c>
      <c r="D5284">
        <v>3</v>
      </c>
      <c r="E5284">
        <v>7.7</v>
      </c>
      <c r="F5284">
        <v>91</v>
      </c>
    </row>
    <row r="5285" spans="1:6" x14ac:dyDescent="0.35">
      <c r="A5285">
        <v>1975</v>
      </c>
      <c r="B5285" s="1">
        <v>45745</v>
      </c>
      <c r="C5285" s="2">
        <v>0.125</v>
      </c>
      <c r="D5285">
        <v>3</v>
      </c>
      <c r="E5285">
        <v>7.7</v>
      </c>
      <c r="F5285">
        <v>91</v>
      </c>
    </row>
    <row r="5286" spans="1:6" x14ac:dyDescent="0.35">
      <c r="A5286">
        <v>1975</v>
      </c>
      <c r="B5286" s="1">
        <v>45745</v>
      </c>
      <c r="C5286" s="2">
        <v>0.16666666666666671</v>
      </c>
      <c r="D5286">
        <v>3</v>
      </c>
      <c r="E5286">
        <v>7.5</v>
      </c>
      <c r="F5286">
        <v>88</v>
      </c>
    </row>
    <row r="5287" spans="1:6" x14ac:dyDescent="0.35">
      <c r="A5287">
        <v>1975</v>
      </c>
      <c r="B5287" s="1">
        <v>45745</v>
      </c>
      <c r="C5287" s="2">
        <v>0.20833333333333329</v>
      </c>
      <c r="D5287">
        <v>3</v>
      </c>
      <c r="E5287">
        <v>6.9</v>
      </c>
      <c r="F5287">
        <v>89</v>
      </c>
    </row>
    <row r="5288" spans="1:6" x14ac:dyDescent="0.35">
      <c r="A5288">
        <v>1975</v>
      </c>
      <c r="B5288" s="1">
        <v>45745</v>
      </c>
      <c r="C5288" s="2">
        <v>0.25</v>
      </c>
      <c r="D5288">
        <v>3</v>
      </c>
      <c r="E5288">
        <v>6.9</v>
      </c>
      <c r="F5288">
        <v>88</v>
      </c>
    </row>
    <row r="5289" spans="1:6" x14ac:dyDescent="0.35">
      <c r="A5289">
        <v>1975</v>
      </c>
      <c r="B5289" s="1">
        <v>45745</v>
      </c>
      <c r="C5289" s="2">
        <v>0.29166666666666669</v>
      </c>
      <c r="D5289">
        <v>3</v>
      </c>
      <c r="E5289">
        <v>7.6</v>
      </c>
      <c r="F5289">
        <v>86</v>
      </c>
    </row>
    <row r="5290" spans="1:6" x14ac:dyDescent="0.35">
      <c r="A5290">
        <v>1975</v>
      </c>
      <c r="B5290" s="1">
        <v>45745</v>
      </c>
      <c r="C5290" s="2">
        <v>0.33333333333333331</v>
      </c>
      <c r="D5290">
        <v>3</v>
      </c>
      <c r="E5290">
        <v>8.5</v>
      </c>
      <c r="F5290">
        <v>77</v>
      </c>
    </row>
    <row r="5291" spans="1:6" x14ac:dyDescent="0.35">
      <c r="A5291">
        <v>1975</v>
      </c>
      <c r="B5291" s="1">
        <v>45745</v>
      </c>
      <c r="C5291" s="2">
        <v>0.375</v>
      </c>
      <c r="D5291">
        <v>3</v>
      </c>
      <c r="E5291">
        <v>9.6</v>
      </c>
      <c r="F5291">
        <v>64</v>
      </c>
    </row>
    <row r="5292" spans="1:6" x14ac:dyDescent="0.35">
      <c r="A5292">
        <v>1975</v>
      </c>
      <c r="B5292" s="1">
        <v>45745</v>
      </c>
      <c r="C5292" s="2">
        <v>0.41666666666666669</v>
      </c>
      <c r="D5292">
        <v>3</v>
      </c>
      <c r="E5292">
        <v>10.9</v>
      </c>
      <c r="F5292">
        <v>56</v>
      </c>
    </row>
    <row r="5293" spans="1:6" x14ac:dyDescent="0.35">
      <c r="A5293">
        <v>1975</v>
      </c>
      <c r="B5293" s="1">
        <v>45745</v>
      </c>
      <c r="C5293" s="2">
        <v>0.45833333333333331</v>
      </c>
      <c r="D5293">
        <v>3</v>
      </c>
      <c r="E5293">
        <v>11.9</v>
      </c>
      <c r="F5293">
        <v>51</v>
      </c>
    </row>
    <row r="5294" spans="1:6" x14ac:dyDescent="0.35">
      <c r="A5294">
        <v>1975</v>
      </c>
      <c r="B5294" s="1">
        <v>45745</v>
      </c>
      <c r="C5294" s="2">
        <v>0.5</v>
      </c>
      <c r="D5294">
        <v>3</v>
      </c>
      <c r="E5294">
        <v>11.7</v>
      </c>
      <c r="F5294">
        <v>50</v>
      </c>
    </row>
    <row r="5295" spans="1:6" x14ac:dyDescent="0.35">
      <c r="A5295">
        <v>1975</v>
      </c>
      <c r="B5295" s="1">
        <v>45745</v>
      </c>
      <c r="C5295" s="2">
        <v>0.54166666666666663</v>
      </c>
      <c r="D5295">
        <v>3</v>
      </c>
      <c r="E5295">
        <v>11.9</v>
      </c>
      <c r="F5295">
        <v>54</v>
      </c>
    </row>
    <row r="5296" spans="1:6" x14ac:dyDescent="0.35">
      <c r="A5296">
        <v>1975</v>
      </c>
      <c r="B5296" s="1">
        <v>45745</v>
      </c>
      <c r="C5296" s="2">
        <v>0.58333333333333337</v>
      </c>
      <c r="D5296">
        <v>3</v>
      </c>
      <c r="E5296">
        <v>12.5</v>
      </c>
      <c r="F5296">
        <v>47</v>
      </c>
    </row>
    <row r="5297" spans="1:6" x14ac:dyDescent="0.35">
      <c r="A5297">
        <v>1975</v>
      </c>
      <c r="B5297" s="1">
        <v>45745</v>
      </c>
      <c r="C5297" s="2">
        <v>0.625</v>
      </c>
      <c r="D5297">
        <v>3</v>
      </c>
      <c r="E5297">
        <v>11.5</v>
      </c>
      <c r="F5297">
        <v>59</v>
      </c>
    </row>
    <row r="5298" spans="1:6" x14ac:dyDescent="0.35">
      <c r="A5298">
        <v>1975</v>
      </c>
      <c r="B5298" s="1">
        <v>45745</v>
      </c>
      <c r="C5298" s="2">
        <v>0.66666666666666663</v>
      </c>
      <c r="D5298">
        <v>3</v>
      </c>
      <c r="E5298">
        <v>11.2</v>
      </c>
      <c r="F5298">
        <v>56</v>
      </c>
    </row>
    <row r="5299" spans="1:6" x14ac:dyDescent="0.35">
      <c r="A5299">
        <v>1975</v>
      </c>
      <c r="B5299" s="1">
        <v>45745</v>
      </c>
      <c r="C5299" s="2">
        <v>0.70833333333333337</v>
      </c>
      <c r="D5299">
        <v>3</v>
      </c>
      <c r="E5299">
        <v>10</v>
      </c>
      <c r="F5299">
        <v>62</v>
      </c>
    </row>
    <row r="5300" spans="1:6" x14ac:dyDescent="0.35">
      <c r="A5300">
        <v>1975</v>
      </c>
      <c r="B5300" s="1">
        <v>45745</v>
      </c>
      <c r="C5300" s="2">
        <v>0.75</v>
      </c>
      <c r="D5300">
        <v>3</v>
      </c>
      <c r="E5300">
        <v>8.5</v>
      </c>
      <c r="F5300">
        <v>72</v>
      </c>
    </row>
    <row r="5301" spans="1:6" x14ac:dyDescent="0.35">
      <c r="A5301">
        <v>1975</v>
      </c>
      <c r="B5301" s="1">
        <v>45745</v>
      </c>
      <c r="C5301" s="2">
        <v>0.79166666666666663</v>
      </c>
      <c r="D5301">
        <v>3</v>
      </c>
      <c r="E5301">
        <v>7.3</v>
      </c>
      <c r="F5301">
        <v>83</v>
      </c>
    </row>
    <row r="5302" spans="1:6" x14ac:dyDescent="0.35">
      <c r="A5302">
        <v>1975</v>
      </c>
      <c r="B5302" s="1">
        <v>45745</v>
      </c>
      <c r="C5302" s="2">
        <v>0.83333333333333337</v>
      </c>
      <c r="D5302">
        <v>3</v>
      </c>
      <c r="E5302">
        <v>6.1</v>
      </c>
      <c r="F5302">
        <v>88</v>
      </c>
    </row>
    <row r="5303" spans="1:6" x14ac:dyDescent="0.35">
      <c r="A5303">
        <v>1975</v>
      </c>
      <c r="B5303" s="1">
        <v>45745</v>
      </c>
      <c r="C5303" s="2">
        <v>0.875</v>
      </c>
      <c r="D5303">
        <v>3</v>
      </c>
      <c r="E5303">
        <v>3.5</v>
      </c>
      <c r="F5303">
        <v>95</v>
      </c>
    </row>
    <row r="5304" spans="1:6" x14ac:dyDescent="0.35">
      <c r="A5304">
        <v>1975</v>
      </c>
      <c r="B5304" s="1">
        <v>45745</v>
      </c>
      <c r="C5304" s="2">
        <v>0.91666666666666663</v>
      </c>
      <c r="D5304">
        <v>3</v>
      </c>
      <c r="E5304">
        <v>3.5</v>
      </c>
      <c r="F5304">
        <v>98</v>
      </c>
    </row>
    <row r="5305" spans="1:6" x14ac:dyDescent="0.35">
      <c r="A5305">
        <v>1975</v>
      </c>
      <c r="B5305" s="1">
        <v>45745</v>
      </c>
      <c r="C5305" s="2">
        <v>0.95833333333333337</v>
      </c>
      <c r="D5305">
        <v>3</v>
      </c>
      <c r="E5305">
        <v>3.9</v>
      </c>
      <c r="F5305">
        <v>96</v>
      </c>
    </row>
    <row r="5306" spans="1:6" x14ac:dyDescent="0.35">
      <c r="A5306">
        <v>1975</v>
      </c>
      <c r="B5306" s="1">
        <v>45746</v>
      </c>
      <c r="C5306" s="2">
        <v>0</v>
      </c>
      <c r="D5306">
        <v>3</v>
      </c>
      <c r="E5306">
        <v>3.9</v>
      </c>
      <c r="F5306">
        <v>89</v>
      </c>
    </row>
    <row r="5307" spans="1:6" x14ac:dyDescent="0.35">
      <c r="A5307">
        <v>1975</v>
      </c>
      <c r="B5307" s="1">
        <v>45746</v>
      </c>
      <c r="C5307" s="2">
        <v>4.1666666666666657E-2</v>
      </c>
      <c r="D5307">
        <v>3</v>
      </c>
      <c r="E5307">
        <v>6.3</v>
      </c>
      <c r="F5307">
        <v>80</v>
      </c>
    </row>
    <row r="5308" spans="1:6" x14ac:dyDescent="0.35">
      <c r="A5308">
        <v>1975</v>
      </c>
      <c r="B5308" s="1">
        <v>45746</v>
      </c>
      <c r="C5308" s="2">
        <v>8.3333333333333329E-2</v>
      </c>
      <c r="D5308">
        <v>3</v>
      </c>
      <c r="E5308">
        <v>6.4</v>
      </c>
      <c r="F5308">
        <v>80</v>
      </c>
    </row>
    <row r="5309" spans="1:6" x14ac:dyDescent="0.35">
      <c r="A5309">
        <v>1975</v>
      </c>
      <c r="B5309" s="1">
        <v>45746</v>
      </c>
      <c r="C5309" s="2">
        <v>0.125</v>
      </c>
      <c r="D5309">
        <v>3</v>
      </c>
      <c r="E5309">
        <v>7</v>
      </c>
      <c r="F5309">
        <v>75</v>
      </c>
    </row>
    <row r="5310" spans="1:6" x14ac:dyDescent="0.35">
      <c r="A5310">
        <v>1975</v>
      </c>
      <c r="B5310" s="1">
        <v>45746</v>
      </c>
      <c r="C5310" s="2">
        <v>0.16666666666666671</v>
      </c>
      <c r="D5310">
        <v>3</v>
      </c>
      <c r="E5310">
        <v>6.9</v>
      </c>
      <c r="F5310">
        <v>73</v>
      </c>
    </row>
    <row r="5311" spans="1:6" x14ac:dyDescent="0.35">
      <c r="A5311">
        <v>1975</v>
      </c>
      <c r="B5311" s="1">
        <v>45746</v>
      </c>
      <c r="C5311" s="2">
        <v>0.20833333333333329</v>
      </c>
      <c r="D5311">
        <v>3</v>
      </c>
      <c r="E5311">
        <v>6</v>
      </c>
      <c r="F5311">
        <v>84</v>
      </c>
    </row>
    <row r="5312" spans="1:6" x14ac:dyDescent="0.35">
      <c r="A5312">
        <v>1975</v>
      </c>
      <c r="B5312" s="1">
        <v>45746</v>
      </c>
      <c r="C5312" s="2">
        <v>0.25</v>
      </c>
      <c r="D5312">
        <v>3</v>
      </c>
      <c r="E5312">
        <v>5.6</v>
      </c>
      <c r="F5312">
        <v>93</v>
      </c>
    </row>
    <row r="5313" spans="1:6" x14ac:dyDescent="0.35">
      <c r="A5313">
        <v>1975</v>
      </c>
      <c r="B5313" s="1">
        <v>45746</v>
      </c>
      <c r="C5313" s="2">
        <v>0.29166666666666669</v>
      </c>
      <c r="D5313">
        <v>3</v>
      </c>
      <c r="E5313">
        <v>6.1</v>
      </c>
      <c r="F5313">
        <v>96</v>
      </c>
    </row>
    <row r="5314" spans="1:6" x14ac:dyDescent="0.35">
      <c r="A5314">
        <v>1975</v>
      </c>
      <c r="B5314" s="1">
        <v>45746</v>
      </c>
      <c r="C5314" s="2">
        <v>0.33333333333333331</v>
      </c>
      <c r="D5314">
        <v>3</v>
      </c>
      <c r="E5314">
        <v>7.3</v>
      </c>
      <c r="F5314">
        <v>93</v>
      </c>
    </row>
    <row r="5315" spans="1:6" x14ac:dyDescent="0.35">
      <c r="A5315">
        <v>1975</v>
      </c>
      <c r="B5315" s="1">
        <v>45746</v>
      </c>
      <c r="C5315" s="2">
        <v>0.375</v>
      </c>
      <c r="D5315">
        <v>3</v>
      </c>
      <c r="E5315">
        <v>8</v>
      </c>
      <c r="F5315">
        <v>95</v>
      </c>
    </row>
    <row r="5316" spans="1:6" x14ac:dyDescent="0.35">
      <c r="A5316">
        <v>1975</v>
      </c>
      <c r="B5316" s="1">
        <v>45746</v>
      </c>
      <c r="C5316" s="2">
        <v>0.41666666666666669</v>
      </c>
      <c r="D5316">
        <v>3</v>
      </c>
      <c r="E5316">
        <v>8.6</v>
      </c>
      <c r="F5316">
        <v>89</v>
      </c>
    </row>
    <row r="5317" spans="1:6" x14ac:dyDescent="0.35">
      <c r="A5317">
        <v>1975</v>
      </c>
      <c r="B5317" s="1">
        <v>45746</v>
      </c>
      <c r="C5317" s="2">
        <v>0.45833333333333331</v>
      </c>
      <c r="D5317">
        <v>3</v>
      </c>
      <c r="E5317">
        <v>8.6</v>
      </c>
      <c r="F5317">
        <v>88</v>
      </c>
    </row>
    <row r="5318" spans="1:6" x14ac:dyDescent="0.35">
      <c r="A5318">
        <v>1975</v>
      </c>
      <c r="B5318" s="1">
        <v>45746</v>
      </c>
      <c r="C5318" s="2">
        <v>0.5</v>
      </c>
      <c r="D5318">
        <v>3</v>
      </c>
      <c r="E5318">
        <v>7.9</v>
      </c>
      <c r="F5318">
        <v>94</v>
      </c>
    </row>
    <row r="5319" spans="1:6" x14ac:dyDescent="0.35">
      <c r="A5319">
        <v>1975</v>
      </c>
      <c r="B5319" s="1">
        <v>45746</v>
      </c>
      <c r="C5319" s="2">
        <v>0.54166666666666663</v>
      </c>
      <c r="D5319">
        <v>3</v>
      </c>
      <c r="E5319">
        <v>8.6</v>
      </c>
      <c r="F5319">
        <v>84</v>
      </c>
    </row>
    <row r="5320" spans="1:6" x14ac:dyDescent="0.35">
      <c r="A5320">
        <v>1975</v>
      </c>
      <c r="B5320" s="1">
        <v>45746</v>
      </c>
      <c r="C5320" s="2">
        <v>0.58333333333333337</v>
      </c>
      <c r="D5320">
        <v>3</v>
      </c>
      <c r="E5320">
        <v>8.5</v>
      </c>
      <c r="F5320">
        <v>87</v>
      </c>
    </row>
    <row r="5321" spans="1:6" x14ac:dyDescent="0.35">
      <c r="A5321">
        <v>1975</v>
      </c>
      <c r="B5321" s="1">
        <v>45746</v>
      </c>
      <c r="C5321" s="2">
        <v>0.625</v>
      </c>
      <c r="D5321">
        <v>3</v>
      </c>
      <c r="E5321">
        <v>9</v>
      </c>
      <c r="F5321">
        <v>80</v>
      </c>
    </row>
    <row r="5322" spans="1:6" x14ac:dyDescent="0.35">
      <c r="A5322">
        <v>1975</v>
      </c>
      <c r="B5322" s="1">
        <v>45746</v>
      </c>
      <c r="C5322" s="2">
        <v>0.66666666666666663</v>
      </c>
      <c r="D5322">
        <v>3</v>
      </c>
      <c r="E5322">
        <v>8.9</v>
      </c>
      <c r="F5322">
        <v>79</v>
      </c>
    </row>
    <row r="5323" spans="1:6" x14ac:dyDescent="0.35">
      <c r="A5323">
        <v>1975</v>
      </c>
      <c r="B5323" s="1">
        <v>45746</v>
      </c>
      <c r="C5323" s="2">
        <v>0.70833333333333337</v>
      </c>
      <c r="D5323">
        <v>3</v>
      </c>
      <c r="E5323">
        <v>8.6</v>
      </c>
      <c r="F5323">
        <v>83</v>
      </c>
    </row>
    <row r="5324" spans="1:6" x14ac:dyDescent="0.35">
      <c r="A5324">
        <v>1975</v>
      </c>
      <c r="B5324" s="1">
        <v>45746</v>
      </c>
      <c r="C5324" s="2">
        <v>0.75</v>
      </c>
      <c r="D5324">
        <v>3</v>
      </c>
      <c r="E5324">
        <v>7.6</v>
      </c>
      <c r="F5324">
        <v>93</v>
      </c>
    </row>
    <row r="5325" spans="1:6" x14ac:dyDescent="0.35">
      <c r="A5325">
        <v>1975</v>
      </c>
      <c r="B5325" s="1">
        <v>45746</v>
      </c>
      <c r="C5325" s="2">
        <v>0.79166666666666663</v>
      </c>
      <c r="D5325">
        <v>3</v>
      </c>
      <c r="E5325">
        <v>7.4</v>
      </c>
      <c r="F5325">
        <v>93</v>
      </c>
    </row>
    <row r="5326" spans="1:6" x14ac:dyDescent="0.35">
      <c r="A5326">
        <v>1975</v>
      </c>
      <c r="B5326" s="1">
        <v>45746</v>
      </c>
      <c r="C5326" s="2">
        <v>0.83333333333333337</v>
      </c>
      <c r="D5326">
        <v>3</v>
      </c>
      <c r="E5326">
        <v>6.9</v>
      </c>
      <c r="F5326">
        <v>98</v>
      </c>
    </row>
    <row r="5327" spans="1:6" x14ac:dyDescent="0.35">
      <c r="A5327">
        <v>1975</v>
      </c>
      <c r="B5327" s="1">
        <v>45746</v>
      </c>
      <c r="C5327" s="2">
        <v>0.875</v>
      </c>
      <c r="D5327">
        <v>3</v>
      </c>
      <c r="E5327">
        <v>7</v>
      </c>
      <c r="F5327">
        <v>96</v>
      </c>
    </row>
    <row r="5328" spans="1:6" x14ac:dyDescent="0.35">
      <c r="A5328">
        <v>1975</v>
      </c>
      <c r="B5328" s="1">
        <v>45746</v>
      </c>
      <c r="C5328" s="2">
        <v>0.91666666666666663</v>
      </c>
      <c r="D5328">
        <v>3</v>
      </c>
      <c r="E5328">
        <v>7.1</v>
      </c>
      <c r="F5328">
        <v>95</v>
      </c>
    </row>
    <row r="5329" spans="1:6" x14ac:dyDescent="0.35">
      <c r="A5329">
        <v>1975</v>
      </c>
      <c r="B5329" s="1">
        <v>45746</v>
      </c>
      <c r="C5329" s="2">
        <v>0.95833333333333337</v>
      </c>
      <c r="D5329">
        <v>3</v>
      </c>
      <c r="E5329">
        <v>7.2</v>
      </c>
      <c r="F5329">
        <v>94</v>
      </c>
    </row>
    <row r="5330" spans="1:6" x14ac:dyDescent="0.35">
      <c r="A5330">
        <v>1975</v>
      </c>
      <c r="B5330" s="1">
        <v>45747</v>
      </c>
      <c r="C5330" s="2">
        <v>0</v>
      </c>
      <c r="D5330">
        <v>3</v>
      </c>
      <c r="E5330">
        <v>7</v>
      </c>
      <c r="F5330">
        <v>88</v>
      </c>
    </row>
    <row r="5331" spans="1:6" x14ac:dyDescent="0.35">
      <c r="A5331">
        <v>1975</v>
      </c>
      <c r="B5331" s="1">
        <v>45747</v>
      </c>
      <c r="C5331" s="2">
        <v>4.1666666666666657E-2</v>
      </c>
      <c r="D5331">
        <v>3</v>
      </c>
      <c r="E5331">
        <v>6.9</v>
      </c>
      <c r="F5331">
        <v>77</v>
      </c>
    </row>
    <row r="5332" spans="1:6" x14ac:dyDescent="0.35">
      <c r="A5332">
        <v>1975</v>
      </c>
      <c r="B5332" s="1">
        <v>45747</v>
      </c>
      <c r="C5332" s="2">
        <v>8.3333333333333329E-2</v>
      </c>
      <c r="D5332">
        <v>3</v>
      </c>
      <c r="E5332">
        <v>6.6</v>
      </c>
      <c r="F5332">
        <v>81</v>
      </c>
    </row>
    <row r="5333" spans="1:6" x14ac:dyDescent="0.35">
      <c r="A5333">
        <v>1975</v>
      </c>
      <c r="B5333" s="1">
        <v>45747</v>
      </c>
      <c r="C5333" s="2">
        <v>0.125</v>
      </c>
      <c r="D5333">
        <v>3</v>
      </c>
      <c r="E5333">
        <v>6.1</v>
      </c>
      <c r="F5333">
        <v>81</v>
      </c>
    </row>
    <row r="5334" spans="1:6" x14ac:dyDescent="0.35">
      <c r="A5334">
        <v>1975</v>
      </c>
      <c r="B5334" s="1">
        <v>45747</v>
      </c>
      <c r="C5334" s="2">
        <v>0.16666666666666671</v>
      </c>
      <c r="D5334">
        <v>3</v>
      </c>
      <c r="E5334">
        <v>5.6</v>
      </c>
      <c r="F5334">
        <v>83</v>
      </c>
    </row>
    <row r="5335" spans="1:6" x14ac:dyDescent="0.35">
      <c r="A5335">
        <v>1975</v>
      </c>
      <c r="B5335" s="1">
        <v>45747</v>
      </c>
      <c r="C5335" s="2">
        <v>0.20833333333333329</v>
      </c>
      <c r="D5335">
        <v>3</v>
      </c>
      <c r="E5335">
        <v>5.2</v>
      </c>
      <c r="F5335">
        <v>83</v>
      </c>
    </row>
    <row r="5336" spans="1:6" x14ac:dyDescent="0.35">
      <c r="A5336">
        <v>1975</v>
      </c>
      <c r="B5336" s="1">
        <v>45747</v>
      </c>
      <c r="C5336" s="2">
        <v>0.25</v>
      </c>
      <c r="D5336">
        <v>3</v>
      </c>
      <c r="E5336">
        <v>4.9000000000000004</v>
      </c>
      <c r="F5336">
        <v>83</v>
      </c>
    </row>
    <row r="5337" spans="1:6" x14ac:dyDescent="0.35">
      <c r="A5337">
        <v>1975</v>
      </c>
      <c r="B5337" s="1">
        <v>45747</v>
      </c>
      <c r="C5337" s="2">
        <v>0.29166666666666669</v>
      </c>
      <c r="D5337">
        <v>3</v>
      </c>
      <c r="E5337">
        <v>5</v>
      </c>
      <c r="F5337">
        <v>86</v>
      </c>
    </row>
    <row r="5338" spans="1:6" x14ac:dyDescent="0.35">
      <c r="A5338">
        <v>1975</v>
      </c>
      <c r="B5338" s="1">
        <v>45747</v>
      </c>
      <c r="C5338" s="2">
        <v>0.33333333333333331</v>
      </c>
      <c r="D5338">
        <v>3</v>
      </c>
      <c r="E5338">
        <v>6</v>
      </c>
      <c r="F5338">
        <v>82</v>
      </c>
    </row>
    <row r="5339" spans="1:6" x14ac:dyDescent="0.35">
      <c r="A5339">
        <v>1975</v>
      </c>
      <c r="B5339" s="1">
        <v>45747</v>
      </c>
      <c r="C5339" s="2">
        <v>0.375</v>
      </c>
      <c r="D5339">
        <v>3</v>
      </c>
      <c r="E5339">
        <v>7.5</v>
      </c>
      <c r="F5339">
        <v>77</v>
      </c>
    </row>
    <row r="5340" spans="1:6" x14ac:dyDescent="0.35">
      <c r="A5340">
        <v>1975</v>
      </c>
      <c r="B5340" s="1">
        <v>45747</v>
      </c>
      <c r="C5340" s="2">
        <v>0.41666666666666669</v>
      </c>
      <c r="D5340">
        <v>3</v>
      </c>
      <c r="E5340">
        <v>8</v>
      </c>
      <c r="F5340">
        <v>71</v>
      </c>
    </row>
    <row r="5341" spans="1:6" x14ac:dyDescent="0.35">
      <c r="A5341">
        <v>1975</v>
      </c>
      <c r="B5341" s="1">
        <v>45747</v>
      </c>
      <c r="C5341" s="2">
        <v>0.45833333333333331</v>
      </c>
      <c r="D5341">
        <v>3</v>
      </c>
      <c r="E5341">
        <v>9.8000000000000007</v>
      </c>
      <c r="F5341">
        <v>66</v>
      </c>
    </row>
    <row r="5342" spans="1:6" x14ac:dyDescent="0.35">
      <c r="A5342">
        <v>1975</v>
      </c>
      <c r="B5342" s="1">
        <v>45747</v>
      </c>
      <c r="C5342" s="2">
        <v>0.5</v>
      </c>
      <c r="D5342">
        <v>3</v>
      </c>
      <c r="E5342">
        <v>10.8</v>
      </c>
      <c r="F5342">
        <v>62</v>
      </c>
    </row>
    <row r="5343" spans="1:6" x14ac:dyDescent="0.35">
      <c r="A5343">
        <v>1975</v>
      </c>
      <c r="B5343" s="1">
        <v>45747</v>
      </c>
      <c r="C5343" s="2">
        <v>0.54166666666666663</v>
      </c>
      <c r="D5343">
        <v>3</v>
      </c>
      <c r="E5343">
        <v>11.4</v>
      </c>
      <c r="F5343">
        <v>57</v>
      </c>
    </row>
    <row r="5344" spans="1:6" x14ac:dyDescent="0.35">
      <c r="A5344">
        <v>1975</v>
      </c>
      <c r="B5344" s="1">
        <v>45747</v>
      </c>
      <c r="C5344" s="2">
        <v>0.58333333333333337</v>
      </c>
      <c r="D5344">
        <v>3</v>
      </c>
      <c r="E5344">
        <v>12.6</v>
      </c>
      <c r="F5344">
        <v>52</v>
      </c>
    </row>
    <row r="5345" spans="1:6" x14ac:dyDescent="0.35">
      <c r="A5345">
        <v>1975</v>
      </c>
      <c r="B5345" s="1">
        <v>45747</v>
      </c>
      <c r="C5345" s="2">
        <v>0.625</v>
      </c>
      <c r="D5345">
        <v>3</v>
      </c>
      <c r="E5345">
        <v>12.3</v>
      </c>
      <c r="F5345">
        <v>47</v>
      </c>
    </row>
    <row r="5346" spans="1:6" x14ac:dyDescent="0.35">
      <c r="A5346">
        <v>1975</v>
      </c>
      <c r="B5346" s="1">
        <v>45747</v>
      </c>
      <c r="C5346" s="2">
        <v>0.66666666666666663</v>
      </c>
      <c r="D5346">
        <v>3</v>
      </c>
      <c r="E5346">
        <v>12</v>
      </c>
      <c r="F5346">
        <v>50</v>
      </c>
    </row>
    <row r="5347" spans="1:6" x14ac:dyDescent="0.35">
      <c r="A5347">
        <v>1975</v>
      </c>
      <c r="B5347" s="1">
        <v>45747</v>
      </c>
      <c r="C5347" s="2">
        <v>0.70833333333333337</v>
      </c>
      <c r="D5347">
        <v>3</v>
      </c>
      <c r="E5347">
        <v>10.9</v>
      </c>
      <c r="F5347">
        <v>56</v>
      </c>
    </row>
    <row r="5348" spans="1:6" x14ac:dyDescent="0.35">
      <c r="A5348">
        <v>1975</v>
      </c>
      <c r="B5348" s="1">
        <v>45747</v>
      </c>
      <c r="C5348" s="2">
        <v>0.75</v>
      </c>
      <c r="D5348">
        <v>3</v>
      </c>
      <c r="E5348">
        <v>9.5</v>
      </c>
      <c r="F5348">
        <v>59</v>
      </c>
    </row>
    <row r="5349" spans="1:6" x14ac:dyDescent="0.35">
      <c r="A5349">
        <v>1975</v>
      </c>
      <c r="B5349" s="1">
        <v>45747</v>
      </c>
      <c r="C5349" s="2">
        <v>0.79166666666666663</v>
      </c>
      <c r="D5349">
        <v>3</v>
      </c>
      <c r="E5349">
        <v>6.4</v>
      </c>
      <c r="F5349">
        <v>75</v>
      </c>
    </row>
    <row r="5350" spans="1:6" x14ac:dyDescent="0.35">
      <c r="A5350">
        <v>1975</v>
      </c>
      <c r="B5350" s="1">
        <v>45747</v>
      </c>
      <c r="C5350" s="2">
        <v>0.83333333333333337</v>
      </c>
      <c r="D5350">
        <v>3</v>
      </c>
      <c r="E5350">
        <v>4.9000000000000004</v>
      </c>
      <c r="F5350">
        <v>86</v>
      </c>
    </row>
    <row r="5351" spans="1:6" x14ac:dyDescent="0.35">
      <c r="A5351">
        <v>1975</v>
      </c>
      <c r="B5351" s="1">
        <v>45747</v>
      </c>
      <c r="C5351" s="2">
        <v>0.875</v>
      </c>
      <c r="D5351">
        <v>3</v>
      </c>
      <c r="E5351">
        <v>3.7</v>
      </c>
      <c r="F5351">
        <v>87</v>
      </c>
    </row>
    <row r="5352" spans="1:6" x14ac:dyDescent="0.35">
      <c r="A5352">
        <v>1975</v>
      </c>
      <c r="B5352" s="1">
        <v>45747</v>
      </c>
      <c r="C5352" s="2">
        <v>0.91666666666666663</v>
      </c>
      <c r="D5352">
        <v>3</v>
      </c>
      <c r="E5352">
        <v>2.9</v>
      </c>
      <c r="F5352">
        <v>92</v>
      </c>
    </row>
    <row r="5353" spans="1:6" x14ac:dyDescent="0.35">
      <c r="A5353">
        <v>1975</v>
      </c>
      <c r="B5353" s="1">
        <v>45747</v>
      </c>
      <c r="C5353" s="2">
        <v>0.95833333333333337</v>
      </c>
      <c r="D5353">
        <v>3</v>
      </c>
      <c r="E5353">
        <v>1.9</v>
      </c>
      <c r="F5353">
        <v>97</v>
      </c>
    </row>
    <row r="5354" spans="1:6" x14ac:dyDescent="0.35">
      <c r="A5354">
        <v>1975</v>
      </c>
      <c r="B5354" s="1">
        <v>45748</v>
      </c>
      <c r="C5354" s="2">
        <v>0</v>
      </c>
      <c r="D5354">
        <v>3</v>
      </c>
      <c r="E5354">
        <v>1.6</v>
      </c>
      <c r="F5354">
        <v>96</v>
      </c>
    </row>
    <row r="5355" spans="1:6" x14ac:dyDescent="0.35">
      <c r="A5355">
        <v>1975</v>
      </c>
      <c r="B5355" s="1">
        <v>45748</v>
      </c>
      <c r="C5355" s="2">
        <v>4.1666666666666657E-2</v>
      </c>
      <c r="D5355">
        <v>3</v>
      </c>
      <c r="E5355">
        <v>0.2</v>
      </c>
      <c r="F5355">
        <v>96</v>
      </c>
    </row>
    <row r="5356" spans="1:6" x14ac:dyDescent="0.35">
      <c r="A5356">
        <v>1975</v>
      </c>
      <c r="B5356" s="1">
        <v>45748</v>
      </c>
      <c r="C5356" s="2">
        <v>8.3333333333333329E-2</v>
      </c>
      <c r="D5356">
        <v>3</v>
      </c>
      <c r="E5356">
        <v>0.1</v>
      </c>
      <c r="F5356">
        <v>100</v>
      </c>
    </row>
    <row r="5357" spans="1:6" x14ac:dyDescent="0.35">
      <c r="A5357">
        <v>1975</v>
      </c>
      <c r="B5357" s="1">
        <v>45748</v>
      </c>
      <c r="C5357" s="2">
        <v>0.125</v>
      </c>
      <c r="D5357">
        <v>3</v>
      </c>
      <c r="E5357">
        <v>-0.6</v>
      </c>
      <c r="F5357">
        <v>99</v>
      </c>
    </row>
    <row r="5358" spans="1:6" x14ac:dyDescent="0.35">
      <c r="A5358">
        <v>1975</v>
      </c>
      <c r="B5358" s="1">
        <v>45748</v>
      </c>
      <c r="C5358" s="2">
        <v>0.16666666666666671</v>
      </c>
      <c r="D5358">
        <v>3</v>
      </c>
      <c r="E5358">
        <v>-1</v>
      </c>
      <c r="F5358">
        <v>98</v>
      </c>
    </row>
    <row r="5359" spans="1:6" x14ac:dyDescent="0.35">
      <c r="A5359">
        <v>1975</v>
      </c>
      <c r="B5359" s="1">
        <v>45748</v>
      </c>
      <c r="C5359" s="2">
        <v>0.20833333333333329</v>
      </c>
      <c r="D5359">
        <v>3</v>
      </c>
      <c r="E5359">
        <v>-1.8</v>
      </c>
      <c r="F5359">
        <v>95</v>
      </c>
    </row>
    <row r="5360" spans="1:6" x14ac:dyDescent="0.35">
      <c r="A5360">
        <v>1975</v>
      </c>
      <c r="B5360" s="1">
        <v>45748</v>
      </c>
      <c r="C5360" s="2">
        <v>0.25</v>
      </c>
      <c r="D5360">
        <v>3</v>
      </c>
      <c r="E5360">
        <v>3.2</v>
      </c>
      <c r="F5360">
        <v>87</v>
      </c>
    </row>
    <row r="5361" spans="1:6" x14ac:dyDescent="0.35">
      <c r="A5361">
        <v>1975</v>
      </c>
      <c r="B5361" s="1">
        <v>45748</v>
      </c>
      <c r="C5361" s="2">
        <v>0.29166666666666669</v>
      </c>
      <c r="D5361">
        <v>3</v>
      </c>
      <c r="E5361">
        <v>5.7</v>
      </c>
      <c r="F5361">
        <v>80</v>
      </c>
    </row>
    <row r="5362" spans="1:6" x14ac:dyDescent="0.35">
      <c r="A5362">
        <v>1975</v>
      </c>
      <c r="B5362" s="1">
        <v>45748</v>
      </c>
      <c r="C5362" s="2">
        <v>0.33333333333333331</v>
      </c>
      <c r="D5362">
        <v>3</v>
      </c>
      <c r="E5362">
        <v>7.8</v>
      </c>
      <c r="F5362">
        <v>72</v>
      </c>
    </row>
    <row r="5363" spans="1:6" x14ac:dyDescent="0.35">
      <c r="A5363">
        <v>1975</v>
      </c>
      <c r="B5363" s="1">
        <v>45748</v>
      </c>
      <c r="C5363" s="2">
        <v>0.375</v>
      </c>
      <c r="D5363">
        <v>3</v>
      </c>
      <c r="E5363">
        <v>9.8000000000000007</v>
      </c>
      <c r="F5363">
        <v>62</v>
      </c>
    </row>
    <row r="5364" spans="1:6" x14ac:dyDescent="0.35">
      <c r="A5364">
        <v>1975</v>
      </c>
      <c r="B5364" s="1">
        <v>45748</v>
      </c>
      <c r="C5364" s="2">
        <v>0.41666666666666669</v>
      </c>
      <c r="D5364">
        <v>3</v>
      </c>
      <c r="E5364">
        <v>11.3</v>
      </c>
      <c r="F5364">
        <v>57</v>
      </c>
    </row>
    <row r="5365" spans="1:6" x14ac:dyDescent="0.35">
      <c r="A5365">
        <v>1975</v>
      </c>
      <c r="B5365" s="1">
        <v>45748</v>
      </c>
      <c r="C5365" s="2">
        <v>0.45833333333333331</v>
      </c>
      <c r="D5365">
        <v>3</v>
      </c>
      <c r="E5365">
        <v>12.5</v>
      </c>
      <c r="F5365">
        <v>53</v>
      </c>
    </row>
    <row r="5366" spans="1:6" x14ac:dyDescent="0.35">
      <c r="A5366">
        <v>1975</v>
      </c>
      <c r="B5366" s="1">
        <v>45748</v>
      </c>
      <c r="C5366" s="2">
        <v>0.5</v>
      </c>
      <c r="D5366">
        <v>3</v>
      </c>
      <c r="E5366">
        <v>13.7</v>
      </c>
      <c r="F5366">
        <v>50</v>
      </c>
    </row>
    <row r="5367" spans="1:6" x14ac:dyDescent="0.35">
      <c r="A5367">
        <v>1975</v>
      </c>
      <c r="B5367" s="1">
        <v>45748</v>
      </c>
      <c r="C5367" s="2">
        <v>0.54166666666666663</v>
      </c>
      <c r="D5367">
        <v>3</v>
      </c>
      <c r="E5367">
        <v>13.6</v>
      </c>
      <c r="F5367">
        <v>47</v>
      </c>
    </row>
    <row r="5368" spans="1:6" x14ac:dyDescent="0.35">
      <c r="A5368">
        <v>1975</v>
      </c>
      <c r="B5368" s="1">
        <v>45748</v>
      </c>
      <c r="C5368" s="2">
        <v>0.58333333333333337</v>
      </c>
      <c r="D5368">
        <v>3</v>
      </c>
      <c r="E5368">
        <v>14.4</v>
      </c>
      <c r="F5368">
        <v>44</v>
      </c>
    </row>
    <row r="5369" spans="1:6" x14ac:dyDescent="0.35">
      <c r="A5369">
        <v>1975</v>
      </c>
      <c r="B5369" s="1">
        <v>45748</v>
      </c>
      <c r="C5369" s="2">
        <v>0.625</v>
      </c>
      <c r="D5369">
        <v>3</v>
      </c>
      <c r="E5369">
        <v>13.8</v>
      </c>
      <c r="F5369">
        <v>46</v>
      </c>
    </row>
    <row r="5370" spans="1:6" x14ac:dyDescent="0.35">
      <c r="A5370">
        <v>1975</v>
      </c>
      <c r="B5370" s="1">
        <v>45748</v>
      </c>
      <c r="C5370" s="2">
        <v>0.66666666666666663</v>
      </c>
      <c r="D5370">
        <v>3</v>
      </c>
      <c r="E5370">
        <v>13.2</v>
      </c>
      <c r="F5370">
        <v>43</v>
      </c>
    </row>
    <row r="5371" spans="1:6" x14ac:dyDescent="0.35">
      <c r="A5371">
        <v>1975</v>
      </c>
      <c r="B5371" s="1">
        <v>45748</v>
      </c>
      <c r="C5371" s="2">
        <v>0.70833333333333337</v>
      </c>
      <c r="D5371">
        <v>3</v>
      </c>
      <c r="E5371">
        <v>11.8</v>
      </c>
      <c r="F5371">
        <v>47</v>
      </c>
    </row>
    <row r="5372" spans="1:6" x14ac:dyDescent="0.35">
      <c r="A5372">
        <v>1975</v>
      </c>
      <c r="B5372" s="1">
        <v>45748</v>
      </c>
      <c r="C5372" s="2">
        <v>0.75</v>
      </c>
      <c r="D5372">
        <v>3</v>
      </c>
      <c r="E5372">
        <v>10.4</v>
      </c>
      <c r="F5372">
        <v>53</v>
      </c>
    </row>
    <row r="5373" spans="1:6" x14ac:dyDescent="0.35">
      <c r="A5373">
        <v>1975</v>
      </c>
      <c r="B5373" s="1">
        <v>45748</v>
      </c>
      <c r="C5373" s="2">
        <v>0.79166666666666663</v>
      </c>
      <c r="D5373">
        <v>3</v>
      </c>
      <c r="E5373">
        <v>9</v>
      </c>
      <c r="F5373">
        <v>58</v>
      </c>
    </row>
    <row r="5374" spans="1:6" x14ac:dyDescent="0.35">
      <c r="A5374">
        <v>1975</v>
      </c>
      <c r="B5374" s="1">
        <v>45748</v>
      </c>
      <c r="C5374" s="2">
        <v>0.83333333333333337</v>
      </c>
      <c r="D5374">
        <v>3</v>
      </c>
      <c r="E5374">
        <v>8.1999999999999993</v>
      </c>
      <c r="F5374">
        <v>60</v>
      </c>
    </row>
    <row r="5375" spans="1:6" x14ac:dyDescent="0.35">
      <c r="A5375">
        <v>1975</v>
      </c>
      <c r="B5375" s="1">
        <v>45748</v>
      </c>
      <c r="C5375" s="2">
        <v>0.875</v>
      </c>
      <c r="D5375">
        <v>3</v>
      </c>
      <c r="E5375">
        <v>7.4</v>
      </c>
      <c r="F5375">
        <v>64</v>
      </c>
    </row>
    <row r="5376" spans="1:6" x14ac:dyDescent="0.35">
      <c r="A5376">
        <v>1975</v>
      </c>
      <c r="B5376" s="1">
        <v>45748</v>
      </c>
      <c r="C5376" s="2">
        <v>0.91666666666666663</v>
      </c>
      <c r="D5376">
        <v>3</v>
      </c>
      <c r="E5376">
        <v>6.5</v>
      </c>
      <c r="F5376">
        <v>68</v>
      </c>
    </row>
    <row r="5377" spans="1:6" x14ac:dyDescent="0.35">
      <c r="A5377">
        <v>1975</v>
      </c>
      <c r="B5377" s="1">
        <v>45748</v>
      </c>
      <c r="C5377" s="2">
        <v>0.95833333333333337</v>
      </c>
      <c r="D5377">
        <v>3</v>
      </c>
      <c r="E5377">
        <v>5.6</v>
      </c>
      <c r="F5377">
        <v>71</v>
      </c>
    </row>
    <row r="5378" spans="1:6" x14ac:dyDescent="0.35">
      <c r="A5378">
        <v>1975</v>
      </c>
      <c r="B5378" s="1">
        <v>45749</v>
      </c>
      <c r="C5378" s="2">
        <v>0</v>
      </c>
      <c r="D5378">
        <v>3</v>
      </c>
      <c r="E5378">
        <v>3.6</v>
      </c>
      <c r="F5378">
        <v>80</v>
      </c>
    </row>
    <row r="5379" spans="1:6" x14ac:dyDescent="0.35">
      <c r="A5379">
        <v>1975</v>
      </c>
      <c r="B5379" s="1">
        <v>45749</v>
      </c>
      <c r="C5379" s="2">
        <v>4.1666666666666657E-2</v>
      </c>
      <c r="D5379">
        <v>3</v>
      </c>
      <c r="E5379">
        <v>2.1</v>
      </c>
      <c r="F5379">
        <v>88</v>
      </c>
    </row>
    <row r="5380" spans="1:6" x14ac:dyDescent="0.35">
      <c r="A5380">
        <v>1975</v>
      </c>
      <c r="B5380" s="1">
        <v>45749</v>
      </c>
      <c r="C5380" s="2">
        <v>8.3333333333333329E-2</v>
      </c>
      <c r="D5380">
        <v>3</v>
      </c>
      <c r="E5380">
        <v>0</v>
      </c>
      <c r="F5380">
        <v>91</v>
      </c>
    </row>
    <row r="5381" spans="1:6" x14ac:dyDescent="0.35">
      <c r="A5381">
        <v>1975</v>
      </c>
      <c r="B5381" s="1">
        <v>45749</v>
      </c>
      <c r="C5381" s="2">
        <v>0.125</v>
      </c>
      <c r="D5381">
        <v>3</v>
      </c>
      <c r="E5381">
        <v>1.5</v>
      </c>
      <c r="F5381">
        <v>91</v>
      </c>
    </row>
    <row r="5382" spans="1:6" x14ac:dyDescent="0.35">
      <c r="A5382">
        <v>1975</v>
      </c>
      <c r="B5382" s="1">
        <v>45749</v>
      </c>
      <c r="C5382" s="2">
        <v>0.16666666666666671</v>
      </c>
      <c r="D5382">
        <v>3</v>
      </c>
      <c r="E5382">
        <v>2.1</v>
      </c>
      <c r="F5382">
        <v>95</v>
      </c>
    </row>
    <row r="5383" spans="1:6" x14ac:dyDescent="0.35">
      <c r="A5383">
        <v>1975</v>
      </c>
      <c r="B5383" s="1">
        <v>45749</v>
      </c>
      <c r="C5383" s="2">
        <v>0.20833333333333329</v>
      </c>
      <c r="D5383">
        <v>3</v>
      </c>
      <c r="E5383">
        <v>2.8</v>
      </c>
      <c r="F5383">
        <v>89</v>
      </c>
    </row>
    <row r="5384" spans="1:6" x14ac:dyDescent="0.35">
      <c r="A5384">
        <v>1975</v>
      </c>
      <c r="B5384" s="1">
        <v>45749</v>
      </c>
      <c r="C5384" s="2">
        <v>0.25</v>
      </c>
      <c r="D5384">
        <v>3</v>
      </c>
      <c r="E5384">
        <v>3.6</v>
      </c>
      <c r="F5384">
        <v>87</v>
      </c>
    </row>
    <row r="5385" spans="1:6" x14ac:dyDescent="0.35">
      <c r="A5385">
        <v>1975</v>
      </c>
      <c r="B5385" s="1">
        <v>45749</v>
      </c>
      <c r="C5385" s="2">
        <v>0.29166666666666669</v>
      </c>
      <c r="D5385">
        <v>3</v>
      </c>
      <c r="E5385">
        <v>5.0999999999999996</v>
      </c>
      <c r="F5385">
        <v>81</v>
      </c>
    </row>
    <row r="5386" spans="1:6" x14ac:dyDescent="0.35">
      <c r="A5386">
        <v>1975</v>
      </c>
      <c r="B5386" s="1">
        <v>45749</v>
      </c>
      <c r="C5386" s="2">
        <v>0.33333333333333331</v>
      </c>
      <c r="D5386">
        <v>3</v>
      </c>
      <c r="E5386">
        <v>6.1</v>
      </c>
      <c r="F5386">
        <v>77</v>
      </c>
    </row>
    <row r="5387" spans="1:6" x14ac:dyDescent="0.35">
      <c r="A5387">
        <v>1975</v>
      </c>
      <c r="B5387" s="1">
        <v>45749</v>
      </c>
      <c r="C5387" s="2">
        <v>0.375</v>
      </c>
      <c r="D5387">
        <v>3</v>
      </c>
      <c r="E5387">
        <v>6.9</v>
      </c>
      <c r="F5387">
        <v>78</v>
      </c>
    </row>
    <row r="5388" spans="1:6" x14ac:dyDescent="0.35">
      <c r="A5388">
        <v>1975</v>
      </c>
      <c r="B5388" s="1">
        <v>45749</v>
      </c>
      <c r="C5388" s="2">
        <v>0.41666666666666669</v>
      </c>
      <c r="D5388">
        <v>3</v>
      </c>
      <c r="E5388">
        <v>9.9</v>
      </c>
      <c r="F5388">
        <v>70</v>
      </c>
    </row>
    <row r="5389" spans="1:6" x14ac:dyDescent="0.35">
      <c r="A5389">
        <v>1975</v>
      </c>
      <c r="B5389" s="1">
        <v>45749</v>
      </c>
      <c r="C5389" s="2">
        <v>0.45833333333333331</v>
      </c>
      <c r="D5389">
        <v>3</v>
      </c>
      <c r="E5389">
        <v>12.1</v>
      </c>
      <c r="F5389">
        <v>63</v>
      </c>
    </row>
    <row r="5390" spans="1:6" x14ac:dyDescent="0.35">
      <c r="A5390">
        <v>1975</v>
      </c>
      <c r="B5390" s="1">
        <v>45749</v>
      </c>
      <c r="C5390" s="2">
        <v>0.5</v>
      </c>
      <c r="D5390">
        <v>3</v>
      </c>
      <c r="E5390">
        <v>14.2</v>
      </c>
      <c r="F5390">
        <v>55</v>
      </c>
    </row>
    <row r="5391" spans="1:6" x14ac:dyDescent="0.35">
      <c r="A5391">
        <v>1975</v>
      </c>
      <c r="B5391" s="1">
        <v>45749</v>
      </c>
      <c r="C5391" s="2">
        <v>0.54166666666666663</v>
      </c>
      <c r="D5391">
        <v>3</v>
      </c>
      <c r="E5391">
        <v>15.1</v>
      </c>
      <c r="F5391">
        <v>56</v>
      </c>
    </row>
    <row r="5392" spans="1:6" x14ac:dyDescent="0.35">
      <c r="A5392">
        <v>1975</v>
      </c>
      <c r="B5392" s="1">
        <v>45749</v>
      </c>
      <c r="C5392" s="2">
        <v>0.58333333333333337</v>
      </c>
      <c r="D5392">
        <v>3</v>
      </c>
      <c r="E5392">
        <v>15.4</v>
      </c>
      <c r="F5392">
        <v>55</v>
      </c>
    </row>
    <row r="5393" spans="1:6" x14ac:dyDescent="0.35">
      <c r="A5393">
        <v>1975</v>
      </c>
      <c r="B5393" s="1">
        <v>45749</v>
      </c>
      <c r="C5393" s="2">
        <v>0.625</v>
      </c>
      <c r="D5393">
        <v>3</v>
      </c>
      <c r="E5393">
        <v>15</v>
      </c>
      <c r="F5393">
        <v>57</v>
      </c>
    </row>
    <row r="5394" spans="1:6" x14ac:dyDescent="0.35">
      <c r="A5394">
        <v>1975</v>
      </c>
      <c r="B5394" s="1">
        <v>45749</v>
      </c>
      <c r="C5394" s="2">
        <v>0.66666666666666663</v>
      </c>
      <c r="D5394">
        <v>3</v>
      </c>
      <c r="E5394">
        <v>13.2</v>
      </c>
      <c r="F5394">
        <v>62</v>
      </c>
    </row>
    <row r="5395" spans="1:6" x14ac:dyDescent="0.35">
      <c r="A5395">
        <v>1975</v>
      </c>
      <c r="B5395" s="1">
        <v>45749</v>
      </c>
      <c r="C5395" s="2">
        <v>0.70833333333333337</v>
      </c>
      <c r="D5395">
        <v>3</v>
      </c>
      <c r="E5395">
        <v>11.8</v>
      </c>
      <c r="F5395">
        <v>61</v>
      </c>
    </row>
    <row r="5396" spans="1:6" x14ac:dyDescent="0.35">
      <c r="A5396">
        <v>1975</v>
      </c>
      <c r="B5396" s="1">
        <v>45749</v>
      </c>
      <c r="C5396" s="2">
        <v>0.75</v>
      </c>
      <c r="D5396">
        <v>3</v>
      </c>
      <c r="E5396">
        <v>10.1</v>
      </c>
      <c r="F5396">
        <v>60</v>
      </c>
    </row>
    <row r="5397" spans="1:6" x14ac:dyDescent="0.35">
      <c r="A5397">
        <v>1975</v>
      </c>
      <c r="B5397" s="1">
        <v>45749</v>
      </c>
      <c r="C5397" s="2">
        <v>0.79166666666666663</v>
      </c>
      <c r="D5397">
        <v>3</v>
      </c>
      <c r="E5397">
        <v>8.3000000000000007</v>
      </c>
      <c r="F5397">
        <v>66</v>
      </c>
    </row>
    <row r="5398" spans="1:6" x14ac:dyDescent="0.35">
      <c r="A5398">
        <v>1975</v>
      </c>
      <c r="B5398" s="1">
        <v>45749</v>
      </c>
      <c r="C5398" s="2">
        <v>0.83333333333333337</v>
      </c>
      <c r="D5398">
        <v>3</v>
      </c>
      <c r="E5398">
        <v>7.6</v>
      </c>
      <c r="F5398">
        <v>68</v>
      </c>
    </row>
    <row r="5399" spans="1:6" x14ac:dyDescent="0.35">
      <c r="A5399">
        <v>1975</v>
      </c>
      <c r="B5399" s="1">
        <v>45749</v>
      </c>
      <c r="C5399" s="2">
        <v>0.875</v>
      </c>
      <c r="D5399">
        <v>3</v>
      </c>
      <c r="E5399">
        <v>6.9</v>
      </c>
      <c r="F5399">
        <v>69</v>
      </c>
    </row>
    <row r="5400" spans="1:6" x14ac:dyDescent="0.35">
      <c r="A5400">
        <v>1975</v>
      </c>
      <c r="B5400" s="1">
        <v>45749</v>
      </c>
      <c r="C5400" s="2">
        <v>0.91666666666666663</v>
      </c>
      <c r="D5400">
        <v>3</v>
      </c>
      <c r="E5400">
        <v>6.4</v>
      </c>
      <c r="F5400">
        <v>70</v>
      </c>
    </row>
    <row r="5401" spans="1:6" x14ac:dyDescent="0.35">
      <c r="A5401">
        <v>1975</v>
      </c>
      <c r="B5401" s="1">
        <v>45749</v>
      </c>
      <c r="C5401" s="2">
        <v>0.95833333333333337</v>
      </c>
      <c r="D5401">
        <v>3</v>
      </c>
      <c r="E5401">
        <v>5.5</v>
      </c>
      <c r="F5401">
        <v>67</v>
      </c>
    </row>
    <row r="5402" spans="1:6" x14ac:dyDescent="0.35">
      <c r="A5402">
        <v>1975</v>
      </c>
      <c r="B5402" s="1">
        <v>45750</v>
      </c>
      <c r="C5402" s="2">
        <v>0</v>
      </c>
      <c r="D5402">
        <v>3</v>
      </c>
      <c r="E5402">
        <v>5.4</v>
      </c>
      <c r="F5402">
        <v>71</v>
      </c>
    </row>
    <row r="5403" spans="1:6" x14ac:dyDescent="0.35">
      <c r="A5403">
        <v>1975</v>
      </c>
      <c r="B5403" s="1">
        <v>45750</v>
      </c>
      <c r="C5403" s="2">
        <v>4.1666666666666657E-2</v>
      </c>
      <c r="D5403">
        <v>3</v>
      </c>
      <c r="E5403">
        <v>4.2</v>
      </c>
      <c r="F5403">
        <v>79</v>
      </c>
    </row>
    <row r="5404" spans="1:6" x14ac:dyDescent="0.35">
      <c r="A5404">
        <v>1975</v>
      </c>
      <c r="B5404" s="1">
        <v>45750</v>
      </c>
      <c r="C5404" s="2">
        <v>8.3333333333333329E-2</v>
      </c>
      <c r="D5404">
        <v>3</v>
      </c>
      <c r="E5404">
        <v>3.9</v>
      </c>
      <c r="F5404">
        <v>85</v>
      </c>
    </row>
    <row r="5405" spans="1:6" x14ac:dyDescent="0.35">
      <c r="A5405">
        <v>1975</v>
      </c>
      <c r="B5405" s="1">
        <v>45750</v>
      </c>
      <c r="C5405" s="2">
        <v>0.125</v>
      </c>
      <c r="D5405">
        <v>3</v>
      </c>
      <c r="E5405">
        <v>3.7</v>
      </c>
      <c r="F5405">
        <v>89</v>
      </c>
    </row>
    <row r="5406" spans="1:6" x14ac:dyDescent="0.35">
      <c r="A5406">
        <v>1975</v>
      </c>
      <c r="B5406" s="1">
        <v>45750</v>
      </c>
      <c r="C5406" s="2">
        <v>0.16666666666666671</v>
      </c>
      <c r="D5406">
        <v>3</v>
      </c>
      <c r="E5406">
        <v>3</v>
      </c>
      <c r="F5406">
        <v>90</v>
      </c>
    </row>
    <row r="5407" spans="1:6" x14ac:dyDescent="0.35">
      <c r="A5407">
        <v>1975</v>
      </c>
      <c r="B5407" s="1">
        <v>45750</v>
      </c>
      <c r="C5407" s="2">
        <v>0.20833333333333329</v>
      </c>
      <c r="D5407">
        <v>3</v>
      </c>
      <c r="E5407">
        <v>2.9</v>
      </c>
      <c r="F5407">
        <v>89</v>
      </c>
    </row>
    <row r="5408" spans="1:6" x14ac:dyDescent="0.35">
      <c r="A5408">
        <v>1975</v>
      </c>
      <c r="B5408" s="1">
        <v>45750</v>
      </c>
      <c r="C5408" s="2">
        <v>0.25</v>
      </c>
      <c r="D5408">
        <v>3</v>
      </c>
      <c r="E5408">
        <v>4.4000000000000004</v>
      </c>
      <c r="F5408">
        <v>80</v>
      </c>
    </row>
    <row r="5409" spans="1:6" x14ac:dyDescent="0.35">
      <c r="A5409">
        <v>1975</v>
      </c>
      <c r="B5409" s="1">
        <v>45750</v>
      </c>
      <c r="C5409" s="2">
        <v>0.29166666666666669</v>
      </c>
      <c r="D5409">
        <v>3</v>
      </c>
      <c r="E5409">
        <v>7.1</v>
      </c>
      <c r="F5409">
        <v>67</v>
      </c>
    </row>
    <row r="5410" spans="1:6" x14ac:dyDescent="0.35">
      <c r="A5410">
        <v>1975</v>
      </c>
      <c r="B5410" s="1">
        <v>45750</v>
      </c>
      <c r="C5410" s="2">
        <v>0.33333333333333331</v>
      </c>
      <c r="D5410">
        <v>3</v>
      </c>
      <c r="E5410">
        <v>9.8000000000000007</v>
      </c>
      <c r="F5410">
        <v>56</v>
      </c>
    </row>
    <row r="5411" spans="1:6" x14ac:dyDescent="0.35">
      <c r="A5411">
        <v>1975</v>
      </c>
      <c r="B5411" s="1">
        <v>45750</v>
      </c>
      <c r="C5411" s="2">
        <v>0.375</v>
      </c>
      <c r="D5411">
        <v>3</v>
      </c>
      <c r="E5411">
        <v>12.3</v>
      </c>
      <c r="F5411">
        <v>50</v>
      </c>
    </row>
    <row r="5412" spans="1:6" x14ac:dyDescent="0.35">
      <c r="A5412">
        <v>1975</v>
      </c>
      <c r="B5412" s="1">
        <v>45750</v>
      </c>
      <c r="C5412" s="2">
        <v>0.41666666666666669</v>
      </c>
      <c r="D5412">
        <v>3</v>
      </c>
      <c r="E5412">
        <v>14.6</v>
      </c>
      <c r="F5412">
        <v>42</v>
      </c>
    </row>
    <row r="5413" spans="1:6" x14ac:dyDescent="0.35">
      <c r="A5413">
        <v>1975</v>
      </c>
      <c r="B5413" s="1">
        <v>45750</v>
      </c>
      <c r="C5413" s="2">
        <v>0.45833333333333331</v>
      </c>
      <c r="D5413">
        <v>3</v>
      </c>
      <c r="E5413">
        <v>16.399999999999999</v>
      </c>
      <c r="F5413">
        <v>37</v>
      </c>
    </row>
    <row r="5414" spans="1:6" x14ac:dyDescent="0.35">
      <c r="A5414">
        <v>1975</v>
      </c>
      <c r="B5414" s="1">
        <v>45750</v>
      </c>
      <c r="C5414" s="2">
        <v>0.5</v>
      </c>
      <c r="D5414">
        <v>3</v>
      </c>
      <c r="E5414">
        <v>18</v>
      </c>
      <c r="F5414">
        <v>36</v>
      </c>
    </row>
    <row r="5415" spans="1:6" x14ac:dyDescent="0.35">
      <c r="A5415">
        <v>1975</v>
      </c>
      <c r="B5415" s="1">
        <v>45750</v>
      </c>
      <c r="C5415" s="2">
        <v>0.54166666666666663</v>
      </c>
      <c r="D5415">
        <v>3</v>
      </c>
      <c r="E5415">
        <v>18</v>
      </c>
      <c r="F5415">
        <v>37</v>
      </c>
    </row>
    <row r="5416" spans="1:6" x14ac:dyDescent="0.35">
      <c r="A5416">
        <v>1975</v>
      </c>
      <c r="B5416" s="1">
        <v>45750</v>
      </c>
      <c r="C5416" s="2">
        <v>0.58333333333333337</v>
      </c>
      <c r="D5416">
        <v>3</v>
      </c>
      <c r="E5416">
        <v>19.3</v>
      </c>
      <c r="F5416">
        <v>34</v>
      </c>
    </row>
    <row r="5417" spans="1:6" x14ac:dyDescent="0.35">
      <c r="A5417">
        <v>1975</v>
      </c>
      <c r="B5417" s="1">
        <v>45750</v>
      </c>
      <c r="C5417" s="2">
        <v>0.625</v>
      </c>
      <c r="D5417">
        <v>3</v>
      </c>
      <c r="E5417">
        <v>18.7</v>
      </c>
      <c r="F5417">
        <v>34</v>
      </c>
    </row>
    <row r="5418" spans="1:6" x14ac:dyDescent="0.35">
      <c r="A5418">
        <v>1975</v>
      </c>
      <c r="B5418" s="1">
        <v>45750</v>
      </c>
      <c r="C5418" s="2">
        <v>0.66666666666666663</v>
      </c>
      <c r="D5418">
        <v>3</v>
      </c>
      <c r="E5418">
        <v>18.399999999999999</v>
      </c>
      <c r="F5418">
        <v>33</v>
      </c>
    </row>
    <row r="5419" spans="1:6" x14ac:dyDescent="0.35">
      <c r="A5419">
        <v>1975</v>
      </c>
      <c r="B5419" s="1">
        <v>45750</v>
      </c>
      <c r="C5419" s="2">
        <v>0.70833333333333337</v>
      </c>
      <c r="D5419">
        <v>3</v>
      </c>
      <c r="E5419">
        <v>16.8</v>
      </c>
      <c r="F5419">
        <v>45</v>
      </c>
    </row>
    <row r="5420" spans="1:6" x14ac:dyDescent="0.35">
      <c r="A5420">
        <v>1975</v>
      </c>
      <c r="B5420" s="1">
        <v>45750</v>
      </c>
      <c r="C5420" s="2">
        <v>0.75</v>
      </c>
      <c r="D5420">
        <v>3</v>
      </c>
      <c r="E5420">
        <v>14.4</v>
      </c>
      <c r="F5420">
        <v>53</v>
      </c>
    </row>
    <row r="5421" spans="1:6" x14ac:dyDescent="0.35">
      <c r="A5421">
        <v>1975</v>
      </c>
      <c r="B5421" s="1">
        <v>45750</v>
      </c>
      <c r="C5421" s="2">
        <v>0.79166666666666663</v>
      </c>
      <c r="D5421">
        <v>3</v>
      </c>
      <c r="E5421">
        <v>12.1</v>
      </c>
      <c r="F5421">
        <v>59</v>
      </c>
    </row>
    <row r="5422" spans="1:6" x14ac:dyDescent="0.35">
      <c r="A5422">
        <v>1975</v>
      </c>
      <c r="B5422" s="1">
        <v>45750</v>
      </c>
      <c r="C5422" s="2">
        <v>0.83333333333333337</v>
      </c>
      <c r="D5422">
        <v>3</v>
      </c>
      <c r="E5422">
        <v>10.199999999999999</v>
      </c>
      <c r="F5422">
        <v>65</v>
      </c>
    </row>
    <row r="5423" spans="1:6" x14ac:dyDescent="0.35">
      <c r="A5423">
        <v>1975</v>
      </c>
      <c r="B5423" s="1">
        <v>45750</v>
      </c>
      <c r="C5423" s="2">
        <v>0.875</v>
      </c>
      <c r="D5423">
        <v>3</v>
      </c>
      <c r="E5423">
        <v>10.3</v>
      </c>
      <c r="F5423">
        <v>67</v>
      </c>
    </row>
    <row r="5424" spans="1:6" x14ac:dyDescent="0.35">
      <c r="A5424">
        <v>1975</v>
      </c>
      <c r="B5424" s="1">
        <v>45750</v>
      </c>
      <c r="C5424" s="2">
        <v>0.91666666666666663</v>
      </c>
      <c r="D5424">
        <v>3</v>
      </c>
      <c r="E5424">
        <v>8.6999999999999993</v>
      </c>
      <c r="F5424">
        <v>74</v>
      </c>
    </row>
    <row r="5425" spans="1:6" x14ac:dyDescent="0.35">
      <c r="A5425">
        <v>1975</v>
      </c>
      <c r="B5425" s="1">
        <v>45750</v>
      </c>
      <c r="C5425" s="2">
        <v>0.95833333333333337</v>
      </c>
      <c r="D5425">
        <v>3</v>
      </c>
      <c r="E5425">
        <v>6.2</v>
      </c>
      <c r="F5425">
        <v>82</v>
      </c>
    </row>
    <row r="5426" spans="1:6" x14ac:dyDescent="0.35">
      <c r="A5426">
        <v>1975</v>
      </c>
      <c r="B5426" s="1">
        <v>45751</v>
      </c>
      <c r="C5426" s="2">
        <v>0</v>
      </c>
      <c r="D5426">
        <v>3</v>
      </c>
      <c r="E5426">
        <v>4.7</v>
      </c>
      <c r="F5426">
        <v>91</v>
      </c>
    </row>
    <row r="5427" spans="1:6" x14ac:dyDescent="0.35">
      <c r="A5427">
        <v>1975</v>
      </c>
      <c r="B5427" s="1">
        <v>45751</v>
      </c>
      <c r="C5427" s="2">
        <v>4.1666666666666657E-2</v>
      </c>
      <c r="D5427">
        <v>3</v>
      </c>
      <c r="E5427">
        <v>4.7</v>
      </c>
      <c r="F5427">
        <v>90</v>
      </c>
    </row>
    <row r="5428" spans="1:6" x14ac:dyDescent="0.35">
      <c r="A5428">
        <v>1975</v>
      </c>
      <c r="B5428" s="1">
        <v>45751</v>
      </c>
      <c r="C5428" s="2">
        <v>8.3333333333333329E-2</v>
      </c>
      <c r="D5428">
        <v>3</v>
      </c>
      <c r="E5428">
        <v>4.7</v>
      </c>
      <c r="F5428">
        <v>89</v>
      </c>
    </row>
    <row r="5429" spans="1:6" x14ac:dyDescent="0.35">
      <c r="A5429">
        <v>1975</v>
      </c>
      <c r="B5429" s="1">
        <v>45751</v>
      </c>
      <c r="C5429" s="2">
        <v>0.125</v>
      </c>
      <c r="D5429">
        <v>3</v>
      </c>
      <c r="E5429">
        <v>3.8</v>
      </c>
      <c r="F5429">
        <v>93</v>
      </c>
    </row>
    <row r="5430" spans="1:6" x14ac:dyDescent="0.35">
      <c r="A5430">
        <v>1975</v>
      </c>
      <c r="B5430" s="1">
        <v>45751</v>
      </c>
      <c r="C5430" s="2">
        <v>0.16666666666666671</v>
      </c>
      <c r="D5430">
        <v>3</v>
      </c>
      <c r="E5430">
        <v>3.9</v>
      </c>
      <c r="F5430">
        <v>96</v>
      </c>
    </row>
    <row r="5431" spans="1:6" x14ac:dyDescent="0.35">
      <c r="A5431">
        <v>1975</v>
      </c>
      <c r="B5431" s="1">
        <v>45751</v>
      </c>
      <c r="C5431" s="2">
        <v>0.20833333333333329</v>
      </c>
      <c r="D5431">
        <v>3</v>
      </c>
      <c r="E5431">
        <v>3.3</v>
      </c>
      <c r="F5431">
        <v>97</v>
      </c>
    </row>
    <row r="5432" spans="1:6" x14ac:dyDescent="0.35">
      <c r="A5432">
        <v>1975</v>
      </c>
      <c r="B5432" s="1">
        <v>45751</v>
      </c>
      <c r="C5432" s="2">
        <v>0.25</v>
      </c>
      <c r="D5432">
        <v>3</v>
      </c>
      <c r="E5432">
        <v>4.9000000000000004</v>
      </c>
      <c r="F5432">
        <v>88</v>
      </c>
    </row>
    <row r="5433" spans="1:6" x14ac:dyDescent="0.35">
      <c r="A5433">
        <v>1975</v>
      </c>
      <c r="B5433" s="1">
        <v>45751</v>
      </c>
      <c r="C5433" s="2">
        <v>0.29166666666666669</v>
      </c>
      <c r="D5433">
        <v>3</v>
      </c>
      <c r="E5433">
        <v>11</v>
      </c>
      <c r="F5433">
        <v>69</v>
      </c>
    </row>
    <row r="5434" spans="1:6" x14ac:dyDescent="0.35">
      <c r="A5434">
        <v>1975</v>
      </c>
      <c r="B5434" s="1">
        <v>45751</v>
      </c>
      <c r="C5434" s="2">
        <v>0.33333333333333331</v>
      </c>
      <c r="D5434">
        <v>3</v>
      </c>
      <c r="E5434">
        <v>13.4</v>
      </c>
      <c r="F5434">
        <v>62</v>
      </c>
    </row>
    <row r="5435" spans="1:6" x14ac:dyDescent="0.35">
      <c r="A5435">
        <v>1975</v>
      </c>
      <c r="B5435" s="1">
        <v>45751</v>
      </c>
      <c r="C5435" s="2">
        <v>0.375</v>
      </c>
      <c r="D5435">
        <v>3</v>
      </c>
      <c r="E5435">
        <v>17.2</v>
      </c>
      <c r="F5435">
        <v>51</v>
      </c>
    </row>
    <row r="5436" spans="1:6" x14ac:dyDescent="0.35">
      <c r="A5436">
        <v>1975</v>
      </c>
      <c r="B5436" s="1">
        <v>45751</v>
      </c>
      <c r="C5436" s="2">
        <v>0.41666666666666669</v>
      </c>
      <c r="D5436">
        <v>3</v>
      </c>
      <c r="E5436">
        <v>18.100000000000001</v>
      </c>
      <c r="F5436">
        <v>-999</v>
      </c>
    </row>
    <row r="5437" spans="1:6" x14ac:dyDescent="0.35">
      <c r="A5437">
        <v>1975</v>
      </c>
      <c r="B5437" s="1">
        <v>45751</v>
      </c>
      <c r="C5437" s="2">
        <v>0.45833333333333331</v>
      </c>
      <c r="D5437">
        <v>3</v>
      </c>
      <c r="E5437">
        <v>18.8</v>
      </c>
      <c r="F5437">
        <v>-999</v>
      </c>
    </row>
    <row r="5438" spans="1:6" x14ac:dyDescent="0.35">
      <c r="A5438">
        <v>1975</v>
      </c>
      <c r="B5438" s="1">
        <v>45751</v>
      </c>
      <c r="C5438" s="2">
        <v>0.5</v>
      </c>
      <c r="D5438">
        <v>3</v>
      </c>
      <c r="E5438">
        <v>19.7</v>
      </c>
      <c r="F5438">
        <v>-999</v>
      </c>
    </row>
    <row r="5439" spans="1:6" x14ac:dyDescent="0.35">
      <c r="A5439">
        <v>1975</v>
      </c>
      <c r="B5439" s="1">
        <v>45751</v>
      </c>
      <c r="C5439" s="2">
        <v>0.54166666666666663</v>
      </c>
      <c r="D5439">
        <v>3</v>
      </c>
      <c r="E5439">
        <v>19.600000000000001</v>
      </c>
      <c r="F5439">
        <v>-999</v>
      </c>
    </row>
    <row r="5440" spans="1:6" x14ac:dyDescent="0.35">
      <c r="A5440">
        <v>1975</v>
      </c>
      <c r="B5440" s="1">
        <v>45751</v>
      </c>
      <c r="C5440" s="2">
        <v>0.58333333333333337</v>
      </c>
      <c r="D5440">
        <v>3</v>
      </c>
      <c r="E5440">
        <v>19.899999999999999</v>
      </c>
      <c r="F5440">
        <v>-999</v>
      </c>
    </row>
    <row r="5441" spans="1:6" x14ac:dyDescent="0.35">
      <c r="A5441">
        <v>1975</v>
      </c>
      <c r="B5441" s="1">
        <v>45751</v>
      </c>
      <c r="C5441" s="2">
        <v>0.625</v>
      </c>
      <c r="D5441">
        <v>3</v>
      </c>
      <c r="E5441">
        <v>19.600000000000001</v>
      </c>
      <c r="F5441">
        <v>-999</v>
      </c>
    </row>
    <row r="5442" spans="1:6" x14ac:dyDescent="0.35">
      <c r="A5442">
        <v>1975</v>
      </c>
      <c r="B5442" s="1">
        <v>45751</v>
      </c>
      <c r="C5442" s="2">
        <v>0.66666666666666663</v>
      </c>
      <c r="D5442">
        <v>3</v>
      </c>
      <c r="E5442">
        <v>19.7</v>
      </c>
      <c r="F5442">
        <v>-999</v>
      </c>
    </row>
    <row r="5443" spans="1:6" x14ac:dyDescent="0.35">
      <c r="A5443">
        <v>1975</v>
      </c>
      <c r="B5443" s="1">
        <v>45751</v>
      </c>
      <c r="C5443" s="2">
        <v>0.70833333333333337</v>
      </c>
      <c r="D5443">
        <v>3</v>
      </c>
      <c r="E5443">
        <v>18.3</v>
      </c>
      <c r="F5443">
        <v>43</v>
      </c>
    </row>
    <row r="5444" spans="1:6" x14ac:dyDescent="0.35">
      <c r="A5444">
        <v>1975</v>
      </c>
      <c r="B5444" s="1">
        <v>45751</v>
      </c>
      <c r="C5444" s="2">
        <v>0.75</v>
      </c>
      <c r="D5444">
        <v>3</v>
      </c>
      <c r="E5444">
        <v>15.6</v>
      </c>
      <c r="F5444">
        <v>42</v>
      </c>
    </row>
    <row r="5445" spans="1:6" x14ac:dyDescent="0.35">
      <c r="A5445">
        <v>1975</v>
      </c>
      <c r="B5445" s="1">
        <v>45751</v>
      </c>
      <c r="C5445" s="2">
        <v>0.79166666666666663</v>
      </c>
      <c r="D5445">
        <v>3</v>
      </c>
      <c r="E5445">
        <v>11.5</v>
      </c>
      <c r="F5445">
        <v>63</v>
      </c>
    </row>
    <row r="5446" spans="1:6" x14ac:dyDescent="0.35">
      <c r="A5446">
        <v>1975</v>
      </c>
      <c r="B5446" s="1">
        <v>45751</v>
      </c>
      <c r="C5446" s="2">
        <v>0.83333333333333337</v>
      </c>
      <c r="D5446">
        <v>3</v>
      </c>
      <c r="E5446">
        <v>9.5</v>
      </c>
      <c r="F5446">
        <v>63</v>
      </c>
    </row>
    <row r="5447" spans="1:6" x14ac:dyDescent="0.35">
      <c r="A5447">
        <v>1975</v>
      </c>
      <c r="B5447" s="1">
        <v>45751</v>
      </c>
      <c r="C5447" s="2">
        <v>0.875</v>
      </c>
      <c r="D5447">
        <v>3</v>
      </c>
      <c r="E5447">
        <v>7.7</v>
      </c>
      <c r="F5447">
        <v>69</v>
      </c>
    </row>
    <row r="5448" spans="1:6" x14ac:dyDescent="0.35">
      <c r="A5448">
        <v>1975</v>
      </c>
      <c r="B5448" s="1">
        <v>45751</v>
      </c>
      <c r="C5448" s="2">
        <v>0.91666666666666663</v>
      </c>
      <c r="D5448">
        <v>3</v>
      </c>
      <c r="E5448">
        <v>6.8</v>
      </c>
      <c r="F5448">
        <v>73</v>
      </c>
    </row>
    <row r="5449" spans="1:6" x14ac:dyDescent="0.35">
      <c r="A5449">
        <v>1975</v>
      </c>
      <c r="B5449" s="1">
        <v>45751</v>
      </c>
      <c r="C5449" s="2">
        <v>0.95833333333333337</v>
      </c>
      <c r="D5449">
        <v>3</v>
      </c>
      <c r="E5449">
        <v>5.7</v>
      </c>
      <c r="F5449">
        <v>78</v>
      </c>
    </row>
    <row r="5450" spans="1:6" x14ac:dyDescent="0.35">
      <c r="A5450">
        <v>1975</v>
      </c>
      <c r="B5450" s="1">
        <v>45752</v>
      </c>
      <c r="C5450" s="2">
        <v>0</v>
      </c>
      <c r="D5450">
        <v>3</v>
      </c>
      <c r="E5450">
        <v>5.4</v>
      </c>
      <c r="F5450">
        <v>81</v>
      </c>
    </row>
    <row r="5451" spans="1:6" x14ac:dyDescent="0.35">
      <c r="A5451">
        <v>1975</v>
      </c>
      <c r="B5451" s="1">
        <v>45752</v>
      </c>
      <c r="C5451" s="2">
        <v>4.1666666666666657E-2</v>
      </c>
      <c r="D5451">
        <v>3</v>
      </c>
      <c r="E5451">
        <v>5.4</v>
      </c>
      <c r="F5451">
        <v>83</v>
      </c>
    </row>
    <row r="5452" spans="1:6" x14ac:dyDescent="0.35">
      <c r="A5452">
        <v>1975</v>
      </c>
      <c r="B5452" s="1">
        <v>45752</v>
      </c>
      <c r="C5452" s="2">
        <v>8.3333333333333329E-2</v>
      </c>
      <c r="D5452">
        <v>3</v>
      </c>
      <c r="E5452">
        <v>5.0999999999999996</v>
      </c>
      <c r="F5452">
        <v>83</v>
      </c>
    </row>
    <row r="5453" spans="1:6" x14ac:dyDescent="0.35">
      <c r="A5453">
        <v>1975</v>
      </c>
      <c r="B5453" s="1">
        <v>45752</v>
      </c>
      <c r="C5453" s="2">
        <v>0.125</v>
      </c>
      <c r="D5453">
        <v>3</v>
      </c>
      <c r="E5453">
        <v>4.5</v>
      </c>
      <c r="F5453">
        <v>85</v>
      </c>
    </row>
    <row r="5454" spans="1:6" x14ac:dyDescent="0.35">
      <c r="A5454">
        <v>1975</v>
      </c>
      <c r="B5454" s="1">
        <v>45752</v>
      </c>
      <c r="C5454" s="2">
        <v>0.16666666666666671</v>
      </c>
      <c r="D5454">
        <v>3</v>
      </c>
      <c r="E5454">
        <v>3.4</v>
      </c>
      <c r="F5454">
        <v>86</v>
      </c>
    </row>
    <row r="5455" spans="1:6" x14ac:dyDescent="0.35">
      <c r="A5455">
        <v>1975</v>
      </c>
      <c r="B5455" s="1">
        <v>45752</v>
      </c>
      <c r="C5455" s="2">
        <v>0.20833333333333329</v>
      </c>
      <c r="D5455">
        <v>3</v>
      </c>
      <c r="E5455">
        <v>3.7</v>
      </c>
      <c r="F5455">
        <v>89</v>
      </c>
    </row>
    <row r="5456" spans="1:6" x14ac:dyDescent="0.35">
      <c r="A5456">
        <v>1975</v>
      </c>
      <c r="B5456" s="1">
        <v>45752</v>
      </c>
      <c r="C5456" s="2">
        <v>0.25</v>
      </c>
      <c r="D5456">
        <v>3</v>
      </c>
      <c r="E5456">
        <v>3.6</v>
      </c>
      <c r="F5456">
        <v>88</v>
      </c>
    </row>
    <row r="5457" spans="1:6" x14ac:dyDescent="0.35">
      <c r="A5457">
        <v>1975</v>
      </c>
      <c r="B5457" s="1">
        <v>45752</v>
      </c>
      <c r="C5457" s="2">
        <v>0.29166666666666669</v>
      </c>
      <c r="D5457">
        <v>3</v>
      </c>
      <c r="E5457">
        <v>5.6</v>
      </c>
      <c r="F5457">
        <v>74</v>
      </c>
    </row>
    <row r="5458" spans="1:6" x14ac:dyDescent="0.35">
      <c r="A5458">
        <v>1975</v>
      </c>
      <c r="B5458" s="1">
        <v>45752</v>
      </c>
      <c r="C5458" s="2">
        <v>0.33333333333333331</v>
      </c>
      <c r="D5458">
        <v>3</v>
      </c>
      <c r="E5458">
        <v>7.1</v>
      </c>
      <c r="F5458">
        <v>61</v>
      </c>
    </row>
    <row r="5459" spans="1:6" x14ac:dyDescent="0.35">
      <c r="A5459">
        <v>1975</v>
      </c>
      <c r="B5459" s="1">
        <v>45752</v>
      </c>
      <c r="C5459" s="2">
        <v>0.375</v>
      </c>
      <c r="D5459">
        <v>3</v>
      </c>
      <c r="E5459">
        <v>8.6</v>
      </c>
      <c r="F5459">
        <v>51</v>
      </c>
    </row>
    <row r="5460" spans="1:6" x14ac:dyDescent="0.35">
      <c r="A5460">
        <v>1975</v>
      </c>
      <c r="B5460" s="1">
        <v>45752</v>
      </c>
      <c r="C5460" s="2">
        <v>0.41666666666666669</v>
      </c>
      <c r="D5460">
        <v>3</v>
      </c>
      <c r="E5460">
        <v>9.1</v>
      </c>
      <c r="F5460">
        <v>52</v>
      </c>
    </row>
    <row r="5461" spans="1:6" x14ac:dyDescent="0.35">
      <c r="A5461">
        <v>1975</v>
      </c>
      <c r="B5461" s="1">
        <v>45752</v>
      </c>
      <c r="C5461" s="2">
        <v>0.45833333333333331</v>
      </c>
      <c r="D5461">
        <v>3</v>
      </c>
      <c r="E5461">
        <v>10.6</v>
      </c>
      <c r="F5461">
        <v>48</v>
      </c>
    </row>
    <row r="5462" spans="1:6" x14ac:dyDescent="0.35">
      <c r="A5462">
        <v>1975</v>
      </c>
      <c r="B5462" s="1">
        <v>45752</v>
      </c>
      <c r="C5462" s="2">
        <v>0.5</v>
      </c>
      <c r="D5462">
        <v>3</v>
      </c>
      <c r="E5462">
        <v>10.6</v>
      </c>
      <c r="F5462">
        <v>45</v>
      </c>
    </row>
    <row r="5463" spans="1:6" x14ac:dyDescent="0.35">
      <c r="A5463">
        <v>1975</v>
      </c>
      <c r="B5463" s="1">
        <v>45752</v>
      </c>
      <c r="C5463" s="2">
        <v>0.54166666666666663</v>
      </c>
      <c r="D5463">
        <v>3</v>
      </c>
      <c r="E5463">
        <v>10.8</v>
      </c>
      <c r="F5463">
        <v>43</v>
      </c>
    </row>
    <row r="5464" spans="1:6" x14ac:dyDescent="0.35">
      <c r="A5464">
        <v>1975</v>
      </c>
      <c r="B5464" s="1">
        <v>45752</v>
      </c>
      <c r="C5464" s="2">
        <v>0.58333333333333337</v>
      </c>
      <c r="D5464">
        <v>3</v>
      </c>
      <c r="E5464">
        <v>10.6</v>
      </c>
      <c r="F5464">
        <v>31</v>
      </c>
    </row>
    <row r="5465" spans="1:6" x14ac:dyDescent="0.35">
      <c r="A5465">
        <v>1975</v>
      </c>
      <c r="B5465" s="1">
        <v>45752</v>
      </c>
      <c r="C5465" s="2">
        <v>0.625</v>
      </c>
      <c r="D5465">
        <v>3</v>
      </c>
      <c r="E5465">
        <v>10.3</v>
      </c>
      <c r="F5465">
        <v>37</v>
      </c>
    </row>
    <row r="5466" spans="1:6" x14ac:dyDescent="0.35">
      <c r="A5466">
        <v>1975</v>
      </c>
      <c r="B5466" s="1">
        <v>45752</v>
      </c>
      <c r="C5466" s="2">
        <v>0.66666666666666663</v>
      </c>
      <c r="D5466">
        <v>3</v>
      </c>
      <c r="E5466">
        <v>9.8000000000000007</v>
      </c>
      <c r="F5466">
        <v>42</v>
      </c>
    </row>
    <row r="5467" spans="1:6" x14ac:dyDescent="0.35">
      <c r="A5467">
        <v>1975</v>
      </c>
      <c r="B5467" s="1">
        <v>45752</v>
      </c>
      <c r="C5467" s="2">
        <v>0.70833333333333337</v>
      </c>
      <c r="D5467">
        <v>3</v>
      </c>
      <c r="E5467">
        <v>8.5</v>
      </c>
      <c r="F5467">
        <v>52</v>
      </c>
    </row>
    <row r="5468" spans="1:6" x14ac:dyDescent="0.35">
      <c r="A5468">
        <v>1975</v>
      </c>
      <c r="B5468" s="1">
        <v>45752</v>
      </c>
      <c r="C5468" s="2">
        <v>0.75</v>
      </c>
      <c r="D5468">
        <v>3</v>
      </c>
      <c r="E5468">
        <v>6.9</v>
      </c>
      <c r="F5468">
        <v>58</v>
      </c>
    </row>
    <row r="5469" spans="1:6" x14ac:dyDescent="0.35">
      <c r="A5469">
        <v>1975</v>
      </c>
      <c r="B5469" s="1">
        <v>45752</v>
      </c>
      <c r="C5469" s="2">
        <v>0.79166666666666663</v>
      </c>
      <c r="D5469">
        <v>3</v>
      </c>
      <c r="E5469">
        <v>5.8</v>
      </c>
      <c r="F5469">
        <v>63</v>
      </c>
    </row>
    <row r="5470" spans="1:6" x14ac:dyDescent="0.35">
      <c r="A5470">
        <v>1975</v>
      </c>
      <c r="B5470" s="1">
        <v>45752</v>
      </c>
      <c r="C5470" s="2">
        <v>0.83333333333333337</v>
      </c>
      <c r="D5470">
        <v>3</v>
      </c>
      <c r="E5470">
        <v>5</v>
      </c>
      <c r="F5470">
        <v>60</v>
      </c>
    </row>
    <row r="5471" spans="1:6" x14ac:dyDescent="0.35">
      <c r="A5471">
        <v>1975</v>
      </c>
      <c r="B5471" s="1">
        <v>45752</v>
      </c>
      <c r="C5471" s="2">
        <v>0.875</v>
      </c>
      <c r="D5471">
        <v>3</v>
      </c>
      <c r="E5471">
        <v>4.0999999999999996</v>
      </c>
      <c r="F5471">
        <v>64</v>
      </c>
    </row>
    <row r="5472" spans="1:6" x14ac:dyDescent="0.35">
      <c r="A5472">
        <v>1975</v>
      </c>
      <c r="B5472" s="1">
        <v>45752</v>
      </c>
      <c r="C5472" s="2">
        <v>0.91666666666666663</v>
      </c>
      <c r="D5472">
        <v>3</v>
      </c>
      <c r="E5472">
        <v>2.9</v>
      </c>
      <c r="F5472">
        <v>69</v>
      </c>
    </row>
    <row r="5473" spans="1:6" x14ac:dyDescent="0.35">
      <c r="A5473">
        <v>1975</v>
      </c>
      <c r="B5473" s="1">
        <v>45752</v>
      </c>
      <c r="C5473" s="2">
        <v>0.95833333333333337</v>
      </c>
      <c r="D5473">
        <v>3</v>
      </c>
      <c r="E5473">
        <v>1</v>
      </c>
      <c r="F5473">
        <v>79</v>
      </c>
    </row>
    <row r="5474" spans="1:6" x14ac:dyDescent="0.35">
      <c r="A5474">
        <v>1975</v>
      </c>
      <c r="B5474" s="1">
        <v>45753</v>
      </c>
      <c r="C5474" s="2">
        <v>0</v>
      </c>
      <c r="D5474">
        <v>3</v>
      </c>
      <c r="E5474">
        <v>-0.7</v>
      </c>
      <c r="F5474">
        <v>86</v>
      </c>
    </row>
    <row r="5475" spans="1:6" x14ac:dyDescent="0.35">
      <c r="A5475">
        <v>1975</v>
      </c>
      <c r="B5475" s="1">
        <v>45753</v>
      </c>
      <c r="C5475" s="2">
        <v>4.1666666666666657E-2</v>
      </c>
      <c r="D5475">
        <v>3</v>
      </c>
      <c r="E5475">
        <v>-0.1</v>
      </c>
      <c r="F5475">
        <v>86</v>
      </c>
    </row>
    <row r="5476" spans="1:6" x14ac:dyDescent="0.35">
      <c r="A5476">
        <v>1975</v>
      </c>
      <c r="B5476" s="1">
        <v>45753</v>
      </c>
      <c r="C5476" s="2">
        <v>8.3333333333333329E-2</v>
      </c>
      <c r="D5476">
        <v>3</v>
      </c>
      <c r="E5476">
        <v>-1.9</v>
      </c>
      <c r="F5476">
        <v>93</v>
      </c>
    </row>
    <row r="5477" spans="1:6" x14ac:dyDescent="0.35">
      <c r="A5477">
        <v>1975</v>
      </c>
      <c r="B5477" s="1">
        <v>45753</v>
      </c>
      <c r="C5477" s="2">
        <v>0.125</v>
      </c>
      <c r="D5477">
        <v>3</v>
      </c>
      <c r="E5477">
        <v>-1.2</v>
      </c>
      <c r="F5477">
        <v>89</v>
      </c>
    </row>
    <row r="5478" spans="1:6" x14ac:dyDescent="0.35">
      <c r="A5478">
        <v>1975</v>
      </c>
      <c r="B5478" s="1">
        <v>45753</v>
      </c>
      <c r="C5478" s="2">
        <v>0.16666666666666671</v>
      </c>
      <c r="D5478">
        <v>3</v>
      </c>
      <c r="E5478">
        <v>-1.7</v>
      </c>
      <c r="F5478">
        <v>93</v>
      </c>
    </row>
    <row r="5479" spans="1:6" x14ac:dyDescent="0.35">
      <c r="A5479">
        <v>1975</v>
      </c>
      <c r="B5479" s="1">
        <v>45753</v>
      </c>
      <c r="C5479" s="2">
        <v>0.20833333333333329</v>
      </c>
      <c r="D5479">
        <v>3</v>
      </c>
      <c r="E5479">
        <v>-2.2999999999999998</v>
      </c>
      <c r="F5479">
        <v>96</v>
      </c>
    </row>
    <row r="5480" spans="1:6" x14ac:dyDescent="0.35">
      <c r="A5480">
        <v>1975</v>
      </c>
      <c r="B5480" s="1">
        <v>45753</v>
      </c>
      <c r="C5480" s="2">
        <v>0.25</v>
      </c>
      <c r="D5480">
        <v>3</v>
      </c>
      <c r="E5480">
        <v>0.1</v>
      </c>
      <c r="F5480">
        <v>83</v>
      </c>
    </row>
    <row r="5481" spans="1:6" x14ac:dyDescent="0.35">
      <c r="A5481">
        <v>1975</v>
      </c>
      <c r="B5481" s="1">
        <v>45753</v>
      </c>
      <c r="C5481" s="2">
        <v>0.29166666666666669</v>
      </c>
      <c r="D5481">
        <v>3</v>
      </c>
      <c r="E5481">
        <v>4</v>
      </c>
      <c r="F5481">
        <v>60</v>
      </c>
    </row>
    <row r="5482" spans="1:6" x14ac:dyDescent="0.35">
      <c r="A5482">
        <v>1975</v>
      </c>
      <c r="B5482" s="1">
        <v>45753</v>
      </c>
      <c r="C5482" s="2">
        <v>0.33333333333333331</v>
      </c>
      <c r="D5482">
        <v>3</v>
      </c>
      <c r="E5482">
        <v>5.7</v>
      </c>
      <c r="F5482">
        <v>48</v>
      </c>
    </row>
    <row r="5483" spans="1:6" x14ac:dyDescent="0.35">
      <c r="A5483">
        <v>1975</v>
      </c>
      <c r="B5483" s="1">
        <v>45753</v>
      </c>
      <c r="C5483" s="2">
        <v>0.375</v>
      </c>
      <c r="D5483">
        <v>3</v>
      </c>
      <c r="E5483">
        <v>6.7</v>
      </c>
      <c r="F5483">
        <v>47</v>
      </c>
    </row>
    <row r="5484" spans="1:6" x14ac:dyDescent="0.35">
      <c r="A5484">
        <v>1975</v>
      </c>
      <c r="B5484" s="1">
        <v>45753</v>
      </c>
      <c r="C5484" s="2">
        <v>0.41666666666666669</v>
      </c>
      <c r="D5484">
        <v>3</v>
      </c>
      <c r="E5484">
        <v>7.8</v>
      </c>
      <c r="F5484">
        <v>43</v>
      </c>
    </row>
    <row r="5485" spans="1:6" x14ac:dyDescent="0.35">
      <c r="A5485">
        <v>1975</v>
      </c>
      <c r="B5485" s="1">
        <v>45753</v>
      </c>
      <c r="C5485" s="2">
        <v>0.45833333333333331</v>
      </c>
      <c r="D5485">
        <v>3</v>
      </c>
      <c r="E5485">
        <v>7.6</v>
      </c>
      <c r="F5485">
        <v>44</v>
      </c>
    </row>
    <row r="5486" spans="1:6" x14ac:dyDescent="0.35">
      <c r="A5486">
        <v>1975</v>
      </c>
      <c r="B5486" s="1">
        <v>45753</v>
      </c>
      <c r="C5486" s="2">
        <v>0.5</v>
      </c>
      <c r="D5486">
        <v>3</v>
      </c>
      <c r="E5486">
        <v>8.8000000000000007</v>
      </c>
      <c r="F5486">
        <v>41</v>
      </c>
    </row>
    <row r="5487" spans="1:6" x14ac:dyDescent="0.35">
      <c r="A5487">
        <v>1975</v>
      </c>
      <c r="B5487" s="1">
        <v>45753</v>
      </c>
      <c r="C5487" s="2">
        <v>0.54166666666666663</v>
      </c>
      <c r="D5487">
        <v>3</v>
      </c>
      <c r="E5487">
        <v>9.1999999999999993</v>
      </c>
      <c r="F5487">
        <v>42</v>
      </c>
    </row>
    <row r="5488" spans="1:6" x14ac:dyDescent="0.35">
      <c r="A5488">
        <v>1975</v>
      </c>
      <c r="B5488" s="1">
        <v>45753</v>
      </c>
      <c r="C5488" s="2">
        <v>0.58333333333333337</v>
      </c>
      <c r="D5488">
        <v>3</v>
      </c>
      <c r="E5488">
        <v>9.4</v>
      </c>
      <c r="F5488">
        <v>39</v>
      </c>
    </row>
    <row r="5489" spans="1:6" x14ac:dyDescent="0.35">
      <c r="A5489">
        <v>1975</v>
      </c>
      <c r="B5489" s="1">
        <v>45753</v>
      </c>
      <c r="C5489" s="2">
        <v>0.625</v>
      </c>
      <c r="D5489">
        <v>3</v>
      </c>
      <c r="E5489">
        <v>9.9</v>
      </c>
      <c r="F5489">
        <v>38</v>
      </c>
    </row>
    <row r="5490" spans="1:6" x14ac:dyDescent="0.35">
      <c r="A5490">
        <v>1975</v>
      </c>
      <c r="B5490" s="1">
        <v>45753</v>
      </c>
      <c r="C5490" s="2">
        <v>0.66666666666666663</v>
      </c>
      <c r="D5490">
        <v>3</v>
      </c>
      <c r="E5490">
        <v>9.5</v>
      </c>
      <c r="F5490">
        <v>37</v>
      </c>
    </row>
    <row r="5491" spans="1:6" x14ac:dyDescent="0.35">
      <c r="A5491">
        <v>1975</v>
      </c>
      <c r="B5491" s="1">
        <v>45753</v>
      </c>
      <c r="C5491" s="2">
        <v>0.70833333333333337</v>
      </c>
      <c r="D5491">
        <v>3</v>
      </c>
      <c r="E5491">
        <v>8.3000000000000007</v>
      </c>
      <c r="F5491">
        <v>38</v>
      </c>
    </row>
    <row r="5492" spans="1:6" x14ac:dyDescent="0.35">
      <c r="A5492">
        <v>1975</v>
      </c>
      <c r="B5492" s="1">
        <v>45753</v>
      </c>
      <c r="C5492" s="2">
        <v>0.75</v>
      </c>
      <c r="D5492">
        <v>3</v>
      </c>
      <c r="E5492">
        <v>6.8</v>
      </c>
      <c r="F5492">
        <v>40</v>
      </c>
    </row>
    <row r="5493" spans="1:6" x14ac:dyDescent="0.35">
      <c r="A5493">
        <v>1975</v>
      </c>
      <c r="B5493" s="1">
        <v>45753</v>
      </c>
      <c r="C5493" s="2">
        <v>0.79166666666666663</v>
      </c>
      <c r="D5493">
        <v>3</v>
      </c>
      <c r="E5493">
        <v>6</v>
      </c>
      <c r="F5493">
        <v>42</v>
      </c>
    </row>
    <row r="5494" spans="1:6" x14ac:dyDescent="0.35">
      <c r="A5494">
        <v>1975</v>
      </c>
      <c r="B5494" s="1">
        <v>45753</v>
      </c>
      <c r="C5494" s="2">
        <v>0.83333333333333337</v>
      </c>
      <c r="D5494">
        <v>3</v>
      </c>
      <c r="E5494">
        <v>4.5999999999999996</v>
      </c>
      <c r="F5494">
        <v>48</v>
      </c>
    </row>
    <row r="5495" spans="1:6" x14ac:dyDescent="0.35">
      <c r="A5495">
        <v>1975</v>
      </c>
      <c r="B5495" s="1">
        <v>45753</v>
      </c>
      <c r="C5495" s="2">
        <v>0.875</v>
      </c>
      <c r="D5495">
        <v>3</v>
      </c>
      <c r="E5495">
        <v>3</v>
      </c>
      <c r="F5495">
        <v>54</v>
      </c>
    </row>
    <row r="5496" spans="1:6" x14ac:dyDescent="0.35">
      <c r="A5496">
        <v>1975</v>
      </c>
      <c r="B5496" s="1">
        <v>45753</v>
      </c>
      <c r="C5496" s="2">
        <v>0.91666666666666663</v>
      </c>
      <c r="D5496">
        <v>3</v>
      </c>
      <c r="E5496">
        <v>1.1000000000000001</v>
      </c>
      <c r="F5496">
        <v>71</v>
      </c>
    </row>
    <row r="5497" spans="1:6" x14ac:dyDescent="0.35">
      <c r="A5497">
        <v>1975</v>
      </c>
      <c r="B5497" s="1">
        <v>45753</v>
      </c>
      <c r="C5497" s="2">
        <v>0.95833333333333337</v>
      </c>
      <c r="D5497">
        <v>3</v>
      </c>
      <c r="E5497">
        <v>-0.1</v>
      </c>
      <c r="F5497">
        <v>73</v>
      </c>
    </row>
    <row r="5498" spans="1:6" x14ac:dyDescent="0.35">
      <c r="A5498">
        <v>1975</v>
      </c>
      <c r="B5498" s="1">
        <v>45754</v>
      </c>
      <c r="C5498" s="2">
        <v>0</v>
      </c>
      <c r="D5498">
        <v>3</v>
      </c>
      <c r="E5498">
        <v>-0.9</v>
      </c>
      <c r="F5498">
        <v>80</v>
      </c>
    </row>
    <row r="5499" spans="1:6" x14ac:dyDescent="0.35">
      <c r="A5499">
        <v>1975</v>
      </c>
      <c r="B5499" s="1">
        <v>45754</v>
      </c>
      <c r="C5499" s="2">
        <v>4.1666666666666657E-2</v>
      </c>
      <c r="D5499">
        <v>3</v>
      </c>
      <c r="E5499">
        <v>-1.4</v>
      </c>
      <c r="F5499">
        <v>80</v>
      </c>
    </row>
    <row r="5500" spans="1:6" x14ac:dyDescent="0.35">
      <c r="A5500">
        <v>1975</v>
      </c>
      <c r="B5500" s="1">
        <v>45754</v>
      </c>
      <c r="C5500" s="2">
        <v>8.3333333333333329E-2</v>
      </c>
      <c r="D5500">
        <v>3</v>
      </c>
      <c r="E5500">
        <v>-1.8</v>
      </c>
      <c r="F5500">
        <v>83</v>
      </c>
    </row>
    <row r="5501" spans="1:6" x14ac:dyDescent="0.35">
      <c r="A5501">
        <v>1975</v>
      </c>
      <c r="B5501" s="1">
        <v>45754</v>
      </c>
      <c r="C5501" s="2">
        <v>0.125</v>
      </c>
      <c r="D5501">
        <v>3</v>
      </c>
      <c r="E5501">
        <v>-1.7</v>
      </c>
      <c r="F5501">
        <v>82</v>
      </c>
    </row>
    <row r="5502" spans="1:6" x14ac:dyDescent="0.35">
      <c r="A5502">
        <v>1975</v>
      </c>
      <c r="B5502" s="1">
        <v>45754</v>
      </c>
      <c r="C5502" s="2">
        <v>0.16666666666666671</v>
      </c>
      <c r="D5502">
        <v>3</v>
      </c>
      <c r="E5502">
        <v>-1.9</v>
      </c>
      <c r="F5502">
        <v>80</v>
      </c>
    </row>
    <row r="5503" spans="1:6" x14ac:dyDescent="0.35">
      <c r="A5503">
        <v>1975</v>
      </c>
      <c r="B5503" s="1">
        <v>45754</v>
      </c>
      <c r="C5503" s="2">
        <v>0.20833333333333329</v>
      </c>
      <c r="D5503">
        <v>3</v>
      </c>
      <c r="E5503">
        <v>-2.1</v>
      </c>
      <c r="F5503">
        <v>77</v>
      </c>
    </row>
    <row r="5504" spans="1:6" x14ac:dyDescent="0.35">
      <c r="A5504">
        <v>1975</v>
      </c>
      <c r="B5504" s="1">
        <v>45754</v>
      </c>
      <c r="C5504" s="2">
        <v>0.25</v>
      </c>
      <c r="D5504">
        <v>3</v>
      </c>
      <c r="E5504">
        <v>1</v>
      </c>
      <c r="F5504">
        <v>66</v>
      </c>
    </row>
    <row r="5505" spans="1:6" x14ac:dyDescent="0.35">
      <c r="A5505">
        <v>1975</v>
      </c>
      <c r="B5505" s="1">
        <v>45754</v>
      </c>
      <c r="C5505" s="2">
        <v>0.29166666666666669</v>
      </c>
      <c r="D5505">
        <v>3</v>
      </c>
      <c r="E5505">
        <v>4.0999999999999996</v>
      </c>
      <c r="F5505">
        <v>54</v>
      </c>
    </row>
    <row r="5506" spans="1:6" x14ac:dyDescent="0.35">
      <c r="A5506">
        <v>1975</v>
      </c>
      <c r="B5506" s="1">
        <v>45754</v>
      </c>
      <c r="C5506" s="2">
        <v>0.33333333333333331</v>
      </c>
      <c r="D5506">
        <v>3</v>
      </c>
      <c r="E5506">
        <v>6.7</v>
      </c>
      <c r="F5506">
        <v>53</v>
      </c>
    </row>
    <row r="5507" spans="1:6" x14ac:dyDescent="0.35">
      <c r="A5507">
        <v>1975</v>
      </c>
      <c r="B5507" s="1">
        <v>45754</v>
      </c>
      <c r="C5507" s="2">
        <v>0.375</v>
      </c>
      <c r="D5507">
        <v>3</v>
      </c>
      <c r="E5507">
        <v>9.1</v>
      </c>
      <c r="F5507">
        <v>50</v>
      </c>
    </row>
    <row r="5508" spans="1:6" x14ac:dyDescent="0.35">
      <c r="A5508">
        <v>1975</v>
      </c>
      <c r="B5508" s="1">
        <v>45754</v>
      </c>
      <c r="C5508" s="2">
        <v>0.41666666666666669</v>
      </c>
      <c r="D5508">
        <v>3</v>
      </c>
      <c r="E5508">
        <v>10.1</v>
      </c>
      <c r="F5508">
        <v>46</v>
      </c>
    </row>
    <row r="5509" spans="1:6" x14ac:dyDescent="0.35">
      <c r="A5509">
        <v>1975</v>
      </c>
      <c r="B5509" s="1">
        <v>45754</v>
      </c>
      <c r="C5509" s="2">
        <v>0.45833333333333331</v>
      </c>
      <c r="D5509">
        <v>3</v>
      </c>
      <c r="E5509">
        <v>11</v>
      </c>
      <c r="F5509">
        <v>44</v>
      </c>
    </row>
    <row r="5510" spans="1:6" x14ac:dyDescent="0.35">
      <c r="A5510">
        <v>1975</v>
      </c>
      <c r="B5510" s="1">
        <v>45754</v>
      </c>
      <c r="C5510" s="2">
        <v>0.5</v>
      </c>
      <c r="D5510">
        <v>3</v>
      </c>
      <c r="E5510">
        <v>11.6</v>
      </c>
      <c r="F5510">
        <v>45</v>
      </c>
    </row>
    <row r="5511" spans="1:6" x14ac:dyDescent="0.35">
      <c r="A5511">
        <v>1975</v>
      </c>
      <c r="B5511" s="1">
        <v>45754</v>
      </c>
      <c r="C5511" s="2">
        <v>0.54166666666666663</v>
      </c>
      <c r="D5511">
        <v>3</v>
      </c>
      <c r="E5511">
        <v>11.9</v>
      </c>
      <c r="F5511">
        <v>39</v>
      </c>
    </row>
    <row r="5512" spans="1:6" x14ac:dyDescent="0.35">
      <c r="A5512">
        <v>1975</v>
      </c>
      <c r="B5512" s="1">
        <v>45754</v>
      </c>
      <c r="C5512" s="2">
        <v>0.58333333333333337</v>
      </c>
      <c r="D5512">
        <v>3</v>
      </c>
      <c r="E5512">
        <v>12</v>
      </c>
      <c r="F5512">
        <v>38</v>
      </c>
    </row>
    <row r="5513" spans="1:6" x14ac:dyDescent="0.35">
      <c r="A5513">
        <v>1975</v>
      </c>
      <c r="B5513" s="1">
        <v>45754</v>
      </c>
      <c r="C5513" s="2">
        <v>0.625</v>
      </c>
      <c r="D5513">
        <v>3</v>
      </c>
      <c r="E5513">
        <v>11.9</v>
      </c>
      <c r="F5513">
        <v>39</v>
      </c>
    </row>
    <row r="5514" spans="1:6" x14ac:dyDescent="0.35">
      <c r="A5514">
        <v>1975</v>
      </c>
      <c r="B5514" s="1">
        <v>45754</v>
      </c>
      <c r="C5514" s="2">
        <v>0.66666666666666663</v>
      </c>
      <c r="D5514">
        <v>3</v>
      </c>
      <c r="E5514">
        <v>11.4</v>
      </c>
      <c r="F5514">
        <v>42</v>
      </c>
    </row>
    <row r="5515" spans="1:6" x14ac:dyDescent="0.35">
      <c r="A5515">
        <v>1975</v>
      </c>
      <c r="B5515" s="1">
        <v>45754</v>
      </c>
      <c r="C5515" s="2">
        <v>0.70833333333333337</v>
      </c>
      <c r="D5515">
        <v>3</v>
      </c>
      <c r="E5515">
        <v>10.5</v>
      </c>
      <c r="F5515">
        <v>51</v>
      </c>
    </row>
    <row r="5516" spans="1:6" x14ac:dyDescent="0.35">
      <c r="A5516">
        <v>1975</v>
      </c>
      <c r="B5516" s="1">
        <v>45754</v>
      </c>
      <c r="C5516" s="2">
        <v>0.75</v>
      </c>
      <c r="D5516">
        <v>3</v>
      </c>
      <c r="E5516">
        <v>9</v>
      </c>
      <c r="F5516">
        <v>57</v>
      </c>
    </row>
    <row r="5517" spans="1:6" x14ac:dyDescent="0.35">
      <c r="A5517">
        <v>1975</v>
      </c>
      <c r="B5517" s="1">
        <v>45754</v>
      </c>
      <c r="C5517" s="2">
        <v>0.79166666666666663</v>
      </c>
      <c r="D5517">
        <v>3</v>
      </c>
      <c r="E5517">
        <v>7.6</v>
      </c>
      <c r="F5517">
        <v>69</v>
      </c>
    </row>
    <row r="5518" spans="1:6" x14ac:dyDescent="0.35">
      <c r="A5518">
        <v>1975</v>
      </c>
      <c r="B5518" s="1">
        <v>45754</v>
      </c>
      <c r="C5518" s="2">
        <v>0.83333333333333337</v>
      </c>
      <c r="D5518">
        <v>3</v>
      </c>
      <c r="E5518">
        <v>6.3</v>
      </c>
      <c r="F5518">
        <v>76</v>
      </c>
    </row>
    <row r="5519" spans="1:6" x14ac:dyDescent="0.35">
      <c r="A5519">
        <v>1975</v>
      </c>
      <c r="B5519" s="1">
        <v>45754</v>
      </c>
      <c r="C5519" s="2">
        <v>0.875</v>
      </c>
      <c r="D5519">
        <v>3</v>
      </c>
      <c r="E5519">
        <v>4.9000000000000004</v>
      </c>
      <c r="F5519">
        <v>84</v>
      </c>
    </row>
    <row r="5520" spans="1:6" x14ac:dyDescent="0.35">
      <c r="A5520">
        <v>1975</v>
      </c>
      <c r="B5520" s="1">
        <v>45754</v>
      </c>
      <c r="C5520" s="2">
        <v>0.91666666666666663</v>
      </c>
      <c r="D5520">
        <v>3</v>
      </c>
      <c r="E5520">
        <v>2.7</v>
      </c>
      <c r="F5520">
        <v>92</v>
      </c>
    </row>
    <row r="5521" spans="1:6" x14ac:dyDescent="0.35">
      <c r="A5521">
        <v>1975</v>
      </c>
      <c r="B5521" s="1">
        <v>45754</v>
      </c>
      <c r="C5521" s="2">
        <v>0.95833333333333337</v>
      </c>
      <c r="D5521">
        <v>3</v>
      </c>
      <c r="E5521">
        <v>1.5</v>
      </c>
      <c r="F5521">
        <v>94</v>
      </c>
    </row>
    <row r="5522" spans="1:6" x14ac:dyDescent="0.35">
      <c r="A5522">
        <v>1975</v>
      </c>
      <c r="B5522" s="1">
        <v>45755</v>
      </c>
      <c r="C5522" s="2">
        <v>0</v>
      </c>
      <c r="D5522">
        <v>3</v>
      </c>
      <c r="E5522">
        <v>1.3</v>
      </c>
      <c r="F5522">
        <v>96</v>
      </c>
    </row>
    <row r="5523" spans="1:6" x14ac:dyDescent="0.35">
      <c r="A5523">
        <v>1975</v>
      </c>
      <c r="B5523" s="1">
        <v>45755</v>
      </c>
      <c r="C5523" s="2">
        <v>4.1666666666666657E-2</v>
      </c>
      <c r="D5523">
        <v>3</v>
      </c>
      <c r="E5523">
        <v>0.6</v>
      </c>
      <c r="F5523">
        <v>91</v>
      </c>
    </row>
    <row r="5524" spans="1:6" x14ac:dyDescent="0.35">
      <c r="A5524">
        <v>1975</v>
      </c>
      <c r="B5524" s="1">
        <v>45755</v>
      </c>
      <c r="C5524" s="2">
        <v>8.3333333333333329E-2</v>
      </c>
      <c r="D5524">
        <v>3</v>
      </c>
      <c r="E5524">
        <v>0.1</v>
      </c>
      <c r="F5524">
        <v>95</v>
      </c>
    </row>
    <row r="5525" spans="1:6" x14ac:dyDescent="0.35">
      <c r="A5525">
        <v>1975</v>
      </c>
      <c r="B5525" s="1">
        <v>45755</v>
      </c>
      <c r="C5525" s="2">
        <v>0.125</v>
      </c>
      <c r="D5525">
        <v>3</v>
      </c>
      <c r="E5525">
        <v>0.1</v>
      </c>
      <c r="F5525">
        <v>96</v>
      </c>
    </row>
    <row r="5526" spans="1:6" x14ac:dyDescent="0.35">
      <c r="A5526">
        <v>1975</v>
      </c>
      <c r="B5526" s="1">
        <v>45755</v>
      </c>
      <c r="C5526" s="2">
        <v>0.16666666666666671</v>
      </c>
      <c r="D5526">
        <v>3</v>
      </c>
      <c r="E5526">
        <v>-0.4</v>
      </c>
      <c r="F5526">
        <v>99</v>
      </c>
    </row>
    <row r="5527" spans="1:6" x14ac:dyDescent="0.35">
      <c r="A5527">
        <v>1975</v>
      </c>
      <c r="B5527" s="1">
        <v>45755</v>
      </c>
      <c r="C5527" s="2">
        <v>0.20833333333333329</v>
      </c>
      <c r="D5527">
        <v>3</v>
      </c>
      <c r="E5527">
        <v>-0.2</v>
      </c>
      <c r="F5527">
        <v>100</v>
      </c>
    </row>
    <row r="5528" spans="1:6" x14ac:dyDescent="0.35">
      <c r="A5528">
        <v>1975</v>
      </c>
      <c r="B5528" s="1">
        <v>45755</v>
      </c>
      <c r="C5528" s="2">
        <v>0.25</v>
      </c>
      <c r="D5528">
        <v>3</v>
      </c>
      <c r="E5528">
        <v>1.4</v>
      </c>
      <c r="F5528">
        <v>100</v>
      </c>
    </row>
    <row r="5529" spans="1:6" x14ac:dyDescent="0.35">
      <c r="A5529">
        <v>1975</v>
      </c>
      <c r="B5529" s="1">
        <v>45755</v>
      </c>
      <c r="C5529" s="2">
        <v>0.29166666666666669</v>
      </c>
      <c r="D5529">
        <v>3</v>
      </c>
      <c r="E5529">
        <v>3.2</v>
      </c>
      <c r="F5529">
        <v>98</v>
      </c>
    </row>
    <row r="5530" spans="1:6" x14ac:dyDescent="0.35">
      <c r="A5530">
        <v>1975</v>
      </c>
      <c r="B5530" s="1">
        <v>45755</v>
      </c>
      <c r="C5530" s="2">
        <v>0.33333333333333331</v>
      </c>
      <c r="D5530">
        <v>3</v>
      </c>
      <c r="E5530">
        <v>5.5</v>
      </c>
      <c r="F5530">
        <v>87</v>
      </c>
    </row>
    <row r="5531" spans="1:6" x14ac:dyDescent="0.35">
      <c r="A5531">
        <v>1975</v>
      </c>
      <c r="B5531" s="1">
        <v>45755</v>
      </c>
      <c r="C5531" s="2">
        <v>0.375</v>
      </c>
      <c r="D5531">
        <v>3</v>
      </c>
      <c r="E5531">
        <v>8.6999999999999993</v>
      </c>
      <c r="F5531">
        <v>72</v>
      </c>
    </row>
    <row r="5532" spans="1:6" x14ac:dyDescent="0.35">
      <c r="A5532">
        <v>1975</v>
      </c>
      <c r="B5532" s="1">
        <v>45755</v>
      </c>
      <c r="C5532" s="2">
        <v>0.41666666666666669</v>
      </c>
      <c r="D5532">
        <v>3</v>
      </c>
      <c r="E5532">
        <v>10.3</v>
      </c>
      <c r="F5532">
        <v>66</v>
      </c>
    </row>
    <row r="5533" spans="1:6" x14ac:dyDescent="0.35">
      <c r="A5533">
        <v>1975</v>
      </c>
      <c r="B5533" s="1">
        <v>45755</v>
      </c>
      <c r="C5533" s="2">
        <v>0.45833333333333331</v>
      </c>
      <c r="D5533">
        <v>3</v>
      </c>
      <c r="E5533">
        <v>11.4</v>
      </c>
      <c r="F5533">
        <v>62</v>
      </c>
    </row>
    <row r="5534" spans="1:6" x14ac:dyDescent="0.35">
      <c r="A5534">
        <v>1975</v>
      </c>
      <c r="B5534" s="1">
        <v>45755</v>
      </c>
      <c r="C5534" s="2">
        <v>0.5</v>
      </c>
      <c r="D5534">
        <v>3</v>
      </c>
      <c r="E5534">
        <v>12.5</v>
      </c>
      <c r="F5534">
        <v>57</v>
      </c>
    </row>
    <row r="5535" spans="1:6" x14ac:dyDescent="0.35">
      <c r="A5535">
        <v>1975</v>
      </c>
      <c r="B5535" s="1">
        <v>45755</v>
      </c>
      <c r="C5535" s="2">
        <v>0.54166666666666663</v>
      </c>
      <c r="D5535">
        <v>3</v>
      </c>
      <c r="E5535">
        <v>13.5</v>
      </c>
      <c r="F5535">
        <v>55</v>
      </c>
    </row>
    <row r="5536" spans="1:6" x14ac:dyDescent="0.35">
      <c r="A5536">
        <v>1975</v>
      </c>
      <c r="B5536" s="1">
        <v>45755</v>
      </c>
      <c r="C5536" s="2">
        <v>0.58333333333333337</v>
      </c>
      <c r="D5536">
        <v>3</v>
      </c>
      <c r="E5536">
        <v>13.9</v>
      </c>
      <c r="F5536">
        <v>49</v>
      </c>
    </row>
    <row r="5537" spans="1:6" x14ac:dyDescent="0.35">
      <c r="A5537">
        <v>1975</v>
      </c>
      <c r="B5537" s="1">
        <v>45755</v>
      </c>
      <c r="C5537" s="2">
        <v>0.625</v>
      </c>
      <c r="D5537">
        <v>3</v>
      </c>
      <c r="E5537">
        <v>13.6</v>
      </c>
      <c r="F5537">
        <v>47</v>
      </c>
    </row>
    <row r="5538" spans="1:6" x14ac:dyDescent="0.35">
      <c r="A5538">
        <v>1975</v>
      </c>
      <c r="B5538" s="1">
        <v>45755</v>
      </c>
      <c r="C5538" s="2">
        <v>0.66666666666666663</v>
      </c>
      <c r="D5538">
        <v>3</v>
      </c>
      <c r="E5538">
        <v>13.3</v>
      </c>
      <c r="F5538">
        <v>55</v>
      </c>
    </row>
    <row r="5539" spans="1:6" x14ac:dyDescent="0.35">
      <c r="A5539">
        <v>1975</v>
      </c>
      <c r="B5539" s="1">
        <v>45755</v>
      </c>
      <c r="C5539" s="2">
        <v>0.70833333333333337</v>
      </c>
      <c r="D5539">
        <v>3</v>
      </c>
      <c r="E5539">
        <v>12.8</v>
      </c>
      <c r="F5539">
        <v>55</v>
      </c>
    </row>
    <row r="5540" spans="1:6" x14ac:dyDescent="0.35">
      <c r="A5540">
        <v>1975</v>
      </c>
      <c r="B5540" s="1">
        <v>45755</v>
      </c>
      <c r="C5540" s="2">
        <v>0.75</v>
      </c>
      <c r="D5540">
        <v>3</v>
      </c>
      <c r="E5540">
        <v>10.6</v>
      </c>
      <c r="F5540">
        <v>63</v>
      </c>
    </row>
    <row r="5541" spans="1:6" x14ac:dyDescent="0.35">
      <c r="A5541">
        <v>1975</v>
      </c>
      <c r="B5541" s="1">
        <v>45755</v>
      </c>
      <c r="C5541" s="2">
        <v>0.79166666666666663</v>
      </c>
      <c r="D5541">
        <v>3</v>
      </c>
      <c r="E5541">
        <v>8.9</v>
      </c>
      <c r="F5541">
        <v>70</v>
      </c>
    </row>
    <row r="5542" spans="1:6" x14ac:dyDescent="0.35">
      <c r="A5542">
        <v>1975</v>
      </c>
      <c r="B5542" s="1">
        <v>45755</v>
      </c>
      <c r="C5542" s="2">
        <v>0.83333333333333337</v>
      </c>
      <c r="D5542">
        <v>3</v>
      </c>
      <c r="E5542">
        <v>8.8000000000000007</v>
      </c>
      <c r="F5542">
        <v>75</v>
      </c>
    </row>
    <row r="5543" spans="1:6" x14ac:dyDescent="0.35">
      <c r="A5543">
        <v>1975</v>
      </c>
      <c r="B5543" s="1">
        <v>45755</v>
      </c>
      <c r="C5543" s="2">
        <v>0.875</v>
      </c>
      <c r="D5543">
        <v>3</v>
      </c>
      <c r="E5543">
        <v>7.9</v>
      </c>
      <c r="F5543">
        <v>79</v>
      </c>
    </row>
    <row r="5544" spans="1:6" x14ac:dyDescent="0.35">
      <c r="A5544">
        <v>1975</v>
      </c>
      <c r="B5544" s="1">
        <v>45755</v>
      </c>
      <c r="C5544" s="2">
        <v>0.91666666666666663</v>
      </c>
      <c r="D5544">
        <v>3</v>
      </c>
      <c r="E5544">
        <v>5.8</v>
      </c>
      <c r="F5544">
        <v>88</v>
      </c>
    </row>
    <row r="5545" spans="1:6" x14ac:dyDescent="0.35">
      <c r="A5545">
        <v>1975</v>
      </c>
      <c r="B5545" s="1">
        <v>45755</v>
      </c>
      <c r="C5545" s="2">
        <v>0.95833333333333337</v>
      </c>
      <c r="D5545">
        <v>3</v>
      </c>
      <c r="E5545">
        <v>4.8</v>
      </c>
      <c r="F5545">
        <v>93</v>
      </c>
    </row>
    <row r="5546" spans="1:6" x14ac:dyDescent="0.35">
      <c r="A5546">
        <v>1975</v>
      </c>
      <c r="B5546" s="1">
        <v>45756</v>
      </c>
      <c r="C5546" s="2">
        <v>0</v>
      </c>
      <c r="D5546">
        <v>3</v>
      </c>
      <c r="E5546">
        <v>4.3</v>
      </c>
      <c r="F5546">
        <v>96</v>
      </c>
    </row>
    <row r="5547" spans="1:6" x14ac:dyDescent="0.35">
      <c r="A5547">
        <v>1975</v>
      </c>
      <c r="B5547" s="1">
        <v>45756</v>
      </c>
      <c r="C5547" s="2">
        <v>4.1666666666666657E-2</v>
      </c>
      <c r="D5547">
        <v>3</v>
      </c>
      <c r="E5547">
        <v>3.8</v>
      </c>
      <c r="F5547">
        <v>100</v>
      </c>
    </row>
    <row r="5548" spans="1:6" x14ac:dyDescent="0.35">
      <c r="A5548">
        <v>1975</v>
      </c>
      <c r="B5548" s="1">
        <v>45756</v>
      </c>
      <c r="C5548" s="2">
        <v>8.3333333333333329E-2</v>
      </c>
      <c r="D5548">
        <v>3</v>
      </c>
      <c r="E5548">
        <v>3.3</v>
      </c>
      <c r="F5548">
        <v>100</v>
      </c>
    </row>
    <row r="5549" spans="1:6" x14ac:dyDescent="0.35">
      <c r="A5549">
        <v>1975</v>
      </c>
      <c r="B5549" s="1">
        <v>45756</v>
      </c>
      <c r="C5549" s="2">
        <v>0.125</v>
      </c>
      <c r="D5549">
        <v>3</v>
      </c>
      <c r="E5549">
        <v>3.5</v>
      </c>
      <c r="F5549">
        <v>100</v>
      </c>
    </row>
    <row r="5550" spans="1:6" x14ac:dyDescent="0.35">
      <c r="A5550">
        <v>1975</v>
      </c>
      <c r="B5550" s="1">
        <v>45756</v>
      </c>
      <c r="C5550" s="2">
        <v>0.16666666666666671</v>
      </c>
      <c r="D5550">
        <v>3</v>
      </c>
      <c r="E5550">
        <v>3.6</v>
      </c>
      <c r="F5550">
        <v>100</v>
      </c>
    </row>
    <row r="5551" spans="1:6" x14ac:dyDescent="0.35">
      <c r="A5551">
        <v>1975</v>
      </c>
      <c r="B5551" s="1">
        <v>45756</v>
      </c>
      <c r="C5551" s="2">
        <v>0.20833333333333329</v>
      </c>
      <c r="D5551">
        <v>3</v>
      </c>
      <c r="E5551">
        <v>3.2</v>
      </c>
      <c r="F5551">
        <v>100</v>
      </c>
    </row>
    <row r="5552" spans="1:6" x14ac:dyDescent="0.35">
      <c r="A5552">
        <v>1975</v>
      </c>
      <c r="B5552" s="1">
        <v>45756</v>
      </c>
      <c r="C5552" s="2">
        <v>0.25</v>
      </c>
      <c r="D5552">
        <v>3</v>
      </c>
      <c r="E5552">
        <v>3.3</v>
      </c>
      <c r="F5552">
        <v>100</v>
      </c>
    </row>
    <row r="5553" spans="1:6" x14ac:dyDescent="0.35">
      <c r="A5553">
        <v>1975</v>
      </c>
      <c r="B5553" s="1">
        <v>45756</v>
      </c>
      <c r="C5553" s="2">
        <v>0.29166666666666669</v>
      </c>
      <c r="D5553">
        <v>3</v>
      </c>
      <c r="E5553">
        <v>3.5</v>
      </c>
      <c r="F5553">
        <v>100</v>
      </c>
    </row>
    <row r="5554" spans="1:6" x14ac:dyDescent="0.35">
      <c r="A5554">
        <v>1975</v>
      </c>
      <c r="B5554" s="1">
        <v>45756</v>
      </c>
      <c r="C5554" s="2">
        <v>0.33333333333333331</v>
      </c>
      <c r="D5554">
        <v>3</v>
      </c>
      <c r="E5554">
        <v>4.0999999999999996</v>
      </c>
      <c r="F5554">
        <v>97</v>
      </c>
    </row>
    <row r="5555" spans="1:6" x14ac:dyDescent="0.35">
      <c r="A5555">
        <v>1975</v>
      </c>
      <c r="B5555" s="1">
        <v>45756</v>
      </c>
      <c r="C5555" s="2">
        <v>0.375</v>
      </c>
      <c r="D5555">
        <v>3</v>
      </c>
      <c r="E5555">
        <v>5.5</v>
      </c>
      <c r="F5555">
        <v>87</v>
      </c>
    </row>
    <row r="5556" spans="1:6" x14ac:dyDescent="0.35">
      <c r="A5556">
        <v>1975</v>
      </c>
      <c r="B5556" s="1">
        <v>45756</v>
      </c>
      <c r="C5556" s="2">
        <v>0.41666666666666669</v>
      </c>
      <c r="D5556">
        <v>3</v>
      </c>
      <c r="E5556">
        <v>7.6</v>
      </c>
      <c r="F5556">
        <v>79</v>
      </c>
    </row>
    <row r="5557" spans="1:6" x14ac:dyDescent="0.35">
      <c r="A5557">
        <v>1975</v>
      </c>
      <c r="B5557" s="1">
        <v>45756</v>
      </c>
      <c r="C5557" s="2">
        <v>0.45833333333333331</v>
      </c>
      <c r="D5557">
        <v>3</v>
      </c>
      <c r="E5557">
        <v>8.8000000000000007</v>
      </c>
      <c r="F5557">
        <v>72</v>
      </c>
    </row>
    <row r="5558" spans="1:6" x14ac:dyDescent="0.35">
      <c r="A5558">
        <v>1975</v>
      </c>
      <c r="B5558" s="1">
        <v>45756</v>
      </c>
      <c r="C5558" s="2">
        <v>0.5</v>
      </c>
      <c r="D5558">
        <v>3</v>
      </c>
      <c r="E5558">
        <v>9.4</v>
      </c>
      <c r="F5558">
        <v>69</v>
      </c>
    </row>
    <row r="5559" spans="1:6" x14ac:dyDescent="0.35">
      <c r="A5559">
        <v>1975</v>
      </c>
      <c r="B5559" s="1">
        <v>45756</v>
      </c>
      <c r="C5559" s="2">
        <v>0.54166666666666663</v>
      </c>
      <c r="D5559">
        <v>3</v>
      </c>
      <c r="E5559">
        <v>9.5</v>
      </c>
      <c r="F5559">
        <v>65</v>
      </c>
    </row>
    <row r="5560" spans="1:6" x14ac:dyDescent="0.35">
      <c r="A5560">
        <v>1975</v>
      </c>
      <c r="B5560" s="1">
        <v>45756</v>
      </c>
      <c r="C5560" s="2">
        <v>0.58333333333333337</v>
      </c>
      <c r="D5560">
        <v>3</v>
      </c>
      <c r="E5560">
        <v>8.6</v>
      </c>
      <c r="F5560">
        <v>68</v>
      </c>
    </row>
    <row r="5561" spans="1:6" x14ac:dyDescent="0.35">
      <c r="A5561">
        <v>1975</v>
      </c>
      <c r="B5561" s="1">
        <v>45756</v>
      </c>
      <c r="C5561" s="2">
        <v>0.625</v>
      </c>
      <c r="D5561">
        <v>3</v>
      </c>
      <c r="E5561">
        <v>8.1999999999999993</v>
      </c>
      <c r="F5561">
        <v>71</v>
      </c>
    </row>
    <row r="5562" spans="1:6" x14ac:dyDescent="0.35">
      <c r="A5562">
        <v>1975</v>
      </c>
      <c r="B5562" s="1">
        <v>45756</v>
      </c>
      <c r="C5562" s="2">
        <v>0.66666666666666663</v>
      </c>
      <c r="D5562">
        <v>3</v>
      </c>
      <c r="E5562">
        <v>7.8</v>
      </c>
      <c r="F5562">
        <v>76</v>
      </c>
    </row>
    <row r="5563" spans="1:6" x14ac:dyDescent="0.35">
      <c r="A5563">
        <v>1975</v>
      </c>
      <c r="B5563" s="1">
        <v>45756</v>
      </c>
      <c r="C5563" s="2">
        <v>0.70833333333333337</v>
      </c>
      <c r="D5563">
        <v>3</v>
      </c>
      <c r="E5563">
        <v>7.6</v>
      </c>
      <c r="F5563">
        <v>77</v>
      </c>
    </row>
    <row r="5564" spans="1:6" x14ac:dyDescent="0.35">
      <c r="A5564">
        <v>1975</v>
      </c>
      <c r="B5564" s="1">
        <v>45756</v>
      </c>
      <c r="C5564" s="2">
        <v>0.75</v>
      </c>
      <c r="D5564">
        <v>3</v>
      </c>
      <c r="E5564">
        <v>7.2</v>
      </c>
      <c r="F5564">
        <v>78</v>
      </c>
    </row>
    <row r="5565" spans="1:6" x14ac:dyDescent="0.35">
      <c r="A5565">
        <v>1975</v>
      </c>
      <c r="B5565" s="1">
        <v>45756</v>
      </c>
      <c r="C5565" s="2">
        <v>0.79166666666666663</v>
      </c>
      <c r="D5565">
        <v>3</v>
      </c>
      <c r="E5565">
        <v>7.2</v>
      </c>
      <c r="F5565">
        <v>81</v>
      </c>
    </row>
    <row r="5566" spans="1:6" x14ac:dyDescent="0.35">
      <c r="A5566">
        <v>1975</v>
      </c>
      <c r="B5566" s="1">
        <v>45756</v>
      </c>
      <c r="C5566" s="2">
        <v>0.83333333333333337</v>
      </c>
      <c r="D5566">
        <v>3</v>
      </c>
      <c r="E5566">
        <v>7</v>
      </c>
      <c r="F5566">
        <v>81</v>
      </c>
    </row>
    <row r="5567" spans="1:6" x14ac:dyDescent="0.35">
      <c r="A5567">
        <v>1975</v>
      </c>
      <c r="B5567" s="1">
        <v>45756</v>
      </c>
      <c r="C5567" s="2">
        <v>0.875</v>
      </c>
      <c r="D5567">
        <v>3</v>
      </c>
      <c r="E5567">
        <v>6.7</v>
      </c>
      <c r="F5567">
        <v>82</v>
      </c>
    </row>
    <row r="5568" spans="1:6" x14ac:dyDescent="0.35">
      <c r="A5568">
        <v>1975</v>
      </c>
      <c r="B5568" s="1">
        <v>45756</v>
      </c>
      <c r="C5568" s="2">
        <v>0.91666666666666663</v>
      </c>
      <c r="D5568">
        <v>3</v>
      </c>
      <c r="E5568">
        <v>6.7</v>
      </c>
      <c r="F5568">
        <v>83</v>
      </c>
    </row>
    <row r="5569" spans="1:6" x14ac:dyDescent="0.35">
      <c r="A5569">
        <v>1975</v>
      </c>
      <c r="B5569" s="1">
        <v>45756</v>
      </c>
      <c r="C5569" s="2">
        <v>0.95833333333333337</v>
      </c>
      <c r="D5569">
        <v>3</v>
      </c>
      <c r="E5569">
        <v>6.7</v>
      </c>
      <c r="F5569">
        <v>83</v>
      </c>
    </row>
    <row r="5570" spans="1:6" x14ac:dyDescent="0.35">
      <c r="A5570">
        <v>1975</v>
      </c>
      <c r="B5570" s="1">
        <v>45757</v>
      </c>
      <c r="C5570" s="2">
        <v>0</v>
      </c>
      <c r="D5570">
        <v>3</v>
      </c>
      <c r="E5570">
        <v>6.6</v>
      </c>
      <c r="F5570">
        <v>84</v>
      </c>
    </row>
    <row r="5571" spans="1:6" x14ac:dyDescent="0.35">
      <c r="A5571">
        <v>1975</v>
      </c>
      <c r="B5571" s="1">
        <v>45757</v>
      </c>
      <c r="C5571" s="2">
        <v>4.1666666666666657E-2</v>
      </c>
      <c r="D5571">
        <v>3</v>
      </c>
      <c r="E5571">
        <v>6.7</v>
      </c>
      <c r="F5571">
        <v>86</v>
      </c>
    </row>
    <row r="5572" spans="1:6" x14ac:dyDescent="0.35">
      <c r="A5572">
        <v>1975</v>
      </c>
      <c r="B5572" s="1">
        <v>45757</v>
      </c>
      <c r="C5572" s="2">
        <v>8.3333333333333329E-2</v>
      </c>
      <c r="D5572">
        <v>3</v>
      </c>
      <c r="E5572">
        <v>6.7</v>
      </c>
      <c r="F5572">
        <v>84</v>
      </c>
    </row>
    <row r="5573" spans="1:6" x14ac:dyDescent="0.35">
      <c r="A5573">
        <v>1975</v>
      </c>
      <c r="B5573" s="1">
        <v>45757</v>
      </c>
      <c r="C5573" s="2">
        <v>0.125</v>
      </c>
      <c r="D5573">
        <v>3</v>
      </c>
      <c r="E5573">
        <v>6.5</v>
      </c>
      <c r="F5573">
        <v>85</v>
      </c>
    </row>
    <row r="5574" spans="1:6" x14ac:dyDescent="0.35">
      <c r="A5574">
        <v>1975</v>
      </c>
      <c r="B5574" s="1">
        <v>45757</v>
      </c>
      <c r="C5574" s="2">
        <v>0.16666666666666671</v>
      </c>
      <c r="D5574">
        <v>3</v>
      </c>
      <c r="E5574">
        <v>6.7</v>
      </c>
      <c r="F5574">
        <v>83</v>
      </c>
    </row>
    <row r="5575" spans="1:6" x14ac:dyDescent="0.35">
      <c r="A5575">
        <v>1975</v>
      </c>
      <c r="B5575" s="1">
        <v>45757</v>
      </c>
      <c r="C5575" s="2">
        <v>0.20833333333333329</v>
      </c>
      <c r="D5575">
        <v>3</v>
      </c>
      <c r="E5575">
        <v>6.5</v>
      </c>
      <c r="F5575">
        <v>86</v>
      </c>
    </row>
    <row r="5576" spans="1:6" x14ac:dyDescent="0.35">
      <c r="A5576">
        <v>1975</v>
      </c>
      <c r="B5576" s="1">
        <v>45757</v>
      </c>
      <c r="C5576" s="2">
        <v>0.25</v>
      </c>
      <c r="D5576">
        <v>3</v>
      </c>
      <c r="E5576">
        <v>7</v>
      </c>
      <c r="F5576">
        <v>83</v>
      </c>
    </row>
    <row r="5577" spans="1:6" x14ac:dyDescent="0.35">
      <c r="A5577">
        <v>1975</v>
      </c>
      <c r="B5577" s="1">
        <v>45757</v>
      </c>
      <c r="C5577" s="2">
        <v>0.29166666666666669</v>
      </c>
      <c r="D5577">
        <v>3</v>
      </c>
      <c r="E5577">
        <v>7.6</v>
      </c>
      <c r="F5577">
        <v>79</v>
      </c>
    </row>
    <row r="5578" spans="1:6" x14ac:dyDescent="0.35">
      <c r="A5578">
        <v>1975</v>
      </c>
      <c r="B5578" s="1">
        <v>45757</v>
      </c>
      <c r="C5578" s="2">
        <v>0.33333333333333331</v>
      </c>
      <c r="D5578">
        <v>3</v>
      </c>
      <c r="E5578">
        <v>8</v>
      </c>
      <c r="F5578">
        <v>75</v>
      </c>
    </row>
    <row r="5579" spans="1:6" x14ac:dyDescent="0.35">
      <c r="A5579">
        <v>1975</v>
      </c>
      <c r="B5579" s="1">
        <v>45757</v>
      </c>
      <c r="C5579" s="2">
        <v>0.375</v>
      </c>
      <c r="D5579">
        <v>3</v>
      </c>
      <c r="E5579">
        <v>10.4</v>
      </c>
      <c r="F5579">
        <v>69</v>
      </c>
    </row>
    <row r="5580" spans="1:6" x14ac:dyDescent="0.35">
      <c r="A5580">
        <v>1975</v>
      </c>
      <c r="B5580" s="1">
        <v>45757</v>
      </c>
      <c r="C5580" s="2">
        <v>0.41666666666666669</v>
      </c>
      <c r="D5580">
        <v>3</v>
      </c>
      <c r="E5580">
        <v>9.9</v>
      </c>
      <c r="F5580">
        <v>69</v>
      </c>
    </row>
    <row r="5581" spans="1:6" x14ac:dyDescent="0.35">
      <c r="A5581">
        <v>1975</v>
      </c>
      <c r="B5581" s="1">
        <v>45757</v>
      </c>
      <c r="C5581" s="2">
        <v>0.45833333333333331</v>
      </c>
      <c r="D5581">
        <v>3</v>
      </c>
      <c r="E5581">
        <v>11.2</v>
      </c>
      <c r="F5581">
        <v>66</v>
      </c>
    </row>
    <row r="5582" spans="1:6" x14ac:dyDescent="0.35">
      <c r="A5582">
        <v>1975</v>
      </c>
      <c r="B5582" s="1">
        <v>45757</v>
      </c>
      <c r="C5582" s="2">
        <v>0.5</v>
      </c>
      <c r="D5582">
        <v>3</v>
      </c>
      <c r="E5582">
        <v>11.8</v>
      </c>
      <c r="F5582">
        <v>64</v>
      </c>
    </row>
    <row r="5583" spans="1:6" x14ac:dyDescent="0.35">
      <c r="A5583">
        <v>1975</v>
      </c>
      <c r="B5583" s="1">
        <v>45757</v>
      </c>
      <c r="C5583" s="2">
        <v>0.54166666666666663</v>
      </c>
      <c r="D5583">
        <v>3</v>
      </c>
      <c r="E5583">
        <v>10.8</v>
      </c>
      <c r="F5583">
        <v>66</v>
      </c>
    </row>
    <row r="5584" spans="1:6" x14ac:dyDescent="0.35">
      <c r="A5584">
        <v>1975</v>
      </c>
      <c r="B5584" s="1">
        <v>45757</v>
      </c>
      <c r="C5584" s="2">
        <v>0.58333333333333337</v>
      </c>
      <c r="D5584">
        <v>3</v>
      </c>
      <c r="E5584">
        <v>12.2</v>
      </c>
      <c r="F5584">
        <v>61</v>
      </c>
    </row>
    <row r="5585" spans="1:6" x14ac:dyDescent="0.35">
      <c r="A5585">
        <v>1975</v>
      </c>
      <c r="B5585" s="1">
        <v>45757</v>
      </c>
      <c r="C5585" s="2">
        <v>0.625</v>
      </c>
      <c r="D5585">
        <v>3</v>
      </c>
      <c r="E5585">
        <v>12.1</v>
      </c>
      <c r="F5585">
        <v>59</v>
      </c>
    </row>
    <row r="5586" spans="1:6" x14ac:dyDescent="0.35">
      <c r="A5586">
        <v>1975</v>
      </c>
      <c r="B5586" s="1">
        <v>45757</v>
      </c>
      <c r="C5586" s="2">
        <v>0.66666666666666663</v>
      </c>
      <c r="D5586">
        <v>3</v>
      </c>
      <c r="E5586">
        <v>12.3</v>
      </c>
      <c r="F5586">
        <v>60</v>
      </c>
    </row>
    <row r="5587" spans="1:6" x14ac:dyDescent="0.35">
      <c r="A5587">
        <v>1975</v>
      </c>
      <c r="B5587" s="1">
        <v>45757</v>
      </c>
      <c r="C5587" s="2">
        <v>0.70833333333333337</v>
      </c>
      <c r="D5587">
        <v>3</v>
      </c>
      <c r="E5587">
        <v>11.2</v>
      </c>
      <c r="F5587">
        <v>67</v>
      </c>
    </row>
    <row r="5588" spans="1:6" x14ac:dyDescent="0.35">
      <c r="A5588">
        <v>1975</v>
      </c>
      <c r="B5588" s="1">
        <v>45757</v>
      </c>
      <c r="C5588" s="2">
        <v>0.75</v>
      </c>
      <c r="D5588">
        <v>3</v>
      </c>
      <c r="E5588">
        <v>8.1</v>
      </c>
      <c r="F5588">
        <v>79</v>
      </c>
    </row>
    <row r="5589" spans="1:6" x14ac:dyDescent="0.35">
      <c r="A5589">
        <v>1975</v>
      </c>
      <c r="B5589" s="1">
        <v>45757</v>
      </c>
      <c r="C5589" s="2">
        <v>0.79166666666666663</v>
      </c>
      <c r="D5589">
        <v>3</v>
      </c>
      <c r="E5589">
        <v>7.6</v>
      </c>
      <c r="F5589">
        <v>82</v>
      </c>
    </row>
    <row r="5590" spans="1:6" x14ac:dyDescent="0.35">
      <c r="A5590">
        <v>1975</v>
      </c>
      <c r="B5590" s="1">
        <v>45757</v>
      </c>
      <c r="C5590" s="2">
        <v>0.83333333333333337</v>
      </c>
      <c r="D5590">
        <v>3</v>
      </c>
      <c r="E5590">
        <v>6.9</v>
      </c>
      <c r="F5590">
        <v>79</v>
      </c>
    </row>
    <row r="5591" spans="1:6" x14ac:dyDescent="0.35">
      <c r="A5591">
        <v>1975</v>
      </c>
      <c r="B5591" s="1">
        <v>45757</v>
      </c>
      <c r="C5591" s="2">
        <v>0.875</v>
      </c>
      <c r="D5591">
        <v>3</v>
      </c>
      <c r="E5591">
        <v>6.9</v>
      </c>
      <c r="F5591">
        <v>80</v>
      </c>
    </row>
    <row r="5592" spans="1:6" x14ac:dyDescent="0.35">
      <c r="A5592">
        <v>1975</v>
      </c>
      <c r="B5592" s="1">
        <v>45757</v>
      </c>
      <c r="C5592" s="2">
        <v>0.91666666666666663</v>
      </c>
      <c r="D5592">
        <v>3</v>
      </c>
      <c r="E5592">
        <v>7.1</v>
      </c>
      <c r="F5592">
        <v>82</v>
      </c>
    </row>
    <row r="5593" spans="1:6" x14ac:dyDescent="0.35">
      <c r="A5593">
        <v>1975</v>
      </c>
      <c r="B5593" s="1">
        <v>45757</v>
      </c>
      <c r="C5593" s="2">
        <v>0.95833333333333337</v>
      </c>
      <c r="D5593">
        <v>3</v>
      </c>
      <c r="E5593">
        <v>7</v>
      </c>
      <c r="F5593">
        <v>85</v>
      </c>
    </row>
    <row r="5594" spans="1:6" x14ac:dyDescent="0.35">
      <c r="A5594">
        <v>1975</v>
      </c>
      <c r="B5594" s="1">
        <v>45758</v>
      </c>
      <c r="C5594" s="2">
        <v>0</v>
      </c>
      <c r="D5594">
        <v>3</v>
      </c>
      <c r="E5594">
        <v>6.9</v>
      </c>
      <c r="F5594">
        <v>86</v>
      </c>
    </row>
    <row r="5595" spans="1:6" x14ac:dyDescent="0.35">
      <c r="A5595">
        <v>1975</v>
      </c>
      <c r="B5595" s="1">
        <v>45758</v>
      </c>
      <c r="C5595" s="2">
        <v>4.1666666666666657E-2</v>
      </c>
      <c r="D5595">
        <v>3</v>
      </c>
      <c r="E5595">
        <v>7.2</v>
      </c>
      <c r="F5595">
        <v>85</v>
      </c>
    </row>
    <row r="5596" spans="1:6" x14ac:dyDescent="0.35">
      <c r="A5596">
        <v>1975</v>
      </c>
      <c r="B5596" s="1">
        <v>45758</v>
      </c>
      <c r="C5596" s="2">
        <v>8.3333333333333329E-2</v>
      </c>
      <c r="D5596">
        <v>3</v>
      </c>
      <c r="E5596">
        <v>7.3</v>
      </c>
      <c r="F5596">
        <v>83</v>
      </c>
    </row>
    <row r="5597" spans="1:6" x14ac:dyDescent="0.35">
      <c r="A5597">
        <v>1975</v>
      </c>
      <c r="B5597" s="1">
        <v>45758</v>
      </c>
      <c r="C5597" s="2">
        <v>0.125</v>
      </c>
      <c r="D5597">
        <v>3</v>
      </c>
      <c r="E5597">
        <v>7.3</v>
      </c>
      <c r="F5597">
        <v>82</v>
      </c>
    </row>
    <row r="5598" spans="1:6" x14ac:dyDescent="0.35">
      <c r="A5598">
        <v>1975</v>
      </c>
      <c r="B5598" s="1">
        <v>45758</v>
      </c>
      <c r="C5598" s="2">
        <v>0.16666666666666671</v>
      </c>
      <c r="D5598">
        <v>3</v>
      </c>
      <c r="E5598">
        <v>7.1</v>
      </c>
      <c r="F5598">
        <v>84</v>
      </c>
    </row>
    <row r="5599" spans="1:6" x14ac:dyDescent="0.35">
      <c r="A5599">
        <v>1975</v>
      </c>
      <c r="B5599" s="1">
        <v>45758</v>
      </c>
      <c r="C5599" s="2">
        <v>0.20833333333333329</v>
      </c>
      <c r="D5599">
        <v>3</v>
      </c>
      <c r="E5599">
        <v>7.1</v>
      </c>
      <c r="F5599">
        <v>85</v>
      </c>
    </row>
    <row r="5600" spans="1:6" x14ac:dyDescent="0.35">
      <c r="A5600">
        <v>1975</v>
      </c>
      <c r="B5600" s="1">
        <v>45758</v>
      </c>
      <c r="C5600" s="2">
        <v>0.25</v>
      </c>
      <c r="D5600">
        <v>3</v>
      </c>
      <c r="E5600">
        <v>7.4</v>
      </c>
      <c r="F5600">
        <v>83</v>
      </c>
    </row>
    <row r="5601" spans="1:6" x14ac:dyDescent="0.35">
      <c r="A5601">
        <v>1975</v>
      </c>
      <c r="B5601" s="1">
        <v>45758</v>
      </c>
      <c r="C5601" s="2">
        <v>0.29166666666666669</v>
      </c>
      <c r="D5601">
        <v>3</v>
      </c>
      <c r="E5601">
        <v>8</v>
      </c>
      <c r="F5601">
        <v>81</v>
      </c>
    </row>
    <row r="5602" spans="1:6" x14ac:dyDescent="0.35">
      <c r="A5602">
        <v>1975</v>
      </c>
      <c r="B5602" s="1">
        <v>45758</v>
      </c>
      <c r="C5602" s="2">
        <v>0.33333333333333331</v>
      </c>
      <c r="D5602">
        <v>3</v>
      </c>
      <c r="E5602">
        <v>8.4</v>
      </c>
      <c r="F5602">
        <v>80</v>
      </c>
    </row>
    <row r="5603" spans="1:6" x14ac:dyDescent="0.35">
      <c r="A5603">
        <v>1975</v>
      </c>
      <c r="B5603" s="1">
        <v>45758</v>
      </c>
      <c r="C5603" s="2">
        <v>0.375</v>
      </c>
      <c r="D5603">
        <v>3</v>
      </c>
      <c r="E5603">
        <v>9.5</v>
      </c>
      <c r="F5603">
        <v>77</v>
      </c>
    </row>
    <row r="5604" spans="1:6" x14ac:dyDescent="0.35">
      <c r="A5604">
        <v>1975</v>
      </c>
      <c r="B5604" s="1">
        <v>45758</v>
      </c>
      <c r="C5604" s="2">
        <v>0.41666666666666669</v>
      </c>
      <c r="D5604">
        <v>3</v>
      </c>
      <c r="E5604">
        <v>11.4</v>
      </c>
      <c r="F5604">
        <v>70</v>
      </c>
    </row>
    <row r="5605" spans="1:6" x14ac:dyDescent="0.35">
      <c r="A5605">
        <v>1975</v>
      </c>
      <c r="B5605" s="1">
        <v>45758</v>
      </c>
      <c r="C5605" s="2">
        <v>0.45833333333333331</v>
      </c>
      <c r="D5605">
        <v>3</v>
      </c>
      <c r="E5605">
        <v>13.5</v>
      </c>
      <c r="F5605">
        <v>62</v>
      </c>
    </row>
    <row r="5606" spans="1:6" x14ac:dyDescent="0.35">
      <c r="A5606">
        <v>1975</v>
      </c>
      <c r="B5606" s="1">
        <v>45758</v>
      </c>
      <c r="C5606" s="2">
        <v>0.5</v>
      </c>
      <c r="D5606">
        <v>3</v>
      </c>
      <c r="E5606">
        <v>13.5</v>
      </c>
      <c r="F5606">
        <v>58</v>
      </c>
    </row>
    <row r="5607" spans="1:6" x14ac:dyDescent="0.35">
      <c r="A5607">
        <v>1975</v>
      </c>
      <c r="B5607" s="1">
        <v>45758</v>
      </c>
      <c r="C5607" s="2">
        <v>0.54166666666666663</v>
      </c>
      <c r="D5607">
        <v>3</v>
      </c>
      <c r="E5607">
        <v>14.3</v>
      </c>
      <c r="F5607">
        <v>60</v>
      </c>
    </row>
    <row r="5608" spans="1:6" x14ac:dyDescent="0.35">
      <c r="A5608">
        <v>1975</v>
      </c>
      <c r="B5608" s="1">
        <v>45758</v>
      </c>
      <c r="C5608" s="2">
        <v>0.58333333333333337</v>
      </c>
      <c r="D5608">
        <v>3</v>
      </c>
      <c r="E5608">
        <v>13.8</v>
      </c>
      <c r="F5608">
        <v>63</v>
      </c>
    </row>
    <row r="5609" spans="1:6" x14ac:dyDescent="0.35">
      <c r="A5609">
        <v>1975</v>
      </c>
      <c r="B5609" s="1">
        <v>45758</v>
      </c>
      <c r="C5609" s="2">
        <v>0.625</v>
      </c>
      <c r="D5609">
        <v>3</v>
      </c>
      <c r="E5609">
        <v>13.8</v>
      </c>
      <c r="F5609">
        <v>68</v>
      </c>
    </row>
    <row r="5610" spans="1:6" x14ac:dyDescent="0.35">
      <c r="A5610">
        <v>1975</v>
      </c>
      <c r="B5610" s="1">
        <v>45758</v>
      </c>
      <c r="C5610" s="2">
        <v>0.66666666666666663</v>
      </c>
      <c r="D5610">
        <v>3</v>
      </c>
      <c r="E5610">
        <v>12.6</v>
      </c>
      <c r="F5610">
        <v>74</v>
      </c>
    </row>
    <row r="5611" spans="1:6" x14ac:dyDescent="0.35">
      <c r="A5611">
        <v>1975</v>
      </c>
      <c r="B5611" s="1">
        <v>45758</v>
      </c>
      <c r="C5611" s="2">
        <v>0.70833333333333337</v>
      </c>
      <c r="D5611">
        <v>3</v>
      </c>
      <c r="E5611">
        <v>11</v>
      </c>
      <c r="F5611">
        <v>81</v>
      </c>
    </row>
    <row r="5612" spans="1:6" x14ac:dyDescent="0.35">
      <c r="A5612">
        <v>1975</v>
      </c>
      <c r="B5612" s="1">
        <v>45758</v>
      </c>
      <c r="C5612" s="2">
        <v>0.75</v>
      </c>
      <c r="D5612">
        <v>3</v>
      </c>
      <c r="E5612">
        <v>9.9</v>
      </c>
      <c r="F5612">
        <v>85</v>
      </c>
    </row>
    <row r="5613" spans="1:6" x14ac:dyDescent="0.35">
      <c r="A5613">
        <v>1975</v>
      </c>
      <c r="B5613" s="1">
        <v>45758</v>
      </c>
      <c r="C5613" s="2">
        <v>0.79166666666666663</v>
      </c>
      <c r="D5613">
        <v>3</v>
      </c>
      <c r="E5613">
        <v>9.4</v>
      </c>
      <c r="F5613">
        <v>90</v>
      </c>
    </row>
    <row r="5614" spans="1:6" x14ac:dyDescent="0.35">
      <c r="A5614">
        <v>1975</v>
      </c>
      <c r="B5614" s="1">
        <v>45758</v>
      </c>
      <c r="C5614" s="2">
        <v>0.83333333333333337</v>
      </c>
      <c r="D5614">
        <v>3</v>
      </c>
      <c r="E5614">
        <v>9.1999999999999993</v>
      </c>
      <c r="F5614">
        <v>90</v>
      </c>
    </row>
    <row r="5615" spans="1:6" x14ac:dyDescent="0.35">
      <c r="A5615">
        <v>1975</v>
      </c>
      <c r="B5615" s="1">
        <v>45758</v>
      </c>
      <c r="C5615" s="2">
        <v>0.875</v>
      </c>
      <c r="D5615">
        <v>3</v>
      </c>
      <c r="E5615">
        <v>9.1</v>
      </c>
      <c r="F5615">
        <v>92</v>
      </c>
    </row>
    <row r="5616" spans="1:6" x14ac:dyDescent="0.35">
      <c r="A5616">
        <v>1975</v>
      </c>
      <c r="B5616" s="1">
        <v>45758</v>
      </c>
      <c r="C5616" s="2">
        <v>0.91666666666666663</v>
      </c>
      <c r="D5616">
        <v>3</v>
      </c>
      <c r="E5616">
        <v>9.1</v>
      </c>
      <c r="F5616">
        <v>90</v>
      </c>
    </row>
    <row r="5617" spans="1:6" x14ac:dyDescent="0.35">
      <c r="A5617">
        <v>1975</v>
      </c>
      <c r="B5617" s="1">
        <v>45758</v>
      </c>
      <c r="C5617" s="2">
        <v>0.95833333333333337</v>
      </c>
      <c r="D5617">
        <v>3</v>
      </c>
      <c r="E5617">
        <v>9</v>
      </c>
      <c r="F5617">
        <v>89</v>
      </c>
    </row>
    <row r="5618" spans="1:6" x14ac:dyDescent="0.35">
      <c r="A5618">
        <v>1975</v>
      </c>
      <c r="B5618" s="1">
        <v>45759</v>
      </c>
      <c r="C5618" s="2">
        <v>0</v>
      </c>
      <c r="D5618">
        <v>3</v>
      </c>
      <c r="E5618">
        <v>9</v>
      </c>
      <c r="F5618">
        <v>85</v>
      </c>
    </row>
    <row r="5619" spans="1:6" x14ac:dyDescent="0.35">
      <c r="A5619">
        <v>1975</v>
      </c>
      <c r="B5619" s="1">
        <v>45759</v>
      </c>
      <c r="C5619" s="2">
        <v>4.1666666666666657E-2</v>
      </c>
      <c r="D5619">
        <v>3</v>
      </c>
      <c r="E5619">
        <v>8.6999999999999993</v>
      </c>
      <c r="F5619">
        <v>87</v>
      </c>
    </row>
    <row r="5620" spans="1:6" x14ac:dyDescent="0.35">
      <c r="A5620">
        <v>1975</v>
      </c>
      <c r="B5620" s="1">
        <v>45759</v>
      </c>
      <c r="C5620" s="2">
        <v>8.3333333333333329E-2</v>
      </c>
      <c r="D5620">
        <v>3</v>
      </c>
      <c r="E5620">
        <v>8.1999999999999993</v>
      </c>
      <c r="F5620">
        <v>89</v>
      </c>
    </row>
    <row r="5621" spans="1:6" x14ac:dyDescent="0.35">
      <c r="A5621">
        <v>1975</v>
      </c>
      <c r="B5621" s="1">
        <v>45759</v>
      </c>
      <c r="C5621" s="2">
        <v>0.125</v>
      </c>
      <c r="D5621">
        <v>3</v>
      </c>
      <c r="E5621">
        <v>8</v>
      </c>
      <c r="F5621">
        <v>91</v>
      </c>
    </row>
    <row r="5622" spans="1:6" x14ac:dyDescent="0.35">
      <c r="A5622">
        <v>1975</v>
      </c>
      <c r="B5622" s="1">
        <v>45759</v>
      </c>
      <c r="C5622" s="2">
        <v>0.16666666666666671</v>
      </c>
      <c r="D5622">
        <v>3</v>
      </c>
      <c r="E5622">
        <v>7.9</v>
      </c>
      <c r="F5622">
        <v>91</v>
      </c>
    </row>
    <row r="5623" spans="1:6" x14ac:dyDescent="0.35">
      <c r="A5623">
        <v>1975</v>
      </c>
      <c r="B5623" s="1">
        <v>45759</v>
      </c>
      <c r="C5623" s="2">
        <v>0.20833333333333329</v>
      </c>
      <c r="D5623">
        <v>3</v>
      </c>
      <c r="E5623">
        <v>7.6</v>
      </c>
      <c r="F5623">
        <v>92</v>
      </c>
    </row>
    <row r="5624" spans="1:6" x14ac:dyDescent="0.35">
      <c r="A5624">
        <v>1975</v>
      </c>
      <c r="B5624" s="1">
        <v>45759</v>
      </c>
      <c r="C5624" s="2">
        <v>0.25</v>
      </c>
      <c r="D5624">
        <v>3</v>
      </c>
      <c r="E5624">
        <v>7.7</v>
      </c>
      <c r="F5624">
        <v>91</v>
      </c>
    </row>
    <row r="5625" spans="1:6" x14ac:dyDescent="0.35">
      <c r="A5625">
        <v>1975</v>
      </c>
      <c r="B5625" s="1">
        <v>45759</v>
      </c>
      <c r="C5625" s="2">
        <v>0.29166666666666669</v>
      </c>
      <c r="D5625">
        <v>3</v>
      </c>
      <c r="E5625">
        <v>7.9</v>
      </c>
      <c r="F5625">
        <v>88</v>
      </c>
    </row>
    <row r="5626" spans="1:6" x14ac:dyDescent="0.35">
      <c r="A5626">
        <v>1975</v>
      </c>
      <c r="B5626" s="1">
        <v>45759</v>
      </c>
      <c r="C5626" s="2">
        <v>0.33333333333333331</v>
      </c>
      <c r="D5626">
        <v>3</v>
      </c>
      <c r="E5626">
        <v>8.6999999999999993</v>
      </c>
      <c r="F5626">
        <v>83</v>
      </c>
    </row>
    <row r="5627" spans="1:6" x14ac:dyDescent="0.35">
      <c r="A5627">
        <v>1975</v>
      </c>
      <c r="B5627" s="1">
        <v>45759</v>
      </c>
      <c r="C5627" s="2">
        <v>0.375</v>
      </c>
      <c r="D5627">
        <v>3</v>
      </c>
      <c r="E5627">
        <v>10.8</v>
      </c>
      <c r="F5627">
        <v>75</v>
      </c>
    </row>
    <row r="5628" spans="1:6" x14ac:dyDescent="0.35">
      <c r="A5628">
        <v>1975</v>
      </c>
      <c r="B5628" s="1">
        <v>45759</v>
      </c>
      <c r="C5628" s="2">
        <v>0.41666666666666669</v>
      </c>
      <c r="D5628">
        <v>3</v>
      </c>
      <c r="E5628">
        <v>12.2</v>
      </c>
      <c r="F5628">
        <v>66</v>
      </c>
    </row>
    <row r="5629" spans="1:6" x14ac:dyDescent="0.35">
      <c r="A5629">
        <v>1975</v>
      </c>
      <c r="B5629" s="1">
        <v>45759</v>
      </c>
      <c r="C5629" s="2">
        <v>0.45833333333333331</v>
      </c>
      <c r="D5629">
        <v>3</v>
      </c>
      <c r="E5629">
        <v>14.9</v>
      </c>
      <c r="F5629">
        <v>54</v>
      </c>
    </row>
    <row r="5630" spans="1:6" x14ac:dyDescent="0.35">
      <c r="A5630">
        <v>1975</v>
      </c>
      <c r="B5630" s="1">
        <v>45759</v>
      </c>
      <c r="C5630" s="2">
        <v>0.5</v>
      </c>
      <c r="D5630">
        <v>3</v>
      </c>
      <c r="E5630">
        <v>16.100000000000001</v>
      </c>
      <c r="F5630">
        <v>50</v>
      </c>
    </row>
    <row r="5631" spans="1:6" x14ac:dyDescent="0.35">
      <c r="A5631">
        <v>1975</v>
      </c>
      <c r="B5631" s="1">
        <v>45759</v>
      </c>
      <c r="C5631" s="2">
        <v>0.54166666666666663</v>
      </c>
      <c r="D5631">
        <v>3</v>
      </c>
      <c r="E5631">
        <v>17.5</v>
      </c>
      <c r="F5631">
        <v>-999</v>
      </c>
    </row>
    <row r="5632" spans="1:6" x14ac:dyDescent="0.35">
      <c r="A5632">
        <v>1975</v>
      </c>
      <c r="B5632" s="1">
        <v>45759</v>
      </c>
      <c r="C5632" s="2">
        <v>0.58333333333333337</v>
      </c>
      <c r="D5632">
        <v>3</v>
      </c>
      <c r="E5632">
        <v>18.3</v>
      </c>
      <c r="F5632">
        <v>-999</v>
      </c>
    </row>
    <row r="5633" spans="1:6" x14ac:dyDescent="0.35">
      <c r="A5633">
        <v>1975</v>
      </c>
      <c r="B5633" s="1">
        <v>45759</v>
      </c>
      <c r="C5633" s="2">
        <v>0.625</v>
      </c>
      <c r="D5633">
        <v>3</v>
      </c>
      <c r="E5633">
        <v>18.8</v>
      </c>
      <c r="F5633">
        <v>-999</v>
      </c>
    </row>
    <row r="5634" spans="1:6" x14ac:dyDescent="0.35">
      <c r="A5634">
        <v>1975</v>
      </c>
      <c r="B5634" s="1">
        <v>45759</v>
      </c>
      <c r="C5634" s="2">
        <v>0.66666666666666663</v>
      </c>
      <c r="D5634">
        <v>3</v>
      </c>
      <c r="E5634">
        <v>19.3</v>
      </c>
      <c r="F5634">
        <v>-999</v>
      </c>
    </row>
    <row r="5635" spans="1:6" x14ac:dyDescent="0.35">
      <c r="A5635">
        <v>1975</v>
      </c>
      <c r="B5635" s="1">
        <v>45759</v>
      </c>
      <c r="C5635" s="2">
        <v>0.70833333333333337</v>
      </c>
      <c r="D5635">
        <v>3</v>
      </c>
      <c r="E5635">
        <v>18.7</v>
      </c>
      <c r="F5635">
        <v>34</v>
      </c>
    </row>
    <row r="5636" spans="1:6" x14ac:dyDescent="0.35">
      <c r="A5636">
        <v>1975</v>
      </c>
      <c r="B5636" s="1">
        <v>45759</v>
      </c>
      <c r="C5636" s="2">
        <v>0.75</v>
      </c>
      <c r="D5636">
        <v>3</v>
      </c>
      <c r="E5636">
        <v>17.399999999999999</v>
      </c>
      <c r="F5636">
        <v>43</v>
      </c>
    </row>
    <row r="5637" spans="1:6" x14ac:dyDescent="0.35">
      <c r="A5637">
        <v>1975</v>
      </c>
      <c r="B5637" s="1">
        <v>45759</v>
      </c>
      <c r="C5637" s="2">
        <v>0.79166666666666663</v>
      </c>
      <c r="D5637">
        <v>3</v>
      </c>
      <c r="E5637">
        <v>16</v>
      </c>
      <c r="F5637">
        <v>44</v>
      </c>
    </row>
    <row r="5638" spans="1:6" x14ac:dyDescent="0.35">
      <c r="A5638">
        <v>1975</v>
      </c>
      <c r="B5638" s="1">
        <v>45759</v>
      </c>
      <c r="C5638" s="2">
        <v>0.83333333333333337</v>
      </c>
      <c r="D5638">
        <v>3</v>
      </c>
      <c r="E5638">
        <v>14.6</v>
      </c>
      <c r="F5638">
        <v>52</v>
      </c>
    </row>
    <row r="5639" spans="1:6" x14ac:dyDescent="0.35">
      <c r="A5639">
        <v>1975</v>
      </c>
      <c r="B5639" s="1">
        <v>45759</v>
      </c>
      <c r="C5639" s="2">
        <v>0.875</v>
      </c>
      <c r="D5639">
        <v>3</v>
      </c>
      <c r="E5639">
        <v>13.6</v>
      </c>
      <c r="F5639">
        <v>55</v>
      </c>
    </row>
    <row r="5640" spans="1:6" x14ac:dyDescent="0.35">
      <c r="A5640">
        <v>1975</v>
      </c>
      <c r="B5640" s="1">
        <v>45759</v>
      </c>
      <c r="C5640" s="2">
        <v>0.91666666666666663</v>
      </c>
      <c r="D5640">
        <v>3</v>
      </c>
      <c r="E5640">
        <v>12.4</v>
      </c>
      <c r="F5640">
        <v>59</v>
      </c>
    </row>
    <row r="5641" spans="1:6" x14ac:dyDescent="0.35">
      <c r="A5641">
        <v>1975</v>
      </c>
      <c r="B5641" s="1">
        <v>45759</v>
      </c>
      <c r="C5641" s="2">
        <v>0.95833333333333337</v>
      </c>
      <c r="D5641">
        <v>3</v>
      </c>
      <c r="E5641">
        <v>11.4</v>
      </c>
      <c r="F5641">
        <v>61</v>
      </c>
    </row>
    <row r="5642" spans="1:6" x14ac:dyDescent="0.35">
      <c r="A5642">
        <v>1975</v>
      </c>
      <c r="B5642" s="1">
        <v>45760</v>
      </c>
      <c r="C5642" s="2">
        <v>0</v>
      </c>
      <c r="D5642">
        <v>3</v>
      </c>
      <c r="E5642">
        <v>10.4</v>
      </c>
      <c r="F5642">
        <v>64</v>
      </c>
    </row>
    <row r="5643" spans="1:6" x14ac:dyDescent="0.35">
      <c r="A5643">
        <v>1975</v>
      </c>
      <c r="B5643" s="1">
        <v>45760</v>
      </c>
      <c r="C5643" s="2">
        <v>4.1666666666666657E-2</v>
      </c>
      <c r="D5643">
        <v>3</v>
      </c>
      <c r="E5643">
        <v>10.7</v>
      </c>
      <c r="F5643">
        <v>64</v>
      </c>
    </row>
    <row r="5644" spans="1:6" x14ac:dyDescent="0.35">
      <c r="A5644">
        <v>1975</v>
      </c>
      <c r="B5644" s="1">
        <v>45760</v>
      </c>
      <c r="C5644" s="2">
        <v>8.3333333333333329E-2</v>
      </c>
      <c r="D5644">
        <v>3</v>
      </c>
      <c r="E5644">
        <v>10.5</v>
      </c>
      <c r="F5644">
        <v>65</v>
      </c>
    </row>
    <row r="5645" spans="1:6" x14ac:dyDescent="0.35">
      <c r="A5645">
        <v>1975</v>
      </c>
      <c r="B5645" s="1">
        <v>45760</v>
      </c>
      <c r="C5645" s="2">
        <v>0.125</v>
      </c>
      <c r="D5645">
        <v>3</v>
      </c>
      <c r="E5645">
        <v>10.1</v>
      </c>
      <c r="F5645">
        <v>68</v>
      </c>
    </row>
    <row r="5646" spans="1:6" x14ac:dyDescent="0.35">
      <c r="A5646">
        <v>1975</v>
      </c>
      <c r="B5646" s="1">
        <v>45760</v>
      </c>
      <c r="C5646" s="2">
        <v>0.16666666666666671</v>
      </c>
      <c r="D5646">
        <v>3</v>
      </c>
      <c r="E5646">
        <v>9.5</v>
      </c>
      <c r="F5646">
        <v>71</v>
      </c>
    </row>
    <row r="5647" spans="1:6" x14ac:dyDescent="0.35">
      <c r="A5647">
        <v>1975</v>
      </c>
      <c r="B5647" s="1">
        <v>45760</v>
      </c>
      <c r="C5647" s="2">
        <v>0.20833333333333329</v>
      </c>
      <c r="D5647">
        <v>3</v>
      </c>
      <c r="E5647">
        <v>9.5</v>
      </c>
      <c r="F5647">
        <v>73</v>
      </c>
    </row>
    <row r="5648" spans="1:6" x14ac:dyDescent="0.35">
      <c r="A5648">
        <v>1975</v>
      </c>
      <c r="B5648" s="1">
        <v>45760</v>
      </c>
      <c r="C5648" s="2">
        <v>0.25</v>
      </c>
      <c r="D5648">
        <v>3</v>
      </c>
      <c r="E5648">
        <v>11.8</v>
      </c>
      <c r="F5648">
        <v>68</v>
      </c>
    </row>
    <row r="5649" spans="1:6" x14ac:dyDescent="0.35">
      <c r="A5649">
        <v>1975</v>
      </c>
      <c r="B5649" s="1">
        <v>45760</v>
      </c>
      <c r="C5649" s="2">
        <v>0.29166666666666669</v>
      </c>
      <c r="D5649">
        <v>3</v>
      </c>
      <c r="E5649">
        <v>12</v>
      </c>
      <c r="F5649">
        <v>68</v>
      </c>
    </row>
    <row r="5650" spans="1:6" x14ac:dyDescent="0.35">
      <c r="A5650">
        <v>1975</v>
      </c>
      <c r="B5650" s="1">
        <v>45760</v>
      </c>
      <c r="C5650" s="2">
        <v>0.33333333333333331</v>
      </c>
      <c r="D5650">
        <v>3</v>
      </c>
      <c r="E5650">
        <v>12.7</v>
      </c>
      <c r="F5650">
        <v>68</v>
      </c>
    </row>
    <row r="5651" spans="1:6" x14ac:dyDescent="0.35">
      <c r="A5651">
        <v>1975</v>
      </c>
      <c r="B5651" s="1">
        <v>45760</v>
      </c>
      <c r="C5651" s="2">
        <v>0.375</v>
      </c>
      <c r="D5651">
        <v>3</v>
      </c>
      <c r="E5651">
        <v>15.3</v>
      </c>
      <c r="F5651">
        <v>63</v>
      </c>
    </row>
    <row r="5652" spans="1:6" x14ac:dyDescent="0.35">
      <c r="A5652">
        <v>1975</v>
      </c>
      <c r="B5652" s="1">
        <v>45760</v>
      </c>
      <c r="C5652" s="2">
        <v>0.41666666666666669</v>
      </c>
      <c r="D5652">
        <v>3</v>
      </c>
      <c r="E5652">
        <v>17.5</v>
      </c>
      <c r="F5652">
        <v>59</v>
      </c>
    </row>
    <row r="5653" spans="1:6" x14ac:dyDescent="0.35">
      <c r="A5653">
        <v>1975</v>
      </c>
      <c r="B5653" s="1">
        <v>45760</v>
      </c>
      <c r="C5653" s="2">
        <v>0.45833333333333331</v>
      </c>
      <c r="D5653">
        <v>3</v>
      </c>
      <c r="E5653">
        <v>15.1</v>
      </c>
      <c r="F5653">
        <v>77</v>
      </c>
    </row>
    <row r="5654" spans="1:6" x14ac:dyDescent="0.35">
      <c r="A5654">
        <v>1975</v>
      </c>
      <c r="B5654" s="1">
        <v>45760</v>
      </c>
      <c r="C5654" s="2">
        <v>0.5</v>
      </c>
      <c r="D5654">
        <v>3</v>
      </c>
      <c r="E5654">
        <v>15.9</v>
      </c>
      <c r="F5654">
        <v>74</v>
      </c>
    </row>
    <row r="5655" spans="1:6" x14ac:dyDescent="0.35">
      <c r="A5655">
        <v>1975</v>
      </c>
      <c r="B5655" s="1">
        <v>45760</v>
      </c>
      <c r="C5655" s="2">
        <v>0.54166666666666663</v>
      </c>
      <c r="D5655">
        <v>3</v>
      </c>
      <c r="E5655">
        <v>14.4</v>
      </c>
      <c r="F5655">
        <v>94</v>
      </c>
    </row>
    <row r="5656" spans="1:6" x14ac:dyDescent="0.35">
      <c r="A5656">
        <v>1975</v>
      </c>
      <c r="B5656" s="1">
        <v>45760</v>
      </c>
      <c r="C5656" s="2">
        <v>0.58333333333333337</v>
      </c>
      <c r="D5656">
        <v>3</v>
      </c>
      <c r="E5656">
        <v>17.7</v>
      </c>
      <c r="F5656">
        <v>67</v>
      </c>
    </row>
    <row r="5657" spans="1:6" x14ac:dyDescent="0.35">
      <c r="A5657">
        <v>1975</v>
      </c>
      <c r="B5657" s="1">
        <v>45760</v>
      </c>
      <c r="C5657" s="2">
        <v>0.625</v>
      </c>
      <c r="D5657">
        <v>3</v>
      </c>
      <c r="E5657">
        <v>17.3</v>
      </c>
      <c r="F5657">
        <v>63</v>
      </c>
    </row>
    <row r="5658" spans="1:6" x14ac:dyDescent="0.35">
      <c r="A5658">
        <v>1975</v>
      </c>
      <c r="B5658" s="1">
        <v>45760</v>
      </c>
      <c r="C5658" s="2">
        <v>0.66666666666666663</v>
      </c>
      <c r="D5658">
        <v>3</v>
      </c>
      <c r="E5658">
        <v>15.9</v>
      </c>
      <c r="F5658">
        <v>70</v>
      </c>
    </row>
    <row r="5659" spans="1:6" x14ac:dyDescent="0.35">
      <c r="A5659">
        <v>1975</v>
      </c>
      <c r="B5659" s="1">
        <v>45760</v>
      </c>
      <c r="C5659" s="2">
        <v>0.70833333333333337</v>
      </c>
      <c r="D5659">
        <v>3</v>
      </c>
      <c r="E5659">
        <v>14.1</v>
      </c>
      <c r="F5659">
        <v>86</v>
      </c>
    </row>
    <row r="5660" spans="1:6" x14ac:dyDescent="0.35">
      <c r="A5660">
        <v>1975</v>
      </c>
      <c r="B5660" s="1">
        <v>45760</v>
      </c>
      <c r="C5660" s="2">
        <v>0.75</v>
      </c>
      <c r="D5660">
        <v>3</v>
      </c>
      <c r="E5660">
        <v>13.7</v>
      </c>
      <c r="F5660">
        <v>67</v>
      </c>
    </row>
    <row r="5661" spans="1:6" x14ac:dyDescent="0.35">
      <c r="A5661">
        <v>1975</v>
      </c>
      <c r="B5661" s="1">
        <v>45760</v>
      </c>
      <c r="C5661" s="2">
        <v>0.79166666666666663</v>
      </c>
      <c r="D5661">
        <v>3</v>
      </c>
      <c r="E5661">
        <v>11.8</v>
      </c>
      <c r="F5661">
        <v>70</v>
      </c>
    </row>
    <row r="5662" spans="1:6" x14ac:dyDescent="0.35">
      <c r="A5662">
        <v>1975</v>
      </c>
      <c r="B5662" s="1">
        <v>45760</v>
      </c>
      <c r="C5662" s="2">
        <v>0.83333333333333337</v>
      </c>
      <c r="D5662">
        <v>3</v>
      </c>
      <c r="E5662">
        <v>10.6</v>
      </c>
      <c r="F5662">
        <v>75</v>
      </c>
    </row>
    <row r="5663" spans="1:6" x14ac:dyDescent="0.35">
      <c r="A5663">
        <v>1975</v>
      </c>
      <c r="B5663" s="1">
        <v>45760</v>
      </c>
      <c r="C5663" s="2">
        <v>0.875</v>
      </c>
      <c r="D5663">
        <v>3</v>
      </c>
      <c r="E5663">
        <v>8.4</v>
      </c>
      <c r="F5663">
        <v>85</v>
      </c>
    </row>
    <row r="5664" spans="1:6" x14ac:dyDescent="0.35">
      <c r="A5664">
        <v>1975</v>
      </c>
      <c r="B5664" s="1">
        <v>45760</v>
      </c>
      <c r="C5664" s="2">
        <v>0.91666666666666663</v>
      </c>
      <c r="D5664">
        <v>3</v>
      </c>
      <c r="E5664">
        <v>8.1999999999999993</v>
      </c>
      <c r="F5664">
        <v>87</v>
      </c>
    </row>
    <row r="5665" spans="1:6" x14ac:dyDescent="0.35">
      <c r="A5665">
        <v>1975</v>
      </c>
      <c r="B5665" s="1">
        <v>45760</v>
      </c>
      <c r="C5665" s="2">
        <v>0.95833333333333337</v>
      </c>
      <c r="D5665">
        <v>3</v>
      </c>
      <c r="E5665">
        <v>7</v>
      </c>
      <c r="F5665">
        <v>96</v>
      </c>
    </row>
    <row r="5666" spans="1:6" x14ac:dyDescent="0.35">
      <c r="A5666">
        <v>1975</v>
      </c>
      <c r="B5666" s="1">
        <v>45761</v>
      </c>
      <c r="C5666" s="2">
        <v>0</v>
      </c>
      <c r="D5666">
        <v>3</v>
      </c>
      <c r="E5666">
        <v>5.8</v>
      </c>
      <c r="F5666">
        <v>97</v>
      </c>
    </row>
    <row r="5667" spans="1:6" x14ac:dyDescent="0.35">
      <c r="A5667">
        <v>1975</v>
      </c>
      <c r="B5667" s="1">
        <v>45761</v>
      </c>
      <c r="C5667" s="2">
        <v>4.1666666666666657E-2</v>
      </c>
      <c r="D5667">
        <v>3</v>
      </c>
      <c r="E5667">
        <v>7.3</v>
      </c>
      <c r="F5667">
        <v>94</v>
      </c>
    </row>
    <row r="5668" spans="1:6" x14ac:dyDescent="0.35">
      <c r="A5668">
        <v>1975</v>
      </c>
      <c r="B5668" s="1">
        <v>45761</v>
      </c>
      <c r="C5668" s="2">
        <v>8.3333333333333329E-2</v>
      </c>
      <c r="D5668">
        <v>3</v>
      </c>
      <c r="E5668">
        <v>8.4</v>
      </c>
      <c r="F5668">
        <v>95</v>
      </c>
    </row>
    <row r="5669" spans="1:6" x14ac:dyDescent="0.35">
      <c r="A5669">
        <v>1975</v>
      </c>
      <c r="B5669" s="1">
        <v>45761</v>
      </c>
      <c r="C5669" s="2">
        <v>0.125</v>
      </c>
      <c r="D5669">
        <v>3</v>
      </c>
      <c r="E5669">
        <v>8.9</v>
      </c>
      <c r="F5669">
        <v>99</v>
      </c>
    </row>
    <row r="5670" spans="1:6" x14ac:dyDescent="0.35">
      <c r="A5670">
        <v>1975</v>
      </c>
      <c r="B5670" s="1">
        <v>45761</v>
      </c>
      <c r="C5670" s="2">
        <v>0.16666666666666671</v>
      </c>
      <c r="D5670">
        <v>3</v>
      </c>
      <c r="E5670">
        <v>8.9</v>
      </c>
      <c r="F5670">
        <v>99</v>
      </c>
    </row>
    <row r="5671" spans="1:6" x14ac:dyDescent="0.35">
      <c r="A5671">
        <v>1975</v>
      </c>
      <c r="B5671" s="1">
        <v>45761</v>
      </c>
      <c r="C5671" s="2">
        <v>0.20833333333333329</v>
      </c>
      <c r="D5671">
        <v>3</v>
      </c>
      <c r="E5671">
        <v>9.3000000000000007</v>
      </c>
      <c r="F5671">
        <v>97</v>
      </c>
    </row>
    <row r="5672" spans="1:6" x14ac:dyDescent="0.35">
      <c r="A5672">
        <v>1975</v>
      </c>
      <c r="B5672" s="1">
        <v>45761</v>
      </c>
      <c r="C5672" s="2">
        <v>0.25</v>
      </c>
      <c r="D5672">
        <v>3</v>
      </c>
      <c r="E5672">
        <v>9.6999999999999993</v>
      </c>
      <c r="F5672">
        <v>94</v>
      </c>
    </row>
    <row r="5673" spans="1:6" x14ac:dyDescent="0.35">
      <c r="A5673">
        <v>1975</v>
      </c>
      <c r="B5673" s="1">
        <v>45761</v>
      </c>
      <c r="C5673" s="2">
        <v>0.29166666666666669</v>
      </c>
      <c r="D5673">
        <v>3</v>
      </c>
      <c r="E5673">
        <v>10.8</v>
      </c>
      <c r="F5673">
        <v>94</v>
      </c>
    </row>
    <row r="5674" spans="1:6" x14ac:dyDescent="0.35">
      <c r="A5674">
        <v>1975</v>
      </c>
      <c r="B5674" s="1">
        <v>45761</v>
      </c>
      <c r="C5674" s="2">
        <v>0.33333333333333331</v>
      </c>
      <c r="D5674">
        <v>3</v>
      </c>
      <c r="E5674">
        <v>12.5</v>
      </c>
      <c r="F5674">
        <v>82</v>
      </c>
    </row>
    <row r="5675" spans="1:6" x14ac:dyDescent="0.35">
      <c r="A5675">
        <v>1975</v>
      </c>
      <c r="B5675" s="1">
        <v>45761</v>
      </c>
      <c r="C5675" s="2">
        <v>0.375</v>
      </c>
      <c r="D5675">
        <v>3</v>
      </c>
      <c r="E5675">
        <v>13.7</v>
      </c>
      <c r="F5675">
        <v>71</v>
      </c>
    </row>
    <row r="5676" spans="1:6" x14ac:dyDescent="0.35">
      <c r="A5676">
        <v>1975</v>
      </c>
      <c r="B5676" s="1">
        <v>45761</v>
      </c>
      <c r="C5676" s="2">
        <v>0.41666666666666669</v>
      </c>
      <c r="D5676">
        <v>3</v>
      </c>
      <c r="E5676">
        <v>14.1</v>
      </c>
      <c r="F5676">
        <v>62</v>
      </c>
    </row>
    <row r="5677" spans="1:6" x14ac:dyDescent="0.35">
      <c r="A5677">
        <v>1975</v>
      </c>
      <c r="B5677" s="1">
        <v>45761</v>
      </c>
      <c r="C5677" s="2">
        <v>0.45833333333333331</v>
      </c>
      <c r="D5677">
        <v>3</v>
      </c>
      <c r="E5677">
        <v>15.4</v>
      </c>
      <c r="F5677">
        <v>61</v>
      </c>
    </row>
    <row r="5678" spans="1:6" x14ac:dyDescent="0.35">
      <c r="A5678">
        <v>1975</v>
      </c>
      <c r="B5678" s="1">
        <v>45761</v>
      </c>
      <c r="C5678" s="2">
        <v>0.5</v>
      </c>
      <c r="D5678">
        <v>3</v>
      </c>
      <c r="E5678">
        <v>15.4</v>
      </c>
      <c r="F5678">
        <v>58</v>
      </c>
    </row>
    <row r="5679" spans="1:6" x14ac:dyDescent="0.35">
      <c r="A5679">
        <v>1975</v>
      </c>
      <c r="B5679" s="1">
        <v>45761</v>
      </c>
      <c r="C5679" s="2">
        <v>0.54166666666666663</v>
      </c>
      <c r="D5679">
        <v>3</v>
      </c>
      <c r="E5679">
        <v>15</v>
      </c>
      <c r="F5679">
        <v>57</v>
      </c>
    </row>
    <row r="5680" spans="1:6" x14ac:dyDescent="0.35">
      <c r="A5680">
        <v>1975</v>
      </c>
      <c r="B5680" s="1">
        <v>45761</v>
      </c>
      <c r="C5680" s="2">
        <v>0.58333333333333337</v>
      </c>
      <c r="D5680">
        <v>3</v>
      </c>
      <c r="E5680">
        <v>15.2</v>
      </c>
      <c r="F5680">
        <v>57</v>
      </c>
    </row>
    <row r="5681" spans="1:6" x14ac:dyDescent="0.35">
      <c r="A5681">
        <v>1975</v>
      </c>
      <c r="B5681" s="1">
        <v>45761</v>
      </c>
      <c r="C5681" s="2">
        <v>0.625</v>
      </c>
      <c r="D5681">
        <v>3</v>
      </c>
      <c r="E5681">
        <v>16.2</v>
      </c>
      <c r="F5681">
        <v>54</v>
      </c>
    </row>
    <row r="5682" spans="1:6" x14ac:dyDescent="0.35">
      <c r="A5682">
        <v>1975</v>
      </c>
      <c r="B5682" s="1">
        <v>45761</v>
      </c>
      <c r="C5682" s="2">
        <v>0.66666666666666663</v>
      </c>
      <c r="D5682">
        <v>3</v>
      </c>
      <c r="E5682">
        <v>15.3</v>
      </c>
      <c r="F5682">
        <v>61</v>
      </c>
    </row>
    <row r="5683" spans="1:6" x14ac:dyDescent="0.35">
      <c r="A5683">
        <v>1975</v>
      </c>
      <c r="B5683" s="1">
        <v>45761</v>
      </c>
      <c r="C5683" s="2">
        <v>0.70833333333333337</v>
      </c>
      <c r="D5683">
        <v>3</v>
      </c>
      <c r="E5683">
        <v>14.5</v>
      </c>
      <c r="F5683">
        <v>63</v>
      </c>
    </row>
    <row r="5684" spans="1:6" x14ac:dyDescent="0.35">
      <c r="A5684">
        <v>1975</v>
      </c>
      <c r="B5684" s="1">
        <v>45761</v>
      </c>
      <c r="C5684" s="2">
        <v>0.75</v>
      </c>
      <c r="D5684">
        <v>3</v>
      </c>
      <c r="E5684">
        <v>13.7</v>
      </c>
      <c r="F5684">
        <v>66</v>
      </c>
    </row>
    <row r="5685" spans="1:6" x14ac:dyDescent="0.35">
      <c r="A5685">
        <v>1975</v>
      </c>
      <c r="B5685" s="1">
        <v>45761</v>
      </c>
      <c r="C5685" s="2">
        <v>0.79166666666666663</v>
      </c>
      <c r="D5685">
        <v>3</v>
      </c>
      <c r="E5685">
        <v>12.8</v>
      </c>
      <c r="F5685">
        <v>68</v>
      </c>
    </row>
    <row r="5686" spans="1:6" x14ac:dyDescent="0.35">
      <c r="A5686">
        <v>1975</v>
      </c>
      <c r="B5686" s="1">
        <v>45761</v>
      </c>
      <c r="C5686" s="2">
        <v>0.83333333333333337</v>
      </c>
      <c r="D5686">
        <v>3</v>
      </c>
      <c r="E5686">
        <v>11.6</v>
      </c>
      <c r="F5686">
        <v>73</v>
      </c>
    </row>
    <row r="5687" spans="1:6" x14ac:dyDescent="0.35">
      <c r="A5687">
        <v>1975</v>
      </c>
      <c r="B5687" s="1">
        <v>45761</v>
      </c>
      <c r="C5687" s="2">
        <v>0.875</v>
      </c>
      <c r="D5687">
        <v>3</v>
      </c>
      <c r="E5687">
        <v>10.7</v>
      </c>
      <c r="F5687">
        <v>77</v>
      </c>
    </row>
    <row r="5688" spans="1:6" x14ac:dyDescent="0.35">
      <c r="A5688">
        <v>1975</v>
      </c>
      <c r="B5688" s="1">
        <v>45761</v>
      </c>
      <c r="C5688" s="2">
        <v>0.91666666666666663</v>
      </c>
      <c r="D5688">
        <v>3</v>
      </c>
      <c r="E5688">
        <v>10</v>
      </c>
      <c r="F5688">
        <v>79</v>
      </c>
    </row>
    <row r="5689" spans="1:6" x14ac:dyDescent="0.35">
      <c r="A5689">
        <v>1975</v>
      </c>
      <c r="B5689" s="1">
        <v>45761</v>
      </c>
      <c r="C5689" s="2">
        <v>0.95833333333333337</v>
      </c>
      <c r="D5689">
        <v>3</v>
      </c>
      <c r="E5689">
        <v>9.8000000000000007</v>
      </c>
      <c r="F5689">
        <v>79</v>
      </c>
    </row>
    <row r="5690" spans="1:6" x14ac:dyDescent="0.35">
      <c r="A5690">
        <v>1975</v>
      </c>
      <c r="B5690" s="1">
        <v>45762</v>
      </c>
      <c r="C5690" s="2">
        <v>0</v>
      </c>
      <c r="D5690">
        <v>3</v>
      </c>
      <c r="E5690">
        <v>10.1</v>
      </c>
      <c r="F5690">
        <v>79</v>
      </c>
    </row>
    <row r="5691" spans="1:6" x14ac:dyDescent="0.35">
      <c r="A5691">
        <v>1975</v>
      </c>
      <c r="B5691" s="1">
        <v>45762</v>
      </c>
      <c r="C5691" s="2">
        <v>4.1666666666666657E-2</v>
      </c>
      <c r="D5691">
        <v>3</v>
      </c>
      <c r="E5691">
        <v>10.4</v>
      </c>
      <c r="F5691">
        <v>79</v>
      </c>
    </row>
    <row r="5692" spans="1:6" x14ac:dyDescent="0.35">
      <c r="A5692">
        <v>1975</v>
      </c>
      <c r="B5692" s="1">
        <v>45762</v>
      </c>
      <c r="C5692" s="2">
        <v>8.3333333333333329E-2</v>
      </c>
      <c r="D5692">
        <v>3</v>
      </c>
      <c r="E5692">
        <v>10.1</v>
      </c>
      <c r="F5692">
        <v>79</v>
      </c>
    </row>
    <row r="5693" spans="1:6" x14ac:dyDescent="0.35">
      <c r="A5693">
        <v>1975</v>
      </c>
      <c r="B5693" s="1">
        <v>45762</v>
      </c>
      <c r="C5693" s="2">
        <v>0.125</v>
      </c>
      <c r="D5693">
        <v>3</v>
      </c>
      <c r="E5693">
        <v>11.4</v>
      </c>
      <c r="F5693">
        <v>73</v>
      </c>
    </row>
    <row r="5694" spans="1:6" x14ac:dyDescent="0.35">
      <c r="A5694">
        <v>1975</v>
      </c>
      <c r="B5694" s="1">
        <v>45762</v>
      </c>
      <c r="C5694" s="2">
        <v>0.16666666666666671</v>
      </c>
      <c r="D5694">
        <v>3</v>
      </c>
      <c r="E5694">
        <v>12.3</v>
      </c>
      <c r="F5694">
        <v>67</v>
      </c>
    </row>
    <row r="5695" spans="1:6" x14ac:dyDescent="0.35">
      <c r="A5695">
        <v>1975</v>
      </c>
      <c r="B5695" s="1">
        <v>45762</v>
      </c>
      <c r="C5695" s="2">
        <v>0.20833333333333329</v>
      </c>
      <c r="D5695">
        <v>3</v>
      </c>
      <c r="E5695">
        <v>12.4</v>
      </c>
      <c r="F5695">
        <v>68</v>
      </c>
    </row>
    <row r="5696" spans="1:6" x14ac:dyDescent="0.35">
      <c r="A5696">
        <v>1975</v>
      </c>
      <c r="B5696" s="1">
        <v>45762</v>
      </c>
      <c r="C5696" s="2">
        <v>0.25</v>
      </c>
      <c r="D5696">
        <v>3</v>
      </c>
      <c r="E5696">
        <v>13.2</v>
      </c>
      <c r="F5696">
        <v>70</v>
      </c>
    </row>
    <row r="5697" spans="1:6" x14ac:dyDescent="0.35">
      <c r="A5697">
        <v>1975</v>
      </c>
      <c r="B5697" s="1">
        <v>45762</v>
      </c>
      <c r="C5697" s="2">
        <v>0.29166666666666669</v>
      </c>
      <c r="D5697">
        <v>3</v>
      </c>
      <c r="E5697">
        <v>14.7</v>
      </c>
      <c r="F5697">
        <v>69</v>
      </c>
    </row>
    <row r="5698" spans="1:6" x14ac:dyDescent="0.35">
      <c r="A5698">
        <v>1975</v>
      </c>
      <c r="B5698" s="1">
        <v>45762</v>
      </c>
      <c r="C5698" s="2">
        <v>0.33333333333333331</v>
      </c>
      <c r="D5698">
        <v>3</v>
      </c>
      <c r="E5698">
        <v>16.600000000000001</v>
      </c>
      <c r="F5698">
        <v>63</v>
      </c>
    </row>
    <row r="5699" spans="1:6" x14ac:dyDescent="0.35">
      <c r="A5699">
        <v>1975</v>
      </c>
      <c r="B5699" s="1">
        <v>45762</v>
      </c>
      <c r="C5699" s="2">
        <v>0.375</v>
      </c>
      <c r="D5699">
        <v>3</v>
      </c>
      <c r="E5699">
        <v>19.2</v>
      </c>
      <c r="F5699">
        <v>59</v>
      </c>
    </row>
    <row r="5700" spans="1:6" x14ac:dyDescent="0.35">
      <c r="A5700">
        <v>1975</v>
      </c>
      <c r="B5700" s="1">
        <v>45762</v>
      </c>
      <c r="C5700" s="2">
        <v>0.41666666666666669</v>
      </c>
      <c r="D5700">
        <v>3</v>
      </c>
      <c r="E5700">
        <v>20.9</v>
      </c>
      <c r="F5700">
        <v>53</v>
      </c>
    </row>
    <row r="5701" spans="1:6" x14ac:dyDescent="0.35">
      <c r="A5701">
        <v>1975</v>
      </c>
      <c r="B5701" s="1">
        <v>45762</v>
      </c>
      <c r="C5701" s="2">
        <v>0.45833333333333331</v>
      </c>
      <c r="D5701">
        <v>3</v>
      </c>
      <c r="E5701">
        <v>22.1</v>
      </c>
      <c r="F5701">
        <v>47</v>
      </c>
    </row>
    <row r="5702" spans="1:6" x14ac:dyDescent="0.35">
      <c r="A5702">
        <v>1975</v>
      </c>
      <c r="B5702" s="1">
        <v>45762</v>
      </c>
      <c r="C5702" s="2">
        <v>0.5</v>
      </c>
      <c r="D5702">
        <v>3</v>
      </c>
      <c r="E5702">
        <v>22.8</v>
      </c>
      <c r="F5702">
        <v>43</v>
      </c>
    </row>
    <row r="5703" spans="1:6" x14ac:dyDescent="0.35">
      <c r="A5703">
        <v>1975</v>
      </c>
      <c r="B5703" s="1">
        <v>45762</v>
      </c>
      <c r="C5703" s="2">
        <v>0.54166666666666663</v>
      </c>
      <c r="D5703">
        <v>3</v>
      </c>
      <c r="E5703">
        <v>23.8</v>
      </c>
      <c r="F5703">
        <v>43</v>
      </c>
    </row>
    <row r="5704" spans="1:6" x14ac:dyDescent="0.35">
      <c r="A5704">
        <v>1975</v>
      </c>
      <c r="B5704" s="1">
        <v>45762</v>
      </c>
      <c r="C5704" s="2">
        <v>0.58333333333333337</v>
      </c>
      <c r="D5704">
        <v>3</v>
      </c>
      <c r="E5704">
        <v>22.9</v>
      </c>
      <c r="F5704">
        <v>42</v>
      </c>
    </row>
    <row r="5705" spans="1:6" x14ac:dyDescent="0.35">
      <c r="A5705">
        <v>1975</v>
      </c>
      <c r="B5705" s="1">
        <v>45762</v>
      </c>
      <c r="C5705" s="2">
        <v>0.625</v>
      </c>
      <c r="D5705">
        <v>3</v>
      </c>
      <c r="E5705">
        <v>22.4</v>
      </c>
      <c r="F5705">
        <v>45</v>
      </c>
    </row>
    <row r="5706" spans="1:6" x14ac:dyDescent="0.35">
      <c r="A5706">
        <v>1975</v>
      </c>
      <c r="B5706" s="1">
        <v>45762</v>
      </c>
      <c r="C5706" s="2">
        <v>0.66666666666666663</v>
      </c>
      <c r="D5706">
        <v>3</v>
      </c>
      <c r="E5706">
        <v>22.2</v>
      </c>
      <c r="F5706">
        <v>47</v>
      </c>
    </row>
    <row r="5707" spans="1:6" x14ac:dyDescent="0.35">
      <c r="A5707">
        <v>1975</v>
      </c>
      <c r="B5707" s="1">
        <v>45762</v>
      </c>
      <c r="C5707" s="2">
        <v>0.70833333333333337</v>
      </c>
      <c r="D5707">
        <v>3</v>
      </c>
      <c r="E5707">
        <v>21.3</v>
      </c>
      <c r="F5707">
        <v>51</v>
      </c>
    </row>
    <row r="5708" spans="1:6" x14ac:dyDescent="0.35">
      <c r="A5708">
        <v>1975</v>
      </c>
      <c r="B5708" s="1">
        <v>45762</v>
      </c>
      <c r="C5708" s="2">
        <v>0.75</v>
      </c>
      <c r="D5708">
        <v>3</v>
      </c>
      <c r="E5708">
        <v>20.100000000000001</v>
      </c>
      <c r="F5708">
        <v>55</v>
      </c>
    </row>
    <row r="5709" spans="1:6" x14ac:dyDescent="0.35">
      <c r="A5709">
        <v>1975</v>
      </c>
      <c r="B5709" s="1">
        <v>45762</v>
      </c>
      <c r="C5709" s="2">
        <v>0.79166666666666663</v>
      </c>
      <c r="D5709">
        <v>3</v>
      </c>
      <c r="E5709">
        <v>18.5</v>
      </c>
      <c r="F5709">
        <v>61</v>
      </c>
    </row>
    <row r="5710" spans="1:6" x14ac:dyDescent="0.35">
      <c r="A5710">
        <v>1975</v>
      </c>
      <c r="B5710" s="1">
        <v>45762</v>
      </c>
      <c r="C5710" s="2">
        <v>0.83333333333333337</v>
      </c>
      <c r="D5710">
        <v>3</v>
      </c>
      <c r="E5710">
        <v>18.3</v>
      </c>
      <c r="F5710">
        <v>62</v>
      </c>
    </row>
    <row r="5711" spans="1:6" x14ac:dyDescent="0.35">
      <c r="A5711">
        <v>1975</v>
      </c>
      <c r="B5711" s="1">
        <v>45762</v>
      </c>
      <c r="C5711" s="2">
        <v>0.875</v>
      </c>
      <c r="D5711">
        <v>3</v>
      </c>
      <c r="E5711">
        <v>17.3</v>
      </c>
      <c r="F5711">
        <v>66</v>
      </c>
    </row>
    <row r="5712" spans="1:6" x14ac:dyDescent="0.35">
      <c r="A5712">
        <v>1975</v>
      </c>
      <c r="B5712" s="1">
        <v>45762</v>
      </c>
      <c r="C5712" s="2">
        <v>0.91666666666666663</v>
      </c>
      <c r="D5712">
        <v>3</v>
      </c>
      <c r="E5712">
        <v>17.3</v>
      </c>
      <c r="F5712">
        <v>68</v>
      </c>
    </row>
    <row r="5713" spans="1:6" x14ac:dyDescent="0.35">
      <c r="A5713">
        <v>1975</v>
      </c>
      <c r="B5713" s="1">
        <v>45762</v>
      </c>
      <c r="C5713" s="2">
        <v>0.95833333333333337</v>
      </c>
      <c r="D5713">
        <v>3</v>
      </c>
      <c r="E5713">
        <v>16.7</v>
      </c>
      <c r="F5713">
        <v>72</v>
      </c>
    </row>
    <row r="5714" spans="1:6" x14ac:dyDescent="0.35">
      <c r="A5714">
        <v>1975</v>
      </c>
      <c r="B5714" s="1">
        <v>45763</v>
      </c>
      <c r="C5714" s="2">
        <v>0</v>
      </c>
      <c r="D5714">
        <v>3</v>
      </c>
      <c r="E5714">
        <v>16</v>
      </c>
      <c r="F5714">
        <v>77</v>
      </c>
    </row>
    <row r="5715" spans="1:6" x14ac:dyDescent="0.35">
      <c r="A5715">
        <v>1975</v>
      </c>
      <c r="B5715" s="1">
        <v>45763</v>
      </c>
      <c r="C5715" s="2">
        <v>4.1666666666666657E-2</v>
      </c>
      <c r="D5715">
        <v>3</v>
      </c>
      <c r="E5715">
        <v>15.2</v>
      </c>
      <c r="F5715">
        <v>82</v>
      </c>
    </row>
    <row r="5716" spans="1:6" x14ac:dyDescent="0.35">
      <c r="A5716">
        <v>1975</v>
      </c>
      <c r="B5716" s="1">
        <v>45763</v>
      </c>
      <c r="C5716" s="2">
        <v>8.3333333333333329E-2</v>
      </c>
      <c r="D5716">
        <v>3</v>
      </c>
      <c r="E5716">
        <v>14.1</v>
      </c>
      <c r="F5716">
        <v>90</v>
      </c>
    </row>
    <row r="5717" spans="1:6" x14ac:dyDescent="0.35">
      <c r="A5717">
        <v>1975</v>
      </c>
      <c r="B5717" s="1">
        <v>45763</v>
      </c>
      <c r="C5717" s="2">
        <v>0.125</v>
      </c>
      <c r="D5717">
        <v>3</v>
      </c>
      <c r="E5717">
        <v>14.4</v>
      </c>
      <c r="F5717">
        <v>90</v>
      </c>
    </row>
    <row r="5718" spans="1:6" x14ac:dyDescent="0.35">
      <c r="A5718">
        <v>1975</v>
      </c>
      <c r="B5718" s="1">
        <v>45763</v>
      </c>
      <c r="C5718" s="2">
        <v>0.16666666666666671</v>
      </c>
      <c r="D5718">
        <v>3</v>
      </c>
      <c r="E5718">
        <v>13.2</v>
      </c>
      <c r="F5718">
        <v>95</v>
      </c>
    </row>
    <row r="5719" spans="1:6" x14ac:dyDescent="0.35">
      <c r="A5719">
        <v>1975</v>
      </c>
      <c r="B5719" s="1">
        <v>45763</v>
      </c>
      <c r="C5719" s="2">
        <v>0.20833333333333329</v>
      </c>
      <c r="D5719">
        <v>3</v>
      </c>
      <c r="E5719">
        <v>13</v>
      </c>
      <c r="F5719">
        <v>97</v>
      </c>
    </row>
    <row r="5720" spans="1:6" x14ac:dyDescent="0.35">
      <c r="A5720">
        <v>1975</v>
      </c>
      <c r="B5720" s="1">
        <v>45763</v>
      </c>
      <c r="C5720" s="2">
        <v>0.25</v>
      </c>
      <c r="D5720">
        <v>3</v>
      </c>
      <c r="E5720">
        <v>14.1</v>
      </c>
      <c r="F5720">
        <v>91</v>
      </c>
    </row>
    <row r="5721" spans="1:6" x14ac:dyDescent="0.35">
      <c r="A5721">
        <v>1975</v>
      </c>
      <c r="B5721" s="1">
        <v>45763</v>
      </c>
      <c r="C5721" s="2">
        <v>0.29166666666666669</v>
      </c>
      <c r="D5721">
        <v>3</v>
      </c>
      <c r="E5721">
        <v>15.8</v>
      </c>
      <c r="F5721">
        <v>82</v>
      </c>
    </row>
    <row r="5722" spans="1:6" x14ac:dyDescent="0.35">
      <c r="A5722">
        <v>1975</v>
      </c>
      <c r="B5722" s="1">
        <v>45763</v>
      </c>
      <c r="C5722" s="2">
        <v>0.33333333333333331</v>
      </c>
      <c r="D5722">
        <v>3</v>
      </c>
      <c r="E5722">
        <v>16.7</v>
      </c>
      <c r="F5722">
        <v>78</v>
      </c>
    </row>
    <row r="5723" spans="1:6" x14ac:dyDescent="0.35">
      <c r="A5723">
        <v>1975</v>
      </c>
      <c r="B5723" s="1">
        <v>45763</v>
      </c>
      <c r="C5723" s="2">
        <v>0.375</v>
      </c>
      <c r="D5723">
        <v>3</v>
      </c>
      <c r="E5723">
        <v>18.8</v>
      </c>
      <c r="F5723">
        <v>66</v>
      </c>
    </row>
    <row r="5724" spans="1:6" x14ac:dyDescent="0.35">
      <c r="A5724">
        <v>1975</v>
      </c>
      <c r="B5724" s="1">
        <v>45763</v>
      </c>
      <c r="C5724" s="2">
        <v>0.41666666666666669</v>
      </c>
      <c r="D5724">
        <v>3</v>
      </c>
      <c r="E5724">
        <v>18.5</v>
      </c>
      <c r="F5724">
        <v>66</v>
      </c>
    </row>
    <row r="5725" spans="1:6" x14ac:dyDescent="0.35">
      <c r="A5725">
        <v>1975</v>
      </c>
      <c r="B5725" s="1">
        <v>45763</v>
      </c>
      <c r="C5725" s="2">
        <v>0.45833333333333331</v>
      </c>
      <c r="D5725">
        <v>3</v>
      </c>
      <c r="E5725">
        <v>20.3</v>
      </c>
      <c r="F5725">
        <v>-999</v>
      </c>
    </row>
    <row r="5726" spans="1:6" x14ac:dyDescent="0.35">
      <c r="A5726">
        <v>1975</v>
      </c>
      <c r="B5726" s="1">
        <v>45763</v>
      </c>
      <c r="C5726" s="2">
        <v>0.5</v>
      </c>
      <c r="D5726">
        <v>3</v>
      </c>
      <c r="E5726">
        <v>20.9</v>
      </c>
      <c r="F5726">
        <v>-999</v>
      </c>
    </row>
    <row r="5727" spans="1:6" x14ac:dyDescent="0.35">
      <c r="A5727">
        <v>1975</v>
      </c>
      <c r="B5727" s="1">
        <v>45763</v>
      </c>
      <c r="C5727" s="2">
        <v>0.54166666666666663</v>
      </c>
      <c r="D5727">
        <v>3</v>
      </c>
      <c r="E5727">
        <v>22.2</v>
      </c>
      <c r="F5727">
        <v>-999</v>
      </c>
    </row>
    <row r="5728" spans="1:6" x14ac:dyDescent="0.35">
      <c r="A5728">
        <v>1975</v>
      </c>
      <c r="B5728" s="1">
        <v>45763</v>
      </c>
      <c r="C5728" s="2">
        <v>0.58333333333333337</v>
      </c>
      <c r="D5728">
        <v>3</v>
      </c>
      <c r="E5728">
        <v>22.5</v>
      </c>
      <c r="F5728">
        <v>-999</v>
      </c>
    </row>
    <row r="5729" spans="1:6" x14ac:dyDescent="0.35">
      <c r="A5729">
        <v>1975</v>
      </c>
      <c r="B5729" s="1">
        <v>45763</v>
      </c>
      <c r="C5729" s="2">
        <v>0.625</v>
      </c>
      <c r="D5729">
        <v>3</v>
      </c>
      <c r="E5729">
        <v>22.9</v>
      </c>
      <c r="F5729">
        <v>-999</v>
      </c>
    </row>
    <row r="5730" spans="1:6" x14ac:dyDescent="0.35">
      <c r="A5730">
        <v>1975</v>
      </c>
      <c r="B5730" s="1">
        <v>45763</v>
      </c>
      <c r="C5730" s="2">
        <v>0.66666666666666663</v>
      </c>
      <c r="D5730">
        <v>3</v>
      </c>
      <c r="E5730">
        <v>22.1</v>
      </c>
      <c r="F5730">
        <v>-999</v>
      </c>
    </row>
    <row r="5731" spans="1:6" x14ac:dyDescent="0.35">
      <c r="A5731">
        <v>1975</v>
      </c>
      <c r="B5731" s="1">
        <v>45763</v>
      </c>
      <c r="C5731" s="2">
        <v>0.70833333333333337</v>
      </c>
      <c r="D5731">
        <v>3</v>
      </c>
      <c r="E5731">
        <v>21.8</v>
      </c>
      <c r="F5731">
        <v>50</v>
      </c>
    </row>
    <row r="5732" spans="1:6" x14ac:dyDescent="0.35">
      <c r="A5732">
        <v>1975</v>
      </c>
      <c r="B5732" s="1">
        <v>45763</v>
      </c>
      <c r="C5732" s="2">
        <v>0.75</v>
      </c>
      <c r="D5732">
        <v>3</v>
      </c>
      <c r="E5732">
        <v>17.5</v>
      </c>
      <c r="F5732">
        <v>76</v>
      </c>
    </row>
    <row r="5733" spans="1:6" x14ac:dyDescent="0.35">
      <c r="A5733">
        <v>1975</v>
      </c>
      <c r="B5733" s="1">
        <v>45763</v>
      </c>
      <c r="C5733" s="2">
        <v>0.79166666666666663</v>
      </c>
      <c r="D5733">
        <v>3</v>
      </c>
      <c r="E5733">
        <v>15.8</v>
      </c>
      <c r="F5733">
        <v>80</v>
      </c>
    </row>
    <row r="5734" spans="1:6" x14ac:dyDescent="0.35">
      <c r="A5734">
        <v>1975</v>
      </c>
      <c r="B5734" s="1">
        <v>45763</v>
      </c>
      <c r="C5734" s="2">
        <v>0.83333333333333337</v>
      </c>
      <c r="D5734">
        <v>3</v>
      </c>
      <c r="E5734">
        <v>16.3</v>
      </c>
      <c r="F5734">
        <v>77</v>
      </c>
    </row>
    <row r="5735" spans="1:6" x14ac:dyDescent="0.35">
      <c r="A5735">
        <v>1975</v>
      </c>
      <c r="B5735" s="1">
        <v>45763</v>
      </c>
      <c r="C5735" s="2">
        <v>0.875</v>
      </c>
      <c r="D5735">
        <v>3</v>
      </c>
      <c r="E5735">
        <v>13</v>
      </c>
      <c r="F5735">
        <v>83</v>
      </c>
    </row>
    <row r="5736" spans="1:6" x14ac:dyDescent="0.35">
      <c r="A5736">
        <v>1975</v>
      </c>
      <c r="B5736" s="1">
        <v>45763</v>
      </c>
      <c r="C5736" s="2">
        <v>0.91666666666666663</v>
      </c>
      <c r="D5736">
        <v>3</v>
      </c>
      <c r="E5736">
        <v>11.6</v>
      </c>
      <c r="F5736">
        <v>75</v>
      </c>
    </row>
    <row r="5737" spans="1:6" x14ac:dyDescent="0.35">
      <c r="A5737">
        <v>1975</v>
      </c>
      <c r="B5737" s="1">
        <v>45763</v>
      </c>
      <c r="C5737" s="2">
        <v>0.95833333333333337</v>
      </c>
      <c r="D5737">
        <v>3</v>
      </c>
      <c r="E5737">
        <v>9.6999999999999993</v>
      </c>
      <c r="F5737">
        <v>92</v>
      </c>
    </row>
    <row r="5738" spans="1:6" x14ac:dyDescent="0.35">
      <c r="A5738">
        <v>1975</v>
      </c>
      <c r="B5738" s="1">
        <v>45764</v>
      </c>
      <c r="C5738" s="2">
        <v>0</v>
      </c>
      <c r="D5738">
        <v>3</v>
      </c>
      <c r="E5738">
        <v>9.3000000000000007</v>
      </c>
      <c r="F5738">
        <v>93</v>
      </c>
    </row>
    <row r="5739" spans="1:6" x14ac:dyDescent="0.35">
      <c r="A5739">
        <v>1975</v>
      </c>
      <c r="B5739" s="1">
        <v>45764</v>
      </c>
      <c r="C5739" s="2">
        <v>4.1666666666666657E-2</v>
      </c>
      <c r="D5739">
        <v>3</v>
      </c>
      <c r="E5739">
        <v>9.6</v>
      </c>
      <c r="F5739">
        <v>94</v>
      </c>
    </row>
    <row r="5740" spans="1:6" x14ac:dyDescent="0.35">
      <c r="A5740">
        <v>1975</v>
      </c>
      <c r="B5740" s="1">
        <v>45764</v>
      </c>
      <c r="C5740" s="2">
        <v>8.3333333333333329E-2</v>
      </c>
      <c r="D5740">
        <v>3</v>
      </c>
      <c r="E5740">
        <v>9.4</v>
      </c>
      <c r="F5740">
        <v>97</v>
      </c>
    </row>
    <row r="5741" spans="1:6" x14ac:dyDescent="0.35">
      <c r="A5741">
        <v>1975</v>
      </c>
      <c r="B5741" s="1">
        <v>45764</v>
      </c>
      <c r="C5741" s="2">
        <v>0.125</v>
      </c>
      <c r="D5741">
        <v>3</v>
      </c>
      <c r="E5741">
        <v>9</v>
      </c>
      <c r="F5741">
        <v>97</v>
      </c>
    </row>
    <row r="5742" spans="1:6" x14ac:dyDescent="0.35">
      <c r="A5742">
        <v>1975</v>
      </c>
      <c r="B5742" s="1">
        <v>45764</v>
      </c>
      <c r="C5742" s="2">
        <v>0.16666666666666671</v>
      </c>
      <c r="D5742">
        <v>3</v>
      </c>
      <c r="E5742">
        <v>8.6999999999999993</v>
      </c>
      <c r="F5742">
        <v>97</v>
      </c>
    </row>
    <row r="5743" spans="1:6" x14ac:dyDescent="0.35">
      <c r="A5743">
        <v>1975</v>
      </c>
      <c r="B5743" s="1">
        <v>45764</v>
      </c>
      <c r="C5743" s="2">
        <v>0.20833333333333329</v>
      </c>
      <c r="D5743">
        <v>3</v>
      </c>
      <c r="E5743">
        <v>8.6999999999999993</v>
      </c>
      <c r="F5743">
        <v>98</v>
      </c>
    </row>
    <row r="5744" spans="1:6" x14ac:dyDescent="0.35">
      <c r="A5744">
        <v>1975</v>
      </c>
      <c r="B5744" s="1">
        <v>45764</v>
      </c>
      <c r="C5744" s="2">
        <v>0.25</v>
      </c>
      <c r="D5744">
        <v>3</v>
      </c>
      <c r="E5744">
        <v>8.9</v>
      </c>
      <c r="F5744">
        <v>97</v>
      </c>
    </row>
    <row r="5745" spans="1:6" x14ac:dyDescent="0.35">
      <c r="A5745">
        <v>1975</v>
      </c>
      <c r="B5745" s="1">
        <v>45764</v>
      </c>
      <c r="C5745" s="2">
        <v>0.29166666666666669</v>
      </c>
      <c r="D5745">
        <v>3</v>
      </c>
      <c r="E5745">
        <v>9.1999999999999993</v>
      </c>
      <c r="F5745">
        <v>97</v>
      </c>
    </row>
    <row r="5746" spans="1:6" x14ac:dyDescent="0.35">
      <c r="A5746">
        <v>1975</v>
      </c>
      <c r="B5746" s="1">
        <v>45764</v>
      </c>
      <c r="C5746" s="2">
        <v>0.33333333333333331</v>
      </c>
      <c r="D5746">
        <v>3</v>
      </c>
      <c r="E5746">
        <v>9.3000000000000007</v>
      </c>
      <c r="F5746">
        <v>96</v>
      </c>
    </row>
    <row r="5747" spans="1:6" x14ac:dyDescent="0.35">
      <c r="A5747">
        <v>1975</v>
      </c>
      <c r="B5747" s="1">
        <v>45764</v>
      </c>
      <c r="C5747" s="2">
        <v>0.375</v>
      </c>
      <c r="D5747">
        <v>3</v>
      </c>
      <c r="E5747">
        <v>10.5</v>
      </c>
      <c r="F5747">
        <v>94</v>
      </c>
    </row>
    <row r="5748" spans="1:6" x14ac:dyDescent="0.35">
      <c r="A5748">
        <v>1975</v>
      </c>
      <c r="B5748" s="1">
        <v>45764</v>
      </c>
      <c r="C5748" s="2">
        <v>0.41666666666666669</v>
      </c>
      <c r="D5748">
        <v>3</v>
      </c>
      <c r="E5748">
        <v>10.5</v>
      </c>
      <c r="F5748">
        <v>94</v>
      </c>
    </row>
    <row r="5749" spans="1:6" x14ac:dyDescent="0.35">
      <c r="A5749">
        <v>1975</v>
      </c>
      <c r="B5749" s="1">
        <v>45764</v>
      </c>
      <c r="C5749" s="2">
        <v>0.45833333333333331</v>
      </c>
      <c r="D5749">
        <v>3</v>
      </c>
      <c r="E5749">
        <v>10.6</v>
      </c>
      <c r="F5749">
        <v>93</v>
      </c>
    </row>
    <row r="5750" spans="1:6" x14ac:dyDescent="0.35">
      <c r="A5750">
        <v>1975</v>
      </c>
      <c r="B5750" s="1">
        <v>45764</v>
      </c>
      <c r="C5750" s="2">
        <v>0.5</v>
      </c>
      <c r="D5750">
        <v>3</v>
      </c>
      <c r="E5750">
        <v>10.6</v>
      </c>
      <c r="F5750">
        <v>94</v>
      </c>
    </row>
    <row r="5751" spans="1:6" x14ac:dyDescent="0.35">
      <c r="A5751">
        <v>1975</v>
      </c>
      <c r="B5751" s="1">
        <v>45764</v>
      </c>
      <c r="C5751" s="2">
        <v>0.54166666666666663</v>
      </c>
      <c r="D5751">
        <v>3</v>
      </c>
      <c r="E5751">
        <v>10.8</v>
      </c>
      <c r="F5751">
        <v>93</v>
      </c>
    </row>
    <row r="5752" spans="1:6" x14ac:dyDescent="0.35">
      <c r="A5752">
        <v>1975</v>
      </c>
      <c r="B5752" s="1">
        <v>45764</v>
      </c>
      <c r="C5752" s="2">
        <v>0.58333333333333337</v>
      </c>
      <c r="D5752">
        <v>3</v>
      </c>
      <c r="E5752">
        <v>10.6</v>
      </c>
      <c r="F5752">
        <v>94</v>
      </c>
    </row>
    <row r="5753" spans="1:6" x14ac:dyDescent="0.35">
      <c r="A5753">
        <v>1975</v>
      </c>
      <c r="B5753" s="1">
        <v>45764</v>
      </c>
      <c r="C5753" s="2">
        <v>0.625</v>
      </c>
      <c r="D5753">
        <v>3</v>
      </c>
      <c r="E5753">
        <v>10.6</v>
      </c>
      <c r="F5753">
        <v>95</v>
      </c>
    </row>
    <row r="5754" spans="1:6" x14ac:dyDescent="0.35">
      <c r="A5754">
        <v>1975</v>
      </c>
      <c r="B5754" s="1">
        <v>45764</v>
      </c>
      <c r="C5754" s="2">
        <v>0.66666666666666663</v>
      </c>
      <c r="D5754">
        <v>3</v>
      </c>
      <c r="E5754">
        <v>10.4</v>
      </c>
      <c r="F5754">
        <v>97</v>
      </c>
    </row>
    <row r="5755" spans="1:6" x14ac:dyDescent="0.35">
      <c r="A5755">
        <v>1975</v>
      </c>
      <c r="B5755" s="1">
        <v>45764</v>
      </c>
      <c r="C5755" s="2">
        <v>0.70833333333333337</v>
      </c>
      <c r="D5755">
        <v>3</v>
      </c>
      <c r="E5755">
        <v>10.5</v>
      </c>
      <c r="F5755">
        <v>96</v>
      </c>
    </row>
    <row r="5756" spans="1:6" x14ac:dyDescent="0.35">
      <c r="A5756">
        <v>1975</v>
      </c>
      <c r="B5756" s="1">
        <v>45764</v>
      </c>
      <c r="C5756" s="2">
        <v>0.75</v>
      </c>
      <c r="D5756">
        <v>3</v>
      </c>
      <c r="E5756">
        <v>9.9</v>
      </c>
      <c r="F5756">
        <v>98</v>
      </c>
    </row>
    <row r="5757" spans="1:6" x14ac:dyDescent="0.35">
      <c r="A5757">
        <v>1975</v>
      </c>
      <c r="B5757" s="1">
        <v>45764</v>
      </c>
      <c r="C5757" s="2">
        <v>0.79166666666666663</v>
      </c>
      <c r="D5757">
        <v>3</v>
      </c>
      <c r="E5757">
        <v>9.6</v>
      </c>
      <c r="F5757">
        <v>99</v>
      </c>
    </row>
    <row r="5758" spans="1:6" x14ac:dyDescent="0.35">
      <c r="A5758">
        <v>1975</v>
      </c>
      <c r="B5758" s="1">
        <v>45764</v>
      </c>
      <c r="C5758" s="2">
        <v>0.83333333333333337</v>
      </c>
      <c r="D5758">
        <v>3</v>
      </c>
      <c r="E5758">
        <v>9.1999999999999993</v>
      </c>
      <c r="F5758">
        <v>98</v>
      </c>
    </row>
    <row r="5759" spans="1:6" x14ac:dyDescent="0.35">
      <c r="A5759">
        <v>1975</v>
      </c>
      <c r="B5759" s="1">
        <v>45764</v>
      </c>
      <c r="C5759" s="2">
        <v>0.875</v>
      </c>
      <c r="D5759">
        <v>3</v>
      </c>
      <c r="E5759">
        <v>8.8000000000000007</v>
      </c>
      <c r="F5759">
        <v>96</v>
      </c>
    </row>
    <row r="5760" spans="1:6" x14ac:dyDescent="0.35">
      <c r="A5760">
        <v>1975</v>
      </c>
      <c r="B5760" s="1">
        <v>45764</v>
      </c>
      <c r="C5760" s="2">
        <v>0.91666666666666663</v>
      </c>
      <c r="D5760">
        <v>3</v>
      </c>
      <c r="E5760">
        <v>8.6999999999999993</v>
      </c>
      <c r="F5760">
        <v>94</v>
      </c>
    </row>
    <row r="5761" spans="1:6" x14ac:dyDescent="0.35">
      <c r="A5761">
        <v>1975</v>
      </c>
      <c r="B5761" s="1">
        <v>45764</v>
      </c>
      <c r="C5761" s="2">
        <v>0.95833333333333337</v>
      </c>
      <c r="D5761">
        <v>3</v>
      </c>
      <c r="E5761">
        <v>8.6</v>
      </c>
      <c r="F5761">
        <v>96</v>
      </c>
    </row>
    <row r="5762" spans="1:6" x14ac:dyDescent="0.35">
      <c r="A5762">
        <v>1975</v>
      </c>
      <c r="B5762" s="1">
        <v>45765</v>
      </c>
      <c r="C5762" s="2">
        <v>0</v>
      </c>
      <c r="D5762">
        <v>3</v>
      </c>
      <c r="E5762">
        <v>8.3000000000000007</v>
      </c>
      <c r="F5762">
        <v>97</v>
      </c>
    </row>
    <row r="5763" spans="1:6" x14ac:dyDescent="0.35">
      <c r="A5763">
        <v>1975</v>
      </c>
      <c r="B5763" s="1">
        <v>45765</v>
      </c>
      <c r="C5763" s="2">
        <v>4.1666666666666657E-2</v>
      </c>
      <c r="D5763">
        <v>3</v>
      </c>
      <c r="E5763">
        <v>8.5</v>
      </c>
      <c r="F5763">
        <v>97</v>
      </c>
    </row>
    <row r="5764" spans="1:6" x14ac:dyDescent="0.35">
      <c r="A5764">
        <v>1975</v>
      </c>
      <c r="B5764" s="1">
        <v>45765</v>
      </c>
      <c r="C5764" s="2">
        <v>8.3333333333333329E-2</v>
      </c>
      <c r="D5764">
        <v>3</v>
      </c>
      <c r="E5764">
        <v>8.5</v>
      </c>
      <c r="F5764">
        <v>95</v>
      </c>
    </row>
    <row r="5765" spans="1:6" x14ac:dyDescent="0.35">
      <c r="A5765">
        <v>1975</v>
      </c>
      <c r="B5765" s="1">
        <v>45765</v>
      </c>
      <c r="C5765" s="2">
        <v>0.125</v>
      </c>
      <c r="D5765">
        <v>3</v>
      </c>
      <c r="E5765">
        <v>8.4</v>
      </c>
      <c r="F5765">
        <v>96</v>
      </c>
    </row>
    <row r="5766" spans="1:6" x14ac:dyDescent="0.35">
      <c r="A5766">
        <v>1975</v>
      </c>
      <c r="B5766" s="1">
        <v>45765</v>
      </c>
      <c r="C5766" s="2">
        <v>0.16666666666666671</v>
      </c>
      <c r="D5766">
        <v>3</v>
      </c>
      <c r="E5766">
        <v>8.3000000000000007</v>
      </c>
      <c r="F5766">
        <v>98</v>
      </c>
    </row>
    <row r="5767" spans="1:6" x14ac:dyDescent="0.35">
      <c r="A5767">
        <v>1975</v>
      </c>
      <c r="B5767" s="1">
        <v>45765</v>
      </c>
      <c r="C5767" s="2">
        <v>0.20833333333333329</v>
      </c>
      <c r="D5767">
        <v>3</v>
      </c>
      <c r="E5767">
        <v>8.3000000000000007</v>
      </c>
      <c r="F5767">
        <v>98</v>
      </c>
    </row>
    <row r="5768" spans="1:6" x14ac:dyDescent="0.35">
      <c r="A5768">
        <v>1975</v>
      </c>
      <c r="B5768" s="1">
        <v>45765</v>
      </c>
      <c r="C5768" s="2">
        <v>0.25</v>
      </c>
      <c r="D5768">
        <v>3</v>
      </c>
      <c r="E5768">
        <v>8</v>
      </c>
      <c r="F5768">
        <v>98</v>
      </c>
    </row>
    <row r="5769" spans="1:6" x14ac:dyDescent="0.35">
      <c r="A5769">
        <v>1975</v>
      </c>
      <c r="B5769" s="1">
        <v>45765</v>
      </c>
      <c r="C5769" s="2">
        <v>0.29166666666666669</v>
      </c>
      <c r="D5769">
        <v>3</v>
      </c>
      <c r="E5769">
        <v>8.1</v>
      </c>
      <c r="F5769">
        <v>98</v>
      </c>
    </row>
    <row r="5770" spans="1:6" x14ac:dyDescent="0.35">
      <c r="A5770">
        <v>1975</v>
      </c>
      <c r="B5770" s="1">
        <v>45765</v>
      </c>
      <c r="C5770" s="2">
        <v>0.33333333333333331</v>
      </c>
      <c r="D5770">
        <v>3</v>
      </c>
      <c r="E5770">
        <v>8</v>
      </c>
      <c r="F5770">
        <v>97</v>
      </c>
    </row>
    <row r="5771" spans="1:6" x14ac:dyDescent="0.35">
      <c r="A5771">
        <v>1975</v>
      </c>
      <c r="B5771" s="1">
        <v>45765</v>
      </c>
      <c r="C5771" s="2">
        <v>0.375</v>
      </c>
      <c r="D5771">
        <v>3</v>
      </c>
      <c r="E5771">
        <v>7.9</v>
      </c>
      <c r="F5771">
        <v>96</v>
      </c>
    </row>
    <row r="5772" spans="1:6" x14ac:dyDescent="0.35">
      <c r="A5772">
        <v>1975</v>
      </c>
      <c r="B5772" s="1">
        <v>45765</v>
      </c>
      <c r="C5772" s="2">
        <v>0.41666666666666669</v>
      </c>
      <c r="D5772">
        <v>3</v>
      </c>
      <c r="E5772">
        <v>8.3000000000000007</v>
      </c>
      <c r="F5772">
        <v>93</v>
      </c>
    </row>
    <row r="5773" spans="1:6" x14ac:dyDescent="0.35">
      <c r="A5773">
        <v>1975</v>
      </c>
      <c r="B5773" s="1">
        <v>45765</v>
      </c>
      <c r="C5773" s="2">
        <v>0.45833333333333331</v>
      </c>
      <c r="D5773">
        <v>3</v>
      </c>
      <c r="E5773">
        <v>8.6</v>
      </c>
      <c r="F5773">
        <v>88</v>
      </c>
    </row>
    <row r="5774" spans="1:6" x14ac:dyDescent="0.35">
      <c r="A5774">
        <v>1975</v>
      </c>
      <c r="B5774" s="1">
        <v>45765</v>
      </c>
      <c r="C5774" s="2">
        <v>0.5</v>
      </c>
      <c r="D5774">
        <v>3</v>
      </c>
      <c r="E5774">
        <v>8.6999999999999993</v>
      </c>
      <c r="F5774">
        <v>90</v>
      </c>
    </row>
    <row r="5775" spans="1:6" x14ac:dyDescent="0.35">
      <c r="A5775">
        <v>1975</v>
      </c>
      <c r="B5775" s="1">
        <v>45765</v>
      </c>
      <c r="C5775" s="2">
        <v>0.54166666666666663</v>
      </c>
      <c r="D5775">
        <v>3</v>
      </c>
      <c r="E5775">
        <v>9.1</v>
      </c>
      <c r="F5775">
        <v>84</v>
      </c>
    </row>
    <row r="5776" spans="1:6" x14ac:dyDescent="0.35">
      <c r="A5776">
        <v>1975</v>
      </c>
      <c r="B5776" s="1">
        <v>45765</v>
      </c>
      <c r="C5776" s="2">
        <v>0.58333333333333337</v>
      </c>
      <c r="D5776">
        <v>3</v>
      </c>
      <c r="E5776">
        <v>9.1</v>
      </c>
      <c r="F5776">
        <v>80</v>
      </c>
    </row>
    <row r="5777" spans="1:6" x14ac:dyDescent="0.35">
      <c r="A5777">
        <v>1975</v>
      </c>
      <c r="B5777" s="1">
        <v>45765</v>
      </c>
      <c r="C5777" s="2">
        <v>0.625</v>
      </c>
      <c r="D5777">
        <v>3</v>
      </c>
      <c r="E5777">
        <v>9.5</v>
      </c>
      <c r="F5777">
        <v>81</v>
      </c>
    </row>
    <row r="5778" spans="1:6" x14ac:dyDescent="0.35">
      <c r="A5778">
        <v>1975</v>
      </c>
      <c r="B5778" s="1">
        <v>45765</v>
      </c>
      <c r="C5778" s="2">
        <v>0.66666666666666663</v>
      </c>
      <c r="D5778">
        <v>3</v>
      </c>
      <c r="E5778">
        <v>9.6</v>
      </c>
      <c r="F5778">
        <v>81</v>
      </c>
    </row>
    <row r="5779" spans="1:6" x14ac:dyDescent="0.35">
      <c r="A5779">
        <v>1975</v>
      </c>
      <c r="B5779" s="1">
        <v>45765</v>
      </c>
      <c r="C5779" s="2">
        <v>0.70833333333333337</v>
      </c>
      <c r="D5779">
        <v>3</v>
      </c>
      <c r="E5779">
        <v>9.4</v>
      </c>
      <c r="F5779">
        <v>84</v>
      </c>
    </row>
    <row r="5780" spans="1:6" x14ac:dyDescent="0.35">
      <c r="A5780">
        <v>1975</v>
      </c>
      <c r="B5780" s="1">
        <v>45765</v>
      </c>
      <c r="C5780" s="2">
        <v>0.75</v>
      </c>
      <c r="D5780">
        <v>3</v>
      </c>
      <c r="E5780">
        <v>9.3000000000000007</v>
      </c>
      <c r="F5780">
        <v>87</v>
      </c>
    </row>
    <row r="5781" spans="1:6" x14ac:dyDescent="0.35">
      <c r="A5781">
        <v>1975</v>
      </c>
      <c r="B5781" s="1">
        <v>45765</v>
      </c>
      <c r="C5781" s="2">
        <v>0.79166666666666663</v>
      </c>
      <c r="D5781">
        <v>3</v>
      </c>
      <c r="E5781">
        <v>8.9</v>
      </c>
      <c r="F5781">
        <v>89</v>
      </c>
    </row>
    <row r="5782" spans="1:6" x14ac:dyDescent="0.35">
      <c r="A5782">
        <v>1975</v>
      </c>
      <c r="B5782" s="1">
        <v>45765</v>
      </c>
      <c r="C5782" s="2">
        <v>0.83333333333333337</v>
      </c>
      <c r="D5782">
        <v>3</v>
      </c>
      <c r="E5782">
        <v>8.6999999999999993</v>
      </c>
      <c r="F5782">
        <v>91</v>
      </c>
    </row>
    <row r="5783" spans="1:6" x14ac:dyDescent="0.35">
      <c r="A5783">
        <v>1975</v>
      </c>
      <c r="B5783" s="1">
        <v>45765</v>
      </c>
      <c r="C5783" s="2">
        <v>0.875</v>
      </c>
      <c r="D5783">
        <v>3</v>
      </c>
      <c r="E5783">
        <v>8.4</v>
      </c>
      <c r="F5783">
        <v>96</v>
      </c>
    </row>
    <row r="5784" spans="1:6" x14ac:dyDescent="0.35">
      <c r="A5784">
        <v>1975</v>
      </c>
      <c r="B5784" s="1">
        <v>45765</v>
      </c>
      <c r="C5784" s="2">
        <v>0.91666666666666663</v>
      </c>
      <c r="D5784">
        <v>3</v>
      </c>
      <c r="E5784">
        <v>8.1</v>
      </c>
      <c r="F5784">
        <v>97</v>
      </c>
    </row>
    <row r="5785" spans="1:6" x14ac:dyDescent="0.35">
      <c r="A5785">
        <v>1975</v>
      </c>
      <c r="B5785" s="1">
        <v>45765</v>
      </c>
      <c r="C5785" s="2">
        <v>0.95833333333333337</v>
      </c>
      <c r="D5785">
        <v>3</v>
      </c>
      <c r="E5785">
        <v>8</v>
      </c>
      <c r="F5785">
        <v>98</v>
      </c>
    </row>
    <row r="5786" spans="1:6" x14ac:dyDescent="0.35">
      <c r="A5786">
        <v>1975</v>
      </c>
      <c r="B5786" s="1">
        <v>45766</v>
      </c>
      <c r="C5786" s="2">
        <v>0</v>
      </c>
      <c r="D5786">
        <v>3</v>
      </c>
      <c r="E5786">
        <v>7.9</v>
      </c>
      <c r="F5786">
        <v>97</v>
      </c>
    </row>
    <row r="5787" spans="1:6" x14ac:dyDescent="0.35">
      <c r="A5787">
        <v>1975</v>
      </c>
      <c r="B5787" s="1">
        <v>45766</v>
      </c>
      <c r="C5787" s="2">
        <v>4.1666666666666657E-2</v>
      </c>
      <c r="D5787">
        <v>3</v>
      </c>
      <c r="E5787">
        <v>7.5</v>
      </c>
      <c r="F5787">
        <v>96</v>
      </c>
    </row>
    <row r="5788" spans="1:6" x14ac:dyDescent="0.35">
      <c r="A5788">
        <v>1975</v>
      </c>
      <c r="B5788" s="1">
        <v>45766</v>
      </c>
      <c r="C5788" s="2">
        <v>8.3333333333333329E-2</v>
      </c>
      <c r="D5788">
        <v>3</v>
      </c>
      <c r="E5788">
        <v>7.2</v>
      </c>
      <c r="F5788">
        <v>97</v>
      </c>
    </row>
    <row r="5789" spans="1:6" x14ac:dyDescent="0.35">
      <c r="A5789">
        <v>1975</v>
      </c>
      <c r="B5789" s="1">
        <v>45766</v>
      </c>
      <c r="C5789" s="2">
        <v>0.125</v>
      </c>
      <c r="D5789">
        <v>3</v>
      </c>
      <c r="E5789">
        <v>7</v>
      </c>
      <c r="F5789">
        <v>98</v>
      </c>
    </row>
    <row r="5790" spans="1:6" x14ac:dyDescent="0.35">
      <c r="A5790">
        <v>1975</v>
      </c>
      <c r="B5790" s="1">
        <v>45766</v>
      </c>
      <c r="C5790" s="2">
        <v>0.16666666666666671</v>
      </c>
      <c r="D5790">
        <v>3</v>
      </c>
      <c r="E5790">
        <v>6.7</v>
      </c>
      <c r="F5790">
        <v>97</v>
      </c>
    </row>
    <row r="5791" spans="1:6" x14ac:dyDescent="0.35">
      <c r="A5791">
        <v>1975</v>
      </c>
      <c r="B5791" s="1">
        <v>45766</v>
      </c>
      <c r="C5791" s="2">
        <v>0.20833333333333329</v>
      </c>
      <c r="D5791">
        <v>3</v>
      </c>
      <c r="E5791">
        <v>6.8</v>
      </c>
      <c r="F5791">
        <v>98</v>
      </c>
    </row>
    <row r="5792" spans="1:6" x14ac:dyDescent="0.35">
      <c r="A5792">
        <v>1975</v>
      </c>
      <c r="B5792" s="1">
        <v>45766</v>
      </c>
      <c r="C5792" s="2">
        <v>0.25</v>
      </c>
      <c r="D5792">
        <v>3</v>
      </c>
      <c r="E5792">
        <v>7.1</v>
      </c>
      <c r="F5792">
        <v>97</v>
      </c>
    </row>
    <row r="5793" spans="1:6" x14ac:dyDescent="0.35">
      <c r="A5793">
        <v>1975</v>
      </c>
      <c r="B5793" s="1">
        <v>45766</v>
      </c>
      <c r="C5793" s="2">
        <v>0.29166666666666669</v>
      </c>
      <c r="D5793">
        <v>3</v>
      </c>
      <c r="E5793">
        <v>7.3</v>
      </c>
      <c r="F5793">
        <v>95</v>
      </c>
    </row>
    <row r="5794" spans="1:6" x14ac:dyDescent="0.35">
      <c r="A5794">
        <v>1975</v>
      </c>
      <c r="B5794" s="1">
        <v>45766</v>
      </c>
      <c r="C5794" s="2">
        <v>0.33333333333333331</v>
      </c>
      <c r="D5794">
        <v>3</v>
      </c>
      <c r="E5794">
        <v>7.7</v>
      </c>
      <c r="F5794">
        <v>96</v>
      </c>
    </row>
    <row r="5795" spans="1:6" x14ac:dyDescent="0.35">
      <c r="A5795">
        <v>1975</v>
      </c>
      <c r="B5795" s="1">
        <v>45766</v>
      </c>
      <c r="C5795" s="2">
        <v>0.375</v>
      </c>
      <c r="D5795">
        <v>3</v>
      </c>
      <c r="E5795">
        <v>7.9</v>
      </c>
      <c r="F5795">
        <v>94</v>
      </c>
    </row>
    <row r="5796" spans="1:6" x14ac:dyDescent="0.35">
      <c r="A5796">
        <v>1975</v>
      </c>
      <c r="B5796" s="1">
        <v>45766</v>
      </c>
      <c r="C5796" s="2">
        <v>0.41666666666666669</v>
      </c>
      <c r="D5796">
        <v>3</v>
      </c>
      <c r="E5796">
        <v>8</v>
      </c>
      <c r="F5796">
        <v>94</v>
      </c>
    </row>
    <row r="5797" spans="1:6" x14ac:dyDescent="0.35">
      <c r="A5797">
        <v>1975</v>
      </c>
      <c r="B5797" s="1">
        <v>45766</v>
      </c>
      <c r="C5797" s="2">
        <v>0.45833333333333331</v>
      </c>
      <c r="D5797">
        <v>3</v>
      </c>
      <c r="E5797">
        <v>8.6999999999999993</v>
      </c>
      <c r="F5797">
        <v>93</v>
      </c>
    </row>
    <row r="5798" spans="1:6" x14ac:dyDescent="0.35">
      <c r="A5798">
        <v>1975</v>
      </c>
      <c r="B5798" s="1">
        <v>45766</v>
      </c>
      <c r="C5798" s="2">
        <v>0.5</v>
      </c>
      <c r="D5798">
        <v>3</v>
      </c>
      <c r="E5798">
        <v>8.3000000000000007</v>
      </c>
      <c r="F5798">
        <v>92</v>
      </c>
    </row>
    <row r="5799" spans="1:6" x14ac:dyDescent="0.35">
      <c r="A5799">
        <v>1975</v>
      </c>
      <c r="B5799" s="1">
        <v>45766</v>
      </c>
      <c r="C5799" s="2">
        <v>0.54166666666666663</v>
      </c>
      <c r="D5799">
        <v>3</v>
      </c>
      <c r="E5799">
        <v>8.3000000000000007</v>
      </c>
      <c r="F5799">
        <v>93</v>
      </c>
    </row>
    <row r="5800" spans="1:6" x14ac:dyDescent="0.35">
      <c r="A5800">
        <v>1975</v>
      </c>
      <c r="B5800" s="1">
        <v>45766</v>
      </c>
      <c r="C5800" s="2">
        <v>0.58333333333333337</v>
      </c>
      <c r="D5800">
        <v>3</v>
      </c>
      <c r="E5800">
        <v>8.3000000000000007</v>
      </c>
      <c r="F5800">
        <v>91</v>
      </c>
    </row>
    <row r="5801" spans="1:6" x14ac:dyDescent="0.35">
      <c r="A5801">
        <v>1975</v>
      </c>
      <c r="B5801" s="1">
        <v>45766</v>
      </c>
      <c r="C5801" s="2">
        <v>0.625</v>
      </c>
      <c r="D5801">
        <v>3</v>
      </c>
      <c r="E5801">
        <v>8.3000000000000007</v>
      </c>
      <c r="F5801">
        <v>92</v>
      </c>
    </row>
    <row r="5802" spans="1:6" x14ac:dyDescent="0.35">
      <c r="A5802">
        <v>1975</v>
      </c>
      <c r="B5802" s="1">
        <v>45766</v>
      </c>
      <c r="C5802" s="2">
        <v>0.66666666666666663</v>
      </c>
      <c r="D5802">
        <v>3</v>
      </c>
      <c r="E5802">
        <v>8.5</v>
      </c>
      <c r="F5802">
        <v>92</v>
      </c>
    </row>
    <row r="5803" spans="1:6" x14ac:dyDescent="0.35">
      <c r="A5803">
        <v>1975</v>
      </c>
      <c r="B5803" s="1">
        <v>45766</v>
      </c>
      <c r="C5803" s="2">
        <v>0.70833333333333337</v>
      </c>
      <c r="D5803">
        <v>3</v>
      </c>
      <c r="E5803">
        <v>8.5</v>
      </c>
      <c r="F5803">
        <v>92</v>
      </c>
    </row>
    <row r="5804" spans="1:6" x14ac:dyDescent="0.35">
      <c r="A5804">
        <v>1975</v>
      </c>
      <c r="B5804" s="1">
        <v>45766</v>
      </c>
      <c r="C5804" s="2">
        <v>0.75</v>
      </c>
      <c r="D5804">
        <v>3</v>
      </c>
      <c r="E5804">
        <v>8.3000000000000007</v>
      </c>
      <c r="F5804">
        <v>91</v>
      </c>
    </row>
    <row r="5805" spans="1:6" x14ac:dyDescent="0.35">
      <c r="A5805">
        <v>1975</v>
      </c>
      <c r="B5805" s="1">
        <v>45766</v>
      </c>
      <c r="C5805" s="2">
        <v>0.79166666666666663</v>
      </c>
      <c r="D5805">
        <v>3</v>
      </c>
      <c r="E5805">
        <v>8</v>
      </c>
      <c r="F5805">
        <v>91</v>
      </c>
    </row>
    <row r="5806" spans="1:6" x14ac:dyDescent="0.35">
      <c r="A5806">
        <v>1975</v>
      </c>
      <c r="B5806" s="1">
        <v>45766</v>
      </c>
      <c r="C5806" s="2">
        <v>0.83333333333333337</v>
      </c>
      <c r="D5806">
        <v>3</v>
      </c>
      <c r="E5806">
        <v>7.2</v>
      </c>
      <c r="F5806">
        <v>94</v>
      </c>
    </row>
    <row r="5807" spans="1:6" x14ac:dyDescent="0.35">
      <c r="A5807">
        <v>1975</v>
      </c>
      <c r="B5807" s="1">
        <v>45766</v>
      </c>
      <c r="C5807" s="2">
        <v>0.875</v>
      </c>
      <c r="D5807">
        <v>3</v>
      </c>
      <c r="E5807">
        <v>7.2</v>
      </c>
      <c r="F5807">
        <v>96</v>
      </c>
    </row>
    <row r="5808" spans="1:6" x14ac:dyDescent="0.35">
      <c r="A5808">
        <v>1975</v>
      </c>
      <c r="B5808" s="1">
        <v>45766</v>
      </c>
      <c r="C5808" s="2">
        <v>0.91666666666666663</v>
      </c>
      <c r="D5808">
        <v>3</v>
      </c>
      <c r="E5808">
        <v>7.3</v>
      </c>
      <c r="F5808">
        <v>94</v>
      </c>
    </row>
    <row r="5809" spans="1:6" x14ac:dyDescent="0.35">
      <c r="A5809">
        <v>1975</v>
      </c>
      <c r="B5809" s="1">
        <v>45766</v>
      </c>
      <c r="C5809" s="2">
        <v>0.95833333333333337</v>
      </c>
      <c r="D5809">
        <v>3</v>
      </c>
      <c r="E5809">
        <v>7.1</v>
      </c>
      <c r="F5809">
        <v>91</v>
      </c>
    </row>
    <row r="5810" spans="1:6" x14ac:dyDescent="0.35">
      <c r="A5810">
        <v>1975</v>
      </c>
      <c r="B5810" s="1">
        <v>45767</v>
      </c>
      <c r="C5810" s="2">
        <v>0</v>
      </c>
      <c r="D5810">
        <v>3</v>
      </c>
      <c r="E5810">
        <v>5.4</v>
      </c>
      <c r="F5810">
        <v>94</v>
      </c>
    </row>
    <row r="5811" spans="1:6" x14ac:dyDescent="0.35">
      <c r="A5811">
        <v>1975</v>
      </c>
      <c r="B5811" s="1">
        <v>45767</v>
      </c>
      <c r="C5811" s="2">
        <v>4.1666666666666657E-2</v>
      </c>
      <c r="D5811">
        <v>3</v>
      </c>
      <c r="E5811">
        <v>4.5</v>
      </c>
      <c r="F5811">
        <v>100</v>
      </c>
    </row>
    <row r="5812" spans="1:6" x14ac:dyDescent="0.35">
      <c r="A5812">
        <v>1975</v>
      </c>
      <c r="B5812" s="1">
        <v>45767</v>
      </c>
      <c r="C5812" s="2">
        <v>8.3333333333333329E-2</v>
      </c>
      <c r="D5812">
        <v>3</v>
      </c>
      <c r="E5812">
        <v>3.8</v>
      </c>
      <c r="F5812">
        <v>100</v>
      </c>
    </row>
    <row r="5813" spans="1:6" x14ac:dyDescent="0.35">
      <c r="A5813">
        <v>1975</v>
      </c>
      <c r="B5813" s="1">
        <v>45767</v>
      </c>
      <c r="C5813" s="2">
        <v>0.125</v>
      </c>
      <c r="D5813">
        <v>3</v>
      </c>
      <c r="E5813">
        <v>3.5</v>
      </c>
      <c r="F5813">
        <v>100</v>
      </c>
    </row>
    <row r="5814" spans="1:6" x14ac:dyDescent="0.35">
      <c r="A5814">
        <v>1975</v>
      </c>
      <c r="B5814" s="1">
        <v>45767</v>
      </c>
      <c r="C5814" s="2">
        <v>0.16666666666666671</v>
      </c>
      <c r="D5814">
        <v>3</v>
      </c>
      <c r="E5814">
        <v>4.5999999999999996</v>
      </c>
      <c r="F5814">
        <v>98</v>
      </c>
    </row>
    <row r="5815" spans="1:6" x14ac:dyDescent="0.35">
      <c r="A5815">
        <v>1975</v>
      </c>
      <c r="B5815" s="1">
        <v>45767</v>
      </c>
      <c r="C5815" s="2">
        <v>0.20833333333333329</v>
      </c>
      <c r="D5815">
        <v>3</v>
      </c>
      <c r="E5815">
        <v>5.7</v>
      </c>
      <c r="F5815">
        <v>94</v>
      </c>
    </row>
    <row r="5816" spans="1:6" x14ac:dyDescent="0.35">
      <c r="A5816">
        <v>1975</v>
      </c>
      <c r="B5816" s="1">
        <v>45767</v>
      </c>
      <c r="C5816" s="2">
        <v>0.25</v>
      </c>
      <c r="D5816">
        <v>3</v>
      </c>
      <c r="E5816">
        <v>6.1</v>
      </c>
      <c r="F5816">
        <v>95</v>
      </c>
    </row>
    <row r="5817" spans="1:6" x14ac:dyDescent="0.35">
      <c r="A5817">
        <v>1975</v>
      </c>
      <c r="B5817" s="1">
        <v>45767</v>
      </c>
      <c r="C5817" s="2">
        <v>0.29166666666666669</v>
      </c>
      <c r="D5817">
        <v>3</v>
      </c>
      <c r="E5817">
        <v>6.2</v>
      </c>
      <c r="F5817">
        <v>96</v>
      </c>
    </row>
    <row r="5818" spans="1:6" x14ac:dyDescent="0.35">
      <c r="A5818">
        <v>1975</v>
      </c>
      <c r="B5818" s="1">
        <v>45767</v>
      </c>
      <c r="C5818" s="2">
        <v>0.33333333333333331</v>
      </c>
      <c r="D5818">
        <v>3</v>
      </c>
      <c r="E5818">
        <v>6.5</v>
      </c>
      <c r="F5818">
        <v>94</v>
      </c>
    </row>
    <row r="5819" spans="1:6" x14ac:dyDescent="0.35">
      <c r="A5819">
        <v>1975</v>
      </c>
      <c r="B5819" s="1">
        <v>45767</v>
      </c>
      <c r="C5819" s="2">
        <v>0.375</v>
      </c>
      <c r="D5819">
        <v>3</v>
      </c>
      <c r="E5819">
        <v>7.1</v>
      </c>
      <c r="F5819">
        <v>91</v>
      </c>
    </row>
    <row r="5820" spans="1:6" x14ac:dyDescent="0.35">
      <c r="A5820">
        <v>1975</v>
      </c>
      <c r="B5820" s="1">
        <v>45767</v>
      </c>
      <c r="C5820" s="2">
        <v>0.41666666666666669</v>
      </c>
      <c r="D5820">
        <v>3</v>
      </c>
      <c r="E5820">
        <v>7.6</v>
      </c>
      <c r="F5820">
        <v>88</v>
      </c>
    </row>
    <row r="5821" spans="1:6" x14ac:dyDescent="0.35">
      <c r="A5821">
        <v>1975</v>
      </c>
      <c r="B5821" s="1">
        <v>45767</v>
      </c>
      <c r="C5821" s="2">
        <v>0.45833333333333331</v>
      </c>
      <c r="D5821">
        <v>3</v>
      </c>
      <c r="E5821">
        <v>8.3000000000000007</v>
      </c>
      <c r="F5821">
        <v>86</v>
      </c>
    </row>
    <row r="5822" spans="1:6" x14ac:dyDescent="0.35">
      <c r="A5822">
        <v>1975</v>
      </c>
      <c r="B5822" s="1">
        <v>45767</v>
      </c>
      <c r="C5822" s="2">
        <v>0.5</v>
      </c>
      <c r="D5822">
        <v>3</v>
      </c>
      <c r="E5822">
        <v>9.1</v>
      </c>
      <c r="F5822">
        <v>80</v>
      </c>
    </row>
    <row r="5823" spans="1:6" x14ac:dyDescent="0.35">
      <c r="A5823">
        <v>1975</v>
      </c>
      <c r="B5823" s="1">
        <v>45767</v>
      </c>
      <c r="C5823" s="2">
        <v>0.54166666666666663</v>
      </c>
      <c r="D5823">
        <v>3</v>
      </c>
      <c r="E5823">
        <v>10.9</v>
      </c>
      <c r="F5823">
        <v>76</v>
      </c>
    </row>
    <row r="5824" spans="1:6" x14ac:dyDescent="0.35">
      <c r="A5824">
        <v>1975</v>
      </c>
      <c r="B5824" s="1">
        <v>45767</v>
      </c>
      <c r="C5824" s="2">
        <v>0.58333333333333337</v>
      </c>
      <c r="D5824">
        <v>3</v>
      </c>
      <c r="E5824">
        <v>11.2</v>
      </c>
      <c r="F5824">
        <v>73</v>
      </c>
    </row>
    <row r="5825" spans="1:6" x14ac:dyDescent="0.35">
      <c r="A5825">
        <v>1975</v>
      </c>
      <c r="B5825" s="1">
        <v>45767</v>
      </c>
      <c r="C5825" s="2">
        <v>0.625</v>
      </c>
      <c r="D5825">
        <v>3</v>
      </c>
      <c r="E5825">
        <v>12.2</v>
      </c>
      <c r="F5825">
        <v>70</v>
      </c>
    </row>
    <row r="5826" spans="1:6" x14ac:dyDescent="0.35">
      <c r="A5826">
        <v>1975</v>
      </c>
      <c r="B5826" s="1">
        <v>45767</v>
      </c>
      <c r="C5826" s="2">
        <v>0.66666666666666663</v>
      </c>
      <c r="D5826">
        <v>3</v>
      </c>
      <c r="E5826">
        <v>12.3</v>
      </c>
      <c r="F5826">
        <v>66</v>
      </c>
    </row>
    <row r="5827" spans="1:6" x14ac:dyDescent="0.35">
      <c r="A5827">
        <v>1975</v>
      </c>
      <c r="B5827" s="1">
        <v>45767</v>
      </c>
      <c r="C5827" s="2">
        <v>0.70833333333333337</v>
      </c>
      <c r="D5827">
        <v>3</v>
      </c>
      <c r="E5827">
        <v>12.1</v>
      </c>
      <c r="F5827">
        <v>70</v>
      </c>
    </row>
    <row r="5828" spans="1:6" x14ac:dyDescent="0.35">
      <c r="A5828">
        <v>1975</v>
      </c>
      <c r="B5828" s="1">
        <v>45767</v>
      </c>
      <c r="C5828" s="2">
        <v>0.75</v>
      </c>
      <c r="D5828">
        <v>3</v>
      </c>
      <c r="E5828">
        <v>10.9</v>
      </c>
      <c r="F5828">
        <v>73</v>
      </c>
    </row>
    <row r="5829" spans="1:6" x14ac:dyDescent="0.35">
      <c r="A5829">
        <v>1975</v>
      </c>
      <c r="B5829" s="1">
        <v>45767</v>
      </c>
      <c r="C5829" s="2">
        <v>0.79166666666666663</v>
      </c>
      <c r="D5829">
        <v>3</v>
      </c>
      <c r="E5829">
        <v>8.1</v>
      </c>
      <c r="F5829">
        <v>93</v>
      </c>
    </row>
    <row r="5830" spans="1:6" x14ac:dyDescent="0.35">
      <c r="A5830">
        <v>1975</v>
      </c>
      <c r="B5830" s="1">
        <v>45767</v>
      </c>
      <c r="C5830" s="2">
        <v>0.83333333333333337</v>
      </c>
      <c r="D5830">
        <v>3</v>
      </c>
      <c r="E5830">
        <v>6.8</v>
      </c>
      <c r="F5830">
        <v>99</v>
      </c>
    </row>
    <row r="5831" spans="1:6" x14ac:dyDescent="0.35">
      <c r="A5831">
        <v>1975</v>
      </c>
      <c r="B5831" s="1">
        <v>45767</v>
      </c>
      <c r="C5831" s="2">
        <v>0.875</v>
      </c>
      <c r="D5831">
        <v>3</v>
      </c>
      <c r="E5831">
        <v>7.5</v>
      </c>
      <c r="F5831">
        <v>94</v>
      </c>
    </row>
    <row r="5832" spans="1:6" x14ac:dyDescent="0.35">
      <c r="A5832">
        <v>1975</v>
      </c>
      <c r="B5832" s="1">
        <v>45767</v>
      </c>
      <c r="C5832" s="2">
        <v>0.91666666666666663</v>
      </c>
      <c r="D5832">
        <v>3</v>
      </c>
      <c r="E5832">
        <v>4.5999999999999996</v>
      </c>
      <c r="F5832">
        <v>93</v>
      </c>
    </row>
    <row r="5833" spans="1:6" x14ac:dyDescent="0.35">
      <c r="A5833">
        <v>1975</v>
      </c>
      <c r="B5833" s="1">
        <v>45767</v>
      </c>
      <c r="C5833" s="2">
        <v>0.95833333333333337</v>
      </c>
      <c r="D5833">
        <v>3</v>
      </c>
      <c r="E5833">
        <v>4.9000000000000004</v>
      </c>
      <c r="F5833">
        <v>100</v>
      </c>
    </row>
    <row r="5834" spans="1:6" x14ac:dyDescent="0.35">
      <c r="A5834">
        <v>1975</v>
      </c>
      <c r="B5834" s="1">
        <v>45768</v>
      </c>
      <c r="C5834" s="2">
        <v>0</v>
      </c>
      <c r="D5834">
        <v>3</v>
      </c>
      <c r="E5834">
        <v>4</v>
      </c>
      <c r="F5834">
        <v>100</v>
      </c>
    </row>
    <row r="5835" spans="1:6" x14ac:dyDescent="0.35">
      <c r="A5835">
        <v>1975</v>
      </c>
      <c r="B5835" s="1">
        <v>45768</v>
      </c>
      <c r="C5835" s="2">
        <v>4.1666666666666657E-2</v>
      </c>
      <c r="D5835">
        <v>3</v>
      </c>
      <c r="E5835">
        <v>3.3</v>
      </c>
      <c r="F5835">
        <v>100</v>
      </c>
    </row>
    <row r="5836" spans="1:6" x14ac:dyDescent="0.35">
      <c r="A5836">
        <v>1975</v>
      </c>
      <c r="B5836" s="1">
        <v>45768</v>
      </c>
      <c r="C5836" s="2">
        <v>8.3333333333333329E-2</v>
      </c>
      <c r="D5836">
        <v>3</v>
      </c>
      <c r="E5836">
        <v>3.3</v>
      </c>
      <c r="F5836">
        <v>99</v>
      </c>
    </row>
    <row r="5837" spans="1:6" x14ac:dyDescent="0.35">
      <c r="A5837">
        <v>1975</v>
      </c>
      <c r="B5837" s="1">
        <v>45768</v>
      </c>
      <c r="C5837" s="2">
        <v>0.125</v>
      </c>
      <c r="D5837">
        <v>3</v>
      </c>
      <c r="E5837">
        <v>4.5</v>
      </c>
      <c r="F5837">
        <v>99</v>
      </c>
    </row>
    <row r="5838" spans="1:6" x14ac:dyDescent="0.35">
      <c r="A5838">
        <v>1975</v>
      </c>
      <c r="B5838" s="1">
        <v>45768</v>
      </c>
      <c r="C5838" s="2">
        <v>0.16666666666666671</v>
      </c>
      <c r="D5838">
        <v>3</v>
      </c>
      <c r="E5838">
        <v>5.6</v>
      </c>
      <c r="F5838">
        <v>99</v>
      </c>
    </row>
    <row r="5839" spans="1:6" x14ac:dyDescent="0.35">
      <c r="A5839">
        <v>1975</v>
      </c>
      <c r="B5839" s="1">
        <v>45768</v>
      </c>
      <c r="C5839" s="2">
        <v>0.20833333333333329</v>
      </c>
      <c r="D5839">
        <v>3</v>
      </c>
      <c r="E5839">
        <v>6.4</v>
      </c>
      <c r="F5839">
        <v>100</v>
      </c>
    </row>
    <row r="5840" spans="1:6" x14ac:dyDescent="0.35">
      <c r="A5840">
        <v>1975</v>
      </c>
      <c r="B5840" s="1">
        <v>45768</v>
      </c>
      <c r="C5840" s="2">
        <v>0.25</v>
      </c>
      <c r="D5840">
        <v>3</v>
      </c>
      <c r="E5840">
        <v>7.5</v>
      </c>
      <c r="F5840">
        <v>95</v>
      </c>
    </row>
    <row r="5841" spans="1:6" x14ac:dyDescent="0.35">
      <c r="A5841">
        <v>1975</v>
      </c>
      <c r="B5841" s="1">
        <v>45768</v>
      </c>
      <c r="C5841" s="2">
        <v>0.29166666666666669</v>
      </c>
      <c r="D5841">
        <v>3</v>
      </c>
      <c r="E5841">
        <v>8.3000000000000007</v>
      </c>
      <c r="F5841">
        <v>93</v>
      </c>
    </row>
    <row r="5842" spans="1:6" x14ac:dyDescent="0.35">
      <c r="A5842">
        <v>1975</v>
      </c>
      <c r="B5842" s="1">
        <v>45768</v>
      </c>
      <c r="C5842" s="2">
        <v>0.33333333333333331</v>
      </c>
      <c r="D5842">
        <v>3</v>
      </c>
      <c r="E5842">
        <v>9.5</v>
      </c>
      <c r="F5842">
        <v>88</v>
      </c>
    </row>
    <row r="5843" spans="1:6" x14ac:dyDescent="0.35">
      <c r="A5843">
        <v>1975</v>
      </c>
      <c r="B5843" s="1">
        <v>45768</v>
      </c>
      <c r="C5843" s="2">
        <v>0.375</v>
      </c>
      <c r="D5843">
        <v>3</v>
      </c>
      <c r="E5843">
        <v>11.6</v>
      </c>
      <c r="F5843">
        <v>75</v>
      </c>
    </row>
    <row r="5844" spans="1:6" x14ac:dyDescent="0.35">
      <c r="A5844">
        <v>1975</v>
      </c>
      <c r="B5844" s="1">
        <v>45768</v>
      </c>
      <c r="C5844" s="2">
        <v>0.41666666666666669</v>
      </c>
      <c r="D5844">
        <v>3</v>
      </c>
      <c r="E5844">
        <v>13.1</v>
      </c>
      <c r="F5844">
        <v>72</v>
      </c>
    </row>
    <row r="5845" spans="1:6" x14ac:dyDescent="0.35">
      <c r="A5845">
        <v>1975</v>
      </c>
      <c r="B5845" s="1">
        <v>45768</v>
      </c>
      <c r="C5845" s="2">
        <v>0.45833333333333331</v>
      </c>
      <c r="D5845">
        <v>3</v>
      </c>
      <c r="E5845">
        <v>13.5</v>
      </c>
      <c r="F5845">
        <v>71</v>
      </c>
    </row>
    <row r="5846" spans="1:6" x14ac:dyDescent="0.35">
      <c r="A5846">
        <v>1975</v>
      </c>
      <c r="B5846" s="1">
        <v>45768</v>
      </c>
      <c r="C5846" s="2">
        <v>0.5</v>
      </c>
      <c r="D5846">
        <v>3</v>
      </c>
      <c r="E5846">
        <v>14.5</v>
      </c>
      <c r="F5846">
        <v>68</v>
      </c>
    </row>
    <row r="5847" spans="1:6" x14ac:dyDescent="0.35">
      <c r="A5847">
        <v>1975</v>
      </c>
      <c r="B5847" s="1">
        <v>45768</v>
      </c>
      <c r="C5847" s="2">
        <v>0.54166666666666663</v>
      </c>
      <c r="D5847">
        <v>3</v>
      </c>
      <c r="E5847">
        <v>15</v>
      </c>
      <c r="F5847">
        <v>61</v>
      </c>
    </row>
    <row r="5848" spans="1:6" x14ac:dyDescent="0.35">
      <c r="A5848">
        <v>1975</v>
      </c>
      <c r="B5848" s="1">
        <v>45768</v>
      </c>
      <c r="C5848" s="2">
        <v>0.58333333333333337</v>
      </c>
      <c r="D5848">
        <v>3</v>
      </c>
      <c r="E5848">
        <v>15.4</v>
      </c>
      <c r="F5848">
        <v>67</v>
      </c>
    </row>
    <row r="5849" spans="1:6" x14ac:dyDescent="0.35">
      <c r="A5849">
        <v>1975</v>
      </c>
      <c r="B5849" s="1">
        <v>45768</v>
      </c>
      <c r="C5849" s="2">
        <v>0.625</v>
      </c>
      <c r="D5849">
        <v>3</v>
      </c>
      <c r="E5849">
        <v>15.8</v>
      </c>
      <c r="F5849">
        <v>67</v>
      </c>
    </row>
    <row r="5850" spans="1:6" x14ac:dyDescent="0.35">
      <c r="A5850">
        <v>1975</v>
      </c>
      <c r="B5850" s="1">
        <v>45768</v>
      </c>
      <c r="C5850" s="2">
        <v>0.66666666666666663</v>
      </c>
      <c r="D5850">
        <v>3</v>
      </c>
      <c r="E5850">
        <v>16.5</v>
      </c>
      <c r="F5850">
        <v>57</v>
      </c>
    </row>
    <row r="5851" spans="1:6" x14ac:dyDescent="0.35">
      <c r="A5851">
        <v>1975</v>
      </c>
      <c r="B5851" s="1">
        <v>45768</v>
      </c>
      <c r="C5851" s="2">
        <v>0.70833333333333337</v>
      </c>
      <c r="D5851">
        <v>3</v>
      </c>
      <c r="E5851">
        <v>16.2</v>
      </c>
      <c r="F5851">
        <v>60</v>
      </c>
    </row>
    <row r="5852" spans="1:6" x14ac:dyDescent="0.35">
      <c r="A5852">
        <v>1975</v>
      </c>
      <c r="B5852" s="1">
        <v>45768</v>
      </c>
      <c r="C5852" s="2">
        <v>0.75</v>
      </c>
      <c r="D5852">
        <v>3</v>
      </c>
      <c r="E5852">
        <v>15</v>
      </c>
      <c r="F5852">
        <v>68</v>
      </c>
    </row>
    <row r="5853" spans="1:6" x14ac:dyDescent="0.35">
      <c r="A5853">
        <v>1975</v>
      </c>
      <c r="B5853" s="1">
        <v>45768</v>
      </c>
      <c r="C5853" s="2">
        <v>0.79166666666666663</v>
      </c>
      <c r="D5853">
        <v>3</v>
      </c>
      <c r="E5853">
        <v>12.3</v>
      </c>
      <c r="F5853">
        <v>89</v>
      </c>
    </row>
    <row r="5854" spans="1:6" x14ac:dyDescent="0.35">
      <c r="A5854">
        <v>1975</v>
      </c>
      <c r="B5854" s="1">
        <v>45768</v>
      </c>
      <c r="C5854" s="2">
        <v>0.83333333333333337</v>
      </c>
      <c r="D5854">
        <v>3</v>
      </c>
      <c r="E5854">
        <v>12</v>
      </c>
      <c r="F5854">
        <v>89</v>
      </c>
    </row>
    <row r="5855" spans="1:6" x14ac:dyDescent="0.35">
      <c r="A5855">
        <v>1975</v>
      </c>
      <c r="B5855" s="1">
        <v>45768</v>
      </c>
      <c r="C5855" s="2">
        <v>0.875</v>
      </c>
      <c r="D5855">
        <v>3</v>
      </c>
      <c r="E5855">
        <v>12.3</v>
      </c>
      <c r="F5855">
        <v>87</v>
      </c>
    </row>
    <row r="5856" spans="1:6" x14ac:dyDescent="0.35">
      <c r="A5856">
        <v>1975</v>
      </c>
      <c r="B5856" s="1">
        <v>45768</v>
      </c>
      <c r="C5856" s="2">
        <v>0.91666666666666663</v>
      </c>
      <c r="D5856">
        <v>3</v>
      </c>
      <c r="E5856">
        <v>11.8</v>
      </c>
      <c r="F5856">
        <v>87</v>
      </c>
    </row>
    <row r="5857" spans="1:6" x14ac:dyDescent="0.35">
      <c r="A5857">
        <v>1975</v>
      </c>
      <c r="B5857" s="1">
        <v>45768</v>
      </c>
      <c r="C5857" s="2">
        <v>0.95833333333333337</v>
      </c>
      <c r="D5857">
        <v>3</v>
      </c>
      <c r="E5857">
        <v>10</v>
      </c>
      <c r="F5857">
        <v>96</v>
      </c>
    </row>
    <row r="5858" spans="1:6" x14ac:dyDescent="0.35">
      <c r="A5858">
        <v>1975</v>
      </c>
      <c r="B5858" s="1">
        <v>45769</v>
      </c>
      <c r="C5858" s="2">
        <v>0</v>
      </c>
      <c r="D5858">
        <v>3</v>
      </c>
      <c r="E5858">
        <v>9</v>
      </c>
      <c r="F5858">
        <v>97</v>
      </c>
    </row>
    <row r="5859" spans="1:6" x14ac:dyDescent="0.35">
      <c r="A5859">
        <v>1975</v>
      </c>
      <c r="B5859" s="1">
        <v>45769</v>
      </c>
      <c r="C5859" s="2">
        <v>4.1666666666666657E-2</v>
      </c>
      <c r="D5859">
        <v>3</v>
      </c>
      <c r="E5859">
        <v>9.8000000000000007</v>
      </c>
      <c r="F5859">
        <v>96</v>
      </c>
    </row>
    <row r="5860" spans="1:6" x14ac:dyDescent="0.35">
      <c r="A5860">
        <v>1975</v>
      </c>
      <c r="B5860" s="1">
        <v>45769</v>
      </c>
      <c r="C5860" s="2">
        <v>8.3333333333333329E-2</v>
      </c>
      <c r="D5860">
        <v>3</v>
      </c>
      <c r="E5860">
        <v>9.1999999999999993</v>
      </c>
      <c r="F5860">
        <v>100</v>
      </c>
    </row>
    <row r="5861" spans="1:6" x14ac:dyDescent="0.35">
      <c r="A5861">
        <v>1975</v>
      </c>
      <c r="B5861" s="1">
        <v>45769</v>
      </c>
      <c r="C5861" s="2">
        <v>0.125</v>
      </c>
      <c r="D5861">
        <v>3</v>
      </c>
      <c r="E5861">
        <v>8.9</v>
      </c>
      <c r="F5861">
        <v>99</v>
      </c>
    </row>
    <row r="5862" spans="1:6" x14ac:dyDescent="0.35">
      <c r="A5862">
        <v>1975</v>
      </c>
      <c r="B5862" s="1">
        <v>45769</v>
      </c>
      <c r="C5862" s="2">
        <v>0.16666666666666671</v>
      </c>
      <c r="D5862">
        <v>3</v>
      </c>
      <c r="E5862">
        <v>7.9</v>
      </c>
      <c r="F5862">
        <v>100</v>
      </c>
    </row>
    <row r="5863" spans="1:6" x14ac:dyDescent="0.35">
      <c r="A5863">
        <v>1975</v>
      </c>
      <c r="B5863" s="1">
        <v>45769</v>
      </c>
      <c r="C5863" s="2">
        <v>0.20833333333333329</v>
      </c>
      <c r="D5863">
        <v>3</v>
      </c>
      <c r="E5863">
        <v>8.8000000000000007</v>
      </c>
      <c r="F5863">
        <v>99</v>
      </c>
    </row>
    <row r="5864" spans="1:6" x14ac:dyDescent="0.35">
      <c r="A5864">
        <v>1975</v>
      </c>
      <c r="B5864" s="1">
        <v>45769</v>
      </c>
      <c r="C5864" s="2">
        <v>0.25</v>
      </c>
      <c r="D5864">
        <v>3</v>
      </c>
      <c r="E5864">
        <v>11.9</v>
      </c>
      <c r="F5864">
        <v>88</v>
      </c>
    </row>
    <row r="5865" spans="1:6" x14ac:dyDescent="0.35">
      <c r="A5865">
        <v>1975</v>
      </c>
      <c r="B5865" s="1">
        <v>45769</v>
      </c>
      <c r="C5865" s="2">
        <v>0.29166666666666669</v>
      </c>
      <c r="D5865">
        <v>3</v>
      </c>
      <c r="E5865">
        <v>13.1</v>
      </c>
      <c r="F5865">
        <v>83</v>
      </c>
    </row>
    <row r="5866" spans="1:6" x14ac:dyDescent="0.35">
      <c r="A5866">
        <v>1975</v>
      </c>
      <c r="B5866" s="1">
        <v>45769</v>
      </c>
      <c r="C5866" s="2">
        <v>0.33333333333333331</v>
      </c>
      <c r="D5866">
        <v>3</v>
      </c>
      <c r="E5866">
        <v>14.9</v>
      </c>
      <c r="F5866">
        <v>73</v>
      </c>
    </row>
    <row r="5867" spans="1:6" x14ac:dyDescent="0.35">
      <c r="A5867">
        <v>1975</v>
      </c>
      <c r="B5867" s="1">
        <v>45769</v>
      </c>
      <c r="C5867" s="2">
        <v>0.375</v>
      </c>
      <c r="D5867">
        <v>3</v>
      </c>
      <c r="E5867">
        <v>15.6</v>
      </c>
      <c r="F5867">
        <v>69</v>
      </c>
    </row>
    <row r="5868" spans="1:6" x14ac:dyDescent="0.35">
      <c r="A5868">
        <v>1975</v>
      </c>
      <c r="B5868" s="1">
        <v>45769</v>
      </c>
      <c r="C5868" s="2">
        <v>0.41666666666666669</v>
      </c>
      <c r="D5868">
        <v>3</v>
      </c>
      <c r="E5868">
        <v>15.7</v>
      </c>
      <c r="F5868">
        <v>66</v>
      </c>
    </row>
    <row r="5869" spans="1:6" x14ac:dyDescent="0.35">
      <c r="A5869">
        <v>1975</v>
      </c>
      <c r="B5869" s="1">
        <v>45769</v>
      </c>
      <c r="C5869" s="2">
        <v>0.45833333333333331</v>
      </c>
      <c r="D5869">
        <v>3</v>
      </c>
      <c r="E5869">
        <v>14.3</v>
      </c>
      <c r="F5869">
        <v>77</v>
      </c>
    </row>
    <row r="5870" spans="1:6" x14ac:dyDescent="0.35">
      <c r="A5870">
        <v>1975</v>
      </c>
      <c r="B5870" s="1">
        <v>45769</v>
      </c>
      <c r="C5870" s="2">
        <v>0.5</v>
      </c>
      <c r="D5870">
        <v>3</v>
      </c>
      <c r="E5870">
        <v>13.9</v>
      </c>
      <c r="F5870">
        <v>81</v>
      </c>
    </row>
    <row r="5871" spans="1:6" x14ac:dyDescent="0.35">
      <c r="A5871">
        <v>1975</v>
      </c>
      <c r="B5871" s="1">
        <v>45769</v>
      </c>
      <c r="C5871" s="2">
        <v>0.54166666666666663</v>
      </c>
      <c r="D5871">
        <v>3</v>
      </c>
      <c r="E5871">
        <v>15.3</v>
      </c>
      <c r="F5871">
        <v>70</v>
      </c>
    </row>
    <row r="5872" spans="1:6" x14ac:dyDescent="0.35">
      <c r="A5872">
        <v>1975</v>
      </c>
      <c r="B5872" s="1">
        <v>45769</v>
      </c>
      <c r="C5872" s="2">
        <v>0.58333333333333337</v>
      </c>
      <c r="D5872">
        <v>3</v>
      </c>
      <c r="E5872">
        <v>14.8</v>
      </c>
      <c r="F5872">
        <v>71</v>
      </c>
    </row>
    <row r="5873" spans="1:6" x14ac:dyDescent="0.35">
      <c r="A5873">
        <v>1975</v>
      </c>
      <c r="B5873" s="1">
        <v>45769</v>
      </c>
      <c r="C5873" s="2">
        <v>0.625</v>
      </c>
      <c r="D5873">
        <v>3</v>
      </c>
      <c r="E5873">
        <v>14.3</v>
      </c>
      <c r="F5873">
        <v>74</v>
      </c>
    </row>
    <row r="5874" spans="1:6" x14ac:dyDescent="0.35">
      <c r="A5874">
        <v>1975</v>
      </c>
      <c r="B5874" s="1">
        <v>45769</v>
      </c>
      <c r="C5874" s="2">
        <v>0.66666666666666663</v>
      </c>
      <c r="D5874">
        <v>3</v>
      </c>
      <c r="E5874">
        <v>14.2</v>
      </c>
      <c r="F5874">
        <v>73</v>
      </c>
    </row>
    <row r="5875" spans="1:6" x14ac:dyDescent="0.35">
      <c r="A5875">
        <v>1975</v>
      </c>
      <c r="B5875" s="1">
        <v>45769</v>
      </c>
      <c r="C5875" s="2">
        <v>0.70833333333333337</v>
      </c>
      <c r="D5875">
        <v>3</v>
      </c>
      <c r="E5875">
        <v>13.8</v>
      </c>
      <c r="F5875">
        <v>70</v>
      </c>
    </row>
    <row r="5876" spans="1:6" x14ac:dyDescent="0.35">
      <c r="A5876">
        <v>1975</v>
      </c>
      <c r="B5876" s="1">
        <v>45769</v>
      </c>
      <c r="C5876" s="2">
        <v>0.75</v>
      </c>
      <c r="D5876">
        <v>3</v>
      </c>
      <c r="E5876">
        <v>13.4</v>
      </c>
      <c r="F5876">
        <v>72</v>
      </c>
    </row>
    <row r="5877" spans="1:6" x14ac:dyDescent="0.35">
      <c r="A5877">
        <v>1975</v>
      </c>
      <c r="B5877" s="1">
        <v>45769</v>
      </c>
      <c r="C5877" s="2">
        <v>0.79166666666666663</v>
      </c>
      <c r="D5877">
        <v>3</v>
      </c>
      <c r="E5877">
        <v>11.5</v>
      </c>
      <c r="F5877">
        <v>81</v>
      </c>
    </row>
    <row r="5878" spans="1:6" x14ac:dyDescent="0.35">
      <c r="A5878">
        <v>1975</v>
      </c>
      <c r="B5878" s="1">
        <v>45769</v>
      </c>
      <c r="C5878" s="2">
        <v>0.83333333333333337</v>
      </c>
      <c r="D5878">
        <v>3</v>
      </c>
      <c r="E5878">
        <v>9.6999999999999993</v>
      </c>
      <c r="F5878">
        <v>94</v>
      </c>
    </row>
    <row r="5879" spans="1:6" x14ac:dyDescent="0.35">
      <c r="A5879">
        <v>1975</v>
      </c>
      <c r="B5879" s="1">
        <v>45769</v>
      </c>
      <c r="C5879" s="2">
        <v>0.875</v>
      </c>
      <c r="D5879">
        <v>3</v>
      </c>
      <c r="E5879">
        <v>8.6999999999999993</v>
      </c>
      <c r="F5879">
        <v>98</v>
      </c>
    </row>
    <row r="5880" spans="1:6" x14ac:dyDescent="0.35">
      <c r="A5880">
        <v>1975</v>
      </c>
      <c r="B5880" s="1">
        <v>45769</v>
      </c>
      <c r="C5880" s="2">
        <v>0.91666666666666663</v>
      </c>
      <c r="D5880">
        <v>3</v>
      </c>
      <c r="E5880">
        <v>8.1</v>
      </c>
      <c r="F5880">
        <v>100</v>
      </c>
    </row>
    <row r="5881" spans="1:6" x14ac:dyDescent="0.35">
      <c r="A5881">
        <v>1975</v>
      </c>
      <c r="B5881" s="1">
        <v>45769</v>
      </c>
      <c r="C5881" s="2">
        <v>0.95833333333333337</v>
      </c>
      <c r="D5881">
        <v>3</v>
      </c>
      <c r="E5881">
        <v>7.5</v>
      </c>
      <c r="F5881">
        <v>100</v>
      </c>
    </row>
    <row r="5882" spans="1:6" x14ac:dyDescent="0.35">
      <c r="A5882">
        <v>1975</v>
      </c>
      <c r="B5882" s="1">
        <v>45770</v>
      </c>
      <c r="C5882" s="2">
        <v>0</v>
      </c>
      <c r="D5882">
        <v>3</v>
      </c>
      <c r="E5882">
        <v>7.1</v>
      </c>
      <c r="F5882">
        <v>100</v>
      </c>
    </row>
    <row r="5883" spans="1:6" x14ac:dyDescent="0.35">
      <c r="A5883">
        <v>1975</v>
      </c>
      <c r="B5883" s="1">
        <v>45770</v>
      </c>
      <c r="C5883" s="2">
        <v>4.1666666666666657E-2</v>
      </c>
      <c r="D5883">
        <v>3</v>
      </c>
      <c r="E5883">
        <v>5.9</v>
      </c>
      <c r="F5883">
        <v>99</v>
      </c>
    </row>
    <row r="5884" spans="1:6" x14ac:dyDescent="0.35">
      <c r="A5884">
        <v>1975</v>
      </c>
      <c r="B5884" s="1">
        <v>45770</v>
      </c>
      <c r="C5884" s="2">
        <v>8.3333333333333329E-2</v>
      </c>
      <c r="D5884">
        <v>3</v>
      </c>
      <c r="E5884">
        <v>5.7</v>
      </c>
      <c r="F5884">
        <v>100</v>
      </c>
    </row>
    <row r="5885" spans="1:6" x14ac:dyDescent="0.35">
      <c r="A5885">
        <v>1975</v>
      </c>
      <c r="B5885" s="1">
        <v>45770</v>
      </c>
      <c r="C5885" s="2">
        <v>0.125</v>
      </c>
      <c r="D5885">
        <v>3</v>
      </c>
      <c r="E5885">
        <v>5.5</v>
      </c>
      <c r="F5885">
        <v>100</v>
      </c>
    </row>
    <row r="5886" spans="1:6" x14ac:dyDescent="0.35">
      <c r="A5886">
        <v>1975</v>
      </c>
      <c r="B5886" s="1">
        <v>45770</v>
      </c>
      <c r="C5886" s="2">
        <v>0.16666666666666671</v>
      </c>
      <c r="D5886">
        <v>3</v>
      </c>
      <c r="E5886">
        <v>5.4</v>
      </c>
      <c r="F5886">
        <v>100</v>
      </c>
    </row>
    <row r="5887" spans="1:6" x14ac:dyDescent="0.35">
      <c r="A5887">
        <v>1975</v>
      </c>
      <c r="B5887" s="1">
        <v>45770</v>
      </c>
      <c r="C5887" s="2">
        <v>0.20833333333333329</v>
      </c>
      <c r="D5887">
        <v>3</v>
      </c>
      <c r="E5887">
        <v>5.9</v>
      </c>
      <c r="F5887">
        <v>99</v>
      </c>
    </row>
    <row r="5888" spans="1:6" x14ac:dyDescent="0.35">
      <c r="A5888">
        <v>1975</v>
      </c>
      <c r="B5888" s="1">
        <v>45770</v>
      </c>
      <c r="C5888" s="2">
        <v>0.25</v>
      </c>
      <c r="D5888">
        <v>3</v>
      </c>
      <c r="E5888">
        <v>8.3000000000000007</v>
      </c>
      <c r="F5888">
        <v>95</v>
      </c>
    </row>
    <row r="5889" spans="1:6" x14ac:dyDescent="0.35">
      <c r="A5889">
        <v>1975</v>
      </c>
      <c r="B5889" s="1">
        <v>45770</v>
      </c>
      <c r="C5889" s="2">
        <v>0.29166666666666669</v>
      </c>
      <c r="D5889">
        <v>3</v>
      </c>
      <c r="E5889">
        <v>10.5</v>
      </c>
      <c r="F5889">
        <v>90</v>
      </c>
    </row>
    <row r="5890" spans="1:6" x14ac:dyDescent="0.35">
      <c r="A5890">
        <v>1975</v>
      </c>
      <c r="B5890" s="1">
        <v>45770</v>
      </c>
      <c r="C5890" s="2">
        <v>0.33333333333333331</v>
      </c>
      <c r="D5890">
        <v>3</v>
      </c>
      <c r="E5890">
        <v>12.6</v>
      </c>
      <c r="F5890">
        <v>79</v>
      </c>
    </row>
    <row r="5891" spans="1:6" x14ac:dyDescent="0.35">
      <c r="A5891">
        <v>1975</v>
      </c>
      <c r="B5891" s="1">
        <v>45770</v>
      </c>
      <c r="C5891" s="2">
        <v>0.375</v>
      </c>
      <c r="D5891">
        <v>3</v>
      </c>
      <c r="E5891">
        <v>13.7</v>
      </c>
      <c r="F5891">
        <v>71</v>
      </c>
    </row>
    <row r="5892" spans="1:6" x14ac:dyDescent="0.35">
      <c r="A5892">
        <v>1975</v>
      </c>
      <c r="B5892" s="1">
        <v>45770</v>
      </c>
      <c r="C5892" s="2">
        <v>0.41666666666666669</v>
      </c>
      <c r="D5892">
        <v>3</v>
      </c>
      <c r="E5892">
        <v>14.1</v>
      </c>
      <c r="F5892">
        <v>71</v>
      </c>
    </row>
    <row r="5893" spans="1:6" x14ac:dyDescent="0.35">
      <c r="A5893">
        <v>1975</v>
      </c>
      <c r="B5893" s="1">
        <v>45770</v>
      </c>
      <c r="C5893" s="2">
        <v>0.45833333333333331</v>
      </c>
      <c r="D5893">
        <v>3</v>
      </c>
      <c r="E5893">
        <v>15.5</v>
      </c>
      <c r="F5893">
        <v>68</v>
      </c>
    </row>
    <row r="5894" spans="1:6" x14ac:dyDescent="0.35">
      <c r="A5894">
        <v>1975</v>
      </c>
      <c r="B5894" s="1">
        <v>45770</v>
      </c>
      <c r="C5894" s="2">
        <v>0.5</v>
      </c>
      <c r="D5894">
        <v>3</v>
      </c>
      <c r="E5894">
        <v>15.6</v>
      </c>
      <c r="F5894">
        <v>62</v>
      </c>
    </row>
    <row r="5895" spans="1:6" x14ac:dyDescent="0.35">
      <c r="A5895">
        <v>1975</v>
      </c>
      <c r="B5895" s="1">
        <v>45770</v>
      </c>
      <c r="C5895" s="2">
        <v>0.54166666666666663</v>
      </c>
      <c r="D5895">
        <v>3</v>
      </c>
      <c r="E5895">
        <v>16.3</v>
      </c>
      <c r="F5895">
        <v>60</v>
      </c>
    </row>
    <row r="5896" spans="1:6" x14ac:dyDescent="0.35">
      <c r="A5896">
        <v>1975</v>
      </c>
      <c r="B5896" s="1">
        <v>45770</v>
      </c>
      <c r="C5896" s="2">
        <v>0.58333333333333337</v>
      </c>
      <c r="D5896">
        <v>3</v>
      </c>
      <c r="E5896">
        <v>16.2</v>
      </c>
      <c r="F5896">
        <v>58</v>
      </c>
    </row>
    <row r="5897" spans="1:6" x14ac:dyDescent="0.35">
      <c r="A5897">
        <v>1975</v>
      </c>
      <c r="B5897" s="1">
        <v>45770</v>
      </c>
      <c r="C5897" s="2">
        <v>0.625</v>
      </c>
      <c r="D5897">
        <v>3</v>
      </c>
      <c r="E5897">
        <v>16.2</v>
      </c>
      <c r="F5897">
        <v>57</v>
      </c>
    </row>
    <row r="5898" spans="1:6" x14ac:dyDescent="0.35">
      <c r="A5898">
        <v>1975</v>
      </c>
      <c r="B5898" s="1">
        <v>45770</v>
      </c>
      <c r="C5898" s="2">
        <v>0.66666666666666663</v>
      </c>
      <c r="D5898">
        <v>3</v>
      </c>
      <c r="E5898">
        <v>15.2</v>
      </c>
      <c r="F5898">
        <v>68</v>
      </c>
    </row>
    <row r="5899" spans="1:6" x14ac:dyDescent="0.35">
      <c r="A5899">
        <v>1975</v>
      </c>
      <c r="B5899" s="1">
        <v>45770</v>
      </c>
      <c r="C5899" s="2">
        <v>0.70833333333333337</v>
      </c>
      <c r="D5899">
        <v>3</v>
      </c>
      <c r="E5899">
        <v>14.4</v>
      </c>
      <c r="F5899">
        <v>73</v>
      </c>
    </row>
    <row r="5900" spans="1:6" x14ac:dyDescent="0.35">
      <c r="A5900">
        <v>1975</v>
      </c>
      <c r="B5900" s="1">
        <v>45770</v>
      </c>
      <c r="C5900" s="2">
        <v>0.75</v>
      </c>
      <c r="D5900">
        <v>3</v>
      </c>
      <c r="E5900">
        <v>13.3</v>
      </c>
      <c r="F5900">
        <v>84</v>
      </c>
    </row>
    <row r="5901" spans="1:6" x14ac:dyDescent="0.35">
      <c r="A5901">
        <v>1975</v>
      </c>
      <c r="B5901" s="1">
        <v>45770</v>
      </c>
      <c r="C5901" s="2">
        <v>0.79166666666666663</v>
      </c>
      <c r="D5901">
        <v>3</v>
      </c>
      <c r="E5901">
        <v>12.5</v>
      </c>
      <c r="F5901">
        <v>82</v>
      </c>
    </row>
    <row r="5902" spans="1:6" x14ac:dyDescent="0.35">
      <c r="A5902">
        <v>1975</v>
      </c>
      <c r="B5902" s="1">
        <v>45770</v>
      </c>
      <c r="C5902" s="2">
        <v>0.83333333333333337</v>
      </c>
      <c r="D5902">
        <v>3</v>
      </c>
      <c r="E5902">
        <v>11.8</v>
      </c>
      <c r="F5902">
        <v>80</v>
      </c>
    </row>
    <row r="5903" spans="1:6" x14ac:dyDescent="0.35">
      <c r="A5903">
        <v>1975</v>
      </c>
      <c r="B5903" s="1">
        <v>45770</v>
      </c>
      <c r="C5903" s="2">
        <v>0.875</v>
      </c>
      <c r="D5903">
        <v>3</v>
      </c>
      <c r="E5903">
        <v>11.5</v>
      </c>
      <c r="F5903">
        <v>80</v>
      </c>
    </row>
    <row r="5904" spans="1:6" x14ac:dyDescent="0.35">
      <c r="A5904">
        <v>1975</v>
      </c>
      <c r="B5904" s="1">
        <v>45770</v>
      </c>
      <c r="C5904" s="2">
        <v>0.91666666666666663</v>
      </c>
      <c r="D5904">
        <v>3</v>
      </c>
      <c r="E5904">
        <v>11</v>
      </c>
      <c r="F5904">
        <v>82</v>
      </c>
    </row>
    <row r="5905" spans="1:6" x14ac:dyDescent="0.35">
      <c r="A5905">
        <v>1975</v>
      </c>
      <c r="B5905" s="1">
        <v>45770</v>
      </c>
      <c r="C5905" s="2">
        <v>0.95833333333333337</v>
      </c>
      <c r="D5905">
        <v>3</v>
      </c>
      <c r="E5905">
        <v>10.9</v>
      </c>
      <c r="F5905">
        <v>81</v>
      </c>
    </row>
    <row r="5906" spans="1:6" x14ac:dyDescent="0.35">
      <c r="A5906">
        <v>1975</v>
      </c>
      <c r="B5906" s="1">
        <v>45771</v>
      </c>
      <c r="C5906" s="2">
        <v>0</v>
      </c>
      <c r="D5906">
        <v>3</v>
      </c>
      <c r="E5906">
        <v>10.9</v>
      </c>
      <c r="F5906">
        <v>80</v>
      </c>
    </row>
    <row r="5907" spans="1:6" x14ac:dyDescent="0.35">
      <c r="A5907">
        <v>1975</v>
      </c>
      <c r="B5907" s="1">
        <v>45771</v>
      </c>
      <c r="C5907" s="2">
        <v>4.1666666666666657E-2</v>
      </c>
      <c r="D5907">
        <v>3</v>
      </c>
      <c r="E5907">
        <v>10.7</v>
      </c>
      <c r="F5907">
        <v>83</v>
      </c>
    </row>
    <row r="5908" spans="1:6" x14ac:dyDescent="0.35">
      <c r="A5908">
        <v>1975</v>
      </c>
      <c r="B5908" s="1">
        <v>45771</v>
      </c>
      <c r="C5908" s="2">
        <v>8.3333333333333329E-2</v>
      </c>
      <c r="D5908">
        <v>3</v>
      </c>
      <c r="E5908">
        <v>10.5</v>
      </c>
      <c r="F5908">
        <v>84</v>
      </c>
    </row>
    <row r="5909" spans="1:6" x14ac:dyDescent="0.35">
      <c r="A5909">
        <v>1975</v>
      </c>
      <c r="B5909" s="1">
        <v>45771</v>
      </c>
      <c r="C5909" s="2">
        <v>0.125</v>
      </c>
      <c r="D5909">
        <v>3</v>
      </c>
      <c r="E5909">
        <v>10.3</v>
      </c>
      <c r="F5909">
        <v>86</v>
      </c>
    </row>
    <row r="5910" spans="1:6" x14ac:dyDescent="0.35">
      <c r="A5910">
        <v>1975</v>
      </c>
      <c r="B5910" s="1">
        <v>45771</v>
      </c>
      <c r="C5910" s="2">
        <v>0.16666666666666671</v>
      </c>
      <c r="D5910">
        <v>3</v>
      </c>
      <c r="E5910">
        <v>10.1</v>
      </c>
      <c r="F5910">
        <v>88</v>
      </c>
    </row>
    <row r="5911" spans="1:6" x14ac:dyDescent="0.35">
      <c r="A5911">
        <v>1975</v>
      </c>
      <c r="B5911" s="1">
        <v>45771</v>
      </c>
      <c r="C5911" s="2">
        <v>0.20833333333333329</v>
      </c>
      <c r="D5911">
        <v>3</v>
      </c>
      <c r="E5911">
        <v>9.9</v>
      </c>
      <c r="F5911">
        <v>86</v>
      </c>
    </row>
    <row r="5912" spans="1:6" x14ac:dyDescent="0.35">
      <c r="A5912">
        <v>1975</v>
      </c>
      <c r="B5912" s="1">
        <v>45771</v>
      </c>
      <c r="C5912" s="2">
        <v>0.25</v>
      </c>
      <c r="D5912">
        <v>3</v>
      </c>
      <c r="E5912">
        <v>10.5</v>
      </c>
      <c r="F5912">
        <v>80</v>
      </c>
    </row>
    <row r="5913" spans="1:6" x14ac:dyDescent="0.35">
      <c r="A5913">
        <v>1975</v>
      </c>
      <c r="B5913" s="1">
        <v>45771</v>
      </c>
      <c r="C5913" s="2">
        <v>0.29166666666666669</v>
      </c>
      <c r="D5913">
        <v>3</v>
      </c>
      <c r="E5913">
        <v>11.6</v>
      </c>
      <c r="F5913">
        <v>80</v>
      </c>
    </row>
    <row r="5914" spans="1:6" x14ac:dyDescent="0.35">
      <c r="A5914">
        <v>1975</v>
      </c>
      <c r="B5914" s="1">
        <v>45771</v>
      </c>
      <c r="C5914" s="2">
        <v>0.33333333333333331</v>
      </c>
      <c r="D5914">
        <v>3</v>
      </c>
      <c r="E5914">
        <v>11.9</v>
      </c>
      <c r="F5914">
        <v>75</v>
      </c>
    </row>
    <row r="5915" spans="1:6" x14ac:dyDescent="0.35">
      <c r="A5915">
        <v>1975</v>
      </c>
      <c r="B5915" s="1">
        <v>45771</v>
      </c>
      <c r="C5915" s="2">
        <v>0.375</v>
      </c>
      <c r="D5915">
        <v>3</v>
      </c>
      <c r="E5915">
        <v>13.4</v>
      </c>
      <c r="F5915">
        <v>70</v>
      </c>
    </row>
    <row r="5916" spans="1:6" x14ac:dyDescent="0.35">
      <c r="A5916">
        <v>1975</v>
      </c>
      <c r="B5916" s="1">
        <v>45771</v>
      </c>
      <c r="C5916" s="2">
        <v>0.41666666666666669</v>
      </c>
      <c r="D5916">
        <v>3</v>
      </c>
      <c r="E5916">
        <v>14.1</v>
      </c>
      <c r="F5916">
        <v>60</v>
      </c>
    </row>
    <row r="5917" spans="1:6" x14ac:dyDescent="0.35">
      <c r="A5917">
        <v>1975</v>
      </c>
      <c r="B5917" s="1">
        <v>45771</v>
      </c>
      <c r="C5917" s="2">
        <v>0.45833333333333331</v>
      </c>
      <c r="D5917">
        <v>3</v>
      </c>
      <c r="E5917">
        <v>15.5</v>
      </c>
      <c r="F5917">
        <v>59</v>
      </c>
    </row>
    <row r="5918" spans="1:6" x14ac:dyDescent="0.35">
      <c r="A5918">
        <v>1975</v>
      </c>
      <c r="B5918" s="1">
        <v>45771</v>
      </c>
      <c r="C5918" s="2">
        <v>0.5</v>
      </c>
      <c r="D5918">
        <v>3</v>
      </c>
      <c r="E5918">
        <v>15.6</v>
      </c>
      <c r="F5918">
        <v>56</v>
      </c>
    </row>
    <row r="5919" spans="1:6" x14ac:dyDescent="0.35">
      <c r="A5919">
        <v>1975</v>
      </c>
      <c r="B5919" s="1">
        <v>45771</v>
      </c>
      <c r="C5919" s="2">
        <v>0.54166666666666663</v>
      </c>
      <c r="D5919">
        <v>3</v>
      </c>
      <c r="E5919">
        <v>15.6</v>
      </c>
      <c r="F5919">
        <v>55</v>
      </c>
    </row>
    <row r="5920" spans="1:6" x14ac:dyDescent="0.35">
      <c r="A5920">
        <v>1975</v>
      </c>
      <c r="B5920" s="1">
        <v>45771</v>
      </c>
      <c r="C5920" s="2">
        <v>0.58333333333333337</v>
      </c>
      <c r="D5920">
        <v>3</v>
      </c>
      <c r="E5920">
        <v>15.6</v>
      </c>
      <c r="F5920">
        <v>58</v>
      </c>
    </row>
    <row r="5921" spans="1:6" x14ac:dyDescent="0.35">
      <c r="A5921">
        <v>1975</v>
      </c>
      <c r="B5921" s="1">
        <v>45771</v>
      </c>
      <c r="C5921" s="2">
        <v>0.625</v>
      </c>
      <c r="D5921">
        <v>3</v>
      </c>
      <c r="E5921">
        <v>15.4</v>
      </c>
      <c r="F5921">
        <v>60</v>
      </c>
    </row>
    <row r="5922" spans="1:6" x14ac:dyDescent="0.35">
      <c r="A5922">
        <v>1975</v>
      </c>
      <c r="B5922" s="1">
        <v>45771</v>
      </c>
      <c r="C5922" s="2">
        <v>0.66666666666666663</v>
      </c>
      <c r="D5922">
        <v>3</v>
      </c>
      <c r="E5922">
        <v>14.8</v>
      </c>
      <c r="F5922">
        <v>62</v>
      </c>
    </row>
    <row r="5923" spans="1:6" x14ac:dyDescent="0.35">
      <c r="A5923">
        <v>1975</v>
      </c>
      <c r="B5923" s="1">
        <v>45771</v>
      </c>
      <c r="C5923" s="2">
        <v>0.70833333333333337</v>
      </c>
      <c r="D5923">
        <v>3</v>
      </c>
      <c r="E5923">
        <v>14.2</v>
      </c>
      <c r="F5923">
        <v>63</v>
      </c>
    </row>
    <row r="5924" spans="1:6" x14ac:dyDescent="0.35">
      <c r="A5924">
        <v>1975</v>
      </c>
      <c r="B5924" s="1">
        <v>45771</v>
      </c>
      <c r="C5924" s="2">
        <v>0.75</v>
      </c>
      <c r="D5924">
        <v>3</v>
      </c>
      <c r="E5924">
        <v>13.3</v>
      </c>
      <c r="F5924">
        <v>71</v>
      </c>
    </row>
    <row r="5925" spans="1:6" x14ac:dyDescent="0.35">
      <c r="A5925">
        <v>1975</v>
      </c>
      <c r="B5925" s="1">
        <v>45771</v>
      </c>
      <c r="C5925" s="2">
        <v>0.79166666666666663</v>
      </c>
      <c r="D5925">
        <v>3</v>
      </c>
      <c r="E5925">
        <v>11.9</v>
      </c>
      <c r="F5925">
        <v>76</v>
      </c>
    </row>
    <row r="5926" spans="1:6" x14ac:dyDescent="0.35">
      <c r="A5926">
        <v>1975</v>
      </c>
      <c r="B5926" s="1">
        <v>45771</v>
      </c>
      <c r="C5926" s="2">
        <v>0.83333333333333337</v>
      </c>
      <c r="D5926">
        <v>3</v>
      </c>
      <c r="E5926">
        <v>10.5</v>
      </c>
      <c r="F5926">
        <v>81</v>
      </c>
    </row>
    <row r="5927" spans="1:6" x14ac:dyDescent="0.35">
      <c r="A5927">
        <v>1975</v>
      </c>
      <c r="B5927" s="1">
        <v>45771</v>
      </c>
      <c r="C5927" s="2">
        <v>0.875</v>
      </c>
      <c r="D5927">
        <v>3</v>
      </c>
      <c r="E5927">
        <v>9.8000000000000007</v>
      </c>
      <c r="F5927">
        <v>85</v>
      </c>
    </row>
    <row r="5928" spans="1:6" x14ac:dyDescent="0.35">
      <c r="A5928">
        <v>1975</v>
      </c>
      <c r="B5928" s="1">
        <v>45771</v>
      </c>
      <c r="C5928" s="2">
        <v>0.91666666666666663</v>
      </c>
      <c r="D5928">
        <v>3</v>
      </c>
      <c r="E5928">
        <v>8.1</v>
      </c>
      <c r="F5928">
        <v>95</v>
      </c>
    </row>
    <row r="5929" spans="1:6" x14ac:dyDescent="0.35">
      <c r="A5929">
        <v>1975</v>
      </c>
      <c r="B5929" s="1">
        <v>45771</v>
      </c>
      <c r="C5929" s="2">
        <v>0.95833333333333337</v>
      </c>
      <c r="D5929">
        <v>3</v>
      </c>
      <c r="E5929">
        <v>8.6999999999999993</v>
      </c>
      <c r="F5929">
        <v>95</v>
      </c>
    </row>
    <row r="5930" spans="1:6" x14ac:dyDescent="0.35">
      <c r="A5930">
        <v>1975</v>
      </c>
      <c r="B5930" s="1">
        <v>45772</v>
      </c>
      <c r="C5930" s="2">
        <v>0</v>
      </c>
      <c r="D5930">
        <v>3</v>
      </c>
      <c r="E5930">
        <v>8.3000000000000007</v>
      </c>
      <c r="F5930">
        <v>95</v>
      </c>
    </row>
    <row r="5931" spans="1:6" x14ac:dyDescent="0.35">
      <c r="A5931">
        <v>1975</v>
      </c>
      <c r="B5931" s="1">
        <v>45772</v>
      </c>
      <c r="C5931" s="2">
        <v>4.1666666666666657E-2</v>
      </c>
      <c r="D5931">
        <v>3</v>
      </c>
      <c r="E5931">
        <v>8</v>
      </c>
      <c r="F5931">
        <v>94</v>
      </c>
    </row>
    <row r="5932" spans="1:6" x14ac:dyDescent="0.35">
      <c r="A5932">
        <v>1975</v>
      </c>
      <c r="B5932" s="1">
        <v>45772</v>
      </c>
      <c r="C5932" s="2">
        <v>8.3333333333333329E-2</v>
      </c>
      <c r="D5932">
        <v>3</v>
      </c>
      <c r="E5932">
        <v>8.3000000000000007</v>
      </c>
      <c r="F5932">
        <v>92</v>
      </c>
    </row>
    <row r="5933" spans="1:6" x14ac:dyDescent="0.35">
      <c r="A5933">
        <v>1975</v>
      </c>
      <c r="B5933" s="1">
        <v>45772</v>
      </c>
      <c r="C5933" s="2">
        <v>0.125</v>
      </c>
      <c r="D5933">
        <v>3</v>
      </c>
      <c r="E5933">
        <v>8.1999999999999993</v>
      </c>
      <c r="F5933">
        <v>92</v>
      </c>
    </row>
    <row r="5934" spans="1:6" x14ac:dyDescent="0.35">
      <c r="A5934">
        <v>1975</v>
      </c>
      <c r="B5934" s="1">
        <v>45772</v>
      </c>
      <c r="C5934" s="2">
        <v>0.16666666666666671</v>
      </c>
      <c r="D5934">
        <v>3</v>
      </c>
      <c r="E5934">
        <v>8.4</v>
      </c>
      <c r="F5934">
        <v>89</v>
      </c>
    </row>
    <row r="5935" spans="1:6" x14ac:dyDescent="0.35">
      <c r="A5935">
        <v>1975</v>
      </c>
      <c r="B5935" s="1">
        <v>45772</v>
      </c>
      <c r="C5935" s="2">
        <v>0.20833333333333329</v>
      </c>
      <c r="D5935">
        <v>3</v>
      </c>
      <c r="E5935">
        <v>8.1</v>
      </c>
      <c r="F5935">
        <v>88</v>
      </c>
    </row>
    <row r="5936" spans="1:6" x14ac:dyDescent="0.35">
      <c r="A5936">
        <v>1975</v>
      </c>
      <c r="B5936" s="1">
        <v>45772</v>
      </c>
      <c r="C5936" s="2">
        <v>0.25</v>
      </c>
      <c r="D5936">
        <v>3</v>
      </c>
      <c r="E5936">
        <v>8.1999999999999993</v>
      </c>
      <c r="F5936">
        <v>88</v>
      </c>
    </row>
    <row r="5937" spans="1:6" x14ac:dyDescent="0.35">
      <c r="A5937">
        <v>1975</v>
      </c>
      <c r="B5937" s="1">
        <v>45772</v>
      </c>
      <c r="C5937" s="2">
        <v>0.29166666666666669</v>
      </c>
      <c r="D5937">
        <v>3</v>
      </c>
      <c r="E5937">
        <v>8.8000000000000007</v>
      </c>
      <c r="F5937">
        <v>85</v>
      </c>
    </row>
    <row r="5938" spans="1:6" x14ac:dyDescent="0.35">
      <c r="A5938">
        <v>1975</v>
      </c>
      <c r="B5938" s="1">
        <v>45772</v>
      </c>
      <c r="C5938" s="2">
        <v>0.33333333333333331</v>
      </c>
      <c r="D5938">
        <v>3</v>
      </c>
      <c r="E5938">
        <v>9.1</v>
      </c>
      <c r="F5938">
        <v>83</v>
      </c>
    </row>
    <row r="5939" spans="1:6" x14ac:dyDescent="0.35">
      <c r="A5939">
        <v>1975</v>
      </c>
      <c r="B5939" s="1">
        <v>45772</v>
      </c>
      <c r="C5939" s="2">
        <v>0.375</v>
      </c>
      <c r="D5939">
        <v>3</v>
      </c>
      <c r="E5939">
        <v>9.5</v>
      </c>
      <c r="F5939">
        <v>80</v>
      </c>
    </row>
    <row r="5940" spans="1:6" x14ac:dyDescent="0.35">
      <c r="A5940">
        <v>1975</v>
      </c>
      <c r="B5940" s="1">
        <v>45772</v>
      </c>
      <c r="C5940" s="2">
        <v>0.41666666666666669</v>
      </c>
      <c r="D5940">
        <v>3</v>
      </c>
      <c r="E5940">
        <v>10.7</v>
      </c>
      <c r="F5940">
        <v>75</v>
      </c>
    </row>
    <row r="5941" spans="1:6" x14ac:dyDescent="0.35">
      <c r="A5941">
        <v>1975</v>
      </c>
      <c r="B5941" s="1">
        <v>45772</v>
      </c>
      <c r="C5941" s="2">
        <v>0.45833333333333331</v>
      </c>
      <c r="D5941">
        <v>3</v>
      </c>
      <c r="E5941">
        <v>12.6</v>
      </c>
      <c r="F5941">
        <v>73</v>
      </c>
    </row>
    <row r="5942" spans="1:6" x14ac:dyDescent="0.35">
      <c r="A5942">
        <v>1975</v>
      </c>
      <c r="B5942" s="1">
        <v>45772</v>
      </c>
      <c r="C5942" s="2">
        <v>0.5</v>
      </c>
      <c r="D5942">
        <v>3</v>
      </c>
      <c r="E5942">
        <v>14.1</v>
      </c>
      <c r="F5942">
        <v>64</v>
      </c>
    </row>
    <row r="5943" spans="1:6" x14ac:dyDescent="0.35">
      <c r="A5943">
        <v>1975</v>
      </c>
      <c r="B5943" s="1">
        <v>45772</v>
      </c>
      <c r="C5943" s="2">
        <v>0.54166666666666663</v>
      </c>
      <c r="D5943">
        <v>3</v>
      </c>
      <c r="E5943">
        <v>14.7</v>
      </c>
      <c r="F5943">
        <v>57</v>
      </c>
    </row>
    <row r="5944" spans="1:6" x14ac:dyDescent="0.35">
      <c r="A5944">
        <v>1975</v>
      </c>
      <c r="B5944" s="1">
        <v>45772</v>
      </c>
      <c r="C5944" s="2">
        <v>0.58333333333333337</v>
      </c>
      <c r="D5944">
        <v>3</v>
      </c>
      <c r="E5944">
        <v>15.7</v>
      </c>
      <c r="F5944">
        <v>53</v>
      </c>
    </row>
    <row r="5945" spans="1:6" x14ac:dyDescent="0.35">
      <c r="A5945">
        <v>1975</v>
      </c>
      <c r="B5945" s="1">
        <v>45772</v>
      </c>
      <c r="C5945" s="2">
        <v>0.625</v>
      </c>
      <c r="D5945">
        <v>3</v>
      </c>
      <c r="E5945">
        <v>15.4</v>
      </c>
      <c r="F5945">
        <v>51</v>
      </c>
    </row>
    <row r="5946" spans="1:6" x14ac:dyDescent="0.35">
      <c r="A5946">
        <v>1975</v>
      </c>
      <c r="B5946" s="1">
        <v>45772</v>
      </c>
      <c r="C5946" s="2">
        <v>0.66666666666666663</v>
      </c>
      <c r="D5946">
        <v>3</v>
      </c>
      <c r="E5946">
        <v>15.1</v>
      </c>
      <c r="F5946">
        <v>49</v>
      </c>
    </row>
    <row r="5947" spans="1:6" x14ac:dyDescent="0.35">
      <c r="A5947">
        <v>1975</v>
      </c>
      <c r="B5947" s="1">
        <v>45772</v>
      </c>
      <c r="C5947" s="2">
        <v>0.70833333333333337</v>
      </c>
      <c r="D5947">
        <v>3</v>
      </c>
      <c r="E5947">
        <v>14.2</v>
      </c>
      <c r="F5947">
        <v>49</v>
      </c>
    </row>
    <row r="5948" spans="1:6" x14ac:dyDescent="0.35">
      <c r="A5948">
        <v>1975</v>
      </c>
      <c r="B5948" s="1">
        <v>45772</v>
      </c>
      <c r="C5948" s="2">
        <v>0.75</v>
      </c>
      <c r="D5948">
        <v>3</v>
      </c>
      <c r="E5948">
        <v>13</v>
      </c>
      <c r="F5948">
        <v>47</v>
      </c>
    </row>
    <row r="5949" spans="1:6" x14ac:dyDescent="0.35">
      <c r="A5949">
        <v>1975</v>
      </c>
      <c r="B5949" s="1">
        <v>45772</v>
      </c>
      <c r="C5949" s="2">
        <v>0.79166666666666663</v>
      </c>
      <c r="D5949">
        <v>3</v>
      </c>
      <c r="E5949">
        <v>10.4</v>
      </c>
      <c r="F5949">
        <v>58</v>
      </c>
    </row>
    <row r="5950" spans="1:6" x14ac:dyDescent="0.35">
      <c r="A5950">
        <v>1975</v>
      </c>
      <c r="B5950" s="1">
        <v>45772</v>
      </c>
      <c r="C5950" s="2">
        <v>0.83333333333333337</v>
      </c>
      <c r="D5950">
        <v>3</v>
      </c>
      <c r="E5950">
        <v>9.5</v>
      </c>
      <c r="F5950">
        <v>65</v>
      </c>
    </row>
    <row r="5951" spans="1:6" x14ac:dyDescent="0.35">
      <c r="A5951">
        <v>1975</v>
      </c>
      <c r="B5951" s="1">
        <v>45772</v>
      </c>
      <c r="C5951" s="2">
        <v>0.875</v>
      </c>
      <c r="D5951">
        <v>3</v>
      </c>
      <c r="E5951">
        <v>8.1</v>
      </c>
      <c r="F5951">
        <v>74</v>
      </c>
    </row>
    <row r="5952" spans="1:6" x14ac:dyDescent="0.35">
      <c r="A5952">
        <v>1975</v>
      </c>
      <c r="B5952" s="1">
        <v>45772</v>
      </c>
      <c r="C5952" s="2">
        <v>0.91666666666666663</v>
      </c>
      <c r="D5952">
        <v>3</v>
      </c>
      <c r="E5952">
        <v>7</v>
      </c>
      <c r="F5952">
        <v>80</v>
      </c>
    </row>
    <row r="5953" spans="1:6" x14ac:dyDescent="0.35">
      <c r="A5953">
        <v>1975</v>
      </c>
      <c r="B5953" s="1">
        <v>45772</v>
      </c>
      <c r="C5953" s="2">
        <v>0.95833333333333337</v>
      </c>
      <c r="D5953">
        <v>3</v>
      </c>
      <c r="E5953">
        <v>5.3</v>
      </c>
      <c r="F5953">
        <v>91</v>
      </c>
    </row>
    <row r="5954" spans="1:6" x14ac:dyDescent="0.35">
      <c r="A5954">
        <v>1975</v>
      </c>
      <c r="B5954" s="1">
        <v>45773</v>
      </c>
      <c r="C5954" s="2">
        <v>0</v>
      </c>
      <c r="D5954">
        <v>3</v>
      </c>
      <c r="E5954">
        <v>4.9000000000000004</v>
      </c>
      <c r="F5954">
        <v>96</v>
      </c>
    </row>
    <row r="5955" spans="1:6" x14ac:dyDescent="0.35">
      <c r="A5955">
        <v>1975</v>
      </c>
      <c r="B5955" s="1">
        <v>45773</v>
      </c>
      <c r="C5955" s="2">
        <v>4.1666666666666657E-2</v>
      </c>
      <c r="D5955">
        <v>3</v>
      </c>
      <c r="E5955">
        <v>4.0999999999999996</v>
      </c>
      <c r="F5955">
        <v>95</v>
      </c>
    </row>
    <row r="5956" spans="1:6" x14ac:dyDescent="0.35">
      <c r="A5956">
        <v>1975</v>
      </c>
      <c r="B5956" s="1">
        <v>45773</v>
      </c>
      <c r="C5956" s="2">
        <v>8.3333333333333329E-2</v>
      </c>
      <c r="D5956">
        <v>3</v>
      </c>
      <c r="E5956">
        <v>4.5</v>
      </c>
      <c r="F5956">
        <v>92</v>
      </c>
    </row>
    <row r="5957" spans="1:6" x14ac:dyDescent="0.35">
      <c r="A5957">
        <v>1975</v>
      </c>
      <c r="B5957" s="1">
        <v>45773</v>
      </c>
      <c r="C5957" s="2">
        <v>0.125</v>
      </c>
      <c r="D5957">
        <v>3</v>
      </c>
      <c r="E5957">
        <v>3.8</v>
      </c>
      <c r="F5957">
        <v>90</v>
      </c>
    </row>
    <row r="5958" spans="1:6" x14ac:dyDescent="0.35">
      <c r="A5958">
        <v>1975</v>
      </c>
      <c r="B5958" s="1">
        <v>45773</v>
      </c>
      <c r="C5958" s="2">
        <v>0.16666666666666671</v>
      </c>
      <c r="D5958">
        <v>3</v>
      </c>
      <c r="E5958">
        <v>3.8</v>
      </c>
      <c r="F5958">
        <v>90</v>
      </c>
    </row>
    <row r="5959" spans="1:6" x14ac:dyDescent="0.35">
      <c r="A5959">
        <v>1975</v>
      </c>
      <c r="B5959" s="1">
        <v>45773</v>
      </c>
      <c r="C5959" s="2">
        <v>0.20833333333333329</v>
      </c>
      <c r="D5959">
        <v>3</v>
      </c>
      <c r="E5959">
        <v>4.0999999999999996</v>
      </c>
      <c r="F5959">
        <v>85</v>
      </c>
    </row>
    <row r="5960" spans="1:6" x14ac:dyDescent="0.35">
      <c r="A5960">
        <v>1975</v>
      </c>
      <c r="B5960" s="1">
        <v>45773</v>
      </c>
      <c r="C5960" s="2">
        <v>0.25</v>
      </c>
      <c r="D5960">
        <v>3</v>
      </c>
      <c r="E5960">
        <v>6.7</v>
      </c>
      <c r="F5960">
        <v>76</v>
      </c>
    </row>
    <row r="5961" spans="1:6" x14ac:dyDescent="0.35">
      <c r="A5961">
        <v>1975</v>
      </c>
      <c r="B5961" s="1">
        <v>45773</v>
      </c>
      <c r="C5961" s="2">
        <v>0.29166666666666669</v>
      </c>
      <c r="D5961">
        <v>3</v>
      </c>
      <c r="E5961">
        <v>9.1999999999999993</v>
      </c>
      <c r="F5961">
        <v>65</v>
      </c>
    </row>
    <row r="5962" spans="1:6" x14ac:dyDescent="0.35">
      <c r="A5962">
        <v>1975</v>
      </c>
      <c r="B5962" s="1">
        <v>45773</v>
      </c>
      <c r="C5962" s="2">
        <v>0.33333333333333331</v>
      </c>
      <c r="D5962">
        <v>3</v>
      </c>
      <c r="E5962">
        <v>11.3</v>
      </c>
      <c r="F5962">
        <v>59</v>
      </c>
    </row>
    <row r="5963" spans="1:6" x14ac:dyDescent="0.35">
      <c r="A5963">
        <v>1975</v>
      </c>
      <c r="B5963" s="1">
        <v>45773</v>
      </c>
      <c r="C5963" s="2">
        <v>0.375</v>
      </c>
      <c r="D5963">
        <v>3</v>
      </c>
      <c r="E5963">
        <v>13.1</v>
      </c>
      <c r="F5963">
        <v>55</v>
      </c>
    </row>
    <row r="5964" spans="1:6" x14ac:dyDescent="0.35">
      <c r="A5964">
        <v>1975</v>
      </c>
      <c r="B5964" s="1">
        <v>45773</v>
      </c>
      <c r="C5964" s="2">
        <v>0.41666666666666669</v>
      </c>
      <c r="D5964">
        <v>3</v>
      </c>
      <c r="E5964">
        <v>14.8</v>
      </c>
      <c r="F5964">
        <v>47</v>
      </c>
    </row>
    <row r="5965" spans="1:6" x14ac:dyDescent="0.35">
      <c r="A5965">
        <v>1975</v>
      </c>
      <c r="B5965" s="1">
        <v>45773</v>
      </c>
      <c r="C5965" s="2">
        <v>0.45833333333333331</v>
      </c>
      <c r="D5965">
        <v>3</v>
      </c>
      <c r="E5965">
        <v>15.6</v>
      </c>
      <c r="F5965">
        <v>45</v>
      </c>
    </row>
    <row r="5966" spans="1:6" x14ac:dyDescent="0.35">
      <c r="A5966">
        <v>1975</v>
      </c>
      <c r="B5966" s="1">
        <v>45773</v>
      </c>
      <c r="C5966" s="2">
        <v>0.5</v>
      </c>
      <c r="D5966">
        <v>3</v>
      </c>
      <c r="E5966">
        <v>16.7</v>
      </c>
      <c r="F5966">
        <v>41</v>
      </c>
    </row>
    <row r="5967" spans="1:6" x14ac:dyDescent="0.35">
      <c r="A5967">
        <v>1975</v>
      </c>
      <c r="B5967" s="1">
        <v>45773</v>
      </c>
      <c r="C5967" s="2">
        <v>0.54166666666666663</v>
      </c>
      <c r="D5967">
        <v>3</v>
      </c>
      <c r="E5967">
        <v>16.7</v>
      </c>
      <c r="F5967">
        <v>37</v>
      </c>
    </row>
    <row r="5968" spans="1:6" x14ac:dyDescent="0.35">
      <c r="A5968">
        <v>1975</v>
      </c>
      <c r="B5968" s="1">
        <v>45773</v>
      </c>
      <c r="C5968" s="2">
        <v>0.58333333333333337</v>
      </c>
      <c r="D5968">
        <v>3</v>
      </c>
      <c r="E5968">
        <v>16.899999999999999</v>
      </c>
      <c r="F5968">
        <v>42</v>
      </c>
    </row>
    <row r="5969" spans="1:6" x14ac:dyDescent="0.35">
      <c r="A5969">
        <v>1975</v>
      </c>
      <c r="B5969" s="1">
        <v>45773</v>
      </c>
      <c r="C5969" s="2">
        <v>0.625</v>
      </c>
      <c r="D5969">
        <v>3</v>
      </c>
      <c r="E5969">
        <v>17.899999999999999</v>
      </c>
      <c r="F5969">
        <v>39</v>
      </c>
    </row>
    <row r="5970" spans="1:6" x14ac:dyDescent="0.35">
      <c r="A5970">
        <v>1975</v>
      </c>
      <c r="B5970" s="1">
        <v>45773</v>
      </c>
      <c r="C5970" s="2">
        <v>0.66666666666666663</v>
      </c>
      <c r="D5970">
        <v>3</v>
      </c>
      <c r="E5970">
        <v>17.5</v>
      </c>
      <c r="F5970">
        <v>38</v>
      </c>
    </row>
    <row r="5971" spans="1:6" x14ac:dyDescent="0.35">
      <c r="A5971">
        <v>1975</v>
      </c>
      <c r="B5971" s="1">
        <v>45773</v>
      </c>
      <c r="C5971" s="2">
        <v>0.70833333333333337</v>
      </c>
      <c r="D5971">
        <v>3</v>
      </c>
      <c r="E5971">
        <v>16</v>
      </c>
      <c r="F5971">
        <v>44</v>
      </c>
    </row>
    <row r="5972" spans="1:6" x14ac:dyDescent="0.35">
      <c r="A5972">
        <v>1975</v>
      </c>
      <c r="B5972" s="1">
        <v>45773</v>
      </c>
      <c r="C5972" s="2">
        <v>0.75</v>
      </c>
      <c r="D5972">
        <v>3</v>
      </c>
      <c r="E5972">
        <v>15.2</v>
      </c>
      <c r="F5972">
        <v>44</v>
      </c>
    </row>
    <row r="5973" spans="1:6" x14ac:dyDescent="0.35">
      <c r="A5973">
        <v>1975</v>
      </c>
      <c r="B5973" s="1">
        <v>45773</v>
      </c>
      <c r="C5973" s="2">
        <v>0.79166666666666663</v>
      </c>
      <c r="D5973">
        <v>3</v>
      </c>
      <c r="E5973">
        <v>12.7</v>
      </c>
      <c r="F5973">
        <v>55</v>
      </c>
    </row>
    <row r="5974" spans="1:6" x14ac:dyDescent="0.35">
      <c r="A5974">
        <v>1975</v>
      </c>
      <c r="B5974" s="1">
        <v>45773</v>
      </c>
      <c r="C5974" s="2">
        <v>0.83333333333333337</v>
      </c>
      <c r="D5974">
        <v>3</v>
      </c>
      <c r="E5974">
        <v>11</v>
      </c>
      <c r="F5974">
        <v>63</v>
      </c>
    </row>
    <row r="5975" spans="1:6" x14ac:dyDescent="0.35">
      <c r="A5975">
        <v>1975</v>
      </c>
      <c r="B5975" s="1">
        <v>45773</v>
      </c>
      <c r="C5975" s="2">
        <v>0.875</v>
      </c>
      <c r="D5975">
        <v>3</v>
      </c>
      <c r="E5975">
        <v>11.1</v>
      </c>
      <c r="F5975">
        <v>58</v>
      </c>
    </row>
    <row r="5976" spans="1:6" x14ac:dyDescent="0.35">
      <c r="A5976">
        <v>1975</v>
      </c>
      <c r="B5976" s="1">
        <v>45773</v>
      </c>
      <c r="C5976" s="2">
        <v>0.91666666666666663</v>
      </c>
      <c r="D5976">
        <v>3</v>
      </c>
      <c r="E5976">
        <v>10.3</v>
      </c>
      <c r="F5976">
        <v>56</v>
      </c>
    </row>
    <row r="5977" spans="1:6" x14ac:dyDescent="0.35">
      <c r="A5977">
        <v>1975</v>
      </c>
      <c r="B5977" s="1">
        <v>45773</v>
      </c>
      <c r="C5977" s="2">
        <v>0.95833333333333337</v>
      </c>
      <c r="D5977">
        <v>3</v>
      </c>
      <c r="E5977">
        <v>9.5</v>
      </c>
      <c r="F5977">
        <v>58</v>
      </c>
    </row>
    <row r="5978" spans="1:6" x14ac:dyDescent="0.35">
      <c r="A5978">
        <v>1975</v>
      </c>
      <c r="B5978" s="1">
        <v>45774</v>
      </c>
      <c r="C5978" s="2">
        <v>0</v>
      </c>
      <c r="D5978">
        <v>3</v>
      </c>
      <c r="E5978">
        <v>8.5</v>
      </c>
      <c r="F5978">
        <v>62</v>
      </c>
    </row>
    <row r="5979" spans="1:6" x14ac:dyDescent="0.35">
      <c r="A5979">
        <v>1975</v>
      </c>
      <c r="B5979" s="1">
        <v>45774</v>
      </c>
      <c r="C5979" s="2">
        <v>4.1666666666666657E-2</v>
      </c>
      <c r="D5979">
        <v>3</v>
      </c>
      <c r="E5979">
        <v>7.6</v>
      </c>
      <c r="F5979">
        <v>66</v>
      </c>
    </row>
    <row r="5980" spans="1:6" x14ac:dyDescent="0.35">
      <c r="A5980">
        <v>1975</v>
      </c>
      <c r="B5980" s="1">
        <v>45774</v>
      </c>
      <c r="C5980" s="2">
        <v>8.3333333333333329E-2</v>
      </c>
      <c r="D5980">
        <v>3</v>
      </c>
      <c r="E5980">
        <v>6.6</v>
      </c>
      <c r="F5980">
        <v>70</v>
      </c>
    </row>
    <row r="5981" spans="1:6" x14ac:dyDescent="0.35">
      <c r="A5981">
        <v>1975</v>
      </c>
      <c r="B5981" s="1">
        <v>45774</v>
      </c>
      <c r="C5981" s="2">
        <v>0.125</v>
      </c>
      <c r="D5981">
        <v>3</v>
      </c>
      <c r="E5981">
        <v>6</v>
      </c>
      <c r="F5981">
        <v>73</v>
      </c>
    </row>
    <row r="5982" spans="1:6" x14ac:dyDescent="0.35">
      <c r="A5982">
        <v>1975</v>
      </c>
      <c r="B5982" s="1">
        <v>45774</v>
      </c>
      <c r="C5982" s="2">
        <v>0.16666666666666671</v>
      </c>
      <c r="D5982">
        <v>3</v>
      </c>
      <c r="E5982">
        <v>4.4000000000000004</v>
      </c>
      <c r="F5982">
        <v>80</v>
      </c>
    </row>
    <row r="5983" spans="1:6" x14ac:dyDescent="0.35">
      <c r="A5983">
        <v>1975</v>
      </c>
      <c r="B5983" s="1">
        <v>45774</v>
      </c>
      <c r="C5983" s="2">
        <v>0.20833333333333329</v>
      </c>
      <c r="D5983">
        <v>3</v>
      </c>
      <c r="E5983">
        <v>5.6</v>
      </c>
      <c r="F5983">
        <v>74</v>
      </c>
    </row>
    <row r="5984" spans="1:6" x14ac:dyDescent="0.35">
      <c r="A5984">
        <v>1975</v>
      </c>
      <c r="B5984" s="1">
        <v>45774</v>
      </c>
      <c r="C5984" s="2">
        <v>0.25</v>
      </c>
      <c r="D5984">
        <v>3</v>
      </c>
      <c r="E5984">
        <v>7</v>
      </c>
      <c r="F5984">
        <v>68</v>
      </c>
    </row>
    <row r="5985" spans="1:6" x14ac:dyDescent="0.35">
      <c r="A5985">
        <v>1975</v>
      </c>
      <c r="B5985" s="1">
        <v>45774</v>
      </c>
      <c r="C5985" s="2">
        <v>0.29166666666666669</v>
      </c>
      <c r="D5985">
        <v>3</v>
      </c>
      <c r="E5985">
        <v>9.1</v>
      </c>
      <c r="F5985">
        <v>59</v>
      </c>
    </row>
    <row r="5986" spans="1:6" x14ac:dyDescent="0.35">
      <c r="A5986">
        <v>1975</v>
      </c>
      <c r="B5986" s="1">
        <v>45774</v>
      </c>
      <c r="C5986" s="2">
        <v>0.33333333333333331</v>
      </c>
      <c r="D5986">
        <v>3</v>
      </c>
      <c r="E5986">
        <v>12.1</v>
      </c>
      <c r="F5986">
        <v>50</v>
      </c>
    </row>
    <row r="5987" spans="1:6" x14ac:dyDescent="0.35">
      <c r="A5987">
        <v>1975</v>
      </c>
      <c r="B5987" s="1">
        <v>45774</v>
      </c>
      <c r="C5987" s="2">
        <v>0.375</v>
      </c>
      <c r="D5987">
        <v>3</v>
      </c>
      <c r="E5987">
        <v>13.5</v>
      </c>
      <c r="F5987">
        <v>40</v>
      </c>
    </row>
    <row r="5988" spans="1:6" x14ac:dyDescent="0.35">
      <c r="A5988">
        <v>1975</v>
      </c>
      <c r="B5988" s="1">
        <v>45774</v>
      </c>
      <c r="C5988" s="2">
        <v>0.41666666666666669</v>
      </c>
      <c r="D5988">
        <v>3</v>
      </c>
      <c r="E5988">
        <v>14.2</v>
      </c>
      <c r="F5988">
        <v>37</v>
      </c>
    </row>
    <row r="5989" spans="1:6" x14ac:dyDescent="0.35">
      <c r="A5989">
        <v>1975</v>
      </c>
      <c r="B5989" s="1">
        <v>45774</v>
      </c>
      <c r="C5989" s="2">
        <v>0.45833333333333331</v>
      </c>
      <c r="D5989">
        <v>3</v>
      </c>
      <c r="E5989">
        <v>15.4</v>
      </c>
      <c r="F5989">
        <v>36</v>
      </c>
    </row>
    <row r="5990" spans="1:6" x14ac:dyDescent="0.35">
      <c r="A5990">
        <v>1975</v>
      </c>
      <c r="B5990" s="1">
        <v>45774</v>
      </c>
      <c r="C5990" s="2">
        <v>0.5</v>
      </c>
      <c r="D5990">
        <v>3</v>
      </c>
      <c r="E5990">
        <v>15.7</v>
      </c>
      <c r="F5990">
        <v>30</v>
      </c>
    </row>
    <row r="5991" spans="1:6" x14ac:dyDescent="0.35">
      <c r="A5991">
        <v>1975</v>
      </c>
      <c r="B5991" s="1">
        <v>45774</v>
      </c>
      <c r="C5991" s="2">
        <v>0.54166666666666663</v>
      </c>
      <c r="D5991">
        <v>3</v>
      </c>
      <c r="E5991">
        <v>16.600000000000001</v>
      </c>
      <c r="F5991">
        <v>29</v>
      </c>
    </row>
    <row r="5992" spans="1:6" x14ac:dyDescent="0.35">
      <c r="A5992">
        <v>1975</v>
      </c>
      <c r="B5992" s="1">
        <v>45774</v>
      </c>
      <c r="C5992" s="2">
        <v>0.58333333333333337</v>
      </c>
      <c r="D5992">
        <v>3</v>
      </c>
      <c r="E5992">
        <v>17.7</v>
      </c>
      <c r="F5992">
        <v>30</v>
      </c>
    </row>
    <row r="5993" spans="1:6" x14ac:dyDescent="0.35">
      <c r="A5993">
        <v>1975</v>
      </c>
      <c r="B5993" s="1">
        <v>45774</v>
      </c>
      <c r="C5993" s="2">
        <v>0.625</v>
      </c>
      <c r="D5993">
        <v>3</v>
      </c>
      <c r="E5993">
        <v>17.399999999999999</v>
      </c>
      <c r="F5993">
        <v>30</v>
      </c>
    </row>
    <row r="5994" spans="1:6" x14ac:dyDescent="0.35">
      <c r="A5994">
        <v>1975</v>
      </c>
      <c r="B5994" s="1">
        <v>45774</v>
      </c>
      <c r="C5994" s="2">
        <v>0.66666666666666663</v>
      </c>
      <c r="D5994">
        <v>3</v>
      </c>
      <c r="E5994">
        <v>18</v>
      </c>
      <c r="F5994">
        <v>33</v>
      </c>
    </row>
    <row r="5995" spans="1:6" x14ac:dyDescent="0.35">
      <c r="A5995">
        <v>1975</v>
      </c>
      <c r="B5995" s="1">
        <v>45774</v>
      </c>
      <c r="C5995" s="2">
        <v>0.70833333333333337</v>
      </c>
      <c r="D5995">
        <v>3</v>
      </c>
      <c r="E5995">
        <v>17</v>
      </c>
      <c r="F5995">
        <v>32</v>
      </c>
    </row>
    <row r="5996" spans="1:6" x14ac:dyDescent="0.35">
      <c r="A5996">
        <v>1975</v>
      </c>
      <c r="B5996" s="1">
        <v>45774</v>
      </c>
      <c r="C5996" s="2">
        <v>0.75</v>
      </c>
      <c r="D5996">
        <v>3</v>
      </c>
      <c r="E5996">
        <v>16.100000000000001</v>
      </c>
      <c r="F5996">
        <v>37</v>
      </c>
    </row>
    <row r="5997" spans="1:6" x14ac:dyDescent="0.35">
      <c r="A5997">
        <v>1975</v>
      </c>
      <c r="B5997" s="1">
        <v>45774</v>
      </c>
      <c r="C5997" s="2">
        <v>0.79166666666666663</v>
      </c>
      <c r="D5997">
        <v>3</v>
      </c>
      <c r="E5997">
        <v>14.9</v>
      </c>
      <c r="F5997">
        <v>40</v>
      </c>
    </row>
    <row r="5998" spans="1:6" x14ac:dyDescent="0.35">
      <c r="A5998">
        <v>1975</v>
      </c>
      <c r="B5998" s="1">
        <v>45774</v>
      </c>
      <c r="C5998" s="2">
        <v>0.83333333333333337</v>
      </c>
      <c r="D5998">
        <v>3</v>
      </c>
      <c r="E5998">
        <v>10.9</v>
      </c>
      <c r="F5998">
        <v>61</v>
      </c>
    </row>
    <row r="5999" spans="1:6" x14ac:dyDescent="0.35">
      <c r="A5999">
        <v>1975</v>
      </c>
      <c r="B5999" s="1">
        <v>45774</v>
      </c>
      <c r="C5999" s="2">
        <v>0.875</v>
      </c>
      <c r="D5999">
        <v>3</v>
      </c>
      <c r="E5999">
        <v>9.4</v>
      </c>
      <c r="F5999">
        <v>67</v>
      </c>
    </row>
    <row r="6000" spans="1:6" x14ac:dyDescent="0.35">
      <c r="A6000">
        <v>1975</v>
      </c>
      <c r="B6000" s="1">
        <v>45774</v>
      </c>
      <c r="C6000" s="2">
        <v>0.91666666666666663</v>
      </c>
      <c r="D6000">
        <v>3</v>
      </c>
      <c r="E6000">
        <v>8.8000000000000007</v>
      </c>
      <c r="F6000">
        <v>68</v>
      </c>
    </row>
    <row r="6001" spans="1:6" x14ac:dyDescent="0.35">
      <c r="A6001">
        <v>1975</v>
      </c>
      <c r="B6001" s="1">
        <v>45774</v>
      </c>
      <c r="C6001" s="2">
        <v>0.95833333333333337</v>
      </c>
      <c r="D6001">
        <v>3</v>
      </c>
      <c r="E6001">
        <v>8.1</v>
      </c>
      <c r="F6001">
        <v>70</v>
      </c>
    </row>
    <row r="6002" spans="1:6" x14ac:dyDescent="0.35">
      <c r="A6002">
        <v>1975</v>
      </c>
      <c r="B6002" s="1">
        <v>45775</v>
      </c>
      <c r="C6002" s="2">
        <v>0</v>
      </c>
      <c r="D6002">
        <v>3</v>
      </c>
      <c r="E6002">
        <v>5.9</v>
      </c>
      <c r="F6002">
        <v>79</v>
      </c>
    </row>
    <row r="6003" spans="1:6" x14ac:dyDescent="0.35">
      <c r="A6003">
        <v>1975</v>
      </c>
      <c r="B6003" s="1">
        <v>45775</v>
      </c>
      <c r="C6003" s="2">
        <v>4.1666666666666657E-2</v>
      </c>
      <c r="D6003">
        <v>3</v>
      </c>
      <c r="E6003">
        <v>5.8</v>
      </c>
      <c r="F6003">
        <v>81</v>
      </c>
    </row>
    <row r="6004" spans="1:6" x14ac:dyDescent="0.35">
      <c r="A6004">
        <v>1975</v>
      </c>
      <c r="B6004" s="1">
        <v>45775</v>
      </c>
      <c r="C6004" s="2">
        <v>8.3333333333333329E-2</v>
      </c>
      <c r="D6004">
        <v>3</v>
      </c>
      <c r="E6004">
        <v>5.2</v>
      </c>
      <c r="F6004">
        <v>86</v>
      </c>
    </row>
    <row r="6005" spans="1:6" x14ac:dyDescent="0.35">
      <c r="A6005">
        <v>1975</v>
      </c>
      <c r="B6005" s="1">
        <v>45775</v>
      </c>
      <c r="C6005" s="2">
        <v>0.125</v>
      </c>
      <c r="D6005">
        <v>3</v>
      </c>
      <c r="E6005">
        <v>4.3</v>
      </c>
      <c r="F6005">
        <v>87</v>
      </c>
    </row>
    <row r="6006" spans="1:6" x14ac:dyDescent="0.35">
      <c r="A6006">
        <v>1975</v>
      </c>
      <c r="B6006" s="1">
        <v>45775</v>
      </c>
      <c r="C6006" s="2">
        <v>0.16666666666666671</v>
      </c>
      <c r="D6006">
        <v>3</v>
      </c>
      <c r="E6006">
        <v>3.8</v>
      </c>
      <c r="F6006">
        <v>87</v>
      </c>
    </row>
    <row r="6007" spans="1:6" x14ac:dyDescent="0.35">
      <c r="A6007">
        <v>1975</v>
      </c>
      <c r="B6007" s="1">
        <v>45775</v>
      </c>
      <c r="C6007" s="2">
        <v>0.20833333333333329</v>
      </c>
      <c r="D6007">
        <v>3</v>
      </c>
      <c r="E6007">
        <v>6</v>
      </c>
      <c r="F6007">
        <v>76</v>
      </c>
    </row>
    <row r="6008" spans="1:6" x14ac:dyDescent="0.35">
      <c r="A6008">
        <v>1975</v>
      </c>
      <c r="B6008" s="1">
        <v>45775</v>
      </c>
      <c r="C6008" s="2">
        <v>0.25</v>
      </c>
      <c r="D6008">
        <v>3</v>
      </c>
      <c r="E6008">
        <v>9.5</v>
      </c>
      <c r="F6008">
        <v>66</v>
      </c>
    </row>
    <row r="6009" spans="1:6" x14ac:dyDescent="0.35">
      <c r="A6009">
        <v>1975</v>
      </c>
      <c r="B6009" s="1">
        <v>45775</v>
      </c>
      <c r="C6009" s="2">
        <v>0.29166666666666669</v>
      </c>
      <c r="D6009">
        <v>3</v>
      </c>
      <c r="E6009">
        <v>12.1</v>
      </c>
      <c r="F6009">
        <v>57</v>
      </c>
    </row>
    <row r="6010" spans="1:6" x14ac:dyDescent="0.35">
      <c r="A6010">
        <v>1975</v>
      </c>
      <c r="B6010" s="1">
        <v>45775</v>
      </c>
      <c r="C6010" s="2">
        <v>0.33333333333333331</v>
      </c>
      <c r="D6010">
        <v>3</v>
      </c>
      <c r="E6010">
        <v>15.7</v>
      </c>
      <c r="F6010">
        <v>45</v>
      </c>
    </row>
    <row r="6011" spans="1:6" x14ac:dyDescent="0.35">
      <c r="A6011">
        <v>1975</v>
      </c>
      <c r="B6011" s="1">
        <v>45775</v>
      </c>
      <c r="C6011" s="2">
        <v>0.375</v>
      </c>
      <c r="D6011">
        <v>3</v>
      </c>
      <c r="E6011">
        <v>17.899999999999999</v>
      </c>
      <c r="F6011">
        <v>31</v>
      </c>
    </row>
    <row r="6012" spans="1:6" x14ac:dyDescent="0.35">
      <c r="A6012">
        <v>1975</v>
      </c>
      <c r="B6012" s="1">
        <v>45775</v>
      </c>
      <c r="C6012" s="2">
        <v>0.41666666666666669</v>
      </c>
      <c r="D6012">
        <v>3</v>
      </c>
      <c r="E6012">
        <v>18.2</v>
      </c>
      <c r="F6012">
        <v>-999</v>
      </c>
    </row>
    <row r="6013" spans="1:6" x14ac:dyDescent="0.35">
      <c r="A6013">
        <v>1975</v>
      </c>
      <c r="B6013" s="1">
        <v>45775</v>
      </c>
      <c r="C6013" s="2">
        <v>0.45833333333333331</v>
      </c>
      <c r="D6013">
        <v>3</v>
      </c>
      <c r="E6013">
        <v>19.2</v>
      </c>
      <c r="F6013">
        <v>-999</v>
      </c>
    </row>
    <row r="6014" spans="1:6" x14ac:dyDescent="0.35">
      <c r="A6014">
        <v>1975</v>
      </c>
      <c r="B6014" s="1">
        <v>45775</v>
      </c>
      <c r="C6014" s="2">
        <v>0.5</v>
      </c>
      <c r="D6014">
        <v>3</v>
      </c>
      <c r="E6014">
        <v>19.600000000000001</v>
      </c>
      <c r="F6014">
        <v>-999</v>
      </c>
    </row>
    <row r="6015" spans="1:6" x14ac:dyDescent="0.35">
      <c r="A6015">
        <v>1975</v>
      </c>
      <c r="B6015" s="1">
        <v>45775</v>
      </c>
      <c r="C6015" s="2">
        <v>0.54166666666666663</v>
      </c>
      <c r="D6015">
        <v>3</v>
      </c>
      <c r="E6015">
        <v>19.5</v>
      </c>
      <c r="F6015">
        <v>-999</v>
      </c>
    </row>
    <row r="6016" spans="1:6" x14ac:dyDescent="0.35">
      <c r="A6016">
        <v>1975</v>
      </c>
      <c r="B6016" s="1">
        <v>45775</v>
      </c>
      <c r="C6016" s="2">
        <v>0.58333333333333337</v>
      </c>
      <c r="D6016">
        <v>3</v>
      </c>
      <c r="E6016">
        <v>20.100000000000001</v>
      </c>
      <c r="F6016">
        <v>-999</v>
      </c>
    </row>
    <row r="6017" spans="1:6" x14ac:dyDescent="0.35">
      <c r="A6017">
        <v>1975</v>
      </c>
      <c r="B6017" s="1">
        <v>45775</v>
      </c>
      <c r="C6017" s="2">
        <v>0.625</v>
      </c>
      <c r="D6017">
        <v>3</v>
      </c>
      <c r="E6017">
        <v>19.5</v>
      </c>
      <c r="F6017">
        <v>-999</v>
      </c>
    </row>
    <row r="6018" spans="1:6" x14ac:dyDescent="0.35">
      <c r="A6018">
        <v>1975</v>
      </c>
      <c r="B6018" s="1">
        <v>45775</v>
      </c>
      <c r="C6018" s="2">
        <v>0.66666666666666663</v>
      </c>
      <c r="D6018">
        <v>3</v>
      </c>
      <c r="E6018">
        <v>19</v>
      </c>
      <c r="F6018">
        <v>-999</v>
      </c>
    </row>
    <row r="6019" spans="1:6" x14ac:dyDescent="0.35">
      <c r="A6019">
        <v>1975</v>
      </c>
      <c r="B6019" s="1">
        <v>45775</v>
      </c>
      <c r="C6019" s="2">
        <v>0.70833333333333337</v>
      </c>
      <c r="D6019">
        <v>3</v>
      </c>
      <c r="E6019">
        <v>17.8</v>
      </c>
      <c r="F6019">
        <v>44</v>
      </c>
    </row>
    <row r="6020" spans="1:6" x14ac:dyDescent="0.35">
      <c r="A6020">
        <v>1975</v>
      </c>
      <c r="B6020" s="1">
        <v>45775</v>
      </c>
      <c r="C6020" s="2">
        <v>0.75</v>
      </c>
      <c r="D6020">
        <v>3</v>
      </c>
      <c r="E6020">
        <v>16.8</v>
      </c>
      <c r="F6020">
        <v>47</v>
      </c>
    </row>
    <row r="6021" spans="1:6" x14ac:dyDescent="0.35">
      <c r="A6021">
        <v>1975</v>
      </c>
      <c r="B6021" s="1">
        <v>45775</v>
      </c>
      <c r="C6021" s="2">
        <v>0.79166666666666663</v>
      </c>
      <c r="D6021">
        <v>3</v>
      </c>
      <c r="E6021">
        <v>14.7</v>
      </c>
      <c r="F6021">
        <v>49</v>
      </c>
    </row>
    <row r="6022" spans="1:6" x14ac:dyDescent="0.35">
      <c r="A6022">
        <v>1975</v>
      </c>
      <c r="B6022" s="1">
        <v>45775</v>
      </c>
      <c r="C6022" s="2">
        <v>0.83333333333333337</v>
      </c>
      <c r="D6022">
        <v>3</v>
      </c>
      <c r="E6022">
        <v>13.2</v>
      </c>
      <c r="F6022">
        <v>56</v>
      </c>
    </row>
    <row r="6023" spans="1:6" x14ac:dyDescent="0.35">
      <c r="A6023">
        <v>1975</v>
      </c>
      <c r="B6023" s="1">
        <v>45775</v>
      </c>
      <c r="C6023" s="2">
        <v>0.875</v>
      </c>
      <c r="D6023">
        <v>3</v>
      </c>
      <c r="E6023">
        <v>11.8</v>
      </c>
      <c r="F6023">
        <v>65</v>
      </c>
    </row>
    <row r="6024" spans="1:6" x14ac:dyDescent="0.35">
      <c r="A6024">
        <v>1975</v>
      </c>
      <c r="B6024" s="1">
        <v>45775</v>
      </c>
      <c r="C6024" s="2">
        <v>0.91666666666666663</v>
      </c>
      <c r="D6024">
        <v>3</v>
      </c>
      <c r="E6024">
        <v>9</v>
      </c>
      <c r="F6024">
        <v>77</v>
      </c>
    </row>
    <row r="6025" spans="1:6" x14ac:dyDescent="0.35">
      <c r="A6025">
        <v>1975</v>
      </c>
      <c r="B6025" s="1">
        <v>45775</v>
      </c>
      <c r="C6025" s="2">
        <v>0.95833333333333337</v>
      </c>
      <c r="D6025">
        <v>3</v>
      </c>
      <c r="E6025">
        <v>8.1999999999999993</v>
      </c>
      <c r="F6025">
        <v>81</v>
      </c>
    </row>
    <row r="6026" spans="1:6" x14ac:dyDescent="0.35">
      <c r="A6026">
        <v>1975</v>
      </c>
      <c r="B6026" s="1">
        <v>45776</v>
      </c>
      <c r="C6026" s="2">
        <v>0</v>
      </c>
      <c r="D6026">
        <v>3</v>
      </c>
      <c r="E6026">
        <v>7.8</v>
      </c>
      <c r="F6026">
        <v>89</v>
      </c>
    </row>
    <row r="6027" spans="1:6" x14ac:dyDescent="0.35">
      <c r="A6027">
        <v>1975</v>
      </c>
      <c r="B6027" s="1">
        <v>45776</v>
      </c>
      <c r="C6027" s="2">
        <v>4.1666666666666657E-2</v>
      </c>
      <c r="D6027">
        <v>3</v>
      </c>
      <c r="E6027">
        <v>7.3</v>
      </c>
      <c r="F6027">
        <v>86</v>
      </c>
    </row>
    <row r="6028" spans="1:6" x14ac:dyDescent="0.35">
      <c r="A6028">
        <v>1975</v>
      </c>
      <c r="B6028" s="1">
        <v>45776</v>
      </c>
      <c r="C6028" s="2">
        <v>8.3333333333333329E-2</v>
      </c>
      <c r="D6028">
        <v>3</v>
      </c>
      <c r="E6028">
        <v>7.1</v>
      </c>
      <c r="F6028">
        <v>88</v>
      </c>
    </row>
    <row r="6029" spans="1:6" x14ac:dyDescent="0.35">
      <c r="A6029">
        <v>1975</v>
      </c>
      <c r="B6029" s="1">
        <v>45776</v>
      </c>
      <c r="C6029" s="2">
        <v>0.125</v>
      </c>
      <c r="D6029">
        <v>3</v>
      </c>
      <c r="E6029">
        <v>6.9</v>
      </c>
      <c r="F6029">
        <v>93</v>
      </c>
    </row>
    <row r="6030" spans="1:6" x14ac:dyDescent="0.35">
      <c r="A6030">
        <v>1975</v>
      </c>
      <c r="B6030" s="1">
        <v>45776</v>
      </c>
      <c r="C6030" s="2">
        <v>0.16666666666666671</v>
      </c>
      <c r="D6030">
        <v>3</v>
      </c>
      <c r="E6030">
        <v>6.3</v>
      </c>
      <c r="F6030">
        <v>98</v>
      </c>
    </row>
    <row r="6031" spans="1:6" x14ac:dyDescent="0.35">
      <c r="A6031">
        <v>1975</v>
      </c>
      <c r="B6031" s="1">
        <v>45776</v>
      </c>
      <c r="C6031" s="2">
        <v>0.20833333333333329</v>
      </c>
      <c r="D6031">
        <v>3</v>
      </c>
      <c r="E6031">
        <v>8.6999999999999993</v>
      </c>
      <c r="F6031">
        <v>97</v>
      </c>
    </row>
    <row r="6032" spans="1:6" x14ac:dyDescent="0.35">
      <c r="A6032">
        <v>1975</v>
      </c>
      <c r="B6032" s="1">
        <v>45776</v>
      </c>
      <c r="C6032" s="2">
        <v>0.25</v>
      </c>
      <c r="D6032">
        <v>3</v>
      </c>
      <c r="E6032">
        <v>10.8</v>
      </c>
      <c r="F6032">
        <v>88</v>
      </c>
    </row>
    <row r="6033" spans="1:6" x14ac:dyDescent="0.35">
      <c r="A6033">
        <v>1975</v>
      </c>
      <c r="B6033" s="1">
        <v>45776</v>
      </c>
      <c r="C6033" s="2">
        <v>0.29166666666666669</v>
      </c>
      <c r="D6033">
        <v>3</v>
      </c>
      <c r="E6033">
        <v>12.6</v>
      </c>
      <c r="F6033">
        <v>80</v>
      </c>
    </row>
    <row r="6034" spans="1:6" x14ac:dyDescent="0.35">
      <c r="A6034">
        <v>1975</v>
      </c>
      <c r="B6034" s="1">
        <v>45776</v>
      </c>
      <c r="C6034" s="2">
        <v>0.33333333333333331</v>
      </c>
      <c r="D6034">
        <v>3</v>
      </c>
      <c r="E6034">
        <v>14.4</v>
      </c>
      <c r="F6034">
        <v>75</v>
      </c>
    </row>
    <row r="6035" spans="1:6" x14ac:dyDescent="0.35">
      <c r="A6035">
        <v>1975</v>
      </c>
      <c r="B6035" s="1">
        <v>45776</v>
      </c>
      <c r="C6035" s="2">
        <v>0.375</v>
      </c>
      <c r="D6035">
        <v>3</v>
      </c>
      <c r="E6035">
        <v>15.7</v>
      </c>
      <c r="F6035">
        <v>70</v>
      </c>
    </row>
    <row r="6036" spans="1:6" x14ac:dyDescent="0.35">
      <c r="A6036">
        <v>1975</v>
      </c>
      <c r="B6036" s="1">
        <v>45776</v>
      </c>
      <c r="C6036" s="2">
        <v>0.41666666666666669</v>
      </c>
      <c r="D6036">
        <v>3</v>
      </c>
      <c r="E6036">
        <v>17</v>
      </c>
      <c r="F6036">
        <v>68</v>
      </c>
    </row>
    <row r="6037" spans="1:6" x14ac:dyDescent="0.35">
      <c r="A6037">
        <v>1975</v>
      </c>
      <c r="B6037" s="1">
        <v>45776</v>
      </c>
      <c r="C6037" s="2">
        <v>0.45833333333333331</v>
      </c>
      <c r="D6037">
        <v>3</v>
      </c>
      <c r="E6037">
        <v>17.100000000000001</v>
      </c>
      <c r="F6037">
        <v>66</v>
      </c>
    </row>
    <row r="6038" spans="1:6" x14ac:dyDescent="0.35">
      <c r="A6038">
        <v>1975</v>
      </c>
      <c r="B6038" s="1">
        <v>45776</v>
      </c>
      <c r="C6038" s="2">
        <v>0.5</v>
      </c>
      <c r="D6038">
        <v>3</v>
      </c>
      <c r="E6038">
        <v>18.3</v>
      </c>
      <c r="F6038">
        <v>63</v>
      </c>
    </row>
    <row r="6039" spans="1:6" x14ac:dyDescent="0.35">
      <c r="A6039">
        <v>1975</v>
      </c>
      <c r="B6039" s="1">
        <v>45776</v>
      </c>
      <c r="C6039" s="2">
        <v>0.54166666666666663</v>
      </c>
      <c r="D6039">
        <v>3</v>
      </c>
      <c r="E6039">
        <v>19.3</v>
      </c>
      <c r="F6039">
        <v>-999</v>
      </c>
    </row>
    <row r="6040" spans="1:6" x14ac:dyDescent="0.35">
      <c r="A6040">
        <v>1975</v>
      </c>
      <c r="B6040" s="1">
        <v>45776</v>
      </c>
      <c r="C6040" s="2">
        <v>0.58333333333333337</v>
      </c>
      <c r="D6040">
        <v>3</v>
      </c>
      <c r="E6040">
        <v>19.2</v>
      </c>
      <c r="F6040">
        <v>-999</v>
      </c>
    </row>
    <row r="6041" spans="1:6" x14ac:dyDescent="0.35">
      <c r="A6041">
        <v>1975</v>
      </c>
      <c r="B6041" s="1">
        <v>45776</v>
      </c>
      <c r="C6041" s="2">
        <v>0.625</v>
      </c>
      <c r="D6041">
        <v>3</v>
      </c>
      <c r="E6041">
        <v>18.8</v>
      </c>
      <c r="F6041">
        <v>64</v>
      </c>
    </row>
    <row r="6042" spans="1:6" x14ac:dyDescent="0.35">
      <c r="A6042">
        <v>1975</v>
      </c>
      <c r="B6042" s="1">
        <v>45776</v>
      </c>
      <c r="C6042" s="2">
        <v>0.66666666666666663</v>
      </c>
      <c r="D6042">
        <v>3</v>
      </c>
      <c r="E6042">
        <v>19.2</v>
      </c>
      <c r="F6042">
        <v>66</v>
      </c>
    </row>
    <row r="6043" spans="1:6" x14ac:dyDescent="0.35">
      <c r="A6043">
        <v>1975</v>
      </c>
      <c r="B6043" s="1">
        <v>45776</v>
      </c>
      <c r="C6043" s="2">
        <v>0.70833333333333337</v>
      </c>
      <c r="D6043">
        <v>3</v>
      </c>
      <c r="E6043">
        <v>18.600000000000001</v>
      </c>
      <c r="F6043">
        <v>64</v>
      </c>
    </row>
    <row r="6044" spans="1:6" x14ac:dyDescent="0.35">
      <c r="A6044">
        <v>1975</v>
      </c>
      <c r="B6044" s="1">
        <v>45776</v>
      </c>
      <c r="C6044" s="2">
        <v>0.75</v>
      </c>
      <c r="D6044">
        <v>3</v>
      </c>
      <c r="E6044">
        <v>17.3</v>
      </c>
      <c r="F6044">
        <v>65</v>
      </c>
    </row>
    <row r="6045" spans="1:6" x14ac:dyDescent="0.35">
      <c r="A6045">
        <v>1975</v>
      </c>
      <c r="B6045" s="1">
        <v>45776</v>
      </c>
      <c r="C6045" s="2">
        <v>0.79166666666666663</v>
      </c>
      <c r="D6045">
        <v>3</v>
      </c>
      <c r="E6045">
        <v>15.9</v>
      </c>
      <c r="F6045">
        <v>70</v>
      </c>
    </row>
    <row r="6046" spans="1:6" x14ac:dyDescent="0.35">
      <c r="A6046">
        <v>1975</v>
      </c>
      <c r="B6046" s="1">
        <v>45776</v>
      </c>
      <c r="C6046" s="2">
        <v>0.83333333333333337</v>
      </c>
      <c r="D6046">
        <v>3</v>
      </c>
      <c r="E6046">
        <v>14.2</v>
      </c>
      <c r="F6046">
        <v>77</v>
      </c>
    </row>
    <row r="6047" spans="1:6" x14ac:dyDescent="0.35">
      <c r="A6047">
        <v>1975</v>
      </c>
      <c r="B6047" s="1">
        <v>45776</v>
      </c>
      <c r="C6047" s="2">
        <v>0.875</v>
      </c>
      <c r="D6047">
        <v>3</v>
      </c>
      <c r="E6047">
        <v>12.8</v>
      </c>
      <c r="F6047">
        <v>82</v>
      </c>
    </row>
    <row r="6048" spans="1:6" x14ac:dyDescent="0.35">
      <c r="A6048">
        <v>1975</v>
      </c>
      <c r="B6048" s="1">
        <v>45776</v>
      </c>
      <c r="C6048" s="2">
        <v>0.91666666666666663</v>
      </c>
      <c r="D6048">
        <v>3</v>
      </c>
      <c r="E6048">
        <v>11.7</v>
      </c>
      <c r="F6048">
        <v>85</v>
      </c>
    </row>
    <row r="6049" spans="1:6" x14ac:dyDescent="0.35">
      <c r="A6049">
        <v>1975</v>
      </c>
      <c r="B6049" s="1">
        <v>45776</v>
      </c>
      <c r="C6049" s="2">
        <v>0.95833333333333337</v>
      </c>
      <c r="D6049">
        <v>3</v>
      </c>
      <c r="E6049">
        <v>10.199999999999999</v>
      </c>
      <c r="F6049">
        <v>93</v>
      </c>
    </row>
    <row r="6050" spans="1:6" x14ac:dyDescent="0.35">
      <c r="A6050">
        <v>1975</v>
      </c>
      <c r="B6050" s="1">
        <v>45777</v>
      </c>
      <c r="C6050" s="2">
        <v>0</v>
      </c>
      <c r="D6050">
        <v>3</v>
      </c>
      <c r="E6050">
        <v>8.1</v>
      </c>
      <c r="F6050">
        <v>98</v>
      </c>
    </row>
    <row r="6051" spans="1:6" x14ac:dyDescent="0.35">
      <c r="A6051">
        <v>1975</v>
      </c>
      <c r="B6051" s="1">
        <v>45777</v>
      </c>
      <c r="C6051" s="2">
        <v>4.1666666666666657E-2</v>
      </c>
      <c r="D6051">
        <v>3</v>
      </c>
      <c r="E6051">
        <v>7.5</v>
      </c>
      <c r="F6051">
        <v>100</v>
      </c>
    </row>
    <row r="6052" spans="1:6" x14ac:dyDescent="0.35">
      <c r="A6052">
        <v>1975</v>
      </c>
      <c r="B6052" s="1">
        <v>45777</v>
      </c>
      <c r="C6052" s="2">
        <v>8.3333333333333329E-2</v>
      </c>
      <c r="D6052">
        <v>3</v>
      </c>
      <c r="E6052">
        <v>7.6</v>
      </c>
      <c r="F6052">
        <v>100</v>
      </c>
    </row>
    <row r="6053" spans="1:6" x14ac:dyDescent="0.35">
      <c r="A6053">
        <v>1975</v>
      </c>
      <c r="B6053" s="1">
        <v>45777</v>
      </c>
      <c r="C6053" s="2">
        <v>0.125</v>
      </c>
      <c r="D6053">
        <v>3</v>
      </c>
      <c r="E6053">
        <v>7.3</v>
      </c>
      <c r="F6053">
        <v>100</v>
      </c>
    </row>
    <row r="6054" spans="1:6" x14ac:dyDescent="0.35">
      <c r="A6054">
        <v>1975</v>
      </c>
      <c r="B6054" s="1">
        <v>45777</v>
      </c>
      <c r="C6054" s="2">
        <v>0.16666666666666671</v>
      </c>
      <c r="D6054">
        <v>3</v>
      </c>
      <c r="E6054">
        <v>7.2</v>
      </c>
      <c r="F6054">
        <v>100</v>
      </c>
    </row>
    <row r="6055" spans="1:6" x14ac:dyDescent="0.35">
      <c r="A6055">
        <v>1975</v>
      </c>
      <c r="B6055" s="1">
        <v>45777</v>
      </c>
      <c r="C6055" s="2">
        <v>0.20833333333333329</v>
      </c>
      <c r="D6055">
        <v>3</v>
      </c>
      <c r="E6055">
        <v>7.6</v>
      </c>
      <c r="F6055">
        <v>100</v>
      </c>
    </row>
    <row r="6056" spans="1:6" x14ac:dyDescent="0.35">
      <c r="A6056">
        <v>1975</v>
      </c>
      <c r="B6056" s="1">
        <v>45777</v>
      </c>
      <c r="C6056" s="2">
        <v>0.25</v>
      </c>
      <c r="D6056">
        <v>3</v>
      </c>
      <c r="E6056">
        <v>8.4</v>
      </c>
      <c r="F6056">
        <v>100</v>
      </c>
    </row>
    <row r="6057" spans="1:6" x14ac:dyDescent="0.35">
      <c r="A6057">
        <v>1975</v>
      </c>
      <c r="B6057" s="1">
        <v>45777</v>
      </c>
      <c r="C6057" s="2">
        <v>0.29166666666666669</v>
      </c>
      <c r="D6057">
        <v>3</v>
      </c>
      <c r="E6057">
        <v>9</v>
      </c>
      <c r="F6057">
        <v>99</v>
      </c>
    </row>
    <row r="6058" spans="1:6" x14ac:dyDescent="0.35">
      <c r="A6058">
        <v>1975</v>
      </c>
      <c r="B6058" s="1">
        <v>45777</v>
      </c>
      <c r="C6058" s="2">
        <v>0.33333333333333331</v>
      </c>
      <c r="D6058">
        <v>3</v>
      </c>
      <c r="E6058">
        <v>12.3</v>
      </c>
      <c r="F6058">
        <v>84</v>
      </c>
    </row>
    <row r="6059" spans="1:6" x14ac:dyDescent="0.35">
      <c r="A6059">
        <v>1975</v>
      </c>
      <c r="B6059" s="1">
        <v>45777</v>
      </c>
      <c r="C6059" s="2">
        <v>0.375</v>
      </c>
      <c r="D6059">
        <v>3</v>
      </c>
      <c r="E6059">
        <v>15.4</v>
      </c>
      <c r="F6059">
        <v>73</v>
      </c>
    </row>
    <row r="6060" spans="1:6" x14ac:dyDescent="0.35">
      <c r="A6060">
        <v>1975</v>
      </c>
      <c r="B6060" s="1">
        <v>45777</v>
      </c>
      <c r="C6060" s="2">
        <v>0.41666666666666669</v>
      </c>
      <c r="D6060">
        <v>3</v>
      </c>
      <c r="E6060">
        <v>16.8</v>
      </c>
      <c r="F6060">
        <v>66</v>
      </c>
    </row>
    <row r="6061" spans="1:6" x14ac:dyDescent="0.35">
      <c r="A6061">
        <v>1975</v>
      </c>
      <c r="B6061" s="1">
        <v>45777</v>
      </c>
      <c r="C6061" s="2">
        <v>0.45833333333333331</v>
      </c>
      <c r="D6061">
        <v>3</v>
      </c>
      <c r="E6061">
        <v>17.899999999999999</v>
      </c>
      <c r="F6061">
        <v>62</v>
      </c>
    </row>
    <row r="6062" spans="1:6" x14ac:dyDescent="0.35">
      <c r="A6062">
        <v>1975</v>
      </c>
      <c r="B6062" s="1">
        <v>45777</v>
      </c>
      <c r="C6062" s="2">
        <v>0.5</v>
      </c>
      <c r="D6062">
        <v>3</v>
      </c>
      <c r="E6062">
        <v>19</v>
      </c>
      <c r="F6062">
        <v>56</v>
      </c>
    </row>
    <row r="6063" spans="1:6" x14ac:dyDescent="0.35">
      <c r="A6063">
        <v>1975</v>
      </c>
      <c r="B6063" s="1">
        <v>45777</v>
      </c>
      <c r="C6063" s="2">
        <v>0.54166666666666663</v>
      </c>
      <c r="D6063">
        <v>3</v>
      </c>
      <c r="E6063">
        <v>19.7</v>
      </c>
      <c r="F6063">
        <v>54</v>
      </c>
    </row>
    <row r="6064" spans="1:6" x14ac:dyDescent="0.35">
      <c r="A6064">
        <v>1975</v>
      </c>
      <c r="B6064" s="1">
        <v>45777</v>
      </c>
      <c r="C6064" s="2">
        <v>0.58333333333333337</v>
      </c>
      <c r="D6064">
        <v>3</v>
      </c>
      <c r="E6064">
        <v>21</v>
      </c>
      <c r="F6064">
        <v>54</v>
      </c>
    </row>
    <row r="6065" spans="1:6" x14ac:dyDescent="0.35">
      <c r="A6065">
        <v>1975</v>
      </c>
      <c r="B6065" s="1">
        <v>45777</v>
      </c>
      <c r="C6065" s="2">
        <v>0.625</v>
      </c>
      <c r="D6065">
        <v>3</v>
      </c>
      <c r="E6065">
        <v>20.7</v>
      </c>
      <c r="F6065">
        <v>49</v>
      </c>
    </row>
    <row r="6066" spans="1:6" x14ac:dyDescent="0.35">
      <c r="A6066">
        <v>1975</v>
      </c>
      <c r="B6066" s="1">
        <v>45777</v>
      </c>
      <c r="C6066" s="2">
        <v>0.66666666666666663</v>
      </c>
      <c r="D6066">
        <v>3</v>
      </c>
      <c r="E6066">
        <v>20.8</v>
      </c>
      <c r="F6066">
        <v>56</v>
      </c>
    </row>
    <row r="6067" spans="1:6" x14ac:dyDescent="0.35">
      <c r="A6067">
        <v>1975</v>
      </c>
      <c r="B6067" s="1">
        <v>45777</v>
      </c>
      <c r="C6067" s="2">
        <v>0.70833333333333337</v>
      </c>
      <c r="D6067">
        <v>3</v>
      </c>
      <c r="E6067">
        <v>20.399999999999999</v>
      </c>
      <c r="F6067">
        <v>56</v>
      </c>
    </row>
    <row r="6068" spans="1:6" x14ac:dyDescent="0.35">
      <c r="A6068">
        <v>1975</v>
      </c>
      <c r="B6068" s="1">
        <v>45777</v>
      </c>
      <c r="C6068" s="2">
        <v>0.75</v>
      </c>
      <c r="D6068">
        <v>3</v>
      </c>
      <c r="E6068">
        <v>19.3</v>
      </c>
      <c r="F6068">
        <v>60</v>
      </c>
    </row>
    <row r="6069" spans="1:6" x14ac:dyDescent="0.35">
      <c r="A6069">
        <v>1975</v>
      </c>
      <c r="B6069" s="1">
        <v>45777</v>
      </c>
      <c r="C6069" s="2">
        <v>0.79166666666666663</v>
      </c>
      <c r="D6069">
        <v>3</v>
      </c>
      <c r="E6069">
        <v>17.100000000000001</v>
      </c>
      <c r="F6069">
        <v>71</v>
      </c>
    </row>
    <row r="6070" spans="1:6" x14ac:dyDescent="0.35">
      <c r="A6070">
        <v>1975</v>
      </c>
      <c r="B6070" s="1">
        <v>45777</v>
      </c>
      <c r="C6070" s="2">
        <v>0.83333333333333337</v>
      </c>
      <c r="D6070">
        <v>3</v>
      </c>
      <c r="E6070">
        <v>14.3</v>
      </c>
      <c r="F6070">
        <v>80</v>
      </c>
    </row>
    <row r="6071" spans="1:6" x14ac:dyDescent="0.35">
      <c r="A6071">
        <v>1975</v>
      </c>
      <c r="B6071" s="1">
        <v>45777</v>
      </c>
      <c r="C6071" s="2">
        <v>0.875</v>
      </c>
      <c r="D6071">
        <v>3</v>
      </c>
      <c r="E6071">
        <v>12</v>
      </c>
      <c r="F6071">
        <v>92</v>
      </c>
    </row>
    <row r="6072" spans="1:6" x14ac:dyDescent="0.35">
      <c r="A6072">
        <v>1975</v>
      </c>
      <c r="B6072" s="1">
        <v>45777</v>
      </c>
      <c r="C6072" s="2">
        <v>0.91666666666666663</v>
      </c>
      <c r="D6072">
        <v>3</v>
      </c>
      <c r="E6072">
        <v>11.5</v>
      </c>
      <c r="F6072">
        <v>98</v>
      </c>
    </row>
    <row r="6073" spans="1:6" x14ac:dyDescent="0.35">
      <c r="A6073">
        <v>1975</v>
      </c>
      <c r="B6073" s="1">
        <v>45777</v>
      </c>
      <c r="C6073" s="2">
        <v>0.95833333333333337</v>
      </c>
      <c r="D6073">
        <v>3</v>
      </c>
      <c r="E6073">
        <v>9.9</v>
      </c>
      <c r="F6073">
        <v>99</v>
      </c>
    </row>
    <row r="6074" spans="1:6" x14ac:dyDescent="0.35">
      <c r="A6074">
        <v>1975</v>
      </c>
      <c r="B6074" s="1">
        <v>45778</v>
      </c>
      <c r="C6074" s="2">
        <v>0</v>
      </c>
      <c r="D6074">
        <v>3</v>
      </c>
      <c r="E6074">
        <v>8.9</v>
      </c>
      <c r="F6074">
        <v>100</v>
      </c>
    </row>
    <row r="6075" spans="1:6" x14ac:dyDescent="0.35">
      <c r="A6075">
        <v>1975</v>
      </c>
      <c r="B6075" s="1">
        <v>45778</v>
      </c>
      <c r="C6075" s="2">
        <v>4.1666666666666657E-2</v>
      </c>
      <c r="D6075">
        <v>3</v>
      </c>
      <c r="E6075">
        <v>8.9</v>
      </c>
      <c r="F6075">
        <v>99</v>
      </c>
    </row>
    <row r="6076" spans="1:6" x14ac:dyDescent="0.35">
      <c r="A6076">
        <v>1975</v>
      </c>
      <c r="B6076" s="1">
        <v>45778</v>
      </c>
      <c r="C6076" s="2">
        <v>8.3333333333333329E-2</v>
      </c>
      <c r="D6076">
        <v>3</v>
      </c>
      <c r="E6076">
        <v>8.5</v>
      </c>
      <c r="F6076">
        <v>100</v>
      </c>
    </row>
    <row r="6077" spans="1:6" x14ac:dyDescent="0.35">
      <c r="A6077">
        <v>1975</v>
      </c>
      <c r="B6077" s="1">
        <v>45778</v>
      </c>
      <c r="C6077" s="2">
        <v>0.125</v>
      </c>
      <c r="D6077">
        <v>3</v>
      </c>
      <c r="E6077">
        <v>8.3000000000000007</v>
      </c>
      <c r="F6077">
        <v>100</v>
      </c>
    </row>
    <row r="6078" spans="1:6" x14ac:dyDescent="0.35">
      <c r="A6078">
        <v>1975</v>
      </c>
      <c r="B6078" s="1">
        <v>45778</v>
      </c>
      <c r="C6078" s="2">
        <v>0.16666666666666671</v>
      </c>
      <c r="D6078">
        <v>3</v>
      </c>
      <c r="E6078">
        <v>7.9</v>
      </c>
      <c r="F6078">
        <v>100</v>
      </c>
    </row>
    <row r="6079" spans="1:6" x14ac:dyDescent="0.35">
      <c r="A6079">
        <v>1975</v>
      </c>
      <c r="B6079" s="1">
        <v>45778</v>
      </c>
      <c r="C6079" s="2">
        <v>0.20833333333333329</v>
      </c>
      <c r="D6079">
        <v>3</v>
      </c>
      <c r="E6079">
        <v>10.9</v>
      </c>
      <c r="F6079">
        <v>95</v>
      </c>
    </row>
    <row r="6080" spans="1:6" x14ac:dyDescent="0.35">
      <c r="A6080">
        <v>1975</v>
      </c>
      <c r="B6080" s="1">
        <v>45778</v>
      </c>
      <c r="C6080" s="2">
        <v>0.25</v>
      </c>
      <c r="D6080">
        <v>3</v>
      </c>
      <c r="E6080">
        <v>13.8</v>
      </c>
      <c r="F6080">
        <v>80</v>
      </c>
    </row>
    <row r="6081" spans="1:6" x14ac:dyDescent="0.35">
      <c r="A6081">
        <v>1975</v>
      </c>
      <c r="B6081" s="1">
        <v>45778</v>
      </c>
      <c r="C6081" s="2">
        <v>0.29166666666666669</v>
      </c>
      <c r="D6081">
        <v>3</v>
      </c>
      <c r="E6081">
        <v>15.9</v>
      </c>
      <c r="F6081">
        <v>68</v>
      </c>
    </row>
    <row r="6082" spans="1:6" x14ac:dyDescent="0.35">
      <c r="A6082">
        <v>1975</v>
      </c>
      <c r="B6082" s="1">
        <v>45778</v>
      </c>
      <c r="C6082" s="2">
        <v>0.33333333333333331</v>
      </c>
      <c r="D6082">
        <v>3</v>
      </c>
      <c r="E6082">
        <v>19</v>
      </c>
      <c r="F6082">
        <v>59</v>
      </c>
    </row>
    <row r="6083" spans="1:6" x14ac:dyDescent="0.35">
      <c r="A6083">
        <v>1975</v>
      </c>
      <c r="B6083" s="1">
        <v>45778</v>
      </c>
      <c r="C6083" s="2">
        <v>0.375</v>
      </c>
      <c r="D6083">
        <v>3</v>
      </c>
      <c r="E6083">
        <v>20</v>
      </c>
      <c r="F6083">
        <v>53</v>
      </c>
    </row>
    <row r="6084" spans="1:6" x14ac:dyDescent="0.35">
      <c r="A6084">
        <v>1975</v>
      </c>
      <c r="B6084" s="1">
        <v>45778</v>
      </c>
      <c r="C6084" s="2">
        <v>0.41666666666666669</v>
      </c>
      <c r="D6084">
        <v>3</v>
      </c>
      <c r="E6084">
        <v>22.2</v>
      </c>
      <c r="F6084">
        <v>49</v>
      </c>
    </row>
    <row r="6085" spans="1:6" x14ac:dyDescent="0.35">
      <c r="A6085">
        <v>1975</v>
      </c>
      <c r="B6085" s="1">
        <v>45778</v>
      </c>
      <c r="C6085" s="2">
        <v>0.45833333333333331</v>
      </c>
      <c r="D6085">
        <v>3</v>
      </c>
      <c r="E6085">
        <v>22.6</v>
      </c>
      <c r="F6085">
        <v>46</v>
      </c>
    </row>
    <row r="6086" spans="1:6" x14ac:dyDescent="0.35">
      <c r="A6086">
        <v>1975</v>
      </c>
      <c r="B6086" s="1">
        <v>45778</v>
      </c>
      <c r="C6086" s="2">
        <v>0.5</v>
      </c>
      <c r="D6086">
        <v>3</v>
      </c>
      <c r="E6086">
        <v>24.2</v>
      </c>
      <c r="F6086">
        <v>41</v>
      </c>
    </row>
    <row r="6087" spans="1:6" x14ac:dyDescent="0.35">
      <c r="A6087">
        <v>1975</v>
      </c>
      <c r="B6087" s="1">
        <v>45778</v>
      </c>
      <c r="C6087" s="2">
        <v>0.54166666666666663</v>
      </c>
      <c r="D6087">
        <v>3</v>
      </c>
      <c r="E6087">
        <v>25.5</v>
      </c>
      <c r="F6087">
        <v>35</v>
      </c>
    </row>
    <row r="6088" spans="1:6" x14ac:dyDescent="0.35">
      <c r="A6088">
        <v>1975</v>
      </c>
      <c r="B6088" s="1">
        <v>45778</v>
      </c>
      <c r="C6088" s="2">
        <v>0.58333333333333337</v>
      </c>
      <c r="D6088">
        <v>3</v>
      </c>
      <c r="E6088">
        <v>25.6</v>
      </c>
      <c r="F6088">
        <v>33</v>
      </c>
    </row>
    <row r="6089" spans="1:6" x14ac:dyDescent="0.35">
      <c r="A6089">
        <v>1975</v>
      </c>
      <c r="B6089" s="1">
        <v>45778</v>
      </c>
      <c r="C6089" s="2">
        <v>0.625</v>
      </c>
      <c r="D6089">
        <v>3</v>
      </c>
      <c r="E6089">
        <v>25.7</v>
      </c>
      <c r="F6089">
        <v>32</v>
      </c>
    </row>
    <row r="6090" spans="1:6" x14ac:dyDescent="0.35">
      <c r="A6090">
        <v>1975</v>
      </c>
      <c r="B6090" s="1">
        <v>45778</v>
      </c>
      <c r="C6090" s="2">
        <v>0.66666666666666663</v>
      </c>
      <c r="D6090">
        <v>3</v>
      </c>
      <c r="E6090">
        <v>25.6</v>
      </c>
      <c r="F6090">
        <v>31</v>
      </c>
    </row>
    <row r="6091" spans="1:6" x14ac:dyDescent="0.35">
      <c r="A6091">
        <v>1975</v>
      </c>
      <c r="B6091" s="1">
        <v>45778</v>
      </c>
      <c r="C6091" s="2">
        <v>0.70833333333333337</v>
      </c>
      <c r="D6091">
        <v>3</v>
      </c>
      <c r="E6091">
        <v>24.8</v>
      </c>
      <c r="F6091">
        <v>36</v>
      </c>
    </row>
    <row r="6092" spans="1:6" x14ac:dyDescent="0.35">
      <c r="A6092">
        <v>1975</v>
      </c>
      <c r="B6092" s="1">
        <v>45778</v>
      </c>
      <c r="C6092" s="2">
        <v>0.75</v>
      </c>
      <c r="D6092">
        <v>3</v>
      </c>
      <c r="E6092">
        <v>22.9</v>
      </c>
      <c r="F6092">
        <v>41</v>
      </c>
    </row>
    <row r="6093" spans="1:6" x14ac:dyDescent="0.35">
      <c r="A6093">
        <v>1975</v>
      </c>
      <c r="B6093" s="1">
        <v>45778</v>
      </c>
      <c r="C6093" s="2">
        <v>0.79166666666666663</v>
      </c>
      <c r="D6093">
        <v>3</v>
      </c>
      <c r="E6093">
        <v>19.8</v>
      </c>
      <c r="F6093">
        <v>53</v>
      </c>
    </row>
    <row r="6094" spans="1:6" x14ac:dyDescent="0.35">
      <c r="A6094">
        <v>1975</v>
      </c>
      <c r="B6094" s="1">
        <v>45778</v>
      </c>
      <c r="C6094" s="2">
        <v>0.83333333333333337</v>
      </c>
      <c r="D6094">
        <v>3</v>
      </c>
      <c r="E6094">
        <v>20.100000000000001</v>
      </c>
      <c r="F6094">
        <v>52</v>
      </c>
    </row>
    <row r="6095" spans="1:6" x14ac:dyDescent="0.35">
      <c r="A6095">
        <v>1975</v>
      </c>
      <c r="B6095" s="1">
        <v>45778</v>
      </c>
      <c r="C6095" s="2">
        <v>0.875</v>
      </c>
      <c r="D6095">
        <v>3</v>
      </c>
      <c r="E6095">
        <v>19.7</v>
      </c>
      <c r="F6095">
        <v>54</v>
      </c>
    </row>
    <row r="6096" spans="1:6" x14ac:dyDescent="0.35">
      <c r="A6096">
        <v>1975</v>
      </c>
      <c r="B6096" s="1">
        <v>45778</v>
      </c>
      <c r="C6096" s="2">
        <v>0.91666666666666663</v>
      </c>
      <c r="D6096">
        <v>3</v>
      </c>
      <c r="E6096">
        <v>19.2</v>
      </c>
      <c r="F6096">
        <v>57</v>
      </c>
    </row>
    <row r="6097" spans="1:6" x14ac:dyDescent="0.35">
      <c r="A6097">
        <v>1975</v>
      </c>
      <c r="B6097" s="1">
        <v>45778</v>
      </c>
      <c r="C6097" s="2">
        <v>0.95833333333333337</v>
      </c>
      <c r="D6097">
        <v>3</v>
      </c>
      <c r="E6097">
        <v>17.3</v>
      </c>
      <c r="F6097">
        <v>65</v>
      </c>
    </row>
    <row r="6098" spans="1:6" x14ac:dyDescent="0.35">
      <c r="A6098">
        <v>1975</v>
      </c>
      <c r="B6098" s="1">
        <v>45779</v>
      </c>
      <c r="C6098" s="2">
        <v>0</v>
      </c>
      <c r="D6098">
        <v>3</v>
      </c>
      <c r="E6098">
        <v>16.2</v>
      </c>
      <c r="F6098">
        <v>70</v>
      </c>
    </row>
    <row r="6099" spans="1:6" x14ac:dyDescent="0.35">
      <c r="A6099">
        <v>1975</v>
      </c>
      <c r="B6099" s="1">
        <v>45779</v>
      </c>
      <c r="C6099" s="2">
        <v>4.1666666666666657E-2</v>
      </c>
      <c r="D6099">
        <v>3</v>
      </c>
      <c r="E6099">
        <v>16.3</v>
      </c>
      <c r="F6099">
        <v>71</v>
      </c>
    </row>
    <row r="6100" spans="1:6" x14ac:dyDescent="0.35">
      <c r="A6100">
        <v>1975</v>
      </c>
      <c r="B6100" s="1">
        <v>45779</v>
      </c>
      <c r="C6100" s="2">
        <v>8.3333333333333329E-2</v>
      </c>
      <c r="D6100">
        <v>3</v>
      </c>
      <c r="E6100">
        <v>13.8</v>
      </c>
      <c r="F6100">
        <v>81</v>
      </c>
    </row>
    <row r="6101" spans="1:6" x14ac:dyDescent="0.35">
      <c r="A6101">
        <v>1975</v>
      </c>
      <c r="B6101" s="1">
        <v>45779</v>
      </c>
      <c r="C6101" s="2">
        <v>0.125</v>
      </c>
      <c r="D6101">
        <v>3</v>
      </c>
      <c r="E6101">
        <v>12.4</v>
      </c>
      <c r="F6101">
        <v>90</v>
      </c>
    </row>
    <row r="6102" spans="1:6" x14ac:dyDescent="0.35">
      <c r="A6102">
        <v>1975</v>
      </c>
      <c r="B6102" s="1">
        <v>45779</v>
      </c>
      <c r="C6102" s="2">
        <v>0.16666666666666671</v>
      </c>
      <c r="D6102">
        <v>3</v>
      </c>
      <c r="E6102">
        <v>11.9</v>
      </c>
      <c r="F6102">
        <v>90</v>
      </c>
    </row>
    <row r="6103" spans="1:6" x14ac:dyDescent="0.35">
      <c r="A6103">
        <v>1975</v>
      </c>
      <c r="B6103" s="1">
        <v>45779</v>
      </c>
      <c r="C6103" s="2">
        <v>0.20833333333333329</v>
      </c>
      <c r="D6103">
        <v>3</v>
      </c>
      <c r="E6103">
        <v>13.3</v>
      </c>
      <c r="F6103">
        <v>85</v>
      </c>
    </row>
    <row r="6104" spans="1:6" x14ac:dyDescent="0.35">
      <c r="A6104">
        <v>1975</v>
      </c>
      <c r="B6104" s="1">
        <v>45779</v>
      </c>
      <c r="C6104" s="2">
        <v>0.25</v>
      </c>
      <c r="D6104">
        <v>3</v>
      </c>
      <c r="E6104">
        <v>15.7</v>
      </c>
      <c r="F6104">
        <v>77</v>
      </c>
    </row>
    <row r="6105" spans="1:6" x14ac:dyDescent="0.35">
      <c r="A6105">
        <v>1975</v>
      </c>
      <c r="B6105" s="1">
        <v>45779</v>
      </c>
      <c r="C6105" s="2">
        <v>0.29166666666666669</v>
      </c>
      <c r="D6105">
        <v>3</v>
      </c>
      <c r="E6105">
        <v>17.600000000000001</v>
      </c>
      <c r="F6105">
        <v>70</v>
      </c>
    </row>
    <row r="6106" spans="1:6" x14ac:dyDescent="0.35">
      <c r="A6106">
        <v>1975</v>
      </c>
      <c r="B6106" s="1">
        <v>45779</v>
      </c>
      <c r="C6106" s="2">
        <v>0.33333333333333331</v>
      </c>
      <c r="D6106">
        <v>3</v>
      </c>
      <c r="E6106">
        <v>19.399999999999999</v>
      </c>
      <c r="F6106">
        <v>62</v>
      </c>
    </row>
    <row r="6107" spans="1:6" x14ac:dyDescent="0.35">
      <c r="A6107">
        <v>1975</v>
      </c>
      <c r="B6107" s="1">
        <v>45779</v>
      </c>
      <c r="C6107" s="2">
        <v>0.375</v>
      </c>
      <c r="D6107">
        <v>3</v>
      </c>
      <c r="E6107">
        <v>20.7</v>
      </c>
      <c r="F6107">
        <v>52</v>
      </c>
    </row>
    <row r="6108" spans="1:6" x14ac:dyDescent="0.35">
      <c r="A6108">
        <v>1975</v>
      </c>
      <c r="B6108" s="1">
        <v>45779</v>
      </c>
      <c r="C6108" s="2">
        <v>0.41666666666666669</v>
      </c>
      <c r="D6108">
        <v>3</v>
      </c>
      <c r="E6108">
        <v>21</v>
      </c>
      <c r="F6108">
        <v>47</v>
      </c>
    </row>
    <row r="6109" spans="1:6" x14ac:dyDescent="0.35">
      <c r="A6109">
        <v>1975</v>
      </c>
      <c r="B6109" s="1">
        <v>45779</v>
      </c>
      <c r="C6109" s="2">
        <v>0.45833333333333331</v>
      </c>
      <c r="D6109">
        <v>3</v>
      </c>
      <c r="E6109">
        <v>21.8</v>
      </c>
      <c r="F6109">
        <v>50</v>
      </c>
    </row>
    <row r="6110" spans="1:6" x14ac:dyDescent="0.35">
      <c r="A6110">
        <v>1975</v>
      </c>
      <c r="B6110" s="1">
        <v>45779</v>
      </c>
      <c r="C6110" s="2">
        <v>0.5</v>
      </c>
      <c r="D6110">
        <v>3</v>
      </c>
      <c r="E6110">
        <v>23</v>
      </c>
      <c r="F6110">
        <v>43</v>
      </c>
    </row>
    <row r="6111" spans="1:6" x14ac:dyDescent="0.35">
      <c r="A6111">
        <v>1975</v>
      </c>
      <c r="B6111" s="1">
        <v>45779</v>
      </c>
      <c r="C6111" s="2">
        <v>0.54166666666666663</v>
      </c>
      <c r="D6111">
        <v>3</v>
      </c>
      <c r="E6111">
        <v>20.100000000000001</v>
      </c>
      <c r="F6111">
        <v>58</v>
      </c>
    </row>
    <row r="6112" spans="1:6" x14ac:dyDescent="0.35">
      <c r="A6112">
        <v>1975</v>
      </c>
      <c r="B6112" s="1">
        <v>45779</v>
      </c>
      <c r="C6112" s="2">
        <v>0.58333333333333337</v>
      </c>
      <c r="D6112">
        <v>3</v>
      </c>
      <c r="E6112">
        <v>17.8</v>
      </c>
      <c r="F6112">
        <v>63</v>
      </c>
    </row>
    <row r="6113" spans="1:6" x14ac:dyDescent="0.35">
      <c r="A6113">
        <v>1975</v>
      </c>
      <c r="B6113" s="1">
        <v>45779</v>
      </c>
      <c r="C6113" s="2">
        <v>0.625</v>
      </c>
      <c r="D6113">
        <v>3</v>
      </c>
      <c r="E6113">
        <v>17.100000000000001</v>
      </c>
      <c r="F6113">
        <v>70</v>
      </c>
    </row>
    <row r="6114" spans="1:6" x14ac:dyDescent="0.35">
      <c r="A6114">
        <v>1975</v>
      </c>
      <c r="B6114" s="1">
        <v>45779</v>
      </c>
      <c r="C6114" s="2">
        <v>0.66666666666666663</v>
      </c>
      <c r="D6114">
        <v>3</v>
      </c>
      <c r="E6114">
        <v>17.3</v>
      </c>
      <c r="F6114">
        <v>64</v>
      </c>
    </row>
    <row r="6115" spans="1:6" x14ac:dyDescent="0.35">
      <c r="A6115">
        <v>1975</v>
      </c>
      <c r="B6115" s="1">
        <v>45779</v>
      </c>
      <c r="C6115" s="2">
        <v>0.70833333333333337</v>
      </c>
      <c r="D6115">
        <v>3</v>
      </c>
      <c r="E6115">
        <v>16.600000000000001</v>
      </c>
      <c r="F6115">
        <v>65</v>
      </c>
    </row>
    <row r="6116" spans="1:6" x14ac:dyDescent="0.35">
      <c r="A6116">
        <v>1975</v>
      </c>
      <c r="B6116" s="1">
        <v>45779</v>
      </c>
      <c r="C6116" s="2">
        <v>0.75</v>
      </c>
      <c r="D6116">
        <v>3</v>
      </c>
      <c r="E6116">
        <v>15.9</v>
      </c>
      <c r="F6116">
        <v>59</v>
      </c>
    </row>
    <row r="6117" spans="1:6" x14ac:dyDescent="0.35">
      <c r="A6117">
        <v>1975</v>
      </c>
      <c r="B6117" s="1">
        <v>45779</v>
      </c>
      <c r="C6117" s="2">
        <v>0.79166666666666663</v>
      </c>
      <c r="D6117">
        <v>3</v>
      </c>
      <c r="E6117">
        <v>14</v>
      </c>
      <c r="F6117">
        <v>59</v>
      </c>
    </row>
    <row r="6118" spans="1:6" x14ac:dyDescent="0.35">
      <c r="A6118">
        <v>1975</v>
      </c>
      <c r="B6118" s="1">
        <v>45779</v>
      </c>
      <c r="C6118" s="2">
        <v>0.83333333333333337</v>
      </c>
      <c r="D6118">
        <v>3</v>
      </c>
      <c r="E6118">
        <v>12.2</v>
      </c>
      <c r="F6118">
        <v>60</v>
      </c>
    </row>
    <row r="6119" spans="1:6" x14ac:dyDescent="0.35">
      <c r="A6119">
        <v>1975</v>
      </c>
      <c r="B6119" s="1">
        <v>45779</v>
      </c>
      <c r="C6119" s="2">
        <v>0.875</v>
      </c>
      <c r="D6119">
        <v>3</v>
      </c>
      <c r="E6119">
        <v>10.5</v>
      </c>
      <c r="F6119">
        <v>71</v>
      </c>
    </row>
    <row r="6120" spans="1:6" x14ac:dyDescent="0.35">
      <c r="A6120">
        <v>1975</v>
      </c>
      <c r="B6120" s="1">
        <v>45779</v>
      </c>
      <c r="C6120" s="2">
        <v>0.91666666666666663</v>
      </c>
      <c r="D6120">
        <v>3</v>
      </c>
      <c r="E6120">
        <v>9.5</v>
      </c>
      <c r="F6120">
        <v>81</v>
      </c>
    </row>
    <row r="6121" spans="1:6" x14ac:dyDescent="0.35">
      <c r="A6121">
        <v>1975</v>
      </c>
      <c r="B6121" s="1">
        <v>45779</v>
      </c>
      <c r="C6121" s="2">
        <v>0.95833333333333337</v>
      </c>
      <c r="D6121">
        <v>3</v>
      </c>
      <c r="E6121">
        <v>8.6999999999999993</v>
      </c>
      <c r="F6121">
        <v>86</v>
      </c>
    </row>
    <row r="6122" spans="1:6" x14ac:dyDescent="0.35">
      <c r="A6122">
        <v>1975</v>
      </c>
      <c r="B6122" s="1">
        <v>45780</v>
      </c>
      <c r="C6122" s="2">
        <v>0</v>
      </c>
      <c r="D6122">
        <v>3</v>
      </c>
      <c r="E6122">
        <v>6.5</v>
      </c>
      <c r="F6122">
        <v>92</v>
      </c>
    </row>
    <row r="6123" spans="1:6" x14ac:dyDescent="0.35">
      <c r="A6123">
        <v>1975</v>
      </c>
      <c r="B6123" s="1">
        <v>45780</v>
      </c>
      <c r="C6123" s="2">
        <v>4.1666666666666657E-2</v>
      </c>
      <c r="D6123">
        <v>3</v>
      </c>
      <c r="E6123">
        <v>6.1</v>
      </c>
      <c r="F6123">
        <v>95</v>
      </c>
    </row>
    <row r="6124" spans="1:6" x14ac:dyDescent="0.35">
      <c r="A6124">
        <v>1975</v>
      </c>
      <c r="B6124" s="1">
        <v>45780</v>
      </c>
      <c r="C6124" s="2">
        <v>8.3333333333333329E-2</v>
      </c>
      <c r="D6124">
        <v>3</v>
      </c>
      <c r="E6124">
        <v>5.5</v>
      </c>
      <c r="F6124">
        <v>98</v>
      </c>
    </row>
    <row r="6125" spans="1:6" x14ac:dyDescent="0.35">
      <c r="A6125">
        <v>1975</v>
      </c>
      <c r="B6125" s="1">
        <v>45780</v>
      </c>
      <c r="C6125" s="2">
        <v>0.125</v>
      </c>
      <c r="D6125">
        <v>3</v>
      </c>
      <c r="E6125">
        <v>5.7</v>
      </c>
      <c r="F6125">
        <v>98</v>
      </c>
    </row>
    <row r="6126" spans="1:6" x14ac:dyDescent="0.35">
      <c r="A6126">
        <v>1975</v>
      </c>
      <c r="B6126" s="1">
        <v>45780</v>
      </c>
      <c r="C6126" s="2">
        <v>0.16666666666666671</v>
      </c>
      <c r="D6126">
        <v>3</v>
      </c>
      <c r="E6126">
        <v>4.5999999999999996</v>
      </c>
      <c r="F6126">
        <v>99</v>
      </c>
    </row>
    <row r="6127" spans="1:6" x14ac:dyDescent="0.35">
      <c r="A6127">
        <v>1975</v>
      </c>
      <c r="B6127" s="1">
        <v>45780</v>
      </c>
      <c r="C6127" s="2">
        <v>0.20833333333333329</v>
      </c>
      <c r="D6127">
        <v>3</v>
      </c>
      <c r="E6127">
        <v>7</v>
      </c>
      <c r="F6127">
        <v>93</v>
      </c>
    </row>
    <row r="6128" spans="1:6" x14ac:dyDescent="0.35">
      <c r="A6128">
        <v>1975</v>
      </c>
      <c r="B6128" s="1">
        <v>45780</v>
      </c>
      <c r="C6128" s="2">
        <v>0.25</v>
      </c>
      <c r="D6128">
        <v>3</v>
      </c>
      <c r="E6128">
        <v>9.1999999999999993</v>
      </c>
      <c r="F6128">
        <v>82</v>
      </c>
    </row>
    <row r="6129" spans="1:6" x14ac:dyDescent="0.35">
      <c r="A6129">
        <v>1975</v>
      </c>
      <c r="B6129" s="1">
        <v>45780</v>
      </c>
      <c r="C6129" s="2">
        <v>0.29166666666666669</v>
      </c>
      <c r="D6129">
        <v>3</v>
      </c>
      <c r="E6129">
        <v>11.2</v>
      </c>
      <c r="F6129">
        <v>64</v>
      </c>
    </row>
    <row r="6130" spans="1:6" x14ac:dyDescent="0.35">
      <c r="A6130">
        <v>1975</v>
      </c>
      <c r="B6130" s="1">
        <v>45780</v>
      </c>
      <c r="C6130" s="2">
        <v>0.33333333333333331</v>
      </c>
      <c r="D6130">
        <v>3</v>
      </c>
      <c r="E6130">
        <v>12.2</v>
      </c>
      <c r="F6130">
        <v>57</v>
      </c>
    </row>
    <row r="6131" spans="1:6" x14ac:dyDescent="0.35">
      <c r="A6131">
        <v>1975</v>
      </c>
      <c r="B6131" s="1">
        <v>45780</v>
      </c>
      <c r="C6131" s="2">
        <v>0.375</v>
      </c>
      <c r="D6131">
        <v>3</v>
      </c>
      <c r="E6131">
        <v>13.2</v>
      </c>
      <c r="F6131">
        <v>52</v>
      </c>
    </row>
    <row r="6132" spans="1:6" x14ac:dyDescent="0.35">
      <c r="A6132">
        <v>1975</v>
      </c>
      <c r="B6132" s="1">
        <v>45780</v>
      </c>
      <c r="C6132" s="2">
        <v>0.41666666666666669</v>
      </c>
      <c r="D6132">
        <v>3</v>
      </c>
      <c r="E6132">
        <v>13.5</v>
      </c>
      <c r="F6132">
        <v>51</v>
      </c>
    </row>
    <row r="6133" spans="1:6" x14ac:dyDescent="0.35">
      <c r="A6133">
        <v>1975</v>
      </c>
      <c r="B6133" s="1">
        <v>45780</v>
      </c>
      <c r="C6133" s="2">
        <v>0.45833333333333331</v>
      </c>
      <c r="D6133">
        <v>3</v>
      </c>
      <c r="E6133">
        <v>15.7</v>
      </c>
      <c r="F6133">
        <v>51</v>
      </c>
    </row>
    <row r="6134" spans="1:6" x14ac:dyDescent="0.35">
      <c r="A6134">
        <v>1975</v>
      </c>
      <c r="B6134" s="1">
        <v>45780</v>
      </c>
      <c r="C6134" s="2">
        <v>0.5</v>
      </c>
      <c r="D6134">
        <v>3</v>
      </c>
      <c r="E6134">
        <v>15.4</v>
      </c>
      <c r="F6134">
        <v>51</v>
      </c>
    </row>
    <row r="6135" spans="1:6" x14ac:dyDescent="0.35">
      <c r="A6135">
        <v>1975</v>
      </c>
      <c r="B6135" s="1">
        <v>45780</v>
      </c>
      <c r="C6135" s="2">
        <v>0.54166666666666663</v>
      </c>
      <c r="D6135">
        <v>3</v>
      </c>
      <c r="E6135">
        <v>15.2</v>
      </c>
      <c r="F6135">
        <v>50</v>
      </c>
    </row>
    <row r="6136" spans="1:6" x14ac:dyDescent="0.35">
      <c r="A6136">
        <v>1975</v>
      </c>
      <c r="B6136" s="1">
        <v>45780</v>
      </c>
      <c r="C6136" s="2">
        <v>0.58333333333333337</v>
      </c>
      <c r="D6136">
        <v>3</v>
      </c>
      <c r="E6136">
        <v>16</v>
      </c>
      <c r="F6136">
        <v>45</v>
      </c>
    </row>
    <row r="6137" spans="1:6" x14ac:dyDescent="0.35">
      <c r="A6137">
        <v>1975</v>
      </c>
      <c r="B6137" s="1">
        <v>45780</v>
      </c>
      <c r="C6137" s="2">
        <v>0.625</v>
      </c>
      <c r="D6137">
        <v>3</v>
      </c>
      <c r="E6137">
        <v>15.1</v>
      </c>
      <c r="F6137">
        <v>49</v>
      </c>
    </row>
    <row r="6138" spans="1:6" x14ac:dyDescent="0.35">
      <c r="A6138">
        <v>1975</v>
      </c>
      <c r="B6138" s="1">
        <v>45780</v>
      </c>
      <c r="C6138" s="2">
        <v>0.66666666666666663</v>
      </c>
      <c r="D6138">
        <v>3</v>
      </c>
      <c r="E6138">
        <v>14.5</v>
      </c>
      <c r="F6138">
        <v>55</v>
      </c>
    </row>
    <row r="6139" spans="1:6" x14ac:dyDescent="0.35">
      <c r="A6139">
        <v>1975</v>
      </c>
      <c r="B6139" s="1">
        <v>45780</v>
      </c>
      <c r="C6139" s="2">
        <v>0.70833333333333337</v>
      </c>
      <c r="D6139">
        <v>3</v>
      </c>
      <c r="E6139">
        <v>13.3</v>
      </c>
      <c r="F6139">
        <v>61</v>
      </c>
    </row>
    <row r="6140" spans="1:6" x14ac:dyDescent="0.35">
      <c r="A6140">
        <v>1975</v>
      </c>
      <c r="B6140" s="1">
        <v>45780</v>
      </c>
      <c r="C6140" s="2">
        <v>0.75</v>
      </c>
      <c r="D6140">
        <v>3</v>
      </c>
      <c r="E6140">
        <v>12.5</v>
      </c>
      <c r="F6140">
        <v>60</v>
      </c>
    </row>
    <row r="6141" spans="1:6" x14ac:dyDescent="0.35">
      <c r="A6141">
        <v>1975</v>
      </c>
      <c r="B6141" s="1">
        <v>45780</v>
      </c>
      <c r="C6141" s="2">
        <v>0.79166666666666663</v>
      </c>
      <c r="D6141">
        <v>3</v>
      </c>
      <c r="E6141">
        <v>11</v>
      </c>
      <c r="F6141">
        <v>63</v>
      </c>
    </row>
    <row r="6142" spans="1:6" x14ac:dyDescent="0.35">
      <c r="A6142">
        <v>1975</v>
      </c>
      <c r="B6142" s="1">
        <v>45780</v>
      </c>
      <c r="C6142" s="2">
        <v>0.83333333333333337</v>
      </c>
      <c r="D6142">
        <v>3</v>
      </c>
      <c r="E6142">
        <v>8.6999999999999993</v>
      </c>
      <c r="F6142">
        <v>87</v>
      </c>
    </row>
    <row r="6143" spans="1:6" x14ac:dyDescent="0.35">
      <c r="A6143">
        <v>1975</v>
      </c>
      <c r="B6143" s="1">
        <v>45780</v>
      </c>
      <c r="C6143" s="2">
        <v>0.875</v>
      </c>
      <c r="D6143">
        <v>3</v>
      </c>
      <c r="E6143">
        <v>7.5</v>
      </c>
      <c r="F6143">
        <v>93</v>
      </c>
    </row>
    <row r="6144" spans="1:6" x14ac:dyDescent="0.35">
      <c r="A6144">
        <v>1975</v>
      </c>
      <c r="B6144" s="1">
        <v>45780</v>
      </c>
      <c r="C6144" s="2">
        <v>0.91666666666666663</v>
      </c>
      <c r="D6144">
        <v>3</v>
      </c>
      <c r="E6144">
        <v>8</v>
      </c>
      <c r="F6144">
        <v>93</v>
      </c>
    </row>
    <row r="6145" spans="1:6" x14ac:dyDescent="0.35">
      <c r="A6145">
        <v>1975</v>
      </c>
      <c r="B6145" s="1">
        <v>45780</v>
      </c>
      <c r="C6145" s="2">
        <v>0.95833333333333337</v>
      </c>
      <c r="D6145">
        <v>3</v>
      </c>
      <c r="E6145">
        <v>7.7</v>
      </c>
      <c r="F6145">
        <v>89</v>
      </c>
    </row>
    <row r="6146" spans="1:6" x14ac:dyDescent="0.35">
      <c r="A6146">
        <v>1975</v>
      </c>
      <c r="B6146" s="1">
        <v>45781</v>
      </c>
      <c r="C6146" s="2">
        <v>0</v>
      </c>
      <c r="D6146">
        <v>3</v>
      </c>
      <c r="E6146">
        <v>7.5</v>
      </c>
      <c r="F6146">
        <v>94</v>
      </c>
    </row>
    <row r="6147" spans="1:6" x14ac:dyDescent="0.35">
      <c r="A6147">
        <v>1975</v>
      </c>
      <c r="B6147" s="1">
        <v>45781</v>
      </c>
      <c r="C6147" s="2">
        <v>4.1666666666666657E-2</v>
      </c>
      <c r="D6147">
        <v>3</v>
      </c>
      <c r="E6147">
        <v>7.5</v>
      </c>
      <c r="F6147">
        <v>94</v>
      </c>
    </row>
    <row r="6148" spans="1:6" x14ac:dyDescent="0.35">
      <c r="A6148">
        <v>1975</v>
      </c>
      <c r="B6148" s="1">
        <v>45781</v>
      </c>
      <c r="C6148" s="2">
        <v>8.3333333333333329E-2</v>
      </c>
      <c r="D6148">
        <v>3</v>
      </c>
      <c r="E6148">
        <v>7.6</v>
      </c>
      <c r="F6148">
        <v>93</v>
      </c>
    </row>
    <row r="6149" spans="1:6" x14ac:dyDescent="0.35">
      <c r="A6149">
        <v>1975</v>
      </c>
      <c r="B6149" s="1">
        <v>45781</v>
      </c>
      <c r="C6149" s="2">
        <v>0.125</v>
      </c>
      <c r="D6149">
        <v>3</v>
      </c>
      <c r="E6149">
        <v>7.7</v>
      </c>
      <c r="F6149">
        <v>92</v>
      </c>
    </row>
    <row r="6150" spans="1:6" x14ac:dyDescent="0.35">
      <c r="A6150">
        <v>1975</v>
      </c>
      <c r="B6150" s="1">
        <v>45781</v>
      </c>
      <c r="C6150" s="2">
        <v>0.16666666666666671</v>
      </c>
      <c r="D6150">
        <v>3</v>
      </c>
      <c r="E6150">
        <v>7.9</v>
      </c>
      <c r="F6150">
        <v>90</v>
      </c>
    </row>
    <row r="6151" spans="1:6" x14ac:dyDescent="0.35">
      <c r="A6151">
        <v>1975</v>
      </c>
      <c r="B6151" s="1">
        <v>45781</v>
      </c>
      <c r="C6151" s="2">
        <v>0.20833333333333329</v>
      </c>
      <c r="D6151">
        <v>3</v>
      </c>
      <c r="E6151">
        <v>8</v>
      </c>
      <c r="F6151">
        <v>81</v>
      </c>
    </row>
    <row r="6152" spans="1:6" x14ac:dyDescent="0.35">
      <c r="A6152">
        <v>1975</v>
      </c>
      <c r="B6152" s="1">
        <v>45781</v>
      </c>
      <c r="C6152" s="2">
        <v>0.25</v>
      </c>
      <c r="D6152">
        <v>3</v>
      </c>
      <c r="E6152">
        <v>8.3000000000000007</v>
      </c>
      <c r="F6152">
        <v>77</v>
      </c>
    </row>
    <row r="6153" spans="1:6" x14ac:dyDescent="0.35">
      <c r="A6153">
        <v>1975</v>
      </c>
      <c r="B6153" s="1">
        <v>45781</v>
      </c>
      <c r="C6153" s="2">
        <v>0.29166666666666669</v>
      </c>
      <c r="D6153">
        <v>3</v>
      </c>
      <c r="E6153">
        <v>8.6</v>
      </c>
      <c r="F6153">
        <v>74</v>
      </c>
    </row>
    <row r="6154" spans="1:6" x14ac:dyDescent="0.35">
      <c r="A6154">
        <v>1975</v>
      </c>
      <c r="B6154" s="1">
        <v>45781</v>
      </c>
      <c r="C6154" s="2">
        <v>0.33333333333333331</v>
      </c>
      <c r="D6154">
        <v>3</v>
      </c>
      <c r="E6154">
        <v>9.9</v>
      </c>
      <c r="F6154">
        <v>65</v>
      </c>
    </row>
    <row r="6155" spans="1:6" x14ac:dyDescent="0.35">
      <c r="A6155">
        <v>1975</v>
      </c>
      <c r="B6155" s="1">
        <v>45781</v>
      </c>
      <c r="C6155" s="2">
        <v>0.375</v>
      </c>
      <c r="D6155">
        <v>3</v>
      </c>
      <c r="E6155">
        <v>9.6</v>
      </c>
      <c r="F6155">
        <v>64</v>
      </c>
    </row>
    <row r="6156" spans="1:6" x14ac:dyDescent="0.35">
      <c r="A6156">
        <v>1975</v>
      </c>
      <c r="B6156" s="1">
        <v>45781</v>
      </c>
      <c r="C6156" s="2">
        <v>0.41666666666666669</v>
      </c>
      <c r="D6156">
        <v>3</v>
      </c>
      <c r="E6156">
        <v>10</v>
      </c>
      <c r="F6156">
        <v>64</v>
      </c>
    </row>
    <row r="6157" spans="1:6" x14ac:dyDescent="0.35">
      <c r="A6157">
        <v>1975</v>
      </c>
      <c r="B6157" s="1">
        <v>45781</v>
      </c>
      <c r="C6157" s="2">
        <v>0.45833333333333331</v>
      </c>
      <c r="D6157">
        <v>3</v>
      </c>
      <c r="E6157">
        <v>11.8</v>
      </c>
      <c r="F6157">
        <v>66</v>
      </c>
    </row>
    <row r="6158" spans="1:6" x14ac:dyDescent="0.35">
      <c r="A6158">
        <v>1975</v>
      </c>
      <c r="B6158" s="1">
        <v>45781</v>
      </c>
      <c r="C6158" s="2">
        <v>0.5</v>
      </c>
      <c r="D6158">
        <v>3</v>
      </c>
      <c r="E6158">
        <v>11.2</v>
      </c>
      <c r="F6158">
        <v>67</v>
      </c>
    </row>
    <row r="6159" spans="1:6" x14ac:dyDescent="0.35">
      <c r="A6159">
        <v>1975</v>
      </c>
      <c r="B6159" s="1">
        <v>45781</v>
      </c>
      <c r="C6159" s="2">
        <v>0.54166666666666663</v>
      </c>
      <c r="D6159">
        <v>3</v>
      </c>
      <c r="E6159">
        <v>11.5</v>
      </c>
      <c r="F6159">
        <v>66</v>
      </c>
    </row>
    <row r="6160" spans="1:6" x14ac:dyDescent="0.35">
      <c r="A6160">
        <v>1975</v>
      </c>
      <c r="B6160" s="1">
        <v>45781</v>
      </c>
      <c r="C6160" s="2">
        <v>0.58333333333333337</v>
      </c>
      <c r="D6160">
        <v>3</v>
      </c>
      <c r="E6160">
        <v>11</v>
      </c>
      <c r="F6160">
        <v>68</v>
      </c>
    </row>
    <row r="6161" spans="1:6" x14ac:dyDescent="0.35">
      <c r="A6161">
        <v>1975</v>
      </c>
      <c r="B6161" s="1">
        <v>45781</v>
      </c>
      <c r="C6161" s="2">
        <v>0.625</v>
      </c>
      <c r="D6161">
        <v>3</v>
      </c>
      <c r="E6161">
        <v>10.7</v>
      </c>
      <c r="F6161">
        <v>74</v>
      </c>
    </row>
    <row r="6162" spans="1:6" x14ac:dyDescent="0.35">
      <c r="A6162">
        <v>1975</v>
      </c>
      <c r="B6162" s="1">
        <v>45781</v>
      </c>
      <c r="C6162" s="2">
        <v>0.66666666666666663</v>
      </c>
      <c r="D6162">
        <v>3</v>
      </c>
      <c r="E6162">
        <v>8.5</v>
      </c>
      <c r="F6162">
        <v>91</v>
      </c>
    </row>
    <row r="6163" spans="1:6" x14ac:dyDescent="0.35">
      <c r="A6163">
        <v>1975</v>
      </c>
      <c r="B6163" s="1">
        <v>45781</v>
      </c>
      <c r="C6163" s="2">
        <v>0.70833333333333337</v>
      </c>
      <c r="D6163">
        <v>3</v>
      </c>
      <c r="E6163">
        <v>8.9</v>
      </c>
      <c r="F6163">
        <v>93</v>
      </c>
    </row>
    <row r="6164" spans="1:6" x14ac:dyDescent="0.35">
      <c r="A6164">
        <v>1975</v>
      </c>
      <c r="B6164" s="1">
        <v>45781</v>
      </c>
      <c r="C6164" s="2">
        <v>0.75</v>
      </c>
      <c r="D6164">
        <v>3</v>
      </c>
      <c r="E6164">
        <v>8.6999999999999993</v>
      </c>
      <c r="F6164">
        <v>93</v>
      </c>
    </row>
    <row r="6165" spans="1:6" x14ac:dyDescent="0.35">
      <c r="A6165">
        <v>1975</v>
      </c>
      <c r="B6165" s="1">
        <v>45781</v>
      </c>
      <c r="C6165" s="2">
        <v>0.79166666666666663</v>
      </c>
      <c r="D6165">
        <v>3</v>
      </c>
      <c r="E6165">
        <v>8.6</v>
      </c>
      <c r="F6165">
        <v>93</v>
      </c>
    </row>
    <row r="6166" spans="1:6" x14ac:dyDescent="0.35">
      <c r="A6166">
        <v>1975</v>
      </c>
      <c r="B6166" s="1">
        <v>45781</v>
      </c>
      <c r="C6166" s="2">
        <v>0.83333333333333337</v>
      </c>
      <c r="D6166">
        <v>3</v>
      </c>
      <c r="E6166">
        <v>8.1</v>
      </c>
      <c r="F6166">
        <v>90</v>
      </c>
    </row>
    <row r="6167" spans="1:6" x14ac:dyDescent="0.35">
      <c r="A6167">
        <v>1975</v>
      </c>
      <c r="B6167" s="1">
        <v>45781</v>
      </c>
      <c r="C6167" s="2">
        <v>0.875</v>
      </c>
      <c r="D6167">
        <v>3</v>
      </c>
      <c r="E6167">
        <v>7.6</v>
      </c>
      <c r="F6167">
        <v>95</v>
      </c>
    </row>
    <row r="6168" spans="1:6" x14ac:dyDescent="0.35">
      <c r="A6168">
        <v>1975</v>
      </c>
      <c r="B6168" s="1">
        <v>45781</v>
      </c>
      <c r="C6168" s="2">
        <v>0.91666666666666663</v>
      </c>
      <c r="D6168">
        <v>3</v>
      </c>
      <c r="E6168">
        <v>7.6</v>
      </c>
      <c r="F6168">
        <v>91</v>
      </c>
    </row>
    <row r="6169" spans="1:6" x14ac:dyDescent="0.35">
      <c r="A6169">
        <v>1975</v>
      </c>
      <c r="B6169" s="1">
        <v>45781</v>
      </c>
      <c r="C6169" s="2">
        <v>0.95833333333333337</v>
      </c>
      <c r="D6169">
        <v>3</v>
      </c>
      <c r="E6169">
        <v>7.1</v>
      </c>
      <c r="F6169">
        <v>88</v>
      </c>
    </row>
    <row r="6170" spans="1:6" x14ac:dyDescent="0.35">
      <c r="A6170">
        <v>1975</v>
      </c>
      <c r="B6170" s="1">
        <v>45782</v>
      </c>
      <c r="C6170" s="2">
        <v>0</v>
      </c>
      <c r="D6170">
        <v>3</v>
      </c>
      <c r="E6170">
        <v>6.4</v>
      </c>
      <c r="F6170">
        <v>88</v>
      </c>
    </row>
    <row r="6171" spans="1:6" x14ac:dyDescent="0.35">
      <c r="A6171">
        <v>1975</v>
      </c>
      <c r="B6171" s="1">
        <v>45782</v>
      </c>
      <c r="C6171" s="2">
        <v>4.1666666666666657E-2</v>
      </c>
      <c r="D6171">
        <v>3</v>
      </c>
      <c r="E6171">
        <v>6</v>
      </c>
      <c r="F6171">
        <v>86</v>
      </c>
    </row>
    <row r="6172" spans="1:6" x14ac:dyDescent="0.35">
      <c r="A6172">
        <v>1975</v>
      </c>
      <c r="B6172" s="1">
        <v>45782</v>
      </c>
      <c r="C6172" s="2">
        <v>8.3333333333333329E-2</v>
      </c>
      <c r="D6172">
        <v>3</v>
      </c>
      <c r="E6172">
        <v>4.5</v>
      </c>
      <c r="F6172">
        <v>87</v>
      </c>
    </row>
    <row r="6173" spans="1:6" x14ac:dyDescent="0.35">
      <c r="A6173">
        <v>1975</v>
      </c>
      <c r="B6173" s="1">
        <v>45782</v>
      </c>
      <c r="C6173" s="2">
        <v>0.125</v>
      </c>
      <c r="D6173">
        <v>3</v>
      </c>
      <c r="E6173">
        <v>4.0999999999999996</v>
      </c>
      <c r="F6173">
        <v>89</v>
      </c>
    </row>
    <row r="6174" spans="1:6" x14ac:dyDescent="0.35">
      <c r="A6174">
        <v>1975</v>
      </c>
      <c r="B6174" s="1">
        <v>45782</v>
      </c>
      <c r="C6174" s="2">
        <v>0.16666666666666671</v>
      </c>
      <c r="D6174">
        <v>3</v>
      </c>
      <c r="E6174">
        <v>2.2000000000000002</v>
      </c>
      <c r="F6174">
        <v>95</v>
      </c>
    </row>
    <row r="6175" spans="1:6" x14ac:dyDescent="0.35">
      <c r="A6175">
        <v>1975</v>
      </c>
      <c r="B6175" s="1">
        <v>45782</v>
      </c>
      <c r="C6175" s="2">
        <v>0.20833333333333329</v>
      </c>
      <c r="D6175">
        <v>3</v>
      </c>
      <c r="E6175">
        <v>4.3</v>
      </c>
      <c r="F6175">
        <v>86</v>
      </c>
    </row>
    <row r="6176" spans="1:6" x14ac:dyDescent="0.35">
      <c r="A6176">
        <v>1975</v>
      </c>
      <c r="B6176" s="1">
        <v>45782</v>
      </c>
      <c r="C6176" s="2">
        <v>0.25</v>
      </c>
      <c r="D6176">
        <v>3</v>
      </c>
      <c r="E6176">
        <v>6.9</v>
      </c>
      <c r="F6176">
        <v>84</v>
      </c>
    </row>
    <row r="6177" spans="1:6" x14ac:dyDescent="0.35">
      <c r="A6177">
        <v>1975</v>
      </c>
      <c r="B6177" s="1">
        <v>45782</v>
      </c>
      <c r="C6177" s="2">
        <v>0.29166666666666669</v>
      </c>
      <c r="D6177">
        <v>3</v>
      </c>
      <c r="E6177">
        <v>8.8000000000000007</v>
      </c>
      <c r="F6177">
        <v>77</v>
      </c>
    </row>
    <row r="6178" spans="1:6" x14ac:dyDescent="0.35">
      <c r="A6178">
        <v>1975</v>
      </c>
      <c r="B6178" s="1">
        <v>45782</v>
      </c>
      <c r="C6178" s="2">
        <v>0.33333333333333331</v>
      </c>
      <c r="D6178">
        <v>3</v>
      </c>
      <c r="E6178">
        <v>10</v>
      </c>
      <c r="F6178">
        <v>74</v>
      </c>
    </row>
    <row r="6179" spans="1:6" x14ac:dyDescent="0.35">
      <c r="A6179">
        <v>1975</v>
      </c>
      <c r="B6179" s="1">
        <v>45782</v>
      </c>
      <c r="C6179" s="2">
        <v>0.375</v>
      </c>
      <c r="D6179">
        <v>3</v>
      </c>
      <c r="E6179">
        <v>9.6</v>
      </c>
      <c r="F6179">
        <v>75</v>
      </c>
    </row>
    <row r="6180" spans="1:6" x14ac:dyDescent="0.35">
      <c r="A6180">
        <v>1975</v>
      </c>
      <c r="B6180" s="1">
        <v>45782</v>
      </c>
      <c r="C6180" s="2">
        <v>0.41666666666666669</v>
      </c>
      <c r="D6180">
        <v>3</v>
      </c>
      <c r="E6180">
        <v>10.199999999999999</v>
      </c>
      <c r="F6180">
        <v>71</v>
      </c>
    </row>
    <row r="6181" spans="1:6" x14ac:dyDescent="0.35">
      <c r="A6181">
        <v>1975</v>
      </c>
      <c r="B6181" s="1">
        <v>45782</v>
      </c>
      <c r="C6181" s="2">
        <v>0.45833333333333331</v>
      </c>
      <c r="D6181">
        <v>3</v>
      </c>
      <c r="E6181">
        <v>11.7</v>
      </c>
      <c r="F6181">
        <v>61</v>
      </c>
    </row>
    <row r="6182" spans="1:6" x14ac:dyDescent="0.35">
      <c r="A6182">
        <v>1975</v>
      </c>
      <c r="B6182" s="1">
        <v>45782</v>
      </c>
      <c r="C6182" s="2">
        <v>0.5</v>
      </c>
      <c r="D6182">
        <v>3</v>
      </c>
      <c r="E6182">
        <v>11.7</v>
      </c>
      <c r="F6182">
        <v>53</v>
      </c>
    </row>
    <row r="6183" spans="1:6" x14ac:dyDescent="0.35">
      <c r="A6183">
        <v>1975</v>
      </c>
      <c r="B6183" s="1">
        <v>45782</v>
      </c>
      <c r="C6183" s="2">
        <v>0.54166666666666663</v>
      </c>
      <c r="D6183">
        <v>3</v>
      </c>
      <c r="E6183">
        <v>11.5</v>
      </c>
      <c r="F6183">
        <v>55</v>
      </c>
    </row>
    <row r="6184" spans="1:6" x14ac:dyDescent="0.35">
      <c r="A6184">
        <v>1975</v>
      </c>
      <c r="B6184" s="1">
        <v>45782</v>
      </c>
      <c r="C6184" s="2">
        <v>0.58333333333333337</v>
      </c>
      <c r="D6184">
        <v>3</v>
      </c>
      <c r="E6184">
        <v>11.1</v>
      </c>
      <c r="F6184">
        <v>58</v>
      </c>
    </row>
    <row r="6185" spans="1:6" x14ac:dyDescent="0.35">
      <c r="A6185">
        <v>1975</v>
      </c>
      <c r="B6185" s="1">
        <v>45782</v>
      </c>
      <c r="C6185" s="2">
        <v>0.625</v>
      </c>
      <c r="D6185">
        <v>3</v>
      </c>
      <c r="E6185">
        <v>11.7</v>
      </c>
      <c r="F6185">
        <v>56</v>
      </c>
    </row>
    <row r="6186" spans="1:6" x14ac:dyDescent="0.35">
      <c r="A6186">
        <v>1975</v>
      </c>
      <c r="B6186" s="1">
        <v>45782</v>
      </c>
      <c r="C6186" s="2">
        <v>0.66666666666666663</v>
      </c>
      <c r="D6186">
        <v>3</v>
      </c>
      <c r="E6186">
        <v>11.7</v>
      </c>
      <c r="F6186">
        <v>57</v>
      </c>
    </row>
    <row r="6187" spans="1:6" x14ac:dyDescent="0.35">
      <c r="A6187">
        <v>1975</v>
      </c>
      <c r="B6187" s="1">
        <v>45782</v>
      </c>
      <c r="C6187" s="2">
        <v>0.70833333333333337</v>
      </c>
      <c r="D6187">
        <v>3</v>
      </c>
      <c r="E6187">
        <v>11.7</v>
      </c>
      <c r="F6187">
        <v>56</v>
      </c>
    </row>
    <row r="6188" spans="1:6" x14ac:dyDescent="0.35">
      <c r="A6188">
        <v>1975</v>
      </c>
      <c r="B6188" s="1">
        <v>45782</v>
      </c>
      <c r="C6188" s="2">
        <v>0.75</v>
      </c>
      <c r="D6188">
        <v>3</v>
      </c>
      <c r="E6188">
        <v>11.3</v>
      </c>
      <c r="F6188">
        <v>50</v>
      </c>
    </row>
    <row r="6189" spans="1:6" x14ac:dyDescent="0.35">
      <c r="A6189">
        <v>1975</v>
      </c>
      <c r="B6189" s="1">
        <v>45782</v>
      </c>
      <c r="C6189" s="2">
        <v>0.79166666666666663</v>
      </c>
      <c r="D6189">
        <v>3</v>
      </c>
      <c r="E6189">
        <v>8.1</v>
      </c>
      <c r="F6189">
        <v>62</v>
      </c>
    </row>
    <row r="6190" spans="1:6" x14ac:dyDescent="0.35">
      <c r="A6190">
        <v>1975</v>
      </c>
      <c r="B6190" s="1">
        <v>45782</v>
      </c>
      <c r="C6190" s="2">
        <v>0.83333333333333337</v>
      </c>
      <c r="D6190">
        <v>3</v>
      </c>
      <c r="E6190">
        <v>6.3</v>
      </c>
      <c r="F6190">
        <v>81</v>
      </c>
    </row>
    <row r="6191" spans="1:6" x14ac:dyDescent="0.35">
      <c r="A6191">
        <v>1975</v>
      </c>
      <c r="B6191" s="1">
        <v>45782</v>
      </c>
      <c r="C6191" s="2">
        <v>0.875</v>
      </c>
      <c r="D6191">
        <v>3</v>
      </c>
      <c r="E6191">
        <v>4.5999999999999996</v>
      </c>
      <c r="F6191">
        <v>91</v>
      </c>
    </row>
    <row r="6192" spans="1:6" x14ac:dyDescent="0.35">
      <c r="A6192">
        <v>1975</v>
      </c>
      <c r="B6192" s="1">
        <v>45782</v>
      </c>
      <c r="C6192" s="2">
        <v>0.91666666666666663</v>
      </c>
      <c r="D6192">
        <v>3</v>
      </c>
      <c r="E6192">
        <v>3.5</v>
      </c>
      <c r="F6192">
        <v>93</v>
      </c>
    </row>
    <row r="6193" spans="1:6" x14ac:dyDescent="0.35">
      <c r="A6193">
        <v>1975</v>
      </c>
      <c r="B6193" s="1">
        <v>45782</v>
      </c>
      <c r="C6193" s="2">
        <v>0.95833333333333337</v>
      </c>
      <c r="D6193">
        <v>3</v>
      </c>
      <c r="E6193">
        <v>3</v>
      </c>
      <c r="F6193">
        <v>96</v>
      </c>
    </row>
    <row r="6194" spans="1:6" x14ac:dyDescent="0.35">
      <c r="A6194">
        <v>1975</v>
      </c>
      <c r="B6194" s="1">
        <v>45783</v>
      </c>
      <c r="C6194" s="2">
        <v>0</v>
      </c>
      <c r="D6194">
        <v>3</v>
      </c>
      <c r="E6194">
        <v>1.8</v>
      </c>
      <c r="F6194">
        <v>99</v>
      </c>
    </row>
    <row r="6195" spans="1:6" x14ac:dyDescent="0.35">
      <c r="A6195">
        <v>1975</v>
      </c>
      <c r="B6195" s="1">
        <v>45783</v>
      </c>
      <c r="C6195" s="2">
        <v>4.1666666666666657E-2</v>
      </c>
      <c r="D6195">
        <v>3</v>
      </c>
      <c r="E6195">
        <v>1.9</v>
      </c>
      <c r="F6195">
        <v>99</v>
      </c>
    </row>
    <row r="6196" spans="1:6" x14ac:dyDescent="0.35">
      <c r="A6196">
        <v>1975</v>
      </c>
      <c r="B6196" s="1">
        <v>45783</v>
      </c>
      <c r="C6196" s="2">
        <v>8.3333333333333329E-2</v>
      </c>
      <c r="D6196">
        <v>3</v>
      </c>
      <c r="E6196">
        <v>1.2</v>
      </c>
      <c r="F6196">
        <v>100</v>
      </c>
    </row>
    <row r="6197" spans="1:6" x14ac:dyDescent="0.35">
      <c r="A6197">
        <v>1975</v>
      </c>
      <c r="B6197" s="1">
        <v>45783</v>
      </c>
      <c r="C6197" s="2">
        <v>0.125</v>
      </c>
      <c r="D6197">
        <v>3</v>
      </c>
      <c r="E6197">
        <v>1</v>
      </c>
      <c r="F6197">
        <v>100</v>
      </c>
    </row>
    <row r="6198" spans="1:6" x14ac:dyDescent="0.35">
      <c r="A6198">
        <v>1975</v>
      </c>
      <c r="B6198" s="1">
        <v>45783</v>
      </c>
      <c r="C6198" s="2">
        <v>0.16666666666666671</v>
      </c>
      <c r="D6198">
        <v>3</v>
      </c>
      <c r="E6198">
        <v>0.8</v>
      </c>
      <c r="F6198">
        <v>98</v>
      </c>
    </row>
    <row r="6199" spans="1:6" x14ac:dyDescent="0.35">
      <c r="A6199">
        <v>1975</v>
      </c>
      <c r="B6199" s="1">
        <v>45783</v>
      </c>
      <c r="C6199" s="2">
        <v>0.20833333333333329</v>
      </c>
      <c r="D6199">
        <v>3</v>
      </c>
      <c r="E6199">
        <v>3.5</v>
      </c>
      <c r="F6199">
        <v>94</v>
      </c>
    </row>
    <row r="6200" spans="1:6" x14ac:dyDescent="0.35">
      <c r="A6200">
        <v>1975</v>
      </c>
      <c r="B6200" s="1">
        <v>45783</v>
      </c>
      <c r="C6200" s="2">
        <v>0.25</v>
      </c>
      <c r="D6200">
        <v>3</v>
      </c>
      <c r="E6200">
        <v>7</v>
      </c>
      <c r="F6200">
        <v>83</v>
      </c>
    </row>
    <row r="6201" spans="1:6" x14ac:dyDescent="0.35">
      <c r="A6201">
        <v>1975</v>
      </c>
      <c r="B6201" s="1">
        <v>45783</v>
      </c>
      <c r="C6201" s="2">
        <v>0.29166666666666669</v>
      </c>
      <c r="D6201">
        <v>3</v>
      </c>
      <c r="E6201">
        <v>7.3</v>
      </c>
      <c r="F6201">
        <v>94</v>
      </c>
    </row>
    <row r="6202" spans="1:6" x14ac:dyDescent="0.35">
      <c r="A6202">
        <v>1975</v>
      </c>
      <c r="B6202" s="1">
        <v>45783</v>
      </c>
      <c r="C6202" s="2">
        <v>0.33333333333333331</v>
      </c>
      <c r="D6202">
        <v>3</v>
      </c>
      <c r="E6202">
        <v>9.6999999999999993</v>
      </c>
      <c r="F6202">
        <v>84</v>
      </c>
    </row>
    <row r="6203" spans="1:6" x14ac:dyDescent="0.35">
      <c r="A6203">
        <v>1975</v>
      </c>
      <c r="B6203" s="1">
        <v>45783</v>
      </c>
      <c r="C6203" s="2">
        <v>0.375</v>
      </c>
      <c r="D6203">
        <v>3</v>
      </c>
      <c r="E6203">
        <v>12.2</v>
      </c>
      <c r="F6203">
        <v>76</v>
      </c>
    </row>
    <row r="6204" spans="1:6" x14ac:dyDescent="0.35">
      <c r="A6204">
        <v>1975</v>
      </c>
      <c r="B6204" s="1">
        <v>45783</v>
      </c>
      <c r="C6204" s="2">
        <v>0.41666666666666669</v>
      </c>
      <c r="D6204">
        <v>3</v>
      </c>
      <c r="E6204">
        <v>12.8</v>
      </c>
      <c r="F6204">
        <v>59</v>
      </c>
    </row>
    <row r="6205" spans="1:6" x14ac:dyDescent="0.35">
      <c r="A6205">
        <v>1975</v>
      </c>
      <c r="B6205" s="1">
        <v>45783</v>
      </c>
      <c r="C6205" s="2">
        <v>0.45833333333333331</v>
      </c>
      <c r="D6205">
        <v>3</v>
      </c>
      <c r="E6205">
        <v>13.6</v>
      </c>
      <c r="F6205">
        <v>58</v>
      </c>
    </row>
    <row r="6206" spans="1:6" x14ac:dyDescent="0.35">
      <c r="A6206">
        <v>1975</v>
      </c>
      <c r="B6206" s="1">
        <v>45783</v>
      </c>
      <c r="C6206" s="2">
        <v>0.5</v>
      </c>
      <c r="D6206">
        <v>3</v>
      </c>
      <c r="E6206">
        <v>13.3</v>
      </c>
      <c r="F6206">
        <v>59</v>
      </c>
    </row>
    <row r="6207" spans="1:6" x14ac:dyDescent="0.35">
      <c r="A6207">
        <v>1975</v>
      </c>
      <c r="B6207" s="1">
        <v>45783</v>
      </c>
      <c r="C6207" s="2">
        <v>0.54166666666666663</v>
      </c>
      <c r="D6207">
        <v>3</v>
      </c>
      <c r="E6207">
        <v>13.2</v>
      </c>
      <c r="F6207">
        <v>60</v>
      </c>
    </row>
    <row r="6208" spans="1:6" x14ac:dyDescent="0.35">
      <c r="A6208">
        <v>1975</v>
      </c>
      <c r="B6208" s="1">
        <v>45783</v>
      </c>
      <c r="C6208" s="2">
        <v>0.58333333333333337</v>
      </c>
      <c r="D6208">
        <v>3</v>
      </c>
      <c r="E6208">
        <v>15.1</v>
      </c>
      <c r="F6208">
        <v>55</v>
      </c>
    </row>
    <row r="6209" spans="1:6" x14ac:dyDescent="0.35">
      <c r="A6209">
        <v>1975</v>
      </c>
      <c r="B6209" s="1">
        <v>45783</v>
      </c>
      <c r="C6209" s="2">
        <v>0.625</v>
      </c>
      <c r="D6209">
        <v>3</v>
      </c>
      <c r="E6209">
        <v>14.5</v>
      </c>
      <c r="F6209">
        <v>55</v>
      </c>
    </row>
    <row r="6210" spans="1:6" x14ac:dyDescent="0.35">
      <c r="A6210">
        <v>1975</v>
      </c>
      <c r="B6210" s="1">
        <v>45783</v>
      </c>
      <c r="C6210" s="2">
        <v>0.66666666666666663</v>
      </c>
      <c r="D6210">
        <v>3</v>
      </c>
      <c r="E6210">
        <v>15.1</v>
      </c>
      <c r="F6210">
        <v>50</v>
      </c>
    </row>
    <row r="6211" spans="1:6" x14ac:dyDescent="0.35">
      <c r="A6211">
        <v>1975</v>
      </c>
      <c r="B6211" s="1">
        <v>45783</v>
      </c>
      <c r="C6211" s="2">
        <v>0.70833333333333337</v>
      </c>
      <c r="D6211">
        <v>3</v>
      </c>
      <c r="E6211">
        <v>15</v>
      </c>
      <c r="F6211">
        <v>43</v>
      </c>
    </row>
    <row r="6212" spans="1:6" x14ac:dyDescent="0.35">
      <c r="A6212">
        <v>1975</v>
      </c>
      <c r="B6212" s="1">
        <v>45783</v>
      </c>
      <c r="C6212" s="2">
        <v>0.75</v>
      </c>
      <c r="D6212">
        <v>3</v>
      </c>
      <c r="E6212">
        <v>14.2</v>
      </c>
      <c r="F6212">
        <v>52</v>
      </c>
    </row>
    <row r="6213" spans="1:6" x14ac:dyDescent="0.35">
      <c r="A6213">
        <v>1975</v>
      </c>
      <c r="B6213" s="1">
        <v>45783</v>
      </c>
      <c r="C6213" s="2">
        <v>0.79166666666666663</v>
      </c>
      <c r="D6213">
        <v>3</v>
      </c>
      <c r="E6213">
        <v>11.9</v>
      </c>
      <c r="F6213">
        <v>58</v>
      </c>
    </row>
    <row r="6214" spans="1:6" x14ac:dyDescent="0.35">
      <c r="A6214">
        <v>1975</v>
      </c>
      <c r="B6214" s="1">
        <v>45783</v>
      </c>
      <c r="C6214" s="2">
        <v>0.83333333333333337</v>
      </c>
      <c r="D6214">
        <v>3</v>
      </c>
      <c r="E6214">
        <v>9.9</v>
      </c>
      <c r="F6214">
        <v>55</v>
      </c>
    </row>
    <row r="6215" spans="1:6" x14ac:dyDescent="0.35">
      <c r="A6215">
        <v>1975</v>
      </c>
      <c r="B6215" s="1">
        <v>45783</v>
      </c>
      <c r="C6215" s="2">
        <v>0.875</v>
      </c>
      <c r="D6215">
        <v>3</v>
      </c>
      <c r="E6215">
        <v>6.9</v>
      </c>
      <c r="F6215">
        <v>69</v>
      </c>
    </row>
    <row r="6216" spans="1:6" x14ac:dyDescent="0.35">
      <c r="A6216">
        <v>1975</v>
      </c>
      <c r="B6216" s="1">
        <v>45783</v>
      </c>
      <c r="C6216" s="2">
        <v>0.91666666666666663</v>
      </c>
      <c r="D6216">
        <v>3</v>
      </c>
      <c r="E6216">
        <v>5.3</v>
      </c>
      <c r="F6216">
        <v>76</v>
      </c>
    </row>
    <row r="6217" spans="1:6" x14ac:dyDescent="0.35">
      <c r="A6217">
        <v>1975</v>
      </c>
      <c r="B6217" s="1">
        <v>45783</v>
      </c>
      <c r="C6217" s="2">
        <v>0.95833333333333337</v>
      </c>
      <c r="D6217">
        <v>3</v>
      </c>
      <c r="E6217">
        <v>4.5</v>
      </c>
      <c r="F6217">
        <v>80</v>
      </c>
    </row>
    <row r="6218" spans="1:6" x14ac:dyDescent="0.35">
      <c r="A6218">
        <v>1975</v>
      </c>
      <c r="B6218" s="1">
        <v>45784</v>
      </c>
      <c r="C6218" s="2">
        <v>0</v>
      </c>
      <c r="D6218">
        <v>3</v>
      </c>
      <c r="E6218">
        <v>2.8</v>
      </c>
      <c r="F6218">
        <v>85</v>
      </c>
    </row>
    <row r="6219" spans="1:6" x14ac:dyDescent="0.35">
      <c r="A6219">
        <v>1975</v>
      </c>
      <c r="B6219" s="1">
        <v>45784</v>
      </c>
      <c r="C6219" s="2">
        <v>4.1666666666666657E-2</v>
      </c>
      <c r="D6219">
        <v>3</v>
      </c>
      <c r="E6219">
        <v>2.9</v>
      </c>
      <c r="F6219">
        <v>91</v>
      </c>
    </row>
    <row r="6220" spans="1:6" x14ac:dyDescent="0.35">
      <c r="A6220">
        <v>1975</v>
      </c>
      <c r="B6220" s="1">
        <v>45784</v>
      </c>
      <c r="C6220" s="2">
        <v>8.3333333333333329E-2</v>
      </c>
      <c r="D6220">
        <v>3</v>
      </c>
      <c r="E6220">
        <v>2.1</v>
      </c>
      <c r="F6220">
        <v>92</v>
      </c>
    </row>
    <row r="6221" spans="1:6" x14ac:dyDescent="0.35">
      <c r="A6221">
        <v>1975</v>
      </c>
      <c r="B6221" s="1">
        <v>45784</v>
      </c>
      <c r="C6221" s="2">
        <v>0.125</v>
      </c>
      <c r="D6221">
        <v>3</v>
      </c>
      <c r="E6221">
        <v>1.8</v>
      </c>
      <c r="F6221">
        <v>95</v>
      </c>
    </row>
    <row r="6222" spans="1:6" x14ac:dyDescent="0.35">
      <c r="A6222">
        <v>1975</v>
      </c>
      <c r="B6222" s="1">
        <v>45784</v>
      </c>
      <c r="C6222" s="2">
        <v>0.16666666666666671</v>
      </c>
      <c r="D6222">
        <v>3</v>
      </c>
      <c r="E6222">
        <v>1.4</v>
      </c>
      <c r="F6222">
        <v>95</v>
      </c>
    </row>
    <row r="6223" spans="1:6" x14ac:dyDescent="0.35">
      <c r="A6223">
        <v>1975</v>
      </c>
      <c r="B6223" s="1">
        <v>45784</v>
      </c>
      <c r="C6223" s="2">
        <v>0.20833333333333329</v>
      </c>
      <c r="D6223">
        <v>3</v>
      </c>
      <c r="E6223">
        <v>4.0999999999999996</v>
      </c>
      <c r="F6223">
        <v>87</v>
      </c>
    </row>
    <row r="6224" spans="1:6" x14ac:dyDescent="0.35">
      <c r="A6224">
        <v>1975</v>
      </c>
      <c r="B6224" s="1">
        <v>45784</v>
      </c>
      <c r="C6224" s="2">
        <v>0.25</v>
      </c>
      <c r="D6224">
        <v>3</v>
      </c>
      <c r="E6224">
        <v>9.4</v>
      </c>
      <c r="F6224">
        <v>71</v>
      </c>
    </row>
    <row r="6225" spans="1:6" x14ac:dyDescent="0.35">
      <c r="A6225">
        <v>1975</v>
      </c>
      <c r="B6225" s="1">
        <v>45784</v>
      </c>
      <c r="C6225" s="2">
        <v>0.29166666666666669</v>
      </c>
      <c r="D6225">
        <v>3</v>
      </c>
      <c r="E6225">
        <v>11.5</v>
      </c>
      <c r="F6225">
        <v>68</v>
      </c>
    </row>
    <row r="6226" spans="1:6" x14ac:dyDescent="0.35">
      <c r="A6226">
        <v>1975</v>
      </c>
      <c r="B6226" s="1">
        <v>45784</v>
      </c>
      <c r="C6226" s="2">
        <v>0.33333333333333331</v>
      </c>
      <c r="D6226">
        <v>3</v>
      </c>
      <c r="E6226">
        <v>13.5</v>
      </c>
      <c r="F6226">
        <v>58</v>
      </c>
    </row>
    <row r="6227" spans="1:6" x14ac:dyDescent="0.35">
      <c r="A6227">
        <v>1975</v>
      </c>
      <c r="B6227" s="1">
        <v>45784</v>
      </c>
      <c r="C6227" s="2">
        <v>0.375</v>
      </c>
      <c r="D6227">
        <v>3</v>
      </c>
      <c r="E6227">
        <v>13.7</v>
      </c>
      <c r="F6227">
        <v>53</v>
      </c>
    </row>
    <row r="6228" spans="1:6" x14ac:dyDescent="0.35">
      <c r="A6228">
        <v>1975</v>
      </c>
      <c r="B6228" s="1">
        <v>45784</v>
      </c>
      <c r="C6228" s="2">
        <v>0.41666666666666669</v>
      </c>
      <c r="D6228">
        <v>3</v>
      </c>
      <c r="E6228">
        <v>13.8</v>
      </c>
      <c r="F6228">
        <v>50</v>
      </c>
    </row>
    <row r="6229" spans="1:6" x14ac:dyDescent="0.35">
      <c r="A6229">
        <v>1975</v>
      </c>
      <c r="B6229" s="1">
        <v>45784</v>
      </c>
      <c r="C6229" s="2">
        <v>0.45833333333333331</v>
      </c>
      <c r="D6229">
        <v>3</v>
      </c>
      <c r="E6229">
        <v>14.9</v>
      </c>
      <c r="F6229">
        <v>45</v>
      </c>
    </row>
    <row r="6230" spans="1:6" x14ac:dyDescent="0.35">
      <c r="A6230">
        <v>1975</v>
      </c>
      <c r="B6230" s="1">
        <v>45784</v>
      </c>
      <c r="C6230" s="2">
        <v>0.5</v>
      </c>
      <c r="D6230">
        <v>3</v>
      </c>
      <c r="E6230">
        <v>15.4</v>
      </c>
      <c r="F6230">
        <v>46</v>
      </c>
    </row>
    <row r="6231" spans="1:6" x14ac:dyDescent="0.35">
      <c r="A6231">
        <v>1975</v>
      </c>
      <c r="B6231" s="1">
        <v>45784</v>
      </c>
      <c r="C6231" s="2">
        <v>0.54166666666666663</v>
      </c>
      <c r="D6231">
        <v>3</v>
      </c>
      <c r="E6231">
        <v>17.2</v>
      </c>
      <c r="F6231">
        <v>40</v>
      </c>
    </row>
    <row r="6232" spans="1:6" x14ac:dyDescent="0.35">
      <c r="A6232">
        <v>1975</v>
      </c>
      <c r="B6232" s="1">
        <v>45784</v>
      </c>
      <c r="C6232" s="2">
        <v>0.58333333333333337</v>
      </c>
      <c r="D6232">
        <v>3</v>
      </c>
      <c r="E6232">
        <v>16.5</v>
      </c>
      <c r="F6232">
        <v>43</v>
      </c>
    </row>
    <row r="6233" spans="1:6" x14ac:dyDescent="0.35">
      <c r="A6233">
        <v>1975</v>
      </c>
      <c r="B6233" s="1">
        <v>45784</v>
      </c>
      <c r="C6233" s="2">
        <v>0.625</v>
      </c>
      <c r="D6233">
        <v>3</v>
      </c>
      <c r="E6233">
        <v>16</v>
      </c>
      <c r="F6233">
        <v>47</v>
      </c>
    </row>
    <row r="6234" spans="1:6" x14ac:dyDescent="0.35">
      <c r="A6234">
        <v>1975</v>
      </c>
      <c r="B6234" s="1">
        <v>45784</v>
      </c>
      <c r="C6234" s="2">
        <v>0.66666666666666663</v>
      </c>
      <c r="D6234">
        <v>3</v>
      </c>
      <c r="E6234">
        <v>15.9</v>
      </c>
      <c r="F6234">
        <v>44</v>
      </c>
    </row>
    <row r="6235" spans="1:6" x14ac:dyDescent="0.35">
      <c r="A6235">
        <v>1975</v>
      </c>
      <c r="B6235" s="1">
        <v>45784</v>
      </c>
      <c r="C6235" s="2">
        <v>0.70833333333333337</v>
      </c>
      <c r="D6235">
        <v>3</v>
      </c>
      <c r="E6235">
        <v>15.3</v>
      </c>
      <c r="F6235">
        <v>47</v>
      </c>
    </row>
    <row r="6236" spans="1:6" x14ac:dyDescent="0.35">
      <c r="A6236">
        <v>1975</v>
      </c>
      <c r="B6236" s="1">
        <v>45784</v>
      </c>
      <c r="C6236" s="2">
        <v>0.75</v>
      </c>
      <c r="D6236">
        <v>3</v>
      </c>
      <c r="E6236">
        <v>14.7</v>
      </c>
      <c r="F6236">
        <v>48</v>
      </c>
    </row>
    <row r="6237" spans="1:6" x14ac:dyDescent="0.35">
      <c r="A6237">
        <v>1975</v>
      </c>
      <c r="B6237" s="1">
        <v>45784</v>
      </c>
      <c r="C6237" s="2">
        <v>0.79166666666666663</v>
      </c>
      <c r="D6237">
        <v>3</v>
      </c>
      <c r="E6237">
        <v>12.2</v>
      </c>
      <c r="F6237">
        <v>61</v>
      </c>
    </row>
    <row r="6238" spans="1:6" x14ac:dyDescent="0.35">
      <c r="A6238">
        <v>1975</v>
      </c>
      <c r="B6238" s="1">
        <v>45784</v>
      </c>
      <c r="C6238" s="2">
        <v>0.83333333333333337</v>
      </c>
      <c r="D6238">
        <v>3</v>
      </c>
      <c r="E6238">
        <v>11.6</v>
      </c>
      <c r="F6238">
        <v>66</v>
      </c>
    </row>
    <row r="6239" spans="1:6" x14ac:dyDescent="0.35">
      <c r="A6239">
        <v>1975</v>
      </c>
      <c r="B6239" s="1">
        <v>45784</v>
      </c>
      <c r="C6239" s="2">
        <v>0.875</v>
      </c>
      <c r="D6239">
        <v>3</v>
      </c>
      <c r="E6239">
        <v>11</v>
      </c>
      <c r="F6239">
        <v>69</v>
      </c>
    </row>
    <row r="6240" spans="1:6" x14ac:dyDescent="0.35">
      <c r="A6240">
        <v>1975</v>
      </c>
      <c r="B6240" s="1">
        <v>45784</v>
      </c>
      <c r="C6240" s="2">
        <v>0.91666666666666663</v>
      </c>
      <c r="D6240">
        <v>3</v>
      </c>
      <c r="E6240">
        <v>9.1999999999999993</v>
      </c>
      <c r="F6240">
        <v>76</v>
      </c>
    </row>
    <row r="6241" spans="1:6" x14ac:dyDescent="0.35">
      <c r="A6241">
        <v>1975</v>
      </c>
      <c r="B6241" s="1">
        <v>45784</v>
      </c>
      <c r="C6241" s="2">
        <v>0.95833333333333337</v>
      </c>
      <c r="D6241">
        <v>3</v>
      </c>
      <c r="E6241">
        <v>8.4</v>
      </c>
      <c r="F6241">
        <v>79</v>
      </c>
    </row>
    <row r="6242" spans="1:6" x14ac:dyDescent="0.35">
      <c r="A6242">
        <v>1975</v>
      </c>
      <c r="B6242" s="1">
        <v>45785</v>
      </c>
      <c r="C6242" s="2">
        <v>0</v>
      </c>
      <c r="D6242">
        <v>3</v>
      </c>
      <c r="E6242">
        <v>6.8</v>
      </c>
      <c r="F6242">
        <v>87</v>
      </c>
    </row>
    <row r="6243" spans="1:6" x14ac:dyDescent="0.35">
      <c r="A6243">
        <v>1975</v>
      </c>
      <c r="B6243" s="1">
        <v>45785</v>
      </c>
      <c r="C6243" s="2">
        <v>4.1666666666666657E-2</v>
      </c>
      <c r="D6243">
        <v>3</v>
      </c>
      <c r="E6243">
        <v>5.9</v>
      </c>
      <c r="F6243">
        <v>85</v>
      </c>
    </row>
    <row r="6244" spans="1:6" x14ac:dyDescent="0.35">
      <c r="A6244">
        <v>1975</v>
      </c>
      <c r="B6244" s="1">
        <v>45785</v>
      </c>
      <c r="C6244" s="2">
        <v>8.3333333333333329E-2</v>
      </c>
      <c r="D6244">
        <v>3</v>
      </c>
      <c r="E6244">
        <v>5.7</v>
      </c>
      <c r="F6244">
        <v>87</v>
      </c>
    </row>
    <row r="6245" spans="1:6" x14ac:dyDescent="0.35">
      <c r="A6245">
        <v>1975</v>
      </c>
      <c r="B6245" s="1">
        <v>45785</v>
      </c>
      <c r="C6245" s="2">
        <v>0.125</v>
      </c>
      <c r="D6245">
        <v>3</v>
      </c>
      <c r="E6245">
        <v>4.4000000000000004</v>
      </c>
      <c r="F6245">
        <v>86</v>
      </c>
    </row>
    <row r="6246" spans="1:6" x14ac:dyDescent="0.35">
      <c r="A6246">
        <v>1975</v>
      </c>
      <c r="B6246" s="1">
        <v>45785</v>
      </c>
      <c r="C6246" s="2">
        <v>0.16666666666666671</v>
      </c>
      <c r="D6246">
        <v>3</v>
      </c>
      <c r="E6246">
        <v>5.3</v>
      </c>
      <c r="F6246">
        <v>84</v>
      </c>
    </row>
    <row r="6247" spans="1:6" x14ac:dyDescent="0.35">
      <c r="A6247">
        <v>1975</v>
      </c>
      <c r="B6247" s="1">
        <v>45785</v>
      </c>
      <c r="C6247" s="2">
        <v>0.20833333333333329</v>
      </c>
      <c r="D6247">
        <v>3</v>
      </c>
      <c r="E6247">
        <v>6.5</v>
      </c>
      <c r="F6247">
        <v>73</v>
      </c>
    </row>
    <row r="6248" spans="1:6" x14ac:dyDescent="0.35">
      <c r="A6248">
        <v>1975</v>
      </c>
      <c r="B6248" s="1">
        <v>45785</v>
      </c>
      <c r="C6248" s="2">
        <v>0.25</v>
      </c>
      <c r="D6248">
        <v>3</v>
      </c>
      <c r="E6248">
        <v>9.8000000000000007</v>
      </c>
      <c r="F6248">
        <v>57</v>
      </c>
    </row>
    <row r="6249" spans="1:6" x14ac:dyDescent="0.35">
      <c r="A6249">
        <v>1975</v>
      </c>
      <c r="B6249" s="1">
        <v>45785</v>
      </c>
      <c r="C6249" s="2">
        <v>0.29166666666666669</v>
      </c>
      <c r="D6249">
        <v>3</v>
      </c>
      <c r="E6249">
        <v>11.4</v>
      </c>
      <c r="F6249">
        <v>49</v>
      </c>
    </row>
    <row r="6250" spans="1:6" x14ac:dyDescent="0.35">
      <c r="A6250">
        <v>1975</v>
      </c>
      <c r="B6250" s="1">
        <v>45785</v>
      </c>
      <c r="C6250" s="2">
        <v>0.33333333333333331</v>
      </c>
      <c r="D6250">
        <v>3</v>
      </c>
      <c r="E6250">
        <v>12.6</v>
      </c>
      <c r="F6250">
        <v>43</v>
      </c>
    </row>
    <row r="6251" spans="1:6" x14ac:dyDescent="0.35">
      <c r="A6251">
        <v>1975</v>
      </c>
      <c r="B6251" s="1">
        <v>45785</v>
      </c>
      <c r="C6251" s="2">
        <v>0.375</v>
      </c>
      <c r="D6251">
        <v>3</v>
      </c>
      <c r="E6251">
        <v>14.4</v>
      </c>
      <c r="F6251">
        <v>38</v>
      </c>
    </row>
    <row r="6252" spans="1:6" x14ac:dyDescent="0.35">
      <c r="A6252">
        <v>1975</v>
      </c>
      <c r="B6252" s="1">
        <v>45785</v>
      </c>
      <c r="C6252" s="2">
        <v>0.41666666666666669</v>
      </c>
      <c r="D6252">
        <v>3</v>
      </c>
      <c r="E6252">
        <v>15.1</v>
      </c>
      <c r="F6252">
        <v>35</v>
      </c>
    </row>
    <row r="6253" spans="1:6" x14ac:dyDescent="0.35">
      <c r="A6253">
        <v>1975</v>
      </c>
      <c r="B6253" s="1">
        <v>45785</v>
      </c>
      <c r="C6253" s="2">
        <v>0.45833333333333331</v>
      </c>
      <c r="D6253">
        <v>3</v>
      </c>
      <c r="E6253">
        <v>16</v>
      </c>
      <c r="F6253">
        <v>34</v>
      </c>
    </row>
    <row r="6254" spans="1:6" x14ac:dyDescent="0.35">
      <c r="A6254">
        <v>1975</v>
      </c>
      <c r="B6254" s="1">
        <v>45785</v>
      </c>
      <c r="C6254" s="2">
        <v>0.5</v>
      </c>
      <c r="D6254">
        <v>3</v>
      </c>
      <c r="E6254">
        <v>17.100000000000001</v>
      </c>
      <c r="F6254">
        <v>34</v>
      </c>
    </row>
    <row r="6255" spans="1:6" x14ac:dyDescent="0.35">
      <c r="A6255">
        <v>1975</v>
      </c>
      <c r="B6255" s="1">
        <v>45785</v>
      </c>
      <c r="C6255" s="2">
        <v>0.54166666666666663</v>
      </c>
      <c r="D6255">
        <v>3</v>
      </c>
      <c r="E6255">
        <v>15.8</v>
      </c>
      <c r="F6255">
        <v>38</v>
      </c>
    </row>
    <row r="6256" spans="1:6" x14ac:dyDescent="0.35">
      <c r="A6256">
        <v>1975</v>
      </c>
      <c r="B6256" s="1">
        <v>45785</v>
      </c>
      <c r="C6256" s="2">
        <v>0.58333333333333337</v>
      </c>
      <c r="D6256">
        <v>3</v>
      </c>
      <c r="E6256">
        <v>16.3</v>
      </c>
      <c r="F6256">
        <v>35</v>
      </c>
    </row>
    <row r="6257" spans="1:6" x14ac:dyDescent="0.35">
      <c r="A6257">
        <v>1975</v>
      </c>
      <c r="B6257" s="1">
        <v>45785</v>
      </c>
      <c r="C6257" s="2">
        <v>0.625</v>
      </c>
      <c r="D6257">
        <v>3</v>
      </c>
      <c r="E6257">
        <v>17.100000000000001</v>
      </c>
      <c r="F6257">
        <v>34</v>
      </c>
    </row>
    <row r="6258" spans="1:6" x14ac:dyDescent="0.35">
      <c r="A6258">
        <v>1975</v>
      </c>
      <c r="B6258" s="1">
        <v>45785</v>
      </c>
      <c r="C6258" s="2">
        <v>0.66666666666666663</v>
      </c>
      <c r="D6258">
        <v>3</v>
      </c>
      <c r="E6258">
        <v>16.3</v>
      </c>
      <c r="F6258">
        <v>35</v>
      </c>
    </row>
    <row r="6259" spans="1:6" x14ac:dyDescent="0.35">
      <c r="A6259">
        <v>1975</v>
      </c>
      <c r="B6259" s="1">
        <v>45785</v>
      </c>
      <c r="C6259" s="2">
        <v>0.70833333333333337</v>
      </c>
      <c r="D6259">
        <v>3</v>
      </c>
      <c r="E6259">
        <v>16.100000000000001</v>
      </c>
      <c r="F6259">
        <v>37</v>
      </c>
    </row>
    <row r="6260" spans="1:6" x14ac:dyDescent="0.35">
      <c r="A6260">
        <v>1975</v>
      </c>
      <c r="B6260" s="1">
        <v>45785</v>
      </c>
      <c r="C6260" s="2">
        <v>0.75</v>
      </c>
      <c r="D6260">
        <v>3</v>
      </c>
      <c r="E6260">
        <v>14.7</v>
      </c>
      <c r="F6260">
        <v>43</v>
      </c>
    </row>
    <row r="6261" spans="1:6" x14ac:dyDescent="0.35">
      <c r="A6261">
        <v>1975</v>
      </c>
      <c r="B6261" s="1">
        <v>45785</v>
      </c>
      <c r="C6261" s="2">
        <v>0.79166666666666663</v>
      </c>
      <c r="D6261">
        <v>3</v>
      </c>
      <c r="E6261">
        <v>11.2</v>
      </c>
      <c r="F6261">
        <v>57</v>
      </c>
    </row>
    <row r="6262" spans="1:6" x14ac:dyDescent="0.35">
      <c r="A6262">
        <v>1975</v>
      </c>
      <c r="B6262" s="1">
        <v>45785</v>
      </c>
      <c r="C6262" s="2">
        <v>0.83333333333333337</v>
      </c>
      <c r="D6262">
        <v>3</v>
      </c>
      <c r="E6262">
        <v>9</v>
      </c>
      <c r="F6262">
        <v>68</v>
      </c>
    </row>
    <row r="6263" spans="1:6" x14ac:dyDescent="0.35">
      <c r="A6263">
        <v>1975</v>
      </c>
      <c r="B6263" s="1">
        <v>45785</v>
      </c>
      <c r="C6263" s="2">
        <v>0.875</v>
      </c>
      <c r="D6263">
        <v>3</v>
      </c>
      <c r="E6263">
        <v>7.6</v>
      </c>
      <c r="F6263">
        <v>77</v>
      </c>
    </row>
    <row r="6264" spans="1:6" x14ac:dyDescent="0.35">
      <c r="A6264">
        <v>1975</v>
      </c>
      <c r="B6264" s="1">
        <v>45785</v>
      </c>
      <c r="C6264" s="2">
        <v>0.91666666666666663</v>
      </c>
      <c r="D6264">
        <v>3</v>
      </c>
      <c r="E6264">
        <v>5.9</v>
      </c>
      <c r="F6264">
        <v>86</v>
      </c>
    </row>
    <row r="6265" spans="1:6" x14ac:dyDescent="0.35">
      <c r="A6265">
        <v>1975</v>
      </c>
      <c r="B6265" s="1">
        <v>45785</v>
      </c>
      <c r="C6265" s="2">
        <v>0.95833333333333337</v>
      </c>
      <c r="D6265">
        <v>3</v>
      </c>
      <c r="E6265">
        <v>5.7</v>
      </c>
      <c r="F6265">
        <v>87</v>
      </c>
    </row>
    <row r="6266" spans="1:6" x14ac:dyDescent="0.35">
      <c r="A6266">
        <v>1975</v>
      </c>
      <c r="B6266" s="1">
        <v>45786</v>
      </c>
      <c r="C6266" s="2">
        <v>0</v>
      </c>
      <c r="D6266">
        <v>3</v>
      </c>
      <c r="E6266">
        <v>4.7</v>
      </c>
      <c r="F6266">
        <v>89</v>
      </c>
    </row>
    <row r="6267" spans="1:6" x14ac:dyDescent="0.35">
      <c r="A6267">
        <v>1975</v>
      </c>
      <c r="B6267" s="1">
        <v>45786</v>
      </c>
      <c r="C6267" s="2">
        <v>4.1666666666666657E-2</v>
      </c>
      <c r="D6267">
        <v>3</v>
      </c>
      <c r="E6267">
        <v>3.4</v>
      </c>
      <c r="F6267">
        <v>93</v>
      </c>
    </row>
    <row r="6268" spans="1:6" x14ac:dyDescent="0.35">
      <c r="A6268">
        <v>1975</v>
      </c>
      <c r="B6268" s="1">
        <v>45786</v>
      </c>
      <c r="C6268" s="2">
        <v>8.3333333333333329E-2</v>
      </c>
      <c r="D6268">
        <v>3</v>
      </c>
      <c r="E6268">
        <v>3.3</v>
      </c>
      <c r="F6268">
        <v>97</v>
      </c>
    </row>
    <row r="6269" spans="1:6" x14ac:dyDescent="0.35">
      <c r="A6269">
        <v>1975</v>
      </c>
      <c r="B6269" s="1">
        <v>45786</v>
      </c>
      <c r="C6269" s="2">
        <v>0.125</v>
      </c>
      <c r="D6269">
        <v>3</v>
      </c>
      <c r="E6269">
        <v>2.5</v>
      </c>
      <c r="F6269">
        <v>97</v>
      </c>
    </row>
    <row r="6270" spans="1:6" x14ac:dyDescent="0.35">
      <c r="A6270">
        <v>1975</v>
      </c>
      <c r="B6270" s="1">
        <v>45786</v>
      </c>
      <c r="C6270" s="2">
        <v>0.16666666666666671</v>
      </c>
      <c r="D6270">
        <v>3</v>
      </c>
      <c r="E6270">
        <v>2</v>
      </c>
      <c r="F6270">
        <v>96</v>
      </c>
    </row>
    <row r="6271" spans="1:6" x14ac:dyDescent="0.35">
      <c r="A6271">
        <v>1975</v>
      </c>
      <c r="B6271" s="1">
        <v>45786</v>
      </c>
      <c r="C6271" s="2">
        <v>0.20833333333333329</v>
      </c>
      <c r="D6271">
        <v>3</v>
      </c>
      <c r="E6271">
        <v>5</v>
      </c>
      <c r="F6271">
        <v>83</v>
      </c>
    </row>
    <row r="6272" spans="1:6" x14ac:dyDescent="0.35">
      <c r="A6272">
        <v>1975</v>
      </c>
      <c r="B6272" s="1">
        <v>45786</v>
      </c>
      <c r="C6272" s="2">
        <v>0.25</v>
      </c>
      <c r="D6272">
        <v>3</v>
      </c>
      <c r="E6272">
        <v>9.6999999999999993</v>
      </c>
      <c r="F6272">
        <v>68</v>
      </c>
    </row>
    <row r="6273" spans="1:6" x14ac:dyDescent="0.35">
      <c r="A6273">
        <v>1975</v>
      </c>
      <c r="B6273" s="1">
        <v>45786</v>
      </c>
      <c r="C6273" s="2">
        <v>0.29166666666666669</v>
      </c>
      <c r="D6273">
        <v>3</v>
      </c>
      <c r="E6273">
        <v>12.1</v>
      </c>
      <c r="F6273">
        <v>57</v>
      </c>
    </row>
    <row r="6274" spans="1:6" x14ac:dyDescent="0.35">
      <c r="A6274">
        <v>1975</v>
      </c>
      <c r="B6274" s="1">
        <v>45786</v>
      </c>
      <c r="C6274" s="2">
        <v>0.33333333333333331</v>
      </c>
      <c r="D6274">
        <v>3</v>
      </c>
      <c r="E6274">
        <v>14.4</v>
      </c>
      <c r="F6274">
        <v>48</v>
      </c>
    </row>
    <row r="6275" spans="1:6" x14ac:dyDescent="0.35">
      <c r="A6275">
        <v>1975</v>
      </c>
      <c r="B6275" s="1">
        <v>45786</v>
      </c>
      <c r="C6275" s="2">
        <v>0.375</v>
      </c>
      <c r="D6275">
        <v>3</v>
      </c>
      <c r="E6275">
        <v>-999</v>
      </c>
      <c r="F6275">
        <v>-999</v>
      </c>
    </row>
    <row r="6276" spans="1:6" x14ac:dyDescent="0.35">
      <c r="A6276">
        <v>1975</v>
      </c>
      <c r="B6276" s="1">
        <v>45786</v>
      </c>
      <c r="C6276" s="2">
        <v>0.41666666666666669</v>
      </c>
      <c r="D6276">
        <v>3</v>
      </c>
      <c r="E6276">
        <v>-999</v>
      </c>
      <c r="F6276">
        <v>-999</v>
      </c>
    </row>
    <row r="6277" spans="1:6" x14ac:dyDescent="0.35">
      <c r="A6277">
        <v>1975</v>
      </c>
      <c r="B6277" s="1">
        <v>45786</v>
      </c>
      <c r="C6277" s="2">
        <v>0.45833333333333331</v>
      </c>
      <c r="D6277">
        <v>3</v>
      </c>
      <c r="E6277">
        <v>-999</v>
      </c>
      <c r="F6277">
        <v>-999</v>
      </c>
    </row>
    <row r="6278" spans="1:6" x14ac:dyDescent="0.35">
      <c r="A6278">
        <v>1975</v>
      </c>
      <c r="B6278" s="1">
        <v>45786</v>
      </c>
      <c r="C6278" s="2">
        <v>0.5</v>
      </c>
      <c r="D6278">
        <v>3</v>
      </c>
      <c r="E6278">
        <v>-999</v>
      </c>
      <c r="F6278">
        <v>-999</v>
      </c>
    </row>
    <row r="6279" spans="1:6" x14ac:dyDescent="0.35">
      <c r="A6279">
        <v>1975</v>
      </c>
      <c r="B6279" s="1">
        <v>45786</v>
      </c>
      <c r="C6279" s="2">
        <v>0.54166666666666663</v>
      </c>
      <c r="D6279">
        <v>3</v>
      </c>
      <c r="E6279">
        <v>-999</v>
      </c>
      <c r="F6279">
        <v>-999</v>
      </c>
    </row>
    <row r="6280" spans="1:6" x14ac:dyDescent="0.35">
      <c r="A6280">
        <v>1975</v>
      </c>
      <c r="B6280" s="1">
        <v>45786</v>
      </c>
      <c r="C6280" s="2">
        <v>0.58333333333333337</v>
      </c>
      <c r="D6280">
        <v>3</v>
      </c>
      <c r="E6280">
        <v>-999</v>
      </c>
      <c r="F6280">
        <v>-999</v>
      </c>
    </row>
    <row r="6281" spans="1:6" x14ac:dyDescent="0.35">
      <c r="A6281">
        <v>1975</v>
      </c>
      <c r="B6281" s="1">
        <v>45786</v>
      </c>
      <c r="C6281" s="2">
        <v>0.625</v>
      </c>
      <c r="D6281">
        <v>3</v>
      </c>
      <c r="E6281">
        <v>-999</v>
      </c>
      <c r="F6281">
        <v>-999</v>
      </c>
    </row>
    <row r="6282" spans="1:6" x14ac:dyDescent="0.35">
      <c r="A6282">
        <v>1975</v>
      </c>
      <c r="B6282" s="1">
        <v>45786</v>
      </c>
      <c r="C6282" s="2">
        <v>0.66666666666666663</v>
      </c>
      <c r="D6282">
        <v>3</v>
      </c>
      <c r="E6282">
        <v>-999</v>
      </c>
      <c r="F6282">
        <v>-999</v>
      </c>
    </row>
    <row r="6283" spans="1:6" x14ac:dyDescent="0.35">
      <c r="A6283">
        <v>1975</v>
      </c>
      <c r="B6283" s="1">
        <v>45786</v>
      </c>
      <c r="C6283" s="2">
        <v>0.70833333333333337</v>
      </c>
      <c r="D6283">
        <v>3</v>
      </c>
      <c r="E6283">
        <v>-999</v>
      </c>
      <c r="F6283">
        <v>-999</v>
      </c>
    </row>
    <row r="6284" spans="1:6" x14ac:dyDescent="0.35">
      <c r="A6284">
        <v>1975</v>
      </c>
      <c r="B6284" s="1">
        <v>45786</v>
      </c>
      <c r="C6284" s="2">
        <v>0.75</v>
      </c>
      <c r="D6284">
        <v>3</v>
      </c>
      <c r="E6284">
        <v>15.6</v>
      </c>
      <c r="F6284">
        <v>49</v>
      </c>
    </row>
    <row r="6285" spans="1:6" x14ac:dyDescent="0.35">
      <c r="A6285">
        <v>1975</v>
      </c>
      <c r="B6285" s="1">
        <v>45786</v>
      </c>
      <c r="C6285" s="2">
        <v>0.79166666666666663</v>
      </c>
      <c r="D6285">
        <v>3</v>
      </c>
      <c r="E6285">
        <v>14</v>
      </c>
      <c r="F6285">
        <v>51</v>
      </c>
    </row>
    <row r="6286" spans="1:6" x14ac:dyDescent="0.35">
      <c r="A6286">
        <v>1975</v>
      </c>
      <c r="B6286" s="1">
        <v>45786</v>
      </c>
      <c r="C6286" s="2">
        <v>0.83333333333333337</v>
      </c>
      <c r="D6286">
        <v>3</v>
      </c>
      <c r="E6286">
        <v>12</v>
      </c>
      <c r="F6286">
        <v>59</v>
      </c>
    </row>
    <row r="6287" spans="1:6" x14ac:dyDescent="0.35">
      <c r="A6287">
        <v>1975</v>
      </c>
      <c r="B6287" s="1">
        <v>45786</v>
      </c>
      <c r="C6287" s="2">
        <v>0.875</v>
      </c>
      <c r="D6287">
        <v>3</v>
      </c>
      <c r="E6287">
        <v>11.4</v>
      </c>
      <c r="F6287">
        <v>62</v>
      </c>
    </row>
    <row r="6288" spans="1:6" x14ac:dyDescent="0.35">
      <c r="A6288">
        <v>1975</v>
      </c>
      <c r="B6288" s="1">
        <v>45786</v>
      </c>
      <c r="C6288" s="2">
        <v>0.91666666666666663</v>
      </c>
      <c r="D6288">
        <v>3</v>
      </c>
      <c r="E6288">
        <v>9.6</v>
      </c>
      <c r="F6288">
        <v>76</v>
      </c>
    </row>
    <row r="6289" spans="1:6" x14ac:dyDescent="0.35">
      <c r="A6289">
        <v>1975</v>
      </c>
      <c r="B6289" s="1">
        <v>45786</v>
      </c>
      <c r="C6289" s="2">
        <v>0.95833333333333337</v>
      </c>
      <c r="D6289">
        <v>3</v>
      </c>
      <c r="E6289">
        <v>8.4</v>
      </c>
      <c r="F6289">
        <v>86</v>
      </c>
    </row>
    <row r="6290" spans="1:6" x14ac:dyDescent="0.35">
      <c r="A6290">
        <v>1975</v>
      </c>
      <c r="B6290" s="1">
        <v>45787</v>
      </c>
      <c r="C6290" s="2">
        <v>0</v>
      </c>
      <c r="D6290">
        <v>3</v>
      </c>
      <c r="E6290">
        <v>6.9</v>
      </c>
      <c r="F6290">
        <v>93</v>
      </c>
    </row>
    <row r="6291" spans="1:6" x14ac:dyDescent="0.35">
      <c r="A6291">
        <v>1975</v>
      </c>
      <c r="B6291" s="1">
        <v>45787</v>
      </c>
      <c r="C6291" s="2">
        <v>4.1666666666666657E-2</v>
      </c>
      <c r="D6291">
        <v>3</v>
      </c>
      <c r="E6291">
        <v>5.0999999999999996</v>
      </c>
      <c r="F6291">
        <v>94</v>
      </c>
    </row>
    <row r="6292" spans="1:6" x14ac:dyDescent="0.35">
      <c r="A6292">
        <v>1975</v>
      </c>
      <c r="B6292" s="1">
        <v>45787</v>
      </c>
      <c r="C6292" s="2">
        <v>8.3333333333333329E-2</v>
      </c>
      <c r="D6292">
        <v>3</v>
      </c>
      <c r="E6292">
        <v>5.4</v>
      </c>
      <c r="F6292">
        <v>100</v>
      </c>
    </row>
    <row r="6293" spans="1:6" x14ac:dyDescent="0.35">
      <c r="A6293">
        <v>1975</v>
      </c>
      <c r="B6293" s="1">
        <v>45787</v>
      </c>
      <c r="C6293" s="2">
        <v>0.125</v>
      </c>
      <c r="D6293">
        <v>3</v>
      </c>
      <c r="E6293">
        <v>5.4</v>
      </c>
      <c r="F6293">
        <v>97</v>
      </c>
    </row>
    <row r="6294" spans="1:6" x14ac:dyDescent="0.35">
      <c r="A6294">
        <v>1975</v>
      </c>
      <c r="B6294" s="1">
        <v>45787</v>
      </c>
      <c r="C6294" s="2">
        <v>0.16666666666666671</v>
      </c>
      <c r="D6294">
        <v>3</v>
      </c>
      <c r="E6294">
        <v>5.7</v>
      </c>
      <c r="F6294">
        <v>98</v>
      </c>
    </row>
    <row r="6295" spans="1:6" x14ac:dyDescent="0.35">
      <c r="A6295">
        <v>1975</v>
      </c>
      <c r="B6295" s="1">
        <v>45787</v>
      </c>
      <c r="C6295" s="2">
        <v>0.20833333333333329</v>
      </c>
      <c r="D6295">
        <v>3</v>
      </c>
      <c r="E6295">
        <v>7.5</v>
      </c>
      <c r="F6295">
        <v>94</v>
      </c>
    </row>
    <row r="6296" spans="1:6" x14ac:dyDescent="0.35">
      <c r="A6296">
        <v>1975</v>
      </c>
      <c r="B6296" s="1">
        <v>45787</v>
      </c>
      <c r="C6296" s="2">
        <v>0.25</v>
      </c>
      <c r="D6296">
        <v>3</v>
      </c>
      <c r="E6296">
        <v>9</v>
      </c>
      <c r="F6296">
        <v>87</v>
      </c>
    </row>
    <row r="6297" spans="1:6" x14ac:dyDescent="0.35">
      <c r="A6297">
        <v>1975</v>
      </c>
      <c r="B6297" s="1">
        <v>45787</v>
      </c>
      <c r="C6297" s="2">
        <v>0.29166666666666669</v>
      </c>
      <c r="D6297">
        <v>3</v>
      </c>
      <c r="E6297">
        <v>10.5</v>
      </c>
      <c r="F6297">
        <v>81</v>
      </c>
    </row>
    <row r="6298" spans="1:6" x14ac:dyDescent="0.35">
      <c r="A6298">
        <v>1975</v>
      </c>
      <c r="B6298" s="1">
        <v>45787</v>
      </c>
      <c r="C6298" s="2">
        <v>0.33333333333333331</v>
      </c>
      <c r="D6298">
        <v>3</v>
      </c>
      <c r="E6298">
        <v>12.5</v>
      </c>
      <c r="F6298">
        <v>68</v>
      </c>
    </row>
    <row r="6299" spans="1:6" x14ac:dyDescent="0.35">
      <c r="A6299">
        <v>1975</v>
      </c>
      <c r="B6299" s="1">
        <v>45787</v>
      </c>
      <c r="C6299" s="2">
        <v>0.375</v>
      </c>
      <c r="D6299">
        <v>3</v>
      </c>
      <c r="E6299">
        <v>-999</v>
      </c>
      <c r="F6299">
        <v>-999</v>
      </c>
    </row>
    <row r="6300" spans="1:6" x14ac:dyDescent="0.35">
      <c r="A6300">
        <v>1975</v>
      </c>
      <c r="B6300" s="1">
        <v>45787</v>
      </c>
      <c r="C6300" s="2">
        <v>0.41666666666666669</v>
      </c>
      <c r="D6300">
        <v>3</v>
      </c>
      <c r="E6300">
        <v>-999</v>
      </c>
      <c r="F6300">
        <v>-999</v>
      </c>
    </row>
    <row r="6301" spans="1:6" x14ac:dyDescent="0.35">
      <c r="A6301">
        <v>1975</v>
      </c>
      <c r="B6301" s="1">
        <v>45787</v>
      </c>
      <c r="C6301" s="2">
        <v>0.45833333333333331</v>
      </c>
      <c r="D6301">
        <v>3</v>
      </c>
      <c r="E6301">
        <v>-999</v>
      </c>
      <c r="F6301">
        <v>-999</v>
      </c>
    </row>
    <row r="6302" spans="1:6" x14ac:dyDescent="0.35">
      <c r="A6302">
        <v>1975</v>
      </c>
      <c r="B6302" s="1">
        <v>45787</v>
      </c>
      <c r="C6302" s="2">
        <v>0.5</v>
      </c>
      <c r="D6302">
        <v>3</v>
      </c>
      <c r="E6302">
        <v>-999</v>
      </c>
      <c r="F6302">
        <v>-999</v>
      </c>
    </row>
    <row r="6303" spans="1:6" x14ac:dyDescent="0.35">
      <c r="A6303">
        <v>1975</v>
      </c>
      <c r="B6303" s="1">
        <v>45787</v>
      </c>
      <c r="C6303" s="2">
        <v>0.54166666666666663</v>
      </c>
      <c r="D6303">
        <v>3</v>
      </c>
      <c r="E6303">
        <v>-999</v>
      </c>
      <c r="F6303">
        <v>-999</v>
      </c>
    </row>
    <row r="6304" spans="1:6" x14ac:dyDescent="0.35">
      <c r="A6304">
        <v>1975</v>
      </c>
      <c r="B6304" s="1">
        <v>45787</v>
      </c>
      <c r="C6304" s="2">
        <v>0.58333333333333337</v>
      </c>
      <c r="D6304">
        <v>3</v>
      </c>
      <c r="E6304">
        <v>-999</v>
      </c>
      <c r="F6304">
        <v>-999</v>
      </c>
    </row>
    <row r="6305" spans="1:6" x14ac:dyDescent="0.35">
      <c r="A6305">
        <v>1975</v>
      </c>
      <c r="B6305" s="1">
        <v>45787</v>
      </c>
      <c r="C6305" s="2">
        <v>0.625</v>
      </c>
      <c r="D6305">
        <v>3</v>
      </c>
      <c r="E6305">
        <v>-999</v>
      </c>
      <c r="F6305">
        <v>-999</v>
      </c>
    </row>
    <row r="6306" spans="1:6" x14ac:dyDescent="0.35">
      <c r="A6306">
        <v>1975</v>
      </c>
      <c r="B6306" s="1">
        <v>45787</v>
      </c>
      <c r="C6306" s="2">
        <v>0.66666666666666663</v>
      </c>
      <c r="D6306">
        <v>3</v>
      </c>
      <c r="E6306">
        <v>-999</v>
      </c>
      <c r="F6306">
        <v>-999</v>
      </c>
    </row>
    <row r="6307" spans="1:6" x14ac:dyDescent="0.35">
      <c r="A6307">
        <v>1975</v>
      </c>
      <c r="B6307" s="1">
        <v>45787</v>
      </c>
      <c r="C6307" s="2">
        <v>0.70833333333333337</v>
      </c>
      <c r="D6307">
        <v>3</v>
      </c>
      <c r="E6307">
        <v>-999</v>
      </c>
      <c r="F6307">
        <v>-999</v>
      </c>
    </row>
    <row r="6308" spans="1:6" x14ac:dyDescent="0.35">
      <c r="A6308">
        <v>1975</v>
      </c>
      <c r="B6308" s="1">
        <v>45787</v>
      </c>
      <c r="C6308" s="2">
        <v>0.75</v>
      </c>
      <c r="D6308">
        <v>3</v>
      </c>
      <c r="E6308">
        <v>-999</v>
      </c>
      <c r="F6308">
        <v>-999</v>
      </c>
    </row>
    <row r="6309" spans="1:6" x14ac:dyDescent="0.35">
      <c r="A6309">
        <v>1975</v>
      </c>
      <c r="B6309" s="1">
        <v>45787</v>
      </c>
      <c r="C6309" s="2">
        <v>0.79166666666666663</v>
      </c>
      <c r="D6309">
        <v>3</v>
      </c>
      <c r="E6309">
        <v>15.2</v>
      </c>
      <c r="F6309">
        <v>62</v>
      </c>
    </row>
    <row r="6310" spans="1:6" x14ac:dyDescent="0.35">
      <c r="A6310">
        <v>1975</v>
      </c>
      <c r="B6310" s="1">
        <v>45787</v>
      </c>
      <c r="C6310" s="2">
        <v>0.83333333333333337</v>
      </c>
      <c r="D6310">
        <v>3</v>
      </c>
      <c r="E6310">
        <v>13.9</v>
      </c>
      <c r="F6310">
        <v>67</v>
      </c>
    </row>
    <row r="6311" spans="1:6" x14ac:dyDescent="0.35">
      <c r="A6311">
        <v>1975</v>
      </c>
      <c r="B6311" s="1">
        <v>45787</v>
      </c>
      <c r="C6311" s="2">
        <v>0.875</v>
      </c>
      <c r="D6311">
        <v>3</v>
      </c>
      <c r="E6311">
        <v>12.2</v>
      </c>
      <c r="F6311">
        <v>73</v>
      </c>
    </row>
    <row r="6312" spans="1:6" x14ac:dyDescent="0.35">
      <c r="A6312">
        <v>1975</v>
      </c>
      <c r="B6312" s="1">
        <v>45787</v>
      </c>
      <c r="C6312" s="2">
        <v>0.91666666666666663</v>
      </c>
      <c r="D6312">
        <v>3</v>
      </c>
      <c r="E6312">
        <v>11.1</v>
      </c>
      <c r="F6312">
        <v>80</v>
      </c>
    </row>
    <row r="6313" spans="1:6" x14ac:dyDescent="0.35">
      <c r="A6313">
        <v>1975</v>
      </c>
      <c r="B6313" s="1">
        <v>45787</v>
      </c>
      <c r="C6313" s="2">
        <v>0.95833333333333337</v>
      </c>
      <c r="D6313">
        <v>3</v>
      </c>
      <c r="E6313">
        <v>9.6999999999999993</v>
      </c>
      <c r="F6313">
        <v>89</v>
      </c>
    </row>
    <row r="6314" spans="1:6" x14ac:dyDescent="0.35">
      <c r="A6314">
        <v>1975</v>
      </c>
      <c r="B6314" s="1">
        <v>45788</v>
      </c>
      <c r="C6314" s="2">
        <v>0</v>
      </c>
      <c r="D6314">
        <v>3</v>
      </c>
      <c r="E6314">
        <v>8.9</v>
      </c>
      <c r="F6314">
        <v>94</v>
      </c>
    </row>
    <row r="6315" spans="1:6" x14ac:dyDescent="0.35">
      <c r="A6315">
        <v>1975</v>
      </c>
      <c r="B6315" s="1">
        <v>45788</v>
      </c>
      <c r="C6315" s="2">
        <v>4.1666666666666657E-2</v>
      </c>
      <c r="D6315">
        <v>3</v>
      </c>
      <c r="E6315">
        <v>9.1999999999999993</v>
      </c>
      <c r="F6315">
        <v>92</v>
      </c>
    </row>
    <row r="6316" spans="1:6" x14ac:dyDescent="0.35">
      <c r="A6316">
        <v>1975</v>
      </c>
      <c r="B6316" s="1">
        <v>45788</v>
      </c>
      <c r="C6316" s="2">
        <v>8.3333333333333329E-2</v>
      </c>
      <c r="D6316">
        <v>3</v>
      </c>
      <c r="E6316">
        <v>8.9</v>
      </c>
      <c r="F6316">
        <v>92</v>
      </c>
    </row>
    <row r="6317" spans="1:6" x14ac:dyDescent="0.35">
      <c r="A6317">
        <v>1975</v>
      </c>
      <c r="B6317" s="1">
        <v>45788</v>
      </c>
      <c r="C6317" s="2">
        <v>0.125</v>
      </c>
      <c r="D6317">
        <v>3</v>
      </c>
      <c r="E6317">
        <v>8.1999999999999993</v>
      </c>
      <c r="F6317">
        <v>92</v>
      </c>
    </row>
    <row r="6318" spans="1:6" x14ac:dyDescent="0.35">
      <c r="A6318">
        <v>1975</v>
      </c>
      <c r="B6318" s="1">
        <v>45788</v>
      </c>
      <c r="C6318" s="2">
        <v>0.16666666666666671</v>
      </c>
      <c r="D6318">
        <v>3</v>
      </c>
      <c r="E6318">
        <v>8.1</v>
      </c>
      <c r="F6318">
        <v>91</v>
      </c>
    </row>
    <row r="6319" spans="1:6" x14ac:dyDescent="0.35">
      <c r="A6319">
        <v>1975</v>
      </c>
      <c r="B6319" s="1">
        <v>45788</v>
      </c>
      <c r="C6319" s="2">
        <v>0.20833333333333329</v>
      </c>
      <c r="D6319">
        <v>3</v>
      </c>
      <c r="E6319">
        <v>8.6999999999999993</v>
      </c>
      <c r="F6319">
        <v>86</v>
      </c>
    </row>
    <row r="6320" spans="1:6" x14ac:dyDescent="0.35">
      <c r="A6320">
        <v>1975</v>
      </c>
      <c r="B6320" s="1">
        <v>45788</v>
      </c>
      <c r="C6320" s="2">
        <v>0.25</v>
      </c>
      <c r="D6320">
        <v>3</v>
      </c>
      <c r="E6320">
        <v>9.9</v>
      </c>
      <c r="F6320">
        <v>79</v>
      </c>
    </row>
    <row r="6321" spans="1:6" x14ac:dyDescent="0.35">
      <c r="A6321">
        <v>1975</v>
      </c>
      <c r="B6321" s="1">
        <v>45788</v>
      </c>
      <c r="C6321" s="2">
        <v>0.29166666666666669</v>
      </c>
      <c r="D6321">
        <v>3</v>
      </c>
      <c r="E6321">
        <v>11.7</v>
      </c>
      <c r="F6321">
        <v>72</v>
      </c>
    </row>
    <row r="6322" spans="1:6" x14ac:dyDescent="0.35">
      <c r="A6322">
        <v>1975</v>
      </c>
      <c r="B6322" s="1">
        <v>45788</v>
      </c>
      <c r="C6322" s="2">
        <v>0.33333333333333331</v>
      </c>
      <c r="D6322">
        <v>3</v>
      </c>
      <c r="E6322">
        <v>13.7</v>
      </c>
      <c r="F6322">
        <v>64</v>
      </c>
    </row>
    <row r="6323" spans="1:6" x14ac:dyDescent="0.35">
      <c r="A6323">
        <v>1975</v>
      </c>
      <c r="B6323" s="1">
        <v>45788</v>
      </c>
      <c r="C6323" s="2">
        <v>0.375</v>
      </c>
      <c r="D6323">
        <v>3</v>
      </c>
      <c r="E6323">
        <v>-999</v>
      </c>
      <c r="F6323">
        <v>-999</v>
      </c>
    </row>
    <row r="6324" spans="1:6" x14ac:dyDescent="0.35">
      <c r="A6324">
        <v>1975</v>
      </c>
      <c r="B6324" s="1">
        <v>45788</v>
      </c>
      <c r="C6324" s="2">
        <v>0.41666666666666669</v>
      </c>
      <c r="D6324">
        <v>3</v>
      </c>
      <c r="E6324">
        <v>-999</v>
      </c>
      <c r="F6324">
        <v>-999</v>
      </c>
    </row>
    <row r="6325" spans="1:6" x14ac:dyDescent="0.35">
      <c r="A6325">
        <v>1975</v>
      </c>
      <c r="B6325" s="1">
        <v>45788</v>
      </c>
      <c r="C6325" s="2">
        <v>0.45833333333333331</v>
      </c>
      <c r="D6325">
        <v>3</v>
      </c>
      <c r="E6325">
        <v>-999</v>
      </c>
      <c r="F6325">
        <v>-999</v>
      </c>
    </row>
    <row r="6326" spans="1:6" x14ac:dyDescent="0.35">
      <c r="A6326">
        <v>1975</v>
      </c>
      <c r="B6326" s="1">
        <v>45788</v>
      </c>
      <c r="C6326" s="2">
        <v>0.5</v>
      </c>
      <c r="D6326">
        <v>3</v>
      </c>
      <c r="E6326">
        <v>-999</v>
      </c>
      <c r="F6326">
        <v>-999</v>
      </c>
    </row>
    <row r="6327" spans="1:6" x14ac:dyDescent="0.35">
      <c r="A6327">
        <v>1975</v>
      </c>
      <c r="B6327" s="1">
        <v>45788</v>
      </c>
      <c r="C6327" s="2">
        <v>0.54166666666666663</v>
      </c>
      <c r="D6327">
        <v>3</v>
      </c>
      <c r="E6327">
        <v>-999</v>
      </c>
      <c r="F6327">
        <v>-999</v>
      </c>
    </row>
    <row r="6328" spans="1:6" x14ac:dyDescent="0.35">
      <c r="A6328">
        <v>1975</v>
      </c>
      <c r="B6328" s="1">
        <v>45788</v>
      </c>
      <c r="C6328" s="2">
        <v>0.58333333333333337</v>
      </c>
      <c r="D6328">
        <v>3</v>
      </c>
      <c r="E6328">
        <v>-999</v>
      </c>
      <c r="F6328">
        <v>-999</v>
      </c>
    </row>
    <row r="6329" spans="1:6" x14ac:dyDescent="0.35">
      <c r="A6329">
        <v>1975</v>
      </c>
      <c r="B6329" s="1">
        <v>45788</v>
      </c>
      <c r="C6329" s="2">
        <v>0.625</v>
      </c>
      <c r="D6329">
        <v>3</v>
      </c>
      <c r="E6329">
        <v>-999</v>
      </c>
      <c r="F6329">
        <v>-999</v>
      </c>
    </row>
    <row r="6330" spans="1:6" x14ac:dyDescent="0.35">
      <c r="A6330">
        <v>1975</v>
      </c>
      <c r="B6330" s="1">
        <v>45788</v>
      </c>
      <c r="C6330" s="2">
        <v>0.66666666666666663</v>
      </c>
      <c r="D6330">
        <v>3</v>
      </c>
      <c r="E6330">
        <v>-999</v>
      </c>
      <c r="F6330">
        <v>-999</v>
      </c>
    </row>
    <row r="6331" spans="1:6" x14ac:dyDescent="0.35">
      <c r="A6331">
        <v>1975</v>
      </c>
      <c r="B6331" s="1">
        <v>45788</v>
      </c>
      <c r="C6331" s="2">
        <v>0.70833333333333337</v>
      </c>
      <c r="D6331">
        <v>3</v>
      </c>
      <c r="E6331">
        <v>-999</v>
      </c>
      <c r="F6331">
        <v>-999</v>
      </c>
    </row>
    <row r="6332" spans="1:6" x14ac:dyDescent="0.35">
      <c r="A6332">
        <v>1975</v>
      </c>
      <c r="B6332" s="1">
        <v>45788</v>
      </c>
      <c r="C6332" s="2">
        <v>0.75</v>
      </c>
      <c r="D6332">
        <v>3</v>
      </c>
      <c r="E6332">
        <v>-999</v>
      </c>
      <c r="F6332">
        <v>-999</v>
      </c>
    </row>
    <row r="6333" spans="1:6" x14ac:dyDescent="0.35">
      <c r="A6333">
        <v>1975</v>
      </c>
      <c r="B6333" s="1">
        <v>45788</v>
      </c>
      <c r="C6333" s="2">
        <v>0.79166666666666663</v>
      </c>
      <c r="D6333">
        <v>3</v>
      </c>
      <c r="E6333">
        <v>14.5</v>
      </c>
      <c r="F6333">
        <v>63</v>
      </c>
    </row>
    <row r="6334" spans="1:6" x14ac:dyDescent="0.35">
      <c r="A6334">
        <v>1975</v>
      </c>
      <c r="B6334" s="1">
        <v>45788</v>
      </c>
      <c r="C6334" s="2">
        <v>0.83333333333333337</v>
      </c>
      <c r="D6334">
        <v>3</v>
      </c>
      <c r="E6334">
        <v>12.5</v>
      </c>
      <c r="F6334">
        <v>71</v>
      </c>
    </row>
    <row r="6335" spans="1:6" x14ac:dyDescent="0.35">
      <c r="A6335">
        <v>1975</v>
      </c>
      <c r="B6335" s="1">
        <v>45788</v>
      </c>
      <c r="C6335" s="2">
        <v>0.875</v>
      </c>
      <c r="D6335">
        <v>3</v>
      </c>
      <c r="E6335">
        <v>11.3</v>
      </c>
      <c r="F6335">
        <v>76</v>
      </c>
    </row>
    <row r="6336" spans="1:6" x14ac:dyDescent="0.35">
      <c r="A6336">
        <v>1975</v>
      </c>
      <c r="B6336" s="1">
        <v>45788</v>
      </c>
      <c r="C6336" s="2">
        <v>0.91666666666666663</v>
      </c>
      <c r="D6336">
        <v>3</v>
      </c>
      <c r="E6336">
        <v>11.4</v>
      </c>
      <c r="F6336">
        <v>63</v>
      </c>
    </row>
    <row r="6337" spans="1:6" x14ac:dyDescent="0.35">
      <c r="A6337">
        <v>1975</v>
      </c>
      <c r="B6337" s="1">
        <v>45788</v>
      </c>
      <c r="C6337" s="2">
        <v>0.95833333333333337</v>
      </c>
      <c r="D6337">
        <v>3</v>
      </c>
      <c r="E6337">
        <v>9.9</v>
      </c>
      <c r="F6337">
        <v>64</v>
      </c>
    </row>
    <row r="6338" spans="1:6" x14ac:dyDescent="0.35">
      <c r="A6338">
        <v>1975</v>
      </c>
      <c r="B6338" s="1">
        <v>45789</v>
      </c>
      <c r="C6338" s="2">
        <v>0</v>
      </c>
      <c r="D6338">
        <v>3</v>
      </c>
      <c r="E6338">
        <v>9</v>
      </c>
      <c r="F6338">
        <v>63</v>
      </c>
    </row>
    <row r="6339" spans="1:6" x14ac:dyDescent="0.35">
      <c r="A6339">
        <v>1975</v>
      </c>
      <c r="B6339" s="1">
        <v>45789</v>
      </c>
      <c r="C6339" s="2">
        <v>4.1666666666666657E-2</v>
      </c>
      <c r="D6339">
        <v>3</v>
      </c>
      <c r="E6339">
        <v>8.1</v>
      </c>
      <c r="F6339">
        <v>62</v>
      </c>
    </row>
    <row r="6340" spans="1:6" x14ac:dyDescent="0.35">
      <c r="A6340">
        <v>1975</v>
      </c>
      <c r="B6340" s="1">
        <v>45789</v>
      </c>
      <c r="C6340" s="2">
        <v>8.3333333333333329E-2</v>
      </c>
      <c r="D6340">
        <v>3</v>
      </c>
      <c r="E6340">
        <v>7.2</v>
      </c>
      <c r="F6340">
        <v>60</v>
      </c>
    </row>
    <row r="6341" spans="1:6" x14ac:dyDescent="0.35">
      <c r="A6341">
        <v>1975</v>
      </c>
      <c r="B6341" s="1">
        <v>45789</v>
      </c>
      <c r="C6341" s="2">
        <v>0.125</v>
      </c>
      <c r="D6341">
        <v>3</v>
      </c>
      <c r="E6341">
        <v>5.9</v>
      </c>
      <c r="F6341">
        <v>66</v>
      </c>
    </row>
    <row r="6342" spans="1:6" x14ac:dyDescent="0.35">
      <c r="A6342">
        <v>1975</v>
      </c>
      <c r="B6342" s="1">
        <v>45789</v>
      </c>
      <c r="C6342" s="2">
        <v>0.16666666666666671</v>
      </c>
      <c r="D6342">
        <v>3</v>
      </c>
      <c r="E6342">
        <v>5.6</v>
      </c>
      <c r="F6342">
        <v>71</v>
      </c>
    </row>
    <row r="6343" spans="1:6" x14ac:dyDescent="0.35">
      <c r="A6343">
        <v>1975</v>
      </c>
      <c r="B6343" s="1">
        <v>45789</v>
      </c>
      <c r="C6343" s="2">
        <v>0.20833333333333329</v>
      </c>
      <c r="D6343">
        <v>3</v>
      </c>
      <c r="E6343">
        <v>6.7</v>
      </c>
      <c r="F6343">
        <v>69</v>
      </c>
    </row>
    <row r="6344" spans="1:6" x14ac:dyDescent="0.35">
      <c r="A6344">
        <v>1975</v>
      </c>
      <c r="B6344" s="1">
        <v>45789</v>
      </c>
      <c r="C6344" s="2">
        <v>0.25</v>
      </c>
      <c r="D6344">
        <v>3</v>
      </c>
      <c r="E6344">
        <v>8.5</v>
      </c>
      <c r="F6344">
        <v>63</v>
      </c>
    </row>
    <row r="6345" spans="1:6" x14ac:dyDescent="0.35">
      <c r="A6345">
        <v>1975</v>
      </c>
      <c r="B6345" s="1">
        <v>45789</v>
      </c>
      <c r="C6345" s="2">
        <v>0.29166666666666669</v>
      </c>
      <c r="D6345">
        <v>3</v>
      </c>
      <c r="E6345">
        <v>10</v>
      </c>
      <c r="F6345">
        <v>54</v>
      </c>
    </row>
    <row r="6346" spans="1:6" x14ac:dyDescent="0.35">
      <c r="A6346">
        <v>1975</v>
      </c>
      <c r="B6346" s="1">
        <v>45789</v>
      </c>
      <c r="C6346" s="2">
        <v>0.33333333333333331</v>
      </c>
      <c r="D6346">
        <v>3</v>
      </c>
      <c r="E6346">
        <v>12.1</v>
      </c>
      <c r="F6346">
        <v>49</v>
      </c>
    </row>
    <row r="6347" spans="1:6" x14ac:dyDescent="0.35">
      <c r="A6347">
        <v>1975</v>
      </c>
      <c r="B6347" s="1">
        <v>45789</v>
      </c>
      <c r="C6347" s="2">
        <v>0.375</v>
      </c>
      <c r="D6347">
        <v>3</v>
      </c>
      <c r="E6347">
        <v>13.1</v>
      </c>
      <c r="F6347">
        <v>45</v>
      </c>
    </row>
    <row r="6348" spans="1:6" x14ac:dyDescent="0.35">
      <c r="A6348">
        <v>1975</v>
      </c>
      <c r="B6348" s="1">
        <v>45789</v>
      </c>
      <c r="C6348" s="2">
        <v>0.41666666666666669</v>
      </c>
      <c r="D6348">
        <v>3</v>
      </c>
      <c r="E6348">
        <v>-999</v>
      </c>
      <c r="F6348">
        <v>-999</v>
      </c>
    </row>
    <row r="6349" spans="1:6" x14ac:dyDescent="0.35">
      <c r="A6349">
        <v>1975</v>
      </c>
      <c r="B6349" s="1">
        <v>45789</v>
      </c>
      <c r="C6349" s="2">
        <v>0.45833333333333331</v>
      </c>
      <c r="D6349">
        <v>3</v>
      </c>
      <c r="E6349">
        <v>-999</v>
      </c>
      <c r="F6349">
        <v>-999</v>
      </c>
    </row>
    <row r="6350" spans="1:6" x14ac:dyDescent="0.35">
      <c r="A6350">
        <v>1975</v>
      </c>
      <c r="B6350" s="1">
        <v>45789</v>
      </c>
      <c r="C6350" s="2">
        <v>0.5</v>
      </c>
      <c r="D6350">
        <v>3</v>
      </c>
      <c r="E6350">
        <v>-999</v>
      </c>
      <c r="F6350">
        <v>-999</v>
      </c>
    </row>
    <row r="6351" spans="1:6" x14ac:dyDescent="0.35">
      <c r="A6351">
        <v>1975</v>
      </c>
      <c r="B6351" s="1">
        <v>45789</v>
      </c>
      <c r="C6351" s="2">
        <v>0.54166666666666663</v>
      </c>
      <c r="D6351">
        <v>3</v>
      </c>
      <c r="E6351">
        <v>-999</v>
      </c>
      <c r="F6351">
        <v>-999</v>
      </c>
    </row>
    <row r="6352" spans="1:6" x14ac:dyDescent="0.35">
      <c r="A6352">
        <v>1975</v>
      </c>
      <c r="B6352" s="1">
        <v>45789</v>
      </c>
      <c r="C6352" s="2">
        <v>0.58333333333333337</v>
      </c>
      <c r="D6352">
        <v>3</v>
      </c>
      <c r="E6352">
        <v>-999</v>
      </c>
      <c r="F6352">
        <v>-999</v>
      </c>
    </row>
    <row r="6353" spans="1:6" x14ac:dyDescent="0.35">
      <c r="A6353">
        <v>1975</v>
      </c>
      <c r="B6353" s="1">
        <v>45789</v>
      </c>
      <c r="C6353" s="2">
        <v>0.625</v>
      </c>
      <c r="D6353">
        <v>3</v>
      </c>
      <c r="E6353">
        <v>-999</v>
      </c>
      <c r="F6353">
        <v>-999</v>
      </c>
    </row>
    <row r="6354" spans="1:6" x14ac:dyDescent="0.35">
      <c r="A6354">
        <v>1975</v>
      </c>
      <c r="B6354" s="1">
        <v>45789</v>
      </c>
      <c r="C6354" s="2">
        <v>0.66666666666666663</v>
      </c>
      <c r="D6354">
        <v>3</v>
      </c>
      <c r="E6354">
        <v>-999</v>
      </c>
      <c r="F6354">
        <v>-999</v>
      </c>
    </row>
    <row r="6355" spans="1:6" x14ac:dyDescent="0.35">
      <c r="A6355">
        <v>1975</v>
      </c>
      <c r="B6355" s="1">
        <v>45789</v>
      </c>
      <c r="C6355" s="2">
        <v>0.70833333333333337</v>
      </c>
      <c r="D6355">
        <v>3</v>
      </c>
      <c r="E6355">
        <v>-999</v>
      </c>
      <c r="F6355">
        <v>-999</v>
      </c>
    </row>
    <row r="6356" spans="1:6" x14ac:dyDescent="0.35">
      <c r="A6356">
        <v>1975</v>
      </c>
      <c r="B6356" s="1">
        <v>45789</v>
      </c>
      <c r="C6356" s="2">
        <v>0.75</v>
      </c>
      <c r="D6356">
        <v>3</v>
      </c>
      <c r="E6356">
        <v>13.7</v>
      </c>
      <c r="F6356">
        <v>56</v>
      </c>
    </row>
    <row r="6357" spans="1:6" x14ac:dyDescent="0.35">
      <c r="A6357">
        <v>1975</v>
      </c>
      <c r="B6357" s="1">
        <v>45789</v>
      </c>
      <c r="C6357" s="2">
        <v>0.79166666666666663</v>
      </c>
      <c r="D6357">
        <v>3</v>
      </c>
      <c r="E6357">
        <v>11.9</v>
      </c>
      <c r="F6357">
        <v>62</v>
      </c>
    </row>
    <row r="6358" spans="1:6" x14ac:dyDescent="0.35">
      <c r="A6358">
        <v>1975</v>
      </c>
      <c r="B6358" s="1">
        <v>45789</v>
      </c>
      <c r="C6358" s="2">
        <v>0.83333333333333337</v>
      </c>
      <c r="D6358">
        <v>3</v>
      </c>
      <c r="E6358">
        <v>10.3</v>
      </c>
      <c r="F6358">
        <v>70</v>
      </c>
    </row>
    <row r="6359" spans="1:6" x14ac:dyDescent="0.35">
      <c r="A6359">
        <v>1975</v>
      </c>
      <c r="B6359" s="1">
        <v>45789</v>
      </c>
      <c r="C6359" s="2">
        <v>0.875</v>
      </c>
      <c r="D6359">
        <v>3</v>
      </c>
      <c r="E6359">
        <v>9.1</v>
      </c>
      <c r="F6359">
        <v>79</v>
      </c>
    </row>
    <row r="6360" spans="1:6" x14ac:dyDescent="0.35">
      <c r="A6360">
        <v>1975</v>
      </c>
      <c r="B6360" s="1">
        <v>45789</v>
      </c>
      <c r="C6360" s="2">
        <v>0.91666666666666663</v>
      </c>
      <c r="D6360">
        <v>3</v>
      </c>
      <c r="E6360">
        <v>7.9</v>
      </c>
      <c r="F6360">
        <v>86</v>
      </c>
    </row>
    <row r="6361" spans="1:6" x14ac:dyDescent="0.35">
      <c r="A6361">
        <v>1975</v>
      </c>
      <c r="B6361" s="1">
        <v>45789</v>
      </c>
      <c r="C6361" s="2">
        <v>0.95833333333333337</v>
      </c>
      <c r="D6361">
        <v>3</v>
      </c>
      <c r="E6361">
        <v>7.1</v>
      </c>
      <c r="F6361">
        <v>88</v>
      </c>
    </row>
    <row r="6362" spans="1:6" x14ac:dyDescent="0.35">
      <c r="A6362">
        <v>1975</v>
      </c>
      <c r="B6362" s="1">
        <v>45790</v>
      </c>
      <c r="C6362" s="2">
        <v>0</v>
      </c>
      <c r="D6362">
        <v>3</v>
      </c>
      <c r="E6362">
        <v>6.1</v>
      </c>
      <c r="F6362">
        <v>86</v>
      </c>
    </row>
    <row r="6363" spans="1:6" x14ac:dyDescent="0.35">
      <c r="A6363">
        <v>1975</v>
      </c>
      <c r="B6363" s="1">
        <v>45790</v>
      </c>
      <c r="C6363" s="2">
        <v>4.1666666666666657E-2</v>
      </c>
      <c r="D6363">
        <v>3</v>
      </c>
      <c r="E6363">
        <v>4</v>
      </c>
      <c r="F6363">
        <v>93</v>
      </c>
    </row>
    <row r="6364" spans="1:6" x14ac:dyDescent="0.35">
      <c r="A6364">
        <v>1975</v>
      </c>
      <c r="B6364" s="1">
        <v>45790</v>
      </c>
      <c r="C6364" s="2">
        <v>8.3333333333333329E-2</v>
      </c>
      <c r="D6364">
        <v>3</v>
      </c>
      <c r="E6364">
        <v>4.2</v>
      </c>
      <c r="F6364">
        <v>88</v>
      </c>
    </row>
    <row r="6365" spans="1:6" x14ac:dyDescent="0.35">
      <c r="A6365">
        <v>1975</v>
      </c>
      <c r="B6365" s="1">
        <v>45790</v>
      </c>
      <c r="C6365" s="2">
        <v>0.125</v>
      </c>
      <c r="D6365">
        <v>3</v>
      </c>
      <c r="E6365">
        <v>3.9</v>
      </c>
      <c r="F6365">
        <v>86</v>
      </c>
    </row>
    <row r="6366" spans="1:6" x14ac:dyDescent="0.35">
      <c r="A6366">
        <v>1975</v>
      </c>
      <c r="B6366" s="1">
        <v>45790</v>
      </c>
      <c r="C6366" s="2">
        <v>0.16666666666666671</v>
      </c>
      <c r="D6366">
        <v>3</v>
      </c>
      <c r="E6366">
        <v>4</v>
      </c>
      <c r="F6366">
        <v>84</v>
      </c>
    </row>
    <row r="6367" spans="1:6" x14ac:dyDescent="0.35">
      <c r="A6367">
        <v>1975</v>
      </c>
      <c r="B6367" s="1">
        <v>45790</v>
      </c>
      <c r="C6367" s="2">
        <v>0.20833333333333329</v>
      </c>
      <c r="D6367">
        <v>3</v>
      </c>
      <c r="E6367">
        <v>6.1</v>
      </c>
      <c r="F6367">
        <v>73</v>
      </c>
    </row>
    <row r="6368" spans="1:6" x14ac:dyDescent="0.35">
      <c r="A6368">
        <v>1975</v>
      </c>
      <c r="B6368" s="1">
        <v>45790</v>
      </c>
      <c r="C6368" s="2">
        <v>0.25</v>
      </c>
      <c r="D6368">
        <v>3</v>
      </c>
      <c r="E6368">
        <v>9.5</v>
      </c>
      <c r="F6368">
        <v>63</v>
      </c>
    </row>
    <row r="6369" spans="1:6" x14ac:dyDescent="0.35">
      <c r="A6369">
        <v>1975</v>
      </c>
      <c r="B6369" s="1">
        <v>45790</v>
      </c>
      <c r="C6369" s="2">
        <v>0.29166666666666669</v>
      </c>
      <c r="D6369">
        <v>3</v>
      </c>
      <c r="E6369">
        <v>12.4</v>
      </c>
      <c r="F6369">
        <v>55</v>
      </c>
    </row>
    <row r="6370" spans="1:6" x14ac:dyDescent="0.35">
      <c r="A6370">
        <v>1975</v>
      </c>
      <c r="B6370" s="1">
        <v>45790</v>
      </c>
      <c r="C6370" s="2">
        <v>0.33333333333333331</v>
      </c>
      <c r="D6370">
        <v>3</v>
      </c>
      <c r="E6370">
        <v>-999</v>
      </c>
      <c r="F6370">
        <v>-999</v>
      </c>
    </row>
    <row r="6371" spans="1:6" x14ac:dyDescent="0.35">
      <c r="A6371">
        <v>1975</v>
      </c>
      <c r="B6371" s="1">
        <v>45790</v>
      </c>
      <c r="C6371" s="2">
        <v>0.375</v>
      </c>
      <c r="D6371">
        <v>3</v>
      </c>
      <c r="E6371">
        <v>-999</v>
      </c>
      <c r="F6371">
        <v>-999</v>
      </c>
    </row>
    <row r="6372" spans="1:6" x14ac:dyDescent="0.35">
      <c r="A6372">
        <v>1975</v>
      </c>
      <c r="B6372" s="1">
        <v>45790</v>
      </c>
      <c r="C6372" s="2">
        <v>0.41666666666666669</v>
      </c>
      <c r="D6372">
        <v>3</v>
      </c>
      <c r="E6372">
        <v>-999</v>
      </c>
      <c r="F6372">
        <v>-999</v>
      </c>
    </row>
    <row r="6373" spans="1:6" x14ac:dyDescent="0.35">
      <c r="A6373">
        <v>1975</v>
      </c>
      <c r="B6373" s="1">
        <v>45790</v>
      </c>
      <c r="C6373" s="2">
        <v>0.45833333333333331</v>
      </c>
      <c r="D6373">
        <v>3</v>
      </c>
      <c r="E6373">
        <v>-999</v>
      </c>
      <c r="F6373">
        <v>-999</v>
      </c>
    </row>
    <row r="6374" spans="1:6" x14ac:dyDescent="0.35">
      <c r="A6374">
        <v>1975</v>
      </c>
      <c r="B6374" s="1">
        <v>45790</v>
      </c>
      <c r="C6374" s="2">
        <v>0.5</v>
      </c>
      <c r="D6374">
        <v>3</v>
      </c>
      <c r="E6374">
        <v>-999</v>
      </c>
      <c r="F6374">
        <v>-999</v>
      </c>
    </row>
    <row r="6375" spans="1:6" x14ac:dyDescent="0.35">
      <c r="A6375">
        <v>1975</v>
      </c>
      <c r="B6375" s="1">
        <v>45790</v>
      </c>
      <c r="C6375" s="2">
        <v>0.54166666666666663</v>
      </c>
      <c r="D6375">
        <v>3</v>
      </c>
      <c r="E6375">
        <v>-999</v>
      </c>
      <c r="F6375">
        <v>-999</v>
      </c>
    </row>
    <row r="6376" spans="1:6" x14ac:dyDescent="0.35">
      <c r="A6376">
        <v>1975</v>
      </c>
      <c r="B6376" s="1">
        <v>45790</v>
      </c>
      <c r="C6376" s="2">
        <v>0.58333333333333337</v>
      </c>
      <c r="D6376">
        <v>3</v>
      </c>
      <c r="E6376">
        <v>-999</v>
      </c>
      <c r="F6376">
        <v>-999</v>
      </c>
    </row>
    <row r="6377" spans="1:6" x14ac:dyDescent="0.35">
      <c r="A6377">
        <v>1975</v>
      </c>
      <c r="B6377" s="1">
        <v>45790</v>
      </c>
      <c r="C6377" s="2">
        <v>0.625</v>
      </c>
      <c r="D6377">
        <v>3</v>
      </c>
      <c r="E6377">
        <v>-999</v>
      </c>
      <c r="F6377">
        <v>-999</v>
      </c>
    </row>
    <row r="6378" spans="1:6" x14ac:dyDescent="0.35">
      <c r="A6378">
        <v>1975</v>
      </c>
      <c r="B6378" s="1">
        <v>45790</v>
      </c>
      <c r="C6378" s="2">
        <v>0.66666666666666663</v>
      </c>
      <c r="D6378">
        <v>3</v>
      </c>
      <c r="E6378">
        <v>-999</v>
      </c>
      <c r="F6378">
        <v>-999</v>
      </c>
    </row>
    <row r="6379" spans="1:6" x14ac:dyDescent="0.35">
      <c r="A6379">
        <v>1975</v>
      </c>
      <c r="B6379" s="1">
        <v>45790</v>
      </c>
      <c r="C6379" s="2">
        <v>0.70833333333333337</v>
      </c>
      <c r="D6379">
        <v>3</v>
      </c>
      <c r="E6379">
        <v>-999</v>
      </c>
      <c r="F6379">
        <v>-999</v>
      </c>
    </row>
    <row r="6380" spans="1:6" x14ac:dyDescent="0.35">
      <c r="A6380">
        <v>1975</v>
      </c>
      <c r="B6380" s="1">
        <v>45790</v>
      </c>
      <c r="C6380" s="2">
        <v>0.75</v>
      </c>
      <c r="D6380">
        <v>3</v>
      </c>
      <c r="E6380">
        <v>-999</v>
      </c>
      <c r="F6380">
        <v>-999</v>
      </c>
    </row>
    <row r="6381" spans="1:6" x14ac:dyDescent="0.35">
      <c r="A6381">
        <v>1975</v>
      </c>
      <c r="B6381" s="1">
        <v>45790</v>
      </c>
      <c r="C6381" s="2">
        <v>0.79166666666666663</v>
      </c>
      <c r="D6381">
        <v>3</v>
      </c>
      <c r="E6381">
        <v>-999</v>
      </c>
      <c r="F6381">
        <v>-999</v>
      </c>
    </row>
    <row r="6382" spans="1:6" x14ac:dyDescent="0.35">
      <c r="A6382">
        <v>1975</v>
      </c>
      <c r="B6382" s="1">
        <v>45790</v>
      </c>
      <c r="C6382" s="2">
        <v>0.83333333333333337</v>
      </c>
      <c r="D6382">
        <v>3</v>
      </c>
      <c r="E6382">
        <v>-999</v>
      </c>
      <c r="F6382">
        <v>-999</v>
      </c>
    </row>
    <row r="6383" spans="1:6" x14ac:dyDescent="0.35">
      <c r="A6383">
        <v>1975</v>
      </c>
      <c r="B6383" s="1">
        <v>45790</v>
      </c>
      <c r="C6383" s="2">
        <v>0.875</v>
      </c>
      <c r="D6383">
        <v>3</v>
      </c>
      <c r="E6383">
        <v>12.6</v>
      </c>
      <c r="F6383">
        <v>72</v>
      </c>
    </row>
    <row r="6384" spans="1:6" x14ac:dyDescent="0.35">
      <c r="A6384">
        <v>1975</v>
      </c>
      <c r="B6384" s="1">
        <v>45790</v>
      </c>
      <c r="C6384" s="2">
        <v>0.91666666666666663</v>
      </c>
      <c r="D6384">
        <v>3</v>
      </c>
      <c r="E6384">
        <v>12.3</v>
      </c>
      <c r="F6384">
        <v>72</v>
      </c>
    </row>
    <row r="6385" spans="1:6" x14ac:dyDescent="0.35">
      <c r="A6385">
        <v>1975</v>
      </c>
      <c r="B6385" s="1">
        <v>45790</v>
      </c>
      <c r="C6385" s="2">
        <v>0.95833333333333337</v>
      </c>
      <c r="D6385">
        <v>3</v>
      </c>
      <c r="E6385">
        <v>9.8000000000000007</v>
      </c>
      <c r="F6385">
        <v>85</v>
      </c>
    </row>
    <row r="6386" spans="1:6" x14ac:dyDescent="0.35">
      <c r="A6386">
        <v>1975</v>
      </c>
      <c r="B6386" s="1">
        <v>45791</v>
      </c>
      <c r="C6386" s="2">
        <v>0</v>
      </c>
      <c r="D6386">
        <v>3</v>
      </c>
      <c r="E6386">
        <v>8.1999999999999993</v>
      </c>
      <c r="F6386">
        <v>86</v>
      </c>
    </row>
    <row r="6387" spans="1:6" x14ac:dyDescent="0.35">
      <c r="A6387">
        <v>1975</v>
      </c>
      <c r="B6387" s="1">
        <v>45791</v>
      </c>
      <c r="C6387" s="2">
        <v>4.1666666666666657E-2</v>
      </c>
      <c r="D6387">
        <v>3</v>
      </c>
      <c r="E6387">
        <v>8</v>
      </c>
      <c r="F6387">
        <v>89</v>
      </c>
    </row>
    <row r="6388" spans="1:6" x14ac:dyDescent="0.35">
      <c r="A6388">
        <v>1975</v>
      </c>
      <c r="B6388" s="1">
        <v>45791</v>
      </c>
      <c r="C6388" s="2">
        <v>8.3333333333333329E-2</v>
      </c>
      <c r="D6388">
        <v>3</v>
      </c>
      <c r="E6388">
        <v>7.9</v>
      </c>
      <c r="F6388">
        <v>89</v>
      </c>
    </row>
    <row r="6389" spans="1:6" x14ac:dyDescent="0.35">
      <c r="A6389">
        <v>1975</v>
      </c>
      <c r="B6389" s="1">
        <v>45791</v>
      </c>
      <c r="C6389" s="2">
        <v>0.125</v>
      </c>
      <c r="D6389">
        <v>3</v>
      </c>
      <c r="E6389">
        <v>7.3</v>
      </c>
      <c r="F6389">
        <v>92</v>
      </c>
    </row>
    <row r="6390" spans="1:6" x14ac:dyDescent="0.35">
      <c r="A6390">
        <v>1975</v>
      </c>
      <c r="B6390" s="1">
        <v>45791</v>
      </c>
      <c r="C6390" s="2">
        <v>0.16666666666666671</v>
      </c>
      <c r="D6390">
        <v>3</v>
      </c>
      <c r="E6390">
        <v>8.3000000000000007</v>
      </c>
      <c r="F6390">
        <v>86</v>
      </c>
    </row>
    <row r="6391" spans="1:6" x14ac:dyDescent="0.35">
      <c r="A6391">
        <v>1975</v>
      </c>
      <c r="B6391" s="1">
        <v>45791</v>
      </c>
      <c r="C6391" s="2">
        <v>0.20833333333333329</v>
      </c>
      <c r="D6391">
        <v>3</v>
      </c>
      <c r="E6391">
        <v>10.4</v>
      </c>
      <c r="F6391">
        <v>79</v>
      </c>
    </row>
    <row r="6392" spans="1:6" x14ac:dyDescent="0.35">
      <c r="A6392">
        <v>1975</v>
      </c>
      <c r="B6392" s="1">
        <v>45791</v>
      </c>
      <c r="C6392" s="2">
        <v>0.25</v>
      </c>
      <c r="D6392">
        <v>3</v>
      </c>
      <c r="E6392">
        <v>12.4</v>
      </c>
      <c r="F6392">
        <v>73</v>
      </c>
    </row>
    <row r="6393" spans="1:6" x14ac:dyDescent="0.35">
      <c r="A6393">
        <v>1975</v>
      </c>
      <c r="B6393" s="1">
        <v>45791</v>
      </c>
      <c r="C6393" s="2">
        <v>0.29166666666666669</v>
      </c>
      <c r="D6393">
        <v>3</v>
      </c>
      <c r="E6393">
        <v>-999</v>
      </c>
      <c r="F6393">
        <v>-999</v>
      </c>
    </row>
    <row r="6394" spans="1:6" x14ac:dyDescent="0.35">
      <c r="A6394">
        <v>1975</v>
      </c>
      <c r="B6394" s="1">
        <v>45791</v>
      </c>
      <c r="C6394" s="2">
        <v>0.33333333333333331</v>
      </c>
      <c r="D6394">
        <v>3</v>
      </c>
      <c r="E6394">
        <v>-999</v>
      </c>
      <c r="F6394">
        <v>-999</v>
      </c>
    </row>
    <row r="6395" spans="1:6" x14ac:dyDescent="0.35">
      <c r="A6395">
        <v>1975</v>
      </c>
      <c r="B6395" s="1">
        <v>45791</v>
      </c>
      <c r="C6395" s="2">
        <v>0.375</v>
      </c>
      <c r="D6395">
        <v>3</v>
      </c>
      <c r="E6395">
        <v>-999</v>
      </c>
      <c r="F6395">
        <v>-999</v>
      </c>
    </row>
    <row r="6396" spans="1:6" x14ac:dyDescent="0.35">
      <c r="A6396">
        <v>1975</v>
      </c>
      <c r="B6396" s="1">
        <v>45791</v>
      </c>
      <c r="C6396" s="2">
        <v>0.41666666666666669</v>
      </c>
      <c r="D6396">
        <v>3</v>
      </c>
      <c r="E6396">
        <v>-999</v>
      </c>
      <c r="F6396">
        <v>-999</v>
      </c>
    </row>
    <row r="6397" spans="1:6" x14ac:dyDescent="0.35">
      <c r="A6397">
        <v>1975</v>
      </c>
      <c r="B6397" s="1">
        <v>45791</v>
      </c>
      <c r="C6397" s="2">
        <v>0.45833333333333331</v>
      </c>
      <c r="D6397">
        <v>3</v>
      </c>
      <c r="E6397">
        <v>-999</v>
      </c>
      <c r="F6397">
        <v>-999</v>
      </c>
    </row>
    <row r="6398" spans="1:6" x14ac:dyDescent="0.35">
      <c r="A6398">
        <v>1975</v>
      </c>
      <c r="B6398" s="1">
        <v>45791</v>
      </c>
      <c r="C6398" s="2">
        <v>0.5</v>
      </c>
      <c r="D6398">
        <v>3</v>
      </c>
      <c r="E6398">
        <v>16.3</v>
      </c>
      <c r="F6398">
        <v>59</v>
      </c>
    </row>
    <row r="6399" spans="1:6" x14ac:dyDescent="0.35">
      <c r="A6399">
        <v>1975</v>
      </c>
      <c r="B6399" s="1">
        <v>45791</v>
      </c>
      <c r="C6399" s="2">
        <v>0.54166666666666663</v>
      </c>
      <c r="D6399">
        <v>3</v>
      </c>
      <c r="E6399">
        <v>16.100000000000001</v>
      </c>
      <c r="F6399">
        <v>58</v>
      </c>
    </row>
    <row r="6400" spans="1:6" x14ac:dyDescent="0.35">
      <c r="A6400">
        <v>1975</v>
      </c>
      <c r="B6400" s="1">
        <v>45791</v>
      </c>
      <c r="C6400" s="2">
        <v>0.58333333333333337</v>
      </c>
      <c r="D6400">
        <v>3</v>
      </c>
      <c r="E6400">
        <v>15.6</v>
      </c>
      <c r="F6400">
        <v>60</v>
      </c>
    </row>
    <row r="6401" spans="1:6" x14ac:dyDescent="0.35">
      <c r="A6401">
        <v>1975</v>
      </c>
      <c r="B6401" s="1">
        <v>45791</v>
      </c>
      <c r="C6401" s="2">
        <v>0.625</v>
      </c>
      <c r="D6401">
        <v>3</v>
      </c>
      <c r="E6401">
        <v>14.7</v>
      </c>
      <c r="F6401">
        <v>64</v>
      </c>
    </row>
    <row r="6402" spans="1:6" x14ac:dyDescent="0.35">
      <c r="A6402">
        <v>1975</v>
      </c>
      <c r="B6402" s="1">
        <v>45791</v>
      </c>
      <c r="C6402" s="2">
        <v>0.66666666666666663</v>
      </c>
      <c r="D6402">
        <v>3</v>
      </c>
      <c r="E6402">
        <v>13.9</v>
      </c>
      <c r="F6402">
        <v>68</v>
      </c>
    </row>
    <row r="6403" spans="1:6" x14ac:dyDescent="0.35">
      <c r="A6403">
        <v>1975</v>
      </c>
      <c r="B6403" s="1">
        <v>45791</v>
      </c>
      <c r="C6403" s="2">
        <v>0.70833333333333337</v>
      </c>
      <c r="D6403">
        <v>3</v>
      </c>
      <c r="E6403">
        <v>12.9</v>
      </c>
      <c r="F6403">
        <v>71</v>
      </c>
    </row>
    <row r="6404" spans="1:6" x14ac:dyDescent="0.35">
      <c r="A6404">
        <v>1975</v>
      </c>
      <c r="B6404" s="1">
        <v>45791</v>
      </c>
      <c r="C6404" s="2">
        <v>0.75</v>
      </c>
      <c r="D6404">
        <v>3</v>
      </c>
      <c r="E6404">
        <v>12.4</v>
      </c>
      <c r="F6404">
        <v>75</v>
      </c>
    </row>
    <row r="6405" spans="1:6" x14ac:dyDescent="0.35">
      <c r="A6405">
        <v>1975</v>
      </c>
      <c r="B6405" s="1">
        <v>45791</v>
      </c>
      <c r="C6405" s="2">
        <v>0.79166666666666663</v>
      </c>
      <c r="D6405">
        <v>3</v>
      </c>
      <c r="E6405">
        <v>12.2</v>
      </c>
      <c r="F6405">
        <v>80</v>
      </c>
    </row>
    <row r="6406" spans="1:6" x14ac:dyDescent="0.35">
      <c r="A6406">
        <v>1975</v>
      </c>
      <c r="B6406" s="1">
        <v>45791</v>
      </c>
      <c r="C6406" s="2">
        <v>0.83333333333333337</v>
      </c>
      <c r="D6406">
        <v>3</v>
      </c>
      <c r="E6406">
        <v>12.1</v>
      </c>
      <c r="F6406">
        <v>82</v>
      </c>
    </row>
    <row r="6407" spans="1:6" x14ac:dyDescent="0.35">
      <c r="A6407">
        <v>1975</v>
      </c>
      <c r="B6407" s="1">
        <v>45791</v>
      </c>
      <c r="C6407" s="2">
        <v>0.875</v>
      </c>
      <c r="D6407">
        <v>3</v>
      </c>
      <c r="E6407">
        <v>11.6</v>
      </c>
      <c r="F6407">
        <v>85</v>
      </c>
    </row>
    <row r="6408" spans="1:6" x14ac:dyDescent="0.35">
      <c r="A6408">
        <v>1975</v>
      </c>
      <c r="B6408" s="1">
        <v>45791</v>
      </c>
      <c r="C6408" s="2">
        <v>0.91666666666666663</v>
      </c>
      <c r="D6408">
        <v>3</v>
      </c>
      <c r="E6408">
        <v>10.8</v>
      </c>
      <c r="F6408">
        <v>90</v>
      </c>
    </row>
    <row r="6409" spans="1:6" x14ac:dyDescent="0.35">
      <c r="A6409">
        <v>1975</v>
      </c>
      <c r="B6409" s="1">
        <v>45791</v>
      </c>
      <c r="C6409" s="2">
        <v>0.95833333333333337</v>
      </c>
      <c r="D6409">
        <v>3</v>
      </c>
      <c r="E6409">
        <v>10.1</v>
      </c>
      <c r="F6409">
        <v>92</v>
      </c>
    </row>
    <row r="6410" spans="1:6" x14ac:dyDescent="0.35">
      <c r="A6410">
        <v>1975</v>
      </c>
      <c r="B6410" s="1">
        <v>45792</v>
      </c>
      <c r="C6410" s="2">
        <v>0</v>
      </c>
      <c r="D6410">
        <v>3</v>
      </c>
      <c r="E6410">
        <v>9</v>
      </c>
      <c r="F6410">
        <v>87</v>
      </c>
    </row>
    <row r="6411" spans="1:6" x14ac:dyDescent="0.35">
      <c r="A6411">
        <v>1975</v>
      </c>
      <c r="B6411" s="1">
        <v>45792</v>
      </c>
      <c r="C6411" s="2">
        <v>4.1666666666666657E-2</v>
      </c>
      <c r="D6411">
        <v>3</v>
      </c>
      <c r="E6411">
        <v>7.1</v>
      </c>
      <c r="F6411">
        <v>80</v>
      </c>
    </row>
    <row r="6412" spans="1:6" x14ac:dyDescent="0.35">
      <c r="A6412">
        <v>1975</v>
      </c>
      <c r="B6412" s="1">
        <v>45792</v>
      </c>
      <c r="C6412" s="2">
        <v>8.3333333333333329E-2</v>
      </c>
      <c r="D6412">
        <v>3</v>
      </c>
      <c r="E6412">
        <v>7</v>
      </c>
      <c r="F6412">
        <v>78</v>
      </c>
    </row>
    <row r="6413" spans="1:6" x14ac:dyDescent="0.35">
      <c r="A6413">
        <v>1975</v>
      </c>
      <c r="B6413" s="1">
        <v>45792</v>
      </c>
      <c r="C6413" s="2">
        <v>0.125</v>
      </c>
      <c r="D6413">
        <v>3</v>
      </c>
      <c r="E6413">
        <v>6.2</v>
      </c>
      <c r="F6413">
        <v>82</v>
      </c>
    </row>
    <row r="6414" spans="1:6" x14ac:dyDescent="0.35">
      <c r="A6414">
        <v>1975</v>
      </c>
      <c r="B6414" s="1">
        <v>45792</v>
      </c>
      <c r="C6414" s="2">
        <v>0.16666666666666671</v>
      </c>
      <c r="D6414">
        <v>3</v>
      </c>
      <c r="E6414">
        <v>4.8</v>
      </c>
      <c r="F6414">
        <v>85</v>
      </c>
    </row>
    <row r="6415" spans="1:6" x14ac:dyDescent="0.35">
      <c r="A6415">
        <v>1975</v>
      </c>
      <c r="B6415" s="1">
        <v>45792</v>
      </c>
      <c r="C6415" s="2">
        <v>0.20833333333333329</v>
      </c>
      <c r="D6415">
        <v>3</v>
      </c>
      <c r="E6415">
        <v>7.2</v>
      </c>
      <c r="F6415">
        <v>79</v>
      </c>
    </row>
    <row r="6416" spans="1:6" x14ac:dyDescent="0.35">
      <c r="A6416">
        <v>1975</v>
      </c>
      <c r="B6416" s="1">
        <v>45792</v>
      </c>
      <c r="C6416" s="2">
        <v>0.25</v>
      </c>
      <c r="D6416">
        <v>3</v>
      </c>
      <c r="E6416">
        <v>9.6999999999999993</v>
      </c>
      <c r="F6416">
        <v>74</v>
      </c>
    </row>
    <row r="6417" spans="1:6" x14ac:dyDescent="0.35">
      <c r="A6417">
        <v>1975</v>
      </c>
      <c r="B6417" s="1">
        <v>45792</v>
      </c>
      <c r="C6417" s="2">
        <v>0.29166666666666669</v>
      </c>
      <c r="D6417">
        <v>3</v>
      </c>
      <c r="E6417">
        <v>12.1</v>
      </c>
      <c r="F6417">
        <v>57</v>
      </c>
    </row>
    <row r="6418" spans="1:6" x14ac:dyDescent="0.35">
      <c r="A6418">
        <v>1975</v>
      </c>
      <c r="B6418" s="1">
        <v>45792</v>
      </c>
      <c r="C6418" s="2">
        <v>0.33333333333333331</v>
      </c>
      <c r="D6418">
        <v>3</v>
      </c>
      <c r="E6418">
        <v>13.4</v>
      </c>
      <c r="F6418">
        <v>47</v>
      </c>
    </row>
    <row r="6419" spans="1:6" x14ac:dyDescent="0.35">
      <c r="A6419">
        <v>1975</v>
      </c>
      <c r="B6419" s="1">
        <v>45792</v>
      </c>
      <c r="C6419" s="2">
        <v>0.375</v>
      </c>
      <c r="D6419">
        <v>3</v>
      </c>
      <c r="E6419">
        <v>14.3</v>
      </c>
      <c r="F6419">
        <v>44</v>
      </c>
    </row>
    <row r="6420" spans="1:6" x14ac:dyDescent="0.35">
      <c r="A6420">
        <v>1975</v>
      </c>
      <c r="B6420" s="1">
        <v>45792</v>
      </c>
      <c r="C6420" s="2">
        <v>0.41666666666666669</v>
      </c>
      <c r="D6420">
        <v>3</v>
      </c>
      <c r="E6420">
        <v>14.7</v>
      </c>
      <c r="F6420">
        <v>39</v>
      </c>
    </row>
    <row r="6421" spans="1:6" x14ac:dyDescent="0.35">
      <c r="A6421">
        <v>1975</v>
      </c>
      <c r="B6421" s="1">
        <v>45792</v>
      </c>
      <c r="C6421" s="2">
        <v>0.45833333333333331</v>
      </c>
      <c r="D6421">
        <v>3</v>
      </c>
      <c r="E6421">
        <v>16</v>
      </c>
      <c r="F6421">
        <v>41</v>
      </c>
    </row>
    <row r="6422" spans="1:6" x14ac:dyDescent="0.35">
      <c r="A6422">
        <v>1975</v>
      </c>
      <c r="B6422" s="1">
        <v>45792</v>
      </c>
      <c r="C6422" s="2">
        <v>0.5</v>
      </c>
      <c r="D6422">
        <v>3</v>
      </c>
      <c r="E6422">
        <v>16.5</v>
      </c>
      <c r="F6422">
        <v>37</v>
      </c>
    </row>
    <row r="6423" spans="1:6" x14ac:dyDescent="0.35">
      <c r="A6423">
        <v>1975</v>
      </c>
      <c r="B6423" s="1">
        <v>45792</v>
      </c>
      <c r="C6423" s="2">
        <v>0.54166666666666663</v>
      </c>
      <c r="D6423">
        <v>3</v>
      </c>
      <c r="E6423">
        <v>18.100000000000001</v>
      </c>
      <c r="F6423">
        <v>35</v>
      </c>
    </row>
    <row r="6424" spans="1:6" x14ac:dyDescent="0.35">
      <c r="A6424">
        <v>1975</v>
      </c>
      <c r="B6424" s="1">
        <v>45792</v>
      </c>
      <c r="C6424" s="2">
        <v>0.58333333333333337</v>
      </c>
      <c r="D6424">
        <v>3</v>
      </c>
      <c r="E6424">
        <v>17.8</v>
      </c>
      <c r="F6424">
        <v>36</v>
      </c>
    </row>
    <row r="6425" spans="1:6" x14ac:dyDescent="0.35">
      <c r="A6425">
        <v>1975</v>
      </c>
      <c r="B6425" s="1">
        <v>45792</v>
      </c>
      <c r="C6425" s="2">
        <v>0.625</v>
      </c>
      <c r="D6425">
        <v>3</v>
      </c>
      <c r="E6425">
        <v>17</v>
      </c>
      <c r="F6425">
        <v>37</v>
      </c>
    </row>
    <row r="6426" spans="1:6" x14ac:dyDescent="0.35">
      <c r="A6426">
        <v>1975</v>
      </c>
      <c r="B6426" s="1">
        <v>45792</v>
      </c>
      <c r="C6426" s="2">
        <v>0.66666666666666663</v>
      </c>
      <c r="D6426">
        <v>3</v>
      </c>
      <c r="E6426">
        <v>16.8</v>
      </c>
      <c r="F6426">
        <v>38</v>
      </c>
    </row>
    <row r="6427" spans="1:6" x14ac:dyDescent="0.35">
      <c r="A6427">
        <v>1975</v>
      </c>
      <c r="B6427" s="1">
        <v>45792</v>
      </c>
      <c r="C6427" s="2">
        <v>0.70833333333333337</v>
      </c>
      <c r="D6427">
        <v>3</v>
      </c>
      <c r="E6427">
        <v>16.399999999999999</v>
      </c>
      <c r="F6427">
        <v>38</v>
      </c>
    </row>
    <row r="6428" spans="1:6" x14ac:dyDescent="0.35">
      <c r="A6428">
        <v>1975</v>
      </c>
      <c r="B6428" s="1">
        <v>45792</v>
      </c>
      <c r="C6428" s="2">
        <v>0.75</v>
      </c>
      <c r="D6428">
        <v>3</v>
      </c>
      <c r="E6428">
        <v>15.6</v>
      </c>
      <c r="F6428">
        <v>40</v>
      </c>
    </row>
    <row r="6429" spans="1:6" x14ac:dyDescent="0.35">
      <c r="A6429">
        <v>1975</v>
      </c>
      <c r="B6429" s="1">
        <v>45792</v>
      </c>
      <c r="C6429" s="2">
        <v>0.79166666666666663</v>
      </c>
      <c r="D6429">
        <v>3</v>
      </c>
      <c r="E6429">
        <v>14.4</v>
      </c>
      <c r="F6429">
        <v>44</v>
      </c>
    </row>
    <row r="6430" spans="1:6" x14ac:dyDescent="0.35">
      <c r="A6430">
        <v>1975</v>
      </c>
      <c r="B6430" s="1">
        <v>45792</v>
      </c>
      <c r="C6430" s="2">
        <v>0.83333333333333337</v>
      </c>
      <c r="D6430">
        <v>3</v>
      </c>
      <c r="E6430">
        <v>10.6</v>
      </c>
      <c r="F6430">
        <v>63</v>
      </c>
    </row>
    <row r="6431" spans="1:6" x14ac:dyDescent="0.35">
      <c r="A6431">
        <v>1975</v>
      </c>
      <c r="B6431" s="1">
        <v>45792</v>
      </c>
      <c r="C6431" s="2">
        <v>0.875</v>
      </c>
      <c r="D6431">
        <v>3</v>
      </c>
      <c r="E6431">
        <v>9</v>
      </c>
      <c r="F6431">
        <v>71</v>
      </c>
    </row>
    <row r="6432" spans="1:6" x14ac:dyDescent="0.35">
      <c r="A6432">
        <v>1975</v>
      </c>
      <c r="B6432" s="1">
        <v>45792</v>
      </c>
      <c r="C6432" s="2">
        <v>0.91666666666666663</v>
      </c>
      <c r="D6432">
        <v>3</v>
      </c>
      <c r="E6432">
        <v>7.5</v>
      </c>
      <c r="F6432">
        <v>74</v>
      </c>
    </row>
    <row r="6433" spans="1:6" x14ac:dyDescent="0.35">
      <c r="A6433">
        <v>1975</v>
      </c>
      <c r="B6433" s="1">
        <v>45792</v>
      </c>
      <c r="C6433" s="2">
        <v>0.95833333333333337</v>
      </c>
      <c r="D6433">
        <v>3</v>
      </c>
      <c r="E6433">
        <v>6.5</v>
      </c>
      <c r="F6433">
        <v>80</v>
      </c>
    </row>
    <row r="6434" spans="1:6" x14ac:dyDescent="0.35">
      <c r="A6434">
        <v>1975</v>
      </c>
      <c r="B6434" s="1">
        <v>45793</v>
      </c>
      <c r="C6434" s="2">
        <v>0</v>
      </c>
      <c r="D6434">
        <v>3</v>
      </c>
      <c r="E6434">
        <v>6</v>
      </c>
      <c r="F6434">
        <v>86</v>
      </c>
    </row>
    <row r="6435" spans="1:6" x14ac:dyDescent="0.35">
      <c r="A6435">
        <v>1975</v>
      </c>
      <c r="B6435" s="1">
        <v>45793</v>
      </c>
      <c r="C6435" s="2">
        <v>4.1666666666666657E-2</v>
      </c>
      <c r="D6435">
        <v>3</v>
      </c>
      <c r="E6435">
        <v>6.5</v>
      </c>
      <c r="F6435">
        <v>85</v>
      </c>
    </row>
    <row r="6436" spans="1:6" x14ac:dyDescent="0.35">
      <c r="A6436">
        <v>1975</v>
      </c>
      <c r="B6436" s="1">
        <v>45793</v>
      </c>
      <c r="C6436" s="2">
        <v>8.3333333333333329E-2</v>
      </c>
      <c r="D6436">
        <v>3</v>
      </c>
      <c r="E6436">
        <v>6.6</v>
      </c>
      <c r="F6436">
        <v>82</v>
      </c>
    </row>
    <row r="6437" spans="1:6" x14ac:dyDescent="0.35">
      <c r="A6437">
        <v>1975</v>
      </c>
      <c r="B6437" s="1">
        <v>45793</v>
      </c>
      <c r="C6437" s="2">
        <v>0.125</v>
      </c>
      <c r="D6437">
        <v>3</v>
      </c>
      <c r="E6437">
        <v>6.3</v>
      </c>
      <c r="F6437">
        <v>85</v>
      </c>
    </row>
    <row r="6438" spans="1:6" x14ac:dyDescent="0.35">
      <c r="A6438">
        <v>1975</v>
      </c>
      <c r="B6438" s="1">
        <v>45793</v>
      </c>
      <c r="C6438" s="2">
        <v>0.16666666666666671</v>
      </c>
      <c r="D6438">
        <v>3</v>
      </c>
      <c r="E6438">
        <v>5.0999999999999996</v>
      </c>
      <c r="F6438">
        <v>90</v>
      </c>
    </row>
    <row r="6439" spans="1:6" x14ac:dyDescent="0.35">
      <c r="A6439">
        <v>1975</v>
      </c>
      <c r="B6439" s="1">
        <v>45793</v>
      </c>
      <c r="C6439" s="2">
        <v>0.20833333333333329</v>
      </c>
      <c r="D6439">
        <v>3</v>
      </c>
      <c r="E6439">
        <v>7.9</v>
      </c>
      <c r="F6439">
        <v>89</v>
      </c>
    </row>
    <row r="6440" spans="1:6" x14ac:dyDescent="0.35">
      <c r="A6440">
        <v>1975</v>
      </c>
      <c r="B6440" s="1">
        <v>45793</v>
      </c>
      <c r="C6440" s="2">
        <v>0.25</v>
      </c>
      <c r="D6440">
        <v>3</v>
      </c>
      <c r="E6440">
        <v>9.9</v>
      </c>
      <c r="F6440">
        <v>85</v>
      </c>
    </row>
    <row r="6441" spans="1:6" x14ac:dyDescent="0.35">
      <c r="A6441">
        <v>1975</v>
      </c>
      <c r="B6441" s="1">
        <v>45793</v>
      </c>
      <c r="C6441" s="2">
        <v>0.29166666666666669</v>
      </c>
      <c r="D6441">
        <v>3</v>
      </c>
      <c r="E6441">
        <v>11.9</v>
      </c>
      <c r="F6441">
        <v>77</v>
      </c>
    </row>
    <row r="6442" spans="1:6" x14ac:dyDescent="0.35">
      <c r="A6442">
        <v>1975</v>
      </c>
      <c r="B6442" s="1">
        <v>45793</v>
      </c>
      <c r="C6442" s="2">
        <v>0.33333333333333331</v>
      </c>
      <c r="D6442">
        <v>3</v>
      </c>
      <c r="E6442">
        <v>13.6</v>
      </c>
      <c r="F6442">
        <v>68</v>
      </c>
    </row>
    <row r="6443" spans="1:6" x14ac:dyDescent="0.35">
      <c r="A6443">
        <v>1975</v>
      </c>
      <c r="B6443" s="1">
        <v>45793</v>
      </c>
      <c r="C6443" s="2">
        <v>0.375</v>
      </c>
      <c r="D6443">
        <v>3</v>
      </c>
      <c r="E6443">
        <v>15.6</v>
      </c>
      <c r="F6443">
        <v>63</v>
      </c>
    </row>
    <row r="6444" spans="1:6" x14ac:dyDescent="0.35">
      <c r="A6444">
        <v>1975</v>
      </c>
      <c r="B6444" s="1">
        <v>45793</v>
      </c>
      <c r="C6444" s="2">
        <v>0.41666666666666669</v>
      </c>
      <c r="D6444">
        <v>3</v>
      </c>
      <c r="E6444">
        <v>15.7</v>
      </c>
      <c r="F6444">
        <v>63</v>
      </c>
    </row>
    <row r="6445" spans="1:6" x14ac:dyDescent="0.35">
      <c r="A6445">
        <v>1975</v>
      </c>
      <c r="B6445" s="1">
        <v>45793</v>
      </c>
      <c r="C6445" s="2">
        <v>0.45833333333333331</v>
      </c>
      <c r="D6445">
        <v>3</v>
      </c>
      <c r="E6445">
        <v>16.2</v>
      </c>
      <c r="F6445">
        <v>62</v>
      </c>
    </row>
    <row r="6446" spans="1:6" x14ac:dyDescent="0.35">
      <c r="A6446">
        <v>1975</v>
      </c>
      <c r="B6446" s="1">
        <v>45793</v>
      </c>
      <c r="C6446" s="2">
        <v>0.5</v>
      </c>
      <c r="D6446">
        <v>3</v>
      </c>
      <c r="E6446">
        <v>17.3</v>
      </c>
      <c r="F6446">
        <v>60</v>
      </c>
    </row>
    <row r="6447" spans="1:6" x14ac:dyDescent="0.35">
      <c r="A6447">
        <v>1975</v>
      </c>
      <c r="B6447" s="1">
        <v>45793</v>
      </c>
      <c r="C6447" s="2">
        <v>0.54166666666666663</v>
      </c>
      <c r="D6447">
        <v>3</v>
      </c>
      <c r="E6447">
        <v>14.5</v>
      </c>
      <c r="F6447">
        <v>70</v>
      </c>
    </row>
    <row r="6448" spans="1:6" x14ac:dyDescent="0.35">
      <c r="A6448">
        <v>1975</v>
      </c>
      <c r="B6448" s="1">
        <v>45793</v>
      </c>
      <c r="C6448" s="2">
        <v>0.58333333333333337</v>
      </c>
      <c r="D6448">
        <v>3</v>
      </c>
      <c r="E6448">
        <v>16.2</v>
      </c>
      <c r="F6448">
        <v>55</v>
      </c>
    </row>
    <row r="6449" spans="1:6" x14ac:dyDescent="0.35">
      <c r="A6449">
        <v>1975</v>
      </c>
      <c r="B6449" s="1">
        <v>45793</v>
      </c>
      <c r="C6449" s="2">
        <v>0.625</v>
      </c>
      <c r="D6449">
        <v>3</v>
      </c>
      <c r="E6449">
        <v>16.7</v>
      </c>
      <c r="F6449">
        <v>51</v>
      </c>
    </row>
    <row r="6450" spans="1:6" x14ac:dyDescent="0.35">
      <c r="A6450">
        <v>1975</v>
      </c>
      <c r="B6450" s="1">
        <v>45793</v>
      </c>
      <c r="C6450" s="2">
        <v>0.66666666666666663</v>
      </c>
      <c r="D6450">
        <v>3</v>
      </c>
      <c r="E6450">
        <v>16.5</v>
      </c>
      <c r="F6450">
        <v>51</v>
      </c>
    </row>
    <row r="6451" spans="1:6" x14ac:dyDescent="0.35">
      <c r="A6451">
        <v>1975</v>
      </c>
      <c r="B6451" s="1">
        <v>45793</v>
      </c>
      <c r="C6451" s="2">
        <v>0.70833333333333337</v>
      </c>
      <c r="D6451">
        <v>3</v>
      </c>
      <c r="E6451">
        <v>16.100000000000001</v>
      </c>
      <c r="F6451">
        <v>47</v>
      </c>
    </row>
    <row r="6452" spans="1:6" x14ac:dyDescent="0.35">
      <c r="A6452">
        <v>1975</v>
      </c>
      <c r="B6452" s="1">
        <v>45793</v>
      </c>
      <c r="C6452" s="2">
        <v>0.75</v>
      </c>
      <c r="D6452">
        <v>3</v>
      </c>
      <c r="E6452">
        <v>15.3</v>
      </c>
      <c r="F6452">
        <v>50</v>
      </c>
    </row>
    <row r="6453" spans="1:6" x14ac:dyDescent="0.35">
      <c r="A6453">
        <v>1975</v>
      </c>
      <c r="B6453" s="1">
        <v>45793</v>
      </c>
      <c r="C6453" s="2">
        <v>0.79166666666666663</v>
      </c>
      <c r="D6453">
        <v>3</v>
      </c>
      <c r="E6453">
        <v>14.1</v>
      </c>
      <c r="F6453">
        <v>53</v>
      </c>
    </row>
    <row r="6454" spans="1:6" x14ac:dyDescent="0.35">
      <c r="A6454">
        <v>1975</v>
      </c>
      <c r="B6454" s="1">
        <v>45793</v>
      </c>
      <c r="C6454" s="2">
        <v>0.83333333333333337</v>
      </c>
      <c r="D6454">
        <v>3</v>
      </c>
      <c r="E6454">
        <v>11.7</v>
      </c>
      <c r="F6454">
        <v>63</v>
      </c>
    </row>
    <row r="6455" spans="1:6" x14ac:dyDescent="0.35">
      <c r="A6455">
        <v>1975</v>
      </c>
      <c r="B6455" s="1">
        <v>45793</v>
      </c>
      <c r="C6455" s="2">
        <v>0.875</v>
      </c>
      <c r="D6455">
        <v>3</v>
      </c>
      <c r="E6455">
        <v>10.5</v>
      </c>
      <c r="F6455">
        <v>72</v>
      </c>
    </row>
    <row r="6456" spans="1:6" x14ac:dyDescent="0.35">
      <c r="A6456">
        <v>1975</v>
      </c>
      <c r="B6456" s="1">
        <v>45793</v>
      </c>
      <c r="C6456" s="2">
        <v>0.91666666666666663</v>
      </c>
      <c r="D6456">
        <v>3</v>
      </c>
      <c r="E6456">
        <v>8.3000000000000007</v>
      </c>
      <c r="F6456">
        <v>80</v>
      </c>
    </row>
    <row r="6457" spans="1:6" x14ac:dyDescent="0.35">
      <c r="A6457">
        <v>1975</v>
      </c>
      <c r="B6457" s="1">
        <v>45793</v>
      </c>
      <c r="C6457" s="2">
        <v>0.95833333333333337</v>
      </c>
      <c r="D6457">
        <v>3</v>
      </c>
      <c r="E6457">
        <v>6.2</v>
      </c>
      <c r="F6457">
        <v>86</v>
      </c>
    </row>
    <row r="6458" spans="1:6" x14ac:dyDescent="0.35">
      <c r="A6458">
        <v>1975</v>
      </c>
      <c r="B6458" s="1">
        <v>45794</v>
      </c>
      <c r="C6458" s="2">
        <v>0</v>
      </c>
      <c r="D6458">
        <v>3</v>
      </c>
      <c r="E6458">
        <v>6.4</v>
      </c>
      <c r="F6458">
        <v>87</v>
      </c>
    </row>
    <row r="6459" spans="1:6" x14ac:dyDescent="0.35">
      <c r="A6459">
        <v>1975</v>
      </c>
      <c r="B6459" s="1">
        <v>45794</v>
      </c>
      <c r="C6459" s="2">
        <v>4.1666666666666657E-2</v>
      </c>
      <c r="D6459">
        <v>3</v>
      </c>
      <c r="E6459">
        <v>4.8</v>
      </c>
      <c r="F6459">
        <v>89</v>
      </c>
    </row>
    <row r="6460" spans="1:6" x14ac:dyDescent="0.35">
      <c r="A6460">
        <v>1975</v>
      </c>
      <c r="B6460" s="1">
        <v>45794</v>
      </c>
      <c r="C6460" s="2">
        <v>8.3333333333333329E-2</v>
      </c>
      <c r="D6460">
        <v>3</v>
      </c>
      <c r="E6460">
        <v>4.4000000000000004</v>
      </c>
      <c r="F6460">
        <v>94</v>
      </c>
    </row>
    <row r="6461" spans="1:6" x14ac:dyDescent="0.35">
      <c r="A6461">
        <v>1975</v>
      </c>
      <c r="B6461" s="1">
        <v>45794</v>
      </c>
      <c r="C6461" s="2">
        <v>0.125</v>
      </c>
      <c r="D6461">
        <v>3</v>
      </c>
      <c r="E6461">
        <v>4.9000000000000004</v>
      </c>
      <c r="F6461">
        <v>89</v>
      </c>
    </row>
    <row r="6462" spans="1:6" x14ac:dyDescent="0.35">
      <c r="A6462">
        <v>1975</v>
      </c>
      <c r="B6462" s="1">
        <v>45794</v>
      </c>
      <c r="C6462" s="2">
        <v>0.16666666666666671</v>
      </c>
      <c r="D6462">
        <v>3</v>
      </c>
      <c r="E6462">
        <v>5.5</v>
      </c>
      <c r="F6462">
        <v>88</v>
      </c>
    </row>
    <row r="6463" spans="1:6" x14ac:dyDescent="0.35">
      <c r="A6463">
        <v>1975</v>
      </c>
      <c r="B6463" s="1">
        <v>45794</v>
      </c>
      <c r="C6463" s="2">
        <v>0.20833333333333329</v>
      </c>
      <c r="D6463">
        <v>3</v>
      </c>
      <c r="E6463">
        <v>8.3000000000000007</v>
      </c>
      <c r="F6463">
        <v>75</v>
      </c>
    </row>
    <row r="6464" spans="1:6" x14ac:dyDescent="0.35">
      <c r="A6464">
        <v>1975</v>
      </c>
      <c r="B6464" s="1">
        <v>45794</v>
      </c>
      <c r="C6464" s="2">
        <v>0.25</v>
      </c>
      <c r="D6464">
        <v>3</v>
      </c>
      <c r="E6464">
        <v>10.1</v>
      </c>
      <c r="F6464">
        <v>67</v>
      </c>
    </row>
    <row r="6465" spans="1:6" x14ac:dyDescent="0.35">
      <c r="A6465">
        <v>1975</v>
      </c>
      <c r="B6465" s="1">
        <v>45794</v>
      </c>
      <c r="C6465" s="2">
        <v>0.29166666666666669</v>
      </c>
      <c r="D6465">
        <v>3</v>
      </c>
      <c r="E6465">
        <v>12.1</v>
      </c>
      <c r="F6465">
        <v>62</v>
      </c>
    </row>
    <row r="6466" spans="1:6" x14ac:dyDescent="0.35">
      <c r="A6466">
        <v>1975</v>
      </c>
      <c r="B6466" s="1">
        <v>45794</v>
      </c>
      <c r="C6466" s="2">
        <v>0.33333333333333331</v>
      </c>
      <c r="D6466">
        <v>3</v>
      </c>
      <c r="E6466">
        <v>12.9</v>
      </c>
      <c r="F6466">
        <v>63</v>
      </c>
    </row>
    <row r="6467" spans="1:6" x14ac:dyDescent="0.35">
      <c r="A6467">
        <v>1975</v>
      </c>
      <c r="B6467" s="1">
        <v>45794</v>
      </c>
      <c r="C6467" s="2">
        <v>0.375</v>
      </c>
      <c r="D6467">
        <v>3</v>
      </c>
      <c r="E6467">
        <v>13.5</v>
      </c>
      <c r="F6467">
        <v>67</v>
      </c>
    </row>
    <row r="6468" spans="1:6" x14ac:dyDescent="0.35">
      <c r="A6468">
        <v>1975</v>
      </c>
      <c r="B6468" s="1">
        <v>45794</v>
      </c>
      <c r="C6468" s="2">
        <v>0.41666666666666669</v>
      </c>
      <c r="D6468">
        <v>3</v>
      </c>
      <c r="E6468">
        <v>15.8</v>
      </c>
      <c r="F6468">
        <v>65</v>
      </c>
    </row>
    <row r="6469" spans="1:6" x14ac:dyDescent="0.35">
      <c r="A6469">
        <v>1975</v>
      </c>
      <c r="B6469" s="1">
        <v>45794</v>
      </c>
      <c r="C6469" s="2">
        <v>0.45833333333333331</v>
      </c>
      <c r="D6469">
        <v>3</v>
      </c>
      <c r="E6469">
        <v>16.899999999999999</v>
      </c>
      <c r="F6469">
        <v>62</v>
      </c>
    </row>
    <row r="6470" spans="1:6" x14ac:dyDescent="0.35">
      <c r="A6470">
        <v>1975</v>
      </c>
      <c r="B6470" s="1">
        <v>45794</v>
      </c>
      <c r="C6470" s="2">
        <v>0.5</v>
      </c>
      <c r="D6470">
        <v>3</v>
      </c>
      <c r="E6470">
        <v>18.8</v>
      </c>
      <c r="F6470">
        <v>45</v>
      </c>
    </row>
    <row r="6471" spans="1:6" x14ac:dyDescent="0.35">
      <c r="A6471">
        <v>1975</v>
      </c>
      <c r="B6471" s="1">
        <v>45794</v>
      </c>
      <c r="C6471" s="2">
        <v>0.54166666666666663</v>
      </c>
      <c r="D6471">
        <v>3</v>
      </c>
      <c r="E6471">
        <v>19.100000000000001</v>
      </c>
      <c r="F6471">
        <v>44</v>
      </c>
    </row>
    <row r="6472" spans="1:6" x14ac:dyDescent="0.35">
      <c r="A6472">
        <v>1975</v>
      </c>
      <c r="B6472" s="1">
        <v>45794</v>
      </c>
      <c r="C6472" s="2">
        <v>0.58333333333333337</v>
      </c>
      <c r="D6472">
        <v>3</v>
      </c>
      <c r="E6472">
        <v>18.399999999999999</v>
      </c>
      <c r="F6472">
        <v>48</v>
      </c>
    </row>
    <row r="6473" spans="1:6" x14ac:dyDescent="0.35">
      <c r="A6473">
        <v>1975</v>
      </c>
      <c r="B6473" s="1">
        <v>45794</v>
      </c>
      <c r="C6473" s="2">
        <v>0.625</v>
      </c>
      <c r="D6473">
        <v>3</v>
      </c>
      <c r="E6473">
        <v>18.2</v>
      </c>
      <c r="F6473">
        <v>44</v>
      </c>
    </row>
    <row r="6474" spans="1:6" x14ac:dyDescent="0.35">
      <c r="A6474">
        <v>1975</v>
      </c>
      <c r="B6474" s="1">
        <v>45794</v>
      </c>
      <c r="C6474" s="2">
        <v>0.66666666666666663</v>
      </c>
      <c r="D6474">
        <v>3</v>
      </c>
      <c r="E6474">
        <v>18.399999999999999</v>
      </c>
      <c r="F6474">
        <v>40</v>
      </c>
    </row>
    <row r="6475" spans="1:6" x14ac:dyDescent="0.35">
      <c r="A6475">
        <v>1975</v>
      </c>
      <c r="B6475" s="1">
        <v>45794</v>
      </c>
      <c r="C6475" s="2">
        <v>0.70833333333333337</v>
      </c>
      <c r="D6475">
        <v>3</v>
      </c>
      <c r="E6475">
        <v>16.899999999999999</v>
      </c>
      <c r="F6475">
        <v>49</v>
      </c>
    </row>
    <row r="6476" spans="1:6" x14ac:dyDescent="0.35">
      <c r="A6476">
        <v>1975</v>
      </c>
      <c r="B6476" s="1">
        <v>45794</v>
      </c>
      <c r="C6476" s="2">
        <v>0.75</v>
      </c>
      <c r="D6476">
        <v>3</v>
      </c>
      <c r="E6476">
        <v>14.2</v>
      </c>
      <c r="F6476">
        <v>71</v>
      </c>
    </row>
    <row r="6477" spans="1:6" x14ac:dyDescent="0.35">
      <c r="A6477">
        <v>1975</v>
      </c>
      <c r="B6477" s="1">
        <v>45794</v>
      </c>
      <c r="C6477" s="2">
        <v>0.79166666666666663</v>
      </c>
      <c r="D6477">
        <v>3</v>
      </c>
      <c r="E6477">
        <v>13.3</v>
      </c>
      <c r="F6477">
        <v>77</v>
      </c>
    </row>
    <row r="6478" spans="1:6" x14ac:dyDescent="0.35">
      <c r="A6478">
        <v>1975</v>
      </c>
      <c r="B6478" s="1">
        <v>45794</v>
      </c>
      <c r="C6478" s="2">
        <v>0.83333333333333337</v>
      </c>
      <c r="D6478">
        <v>3</v>
      </c>
      <c r="E6478">
        <v>13.2</v>
      </c>
      <c r="F6478">
        <v>65</v>
      </c>
    </row>
    <row r="6479" spans="1:6" x14ac:dyDescent="0.35">
      <c r="A6479">
        <v>1975</v>
      </c>
      <c r="B6479" s="1">
        <v>45794</v>
      </c>
      <c r="C6479" s="2">
        <v>0.875</v>
      </c>
      <c r="D6479">
        <v>3</v>
      </c>
      <c r="E6479">
        <v>12.5</v>
      </c>
      <c r="F6479">
        <v>68</v>
      </c>
    </row>
    <row r="6480" spans="1:6" x14ac:dyDescent="0.35">
      <c r="A6480">
        <v>1975</v>
      </c>
      <c r="B6480" s="1">
        <v>45794</v>
      </c>
      <c r="C6480" s="2">
        <v>0.91666666666666663</v>
      </c>
      <c r="D6480">
        <v>3</v>
      </c>
      <c r="E6480">
        <v>9.5</v>
      </c>
      <c r="F6480">
        <v>84</v>
      </c>
    </row>
    <row r="6481" spans="1:6" x14ac:dyDescent="0.35">
      <c r="A6481">
        <v>1975</v>
      </c>
      <c r="B6481" s="1">
        <v>45794</v>
      </c>
      <c r="C6481" s="2">
        <v>0.95833333333333337</v>
      </c>
      <c r="D6481">
        <v>3</v>
      </c>
      <c r="E6481">
        <v>8.6999999999999993</v>
      </c>
      <c r="F6481">
        <v>87</v>
      </c>
    </row>
    <row r="6482" spans="1:6" x14ac:dyDescent="0.35">
      <c r="A6482">
        <v>1975</v>
      </c>
      <c r="B6482" s="1">
        <v>45795</v>
      </c>
      <c r="C6482" s="2">
        <v>0</v>
      </c>
      <c r="D6482">
        <v>3</v>
      </c>
      <c r="E6482">
        <v>9.6</v>
      </c>
      <c r="F6482">
        <v>84</v>
      </c>
    </row>
    <row r="6483" spans="1:6" x14ac:dyDescent="0.35">
      <c r="A6483">
        <v>1975</v>
      </c>
      <c r="B6483" s="1">
        <v>45795</v>
      </c>
      <c r="C6483" s="2">
        <v>4.1666666666666657E-2</v>
      </c>
      <c r="D6483">
        <v>3</v>
      </c>
      <c r="E6483">
        <v>8.6999999999999993</v>
      </c>
      <c r="F6483">
        <v>88</v>
      </c>
    </row>
    <row r="6484" spans="1:6" x14ac:dyDescent="0.35">
      <c r="A6484">
        <v>1975</v>
      </c>
      <c r="B6484" s="1">
        <v>45795</v>
      </c>
      <c r="C6484" s="2">
        <v>8.3333333333333329E-2</v>
      </c>
      <c r="D6484">
        <v>3</v>
      </c>
      <c r="E6484">
        <v>6.8</v>
      </c>
      <c r="F6484">
        <v>98</v>
      </c>
    </row>
    <row r="6485" spans="1:6" x14ac:dyDescent="0.35">
      <c r="A6485">
        <v>1975</v>
      </c>
      <c r="B6485" s="1">
        <v>45795</v>
      </c>
      <c r="C6485" s="2">
        <v>0.125</v>
      </c>
      <c r="D6485">
        <v>3</v>
      </c>
      <c r="E6485">
        <v>8.4</v>
      </c>
      <c r="F6485">
        <v>91</v>
      </c>
    </row>
    <row r="6486" spans="1:6" x14ac:dyDescent="0.35">
      <c r="A6486">
        <v>1975</v>
      </c>
      <c r="B6486" s="1">
        <v>45795</v>
      </c>
      <c r="C6486" s="2">
        <v>0.16666666666666671</v>
      </c>
      <c r="D6486">
        <v>3</v>
      </c>
      <c r="E6486">
        <v>8.1999999999999993</v>
      </c>
      <c r="F6486">
        <v>93</v>
      </c>
    </row>
    <row r="6487" spans="1:6" x14ac:dyDescent="0.35">
      <c r="A6487">
        <v>1975</v>
      </c>
      <c r="B6487" s="1">
        <v>45795</v>
      </c>
      <c r="C6487" s="2">
        <v>0.20833333333333329</v>
      </c>
      <c r="D6487">
        <v>3</v>
      </c>
      <c r="E6487">
        <v>8.8000000000000007</v>
      </c>
      <c r="F6487">
        <v>91</v>
      </c>
    </row>
    <row r="6488" spans="1:6" x14ac:dyDescent="0.35">
      <c r="A6488">
        <v>1975</v>
      </c>
      <c r="B6488" s="1">
        <v>45795</v>
      </c>
      <c r="C6488" s="2">
        <v>0.25</v>
      </c>
      <c r="D6488">
        <v>3</v>
      </c>
      <c r="E6488">
        <v>10.1</v>
      </c>
      <c r="F6488">
        <v>87</v>
      </c>
    </row>
    <row r="6489" spans="1:6" x14ac:dyDescent="0.35">
      <c r="A6489">
        <v>1975</v>
      </c>
      <c r="B6489" s="1">
        <v>45795</v>
      </c>
      <c r="C6489" s="2">
        <v>0.29166666666666669</v>
      </c>
      <c r="D6489">
        <v>3</v>
      </c>
      <c r="E6489">
        <v>11</v>
      </c>
      <c r="F6489">
        <v>83</v>
      </c>
    </row>
    <row r="6490" spans="1:6" x14ac:dyDescent="0.35">
      <c r="A6490">
        <v>1975</v>
      </c>
      <c r="B6490" s="1">
        <v>45795</v>
      </c>
      <c r="C6490" s="2">
        <v>0.33333333333333331</v>
      </c>
      <c r="D6490">
        <v>3</v>
      </c>
      <c r="E6490">
        <v>13.4</v>
      </c>
      <c r="F6490">
        <v>73</v>
      </c>
    </row>
    <row r="6491" spans="1:6" x14ac:dyDescent="0.35">
      <c r="A6491">
        <v>1975</v>
      </c>
      <c r="B6491" s="1">
        <v>45795</v>
      </c>
      <c r="C6491" s="2">
        <v>0.375</v>
      </c>
      <c r="D6491">
        <v>3</v>
      </c>
      <c r="E6491">
        <v>15.5</v>
      </c>
      <c r="F6491">
        <v>58</v>
      </c>
    </row>
    <row r="6492" spans="1:6" x14ac:dyDescent="0.35">
      <c r="A6492">
        <v>1975</v>
      </c>
      <c r="B6492" s="1">
        <v>45795</v>
      </c>
      <c r="C6492" s="2">
        <v>0.41666666666666669</v>
      </c>
      <c r="D6492">
        <v>3</v>
      </c>
      <c r="E6492">
        <v>16.3</v>
      </c>
      <c r="F6492">
        <v>51</v>
      </c>
    </row>
    <row r="6493" spans="1:6" x14ac:dyDescent="0.35">
      <c r="A6493">
        <v>1975</v>
      </c>
      <c r="B6493" s="1">
        <v>45795</v>
      </c>
      <c r="C6493" s="2">
        <v>0.45833333333333331</v>
      </c>
      <c r="D6493">
        <v>3</v>
      </c>
      <c r="E6493">
        <v>17.399999999999999</v>
      </c>
      <c r="F6493">
        <v>50</v>
      </c>
    </row>
    <row r="6494" spans="1:6" x14ac:dyDescent="0.35">
      <c r="A6494">
        <v>1975</v>
      </c>
      <c r="B6494" s="1">
        <v>45795</v>
      </c>
      <c r="C6494" s="2">
        <v>0.5</v>
      </c>
      <c r="D6494">
        <v>3</v>
      </c>
      <c r="E6494">
        <v>18.3</v>
      </c>
      <c r="F6494">
        <v>46</v>
      </c>
    </row>
    <row r="6495" spans="1:6" x14ac:dyDescent="0.35">
      <c r="A6495">
        <v>1975</v>
      </c>
      <c r="B6495" s="1">
        <v>45795</v>
      </c>
      <c r="C6495" s="2">
        <v>0.54166666666666663</v>
      </c>
      <c r="D6495">
        <v>3</v>
      </c>
      <c r="E6495">
        <v>17</v>
      </c>
      <c r="F6495">
        <v>47</v>
      </c>
    </row>
    <row r="6496" spans="1:6" x14ac:dyDescent="0.35">
      <c r="A6496">
        <v>1975</v>
      </c>
      <c r="B6496" s="1">
        <v>45795</v>
      </c>
      <c r="C6496" s="2">
        <v>0.58333333333333337</v>
      </c>
      <c r="D6496">
        <v>3</v>
      </c>
      <c r="E6496">
        <v>17.7</v>
      </c>
      <c r="F6496">
        <v>44</v>
      </c>
    </row>
    <row r="6497" spans="1:6" x14ac:dyDescent="0.35">
      <c r="A6497">
        <v>1975</v>
      </c>
      <c r="B6497" s="1">
        <v>45795</v>
      </c>
      <c r="C6497" s="2">
        <v>0.625</v>
      </c>
      <c r="D6497">
        <v>3</v>
      </c>
      <c r="E6497">
        <v>16.899999999999999</v>
      </c>
      <c r="F6497">
        <v>46</v>
      </c>
    </row>
    <row r="6498" spans="1:6" x14ac:dyDescent="0.35">
      <c r="A6498">
        <v>1975</v>
      </c>
      <c r="B6498" s="1">
        <v>45795</v>
      </c>
      <c r="C6498" s="2">
        <v>0.66666666666666663</v>
      </c>
      <c r="D6498">
        <v>3</v>
      </c>
      <c r="E6498">
        <v>16.899999999999999</v>
      </c>
      <c r="F6498">
        <v>43</v>
      </c>
    </row>
    <row r="6499" spans="1:6" x14ac:dyDescent="0.35">
      <c r="A6499">
        <v>1975</v>
      </c>
      <c r="B6499" s="1">
        <v>45795</v>
      </c>
      <c r="C6499" s="2">
        <v>0.70833333333333337</v>
      </c>
      <c r="D6499">
        <v>3</v>
      </c>
      <c r="E6499">
        <v>17.399999999999999</v>
      </c>
      <c r="F6499">
        <v>45</v>
      </c>
    </row>
    <row r="6500" spans="1:6" x14ac:dyDescent="0.35">
      <c r="A6500">
        <v>1975</v>
      </c>
      <c r="B6500" s="1">
        <v>45795</v>
      </c>
      <c r="C6500" s="2">
        <v>0.75</v>
      </c>
      <c r="D6500">
        <v>3</v>
      </c>
      <c r="E6500">
        <v>16</v>
      </c>
      <c r="F6500">
        <v>55</v>
      </c>
    </row>
    <row r="6501" spans="1:6" x14ac:dyDescent="0.35">
      <c r="A6501">
        <v>1975</v>
      </c>
      <c r="B6501" s="1">
        <v>45795</v>
      </c>
      <c r="C6501" s="2">
        <v>0.79166666666666663</v>
      </c>
      <c r="D6501">
        <v>3</v>
      </c>
      <c r="E6501">
        <v>14.7</v>
      </c>
      <c r="F6501">
        <v>57</v>
      </c>
    </row>
    <row r="6502" spans="1:6" x14ac:dyDescent="0.35">
      <c r="A6502">
        <v>1975</v>
      </c>
      <c r="B6502" s="1">
        <v>45795</v>
      </c>
      <c r="C6502" s="2">
        <v>0.83333333333333337</v>
      </c>
      <c r="D6502">
        <v>3</v>
      </c>
      <c r="E6502">
        <v>14</v>
      </c>
      <c r="F6502">
        <v>56</v>
      </c>
    </row>
    <row r="6503" spans="1:6" x14ac:dyDescent="0.35">
      <c r="A6503">
        <v>1975</v>
      </c>
      <c r="B6503" s="1">
        <v>45795</v>
      </c>
      <c r="C6503" s="2">
        <v>0.875</v>
      </c>
      <c r="D6503">
        <v>3</v>
      </c>
      <c r="E6503">
        <v>13.6</v>
      </c>
      <c r="F6503">
        <v>59</v>
      </c>
    </row>
    <row r="6504" spans="1:6" x14ac:dyDescent="0.35">
      <c r="A6504">
        <v>1975</v>
      </c>
      <c r="B6504" s="1">
        <v>45795</v>
      </c>
      <c r="C6504" s="2">
        <v>0.91666666666666663</v>
      </c>
      <c r="D6504">
        <v>3</v>
      </c>
      <c r="E6504">
        <v>12.9</v>
      </c>
      <c r="F6504">
        <v>66</v>
      </c>
    </row>
    <row r="6505" spans="1:6" x14ac:dyDescent="0.35">
      <c r="A6505">
        <v>1975</v>
      </c>
      <c r="B6505" s="1">
        <v>45795</v>
      </c>
      <c r="C6505" s="2">
        <v>0.95833333333333337</v>
      </c>
      <c r="D6505">
        <v>3</v>
      </c>
      <c r="E6505">
        <v>12.6</v>
      </c>
      <c r="F6505">
        <v>71</v>
      </c>
    </row>
    <row r="6506" spans="1:6" x14ac:dyDescent="0.35">
      <c r="A6506">
        <v>1975</v>
      </c>
      <c r="B6506" s="1">
        <v>45796</v>
      </c>
      <c r="C6506" s="2">
        <v>0</v>
      </c>
      <c r="D6506">
        <v>3</v>
      </c>
      <c r="E6506">
        <v>11.9</v>
      </c>
      <c r="F6506">
        <v>73</v>
      </c>
    </row>
    <row r="6507" spans="1:6" x14ac:dyDescent="0.35">
      <c r="A6507">
        <v>1975</v>
      </c>
      <c r="B6507" s="1">
        <v>45796</v>
      </c>
      <c r="C6507" s="2">
        <v>4.1666666666666657E-2</v>
      </c>
      <c r="D6507">
        <v>3</v>
      </c>
      <c r="E6507">
        <v>10.8</v>
      </c>
      <c r="F6507">
        <v>78</v>
      </c>
    </row>
    <row r="6508" spans="1:6" x14ac:dyDescent="0.35">
      <c r="A6508">
        <v>1975</v>
      </c>
      <c r="B6508" s="1">
        <v>45796</v>
      </c>
      <c r="C6508" s="2">
        <v>8.3333333333333329E-2</v>
      </c>
      <c r="D6508">
        <v>3</v>
      </c>
      <c r="E6508">
        <v>10.199999999999999</v>
      </c>
      <c r="F6508">
        <v>80</v>
      </c>
    </row>
    <row r="6509" spans="1:6" x14ac:dyDescent="0.35">
      <c r="A6509">
        <v>1975</v>
      </c>
      <c r="B6509" s="1">
        <v>45796</v>
      </c>
      <c r="C6509" s="2">
        <v>0.125</v>
      </c>
      <c r="D6509">
        <v>3</v>
      </c>
      <c r="E6509">
        <v>10.6</v>
      </c>
      <c r="F6509">
        <v>81</v>
      </c>
    </row>
    <row r="6510" spans="1:6" x14ac:dyDescent="0.35">
      <c r="A6510">
        <v>1975</v>
      </c>
      <c r="B6510" s="1">
        <v>45796</v>
      </c>
      <c r="C6510" s="2">
        <v>0.16666666666666671</v>
      </c>
      <c r="D6510">
        <v>3</v>
      </c>
      <c r="E6510">
        <v>10.9</v>
      </c>
      <c r="F6510">
        <v>79</v>
      </c>
    </row>
    <row r="6511" spans="1:6" x14ac:dyDescent="0.35">
      <c r="A6511">
        <v>1975</v>
      </c>
      <c r="B6511" s="1">
        <v>45796</v>
      </c>
      <c r="C6511" s="2">
        <v>0.20833333333333329</v>
      </c>
      <c r="D6511">
        <v>3</v>
      </c>
      <c r="E6511">
        <v>11</v>
      </c>
      <c r="F6511">
        <v>76</v>
      </c>
    </row>
    <row r="6512" spans="1:6" x14ac:dyDescent="0.35">
      <c r="A6512">
        <v>1975</v>
      </c>
      <c r="B6512" s="1">
        <v>45796</v>
      </c>
      <c r="C6512" s="2">
        <v>0.25</v>
      </c>
      <c r="D6512">
        <v>3</v>
      </c>
      <c r="E6512">
        <v>12.1</v>
      </c>
      <c r="F6512">
        <v>69</v>
      </c>
    </row>
    <row r="6513" spans="1:6" x14ac:dyDescent="0.35">
      <c r="A6513">
        <v>1975</v>
      </c>
      <c r="B6513" s="1">
        <v>45796</v>
      </c>
      <c r="C6513" s="2">
        <v>0.29166666666666669</v>
      </c>
      <c r="D6513">
        <v>3</v>
      </c>
      <c r="E6513">
        <v>14.5</v>
      </c>
      <c r="F6513">
        <v>65</v>
      </c>
    </row>
    <row r="6514" spans="1:6" x14ac:dyDescent="0.35">
      <c r="A6514">
        <v>1975</v>
      </c>
      <c r="B6514" s="1">
        <v>45796</v>
      </c>
      <c r="C6514" s="2">
        <v>0.33333333333333331</v>
      </c>
      <c r="D6514">
        <v>3</v>
      </c>
      <c r="E6514">
        <v>15.1</v>
      </c>
      <c r="F6514">
        <v>65</v>
      </c>
    </row>
    <row r="6515" spans="1:6" x14ac:dyDescent="0.35">
      <c r="A6515">
        <v>1975</v>
      </c>
      <c r="B6515" s="1">
        <v>45796</v>
      </c>
      <c r="C6515" s="2">
        <v>0.375</v>
      </c>
      <c r="D6515">
        <v>3</v>
      </c>
      <c r="E6515">
        <v>16.5</v>
      </c>
      <c r="F6515">
        <v>59</v>
      </c>
    </row>
    <row r="6516" spans="1:6" x14ac:dyDescent="0.35">
      <c r="A6516">
        <v>1975</v>
      </c>
      <c r="B6516" s="1">
        <v>45796</v>
      </c>
      <c r="C6516" s="2">
        <v>0.41666666666666669</v>
      </c>
      <c r="D6516">
        <v>3</v>
      </c>
      <c r="E6516">
        <v>17.100000000000001</v>
      </c>
      <c r="F6516">
        <v>58</v>
      </c>
    </row>
    <row r="6517" spans="1:6" x14ac:dyDescent="0.35">
      <c r="A6517">
        <v>1975</v>
      </c>
      <c r="B6517" s="1">
        <v>45796</v>
      </c>
      <c r="C6517" s="2">
        <v>0.45833333333333331</v>
      </c>
      <c r="D6517">
        <v>3</v>
      </c>
      <c r="E6517">
        <v>17.899999999999999</v>
      </c>
      <c r="F6517">
        <v>53</v>
      </c>
    </row>
    <row r="6518" spans="1:6" x14ac:dyDescent="0.35">
      <c r="A6518">
        <v>1975</v>
      </c>
      <c r="B6518" s="1">
        <v>45796</v>
      </c>
      <c r="C6518" s="2">
        <v>0.5</v>
      </c>
      <c r="D6518">
        <v>3</v>
      </c>
      <c r="E6518">
        <v>20</v>
      </c>
      <c r="F6518">
        <v>44</v>
      </c>
    </row>
    <row r="6519" spans="1:6" x14ac:dyDescent="0.35">
      <c r="A6519">
        <v>1975</v>
      </c>
      <c r="B6519" s="1">
        <v>45796</v>
      </c>
      <c r="C6519" s="2">
        <v>0.54166666666666663</v>
      </c>
      <c r="D6519">
        <v>3</v>
      </c>
      <c r="E6519">
        <v>19.399999999999999</v>
      </c>
      <c r="F6519">
        <v>41</v>
      </c>
    </row>
    <row r="6520" spans="1:6" x14ac:dyDescent="0.35">
      <c r="A6520">
        <v>1975</v>
      </c>
      <c r="B6520" s="1">
        <v>45796</v>
      </c>
      <c r="C6520" s="2">
        <v>0.58333333333333337</v>
      </c>
      <c r="D6520">
        <v>3</v>
      </c>
      <c r="E6520">
        <v>20.5</v>
      </c>
      <c r="F6520">
        <v>42</v>
      </c>
    </row>
    <row r="6521" spans="1:6" x14ac:dyDescent="0.35">
      <c r="A6521">
        <v>1975</v>
      </c>
      <c r="B6521" s="1">
        <v>45796</v>
      </c>
      <c r="C6521" s="2">
        <v>0.625</v>
      </c>
      <c r="D6521">
        <v>3</v>
      </c>
      <c r="E6521">
        <v>20.5</v>
      </c>
      <c r="F6521">
        <v>43</v>
      </c>
    </row>
    <row r="6522" spans="1:6" x14ac:dyDescent="0.35">
      <c r="A6522">
        <v>1975</v>
      </c>
      <c r="B6522" s="1">
        <v>45796</v>
      </c>
      <c r="C6522" s="2">
        <v>0.66666666666666663</v>
      </c>
      <c r="D6522">
        <v>3</v>
      </c>
      <c r="E6522">
        <v>20.9</v>
      </c>
      <c r="F6522">
        <v>44</v>
      </c>
    </row>
    <row r="6523" spans="1:6" x14ac:dyDescent="0.35">
      <c r="A6523">
        <v>1975</v>
      </c>
      <c r="B6523" s="1">
        <v>45796</v>
      </c>
      <c r="C6523" s="2">
        <v>0.70833333333333337</v>
      </c>
      <c r="D6523">
        <v>3</v>
      </c>
      <c r="E6523">
        <v>19.7</v>
      </c>
      <c r="F6523">
        <v>48</v>
      </c>
    </row>
    <row r="6524" spans="1:6" x14ac:dyDescent="0.35">
      <c r="A6524">
        <v>1975</v>
      </c>
      <c r="B6524" s="1">
        <v>45796</v>
      </c>
      <c r="C6524" s="2">
        <v>0.75</v>
      </c>
      <c r="D6524">
        <v>3</v>
      </c>
      <c r="E6524">
        <v>19.100000000000001</v>
      </c>
      <c r="F6524">
        <v>52</v>
      </c>
    </row>
    <row r="6525" spans="1:6" x14ac:dyDescent="0.35">
      <c r="A6525">
        <v>1975</v>
      </c>
      <c r="B6525" s="1">
        <v>45796</v>
      </c>
      <c r="C6525" s="2">
        <v>0.79166666666666663</v>
      </c>
      <c r="D6525">
        <v>3</v>
      </c>
      <c r="E6525">
        <v>18.399999999999999</v>
      </c>
      <c r="F6525">
        <v>52</v>
      </c>
    </row>
    <row r="6526" spans="1:6" x14ac:dyDescent="0.35">
      <c r="A6526">
        <v>1975</v>
      </c>
      <c r="B6526" s="1">
        <v>45796</v>
      </c>
      <c r="C6526" s="2">
        <v>0.83333333333333337</v>
      </c>
      <c r="D6526">
        <v>3</v>
      </c>
      <c r="E6526">
        <v>16.2</v>
      </c>
      <c r="F6526">
        <v>59</v>
      </c>
    </row>
    <row r="6527" spans="1:6" x14ac:dyDescent="0.35">
      <c r="A6527">
        <v>1975</v>
      </c>
      <c r="B6527" s="1">
        <v>45796</v>
      </c>
      <c r="C6527" s="2">
        <v>0.875</v>
      </c>
      <c r="D6527">
        <v>3</v>
      </c>
      <c r="E6527">
        <v>13.1</v>
      </c>
      <c r="F6527">
        <v>76</v>
      </c>
    </row>
    <row r="6528" spans="1:6" x14ac:dyDescent="0.35">
      <c r="A6528">
        <v>1975</v>
      </c>
      <c r="B6528" s="1">
        <v>45796</v>
      </c>
      <c r="C6528" s="2">
        <v>0.91666666666666663</v>
      </c>
      <c r="D6528">
        <v>3</v>
      </c>
      <c r="E6528">
        <v>10.6</v>
      </c>
      <c r="F6528">
        <v>82</v>
      </c>
    </row>
    <row r="6529" spans="1:6" x14ac:dyDescent="0.35">
      <c r="A6529">
        <v>1975</v>
      </c>
      <c r="B6529" s="1">
        <v>45796</v>
      </c>
      <c r="C6529" s="2">
        <v>0.95833333333333337</v>
      </c>
      <c r="D6529">
        <v>3</v>
      </c>
      <c r="E6529">
        <v>10.3</v>
      </c>
      <c r="F6529">
        <v>89</v>
      </c>
    </row>
    <row r="6530" spans="1:6" x14ac:dyDescent="0.35">
      <c r="A6530">
        <v>1975</v>
      </c>
      <c r="B6530" s="1">
        <v>45797</v>
      </c>
      <c r="C6530" s="2">
        <v>0</v>
      </c>
      <c r="D6530">
        <v>3</v>
      </c>
      <c r="E6530">
        <v>9.1999999999999993</v>
      </c>
      <c r="F6530">
        <v>93</v>
      </c>
    </row>
    <row r="6531" spans="1:6" x14ac:dyDescent="0.35">
      <c r="A6531">
        <v>1975</v>
      </c>
      <c r="B6531" s="1">
        <v>45797</v>
      </c>
      <c r="C6531" s="2">
        <v>4.1666666666666657E-2</v>
      </c>
      <c r="D6531">
        <v>3</v>
      </c>
      <c r="E6531">
        <v>8.1999999999999993</v>
      </c>
      <c r="F6531">
        <v>96</v>
      </c>
    </row>
    <row r="6532" spans="1:6" x14ac:dyDescent="0.35">
      <c r="A6532">
        <v>1975</v>
      </c>
      <c r="B6532" s="1">
        <v>45797</v>
      </c>
      <c r="C6532" s="2">
        <v>8.3333333333333329E-2</v>
      </c>
      <c r="D6532">
        <v>3</v>
      </c>
      <c r="E6532">
        <v>7.4</v>
      </c>
      <c r="F6532">
        <v>98</v>
      </c>
    </row>
    <row r="6533" spans="1:6" x14ac:dyDescent="0.35">
      <c r="A6533">
        <v>1975</v>
      </c>
      <c r="B6533" s="1">
        <v>45797</v>
      </c>
      <c r="C6533" s="2">
        <v>0.125</v>
      </c>
      <c r="D6533">
        <v>3</v>
      </c>
      <c r="E6533">
        <v>7.3</v>
      </c>
      <c r="F6533">
        <v>100</v>
      </c>
    </row>
    <row r="6534" spans="1:6" x14ac:dyDescent="0.35">
      <c r="A6534">
        <v>1975</v>
      </c>
      <c r="B6534" s="1">
        <v>45797</v>
      </c>
      <c r="C6534" s="2">
        <v>0.16666666666666671</v>
      </c>
      <c r="D6534">
        <v>3</v>
      </c>
      <c r="E6534">
        <v>7.5</v>
      </c>
      <c r="F6534">
        <v>98</v>
      </c>
    </row>
    <row r="6535" spans="1:6" x14ac:dyDescent="0.35">
      <c r="A6535">
        <v>1975</v>
      </c>
      <c r="B6535" s="1">
        <v>45797</v>
      </c>
      <c r="C6535" s="2">
        <v>0.20833333333333329</v>
      </c>
      <c r="D6535">
        <v>3</v>
      </c>
      <c r="E6535">
        <v>10.5</v>
      </c>
      <c r="F6535">
        <v>85</v>
      </c>
    </row>
    <row r="6536" spans="1:6" x14ac:dyDescent="0.35">
      <c r="A6536">
        <v>1975</v>
      </c>
      <c r="B6536" s="1">
        <v>45797</v>
      </c>
      <c r="C6536" s="2">
        <v>0.25</v>
      </c>
      <c r="D6536">
        <v>3</v>
      </c>
      <c r="E6536">
        <v>14.4</v>
      </c>
      <c r="F6536">
        <v>74</v>
      </c>
    </row>
    <row r="6537" spans="1:6" x14ac:dyDescent="0.35">
      <c r="A6537">
        <v>1975</v>
      </c>
      <c r="B6537" s="1">
        <v>45797</v>
      </c>
      <c r="C6537" s="2">
        <v>0.29166666666666669</v>
      </c>
      <c r="D6537">
        <v>3</v>
      </c>
      <c r="E6537">
        <v>17.100000000000001</v>
      </c>
      <c r="F6537">
        <v>60</v>
      </c>
    </row>
    <row r="6538" spans="1:6" x14ac:dyDescent="0.35">
      <c r="A6538">
        <v>1975</v>
      </c>
      <c r="B6538" s="1">
        <v>45797</v>
      </c>
      <c r="C6538" s="2">
        <v>0.33333333333333331</v>
      </c>
      <c r="D6538">
        <v>3</v>
      </c>
      <c r="E6538">
        <v>18.7</v>
      </c>
      <c r="F6538">
        <v>51</v>
      </c>
    </row>
    <row r="6539" spans="1:6" x14ac:dyDescent="0.35">
      <c r="A6539">
        <v>1975</v>
      </c>
      <c r="B6539" s="1">
        <v>45797</v>
      </c>
      <c r="C6539" s="2">
        <v>0.375</v>
      </c>
      <c r="D6539">
        <v>3</v>
      </c>
      <c r="E6539">
        <v>20.3</v>
      </c>
      <c r="F6539">
        <v>45</v>
      </c>
    </row>
    <row r="6540" spans="1:6" x14ac:dyDescent="0.35">
      <c r="A6540">
        <v>1975</v>
      </c>
      <c r="B6540" s="1">
        <v>45797</v>
      </c>
      <c r="C6540" s="2">
        <v>0.41666666666666669</v>
      </c>
      <c r="D6540">
        <v>3</v>
      </c>
      <c r="E6540">
        <v>19.899999999999999</v>
      </c>
      <c r="F6540">
        <v>47</v>
      </c>
    </row>
    <row r="6541" spans="1:6" x14ac:dyDescent="0.35">
      <c r="A6541">
        <v>1975</v>
      </c>
      <c r="B6541" s="1">
        <v>45797</v>
      </c>
      <c r="C6541" s="2">
        <v>0.45833333333333331</v>
      </c>
      <c r="D6541">
        <v>3</v>
      </c>
      <c r="E6541">
        <v>21.5</v>
      </c>
      <c r="F6541">
        <v>44</v>
      </c>
    </row>
    <row r="6542" spans="1:6" x14ac:dyDescent="0.35">
      <c r="A6542">
        <v>1975</v>
      </c>
      <c r="B6542" s="1">
        <v>45797</v>
      </c>
      <c r="C6542" s="2">
        <v>0.5</v>
      </c>
      <c r="D6542">
        <v>3</v>
      </c>
      <c r="E6542">
        <v>20.3</v>
      </c>
      <c r="F6542">
        <v>49</v>
      </c>
    </row>
    <row r="6543" spans="1:6" x14ac:dyDescent="0.35">
      <c r="A6543">
        <v>1975</v>
      </c>
      <c r="B6543" s="1">
        <v>45797</v>
      </c>
      <c r="C6543" s="2">
        <v>0.54166666666666663</v>
      </c>
      <c r="D6543">
        <v>3</v>
      </c>
      <c r="E6543">
        <v>22.3</v>
      </c>
      <c r="F6543">
        <v>42</v>
      </c>
    </row>
    <row r="6544" spans="1:6" x14ac:dyDescent="0.35">
      <c r="A6544">
        <v>1975</v>
      </c>
      <c r="B6544" s="1">
        <v>45797</v>
      </c>
      <c r="C6544" s="2">
        <v>0.58333333333333337</v>
      </c>
      <c r="D6544">
        <v>3</v>
      </c>
      <c r="E6544">
        <v>22.1</v>
      </c>
      <c r="F6544">
        <v>41</v>
      </c>
    </row>
    <row r="6545" spans="1:6" x14ac:dyDescent="0.35">
      <c r="A6545">
        <v>1975</v>
      </c>
      <c r="B6545" s="1">
        <v>45797</v>
      </c>
      <c r="C6545" s="2">
        <v>0.625</v>
      </c>
      <c r="D6545">
        <v>3</v>
      </c>
      <c r="E6545">
        <v>21.5</v>
      </c>
      <c r="F6545">
        <v>40</v>
      </c>
    </row>
    <row r="6546" spans="1:6" x14ac:dyDescent="0.35">
      <c r="A6546">
        <v>1975</v>
      </c>
      <c r="B6546" s="1">
        <v>45797</v>
      </c>
      <c r="C6546" s="2">
        <v>0.66666666666666663</v>
      </c>
      <c r="D6546">
        <v>3</v>
      </c>
      <c r="E6546">
        <v>20.9</v>
      </c>
      <c r="F6546">
        <v>38</v>
      </c>
    </row>
    <row r="6547" spans="1:6" x14ac:dyDescent="0.35">
      <c r="A6547">
        <v>1975</v>
      </c>
      <c r="B6547" s="1">
        <v>45797</v>
      </c>
      <c r="C6547" s="2">
        <v>0.70833333333333337</v>
      </c>
      <c r="D6547">
        <v>3</v>
      </c>
      <c r="E6547">
        <v>19.5</v>
      </c>
      <c r="F6547">
        <v>39</v>
      </c>
    </row>
    <row r="6548" spans="1:6" x14ac:dyDescent="0.35">
      <c r="A6548">
        <v>1975</v>
      </c>
      <c r="B6548" s="1">
        <v>45797</v>
      </c>
      <c r="C6548" s="2">
        <v>0.75</v>
      </c>
      <c r="D6548">
        <v>3</v>
      </c>
      <c r="E6548">
        <v>17.8</v>
      </c>
      <c r="F6548">
        <v>41</v>
      </c>
    </row>
    <row r="6549" spans="1:6" x14ac:dyDescent="0.35">
      <c r="A6549">
        <v>1975</v>
      </c>
      <c r="B6549" s="1">
        <v>45797</v>
      </c>
      <c r="C6549" s="2">
        <v>0.79166666666666663</v>
      </c>
      <c r="D6549">
        <v>3</v>
      </c>
      <c r="E6549">
        <v>16</v>
      </c>
      <c r="F6549">
        <v>47</v>
      </c>
    </row>
    <row r="6550" spans="1:6" x14ac:dyDescent="0.35">
      <c r="A6550">
        <v>1975</v>
      </c>
      <c r="B6550" s="1">
        <v>45797</v>
      </c>
      <c r="C6550" s="2">
        <v>0.83333333333333337</v>
      </c>
      <c r="D6550">
        <v>3</v>
      </c>
      <c r="E6550">
        <v>12.6</v>
      </c>
      <c r="F6550">
        <v>81</v>
      </c>
    </row>
    <row r="6551" spans="1:6" x14ac:dyDescent="0.35">
      <c r="A6551">
        <v>1975</v>
      </c>
      <c r="B6551" s="1">
        <v>45797</v>
      </c>
      <c r="C6551" s="2">
        <v>0.875</v>
      </c>
      <c r="D6551">
        <v>3</v>
      </c>
      <c r="E6551">
        <v>11.2</v>
      </c>
      <c r="F6551">
        <v>88</v>
      </c>
    </row>
    <row r="6552" spans="1:6" x14ac:dyDescent="0.35">
      <c r="A6552">
        <v>1975</v>
      </c>
      <c r="B6552" s="1">
        <v>45797</v>
      </c>
      <c r="C6552" s="2">
        <v>0.91666666666666663</v>
      </c>
      <c r="D6552">
        <v>3</v>
      </c>
      <c r="E6552">
        <v>11.5</v>
      </c>
      <c r="F6552">
        <v>85</v>
      </c>
    </row>
    <row r="6553" spans="1:6" x14ac:dyDescent="0.35">
      <c r="A6553">
        <v>1975</v>
      </c>
      <c r="B6553" s="1">
        <v>45797</v>
      </c>
      <c r="C6553" s="2">
        <v>0.95833333333333337</v>
      </c>
      <c r="D6553">
        <v>3</v>
      </c>
      <c r="E6553">
        <v>10.8</v>
      </c>
      <c r="F6553">
        <v>82</v>
      </c>
    </row>
    <row r="6554" spans="1:6" x14ac:dyDescent="0.35">
      <c r="A6554">
        <v>1975</v>
      </c>
      <c r="B6554" s="1">
        <v>45798</v>
      </c>
      <c r="C6554" s="2">
        <v>0</v>
      </c>
      <c r="D6554">
        <v>3</v>
      </c>
      <c r="E6554">
        <v>11.4</v>
      </c>
      <c r="F6554">
        <v>79</v>
      </c>
    </row>
    <row r="6555" spans="1:6" x14ac:dyDescent="0.35">
      <c r="A6555">
        <v>1975</v>
      </c>
      <c r="B6555" s="1">
        <v>45798</v>
      </c>
      <c r="C6555" s="2">
        <v>4.1666666666666657E-2</v>
      </c>
      <c r="D6555">
        <v>3</v>
      </c>
      <c r="E6555">
        <v>11.5</v>
      </c>
      <c r="F6555">
        <v>76</v>
      </c>
    </row>
    <row r="6556" spans="1:6" x14ac:dyDescent="0.35">
      <c r="A6556">
        <v>1975</v>
      </c>
      <c r="B6556" s="1">
        <v>45798</v>
      </c>
      <c r="C6556" s="2">
        <v>8.3333333333333329E-2</v>
      </c>
      <c r="D6556">
        <v>3</v>
      </c>
      <c r="E6556">
        <v>11.3</v>
      </c>
      <c r="F6556">
        <v>75</v>
      </c>
    </row>
    <row r="6557" spans="1:6" x14ac:dyDescent="0.35">
      <c r="A6557">
        <v>1975</v>
      </c>
      <c r="B6557" s="1">
        <v>45798</v>
      </c>
      <c r="C6557" s="2">
        <v>0.125</v>
      </c>
      <c r="D6557">
        <v>3</v>
      </c>
      <c r="E6557">
        <v>11.2</v>
      </c>
      <c r="F6557">
        <v>73</v>
      </c>
    </row>
    <row r="6558" spans="1:6" x14ac:dyDescent="0.35">
      <c r="A6558">
        <v>1975</v>
      </c>
      <c r="B6558" s="1">
        <v>45798</v>
      </c>
      <c r="C6558" s="2">
        <v>0.16666666666666671</v>
      </c>
      <c r="D6558">
        <v>3</v>
      </c>
      <c r="E6558">
        <v>11.3</v>
      </c>
      <c r="F6558">
        <v>72</v>
      </c>
    </row>
    <row r="6559" spans="1:6" x14ac:dyDescent="0.35">
      <c r="A6559">
        <v>1975</v>
      </c>
      <c r="B6559" s="1">
        <v>45798</v>
      </c>
      <c r="C6559" s="2">
        <v>0.20833333333333329</v>
      </c>
      <c r="D6559">
        <v>3</v>
      </c>
      <c r="E6559">
        <v>11.4</v>
      </c>
      <c r="F6559">
        <v>71</v>
      </c>
    </row>
    <row r="6560" spans="1:6" x14ac:dyDescent="0.35">
      <c r="A6560">
        <v>1975</v>
      </c>
      <c r="B6560" s="1">
        <v>45798</v>
      </c>
      <c r="C6560" s="2">
        <v>0.25</v>
      </c>
      <c r="D6560">
        <v>3</v>
      </c>
      <c r="E6560">
        <v>11.6</v>
      </c>
      <c r="F6560">
        <v>72</v>
      </c>
    </row>
    <row r="6561" spans="1:6" x14ac:dyDescent="0.35">
      <c r="A6561">
        <v>1975</v>
      </c>
      <c r="B6561" s="1">
        <v>45798</v>
      </c>
      <c r="C6561" s="2">
        <v>0.29166666666666669</v>
      </c>
      <c r="D6561">
        <v>3</v>
      </c>
      <c r="E6561">
        <v>12</v>
      </c>
      <c r="F6561">
        <v>72</v>
      </c>
    </row>
    <row r="6562" spans="1:6" x14ac:dyDescent="0.35">
      <c r="A6562">
        <v>1975</v>
      </c>
      <c r="B6562" s="1">
        <v>45798</v>
      </c>
      <c r="C6562" s="2">
        <v>0.33333333333333331</v>
      </c>
      <c r="D6562">
        <v>3</v>
      </c>
      <c r="E6562">
        <v>12</v>
      </c>
      <c r="F6562">
        <v>71</v>
      </c>
    </row>
    <row r="6563" spans="1:6" x14ac:dyDescent="0.35">
      <c r="A6563">
        <v>1975</v>
      </c>
      <c r="B6563" s="1">
        <v>45798</v>
      </c>
      <c r="C6563" s="2">
        <v>0.375</v>
      </c>
      <c r="D6563">
        <v>3</v>
      </c>
      <c r="E6563">
        <v>12.6</v>
      </c>
      <c r="F6563">
        <v>70</v>
      </c>
    </row>
    <row r="6564" spans="1:6" x14ac:dyDescent="0.35">
      <c r="A6564">
        <v>1975</v>
      </c>
      <c r="B6564" s="1">
        <v>45798</v>
      </c>
      <c r="C6564" s="2">
        <v>0.41666666666666669</v>
      </c>
      <c r="D6564">
        <v>3</v>
      </c>
      <c r="E6564">
        <v>13.7</v>
      </c>
      <c r="F6564">
        <v>60</v>
      </c>
    </row>
    <row r="6565" spans="1:6" x14ac:dyDescent="0.35">
      <c r="A6565">
        <v>1975</v>
      </c>
      <c r="B6565" s="1">
        <v>45798</v>
      </c>
      <c r="C6565" s="2">
        <v>0.45833333333333331</v>
      </c>
      <c r="D6565">
        <v>3</v>
      </c>
      <c r="E6565">
        <v>15.3</v>
      </c>
      <c r="F6565">
        <v>54</v>
      </c>
    </row>
    <row r="6566" spans="1:6" x14ac:dyDescent="0.35">
      <c r="A6566">
        <v>1975</v>
      </c>
      <c r="B6566" s="1">
        <v>45798</v>
      </c>
      <c r="C6566" s="2">
        <v>0.5</v>
      </c>
      <c r="D6566">
        <v>3</v>
      </c>
      <c r="E6566">
        <v>15.4</v>
      </c>
      <c r="F6566">
        <v>55</v>
      </c>
    </row>
    <row r="6567" spans="1:6" x14ac:dyDescent="0.35">
      <c r="A6567">
        <v>1975</v>
      </c>
      <c r="B6567" s="1">
        <v>45798</v>
      </c>
      <c r="C6567" s="2">
        <v>0.54166666666666663</v>
      </c>
      <c r="D6567">
        <v>3</v>
      </c>
      <c r="E6567">
        <v>15.3</v>
      </c>
      <c r="F6567">
        <v>54</v>
      </c>
    </row>
    <row r="6568" spans="1:6" x14ac:dyDescent="0.35">
      <c r="A6568">
        <v>1975</v>
      </c>
      <c r="B6568" s="1">
        <v>45798</v>
      </c>
      <c r="C6568" s="2">
        <v>0.58333333333333337</v>
      </c>
      <c r="D6568">
        <v>3</v>
      </c>
      <c r="E6568">
        <v>15</v>
      </c>
      <c r="F6568">
        <v>56</v>
      </c>
    </row>
    <row r="6569" spans="1:6" x14ac:dyDescent="0.35">
      <c r="A6569">
        <v>1975</v>
      </c>
      <c r="B6569" s="1">
        <v>45798</v>
      </c>
      <c r="C6569" s="2">
        <v>0.625</v>
      </c>
      <c r="D6569">
        <v>3</v>
      </c>
      <c r="E6569">
        <v>15</v>
      </c>
      <c r="F6569">
        <v>54</v>
      </c>
    </row>
    <row r="6570" spans="1:6" x14ac:dyDescent="0.35">
      <c r="A6570">
        <v>1975</v>
      </c>
      <c r="B6570" s="1">
        <v>45798</v>
      </c>
      <c r="C6570" s="2">
        <v>0.66666666666666663</v>
      </c>
      <c r="D6570">
        <v>3</v>
      </c>
      <c r="E6570">
        <v>14.4</v>
      </c>
      <c r="F6570">
        <v>54</v>
      </c>
    </row>
    <row r="6571" spans="1:6" x14ac:dyDescent="0.35">
      <c r="A6571">
        <v>1975</v>
      </c>
      <c r="B6571" s="1">
        <v>45798</v>
      </c>
      <c r="C6571" s="2">
        <v>0.70833333333333337</v>
      </c>
      <c r="D6571">
        <v>3</v>
      </c>
      <c r="E6571">
        <v>12.8</v>
      </c>
      <c r="F6571">
        <v>61</v>
      </c>
    </row>
    <row r="6572" spans="1:6" x14ac:dyDescent="0.35">
      <c r="A6572">
        <v>1975</v>
      </c>
      <c r="B6572" s="1">
        <v>45798</v>
      </c>
      <c r="C6572" s="2">
        <v>0.75</v>
      </c>
      <c r="D6572">
        <v>3</v>
      </c>
      <c r="E6572">
        <v>12.3</v>
      </c>
      <c r="F6572">
        <v>62</v>
      </c>
    </row>
    <row r="6573" spans="1:6" x14ac:dyDescent="0.35">
      <c r="A6573">
        <v>1975</v>
      </c>
      <c r="B6573" s="1">
        <v>45798</v>
      </c>
      <c r="C6573" s="2">
        <v>0.79166666666666663</v>
      </c>
      <c r="D6573">
        <v>3</v>
      </c>
      <c r="E6573">
        <v>11.7</v>
      </c>
      <c r="F6573">
        <v>69</v>
      </c>
    </row>
    <row r="6574" spans="1:6" x14ac:dyDescent="0.35">
      <c r="A6574">
        <v>1975</v>
      </c>
      <c r="B6574" s="1">
        <v>45798</v>
      </c>
      <c r="C6574" s="2">
        <v>0.83333333333333337</v>
      </c>
      <c r="D6574">
        <v>3</v>
      </c>
      <c r="E6574">
        <v>11.4</v>
      </c>
      <c r="F6574">
        <v>79</v>
      </c>
    </row>
    <row r="6575" spans="1:6" x14ac:dyDescent="0.35">
      <c r="A6575">
        <v>1975</v>
      </c>
      <c r="B6575" s="1">
        <v>45798</v>
      </c>
      <c r="C6575" s="2">
        <v>0.875</v>
      </c>
      <c r="D6575">
        <v>3</v>
      </c>
      <c r="E6575">
        <v>11</v>
      </c>
      <c r="F6575">
        <v>82</v>
      </c>
    </row>
    <row r="6576" spans="1:6" x14ac:dyDescent="0.35">
      <c r="A6576">
        <v>1975</v>
      </c>
      <c r="B6576" s="1">
        <v>45798</v>
      </c>
      <c r="C6576" s="2">
        <v>0.91666666666666663</v>
      </c>
      <c r="D6576">
        <v>3</v>
      </c>
      <c r="E6576">
        <v>9.6</v>
      </c>
      <c r="F6576">
        <v>69</v>
      </c>
    </row>
    <row r="6577" spans="1:6" x14ac:dyDescent="0.35">
      <c r="A6577">
        <v>1975</v>
      </c>
      <c r="B6577" s="1">
        <v>45798</v>
      </c>
      <c r="C6577" s="2">
        <v>0.95833333333333337</v>
      </c>
      <c r="D6577">
        <v>3</v>
      </c>
      <c r="E6577">
        <v>8.6</v>
      </c>
      <c r="F6577">
        <v>72</v>
      </c>
    </row>
    <row r="6578" spans="1:6" x14ac:dyDescent="0.35">
      <c r="A6578">
        <v>1975</v>
      </c>
      <c r="B6578" s="1">
        <v>45799</v>
      </c>
      <c r="C6578" s="2">
        <v>0</v>
      </c>
      <c r="D6578">
        <v>3</v>
      </c>
      <c r="E6578">
        <v>8.8000000000000007</v>
      </c>
      <c r="F6578">
        <v>72</v>
      </c>
    </row>
    <row r="6579" spans="1:6" x14ac:dyDescent="0.35">
      <c r="A6579">
        <v>1975</v>
      </c>
      <c r="B6579" s="1">
        <v>45799</v>
      </c>
      <c r="C6579" s="2">
        <v>4.1666666666666657E-2</v>
      </c>
      <c r="D6579">
        <v>3</v>
      </c>
      <c r="E6579">
        <v>9.4</v>
      </c>
      <c r="F6579">
        <v>64</v>
      </c>
    </row>
    <row r="6580" spans="1:6" x14ac:dyDescent="0.35">
      <c r="A6580">
        <v>1975</v>
      </c>
      <c r="B6580" s="1">
        <v>45799</v>
      </c>
      <c r="C6580" s="2">
        <v>8.3333333333333329E-2</v>
      </c>
      <c r="D6580">
        <v>3</v>
      </c>
      <c r="E6580">
        <v>9.1999999999999993</v>
      </c>
      <c r="F6580">
        <v>61</v>
      </c>
    </row>
    <row r="6581" spans="1:6" x14ac:dyDescent="0.35">
      <c r="A6581">
        <v>1975</v>
      </c>
      <c r="B6581" s="1">
        <v>45799</v>
      </c>
      <c r="C6581" s="2">
        <v>0.125</v>
      </c>
      <c r="D6581">
        <v>3</v>
      </c>
      <c r="E6581">
        <v>8.6999999999999993</v>
      </c>
      <c r="F6581">
        <v>60</v>
      </c>
    </row>
    <row r="6582" spans="1:6" x14ac:dyDescent="0.35">
      <c r="A6582">
        <v>1975</v>
      </c>
      <c r="B6582" s="1">
        <v>45799</v>
      </c>
      <c r="C6582" s="2">
        <v>0.16666666666666671</v>
      </c>
      <c r="D6582">
        <v>3</v>
      </c>
      <c r="E6582">
        <v>8.1999999999999993</v>
      </c>
      <c r="F6582">
        <v>64</v>
      </c>
    </row>
    <row r="6583" spans="1:6" x14ac:dyDescent="0.35">
      <c r="A6583">
        <v>1975</v>
      </c>
      <c r="B6583" s="1">
        <v>45799</v>
      </c>
      <c r="C6583" s="2">
        <v>0.20833333333333329</v>
      </c>
      <c r="D6583">
        <v>3</v>
      </c>
      <c r="E6583">
        <v>8.1999999999999993</v>
      </c>
      <c r="F6583">
        <v>68</v>
      </c>
    </row>
    <row r="6584" spans="1:6" x14ac:dyDescent="0.35">
      <c r="A6584">
        <v>1975</v>
      </c>
      <c r="B6584" s="1">
        <v>45799</v>
      </c>
      <c r="C6584" s="2">
        <v>0.25</v>
      </c>
      <c r="D6584">
        <v>3</v>
      </c>
      <c r="E6584">
        <v>9.5</v>
      </c>
      <c r="F6584">
        <v>62</v>
      </c>
    </row>
    <row r="6585" spans="1:6" x14ac:dyDescent="0.35">
      <c r="A6585">
        <v>1975</v>
      </c>
      <c r="B6585" s="1">
        <v>45799</v>
      </c>
      <c r="C6585" s="2">
        <v>0.29166666666666669</v>
      </c>
      <c r="D6585">
        <v>3</v>
      </c>
      <c r="E6585">
        <v>11.1</v>
      </c>
      <c r="F6585">
        <v>54</v>
      </c>
    </row>
    <row r="6586" spans="1:6" x14ac:dyDescent="0.35">
      <c r="A6586">
        <v>1975</v>
      </c>
      <c r="B6586" s="1">
        <v>45799</v>
      </c>
      <c r="C6586" s="2">
        <v>0.33333333333333331</v>
      </c>
      <c r="D6586">
        <v>3</v>
      </c>
      <c r="E6586">
        <v>9.4</v>
      </c>
      <c r="F6586">
        <v>66</v>
      </c>
    </row>
    <row r="6587" spans="1:6" x14ac:dyDescent="0.35">
      <c r="A6587">
        <v>1975</v>
      </c>
      <c r="B6587" s="1">
        <v>45799</v>
      </c>
      <c r="C6587" s="2">
        <v>0.375</v>
      </c>
      <c r="D6587">
        <v>3</v>
      </c>
      <c r="E6587">
        <v>11.6</v>
      </c>
      <c r="F6587">
        <v>57</v>
      </c>
    </row>
    <row r="6588" spans="1:6" x14ac:dyDescent="0.35">
      <c r="A6588">
        <v>1975</v>
      </c>
      <c r="B6588" s="1">
        <v>45799</v>
      </c>
      <c r="C6588" s="2">
        <v>0.41666666666666669</v>
      </c>
      <c r="D6588">
        <v>3</v>
      </c>
      <c r="E6588">
        <v>10.8</v>
      </c>
      <c r="F6588">
        <v>62</v>
      </c>
    </row>
    <row r="6589" spans="1:6" x14ac:dyDescent="0.35">
      <c r="A6589">
        <v>1975</v>
      </c>
      <c r="B6589" s="1">
        <v>45799</v>
      </c>
      <c r="C6589" s="2">
        <v>0.45833333333333331</v>
      </c>
      <c r="D6589">
        <v>3</v>
      </c>
      <c r="E6589">
        <v>9.5</v>
      </c>
      <c r="F6589">
        <v>67</v>
      </c>
    </row>
    <row r="6590" spans="1:6" x14ac:dyDescent="0.35">
      <c r="A6590">
        <v>1975</v>
      </c>
      <c r="B6590" s="1">
        <v>45799</v>
      </c>
      <c r="C6590" s="2">
        <v>0.5</v>
      </c>
      <c r="D6590">
        <v>3</v>
      </c>
      <c r="E6590">
        <v>6.8</v>
      </c>
      <c r="F6590">
        <v>85</v>
      </c>
    </row>
    <row r="6591" spans="1:6" x14ac:dyDescent="0.35">
      <c r="A6591">
        <v>1975</v>
      </c>
      <c r="B6591" s="1">
        <v>45799</v>
      </c>
      <c r="C6591" s="2">
        <v>0.54166666666666663</v>
      </c>
      <c r="D6591">
        <v>3</v>
      </c>
      <c r="E6591">
        <v>6.8</v>
      </c>
      <c r="F6591">
        <v>84</v>
      </c>
    </row>
    <row r="6592" spans="1:6" x14ac:dyDescent="0.35">
      <c r="A6592">
        <v>1975</v>
      </c>
      <c r="B6592" s="1">
        <v>45799</v>
      </c>
      <c r="C6592" s="2">
        <v>0.58333333333333337</v>
      </c>
      <c r="D6592">
        <v>3</v>
      </c>
      <c r="E6592">
        <v>5.4</v>
      </c>
      <c r="F6592">
        <v>90</v>
      </c>
    </row>
    <row r="6593" spans="1:6" x14ac:dyDescent="0.35">
      <c r="A6593">
        <v>1975</v>
      </c>
      <c r="B6593" s="1">
        <v>45799</v>
      </c>
      <c r="C6593" s="2">
        <v>0.625</v>
      </c>
      <c r="D6593">
        <v>3</v>
      </c>
      <c r="E6593">
        <v>8.6</v>
      </c>
      <c r="F6593">
        <v>78</v>
      </c>
    </row>
    <row r="6594" spans="1:6" x14ac:dyDescent="0.35">
      <c r="A6594">
        <v>1975</v>
      </c>
      <c r="B6594" s="1">
        <v>45799</v>
      </c>
      <c r="C6594" s="2">
        <v>0.66666666666666663</v>
      </c>
      <c r="D6594">
        <v>3</v>
      </c>
      <c r="E6594">
        <v>10.3</v>
      </c>
      <c r="F6594">
        <v>67</v>
      </c>
    </row>
    <row r="6595" spans="1:6" x14ac:dyDescent="0.35">
      <c r="A6595">
        <v>1975</v>
      </c>
      <c r="B6595" s="1">
        <v>45799</v>
      </c>
      <c r="C6595" s="2">
        <v>0.70833333333333337</v>
      </c>
      <c r="D6595">
        <v>3</v>
      </c>
      <c r="E6595">
        <v>9.6</v>
      </c>
      <c r="F6595">
        <v>59</v>
      </c>
    </row>
    <row r="6596" spans="1:6" x14ac:dyDescent="0.35">
      <c r="A6596">
        <v>1975</v>
      </c>
      <c r="B6596" s="1">
        <v>45799</v>
      </c>
      <c r="C6596" s="2">
        <v>0.75</v>
      </c>
      <c r="D6596">
        <v>3</v>
      </c>
      <c r="E6596">
        <v>6.1</v>
      </c>
      <c r="F6596">
        <v>82</v>
      </c>
    </row>
    <row r="6597" spans="1:6" x14ac:dyDescent="0.35">
      <c r="A6597">
        <v>1975</v>
      </c>
      <c r="B6597" s="1">
        <v>45799</v>
      </c>
      <c r="C6597" s="2">
        <v>0.79166666666666663</v>
      </c>
      <c r="D6597">
        <v>3</v>
      </c>
      <c r="E6597">
        <v>7.6</v>
      </c>
      <c r="F6597">
        <v>70</v>
      </c>
    </row>
    <row r="6598" spans="1:6" x14ac:dyDescent="0.35">
      <c r="A6598">
        <v>1975</v>
      </c>
      <c r="B6598" s="1">
        <v>45799</v>
      </c>
      <c r="C6598" s="2">
        <v>0.83333333333333337</v>
      </c>
      <c r="D6598">
        <v>3</v>
      </c>
      <c r="E6598">
        <v>7.6</v>
      </c>
      <c r="F6598">
        <v>64</v>
      </c>
    </row>
    <row r="6599" spans="1:6" x14ac:dyDescent="0.35">
      <c r="A6599">
        <v>1975</v>
      </c>
      <c r="B6599" s="1">
        <v>45799</v>
      </c>
      <c r="C6599" s="2">
        <v>0.875</v>
      </c>
      <c r="D6599">
        <v>3</v>
      </c>
      <c r="E6599">
        <v>5.3</v>
      </c>
      <c r="F6599">
        <v>86</v>
      </c>
    </row>
    <row r="6600" spans="1:6" x14ac:dyDescent="0.35">
      <c r="A6600">
        <v>1975</v>
      </c>
      <c r="B6600" s="1">
        <v>45799</v>
      </c>
      <c r="C6600" s="2">
        <v>0.91666666666666663</v>
      </c>
      <c r="D6600">
        <v>3</v>
      </c>
      <c r="E6600">
        <v>5.7</v>
      </c>
      <c r="F6600">
        <v>82</v>
      </c>
    </row>
    <row r="6601" spans="1:6" x14ac:dyDescent="0.35">
      <c r="A6601">
        <v>1975</v>
      </c>
      <c r="B6601" s="1">
        <v>45799</v>
      </c>
      <c r="C6601" s="2">
        <v>0.95833333333333337</v>
      </c>
      <c r="D6601">
        <v>3</v>
      </c>
      <c r="E6601">
        <v>5.8</v>
      </c>
      <c r="F6601">
        <v>89</v>
      </c>
    </row>
    <row r="6602" spans="1:6" x14ac:dyDescent="0.35">
      <c r="A6602">
        <v>1975</v>
      </c>
      <c r="B6602" s="1">
        <v>45800</v>
      </c>
      <c r="C6602" s="2">
        <v>0</v>
      </c>
      <c r="D6602">
        <v>3</v>
      </c>
      <c r="E6602">
        <v>5.7</v>
      </c>
      <c r="F6602">
        <v>83</v>
      </c>
    </row>
    <row r="6603" spans="1:6" x14ac:dyDescent="0.35">
      <c r="A6603">
        <v>1975</v>
      </c>
      <c r="B6603" s="1">
        <v>45800</v>
      </c>
      <c r="C6603" s="2">
        <v>4.1666666666666657E-2</v>
      </c>
      <c r="D6603">
        <v>3</v>
      </c>
      <c r="E6603">
        <v>5</v>
      </c>
      <c r="F6603">
        <v>88</v>
      </c>
    </row>
    <row r="6604" spans="1:6" x14ac:dyDescent="0.35">
      <c r="A6604">
        <v>1975</v>
      </c>
      <c r="B6604" s="1">
        <v>45800</v>
      </c>
      <c r="C6604" s="2">
        <v>8.3333333333333329E-2</v>
      </c>
      <c r="D6604">
        <v>3</v>
      </c>
      <c r="E6604">
        <v>5</v>
      </c>
      <c r="F6604">
        <v>91</v>
      </c>
    </row>
    <row r="6605" spans="1:6" x14ac:dyDescent="0.35">
      <c r="A6605">
        <v>1975</v>
      </c>
      <c r="B6605" s="1">
        <v>45800</v>
      </c>
      <c r="C6605" s="2">
        <v>0.125</v>
      </c>
      <c r="D6605">
        <v>3</v>
      </c>
      <c r="E6605">
        <v>4.5</v>
      </c>
      <c r="F6605">
        <v>93</v>
      </c>
    </row>
    <row r="6606" spans="1:6" x14ac:dyDescent="0.35">
      <c r="A6606">
        <v>1975</v>
      </c>
      <c r="B6606" s="1">
        <v>45800</v>
      </c>
      <c r="C6606" s="2">
        <v>0.16666666666666671</v>
      </c>
      <c r="D6606">
        <v>3</v>
      </c>
      <c r="E6606">
        <v>4.5</v>
      </c>
      <c r="F6606">
        <v>95</v>
      </c>
    </row>
    <row r="6607" spans="1:6" x14ac:dyDescent="0.35">
      <c r="A6607">
        <v>1975</v>
      </c>
      <c r="B6607" s="1">
        <v>45800</v>
      </c>
      <c r="C6607" s="2">
        <v>0.20833333333333329</v>
      </c>
      <c r="D6607">
        <v>3</v>
      </c>
      <c r="E6607">
        <v>6.1</v>
      </c>
      <c r="F6607">
        <v>91</v>
      </c>
    </row>
    <row r="6608" spans="1:6" x14ac:dyDescent="0.35">
      <c r="A6608">
        <v>1975</v>
      </c>
      <c r="B6608" s="1">
        <v>45800</v>
      </c>
      <c r="C6608" s="2">
        <v>0.25</v>
      </c>
      <c r="D6608">
        <v>3</v>
      </c>
      <c r="E6608">
        <v>7.6</v>
      </c>
      <c r="F6608">
        <v>84</v>
      </c>
    </row>
    <row r="6609" spans="1:6" x14ac:dyDescent="0.35">
      <c r="A6609">
        <v>1975</v>
      </c>
      <c r="B6609" s="1">
        <v>45800</v>
      </c>
      <c r="C6609" s="2">
        <v>0.29166666666666669</v>
      </c>
      <c r="D6609">
        <v>3</v>
      </c>
      <c r="E6609">
        <v>8.1999999999999993</v>
      </c>
      <c r="F6609">
        <v>77</v>
      </c>
    </row>
    <row r="6610" spans="1:6" x14ac:dyDescent="0.35">
      <c r="A6610">
        <v>1975</v>
      </c>
      <c r="B6610" s="1">
        <v>45800</v>
      </c>
      <c r="C6610" s="2">
        <v>0.33333333333333331</v>
      </c>
      <c r="D6610">
        <v>3</v>
      </c>
      <c r="E6610">
        <v>9.6</v>
      </c>
      <c r="F6610">
        <v>65</v>
      </c>
    </row>
    <row r="6611" spans="1:6" x14ac:dyDescent="0.35">
      <c r="A6611">
        <v>1975</v>
      </c>
      <c r="B6611" s="1">
        <v>45800</v>
      </c>
      <c r="C6611" s="2">
        <v>0.375</v>
      </c>
      <c r="D6611">
        <v>3</v>
      </c>
      <c r="E6611">
        <v>10.7</v>
      </c>
      <c r="F6611">
        <v>62</v>
      </c>
    </row>
    <row r="6612" spans="1:6" x14ac:dyDescent="0.35">
      <c r="A6612">
        <v>1975</v>
      </c>
      <c r="B6612" s="1">
        <v>45800</v>
      </c>
      <c r="C6612" s="2">
        <v>0.41666666666666669</v>
      </c>
      <c r="D6612">
        <v>3</v>
      </c>
      <c r="E6612">
        <v>12</v>
      </c>
      <c r="F6612">
        <v>54</v>
      </c>
    </row>
    <row r="6613" spans="1:6" x14ac:dyDescent="0.35">
      <c r="A6613">
        <v>1975</v>
      </c>
      <c r="B6613" s="1">
        <v>45800</v>
      </c>
      <c r="C6613" s="2">
        <v>0.45833333333333331</v>
      </c>
      <c r="D6613">
        <v>3</v>
      </c>
      <c r="E6613">
        <v>13</v>
      </c>
      <c r="F6613">
        <v>50</v>
      </c>
    </row>
    <row r="6614" spans="1:6" x14ac:dyDescent="0.35">
      <c r="A6614">
        <v>1975</v>
      </c>
      <c r="B6614" s="1">
        <v>45800</v>
      </c>
      <c r="C6614" s="2">
        <v>0.5</v>
      </c>
      <c r="D6614">
        <v>3</v>
      </c>
      <c r="E6614">
        <v>13.8</v>
      </c>
      <c r="F6614">
        <v>48</v>
      </c>
    </row>
    <row r="6615" spans="1:6" x14ac:dyDescent="0.35">
      <c r="A6615">
        <v>1975</v>
      </c>
      <c r="B6615" s="1">
        <v>45800</v>
      </c>
      <c r="C6615" s="2">
        <v>0.54166666666666663</v>
      </c>
      <c r="D6615">
        <v>3</v>
      </c>
      <c r="E6615">
        <v>12.8</v>
      </c>
      <c r="F6615">
        <v>48</v>
      </c>
    </row>
    <row r="6616" spans="1:6" x14ac:dyDescent="0.35">
      <c r="A6616">
        <v>1975</v>
      </c>
      <c r="B6616" s="1">
        <v>45800</v>
      </c>
      <c r="C6616" s="2">
        <v>0.58333333333333337</v>
      </c>
      <c r="D6616">
        <v>3</v>
      </c>
      <c r="E6616">
        <v>13.6</v>
      </c>
      <c r="F6616">
        <v>42</v>
      </c>
    </row>
    <row r="6617" spans="1:6" x14ac:dyDescent="0.35">
      <c r="A6617">
        <v>1975</v>
      </c>
      <c r="B6617" s="1">
        <v>45800</v>
      </c>
      <c r="C6617" s="2">
        <v>0.625</v>
      </c>
      <c r="D6617">
        <v>3</v>
      </c>
      <c r="E6617">
        <v>13.5</v>
      </c>
      <c r="F6617">
        <v>41</v>
      </c>
    </row>
    <row r="6618" spans="1:6" x14ac:dyDescent="0.35">
      <c r="A6618">
        <v>1975</v>
      </c>
      <c r="B6618" s="1">
        <v>45800</v>
      </c>
      <c r="C6618" s="2">
        <v>0.66666666666666663</v>
      </c>
      <c r="D6618">
        <v>3</v>
      </c>
      <c r="E6618">
        <v>13.2</v>
      </c>
      <c r="F6618">
        <v>48</v>
      </c>
    </row>
    <row r="6619" spans="1:6" x14ac:dyDescent="0.35">
      <c r="A6619">
        <v>1975</v>
      </c>
      <c r="B6619" s="1">
        <v>45800</v>
      </c>
      <c r="C6619" s="2">
        <v>0.70833333333333337</v>
      </c>
      <c r="D6619">
        <v>3</v>
      </c>
      <c r="E6619">
        <v>12.9</v>
      </c>
      <c r="F6619">
        <v>56</v>
      </c>
    </row>
    <row r="6620" spans="1:6" x14ac:dyDescent="0.35">
      <c r="A6620">
        <v>1975</v>
      </c>
      <c r="B6620" s="1">
        <v>45800</v>
      </c>
      <c r="C6620" s="2">
        <v>0.75</v>
      </c>
      <c r="D6620">
        <v>3</v>
      </c>
      <c r="E6620">
        <v>11.4</v>
      </c>
      <c r="F6620">
        <v>62</v>
      </c>
    </row>
    <row r="6621" spans="1:6" x14ac:dyDescent="0.35">
      <c r="A6621">
        <v>1975</v>
      </c>
      <c r="B6621" s="1">
        <v>45800</v>
      </c>
      <c r="C6621" s="2">
        <v>0.79166666666666663</v>
      </c>
      <c r="D6621">
        <v>3</v>
      </c>
      <c r="E6621">
        <v>10.9</v>
      </c>
      <c r="F6621">
        <v>60</v>
      </c>
    </row>
    <row r="6622" spans="1:6" x14ac:dyDescent="0.35">
      <c r="A6622">
        <v>1975</v>
      </c>
      <c r="B6622" s="1">
        <v>45800</v>
      </c>
      <c r="C6622" s="2">
        <v>0.83333333333333337</v>
      </c>
      <c r="D6622">
        <v>3</v>
      </c>
      <c r="E6622">
        <v>10.3</v>
      </c>
      <c r="F6622">
        <v>67</v>
      </c>
    </row>
    <row r="6623" spans="1:6" x14ac:dyDescent="0.35">
      <c r="A6623">
        <v>1975</v>
      </c>
      <c r="B6623" s="1">
        <v>45800</v>
      </c>
      <c r="C6623" s="2">
        <v>0.875</v>
      </c>
      <c r="D6623">
        <v>3</v>
      </c>
      <c r="E6623">
        <v>9.8000000000000007</v>
      </c>
      <c r="F6623">
        <v>69</v>
      </c>
    </row>
    <row r="6624" spans="1:6" x14ac:dyDescent="0.35">
      <c r="A6624">
        <v>1975</v>
      </c>
      <c r="B6624" s="1">
        <v>45800</v>
      </c>
      <c r="C6624" s="2">
        <v>0.91666666666666663</v>
      </c>
      <c r="D6624">
        <v>3</v>
      </c>
      <c r="E6624">
        <v>9.1999999999999993</v>
      </c>
      <c r="F6624">
        <v>72</v>
      </c>
    </row>
    <row r="6625" spans="1:6" x14ac:dyDescent="0.35">
      <c r="A6625">
        <v>1975</v>
      </c>
      <c r="B6625" s="1">
        <v>45800</v>
      </c>
      <c r="C6625" s="2">
        <v>0.95833333333333337</v>
      </c>
      <c r="D6625">
        <v>3</v>
      </c>
      <c r="E6625">
        <v>8.5</v>
      </c>
      <c r="F6625">
        <v>77</v>
      </c>
    </row>
    <row r="6626" spans="1:6" x14ac:dyDescent="0.35">
      <c r="A6626">
        <v>1975</v>
      </c>
      <c r="B6626" s="1">
        <v>45801</v>
      </c>
      <c r="C6626" s="2">
        <v>0</v>
      </c>
      <c r="D6626">
        <v>3</v>
      </c>
      <c r="E6626">
        <v>8</v>
      </c>
      <c r="F6626">
        <v>82</v>
      </c>
    </row>
    <row r="6627" spans="1:6" x14ac:dyDescent="0.35">
      <c r="A6627">
        <v>1975</v>
      </c>
      <c r="B6627" s="1">
        <v>45801</v>
      </c>
      <c r="C6627" s="2">
        <v>4.1666666666666657E-2</v>
      </c>
      <c r="D6627">
        <v>3</v>
      </c>
      <c r="E6627">
        <v>8</v>
      </c>
      <c r="F6627">
        <v>83</v>
      </c>
    </row>
    <row r="6628" spans="1:6" x14ac:dyDescent="0.35">
      <c r="A6628">
        <v>1975</v>
      </c>
      <c r="B6628" s="1">
        <v>45801</v>
      </c>
      <c r="C6628" s="2">
        <v>8.3333333333333329E-2</v>
      </c>
      <c r="D6628">
        <v>3</v>
      </c>
      <c r="E6628">
        <v>7.5</v>
      </c>
      <c r="F6628">
        <v>84</v>
      </c>
    </row>
    <row r="6629" spans="1:6" x14ac:dyDescent="0.35">
      <c r="A6629">
        <v>1975</v>
      </c>
      <c r="B6629" s="1">
        <v>45801</v>
      </c>
      <c r="C6629" s="2">
        <v>0.125</v>
      </c>
      <c r="D6629">
        <v>3</v>
      </c>
      <c r="E6629">
        <v>7.6</v>
      </c>
      <c r="F6629">
        <v>85</v>
      </c>
    </row>
    <row r="6630" spans="1:6" x14ac:dyDescent="0.35">
      <c r="A6630">
        <v>1975</v>
      </c>
      <c r="B6630" s="1">
        <v>45801</v>
      </c>
      <c r="C6630" s="2">
        <v>0.16666666666666671</v>
      </c>
      <c r="D6630">
        <v>3</v>
      </c>
      <c r="E6630">
        <v>7.2</v>
      </c>
      <c r="F6630">
        <v>89</v>
      </c>
    </row>
    <row r="6631" spans="1:6" x14ac:dyDescent="0.35">
      <c r="A6631">
        <v>1975</v>
      </c>
      <c r="B6631" s="1">
        <v>45801</v>
      </c>
      <c r="C6631" s="2">
        <v>0.20833333333333329</v>
      </c>
      <c r="D6631">
        <v>3</v>
      </c>
      <c r="E6631">
        <v>8.1</v>
      </c>
      <c r="F6631">
        <v>84</v>
      </c>
    </row>
    <row r="6632" spans="1:6" x14ac:dyDescent="0.35">
      <c r="A6632">
        <v>1975</v>
      </c>
      <c r="B6632" s="1">
        <v>45801</v>
      </c>
      <c r="C6632" s="2">
        <v>0.25</v>
      </c>
      <c r="D6632">
        <v>3</v>
      </c>
      <c r="E6632">
        <v>9.5</v>
      </c>
      <c r="F6632">
        <v>77</v>
      </c>
    </row>
    <row r="6633" spans="1:6" x14ac:dyDescent="0.35">
      <c r="A6633">
        <v>1975</v>
      </c>
      <c r="B6633" s="1">
        <v>45801</v>
      </c>
      <c r="C6633" s="2">
        <v>0.29166666666666669</v>
      </c>
      <c r="D6633">
        <v>3</v>
      </c>
      <c r="E6633">
        <v>11.5</v>
      </c>
      <c r="F6633">
        <v>65</v>
      </c>
    </row>
    <row r="6634" spans="1:6" x14ac:dyDescent="0.35">
      <c r="A6634">
        <v>1975</v>
      </c>
      <c r="B6634" s="1">
        <v>45801</v>
      </c>
      <c r="C6634" s="2">
        <v>0.33333333333333331</v>
      </c>
      <c r="D6634">
        <v>3</v>
      </c>
      <c r="E6634">
        <v>11.5</v>
      </c>
      <c r="F6634">
        <v>57</v>
      </c>
    </row>
    <row r="6635" spans="1:6" x14ac:dyDescent="0.35">
      <c r="A6635">
        <v>1975</v>
      </c>
      <c r="B6635" s="1">
        <v>45801</v>
      </c>
      <c r="C6635" s="2">
        <v>0.375</v>
      </c>
      <c r="D6635">
        <v>3</v>
      </c>
      <c r="E6635">
        <v>12.6</v>
      </c>
      <c r="F6635">
        <v>57</v>
      </c>
    </row>
    <row r="6636" spans="1:6" x14ac:dyDescent="0.35">
      <c r="A6636">
        <v>1975</v>
      </c>
      <c r="B6636" s="1">
        <v>45801</v>
      </c>
      <c r="C6636" s="2">
        <v>0.41666666666666669</v>
      </c>
      <c r="D6636">
        <v>3</v>
      </c>
      <c r="E6636">
        <v>14.4</v>
      </c>
      <c r="F6636">
        <v>55</v>
      </c>
    </row>
    <row r="6637" spans="1:6" x14ac:dyDescent="0.35">
      <c r="A6637">
        <v>1975</v>
      </c>
      <c r="B6637" s="1">
        <v>45801</v>
      </c>
      <c r="C6637" s="2">
        <v>0.45833333333333331</v>
      </c>
      <c r="D6637">
        <v>3</v>
      </c>
      <c r="E6637">
        <v>15.8</v>
      </c>
      <c r="F6637">
        <v>51</v>
      </c>
    </row>
    <row r="6638" spans="1:6" x14ac:dyDescent="0.35">
      <c r="A6638">
        <v>1975</v>
      </c>
      <c r="B6638" s="1">
        <v>45801</v>
      </c>
      <c r="C6638" s="2">
        <v>0.5</v>
      </c>
      <c r="D6638">
        <v>3</v>
      </c>
      <c r="E6638">
        <v>18.3</v>
      </c>
      <c r="F6638">
        <v>46</v>
      </c>
    </row>
    <row r="6639" spans="1:6" x14ac:dyDescent="0.35">
      <c r="A6639">
        <v>1975</v>
      </c>
      <c r="B6639" s="1">
        <v>45801</v>
      </c>
      <c r="C6639" s="2">
        <v>0.54166666666666663</v>
      </c>
      <c r="D6639">
        <v>3</v>
      </c>
      <c r="E6639">
        <v>18.7</v>
      </c>
      <c r="F6639">
        <v>43</v>
      </c>
    </row>
    <row r="6640" spans="1:6" x14ac:dyDescent="0.35">
      <c r="A6640">
        <v>1975</v>
      </c>
      <c r="B6640" s="1">
        <v>45801</v>
      </c>
      <c r="C6640" s="2">
        <v>0.58333333333333337</v>
      </c>
      <c r="D6640">
        <v>3</v>
      </c>
      <c r="E6640">
        <v>18.399999999999999</v>
      </c>
      <c r="F6640">
        <v>44</v>
      </c>
    </row>
    <row r="6641" spans="1:6" x14ac:dyDescent="0.35">
      <c r="A6641">
        <v>1975</v>
      </c>
      <c r="B6641" s="1">
        <v>45801</v>
      </c>
      <c r="C6641" s="2">
        <v>0.625</v>
      </c>
      <c r="D6641">
        <v>3</v>
      </c>
      <c r="E6641">
        <v>18.2</v>
      </c>
      <c r="F6641">
        <v>46</v>
      </c>
    </row>
    <row r="6642" spans="1:6" x14ac:dyDescent="0.35">
      <c r="A6642">
        <v>1975</v>
      </c>
      <c r="B6642" s="1">
        <v>45801</v>
      </c>
      <c r="C6642" s="2">
        <v>0.66666666666666663</v>
      </c>
      <c r="D6642">
        <v>3</v>
      </c>
      <c r="E6642">
        <v>16.8</v>
      </c>
      <c r="F6642">
        <v>57</v>
      </c>
    </row>
    <row r="6643" spans="1:6" x14ac:dyDescent="0.35">
      <c r="A6643">
        <v>1975</v>
      </c>
      <c r="B6643" s="1">
        <v>45801</v>
      </c>
      <c r="C6643" s="2">
        <v>0.70833333333333337</v>
      </c>
      <c r="D6643">
        <v>3</v>
      </c>
      <c r="E6643">
        <v>17</v>
      </c>
      <c r="F6643">
        <v>55</v>
      </c>
    </row>
    <row r="6644" spans="1:6" x14ac:dyDescent="0.35">
      <c r="A6644">
        <v>1975</v>
      </c>
      <c r="B6644" s="1">
        <v>45801</v>
      </c>
      <c r="C6644" s="2">
        <v>0.75</v>
      </c>
      <c r="D6644">
        <v>3</v>
      </c>
      <c r="E6644">
        <v>15.7</v>
      </c>
      <c r="F6644">
        <v>59</v>
      </c>
    </row>
    <row r="6645" spans="1:6" x14ac:dyDescent="0.35">
      <c r="A6645">
        <v>1975</v>
      </c>
      <c r="B6645" s="1">
        <v>45801</v>
      </c>
      <c r="C6645" s="2">
        <v>0.79166666666666663</v>
      </c>
      <c r="D6645">
        <v>3</v>
      </c>
      <c r="E6645">
        <v>15</v>
      </c>
      <c r="F6645">
        <v>63</v>
      </c>
    </row>
    <row r="6646" spans="1:6" x14ac:dyDescent="0.35">
      <c r="A6646">
        <v>1975</v>
      </c>
      <c r="B6646" s="1">
        <v>45801</v>
      </c>
      <c r="C6646" s="2">
        <v>0.83333333333333337</v>
      </c>
      <c r="D6646">
        <v>3</v>
      </c>
      <c r="E6646">
        <v>14.5</v>
      </c>
      <c r="F6646">
        <v>63</v>
      </c>
    </row>
    <row r="6647" spans="1:6" x14ac:dyDescent="0.35">
      <c r="A6647">
        <v>1975</v>
      </c>
      <c r="B6647" s="1">
        <v>45801</v>
      </c>
      <c r="C6647" s="2">
        <v>0.875</v>
      </c>
      <c r="D6647">
        <v>3</v>
      </c>
      <c r="E6647">
        <v>12.6</v>
      </c>
      <c r="F6647">
        <v>80</v>
      </c>
    </row>
    <row r="6648" spans="1:6" x14ac:dyDescent="0.35">
      <c r="A6648">
        <v>1975</v>
      </c>
      <c r="B6648" s="1">
        <v>45801</v>
      </c>
      <c r="C6648" s="2">
        <v>0.91666666666666663</v>
      </c>
      <c r="D6648">
        <v>3</v>
      </c>
      <c r="E6648">
        <v>12.8</v>
      </c>
      <c r="F6648">
        <v>77</v>
      </c>
    </row>
    <row r="6649" spans="1:6" x14ac:dyDescent="0.35">
      <c r="A6649">
        <v>1975</v>
      </c>
      <c r="B6649" s="1">
        <v>45801</v>
      </c>
      <c r="C6649" s="2">
        <v>0.95833333333333337</v>
      </c>
      <c r="D6649">
        <v>3</v>
      </c>
      <c r="E6649">
        <v>11.5</v>
      </c>
      <c r="F6649">
        <v>91</v>
      </c>
    </row>
    <row r="6650" spans="1:6" x14ac:dyDescent="0.35">
      <c r="A6650">
        <v>1975</v>
      </c>
      <c r="B6650" s="1">
        <v>45802</v>
      </c>
      <c r="C6650" s="2">
        <v>0</v>
      </c>
      <c r="D6650">
        <v>3</v>
      </c>
      <c r="E6650">
        <v>11.4</v>
      </c>
      <c r="F6650">
        <v>92</v>
      </c>
    </row>
    <row r="6651" spans="1:6" x14ac:dyDescent="0.35">
      <c r="A6651">
        <v>1975</v>
      </c>
      <c r="B6651" s="1">
        <v>45802</v>
      </c>
      <c r="C6651" s="2">
        <v>4.1666666666666657E-2</v>
      </c>
      <c r="D6651">
        <v>3</v>
      </c>
      <c r="E6651">
        <v>11.2</v>
      </c>
      <c r="F6651">
        <v>94</v>
      </c>
    </row>
    <row r="6652" spans="1:6" x14ac:dyDescent="0.35">
      <c r="A6652">
        <v>1975</v>
      </c>
      <c r="B6652" s="1">
        <v>45802</v>
      </c>
      <c r="C6652" s="2">
        <v>8.3333333333333329E-2</v>
      </c>
      <c r="D6652">
        <v>3</v>
      </c>
      <c r="E6652">
        <v>11.4</v>
      </c>
      <c r="F6652">
        <v>96</v>
      </c>
    </row>
    <row r="6653" spans="1:6" x14ac:dyDescent="0.35">
      <c r="A6653">
        <v>1975</v>
      </c>
      <c r="B6653" s="1">
        <v>45802</v>
      </c>
      <c r="C6653" s="2">
        <v>0.125</v>
      </c>
      <c r="D6653">
        <v>3</v>
      </c>
      <c r="E6653">
        <v>11.5</v>
      </c>
      <c r="F6653">
        <v>97</v>
      </c>
    </row>
    <row r="6654" spans="1:6" x14ac:dyDescent="0.35">
      <c r="A6654">
        <v>1975</v>
      </c>
      <c r="B6654" s="1">
        <v>45802</v>
      </c>
      <c r="C6654" s="2">
        <v>0.16666666666666671</v>
      </c>
      <c r="D6654">
        <v>3</v>
      </c>
      <c r="E6654">
        <v>12</v>
      </c>
      <c r="F6654">
        <v>97</v>
      </c>
    </row>
    <row r="6655" spans="1:6" x14ac:dyDescent="0.35">
      <c r="A6655">
        <v>1975</v>
      </c>
      <c r="B6655" s="1">
        <v>45802</v>
      </c>
      <c r="C6655" s="2">
        <v>0.20833333333333329</v>
      </c>
      <c r="D6655">
        <v>3</v>
      </c>
      <c r="E6655">
        <v>12.6</v>
      </c>
      <c r="F6655">
        <v>94</v>
      </c>
    </row>
    <row r="6656" spans="1:6" x14ac:dyDescent="0.35">
      <c r="A6656">
        <v>1975</v>
      </c>
      <c r="B6656" s="1">
        <v>45802</v>
      </c>
      <c r="C6656" s="2">
        <v>0.25</v>
      </c>
      <c r="D6656">
        <v>3</v>
      </c>
      <c r="E6656">
        <v>12.9</v>
      </c>
      <c r="F6656">
        <v>96</v>
      </c>
    </row>
    <row r="6657" spans="1:6" x14ac:dyDescent="0.35">
      <c r="A6657">
        <v>1975</v>
      </c>
      <c r="B6657" s="1">
        <v>45802</v>
      </c>
      <c r="C6657" s="2">
        <v>0.29166666666666669</v>
      </c>
      <c r="D6657">
        <v>3</v>
      </c>
      <c r="E6657">
        <v>13.5</v>
      </c>
      <c r="F6657">
        <v>96</v>
      </c>
    </row>
    <row r="6658" spans="1:6" x14ac:dyDescent="0.35">
      <c r="A6658">
        <v>1975</v>
      </c>
      <c r="B6658" s="1">
        <v>45802</v>
      </c>
      <c r="C6658" s="2">
        <v>0.33333333333333331</v>
      </c>
      <c r="D6658">
        <v>3</v>
      </c>
      <c r="E6658">
        <v>14</v>
      </c>
      <c r="F6658">
        <v>96</v>
      </c>
    </row>
    <row r="6659" spans="1:6" x14ac:dyDescent="0.35">
      <c r="A6659">
        <v>1975</v>
      </c>
      <c r="B6659" s="1">
        <v>45802</v>
      </c>
      <c r="C6659" s="2">
        <v>0.375</v>
      </c>
      <c r="D6659">
        <v>3</v>
      </c>
      <c r="E6659">
        <v>14.8</v>
      </c>
      <c r="F6659">
        <v>96</v>
      </c>
    </row>
    <row r="6660" spans="1:6" x14ac:dyDescent="0.35">
      <c r="A6660">
        <v>1975</v>
      </c>
      <c r="B6660" s="1">
        <v>45802</v>
      </c>
      <c r="C6660" s="2">
        <v>0.41666666666666669</v>
      </c>
      <c r="D6660">
        <v>3</v>
      </c>
      <c r="E6660">
        <v>15.7</v>
      </c>
      <c r="F6660">
        <v>92</v>
      </c>
    </row>
    <row r="6661" spans="1:6" x14ac:dyDescent="0.35">
      <c r="A6661">
        <v>1975</v>
      </c>
      <c r="B6661" s="1">
        <v>45802</v>
      </c>
      <c r="C6661" s="2">
        <v>0.45833333333333331</v>
      </c>
      <c r="D6661">
        <v>3</v>
      </c>
      <c r="E6661">
        <v>15.4</v>
      </c>
      <c r="F6661">
        <v>96</v>
      </c>
    </row>
    <row r="6662" spans="1:6" x14ac:dyDescent="0.35">
      <c r="A6662">
        <v>1975</v>
      </c>
      <c r="B6662" s="1">
        <v>45802</v>
      </c>
      <c r="C6662" s="2">
        <v>0.5</v>
      </c>
      <c r="D6662">
        <v>3</v>
      </c>
      <c r="E6662">
        <v>16</v>
      </c>
      <c r="F6662">
        <v>93</v>
      </c>
    </row>
    <row r="6663" spans="1:6" x14ac:dyDescent="0.35">
      <c r="A6663">
        <v>1975</v>
      </c>
      <c r="B6663" s="1">
        <v>45802</v>
      </c>
      <c r="C6663" s="2">
        <v>0.54166666666666663</v>
      </c>
      <c r="D6663">
        <v>3</v>
      </c>
      <c r="E6663">
        <v>17.7</v>
      </c>
      <c r="F6663">
        <v>80</v>
      </c>
    </row>
    <row r="6664" spans="1:6" x14ac:dyDescent="0.35">
      <c r="A6664">
        <v>1975</v>
      </c>
      <c r="B6664" s="1">
        <v>45802</v>
      </c>
      <c r="C6664" s="2">
        <v>0.58333333333333337</v>
      </c>
      <c r="D6664">
        <v>3</v>
      </c>
      <c r="E6664">
        <v>18</v>
      </c>
      <c r="F6664">
        <v>74</v>
      </c>
    </row>
    <row r="6665" spans="1:6" x14ac:dyDescent="0.35">
      <c r="A6665">
        <v>1975</v>
      </c>
      <c r="B6665" s="1">
        <v>45802</v>
      </c>
      <c r="C6665" s="2">
        <v>0.625</v>
      </c>
      <c r="D6665">
        <v>3</v>
      </c>
      <c r="E6665">
        <v>14.4</v>
      </c>
      <c r="F6665">
        <v>93</v>
      </c>
    </row>
    <row r="6666" spans="1:6" x14ac:dyDescent="0.35">
      <c r="A6666">
        <v>1975</v>
      </c>
      <c r="B6666" s="1">
        <v>45802</v>
      </c>
      <c r="C6666" s="2">
        <v>0.66666666666666663</v>
      </c>
      <c r="D6666">
        <v>3</v>
      </c>
      <c r="E6666">
        <v>15.4</v>
      </c>
      <c r="F6666">
        <v>88</v>
      </c>
    </row>
    <row r="6667" spans="1:6" x14ac:dyDescent="0.35">
      <c r="A6667">
        <v>1975</v>
      </c>
      <c r="B6667" s="1">
        <v>45802</v>
      </c>
      <c r="C6667" s="2">
        <v>0.70833333333333337</v>
      </c>
      <c r="D6667">
        <v>3</v>
      </c>
      <c r="E6667">
        <v>16</v>
      </c>
      <c r="F6667">
        <v>83</v>
      </c>
    </row>
    <row r="6668" spans="1:6" x14ac:dyDescent="0.35">
      <c r="A6668">
        <v>1975</v>
      </c>
      <c r="B6668" s="1">
        <v>45802</v>
      </c>
      <c r="C6668" s="2">
        <v>0.75</v>
      </c>
      <c r="D6668">
        <v>3</v>
      </c>
      <c r="E6668">
        <v>15.8</v>
      </c>
      <c r="F6668">
        <v>78</v>
      </c>
    </row>
    <row r="6669" spans="1:6" x14ac:dyDescent="0.35">
      <c r="A6669">
        <v>1975</v>
      </c>
      <c r="B6669" s="1">
        <v>45802</v>
      </c>
      <c r="C6669" s="2">
        <v>0.79166666666666663</v>
      </c>
      <c r="D6669">
        <v>3</v>
      </c>
      <c r="E6669">
        <v>15.3</v>
      </c>
      <c r="F6669">
        <v>78</v>
      </c>
    </row>
    <row r="6670" spans="1:6" x14ac:dyDescent="0.35">
      <c r="A6670">
        <v>1975</v>
      </c>
      <c r="B6670" s="1">
        <v>45802</v>
      </c>
      <c r="C6670" s="2">
        <v>0.83333333333333337</v>
      </c>
      <c r="D6670">
        <v>3</v>
      </c>
      <c r="E6670">
        <v>14.5</v>
      </c>
      <c r="F6670">
        <v>84</v>
      </c>
    </row>
    <row r="6671" spans="1:6" x14ac:dyDescent="0.35">
      <c r="A6671">
        <v>1975</v>
      </c>
      <c r="B6671" s="1">
        <v>45802</v>
      </c>
      <c r="C6671" s="2">
        <v>0.875</v>
      </c>
      <c r="D6671">
        <v>3</v>
      </c>
      <c r="E6671">
        <v>14</v>
      </c>
      <c r="F6671">
        <v>84</v>
      </c>
    </row>
    <row r="6672" spans="1:6" x14ac:dyDescent="0.35">
      <c r="A6672">
        <v>1975</v>
      </c>
      <c r="B6672" s="1">
        <v>45802</v>
      </c>
      <c r="C6672" s="2">
        <v>0.91666666666666663</v>
      </c>
      <c r="D6672">
        <v>3</v>
      </c>
      <c r="E6672">
        <v>13.2</v>
      </c>
      <c r="F6672">
        <v>83</v>
      </c>
    </row>
    <row r="6673" spans="1:6" x14ac:dyDescent="0.35">
      <c r="A6673">
        <v>1975</v>
      </c>
      <c r="B6673" s="1">
        <v>45802</v>
      </c>
      <c r="C6673" s="2">
        <v>0.95833333333333337</v>
      </c>
      <c r="D6673">
        <v>3</v>
      </c>
      <c r="E6673">
        <v>11.9</v>
      </c>
      <c r="F6673">
        <v>87</v>
      </c>
    </row>
    <row r="6674" spans="1:6" x14ac:dyDescent="0.35">
      <c r="A6674">
        <v>1975</v>
      </c>
      <c r="B6674" s="1">
        <v>45803</v>
      </c>
      <c r="C6674" s="2">
        <v>0</v>
      </c>
      <c r="D6674">
        <v>3</v>
      </c>
      <c r="E6674">
        <v>10.199999999999999</v>
      </c>
      <c r="F6674">
        <v>97</v>
      </c>
    </row>
    <row r="6675" spans="1:6" x14ac:dyDescent="0.35">
      <c r="A6675">
        <v>1975</v>
      </c>
      <c r="B6675" s="1">
        <v>45803</v>
      </c>
      <c r="C6675" s="2">
        <v>4.1666666666666657E-2</v>
      </c>
      <c r="D6675">
        <v>3</v>
      </c>
      <c r="E6675">
        <v>9.4</v>
      </c>
      <c r="F6675">
        <v>99</v>
      </c>
    </row>
    <row r="6676" spans="1:6" x14ac:dyDescent="0.35">
      <c r="A6676">
        <v>1975</v>
      </c>
      <c r="B6676" s="1">
        <v>45803</v>
      </c>
      <c r="C6676" s="2">
        <v>8.3333333333333329E-2</v>
      </c>
      <c r="D6676">
        <v>3</v>
      </c>
      <c r="E6676">
        <v>9.6999999999999993</v>
      </c>
      <c r="F6676">
        <v>98</v>
      </c>
    </row>
    <row r="6677" spans="1:6" x14ac:dyDescent="0.35">
      <c r="A6677">
        <v>1975</v>
      </c>
      <c r="B6677" s="1">
        <v>45803</v>
      </c>
      <c r="C6677" s="2">
        <v>0.125</v>
      </c>
      <c r="D6677">
        <v>3</v>
      </c>
      <c r="E6677">
        <v>9.6</v>
      </c>
      <c r="F6677">
        <v>96</v>
      </c>
    </row>
    <row r="6678" spans="1:6" x14ac:dyDescent="0.35">
      <c r="A6678">
        <v>1975</v>
      </c>
      <c r="B6678" s="1">
        <v>45803</v>
      </c>
      <c r="C6678" s="2">
        <v>0.16666666666666671</v>
      </c>
      <c r="D6678">
        <v>3</v>
      </c>
      <c r="E6678">
        <v>9.6999999999999993</v>
      </c>
      <c r="F6678">
        <v>94</v>
      </c>
    </row>
    <row r="6679" spans="1:6" x14ac:dyDescent="0.35">
      <c r="A6679">
        <v>1975</v>
      </c>
      <c r="B6679" s="1">
        <v>45803</v>
      </c>
      <c r="C6679" s="2">
        <v>0.20833333333333329</v>
      </c>
      <c r="D6679">
        <v>3</v>
      </c>
      <c r="E6679">
        <v>10.9</v>
      </c>
      <c r="F6679">
        <v>91</v>
      </c>
    </row>
    <row r="6680" spans="1:6" x14ac:dyDescent="0.35">
      <c r="A6680">
        <v>1975</v>
      </c>
      <c r="B6680" s="1">
        <v>45803</v>
      </c>
      <c r="C6680" s="2">
        <v>0.25</v>
      </c>
      <c r="D6680">
        <v>3</v>
      </c>
      <c r="E6680">
        <v>12.7</v>
      </c>
      <c r="F6680">
        <v>80</v>
      </c>
    </row>
    <row r="6681" spans="1:6" x14ac:dyDescent="0.35">
      <c r="A6681">
        <v>1975</v>
      </c>
      <c r="B6681" s="1">
        <v>45803</v>
      </c>
      <c r="C6681" s="2">
        <v>0.29166666666666669</v>
      </c>
      <c r="D6681">
        <v>3</v>
      </c>
      <c r="E6681">
        <v>14.4</v>
      </c>
      <c r="F6681">
        <v>72</v>
      </c>
    </row>
    <row r="6682" spans="1:6" x14ac:dyDescent="0.35">
      <c r="A6682">
        <v>1975</v>
      </c>
      <c r="B6682" s="1">
        <v>45803</v>
      </c>
      <c r="C6682" s="2">
        <v>0.33333333333333331</v>
      </c>
      <c r="D6682">
        <v>3</v>
      </c>
      <c r="E6682">
        <v>16</v>
      </c>
      <c r="F6682">
        <v>63</v>
      </c>
    </row>
    <row r="6683" spans="1:6" x14ac:dyDescent="0.35">
      <c r="A6683">
        <v>1975</v>
      </c>
      <c r="B6683" s="1">
        <v>45803</v>
      </c>
      <c r="C6683" s="2">
        <v>0.375</v>
      </c>
      <c r="D6683">
        <v>3</v>
      </c>
      <c r="E6683">
        <v>17.899999999999999</v>
      </c>
      <c r="F6683">
        <v>60</v>
      </c>
    </row>
    <row r="6684" spans="1:6" x14ac:dyDescent="0.35">
      <c r="A6684">
        <v>1975</v>
      </c>
      <c r="B6684" s="1">
        <v>45803</v>
      </c>
      <c r="C6684" s="2">
        <v>0.41666666666666669</v>
      </c>
      <c r="D6684">
        <v>3</v>
      </c>
      <c r="E6684">
        <v>17.5</v>
      </c>
      <c r="F6684">
        <v>59</v>
      </c>
    </row>
    <row r="6685" spans="1:6" x14ac:dyDescent="0.35">
      <c r="A6685">
        <v>1975</v>
      </c>
      <c r="B6685" s="1">
        <v>45803</v>
      </c>
      <c r="C6685" s="2">
        <v>0.45833333333333331</v>
      </c>
      <c r="D6685">
        <v>3</v>
      </c>
      <c r="E6685">
        <v>17.7</v>
      </c>
      <c r="F6685">
        <v>61</v>
      </c>
    </row>
    <row r="6686" spans="1:6" x14ac:dyDescent="0.35">
      <c r="A6686">
        <v>1975</v>
      </c>
      <c r="B6686" s="1">
        <v>45803</v>
      </c>
      <c r="C6686" s="2">
        <v>0.5</v>
      </c>
      <c r="D6686">
        <v>3</v>
      </c>
      <c r="E6686">
        <v>15.9</v>
      </c>
      <c r="F6686">
        <v>70</v>
      </c>
    </row>
    <row r="6687" spans="1:6" x14ac:dyDescent="0.35">
      <c r="A6687">
        <v>1975</v>
      </c>
      <c r="B6687" s="1">
        <v>45803</v>
      </c>
      <c r="C6687" s="2">
        <v>0.54166666666666663</v>
      </c>
      <c r="D6687">
        <v>3</v>
      </c>
      <c r="E6687">
        <v>13</v>
      </c>
      <c r="F6687">
        <v>83</v>
      </c>
    </row>
    <row r="6688" spans="1:6" x14ac:dyDescent="0.35">
      <c r="A6688">
        <v>1975</v>
      </c>
      <c r="B6688" s="1">
        <v>45803</v>
      </c>
      <c r="C6688" s="2">
        <v>0.58333333333333337</v>
      </c>
      <c r="D6688">
        <v>3</v>
      </c>
      <c r="E6688">
        <v>14.1</v>
      </c>
      <c r="F6688">
        <v>81</v>
      </c>
    </row>
    <row r="6689" spans="1:6" x14ac:dyDescent="0.35">
      <c r="A6689">
        <v>1975</v>
      </c>
      <c r="B6689" s="1">
        <v>45803</v>
      </c>
      <c r="C6689" s="2">
        <v>0.625</v>
      </c>
      <c r="D6689">
        <v>3</v>
      </c>
      <c r="E6689">
        <v>12.5</v>
      </c>
      <c r="F6689">
        <v>92</v>
      </c>
    </row>
    <row r="6690" spans="1:6" x14ac:dyDescent="0.35">
      <c r="A6690">
        <v>1975</v>
      </c>
      <c r="B6690" s="1">
        <v>45803</v>
      </c>
      <c r="C6690" s="2">
        <v>0.66666666666666663</v>
      </c>
      <c r="D6690">
        <v>3</v>
      </c>
      <c r="E6690">
        <v>15.3</v>
      </c>
      <c r="F6690">
        <v>73</v>
      </c>
    </row>
    <row r="6691" spans="1:6" x14ac:dyDescent="0.35">
      <c r="A6691">
        <v>1975</v>
      </c>
      <c r="B6691" s="1">
        <v>45803</v>
      </c>
      <c r="C6691" s="2">
        <v>0.70833333333333337</v>
      </c>
      <c r="D6691">
        <v>3</v>
      </c>
      <c r="E6691">
        <v>14</v>
      </c>
      <c r="F6691">
        <v>78</v>
      </c>
    </row>
    <row r="6692" spans="1:6" x14ac:dyDescent="0.35">
      <c r="A6692">
        <v>1975</v>
      </c>
      <c r="B6692" s="1">
        <v>45803</v>
      </c>
      <c r="C6692" s="2">
        <v>0.75</v>
      </c>
      <c r="D6692">
        <v>3</v>
      </c>
      <c r="E6692">
        <v>14.7</v>
      </c>
      <c r="F6692">
        <v>70</v>
      </c>
    </row>
    <row r="6693" spans="1:6" x14ac:dyDescent="0.35">
      <c r="A6693">
        <v>1975</v>
      </c>
      <c r="B6693" s="1">
        <v>45803</v>
      </c>
      <c r="C6693" s="2">
        <v>0.79166666666666663</v>
      </c>
      <c r="D6693">
        <v>3</v>
      </c>
      <c r="E6693">
        <v>13.2</v>
      </c>
      <c r="F6693">
        <v>77</v>
      </c>
    </row>
    <row r="6694" spans="1:6" x14ac:dyDescent="0.35">
      <c r="A6694">
        <v>1975</v>
      </c>
      <c r="B6694" s="1">
        <v>45803</v>
      </c>
      <c r="C6694" s="2">
        <v>0.83333333333333337</v>
      </c>
      <c r="D6694">
        <v>3</v>
      </c>
      <c r="E6694">
        <v>10.7</v>
      </c>
      <c r="F6694">
        <v>95</v>
      </c>
    </row>
    <row r="6695" spans="1:6" x14ac:dyDescent="0.35">
      <c r="A6695">
        <v>1975</v>
      </c>
      <c r="B6695" s="1">
        <v>45803</v>
      </c>
      <c r="C6695" s="2">
        <v>0.875</v>
      </c>
      <c r="D6695">
        <v>3</v>
      </c>
      <c r="E6695">
        <v>10.7</v>
      </c>
      <c r="F6695">
        <v>93</v>
      </c>
    </row>
    <row r="6696" spans="1:6" x14ac:dyDescent="0.35">
      <c r="A6696">
        <v>1975</v>
      </c>
      <c r="B6696" s="1">
        <v>45803</v>
      </c>
      <c r="C6696" s="2">
        <v>0.91666666666666663</v>
      </c>
      <c r="D6696">
        <v>3</v>
      </c>
      <c r="E6696">
        <v>12.1</v>
      </c>
      <c r="F6696">
        <v>87</v>
      </c>
    </row>
    <row r="6697" spans="1:6" x14ac:dyDescent="0.35">
      <c r="A6697">
        <v>1975</v>
      </c>
      <c r="B6697" s="1">
        <v>45803</v>
      </c>
      <c r="C6697" s="2">
        <v>0.95833333333333337</v>
      </c>
      <c r="D6697">
        <v>3</v>
      </c>
      <c r="E6697">
        <v>12.1</v>
      </c>
      <c r="F6697">
        <v>91</v>
      </c>
    </row>
    <row r="6698" spans="1:6" x14ac:dyDescent="0.35">
      <c r="A6698">
        <v>1975</v>
      </c>
      <c r="B6698" s="1">
        <v>45804</v>
      </c>
      <c r="C6698" s="2">
        <v>0</v>
      </c>
      <c r="D6698">
        <v>3</v>
      </c>
      <c r="E6698">
        <v>11.4</v>
      </c>
      <c r="F6698">
        <v>94</v>
      </c>
    </row>
    <row r="6699" spans="1:6" x14ac:dyDescent="0.35">
      <c r="A6699">
        <v>1975</v>
      </c>
      <c r="B6699" s="1">
        <v>45804</v>
      </c>
      <c r="C6699" s="2">
        <v>4.1666666666666657E-2</v>
      </c>
      <c r="D6699">
        <v>3</v>
      </c>
      <c r="E6699">
        <v>11.7</v>
      </c>
      <c r="F6699">
        <v>93</v>
      </c>
    </row>
    <row r="6700" spans="1:6" x14ac:dyDescent="0.35">
      <c r="A6700">
        <v>1975</v>
      </c>
      <c r="B6700" s="1">
        <v>45804</v>
      </c>
      <c r="C6700" s="2">
        <v>8.3333333333333329E-2</v>
      </c>
      <c r="D6700">
        <v>3</v>
      </c>
      <c r="E6700">
        <v>11.7</v>
      </c>
      <c r="F6700">
        <v>90</v>
      </c>
    </row>
    <row r="6701" spans="1:6" x14ac:dyDescent="0.35">
      <c r="A6701">
        <v>1975</v>
      </c>
      <c r="B6701" s="1">
        <v>45804</v>
      </c>
      <c r="C6701" s="2">
        <v>0.125</v>
      </c>
      <c r="D6701">
        <v>3</v>
      </c>
      <c r="E6701">
        <v>11.4</v>
      </c>
      <c r="F6701">
        <v>89</v>
      </c>
    </row>
    <row r="6702" spans="1:6" x14ac:dyDescent="0.35">
      <c r="A6702">
        <v>1975</v>
      </c>
      <c r="B6702" s="1">
        <v>45804</v>
      </c>
      <c r="C6702" s="2">
        <v>0.16666666666666671</v>
      </c>
      <c r="D6702">
        <v>3</v>
      </c>
      <c r="E6702">
        <v>12.6</v>
      </c>
      <c r="F6702">
        <v>79</v>
      </c>
    </row>
    <row r="6703" spans="1:6" x14ac:dyDescent="0.35">
      <c r="A6703">
        <v>1975</v>
      </c>
      <c r="B6703" s="1">
        <v>45804</v>
      </c>
      <c r="C6703" s="2">
        <v>0.20833333333333329</v>
      </c>
      <c r="D6703">
        <v>3</v>
      </c>
      <c r="E6703">
        <v>13.4</v>
      </c>
      <c r="F6703">
        <v>73</v>
      </c>
    </row>
    <row r="6704" spans="1:6" x14ac:dyDescent="0.35">
      <c r="A6704">
        <v>1975</v>
      </c>
      <c r="B6704" s="1">
        <v>45804</v>
      </c>
      <c r="C6704" s="2">
        <v>0.25</v>
      </c>
      <c r="D6704">
        <v>3</v>
      </c>
      <c r="E6704">
        <v>13.7</v>
      </c>
      <c r="F6704">
        <v>72</v>
      </c>
    </row>
    <row r="6705" spans="1:6" x14ac:dyDescent="0.35">
      <c r="A6705">
        <v>1975</v>
      </c>
      <c r="B6705" s="1">
        <v>45804</v>
      </c>
      <c r="C6705" s="2">
        <v>0.29166666666666669</v>
      </c>
      <c r="D6705">
        <v>3</v>
      </c>
      <c r="E6705">
        <v>14.5</v>
      </c>
      <c r="F6705">
        <v>72</v>
      </c>
    </row>
    <row r="6706" spans="1:6" x14ac:dyDescent="0.35">
      <c r="A6706">
        <v>1975</v>
      </c>
      <c r="B6706" s="1">
        <v>45804</v>
      </c>
      <c r="C6706" s="2">
        <v>0.33333333333333331</v>
      </c>
      <c r="D6706">
        <v>3</v>
      </c>
      <c r="E6706">
        <v>15.1</v>
      </c>
      <c r="F6706">
        <v>67</v>
      </c>
    </row>
    <row r="6707" spans="1:6" x14ac:dyDescent="0.35">
      <c r="A6707">
        <v>1975</v>
      </c>
      <c r="B6707" s="1">
        <v>45804</v>
      </c>
      <c r="C6707" s="2">
        <v>0.375</v>
      </c>
      <c r="D6707">
        <v>3</v>
      </c>
      <c r="E6707">
        <v>15.3</v>
      </c>
      <c r="F6707">
        <v>67</v>
      </c>
    </row>
    <row r="6708" spans="1:6" x14ac:dyDescent="0.35">
      <c r="A6708">
        <v>1975</v>
      </c>
      <c r="B6708" s="1">
        <v>45804</v>
      </c>
      <c r="C6708" s="2">
        <v>0.41666666666666669</v>
      </c>
      <c r="D6708">
        <v>3</v>
      </c>
      <c r="E6708">
        <v>16.3</v>
      </c>
      <c r="F6708">
        <v>65</v>
      </c>
    </row>
    <row r="6709" spans="1:6" x14ac:dyDescent="0.35">
      <c r="A6709">
        <v>1975</v>
      </c>
      <c r="B6709" s="1">
        <v>45804</v>
      </c>
      <c r="C6709" s="2">
        <v>0.45833333333333331</v>
      </c>
      <c r="D6709">
        <v>3</v>
      </c>
      <c r="E6709">
        <v>13.9</v>
      </c>
      <c r="F6709">
        <v>89</v>
      </c>
    </row>
    <row r="6710" spans="1:6" x14ac:dyDescent="0.35">
      <c r="A6710">
        <v>1975</v>
      </c>
      <c r="B6710" s="1">
        <v>45804</v>
      </c>
      <c r="C6710" s="2">
        <v>0.5</v>
      </c>
      <c r="D6710">
        <v>3</v>
      </c>
      <c r="E6710">
        <v>14.5</v>
      </c>
      <c r="F6710">
        <v>83</v>
      </c>
    </row>
    <row r="6711" spans="1:6" x14ac:dyDescent="0.35">
      <c r="A6711">
        <v>1975</v>
      </c>
      <c r="B6711" s="1">
        <v>45804</v>
      </c>
      <c r="C6711" s="2">
        <v>0.54166666666666663</v>
      </c>
      <c r="D6711">
        <v>3</v>
      </c>
      <c r="E6711">
        <v>15.8</v>
      </c>
      <c r="F6711">
        <v>75</v>
      </c>
    </row>
    <row r="6712" spans="1:6" x14ac:dyDescent="0.35">
      <c r="A6712">
        <v>1975</v>
      </c>
      <c r="B6712" s="1">
        <v>45804</v>
      </c>
      <c r="C6712" s="2">
        <v>0.58333333333333337</v>
      </c>
      <c r="D6712">
        <v>3</v>
      </c>
      <c r="E6712">
        <v>15.4</v>
      </c>
      <c r="F6712">
        <v>77</v>
      </c>
    </row>
    <row r="6713" spans="1:6" x14ac:dyDescent="0.35">
      <c r="A6713">
        <v>1975</v>
      </c>
      <c r="B6713" s="1">
        <v>45804</v>
      </c>
      <c r="C6713" s="2">
        <v>0.625</v>
      </c>
      <c r="D6713">
        <v>3</v>
      </c>
      <c r="E6713">
        <v>14.9</v>
      </c>
      <c r="F6713">
        <v>85</v>
      </c>
    </row>
    <row r="6714" spans="1:6" x14ac:dyDescent="0.35">
      <c r="A6714">
        <v>1975</v>
      </c>
      <c r="B6714" s="1">
        <v>45804</v>
      </c>
      <c r="C6714" s="2">
        <v>0.66666666666666663</v>
      </c>
      <c r="D6714">
        <v>3</v>
      </c>
      <c r="E6714">
        <v>16.100000000000001</v>
      </c>
      <c r="F6714">
        <v>75</v>
      </c>
    </row>
    <row r="6715" spans="1:6" x14ac:dyDescent="0.35">
      <c r="A6715">
        <v>1975</v>
      </c>
      <c r="B6715" s="1">
        <v>45804</v>
      </c>
      <c r="C6715" s="2">
        <v>0.70833333333333337</v>
      </c>
      <c r="D6715">
        <v>3</v>
      </c>
      <c r="E6715">
        <v>16.7</v>
      </c>
      <c r="F6715">
        <v>73</v>
      </c>
    </row>
    <row r="6716" spans="1:6" x14ac:dyDescent="0.35">
      <c r="A6716">
        <v>1975</v>
      </c>
      <c r="B6716" s="1">
        <v>45804</v>
      </c>
      <c r="C6716" s="2">
        <v>0.75</v>
      </c>
      <c r="D6716">
        <v>3</v>
      </c>
      <c r="E6716">
        <v>14</v>
      </c>
      <c r="F6716">
        <v>94</v>
      </c>
    </row>
    <row r="6717" spans="1:6" x14ac:dyDescent="0.35">
      <c r="A6717">
        <v>1975</v>
      </c>
      <c r="B6717" s="1">
        <v>45804</v>
      </c>
      <c r="C6717" s="2">
        <v>0.79166666666666663</v>
      </c>
      <c r="D6717">
        <v>3</v>
      </c>
      <c r="E6717">
        <v>14.4</v>
      </c>
      <c r="F6717">
        <v>90</v>
      </c>
    </row>
    <row r="6718" spans="1:6" x14ac:dyDescent="0.35">
      <c r="A6718">
        <v>1975</v>
      </c>
      <c r="B6718" s="1">
        <v>45804</v>
      </c>
      <c r="C6718" s="2">
        <v>0.83333333333333337</v>
      </c>
      <c r="D6718">
        <v>3</v>
      </c>
      <c r="E6718">
        <v>14</v>
      </c>
      <c r="F6718">
        <v>92</v>
      </c>
    </row>
    <row r="6719" spans="1:6" x14ac:dyDescent="0.35">
      <c r="A6719">
        <v>1975</v>
      </c>
      <c r="B6719" s="1">
        <v>45804</v>
      </c>
      <c r="C6719" s="2">
        <v>0.875</v>
      </c>
      <c r="D6719">
        <v>3</v>
      </c>
      <c r="E6719">
        <v>13.3</v>
      </c>
      <c r="F6719">
        <v>92</v>
      </c>
    </row>
    <row r="6720" spans="1:6" x14ac:dyDescent="0.35">
      <c r="A6720">
        <v>1975</v>
      </c>
      <c r="B6720" s="1">
        <v>45804</v>
      </c>
      <c r="C6720" s="2">
        <v>0.91666666666666663</v>
      </c>
      <c r="D6720">
        <v>3</v>
      </c>
      <c r="E6720">
        <v>13</v>
      </c>
      <c r="F6720">
        <v>98</v>
      </c>
    </row>
    <row r="6721" spans="1:6" x14ac:dyDescent="0.35">
      <c r="A6721">
        <v>1975</v>
      </c>
      <c r="B6721" s="1">
        <v>45804</v>
      </c>
      <c r="C6721" s="2">
        <v>0.95833333333333337</v>
      </c>
      <c r="D6721">
        <v>3</v>
      </c>
      <c r="E6721">
        <v>14.2</v>
      </c>
      <c r="F6721">
        <v>95</v>
      </c>
    </row>
    <row r="6722" spans="1:6" x14ac:dyDescent="0.35">
      <c r="A6722">
        <v>1975</v>
      </c>
      <c r="B6722" s="1">
        <v>45805</v>
      </c>
      <c r="C6722" s="2">
        <v>0</v>
      </c>
      <c r="D6722">
        <v>3</v>
      </c>
      <c r="E6722">
        <v>14.3</v>
      </c>
      <c r="F6722">
        <v>98</v>
      </c>
    </row>
    <row r="6723" spans="1:6" x14ac:dyDescent="0.35">
      <c r="A6723">
        <v>1975</v>
      </c>
      <c r="B6723" s="1">
        <v>45805</v>
      </c>
      <c r="C6723" s="2">
        <v>4.1666666666666657E-2</v>
      </c>
      <c r="D6723">
        <v>3</v>
      </c>
      <c r="E6723">
        <v>14.2</v>
      </c>
      <c r="F6723">
        <v>99</v>
      </c>
    </row>
    <row r="6724" spans="1:6" x14ac:dyDescent="0.35">
      <c r="A6724">
        <v>1975</v>
      </c>
      <c r="B6724" s="1">
        <v>45805</v>
      </c>
      <c r="C6724" s="2">
        <v>8.3333333333333329E-2</v>
      </c>
      <c r="D6724">
        <v>3</v>
      </c>
      <c r="E6724">
        <v>14.3</v>
      </c>
      <c r="F6724">
        <v>99</v>
      </c>
    </row>
    <row r="6725" spans="1:6" x14ac:dyDescent="0.35">
      <c r="A6725">
        <v>1975</v>
      </c>
      <c r="B6725" s="1">
        <v>45805</v>
      </c>
      <c r="C6725" s="2">
        <v>0.125</v>
      </c>
      <c r="D6725">
        <v>3</v>
      </c>
      <c r="E6725">
        <v>14.3</v>
      </c>
      <c r="F6725">
        <v>99</v>
      </c>
    </row>
    <row r="6726" spans="1:6" x14ac:dyDescent="0.35">
      <c r="A6726">
        <v>1975</v>
      </c>
      <c r="B6726" s="1">
        <v>45805</v>
      </c>
      <c r="C6726" s="2">
        <v>0.16666666666666671</v>
      </c>
      <c r="D6726">
        <v>3</v>
      </c>
      <c r="E6726">
        <v>14.3</v>
      </c>
      <c r="F6726">
        <v>98</v>
      </c>
    </row>
    <row r="6727" spans="1:6" x14ac:dyDescent="0.35">
      <c r="A6727">
        <v>1975</v>
      </c>
      <c r="B6727" s="1">
        <v>45805</v>
      </c>
      <c r="C6727" s="2">
        <v>0.20833333333333329</v>
      </c>
      <c r="D6727">
        <v>3</v>
      </c>
      <c r="E6727">
        <v>14.5</v>
      </c>
      <c r="F6727">
        <v>97</v>
      </c>
    </row>
    <row r="6728" spans="1:6" x14ac:dyDescent="0.35">
      <c r="A6728">
        <v>1975</v>
      </c>
      <c r="B6728" s="1">
        <v>45805</v>
      </c>
      <c r="C6728" s="2">
        <v>0.25</v>
      </c>
      <c r="D6728">
        <v>3</v>
      </c>
      <c r="E6728">
        <v>14.5</v>
      </c>
      <c r="F6728">
        <v>96</v>
      </c>
    </row>
    <row r="6729" spans="1:6" x14ac:dyDescent="0.35">
      <c r="A6729">
        <v>1975</v>
      </c>
      <c r="B6729" s="1">
        <v>45805</v>
      </c>
      <c r="C6729" s="2">
        <v>0.29166666666666669</v>
      </c>
      <c r="D6729">
        <v>3</v>
      </c>
      <c r="E6729">
        <v>15</v>
      </c>
      <c r="F6729">
        <v>96</v>
      </c>
    </row>
    <row r="6730" spans="1:6" x14ac:dyDescent="0.35">
      <c r="A6730">
        <v>1975</v>
      </c>
      <c r="B6730" s="1">
        <v>45805</v>
      </c>
      <c r="C6730" s="2">
        <v>0.33333333333333331</v>
      </c>
      <c r="D6730">
        <v>3</v>
      </c>
      <c r="E6730">
        <v>15.7</v>
      </c>
      <c r="F6730">
        <v>90</v>
      </c>
    </row>
    <row r="6731" spans="1:6" x14ac:dyDescent="0.35">
      <c r="A6731">
        <v>1975</v>
      </c>
      <c r="B6731" s="1">
        <v>45805</v>
      </c>
      <c r="C6731" s="2">
        <v>0.375</v>
      </c>
      <c r="D6731">
        <v>3</v>
      </c>
      <c r="E6731">
        <v>15.4</v>
      </c>
      <c r="F6731">
        <v>92</v>
      </c>
    </row>
    <row r="6732" spans="1:6" x14ac:dyDescent="0.35">
      <c r="A6732">
        <v>1975</v>
      </c>
      <c r="B6732" s="1">
        <v>45805</v>
      </c>
      <c r="C6732" s="2">
        <v>0.41666666666666669</v>
      </c>
      <c r="D6732">
        <v>3</v>
      </c>
      <c r="E6732">
        <v>15.7</v>
      </c>
      <c r="F6732">
        <v>80</v>
      </c>
    </row>
    <row r="6733" spans="1:6" x14ac:dyDescent="0.35">
      <c r="A6733">
        <v>1975</v>
      </c>
      <c r="B6733" s="1">
        <v>45805</v>
      </c>
      <c r="C6733" s="2">
        <v>0.45833333333333331</v>
      </c>
      <c r="D6733">
        <v>3</v>
      </c>
      <c r="E6733">
        <v>15.8</v>
      </c>
      <c r="F6733">
        <v>77</v>
      </c>
    </row>
    <row r="6734" spans="1:6" x14ac:dyDescent="0.35">
      <c r="A6734">
        <v>1975</v>
      </c>
      <c r="B6734" s="1">
        <v>45805</v>
      </c>
      <c r="C6734" s="2">
        <v>0.5</v>
      </c>
      <c r="D6734">
        <v>3</v>
      </c>
      <c r="E6734">
        <v>16.7</v>
      </c>
      <c r="F6734">
        <v>69</v>
      </c>
    </row>
    <row r="6735" spans="1:6" x14ac:dyDescent="0.35">
      <c r="A6735">
        <v>1975</v>
      </c>
      <c r="B6735" s="1">
        <v>45805</v>
      </c>
      <c r="C6735" s="2">
        <v>0.54166666666666663</v>
      </c>
      <c r="D6735">
        <v>3</v>
      </c>
      <c r="E6735">
        <v>16.2</v>
      </c>
      <c r="F6735">
        <v>69</v>
      </c>
    </row>
    <row r="6736" spans="1:6" x14ac:dyDescent="0.35">
      <c r="A6736">
        <v>1975</v>
      </c>
      <c r="B6736" s="1">
        <v>45805</v>
      </c>
      <c r="C6736" s="2">
        <v>0.58333333333333337</v>
      </c>
      <c r="D6736">
        <v>3</v>
      </c>
      <c r="E6736">
        <v>17.399999999999999</v>
      </c>
      <c r="F6736">
        <v>60</v>
      </c>
    </row>
    <row r="6737" spans="1:6" x14ac:dyDescent="0.35">
      <c r="A6737">
        <v>1975</v>
      </c>
      <c r="B6737" s="1">
        <v>45805</v>
      </c>
      <c r="C6737" s="2">
        <v>0.625</v>
      </c>
      <c r="D6737">
        <v>3</v>
      </c>
      <c r="E6737">
        <v>16.899999999999999</v>
      </c>
      <c r="F6737">
        <v>66</v>
      </c>
    </row>
    <row r="6738" spans="1:6" x14ac:dyDescent="0.35">
      <c r="A6738">
        <v>1975</v>
      </c>
      <c r="B6738" s="1">
        <v>45805</v>
      </c>
      <c r="C6738" s="2">
        <v>0.66666666666666663</v>
      </c>
      <c r="D6738">
        <v>3</v>
      </c>
      <c r="E6738">
        <v>15.4</v>
      </c>
      <c r="F6738">
        <v>75</v>
      </c>
    </row>
    <row r="6739" spans="1:6" x14ac:dyDescent="0.35">
      <c r="A6739">
        <v>1975</v>
      </c>
      <c r="B6739" s="1">
        <v>45805</v>
      </c>
      <c r="C6739" s="2">
        <v>0.70833333333333337</v>
      </c>
      <c r="D6739">
        <v>3</v>
      </c>
      <c r="E6739">
        <v>14.2</v>
      </c>
      <c r="F6739">
        <v>77</v>
      </c>
    </row>
    <row r="6740" spans="1:6" x14ac:dyDescent="0.35">
      <c r="A6740">
        <v>1975</v>
      </c>
      <c r="B6740" s="1">
        <v>45805</v>
      </c>
      <c r="C6740" s="2">
        <v>0.75</v>
      </c>
      <c r="D6740">
        <v>3</v>
      </c>
      <c r="E6740">
        <v>13.9</v>
      </c>
      <c r="F6740">
        <v>75</v>
      </c>
    </row>
    <row r="6741" spans="1:6" x14ac:dyDescent="0.35">
      <c r="A6741">
        <v>1975</v>
      </c>
      <c r="B6741" s="1">
        <v>45805</v>
      </c>
      <c r="C6741" s="2">
        <v>0.79166666666666663</v>
      </c>
      <c r="D6741">
        <v>3</v>
      </c>
      <c r="E6741">
        <v>13.7</v>
      </c>
      <c r="F6741">
        <v>78</v>
      </c>
    </row>
    <row r="6742" spans="1:6" x14ac:dyDescent="0.35">
      <c r="A6742">
        <v>1975</v>
      </c>
      <c r="B6742" s="1">
        <v>45805</v>
      </c>
      <c r="C6742" s="2">
        <v>0.83333333333333337</v>
      </c>
      <c r="D6742">
        <v>3</v>
      </c>
      <c r="E6742">
        <v>13.1</v>
      </c>
      <c r="F6742">
        <v>77</v>
      </c>
    </row>
    <row r="6743" spans="1:6" x14ac:dyDescent="0.35">
      <c r="A6743">
        <v>1975</v>
      </c>
      <c r="B6743" s="1">
        <v>45805</v>
      </c>
      <c r="C6743" s="2">
        <v>0.875</v>
      </c>
      <c r="D6743">
        <v>3</v>
      </c>
      <c r="E6743">
        <v>11.8</v>
      </c>
      <c r="F6743">
        <v>80</v>
      </c>
    </row>
    <row r="6744" spans="1:6" x14ac:dyDescent="0.35">
      <c r="A6744">
        <v>1975</v>
      </c>
      <c r="B6744" s="1">
        <v>45805</v>
      </c>
      <c r="C6744" s="2">
        <v>0.91666666666666663</v>
      </c>
      <c r="D6744">
        <v>3</v>
      </c>
      <c r="E6744">
        <v>10.8</v>
      </c>
      <c r="F6744">
        <v>87</v>
      </c>
    </row>
    <row r="6745" spans="1:6" x14ac:dyDescent="0.35">
      <c r="A6745">
        <v>1975</v>
      </c>
      <c r="B6745" s="1">
        <v>45805</v>
      </c>
      <c r="C6745" s="2">
        <v>0.95833333333333337</v>
      </c>
      <c r="D6745">
        <v>3</v>
      </c>
      <c r="E6745">
        <v>10</v>
      </c>
      <c r="F6745">
        <v>92</v>
      </c>
    </row>
    <row r="6746" spans="1:6" x14ac:dyDescent="0.35">
      <c r="A6746">
        <v>1975</v>
      </c>
      <c r="B6746" s="1">
        <v>45806</v>
      </c>
      <c r="C6746" s="2">
        <v>0</v>
      </c>
      <c r="D6746">
        <v>3</v>
      </c>
      <c r="E6746">
        <v>9.6</v>
      </c>
      <c r="F6746">
        <v>96</v>
      </c>
    </row>
    <row r="6747" spans="1:6" x14ac:dyDescent="0.35">
      <c r="A6747">
        <v>1975</v>
      </c>
      <c r="B6747" s="1">
        <v>45806</v>
      </c>
      <c r="C6747" s="2">
        <v>4.1666666666666657E-2</v>
      </c>
      <c r="D6747">
        <v>3</v>
      </c>
      <c r="E6747">
        <v>9.5</v>
      </c>
      <c r="F6747">
        <v>97</v>
      </c>
    </row>
    <row r="6748" spans="1:6" x14ac:dyDescent="0.35">
      <c r="A6748">
        <v>1975</v>
      </c>
      <c r="B6748" s="1">
        <v>45806</v>
      </c>
      <c r="C6748" s="2">
        <v>8.3333333333333329E-2</v>
      </c>
      <c r="D6748">
        <v>3</v>
      </c>
      <c r="E6748">
        <v>8.8000000000000007</v>
      </c>
      <c r="F6748">
        <v>98</v>
      </c>
    </row>
    <row r="6749" spans="1:6" x14ac:dyDescent="0.35">
      <c r="A6749">
        <v>1975</v>
      </c>
      <c r="B6749" s="1">
        <v>45806</v>
      </c>
      <c r="C6749" s="2">
        <v>0.125</v>
      </c>
      <c r="D6749">
        <v>3</v>
      </c>
      <c r="E6749">
        <v>8.5</v>
      </c>
      <c r="F6749">
        <v>99</v>
      </c>
    </row>
    <row r="6750" spans="1:6" x14ac:dyDescent="0.35">
      <c r="A6750">
        <v>1975</v>
      </c>
      <c r="B6750" s="1">
        <v>45806</v>
      </c>
      <c r="C6750" s="2">
        <v>0.16666666666666671</v>
      </c>
      <c r="D6750">
        <v>3</v>
      </c>
      <c r="E6750">
        <v>9.1999999999999993</v>
      </c>
      <c r="F6750">
        <v>98</v>
      </c>
    </row>
    <row r="6751" spans="1:6" x14ac:dyDescent="0.35">
      <c r="A6751">
        <v>1975</v>
      </c>
      <c r="B6751" s="1">
        <v>45806</v>
      </c>
      <c r="C6751" s="2">
        <v>0.20833333333333329</v>
      </c>
      <c r="D6751">
        <v>3</v>
      </c>
      <c r="E6751">
        <v>10.6</v>
      </c>
      <c r="F6751">
        <v>90</v>
      </c>
    </row>
    <row r="6752" spans="1:6" x14ac:dyDescent="0.35">
      <c r="A6752">
        <v>1975</v>
      </c>
      <c r="B6752" s="1">
        <v>45806</v>
      </c>
      <c r="C6752" s="2">
        <v>0.25</v>
      </c>
      <c r="D6752">
        <v>3</v>
      </c>
      <c r="E6752">
        <v>12.3</v>
      </c>
      <c r="F6752">
        <v>83</v>
      </c>
    </row>
    <row r="6753" spans="1:6" x14ac:dyDescent="0.35">
      <c r="A6753">
        <v>1975</v>
      </c>
      <c r="B6753" s="1">
        <v>45806</v>
      </c>
      <c r="C6753" s="2">
        <v>0.29166666666666669</v>
      </c>
      <c r="D6753">
        <v>3</v>
      </c>
      <c r="E6753">
        <v>12.4</v>
      </c>
      <c r="F6753">
        <v>81</v>
      </c>
    </row>
    <row r="6754" spans="1:6" x14ac:dyDescent="0.35">
      <c r="A6754">
        <v>1975</v>
      </c>
      <c r="B6754" s="1">
        <v>45806</v>
      </c>
      <c r="C6754" s="2">
        <v>0.33333333333333331</v>
      </c>
      <c r="D6754">
        <v>3</v>
      </c>
      <c r="E6754">
        <v>13.6</v>
      </c>
      <c r="F6754">
        <v>69</v>
      </c>
    </row>
    <row r="6755" spans="1:6" x14ac:dyDescent="0.35">
      <c r="A6755">
        <v>1975</v>
      </c>
      <c r="B6755" s="1">
        <v>45806</v>
      </c>
      <c r="C6755" s="2">
        <v>0.375</v>
      </c>
      <c r="D6755">
        <v>3</v>
      </c>
      <c r="E6755">
        <v>15.1</v>
      </c>
      <c r="F6755">
        <v>57</v>
      </c>
    </row>
    <row r="6756" spans="1:6" x14ac:dyDescent="0.35">
      <c r="A6756">
        <v>1975</v>
      </c>
      <c r="B6756" s="1">
        <v>45806</v>
      </c>
      <c r="C6756" s="2">
        <v>0.41666666666666669</v>
      </c>
      <c r="D6756">
        <v>3</v>
      </c>
      <c r="E6756">
        <v>16.399999999999999</v>
      </c>
      <c r="F6756">
        <v>50</v>
      </c>
    </row>
    <row r="6757" spans="1:6" x14ac:dyDescent="0.35">
      <c r="A6757">
        <v>1975</v>
      </c>
      <c r="B6757" s="1">
        <v>45806</v>
      </c>
      <c r="C6757" s="2">
        <v>0.45833333333333331</v>
      </c>
      <c r="D6757">
        <v>3</v>
      </c>
      <c r="E6757">
        <v>16.899999999999999</v>
      </c>
      <c r="F6757">
        <v>54</v>
      </c>
    </row>
    <row r="6758" spans="1:6" x14ac:dyDescent="0.35">
      <c r="A6758">
        <v>1975</v>
      </c>
      <c r="B6758" s="1">
        <v>45806</v>
      </c>
      <c r="C6758" s="2">
        <v>0.5</v>
      </c>
      <c r="D6758">
        <v>3</v>
      </c>
      <c r="E6758">
        <v>17.2</v>
      </c>
      <c r="F6758">
        <v>52</v>
      </c>
    </row>
    <row r="6759" spans="1:6" x14ac:dyDescent="0.35">
      <c r="A6759">
        <v>1975</v>
      </c>
      <c r="B6759" s="1">
        <v>45806</v>
      </c>
      <c r="C6759" s="2">
        <v>0.54166666666666663</v>
      </c>
      <c r="D6759">
        <v>3</v>
      </c>
      <c r="E6759">
        <v>17.3</v>
      </c>
      <c r="F6759">
        <v>51</v>
      </c>
    </row>
    <row r="6760" spans="1:6" x14ac:dyDescent="0.35">
      <c r="A6760">
        <v>1975</v>
      </c>
      <c r="B6760" s="1">
        <v>45806</v>
      </c>
      <c r="C6760" s="2">
        <v>0.58333333333333337</v>
      </c>
      <c r="D6760">
        <v>3</v>
      </c>
      <c r="E6760">
        <v>17.600000000000001</v>
      </c>
      <c r="F6760">
        <v>52</v>
      </c>
    </row>
    <row r="6761" spans="1:6" x14ac:dyDescent="0.35">
      <c r="A6761">
        <v>1975</v>
      </c>
      <c r="B6761" s="1">
        <v>45806</v>
      </c>
      <c r="C6761" s="2">
        <v>0.625</v>
      </c>
      <c r="D6761">
        <v>3</v>
      </c>
      <c r="E6761">
        <v>16.2</v>
      </c>
      <c r="F6761">
        <v>62</v>
      </c>
    </row>
    <row r="6762" spans="1:6" x14ac:dyDescent="0.35">
      <c r="A6762">
        <v>1975</v>
      </c>
      <c r="B6762" s="1">
        <v>45806</v>
      </c>
      <c r="C6762" s="2">
        <v>0.66666666666666663</v>
      </c>
      <c r="D6762">
        <v>3</v>
      </c>
      <c r="E6762">
        <v>15.2</v>
      </c>
      <c r="F6762">
        <v>76</v>
      </c>
    </row>
    <row r="6763" spans="1:6" x14ac:dyDescent="0.35">
      <c r="A6763">
        <v>1975</v>
      </c>
      <c r="B6763" s="1">
        <v>45806</v>
      </c>
      <c r="C6763" s="2">
        <v>0.70833333333333337</v>
      </c>
      <c r="D6763">
        <v>3</v>
      </c>
      <c r="E6763">
        <v>14.4</v>
      </c>
      <c r="F6763">
        <v>86</v>
      </c>
    </row>
    <row r="6764" spans="1:6" x14ac:dyDescent="0.35">
      <c r="A6764">
        <v>1975</v>
      </c>
      <c r="B6764" s="1">
        <v>45806</v>
      </c>
      <c r="C6764" s="2">
        <v>0.75</v>
      </c>
      <c r="D6764">
        <v>3</v>
      </c>
      <c r="E6764">
        <v>13.6</v>
      </c>
      <c r="F6764">
        <v>95</v>
      </c>
    </row>
    <row r="6765" spans="1:6" x14ac:dyDescent="0.35">
      <c r="A6765">
        <v>1975</v>
      </c>
      <c r="B6765" s="1">
        <v>45806</v>
      </c>
      <c r="C6765" s="2">
        <v>0.79166666666666663</v>
      </c>
      <c r="D6765">
        <v>3</v>
      </c>
      <c r="E6765">
        <v>13.2</v>
      </c>
      <c r="F6765">
        <v>97</v>
      </c>
    </row>
    <row r="6766" spans="1:6" x14ac:dyDescent="0.35">
      <c r="A6766">
        <v>1975</v>
      </c>
      <c r="B6766" s="1">
        <v>45806</v>
      </c>
      <c r="C6766" s="2">
        <v>0.83333333333333337</v>
      </c>
      <c r="D6766">
        <v>3</v>
      </c>
      <c r="E6766">
        <v>13.3</v>
      </c>
      <c r="F6766">
        <v>98</v>
      </c>
    </row>
    <row r="6767" spans="1:6" x14ac:dyDescent="0.35">
      <c r="A6767">
        <v>1975</v>
      </c>
      <c r="B6767" s="1">
        <v>45806</v>
      </c>
      <c r="C6767" s="2">
        <v>0.875</v>
      </c>
      <c r="D6767">
        <v>3</v>
      </c>
      <c r="E6767">
        <v>13.5</v>
      </c>
      <c r="F6767">
        <v>99</v>
      </c>
    </row>
    <row r="6768" spans="1:6" x14ac:dyDescent="0.35">
      <c r="A6768">
        <v>1975</v>
      </c>
      <c r="B6768" s="1">
        <v>45806</v>
      </c>
      <c r="C6768" s="2">
        <v>0.91666666666666663</v>
      </c>
      <c r="D6768">
        <v>3</v>
      </c>
      <c r="E6768">
        <v>14.2</v>
      </c>
      <c r="F6768">
        <v>99</v>
      </c>
    </row>
    <row r="6769" spans="1:6" x14ac:dyDescent="0.35">
      <c r="A6769">
        <v>1975</v>
      </c>
      <c r="B6769" s="1">
        <v>45806</v>
      </c>
      <c r="C6769" s="2">
        <v>0.95833333333333337</v>
      </c>
      <c r="D6769">
        <v>3</v>
      </c>
      <c r="E6769">
        <v>14.8</v>
      </c>
      <c r="F6769">
        <v>99</v>
      </c>
    </row>
    <row r="6770" spans="1:6" x14ac:dyDescent="0.35">
      <c r="A6770">
        <v>1975</v>
      </c>
      <c r="B6770" s="1">
        <v>45807</v>
      </c>
      <c r="C6770" s="2">
        <v>0</v>
      </c>
      <c r="D6770">
        <v>3</v>
      </c>
      <c r="E6770">
        <v>15.2</v>
      </c>
      <c r="F6770">
        <v>98</v>
      </c>
    </row>
    <row r="6771" spans="1:6" x14ac:dyDescent="0.35">
      <c r="A6771">
        <v>1975</v>
      </c>
      <c r="B6771" s="1">
        <v>45807</v>
      </c>
      <c r="C6771" s="2">
        <v>4.1666666666666657E-2</v>
      </c>
      <c r="D6771">
        <v>3</v>
      </c>
      <c r="E6771">
        <v>15.5</v>
      </c>
      <c r="F6771">
        <v>97</v>
      </c>
    </row>
    <row r="6772" spans="1:6" x14ac:dyDescent="0.35">
      <c r="A6772">
        <v>1975</v>
      </c>
      <c r="B6772" s="1">
        <v>45807</v>
      </c>
      <c r="C6772" s="2">
        <v>8.3333333333333329E-2</v>
      </c>
      <c r="D6772">
        <v>3</v>
      </c>
      <c r="E6772">
        <v>15.6</v>
      </c>
      <c r="F6772">
        <v>97</v>
      </c>
    </row>
    <row r="6773" spans="1:6" x14ac:dyDescent="0.35">
      <c r="A6773">
        <v>1975</v>
      </c>
      <c r="B6773" s="1">
        <v>45807</v>
      </c>
      <c r="C6773" s="2">
        <v>0.125</v>
      </c>
      <c r="D6773">
        <v>3</v>
      </c>
      <c r="E6773">
        <v>15.7</v>
      </c>
      <c r="F6773">
        <v>96</v>
      </c>
    </row>
    <row r="6774" spans="1:6" x14ac:dyDescent="0.35">
      <c r="A6774">
        <v>1975</v>
      </c>
      <c r="B6774" s="1">
        <v>45807</v>
      </c>
      <c r="C6774" s="2">
        <v>0.16666666666666671</v>
      </c>
      <c r="D6774">
        <v>3</v>
      </c>
      <c r="E6774">
        <v>15.7</v>
      </c>
      <c r="F6774">
        <v>96</v>
      </c>
    </row>
    <row r="6775" spans="1:6" x14ac:dyDescent="0.35">
      <c r="A6775">
        <v>1975</v>
      </c>
      <c r="B6775" s="1">
        <v>45807</v>
      </c>
      <c r="C6775" s="2">
        <v>0.20833333333333329</v>
      </c>
      <c r="D6775">
        <v>3</v>
      </c>
      <c r="E6775">
        <v>15.9</v>
      </c>
      <c r="F6775">
        <v>95</v>
      </c>
    </row>
    <row r="6776" spans="1:6" x14ac:dyDescent="0.35">
      <c r="A6776">
        <v>1975</v>
      </c>
      <c r="B6776" s="1">
        <v>45807</v>
      </c>
      <c r="C6776" s="2">
        <v>0.25</v>
      </c>
      <c r="D6776">
        <v>3</v>
      </c>
      <c r="E6776">
        <v>16.399999999999999</v>
      </c>
      <c r="F6776">
        <v>91</v>
      </c>
    </row>
    <row r="6777" spans="1:6" x14ac:dyDescent="0.35">
      <c r="A6777">
        <v>1975</v>
      </c>
      <c r="B6777" s="1">
        <v>45807</v>
      </c>
      <c r="C6777" s="2">
        <v>0.29166666666666669</v>
      </c>
      <c r="D6777">
        <v>3</v>
      </c>
      <c r="E6777">
        <v>16.899999999999999</v>
      </c>
      <c r="F6777">
        <v>88</v>
      </c>
    </row>
    <row r="6778" spans="1:6" x14ac:dyDescent="0.35">
      <c r="A6778">
        <v>1975</v>
      </c>
      <c r="B6778" s="1">
        <v>45807</v>
      </c>
      <c r="C6778" s="2">
        <v>0.33333333333333331</v>
      </c>
      <c r="D6778">
        <v>3</v>
      </c>
      <c r="E6778">
        <v>17.5</v>
      </c>
      <c r="F6778">
        <v>86</v>
      </c>
    </row>
    <row r="6779" spans="1:6" x14ac:dyDescent="0.35">
      <c r="A6779">
        <v>1975</v>
      </c>
      <c r="B6779" s="1">
        <v>45807</v>
      </c>
      <c r="C6779" s="2">
        <v>0.375</v>
      </c>
      <c r="D6779">
        <v>3</v>
      </c>
      <c r="E6779">
        <v>18.7</v>
      </c>
      <c r="F6779">
        <v>79</v>
      </c>
    </row>
    <row r="6780" spans="1:6" x14ac:dyDescent="0.35">
      <c r="A6780">
        <v>1975</v>
      </c>
      <c r="B6780" s="1">
        <v>45807</v>
      </c>
      <c r="C6780" s="2">
        <v>0.41666666666666669</v>
      </c>
      <c r="D6780">
        <v>3</v>
      </c>
      <c r="E6780">
        <v>19.399999999999999</v>
      </c>
      <c r="F6780">
        <v>76</v>
      </c>
    </row>
    <row r="6781" spans="1:6" x14ac:dyDescent="0.35">
      <c r="A6781">
        <v>1975</v>
      </c>
      <c r="B6781" s="1">
        <v>45807</v>
      </c>
      <c r="C6781" s="2">
        <v>0.45833333333333331</v>
      </c>
      <c r="D6781">
        <v>3</v>
      </c>
      <c r="E6781">
        <v>20.6</v>
      </c>
      <c r="F6781">
        <v>71</v>
      </c>
    </row>
    <row r="6782" spans="1:6" x14ac:dyDescent="0.35">
      <c r="A6782">
        <v>1975</v>
      </c>
      <c r="B6782" s="1">
        <v>45807</v>
      </c>
      <c r="C6782" s="2">
        <v>0.5</v>
      </c>
      <c r="D6782">
        <v>3</v>
      </c>
      <c r="E6782">
        <v>20.399999999999999</v>
      </c>
      <c r="F6782">
        <v>70</v>
      </c>
    </row>
    <row r="6783" spans="1:6" x14ac:dyDescent="0.35">
      <c r="A6783">
        <v>1975</v>
      </c>
      <c r="B6783" s="1">
        <v>45807</v>
      </c>
      <c r="C6783" s="2">
        <v>0.54166666666666663</v>
      </c>
      <c r="D6783">
        <v>3</v>
      </c>
      <c r="E6783">
        <v>20.7</v>
      </c>
      <c r="F6783">
        <v>67</v>
      </c>
    </row>
    <row r="6784" spans="1:6" x14ac:dyDescent="0.35">
      <c r="A6784">
        <v>1975</v>
      </c>
      <c r="B6784" s="1">
        <v>45807</v>
      </c>
      <c r="C6784" s="2">
        <v>0.58333333333333337</v>
      </c>
      <c r="D6784">
        <v>3</v>
      </c>
      <c r="E6784">
        <v>21.4</v>
      </c>
      <c r="F6784">
        <v>62</v>
      </c>
    </row>
    <row r="6785" spans="1:6" x14ac:dyDescent="0.35">
      <c r="A6785">
        <v>1975</v>
      </c>
      <c r="B6785" s="1">
        <v>45807</v>
      </c>
      <c r="C6785" s="2">
        <v>0.625</v>
      </c>
      <c r="D6785">
        <v>3</v>
      </c>
      <c r="E6785">
        <v>21.4</v>
      </c>
      <c r="F6785">
        <v>62</v>
      </c>
    </row>
    <row r="6786" spans="1:6" x14ac:dyDescent="0.35">
      <c r="A6786">
        <v>1975</v>
      </c>
      <c r="B6786" s="1">
        <v>45807</v>
      </c>
      <c r="C6786" s="2">
        <v>0.66666666666666663</v>
      </c>
      <c r="D6786">
        <v>3</v>
      </c>
      <c r="E6786">
        <v>20.5</v>
      </c>
      <c r="F6786">
        <v>66</v>
      </c>
    </row>
    <row r="6787" spans="1:6" x14ac:dyDescent="0.35">
      <c r="A6787">
        <v>1975</v>
      </c>
      <c r="B6787" s="1">
        <v>45807</v>
      </c>
      <c r="C6787" s="2">
        <v>0.70833333333333337</v>
      </c>
      <c r="D6787">
        <v>3</v>
      </c>
      <c r="E6787">
        <v>18.5</v>
      </c>
      <c r="F6787">
        <v>75</v>
      </c>
    </row>
    <row r="6788" spans="1:6" x14ac:dyDescent="0.35">
      <c r="A6788">
        <v>1975</v>
      </c>
      <c r="B6788" s="1">
        <v>45807</v>
      </c>
      <c r="C6788" s="2">
        <v>0.75</v>
      </c>
      <c r="D6788">
        <v>3</v>
      </c>
      <c r="E6788">
        <v>17.399999999999999</v>
      </c>
      <c r="F6788">
        <v>79</v>
      </c>
    </row>
    <row r="6789" spans="1:6" x14ac:dyDescent="0.35">
      <c r="A6789">
        <v>1975</v>
      </c>
      <c r="B6789" s="1">
        <v>45807</v>
      </c>
      <c r="C6789" s="2">
        <v>0.79166666666666663</v>
      </c>
      <c r="D6789">
        <v>3</v>
      </c>
      <c r="E6789">
        <v>17.100000000000001</v>
      </c>
      <c r="F6789">
        <v>80</v>
      </c>
    </row>
    <row r="6790" spans="1:6" x14ac:dyDescent="0.35">
      <c r="A6790">
        <v>1975</v>
      </c>
      <c r="B6790" s="1">
        <v>45807</v>
      </c>
      <c r="C6790" s="2">
        <v>0.83333333333333337</v>
      </c>
      <c r="D6790">
        <v>3</v>
      </c>
      <c r="E6790">
        <v>15.1</v>
      </c>
      <c r="F6790">
        <v>90</v>
      </c>
    </row>
    <row r="6791" spans="1:6" x14ac:dyDescent="0.35">
      <c r="A6791">
        <v>1975</v>
      </c>
      <c r="B6791" s="1">
        <v>45807</v>
      </c>
      <c r="C6791" s="2">
        <v>0.875</v>
      </c>
      <c r="D6791">
        <v>3</v>
      </c>
      <c r="E6791">
        <v>13.9</v>
      </c>
      <c r="F6791">
        <v>95</v>
      </c>
    </row>
    <row r="6792" spans="1:6" x14ac:dyDescent="0.35">
      <c r="A6792">
        <v>1975</v>
      </c>
      <c r="B6792" s="1">
        <v>45807</v>
      </c>
      <c r="C6792" s="2">
        <v>0.91666666666666663</v>
      </c>
      <c r="D6792">
        <v>3</v>
      </c>
      <c r="E6792">
        <v>14</v>
      </c>
      <c r="F6792">
        <v>94</v>
      </c>
    </row>
    <row r="6793" spans="1:6" x14ac:dyDescent="0.35">
      <c r="A6793">
        <v>1975</v>
      </c>
      <c r="B6793" s="1">
        <v>45807</v>
      </c>
      <c r="C6793" s="2">
        <v>0.95833333333333337</v>
      </c>
      <c r="D6793">
        <v>3</v>
      </c>
      <c r="E6793">
        <v>13.1</v>
      </c>
      <c r="F6793">
        <v>98</v>
      </c>
    </row>
    <row r="6794" spans="1:6" x14ac:dyDescent="0.35">
      <c r="A6794">
        <v>1975</v>
      </c>
      <c r="B6794" s="1">
        <v>45808</v>
      </c>
      <c r="C6794" s="2">
        <v>0</v>
      </c>
      <c r="D6794">
        <v>3</v>
      </c>
      <c r="E6794">
        <v>12.3</v>
      </c>
      <c r="F6794">
        <v>100</v>
      </c>
    </row>
    <row r="6795" spans="1:6" x14ac:dyDescent="0.35">
      <c r="A6795">
        <v>1975</v>
      </c>
      <c r="B6795" s="1">
        <v>45808</v>
      </c>
      <c r="C6795" s="2">
        <v>4.1666666666666657E-2</v>
      </c>
      <c r="D6795">
        <v>3</v>
      </c>
      <c r="E6795">
        <v>12.1</v>
      </c>
      <c r="F6795">
        <v>100</v>
      </c>
    </row>
    <row r="6796" spans="1:6" x14ac:dyDescent="0.35">
      <c r="A6796">
        <v>1975</v>
      </c>
      <c r="B6796" s="1">
        <v>45808</v>
      </c>
      <c r="C6796" s="2">
        <v>8.3333333333333329E-2</v>
      </c>
      <c r="D6796">
        <v>3</v>
      </c>
      <c r="E6796">
        <v>11.4</v>
      </c>
      <c r="F6796">
        <v>100</v>
      </c>
    </row>
    <row r="6797" spans="1:6" x14ac:dyDescent="0.35">
      <c r="A6797">
        <v>1975</v>
      </c>
      <c r="B6797" s="1">
        <v>45808</v>
      </c>
      <c r="C6797" s="2">
        <v>0.125</v>
      </c>
      <c r="D6797">
        <v>3</v>
      </c>
      <c r="E6797">
        <v>12.4</v>
      </c>
      <c r="F6797">
        <v>100</v>
      </c>
    </row>
    <row r="6798" spans="1:6" x14ac:dyDescent="0.35">
      <c r="A6798">
        <v>1975</v>
      </c>
      <c r="B6798" s="1">
        <v>45808</v>
      </c>
      <c r="C6798" s="2">
        <v>0.16666666666666671</v>
      </c>
      <c r="D6798">
        <v>3</v>
      </c>
      <c r="E6798">
        <v>13.6</v>
      </c>
      <c r="F6798">
        <v>99</v>
      </c>
    </row>
    <row r="6799" spans="1:6" x14ac:dyDescent="0.35">
      <c r="A6799">
        <v>1975</v>
      </c>
      <c r="B6799" s="1">
        <v>45808</v>
      </c>
      <c r="C6799" s="2">
        <v>0.20833333333333329</v>
      </c>
      <c r="D6799">
        <v>3</v>
      </c>
      <c r="E6799">
        <v>14.1</v>
      </c>
      <c r="F6799">
        <v>99</v>
      </c>
    </row>
    <row r="6800" spans="1:6" x14ac:dyDescent="0.35">
      <c r="A6800">
        <v>1975</v>
      </c>
      <c r="B6800" s="1">
        <v>45808</v>
      </c>
      <c r="C6800" s="2">
        <v>0.25</v>
      </c>
      <c r="D6800">
        <v>3</v>
      </c>
      <c r="E6800">
        <v>15</v>
      </c>
      <c r="F6800">
        <v>94</v>
      </c>
    </row>
    <row r="6801" spans="1:6" x14ac:dyDescent="0.35">
      <c r="A6801">
        <v>1975</v>
      </c>
      <c r="B6801" s="1">
        <v>45808</v>
      </c>
      <c r="C6801" s="2">
        <v>0.29166666666666669</v>
      </c>
      <c r="D6801">
        <v>3</v>
      </c>
      <c r="E6801">
        <v>16.7</v>
      </c>
      <c r="F6801">
        <v>82</v>
      </c>
    </row>
    <row r="6802" spans="1:6" x14ac:dyDescent="0.35">
      <c r="A6802">
        <v>1975</v>
      </c>
      <c r="B6802" s="1">
        <v>45808</v>
      </c>
      <c r="C6802" s="2">
        <v>0.33333333333333331</v>
      </c>
      <c r="D6802">
        <v>3</v>
      </c>
      <c r="E6802">
        <v>19</v>
      </c>
      <c r="F6802">
        <v>72</v>
      </c>
    </row>
    <row r="6803" spans="1:6" x14ac:dyDescent="0.35">
      <c r="A6803">
        <v>1975</v>
      </c>
      <c r="B6803" s="1">
        <v>45808</v>
      </c>
      <c r="C6803" s="2">
        <v>0.375</v>
      </c>
      <c r="D6803">
        <v>3</v>
      </c>
      <c r="E6803">
        <v>19.899999999999999</v>
      </c>
      <c r="F6803">
        <v>63</v>
      </c>
    </row>
    <row r="6804" spans="1:6" x14ac:dyDescent="0.35">
      <c r="A6804">
        <v>1975</v>
      </c>
      <c r="B6804" s="1">
        <v>45808</v>
      </c>
      <c r="C6804" s="2">
        <v>0.41666666666666669</v>
      </c>
      <c r="D6804">
        <v>3</v>
      </c>
      <c r="E6804">
        <v>20.2</v>
      </c>
      <c r="F6804">
        <v>65</v>
      </c>
    </row>
    <row r="6805" spans="1:6" x14ac:dyDescent="0.35">
      <c r="A6805">
        <v>1975</v>
      </c>
      <c r="B6805" s="1">
        <v>45808</v>
      </c>
      <c r="C6805" s="2">
        <v>0.45833333333333331</v>
      </c>
      <c r="D6805">
        <v>3</v>
      </c>
      <c r="E6805">
        <v>21.7</v>
      </c>
      <c r="F6805">
        <v>62</v>
      </c>
    </row>
    <row r="6806" spans="1:6" x14ac:dyDescent="0.35">
      <c r="A6806">
        <v>1975</v>
      </c>
      <c r="B6806" s="1">
        <v>45808</v>
      </c>
      <c r="C6806" s="2">
        <v>0.5</v>
      </c>
      <c r="D6806">
        <v>3</v>
      </c>
      <c r="E6806">
        <v>21.4</v>
      </c>
      <c r="F6806">
        <v>64</v>
      </c>
    </row>
    <row r="6807" spans="1:6" x14ac:dyDescent="0.35">
      <c r="A6807">
        <v>1975</v>
      </c>
      <c r="B6807" s="1">
        <v>45808</v>
      </c>
      <c r="C6807" s="2">
        <v>0.54166666666666663</v>
      </c>
      <c r="D6807">
        <v>3</v>
      </c>
      <c r="E6807">
        <v>23.2</v>
      </c>
      <c r="F6807">
        <v>58</v>
      </c>
    </row>
    <row r="6808" spans="1:6" x14ac:dyDescent="0.35">
      <c r="A6808">
        <v>1975</v>
      </c>
      <c r="B6808" s="1">
        <v>45808</v>
      </c>
      <c r="C6808" s="2">
        <v>0.58333333333333337</v>
      </c>
      <c r="D6808">
        <v>3</v>
      </c>
      <c r="E6808">
        <v>24.1</v>
      </c>
      <c r="F6808">
        <v>56</v>
      </c>
    </row>
    <row r="6809" spans="1:6" x14ac:dyDescent="0.35">
      <c r="A6809">
        <v>1975</v>
      </c>
      <c r="B6809" s="1">
        <v>45808</v>
      </c>
      <c r="C6809" s="2">
        <v>0.625</v>
      </c>
      <c r="D6809">
        <v>3</v>
      </c>
      <c r="E6809">
        <v>24</v>
      </c>
      <c r="F6809">
        <v>56</v>
      </c>
    </row>
    <row r="6810" spans="1:6" x14ac:dyDescent="0.35">
      <c r="A6810">
        <v>1975</v>
      </c>
      <c r="B6810" s="1">
        <v>45808</v>
      </c>
      <c r="C6810" s="2">
        <v>0.66666666666666663</v>
      </c>
      <c r="D6810">
        <v>3</v>
      </c>
      <c r="E6810">
        <v>22.8</v>
      </c>
      <c r="F6810">
        <v>60</v>
      </c>
    </row>
    <row r="6811" spans="1:6" x14ac:dyDescent="0.35">
      <c r="A6811">
        <v>1975</v>
      </c>
      <c r="B6811" s="1">
        <v>45808</v>
      </c>
      <c r="C6811" s="2">
        <v>0.70833333333333337</v>
      </c>
      <c r="D6811">
        <v>3</v>
      </c>
      <c r="E6811">
        <v>22.2</v>
      </c>
      <c r="F6811">
        <v>64</v>
      </c>
    </row>
    <row r="6812" spans="1:6" x14ac:dyDescent="0.35">
      <c r="A6812">
        <v>1975</v>
      </c>
      <c r="B6812" s="1">
        <v>45808</v>
      </c>
      <c r="C6812" s="2">
        <v>0.75</v>
      </c>
      <c r="D6812">
        <v>3</v>
      </c>
      <c r="E6812">
        <v>21.5</v>
      </c>
      <c r="F6812">
        <v>69</v>
      </c>
    </row>
    <row r="6813" spans="1:6" x14ac:dyDescent="0.35">
      <c r="A6813">
        <v>1975</v>
      </c>
      <c r="B6813" s="1">
        <v>45808</v>
      </c>
      <c r="C6813" s="2">
        <v>0.79166666666666663</v>
      </c>
      <c r="D6813">
        <v>3</v>
      </c>
      <c r="E6813">
        <v>20.8</v>
      </c>
      <c r="F6813">
        <v>72</v>
      </c>
    </row>
    <row r="6814" spans="1:6" x14ac:dyDescent="0.35">
      <c r="A6814">
        <v>1975</v>
      </c>
      <c r="B6814" s="1">
        <v>45808</v>
      </c>
      <c r="C6814" s="2">
        <v>0.83333333333333337</v>
      </c>
      <c r="D6814">
        <v>3</v>
      </c>
      <c r="E6814">
        <v>18.3</v>
      </c>
      <c r="F6814">
        <v>83</v>
      </c>
    </row>
    <row r="6815" spans="1:6" x14ac:dyDescent="0.35">
      <c r="A6815">
        <v>1975</v>
      </c>
      <c r="B6815" s="1">
        <v>45808</v>
      </c>
      <c r="C6815" s="2">
        <v>0.875</v>
      </c>
      <c r="D6815">
        <v>3</v>
      </c>
      <c r="E6815">
        <v>18</v>
      </c>
      <c r="F6815">
        <v>85</v>
      </c>
    </row>
    <row r="6816" spans="1:6" x14ac:dyDescent="0.35">
      <c r="A6816">
        <v>1975</v>
      </c>
      <c r="B6816" s="1">
        <v>45808</v>
      </c>
      <c r="C6816" s="2">
        <v>0.91666666666666663</v>
      </c>
      <c r="D6816">
        <v>3</v>
      </c>
      <c r="E6816">
        <v>16.600000000000001</v>
      </c>
      <c r="F6816">
        <v>89</v>
      </c>
    </row>
    <row r="6817" spans="1:6" x14ac:dyDescent="0.35">
      <c r="A6817">
        <v>1975</v>
      </c>
      <c r="B6817" s="1">
        <v>45808</v>
      </c>
      <c r="C6817" s="2">
        <v>0.95833333333333337</v>
      </c>
      <c r="D6817">
        <v>3</v>
      </c>
      <c r="E6817">
        <v>16.5</v>
      </c>
      <c r="F6817">
        <v>91</v>
      </c>
    </row>
    <row r="6818" spans="1:6" x14ac:dyDescent="0.35">
      <c r="A6818">
        <v>1975</v>
      </c>
      <c r="B6818" s="1">
        <v>45809</v>
      </c>
      <c r="C6818" s="2">
        <v>0</v>
      </c>
      <c r="D6818">
        <v>3</v>
      </c>
      <c r="E6818">
        <v>15.4</v>
      </c>
      <c r="F6818">
        <v>95</v>
      </c>
    </row>
    <row r="6819" spans="1:6" x14ac:dyDescent="0.35">
      <c r="A6819">
        <v>1975</v>
      </c>
      <c r="B6819" s="1">
        <v>45809</v>
      </c>
      <c r="C6819" s="2">
        <v>4.1666666666666657E-2</v>
      </c>
      <c r="D6819">
        <v>3</v>
      </c>
      <c r="E6819">
        <v>15.2</v>
      </c>
      <c r="F6819">
        <v>97</v>
      </c>
    </row>
    <row r="6820" spans="1:6" x14ac:dyDescent="0.35">
      <c r="A6820">
        <v>1975</v>
      </c>
      <c r="B6820" s="1">
        <v>45809</v>
      </c>
      <c r="C6820" s="2">
        <v>8.3333333333333329E-2</v>
      </c>
      <c r="D6820">
        <v>3</v>
      </c>
      <c r="E6820">
        <v>15.5</v>
      </c>
      <c r="F6820">
        <v>92</v>
      </c>
    </row>
    <row r="6821" spans="1:6" x14ac:dyDescent="0.35">
      <c r="A6821">
        <v>1975</v>
      </c>
      <c r="B6821" s="1">
        <v>45809</v>
      </c>
      <c r="C6821" s="2">
        <v>0.125</v>
      </c>
      <c r="D6821">
        <v>3</v>
      </c>
      <c r="E6821">
        <v>15.9</v>
      </c>
      <c r="F6821">
        <v>90</v>
      </c>
    </row>
    <row r="6822" spans="1:6" x14ac:dyDescent="0.35">
      <c r="A6822">
        <v>1975</v>
      </c>
      <c r="B6822" s="1">
        <v>45809</v>
      </c>
      <c r="C6822" s="2">
        <v>0.16666666666666671</v>
      </c>
      <c r="D6822">
        <v>3</v>
      </c>
      <c r="E6822">
        <v>17</v>
      </c>
      <c r="F6822">
        <v>92</v>
      </c>
    </row>
    <row r="6823" spans="1:6" x14ac:dyDescent="0.35">
      <c r="A6823">
        <v>1975</v>
      </c>
      <c r="B6823" s="1">
        <v>45809</v>
      </c>
      <c r="C6823" s="2">
        <v>0.20833333333333329</v>
      </c>
      <c r="D6823">
        <v>3</v>
      </c>
      <c r="E6823">
        <v>16.8</v>
      </c>
      <c r="F6823">
        <v>96</v>
      </c>
    </row>
    <row r="6824" spans="1:6" x14ac:dyDescent="0.35">
      <c r="A6824">
        <v>1975</v>
      </c>
      <c r="B6824" s="1">
        <v>45809</v>
      </c>
      <c r="C6824" s="2">
        <v>0.25</v>
      </c>
      <c r="D6824">
        <v>3</v>
      </c>
      <c r="E6824">
        <v>17.399999999999999</v>
      </c>
      <c r="F6824">
        <v>95</v>
      </c>
    </row>
    <row r="6825" spans="1:6" x14ac:dyDescent="0.35">
      <c r="A6825">
        <v>1975</v>
      </c>
      <c r="B6825" s="1">
        <v>45809</v>
      </c>
      <c r="C6825" s="2">
        <v>0.29166666666666669</v>
      </c>
      <c r="D6825">
        <v>3</v>
      </c>
      <c r="E6825">
        <v>19.100000000000001</v>
      </c>
      <c r="F6825">
        <v>83</v>
      </c>
    </row>
    <row r="6826" spans="1:6" x14ac:dyDescent="0.35">
      <c r="A6826">
        <v>1975</v>
      </c>
      <c r="B6826" s="1">
        <v>45809</v>
      </c>
      <c r="C6826" s="2">
        <v>0.33333333333333331</v>
      </c>
      <c r="D6826">
        <v>3</v>
      </c>
      <c r="E6826">
        <v>20.9</v>
      </c>
      <c r="F6826">
        <v>77</v>
      </c>
    </row>
    <row r="6827" spans="1:6" x14ac:dyDescent="0.35">
      <c r="A6827">
        <v>1975</v>
      </c>
      <c r="B6827" s="1">
        <v>45809</v>
      </c>
      <c r="C6827" s="2">
        <v>0.375</v>
      </c>
      <c r="D6827">
        <v>3</v>
      </c>
      <c r="E6827">
        <v>22.2</v>
      </c>
      <c r="F6827">
        <v>65</v>
      </c>
    </row>
    <row r="6828" spans="1:6" x14ac:dyDescent="0.35">
      <c r="A6828">
        <v>1975</v>
      </c>
      <c r="B6828" s="1">
        <v>45809</v>
      </c>
      <c r="C6828" s="2">
        <v>0.41666666666666669</v>
      </c>
      <c r="D6828">
        <v>3</v>
      </c>
      <c r="E6828">
        <v>20.2</v>
      </c>
      <c r="F6828">
        <v>81</v>
      </c>
    </row>
    <row r="6829" spans="1:6" x14ac:dyDescent="0.35">
      <c r="A6829">
        <v>1975</v>
      </c>
      <c r="B6829" s="1">
        <v>45809</v>
      </c>
      <c r="C6829" s="2">
        <v>0.45833333333333331</v>
      </c>
      <c r="D6829">
        <v>3</v>
      </c>
      <c r="E6829">
        <v>21.3</v>
      </c>
      <c r="F6829">
        <v>75</v>
      </c>
    </row>
    <row r="6830" spans="1:6" x14ac:dyDescent="0.35">
      <c r="A6830">
        <v>1975</v>
      </c>
      <c r="B6830" s="1">
        <v>45809</v>
      </c>
      <c r="C6830" s="2">
        <v>0.5</v>
      </c>
      <c r="D6830">
        <v>3</v>
      </c>
      <c r="E6830">
        <v>22.6</v>
      </c>
      <c r="F6830">
        <v>67</v>
      </c>
    </row>
    <row r="6831" spans="1:6" x14ac:dyDescent="0.35">
      <c r="A6831">
        <v>1975</v>
      </c>
      <c r="B6831" s="1">
        <v>45809</v>
      </c>
      <c r="C6831" s="2">
        <v>0.54166666666666663</v>
      </c>
      <c r="D6831">
        <v>3</v>
      </c>
      <c r="E6831">
        <v>23</v>
      </c>
      <c r="F6831">
        <v>63</v>
      </c>
    </row>
    <row r="6832" spans="1:6" x14ac:dyDescent="0.35">
      <c r="A6832">
        <v>1975</v>
      </c>
      <c r="B6832" s="1">
        <v>45809</v>
      </c>
      <c r="C6832" s="2">
        <v>0.58333333333333337</v>
      </c>
      <c r="D6832">
        <v>3</v>
      </c>
      <c r="E6832">
        <v>23.2</v>
      </c>
      <c r="F6832">
        <v>56</v>
      </c>
    </row>
    <row r="6833" spans="1:6" x14ac:dyDescent="0.35">
      <c r="A6833">
        <v>1975</v>
      </c>
      <c r="B6833" s="1">
        <v>45809</v>
      </c>
      <c r="C6833" s="2">
        <v>0.625</v>
      </c>
      <c r="D6833">
        <v>3</v>
      </c>
      <c r="E6833">
        <v>21.8</v>
      </c>
      <c r="F6833">
        <v>69</v>
      </c>
    </row>
    <row r="6834" spans="1:6" x14ac:dyDescent="0.35">
      <c r="A6834">
        <v>1975</v>
      </c>
      <c r="B6834" s="1">
        <v>45809</v>
      </c>
      <c r="C6834" s="2">
        <v>0.66666666666666663</v>
      </c>
      <c r="D6834">
        <v>3</v>
      </c>
      <c r="E6834">
        <v>19.100000000000001</v>
      </c>
      <c r="F6834">
        <v>71</v>
      </c>
    </row>
    <row r="6835" spans="1:6" x14ac:dyDescent="0.35">
      <c r="A6835">
        <v>1975</v>
      </c>
      <c r="B6835" s="1">
        <v>45809</v>
      </c>
      <c r="C6835" s="2">
        <v>0.70833333333333337</v>
      </c>
      <c r="D6835">
        <v>3</v>
      </c>
      <c r="E6835">
        <v>17.3</v>
      </c>
      <c r="F6835">
        <v>64</v>
      </c>
    </row>
    <row r="6836" spans="1:6" x14ac:dyDescent="0.35">
      <c r="A6836">
        <v>1975</v>
      </c>
      <c r="B6836" s="1">
        <v>45809</v>
      </c>
      <c r="C6836" s="2">
        <v>0.75</v>
      </c>
      <c r="D6836">
        <v>3</v>
      </c>
      <c r="E6836">
        <v>16.399999999999999</v>
      </c>
      <c r="F6836">
        <v>64</v>
      </c>
    </row>
    <row r="6837" spans="1:6" x14ac:dyDescent="0.35">
      <c r="A6837">
        <v>1975</v>
      </c>
      <c r="B6837" s="1">
        <v>45809</v>
      </c>
      <c r="C6837" s="2">
        <v>0.79166666666666663</v>
      </c>
      <c r="D6837">
        <v>3</v>
      </c>
      <c r="E6837">
        <v>15.4</v>
      </c>
      <c r="F6837">
        <v>66</v>
      </c>
    </row>
    <row r="6838" spans="1:6" x14ac:dyDescent="0.35">
      <c r="A6838">
        <v>1975</v>
      </c>
      <c r="B6838" s="1">
        <v>45809</v>
      </c>
      <c r="C6838" s="2">
        <v>0.83333333333333337</v>
      </c>
      <c r="D6838">
        <v>3</v>
      </c>
      <c r="E6838">
        <v>14.8</v>
      </c>
      <c r="F6838">
        <v>72</v>
      </c>
    </row>
    <row r="6839" spans="1:6" x14ac:dyDescent="0.35">
      <c r="A6839">
        <v>1975</v>
      </c>
      <c r="B6839" s="1">
        <v>45809</v>
      </c>
      <c r="C6839" s="2">
        <v>0.875</v>
      </c>
      <c r="D6839">
        <v>3</v>
      </c>
      <c r="E6839">
        <v>14.3</v>
      </c>
      <c r="F6839">
        <v>72</v>
      </c>
    </row>
    <row r="6840" spans="1:6" x14ac:dyDescent="0.35">
      <c r="A6840">
        <v>1975</v>
      </c>
      <c r="B6840" s="1">
        <v>45809</v>
      </c>
      <c r="C6840" s="2">
        <v>0.91666666666666663</v>
      </c>
      <c r="D6840">
        <v>3</v>
      </c>
      <c r="E6840">
        <v>12.6</v>
      </c>
      <c r="F6840">
        <v>80</v>
      </c>
    </row>
    <row r="6841" spans="1:6" x14ac:dyDescent="0.35">
      <c r="A6841">
        <v>1975</v>
      </c>
      <c r="B6841" s="1">
        <v>45809</v>
      </c>
      <c r="C6841" s="2">
        <v>0.95833333333333337</v>
      </c>
      <c r="D6841">
        <v>3</v>
      </c>
      <c r="E6841">
        <v>11.3</v>
      </c>
      <c r="F6841">
        <v>87</v>
      </c>
    </row>
    <row r="6842" spans="1:6" x14ac:dyDescent="0.35">
      <c r="A6842">
        <v>1975</v>
      </c>
      <c r="B6842" s="1">
        <v>45810</v>
      </c>
      <c r="C6842" s="2">
        <v>0</v>
      </c>
      <c r="D6842">
        <v>3</v>
      </c>
      <c r="E6842">
        <v>11</v>
      </c>
      <c r="F6842">
        <v>87</v>
      </c>
    </row>
    <row r="6843" spans="1:6" x14ac:dyDescent="0.35">
      <c r="A6843">
        <v>1975</v>
      </c>
      <c r="B6843" s="1">
        <v>45810</v>
      </c>
      <c r="C6843" s="2">
        <v>4.1666666666666657E-2</v>
      </c>
      <c r="D6843">
        <v>3</v>
      </c>
      <c r="E6843">
        <v>10.9</v>
      </c>
      <c r="F6843">
        <v>89</v>
      </c>
    </row>
    <row r="6844" spans="1:6" x14ac:dyDescent="0.35">
      <c r="A6844">
        <v>1975</v>
      </c>
      <c r="B6844" s="1">
        <v>45810</v>
      </c>
      <c r="C6844" s="2">
        <v>8.3333333333333329E-2</v>
      </c>
      <c r="D6844">
        <v>3</v>
      </c>
      <c r="E6844">
        <v>10.6</v>
      </c>
      <c r="F6844">
        <v>94</v>
      </c>
    </row>
    <row r="6845" spans="1:6" x14ac:dyDescent="0.35">
      <c r="A6845">
        <v>1975</v>
      </c>
      <c r="B6845" s="1">
        <v>45810</v>
      </c>
      <c r="C6845" s="2">
        <v>0.125</v>
      </c>
      <c r="D6845">
        <v>3</v>
      </c>
      <c r="E6845">
        <v>10.8</v>
      </c>
      <c r="F6845">
        <v>97</v>
      </c>
    </row>
    <row r="6846" spans="1:6" x14ac:dyDescent="0.35">
      <c r="A6846">
        <v>1975</v>
      </c>
      <c r="B6846" s="1">
        <v>45810</v>
      </c>
      <c r="C6846" s="2">
        <v>0.16666666666666671</v>
      </c>
      <c r="D6846">
        <v>3</v>
      </c>
      <c r="E6846">
        <v>10.7</v>
      </c>
      <c r="F6846">
        <v>97</v>
      </c>
    </row>
    <row r="6847" spans="1:6" x14ac:dyDescent="0.35">
      <c r="A6847">
        <v>1975</v>
      </c>
      <c r="B6847" s="1">
        <v>45810</v>
      </c>
      <c r="C6847" s="2">
        <v>0.20833333333333329</v>
      </c>
      <c r="D6847">
        <v>3</v>
      </c>
      <c r="E6847">
        <v>12.4</v>
      </c>
      <c r="F6847">
        <v>86</v>
      </c>
    </row>
    <row r="6848" spans="1:6" x14ac:dyDescent="0.35">
      <c r="A6848">
        <v>1975</v>
      </c>
      <c r="B6848" s="1">
        <v>45810</v>
      </c>
      <c r="C6848" s="2">
        <v>0.25</v>
      </c>
      <c r="D6848">
        <v>3</v>
      </c>
      <c r="E6848">
        <v>14.6</v>
      </c>
      <c r="F6848">
        <v>75</v>
      </c>
    </row>
    <row r="6849" spans="1:6" x14ac:dyDescent="0.35">
      <c r="A6849">
        <v>1975</v>
      </c>
      <c r="B6849" s="1">
        <v>45810</v>
      </c>
      <c r="C6849" s="2">
        <v>0.29166666666666669</v>
      </c>
      <c r="D6849">
        <v>3</v>
      </c>
      <c r="E6849">
        <v>16.399999999999999</v>
      </c>
      <c r="F6849">
        <v>70</v>
      </c>
    </row>
    <row r="6850" spans="1:6" x14ac:dyDescent="0.35">
      <c r="A6850">
        <v>1975</v>
      </c>
      <c r="B6850" s="1">
        <v>45810</v>
      </c>
      <c r="C6850" s="2">
        <v>0.33333333333333331</v>
      </c>
      <c r="D6850">
        <v>3</v>
      </c>
      <c r="E6850">
        <v>17</v>
      </c>
      <c r="F6850">
        <v>69</v>
      </c>
    </row>
    <row r="6851" spans="1:6" x14ac:dyDescent="0.35">
      <c r="A6851">
        <v>1975</v>
      </c>
      <c r="B6851" s="1">
        <v>45810</v>
      </c>
      <c r="C6851" s="2">
        <v>0.375</v>
      </c>
      <c r="D6851">
        <v>3</v>
      </c>
      <c r="E6851">
        <v>18.5</v>
      </c>
      <c r="F6851">
        <v>58</v>
      </c>
    </row>
    <row r="6852" spans="1:6" x14ac:dyDescent="0.35">
      <c r="A6852">
        <v>1975</v>
      </c>
      <c r="B6852" s="1">
        <v>45810</v>
      </c>
      <c r="C6852" s="2">
        <v>0.41666666666666669</v>
      </c>
      <c r="D6852">
        <v>3</v>
      </c>
      <c r="E6852">
        <v>19.399999999999999</v>
      </c>
      <c r="F6852">
        <v>62</v>
      </c>
    </row>
    <row r="6853" spans="1:6" x14ac:dyDescent="0.35">
      <c r="A6853">
        <v>1975</v>
      </c>
      <c r="B6853" s="1">
        <v>45810</v>
      </c>
      <c r="C6853" s="2">
        <v>0.45833333333333331</v>
      </c>
      <c r="D6853">
        <v>3</v>
      </c>
      <c r="E6853">
        <v>19.2</v>
      </c>
      <c r="F6853">
        <v>60</v>
      </c>
    </row>
    <row r="6854" spans="1:6" x14ac:dyDescent="0.35">
      <c r="A6854">
        <v>1975</v>
      </c>
      <c r="B6854" s="1">
        <v>45810</v>
      </c>
      <c r="C6854" s="2">
        <v>0.5</v>
      </c>
      <c r="D6854">
        <v>3</v>
      </c>
      <c r="E6854">
        <v>19.5</v>
      </c>
      <c r="F6854">
        <v>55</v>
      </c>
    </row>
    <row r="6855" spans="1:6" x14ac:dyDescent="0.35">
      <c r="A6855">
        <v>1975</v>
      </c>
      <c r="B6855" s="1">
        <v>45810</v>
      </c>
      <c r="C6855" s="2">
        <v>0.54166666666666663</v>
      </c>
      <c r="D6855">
        <v>3</v>
      </c>
      <c r="E6855">
        <v>13.7</v>
      </c>
      <c r="F6855">
        <v>78</v>
      </c>
    </row>
    <row r="6856" spans="1:6" x14ac:dyDescent="0.35">
      <c r="A6856">
        <v>1975</v>
      </c>
      <c r="B6856" s="1">
        <v>45810</v>
      </c>
      <c r="C6856" s="2">
        <v>0.58333333333333337</v>
      </c>
      <c r="D6856">
        <v>3</v>
      </c>
      <c r="E6856">
        <v>15.1</v>
      </c>
      <c r="F6856">
        <v>72</v>
      </c>
    </row>
    <row r="6857" spans="1:6" x14ac:dyDescent="0.35">
      <c r="A6857">
        <v>1975</v>
      </c>
      <c r="B6857" s="1">
        <v>45810</v>
      </c>
      <c r="C6857" s="2">
        <v>0.625</v>
      </c>
      <c r="D6857">
        <v>3</v>
      </c>
      <c r="E6857">
        <v>17.2</v>
      </c>
      <c r="F6857">
        <v>65</v>
      </c>
    </row>
    <row r="6858" spans="1:6" x14ac:dyDescent="0.35">
      <c r="A6858">
        <v>1975</v>
      </c>
      <c r="B6858" s="1">
        <v>45810</v>
      </c>
      <c r="C6858" s="2">
        <v>0.66666666666666663</v>
      </c>
      <c r="D6858">
        <v>3</v>
      </c>
      <c r="E6858">
        <v>17.100000000000001</v>
      </c>
      <c r="F6858">
        <v>62</v>
      </c>
    </row>
    <row r="6859" spans="1:6" x14ac:dyDescent="0.35">
      <c r="A6859">
        <v>1975</v>
      </c>
      <c r="B6859" s="1">
        <v>45810</v>
      </c>
      <c r="C6859" s="2">
        <v>0.70833333333333337</v>
      </c>
      <c r="D6859">
        <v>3</v>
      </c>
      <c r="E6859">
        <v>16.399999999999999</v>
      </c>
      <c r="F6859">
        <v>59</v>
      </c>
    </row>
    <row r="6860" spans="1:6" x14ac:dyDescent="0.35">
      <c r="A6860">
        <v>1975</v>
      </c>
      <c r="B6860" s="1">
        <v>45810</v>
      </c>
      <c r="C6860" s="2">
        <v>0.75</v>
      </c>
      <c r="D6860">
        <v>3</v>
      </c>
      <c r="E6860">
        <v>16.7</v>
      </c>
      <c r="F6860">
        <v>63</v>
      </c>
    </row>
    <row r="6861" spans="1:6" x14ac:dyDescent="0.35">
      <c r="A6861">
        <v>1975</v>
      </c>
      <c r="B6861" s="1">
        <v>45810</v>
      </c>
      <c r="C6861" s="2">
        <v>0.79166666666666663</v>
      </c>
      <c r="D6861">
        <v>3</v>
      </c>
      <c r="E6861">
        <v>15.2</v>
      </c>
      <c r="F6861">
        <v>68</v>
      </c>
    </row>
    <row r="6862" spans="1:6" x14ac:dyDescent="0.35">
      <c r="A6862">
        <v>1975</v>
      </c>
      <c r="B6862" s="1">
        <v>45810</v>
      </c>
      <c r="C6862" s="2">
        <v>0.83333333333333337</v>
      </c>
      <c r="D6862">
        <v>3</v>
      </c>
      <c r="E6862">
        <v>13.9</v>
      </c>
      <c r="F6862">
        <v>83</v>
      </c>
    </row>
    <row r="6863" spans="1:6" x14ac:dyDescent="0.35">
      <c r="A6863">
        <v>1975</v>
      </c>
      <c r="B6863" s="1">
        <v>45810</v>
      </c>
      <c r="C6863" s="2">
        <v>0.875</v>
      </c>
      <c r="D6863">
        <v>3</v>
      </c>
      <c r="E6863">
        <v>12.4</v>
      </c>
      <c r="F6863">
        <v>94</v>
      </c>
    </row>
    <row r="6864" spans="1:6" x14ac:dyDescent="0.35">
      <c r="A6864">
        <v>1975</v>
      </c>
      <c r="B6864" s="1">
        <v>45810</v>
      </c>
      <c r="C6864" s="2">
        <v>0.91666666666666663</v>
      </c>
      <c r="D6864">
        <v>3</v>
      </c>
      <c r="E6864">
        <v>11.4</v>
      </c>
      <c r="F6864">
        <v>99</v>
      </c>
    </row>
    <row r="6865" spans="1:6" x14ac:dyDescent="0.35">
      <c r="A6865">
        <v>1975</v>
      </c>
      <c r="B6865" s="1">
        <v>45810</v>
      </c>
      <c r="C6865" s="2">
        <v>0.95833333333333337</v>
      </c>
      <c r="D6865">
        <v>3</v>
      </c>
      <c r="E6865">
        <v>10.3</v>
      </c>
      <c r="F6865">
        <v>100</v>
      </c>
    </row>
    <row r="6866" spans="1:6" x14ac:dyDescent="0.35">
      <c r="A6866">
        <v>1975</v>
      </c>
      <c r="B6866" s="1">
        <v>45811</v>
      </c>
      <c r="C6866" s="2">
        <v>0</v>
      </c>
      <c r="D6866">
        <v>3</v>
      </c>
      <c r="E6866">
        <v>9.9</v>
      </c>
      <c r="F6866">
        <v>99</v>
      </c>
    </row>
    <row r="6867" spans="1:6" x14ac:dyDescent="0.35">
      <c r="A6867">
        <v>1975</v>
      </c>
      <c r="B6867" s="1">
        <v>45811</v>
      </c>
      <c r="C6867" s="2">
        <v>4.1666666666666657E-2</v>
      </c>
      <c r="D6867">
        <v>3</v>
      </c>
      <c r="E6867">
        <v>9.3000000000000007</v>
      </c>
      <c r="F6867">
        <v>99</v>
      </c>
    </row>
    <row r="6868" spans="1:6" x14ac:dyDescent="0.35">
      <c r="A6868">
        <v>1975</v>
      </c>
      <c r="B6868" s="1">
        <v>45811</v>
      </c>
      <c r="C6868" s="2">
        <v>8.3333333333333329E-2</v>
      </c>
      <c r="D6868">
        <v>3</v>
      </c>
      <c r="E6868">
        <v>8.8000000000000007</v>
      </c>
      <c r="F6868">
        <v>100</v>
      </c>
    </row>
    <row r="6869" spans="1:6" x14ac:dyDescent="0.35">
      <c r="A6869">
        <v>1975</v>
      </c>
      <c r="B6869" s="1">
        <v>45811</v>
      </c>
      <c r="C6869" s="2">
        <v>0.125</v>
      </c>
      <c r="D6869">
        <v>3</v>
      </c>
      <c r="E6869">
        <v>7.6</v>
      </c>
      <c r="F6869">
        <v>100</v>
      </c>
    </row>
    <row r="6870" spans="1:6" x14ac:dyDescent="0.35">
      <c r="A6870">
        <v>1975</v>
      </c>
      <c r="B6870" s="1">
        <v>45811</v>
      </c>
      <c r="C6870" s="2">
        <v>0.16666666666666671</v>
      </c>
      <c r="D6870">
        <v>3</v>
      </c>
      <c r="E6870">
        <v>8.3000000000000007</v>
      </c>
      <c r="F6870">
        <v>100</v>
      </c>
    </row>
    <row r="6871" spans="1:6" x14ac:dyDescent="0.35">
      <c r="A6871">
        <v>1975</v>
      </c>
      <c r="B6871" s="1">
        <v>45811</v>
      </c>
      <c r="C6871" s="2">
        <v>0.20833333333333329</v>
      </c>
      <c r="D6871">
        <v>3</v>
      </c>
      <c r="E6871">
        <v>11.1</v>
      </c>
      <c r="F6871">
        <v>91</v>
      </c>
    </row>
    <row r="6872" spans="1:6" x14ac:dyDescent="0.35">
      <c r="A6872">
        <v>1975</v>
      </c>
      <c r="B6872" s="1">
        <v>45811</v>
      </c>
      <c r="C6872" s="2">
        <v>0.25</v>
      </c>
      <c r="D6872">
        <v>3</v>
      </c>
      <c r="E6872">
        <v>13</v>
      </c>
      <c r="F6872">
        <v>86</v>
      </c>
    </row>
    <row r="6873" spans="1:6" x14ac:dyDescent="0.35">
      <c r="A6873">
        <v>1975</v>
      </c>
      <c r="B6873" s="1">
        <v>45811</v>
      </c>
      <c r="C6873" s="2">
        <v>0.29166666666666669</v>
      </c>
      <c r="D6873">
        <v>3</v>
      </c>
      <c r="E6873">
        <v>14.4</v>
      </c>
      <c r="F6873">
        <v>75</v>
      </c>
    </row>
    <row r="6874" spans="1:6" x14ac:dyDescent="0.35">
      <c r="A6874">
        <v>1975</v>
      </c>
      <c r="B6874" s="1">
        <v>45811</v>
      </c>
      <c r="C6874" s="2">
        <v>0.33333333333333331</v>
      </c>
      <c r="D6874">
        <v>3</v>
      </c>
      <c r="E6874">
        <v>16</v>
      </c>
      <c r="F6874">
        <v>70</v>
      </c>
    </row>
    <row r="6875" spans="1:6" x14ac:dyDescent="0.35">
      <c r="A6875">
        <v>1975</v>
      </c>
      <c r="B6875" s="1">
        <v>45811</v>
      </c>
      <c r="C6875" s="2">
        <v>0.375</v>
      </c>
      <c r="D6875">
        <v>3</v>
      </c>
      <c r="E6875">
        <v>17.8</v>
      </c>
      <c r="F6875">
        <v>53</v>
      </c>
    </row>
    <row r="6876" spans="1:6" x14ac:dyDescent="0.35">
      <c r="A6876">
        <v>1975</v>
      </c>
      <c r="B6876" s="1">
        <v>45811</v>
      </c>
      <c r="C6876" s="2">
        <v>0.41666666666666669</v>
      </c>
      <c r="D6876">
        <v>3</v>
      </c>
      <c r="E6876">
        <v>18.899999999999999</v>
      </c>
      <c r="F6876">
        <v>48</v>
      </c>
    </row>
    <row r="6877" spans="1:6" x14ac:dyDescent="0.35">
      <c r="A6877">
        <v>1975</v>
      </c>
      <c r="B6877" s="1">
        <v>45811</v>
      </c>
      <c r="C6877" s="2">
        <v>0.45833333333333331</v>
      </c>
      <c r="D6877">
        <v>3</v>
      </c>
      <c r="E6877">
        <v>19.899999999999999</v>
      </c>
      <c r="F6877">
        <v>47</v>
      </c>
    </row>
    <row r="6878" spans="1:6" x14ac:dyDescent="0.35">
      <c r="A6878">
        <v>1975</v>
      </c>
      <c r="B6878" s="1">
        <v>45811</v>
      </c>
      <c r="C6878" s="2">
        <v>0.5</v>
      </c>
      <c r="D6878">
        <v>3</v>
      </c>
      <c r="E6878">
        <v>21.1</v>
      </c>
      <c r="F6878">
        <v>48</v>
      </c>
    </row>
    <row r="6879" spans="1:6" x14ac:dyDescent="0.35">
      <c r="A6879">
        <v>1975</v>
      </c>
      <c r="B6879" s="1">
        <v>45811</v>
      </c>
      <c r="C6879" s="2">
        <v>0.54166666666666663</v>
      </c>
      <c r="D6879">
        <v>3</v>
      </c>
      <c r="E6879">
        <v>21.5</v>
      </c>
      <c r="F6879">
        <v>45</v>
      </c>
    </row>
    <row r="6880" spans="1:6" x14ac:dyDescent="0.35">
      <c r="A6880">
        <v>1975</v>
      </c>
      <c r="B6880" s="1">
        <v>45811</v>
      </c>
      <c r="C6880" s="2">
        <v>0.58333333333333337</v>
      </c>
      <c r="D6880">
        <v>3</v>
      </c>
      <c r="E6880">
        <v>21.5</v>
      </c>
      <c r="F6880">
        <v>44</v>
      </c>
    </row>
    <row r="6881" spans="1:6" x14ac:dyDescent="0.35">
      <c r="A6881">
        <v>1975</v>
      </c>
      <c r="B6881" s="1">
        <v>45811</v>
      </c>
      <c r="C6881" s="2">
        <v>0.625</v>
      </c>
      <c r="D6881">
        <v>3</v>
      </c>
      <c r="E6881">
        <v>21.5</v>
      </c>
      <c r="F6881">
        <v>43</v>
      </c>
    </row>
    <row r="6882" spans="1:6" x14ac:dyDescent="0.35">
      <c r="A6882">
        <v>1975</v>
      </c>
      <c r="B6882" s="1">
        <v>45811</v>
      </c>
      <c r="C6882" s="2">
        <v>0.66666666666666663</v>
      </c>
      <c r="D6882">
        <v>3</v>
      </c>
      <c r="E6882">
        <v>22.2</v>
      </c>
      <c r="F6882">
        <v>44</v>
      </c>
    </row>
    <row r="6883" spans="1:6" x14ac:dyDescent="0.35">
      <c r="A6883">
        <v>1975</v>
      </c>
      <c r="B6883" s="1">
        <v>45811</v>
      </c>
      <c r="C6883" s="2">
        <v>0.70833333333333337</v>
      </c>
      <c r="D6883">
        <v>3</v>
      </c>
      <c r="E6883">
        <v>21.8</v>
      </c>
      <c r="F6883">
        <v>47</v>
      </c>
    </row>
    <row r="6884" spans="1:6" x14ac:dyDescent="0.35">
      <c r="A6884">
        <v>1975</v>
      </c>
      <c r="B6884" s="1">
        <v>45811</v>
      </c>
      <c r="C6884" s="2">
        <v>0.75</v>
      </c>
      <c r="D6884">
        <v>3</v>
      </c>
      <c r="E6884">
        <v>21.1</v>
      </c>
      <c r="F6884">
        <v>50</v>
      </c>
    </row>
    <row r="6885" spans="1:6" x14ac:dyDescent="0.35">
      <c r="A6885">
        <v>1975</v>
      </c>
      <c r="B6885" s="1">
        <v>45811</v>
      </c>
      <c r="C6885" s="2">
        <v>0.79166666666666663</v>
      </c>
      <c r="D6885">
        <v>3</v>
      </c>
      <c r="E6885">
        <v>19.5</v>
      </c>
      <c r="F6885">
        <v>51</v>
      </c>
    </row>
    <row r="6886" spans="1:6" x14ac:dyDescent="0.35">
      <c r="A6886">
        <v>1975</v>
      </c>
      <c r="B6886" s="1">
        <v>45811</v>
      </c>
      <c r="C6886" s="2">
        <v>0.83333333333333337</v>
      </c>
      <c r="D6886">
        <v>3</v>
      </c>
      <c r="E6886">
        <v>18.100000000000001</v>
      </c>
      <c r="F6886">
        <v>59</v>
      </c>
    </row>
    <row r="6887" spans="1:6" x14ac:dyDescent="0.35">
      <c r="A6887">
        <v>1975</v>
      </c>
      <c r="B6887" s="1">
        <v>45811</v>
      </c>
      <c r="C6887" s="2">
        <v>0.875</v>
      </c>
      <c r="D6887">
        <v>3</v>
      </c>
      <c r="E6887">
        <v>18.3</v>
      </c>
      <c r="F6887">
        <v>58</v>
      </c>
    </row>
    <row r="6888" spans="1:6" x14ac:dyDescent="0.35">
      <c r="A6888">
        <v>1975</v>
      </c>
      <c r="B6888" s="1">
        <v>45811</v>
      </c>
      <c r="C6888" s="2">
        <v>0.91666666666666663</v>
      </c>
      <c r="D6888">
        <v>3</v>
      </c>
      <c r="E6888">
        <v>18.7</v>
      </c>
      <c r="F6888">
        <v>56</v>
      </c>
    </row>
    <row r="6889" spans="1:6" x14ac:dyDescent="0.35">
      <c r="A6889">
        <v>1975</v>
      </c>
      <c r="B6889" s="1">
        <v>45811</v>
      </c>
      <c r="C6889" s="2">
        <v>0.95833333333333337</v>
      </c>
      <c r="D6889">
        <v>3</v>
      </c>
      <c r="E6889">
        <v>17.8</v>
      </c>
      <c r="F6889">
        <v>61</v>
      </c>
    </row>
    <row r="6890" spans="1:6" x14ac:dyDescent="0.35">
      <c r="A6890">
        <v>1975</v>
      </c>
      <c r="B6890" s="1">
        <v>45812</v>
      </c>
      <c r="C6890" s="2">
        <v>0</v>
      </c>
      <c r="D6890">
        <v>3</v>
      </c>
      <c r="E6890">
        <v>17.2</v>
      </c>
      <c r="F6890">
        <v>65</v>
      </c>
    </row>
    <row r="6891" spans="1:6" x14ac:dyDescent="0.35">
      <c r="A6891">
        <v>1975</v>
      </c>
      <c r="B6891" s="1">
        <v>45812</v>
      </c>
      <c r="C6891" s="2">
        <v>4.1666666666666657E-2</v>
      </c>
      <c r="D6891">
        <v>3</v>
      </c>
      <c r="E6891">
        <v>15.7</v>
      </c>
      <c r="F6891">
        <v>82</v>
      </c>
    </row>
    <row r="6892" spans="1:6" x14ac:dyDescent="0.35">
      <c r="A6892">
        <v>1975</v>
      </c>
      <c r="B6892" s="1">
        <v>45812</v>
      </c>
      <c r="C6892" s="2">
        <v>8.3333333333333329E-2</v>
      </c>
      <c r="D6892">
        <v>3</v>
      </c>
      <c r="E6892">
        <v>15.6</v>
      </c>
      <c r="F6892">
        <v>81</v>
      </c>
    </row>
    <row r="6893" spans="1:6" x14ac:dyDescent="0.35">
      <c r="A6893">
        <v>1975</v>
      </c>
      <c r="B6893" s="1">
        <v>45812</v>
      </c>
      <c r="C6893" s="2">
        <v>0.125</v>
      </c>
      <c r="D6893">
        <v>3</v>
      </c>
      <c r="E6893">
        <v>14.5</v>
      </c>
      <c r="F6893">
        <v>87</v>
      </c>
    </row>
    <row r="6894" spans="1:6" x14ac:dyDescent="0.35">
      <c r="A6894">
        <v>1975</v>
      </c>
      <c r="B6894" s="1">
        <v>45812</v>
      </c>
      <c r="C6894" s="2">
        <v>0.16666666666666671</v>
      </c>
      <c r="D6894">
        <v>3</v>
      </c>
      <c r="E6894">
        <v>13.9</v>
      </c>
      <c r="F6894">
        <v>94</v>
      </c>
    </row>
    <row r="6895" spans="1:6" x14ac:dyDescent="0.35">
      <c r="A6895">
        <v>1975</v>
      </c>
      <c r="B6895" s="1">
        <v>45812</v>
      </c>
      <c r="C6895" s="2">
        <v>0.20833333333333329</v>
      </c>
      <c r="D6895">
        <v>3</v>
      </c>
      <c r="E6895">
        <v>14.7</v>
      </c>
      <c r="F6895">
        <v>92</v>
      </c>
    </row>
    <row r="6896" spans="1:6" x14ac:dyDescent="0.35">
      <c r="A6896">
        <v>1975</v>
      </c>
      <c r="B6896" s="1">
        <v>45812</v>
      </c>
      <c r="C6896" s="2">
        <v>0.25</v>
      </c>
      <c r="D6896">
        <v>3</v>
      </c>
      <c r="E6896">
        <v>16.600000000000001</v>
      </c>
      <c r="F6896">
        <v>84</v>
      </c>
    </row>
    <row r="6897" spans="1:6" x14ac:dyDescent="0.35">
      <c r="A6897">
        <v>1975</v>
      </c>
      <c r="B6897" s="1">
        <v>45812</v>
      </c>
      <c r="C6897" s="2">
        <v>0.29166666666666669</v>
      </c>
      <c r="D6897">
        <v>3</v>
      </c>
      <c r="E6897">
        <v>18.7</v>
      </c>
      <c r="F6897">
        <v>64</v>
      </c>
    </row>
    <row r="6898" spans="1:6" x14ac:dyDescent="0.35">
      <c r="A6898">
        <v>1975</v>
      </c>
      <c r="B6898" s="1">
        <v>45812</v>
      </c>
      <c r="C6898" s="2">
        <v>0.33333333333333331</v>
      </c>
      <c r="D6898">
        <v>3</v>
      </c>
      <c r="E6898">
        <v>19.600000000000001</v>
      </c>
      <c r="F6898">
        <v>63</v>
      </c>
    </row>
    <row r="6899" spans="1:6" x14ac:dyDescent="0.35">
      <c r="A6899">
        <v>1975</v>
      </c>
      <c r="B6899" s="1">
        <v>45812</v>
      </c>
      <c r="C6899" s="2">
        <v>0.375</v>
      </c>
      <c r="D6899">
        <v>3</v>
      </c>
      <c r="E6899">
        <v>20.3</v>
      </c>
      <c r="F6899">
        <v>57</v>
      </c>
    </row>
    <row r="6900" spans="1:6" x14ac:dyDescent="0.35">
      <c r="A6900">
        <v>1975</v>
      </c>
      <c r="B6900" s="1">
        <v>45812</v>
      </c>
      <c r="C6900" s="2">
        <v>0.41666666666666669</v>
      </c>
      <c r="D6900">
        <v>3</v>
      </c>
      <c r="E6900">
        <v>20.7</v>
      </c>
      <c r="F6900">
        <v>54</v>
      </c>
    </row>
    <row r="6901" spans="1:6" x14ac:dyDescent="0.35">
      <c r="A6901">
        <v>1975</v>
      </c>
      <c r="B6901" s="1">
        <v>45812</v>
      </c>
      <c r="C6901" s="2">
        <v>0.45833333333333331</v>
      </c>
      <c r="D6901">
        <v>3</v>
      </c>
      <c r="E6901">
        <v>22.2</v>
      </c>
      <c r="F6901">
        <v>48</v>
      </c>
    </row>
    <row r="6902" spans="1:6" x14ac:dyDescent="0.35">
      <c r="A6902">
        <v>1975</v>
      </c>
      <c r="B6902" s="1">
        <v>45812</v>
      </c>
      <c r="C6902" s="2">
        <v>0.5</v>
      </c>
      <c r="D6902">
        <v>3</v>
      </c>
      <c r="E6902">
        <v>22.9</v>
      </c>
      <c r="F6902">
        <v>47</v>
      </c>
    </row>
    <row r="6903" spans="1:6" x14ac:dyDescent="0.35">
      <c r="A6903">
        <v>1975</v>
      </c>
      <c r="B6903" s="1">
        <v>45812</v>
      </c>
      <c r="C6903" s="2">
        <v>0.54166666666666663</v>
      </c>
      <c r="D6903">
        <v>3</v>
      </c>
      <c r="E6903">
        <v>21.8</v>
      </c>
      <c r="F6903">
        <v>53</v>
      </c>
    </row>
    <row r="6904" spans="1:6" x14ac:dyDescent="0.35">
      <c r="A6904">
        <v>1975</v>
      </c>
      <c r="B6904" s="1">
        <v>45812</v>
      </c>
      <c r="C6904" s="2">
        <v>0.58333333333333337</v>
      </c>
      <c r="D6904">
        <v>3</v>
      </c>
      <c r="E6904">
        <v>19.600000000000001</v>
      </c>
      <c r="F6904">
        <v>68</v>
      </c>
    </row>
    <row r="6905" spans="1:6" x14ac:dyDescent="0.35">
      <c r="A6905">
        <v>1975</v>
      </c>
      <c r="B6905" s="1">
        <v>45812</v>
      </c>
      <c r="C6905" s="2">
        <v>0.625</v>
      </c>
      <c r="D6905">
        <v>3</v>
      </c>
      <c r="E6905">
        <v>19.100000000000001</v>
      </c>
      <c r="F6905">
        <v>70</v>
      </c>
    </row>
    <row r="6906" spans="1:6" x14ac:dyDescent="0.35">
      <c r="A6906">
        <v>1975</v>
      </c>
      <c r="B6906" s="1">
        <v>45812</v>
      </c>
      <c r="C6906" s="2">
        <v>0.66666666666666663</v>
      </c>
      <c r="D6906">
        <v>3</v>
      </c>
      <c r="E6906">
        <v>16.600000000000001</v>
      </c>
      <c r="F6906">
        <v>80</v>
      </c>
    </row>
    <row r="6907" spans="1:6" x14ac:dyDescent="0.35">
      <c r="A6907">
        <v>1975</v>
      </c>
      <c r="B6907" s="1">
        <v>45812</v>
      </c>
      <c r="C6907" s="2">
        <v>0.70833333333333337</v>
      </c>
      <c r="D6907">
        <v>3</v>
      </c>
      <c r="E6907">
        <v>15.5</v>
      </c>
      <c r="F6907">
        <v>92</v>
      </c>
    </row>
    <row r="6908" spans="1:6" x14ac:dyDescent="0.35">
      <c r="A6908">
        <v>1975</v>
      </c>
      <c r="B6908" s="1">
        <v>45812</v>
      </c>
      <c r="C6908" s="2">
        <v>0.75</v>
      </c>
      <c r="D6908">
        <v>3</v>
      </c>
      <c r="E6908">
        <v>16.100000000000001</v>
      </c>
      <c r="F6908">
        <v>88</v>
      </c>
    </row>
    <row r="6909" spans="1:6" x14ac:dyDescent="0.35">
      <c r="A6909">
        <v>1975</v>
      </c>
      <c r="B6909" s="1">
        <v>45812</v>
      </c>
      <c r="C6909" s="2">
        <v>0.79166666666666663</v>
      </c>
      <c r="D6909">
        <v>3</v>
      </c>
      <c r="E6909">
        <v>15.7</v>
      </c>
      <c r="F6909">
        <v>85</v>
      </c>
    </row>
    <row r="6910" spans="1:6" x14ac:dyDescent="0.35">
      <c r="A6910">
        <v>1975</v>
      </c>
      <c r="B6910" s="1">
        <v>45812</v>
      </c>
      <c r="C6910" s="2">
        <v>0.83333333333333337</v>
      </c>
      <c r="D6910">
        <v>3</v>
      </c>
      <c r="E6910">
        <v>14.3</v>
      </c>
      <c r="F6910">
        <v>84</v>
      </c>
    </row>
    <row r="6911" spans="1:6" x14ac:dyDescent="0.35">
      <c r="A6911">
        <v>1975</v>
      </c>
      <c r="B6911" s="1">
        <v>45812</v>
      </c>
      <c r="C6911" s="2">
        <v>0.875</v>
      </c>
      <c r="D6911">
        <v>3</v>
      </c>
      <c r="E6911">
        <v>13.8</v>
      </c>
      <c r="F6911">
        <v>81</v>
      </c>
    </row>
    <row r="6912" spans="1:6" x14ac:dyDescent="0.35">
      <c r="A6912">
        <v>1975</v>
      </c>
      <c r="B6912" s="1">
        <v>45812</v>
      </c>
      <c r="C6912" s="2">
        <v>0.91666666666666663</v>
      </c>
      <c r="D6912">
        <v>3</v>
      </c>
      <c r="E6912">
        <v>12</v>
      </c>
      <c r="F6912">
        <v>93</v>
      </c>
    </row>
    <row r="6913" spans="1:6" x14ac:dyDescent="0.35">
      <c r="A6913">
        <v>1975</v>
      </c>
      <c r="B6913" s="1">
        <v>45812</v>
      </c>
      <c r="C6913" s="2">
        <v>0.95833333333333337</v>
      </c>
      <c r="D6913">
        <v>3</v>
      </c>
      <c r="E6913">
        <v>10.6</v>
      </c>
      <c r="F6913">
        <v>100</v>
      </c>
    </row>
    <row r="6914" spans="1:6" x14ac:dyDescent="0.35">
      <c r="A6914">
        <v>1975</v>
      </c>
      <c r="B6914" s="1">
        <v>45813</v>
      </c>
      <c r="C6914" s="2">
        <v>0</v>
      </c>
      <c r="D6914">
        <v>3</v>
      </c>
      <c r="E6914">
        <v>11</v>
      </c>
      <c r="F6914">
        <v>100</v>
      </c>
    </row>
    <row r="6915" spans="1:6" x14ac:dyDescent="0.35">
      <c r="A6915">
        <v>1975</v>
      </c>
      <c r="B6915" s="1">
        <v>45813</v>
      </c>
      <c r="C6915" s="2">
        <v>4.1666666666666657E-2</v>
      </c>
      <c r="D6915">
        <v>3</v>
      </c>
      <c r="E6915">
        <v>10.199999999999999</v>
      </c>
      <c r="F6915">
        <v>100</v>
      </c>
    </row>
    <row r="6916" spans="1:6" x14ac:dyDescent="0.35">
      <c r="A6916">
        <v>1975</v>
      </c>
      <c r="B6916" s="1">
        <v>45813</v>
      </c>
      <c r="C6916" s="2">
        <v>8.3333333333333329E-2</v>
      </c>
      <c r="D6916">
        <v>3</v>
      </c>
      <c r="E6916">
        <v>10.3</v>
      </c>
      <c r="F6916">
        <v>100</v>
      </c>
    </row>
    <row r="6917" spans="1:6" x14ac:dyDescent="0.35">
      <c r="A6917">
        <v>1975</v>
      </c>
      <c r="B6917" s="1">
        <v>45813</v>
      </c>
      <c r="C6917" s="2">
        <v>0.125</v>
      </c>
      <c r="D6917">
        <v>3</v>
      </c>
      <c r="E6917">
        <v>11.9</v>
      </c>
      <c r="F6917">
        <v>94</v>
      </c>
    </row>
    <row r="6918" spans="1:6" x14ac:dyDescent="0.35">
      <c r="A6918">
        <v>1975</v>
      </c>
      <c r="B6918" s="1">
        <v>45813</v>
      </c>
      <c r="C6918" s="2">
        <v>0.16666666666666671</v>
      </c>
      <c r="D6918">
        <v>3</v>
      </c>
      <c r="E6918">
        <v>12.9</v>
      </c>
      <c r="F6918">
        <v>90</v>
      </c>
    </row>
    <row r="6919" spans="1:6" x14ac:dyDescent="0.35">
      <c r="A6919">
        <v>1975</v>
      </c>
      <c r="B6919" s="1">
        <v>45813</v>
      </c>
      <c r="C6919" s="2">
        <v>0.20833333333333329</v>
      </c>
      <c r="D6919">
        <v>3</v>
      </c>
      <c r="E6919">
        <v>13.4</v>
      </c>
      <c r="F6919">
        <v>92</v>
      </c>
    </row>
    <row r="6920" spans="1:6" x14ac:dyDescent="0.35">
      <c r="A6920">
        <v>1975</v>
      </c>
      <c r="B6920" s="1">
        <v>45813</v>
      </c>
      <c r="C6920" s="2">
        <v>0.25</v>
      </c>
      <c r="D6920">
        <v>3</v>
      </c>
      <c r="E6920">
        <v>14.5</v>
      </c>
      <c r="F6920">
        <v>89</v>
      </c>
    </row>
    <row r="6921" spans="1:6" x14ac:dyDescent="0.35">
      <c r="A6921">
        <v>1975</v>
      </c>
      <c r="B6921" s="1">
        <v>45813</v>
      </c>
      <c r="C6921" s="2">
        <v>0.29166666666666669</v>
      </c>
      <c r="D6921">
        <v>3</v>
      </c>
      <c r="E6921">
        <v>16.5</v>
      </c>
      <c r="F6921">
        <v>69</v>
      </c>
    </row>
    <row r="6922" spans="1:6" x14ac:dyDescent="0.35">
      <c r="A6922">
        <v>1975</v>
      </c>
      <c r="B6922" s="1">
        <v>45813</v>
      </c>
      <c r="C6922" s="2">
        <v>0.33333333333333331</v>
      </c>
      <c r="D6922">
        <v>3</v>
      </c>
      <c r="E6922">
        <v>17.3</v>
      </c>
      <c r="F6922">
        <v>58</v>
      </c>
    </row>
    <row r="6923" spans="1:6" x14ac:dyDescent="0.35">
      <c r="A6923">
        <v>1975</v>
      </c>
      <c r="B6923" s="1">
        <v>45813</v>
      </c>
      <c r="C6923" s="2">
        <v>0.375</v>
      </c>
      <c r="D6923">
        <v>3</v>
      </c>
      <c r="E6923">
        <v>18.7</v>
      </c>
      <c r="F6923">
        <v>55</v>
      </c>
    </row>
    <row r="6924" spans="1:6" x14ac:dyDescent="0.35">
      <c r="A6924">
        <v>1975</v>
      </c>
      <c r="B6924" s="1">
        <v>45813</v>
      </c>
      <c r="C6924" s="2">
        <v>0.41666666666666669</v>
      </c>
      <c r="D6924">
        <v>3</v>
      </c>
      <c r="E6924">
        <v>18.399999999999999</v>
      </c>
      <c r="F6924">
        <v>55</v>
      </c>
    </row>
    <row r="6925" spans="1:6" x14ac:dyDescent="0.35">
      <c r="A6925">
        <v>1975</v>
      </c>
      <c r="B6925" s="1">
        <v>45813</v>
      </c>
      <c r="C6925" s="2">
        <v>0.45833333333333331</v>
      </c>
      <c r="D6925">
        <v>3</v>
      </c>
      <c r="E6925">
        <v>18.5</v>
      </c>
      <c r="F6925">
        <v>56</v>
      </c>
    </row>
    <row r="6926" spans="1:6" x14ac:dyDescent="0.35">
      <c r="A6926">
        <v>1975</v>
      </c>
      <c r="B6926" s="1">
        <v>45813</v>
      </c>
      <c r="C6926" s="2">
        <v>0.5</v>
      </c>
      <c r="D6926">
        <v>3</v>
      </c>
      <c r="E6926">
        <v>18.899999999999999</v>
      </c>
      <c r="F6926">
        <v>55</v>
      </c>
    </row>
    <row r="6927" spans="1:6" x14ac:dyDescent="0.35">
      <c r="A6927">
        <v>1975</v>
      </c>
      <c r="B6927" s="1">
        <v>45813</v>
      </c>
      <c r="C6927" s="2">
        <v>0.54166666666666663</v>
      </c>
      <c r="D6927">
        <v>3</v>
      </c>
      <c r="E6927">
        <v>18.899999999999999</v>
      </c>
      <c r="F6927">
        <v>56</v>
      </c>
    </row>
    <row r="6928" spans="1:6" x14ac:dyDescent="0.35">
      <c r="A6928">
        <v>1975</v>
      </c>
      <c r="B6928" s="1">
        <v>45813</v>
      </c>
      <c r="C6928" s="2">
        <v>0.58333333333333337</v>
      </c>
      <c r="D6928">
        <v>3</v>
      </c>
      <c r="E6928">
        <v>19.399999999999999</v>
      </c>
      <c r="F6928">
        <v>58</v>
      </c>
    </row>
    <row r="6929" spans="1:6" x14ac:dyDescent="0.35">
      <c r="A6929">
        <v>1975</v>
      </c>
      <c r="B6929" s="1">
        <v>45813</v>
      </c>
      <c r="C6929" s="2">
        <v>0.625</v>
      </c>
      <c r="D6929">
        <v>3</v>
      </c>
      <c r="E6929">
        <v>15.9</v>
      </c>
      <c r="F6929">
        <v>71</v>
      </c>
    </row>
    <row r="6930" spans="1:6" x14ac:dyDescent="0.35">
      <c r="A6930">
        <v>1975</v>
      </c>
      <c r="B6930" s="1">
        <v>45813</v>
      </c>
      <c r="C6930" s="2">
        <v>0.66666666666666663</v>
      </c>
      <c r="D6930">
        <v>3</v>
      </c>
      <c r="E6930">
        <v>14.2</v>
      </c>
      <c r="F6930">
        <v>89</v>
      </c>
    </row>
    <row r="6931" spans="1:6" x14ac:dyDescent="0.35">
      <c r="A6931">
        <v>1975</v>
      </c>
      <c r="B6931" s="1">
        <v>45813</v>
      </c>
      <c r="C6931" s="2">
        <v>0.70833333333333337</v>
      </c>
      <c r="D6931">
        <v>3</v>
      </c>
      <c r="E6931">
        <v>15.6</v>
      </c>
      <c r="F6931">
        <v>86</v>
      </c>
    </row>
    <row r="6932" spans="1:6" x14ac:dyDescent="0.35">
      <c r="A6932">
        <v>1975</v>
      </c>
      <c r="B6932" s="1">
        <v>45813</v>
      </c>
      <c r="C6932" s="2">
        <v>0.75</v>
      </c>
      <c r="D6932">
        <v>3</v>
      </c>
      <c r="E6932">
        <v>14.3</v>
      </c>
      <c r="F6932">
        <v>90</v>
      </c>
    </row>
    <row r="6933" spans="1:6" x14ac:dyDescent="0.35">
      <c r="A6933">
        <v>1975</v>
      </c>
      <c r="B6933" s="1">
        <v>45813</v>
      </c>
      <c r="C6933" s="2">
        <v>0.79166666666666663</v>
      </c>
      <c r="D6933">
        <v>3</v>
      </c>
      <c r="E6933">
        <v>13.6</v>
      </c>
      <c r="F6933">
        <v>94</v>
      </c>
    </row>
    <row r="6934" spans="1:6" x14ac:dyDescent="0.35">
      <c r="A6934">
        <v>1975</v>
      </c>
      <c r="B6934" s="1">
        <v>45813</v>
      </c>
      <c r="C6934" s="2">
        <v>0.83333333333333337</v>
      </c>
      <c r="D6934">
        <v>3</v>
      </c>
      <c r="E6934">
        <v>13.5</v>
      </c>
      <c r="F6934">
        <v>94</v>
      </c>
    </row>
    <row r="6935" spans="1:6" x14ac:dyDescent="0.35">
      <c r="A6935">
        <v>1975</v>
      </c>
      <c r="B6935" s="1">
        <v>45813</v>
      </c>
      <c r="C6935" s="2">
        <v>0.875</v>
      </c>
      <c r="D6935">
        <v>3</v>
      </c>
      <c r="E6935">
        <v>13.4</v>
      </c>
      <c r="F6935">
        <v>92</v>
      </c>
    </row>
    <row r="6936" spans="1:6" x14ac:dyDescent="0.35">
      <c r="A6936">
        <v>1975</v>
      </c>
      <c r="B6936" s="1">
        <v>45813</v>
      </c>
      <c r="C6936" s="2">
        <v>0.91666666666666663</v>
      </c>
      <c r="D6936">
        <v>3</v>
      </c>
      <c r="E6936">
        <v>12.4</v>
      </c>
      <c r="F6936">
        <v>96</v>
      </c>
    </row>
    <row r="6937" spans="1:6" x14ac:dyDescent="0.35">
      <c r="A6937">
        <v>1975</v>
      </c>
      <c r="B6937" s="1">
        <v>45813</v>
      </c>
      <c r="C6937" s="2">
        <v>0.95833333333333337</v>
      </c>
      <c r="D6937">
        <v>3</v>
      </c>
      <c r="E6937">
        <v>13.2</v>
      </c>
      <c r="F6937">
        <v>93</v>
      </c>
    </row>
    <row r="6938" spans="1:6" x14ac:dyDescent="0.35">
      <c r="A6938">
        <v>1975</v>
      </c>
      <c r="B6938" s="1">
        <v>45814</v>
      </c>
      <c r="C6938" s="2">
        <v>0</v>
      </c>
      <c r="D6938">
        <v>3</v>
      </c>
      <c r="E6938">
        <v>13.4</v>
      </c>
      <c r="F6938">
        <v>94</v>
      </c>
    </row>
    <row r="6939" spans="1:6" x14ac:dyDescent="0.35">
      <c r="A6939">
        <v>1975</v>
      </c>
      <c r="B6939" s="1">
        <v>45814</v>
      </c>
      <c r="C6939" s="2">
        <v>4.1666666666666657E-2</v>
      </c>
      <c r="D6939">
        <v>3</v>
      </c>
      <c r="E6939">
        <v>13.7</v>
      </c>
      <c r="F6939">
        <v>92</v>
      </c>
    </row>
    <row r="6940" spans="1:6" x14ac:dyDescent="0.35">
      <c r="A6940">
        <v>1975</v>
      </c>
      <c r="B6940" s="1">
        <v>45814</v>
      </c>
      <c r="C6940" s="2">
        <v>8.3333333333333329E-2</v>
      </c>
      <c r="D6940">
        <v>3</v>
      </c>
      <c r="E6940">
        <v>13.8</v>
      </c>
      <c r="F6940">
        <v>92</v>
      </c>
    </row>
    <row r="6941" spans="1:6" x14ac:dyDescent="0.35">
      <c r="A6941">
        <v>1975</v>
      </c>
      <c r="B6941" s="1">
        <v>45814</v>
      </c>
      <c r="C6941" s="2">
        <v>0.125</v>
      </c>
      <c r="D6941">
        <v>3</v>
      </c>
      <c r="E6941">
        <v>13.9</v>
      </c>
      <c r="F6941">
        <v>95</v>
      </c>
    </row>
    <row r="6942" spans="1:6" x14ac:dyDescent="0.35">
      <c r="A6942">
        <v>1975</v>
      </c>
      <c r="B6942" s="1">
        <v>45814</v>
      </c>
      <c r="C6942" s="2">
        <v>0.16666666666666671</v>
      </c>
      <c r="D6942">
        <v>3</v>
      </c>
      <c r="E6942">
        <v>14.2</v>
      </c>
      <c r="F6942">
        <v>94</v>
      </c>
    </row>
    <row r="6943" spans="1:6" x14ac:dyDescent="0.35">
      <c r="A6943">
        <v>1975</v>
      </c>
      <c r="B6943" s="1">
        <v>45814</v>
      </c>
      <c r="C6943" s="2">
        <v>0.20833333333333329</v>
      </c>
      <c r="D6943">
        <v>3</v>
      </c>
      <c r="E6943">
        <v>14.3</v>
      </c>
      <c r="F6943">
        <v>97</v>
      </c>
    </row>
    <row r="6944" spans="1:6" x14ac:dyDescent="0.35">
      <c r="A6944">
        <v>1975</v>
      </c>
      <c r="B6944" s="1">
        <v>45814</v>
      </c>
      <c r="C6944" s="2">
        <v>0.25</v>
      </c>
      <c r="D6944">
        <v>3</v>
      </c>
      <c r="E6944">
        <v>14.9</v>
      </c>
      <c r="F6944">
        <v>95</v>
      </c>
    </row>
    <row r="6945" spans="1:6" x14ac:dyDescent="0.35">
      <c r="A6945">
        <v>1975</v>
      </c>
      <c r="B6945" s="1">
        <v>45814</v>
      </c>
      <c r="C6945" s="2">
        <v>0.29166666666666669</v>
      </c>
      <c r="D6945">
        <v>3</v>
      </c>
      <c r="E6945">
        <v>15</v>
      </c>
      <c r="F6945">
        <v>93</v>
      </c>
    </row>
    <row r="6946" spans="1:6" x14ac:dyDescent="0.35">
      <c r="A6946">
        <v>1975</v>
      </c>
      <c r="B6946" s="1">
        <v>45814</v>
      </c>
      <c r="C6946" s="2">
        <v>0.33333333333333331</v>
      </c>
      <c r="D6946">
        <v>3</v>
      </c>
      <c r="E6946">
        <v>15.9</v>
      </c>
      <c r="F6946">
        <v>82</v>
      </c>
    </row>
    <row r="6947" spans="1:6" x14ac:dyDescent="0.35">
      <c r="A6947">
        <v>1975</v>
      </c>
      <c r="B6947" s="1">
        <v>45814</v>
      </c>
      <c r="C6947" s="2">
        <v>0.375</v>
      </c>
      <c r="D6947">
        <v>3</v>
      </c>
      <c r="E6947">
        <v>16.8</v>
      </c>
      <c r="F6947">
        <v>73</v>
      </c>
    </row>
    <row r="6948" spans="1:6" x14ac:dyDescent="0.35">
      <c r="A6948">
        <v>1975</v>
      </c>
      <c r="B6948" s="1">
        <v>45814</v>
      </c>
      <c r="C6948" s="2">
        <v>0.41666666666666669</v>
      </c>
      <c r="D6948">
        <v>3</v>
      </c>
      <c r="E6948">
        <v>17.100000000000001</v>
      </c>
      <c r="F6948">
        <v>70</v>
      </c>
    </row>
    <row r="6949" spans="1:6" x14ac:dyDescent="0.35">
      <c r="A6949">
        <v>1975</v>
      </c>
      <c r="B6949" s="1">
        <v>45814</v>
      </c>
      <c r="C6949" s="2">
        <v>0.45833333333333331</v>
      </c>
      <c r="D6949">
        <v>3</v>
      </c>
      <c r="E6949">
        <v>15.7</v>
      </c>
      <c r="F6949">
        <v>78</v>
      </c>
    </row>
    <row r="6950" spans="1:6" x14ac:dyDescent="0.35">
      <c r="A6950">
        <v>1975</v>
      </c>
      <c r="B6950" s="1">
        <v>45814</v>
      </c>
      <c r="C6950" s="2">
        <v>0.5</v>
      </c>
      <c r="D6950">
        <v>3</v>
      </c>
      <c r="E6950">
        <v>16.899999999999999</v>
      </c>
      <c r="F6950">
        <v>79</v>
      </c>
    </row>
    <row r="6951" spans="1:6" x14ac:dyDescent="0.35">
      <c r="A6951">
        <v>1975</v>
      </c>
      <c r="B6951" s="1">
        <v>45814</v>
      </c>
      <c r="C6951" s="2">
        <v>0.54166666666666663</v>
      </c>
      <c r="D6951">
        <v>3</v>
      </c>
      <c r="E6951">
        <v>16.100000000000001</v>
      </c>
      <c r="F6951">
        <v>72</v>
      </c>
    </row>
    <row r="6952" spans="1:6" x14ac:dyDescent="0.35">
      <c r="A6952">
        <v>1975</v>
      </c>
      <c r="B6952" s="1">
        <v>45814</v>
      </c>
      <c r="C6952" s="2">
        <v>0.58333333333333337</v>
      </c>
      <c r="D6952">
        <v>3</v>
      </c>
      <c r="E6952">
        <v>19.100000000000001</v>
      </c>
      <c r="F6952">
        <v>58</v>
      </c>
    </row>
    <row r="6953" spans="1:6" x14ac:dyDescent="0.35">
      <c r="A6953">
        <v>1975</v>
      </c>
      <c r="B6953" s="1">
        <v>45814</v>
      </c>
      <c r="C6953" s="2">
        <v>0.625</v>
      </c>
      <c r="D6953">
        <v>3</v>
      </c>
      <c r="E6953">
        <v>19.7</v>
      </c>
      <c r="F6953">
        <v>55</v>
      </c>
    </row>
    <row r="6954" spans="1:6" x14ac:dyDescent="0.35">
      <c r="A6954">
        <v>1975</v>
      </c>
      <c r="B6954" s="1">
        <v>45814</v>
      </c>
      <c r="C6954" s="2">
        <v>0.66666666666666663</v>
      </c>
      <c r="D6954">
        <v>3</v>
      </c>
      <c r="E6954">
        <v>17.3</v>
      </c>
      <c r="F6954">
        <v>65</v>
      </c>
    </row>
    <row r="6955" spans="1:6" x14ac:dyDescent="0.35">
      <c r="A6955">
        <v>1975</v>
      </c>
      <c r="B6955" s="1">
        <v>45814</v>
      </c>
      <c r="C6955" s="2">
        <v>0.70833333333333337</v>
      </c>
      <c r="D6955">
        <v>3</v>
      </c>
      <c r="E6955">
        <v>16.399999999999999</v>
      </c>
      <c r="F6955">
        <v>78</v>
      </c>
    </row>
    <row r="6956" spans="1:6" x14ac:dyDescent="0.35">
      <c r="A6956">
        <v>1975</v>
      </c>
      <c r="B6956" s="1">
        <v>45814</v>
      </c>
      <c r="C6956" s="2">
        <v>0.75</v>
      </c>
      <c r="D6956">
        <v>3</v>
      </c>
      <c r="E6956">
        <v>15</v>
      </c>
      <c r="F6956">
        <v>85</v>
      </c>
    </row>
    <row r="6957" spans="1:6" x14ac:dyDescent="0.35">
      <c r="A6957">
        <v>1975</v>
      </c>
      <c r="B6957" s="1">
        <v>45814</v>
      </c>
      <c r="C6957" s="2">
        <v>0.79166666666666663</v>
      </c>
      <c r="D6957">
        <v>3</v>
      </c>
      <c r="E6957">
        <v>14.7</v>
      </c>
      <c r="F6957">
        <v>84</v>
      </c>
    </row>
    <row r="6958" spans="1:6" x14ac:dyDescent="0.35">
      <c r="A6958">
        <v>1975</v>
      </c>
      <c r="B6958" s="1">
        <v>45814</v>
      </c>
      <c r="C6958" s="2">
        <v>0.83333333333333337</v>
      </c>
      <c r="D6958">
        <v>3</v>
      </c>
      <c r="E6958">
        <v>13.8</v>
      </c>
      <c r="F6958">
        <v>90</v>
      </c>
    </row>
    <row r="6959" spans="1:6" x14ac:dyDescent="0.35">
      <c r="A6959">
        <v>1975</v>
      </c>
      <c r="B6959" s="1">
        <v>45814</v>
      </c>
      <c r="C6959" s="2">
        <v>0.875</v>
      </c>
      <c r="D6959">
        <v>3</v>
      </c>
      <c r="E6959">
        <v>13</v>
      </c>
      <c r="F6959">
        <v>91</v>
      </c>
    </row>
    <row r="6960" spans="1:6" x14ac:dyDescent="0.35">
      <c r="A6960">
        <v>1975</v>
      </c>
      <c r="B6960" s="1">
        <v>45814</v>
      </c>
      <c r="C6960" s="2">
        <v>0.91666666666666663</v>
      </c>
      <c r="D6960">
        <v>3</v>
      </c>
      <c r="E6960">
        <v>12.4</v>
      </c>
      <c r="F6960">
        <v>93</v>
      </c>
    </row>
    <row r="6961" spans="1:6" x14ac:dyDescent="0.35">
      <c r="A6961">
        <v>1975</v>
      </c>
      <c r="B6961" s="1">
        <v>45814</v>
      </c>
      <c r="C6961" s="2">
        <v>0.95833333333333337</v>
      </c>
      <c r="D6961">
        <v>3</v>
      </c>
      <c r="E6961">
        <v>12.1</v>
      </c>
      <c r="F6961">
        <v>95</v>
      </c>
    </row>
    <row r="6962" spans="1:6" x14ac:dyDescent="0.35">
      <c r="A6962">
        <v>1975</v>
      </c>
      <c r="B6962" s="1">
        <v>45815</v>
      </c>
      <c r="C6962" s="2">
        <v>0</v>
      </c>
      <c r="D6962">
        <v>3</v>
      </c>
      <c r="E6962">
        <v>11.1</v>
      </c>
      <c r="F6962">
        <v>98</v>
      </c>
    </row>
    <row r="6963" spans="1:6" x14ac:dyDescent="0.35">
      <c r="A6963">
        <v>1975</v>
      </c>
      <c r="B6963" s="1">
        <v>45815</v>
      </c>
      <c r="C6963" s="2">
        <v>4.1666666666666657E-2</v>
      </c>
      <c r="D6963">
        <v>3</v>
      </c>
      <c r="E6963">
        <v>11.4</v>
      </c>
      <c r="F6963">
        <v>99</v>
      </c>
    </row>
    <row r="6964" spans="1:6" x14ac:dyDescent="0.35">
      <c r="A6964">
        <v>1975</v>
      </c>
      <c r="B6964" s="1">
        <v>45815</v>
      </c>
      <c r="C6964" s="2">
        <v>8.3333333333333329E-2</v>
      </c>
      <c r="D6964">
        <v>3</v>
      </c>
      <c r="E6964">
        <v>12.1</v>
      </c>
      <c r="F6964">
        <v>98</v>
      </c>
    </row>
    <row r="6965" spans="1:6" x14ac:dyDescent="0.35">
      <c r="A6965">
        <v>1975</v>
      </c>
      <c r="B6965" s="1">
        <v>45815</v>
      </c>
      <c r="C6965" s="2">
        <v>0.125</v>
      </c>
      <c r="D6965">
        <v>3</v>
      </c>
      <c r="E6965">
        <v>12.2</v>
      </c>
      <c r="F6965">
        <v>98</v>
      </c>
    </row>
    <row r="6966" spans="1:6" x14ac:dyDescent="0.35">
      <c r="A6966">
        <v>1975</v>
      </c>
      <c r="B6966" s="1">
        <v>45815</v>
      </c>
      <c r="C6966" s="2">
        <v>0.16666666666666671</v>
      </c>
      <c r="D6966">
        <v>3</v>
      </c>
      <c r="E6966">
        <v>12.6</v>
      </c>
      <c r="F6966">
        <v>97</v>
      </c>
    </row>
    <row r="6967" spans="1:6" x14ac:dyDescent="0.35">
      <c r="A6967">
        <v>1975</v>
      </c>
      <c r="B6967" s="1">
        <v>45815</v>
      </c>
      <c r="C6967" s="2">
        <v>0.20833333333333329</v>
      </c>
      <c r="D6967">
        <v>3</v>
      </c>
      <c r="E6967">
        <v>13.3</v>
      </c>
      <c r="F6967">
        <v>93</v>
      </c>
    </row>
    <row r="6968" spans="1:6" x14ac:dyDescent="0.35">
      <c r="A6968">
        <v>1975</v>
      </c>
      <c r="B6968" s="1">
        <v>45815</v>
      </c>
      <c r="C6968" s="2">
        <v>0.25</v>
      </c>
      <c r="D6968">
        <v>3</v>
      </c>
      <c r="E6968">
        <v>14.1</v>
      </c>
      <c r="F6968">
        <v>89</v>
      </c>
    </row>
    <row r="6969" spans="1:6" x14ac:dyDescent="0.35">
      <c r="A6969">
        <v>1975</v>
      </c>
      <c r="B6969" s="1">
        <v>45815</v>
      </c>
      <c r="C6969" s="2">
        <v>0.29166666666666669</v>
      </c>
      <c r="D6969">
        <v>3</v>
      </c>
      <c r="E6969">
        <v>14.9</v>
      </c>
      <c r="F6969">
        <v>86</v>
      </c>
    </row>
    <row r="6970" spans="1:6" x14ac:dyDescent="0.35">
      <c r="A6970">
        <v>1975</v>
      </c>
      <c r="B6970" s="1">
        <v>45815</v>
      </c>
      <c r="C6970" s="2">
        <v>0.33333333333333331</v>
      </c>
      <c r="D6970">
        <v>3</v>
      </c>
      <c r="E6970">
        <v>15.2</v>
      </c>
      <c r="F6970">
        <v>81</v>
      </c>
    </row>
    <row r="6971" spans="1:6" x14ac:dyDescent="0.35">
      <c r="A6971">
        <v>1975</v>
      </c>
      <c r="B6971" s="1">
        <v>45815</v>
      </c>
      <c r="C6971" s="2">
        <v>0.375</v>
      </c>
      <c r="D6971">
        <v>3</v>
      </c>
      <c r="E6971">
        <v>15.7</v>
      </c>
      <c r="F6971">
        <v>75</v>
      </c>
    </row>
    <row r="6972" spans="1:6" x14ac:dyDescent="0.35">
      <c r="A6972">
        <v>1975</v>
      </c>
      <c r="B6972" s="1">
        <v>45815</v>
      </c>
      <c r="C6972" s="2">
        <v>0.41666666666666669</v>
      </c>
      <c r="D6972">
        <v>3</v>
      </c>
      <c r="E6972">
        <v>15.5</v>
      </c>
      <c r="F6972">
        <v>74</v>
      </c>
    </row>
    <row r="6973" spans="1:6" x14ac:dyDescent="0.35">
      <c r="A6973">
        <v>1975</v>
      </c>
      <c r="B6973" s="1">
        <v>45815</v>
      </c>
      <c r="C6973" s="2">
        <v>0.45833333333333331</v>
      </c>
      <c r="D6973">
        <v>3</v>
      </c>
      <c r="E6973">
        <v>16.399999999999999</v>
      </c>
      <c r="F6973">
        <v>70</v>
      </c>
    </row>
    <row r="6974" spans="1:6" x14ac:dyDescent="0.35">
      <c r="A6974">
        <v>1975</v>
      </c>
      <c r="B6974" s="1">
        <v>45815</v>
      </c>
      <c r="C6974" s="2">
        <v>0.5</v>
      </c>
      <c r="D6974">
        <v>3</v>
      </c>
      <c r="E6974">
        <v>16.3</v>
      </c>
      <c r="F6974">
        <v>71</v>
      </c>
    </row>
    <row r="6975" spans="1:6" x14ac:dyDescent="0.35">
      <c r="A6975">
        <v>1975</v>
      </c>
      <c r="B6975" s="1">
        <v>45815</v>
      </c>
      <c r="C6975" s="2">
        <v>0.54166666666666663</v>
      </c>
      <c r="D6975">
        <v>3</v>
      </c>
      <c r="E6975">
        <v>16.7</v>
      </c>
      <c r="F6975">
        <v>69</v>
      </c>
    </row>
    <row r="6976" spans="1:6" x14ac:dyDescent="0.35">
      <c r="A6976">
        <v>1975</v>
      </c>
      <c r="B6976" s="1">
        <v>45815</v>
      </c>
      <c r="C6976" s="2">
        <v>0.58333333333333337</v>
      </c>
      <c r="D6976">
        <v>3</v>
      </c>
      <c r="E6976">
        <v>16.5</v>
      </c>
      <c r="F6976">
        <v>71</v>
      </c>
    </row>
    <row r="6977" spans="1:6" x14ac:dyDescent="0.35">
      <c r="A6977">
        <v>1975</v>
      </c>
      <c r="B6977" s="1">
        <v>45815</v>
      </c>
      <c r="C6977" s="2">
        <v>0.625</v>
      </c>
      <c r="D6977">
        <v>3</v>
      </c>
      <c r="E6977">
        <v>15.4</v>
      </c>
      <c r="F6977">
        <v>79</v>
      </c>
    </row>
    <row r="6978" spans="1:6" x14ac:dyDescent="0.35">
      <c r="A6978">
        <v>1975</v>
      </c>
      <c r="B6978" s="1">
        <v>45815</v>
      </c>
      <c r="C6978" s="2">
        <v>0.66666666666666663</v>
      </c>
      <c r="D6978">
        <v>3</v>
      </c>
      <c r="E6978">
        <v>16.100000000000001</v>
      </c>
      <c r="F6978">
        <v>87</v>
      </c>
    </row>
    <row r="6979" spans="1:6" x14ac:dyDescent="0.35">
      <c r="A6979">
        <v>1975</v>
      </c>
      <c r="B6979" s="1">
        <v>45815</v>
      </c>
      <c r="C6979" s="2">
        <v>0.70833333333333337</v>
      </c>
      <c r="D6979">
        <v>3</v>
      </c>
      <c r="E6979">
        <v>15.2</v>
      </c>
      <c r="F6979">
        <v>79</v>
      </c>
    </row>
    <row r="6980" spans="1:6" x14ac:dyDescent="0.35">
      <c r="A6980">
        <v>1975</v>
      </c>
      <c r="B6980" s="1">
        <v>45815</v>
      </c>
      <c r="C6980" s="2">
        <v>0.75</v>
      </c>
      <c r="D6980">
        <v>3</v>
      </c>
      <c r="E6980">
        <v>14.9</v>
      </c>
      <c r="F6980">
        <v>82</v>
      </c>
    </row>
    <row r="6981" spans="1:6" x14ac:dyDescent="0.35">
      <c r="A6981">
        <v>1975</v>
      </c>
      <c r="B6981" s="1">
        <v>45815</v>
      </c>
      <c r="C6981" s="2">
        <v>0.79166666666666663</v>
      </c>
      <c r="D6981">
        <v>3</v>
      </c>
      <c r="E6981">
        <v>13.1</v>
      </c>
      <c r="F6981">
        <v>97</v>
      </c>
    </row>
    <row r="6982" spans="1:6" x14ac:dyDescent="0.35">
      <c r="A6982">
        <v>1975</v>
      </c>
      <c r="B6982" s="1">
        <v>45815</v>
      </c>
      <c r="C6982" s="2">
        <v>0.83333333333333337</v>
      </c>
      <c r="D6982">
        <v>3</v>
      </c>
      <c r="E6982">
        <v>12.3</v>
      </c>
      <c r="F6982">
        <v>99</v>
      </c>
    </row>
    <row r="6983" spans="1:6" x14ac:dyDescent="0.35">
      <c r="A6983">
        <v>1975</v>
      </c>
      <c r="B6983" s="1">
        <v>45815</v>
      </c>
      <c r="C6983" s="2">
        <v>0.875</v>
      </c>
      <c r="D6983">
        <v>3</v>
      </c>
      <c r="E6983">
        <v>11.7</v>
      </c>
      <c r="F6983">
        <v>96</v>
      </c>
    </row>
    <row r="6984" spans="1:6" x14ac:dyDescent="0.35">
      <c r="A6984">
        <v>1975</v>
      </c>
      <c r="B6984" s="1">
        <v>45815</v>
      </c>
      <c r="C6984" s="2">
        <v>0.91666666666666663</v>
      </c>
      <c r="D6984">
        <v>3</v>
      </c>
      <c r="E6984">
        <v>11.2</v>
      </c>
      <c r="F6984">
        <v>100</v>
      </c>
    </row>
    <row r="6985" spans="1:6" x14ac:dyDescent="0.35">
      <c r="A6985">
        <v>1975</v>
      </c>
      <c r="B6985" s="1">
        <v>45815</v>
      </c>
      <c r="C6985" s="2">
        <v>0.95833333333333337</v>
      </c>
      <c r="D6985">
        <v>3</v>
      </c>
      <c r="E6985">
        <v>10.4</v>
      </c>
      <c r="F6985">
        <v>100</v>
      </c>
    </row>
    <row r="6986" spans="1:6" x14ac:dyDescent="0.35">
      <c r="A6986">
        <v>1975</v>
      </c>
      <c r="B6986" s="1">
        <v>45816</v>
      </c>
      <c r="C6986" s="2">
        <v>0</v>
      </c>
      <c r="D6986">
        <v>3</v>
      </c>
      <c r="E6986">
        <v>10.5</v>
      </c>
      <c r="F6986">
        <v>100</v>
      </c>
    </row>
    <row r="6987" spans="1:6" x14ac:dyDescent="0.35">
      <c r="A6987">
        <v>1975</v>
      </c>
      <c r="B6987" s="1">
        <v>45816</v>
      </c>
      <c r="C6987" s="2">
        <v>4.1666666666666657E-2</v>
      </c>
      <c r="D6987">
        <v>3</v>
      </c>
      <c r="E6987">
        <v>10.199999999999999</v>
      </c>
      <c r="F6987">
        <v>100</v>
      </c>
    </row>
    <row r="6988" spans="1:6" x14ac:dyDescent="0.35">
      <c r="A6988">
        <v>1975</v>
      </c>
      <c r="B6988" s="1">
        <v>45816</v>
      </c>
      <c r="C6988" s="2">
        <v>8.3333333333333329E-2</v>
      </c>
      <c r="D6988">
        <v>3</v>
      </c>
      <c r="E6988">
        <v>10.1</v>
      </c>
      <c r="F6988">
        <v>100</v>
      </c>
    </row>
    <row r="6989" spans="1:6" x14ac:dyDescent="0.35">
      <c r="A6989">
        <v>1975</v>
      </c>
      <c r="B6989" s="1">
        <v>45816</v>
      </c>
      <c r="C6989" s="2">
        <v>0.125</v>
      </c>
      <c r="D6989">
        <v>3</v>
      </c>
      <c r="E6989">
        <v>10.9</v>
      </c>
      <c r="F6989">
        <v>99</v>
      </c>
    </row>
    <row r="6990" spans="1:6" x14ac:dyDescent="0.35">
      <c r="A6990">
        <v>1975</v>
      </c>
      <c r="B6990" s="1">
        <v>45816</v>
      </c>
      <c r="C6990" s="2">
        <v>0.16666666666666671</v>
      </c>
      <c r="D6990">
        <v>3</v>
      </c>
      <c r="E6990">
        <v>11.2</v>
      </c>
      <c r="F6990">
        <v>99</v>
      </c>
    </row>
    <row r="6991" spans="1:6" x14ac:dyDescent="0.35">
      <c r="A6991">
        <v>1975</v>
      </c>
      <c r="B6991" s="1">
        <v>45816</v>
      </c>
      <c r="C6991" s="2">
        <v>0.20833333333333329</v>
      </c>
      <c r="D6991">
        <v>3</v>
      </c>
      <c r="E6991">
        <v>11.4</v>
      </c>
      <c r="F6991">
        <v>100</v>
      </c>
    </row>
    <row r="6992" spans="1:6" x14ac:dyDescent="0.35">
      <c r="A6992">
        <v>1975</v>
      </c>
      <c r="B6992" s="1">
        <v>45816</v>
      </c>
      <c r="C6992" s="2">
        <v>0.25</v>
      </c>
      <c r="D6992">
        <v>3</v>
      </c>
      <c r="E6992">
        <v>11.9</v>
      </c>
      <c r="F6992">
        <v>99</v>
      </c>
    </row>
    <row r="6993" spans="1:6" x14ac:dyDescent="0.35">
      <c r="A6993">
        <v>1975</v>
      </c>
      <c r="B6993" s="1">
        <v>45816</v>
      </c>
      <c r="C6993" s="2">
        <v>0.29166666666666669</v>
      </c>
      <c r="D6993">
        <v>3</v>
      </c>
      <c r="E6993">
        <v>12.4</v>
      </c>
      <c r="F6993">
        <v>99</v>
      </c>
    </row>
    <row r="6994" spans="1:6" x14ac:dyDescent="0.35">
      <c r="A6994">
        <v>1975</v>
      </c>
      <c r="B6994" s="1">
        <v>45816</v>
      </c>
      <c r="C6994" s="2">
        <v>0.33333333333333331</v>
      </c>
      <c r="D6994">
        <v>3</v>
      </c>
      <c r="E6994">
        <v>13.2</v>
      </c>
      <c r="F6994">
        <v>93</v>
      </c>
    </row>
    <row r="6995" spans="1:6" x14ac:dyDescent="0.35">
      <c r="A6995">
        <v>1975</v>
      </c>
      <c r="B6995" s="1">
        <v>45816</v>
      </c>
      <c r="C6995" s="2">
        <v>0.375</v>
      </c>
      <c r="D6995">
        <v>3</v>
      </c>
      <c r="E6995">
        <v>12.8</v>
      </c>
      <c r="F6995">
        <v>96</v>
      </c>
    </row>
    <row r="6996" spans="1:6" x14ac:dyDescent="0.35">
      <c r="A6996">
        <v>1975</v>
      </c>
      <c r="B6996" s="1">
        <v>45816</v>
      </c>
      <c r="C6996" s="2">
        <v>0.41666666666666669</v>
      </c>
      <c r="D6996">
        <v>3</v>
      </c>
      <c r="E6996">
        <v>13.6</v>
      </c>
      <c r="F6996">
        <v>89</v>
      </c>
    </row>
    <row r="6997" spans="1:6" x14ac:dyDescent="0.35">
      <c r="A6997">
        <v>1975</v>
      </c>
      <c r="B6997" s="1">
        <v>45816</v>
      </c>
      <c r="C6997" s="2">
        <v>0.45833333333333331</v>
      </c>
      <c r="D6997">
        <v>3</v>
      </c>
      <c r="E6997">
        <v>13</v>
      </c>
      <c r="F6997">
        <v>95</v>
      </c>
    </row>
    <row r="6998" spans="1:6" x14ac:dyDescent="0.35">
      <c r="A6998">
        <v>1975</v>
      </c>
      <c r="B6998" s="1">
        <v>45816</v>
      </c>
      <c r="C6998" s="2">
        <v>0.5</v>
      </c>
      <c r="D6998">
        <v>3</v>
      </c>
      <c r="E6998">
        <v>13.1</v>
      </c>
      <c r="F6998">
        <v>93</v>
      </c>
    </row>
    <row r="6999" spans="1:6" x14ac:dyDescent="0.35">
      <c r="A6999">
        <v>1975</v>
      </c>
      <c r="B6999" s="1">
        <v>45816</v>
      </c>
      <c r="C6999" s="2">
        <v>0.54166666666666663</v>
      </c>
      <c r="D6999">
        <v>3</v>
      </c>
      <c r="E6999">
        <v>13.1</v>
      </c>
      <c r="F6999">
        <v>86</v>
      </c>
    </row>
    <row r="7000" spans="1:6" x14ac:dyDescent="0.35">
      <c r="A7000">
        <v>1975</v>
      </c>
      <c r="B7000" s="1">
        <v>45816</v>
      </c>
      <c r="C7000" s="2">
        <v>0.58333333333333337</v>
      </c>
      <c r="D7000">
        <v>3</v>
      </c>
      <c r="E7000">
        <v>13.4</v>
      </c>
      <c r="F7000">
        <v>80</v>
      </c>
    </row>
    <row r="7001" spans="1:6" x14ac:dyDescent="0.35">
      <c r="A7001">
        <v>1975</v>
      </c>
      <c r="B7001" s="1">
        <v>45816</v>
      </c>
      <c r="C7001" s="2">
        <v>0.625</v>
      </c>
      <c r="D7001">
        <v>3</v>
      </c>
      <c r="E7001">
        <v>14.3</v>
      </c>
      <c r="F7001">
        <v>74</v>
      </c>
    </row>
    <row r="7002" spans="1:6" x14ac:dyDescent="0.35">
      <c r="A7002">
        <v>1975</v>
      </c>
      <c r="B7002" s="1">
        <v>45816</v>
      </c>
      <c r="C7002" s="2">
        <v>0.66666666666666663</v>
      </c>
      <c r="D7002">
        <v>3</v>
      </c>
      <c r="E7002">
        <v>13.7</v>
      </c>
      <c r="F7002">
        <v>76</v>
      </c>
    </row>
    <row r="7003" spans="1:6" x14ac:dyDescent="0.35">
      <c r="A7003">
        <v>1975</v>
      </c>
      <c r="B7003" s="1">
        <v>45816</v>
      </c>
      <c r="C7003" s="2">
        <v>0.70833333333333337</v>
      </c>
      <c r="D7003">
        <v>3</v>
      </c>
      <c r="E7003">
        <v>13.8</v>
      </c>
      <c r="F7003">
        <v>78</v>
      </c>
    </row>
    <row r="7004" spans="1:6" x14ac:dyDescent="0.35">
      <c r="A7004">
        <v>1975</v>
      </c>
      <c r="B7004" s="1">
        <v>45816</v>
      </c>
      <c r="C7004" s="2">
        <v>0.75</v>
      </c>
      <c r="D7004">
        <v>3</v>
      </c>
      <c r="E7004">
        <v>13.6</v>
      </c>
      <c r="F7004">
        <v>76</v>
      </c>
    </row>
    <row r="7005" spans="1:6" x14ac:dyDescent="0.35">
      <c r="A7005">
        <v>1975</v>
      </c>
      <c r="B7005" s="1">
        <v>45816</v>
      </c>
      <c r="C7005" s="2">
        <v>0.79166666666666663</v>
      </c>
      <c r="D7005">
        <v>3</v>
      </c>
      <c r="E7005">
        <v>12.9</v>
      </c>
      <c r="F7005">
        <v>78</v>
      </c>
    </row>
    <row r="7006" spans="1:6" x14ac:dyDescent="0.35">
      <c r="A7006">
        <v>1975</v>
      </c>
      <c r="B7006" s="1">
        <v>45816</v>
      </c>
      <c r="C7006" s="2">
        <v>0.83333333333333337</v>
      </c>
      <c r="D7006">
        <v>3</v>
      </c>
      <c r="E7006">
        <v>11.3</v>
      </c>
      <c r="F7006">
        <v>85</v>
      </c>
    </row>
    <row r="7007" spans="1:6" x14ac:dyDescent="0.35">
      <c r="A7007">
        <v>1975</v>
      </c>
      <c r="B7007" s="1">
        <v>45816</v>
      </c>
      <c r="C7007" s="2">
        <v>0.875</v>
      </c>
      <c r="D7007">
        <v>3</v>
      </c>
      <c r="E7007">
        <v>11.6</v>
      </c>
      <c r="F7007">
        <v>87</v>
      </c>
    </row>
    <row r="7008" spans="1:6" x14ac:dyDescent="0.35">
      <c r="A7008">
        <v>1975</v>
      </c>
      <c r="B7008" s="1">
        <v>45816</v>
      </c>
      <c r="C7008" s="2">
        <v>0.91666666666666663</v>
      </c>
      <c r="D7008">
        <v>3</v>
      </c>
      <c r="E7008">
        <v>11.4</v>
      </c>
      <c r="F7008">
        <v>89</v>
      </c>
    </row>
    <row r="7009" spans="1:6" x14ac:dyDescent="0.35">
      <c r="A7009">
        <v>1975</v>
      </c>
      <c r="B7009" s="1">
        <v>45816</v>
      </c>
      <c r="C7009" s="2">
        <v>0.95833333333333337</v>
      </c>
      <c r="D7009">
        <v>3</v>
      </c>
      <c r="E7009">
        <v>10.7</v>
      </c>
      <c r="F7009">
        <v>91</v>
      </c>
    </row>
    <row r="7010" spans="1:6" x14ac:dyDescent="0.35">
      <c r="A7010">
        <v>1975</v>
      </c>
      <c r="B7010" s="1">
        <v>45817</v>
      </c>
      <c r="C7010" s="2">
        <v>0</v>
      </c>
      <c r="D7010">
        <v>3</v>
      </c>
      <c r="E7010">
        <v>10.6</v>
      </c>
      <c r="F7010">
        <v>94</v>
      </c>
    </row>
    <row r="7011" spans="1:6" x14ac:dyDescent="0.35">
      <c r="A7011">
        <v>1975</v>
      </c>
      <c r="B7011" s="1">
        <v>45817</v>
      </c>
      <c r="C7011" s="2">
        <v>4.1666666666666657E-2</v>
      </c>
      <c r="D7011">
        <v>3</v>
      </c>
      <c r="E7011">
        <v>10.7</v>
      </c>
      <c r="F7011">
        <v>94</v>
      </c>
    </row>
    <row r="7012" spans="1:6" x14ac:dyDescent="0.35">
      <c r="A7012">
        <v>1975</v>
      </c>
      <c r="B7012" s="1">
        <v>45817</v>
      </c>
      <c r="C7012" s="2">
        <v>8.3333333333333329E-2</v>
      </c>
      <c r="D7012">
        <v>3</v>
      </c>
      <c r="E7012">
        <v>10.4</v>
      </c>
      <c r="F7012">
        <v>90</v>
      </c>
    </row>
    <row r="7013" spans="1:6" x14ac:dyDescent="0.35">
      <c r="A7013">
        <v>1975</v>
      </c>
      <c r="B7013" s="1">
        <v>45817</v>
      </c>
      <c r="C7013" s="2">
        <v>0.125</v>
      </c>
      <c r="D7013">
        <v>3</v>
      </c>
      <c r="E7013">
        <v>9.6999999999999993</v>
      </c>
      <c r="F7013">
        <v>94</v>
      </c>
    </row>
    <row r="7014" spans="1:6" x14ac:dyDescent="0.35">
      <c r="A7014">
        <v>1975</v>
      </c>
      <c r="B7014" s="1">
        <v>45817</v>
      </c>
      <c r="C7014" s="2">
        <v>0.16666666666666671</v>
      </c>
      <c r="D7014">
        <v>3</v>
      </c>
      <c r="E7014">
        <v>9.5</v>
      </c>
      <c r="F7014">
        <v>91</v>
      </c>
    </row>
    <row r="7015" spans="1:6" x14ac:dyDescent="0.35">
      <c r="A7015">
        <v>1975</v>
      </c>
      <c r="B7015" s="1">
        <v>45817</v>
      </c>
      <c r="C7015" s="2">
        <v>0.20833333333333329</v>
      </c>
      <c r="D7015">
        <v>3</v>
      </c>
      <c r="E7015">
        <v>9.4</v>
      </c>
      <c r="F7015">
        <v>92</v>
      </c>
    </row>
    <row r="7016" spans="1:6" x14ac:dyDescent="0.35">
      <c r="A7016">
        <v>1975</v>
      </c>
      <c r="B7016" s="1">
        <v>45817</v>
      </c>
      <c r="C7016" s="2">
        <v>0.25</v>
      </c>
      <c r="D7016">
        <v>3</v>
      </c>
      <c r="E7016">
        <v>10.3</v>
      </c>
      <c r="F7016">
        <v>90</v>
      </c>
    </row>
    <row r="7017" spans="1:6" x14ac:dyDescent="0.35">
      <c r="A7017">
        <v>1975</v>
      </c>
      <c r="B7017" s="1">
        <v>45817</v>
      </c>
      <c r="C7017" s="2">
        <v>0.29166666666666669</v>
      </c>
      <c r="D7017">
        <v>3</v>
      </c>
      <c r="E7017">
        <v>11.8</v>
      </c>
      <c r="F7017">
        <v>84</v>
      </c>
    </row>
    <row r="7018" spans="1:6" x14ac:dyDescent="0.35">
      <c r="A7018">
        <v>1975</v>
      </c>
      <c r="B7018" s="1">
        <v>45817</v>
      </c>
      <c r="C7018" s="2">
        <v>0.33333333333333331</v>
      </c>
      <c r="D7018">
        <v>3</v>
      </c>
      <c r="E7018">
        <v>12.8</v>
      </c>
      <c r="F7018">
        <v>73</v>
      </c>
    </row>
    <row r="7019" spans="1:6" x14ac:dyDescent="0.35">
      <c r="A7019">
        <v>1975</v>
      </c>
      <c r="B7019" s="1">
        <v>45817</v>
      </c>
      <c r="C7019" s="2">
        <v>0.375</v>
      </c>
      <c r="D7019">
        <v>3</v>
      </c>
      <c r="E7019">
        <v>13.7</v>
      </c>
      <c r="F7019">
        <v>66</v>
      </c>
    </row>
    <row r="7020" spans="1:6" x14ac:dyDescent="0.35">
      <c r="A7020">
        <v>1975</v>
      </c>
      <c r="B7020" s="1">
        <v>45817</v>
      </c>
      <c r="C7020" s="2">
        <v>0.41666666666666669</v>
      </c>
      <c r="D7020">
        <v>3</v>
      </c>
      <c r="E7020">
        <v>15</v>
      </c>
      <c r="F7020">
        <v>64</v>
      </c>
    </row>
    <row r="7021" spans="1:6" x14ac:dyDescent="0.35">
      <c r="A7021">
        <v>1975</v>
      </c>
      <c r="B7021" s="1">
        <v>45817</v>
      </c>
      <c r="C7021" s="2">
        <v>0.45833333333333331</v>
      </c>
      <c r="D7021">
        <v>3</v>
      </c>
      <c r="E7021">
        <v>15.5</v>
      </c>
      <c r="F7021">
        <v>60</v>
      </c>
    </row>
    <row r="7022" spans="1:6" x14ac:dyDescent="0.35">
      <c r="A7022">
        <v>1975</v>
      </c>
      <c r="B7022" s="1">
        <v>45817</v>
      </c>
      <c r="C7022" s="2">
        <v>0.5</v>
      </c>
      <c r="D7022">
        <v>3</v>
      </c>
      <c r="E7022">
        <v>16.2</v>
      </c>
      <c r="F7022">
        <v>47</v>
      </c>
    </row>
    <row r="7023" spans="1:6" x14ac:dyDescent="0.35">
      <c r="A7023">
        <v>1975</v>
      </c>
      <c r="B7023" s="1">
        <v>45817</v>
      </c>
      <c r="C7023" s="2">
        <v>0.54166666666666663</v>
      </c>
      <c r="D7023">
        <v>3</v>
      </c>
      <c r="E7023">
        <v>16.8</v>
      </c>
      <c r="F7023">
        <v>54</v>
      </c>
    </row>
    <row r="7024" spans="1:6" x14ac:dyDescent="0.35">
      <c r="A7024">
        <v>1975</v>
      </c>
      <c r="B7024" s="1">
        <v>45817</v>
      </c>
      <c r="C7024" s="2">
        <v>0.58333333333333337</v>
      </c>
      <c r="D7024">
        <v>3</v>
      </c>
      <c r="E7024">
        <v>15.8</v>
      </c>
      <c r="F7024">
        <v>68</v>
      </c>
    </row>
    <row r="7025" spans="1:6" x14ac:dyDescent="0.35">
      <c r="A7025">
        <v>1975</v>
      </c>
      <c r="B7025" s="1">
        <v>45817</v>
      </c>
      <c r="C7025" s="2">
        <v>0.625</v>
      </c>
      <c r="D7025">
        <v>3</v>
      </c>
      <c r="E7025">
        <v>15.9</v>
      </c>
      <c r="F7025">
        <v>64</v>
      </c>
    </row>
    <row r="7026" spans="1:6" x14ac:dyDescent="0.35">
      <c r="A7026">
        <v>1975</v>
      </c>
      <c r="B7026" s="1">
        <v>45817</v>
      </c>
      <c r="C7026" s="2">
        <v>0.66666666666666663</v>
      </c>
      <c r="D7026">
        <v>3</v>
      </c>
      <c r="E7026">
        <v>15.3</v>
      </c>
      <c r="F7026">
        <v>75</v>
      </c>
    </row>
    <row r="7027" spans="1:6" x14ac:dyDescent="0.35">
      <c r="A7027">
        <v>1975</v>
      </c>
      <c r="B7027" s="1">
        <v>45817</v>
      </c>
      <c r="C7027" s="2">
        <v>0.70833333333333337</v>
      </c>
      <c r="D7027">
        <v>3</v>
      </c>
      <c r="E7027">
        <v>15.5</v>
      </c>
      <c r="F7027">
        <v>74</v>
      </c>
    </row>
    <row r="7028" spans="1:6" x14ac:dyDescent="0.35">
      <c r="A7028">
        <v>1975</v>
      </c>
      <c r="B7028" s="1">
        <v>45817</v>
      </c>
      <c r="C7028" s="2">
        <v>0.75</v>
      </c>
      <c r="D7028">
        <v>3</v>
      </c>
      <c r="E7028">
        <v>13.9</v>
      </c>
      <c r="F7028">
        <v>84</v>
      </c>
    </row>
    <row r="7029" spans="1:6" x14ac:dyDescent="0.35">
      <c r="A7029">
        <v>1975</v>
      </c>
      <c r="B7029" s="1">
        <v>45817</v>
      </c>
      <c r="C7029" s="2">
        <v>0.79166666666666663</v>
      </c>
      <c r="D7029">
        <v>3</v>
      </c>
      <c r="E7029">
        <v>13.6</v>
      </c>
      <c r="F7029">
        <v>84</v>
      </c>
    </row>
    <row r="7030" spans="1:6" x14ac:dyDescent="0.35">
      <c r="A7030">
        <v>1975</v>
      </c>
      <c r="B7030" s="1">
        <v>45817</v>
      </c>
      <c r="C7030" s="2">
        <v>0.83333333333333337</v>
      </c>
      <c r="D7030">
        <v>3</v>
      </c>
      <c r="E7030">
        <v>12.8</v>
      </c>
      <c r="F7030">
        <v>87</v>
      </c>
    </row>
    <row r="7031" spans="1:6" x14ac:dyDescent="0.35">
      <c r="A7031">
        <v>1975</v>
      </c>
      <c r="B7031" s="1">
        <v>45817</v>
      </c>
      <c r="C7031" s="2">
        <v>0.875</v>
      </c>
      <c r="D7031">
        <v>3</v>
      </c>
      <c r="E7031">
        <v>12.2</v>
      </c>
      <c r="F7031">
        <v>95</v>
      </c>
    </row>
    <row r="7032" spans="1:6" x14ac:dyDescent="0.35">
      <c r="A7032">
        <v>1975</v>
      </c>
      <c r="B7032" s="1">
        <v>45817</v>
      </c>
      <c r="C7032" s="2">
        <v>0.91666666666666663</v>
      </c>
      <c r="D7032">
        <v>3</v>
      </c>
      <c r="E7032">
        <v>12.2</v>
      </c>
      <c r="F7032">
        <v>94</v>
      </c>
    </row>
    <row r="7033" spans="1:6" x14ac:dyDescent="0.35">
      <c r="A7033">
        <v>1975</v>
      </c>
      <c r="B7033" s="1">
        <v>45817</v>
      </c>
      <c r="C7033" s="2">
        <v>0.95833333333333337</v>
      </c>
      <c r="D7033">
        <v>3</v>
      </c>
      <c r="E7033">
        <v>12.8</v>
      </c>
      <c r="F7033">
        <v>94</v>
      </c>
    </row>
    <row r="7034" spans="1:6" x14ac:dyDescent="0.35">
      <c r="A7034">
        <v>1975</v>
      </c>
      <c r="B7034" s="1">
        <v>45818</v>
      </c>
      <c r="C7034" s="2">
        <v>0</v>
      </c>
      <c r="D7034">
        <v>3</v>
      </c>
      <c r="E7034">
        <v>12.2</v>
      </c>
      <c r="F7034">
        <v>96</v>
      </c>
    </row>
    <row r="7035" spans="1:6" x14ac:dyDescent="0.35">
      <c r="A7035">
        <v>1975</v>
      </c>
      <c r="B7035" s="1">
        <v>45818</v>
      </c>
      <c r="C7035" s="2">
        <v>4.1666666666666657E-2</v>
      </c>
      <c r="D7035">
        <v>3</v>
      </c>
      <c r="E7035">
        <v>12.6</v>
      </c>
      <c r="F7035">
        <v>92</v>
      </c>
    </row>
    <row r="7036" spans="1:6" x14ac:dyDescent="0.35">
      <c r="A7036">
        <v>1975</v>
      </c>
      <c r="B7036" s="1">
        <v>45818</v>
      </c>
      <c r="C7036" s="2">
        <v>8.3333333333333329E-2</v>
      </c>
      <c r="D7036">
        <v>3</v>
      </c>
      <c r="E7036">
        <v>12.5</v>
      </c>
      <c r="F7036">
        <v>89</v>
      </c>
    </row>
    <row r="7037" spans="1:6" x14ac:dyDescent="0.35">
      <c r="A7037">
        <v>1975</v>
      </c>
      <c r="B7037" s="1">
        <v>45818</v>
      </c>
      <c r="C7037" s="2">
        <v>0.125</v>
      </c>
      <c r="D7037">
        <v>3</v>
      </c>
      <c r="E7037">
        <v>12.5</v>
      </c>
      <c r="F7037">
        <v>92</v>
      </c>
    </row>
    <row r="7038" spans="1:6" x14ac:dyDescent="0.35">
      <c r="A7038">
        <v>1975</v>
      </c>
      <c r="B7038" s="1">
        <v>45818</v>
      </c>
      <c r="C7038" s="2">
        <v>0.16666666666666671</v>
      </c>
      <c r="D7038">
        <v>3</v>
      </c>
      <c r="E7038">
        <v>12.2</v>
      </c>
      <c r="F7038">
        <v>95</v>
      </c>
    </row>
    <row r="7039" spans="1:6" x14ac:dyDescent="0.35">
      <c r="A7039">
        <v>1975</v>
      </c>
      <c r="B7039" s="1">
        <v>45818</v>
      </c>
      <c r="C7039" s="2">
        <v>0.20833333333333329</v>
      </c>
      <c r="D7039">
        <v>3</v>
      </c>
      <c r="E7039">
        <v>12.4</v>
      </c>
      <c r="F7039">
        <v>95</v>
      </c>
    </row>
    <row r="7040" spans="1:6" x14ac:dyDescent="0.35">
      <c r="A7040">
        <v>1975</v>
      </c>
      <c r="B7040" s="1">
        <v>45818</v>
      </c>
      <c r="C7040" s="2">
        <v>0.25</v>
      </c>
      <c r="D7040">
        <v>3</v>
      </c>
      <c r="E7040">
        <v>12.6</v>
      </c>
      <c r="F7040">
        <v>95</v>
      </c>
    </row>
    <row r="7041" spans="1:6" x14ac:dyDescent="0.35">
      <c r="A7041">
        <v>1975</v>
      </c>
      <c r="B7041" s="1">
        <v>45818</v>
      </c>
      <c r="C7041" s="2">
        <v>0.29166666666666669</v>
      </c>
      <c r="D7041">
        <v>3</v>
      </c>
      <c r="E7041">
        <v>13.2</v>
      </c>
      <c r="F7041">
        <v>92</v>
      </c>
    </row>
    <row r="7042" spans="1:6" x14ac:dyDescent="0.35">
      <c r="A7042">
        <v>1975</v>
      </c>
      <c r="B7042" s="1">
        <v>45818</v>
      </c>
      <c r="C7042" s="2">
        <v>0.33333333333333331</v>
      </c>
      <c r="D7042">
        <v>3</v>
      </c>
      <c r="E7042">
        <v>13.6</v>
      </c>
      <c r="F7042">
        <v>93</v>
      </c>
    </row>
    <row r="7043" spans="1:6" x14ac:dyDescent="0.35">
      <c r="A7043">
        <v>1975</v>
      </c>
      <c r="B7043" s="1">
        <v>45818</v>
      </c>
      <c r="C7043" s="2">
        <v>0.375</v>
      </c>
      <c r="D7043">
        <v>3</v>
      </c>
      <c r="E7043">
        <v>13.7</v>
      </c>
      <c r="F7043">
        <v>90</v>
      </c>
    </row>
    <row r="7044" spans="1:6" x14ac:dyDescent="0.35">
      <c r="A7044">
        <v>1975</v>
      </c>
      <c r="B7044" s="1">
        <v>45818</v>
      </c>
      <c r="C7044" s="2">
        <v>0.41666666666666669</v>
      </c>
      <c r="D7044">
        <v>3</v>
      </c>
      <c r="E7044">
        <v>14</v>
      </c>
      <c r="F7044">
        <v>91</v>
      </c>
    </row>
    <row r="7045" spans="1:6" x14ac:dyDescent="0.35">
      <c r="A7045">
        <v>1975</v>
      </c>
      <c r="B7045" s="1">
        <v>45818</v>
      </c>
      <c r="C7045" s="2">
        <v>0.45833333333333331</v>
      </c>
      <c r="D7045">
        <v>3</v>
      </c>
      <c r="E7045">
        <v>14.7</v>
      </c>
      <c r="F7045">
        <v>82</v>
      </c>
    </row>
    <row r="7046" spans="1:6" x14ac:dyDescent="0.35">
      <c r="A7046">
        <v>1975</v>
      </c>
      <c r="B7046" s="1">
        <v>45818</v>
      </c>
      <c r="C7046" s="2">
        <v>0.5</v>
      </c>
      <c r="D7046">
        <v>3</v>
      </c>
      <c r="E7046">
        <v>14.9</v>
      </c>
      <c r="F7046">
        <v>80</v>
      </c>
    </row>
    <row r="7047" spans="1:6" x14ac:dyDescent="0.35">
      <c r="A7047">
        <v>1975</v>
      </c>
      <c r="B7047" s="1">
        <v>45818</v>
      </c>
      <c r="C7047" s="2">
        <v>0.54166666666666663</v>
      </c>
      <c r="D7047">
        <v>3</v>
      </c>
      <c r="E7047">
        <v>13.8</v>
      </c>
      <c r="F7047">
        <v>93</v>
      </c>
    </row>
    <row r="7048" spans="1:6" x14ac:dyDescent="0.35">
      <c r="A7048">
        <v>1975</v>
      </c>
      <c r="B7048" s="1">
        <v>45818</v>
      </c>
      <c r="C7048" s="2">
        <v>0.58333333333333337</v>
      </c>
      <c r="D7048">
        <v>3</v>
      </c>
      <c r="E7048">
        <v>14</v>
      </c>
      <c r="F7048">
        <v>95</v>
      </c>
    </row>
    <row r="7049" spans="1:6" x14ac:dyDescent="0.35">
      <c r="A7049">
        <v>1975</v>
      </c>
      <c r="B7049" s="1">
        <v>45818</v>
      </c>
      <c r="C7049" s="2">
        <v>0.625</v>
      </c>
      <c r="D7049">
        <v>3</v>
      </c>
      <c r="E7049">
        <v>14.6</v>
      </c>
      <c r="F7049">
        <v>95</v>
      </c>
    </row>
    <row r="7050" spans="1:6" x14ac:dyDescent="0.35">
      <c r="A7050">
        <v>1975</v>
      </c>
      <c r="B7050" s="1">
        <v>45818</v>
      </c>
      <c r="C7050" s="2">
        <v>0.66666666666666663</v>
      </c>
      <c r="D7050">
        <v>3</v>
      </c>
      <c r="E7050">
        <v>14.9</v>
      </c>
      <c r="F7050">
        <v>95</v>
      </c>
    </row>
    <row r="7051" spans="1:6" x14ac:dyDescent="0.35">
      <c r="A7051">
        <v>1975</v>
      </c>
      <c r="B7051" s="1">
        <v>45818</v>
      </c>
      <c r="C7051" s="2">
        <v>0.70833333333333337</v>
      </c>
      <c r="D7051">
        <v>3</v>
      </c>
      <c r="E7051">
        <v>15.3</v>
      </c>
      <c r="F7051">
        <v>85</v>
      </c>
    </row>
    <row r="7052" spans="1:6" x14ac:dyDescent="0.35">
      <c r="A7052">
        <v>1975</v>
      </c>
      <c r="B7052" s="1">
        <v>45818</v>
      </c>
      <c r="C7052" s="2">
        <v>0.75</v>
      </c>
      <c r="D7052">
        <v>3</v>
      </c>
      <c r="E7052">
        <v>15.1</v>
      </c>
      <c r="F7052">
        <v>82</v>
      </c>
    </row>
    <row r="7053" spans="1:6" x14ac:dyDescent="0.35">
      <c r="A7053">
        <v>1975</v>
      </c>
      <c r="B7053" s="1">
        <v>45818</v>
      </c>
      <c r="C7053" s="2">
        <v>0.79166666666666663</v>
      </c>
      <c r="D7053">
        <v>3</v>
      </c>
      <c r="E7053">
        <v>13.7</v>
      </c>
      <c r="F7053">
        <v>93</v>
      </c>
    </row>
    <row r="7054" spans="1:6" x14ac:dyDescent="0.35">
      <c r="A7054">
        <v>1975</v>
      </c>
      <c r="B7054" s="1">
        <v>45818</v>
      </c>
      <c r="C7054" s="2">
        <v>0.83333333333333337</v>
      </c>
      <c r="D7054">
        <v>3</v>
      </c>
      <c r="E7054">
        <v>13.3</v>
      </c>
      <c r="F7054">
        <v>96</v>
      </c>
    </row>
    <row r="7055" spans="1:6" x14ac:dyDescent="0.35">
      <c r="A7055">
        <v>1975</v>
      </c>
      <c r="B7055" s="1">
        <v>45818</v>
      </c>
      <c r="C7055" s="2">
        <v>0.875</v>
      </c>
      <c r="D7055">
        <v>3</v>
      </c>
      <c r="E7055">
        <v>12.7</v>
      </c>
      <c r="F7055">
        <v>87</v>
      </c>
    </row>
    <row r="7056" spans="1:6" x14ac:dyDescent="0.35">
      <c r="A7056">
        <v>1975</v>
      </c>
      <c r="B7056" s="1">
        <v>45818</v>
      </c>
      <c r="C7056" s="2">
        <v>0.91666666666666663</v>
      </c>
      <c r="D7056">
        <v>3</v>
      </c>
      <c r="E7056">
        <v>12.7</v>
      </c>
      <c r="F7056">
        <v>88</v>
      </c>
    </row>
    <row r="7057" spans="1:6" x14ac:dyDescent="0.35">
      <c r="A7057">
        <v>1975</v>
      </c>
      <c r="B7057" s="1">
        <v>45818</v>
      </c>
      <c r="C7057" s="2">
        <v>0.95833333333333337</v>
      </c>
      <c r="D7057">
        <v>3</v>
      </c>
      <c r="E7057">
        <v>12.5</v>
      </c>
      <c r="F7057">
        <v>87</v>
      </c>
    </row>
    <row r="7058" spans="1:6" x14ac:dyDescent="0.35">
      <c r="A7058">
        <v>1975</v>
      </c>
      <c r="B7058" s="1">
        <v>45819</v>
      </c>
      <c r="C7058" s="2">
        <v>0</v>
      </c>
      <c r="D7058">
        <v>3</v>
      </c>
      <c r="E7058">
        <v>12</v>
      </c>
      <c r="F7058">
        <v>91</v>
      </c>
    </row>
    <row r="7059" spans="1:6" x14ac:dyDescent="0.35">
      <c r="A7059">
        <v>1975</v>
      </c>
      <c r="B7059" s="1">
        <v>45819</v>
      </c>
      <c r="C7059" s="2">
        <v>4.1666666666666657E-2</v>
      </c>
      <c r="D7059">
        <v>3</v>
      </c>
      <c r="E7059">
        <v>12</v>
      </c>
      <c r="F7059">
        <v>89</v>
      </c>
    </row>
    <row r="7060" spans="1:6" x14ac:dyDescent="0.35">
      <c r="A7060">
        <v>1975</v>
      </c>
      <c r="B7060" s="1">
        <v>45819</v>
      </c>
      <c r="C7060" s="2">
        <v>8.3333333333333329E-2</v>
      </c>
      <c r="D7060">
        <v>3</v>
      </c>
      <c r="E7060">
        <v>11.7</v>
      </c>
      <c r="F7060">
        <v>84</v>
      </c>
    </row>
    <row r="7061" spans="1:6" x14ac:dyDescent="0.35">
      <c r="A7061">
        <v>1975</v>
      </c>
      <c r="B7061" s="1">
        <v>45819</v>
      </c>
      <c r="C7061" s="2">
        <v>0.125</v>
      </c>
      <c r="D7061">
        <v>3</v>
      </c>
      <c r="E7061">
        <v>11.2</v>
      </c>
      <c r="F7061">
        <v>85</v>
      </c>
    </row>
    <row r="7062" spans="1:6" x14ac:dyDescent="0.35">
      <c r="A7062">
        <v>1975</v>
      </c>
      <c r="B7062" s="1">
        <v>45819</v>
      </c>
      <c r="C7062" s="2">
        <v>0.16666666666666671</v>
      </c>
      <c r="D7062">
        <v>3</v>
      </c>
      <c r="E7062">
        <v>11</v>
      </c>
      <c r="F7062">
        <v>85</v>
      </c>
    </row>
    <row r="7063" spans="1:6" x14ac:dyDescent="0.35">
      <c r="A7063">
        <v>1975</v>
      </c>
      <c r="B7063" s="1">
        <v>45819</v>
      </c>
      <c r="C7063" s="2">
        <v>0.20833333333333329</v>
      </c>
      <c r="D7063">
        <v>3</v>
      </c>
      <c r="E7063">
        <v>11.9</v>
      </c>
      <c r="F7063">
        <v>81</v>
      </c>
    </row>
    <row r="7064" spans="1:6" x14ac:dyDescent="0.35">
      <c r="A7064">
        <v>1975</v>
      </c>
      <c r="B7064" s="1">
        <v>45819</v>
      </c>
      <c r="C7064" s="2">
        <v>0.25</v>
      </c>
      <c r="D7064">
        <v>3</v>
      </c>
      <c r="E7064">
        <v>13</v>
      </c>
      <c r="F7064">
        <v>74</v>
      </c>
    </row>
    <row r="7065" spans="1:6" x14ac:dyDescent="0.35">
      <c r="A7065">
        <v>1975</v>
      </c>
      <c r="B7065" s="1">
        <v>45819</v>
      </c>
      <c r="C7065" s="2">
        <v>0.29166666666666669</v>
      </c>
      <c r="D7065">
        <v>3</v>
      </c>
      <c r="E7065">
        <v>14</v>
      </c>
      <c r="F7065">
        <v>69</v>
      </c>
    </row>
    <row r="7066" spans="1:6" x14ac:dyDescent="0.35">
      <c r="A7066">
        <v>1975</v>
      </c>
      <c r="B7066" s="1">
        <v>45819</v>
      </c>
      <c r="C7066" s="2">
        <v>0.33333333333333331</v>
      </c>
      <c r="D7066">
        <v>3</v>
      </c>
      <c r="E7066">
        <v>14.6</v>
      </c>
      <c r="F7066">
        <v>66</v>
      </c>
    </row>
    <row r="7067" spans="1:6" x14ac:dyDescent="0.35">
      <c r="A7067">
        <v>1975</v>
      </c>
      <c r="B7067" s="1">
        <v>45819</v>
      </c>
      <c r="C7067" s="2">
        <v>0.375</v>
      </c>
      <c r="D7067">
        <v>3</v>
      </c>
      <c r="E7067">
        <v>15.7</v>
      </c>
      <c r="F7067">
        <v>63</v>
      </c>
    </row>
    <row r="7068" spans="1:6" x14ac:dyDescent="0.35">
      <c r="A7068">
        <v>1975</v>
      </c>
      <c r="B7068" s="1">
        <v>45819</v>
      </c>
      <c r="C7068" s="2">
        <v>0.41666666666666669</v>
      </c>
      <c r="D7068">
        <v>3</v>
      </c>
      <c r="E7068">
        <v>15.6</v>
      </c>
      <c r="F7068">
        <v>63</v>
      </c>
    </row>
    <row r="7069" spans="1:6" x14ac:dyDescent="0.35">
      <c r="A7069">
        <v>1975</v>
      </c>
      <c r="B7069" s="1">
        <v>45819</v>
      </c>
      <c r="C7069" s="2">
        <v>0.45833333333333331</v>
      </c>
      <c r="D7069">
        <v>3</v>
      </c>
      <c r="E7069">
        <v>16.3</v>
      </c>
      <c r="F7069">
        <v>61</v>
      </c>
    </row>
    <row r="7070" spans="1:6" x14ac:dyDescent="0.35">
      <c r="A7070">
        <v>1975</v>
      </c>
      <c r="B7070" s="1">
        <v>45819</v>
      </c>
      <c r="C7070" s="2">
        <v>0.5</v>
      </c>
      <c r="D7070">
        <v>3</v>
      </c>
      <c r="E7070">
        <v>16.7</v>
      </c>
      <c r="F7070">
        <v>62</v>
      </c>
    </row>
    <row r="7071" spans="1:6" x14ac:dyDescent="0.35">
      <c r="A7071">
        <v>1975</v>
      </c>
      <c r="B7071" s="1">
        <v>45819</v>
      </c>
      <c r="C7071" s="2">
        <v>0.54166666666666663</v>
      </c>
      <c r="D7071">
        <v>3</v>
      </c>
      <c r="E7071">
        <v>16.600000000000001</v>
      </c>
      <c r="F7071">
        <v>60</v>
      </c>
    </row>
    <row r="7072" spans="1:6" x14ac:dyDescent="0.35">
      <c r="A7072">
        <v>1975</v>
      </c>
      <c r="B7072" s="1">
        <v>45819</v>
      </c>
      <c r="C7072" s="2">
        <v>0.58333333333333337</v>
      </c>
      <c r="D7072">
        <v>3</v>
      </c>
      <c r="E7072">
        <v>16.399999999999999</v>
      </c>
      <c r="F7072">
        <v>64</v>
      </c>
    </row>
    <row r="7073" spans="1:6" x14ac:dyDescent="0.35">
      <c r="A7073">
        <v>1975</v>
      </c>
      <c r="B7073" s="1">
        <v>45819</v>
      </c>
      <c r="C7073" s="2">
        <v>0.625</v>
      </c>
      <c r="D7073">
        <v>3</v>
      </c>
      <c r="E7073">
        <v>16.399999999999999</v>
      </c>
      <c r="F7073">
        <v>58</v>
      </c>
    </row>
    <row r="7074" spans="1:6" x14ac:dyDescent="0.35">
      <c r="A7074">
        <v>1975</v>
      </c>
      <c r="B7074" s="1">
        <v>45819</v>
      </c>
      <c r="C7074" s="2">
        <v>0.66666666666666663</v>
      </c>
      <c r="D7074">
        <v>3</v>
      </c>
      <c r="E7074">
        <v>16.5</v>
      </c>
      <c r="F7074">
        <v>55</v>
      </c>
    </row>
    <row r="7075" spans="1:6" x14ac:dyDescent="0.35">
      <c r="A7075">
        <v>1975</v>
      </c>
      <c r="B7075" s="1">
        <v>45819</v>
      </c>
      <c r="C7075" s="2">
        <v>0.70833333333333337</v>
      </c>
      <c r="D7075">
        <v>3</v>
      </c>
      <c r="E7075">
        <v>15.9</v>
      </c>
      <c r="F7075">
        <v>62</v>
      </c>
    </row>
    <row r="7076" spans="1:6" x14ac:dyDescent="0.35">
      <c r="A7076">
        <v>1975</v>
      </c>
      <c r="B7076" s="1">
        <v>45819</v>
      </c>
      <c r="C7076" s="2">
        <v>0.75</v>
      </c>
      <c r="D7076">
        <v>3</v>
      </c>
      <c r="E7076">
        <v>15.2</v>
      </c>
      <c r="F7076">
        <v>63</v>
      </c>
    </row>
    <row r="7077" spans="1:6" x14ac:dyDescent="0.35">
      <c r="A7077">
        <v>1975</v>
      </c>
      <c r="B7077" s="1">
        <v>45819</v>
      </c>
      <c r="C7077" s="2">
        <v>0.79166666666666663</v>
      </c>
      <c r="D7077">
        <v>3</v>
      </c>
      <c r="E7077">
        <v>14.5</v>
      </c>
      <c r="F7077">
        <v>65</v>
      </c>
    </row>
    <row r="7078" spans="1:6" x14ac:dyDescent="0.35">
      <c r="A7078">
        <v>1975</v>
      </c>
      <c r="B7078" s="1">
        <v>45819</v>
      </c>
      <c r="C7078" s="2">
        <v>0.83333333333333337</v>
      </c>
      <c r="D7078">
        <v>3</v>
      </c>
      <c r="E7078">
        <v>13.2</v>
      </c>
      <c r="F7078">
        <v>72</v>
      </c>
    </row>
    <row r="7079" spans="1:6" x14ac:dyDescent="0.35">
      <c r="A7079">
        <v>1975</v>
      </c>
      <c r="B7079" s="1">
        <v>45819</v>
      </c>
      <c r="C7079" s="2">
        <v>0.875</v>
      </c>
      <c r="D7079">
        <v>3</v>
      </c>
      <c r="E7079">
        <v>11.8</v>
      </c>
      <c r="F7079">
        <v>80</v>
      </c>
    </row>
    <row r="7080" spans="1:6" x14ac:dyDescent="0.35">
      <c r="A7080">
        <v>1975</v>
      </c>
      <c r="B7080" s="1">
        <v>45819</v>
      </c>
      <c r="C7080" s="2">
        <v>0.91666666666666663</v>
      </c>
      <c r="D7080">
        <v>3</v>
      </c>
      <c r="E7080">
        <v>9.1</v>
      </c>
      <c r="F7080">
        <v>94</v>
      </c>
    </row>
    <row r="7081" spans="1:6" x14ac:dyDescent="0.35">
      <c r="A7081">
        <v>1975</v>
      </c>
      <c r="B7081" s="1">
        <v>45819</v>
      </c>
      <c r="C7081" s="2">
        <v>0.95833333333333337</v>
      </c>
      <c r="D7081">
        <v>3</v>
      </c>
      <c r="E7081">
        <v>8.9</v>
      </c>
      <c r="F7081">
        <v>99</v>
      </c>
    </row>
    <row r="7082" spans="1:6" x14ac:dyDescent="0.35">
      <c r="A7082">
        <v>1975</v>
      </c>
      <c r="B7082" s="1">
        <v>45820</v>
      </c>
      <c r="C7082" s="2">
        <v>0</v>
      </c>
      <c r="D7082">
        <v>3</v>
      </c>
      <c r="E7082">
        <v>8</v>
      </c>
      <c r="F7082">
        <v>100</v>
      </c>
    </row>
    <row r="7083" spans="1:6" x14ac:dyDescent="0.35">
      <c r="A7083">
        <v>1975</v>
      </c>
      <c r="B7083" s="1">
        <v>45820</v>
      </c>
      <c r="C7083" s="2">
        <v>4.1666666666666657E-2</v>
      </c>
      <c r="D7083">
        <v>3</v>
      </c>
      <c r="E7083">
        <v>7.5</v>
      </c>
      <c r="F7083">
        <v>100</v>
      </c>
    </row>
    <row r="7084" spans="1:6" x14ac:dyDescent="0.35">
      <c r="A7084">
        <v>1975</v>
      </c>
      <c r="B7084" s="1">
        <v>45820</v>
      </c>
      <c r="C7084" s="2">
        <v>8.3333333333333329E-2</v>
      </c>
      <c r="D7084">
        <v>3</v>
      </c>
      <c r="E7084">
        <v>6.3</v>
      </c>
      <c r="F7084">
        <v>98</v>
      </c>
    </row>
    <row r="7085" spans="1:6" x14ac:dyDescent="0.35">
      <c r="A7085">
        <v>1975</v>
      </c>
      <c r="B7085" s="1">
        <v>45820</v>
      </c>
      <c r="C7085" s="2">
        <v>0.125</v>
      </c>
      <c r="D7085">
        <v>3</v>
      </c>
      <c r="E7085">
        <v>6.2</v>
      </c>
      <c r="F7085">
        <v>100</v>
      </c>
    </row>
    <row r="7086" spans="1:6" x14ac:dyDescent="0.35">
      <c r="A7086">
        <v>1975</v>
      </c>
      <c r="B7086" s="1">
        <v>45820</v>
      </c>
      <c r="C7086" s="2">
        <v>0.16666666666666671</v>
      </c>
      <c r="D7086">
        <v>3</v>
      </c>
      <c r="E7086">
        <v>6.3</v>
      </c>
      <c r="F7086">
        <v>95</v>
      </c>
    </row>
    <row r="7087" spans="1:6" x14ac:dyDescent="0.35">
      <c r="A7087">
        <v>1975</v>
      </c>
      <c r="B7087" s="1">
        <v>45820</v>
      </c>
      <c r="C7087" s="2">
        <v>0.20833333333333329</v>
      </c>
      <c r="D7087">
        <v>3</v>
      </c>
      <c r="E7087">
        <v>10.7</v>
      </c>
      <c r="F7087">
        <v>89</v>
      </c>
    </row>
    <row r="7088" spans="1:6" x14ac:dyDescent="0.35">
      <c r="A7088">
        <v>1975</v>
      </c>
      <c r="B7088" s="1">
        <v>45820</v>
      </c>
      <c r="C7088" s="2">
        <v>0.25</v>
      </c>
      <c r="D7088">
        <v>3</v>
      </c>
      <c r="E7088">
        <v>13.5</v>
      </c>
      <c r="F7088">
        <v>80</v>
      </c>
    </row>
    <row r="7089" spans="1:6" x14ac:dyDescent="0.35">
      <c r="A7089">
        <v>1975</v>
      </c>
      <c r="B7089" s="1">
        <v>45820</v>
      </c>
      <c r="C7089" s="2">
        <v>0.29166666666666669</v>
      </c>
      <c r="D7089">
        <v>3</v>
      </c>
      <c r="E7089">
        <v>15.3</v>
      </c>
      <c r="F7089">
        <v>73</v>
      </c>
    </row>
    <row r="7090" spans="1:6" x14ac:dyDescent="0.35">
      <c r="A7090">
        <v>1975</v>
      </c>
      <c r="B7090" s="1">
        <v>45820</v>
      </c>
      <c r="C7090" s="2">
        <v>0.33333333333333331</v>
      </c>
      <c r="D7090">
        <v>3</v>
      </c>
      <c r="E7090">
        <v>16.3</v>
      </c>
      <c r="F7090">
        <v>67</v>
      </c>
    </row>
    <row r="7091" spans="1:6" x14ac:dyDescent="0.35">
      <c r="A7091">
        <v>1975</v>
      </c>
      <c r="B7091" s="1">
        <v>45820</v>
      </c>
      <c r="C7091" s="2">
        <v>0.375</v>
      </c>
      <c r="D7091">
        <v>3</v>
      </c>
      <c r="E7091">
        <v>17.600000000000001</v>
      </c>
      <c r="F7091">
        <v>58</v>
      </c>
    </row>
    <row r="7092" spans="1:6" x14ac:dyDescent="0.35">
      <c r="A7092">
        <v>1975</v>
      </c>
      <c r="B7092" s="1">
        <v>45820</v>
      </c>
      <c r="C7092" s="2">
        <v>0.41666666666666669</v>
      </c>
      <c r="D7092">
        <v>3</v>
      </c>
      <c r="E7092">
        <v>19</v>
      </c>
      <c r="F7092">
        <v>55</v>
      </c>
    </row>
    <row r="7093" spans="1:6" x14ac:dyDescent="0.35">
      <c r="A7093">
        <v>1975</v>
      </c>
      <c r="B7093" s="1">
        <v>45820</v>
      </c>
      <c r="C7093" s="2">
        <v>0.45833333333333331</v>
      </c>
      <c r="D7093">
        <v>3</v>
      </c>
      <c r="E7093">
        <v>19.399999999999999</v>
      </c>
      <c r="F7093">
        <v>52</v>
      </c>
    </row>
    <row r="7094" spans="1:6" x14ac:dyDescent="0.35">
      <c r="A7094">
        <v>1975</v>
      </c>
      <c r="B7094" s="1">
        <v>45820</v>
      </c>
      <c r="C7094" s="2">
        <v>0.5</v>
      </c>
      <c r="D7094">
        <v>3</v>
      </c>
      <c r="E7094">
        <v>20.5</v>
      </c>
      <c r="F7094">
        <v>49</v>
      </c>
    </row>
    <row r="7095" spans="1:6" x14ac:dyDescent="0.35">
      <c r="A7095">
        <v>1975</v>
      </c>
      <c r="B7095" s="1">
        <v>45820</v>
      </c>
      <c r="C7095" s="2">
        <v>0.54166666666666663</v>
      </c>
      <c r="D7095">
        <v>3</v>
      </c>
      <c r="E7095">
        <v>21.1</v>
      </c>
      <c r="F7095">
        <v>44</v>
      </c>
    </row>
    <row r="7096" spans="1:6" x14ac:dyDescent="0.35">
      <c r="A7096">
        <v>1975</v>
      </c>
      <c r="B7096" s="1">
        <v>45820</v>
      </c>
      <c r="C7096" s="2">
        <v>0.58333333333333337</v>
      </c>
      <c r="D7096">
        <v>3</v>
      </c>
      <c r="E7096">
        <v>22.4</v>
      </c>
      <c r="F7096">
        <v>43</v>
      </c>
    </row>
    <row r="7097" spans="1:6" x14ac:dyDescent="0.35">
      <c r="A7097">
        <v>1975</v>
      </c>
      <c r="B7097" s="1">
        <v>45820</v>
      </c>
      <c r="C7097" s="2">
        <v>0.625</v>
      </c>
      <c r="D7097">
        <v>3</v>
      </c>
      <c r="E7097">
        <v>22.8</v>
      </c>
      <c r="F7097">
        <v>42</v>
      </c>
    </row>
    <row r="7098" spans="1:6" x14ac:dyDescent="0.35">
      <c r="A7098">
        <v>1975</v>
      </c>
      <c r="B7098" s="1">
        <v>45820</v>
      </c>
      <c r="C7098" s="2">
        <v>0.66666666666666663</v>
      </c>
      <c r="D7098">
        <v>3</v>
      </c>
      <c r="E7098">
        <v>23</v>
      </c>
      <c r="F7098">
        <v>43</v>
      </c>
    </row>
    <row r="7099" spans="1:6" x14ac:dyDescent="0.35">
      <c r="A7099">
        <v>1975</v>
      </c>
      <c r="B7099" s="1">
        <v>45820</v>
      </c>
      <c r="C7099" s="2">
        <v>0.70833333333333337</v>
      </c>
      <c r="D7099">
        <v>3</v>
      </c>
      <c r="E7099">
        <v>22.7</v>
      </c>
      <c r="F7099">
        <v>43</v>
      </c>
    </row>
    <row r="7100" spans="1:6" x14ac:dyDescent="0.35">
      <c r="A7100">
        <v>1975</v>
      </c>
      <c r="B7100" s="1">
        <v>45820</v>
      </c>
      <c r="C7100" s="2">
        <v>0.75</v>
      </c>
      <c r="D7100">
        <v>3</v>
      </c>
      <c r="E7100">
        <v>21.9</v>
      </c>
      <c r="F7100">
        <v>39</v>
      </c>
    </row>
    <row r="7101" spans="1:6" x14ac:dyDescent="0.35">
      <c r="A7101">
        <v>1975</v>
      </c>
      <c r="B7101" s="1">
        <v>45820</v>
      </c>
      <c r="C7101" s="2">
        <v>0.79166666666666663</v>
      </c>
      <c r="D7101">
        <v>3</v>
      </c>
      <c r="E7101">
        <v>20.7</v>
      </c>
      <c r="F7101">
        <v>41</v>
      </c>
    </row>
    <row r="7102" spans="1:6" x14ac:dyDescent="0.35">
      <c r="A7102">
        <v>1975</v>
      </c>
      <c r="B7102" s="1">
        <v>45820</v>
      </c>
      <c r="C7102" s="2">
        <v>0.83333333333333337</v>
      </c>
      <c r="D7102">
        <v>3</v>
      </c>
      <c r="E7102">
        <v>19.100000000000001</v>
      </c>
      <c r="F7102">
        <v>47</v>
      </c>
    </row>
    <row r="7103" spans="1:6" x14ac:dyDescent="0.35">
      <c r="A7103">
        <v>1975</v>
      </c>
      <c r="B7103" s="1">
        <v>45820</v>
      </c>
      <c r="C7103" s="2">
        <v>0.875</v>
      </c>
      <c r="D7103">
        <v>3</v>
      </c>
      <c r="E7103">
        <v>18.3</v>
      </c>
      <c r="F7103">
        <v>55</v>
      </c>
    </row>
    <row r="7104" spans="1:6" x14ac:dyDescent="0.35">
      <c r="A7104">
        <v>1975</v>
      </c>
      <c r="B7104" s="1">
        <v>45820</v>
      </c>
      <c r="C7104" s="2">
        <v>0.91666666666666663</v>
      </c>
      <c r="D7104">
        <v>3</v>
      </c>
      <c r="E7104">
        <v>17.100000000000001</v>
      </c>
      <c r="F7104">
        <v>51</v>
      </c>
    </row>
    <row r="7105" spans="1:6" x14ac:dyDescent="0.35">
      <c r="A7105">
        <v>1975</v>
      </c>
      <c r="B7105" s="1">
        <v>45820</v>
      </c>
      <c r="C7105" s="2">
        <v>0.95833333333333337</v>
      </c>
      <c r="D7105">
        <v>3</v>
      </c>
      <c r="E7105">
        <v>15.9</v>
      </c>
      <c r="F7105">
        <v>49</v>
      </c>
    </row>
    <row r="7106" spans="1:6" x14ac:dyDescent="0.35">
      <c r="A7106">
        <v>1975</v>
      </c>
      <c r="B7106" s="1">
        <v>45821</v>
      </c>
      <c r="C7106" s="2">
        <v>0</v>
      </c>
      <c r="D7106">
        <v>3</v>
      </c>
      <c r="E7106">
        <v>15.2</v>
      </c>
      <c r="F7106">
        <v>46</v>
      </c>
    </row>
    <row r="7107" spans="1:6" x14ac:dyDescent="0.35">
      <c r="A7107">
        <v>1975</v>
      </c>
      <c r="B7107" s="1">
        <v>45821</v>
      </c>
      <c r="C7107" s="2">
        <v>4.1666666666666657E-2</v>
      </c>
      <c r="D7107">
        <v>3</v>
      </c>
      <c r="E7107">
        <v>14.2</v>
      </c>
      <c r="F7107">
        <v>48</v>
      </c>
    </row>
    <row r="7108" spans="1:6" x14ac:dyDescent="0.35">
      <c r="A7108">
        <v>1975</v>
      </c>
      <c r="B7108" s="1">
        <v>45821</v>
      </c>
      <c r="C7108" s="2">
        <v>8.3333333333333329E-2</v>
      </c>
      <c r="D7108">
        <v>3</v>
      </c>
      <c r="E7108">
        <v>13.6</v>
      </c>
      <c r="F7108">
        <v>51</v>
      </c>
    </row>
    <row r="7109" spans="1:6" x14ac:dyDescent="0.35">
      <c r="A7109">
        <v>1975</v>
      </c>
      <c r="B7109" s="1">
        <v>45821</v>
      </c>
      <c r="C7109" s="2">
        <v>0.125</v>
      </c>
      <c r="D7109">
        <v>3</v>
      </c>
      <c r="E7109">
        <v>13</v>
      </c>
      <c r="F7109">
        <v>53</v>
      </c>
    </row>
    <row r="7110" spans="1:6" x14ac:dyDescent="0.35">
      <c r="A7110">
        <v>1975</v>
      </c>
      <c r="B7110" s="1">
        <v>45821</v>
      </c>
      <c r="C7110" s="2">
        <v>0.16666666666666671</v>
      </c>
      <c r="D7110">
        <v>3</v>
      </c>
      <c r="E7110">
        <v>13.4</v>
      </c>
      <c r="F7110">
        <v>55</v>
      </c>
    </row>
    <row r="7111" spans="1:6" x14ac:dyDescent="0.35">
      <c r="A7111">
        <v>1975</v>
      </c>
      <c r="B7111" s="1">
        <v>45821</v>
      </c>
      <c r="C7111" s="2">
        <v>0.20833333333333329</v>
      </c>
      <c r="D7111">
        <v>3</v>
      </c>
      <c r="E7111">
        <v>14.2</v>
      </c>
      <c r="F7111">
        <v>58</v>
      </c>
    </row>
    <row r="7112" spans="1:6" x14ac:dyDescent="0.35">
      <c r="A7112">
        <v>1975</v>
      </c>
      <c r="B7112" s="1">
        <v>45821</v>
      </c>
      <c r="C7112" s="2">
        <v>0.25</v>
      </c>
      <c r="D7112">
        <v>3</v>
      </c>
      <c r="E7112">
        <v>15.6</v>
      </c>
      <c r="F7112">
        <v>55</v>
      </c>
    </row>
    <row r="7113" spans="1:6" x14ac:dyDescent="0.35">
      <c r="A7113">
        <v>1975</v>
      </c>
      <c r="B7113" s="1">
        <v>45821</v>
      </c>
      <c r="C7113" s="2">
        <v>0.29166666666666669</v>
      </c>
      <c r="D7113">
        <v>3</v>
      </c>
      <c r="E7113">
        <v>16.7</v>
      </c>
      <c r="F7113">
        <v>52</v>
      </c>
    </row>
    <row r="7114" spans="1:6" x14ac:dyDescent="0.35">
      <c r="A7114">
        <v>1975</v>
      </c>
      <c r="B7114" s="1">
        <v>45821</v>
      </c>
      <c r="C7114" s="2">
        <v>0.33333333333333331</v>
      </c>
      <c r="D7114">
        <v>3</v>
      </c>
      <c r="E7114">
        <v>18.7</v>
      </c>
      <c r="F7114">
        <v>51</v>
      </c>
    </row>
    <row r="7115" spans="1:6" x14ac:dyDescent="0.35">
      <c r="A7115">
        <v>1975</v>
      </c>
      <c r="B7115" s="1">
        <v>45821</v>
      </c>
      <c r="C7115" s="2">
        <v>0.375</v>
      </c>
      <c r="D7115">
        <v>3</v>
      </c>
      <c r="E7115">
        <v>20.399999999999999</v>
      </c>
      <c r="F7115">
        <v>48</v>
      </c>
    </row>
    <row r="7116" spans="1:6" x14ac:dyDescent="0.35">
      <c r="A7116">
        <v>1975</v>
      </c>
      <c r="B7116" s="1">
        <v>45821</v>
      </c>
      <c r="C7116" s="2">
        <v>0.41666666666666669</v>
      </c>
      <c r="D7116">
        <v>3</v>
      </c>
      <c r="E7116">
        <v>21.8</v>
      </c>
      <c r="F7116">
        <v>47</v>
      </c>
    </row>
    <row r="7117" spans="1:6" x14ac:dyDescent="0.35">
      <c r="A7117">
        <v>1975</v>
      </c>
      <c r="B7117" s="1">
        <v>45821</v>
      </c>
      <c r="C7117" s="2">
        <v>0.45833333333333331</v>
      </c>
      <c r="D7117">
        <v>3</v>
      </c>
      <c r="E7117">
        <v>23.3</v>
      </c>
      <c r="F7117">
        <v>44</v>
      </c>
    </row>
    <row r="7118" spans="1:6" x14ac:dyDescent="0.35">
      <c r="A7118">
        <v>1975</v>
      </c>
      <c r="B7118" s="1">
        <v>45821</v>
      </c>
      <c r="C7118" s="2">
        <v>0.5</v>
      </c>
      <c r="D7118">
        <v>3</v>
      </c>
      <c r="E7118">
        <v>24</v>
      </c>
      <c r="F7118">
        <v>45</v>
      </c>
    </row>
    <row r="7119" spans="1:6" x14ac:dyDescent="0.35">
      <c r="A7119">
        <v>1975</v>
      </c>
      <c r="B7119" s="1">
        <v>45821</v>
      </c>
      <c r="C7119" s="2">
        <v>0.54166666666666663</v>
      </c>
      <c r="D7119">
        <v>3</v>
      </c>
      <c r="E7119">
        <v>25</v>
      </c>
      <c r="F7119">
        <v>43</v>
      </c>
    </row>
    <row r="7120" spans="1:6" x14ac:dyDescent="0.35">
      <c r="A7120">
        <v>1975</v>
      </c>
      <c r="B7120" s="1">
        <v>45821</v>
      </c>
      <c r="C7120" s="2">
        <v>0.58333333333333337</v>
      </c>
      <c r="D7120">
        <v>3</v>
      </c>
      <c r="E7120">
        <v>25.4</v>
      </c>
      <c r="F7120">
        <v>43</v>
      </c>
    </row>
    <row r="7121" spans="1:6" x14ac:dyDescent="0.35">
      <c r="A7121">
        <v>1975</v>
      </c>
      <c r="B7121" s="1">
        <v>45821</v>
      </c>
      <c r="C7121" s="2">
        <v>0.625</v>
      </c>
      <c r="D7121">
        <v>3</v>
      </c>
      <c r="E7121">
        <v>25.4</v>
      </c>
      <c r="F7121">
        <v>43</v>
      </c>
    </row>
    <row r="7122" spans="1:6" x14ac:dyDescent="0.35">
      <c r="A7122">
        <v>1975</v>
      </c>
      <c r="B7122" s="1">
        <v>45821</v>
      </c>
      <c r="C7122" s="2">
        <v>0.66666666666666663</v>
      </c>
      <c r="D7122">
        <v>3</v>
      </c>
      <c r="E7122">
        <v>25.7</v>
      </c>
      <c r="F7122">
        <v>41</v>
      </c>
    </row>
    <row r="7123" spans="1:6" x14ac:dyDescent="0.35">
      <c r="A7123">
        <v>1975</v>
      </c>
      <c r="B7123" s="1">
        <v>45821</v>
      </c>
      <c r="C7123" s="2">
        <v>0.70833333333333337</v>
      </c>
      <c r="D7123">
        <v>3</v>
      </c>
      <c r="E7123">
        <v>25</v>
      </c>
      <c r="F7123">
        <v>40</v>
      </c>
    </row>
    <row r="7124" spans="1:6" x14ac:dyDescent="0.35">
      <c r="A7124">
        <v>1975</v>
      </c>
      <c r="B7124" s="1">
        <v>45821</v>
      </c>
      <c r="C7124" s="2">
        <v>0.75</v>
      </c>
      <c r="D7124">
        <v>3</v>
      </c>
      <c r="E7124">
        <v>24.4</v>
      </c>
      <c r="F7124">
        <v>40</v>
      </c>
    </row>
    <row r="7125" spans="1:6" x14ac:dyDescent="0.35">
      <c r="A7125">
        <v>1975</v>
      </c>
      <c r="B7125" s="1">
        <v>45821</v>
      </c>
      <c r="C7125" s="2">
        <v>0.79166666666666663</v>
      </c>
      <c r="D7125">
        <v>3</v>
      </c>
      <c r="E7125">
        <v>23.1</v>
      </c>
      <c r="F7125">
        <v>44</v>
      </c>
    </row>
    <row r="7126" spans="1:6" x14ac:dyDescent="0.35">
      <c r="A7126">
        <v>1975</v>
      </c>
      <c r="B7126" s="1">
        <v>45821</v>
      </c>
      <c r="C7126" s="2">
        <v>0.83333333333333337</v>
      </c>
      <c r="D7126">
        <v>3</v>
      </c>
      <c r="E7126">
        <v>21.7</v>
      </c>
      <c r="F7126">
        <v>46</v>
      </c>
    </row>
    <row r="7127" spans="1:6" x14ac:dyDescent="0.35">
      <c r="A7127">
        <v>1975</v>
      </c>
      <c r="B7127" s="1">
        <v>45821</v>
      </c>
      <c r="C7127" s="2">
        <v>0.875</v>
      </c>
      <c r="D7127">
        <v>3</v>
      </c>
      <c r="E7127">
        <v>19</v>
      </c>
      <c r="F7127">
        <v>55</v>
      </c>
    </row>
    <row r="7128" spans="1:6" x14ac:dyDescent="0.35">
      <c r="A7128">
        <v>1975</v>
      </c>
      <c r="B7128" s="1">
        <v>45821</v>
      </c>
      <c r="C7128" s="2">
        <v>0.91666666666666663</v>
      </c>
      <c r="D7128">
        <v>3</v>
      </c>
      <c r="E7128">
        <v>16.899999999999999</v>
      </c>
      <c r="F7128">
        <v>62</v>
      </c>
    </row>
    <row r="7129" spans="1:6" x14ac:dyDescent="0.35">
      <c r="A7129">
        <v>1975</v>
      </c>
      <c r="B7129" s="1">
        <v>45821</v>
      </c>
      <c r="C7129" s="2">
        <v>0.95833333333333337</v>
      </c>
      <c r="D7129">
        <v>3</v>
      </c>
      <c r="E7129">
        <v>17.600000000000001</v>
      </c>
      <c r="F7129">
        <v>53</v>
      </c>
    </row>
    <row r="7130" spans="1:6" x14ac:dyDescent="0.35">
      <c r="A7130">
        <v>1975</v>
      </c>
      <c r="B7130" s="1">
        <v>45822</v>
      </c>
      <c r="C7130" s="2">
        <v>0</v>
      </c>
      <c r="D7130">
        <v>3</v>
      </c>
      <c r="E7130">
        <v>16.899999999999999</v>
      </c>
      <c r="F7130">
        <v>55</v>
      </c>
    </row>
    <row r="7131" spans="1:6" x14ac:dyDescent="0.35">
      <c r="A7131">
        <v>1975</v>
      </c>
      <c r="B7131" s="1">
        <v>45822</v>
      </c>
      <c r="C7131" s="2">
        <v>4.1666666666666657E-2</v>
      </c>
      <c r="D7131">
        <v>3</v>
      </c>
      <c r="E7131">
        <v>16</v>
      </c>
      <c r="F7131">
        <v>61</v>
      </c>
    </row>
    <row r="7132" spans="1:6" x14ac:dyDescent="0.35">
      <c r="A7132">
        <v>1975</v>
      </c>
      <c r="B7132" s="1">
        <v>45822</v>
      </c>
      <c r="C7132" s="2">
        <v>8.3333333333333329E-2</v>
      </c>
      <c r="D7132">
        <v>3</v>
      </c>
      <c r="E7132">
        <v>15.3</v>
      </c>
      <c r="F7132">
        <v>66</v>
      </c>
    </row>
    <row r="7133" spans="1:6" x14ac:dyDescent="0.35">
      <c r="A7133">
        <v>1975</v>
      </c>
      <c r="B7133" s="1">
        <v>45822</v>
      </c>
      <c r="C7133" s="2">
        <v>0.125</v>
      </c>
      <c r="D7133">
        <v>3</v>
      </c>
      <c r="E7133">
        <v>15.3</v>
      </c>
      <c r="F7133">
        <v>66</v>
      </c>
    </row>
    <row r="7134" spans="1:6" x14ac:dyDescent="0.35">
      <c r="A7134">
        <v>1975</v>
      </c>
      <c r="B7134" s="1">
        <v>45822</v>
      </c>
      <c r="C7134" s="2">
        <v>0.16666666666666671</v>
      </c>
      <c r="D7134">
        <v>3</v>
      </c>
      <c r="E7134">
        <v>15.5</v>
      </c>
      <c r="F7134">
        <v>67</v>
      </c>
    </row>
    <row r="7135" spans="1:6" x14ac:dyDescent="0.35">
      <c r="A7135">
        <v>1975</v>
      </c>
      <c r="B7135" s="1">
        <v>45822</v>
      </c>
      <c r="C7135" s="2">
        <v>0.20833333333333329</v>
      </c>
      <c r="D7135">
        <v>3</v>
      </c>
      <c r="E7135">
        <v>16.7</v>
      </c>
      <c r="F7135">
        <v>65</v>
      </c>
    </row>
    <row r="7136" spans="1:6" x14ac:dyDescent="0.35">
      <c r="A7136">
        <v>1975</v>
      </c>
      <c r="B7136" s="1">
        <v>45822</v>
      </c>
      <c r="C7136" s="2">
        <v>0.25</v>
      </c>
      <c r="D7136">
        <v>3</v>
      </c>
      <c r="E7136">
        <v>18.100000000000001</v>
      </c>
      <c r="F7136">
        <v>64</v>
      </c>
    </row>
    <row r="7137" spans="1:6" x14ac:dyDescent="0.35">
      <c r="A7137">
        <v>1975</v>
      </c>
      <c r="B7137" s="1">
        <v>45822</v>
      </c>
      <c r="C7137" s="2">
        <v>0.29166666666666669</v>
      </c>
      <c r="D7137">
        <v>3</v>
      </c>
      <c r="E7137">
        <v>19.399999999999999</v>
      </c>
      <c r="F7137">
        <v>60</v>
      </c>
    </row>
    <row r="7138" spans="1:6" x14ac:dyDescent="0.35">
      <c r="A7138">
        <v>1975</v>
      </c>
      <c r="B7138" s="1">
        <v>45822</v>
      </c>
      <c r="C7138" s="2">
        <v>0.33333333333333331</v>
      </c>
      <c r="D7138">
        <v>3</v>
      </c>
      <c r="E7138">
        <v>21.3</v>
      </c>
      <c r="F7138">
        <v>56</v>
      </c>
    </row>
    <row r="7139" spans="1:6" x14ac:dyDescent="0.35">
      <c r="A7139">
        <v>1975</v>
      </c>
      <c r="B7139" s="1">
        <v>45822</v>
      </c>
      <c r="C7139" s="2">
        <v>0.375</v>
      </c>
      <c r="D7139">
        <v>3</v>
      </c>
      <c r="E7139">
        <v>23.4</v>
      </c>
      <c r="F7139">
        <v>52</v>
      </c>
    </row>
    <row r="7140" spans="1:6" x14ac:dyDescent="0.35">
      <c r="A7140">
        <v>1975</v>
      </c>
      <c r="B7140" s="1">
        <v>45822</v>
      </c>
      <c r="C7140" s="2">
        <v>0.41666666666666669</v>
      </c>
      <c r="D7140">
        <v>3</v>
      </c>
      <c r="E7140">
        <v>25</v>
      </c>
      <c r="F7140">
        <v>47</v>
      </c>
    </row>
    <row r="7141" spans="1:6" x14ac:dyDescent="0.35">
      <c r="A7141">
        <v>1975</v>
      </c>
      <c r="B7141" s="1">
        <v>45822</v>
      </c>
      <c r="C7141" s="2">
        <v>0.45833333333333331</v>
      </c>
      <c r="D7141">
        <v>3</v>
      </c>
      <c r="E7141">
        <v>26.4</v>
      </c>
      <c r="F7141">
        <v>46</v>
      </c>
    </row>
    <row r="7142" spans="1:6" x14ac:dyDescent="0.35">
      <c r="A7142">
        <v>1975</v>
      </c>
      <c r="B7142" s="1">
        <v>45822</v>
      </c>
      <c r="C7142" s="2">
        <v>0.5</v>
      </c>
      <c r="D7142">
        <v>3</v>
      </c>
      <c r="E7142">
        <v>27.6</v>
      </c>
      <c r="F7142">
        <v>41</v>
      </c>
    </row>
    <row r="7143" spans="1:6" x14ac:dyDescent="0.35">
      <c r="A7143">
        <v>1975</v>
      </c>
      <c r="B7143" s="1">
        <v>45822</v>
      </c>
      <c r="C7143" s="2">
        <v>0.54166666666666663</v>
      </c>
      <c r="D7143">
        <v>3</v>
      </c>
      <c r="E7143">
        <v>28.6</v>
      </c>
      <c r="F7143">
        <v>36</v>
      </c>
    </row>
    <row r="7144" spans="1:6" x14ac:dyDescent="0.35">
      <c r="A7144">
        <v>1975</v>
      </c>
      <c r="B7144" s="1">
        <v>45822</v>
      </c>
      <c r="C7144" s="2">
        <v>0.58333333333333337</v>
      </c>
      <c r="D7144">
        <v>3</v>
      </c>
      <c r="E7144">
        <v>29.2</v>
      </c>
      <c r="F7144">
        <v>37</v>
      </c>
    </row>
    <row r="7145" spans="1:6" x14ac:dyDescent="0.35">
      <c r="A7145">
        <v>1975</v>
      </c>
      <c r="B7145" s="1">
        <v>45822</v>
      </c>
      <c r="C7145" s="2">
        <v>0.625</v>
      </c>
      <c r="D7145">
        <v>3</v>
      </c>
      <c r="E7145">
        <v>29.3</v>
      </c>
      <c r="F7145">
        <v>35</v>
      </c>
    </row>
    <row r="7146" spans="1:6" x14ac:dyDescent="0.35">
      <c r="A7146">
        <v>1975</v>
      </c>
      <c r="B7146" s="1">
        <v>45822</v>
      </c>
      <c r="C7146" s="2">
        <v>0.66666666666666663</v>
      </c>
      <c r="D7146">
        <v>3</v>
      </c>
      <c r="E7146">
        <v>-999</v>
      </c>
      <c r="F7146">
        <v>-999</v>
      </c>
    </row>
    <row r="7147" spans="1:6" x14ac:dyDescent="0.35">
      <c r="A7147">
        <v>1975</v>
      </c>
      <c r="B7147" s="1">
        <v>45822</v>
      </c>
      <c r="C7147" s="2">
        <v>0.70833333333333337</v>
      </c>
      <c r="D7147">
        <v>3</v>
      </c>
      <c r="E7147">
        <v>-999</v>
      </c>
      <c r="F7147">
        <v>-999</v>
      </c>
    </row>
    <row r="7148" spans="1:6" x14ac:dyDescent="0.35">
      <c r="A7148">
        <v>1975</v>
      </c>
      <c r="B7148" s="1">
        <v>45822</v>
      </c>
      <c r="C7148" s="2">
        <v>0.75</v>
      </c>
      <c r="D7148">
        <v>3</v>
      </c>
      <c r="E7148">
        <v>28.4</v>
      </c>
      <c r="F7148">
        <v>40</v>
      </c>
    </row>
    <row r="7149" spans="1:6" x14ac:dyDescent="0.35">
      <c r="A7149">
        <v>1975</v>
      </c>
      <c r="B7149" s="1">
        <v>45822</v>
      </c>
      <c r="C7149" s="2">
        <v>0.79166666666666663</v>
      </c>
      <c r="D7149">
        <v>3</v>
      </c>
      <c r="E7149">
        <v>26.6</v>
      </c>
      <c r="F7149">
        <v>44</v>
      </c>
    </row>
    <row r="7150" spans="1:6" x14ac:dyDescent="0.35">
      <c r="A7150">
        <v>1975</v>
      </c>
      <c r="B7150" s="1">
        <v>45822</v>
      </c>
      <c r="C7150" s="2">
        <v>0.83333333333333337</v>
      </c>
      <c r="D7150">
        <v>3</v>
      </c>
      <c r="E7150">
        <v>25.9</v>
      </c>
      <c r="F7150">
        <v>46</v>
      </c>
    </row>
    <row r="7151" spans="1:6" x14ac:dyDescent="0.35">
      <c r="A7151">
        <v>1975</v>
      </c>
      <c r="B7151" s="1">
        <v>45822</v>
      </c>
      <c r="C7151" s="2">
        <v>0.875</v>
      </c>
      <c r="D7151">
        <v>3</v>
      </c>
      <c r="E7151">
        <v>23.8</v>
      </c>
      <c r="F7151">
        <v>52</v>
      </c>
    </row>
    <row r="7152" spans="1:6" x14ac:dyDescent="0.35">
      <c r="A7152">
        <v>1975</v>
      </c>
      <c r="B7152" s="1">
        <v>45822</v>
      </c>
      <c r="C7152" s="2">
        <v>0.91666666666666663</v>
      </c>
      <c r="D7152">
        <v>3</v>
      </c>
      <c r="E7152">
        <v>23.4</v>
      </c>
      <c r="F7152">
        <v>53</v>
      </c>
    </row>
    <row r="7153" spans="1:6" x14ac:dyDescent="0.35">
      <c r="A7153">
        <v>1975</v>
      </c>
      <c r="B7153" s="1">
        <v>45822</v>
      </c>
      <c r="C7153" s="2">
        <v>0.95833333333333337</v>
      </c>
      <c r="D7153">
        <v>3</v>
      </c>
      <c r="E7153">
        <v>23.2</v>
      </c>
      <c r="F7153">
        <v>51</v>
      </c>
    </row>
    <row r="7154" spans="1:6" x14ac:dyDescent="0.35">
      <c r="A7154">
        <v>1975</v>
      </c>
      <c r="B7154" s="1">
        <v>45823</v>
      </c>
      <c r="C7154" s="2">
        <v>0</v>
      </c>
      <c r="D7154">
        <v>3</v>
      </c>
      <c r="E7154">
        <v>22.7</v>
      </c>
      <c r="F7154">
        <v>58</v>
      </c>
    </row>
    <row r="7155" spans="1:6" x14ac:dyDescent="0.35">
      <c r="A7155">
        <v>1975</v>
      </c>
      <c r="B7155" s="1">
        <v>45823</v>
      </c>
      <c r="C7155" s="2">
        <v>4.1666666666666657E-2</v>
      </c>
      <c r="D7155">
        <v>3</v>
      </c>
      <c r="E7155">
        <v>22.1</v>
      </c>
      <c r="F7155">
        <v>75</v>
      </c>
    </row>
    <row r="7156" spans="1:6" x14ac:dyDescent="0.35">
      <c r="A7156">
        <v>1975</v>
      </c>
      <c r="B7156" s="1">
        <v>45823</v>
      </c>
      <c r="C7156" s="2">
        <v>8.3333333333333329E-2</v>
      </c>
      <c r="D7156">
        <v>3</v>
      </c>
      <c r="E7156">
        <v>20.3</v>
      </c>
      <c r="F7156">
        <v>81</v>
      </c>
    </row>
    <row r="7157" spans="1:6" x14ac:dyDescent="0.35">
      <c r="A7157">
        <v>1975</v>
      </c>
      <c r="B7157" s="1">
        <v>45823</v>
      </c>
      <c r="C7157" s="2">
        <v>0.125</v>
      </c>
      <c r="D7157">
        <v>3</v>
      </c>
      <c r="E7157">
        <v>19.5</v>
      </c>
      <c r="F7157">
        <v>85</v>
      </c>
    </row>
    <row r="7158" spans="1:6" x14ac:dyDescent="0.35">
      <c r="A7158">
        <v>1975</v>
      </c>
      <c r="B7158" s="1">
        <v>45823</v>
      </c>
      <c r="C7158" s="2">
        <v>0.16666666666666671</v>
      </c>
      <c r="D7158">
        <v>3</v>
      </c>
      <c r="E7158">
        <v>18.600000000000001</v>
      </c>
      <c r="F7158">
        <v>92</v>
      </c>
    </row>
    <row r="7159" spans="1:6" x14ac:dyDescent="0.35">
      <c r="A7159">
        <v>1975</v>
      </c>
      <c r="B7159" s="1">
        <v>45823</v>
      </c>
      <c r="C7159" s="2">
        <v>0.20833333333333329</v>
      </c>
      <c r="D7159">
        <v>3</v>
      </c>
      <c r="E7159">
        <v>19.399999999999999</v>
      </c>
      <c r="F7159">
        <v>82</v>
      </c>
    </row>
    <row r="7160" spans="1:6" x14ac:dyDescent="0.35">
      <c r="A7160">
        <v>1975</v>
      </c>
      <c r="B7160" s="1">
        <v>45823</v>
      </c>
      <c r="C7160" s="2">
        <v>0.25</v>
      </c>
      <c r="D7160">
        <v>3</v>
      </c>
      <c r="E7160">
        <v>20.8</v>
      </c>
      <c r="F7160">
        <v>78</v>
      </c>
    </row>
    <row r="7161" spans="1:6" x14ac:dyDescent="0.35">
      <c r="A7161">
        <v>1975</v>
      </c>
      <c r="B7161" s="1">
        <v>45823</v>
      </c>
      <c r="C7161" s="2">
        <v>0.29166666666666669</v>
      </c>
      <c r="D7161">
        <v>3</v>
      </c>
      <c r="E7161">
        <v>22.1</v>
      </c>
      <c r="F7161">
        <v>73</v>
      </c>
    </row>
    <row r="7162" spans="1:6" x14ac:dyDescent="0.35">
      <c r="A7162">
        <v>1975</v>
      </c>
      <c r="B7162" s="1">
        <v>45823</v>
      </c>
      <c r="C7162" s="2">
        <v>0.33333333333333331</v>
      </c>
      <c r="D7162">
        <v>3</v>
      </c>
      <c r="E7162">
        <v>21.5</v>
      </c>
      <c r="F7162">
        <v>74</v>
      </c>
    </row>
    <row r="7163" spans="1:6" x14ac:dyDescent="0.35">
      <c r="A7163">
        <v>1975</v>
      </c>
      <c r="B7163" s="1">
        <v>45823</v>
      </c>
      <c r="C7163" s="2">
        <v>0.375</v>
      </c>
      <c r="D7163">
        <v>3</v>
      </c>
      <c r="E7163">
        <v>21.7</v>
      </c>
      <c r="F7163">
        <v>67</v>
      </c>
    </row>
    <row r="7164" spans="1:6" x14ac:dyDescent="0.35">
      <c r="A7164">
        <v>1975</v>
      </c>
      <c r="B7164" s="1">
        <v>45823</v>
      </c>
      <c r="C7164" s="2">
        <v>0.41666666666666669</v>
      </c>
      <c r="D7164">
        <v>3</v>
      </c>
      <c r="E7164">
        <v>22.5</v>
      </c>
      <c r="F7164">
        <v>68</v>
      </c>
    </row>
    <row r="7165" spans="1:6" x14ac:dyDescent="0.35">
      <c r="A7165">
        <v>1975</v>
      </c>
      <c r="B7165" s="1">
        <v>45823</v>
      </c>
      <c r="C7165" s="2">
        <v>0.45833333333333331</v>
      </c>
      <c r="D7165">
        <v>3</v>
      </c>
      <c r="E7165">
        <v>22.2</v>
      </c>
      <c r="F7165">
        <v>68</v>
      </c>
    </row>
    <row r="7166" spans="1:6" x14ac:dyDescent="0.35">
      <c r="A7166">
        <v>1975</v>
      </c>
      <c r="B7166" s="1">
        <v>45823</v>
      </c>
      <c r="C7166" s="2">
        <v>0.5</v>
      </c>
      <c r="D7166">
        <v>3</v>
      </c>
      <c r="E7166">
        <v>16</v>
      </c>
      <c r="F7166">
        <v>95</v>
      </c>
    </row>
    <row r="7167" spans="1:6" x14ac:dyDescent="0.35">
      <c r="A7167">
        <v>1975</v>
      </c>
      <c r="B7167" s="1">
        <v>45823</v>
      </c>
      <c r="C7167" s="2">
        <v>0.54166666666666663</v>
      </c>
      <c r="D7167">
        <v>3</v>
      </c>
      <c r="E7167">
        <v>14.9</v>
      </c>
      <c r="F7167">
        <v>93</v>
      </c>
    </row>
    <row r="7168" spans="1:6" x14ac:dyDescent="0.35">
      <c r="A7168">
        <v>1975</v>
      </c>
      <c r="B7168" s="1">
        <v>45823</v>
      </c>
      <c r="C7168" s="2">
        <v>0.58333333333333337</v>
      </c>
      <c r="D7168">
        <v>3</v>
      </c>
      <c r="E7168">
        <v>16.2</v>
      </c>
      <c r="F7168">
        <v>88</v>
      </c>
    </row>
    <row r="7169" spans="1:6" x14ac:dyDescent="0.35">
      <c r="A7169">
        <v>1975</v>
      </c>
      <c r="B7169" s="1">
        <v>45823</v>
      </c>
      <c r="C7169" s="2">
        <v>0.625</v>
      </c>
      <c r="D7169">
        <v>3</v>
      </c>
      <c r="E7169">
        <v>16.399999999999999</v>
      </c>
      <c r="F7169">
        <v>90</v>
      </c>
    </row>
    <row r="7170" spans="1:6" x14ac:dyDescent="0.35">
      <c r="A7170">
        <v>1975</v>
      </c>
      <c r="B7170" s="1">
        <v>45823</v>
      </c>
      <c r="C7170" s="2">
        <v>0.66666666666666663</v>
      </c>
      <c r="D7170">
        <v>3</v>
      </c>
      <c r="E7170">
        <v>16.8</v>
      </c>
      <c r="F7170">
        <v>93</v>
      </c>
    </row>
    <row r="7171" spans="1:6" x14ac:dyDescent="0.35">
      <c r="A7171">
        <v>1975</v>
      </c>
      <c r="B7171" s="1">
        <v>45823</v>
      </c>
      <c r="C7171" s="2">
        <v>0.70833333333333337</v>
      </c>
      <c r="D7171">
        <v>3</v>
      </c>
      <c r="E7171">
        <v>17.399999999999999</v>
      </c>
      <c r="F7171">
        <v>91</v>
      </c>
    </row>
    <row r="7172" spans="1:6" x14ac:dyDescent="0.35">
      <c r="A7172">
        <v>1975</v>
      </c>
      <c r="B7172" s="1">
        <v>45823</v>
      </c>
      <c r="C7172" s="2">
        <v>0.75</v>
      </c>
      <c r="D7172">
        <v>3</v>
      </c>
      <c r="E7172">
        <v>17.7</v>
      </c>
      <c r="F7172">
        <v>93</v>
      </c>
    </row>
    <row r="7173" spans="1:6" x14ac:dyDescent="0.35">
      <c r="A7173">
        <v>1975</v>
      </c>
      <c r="B7173" s="1">
        <v>45823</v>
      </c>
      <c r="C7173" s="2">
        <v>0.79166666666666663</v>
      </c>
      <c r="D7173">
        <v>3</v>
      </c>
      <c r="E7173">
        <v>17.2</v>
      </c>
      <c r="F7173">
        <v>83</v>
      </c>
    </row>
    <row r="7174" spans="1:6" x14ac:dyDescent="0.35">
      <c r="A7174">
        <v>1975</v>
      </c>
      <c r="B7174" s="1">
        <v>45823</v>
      </c>
      <c r="C7174" s="2">
        <v>0.83333333333333337</v>
      </c>
      <c r="D7174">
        <v>3</v>
      </c>
      <c r="E7174">
        <v>16.5</v>
      </c>
      <c r="F7174">
        <v>86</v>
      </c>
    </row>
    <row r="7175" spans="1:6" x14ac:dyDescent="0.35">
      <c r="A7175">
        <v>1975</v>
      </c>
      <c r="B7175" s="1">
        <v>45823</v>
      </c>
      <c r="C7175" s="2">
        <v>0.875</v>
      </c>
      <c r="D7175">
        <v>3</v>
      </c>
      <c r="E7175">
        <v>16</v>
      </c>
      <c r="F7175">
        <v>85</v>
      </c>
    </row>
    <row r="7176" spans="1:6" x14ac:dyDescent="0.35">
      <c r="A7176">
        <v>1975</v>
      </c>
      <c r="B7176" s="1">
        <v>45823</v>
      </c>
      <c r="C7176" s="2">
        <v>0.91666666666666663</v>
      </c>
      <c r="D7176">
        <v>3</v>
      </c>
      <c r="E7176">
        <v>15.8</v>
      </c>
      <c r="F7176">
        <v>84</v>
      </c>
    </row>
    <row r="7177" spans="1:6" x14ac:dyDescent="0.35">
      <c r="A7177">
        <v>1975</v>
      </c>
      <c r="B7177" s="1">
        <v>45823</v>
      </c>
      <c r="C7177" s="2">
        <v>0.95833333333333337</v>
      </c>
      <c r="D7177">
        <v>3</v>
      </c>
      <c r="E7177">
        <v>14.8</v>
      </c>
      <c r="F7177">
        <v>90</v>
      </c>
    </row>
    <row r="7178" spans="1:6" x14ac:dyDescent="0.35">
      <c r="A7178">
        <v>1975</v>
      </c>
      <c r="B7178" s="1">
        <v>45824</v>
      </c>
      <c r="C7178" s="2">
        <v>0</v>
      </c>
      <c r="D7178">
        <v>3</v>
      </c>
      <c r="E7178">
        <v>14.1</v>
      </c>
      <c r="F7178">
        <v>94</v>
      </c>
    </row>
    <row r="7179" spans="1:6" x14ac:dyDescent="0.35">
      <c r="A7179">
        <v>1975</v>
      </c>
      <c r="B7179" s="1">
        <v>45824</v>
      </c>
      <c r="C7179" s="2">
        <v>4.1666666666666657E-2</v>
      </c>
      <c r="D7179">
        <v>3</v>
      </c>
      <c r="E7179">
        <v>14.3</v>
      </c>
      <c r="F7179">
        <v>89</v>
      </c>
    </row>
    <row r="7180" spans="1:6" x14ac:dyDescent="0.35">
      <c r="A7180">
        <v>1975</v>
      </c>
      <c r="B7180" s="1">
        <v>45824</v>
      </c>
      <c r="C7180" s="2">
        <v>8.3333333333333329E-2</v>
      </c>
      <c r="D7180">
        <v>3</v>
      </c>
      <c r="E7180">
        <v>14.6</v>
      </c>
      <c r="F7180">
        <v>85</v>
      </c>
    </row>
    <row r="7181" spans="1:6" x14ac:dyDescent="0.35">
      <c r="A7181">
        <v>1975</v>
      </c>
      <c r="B7181" s="1">
        <v>45824</v>
      </c>
      <c r="C7181" s="2">
        <v>0.125</v>
      </c>
      <c r="D7181">
        <v>3</v>
      </c>
      <c r="E7181">
        <v>14.3</v>
      </c>
      <c r="F7181">
        <v>88</v>
      </c>
    </row>
    <row r="7182" spans="1:6" x14ac:dyDescent="0.35">
      <c r="A7182">
        <v>1975</v>
      </c>
      <c r="B7182" s="1">
        <v>45824</v>
      </c>
      <c r="C7182" s="2">
        <v>0.16666666666666671</v>
      </c>
      <c r="D7182">
        <v>3</v>
      </c>
      <c r="E7182">
        <v>14.6</v>
      </c>
      <c r="F7182">
        <v>86</v>
      </c>
    </row>
    <row r="7183" spans="1:6" x14ac:dyDescent="0.35">
      <c r="A7183">
        <v>1975</v>
      </c>
      <c r="B7183" s="1">
        <v>45824</v>
      </c>
      <c r="C7183" s="2">
        <v>0.20833333333333329</v>
      </c>
      <c r="D7183">
        <v>3</v>
      </c>
      <c r="E7183">
        <v>14.8</v>
      </c>
      <c r="F7183">
        <v>85</v>
      </c>
    </row>
    <row r="7184" spans="1:6" x14ac:dyDescent="0.35">
      <c r="A7184">
        <v>1975</v>
      </c>
      <c r="B7184" s="1">
        <v>45824</v>
      </c>
      <c r="C7184" s="2">
        <v>0.25</v>
      </c>
      <c r="D7184">
        <v>3</v>
      </c>
      <c r="E7184">
        <v>15.6</v>
      </c>
      <c r="F7184">
        <v>79</v>
      </c>
    </row>
    <row r="7185" spans="1:6" x14ac:dyDescent="0.35">
      <c r="A7185">
        <v>1975</v>
      </c>
      <c r="B7185" s="1">
        <v>45824</v>
      </c>
      <c r="C7185" s="2">
        <v>0.29166666666666669</v>
      </c>
      <c r="D7185">
        <v>3</v>
      </c>
      <c r="E7185">
        <v>16.2</v>
      </c>
      <c r="F7185">
        <v>76</v>
      </c>
    </row>
    <row r="7186" spans="1:6" x14ac:dyDescent="0.35">
      <c r="A7186">
        <v>1975</v>
      </c>
      <c r="B7186" s="1">
        <v>45824</v>
      </c>
      <c r="C7186" s="2">
        <v>0.33333333333333331</v>
      </c>
      <c r="D7186">
        <v>3</v>
      </c>
      <c r="E7186">
        <v>17.5</v>
      </c>
      <c r="F7186">
        <v>71</v>
      </c>
    </row>
    <row r="7187" spans="1:6" x14ac:dyDescent="0.35">
      <c r="A7187">
        <v>1975</v>
      </c>
      <c r="B7187" s="1">
        <v>45824</v>
      </c>
      <c r="C7187" s="2">
        <v>0.375</v>
      </c>
      <c r="D7187">
        <v>3</v>
      </c>
      <c r="E7187">
        <v>18.2</v>
      </c>
      <c r="F7187">
        <v>66</v>
      </c>
    </row>
    <row r="7188" spans="1:6" x14ac:dyDescent="0.35">
      <c r="A7188">
        <v>1975</v>
      </c>
      <c r="B7188" s="1">
        <v>45824</v>
      </c>
      <c r="C7188" s="2">
        <v>0.41666666666666669</v>
      </c>
      <c r="D7188">
        <v>3</v>
      </c>
      <c r="E7188">
        <v>19.2</v>
      </c>
      <c r="F7188">
        <v>63</v>
      </c>
    </row>
    <row r="7189" spans="1:6" x14ac:dyDescent="0.35">
      <c r="A7189">
        <v>1975</v>
      </c>
      <c r="B7189" s="1">
        <v>45824</v>
      </c>
      <c r="C7189" s="2">
        <v>0.45833333333333331</v>
      </c>
      <c r="D7189">
        <v>3</v>
      </c>
      <c r="E7189">
        <v>19.600000000000001</v>
      </c>
      <c r="F7189">
        <v>58</v>
      </c>
    </row>
    <row r="7190" spans="1:6" x14ac:dyDescent="0.35">
      <c r="A7190">
        <v>1975</v>
      </c>
      <c r="B7190" s="1">
        <v>45824</v>
      </c>
      <c r="C7190" s="2">
        <v>0.5</v>
      </c>
      <c r="D7190">
        <v>3</v>
      </c>
      <c r="E7190">
        <v>19.899999999999999</v>
      </c>
      <c r="F7190">
        <v>60</v>
      </c>
    </row>
    <row r="7191" spans="1:6" x14ac:dyDescent="0.35">
      <c r="A7191">
        <v>1975</v>
      </c>
      <c r="B7191" s="1">
        <v>45824</v>
      </c>
      <c r="C7191" s="2">
        <v>0.54166666666666663</v>
      </c>
      <c r="D7191">
        <v>3</v>
      </c>
      <c r="E7191">
        <v>19.8</v>
      </c>
      <c r="F7191">
        <v>64</v>
      </c>
    </row>
    <row r="7192" spans="1:6" x14ac:dyDescent="0.35">
      <c r="A7192">
        <v>1975</v>
      </c>
      <c r="B7192" s="1">
        <v>45824</v>
      </c>
      <c r="C7192" s="2">
        <v>0.58333333333333337</v>
      </c>
      <c r="D7192">
        <v>3</v>
      </c>
      <c r="E7192">
        <v>20.8</v>
      </c>
      <c r="F7192">
        <v>58</v>
      </c>
    </row>
    <row r="7193" spans="1:6" x14ac:dyDescent="0.35">
      <c r="A7193">
        <v>1975</v>
      </c>
      <c r="B7193" s="1">
        <v>45824</v>
      </c>
      <c r="C7193" s="2">
        <v>0.625</v>
      </c>
      <c r="D7193">
        <v>3</v>
      </c>
      <c r="E7193">
        <v>20.5</v>
      </c>
      <c r="F7193">
        <v>64</v>
      </c>
    </row>
    <row r="7194" spans="1:6" x14ac:dyDescent="0.35">
      <c r="A7194">
        <v>1975</v>
      </c>
      <c r="B7194" s="1">
        <v>45824</v>
      </c>
      <c r="C7194" s="2">
        <v>0.66666666666666663</v>
      </c>
      <c r="D7194">
        <v>3</v>
      </c>
      <c r="E7194">
        <v>20.2</v>
      </c>
      <c r="F7194">
        <v>62</v>
      </c>
    </row>
    <row r="7195" spans="1:6" x14ac:dyDescent="0.35">
      <c r="A7195">
        <v>1975</v>
      </c>
      <c r="B7195" s="1">
        <v>45824</v>
      </c>
      <c r="C7195" s="2">
        <v>0.70833333333333337</v>
      </c>
      <c r="D7195">
        <v>3</v>
      </c>
      <c r="E7195">
        <v>19.5</v>
      </c>
      <c r="F7195">
        <v>66</v>
      </c>
    </row>
    <row r="7196" spans="1:6" x14ac:dyDescent="0.35">
      <c r="A7196">
        <v>1975</v>
      </c>
      <c r="B7196" s="1">
        <v>45824</v>
      </c>
      <c r="C7196" s="2">
        <v>0.75</v>
      </c>
      <c r="D7196">
        <v>3</v>
      </c>
      <c r="E7196">
        <v>18.5</v>
      </c>
      <c r="F7196">
        <v>65</v>
      </c>
    </row>
    <row r="7197" spans="1:6" x14ac:dyDescent="0.35">
      <c r="A7197">
        <v>1975</v>
      </c>
      <c r="B7197" s="1">
        <v>45824</v>
      </c>
      <c r="C7197" s="2">
        <v>0.79166666666666663</v>
      </c>
      <c r="D7197">
        <v>3</v>
      </c>
      <c r="E7197">
        <v>17.100000000000001</v>
      </c>
      <c r="F7197">
        <v>72</v>
      </c>
    </row>
    <row r="7198" spans="1:6" x14ac:dyDescent="0.35">
      <c r="A7198">
        <v>1975</v>
      </c>
      <c r="B7198" s="1">
        <v>45824</v>
      </c>
      <c r="C7198" s="2">
        <v>0.83333333333333337</v>
      </c>
      <c r="D7198">
        <v>3</v>
      </c>
      <c r="E7198">
        <v>15.6</v>
      </c>
      <c r="F7198">
        <v>81</v>
      </c>
    </row>
    <row r="7199" spans="1:6" x14ac:dyDescent="0.35">
      <c r="A7199">
        <v>1975</v>
      </c>
      <c r="B7199" s="1">
        <v>45824</v>
      </c>
      <c r="C7199" s="2">
        <v>0.875</v>
      </c>
      <c r="D7199">
        <v>3</v>
      </c>
      <c r="E7199">
        <v>14.8</v>
      </c>
      <c r="F7199">
        <v>86</v>
      </c>
    </row>
    <row r="7200" spans="1:6" x14ac:dyDescent="0.35">
      <c r="A7200">
        <v>1975</v>
      </c>
      <c r="B7200" s="1">
        <v>45824</v>
      </c>
      <c r="C7200" s="2">
        <v>0.91666666666666663</v>
      </c>
      <c r="D7200">
        <v>3</v>
      </c>
      <c r="E7200">
        <v>14.1</v>
      </c>
      <c r="F7200">
        <v>91</v>
      </c>
    </row>
    <row r="7201" spans="1:6" x14ac:dyDescent="0.35">
      <c r="A7201">
        <v>1975</v>
      </c>
      <c r="B7201" s="1">
        <v>45824</v>
      </c>
      <c r="C7201" s="2">
        <v>0.95833333333333337</v>
      </c>
      <c r="D7201">
        <v>3</v>
      </c>
      <c r="E7201">
        <v>14.2</v>
      </c>
      <c r="F7201">
        <v>93</v>
      </c>
    </row>
    <row r="7202" spans="1:6" x14ac:dyDescent="0.35">
      <c r="A7202">
        <v>1975</v>
      </c>
      <c r="B7202" s="1">
        <v>45825</v>
      </c>
      <c r="C7202" s="2">
        <v>0</v>
      </c>
      <c r="D7202">
        <v>3</v>
      </c>
      <c r="E7202">
        <v>14.4</v>
      </c>
      <c r="F7202">
        <v>88</v>
      </c>
    </row>
    <row r="7203" spans="1:6" x14ac:dyDescent="0.35">
      <c r="A7203">
        <v>1975</v>
      </c>
      <c r="B7203" s="1">
        <v>45825</v>
      </c>
      <c r="C7203" s="2">
        <v>4.1666666666666657E-2</v>
      </c>
      <c r="D7203">
        <v>3</v>
      </c>
      <c r="E7203">
        <v>14.4</v>
      </c>
      <c r="F7203">
        <v>88</v>
      </c>
    </row>
    <row r="7204" spans="1:6" x14ac:dyDescent="0.35">
      <c r="A7204">
        <v>1975</v>
      </c>
      <c r="B7204" s="1">
        <v>45825</v>
      </c>
      <c r="C7204" s="2">
        <v>8.3333333333333329E-2</v>
      </c>
      <c r="D7204">
        <v>3</v>
      </c>
      <c r="E7204">
        <v>14.3</v>
      </c>
      <c r="F7204">
        <v>88</v>
      </c>
    </row>
    <row r="7205" spans="1:6" x14ac:dyDescent="0.35">
      <c r="A7205">
        <v>1975</v>
      </c>
      <c r="B7205" s="1">
        <v>45825</v>
      </c>
      <c r="C7205" s="2">
        <v>0.125</v>
      </c>
      <c r="D7205">
        <v>3</v>
      </c>
      <c r="E7205">
        <v>14</v>
      </c>
      <c r="F7205">
        <v>88</v>
      </c>
    </row>
    <row r="7206" spans="1:6" x14ac:dyDescent="0.35">
      <c r="A7206">
        <v>1975</v>
      </c>
      <c r="B7206" s="1">
        <v>45825</v>
      </c>
      <c r="C7206" s="2">
        <v>0.16666666666666671</v>
      </c>
      <c r="D7206">
        <v>3</v>
      </c>
      <c r="E7206">
        <v>12.9</v>
      </c>
      <c r="F7206">
        <v>97</v>
      </c>
    </row>
    <row r="7207" spans="1:6" x14ac:dyDescent="0.35">
      <c r="A7207">
        <v>1975</v>
      </c>
      <c r="B7207" s="1">
        <v>45825</v>
      </c>
      <c r="C7207" s="2">
        <v>0.20833333333333329</v>
      </c>
      <c r="D7207">
        <v>3</v>
      </c>
      <c r="E7207">
        <v>14</v>
      </c>
      <c r="F7207">
        <v>90</v>
      </c>
    </row>
    <row r="7208" spans="1:6" x14ac:dyDescent="0.35">
      <c r="A7208">
        <v>1975</v>
      </c>
      <c r="B7208" s="1">
        <v>45825</v>
      </c>
      <c r="C7208" s="2">
        <v>0.25</v>
      </c>
      <c r="D7208">
        <v>3</v>
      </c>
      <c r="E7208">
        <v>15.4</v>
      </c>
      <c r="F7208">
        <v>84</v>
      </c>
    </row>
    <row r="7209" spans="1:6" x14ac:dyDescent="0.35">
      <c r="A7209">
        <v>1975</v>
      </c>
      <c r="B7209" s="1">
        <v>45825</v>
      </c>
      <c r="C7209" s="2">
        <v>0.29166666666666669</v>
      </c>
      <c r="D7209">
        <v>3</v>
      </c>
      <c r="E7209">
        <v>16.600000000000001</v>
      </c>
      <c r="F7209">
        <v>79</v>
      </c>
    </row>
    <row r="7210" spans="1:6" x14ac:dyDescent="0.35">
      <c r="A7210">
        <v>1975</v>
      </c>
      <c r="B7210" s="1">
        <v>45825</v>
      </c>
      <c r="C7210" s="2">
        <v>0.33333333333333331</v>
      </c>
      <c r="D7210">
        <v>3</v>
      </c>
      <c r="E7210">
        <v>17.7</v>
      </c>
      <c r="F7210">
        <v>76</v>
      </c>
    </row>
    <row r="7211" spans="1:6" x14ac:dyDescent="0.35">
      <c r="A7211">
        <v>1975</v>
      </c>
      <c r="B7211" s="1">
        <v>45825</v>
      </c>
      <c r="C7211" s="2">
        <v>0.375</v>
      </c>
      <c r="D7211">
        <v>3</v>
      </c>
      <c r="E7211">
        <v>19</v>
      </c>
      <c r="F7211">
        <v>69</v>
      </c>
    </row>
    <row r="7212" spans="1:6" x14ac:dyDescent="0.35">
      <c r="A7212">
        <v>1975</v>
      </c>
      <c r="B7212" s="1">
        <v>45825</v>
      </c>
      <c r="C7212" s="2">
        <v>0.41666666666666669</v>
      </c>
      <c r="D7212">
        <v>3</v>
      </c>
      <c r="E7212">
        <v>20.6</v>
      </c>
      <c r="F7212">
        <v>64</v>
      </c>
    </row>
    <row r="7213" spans="1:6" x14ac:dyDescent="0.35">
      <c r="A7213">
        <v>1975</v>
      </c>
      <c r="B7213" s="1">
        <v>45825</v>
      </c>
      <c r="C7213" s="2">
        <v>0.45833333333333331</v>
      </c>
      <c r="D7213">
        <v>3</v>
      </c>
      <c r="E7213">
        <v>20.7</v>
      </c>
      <c r="F7213">
        <v>63</v>
      </c>
    </row>
    <row r="7214" spans="1:6" x14ac:dyDescent="0.35">
      <c r="A7214">
        <v>1975</v>
      </c>
      <c r="B7214" s="1">
        <v>45825</v>
      </c>
      <c r="C7214" s="2">
        <v>0.5</v>
      </c>
      <c r="D7214">
        <v>3</v>
      </c>
      <c r="E7214">
        <v>22.3</v>
      </c>
      <c r="F7214">
        <v>59</v>
      </c>
    </row>
    <row r="7215" spans="1:6" x14ac:dyDescent="0.35">
      <c r="A7215">
        <v>1975</v>
      </c>
      <c r="B7215" s="1">
        <v>45825</v>
      </c>
      <c r="C7215" s="2">
        <v>0.54166666666666663</v>
      </c>
      <c r="D7215">
        <v>3</v>
      </c>
      <c r="E7215">
        <v>23.5</v>
      </c>
      <c r="F7215">
        <v>54</v>
      </c>
    </row>
    <row r="7216" spans="1:6" x14ac:dyDescent="0.35">
      <c r="A7216">
        <v>1975</v>
      </c>
      <c r="B7216" s="1">
        <v>45825</v>
      </c>
      <c r="C7216" s="2">
        <v>0.58333333333333337</v>
      </c>
      <c r="D7216">
        <v>3</v>
      </c>
      <c r="E7216">
        <v>23.5</v>
      </c>
      <c r="F7216">
        <v>54</v>
      </c>
    </row>
    <row r="7217" spans="1:6" x14ac:dyDescent="0.35">
      <c r="A7217">
        <v>1975</v>
      </c>
      <c r="B7217" s="1">
        <v>45825</v>
      </c>
      <c r="C7217" s="2">
        <v>0.625</v>
      </c>
      <c r="D7217">
        <v>3</v>
      </c>
      <c r="E7217">
        <v>23.6</v>
      </c>
      <c r="F7217">
        <v>52</v>
      </c>
    </row>
    <row r="7218" spans="1:6" x14ac:dyDescent="0.35">
      <c r="A7218">
        <v>1975</v>
      </c>
      <c r="B7218" s="1">
        <v>45825</v>
      </c>
      <c r="C7218" s="2">
        <v>0.66666666666666663</v>
      </c>
      <c r="D7218">
        <v>3</v>
      </c>
      <c r="E7218">
        <v>23.6</v>
      </c>
      <c r="F7218">
        <v>54</v>
      </c>
    </row>
    <row r="7219" spans="1:6" x14ac:dyDescent="0.35">
      <c r="A7219">
        <v>1975</v>
      </c>
      <c r="B7219" s="1">
        <v>45825</v>
      </c>
      <c r="C7219" s="2">
        <v>0.70833333333333337</v>
      </c>
      <c r="D7219">
        <v>3</v>
      </c>
      <c r="E7219">
        <v>23.4</v>
      </c>
      <c r="F7219">
        <v>55</v>
      </c>
    </row>
    <row r="7220" spans="1:6" x14ac:dyDescent="0.35">
      <c r="A7220">
        <v>1975</v>
      </c>
      <c r="B7220" s="1">
        <v>45825</v>
      </c>
      <c r="C7220" s="2">
        <v>0.75</v>
      </c>
      <c r="D7220">
        <v>3</v>
      </c>
      <c r="E7220">
        <v>23.1</v>
      </c>
      <c r="F7220">
        <v>55</v>
      </c>
    </row>
    <row r="7221" spans="1:6" x14ac:dyDescent="0.35">
      <c r="A7221">
        <v>1975</v>
      </c>
      <c r="B7221" s="1">
        <v>45825</v>
      </c>
      <c r="C7221" s="2">
        <v>0.79166666666666663</v>
      </c>
      <c r="D7221">
        <v>3</v>
      </c>
      <c r="E7221">
        <v>22.6</v>
      </c>
      <c r="F7221">
        <v>56</v>
      </c>
    </row>
    <row r="7222" spans="1:6" x14ac:dyDescent="0.35">
      <c r="A7222">
        <v>1975</v>
      </c>
      <c r="B7222" s="1">
        <v>45825</v>
      </c>
      <c r="C7222" s="2">
        <v>0.83333333333333337</v>
      </c>
      <c r="D7222">
        <v>3</v>
      </c>
      <c r="E7222">
        <v>20.399999999999999</v>
      </c>
      <c r="F7222">
        <v>68</v>
      </c>
    </row>
    <row r="7223" spans="1:6" x14ac:dyDescent="0.35">
      <c r="A7223">
        <v>1975</v>
      </c>
      <c r="B7223" s="1">
        <v>45825</v>
      </c>
      <c r="C7223" s="2">
        <v>0.875</v>
      </c>
      <c r="D7223">
        <v>3</v>
      </c>
      <c r="E7223">
        <v>18.7</v>
      </c>
      <c r="F7223">
        <v>73</v>
      </c>
    </row>
    <row r="7224" spans="1:6" x14ac:dyDescent="0.35">
      <c r="A7224">
        <v>1975</v>
      </c>
      <c r="B7224" s="1">
        <v>45825</v>
      </c>
      <c r="C7224" s="2">
        <v>0.91666666666666663</v>
      </c>
      <c r="D7224">
        <v>3</v>
      </c>
      <c r="E7224">
        <v>17.3</v>
      </c>
      <c r="F7224">
        <v>80</v>
      </c>
    </row>
    <row r="7225" spans="1:6" x14ac:dyDescent="0.35">
      <c r="A7225">
        <v>1975</v>
      </c>
      <c r="B7225" s="1">
        <v>45825</v>
      </c>
      <c r="C7225" s="2">
        <v>0.95833333333333337</v>
      </c>
      <c r="D7225">
        <v>3</v>
      </c>
      <c r="E7225">
        <v>16.3</v>
      </c>
      <c r="F7225">
        <v>86</v>
      </c>
    </row>
    <row r="7226" spans="1:6" x14ac:dyDescent="0.35">
      <c r="A7226">
        <v>1975</v>
      </c>
      <c r="B7226" s="1">
        <v>45826</v>
      </c>
      <c r="C7226" s="2">
        <v>0</v>
      </c>
      <c r="D7226">
        <v>3</v>
      </c>
      <c r="E7226">
        <v>14.9</v>
      </c>
      <c r="F7226">
        <v>94</v>
      </c>
    </row>
    <row r="7227" spans="1:6" x14ac:dyDescent="0.35">
      <c r="A7227">
        <v>1975</v>
      </c>
      <c r="B7227" s="1">
        <v>45826</v>
      </c>
      <c r="C7227" s="2">
        <v>4.1666666666666657E-2</v>
      </c>
      <c r="D7227">
        <v>3</v>
      </c>
      <c r="E7227">
        <v>14.6</v>
      </c>
      <c r="F7227">
        <v>94</v>
      </c>
    </row>
    <row r="7228" spans="1:6" x14ac:dyDescent="0.35">
      <c r="A7228">
        <v>1975</v>
      </c>
      <c r="B7228" s="1">
        <v>45826</v>
      </c>
      <c r="C7228" s="2">
        <v>8.3333333333333329E-2</v>
      </c>
      <c r="D7228">
        <v>3</v>
      </c>
      <c r="E7228">
        <v>13.9</v>
      </c>
      <c r="F7228">
        <v>99</v>
      </c>
    </row>
    <row r="7229" spans="1:6" x14ac:dyDescent="0.35">
      <c r="A7229">
        <v>1975</v>
      </c>
      <c r="B7229" s="1">
        <v>45826</v>
      </c>
      <c r="C7229" s="2">
        <v>0.125</v>
      </c>
      <c r="D7229">
        <v>3</v>
      </c>
      <c r="E7229">
        <v>13.2</v>
      </c>
      <c r="F7229">
        <v>99</v>
      </c>
    </row>
    <row r="7230" spans="1:6" x14ac:dyDescent="0.35">
      <c r="A7230">
        <v>1975</v>
      </c>
      <c r="B7230" s="1">
        <v>45826</v>
      </c>
      <c r="C7230" s="2">
        <v>0.16666666666666671</v>
      </c>
      <c r="D7230">
        <v>3</v>
      </c>
      <c r="E7230">
        <v>14.2</v>
      </c>
      <c r="F7230">
        <v>90</v>
      </c>
    </row>
    <row r="7231" spans="1:6" x14ac:dyDescent="0.35">
      <c r="A7231">
        <v>1975</v>
      </c>
      <c r="B7231" s="1">
        <v>45826</v>
      </c>
      <c r="C7231" s="2">
        <v>0.20833333333333329</v>
      </c>
      <c r="D7231">
        <v>3</v>
      </c>
      <c r="E7231">
        <v>15.3</v>
      </c>
      <c r="F7231">
        <v>87</v>
      </c>
    </row>
    <row r="7232" spans="1:6" x14ac:dyDescent="0.35">
      <c r="A7232">
        <v>1975</v>
      </c>
      <c r="B7232" s="1">
        <v>45826</v>
      </c>
      <c r="C7232" s="2">
        <v>0.25</v>
      </c>
      <c r="D7232">
        <v>3</v>
      </c>
      <c r="E7232">
        <v>16.399999999999999</v>
      </c>
      <c r="F7232">
        <v>83</v>
      </c>
    </row>
    <row r="7233" spans="1:6" x14ac:dyDescent="0.35">
      <c r="A7233">
        <v>1975</v>
      </c>
      <c r="B7233" s="1">
        <v>45826</v>
      </c>
      <c r="C7233" s="2">
        <v>0.29166666666666669</v>
      </c>
      <c r="D7233">
        <v>3</v>
      </c>
      <c r="E7233">
        <v>17.5</v>
      </c>
      <c r="F7233">
        <v>75</v>
      </c>
    </row>
    <row r="7234" spans="1:6" x14ac:dyDescent="0.35">
      <c r="A7234">
        <v>1975</v>
      </c>
      <c r="B7234" s="1">
        <v>45826</v>
      </c>
      <c r="C7234" s="2">
        <v>0.33333333333333331</v>
      </c>
      <c r="D7234">
        <v>3</v>
      </c>
      <c r="E7234">
        <v>18.5</v>
      </c>
      <c r="F7234">
        <v>74</v>
      </c>
    </row>
    <row r="7235" spans="1:6" x14ac:dyDescent="0.35">
      <c r="A7235">
        <v>1975</v>
      </c>
      <c r="B7235" s="1">
        <v>45826</v>
      </c>
      <c r="C7235" s="2">
        <v>0.375</v>
      </c>
      <c r="D7235">
        <v>3</v>
      </c>
      <c r="E7235">
        <v>19.600000000000001</v>
      </c>
      <c r="F7235">
        <v>71</v>
      </c>
    </row>
    <row r="7236" spans="1:6" x14ac:dyDescent="0.35">
      <c r="A7236">
        <v>1975</v>
      </c>
      <c r="B7236" s="1">
        <v>45826</v>
      </c>
      <c r="C7236" s="2">
        <v>0.41666666666666669</v>
      </c>
      <c r="D7236">
        <v>3</v>
      </c>
      <c r="E7236">
        <v>20.3</v>
      </c>
      <c r="F7236">
        <v>68</v>
      </c>
    </row>
    <row r="7237" spans="1:6" x14ac:dyDescent="0.35">
      <c r="A7237">
        <v>1975</v>
      </c>
      <c r="B7237" s="1">
        <v>45826</v>
      </c>
      <c r="C7237" s="2">
        <v>0.45833333333333331</v>
      </c>
      <c r="D7237">
        <v>3</v>
      </c>
      <c r="E7237">
        <v>21.7</v>
      </c>
      <c r="F7237">
        <v>67</v>
      </c>
    </row>
    <row r="7238" spans="1:6" x14ac:dyDescent="0.35">
      <c r="A7238">
        <v>1975</v>
      </c>
      <c r="B7238" s="1">
        <v>45826</v>
      </c>
      <c r="C7238" s="2">
        <v>0.5</v>
      </c>
      <c r="D7238">
        <v>3</v>
      </c>
      <c r="E7238">
        <v>21.9</v>
      </c>
      <c r="F7238">
        <v>62</v>
      </c>
    </row>
    <row r="7239" spans="1:6" x14ac:dyDescent="0.35">
      <c r="A7239">
        <v>1975</v>
      </c>
      <c r="B7239" s="1">
        <v>45826</v>
      </c>
      <c r="C7239" s="2">
        <v>0.54166666666666663</v>
      </c>
      <c r="D7239">
        <v>3</v>
      </c>
      <c r="E7239">
        <v>21.7</v>
      </c>
      <c r="F7239">
        <v>62</v>
      </c>
    </row>
    <row r="7240" spans="1:6" x14ac:dyDescent="0.35">
      <c r="A7240">
        <v>1975</v>
      </c>
      <c r="B7240" s="1">
        <v>45826</v>
      </c>
      <c r="C7240" s="2">
        <v>0.58333333333333337</v>
      </c>
      <c r="D7240">
        <v>3</v>
      </c>
      <c r="E7240">
        <v>22.6</v>
      </c>
      <c r="F7240">
        <v>60</v>
      </c>
    </row>
    <row r="7241" spans="1:6" x14ac:dyDescent="0.35">
      <c r="A7241">
        <v>1975</v>
      </c>
      <c r="B7241" s="1">
        <v>45826</v>
      </c>
      <c r="C7241" s="2">
        <v>0.625</v>
      </c>
      <c r="D7241">
        <v>3</v>
      </c>
      <c r="E7241">
        <v>22.2</v>
      </c>
      <c r="F7241">
        <v>59</v>
      </c>
    </row>
    <row r="7242" spans="1:6" x14ac:dyDescent="0.35">
      <c r="A7242">
        <v>1975</v>
      </c>
      <c r="B7242" s="1">
        <v>45826</v>
      </c>
      <c r="C7242" s="2">
        <v>0.66666666666666663</v>
      </c>
      <c r="D7242">
        <v>3</v>
      </c>
      <c r="E7242">
        <v>21.9</v>
      </c>
      <c r="F7242">
        <v>61</v>
      </c>
    </row>
    <row r="7243" spans="1:6" x14ac:dyDescent="0.35">
      <c r="A7243">
        <v>1975</v>
      </c>
      <c r="B7243" s="1">
        <v>45826</v>
      </c>
      <c r="C7243" s="2">
        <v>0.70833333333333337</v>
      </c>
      <c r="D7243">
        <v>3</v>
      </c>
      <c r="E7243">
        <v>20.9</v>
      </c>
      <c r="F7243">
        <v>59</v>
      </c>
    </row>
    <row r="7244" spans="1:6" x14ac:dyDescent="0.35">
      <c r="A7244">
        <v>1975</v>
      </c>
      <c r="B7244" s="1">
        <v>45826</v>
      </c>
      <c r="C7244" s="2">
        <v>0.75</v>
      </c>
      <c r="D7244">
        <v>3</v>
      </c>
      <c r="E7244">
        <v>19.899999999999999</v>
      </c>
      <c r="F7244">
        <v>66</v>
      </c>
    </row>
    <row r="7245" spans="1:6" x14ac:dyDescent="0.35">
      <c r="A7245">
        <v>1975</v>
      </c>
      <c r="B7245" s="1">
        <v>45826</v>
      </c>
      <c r="C7245" s="2">
        <v>0.79166666666666663</v>
      </c>
      <c r="D7245">
        <v>3</v>
      </c>
      <c r="E7245">
        <v>18.399999999999999</v>
      </c>
      <c r="F7245">
        <v>69</v>
      </c>
    </row>
    <row r="7246" spans="1:6" x14ac:dyDescent="0.35">
      <c r="A7246">
        <v>1975</v>
      </c>
      <c r="B7246" s="1">
        <v>45826</v>
      </c>
      <c r="C7246" s="2">
        <v>0.83333333333333337</v>
      </c>
      <c r="D7246">
        <v>3</v>
      </c>
      <c r="E7246">
        <v>16.8</v>
      </c>
      <c r="F7246">
        <v>62</v>
      </c>
    </row>
    <row r="7247" spans="1:6" x14ac:dyDescent="0.35">
      <c r="A7247">
        <v>1975</v>
      </c>
      <c r="B7247" s="1">
        <v>45826</v>
      </c>
      <c r="C7247" s="2">
        <v>0.875</v>
      </c>
      <c r="D7247">
        <v>3</v>
      </c>
      <c r="E7247">
        <v>15.3</v>
      </c>
      <c r="F7247">
        <v>77</v>
      </c>
    </row>
    <row r="7248" spans="1:6" x14ac:dyDescent="0.35">
      <c r="A7248">
        <v>1975</v>
      </c>
      <c r="B7248" s="1">
        <v>45826</v>
      </c>
      <c r="C7248" s="2">
        <v>0.91666666666666663</v>
      </c>
      <c r="D7248">
        <v>3</v>
      </c>
      <c r="E7248">
        <v>14.4</v>
      </c>
      <c r="F7248">
        <v>84</v>
      </c>
    </row>
    <row r="7249" spans="1:6" x14ac:dyDescent="0.35">
      <c r="A7249">
        <v>1975</v>
      </c>
      <c r="B7249" s="1">
        <v>45826</v>
      </c>
      <c r="C7249" s="2">
        <v>0.95833333333333337</v>
      </c>
      <c r="D7249">
        <v>3</v>
      </c>
      <c r="E7249">
        <v>13.5</v>
      </c>
      <c r="F7249">
        <v>84</v>
      </c>
    </row>
    <row r="7250" spans="1:6" x14ac:dyDescent="0.35">
      <c r="A7250">
        <v>1975</v>
      </c>
      <c r="B7250" s="1">
        <v>45827</v>
      </c>
      <c r="C7250" s="2">
        <v>0</v>
      </c>
      <c r="D7250">
        <v>3</v>
      </c>
      <c r="E7250">
        <v>12.8</v>
      </c>
      <c r="F7250">
        <v>84</v>
      </c>
    </row>
    <row r="7251" spans="1:6" x14ac:dyDescent="0.35">
      <c r="A7251">
        <v>1975</v>
      </c>
      <c r="B7251" s="1">
        <v>45827</v>
      </c>
      <c r="C7251" s="2">
        <v>4.1666666666666657E-2</v>
      </c>
      <c r="D7251">
        <v>3</v>
      </c>
      <c r="E7251">
        <v>12.3</v>
      </c>
      <c r="F7251">
        <v>86</v>
      </c>
    </row>
    <row r="7252" spans="1:6" x14ac:dyDescent="0.35">
      <c r="A7252">
        <v>1975</v>
      </c>
      <c r="B7252" s="1">
        <v>45827</v>
      </c>
      <c r="C7252" s="2">
        <v>8.3333333333333329E-2</v>
      </c>
      <c r="D7252">
        <v>3</v>
      </c>
      <c r="E7252">
        <v>12.2</v>
      </c>
      <c r="F7252">
        <v>87</v>
      </c>
    </row>
    <row r="7253" spans="1:6" x14ac:dyDescent="0.35">
      <c r="A7253">
        <v>1975</v>
      </c>
      <c r="B7253" s="1">
        <v>45827</v>
      </c>
      <c r="C7253" s="2">
        <v>0.125</v>
      </c>
      <c r="D7253">
        <v>3</v>
      </c>
      <c r="E7253">
        <v>12.4</v>
      </c>
      <c r="F7253">
        <v>91</v>
      </c>
    </row>
    <row r="7254" spans="1:6" x14ac:dyDescent="0.35">
      <c r="A7254">
        <v>1975</v>
      </c>
      <c r="B7254" s="1">
        <v>45827</v>
      </c>
      <c r="C7254" s="2">
        <v>0.16666666666666671</v>
      </c>
      <c r="D7254">
        <v>3</v>
      </c>
      <c r="E7254">
        <v>12.5</v>
      </c>
      <c r="F7254">
        <v>90</v>
      </c>
    </row>
    <row r="7255" spans="1:6" x14ac:dyDescent="0.35">
      <c r="A7255">
        <v>1975</v>
      </c>
      <c r="B7255" s="1">
        <v>45827</v>
      </c>
      <c r="C7255" s="2">
        <v>0.20833333333333329</v>
      </c>
      <c r="D7255">
        <v>3</v>
      </c>
      <c r="E7255">
        <v>14</v>
      </c>
      <c r="F7255">
        <v>82</v>
      </c>
    </row>
    <row r="7256" spans="1:6" x14ac:dyDescent="0.35">
      <c r="A7256">
        <v>1975</v>
      </c>
      <c r="B7256" s="1">
        <v>45827</v>
      </c>
      <c r="C7256" s="2">
        <v>0.25</v>
      </c>
      <c r="D7256">
        <v>3</v>
      </c>
      <c r="E7256">
        <v>15.2</v>
      </c>
      <c r="F7256">
        <v>76</v>
      </c>
    </row>
    <row r="7257" spans="1:6" x14ac:dyDescent="0.35">
      <c r="A7257">
        <v>1975</v>
      </c>
      <c r="B7257" s="1">
        <v>45827</v>
      </c>
      <c r="C7257" s="2">
        <v>0.29166666666666669</v>
      </c>
      <c r="D7257">
        <v>3</v>
      </c>
      <c r="E7257">
        <v>14.9</v>
      </c>
      <c r="F7257">
        <v>75</v>
      </c>
    </row>
    <row r="7258" spans="1:6" x14ac:dyDescent="0.35">
      <c r="A7258">
        <v>1975</v>
      </c>
      <c r="B7258" s="1">
        <v>45827</v>
      </c>
      <c r="C7258" s="2">
        <v>0.33333333333333331</v>
      </c>
      <c r="D7258">
        <v>3</v>
      </c>
      <c r="E7258">
        <v>16.2</v>
      </c>
      <c r="F7258">
        <v>66</v>
      </c>
    </row>
    <row r="7259" spans="1:6" x14ac:dyDescent="0.35">
      <c r="A7259">
        <v>1975</v>
      </c>
      <c r="B7259" s="1">
        <v>45827</v>
      </c>
      <c r="C7259" s="2">
        <v>0.375</v>
      </c>
      <c r="D7259">
        <v>3</v>
      </c>
      <c r="E7259">
        <v>17.399999999999999</v>
      </c>
      <c r="F7259">
        <v>62</v>
      </c>
    </row>
    <row r="7260" spans="1:6" x14ac:dyDescent="0.35">
      <c r="A7260">
        <v>1975</v>
      </c>
      <c r="B7260" s="1">
        <v>45827</v>
      </c>
      <c r="C7260" s="2">
        <v>0.41666666666666669</v>
      </c>
      <c r="D7260">
        <v>3</v>
      </c>
      <c r="E7260">
        <v>17.3</v>
      </c>
      <c r="F7260">
        <v>51</v>
      </c>
    </row>
    <row r="7261" spans="1:6" x14ac:dyDescent="0.35">
      <c r="A7261">
        <v>1975</v>
      </c>
      <c r="B7261" s="1">
        <v>45827</v>
      </c>
      <c r="C7261" s="2">
        <v>0.45833333333333331</v>
      </c>
      <c r="D7261">
        <v>3</v>
      </c>
      <c r="E7261">
        <v>17.600000000000001</v>
      </c>
      <c r="F7261">
        <v>56</v>
      </c>
    </row>
    <row r="7262" spans="1:6" x14ac:dyDescent="0.35">
      <c r="A7262">
        <v>1975</v>
      </c>
      <c r="B7262" s="1">
        <v>45827</v>
      </c>
      <c r="C7262" s="2">
        <v>0.5</v>
      </c>
      <c r="D7262">
        <v>3</v>
      </c>
      <c r="E7262">
        <v>17.100000000000001</v>
      </c>
      <c r="F7262">
        <v>59</v>
      </c>
    </row>
    <row r="7263" spans="1:6" x14ac:dyDescent="0.35">
      <c r="A7263">
        <v>1975</v>
      </c>
      <c r="B7263" s="1">
        <v>45827</v>
      </c>
      <c r="C7263" s="2">
        <v>0.54166666666666663</v>
      </c>
      <c r="D7263">
        <v>3</v>
      </c>
      <c r="E7263">
        <v>18.8</v>
      </c>
      <c r="F7263">
        <v>54</v>
      </c>
    </row>
    <row r="7264" spans="1:6" x14ac:dyDescent="0.35">
      <c r="A7264">
        <v>1975</v>
      </c>
      <c r="B7264" s="1">
        <v>45827</v>
      </c>
      <c r="C7264" s="2">
        <v>0.58333333333333337</v>
      </c>
      <c r="D7264">
        <v>3</v>
      </c>
      <c r="E7264">
        <v>18.5</v>
      </c>
      <c r="F7264">
        <v>51</v>
      </c>
    </row>
    <row r="7265" spans="1:6" x14ac:dyDescent="0.35">
      <c r="A7265">
        <v>1975</v>
      </c>
      <c r="B7265" s="1">
        <v>45827</v>
      </c>
      <c r="C7265" s="2">
        <v>0.625</v>
      </c>
      <c r="D7265">
        <v>3</v>
      </c>
      <c r="E7265">
        <v>18.600000000000001</v>
      </c>
      <c r="F7265">
        <v>51</v>
      </c>
    </row>
    <row r="7266" spans="1:6" x14ac:dyDescent="0.35">
      <c r="A7266">
        <v>1975</v>
      </c>
      <c r="B7266" s="1">
        <v>45827</v>
      </c>
      <c r="C7266" s="2">
        <v>0.66666666666666663</v>
      </c>
      <c r="D7266">
        <v>3</v>
      </c>
      <c r="E7266">
        <v>18.3</v>
      </c>
      <c r="F7266">
        <v>52</v>
      </c>
    </row>
    <row r="7267" spans="1:6" x14ac:dyDescent="0.35">
      <c r="A7267">
        <v>1975</v>
      </c>
      <c r="B7267" s="1">
        <v>45827</v>
      </c>
      <c r="C7267" s="2">
        <v>0.70833333333333337</v>
      </c>
      <c r="D7267">
        <v>3</v>
      </c>
      <c r="E7267">
        <v>17.399999999999999</v>
      </c>
      <c r="F7267">
        <v>57</v>
      </c>
    </row>
    <row r="7268" spans="1:6" x14ac:dyDescent="0.35">
      <c r="A7268">
        <v>1975</v>
      </c>
      <c r="B7268" s="1">
        <v>45827</v>
      </c>
      <c r="C7268" s="2">
        <v>0.75</v>
      </c>
      <c r="D7268">
        <v>3</v>
      </c>
      <c r="E7268">
        <v>16.8</v>
      </c>
      <c r="F7268">
        <v>57</v>
      </c>
    </row>
    <row r="7269" spans="1:6" x14ac:dyDescent="0.35">
      <c r="A7269">
        <v>1975</v>
      </c>
      <c r="B7269" s="1">
        <v>45827</v>
      </c>
      <c r="C7269" s="2">
        <v>0.79166666666666663</v>
      </c>
      <c r="D7269">
        <v>3</v>
      </c>
      <c r="E7269">
        <v>15.5</v>
      </c>
      <c r="F7269">
        <v>62</v>
      </c>
    </row>
    <row r="7270" spans="1:6" x14ac:dyDescent="0.35">
      <c r="A7270">
        <v>1975</v>
      </c>
      <c r="B7270" s="1">
        <v>45827</v>
      </c>
      <c r="C7270" s="2">
        <v>0.83333333333333337</v>
      </c>
      <c r="D7270">
        <v>3</v>
      </c>
      <c r="E7270">
        <v>14.2</v>
      </c>
      <c r="F7270">
        <v>67</v>
      </c>
    </row>
    <row r="7271" spans="1:6" x14ac:dyDescent="0.35">
      <c r="A7271">
        <v>1975</v>
      </c>
      <c r="B7271" s="1">
        <v>45827</v>
      </c>
      <c r="C7271" s="2">
        <v>0.875</v>
      </c>
      <c r="D7271">
        <v>3</v>
      </c>
      <c r="E7271">
        <v>12.6</v>
      </c>
      <c r="F7271">
        <v>74</v>
      </c>
    </row>
    <row r="7272" spans="1:6" x14ac:dyDescent="0.35">
      <c r="A7272">
        <v>1975</v>
      </c>
      <c r="B7272" s="1">
        <v>45827</v>
      </c>
      <c r="C7272" s="2">
        <v>0.91666666666666663</v>
      </c>
      <c r="D7272">
        <v>3</v>
      </c>
      <c r="E7272">
        <v>11.4</v>
      </c>
      <c r="F7272">
        <v>81</v>
      </c>
    </row>
    <row r="7273" spans="1:6" x14ac:dyDescent="0.35">
      <c r="A7273">
        <v>1975</v>
      </c>
      <c r="B7273" s="1">
        <v>45827</v>
      </c>
      <c r="C7273" s="2">
        <v>0.95833333333333337</v>
      </c>
      <c r="D7273">
        <v>3</v>
      </c>
      <c r="E7273">
        <v>10.6</v>
      </c>
      <c r="F7273">
        <v>83</v>
      </c>
    </row>
    <row r="7274" spans="1:6" x14ac:dyDescent="0.35">
      <c r="A7274">
        <v>1975</v>
      </c>
      <c r="B7274" s="1">
        <v>45828</v>
      </c>
      <c r="C7274" s="2">
        <v>0</v>
      </c>
      <c r="D7274">
        <v>3</v>
      </c>
      <c r="E7274">
        <v>10.199999999999999</v>
      </c>
      <c r="F7274">
        <v>86</v>
      </c>
    </row>
    <row r="7275" spans="1:6" x14ac:dyDescent="0.35">
      <c r="A7275">
        <v>1975</v>
      </c>
      <c r="B7275" s="1">
        <v>45828</v>
      </c>
      <c r="C7275" s="2">
        <v>4.1666666666666657E-2</v>
      </c>
      <c r="D7275">
        <v>3</v>
      </c>
      <c r="E7275">
        <v>8.3000000000000007</v>
      </c>
      <c r="F7275">
        <v>95</v>
      </c>
    </row>
    <row r="7276" spans="1:6" x14ac:dyDescent="0.35">
      <c r="A7276">
        <v>1975</v>
      </c>
      <c r="B7276" s="1">
        <v>45828</v>
      </c>
      <c r="C7276" s="2">
        <v>8.3333333333333329E-2</v>
      </c>
      <c r="D7276">
        <v>3</v>
      </c>
      <c r="E7276">
        <v>7.5</v>
      </c>
      <c r="F7276">
        <v>94</v>
      </c>
    </row>
    <row r="7277" spans="1:6" x14ac:dyDescent="0.35">
      <c r="A7277">
        <v>1975</v>
      </c>
      <c r="B7277" s="1">
        <v>45828</v>
      </c>
      <c r="C7277" s="2">
        <v>0.125</v>
      </c>
      <c r="D7277">
        <v>3</v>
      </c>
      <c r="E7277">
        <v>7.6</v>
      </c>
      <c r="F7277">
        <v>98</v>
      </c>
    </row>
    <row r="7278" spans="1:6" x14ac:dyDescent="0.35">
      <c r="A7278">
        <v>1975</v>
      </c>
      <c r="B7278" s="1">
        <v>45828</v>
      </c>
      <c r="C7278" s="2">
        <v>0.16666666666666671</v>
      </c>
      <c r="D7278">
        <v>3</v>
      </c>
      <c r="E7278">
        <v>7.7</v>
      </c>
      <c r="F7278">
        <v>94</v>
      </c>
    </row>
    <row r="7279" spans="1:6" x14ac:dyDescent="0.35">
      <c r="A7279">
        <v>1975</v>
      </c>
      <c r="B7279" s="1">
        <v>45828</v>
      </c>
      <c r="C7279" s="2">
        <v>0.20833333333333329</v>
      </c>
      <c r="D7279">
        <v>3</v>
      </c>
      <c r="E7279">
        <v>12.2</v>
      </c>
      <c r="F7279">
        <v>83</v>
      </c>
    </row>
    <row r="7280" spans="1:6" x14ac:dyDescent="0.35">
      <c r="A7280">
        <v>1975</v>
      </c>
      <c r="B7280" s="1">
        <v>45828</v>
      </c>
      <c r="C7280" s="2">
        <v>0.25</v>
      </c>
      <c r="D7280">
        <v>3</v>
      </c>
      <c r="E7280">
        <v>13.3</v>
      </c>
      <c r="F7280">
        <v>71</v>
      </c>
    </row>
    <row r="7281" spans="1:6" x14ac:dyDescent="0.35">
      <c r="A7281">
        <v>1975</v>
      </c>
      <c r="B7281" s="1">
        <v>45828</v>
      </c>
      <c r="C7281" s="2">
        <v>0.29166666666666669</v>
      </c>
      <c r="D7281">
        <v>3</v>
      </c>
      <c r="E7281">
        <v>14.5</v>
      </c>
      <c r="F7281">
        <v>68</v>
      </c>
    </row>
    <row r="7282" spans="1:6" x14ac:dyDescent="0.35">
      <c r="A7282">
        <v>1975</v>
      </c>
      <c r="B7282" s="1">
        <v>45828</v>
      </c>
      <c r="C7282" s="2">
        <v>0.33333333333333331</v>
      </c>
      <c r="D7282">
        <v>3</v>
      </c>
      <c r="E7282">
        <v>16</v>
      </c>
      <c r="F7282">
        <v>65</v>
      </c>
    </row>
    <row r="7283" spans="1:6" x14ac:dyDescent="0.35">
      <c r="A7283">
        <v>1975</v>
      </c>
      <c r="B7283" s="1">
        <v>45828</v>
      </c>
      <c r="C7283" s="2">
        <v>0.375</v>
      </c>
      <c r="D7283">
        <v>3</v>
      </c>
      <c r="E7283">
        <v>16.7</v>
      </c>
      <c r="F7283">
        <v>59</v>
      </c>
    </row>
    <row r="7284" spans="1:6" x14ac:dyDescent="0.35">
      <c r="A7284">
        <v>1975</v>
      </c>
      <c r="B7284" s="1">
        <v>45828</v>
      </c>
      <c r="C7284" s="2">
        <v>0.41666666666666669</v>
      </c>
      <c r="D7284">
        <v>3</v>
      </c>
      <c r="E7284">
        <v>18.100000000000001</v>
      </c>
      <c r="F7284">
        <v>53</v>
      </c>
    </row>
    <row r="7285" spans="1:6" x14ac:dyDescent="0.35">
      <c r="A7285">
        <v>1975</v>
      </c>
      <c r="B7285" s="1">
        <v>45828</v>
      </c>
      <c r="C7285" s="2">
        <v>0.45833333333333331</v>
      </c>
      <c r="D7285">
        <v>3</v>
      </c>
      <c r="E7285">
        <v>19.100000000000001</v>
      </c>
      <c r="F7285">
        <v>54</v>
      </c>
    </row>
    <row r="7286" spans="1:6" x14ac:dyDescent="0.35">
      <c r="A7286">
        <v>1975</v>
      </c>
      <c r="B7286" s="1">
        <v>45828</v>
      </c>
      <c r="C7286" s="2">
        <v>0.5</v>
      </c>
      <c r="D7286">
        <v>3</v>
      </c>
      <c r="E7286">
        <v>19.600000000000001</v>
      </c>
      <c r="F7286">
        <v>54</v>
      </c>
    </row>
    <row r="7287" spans="1:6" x14ac:dyDescent="0.35">
      <c r="A7287">
        <v>1975</v>
      </c>
      <c r="B7287" s="1">
        <v>45828</v>
      </c>
      <c r="C7287" s="2">
        <v>0.54166666666666663</v>
      </c>
      <c r="D7287">
        <v>3</v>
      </c>
      <c r="E7287">
        <v>20.5</v>
      </c>
      <c r="F7287">
        <v>50</v>
      </c>
    </row>
    <row r="7288" spans="1:6" x14ac:dyDescent="0.35">
      <c r="A7288">
        <v>1975</v>
      </c>
      <c r="B7288" s="1">
        <v>45828</v>
      </c>
      <c r="C7288" s="2">
        <v>0.58333333333333337</v>
      </c>
      <c r="D7288">
        <v>3</v>
      </c>
      <c r="E7288">
        <v>20.9</v>
      </c>
      <c r="F7288">
        <v>51</v>
      </c>
    </row>
    <row r="7289" spans="1:6" x14ac:dyDescent="0.35">
      <c r="A7289">
        <v>1975</v>
      </c>
      <c r="B7289" s="1">
        <v>45828</v>
      </c>
      <c r="C7289" s="2">
        <v>0.625</v>
      </c>
      <c r="D7289">
        <v>3</v>
      </c>
      <c r="E7289">
        <v>21</v>
      </c>
      <c r="F7289">
        <v>50</v>
      </c>
    </row>
    <row r="7290" spans="1:6" x14ac:dyDescent="0.35">
      <c r="A7290">
        <v>1975</v>
      </c>
      <c r="B7290" s="1">
        <v>45828</v>
      </c>
      <c r="C7290" s="2">
        <v>0.66666666666666663</v>
      </c>
      <c r="D7290">
        <v>3</v>
      </c>
      <c r="E7290">
        <v>21.7</v>
      </c>
      <c r="F7290">
        <v>49</v>
      </c>
    </row>
    <row r="7291" spans="1:6" x14ac:dyDescent="0.35">
      <c r="A7291">
        <v>1975</v>
      </c>
      <c r="B7291" s="1">
        <v>45828</v>
      </c>
      <c r="C7291" s="2">
        <v>0.70833333333333337</v>
      </c>
      <c r="D7291">
        <v>3</v>
      </c>
      <c r="E7291">
        <v>21</v>
      </c>
      <c r="F7291">
        <v>53</v>
      </c>
    </row>
    <row r="7292" spans="1:6" x14ac:dyDescent="0.35">
      <c r="A7292">
        <v>1975</v>
      </c>
      <c r="B7292" s="1">
        <v>45828</v>
      </c>
      <c r="C7292" s="2">
        <v>0.75</v>
      </c>
      <c r="D7292">
        <v>3</v>
      </c>
      <c r="E7292">
        <v>20.399999999999999</v>
      </c>
      <c r="F7292">
        <v>57</v>
      </c>
    </row>
    <row r="7293" spans="1:6" x14ac:dyDescent="0.35">
      <c r="A7293">
        <v>1975</v>
      </c>
      <c r="B7293" s="1">
        <v>45828</v>
      </c>
      <c r="C7293" s="2">
        <v>0.79166666666666663</v>
      </c>
      <c r="D7293">
        <v>3</v>
      </c>
      <c r="E7293">
        <v>19.600000000000001</v>
      </c>
      <c r="F7293">
        <v>62</v>
      </c>
    </row>
    <row r="7294" spans="1:6" x14ac:dyDescent="0.35">
      <c r="A7294">
        <v>1975</v>
      </c>
      <c r="B7294" s="1">
        <v>45828</v>
      </c>
      <c r="C7294" s="2">
        <v>0.83333333333333337</v>
      </c>
      <c r="D7294">
        <v>3</v>
      </c>
      <c r="E7294">
        <v>17.399999999999999</v>
      </c>
      <c r="F7294">
        <v>73</v>
      </c>
    </row>
    <row r="7295" spans="1:6" x14ac:dyDescent="0.35">
      <c r="A7295">
        <v>1975</v>
      </c>
      <c r="B7295" s="1">
        <v>45828</v>
      </c>
      <c r="C7295" s="2">
        <v>0.875</v>
      </c>
      <c r="D7295">
        <v>3</v>
      </c>
      <c r="E7295">
        <v>14.7</v>
      </c>
      <c r="F7295">
        <v>87</v>
      </c>
    </row>
    <row r="7296" spans="1:6" x14ac:dyDescent="0.35">
      <c r="A7296">
        <v>1975</v>
      </c>
      <c r="B7296" s="1">
        <v>45828</v>
      </c>
      <c r="C7296" s="2">
        <v>0.91666666666666663</v>
      </c>
      <c r="D7296">
        <v>3</v>
      </c>
      <c r="E7296">
        <v>13.5</v>
      </c>
      <c r="F7296">
        <v>91</v>
      </c>
    </row>
    <row r="7297" spans="1:6" x14ac:dyDescent="0.35">
      <c r="A7297">
        <v>1975</v>
      </c>
      <c r="B7297" s="1">
        <v>45828</v>
      </c>
      <c r="C7297" s="2">
        <v>0.95833333333333337</v>
      </c>
      <c r="D7297">
        <v>3</v>
      </c>
      <c r="E7297">
        <v>12.9</v>
      </c>
      <c r="F7297">
        <v>97</v>
      </c>
    </row>
    <row r="7298" spans="1:6" x14ac:dyDescent="0.35">
      <c r="A7298">
        <v>1975</v>
      </c>
      <c r="B7298" s="1">
        <v>45829</v>
      </c>
      <c r="C7298" s="2">
        <v>0</v>
      </c>
      <c r="D7298">
        <v>3</v>
      </c>
      <c r="E7298">
        <v>11.1</v>
      </c>
      <c r="F7298">
        <v>96</v>
      </c>
    </row>
    <row r="7299" spans="1:6" x14ac:dyDescent="0.35">
      <c r="A7299">
        <v>1975</v>
      </c>
      <c r="B7299" s="1">
        <v>45829</v>
      </c>
      <c r="C7299" s="2">
        <v>4.1666666666666657E-2</v>
      </c>
      <c r="D7299">
        <v>3</v>
      </c>
      <c r="E7299">
        <v>11</v>
      </c>
      <c r="F7299">
        <v>100</v>
      </c>
    </row>
    <row r="7300" spans="1:6" x14ac:dyDescent="0.35">
      <c r="A7300">
        <v>1975</v>
      </c>
      <c r="B7300" s="1">
        <v>45829</v>
      </c>
      <c r="C7300" s="2">
        <v>8.3333333333333329E-2</v>
      </c>
      <c r="D7300">
        <v>3</v>
      </c>
      <c r="E7300">
        <v>10.4</v>
      </c>
      <c r="F7300">
        <v>100</v>
      </c>
    </row>
    <row r="7301" spans="1:6" x14ac:dyDescent="0.35">
      <c r="A7301">
        <v>1975</v>
      </c>
      <c r="B7301" s="1">
        <v>45829</v>
      </c>
      <c r="C7301" s="2">
        <v>0.125</v>
      </c>
      <c r="D7301">
        <v>3</v>
      </c>
      <c r="E7301">
        <v>10.6</v>
      </c>
      <c r="F7301">
        <v>100</v>
      </c>
    </row>
    <row r="7302" spans="1:6" x14ac:dyDescent="0.35">
      <c r="A7302">
        <v>1975</v>
      </c>
      <c r="B7302" s="1">
        <v>45829</v>
      </c>
      <c r="C7302" s="2">
        <v>0.16666666666666671</v>
      </c>
      <c r="D7302">
        <v>3</v>
      </c>
      <c r="E7302">
        <v>11</v>
      </c>
      <c r="F7302">
        <v>97</v>
      </c>
    </row>
    <row r="7303" spans="1:6" x14ac:dyDescent="0.35">
      <c r="A7303">
        <v>1975</v>
      </c>
      <c r="B7303" s="1">
        <v>45829</v>
      </c>
      <c r="C7303" s="2">
        <v>0.20833333333333329</v>
      </c>
      <c r="D7303">
        <v>3</v>
      </c>
      <c r="E7303">
        <v>13.7</v>
      </c>
      <c r="F7303">
        <v>90</v>
      </c>
    </row>
    <row r="7304" spans="1:6" x14ac:dyDescent="0.35">
      <c r="A7304">
        <v>1975</v>
      </c>
      <c r="B7304" s="1">
        <v>45829</v>
      </c>
      <c r="C7304" s="2">
        <v>0.25</v>
      </c>
      <c r="D7304">
        <v>3</v>
      </c>
      <c r="E7304">
        <v>17.5</v>
      </c>
      <c r="F7304">
        <v>78</v>
      </c>
    </row>
    <row r="7305" spans="1:6" x14ac:dyDescent="0.35">
      <c r="A7305">
        <v>1975</v>
      </c>
      <c r="B7305" s="1">
        <v>45829</v>
      </c>
      <c r="C7305" s="2">
        <v>0.29166666666666669</v>
      </c>
      <c r="D7305">
        <v>3</v>
      </c>
      <c r="E7305">
        <v>20</v>
      </c>
      <c r="F7305">
        <v>64</v>
      </c>
    </row>
    <row r="7306" spans="1:6" x14ac:dyDescent="0.35">
      <c r="A7306">
        <v>1975</v>
      </c>
      <c r="B7306" s="1">
        <v>45829</v>
      </c>
      <c r="C7306" s="2">
        <v>0.33333333333333331</v>
      </c>
      <c r="D7306">
        <v>3</v>
      </c>
      <c r="E7306">
        <v>21.4</v>
      </c>
      <c r="F7306">
        <v>48</v>
      </c>
    </row>
    <row r="7307" spans="1:6" x14ac:dyDescent="0.35">
      <c r="A7307">
        <v>1975</v>
      </c>
      <c r="B7307" s="1">
        <v>45829</v>
      </c>
      <c r="C7307" s="2">
        <v>0.375</v>
      </c>
      <c r="D7307">
        <v>3</v>
      </c>
      <c r="E7307">
        <v>23.2</v>
      </c>
      <c r="F7307">
        <v>45</v>
      </c>
    </row>
    <row r="7308" spans="1:6" x14ac:dyDescent="0.35">
      <c r="A7308">
        <v>1975</v>
      </c>
      <c r="B7308" s="1">
        <v>45829</v>
      </c>
      <c r="C7308" s="2">
        <v>0.41666666666666669</v>
      </c>
      <c r="D7308">
        <v>3</v>
      </c>
      <c r="E7308">
        <v>24.3</v>
      </c>
      <c r="F7308">
        <v>41</v>
      </c>
    </row>
    <row r="7309" spans="1:6" x14ac:dyDescent="0.35">
      <c r="A7309">
        <v>1975</v>
      </c>
      <c r="B7309" s="1">
        <v>45829</v>
      </c>
      <c r="C7309" s="2">
        <v>0.45833333333333331</v>
      </c>
      <c r="D7309">
        <v>3</v>
      </c>
      <c r="E7309">
        <v>25</v>
      </c>
      <c r="F7309">
        <v>35</v>
      </c>
    </row>
    <row r="7310" spans="1:6" x14ac:dyDescent="0.35">
      <c r="A7310">
        <v>1975</v>
      </c>
      <c r="B7310" s="1">
        <v>45829</v>
      </c>
      <c r="C7310" s="2">
        <v>0.5</v>
      </c>
      <c r="D7310">
        <v>3</v>
      </c>
      <c r="E7310">
        <v>25.9</v>
      </c>
      <c r="F7310">
        <v>33</v>
      </c>
    </row>
    <row r="7311" spans="1:6" x14ac:dyDescent="0.35">
      <c r="A7311">
        <v>1975</v>
      </c>
      <c r="B7311" s="1">
        <v>45829</v>
      </c>
      <c r="C7311" s="2">
        <v>0.54166666666666663</v>
      </c>
      <c r="D7311">
        <v>3</v>
      </c>
      <c r="E7311">
        <v>26.7</v>
      </c>
      <c r="F7311">
        <v>34</v>
      </c>
    </row>
    <row r="7312" spans="1:6" x14ac:dyDescent="0.35">
      <c r="A7312">
        <v>1975</v>
      </c>
      <c r="B7312" s="1">
        <v>45829</v>
      </c>
      <c r="C7312" s="2">
        <v>0.58333333333333337</v>
      </c>
      <c r="D7312">
        <v>3</v>
      </c>
      <c r="E7312">
        <v>-999</v>
      </c>
      <c r="F7312">
        <v>-999</v>
      </c>
    </row>
    <row r="7313" spans="1:6" x14ac:dyDescent="0.35">
      <c r="A7313">
        <v>1975</v>
      </c>
      <c r="B7313" s="1">
        <v>45829</v>
      </c>
      <c r="C7313" s="2">
        <v>0.625</v>
      </c>
      <c r="D7313">
        <v>3</v>
      </c>
      <c r="E7313">
        <v>-999</v>
      </c>
      <c r="F7313">
        <v>-999</v>
      </c>
    </row>
    <row r="7314" spans="1:6" x14ac:dyDescent="0.35">
      <c r="A7314">
        <v>1975</v>
      </c>
      <c r="B7314" s="1">
        <v>45829</v>
      </c>
      <c r="C7314" s="2">
        <v>0.66666666666666663</v>
      </c>
      <c r="D7314">
        <v>3</v>
      </c>
      <c r="E7314">
        <v>27.8</v>
      </c>
      <c r="F7314">
        <v>36</v>
      </c>
    </row>
    <row r="7315" spans="1:6" x14ac:dyDescent="0.35">
      <c r="A7315">
        <v>1975</v>
      </c>
      <c r="B7315" s="1">
        <v>45829</v>
      </c>
      <c r="C7315" s="2">
        <v>0.70833333333333337</v>
      </c>
      <c r="D7315">
        <v>3</v>
      </c>
      <c r="E7315">
        <v>28.5</v>
      </c>
      <c r="F7315">
        <v>38</v>
      </c>
    </row>
    <row r="7316" spans="1:6" x14ac:dyDescent="0.35">
      <c r="A7316">
        <v>1975</v>
      </c>
      <c r="B7316" s="1">
        <v>45829</v>
      </c>
      <c r="C7316" s="2">
        <v>0.75</v>
      </c>
      <c r="D7316">
        <v>3</v>
      </c>
      <c r="E7316">
        <v>26.4</v>
      </c>
      <c r="F7316">
        <v>41</v>
      </c>
    </row>
    <row r="7317" spans="1:6" x14ac:dyDescent="0.35">
      <c r="A7317">
        <v>1975</v>
      </c>
      <c r="B7317" s="1">
        <v>45829</v>
      </c>
      <c r="C7317" s="2">
        <v>0.79166666666666663</v>
      </c>
      <c r="D7317">
        <v>3</v>
      </c>
      <c r="E7317">
        <v>24.4</v>
      </c>
      <c r="F7317">
        <v>50</v>
      </c>
    </row>
    <row r="7318" spans="1:6" x14ac:dyDescent="0.35">
      <c r="A7318">
        <v>1975</v>
      </c>
      <c r="B7318" s="1">
        <v>45829</v>
      </c>
      <c r="C7318" s="2">
        <v>0.83333333333333337</v>
      </c>
      <c r="D7318">
        <v>3</v>
      </c>
      <c r="E7318">
        <v>21.8</v>
      </c>
      <c r="F7318">
        <v>63</v>
      </c>
    </row>
    <row r="7319" spans="1:6" x14ac:dyDescent="0.35">
      <c r="A7319">
        <v>1975</v>
      </c>
      <c r="B7319" s="1">
        <v>45829</v>
      </c>
      <c r="C7319" s="2">
        <v>0.875</v>
      </c>
      <c r="D7319">
        <v>3</v>
      </c>
      <c r="E7319">
        <v>19.3</v>
      </c>
      <c r="F7319">
        <v>77</v>
      </c>
    </row>
    <row r="7320" spans="1:6" x14ac:dyDescent="0.35">
      <c r="A7320">
        <v>1975</v>
      </c>
      <c r="B7320" s="1">
        <v>45829</v>
      </c>
      <c r="C7320" s="2">
        <v>0.91666666666666663</v>
      </c>
      <c r="D7320">
        <v>3</v>
      </c>
      <c r="E7320">
        <v>17.8</v>
      </c>
      <c r="F7320">
        <v>85</v>
      </c>
    </row>
    <row r="7321" spans="1:6" x14ac:dyDescent="0.35">
      <c r="A7321">
        <v>1975</v>
      </c>
      <c r="B7321" s="1">
        <v>45829</v>
      </c>
      <c r="C7321" s="2">
        <v>0.95833333333333337</v>
      </c>
      <c r="D7321">
        <v>3</v>
      </c>
      <c r="E7321">
        <v>16.899999999999999</v>
      </c>
      <c r="F7321">
        <v>88</v>
      </c>
    </row>
    <row r="7322" spans="1:6" x14ac:dyDescent="0.35">
      <c r="A7322">
        <v>1975</v>
      </c>
      <c r="B7322" s="1">
        <v>45830</v>
      </c>
      <c r="C7322" s="2">
        <v>0</v>
      </c>
      <c r="D7322">
        <v>3</v>
      </c>
      <c r="E7322">
        <v>16.5</v>
      </c>
      <c r="F7322">
        <v>91</v>
      </c>
    </row>
    <row r="7323" spans="1:6" x14ac:dyDescent="0.35">
      <c r="A7323">
        <v>1975</v>
      </c>
      <c r="B7323" s="1">
        <v>45830</v>
      </c>
      <c r="C7323" s="2">
        <v>4.1666666666666657E-2</v>
      </c>
      <c r="D7323">
        <v>3</v>
      </c>
      <c r="E7323">
        <v>15.7</v>
      </c>
      <c r="F7323">
        <v>91</v>
      </c>
    </row>
    <row r="7324" spans="1:6" x14ac:dyDescent="0.35">
      <c r="A7324">
        <v>1975</v>
      </c>
      <c r="B7324" s="1">
        <v>45830</v>
      </c>
      <c r="C7324" s="2">
        <v>8.3333333333333329E-2</v>
      </c>
      <c r="D7324">
        <v>3</v>
      </c>
      <c r="E7324">
        <v>16.100000000000001</v>
      </c>
      <c r="F7324">
        <v>85</v>
      </c>
    </row>
    <row r="7325" spans="1:6" x14ac:dyDescent="0.35">
      <c r="A7325">
        <v>1975</v>
      </c>
      <c r="B7325" s="1">
        <v>45830</v>
      </c>
      <c r="C7325" s="2">
        <v>0.125</v>
      </c>
      <c r="D7325">
        <v>3</v>
      </c>
      <c r="E7325">
        <v>17.399999999999999</v>
      </c>
      <c r="F7325">
        <v>77</v>
      </c>
    </row>
    <row r="7326" spans="1:6" x14ac:dyDescent="0.35">
      <c r="A7326">
        <v>1975</v>
      </c>
      <c r="B7326" s="1">
        <v>45830</v>
      </c>
      <c r="C7326" s="2">
        <v>0.16666666666666671</v>
      </c>
      <c r="D7326">
        <v>3</v>
      </c>
      <c r="E7326">
        <v>16.5</v>
      </c>
      <c r="F7326">
        <v>76</v>
      </c>
    </row>
    <row r="7327" spans="1:6" x14ac:dyDescent="0.35">
      <c r="A7327">
        <v>1975</v>
      </c>
      <c r="B7327" s="1">
        <v>45830</v>
      </c>
      <c r="C7327" s="2">
        <v>0.20833333333333329</v>
      </c>
      <c r="D7327">
        <v>3</v>
      </c>
      <c r="E7327">
        <v>18.3</v>
      </c>
      <c r="F7327">
        <v>65</v>
      </c>
    </row>
    <row r="7328" spans="1:6" x14ac:dyDescent="0.35">
      <c r="A7328">
        <v>1975</v>
      </c>
      <c r="B7328" s="1">
        <v>45830</v>
      </c>
      <c r="C7328" s="2">
        <v>0.25</v>
      </c>
      <c r="D7328">
        <v>3</v>
      </c>
      <c r="E7328">
        <v>20.7</v>
      </c>
      <c r="F7328">
        <v>56</v>
      </c>
    </row>
    <row r="7329" spans="1:6" x14ac:dyDescent="0.35">
      <c r="A7329">
        <v>1975</v>
      </c>
      <c r="B7329" s="1">
        <v>45830</v>
      </c>
      <c r="C7329" s="2">
        <v>0.29166666666666669</v>
      </c>
      <c r="D7329">
        <v>3</v>
      </c>
      <c r="E7329">
        <v>23.1</v>
      </c>
      <c r="F7329">
        <v>49</v>
      </c>
    </row>
    <row r="7330" spans="1:6" x14ac:dyDescent="0.35">
      <c r="A7330">
        <v>1975</v>
      </c>
      <c r="B7330" s="1">
        <v>45830</v>
      </c>
      <c r="C7330" s="2">
        <v>0.33333333333333331</v>
      </c>
      <c r="D7330">
        <v>3</v>
      </c>
      <c r="E7330">
        <v>25.3</v>
      </c>
      <c r="F7330">
        <v>45</v>
      </c>
    </row>
    <row r="7331" spans="1:6" x14ac:dyDescent="0.35">
      <c r="A7331">
        <v>1975</v>
      </c>
      <c r="B7331" s="1">
        <v>45830</v>
      </c>
      <c r="C7331" s="2">
        <v>0.375</v>
      </c>
      <c r="D7331">
        <v>3</v>
      </c>
      <c r="E7331">
        <v>26.9</v>
      </c>
      <c r="F7331">
        <v>43</v>
      </c>
    </row>
    <row r="7332" spans="1:6" x14ac:dyDescent="0.35">
      <c r="A7332">
        <v>1975</v>
      </c>
      <c r="B7332" s="1">
        <v>45830</v>
      </c>
      <c r="C7332" s="2">
        <v>0.41666666666666669</v>
      </c>
      <c r="D7332">
        <v>3</v>
      </c>
      <c r="E7332">
        <v>28.7</v>
      </c>
      <c r="F7332">
        <v>38</v>
      </c>
    </row>
    <row r="7333" spans="1:6" x14ac:dyDescent="0.35">
      <c r="A7333">
        <v>1975</v>
      </c>
      <c r="B7333" s="1">
        <v>45830</v>
      </c>
      <c r="C7333" s="2">
        <v>0.45833333333333331</v>
      </c>
      <c r="D7333">
        <v>3</v>
      </c>
      <c r="E7333">
        <v>30.1</v>
      </c>
      <c r="F7333">
        <v>31</v>
      </c>
    </row>
    <row r="7334" spans="1:6" x14ac:dyDescent="0.35">
      <c r="A7334">
        <v>1975</v>
      </c>
      <c r="B7334" s="1">
        <v>45830</v>
      </c>
      <c r="C7334" s="2">
        <v>0.5</v>
      </c>
      <c r="D7334">
        <v>3</v>
      </c>
      <c r="E7334">
        <v>30.9</v>
      </c>
      <c r="F7334">
        <v>28</v>
      </c>
    </row>
    <row r="7335" spans="1:6" x14ac:dyDescent="0.35">
      <c r="A7335">
        <v>1975</v>
      </c>
      <c r="B7335" s="1">
        <v>45830</v>
      </c>
      <c r="C7335" s="2">
        <v>0.54166666666666663</v>
      </c>
      <c r="D7335">
        <v>3</v>
      </c>
      <c r="E7335">
        <v>31.1</v>
      </c>
      <c r="F7335">
        <v>30</v>
      </c>
    </row>
    <row r="7336" spans="1:6" x14ac:dyDescent="0.35">
      <c r="A7336">
        <v>1975</v>
      </c>
      <c r="B7336" s="1">
        <v>45830</v>
      </c>
      <c r="C7336" s="2">
        <v>0.58333333333333337</v>
      </c>
      <c r="D7336">
        <v>3</v>
      </c>
      <c r="E7336">
        <v>30.5</v>
      </c>
      <c r="F7336">
        <v>32</v>
      </c>
    </row>
    <row r="7337" spans="1:6" x14ac:dyDescent="0.35">
      <c r="A7337">
        <v>1975</v>
      </c>
      <c r="B7337" s="1">
        <v>45830</v>
      </c>
      <c r="C7337" s="2">
        <v>0.625</v>
      </c>
      <c r="D7337">
        <v>3</v>
      </c>
      <c r="E7337">
        <v>29.7</v>
      </c>
      <c r="F7337">
        <v>36</v>
      </c>
    </row>
    <row r="7338" spans="1:6" x14ac:dyDescent="0.35">
      <c r="A7338">
        <v>1975</v>
      </c>
      <c r="B7338" s="1">
        <v>45830</v>
      </c>
      <c r="C7338" s="2">
        <v>0.66666666666666663</v>
      </c>
      <c r="D7338">
        <v>3</v>
      </c>
      <c r="E7338">
        <v>28.4</v>
      </c>
      <c r="F7338">
        <v>39</v>
      </c>
    </row>
    <row r="7339" spans="1:6" x14ac:dyDescent="0.35">
      <c r="A7339">
        <v>1975</v>
      </c>
      <c r="B7339" s="1">
        <v>45830</v>
      </c>
      <c r="C7339" s="2">
        <v>0.70833333333333337</v>
      </c>
      <c r="D7339">
        <v>3</v>
      </c>
      <c r="E7339">
        <v>26.4</v>
      </c>
      <c r="F7339">
        <v>49</v>
      </c>
    </row>
    <row r="7340" spans="1:6" x14ac:dyDescent="0.35">
      <c r="A7340">
        <v>1975</v>
      </c>
      <c r="B7340" s="1">
        <v>45830</v>
      </c>
      <c r="C7340" s="2">
        <v>0.75</v>
      </c>
      <c r="D7340">
        <v>3</v>
      </c>
      <c r="E7340">
        <v>25.6</v>
      </c>
      <c r="F7340">
        <v>48</v>
      </c>
    </row>
    <row r="7341" spans="1:6" x14ac:dyDescent="0.35">
      <c r="A7341">
        <v>1975</v>
      </c>
      <c r="B7341" s="1">
        <v>45830</v>
      </c>
      <c r="C7341" s="2">
        <v>0.79166666666666663</v>
      </c>
      <c r="D7341">
        <v>3</v>
      </c>
      <c r="E7341">
        <v>23.7</v>
      </c>
      <c r="F7341">
        <v>63</v>
      </c>
    </row>
    <row r="7342" spans="1:6" x14ac:dyDescent="0.35">
      <c r="A7342">
        <v>1975</v>
      </c>
      <c r="B7342" s="1">
        <v>45830</v>
      </c>
      <c r="C7342" s="2">
        <v>0.83333333333333337</v>
      </c>
      <c r="D7342">
        <v>3</v>
      </c>
      <c r="E7342">
        <v>20.7</v>
      </c>
      <c r="F7342">
        <v>82</v>
      </c>
    </row>
    <row r="7343" spans="1:6" x14ac:dyDescent="0.35">
      <c r="A7343">
        <v>1975</v>
      </c>
      <c r="B7343" s="1">
        <v>45830</v>
      </c>
      <c r="C7343" s="2">
        <v>0.875</v>
      </c>
      <c r="D7343">
        <v>3</v>
      </c>
      <c r="E7343">
        <v>19</v>
      </c>
      <c r="F7343">
        <v>90</v>
      </c>
    </row>
    <row r="7344" spans="1:6" x14ac:dyDescent="0.35">
      <c r="A7344">
        <v>1975</v>
      </c>
      <c r="B7344" s="1">
        <v>45830</v>
      </c>
      <c r="C7344" s="2">
        <v>0.91666666666666663</v>
      </c>
      <c r="D7344">
        <v>3</v>
      </c>
      <c r="E7344">
        <v>18.3</v>
      </c>
      <c r="F7344">
        <v>93</v>
      </c>
    </row>
    <row r="7345" spans="1:6" x14ac:dyDescent="0.35">
      <c r="A7345">
        <v>1975</v>
      </c>
      <c r="B7345" s="1">
        <v>45830</v>
      </c>
      <c r="C7345" s="2">
        <v>0.95833333333333337</v>
      </c>
      <c r="D7345">
        <v>3</v>
      </c>
      <c r="E7345">
        <v>17.399999999999999</v>
      </c>
      <c r="F7345">
        <v>94</v>
      </c>
    </row>
    <row r="7346" spans="1:6" x14ac:dyDescent="0.35">
      <c r="A7346">
        <v>1975</v>
      </c>
      <c r="B7346" s="1">
        <v>45831</v>
      </c>
      <c r="C7346" s="2">
        <v>0</v>
      </c>
      <c r="D7346">
        <v>3</v>
      </c>
      <c r="E7346">
        <v>17.100000000000001</v>
      </c>
      <c r="F7346">
        <v>94</v>
      </c>
    </row>
    <row r="7347" spans="1:6" x14ac:dyDescent="0.35">
      <c r="A7347">
        <v>1975</v>
      </c>
      <c r="B7347" s="1">
        <v>45831</v>
      </c>
      <c r="C7347" s="2">
        <v>4.1666666666666657E-2</v>
      </c>
      <c r="D7347">
        <v>3</v>
      </c>
      <c r="E7347">
        <v>16.2</v>
      </c>
      <c r="F7347">
        <v>98</v>
      </c>
    </row>
    <row r="7348" spans="1:6" x14ac:dyDescent="0.35">
      <c r="A7348">
        <v>1975</v>
      </c>
      <c r="B7348" s="1">
        <v>45831</v>
      </c>
      <c r="C7348" s="2">
        <v>8.3333333333333329E-2</v>
      </c>
      <c r="D7348">
        <v>3</v>
      </c>
      <c r="E7348">
        <v>15.6</v>
      </c>
      <c r="F7348">
        <v>99</v>
      </c>
    </row>
    <row r="7349" spans="1:6" x14ac:dyDescent="0.35">
      <c r="A7349">
        <v>1975</v>
      </c>
      <c r="B7349" s="1">
        <v>45831</v>
      </c>
      <c r="C7349" s="2">
        <v>0.125</v>
      </c>
      <c r="D7349">
        <v>3</v>
      </c>
      <c r="E7349">
        <v>16.100000000000001</v>
      </c>
      <c r="F7349">
        <v>96</v>
      </c>
    </row>
    <row r="7350" spans="1:6" x14ac:dyDescent="0.35">
      <c r="A7350">
        <v>1975</v>
      </c>
      <c r="B7350" s="1">
        <v>45831</v>
      </c>
      <c r="C7350" s="2">
        <v>0.16666666666666671</v>
      </c>
      <c r="D7350">
        <v>3</v>
      </c>
      <c r="E7350">
        <v>16.3</v>
      </c>
      <c r="F7350">
        <v>89</v>
      </c>
    </row>
    <row r="7351" spans="1:6" x14ac:dyDescent="0.35">
      <c r="A7351">
        <v>1975</v>
      </c>
      <c r="B7351" s="1">
        <v>45831</v>
      </c>
      <c r="C7351" s="2">
        <v>0.20833333333333329</v>
      </c>
      <c r="D7351">
        <v>3</v>
      </c>
      <c r="E7351">
        <v>17.100000000000001</v>
      </c>
      <c r="F7351">
        <v>84</v>
      </c>
    </row>
    <row r="7352" spans="1:6" x14ac:dyDescent="0.35">
      <c r="A7352">
        <v>1975</v>
      </c>
      <c r="B7352" s="1">
        <v>45831</v>
      </c>
      <c r="C7352" s="2">
        <v>0.25</v>
      </c>
      <c r="D7352">
        <v>3</v>
      </c>
      <c r="E7352">
        <v>18.3</v>
      </c>
      <c r="F7352">
        <v>76</v>
      </c>
    </row>
    <row r="7353" spans="1:6" x14ac:dyDescent="0.35">
      <c r="A7353">
        <v>1975</v>
      </c>
      <c r="B7353" s="1">
        <v>45831</v>
      </c>
      <c r="C7353" s="2">
        <v>0.29166666666666669</v>
      </c>
      <c r="D7353">
        <v>3</v>
      </c>
      <c r="E7353">
        <v>18.600000000000001</v>
      </c>
      <c r="F7353">
        <v>76</v>
      </c>
    </row>
    <row r="7354" spans="1:6" x14ac:dyDescent="0.35">
      <c r="A7354">
        <v>1975</v>
      </c>
      <c r="B7354" s="1">
        <v>45831</v>
      </c>
      <c r="C7354" s="2">
        <v>0.33333333333333331</v>
      </c>
      <c r="D7354">
        <v>3</v>
      </c>
      <c r="E7354">
        <v>19.7</v>
      </c>
      <c r="F7354">
        <v>73</v>
      </c>
    </row>
    <row r="7355" spans="1:6" x14ac:dyDescent="0.35">
      <c r="A7355">
        <v>1975</v>
      </c>
      <c r="B7355" s="1">
        <v>45831</v>
      </c>
      <c r="C7355" s="2">
        <v>0.375</v>
      </c>
      <c r="D7355">
        <v>3</v>
      </c>
      <c r="E7355">
        <v>19.8</v>
      </c>
      <c r="F7355">
        <v>69</v>
      </c>
    </row>
    <row r="7356" spans="1:6" x14ac:dyDescent="0.35">
      <c r="A7356">
        <v>1975</v>
      </c>
      <c r="B7356" s="1">
        <v>45831</v>
      </c>
      <c r="C7356" s="2">
        <v>0.41666666666666669</v>
      </c>
      <c r="D7356">
        <v>3</v>
      </c>
      <c r="E7356">
        <v>20.9</v>
      </c>
      <c r="F7356">
        <v>65</v>
      </c>
    </row>
    <row r="7357" spans="1:6" x14ac:dyDescent="0.35">
      <c r="A7357">
        <v>1975</v>
      </c>
      <c r="B7357" s="1">
        <v>45831</v>
      </c>
      <c r="C7357" s="2">
        <v>0.45833333333333331</v>
      </c>
      <c r="D7357">
        <v>3</v>
      </c>
      <c r="E7357">
        <v>14.6</v>
      </c>
      <c r="F7357">
        <v>97</v>
      </c>
    </row>
    <row r="7358" spans="1:6" x14ac:dyDescent="0.35">
      <c r="A7358">
        <v>1975</v>
      </c>
      <c r="B7358" s="1">
        <v>45831</v>
      </c>
      <c r="C7358" s="2">
        <v>0.5</v>
      </c>
      <c r="D7358">
        <v>3</v>
      </c>
      <c r="E7358">
        <v>16</v>
      </c>
      <c r="F7358">
        <v>87</v>
      </c>
    </row>
    <row r="7359" spans="1:6" x14ac:dyDescent="0.35">
      <c r="A7359">
        <v>1975</v>
      </c>
      <c r="B7359" s="1">
        <v>45831</v>
      </c>
      <c r="C7359" s="2">
        <v>0.54166666666666663</v>
      </c>
      <c r="D7359">
        <v>3</v>
      </c>
      <c r="E7359">
        <v>13.3</v>
      </c>
      <c r="F7359">
        <v>89</v>
      </c>
    </row>
    <row r="7360" spans="1:6" x14ac:dyDescent="0.35">
      <c r="A7360">
        <v>1975</v>
      </c>
      <c r="B7360" s="1">
        <v>45831</v>
      </c>
      <c r="C7360" s="2">
        <v>0.58333333333333337</v>
      </c>
      <c r="D7360">
        <v>3</v>
      </c>
      <c r="E7360">
        <v>15.2</v>
      </c>
      <c r="F7360">
        <v>78</v>
      </c>
    </row>
    <row r="7361" spans="1:6" x14ac:dyDescent="0.35">
      <c r="A7361">
        <v>1975</v>
      </c>
      <c r="B7361" s="1">
        <v>45831</v>
      </c>
      <c r="C7361" s="2">
        <v>0.625</v>
      </c>
      <c r="D7361">
        <v>3</v>
      </c>
      <c r="E7361">
        <v>14.7</v>
      </c>
      <c r="F7361">
        <v>79</v>
      </c>
    </row>
    <row r="7362" spans="1:6" x14ac:dyDescent="0.35">
      <c r="A7362">
        <v>1975</v>
      </c>
      <c r="B7362" s="1">
        <v>45831</v>
      </c>
      <c r="C7362" s="2">
        <v>0.66666666666666663</v>
      </c>
      <c r="D7362">
        <v>3</v>
      </c>
      <c r="E7362">
        <v>16.8</v>
      </c>
      <c r="F7362">
        <v>64</v>
      </c>
    </row>
    <row r="7363" spans="1:6" x14ac:dyDescent="0.35">
      <c r="A7363">
        <v>1975</v>
      </c>
      <c r="B7363" s="1">
        <v>45831</v>
      </c>
      <c r="C7363" s="2">
        <v>0.70833333333333337</v>
      </c>
      <c r="D7363">
        <v>3</v>
      </c>
      <c r="E7363">
        <v>16.399999999999999</v>
      </c>
      <c r="F7363">
        <v>68</v>
      </c>
    </row>
    <row r="7364" spans="1:6" x14ac:dyDescent="0.35">
      <c r="A7364">
        <v>1975</v>
      </c>
      <c r="B7364" s="1">
        <v>45831</v>
      </c>
      <c r="C7364" s="2">
        <v>0.75</v>
      </c>
      <c r="D7364">
        <v>3</v>
      </c>
      <c r="E7364">
        <v>14.9</v>
      </c>
      <c r="F7364">
        <v>77</v>
      </c>
    </row>
    <row r="7365" spans="1:6" x14ac:dyDescent="0.35">
      <c r="A7365">
        <v>1975</v>
      </c>
      <c r="B7365" s="1">
        <v>45831</v>
      </c>
      <c r="C7365" s="2">
        <v>0.79166666666666663</v>
      </c>
      <c r="D7365">
        <v>3</v>
      </c>
      <c r="E7365">
        <v>15.8</v>
      </c>
      <c r="F7365">
        <v>70</v>
      </c>
    </row>
    <row r="7366" spans="1:6" x14ac:dyDescent="0.35">
      <c r="A7366">
        <v>1975</v>
      </c>
      <c r="B7366" s="1">
        <v>45831</v>
      </c>
      <c r="C7366" s="2">
        <v>0.83333333333333337</v>
      </c>
      <c r="D7366">
        <v>3</v>
      </c>
      <c r="E7366">
        <v>15.4</v>
      </c>
      <c r="F7366">
        <v>70</v>
      </c>
    </row>
    <row r="7367" spans="1:6" x14ac:dyDescent="0.35">
      <c r="A7367">
        <v>1975</v>
      </c>
      <c r="B7367" s="1">
        <v>45831</v>
      </c>
      <c r="C7367" s="2">
        <v>0.875</v>
      </c>
      <c r="D7367">
        <v>3</v>
      </c>
      <c r="E7367">
        <v>13.8</v>
      </c>
      <c r="F7367">
        <v>83</v>
      </c>
    </row>
    <row r="7368" spans="1:6" x14ac:dyDescent="0.35">
      <c r="A7368">
        <v>1975</v>
      </c>
      <c r="B7368" s="1">
        <v>45831</v>
      </c>
      <c r="C7368" s="2">
        <v>0.91666666666666663</v>
      </c>
      <c r="D7368">
        <v>3</v>
      </c>
      <c r="E7368">
        <v>14.6</v>
      </c>
      <c r="F7368">
        <v>73</v>
      </c>
    </row>
    <row r="7369" spans="1:6" x14ac:dyDescent="0.35">
      <c r="A7369">
        <v>1975</v>
      </c>
      <c r="B7369" s="1">
        <v>45831</v>
      </c>
      <c r="C7369" s="2">
        <v>0.95833333333333337</v>
      </c>
      <c r="D7369">
        <v>3</v>
      </c>
      <c r="E7369">
        <v>14.9</v>
      </c>
      <c r="F7369">
        <v>73</v>
      </c>
    </row>
    <row r="7370" spans="1:6" x14ac:dyDescent="0.35">
      <c r="A7370">
        <v>1975</v>
      </c>
      <c r="B7370" s="1">
        <v>45832</v>
      </c>
      <c r="C7370" s="2">
        <v>0</v>
      </c>
      <c r="D7370">
        <v>3</v>
      </c>
      <c r="E7370">
        <v>14.3</v>
      </c>
      <c r="F7370">
        <v>78</v>
      </c>
    </row>
    <row r="7371" spans="1:6" x14ac:dyDescent="0.35">
      <c r="A7371">
        <v>1975</v>
      </c>
      <c r="B7371" s="1">
        <v>45832</v>
      </c>
      <c r="C7371" s="2">
        <v>4.1666666666666657E-2</v>
      </c>
      <c r="D7371">
        <v>3</v>
      </c>
      <c r="E7371">
        <v>15</v>
      </c>
      <c r="F7371">
        <v>73</v>
      </c>
    </row>
    <row r="7372" spans="1:6" x14ac:dyDescent="0.35">
      <c r="A7372">
        <v>1975</v>
      </c>
      <c r="B7372" s="1">
        <v>45832</v>
      </c>
      <c r="C7372" s="2">
        <v>8.3333333333333329E-2</v>
      </c>
      <c r="D7372">
        <v>3</v>
      </c>
      <c r="E7372">
        <v>14.7</v>
      </c>
      <c r="F7372">
        <v>73</v>
      </c>
    </row>
    <row r="7373" spans="1:6" x14ac:dyDescent="0.35">
      <c r="A7373">
        <v>1975</v>
      </c>
      <c r="B7373" s="1">
        <v>45832</v>
      </c>
      <c r="C7373" s="2">
        <v>0.125</v>
      </c>
      <c r="D7373">
        <v>3</v>
      </c>
      <c r="E7373">
        <v>14.9</v>
      </c>
      <c r="F7373">
        <v>71</v>
      </c>
    </row>
    <row r="7374" spans="1:6" x14ac:dyDescent="0.35">
      <c r="A7374">
        <v>1975</v>
      </c>
      <c r="B7374" s="1">
        <v>45832</v>
      </c>
      <c r="C7374" s="2">
        <v>0.16666666666666671</v>
      </c>
      <c r="D7374">
        <v>3</v>
      </c>
      <c r="E7374">
        <v>15</v>
      </c>
      <c r="F7374">
        <v>70</v>
      </c>
    </row>
    <row r="7375" spans="1:6" x14ac:dyDescent="0.35">
      <c r="A7375">
        <v>1975</v>
      </c>
      <c r="B7375" s="1">
        <v>45832</v>
      </c>
      <c r="C7375" s="2">
        <v>0.20833333333333329</v>
      </c>
      <c r="D7375">
        <v>3</v>
      </c>
      <c r="E7375">
        <v>15.2</v>
      </c>
      <c r="F7375">
        <v>70</v>
      </c>
    </row>
    <row r="7376" spans="1:6" x14ac:dyDescent="0.35">
      <c r="A7376">
        <v>1975</v>
      </c>
      <c r="B7376" s="1">
        <v>45832</v>
      </c>
      <c r="C7376" s="2">
        <v>0.25</v>
      </c>
      <c r="D7376">
        <v>3</v>
      </c>
      <c r="E7376">
        <v>15.8</v>
      </c>
      <c r="F7376">
        <v>68</v>
      </c>
    </row>
    <row r="7377" spans="1:6" x14ac:dyDescent="0.35">
      <c r="A7377">
        <v>1975</v>
      </c>
      <c r="B7377" s="1">
        <v>45832</v>
      </c>
      <c r="C7377" s="2">
        <v>0.29166666666666669</v>
      </c>
      <c r="D7377">
        <v>3</v>
      </c>
      <c r="E7377">
        <v>16.2</v>
      </c>
      <c r="F7377">
        <v>67</v>
      </c>
    </row>
    <row r="7378" spans="1:6" x14ac:dyDescent="0.35">
      <c r="A7378">
        <v>1975</v>
      </c>
      <c r="B7378" s="1">
        <v>45832</v>
      </c>
      <c r="C7378" s="2">
        <v>0.33333333333333331</v>
      </c>
      <c r="D7378">
        <v>3</v>
      </c>
      <c r="E7378">
        <v>16.2</v>
      </c>
      <c r="F7378">
        <v>66</v>
      </c>
    </row>
    <row r="7379" spans="1:6" x14ac:dyDescent="0.35">
      <c r="A7379">
        <v>1975</v>
      </c>
      <c r="B7379" s="1">
        <v>45832</v>
      </c>
      <c r="C7379" s="2">
        <v>0.375</v>
      </c>
      <c r="D7379">
        <v>3</v>
      </c>
      <c r="E7379">
        <v>16.600000000000001</v>
      </c>
      <c r="F7379">
        <v>67</v>
      </c>
    </row>
    <row r="7380" spans="1:6" x14ac:dyDescent="0.35">
      <c r="A7380">
        <v>1975</v>
      </c>
      <c r="B7380" s="1">
        <v>45832</v>
      </c>
      <c r="C7380" s="2">
        <v>0.41666666666666669</v>
      </c>
      <c r="D7380">
        <v>3</v>
      </c>
      <c r="E7380">
        <v>17.8</v>
      </c>
      <c r="F7380">
        <v>68</v>
      </c>
    </row>
    <row r="7381" spans="1:6" x14ac:dyDescent="0.35">
      <c r="A7381">
        <v>1975</v>
      </c>
      <c r="B7381" s="1">
        <v>45832</v>
      </c>
      <c r="C7381" s="2">
        <v>0.45833333333333331</v>
      </c>
      <c r="D7381">
        <v>3</v>
      </c>
      <c r="E7381">
        <v>17.399999999999999</v>
      </c>
      <c r="F7381">
        <v>66</v>
      </c>
    </row>
    <row r="7382" spans="1:6" x14ac:dyDescent="0.35">
      <c r="A7382">
        <v>1975</v>
      </c>
      <c r="B7382" s="1">
        <v>45832</v>
      </c>
      <c r="C7382" s="2">
        <v>0.5</v>
      </c>
      <c r="D7382">
        <v>3</v>
      </c>
      <c r="E7382">
        <v>18.100000000000001</v>
      </c>
      <c r="F7382">
        <v>63</v>
      </c>
    </row>
    <row r="7383" spans="1:6" x14ac:dyDescent="0.35">
      <c r="A7383">
        <v>1975</v>
      </c>
      <c r="B7383" s="1">
        <v>45832</v>
      </c>
      <c r="C7383" s="2">
        <v>0.54166666666666663</v>
      </c>
      <c r="D7383">
        <v>3</v>
      </c>
      <c r="E7383">
        <v>18</v>
      </c>
      <c r="F7383">
        <v>64</v>
      </c>
    </row>
    <row r="7384" spans="1:6" x14ac:dyDescent="0.35">
      <c r="A7384">
        <v>1975</v>
      </c>
      <c r="B7384" s="1">
        <v>45832</v>
      </c>
      <c r="C7384" s="2">
        <v>0.58333333333333337</v>
      </c>
      <c r="D7384">
        <v>3</v>
      </c>
      <c r="E7384">
        <v>17.899999999999999</v>
      </c>
      <c r="F7384">
        <v>67</v>
      </c>
    </row>
    <row r="7385" spans="1:6" x14ac:dyDescent="0.35">
      <c r="A7385">
        <v>1975</v>
      </c>
      <c r="B7385" s="1">
        <v>45832</v>
      </c>
      <c r="C7385" s="2">
        <v>0.625</v>
      </c>
      <c r="D7385">
        <v>3</v>
      </c>
      <c r="E7385">
        <v>17.899999999999999</v>
      </c>
      <c r="F7385">
        <v>70</v>
      </c>
    </row>
    <row r="7386" spans="1:6" x14ac:dyDescent="0.35">
      <c r="A7386">
        <v>1975</v>
      </c>
      <c r="B7386" s="1">
        <v>45832</v>
      </c>
      <c r="C7386" s="2">
        <v>0.66666666666666663</v>
      </c>
      <c r="D7386">
        <v>3</v>
      </c>
      <c r="E7386">
        <v>17.100000000000001</v>
      </c>
      <c r="F7386">
        <v>81</v>
      </c>
    </row>
    <row r="7387" spans="1:6" x14ac:dyDescent="0.35">
      <c r="A7387">
        <v>1975</v>
      </c>
      <c r="B7387" s="1">
        <v>45832</v>
      </c>
      <c r="C7387" s="2">
        <v>0.70833333333333337</v>
      </c>
      <c r="D7387">
        <v>3</v>
      </c>
      <c r="E7387">
        <v>16.7</v>
      </c>
      <c r="F7387">
        <v>85</v>
      </c>
    </row>
    <row r="7388" spans="1:6" x14ac:dyDescent="0.35">
      <c r="A7388">
        <v>1975</v>
      </c>
      <c r="B7388" s="1">
        <v>45832</v>
      </c>
      <c r="C7388" s="2">
        <v>0.75</v>
      </c>
      <c r="D7388">
        <v>3</v>
      </c>
      <c r="E7388">
        <v>15.5</v>
      </c>
      <c r="F7388">
        <v>95</v>
      </c>
    </row>
    <row r="7389" spans="1:6" x14ac:dyDescent="0.35">
      <c r="A7389">
        <v>1975</v>
      </c>
      <c r="B7389" s="1">
        <v>45832</v>
      </c>
      <c r="C7389" s="2">
        <v>0.79166666666666663</v>
      </c>
      <c r="D7389">
        <v>3</v>
      </c>
      <c r="E7389">
        <v>15.6</v>
      </c>
      <c r="F7389">
        <v>96</v>
      </c>
    </row>
    <row r="7390" spans="1:6" x14ac:dyDescent="0.35">
      <c r="A7390">
        <v>1975</v>
      </c>
      <c r="B7390" s="1">
        <v>45832</v>
      </c>
      <c r="C7390" s="2">
        <v>0.83333333333333337</v>
      </c>
      <c r="D7390">
        <v>3</v>
      </c>
      <c r="E7390">
        <v>15.9</v>
      </c>
      <c r="F7390">
        <v>96</v>
      </c>
    </row>
    <row r="7391" spans="1:6" x14ac:dyDescent="0.35">
      <c r="A7391">
        <v>1975</v>
      </c>
      <c r="B7391" s="1">
        <v>45832</v>
      </c>
      <c r="C7391" s="2">
        <v>0.875</v>
      </c>
      <c r="D7391">
        <v>3</v>
      </c>
      <c r="E7391">
        <v>16.399999999999999</v>
      </c>
      <c r="F7391">
        <v>94</v>
      </c>
    </row>
    <row r="7392" spans="1:6" x14ac:dyDescent="0.35">
      <c r="A7392">
        <v>1975</v>
      </c>
      <c r="B7392" s="1">
        <v>45832</v>
      </c>
      <c r="C7392" s="2">
        <v>0.91666666666666663</v>
      </c>
      <c r="D7392">
        <v>3</v>
      </c>
      <c r="E7392">
        <v>16.899999999999999</v>
      </c>
      <c r="F7392">
        <v>91</v>
      </c>
    </row>
    <row r="7393" spans="1:6" x14ac:dyDescent="0.35">
      <c r="A7393">
        <v>1975</v>
      </c>
      <c r="B7393" s="1">
        <v>45832</v>
      </c>
      <c r="C7393" s="2">
        <v>0.95833333333333337</v>
      </c>
      <c r="D7393">
        <v>3</v>
      </c>
      <c r="E7393">
        <v>17.100000000000001</v>
      </c>
      <c r="F7393">
        <v>90</v>
      </c>
    </row>
    <row r="7394" spans="1:6" x14ac:dyDescent="0.35">
      <c r="A7394">
        <v>1975</v>
      </c>
      <c r="B7394" s="1">
        <v>45833</v>
      </c>
      <c r="C7394" s="2">
        <v>0</v>
      </c>
      <c r="D7394">
        <v>3</v>
      </c>
      <c r="E7394">
        <v>16.8</v>
      </c>
      <c r="F7394">
        <v>92</v>
      </c>
    </row>
    <row r="7395" spans="1:6" x14ac:dyDescent="0.35">
      <c r="A7395">
        <v>1975</v>
      </c>
      <c r="B7395" s="1">
        <v>45833</v>
      </c>
      <c r="C7395" s="2">
        <v>4.1666666666666657E-2</v>
      </c>
      <c r="D7395">
        <v>3</v>
      </c>
      <c r="E7395">
        <v>16.7</v>
      </c>
      <c r="F7395">
        <v>92</v>
      </c>
    </row>
    <row r="7396" spans="1:6" x14ac:dyDescent="0.35">
      <c r="A7396">
        <v>1975</v>
      </c>
      <c r="B7396" s="1">
        <v>45833</v>
      </c>
      <c r="C7396" s="2">
        <v>8.3333333333333329E-2</v>
      </c>
      <c r="D7396">
        <v>3</v>
      </c>
      <c r="E7396">
        <v>17</v>
      </c>
      <c r="F7396">
        <v>94</v>
      </c>
    </row>
    <row r="7397" spans="1:6" x14ac:dyDescent="0.35">
      <c r="A7397">
        <v>1975</v>
      </c>
      <c r="B7397" s="1">
        <v>45833</v>
      </c>
      <c r="C7397" s="2">
        <v>0.125</v>
      </c>
      <c r="D7397">
        <v>3</v>
      </c>
      <c r="E7397">
        <v>17.2</v>
      </c>
      <c r="F7397">
        <v>94</v>
      </c>
    </row>
    <row r="7398" spans="1:6" x14ac:dyDescent="0.35">
      <c r="A7398">
        <v>1975</v>
      </c>
      <c r="B7398" s="1">
        <v>45833</v>
      </c>
      <c r="C7398" s="2">
        <v>0.16666666666666671</v>
      </c>
      <c r="D7398">
        <v>3</v>
      </c>
      <c r="E7398">
        <v>17.5</v>
      </c>
      <c r="F7398">
        <v>92</v>
      </c>
    </row>
    <row r="7399" spans="1:6" x14ac:dyDescent="0.35">
      <c r="A7399">
        <v>1975</v>
      </c>
      <c r="B7399" s="1">
        <v>45833</v>
      </c>
      <c r="C7399" s="2">
        <v>0.20833333333333329</v>
      </c>
      <c r="D7399">
        <v>3</v>
      </c>
      <c r="E7399">
        <v>17.8</v>
      </c>
      <c r="F7399">
        <v>90</v>
      </c>
    </row>
    <row r="7400" spans="1:6" x14ac:dyDescent="0.35">
      <c r="A7400">
        <v>1975</v>
      </c>
      <c r="B7400" s="1">
        <v>45833</v>
      </c>
      <c r="C7400" s="2">
        <v>0.25</v>
      </c>
      <c r="D7400">
        <v>3</v>
      </c>
      <c r="E7400">
        <v>18.5</v>
      </c>
      <c r="F7400">
        <v>86</v>
      </c>
    </row>
    <row r="7401" spans="1:6" x14ac:dyDescent="0.35">
      <c r="A7401">
        <v>1975</v>
      </c>
      <c r="B7401" s="1">
        <v>45833</v>
      </c>
      <c r="C7401" s="2">
        <v>0.29166666666666669</v>
      </c>
      <c r="D7401">
        <v>3</v>
      </c>
      <c r="E7401">
        <v>19</v>
      </c>
      <c r="F7401">
        <v>82</v>
      </c>
    </row>
    <row r="7402" spans="1:6" x14ac:dyDescent="0.35">
      <c r="A7402">
        <v>1975</v>
      </c>
      <c r="B7402" s="1">
        <v>45833</v>
      </c>
      <c r="C7402" s="2">
        <v>0.33333333333333331</v>
      </c>
      <c r="D7402">
        <v>3</v>
      </c>
      <c r="E7402">
        <v>19.5</v>
      </c>
      <c r="F7402">
        <v>74</v>
      </c>
    </row>
    <row r="7403" spans="1:6" x14ac:dyDescent="0.35">
      <c r="A7403">
        <v>1975</v>
      </c>
      <c r="B7403" s="1">
        <v>45833</v>
      </c>
      <c r="C7403" s="2">
        <v>0.375</v>
      </c>
      <c r="D7403">
        <v>3</v>
      </c>
      <c r="E7403">
        <v>19.3</v>
      </c>
      <c r="F7403">
        <v>74</v>
      </c>
    </row>
    <row r="7404" spans="1:6" x14ac:dyDescent="0.35">
      <c r="A7404">
        <v>1975</v>
      </c>
      <c r="B7404" s="1">
        <v>45833</v>
      </c>
      <c r="C7404" s="2">
        <v>0.41666666666666669</v>
      </c>
      <c r="D7404">
        <v>3</v>
      </c>
      <c r="E7404">
        <v>19.600000000000001</v>
      </c>
      <c r="F7404">
        <v>67</v>
      </c>
    </row>
    <row r="7405" spans="1:6" x14ac:dyDescent="0.35">
      <c r="A7405">
        <v>1975</v>
      </c>
      <c r="B7405" s="1">
        <v>45833</v>
      </c>
      <c r="C7405" s="2">
        <v>0.45833333333333331</v>
      </c>
      <c r="D7405">
        <v>3</v>
      </c>
      <c r="E7405">
        <v>19.899999999999999</v>
      </c>
      <c r="F7405">
        <v>64</v>
      </c>
    </row>
    <row r="7406" spans="1:6" x14ac:dyDescent="0.35">
      <c r="A7406">
        <v>1975</v>
      </c>
      <c r="B7406" s="1">
        <v>45833</v>
      </c>
      <c r="C7406" s="2">
        <v>0.5</v>
      </c>
      <c r="D7406">
        <v>3</v>
      </c>
      <c r="E7406">
        <v>20</v>
      </c>
      <c r="F7406">
        <v>64</v>
      </c>
    </row>
    <row r="7407" spans="1:6" x14ac:dyDescent="0.35">
      <c r="A7407">
        <v>1975</v>
      </c>
      <c r="B7407" s="1">
        <v>45833</v>
      </c>
      <c r="C7407" s="2">
        <v>0.54166666666666663</v>
      </c>
      <c r="D7407">
        <v>3</v>
      </c>
      <c r="E7407">
        <v>20.7</v>
      </c>
      <c r="F7407">
        <v>60</v>
      </c>
    </row>
    <row r="7408" spans="1:6" x14ac:dyDescent="0.35">
      <c r="A7408">
        <v>1975</v>
      </c>
      <c r="B7408" s="1">
        <v>45833</v>
      </c>
      <c r="C7408" s="2">
        <v>0.58333333333333337</v>
      </c>
      <c r="D7408">
        <v>3</v>
      </c>
      <c r="E7408">
        <v>20.9</v>
      </c>
      <c r="F7408">
        <v>62</v>
      </c>
    </row>
    <row r="7409" spans="1:6" x14ac:dyDescent="0.35">
      <c r="A7409">
        <v>1975</v>
      </c>
      <c r="B7409" s="1">
        <v>45833</v>
      </c>
      <c r="C7409" s="2">
        <v>0.625</v>
      </c>
      <c r="D7409">
        <v>3</v>
      </c>
      <c r="E7409">
        <v>20</v>
      </c>
      <c r="F7409">
        <v>62</v>
      </c>
    </row>
    <row r="7410" spans="1:6" x14ac:dyDescent="0.35">
      <c r="A7410">
        <v>1975</v>
      </c>
      <c r="B7410" s="1">
        <v>45833</v>
      </c>
      <c r="C7410" s="2">
        <v>0.66666666666666663</v>
      </c>
      <c r="D7410">
        <v>3</v>
      </c>
      <c r="E7410">
        <v>20.7</v>
      </c>
      <c r="F7410">
        <v>62</v>
      </c>
    </row>
    <row r="7411" spans="1:6" x14ac:dyDescent="0.35">
      <c r="A7411">
        <v>1975</v>
      </c>
      <c r="B7411" s="1">
        <v>45833</v>
      </c>
      <c r="C7411" s="2">
        <v>0.70833333333333337</v>
      </c>
      <c r="D7411">
        <v>3</v>
      </c>
      <c r="E7411">
        <v>19.899999999999999</v>
      </c>
      <c r="F7411">
        <v>62</v>
      </c>
    </row>
    <row r="7412" spans="1:6" x14ac:dyDescent="0.35">
      <c r="A7412">
        <v>1975</v>
      </c>
      <c r="B7412" s="1">
        <v>45833</v>
      </c>
      <c r="C7412" s="2">
        <v>0.75</v>
      </c>
      <c r="D7412">
        <v>3</v>
      </c>
      <c r="E7412">
        <v>19.8</v>
      </c>
      <c r="F7412">
        <v>56</v>
      </c>
    </row>
    <row r="7413" spans="1:6" x14ac:dyDescent="0.35">
      <c r="A7413">
        <v>1975</v>
      </c>
      <c r="B7413" s="1">
        <v>45833</v>
      </c>
      <c r="C7413" s="2">
        <v>0.79166666666666663</v>
      </c>
      <c r="D7413">
        <v>3</v>
      </c>
      <c r="E7413">
        <v>18.5</v>
      </c>
      <c r="F7413">
        <v>61</v>
      </c>
    </row>
    <row r="7414" spans="1:6" x14ac:dyDescent="0.35">
      <c r="A7414">
        <v>1975</v>
      </c>
      <c r="B7414" s="1">
        <v>45833</v>
      </c>
      <c r="C7414" s="2">
        <v>0.83333333333333337</v>
      </c>
      <c r="D7414">
        <v>3</v>
      </c>
      <c r="E7414">
        <v>16.3</v>
      </c>
      <c r="F7414">
        <v>75</v>
      </c>
    </row>
    <row r="7415" spans="1:6" x14ac:dyDescent="0.35">
      <c r="A7415">
        <v>1975</v>
      </c>
      <c r="B7415" s="1">
        <v>45833</v>
      </c>
      <c r="C7415" s="2">
        <v>0.875</v>
      </c>
      <c r="D7415">
        <v>3</v>
      </c>
      <c r="E7415">
        <v>14</v>
      </c>
      <c r="F7415">
        <v>88</v>
      </c>
    </row>
    <row r="7416" spans="1:6" x14ac:dyDescent="0.35">
      <c r="A7416">
        <v>1975</v>
      </c>
      <c r="B7416" s="1">
        <v>45833</v>
      </c>
      <c r="C7416" s="2">
        <v>0.91666666666666663</v>
      </c>
      <c r="D7416">
        <v>3</v>
      </c>
      <c r="E7416">
        <v>13.2</v>
      </c>
      <c r="F7416">
        <v>95</v>
      </c>
    </row>
    <row r="7417" spans="1:6" x14ac:dyDescent="0.35">
      <c r="A7417">
        <v>1975</v>
      </c>
      <c r="B7417" s="1">
        <v>45833</v>
      </c>
      <c r="C7417" s="2">
        <v>0.95833333333333337</v>
      </c>
      <c r="D7417">
        <v>3</v>
      </c>
      <c r="E7417">
        <v>12.4</v>
      </c>
      <c r="F7417">
        <v>98</v>
      </c>
    </row>
    <row r="7418" spans="1:6" x14ac:dyDescent="0.35">
      <c r="A7418">
        <v>1975</v>
      </c>
      <c r="B7418" s="1">
        <v>45834</v>
      </c>
      <c r="C7418" s="2">
        <v>0</v>
      </c>
      <c r="D7418">
        <v>3</v>
      </c>
      <c r="E7418">
        <v>11.6</v>
      </c>
      <c r="F7418">
        <v>97</v>
      </c>
    </row>
    <row r="7419" spans="1:6" x14ac:dyDescent="0.35">
      <c r="A7419">
        <v>1975</v>
      </c>
      <c r="B7419" s="1">
        <v>45834</v>
      </c>
      <c r="C7419" s="2">
        <v>4.1666666666666657E-2</v>
      </c>
      <c r="D7419">
        <v>3</v>
      </c>
      <c r="E7419">
        <v>11.6</v>
      </c>
      <c r="F7419">
        <v>98</v>
      </c>
    </row>
    <row r="7420" spans="1:6" x14ac:dyDescent="0.35">
      <c r="A7420">
        <v>1975</v>
      </c>
      <c r="B7420" s="1">
        <v>45834</v>
      </c>
      <c r="C7420" s="2">
        <v>8.3333333333333329E-2</v>
      </c>
      <c r="D7420">
        <v>3</v>
      </c>
      <c r="E7420">
        <v>11.5</v>
      </c>
      <c r="F7420">
        <v>100</v>
      </c>
    </row>
    <row r="7421" spans="1:6" x14ac:dyDescent="0.35">
      <c r="A7421">
        <v>1975</v>
      </c>
      <c r="B7421" s="1">
        <v>45834</v>
      </c>
      <c r="C7421" s="2">
        <v>0.125</v>
      </c>
      <c r="D7421">
        <v>3</v>
      </c>
      <c r="E7421">
        <v>12.1</v>
      </c>
      <c r="F7421">
        <v>93</v>
      </c>
    </row>
    <row r="7422" spans="1:6" x14ac:dyDescent="0.35">
      <c r="A7422">
        <v>1975</v>
      </c>
      <c r="B7422" s="1">
        <v>45834</v>
      </c>
      <c r="C7422" s="2">
        <v>0.16666666666666671</v>
      </c>
      <c r="D7422">
        <v>3</v>
      </c>
      <c r="E7422">
        <v>12.5</v>
      </c>
      <c r="F7422">
        <v>90</v>
      </c>
    </row>
    <row r="7423" spans="1:6" x14ac:dyDescent="0.35">
      <c r="A7423">
        <v>1975</v>
      </c>
      <c r="B7423" s="1">
        <v>45834</v>
      </c>
      <c r="C7423" s="2">
        <v>0.20833333333333329</v>
      </c>
      <c r="D7423">
        <v>3</v>
      </c>
      <c r="E7423">
        <v>14.6</v>
      </c>
      <c r="F7423">
        <v>83</v>
      </c>
    </row>
    <row r="7424" spans="1:6" x14ac:dyDescent="0.35">
      <c r="A7424">
        <v>1975</v>
      </c>
      <c r="B7424" s="1">
        <v>45834</v>
      </c>
      <c r="C7424" s="2">
        <v>0.25</v>
      </c>
      <c r="D7424">
        <v>3</v>
      </c>
      <c r="E7424">
        <v>17.100000000000001</v>
      </c>
      <c r="F7424">
        <v>72</v>
      </c>
    </row>
    <row r="7425" spans="1:6" x14ac:dyDescent="0.35">
      <c r="A7425">
        <v>1975</v>
      </c>
      <c r="B7425" s="1">
        <v>45834</v>
      </c>
      <c r="C7425" s="2">
        <v>0.29166666666666669</v>
      </c>
      <c r="D7425">
        <v>3</v>
      </c>
      <c r="E7425">
        <v>18.399999999999999</v>
      </c>
      <c r="F7425">
        <v>68</v>
      </c>
    </row>
    <row r="7426" spans="1:6" x14ac:dyDescent="0.35">
      <c r="A7426">
        <v>1975</v>
      </c>
      <c r="B7426" s="1">
        <v>45834</v>
      </c>
      <c r="C7426" s="2">
        <v>0.33333333333333331</v>
      </c>
      <c r="D7426">
        <v>3</v>
      </c>
      <c r="E7426">
        <v>19</v>
      </c>
      <c r="F7426">
        <v>69</v>
      </c>
    </row>
    <row r="7427" spans="1:6" x14ac:dyDescent="0.35">
      <c r="A7427">
        <v>1975</v>
      </c>
      <c r="B7427" s="1">
        <v>45834</v>
      </c>
      <c r="C7427" s="2">
        <v>0.375</v>
      </c>
      <c r="D7427">
        <v>3</v>
      </c>
      <c r="E7427">
        <v>19.600000000000001</v>
      </c>
      <c r="F7427">
        <v>69</v>
      </c>
    </row>
    <row r="7428" spans="1:6" x14ac:dyDescent="0.35">
      <c r="A7428">
        <v>1975</v>
      </c>
      <c r="B7428" s="1">
        <v>45834</v>
      </c>
      <c r="C7428" s="2">
        <v>0.41666666666666669</v>
      </c>
      <c r="D7428">
        <v>3</v>
      </c>
      <c r="E7428">
        <v>19.600000000000001</v>
      </c>
      <c r="F7428">
        <v>72</v>
      </c>
    </row>
    <row r="7429" spans="1:6" x14ac:dyDescent="0.35">
      <c r="A7429">
        <v>1975</v>
      </c>
      <c r="B7429" s="1">
        <v>45834</v>
      </c>
      <c r="C7429" s="2">
        <v>0.45833333333333331</v>
      </c>
      <c r="D7429">
        <v>3</v>
      </c>
      <c r="E7429">
        <v>20.100000000000001</v>
      </c>
      <c r="F7429">
        <v>77</v>
      </c>
    </row>
    <row r="7430" spans="1:6" x14ac:dyDescent="0.35">
      <c r="A7430">
        <v>1975</v>
      </c>
      <c r="B7430" s="1">
        <v>45834</v>
      </c>
      <c r="C7430" s="2">
        <v>0.5</v>
      </c>
      <c r="D7430">
        <v>3</v>
      </c>
      <c r="E7430">
        <v>20.399999999999999</v>
      </c>
      <c r="F7430">
        <v>82</v>
      </c>
    </row>
    <row r="7431" spans="1:6" x14ac:dyDescent="0.35">
      <c r="A7431">
        <v>1975</v>
      </c>
      <c r="B7431" s="1">
        <v>45834</v>
      </c>
      <c r="C7431" s="2">
        <v>0.54166666666666663</v>
      </c>
      <c r="D7431">
        <v>3</v>
      </c>
      <c r="E7431">
        <v>21.7</v>
      </c>
      <c r="F7431">
        <v>80</v>
      </c>
    </row>
    <row r="7432" spans="1:6" x14ac:dyDescent="0.35">
      <c r="A7432">
        <v>1975</v>
      </c>
      <c r="B7432" s="1">
        <v>45834</v>
      </c>
      <c r="C7432" s="2">
        <v>0.58333333333333337</v>
      </c>
      <c r="D7432">
        <v>3</v>
      </c>
      <c r="E7432">
        <v>23.4</v>
      </c>
      <c r="F7432">
        <v>70</v>
      </c>
    </row>
    <row r="7433" spans="1:6" x14ac:dyDescent="0.35">
      <c r="A7433">
        <v>1975</v>
      </c>
      <c r="B7433" s="1">
        <v>45834</v>
      </c>
      <c r="C7433" s="2">
        <v>0.625</v>
      </c>
      <c r="D7433">
        <v>3</v>
      </c>
      <c r="E7433">
        <v>23.7</v>
      </c>
      <c r="F7433">
        <v>73</v>
      </c>
    </row>
    <row r="7434" spans="1:6" x14ac:dyDescent="0.35">
      <c r="A7434">
        <v>1975</v>
      </c>
      <c r="B7434" s="1">
        <v>45834</v>
      </c>
      <c r="C7434" s="2">
        <v>0.66666666666666663</v>
      </c>
      <c r="D7434">
        <v>3</v>
      </c>
      <c r="E7434">
        <v>23</v>
      </c>
      <c r="F7434">
        <v>73</v>
      </c>
    </row>
    <row r="7435" spans="1:6" x14ac:dyDescent="0.35">
      <c r="A7435">
        <v>1975</v>
      </c>
      <c r="B7435" s="1">
        <v>45834</v>
      </c>
      <c r="C7435" s="2">
        <v>0.70833333333333337</v>
      </c>
      <c r="D7435">
        <v>3</v>
      </c>
      <c r="E7435">
        <v>22.7</v>
      </c>
      <c r="F7435">
        <v>72</v>
      </c>
    </row>
    <row r="7436" spans="1:6" x14ac:dyDescent="0.35">
      <c r="A7436">
        <v>1975</v>
      </c>
      <c r="B7436" s="1">
        <v>45834</v>
      </c>
      <c r="C7436" s="2">
        <v>0.75</v>
      </c>
      <c r="D7436">
        <v>3</v>
      </c>
      <c r="E7436">
        <v>18.899999999999999</v>
      </c>
      <c r="F7436">
        <v>95</v>
      </c>
    </row>
    <row r="7437" spans="1:6" x14ac:dyDescent="0.35">
      <c r="A7437">
        <v>1975</v>
      </c>
      <c r="B7437" s="1">
        <v>45834</v>
      </c>
      <c r="C7437" s="2">
        <v>0.79166666666666663</v>
      </c>
      <c r="D7437">
        <v>3</v>
      </c>
      <c r="E7437">
        <v>19</v>
      </c>
      <c r="F7437">
        <v>91</v>
      </c>
    </row>
    <row r="7438" spans="1:6" x14ac:dyDescent="0.35">
      <c r="A7438">
        <v>1975</v>
      </c>
      <c r="B7438" s="1">
        <v>45834</v>
      </c>
      <c r="C7438" s="2">
        <v>0.83333333333333337</v>
      </c>
      <c r="D7438">
        <v>3</v>
      </c>
      <c r="E7438">
        <v>18</v>
      </c>
      <c r="F7438">
        <v>99</v>
      </c>
    </row>
    <row r="7439" spans="1:6" x14ac:dyDescent="0.35">
      <c r="A7439">
        <v>1975</v>
      </c>
      <c r="B7439" s="1">
        <v>45834</v>
      </c>
      <c r="C7439" s="2">
        <v>0.875</v>
      </c>
      <c r="D7439">
        <v>3</v>
      </c>
      <c r="E7439">
        <v>17.7</v>
      </c>
      <c r="F7439">
        <v>97</v>
      </c>
    </row>
    <row r="7440" spans="1:6" x14ac:dyDescent="0.35">
      <c r="A7440">
        <v>1975</v>
      </c>
      <c r="B7440" s="1">
        <v>45834</v>
      </c>
      <c r="C7440" s="2">
        <v>0.91666666666666663</v>
      </c>
      <c r="D7440">
        <v>3</v>
      </c>
      <c r="E7440">
        <v>17.7</v>
      </c>
      <c r="F7440">
        <v>98</v>
      </c>
    </row>
    <row r="7441" spans="1:6" x14ac:dyDescent="0.35">
      <c r="A7441">
        <v>1975</v>
      </c>
      <c r="B7441" s="1">
        <v>45834</v>
      </c>
      <c r="C7441" s="2">
        <v>0.95833333333333337</v>
      </c>
      <c r="D7441">
        <v>3</v>
      </c>
      <c r="E7441">
        <v>17.5</v>
      </c>
      <c r="F7441">
        <v>98</v>
      </c>
    </row>
    <row r="7442" spans="1:6" x14ac:dyDescent="0.35">
      <c r="A7442">
        <v>1975</v>
      </c>
      <c r="B7442" s="1">
        <v>45835</v>
      </c>
      <c r="C7442" s="2">
        <v>0</v>
      </c>
      <c r="D7442">
        <v>3</v>
      </c>
      <c r="E7442">
        <v>17.399999999999999</v>
      </c>
      <c r="F7442">
        <v>97</v>
      </c>
    </row>
    <row r="7443" spans="1:6" x14ac:dyDescent="0.35">
      <c r="A7443">
        <v>1975</v>
      </c>
      <c r="B7443" s="1">
        <v>45835</v>
      </c>
      <c r="C7443" s="2">
        <v>4.1666666666666657E-2</v>
      </c>
      <c r="D7443">
        <v>3</v>
      </c>
      <c r="E7443">
        <v>17.899999999999999</v>
      </c>
      <c r="F7443">
        <v>95</v>
      </c>
    </row>
    <row r="7444" spans="1:6" x14ac:dyDescent="0.35">
      <c r="A7444">
        <v>1975</v>
      </c>
      <c r="B7444" s="1">
        <v>45835</v>
      </c>
      <c r="C7444" s="2">
        <v>8.3333333333333329E-2</v>
      </c>
      <c r="D7444">
        <v>3</v>
      </c>
      <c r="E7444">
        <v>17.7</v>
      </c>
      <c r="F7444">
        <v>95</v>
      </c>
    </row>
    <row r="7445" spans="1:6" x14ac:dyDescent="0.35">
      <c r="A7445">
        <v>1975</v>
      </c>
      <c r="B7445" s="1">
        <v>45835</v>
      </c>
      <c r="C7445" s="2">
        <v>0.125</v>
      </c>
      <c r="D7445">
        <v>3</v>
      </c>
      <c r="E7445">
        <v>17.2</v>
      </c>
      <c r="F7445">
        <v>93</v>
      </c>
    </row>
    <row r="7446" spans="1:6" x14ac:dyDescent="0.35">
      <c r="A7446">
        <v>1975</v>
      </c>
      <c r="B7446" s="1">
        <v>45835</v>
      </c>
      <c r="C7446" s="2">
        <v>0.16666666666666671</v>
      </c>
      <c r="D7446">
        <v>3</v>
      </c>
      <c r="E7446">
        <v>16.3</v>
      </c>
      <c r="F7446">
        <v>89</v>
      </c>
    </row>
    <row r="7447" spans="1:6" x14ac:dyDescent="0.35">
      <c r="A7447">
        <v>1975</v>
      </c>
      <c r="B7447" s="1">
        <v>45835</v>
      </c>
      <c r="C7447" s="2">
        <v>0.20833333333333329</v>
      </c>
      <c r="D7447">
        <v>3</v>
      </c>
      <c r="E7447">
        <v>16.2</v>
      </c>
      <c r="F7447">
        <v>88</v>
      </c>
    </row>
    <row r="7448" spans="1:6" x14ac:dyDescent="0.35">
      <c r="A7448">
        <v>1975</v>
      </c>
      <c r="B7448" s="1">
        <v>45835</v>
      </c>
      <c r="C7448" s="2">
        <v>0.25</v>
      </c>
      <c r="D7448">
        <v>3</v>
      </c>
      <c r="E7448">
        <v>16.5</v>
      </c>
      <c r="F7448">
        <v>81</v>
      </c>
    </row>
    <row r="7449" spans="1:6" x14ac:dyDescent="0.35">
      <c r="A7449">
        <v>1975</v>
      </c>
      <c r="B7449" s="1">
        <v>45835</v>
      </c>
      <c r="C7449" s="2">
        <v>0.29166666666666669</v>
      </c>
      <c r="D7449">
        <v>3</v>
      </c>
      <c r="E7449">
        <v>16.2</v>
      </c>
      <c r="F7449">
        <v>79</v>
      </c>
    </row>
    <row r="7450" spans="1:6" x14ac:dyDescent="0.35">
      <c r="A7450">
        <v>1975</v>
      </c>
      <c r="B7450" s="1">
        <v>45835</v>
      </c>
      <c r="C7450" s="2">
        <v>0.33333333333333331</v>
      </c>
      <c r="D7450">
        <v>3</v>
      </c>
      <c r="E7450">
        <v>15.3</v>
      </c>
      <c r="F7450">
        <v>90</v>
      </c>
    </row>
    <row r="7451" spans="1:6" x14ac:dyDescent="0.35">
      <c r="A7451">
        <v>1975</v>
      </c>
      <c r="B7451" s="1">
        <v>45835</v>
      </c>
      <c r="C7451" s="2">
        <v>0.375</v>
      </c>
      <c r="D7451">
        <v>3</v>
      </c>
      <c r="E7451">
        <v>14.9</v>
      </c>
      <c r="F7451">
        <v>88</v>
      </c>
    </row>
    <row r="7452" spans="1:6" x14ac:dyDescent="0.35">
      <c r="A7452">
        <v>1975</v>
      </c>
      <c r="B7452" s="1">
        <v>45835</v>
      </c>
      <c r="C7452" s="2">
        <v>0.41666666666666669</v>
      </c>
      <c r="D7452">
        <v>3</v>
      </c>
      <c r="E7452">
        <v>15.6</v>
      </c>
      <c r="F7452">
        <v>85</v>
      </c>
    </row>
    <row r="7453" spans="1:6" x14ac:dyDescent="0.35">
      <c r="A7453">
        <v>1975</v>
      </c>
      <c r="B7453" s="1">
        <v>45835</v>
      </c>
      <c r="C7453" s="2">
        <v>0.45833333333333331</v>
      </c>
      <c r="D7453">
        <v>3</v>
      </c>
      <c r="E7453">
        <v>17.2</v>
      </c>
      <c r="F7453">
        <v>74</v>
      </c>
    </row>
    <row r="7454" spans="1:6" x14ac:dyDescent="0.35">
      <c r="A7454">
        <v>1975</v>
      </c>
      <c r="B7454" s="1">
        <v>45835</v>
      </c>
      <c r="C7454" s="2">
        <v>0.5</v>
      </c>
      <c r="D7454">
        <v>3</v>
      </c>
      <c r="E7454">
        <v>17.2</v>
      </c>
      <c r="F7454">
        <v>73</v>
      </c>
    </row>
    <row r="7455" spans="1:6" x14ac:dyDescent="0.35">
      <c r="A7455">
        <v>1975</v>
      </c>
      <c r="B7455" s="1">
        <v>45835</v>
      </c>
      <c r="C7455" s="2">
        <v>0.54166666666666663</v>
      </c>
      <c r="D7455">
        <v>3</v>
      </c>
      <c r="E7455">
        <v>19</v>
      </c>
      <c r="F7455">
        <v>59</v>
      </c>
    </row>
    <row r="7456" spans="1:6" x14ac:dyDescent="0.35">
      <c r="A7456">
        <v>1975</v>
      </c>
      <c r="B7456" s="1">
        <v>45835</v>
      </c>
      <c r="C7456" s="2">
        <v>0.58333333333333337</v>
      </c>
      <c r="D7456">
        <v>3</v>
      </c>
      <c r="E7456">
        <v>19.2</v>
      </c>
      <c r="F7456">
        <v>56</v>
      </c>
    </row>
    <row r="7457" spans="1:6" x14ac:dyDescent="0.35">
      <c r="A7457">
        <v>1975</v>
      </c>
      <c r="B7457" s="1">
        <v>45835</v>
      </c>
      <c r="C7457" s="2">
        <v>0.625</v>
      </c>
      <c r="D7457">
        <v>3</v>
      </c>
      <c r="E7457">
        <v>19.100000000000001</v>
      </c>
      <c r="F7457">
        <v>60</v>
      </c>
    </row>
    <row r="7458" spans="1:6" x14ac:dyDescent="0.35">
      <c r="A7458">
        <v>1975</v>
      </c>
      <c r="B7458" s="1">
        <v>45835</v>
      </c>
      <c r="C7458" s="2">
        <v>0.66666666666666663</v>
      </c>
      <c r="D7458">
        <v>3</v>
      </c>
      <c r="E7458">
        <v>18.7</v>
      </c>
      <c r="F7458">
        <v>67</v>
      </c>
    </row>
    <row r="7459" spans="1:6" x14ac:dyDescent="0.35">
      <c r="A7459">
        <v>1975</v>
      </c>
      <c r="B7459" s="1">
        <v>45835</v>
      </c>
      <c r="C7459" s="2">
        <v>0.70833333333333337</v>
      </c>
      <c r="D7459">
        <v>3</v>
      </c>
      <c r="E7459">
        <v>19.3</v>
      </c>
      <c r="F7459">
        <v>63</v>
      </c>
    </row>
    <row r="7460" spans="1:6" x14ac:dyDescent="0.35">
      <c r="A7460">
        <v>1975</v>
      </c>
      <c r="B7460" s="1">
        <v>45835</v>
      </c>
      <c r="C7460" s="2">
        <v>0.75</v>
      </c>
      <c r="D7460">
        <v>3</v>
      </c>
      <c r="E7460">
        <v>18.5</v>
      </c>
      <c r="F7460">
        <v>68</v>
      </c>
    </row>
    <row r="7461" spans="1:6" x14ac:dyDescent="0.35">
      <c r="A7461">
        <v>1975</v>
      </c>
      <c r="B7461" s="1">
        <v>45835</v>
      </c>
      <c r="C7461" s="2">
        <v>0.79166666666666663</v>
      </c>
      <c r="D7461">
        <v>3</v>
      </c>
      <c r="E7461">
        <v>18</v>
      </c>
      <c r="F7461">
        <v>71</v>
      </c>
    </row>
    <row r="7462" spans="1:6" x14ac:dyDescent="0.35">
      <c r="A7462">
        <v>1975</v>
      </c>
      <c r="B7462" s="1">
        <v>45835</v>
      </c>
      <c r="C7462" s="2">
        <v>0.83333333333333337</v>
      </c>
      <c r="D7462">
        <v>3</v>
      </c>
      <c r="E7462">
        <v>17.5</v>
      </c>
      <c r="F7462">
        <v>76</v>
      </c>
    </row>
    <row r="7463" spans="1:6" x14ac:dyDescent="0.35">
      <c r="A7463">
        <v>1975</v>
      </c>
      <c r="B7463" s="1">
        <v>45835</v>
      </c>
      <c r="C7463" s="2">
        <v>0.875</v>
      </c>
      <c r="D7463">
        <v>3</v>
      </c>
      <c r="E7463">
        <v>16.399999999999999</v>
      </c>
      <c r="F7463">
        <v>80</v>
      </c>
    </row>
    <row r="7464" spans="1:6" x14ac:dyDescent="0.35">
      <c r="A7464">
        <v>1975</v>
      </c>
      <c r="B7464" s="1">
        <v>45835</v>
      </c>
      <c r="C7464" s="2">
        <v>0.91666666666666663</v>
      </c>
      <c r="D7464">
        <v>3</v>
      </c>
      <c r="E7464">
        <v>15.8</v>
      </c>
      <c r="F7464">
        <v>86</v>
      </c>
    </row>
    <row r="7465" spans="1:6" x14ac:dyDescent="0.35">
      <c r="A7465">
        <v>1975</v>
      </c>
      <c r="B7465" s="1">
        <v>45835</v>
      </c>
      <c r="C7465" s="2">
        <v>0.95833333333333337</v>
      </c>
      <c r="D7465">
        <v>3</v>
      </c>
      <c r="E7465">
        <v>16</v>
      </c>
      <c r="F7465">
        <v>84</v>
      </c>
    </row>
    <row r="7466" spans="1:6" x14ac:dyDescent="0.35">
      <c r="A7466">
        <v>1975</v>
      </c>
      <c r="B7466" s="1">
        <v>45836</v>
      </c>
      <c r="C7466" s="2">
        <v>0</v>
      </c>
      <c r="D7466">
        <v>3</v>
      </c>
      <c r="E7466">
        <v>16</v>
      </c>
      <c r="F7466">
        <v>85</v>
      </c>
    </row>
    <row r="7467" spans="1:6" x14ac:dyDescent="0.35">
      <c r="A7467">
        <v>1975</v>
      </c>
      <c r="B7467" s="1">
        <v>45836</v>
      </c>
      <c r="C7467" s="2">
        <v>4.1666666666666657E-2</v>
      </c>
      <c r="D7467">
        <v>3</v>
      </c>
      <c r="E7467">
        <v>16</v>
      </c>
      <c r="F7467">
        <v>82</v>
      </c>
    </row>
    <row r="7468" spans="1:6" x14ac:dyDescent="0.35">
      <c r="A7468">
        <v>1975</v>
      </c>
      <c r="B7468" s="1">
        <v>45836</v>
      </c>
      <c r="C7468" s="2">
        <v>8.3333333333333329E-2</v>
      </c>
      <c r="D7468">
        <v>3</v>
      </c>
      <c r="E7468">
        <v>15.1</v>
      </c>
      <c r="F7468">
        <v>88</v>
      </c>
    </row>
    <row r="7469" spans="1:6" x14ac:dyDescent="0.35">
      <c r="A7469">
        <v>1975</v>
      </c>
      <c r="B7469" s="1">
        <v>45836</v>
      </c>
      <c r="C7469" s="2">
        <v>0.125</v>
      </c>
      <c r="D7469">
        <v>3</v>
      </c>
      <c r="E7469">
        <v>14.8</v>
      </c>
      <c r="F7469">
        <v>90</v>
      </c>
    </row>
    <row r="7470" spans="1:6" x14ac:dyDescent="0.35">
      <c r="A7470">
        <v>1975</v>
      </c>
      <c r="B7470" s="1">
        <v>45836</v>
      </c>
      <c r="C7470" s="2">
        <v>0.16666666666666671</v>
      </c>
      <c r="D7470">
        <v>3</v>
      </c>
      <c r="E7470">
        <v>15.2</v>
      </c>
      <c r="F7470">
        <v>89</v>
      </c>
    </row>
    <row r="7471" spans="1:6" x14ac:dyDescent="0.35">
      <c r="A7471">
        <v>1975</v>
      </c>
      <c r="B7471" s="1">
        <v>45836</v>
      </c>
      <c r="C7471" s="2">
        <v>0.20833333333333329</v>
      </c>
      <c r="D7471">
        <v>3</v>
      </c>
      <c r="E7471">
        <v>17.100000000000001</v>
      </c>
      <c r="F7471">
        <v>82</v>
      </c>
    </row>
    <row r="7472" spans="1:6" x14ac:dyDescent="0.35">
      <c r="A7472">
        <v>1975</v>
      </c>
      <c r="B7472" s="1">
        <v>45836</v>
      </c>
      <c r="C7472" s="2">
        <v>0.25</v>
      </c>
      <c r="D7472">
        <v>3</v>
      </c>
      <c r="E7472">
        <v>18.399999999999999</v>
      </c>
      <c r="F7472">
        <v>82</v>
      </c>
    </row>
    <row r="7473" spans="1:6" x14ac:dyDescent="0.35">
      <c r="A7473">
        <v>1975</v>
      </c>
      <c r="B7473" s="1">
        <v>45836</v>
      </c>
      <c r="C7473" s="2">
        <v>0.29166666666666669</v>
      </c>
      <c r="D7473">
        <v>3</v>
      </c>
      <c r="E7473">
        <v>20.2</v>
      </c>
      <c r="F7473">
        <v>78</v>
      </c>
    </row>
    <row r="7474" spans="1:6" x14ac:dyDescent="0.35">
      <c r="A7474">
        <v>1975</v>
      </c>
      <c r="B7474" s="1">
        <v>45836</v>
      </c>
      <c r="C7474" s="2">
        <v>0.33333333333333331</v>
      </c>
      <c r="D7474">
        <v>3</v>
      </c>
      <c r="E7474">
        <v>21.4</v>
      </c>
      <c r="F7474">
        <v>75</v>
      </c>
    </row>
    <row r="7475" spans="1:6" x14ac:dyDescent="0.35">
      <c r="A7475">
        <v>1975</v>
      </c>
      <c r="B7475" s="1">
        <v>45836</v>
      </c>
      <c r="C7475" s="2">
        <v>0.375</v>
      </c>
      <c r="D7475">
        <v>3</v>
      </c>
      <c r="E7475">
        <v>22.8</v>
      </c>
      <c r="F7475">
        <v>71</v>
      </c>
    </row>
    <row r="7476" spans="1:6" x14ac:dyDescent="0.35">
      <c r="A7476">
        <v>1975</v>
      </c>
      <c r="B7476" s="1">
        <v>45836</v>
      </c>
      <c r="C7476" s="2">
        <v>0.41666666666666669</v>
      </c>
      <c r="D7476">
        <v>3</v>
      </c>
      <c r="E7476">
        <v>23.8</v>
      </c>
      <c r="F7476">
        <v>68</v>
      </c>
    </row>
    <row r="7477" spans="1:6" x14ac:dyDescent="0.35">
      <c r="A7477">
        <v>1975</v>
      </c>
      <c r="B7477" s="1">
        <v>45836</v>
      </c>
      <c r="C7477" s="2">
        <v>0.45833333333333331</v>
      </c>
      <c r="D7477">
        <v>3</v>
      </c>
      <c r="E7477">
        <v>24.2</v>
      </c>
      <c r="F7477">
        <v>67</v>
      </c>
    </row>
    <row r="7478" spans="1:6" x14ac:dyDescent="0.35">
      <c r="A7478">
        <v>1975</v>
      </c>
      <c r="B7478" s="1">
        <v>45836</v>
      </c>
      <c r="C7478" s="2">
        <v>0.5</v>
      </c>
      <c r="D7478">
        <v>3</v>
      </c>
      <c r="E7478">
        <v>23.7</v>
      </c>
      <c r="F7478">
        <v>72</v>
      </c>
    </row>
    <row r="7479" spans="1:6" x14ac:dyDescent="0.35">
      <c r="A7479">
        <v>1975</v>
      </c>
      <c r="B7479" s="1">
        <v>45836</v>
      </c>
      <c r="C7479" s="2">
        <v>0.54166666666666663</v>
      </c>
      <c r="D7479">
        <v>3</v>
      </c>
      <c r="E7479">
        <v>23.7</v>
      </c>
      <c r="F7479">
        <v>72</v>
      </c>
    </row>
    <row r="7480" spans="1:6" x14ac:dyDescent="0.35">
      <c r="A7480">
        <v>1975</v>
      </c>
      <c r="B7480" s="1">
        <v>45836</v>
      </c>
      <c r="C7480" s="2">
        <v>0.58333333333333337</v>
      </c>
      <c r="D7480">
        <v>3</v>
      </c>
      <c r="E7480">
        <v>22.8</v>
      </c>
      <c r="F7480">
        <v>77</v>
      </c>
    </row>
    <row r="7481" spans="1:6" x14ac:dyDescent="0.35">
      <c r="A7481">
        <v>1975</v>
      </c>
      <c r="B7481" s="1">
        <v>45836</v>
      </c>
      <c r="C7481" s="2">
        <v>0.625</v>
      </c>
      <c r="D7481">
        <v>3</v>
      </c>
      <c r="E7481">
        <v>22.7</v>
      </c>
      <c r="F7481">
        <v>79</v>
      </c>
    </row>
    <row r="7482" spans="1:6" x14ac:dyDescent="0.35">
      <c r="A7482">
        <v>1975</v>
      </c>
      <c r="B7482" s="1">
        <v>45836</v>
      </c>
      <c r="C7482" s="2">
        <v>0.66666666666666663</v>
      </c>
      <c r="D7482">
        <v>3</v>
      </c>
      <c r="E7482">
        <v>22.7</v>
      </c>
      <c r="F7482">
        <v>76</v>
      </c>
    </row>
    <row r="7483" spans="1:6" x14ac:dyDescent="0.35">
      <c r="A7483">
        <v>1975</v>
      </c>
      <c r="B7483" s="1">
        <v>45836</v>
      </c>
      <c r="C7483" s="2">
        <v>0.70833333333333337</v>
      </c>
      <c r="D7483">
        <v>3</v>
      </c>
      <c r="E7483">
        <v>21.3</v>
      </c>
      <c r="F7483">
        <v>86</v>
      </c>
    </row>
    <row r="7484" spans="1:6" x14ac:dyDescent="0.35">
      <c r="A7484">
        <v>1975</v>
      </c>
      <c r="B7484" s="1">
        <v>45836</v>
      </c>
      <c r="C7484" s="2">
        <v>0.75</v>
      </c>
      <c r="D7484">
        <v>3</v>
      </c>
      <c r="E7484">
        <v>20.9</v>
      </c>
      <c r="F7484">
        <v>85</v>
      </c>
    </row>
    <row r="7485" spans="1:6" x14ac:dyDescent="0.35">
      <c r="A7485">
        <v>1975</v>
      </c>
      <c r="B7485" s="1">
        <v>45836</v>
      </c>
      <c r="C7485" s="2">
        <v>0.79166666666666663</v>
      </c>
      <c r="D7485">
        <v>3</v>
      </c>
      <c r="E7485">
        <v>19.899999999999999</v>
      </c>
      <c r="F7485">
        <v>93</v>
      </c>
    </row>
    <row r="7486" spans="1:6" x14ac:dyDescent="0.35">
      <c r="A7486">
        <v>1975</v>
      </c>
      <c r="B7486" s="1">
        <v>45836</v>
      </c>
      <c r="C7486" s="2">
        <v>0.83333333333333337</v>
      </c>
      <c r="D7486">
        <v>3</v>
      </c>
      <c r="E7486">
        <v>20</v>
      </c>
      <c r="F7486">
        <v>92</v>
      </c>
    </row>
    <row r="7487" spans="1:6" x14ac:dyDescent="0.35">
      <c r="A7487">
        <v>1975</v>
      </c>
      <c r="B7487" s="1">
        <v>45836</v>
      </c>
      <c r="C7487" s="2">
        <v>0.875</v>
      </c>
      <c r="D7487">
        <v>3</v>
      </c>
      <c r="E7487">
        <v>20.100000000000001</v>
      </c>
      <c r="F7487">
        <v>91</v>
      </c>
    </row>
    <row r="7488" spans="1:6" x14ac:dyDescent="0.35">
      <c r="A7488">
        <v>1975</v>
      </c>
      <c r="B7488" s="1">
        <v>45836</v>
      </c>
      <c r="C7488" s="2">
        <v>0.91666666666666663</v>
      </c>
      <c r="D7488">
        <v>3</v>
      </c>
      <c r="E7488">
        <v>20.100000000000001</v>
      </c>
      <c r="F7488">
        <v>91</v>
      </c>
    </row>
    <row r="7489" spans="1:6" x14ac:dyDescent="0.35">
      <c r="A7489">
        <v>1975</v>
      </c>
      <c r="B7489" s="1">
        <v>45836</v>
      </c>
      <c r="C7489" s="2">
        <v>0.95833333333333337</v>
      </c>
      <c r="D7489">
        <v>3</v>
      </c>
      <c r="E7489">
        <v>20.6</v>
      </c>
      <c r="F7489">
        <v>87</v>
      </c>
    </row>
    <row r="7490" spans="1:6" x14ac:dyDescent="0.35">
      <c r="A7490">
        <v>1975</v>
      </c>
      <c r="B7490" s="1">
        <v>45837</v>
      </c>
      <c r="C7490" s="2">
        <v>0</v>
      </c>
      <c r="D7490">
        <v>3</v>
      </c>
      <c r="E7490">
        <v>20.2</v>
      </c>
      <c r="F7490">
        <v>89</v>
      </c>
    </row>
    <row r="7491" spans="1:6" x14ac:dyDescent="0.35">
      <c r="A7491">
        <v>1975</v>
      </c>
      <c r="B7491" s="1">
        <v>45837</v>
      </c>
      <c r="C7491" s="2">
        <v>4.1666666666666657E-2</v>
      </c>
      <c r="D7491">
        <v>3</v>
      </c>
      <c r="E7491">
        <v>19.8</v>
      </c>
      <c r="F7491">
        <v>92</v>
      </c>
    </row>
    <row r="7492" spans="1:6" x14ac:dyDescent="0.35">
      <c r="A7492">
        <v>1975</v>
      </c>
      <c r="B7492" s="1">
        <v>45837</v>
      </c>
      <c r="C7492" s="2">
        <v>8.3333333333333329E-2</v>
      </c>
      <c r="D7492">
        <v>3</v>
      </c>
      <c r="E7492">
        <v>19.7</v>
      </c>
      <c r="F7492">
        <v>91</v>
      </c>
    </row>
    <row r="7493" spans="1:6" x14ac:dyDescent="0.35">
      <c r="A7493">
        <v>1975</v>
      </c>
      <c r="B7493" s="1">
        <v>45837</v>
      </c>
      <c r="C7493" s="2">
        <v>0.125</v>
      </c>
      <c r="D7493">
        <v>3</v>
      </c>
      <c r="E7493">
        <v>19.600000000000001</v>
      </c>
      <c r="F7493">
        <v>91</v>
      </c>
    </row>
    <row r="7494" spans="1:6" x14ac:dyDescent="0.35">
      <c r="A7494">
        <v>1975</v>
      </c>
      <c r="B7494" s="1">
        <v>45837</v>
      </c>
      <c r="C7494" s="2">
        <v>0.16666666666666671</v>
      </c>
      <c r="D7494">
        <v>3</v>
      </c>
      <c r="E7494">
        <v>19.7</v>
      </c>
      <c r="F7494">
        <v>91</v>
      </c>
    </row>
    <row r="7495" spans="1:6" x14ac:dyDescent="0.35">
      <c r="A7495">
        <v>1975</v>
      </c>
      <c r="B7495" s="1">
        <v>45837</v>
      </c>
      <c r="C7495" s="2">
        <v>0.20833333333333329</v>
      </c>
      <c r="D7495">
        <v>3</v>
      </c>
      <c r="E7495">
        <v>20.100000000000001</v>
      </c>
      <c r="F7495">
        <v>89</v>
      </c>
    </row>
    <row r="7496" spans="1:6" x14ac:dyDescent="0.35">
      <c r="A7496">
        <v>1975</v>
      </c>
      <c r="B7496" s="1">
        <v>45837</v>
      </c>
      <c r="C7496" s="2">
        <v>0.25</v>
      </c>
      <c r="D7496">
        <v>3</v>
      </c>
      <c r="E7496">
        <v>20.2</v>
      </c>
      <c r="F7496">
        <v>88</v>
      </c>
    </row>
    <row r="7497" spans="1:6" x14ac:dyDescent="0.35">
      <c r="A7497">
        <v>1975</v>
      </c>
      <c r="B7497" s="1">
        <v>45837</v>
      </c>
      <c r="C7497" s="2">
        <v>0.29166666666666669</v>
      </c>
      <c r="D7497">
        <v>3</v>
      </c>
      <c r="E7497">
        <v>21.4</v>
      </c>
      <c r="F7497">
        <v>80</v>
      </c>
    </row>
    <row r="7498" spans="1:6" x14ac:dyDescent="0.35">
      <c r="A7498">
        <v>1975</v>
      </c>
      <c r="B7498" s="1">
        <v>45837</v>
      </c>
      <c r="C7498" s="2">
        <v>0.33333333333333331</v>
      </c>
      <c r="D7498">
        <v>3</v>
      </c>
      <c r="E7498">
        <v>22</v>
      </c>
      <c r="F7498">
        <v>78</v>
      </c>
    </row>
    <row r="7499" spans="1:6" x14ac:dyDescent="0.35">
      <c r="A7499">
        <v>1975</v>
      </c>
      <c r="B7499" s="1">
        <v>45837</v>
      </c>
      <c r="C7499" s="2">
        <v>0.375</v>
      </c>
      <c r="D7499">
        <v>3</v>
      </c>
      <c r="E7499">
        <v>21.1</v>
      </c>
      <c r="F7499">
        <v>74</v>
      </c>
    </row>
    <row r="7500" spans="1:6" x14ac:dyDescent="0.35">
      <c r="A7500">
        <v>1975</v>
      </c>
      <c r="B7500" s="1">
        <v>45837</v>
      </c>
      <c r="C7500" s="2">
        <v>0.41666666666666669</v>
      </c>
      <c r="D7500">
        <v>3</v>
      </c>
      <c r="E7500">
        <v>21.4</v>
      </c>
      <c r="F7500">
        <v>73</v>
      </c>
    </row>
    <row r="7501" spans="1:6" x14ac:dyDescent="0.35">
      <c r="A7501">
        <v>1975</v>
      </c>
      <c r="B7501" s="1">
        <v>45837</v>
      </c>
      <c r="C7501" s="2">
        <v>0.45833333333333331</v>
      </c>
      <c r="D7501">
        <v>3</v>
      </c>
      <c r="E7501">
        <v>22.2</v>
      </c>
      <c r="F7501">
        <v>64</v>
      </c>
    </row>
    <row r="7502" spans="1:6" x14ac:dyDescent="0.35">
      <c r="A7502">
        <v>1975</v>
      </c>
      <c r="B7502" s="1">
        <v>45837</v>
      </c>
      <c r="C7502" s="2">
        <v>0.5</v>
      </c>
      <c r="D7502">
        <v>3</v>
      </c>
      <c r="E7502">
        <v>22.5</v>
      </c>
      <c r="F7502">
        <v>55</v>
      </c>
    </row>
    <row r="7503" spans="1:6" x14ac:dyDescent="0.35">
      <c r="A7503">
        <v>1975</v>
      </c>
      <c r="B7503" s="1">
        <v>45837</v>
      </c>
      <c r="C7503" s="2">
        <v>0.54166666666666663</v>
      </c>
      <c r="D7503">
        <v>3</v>
      </c>
      <c r="E7503">
        <v>22.1</v>
      </c>
      <c r="F7503">
        <v>51</v>
      </c>
    </row>
    <row r="7504" spans="1:6" x14ac:dyDescent="0.35">
      <c r="A7504">
        <v>1975</v>
      </c>
      <c r="B7504" s="1">
        <v>45837</v>
      </c>
      <c r="C7504" s="2">
        <v>0.58333333333333337</v>
      </c>
      <c r="D7504">
        <v>3</v>
      </c>
      <c r="E7504">
        <v>21.6</v>
      </c>
      <c r="F7504">
        <v>54</v>
      </c>
    </row>
    <row r="7505" spans="1:6" x14ac:dyDescent="0.35">
      <c r="A7505">
        <v>1975</v>
      </c>
      <c r="B7505" s="1">
        <v>45837</v>
      </c>
      <c r="C7505" s="2">
        <v>0.625</v>
      </c>
      <c r="D7505">
        <v>3</v>
      </c>
      <c r="E7505">
        <v>21.1</v>
      </c>
      <c r="F7505">
        <v>56</v>
      </c>
    </row>
    <row r="7506" spans="1:6" x14ac:dyDescent="0.35">
      <c r="A7506">
        <v>1975</v>
      </c>
      <c r="B7506" s="1">
        <v>45837</v>
      </c>
      <c r="C7506" s="2">
        <v>0.66666666666666663</v>
      </c>
      <c r="D7506">
        <v>3</v>
      </c>
      <c r="E7506">
        <v>20</v>
      </c>
      <c r="F7506">
        <v>58</v>
      </c>
    </row>
    <row r="7507" spans="1:6" x14ac:dyDescent="0.35">
      <c r="A7507">
        <v>1975</v>
      </c>
      <c r="B7507" s="1">
        <v>45837</v>
      </c>
      <c r="C7507" s="2">
        <v>0.70833333333333337</v>
      </c>
      <c r="D7507">
        <v>3</v>
      </c>
      <c r="E7507">
        <v>19.5</v>
      </c>
      <c r="F7507">
        <v>61</v>
      </c>
    </row>
    <row r="7508" spans="1:6" x14ac:dyDescent="0.35">
      <c r="A7508">
        <v>1975</v>
      </c>
      <c r="B7508" s="1">
        <v>45837</v>
      </c>
      <c r="C7508" s="2">
        <v>0.75</v>
      </c>
      <c r="D7508">
        <v>3</v>
      </c>
      <c r="E7508">
        <v>18.100000000000001</v>
      </c>
      <c r="F7508">
        <v>50</v>
      </c>
    </row>
    <row r="7509" spans="1:6" x14ac:dyDescent="0.35">
      <c r="A7509">
        <v>1975</v>
      </c>
      <c r="B7509" s="1">
        <v>45837</v>
      </c>
      <c r="C7509" s="2">
        <v>0.79166666666666663</v>
      </c>
      <c r="D7509">
        <v>3</v>
      </c>
      <c r="E7509">
        <v>17.2</v>
      </c>
      <c r="F7509">
        <v>58</v>
      </c>
    </row>
    <row r="7510" spans="1:6" x14ac:dyDescent="0.35">
      <c r="A7510">
        <v>1975</v>
      </c>
      <c r="B7510" s="1">
        <v>45837</v>
      </c>
      <c r="C7510" s="2">
        <v>0.83333333333333337</v>
      </c>
      <c r="D7510">
        <v>3</v>
      </c>
      <c r="E7510">
        <v>15.9</v>
      </c>
      <c r="F7510">
        <v>66</v>
      </c>
    </row>
    <row r="7511" spans="1:6" x14ac:dyDescent="0.35">
      <c r="A7511">
        <v>1975</v>
      </c>
      <c r="B7511" s="1">
        <v>45837</v>
      </c>
      <c r="C7511" s="2">
        <v>0.875</v>
      </c>
      <c r="D7511">
        <v>3</v>
      </c>
      <c r="E7511">
        <v>14.7</v>
      </c>
      <c r="F7511">
        <v>75</v>
      </c>
    </row>
    <row r="7512" spans="1:6" x14ac:dyDescent="0.35">
      <c r="A7512">
        <v>1975</v>
      </c>
      <c r="B7512" s="1">
        <v>45837</v>
      </c>
      <c r="C7512" s="2">
        <v>0.91666666666666663</v>
      </c>
      <c r="D7512">
        <v>3</v>
      </c>
      <c r="E7512">
        <v>13.9</v>
      </c>
      <c r="F7512">
        <v>80</v>
      </c>
    </row>
    <row r="7513" spans="1:6" x14ac:dyDescent="0.35">
      <c r="A7513">
        <v>1975</v>
      </c>
      <c r="B7513" s="1">
        <v>45837</v>
      </c>
      <c r="C7513" s="2">
        <v>0.95833333333333337</v>
      </c>
      <c r="D7513">
        <v>3</v>
      </c>
      <c r="E7513">
        <v>12.8</v>
      </c>
      <c r="F7513">
        <v>85</v>
      </c>
    </row>
    <row r="7514" spans="1:6" x14ac:dyDescent="0.35">
      <c r="A7514">
        <v>1975</v>
      </c>
      <c r="B7514" s="1">
        <v>45838</v>
      </c>
      <c r="C7514" s="2">
        <v>0</v>
      </c>
      <c r="D7514">
        <v>3</v>
      </c>
      <c r="E7514">
        <v>11.3</v>
      </c>
      <c r="F7514">
        <v>90</v>
      </c>
    </row>
    <row r="7515" spans="1:6" x14ac:dyDescent="0.35">
      <c r="A7515">
        <v>1975</v>
      </c>
      <c r="B7515" s="1">
        <v>45838</v>
      </c>
      <c r="C7515" s="2">
        <v>4.1666666666666657E-2</v>
      </c>
      <c r="D7515">
        <v>3</v>
      </c>
      <c r="E7515">
        <v>10.9</v>
      </c>
      <c r="F7515">
        <v>98</v>
      </c>
    </row>
    <row r="7516" spans="1:6" x14ac:dyDescent="0.35">
      <c r="A7516">
        <v>1975</v>
      </c>
      <c r="B7516" s="1">
        <v>45838</v>
      </c>
      <c r="C7516" s="2">
        <v>8.3333333333333329E-2</v>
      </c>
      <c r="D7516">
        <v>3</v>
      </c>
      <c r="E7516">
        <v>10</v>
      </c>
      <c r="F7516">
        <v>99</v>
      </c>
    </row>
    <row r="7517" spans="1:6" x14ac:dyDescent="0.35">
      <c r="A7517">
        <v>1975</v>
      </c>
      <c r="B7517" s="1">
        <v>45838</v>
      </c>
      <c r="C7517" s="2">
        <v>0.125</v>
      </c>
      <c r="D7517">
        <v>3</v>
      </c>
      <c r="E7517">
        <v>9.9</v>
      </c>
      <c r="F7517">
        <v>100</v>
      </c>
    </row>
    <row r="7518" spans="1:6" x14ac:dyDescent="0.35">
      <c r="A7518">
        <v>1975</v>
      </c>
      <c r="B7518" s="1">
        <v>45838</v>
      </c>
      <c r="C7518" s="2">
        <v>0.16666666666666671</v>
      </c>
      <c r="D7518">
        <v>3</v>
      </c>
      <c r="E7518">
        <v>10.4</v>
      </c>
      <c r="F7518">
        <v>92</v>
      </c>
    </row>
    <row r="7519" spans="1:6" x14ac:dyDescent="0.35">
      <c r="A7519">
        <v>1975</v>
      </c>
      <c r="B7519" s="1">
        <v>45838</v>
      </c>
      <c r="C7519" s="2">
        <v>0.20833333333333329</v>
      </c>
      <c r="D7519">
        <v>3</v>
      </c>
      <c r="E7519">
        <v>14</v>
      </c>
      <c r="F7519">
        <v>82</v>
      </c>
    </row>
    <row r="7520" spans="1:6" x14ac:dyDescent="0.35">
      <c r="A7520">
        <v>1975</v>
      </c>
      <c r="B7520" s="1">
        <v>45838</v>
      </c>
      <c r="C7520" s="2">
        <v>0.25</v>
      </c>
      <c r="D7520">
        <v>3</v>
      </c>
      <c r="E7520">
        <v>15.1</v>
      </c>
      <c r="F7520">
        <v>77</v>
      </c>
    </row>
    <row r="7521" spans="1:6" x14ac:dyDescent="0.35">
      <c r="A7521">
        <v>1975</v>
      </c>
      <c r="B7521" s="1">
        <v>45838</v>
      </c>
      <c r="C7521" s="2">
        <v>0.29166666666666669</v>
      </c>
      <c r="D7521">
        <v>3</v>
      </c>
      <c r="E7521">
        <v>16.3</v>
      </c>
      <c r="F7521">
        <v>69</v>
      </c>
    </row>
    <row r="7522" spans="1:6" x14ac:dyDescent="0.35">
      <c r="A7522">
        <v>1975</v>
      </c>
      <c r="B7522" s="1">
        <v>45838</v>
      </c>
      <c r="C7522" s="2">
        <v>0.33333333333333331</v>
      </c>
      <c r="D7522">
        <v>3</v>
      </c>
      <c r="E7522">
        <v>17.5</v>
      </c>
      <c r="F7522">
        <v>63</v>
      </c>
    </row>
    <row r="7523" spans="1:6" x14ac:dyDescent="0.35">
      <c r="A7523">
        <v>1975</v>
      </c>
      <c r="B7523" s="1">
        <v>45838</v>
      </c>
      <c r="C7523" s="2">
        <v>0.375</v>
      </c>
      <c r="D7523">
        <v>3</v>
      </c>
      <c r="E7523">
        <v>18.600000000000001</v>
      </c>
      <c r="F7523">
        <v>54</v>
      </c>
    </row>
    <row r="7524" spans="1:6" x14ac:dyDescent="0.35">
      <c r="A7524">
        <v>1975</v>
      </c>
      <c r="B7524" s="1">
        <v>45838</v>
      </c>
      <c r="C7524" s="2">
        <v>0.41666666666666669</v>
      </c>
      <c r="D7524">
        <v>3</v>
      </c>
      <c r="E7524">
        <v>20.2</v>
      </c>
      <c r="F7524">
        <v>53</v>
      </c>
    </row>
    <row r="7525" spans="1:6" x14ac:dyDescent="0.35">
      <c r="A7525">
        <v>1975</v>
      </c>
      <c r="B7525" s="1">
        <v>45838</v>
      </c>
      <c r="C7525" s="2">
        <v>0.45833333333333331</v>
      </c>
      <c r="D7525">
        <v>3</v>
      </c>
      <c r="E7525">
        <v>21.5</v>
      </c>
      <c r="F7525">
        <v>48</v>
      </c>
    </row>
    <row r="7526" spans="1:6" x14ac:dyDescent="0.35">
      <c r="A7526">
        <v>1975</v>
      </c>
      <c r="B7526" s="1">
        <v>45838</v>
      </c>
      <c r="C7526" s="2">
        <v>0.5</v>
      </c>
      <c r="D7526">
        <v>3</v>
      </c>
      <c r="E7526">
        <v>22.1</v>
      </c>
      <c r="F7526">
        <v>45</v>
      </c>
    </row>
    <row r="7527" spans="1:6" x14ac:dyDescent="0.35">
      <c r="A7527">
        <v>1975</v>
      </c>
      <c r="B7527" s="1">
        <v>45838</v>
      </c>
      <c r="C7527" s="2">
        <v>0.54166666666666663</v>
      </c>
      <c r="D7527">
        <v>3</v>
      </c>
      <c r="E7527">
        <v>22.6</v>
      </c>
      <c r="F7527">
        <v>40</v>
      </c>
    </row>
    <row r="7528" spans="1:6" x14ac:dyDescent="0.35">
      <c r="A7528">
        <v>1975</v>
      </c>
      <c r="B7528" s="1">
        <v>45838</v>
      </c>
      <c r="C7528" s="2">
        <v>0.58333333333333337</v>
      </c>
      <c r="D7528">
        <v>3</v>
      </c>
      <c r="E7528">
        <v>24.5</v>
      </c>
      <c r="F7528">
        <v>39</v>
      </c>
    </row>
    <row r="7529" spans="1:6" x14ac:dyDescent="0.35">
      <c r="A7529">
        <v>1975</v>
      </c>
      <c r="B7529" s="1">
        <v>45838</v>
      </c>
      <c r="C7529" s="2">
        <v>0.625</v>
      </c>
      <c r="D7529">
        <v>3</v>
      </c>
      <c r="E7529">
        <v>24.4</v>
      </c>
      <c r="F7529">
        <v>40</v>
      </c>
    </row>
    <row r="7530" spans="1:6" x14ac:dyDescent="0.35">
      <c r="A7530">
        <v>1975</v>
      </c>
      <c r="B7530" s="1">
        <v>45838</v>
      </c>
      <c r="C7530" s="2">
        <v>0.66666666666666663</v>
      </c>
      <c r="D7530">
        <v>3</v>
      </c>
      <c r="E7530">
        <v>24.3</v>
      </c>
      <c r="F7530">
        <v>35</v>
      </c>
    </row>
    <row r="7531" spans="1:6" x14ac:dyDescent="0.35">
      <c r="A7531">
        <v>1975</v>
      </c>
      <c r="B7531" s="1">
        <v>45838</v>
      </c>
      <c r="C7531" s="2">
        <v>0.70833333333333337</v>
      </c>
      <c r="D7531">
        <v>3</v>
      </c>
      <c r="E7531">
        <v>24.8</v>
      </c>
      <c r="F7531">
        <v>35</v>
      </c>
    </row>
    <row r="7532" spans="1:6" x14ac:dyDescent="0.35">
      <c r="A7532">
        <v>1975</v>
      </c>
      <c r="B7532" s="1">
        <v>45838</v>
      </c>
      <c r="C7532" s="2">
        <v>0.75</v>
      </c>
      <c r="D7532">
        <v>3</v>
      </c>
      <c r="E7532">
        <v>24.3</v>
      </c>
      <c r="F7532">
        <v>42</v>
      </c>
    </row>
    <row r="7533" spans="1:6" x14ac:dyDescent="0.35">
      <c r="A7533">
        <v>1975</v>
      </c>
      <c r="B7533" s="1">
        <v>45838</v>
      </c>
      <c r="C7533" s="2">
        <v>0.79166666666666663</v>
      </c>
      <c r="D7533">
        <v>3</v>
      </c>
      <c r="E7533">
        <v>22.9</v>
      </c>
      <c r="F7533">
        <v>46</v>
      </c>
    </row>
    <row r="7534" spans="1:6" x14ac:dyDescent="0.35">
      <c r="A7534">
        <v>1975</v>
      </c>
      <c r="B7534" s="1">
        <v>45838</v>
      </c>
      <c r="C7534" s="2">
        <v>0.83333333333333337</v>
      </c>
      <c r="D7534">
        <v>3</v>
      </c>
      <c r="E7534">
        <v>20.100000000000001</v>
      </c>
      <c r="F7534">
        <v>58</v>
      </c>
    </row>
    <row r="7535" spans="1:6" x14ac:dyDescent="0.35">
      <c r="A7535">
        <v>1975</v>
      </c>
      <c r="B7535" s="1">
        <v>45838</v>
      </c>
      <c r="C7535" s="2">
        <v>0.875</v>
      </c>
      <c r="D7535">
        <v>3</v>
      </c>
      <c r="E7535">
        <v>18.7</v>
      </c>
      <c r="F7535">
        <v>63</v>
      </c>
    </row>
    <row r="7536" spans="1:6" x14ac:dyDescent="0.35">
      <c r="A7536">
        <v>1975</v>
      </c>
      <c r="B7536" s="1">
        <v>45838</v>
      </c>
      <c r="C7536" s="2">
        <v>0.91666666666666663</v>
      </c>
      <c r="D7536">
        <v>3</v>
      </c>
      <c r="E7536">
        <v>17.7</v>
      </c>
      <c r="F7536">
        <v>61</v>
      </c>
    </row>
    <row r="7537" spans="1:6" x14ac:dyDescent="0.35">
      <c r="A7537">
        <v>1975</v>
      </c>
      <c r="B7537" s="1">
        <v>45838</v>
      </c>
      <c r="C7537" s="2">
        <v>0.95833333333333337</v>
      </c>
      <c r="D7537">
        <v>3</v>
      </c>
      <c r="E7537">
        <v>16.8</v>
      </c>
      <c r="F7537">
        <v>56</v>
      </c>
    </row>
    <row r="7538" spans="1:6" x14ac:dyDescent="0.35">
      <c r="A7538">
        <v>1975</v>
      </c>
      <c r="B7538" s="1">
        <v>45839</v>
      </c>
      <c r="C7538" s="2">
        <v>0</v>
      </c>
      <c r="D7538">
        <v>3</v>
      </c>
      <c r="E7538">
        <v>15.8</v>
      </c>
      <c r="F7538">
        <v>57</v>
      </c>
    </row>
    <row r="7539" spans="1:6" x14ac:dyDescent="0.35">
      <c r="A7539">
        <v>1975</v>
      </c>
      <c r="B7539" s="1">
        <v>45839</v>
      </c>
      <c r="C7539" s="2">
        <v>4.1666666666666657E-2</v>
      </c>
      <c r="D7539">
        <v>3</v>
      </c>
      <c r="E7539">
        <v>14.9</v>
      </c>
      <c r="F7539">
        <v>62</v>
      </c>
    </row>
    <row r="7540" spans="1:6" x14ac:dyDescent="0.35">
      <c r="A7540">
        <v>1975</v>
      </c>
      <c r="B7540" s="1">
        <v>45839</v>
      </c>
      <c r="C7540" s="2">
        <v>8.3333333333333329E-2</v>
      </c>
      <c r="D7540">
        <v>3</v>
      </c>
      <c r="E7540">
        <v>14.5</v>
      </c>
      <c r="F7540">
        <v>62</v>
      </c>
    </row>
    <row r="7541" spans="1:6" x14ac:dyDescent="0.35">
      <c r="A7541">
        <v>1975</v>
      </c>
      <c r="B7541" s="1">
        <v>45839</v>
      </c>
      <c r="C7541" s="2">
        <v>0.125</v>
      </c>
      <c r="D7541">
        <v>3</v>
      </c>
      <c r="E7541">
        <v>13.7</v>
      </c>
      <c r="F7541">
        <v>67</v>
      </c>
    </row>
    <row r="7542" spans="1:6" x14ac:dyDescent="0.35">
      <c r="A7542">
        <v>1975</v>
      </c>
      <c r="B7542" s="1">
        <v>45839</v>
      </c>
      <c r="C7542" s="2">
        <v>0.16666666666666671</v>
      </c>
      <c r="D7542">
        <v>3</v>
      </c>
      <c r="E7542">
        <v>14.5</v>
      </c>
      <c r="F7542">
        <v>66</v>
      </c>
    </row>
    <row r="7543" spans="1:6" x14ac:dyDescent="0.35">
      <c r="A7543">
        <v>1975</v>
      </c>
      <c r="B7543" s="1">
        <v>45839</v>
      </c>
      <c r="C7543" s="2">
        <v>0.20833333333333329</v>
      </c>
      <c r="D7543">
        <v>3</v>
      </c>
      <c r="E7543">
        <v>16.399999999999999</v>
      </c>
      <c r="F7543">
        <v>61</v>
      </c>
    </row>
    <row r="7544" spans="1:6" x14ac:dyDescent="0.35">
      <c r="A7544">
        <v>1975</v>
      </c>
      <c r="B7544" s="1">
        <v>45839</v>
      </c>
      <c r="C7544" s="2">
        <v>0.25</v>
      </c>
      <c r="D7544">
        <v>3</v>
      </c>
      <c r="E7544">
        <v>19.100000000000001</v>
      </c>
      <c r="F7544">
        <v>56</v>
      </c>
    </row>
    <row r="7545" spans="1:6" x14ac:dyDescent="0.35">
      <c r="A7545">
        <v>1975</v>
      </c>
      <c r="B7545" s="1">
        <v>45839</v>
      </c>
      <c r="C7545" s="2">
        <v>0.29166666666666669</v>
      </c>
      <c r="D7545">
        <v>3</v>
      </c>
      <c r="E7545">
        <v>21.4</v>
      </c>
      <c r="F7545">
        <v>48</v>
      </c>
    </row>
    <row r="7546" spans="1:6" x14ac:dyDescent="0.35">
      <c r="A7546">
        <v>1975</v>
      </c>
      <c r="B7546" s="1">
        <v>45839</v>
      </c>
      <c r="C7546" s="2">
        <v>0.33333333333333331</v>
      </c>
      <c r="D7546">
        <v>3</v>
      </c>
      <c r="E7546">
        <v>23.8</v>
      </c>
      <c r="F7546">
        <v>45</v>
      </c>
    </row>
    <row r="7547" spans="1:6" x14ac:dyDescent="0.35">
      <c r="A7547">
        <v>1975</v>
      </c>
      <c r="B7547" s="1">
        <v>45839</v>
      </c>
      <c r="C7547" s="2">
        <v>0.375</v>
      </c>
      <c r="D7547">
        <v>3</v>
      </c>
      <c r="E7547">
        <v>25.7</v>
      </c>
      <c r="F7547">
        <v>39</v>
      </c>
    </row>
    <row r="7548" spans="1:6" x14ac:dyDescent="0.35">
      <c r="A7548">
        <v>1975</v>
      </c>
      <c r="B7548" s="1">
        <v>45839</v>
      </c>
      <c r="C7548" s="2">
        <v>0.41666666666666669</v>
      </c>
      <c r="D7548">
        <v>3</v>
      </c>
      <c r="E7548">
        <v>27</v>
      </c>
      <c r="F7548">
        <v>35</v>
      </c>
    </row>
    <row r="7549" spans="1:6" x14ac:dyDescent="0.35">
      <c r="A7549">
        <v>1975</v>
      </c>
      <c r="B7549" s="1">
        <v>45839</v>
      </c>
      <c r="C7549" s="2">
        <v>0.45833333333333331</v>
      </c>
      <c r="D7549">
        <v>3</v>
      </c>
      <c r="E7549">
        <v>28.3</v>
      </c>
      <c r="F7549">
        <v>34</v>
      </c>
    </row>
    <row r="7550" spans="1:6" x14ac:dyDescent="0.35">
      <c r="A7550">
        <v>1975</v>
      </c>
      <c r="B7550" s="1">
        <v>45839</v>
      </c>
      <c r="C7550" s="2">
        <v>0.5</v>
      </c>
      <c r="D7550">
        <v>3</v>
      </c>
      <c r="E7550">
        <v>29.4</v>
      </c>
      <c r="F7550">
        <v>31</v>
      </c>
    </row>
    <row r="7551" spans="1:6" x14ac:dyDescent="0.35">
      <c r="A7551">
        <v>1975</v>
      </c>
      <c r="B7551" s="1">
        <v>45839</v>
      </c>
      <c r="C7551" s="2">
        <v>0.54166666666666663</v>
      </c>
      <c r="D7551">
        <v>3</v>
      </c>
      <c r="E7551">
        <v>30.1</v>
      </c>
      <c r="F7551">
        <v>30</v>
      </c>
    </row>
    <row r="7552" spans="1:6" x14ac:dyDescent="0.35">
      <c r="A7552">
        <v>1975</v>
      </c>
      <c r="B7552" s="1">
        <v>45839</v>
      </c>
      <c r="C7552" s="2">
        <v>0.58333333333333337</v>
      </c>
      <c r="D7552">
        <v>3</v>
      </c>
      <c r="E7552">
        <v>30.7</v>
      </c>
      <c r="F7552">
        <v>30</v>
      </c>
    </row>
    <row r="7553" spans="1:6" x14ac:dyDescent="0.35">
      <c r="A7553">
        <v>1975</v>
      </c>
      <c r="B7553" s="1">
        <v>45839</v>
      </c>
      <c r="C7553" s="2">
        <v>0.625</v>
      </c>
      <c r="D7553">
        <v>3</v>
      </c>
      <c r="E7553">
        <v>31.4</v>
      </c>
      <c r="F7553">
        <v>29</v>
      </c>
    </row>
    <row r="7554" spans="1:6" x14ac:dyDescent="0.35">
      <c r="A7554">
        <v>1975</v>
      </c>
      <c r="B7554" s="1">
        <v>45839</v>
      </c>
      <c r="C7554" s="2">
        <v>0.66666666666666663</v>
      </c>
      <c r="D7554">
        <v>3</v>
      </c>
      <c r="E7554">
        <v>32.1</v>
      </c>
      <c r="F7554">
        <v>30</v>
      </c>
    </row>
    <row r="7555" spans="1:6" x14ac:dyDescent="0.35">
      <c r="A7555">
        <v>1975</v>
      </c>
      <c r="B7555" s="1">
        <v>45839</v>
      </c>
      <c r="C7555" s="2">
        <v>0.70833333333333337</v>
      </c>
      <c r="D7555">
        <v>3</v>
      </c>
      <c r="E7555">
        <v>32.4</v>
      </c>
      <c r="F7555">
        <v>31</v>
      </c>
    </row>
    <row r="7556" spans="1:6" x14ac:dyDescent="0.35">
      <c r="A7556">
        <v>1975</v>
      </c>
      <c r="B7556" s="1">
        <v>45839</v>
      </c>
      <c r="C7556" s="2">
        <v>0.75</v>
      </c>
      <c r="D7556">
        <v>3</v>
      </c>
      <c r="E7556">
        <v>30.8</v>
      </c>
      <c r="F7556">
        <v>35</v>
      </c>
    </row>
    <row r="7557" spans="1:6" x14ac:dyDescent="0.35">
      <c r="A7557">
        <v>1975</v>
      </c>
      <c r="B7557" s="1">
        <v>45839</v>
      </c>
      <c r="C7557" s="2">
        <v>0.79166666666666663</v>
      </c>
      <c r="D7557">
        <v>3</v>
      </c>
      <c r="E7557">
        <v>28</v>
      </c>
      <c r="F7557">
        <v>43</v>
      </c>
    </row>
    <row r="7558" spans="1:6" x14ac:dyDescent="0.35">
      <c r="A7558">
        <v>1975</v>
      </c>
      <c r="B7558" s="1">
        <v>45839</v>
      </c>
      <c r="C7558" s="2">
        <v>0.83333333333333337</v>
      </c>
      <c r="D7558">
        <v>3</v>
      </c>
      <c r="E7558">
        <v>25.3</v>
      </c>
      <c r="F7558">
        <v>58</v>
      </c>
    </row>
    <row r="7559" spans="1:6" x14ac:dyDescent="0.35">
      <c r="A7559">
        <v>1975</v>
      </c>
      <c r="B7559" s="1">
        <v>45839</v>
      </c>
      <c r="C7559" s="2">
        <v>0.875</v>
      </c>
      <c r="D7559">
        <v>3</v>
      </c>
      <c r="E7559">
        <v>22.7</v>
      </c>
      <c r="F7559">
        <v>68</v>
      </c>
    </row>
    <row r="7560" spans="1:6" x14ac:dyDescent="0.35">
      <c r="A7560">
        <v>1975</v>
      </c>
      <c r="B7560" s="1">
        <v>45839</v>
      </c>
      <c r="C7560" s="2">
        <v>0.91666666666666663</v>
      </c>
      <c r="D7560">
        <v>3</v>
      </c>
      <c r="E7560">
        <v>21.9</v>
      </c>
      <c r="F7560">
        <v>71</v>
      </c>
    </row>
    <row r="7561" spans="1:6" x14ac:dyDescent="0.35">
      <c r="A7561">
        <v>1975</v>
      </c>
      <c r="B7561" s="1">
        <v>45839</v>
      </c>
      <c r="C7561" s="2">
        <v>0.95833333333333337</v>
      </c>
      <c r="D7561">
        <v>3</v>
      </c>
      <c r="E7561">
        <v>20.2</v>
      </c>
      <c r="F7561">
        <v>78</v>
      </c>
    </row>
    <row r="7562" spans="1:6" x14ac:dyDescent="0.35">
      <c r="A7562">
        <v>1975</v>
      </c>
      <c r="B7562" s="1">
        <v>45840</v>
      </c>
      <c r="C7562" s="2">
        <v>0</v>
      </c>
      <c r="D7562">
        <v>3</v>
      </c>
      <c r="E7562">
        <v>19.8</v>
      </c>
      <c r="F7562">
        <v>74</v>
      </c>
    </row>
    <row r="7563" spans="1:6" x14ac:dyDescent="0.35">
      <c r="A7563">
        <v>1975</v>
      </c>
      <c r="B7563" s="1">
        <v>45840</v>
      </c>
      <c r="C7563" s="2">
        <v>4.1666666666666657E-2</v>
      </c>
      <c r="D7563">
        <v>3</v>
      </c>
      <c r="E7563">
        <v>19.2</v>
      </c>
      <c r="F7563">
        <v>72</v>
      </c>
    </row>
    <row r="7564" spans="1:6" x14ac:dyDescent="0.35">
      <c r="A7564">
        <v>1975</v>
      </c>
      <c r="B7564" s="1">
        <v>45840</v>
      </c>
      <c r="C7564" s="2">
        <v>8.3333333333333329E-2</v>
      </c>
      <c r="D7564">
        <v>3</v>
      </c>
      <c r="E7564">
        <v>19.600000000000001</v>
      </c>
      <c r="F7564">
        <v>67</v>
      </c>
    </row>
    <row r="7565" spans="1:6" x14ac:dyDescent="0.35">
      <c r="A7565">
        <v>1975</v>
      </c>
      <c r="B7565" s="1">
        <v>45840</v>
      </c>
      <c r="C7565" s="2">
        <v>0.125</v>
      </c>
      <c r="D7565">
        <v>3</v>
      </c>
      <c r="E7565">
        <v>20.3</v>
      </c>
      <c r="F7565">
        <v>61</v>
      </c>
    </row>
    <row r="7566" spans="1:6" x14ac:dyDescent="0.35">
      <c r="A7566">
        <v>1975</v>
      </c>
      <c r="B7566" s="1">
        <v>45840</v>
      </c>
      <c r="C7566" s="2">
        <v>0.16666666666666671</v>
      </c>
      <c r="D7566">
        <v>3</v>
      </c>
      <c r="E7566">
        <v>19.7</v>
      </c>
      <c r="F7566">
        <v>64</v>
      </c>
    </row>
    <row r="7567" spans="1:6" x14ac:dyDescent="0.35">
      <c r="A7567">
        <v>1975</v>
      </c>
      <c r="B7567" s="1">
        <v>45840</v>
      </c>
      <c r="C7567" s="2">
        <v>0.20833333333333329</v>
      </c>
      <c r="D7567">
        <v>3</v>
      </c>
      <c r="E7567">
        <v>22.1</v>
      </c>
      <c r="F7567">
        <v>56</v>
      </c>
    </row>
    <row r="7568" spans="1:6" x14ac:dyDescent="0.35">
      <c r="A7568">
        <v>1975</v>
      </c>
      <c r="B7568" s="1">
        <v>45840</v>
      </c>
      <c r="C7568" s="2">
        <v>0.25</v>
      </c>
      <c r="D7568">
        <v>3</v>
      </c>
      <c r="E7568">
        <v>24</v>
      </c>
      <c r="F7568">
        <v>50</v>
      </c>
    </row>
    <row r="7569" spans="1:6" x14ac:dyDescent="0.35">
      <c r="A7569">
        <v>1975</v>
      </c>
      <c r="B7569" s="1">
        <v>45840</v>
      </c>
      <c r="C7569" s="2">
        <v>0.29166666666666669</v>
      </c>
      <c r="D7569">
        <v>3</v>
      </c>
      <c r="E7569">
        <v>26.6</v>
      </c>
      <c r="F7569">
        <v>46</v>
      </c>
    </row>
    <row r="7570" spans="1:6" x14ac:dyDescent="0.35">
      <c r="A7570">
        <v>1975</v>
      </c>
      <c r="B7570" s="1">
        <v>45840</v>
      </c>
      <c r="C7570" s="2">
        <v>0.33333333333333331</v>
      </c>
      <c r="D7570">
        <v>3</v>
      </c>
      <c r="E7570">
        <v>29.4</v>
      </c>
      <c r="F7570">
        <v>42</v>
      </c>
    </row>
    <row r="7571" spans="1:6" x14ac:dyDescent="0.35">
      <c r="A7571">
        <v>1975</v>
      </c>
      <c r="B7571" s="1">
        <v>45840</v>
      </c>
      <c r="C7571" s="2">
        <v>0.375</v>
      </c>
      <c r="D7571">
        <v>3</v>
      </c>
      <c r="E7571">
        <v>31.8</v>
      </c>
      <c r="F7571">
        <v>40</v>
      </c>
    </row>
    <row r="7572" spans="1:6" x14ac:dyDescent="0.35">
      <c r="A7572">
        <v>1975</v>
      </c>
      <c r="B7572" s="1">
        <v>45840</v>
      </c>
      <c r="C7572" s="2">
        <v>0.41666666666666669</v>
      </c>
      <c r="D7572">
        <v>3</v>
      </c>
      <c r="E7572">
        <v>33</v>
      </c>
      <c r="F7572">
        <v>38</v>
      </c>
    </row>
    <row r="7573" spans="1:6" x14ac:dyDescent="0.35">
      <c r="A7573">
        <v>1975</v>
      </c>
      <c r="B7573" s="1">
        <v>45840</v>
      </c>
      <c r="C7573" s="2">
        <v>0.45833333333333331</v>
      </c>
      <c r="D7573">
        <v>3</v>
      </c>
      <c r="E7573">
        <v>33.9</v>
      </c>
      <c r="F7573">
        <v>36</v>
      </c>
    </row>
    <row r="7574" spans="1:6" x14ac:dyDescent="0.35">
      <c r="A7574">
        <v>1975</v>
      </c>
      <c r="B7574" s="1">
        <v>45840</v>
      </c>
      <c r="C7574" s="2">
        <v>0.5</v>
      </c>
      <c r="D7574">
        <v>3</v>
      </c>
      <c r="E7574">
        <v>33.9</v>
      </c>
      <c r="F7574">
        <v>35</v>
      </c>
    </row>
    <row r="7575" spans="1:6" x14ac:dyDescent="0.35">
      <c r="A7575">
        <v>1975</v>
      </c>
      <c r="B7575" s="1">
        <v>45840</v>
      </c>
      <c r="C7575" s="2">
        <v>0.54166666666666663</v>
      </c>
      <c r="D7575">
        <v>3</v>
      </c>
      <c r="E7575">
        <v>33.4</v>
      </c>
      <c r="F7575">
        <v>32</v>
      </c>
    </row>
    <row r="7576" spans="1:6" x14ac:dyDescent="0.35">
      <c r="A7576">
        <v>1975</v>
      </c>
      <c r="B7576" s="1">
        <v>45840</v>
      </c>
      <c r="C7576" s="2">
        <v>0.58333333333333337</v>
      </c>
      <c r="D7576">
        <v>3</v>
      </c>
      <c r="E7576">
        <v>33.700000000000003</v>
      </c>
      <c r="F7576">
        <v>33</v>
      </c>
    </row>
    <row r="7577" spans="1:6" x14ac:dyDescent="0.35">
      <c r="A7577">
        <v>1975</v>
      </c>
      <c r="B7577" s="1">
        <v>45840</v>
      </c>
      <c r="C7577" s="2">
        <v>0.625</v>
      </c>
      <c r="D7577">
        <v>3</v>
      </c>
      <c r="E7577">
        <v>34.700000000000003</v>
      </c>
      <c r="F7577">
        <v>32</v>
      </c>
    </row>
    <row r="7578" spans="1:6" x14ac:dyDescent="0.35">
      <c r="A7578">
        <v>1975</v>
      </c>
      <c r="B7578" s="1">
        <v>45840</v>
      </c>
      <c r="C7578" s="2">
        <v>0.66666666666666663</v>
      </c>
      <c r="D7578">
        <v>3</v>
      </c>
      <c r="E7578">
        <v>34.299999999999997</v>
      </c>
      <c r="F7578">
        <v>34</v>
      </c>
    </row>
    <row r="7579" spans="1:6" x14ac:dyDescent="0.35">
      <c r="A7579">
        <v>1975</v>
      </c>
      <c r="B7579" s="1">
        <v>45840</v>
      </c>
      <c r="C7579" s="2">
        <v>0.70833333333333337</v>
      </c>
      <c r="D7579">
        <v>3</v>
      </c>
      <c r="E7579">
        <v>32.5</v>
      </c>
      <c r="F7579">
        <v>41</v>
      </c>
    </row>
    <row r="7580" spans="1:6" x14ac:dyDescent="0.35">
      <c r="A7580">
        <v>1975</v>
      </c>
      <c r="B7580" s="1">
        <v>45840</v>
      </c>
      <c r="C7580" s="2">
        <v>0.75</v>
      </c>
      <c r="D7580">
        <v>3</v>
      </c>
      <c r="E7580">
        <v>30.1</v>
      </c>
      <c r="F7580">
        <v>46</v>
      </c>
    </row>
    <row r="7581" spans="1:6" x14ac:dyDescent="0.35">
      <c r="A7581">
        <v>1975</v>
      </c>
      <c r="B7581" s="1">
        <v>45840</v>
      </c>
      <c r="C7581" s="2">
        <v>0.79166666666666663</v>
      </c>
      <c r="D7581">
        <v>3</v>
      </c>
      <c r="E7581">
        <v>24.3</v>
      </c>
      <c r="F7581">
        <v>68</v>
      </c>
    </row>
    <row r="7582" spans="1:6" x14ac:dyDescent="0.35">
      <c r="A7582">
        <v>1975</v>
      </c>
      <c r="B7582" s="1">
        <v>45840</v>
      </c>
      <c r="C7582" s="2">
        <v>0.83333333333333337</v>
      </c>
      <c r="D7582">
        <v>3</v>
      </c>
      <c r="E7582">
        <v>19</v>
      </c>
      <c r="F7582">
        <v>95</v>
      </c>
    </row>
    <row r="7583" spans="1:6" x14ac:dyDescent="0.35">
      <c r="A7583">
        <v>1975</v>
      </c>
      <c r="B7583" s="1">
        <v>45840</v>
      </c>
      <c r="C7583" s="2">
        <v>0.875</v>
      </c>
      <c r="D7583">
        <v>3</v>
      </c>
      <c r="E7583">
        <v>18.399999999999999</v>
      </c>
      <c r="F7583">
        <v>95</v>
      </c>
    </row>
    <row r="7584" spans="1:6" x14ac:dyDescent="0.35">
      <c r="A7584">
        <v>1975</v>
      </c>
      <c r="B7584" s="1">
        <v>45840</v>
      </c>
      <c r="C7584" s="2">
        <v>0.91666666666666663</v>
      </c>
      <c r="D7584">
        <v>3</v>
      </c>
      <c r="E7584">
        <v>18.399999999999999</v>
      </c>
      <c r="F7584">
        <v>97</v>
      </c>
    </row>
    <row r="7585" spans="1:6" x14ac:dyDescent="0.35">
      <c r="A7585">
        <v>1975</v>
      </c>
      <c r="B7585" s="1">
        <v>45840</v>
      </c>
      <c r="C7585" s="2">
        <v>0.95833333333333337</v>
      </c>
      <c r="D7585">
        <v>3</v>
      </c>
      <c r="E7585">
        <v>18.5</v>
      </c>
      <c r="F7585">
        <v>97</v>
      </c>
    </row>
    <row r="7586" spans="1:6" x14ac:dyDescent="0.35">
      <c r="A7586">
        <v>1975</v>
      </c>
      <c r="B7586" s="1">
        <v>45841</v>
      </c>
      <c r="C7586" s="2">
        <v>0</v>
      </c>
      <c r="D7586">
        <v>3</v>
      </c>
      <c r="E7586">
        <v>18.7</v>
      </c>
      <c r="F7586">
        <v>97</v>
      </c>
    </row>
    <row r="7587" spans="1:6" x14ac:dyDescent="0.35">
      <c r="A7587">
        <v>1975</v>
      </c>
      <c r="B7587" s="1">
        <v>45841</v>
      </c>
      <c r="C7587" s="2">
        <v>4.1666666666666657E-2</v>
      </c>
      <c r="D7587">
        <v>3</v>
      </c>
      <c r="E7587">
        <v>18.7</v>
      </c>
      <c r="F7587">
        <v>96</v>
      </c>
    </row>
    <row r="7588" spans="1:6" x14ac:dyDescent="0.35">
      <c r="A7588">
        <v>1975</v>
      </c>
      <c r="B7588" s="1">
        <v>45841</v>
      </c>
      <c r="C7588" s="2">
        <v>8.3333333333333329E-2</v>
      </c>
      <c r="D7588">
        <v>3</v>
      </c>
      <c r="E7588">
        <v>18.100000000000001</v>
      </c>
      <c r="F7588">
        <v>91</v>
      </c>
    </row>
    <row r="7589" spans="1:6" x14ac:dyDescent="0.35">
      <c r="A7589">
        <v>1975</v>
      </c>
      <c r="B7589" s="1">
        <v>45841</v>
      </c>
      <c r="C7589" s="2">
        <v>0.125</v>
      </c>
      <c r="D7589">
        <v>3</v>
      </c>
      <c r="E7589">
        <v>17.7</v>
      </c>
      <c r="F7589">
        <v>94</v>
      </c>
    </row>
    <row r="7590" spans="1:6" x14ac:dyDescent="0.35">
      <c r="A7590">
        <v>1975</v>
      </c>
      <c r="B7590" s="1">
        <v>45841</v>
      </c>
      <c r="C7590" s="2">
        <v>0.16666666666666671</v>
      </c>
      <c r="D7590">
        <v>3</v>
      </c>
      <c r="E7590">
        <v>17.100000000000001</v>
      </c>
      <c r="F7590">
        <v>91</v>
      </c>
    </row>
    <row r="7591" spans="1:6" x14ac:dyDescent="0.35">
      <c r="A7591">
        <v>1975</v>
      </c>
      <c r="B7591" s="1">
        <v>45841</v>
      </c>
      <c r="C7591" s="2">
        <v>0.20833333333333329</v>
      </c>
      <c r="D7591">
        <v>3</v>
      </c>
      <c r="E7591">
        <v>16.2</v>
      </c>
      <c r="F7591">
        <v>87</v>
      </c>
    </row>
    <row r="7592" spans="1:6" x14ac:dyDescent="0.35">
      <c r="A7592">
        <v>1975</v>
      </c>
      <c r="B7592" s="1">
        <v>45841</v>
      </c>
      <c r="C7592" s="2">
        <v>0.25</v>
      </c>
      <c r="D7592">
        <v>3</v>
      </c>
      <c r="E7592">
        <v>15.5</v>
      </c>
      <c r="F7592">
        <v>83</v>
      </c>
    </row>
    <row r="7593" spans="1:6" x14ac:dyDescent="0.35">
      <c r="A7593">
        <v>1975</v>
      </c>
      <c r="B7593" s="1">
        <v>45841</v>
      </c>
      <c r="C7593" s="2">
        <v>0.29166666666666669</v>
      </c>
      <c r="D7593">
        <v>3</v>
      </c>
      <c r="E7593">
        <v>15.8</v>
      </c>
      <c r="F7593">
        <v>79</v>
      </c>
    </row>
    <row r="7594" spans="1:6" x14ac:dyDescent="0.35">
      <c r="A7594">
        <v>1975</v>
      </c>
      <c r="B7594" s="1">
        <v>45841</v>
      </c>
      <c r="C7594" s="2">
        <v>0.33333333333333331</v>
      </c>
      <c r="D7594">
        <v>3</v>
      </c>
      <c r="E7594">
        <v>16.8</v>
      </c>
      <c r="F7594">
        <v>69</v>
      </c>
    </row>
    <row r="7595" spans="1:6" x14ac:dyDescent="0.35">
      <c r="A7595">
        <v>1975</v>
      </c>
      <c r="B7595" s="1">
        <v>45841</v>
      </c>
      <c r="C7595" s="2">
        <v>0.375</v>
      </c>
      <c r="D7595">
        <v>3</v>
      </c>
      <c r="E7595">
        <v>17.3</v>
      </c>
      <c r="F7595">
        <v>66</v>
      </c>
    </row>
    <row r="7596" spans="1:6" x14ac:dyDescent="0.35">
      <c r="A7596">
        <v>1975</v>
      </c>
      <c r="B7596" s="1">
        <v>45841</v>
      </c>
      <c r="C7596" s="2">
        <v>0.41666666666666669</v>
      </c>
      <c r="D7596">
        <v>3</v>
      </c>
      <c r="E7596">
        <v>18.100000000000001</v>
      </c>
      <c r="F7596">
        <v>63</v>
      </c>
    </row>
    <row r="7597" spans="1:6" x14ac:dyDescent="0.35">
      <c r="A7597">
        <v>1975</v>
      </c>
      <c r="B7597" s="1">
        <v>45841</v>
      </c>
      <c r="C7597" s="2">
        <v>0.45833333333333331</v>
      </c>
      <c r="D7597">
        <v>3</v>
      </c>
      <c r="E7597">
        <v>18.7</v>
      </c>
      <c r="F7597">
        <v>56</v>
      </c>
    </row>
    <row r="7598" spans="1:6" x14ac:dyDescent="0.35">
      <c r="A7598">
        <v>1975</v>
      </c>
      <c r="B7598" s="1">
        <v>45841</v>
      </c>
      <c r="C7598" s="2">
        <v>0.5</v>
      </c>
      <c r="D7598">
        <v>3</v>
      </c>
      <c r="E7598">
        <v>19.399999999999999</v>
      </c>
      <c r="F7598">
        <v>51</v>
      </c>
    </row>
    <row r="7599" spans="1:6" x14ac:dyDescent="0.35">
      <c r="A7599">
        <v>1975</v>
      </c>
      <c r="B7599" s="1">
        <v>45841</v>
      </c>
      <c r="C7599" s="2">
        <v>0.54166666666666663</v>
      </c>
      <c r="D7599">
        <v>3</v>
      </c>
      <c r="E7599">
        <v>18.7</v>
      </c>
      <c r="F7599">
        <v>57</v>
      </c>
    </row>
    <row r="7600" spans="1:6" x14ac:dyDescent="0.35">
      <c r="A7600">
        <v>1975</v>
      </c>
      <c r="B7600" s="1">
        <v>45841</v>
      </c>
      <c r="C7600" s="2">
        <v>0.58333333333333337</v>
      </c>
      <c r="D7600">
        <v>3</v>
      </c>
      <c r="E7600">
        <v>17.399999999999999</v>
      </c>
      <c r="F7600">
        <v>66</v>
      </c>
    </row>
    <row r="7601" spans="1:6" x14ac:dyDescent="0.35">
      <c r="A7601">
        <v>1975</v>
      </c>
      <c r="B7601" s="1">
        <v>45841</v>
      </c>
      <c r="C7601" s="2">
        <v>0.625</v>
      </c>
      <c r="D7601">
        <v>3</v>
      </c>
      <c r="E7601">
        <v>18.3</v>
      </c>
      <c r="F7601">
        <v>60</v>
      </c>
    </row>
    <row r="7602" spans="1:6" x14ac:dyDescent="0.35">
      <c r="A7602">
        <v>1975</v>
      </c>
      <c r="B7602" s="1">
        <v>45841</v>
      </c>
      <c r="C7602" s="2">
        <v>0.66666666666666663</v>
      </c>
      <c r="D7602">
        <v>3</v>
      </c>
      <c r="E7602">
        <v>19.100000000000001</v>
      </c>
      <c r="F7602">
        <v>55</v>
      </c>
    </row>
    <row r="7603" spans="1:6" x14ac:dyDescent="0.35">
      <c r="A7603">
        <v>1975</v>
      </c>
      <c r="B7603" s="1">
        <v>45841</v>
      </c>
      <c r="C7603" s="2">
        <v>0.70833333333333337</v>
      </c>
      <c r="D7603">
        <v>3</v>
      </c>
      <c r="E7603">
        <v>19.2</v>
      </c>
      <c r="F7603">
        <v>54</v>
      </c>
    </row>
    <row r="7604" spans="1:6" x14ac:dyDescent="0.35">
      <c r="A7604">
        <v>1975</v>
      </c>
      <c r="B7604" s="1">
        <v>45841</v>
      </c>
      <c r="C7604" s="2">
        <v>0.75</v>
      </c>
      <c r="D7604">
        <v>3</v>
      </c>
      <c r="E7604">
        <v>18</v>
      </c>
      <c r="F7604">
        <v>57</v>
      </c>
    </row>
    <row r="7605" spans="1:6" x14ac:dyDescent="0.35">
      <c r="A7605">
        <v>1975</v>
      </c>
      <c r="B7605" s="1">
        <v>45841</v>
      </c>
      <c r="C7605" s="2">
        <v>0.79166666666666663</v>
      </c>
      <c r="D7605">
        <v>3</v>
      </c>
      <c r="E7605">
        <v>16.5</v>
      </c>
      <c r="F7605">
        <v>63</v>
      </c>
    </row>
    <row r="7606" spans="1:6" x14ac:dyDescent="0.35">
      <c r="A7606">
        <v>1975</v>
      </c>
      <c r="B7606" s="1">
        <v>45841</v>
      </c>
      <c r="C7606" s="2">
        <v>0.83333333333333337</v>
      </c>
      <c r="D7606">
        <v>3</v>
      </c>
      <c r="E7606">
        <v>15.2</v>
      </c>
      <c r="F7606">
        <v>71</v>
      </c>
    </row>
    <row r="7607" spans="1:6" x14ac:dyDescent="0.35">
      <c r="A7607">
        <v>1975</v>
      </c>
      <c r="B7607" s="1">
        <v>45841</v>
      </c>
      <c r="C7607" s="2">
        <v>0.875</v>
      </c>
      <c r="D7607">
        <v>3</v>
      </c>
      <c r="E7607">
        <v>13.9</v>
      </c>
      <c r="F7607">
        <v>78</v>
      </c>
    </row>
    <row r="7608" spans="1:6" x14ac:dyDescent="0.35">
      <c r="A7608">
        <v>1975</v>
      </c>
      <c r="B7608" s="1">
        <v>45841</v>
      </c>
      <c r="C7608" s="2">
        <v>0.91666666666666663</v>
      </c>
      <c r="D7608">
        <v>3</v>
      </c>
      <c r="E7608">
        <v>12.2</v>
      </c>
      <c r="F7608">
        <v>88</v>
      </c>
    </row>
    <row r="7609" spans="1:6" x14ac:dyDescent="0.35">
      <c r="A7609">
        <v>1975</v>
      </c>
      <c r="B7609" s="1">
        <v>45841</v>
      </c>
      <c r="C7609" s="2">
        <v>0.95833333333333337</v>
      </c>
      <c r="D7609">
        <v>3</v>
      </c>
      <c r="E7609">
        <v>11</v>
      </c>
      <c r="F7609">
        <v>97</v>
      </c>
    </row>
    <row r="7610" spans="1:6" x14ac:dyDescent="0.35">
      <c r="A7610">
        <v>1975</v>
      </c>
      <c r="B7610" s="1">
        <v>45842</v>
      </c>
      <c r="C7610" s="2">
        <v>0</v>
      </c>
      <c r="D7610">
        <v>3</v>
      </c>
      <c r="E7610">
        <v>10.6</v>
      </c>
      <c r="F7610">
        <v>97</v>
      </c>
    </row>
    <row r="7611" spans="1:6" x14ac:dyDescent="0.35">
      <c r="A7611">
        <v>1975</v>
      </c>
      <c r="B7611" s="1">
        <v>45842</v>
      </c>
      <c r="C7611" s="2">
        <v>4.1666666666666657E-2</v>
      </c>
      <c r="D7611">
        <v>3</v>
      </c>
      <c r="E7611">
        <v>10.4</v>
      </c>
      <c r="F7611">
        <v>98</v>
      </c>
    </row>
    <row r="7612" spans="1:6" x14ac:dyDescent="0.35">
      <c r="A7612">
        <v>1975</v>
      </c>
      <c r="B7612" s="1">
        <v>45842</v>
      </c>
      <c r="C7612" s="2">
        <v>8.3333333333333329E-2</v>
      </c>
      <c r="D7612">
        <v>3</v>
      </c>
      <c r="E7612">
        <v>10.4</v>
      </c>
      <c r="F7612">
        <v>97</v>
      </c>
    </row>
    <row r="7613" spans="1:6" x14ac:dyDescent="0.35">
      <c r="A7613">
        <v>1975</v>
      </c>
      <c r="B7613" s="1">
        <v>45842</v>
      </c>
      <c r="C7613" s="2">
        <v>0.125</v>
      </c>
      <c r="D7613">
        <v>3</v>
      </c>
      <c r="E7613">
        <v>11.5</v>
      </c>
      <c r="F7613">
        <v>95</v>
      </c>
    </row>
    <row r="7614" spans="1:6" x14ac:dyDescent="0.35">
      <c r="A7614">
        <v>1975</v>
      </c>
      <c r="B7614" s="1">
        <v>45842</v>
      </c>
      <c r="C7614" s="2">
        <v>0.16666666666666671</v>
      </c>
      <c r="D7614">
        <v>3</v>
      </c>
      <c r="E7614">
        <v>12.3</v>
      </c>
      <c r="F7614">
        <v>91</v>
      </c>
    </row>
    <row r="7615" spans="1:6" x14ac:dyDescent="0.35">
      <c r="A7615">
        <v>1975</v>
      </c>
      <c r="B7615" s="1">
        <v>45842</v>
      </c>
      <c r="C7615" s="2">
        <v>0.20833333333333329</v>
      </c>
      <c r="D7615">
        <v>3</v>
      </c>
      <c r="E7615">
        <v>13.5</v>
      </c>
      <c r="F7615">
        <v>83</v>
      </c>
    </row>
    <row r="7616" spans="1:6" x14ac:dyDescent="0.35">
      <c r="A7616">
        <v>1975</v>
      </c>
      <c r="B7616" s="1">
        <v>45842</v>
      </c>
      <c r="C7616" s="2">
        <v>0.25</v>
      </c>
      <c r="D7616">
        <v>3</v>
      </c>
      <c r="E7616">
        <v>15.4</v>
      </c>
      <c r="F7616">
        <v>71</v>
      </c>
    </row>
    <row r="7617" spans="1:6" x14ac:dyDescent="0.35">
      <c r="A7617">
        <v>1975</v>
      </c>
      <c r="B7617" s="1">
        <v>45842</v>
      </c>
      <c r="C7617" s="2">
        <v>0.29166666666666669</v>
      </c>
      <c r="D7617">
        <v>3</v>
      </c>
      <c r="E7617">
        <v>16.3</v>
      </c>
      <c r="F7617">
        <v>70</v>
      </c>
    </row>
    <row r="7618" spans="1:6" x14ac:dyDescent="0.35">
      <c r="A7618">
        <v>1975</v>
      </c>
      <c r="B7618" s="1">
        <v>45842</v>
      </c>
      <c r="C7618" s="2">
        <v>0.33333333333333331</v>
      </c>
      <c r="D7618">
        <v>3</v>
      </c>
      <c r="E7618">
        <v>18</v>
      </c>
      <c r="F7618">
        <v>64</v>
      </c>
    </row>
    <row r="7619" spans="1:6" x14ac:dyDescent="0.35">
      <c r="A7619">
        <v>1975</v>
      </c>
      <c r="B7619" s="1">
        <v>45842</v>
      </c>
      <c r="C7619" s="2">
        <v>0.375</v>
      </c>
      <c r="D7619">
        <v>3</v>
      </c>
      <c r="E7619">
        <v>17.600000000000001</v>
      </c>
      <c r="F7619">
        <v>59</v>
      </c>
    </row>
    <row r="7620" spans="1:6" x14ac:dyDescent="0.35">
      <c r="A7620">
        <v>1975</v>
      </c>
      <c r="B7620" s="1">
        <v>45842</v>
      </c>
      <c r="C7620" s="2">
        <v>0.41666666666666669</v>
      </c>
      <c r="D7620">
        <v>3</v>
      </c>
      <c r="E7620">
        <v>19.3</v>
      </c>
      <c r="F7620">
        <v>50</v>
      </c>
    </row>
    <row r="7621" spans="1:6" x14ac:dyDescent="0.35">
      <c r="A7621">
        <v>1975</v>
      </c>
      <c r="B7621" s="1">
        <v>45842</v>
      </c>
      <c r="C7621" s="2">
        <v>0.45833333333333331</v>
      </c>
      <c r="D7621">
        <v>3</v>
      </c>
      <c r="E7621">
        <v>19.7</v>
      </c>
      <c r="F7621">
        <v>53</v>
      </c>
    </row>
    <row r="7622" spans="1:6" x14ac:dyDescent="0.35">
      <c r="A7622">
        <v>1975</v>
      </c>
      <c r="B7622" s="1">
        <v>45842</v>
      </c>
      <c r="C7622" s="2">
        <v>0.5</v>
      </c>
      <c r="D7622">
        <v>3</v>
      </c>
      <c r="E7622">
        <v>20.3</v>
      </c>
      <c r="F7622">
        <v>52</v>
      </c>
    </row>
    <row r="7623" spans="1:6" x14ac:dyDescent="0.35">
      <c r="A7623">
        <v>1975</v>
      </c>
      <c r="B7623" s="1">
        <v>45842</v>
      </c>
      <c r="C7623" s="2">
        <v>0.54166666666666663</v>
      </c>
      <c r="D7623">
        <v>3</v>
      </c>
      <c r="E7623">
        <v>21.2</v>
      </c>
      <c r="F7623">
        <v>47</v>
      </c>
    </row>
    <row r="7624" spans="1:6" x14ac:dyDescent="0.35">
      <c r="A7624">
        <v>1975</v>
      </c>
      <c r="B7624" s="1">
        <v>45842</v>
      </c>
      <c r="C7624" s="2">
        <v>0.58333333333333337</v>
      </c>
      <c r="D7624">
        <v>3</v>
      </c>
      <c r="E7624">
        <v>21.8</v>
      </c>
      <c r="F7624">
        <v>47</v>
      </c>
    </row>
    <row r="7625" spans="1:6" x14ac:dyDescent="0.35">
      <c r="A7625">
        <v>1975</v>
      </c>
      <c r="B7625" s="1">
        <v>45842</v>
      </c>
      <c r="C7625" s="2">
        <v>0.625</v>
      </c>
      <c r="D7625">
        <v>3</v>
      </c>
      <c r="E7625">
        <v>22.2</v>
      </c>
      <c r="F7625">
        <v>46</v>
      </c>
    </row>
    <row r="7626" spans="1:6" x14ac:dyDescent="0.35">
      <c r="A7626">
        <v>1975</v>
      </c>
      <c r="B7626" s="1">
        <v>45842</v>
      </c>
      <c r="C7626" s="2">
        <v>0.66666666666666663</v>
      </c>
      <c r="D7626">
        <v>3</v>
      </c>
      <c r="E7626">
        <v>21.8</v>
      </c>
      <c r="F7626">
        <v>48</v>
      </c>
    </row>
    <row r="7627" spans="1:6" x14ac:dyDescent="0.35">
      <c r="A7627">
        <v>1975</v>
      </c>
      <c r="B7627" s="1">
        <v>45842</v>
      </c>
      <c r="C7627" s="2">
        <v>0.70833333333333337</v>
      </c>
      <c r="D7627">
        <v>3</v>
      </c>
      <c r="E7627">
        <v>21.5</v>
      </c>
      <c r="F7627">
        <v>47</v>
      </c>
    </row>
    <row r="7628" spans="1:6" x14ac:dyDescent="0.35">
      <c r="A7628">
        <v>1975</v>
      </c>
      <c r="B7628" s="1">
        <v>45842</v>
      </c>
      <c r="C7628" s="2">
        <v>0.75</v>
      </c>
      <c r="D7628">
        <v>3</v>
      </c>
      <c r="E7628">
        <v>21.6</v>
      </c>
      <c r="F7628">
        <v>47</v>
      </c>
    </row>
    <row r="7629" spans="1:6" x14ac:dyDescent="0.35">
      <c r="A7629">
        <v>1975</v>
      </c>
      <c r="B7629" s="1">
        <v>45842</v>
      </c>
      <c r="C7629" s="2">
        <v>0.79166666666666663</v>
      </c>
      <c r="D7629">
        <v>3</v>
      </c>
      <c r="E7629">
        <v>19.399999999999999</v>
      </c>
      <c r="F7629">
        <v>68</v>
      </c>
    </row>
    <row r="7630" spans="1:6" x14ac:dyDescent="0.35">
      <c r="A7630">
        <v>1975</v>
      </c>
      <c r="B7630" s="1">
        <v>45842</v>
      </c>
      <c r="C7630" s="2">
        <v>0.83333333333333337</v>
      </c>
      <c r="D7630">
        <v>3</v>
      </c>
      <c r="E7630">
        <v>17.899999999999999</v>
      </c>
      <c r="F7630">
        <v>74</v>
      </c>
    </row>
    <row r="7631" spans="1:6" x14ac:dyDescent="0.35">
      <c r="A7631">
        <v>1975</v>
      </c>
      <c r="B7631" s="1">
        <v>45842</v>
      </c>
      <c r="C7631" s="2">
        <v>0.875</v>
      </c>
      <c r="D7631">
        <v>3</v>
      </c>
      <c r="E7631">
        <v>15.3</v>
      </c>
      <c r="F7631">
        <v>88</v>
      </c>
    </row>
    <row r="7632" spans="1:6" x14ac:dyDescent="0.35">
      <c r="A7632">
        <v>1975</v>
      </c>
      <c r="B7632" s="1">
        <v>45842</v>
      </c>
      <c r="C7632" s="2">
        <v>0.91666666666666663</v>
      </c>
      <c r="D7632">
        <v>3</v>
      </c>
      <c r="E7632">
        <v>14.5</v>
      </c>
      <c r="F7632">
        <v>90</v>
      </c>
    </row>
    <row r="7633" spans="1:6" x14ac:dyDescent="0.35">
      <c r="A7633">
        <v>1975</v>
      </c>
      <c r="B7633" s="1">
        <v>45842</v>
      </c>
      <c r="C7633" s="2">
        <v>0.95833333333333337</v>
      </c>
      <c r="D7633">
        <v>3</v>
      </c>
      <c r="E7633">
        <v>13.9</v>
      </c>
      <c r="F7633">
        <v>96</v>
      </c>
    </row>
    <row r="7634" spans="1:6" x14ac:dyDescent="0.35">
      <c r="A7634">
        <v>1975</v>
      </c>
      <c r="B7634" s="1">
        <v>45843</v>
      </c>
      <c r="C7634" s="2">
        <v>0</v>
      </c>
      <c r="D7634">
        <v>3</v>
      </c>
      <c r="E7634">
        <v>15.9</v>
      </c>
      <c r="F7634">
        <v>83</v>
      </c>
    </row>
    <row r="7635" spans="1:6" x14ac:dyDescent="0.35">
      <c r="A7635">
        <v>1975</v>
      </c>
      <c r="B7635" s="1">
        <v>45843</v>
      </c>
      <c r="C7635" s="2">
        <v>4.1666666666666657E-2</v>
      </c>
      <c r="D7635">
        <v>3</v>
      </c>
      <c r="E7635">
        <v>16.2</v>
      </c>
      <c r="F7635">
        <v>72</v>
      </c>
    </row>
    <row r="7636" spans="1:6" x14ac:dyDescent="0.35">
      <c r="A7636">
        <v>1975</v>
      </c>
      <c r="B7636" s="1">
        <v>45843</v>
      </c>
      <c r="C7636" s="2">
        <v>8.3333333333333329E-2</v>
      </c>
      <c r="D7636">
        <v>3</v>
      </c>
      <c r="E7636">
        <v>16.600000000000001</v>
      </c>
      <c r="F7636">
        <v>66</v>
      </c>
    </row>
    <row r="7637" spans="1:6" x14ac:dyDescent="0.35">
      <c r="A7637">
        <v>1975</v>
      </c>
      <c r="B7637" s="1">
        <v>45843</v>
      </c>
      <c r="C7637" s="2">
        <v>0.125</v>
      </c>
      <c r="D7637">
        <v>3</v>
      </c>
      <c r="E7637">
        <v>15.5</v>
      </c>
      <c r="F7637">
        <v>72</v>
      </c>
    </row>
    <row r="7638" spans="1:6" x14ac:dyDescent="0.35">
      <c r="A7638">
        <v>1975</v>
      </c>
      <c r="B7638" s="1">
        <v>45843</v>
      </c>
      <c r="C7638" s="2">
        <v>0.16666666666666671</v>
      </c>
      <c r="D7638">
        <v>3</v>
      </c>
      <c r="E7638">
        <v>17.2</v>
      </c>
      <c r="F7638">
        <v>61</v>
      </c>
    </row>
    <row r="7639" spans="1:6" x14ac:dyDescent="0.35">
      <c r="A7639">
        <v>1975</v>
      </c>
      <c r="B7639" s="1">
        <v>45843</v>
      </c>
      <c r="C7639" s="2">
        <v>0.20833333333333329</v>
      </c>
      <c r="D7639">
        <v>3</v>
      </c>
      <c r="E7639">
        <v>18.100000000000001</v>
      </c>
      <c r="F7639">
        <v>57</v>
      </c>
    </row>
    <row r="7640" spans="1:6" x14ac:dyDescent="0.35">
      <c r="A7640">
        <v>1975</v>
      </c>
      <c r="B7640" s="1">
        <v>45843</v>
      </c>
      <c r="C7640" s="2">
        <v>0.25</v>
      </c>
      <c r="D7640">
        <v>3</v>
      </c>
      <c r="E7640">
        <v>17.8</v>
      </c>
      <c r="F7640">
        <v>58</v>
      </c>
    </row>
    <row r="7641" spans="1:6" x14ac:dyDescent="0.35">
      <c r="A7641">
        <v>1975</v>
      </c>
      <c r="B7641" s="1">
        <v>45843</v>
      </c>
      <c r="C7641" s="2">
        <v>0.29166666666666669</v>
      </c>
      <c r="D7641">
        <v>3</v>
      </c>
      <c r="E7641">
        <v>17.5</v>
      </c>
      <c r="F7641">
        <v>61</v>
      </c>
    </row>
    <row r="7642" spans="1:6" x14ac:dyDescent="0.35">
      <c r="A7642">
        <v>1975</v>
      </c>
      <c r="B7642" s="1">
        <v>45843</v>
      </c>
      <c r="C7642" s="2">
        <v>0.33333333333333331</v>
      </c>
      <c r="D7642">
        <v>3</v>
      </c>
      <c r="E7642">
        <v>18.8</v>
      </c>
      <c r="F7642">
        <v>60</v>
      </c>
    </row>
    <row r="7643" spans="1:6" x14ac:dyDescent="0.35">
      <c r="A7643">
        <v>1975</v>
      </c>
      <c r="B7643" s="1">
        <v>45843</v>
      </c>
      <c r="C7643" s="2">
        <v>0.375</v>
      </c>
      <c r="D7643">
        <v>3</v>
      </c>
      <c r="E7643">
        <v>20.3</v>
      </c>
      <c r="F7643">
        <v>55</v>
      </c>
    </row>
    <row r="7644" spans="1:6" x14ac:dyDescent="0.35">
      <c r="A7644">
        <v>1975</v>
      </c>
      <c r="B7644" s="1">
        <v>45843</v>
      </c>
      <c r="C7644" s="2">
        <v>0.41666666666666669</v>
      </c>
      <c r="D7644">
        <v>3</v>
      </c>
      <c r="E7644">
        <v>20</v>
      </c>
      <c r="F7644">
        <v>55</v>
      </c>
    </row>
    <row r="7645" spans="1:6" x14ac:dyDescent="0.35">
      <c r="A7645">
        <v>1975</v>
      </c>
      <c r="B7645" s="1">
        <v>45843</v>
      </c>
      <c r="C7645" s="2">
        <v>0.45833333333333331</v>
      </c>
      <c r="D7645">
        <v>3</v>
      </c>
      <c r="E7645">
        <v>20.5</v>
      </c>
      <c r="F7645">
        <v>53</v>
      </c>
    </row>
    <row r="7646" spans="1:6" x14ac:dyDescent="0.35">
      <c r="A7646">
        <v>1975</v>
      </c>
      <c r="B7646" s="1">
        <v>45843</v>
      </c>
      <c r="C7646" s="2">
        <v>0.5</v>
      </c>
      <c r="D7646">
        <v>3</v>
      </c>
      <c r="E7646">
        <v>20</v>
      </c>
      <c r="F7646">
        <v>55</v>
      </c>
    </row>
    <row r="7647" spans="1:6" x14ac:dyDescent="0.35">
      <c r="A7647">
        <v>1975</v>
      </c>
      <c r="B7647" s="1">
        <v>45843</v>
      </c>
      <c r="C7647" s="2">
        <v>0.54166666666666663</v>
      </c>
      <c r="D7647">
        <v>3</v>
      </c>
      <c r="E7647">
        <v>21.2</v>
      </c>
      <c r="F7647">
        <v>52</v>
      </c>
    </row>
    <row r="7648" spans="1:6" x14ac:dyDescent="0.35">
      <c r="A7648">
        <v>1975</v>
      </c>
      <c r="B7648" s="1">
        <v>45843</v>
      </c>
      <c r="C7648" s="2">
        <v>0.58333333333333337</v>
      </c>
      <c r="D7648">
        <v>3</v>
      </c>
      <c r="E7648">
        <v>21.9</v>
      </c>
      <c r="F7648">
        <v>52</v>
      </c>
    </row>
    <row r="7649" spans="1:6" x14ac:dyDescent="0.35">
      <c r="A7649">
        <v>1975</v>
      </c>
      <c r="B7649" s="1">
        <v>45843</v>
      </c>
      <c r="C7649" s="2">
        <v>0.625</v>
      </c>
      <c r="D7649">
        <v>3</v>
      </c>
      <c r="E7649">
        <v>20.2</v>
      </c>
      <c r="F7649">
        <v>63</v>
      </c>
    </row>
    <row r="7650" spans="1:6" x14ac:dyDescent="0.35">
      <c r="A7650">
        <v>1975</v>
      </c>
      <c r="B7650" s="1">
        <v>45843</v>
      </c>
      <c r="C7650" s="2">
        <v>0.66666666666666663</v>
      </c>
      <c r="D7650">
        <v>3</v>
      </c>
      <c r="E7650">
        <v>20.3</v>
      </c>
      <c r="F7650">
        <v>66</v>
      </c>
    </row>
    <row r="7651" spans="1:6" x14ac:dyDescent="0.35">
      <c r="A7651">
        <v>1975</v>
      </c>
      <c r="B7651" s="1">
        <v>45843</v>
      </c>
      <c r="C7651" s="2">
        <v>0.70833333333333337</v>
      </c>
      <c r="D7651">
        <v>3</v>
      </c>
      <c r="E7651">
        <v>20.2</v>
      </c>
      <c r="F7651">
        <v>67</v>
      </c>
    </row>
    <row r="7652" spans="1:6" x14ac:dyDescent="0.35">
      <c r="A7652">
        <v>1975</v>
      </c>
      <c r="B7652" s="1">
        <v>45843</v>
      </c>
      <c r="C7652" s="2">
        <v>0.75</v>
      </c>
      <c r="D7652">
        <v>3</v>
      </c>
      <c r="E7652">
        <v>19.7</v>
      </c>
      <c r="F7652">
        <v>71</v>
      </c>
    </row>
    <row r="7653" spans="1:6" x14ac:dyDescent="0.35">
      <c r="A7653">
        <v>1975</v>
      </c>
      <c r="B7653" s="1">
        <v>45843</v>
      </c>
      <c r="C7653" s="2">
        <v>0.79166666666666663</v>
      </c>
      <c r="D7653">
        <v>3</v>
      </c>
      <c r="E7653">
        <v>19.5</v>
      </c>
      <c r="F7653">
        <v>71</v>
      </c>
    </row>
    <row r="7654" spans="1:6" x14ac:dyDescent="0.35">
      <c r="A7654">
        <v>1975</v>
      </c>
      <c r="B7654" s="1">
        <v>45843</v>
      </c>
      <c r="C7654" s="2">
        <v>0.83333333333333337</v>
      </c>
      <c r="D7654">
        <v>3</v>
      </c>
      <c r="E7654">
        <v>19.2</v>
      </c>
      <c r="F7654">
        <v>74</v>
      </c>
    </row>
    <row r="7655" spans="1:6" x14ac:dyDescent="0.35">
      <c r="A7655">
        <v>1975</v>
      </c>
      <c r="B7655" s="1">
        <v>45843</v>
      </c>
      <c r="C7655" s="2">
        <v>0.875</v>
      </c>
      <c r="D7655">
        <v>3</v>
      </c>
      <c r="E7655">
        <v>18.600000000000001</v>
      </c>
      <c r="F7655">
        <v>77</v>
      </c>
    </row>
    <row r="7656" spans="1:6" x14ac:dyDescent="0.35">
      <c r="A7656">
        <v>1975</v>
      </c>
      <c r="B7656" s="1">
        <v>45843</v>
      </c>
      <c r="C7656" s="2">
        <v>0.91666666666666663</v>
      </c>
      <c r="D7656">
        <v>3</v>
      </c>
      <c r="E7656">
        <v>18.100000000000001</v>
      </c>
      <c r="F7656">
        <v>82</v>
      </c>
    </row>
    <row r="7657" spans="1:6" x14ac:dyDescent="0.35">
      <c r="A7657">
        <v>1975</v>
      </c>
      <c r="B7657" s="1">
        <v>45843</v>
      </c>
      <c r="C7657" s="2">
        <v>0.95833333333333337</v>
      </c>
      <c r="D7657">
        <v>3</v>
      </c>
      <c r="E7657">
        <v>17.5</v>
      </c>
      <c r="F7657">
        <v>86</v>
      </c>
    </row>
    <row r="7658" spans="1:6" x14ac:dyDescent="0.35">
      <c r="A7658">
        <v>1975</v>
      </c>
      <c r="B7658" s="1">
        <v>45844</v>
      </c>
      <c r="C7658" s="2">
        <v>0</v>
      </c>
      <c r="D7658">
        <v>3</v>
      </c>
      <c r="E7658">
        <v>18.399999999999999</v>
      </c>
      <c r="F7658">
        <v>79</v>
      </c>
    </row>
    <row r="7659" spans="1:6" x14ac:dyDescent="0.35">
      <c r="A7659">
        <v>1975</v>
      </c>
      <c r="B7659" s="1">
        <v>45844</v>
      </c>
      <c r="C7659" s="2">
        <v>4.1666666666666657E-2</v>
      </c>
      <c r="D7659">
        <v>3</v>
      </c>
      <c r="E7659">
        <v>18.2</v>
      </c>
      <c r="F7659">
        <v>81</v>
      </c>
    </row>
    <row r="7660" spans="1:6" x14ac:dyDescent="0.35">
      <c r="A7660">
        <v>1975</v>
      </c>
      <c r="B7660" s="1">
        <v>45844</v>
      </c>
      <c r="C7660" s="2">
        <v>8.3333333333333329E-2</v>
      </c>
      <c r="D7660">
        <v>3</v>
      </c>
      <c r="E7660">
        <v>16.399999999999999</v>
      </c>
      <c r="F7660">
        <v>98</v>
      </c>
    </row>
    <row r="7661" spans="1:6" x14ac:dyDescent="0.35">
      <c r="A7661">
        <v>1975</v>
      </c>
      <c r="B7661" s="1">
        <v>45844</v>
      </c>
      <c r="C7661" s="2">
        <v>0.125</v>
      </c>
      <c r="D7661">
        <v>3</v>
      </c>
      <c r="E7661">
        <v>16.5</v>
      </c>
      <c r="F7661">
        <v>96</v>
      </c>
    </row>
    <row r="7662" spans="1:6" x14ac:dyDescent="0.35">
      <c r="A7662">
        <v>1975</v>
      </c>
      <c r="B7662" s="1">
        <v>45844</v>
      </c>
      <c r="C7662" s="2">
        <v>0.16666666666666671</v>
      </c>
      <c r="D7662">
        <v>3</v>
      </c>
      <c r="E7662">
        <v>16</v>
      </c>
      <c r="F7662">
        <v>98</v>
      </c>
    </row>
    <row r="7663" spans="1:6" x14ac:dyDescent="0.35">
      <c r="A7663">
        <v>1975</v>
      </c>
      <c r="B7663" s="1">
        <v>45844</v>
      </c>
      <c r="C7663" s="2">
        <v>0.20833333333333329</v>
      </c>
      <c r="D7663">
        <v>3</v>
      </c>
      <c r="E7663">
        <v>16.3</v>
      </c>
      <c r="F7663">
        <v>98</v>
      </c>
    </row>
    <row r="7664" spans="1:6" x14ac:dyDescent="0.35">
      <c r="A7664">
        <v>1975</v>
      </c>
      <c r="B7664" s="1">
        <v>45844</v>
      </c>
      <c r="C7664" s="2">
        <v>0.25</v>
      </c>
      <c r="D7664">
        <v>3</v>
      </c>
      <c r="E7664">
        <v>16.5</v>
      </c>
      <c r="F7664">
        <v>98</v>
      </c>
    </row>
    <row r="7665" spans="1:6" x14ac:dyDescent="0.35">
      <c r="A7665">
        <v>1975</v>
      </c>
      <c r="B7665" s="1">
        <v>45844</v>
      </c>
      <c r="C7665" s="2">
        <v>0.29166666666666669</v>
      </c>
      <c r="D7665">
        <v>3</v>
      </c>
      <c r="E7665">
        <v>16.899999999999999</v>
      </c>
      <c r="F7665">
        <v>96</v>
      </c>
    </row>
    <row r="7666" spans="1:6" x14ac:dyDescent="0.35">
      <c r="A7666">
        <v>1975</v>
      </c>
      <c r="B7666" s="1">
        <v>45844</v>
      </c>
      <c r="C7666" s="2">
        <v>0.33333333333333331</v>
      </c>
      <c r="D7666">
        <v>3</v>
      </c>
      <c r="E7666">
        <v>17.5</v>
      </c>
      <c r="F7666">
        <v>93</v>
      </c>
    </row>
    <row r="7667" spans="1:6" x14ac:dyDescent="0.35">
      <c r="A7667">
        <v>1975</v>
      </c>
      <c r="B7667" s="1">
        <v>45844</v>
      </c>
      <c r="C7667" s="2">
        <v>0.375</v>
      </c>
      <c r="D7667">
        <v>3</v>
      </c>
      <c r="E7667">
        <v>18.899999999999999</v>
      </c>
      <c r="F7667">
        <v>83</v>
      </c>
    </row>
    <row r="7668" spans="1:6" x14ac:dyDescent="0.35">
      <c r="A7668">
        <v>1975</v>
      </c>
      <c r="B7668" s="1">
        <v>45844</v>
      </c>
      <c r="C7668" s="2">
        <v>0.41666666666666669</v>
      </c>
      <c r="D7668">
        <v>3</v>
      </c>
      <c r="E7668">
        <v>20.6</v>
      </c>
      <c r="F7668">
        <v>74</v>
      </c>
    </row>
    <row r="7669" spans="1:6" x14ac:dyDescent="0.35">
      <c r="A7669">
        <v>1975</v>
      </c>
      <c r="B7669" s="1">
        <v>45844</v>
      </c>
      <c r="C7669" s="2">
        <v>0.45833333333333331</v>
      </c>
      <c r="D7669">
        <v>3</v>
      </c>
      <c r="E7669">
        <v>22.6</v>
      </c>
      <c r="F7669">
        <v>69</v>
      </c>
    </row>
    <row r="7670" spans="1:6" x14ac:dyDescent="0.35">
      <c r="A7670">
        <v>1975</v>
      </c>
      <c r="B7670" s="1">
        <v>45844</v>
      </c>
      <c r="C7670" s="2">
        <v>0.5</v>
      </c>
      <c r="D7670">
        <v>3</v>
      </c>
      <c r="E7670">
        <v>23.1</v>
      </c>
      <c r="F7670">
        <v>62</v>
      </c>
    </row>
    <row r="7671" spans="1:6" x14ac:dyDescent="0.35">
      <c r="A7671">
        <v>1975</v>
      </c>
      <c r="B7671" s="1">
        <v>45844</v>
      </c>
      <c r="C7671" s="2">
        <v>0.54166666666666663</v>
      </c>
      <c r="D7671">
        <v>3</v>
      </c>
      <c r="E7671">
        <v>24.3</v>
      </c>
      <c r="F7671">
        <v>58</v>
      </c>
    </row>
    <row r="7672" spans="1:6" x14ac:dyDescent="0.35">
      <c r="A7672">
        <v>1975</v>
      </c>
      <c r="B7672" s="1">
        <v>45844</v>
      </c>
      <c r="C7672" s="2">
        <v>0.58333333333333337</v>
      </c>
      <c r="D7672">
        <v>3</v>
      </c>
      <c r="E7672">
        <v>23.2</v>
      </c>
      <c r="F7672">
        <v>59</v>
      </c>
    </row>
    <row r="7673" spans="1:6" x14ac:dyDescent="0.35">
      <c r="A7673">
        <v>1975</v>
      </c>
      <c r="B7673" s="1">
        <v>45844</v>
      </c>
      <c r="C7673" s="2">
        <v>0.625</v>
      </c>
      <c r="D7673">
        <v>3</v>
      </c>
      <c r="E7673">
        <v>20</v>
      </c>
      <c r="F7673">
        <v>78</v>
      </c>
    </row>
    <row r="7674" spans="1:6" x14ac:dyDescent="0.35">
      <c r="A7674">
        <v>1975</v>
      </c>
      <c r="B7674" s="1">
        <v>45844</v>
      </c>
      <c r="C7674" s="2">
        <v>0.66666666666666663</v>
      </c>
      <c r="D7674">
        <v>3</v>
      </c>
      <c r="E7674">
        <v>21.8</v>
      </c>
      <c r="F7674">
        <v>65</v>
      </c>
    </row>
    <row r="7675" spans="1:6" x14ac:dyDescent="0.35">
      <c r="A7675">
        <v>1975</v>
      </c>
      <c r="B7675" s="1">
        <v>45844</v>
      </c>
      <c r="C7675" s="2">
        <v>0.70833333333333337</v>
      </c>
      <c r="D7675">
        <v>3</v>
      </c>
      <c r="E7675">
        <v>21.1</v>
      </c>
      <c r="F7675">
        <v>70</v>
      </c>
    </row>
    <row r="7676" spans="1:6" x14ac:dyDescent="0.35">
      <c r="A7676">
        <v>1975</v>
      </c>
      <c r="B7676" s="1">
        <v>45844</v>
      </c>
      <c r="C7676" s="2">
        <v>0.75</v>
      </c>
      <c r="D7676">
        <v>3</v>
      </c>
      <c r="E7676">
        <v>17.8</v>
      </c>
      <c r="F7676">
        <v>91</v>
      </c>
    </row>
    <row r="7677" spans="1:6" x14ac:dyDescent="0.35">
      <c r="A7677">
        <v>1975</v>
      </c>
      <c r="B7677" s="1">
        <v>45844</v>
      </c>
      <c r="C7677" s="2">
        <v>0.79166666666666663</v>
      </c>
      <c r="D7677">
        <v>3</v>
      </c>
      <c r="E7677">
        <v>17.3</v>
      </c>
      <c r="F7677">
        <v>96</v>
      </c>
    </row>
    <row r="7678" spans="1:6" x14ac:dyDescent="0.35">
      <c r="A7678">
        <v>1975</v>
      </c>
      <c r="B7678" s="1">
        <v>45844</v>
      </c>
      <c r="C7678" s="2">
        <v>0.83333333333333337</v>
      </c>
      <c r="D7678">
        <v>3</v>
      </c>
      <c r="E7678">
        <v>16.5</v>
      </c>
      <c r="F7678">
        <v>96</v>
      </c>
    </row>
    <row r="7679" spans="1:6" x14ac:dyDescent="0.35">
      <c r="A7679">
        <v>1975</v>
      </c>
      <c r="B7679" s="1">
        <v>45844</v>
      </c>
      <c r="C7679" s="2">
        <v>0.875</v>
      </c>
      <c r="D7679">
        <v>3</v>
      </c>
      <c r="E7679">
        <v>16.2</v>
      </c>
      <c r="F7679">
        <v>99</v>
      </c>
    </row>
    <row r="7680" spans="1:6" x14ac:dyDescent="0.35">
      <c r="A7680">
        <v>1975</v>
      </c>
      <c r="B7680" s="1">
        <v>45844</v>
      </c>
      <c r="C7680" s="2">
        <v>0.91666666666666663</v>
      </c>
      <c r="D7680">
        <v>3</v>
      </c>
      <c r="E7680">
        <v>15.4</v>
      </c>
      <c r="F7680">
        <v>94</v>
      </c>
    </row>
    <row r="7681" spans="1:6" x14ac:dyDescent="0.35">
      <c r="A7681">
        <v>1975</v>
      </c>
      <c r="B7681" s="1">
        <v>45844</v>
      </c>
      <c r="C7681" s="2">
        <v>0.95833333333333337</v>
      </c>
      <c r="D7681">
        <v>3</v>
      </c>
      <c r="E7681">
        <v>15.2</v>
      </c>
      <c r="F7681">
        <v>98</v>
      </c>
    </row>
    <row r="7682" spans="1:6" x14ac:dyDescent="0.35">
      <c r="A7682">
        <v>1975</v>
      </c>
      <c r="B7682" s="1">
        <v>45845</v>
      </c>
      <c r="C7682" s="2">
        <v>0</v>
      </c>
      <c r="D7682">
        <v>3</v>
      </c>
      <c r="E7682">
        <v>14.6</v>
      </c>
      <c r="F7682">
        <v>97</v>
      </c>
    </row>
    <row r="7683" spans="1:6" x14ac:dyDescent="0.35">
      <c r="A7683">
        <v>1975</v>
      </c>
      <c r="B7683" s="1">
        <v>45845</v>
      </c>
      <c r="C7683" s="2">
        <v>4.1666666666666657E-2</v>
      </c>
      <c r="D7683">
        <v>3</v>
      </c>
      <c r="E7683">
        <v>14.4</v>
      </c>
      <c r="F7683">
        <v>98</v>
      </c>
    </row>
    <row r="7684" spans="1:6" x14ac:dyDescent="0.35">
      <c r="A7684">
        <v>1975</v>
      </c>
      <c r="B7684" s="1">
        <v>45845</v>
      </c>
      <c r="C7684" s="2">
        <v>8.3333333333333329E-2</v>
      </c>
      <c r="D7684">
        <v>3</v>
      </c>
      <c r="E7684">
        <v>14.6</v>
      </c>
      <c r="F7684">
        <v>99</v>
      </c>
    </row>
    <row r="7685" spans="1:6" x14ac:dyDescent="0.35">
      <c r="A7685">
        <v>1975</v>
      </c>
      <c r="B7685" s="1">
        <v>45845</v>
      </c>
      <c r="C7685" s="2">
        <v>0.125</v>
      </c>
      <c r="D7685">
        <v>3</v>
      </c>
      <c r="E7685">
        <v>14.2</v>
      </c>
      <c r="F7685">
        <v>98</v>
      </c>
    </row>
    <row r="7686" spans="1:6" x14ac:dyDescent="0.35">
      <c r="A7686">
        <v>1975</v>
      </c>
      <c r="B7686" s="1">
        <v>45845</v>
      </c>
      <c r="C7686" s="2">
        <v>0.16666666666666671</v>
      </c>
      <c r="D7686">
        <v>3</v>
      </c>
      <c r="E7686">
        <v>14.1</v>
      </c>
      <c r="F7686">
        <v>99</v>
      </c>
    </row>
    <row r="7687" spans="1:6" x14ac:dyDescent="0.35">
      <c r="A7687">
        <v>1975</v>
      </c>
      <c r="B7687" s="1">
        <v>45845</v>
      </c>
      <c r="C7687" s="2">
        <v>0.20833333333333329</v>
      </c>
      <c r="D7687">
        <v>3</v>
      </c>
      <c r="E7687">
        <v>14.3</v>
      </c>
      <c r="F7687">
        <v>98</v>
      </c>
    </row>
    <row r="7688" spans="1:6" x14ac:dyDescent="0.35">
      <c r="A7688">
        <v>1975</v>
      </c>
      <c r="B7688" s="1">
        <v>45845</v>
      </c>
      <c r="C7688" s="2">
        <v>0.25</v>
      </c>
      <c r="D7688">
        <v>3</v>
      </c>
      <c r="E7688">
        <v>15.6</v>
      </c>
      <c r="F7688">
        <v>91</v>
      </c>
    </row>
    <row r="7689" spans="1:6" x14ac:dyDescent="0.35">
      <c r="A7689">
        <v>1975</v>
      </c>
      <c r="B7689" s="1">
        <v>45845</v>
      </c>
      <c r="C7689" s="2">
        <v>0.29166666666666669</v>
      </c>
      <c r="D7689">
        <v>3</v>
      </c>
      <c r="E7689">
        <v>16.100000000000001</v>
      </c>
      <c r="F7689">
        <v>89</v>
      </c>
    </row>
    <row r="7690" spans="1:6" x14ac:dyDescent="0.35">
      <c r="A7690">
        <v>1975</v>
      </c>
      <c r="B7690" s="1">
        <v>45845</v>
      </c>
      <c r="C7690" s="2">
        <v>0.33333333333333331</v>
      </c>
      <c r="D7690">
        <v>3</v>
      </c>
      <c r="E7690">
        <v>16.899999999999999</v>
      </c>
      <c r="F7690">
        <v>79</v>
      </c>
    </row>
    <row r="7691" spans="1:6" x14ac:dyDescent="0.35">
      <c r="A7691">
        <v>1975</v>
      </c>
      <c r="B7691" s="1">
        <v>45845</v>
      </c>
      <c r="C7691" s="2">
        <v>0.375</v>
      </c>
      <c r="D7691">
        <v>3</v>
      </c>
      <c r="E7691">
        <v>17.899999999999999</v>
      </c>
      <c r="F7691">
        <v>76</v>
      </c>
    </row>
    <row r="7692" spans="1:6" x14ac:dyDescent="0.35">
      <c r="A7692">
        <v>1975</v>
      </c>
      <c r="B7692" s="1">
        <v>45845</v>
      </c>
      <c r="C7692" s="2">
        <v>0.41666666666666669</v>
      </c>
      <c r="D7692">
        <v>3</v>
      </c>
      <c r="E7692">
        <v>18.5</v>
      </c>
      <c r="F7692">
        <v>72</v>
      </c>
    </row>
    <row r="7693" spans="1:6" x14ac:dyDescent="0.35">
      <c r="A7693">
        <v>1975</v>
      </c>
      <c r="B7693" s="1">
        <v>45845</v>
      </c>
      <c r="C7693" s="2">
        <v>0.45833333333333331</v>
      </c>
      <c r="D7693">
        <v>3</v>
      </c>
      <c r="E7693">
        <v>18.899999999999999</v>
      </c>
      <c r="F7693">
        <v>70</v>
      </c>
    </row>
    <row r="7694" spans="1:6" x14ac:dyDescent="0.35">
      <c r="A7694">
        <v>1975</v>
      </c>
      <c r="B7694" s="1">
        <v>45845</v>
      </c>
      <c r="C7694" s="2">
        <v>0.5</v>
      </c>
      <c r="D7694">
        <v>3</v>
      </c>
      <c r="E7694">
        <v>19.600000000000001</v>
      </c>
      <c r="F7694">
        <v>64</v>
      </c>
    </row>
    <row r="7695" spans="1:6" x14ac:dyDescent="0.35">
      <c r="A7695">
        <v>1975</v>
      </c>
      <c r="B7695" s="1">
        <v>45845</v>
      </c>
      <c r="C7695" s="2">
        <v>0.54166666666666663</v>
      </c>
      <c r="D7695">
        <v>3</v>
      </c>
      <c r="E7695">
        <v>15</v>
      </c>
      <c r="F7695">
        <v>95</v>
      </c>
    </row>
    <row r="7696" spans="1:6" x14ac:dyDescent="0.35">
      <c r="A7696">
        <v>1975</v>
      </c>
      <c r="B7696" s="1">
        <v>45845</v>
      </c>
      <c r="C7696" s="2">
        <v>0.58333333333333337</v>
      </c>
      <c r="D7696">
        <v>3</v>
      </c>
      <c r="E7696">
        <v>15.9</v>
      </c>
      <c r="F7696">
        <v>92</v>
      </c>
    </row>
    <row r="7697" spans="1:6" x14ac:dyDescent="0.35">
      <c r="A7697">
        <v>1975</v>
      </c>
      <c r="B7697" s="1">
        <v>45845</v>
      </c>
      <c r="C7697" s="2">
        <v>0.625</v>
      </c>
      <c r="D7697">
        <v>3</v>
      </c>
      <c r="E7697">
        <v>16.3</v>
      </c>
      <c r="F7697">
        <v>87</v>
      </c>
    </row>
    <row r="7698" spans="1:6" x14ac:dyDescent="0.35">
      <c r="A7698">
        <v>1975</v>
      </c>
      <c r="B7698" s="1">
        <v>45845</v>
      </c>
      <c r="C7698" s="2">
        <v>0.66666666666666663</v>
      </c>
      <c r="D7698">
        <v>3</v>
      </c>
      <c r="E7698">
        <v>15.7</v>
      </c>
      <c r="F7698">
        <v>91</v>
      </c>
    </row>
    <row r="7699" spans="1:6" x14ac:dyDescent="0.35">
      <c r="A7699">
        <v>1975</v>
      </c>
      <c r="B7699" s="1">
        <v>45845</v>
      </c>
      <c r="C7699" s="2">
        <v>0.70833333333333337</v>
      </c>
      <c r="D7699">
        <v>3</v>
      </c>
      <c r="E7699">
        <v>15.8</v>
      </c>
      <c r="F7699">
        <v>95</v>
      </c>
    </row>
    <row r="7700" spans="1:6" x14ac:dyDescent="0.35">
      <c r="A7700">
        <v>1975</v>
      </c>
      <c r="B7700" s="1">
        <v>45845</v>
      </c>
      <c r="C7700" s="2">
        <v>0.75</v>
      </c>
      <c r="D7700">
        <v>3</v>
      </c>
      <c r="E7700">
        <v>15.9</v>
      </c>
      <c r="F7700">
        <v>88</v>
      </c>
    </row>
    <row r="7701" spans="1:6" x14ac:dyDescent="0.35">
      <c r="A7701">
        <v>1975</v>
      </c>
      <c r="B7701" s="1">
        <v>45845</v>
      </c>
      <c r="C7701" s="2">
        <v>0.79166666666666663</v>
      </c>
      <c r="D7701">
        <v>3</v>
      </c>
      <c r="E7701">
        <v>15.9</v>
      </c>
      <c r="F7701">
        <v>83</v>
      </c>
    </row>
    <row r="7702" spans="1:6" x14ac:dyDescent="0.35">
      <c r="A7702">
        <v>1975</v>
      </c>
      <c r="B7702" s="1">
        <v>45845</v>
      </c>
      <c r="C7702" s="2">
        <v>0.83333333333333337</v>
      </c>
      <c r="D7702">
        <v>3</v>
      </c>
      <c r="E7702">
        <v>14.7</v>
      </c>
      <c r="F7702">
        <v>84</v>
      </c>
    </row>
    <row r="7703" spans="1:6" x14ac:dyDescent="0.35">
      <c r="A7703">
        <v>1975</v>
      </c>
      <c r="B7703" s="1">
        <v>45845</v>
      </c>
      <c r="C7703" s="2">
        <v>0.875</v>
      </c>
      <c r="D7703">
        <v>3</v>
      </c>
      <c r="E7703">
        <v>13.8</v>
      </c>
      <c r="F7703">
        <v>90</v>
      </c>
    </row>
    <row r="7704" spans="1:6" x14ac:dyDescent="0.35">
      <c r="A7704">
        <v>1975</v>
      </c>
      <c r="B7704" s="1">
        <v>45845</v>
      </c>
      <c r="C7704" s="2">
        <v>0.91666666666666663</v>
      </c>
      <c r="D7704">
        <v>3</v>
      </c>
      <c r="E7704">
        <v>13.9</v>
      </c>
      <c r="F7704">
        <v>87</v>
      </c>
    </row>
    <row r="7705" spans="1:6" x14ac:dyDescent="0.35">
      <c r="A7705">
        <v>1975</v>
      </c>
      <c r="B7705" s="1">
        <v>45845</v>
      </c>
      <c r="C7705" s="2">
        <v>0.95833333333333337</v>
      </c>
      <c r="D7705">
        <v>3</v>
      </c>
      <c r="E7705">
        <v>13.3</v>
      </c>
      <c r="F7705">
        <v>95</v>
      </c>
    </row>
    <row r="7706" spans="1:6" x14ac:dyDescent="0.35">
      <c r="A7706">
        <v>1975</v>
      </c>
      <c r="B7706" s="1">
        <v>45846</v>
      </c>
      <c r="C7706" s="2">
        <v>0</v>
      </c>
      <c r="D7706">
        <v>3</v>
      </c>
      <c r="E7706">
        <v>12.8</v>
      </c>
      <c r="F7706">
        <v>96</v>
      </c>
    </row>
    <row r="7707" spans="1:6" x14ac:dyDescent="0.35">
      <c r="A7707">
        <v>1975</v>
      </c>
      <c r="B7707" s="1">
        <v>45846</v>
      </c>
      <c r="C7707" s="2">
        <v>4.1666666666666657E-2</v>
      </c>
      <c r="D7707">
        <v>3</v>
      </c>
      <c r="E7707">
        <v>12.3</v>
      </c>
      <c r="F7707">
        <v>96</v>
      </c>
    </row>
    <row r="7708" spans="1:6" x14ac:dyDescent="0.35">
      <c r="A7708">
        <v>1975</v>
      </c>
      <c r="B7708" s="1">
        <v>45846</v>
      </c>
      <c r="C7708" s="2">
        <v>8.3333333333333329E-2</v>
      </c>
      <c r="D7708">
        <v>3</v>
      </c>
      <c r="E7708">
        <v>12.6</v>
      </c>
      <c r="F7708">
        <v>95</v>
      </c>
    </row>
    <row r="7709" spans="1:6" x14ac:dyDescent="0.35">
      <c r="A7709">
        <v>1975</v>
      </c>
      <c r="B7709" s="1">
        <v>45846</v>
      </c>
      <c r="C7709" s="2">
        <v>0.125</v>
      </c>
      <c r="D7709">
        <v>3</v>
      </c>
      <c r="E7709">
        <v>12.1</v>
      </c>
      <c r="F7709">
        <v>97</v>
      </c>
    </row>
    <row r="7710" spans="1:6" x14ac:dyDescent="0.35">
      <c r="A7710">
        <v>1975</v>
      </c>
      <c r="B7710" s="1">
        <v>45846</v>
      </c>
      <c r="C7710" s="2">
        <v>0.16666666666666671</v>
      </c>
      <c r="D7710">
        <v>3</v>
      </c>
      <c r="E7710">
        <v>12.1</v>
      </c>
      <c r="F7710">
        <v>97</v>
      </c>
    </row>
    <row r="7711" spans="1:6" x14ac:dyDescent="0.35">
      <c r="A7711">
        <v>1975</v>
      </c>
      <c r="B7711" s="1">
        <v>45846</v>
      </c>
      <c r="C7711" s="2">
        <v>0.20833333333333329</v>
      </c>
      <c r="D7711">
        <v>3</v>
      </c>
      <c r="E7711">
        <v>12.9</v>
      </c>
      <c r="F7711">
        <v>93</v>
      </c>
    </row>
    <row r="7712" spans="1:6" x14ac:dyDescent="0.35">
      <c r="A7712">
        <v>1975</v>
      </c>
      <c r="B7712" s="1">
        <v>45846</v>
      </c>
      <c r="C7712" s="2">
        <v>0.25</v>
      </c>
      <c r="D7712">
        <v>3</v>
      </c>
      <c r="E7712">
        <v>13.5</v>
      </c>
      <c r="F7712">
        <v>93</v>
      </c>
    </row>
    <row r="7713" spans="1:6" x14ac:dyDescent="0.35">
      <c r="A7713">
        <v>1975</v>
      </c>
      <c r="B7713" s="1">
        <v>45846</v>
      </c>
      <c r="C7713" s="2">
        <v>0.29166666666666669</v>
      </c>
      <c r="D7713">
        <v>3</v>
      </c>
      <c r="E7713">
        <v>14.8</v>
      </c>
      <c r="F7713">
        <v>80</v>
      </c>
    </row>
    <row r="7714" spans="1:6" x14ac:dyDescent="0.35">
      <c r="A7714">
        <v>1975</v>
      </c>
      <c r="B7714" s="1">
        <v>45846</v>
      </c>
      <c r="C7714" s="2">
        <v>0.33333333333333331</v>
      </c>
      <c r="D7714">
        <v>3</v>
      </c>
      <c r="E7714">
        <v>14.8</v>
      </c>
      <c r="F7714">
        <v>82</v>
      </c>
    </row>
    <row r="7715" spans="1:6" x14ac:dyDescent="0.35">
      <c r="A7715">
        <v>1975</v>
      </c>
      <c r="B7715" s="1">
        <v>45846</v>
      </c>
      <c r="C7715" s="2">
        <v>0.375</v>
      </c>
      <c r="D7715">
        <v>3</v>
      </c>
      <c r="E7715">
        <v>16.2</v>
      </c>
      <c r="F7715">
        <v>74</v>
      </c>
    </row>
    <row r="7716" spans="1:6" x14ac:dyDescent="0.35">
      <c r="A7716">
        <v>1975</v>
      </c>
      <c r="B7716" s="1">
        <v>45846</v>
      </c>
      <c r="C7716" s="2">
        <v>0.41666666666666669</v>
      </c>
      <c r="D7716">
        <v>3</v>
      </c>
      <c r="E7716">
        <v>16.5</v>
      </c>
      <c r="F7716">
        <v>72</v>
      </c>
    </row>
    <row r="7717" spans="1:6" x14ac:dyDescent="0.35">
      <c r="A7717">
        <v>1975</v>
      </c>
      <c r="B7717" s="1">
        <v>45846</v>
      </c>
      <c r="C7717" s="2">
        <v>0.45833333333333331</v>
      </c>
      <c r="D7717">
        <v>3</v>
      </c>
      <c r="E7717">
        <v>17</v>
      </c>
      <c r="F7717">
        <v>71</v>
      </c>
    </row>
    <row r="7718" spans="1:6" x14ac:dyDescent="0.35">
      <c r="A7718">
        <v>1975</v>
      </c>
      <c r="B7718" s="1">
        <v>45846</v>
      </c>
      <c r="C7718" s="2">
        <v>0.5</v>
      </c>
      <c r="D7718">
        <v>3</v>
      </c>
      <c r="E7718">
        <v>16.600000000000001</v>
      </c>
      <c r="F7718">
        <v>79</v>
      </c>
    </row>
    <row r="7719" spans="1:6" x14ac:dyDescent="0.35">
      <c r="A7719">
        <v>1975</v>
      </c>
      <c r="B7719" s="1">
        <v>45846</v>
      </c>
      <c r="C7719" s="2">
        <v>0.54166666666666663</v>
      </c>
      <c r="D7719">
        <v>3</v>
      </c>
      <c r="E7719">
        <v>16.7</v>
      </c>
      <c r="F7719">
        <v>77</v>
      </c>
    </row>
    <row r="7720" spans="1:6" x14ac:dyDescent="0.35">
      <c r="A7720">
        <v>1975</v>
      </c>
      <c r="B7720" s="1">
        <v>45846</v>
      </c>
      <c r="C7720" s="2">
        <v>0.58333333333333337</v>
      </c>
      <c r="D7720">
        <v>3</v>
      </c>
      <c r="E7720">
        <v>16.5</v>
      </c>
      <c r="F7720">
        <v>83</v>
      </c>
    </row>
    <row r="7721" spans="1:6" x14ac:dyDescent="0.35">
      <c r="A7721">
        <v>1975</v>
      </c>
      <c r="B7721" s="1">
        <v>45846</v>
      </c>
      <c r="C7721" s="2">
        <v>0.625</v>
      </c>
      <c r="D7721">
        <v>3</v>
      </c>
      <c r="E7721">
        <v>18.100000000000001</v>
      </c>
      <c r="F7721">
        <v>78</v>
      </c>
    </row>
    <row r="7722" spans="1:6" x14ac:dyDescent="0.35">
      <c r="A7722">
        <v>1975</v>
      </c>
      <c r="B7722" s="1">
        <v>45846</v>
      </c>
      <c r="C7722" s="2">
        <v>0.66666666666666663</v>
      </c>
      <c r="D7722">
        <v>3</v>
      </c>
      <c r="E7722">
        <v>17.7</v>
      </c>
      <c r="F7722">
        <v>80</v>
      </c>
    </row>
    <row r="7723" spans="1:6" x14ac:dyDescent="0.35">
      <c r="A7723">
        <v>1975</v>
      </c>
      <c r="B7723" s="1">
        <v>45846</v>
      </c>
      <c r="C7723" s="2">
        <v>0.70833333333333337</v>
      </c>
      <c r="D7723">
        <v>3</v>
      </c>
      <c r="E7723">
        <v>17.399999999999999</v>
      </c>
      <c r="F7723">
        <v>77</v>
      </c>
    </row>
    <row r="7724" spans="1:6" x14ac:dyDescent="0.35">
      <c r="A7724">
        <v>1975</v>
      </c>
      <c r="B7724" s="1">
        <v>45846</v>
      </c>
      <c r="C7724" s="2">
        <v>0.75</v>
      </c>
      <c r="D7724">
        <v>3</v>
      </c>
      <c r="E7724">
        <v>17.2</v>
      </c>
      <c r="F7724">
        <v>78</v>
      </c>
    </row>
    <row r="7725" spans="1:6" x14ac:dyDescent="0.35">
      <c r="A7725">
        <v>1975</v>
      </c>
      <c r="B7725" s="1">
        <v>45846</v>
      </c>
      <c r="C7725" s="2">
        <v>0.79166666666666663</v>
      </c>
      <c r="D7725">
        <v>3</v>
      </c>
      <c r="E7725">
        <v>16.8</v>
      </c>
      <c r="F7725">
        <v>80</v>
      </c>
    </row>
    <row r="7726" spans="1:6" x14ac:dyDescent="0.35">
      <c r="A7726">
        <v>1975</v>
      </c>
      <c r="B7726" s="1">
        <v>45846</v>
      </c>
      <c r="C7726" s="2">
        <v>0.83333333333333337</v>
      </c>
      <c r="D7726">
        <v>3</v>
      </c>
      <c r="E7726">
        <v>15.7</v>
      </c>
      <c r="F7726">
        <v>89</v>
      </c>
    </row>
    <row r="7727" spans="1:6" x14ac:dyDescent="0.35">
      <c r="A7727">
        <v>1975</v>
      </c>
      <c r="B7727" s="1">
        <v>45846</v>
      </c>
      <c r="C7727" s="2">
        <v>0.875</v>
      </c>
      <c r="D7727">
        <v>3</v>
      </c>
      <c r="E7727">
        <v>15.7</v>
      </c>
      <c r="F7727">
        <v>88</v>
      </c>
    </row>
    <row r="7728" spans="1:6" x14ac:dyDescent="0.35">
      <c r="A7728">
        <v>1975</v>
      </c>
      <c r="B7728" s="1">
        <v>45846</v>
      </c>
      <c r="C7728" s="2">
        <v>0.91666666666666663</v>
      </c>
      <c r="D7728">
        <v>3</v>
      </c>
      <c r="E7728">
        <v>15.5</v>
      </c>
      <c r="F7728">
        <v>91</v>
      </c>
    </row>
    <row r="7729" spans="1:6" x14ac:dyDescent="0.35">
      <c r="A7729">
        <v>1975</v>
      </c>
      <c r="B7729" s="1">
        <v>45846</v>
      </c>
      <c r="C7729" s="2">
        <v>0.95833333333333337</v>
      </c>
      <c r="D7729">
        <v>3</v>
      </c>
      <c r="E7729">
        <v>15.3</v>
      </c>
      <c r="F7729">
        <v>90</v>
      </c>
    </row>
    <row r="7730" spans="1:6" x14ac:dyDescent="0.35">
      <c r="A7730">
        <v>1975</v>
      </c>
      <c r="B7730" s="1">
        <v>45847</v>
      </c>
      <c r="C7730" s="2">
        <v>0</v>
      </c>
      <c r="D7730">
        <v>3</v>
      </c>
      <c r="E7730">
        <v>14.7</v>
      </c>
      <c r="F7730">
        <v>95</v>
      </c>
    </row>
    <row r="7731" spans="1:6" x14ac:dyDescent="0.35">
      <c r="A7731">
        <v>1975</v>
      </c>
      <c r="B7731" s="1">
        <v>45847</v>
      </c>
      <c r="C7731" s="2">
        <v>4.1666666666666657E-2</v>
      </c>
      <c r="D7731">
        <v>3</v>
      </c>
      <c r="E7731">
        <v>14.4</v>
      </c>
      <c r="F7731">
        <v>94</v>
      </c>
    </row>
    <row r="7732" spans="1:6" x14ac:dyDescent="0.35">
      <c r="A7732">
        <v>1975</v>
      </c>
      <c r="B7732" s="1">
        <v>45847</v>
      </c>
      <c r="C7732" s="2">
        <v>8.3333333333333329E-2</v>
      </c>
      <c r="D7732">
        <v>3</v>
      </c>
      <c r="E7732">
        <v>14.4</v>
      </c>
      <c r="F7732">
        <v>95</v>
      </c>
    </row>
    <row r="7733" spans="1:6" x14ac:dyDescent="0.35">
      <c r="A7733">
        <v>1975</v>
      </c>
      <c r="B7733" s="1">
        <v>45847</v>
      </c>
      <c r="C7733" s="2">
        <v>0.125</v>
      </c>
      <c r="D7733">
        <v>3</v>
      </c>
      <c r="E7733">
        <v>14</v>
      </c>
      <c r="F7733">
        <v>95</v>
      </c>
    </row>
    <row r="7734" spans="1:6" x14ac:dyDescent="0.35">
      <c r="A7734">
        <v>1975</v>
      </c>
      <c r="B7734" s="1">
        <v>45847</v>
      </c>
      <c r="C7734" s="2">
        <v>0.16666666666666671</v>
      </c>
      <c r="D7734">
        <v>3</v>
      </c>
      <c r="E7734">
        <v>14</v>
      </c>
      <c r="F7734">
        <v>94</v>
      </c>
    </row>
    <row r="7735" spans="1:6" x14ac:dyDescent="0.35">
      <c r="A7735">
        <v>1975</v>
      </c>
      <c r="B7735" s="1">
        <v>45847</v>
      </c>
      <c r="C7735" s="2">
        <v>0.20833333333333329</v>
      </c>
      <c r="D7735">
        <v>3</v>
      </c>
      <c r="E7735">
        <v>14.8</v>
      </c>
      <c r="F7735">
        <v>90</v>
      </c>
    </row>
    <row r="7736" spans="1:6" x14ac:dyDescent="0.35">
      <c r="A7736">
        <v>1975</v>
      </c>
      <c r="B7736" s="1">
        <v>45847</v>
      </c>
      <c r="C7736" s="2">
        <v>0.25</v>
      </c>
      <c r="D7736">
        <v>3</v>
      </c>
      <c r="E7736">
        <v>16</v>
      </c>
      <c r="F7736">
        <v>85</v>
      </c>
    </row>
    <row r="7737" spans="1:6" x14ac:dyDescent="0.35">
      <c r="A7737">
        <v>1975</v>
      </c>
      <c r="B7737" s="1">
        <v>45847</v>
      </c>
      <c r="C7737" s="2">
        <v>0.29166666666666669</v>
      </c>
      <c r="D7737">
        <v>3</v>
      </c>
      <c r="E7737">
        <v>16.899999999999999</v>
      </c>
      <c r="F7737">
        <v>79</v>
      </c>
    </row>
    <row r="7738" spans="1:6" x14ac:dyDescent="0.35">
      <c r="A7738">
        <v>1975</v>
      </c>
      <c r="B7738" s="1">
        <v>45847</v>
      </c>
      <c r="C7738" s="2">
        <v>0.33333333333333331</v>
      </c>
      <c r="D7738">
        <v>3</v>
      </c>
      <c r="E7738">
        <v>17.600000000000001</v>
      </c>
      <c r="F7738">
        <v>71</v>
      </c>
    </row>
    <row r="7739" spans="1:6" x14ac:dyDescent="0.35">
      <c r="A7739">
        <v>1975</v>
      </c>
      <c r="B7739" s="1">
        <v>45847</v>
      </c>
      <c r="C7739" s="2">
        <v>0.375</v>
      </c>
      <c r="D7739">
        <v>3</v>
      </c>
      <c r="E7739">
        <v>18.899999999999999</v>
      </c>
      <c r="F7739">
        <v>66</v>
      </c>
    </row>
    <row r="7740" spans="1:6" x14ac:dyDescent="0.35">
      <c r="A7740">
        <v>1975</v>
      </c>
      <c r="B7740" s="1">
        <v>45847</v>
      </c>
      <c r="C7740" s="2">
        <v>0.41666666666666669</v>
      </c>
      <c r="D7740">
        <v>3</v>
      </c>
      <c r="E7740">
        <v>19</v>
      </c>
      <c r="F7740">
        <v>63</v>
      </c>
    </row>
    <row r="7741" spans="1:6" x14ac:dyDescent="0.35">
      <c r="A7741">
        <v>1975</v>
      </c>
      <c r="B7741" s="1">
        <v>45847</v>
      </c>
      <c r="C7741" s="2">
        <v>0.45833333333333331</v>
      </c>
      <c r="D7741">
        <v>3</v>
      </c>
      <c r="E7741">
        <v>20</v>
      </c>
      <c r="F7741">
        <v>61</v>
      </c>
    </row>
    <row r="7742" spans="1:6" x14ac:dyDescent="0.35">
      <c r="A7742">
        <v>1975</v>
      </c>
      <c r="B7742" s="1">
        <v>45847</v>
      </c>
      <c r="C7742" s="2">
        <v>0.5</v>
      </c>
      <c r="D7742">
        <v>3</v>
      </c>
      <c r="E7742">
        <v>19.8</v>
      </c>
      <c r="F7742">
        <v>59</v>
      </c>
    </row>
    <row r="7743" spans="1:6" x14ac:dyDescent="0.35">
      <c r="A7743">
        <v>1975</v>
      </c>
      <c r="B7743" s="1">
        <v>45847</v>
      </c>
      <c r="C7743" s="2">
        <v>0.54166666666666663</v>
      </c>
      <c r="D7743">
        <v>3</v>
      </c>
      <c r="E7743">
        <v>20.399999999999999</v>
      </c>
      <c r="F7743">
        <v>63</v>
      </c>
    </row>
    <row r="7744" spans="1:6" x14ac:dyDescent="0.35">
      <c r="A7744">
        <v>1975</v>
      </c>
      <c r="B7744" s="1">
        <v>45847</v>
      </c>
      <c r="C7744" s="2">
        <v>0.58333333333333337</v>
      </c>
      <c r="D7744">
        <v>3</v>
      </c>
      <c r="E7744">
        <v>19.899999999999999</v>
      </c>
      <c r="F7744">
        <v>62</v>
      </c>
    </row>
    <row r="7745" spans="1:6" x14ac:dyDescent="0.35">
      <c r="A7745">
        <v>1975</v>
      </c>
      <c r="B7745" s="1">
        <v>45847</v>
      </c>
      <c r="C7745" s="2">
        <v>0.625</v>
      </c>
      <c r="D7745">
        <v>3</v>
      </c>
      <c r="E7745">
        <v>19.3</v>
      </c>
      <c r="F7745">
        <v>64</v>
      </c>
    </row>
    <row r="7746" spans="1:6" x14ac:dyDescent="0.35">
      <c r="A7746">
        <v>1975</v>
      </c>
      <c r="B7746" s="1">
        <v>45847</v>
      </c>
      <c r="C7746" s="2">
        <v>0.66666666666666663</v>
      </c>
      <c r="D7746">
        <v>3</v>
      </c>
      <c r="E7746">
        <v>20.100000000000001</v>
      </c>
      <c r="F7746">
        <v>61</v>
      </c>
    </row>
    <row r="7747" spans="1:6" x14ac:dyDescent="0.35">
      <c r="A7747">
        <v>1975</v>
      </c>
      <c r="B7747" s="1">
        <v>45847</v>
      </c>
      <c r="C7747" s="2">
        <v>0.70833333333333337</v>
      </c>
      <c r="D7747">
        <v>3</v>
      </c>
      <c r="E7747">
        <v>19</v>
      </c>
      <c r="F7747">
        <v>65</v>
      </c>
    </row>
    <row r="7748" spans="1:6" x14ac:dyDescent="0.35">
      <c r="A7748">
        <v>1975</v>
      </c>
      <c r="B7748" s="1">
        <v>45847</v>
      </c>
      <c r="C7748" s="2">
        <v>0.75</v>
      </c>
      <c r="D7748">
        <v>3</v>
      </c>
      <c r="E7748">
        <v>18</v>
      </c>
      <c r="F7748">
        <v>68</v>
      </c>
    </row>
    <row r="7749" spans="1:6" x14ac:dyDescent="0.35">
      <c r="A7749">
        <v>1975</v>
      </c>
      <c r="B7749" s="1">
        <v>45847</v>
      </c>
      <c r="C7749" s="2">
        <v>0.79166666666666663</v>
      </c>
      <c r="D7749">
        <v>3</v>
      </c>
      <c r="E7749">
        <v>16.600000000000001</v>
      </c>
      <c r="F7749">
        <v>73</v>
      </c>
    </row>
    <row r="7750" spans="1:6" x14ac:dyDescent="0.35">
      <c r="A7750">
        <v>1975</v>
      </c>
      <c r="B7750" s="1">
        <v>45847</v>
      </c>
      <c r="C7750" s="2">
        <v>0.83333333333333337</v>
      </c>
      <c r="D7750">
        <v>3</v>
      </c>
      <c r="E7750">
        <v>16.3</v>
      </c>
      <c r="F7750">
        <v>75</v>
      </c>
    </row>
    <row r="7751" spans="1:6" x14ac:dyDescent="0.35">
      <c r="A7751">
        <v>1975</v>
      </c>
      <c r="B7751" s="1">
        <v>45847</v>
      </c>
      <c r="C7751" s="2">
        <v>0.875</v>
      </c>
      <c r="D7751">
        <v>3</v>
      </c>
      <c r="E7751">
        <v>15.8</v>
      </c>
      <c r="F7751">
        <v>77</v>
      </c>
    </row>
    <row r="7752" spans="1:6" x14ac:dyDescent="0.35">
      <c r="A7752">
        <v>1975</v>
      </c>
      <c r="B7752" s="1">
        <v>45847</v>
      </c>
      <c r="C7752" s="2">
        <v>0.91666666666666663</v>
      </c>
      <c r="D7752">
        <v>3</v>
      </c>
      <c r="E7752">
        <v>15</v>
      </c>
      <c r="F7752">
        <v>82</v>
      </c>
    </row>
    <row r="7753" spans="1:6" x14ac:dyDescent="0.35">
      <c r="A7753">
        <v>1975</v>
      </c>
      <c r="B7753" s="1">
        <v>45847</v>
      </c>
      <c r="C7753" s="2">
        <v>0.95833333333333337</v>
      </c>
      <c r="D7753">
        <v>3</v>
      </c>
      <c r="E7753">
        <v>14.7</v>
      </c>
      <c r="F7753">
        <v>85</v>
      </c>
    </row>
    <row r="7754" spans="1:6" x14ac:dyDescent="0.35">
      <c r="A7754">
        <v>1975</v>
      </c>
      <c r="B7754" s="1">
        <v>45848</v>
      </c>
      <c r="C7754" s="2">
        <v>0</v>
      </c>
      <c r="D7754">
        <v>3</v>
      </c>
      <c r="E7754">
        <v>13.7</v>
      </c>
      <c r="F7754">
        <v>92</v>
      </c>
    </row>
    <row r="7755" spans="1:6" x14ac:dyDescent="0.35">
      <c r="A7755">
        <v>1975</v>
      </c>
      <c r="B7755" s="1">
        <v>45848</v>
      </c>
      <c r="C7755" s="2">
        <v>4.1666666666666657E-2</v>
      </c>
      <c r="D7755">
        <v>3</v>
      </c>
      <c r="E7755">
        <v>12.9</v>
      </c>
      <c r="F7755">
        <v>97</v>
      </c>
    </row>
    <row r="7756" spans="1:6" x14ac:dyDescent="0.35">
      <c r="A7756">
        <v>1975</v>
      </c>
      <c r="B7756" s="1">
        <v>45848</v>
      </c>
      <c r="C7756" s="2">
        <v>8.3333333333333329E-2</v>
      </c>
      <c r="D7756">
        <v>3</v>
      </c>
      <c r="E7756">
        <v>12.5</v>
      </c>
      <c r="F7756">
        <v>99</v>
      </c>
    </row>
    <row r="7757" spans="1:6" x14ac:dyDescent="0.35">
      <c r="A7757">
        <v>1975</v>
      </c>
      <c r="B7757" s="1">
        <v>45848</v>
      </c>
      <c r="C7757" s="2">
        <v>0.125</v>
      </c>
      <c r="D7757">
        <v>3</v>
      </c>
      <c r="E7757">
        <v>12.3</v>
      </c>
      <c r="F7757">
        <v>100</v>
      </c>
    </row>
    <row r="7758" spans="1:6" x14ac:dyDescent="0.35">
      <c r="A7758">
        <v>1975</v>
      </c>
      <c r="B7758" s="1">
        <v>45848</v>
      </c>
      <c r="C7758" s="2">
        <v>0.16666666666666671</v>
      </c>
      <c r="D7758">
        <v>3</v>
      </c>
      <c r="E7758">
        <v>13</v>
      </c>
      <c r="F7758">
        <v>98</v>
      </c>
    </row>
    <row r="7759" spans="1:6" x14ac:dyDescent="0.35">
      <c r="A7759">
        <v>1975</v>
      </c>
      <c r="B7759" s="1">
        <v>45848</v>
      </c>
      <c r="C7759" s="2">
        <v>0.20833333333333329</v>
      </c>
      <c r="D7759">
        <v>3</v>
      </c>
      <c r="E7759">
        <v>14.3</v>
      </c>
      <c r="F7759">
        <v>91</v>
      </c>
    </row>
    <row r="7760" spans="1:6" x14ac:dyDescent="0.35">
      <c r="A7760">
        <v>1975</v>
      </c>
      <c r="B7760" s="1">
        <v>45848</v>
      </c>
      <c r="C7760" s="2">
        <v>0.25</v>
      </c>
      <c r="D7760">
        <v>3</v>
      </c>
      <c r="E7760">
        <v>15.6</v>
      </c>
      <c r="F7760">
        <v>84</v>
      </c>
    </row>
    <row r="7761" spans="1:6" x14ac:dyDescent="0.35">
      <c r="A7761">
        <v>1975</v>
      </c>
      <c r="B7761" s="1">
        <v>45848</v>
      </c>
      <c r="C7761" s="2">
        <v>0.29166666666666669</v>
      </c>
      <c r="D7761">
        <v>3</v>
      </c>
      <c r="E7761">
        <v>16.899999999999999</v>
      </c>
      <c r="F7761">
        <v>76</v>
      </c>
    </row>
    <row r="7762" spans="1:6" x14ac:dyDescent="0.35">
      <c r="A7762">
        <v>1975</v>
      </c>
      <c r="B7762" s="1">
        <v>45848</v>
      </c>
      <c r="C7762" s="2">
        <v>0.33333333333333331</v>
      </c>
      <c r="D7762">
        <v>3</v>
      </c>
      <c r="E7762">
        <v>18.3</v>
      </c>
      <c r="F7762">
        <v>64</v>
      </c>
    </row>
    <row r="7763" spans="1:6" x14ac:dyDescent="0.35">
      <c r="A7763">
        <v>1975</v>
      </c>
      <c r="B7763" s="1">
        <v>45848</v>
      </c>
      <c r="C7763" s="2">
        <v>0.375</v>
      </c>
      <c r="D7763">
        <v>3</v>
      </c>
      <c r="E7763">
        <v>20.3</v>
      </c>
      <c r="F7763">
        <v>53</v>
      </c>
    </row>
    <row r="7764" spans="1:6" x14ac:dyDescent="0.35">
      <c r="A7764">
        <v>1975</v>
      </c>
      <c r="B7764" s="1">
        <v>45848</v>
      </c>
      <c r="C7764" s="2">
        <v>0.41666666666666669</v>
      </c>
      <c r="D7764">
        <v>3</v>
      </c>
      <c r="E7764">
        <v>20.9</v>
      </c>
      <c r="F7764">
        <v>47</v>
      </c>
    </row>
    <row r="7765" spans="1:6" x14ac:dyDescent="0.35">
      <c r="A7765">
        <v>1975</v>
      </c>
      <c r="B7765" s="1">
        <v>45848</v>
      </c>
      <c r="C7765" s="2">
        <v>0.45833333333333331</v>
      </c>
      <c r="D7765">
        <v>3</v>
      </c>
      <c r="E7765">
        <v>21.9</v>
      </c>
      <c r="F7765">
        <v>46</v>
      </c>
    </row>
    <row r="7766" spans="1:6" x14ac:dyDescent="0.35">
      <c r="A7766">
        <v>1975</v>
      </c>
      <c r="B7766" s="1">
        <v>45848</v>
      </c>
      <c r="C7766" s="2">
        <v>0.5</v>
      </c>
      <c r="D7766">
        <v>3</v>
      </c>
      <c r="E7766">
        <v>20.399999999999999</v>
      </c>
      <c r="F7766">
        <v>46</v>
      </c>
    </row>
    <row r="7767" spans="1:6" x14ac:dyDescent="0.35">
      <c r="A7767">
        <v>1975</v>
      </c>
      <c r="B7767" s="1">
        <v>45848</v>
      </c>
      <c r="C7767" s="2">
        <v>0.54166666666666663</v>
      </c>
      <c r="D7767">
        <v>3</v>
      </c>
      <c r="E7767">
        <v>21.2</v>
      </c>
      <c r="F7767">
        <v>54</v>
      </c>
    </row>
    <row r="7768" spans="1:6" x14ac:dyDescent="0.35">
      <c r="A7768">
        <v>1975</v>
      </c>
      <c r="B7768" s="1">
        <v>45848</v>
      </c>
      <c r="C7768" s="2">
        <v>0.58333333333333337</v>
      </c>
      <c r="D7768">
        <v>3</v>
      </c>
      <c r="E7768">
        <v>20.3</v>
      </c>
      <c r="F7768">
        <v>73</v>
      </c>
    </row>
    <row r="7769" spans="1:6" x14ac:dyDescent="0.35">
      <c r="A7769">
        <v>1975</v>
      </c>
      <c r="B7769" s="1">
        <v>45848</v>
      </c>
      <c r="C7769" s="2">
        <v>0.625</v>
      </c>
      <c r="D7769">
        <v>3</v>
      </c>
      <c r="E7769">
        <v>20.6</v>
      </c>
      <c r="F7769">
        <v>70</v>
      </c>
    </row>
    <row r="7770" spans="1:6" x14ac:dyDescent="0.35">
      <c r="A7770">
        <v>1975</v>
      </c>
      <c r="B7770" s="1">
        <v>45848</v>
      </c>
      <c r="C7770" s="2">
        <v>0.66666666666666663</v>
      </c>
      <c r="D7770">
        <v>3</v>
      </c>
      <c r="E7770">
        <v>20.399999999999999</v>
      </c>
      <c r="F7770">
        <v>70</v>
      </c>
    </row>
    <row r="7771" spans="1:6" x14ac:dyDescent="0.35">
      <c r="A7771">
        <v>1975</v>
      </c>
      <c r="B7771" s="1">
        <v>45848</v>
      </c>
      <c r="C7771" s="2">
        <v>0.70833333333333337</v>
      </c>
      <c r="D7771">
        <v>3</v>
      </c>
      <c r="E7771">
        <v>20.399999999999999</v>
      </c>
      <c r="F7771">
        <v>68</v>
      </c>
    </row>
    <row r="7772" spans="1:6" x14ac:dyDescent="0.35">
      <c r="A7772">
        <v>1975</v>
      </c>
      <c r="B7772" s="1">
        <v>45848</v>
      </c>
      <c r="C7772" s="2">
        <v>0.75</v>
      </c>
      <c r="D7772">
        <v>3</v>
      </c>
      <c r="E7772">
        <v>19.8</v>
      </c>
      <c r="F7772">
        <v>68</v>
      </c>
    </row>
    <row r="7773" spans="1:6" x14ac:dyDescent="0.35">
      <c r="A7773">
        <v>1975</v>
      </c>
      <c r="B7773" s="1">
        <v>45848</v>
      </c>
      <c r="C7773" s="2">
        <v>0.79166666666666663</v>
      </c>
      <c r="D7773">
        <v>3</v>
      </c>
      <c r="E7773">
        <v>19</v>
      </c>
      <c r="F7773">
        <v>74</v>
      </c>
    </row>
    <row r="7774" spans="1:6" x14ac:dyDescent="0.35">
      <c r="A7774">
        <v>1975</v>
      </c>
      <c r="B7774" s="1">
        <v>45848</v>
      </c>
      <c r="C7774" s="2">
        <v>0.83333333333333337</v>
      </c>
      <c r="D7774">
        <v>3</v>
      </c>
      <c r="E7774">
        <v>18</v>
      </c>
      <c r="F7774">
        <v>77</v>
      </c>
    </row>
    <row r="7775" spans="1:6" x14ac:dyDescent="0.35">
      <c r="A7775">
        <v>1975</v>
      </c>
      <c r="B7775" s="1">
        <v>45848</v>
      </c>
      <c r="C7775" s="2">
        <v>0.875</v>
      </c>
      <c r="D7775">
        <v>3</v>
      </c>
      <c r="E7775">
        <v>16.7</v>
      </c>
      <c r="F7775">
        <v>80</v>
      </c>
    </row>
    <row r="7776" spans="1:6" x14ac:dyDescent="0.35">
      <c r="A7776">
        <v>1975</v>
      </c>
      <c r="B7776" s="1">
        <v>45848</v>
      </c>
      <c r="C7776" s="2">
        <v>0.91666666666666663</v>
      </c>
      <c r="D7776">
        <v>3</v>
      </c>
      <c r="E7776">
        <v>15.6</v>
      </c>
      <c r="F7776">
        <v>84</v>
      </c>
    </row>
    <row r="7777" spans="1:6" x14ac:dyDescent="0.35">
      <c r="A7777">
        <v>1975</v>
      </c>
      <c r="B7777" s="1">
        <v>45848</v>
      </c>
      <c r="C7777" s="2">
        <v>0.95833333333333337</v>
      </c>
      <c r="D7777">
        <v>3</v>
      </c>
      <c r="E7777">
        <v>14.6</v>
      </c>
      <c r="F7777">
        <v>89</v>
      </c>
    </row>
    <row r="7778" spans="1:6" x14ac:dyDescent="0.35">
      <c r="A7778">
        <v>1975</v>
      </c>
      <c r="B7778" s="1">
        <v>45849</v>
      </c>
      <c r="C7778" s="2">
        <v>0</v>
      </c>
      <c r="D7778">
        <v>3</v>
      </c>
      <c r="E7778">
        <v>13.8</v>
      </c>
      <c r="F7778">
        <v>94</v>
      </c>
    </row>
    <row r="7779" spans="1:6" x14ac:dyDescent="0.35">
      <c r="A7779">
        <v>1975</v>
      </c>
      <c r="B7779" s="1">
        <v>45849</v>
      </c>
      <c r="C7779" s="2">
        <v>4.1666666666666657E-2</v>
      </c>
      <c r="D7779">
        <v>3</v>
      </c>
      <c r="E7779">
        <v>13.5</v>
      </c>
      <c r="F7779">
        <v>96</v>
      </c>
    </row>
    <row r="7780" spans="1:6" x14ac:dyDescent="0.35">
      <c r="A7780">
        <v>1975</v>
      </c>
      <c r="B7780" s="1">
        <v>45849</v>
      </c>
      <c r="C7780" s="2">
        <v>8.3333333333333329E-2</v>
      </c>
      <c r="D7780">
        <v>3</v>
      </c>
      <c r="E7780">
        <v>13.1</v>
      </c>
      <c r="F7780">
        <v>97</v>
      </c>
    </row>
    <row r="7781" spans="1:6" x14ac:dyDescent="0.35">
      <c r="A7781">
        <v>1975</v>
      </c>
      <c r="B7781" s="1">
        <v>45849</v>
      </c>
      <c r="C7781" s="2">
        <v>0.125</v>
      </c>
      <c r="D7781">
        <v>3</v>
      </c>
      <c r="E7781">
        <v>12.7</v>
      </c>
      <c r="F7781">
        <v>99</v>
      </c>
    </row>
    <row r="7782" spans="1:6" x14ac:dyDescent="0.35">
      <c r="A7782">
        <v>1975</v>
      </c>
      <c r="B7782" s="1">
        <v>45849</v>
      </c>
      <c r="C7782" s="2">
        <v>0.16666666666666671</v>
      </c>
      <c r="D7782">
        <v>3</v>
      </c>
      <c r="E7782">
        <v>12.4</v>
      </c>
      <c r="F7782">
        <v>99</v>
      </c>
    </row>
    <row r="7783" spans="1:6" x14ac:dyDescent="0.35">
      <c r="A7783">
        <v>1975</v>
      </c>
      <c r="B7783" s="1">
        <v>45849</v>
      </c>
      <c r="C7783" s="2">
        <v>0.20833333333333329</v>
      </c>
      <c r="D7783">
        <v>3</v>
      </c>
      <c r="E7783">
        <v>13.7</v>
      </c>
      <c r="F7783">
        <v>90</v>
      </c>
    </row>
    <row r="7784" spans="1:6" x14ac:dyDescent="0.35">
      <c r="A7784">
        <v>1975</v>
      </c>
      <c r="B7784" s="1">
        <v>45849</v>
      </c>
      <c r="C7784" s="2">
        <v>0.25</v>
      </c>
      <c r="D7784">
        <v>3</v>
      </c>
      <c r="E7784">
        <v>15</v>
      </c>
      <c r="F7784">
        <v>85</v>
      </c>
    </row>
    <row r="7785" spans="1:6" x14ac:dyDescent="0.35">
      <c r="A7785">
        <v>1975</v>
      </c>
      <c r="B7785" s="1">
        <v>45849</v>
      </c>
      <c r="C7785" s="2">
        <v>0.29166666666666669</v>
      </c>
      <c r="D7785">
        <v>3</v>
      </c>
      <c r="E7785">
        <v>16.600000000000001</v>
      </c>
      <c r="F7785">
        <v>80</v>
      </c>
    </row>
    <row r="7786" spans="1:6" x14ac:dyDescent="0.35">
      <c r="A7786">
        <v>1975</v>
      </c>
      <c r="B7786" s="1">
        <v>45849</v>
      </c>
      <c r="C7786" s="2">
        <v>0.33333333333333331</v>
      </c>
      <c r="D7786">
        <v>3</v>
      </c>
      <c r="E7786">
        <v>17.899999999999999</v>
      </c>
      <c r="F7786">
        <v>74</v>
      </c>
    </row>
    <row r="7787" spans="1:6" x14ac:dyDescent="0.35">
      <c r="A7787">
        <v>1975</v>
      </c>
      <c r="B7787" s="1">
        <v>45849</v>
      </c>
      <c r="C7787" s="2">
        <v>0.375</v>
      </c>
      <c r="D7787">
        <v>3</v>
      </c>
      <c r="E7787">
        <v>19.100000000000001</v>
      </c>
      <c r="F7787">
        <v>69</v>
      </c>
    </row>
    <row r="7788" spans="1:6" x14ac:dyDescent="0.35">
      <c r="A7788">
        <v>1975</v>
      </c>
      <c r="B7788" s="1">
        <v>45849</v>
      </c>
      <c r="C7788" s="2">
        <v>0.41666666666666669</v>
      </c>
      <c r="D7788">
        <v>3</v>
      </c>
      <c r="E7788">
        <v>20.3</v>
      </c>
      <c r="F7788">
        <v>68</v>
      </c>
    </row>
    <row r="7789" spans="1:6" x14ac:dyDescent="0.35">
      <c r="A7789">
        <v>1975</v>
      </c>
      <c r="B7789" s="1">
        <v>45849</v>
      </c>
      <c r="C7789" s="2">
        <v>0.45833333333333331</v>
      </c>
      <c r="D7789">
        <v>3</v>
      </c>
      <c r="E7789">
        <v>21.2</v>
      </c>
      <c r="F7789">
        <v>64</v>
      </c>
    </row>
    <row r="7790" spans="1:6" x14ac:dyDescent="0.35">
      <c r="A7790">
        <v>1975</v>
      </c>
      <c r="B7790" s="1">
        <v>45849</v>
      </c>
      <c r="C7790" s="2">
        <v>0.5</v>
      </c>
      <c r="D7790">
        <v>3</v>
      </c>
      <c r="E7790">
        <v>21.3</v>
      </c>
      <c r="F7790">
        <v>64</v>
      </c>
    </row>
    <row r="7791" spans="1:6" x14ac:dyDescent="0.35">
      <c r="A7791">
        <v>1975</v>
      </c>
      <c r="B7791" s="1">
        <v>45849</v>
      </c>
      <c r="C7791" s="2">
        <v>0.54166666666666663</v>
      </c>
      <c r="D7791">
        <v>3</v>
      </c>
      <c r="E7791">
        <v>21.8</v>
      </c>
      <c r="F7791">
        <v>60</v>
      </c>
    </row>
    <row r="7792" spans="1:6" x14ac:dyDescent="0.35">
      <c r="A7792">
        <v>1975</v>
      </c>
      <c r="B7792" s="1">
        <v>45849</v>
      </c>
      <c r="C7792" s="2">
        <v>0.58333333333333337</v>
      </c>
      <c r="D7792">
        <v>3</v>
      </c>
      <c r="E7792">
        <v>22.6</v>
      </c>
      <c r="F7792">
        <v>58</v>
      </c>
    </row>
    <row r="7793" spans="1:6" x14ac:dyDescent="0.35">
      <c r="A7793">
        <v>1975</v>
      </c>
      <c r="B7793" s="1">
        <v>45849</v>
      </c>
      <c r="C7793" s="2">
        <v>0.625</v>
      </c>
      <c r="D7793">
        <v>3</v>
      </c>
      <c r="E7793">
        <v>22.7</v>
      </c>
      <c r="F7793">
        <v>65</v>
      </c>
    </row>
    <row r="7794" spans="1:6" x14ac:dyDescent="0.35">
      <c r="A7794">
        <v>1975</v>
      </c>
      <c r="B7794" s="1">
        <v>45849</v>
      </c>
      <c r="C7794" s="2">
        <v>0.66666666666666663</v>
      </c>
      <c r="D7794">
        <v>3</v>
      </c>
      <c r="E7794">
        <v>22.5</v>
      </c>
      <c r="F7794">
        <v>68</v>
      </c>
    </row>
    <row r="7795" spans="1:6" x14ac:dyDescent="0.35">
      <c r="A7795">
        <v>1975</v>
      </c>
      <c r="B7795" s="1">
        <v>45849</v>
      </c>
      <c r="C7795" s="2">
        <v>0.70833333333333337</v>
      </c>
      <c r="D7795">
        <v>3</v>
      </c>
      <c r="E7795">
        <v>21.8</v>
      </c>
      <c r="F7795">
        <v>70</v>
      </c>
    </row>
    <row r="7796" spans="1:6" x14ac:dyDescent="0.35">
      <c r="A7796">
        <v>1975</v>
      </c>
      <c r="B7796" s="1">
        <v>45849</v>
      </c>
      <c r="C7796" s="2">
        <v>0.75</v>
      </c>
      <c r="D7796">
        <v>3</v>
      </c>
      <c r="E7796">
        <v>20.100000000000001</v>
      </c>
      <c r="F7796">
        <v>75</v>
      </c>
    </row>
    <row r="7797" spans="1:6" x14ac:dyDescent="0.35">
      <c r="A7797">
        <v>1975</v>
      </c>
      <c r="B7797" s="1">
        <v>45849</v>
      </c>
      <c r="C7797" s="2">
        <v>0.79166666666666663</v>
      </c>
      <c r="D7797">
        <v>3</v>
      </c>
      <c r="E7797">
        <v>18.899999999999999</v>
      </c>
      <c r="F7797">
        <v>79</v>
      </c>
    </row>
    <row r="7798" spans="1:6" x14ac:dyDescent="0.35">
      <c r="A7798">
        <v>1975</v>
      </c>
      <c r="B7798" s="1">
        <v>45849</v>
      </c>
      <c r="C7798" s="2">
        <v>0.83333333333333337</v>
      </c>
      <c r="D7798">
        <v>3</v>
      </c>
      <c r="E7798">
        <v>17.3</v>
      </c>
      <c r="F7798">
        <v>90</v>
      </c>
    </row>
    <row r="7799" spans="1:6" x14ac:dyDescent="0.35">
      <c r="A7799">
        <v>1975</v>
      </c>
      <c r="B7799" s="1">
        <v>45849</v>
      </c>
      <c r="C7799" s="2">
        <v>0.875</v>
      </c>
      <c r="D7799">
        <v>3</v>
      </c>
      <c r="E7799">
        <v>16.899999999999999</v>
      </c>
      <c r="F7799">
        <v>94</v>
      </c>
    </row>
    <row r="7800" spans="1:6" x14ac:dyDescent="0.35">
      <c r="A7800">
        <v>1975</v>
      </c>
      <c r="B7800" s="1">
        <v>45849</v>
      </c>
      <c r="C7800" s="2">
        <v>0.91666666666666663</v>
      </c>
      <c r="D7800">
        <v>3</v>
      </c>
      <c r="E7800">
        <v>16.7</v>
      </c>
      <c r="F7800">
        <v>96</v>
      </c>
    </row>
    <row r="7801" spans="1:6" x14ac:dyDescent="0.35">
      <c r="A7801">
        <v>1975</v>
      </c>
      <c r="B7801" s="1">
        <v>45849</v>
      </c>
      <c r="C7801" s="2">
        <v>0.95833333333333337</v>
      </c>
      <c r="D7801">
        <v>3</v>
      </c>
      <c r="E7801">
        <v>16.5</v>
      </c>
      <c r="F7801">
        <v>97</v>
      </c>
    </row>
    <row r="7802" spans="1:6" x14ac:dyDescent="0.35">
      <c r="A7802">
        <v>1975</v>
      </c>
      <c r="B7802" s="1">
        <v>45850</v>
      </c>
      <c r="C7802" s="2">
        <v>0</v>
      </c>
      <c r="D7802">
        <v>3</v>
      </c>
      <c r="E7802">
        <v>16.5</v>
      </c>
      <c r="F7802">
        <v>98</v>
      </c>
    </row>
    <row r="7803" spans="1:6" x14ac:dyDescent="0.35">
      <c r="A7803">
        <v>1975</v>
      </c>
      <c r="B7803" s="1">
        <v>45850</v>
      </c>
      <c r="C7803" s="2">
        <v>4.1666666666666657E-2</v>
      </c>
      <c r="D7803">
        <v>3</v>
      </c>
      <c r="E7803">
        <v>16.5</v>
      </c>
      <c r="F7803">
        <v>97</v>
      </c>
    </row>
    <row r="7804" spans="1:6" x14ac:dyDescent="0.35">
      <c r="A7804">
        <v>1975</v>
      </c>
      <c r="B7804" s="1">
        <v>45850</v>
      </c>
      <c r="C7804" s="2">
        <v>8.3333333333333329E-2</v>
      </c>
      <c r="D7804">
        <v>3</v>
      </c>
      <c r="E7804">
        <v>16.2</v>
      </c>
      <c r="F7804">
        <v>97</v>
      </c>
    </row>
    <row r="7805" spans="1:6" x14ac:dyDescent="0.35">
      <c r="A7805">
        <v>1975</v>
      </c>
      <c r="B7805" s="1">
        <v>45850</v>
      </c>
      <c r="C7805" s="2">
        <v>0.125</v>
      </c>
      <c r="D7805">
        <v>3</v>
      </c>
      <c r="E7805">
        <v>15.9</v>
      </c>
      <c r="F7805">
        <v>98</v>
      </c>
    </row>
    <row r="7806" spans="1:6" x14ac:dyDescent="0.35">
      <c r="A7806">
        <v>1975</v>
      </c>
      <c r="B7806" s="1">
        <v>45850</v>
      </c>
      <c r="C7806" s="2">
        <v>0.16666666666666671</v>
      </c>
      <c r="D7806">
        <v>3</v>
      </c>
      <c r="E7806">
        <v>16.5</v>
      </c>
      <c r="F7806">
        <v>92</v>
      </c>
    </row>
    <row r="7807" spans="1:6" x14ac:dyDescent="0.35">
      <c r="A7807">
        <v>1975</v>
      </c>
      <c r="B7807" s="1">
        <v>45850</v>
      </c>
      <c r="C7807" s="2">
        <v>0.20833333333333329</v>
      </c>
      <c r="D7807">
        <v>3</v>
      </c>
      <c r="E7807">
        <v>16.8</v>
      </c>
      <c r="F7807">
        <v>83</v>
      </c>
    </row>
    <row r="7808" spans="1:6" x14ac:dyDescent="0.35">
      <c r="A7808">
        <v>1975</v>
      </c>
      <c r="B7808" s="1">
        <v>45850</v>
      </c>
      <c r="C7808" s="2">
        <v>0.25</v>
      </c>
      <c r="D7808">
        <v>3</v>
      </c>
      <c r="E7808">
        <v>17</v>
      </c>
      <c r="F7808">
        <v>80</v>
      </c>
    </row>
    <row r="7809" spans="1:6" x14ac:dyDescent="0.35">
      <c r="A7809">
        <v>1975</v>
      </c>
      <c r="B7809" s="1">
        <v>45850</v>
      </c>
      <c r="C7809" s="2">
        <v>0.29166666666666669</v>
      </c>
      <c r="D7809">
        <v>3</v>
      </c>
      <c r="E7809">
        <v>17.3</v>
      </c>
      <c r="F7809">
        <v>79</v>
      </c>
    </row>
    <row r="7810" spans="1:6" x14ac:dyDescent="0.35">
      <c r="A7810">
        <v>1975</v>
      </c>
      <c r="B7810" s="1">
        <v>45850</v>
      </c>
      <c r="C7810" s="2">
        <v>0.33333333333333331</v>
      </c>
      <c r="D7810">
        <v>3</v>
      </c>
      <c r="E7810">
        <v>17.899999999999999</v>
      </c>
      <c r="F7810">
        <v>76</v>
      </c>
    </row>
    <row r="7811" spans="1:6" x14ac:dyDescent="0.35">
      <c r="A7811">
        <v>1975</v>
      </c>
      <c r="B7811" s="1">
        <v>45850</v>
      </c>
      <c r="C7811" s="2">
        <v>0.375</v>
      </c>
      <c r="D7811">
        <v>3</v>
      </c>
      <c r="E7811">
        <v>18.600000000000001</v>
      </c>
      <c r="F7811">
        <v>78</v>
      </c>
    </row>
    <row r="7812" spans="1:6" x14ac:dyDescent="0.35">
      <c r="A7812">
        <v>1975</v>
      </c>
      <c r="B7812" s="1">
        <v>45850</v>
      </c>
      <c r="C7812" s="2">
        <v>0.41666666666666669</v>
      </c>
      <c r="D7812">
        <v>3</v>
      </c>
      <c r="E7812">
        <v>19.8</v>
      </c>
      <c r="F7812">
        <v>69</v>
      </c>
    </row>
    <row r="7813" spans="1:6" x14ac:dyDescent="0.35">
      <c r="A7813">
        <v>1975</v>
      </c>
      <c r="B7813" s="1">
        <v>45850</v>
      </c>
      <c r="C7813" s="2">
        <v>0.45833333333333331</v>
      </c>
      <c r="D7813">
        <v>3</v>
      </c>
      <c r="E7813">
        <v>20.5</v>
      </c>
      <c r="F7813">
        <v>70</v>
      </c>
    </row>
    <row r="7814" spans="1:6" x14ac:dyDescent="0.35">
      <c r="A7814">
        <v>1975</v>
      </c>
      <c r="B7814" s="1">
        <v>45850</v>
      </c>
      <c r="C7814" s="2">
        <v>0.5</v>
      </c>
      <c r="D7814">
        <v>3</v>
      </c>
      <c r="E7814">
        <v>20.3</v>
      </c>
      <c r="F7814">
        <v>70</v>
      </c>
    </row>
    <row r="7815" spans="1:6" x14ac:dyDescent="0.35">
      <c r="A7815">
        <v>1975</v>
      </c>
      <c r="B7815" s="1">
        <v>45850</v>
      </c>
      <c r="C7815" s="2">
        <v>0.54166666666666663</v>
      </c>
      <c r="D7815">
        <v>3</v>
      </c>
      <c r="E7815">
        <v>21.3</v>
      </c>
      <c r="F7815">
        <v>71</v>
      </c>
    </row>
    <row r="7816" spans="1:6" x14ac:dyDescent="0.35">
      <c r="A7816">
        <v>1975</v>
      </c>
      <c r="B7816" s="1">
        <v>45850</v>
      </c>
      <c r="C7816" s="2">
        <v>0.58333333333333337</v>
      </c>
      <c r="D7816">
        <v>3</v>
      </c>
      <c r="E7816">
        <v>19.100000000000001</v>
      </c>
      <c r="F7816">
        <v>83</v>
      </c>
    </row>
    <row r="7817" spans="1:6" x14ac:dyDescent="0.35">
      <c r="A7817">
        <v>1975</v>
      </c>
      <c r="B7817" s="1">
        <v>45850</v>
      </c>
      <c r="C7817" s="2">
        <v>0.625</v>
      </c>
      <c r="D7817">
        <v>3</v>
      </c>
      <c r="E7817">
        <v>17.399999999999999</v>
      </c>
      <c r="F7817">
        <v>94</v>
      </c>
    </row>
    <row r="7818" spans="1:6" x14ac:dyDescent="0.35">
      <c r="A7818">
        <v>1975</v>
      </c>
      <c r="B7818" s="1">
        <v>45850</v>
      </c>
      <c r="C7818" s="2">
        <v>0.66666666666666663</v>
      </c>
      <c r="D7818">
        <v>3</v>
      </c>
      <c r="E7818">
        <v>18.600000000000001</v>
      </c>
      <c r="F7818">
        <v>88</v>
      </c>
    </row>
    <row r="7819" spans="1:6" x14ac:dyDescent="0.35">
      <c r="A7819">
        <v>1975</v>
      </c>
      <c r="B7819" s="1">
        <v>45850</v>
      </c>
      <c r="C7819" s="2">
        <v>0.70833333333333337</v>
      </c>
      <c r="D7819">
        <v>3</v>
      </c>
      <c r="E7819">
        <v>19.399999999999999</v>
      </c>
      <c r="F7819">
        <v>82</v>
      </c>
    </row>
    <row r="7820" spans="1:6" x14ac:dyDescent="0.35">
      <c r="A7820">
        <v>1975</v>
      </c>
      <c r="B7820" s="1">
        <v>45850</v>
      </c>
      <c r="C7820" s="2">
        <v>0.75</v>
      </c>
      <c r="D7820">
        <v>3</v>
      </c>
      <c r="E7820">
        <v>18.399999999999999</v>
      </c>
      <c r="F7820">
        <v>90</v>
      </c>
    </row>
    <row r="7821" spans="1:6" x14ac:dyDescent="0.35">
      <c r="A7821">
        <v>1975</v>
      </c>
      <c r="B7821" s="1">
        <v>45850</v>
      </c>
      <c r="C7821" s="2">
        <v>0.79166666666666663</v>
      </c>
      <c r="D7821">
        <v>3</v>
      </c>
      <c r="E7821">
        <v>17.899999999999999</v>
      </c>
      <c r="F7821">
        <v>95</v>
      </c>
    </row>
    <row r="7822" spans="1:6" x14ac:dyDescent="0.35">
      <c r="A7822">
        <v>1975</v>
      </c>
      <c r="B7822" s="1">
        <v>45850</v>
      </c>
      <c r="C7822" s="2">
        <v>0.83333333333333337</v>
      </c>
      <c r="D7822">
        <v>3</v>
      </c>
      <c r="E7822">
        <v>17.399999999999999</v>
      </c>
      <c r="F7822">
        <v>92</v>
      </c>
    </row>
    <row r="7823" spans="1:6" x14ac:dyDescent="0.35">
      <c r="A7823">
        <v>1975</v>
      </c>
      <c r="B7823" s="1">
        <v>45850</v>
      </c>
      <c r="C7823" s="2">
        <v>0.875</v>
      </c>
      <c r="D7823">
        <v>3</v>
      </c>
      <c r="E7823">
        <v>16.899999999999999</v>
      </c>
      <c r="F7823">
        <v>90</v>
      </c>
    </row>
    <row r="7824" spans="1:6" x14ac:dyDescent="0.35">
      <c r="A7824">
        <v>1975</v>
      </c>
      <c r="B7824" s="1">
        <v>45850</v>
      </c>
      <c r="C7824" s="2">
        <v>0.91666666666666663</v>
      </c>
      <c r="D7824">
        <v>3</v>
      </c>
      <c r="E7824">
        <v>16</v>
      </c>
      <c r="F7824">
        <v>90</v>
      </c>
    </row>
    <row r="7825" spans="1:6" x14ac:dyDescent="0.35">
      <c r="A7825">
        <v>1975</v>
      </c>
      <c r="B7825" s="1">
        <v>45850</v>
      </c>
      <c r="C7825" s="2">
        <v>0.95833333333333337</v>
      </c>
      <c r="D7825">
        <v>3</v>
      </c>
      <c r="E7825">
        <v>14.6</v>
      </c>
      <c r="F7825">
        <v>95</v>
      </c>
    </row>
    <row r="7826" spans="1:6" x14ac:dyDescent="0.35">
      <c r="A7826">
        <v>1975</v>
      </c>
      <c r="B7826" s="1">
        <v>45851</v>
      </c>
      <c r="C7826" s="2">
        <v>0</v>
      </c>
      <c r="D7826">
        <v>3</v>
      </c>
      <c r="E7826">
        <v>14.2</v>
      </c>
      <c r="F7826">
        <v>99</v>
      </c>
    </row>
    <row r="7827" spans="1:6" x14ac:dyDescent="0.35">
      <c r="A7827">
        <v>1975</v>
      </c>
      <c r="B7827" s="1">
        <v>45851</v>
      </c>
      <c r="C7827" s="2">
        <v>4.1666666666666657E-2</v>
      </c>
      <c r="D7827">
        <v>3</v>
      </c>
      <c r="E7827">
        <v>14.9</v>
      </c>
      <c r="F7827">
        <v>97</v>
      </c>
    </row>
    <row r="7828" spans="1:6" x14ac:dyDescent="0.35">
      <c r="A7828">
        <v>1975</v>
      </c>
      <c r="B7828" s="1">
        <v>45851</v>
      </c>
      <c r="C7828" s="2">
        <v>8.3333333333333329E-2</v>
      </c>
      <c r="D7828">
        <v>3</v>
      </c>
      <c r="E7828">
        <v>15.4</v>
      </c>
      <c r="F7828">
        <v>93</v>
      </c>
    </row>
    <row r="7829" spans="1:6" x14ac:dyDescent="0.35">
      <c r="A7829">
        <v>1975</v>
      </c>
      <c r="B7829" s="1">
        <v>45851</v>
      </c>
      <c r="C7829" s="2">
        <v>0.125</v>
      </c>
      <c r="D7829">
        <v>3</v>
      </c>
      <c r="E7829">
        <v>14.6</v>
      </c>
      <c r="F7829">
        <v>96</v>
      </c>
    </row>
    <row r="7830" spans="1:6" x14ac:dyDescent="0.35">
      <c r="A7830">
        <v>1975</v>
      </c>
      <c r="B7830" s="1">
        <v>45851</v>
      </c>
      <c r="C7830" s="2">
        <v>0.16666666666666671</v>
      </c>
      <c r="D7830">
        <v>3</v>
      </c>
      <c r="E7830">
        <v>15.1</v>
      </c>
      <c r="F7830">
        <v>94</v>
      </c>
    </row>
    <row r="7831" spans="1:6" x14ac:dyDescent="0.35">
      <c r="A7831">
        <v>1975</v>
      </c>
      <c r="B7831" s="1">
        <v>45851</v>
      </c>
      <c r="C7831" s="2">
        <v>0.20833333333333329</v>
      </c>
      <c r="D7831">
        <v>3</v>
      </c>
      <c r="E7831">
        <v>15.5</v>
      </c>
      <c r="F7831">
        <v>91</v>
      </c>
    </row>
    <row r="7832" spans="1:6" x14ac:dyDescent="0.35">
      <c r="A7832">
        <v>1975</v>
      </c>
      <c r="B7832" s="1">
        <v>45851</v>
      </c>
      <c r="C7832" s="2">
        <v>0.25</v>
      </c>
      <c r="D7832">
        <v>3</v>
      </c>
      <c r="E7832">
        <v>16.100000000000001</v>
      </c>
      <c r="F7832">
        <v>89</v>
      </c>
    </row>
    <row r="7833" spans="1:6" x14ac:dyDescent="0.35">
      <c r="A7833">
        <v>1975</v>
      </c>
      <c r="B7833" s="1">
        <v>45851</v>
      </c>
      <c r="C7833" s="2">
        <v>0.29166666666666669</v>
      </c>
      <c r="D7833">
        <v>3</v>
      </c>
      <c r="E7833">
        <v>17</v>
      </c>
      <c r="F7833">
        <v>89</v>
      </c>
    </row>
    <row r="7834" spans="1:6" x14ac:dyDescent="0.35">
      <c r="A7834">
        <v>1975</v>
      </c>
      <c r="B7834" s="1">
        <v>45851</v>
      </c>
      <c r="C7834" s="2">
        <v>0.33333333333333331</v>
      </c>
      <c r="D7834">
        <v>3</v>
      </c>
      <c r="E7834">
        <v>17.3</v>
      </c>
      <c r="F7834">
        <v>87</v>
      </c>
    </row>
    <row r="7835" spans="1:6" x14ac:dyDescent="0.35">
      <c r="A7835">
        <v>1975</v>
      </c>
      <c r="B7835" s="1">
        <v>45851</v>
      </c>
      <c r="C7835" s="2">
        <v>0.375</v>
      </c>
      <c r="D7835">
        <v>3</v>
      </c>
      <c r="E7835">
        <v>18.100000000000001</v>
      </c>
      <c r="F7835">
        <v>89</v>
      </c>
    </row>
    <row r="7836" spans="1:6" x14ac:dyDescent="0.35">
      <c r="A7836">
        <v>1975</v>
      </c>
      <c r="B7836" s="1">
        <v>45851</v>
      </c>
      <c r="C7836" s="2">
        <v>0.41666666666666669</v>
      </c>
      <c r="D7836">
        <v>3</v>
      </c>
      <c r="E7836">
        <v>18.2</v>
      </c>
      <c r="F7836">
        <v>88</v>
      </c>
    </row>
    <row r="7837" spans="1:6" x14ac:dyDescent="0.35">
      <c r="A7837">
        <v>1975</v>
      </c>
      <c r="B7837" s="1">
        <v>45851</v>
      </c>
      <c r="C7837" s="2">
        <v>0.45833333333333331</v>
      </c>
      <c r="D7837">
        <v>3</v>
      </c>
      <c r="E7837">
        <v>18.2</v>
      </c>
      <c r="F7837">
        <v>89</v>
      </c>
    </row>
    <row r="7838" spans="1:6" x14ac:dyDescent="0.35">
      <c r="A7838">
        <v>1975</v>
      </c>
      <c r="B7838" s="1">
        <v>45851</v>
      </c>
      <c r="C7838" s="2">
        <v>0.5</v>
      </c>
      <c r="D7838">
        <v>3</v>
      </c>
      <c r="E7838">
        <v>19.7</v>
      </c>
      <c r="F7838">
        <v>84</v>
      </c>
    </row>
    <row r="7839" spans="1:6" x14ac:dyDescent="0.35">
      <c r="A7839">
        <v>1975</v>
      </c>
      <c r="B7839" s="1">
        <v>45851</v>
      </c>
      <c r="C7839" s="2">
        <v>0.54166666666666663</v>
      </c>
      <c r="D7839">
        <v>3</v>
      </c>
      <c r="E7839">
        <v>19.600000000000001</v>
      </c>
      <c r="F7839">
        <v>82</v>
      </c>
    </row>
    <row r="7840" spans="1:6" x14ac:dyDescent="0.35">
      <c r="A7840">
        <v>1975</v>
      </c>
      <c r="B7840" s="1">
        <v>45851</v>
      </c>
      <c r="C7840" s="2">
        <v>0.58333333333333337</v>
      </c>
      <c r="D7840">
        <v>3</v>
      </c>
      <c r="E7840">
        <v>21.2</v>
      </c>
      <c r="F7840">
        <v>71</v>
      </c>
    </row>
    <row r="7841" spans="1:6" x14ac:dyDescent="0.35">
      <c r="A7841">
        <v>1975</v>
      </c>
      <c r="B7841" s="1">
        <v>45851</v>
      </c>
      <c r="C7841" s="2">
        <v>0.625</v>
      </c>
      <c r="D7841">
        <v>3</v>
      </c>
      <c r="E7841">
        <v>21</v>
      </c>
      <c r="F7841">
        <v>71</v>
      </c>
    </row>
    <row r="7842" spans="1:6" x14ac:dyDescent="0.35">
      <c r="A7842">
        <v>1975</v>
      </c>
      <c r="B7842" s="1">
        <v>45851</v>
      </c>
      <c r="C7842" s="2">
        <v>0.66666666666666663</v>
      </c>
      <c r="D7842">
        <v>3</v>
      </c>
      <c r="E7842">
        <v>21</v>
      </c>
      <c r="F7842">
        <v>73</v>
      </c>
    </row>
    <row r="7843" spans="1:6" x14ac:dyDescent="0.35">
      <c r="A7843">
        <v>1975</v>
      </c>
      <c r="B7843" s="1">
        <v>45851</v>
      </c>
      <c r="C7843" s="2">
        <v>0.70833333333333337</v>
      </c>
      <c r="D7843">
        <v>3</v>
      </c>
      <c r="E7843">
        <v>19.7</v>
      </c>
      <c r="F7843">
        <v>85</v>
      </c>
    </row>
    <row r="7844" spans="1:6" x14ac:dyDescent="0.35">
      <c r="A7844">
        <v>1975</v>
      </c>
      <c r="B7844" s="1">
        <v>45851</v>
      </c>
      <c r="C7844" s="2">
        <v>0.75</v>
      </c>
      <c r="D7844">
        <v>3</v>
      </c>
      <c r="E7844">
        <v>19.600000000000001</v>
      </c>
      <c r="F7844">
        <v>87</v>
      </c>
    </row>
    <row r="7845" spans="1:6" x14ac:dyDescent="0.35">
      <c r="A7845">
        <v>1975</v>
      </c>
      <c r="B7845" s="1">
        <v>45851</v>
      </c>
      <c r="C7845" s="2">
        <v>0.79166666666666663</v>
      </c>
      <c r="D7845">
        <v>3</v>
      </c>
      <c r="E7845">
        <v>19.5</v>
      </c>
      <c r="F7845">
        <v>86</v>
      </c>
    </row>
    <row r="7846" spans="1:6" x14ac:dyDescent="0.35">
      <c r="A7846">
        <v>1975</v>
      </c>
      <c r="B7846" s="1">
        <v>45851</v>
      </c>
      <c r="C7846" s="2">
        <v>0.83333333333333337</v>
      </c>
      <c r="D7846">
        <v>3</v>
      </c>
      <c r="E7846">
        <v>18.899999999999999</v>
      </c>
      <c r="F7846">
        <v>84</v>
      </c>
    </row>
    <row r="7847" spans="1:6" x14ac:dyDescent="0.35">
      <c r="A7847">
        <v>1975</v>
      </c>
      <c r="B7847" s="1">
        <v>45851</v>
      </c>
      <c r="C7847" s="2">
        <v>0.875</v>
      </c>
      <c r="D7847">
        <v>3</v>
      </c>
      <c r="E7847">
        <v>18.100000000000001</v>
      </c>
      <c r="F7847">
        <v>87</v>
      </c>
    </row>
    <row r="7848" spans="1:6" x14ac:dyDescent="0.35">
      <c r="A7848">
        <v>1975</v>
      </c>
      <c r="B7848" s="1">
        <v>45851</v>
      </c>
      <c r="C7848" s="2">
        <v>0.91666666666666663</v>
      </c>
      <c r="D7848">
        <v>3</v>
      </c>
      <c r="E7848">
        <v>17.600000000000001</v>
      </c>
      <c r="F7848">
        <v>90</v>
      </c>
    </row>
    <row r="7849" spans="1:6" x14ac:dyDescent="0.35">
      <c r="A7849">
        <v>1975</v>
      </c>
      <c r="B7849" s="1">
        <v>45851</v>
      </c>
      <c r="C7849" s="2">
        <v>0.95833333333333337</v>
      </c>
      <c r="D7849">
        <v>3</v>
      </c>
      <c r="E7849">
        <v>16.2</v>
      </c>
      <c r="F7849">
        <v>100</v>
      </c>
    </row>
    <row r="7850" spans="1:6" x14ac:dyDescent="0.35">
      <c r="A7850">
        <v>1975</v>
      </c>
      <c r="B7850" s="1">
        <v>45852</v>
      </c>
      <c r="C7850" s="2">
        <v>0</v>
      </c>
      <c r="D7850">
        <v>3</v>
      </c>
      <c r="E7850">
        <v>14.9</v>
      </c>
      <c r="F7850">
        <v>100</v>
      </c>
    </row>
    <row r="7851" spans="1:6" x14ac:dyDescent="0.35">
      <c r="A7851">
        <v>1975</v>
      </c>
      <c r="B7851" s="1">
        <v>45852</v>
      </c>
      <c r="C7851" s="2">
        <v>4.1666666666666657E-2</v>
      </c>
      <c r="D7851">
        <v>3</v>
      </c>
      <c r="E7851">
        <v>15.2</v>
      </c>
      <c r="F7851">
        <v>100</v>
      </c>
    </row>
    <row r="7852" spans="1:6" x14ac:dyDescent="0.35">
      <c r="A7852">
        <v>1975</v>
      </c>
      <c r="B7852" s="1">
        <v>45852</v>
      </c>
      <c r="C7852" s="2">
        <v>8.3333333333333329E-2</v>
      </c>
      <c r="D7852">
        <v>3</v>
      </c>
      <c r="E7852">
        <v>14.7</v>
      </c>
      <c r="F7852">
        <v>100</v>
      </c>
    </row>
    <row r="7853" spans="1:6" x14ac:dyDescent="0.35">
      <c r="A7853">
        <v>1975</v>
      </c>
      <c r="B7853" s="1">
        <v>45852</v>
      </c>
      <c r="C7853" s="2">
        <v>0.125</v>
      </c>
      <c r="D7853">
        <v>3</v>
      </c>
      <c r="E7853">
        <v>15.6</v>
      </c>
      <c r="F7853">
        <v>100</v>
      </c>
    </row>
    <row r="7854" spans="1:6" x14ac:dyDescent="0.35">
      <c r="A7854">
        <v>1975</v>
      </c>
      <c r="B7854" s="1">
        <v>45852</v>
      </c>
      <c r="C7854" s="2">
        <v>0.16666666666666671</v>
      </c>
      <c r="D7854">
        <v>3</v>
      </c>
      <c r="E7854">
        <v>16</v>
      </c>
      <c r="F7854">
        <v>100</v>
      </c>
    </row>
    <row r="7855" spans="1:6" x14ac:dyDescent="0.35">
      <c r="A7855">
        <v>1975</v>
      </c>
      <c r="B7855" s="1">
        <v>45852</v>
      </c>
      <c r="C7855" s="2">
        <v>0.20833333333333329</v>
      </c>
      <c r="D7855">
        <v>3</v>
      </c>
      <c r="E7855">
        <v>16.8</v>
      </c>
      <c r="F7855">
        <v>97</v>
      </c>
    </row>
    <row r="7856" spans="1:6" x14ac:dyDescent="0.35">
      <c r="A7856">
        <v>1975</v>
      </c>
      <c r="B7856" s="1">
        <v>45852</v>
      </c>
      <c r="C7856" s="2">
        <v>0.25</v>
      </c>
      <c r="D7856">
        <v>3</v>
      </c>
      <c r="E7856">
        <v>17.3</v>
      </c>
      <c r="F7856">
        <v>92</v>
      </c>
    </row>
    <row r="7857" spans="1:6" x14ac:dyDescent="0.35">
      <c r="A7857">
        <v>1975</v>
      </c>
      <c r="B7857" s="1">
        <v>45852</v>
      </c>
      <c r="C7857" s="2">
        <v>0.29166666666666669</v>
      </c>
      <c r="D7857">
        <v>3</v>
      </c>
      <c r="E7857">
        <v>17.8</v>
      </c>
      <c r="F7857">
        <v>87</v>
      </c>
    </row>
    <row r="7858" spans="1:6" x14ac:dyDescent="0.35">
      <c r="A7858">
        <v>1975</v>
      </c>
      <c r="B7858" s="1">
        <v>45852</v>
      </c>
      <c r="C7858" s="2">
        <v>0.33333333333333331</v>
      </c>
      <c r="D7858">
        <v>3</v>
      </c>
      <c r="E7858">
        <v>18.100000000000001</v>
      </c>
      <c r="F7858">
        <v>86</v>
      </c>
    </row>
    <row r="7859" spans="1:6" x14ac:dyDescent="0.35">
      <c r="A7859">
        <v>1975</v>
      </c>
      <c r="B7859" s="1">
        <v>45852</v>
      </c>
      <c r="C7859" s="2">
        <v>0.375</v>
      </c>
      <c r="D7859">
        <v>3</v>
      </c>
      <c r="E7859">
        <v>18.7</v>
      </c>
      <c r="F7859">
        <v>82</v>
      </c>
    </row>
    <row r="7860" spans="1:6" x14ac:dyDescent="0.35">
      <c r="A7860">
        <v>1975</v>
      </c>
      <c r="B7860" s="1">
        <v>45852</v>
      </c>
      <c r="C7860" s="2">
        <v>0.41666666666666669</v>
      </c>
      <c r="D7860">
        <v>3</v>
      </c>
      <c r="E7860">
        <v>21.4</v>
      </c>
      <c r="F7860">
        <v>70</v>
      </c>
    </row>
    <row r="7861" spans="1:6" x14ac:dyDescent="0.35">
      <c r="A7861">
        <v>1975</v>
      </c>
      <c r="B7861" s="1">
        <v>45852</v>
      </c>
      <c r="C7861" s="2">
        <v>0.45833333333333331</v>
      </c>
      <c r="D7861">
        <v>3</v>
      </c>
      <c r="E7861">
        <v>21.5</v>
      </c>
      <c r="F7861">
        <v>69</v>
      </c>
    </row>
    <row r="7862" spans="1:6" x14ac:dyDescent="0.35">
      <c r="A7862">
        <v>1975</v>
      </c>
      <c r="B7862" s="1">
        <v>45852</v>
      </c>
      <c r="C7862" s="2">
        <v>0.5</v>
      </c>
      <c r="D7862">
        <v>3</v>
      </c>
      <c r="E7862">
        <v>23.8</v>
      </c>
      <c r="F7862">
        <v>57</v>
      </c>
    </row>
    <row r="7863" spans="1:6" x14ac:dyDescent="0.35">
      <c r="A7863">
        <v>1975</v>
      </c>
      <c r="B7863" s="1">
        <v>45852</v>
      </c>
      <c r="C7863" s="2">
        <v>0.54166666666666663</v>
      </c>
      <c r="D7863">
        <v>3</v>
      </c>
      <c r="E7863">
        <v>24.1</v>
      </c>
      <c r="F7863">
        <v>55</v>
      </c>
    </row>
    <row r="7864" spans="1:6" x14ac:dyDescent="0.35">
      <c r="A7864">
        <v>1975</v>
      </c>
      <c r="B7864" s="1">
        <v>45852</v>
      </c>
      <c r="C7864" s="2">
        <v>0.58333333333333337</v>
      </c>
      <c r="D7864">
        <v>3</v>
      </c>
      <c r="E7864">
        <v>25.3</v>
      </c>
      <c r="F7864">
        <v>52</v>
      </c>
    </row>
    <row r="7865" spans="1:6" x14ac:dyDescent="0.35">
      <c r="A7865">
        <v>1975</v>
      </c>
      <c r="B7865" s="1">
        <v>45852</v>
      </c>
      <c r="C7865" s="2">
        <v>0.625</v>
      </c>
      <c r="D7865">
        <v>3</v>
      </c>
      <c r="E7865">
        <v>24.5</v>
      </c>
      <c r="F7865">
        <v>51</v>
      </c>
    </row>
    <row r="7866" spans="1:6" x14ac:dyDescent="0.35">
      <c r="A7866">
        <v>1975</v>
      </c>
      <c r="B7866" s="1">
        <v>45852</v>
      </c>
      <c r="C7866" s="2">
        <v>0.66666666666666663</v>
      </c>
      <c r="D7866">
        <v>3</v>
      </c>
      <c r="E7866">
        <v>24.1</v>
      </c>
      <c r="F7866">
        <v>58</v>
      </c>
    </row>
    <row r="7867" spans="1:6" x14ac:dyDescent="0.35">
      <c r="A7867">
        <v>1975</v>
      </c>
      <c r="B7867" s="1">
        <v>45852</v>
      </c>
      <c r="C7867" s="2">
        <v>0.70833333333333337</v>
      </c>
      <c r="D7867">
        <v>3</v>
      </c>
      <c r="E7867">
        <v>23.9</v>
      </c>
      <c r="F7867">
        <v>56</v>
      </c>
    </row>
    <row r="7868" spans="1:6" x14ac:dyDescent="0.35">
      <c r="A7868">
        <v>1975</v>
      </c>
      <c r="B7868" s="1">
        <v>45852</v>
      </c>
      <c r="C7868" s="2">
        <v>0.75</v>
      </c>
      <c r="D7868">
        <v>3</v>
      </c>
      <c r="E7868">
        <v>23.2</v>
      </c>
      <c r="F7868">
        <v>59</v>
      </c>
    </row>
    <row r="7869" spans="1:6" x14ac:dyDescent="0.35">
      <c r="A7869">
        <v>1975</v>
      </c>
      <c r="B7869" s="1">
        <v>45852</v>
      </c>
      <c r="C7869" s="2">
        <v>0.79166666666666663</v>
      </c>
      <c r="D7869">
        <v>3</v>
      </c>
      <c r="E7869">
        <v>21.8</v>
      </c>
      <c r="F7869">
        <v>65</v>
      </c>
    </row>
    <row r="7870" spans="1:6" x14ac:dyDescent="0.35">
      <c r="A7870">
        <v>1975</v>
      </c>
      <c r="B7870" s="1">
        <v>45852</v>
      </c>
      <c r="C7870" s="2">
        <v>0.83333333333333337</v>
      </c>
      <c r="D7870">
        <v>3</v>
      </c>
      <c r="E7870">
        <v>19.8</v>
      </c>
      <c r="F7870">
        <v>74</v>
      </c>
    </row>
    <row r="7871" spans="1:6" x14ac:dyDescent="0.35">
      <c r="A7871">
        <v>1975</v>
      </c>
      <c r="B7871" s="1">
        <v>45852</v>
      </c>
      <c r="C7871" s="2">
        <v>0.875</v>
      </c>
      <c r="D7871">
        <v>3</v>
      </c>
      <c r="E7871">
        <v>18.3</v>
      </c>
      <c r="F7871">
        <v>78</v>
      </c>
    </row>
    <row r="7872" spans="1:6" x14ac:dyDescent="0.35">
      <c r="A7872">
        <v>1975</v>
      </c>
      <c r="B7872" s="1">
        <v>45852</v>
      </c>
      <c r="C7872" s="2">
        <v>0.91666666666666663</v>
      </c>
      <c r="D7872">
        <v>3</v>
      </c>
      <c r="E7872">
        <v>16.600000000000001</v>
      </c>
      <c r="F7872">
        <v>84</v>
      </c>
    </row>
    <row r="7873" spans="1:6" x14ac:dyDescent="0.35">
      <c r="A7873">
        <v>1975</v>
      </c>
      <c r="B7873" s="1">
        <v>45852</v>
      </c>
      <c r="C7873" s="2">
        <v>0.95833333333333337</v>
      </c>
      <c r="D7873">
        <v>3</v>
      </c>
      <c r="E7873">
        <v>16.100000000000001</v>
      </c>
      <c r="F7873">
        <v>90</v>
      </c>
    </row>
    <row r="7874" spans="1:6" x14ac:dyDescent="0.35">
      <c r="A7874">
        <v>1975</v>
      </c>
      <c r="B7874" s="1">
        <v>45853</v>
      </c>
      <c r="C7874" s="2">
        <v>0</v>
      </c>
      <c r="D7874">
        <v>3</v>
      </c>
      <c r="E7874">
        <v>16.399999999999999</v>
      </c>
      <c r="F7874">
        <v>91</v>
      </c>
    </row>
    <row r="7875" spans="1:6" x14ac:dyDescent="0.35">
      <c r="A7875">
        <v>1975</v>
      </c>
      <c r="B7875" s="1">
        <v>45853</v>
      </c>
      <c r="C7875" s="2">
        <v>4.1666666666666657E-2</v>
      </c>
      <c r="D7875">
        <v>3</v>
      </c>
      <c r="E7875">
        <v>17.2</v>
      </c>
      <c r="F7875">
        <v>87</v>
      </c>
    </row>
    <row r="7876" spans="1:6" x14ac:dyDescent="0.35">
      <c r="A7876">
        <v>1975</v>
      </c>
      <c r="B7876" s="1">
        <v>45853</v>
      </c>
      <c r="C7876" s="2">
        <v>8.3333333333333329E-2</v>
      </c>
      <c r="D7876">
        <v>3</v>
      </c>
      <c r="E7876">
        <v>18</v>
      </c>
      <c r="F7876">
        <v>84</v>
      </c>
    </row>
    <row r="7877" spans="1:6" x14ac:dyDescent="0.35">
      <c r="A7877">
        <v>1975</v>
      </c>
      <c r="B7877" s="1">
        <v>45853</v>
      </c>
      <c r="C7877" s="2">
        <v>0.125</v>
      </c>
      <c r="D7877">
        <v>3</v>
      </c>
      <c r="E7877">
        <v>17.5</v>
      </c>
      <c r="F7877">
        <v>87</v>
      </c>
    </row>
    <row r="7878" spans="1:6" x14ac:dyDescent="0.35">
      <c r="A7878">
        <v>1975</v>
      </c>
      <c r="B7878" s="1">
        <v>45853</v>
      </c>
      <c r="C7878" s="2">
        <v>0.16666666666666671</v>
      </c>
      <c r="D7878">
        <v>3</v>
      </c>
      <c r="E7878">
        <v>17.600000000000001</v>
      </c>
      <c r="F7878">
        <v>90</v>
      </c>
    </row>
    <row r="7879" spans="1:6" x14ac:dyDescent="0.35">
      <c r="A7879">
        <v>1975</v>
      </c>
      <c r="B7879" s="1">
        <v>45853</v>
      </c>
      <c r="C7879" s="2">
        <v>0.20833333333333329</v>
      </c>
      <c r="D7879">
        <v>3</v>
      </c>
      <c r="E7879">
        <v>17.8</v>
      </c>
      <c r="F7879">
        <v>88</v>
      </c>
    </row>
    <row r="7880" spans="1:6" x14ac:dyDescent="0.35">
      <c r="A7880">
        <v>1975</v>
      </c>
      <c r="B7880" s="1">
        <v>45853</v>
      </c>
      <c r="C7880" s="2">
        <v>0.25</v>
      </c>
      <c r="D7880">
        <v>3</v>
      </c>
      <c r="E7880">
        <v>18.5</v>
      </c>
      <c r="F7880">
        <v>84</v>
      </c>
    </row>
    <row r="7881" spans="1:6" x14ac:dyDescent="0.35">
      <c r="A7881">
        <v>1975</v>
      </c>
      <c r="B7881" s="1">
        <v>45853</v>
      </c>
      <c r="C7881" s="2">
        <v>0.29166666666666669</v>
      </c>
      <c r="D7881">
        <v>3</v>
      </c>
      <c r="E7881">
        <v>18.899999999999999</v>
      </c>
      <c r="F7881">
        <v>78</v>
      </c>
    </row>
    <row r="7882" spans="1:6" x14ac:dyDescent="0.35">
      <c r="A7882">
        <v>1975</v>
      </c>
      <c r="B7882" s="1">
        <v>45853</v>
      </c>
      <c r="C7882" s="2">
        <v>0.33333333333333331</v>
      </c>
      <c r="D7882">
        <v>3</v>
      </c>
      <c r="E7882">
        <v>19.2</v>
      </c>
      <c r="F7882">
        <v>76</v>
      </c>
    </row>
    <row r="7883" spans="1:6" x14ac:dyDescent="0.35">
      <c r="A7883">
        <v>1975</v>
      </c>
      <c r="B7883" s="1">
        <v>45853</v>
      </c>
      <c r="C7883" s="2">
        <v>0.375</v>
      </c>
      <c r="D7883">
        <v>3</v>
      </c>
      <c r="E7883">
        <v>17.8</v>
      </c>
      <c r="F7883">
        <v>78</v>
      </c>
    </row>
    <row r="7884" spans="1:6" x14ac:dyDescent="0.35">
      <c r="A7884">
        <v>1975</v>
      </c>
      <c r="B7884" s="1">
        <v>45853</v>
      </c>
      <c r="C7884" s="2">
        <v>0.41666666666666669</v>
      </c>
      <c r="D7884">
        <v>3</v>
      </c>
      <c r="E7884">
        <v>16.8</v>
      </c>
      <c r="F7884">
        <v>80</v>
      </c>
    </row>
    <row r="7885" spans="1:6" x14ac:dyDescent="0.35">
      <c r="A7885">
        <v>1975</v>
      </c>
      <c r="B7885" s="1">
        <v>45853</v>
      </c>
      <c r="C7885" s="2">
        <v>0.45833333333333331</v>
      </c>
      <c r="D7885">
        <v>3</v>
      </c>
      <c r="E7885">
        <v>16.399999999999999</v>
      </c>
      <c r="F7885">
        <v>93</v>
      </c>
    </row>
    <row r="7886" spans="1:6" x14ac:dyDescent="0.35">
      <c r="A7886">
        <v>1975</v>
      </c>
      <c r="B7886" s="1">
        <v>45853</v>
      </c>
      <c r="C7886" s="2">
        <v>0.5</v>
      </c>
      <c r="D7886">
        <v>3</v>
      </c>
      <c r="E7886">
        <v>18.2</v>
      </c>
      <c r="F7886">
        <v>86</v>
      </c>
    </row>
    <row r="7887" spans="1:6" x14ac:dyDescent="0.35">
      <c r="A7887">
        <v>1975</v>
      </c>
      <c r="B7887" s="1">
        <v>45853</v>
      </c>
      <c r="C7887" s="2">
        <v>0.54166666666666663</v>
      </c>
      <c r="D7887">
        <v>3</v>
      </c>
      <c r="E7887">
        <v>19.3</v>
      </c>
      <c r="F7887">
        <v>75</v>
      </c>
    </row>
    <row r="7888" spans="1:6" x14ac:dyDescent="0.35">
      <c r="A7888">
        <v>1975</v>
      </c>
      <c r="B7888" s="1">
        <v>45853</v>
      </c>
      <c r="C7888" s="2">
        <v>0.58333333333333337</v>
      </c>
      <c r="D7888">
        <v>3</v>
      </c>
      <c r="E7888">
        <v>20.8</v>
      </c>
      <c r="F7888">
        <v>56</v>
      </c>
    </row>
    <row r="7889" spans="1:6" x14ac:dyDescent="0.35">
      <c r="A7889">
        <v>1975</v>
      </c>
      <c r="B7889" s="1">
        <v>45853</v>
      </c>
      <c r="C7889" s="2">
        <v>0.625</v>
      </c>
      <c r="D7889">
        <v>3</v>
      </c>
      <c r="E7889">
        <v>20.5</v>
      </c>
      <c r="F7889">
        <v>57</v>
      </c>
    </row>
    <row r="7890" spans="1:6" x14ac:dyDescent="0.35">
      <c r="A7890">
        <v>1975</v>
      </c>
      <c r="B7890" s="1">
        <v>45853</v>
      </c>
      <c r="C7890" s="2">
        <v>0.66666666666666663</v>
      </c>
      <c r="D7890">
        <v>3</v>
      </c>
      <c r="E7890">
        <v>20.3</v>
      </c>
      <c r="F7890">
        <v>56</v>
      </c>
    </row>
    <row r="7891" spans="1:6" x14ac:dyDescent="0.35">
      <c r="A7891">
        <v>1975</v>
      </c>
      <c r="B7891" s="1">
        <v>45853</v>
      </c>
      <c r="C7891" s="2">
        <v>0.70833333333333337</v>
      </c>
      <c r="D7891">
        <v>3</v>
      </c>
      <c r="E7891">
        <v>19.3</v>
      </c>
      <c r="F7891">
        <v>59</v>
      </c>
    </row>
    <row r="7892" spans="1:6" x14ac:dyDescent="0.35">
      <c r="A7892">
        <v>1975</v>
      </c>
      <c r="B7892" s="1">
        <v>45853</v>
      </c>
      <c r="C7892" s="2">
        <v>0.75</v>
      </c>
      <c r="D7892">
        <v>3</v>
      </c>
      <c r="E7892">
        <v>18.899999999999999</v>
      </c>
      <c r="F7892">
        <v>59</v>
      </c>
    </row>
    <row r="7893" spans="1:6" x14ac:dyDescent="0.35">
      <c r="A7893">
        <v>1975</v>
      </c>
      <c r="B7893" s="1">
        <v>45853</v>
      </c>
      <c r="C7893" s="2">
        <v>0.79166666666666663</v>
      </c>
      <c r="D7893">
        <v>3</v>
      </c>
      <c r="E7893">
        <v>17.5</v>
      </c>
      <c r="F7893">
        <v>63</v>
      </c>
    </row>
    <row r="7894" spans="1:6" x14ac:dyDescent="0.35">
      <c r="A7894">
        <v>1975</v>
      </c>
      <c r="B7894" s="1">
        <v>45853</v>
      </c>
      <c r="C7894" s="2">
        <v>0.83333333333333337</v>
      </c>
      <c r="D7894">
        <v>3</v>
      </c>
      <c r="E7894">
        <v>16.399999999999999</v>
      </c>
      <c r="F7894">
        <v>70</v>
      </c>
    </row>
    <row r="7895" spans="1:6" x14ac:dyDescent="0.35">
      <c r="A7895">
        <v>1975</v>
      </c>
      <c r="B7895" s="1">
        <v>45853</v>
      </c>
      <c r="C7895" s="2">
        <v>0.875</v>
      </c>
      <c r="D7895">
        <v>3</v>
      </c>
      <c r="E7895">
        <v>14.8</v>
      </c>
      <c r="F7895">
        <v>83</v>
      </c>
    </row>
    <row r="7896" spans="1:6" x14ac:dyDescent="0.35">
      <c r="A7896">
        <v>1975</v>
      </c>
      <c r="B7896" s="1">
        <v>45853</v>
      </c>
      <c r="C7896" s="2">
        <v>0.91666666666666663</v>
      </c>
      <c r="D7896">
        <v>3</v>
      </c>
      <c r="E7896">
        <v>13.1</v>
      </c>
      <c r="F7896">
        <v>94</v>
      </c>
    </row>
    <row r="7897" spans="1:6" x14ac:dyDescent="0.35">
      <c r="A7897">
        <v>1975</v>
      </c>
      <c r="B7897" s="1">
        <v>45853</v>
      </c>
      <c r="C7897" s="2">
        <v>0.95833333333333337</v>
      </c>
      <c r="D7897">
        <v>3</v>
      </c>
      <c r="E7897">
        <v>12.3</v>
      </c>
      <c r="F7897">
        <v>98</v>
      </c>
    </row>
    <row r="7898" spans="1:6" x14ac:dyDescent="0.35">
      <c r="A7898">
        <v>1975</v>
      </c>
      <c r="B7898" s="1">
        <v>45854</v>
      </c>
      <c r="C7898" s="2">
        <v>0</v>
      </c>
      <c r="D7898">
        <v>3</v>
      </c>
      <c r="E7898">
        <v>13.1</v>
      </c>
      <c r="F7898">
        <v>96</v>
      </c>
    </row>
    <row r="7899" spans="1:6" x14ac:dyDescent="0.35">
      <c r="A7899">
        <v>1975</v>
      </c>
      <c r="B7899" s="1">
        <v>45854</v>
      </c>
      <c r="C7899" s="2">
        <v>4.1666666666666657E-2</v>
      </c>
      <c r="D7899">
        <v>3</v>
      </c>
      <c r="E7899">
        <v>13</v>
      </c>
      <c r="F7899">
        <v>95</v>
      </c>
    </row>
    <row r="7900" spans="1:6" x14ac:dyDescent="0.35">
      <c r="A7900">
        <v>1975</v>
      </c>
      <c r="B7900" s="1">
        <v>45854</v>
      </c>
      <c r="C7900" s="2">
        <v>8.3333333333333329E-2</v>
      </c>
      <c r="D7900">
        <v>3</v>
      </c>
      <c r="E7900">
        <v>11.8</v>
      </c>
      <c r="F7900">
        <v>100</v>
      </c>
    </row>
    <row r="7901" spans="1:6" x14ac:dyDescent="0.35">
      <c r="A7901">
        <v>1975</v>
      </c>
      <c r="B7901" s="1">
        <v>45854</v>
      </c>
      <c r="C7901" s="2">
        <v>0.125</v>
      </c>
      <c r="D7901">
        <v>3</v>
      </c>
      <c r="E7901">
        <v>12.3</v>
      </c>
      <c r="F7901">
        <v>99</v>
      </c>
    </row>
    <row r="7902" spans="1:6" x14ac:dyDescent="0.35">
      <c r="A7902">
        <v>1975</v>
      </c>
      <c r="B7902" s="1">
        <v>45854</v>
      </c>
      <c r="C7902" s="2">
        <v>0.16666666666666671</v>
      </c>
      <c r="D7902">
        <v>3</v>
      </c>
      <c r="E7902">
        <v>12.9</v>
      </c>
      <c r="F7902">
        <v>99</v>
      </c>
    </row>
    <row r="7903" spans="1:6" x14ac:dyDescent="0.35">
      <c r="A7903">
        <v>1975</v>
      </c>
      <c r="B7903" s="1">
        <v>45854</v>
      </c>
      <c r="C7903" s="2">
        <v>0.20833333333333329</v>
      </c>
      <c r="D7903">
        <v>3</v>
      </c>
      <c r="E7903">
        <v>14.4</v>
      </c>
      <c r="F7903">
        <v>93</v>
      </c>
    </row>
    <row r="7904" spans="1:6" x14ac:dyDescent="0.35">
      <c r="A7904">
        <v>1975</v>
      </c>
      <c r="B7904" s="1">
        <v>45854</v>
      </c>
      <c r="C7904" s="2">
        <v>0.25</v>
      </c>
      <c r="D7904">
        <v>3</v>
      </c>
      <c r="E7904">
        <v>14.7</v>
      </c>
      <c r="F7904">
        <v>91</v>
      </c>
    </row>
    <row r="7905" spans="1:6" x14ac:dyDescent="0.35">
      <c r="A7905">
        <v>1975</v>
      </c>
      <c r="B7905" s="1">
        <v>45854</v>
      </c>
      <c r="C7905" s="2">
        <v>0.29166666666666669</v>
      </c>
      <c r="D7905">
        <v>3</v>
      </c>
      <c r="E7905">
        <v>14.3</v>
      </c>
      <c r="F7905">
        <v>95</v>
      </c>
    </row>
    <row r="7906" spans="1:6" x14ac:dyDescent="0.35">
      <c r="A7906">
        <v>1975</v>
      </c>
      <c r="B7906" s="1">
        <v>45854</v>
      </c>
      <c r="C7906" s="2">
        <v>0.33333333333333331</v>
      </c>
      <c r="D7906">
        <v>3</v>
      </c>
      <c r="E7906">
        <v>14.7</v>
      </c>
      <c r="F7906">
        <v>93</v>
      </c>
    </row>
    <row r="7907" spans="1:6" x14ac:dyDescent="0.35">
      <c r="A7907">
        <v>1975</v>
      </c>
      <c r="B7907" s="1">
        <v>45854</v>
      </c>
      <c r="C7907" s="2">
        <v>0.375</v>
      </c>
      <c r="D7907">
        <v>3</v>
      </c>
      <c r="E7907">
        <v>16.3</v>
      </c>
      <c r="F7907">
        <v>87</v>
      </c>
    </row>
    <row r="7908" spans="1:6" x14ac:dyDescent="0.35">
      <c r="A7908">
        <v>1975</v>
      </c>
      <c r="B7908" s="1">
        <v>45854</v>
      </c>
      <c r="C7908" s="2">
        <v>0.41666666666666669</v>
      </c>
      <c r="D7908">
        <v>3</v>
      </c>
      <c r="E7908">
        <v>18.899999999999999</v>
      </c>
      <c r="F7908">
        <v>72</v>
      </c>
    </row>
    <row r="7909" spans="1:6" x14ac:dyDescent="0.35">
      <c r="A7909">
        <v>1975</v>
      </c>
      <c r="B7909" s="1">
        <v>45854</v>
      </c>
      <c r="C7909" s="2">
        <v>0.45833333333333331</v>
      </c>
      <c r="D7909">
        <v>3</v>
      </c>
      <c r="E7909">
        <v>19.3</v>
      </c>
      <c r="F7909">
        <v>58</v>
      </c>
    </row>
    <row r="7910" spans="1:6" x14ac:dyDescent="0.35">
      <c r="A7910">
        <v>1975</v>
      </c>
      <c r="B7910" s="1">
        <v>45854</v>
      </c>
      <c r="C7910" s="2">
        <v>0.5</v>
      </c>
      <c r="D7910">
        <v>3</v>
      </c>
      <c r="E7910">
        <v>19</v>
      </c>
      <c r="F7910">
        <v>63</v>
      </c>
    </row>
    <row r="7911" spans="1:6" x14ac:dyDescent="0.35">
      <c r="A7911">
        <v>1975</v>
      </c>
      <c r="B7911" s="1">
        <v>45854</v>
      </c>
      <c r="C7911" s="2">
        <v>0.54166666666666663</v>
      </c>
      <c r="D7911">
        <v>3</v>
      </c>
      <c r="E7911">
        <v>19.399999999999999</v>
      </c>
      <c r="F7911">
        <v>61</v>
      </c>
    </row>
    <row r="7912" spans="1:6" x14ac:dyDescent="0.35">
      <c r="A7912">
        <v>1975</v>
      </c>
      <c r="B7912" s="1">
        <v>45854</v>
      </c>
      <c r="C7912" s="2">
        <v>0.58333333333333337</v>
      </c>
      <c r="D7912">
        <v>3</v>
      </c>
      <c r="E7912">
        <v>20.3</v>
      </c>
      <c r="F7912">
        <v>58</v>
      </c>
    </row>
    <row r="7913" spans="1:6" x14ac:dyDescent="0.35">
      <c r="A7913">
        <v>1975</v>
      </c>
      <c r="B7913" s="1">
        <v>45854</v>
      </c>
      <c r="C7913" s="2">
        <v>0.625</v>
      </c>
      <c r="D7913">
        <v>3</v>
      </c>
      <c r="E7913">
        <v>21.4</v>
      </c>
      <c r="F7913">
        <v>55</v>
      </c>
    </row>
    <row r="7914" spans="1:6" x14ac:dyDescent="0.35">
      <c r="A7914">
        <v>1975</v>
      </c>
      <c r="B7914" s="1">
        <v>45854</v>
      </c>
      <c r="C7914" s="2">
        <v>0.66666666666666663</v>
      </c>
      <c r="D7914">
        <v>3</v>
      </c>
      <c r="E7914">
        <v>21.7</v>
      </c>
      <c r="F7914">
        <v>56</v>
      </c>
    </row>
    <row r="7915" spans="1:6" x14ac:dyDescent="0.35">
      <c r="A7915">
        <v>1975</v>
      </c>
      <c r="B7915" s="1">
        <v>45854</v>
      </c>
      <c r="C7915" s="2">
        <v>0.70833333333333337</v>
      </c>
      <c r="D7915">
        <v>3</v>
      </c>
      <c r="E7915">
        <v>21.2</v>
      </c>
      <c r="F7915">
        <v>57</v>
      </c>
    </row>
    <row r="7916" spans="1:6" x14ac:dyDescent="0.35">
      <c r="A7916">
        <v>1975</v>
      </c>
      <c r="B7916" s="1">
        <v>45854</v>
      </c>
      <c r="C7916" s="2">
        <v>0.75</v>
      </c>
      <c r="D7916">
        <v>3</v>
      </c>
      <c r="E7916">
        <v>20.6</v>
      </c>
      <c r="F7916">
        <v>59</v>
      </c>
    </row>
    <row r="7917" spans="1:6" x14ac:dyDescent="0.35">
      <c r="A7917">
        <v>1975</v>
      </c>
      <c r="B7917" s="1">
        <v>45854</v>
      </c>
      <c r="C7917" s="2">
        <v>0.79166666666666663</v>
      </c>
      <c r="D7917">
        <v>3</v>
      </c>
      <c r="E7917">
        <v>18.8</v>
      </c>
      <c r="F7917">
        <v>75</v>
      </c>
    </row>
    <row r="7918" spans="1:6" x14ac:dyDescent="0.35">
      <c r="A7918">
        <v>1975</v>
      </c>
      <c r="B7918" s="1">
        <v>45854</v>
      </c>
      <c r="C7918" s="2">
        <v>0.83333333333333337</v>
      </c>
      <c r="D7918">
        <v>3</v>
      </c>
      <c r="E7918">
        <v>17.600000000000001</v>
      </c>
      <c r="F7918">
        <v>82</v>
      </c>
    </row>
    <row r="7919" spans="1:6" x14ac:dyDescent="0.35">
      <c r="A7919">
        <v>1975</v>
      </c>
      <c r="B7919" s="1">
        <v>45854</v>
      </c>
      <c r="C7919" s="2">
        <v>0.875</v>
      </c>
      <c r="D7919">
        <v>3</v>
      </c>
      <c r="E7919">
        <v>16.7</v>
      </c>
      <c r="F7919">
        <v>85</v>
      </c>
    </row>
    <row r="7920" spans="1:6" x14ac:dyDescent="0.35">
      <c r="A7920">
        <v>1975</v>
      </c>
      <c r="B7920" s="1">
        <v>45854</v>
      </c>
      <c r="C7920" s="2">
        <v>0.91666666666666663</v>
      </c>
      <c r="D7920">
        <v>3</v>
      </c>
      <c r="E7920">
        <v>15.9</v>
      </c>
      <c r="F7920">
        <v>80</v>
      </c>
    </row>
    <row r="7921" spans="1:6" x14ac:dyDescent="0.35">
      <c r="A7921">
        <v>1975</v>
      </c>
      <c r="B7921" s="1">
        <v>45854</v>
      </c>
      <c r="C7921" s="2">
        <v>0.95833333333333337</v>
      </c>
      <c r="D7921">
        <v>3</v>
      </c>
      <c r="E7921">
        <v>14.8</v>
      </c>
      <c r="F7921">
        <v>80</v>
      </c>
    </row>
    <row r="7922" spans="1:6" x14ac:dyDescent="0.35">
      <c r="A7922">
        <v>1975</v>
      </c>
      <c r="B7922" s="1">
        <v>45855</v>
      </c>
      <c r="C7922" s="2">
        <v>0</v>
      </c>
      <c r="D7922">
        <v>3</v>
      </c>
      <c r="E7922">
        <v>13.6</v>
      </c>
      <c r="F7922">
        <v>85</v>
      </c>
    </row>
    <row r="7923" spans="1:6" x14ac:dyDescent="0.35">
      <c r="A7923">
        <v>1975</v>
      </c>
      <c r="B7923" s="1">
        <v>45855</v>
      </c>
      <c r="C7923" s="2">
        <v>4.1666666666666657E-2</v>
      </c>
      <c r="D7923">
        <v>3</v>
      </c>
      <c r="E7923">
        <v>13.7</v>
      </c>
      <c r="F7923">
        <v>88</v>
      </c>
    </row>
    <row r="7924" spans="1:6" x14ac:dyDescent="0.35">
      <c r="A7924">
        <v>1975</v>
      </c>
      <c r="B7924" s="1">
        <v>45855</v>
      </c>
      <c r="C7924" s="2">
        <v>8.3333333333333329E-2</v>
      </c>
      <c r="D7924">
        <v>3</v>
      </c>
      <c r="E7924">
        <v>14</v>
      </c>
      <c r="F7924">
        <v>91</v>
      </c>
    </row>
    <row r="7925" spans="1:6" x14ac:dyDescent="0.35">
      <c r="A7925">
        <v>1975</v>
      </c>
      <c r="B7925" s="1">
        <v>45855</v>
      </c>
      <c r="C7925" s="2">
        <v>0.125</v>
      </c>
      <c r="D7925">
        <v>3</v>
      </c>
      <c r="E7925">
        <v>14.8</v>
      </c>
      <c r="F7925">
        <v>92</v>
      </c>
    </row>
    <row r="7926" spans="1:6" x14ac:dyDescent="0.35">
      <c r="A7926">
        <v>1975</v>
      </c>
      <c r="B7926" s="1">
        <v>45855</v>
      </c>
      <c r="C7926" s="2">
        <v>0.16666666666666671</v>
      </c>
      <c r="D7926">
        <v>3</v>
      </c>
      <c r="E7926">
        <v>15.4</v>
      </c>
      <c r="F7926">
        <v>91</v>
      </c>
    </row>
    <row r="7927" spans="1:6" x14ac:dyDescent="0.35">
      <c r="A7927">
        <v>1975</v>
      </c>
      <c r="B7927" s="1">
        <v>45855</v>
      </c>
      <c r="C7927" s="2">
        <v>0.20833333333333329</v>
      </c>
      <c r="D7927">
        <v>3</v>
      </c>
      <c r="E7927">
        <v>15.7</v>
      </c>
      <c r="F7927">
        <v>93</v>
      </c>
    </row>
    <row r="7928" spans="1:6" x14ac:dyDescent="0.35">
      <c r="A7928">
        <v>1975</v>
      </c>
      <c r="B7928" s="1">
        <v>45855</v>
      </c>
      <c r="C7928" s="2">
        <v>0.25</v>
      </c>
      <c r="D7928">
        <v>3</v>
      </c>
      <c r="E7928">
        <v>16.399999999999999</v>
      </c>
      <c r="F7928">
        <v>94</v>
      </c>
    </row>
    <row r="7929" spans="1:6" x14ac:dyDescent="0.35">
      <c r="A7929">
        <v>1975</v>
      </c>
      <c r="B7929" s="1">
        <v>45855</v>
      </c>
      <c r="C7929" s="2">
        <v>0.29166666666666669</v>
      </c>
      <c r="D7929">
        <v>3</v>
      </c>
      <c r="E7929">
        <v>16.399999999999999</v>
      </c>
      <c r="F7929">
        <v>98</v>
      </c>
    </row>
    <row r="7930" spans="1:6" x14ac:dyDescent="0.35">
      <c r="A7930">
        <v>1975</v>
      </c>
      <c r="B7930" s="1">
        <v>45855</v>
      </c>
      <c r="C7930" s="2">
        <v>0.33333333333333331</v>
      </c>
      <c r="D7930">
        <v>3</v>
      </c>
      <c r="E7930">
        <v>16.7</v>
      </c>
      <c r="F7930">
        <v>99</v>
      </c>
    </row>
    <row r="7931" spans="1:6" x14ac:dyDescent="0.35">
      <c r="A7931">
        <v>1975</v>
      </c>
      <c r="B7931" s="1">
        <v>45855</v>
      </c>
      <c r="C7931" s="2">
        <v>0.375</v>
      </c>
      <c r="D7931">
        <v>3</v>
      </c>
      <c r="E7931">
        <v>17.5</v>
      </c>
      <c r="F7931">
        <v>99</v>
      </c>
    </row>
    <row r="7932" spans="1:6" x14ac:dyDescent="0.35">
      <c r="A7932">
        <v>1975</v>
      </c>
      <c r="B7932" s="1">
        <v>45855</v>
      </c>
      <c r="C7932" s="2">
        <v>0.41666666666666669</v>
      </c>
      <c r="D7932">
        <v>3</v>
      </c>
      <c r="E7932">
        <v>19.7</v>
      </c>
      <c r="F7932">
        <v>94</v>
      </c>
    </row>
    <row r="7933" spans="1:6" x14ac:dyDescent="0.35">
      <c r="A7933">
        <v>1975</v>
      </c>
      <c r="B7933" s="1">
        <v>45855</v>
      </c>
      <c r="C7933" s="2">
        <v>0.45833333333333331</v>
      </c>
      <c r="D7933">
        <v>3</v>
      </c>
      <c r="E7933">
        <v>19.5</v>
      </c>
      <c r="F7933">
        <v>91</v>
      </c>
    </row>
    <row r="7934" spans="1:6" x14ac:dyDescent="0.35">
      <c r="A7934">
        <v>1975</v>
      </c>
      <c r="B7934" s="1">
        <v>45855</v>
      </c>
      <c r="C7934" s="2">
        <v>0.5</v>
      </c>
      <c r="D7934">
        <v>3</v>
      </c>
      <c r="E7934">
        <v>19.899999999999999</v>
      </c>
      <c r="F7934">
        <v>89</v>
      </c>
    </row>
    <row r="7935" spans="1:6" x14ac:dyDescent="0.35">
      <c r="A7935">
        <v>1975</v>
      </c>
      <c r="B7935" s="1">
        <v>45855</v>
      </c>
      <c r="C7935" s="2">
        <v>0.54166666666666663</v>
      </c>
      <c r="D7935">
        <v>3</v>
      </c>
      <c r="E7935">
        <v>20.3</v>
      </c>
      <c r="F7935">
        <v>84</v>
      </c>
    </row>
    <row r="7936" spans="1:6" x14ac:dyDescent="0.35">
      <c r="A7936">
        <v>1975</v>
      </c>
      <c r="B7936" s="1">
        <v>45855</v>
      </c>
      <c r="C7936" s="2">
        <v>0.58333333333333337</v>
      </c>
      <c r="D7936">
        <v>3</v>
      </c>
      <c r="E7936">
        <v>20.8</v>
      </c>
      <c r="F7936">
        <v>82</v>
      </c>
    </row>
    <row r="7937" spans="1:6" x14ac:dyDescent="0.35">
      <c r="A7937">
        <v>1975</v>
      </c>
      <c r="B7937" s="1">
        <v>45855</v>
      </c>
      <c r="C7937" s="2">
        <v>0.625</v>
      </c>
      <c r="D7937">
        <v>3</v>
      </c>
      <c r="E7937">
        <v>20.399999999999999</v>
      </c>
      <c r="F7937">
        <v>84</v>
      </c>
    </row>
    <row r="7938" spans="1:6" x14ac:dyDescent="0.35">
      <c r="A7938">
        <v>1975</v>
      </c>
      <c r="B7938" s="1">
        <v>45855</v>
      </c>
      <c r="C7938" s="2">
        <v>0.66666666666666663</v>
      </c>
      <c r="D7938">
        <v>3</v>
      </c>
      <c r="E7938">
        <v>20.6</v>
      </c>
      <c r="F7938">
        <v>82</v>
      </c>
    </row>
    <row r="7939" spans="1:6" x14ac:dyDescent="0.35">
      <c r="A7939">
        <v>1975</v>
      </c>
      <c r="B7939" s="1">
        <v>45855</v>
      </c>
      <c r="C7939" s="2">
        <v>0.70833333333333337</v>
      </c>
      <c r="D7939">
        <v>3</v>
      </c>
      <c r="E7939">
        <v>20</v>
      </c>
      <c r="F7939">
        <v>85</v>
      </c>
    </row>
    <row r="7940" spans="1:6" x14ac:dyDescent="0.35">
      <c r="A7940">
        <v>1975</v>
      </c>
      <c r="B7940" s="1">
        <v>45855</v>
      </c>
      <c r="C7940" s="2">
        <v>0.75</v>
      </c>
      <c r="D7940">
        <v>3</v>
      </c>
      <c r="E7940">
        <v>18.7</v>
      </c>
      <c r="F7940">
        <v>95</v>
      </c>
    </row>
    <row r="7941" spans="1:6" x14ac:dyDescent="0.35">
      <c r="A7941">
        <v>1975</v>
      </c>
      <c r="B7941" s="1">
        <v>45855</v>
      </c>
      <c r="C7941" s="2">
        <v>0.79166666666666663</v>
      </c>
      <c r="D7941">
        <v>3</v>
      </c>
      <c r="E7941">
        <v>18.3</v>
      </c>
      <c r="F7941">
        <v>99</v>
      </c>
    </row>
    <row r="7942" spans="1:6" x14ac:dyDescent="0.35">
      <c r="A7942">
        <v>1975</v>
      </c>
      <c r="B7942" s="1">
        <v>45855</v>
      </c>
      <c r="C7942" s="2">
        <v>0.83333333333333337</v>
      </c>
      <c r="D7942">
        <v>3</v>
      </c>
      <c r="E7942">
        <v>18.3</v>
      </c>
      <c r="F7942">
        <v>99</v>
      </c>
    </row>
    <row r="7943" spans="1:6" x14ac:dyDescent="0.35">
      <c r="A7943">
        <v>1975</v>
      </c>
      <c r="B7943" s="1">
        <v>45855</v>
      </c>
      <c r="C7943" s="2">
        <v>0.875</v>
      </c>
      <c r="D7943">
        <v>3</v>
      </c>
      <c r="E7943">
        <v>18.100000000000001</v>
      </c>
      <c r="F7943">
        <v>100</v>
      </c>
    </row>
    <row r="7944" spans="1:6" x14ac:dyDescent="0.35">
      <c r="A7944">
        <v>1975</v>
      </c>
      <c r="B7944" s="1">
        <v>45855</v>
      </c>
      <c r="C7944" s="2">
        <v>0.91666666666666663</v>
      </c>
      <c r="D7944">
        <v>3</v>
      </c>
      <c r="E7944">
        <v>18.100000000000001</v>
      </c>
      <c r="F7944">
        <v>100</v>
      </c>
    </row>
    <row r="7945" spans="1:6" x14ac:dyDescent="0.35">
      <c r="A7945">
        <v>1975</v>
      </c>
      <c r="B7945" s="1">
        <v>45855</v>
      </c>
      <c r="C7945" s="2">
        <v>0.95833333333333337</v>
      </c>
      <c r="D7945">
        <v>3</v>
      </c>
      <c r="E7945">
        <v>17.899999999999999</v>
      </c>
      <c r="F7945">
        <v>100</v>
      </c>
    </row>
    <row r="7946" spans="1:6" x14ac:dyDescent="0.35">
      <c r="A7946">
        <v>1975</v>
      </c>
      <c r="B7946" s="1">
        <v>45856</v>
      </c>
      <c r="C7946" s="2">
        <v>0</v>
      </c>
      <c r="D7946">
        <v>3</v>
      </c>
      <c r="E7946">
        <v>17.899999999999999</v>
      </c>
      <c r="F7946">
        <v>100</v>
      </c>
    </row>
    <row r="7947" spans="1:6" x14ac:dyDescent="0.35">
      <c r="A7947">
        <v>1975</v>
      </c>
      <c r="B7947" s="1">
        <v>45856</v>
      </c>
      <c r="C7947" s="2">
        <v>4.1666666666666657E-2</v>
      </c>
      <c r="D7947">
        <v>3</v>
      </c>
      <c r="E7947">
        <v>17.8</v>
      </c>
      <c r="F7947">
        <v>100</v>
      </c>
    </row>
    <row r="7948" spans="1:6" x14ac:dyDescent="0.35">
      <c r="A7948">
        <v>1975</v>
      </c>
      <c r="B7948" s="1">
        <v>45856</v>
      </c>
      <c r="C7948" s="2">
        <v>8.3333333333333329E-2</v>
      </c>
      <c r="D7948">
        <v>3</v>
      </c>
      <c r="E7948">
        <v>17.600000000000001</v>
      </c>
      <c r="F7948">
        <v>100</v>
      </c>
    </row>
    <row r="7949" spans="1:6" x14ac:dyDescent="0.35">
      <c r="A7949">
        <v>1975</v>
      </c>
      <c r="B7949" s="1">
        <v>45856</v>
      </c>
      <c r="C7949" s="2">
        <v>0.125</v>
      </c>
      <c r="D7949">
        <v>3</v>
      </c>
      <c r="E7949">
        <v>17.399999999999999</v>
      </c>
      <c r="F7949">
        <v>100</v>
      </c>
    </row>
    <row r="7950" spans="1:6" x14ac:dyDescent="0.35">
      <c r="A7950">
        <v>1975</v>
      </c>
      <c r="B7950" s="1">
        <v>45856</v>
      </c>
      <c r="C7950" s="2">
        <v>0.16666666666666671</v>
      </c>
      <c r="D7950">
        <v>3</v>
      </c>
      <c r="E7950">
        <v>17.3</v>
      </c>
      <c r="F7950">
        <v>100</v>
      </c>
    </row>
    <row r="7951" spans="1:6" x14ac:dyDescent="0.35">
      <c r="A7951">
        <v>1975</v>
      </c>
      <c r="B7951" s="1">
        <v>45856</v>
      </c>
      <c r="C7951" s="2">
        <v>0.20833333333333329</v>
      </c>
      <c r="D7951">
        <v>3</v>
      </c>
      <c r="E7951">
        <v>17.600000000000001</v>
      </c>
      <c r="F7951">
        <v>100</v>
      </c>
    </row>
    <row r="7952" spans="1:6" x14ac:dyDescent="0.35">
      <c r="A7952">
        <v>1975</v>
      </c>
      <c r="B7952" s="1">
        <v>45856</v>
      </c>
      <c r="C7952" s="2">
        <v>0.25</v>
      </c>
      <c r="D7952">
        <v>3</v>
      </c>
      <c r="E7952">
        <v>17.899999999999999</v>
      </c>
      <c r="F7952">
        <v>98</v>
      </c>
    </row>
    <row r="7953" spans="1:6" x14ac:dyDescent="0.35">
      <c r="A7953">
        <v>1975</v>
      </c>
      <c r="B7953" s="1">
        <v>45856</v>
      </c>
      <c r="C7953" s="2">
        <v>0.29166666666666669</v>
      </c>
      <c r="D7953">
        <v>3</v>
      </c>
      <c r="E7953">
        <v>18.7</v>
      </c>
      <c r="F7953">
        <v>94</v>
      </c>
    </row>
    <row r="7954" spans="1:6" x14ac:dyDescent="0.35">
      <c r="A7954">
        <v>1975</v>
      </c>
      <c r="B7954" s="1">
        <v>45856</v>
      </c>
      <c r="C7954" s="2">
        <v>0.33333333333333331</v>
      </c>
      <c r="D7954">
        <v>3</v>
      </c>
      <c r="E7954">
        <v>18.8</v>
      </c>
      <c r="F7954">
        <v>93</v>
      </c>
    </row>
    <row r="7955" spans="1:6" x14ac:dyDescent="0.35">
      <c r="A7955">
        <v>1975</v>
      </c>
      <c r="B7955" s="1">
        <v>45856</v>
      </c>
      <c r="C7955" s="2">
        <v>0.375</v>
      </c>
      <c r="D7955">
        <v>3</v>
      </c>
      <c r="E7955">
        <v>18.600000000000001</v>
      </c>
      <c r="F7955">
        <v>94</v>
      </c>
    </row>
    <row r="7956" spans="1:6" x14ac:dyDescent="0.35">
      <c r="A7956">
        <v>1975</v>
      </c>
      <c r="B7956" s="1">
        <v>45856</v>
      </c>
      <c r="C7956" s="2">
        <v>0.41666666666666669</v>
      </c>
      <c r="D7956">
        <v>3</v>
      </c>
      <c r="E7956">
        <v>18.100000000000001</v>
      </c>
      <c r="F7956">
        <v>100</v>
      </c>
    </row>
    <row r="7957" spans="1:6" x14ac:dyDescent="0.35">
      <c r="A7957">
        <v>1975</v>
      </c>
      <c r="B7957" s="1">
        <v>45856</v>
      </c>
      <c r="C7957" s="2">
        <v>0.45833333333333331</v>
      </c>
      <c r="D7957">
        <v>3</v>
      </c>
      <c r="E7957">
        <v>19.8</v>
      </c>
      <c r="F7957">
        <v>96</v>
      </c>
    </row>
    <row r="7958" spans="1:6" x14ac:dyDescent="0.35">
      <c r="A7958">
        <v>1975</v>
      </c>
      <c r="B7958" s="1">
        <v>45856</v>
      </c>
      <c r="C7958" s="2">
        <v>0.5</v>
      </c>
      <c r="D7958">
        <v>3</v>
      </c>
      <c r="E7958">
        <v>21.4</v>
      </c>
      <c r="F7958">
        <v>88</v>
      </c>
    </row>
    <row r="7959" spans="1:6" x14ac:dyDescent="0.35">
      <c r="A7959">
        <v>1975</v>
      </c>
      <c r="B7959" s="1">
        <v>45856</v>
      </c>
      <c r="C7959" s="2">
        <v>0.54166666666666663</v>
      </c>
      <c r="D7959">
        <v>3</v>
      </c>
      <c r="E7959">
        <v>23.1</v>
      </c>
      <c r="F7959">
        <v>76</v>
      </c>
    </row>
    <row r="7960" spans="1:6" x14ac:dyDescent="0.35">
      <c r="A7960">
        <v>1975</v>
      </c>
      <c r="B7960" s="1">
        <v>45856</v>
      </c>
      <c r="C7960" s="2">
        <v>0.58333333333333337</v>
      </c>
      <c r="D7960">
        <v>3</v>
      </c>
      <c r="E7960">
        <v>24</v>
      </c>
      <c r="F7960">
        <v>72</v>
      </c>
    </row>
    <row r="7961" spans="1:6" x14ac:dyDescent="0.35">
      <c r="A7961">
        <v>1975</v>
      </c>
      <c r="B7961" s="1">
        <v>45856</v>
      </c>
      <c r="C7961" s="2">
        <v>0.625</v>
      </c>
      <c r="D7961">
        <v>3</v>
      </c>
      <c r="E7961">
        <v>21.2</v>
      </c>
      <c r="F7961">
        <v>91</v>
      </c>
    </row>
    <row r="7962" spans="1:6" x14ac:dyDescent="0.35">
      <c r="A7962">
        <v>1975</v>
      </c>
      <c r="B7962" s="1">
        <v>45856</v>
      </c>
      <c r="C7962" s="2">
        <v>0.66666666666666663</v>
      </c>
      <c r="D7962">
        <v>3</v>
      </c>
      <c r="E7962">
        <v>19.899999999999999</v>
      </c>
      <c r="F7962">
        <v>96</v>
      </c>
    </row>
    <row r="7963" spans="1:6" x14ac:dyDescent="0.35">
      <c r="A7963">
        <v>1975</v>
      </c>
      <c r="B7963" s="1">
        <v>45856</v>
      </c>
      <c r="C7963" s="2">
        <v>0.70833333333333337</v>
      </c>
      <c r="D7963">
        <v>3</v>
      </c>
      <c r="E7963">
        <v>21.8</v>
      </c>
      <c r="F7963">
        <v>89</v>
      </c>
    </row>
    <row r="7964" spans="1:6" x14ac:dyDescent="0.35">
      <c r="A7964">
        <v>1975</v>
      </c>
      <c r="B7964" s="1">
        <v>45856</v>
      </c>
      <c r="C7964" s="2">
        <v>0.75</v>
      </c>
      <c r="D7964">
        <v>3</v>
      </c>
      <c r="E7964">
        <v>23</v>
      </c>
      <c r="F7964">
        <v>86</v>
      </c>
    </row>
    <row r="7965" spans="1:6" x14ac:dyDescent="0.35">
      <c r="A7965">
        <v>1975</v>
      </c>
      <c r="B7965" s="1">
        <v>45856</v>
      </c>
      <c r="C7965" s="2">
        <v>0.79166666666666663</v>
      </c>
      <c r="D7965">
        <v>3</v>
      </c>
      <c r="E7965">
        <v>21</v>
      </c>
      <c r="F7965">
        <v>90</v>
      </c>
    </row>
    <row r="7966" spans="1:6" x14ac:dyDescent="0.35">
      <c r="A7966">
        <v>1975</v>
      </c>
      <c r="B7966" s="1">
        <v>45856</v>
      </c>
      <c r="C7966" s="2">
        <v>0.83333333333333337</v>
      </c>
      <c r="D7966">
        <v>3</v>
      </c>
      <c r="E7966">
        <v>19.399999999999999</v>
      </c>
      <c r="F7966">
        <v>98</v>
      </c>
    </row>
    <row r="7967" spans="1:6" x14ac:dyDescent="0.35">
      <c r="A7967">
        <v>1975</v>
      </c>
      <c r="B7967" s="1">
        <v>45856</v>
      </c>
      <c r="C7967" s="2">
        <v>0.875</v>
      </c>
      <c r="D7967">
        <v>3</v>
      </c>
      <c r="E7967">
        <v>19.2</v>
      </c>
      <c r="F7967">
        <v>99</v>
      </c>
    </row>
    <row r="7968" spans="1:6" x14ac:dyDescent="0.35">
      <c r="A7968">
        <v>1975</v>
      </c>
      <c r="B7968" s="1">
        <v>45856</v>
      </c>
      <c r="C7968" s="2">
        <v>0.91666666666666663</v>
      </c>
      <c r="D7968">
        <v>3</v>
      </c>
      <c r="E7968">
        <v>18.7</v>
      </c>
      <c r="F7968">
        <v>97</v>
      </c>
    </row>
    <row r="7969" spans="1:6" x14ac:dyDescent="0.35">
      <c r="A7969">
        <v>1975</v>
      </c>
      <c r="B7969" s="1">
        <v>45856</v>
      </c>
      <c r="C7969" s="2">
        <v>0.95833333333333337</v>
      </c>
      <c r="D7969">
        <v>3</v>
      </c>
      <c r="E7969">
        <v>17.100000000000001</v>
      </c>
      <c r="F7969">
        <v>100</v>
      </c>
    </row>
    <row r="7970" spans="1:6" x14ac:dyDescent="0.35">
      <c r="A7970">
        <v>1975</v>
      </c>
      <c r="B7970" s="1">
        <v>45857</v>
      </c>
      <c r="C7970" s="2">
        <v>0</v>
      </c>
      <c r="D7970">
        <v>3</v>
      </c>
      <c r="E7970">
        <v>16.3</v>
      </c>
      <c r="F7970">
        <v>100</v>
      </c>
    </row>
    <row r="7971" spans="1:6" x14ac:dyDescent="0.35">
      <c r="A7971">
        <v>1975</v>
      </c>
      <c r="B7971" s="1">
        <v>45857</v>
      </c>
      <c r="C7971" s="2">
        <v>4.1666666666666657E-2</v>
      </c>
      <c r="D7971">
        <v>3</v>
      </c>
      <c r="E7971">
        <v>17.100000000000001</v>
      </c>
      <c r="F7971">
        <v>100</v>
      </c>
    </row>
    <row r="7972" spans="1:6" x14ac:dyDescent="0.35">
      <c r="A7972">
        <v>1975</v>
      </c>
      <c r="B7972" s="1">
        <v>45857</v>
      </c>
      <c r="C7972" s="2">
        <v>8.3333333333333329E-2</v>
      </c>
      <c r="D7972">
        <v>3</v>
      </c>
      <c r="E7972">
        <v>17.3</v>
      </c>
      <c r="F7972">
        <v>100</v>
      </c>
    </row>
    <row r="7973" spans="1:6" x14ac:dyDescent="0.35">
      <c r="A7973">
        <v>1975</v>
      </c>
      <c r="B7973" s="1">
        <v>45857</v>
      </c>
      <c r="C7973" s="2">
        <v>0.125</v>
      </c>
      <c r="D7973">
        <v>3</v>
      </c>
      <c r="E7973">
        <v>16.399999999999999</v>
      </c>
      <c r="F7973">
        <v>100</v>
      </c>
    </row>
    <row r="7974" spans="1:6" x14ac:dyDescent="0.35">
      <c r="A7974">
        <v>1975</v>
      </c>
      <c r="B7974" s="1">
        <v>45857</v>
      </c>
      <c r="C7974" s="2">
        <v>0.16666666666666671</v>
      </c>
      <c r="D7974">
        <v>3</v>
      </c>
      <c r="E7974">
        <v>16.3</v>
      </c>
      <c r="F7974">
        <v>100</v>
      </c>
    </row>
    <row r="7975" spans="1:6" x14ac:dyDescent="0.35">
      <c r="A7975">
        <v>1975</v>
      </c>
      <c r="B7975" s="1">
        <v>45857</v>
      </c>
      <c r="C7975" s="2">
        <v>0.20833333333333329</v>
      </c>
      <c r="D7975">
        <v>3</v>
      </c>
      <c r="E7975">
        <v>16.7</v>
      </c>
      <c r="F7975">
        <v>100</v>
      </c>
    </row>
    <row r="7976" spans="1:6" x14ac:dyDescent="0.35">
      <c r="A7976">
        <v>1975</v>
      </c>
      <c r="B7976" s="1">
        <v>45857</v>
      </c>
      <c r="C7976" s="2">
        <v>0.25</v>
      </c>
      <c r="D7976">
        <v>3</v>
      </c>
      <c r="E7976">
        <v>18.3</v>
      </c>
      <c r="F7976">
        <v>90</v>
      </c>
    </row>
    <row r="7977" spans="1:6" x14ac:dyDescent="0.35">
      <c r="A7977">
        <v>1975</v>
      </c>
      <c r="B7977" s="1">
        <v>45857</v>
      </c>
      <c r="C7977" s="2">
        <v>0.29166666666666669</v>
      </c>
      <c r="D7977">
        <v>3</v>
      </c>
      <c r="E7977">
        <v>20.100000000000001</v>
      </c>
      <c r="F7977">
        <v>84</v>
      </c>
    </row>
    <row r="7978" spans="1:6" x14ac:dyDescent="0.35">
      <c r="A7978">
        <v>1975</v>
      </c>
      <c r="B7978" s="1">
        <v>45857</v>
      </c>
      <c r="C7978" s="2">
        <v>0.33333333333333331</v>
      </c>
      <c r="D7978">
        <v>3</v>
      </c>
      <c r="E7978">
        <v>22</v>
      </c>
      <c r="F7978">
        <v>78</v>
      </c>
    </row>
    <row r="7979" spans="1:6" x14ac:dyDescent="0.35">
      <c r="A7979">
        <v>1975</v>
      </c>
      <c r="B7979" s="1">
        <v>45857</v>
      </c>
      <c r="C7979" s="2">
        <v>0.375</v>
      </c>
      <c r="D7979">
        <v>3</v>
      </c>
      <c r="E7979">
        <v>23.7</v>
      </c>
      <c r="F7979">
        <v>71</v>
      </c>
    </row>
    <row r="7980" spans="1:6" x14ac:dyDescent="0.35">
      <c r="A7980">
        <v>1975</v>
      </c>
      <c r="B7980" s="1">
        <v>45857</v>
      </c>
      <c r="C7980" s="2">
        <v>0.41666666666666669</v>
      </c>
      <c r="D7980">
        <v>3</v>
      </c>
      <c r="E7980">
        <v>24.4</v>
      </c>
      <c r="F7980">
        <v>67</v>
      </c>
    </row>
    <row r="7981" spans="1:6" x14ac:dyDescent="0.35">
      <c r="A7981">
        <v>1975</v>
      </c>
      <c r="B7981" s="1">
        <v>45857</v>
      </c>
      <c r="C7981" s="2">
        <v>0.45833333333333331</v>
      </c>
      <c r="D7981">
        <v>3</v>
      </c>
      <c r="E7981">
        <v>25.6</v>
      </c>
      <c r="F7981">
        <v>63</v>
      </c>
    </row>
    <row r="7982" spans="1:6" x14ac:dyDescent="0.35">
      <c r="A7982">
        <v>1975</v>
      </c>
      <c r="B7982" s="1">
        <v>45857</v>
      </c>
      <c r="C7982" s="2">
        <v>0.5</v>
      </c>
      <c r="D7982">
        <v>3</v>
      </c>
      <c r="E7982">
        <v>25.4</v>
      </c>
      <c r="F7982">
        <v>55</v>
      </c>
    </row>
    <row r="7983" spans="1:6" x14ac:dyDescent="0.35">
      <c r="A7983">
        <v>1975</v>
      </c>
      <c r="B7983" s="1">
        <v>45857</v>
      </c>
      <c r="C7983" s="2">
        <v>0.54166666666666663</v>
      </c>
      <c r="D7983">
        <v>3</v>
      </c>
      <c r="E7983">
        <v>27</v>
      </c>
      <c r="F7983">
        <v>49</v>
      </c>
    </row>
    <row r="7984" spans="1:6" x14ac:dyDescent="0.35">
      <c r="A7984">
        <v>1975</v>
      </c>
      <c r="B7984" s="1">
        <v>45857</v>
      </c>
      <c r="C7984" s="2">
        <v>0.58333333333333337</v>
      </c>
      <c r="D7984">
        <v>3</v>
      </c>
      <c r="E7984">
        <v>27</v>
      </c>
      <c r="F7984">
        <v>47</v>
      </c>
    </row>
    <row r="7985" spans="1:6" x14ac:dyDescent="0.35">
      <c r="A7985">
        <v>1975</v>
      </c>
      <c r="B7985" s="1">
        <v>45857</v>
      </c>
      <c r="C7985" s="2">
        <v>0.625</v>
      </c>
      <c r="D7985">
        <v>3</v>
      </c>
      <c r="E7985">
        <v>27.3</v>
      </c>
      <c r="F7985">
        <v>39</v>
      </c>
    </row>
    <row r="7986" spans="1:6" x14ac:dyDescent="0.35">
      <c r="A7986">
        <v>1975</v>
      </c>
      <c r="B7986" s="1">
        <v>45857</v>
      </c>
      <c r="C7986" s="2">
        <v>0.66666666666666663</v>
      </c>
      <c r="D7986">
        <v>3</v>
      </c>
      <c r="E7986">
        <v>27.3</v>
      </c>
      <c r="F7986">
        <v>42</v>
      </c>
    </row>
    <row r="7987" spans="1:6" x14ac:dyDescent="0.35">
      <c r="A7987">
        <v>1975</v>
      </c>
      <c r="B7987" s="1">
        <v>45857</v>
      </c>
      <c r="C7987" s="2">
        <v>0.70833333333333337</v>
      </c>
      <c r="D7987">
        <v>3</v>
      </c>
      <c r="E7987">
        <v>26.9</v>
      </c>
      <c r="F7987">
        <v>46</v>
      </c>
    </row>
    <row r="7988" spans="1:6" x14ac:dyDescent="0.35">
      <c r="A7988">
        <v>1975</v>
      </c>
      <c r="B7988" s="1">
        <v>45857</v>
      </c>
      <c r="C7988" s="2">
        <v>0.75</v>
      </c>
      <c r="D7988">
        <v>3</v>
      </c>
      <c r="E7988">
        <v>26.2</v>
      </c>
      <c r="F7988">
        <v>47</v>
      </c>
    </row>
    <row r="7989" spans="1:6" x14ac:dyDescent="0.35">
      <c r="A7989">
        <v>1975</v>
      </c>
      <c r="B7989" s="1">
        <v>45857</v>
      </c>
      <c r="C7989" s="2">
        <v>0.79166666666666663</v>
      </c>
      <c r="D7989">
        <v>3</v>
      </c>
      <c r="E7989">
        <v>24.8</v>
      </c>
      <c r="F7989">
        <v>55</v>
      </c>
    </row>
    <row r="7990" spans="1:6" x14ac:dyDescent="0.35">
      <c r="A7990">
        <v>1975</v>
      </c>
      <c r="B7990" s="1">
        <v>45857</v>
      </c>
      <c r="C7990" s="2">
        <v>0.83333333333333337</v>
      </c>
      <c r="D7990">
        <v>3</v>
      </c>
      <c r="E7990">
        <v>21.7</v>
      </c>
      <c r="F7990">
        <v>78</v>
      </c>
    </row>
    <row r="7991" spans="1:6" x14ac:dyDescent="0.35">
      <c r="A7991">
        <v>1975</v>
      </c>
      <c r="B7991" s="1">
        <v>45857</v>
      </c>
      <c r="C7991" s="2">
        <v>0.875</v>
      </c>
      <c r="D7991">
        <v>3</v>
      </c>
      <c r="E7991">
        <v>20.5</v>
      </c>
      <c r="F7991">
        <v>84</v>
      </c>
    </row>
    <row r="7992" spans="1:6" x14ac:dyDescent="0.35">
      <c r="A7992">
        <v>1975</v>
      </c>
      <c r="B7992" s="1">
        <v>45857</v>
      </c>
      <c r="C7992" s="2">
        <v>0.91666666666666663</v>
      </c>
      <c r="D7992">
        <v>3</v>
      </c>
      <c r="E7992">
        <v>19.7</v>
      </c>
      <c r="F7992">
        <v>87</v>
      </c>
    </row>
    <row r="7993" spans="1:6" x14ac:dyDescent="0.35">
      <c r="A7993">
        <v>1975</v>
      </c>
      <c r="B7993" s="1">
        <v>45857</v>
      </c>
      <c r="C7993" s="2">
        <v>0.95833333333333337</v>
      </c>
      <c r="D7993">
        <v>3</v>
      </c>
      <c r="E7993">
        <v>19</v>
      </c>
      <c r="F7993">
        <v>89</v>
      </c>
    </row>
    <row r="7994" spans="1:6" x14ac:dyDescent="0.35">
      <c r="A7994">
        <v>1975</v>
      </c>
      <c r="B7994" s="1">
        <v>45858</v>
      </c>
      <c r="C7994" s="2">
        <v>0</v>
      </c>
      <c r="D7994">
        <v>3</v>
      </c>
      <c r="E7994">
        <v>20.3</v>
      </c>
      <c r="F7994">
        <v>77</v>
      </c>
    </row>
    <row r="7995" spans="1:6" x14ac:dyDescent="0.35">
      <c r="A7995">
        <v>1975</v>
      </c>
      <c r="B7995" s="1">
        <v>45858</v>
      </c>
      <c r="C7995" s="2">
        <v>4.1666666666666657E-2</v>
      </c>
      <c r="D7995">
        <v>3</v>
      </c>
      <c r="E7995">
        <v>20.3</v>
      </c>
      <c r="F7995">
        <v>74</v>
      </c>
    </row>
    <row r="7996" spans="1:6" x14ac:dyDescent="0.35">
      <c r="A7996">
        <v>1975</v>
      </c>
      <c r="B7996" s="1">
        <v>45858</v>
      </c>
      <c r="C7996" s="2">
        <v>8.3333333333333329E-2</v>
      </c>
      <c r="D7996">
        <v>3</v>
      </c>
      <c r="E7996">
        <v>19.7</v>
      </c>
      <c r="F7996">
        <v>74</v>
      </c>
    </row>
    <row r="7997" spans="1:6" x14ac:dyDescent="0.35">
      <c r="A7997">
        <v>1975</v>
      </c>
      <c r="B7997" s="1">
        <v>45858</v>
      </c>
      <c r="C7997" s="2">
        <v>0.125</v>
      </c>
      <c r="D7997">
        <v>3</v>
      </c>
      <c r="E7997">
        <v>19.3</v>
      </c>
      <c r="F7997">
        <v>76</v>
      </c>
    </row>
    <row r="7998" spans="1:6" x14ac:dyDescent="0.35">
      <c r="A7998">
        <v>1975</v>
      </c>
      <c r="B7998" s="1">
        <v>45858</v>
      </c>
      <c r="C7998" s="2">
        <v>0.16666666666666671</v>
      </c>
      <c r="D7998">
        <v>3</v>
      </c>
      <c r="E7998">
        <v>19</v>
      </c>
      <c r="F7998">
        <v>77</v>
      </c>
    </row>
    <row r="7999" spans="1:6" x14ac:dyDescent="0.35">
      <c r="A7999">
        <v>1975</v>
      </c>
      <c r="B7999" s="1">
        <v>45858</v>
      </c>
      <c r="C7999" s="2">
        <v>0.20833333333333329</v>
      </c>
      <c r="D7999">
        <v>3</v>
      </c>
      <c r="E7999">
        <v>19.7</v>
      </c>
      <c r="F7999">
        <v>77</v>
      </c>
    </row>
    <row r="8000" spans="1:6" x14ac:dyDescent="0.35">
      <c r="A8000">
        <v>1975</v>
      </c>
      <c r="B8000" s="1">
        <v>45858</v>
      </c>
      <c r="C8000" s="2">
        <v>0.25</v>
      </c>
      <c r="D8000">
        <v>3</v>
      </c>
      <c r="E8000">
        <v>20.8</v>
      </c>
      <c r="F8000">
        <v>74</v>
      </c>
    </row>
    <row r="8001" spans="1:6" x14ac:dyDescent="0.35">
      <c r="A8001">
        <v>1975</v>
      </c>
      <c r="B8001" s="1">
        <v>45858</v>
      </c>
      <c r="C8001" s="2">
        <v>0.29166666666666669</v>
      </c>
      <c r="D8001">
        <v>3</v>
      </c>
      <c r="E8001">
        <v>22.8</v>
      </c>
      <c r="F8001">
        <v>66</v>
      </c>
    </row>
    <row r="8002" spans="1:6" x14ac:dyDescent="0.35">
      <c r="A8002">
        <v>1975</v>
      </c>
      <c r="B8002" s="1">
        <v>45858</v>
      </c>
      <c r="C8002" s="2">
        <v>0.33333333333333331</v>
      </c>
      <c r="D8002">
        <v>3</v>
      </c>
      <c r="E8002">
        <v>23.3</v>
      </c>
      <c r="F8002">
        <v>67</v>
      </c>
    </row>
    <row r="8003" spans="1:6" x14ac:dyDescent="0.35">
      <c r="A8003">
        <v>1975</v>
      </c>
      <c r="B8003" s="1">
        <v>45858</v>
      </c>
      <c r="C8003" s="2">
        <v>0.375</v>
      </c>
      <c r="D8003">
        <v>3</v>
      </c>
      <c r="E8003">
        <v>25.4</v>
      </c>
      <c r="F8003">
        <v>59</v>
      </c>
    </row>
    <row r="8004" spans="1:6" x14ac:dyDescent="0.35">
      <c r="A8004">
        <v>1975</v>
      </c>
      <c r="B8004" s="1">
        <v>45858</v>
      </c>
      <c r="C8004" s="2">
        <v>0.41666666666666669</v>
      </c>
      <c r="D8004">
        <v>3</v>
      </c>
      <c r="E8004">
        <v>26.4</v>
      </c>
      <c r="F8004">
        <v>56</v>
      </c>
    </row>
    <row r="8005" spans="1:6" x14ac:dyDescent="0.35">
      <c r="A8005">
        <v>1975</v>
      </c>
      <c r="B8005" s="1">
        <v>45858</v>
      </c>
      <c r="C8005" s="2">
        <v>0.45833333333333331</v>
      </c>
      <c r="D8005">
        <v>3</v>
      </c>
      <c r="E8005">
        <v>27</v>
      </c>
      <c r="F8005">
        <v>54</v>
      </c>
    </row>
    <row r="8006" spans="1:6" x14ac:dyDescent="0.35">
      <c r="A8006">
        <v>1975</v>
      </c>
      <c r="B8006" s="1">
        <v>45858</v>
      </c>
      <c r="C8006" s="2">
        <v>0.5</v>
      </c>
      <c r="D8006">
        <v>3</v>
      </c>
      <c r="E8006">
        <v>27.1</v>
      </c>
      <c r="F8006">
        <v>52</v>
      </c>
    </row>
    <row r="8007" spans="1:6" x14ac:dyDescent="0.35">
      <c r="A8007">
        <v>1975</v>
      </c>
      <c r="B8007" s="1">
        <v>45858</v>
      </c>
      <c r="C8007" s="2">
        <v>0.54166666666666663</v>
      </c>
      <c r="D8007">
        <v>3</v>
      </c>
      <c r="E8007">
        <v>27.2</v>
      </c>
      <c r="F8007">
        <v>51</v>
      </c>
    </row>
    <row r="8008" spans="1:6" x14ac:dyDescent="0.35">
      <c r="A8008">
        <v>1975</v>
      </c>
      <c r="B8008" s="1">
        <v>45858</v>
      </c>
      <c r="C8008" s="2">
        <v>0.58333333333333337</v>
      </c>
      <c r="D8008">
        <v>3</v>
      </c>
      <c r="E8008">
        <v>27.5</v>
      </c>
      <c r="F8008">
        <v>50</v>
      </c>
    </row>
    <row r="8009" spans="1:6" x14ac:dyDescent="0.35">
      <c r="A8009">
        <v>1975</v>
      </c>
      <c r="B8009" s="1">
        <v>45858</v>
      </c>
      <c r="C8009" s="2">
        <v>0.625</v>
      </c>
      <c r="D8009">
        <v>3</v>
      </c>
      <c r="E8009">
        <v>27.9</v>
      </c>
      <c r="F8009">
        <v>50</v>
      </c>
    </row>
    <row r="8010" spans="1:6" x14ac:dyDescent="0.35">
      <c r="A8010">
        <v>1975</v>
      </c>
      <c r="B8010" s="1">
        <v>45858</v>
      </c>
      <c r="C8010" s="2">
        <v>0.66666666666666663</v>
      </c>
      <c r="D8010">
        <v>3</v>
      </c>
      <c r="E8010">
        <v>28.6</v>
      </c>
      <c r="F8010">
        <v>51</v>
      </c>
    </row>
    <row r="8011" spans="1:6" x14ac:dyDescent="0.35">
      <c r="A8011">
        <v>1975</v>
      </c>
      <c r="B8011" s="1">
        <v>45858</v>
      </c>
      <c r="C8011" s="2">
        <v>0.70833333333333337</v>
      </c>
      <c r="D8011">
        <v>3</v>
      </c>
      <c r="E8011">
        <v>28.1</v>
      </c>
      <c r="F8011">
        <v>52</v>
      </c>
    </row>
    <row r="8012" spans="1:6" x14ac:dyDescent="0.35">
      <c r="A8012">
        <v>1975</v>
      </c>
      <c r="B8012" s="1">
        <v>45858</v>
      </c>
      <c r="C8012" s="2">
        <v>0.75</v>
      </c>
      <c r="D8012">
        <v>3</v>
      </c>
      <c r="E8012">
        <v>27.7</v>
      </c>
      <c r="F8012">
        <v>52</v>
      </c>
    </row>
    <row r="8013" spans="1:6" x14ac:dyDescent="0.35">
      <c r="A8013">
        <v>1975</v>
      </c>
      <c r="B8013" s="1">
        <v>45858</v>
      </c>
      <c r="C8013" s="2">
        <v>0.79166666666666663</v>
      </c>
      <c r="D8013">
        <v>3</v>
      </c>
      <c r="E8013">
        <v>26.9</v>
      </c>
      <c r="F8013">
        <v>53</v>
      </c>
    </row>
    <row r="8014" spans="1:6" x14ac:dyDescent="0.35">
      <c r="A8014">
        <v>1975</v>
      </c>
      <c r="B8014" s="1">
        <v>45858</v>
      </c>
      <c r="C8014" s="2">
        <v>0.83333333333333337</v>
      </c>
      <c r="D8014">
        <v>3</v>
      </c>
      <c r="E8014">
        <v>26.2</v>
      </c>
      <c r="F8014">
        <v>56</v>
      </c>
    </row>
    <row r="8015" spans="1:6" x14ac:dyDescent="0.35">
      <c r="A8015">
        <v>1975</v>
      </c>
      <c r="B8015" s="1">
        <v>45858</v>
      </c>
      <c r="C8015" s="2">
        <v>0.875</v>
      </c>
      <c r="D8015">
        <v>3</v>
      </c>
      <c r="E8015">
        <v>23</v>
      </c>
      <c r="F8015">
        <v>72</v>
      </c>
    </row>
    <row r="8016" spans="1:6" x14ac:dyDescent="0.35">
      <c r="A8016">
        <v>1975</v>
      </c>
      <c r="B8016" s="1">
        <v>45858</v>
      </c>
      <c r="C8016" s="2">
        <v>0.91666666666666663</v>
      </c>
      <c r="D8016">
        <v>3</v>
      </c>
      <c r="E8016">
        <v>23.2</v>
      </c>
      <c r="F8016">
        <v>74</v>
      </c>
    </row>
    <row r="8017" spans="1:6" x14ac:dyDescent="0.35">
      <c r="A8017">
        <v>1975</v>
      </c>
      <c r="B8017" s="1">
        <v>45858</v>
      </c>
      <c r="C8017" s="2">
        <v>0.95833333333333337</v>
      </c>
      <c r="D8017">
        <v>3</v>
      </c>
      <c r="E8017">
        <v>19.3</v>
      </c>
      <c r="F8017">
        <v>99</v>
      </c>
    </row>
    <row r="8018" spans="1:6" x14ac:dyDescent="0.35">
      <c r="A8018">
        <v>1975</v>
      </c>
      <c r="B8018" s="1">
        <v>45859</v>
      </c>
      <c r="C8018" s="2">
        <v>0</v>
      </c>
      <c r="D8018">
        <v>3</v>
      </c>
      <c r="E8018">
        <v>19.5</v>
      </c>
      <c r="F8018">
        <v>96</v>
      </c>
    </row>
    <row r="8019" spans="1:6" x14ac:dyDescent="0.35">
      <c r="A8019">
        <v>1975</v>
      </c>
      <c r="B8019" s="1">
        <v>45859</v>
      </c>
      <c r="C8019" s="2">
        <v>4.1666666666666657E-2</v>
      </c>
      <c r="D8019">
        <v>3</v>
      </c>
      <c r="E8019">
        <v>18.600000000000001</v>
      </c>
      <c r="F8019">
        <v>99</v>
      </c>
    </row>
    <row r="8020" spans="1:6" x14ac:dyDescent="0.35">
      <c r="A8020">
        <v>1975</v>
      </c>
      <c r="B8020" s="1">
        <v>45859</v>
      </c>
      <c r="C8020" s="2">
        <v>8.3333333333333329E-2</v>
      </c>
      <c r="D8020">
        <v>3</v>
      </c>
      <c r="E8020">
        <v>19.2</v>
      </c>
      <c r="F8020">
        <v>98</v>
      </c>
    </row>
    <row r="8021" spans="1:6" x14ac:dyDescent="0.35">
      <c r="A8021">
        <v>1975</v>
      </c>
      <c r="B8021" s="1">
        <v>45859</v>
      </c>
      <c r="C8021" s="2">
        <v>0.125</v>
      </c>
      <c r="D8021">
        <v>3</v>
      </c>
      <c r="E8021">
        <v>19.399999999999999</v>
      </c>
      <c r="F8021">
        <v>95</v>
      </c>
    </row>
    <row r="8022" spans="1:6" x14ac:dyDescent="0.35">
      <c r="A8022">
        <v>1975</v>
      </c>
      <c r="B8022" s="1">
        <v>45859</v>
      </c>
      <c r="C8022" s="2">
        <v>0.16666666666666671</v>
      </c>
      <c r="D8022">
        <v>3</v>
      </c>
      <c r="E8022">
        <v>18.8</v>
      </c>
      <c r="F8022">
        <v>97</v>
      </c>
    </row>
    <row r="8023" spans="1:6" x14ac:dyDescent="0.35">
      <c r="A8023">
        <v>1975</v>
      </c>
      <c r="B8023" s="1">
        <v>45859</v>
      </c>
      <c r="C8023" s="2">
        <v>0.20833333333333329</v>
      </c>
      <c r="D8023">
        <v>3</v>
      </c>
      <c r="E8023">
        <v>18.8</v>
      </c>
      <c r="F8023">
        <v>96</v>
      </c>
    </row>
    <row r="8024" spans="1:6" x14ac:dyDescent="0.35">
      <c r="A8024">
        <v>1975</v>
      </c>
      <c r="B8024" s="1">
        <v>45859</v>
      </c>
      <c r="C8024" s="2">
        <v>0.25</v>
      </c>
      <c r="D8024">
        <v>3</v>
      </c>
      <c r="E8024">
        <v>18.399999999999999</v>
      </c>
      <c r="F8024">
        <v>95</v>
      </c>
    </row>
    <row r="8025" spans="1:6" x14ac:dyDescent="0.35">
      <c r="A8025">
        <v>1975</v>
      </c>
      <c r="B8025" s="1">
        <v>45859</v>
      </c>
      <c r="C8025" s="2">
        <v>0.29166666666666669</v>
      </c>
      <c r="D8025">
        <v>3</v>
      </c>
      <c r="E8025">
        <v>18.5</v>
      </c>
      <c r="F8025">
        <v>94</v>
      </c>
    </row>
    <row r="8026" spans="1:6" x14ac:dyDescent="0.35">
      <c r="A8026">
        <v>1975</v>
      </c>
      <c r="B8026" s="1">
        <v>45859</v>
      </c>
      <c r="C8026" s="2">
        <v>0.33333333333333331</v>
      </c>
      <c r="D8026">
        <v>3</v>
      </c>
      <c r="E8026">
        <v>19.100000000000001</v>
      </c>
      <c r="F8026">
        <v>93</v>
      </c>
    </row>
    <row r="8027" spans="1:6" x14ac:dyDescent="0.35">
      <c r="A8027">
        <v>1975</v>
      </c>
      <c r="B8027" s="1">
        <v>45859</v>
      </c>
      <c r="C8027" s="2">
        <v>0.375</v>
      </c>
      <c r="D8027">
        <v>3</v>
      </c>
      <c r="E8027">
        <v>19.2</v>
      </c>
      <c r="F8027">
        <v>91</v>
      </c>
    </row>
    <row r="8028" spans="1:6" x14ac:dyDescent="0.35">
      <c r="A8028">
        <v>1975</v>
      </c>
      <c r="B8028" s="1">
        <v>45859</v>
      </c>
      <c r="C8028" s="2">
        <v>0.41666666666666669</v>
      </c>
      <c r="D8028">
        <v>3</v>
      </c>
      <c r="E8028">
        <v>20.399999999999999</v>
      </c>
      <c r="F8028">
        <v>80</v>
      </c>
    </row>
    <row r="8029" spans="1:6" x14ac:dyDescent="0.35">
      <c r="A8029">
        <v>1975</v>
      </c>
      <c r="B8029" s="1">
        <v>45859</v>
      </c>
      <c r="C8029" s="2">
        <v>0.45833333333333331</v>
      </c>
      <c r="D8029">
        <v>3</v>
      </c>
      <c r="E8029">
        <v>21.1</v>
      </c>
      <c r="F8029">
        <v>76</v>
      </c>
    </row>
    <row r="8030" spans="1:6" x14ac:dyDescent="0.35">
      <c r="A8030">
        <v>1975</v>
      </c>
      <c r="B8030" s="1">
        <v>45859</v>
      </c>
      <c r="C8030" s="2">
        <v>0.5</v>
      </c>
      <c r="D8030">
        <v>3</v>
      </c>
      <c r="E8030">
        <v>21.2</v>
      </c>
      <c r="F8030">
        <v>77</v>
      </c>
    </row>
    <row r="8031" spans="1:6" x14ac:dyDescent="0.35">
      <c r="A8031">
        <v>1975</v>
      </c>
      <c r="B8031" s="1">
        <v>45859</v>
      </c>
      <c r="C8031" s="2">
        <v>0.54166666666666663</v>
      </c>
      <c r="D8031">
        <v>3</v>
      </c>
      <c r="E8031">
        <v>21.1</v>
      </c>
      <c r="F8031">
        <v>80</v>
      </c>
    </row>
    <row r="8032" spans="1:6" x14ac:dyDescent="0.35">
      <c r="A8032">
        <v>1975</v>
      </c>
      <c r="B8032" s="1">
        <v>45859</v>
      </c>
      <c r="C8032" s="2">
        <v>0.58333333333333337</v>
      </c>
      <c r="D8032">
        <v>3</v>
      </c>
      <c r="E8032">
        <v>21</v>
      </c>
      <c r="F8032">
        <v>81</v>
      </c>
    </row>
    <row r="8033" spans="1:6" x14ac:dyDescent="0.35">
      <c r="A8033">
        <v>1975</v>
      </c>
      <c r="B8033" s="1">
        <v>45859</v>
      </c>
      <c r="C8033" s="2">
        <v>0.625</v>
      </c>
      <c r="D8033">
        <v>3</v>
      </c>
      <c r="E8033">
        <v>20.6</v>
      </c>
      <c r="F8033">
        <v>84</v>
      </c>
    </row>
    <row r="8034" spans="1:6" x14ac:dyDescent="0.35">
      <c r="A8034">
        <v>1975</v>
      </c>
      <c r="B8034" s="1">
        <v>45859</v>
      </c>
      <c r="C8034" s="2">
        <v>0.66666666666666663</v>
      </c>
      <c r="D8034">
        <v>3</v>
      </c>
      <c r="E8034">
        <v>20.399999999999999</v>
      </c>
      <c r="F8034">
        <v>79</v>
      </c>
    </row>
    <row r="8035" spans="1:6" x14ac:dyDescent="0.35">
      <c r="A8035">
        <v>1975</v>
      </c>
      <c r="B8035" s="1">
        <v>45859</v>
      </c>
      <c r="C8035" s="2">
        <v>0.70833333333333337</v>
      </c>
      <c r="D8035">
        <v>3</v>
      </c>
      <c r="E8035">
        <v>20.2</v>
      </c>
      <c r="F8035">
        <v>81</v>
      </c>
    </row>
    <row r="8036" spans="1:6" x14ac:dyDescent="0.35">
      <c r="A8036">
        <v>1975</v>
      </c>
      <c r="B8036" s="1">
        <v>45859</v>
      </c>
      <c r="C8036" s="2">
        <v>0.75</v>
      </c>
      <c r="D8036">
        <v>3</v>
      </c>
      <c r="E8036">
        <v>19.600000000000001</v>
      </c>
      <c r="F8036">
        <v>77</v>
      </c>
    </row>
    <row r="8037" spans="1:6" x14ac:dyDescent="0.35">
      <c r="A8037">
        <v>1975</v>
      </c>
      <c r="B8037" s="1">
        <v>45859</v>
      </c>
      <c r="C8037" s="2">
        <v>0.79166666666666663</v>
      </c>
      <c r="D8037">
        <v>3</v>
      </c>
      <c r="E8037">
        <v>19</v>
      </c>
      <c r="F8037">
        <v>75</v>
      </c>
    </row>
    <row r="8038" spans="1:6" x14ac:dyDescent="0.35">
      <c r="A8038">
        <v>1975</v>
      </c>
      <c r="B8038" s="1">
        <v>45859</v>
      </c>
      <c r="C8038" s="2">
        <v>0.83333333333333337</v>
      </c>
      <c r="D8038">
        <v>3</v>
      </c>
      <c r="E8038">
        <v>18</v>
      </c>
      <c r="F8038">
        <v>84</v>
      </c>
    </row>
    <row r="8039" spans="1:6" x14ac:dyDescent="0.35">
      <c r="A8039">
        <v>1975</v>
      </c>
      <c r="B8039" s="1">
        <v>45859</v>
      </c>
      <c r="C8039" s="2">
        <v>0.875</v>
      </c>
      <c r="D8039">
        <v>3</v>
      </c>
      <c r="E8039">
        <v>16.600000000000001</v>
      </c>
      <c r="F8039">
        <v>94</v>
      </c>
    </row>
    <row r="8040" spans="1:6" x14ac:dyDescent="0.35">
      <c r="A8040">
        <v>1975</v>
      </c>
      <c r="B8040" s="1">
        <v>45859</v>
      </c>
      <c r="C8040" s="2">
        <v>0.91666666666666663</v>
      </c>
      <c r="D8040">
        <v>3</v>
      </c>
      <c r="E8040">
        <v>16.3</v>
      </c>
      <c r="F8040">
        <v>96</v>
      </c>
    </row>
    <row r="8041" spans="1:6" x14ac:dyDescent="0.35">
      <c r="A8041">
        <v>1975</v>
      </c>
      <c r="B8041" s="1">
        <v>45859</v>
      </c>
      <c r="C8041" s="2">
        <v>0.95833333333333337</v>
      </c>
      <c r="D8041">
        <v>3</v>
      </c>
      <c r="E8041">
        <v>16</v>
      </c>
      <c r="F8041">
        <v>97</v>
      </c>
    </row>
    <row r="8042" spans="1:6" x14ac:dyDescent="0.35">
      <c r="A8042">
        <v>1975</v>
      </c>
      <c r="B8042" s="1">
        <v>45860</v>
      </c>
      <c r="C8042" s="2">
        <v>0</v>
      </c>
      <c r="D8042">
        <v>3</v>
      </c>
      <c r="E8042">
        <v>16.600000000000001</v>
      </c>
      <c r="F8042">
        <v>99</v>
      </c>
    </row>
    <row r="8043" spans="1:6" x14ac:dyDescent="0.35">
      <c r="A8043">
        <v>1975</v>
      </c>
      <c r="B8043" s="1">
        <v>45860</v>
      </c>
      <c r="C8043" s="2">
        <v>4.1666666666666657E-2</v>
      </c>
      <c r="D8043">
        <v>3</v>
      </c>
      <c r="E8043">
        <v>16.5</v>
      </c>
      <c r="F8043">
        <v>99</v>
      </c>
    </row>
    <row r="8044" spans="1:6" x14ac:dyDescent="0.35">
      <c r="A8044">
        <v>1975</v>
      </c>
      <c r="B8044" s="1">
        <v>45860</v>
      </c>
      <c r="C8044" s="2">
        <v>8.3333333333333329E-2</v>
      </c>
      <c r="D8044">
        <v>3</v>
      </c>
      <c r="E8044">
        <v>16.2</v>
      </c>
      <c r="F8044">
        <v>99</v>
      </c>
    </row>
    <row r="8045" spans="1:6" x14ac:dyDescent="0.35">
      <c r="A8045">
        <v>1975</v>
      </c>
      <c r="B8045" s="1">
        <v>45860</v>
      </c>
      <c r="C8045" s="2">
        <v>0.125</v>
      </c>
      <c r="D8045">
        <v>3</v>
      </c>
      <c r="E8045">
        <v>16.2</v>
      </c>
      <c r="F8045">
        <v>99</v>
      </c>
    </row>
    <row r="8046" spans="1:6" x14ac:dyDescent="0.35">
      <c r="A8046">
        <v>1975</v>
      </c>
      <c r="B8046" s="1">
        <v>45860</v>
      </c>
      <c r="C8046" s="2">
        <v>0.16666666666666671</v>
      </c>
      <c r="D8046">
        <v>3</v>
      </c>
      <c r="E8046">
        <v>16.2</v>
      </c>
      <c r="F8046">
        <v>99</v>
      </c>
    </row>
    <row r="8047" spans="1:6" x14ac:dyDescent="0.35">
      <c r="A8047">
        <v>1975</v>
      </c>
      <c r="B8047" s="1">
        <v>45860</v>
      </c>
      <c r="C8047" s="2">
        <v>0.20833333333333329</v>
      </c>
      <c r="D8047">
        <v>3</v>
      </c>
      <c r="E8047">
        <v>16.5</v>
      </c>
      <c r="F8047">
        <v>96</v>
      </c>
    </row>
    <row r="8048" spans="1:6" x14ac:dyDescent="0.35">
      <c r="A8048">
        <v>1975</v>
      </c>
      <c r="B8048" s="1">
        <v>45860</v>
      </c>
      <c r="C8048" s="2">
        <v>0.25</v>
      </c>
      <c r="D8048">
        <v>3</v>
      </c>
      <c r="E8048">
        <v>16.8</v>
      </c>
      <c r="F8048">
        <v>90</v>
      </c>
    </row>
    <row r="8049" spans="1:6" x14ac:dyDescent="0.35">
      <c r="A8049">
        <v>1975</v>
      </c>
      <c r="B8049" s="1">
        <v>45860</v>
      </c>
      <c r="C8049" s="2">
        <v>0.29166666666666669</v>
      </c>
      <c r="D8049">
        <v>3</v>
      </c>
      <c r="E8049">
        <v>17.5</v>
      </c>
      <c r="F8049">
        <v>85</v>
      </c>
    </row>
    <row r="8050" spans="1:6" x14ac:dyDescent="0.35">
      <c r="A8050">
        <v>1975</v>
      </c>
      <c r="B8050" s="1">
        <v>45860</v>
      </c>
      <c r="C8050" s="2">
        <v>0.33333333333333331</v>
      </c>
      <c r="D8050">
        <v>3</v>
      </c>
      <c r="E8050">
        <v>18.3</v>
      </c>
      <c r="F8050">
        <v>86</v>
      </c>
    </row>
    <row r="8051" spans="1:6" x14ac:dyDescent="0.35">
      <c r="A8051">
        <v>1975</v>
      </c>
      <c r="B8051" s="1">
        <v>45860</v>
      </c>
      <c r="C8051" s="2">
        <v>0.375</v>
      </c>
      <c r="D8051">
        <v>3</v>
      </c>
      <c r="E8051">
        <v>17.8</v>
      </c>
      <c r="F8051">
        <v>88</v>
      </c>
    </row>
    <row r="8052" spans="1:6" x14ac:dyDescent="0.35">
      <c r="A8052">
        <v>1975</v>
      </c>
      <c r="B8052" s="1">
        <v>45860</v>
      </c>
      <c r="C8052" s="2">
        <v>0.41666666666666669</v>
      </c>
      <c r="D8052">
        <v>3</v>
      </c>
      <c r="E8052">
        <v>18.2</v>
      </c>
      <c r="F8052">
        <v>86</v>
      </c>
    </row>
    <row r="8053" spans="1:6" x14ac:dyDescent="0.35">
      <c r="A8053">
        <v>1975</v>
      </c>
      <c r="B8053" s="1">
        <v>45860</v>
      </c>
      <c r="C8053" s="2">
        <v>0.45833333333333331</v>
      </c>
      <c r="D8053">
        <v>3</v>
      </c>
      <c r="E8053">
        <v>18.899999999999999</v>
      </c>
      <c r="F8053">
        <v>83</v>
      </c>
    </row>
    <row r="8054" spans="1:6" x14ac:dyDescent="0.35">
      <c r="A8054">
        <v>1975</v>
      </c>
      <c r="B8054" s="1">
        <v>45860</v>
      </c>
      <c r="C8054" s="2">
        <v>0.5</v>
      </c>
      <c r="D8054">
        <v>3</v>
      </c>
      <c r="E8054">
        <v>19.5</v>
      </c>
      <c r="F8054">
        <v>80</v>
      </c>
    </row>
    <row r="8055" spans="1:6" x14ac:dyDescent="0.35">
      <c r="A8055">
        <v>1975</v>
      </c>
      <c r="B8055" s="1">
        <v>45860</v>
      </c>
      <c r="C8055" s="2">
        <v>0.54166666666666663</v>
      </c>
      <c r="D8055">
        <v>3</v>
      </c>
      <c r="E8055">
        <v>19.8</v>
      </c>
      <c r="F8055">
        <v>75</v>
      </c>
    </row>
    <row r="8056" spans="1:6" x14ac:dyDescent="0.35">
      <c r="A8056">
        <v>1975</v>
      </c>
      <c r="B8056" s="1">
        <v>45860</v>
      </c>
      <c r="C8056" s="2">
        <v>0.58333333333333337</v>
      </c>
      <c r="D8056">
        <v>3</v>
      </c>
      <c r="E8056">
        <v>19.899999999999999</v>
      </c>
      <c r="F8056">
        <v>77</v>
      </c>
    </row>
    <row r="8057" spans="1:6" x14ac:dyDescent="0.35">
      <c r="A8057">
        <v>1975</v>
      </c>
      <c r="B8057" s="1">
        <v>45860</v>
      </c>
      <c r="C8057" s="2">
        <v>0.625</v>
      </c>
      <c r="D8057">
        <v>3</v>
      </c>
      <c r="E8057">
        <v>19.8</v>
      </c>
      <c r="F8057">
        <v>80</v>
      </c>
    </row>
    <row r="8058" spans="1:6" x14ac:dyDescent="0.35">
      <c r="A8058">
        <v>1975</v>
      </c>
      <c r="B8058" s="1">
        <v>45860</v>
      </c>
      <c r="C8058" s="2">
        <v>0.66666666666666663</v>
      </c>
      <c r="D8058">
        <v>3</v>
      </c>
      <c r="E8058">
        <v>19.399999999999999</v>
      </c>
      <c r="F8058">
        <v>84</v>
      </c>
    </row>
    <row r="8059" spans="1:6" x14ac:dyDescent="0.35">
      <c r="A8059">
        <v>1975</v>
      </c>
      <c r="B8059" s="1">
        <v>45860</v>
      </c>
      <c r="C8059" s="2">
        <v>0.70833333333333337</v>
      </c>
      <c r="D8059">
        <v>3</v>
      </c>
      <c r="E8059">
        <v>16.899999999999999</v>
      </c>
      <c r="F8059">
        <v>99</v>
      </c>
    </row>
    <row r="8060" spans="1:6" x14ac:dyDescent="0.35">
      <c r="A8060">
        <v>1975</v>
      </c>
      <c r="B8060" s="1">
        <v>45860</v>
      </c>
      <c r="C8060" s="2">
        <v>0.75</v>
      </c>
      <c r="D8060">
        <v>3</v>
      </c>
      <c r="E8060">
        <v>16.3</v>
      </c>
      <c r="F8060">
        <v>96</v>
      </c>
    </row>
    <row r="8061" spans="1:6" x14ac:dyDescent="0.35">
      <c r="A8061">
        <v>1975</v>
      </c>
      <c r="B8061" s="1">
        <v>45860</v>
      </c>
      <c r="C8061" s="2">
        <v>0.79166666666666663</v>
      </c>
      <c r="D8061">
        <v>3</v>
      </c>
      <c r="E8061">
        <v>16.3</v>
      </c>
      <c r="F8061">
        <v>98</v>
      </c>
    </row>
    <row r="8062" spans="1:6" x14ac:dyDescent="0.35">
      <c r="A8062">
        <v>1975</v>
      </c>
      <c r="B8062" s="1">
        <v>45860</v>
      </c>
      <c r="C8062" s="2">
        <v>0.83333333333333337</v>
      </c>
      <c r="D8062">
        <v>3</v>
      </c>
      <c r="E8062">
        <v>16.399999999999999</v>
      </c>
      <c r="F8062">
        <v>99</v>
      </c>
    </row>
    <row r="8063" spans="1:6" x14ac:dyDescent="0.35">
      <c r="A8063">
        <v>1975</v>
      </c>
      <c r="B8063" s="1">
        <v>45860</v>
      </c>
      <c r="C8063" s="2">
        <v>0.875</v>
      </c>
      <c r="D8063">
        <v>3</v>
      </c>
      <c r="E8063">
        <v>16.5</v>
      </c>
      <c r="F8063">
        <v>100</v>
      </c>
    </row>
    <row r="8064" spans="1:6" x14ac:dyDescent="0.35">
      <c r="A8064">
        <v>1975</v>
      </c>
      <c r="B8064" s="1">
        <v>45860</v>
      </c>
      <c r="C8064" s="2">
        <v>0.91666666666666663</v>
      </c>
      <c r="D8064">
        <v>3</v>
      </c>
      <c r="E8064">
        <v>16.8</v>
      </c>
      <c r="F8064">
        <v>100</v>
      </c>
    </row>
    <row r="8065" spans="1:6" x14ac:dyDescent="0.35">
      <c r="A8065">
        <v>1975</v>
      </c>
      <c r="B8065" s="1">
        <v>45860</v>
      </c>
      <c r="C8065" s="2">
        <v>0.95833333333333337</v>
      </c>
      <c r="D8065">
        <v>3</v>
      </c>
      <c r="E8065">
        <v>17.2</v>
      </c>
      <c r="F8065">
        <v>97</v>
      </c>
    </row>
    <row r="8066" spans="1:6" x14ac:dyDescent="0.35">
      <c r="A8066">
        <v>1975</v>
      </c>
      <c r="B8066" s="1">
        <v>45861</v>
      </c>
      <c r="C8066" s="2">
        <v>0</v>
      </c>
      <c r="D8066">
        <v>3</v>
      </c>
      <c r="E8066">
        <v>17.2</v>
      </c>
      <c r="F8066">
        <v>98</v>
      </c>
    </row>
    <row r="8067" spans="1:6" x14ac:dyDescent="0.35">
      <c r="A8067">
        <v>1975</v>
      </c>
      <c r="B8067" s="1">
        <v>45861</v>
      </c>
      <c r="C8067" s="2">
        <v>4.1666666666666657E-2</v>
      </c>
      <c r="D8067">
        <v>3</v>
      </c>
      <c r="E8067">
        <v>17.2</v>
      </c>
      <c r="F8067">
        <v>97</v>
      </c>
    </row>
    <row r="8068" spans="1:6" x14ac:dyDescent="0.35">
      <c r="A8068">
        <v>1975</v>
      </c>
      <c r="B8068" s="1">
        <v>45861</v>
      </c>
      <c r="C8068" s="2">
        <v>8.3333333333333329E-2</v>
      </c>
      <c r="D8068">
        <v>3</v>
      </c>
      <c r="E8068">
        <v>16.600000000000001</v>
      </c>
      <c r="F8068">
        <v>95</v>
      </c>
    </row>
    <row r="8069" spans="1:6" x14ac:dyDescent="0.35">
      <c r="A8069">
        <v>1975</v>
      </c>
      <c r="B8069" s="1">
        <v>45861</v>
      </c>
      <c r="C8069" s="2">
        <v>0.125</v>
      </c>
      <c r="D8069">
        <v>3</v>
      </c>
      <c r="E8069">
        <v>16.8</v>
      </c>
      <c r="F8069">
        <v>95</v>
      </c>
    </row>
    <row r="8070" spans="1:6" x14ac:dyDescent="0.35">
      <c r="A8070">
        <v>1975</v>
      </c>
      <c r="B8070" s="1">
        <v>45861</v>
      </c>
      <c r="C8070" s="2">
        <v>0.16666666666666671</v>
      </c>
      <c r="D8070">
        <v>3</v>
      </c>
      <c r="E8070">
        <v>16.7</v>
      </c>
      <c r="F8070">
        <v>94</v>
      </c>
    </row>
    <row r="8071" spans="1:6" x14ac:dyDescent="0.35">
      <c r="A8071">
        <v>1975</v>
      </c>
      <c r="B8071" s="1">
        <v>45861</v>
      </c>
      <c r="C8071" s="2">
        <v>0.20833333333333329</v>
      </c>
      <c r="D8071">
        <v>3</v>
      </c>
      <c r="E8071">
        <v>17.100000000000001</v>
      </c>
      <c r="F8071">
        <v>93</v>
      </c>
    </row>
    <row r="8072" spans="1:6" x14ac:dyDescent="0.35">
      <c r="A8072">
        <v>1975</v>
      </c>
      <c r="B8072" s="1">
        <v>45861</v>
      </c>
      <c r="C8072" s="2">
        <v>0.25</v>
      </c>
      <c r="D8072">
        <v>3</v>
      </c>
      <c r="E8072">
        <v>16.600000000000001</v>
      </c>
      <c r="F8072">
        <v>100</v>
      </c>
    </row>
    <row r="8073" spans="1:6" x14ac:dyDescent="0.35">
      <c r="A8073">
        <v>1975</v>
      </c>
      <c r="B8073" s="1">
        <v>45861</v>
      </c>
      <c r="C8073" s="2">
        <v>0.29166666666666669</v>
      </c>
      <c r="D8073">
        <v>3</v>
      </c>
      <c r="E8073">
        <v>16.899999999999999</v>
      </c>
      <c r="F8073">
        <v>100</v>
      </c>
    </row>
    <row r="8074" spans="1:6" x14ac:dyDescent="0.35">
      <c r="A8074">
        <v>1975</v>
      </c>
      <c r="B8074" s="1">
        <v>45861</v>
      </c>
      <c r="C8074" s="2">
        <v>0.33333333333333331</v>
      </c>
      <c r="D8074">
        <v>3</v>
      </c>
      <c r="E8074">
        <v>17</v>
      </c>
      <c r="F8074">
        <v>99</v>
      </c>
    </row>
    <row r="8075" spans="1:6" x14ac:dyDescent="0.35">
      <c r="A8075">
        <v>1975</v>
      </c>
      <c r="B8075" s="1">
        <v>45861</v>
      </c>
      <c r="C8075" s="2">
        <v>0.375</v>
      </c>
      <c r="D8075">
        <v>3</v>
      </c>
      <c r="E8075">
        <v>17.2</v>
      </c>
      <c r="F8075">
        <v>97</v>
      </c>
    </row>
    <row r="8076" spans="1:6" x14ac:dyDescent="0.35">
      <c r="A8076">
        <v>1975</v>
      </c>
      <c r="B8076" s="1">
        <v>45861</v>
      </c>
      <c r="C8076" s="2">
        <v>0.41666666666666669</v>
      </c>
      <c r="D8076">
        <v>3</v>
      </c>
      <c r="E8076">
        <v>17.5</v>
      </c>
      <c r="F8076">
        <v>98</v>
      </c>
    </row>
    <row r="8077" spans="1:6" x14ac:dyDescent="0.35">
      <c r="A8077">
        <v>1975</v>
      </c>
      <c r="B8077" s="1">
        <v>45861</v>
      </c>
      <c r="C8077" s="2">
        <v>0.45833333333333331</v>
      </c>
      <c r="D8077">
        <v>3</v>
      </c>
      <c r="E8077">
        <v>17.5</v>
      </c>
      <c r="F8077">
        <v>98</v>
      </c>
    </row>
    <row r="8078" spans="1:6" x14ac:dyDescent="0.35">
      <c r="A8078">
        <v>1975</v>
      </c>
      <c r="B8078" s="1">
        <v>45861</v>
      </c>
      <c r="C8078" s="2">
        <v>0.5</v>
      </c>
      <c r="D8078">
        <v>3</v>
      </c>
      <c r="E8078">
        <v>17.7</v>
      </c>
      <c r="F8078">
        <v>98</v>
      </c>
    </row>
    <row r="8079" spans="1:6" x14ac:dyDescent="0.35">
      <c r="A8079">
        <v>1975</v>
      </c>
      <c r="B8079" s="1">
        <v>45861</v>
      </c>
      <c r="C8079" s="2">
        <v>0.54166666666666663</v>
      </c>
      <c r="D8079">
        <v>3</v>
      </c>
      <c r="E8079">
        <v>17.899999999999999</v>
      </c>
      <c r="F8079">
        <v>98</v>
      </c>
    </row>
    <row r="8080" spans="1:6" x14ac:dyDescent="0.35">
      <c r="A8080">
        <v>1975</v>
      </c>
      <c r="B8080" s="1">
        <v>45861</v>
      </c>
      <c r="C8080" s="2">
        <v>0.58333333333333337</v>
      </c>
      <c r="D8080">
        <v>3</v>
      </c>
      <c r="E8080">
        <v>18</v>
      </c>
      <c r="F8080">
        <v>96</v>
      </c>
    </row>
    <row r="8081" spans="1:6" x14ac:dyDescent="0.35">
      <c r="A8081">
        <v>1975</v>
      </c>
      <c r="B8081" s="1">
        <v>45861</v>
      </c>
      <c r="C8081" s="2">
        <v>0.625</v>
      </c>
      <c r="D8081">
        <v>3</v>
      </c>
      <c r="E8081">
        <v>18.3</v>
      </c>
      <c r="F8081">
        <v>97</v>
      </c>
    </row>
    <row r="8082" spans="1:6" x14ac:dyDescent="0.35">
      <c r="A8082">
        <v>1975</v>
      </c>
      <c r="B8082" s="1">
        <v>45861</v>
      </c>
      <c r="C8082" s="2">
        <v>0.66666666666666663</v>
      </c>
      <c r="D8082">
        <v>3</v>
      </c>
      <c r="E8082">
        <v>18.2</v>
      </c>
      <c r="F8082">
        <v>97</v>
      </c>
    </row>
    <row r="8083" spans="1:6" x14ac:dyDescent="0.35">
      <c r="A8083">
        <v>1975</v>
      </c>
      <c r="B8083" s="1">
        <v>45861</v>
      </c>
      <c r="C8083" s="2">
        <v>0.70833333333333337</v>
      </c>
      <c r="D8083">
        <v>3</v>
      </c>
      <c r="E8083">
        <v>17.899999999999999</v>
      </c>
      <c r="F8083">
        <v>98</v>
      </c>
    </row>
    <row r="8084" spans="1:6" x14ac:dyDescent="0.35">
      <c r="A8084">
        <v>1975</v>
      </c>
      <c r="B8084" s="1">
        <v>45861</v>
      </c>
      <c r="C8084" s="2">
        <v>0.75</v>
      </c>
      <c r="D8084">
        <v>3</v>
      </c>
      <c r="E8084">
        <v>17.8</v>
      </c>
      <c r="F8084">
        <v>98</v>
      </c>
    </row>
    <row r="8085" spans="1:6" x14ac:dyDescent="0.35">
      <c r="A8085">
        <v>1975</v>
      </c>
      <c r="B8085" s="1">
        <v>45861</v>
      </c>
      <c r="C8085" s="2">
        <v>0.79166666666666663</v>
      </c>
      <c r="D8085">
        <v>3</v>
      </c>
      <c r="E8085">
        <v>17.8</v>
      </c>
      <c r="F8085">
        <v>98</v>
      </c>
    </row>
    <row r="8086" spans="1:6" x14ac:dyDescent="0.35">
      <c r="A8086">
        <v>1975</v>
      </c>
      <c r="B8086" s="1">
        <v>45861</v>
      </c>
      <c r="C8086" s="2">
        <v>0.83333333333333337</v>
      </c>
      <c r="D8086">
        <v>3</v>
      </c>
      <c r="E8086">
        <v>17.8</v>
      </c>
      <c r="F8086">
        <v>97</v>
      </c>
    </row>
    <row r="8087" spans="1:6" x14ac:dyDescent="0.35">
      <c r="A8087">
        <v>1975</v>
      </c>
      <c r="B8087" s="1">
        <v>45861</v>
      </c>
      <c r="C8087" s="2">
        <v>0.875</v>
      </c>
      <c r="D8087">
        <v>3</v>
      </c>
      <c r="E8087">
        <v>17.8</v>
      </c>
      <c r="F8087">
        <v>97</v>
      </c>
    </row>
    <row r="8088" spans="1:6" x14ac:dyDescent="0.35">
      <c r="A8088">
        <v>1975</v>
      </c>
      <c r="B8088" s="1">
        <v>45861</v>
      </c>
      <c r="C8088" s="2">
        <v>0.91666666666666663</v>
      </c>
      <c r="D8088">
        <v>3</v>
      </c>
      <c r="E8088">
        <v>17.7</v>
      </c>
      <c r="F8088">
        <v>98</v>
      </c>
    </row>
    <row r="8089" spans="1:6" x14ac:dyDescent="0.35">
      <c r="A8089">
        <v>1975</v>
      </c>
      <c r="B8089" s="1">
        <v>45861</v>
      </c>
      <c r="C8089" s="2">
        <v>0.95833333333333337</v>
      </c>
      <c r="D8089">
        <v>3</v>
      </c>
      <c r="E8089">
        <v>17.7</v>
      </c>
      <c r="F8089">
        <v>98</v>
      </c>
    </row>
    <row r="8090" spans="1:6" x14ac:dyDescent="0.35">
      <c r="A8090">
        <v>1975</v>
      </c>
      <c r="B8090" s="1">
        <v>45862</v>
      </c>
      <c r="C8090" s="2">
        <v>0</v>
      </c>
      <c r="D8090">
        <v>3</v>
      </c>
      <c r="E8090">
        <v>17.600000000000001</v>
      </c>
      <c r="F8090">
        <v>99</v>
      </c>
    </row>
    <row r="8091" spans="1:6" x14ac:dyDescent="0.35">
      <c r="A8091">
        <v>1975</v>
      </c>
      <c r="B8091" s="1">
        <v>45862</v>
      </c>
      <c r="C8091" s="2">
        <v>4.1666666666666657E-2</v>
      </c>
      <c r="D8091">
        <v>3</v>
      </c>
      <c r="E8091">
        <v>17.7</v>
      </c>
      <c r="F8091">
        <v>98</v>
      </c>
    </row>
    <row r="8092" spans="1:6" x14ac:dyDescent="0.35">
      <c r="A8092">
        <v>1975</v>
      </c>
      <c r="B8092" s="1">
        <v>45862</v>
      </c>
      <c r="C8092" s="2">
        <v>8.3333333333333329E-2</v>
      </c>
      <c r="D8092">
        <v>3</v>
      </c>
      <c r="E8092">
        <v>17.5</v>
      </c>
      <c r="F8092">
        <v>99</v>
      </c>
    </row>
    <row r="8093" spans="1:6" x14ac:dyDescent="0.35">
      <c r="A8093">
        <v>1975</v>
      </c>
      <c r="B8093" s="1">
        <v>45862</v>
      </c>
      <c r="C8093" s="2">
        <v>0.125</v>
      </c>
      <c r="D8093">
        <v>3</v>
      </c>
      <c r="E8093">
        <v>17.7</v>
      </c>
      <c r="F8093">
        <v>98</v>
      </c>
    </row>
    <row r="8094" spans="1:6" x14ac:dyDescent="0.35">
      <c r="A8094">
        <v>1975</v>
      </c>
      <c r="B8094" s="1">
        <v>45862</v>
      </c>
      <c r="C8094" s="2">
        <v>0.16666666666666671</v>
      </c>
      <c r="D8094">
        <v>3</v>
      </c>
      <c r="E8094">
        <v>17.600000000000001</v>
      </c>
      <c r="F8094">
        <v>98</v>
      </c>
    </row>
    <row r="8095" spans="1:6" x14ac:dyDescent="0.35">
      <c r="A8095">
        <v>1975</v>
      </c>
      <c r="B8095" s="1">
        <v>45862</v>
      </c>
      <c r="C8095" s="2">
        <v>0.20833333333333329</v>
      </c>
      <c r="D8095">
        <v>3</v>
      </c>
      <c r="E8095">
        <v>17.8</v>
      </c>
      <c r="F8095">
        <v>97</v>
      </c>
    </row>
    <row r="8096" spans="1:6" x14ac:dyDescent="0.35">
      <c r="A8096">
        <v>1975</v>
      </c>
      <c r="B8096" s="1">
        <v>45862</v>
      </c>
      <c r="C8096" s="2">
        <v>0.25</v>
      </c>
      <c r="D8096">
        <v>3</v>
      </c>
      <c r="E8096">
        <v>18</v>
      </c>
      <c r="F8096">
        <v>93</v>
      </c>
    </row>
    <row r="8097" spans="1:6" x14ac:dyDescent="0.35">
      <c r="A8097">
        <v>1975</v>
      </c>
      <c r="B8097" s="1">
        <v>45862</v>
      </c>
      <c r="C8097" s="2">
        <v>0.29166666666666669</v>
      </c>
      <c r="D8097">
        <v>3</v>
      </c>
      <c r="E8097">
        <v>18.8</v>
      </c>
      <c r="F8097">
        <v>92</v>
      </c>
    </row>
    <row r="8098" spans="1:6" x14ac:dyDescent="0.35">
      <c r="A8098">
        <v>1975</v>
      </c>
      <c r="B8098" s="1">
        <v>45862</v>
      </c>
      <c r="C8098" s="2">
        <v>0.33333333333333331</v>
      </c>
      <c r="D8098">
        <v>3</v>
      </c>
      <c r="E8098">
        <v>19.100000000000001</v>
      </c>
      <c r="F8098">
        <v>89</v>
      </c>
    </row>
    <row r="8099" spans="1:6" x14ac:dyDescent="0.35">
      <c r="A8099">
        <v>1975</v>
      </c>
      <c r="B8099" s="1">
        <v>45862</v>
      </c>
      <c r="C8099" s="2">
        <v>0.375</v>
      </c>
      <c r="D8099">
        <v>3</v>
      </c>
      <c r="E8099">
        <v>18.7</v>
      </c>
      <c r="F8099">
        <v>92</v>
      </c>
    </row>
    <row r="8100" spans="1:6" x14ac:dyDescent="0.35">
      <c r="A8100">
        <v>1975</v>
      </c>
      <c r="B8100" s="1">
        <v>45862</v>
      </c>
      <c r="C8100" s="2">
        <v>0.41666666666666669</v>
      </c>
      <c r="D8100">
        <v>3</v>
      </c>
      <c r="E8100">
        <v>19.399999999999999</v>
      </c>
      <c r="F8100">
        <v>93</v>
      </c>
    </row>
    <row r="8101" spans="1:6" x14ac:dyDescent="0.35">
      <c r="A8101">
        <v>1975</v>
      </c>
      <c r="B8101" s="1">
        <v>45862</v>
      </c>
      <c r="C8101" s="2">
        <v>0.45833333333333331</v>
      </c>
      <c r="D8101">
        <v>3</v>
      </c>
      <c r="E8101">
        <v>20.399999999999999</v>
      </c>
      <c r="F8101">
        <v>82</v>
      </c>
    </row>
    <row r="8102" spans="1:6" x14ac:dyDescent="0.35">
      <c r="A8102">
        <v>1975</v>
      </c>
      <c r="B8102" s="1">
        <v>45862</v>
      </c>
      <c r="C8102" s="2">
        <v>0.5</v>
      </c>
      <c r="D8102">
        <v>3</v>
      </c>
      <c r="E8102">
        <v>20.100000000000001</v>
      </c>
      <c r="F8102">
        <v>85</v>
      </c>
    </row>
    <row r="8103" spans="1:6" x14ac:dyDescent="0.35">
      <c r="A8103">
        <v>1975</v>
      </c>
      <c r="B8103" s="1">
        <v>45862</v>
      </c>
      <c r="C8103" s="2">
        <v>0.54166666666666663</v>
      </c>
      <c r="D8103">
        <v>3</v>
      </c>
      <c r="E8103">
        <v>21.3</v>
      </c>
      <c r="F8103">
        <v>81</v>
      </c>
    </row>
    <row r="8104" spans="1:6" x14ac:dyDescent="0.35">
      <c r="A8104">
        <v>1975</v>
      </c>
      <c r="B8104" s="1">
        <v>45862</v>
      </c>
      <c r="C8104" s="2">
        <v>0.58333333333333337</v>
      </c>
      <c r="D8104">
        <v>3</v>
      </c>
      <c r="E8104">
        <v>21.7</v>
      </c>
      <c r="F8104">
        <v>80</v>
      </c>
    </row>
    <row r="8105" spans="1:6" x14ac:dyDescent="0.35">
      <c r="A8105">
        <v>1975</v>
      </c>
      <c r="B8105" s="1">
        <v>45862</v>
      </c>
      <c r="C8105" s="2">
        <v>0.625</v>
      </c>
      <c r="D8105">
        <v>3</v>
      </c>
      <c r="E8105">
        <v>21.9</v>
      </c>
      <c r="F8105">
        <v>79</v>
      </c>
    </row>
    <row r="8106" spans="1:6" x14ac:dyDescent="0.35">
      <c r="A8106">
        <v>1975</v>
      </c>
      <c r="B8106" s="1">
        <v>45862</v>
      </c>
      <c r="C8106" s="2">
        <v>0.66666666666666663</v>
      </c>
      <c r="D8106">
        <v>3</v>
      </c>
      <c r="E8106">
        <v>22</v>
      </c>
      <c r="F8106">
        <v>80</v>
      </c>
    </row>
    <row r="8107" spans="1:6" x14ac:dyDescent="0.35">
      <c r="A8107">
        <v>1975</v>
      </c>
      <c r="B8107" s="1">
        <v>45862</v>
      </c>
      <c r="C8107" s="2">
        <v>0.70833333333333337</v>
      </c>
      <c r="D8107">
        <v>3</v>
      </c>
      <c r="E8107">
        <v>22</v>
      </c>
      <c r="F8107">
        <v>80</v>
      </c>
    </row>
    <row r="8108" spans="1:6" x14ac:dyDescent="0.35">
      <c r="A8108">
        <v>1975</v>
      </c>
      <c r="B8108" s="1">
        <v>45862</v>
      </c>
      <c r="C8108" s="2">
        <v>0.75</v>
      </c>
      <c r="D8108">
        <v>3</v>
      </c>
      <c r="E8108">
        <v>21.6</v>
      </c>
      <c r="F8108">
        <v>83</v>
      </c>
    </row>
    <row r="8109" spans="1:6" x14ac:dyDescent="0.35">
      <c r="A8109">
        <v>1975</v>
      </c>
      <c r="B8109" s="1">
        <v>45862</v>
      </c>
      <c r="C8109" s="2">
        <v>0.79166666666666663</v>
      </c>
      <c r="D8109">
        <v>3</v>
      </c>
      <c r="E8109">
        <v>20.7</v>
      </c>
      <c r="F8109">
        <v>84</v>
      </c>
    </row>
    <row r="8110" spans="1:6" x14ac:dyDescent="0.35">
      <c r="A8110">
        <v>1975</v>
      </c>
      <c r="B8110" s="1">
        <v>45862</v>
      </c>
      <c r="C8110" s="2">
        <v>0.83333333333333337</v>
      </c>
      <c r="D8110">
        <v>3</v>
      </c>
      <c r="E8110">
        <v>19.7</v>
      </c>
      <c r="F8110">
        <v>89</v>
      </c>
    </row>
    <row r="8111" spans="1:6" x14ac:dyDescent="0.35">
      <c r="A8111">
        <v>1975</v>
      </c>
      <c r="B8111" s="1">
        <v>45862</v>
      </c>
      <c r="C8111" s="2">
        <v>0.875</v>
      </c>
      <c r="D8111">
        <v>3</v>
      </c>
      <c r="E8111">
        <v>18.8</v>
      </c>
      <c r="F8111">
        <v>95</v>
      </c>
    </row>
    <row r="8112" spans="1:6" x14ac:dyDescent="0.35">
      <c r="A8112">
        <v>1975</v>
      </c>
      <c r="B8112" s="1">
        <v>45862</v>
      </c>
      <c r="C8112" s="2">
        <v>0.91666666666666663</v>
      </c>
      <c r="D8112">
        <v>3</v>
      </c>
      <c r="E8112">
        <v>18.899999999999999</v>
      </c>
      <c r="F8112">
        <v>95</v>
      </c>
    </row>
    <row r="8113" spans="1:6" x14ac:dyDescent="0.35">
      <c r="A8113">
        <v>1975</v>
      </c>
      <c r="B8113" s="1">
        <v>45862</v>
      </c>
      <c r="C8113" s="2">
        <v>0.95833333333333337</v>
      </c>
      <c r="D8113">
        <v>3</v>
      </c>
      <c r="E8113">
        <v>18.899999999999999</v>
      </c>
      <c r="F8113">
        <v>95</v>
      </c>
    </row>
    <row r="8114" spans="1:6" x14ac:dyDescent="0.35">
      <c r="A8114">
        <v>1975</v>
      </c>
      <c r="B8114" s="1">
        <v>45863</v>
      </c>
      <c r="C8114" s="2">
        <v>0</v>
      </c>
      <c r="D8114">
        <v>3</v>
      </c>
      <c r="E8114">
        <v>18.8</v>
      </c>
      <c r="F8114">
        <v>94</v>
      </c>
    </row>
    <row r="8115" spans="1:6" x14ac:dyDescent="0.35">
      <c r="A8115">
        <v>1975</v>
      </c>
      <c r="B8115" s="1">
        <v>45863</v>
      </c>
      <c r="C8115" s="2">
        <v>4.1666666666666657E-2</v>
      </c>
      <c r="D8115">
        <v>3</v>
      </c>
      <c r="E8115">
        <v>18.600000000000001</v>
      </c>
      <c r="F8115">
        <v>94</v>
      </c>
    </row>
    <row r="8116" spans="1:6" x14ac:dyDescent="0.35">
      <c r="A8116">
        <v>1975</v>
      </c>
      <c r="B8116" s="1">
        <v>45863</v>
      </c>
      <c r="C8116" s="2">
        <v>8.3333333333333329E-2</v>
      </c>
      <c r="D8116">
        <v>3</v>
      </c>
      <c r="E8116">
        <v>18.5</v>
      </c>
      <c r="F8116">
        <v>96</v>
      </c>
    </row>
    <row r="8117" spans="1:6" x14ac:dyDescent="0.35">
      <c r="A8117">
        <v>1975</v>
      </c>
      <c r="B8117" s="1">
        <v>45863</v>
      </c>
      <c r="C8117" s="2">
        <v>0.125</v>
      </c>
      <c r="D8117">
        <v>3</v>
      </c>
      <c r="E8117">
        <v>18.600000000000001</v>
      </c>
      <c r="F8117">
        <v>96</v>
      </c>
    </row>
    <row r="8118" spans="1:6" x14ac:dyDescent="0.35">
      <c r="A8118">
        <v>1975</v>
      </c>
      <c r="B8118" s="1">
        <v>45863</v>
      </c>
      <c r="C8118" s="2">
        <v>0.16666666666666671</v>
      </c>
      <c r="D8118">
        <v>3</v>
      </c>
      <c r="E8118">
        <v>18.600000000000001</v>
      </c>
      <c r="F8118">
        <v>96</v>
      </c>
    </row>
    <row r="8119" spans="1:6" x14ac:dyDescent="0.35">
      <c r="A8119">
        <v>1975</v>
      </c>
      <c r="B8119" s="1">
        <v>45863</v>
      </c>
      <c r="C8119" s="2">
        <v>0.20833333333333329</v>
      </c>
      <c r="D8119">
        <v>3</v>
      </c>
      <c r="E8119">
        <v>18.7</v>
      </c>
      <c r="F8119">
        <v>96</v>
      </c>
    </row>
    <row r="8120" spans="1:6" x14ac:dyDescent="0.35">
      <c r="A8120">
        <v>1975</v>
      </c>
      <c r="B8120" s="1">
        <v>45863</v>
      </c>
      <c r="C8120" s="2">
        <v>0.25</v>
      </c>
      <c r="D8120">
        <v>3</v>
      </c>
      <c r="E8120">
        <v>18.8</v>
      </c>
      <c r="F8120">
        <v>97</v>
      </c>
    </row>
    <row r="8121" spans="1:6" x14ac:dyDescent="0.35">
      <c r="A8121">
        <v>1975</v>
      </c>
      <c r="B8121" s="1">
        <v>45863</v>
      </c>
      <c r="C8121" s="2">
        <v>0.29166666666666669</v>
      </c>
      <c r="D8121">
        <v>3</v>
      </c>
      <c r="E8121">
        <v>19.7</v>
      </c>
      <c r="F8121">
        <v>92</v>
      </c>
    </row>
    <row r="8122" spans="1:6" x14ac:dyDescent="0.35">
      <c r="A8122">
        <v>1975</v>
      </c>
      <c r="B8122" s="1">
        <v>45863</v>
      </c>
      <c r="C8122" s="2">
        <v>0.33333333333333331</v>
      </c>
      <c r="D8122">
        <v>3</v>
      </c>
      <c r="E8122">
        <v>19.600000000000001</v>
      </c>
      <c r="F8122">
        <v>90</v>
      </c>
    </row>
    <row r="8123" spans="1:6" x14ac:dyDescent="0.35">
      <c r="A8123">
        <v>1975</v>
      </c>
      <c r="B8123" s="1">
        <v>45863</v>
      </c>
      <c r="C8123" s="2">
        <v>0.375</v>
      </c>
      <c r="D8123">
        <v>3</v>
      </c>
      <c r="E8123">
        <v>20.2</v>
      </c>
      <c r="F8123">
        <v>86</v>
      </c>
    </row>
    <row r="8124" spans="1:6" x14ac:dyDescent="0.35">
      <c r="A8124">
        <v>1975</v>
      </c>
      <c r="B8124" s="1">
        <v>45863</v>
      </c>
      <c r="C8124" s="2">
        <v>0.41666666666666669</v>
      </c>
      <c r="D8124">
        <v>3</v>
      </c>
      <c r="E8124">
        <v>21.1</v>
      </c>
      <c r="F8124">
        <v>80</v>
      </c>
    </row>
    <row r="8125" spans="1:6" x14ac:dyDescent="0.35">
      <c r="A8125">
        <v>1975</v>
      </c>
      <c r="B8125" s="1">
        <v>45863</v>
      </c>
      <c r="C8125" s="2">
        <v>0.45833333333333331</v>
      </c>
      <c r="D8125">
        <v>3</v>
      </c>
      <c r="E8125">
        <v>21.7</v>
      </c>
      <c r="F8125">
        <v>79</v>
      </c>
    </row>
    <row r="8126" spans="1:6" x14ac:dyDescent="0.35">
      <c r="A8126">
        <v>1975</v>
      </c>
      <c r="B8126" s="1">
        <v>45863</v>
      </c>
      <c r="C8126" s="2">
        <v>0.5</v>
      </c>
      <c r="D8126">
        <v>3</v>
      </c>
      <c r="E8126">
        <v>20.5</v>
      </c>
      <c r="F8126">
        <v>82</v>
      </c>
    </row>
    <row r="8127" spans="1:6" x14ac:dyDescent="0.35">
      <c r="A8127">
        <v>1975</v>
      </c>
      <c r="B8127" s="1">
        <v>45863</v>
      </c>
      <c r="C8127" s="2">
        <v>0.54166666666666663</v>
      </c>
      <c r="D8127">
        <v>3</v>
      </c>
      <c r="E8127">
        <v>20.6</v>
      </c>
      <c r="F8127">
        <v>79</v>
      </c>
    </row>
    <row r="8128" spans="1:6" x14ac:dyDescent="0.35">
      <c r="A8128">
        <v>1975</v>
      </c>
      <c r="B8128" s="1">
        <v>45863</v>
      </c>
      <c r="C8128" s="2">
        <v>0.58333333333333337</v>
      </c>
      <c r="D8128">
        <v>3</v>
      </c>
      <c r="E8128">
        <v>19.5</v>
      </c>
      <c r="F8128">
        <v>82</v>
      </c>
    </row>
    <row r="8129" spans="1:6" x14ac:dyDescent="0.35">
      <c r="A8129">
        <v>1975</v>
      </c>
      <c r="B8129" s="1">
        <v>45863</v>
      </c>
      <c r="C8129" s="2">
        <v>0.625</v>
      </c>
      <c r="D8129">
        <v>3</v>
      </c>
      <c r="E8129">
        <v>19</v>
      </c>
      <c r="F8129">
        <v>84</v>
      </c>
    </row>
    <row r="8130" spans="1:6" x14ac:dyDescent="0.35">
      <c r="A8130">
        <v>1975</v>
      </c>
      <c r="B8130" s="1">
        <v>45863</v>
      </c>
      <c r="C8130" s="2">
        <v>0.66666666666666663</v>
      </c>
      <c r="D8130">
        <v>3</v>
      </c>
      <c r="E8130">
        <v>18.7</v>
      </c>
      <c r="F8130">
        <v>82</v>
      </c>
    </row>
    <row r="8131" spans="1:6" x14ac:dyDescent="0.35">
      <c r="A8131">
        <v>1975</v>
      </c>
      <c r="B8131" s="1">
        <v>45863</v>
      </c>
      <c r="C8131" s="2">
        <v>0.70833333333333337</v>
      </c>
      <c r="D8131">
        <v>3</v>
      </c>
      <c r="E8131">
        <v>18.600000000000001</v>
      </c>
      <c r="F8131">
        <v>81</v>
      </c>
    </row>
    <row r="8132" spans="1:6" x14ac:dyDescent="0.35">
      <c r="A8132">
        <v>1975</v>
      </c>
      <c r="B8132" s="1">
        <v>45863</v>
      </c>
      <c r="C8132" s="2">
        <v>0.75</v>
      </c>
      <c r="D8132">
        <v>3</v>
      </c>
      <c r="E8132">
        <v>18.5</v>
      </c>
      <c r="F8132">
        <v>80</v>
      </c>
    </row>
    <row r="8133" spans="1:6" x14ac:dyDescent="0.35">
      <c r="A8133">
        <v>1975</v>
      </c>
      <c r="B8133" s="1">
        <v>45863</v>
      </c>
      <c r="C8133" s="2">
        <v>0.79166666666666663</v>
      </c>
      <c r="D8133">
        <v>3</v>
      </c>
      <c r="E8133">
        <v>18.2</v>
      </c>
      <c r="F8133">
        <v>82</v>
      </c>
    </row>
    <row r="8134" spans="1:6" x14ac:dyDescent="0.35">
      <c r="A8134">
        <v>1975</v>
      </c>
      <c r="B8134" s="1">
        <v>45863</v>
      </c>
      <c r="C8134" s="2">
        <v>0.83333333333333337</v>
      </c>
      <c r="D8134">
        <v>3</v>
      </c>
      <c r="E8134">
        <v>17.600000000000001</v>
      </c>
      <c r="F8134">
        <v>85</v>
      </c>
    </row>
    <row r="8135" spans="1:6" x14ac:dyDescent="0.35">
      <c r="A8135">
        <v>1975</v>
      </c>
      <c r="B8135" s="1">
        <v>45863</v>
      </c>
      <c r="C8135" s="2">
        <v>0.875</v>
      </c>
      <c r="D8135">
        <v>3</v>
      </c>
      <c r="E8135">
        <v>17.399999999999999</v>
      </c>
      <c r="F8135">
        <v>85</v>
      </c>
    </row>
    <row r="8136" spans="1:6" x14ac:dyDescent="0.35">
      <c r="A8136">
        <v>1975</v>
      </c>
      <c r="B8136" s="1">
        <v>45863</v>
      </c>
      <c r="C8136" s="2">
        <v>0.91666666666666663</v>
      </c>
      <c r="D8136">
        <v>3</v>
      </c>
      <c r="E8136">
        <v>17.2</v>
      </c>
      <c r="F8136">
        <v>88</v>
      </c>
    </row>
    <row r="8137" spans="1:6" x14ac:dyDescent="0.35">
      <c r="A8137">
        <v>1975</v>
      </c>
      <c r="B8137" s="1">
        <v>45863</v>
      </c>
      <c r="C8137" s="2">
        <v>0.95833333333333337</v>
      </c>
      <c r="D8137">
        <v>3</v>
      </c>
      <c r="E8137">
        <v>17.2</v>
      </c>
      <c r="F8137">
        <v>87</v>
      </c>
    </row>
    <row r="8138" spans="1:6" x14ac:dyDescent="0.35">
      <c r="A8138">
        <v>1975</v>
      </c>
      <c r="B8138" s="1">
        <v>45864</v>
      </c>
      <c r="C8138" s="2">
        <v>0</v>
      </c>
      <c r="D8138">
        <v>3</v>
      </c>
      <c r="E8138">
        <v>16.899999999999999</v>
      </c>
      <c r="F8138">
        <v>90</v>
      </c>
    </row>
    <row r="8139" spans="1:6" x14ac:dyDescent="0.35">
      <c r="A8139">
        <v>1975</v>
      </c>
      <c r="B8139" s="1">
        <v>45864</v>
      </c>
      <c r="C8139" s="2">
        <v>4.1666666666666657E-2</v>
      </c>
      <c r="D8139">
        <v>3</v>
      </c>
      <c r="E8139">
        <v>16.8</v>
      </c>
      <c r="F8139">
        <v>91</v>
      </c>
    </row>
    <row r="8140" spans="1:6" x14ac:dyDescent="0.35">
      <c r="A8140">
        <v>1975</v>
      </c>
      <c r="B8140" s="1">
        <v>45864</v>
      </c>
      <c r="C8140" s="2">
        <v>8.3333333333333329E-2</v>
      </c>
      <c r="D8140">
        <v>3</v>
      </c>
      <c r="E8140">
        <v>16.600000000000001</v>
      </c>
      <c r="F8140">
        <v>92</v>
      </c>
    </row>
    <row r="8141" spans="1:6" x14ac:dyDescent="0.35">
      <c r="A8141">
        <v>1975</v>
      </c>
      <c r="B8141" s="1">
        <v>45864</v>
      </c>
      <c r="C8141" s="2">
        <v>0.125</v>
      </c>
      <c r="D8141">
        <v>3</v>
      </c>
      <c r="E8141">
        <v>16.5</v>
      </c>
      <c r="F8141">
        <v>92</v>
      </c>
    </row>
    <row r="8142" spans="1:6" x14ac:dyDescent="0.35">
      <c r="A8142">
        <v>1975</v>
      </c>
      <c r="B8142" s="1">
        <v>45864</v>
      </c>
      <c r="C8142" s="2">
        <v>0.16666666666666671</v>
      </c>
      <c r="D8142">
        <v>3</v>
      </c>
      <c r="E8142">
        <v>16</v>
      </c>
      <c r="F8142">
        <v>95</v>
      </c>
    </row>
    <row r="8143" spans="1:6" x14ac:dyDescent="0.35">
      <c r="A8143">
        <v>1975</v>
      </c>
      <c r="B8143" s="1">
        <v>45864</v>
      </c>
      <c r="C8143" s="2">
        <v>0.20833333333333329</v>
      </c>
      <c r="D8143">
        <v>3</v>
      </c>
      <c r="E8143">
        <v>16</v>
      </c>
      <c r="F8143">
        <v>94</v>
      </c>
    </row>
    <row r="8144" spans="1:6" x14ac:dyDescent="0.35">
      <c r="A8144">
        <v>1975</v>
      </c>
      <c r="B8144" s="1">
        <v>45864</v>
      </c>
      <c r="C8144" s="2">
        <v>0.25</v>
      </c>
      <c r="D8144">
        <v>3</v>
      </c>
      <c r="E8144">
        <v>17</v>
      </c>
      <c r="F8144">
        <v>89</v>
      </c>
    </row>
    <row r="8145" spans="1:6" x14ac:dyDescent="0.35">
      <c r="A8145">
        <v>1975</v>
      </c>
      <c r="B8145" s="1">
        <v>45864</v>
      </c>
      <c r="C8145" s="2">
        <v>0.29166666666666669</v>
      </c>
      <c r="D8145">
        <v>3</v>
      </c>
      <c r="E8145">
        <v>17.8</v>
      </c>
      <c r="F8145">
        <v>86</v>
      </c>
    </row>
    <row r="8146" spans="1:6" x14ac:dyDescent="0.35">
      <c r="A8146">
        <v>1975</v>
      </c>
      <c r="B8146" s="1">
        <v>45864</v>
      </c>
      <c r="C8146" s="2">
        <v>0.33333333333333331</v>
      </c>
      <c r="D8146">
        <v>3</v>
      </c>
      <c r="E8146">
        <v>18.899999999999999</v>
      </c>
      <c r="F8146">
        <v>77</v>
      </c>
    </row>
    <row r="8147" spans="1:6" x14ac:dyDescent="0.35">
      <c r="A8147">
        <v>1975</v>
      </c>
      <c r="B8147" s="1">
        <v>45864</v>
      </c>
      <c r="C8147" s="2">
        <v>0.375</v>
      </c>
      <c r="D8147">
        <v>3</v>
      </c>
      <c r="E8147">
        <v>20</v>
      </c>
      <c r="F8147">
        <v>67</v>
      </c>
    </row>
    <row r="8148" spans="1:6" x14ac:dyDescent="0.35">
      <c r="A8148">
        <v>1975</v>
      </c>
      <c r="B8148" s="1">
        <v>45864</v>
      </c>
      <c r="C8148" s="2">
        <v>0.41666666666666669</v>
      </c>
      <c r="D8148">
        <v>3</v>
      </c>
      <c r="E8148">
        <v>20.399999999999999</v>
      </c>
      <c r="F8148">
        <v>64</v>
      </c>
    </row>
    <row r="8149" spans="1:6" x14ac:dyDescent="0.35">
      <c r="A8149">
        <v>1975</v>
      </c>
      <c r="B8149" s="1">
        <v>45864</v>
      </c>
      <c r="C8149" s="2">
        <v>0.45833333333333331</v>
      </c>
      <c r="D8149">
        <v>3</v>
      </c>
      <c r="E8149">
        <v>20.8</v>
      </c>
      <c r="F8149">
        <v>61</v>
      </c>
    </row>
    <row r="8150" spans="1:6" x14ac:dyDescent="0.35">
      <c r="A8150">
        <v>1975</v>
      </c>
      <c r="B8150" s="1">
        <v>45864</v>
      </c>
      <c r="C8150" s="2">
        <v>0.5</v>
      </c>
      <c r="D8150">
        <v>3</v>
      </c>
      <c r="E8150">
        <v>21.4</v>
      </c>
      <c r="F8150">
        <v>57</v>
      </c>
    </row>
    <row r="8151" spans="1:6" x14ac:dyDescent="0.35">
      <c r="A8151">
        <v>1975</v>
      </c>
      <c r="B8151" s="1">
        <v>45864</v>
      </c>
      <c r="C8151" s="2">
        <v>0.54166666666666663</v>
      </c>
      <c r="D8151">
        <v>3</v>
      </c>
      <c r="E8151">
        <v>21.7</v>
      </c>
      <c r="F8151">
        <v>59</v>
      </c>
    </row>
    <row r="8152" spans="1:6" x14ac:dyDescent="0.35">
      <c r="A8152">
        <v>1975</v>
      </c>
      <c r="B8152" s="1">
        <v>45864</v>
      </c>
      <c r="C8152" s="2">
        <v>0.58333333333333337</v>
      </c>
      <c r="D8152">
        <v>3</v>
      </c>
      <c r="E8152">
        <v>22.3</v>
      </c>
      <c r="F8152">
        <v>60</v>
      </c>
    </row>
    <row r="8153" spans="1:6" x14ac:dyDescent="0.35">
      <c r="A8153">
        <v>1975</v>
      </c>
      <c r="B8153" s="1">
        <v>45864</v>
      </c>
      <c r="C8153" s="2">
        <v>0.625</v>
      </c>
      <c r="D8153">
        <v>3</v>
      </c>
      <c r="E8153">
        <v>22.6</v>
      </c>
      <c r="F8153">
        <v>55</v>
      </c>
    </row>
    <row r="8154" spans="1:6" x14ac:dyDescent="0.35">
      <c r="A8154">
        <v>1975</v>
      </c>
      <c r="B8154" s="1">
        <v>45864</v>
      </c>
      <c r="C8154" s="2">
        <v>0.66666666666666663</v>
      </c>
      <c r="D8154">
        <v>3</v>
      </c>
      <c r="E8154">
        <v>23.8</v>
      </c>
      <c r="F8154">
        <v>57</v>
      </c>
    </row>
    <row r="8155" spans="1:6" x14ac:dyDescent="0.35">
      <c r="A8155">
        <v>1975</v>
      </c>
      <c r="B8155" s="1">
        <v>45864</v>
      </c>
      <c r="C8155" s="2">
        <v>0.70833333333333337</v>
      </c>
      <c r="D8155">
        <v>3</v>
      </c>
      <c r="E8155">
        <v>21.5</v>
      </c>
      <c r="F8155">
        <v>70</v>
      </c>
    </row>
    <row r="8156" spans="1:6" x14ac:dyDescent="0.35">
      <c r="A8156">
        <v>1975</v>
      </c>
      <c r="B8156" s="1">
        <v>45864</v>
      </c>
      <c r="C8156" s="2">
        <v>0.75</v>
      </c>
      <c r="D8156">
        <v>3</v>
      </c>
      <c r="E8156">
        <v>20</v>
      </c>
      <c r="F8156">
        <v>70</v>
      </c>
    </row>
    <row r="8157" spans="1:6" x14ac:dyDescent="0.35">
      <c r="A8157">
        <v>1975</v>
      </c>
      <c r="B8157" s="1">
        <v>45864</v>
      </c>
      <c r="C8157" s="2">
        <v>0.79166666666666663</v>
      </c>
      <c r="D8157">
        <v>3</v>
      </c>
      <c r="E8157">
        <v>17.899999999999999</v>
      </c>
      <c r="F8157">
        <v>81</v>
      </c>
    </row>
    <row r="8158" spans="1:6" x14ac:dyDescent="0.35">
      <c r="A8158">
        <v>1975</v>
      </c>
      <c r="B8158" s="1">
        <v>45864</v>
      </c>
      <c r="C8158" s="2">
        <v>0.83333333333333337</v>
      </c>
      <c r="D8158">
        <v>3</v>
      </c>
      <c r="E8158">
        <v>18.3</v>
      </c>
      <c r="F8158">
        <v>81</v>
      </c>
    </row>
    <row r="8159" spans="1:6" x14ac:dyDescent="0.35">
      <c r="A8159">
        <v>1975</v>
      </c>
      <c r="B8159" s="1">
        <v>45864</v>
      </c>
      <c r="C8159" s="2">
        <v>0.875</v>
      </c>
      <c r="D8159">
        <v>3</v>
      </c>
      <c r="E8159">
        <v>18.899999999999999</v>
      </c>
      <c r="F8159">
        <v>77</v>
      </c>
    </row>
    <row r="8160" spans="1:6" x14ac:dyDescent="0.35">
      <c r="A8160">
        <v>1975</v>
      </c>
      <c r="B8160" s="1">
        <v>45864</v>
      </c>
      <c r="C8160" s="2">
        <v>0.91666666666666663</v>
      </c>
      <c r="D8160">
        <v>3</v>
      </c>
      <c r="E8160">
        <v>17.399999999999999</v>
      </c>
      <c r="F8160">
        <v>89</v>
      </c>
    </row>
    <row r="8161" spans="1:6" x14ac:dyDescent="0.35">
      <c r="A8161">
        <v>1975</v>
      </c>
      <c r="B8161" s="1">
        <v>45864</v>
      </c>
      <c r="C8161" s="2">
        <v>0.95833333333333337</v>
      </c>
      <c r="D8161">
        <v>3</v>
      </c>
      <c r="E8161">
        <v>16.399999999999999</v>
      </c>
      <c r="F8161">
        <v>93</v>
      </c>
    </row>
    <row r="8162" spans="1:6" x14ac:dyDescent="0.35">
      <c r="A8162">
        <v>1975</v>
      </c>
      <c r="B8162" s="1">
        <v>45865</v>
      </c>
      <c r="C8162" s="2">
        <v>0</v>
      </c>
      <c r="D8162">
        <v>3</v>
      </c>
      <c r="E8162">
        <v>15.3</v>
      </c>
      <c r="F8162">
        <v>98</v>
      </c>
    </row>
    <row r="8163" spans="1:6" x14ac:dyDescent="0.35">
      <c r="A8163">
        <v>1975</v>
      </c>
      <c r="B8163" s="1">
        <v>45865</v>
      </c>
      <c r="C8163" s="2">
        <v>4.1666666666666657E-2</v>
      </c>
      <c r="D8163">
        <v>3</v>
      </c>
      <c r="E8163">
        <v>15.3</v>
      </c>
      <c r="F8163">
        <v>98</v>
      </c>
    </row>
    <row r="8164" spans="1:6" x14ac:dyDescent="0.35">
      <c r="A8164">
        <v>1975</v>
      </c>
      <c r="B8164" s="1">
        <v>45865</v>
      </c>
      <c r="C8164" s="2">
        <v>8.3333333333333329E-2</v>
      </c>
      <c r="D8164">
        <v>3</v>
      </c>
      <c r="E8164">
        <v>15.5</v>
      </c>
      <c r="F8164">
        <v>99</v>
      </c>
    </row>
    <row r="8165" spans="1:6" x14ac:dyDescent="0.35">
      <c r="A8165">
        <v>1975</v>
      </c>
      <c r="B8165" s="1">
        <v>45865</v>
      </c>
      <c r="C8165" s="2">
        <v>0.125</v>
      </c>
      <c r="D8165">
        <v>3</v>
      </c>
      <c r="E8165">
        <v>15.9</v>
      </c>
      <c r="F8165">
        <v>97</v>
      </c>
    </row>
    <row r="8166" spans="1:6" x14ac:dyDescent="0.35">
      <c r="A8166">
        <v>1975</v>
      </c>
      <c r="B8166" s="1">
        <v>45865</v>
      </c>
      <c r="C8166" s="2">
        <v>0.16666666666666671</v>
      </c>
      <c r="D8166">
        <v>3</v>
      </c>
      <c r="E8166">
        <v>16</v>
      </c>
      <c r="F8166">
        <v>99</v>
      </c>
    </row>
    <row r="8167" spans="1:6" x14ac:dyDescent="0.35">
      <c r="A8167">
        <v>1975</v>
      </c>
      <c r="B8167" s="1">
        <v>45865</v>
      </c>
      <c r="C8167" s="2">
        <v>0.20833333333333329</v>
      </c>
      <c r="D8167">
        <v>3</v>
      </c>
      <c r="E8167">
        <v>16.2</v>
      </c>
      <c r="F8167">
        <v>100</v>
      </c>
    </row>
    <row r="8168" spans="1:6" x14ac:dyDescent="0.35">
      <c r="A8168">
        <v>1975</v>
      </c>
      <c r="B8168" s="1">
        <v>45865</v>
      </c>
      <c r="C8168" s="2">
        <v>0.25</v>
      </c>
      <c r="D8168">
        <v>3</v>
      </c>
      <c r="E8168">
        <v>17.3</v>
      </c>
      <c r="F8168">
        <v>97</v>
      </c>
    </row>
    <row r="8169" spans="1:6" x14ac:dyDescent="0.35">
      <c r="A8169">
        <v>1975</v>
      </c>
      <c r="B8169" s="1">
        <v>45865</v>
      </c>
      <c r="C8169" s="2">
        <v>0.29166666666666669</v>
      </c>
      <c r="D8169">
        <v>3</v>
      </c>
      <c r="E8169">
        <v>17.3</v>
      </c>
      <c r="F8169">
        <v>100</v>
      </c>
    </row>
    <row r="8170" spans="1:6" x14ac:dyDescent="0.35">
      <c r="A8170">
        <v>1975</v>
      </c>
      <c r="B8170" s="1">
        <v>45865</v>
      </c>
      <c r="C8170" s="2">
        <v>0.33333333333333331</v>
      </c>
      <c r="D8170">
        <v>3</v>
      </c>
      <c r="E8170">
        <v>17.600000000000001</v>
      </c>
      <c r="F8170">
        <v>99</v>
      </c>
    </row>
    <row r="8171" spans="1:6" x14ac:dyDescent="0.35">
      <c r="A8171">
        <v>1975</v>
      </c>
      <c r="B8171" s="1">
        <v>45865</v>
      </c>
      <c r="C8171" s="2">
        <v>0.375</v>
      </c>
      <c r="D8171">
        <v>3</v>
      </c>
      <c r="E8171">
        <v>17.3</v>
      </c>
      <c r="F8171">
        <v>97</v>
      </c>
    </row>
    <row r="8172" spans="1:6" x14ac:dyDescent="0.35">
      <c r="A8172">
        <v>1975</v>
      </c>
      <c r="B8172" s="1">
        <v>45865</v>
      </c>
      <c r="C8172" s="2">
        <v>0.41666666666666669</v>
      </c>
      <c r="D8172">
        <v>3</v>
      </c>
      <c r="E8172">
        <v>16.7</v>
      </c>
      <c r="F8172">
        <v>95</v>
      </c>
    </row>
    <row r="8173" spans="1:6" x14ac:dyDescent="0.35">
      <c r="A8173">
        <v>1975</v>
      </c>
      <c r="B8173" s="1">
        <v>45865</v>
      </c>
      <c r="C8173" s="2">
        <v>0.45833333333333331</v>
      </c>
      <c r="D8173">
        <v>3</v>
      </c>
      <c r="E8173">
        <v>18.8</v>
      </c>
      <c r="F8173">
        <v>87</v>
      </c>
    </row>
    <row r="8174" spans="1:6" x14ac:dyDescent="0.35">
      <c r="A8174">
        <v>1975</v>
      </c>
      <c r="B8174" s="1">
        <v>45865</v>
      </c>
      <c r="C8174" s="2">
        <v>0.5</v>
      </c>
      <c r="D8174">
        <v>3</v>
      </c>
      <c r="E8174">
        <v>18.5</v>
      </c>
      <c r="F8174">
        <v>83</v>
      </c>
    </row>
    <row r="8175" spans="1:6" x14ac:dyDescent="0.35">
      <c r="A8175">
        <v>1975</v>
      </c>
      <c r="B8175" s="1">
        <v>45865</v>
      </c>
      <c r="C8175" s="2">
        <v>0.54166666666666663</v>
      </c>
      <c r="D8175">
        <v>3</v>
      </c>
      <c r="E8175">
        <v>19.7</v>
      </c>
      <c r="F8175">
        <v>73</v>
      </c>
    </row>
    <row r="8176" spans="1:6" x14ac:dyDescent="0.35">
      <c r="A8176">
        <v>1975</v>
      </c>
      <c r="B8176" s="1">
        <v>45865</v>
      </c>
      <c r="C8176" s="2">
        <v>0.58333333333333337</v>
      </c>
      <c r="D8176">
        <v>3</v>
      </c>
      <c r="E8176">
        <v>18.8</v>
      </c>
      <c r="F8176">
        <v>77</v>
      </c>
    </row>
    <row r="8177" spans="1:6" x14ac:dyDescent="0.35">
      <c r="A8177">
        <v>1975</v>
      </c>
      <c r="B8177" s="1">
        <v>45865</v>
      </c>
      <c r="C8177" s="2">
        <v>0.625</v>
      </c>
      <c r="D8177">
        <v>3</v>
      </c>
      <c r="E8177">
        <v>19.5</v>
      </c>
      <c r="F8177">
        <v>74</v>
      </c>
    </row>
    <row r="8178" spans="1:6" x14ac:dyDescent="0.35">
      <c r="A8178">
        <v>1975</v>
      </c>
      <c r="B8178" s="1">
        <v>45865</v>
      </c>
      <c r="C8178" s="2">
        <v>0.66666666666666663</v>
      </c>
      <c r="D8178">
        <v>3</v>
      </c>
      <c r="E8178">
        <v>20.100000000000001</v>
      </c>
      <c r="F8178">
        <v>73</v>
      </c>
    </row>
    <row r="8179" spans="1:6" x14ac:dyDescent="0.35">
      <c r="A8179">
        <v>1975</v>
      </c>
      <c r="B8179" s="1">
        <v>45865</v>
      </c>
      <c r="C8179" s="2">
        <v>0.70833333333333337</v>
      </c>
      <c r="D8179">
        <v>3</v>
      </c>
      <c r="E8179">
        <v>19.7</v>
      </c>
      <c r="F8179">
        <v>75</v>
      </c>
    </row>
    <row r="8180" spans="1:6" x14ac:dyDescent="0.35">
      <c r="A8180">
        <v>1975</v>
      </c>
      <c r="B8180" s="1">
        <v>45865</v>
      </c>
      <c r="C8180" s="2">
        <v>0.75</v>
      </c>
      <c r="D8180">
        <v>3</v>
      </c>
      <c r="E8180">
        <v>19.899999999999999</v>
      </c>
      <c r="F8180">
        <v>73</v>
      </c>
    </row>
    <row r="8181" spans="1:6" x14ac:dyDescent="0.35">
      <c r="A8181">
        <v>1975</v>
      </c>
      <c r="B8181" s="1">
        <v>45865</v>
      </c>
      <c r="C8181" s="2">
        <v>0.79166666666666663</v>
      </c>
      <c r="D8181">
        <v>3</v>
      </c>
      <c r="E8181">
        <v>18.399999999999999</v>
      </c>
      <c r="F8181">
        <v>75</v>
      </c>
    </row>
    <row r="8182" spans="1:6" x14ac:dyDescent="0.35">
      <c r="A8182">
        <v>1975</v>
      </c>
      <c r="B8182" s="1">
        <v>45865</v>
      </c>
      <c r="C8182" s="2">
        <v>0.83333333333333337</v>
      </c>
      <c r="D8182">
        <v>3</v>
      </c>
      <c r="E8182">
        <v>17.600000000000001</v>
      </c>
      <c r="F8182">
        <v>79</v>
      </c>
    </row>
    <row r="8183" spans="1:6" x14ac:dyDescent="0.35">
      <c r="A8183">
        <v>1975</v>
      </c>
      <c r="B8183" s="1">
        <v>45865</v>
      </c>
      <c r="C8183" s="2">
        <v>0.875</v>
      </c>
      <c r="D8183">
        <v>3</v>
      </c>
      <c r="E8183">
        <v>17.2</v>
      </c>
      <c r="F8183">
        <v>81</v>
      </c>
    </row>
    <row r="8184" spans="1:6" x14ac:dyDescent="0.35">
      <c r="A8184">
        <v>1975</v>
      </c>
      <c r="B8184" s="1">
        <v>45865</v>
      </c>
      <c r="C8184" s="2">
        <v>0.91666666666666663</v>
      </c>
      <c r="D8184">
        <v>3</v>
      </c>
      <c r="E8184">
        <v>17</v>
      </c>
      <c r="F8184">
        <v>83</v>
      </c>
    </row>
    <row r="8185" spans="1:6" x14ac:dyDescent="0.35">
      <c r="A8185">
        <v>1975</v>
      </c>
      <c r="B8185" s="1">
        <v>45865</v>
      </c>
      <c r="C8185" s="2">
        <v>0.95833333333333337</v>
      </c>
      <c r="D8185">
        <v>3</v>
      </c>
      <c r="E8185">
        <v>16.8</v>
      </c>
      <c r="F8185">
        <v>83</v>
      </c>
    </row>
    <row r="8186" spans="1:6" x14ac:dyDescent="0.35">
      <c r="A8186">
        <v>1975</v>
      </c>
      <c r="B8186" s="1">
        <v>45866</v>
      </c>
      <c r="C8186" s="2">
        <v>0</v>
      </c>
      <c r="D8186">
        <v>3</v>
      </c>
      <c r="E8186">
        <v>16.600000000000001</v>
      </c>
      <c r="F8186">
        <v>84</v>
      </c>
    </row>
    <row r="8187" spans="1:6" x14ac:dyDescent="0.35">
      <c r="A8187">
        <v>1975</v>
      </c>
      <c r="B8187" s="1">
        <v>45866</v>
      </c>
      <c r="C8187" s="2">
        <v>4.1666666666666657E-2</v>
      </c>
      <c r="D8187">
        <v>3</v>
      </c>
      <c r="E8187">
        <v>16.3</v>
      </c>
      <c r="F8187">
        <v>85</v>
      </c>
    </row>
    <row r="8188" spans="1:6" x14ac:dyDescent="0.35">
      <c r="A8188">
        <v>1975</v>
      </c>
      <c r="B8188" s="1">
        <v>45866</v>
      </c>
      <c r="C8188" s="2">
        <v>8.3333333333333329E-2</v>
      </c>
      <c r="D8188">
        <v>3</v>
      </c>
      <c r="E8188">
        <v>16.100000000000001</v>
      </c>
      <c r="F8188">
        <v>85</v>
      </c>
    </row>
    <row r="8189" spans="1:6" x14ac:dyDescent="0.35">
      <c r="A8189">
        <v>1975</v>
      </c>
      <c r="B8189" s="1">
        <v>45866</v>
      </c>
      <c r="C8189" s="2">
        <v>0.125</v>
      </c>
      <c r="D8189">
        <v>3</v>
      </c>
      <c r="E8189">
        <v>15.7</v>
      </c>
      <c r="F8189">
        <v>87</v>
      </c>
    </row>
    <row r="8190" spans="1:6" x14ac:dyDescent="0.35">
      <c r="A8190">
        <v>1975</v>
      </c>
      <c r="B8190" s="1">
        <v>45866</v>
      </c>
      <c r="C8190" s="2">
        <v>0.16666666666666671</v>
      </c>
      <c r="D8190">
        <v>3</v>
      </c>
      <c r="E8190">
        <v>15.6</v>
      </c>
      <c r="F8190">
        <v>89</v>
      </c>
    </row>
    <row r="8191" spans="1:6" x14ac:dyDescent="0.35">
      <c r="A8191">
        <v>1975</v>
      </c>
      <c r="B8191" s="1">
        <v>45866</v>
      </c>
      <c r="C8191" s="2">
        <v>0.20833333333333329</v>
      </c>
      <c r="D8191">
        <v>3</v>
      </c>
      <c r="E8191">
        <v>15.8</v>
      </c>
      <c r="F8191">
        <v>90</v>
      </c>
    </row>
    <row r="8192" spans="1:6" x14ac:dyDescent="0.35">
      <c r="A8192">
        <v>1975</v>
      </c>
      <c r="B8192" s="1">
        <v>45866</v>
      </c>
      <c r="C8192" s="2">
        <v>0.25</v>
      </c>
      <c r="D8192">
        <v>3</v>
      </c>
      <c r="E8192">
        <v>16.3</v>
      </c>
      <c r="F8192">
        <v>89</v>
      </c>
    </row>
    <row r="8193" spans="1:6" x14ac:dyDescent="0.35">
      <c r="A8193">
        <v>1975</v>
      </c>
      <c r="B8193" s="1">
        <v>45866</v>
      </c>
      <c r="C8193" s="2">
        <v>0.29166666666666669</v>
      </c>
      <c r="D8193">
        <v>3</v>
      </c>
      <c r="E8193">
        <v>17.399999999999999</v>
      </c>
      <c r="F8193">
        <v>83</v>
      </c>
    </row>
    <row r="8194" spans="1:6" x14ac:dyDescent="0.35">
      <c r="A8194">
        <v>1975</v>
      </c>
      <c r="B8194" s="1">
        <v>45866</v>
      </c>
      <c r="C8194" s="2">
        <v>0.33333333333333331</v>
      </c>
      <c r="D8194">
        <v>3</v>
      </c>
      <c r="E8194">
        <v>18.600000000000001</v>
      </c>
      <c r="F8194">
        <v>76</v>
      </c>
    </row>
    <row r="8195" spans="1:6" x14ac:dyDescent="0.35">
      <c r="A8195">
        <v>1975</v>
      </c>
      <c r="B8195" s="1">
        <v>45866</v>
      </c>
      <c r="C8195" s="2">
        <v>0.375</v>
      </c>
      <c r="D8195">
        <v>3</v>
      </c>
      <c r="E8195">
        <v>19.5</v>
      </c>
      <c r="F8195">
        <v>70</v>
      </c>
    </row>
    <row r="8196" spans="1:6" x14ac:dyDescent="0.35">
      <c r="A8196">
        <v>1975</v>
      </c>
      <c r="B8196" s="1">
        <v>45866</v>
      </c>
      <c r="C8196" s="2">
        <v>0.41666666666666669</v>
      </c>
      <c r="D8196">
        <v>3</v>
      </c>
      <c r="E8196">
        <v>20.3</v>
      </c>
      <c r="F8196">
        <v>65</v>
      </c>
    </row>
    <row r="8197" spans="1:6" x14ac:dyDescent="0.35">
      <c r="A8197">
        <v>1975</v>
      </c>
      <c r="B8197" s="1">
        <v>45866</v>
      </c>
      <c r="C8197" s="2">
        <v>0.45833333333333331</v>
      </c>
      <c r="D8197">
        <v>3</v>
      </c>
      <c r="E8197">
        <v>21</v>
      </c>
      <c r="F8197">
        <v>64</v>
      </c>
    </row>
    <row r="8198" spans="1:6" x14ac:dyDescent="0.35">
      <c r="A8198">
        <v>1975</v>
      </c>
      <c r="B8198" s="1">
        <v>45866</v>
      </c>
      <c r="C8198" s="2">
        <v>0.5</v>
      </c>
      <c r="D8198">
        <v>3</v>
      </c>
      <c r="E8198">
        <v>18.7</v>
      </c>
      <c r="F8198">
        <v>74</v>
      </c>
    </row>
    <row r="8199" spans="1:6" x14ac:dyDescent="0.35">
      <c r="A8199">
        <v>1975</v>
      </c>
      <c r="B8199" s="1">
        <v>45866</v>
      </c>
      <c r="C8199" s="2">
        <v>0.54166666666666663</v>
      </c>
      <c r="D8199">
        <v>3</v>
      </c>
      <c r="E8199">
        <v>21.4</v>
      </c>
      <c r="F8199">
        <v>67</v>
      </c>
    </row>
    <row r="8200" spans="1:6" x14ac:dyDescent="0.35">
      <c r="A8200">
        <v>1975</v>
      </c>
      <c r="B8200" s="1">
        <v>45866</v>
      </c>
      <c r="C8200" s="2">
        <v>0.58333333333333337</v>
      </c>
      <c r="D8200">
        <v>3</v>
      </c>
      <c r="E8200">
        <v>20.100000000000001</v>
      </c>
      <c r="F8200">
        <v>63</v>
      </c>
    </row>
    <row r="8201" spans="1:6" x14ac:dyDescent="0.35">
      <c r="A8201">
        <v>1975</v>
      </c>
      <c r="B8201" s="1">
        <v>45866</v>
      </c>
      <c r="C8201" s="2">
        <v>0.625</v>
      </c>
      <c r="D8201">
        <v>3</v>
      </c>
      <c r="E8201">
        <v>21.6</v>
      </c>
      <c r="F8201">
        <v>61</v>
      </c>
    </row>
    <row r="8202" spans="1:6" x14ac:dyDescent="0.35">
      <c r="A8202">
        <v>1975</v>
      </c>
      <c r="B8202" s="1">
        <v>45866</v>
      </c>
      <c r="C8202" s="2">
        <v>0.66666666666666663</v>
      </c>
      <c r="D8202">
        <v>3</v>
      </c>
      <c r="E8202">
        <v>21.5</v>
      </c>
      <c r="F8202">
        <v>63</v>
      </c>
    </row>
    <row r="8203" spans="1:6" x14ac:dyDescent="0.35">
      <c r="A8203">
        <v>1975</v>
      </c>
      <c r="B8203" s="1">
        <v>45866</v>
      </c>
      <c r="C8203" s="2">
        <v>0.70833333333333337</v>
      </c>
      <c r="D8203">
        <v>3</v>
      </c>
      <c r="E8203">
        <v>19.3</v>
      </c>
      <c r="F8203">
        <v>66</v>
      </c>
    </row>
    <row r="8204" spans="1:6" x14ac:dyDescent="0.35">
      <c r="A8204">
        <v>1975</v>
      </c>
      <c r="B8204" s="1">
        <v>45866</v>
      </c>
      <c r="C8204" s="2">
        <v>0.75</v>
      </c>
      <c r="D8204">
        <v>3</v>
      </c>
      <c r="E8204">
        <v>19.2</v>
      </c>
      <c r="F8204">
        <v>70</v>
      </c>
    </row>
    <row r="8205" spans="1:6" x14ac:dyDescent="0.35">
      <c r="A8205">
        <v>1975</v>
      </c>
      <c r="B8205" s="1">
        <v>45866</v>
      </c>
      <c r="C8205" s="2">
        <v>0.79166666666666663</v>
      </c>
      <c r="D8205">
        <v>3</v>
      </c>
      <c r="E8205">
        <v>18</v>
      </c>
      <c r="F8205">
        <v>72</v>
      </c>
    </row>
    <row r="8206" spans="1:6" x14ac:dyDescent="0.35">
      <c r="A8206">
        <v>1975</v>
      </c>
      <c r="B8206" s="1">
        <v>45866</v>
      </c>
      <c r="C8206" s="2">
        <v>0.83333333333333337</v>
      </c>
      <c r="D8206">
        <v>3</v>
      </c>
      <c r="E8206">
        <v>16.899999999999999</v>
      </c>
      <c r="F8206">
        <v>77</v>
      </c>
    </row>
    <row r="8207" spans="1:6" x14ac:dyDescent="0.35">
      <c r="A8207">
        <v>1975</v>
      </c>
      <c r="B8207" s="1">
        <v>45866</v>
      </c>
      <c r="C8207" s="2">
        <v>0.875</v>
      </c>
      <c r="D8207">
        <v>3</v>
      </c>
      <c r="E8207">
        <v>16</v>
      </c>
      <c r="F8207">
        <v>82</v>
      </c>
    </row>
    <row r="8208" spans="1:6" x14ac:dyDescent="0.35">
      <c r="A8208">
        <v>1975</v>
      </c>
      <c r="B8208" s="1">
        <v>45866</v>
      </c>
      <c r="C8208" s="2">
        <v>0.91666666666666663</v>
      </c>
      <c r="D8208">
        <v>3</v>
      </c>
      <c r="E8208">
        <v>15.4</v>
      </c>
      <c r="F8208">
        <v>88</v>
      </c>
    </row>
    <row r="8209" spans="1:6" x14ac:dyDescent="0.35">
      <c r="A8209">
        <v>1975</v>
      </c>
      <c r="B8209" s="1">
        <v>45866</v>
      </c>
      <c r="C8209" s="2">
        <v>0.95833333333333337</v>
      </c>
      <c r="D8209">
        <v>3</v>
      </c>
      <c r="E8209">
        <v>15.4</v>
      </c>
      <c r="F8209">
        <v>91</v>
      </c>
    </row>
    <row r="8210" spans="1:6" x14ac:dyDescent="0.35">
      <c r="A8210">
        <v>1975</v>
      </c>
      <c r="B8210" s="1">
        <v>45867</v>
      </c>
      <c r="C8210" s="2">
        <v>0</v>
      </c>
      <c r="D8210">
        <v>3</v>
      </c>
      <c r="E8210">
        <v>14.8</v>
      </c>
      <c r="F8210">
        <v>95</v>
      </c>
    </row>
    <row r="8211" spans="1:6" x14ac:dyDescent="0.35">
      <c r="A8211">
        <v>1975</v>
      </c>
      <c r="B8211" s="1">
        <v>45867</v>
      </c>
      <c r="C8211" s="2">
        <v>4.1666666666666657E-2</v>
      </c>
      <c r="D8211">
        <v>3</v>
      </c>
      <c r="E8211">
        <v>14.2</v>
      </c>
      <c r="F8211">
        <v>97</v>
      </c>
    </row>
    <row r="8212" spans="1:6" x14ac:dyDescent="0.35">
      <c r="A8212">
        <v>1975</v>
      </c>
      <c r="B8212" s="1">
        <v>45867</v>
      </c>
      <c r="C8212" s="2">
        <v>8.3333333333333329E-2</v>
      </c>
      <c r="D8212">
        <v>3</v>
      </c>
      <c r="E8212">
        <v>14.1</v>
      </c>
      <c r="F8212">
        <v>94</v>
      </c>
    </row>
    <row r="8213" spans="1:6" x14ac:dyDescent="0.35">
      <c r="A8213">
        <v>1975</v>
      </c>
      <c r="B8213" s="1">
        <v>45867</v>
      </c>
      <c r="C8213" s="2">
        <v>0.125</v>
      </c>
      <c r="D8213">
        <v>3</v>
      </c>
      <c r="E8213">
        <v>13.8</v>
      </c>
      <c r="F8213">
        <v>94</v>
      </c>
    </row>
    <row r="8214" spans="1:6" x14ac:dyDescent="0.35">
      <c r="A8214">
        <v>1975</v>
      </c>
      <c r="B8214" s="1">
        <v>45867</v>
      </c>
      <c r="C8214" s="2">
        <v>0.16666666666666671</v>
      </c>
      <c r="D8214">
        <v>3</v>
      </c>
      <c r="E8214">
        <v>14.4</v>
      </c>
      <c r="F8214">
        <v>92</v>
      </c>
    </row>
    <row r="8215" spans="1:6" x14ac:dyDescent="0.35">
      <c r="A8215">
        <v>1975</v>
      </c>
      <c r="B8215" s="1">
        <v>45867</v>
      </c>
      <c r="C8215" s="2">
        <v>0.20833333333333329</v>
      </c>
      <c r="D8215">
        <v>3</v>
      </c>
      <c r="E8215">
        <v>15</v>
      </c>
      <c r="F8215">
        <v>92</v>
      </c>
    </row>
    <row r="8216" spans="1:6" x14ac:dyDescent="0.35">
      <c r="A8216">
        <v>1975</v>
      </c>
      <c r="B8216" s="1">
        <v>45867</v>
      </c>
      <c r="C8216" s="2">
        <v>0.25</v>
      </c>
      <c r="D8216">
        <v>3</v>
      </c>
      <c r="E8216">
        <v>15.4</v>
      </c>
      <c r="F8216">
        <v>91</v>
      </c>
    </row>
    <row r="8217" spans="1:6" x14ac:dyDescent="0.35">
      <c r="A8217">
        <v>1975</v>
      </c>
      <c r="B8217" s="1">
        <v>45867</v>
      </c>
      <c r="C8217" s="2">
        <v>0.29166666666666669</v>
      </c>
      <c r="D8217">
        <v>3</v>
      </c>
      <c r="E8217">
        <v>16.899999999999999</v>
      </c>
      <c r="F8217">
        <v>82</v>
      </c>
    </row>
    <row r="8218" spans="1:6" x14ac:dyDescent="0.35">
      <c r="A8218">
        <v>1975</v>
      </c>
      <c r="B8218" s="1">
        <v>45867</v>
      </c>
      <c r="C8218" s="2">
        <v>0.33333333333333331</v>
      </c>
      <c r="D8218">
        <v>3</v>
      </c>
      <c r="E8218">
        <v>17.7</v>
      </c>
      <c r="F8218">
        <v>78</v>
      </c>
    </row>
    <row r="8219" spans="1:6" x14ac:dyDescent="0.35">
      <c r="A8219">
        <v>1975</v>
      </c>
      <c r="B8219" s="1">
        <v>45867</v>
      </c>
      <c r="C8219" s="2">
        <v>0.375</v>
      </c>
      <c r="D8219">
        <v>3</v>
      </c>
      <c r="E8219">
        <v>17.100000000000001</v>
      </c>
      <c r="F8219">
        <v>81</v>
      </c>
    </row>
    <row r="8220" spans="1:6" x14ac:dyDescent="0.35">
      <c r="A8220">
        <v>1975</v>
      </c>
      <c r="B8220" s="1">
        <v>45867</v>
      </c>
      <c r="C8220" s="2">
        <v>0.41666666666666669</v>
      </c>
      <c r="D8220">
        <v>3</v>
      </c>
      <c r="E8220">
        <v>16.8</v>
      </c>
      <c r="F8220">
        <v>76</v>
      </c>
    </row>
    <row r="8221" spans="1:6" x14ac:dyDescent="0.35">
      <c r="A8221">
        <v>1975</v>
      </c>
      <c r="B8221" s="1">
        <v>45867</v>
      </c>
      <c r="C8221" s="2">
        <v>0.45833333333333331</v>
      </c>
      <c r="D8221">
        <v>3</v>
      </c>
      <c r="E8221">
        <v>19.100000000000001</v>
      </c>
      <c r="F8221">
        <v>64</v>
      </c>
    </row>
    <row r="8222" spans="1:6" x14ac:dyDescent="0.35">
      <c r="A8222">
        <v>1975</v>
      </c>
      <c r="B8222" s="1">
        <v>45867</v>
      </c>
      <c r="C8222" s="2">
        <v>0.5</v>
      </c>
      <c r="D8222">
        <v>3</v>
      </c>
      <c r="E8222">
        <v>16.8</v>
      </c>
      <c r="F8222">
        <v>71</v>
      </c>
    </row>
    <row r="8223" spans="1:6" x14ac:dyDescent="0.35">
      <c r="A8223">
        <v>1975</v>
      </c>
      <c r="B8223" s="1">
        <v>45867</v>
      </c>
      <c r="C8223" s="2">
        <v>0.54166666666666663</v>
      </c>
      <c r="D8223">
        <v>3</v>
      </c>
      <c r="E8223">
        <v>20.6</v>
      </c>
      <c r="F8223">
        <v>67</v>
      </c>
    </row>
    <row r="8224" spans="1:6" x14ac:dyDescent="0.35">
      <c r="A8224">
        <v>1975</v>
      </c>
      <c r="B8224" s="1">
        <v>45867</v>
      </c>
      <c r="C8224" s="2">
        <v>0.58333333333333337</v>
      </c>
      <c r="D8224">
        <v>3</v>
      </c>
      <c r="E8224">
        <v>17.8</v>
      </c>
      <c r="F8224">
        <v>75</v>
      </c>
    </row>
    <row r="8225" spans="1:6" x14ac:dyDescent="0.35">
      <c r="A8225">
        <v>1975</v>
      </c>
      <c r="B8225" s="1">
        <v>45867</v>
      </c>
      <c r="C8225" s="2">
        <v>0.625</v>
      </c>
      <c r="D8225">
        <v>3</v>
      </c>
      <c r="E8225">
        <v>18.8</v>
      </c>
      <c r="F8225">
        <v>65</v>
      </c>
    </row>
    <row r="8226" spans="1:6" x14ac:dyDescent="0.35">
      <c r="A8226">
        <v>1975</v>
      </c>
      <c r="B8226" s="1">
        <v>45867</v>
      </c>
      <c r="C8226" s="2">
        <v>0.66666666666666663</v>
      </c>
      <c r="D8226">
        <v>3</v>
      </c>
      <c r="E8226">
        <v>19</v>
      </c>
      <c r="F8226">
        <v>62</v>
      </c>
    </row>
    <row r="8227" spans="1:6" x14ac:dyDescent="0.35">
      <c r="A8227">
        <v>1975</v>
      </c>
      <c r="B8227" s="1">
        <v>45867</v>
      </c>
      <c r="C8227" s="2">
        <v>0.70833333333333337</v>
      </c>
      <c r="D8227">
        <v>3</v>
      </c>
      <c r="E8227">
        <v>18.5</v>
      </c>
      <c r="F8227">
        <v>71</v>
      </c>
    </row>
    <row r="8228" spans="1:6" x14ac:dyDescent="0.35">
      <c r="A8228">
        <v>1975</v>
      </c>
      <c r="B8228" s="1">
        <v>45867</v>
      </c>
      <c r="C8228" s="2">
        <v>0.75</v>
      </c>
      <c r="D8228">
        <v>3</v>
      </c>
      <c r="E8228">
        <v>17.7</v>
      </c>
      <c r="F8228">
        <v>68</v>
      </c>
    </row>
    <row r="8229" spans="1:6" x14ac:dyDescent="0.35">
      <c r="A8229">
        <v>1975</v>
      </c>
      <c r="B8229" s="1">
        <v>45867</v>
      </c>
      <c r="C8229" s="2">
        <v>0.79166666666666663</v>
      </c>
      <c r="D8229">
        <v>3</v>
      </c>
      <c r="E8229">
        <v>16.600000000000001</v>
      </c>
      <c r="F8229">
        <v>76</v>
      </c>
    </row>
    <row r="8230" spans="1:6" x14ac:dyDescent="0.35">
      <c r="A8230">
        <v>1975</v>
      </c>
      <c r="B8230" s="1">
        <v>45867</v>
      </c>
      <c r="C8230" s="2">
        <v>0.83333333333333337</v>
      </c>
      <c r="D8230">
        <v>3</v>
      </c>
      <c r="E8230">
        <v>15.6</v>
      </c>
      <c r="F8230">
        <v>74</v>
      </c>
    </row>
    <row r="8231" spans="1:6" x14ac:dyDescent="0.35">
      <c r="A8231">
        <v>1975</v>
      </c>
      <c r="B8231" s="1">
        <v>45867</v>
      </c>
      <c r="C8231" s="2">
        <v>0.875</v>
      </c>
      <c r="D8231">
        <v>3</v>
      </c>
      <c r="E8231">
        <v>15.4</v>
      </c>
      <c r="F8231">
        <v>79</v>
      </c>
    </row>
    <row r="8232" spans="1:6" x14ac:dyDescent="0.35">
      <c r="A8232">
        <v>1975</v>
      </c>
      <c r="B8232" s="1">
        <v>45867</v>
      </c>
      <c r="C8232" s="2">
        <v>0.91666666666666663</v>
      </c>
      <c r="D8232">
        <v>3</v>
      </c>
      <c r="E8232">
        <v>14</v>
      </c>
      <c r="F8232">
        <v>87</v>
      </c>
    </row>
    <row r="8233" spans="1:6" x14ac:dyDescent="0.35">
      <c r="A8233">
        <v>1975</v>
      </c>
      <c r="B8233" s="1">
        <v>45867</v>
      </c>
      <c r="C8233" s="2">
        <v>0.95833333333333337</v>
      </c>
      <c r="D8233">
        <v>3</v>
      </c>
      <c r="E8233">
        <v>14.2</v>
      </c>
      <c r="F8233">
        <v>86</v>
      </c>
    </row>
    <row r="8234" spans="1:6" x14ac:dyDescent="0.35">
      <c r="A8234">
        <v>1975</v>
      </c>
      <c r="B8234" s="1">
        <v>45868</v>
      </c>
      <c r="C8234" s="2">
        <v>0</v>
      </c>
      <c r="D8234">
        <v>3</v>
      </c>
      <c r="E8234">
        <v>12.9</v>
      </c>
      <c r="F8234">
        <v>92</v>
      </c>
    </row>
    <row r="8235" spans="1:6" x14ac:dyDescent="0.35">
      <c r="A8235">
        <v>1975</v>
      </c>
      <c r="B8235" s="1">
        <v>45868</v>
      </c>
      <c r="C8235" s="2">
        <v>4.1666666666666657E-2</v>
      </c>
      <c r="D8235">
        <v>3</v>
      </c>
      <c r="E8235">
        <v>13.3</v>
      </c>
      <c r="F8235">
        <v>92</v>
      </c>
    </row>
    <row r="8236" spans="1:6" x14ac:dyDescent="0.35">
      <c r="A8236">
        <v>1975</v>
      </c>
      <c r="B8236" s="1">
        <v>45868</v>
      </c>
      <c r="C8236" s="2">
        <v>8.3333333333333329E-2</v>
      </c>
      <c r="D8236">
        <v>3</v>
      </c>
      <c r="E8236">
        <v>13.2</v>
      </c>
      <c r="F8236">
        <v>92</v>
      </c>
    </row>
    <row r="8237" spans="1:6" x14ac:dyDescent="0.35">
      <c r="A8237">
        <v>1975</v>
      </c>
      <c r="B8237" s="1">
        <v>45868</v>
      </c>
      <c r="C8237" s="2">
        <v>0.125</v>
      </c>
      <c r="D8237">
        <v>3</v>
      </c>
      <c r="E8237">
        <v>12.8</v>
      </c>
      <c r="F8237">
        <v>94</v>
      </c>
    </row>
    <row r="8238" spans="1:6" x14ac:dyDescent="0.35">
      <c r="A8238">
        <v>1975</v>
      </c>
      <c r="B8238" s="1">
        <v>45868</v>
      </c>
      <c r="C8238" s="2">
        <v>0.16666666666666671</v>
      </c>
      <c r="D8238">
        <v>3</v>
      </c>
      <c r="E8238">
        <v>13</v>
      </c>
      <c r="F8238">
        <v>91</v>
      </c>
    </row>
    <row r="8239" spans="1:6" x14ac:dyDescent="0.35">
      <c r="A8239">
        <v>1975</v>
      </c>
      <c r="B8239" s="1">
        <v>45868</v>
      </c>
      <c r="C8239" s="2">
        <v>0.20833333333333329</v>
      </c>
      <c r="D8239">
        <v>3</v>
      </c>
      <c r="E8239">
        <v>13.6</v>
      </c>
      <c r="F8239">
        <v>90</v>
      </c>
    </row>
    <row r="8240" spans="1:6" x14ac:dyDescent="0.35">
      <c r="A8240">
        <v>1975</v>
      </c>
      <c r="B8240" s="1">
        <v>45868</v>
      </c>
      <c r="C8240" s="2">
        <v>0.25</v>
      </c>
      <c r="D8240">
        <v>3</v>
      </c>
      <c r="E8240">
        <v>14.7</v>
      </c>
      <c r="F8240">
        <v>86</v>
      </c>
    </row>
    <row r="8241" spans="1:6" x14ac:dyDescent="0.35">
      <c r="A8241">
        <v>1975</v>
      </c>
      <c r="B8241" s="1">
        <v>45868</v>
      </c>
      <c r="C8241" s="2">
        <v>0.29166666666666669</v>
      </c>
      <c r="D8241">
        <v>3</v>
      </c>
      <c r="E8241">
        <v>15.6</v>
      </c>
      <c r="F8241">
        <v>83</v>
      </c>
    </row>
    <row r="8242" spans="1:6" x14ac:dyDescent="0.35">
      <c r="A8242">
        <v>1975</v>
      </c>
      <c r="B8242" s="1">
        <v>45868</v>
      </c>
      <c r="C8242" s="2">
        <v>0.33333333333333331</v>
      </c>
      <c r="D8242">
        <v>3</v>
      </c>
      <c r="E8242">
        <v>15.7</v>
      </c>
      <c r="F8242">
        <v>83</v>
      </c>
    </row>
    <row r="8243" spans="1:6" x14ac:dyDescent="0.35">
      <c r="A8243">
        <v>1975</v>
      </c>
      <c r="B8243" s="1">
        <v>45868</v>
      </c>
      <c r="C8243" s="2">
        <v>0.375</v>
      </c>
      <c r="D8243">
        <v>3</v>
      </c>
      <c r="E8243">
        <v>17.7</v>
      </c>
      <c r="F8243">
        <v>72</v>
      </c>
    </row>
    <row r="8244" spans="1:6" x14ac:dyDescent="0.35">
      <c r="A8244">
        <v>1975</v>
      </c>
      <c r="B8244" s="1">
        <v>45868</v>
      </c>
      <c r="C8244" s="2">
        <v>0.41666666666666669</v>
      </c>
      <c r="D8244">
        <v>3</v>
      </c>
      <c r="E8244">
        <v>17.899999999999999</v>
      </c>
      <c r="F8244">
        <v>71</v>
      </c>
    </row>
    <row r="8245" spans="1:6" x14ac:dyDescent="0.35">
      <c r="A8245">
        <v>1975</v>
      </c>
      <c r="B8245" s="1">
        <v>45868</v>
      </c>
      <c r="C8245" s="2">
        <v>0.45833333333333331</v>
      </c>
      <c r="D8245">
        <v>3</v>
      </c>
      <c r="E8245">
        <v>18.5</v>
      </c>
      <c r="F8245">
        <v>67</v>
      </c>
    </row>
    <row r="8246" spans="1:6" x14ac:dyDescent="0.35">
      <c r="A8246">
        <v>1975</v>
      </c>
      <c r="B8246" s="1">
        <v>45868</v>
      </c>
      <c r="C8246" s="2">
        <v>0.5</v>
      </c>
      <c r="D8246">
        <v>3</v>
      </c>
      <c r="E8246">
        <v>19.100000000000001</v>
      </c>
      <c r="F8246">
        <v>62</v>
      </c>
    </row>
    <row r="8247" spans="1:6" x14ac:dyDescent="0.35">
      <c r="A8247">
        <v>1975</v>
      </c>
      <c r="B8247" s="1">
        <v>45868</v>
      </c>
      <c r="C8247" s="2">
        <v>0.54166666666666663</v>
      </c>
      <c r="D8247">
        <v>3</v>
      </c>
      <c r="E8247">
        <v>16.7</v>
      </c>
      <c r="F8247">
        <v>78</v>
      </c>
    </row>
    <row r="8248" spans="1:6" x14ac:dyDescent="0.35">
      <c r="A8248">
        <v>1975</v>
      </c>
      <c r="B8248" s="1">
        <v>45868</v>
      </c>
      <c r="C8248" s="2">
        <v>0.58333333333333337</v>
      </c>
      <c r="D8248">
        <v>3</v>
      </c>
      <c r="E8248">
        <v>17</v>
      </c>
      <c r="F8248">
        <v>83</v>
      </c>
    </row>
    <row r="8249" spans="1:6" x14ac:dyDescent="0.35">
      <c r="A8249">
        <v>1975</v>
      </c>
      <c r="B8249" s="1">
        <v>45868</v>
      </c>
      <c r="C8249" s="2">
        <v>0.625</v>
      </c>
      <c r="D8249">
        <v>3</v>
      </c>
      <c r="E8249">
        <v>16.3</v>
      </c>
      <c r="F8249">
        <v>86</v>
      </c>
    </row>
    <row r="8250" spans="1:6" x14ac:dyDescent="0.35">
      <c r="A8250">
        <v>1975</v>
      </c>
      <c r="B8250" s="1">
        <v>45868</v>
      </c>
      <c r="C8250" s="2">
        <v>0.66666666666666663</v>
      </c>
      <c r="D8250">
        <v>3</v>
      </c>
      <c r="E8250">
        <v>16.600000000000001</v>
      </c>
      <c r="F8250">
        <v>82</v>
      </c>
    </row>
    <row r="8251" spans="1:6" x14ac:dyDescent="0.35">
      <c r="A8251">
        <v>1975</v>
      </c>
      <c r="B8251" s="1">
        <v>45868</v>
      </c>
      <c r="C8251" s="2">
        <v>0.70833333333333337</v>
      </c>
      <c r="D8251">
        <v>3</v>
      </c>
      <c r="E8251">
        <v>16.100000000000001</v>
      </c>
      <c r="F8251">
        <v>83</v>
      </c>
    </row>
    <row r="8252" spans="1:6" x14ac:dyDescent="0.35">
      <c r="A8252">
        <v>1975</v>
      </c>
      <c r="B8252" s="1">
        <v>45868</v>
      </c>
      <c r="C8252" s="2">
        <v>0.75</v>
      </c>
      <c r="D8252">
        <v>3</v>
      </c>
      <c r="E8252">
        <v>15.4</v>
      </c>
      <c r="F8252">
        <v>91</v>
      </c>
    </row>
    <row r="8253" spans="1:6" x14ac:dyDescent="0.35">
      <c r="A8253">
        <v>1975</v>
      </c>
      <c r="B8253" s="1">
        <v>45868</v>
      </c>
      <c r="C8253" s="2">
        <v>0.79166666666666663</v>
      </c>
      <c r="D8253">
        <v>3</v>
      </c>
      <c r="E8253">
        <v>15</v>
      </c>
      <c r="F8253">
        <v>93</v>
      </c>
    </row>
    <row r="8254" spans="1:6" x14ac:dyDescent="0.35">
      <c r="A8254">
        <v>1975</v>
      </c>
      <c r="B8254" s="1">
        <v>45868</v>
      </c>
      <c r="C8254" s="2">
        <v>0.83333333333333337</v>
      </c>
      <c r="D8254">
        <v>3</v>
      </c>
      <c r="E8254">
        <v>14.9</v>
      </c>
      <c r="F8254">
        <v>91</v>
      </c>
    </row>
    <row r="8255" spans="1:6" x14ac:dyDescent="0.35">
      <c r="A8255">
        <v>1975</v>
      </c>
      <c r="B8255" s="1">
        <v>45868</v>
      </c>
      <c r="C8255" s="2">
        <v>0.875</v>
      </c>
      <c r="D8255">
        <v>3</v>
      </c>
      <c r="E8255">
        <v>15.1</v>
      </c>
      <c r="F8255">
        <v>90</v>
      </c>
    </row>
    <row r="8256" spans="1:6" x14ac:dyDescent="0.35">
      <c r="A8256">
        <v>1975</v>
      </c>
      <c r="B8256" s="1">
        <v>45868</v>
      </c>
      <c r="C8256" s="2">
        <v>0.91666666666666663</v>
      </c>
      <c r="D8256">
        <v>3</v>
      </c>
      <c r="E8256">
        <v>14.7</v>
      </c>
      <c r="F8256">
        <v>94</v>
      </c>
    </row>
    <row r="8257" spans="1:6" x14ac:dyDescent="0.35">
      <c r="A8257">
        <v>1975</v>
      </c>
      <c r="B8257" s="1">
        <v>45868</v>
      </c>
      <c r="C8257" s="2">
        <v>0.95833333333333337</v>
      </c>
      <c r="D8257">
        <v>3</v>
      </c>
      <c r="E8257">
        <v>14.4</v>
      </c>
      <c r="F8257">
        <v>97</v>
      </c>
    </row>
    <row r="8258" spans="1:6" x14ac:dyDescent="0.35">
      <c r="A8258">
        <v>1975</v>
      </c>
      <c r="B8258" s="1">
        <v>45869</v>
      </c>
      <c r="C8258" s="2">
        <v>0</v>
      </c>
      <c r="D8258">
        <v>3</v>
      </c>
      <c r="E8258">
        <v>14.5</v>
      </c>
      <c r="F8258">
        <v>95</v>
      </c>
    </row>
    <row r="8259" spans="1:6" x14ac:dyDescent="0.35">
      <c r="A8259">
        <v>1975</v>
      </c>
      <c r="B8259" s="1">
        <v>45869</v>
      </c>
      <c r="C8259" s="2">
        <v>4.1666666666666657E-2</v>
      </c>
      <c r="D8259">
        <v>3</v>
      </c>
      <c r="E8259">
        <v>14.1</v>
      </c>
      <c r="F8259">
        <v>98</v>
      </c>
    </row>
    <row r="8260" spans="1:6" x14ac:dyDescent="0.35">
      <c r="A8260">
        <v>1975</v>
      </c>
      <c r="B8260" s="1">
        <v>45869</v>
      </c>
      <c r="C8260" s="2">
        <v>8.3333333333333329E-2</v>
      </c>
      <c r="D8260">
        <v>3</v>
      </c>
      <c r="E8260">
        <v>13.9</v>
      </c>
      <c r="F8260">
        <v>100</v>
      </c>
    </row>
    <row r="8261" spans="1:6" x14ac:dyDescent="0.35">
      <c r="A8261">
        <v>1975</v>
      </c>
      <c r="B8261" s="1">
        <v>45869</v>
      </c>
      <c r="C8261" s="2">
        <v>0.125</v>
      </c>
      <c r="D8261">
        <v>3</v>
      </c>
      <c r="E8261">
        <v>14.3</v>
      </c>
      <c r="F8261">
        <v>98</v>
      </c>
    </row>
    <row r="8262" spans="1:6" x14ac:dyDescent="0.35">
      <c r="A8262">
        <v>1975</v>
      </c>
      <c r="B8262" s="1">
        <v>45869</v>
      </c>
      <c r="C8262" s="2">
        <v>0.16666666666666671</v>
      </c>
      <c r="D8262">
        <v>3</v>
      </c>
      <c r="E8262">
        <v>14.3</v>
      </c>
      <c r="F8262">
        <v>98</v>
      </c>
    </row>
    <row r="8263" spans="1:6" x14ac:dyDescent="0.35">
      <c r="A8263">
        <v>1975</v>
      </c>
      <c r="B8263" s="1">
        <v>45869</v>
      </c>
      <c r="C8263" s="2">
        <v>0.20833333333333329</v>
      </c>
      <c r="D8263">
        <v>3</v>
      </c>
      <c r="E8263">
        <v>14.5</v>
      </c>
      <c r="F8263">
        <v>99</v>
      </c>
    </row>
    <row r="8264" spans="1:6" x14ac:dyDescent="0.35">
      <c r="A8264">
        <v>1975</v>
      </c>
      <c r="B8264" s="1">
        <v>45869</v>
      </c>
      <c r="C8264" s="2">
        <v>0.25</v>
      </c>
      <c r="D8264">
        <v>3</v>
      </c>
      <c r="E8264">
        <v>14.7</v>
      </c>
      <c r="F8264">
        <v>98</v>
      </c>
    </row>
    <row r="8265" spans="1:6" x14ac:dyDescent="0.35">
      <c r="A8265">
        <v>1975</v>
      </c>
      <c r="B8265" s="1">
        <v>45869</v>
      </c>
      <c r="C8265" s="2">
        <v>0.29166666666666669</v>
      </c>
      <c r="D8265">
        <v>3</v>
      </c>
      <c r="E8265">
        <v>15.5</v>
      </c>
      <c r="F8265">
        <v>95</v>
      </c>
    </row>
    <row r="8266" spans="1:6" x14ac:dyDescent="0.35">
      <c r="A8266">
        <v>1975</v>
      </c>
      <c r="B8266" s="1">
        <v>45869</v>
      </c>
      <c r="C8266" s="2">
        <v>0.33333333333333331</v>
      </c>
      <c r="D8266">
        <v>3</v>
      </c>
      <c r="E8266">
        <v>16.7</v>
      </c>
      <c r="F8266">
        <v>92</v>
      </c>
    </row>
    <row r="8267" spans="1:6" x14ac:dyDescent="0.35">
      <c r="A8267">
        <v>1975</v>
      </c>
      <c r="B8267" s="1">
        <v>45869</v>
      </c>
      <c r="C8267" s="2">
        <v>0.375</v>
      </c>
      <c r="D8267">
        <v>3</v>
      </c>
      <c r="E8267">
        <v>17.2</v>
      </c>
      <c r="F8267">
        <v>90</v>
      </c>
    </row>
    <row r="8268" spans="1:6" x14ac:dyDescent="0.35">
      <c r="A8268">
        <v>1975</v>
      </c>
      <c r="B8268" s="1">
        <v>45869</v>
      </c>
      <c r="C8268" s="2">
        <v>0.41666666666666669</v>
      </c>
      <c r="D8268">
        <v>3</v>
      </c>
      <c r="E8268">
        <v>18.100000000000001</v>
      </c>
      <c r="F8268">
        <v>88</v>
      </c>
    </row>
    <row r="8269" spans="1:6" x14ac:dyDescent="0.35">
      <c r="A8269">
        <v>1975</v>
      </c>
      <c r="B8269" s="1">
        <v>45869</v>
      </c>
      <c r="C8269" s="2">
        <v>0.45833333333333331</v>
      </c>
      <c r="D8269">
        <v>3</v>
      </c>
      <c r="E8269">
        <v>18.8</v>
      </c>
      <c r="F8269">
        <v>83</v>
      </c>
    </row>
    <row r="8270" spans="1:6" x14ac:dyDescent="0.35">
      <c r="A8270">
        <v>1975</v>
      </c>
      <c r="B8270" s="1">
        <v>45869</v>
      </c>
      <c r="C8270" s="2">
        <v>0.5</v>
      </c>
      <c r="D8270">
        <v>3</v>
      </c>
      <c r="E8270">
        <v>19</v>
      </c>
      <c r="F8270">
        <v>86</v>
      </c>
    </row>
    <row r="8271" spans="1:6" x14ac:dyDescent="0.35">
      <c r="A8271">
        <v>1975</v>
      </c>
      <c r="B8271" s="1">
        <v>45869</v>
      </c>
      <c r="C8271" s="2">
        <v>0.54166666666666663</v>
      </c>
      <c r="D8271">
        <v>3</v>
      </c>
      <c r="E8271">
        <v>19.100000000000001</v>
      </c>
      <c r="F8271">
        <v>82</v>
      </c>
    </row>
    <row r="8272" spans="1:6" x14ac:dyDescent="0.35">
      <c r="A8272">
        <v>1975</v>
      </c>
      <c r="B8272" s="1">
        <v>45869</v>
      </c>
      <c r="C8272" s="2">
        <v>0.58333333333333337</v>
      </c>
      <c r="D8272">
        <v>3</v>
      </c>
      <c r="E8272">
        <v>17.899999999999999</v>
      </c>
      <c r="F8272">
        <v>88</v>
      </c>
    </row>
    <row r="8273" spans="1:6" x14ac:dyDescent="0.35">
      <c r="A8273">
        <v>1975</v>
      </c>
      <c r="B8273" s="1">
        <v>45869</v>
      </c>
      <c r="C8273" s="2">
        <v>0.625</v>
      </c>
      <c r="D8273">
        <v>3</v>
      </c>
      <c r="E8273">
        <v>17.899999999999999</v>
      </c>
      <c r="F8273">
        <v>79</v>
      </c>
    </row>
    <row r="8274" spans="1:6" x14ac:dyDescent="0.35">
      <c r="A8274">
        <v>1975</v>
      </c>
      <c r="B8274" s="1">
        <v>45869</v>
      </c>
      <c r="C8274" s="2">
        <v>0.66666666666666663</v>
      </c>
      <c r="D8274">
        <v>3</v>
      </c>
      <c r="E8274">
        <v>17.5</v>
      </c>
      <c r="F8274">
        <v>83</v>
      </c>
    </row>
    <row r="8275" spans="1:6" x14ac:dyDescent="0.35">
      <c r="A8275">
        <v>1975</v>
      </c>
      <c r="B8275" s="1">
        <v>45869</v>
      </c>
      <c r="C8275" s="2">
        <v>0.70833333333333337</v>
      </c>
      <c r="D8275">
        <v>3</v>
      </c>
      <c r="E8275">
        <v>16.899999999999999</v>
      </c>
      <c r="F8275">
        <v>86</v>
      </c>
    </row>
    <row r="8276" spans="1:6" x14ac:dyDescent="0.35">
      <c r="A8276">
        <v>1975</v>
      </c>
      <c r="B8276" s="1">
        <v>45869</v>
      </c>
      <c r="C8276" s="2">
        <v>0.75</v>
      </c>
      <c r="D8276">
        <v>3</v>
      </c>
      <c r="E8276">
        <v>17.2</v>
      </c>
      <c r="F8276">
        <v>81</v>
      </c>
    </row>
    <row r="8277" spans="1:6" x14ac:dyDescent="0.35">
      <c r="A8277">
        <v>1975</v>
      </c>
      <c r="B8277" s="1">
        <v>45869</v>
      </c>
      <c r="C8277" s="2">
        <v>0.79166666666666663</v>
      </c>
      <c r="D8277">
        <v>3</v>
      </c>
      <c r="E8277">
        <v>16.7</v>
      </c>
      <c r="F8277">
        <v>83</v>
      </c>
    </row>
    <row r="8278" spans="1:6" x14ac:dyDescent="0.35">
      <c r="A8278">
        <v>1975</v>
      </c>
      <c r="B8278" s="1">
        <v>45869</v>
      </c>
      <c r="C8278" s="2">
        <v>0.83333333333333337</v>
      </c>
      <c r="D8278">
        <v>3</v>
      </c>
      <c r="E8278">
        <v>16.3</v>
      </c>
      <c r="F8278">
        <v>88</v>
      </c>
    </row>
    <row r="8279" spans="1:6" x14ac:dyDescent="0.35">
      <c r="A8279">
        <v>1975</v>
      </c>
      <c r="B8279" s="1">
        <v>45869</v>
      </c>
      <c r="C8279" s="2">
        <v>0.875</v>
      </c>
      <c r="D8279">
        <v>3</v>
      </c>
      <c r="E8279">
        <v>15.8</v>
      </c>
      <c r="F8279">
        <v>92</v>
      </c>
    </row>
    <row r="8280" spans="1:6" x14ac:dyDescent="0.35">
      <c r="A8280">
        <v>1975</v>
      </c>
      <c r="B8280" s="1">
        <v>45869</v>
      </c>
      <c r="C8280" s="2">
        <v>0.91666666666666663</v>
      </c>
      <c r="D8280">
        <v>3</v>
      </c>
      <c r="E8280">
        <v>15.5</v>
      </c>
      <c r="F8280">
        <v>94</v>
      </c>
    </row>
    <row r="8281" spans="1:6" x14ac:dyDescent="0.35">
      <c r="A8281">
        <v>1975</v>
      </c>
      <c r="B8281" s="1">
        <v>45869</v>
      </c>
      <c r="C8281" s="2">
        <v>0.95833333333333337</v>
      </c>
      <c r="D8281">
        <v>3</v>
      </c>
      <c r="E8281">
        <v>15.3</v>
      </c>
      <c r="F8281">
        <v>95</v>
      </c>
    </row>
    <row r="8282" spans="1:6" x14ac:dyDescent="0.35">
      <c r="A8282">
        <v>1975</v>
      </c>
      <c r="B8282" s="1">
        <v>45870</v>
      </c>
      <c r="C8282" s="2">
        <v>0</v>
      </c>
      <c r="D8282">
        <v>3</v>
      </c>
      <c r="E8282">
        <v>15.4</v>
      </c>
      <c r="F8282">
        <v>94</v>
      </c>
    </row>
    <row r="8283" spans="1:6" x14ac:dyDescent="0.35">
      <c r="A8283">
        <v>1975</v>
      </c>
      <c r="B8283" s="1">
        <v>45870</v>
      </c>
      <c r="C8283" s="2">
        <v>4.1666666666666657E-2</v>
      </c>
      <c r="D8283">
        <v>3</v>
      </c>
      <c r="E8283">
        <v>15.4</v>
      </c>
      <c r="F8283">
        <v>94</v>
      </c>
    </row>
    <row r="8284" spans="1:6" x14ac:dyDescent="0.35">
      <c r="A8284">
        <v>1975</v>
      </c>
      <c r="B8284" s="1">
        <v>45870</v>
      </c>
      <c r="C8284" s="2">
        <v>8.3333333333333329E-2</v>
      </c>
      <c r="D8284">
        <v>3</v>
      </c>
      <c r="E8284">
        <v>15.1</v>
      </c>
      <c r="F8284">
        <v>96</v>
      </c>
    </row>
    <row r="8285" spans="1:6" x14ac:dyDescent="0.35">
      <c r="A8285">
        <v>1975</v>
      </c>
      <c r="B8285" s="1">
        <v>45870</v>
      </c>
      <c r="C8285" s="2">
        <v>0.125</v>
      </c>
      <c r="D8285">
        <v>3</v>
      </c>
      <c r="E8285">
        <v>15.1</v>
      </c>
      <c r="F8285">
        <v>97</v>
      </c>
    </row>
    <row r="8286" spans="1:6" x14ac:dyDescent="0.35">
      <c r="A8286">
        <v>1975</v>
      </c>
      <c r="B8286" s="1">
        <v>45870</v>
      </c>
      <c r="C8286" s="2">
        <v>0.16666666666666671</v>
      </c>
      <c r="D8286">
        <v>3</v>
      </c>
      <c r="E8286">
        <v>15.1</v>
      </c>
      <c r="F8286">
        <v>95</v>
      </c>
    </row>
    <row r="8287" spans="1:6" x14ac:dyDescent="0.35">
      <c r="A8287">
        <v>1975</v>
      </c>
      <c r="B8287" s="1">
        <v>45870</v>
      </c>
      <c r="C8287" s="2">
        <v>0.20833333333333329</v>
      </c>
      <c r="D8287">
        <v>3</v>
      </c>
      <c r="E8287">
        <v>15.3</v>
      </c>
      <c r="F8287">
        <v>93</v>
      </c>
    </row>
    <row r="8288" spans="1:6" x14ac:dyDescent="0.35">
      <c r="A8288">
        <v>1975</v>
      </c>
      <c r="B8288" s="1">
        <v>45870</v>
      </c>
      <c r="C8288" s="2">
        <v>0.25</v>
      </c>
      <c r="D8288">
        <v>3</v>
      </c>
      <c r="E8288">
        <v>15.6</v>
      </c>
      <c r="F8288">
        <v>91</v>
      </c>
    </row>
    <row r="8289" spans="1:6" x14ac:dyDescent="0.35">
      <c r="A8289">
        <v>1975</v>
      </c>
      <c r="B8289" s="1">
        <v>45870</v>
      </c>
      <c r="C8289" s="2">
        <v>0.29166666666666669</v>
      </c>
      <c r="D8289">
        <v>3</v>
      </c>
      <c r="E8289">
        <v>15.9</v>
      </c>
      <c r="F8289">
        <v>90</v>
      </c>
    </row>
    <row r="8290" spans="1:6" x14ac:dyDescent="0.35">
      <c r="A8290">
        <v>1975</v>
      </c>
      <c r="B8290" s="1">
        <v>45870</v>
      </c>
      <c r="C8290" s="2">
        <v>0.33333333333333331</v>
      </c>
      <c r="D8290">
        <v>3</v>
      </c>
      <c r="E8290">
        <v>15.6</v>
      </c>
      <c r="F8290">
        <v>95</v>
      </c>
    </row>
    <row r="8291" spans="1:6" x14ac:dyDescent="0.35">
      <c r="A8291">
        <v>1975</v>
      </c>
      <c r="B8291" s="1">
        <v>45870</v>
      </c>
      <c r="C8291" s="2">
        <v>0.375</v>
      </c>
      <c r="D8291">
        <v>3</v>
      </c>
      <c r="E8291">
        <v>17.5</v>
      </c>
      <c r="F8291">
        <v>82</v>
      </c>
    </row>
    <row r="8292" spans="1:6" x14ac:dyDescent="0.35">
      <c r="A8292">
        <v>1975</v>
      </c>
      <c r="B8292" s="1">
        <v>45870</v>
      </c>
      <c r="C8292" s="2">
        <v>0.41666666666666669</v>
      </c>
      <c r="D8292">
        <v>3</v>
      </c>
      <c r="E8292">
        <v>18.5</v>
      </c>
      <c r="F8292">
        <v>73</v>
      </c>
    </row>
    <row r="8293" spans="1:6" x14ac:dyDescent="0.35">
      <c r="A8293">
        <v>1975</v>
      </c>
      <c r="B8293" s="1">
        <v>45870</v>
      </c>
      <c r="C8293" s="2">
        <v>0.45833333333333331</v>
      </c>
      <c r="D8293">
        <v>3</v>
      </c>
      <c r="E8293">
        <v>16.100000000000001</v>
      </c>
      <c r="F8293">
        <v>92</v>
      </c>
    </row>
    <row r="8294" spans="1:6" x14ac:dyDescent="0.35">
      <c r="A8294">
        <v>1975</v>
      </c>
      <c r="B8294" s="1">
        <v>45870</v>
      </c>
      <c r="C8294" s="2">
        <v>0.5</v>
      </c>
      <c r="D8294">
        <v>3</v>
      </c>
      <c r="E8294">
        <v>18.3</v>
      </c>
      <c r="F8294">
        <v>84</v>
      </c>
    </row>
    <row r="8295" spans="1:6" x14ac:dyDescent="0.35">
      <c r="A8295">
        <v>1975</v>
      </c>
      <c r="B8295" s="1">
        <v>45870</v>
      </c>
      <c r="C8295" s="2">
        <v>0.54166666666666663</v>
      </c>
      <c r="D8295">
        <v>3</v>
      </c>
      <c r="E8295">
        <v>17.5</v>
      </c>
      <c r="F8295">
        <v>82</v>
      </c>
    </row>
    <row r="8296" spans="1:6" x14ac:dyDescent="0.35">
      <c r="A8296">
        <v>1975</v>
      </c>
      <c r="B8296" s="1">
        <v>45870</v>
      </c>
      <c r="C8296" s="2">
        <v>0.58333333333333337</v>
      </c>
      <c r="D8296">
        <v>3</v>
      </c>
      <c r="E8296">
        <v>17.100000000000001</v>
      </c>
      <c r="F8296">
        <v>91</v>
      </c>
    </row>
    <row r="8297" spans="1:6" x14ac:dyDescent="0.35">
      <c r="A8297">
        <v>1975</v>
      </c>
      <c r="B8297" s="1">
        <v>45870</v>
      </c>
      <c r="C8297" s="2">
        <v>0.625</v>
      </c>
      <c r="D8297">
        <v>3</v>
      </c>
      <c r="E8297">
        <v>19.8</v>
      </c>
      <c r="F8297">
        <v>76</v>
      </c>
    </row>
    <row r="8298" spans="1:6" x14ac:dyDescent="0.35">
      <c r="A8298">
        <v>1975</v>
      </c>
      <c r="B8298" s="1">
        <v>45870</v>
      </c>
      <c r="C8298" s="2">
        <v>0.66666666666666663</v>
      </c>
      <c r="D8298">
        <v>3</v>
      </c>
      <c r="E8298">
        <v>18.100000000000001</v>
      </c>
      <c r="F8298">
        <v>80</v>
      </c>
    </row>
    <row r="8299" spans="1:6" x14ac:dyDescent="0.35">
      <c r="A8299">
        <v>1975</v>
      </c>
      <c r="B8299" s="1">
        <v>45870</v>
      </c>
      <c r="C8299" s="2">
        <v>0.70833333333333337</v>
      </c>
      <c r="D8299">
        <v>3</v>
      </c>
      <c r="E8299">
        <v>18.2</v>
      </c>
      <c r="F8299">
        <v>80</v>
      </c>
    </row>
    <row r="8300" spans="1:6" x14ac:dyDescent="0.35">
      <c r="A8300">
        <v>1975</v>
      </c>
      <c r="B8300" s="1">
        <v>45870</v>
      </c>
      <c r="C8300" s="2">
        <v>0.75</v>
      </c>
      <c r="D8300">
        <v>3</v>
      </c>
      <c r="E8300">
        <v>17.600000000000001</v>
      </c>
      <c r="F8300">
        <v>86</v>
      </c>
    </row>
    <row r="8301" spans="1:6" x14ac:dyDescent="0.35">
      <c r="A8301">
        <v>1975</v>
      </c>
      <c r="B8301" s="1">
        <v>45870</v>
      </c>
      <c r="C8301" s="2">
        <v>0.79166666666666663</v>
      </c>
      <c r="D8301">
        <v>3</v>
      </c>
      <c r="E8301">
        <v>17.100000000000001</v>
      </c>
      <c r="F8301">
        <v>92</v>
      </c>
    </row>
    <row r="8302" spans="1:6" x14ac:dyDescent="0.35">
      <c r="A8302">
        <v>1975</v>
      </c>
      <c r="B8302" s="1">
        <v>45870</v>
      </c>
      <c r="C8302" s="2">
        <v>0.83333333333333337</v>
      </c>
      <c r="D8302">
        <v>3</v>
      </c>
      <c r="E8302">
        <v>16.100000000000001</v>
      </c>
      <c r="F8302">
        <v>96</v>
      </c>
    </row>
    <row r="8303" spans="1:6" x14ac:dyDescent="0.35">
      <c r="A8303">
        <v>1975</v>
      </c>
      <c r="B8303" s="1">
        <v>45870</v>
      </c>
      <c r="C8303" s="2">
        <v>0.875</v>
      </c>
      <c r="D8303">
        <v>3</v>
      </c>
      <c r="E8303">
        <v>15.8</v>
      </c>
      <c r="F8303">
        <v>98</v>
      </c>
    </row>
    <row r="8304" spans="1:6" x14ac:dyDescent="0.35">
      <c r="A8304">
        <v>1975</v>
      </c>
      <c r="B8304" s="1">
        <v>45870</v>
      </c>
      <c r="C8304" s="2">
        <v>0.91666666666666663</v>
      </c>
      <c r="D8304">
        <v>3</v>
      </c>
      <c r="E8304">
        <v>15.4</v>
      </c>
      <c r="F8304">
        <v>99</v>
      </c>
    </row>
    <row r="8305" spans="1:6" x14ac:dyDescent="0.35">
      <c r="A8305">
        <v>1975</v>
      </c>
      <c r="B8305" s="1">
        <v>45870</v>
      </c>
      <c r="C8305" s="2">
        <v>0.95833333333333337</v>
      </c>
      <c r="D8305">
        <v>3</v>
      </c>
      <c r="E8305">
        <v>15</v>
      </c>
      <c r="F8305">
        <v>99</v>
      </c>
    </row>
    <row r="8306" spans="1:6" x14ac:dyDescent="0.35">
      <c r="A8306">
        <v>1975</v>
      </c>
      <c r="B8306" s="1">
        <v>45871</v>
      </c>
      <c r="C8306" s="2">
        <v>0</v>
      </c>
      <c r="D8306">
        <v>3</v>
      </c>
      <c r="E8306">
        <v>14.6</v>
      </c>
      <c r="F8306">
        <v>99</v>
      </c>
    </row>
    <row r="8307" spans="1:6" x14ac:dyDescent="0.35">
      <c r="A8307">
        <v>1975</v>
      </c>
      <c r="B8307" s="1">
        <v>45871</v>
      </c>
      <c r="C8307" s="2">
        <v>4.1666666666666657E-2</v>
      </c>
      <c r="D8307">
        <v>3</v>
      </c>
      <c r="E8307">
        <v>14.7</v>
      </c>
      <c r="F8307">
        <v>100</v>
      </c>
    </row>
    <row r="8308" spans="1:6" x14ac:dyDescent="0.35">
      <c r="A8308">
        <v>1975</v>
      </c>
      <c r="B8308" s="1">
        <v>45871</v>
      </c>
      <c r="C8308" s="2">
        <v>8.3333333333333329E-2</v>
      </c>
      <c r="D8308">
        <v>3</v>
      </c>
      <c r="E8308">
        <v>14.4</v>
      </c>
      <c r="F8308">
        <v>100</v>
      </c>
    </row>
    <row r="8309" spans="1:6" x14ac:dyDescent="0.35">
      <c r="A8309">
        <v>1975</v>
      </c>
      <c r="B8309" s="1">
        <v>45871</v>
      </c>
      <c r="C8309" s="2">
        <v>0.125</v>
      </c>
      <c r="D8309">
        <v>3</v>
      </c>
      <c r="E8309">
        <v>14.6</v>
      </c>
      <c r="F8309">
        <v>100</v>
      </c>
    </row>
    <row r="8310" spans="1:6" x14ac:dyDescent="0.35">
      <c r="A8310">
        <v>1975</v>
      </c>
      <c r="B8310" s="1">
        <v>45871</v>
      </c>
      <c r="C8310" s="2">
        <v>0.16666666666666671</v>
      </c>
      <c r="D8310">
        <v>3</v>
      </c>
      <c r="E8310">
        <v>14.9</v>
      </c>
      <c r="F8310">
        <v>99</v>
      </c>
    </row>
    <row r="8311" spans="1:6" x14ac:dyDescent="0.35">
      <c r="A8311">
        <v>1975</v>
      </c>
      <c r="B8311" s="1">
        <v>45871</v>
      </c>
      <c r="C8311" s="2">
        <v>0.20833333333333329</v>
      </c>
      <c r="D8311">
        <v>3</v>
      </c>
      <c r="E8311">
        <v>15.1</v>
      </c>
      <c r="F8311">
        <v>98</v>
      </c>
    </row>
    <row r="8312" spans="1:6" x14ac:dyDescent="0.35">
      <c r="A8312">
        <v>1975</v>
      </c>
      <c r="B8312" s="1">
        <v>45871</v>
      </c>
      <c r="C8312" s="2">
        <v>0.25</v>
      </c>
      <c r="D8312">
        <v>3</v>
      </c>
      <c r="E8312">
        <v>15.5</v>
      </c>
      <c r="F8312">
        <v>98</v>
      </c>
    </row>
    <row r="8313" spans="1:6" x14ac:dyDescent="0.35">
      <c r="A8313">
        <v>1975</v>
      </c>
      <c r="B8313" s="1">
        <v>45871</v>
      </c>
      <c r="C8313" s="2">
        <v>0.29166666666666669</v>
      </c>
      <c r="D8313">
        <v>3</v>
      </c>
      <c r="E8313">
        <v>15.8</v>
      </c>
      <c r="F8313">
        <v>94</v>
      </c>
    </row>
    <row r="8314" spans="1:6" x14ac:dyDescent="0.35">
      <c r="A8314">
        <v>1975</v>
      </c>
      <c r="B8314" s="1">
        <v>45871</v>
      </c>
      <c r="C8314" s="2">
        <v>0.33333333333333331</v>
      </c>
      <c r="D8314">
        <v>3</v>
      </c>
      <c r="E8314">
        <v>15.8</v>
      </c>
      <c r="F8314">
        <v>95</v>
      </c>
    </row>
    <row r="8315" spans="1:6" x14ac:dyDescent="0.35">
      <c r="A8315">
        <v>1975</v>
      </c>
      <c r="B8315" s="1">
        <v>45871</v>
      </c>
      <c r="C8315" s="2">
        <v>0.375</v>
      </c>
      <c r="D8315">
        <v>3</v>
      </c>
      <c r="E8315">
        <v>16.899999999999999</v>
      </c>
      <c r="F8315">
        <v>92</v>
      </c>
    </row>
    <row r="8316" spans="1:6" x14ac:dyDescent="0.35">
      <c r="A8316">
        <v>1975</v>
      </c>
      <c r="B8316" s="1">
        <v>45871</v>
      </c>
      <c r="C8316" s="2">
        <v>0.41666666666666669</v>
      </c>
      <c r="D8316">
        <v>3</v>
      </c>
      <c r="E8316">
        <v>18.7</v>
      </c>
      <c r="F8316">
        <v>78</v>
      </c>
    </row>
    <row r="8317" spans="1:6" x14ac:dyDescent="0.35">
      <c r="A8317">
        <v>1975</v>
      </c>
      <c r="B8317" s="1">
        <v>45871</v>
      </c>
      <c r="C8317" s="2">
        <v>0.45833333333333331</v>
      </c>
      <c r="D8317">
        <v>3</v>
      </c>
      <c r="E8317">
        <v>19.7</v>
      </c>
      <c r="F8317">
        <v>73</v>
      </c>
    </row>
    <row r="8318" spans="1:6" x14ac:dyDescent="0.35">
      <c r="A8318">
        <v>1975</v>
      </c>
      <c r="B8318" s="1">
        <v>45871</v>
      </c>
      <c r="C8318" s="2">
        <v>0.5</v>
      </c>
      <c r="D8318">
        <v>3</v>
      </c>
      <c r="E8318">
        <v>20.3</v>
      </c>
      <c r="F8318">
        <v>72</v>
      </c>
    </row>
    <row r="8319" spans="1:6" x14ac:dyDescent="0.35">
      <c r="A8319">
        <v>1975</v>
      </c>
      <c r="B8319" s="1">
        <v>45871</v>
      </c>
      <c r="C8319" s="2">
        <v>0.54166666666666663</v>
      </c>
      <c r="D8319">
        <v>3</v>
      </c>
      <c r="E8319">
        <v>19</v>
      </c>
      <c r="F8319">
        <v>77</v>
      </c>
    </row>
    <row r="8320" spans="1:6" x14ac:dyDescent="0.35">
      <c r="A8320">
        <v>1975</v>
      </c>
      <c r="B8320" s="1">
        <v>45871</v>
      </c>
      <c r="C8320" s="2">
        <v>0.58333333333333337</v>
      </c>
      <c r="D8320">
        <v>3</v>
      </c>
      <c r="E8320">
        <v>20.5</v>
      </c>
      <c r="F8320">
        <v>67</v>
      </c>
    </row>
    <row r="8321" spans="1:6" x14ac:dyDescent="0.35">
      <c r="A8321">
        <v>1975</v>
      </c>
      <c r="B8321" s="1">
        <v>45871</v>
      </c>
      <c r="C8321" s="2">
        <v>0.625</v>
      </c>
      <c r="D8321">
        <v>3</v>
      </c>
      <c r="E8321">
        <v>20.5</v>
      </c>
      <c r="F8321">
        <v>73</v>
      </c>
    </row>
    <row r="8322" spans="1:6" x14ac:dyDescent="0.35">
      <c r="A8322">
        <v>1975</v>
      </c>
      <c r="B8322" s="1">
        <v>45871</v>
      </c>
      <c r="C8322" s="2">
        <v>0.66666666666666663</v>
      </c>
      <c r="D8322">
        <v>3</v>
      </c>
      <c r="E8322">
        <v>19.600000000000001</v>
      </c>
      <c r="F8322">
        <v>78</v>
      </c>
    </row>
    <row r="8323" spans="1:6" x14ac:dyDescent="0.35">
      <c r="A8323">
        <v>1975</v>
      </c>
      <c r="B8323" s="1">
        <v>45871</v>
      </c>
      <c r="C8323" s="2">
        <v>0.70833333333333337</v>
      </c>
      <c r="D8323">
        <v>3</v>
      </c>
      <c r="E8323">
        <v>19.8</v>
      </c>
      <c r="F8323">
        <v>73</v>
      </c>
    </row>
    <row r="8324" spans="1:6" x14ac:dyDescent="0.35">
      <c r="A8324">
        <v>1975</v>
      </c>
      <c r="B8324" s="1">
        <v>45871</v>
      </c>
      <c r="C8324" s="2">
        <v>0.75</v>
      </c>
      <c r="D8324">
        <v>3</v>
      </c>
      <c r="E8324">
        <v>18.2</v>
      </c>
      <c r="F8324">
        <v>80</v>
      </c>
    </row>
    <row r="8325" spans="1:6" x14ac:dyDescent="0.35">
      <c r="A8325">
        <v>1975</v>
      </c>
      <c r="B8325" s="1">
        <v>45871</v>
      </c>
      <c r="C8325" s="2">
        <v>0.79166666666666663</v>
      </c>
      <c r="D8325">
        <v>3</v>
      </c>
      <c r="E8325">
        <v>17</v>
      </c>
      <c r="F8325">
        <v>87</v>
      </c>
    </row>
    <row r="8326" spans="1:6" x14ac:dyDescent="0.35">
      <c r="A8326">
        <v>1975</v>
      </c>
      <c r="B8326" s="1">
        <v>45871</v>
      </c>
      <c r="C8326" s="2">
        <v>0.83333333333333337</v>
      </c>
      <c r="D8326">
        <v>3</v>
      </c>
      <c r="E8326">
        <v>16.3</v>
      </c>
      <c r="F8326">
        <v>93</v>
      </c>
    </row>
    <row r="8327" spans="1:6" x14ac:dyDescent="0.35">
      <c r="A8327">
        <v>1975</v>
      </c>
      <c r="B8327" s="1">
        <v>45871</v>
      </c>
      <c r="C8327" s="2">
        <v>0.875</v>
      </c>
      <c r="D8327">
        <v>3</v>
      </c>
      <c r="E8327">
        <v>15.7</v>
      </c>
      <c r="F8327">
        <v>100</v>
      </c>
    </row>
    <row r="8328" spans="1:6" x14ac:dyDescent="0.35">
      <c r="A8328">
        <v>1975</v>
      </c>
      <c r="B8328" s="1">
        <v>45871</v>
      </c>
      <c r="C8328" s="2">
        <v>0.91666666666666663</v>
      </c>
      <c r="D8328">
        <v>3</v>
      </c>
      <c r="E8328">
        <v>15.6</v>
      </c>
      <c r="F8328">
        <v>100</v>
      </c>
    </row>
    <row r="8329" spans="1:6" x14ac:dyDescent="0.35">
      <c r="A8329">
        <v>1975</v>
      </c>
      <c r="B8329" s="1">
        <v>45871</v>
      </c>
      <c r="C8329" s="2">
        <v>0.95833333333333337</v>
      </c>
      <c r="D8329">
        <v>3</v>
      </c>
      <c r="E8329">
        <v>15.6</v>
      </c>
      <c r="F8329">
        <v>99</v>
      </c>
    </row>
    <row r="8330" spans="1:6" x14ac:dyDescent="0.35">
      <c r="A8330">
        <v>1975</v>
      </c>
      <c r="B8330" s="1">
        <v>45872</v>
      </c>
      <c r="C8330" s="2">
        <v>0</v>
      </c>
      <c r="D8330">
        <v>3</v>
      </c>
      <c r="E8330">
        <v>15.6</v>
      </c>
      <c r="F8330">
        <v>99</v>
      </c>
    </row>
    <row r="8331" spans="1:6" x14ac:dyDescent="0.35">
      <c r="A8331">
        <v>1975</v>
      </c>
      <c r="B8331" s="1">
        <v>45872</v>
      </c>
      <c r="C8331" s="2">
        <v>4.1666666666666657E-2</v>
      </c>
      <c r="D8331">
        <v>3</v>
      </c>
      <c r="E8331">
        <v>15.4</v>
      </c>
      <c r="F8331">
        <v>99</v>
      </c>
    </row>
    <row r="8332" spans="1:6" x14ac:dyDescent="0.35">
      <c r="A8332">
        <v>1975</v>
      </c>
      <c r="B8332" s="1">
        <v>45872</v>
      </c>
      <c r="C8332" s="2">
        <v>8.3333333333333329E-2</v>
      </c>
      <c r="D8332">
        <v>3</v>
      </c>
      <c r="E8332">
        <v>15.2</v>
      </c>
      <c r="F8332">
        <v>98</v>
      </c>
    </row>
    <row r="8333" spans="1:6" x14ac:dyDescent="0.35">
      <c r="A8333">
        <v>1975</v>
      </c>
      <c r="B8333" s="1">
        <v>45872</v>
      </c>
      <c r="C8333" s="2">
        <v>0.125</v>
      </c>
      <c r="D8333">
        <v>3</v>
      </c>
      <c r="E8333">
        <v>14.8</v>
      </c>
      <c r="F8333">
        <v>98</v>
      </c>
    </row>
    <row r="8334" spans="1:6" x14ac:dyDescent="0.35">
      <c r="A8334">
        <v>1975</v>
      </c>
      <c r="B8334" s="1">
        <v>45872</v>
      </c>
      <c r="C8334" s="2">
        <v>0.16666666666666671</v>
      </c>
      <c r="D8334">
        <v>3</v>
      </c>
      <c r="E8334">
        <v>14.3</v>
      </c>
      <c r="F8334">
        <v>97</v>
      </c>
    </row>
    <row r="8335" spans="1:6" x14ac:dyDescent="0.35">
      <c r="A8335">
        <v>1975</v>
      </c>
      <c r="B8335" s="1">
        <v>45872</v>
      </c>
      <c r="C8335" s="2">
        <v>0.20833333333333329</v>
      </c>
      <c r="D8335">
        <v>3</v>
      </c>
      <c r="E8335">
        <v>14.4</v>
      </c>
      <c r="F8335">
        <v>98</v>
      </c>
    </row>
    <row r="8336" spans="1:6" x14ac:dyDescent="0.35">
      <c r="A8336">
        <v>1975</v>
      </c>
      <c r="B8336" s="1">
        <v>45872</v>
      </c>
      <c r="C8336" s="2">
        <v>0.25</v>
      </c>
      <c r="D8336">
        <v>3</v>
      </c>
      <c r="E8336">
        <v>14.3</v>
      </c>
      <c r="F8336">
        <v>97</v>
      </c>
    </row>
    <row r="8337" spans="1:6" x14ac:dyDescent="0.35">
      <c r="A8337">
        <v>1975</v>
      </c>
      <c r="B8337" s="1">
        <v>45872</v>
      </c>
      <c r="C8337" s="2">
        <v>0.29166666666666669</v>
      </c>
      <c r="D8337">
        <v>3</v>
      </c>
      <c r="E8337">
        <v>14.4</v>
      </c>
      <c r="F8337">
        <v>97</v>
      </c>
    </row>
    <row r="8338" spans="1:6" x14ac:dyDescent="0.35">
      <c r="A8338">
        <v>1975</v>
      </c>
      <c r="B8338" s="1">
        <v>45872</v>
      </c>
      <c r="C8338" s="2">
        <v>0.33333333333333331</v>
      </c>
      <c r="D8338">
        <v>3</v>
      </c>
      <c r="E8338">
        <v>14.3</v>
      </c>
      <c r="F8338">
        <v>99</v>
      </c>
    </row>
    <row r="8339" spans="1:6" x14ac:dyDescent="0.35">
      <c r="A8339">
        <v>1975</v>
      </c>
      <c r="B8339" s="1">
        <v>45872</v>
      </c>
      <c r="C8339" s="2">
        <v>0.375</v>
      </c>
      <c r="D8339">
        <v>3</v>
      </c>
      <c r="E8339">
        <v>15.1</v>
      </c>
      <c r="F8339">
        <v>97</v>
      </c>
    </row>
    <row r="8340" spans="1:6" x14ac:dyDescent="0.35">
      <c r="A8340">
        <v>1975</v>
      </c>
      <c r="B8340" s="1">
        <v>45872</v>
      </c>
      <c r="C8340" s="2">
        <v>0.41666666666666669</v>
      </c>
      <c r="D8340">
        <v>3</v>
      </c>
      <c r="E8340">
        <v>15.2</v>
      </c>
      <c r="F8340">
        <v>95</v>
      </c>
    </row>
    <row r="8341" spans="1:6" x14ac:dyDescent="0.35">
      <c r="A8341">
        <v>1975</v>
      </c>
      <c r="B8341" s="1">
        <v>45872</v>
      </c>
      <c r="C8341" s="2">
        <v>0.45833333333333331</v>
      </c>
      <c r="D8341">
        <v>3</v>
      </c>
      <c r="E8341">
        <v>15.3</v>
      </c>
      <c r="F8341">
        <v>93</v>
      </c>
    </row>
    <row r="8342" spans="1:6" x14ac:dyDescent="0.35">
      <c r="A8342">
        <v>1975</v>
      </c>
      <c r="B8342" s="1">
        <v>45872</v>
      </c>
      <c r="C8342" s="2">
        <v>0.5</v>
      </c>
      <c r="D8342">
        <v>3</v>
      </c>
      <c r="E8342">
        <v>15.7</v>
      </c>
      <c r="F8342">
        <v>90</v>
      </c>
    </row>
    <row r="8343" spans="1:6" x14ac:dyDescent="0.35">
      <c r="A8343">
        <v>1975</v>
      </c>
      <c r="B8343" s="1">
        <v>45872</v>
      </c>
      <c r="C8343" s="2">
        <v>0.54166666666666663</v>
      </c>
      <c r="D8343">
        <v>3</v>
      </c>
      <c r="E8343">
        <v>15.8</v>
      </c>
      <c r="F8343">
        <v>90</v>
      </c>
    </row>
    <row r="8344" spans="1:6" x14ac:dyDescent="0.35">
      <c r="A8344">
        <v>1975</v>
      </c>
      <c r="B8344" s="1">
        <v>45872</v>
      </c>
      <c r="C8344" s="2">
        <v>0.58333333333333337</v>
      </c>
      <c r="D8344">
        <v>3</v>
      </c>
      <c r="E8344">
        <v>16.100000000000001</v>
      </c>
      <c r="F8344">
        <v>89</v>
      </c>
    </row>
    <row r="8345" spans="1:6" x14ac:dyDescent="0.35">
      <c r="A8345">
        <v>1975</v>
      </c>
      <c r="B8345" s="1">
        <v>45872</v>
      </c>
      <c r="C8345" s="2">
        <v>0.625</v>
      </c>
      <c r="D8345">
        <v>3</v>
      </c>
      <c r="E8345">
        <v>16.3</v>
      </c>
      <c r="F8345">
        <v>86</v>
      </c>
    </row>
    <row r="8346" spans="1:6" x14ac:dyDescent="0.35">
      <c r="A8346">
        <v>1975</v>
      </c>
      <c r="B8346" s="1">
        <v>45872</v>
      </c>
      <c r="C8346" s="2">
        <v>0.66666666666666663</v>
      </c>
      <c r="D8346">
        <v>3</v>
      </c>
      <c r="E8346">
        <v>16.3</v>
      </c>
      <c r="F8346">
        <v>91</v>
      </c>
    </row>
    <row r="8347" spans="1:6" x14ac:dyDescent="0.35">
      <c r="A8347">
        <v>1975</v>
      </c>
      <c r="B8347" s="1">
        <v>45872</v>
      </c>
      <c r="C8347" s="2">
        <v>0.70833333333333337</v>
      </c>
      <c r="D8347">
        <v>3</v>
      </c>
      <c r="E8347">
        <v>16.399999999999999</v>
      </c>
      <c r="F8347">
        <v>92</v>
      </c>
    </row>
    <row r="8348" spans="1:6" x14ac:dyDescent="0.35">
      <c r="A8348">
        <v>1975</v>
      </c>
      <c r="B8348" s="1">
        <v>45872</v>
      </c>
      <c r="C8348" s="2">
        <v>0.75</v>
      </c>
      <c r="D8348">
        <v>3</v>
      </c>
      <c r="E8348">
        <v>16.399999999999999</v>
      </c>
      <c r="F8348">
        <v>93</v>
      </c>
    </row>
    <row r="8349" spans="1:6" x14ac:dyDescent="0.35">
      <c r="A8349">
        <v>1975</v>
      </c>
      <c r="B8349" s="1">
        <v>45872</v>
      </c>
      <c r="C8349" s="2">
        <v>0.79166666666666663</v>
      </c>
      <c r="D8349">
        <v>3</v>
      </c>
      <c r="E8349">
        <v>16.100000000000001</v>
      </c>
      <c r="F8349">
        <v>95</v>
      </c>
    </row>
    <row r="8350" spans="1:6" x14ac:dyDescent="0.35">
      <c r="A8350">
        <v>1975</v>
      </c>
      <c r="B8350" s="1">
        <v>45872</v>
      </c>
      <c r="C8350" s="2">
        <v>0.83333333333333337</v>
      </c>
      <c r="D8350">
        <v>3</v>
      </c>
      <c r="E8350">
        <v>15.5</v>
      </c>
      <c r="F8350">
        <v>98</v>
      </c>
    </row>
    <row r="8351" spans="1:6" x14ac:dyDescent="0.35">
      <c r="A8351">
        <v>1975</v>
      </c>
      <c r="B8351" s="1">
        <v>45872</v>
      </c>
      <c r="C8351" s="2">
        <v>0.875</v>
      </c>
      <c r="D8351">
        <v>3</v>
      </c>
      <c r="E8351">
        <v>15.8</v>
      </c>
      <c r="F8351">
        <v>99</v>
      </c>
    </row>
    <row r="8352" spans="1:6" x14ac:dyDescent="0.35">
      <c r="A8352">
        <v>1975</v>
      </c>
      <c r="B8352" s="1">
        <v>45872</v>
      </c>
      <c r="C8352" s="2">
        <v>0.91666666666666663</v>
      </c>
      <c r="D8352">
        <v>3</v>
      </c>
      <c r="E8352">
        <v>15.6</v>
      </c>
      <c r="F8352">
        <v>100</v>
      </c>
    </row>
    <row r="8353" spans="1:6" x14ac:dyDescent="0.35">
      <c r="A8353">
        <v>1975</v>
      </c>
      <c r="B8353" s="1">
        <v>45872</v>
      </c>
      <c r="C8353" s="2">
        <v>0.95833333333333337</v>
      </c>
      <c r="D8353">
        <v>3</v>
      </c>
      <c r="E8353">
        <v>15.6</v>
      </c>
      <c r="F8353">
        <v>99</v>
      </c>
    </row>
    <row r="8354" spans="1:6" x14ac:dyDescent="0.35">
      <c r="A8354">
        <v>1975</v>
      </c>
      <c r="B8354" s="1">
        <v>45873</v>
      </c>
      <c r="C8354" s="2">
        <v>0</v>
      </c>
      <c r="D8354">
        <v>3</v>
      </c>
      <c r="E8354">
        <v>14.2</v>
      </c>
      <c r="F8354">
        <v>97</v>
      </c>
    </row>
    <row r="8355" spans="1:6" x14ac:dyDescent="0.35">
      <c r="A8355">
        <v>1975</v>
      </c>
      <c r="B8355" s="1">
        <v>45873</v>
      </c>
      <c r="C8355" s="2">
        <v>4.1666666666666657E-2</v>
      </c>
      <c r="D8355">
        <v>3</v>
      </c>
      <c r="E8355">
        <v>14.4</v>
      </c>
      <c r="F8355">
        <v>100</v>
      </c>
    </row>
    <row r="8356" spans="1:6" x14ac:dyDescent="0.35">
      <c r="A8356">
        <v>1975</v>
      </c>
      <c r="B8356" s="1">
        <v>45873</v>
      </c>
      <c r="C8356" s="2">
        <v>8.3333333333333329E-2</v>
      </c>
      <c r="D8356">
        <v>3</v>
      </c>
      <c r="E8356">
        <v>15.2</v>
      </c>
      <c r="F8356">
        <v>99</v>
      </c>
    </row>
    <row r="8357" spans="1:6" x14ac:dyDescent="0.35">
      <c r="A8357">
        <v>1975</v>
      </c>
      <c r="B8357" s="1">
        <v>45873</v>
      </c>
      <c r="C8357" s="2">
        <v>0.125</v>
      </c>
      <c r="D8357">
        <v>3</v>
      </c>
      <c r="E8357">
        <v>15.6</v>
      </c>
      <c r="F8357">
        <v>99</v>
      </c>
    </row>
    <row r="8358" spans="1:6" x14ac:dyDescent="0.35">
      <c r="A8358">
        <v>1975</v>
      </c>
      <c r="B8358" s="1">
        <v>45873</v>
      </c>
      <c r="C8358" s="2">
        <v>0.16666666666666671</v>
      </c>
      <c r="D8358">
        <v>3</v>
      </c>
      <c r="E8358">
        <v>15.8</v>
      </c>
      <c r="F8358">
        <v>99</v>
      </c>
    </row>
    <row r="8359" spans="1:6" x14ac:dyDescent="0.35">
      <c r="A8359">
        <v>1975</v>
      </c>
      <c r="B8359" s="1">
        <v>45873</v>
      </c>
      <c r="C8359" s="2">
        <v>0.20833333333333329</v>
      </c>
      <c r="D8359">
        <v>3</v>
      </c>
      <c r="E8359">
        <v>16.100000000000001</v>
      </c>
      <c r="F8359">
        <v>100</v>
      </c>
    </row>
    <row r="8360" spans="1:6" x14ac:dyDescent="0.35">
      <c r="A8360">
        <v>1975</v>
      </c>
      <c r="B8360" s="1">
        <v>45873</v>
      </c>
      <c r="C8360" s="2">
        <v>0.25</v>
      </c>
      <c r="D8360">
        <v>3</v>
      </c>
      <c r="E8360">
        <v>16.8</v>
      </c>
      <c r="F8360">
        <v>98</v>
      </c>
    </row>
    <row r="8361" spans="1:6" x14ac:dyDescent="0.35">
      <c r="A8361">
        <v>1975</v>
      </c>
      <c r="B8361" s="1">
        <v>45873</v>
      </c>
      <c r="C8361" s="2">
        <v>0.29166666666666669</v>
      </c>
      <c r="D8361">
        <v>3</v>
      </c>
      <c r="E8361">
        <v>17.3</v>
      </c>
      <c r="F8361">
        <v>94</v>
      </c>
    </row>
    <row r="8362" spans="1:6" x14ac:dyDescent="0.35">
      <c r="A8362">
        <v>1975</v>
      </c>
      <c r="B8362" s="1">
        <v>45873</v>
      </c>
      <c r="C8362" s="2">
        <v>0.33333333333333331</v>
      </c>
      <c r="D8362">
        <v>3</v>
      </c>
      <c r="E8362">
        <v>18.600000000000001</v>
      </c>
      <c r="F8362">
        <v>76</v>
      </c>
    </row>
    <row r="8363" spans="1:6" x14ac:dyDescent="0.35">
      <c r="A8363">
        <v>1975</v>
      </c>
      <c r="B8363" s="1">
        <v>45873</v>
      </c>
      <c r="C8363" s="2">
        <v>0.375</v>
      </c>
      <c r="D8363">
        <v>3</v>
      </c>
      <c r="E8363">
        <v>18.8</v>
      </c>
      <c r="F8363">
        <v>74</v>
      </c>
    </row>
    <row r="8364" spans="1:6" x14ac:dyDescent="0.35">
      <c r="A8364">
        <v>1975</v>
      </c>
      <c r="B8364" s="1">
        <v>45873</v>
      </c>
      <c r="C8364" s="2">
        <v>0.41666666666666669</v>
      </c>
      <c r="D8364">
        <v>3</v>
      </c>
      <c r="E8364">
        <v>19.8</v>
      </c>
      <c r="F8364">
        <v>72</v>
      </c>
    </row>
    <row r="8365" spans="1:6" x14ac:dyDescent="0.35">
      <c r="A8365">
        <v>1975</v>
      </c>
      <c r="B8365" s="1">
        <v>45873</v>
      </c>
      <c r="C8365" s="2">
        <v>0.45833333333333331</v>
      </c>
      <c r="D8365">
        <v>3</v>
      </c>
      <c r="E8365">
        <v>21.1</v>
      </c>
      <c r="F8365">
        <v>64</v>
      </c>
    </row>
    <row r="8366" spans="1:6" x14ac:dyDescent="0.35">
      <c r="A8366">
        <v>1975</v>
      </c>
      <c r="B8366" s="1">
        <v>45873</v>
      </c>
      <c r="C8366" s="2">
        <v>0.5</v>
      </c>
      <c r="D8366">
        <v>3</v>
      </c>
      <c r="E8366">
        <v>21.5</v>
      </c>
      <c r="F8366">
        <v>60</v>
      </c>
    </row>
    <row r="8367" spans="1:6" x14ac:dyDescent="0.35">
      <c r="A8367">
        <v>1975</v>
      </c>
      <c r="B8367" s="1">
        <v>45873</v>
      </c>
      <c r="C8367" s="2">
        <v>0.54166666666666663</v>
      </c>
      <c r="D8367">
        <v>3</v>
      </c>
      <c r="E8367">
        <v>22.2</v>
      </c>
      <c r="F8367">
        <v>56</v>
      </c>
    </row>
    <row r="8368" spans="1:6" x14ac:dyDescent="0.35">
      <c r="A8368">
        <v>1975</v>
      </c>
      <c r="B8368" s="1">
        <v>45873</v>
      </c>
      <c r="C8368" s="2">
        <v>0.58333333333333337</v>
      </c>
      <c r="D8368">
        <v>3</v>
      </c>
      <c r="E8368">
        <v>21.7</v>
      </c>
      <c r="F8368">
        <v>57</v>
      </c>
    </row>
    <row r="8369" spans="1:6" x14ac:dyDescent="0.35">
      <c r="A8369">
        <v>1975</v>
      </c>
      <c r="B8369" s="1">
        <v>45873</v>
      </c>
      <c r="C8369" s="2">
        <v>0.625</v>
      </c>
      <c r="D8369">
        <v>3</v>
      </c>
      <c r="E8369">
        <v>21.7</v>
      </c>
      <c r="F8369">
        <v>58</v>
      </c>
    </row>
    <row r="8370" spans="1:6" x14ac:dyDescent="0.35">
      <c r="A8370">
        <v>1975</v>
      </c>
      <c r="B8370" s="1">
        <v>45873</v>
      </c>
      <c r="C8370" s="2">
        <v>0.66666666666666663</v>
      </c>
      <c r="D8370">
        <v>3</v>
      </c>
      <c r="E8370">
        <v>21.1</v>
      </c>
      <c r="F8370">
        <v>65</v>
      </c>
    </row>
    <row r="8371" spans="1:6" x14ac:dyDescent="0.35">
      <c r="A8371">
        <v>1975</v>
      </c>
      <c r="B8371" s="1">
        <v>45873</v>
      </c>
      <c r="C8371" s="2">
        <v>0.70833333333333337</v>
      </c>
      <c r="D8371">
        <v>3</v>
      </c>
      <c r="E8371">
        <v>21.3</v>
      </c>
      <c r="F8371">
        <v>63</v>
      </c>
    </row>
    <row r="8372" spans="1:6" x14ac:dyDescent="0.35">
      <c r="A8372">
        <v>1975</v>
      </c>
      <c r="B8372" s="1">
        <v>45873</v>
      </c>
      <c r="C8372" s="2">
        <v>0.75</v>
      </c>
      <c r="D8372">
        <v>3</v>
      </c>
      <c r="E8372">
        <v>19.8</v>
      </c>
      <c r="F8372">
        <v>79</v>
      </c>
    </row>
    <row r="8373" spans="1:6" x14ac:dyDescent="0.35">
      <c r="A8373">
        <v>1975</v>
      </c>
      <c r="B8373" s="1">
        <v>45873</v>
      </c>
      <c r="C8373" s="2">
        <v>0.79166666666666663</v>
      </c>
      <c r="D8373">
        <v>3</v>
      </c>
      <c r="E8373">
        <v>19.399999999999999</v>
      </c>
      <c r="F8373">
        <v>77</v>
      </c>
    </row>
    <row r="8374" spans="1:6" x14ac:dyDescent="0.35">
      <c r="A8374">
        <v>1975</v>
      </c>
      <c r="B8374" s="1">
        <v>45873</v>
      </c>
      <c r="C8374" s="2">
        <v>0.83333333333333337</v>
      </c>
      <c r="D8374">
        <v>3</v>
      </c>
      <c r="E8374">
        <v>18.8</v>
      </c>
      <c r="F8374">
        <v>80</v>
      </c>
    </row>
    <row r="8375" spans="1:6" x14ac:dyDescent="0.35">
      <c r="A8375">
        <v>1975</v>
      </c>
      <c r="B8375" s="1">
        <v>45873</v>
      </c>
      <c r="C8375" s="2">
        <v>0.875</v>
      </c>
      <c r="D8375">
        <v>3</v>
      </c>
      <c r="E8375">
        <v>18.7</v>
      </c>
      <c r="F8375">
        <v>84</v>
      </c>
    </row>
    <row r="8376" spans="1:6" x14ac:dyDescent="0.35">
      <c r="A8376">
        <v>1975</v>
      </c>
      <c r="B8376" s="1">
        <v>45873</v>
      </c>
      <c r="C8376" s="2">
        <v>0.91666666666666663</v>
      </c>
      <c r="D8376">
        <v>3</v>
      </c>
      <c r="E8376">
        <v>19.600000000000001</v>
      </c>
      <c r="F8376">
        <v>80</v>
      </c>
    </row>
    <row r="8377" spans="1:6" x14ac:dyDescent="0.35">
      <c r="A8377">
        <v>1975</v>
      </c>
      <c r="B8377" s="1">
        <v>45873</v>
      </c>
      <c r="C8377" s="2">
        <v>0.95833333333333337</v>
      </c>
      <c r="D8377">
        <v>3</v>
      </c>
      <c r="E8377">
        <v>18.2</v>
      </c>
      <c r="F8377">
        <v>95</v>
      </c>
    </row>
    <row r="8378" spans="1:6" x14ac:dyDescent="0.35">
      <c r="A8378">
        <v>1975</v>
      </c>
      <c r="B8378" s="1">
        <v>45874</v>
      </c>
      <c r="C8378" s="2">
        <v>0</v>
      </c>
      <c r="D8378">
        <v>3</v>
      </c>
      <c r="E8378">
        <v>17.7</v>
      </c>
      <c r="F8378">
        <v>90</v>
      </c>
    </row>
    <row r="8379" spans="1:6" x14ac:dyDescent="0.35">
      <c r="A8379">
        <v>1975</v>
      </c>
      <c r="B8379" s="1">
        <v>45874</v>
      </c>
      <c r="C8379" s="2">
        <v>4.1666666666666657E-2</v>
      </c>
      <c r="D8379">
        <v>3</v>
      </c>
      <c r="E8379">
        <v>16.7</v>
      </c>
      <c r="F8379">
        <v>96</v>
      </c>
    </row>
    <row r="8380" spans="1:6" x14ac:dyDescent="0.35">
      <c r="A8380">
        <v>1975</v>
      </c>
      <c r="B8380" s="1">
        <v>45874</v>
      </c>
      <c r="C8380" s="2">
        <v>8.3333333333333329E-2</v>
      </c>
      <c r="D8380">
        <v>3</v>
      </c>
      <c r="E8380">
        <v>16.5</v>
      </c>
      <c r="F8380">
        <v>93</v>
      </c>
    </row>
    <row r="8381" spans="1:6" x14ac:dyDescent="0.35">
      <c r="A8381">
        <v>1975</v>
      </c>
      <c r="B8381" s="1">
        <v>45874</v>
      </c>
      <c r="C8381" s="2">
        <v>0.125</v>
      </c>
      <c r="D8381">
        <v>3</v>
      </c>
      <c r="E8381">
        <v>16.3</v>
      </c>
      <c r="F8381">
        <v>92</v>
      </c>
    </row>
    <row r="8382" spans="1:6" x14ac:dyDescent="0.35">
      <c r="A8382">
        <v>1975</v>
      </c>
      <c r="B8382" s="1">
        <v>45874</v>
      </c>
      <c r="C8382" s="2">
        <v>0.16666666666666671</v>
      </c>
      <c r="D8382">
        <v>3</v>
      </c>
      <c r="E8382">
        <v>15.6</v>
      </c>
      <c r="F8382">
        <v>94</v>
      </c>
    </row>
    <row r="8383" spans="1:6" x14ac:dyDescent="0.35">
      <c r="A8383">
        <v>1975</v>
      </c>
      <c r="B8383" s="1">
        <v>45874</v>
      </c>
      <c r="C8383" s="2">
        <v>0.20833333333333329</v>
      </c>
      <c r="D8383">
        <v>3</v>
      </c>
      <c r="E8383">
        <v>15.3</v>
      </c>
      <c r="F8383">
        <v>94</v>
      </c>
    </row>
    <row r="8384" spans="1:6" x14ac:dyDescent="0.35">
      <c r="A8384">
        <v>1975</v>
      </c>
      <c r="B8384" s="1">
        <v>45874</v>
      </c>
      <c r="C8384" s="2">
        <v>0.25</v>
      </c>
      <c r="D8384">
        <v>3</v>
      </c>
      <c r="E8384">
        <v>15.4</v>
      </c>
      <c r="F8384">
        <v>92</v>
      </c>
    </row>
    <row r="8385" spans="1:6" x14ac:dyDescent="0.35">
      <c r="A8385">
        <v>1975</v>
      </c>
      <c r="B8385" s="1">
        <v>45874</v>
      </c>
      <c r="C8385" s="2">
        <v>0.29166666666666669</v>
      </c>
      <c r="D8385">
        <v>3</v>
      </c>
      <c r="E8385">
        <v>15.8</v>
      </c>
      <c r="F8385">
        <v>86</v>
      </c>
    </row>
    <row r="8386" spans="1:6" x14ac:dyDescent="0.35">
      <c r="A8386">
        <v>1975</v>
      </c>
      <c r="B8386" s="1">
        <v>45874</v>
      </c>
      <c r="C8386" s="2">
        <v>0.33333333333333331</v>
      </c>
      <c r="D8386">
        <v>3</v>
      </c>
      <c r="E8386">
        <v>17.600000000000001</v>
      </c>
      <c r="F8386">
        <v>74</v>
      </c>
    </row>
    <row r="8387" spans="1:6" x14ac:dyDescent="0.35">
      <c r="A8387">
        <v>1975</v>
      </c>
      <c r="B8387" s="1">
        <v>45874</v>
      </c>
      <c r="C8387" s="2">
        <v>0.375</v>
      </c>
      <c r="D8387">
        <v>3</v>
      </c>
      <c r="E8387">
        <v>18.2</v>
      </c>
      <c r="F8387">
        <v>64</v>
      </c>
    </row>
    <row r="8388" spans="1:6" x14ac:dyDescent="0.35">
      <c r="A8388">
        <v>1975</v>
      </c>
      <c r="B8388" s="1">
        <v>45874</v>
      </c>
      <c r="C8388" s="2">
        <v>0.41666666666666669</v>
      </c>
      <c r="D8388">
        <v>3</v>
      </c>
      <c r="E8388">
        <v>18.600000000000001</v>
      </c>
      <c r="F8388">
        <v>61</v>
      </c>
    </row>
    <row r="8389" spans="1:6" x14ac:dyDescent="0.35">
      <c r="A8389">
        <v>1975</v>
      </c>
      <c r="B8389" s="1">
        <v>45874</v>
      </c>
      <c r="C8389" s="2">
        <v>0.45833333333333331</v>
      </c>
      <c r="D8389">
        <v>3</v>
      </c>
      <c r="E8389">
        <v>18.899999999999999</v>
      </c>
      <c r="F8389">
        <v>61</v>
      </c>
    </row>
    <row r="8390" spans="1:6" x14ac:dyDescent="0.35">
      <c r="A8390">
        <v>1975</v>
      </c>
      <c r="B8390" s="1">
        <v>45874</v>
      </c>
      <c r="C8390" s="2">
        <v>0.5</v>
      </c>
      <c r="D8390">
        <v>3</v>
      </c>
      <c r="E8390">
        <v>18.899999999999999</v>
      </c>
      <c r="F8390">
        <v>60</v>
      </c>
    </row>
    <row r="8391" spans="1:6" x14ac:dyDescent="0.35">
      <c r="A8391">
        <v>1975</v>
      </c>
      <c r="B8391" s="1">
        <v>45874</v>
      </c>
      <c r="C8391" s="2">
        <v>0.54166666666666663</v>
      </c>
      <c r="D8391">
        <v>3</v>
      </c>
      <c r="E8391">
        <v>19.8</v>
      </c>
      <c r="F8391">
        <v>56</v>
      </c>
    </row>
    <row r="8392" spans="1:6" x14ac:dyDescent="0.35">
      <c r="A8392">
        <v>1975</v>
      </c>
      <c r="B8392" s="1">
        <v>45874</v>
      </c>
      <c r="C8392" s="2">
        <v>0.58333333333333337</v>
      </c>
      <c r="D8392">
        <v>3</v>
      </c>
      <c r="E8392">
        <v>19.5</v>
      </c>
      <c r="F8392">
        <v>56</v>
      </c>
    </row>
    <row r="8393" spans="1:6" x14ac:dyDescent="0.35">
      <c r="A8393">
        <v>1975</v>
      </c>
      <c r="B8393" s="1">
        <v>45874</v>
      </c>
      <c r="C8393" s="2">
        <v>0.625</v>
      </c>
      <c r="D8393">
        <v>3</v>
      </c>
      <c r="E8393">
        <v>19</v>
      </c>
      <c r="F8393">
        <v>58</v>
      </c>
    </row>
    <row r="8394" spans="1:6" x14ac:dyDescent="0.35">
      <c r="A8394">
        <v>1975</v>
      </c>
      <c r="B8394" s="1">
        <v>45874</v>
      </c>
      <c r="C8394" s="2">
        <v>0.66666666666666663</v>
      </c>
      <c r="D8394">
        <v>3</v>
      </c>
      <c r="E8394">
        <v>15</v>
      </c>
      <c r="F8394">
        <v>85</v>
      </c>
    </row>
    <row r="8395" spans="1:6" x14ac:dyDescent="0.35">
      <c r="A8395">
        <v>1975</v>
      </c>
      <c r="B8395" s="1">
        <v>45874</v>
      </c>
      <c r="C8395" s="2">
        <v>0.70833333333333337</v>
      </c>
      <c r="D8395">
        <v>3</v>
      </c>
      <c r="E8395">
        <v>14</v>
      </c>
      <c r="F8395">
        <v>91</v>
      </c>
    </row>
    <row r="8396" spans="1:6" x14ac:dyDescent="0.35">
      <c r="A8396">
        <v>1975</v>
      </c>
      <c r="B8396" s="1">
        <v>45874</v>
      </c>
      <c r="C8396" s="2">
        <v>0.75</v>
      </c>
      <c r="D8396">
        <v>3</v>
      </c>
      <c r="E8396">
        <v>14.7</v>
      </c>
      <c r="F8396">
        <v>87</v>
      </c>
    </row>
    <row r="8397" spans="1:6" x14ac:dyDescent="0.35">
      <c r="A8397">
        <v>1975</v>
      </c>
      <c r="B8397" s="1">
        <v>45874</v>
      </c>
      <c r="C8397" s="2">
        <v>0.79166666666666663</v>
      </c>
      <c r="D8397">
        <v>3</v>
      </c>
      <c r="E8397">
        <v>13.5</v>
      </c>
      <c r="F8397">
        <v>86</v>
      </c>
    </row>
    <row r="8398" spans="1:6" x14ac:dyDescent="0.35">
      <c r="A8398">
        <v>1975</v>
      </c>
      <c r="B8398" s="1">
        <v>45874</v>
      </c>
      <c r="C8398" s="2">
        <v>0.83333333333333337</v>
      </c>
      <c r="D8398">
        <v>3</v>
      </c>
      <c r="E8398">
        <v>13.4</v>
      </c>
      <c r="F8398">
        <v>94</v>
      </c>
    </row>
    <row r="8399" spans="1:6" x14ac:dyDescent="0.35">
      <c r="A8399">
        <v>1975</v>
      </c>
      <c r="B8399" s="1">
        <v>45874</v>
      </c>
      <c r="C8399" s="2">
        <v>0.875</v>
      </c>
      <c r="D8399">
        <v>3</v>
      </c>
      <c r="E8399">
        <v>12.1</v>
      </c>
      <c r="F8399">
        <v>91</v>
      </c>
    </row>
    <row r="8400" spans="1:6" x14ac:dyDescent="0.35">
      <c r="A8400">
        <v>1975</v>
      </c>
      <c r="B8400" s="1">
        <v>45874</v>
      </c>
      <c r="C8400" s="2">
        <v>0.91666666666666663</v>
      </c>
      <c r="D8400">
        <v>3</v>
      </c>
      <c r="E8400">
        <v>12.7</v>
      </c>
      <c r="F8400">
        <v>94</v>
      </c>
    </row>
    <row r="8401" spans="1:6" x14ac:dyDescent="0.35">
      <c r="A8401">
        <v>1975</v>
      </c>
      <c r="B8401" s="1">
        <v>45874</v>
      </c>
      <c r="C8401" s="2">
        <v>0.95833333333333337</v>
      </c>
      <c r="D8401">
        <v>3</v>
      </c>
      <c r="E8401">
        <v>12.7</v>
      </c>
      <c r="F8401">
        <v>93</v>
      </c>
    </row>
    <row r="8402" spans="1:6" x14ac:dyDescent="0.35">
      <c r="A8402">
        <v>1975</v>
      </c>
      <c r="B8402" s="1">
        <v>45875</v>
      </c>
      <c r="C8402" s="2">
        <v>0</v>
      </c>
      <c r="D8402">
        <v>3</v>
      </c>
      <c r="E8402">
        <v>12.4</v>
      </c>
      <c r="F8402">
        <v>94</v>
      </c>
    </row>
    <row r="8403" spans="1:6" x14ac:dyDescent="0.35">
      <c r="A8403">
        <v>1975</v>
      </c>
      <c r="B8403" s="1">
        <v>45875</v>
      </c>
      <c r="C8403" s="2">
        <v>4.1666666666666657E-2</v>
      </c>
      <c r="D8403">
        <v>3</v>
      </c>
      <c r="E8403">
        <v>12</v>
      </c>
      <c r="F8403">
        <v>95</v>
      </c>
    </row>
    <row r="8404" spans="1:6" x14ac:dyDescent="0.35">
      <c r="A8404">
        <v>1975</v>
      </c>
      <c r="B8404" s="1">
        <v>45875</v>
      </c>
      <c r="C8404" s="2">
        <v>8.3333333333333329E-2</v>
      </c>
      <c r="D8404">
        <v>3</v>
      </c>
      <c r="E8404">
        <v>12</v>
      </c>
      <c r="F8404">
        <v>95</v>
      </c>
    </row>
    <row r="8405" spans="1:6" x14ac:dyDescent="0.35">
      <c r="A8405">
        <v>1975</v>
      </c>
      <c r="B8405" s="1">
        <v>45875</v>
      </c>
      <c r="C8405" s="2">
        <v>0.125</v>
      </c>
      <c r="D8405">
        <v>3</v>
      </c>
      <c r="E8405">
        <v>12.3</v>
      </c>
      <c r="F8405">
        <v>94</v>
      </c>
    </row>
    <row r="8406" spans="1:6" x14ac:dyDescent="0.35">
      <c r="A8406">
        <v>1975</v>
      </c>
      <c r="B8406" s="1">
        <v>45875</v>
      </c>
      <c r="C8406" s="2">
        <v>0.16666666666666671</v>
      </c>
      <c r="D8406">
        <v>3</v>
      </c>
      <c r="E8406">
        <v>12.3</v>
      </c>
      <c r="F8406">
        <v>96</v>
      </c>
    </row>
    <row r="8407" spans="1:6" x14ac:dyDescent="0.35">
      <c r="A8407">
        <v>1975</v>
      </c>
      <c r="B8407" s="1">
        <v>45875</v>
      </c>
      <c r="C8407" s="2">
        <v>0.20833333333333329</v>
      </c>
      <c r="D8407">
        <v>3</v>
      </c>
      <c r="E8407">
        <v>12.2</v>
      </c>
      <c r="F8407">
        <v>96</v>
      </c>
    </row>
    <row r="8408" spans="1:6" x14ac:dyDescent="0.35">
      <c r="A8408">
        <v>1975</v>
      </c>
      <c r="B8408" s="1">
        <v>45875</v>
      </c>
      <c r="C8408" s="2">
        <v>0.25</v>
      </c>
      <c r="D8408">
        <v>3</v>
      </c>
      <c r="E8408">
        <v>13.1</v>
      </c>
      <c r="F8408">
        <v>93</v>
      </c>
    </row>
    <row r="8409" spans="1:6" x14ac:dyDescent="0.35">
      <c r="A8409">
        <v>1975</v>
      </c>
      <c r="B8409" s="1">
        <v>45875</v>
      </c>
      <c r="C8409" s="2">
        <v>0.29166666666666669</v>
      </c>
      <c r="D8409">
        <v>3</v>
      </c>
      <c r="E8409">
        <v>14.6</v>
      </c>
      <c r="F8409">
        <v>87</v>
      </c>
    </row>
    <row r="8410" spans="1:6" x14ac:dyDescent="0.35">
      <c r="A8410">
        <v>1975</v>
      </c>
      <c r="B8410" s="1">
        <v>45875</v>
      </c>
      <c r="C8410" s="2">
        <v>0.33333333333333331</v>
      </c>
      <c r="D8410">
        <v>3</v>
      </c>
      <c r="E8410">
        <v>15.5</v>
      </c>
      <c r="F8410">
        <v>81</v>
      </c>
    </row>
    <row r="8411" spans="1:6" x14ac:dyDescent="0.35">
      <c r="A8411">
        <v>1975</v>
      </c>
      <c r="B8411" s="1">
        <v>45875</v>
      </c>
      <c r="C8411" s="2">
        <v>0.375</v>
      </c>
      <c r="D8411">
        <v>3</v>
      </c>
      <c r="E8411">
        <v>18.100000000000001</v>
      </c>
      <c r="F8411">
        <v>72</v>
      </c>
    </row>
    <row r="8412" spans="1:6" x14ac:dyDescent="0.35">
      <c r="A8412">
        <v>1975</v>
      </c>
      <c r="B8412" s="1">
        <v>45875</v>
      </c>
      <c r="C8412" s="2">
        <v>0.41666666666666669</v>
      </c>
      <c r="D8412">
        <v>3</v>
      </c>
      <c r="E8412">
        <v>18.7</v>
      </c>
      <c r="F8412">
        <v>71</v>
      </c>
    </row>
    <row r="8413" spans="1:6" x14ac:dyDescent="0.35">
      <c r="A8413">
        <v>1975</v>
      </c>
      <c r="B8413" s="1">
        <v>45875</v>
      </c>
      <c r="C8413" s="2">
        <v>0.45833333333333331</v>
      </c>
      <c r="D8413">
        <v>3</v>
      </c>
      <c r="E8413">
        <v>19.3</v>
      </c>
      <c r="F8413">
        <v>58</v>
      </c>
    </row>
    <row r="8414" spans="1:6" x14ac:dyDescent="0.35">
      <c r="A8414">
        <v>1975</v>
      </c>
      <c r="B8414" s="1">
        <v>45875</v>
      </c>
      <c r="C8414" s="2">
        <v>0.5</v>
      </c>
      <c r="D8414">
        <v>3</v>
      </c>
      <c r="E8414">
        <v>19.8</v>
      </c>
      <c r="F8414">
        <v>56</v>
      </c>
    </row>
    <row r="8415" spans="1:6" x14ac:dyDescent="0.35">
      <c r="A8415">
        <v>1975</v>
      </c>
      <c r="B8415" s="1">
        <v>45875</v>
      </c>
      <c r="C8415" s="2">
        <v>0.54166666666666663</v>
      </c>
      <c r="D8415">
        <v>3</v>
      </c>
      <c r="E8415">
        <v>18.399999999999999</v>
      </c>
      <c r="F8415">
        <v>65</v>
      </c>
    </row>
    <row r="8416" spans="1:6" x14ac:dyDescent="0.35">
      <c r="A8416">
        <v>1975</v>
      </c>
      <c r="B8416" s="1">
        <v>45875</v>
      </c>
      <c r="C8416" s="2">
        <v>0.58333333333333337</v>
      </c>
      <c r="D8416">
        <v>3</v>
      </c>
      <c r="E8416">
        <v>18.2</v>
      </c>
      <c r="F8416">
        <v>65</v>
      </c>
    </row>
    <row r="8417" spans="1:6" x14ac:dyDescent="0.35">
      <c r="A8417">
        <v>1975</v>
      </c>
      <c r="B8417" s="1">
        <v>45875</v>
      </c>
      <c r="C8417" s="2">
        <v>0.625</v>
      </c>
      <c r="D8417">
        <v>3</v>
      </c>
      <c r="E8417">
        <v>18.7</v>
      </c>
      <c r="F8417">
        <v>64</v>
      </c>
    </row>
    <row r="8418" spans="1:6" x14ac:dyDescent="0.35">
      <c r="A8418">
        <v>1975</v>
      </c>
      <c r="B8418" s="1">
        <v>45875</v>
      </c>
      <c r="C8418" s="2">
        <v>0.66666666666666663</v>
      </c>
      <c r="D8418">
        <v>3</v>
      </c>
      <c r="E8418">
        <v>18.399999999999999</v>
      </c>
      <c r="F8418">
        <v>63</v>
      </c>
    </row>
    <row r="8419" spans="1:6" x14ac:dyDescent="0.35">
      <c r="A8419">
        <v>1975</v>
      </c>
      <c r="B8419" s="1">
        <v>45875</v>
      </c>
      <c r="C8419" s="2">
        <v>0.70833333333333337</v>
      </c>
      <c r="D8419">
        <v>3</v>
      </c>
      <c r="E8419">
        <v>17.8</v>
      </c>
      <c r="F8419">
        <v>68</v>
      </c>
    </row>
    <row r="8420" spans="1:6" x14ac:dyDescent="0.35">
      <c r="A8420">
        <v>1975</v>
      </c>
      <c r="B8420" s="1">
        <v>45875</v>
      </c>
      <c r="C8420" s="2">
        <v>0.75</v>
      </c>
      <c r="D8420">
        <v>3</v>
      </c>
      <c r="E8420">
        <v>16.399999999999999</v>
      </c>
      <c r="F8420">
        <v>78</v>
      </c>
    </row>
    <row r="8421" spans="1:6" x14ac:dyDescent="0.35">
      <c r="A8421">
        <v>1975</v>
      </c>
      <c r="B8421" s="1">
        <v>45875</v>
      </c>
      <c r="C8421" s="2">
        <v>0.79166666666666663</v>
      </c>
      <c r="D8421">
        <v>3</v>
      </c>
      <c r="E8421">
        <v>16.2</v>
      </c>
      <c r="F8421">
        <v>83</v>
      </c>
    </row>
    <row r="8422" spans="1:6" x14ac:dyDescent="0.35">
      <c r="A8422">
        <v>1975</v>
      </c>
      <c r="B8422" s="1">
        <v>45875</v>
      </c>
      <c r="C8422" s="2">
        <v>0.83333333333333337</v>
      </c>
      <c r="D8422">
        <v>3</v>
      </c>
      <c r="E8422">
        <v>15.7</v>
      </c>
      <c r="F8422">
        <v>87</v>
      </c>
    </row>
    <row r="8423" spans="1:6" x14ac:dyDescent="0.35">
      <c r="A8423">
        <v>1975</v>
      </c>
      <c r="B8423" s="1">
        <v>45875</v>
      </c>
      <c r="C8423" s="2">
        <v>0.875</v>
      </c>
      <c r="D8423">
        <v>3</v>
      </c>
      <c r="E8423">
        <v>15.3</v>
      </c>
      <c r="F8423">
        <v>89</v>
      </c>
    </row>
    <row r="8424" spans="1:6" x14ac:dyDescent="0.35">
      <c r="A8424">
        <v>1975</v>
      </c>
      <c r="B8424" s="1">
        <v>45875</v>
      </c>
      <c r="C8424" s="2">
        <v>0.91666666666666663</v>
      </c>
      <c r="D8424">
        <v>3</v>
      </c>
      <c r="E8424">
        <v>15</v>
      </c>
      <c r="F8424">
        <v>92</v>
      </c>
    </row>
    <row r="8425" spans="1:6" x14ac:dyDescent="0.35">
      <c r="A8425">
        <v>1975</v>
      </c>
      <c r="B8425" s="1">
        <v>45875</v>
      </c>
      <c r="C8425" s="2">
        <v>0.95833333333333337</v>
      </c>
      <c r="D8425">
        <v>3</v>
      </c>
      <c r="E8425">
        <v>13.9</v>
      </c>
      <c r="F8425">
        <v>96</v>
      </c>
    </row>
    <row r="8426" spans="1:6" x14ac:dyDescent="0.35">
      <c r="A8426">
        <v>1975</v>
      </c>
      <c r="B8426" s="1">
        <v>45876</v>
      </c>
      <c r="C8426" s="2">
        <v>0</v>
      </c>
      <c r="D8426">
        <v>3</v>
      </c>
      <c r="E8426">
        <v>14.2</v>
      </c>
      <c r="F8426">
        <v>93</v>
      </c>
    </row>
    <row r="8427" spans="1:6" x14ac:dyDescent="0.35">
      <c r="A8427">
        <v>1975</v>
      </c>
      <c r="B8427" s="1">
        <v>45876</v>
      </c>
      <c r="C8427" s="2">
        <v>4.1666666666666657E-2</v>
      </c>
      <c r="D8427">
        <v>3</v>
      </c>
      <c r="E8427">
        <v>13.3</v>
      </c>
      <c r="F8427">
        <v>96</v>
      </c>
    </row>
    <row r="8428" spans="1:6" x14ac:dyDescent="0.35">
      <c r="A8428">
        <v>1975</v>
      </c>
      <c r="B8428" s="1">
        <v>45876</v>
      </c>
      <c r="C8428" s="2">
        <v>8.3333333333333329E-2</v>
      </c>
      <c r="D8428">
        <v>3</v>
      </c>
      <c r="E8428">
        <v>12.5</v>
      </c>
      <c r="F8428">
        <v>100</v>
      </c>
    </row>
    <row r="8429" spans="1:6" x14ac:dyDescent="0.35">
      <c r="A8429">
        <v>1975</v>
      </c>
      <c r="B8429" s="1">
        <v>45876</v>
      </c>
      <c r="C8429" s="2">
        <v>0.125</v>
      </c>
      <c r="D8429">
        <v>3</v>
      </c>
      <c r="E8429">
        <v>12.6</v>
      </c>
      <c r="F8429">
        <v>100</v>
      </c>
    </row>
    <row r="8430" spans="1:6" x14ac:dyDescent="0.35">
      <c r="A8430">
        <v>1975</v>
      </c>
      <c r="B8430" s="1">
        <v>45876</v>
      </c>
      <c r="C8430" s="2">
        <v>0.16666666666666671</v>
      </c>
      <c r="D8430">
        <v>3</v>
      </c>
      <c r="E8430">
        <v>12.9</v>
      </c>
      <c r="F8430">
        <v>99</v>
      </c>
    </row>
    <row r="8431" spans="1:6" x14ac:dyDescent="0.35">
      <c r="A8431">
        <v>1975</v>
      </c>
      <c r="B8431" s="1">
        <v>45876</v>
      </c>
      <c r="C8431" s="2">
        <v>0.20833333333333329</v>
      </c>
      <c r="D8431">
        <v>3</v>
      </c>
      <c r="E8431">
        <v>14.1</v>
      </c>
      <c r="F8431">
        <v>90</v>
      </c>
    </row>
    <row r="8432" spans="1:6" x14ac:dyDescent="0.35">
      <c r="A8432">
        <v>1975</v>
      </c>
      <c r="B8432" s="1">
        <v>45876</v>
      </c>
      <c r="C8432" s="2">
        <v>0.25</v>
      </c>
      <c r="D8432">
        <v>3</v>
      </c>
      <c r="E8432">
        <v>14.6</v>
      </c>
      <c r="F8432">
        <v>88</v>
      </c>
    </row>
    <row r="8433" spans="1:6" x14ac:dyDescent="0.35">
      <c r="A8433">
        <v>1975</v>
      </c>
      <c r="B8433" s="1">
        <v>45876</v>
      </c>
      <c r="C8433" s="2">
        <v>0.29166666666666669</v>
      </c>
      <c r="D8433">
        <v>3</v>
      </c>
      <c r="E8433">
        <v>16.5</v>
      </c>
      <c r="F8433">
        <v>81</v>
      </c>
    </row>
    <row r="8434" spans="1:6" x14ac:dyDescent="0.35">
      <c r="A8434">
        <v>1975</v>
      </c>
      <c r="B8434" s="1">
        <v>45876</v>
      </c>
      <c r="C8434" s="2">
        <v>0.33333333333333331</v>
      </c>
      <c r="D8434">
        <v>3</v>
      </c>
      <c r="E8434">
        <v>18.399999999999999</v>
      </c>
      <c r="F8434">
        <v>70</v>
      </c>
    </row>
    <row r="8435" spans="1:6" x14ac:dyDescent="0.35">
      <c r="A8435">
        <v>1975</v>
      </c>
      <c r="B8435" s="1">
        <v>45876</v>
      </c>
      <c r="C8435" s="2">
        <v>0.375</v>
      </c>
      <c r="D8435">
        <v>3</v>
      </c>
      <c r="E8435">
        <v>19.7</v>
      </c>
      <c r="F8435">
        <v>63</v>
      </c>
    </row>
    <row r="8436" spans="1:6" x14ac:dyDescent="0.35">
      <c r="A8436">
        <v>1975</v>
      </c>
      <c r="B8436" s="1">
        <v>45876</v>
      </c>
      <c r="C8436" s="2">
        <v>0.41666666666666669</v>
      </c>
      <c r="D8436">
        <v>3</v>
      </c>
      <c r="E8436">
        <v>21.1</v>
      </c>
      <c r="F8436">
        <v>57</v>
      </c>
    </row>
    <row r="8437" spans="1:6" x14ac:dyDescent="0.35">
      <c r="A8437">
        <v>1975</v>
      </c>
      <c r="B8437" s="1">
        <v>45876</v>
      </c>
      <c r="C8437" s="2">
        <v>0.45833333333333331</v>
      </c>
      <c r="D8437">
        <v>3</v>
      </c>
      <c r="E8437">
        <v>21.3</v>
      </c>
      <c r="F8437">
        <v>54</v>
      </c>
    </row>
    <row r="8438" spans="1:6" x14ac:dyDescent="0.35">
      <c r="A8438">
        <v>1975</v>
      </c>
      <c r="B8438" s="1">
        <v>45876</v>
      </c>
      <c r="C8438" s="2">
        <v>0.5</v>
      </c>
      <c r="D8438">
        <v>3</v>
      </c>
      <c r="E8438">
        <v>22.1</v>
      </c>
      <c r="F8438">
        <v>52</v>
      </c>
    </row>
    <row r="8439" spans="1:6" x14ac:dyDescent="0.35">
      <c r="A8439">
        <v>1975</v>
      </c>
      <c r="B8439" s="1">
        <v>45876</v>
      </c>
      <c r="C8439" s="2">
        <v>0.54166666666666663</v>
      </c>
      <c r="D8439">
        <v>3</v>
      </c>
      <c r="E8439">
        <v>21.7</v>
      </c>
      <c r="F8439">
        <v>54</v>
      </c>
    </row>
    <row r="8440" spans="1:6" x14ac:dyDescent="0.35">
      <c r="A8440">
        <v>1975</v>
      </c>
      <c r="B8440" s="1">
        <v>45876</v>
      </c>
      <c r="C8440" s="2">
        <v>0.58333333333333337</v>
      </c>
      <c r="D8440">
        <v>3</v>
      </c>
      <c r="E8440">
        <v>22.3</v>
      </c>
      <c r="F8440">
        <v>54</v>
      </c>
    </row>
    <row r="8441" spans="1:6" x14ac:dyDescent="0.35">
      <c r="A8441">
        <v>1975</v>
      </c>
      <c r="B8441" s="1">
        <v>45876</v>
      </c>
      <c r="C8441" s="2">
        <v>0.625</v>
      </c>
      <c r="D8441">
        <v>3</v>
      </c>
      <c r="E8441">
        <v>23.3</v>
      </c>
      <c r="F8441">
        <v>52</v>
      </c>
    </row>
    <row r="8442" spans="1:6" x14ac:dyDescent="0.35">
      <c r="A8442">
        <v>1975</v>
      </c>
      <c r="B8442" s="1">
        <v>45876</v>
      </c>
      <c r="C8442" s="2">
        <v>0.66666666666666663</v>
      </c>
      <c r="D8442">
        <v>3</v>
      </c>
      <c r="E8442">
        <v>23</v>
      </c>
      <c r="F8442">
        <v>52</v>
      </c>
    </row>
    <row r="8443" spans="1:6" x14ac:dyDescent="0.35">
      <c r="A8443">
        <v>1975</v>
      </c>
      <c r="B8443" s="1">
        <v>45876</v>
      </c>
      <c r="C8443" s="2">
        <v>0.70833333333333337</v>
      </c>
      <c r="D8443">
        <v>3</v>
      </c>
      <c r="E8443">
        <v>22.6</v>
      </c>
      <c r="F8443">
        <v>55</v>
      </c>
    </row>
    <row r="8444" spans="1:6" x14ac:dyDescent="0.35">
      <c r="A8444">
        <v>1975</v>
      </c>
      <c r="B8444" s="1">
        <v>45876</v>
      </c>
      <c r="C8444" s="2">
        <v>0.75</v>
      </c>
      <c r="D8444">
        <v>3</v>
      </c>
      <c r="E8444">
        <v>21.8</v>
      </c>
      <c r="F8444">
        <v>60</v>
      </c>
    </row>
    <row r="8445" spans="1:6" x14ac:dyDescent="0.35">
      <c r="A8445">
        <v>1975</v>
      </c>
      <c r="B8445" s="1">
        <v>45876</v>
      </c>
      <c r="C8445" s="2">
        <v>0.79166666666666663</v>
      </c>
      <c r="D8445">
        <v>3</v>
      </c>
      <c r="E8445">
        <v>20.2</v>
      </c>
      <c r="F8445">
        <v>70</v>
      </c>
    </row>
    <row r="8446" spans="1:6" x14ac:dyDescent="0.35">
      <c r="A8446">
        <v>1975</v>
      </c>
      <c r="B8446" s="1">
        <v>45876</v>
      </c>
      <c r="C8446" s="2">
        <v>0.83333333333333337</v>
      </c>
      <c r="D8446">
        <v>3</v>
      </c>
      <c r="E8446">
        <v>20.100000000000001</v>
      </c>
      <c r="F8446">
        <v>68</v>
      </c>
    </row>
    <row r="8447" spans="1:6" x14ac:dyDescent="0.35">
      <c r="A8447">
        <v>1975</v>
      </c>
      <c r="B8447" s="1">
        <v>45876</v>
      </c>
      <c r="C8447" s="2">
        <v>0.875</v>
      </c>
      <c r="D8447">
        <v>3</v>
      </c>
      <c r="E8447">
        <v>19.3</v>
      </c>
      <c r="F8447">
        <v>68</v>
      </c>
    </row>
    <row r="8448" spans="1:6" x14ac:dyDescent="0.35">
      <c r="A8448">
        <v>1975</v>
      </c>
      <c r="B8448" s="1">
        <v>45876</v>
      </c>
      <c r="C8448" s="2">
        <v>0.91666666666666663</v>
      </c>
      <c r="D8448">
        <v>3</v>
      </c>
      <c r="E8448">
        <v>18.600000000000001</v>
      </c>
      <c r="F8448">
        <v>65</v>
      </c>
    </row>
    <row r="8449" spans="1:6" x14ac:dyDescent="0.35">
      <c r="A8449">
        <v>1975</v>
      </c>
      <c r="B8449" s="1">
        <v>45876</v>
      </c>
      <c r="C8449" s="2">
        <v>0.95833333333333337</v>
      </c>
      <c r="D8449">
        <v>3</v>
      </c>
      <c r="E8449">
        <v>18.100000000000001</v>
      </c>
      <c r="F8449">
        <v>68</v>
      </c>
    </row>
    <row r="8450" spans="1:6" x14ac:dyDescent="0.35">
      <c r="A8450">
        <v>1975</v>
      </c>
      <c r="B8450" s="1">
        <v>45877</v>
      </c>
      <c r="C8450" s="2">
        <v>0</v>
      </c>
      <c r="D8450">
        <v>3</v>
      </c>
      <c r="E8450">
        <v>18.7</v>
      </c>
      <c r="F8450">
        <v>63</v>
      </c>
    </row>
    <row r="8451" spans="1:6" x14ac:dyDescent="0.35">
      <c r="A8451">
        <v>1975</v>
      </c>
      <c r="B8451" s="1">
        <v>45877</v>
      </c>
      <c r="C8451" s="2">
        <v>4.1666666666666657E-2</v>
      </c>
      <c r="D8451">
        <v>3</v>
      </c>
      <c r="E8451">
        <v>16.899999999999999</v>
      </c>
      <c r="F8451">
        <v>73</v>
      </c>
    </row>
    <row r="8452" spans="1:6" x14ac:dyDescent="0.35">
      <c r="A8452">
        <v>1975</v>
      </c>
      <c r="B8452" s="1">
        <v>45877</v>
      </c>
      <c r="C8452" s="2">
        <v>8.3333333333333329E-2</v>
      </c>
      <c r="D8452">
        <v>3</v>
      </c>
      <c r="E8452">
        <v>15.5</v>
      </c>
      <c r="F8452">
        <v>86</v>
      </c>
    </row>
    <row r="8453" spans="1:6" x14ac:dyDescent="0.35">
      <c r="A8453">
        <v>1975</v>
      </c>
      <c r="B8453" s="1">
        <v>45877</v>
      </c>
      <c r="C8453" s="2">
        <v>0.125</v>
      </c>
      <c r="D8453">
        <v>3</v>
      </c>
      <c r="E8453">
        <v>16</v>
      </c>
      <c r="F8453">
        <v>82</v>
      </c>
    </row>
    <row r="8454" spans="1:6" x14ac:dyDescent="0.35">
      <c r="A8454">
        <v>1975</v>
      </c>
      <c r="B8454" s="1">
        <v>45877</v>
      </c>
      <c r="C8454" s="2">
        <v>0.16666666666666671</v>
      </c>
      <c r="D8454">
        <v>3</v>
      </c>
      <c r="E8454">
        <v>15.8</v>
      </c>
      <c r="F8454">
        <v>81</v>
      </c>
    </row>
    <row r="8455" spans="1:6" x14ac:dyDescent="0.35">
      <c r="A8455">
        <v>1975</v>
      </c>
      <c r="B8455" s="1">
        <v>45877</v>
      </c>
      <c r="C8455" s="2">
        <v>0.20833333333333329</v>
      </c>
      <c r="D8455">
        <v>3</v>
      </c>
      <c r="E8455">
        <v>16.8</v>
      </c>
      <c r="F8455">
        <v>79</v>
      </c>
    </row>
    <row r="8456" spans="1:6" x14ac:dyDescent="0.35">
      <c r="A8456">
        <v>1975</v>
      </c>
      <c r="B8456" s="1">
        <v>45877</v>
      </c>
      <c r="C8456" s="2">
        <v>0.25</v>
      </c>
      <c r="D8456">
        <v>3</v>
      </c>
      <c r="E8456">
        <v>18.100000000000001</v>
      </c>
      <c r="F8456">
        <v>76</v>
      </c>
    </row>
    <row r="8457" spans="1:6" x14ac:dyDescent="0.35">
      <c r="A8457">
        <v>1975</v>
      </c>
      <c r="B8457" s="1">
        <v>45877</v>
      </c>
      <c r="C8457" s="2">
        <v>0.29166666666666669</v>
      </c>
      <c r="D8457">
        <v>3</v>
      </c>
      <c r="E8457">
        <v>19.600000000000001</v>
      </c>
      <c r="F8457">
        <v>67</v>
      </c>
    </row>
    <row r="8458" spans="1:6" x14ac:dyDescent="0.35">
      <c r="A8458">
        <v>1975</v>
      </c>
      <c r="B8458" s="1">
        <v>45877</v>
      </c>
      <c r="C8458" s="2">
        <v>0.33333333333333331</v>
      </c>
      <c r="D8458">
        <v>3</v>
      </c>
      <c r="E8458">
        <v>20.100000000000001</v>
      </c>
      <c r="F8458">
        <v>67</v>
      </c>
    </row>
    <row r="8459" spans="1:6" x14ac:dyDescent="0.35">
      <c r="A8459">
        <v>1975</v>
      </c>
      <c r="B8459" s="1">
        <v>45877</v>
      </c>
      <c r="C8459" s="2">
        <v>0.375</v>
      </c>
      <c r="D8459">
        <v>3</v>
      </c>
      <c r="E8459">
        <v>21.1</v>
      </c>
      <c r="F8459">
        <v>66</v>
      </c>
    </row>
    <row r="8460" spans="1:6" x14ac:dyDescent="0.35">
      <c r="A8460">
        <v>1975</v>
      </c>
      <c r="B8460" s="1">
        <v>45877</v>
      </c>
      <c r="C8460" s="2">
        <v>0.41666666666666669</v>
      </c>
      <c r="D8460">
        <v>3</v>
      </c>
      <c r="E8460">
        <v>21.9</v>
      </c>
      <c r="F8460">
        <v>61</v>
      </c>
    </row>
    <row r="8461" spans="1:6" x14ac:dyDescent="0.35">
      <c r="A8461">
        <v>1975</v>
      </c>
      <c r="B8461" s="1">
        <v>45877</v>
      </c>
      <c r="C8461" s="2">
        <v>0.45833333333333331</v>
      </c>
      <c r="D8461">
        <v>3</v>
      </c>
      <c r="E8461">
        <v>22.6</v>
      </c>
      <c r="F8461">
        <v>59</v>
      </c>
    </row>
    <row r="8462" spans="1:6" x14ac:dyDescent="0.35">
      <c r="A8462">
        <v>1975</v>
      </c>
      <c r="B8462" s="1">
        <v>45877</v>
      </c>
      <c r="C8462" s="2">
        <v>0.5</v>
      </c>
      <c r="D8462">
        <v>3</v>
      </c>
      <c r="E8462">
        <v>23.6</v>
      </c>
      <c r="F8462">
        <v>60</v>
      </c>
    </row>
    <row r="8463" spans="1:6" x14ac:dyDescent="0.35">
      <c r="A8463">
        <v>1975</v>
      </c>
      <c r="B8463" s="1">
        <v>45877</v>
      </c>
      <c r="C8463" s="2">
        <v>0.54166666666666663</v>
      </c>
      <c r="D8463">
        <v>3</v>
      </c>
      <c r="E8463">
        <v>23.3</v>
      </c>
      <c r="F8463">
        <v>64</v>
      </c>
    </row>
    <row r="8464" spans="1:6" x14ac:dyDescent="0.35">
      <c r="A8464">
        <v>1975</v>
      </c>
      <c r="B8464" s="1">
        <v>45877</v>
      </c>
      <c r="C8464" s="2">
        <v>0.58333333333333337</v>
      </c>
      <c r="D8464">
        <v>3</v>
      </c>
      <c r="E8464">
        <v>23.5</v>
      </c>
      <c r="F8464">
        <v>66</v>
      </c>
    </row>
    <row r="8465" spans="1:6" x14ac:dyDescent="0.35">
      <c r="A8465">
        <v>1975</v>
      </c>
      <c r="B8465" s="1">
        <v>45877</v>
      </c>
      <c r="C8465" s="2">
        <v>0.625</v>
      </c>
      <c r="D8465">
        <v>3</v>
      </c>
      <c r="E8465">
        <v>22.3</v>
      </c>
      <c r="F8465">
        <v>73</v>
      </c>
    </row>
    <row r="8466" spans="1:6" x14ac:dyDescent="0.35">
      <c r="A8466">
        <v>1975</v>
      </c>
      <c r="B8466" s="1">
        <v>45877</v>
      </c>
      <c r="C8466" s="2">
        <v>0.66666666666666663</v>
      </c>
      <c r="D8466">
        <v>3</v>
      </c>
      <c r="E8466">
        <v>22</v>
      </c>
      <c r="F8466">
        <v>62</v>
      </c>
    </row>
    <row r="8467" spans="1:6" x14ac:dyDescent="0.35">
      <c r="A8467">
        <v>1975</v>
      </c>
      <c r="B8467" s="1">
        <v>45877</v>
      </c>
      <c r="C8467" s="2">
        <v>0.70833333333333337</v>
      </c>
      <c r="D8467">
        <v>3</v>
      </c>
      <c r="E8467">
        <v>20.7</v>
      </c>
      <c r="F8467">
        <v>54</v>
      </c>
    </row>
    <row r="8468" spans="1:6" x14ac:dyDescent="0.35">
      <c r="A8468">
        <v>1975</v>
      </c>
      <c r="B8468" s="1">
        <v>45877</v>
      </c>
      <c r="C8468" s="2">
        <v>0.75</v>
      </c>
      <c r="D8468">
        <v>3</v>
      </c>
      <c r="E8468">
        <v>20.100000000000001</v>
      </c>
      <c r="F8468">
        <v>58</v>
      </c>
    </row>
    <row r="8469" spans="1:6" x14ac:dyDescent="0.35">
      <c r="A8469">
        <v>1975</v>
      </c>
      <c r="B8469" s="1">
        <v>45877</v>
      </c>
      <c r="C8469" s="2">
        <v>0.79166666666666663</v>
      </c>
      <c r="D8469">
        <v>3</v>
      </c>
      <c r="E8469">
        <v>18.5</v>
      </c>
      <c r="F8469">
        <v>69</v>
      </c>
    </row>
    <row r="8470" spans="1:6" x14ac:dyDescent="0.35">
      <c r="A8470">
        <v>1975</v>
      </c>
      <c r="B8470" s="1">
        <v>45877</v>
      </c>
      <c r="C8470" s="2">
        <v>0.83333333333333337</v>
      </c>
      <c r="D8470">
        <v>3</v>
      </c>
      <c r="E8470">
        <v>15.9</v>
      </c>
      <c r="F8470">
        <v>86</v>
      </c>
    </row>
    <row r="8471" spans="1:6" x14ac:dyDescent="0.35">
      <c r="A8471">
        <v>1975</v>
      </c>
      <c r="B8471" s="1">
        <v>45877</v>
      </c>
      <c r="C8471" s="2">
        <v>0.875</v>
      </c>
      <c r="D8471">
        <v>3</v>
      </c>
      <c r="E8471">
        <v>14.3</v>
      </c>
      <c r="F8471">
        <v>95</v>
      </c>
    </row>
    <row r="8472" spans="1:6" x14ac:dyDescent="0.35">
      <c r="A8472">
        <v>1975</v>
      </c>
      <c r="B8472" s="1">
        <v>45877</v>
      </c>
      <c r="C8472" s="2">
        <v>0.91666666666666663</v>
      </c>
      <c r="D8472">
        <v>3</v>
      </c>
      <c r="E8472">
        <v>13.5</v>
      </c>
      <c r="F8472">
        <v>99</v>
      </c>
    </row>
    <row r="8473" spans="1:6" x14ac:dyDescent="0.35">
      <c r="A8473">
        <v>1975</v>
      </c>
      <c r="B8473" s="1">
        <v>45877</v>
      </c>
      <c r="C8473" s="2">
        <v>0.95833333333333337</v>
      </c>
      <c r="D8473">
        <v>3</v>
      </c>
      <c r="E8473">
        <v>12.9</v>
      </c>
      <c r="F8473">
        <v>100</v>
      </c>
    </row>
    <row r="8474" spans="1:6" x14ac:dyDescent="0.35">
      <c r="A8474">
        <v>1975</v>
      </c>
      <c r="B8474" s="1">
        <v>45878</v>
      </c>
      <c r="C8474" s="2">
        <v>0</v>
      </c>
      <c r="D8474">
        <v>3</v>
      </c>
      <c r="E8474">
        <v>12.4</v>
      </c>
      <c r="F8474">
        <v>100</v>
      </c>
    </row>
    <row r="8475" spans="1:6" x14ac:dyDescent="0.35">
      <c r="A8475">
        <v>1975</v>
      </c>
      <c r="B8475" s="1">
        <v>45878</v>
      </c>
      <c r="C8475" s="2">
        <v>4.1666666666666657E-2</v>
      </c>
      <c r="D8475">
        <v>3</v>
      </c>
      <c r="E8475">
        <v>11.9</v>
      </c>
      <c r="F8475">
        <v>100</v>
      </c>
    </row>
    <row r="8476" spans="1:6" x14ac:dyDescent="0.35">
      <c r="A8476">
        <v>1975</v>
      </c>
      <c r="B8476" s="1">
        <v>45878</v>
      </c>
      <c r="C8476" s="2">
        <v>8.3333333333333329E-2</v>
      </c>
      <c r="D8476">
        <v>3</v>
      </c>
      <c r="E8476">
        <v>11.4</v>
      </c>
      <c r="F8476">
        <v>100</v>
      </c>
    </row>
    <row r="8477" spans="1:6" x14ac:dyDescent="0.35">
      <c r="A8477">
        <v>1975</v>
      </c>
      <c r="B8477" s="1">
        <v>45878</v>
      </c>
      <c r="C8477" s="2">
        <v>0.125</v>
      </c>
      <c r="D8477">
        <v>3</v>
      </c>
      <c r="E8477">
        <v>11.3</v>
      </c>
      <c r="F8477">
        <v>100</v>
      </c>
    </row>
    <row r="8478" spans="1:6" x14ac:dyDescent="0.35">
      <c r="A8478">
        <v>1975</v>
      </c>
      <c r="B8478" s="1">
        <v>45878</v>
      </c>
      <c r="C8478" s="2">
        <v>0.16666666666666671</v>
      </c>
      <c r="D8478">
        <v>3</v>
      </c>
      <c r="E8478">
        <v>11.2</v>
      </c>
      <c r="F8478">
        <v>100</v>
      </c>
    </row>
    <row r="8479" spans="1:6" x14ac:dyDescent="0.35">
      <c r="A8479">
        <v>1975</v>
      </c>
      <c r="B8479" s="1">
        <v>45878</v>
      </c>
      <c r="C8479" s="2">
        <v>0.20833333333333329</v>
      </c>
      <c r="D8479">
        <v>3</v>
      </c>
      <c r="E8479">
        <v>11.8</v>
      </c>
      <c r="F8479">
        <v>100</v>
      </c>
    </row>
    <row r="8480" spans="1:6" x14ac:dyDescent="0.35">
      <c r="A8480">
        <v>1975</v>
      </c>
      <c r="B8480" s="1">
        <v>45878</v>
      </c>
      <c r="C8480" s="2">
        <v>0.25</v>
      </c>
      <c r="D8480">
        <v>3</v>
      </c>
      <c r="E8480">
        <v>15</v>
      </c>
      <c r="F8480">
        <v>90</v>
      </c>
    </row>
    <row r="8481" spans="1:6" x14ac:dyDescent="0.35">
      <c r="A8481">
        <v>1975</v>
      </c>
      <c r="B8481" s="1">
        <v>45878</v>
      </c>
      <c r="C8481" s="2">
        <v>0.29166666666666669</v>
      </c>
      <c r="D8481">
        <v>3</v>
      </c>
      <c r="E8481">
        <v>17.399999999999999</v>
      </c>
      <c r="F8481">
        <v>79</v>
      </c>
    </row>
    <row r="8482" spans="1:6" x14ac:dyDescent="0.35">
      <c r="A8482">
        <v>1975</v>
      </c>
      <c r="B8482" s="1">
        <v>45878</v>
      </c>
      <c r="C8482" s="2">
        <v>0.33333333333333331</v>
      </c>
      <c r="D8482">
        <v>3</v>
      </c>
      <c r="E8482">
        <v>19.100000000000001</v>
      </c>
      <c r="F8482">
        <v>67</v>
      </c>
    </row>
    <row r="8483" spans="1:6" x14ac:dyDescent="0.35">
      <c r="A8483">
        <v>1975</v>
      </c>
      <c r="B8483" s="1">
        <v>45878</v>
      </c>
      <c r="C8483" s="2">
        <v>0.375</v>
      </c>
      <c r="D8483">
        <v>3</v>
      </c>
      <c r="E8483">
        <v>20.6</v>
      </c>
      <c r="F8483">
        <v>64</v>
      </c>
    </row>
    <row r="8484" spans="1:6" x14ac:dyDescent="0.35">
      <c r="A8484">
        <v>1975</v>
      </c>
      <c r="B8484" s="1">
        <v>45878</v>
      </c>
      <c r="C8484" s="2">
        <v>0.41666666666666669</v>
      </c>
      <c r="D8484">
        <v>3</v>
      </c>
      <c r="E8484">
        <v>21.5</v>
      </c>
      <c r="F8484">
        <v>60</v>
      </c>
    </row>
    <row r="8485" spans="1:6" x14ac:dyDescent="0.35">
      <c r="A8485">
        <v>1975</v>
      </c>
      <c r="B8485" s="1">
        <v>45878</v>
      </c>
      <c r="C8485" s="2">
        <v>0.45833333333333331</v>
      </c>
      <c r="D8485">
        <v>3</v>
      </c>
      <c r="E8485">
        <v>23.1</v>
      </c>
      <c r="F8485">
        <v>61</v>
      </c>
    </row>
    <row r="8486" spans="1:6" x14ac:dyDescent="0.35">
      <c r="A8486">
        <v>1975</v>
      </c>
      <c r="B8486" s="1">
        <v>45878</v>
      </c>
      <c r="C8486" s="2">
        <v>0.5</v>
      </c>
      <c r="D8486">
        <v>3</v>
      </c>
      <c r="E8486">
        <v>24</v>
      </c>
      <c r="F8486">
        <v>60</v>
      </c>
    </row>
    <row r="8487" spans="1:6" x14ac:dyDescent="0.35">
      <c r="A8487">
        <v>1975</v>
      </c>
      <c r="B8487" s="1">
        <v>45878</v>
      </c>
      <c r="C8487" s="2">
        <v>0.54166666666666663</v>
      </c>
      <c r="D8487">
        <v>3</v>
      </c>
      <c r="E8487">
        <v>24.8</v>
      </c>
      <c r="F8487">
        <v>58</v>
      </c>
    </row>
    <row r="8488" spans="1:6" x14ac:dyDescent="0.35">
      <c r="A8488">
        <v>1975</v>
      </c>
      <c r="B8488" s="1">
        <v>45878</v>
      </c>
      <c r="C8488" s="2">
        <v>0.58333333333333337</v>
      </c>
      <c r="D8488">
        <v>3</v>
      </c>
      <c r="E8488">
        <v>24.7</v>
      </c>
      <c r="F8488">
        <v>52</v>
      </c>
    </row>
    <row r="8489" spans="1:6" x14ac:dyDescent="0.35">
      <c r="A8489">
        <v>1975</v>
      </c>
      <c r="B8489" s="1">
        <v>45878</v>
      </c>
      <c r="C8489" s="2">
        <v>0.625</v>
      </c>
      <c r="D8489">
        <v>3</v>
      </c>
      <c r="E8489">
        <v>25</v>
      </c>
      <c r="F8489">
        <v>52</v>
      </c>
    </row>
    <row r="8490" spans="1:6" x14ac:dyDescent="0.35">
      <c r="A8490">
        <v>1975</v>
      </c>
      <c r="B8490" s="1">
        <v>45878</v>
      </c>
      <c r="C8490" s="2">
        <v>0.66666666666666663</v>
      </c>
      <c r="D8490">
        <v>3</v>
      </c>
      <c r="E8490">
        <v>25.2</v>
      </c>
      <c r="F8490">
        <v>52</v>
      </c>
    </row>
    <row r="8491" spans="1:6" x14ac:dyDescent="0.35">
      <c r="A8491">
        <v>1975</v>
      </c>
      <c r="B8491" s="1">
        <v>45878</v>
      </c>
      <c r="C8491" s="2">
        <v>0.70833333333333337</v>
      </c>
      <c r="D8491">
        <v>3</v>
      </c>
      <c r="E8491">
        <v>24.8</v>
      </c>
      <c r="F8491">
        <v>55</v>
      </c>
    </row>
    <row r="8492" spans="1:6" x14ac:dyDescent="0.35">
      <c r="A8492">
        <v>1975</v>
      </c>
      <c r="B8492" s="1">
        <v>45878</v>
      </c>
      <c r="C8492" s="2">
        <v>0.75</v>
      </c>
      <c r="D8492">
        <v>3</v>
      </c>
      <c r="E8492">
        <v>24</v>
      </c>
      <c r="F8492">
        <v>54</v>
      </c>
    </row>
    <row r="8493" spans="1:6" x14ac:dyDescent="0.35">
      <c r="A8493">
        <v>1975</v>
      </c>
      <c r="B8493" s="1">
        <v>45878</v>
      </c>
      <c r="C8493" s="2">
        <v>0.79166666666666663</v>
      </c>
      <c r="D8493">
        <v>3</v>
      </c>
      <c r="E8493">
        <v>20.9</v>
      </c>
      <c r="F8493">
        <v>76</v>
      </c>
    </row>
    <row r="8494" spans="1:6" x14ac:dyDescent="0.35">
      <c r="A8494">
        <v>1975</v>
      </c>
      <c r="B8494" s="1">
        <v>45878</v>
      </c>
      <c r="C8494" s="2">
        <v>0.83333333333333337</v>
      </c>
      <c r="D8494">
        <v>3</v>
      </c>
      <c r="E8494">
        <v>18.8</v>
      </c>
      <c r="F8494">
        <v>78</v>
      </c>
    </row>
    <row r="8495" spans="1:6" x14ac:dyDescent="0.35">
      <c r="A8495">
        <v>1975</v>
      </c>
      <c r="B8495" s="1">
        <v>45878</v>
      </c>
      <c r="C8495" s="2">
        <v>0.875</v>
      </c>
      <c r="D8495">
        <v>3</v>
      </c>
      <c r="E8495">
        <v>17.7</v>
      </c>
      <c r="F8495">
        <v>83</v>
      </c>
    </row>
    <row r="8496" spans="1:6" x14ac:dyDescent="0.35">
      <c r="A8496">
        <v>1975</v>
      </c>
      <c r="B8496" s="1">
        <v>45878</v>
      </c>
      <c r="C8496" s="2">
        <v>0.91666666666666663</v>
      </c>
      <c r="D8496">
        <v>3</v>
      </c>
      <c r="E8496">
        <v>16.899999999999999</v>
      </c>
      <c r="F8496">
        <v>88</v>
      </c>
    </row>
    <row r="8497" spans="1:6" x14ac:dyDescent="0.35">
      <c r="A8497">
        <v>1975</v>
      </c>
      <c r="B8497" s="1">
        <v>45878</v>
      </c>
      <c r="C8497" s="2">
        <v>0.95833333333333337</v>
      </c>
      <c r="D8497">
        <v>3</v>
      </c>
      <c r="E8497">
        <v>16</v>
      </c>
      <c r="F8497">
        <v>92</v>
      </c>
    </row>
    <row r="8498" spans="1:6" x14ac:dyDescent="0.35">
      <c r="A8498">
        <v>1975</v>
      </c>
      <c r="B8498" s="1">
        <v>45879</v>
      </c>
      <c r="C8498" s="2">
        <v>0</v>
      </c>
      <c r="D8498">
        <v>3</v>
      </c>
      <c r="E8498">
        <v>15.4</v>
      </c>
      <c r="F8498">
        <v>94</v>
      </c>
    </row>
    <row r="8499" spans="1:6" x14ac:dyDescent="0.35">
      <c r="A8499">
        <v>1975</v>
      </c>
      <c r="B8499" s="1">
        <v>45879</v>
      </c>
      <c r="C8499" s="2">
        <v>4.1666666666666657E-2</v>
      </c>
      <c r="D8499">
        <v>3</v>
      </c>
      <c r="E8499">
        <v>14.5</v>
      </c>
      <c r="F8499">
        <v>94</v>
      </c>
    </row>
    <row r="8500" spans="1:6" x14ac:dyDescent="0.35">
      <c r="A8500">
        <v>1975</v>
      </c>
      <c r="B8500" s="1">
        <v>45879</v>
      </c>
      <c r="C8500" s="2">
        <v>8.3333333333333329E-2</v>
      </c>
      <c r="D8500">
        <v>3</v>
      </c>
      <c r="E8500">
        <v>14.4</v>
      </c>
      <c r="F8500">
        <v>91</v>
      </c>
    </row>
    <row r="8501" spans="1:6" x14ac:dyDescent="0.35">
      <c r="A8501">
        <v>1975</v>
      </c>
      <c r="B8501" s="1">
        <v>45879</v>
      </c>
      <c r="C8501" s="2">
        <v>0.125</v>
      </c>
      <c r="D8501">
        <v>3</v>
      </c>
      <c r="E8501">
        <v>13.7</v>
      </c>
      <c r="F8501">
        <v>93</v>
      </c>
    </row>
    <row r="8502" spans="1:6" x14ac:dyDescent="0.35">
      <c r="A8502">
        <v>1975</v>
      </c>
      <c r="B8502" s="1">
        <v>45879</v>
      </c>
      <c r="C8502" s="2">
        <v>0.16666666666666671</v>
      </c>
      <c r="D8502">
        <v>3</v>
      </c>
      <c r="E8502">
        <v>13.5</v>
      </c>
      <c r="F8502">
        <v>93</v>
      </c>
    </row>
    <row r="8503" spans="1:6" x14ac:dyDescent="0.35">
      <c r="A8503">
        <v>1975</v>
      </c>
      <c r="B8503" s="1">
        <v>45879</v>
      </c>
      <c r="C8503" s="2">
        <v>0.20833333333333329</v>
      </c>
      <c r="D8503">
        <v>3</v>
      </c>
      <c r="E8503">
        <v>14.3</v>
      </c>
      <c r="F8503">
        <v>91</v>
      </c>
    </row>
    <row r="8504" spans="1:6" x14ac:dyDescent="0.35">
      <c r="A8504">
        <v>1975</v>
      </c>
      <c r="B8504" s="1">
        <v>45879</v>
      </c>
      <c r="C8504" s="2">
        <v>0.25</v>
      </c>
      <c r="D8504">
        <v>3</v>
      </c>
      <c r="E8504">
        <v>16</v>
      </c>
      <c r="F8504">
        <v>87</v>
      </c>
    </row>
    <row r="8505" spans="1:6" x14ac:dyDescent="0.35">
      <c r="A8505">
        <v>1975</v>
      </c>
      <c r="B8505" s="1">
        <v>45879</v>
      </c>
      <c r="C8505" s="2">
        <v>0.29166666666666669</v>
      </c>
      <c r="D8505">
        <v>3</v>
      </c>
      <c r="E8505">
        <v>16.7</v>
      </c>
      <c r="F8505">
        <v>87</v>
      </c>
    </row>
    <row r="8506" spans="1:6" x14ac:dyDescent="0.35">
      <c r="A8506">
        <v>1975</v>
      </c>
      <c r="B8506" s="1">
        <v>45879</v>
      </c>
      <c r="C8506" s="2">
        <v>0.33333333333333331</v>
      </c>
      <c r="D8506">
        <v>3</v>
      </c>
      <c r="E8506">
        <v>18.600000000000001</v>
      </c>
      <c r="F8506">
        <v>79</v>
      </c>
    </row>
    <row r="8507" spans="1:6" x14ac:dyDescent="0.35">
      <c r="A8507">
        <v>1975</v>
      </c>
      <c r="B8507" s="1">
        <v>45879</v>
      </c>
      <c r="C8507" s="2">
        <v>0.375</v>
      </c>
      <c r="D8507">
        <v>3</v>
      </c>
      <c r="E8507">
        <v>19.5</v>
      </c>
      <c r="F8507">
        <v>65</v>
      </c>
    </row>
    <row r="8508" spans="1:6" x14ac:dyDescent="0.35">
      <c r="A8508">
        <v>1975</v>
      </c>
      <c r="B8508" s="1">
        <v>45879</v>
      </c>
      <c r="C8508" s="2">
        <v>0.41666666666666669</v>
      </c>
      <c r="D8508">
        <v>3</v>
      </c>
      <c r="E8508">
        <v>20.399999999999999</v>
      </c>
      <c r="F8508">
        <v>56</v>
      </c>
    </row>
    <row r="8509" spans="1:6" x14ac:dyDescent="0.35">
      <c r="A8509">
        <v>1975</v>
      </c>
      <c r="B8509" s="1">
        <v>45879</v>
      </c>
      <c r="C8509" s="2">
        <v>0.45833333333333331</v>
      </c>
      <c r="D8509">
        <v>3</v>
      </c>
      <c r="E8509">
        <v>20.9</v>
      </c>
      <c r="F8509">
        <v>50</v>
      </c>
    </row>
    <row r="8510" spans="1:6" x14ac:dyDescent="0.35">
      <c r="A8510">
        <v>1975</v>
      </c>
      <c r="B8510" s="1">
        <v>45879</v>
      </c>
      <c r="C8510" s="2">
        <v>0.5</v>
      </c>
      <c r="D8510">
        <v>3</v>
      </c>
      <c r="E8510">
        <v>20.7</v>
      </c>
      <c r="F8510">
        <v>48</v>
      </c>
    </row>
    <row r="8511" spans="1:6" x14ac:dyDescent="0.35">
      <c r="A8511">
        <v>1975</v>
      </c>
      <c r="B8511" s="1">
        <v>45879</v>
      </c>
      <c r="C8511" s="2">
        <v>0.54166666666666663</v>
      </c>
      <c r="D8511">
        <v>3</v>
      </c>
      <c r="E8511">
        <v>21.2</v>
      </c>
      <c r="F8511">
        <v>54</v>
      </c>
    </row>
    <row r="8512" spans="1:6" x14ac:dyDescent="0.35">
      <c r="A8512">
        <v>1975</v>
      </c>
      <c r="B8512" s="1">
        <v>45879</v>
      </c>
      <c r="C8512" s="2">
        <v>0.58333333333333337</v>
      </c>
      <c r="D8512">
        <v>3</v>
      </c>
      <c r="E8512">
        <v>20.7</v>
      </c>
      <c r="F8512">
        <v>51</v>
      </c>
    </row>
    <row r="8513" spans="1:6" x14ac:dyDescent="0.35">
      <c r="A8513">
        <v>1975</v>
      </c>
      <c r="B8513" s="1">
        <v>45879</v>
      </c>
      <c r="C8513" s="2">
        <v>0.625</v>
      </c>
      <c r="D8513">
        <v>3</v>
      </c>
      <c r="E8513">
        <v>21.1</v>
      </c>
      <c r="F8513">
        <v>49</v>
      </c>
    </row>
    <row r="8514" spans="1:6" x14ac:dyDescent="0.35">
      <c r="A8514">
        <v>1975</v>
      </c>
      <c r="B8514" s="1">
        <v>45879</v>
      </c>
      <c r="C8514" s="2">
        <v>0.66666666666666663</v>
      </c>
      <c r="D8514">
        <v>3</v>
      </c>
      <c r="E8514">
        <v>20.6</v>
      </c>
      <c r="F8514">
        <v>55</v>
      </c>
    </row>
    <row r="8515" spans="1:6" x14ac:dyDescent="0.35">
      <c r="A8515">
        <v>1975</v>
      </c>
      <c r="B8515" s="1">
        <v>45879</v>
      </c>
      <c r="C8515" s="2">
        <v>0.70833333333333337</v>
      </c>
      <c r="D8515">
        <v>3</v>
      </c>
      <c r="E8515">
        <v>19.5</v>
      </c>
      <c r="F8515">
        <v>51</v>
      </c>
    </row>
    <row r="8516" spans="1:6" x14ac:dyDescent="0.35">
      <c r="A8516">
        <v>1975</v>
      </c>
      <c r="B8516" s="1">
        <v>45879</v>
      </c>
      <c r="C8516" s="2">
        <v>0.75</v>
      </c>
      <c r="D8516">
        <v>3</v>
      </c>
      <c r="E8516">
        <v>18.600000000000001</v>
      </c>
      <c r="F8516">
        <v>55</v>
      </c>
    </row>
    <row r="8517" spans="1:6" x14ac:dyDescent="0.35">
      <c r="A8517">
        <v>1975</v>
      </c>
      <c r="B8517" s="1">
        <v>45879</v>
      </c>
      <c r="C8517" s="2">
        <v>0.79166666666666663</v>
      </c>
      <c r="D8517">
        <v>3</v>
      </c>
      <c r="E8517">
        <v>16.2</v>
      </c>
      <c r="F8517">
        <v>70</v>
      </c>
    </row>
    <row r="8518" spans="1:6" x14ac:dyDescent="0.35">
      <c r="A8518">
        <v>1975</v>
      </c>
      <c r="B8518" s="1">
        <v>45879</v>
      </c>
      <c r="C8518" s="2">
        <v>0.83333333333333337</v>
      </c>
      <c r="D8518">
        <v>3</v>
      </c>
      <c r="E8518">
        <v>14.6</v>
      </c>
      <c r="F8518">
        <v>80</v>
      </c>
    </row>
    <row r="8519" spans="1:6" x14ac:dyDescent="0.35">
      <c r="A8519">
        <v>1975</v>
      </c>
      <c r="B8519" s="1">
        <v>45879</v>
      </c>
      <c r="C8519" s="2">
        <v>0.875</v>
      </c>
      <c r="D8519">
        <v>3</v>
      </c>
      <c r="E8519">
        <v>13.4</v>
      </c>
      <c r="F8519">
        <v>87</v>
      </c>
    </row>
    <row r="8520" spans="1:6" x14ac:dyDescent="0.35">
      <c r="A8520">
        <v>1975</v>
      </c>
      <c r="B8520" s="1">
        <v>45879</v>
      </c>
      <c r="C8520" s="2">
        <v>0.91666666666666663</v>
      </c>
      <c r="D8520">
        <v>3</v>
      </c>
      <c r="E8520">
        <v>12.3</v>
      </c>
      <c r="F8520">
        <v>88</v>
      </c>
    </row>
    <row r="8521" spans="1:6" x14ac:dyDescent="0.35">
      <c r="A8521">
        <v>1975</v>
      </c>
      <c r="B8521" s="1">
        <v>45879</v>
      </c>
      <c r="C8521" s="2">
        <v>0.95833333333333337</v>
      </c>
      <c r="D8521">
        <v>3</v>
      </c>
      <c r="E8521">
        <v>11.3</v>
      </c>
      <c r="F8521">
        <v>99</v>
      </c>
    </row>
    <row r="8522" spans="1:6" x14ac:dyDescent="0.35">
      <c r="A8522">
        <v>1975</v>
      </c>
      <c r="B8522" s="1">
        <v>45880</v>
      </c>
      <c r="C8522" s="2">
        <v>0</v>
      </c>
      <c r="D8522">
        <v>3</v>
      </c>
      <c r="E8522">
        <v>10.4</v>
      </c>
      <c r="F8522">
        <v>100</v>
      </c>
    </row>
    <row r="8523" spans="1:6" x14ac:dyDescent="0.35">
      <c r="A8523">
        <v>1975</v>
      </c>
      <c r="B8523" s="1">
        <v>45880</v>
      </c>
      <c r="C8523" s="2">
        <v>4.1666666666666657E-2</v>
      </c>
      <c r="D8523">
        <v>3</v>
      </c>
      <c r="E8523">
        <v>10.1</v>
      </c>
      <c r="F8523">
        <v>100</v>
      </c>
    </row>
    <row r="8524" spans="1:6" x14ac:dyDescent="0.35">
      <c r="A8524">
        <v>1975</v>
      </c>
      <c r="B8524" s="1">
        <v>45880</v>
      </c>
      <c r="C8524" s="2">
        <v>8.3333333333333329E-2</v>
      </c>
      <c r="D8524">
        <v>3</v>
      </c>
      <c r="E8524">
        <v>9.5</v>
      </c>
      <c r="F8524">
        <v>100</v>
      </c>
    </row>
    <row r="8525" spans="1:6" x14ac:dyDescent="0.35">
      <c r="A8525">
        <v>1975</v>
      </c>
      <c r="B8525" s="1">
        <v>45880</v>
      </c>
      <c r="C8525" s="2">
        <v>0.125</v>
      </c>
      <c r="D8525">
        <v>3</v>
      </c>
      <c r="E8525">
        <v>9</v>
      </c>
      <c r="F8525">
        <v>100</v>
      </c>
    </row>
    <row r="8526" spans="1:6" x14ac:dyDescent="0.35">
      <c r="A8526">
        <v>1975</v>
      </c>
      <c r="B8526" s="1">
        <v>45880</v>
      </c>
      <c r="C8526" s="2">
        <v>0.16666666666666671</v>
      </c>
      <c r="D8526">
        <v>3</v>
      </c>
      <c r="E8526">
        <v>8.5</v>
      </c>
      <c r="F8526">
        <v>99</v>
      </c>
    </row>
    <row r="8527" spans="1:6" x14ac:dyDescent="0.35">
      <c r="A8527">
        <v>1975</v>
      </c>
      <c r="B8527" s="1">
        <v>45880</v>
      </c>
      <c r="C8527" s="2">
        <v>0.20833333333333329</v>
      </c>
      <c r="D8527">
        <v>3</v>
      </c>
      <c r="E8527">
        <v>9.6999999999999993</v>
      </c>
      <c r="F8527">
        <v>100</v>
      </c>
    </row>
    <row r="8528" spans="1:6" x14ac:dyDescent="0.35">
      <c r="A8528">
        <v>1975</v>
      </c>
      <c r="B8528" s="1">
        <v>45880</v>
      </c>
      <c r="C8528" s="2">
        <v>0.25</v>
      </c>
      <c r="D8528">
        <v>3</v>
      </c>
      <c r="E8528">
        <v>13.4</v>
      </c>
      <c r="F8528">
        <v>82</v>
      </c>
    </row>
    <row r="8529" spans="1:6" x14ac:dyDescent="0.35">
      <c r="A8529">
        <v>1975</v>
      </c>
      <c r="B8529" s="1">
        <v>45880</v>
      </c>
      <c r="C8529" s="2">
        <v>0.29166666666666669</v>
      </c>
      <c r="D8529">
        <v>3</v>
      </c>
      <c r="E8529">
        <v>17</v>
      </c>
      <c r="F8529">
        <v>74</v>
      </c>
    </row>
    <row r="8530" spans="1:6" x14ac:dyDescent="0.35">
      <c r="A8530">
        <v>1975</v>
      </c>
      <c r="B8530" s="1">
        <v>45880</v>
      </c>
      <c r="C8530" s="2">
        <v>0.33333333333333331</v>
      </c>
      <c r="D8530">
        <v>3</v>
      </c>
      <c r="E8530">
        <v>17.899999999999999</v>
      </c>
      <c r="F8530">
        <v>63</v>
      </c>
    </row>
    <row r="8531" spans="1:6" x14ac:dyDescent="0.35">
      <c r="A8531">
        <v>1975</v>
      </c>
      <c r="B8531" s="1">
        <v>45880</v>
      </c>
      <c r="C8531" s="2">
        <v>0.375</v>
      </c>
      <c r="D8531">
        <v>3</v>
      </c>
      <c r="E8531">
        <v>19.2</v>
      </c>
      <c r="F8531">
        <v>61</v>
      </c>
    </row>
    <row r="8532" spans="1:6" x14ac:dyDescent="0.35">
      <c r="A8532">
        <v>1975</v>
      </c>
      <c r="B8532" s="1">
        <v>45880</v>
      </c>
      <c r="C8532" s="2">
        <v>0.41666666666666669</v>
      </c>
      <c r="D8532">
        <v>3</v>
      </c>
      <c r="E8532">
        <v>19.7</v>
      </c>
      <c r="F8532">
        <v>62</v>
      </c>
    </row>
    <row r="8533" spans="1:6" x14ac:dyDescent="0.35">
      <c r="A8533">
        <v>1975</v>
      </c>
      <c r="B8533" s="1">
        <v>45880</v>
      </c>
      <c r="C8533" s="2">
        <v>0.45833333333333331</v>
      </c>
      <c r="D8533">
        <v>3</v>
      </c>
      <c r="E8533">
        <v>20.8</v>
      </c>
      <c r="F8533">
        <v>61</v>
      </c>
    </row>
    <row r="8534" spans="1:6" x14ac:dyDescent="0.35">
      <c r="A8534">
        <v>1975</v>
      </c>
      <c r="B8534" s="1">
        <v>45880</v>
      </c>
      <c r="C8534" s="2">
        <v>0.5</v>
      </c>
      <c r="D8534">
        <v>3</v>
      </c>
      <c r="E8534">
        <v>22</v>
      </c>
      <c r="F8534">
        <v>57</v>
      </c>
    </row>
    <row r="8535" spans="1:6" x14ac:dyDescent="0.35">
      <c r="A8535">
        <v>1975</v>
      </c>
      <c r="B8535" s="1">
        <v>45880</v>
      </c>
      <c r="C8535" s="2">
        <v>0.54166666666666663</v>
      </c>
      <c r="D8535">
        <v>3</v>
      </c>
      <c r="E8535">
        <v>22.8</v>
      </c>
      <c r="F8535">
        <v>56</v>
      </c>
    </row>
    <row r="8536" spans="1:6" x14ac:dyDescent="0.35">
      <c r="A8536">
        <v>1975</v>
      </c>
      <c r="B8536" s="1">
        <v>45880</v>
      </c>
      <c r="C8536" s="2">
        <v>0.58333333333333337</v>
      </c>
      <c r="D8536">
        <v>3</v>
      </c>
      <c r="E8536">
        <v>22.5</v>
      </c>
      <c r="F8536">
        <v>51</v>
      </c>
    </row>
    <row r="8537" spans="1:6" x14ac:dyDescent="0.35">
      <c r="A8537">
        <v>1975</v>
      </c>
      <c r="B8537" s="1">
        <v>45880</v>
      </c>
      <c r="C8537" s="2">
        <v>0.625</v>
      </c>
      <c r="D8537">
        <v>3</v>
      </c>
      <c r="E8537">
        <v>23</v>
      </c>
      <c r="F8537">
        <v>53</v>
      </c>
    </row>
    <row r="8538" spans="1:6" x14ac:dyDescent="0.35">
      <c r="A8538">
        <v>1975</v>
      </c>
      <c r="B8538" s="1">
        <v>45880</v>
      </c>
      <c r="C8538" s="2">
        <v>0.66666666666666663</v>
      </c>
      <c r="D8538">
        <v>3</v>
      </c>
      <c r="E8538">
        <v>22.7</v>
      </c>
      <c r="F8538">
        <v>55</v>
      </c>
    </row>
    <row r="8539" spans="1:6" x14ac:dyDescent="0.35">
      <c r="A8539">
        <v>1975</v>
      </c>
      <c r="B8539" s="1">
        <v>45880</v>
      </c>
      <c r="C8539" s="2">
        <v>0.70833333333333337</v>
      </c>
      <c r="D8539">
        <v>3</v>
      </c>
      <c r="E8539">
        <v>21.5</v>
      </c>
      <c r="F8539">
        <v>56</v>
      </c>
    </row>
    <row r="8540" spans="1:6" x14ac:dyDescent="0.35">
      <c r="A8540">
        <v>1975</v>
      </c>
      <c r="B8540" s="1">
        <v>45880</v>
      </c>
      <c r="C8540" s="2">
        <v>0.75</v>
      </c>
      <c r="D8540">
        <v>3</v>
      </c>
      <c r="E8540">
        <v>20.8</v>
      </c>
      <c r="F8540">
        <v>61</v>
      </c>
    </row>
    <row r="8541" spans="1:6" x14ac:dyDescent="0.35">
      <c r="A8541">
        <v>1975</v>
      </c>
      <c r="B8541" s="1">
        <v>45880</v>
      </c>
      <c r="C8541" s="2">
        <v>0.79166666666666663</v>
      </c>
      <c r="D8541">
        <v>3</v>
      </c>
      <c r="E8541">
        <v>18</v>
      </c>
      <c r="F8541">
        <v>78</v>
      </c>
    </row>
    <row r="8542" spans="1:6" x14ac:dyDescent="0.35">
      <c r="A8542">
        <v>1975</v>
      </c>
      <c r="B8542" s="1">
        <v>45880</v>
      </c>
      <c r="C8542" s="2">
        <v>0.83333333333333337</v>
      </c>
      <c r="D8542">
        <v>3</v>
      </c>
      <c r="E8542">
        <v>16.399999999999999</v>
      </c>
      <c r="F8542">
        <v>84</v>
      </c>
    </row>
    <row r="8543" spans="1:6" x14ac:dyDescent="0.35">
      <c r="A8543">
        <v>1975</v>
      </c>
      <c r="B8543" s="1">
        <v>45880</v>
      </c>
      <c r="C8543" s="2">
        <v>0.875</v>
      </c>
      <c r="D8543">
        <v>3</v>
      </c>
      <c r="E8543">
        <v>15.1</v>
      </c>
      <c r="F8543">
        <v>91</v>
      </c>
    </row>
    <row r="8544" spans="1:6" x14ac:dyDescent="0.35">
      <c r="A8544">
        <v>1975</v>
      </c>
      <c r="B8544" s="1">
        <v>45880</v>
      </c>
      <c r="C8544" s="2">
        <v>0.91666666666666663</v>
      </c>
      <c r="D8544">
        <v>3</v>
      </c>
      <c r="E8544">
        <v>14.5</v>
      </c>
      <c r="F8544">
        <v>95</v>
      </c>
    </row>
    <row r="8545" spans="1:6" x14ac:dyDescent="0.35">
      <c r="A8545">
        <v>1975</v>
      </c>
      <c r="B8545" s="1">
        <v>45880</v>
      </c>
      <c r="C8545" s="2">
        <v>0.95833333333333337</v>
      </c>
      <c r="D8545">
        <v>3</v>
      </c>
      <c r="E8545">
        <v>14.2</v>
      </c>
      <c r="F8545">
        <v>93</v>
      </c>
    </row>
    <row r="8546" spans="1:6" x14ac:dyDescent="0.35">
      <c r="A8546">
        <v>1975</v>
      </c>
      <c r="B8546" s="1">
        <v>45881</v>
      </c>
      <c r="C8546" s="2">
        <v>0</v>
      </c>
      <c r="D8546">
        <v>3</v>
      </c>
      <c r="E8546">
        <v>13.6</v>
      </c>
      <c r="F8546">
        <v>95</v>
      </c>
    </row>
    <row r="8547" spans="1:6" x14ac:dyDescent="0.35">
      <c r="A8547">
        <v>1975</v>
      </c>
      <c r="B8547" s="1">
        <v>45881</v>
      </c>
      <c r="C8547" s="2">
        <v>4.1666666666666657E-2</v>
      </c>
      <c r="D8547">
        <v>3</v>
      </c>
      <c r="E8547">
        <v>13.7</v>
      </c>
      <c r="F8547">
        <v>91</v>
      </c>
    </row>
    <row r="8548" spans="1:6" x14ac:dyDescent="0.35">
      <c r="A8548">
        <v>1975</v>
      </c>
      <c r="B8548" s="1">
        <v>45881</v>
      </c>
      <c r="C8548" s="2">
        <v>8.3333333333333329E-2</v>
      </c>
      <c r="D8548">
        <v>3</v>
      </c>
      <c r="E8548">
        <v>13.1</v>
      </c>
      <c r="F8548">
        <v>96</v>
      </c>
    </row>
    <row r="8549" spans="1:6" x14ac:dyDescent="0.35">
      <c r="A8549">
        <v>1975</v>
      </c>
      <c r="B8549" s="1">
        <v>45881</v>
      </c>
      <c r="C8549" s="2">
        <v>0.125</v>
      </c>
      <c r="D8549">
        <v>3</v>
      </c>
      <c r="E8549">
        <v>13</v>
      </c>
      <c r="F8549">
        <v>93</v>
      </c>
    </row>
    <row r="8550" spans="1:6" x14ac:dyDescent="0.35">
      <c r="A8550">
        <v>1975</v>
      </c>
      <c r="B8550" s="1">
        <v>45881</v>
      </c>
      <c r="C8550" s="2">
        <v>0.16666666666666671</v>
      </c>
      <c r="D8550">
        <v>3</v>
      </c>
      <c r="E8550">
        <v>13.4</v>
      </c>
      <c r="F8550">
        <v>91</v>
      </c>
    </row>
    <row r="8551" spans="1:6" x14ac:dyDescent="0.35">
      <c r="A8551">
        <v>1975</v>
      </c>
      <c r="B8551" s="1">
        <v>45881</v>
      </c>
      <c r="C8551" s="2">
        <v>0.20833333333333329</v>
      </c>
      <c r="D8551">
        <v>3</v>
      </c>
      <c r="E8551">
        <v>13.8</v>
      </c>
      <c r="F8551">
        <v>90</v>
      </c>
    </row>
    <row r="8552" spans="1:6" x14ac:dyDescent="0.35">
      <c r="A8552">
        <v>1975</v>
      </c>
      <c r="B8552" s="1">
        <v>45881</v>
      </c>
      <c r="C8552" s="2">
        <v>0.25</v>
      </c>
      <c r="D8552">
        <v>3</v>
      </c>
      <c r="E8552">
        <v>15.8</v>
      </c>
      <c r="F8552">
        <v>84</v>
      </c>
    </row>
    <row r="8553" spans="1:6" x14ac:dyDescent="0.35">
      <c r="A8553">
        <v>1975</v>
      </c>
      <c r="B8553" s="1">
        <v>45881</v>
      </c>
      <c r="C8553" s="2">
        <v>0.29166666666666669</v>
      </c>
      <c r="D8553">
        <v>3</v>
      </c>
      <c r="E8553">
        <v>18.3</v>
      </c>
      <c r="F8553">
        <v>77</v>
      </c>
    </row>
    <row r="8554" spans="1:6" x14ac:dyDescent="0.35">
      <c r="A8554">
        <v>1975</v>
      </c>
      <c r="B8554" s="1">
        <v>45881</v>
      </c>
      <c r="C8554" s="2">
        <v>0.33333333333333331</v>
      </c>
      <c r="D8554">
        <v>3</v>
      </c>
      <c r="E8554">
        <v>19.399999999999999</v>
      </c>
      <c r="F8554">
        <v>72</v>
      </c>
    </row>
    <row r="8555" spans="1:6" x14ac:dyDescent="0.35">
      <c r="A8555">
        <v>1975</v>
      </c>
      <c r="B8555" s="1">
        <v>45881</v>
      </c>
      <c r="C8555" s="2">
        <v>0.375</v>
      </c>
      <c r="D8555">
        <v>3</v>
      </c>
      <c r="E8555">
        <v>21.7</v>
      </c>
      <c r="F8555">
        <v>64</v>
      </c>
    </row>
    <row r="8556" spans="1:6" x14ac:dyDescent="0.35">
      <c r="A8556">
        <v>1975</v>
      </c>
      <c r="B8556" s="1">
        <v>45881</v>
      </c>
      <c r="C8556" s="2">
        <v>0.41666666666666669</v>
      </c>
      <c r="D8556">
        <v>3</v>
      </c>
      <c r="E8556">
        <v>23.5</v>
      </c>
      <c r="F8556">
        <v>59</v>
      </c>
    </row>
    <row r="8557" spans="1:6" x14ac:dyDescent="0.35">
      <c r="A8557">
        <v>1975</v>
      </c>
      <c r="B8557" s="1">
        <v>45881</v>
      </c>
      <c r="C8557" s="2">
        <v>0.45833333333333331</v>
      </c>
      <c r="D8557">
        <v>3</v>
      </c>
      <c r="E8557">
        <v>25</v>
      </c>
      <c r="F8557">
        <v>51</v>
      </c>
    </row>
    <row r="8558" spans="1:6" x14ac:dyDescent="0.35">
      <c r="A8558">
        <v>1975</v>
      </c>
      <c r="B8558" s="1">
        <v>45881</v>
      </c>
      <c r="C8558" s="2">
        <v>0.5</v>
      </c>
      <c r="D8558">
        <v>3</v>
      </c>
      <c r="E8558">
        <v>25.2</v>
      </c>
      <c r="F8558">
        <v>52</v>
      </c>
    </row>
    <row r="8559" spans="1:6" x14ac:dyDescent="0.35">
      <c r="A8559">
        <v>1975</v>
      </c>
      <c r="B8559" s="1">
        <v>45881</v>
      </c>
      <c r="C8559" s="2">
        <v>0.54166666666666663</v>
      </c>
      <c r="D8559">
        <v>3</v>
      </c>
      <c r="E8559">
        <v>26</v>
      </c>
      <c r="F8559">
        <v>50</v>
      </c>
    </row>
    <row r="8560" spans="1:6" x14ac:dyDescent="0.35">
      <c r="A8560">
        <v>1975</v>
      </c>
      <c r="B8560" s="1">
        <v>45881</v>
      </c>
      <c r="C8560" s="2">
        <v>0.58333333333333337</v>
      </c>
      <c r="D8560">
        <v>3</v>
      </c>
      <c r="E8560">
        <v>25.7</v>
      </c>
      <c r="F8560">
        <v>47</v>
      </c>
    </row>
    <row r="8561" spans="1:6" x14ac:dyDescent="0.35">
      <c r="A8561">
        <v>1975</v>
      </c>
      <c r="B8561" s="1">
        <v>45881</v>
      </c>
      <c r="C8561" s="2">
        <v>0.625</v>
      </c>
      <c r="D8561">
        <v>3</v>
      </c>
      <c r="E8561">
        <v>27</v>
      </c>
      <c r="F8561">
        <v>42</v>
      </c>
    </row>
    <row r="8562" spans="1:6" x14ac:dyDescent="0.35">
      <c r="A8562">
        <v>1975</v>
      </c>
      <c r="B8562" s="1">
        <v>45881</v>
      </c>
      <c r="C8562" s="2">
        <v>0.66666666666666663</v>
      </c>
      <c r="D8562">
        <v>3</v>
      </c>
      <c r="E8562">
        <v>26.7</v>
      </c>
      <c r="F8562">
        <v>43</v>
      </c>
    </row>
    <row r="8563" spans="1:6" x14ac:dyDescent="0.35">
      <c r="A8563">
        <v>1975</v>
      </c>
      <c r="B8563" s="1">
        <v>45881</v>
      </c>
      <c r="C8563" s="2">
        <v>0.70833333333333337</v>
      </c>
      <c r="D8563">
        <v>3</v>
      </c>
      <c r="E8563">
        <v>25.3</v>
      </c>
      <c r="F8563">
        <v>61</v>
      </c>
    </row>
    <row r="8564" spans="1:6" x14ac:dyDescent="0.35">
      <c r="A8564">
        <v>1975</v>
      </c>
      <c r="B8564" s="1">
        <v>45881</v>
      </c>
      <c r="C8564" s="2">
        <v>0.75</v>
      </c>
      <c r="D8564">
        <v>3</v>
      </c>
      <c r="E8564">
        <v>23.4</v>
      </c>
      <c r="F8564">
        <v>66</v>
      </c>
    </row>
    <row r="8565" spans="1:6" x14ac:dyDescent="0.35">
      <c r="A8565">
        <v>1975</v>
      </c>
      <c r="B8565" s="1">
        <v>45881</v>
      </c>
      <c r="C8565" s="2">
        <v>0.79166666666666663</v>
      </c>
      <c r="D8565">
        <v>3</v>
      </c>
      <c r="E8565">
        <v>21.3</v>
      </c>
      <c r="F8565">
        <v>73</v>
      </c>
    </row>
    <row r="8566" spans="1:6" x14ac:dyDescent="0.35">
      <c r="A8566">
        <v>1975</v>
      </c>
      <c r="B8566" s="1">
        <v>45881</v>
      </c>
      <c r="C8566" s="2">
        <v>0.83333333333333337</v>
      </c>
      <c r="D8566">
        <v>3</v>
      </c>
      <c r="E8566">
        <v>19.5</v>
      </c>
      <c r="F8566">
        <v>80</v>
      </c>
    </row>
    <row r="8567" spans="1:6" x14ac:dyDescent="0.35">
      <c r="A8567">
        <v>1975</v>
      </c>
      <c r="B8567" s="1">
        <v>45881</v>
      </c>
      <c r="C8567" s="2">
        <v>0.875</v>
      </c>
      <c r="D8567">
        <v>3</v>
      </c>
      <c r="E8567">
        <v>19</v>
      </c>
      <c r="F8567">
        <v>83</v>
      </c>
    </row>
    <row r="8568" spans="1:6" x14ac:dyDescent="0.35">
      <c r="A8568">
        <v>1975</v>
      </c>
      <c r="B8568" s="1">
        <v>45881</v>
      </c>
      <c r="C8568" s="2">
        <v>0.91666666666666663</v>
      </c>
      <c r="D8568">
        <v>3</v>
      </c>
      <c r="E8568">
        <v>18.399999999999999</v>
      </c>
      <c r="F8568">
        <v>87</v>
      </c>
    </row>
    <row r="8569" spans="1:6" x14ac:dyDescent="0.35">
      <c r="A8569">
        <v>1975</v>
      </c>
      <c r="B8569" s="1">
        <v>45881</v>
      </c>
      <c r="C8569" s="2">
        <v>0.95833333333333337</v>
      </c>
      <c r="D8569">
        <v>3</v>
      </c>
      <c r="E8569">
        <v>17.899999999999999</v>
      </c>
      <c r="F8569">
        <v>88</v>
      </c>
    </row>
    <row r="8570" spans="1:6" x14ac:dyDescent="0.35">
      <c r="A8570">
        <v>1975</v>
      </c>
      <c r="B8570" s="1">
        <v>45882</v>
      </c>
      <c r="C8570" s="2">
        <v>0</v>
      </c>
      <c r="D8570">
        <v>3</v>
      </c>
      <c r="E8570">
        <v>17.899999999999999</v>
      </c>
      <c r="F8570">
        <v>86</v>
      </c>
    </row>
    <row r="8571" spans="1:6" x14ac:dyDescent="0.35">
      <c r="A8571">
        <v>1975</v>
      </c>
      <c r="B8571" s="1">
        <v>45882</v>
      </c>
      <c r="C8571" s="2">
        <v>4.1666666666666657E-2</v>
      </c>
      <c r="D8571">
        <v>3</v>
      </c>
      <c r="E8571">
        <v>17.2</v>
      </c>
      <c r="F8571">
        <v>87</v>
      </c>
    </row>
    <row r="8572" spans="1:6" x14ac:dyDescent="0.35">
      <c r="A8572">
        <v>1975</v>
      </c>
      <c r="B8572" s="1">
        <v>45882</v>
      </c>
      <c r="C8572" s="2">
        <v>8.3333333333333329E-2</v>
      </c>
      <c r="D8572">
        <v>3</v>
      </c>
      <c r="E8572">
        <v>17.5</v>
      </c>
      <c r="F8572">
        <v>84</v>
      </c>
    </row>
    <row r="8573" spans="1:6" x14ac:dyDescent="0.35">
      <c r="A8573">
        <v>1975</v>
      </c>
      <c r="B8573" s="1">
        <v>45882</v>
      </c>
      <c r="C8573" s="2">
        <v>0.125</v>
      </c>
      <c r="D8573">
        <v>3</v>
      </c>
      <c r="E8573">
        <v>17.7</v>
      </c>
      <c r="F8573">
        <v>84</v>
      </c>
    </row>
    <row r="8574" spans="1:6" x14ac:dyDescent="0.35">
      <c r="A8574">
        <v>1975</v>
      </c>
      <c r="B8574" s="1">
        <v>45882</v>
      </c>
      <c r="C8574" s="2">
        <v>0.16666666666666671</v>
      </c>
      <c r="D8574">
        <v>3</v>
      </c>
      <c r="E8574">
        <v>17.100000000000001</v>
      </c>
      <c r="F8574">
        <v>86</v>
      </c>
    </row>
    <row r="8575" spans="1:6" x14ac:dyDescent="0.35">
      <c r="A8575">
        <v>1975</v>
      </c>
      <c r="B8575" s="1">
        <v>45882</v>
      </c>
      <c r="C8575" s="2">
        <v>0.20833333333333329</v>
      </c>
      <c r="D8575">
        <v>3</v>
      </c>
      <c r="E8575">
        <v>17.3</v>
      </c>
      <c r="F8575">
        <v>84</v>
      </c>
    </row>
    <row r="8576" spans="1:6" x14ac:dyDescent="0.35">
      <c r="A8576">
        <v>1975</v>
      </c>
      <c r="B8576" s="1">
        <v>45882</v>
      </c>
      <c r="C8576" s="2">
        <v>0.25</v>
      </c>
      <c r="D8576">
        <v>3</v>
      </c>
      <c r="E8576">
        <v>18.899999999999999</v>
      </c>
      <c r="F8576">
        <v>78</v>
      </c>
    </row>
    <row r="8577" spans="1:6" x14ac:dyDescent="0.35">
      <c r="A8577">
        <v>1975</v>
      </c>
      <c r="B8577" s="1">
        <v>45882</v>
      </c>
      <c r="C8577" s="2">
        <v>0.29166666666666669</v>
      </c>
      <c r="D8577">
        <v>3</v>
      </c>
      <c r="E8577">
        <v>21.1</v>
      </c>
      <c r="F8577">
        <v>67</v>
      </c>
    </row>
    <row r="8578" spans="1:6" x14ac:dyDescent="0.35">
      <c r="A8578">
        <v>1975</v>
      </c>
      <c r="B8578" s="1">
        <v>45882</v>
      </c>
      <c r="C8578" s="2">
        <v>0.33333333333333331</v>
      </c>
      <c r="D8578">
        <v>3</v>
      </c>
      <c r="E8578">
        <v>22.8</v>
      </c>
      <c r="F8578">
        <v>62</v>
      </c>
    </row>
    <row r="8579" spans="1:6" x14ac:dyDescent="0.35">
      <c r="A8579">
        <v>1975</v>
      </c>
      <c r="B8579" s="1">
        <v>45882</v>
      </c>
      <c r="C8579" s="2">
        <v>0.375</v>
      </c>
      <c r="D8579">
        <v>3</v>
      </c>
      <c r="E8579">
        <v>24.4</v>
      </c>
      <c r="F8579">
        <v>60</v>
      </c>
    </row>
    <row r="8580" spans="1:6" x14ac:dyDescent="0.35">
      <c r="A8580">
        <v>1975</v>
      </c>
      <c r="B8580" s="1">
        <v>45882</v>
      </c>
      <c r="C8580" s="2">
        <v>0.41666666666666669</v>
      </c>
      <c r="D8580">
        <v>3</v>
      </c>
      <c r="E8580">
        <v>26.8</v>
      </c>
      <c r="F8580">
        <v>55</v>
      </c>
    </row>
    <row r="8581" spans="1:6" x14ac:dyDescent="0.35">
      <c r="A8581">
        <v>1975</v>
      </c>
      <c r="B8581" s="1">
        <v>45882</v>
      </c>
      <c r="C8581" s="2">
        <v>0.45833333333333331</v>
      </c>
      <c r="D8581">
        <v>3</v>
      </c>
      <c r="E8581">
        <v>28.3</v>
      </c>
      <c r="F8581">
        <v>48</v>
      </c>
    </row>
    <row r="8582" spans="1:6" x14ac:dyDescent="0.35">
      <c r="A8582">
        <v>1975</v>
      </c>
      <c r="B8582" s="1">
        <v>45882</v>
      </c>
      <c r="C8582" s="2">
        <v>0.5</v>
      </c>
      <c r="D8582">
        <v>3</v>
      </c>
      <c r="E8582">
        <v>29.1</v>
      </c>
      <c r="F8582">
        <v>45</v>
      </c>
    </row>
    <row r="8583" spans="1:6" x14ac:dyDescent="0.35">
      <c r="A8583">
        <v>1975</v>
      </c>
      <c r="B8583" s="1">
        <v>45882</v>
      </c>
      <c r="C8583" s="2">
        <v>0.54166666666666663</v>
      </c>
      <c r="D8583">
        <v>3</v>
      </c>
      <c r="E8583">
        <v>29.7</v>
      </c>
      <c r="F8583">
        <v>41</v>
      </c>
    </row>
    <row r="8584" spans="1:6" x14ac:dyDescent="0.35">
      <c r="A8584">
        <v>1975</v>
      </c>
      <c r="B8584" s="1">
        <v>45882</v>
      </c>
      <c r="C8584" s="2">
        <v>0.58333333333333337</v>
      </c>
      <c r="D8584">
        <v>3</v>
      </c>
      <c r="E8584">
        <v>30.1</v>
      </c>
      <c r="F8584">
        <v>37</v>
      </c>
    </row>
    <row r="8585" spans="1:6" x14ac:dyDescent="0.35">
      <c r="A8585">
        <v>1975</v>
      </c>
      <c r="B8585" s="1">
        <v>45882</v>
      </c>
      <c r="C8585" s="2">
        <v>0.625</v>
      </c>
      <c r="D8585">
        <v>3</v>
      </c>
      <c r="E8585">
        <v>30.4</v>
      </c>
      <c r="F8585">
        <v>43</v>
      </c>
    </row>
    <row r="8586" spans="1:6" x14ac:dyDescent="0.35">
      <c r="A8586">
        <v>1975</v>
      </c>
      <c r="B8586" s="1">
        <v>45882</v>
      </c>
      <c r="C8586" s="2">
        <v>0.66666666666666663</v>
      </c>
      <c r="D8586">
        <v>3</v>
      </c>
      <c r="E8586">
        <v>29.8</v>
      </c>
      <c r="F8586">
        <v>43</v>
      </c>
    </row>
    <row r="8587" spans="1:6" x14ac:dyDescent="0.35">
      <c r="A8587">
        <v>1975</v>
      </c>
      <c r="B8587" s="1">
        <v>45882</v>
      </c>
      <c r="C8587" s="2">
        <v>0.70833333333333337</v>
      </c>
      <c r="D8587">
        <v>3</v>
      </c>
      <c r="E8587">
        <v>27.8</v>
      </c>
      <c r="F8587">
        <v>53</v>
      </c>
    </row>
    <row r="8588" spans="1:6" x14ac:dyDescent="0.35">
      <c r="A8588">
        <v>1975</v>
      </c>
      <c r="B8588" s="1">
        <v>45882</v>
      </c>
      <c r="C8588" s="2">
        <v>0.75</v>
      </c>
      <c r="D8588">
        <v>3</v>
      </c>
      <c r="E8588">
        <v>25.9</v>
      </c>
      <c r="F8588">
        <v>56</v>
      </c>
    </row>
    <row r="8589" spans="1:6" x14ac:dyDescent="0.35">
      <c r="A8589">
        <v>1975</v>
      </c>
      <c r="B8589" s="1">
        <v>45882</v>
      </c>
      <c r="C8589" s="2">
        <v>0.79166666666666663</v>
      </c>
      <c r="D8589">
        <v>3</v>
      </c>
      <c r="E8589">
        <v>23.9</v>
      </c>
      <c r="F8589">
        <v>65</v>
      </c>
    </row>
    <row r="8590" spans="1:6" x14ac:dyDescent="0.35">
      <c r="A8590">
        <v>1975</v>
      </c>
      <c r="B8590" s="1">
        <v>45882</v>
      </c>
      <c r="C8590" s="2">
        <v>0.83333333333333337</v>
      </c>
      <c r="D8590">
        <v>3</v>
      </c>
      <c r="E8590">
        <v>22.1</v>
      </c>
      <c r="F8590">
        <v>74</v>
      </c>
    </row>
    <row r="8591" spans="1:6" x14ac:dyDescent="0.35">
      <c r="A8591">
        <v>1975</v>
      </c>
      <c r="B8591" s="1">
        <v>45882</v>
      </c>
      <c r="C8591" s="2">
        <v>0.875</v>
      </c>
      <c r="D8591">
        <v>3</v>
      </c>
      <c r="E8591">
        <v>20.8</v>
      </c>
      <c r="F8591">
        <v>80</v>
      </c>
    </row>
    <row r="8592" spans="1:6" x14ac:dyDescent="0.35">
      <c r="A8592">
        <v>1975</v>
      </c>
      <c r="B8592" s="1">
        <v>45882</v>
      </c>
      <c r="C8592" s="2">
        <v>0.91666666666666663</v>
      </c>
      <c r="D8592">
        <v>3</v>
      </c>
      <c r="E8592">
        <v>19.7</v>
      </c>
      <c r="F8592">
        <v>85</v>
      </c>
    </row>
    <row r="8593" spans="1:6" x14ac:dyDescent="0.35">
      <c r="A8593">
        <v>1975</v>
      </c>
      <c r="B8593" s="1">
        <v>45882</v>
      </c>
      <c r="C8593" s="2">
        <v>0.95833333333333337</v>
      </c>
      <c r="D8593">
        <v>3</v>
      </c>
      <c r="E8593">
        <v>19.7</v>
      </c>
      <c r="F8593">
        <v>86</v>
      </c>
    </row>
    <row r="8594" spans="1:6" x14ac:dyDescent="0.35">
      <c r="A8594">
        <v>1975</v>
      </c>
      <c r="B8594" s="1">
        <v>45883</v>
      </c>
      <c r="C8594" s="2">
        <v>0</v>
      </c>
      <c r="D8594">
        <v>3</v>
      </c>
      <c r="E8594">
        <v>18.899999999999999</v>
      </c>
      <c r="F8594">
        <v>89</v>
      </c>
    </row>
    <row r="8595" spans="1:6" x14ac:dyDescent="0.35">
      <c r="A8595">
        <v>1975</v>
      </c>
      <c r="B8595" s="1">
        <v>45883</v>
      </c>
      <c r="C8595" s="2">
        <v>4.1666666666666657E-2</v>
      </c>
      <c r="D8595">
        <v>3</v>
      </c>
      <c r="E8595">
        <v>17.8</v>
      </c>
      <c r="F8595">
        <v>92</v>
      </c>
    </row>
    <row r="8596" spans="1:6" x14ac:dyDescent="0.35">
      <c r="A8596">
        <v>1975</v>
      </c>
      <c r="B8596" s="1">
        <v>45883</v>
      </c>
      <c r="C8596" s="2">
        <v>8.3333333333333329E-2</v>
      </c>
      <c r="D8596">
        <v>3</v>
      </c>
      <c r="E8596">
        <v>17.7</v>
      </c>
      <c r="F8596">
        <v>93</v>
      </c>
    </row>
    <row r="8597" spans="1:6" x14ac:dyDescent="0.35">
      <c r="A8597">
        <v>1975</v>
      </c>
      <c r="B8597" s="1">
        <v>45883</v>
      </c>
      <c r="C8597" s="2">
        <v>0.125</v>
      </c>
      <c r="D8597">
        <v>3</v>
      </c>
      <c r="E8597">
        <v>17.399999999999999</v>
      </c>
      <c r="F8597">
        <v>92</v>
      </c>
    </row>
    <row r="8598" spans="1:6" x14ac:dyDescent="0.35">
      <c r="A8598">
        <v>1975</v>
      </c>
      <c r="B8598" s="1">
        <v>45883</v>
      </c>
      <c r="C8598" s="2">
        <v>0.16666666666666671</v>
      </c>
      <c r="D8598">
        <v>3</v>
      </c>
      <c r="E8598">
        <v>17.399999999999999</v>
      </c>
      <c r="F8598">
        <v>88</v>
      </c>
    </row>
    <row r="8599" spans="1:6" x14ac:dyDescent="0.35">
      <c r="A8599">
        <v>1975</v>
      </c>
      <c r="B8599" s="1">
        <v>45883</v>
      </c>
      <c r="C8599" s="2">
        <v>0.20833333333333329</v>
      </c>
      <c r="D8599">
        <v>3</v>
      </c>
      <c r="E8599">
        <v>18.5</v>
      </c>
      <c r="F8599">
        <v>83</v>
      </c>
    </row>
    <row r="8600" spans="1:6" x14ac:dyDescent="0.35">
      <c r="A8600">
        <v>1975</v>
      </c>
      <c r="B8600" s="1">
        <v>45883</v>
      </c>
      <c r="C8600" s="2">
        <v>0.25</v>
      </c>
      <c r="D8600">
        <v>3</v>
      </c>
      <c r="E8600">
        <v>20.5</v>
      </c>
      <c r="F8600">
        <v>75</v>
      </c>
    </row>
    <row r="8601" spans="1:6" x14ac:dyDescent="0.35">
      <c r="A8601">
        <v>1975</v>
      </c>
      <c r="B8601" s="1">
        <v>45883</v>
      </c>
      <c r="C8601" s="2">
        <v>0.29166666666666669</v>
      </c>
      <c r="D8601">
        <v>3</v>
      </c>
      <c r="E8601">
        <v>22.2</v>
      </c>
      <c r="F8601">
        <v>69</v>
      </c>
    </row>
    <row r="8602" spans="1:6" x14ac:dyDescent="0.35">
      <c r="A8602">
        <v>1975</v>
      </c>
      <c r="B8602" s="1">
        <v>45883</v>
      </c>
      <c r="C8602" s="2">
        <v>0.33333333333333331</v>
      </c>
      <c r="D8602">
        <v>3</v>
      </c>
      <c r="E8602">
        <v>24.7</v>
      </c>
      <c r="F8602">
        <v>59</v>
      </c>
    </row>
    <row r="8603" spans="1:6" x14ac:dyDescent="0.35">
      <c r="A8603">
        <v>1975</v>
      </c>
      <c r="B8603" s="1">
        <v>45883</v>
      </c>
      <c r="C8603" s="2">
        <v>0.375</v>
      </c>
      <c r="D8603">
        <v>3</v>
      </c>
      <c r="E8603">
        <v>26.9</v>
      </c>
      <c r="F8603">
        <v>56</v>
      </c>
    </row>
    <row r="8604" spans="1:6" x14ac:dyDescent="0.35">
      <c r="A8604">
        <v>1975</v>
      </c>
      <c r="B8604" s="1">
        <v>45883</v>
      </c>
      <c r="C8604" s="2">
        <v>0.41666666666666669</v>
      </c>
      <c r="D8604">
        <v>3</v>
      </c>
      <c r="E8604">
        <v>28.8</v>
      </c>
      <c r="F8604">
        <v>53</v>
      </c>
    </row>
    <row r="8605" spans="1:6" x14ac:dyDescent="0.35">
      <c r="A8605">
        <v>1975</v>
      </c>
      <c r="B8605" s="1">
        <v>45883</v>
      </c>
      <c r="C8605" s="2">
        <v>0.45833333333333331</v>
      </c>
      <c r="D8605">
        <v>3</v>
      </c>
      <c r="E8605">
        <v>30.7</v>
      </c>
      <c r="F8605">
        <v>46</v>
      </c>
    </row>
    <row r="8606" spans="1:6" x14ac:dyDescent="0.35">
      <c r="A8606">
        <v>1975</v>
      </c>
      <c r="B8606" s="1">
        <v>45883</v>
      </c>
      <c r="C8606" s="2">
        <v>0.5</v>
      </c>
      <c r="D8606">
        <v>3</v>
      </c>
      <c r="E8606">
        <v>31</v>
      </c>
      <c r="F8606">
        <v>47</v>
      </c>
    </row>
    <row r="8607" spans="1:6" x14ac:dyDescent="0.35">
      <c r="A8607">
        <v>1975</v>
      </c>
      <c r="B8607" s="1">
        <v>45883</v>
      </c>
      <c r="C8607" s="2">
        <v>0.54166666666666663</v>
      </c>
      <c r="D8607">
        <v>3</v>
      </c>
      <c r="E8607">
        <v>31.4</v>
      </c>
      <c r="F8607">
        <v>43</v>
      </c>
    </row>
    <row r="8608" spans="1:6" x14ac:dyDescent="0.35">
      <c r="A8608">
        <v>1975</v>
      </c>
      <c r="B8608" s="1">
        <v>45883</v>
      </c>
      <c r="C8608" s="2">
        <v>0.58333333333333337</v>
      </c>
      <c r="D8608">
        <v>3</v>
      </c>
      <c r="E8608">
        <v>29.7</v>
      </c>
      <c r="F8608">
        <v>64</v>
      </c>
    </row>
    <row r="8609" spans="1:6" x14ac:dyDescent="0.35">
      <c r="A8609">
        <v>1975</v>
      </c>
      <c r="B8609" s="1">
        <v>45883</v>
      </c>
      <c r="C8609" s="2">
        <v>0.625</v>
      </c>
      <c r="D8609">
        <v>3</v>
      </c>
      <c r="E8609">
        <v>33.200000000000003</v>
      </c>
      <c r="F8609">
        <v>44</v>
      </c>
    </row>
    <row r="8610" spans="1:6" x14ac:dyDescent="0.35">
      <c r="A8610">
        <v>1975</v>
      </c>
      <c r="B8610" s="1">
        <v>45883</v>
      </c>
      <c r="C8610" s="2">
        <v>0.66666666666666663</v>
      </c>
      <c r="D8610">
        <v>3</v>
      </c>
      <c r="E8610">
        <v>32.299999999999997</v>
      </c>
      <c r="F8610">
        <v>46</v>
      </c>
    </row>
    <row r="8611" spans="1:6" x14ac:dyDescent="0.35">
      <c r="A8611">
        <v>1975</v>
      </c>
      <c r="B8611" s="1">
        <v>45883</v>
      </c>
      <c r="C8611" s="2">
        <v>0.70833333333333337</v>
      </c>
      <c r="D8611">
        <v>3</v>
      </c>
      <c r="E8611">
        <v>29.2</v>
      </c>
      <c r="F8611">
        <v>63</v>
      </c>
    </row>
    <row r="8612" spans="1:6" x14ac:dyDescent="0.35">
      <c r="A8612">
        <v>1975</v>
      </c>
      <c r="B8612" s="1">
        <v>45883</v>
      </c>
      <c r="C8612" s="2">
        <v>0.75</v>
      </c>
      <c r="D8612">
        <v>3</v>
      </c>
      <c r="E8612">
        <v>26.9</v>
      </c>
      <c r="F8612">
        <v>74</v>
      </c>
    </row>
    <row r="8613" spans="1:6" x14ac:dyDescent="0.35">
      <c r="A8613">
        <v>1975</v>
      </c>
      <c r="B8613" s="1">
        <v>45883</v>
      </c>
      <c r="C8613" s="2">
        <v>0.79166666666666663</v>
      </c>
      <c r="D8613">
        <v>3</v>
      </c>
      <c r="E8613">
        <v>24.5</v>
      </c>
      <c r="F8613">
        <v>84</v>
      </c>
    </row>
    <row r="8614" spans="1:6" x14ac:dyDescent="0.35">
      <c r="A8614">
        <v>1975</v>
      </c>
      <c r="B8614" s="1">
        <v>45883</v>
      </c>
      <c r="C8614" s="2">
        <v>0.83333333333333337</v>
      </c>
      <c r="D8614">
        <v>3</v>
      </c>
      <c r="E8614">
        <v>24.2</v>
      </c>
      <c r="F8614">
        <v>90</v>
      </c>
    </row>
    <row r="8615" spans="1:6" x14ac:dyDescent="0.35">
      <c r="A8615">
        <v>1975</v>
      </c>
      <c r="B8615" s="1">
        <v>45883</v>
      </c>
      <c r="C8615" s="2">
        <v>0.875</v>
      </c>
      <c r="D8615">
        <v>3</v>
      </c>
      <c r="E8615">
        <v>23.9</v>
      </c>
      <c r="F8615">
        <v>90</v>
      </c>
    </row>
    <row r="8616" spans="1:6" x14ac:dyDescent="0.35">
      <c r="A8616">
        <v>1975</v>
      </c>
      <c r="B8616" s="1">
        <v>45883</v>
      </c>
      <c r="C8616" s="2">
        <v>0.91666666666666663</v>
      </c>
      <c r="D8616">
        <v>3</v>
      </c>
      <c r="E8616">
        <v>23.8</v>
      </c>
      <c r="F8616">
        <v>91</v>
      </c>
    </row>
    <row r="8617" spans="1:6" x14ac:dyDescent="0.35">
      <c r="A8617">
        <v>1975</v>
      </c>
      <c r="B8617" s="1">
        <v>45883</v>
      </c>
      <c r="C8617" s="2">
        <v>0.95833333333333337</v>
      </c>
      <c r="D8617">
        <v>3</v>
      </c>
      <c r="E8617">
        <v>22.8</v>
      </c>
      <c r="F8617">
        <v>96</v>
      </c>
    </row>
    <row r="8618" spans="1:6" x14ac:dyDescent="0.35">
      <c r="A8618">
        <v>1975</v>
      </c>
      <c r="B8618" s="1">
        <v>45884</v>
      </c>
      <c r="C8618" s="2">
        <v>0</v>
      </c>
      <c r="D8618">
        <v>3</v>
      </c>
      <c r="E8618">
        <v>22.4</v>
      </c>
      <c r="F8618">
        <v>96</v>
      </c>
    </row>
    <row r="8619" spans="1:6" x14ac:dyDescent="0.35">
      <c r="A8619">
        <v>1975</v>
      </c>
      <c r="B8619" s="1">
        <v>45884</v>
      </c>
      <c r="C8619" s="2">
        <v>4.1666666666666657E-2</v>
      </c>
      <c r="D8619">
        <v>3</v>
      </c>
      <c r="E8619">
        <v>22.2</v>
      </c>
      <c r="F8619">
        <v>99</v>
      </c>
    </row>
    <row r="8620" spans="1:6" x14ac:dyDescent="0.35">
      <c r="A8620">
        <v>1975</v>
      </c>
      <c r="B8620" s="1">
        <v>45884</v>
      </c>
      <c r="C8620" s="2">
        <v>8.3333333333333329E-2</v>
      </c>
      <c r="D8620">
        <v>3</v>
      </c>
      <c r="E8620">
        <v>21</v>
      </c>
      <c r="F8620">
        <v>100</v>
      </c>
    </row>
    <row r="8621" spans="1:6" x14ac:dyDescent="0.35">
      <c r="A8621">
        <v>1975</v>
      </c>
      <c r="B8621" s="1">
        <v>45884</v>
      </c>
      <c r="C8621" s="2">
        <v>0.125</v>
      </c>
      <c r="D8621">
        <v>3</v>
      </c>
      <c r="E8621">
        <v>21.4</v>
      </c>
      <c r="F8621">
        <v>90</v>
      </c>
    </row>
    <row r="8622" spans="1:6" x14ac:dyDescent="0.35">
      <c r="A8622">
        <v>1975</v>
      </c>
      <c r="B8622" s="1">
        <v>45884</v>
      </c>
      <c r="C8622" s="2">
        <v>0.16666666666666671</v>
      </c>
      <c r="D8622">
        <v>3</v>
      </c>
      <c r="E8622">
        <v>20.9</v>
      </c>
      <c r="F8622">
        <v>92</v>
      </c>
    </row>
    <row r="8623" spans="1:6" x14ac:dyDescent="0.35">
      <c r="A8623">
        <v>1975</v>
      </c>
      <c r="B8623" s="1">
        <v>45884</v>
      </c>
      <c r="C8623" s="2">
        <v>0.20833333333333329</v>
      </c>
      <c r="D8623">
        <v>3</v>
      </c>
      <c r="E8623">
        <v>20</v>
      </c>
      <c r="F8623">
        <v>97</v>
      </c>
    </row>
    <row r="8624" spans="1:6" x14ac:dyDescent="0.35">
      <c r="A8624">
        <v>1975</v>
      </c>
      <c r="B8624" s="1">
        <v>45884</v>
      </c>
      <c r="C8624" s="2">
        <v>0.25</v>
      </c>
      <c r="D8624">
        <v>3</v>
      </c>
      <c r="E8624">
        <v>20.2</v>
      </c>
      <c r="F8624">
        <v>96</v>
      </c>
    </row>
    <row r="8625" spans="1:6" x14ac:dyDescent="0.35">
      <c r="A8625">
        <v>1975</v>
      </c>
      <c r="B8625" s="1">
        <v>45884</v>
      </c>
      <c r="C8625" s="2">
        <v>0.29166666666666669</v>
      </c>
      <c r="D8625">
        <v>3</v>
      </c>
      <c r="E8625">
        <v>21</v>
      </c>
      <c r="F8625">
        <v>89</v>
      </c>
    </row>
    <row r="8626" spans="1:6" x14ac:dyDescent="0.35">
      <c r="A8626">
        <v>1975</v>
      </c>
      <c r="B8626" s="1">
        <v>45884</v>
      </c>
      <c r="C8626" s="2">
        <v>0.33333333333333331</v>
      </c>
      <c r="D8626">
        <v>3</v>
      </c>
      <c r="E8626">
        <v>21.4</v>
      </c>
      <c r="F8626">
        <v>83</v>
      </c>
    </row>
    <row r="8627" spans="1:6" x14ac:dyDescent="0.35">
      <c r="A8627">
        <v>1975</v>
      </c>
      <c r="B8627" s="1">
        <v>45884</v>
      </c>
      <c r="C8627" s="2">
        <v>0.375</v>
      </c>
      <c r="D8627">
        <v>3</v>
      </c>
      <c r="E8627">
        <v>22.7</v>
      </c>
      <c r="F8627">
        <v>72</v>
      </c>
    </row>
    <row r="8628" spans="1:6" x14ac:dyDescent="0.35">
      <c r="A8628">
        <v>1975</v>
      </c>
      <c r="B8628" s="1">
        <v>45884</v>
      </c>
      <c r="C8628" s="2">
        <v>0.41666666666666669</v>
      </c>
      <c r="D8628">
        <v>3</v>
      </c>
      <c r="E8628">
        <v>23.7</v>
      </c>
      <c r="F8628">
        <v>66</v>
      </c>
    </row>
    <row r="8629" spans="1:6" x14ac:dyDescent="0.35">
      <c r="A8629">
        <v>1975</v>
      </c>
      <c r="B8629" s="1">
        <v>45884</v>
      </c>
      <c r="C8629" s="2">
        <v>0.45833333333333331</v>
      </c>
      <c r="D8629">
        <v>3</v>
      </c>
      <c r="E8629">
        <v>24.5</v>
      </c>
      <c r="F8629">
        <v>60</v>
      </c>
    </row>
    <row r="8630" spans="1:6" x14ac:dyDescent="0.35">
      <c r="A8630">
        <v>1975</v>
      </c>
      <c r="B8630" s="1">
        <v>45884</v>
      </c>
      <c r="C8630" s="2">
        <v>0.5</v>
      </c>
      <c r="D8630">
        <v>3</v>
      </c>
      <c r="E8630">
        <v>25.2</v>
      </c>
      <c r="F8630">
        <v>56</v>
      </c>
    </row>
    <row r="8631" spans="1:6" x14ac:dyDescent="0.35">
      <c r="A8631">
        <v>1975</v>
      </c>
      <c r="B8631" s="1">
        <v>45884</v>
      </c>
      <c r="C8631" s="2">
        <v>0.54166666666666663</v>
      </c>
      <c r="D8631">
        <v>3</v>
      </c>
      <c r="E8631">
        <v>25.4</v>
      </c>
      <c r="F8631">
        <v>56</v>
      </c>
    </row>
    <row r="8632" spans="1:6" x14ac:dyDescent="0.35">
      <c r="A8632">
        <v>1975</v>
      </c>
      <c r="B8632" s="1">
        <v>45884</v>
      </c>
      <c r="C8632" s="2">
        <v>0.58333333333333337</v>
      </c>
      <c r="D8632">
        <v>3</v>
      </c>
      <c r="E8632">
        <v>25.6</v>
      </c>
      <c r="F8632">
        <v>56</v>
      </c>
    </row>
    <row r="8633" spans="1:6" x14ac:dyDescent="0.35">
      <c r="A8633">
        <v>1975</v>
      </c>
      <c r="B8633" s="1">
        <v>45884</v>
      </c>
      <c r="C8633" s="2">
        <v>0.625</v>
      </c>
      <c r="D8633">
        <v>3</v>
      </c>
      <c r="E8633">
        <v>25.1</v>
      </c>
      <c r="F8633">
        <v>57</v>
      </c>
    </row>
    <row r="8634" spans="1:6" x14ac:dyDescent="0.35">
      <c r="A8634">
        <v>1975</v>
      </c>
      <c r="B8634" s="1">
        <v>45884</v>
      </c>
      <c r="C8634" s="2">
        <v>0.66666666666666663</v>
      </c>
      <c r="D8634">
        <v>3</v>
      </c>
      <c r="E8634">
        <v>24.5</v>
      </c>
      <c r="F8634">
        <v>59</v>
      </c>
    </row>
    <row r="8635" spans="1:6" x14ac:dyDescent="0.35">
      <c r="A8635">
        <v>1975</v>
      </c>
      <c r="B8635" s="1">
        <v>45884</v>
      </c>
      <c r="C8635" s="2">
        <v>0.70833333333333337</v>
      </c>
      <c r="D8635">
        <v>3</v>
      </c>
      <c r="E8635">
        <v>23.8</v>
      </c>
      <c r="F8635">
        <v>65</v>
      </c>
    </row>
    <row r="8636" spans="1:6" x14ac:dyDescent="0.35">
      <c r="A8636">
        <v>1975</v>
      </c>
      <c r="B8636" s="1">
        <v>45884</v>
      </c>
      <c r="C8636" s="2">
        <v>0.75</v>
      </c>
      <c r="D8636">
        <v>3</v>
      </c>
      <c r="E8636">
        <v>21.7</v>
      </c>
      <c r="F8636">
        <v>80</v>
      </c>
    </row>
    <row r="8637" spans="1:6" x14ac:dyDescent="0.35">
      <c r="A8637">
        <v>1975</v>
      </c>
      <c r="B8637" s="1">
        <v>45884</v>
      </c>
      <c r="C8637" s="2">
        <v>0.79166666666666663</v>
      </c>
      <c r="D8637">
        <v>3</v>
      </c>
      <c r="E8637">
        <v>20.2</v>
      </c>
      <c r="F8637">
        <v>83</v>
      </c>
    </row>
    <row r="8638" spans="1:6" x14ac:dyDescent="0.35">
      <c r="A8638">
        <v>1975</v>
      </c>
      <c r="B8638" s="1">
        <v>45884</v>
      </c>
      <c r="C8638" s="2">
        <v>0.83333333333333337</v>
      </c>
      <c r="D8638">
        <v>3</v>
      </c>
      <c r="E8638">
        <v>19.5</v>
      </c>
      <c r="F8638">
        <v>84</v>
      </c>
    </row>
    <row r="8639" spans="1:6" x14ac:dyDescent="0.35">
      <c r="A8639">
        <v>1975</v>
      </c>
      <c r="B8639" s="1">
        <v>45884</v>
      </c>
      <c r="C8639" s="2">
        <v>0.875</v>
      </c>
      <c r="D8639">
        <v>3</v>
      </c>
      <c r="E8639">
        <v>19</v>
      </c>
      <c r="F8639">
        <v>86</v>
      </c>
    </row>
    <row r="8640" spans="1:6" x14ac:dyDescent="0.35">
      <c r="A8640">
        <v>1975</v>
      </c>
      <c r="B8640" s="1">
        <v>45884</v>
      </c>
      <c r="C8640" s="2">
        <v>0.91666666666666663</v>
      </c>
      <c r="D8640">
        <v>3</v>
      </c>
      <c r="E8640">
        <v>18.100000000000001</v>
      </c>
      <c r="F8640">
        <v>87</v>
      </c>
    </row>
    <row r="8641" spans="1:6" x14ac:dyDescent="0.35">
      <c r="A8641">
        <v>1975</v>
      </c>
      <c r="B8641" s="1">
        <v>45884</v>
      </c>
      <c r="C8641" s="2">
        <v>0.95833333333333337</v>
      </c>
      <c r="D8641">
        <v>3</v>
      </c>
      <c r="E8641">
        <v>18</v>
      </c>
      <c r="F8641">
        <v>87</v>
      </c>
    </row>
    <row r="8642" spans="1:6" x14ac:dyDescent="0.35">
      <c r="A8642">
        <v>1975</v>
      </c>
      <c r="B8642" s="1">
        <v>45885</v>
      </c>
      <c r="C8642" s="2">
        <v>0</v>
      </c>
      <c r="D8642">
        <v>3</v>
      </c>
      <c r="E8642">
        <v>18.100000000000001</v>
      </c>
      <c r="F8642">
        <v>88</v>
      </c>
    </row>
    <row r="8643" spans="1:6" x14ac:dyDescent="0.35">
      <c r="A8643">
        <v>1975</v>
      </c>
      <c r="B8643" s="1">
        <v>45885</v>
      </c>
      <c r="C8643" s="2">
        <v>4.1666666666666657E-2</v>
      </c>
      <c r="D8643">
        <v>3</v>
      </c>
      <c r="E8643">
        <v>18</v>
      </c>
      <c r="F8643">
        <v>88</v>
      </c>
    </row>
    <row r="8644" spans="1:6" x14ac:dyDescent="0.35">
      <c r="A8644">
        <v>1975</v>
      </c>
      <c r="B8644" s="1">
        <v>45885</v>
      </c>
      <c r="C8644" s="2">
        <v>8.3333333333333329E-2</v>
      </c>
      <c r="D8644">
        <v>3</v>
      </c>
      <c r="E8644">
        <v>17.5</v>
      </c>
      <c r="F8644">
        <v>86</v>
      </c>
    </row>
    <row r="8645" spans="1:6" x14ac:dyDescent="0.35">
      <c r="A8645">
        <v>1975</v>
      </c>
      <c r="B8645" s="1">
        <v>45885</v>
      </c>
      <c r="C8645" s="2">
        <v>0.125</v>
      </c>
      <c r="D8645">
        <v>3</v>
      </c>
      <c r="E8645">
        <v>16.899999999999999</v>
      </c>
      <c r="F8645">
        <v>86</v>
      </c>
    </row>
    <row r="8646" spans="1:6" x14ac:dyDescent="0.35">
      <c r="A8646">
        <v>1975</v>
      </c>
      <c r="B8646" s="1">
        <v>45885</v>
      </c>
      <c r="C8646" s="2">
        <v>0.16666666666666671</v>
      </c>
      <c r="D8646">
        <v>3</v>
      </c>
      <c r="E8646">
        <v>16.600000000000001</v>
      </c>
      <c r="F8646">
        <v>85</v>
      </c>
    </row>
    <row r="8647" spans="1:6" x14ac:dyDescent="0.35">
      <c r="A8647">
        <v>1975</v>
      </c>
      <c r="B8647" s="1">
        <v>45885</v>
      </c>
      <c r="C8647" s="2">
        <v>0.20833333333333329</v>
      </c>
      <c r="D8647">
        <v>3</v>
      </c>
      <c r="E8647">
        <v>16.399999999999999</v>
      </c>
      <c r="F8647">
        <v>84</v>
      </c>
    </row>
    <row r="8648" spans="1:6" x14ac:dyDescent="0.35">
      <c r="A8648">
        <v>1975</v>
      </c>
      <c r="B8648" s="1">
        <v>45885</v>
      </c>
      <c r="C8648" s="2">
        <v>0.25</v>
      </c>
      <c r="D8648">
        <v>3</v>
      </c>
      <c r="E8648">
        <v>16.2</v>
      </c>
      <c r="F8648">
        <v>77</v>
      </c>
    </row>
    <row r="8649" spans="1:6" x14ac:dyDescent="0.35">
      <c r="A8649">
        <v>1975</v>
      </c>
      <c r="B8649" s="1">
        <v>45885</v>
      </c>
      <c r="C8649" s="2">
        <v>0.29166666666666669</v>
      </c>
      <c r="D8649">
        <v>3</v>
      </c>
      <c r="E8649">
        <v>16.5</v>
      </c>
      <c r="F8649">
        <v>73</v>
      </c>
    </row>
    <row r="8650" spans="1:6" x14ac:dyDescent="0.35">
      <c r="A8650">
        <v>1975</v>
      </c>
      <c r="B8650" s="1">
        <v>45885</v>
      </c>
      <c r="C8650" s="2">
        <v>0.33333333333333331</v>
      </c>
      <c r="D8650">
        <v>3</v>
      </c>
      <c r="E8650">
        <v>17.600000000000001</v>
      </c>
      <c r="F8650">
        <v>68</v>
      </c>
    </row>
    <row r="8651" spans="1:6" x14ac:dyDescent="0.35">
      <c r="A8651">
        <v>1975</v>
      </c>
      <c r="B8651" s="1">
        <v>45885</v>
      </c>
      <c r="C8651" s="2">
        <v>0.375</v>
      </c>
      <c r="D8651">
        <v>3</v>
      </c>
      <c r="E8651">
        <v>18.7</v>
      </c>
      <c r="F8651">
        <v>66</v>
      </c>
    </row>
    <row r="8652" spans="1:6" x14ac:dyDescent="0.35">
      <c r="A8652">
        <v>1975</v>
      </c>
      <c r="B8652" s="1">
        <v>45885</v>
      </c>
      <c r="C8652" s="2">
        <v>0.41666666666666669</v>
      </c>
      <c r="D8652">
        <v>3</v>
      </c>
      <c r="E8652">
        <v>19.2</v>
      </c>
      <c r="F8652">
        <v>59</v>
      </c>
    </row>
    <row r="8653" spans="1:6" x14ac:dyDescent="0.35">
      <c r="A8653">
        <v>1975</v>
      </c>
      <c r="B8653" s="1">
        <v>45885</v>
      </c>
      <c r="C8653" s="2">
        <v>0.45833333333333331</v>
      </c>
      <c r="D8653">
        <v>3</v>
      </c>
      <c r="E8653">
        <v>19.5</v>
      </c>
      <c r="F8653">
        <v>58</v>
      </c>
    </row>
    <row r="8654" spans="1:6" x14ac:dyDescent="0.35">
      <c r="A8654">
        <v>1975</v>
      </c>
      <c r="B8654" s="1">
        <v>45885</v>
      </c>
      <c r="C8654" s="2">
        <v>0.5</v>
      </c>
      <c r="D8654">
        <v>3</v>
      </c>
      <c r="E8654">
        <v>19.5</v>
      </c>
      <c r="F8654">
        <v>58</v>
      </c>
    </row>
    <row r="8655" spans="1:6" x14ac:dyDescent="0.35">
      <c r="A8655">
        <v>1975</v>
      </c>
      <c r="B8655" s="1">
        <v>45885</v>
      </c>
      <c r="C8655" s="2">
        <v>0.54166666666666663</v>
      </c>
      <c r="D8655">
        <v>3</v>
      </c>
      <c r="E8655">
        <v>20.2</v>
      </c>
      <c r="F8655">
        <v>57</v>
      </c>
    </row>
    <row r="8656" spans="1:6" x14ac:dyDescent="0.35">
      <c r="A8656">
        <v>1975</v>
      </c>
      <c r="B8656" s="1">
        <v>45885</v>
      </c>
      <c r="C8656" s="2">
        <v>0.58333333333333337</v>
      </c>
      <c r="D8656">
        <v>3</v>
      </c>
      <c r="E8656">
        <v>19.600000000000001</v>
      </c>
      <c r="F8656">
        <v>60</v>
      </c>
    </row>
    <row r="8657" spans="1:6" x14ac:dyDescent="0.35">
      <c r="A8657">
        <v>1975</v>
      </c>
      <c r="B8657" s="1">
        <v>45885</v>
      </c>
      <c r="C8657" s="2">
        <v>0.625</v>
      </c>
      <c r="D8657">
        <v>3</v>
      </c>
      <c r="E8657">
        <v>19.8</v>
      </c>
      <c r="F8657">
        <v>59</v>
      </c>
    </row>
    <row r="8658" spans="1:6" x14ac:dyDescent="0.35">
      <c r="A8658">
        <v>1975</v>
      </c>
      <c r="B8658" s="1">
        <v>45885</v>
      </c>
      <c r="C8658" s="2">
        <v>0.66666666666666663</v>
      </c>
      <c r="D8658">
        <v>3</v>
      </c>
      <c r="E8658">
        <v>19</v>
      </c>
      <c r="F8658">
        <v>62</v>
      </c>
    </row>
    <row r="8659" spans="1:6" x14ac:dyDescent="0.35">
      <c r="A8659">
        <v>1975</v>
      </c>
      <c r="B8659" s="1">
        <v>45885</v>
      </c>
      <c r="C8659" s="2">
        <v>0.70833333333333337</v>
      </c>
      <c r="D8659">
        <v>3</v>
      </c>
      <c r="E8659">
        <v>18.2</v>
      </c>
      <c r="F8659">
        <v>60</v>
      </c>
    </row>
    <row r="8660" spans="1:6" x14ac:dyDescent="0.35">
      <c r="A8660">
        <v>1975</v>
      </c>
      <c r="B8660" s="1">
        <v>45885</v>
      </c>
      <c r="C8660" s="2">
        <v>0.75</v>
      </c>
      <c r="D8660">
        <v>3</v>
      </c>
      <c r="E8660">
        <v>17.2</v>
      </c>
      <c r="F8660">
        <v>66</v>
      </c>
    </row>
    <row r="8661" spans="1:6" x14ac:dyDescent="0.35">
      <c r="A8661">
        <v>1975</v>
      </c>
      <c r="B8661" s="1">
        <v>45885</v>
      </c>
      <c r="C8661" s="2">
        <v>0.79166666666666663</v>
      </c>
      <c r="D8661">
        <v>3</v>
      </c>
      <c r="E8661">
        <v>15.8</v>
      </c>
      <c r="F8661">
        <v>72</v>
      </c>
    </row>
    <row r="8662" spans="1:6" x14ac:dyDescent="0.35">
      <c r="A8662">
        <v>1975</v>
      </c>
      <c r="B8662" s="1">
        <v>45885</v>
      </c>
      <c r="C8662" s="2">
        <v>0.83333333333333337</v>
      </c>
      <c r="D8662">
        <v>3</v>
      </c>
      <c r="E8662">
        <v>14.6</v>
      </c>
      <c r="F8662">
        <v>76</v>
      </c>
    </row>
    <row r="8663" spans="1:6" x14ac:dyDescent="0.35">
      <c r="A8663">
        <v>1975</v>
      </c>
      <c r="B8663" s="1">
        <v>45885</v>
      </c>
      <c r="C8663" s="2">
        <v>0.875</v>
      </c>
      <c r="D8663">
        <v>3</v>
      </c>
      <c r="E8663">
        <v>14.1</v>
      </c>
      <c r="F8663">
        <v>79</v>
      </c>
    </row>
    <row r="8664" spans="1:6" x14ac:dyDescent="0.35">
      <c r="A8664">
        <v>1975</v>
      </c>
      <c r="B8664" s="1">
        <v>45885</v>
      </c>
      <c r="C8664" s="2">
        <v>0.91666666666666663</v>
      </c>
      <c r="D8664">
        <v>3</v>
      </c>
      <c r="E8664">
        <v>13.8</v>
      </c>
      <c r="F8664">
        <v>81</v>
      </c>
    </row>
    <row r="8665" spans="1:6" x14ac:dyDescent="0.35">
      <c r="A8665">
        <v>1975</v>
      </c>
      <c r="B8665" s="1">
        <v>45885</v>
      </c>
      <c r="C8665" s="2">
        <v>0.95833333333333337</v>
      </c>
      <c r="D8665">
        <v>3</v>
      </c>
      <c r="E8665">
        <v>13.6</v>
      </c>
      <c r="F8665">
        <v>82</v>
      </c>
    </row>
    <row r="8666" spans="1:6" x14ac:dyDescent="0.35">
      <c r="A8666">
        <v>1975</v>
      </c>
      <c r="B8666" s="1">
        <v>45886</v>
      </c>
      <c r="C8666" s="2">
        <v>0</v>
      </c>
      <c r="D8666">
        <v>3</v>
      </c>
      <c r="E8666">
        <v>14.3</v>
      </c>
      <c r="F8666">
        <v>81</v>
      </c>
    </row>
    <row r="8667" spans="1:6" x14ac:dyDescent="0.35">
      <c r="A8667">
        <v>1975</v>
      </c>
      <c r="B8667" s="1">
        <v>45886</v>
      </c>
      <c r="C8667" s="2">
        <v>4.1666666666666657E-2</v>
      </c>
      <c r="D8667">
        <v>3</v>
      </c>
      <c r="E8667">
        <v>14.7</v>
      </c>
      <c r="F8667">
        <v>80</v>
      </c>
    </row>
    <row r="8668" spans="1:6" x14ac:dyDescent="0.35">
      <c r="A8668">
        <v>1975</v>
      </c>
      <c r="B8668" s="1">
        <v>45886</v>
      </c>
      <c r="C8668" s="2">
        <v>8.3333333333333329E-2</v>
      </c>
      <c r="D8668">
        <v>3</v>
      </c>
      <c r="E8668">
        <v>14.8</v>
      </c>
      <c r="F8668">
        <v>80</v>
      </c>
    </row>
    <row r="8669" spans="1:6" x14ac:dyDescent="0.35">
      <c r="A8669">
        <v>1975</v>
      </c>
      <c r="B8669" s="1">
        <v>45886</v>
      </c>
      <c r="C8669" s="2">
        <v>0.125</v>
      </c>
      <c r="D8669">
        <v>3</v>
      </c>
      <c r="E8669">
        <v>14.9</v>
      </c>
      <c r="F8669">
        <v>80</v>
      </c>
    </row>
    <row r="8670" spans="1:6" x14ac:dyDescent="0.35">
      <c r="A8670">
        <v>1975</v>
      </c>
      <c r="B8670" s="1">
        <v>45886</v>
      </c>
      <c r="C8670" s="2">
        <v>0.16666666666666671</v>
      </c>
      <c r="D8670">
        <v>3</v>
      </c>
      <c r="E8670">
        <v>14.3</v>
      </c>
      <c r="F8670">
        <v>84</v>
      </c>
    </row>
    <row r="8671" spans="1:6" x14ac:dyDescent="0.35">
      <c r="A8671">
        <v>1975</v>
      </c>
      <c r="B8671" s="1">
        <v>45886</v>
      </c>
      <c r="C8671" s="2">
        <v>0.20833333333333329</v>
      </c>
      <c r="D8671">
        <v>3</v>
      </c>
      <c r="E8671">
        <v>14.1</v>
      </c>
      <c r="F8671">
        <v>86</v>
      </c>
    </row>
    <row r="8672" spans="1:6" x14ac:dyDescent="0.35">
      <c r="A8672">
        <v>1975</v>
      </c>
      <c r="B8672" s="1">
        <v>45886</v>
      </c>
      <c r="C8672" s="2">
        <v>0.25</v>
      </c>
      <c r="D8672">
        <v>3</v>
      </c>
      <c r="E8672">
        <v>15.2</v>
      </c>
      <c r="F8672">
        <v>80</v>
      </c>
    </row>
    <row r="8673" spans="1:6" x14ac:dyDescent="0.35">
      <c r="A8673">
        <v>1975</v>
      </c>
      <c r="B8673" s="1">
        <v>45886</v>
      </c>
      <c r="C8673" s="2">
        <v>0.29166666666666669</v>
      </c>
      <c r="D8673">
        <v>3</v>
      </c>
      <c r="E8673">
        <v>16.100000000000001</v>
      </c>
      <c r="F8673">
        <v>79</v>
      </c>
    </row>
    <row r="8674" spans="1:6" x14ac:dyDescent="0.35">
      <c r="A8674">
        <v>1975</v>
      </c>
      <c r="B8674" s="1">
        <v>45886</v>
      </c>
      <c r="C8674" s="2">
        <v>0.33333333333333331</v>
      </c>
      <c r="D8674">
        <v>3</v>
      </c>
      <c r="E8674">
        <v>17</v>
      </c>
      <c r="F8674">
        <v>75</v>
      </c>
    </row>
    <row r="8675" spans="1:6" x14ac:dyDescent="0.35">
      <c r="A8675">
        <v>1975</v>
      </c>
      <c r="B8675" s="1">
        <v>45886</v>
      </c>
      <c r="C8675" s="2">
        <v>0.375</v>
      </c>
      <c r="D8675">
        <v>3</v>
      </c>
      <c r="E8675">
        <v>18.2</v>
      </c>
      <c r="F8675">
        <v>66</v>
      </c>
    </row>
    <row r="8676" spans="1:6" x14ac:dyDescent="0.35">
      <c r="A8676">
        <v>1975</v>
      </c>
      <c r="B8676" s="1">
        <v>45886</v>
      </c>
      <c r="C8676" s="2">
        <v>0.41666666666666669</v>
      </c>
      <c r="D8676">
        <v>3</v>
      </c>
      <c r="E8676">
        <v>19.5</v>
      </c>
      <c r="F8676">
        <v>59</v>
      </c>
    </row>
    <row r="8677" spans="1:6" x14ac:dyDescent="0.35">
      <c r="A8677">
        <v>1975</v>
      </c>
      <c r="B8677" s="1">
        <v>45886</v>
      </c>
      <c r="C8677" s="2">
        <v>0.45833333333333331</v>
      </c>
      <c r="D8677">
        <v>3</v>
      </c>
      <c r="E8677">
        <v>20.7</v>
      </c>
      <c r="F8677">
        <v>57</v>
      </c>
    </row>
    <row r="8678" spans="1:6" x14ac:dyDescent="0.35">
      <c r="A8678">
        <v>1975</v>
      </c>
      <c r="B8678" s="1">
        <v>45886</v>
      </c>
      <c r="C8678" s="2">
        <v>0.5</v>
      </c>
      <c r="D8678">
        <v>3</v>
      </c>
      <c r="E8678">
        <v>20.3</v>
      </c>
      <c r="F8678">
        <v>53</v>
      </c>
    </row>
    <row r="8679" spans="1:6" x14ac:dyDescent="0.35">
      <c r="A8679">
        <v>1975</v>
      </c>
      <c r="B8679" s="1">
        <v>45886</v>
      </c>
      <c r="C8679" s="2">
        <v>0.54166666666666663</v>
      </c>
      <c r="D8679">
        <v>3</v>
      </c>
      <c r="E8679">
        <v>21.7</v>
      </c>
      <c r="F8679">
        <v>54</v>
      </c>
    </row>
    <row r="8680" spans="1:6" x14ac:dyDescent="0.35">
      <c r="A8680">
        <v>1975</v>
      </c>
      <c r="B8680" s="1">
        <v>45886</v>
      </c>
      <c r="C8680" s="2">
        <v>0.58333333333333337</v>
      </c>
      <c r="D8680">
        <v>3</v>
      </c>
      <c r="E8680">
        <v>22.2</v>
      </c>
      <c r="F8680">
        <v>54</v>
      </c>
    </row>
    <row r="8681" spans="1:6" x14ac:dyDescent="0.35">
      <c r="A8681">
        <v>1975</v>
      </c>
      <c r="B8681" s="1">
        <v>45886</v>
      </c>
      <c r="C8681" s="2">
        <v>0.625</v>
      </c>
      <c r="D8681">
        <v>3</v>
      </c>
      <c r="E8681">
        <v>23</v>
      </c>
      <c r="F8681">
        <v>46</v>
      </c>
    </row>
    <row r="8682" spans="1:6" x14ac:dyDescent="0.35">
      <c r="A8682">
        <v>1975</v>
      </c>
      <c r="B8682" s="1">
        <v>45886</v>
      </c>
      <c r="C8682" s="2">
        <v>0.66666666666666663</v>
      </c>
      <c r="D8682">
        <v>3</v>
      </c>
      <c r="E8682">
        <v>22.5</v>
      </c>
      <c r="F8682">
        <v>43</v>
      </c>
    </row>
    <row r="8683" spans="1:6" x14ac:dyDescent="0.35">
      <c r="A8683">
        <v>1975</v>
      </c>
      <c r="B8683" s="1">
        <v>45886</v>
      </c>
      <c r="C8683" s="2">
        <v>0.70833333333333337</v>
      </c>
      <c r="D8683">
        <v>3</v>
      </c>
      <c r="E8683">
        <v>22.2</v>
      </c>
      <c r="F8683">
        <v>41</v>
      </c>
    </row>
    <row r="8684" spans="1:6" x14ac:dyDescent="0.35">
      <c r="A8684">
        <v>1975</v>
      </c>
      <c r="B8684" s="1">
        <v>45886</v>
      </c>
      <c r="C8684" s="2">
        <v>0.75</v>
      </c>
      <c r="D8684">
        <v>3</v>
      </c>
      <c r="E8684">
        <v>21.2</v>
      </c>
      <c r="F8684">
        <v>47</v>
      </c>
    </row>
    <row r="8685" spans="1:6" x14ac:dyDescent="0.35">
      <c r="A8685">
        <v>1975</v>
      </c>
      <c r="B8685" s="1">
        <v>45886</v>
      </c>
      <c r="C8685" s="2">
        <v>0.79166666666666663</v>
      </c>
      <c r="D8685">
        <v>3</v>
      </c>
      <c r="E8685">
        <v>17</v>
      </c>
      <c r="F8685">
        <v>65</v>
      </c>
    </row>
    <row r="8686" spans="1:6" x14ac:dyDescent="0.35">
      <c r="A8686">
        <v>1975</v>
      </c>
      <c r="B8686" s="1">
        <v>45886</v>
      </c>
      <c r="C8686" s="2">
        <v>0.83333333333333337</v>
      </c>
      <c r="D8686">
        <v>3</v>
      </c>
      <c r="E8686">
        <v>15.3</v>
      </c>
      <c r="F8686">
        <v>76</v>
      </c>
    </row>
    <row r="8687" spans="1:6" x14ac:dyDescent="0.35">
      <c r="A8687">
        <v>1975</v>
      </c>
      <c r="B8687" s="1">
        <v>45886</v>
      </c>
      <c r="C8687" s="2">
        <v>0.875</v>
      </c>
      <c r="D8687">
        <v>3</v>
      </c>
      <c r="E8687">
        <v>14.2</v>
      </c>
      <c r="F8687">
        <v>85</v>
      </c>
    </row>
    <row r="8688" spans="1:6" x14ac:dyDescent="0.35">
      <c r="A8688">
        <v>1975</v>
      </c>
      <c r="B8688" s="1">
        <v>45886</v>
      </c>
      <c r="C8688" s="2">
        <v>0.91666666666666663</v>
      </c>
      <c r="D8688">
        <v>3</v>
      </c>
      <c r="E8688">
        <v>13.6</v>
      </c>
      <c r="F8688">
        <v>86</v>
      </c>
    </row>
    <row r="8689" spans="1:6" x14ac:dyDescent="0.35">
      <c r="A8689">
        <v>1975</v>
      </c>
      <c r="B8689" s="1">
        <v>45886</v>
      </c>
      <c r="C8689" s="2">
        <v>0.95833333333333337</v>
      </c>
      <c r="D8689">
        <v>3</v>
      </c>
      <c r="E8689">
        <v>12.6</v>
      </c>
      <c r="F8689">
        <v>95</v>
      </c>
    </row>
    <row r="8690" spans="1:6" x14ac:dyDescent="0.35">
      <c r="A8690">
        <v>1975</v>
      </c>
      <c r="B8690" s="1">
        <v>45887</v>
      </c>
      <c r="C8690" s="2">
        <v>0</v>
      </c>
      <c r="D8690">
        <v>3</v>
      </c>
      <c r="E8690">
        <v>11.9</v>
      </c>
      <c r="F8690">
        <v>96</v>
      </c>
    </row>
    <row r="8691" spans="1:6" x14ac:dyDescent="0.35">
      <c r="A8691">
        <v>1975</v>
      </c>
      <c r="B8691" s="1">
        <v>45887</v>
      </c>
      <c r="C8691" s="2">
        <v>4.1666666666666657E-2</v>
      </c>
      <c r="D8691">
        <v>3</v>
      </c>
      <c r="E8691">
        <v>11.4</v>
      </c>
      <c r="F8691">
        <v>98</v>
      </c>
    </row>
    <row r="8692" spans="1:6" x14ac:dyDescent="0.35">
      <c r="A8692">
        <v>1975</v>
      </c>
      <c r="B8692" s="1">
        <v>45887</v>
      </c>
      <c r="C8692" s="2">
        <v>8.3333333333333329E-2</v>
      </c>
      <c r="D8692">
        <v>3</v>
      </c>
      <c r="E8692">
        <v>11.3</v>
      </c>
      <c r="F8692">
        <v>99</v>
      </c>
    </row>
    <row r="8693" spans="1:6" x14ac:dyDescent="0.35">
      <c r="A8693">
        <v>1975</v>
      </c>
      <c r="B8693" s="1">
        <v>45887</v>
      </c>
      <c r="C8693" s="2">
        <v>0.125</v>
      </c>
      <c r="D8693">
        <v>3</v>
      </c>
      <c r="E8693">
        <v>10.6</v>
      </c>
      <c r="F8693">
        <v>98</v>
      </c>
    </row>
    <row r="8694" spans="1:6" x14ac:dyDescent="0.35">
      <c r="A8694">
        <v>1975</v>
      </c>
      <c r="B8694" s="1">
        <v>45887</v>
      </c>
      <c r="C8694" s="2">
        <v>0.16666666666666671</v>
      </c>
      <c r="D8694">
        <v>3</v>
      </c>
      <c r="E8694">
        <v>10.199999999999999</v>
      </c>
      <c r="F8694">
        <v>98</v>
      </c>
    </row>
    <row r="8695" spans="1:6" x14ac:dyDescent="0.35">
      <c r="A8695">
        <v>1975</v>
      </c>
      <c r="B8695" s="1">
        <v>45887</v>
      </c>
      <c r="C8695" s="2">
        <v>0.20833333333333329</v>
      </c>
      <c r="D8695">
        <v>3</v>
      </c>
      <c r="E8695">
        <v>10.5</v>
      </c>
      <c r="F8695">
        <v>94</v>
      </c>
    </row>
    <row r="8696" spans="1:6" x14ac:dyDescent="0.35">
      <c r="A8696">
        <v>1975</v>
      </c>
      <c r="B8696" s="1">
        <v>45887</v>
      </c>
      <c r="C8696" s="2">
        <v>0.25</v>
      </c>
      <c r="D8696">
        <v>3</v>
      </c>
      <c r="E8696">
        <v>15.2</v>
      </c>
      <c r="F8696">
        <v>76</v>
      </c>
    </row>
    <row r="8697" spans="1:6" x14ac:dyDescent="0.35">
      <c r="A8697">
        <v>1975</v>
      </c>
      <c r="B8697" s="1">
        <v>45887</v>
      </c>
      <c r="C8697" s="2">
        <v>0.29166666666666669</v>
      </c>
      <c r="D8697">
        <v>3</v>
      </c>
      <c r="E8697">
        <v>18.399999999999999</v>
      </c>
      <c r="F8697">
        <v>68</v>
      </c>
    </row>
    <row r="8698" spans="1:6" x14ac:dyDescent="0.35">
      <c r="A8698">
        <v>1975</v>
      </c>
      <c r="B8698" s="1">
        <v>45887</v>
      </c>
      <c r="C8698" s="2">
        <v>0.33333333333333331</v>
      </c>
      <c r="D8698">
        <v>3</v>
      </c>
      <c r="E8698">
        <v>19.3</v>
      </c>
      <c r="F8698">
        <v>64</v>
      </c>
    </row>
    <row r="8699" spans="1:6" x14ac:dyDescent="0.35">
      <c r="A8699">
        <v>1975</v>
      </c>
      <c r="B8699" s="1">
        <v>45887</v>
      </c>
      <c r="C8699" s="2">
        <v>0.375</v>
      </c>
      <c r="D8699">
        <v>3</v>
      </c>
      <c r="E8699">
        <v>20.2</v>
      </c>
      <c r="F8699">
        <v>58</v>
      </c>
    </row>
    <row r="8700" spans="1:6" x14ac:dyDescent="0.35">
      <c r="A8700">
        <v>1975</v>
      </c>
      <c r="B8700" s="1">
        <v>45887</v>
      </c>
      <c r="C8700" s="2">
        <v>0.41666666666666669</v>
      </c>
      <c r="D8700">
        <v>3</v>
      </c>
      <c r="E8700">
        <v>21.2</v>
      </c>
      <c r="F8700">
        <v>52</v>
      </c>
    </row>
    <row r="8701" spans="1:6" x14ac:dyDescent="0.35">
      <c r="A8701">
        <v>1975</v>
      </c>
      <c r="B8701" s="1">
        <v>45887</v>
      </c>
      <c r="C8701" s="2">
        <v>0.45833333333333331</v>
      </c>
      <c r="D8701">
        <v>3</v>
      </c>
      <c r="E8701">
        <v>22.2</v>
      </c>
      <c r="F8701">
        <v>52</v>
      </c>
    </row>
    <row r="8702" spans="1:6" x14ac:dyDescent="0.35">
      <c r="A8702">
        <v>1975</v>
      </c>
      <c r="B8702" s="1">
        <v>45887</v>
      </c>
      <c r="C8702" s="2">
        <v>0.5</v>
      </c>
      <c r="D8702">
        <v>3</v>
      </c>
      <c r="E8702">
        <v>22.9</v>
      </c>
      <c r="F8702">
        <v>50</v>
      </c>
    </row>
    <row r="8703" spans="1:6" x14ac:dyDescent="0.35">
      <c r="A8703">
        <v>1975</v>
      </c>
      <c r="B8703" s="1">
        <v>45887</v>
      </c>
      <c r="C8703" s="2">
        <v>0.54166666666666663</v>
      </c>
      <c r="D8703">
        <v>3</v>
      </c>
      <c r="E8703">
        <v>23.5</v>
      </c>
      <c r="F8703">
        <v>45</v>
      </c>
    </row>
    <row r="8704" spans="1:6" x14ac:dyDescent="0.35">
      <c r="A8704">
        <v>1975</v>
      </c>
      <c r="B8704" s="1">
        <v>45887</v>
      </c>
      <c r="C8704" s="2">
        <v>0.58333333333333337</v>
      </c>
      <c r="D8704">
        <v>3</v>
      </c>
      <c r="E8704">
        <v>23.8</v>
      </c>
      <c r="F8704">
        <v>44</v>
      </c>
    </row>
    <row r="8705" spans="1:6" x14ac:dyDescent="0.35">
      <c r="A8705">
        <v>1975</v>
      </c>
      <c r="B8705" s="1">
        <v>45887</v>
      </c>
      <c r="C8705" s="2">
        <v>0.625</v>
      </c>
      <c r="D8705">
        <v>3</v>
      </c>
      <c r="E8705">
        <v>24</v>
      </c>
      <c r="F8705">
        <v>47</v>
      </c>
    </row>
    <row r="8706" spans="1:6" x14ac:dyDescent="0.35">
      <c r="A8706">
        <v>1975</v>
      </c>
      <c r="B8706" s="1">
        <v>45887</v>
      </c>
      <c r="C8706" s="2">
        <v>0.66666666666666663</v>
      </c>
      <c r="D8706">
        <v>3</v>
      </c>
      <c r="E8706">
        <v>24</v>
      </c>
      <c r="F8706">
        <v>46</v>
      </c>
    </row>
    <row r="8707" spans="1:6" x14ac:dyDescent="0.35">
      <c r="A8707">
        <v>1975</v>
      </c>
      <c r="B8707" s="1">
        <v>45887</v>
      </c>
      <c r="C8707" s="2">
        <v>0.70833333333333337</v>
      </c>
      <c r="D8707">
        <v>3</v>
      </c>
      <c r="E8707">
        <v>23.7</v>
      </c>
      <c r="F8707">
        <v>47</v>
      </c>
    </row>
    <row r="8708" spans="1:6" x14ac:dyDescent="0.35">
      <c r="A8708">
        <v>1975</v>
      </c>
      <c r="B8708" s="1">
        <v>45887</v>
      </c>
      <c r="C8708" s="2">
        <v>0.75</v>
      </c>
      <c r="D8708">
        <v>3</v>
      </c>
      <c r="E8708">
        <v>20.9</v>
      </c>
      <c r="F8708">
        <v>60</v>
      </c>
    </row>
    <row r="8709" spans="1:6" x14ac:dyDescent="0.35">
      <c r="A8709">
        <v>1975</v>
      </c>
      <c r="B8709" s="1">
        <v>45887</v>
      </c>
      <c r="C8709" s="2">
        <v>0.79166666666666663</v>
      </c>
      <c r="D8709">
        <v>3</v>
      </c>
      <c r="E8709">
        <v>18.3</v>
      </c>
      <c r="F8709">
        <v>76</v>
      </c>
    </row>
    <row r="8710" spans="1:6" x14ac:dyDescent="0.35">
      <c r="A8710">
        <v>1975</v>
      </c>
      <c r="B8710" s="1">
        <v>45887</v>
      </c>
      <c r="C8710" s="2">
        <v>0.83333333333333337</v>
      </c>
      <c r="D8710">
        <v>3</v>
      </c>
      <c r="E8710">
        <v>16.7</v>
      </c>
      <c r="F8710">
        <v>80</v>
      </c>
    </row>
    <row r="8711" spans="1:6" x14ac:dyDescent="0.35">
      <c r="A8711">
        <v>1975</v>
      </c>
      <c r="B8711" s="1">
        <v>45887</v>
      </c>
      <c r="C8711" s="2">
        <v>0.875</v>
      </c>
      <c r="D8711">
        <v>3</v>
      </c>
      <c r="E8711">
        <v>15.8</v>
      </c>
      <c r="F8711">
        <v>85</v>
      </c>
    </row>
    <row r="8712" spans="1:6" x14ac:dyDescent="0.35">
      <c r="A8712">
        <v>1975</v>
      </c>
      <c r="B8712" s="1">
        <v>45887</v>
      </c>
      <c r="C8712" s="2">
        <v>0.91666666666666663</v>
      </c>
      <c r="D8712">
        <v>3</v>
      </c>
      <c r="E8712">
        <v>14.6</v>
      </c>
      <c r="F8712">
        <v>91</v>
      </c>
    </row>
    <row r="8713" spans="1:6" x14ac:dyDescent="0.35">
      <c r="A8713">
        <v>1975</v>
      </c>
      <c r="B8713" s="1">
        <v>45887</v>
      </c>
      <c r="C8713" s="2">
        <v>0.95833333333333337</v>
      </c>
      <c r="D8713">
        <v>3</v>
      </c>
      <c r="E8713">
        <v>13.9</v>
      </c>
      <c r="F8713">
        <v>96</v>
      </c>
    </row>
    <row r="8714" spans="1:6" x14ac:dyDescent="0.35">
      <c r="A8714">
        <v>1975</v>
      </c>
      <c r="B8714" s="1">
        <v>45888</v>
      </c>
      <c r="C8714" s="2">
        <v>0</v>
      </c>
      <c r="D8714">
        <v>3</v>
      </c>
      <c r="E8714">
        <v>13.2</v>
      </c>
      <c r="F8714">
        <v>99</v>
      </c>
    </row>
    <row r="8715" spans="1:6" x14ac:dyDescent="0.35">
      <c r="A8715">
        <v>1975</v>
      </c>
      <c r="B8715" s="1">
        <v>45888</v>
      </c>
      <c r="C8715" s="2">
        <v>4.1666666666666657E-2</v>
      </c>
      <c r="D8715">
        <v>3</v>
      </c>
      <c r="E8715">
        <v>12.5</v>
      </c>
      <c r="F8715">
        <v>100</v>
      </c>
    </row>
    <row r="8716" spans="1:6" x14ac:dyDescent="0.35">
      <c r="A8716">
        <v>1975</v>
      </c>
      <c r="B8716" s="1">
        <v>45888</v>
      </c>
      <c r="C8716" s="2">
        <v>8.3333333333333329E-2</v>
      </c>
      <c r="D8716">
        <v>3</v>
      </c>
      <c r="E8716">
        <v>12.3</v>
      </c>
      <c r="F8716">
        <v>100</v>
      </c>
    </row>
    <row r="8717" spans="1:6" x14ac:dyDescent="0.35">
      <c r="A8717">
        <v>1975</v>
      </c>
      <c r="B8717" s="1">
        <v>45888</v>
      </c>
      <c r="C8717" s="2">
        <v>0.125</v>
      </c>
      <c r="D8717">
        <v>3</v>
      </c>
      <c r="E8717">
        <v>11.8</v>
      </c>
      <c r="F8717">
        <v>100</v>
      </c>
    </row>
    <row r="8718" spans="1:6" x14ac:dyDescent="0.35">
      <c r="A8718">
        <v>1975</v>
      </c>
      <c r="B8718" s="1">
        <v>45888</v>
      </c>
      <c r="C8718" s="2">
        <v>0.16666666666666671</v>
      </c>
      <c r="D8718">
        <v>3</v>
      </c>
      <c r="E8718">
        <v>11.1</v>
      </c>
      <c r="F8718">
        <v>100</v>
      </c>
    </row>
    <row r="8719" spans="1:6" x14ac:dyDescent="0.35">
      <c r="A8719">
        <v>1975</v>
      </c>
      <c r="B8719" s="1">
        <v>45888</v>
      </c>
      <c r="C8719" s="2">
        <v>0.20833333333333329</v>
      </c>
      <c r="D8719">
        <v>3</v>
      </c>
      <c r="E8719">
        <v>11.6</v>
      </c>
      <c r="F8719">
        <v>97</v>
      </c>
    </row>
    <row r="8720" spans="1:6" x14ac:dyDescent="0.35">
      <c r="A8720">
        <v>1975</v>
      </c>
      <c r="B8720" s="1">
        <v>45888</v>
      </c>
      <c r="C8720" s="2">
        <v>0.25</v>
      </c>
      <c r="D8720">
        <v>3</v>
      </c>
      <c r="E8720">
        <v>15</v>
      </c>
      <c r="F8720">
        <v>80</v>
      </c>
    </row>
    <row r="8721" spans="1:6" x14ac:dyDescent="0.35">
      <c r="A8721">
        <v>1975</v>
      </c>
      <c r="B8721" s="1">
        <v>45888</v>
      </c>
      <c r="C8721" s="2">
        <v>0.29166666666666669</v>
      </c>
      <c r="D8721">
        <v>3</v>
      </c>
      <c r="E8721">
        <v>18.5</v>
      </c>
      <c r="F8721">
        <v>71</v>
      </c>
    </row>
    <row r="8722" spans="1:6" x14ac:dyDescent="0.35">
      <c r="A8722">
        <v>1975</v>
      </c>
      <c r="B8722" s="1">
        <v>45888</v>
      </c>
      <c r="C8722" s="2">
        <v>0.33333333333333331</v>
      </c>
      <c r="D8722">
        <v>3</v>
      </c>
      <c r="E8722">
        <v>20.100000000000001</v>
      </c>
      <c r="F8722">
        <v>66</v>
      </c>
    </row>
    <row r="8723" spans="1:6" x14ac:dyDescent="0.35">
      <c r="A8723">
        <v>1975</v>
      </c>
      <c r="B8723" s="1">
        <v>45888</v>
      </c>
      <c r="C8723" s="2">
        <v>0.375</v>
      </c>
      <c r="D8723">
        <v>3</v>
      </c>
      <c r="E8723">
        <v>21.1</v>
      </c>
      <c r="F8723">
        <v>61</v>
      </c>
    </row>
    <row r="8724" spans="1:6" x14ac:dyDescent="0.35">
      <c r="A8724">
        <v>1975</v>
      </c>
      <c r="B8724" s="1">
        <v>45888</v>
      </c>
      <c r="C8724" s="2">
        <v>0.41666666666666669</v>
      </c>
      <c r="D8724">
        <v>3</v>
      </c>
      <c r="E8724">
        <v>21.9</v>
      </c>
      <c r="F8724">
        <v>53</v>
      </c>
    </row>
    <row r="8725" spans="1:6" x14ac:dyDescent="0.35">
      <c r="A8725">
        <v>1975</v>
      </c>
      <c r="B8725" s="1">
        <v>45888</v>
      </c>
      <c r="C8725" s="2">
        <v>0.45833333333333331</v>
      </c>
      <c r="D8725">
        <v>3</v>
      </c>
      <c r="E8725">
        <v>22.9</v>
      </c>
      <c r="F8725">
        <v>55</v>
      </c>
    </row>
    <row r="8726" spans="1:6" x14ac:dyDescent="0.35">
      <c r="A8726">
        <v>1975</v>
      </c>
      <c r="B8726" s="1">
        <v>45888</v>
      </c>
      <c r="C8726" s="2">
        <v>0.5</v>
      </c>
      <c r="D8726">
        <v>3</v>
      </c>
      <c r="E8726">
        <v>23.1</v>
      </c>
      <c r="F8726">
        <v>58</v>
      </c>
    </row>
    <row r="8727" spans="1:6" x14ac:dyDescent="0.35">
      <c r="A8727">
        <v>1975</v>
      </c>
      <c r="B8727" s="1">
        <v>45888</v>
      </c>
      <c r="C8727" s="2">
        <v>0.54166666666666663</v>
      </c>
      <c r="D8727">
        <v>3</v>
      </c>
      <c r="E8727">
        <v>23.1</v>
      </c>
      <c r="F8727">
        <v>58</v>
      </c>
    </row>
    <row r="8728" spans="1:6" x14ac:dyDescent="0.35">
      <c r="A8728">
        <v>1975</v>
      </c>
      <c r="B8728" s="1">
        <v>45888</v>
      </c>
      <c r="C8728" s="2">
        <v>0.58333333333333337</v>
      </c>
      <c r="D8728">
        <v>3</v>
      </c>
      <c r="E8728">
        <v>22.8</v>
      </c>
      <c r="F8728">
        <v>63</v>
      </c>
    </row>
    <row r="8729" spans="1:6" x14ac:dyDescent="0.35">
      <c r="A8729">
        <v>1975</v>
      </c>
      <c r="B8729" s="1">
        <v>45888</v>
      </c>
      <c r="C8729" s="2">
        <v>0.625</v>
      </c>
      <c r="D8729">
        <v>3</v>
      </c>
      <c r="E8729">
        <v>21.7</v>
      </c>
      <c r="F8729">
        <v>65</v>
      </c>
    </row>
    <row r="8730" spans="1:6" x14ac:dyDescent="0.35">
      <c r="A8730">
        <v>1975</v>
      </c>
      <c r="B8730" s="1">
        <v>45888</v>
      </c>
      <c r="C8730" s="2">
        <v>0.66666666666666663</v>
      </c>
      <c r="D8730">
        <v>3</v>
      </c>
      <c r="E8730">
        <v>20.8</v>
      </c>
      <c r="F8730">
        <v>67</v>
      </c>
    </row>
    <row r="8731" spans="1:6" x14ac:dyDescent="0.35">
      <c r="A8731">
        <v>1975</v>
      </c>
      <c r="B8731" s="1">
        <v>45888</v>
      </c>
      <c r="C8731" s="2">
        <v>0.70833333333333337</v>
      </c>
      <c r="D8731">
        <v>3</v>
      </c>
      <c r="E8731">
        <v>19.7</v>
      </c>
      <c r="F8731">
        <v>69</v>
      </c>
    </row>
    <row r="8732" spans="1:6" x14ac:dyDescent="0.35">
      <c r="A8732">
        <v>1975</v>
      </c>
      <c r="B8732" s="1">
        <v>45888</v>
      </c>
      <c r="C8732" s="2">
        <v>0.75</v>
      </c>
      <c r="D8732">
        <v>3</v>
      </c>
      <c r="E8732">
        <v>18.2</v>
      </c>
      <c r="F8732">
        <v>73</v>
      </c>
    </row>
    <row r="8733" spans="1:6" x14ac:dyDescent="0.35">
      <c r="A8733">
        <v>1975</v>
      </c>
      <c r="B8733" s="1">
        <v>45888</v>
      </c>
      <c r="C8733" s="2">
        <v>0.79166666666666663</v>
      </c>
      <c r="D8733">
        <v>3</v>
      </c>
      <c r="E8733">
        <v>16.399999999999999</v>
      </c>
      <c r="F8733">
        <v>80</v>
      </c>
    </row>
    <row r="8734" spans="1:6" x14ac:dyDescent="0.35">
      <c r="A8734">
        <v>1975</v>
      </c>
      <c r="B8734" s="1">
        <v>45888</v>
      </c>
      <c r="C8734" s="2">
        <v>0.83333333333333337</v>
      </c>
      <c r="D8734">
        <v>3</v>
      </c>
      <c r="E8734">
        <v>15.2</v>
      </c>
      <c r="F8734">
        <v>84</v>
      </c>
    </row>
    <row r="8735" spans="1:6" x14ac:dyDescent="0.35">
      <c r="A8735">
        <v>1975</v>
      </c>
      <c r="B8735" s="1">
        <v>45888</v>
      </c>
      <c r="C8735" s="2">
        <v>0.875</v>
      </c>
      <c r="D8735">
        <v>3</v>
      </c>
      <c r="E8735">
        <v>15.7</v>
      </c>
      <c r="F8735">
        <v>82</v>
      </c>
    </row>
    <row r="8736" spans="1:6" x14ac:dyDescent="0.35">
      <c r="A8736">
        <v>1975</v>
      </c>
      <c r="B8736" s="1">
        <v>45888</v>
      </c>
      <c r="C8736" s="2">
        <v>0.91666666666666663</v>
      </c>
      <c r="D8736">
        <v>3</v>
      </c>
      <c r="E8736">
        <v>15.8</v>
      </c>
      <c r="F8736">
        <v>80</v>
      </c>
    </row>
    <row r="8737" spans="1:6" x14ac:dyDescent="0.35">
      <c r="A8737">
        <v>1975</v>
      </c>
      <c r="B8737" s="1">
        <v>45888</v>
      </c>
      <c r="C8737" s="2">
        <v>0.95833333333333337</v>
      </c>
      <c r="D8737">
        <v>3</v>
      </c>
      <c r="E8737">
        <v>15.6</v>
      </c>
      <c r="F8737">
        <v>79</v>
      </c>
    </row>
    <row r="8738" spans="1:6" x14ac:dyDescent="0.35">
      <c r="A8738">
        <v>1975</v>
      </c>
      <c r="B8738" s="1">
        <v>45889</v>
      </c>
      <c r="C8738" s="2">
        <v>0</v>
      </c>
      <c r="D8738">
        <v>3</v>
      </c>
      <c r="E8738">
        <v>15.4</v>
      </c>
      <c r="F8738">
        <v>79</v>
      </c>
    </row>
    <row r="8739" spans="1:6" x14ac:dyDescent="0.35">
      <c r="A8739">
        <v>1975</v>
      </c>
      <c r="B8739" s="1">
        <v>45889</v>
      </c>
      <c r="C8739" s="2">
        <v>4.1666666666666657E-2</v>
      </c>
      <c r="D8739">
        <v>3</v>
      </c>
      <c r="E8739">
        <v>14.6</v>
      </c>
      <c r="F8739">
        <v>84</v>
      </c>
    </row>
    <row r="8740" spans="1:6" x14ac:dyDescent="0.35">
      <c r="A8740">
        <v>1975</v>
      </c>
      <c r="B8740" s="1">
        <v>45889</v>
      </c>
      <c r="C8740" s="2">
        <v>8.3333333333333329E-2</v>
      </c>
      <c r="D8740">
        <v>3</v>
      </c>
      <c r="E8740">
        <v>14.2</v>
      </c>
      <c r="F8740">
        <v>89</v>
      </c>
    </row>
    <row r="8741" spans="1:6" x14ac:dyDescent="0.35">
      <c r="A8741">
        <v>1975</v>
      </c>
      <c r="B8741" s="1">
        <v>45889</v>
      </c>
      <c r="C8741" s="2">
        <v>0.125</v>
      </c>
      <c r="D8741">
        <v>3</v>
      </c>
      <c r="E8741">
        <v>14.8</v>
      </c>
      <c r="F8741">
        <v>87</v>
      </c>
    </row>
    <row r="8742" spans="1:6" x14ac:dyDescent="0.35">
      <c r="A8742">
        <v>1975</v>
      </c>
      <c r="B8742" s="1">
        <v>45889</v>
      </c>
      <c r="C8742" s="2">
        <v>0.16666666666666671</v>
      </c>
      <c r="D8742">
        <v>3</v>
      </c>
      <c r="E8742">
        <v>14.8</v>
      </c>
      <c r="F8742">
        <v>87</v>
      </c>
    </row>
    <row r="8743" spans="1:6" x14ac:dyDescent="0.35">
      <c r="A8743">
        <v>1975</v>
      </c>
      <c r="B8743" s="1">
        <v>45889</v>
      </c>
      <c r="C8743" s="2">
        <v>0.20833333333333329</v>
      </c>
      <c r="D8743">
        <v>3</v>
      </c>
      <c r="E8743">
        <v>14.2</v>
      </c>
      <c r="F8743">
        <v>92</v>
      </c>
    </row>
    <row r="8744" spans="1:6" x14ac:dyDescent="0.35">
      <c r="A8744">
        <v>1975</v>
      </c>
      <c r="B8744" s="1">
        <v>45889</v>
      </c>
      <c r="C8744" s="2">
        <v>0.25</v>
      </c>
      <c r="D8744">
        <v>3</v>
      </c>
      <c r="E8744">
        <v>15.4</v>
      </c>
      <c r="F8744">
        <v>86</v>
      </c>
    </row>
    <row r="8745" spans="1:6" x14ac:dyDescent="0.35">
      <c r="A8745">
        <v>1975</v>
      </c>
      <c r="B8745" s="1">
        <v>45889</v>
      </c>
      <c r="C8745" s="2">
        <v>0.29166666666666669</v>
      </c>
      <c r="D8745">
        <v>3</v>
      </c>
      <c r="E8745">
        <v>17.399999999999999</v>
      </c>
      <c r="F8745">
        <v>76</v>
      </c>
    </row>
    <row r="8746" spans="1:6" x14ac:dyDescent="0.35">
      <c r="A8746">
        <v>1975</v>
      </c>
      <c r="B8746" s="1">
        <v>45889</v>
      </c>
      <c r="C8746" s="2">
        <v>0.33333333333333331</v>
      </c>
      <c r="D8746">
        <v>3</v>
      </c>
      <c r="E8746">
        <v>18.100000000000001</v>
      </c>
      <c r="F8746">
        <v>75</v>
      </c>
    </row>
    <row r="8747" spans="1:6" x14ac:dyDescent="0.35">
      <c r="A8747">
        <v>1975</v>
      </c>
      <c r="B8747" s="1">
        <v>45889</v>
      </c>
      <c r="C8747" s="2">
        <v>0.375</v>
      </c>
      <c r="D8747">
        <v>3</v>
      </c>
      <c r="E8747">
        <v>18.399999999999999</v>
      </c>
      <c r="F8747">
        <v>69</v>
      </c>
    </row>
    <row r="8748" spans="1:6" x14ac:dyDescent="0.35">
      <c r="A8748">
        <v>1975</v>
      </c>
      <c r="B8748" s="1">
        <v>45889</v>
      </c>
      <c r="C8748" s="2">
        <v>0.41666666666666669</v>
      </c>
      <c r="D8748">
        <v>3</v>
      </c>
      <c r="E8748">
        <v>19.7</v>
      </c>
      <c r="F8748">
        <v>66</v>
      </c>
    </row>
    <row r="8749" spans="1:6" x14ac:dyDescent="0.35">
      <c r="A8749">
        <v>1975</v>
      </c>
      <c r="B8749" s="1">
        <v>45889</v>
      </c>
      <c r="C8749" s="2">
        <v>0.45833333333333331</v>
      </c>
      <c r="D8749">
        <v>3</v>
      </c>
      <c r="E8749">
        <v>20.9</v>
      </c>
      <c r="F8749">
        <v>60</v>
      </c>
    </row>
    <row r="8750" spans="1:6" x14ac:dyDescent="0.35">
      <c r="A8750">
        <v>1975</v>
      </c>
      <c r="B8750" s="1">
        <v>45889</v>
      </c>
      <c r="C8750" s="2">
        <v>0.5</v>
      </c>
      <c r="D8750">
        <v>3</v>
      </c>
      <c r="E8750">
        <v>20.8</v>
      </c>
      <c r="F8750">
        <v>63</v>
      </c>
    </row>
    <row r="8751" spans="1:6" x14ac:dyDescent="0.35">
      <c r="A8751">
        <v>1975</v>
      </c>
      <c r="B8751" s="1">
        <v>45889</v>
      </c>
      <c r="C8751" s="2">
        <v>0.54166666666666663</v>
      </c>
      <c r="D8751">
        <v>3</v>
      </c>
      <c r="E8751">
        <v>21.7</v>
      </c>
      <c r="F8751">
        <v>59</v>
      </c>
    </row>
    <row r="8752" spans="1:6" x14ac:dyDescent="0.35">
      <c r="A8752">
        <v>1975</v>
      </c>
      <c r="B8752" s="1">
        <v>45889</v>
      </c>
      <c r="C8752" s="2">
        <v>0.58333333333333337</v>
      </c>
      <c r="D8752">
        <v>3</v>
      </c>
      <c r="E8752">
        <v>22</v>
      </c>
      <c r="F8752">
        <v>58</v>
      </c>
    </row>
    <row r="8753" spans="1:6" x14ac:dyDescent="0.35">
      <c r="A8753">
        <v>1975</v>
      </c>
      <c r="B8753" s="1">
        <v>45889</v>
      </c>
      <c r="C8753" s="2">
        <v>0.625</v>
      </c>
      <c r="D8753">
        <v>3</v>
      </c>
      <c r="E8753">
        <v>20.7</v>
      </c>
      <c r="F8753">
        <v>59</v>
      </c>
    </row>
    <row r="8754" spans="1:6" x14ac:dyDescent="0.35">
      <c r="A8754">
        <v>1975</v>
      </c>
      <c r="B8754" s="1">
        <v>45889</v>
      </c>
      <c r="C8754" s="2">
        <v>0.66666666666666663</v>
      </c>
      <c r="D8754">
        <v>3</v>
      </c>
      <c r="E8754">
        <v>20.5</v>
      </c>
      <c r="F8754">
        <v>53</v>
      </c>
    </row>
    <row r="8755" spans="1:6" x14ac:dyDescent="0.35">
      <c r="A8755">
        <v>1975</v>
      </c>
      <c r="B8755" s="1">
        <v>45889</v>
      </c>
      <c r="C8755" s="2">
        <v>0.70833333333333337</v>
      </c>
      <c r="D8755">
        <v>3</v>
      </c>
      <c r="E8755">
        <v>19.899999999999999</v>
      </c>
      <c r="F8755">
        <v>52</v>
      </c>
    </row>
    <row r="8756" spans="1:6" x14ac:dyDescent="0.35">
      <c r="A8756">
        <v>1975</v>
      </c>
      <c r="B8756" s="1">
        <v>45889</v>
      </c>
      <c r="C8756" s="2">
        <v>0.75</v>
      </c>
      <c r="D8756">
        <v>3</v>
      </c>
      <c r="E8756">
        <v>18.7</v>
      </c>
      <c r="F8756">
        <v>57</v>
      </c>
    </row>
    <row r="8757" spans="1:6" x14ac:dyDescent="0.35">
      <c r="A8757">
        <v>1975</v>
      </c>
      <c r="B8757" s="1">
        <v>45889</v>
      </c>
      <c r="C8757" s="2">
        <v>0.79166666666666663</v>
      </c>
      <c r="D8757">
        <v>3</v>
      </c>
      <c r="E8757">
        <v>17.399999999999999</v>
      </c>
      <c r="F8757">
        <v>58</v>
      </c>
    </row>
    <row r="8758" spans="1:6" x14ac:dyDescent="0.35">
      <c r="A8758">
        <v>1975</v>
      </c>
      <c r="B8758" s="1">
        <v>45889</v>
      </c>
      <c r="C8758" s="2">
        <v>0.83333333333333337</v>
      </c>
      <c r="D8758">
        <v>3</v>
      </c>
      <c r="E8758">
        <v>15.9</v>
      </c>
      <c r="F8758">
        <v>64</v>
      </c>
    </row>
    <row r="8759" spans="1:6" x14ac:dyDescent="0.35">
      <c r="A8759">
        <v>1975</v>
      </c>
      <c r="B8759" s="1">
        <v>45889</v>
      </c>
      <c r="C8759" s="2">
        <v>0.875</v>
      </c>
      <c r="D8759">
        <v>3</v>
      </c>
      <c r="E8759">
        <v>13.4</v>
      </c>
      <c r="F8759">
        <v>74</v>
      </c>
    </row>
    <row r="8760" spans="1:6" x14ac:dyDescent="0.35">
      <c r="A8760">
        <v>1975</v>
      </c>
      <c r="B8760" s="1">
        <v>45889</v>
      </c>
      <c r="C8760" s="2">
        <v>0.91666666666666663</v>
      </c>
      <c r="D8760">
        <v>3</v>
      </c>
      <c r="E8760">
        <v>13.2</v>
      </c>
      <c r="F8760">
        <v>78</v>
      </c>
    </row>
    <row r="8761" spans="1:6" x14ac:dyDescent="0.35">
      <c r="A8761">
        <v>1975</v>
      </c>
      <c r="B8761" s="1">
        <v>45889</v>
      </c>
      <c r="C8761" s="2">
        <v>0.95833333333333337</v>
      </c>
      <c r="D8761">
        <v>3</v>
      </c>
      <c r="E8761">
        <v>12.5</v>
      </c>
      <c r="F8761">
        <v>84</v>
      </c>
    </row>
    <row r="8762" spans="1:6" x14ac:dyDescent="0.35">
      <c r="A8762">
        <v>1975</v>
      </c>
      <c r="B8762" s="1">
        <v>45890</v>
      </c>
      <c r="C8762" s="2">
        <v>0</v>
      </c>
      <c r="D8762">
        <v>3</v>
      </c>
      <c r="E8762">
        <v>11.1</v>
      </c>
      <c r="F8762">
        <v>89</v>
      </c>
    </row>
    <row r="8763" spans="1:6" x14ac:dyDescent="0.35">
      <c r="A8763">
        <v>1975</v>
      </c>
      <c r="B8763" s="1">
        <v>45890</v>
      </c>
      <c r="C8763" s="2">
        <v>4.1666666666666657E-2</v>
      </c>
      <c r="D8763">
        <v>3</v>
      </c>
      <c r="E8763">
        <v>9.9</v>
      </c>
      <c r="F8763">
        <v>97</v>
      </c>
    </row>
    <row r="8764" spans="1:6" x14ac:dyDescent="0.35">
      <c r="A8764">
        <v>1975</v>
      </c>
      <c r="B8764" s="1">
        <v>45890</v>
      </c>
      <c r="C8764" s="2">
        <v>8.3333333333333329E-2</v>
      </c>
      <c r="D8764">
        <v>3</v>
      </c>
      <c r="E8764">
        <v>8.9</v>
      </c>
      <c r="F8764">
        <v>97</v>
      </c>
    </row>
    <row r="8765" spans="1:6" x14ac:dyDescent="0.35">
      <c r="A8765">
        <v>1975</v>
      </c>
      <c r="B8765" s="1">
        <v>45890</v>
      </c>
      <c r="C8765" s="2">
        <v>0.125</v>
      </c>
      <c r="D8765">
        <v>3</v>
      </c>
      <c r="E8765">
        <v>8.1</v>
      </c>
      <c r="F8765">
        <v>100</v>
      </c>
    </row>
    <row r="8766" spans="1:6" x14ac:dyDescent="0.35">
      <c r="A8766">
        <v>1975</v>
      </c>
      <c r="B8766" s="1">
        <v>45890</v>
      </c>
      <c r="C8766" s="2">
        <v>0.16666666666666671</v>
      </c>
      <c r="D8766">
        <v>3</v>
      </c>
      <c r="E8766">
        <v>6.9</v>
      </c>
      <c r="F8766">
        <v>98</v>
      </c>
    </row>
    <row r="8767" spans="1:6" x14ac:dyDescent="0.35">
      <c r="A8767">
        <v>1975</v>
      </c>
      <c r="B8767" s="1">
        <v>45890</v>
      </c>
      <c r="C8767" s="2">
        <v>0.20833333333333329</v>
      </c>
      <c r="D8767">
        <v>3</v>
      </c>
      <c r="E8767">
        <v>8.1999999999999993</v>
      </c>
      <c r="F8767">
        <v>98</v>
      </c>
    </row>
    <row r="8768" spans="1:6" x14ac:dyDescent="0.35">
      <c r="A8768">
        <v>1975</v>
      </c>
      <c r="B8768" s="1">
        <v>45890</v>
      </c>
      <c r="C8768" s="2">
        <v>0.25</v>
      </c>
      <c r="D8768">
        <v>3</v>
      </c>
      <c r="E8768">
        <v>12</v>
      </c>
      <c r="F8768">
        <v>82</v>
      </c>
    </row>
    <row r="8769" spans="1:6" x14ac:dyDescent="0.35">
      <c r="A8769">
        <v>1975</v>
      </c>
      <c r="B8769" s="1">
        <v>45890</v>
      </c>
      <c r="C8769" s="2">
        <v>0.29166666666666669</v>
      </c>
      <c r="D8769">
        <v>3</v>
      </c>
      <c r="E8769">
        <v>14.8</v>
      </c>
      <c r="F8769">
        <v>72</v>
      </c>
    </row>
    <row r="8770" spans="1:6" x14ac:dyDescent="0.35">
      <c r="A8770">
        <v>1975</v>
      </c>
      <c r="B8770" s="1">
        <v>45890</v>
      </c>
      <c r="C8770" s="2">
        <v>0.33333333333333331</v>
      </c>
      <c r="D8770">
        <v>3</v>
      </c>
      <c r="E8770">
        <v>16.600000000000001</v>
      </c>
      <c r="F8770">
        <v>63</v>
      </c>
    </row>
    <row r="8771" spans="1:6" x14ac:dyDescent="0.35">
      <c r="A8771">
        <v>1975</v>
      </c>
      <c r="B8771" s="1">
        <v>45890</v>
      </c>
      <c r="C8771" s="2">
        <v>0.375</v>
      </c>
      <c r="D8771">
        <v>3</v>
      </c>
      <c r="E8771">
        <v>17.399999999999999</v>
      </c>
      <c r="F8771">
        <v>61</v>
      </c>
    </row>
    <row r="8772" spans="1:6" x14ac:dyDescent="0.35">
      <c r="A8772">
        <v>1975</v>
      </c>
      <c r="B8772" s="1">
        <v>45890</v>
      </c>
      <c r="C8772" s="2">
        <v>0.41666666666666669</v>
      </c>
      <c r="D8772">
        <v>3</v>
      </c>
      <c r="E8772">
        <v>18.600000000000001</v>
      </c>
      <c r="F8772">
        <v>60</v>
      </c>
    </row>
    <row r="8773" spans="1:6" x14ac:dyDescent="0.35">
      <c r="A8773">
        <v>1975</v>
      </c>
      <c r="B8773" s="1">
        <v>45890</v>
      </c>
      <c r="C8773" s="2">
        <v>0.45833333333333331</v>
      </c>
      <c r="D8773">
        <v>3</v>
      </c>
      <c r="E8773">
        <v>19.5</v>
      </c>
      <c r="F8773">
        <v>58</v>
      </c>
    </row>
    <row r="8774" spans="1:6" x14ac:dyDescent="0.35">
      <c r="A8774">
        <v>1975</v>
      </c>
      <c r="B8774" s="1">
        <v>45890</v>
      </c>
      <c r="C8774" s="2">
        <v>0.5</v>
      </c>
      <c r="D8774">
        <v>3</v>
      </c>
      <c r="E8774">
        <v>18.600000000000001</v>
      </c>
      <c r="F8774">
        <v>60</v>
      </c>
    </row>
    <row r="8775" spans="1:6" x14ac:dyDescent="0.35">
      <c r="A8775">
        <v>1975</v>
      </c>
      <c r="B8775" s="1">
        <v>45890</v>
      </c>
      <c r="C8775" s="2">
        <v>0.54166666666666663</v>
      </c>
      <c r="D8775">
        <v>3</v>
      </c>
      <c r="E8775">
        <v>18.3</v>
      </c>
      <c r="F8775">
        <v>58</v>
      </c>
    </row>
    <row r="8776" spans="1:6" x14ac:dyDescent="0.35">
      <c r="A8776">
        <v>1975</v>
      </c>
      <c r="B8776" s="1">
        <v>45890</v>
      </c>
      <c r="C8776" s="2">
        <v>0.58333333333333337</v>
      </c>
      <c r="D8776">
        <v>3</v>
      </c>
      <c r="E8776">
        <v>18.3</v>
      </c>
      <c r="F8776">
        <v>56</v>
      </c>
    </row>
    <row r="8777" spans="1:6" x14ac:dyDescent="0.35">
      <c r="A8777">
        <v>1975</v>
      </c>
      <c r="B8777" s="1">
        <v>45890</v>
      </c>
      <c r="C8777" s="2">
        <v>0.625</v>
      </c>
      <c r="D8777">
        <v>3</v>
      </c>
      <c r="E8777">
        <v>17.899999999999999</v>
      </c>
      <c r="F8777">
        <v>50</v>
      </c>
    </row>
    <row r="8778" spans="1:6" x14ac:dyDescent="0.35">
      <c r="A8778">
        <v>1975</v>
      </c>
      <c r="B8778" s="1">
        <v>45890</v>
      </c>
      <c r="C8778" s="2">
        <v>0.66666666666666663</v>
      </c>
      <c r="D8778">
        <v>3</v>
      </c>
      <c r="E8778">
        <v>17.2</v>
      </c>
      <c r="F8778">
        <v>59</v>
      </c>
    </row>
    <row r="8779" spans="1:6" x14ac:dyDescent="0.35">
      <c r="A8779">
        <v>1975</v>
      </c>
      <c r="B8779" s="1">
        <v>45890</v>
      </c>
      <c r="C8779" s="2">
        <v>0.70833333333333337</v>
      </c>
      <c r="D8779">
        <v>3</v>
      </c>
      <c r="E8779">
        <v>16.899999999999999</v>
      </c>
      <c r="F8779">
        <v>61</v>
      </c>
    </row>
    <row r="8780" spans="1:6" x14ac:dyDescent="0.35">
      <c r="A8780">
        <v>1975</v>
      </c>
      <c r="B8780" s="1">
        <v>45890</v>
      </c>
      <c r="C8780" s="2">
        <v>0.75</v>
      </c>
      <c r="D8780">
        <v>3</v>
      </c>
      <c r="E8780">
        <v>15.5</v>
      </c>
      <c r="F8780">
        <v>67</v>
      </c>
    </row>
    <row r="8781" spans="1:6" x14ac:dyDescent="0.35">
      <c r="A8781">
        <v>1975</v>
      </c>
      <c r="B8781" s="1">
        <v>45890</v>
      </c>
      <c r="C8781" s="2">
        <v>0.79166666666666663</v>
      </c>
      <c r="D8781">
        <v>3</v>
      </c>
      <c r="E8781">
        <v>14.2</v>
      </c>
      <c r="F8781">
        <v>75</v>
      </c>
    </row>
    <row r="8782" spans="1:6" x14ac:dyDescent="0.35">
      <c r="A8782">
        <v>1975</v>
      </c>
      <c r="B8782" s="1">
        <v>45890</v>
      </c>
      <c r="C8782" s="2">
        <v>0.83333333333333337</v>
      </c>
      <c r="D8782">
        <v>3</v>
      </c>
      <c r="E8782">
        <v>13.5</v>
      </c>
      <c r="F8782">
        <v>77</v>
      </c>
    </row>
    <row r="8783" spans="1:6" x14ac:dyDescent="0.35">
      <c r="A8783">
        <v>1975</v>
      </c>
      <c r="B8783" s="1">
        <v>45890</v>
      </c>
      <c r="C8783" s="2">
        <v>0.875</v>
      </c>
      <c r="D8783">
        <v>3</v>
      </c>
      <c r="E8783">
        <v>12.8</v>
      </c>
      <c r="F8783">
        <v>81</v>
      </c>
    </row>
    <row r="8784" spans="1:6" x14ac:dyDescent="0.35">
      <c r="A8784">
        <v>1975</v>
      </c>
      <c r="B8784" s="1">
        <v>45890</v>
      </c>
      <c r="C8784" s="2">
        <v>0.91666666666666663</v>
      </c>
      <c r="D8784">
        <v>3</v>
      </c>
      <c r="E8784">
        <v>12.4</v>
      </c>
      <c r="F8784">
        <v>82</v>
      </c>
    </row>
    <row r="8785" spans="1:6" x14ac:dyDescent="0.35">
      <c r="A8785">
        <v>1975</v>
      </c>
      <c r="B8785" s="1">
        <v>45890</v>
      </c>
      <c r="C8785" s="2">
        <v>0.95833333333333337</v>
      </c>
      <c r="D8785">
        <v>3</v>
      </c>
      <c r="E8785">
        <v>11.7</v>
      </c>
      <c r="F8785">
        <v>85</v>
      </c>
    </row>
    <row r="8786" spans="1:6" x14ac:dyDescent="0.35">
      <c r="A8786">
        <v>1975</v>
      </c>
      <c r="B8786" s="1">
        <v>45891</v>
      </c>
      <c r="C8786" s="2">
        <v>0</v>
      </c>
      <c r="D8786">
        <v>3</v>
      </c>
      <c r="E8786">
        <v>11.2</v>
      </c>
      <c r="F8786">
        <v>87</v>
      </c>
    </row>
    <row r="8787" spans="1:6" x14ac:dyDescent="0.35">
      <c r="A8787">
        <v>1975</v>
      </c>
      <c r="B8787" s="1">
        <v>45891</v>
      </c>
      <c r="C8787" s="2">
        <v>4.1666666666666657E-2</v>
      </c>
      <c r="D8787">
        <v>3</v>
      </c>
      <c r="E8787">
        <v>10.9</v>
      </c>
      <c r="F8787">
        <v>87</v>
      </c>
    </row>
    <row r="8788" spans="1:6" x14ac:dyDescent="0.35">
      <c r="A8788">
        <v>1975</v>
      </c>
      <c r="B8788" s="1">
        <v>45891</v>
      </c>
      <c r="C8788" s="2">
        <v>8.3333333333333329E-2</v>
      </c>
      <c r="D8788">
        <v>3</v>
      </c>
      <c r="E8788">
        <v>9.4</v>
      </c>
      <c r="F8788">
        <v>90</v>
      </c>
    </row>
    <row r="8789" spans="1:6" x14ac:dyDescent="0.35">
      <c r="A8789">
        <v>1975</v>
      </c>
      <c r="B8789" s="1">
        <v>45891</v>
      </c>
      <c r="C8789" s="2">
        <v>0.125</v>
      </c>
      <c r="D8789">
        <v>3</v>
      </c>
      <c r="E8789">
        <v>8.4</v>
      </c>
      <c r="F8789">
        <v>96</v>
      </c>
    </row>
    <row r="8790" spans="1:6" x14ac:dyDescent="0.35">
      <c r="A8790">
        <v>1975</v>
      </c>
      <c r="B8790" s="1">
        <v>45891</v>
      </c>
      <c r="C8790" s="2">
        <v>0.16666666666666671</v>
      </c>
      <c r="D8790">
        <v>3</v>
      </c>
      <c r="E8790">
        <v>8.1999999999999993</v>
      </c>
      <c r="F8790">
        <v>98</v>
      </c>
    </row>
    <row r="8791" spans="1:6" x14ac:dyDescent="0.35">
      <c r="A8791">
        <v>1975</v>
      </c>
      <c r="B8791" s="1">
        <v>45891</v>
      </c>
      <c r="C8791" s="2">
        <v>0.20833333333333329</v>
      </c>
      <c r="D8791">
        <v>3</v>
      </c>
      <c r="E8791">
        <v>9.6</v>
      </c>
      <c r="F8791">
        <v>95</v>
      </c>
    </row>
    <row r="8792" spans="1:6" x14ac:dyDescent="0.35">
      <c r="A8792">
        <v>1975</v>
      </c>
      <c r="B8792" s="1">
        <v>45891</v>
      </c>
      <c r="C8792" s="2">
        <v>0.25</v>
      </c>
      <c r="D8792">
        <v>3</v>
      </c>
      <c r="E8792">
        <v>12.2</v>
      </c>
      <c r="F8792">
        <v>87</v>
      </c>
    </row>
    <row r="8793" spans="1:6" x14ac:dyDescent="0.35">
      <c r="A8793">
        <v>1975</v>
      </c>
      <c r="B8793" s="1">
        <v>45891</v>
      </c>
      <c r="C8793" s="2">
        <v>0.29166666666666669</v>
      </c>
      <c r="D8793">
        <v>3</v>
      </c>
      <c r="E8793">
        <v>13.5</v>
      </c>
      <c r="F8793">
        <v>84</v>
      </c>
    </row>
    <row r="8794" spans="1:6" x14ac:dyDescent="0.35">
      <c r="A8794">
        <v>1975</v>
      </c>
      <c r="B8794" s="1">
        <v>45891</v>
      </c>
      <c r="C8794" s="2">
        <v>0.33333333333333331</v>
      </c>
      <c r="D8794">
        <v>3</v>
      </c>
      <c r="E8794">
        <v>14.8</v>
      </c>
      <c r="F8794">
        <v>75</v>
      </c>
    </row>
    <row r="8795" spans="1:6" x14ac:dyDescent="0.35">
      <c r="A8795">
        <v>1975</v>
      </c>
      <c r="B8795" s="1">
        <v>45891</v>
      </c>
      <c r="C8795" s="2">
        <v>0.375</v>
      </c>
      <c r="D8795">
        <v>3</v>
      </c>
      <c r="E8795">
        <v>14.4</v>
      </c>
      <c r="F8795">
        <v>69</v>
      </c>
    </row>
    <row r="8796" spans="1:6" x14ac:dyDescent="0.35">
      <c r="A8796">
        <v>1975</v>
      </c>
      <c r="B8796" s="1">
        <v>45891</v>
      </c>
      <c r="C8796" s="2">
        <v>0.41666666666666669</v>
      </c>
      <c r="D8796">
        <v>3</v>
      </c>
      <c r="E8796">
        <v>15</v>
      </c>
      <c r="F8796">
        <v>69</v>
      </c>
    </row>
    <row r="8797" spans="1:6" x14ac:dyDescent="0.35">
      <c r="A8797">
        <v>1975</v>
      </c>
      <c r="B8797" s="1">
        <v>45891</v>
      </c>
      <c r="C8797" s="2">
        <v>0.45833333333333331</v>
      </c>
      <c r="D8797">
        <v>3</v>
      </c>
      <c r="E8797">
        <v>15.1</v>
      </c>
      <c r="F8797">
        <v>75</v>
      </c>
    </row>
    <row r="8798" spans="1:6" x14ac:dyDescent="0.35">
      <c r="A8798">
        <v>1975</v>
      </c>
      <c r="B8798" s="1">
        <v>45891</v>
      </c>
      <c r="C8798" s="2">
        <v>0.5</v>
      </c>
      <c r="D8798">
        <v>3</v>
      </c>
      <c r="E8798">
        <v>15.5</v>
      </c>
      <c r="F8798">
        <v>73</v>
      </c>
    </row>
    <row r="8799" spans="1:6" x14ac:dyDescent="0.35">
      <c r="A8799">
        <v>1975</v>
      </c>
      <c r="B8799" s="1">
        <v>45891</v>
      </c>
      <c r="C8799" s="2">
        <v>0.54166666666666663</v>
      </c>
      <c r="D8799">
        <v>3</v>
      </c>
      <c r="E8799">
        <v>14.2</v>
      </c>
      <c r="F8799">
        <v>78</v>
      </c>
    </row>
    <row r="8800" spans="1:6" x14ac:dyDescent="0.35">
      <c r="A8800">
        <v>1975</v>
      </c>
      <c r="B8800" s="1">
        <v>45891</v>
      </c>
      <c r="C8800" s="2">
        <v>0.58333333333333337</v>
      </c>
      <c r="D8800">
        <v>3</v>
      </c>
      <c r="E8800">
        <v>15.8</v>
      </c>
      <c r="F8800">
        <v>66</v>
      </c>
    </row>
    <row r="8801" spans="1:6" x14ac:dyDescent="0.35">
      <c r="A8801">
        <v>1975</v>
      </c>
      <c r="B8801" s="1">
        <v>45891</v>
      </c>
      <c r="C8801" s="2">
        <v>0.625</v>
      </c>
      <c r="D8801">
        <v>3</v>
      </c>
      <c r="E8801">
        <v>16.399999999999999</v>
      </c>
      <c r="F8801">
        <v>62</v>
      </c>
    </row>
    <row r="8802" spans="1:6" x14ac:dyDescent="0.35">
      <c r="A8802">
        <v>1975</v>
      </c>
      <c r="B8802" s="1">
        <v>45891</v>
      </c>
      <c r="C8802" s="2">
        <v>0.66666666666666663</v>
      </c>
      <c r="D8802">
        <v>3</v>
      </c>
      <c r="E8802">
        <v>15.8</v>
      </c>
      <c r="F8802">
        <v>64</v>
      </c>
    </row>
    <row r="8803" spans="1:6" x14ac:dyDescent="0.35">
      <c r="A8803">
        <v>1975</v>
      </c>
      <c r="B8803" s="1">
        <v>45891</v>
      </c>
      <c r="C8803" s="2">
        <v>0.70833333333333337</v>
      </c>
      <c r="D8803">
        <v>3</v>
      </c>
      <c r="E8803">
        <v>15.8</v>
      </c>
      <c r="F8803">
        <v>63</v>
      </c>
    </row>
    <row r="8804" spans="1:6" x14ac:dyDescent="0.35">
      <c r="A8804">
        <v>1975</v>
      </c>
      <c r="B8804" s="1">
        <v>45891</v>
      </c>
      <c r="C8804" s="2">
        <v>0.75</v>
      </c>
      <c r="D8804">
        <v>3</v>
      </c>
      <c r="E8804">
        <v>15</v>
      </c>
      <c r="F8804">
        <v>66</v>
      </c>
    </row>
    <row r="8805" spans="1:6" x14ac:dyDescent="0.35">
      <c r="A8805">
        <v>1975</v>
      </c>
      <c r="B8805" s="1">
        <v>45891</v>
      </c>
      <c r="C8805" s="2">
        <v>0.79166666666666663</v>
      </c>
      <c r="D8805">
        <v>3</v>
      </c>
      <c r="E8805">
        <v>14.2</v>
      </c>
      <c r="F8805">
        <v>71</v>
      </c>
    </row>
    <row r="8806" spans="1:6" x14ac:dyDescent="0.35">
      <c r="A8806">
        <v>1975</v>
      </c>
      <c r="B8806" s="1">
        <v>45891</v>
      </c>
      <c r="C8806" s="2">
        <v>0.83333333333333337</v>
      </c>
      <c r="D8806">
        <v>3</v>
      </c>
      <c r="E8806">
        <v>13.4</v>
      </c>
      <c r="F8806">
        <v>81</v>
      </c>
    </row>
    <row r="8807" spans="1:6" x14ac:dyDescent="0.35">
      <c r="A8807">
        <v>1975</v>
      </c>
      <c r="B8807" s="1">
        <v>45891</v>
      </c>
      <c r="C8807" s="2">
        <v>0.875</v>
      </c>
      <c r="D8807">
        <v>3</v>
      </c>
      <c r="E8807">
        <v>13</v>
      </c>
      <c r="F8807">
        <v>81</v>
      </c>
    </row>
    <row r="8808" spans="1:6" x14ac:dyDescent="0.35">
      <c r="A8808">
        <v>1975</v>
      </c>
      <c r="B8808" s="1">
        <v>45891</v>
      </c>
      <c r="C8808" s="2">
        <v>0.91666666666666663</v>
      </c>
      <c r="D8808">
        <v>3</v>
      </c>
      <c r="E8808">
        <v>11.7</v>
      </c>
      <c r="F8808">
        <v>86</v>
      </c>
    </row>
    <row r="8809" spans="1:6" x14ac:dyDescent="0.35">
      <c r="A8809">
        <v>1975</v>
      </c>
      <c r="B8809" s="1">
        <v>45891</v>
      </c>
      <c r="C8809" s="2">
        <v>0.95833333333333337</v>
      </c>
      <c r="D8809">
        <v>3</v>
      </c>
      <c r="E8809">
        <v>12.1</v>
      </c>
      <c r="F8809">
        <v>87</v>
      </c>
    </row>
    <row r="8810" spans="1:6" x14ac:dyDescent="0.35">
      <c r="A8810">
        <v>1975</v>
      </c>
      <c r="B8810" s="1">
        <v>45892</v>
      </c>
      <c r="C8810" s="2">
        <v>0</v>
      </c>
      <c r="D8810">
        <v>3</v>
      </c>
      <c r="E8810">
        <v>11.6</v>
      </c>
      <c r="F8810">
        <v>88</v>
      </c>
    </row>
    <row r="8811" spans="1:6" x14ac:dyDescent="0.35">
      <c r="A8811">
        <v>1975</v>
      </c>
      <c r="B8811" s="1">
        <v>45892</v>
      </c>
      <c r="C8811" s="2">
        <v>4.1666666666666657E-2</v>
      </c>
      <c r="D8811">
        <v>3</v>
      </c>
      <c r="E8811">
        <v>11.5</v>
      </c>
      <c r="F8811">
        <v>92</v>
      </c>
    </row>
    <row r="8812" spans="1:6" x14ac:dyDescent="0.35">
      <c r="A8812">
        <v>1975</v>
      </c>
      <c r="B8812" s="1">
        <v>45892</v>
      </c>
      <c r="C8812" s="2">
        <v>8.3333333333333329E-2</v>
      </c>
      <c r="D8812">
        <v>3</v>
      </c>
      <c r="E8812">
        <v>10.9</v>
      </c>
      <c r="F8812">
        <v>92</v>
      </c>
    </row>
    <row r="8813" spans="1:6" x14ac:dyDescent="0.35">
      <c r="A8813">
        <v>1975</v>
      </c>
      <c r="B8813" s="1">
        <v>45892</v>
      </c>
      <c r="C8813" s="2">
        <v>0.125</v>
      </c>
      <c r="D8813">
        <v>3</v>
      </c>
      <c r="E8813">
        <v>11.2</v>
      </c>
      <c r="F8813">
        <v>92</v>
      </c>
    </row>
    <row r="8814" spans="1:6" x14ac:dyDescent="0.35">
      <c r="A8814">
        <v>1975</v>
      </c>
      <c r="B8814" s="1">
        <v>45892</v>
      </c>
      <c r="C8814" s="2">
        <v>0.16666666666666671</v>
      </c>
      <c r="D8814">
        <v>3</v>
      </c>
      <c r="E8814">
        <v>10.5</v>
      </c>
      <c r="F8814">
        <v>96</v>
      </c>
    </row>
    <row r="8815" spans="1:6" x14ac:dyDescent="0.35">
      <c r="A8815">
        <v>1975</v>
      </c>
      <c r="B8815" s="1">
        <v>45892</v>
      </c>
      <c r="C8815" s="2">
        <v>0.20833333333333329</v>
      </c>
      <c r="D8815">
        <v>3</v>
      </c>
      <c r="E8815">
        <v>10.8</v>
      </c>
      <c r="F8815">
        <v>95</v>
      </c>
    </row>
    <row r="8816" spans="1:6" x14ac:dyDescent="0.35">
      <c r="A8816">
        <v>1975</v>
      </c>
      <c r="B8816" s="1">
        <v>45892</v>
      </c>
      <c r="C8816" s="2">
        <v>0.25</v>
      </c>
      <c r="D8816">
        <v>3</v>
      </c>
      <c r="E8816">
        <v>12.2</v>
      </c>
      <c r="F8816">
        <v>88</v>
      </c>
    </row>
    <row r="8817" spans="1:6" x14ac:dyDescent="0.35">
      <c r="A8817">
        <v>1975</v>
      </c>
      <c r="B8817" s="1">
        <v>45892</v>
      </c>
      <c r="C8817" s="2">
        <v>0.29166666666666669</v>
      </c>
      <c r="D8817">
        <v>3</v>
      </c>
      <c r="E8817">
        <v>12.9</v>
      </c>
      <c r="F8817">
        <v>85</v>
      </c>
    </row>
    <row r="8818" spans="1:6" x14ac:dyDescent="0.35">
      <c r="A8818">
        <v>1975</v>
      </c>
      <c r="B8818" s="1">
        <v>45892</v>
      </c>
      <c r="C8818" s="2">
        <v>0.33333333333333331</v>
      </c>
      <c r="D8818">
        <v>3</v>
      </c>
      <c r="E8818">
        <v>14</v>
      </c>
      <c r="F8818">
        <v>74</v>
      </c>
    </row>
    <row r="8819" spans="1:6" x14ac:dyDescent="0.35">
      <c r="A8819">
        <v>1975</v>
      </c>
      <c r="B8819" s="1">
        <v>45892</v>
      </c>
      <c r="C8819" s="2">
        <v>0.375</v>
      </c>
      <c r="D8819">
        <v>3</v>
      </c>
      <c r="E8819">
        <v>15.2</v>
      </c>
      <c r="F8819">
        <v>64</v>
      </c>
    </row>
    <row r="8820" spans="1:6" x14ac:dyDescent="0.35">
      <c r="A8820">
        <v>1975</v>
      </c>
      <c r="B8820" s="1">
        <v>45892</v>
      </c>
      <c r="C8820" s="2">
        <v>0.41666666666666669</v>
      </c>
      <c r="D8820">
        <v>3</v>
      </c>
      <c r="E8820">
        <v>16.2</v>
      </c>
      <c r="F8820">
        <v>63</v>
      </c>
    </row>
    <row r="8821" spans="1:6" x14ac:dyDescent="0.35">
      <c r="A8821">
        <v>1975</v>
      </c>
      <c r="B8821" s="1">
        <v>45892</v>
      </c>
      <c r="C8821" s="2">
        <v>0.45833333333333331</v>
      </c>
      <c r="D8821">
        <v>3</v>
      </c>
      <c r="E8821">
        <v>17.399999999999999</v>
      </c>
      <c r="F8821">
        <v>56</v>
      </c>
    </row>
    <row r="8822" spans="1:6" x14ac:dyDescent="0.35">
      <c r="A8822">
        <v>1975</v>
      </c>
      <c r="B8822" s="1">
        <v>45892</v>
      </c>
      <c r="C8822" s="2">
        <v>0.5</v>
      </c>
      <c r="D8822">
        <v>3</v>
      </c>
      <c r="E8822">
        <v>18</v>
      </c>
      <c r="F8822">
        <v>55</v>
      </c>
    </row>
    <row r="8823" spans="1:6" x14ac:dyDescent="0.35">
      <c r="A8823">
        <v>1975</v>
      </c>
      <c r="B8823" s="1">
        <v>45892</v>
      </c>
      <c r="C8823" s="2">
        <v>0.54166666666666663</v>
      </c>
      <c r="D8823">
        <v>3</v>
      </c>
      <c r="E8823">
        <v>18.899999999999999</v>
      </c>
      <c r="F8823">
        <v>47</v>
      </c>
    </row>
    <row r="8824" spans="1:6" x14ac:dyDescent="0.35">
      <c r="A8824">
        <v>1975</v>
      </c>
      <c r="B8824" s="1">
        <v>45892</v>
      </c>
      <c r="C8824" s="2">
        <v>0.58333333333333337</v>
      </c>
      <c r="D8824">
        <v>3</v>
      </c>
      <c r="E8824">
        <v>18.2</v>
      </c>
      <c r="F8824">
        <v>52</v>
      </c>
    </row>
    <row r="8825" spans="1:6" x14ac:dyDescent="0.35">
      <c r="A8825">
        <v>1975</v>
      </c>
      <c r="B8825" s="1">
        <v>45892</v>
      </c>
      <c r="C8825" s="2">
        <v>0.625</v>
      </c>
      <c r="D8825">
        <v>3</v>
      </c>
      <c r="E8825">
        <v>18.100000000000001</v>
      </c>
      <c r="F8825">
        <v>51</v>
      </c>
    </row>
    <row r="8826" spans="1:6" x14ac:dyDescent="0.35">
      <c r="A8826">
        <v>1975</v>
      </c>
      <c r="B8826" s="1">
        <v>45892</v>
      </c>
      <c r="C8826" s="2">
        <v>0.66666666666666663</v>
      </c>
      <c r="D8826">
        <v>3</v>
      </c>
      <c r="E8826">
        <v>17.399999999999999</v>
      </c>
      <c r="F8826">
        <v>53</v>
      </c>
    </row>
    <row r="8827" spans="1:6" x14ac:dyDescent="0.35">
      <c r="A8827">
        <v>1975</v>
      </c>
      <c r="B8827" s="1">
        <v>45892</v>
      </c>
      <c r="C8827" s="2">
        <v>0.70833333333333337</v>
      </c>
      <c r="D8827">
        <v>3</v>
      </c>
      <c r="E8827">
        <v>18.2</v>
      </c>
      <c r="F8827">
        <v>52</v>
      </c>
    </row>
    <row r="8828" spans="1:6" x14ac:dyDescent="0.35">
      <c r="A8828">
        <v>1975</v>
      </c>
      <c r="B8828" s="1">
        <v>45892</v>
      </c>
      <c r="C8828" s="2">
        <v>0.75</v>
      </c>
      <c r="D8828">
        <v>3</v>
      </c>
      <c r="E8828">
        <v>16.5</v>
      </c>
      <c r="F8828">
        <v>62</v>
      </c>
    </row>
    <row r="8829" spans="1:6" x14ac:dyDescent="0.35">
      <c r="A8829">
        <v>1975</v>
      </c>
      <c r="B8829" s="1">
        <v>45892</v>
      </c>
      <c r="C8829" s="2">
        <v>0.79166666666666663</v>
      </c>
      <c r="D8829">
        <v>3</v>
      </c>
      <c r="E8829">
        <v>14.9</v>
      </c>
      <c r="F8829">
        <v>69</v>
      </c>
    </row>
    <row r="8830" spans="1:6" x14ac:dyDescent="0.35">
      <c r="A8830">
        <v>1975</v>
      </c>
      <c r="B8830" s="1">
        <v>45892</v>
      </c>
      <c r="C8830" s="2">
        <v>0.83333333333333337</v>
      </c>
      <c r="D8830">
        <v>3</v>
      </c>
      <c r="E8830">
        <v>13.8</v>
      </c>
      <c r="F8830">
        <v>72</v>
      </c>
    </row>
    <row r="8831" spans="1:6" x14ac:dyDescent="0.35">
      <c r="A8831">
        <v>1975</v>
      </c>
      <c r="B8831" s="1">
        <v>45892</v>
      </c>
      <c r="C8831" s="2">
        <v>0.875</v>
      </c>
      <c r="D8831">
        <v>3</v>
      </c>
      <c r="E8831">
        <v>12.8</v>
      </c>
      <c r="F8831">
        <v>77</v>
      </c>
    </row>
    <row r="8832" spans="1:6" x14ac:dyDescent="0.35">
      <c r="A8832">
        <v>1975</v>
      </c>
      <c r="B8832" s="1">
        <v>45892</v>
      </c>
      <c r="C8832" s="2">
        <v>0.91666666666666663</v>
      </c>
      <c r="D8832">
        <v>3</v>
      </c>
      <c r="E8832">
        <v>11.9</v>
      </c>
      <c r="F8832">
        <v>82</v>
      </c>
    </row>
    <row r="8833" spans="1:6" x14ac:dyDescent="0.35">
      <c r="A8833">
        <v>1975</v>
      </c>
      <c r="B8833" s="1">
        <v>45892</v>
      </c>
      <c r="C8833" s="2">
        <v>0.95833333333333337</v>
      </c>
      <c r="D8833">
        <v>3</v>
      </c>
      <c r="E8833">
        <v>11.3</v>
      </c>
      <c r="F8833">
        <v>84</v>
      </c>
    </row>
    <row r="8834" spans="1:6" x14ac:dyDescent="0.35">
      <c r="A8834">
        <v>1975</v>
      </c>
      <c r="B8834" s="1">
        <v>45893</v>
      </c>
      <c r="C8834" s="2">
        <v>0</v>
      </c>
      <c r="D8834">
        <v>3</v>
      </c>
      <c r="E8834">
        <v>10.3</v>
      </c>
      <c r="F8834">
        <v>87</v>
      </c>
    </row>
    <row r="8835" spans="1:6" x14ac:dyDescent="0.35">
      <c r="A8835">
        <v>1975</v>
      </c>
      <c r="B8835" s="1">
        <v>45893</v>
      </c>
      <c r="C8835" s="2">
        <v>4.1666666666666657E-2</v>
      </c>
      <c r="D8835">
        <v>3</v>
      </c>
      <c r="E8835">
        <v>9.1999999999999993</v>
      </c>
      <c r="F8835">
        <v>94</v>
      </c>
    </row>
    <row r="8836" spans="1:6" x14ac:dyDescent="0.35">
      <c r="A8836">
        <v>1975</v>
      </c>
      <c r="B8836" s="1">
        <v>45893</v>
      </c>
      <c r="C8836" s="2">
        <v>8.3333333333333329E-2</v>
      </c>
      <c r="D8836">
        <v>3</v>
      </c>
      <c r="E8836">
        <v>9</v>
      </c>
      <c r="F8836">
        <v>97</v>
      </c>
    </row>
    <row r="8837" spans="1:6" x14ac:dyDescent="0.35">
      <c r="A8837">
        <v>1975</v>
      </c>
      <c r="B8837" s="1">
        <v>45893</v>
      </c>
      <c r="C8837" s="2">
        <v>0.125</v>
      </c>
      <c r="D8837">
        <v>3</v>
      </c>
      <c r="E8837">
        <v>8.6</v>
      </c>
      <c r="F8837">
        <v>99</v>
      </c>
    </row>
    <row r="8838" spans="1:6" x14ac:dyDescent="0.35">
      <c r="A8838">
        <v>1975</v>
      </c>
      <c r="B8838" s="1">
        <v>45893</v>
      </c>
      <c r="C8838" s="2">
        <v>0.16666666666666671</v>
      </c>
      <c r="D8838">
        <v>3</v>
      </c>
      <c r="E8838">
        <v>8.6999999999999993</v>
      </c>
      <c r="F8838">
        <v>100</v>
      </c>
    </row>
    <row r="8839" spans="1:6" x14ac:dyDescent="0.35">
      <c r="A8839">
        <v>1975</v>
      </c>
      <c r="B8839" s="1">
        <v>45893</v>
      </c>
      <c r="C8839" s="2">
        <v>0.20833333333333329</v>
      </c>
      <c r="D8839">
        <v>3</v>
      </c>
      <c r="E8839">
        <v>9</v>
      </c>
      <c r="F8839">
        <v>99</v>
      </c>
    </row>
    <row r="8840" spans="1:6" x14ac:dyDescent="0.35">
      <c r="A8840">
        <v>1975</v>
      </c>
      <c r="B8840" s="1">
        <v>45893</v>
      </c>
      <c r="C8840" s="2">
        <v>0.25</v>
      </c>
      <c r="D8840">
        <v>3</v>
      </c>
      <c r="E8840">
        <v>12.1</v>
      </c>
      <c r="F8840">
        <v>89</v>
      </c>
    </row>
    <row r="8841" spans="1:6" x14ac:dyDescent="0.35">
      <c r="A8841">
        <v>1975</v>
      </c>
      <c r="B8841" s="1">
        <v>45893</v>
      </c>
      <c r="C8841" s="2">
        <v>0.29166666666666669</v>
      </c>
      <c r="D8841">
        <v>3</v>
      </c>
      <c r="E8841">
        <v>13.6</v>
      </c>
      <c r="F8841">
        <v>82</v>
      </c>
    </row>
    <row r="8842" spans="1:6" x14ac:dyDescent="0.35">
      <c r="A8842">
        <v>1975</v>
      </c>
      <c r="B8842" s="1">
        <v>45893</v>
      </c>
      <c r="C8842" s="2">
        <v>0.33333333333333331</v>
      </c>
      <c r="D8842">
        <v>3</v>
      </c>
      <c r="E8842">
        <v>15.6</v>
      </c>
      <c r="F8842">
        <v>76</v>
      </c>
    </row>
    <row r="8843" spans="1:6" x14ac:dyDescent="0.35">
      <c r="A8843">
        <v>1975</v>
      </c>
      <c r="B8843" s="1">
        <v>45893</v>
      </c>
      <c r="C8843" s="2">
        <v>0.375</v>
      </c>
      <c r="D8843">
        <v>3</v>
      </c>
      <c r="E8843">
        <v>15.2</v>
      </c>
      <c r="F8843">
        <v>74</v>
      </c>
    </row>
    <row r="8844" spans="1:6" x14ac:dyDescent="0.35">
      <c r="A8844">
        <v>1975</v>
      </c>
      <c r="B8844" s="1">
        <v>45893</v>
      </c>
      <c r="C8844" s="2">
        <v>0.41666666666666669</v>
      </c>
      <c r="D8844">
        <v>3</v>
      </c>
      <c r="E8844">
        <v>15.7</v>
      </c>
      <c r="F8844">
        <v>71</v>
      </c>
    </row>
    <row r="8845" spans="1:6" x14ac:dyDescent="0.35">
      <c r="A8845">
        <v>1975</v>
      </c>
      <c r="B8845" s="1">
        <v>45893</v>
      </c>
      <c r="C8845" s="2">
        <v>0.45833333333333331</v>
      </c>
      <c r="D8845">
        <v>3</v>
      </c>
      <c r="E8845">
        <v>17.100000000000001</v>
      </c>
      <c r="F8845">
        <v>63</v>
      </c>
    </row>
    <row r="8846" spans="1:6" x14ac:dyDescent="0.35">
      <c r="A8846">
        <v>1975</v>
      </c>
      <c r="B8846" s="1">
        <v>45893</v>
      </c>
      <c r="C8846" s="2">
        <v>0.5</v>
      </c>
      <c r="D8846">
        <v>3</v>
      </c>
      <c r="E8846">
        <v>17.8</v>
      </c>
      <c r="F8846">
        <v>53</v>
      </c>
    </row>
    <row r="8847" spans="1:6" x14ac:dyDescent="0.35">
      <c r="A8847">
        <v>1975</v>
      </c>
      <c r="B8847" s="1">
        <v>45893</v>
      </c>
      <c r="C8847" s="2">
        <v>0.54166666666666663</v>
      </c>
      <c r="D8847">
        <v>3</v>
      </c>
      <c r="E8847">
        <v>18.100000000000001</v>
      </c>
      <c r="F8847">
        <v>56</v>
      </c>
    </row>
    <row r="8848" spans="1:6" x14ac:dyDescent="0.35">
      <c r="A8848">
        <v>1975</v>
      </c>
      <c r="B8848" s="1">
        <v>45893</v>
      </c>
      <c r="C8848" s="2">
        <v>0.58333333333333337</v>
      </c>
      <c r="D8848">
        <v>3</v>
      </c>
      <c r="E8848">
        <v>17.600000000000001</v>
      </c>
      <c r="F8848">
        <v>57</v>
      </c>
    </row>
    <row r="8849" spans="1:6" x14ac:dyDescent="0.35">
      <c r="A8849">
        <v>1975</v>
      </c>
      <c r="B8849" s="1">
        <v>45893</v>
      </c>
      <c r="C8849" s="2">
        <v>0.625</v>
      </c>
      <c r="D8849">
        <v>3</v>
      </c>
      <c r="E8849">
        <v>17.100000000000001</v>
      </c>
      <c r="F8849">
        <v>59</v>
      </c>
    </row>
    <row r="8850" spans="1:6" x14ac:dyDescent="0.35">
      <c r="A8850">
        <v>1975</v>
      </c>
      <c r="B8850" s="1">
        <v>45893</v>
      </c>
      <c r="C8850" s="2">
        <v>0.66666666666666663</v>
      </c>
      <c r="D8850">
        <v>3</v>
      </c>
      <c r="E8850">
        <v>17.5</v>
      </c>
      <c r="F8850">
        <v>59</v>
      </c>
    </row>
    <row r="8851" spans="1:6" x14ac:dyDescent="0.35">
      <c r="A8851">
        <v>1975</v>
      </c>
      <c r="B8851" s="1">
        <v>45893</v>
      </c>
      <c r="C8851" s="2">
        <v>0.70833333333333337</v>
      </c>
      <c r="D8851">
        <v>3</v>
      </c>
      <c r="E8851">
        <v>16.5</v>
      </c>
      <c r="F8851">
        <v>63</v>
      </c>
    </row>
    <row r="8852" spans="1:6" x14ac:dyDescent="0.35">
      <c r="A8852">
        <v>1975</v>
      </c>
      <c r="B8852" s="1">
        <v>45893</v>
      </c>
      <c r="C8852" s="2">
        <v>0.75</v>
      </c>
      <c r="D8852">
        <v>3</v>
      </c>
      <c r="E8852">
        <v>15.9</v>
      </c>
      <c r="F8852">
        <v>68</v>
      </c>
    </row>
    <row r="8853" spans="1:6" x14ac:dyDescent="0.35">
      <c r="A8853">
        <v>1975</v>
      </c>
      <c r="B8853" s="1">
        <v>45893</v>
      </c>
      <c r="C8853" s="2">
        <v>0.79166666666666663</v>
      </c>
      <c r="D8853">
        <v>3</v>
      </c>
      <c r="E8853">
        <v>14.2</v>
      </c>
      <c r="F8853">
        <v>76</v>
      </c>
    </row>
    <row r="8854" spans="1:6" x14ac:dyDescent="0.35">
      <c r="A8854">
        <v>1975</v>
      </c>
      <c r="B8854" s="1">
        <v>45893</v>
      </c>
      <c r="C8854" s="2">
        <v>0.83333333333333337</v>
      </c>
      <c r="D8854">
        <v>3</v>
      </c>
      <c r="E8854">
        <v>13.8</v>
      </c>
      <c r="F8854">
        <v>77</v>
      </c>
    </row>
    <row r="8855" spans="1:6" x14ac:dyDescent="0.35">
      <c r="A8855">
        <v>1975</v>
      </c>
      <c r="B8855" s="1">
        <v>45893</v>
      </c>
      <c r="C8855" s="2">
        <v>0.875</v>
      </c>
      <c r="D8855">
        <v>3</v>
      </c>
      <c r="E8855">
        <v>12.3</v>
      </c>
      <c r="F8855">
        <v>84</v>
      </c>
    </row>
    <row r="8856" spans="1:6" x14ac:dyDescent="0.35">
      <c r="A8856">
        <v>1975</v>
      </c>
      <c r="B8856" s="1">
        <v>45893</v>
      </c>
      <c r="C8856" s="2">
        <v>0.91666666666666663</v>
      </c>
      <c r="D8856">
        <v>3</v>
      </c>
      <c r="E8856">
        <v>11.7</v>
      </c>
      <c r="F8856">
        <v>88</v>
      </c>
    </row>
    <row r="8857" spans="1:6" x14ac:dyDescent="0.35">
      <c r="A8857">
        <v>1975</v>
      </c>
      <c r="B8857" s="1">
        <v>45893</v>
      </c>
      <c r="C8857" s="2">
        <v>0.95833333333333337</v>
      </c>
      <c r="D8857">
        <v>3</v>
      </c>
      <c r="E8857">
        <v>11.5</v>
      </c>
      <c r="F8857">
        <v>93</v>
      </c>
    </row>
    <row r="8858" spans="1:6" x14ac:dyDescent="0.35">
      <c r="A8858">
        <v>1975</v>
      </c>
      <c r="B8858" s="1">
        <v>45894</v>
      </c>
      <c r="C8858" s="2">
        <v>0</v>
      </c>
      <c r="D8858">
        <v>3</v>
      </c>
      <c r="E8858">
        <v>12.7</v>
      </c>
      <c r="F8858">
        <v>88</v>
      </c>
    </row>
    <row r="8859" spans="1:6" x14ac:dyDescent="0.35">
      <c r="A8859">
        <v>1975</v>
      </c>
      <c r="B8859" s="1">
        <v>45894</v>
      </c>
      <c r="C8859" s="2">
        <v>4.1666666666666657E-2</v>
      </c>
      <c r="D8859">
        <v>3</v>
      </c>
      <c r="E8859">
        <v>12.8</v>
      </c>
      <c r="F8859">
        <v>89</v>
      </c>
    </row>
    <row r="8860" spans="1:6" x14ac:dyDescent="0.35">
      <c r="A8860">
        <v>1975</v>
      </c>
      <c r="B8860" s="1">
        <v>45894</v>
      </c>
      <c r="C8860" s="2">
        <v>8.3333333333333329E-2</v>
      </c>
      <c r="D8860">
        <v>3</v>
      </c>
      <c r="E8860">
        <v>13</v>
      </c>
      <c r="F8860">
        <v>87</v>
      </c>
    </row>
    <row r="8861" spans="1:6" x14ac:dyDescent="0.35">
      <c r="A8861">
        <v>1975</v>
      </c>
      <c r="B8861" s="1">
        <v>45894</v>
      </c>
      <c r="C8861" s="2">
        <v>0.125</v>
      </c>
      <c r="D8861">
        <v>3</v>
      </c>
      <c r="E8861">
        <v>13</v>
      </c>
      <c r="F8861">
        <v>87</v>
      </c>
    </row>
    <row r="8862" spans="1:6" x14ac:dyDescent="0.35">
      <c r="A8862">
        <v>1975</v>
      </c>
      <c r="B8862" s="1">
        <v>45894</v>
      </c>
      <c r="C8862" s="2">
        <v>0.16666666666666671</v>
      </c>
      <c r="D8862">
        <v>3</v>
      </c>
      <c r="E8862">
        <v>12.8</v>
      </c>
      <c r="F8862">
        <v>87</v>
      </c>
    </row>
    <row r="8863" spans="1:6" x14ac:dyDescent="0.35">
      <c r="A8863">
        <v>1975</v>
      </c>
      <c r="B8863" s="1">
        <v>45894</v>
      </c>
      <c r="C8863" s="2">
        <v>0.20833333333333329</v>
      </c>
      <c r="D8863">
        <v>3</v>
      </c>
      <c r="E8863">
        <v>12.6</v>
      </c>
      <c r="F8863">
        <v>89</v>
      </c>
    </row>
    <row r="8864" spans="1:6" x14ac:dyDescent="0.35">
      <c r="A8864">
        <v>1975</v>
      </c>
      <c r="B8864" s="1">
        <v>45894</v>
      </c>
      <c r="C8864" s="2">
        <v>0.25</v>
      </c>
      <c r="D8864">
        <v>3</v>
      </c>
      <c r="E8864">
        <v>13.1</v>
      </c>
      <c r="F8864">
        <v>88</v>
      </c>
    </row>
    <row r="8865" spans="1:6" x14ac:dyDescent="0.35">
      <c r="A8865">
        <v>1975</v>
      </c>
      <c r="B8865" s="1">
        <v>45894</v>
      </c>
      <c r="C8865" s="2">
        <v>0.29166666666666669</v>
      </c>
      <c r="D8865">
        <v>3</v>
      </c>
      <c r="E8865">
        <v>14.1</v>
      </c>
      <c r="F8865">
        <v>80</v>
      </c>
    </row>
    <row r="8866" spans="1:6" x14ac:dyDescent="0.35">
      <c r="A8866">
        <v>1975</v>
      </c>
      <c r="B8866" s="1">
        <v>45894</v>
      </c>
      <c r="C8866" s="2">
        <v>0.33333333333333331</v>
      </c>
      <c r="D8866">
        <v>3</v>
      </c>
      <c r="E8866">
        <v>15.5</v>
      </c>
      <c r="F8866">
        <v>75</v>
      </c>
    </row>
    <row r="8867" spans="1:6" x14ac:dyDescent="0.35">
      <c r="A8867">
        <v>1975</v>
      </c>
      <c r="B8867" s="1">
        <v>45894</v>
      </c>
      <c r="C8867" s="2">
        <v>0.375</v>
      </c>
      <c r="D8867">
        <v>3</v>
      </c>
      <c r="E8867">
        <v>16.899999999999999</v>
      </c>
      <c r="F8867">
        <v>68</v>
      </c>
    </row>
    <row r="8868" spans="1:6" x14ac:dyDescent="0.35">
      <c r="A8868">
        <v>1975</v>
      </c>
      <c r="B8868" s="1">
        <v>45894</v>
      </c>
      <c r="C8868" s="2">
        <v>0.41666666666666669</v>
      </c>
      <c r="D8868">
        <v>3</v>
      </c>
      <c r="E8868">
        <v>16.600000000000001</v>
      </c>
      <c r="F8868">
        <v>64</v>
      </c>
    </row>
    <row r="8869" spans="1:6" x14ac:dyDescent="0.35">
      <c r="A8869">
        <v>1975</v>
      </c>
      <c r="B8869" s="1">
        <v>45894</v>
      </c>
      <c r="C8869" s="2">
        <v>0.45833333333333331</v>
      </c>
      <c r="D8869">
        <v>3</v>
      </c>
      <c r="E8869">
        <v>18.3</v>
      </c>
      <c r="F8869">
        <v>53</v>
      </c>
    </row>
    <row r="8870" spans="1:6" x14ac:dyDescent="0.35">
      <c r="A8870">
        <v>1975</v>
      </c>
      <c r="B8870" s="1">
        <v>45894</v>
      </c>
      <c r="C8870" s="2">
        <v>0.5</v>
      </c>
      <c r="D8870">
        <v>3</v>
      </c>
      <c r="E8870">
        <v>17.8</v>
      </c>
      <c r="F8870">
        <v>57</v>
      </c>
    </row>
    <row r="8871" spans="1:6" x14ac:dyDescent="0.35">
      <c r="A8871">
        <v>1975</v>
      </c>
      <c r="B8871" s="1">
        <v>45894</v>
      </c>
      <c r="C8871" s="2">
        <v>0.54166666666666663</v>
      </c>
      <c r="D8871">
        <v>3</v>
      </c>
      <c r="E8871">
        <v>17.7</v>
      </c>
      <c r="F8871">
        <v>56</v>
      </c>
    </row>
    <row r="8872" spans="1:6" x14ac:dyDescent="0.35">
      <c r="A8872">
        <v>1975</v>
      </c>
      <c r="B8872" s="1">
        <v>45894</v>
      </c>
      <c r="C8872" s="2">
        <v>0.58333333333333337</v>
      </c>
      <c r="D8872">
        <v>3</v>
      </c>
      <c r="E8872">
        <v>18</v>
      </c>
      <c r="F8872">
        <v>55</v>
      </c>
    </row>
    <row r="8873" spans="1:6" x14ac:dyDescent="0.35">
      <c r="A8873">
        <v>1975</v>
      </c>
      <c r="B8873" s="1">
        <v>45894</v>
      </c>
      <c r="C8873" s="2">
        <v>0.625</v>
      </c>
      <c r="D8873">
        <v>3</v>
      </c>
      <c r="E8873">
        <v>18.5</v>
      </c>
      <c r="F8873">
        <v>56</v>
      </c>
    </row>
    <row r="8874" spans="1:6" x14ac:dyDescent="0.35">
      <c r="A8874">
        <v>1975</v>
      </c>
      <c r="B8874" s="1">
        <v>45894</v>
      </c>
      <c r="C8874" s="2">
        <v>0.66666666666666663</v>
      </c>
      <c r="D8874">
        <v>3</v>
      </c>
      <c r="E8874">
        <v>17.5</v>
      </c>
      <c r="F8874">
        <v>57</v>
      </c>
    </row>
    <row r="8875" spans="1:6" x14ac:dyDescent="0.35">
      <c r="A8875">
        <v>1975</v>
      </c>
      <c r="B8875" s="1">
        <v>45894</v>
      </c>
      <c r="C8875" s="2">
        <v>0.70833333333333337</v>
      </c>
      <c r="D8875">
        <v>3</v>
      </c>
      <c r="E8875">
        <v>17.3</v>
      </c>
      <c r="F8875">
        <v>61</v>
      </c>
    </row>
    <row r="8876" spans="1:6" x14ac:dyDescent="0.35">
      <c r="A8876">
        <v>1975</v>
      </c>
      <c r="B8876" s="1">
        <v>45894</v>
      </c>
      <c r="C8876" s="2">
        <v>0.75</v>
      </c>
      <c r="D8876">
        <v>3</v>
      </c>
      <c r="E8876">
        <v>16</v>
      </c>
      <c r="F8876">
        <v>70</v>
      </c>
    </row>
    <row r="8877" spans="1:6" x14ac:dyDescent="0.35">
      <c r="A8877">
        <v>1975</v>
      </c>
      <c r="B8877" s="1">
        <v>45894</v>
      </c>
      <c r="C8877" s="2">
        <v>0.79166666666666663</v>
      </c>
      <c r="D8877">
        <v>3</v>
      </c>
      <c r="E8877">
        <v>15.2</v>
      </c>
      <c r="F8877">
        <v>75</v>
      </c>
    </row>
    <row r="8878" spans="1:6" x14ac:dyDescent="0.35">
      <c r="A8878">
        <v>1975</v>
      </c>
      <c r="B8878" s="1">
        <v>45894</v>
      </c>
      <c r="C8878" s="2">
        <v>0.83333333333333337</v>
      </c>
      <c r="D8878">
        <v>3</v>
      </c>
      <c r="E8878">
        <v>12.8</v>
      </c>
      <c r="F8878">
        <v>88</v>
      </c>
    </row>
    <row r="8879" spans="1:6" x14ac:dyDescent="0.35">
      <c r="A8879">
        <v>1975</v>
      </c>
      <c r="B8879" s="1">
        <v>45894</v>
      </c>
      <c r="C8879" s="2">
        <v>0.875</v>
      </c>
      <c r="D8879">
        <v>3</v>
      </c>
      <c r="E8879">
        <v>10.9</v>
      </c>
      <c r="F8879">
        <v>90</v>
      </c>
    </row>
    <row r="8880" spans="1:6" x14ac:dyDescent="0.35">
      <c r="A8880">
        <v>1975</v>
      </c>
      <c r="B8880" s="1">
        <v>45894</v>
      </c>
      <c r="C8880" s="2">
        <v>0.91666666666666663</v>
      </c>
      <c r="D8880">
        <v>3</v>
      </c>
      <c r="E8880">
        <v>11.3</v>
      </c>
      <c r="F8880">
        <v>99</v>
      </c>
    </row>
    <row r="8881" spans="1:6" x14ac:dyDescent="0.35">
      <c r="A8881">
        <v>1975</v>
      </c>
      <c r="B8881" s="1">
        <v>45894</v>
      </c>
      <c r="C8881" s="2">
        <v>0.95833333333333337</v>
      </c>
      <c r="D8881">
        <v>3</v>
      </c>
      <c r="E8881">
        <v>10.5</v>
      </c>
      <c r="F8881">
        <v>100</v>
      </c>
    </row>
    <row r="8882" spans="1:6" x14ac:dyDescent="0.35">
      <c r="A8882">
        <v>1975</v>
      </c>
      <c r="B8882" s="1">
        <v>45895</v>
      </c>
      <c r="C8882" s="2">
        <v>0</v>
      </c>
      <c r="D8882">
        <v>3</v>
      </c>
      <c r="E8882">
        <v>9.6</v>
      </c>
      <c r="F8882">
        <v>100</v>
      </c>
    </row>
    <row r="8883" spans="1:6" x14ac:dyDescent="0.35">
      <c r="A8883">
        <v>1975</v>
      </c>
      <c r="B8883" s="1">
        <v>45895</v>
      </c>
      <c r="C8883" s="2">
        <v>4.1666666666666657E-2</v>
      </c>
      <c r="D8883">
        <v>3</v>
      </c>
      <c r="E8883">
        <v>9.5</v>
      </c>
      <c r="F8883">
        <v>100</v>
      </c>
    </row>
    <row r="8884" spans="1:6" x14ac:dyDescent="0.35">
      <c r="A8884">
        <v>1975</v>
      </c>
      <c r="B8884" s="1">
        <v>45895</v>
      </c>
      <c r="C8884" s="2">
        <v>8.3333333333333329E-2</v>
      </c>
      <c r="D8884">
        <v>3</v>
      </c>
      <c r="E8884">
        <v>8.6</v>
      </c>
      <c r="F8884">
        <v>100</v>
      </c>
    </row>
    <row r="8885" spans="1:6" x14ac:dyDescent="0.35">
      <c r="A8885">
        <v>1975</v>
      </c>
      <c r="B8885" s="1">
        <v>45895</v>
      </c>
      <c r="C8885" s="2">
        <v>0.125</v>
      </c>
      <c r="D8885">
        <v>3</v>
      </c>
      <c r="E8885">
        <v>9.1</v>
      </c>
      <c r="F8885">
        <v>100</v>
      </c>
    </row>
    <row r="8886" spans="1:6" x14ac:dyDescent="0.35">
      <c r="A8886">
        <v>1975</v>
      </c>
      <c r="B8886" s="1">
        <v>45895</v>
      </c>
      <c r="C8886" s="2">
        <v>0.16666666666666671</v>
      </c>
      <c r="D8886">
        <v>3</v>
      </c>
      <c r="E8886">
        <v>8.4</v>
      </c>
      <c r="F8886">
        <v>100</v>
      </c>
    </row>
    <row r="8887" spans="1:6" x14ac:dyDescent="0.35">
      <c r="A8887">
        <v>1975</v>
      </c>
      <c r="B8887" s="1">
        <v>45895</v>
      </c>
      <c r="C8887" s="2">
        <v>0.20833333333333329</v>
      </c>
      <c r="D8887">
        <v>3</v>
      </c>
      <c r="E8887">
        <v>9.3000000000000007</v>
      </c>
      <c r="F8887">
        <v>100</v>
      </c>
    </row>
    <row r="8888" spans="1:6" x14ac:dyDescent="0.35">
      <c r="A8888">
        <v>1975</v>
      </c>
      <c r="B8888" s="1">
        <v>45895</v>
      </c>
      <c r="C8888" s="2">
        <v>0.25</v>
      </c>
      <c r="D8888">
        <v>3</v>
      </c>
      <c r="E8888">
        <v>11.9</v>
      </c>
      <c r="F8888">
        <v>97</v>
      </c>
    </row>
    <row r="8889" spans="1:6" x14ac:dyDescent="0.35">
      <c r="A8889">
        <v>1975</v>
      </c>
      <c r="B8889" s="1">
        <v>45895</v>
      </c>
      <c r="C8889" s="2">
        <v>0.29166666666666669</v>
      </c>
      <c r="D8889">
        <v>3</v>
      </c>
      <c r="E8889">
        <v>15.6</v>
      </c>
      <c r="F8889">
        <v>82</v>
      </c>
    </row>
    <row r="8890" spans="1:6" x14ac:dyDescent="0.35">
      <c r="A8890">
        <v>1975</v>
      </c>
      <c r="B8890" s="1">
        <v>45895</v>
      </c>
      <c r="C8890" s="2">
        <v>0.33333333333333331</v>
      </c>
      <c r="D8890">
        <v>3</v>
      </c>
      <c r="E8890">
        <v>17.2</v>
      </c>
      <c r="F8890">
        <v>70</v>
      </c>
    </row>
    <row r="8891" spans="1:6" x14ac:dyDescent="0.35">
      <c r="A8891">
        <v>1975</v>
      </c>
      <c r="B8891" s="1">
        <v>45895</v>
      </c>
      <c r="C8891" s="2">
        <v>0.375</v>
      </c>
      <c r="D8891">
        <v>3</v>
      </c>
      <c r="E8891">
        <v>19.2</v>
      </c>
      <c r="F8891">
        <v>65</v>
      </c>
    </row>
    <row r="8892" spans="1:6" x14ac:dyDescent="0.35">
      <c r="A8892">
        <v>1975</v>
      </c>
      <c r="B8892" s="1">
        <v>45895</v>
      </c>
      <c r="C8892" s="2">
        <v>0.41666666666666669</v>
      </c>
      <c r="D8892">
        <v>3</v>
      </c>
      <c r="E8892">
        <v>19.899999999999999</v>
      </c>
      <c r="F8892">
        <v>61</v>
      </c>
    </row>
    <row r="8893" spans="1:6" x14ac:dyDescent="0.35">
      <c r="A8893">
        <v>1975</v>
      </c>
      <c r="B8893" s="1">
        <v>45895</v>
      </c>
      <c r="C8893" s="2">
        <v>0.45833333333333331</v>
      </c>
      <c r="D8893">
        <v>3</v>
      </c>
      <c r="E8893">
        <v>20.8</v>
      </c>
      <c r="F8893">
        <v>58</v>
      </c>
    </row>
    <row r="8894" spans="1:6" x14ac:dyDescent="0.35">
      <c r="A8894">
        <v>1975</v>
      </c>
      <c r="B8894" s="1">
        <v>45895</v>
      </c>
      <c r="C8894" s="2">
        <v>0.5</v>
      </c>
      <c r="D8894">
        <v>3</v>
      </c>
      <c r="E8894">
        <v>22.2</v>
      </c>
      <c r="F8894">
        <v>56</v>
      </c>
    </row>
    <row r="8895" spans="1:6" x14ac:dyDescent="0.35">
      <c r="A8895">
        <v>1975</v>
      </c>
      <c r="B8895" s="1">
        <v>45895</v>
      </c>
      <c r="C8895" s="2">
        <v>0.54166666666666663</v>
      </c>
      <c r="D8895">
        <v>3</v>
      </c>
      <c r="E8895">
        <v>22.7</v>
      </c>
      <c r="F8895">
        <v>54</v>
      </c>
    </row>
    <row r="8896" spans="1:6" x14ac:dyDescent="0.35">
      <c r="A8896">
        <v>1975</v>
      </c>
      <c r="B8896" s="1">
        <v>45895</v>
      </c>
      <c r="C8896" s="2">
        <v>0.58333333333333337</v>
      </c>
      <c r="D8896">
        <v>3</v>
      </c>
      <c r="E8896">
        <v>22.1</v>
      </c>
      <c r="F8896">
        <v>52</v>
      </c>
    </row>
    <row r="8897" spans="1:6" x14ac:dyDescent="0.35">
      <c r="A8897">
        <v>1975</v>
      </c>
      <c r="B8897" s="1">
        <v>45895</v>
      </c>
      <c r="C8897" s="2">
        <v>0.625</v>
      </c>
      <c r="D8897">
        <v>3</v>
      </c>
      <c r="E8897">
        <v>22.6</v>
      </c>
      <c r="F8897">
        <v>53</v>
      </c>
    </row>
    <row r="8898" spans="1:6" x14ac:dyDescent="0.35">
      <c r="A8898">
        <v>1975</v>
      </c>
      <c r="B8898" s="1">
        <v>45895</v>
      </c>
      <c r="C8898" s="2">
        <v>0.66666666666666663</v>
      </c>
      <c r="D8898">
        <v>3</v>
      </c>
      <c r="E8898">
        <v>23.2</v>
      </c>
      <c r="F8898">
        <v>52</v>
      </c>
    </row>
    <row r="8899" spans="1:6" x14ac:dyDescent="0.35">
      <c r="A8899">
        <v>1975</v>
      </c>
      <c r="B8899" s="1">
        <v>45895</v>
      </c>
      <c r="C8899" s="2">
        <v>0.70833333333333337</v>
      </c>
      <c r="D8899">
        <v>3</v>
      </c>
      <c r="E8899">
        <v>22.1</v>
      </c>
      <c r="F8899">
        <v>54</v>
      </c>
    </row>
    <row r="8900" spans="1:6" x14ac:dyDescent="0.35">
      <c r="A8900">
        <v>1975</v>
      </c>
      <c r="B8900" s="1">
        <v>45895</v>
      </c>
      <c r="C8900" s="2">
        <v>0.75</v>
      </c>
      <c r="D8900">
        <v>3</v>
      </c>
      <c r="E8900">
        <v>21.4</v>
      </c>
      <c r="F8900">
        <v>57</v>
      </c>
    </row>
    <row r="8901" spans="1:6" x14ac:dyDescent="0.35">
      <c r="A8901">
        <v>1975</v>
      </c>
      <c r="B8901" s="1">
        <v>45895</v>
      </c>
      <c r="C8901" s="2">
        <v>0.79166666666666663</v>
      </c>
      <c r="D8901">
        <v>3</v>
      </c>
      <c r="E8901">
        <v>19.7</v>
      </c>
      <c r="F8901">
        <v>64</v>
      </c>
    </row>
    <row r="8902" spans="1:6" x14ac:dyDescent="0.35">
      <c r="A8902">
        <v>1975</v>
      </c>
      <c r="B8902" s="1">
        <v>45895</v>
      </c>
      <c r="C8902" s="2">
        <v>0.83333333333333337</v>
      </c>
      <c r="D8902">
        <v>3</v>
      </c>
      <c r="E8902">
        <v>19.7</v>
      </c>
      <c r="F8902">
        <v>62</v>
      </c>
    </row>
    <row r="8903" spans="1:6" x14ac:dyDescent="0.35">
      <c r="A8903">
        <v>1975</v>
      </c>
      <c r="B8903" s="1">
        <v>45895</v>
      </c>
      <c r="C8903" s="2">
        <v>0.875</v>
      </c>
      <c r="D8903">
        <v>3</v>
      </c>
      <c r="E8903">
        <v>19</v>
      </c>
      <c r="F8903">
        <v>64</v>
      </c>
    </row>
    <row r="8904" spans="1:6" x14ac:dyDescent="0.35">
      <c r="A8904">
        <v>1975</v>
      </c>
      <c r="B8904" s="1">
        <v>45895</v>
      </c>
      <c r="C8904" s="2">
        <v>0.91666666666666663</v>
      </c>
      <c r="D8904">
        <v>3</v>
      </c>
      <c r="E8904">
        <v>18.600000000000001</v>
      </c>
      <c r="F8904">
        <v>65</v>
      </c>
    </row>
    <row r="8905" spans="1:6" x14ac:dyDescent="0.35">
      <c r="A8905">
        <v>1975</v>
      </c>
      <c r="B8905" s="1">
        <v>45895</v>
      </c>
      <c r="C8905" s="2">
        <v>0.95833333333333337</v>
      </c>
      <c r="D8905">
        <v>3</v>
      </c>
      <c r="E8905">
        <v>18.3</v>
      </c>
      <c r="F8905">
        <v>66</v>
      </c>
    </row>
    <row r="8906" spans="1:6" x14ac:dyDescent="0.35">
      <c r="A8906">
        <v>1975</v>
      </c>
      <c r="B8906" s="1">
        <v>45896</v>
      </c>
      <c r="C8906" s="2">
        <v>0</v>
      </c>
      <c r="D8906">
        <v>3</v>
      </c>
      <c r="E8906">
        <v>18.2</v>
      </c>
      <c r="F8906">
        <v>65</v>
      </c>
    </row>
    <row r="8907" spans="1:6" x14ac:dyDescent="0.35">
      <c r="A8907">
        <v>1975</v>
      </c>
      <c r="B8907" s="1">
        <v>45896</v>
      </c>
      <c r="C8907" s="2">
        <v>4.1666666666666657E-2</v>
      </c>
      <c r="D8907">
        <v>3</v>
      </c>
      <c r="E8907">
        <v>18</v>
      </c>
      <c r="F8907">
        <v>65</v>
      </c>
    </row>
    <row r="8908" spans="1:6" x14ac:dyDescent="0.35">
      <c r="A8908">
        <v>1975</v>
      </c>
      <c r="B8908" s="1">
        <v>45896</v>
      </c>
      <c r="C8908" s="2">
        <v>8.3333333333333329E-2</v>
      </c>
      <c r="D8908">
        <v>3</v>
      </c>
      <c r="E8908">
        <v>17.899999999999999</v>
      </c>
      <c r="F8908">
        <v>65</v>
      </c>
    </row>
    <row r="8909" spans="1:6" x14ac:dyDescent="0.35">
      <c r="A8909">
        <v>1975</v>
      </c>
      <c r="B8909" s="1">
        <v>45896</v>
      </c>
      <c r="C8909" s="2">
        <v>0.125</v>
      </c>
      <c r="D8909">
        <v>3</v>
      </c>
      <c r="E8909">
        <v>17.399999999999999</v>
      </c>
      <c r="F8909">
        <v>67</v>
      </c>
    </row>
    <row r="8910" spans="1:6" x14ac:dyDescent="0.35">
      <c r="A8910">
        <v>1975</v>
      </c>
      <c r="B8910" s="1">
        <v>45896</v>
      </c>
      <c r="C8910" s="2">
        <v>0.16666666666666671</v>
      </c>
      <c r="D8910">
        <v>3</v>
      </c>
      <c r="E8910">
        <v>17.399999999999999</v>
      </c>
      <c r="F8910">
        <v>66</v>
      </c>
    </row>
    <row r="8911" spans="1:6" x14ac:dyDescent="0.35">
      <c r="A8911">
        <v>1975</v>
      </c>
      <c r="B8911" s="1">
        <v>45896</v>
      </c>
      <c r="C8911" s="2">
        <v>0.20833333333333329</v>
      </c>
      <c r="D8911">
        <v>3</v>
      </c>
      <c r="E8911">
        <v>17.399999999999999</v>
      </c>
      <c r="F8911">
        <v>67</v>
      </c>
    </row>
    <row r="8912" spans="1:6" x14ac:dyDescent="0.35">
      <c r="A8912">
        <v>1975</v>
      </c>
      <c r="B8912" s="1">
        <v>45896</v>
      </c>
      <c r="C8912" s="2">
        <v>0.25</v>
      </c>
      <c r="D8912">
        <v>3</v>
      </c>
      <c r="E8912">
        <v>17.5</v>
      </c>
      <c r="F8912">
        <v>68</v>
      </c>
    </row>
    <row r="8913" spans="1:6" x14ac:dyDescent="0.35">
      <c r="A8913">
        <v>1975</v>
      </c>
      <c r="B8913" s="1">
        <v>45896</v>
      </c>
      <c r="C8913" s="2">
        <v>0.29166666666666669</v>
      </c>
      <c r="D8913">
        <v>3</v>
      </c>
      <c r="E8913">
        <v>18.5</v>
      </c>
      <c r="F8913">
        <v>67</v>
      </c>
    </row>
    <row r="8914" spans="1:6" x14ac:dyDescent="0.35">
      <c r="A8914">
        <v>1975</v>
      </c>
      <c r="B8914" s="1">
        <v>45896</v>
      </c>
      <c r="C8914" s="2">
        <v>0.33333333333333331</v>
      </c>
      <c r="D8914">
        <v>3</v>
      </c>
      <c r="E8914">
        <v>20.9</v>
      </c>
      <c r="F8914">
        <v>67</v>
      </c>
    </row>
    <row r="8915" spans="1:6" x14ac:dyDescent="0.35">
      <c r="A8915">
        <v>1975</v>
      </c>
      <c r="B8915" s="1">
        <v>45896</v>
      </c>
      <c r="C8915" s="2">
        <v>0.375</v>
      </c>
      <c r="D8915">
        <v>3</v>
      </c>
      <c r="E8915">
        <v>22.2</v>
      </c>
      <c r="F8915">
        <v>67</v>
      </c>
    </row>
    <row r="8916" spans="1:6" x14ac:dyDescent="0.35">
      <c r="A8916">
        <v>1975</v>
      </c>
      <c r="B8916" s="1">
        <v>45896</v>
      </c>
      <c r="C8916" s="2">
        <v>0.41666666666666669</v>
      </c>
      <c r="D8916">
        <v>3</v>
      </c>
      <c r="E8916">
        <v>23.6</v>
      </c>
      <c r="F8916">
        <v>61</v>
      </c>
    </row>
    <row r="8917" spans="1:6" x14ac:dyDescent="0.35">
      <c r="A8917">
        <v>1975</v>
      </c>
      <c r="B8917" s="1">
        <v>45896</v>
      </c>
      <c r="C8917" s="2">
        <v>0.45833333333333331</v>
      </c>
      <c r="D8917">
        <v>3</v>
      </c>
      <c r="E8917">
        <v>24.4</v>
      </c>
      <c r="F8917">
        <v>53</v>
      </c>
    </row>
    <row r="8918" spans="1:6" x14ac:dyDescent="0.35">
      <c r="A8918">
        <v>1975</v>
      </c>
      <c r="B8918" s="1">
        <v>45896</v>
      </c>
      <c r="C8918" s="2">
        <v>0.5</v>
      </c>
      <c r="D8918">
        <v>3</v>
      </c>
      <c r="E8918">
        <v>25.5</v>
      </c>
      <c r="F8918">
        <v>46</v>
      </c>
    </row>
    <row r="8919" spans="1:6" x14ac:dyDescent="0.35">
      <c r="A8919">
        <v>1975</v>
      </c>
      <c r="B8919" s="1">
        <v>45896</v>
      </c>
      <c r="C8919" s="2">
        <v>0.54166666666666663</v>
      </c>
      <c r="D8919">
        <v>3</v>
      </c>
      <c r="E8919">
        <v>23.4</v>
      </c>
      <c r="F8919">
        <v>48</v>
      </c>
    </row>
    <row r="8920" spans="1:6" x14ac:dyDescent="0.35">
      <c r="A8920">
        <v>1975</v>
      </c>
      <c r="B8920" s="1">
        <v>45896</v>
      </c>
      <c r="C8920" s="2">
        <v>0.58333333333333337</v>
      </c>
      <c r="D8920">
        <v>3</v>
      </c>
      <c r="E8920">
        <v>22.1</v>
      </c>
      <c r="F8920">
        <v>56</v>
      </c>
    </row>
    <row r="8921" spans="1:6" x14ac:dyDescent="0.35">
      <c r="A8921">
        <v>1975</v>
      </c>
      <c r="B8921" s="1">
        <v>45896</v>
      </c>
      <c r="C8921" s="2">
        <v>0.625</v>
      </c>
      <c r="D8921">
        <v>3</v>
      </c>
      <c r="E8921">
        <v>24.3</v>
      </c>
      <c r="F8921">
        <v>45</v>
      </c>
    </row>
    <row r="8922" spans="1:6" x14ac:dyDescent="0.35">
      <c r="A8922">
        <v>1975</v>
      </c>
      <c r="B8922" s="1">
        <v>45896</v>
      </c>
      <c r="C8922" s="2">
        <v>0.66666666666666663</v>
      </c>
      <c r="D8922">
        <v>3</v>
      </c>
      <c r="E8922">
        <v>24.5</v>
      </c>
      <c r="F8922">
        <v>45</v>
      </c>
    </row>
    <row r="8923" spans="1:6" x14ac:dyDescent="0.35">
      <c r="A8923">
        <v>1975</v>
      </c>
      <c r="B8923" s="1">
        <v>45896</v>
      </c>
      <c r="C8923" s="2">
        <v>0.70833333333333337</v>
      </c>
      <c r="D8923">
        <v>3</v>
      </c>
      <c r="E8923">
        <v>23.9</v>
      </c>
      <c r="F8923">
        <v>48</v>
      </c>
    </row>
    <row r="8924" spans="1:6" x14ac:dyDescent="0.35">
      <c r="A8924">
        <v>1975</v>
      </c>
      <c r="B8924" s="1">
        <v>45896</v>
      </c>
      <c r="C8924" s="2">
        <v>0.75</v>
      </c>
      <c r="D8924">
        <v>3</v>
      </c>
      <c r="E8924">
        <v>21.1</v>
      </c>
      <c r="F8924">
        <v>60</v>
      </c>
    </row>
    <row r="8925" spans="1:6" x14ac:dyDescent="0.35">
      <c r="A8925">
        <v>1975</v>
      </c>
      <c r="B8925" s="1">
        <v>45896</v>
      </c>
      <c r="C8925" s="2">
        <v>0.79166666666666663</v>
      </c>
      <c r="D8925">
        <v>3</v>
      </c>
      <c r="E8925">
        <v>18.5</v>
      </c>
      <c r="F8925">
        <v>75</v>
      </c>
    </row>
    <row r="8926" spans="1:6" x14ac:dyDescent="0.35">
      <c r="A8926">
        <v>1975</v>
      </c>
      <c r="B8926" s="1">
        <v>45896</v>
      </c>
      <c r="C8926" s="2">
        <v>0.83333333333333337</v>
      </c>
      <c r="D8926">
        <v>3</v>
      </c>
      <c r="E8926">
        <v>17.7</v>
      </c>
      <c r="F8926">
        <v>78</v>
      </c>
    </row>
    <row r="8927" spans="1:6" x14ac:dyDescent="0.35">
      <c r="A8927">
        <v>1975</v>
      </c>
      <c r="B8927" s="1">
        <v>45896</v>
      </c>
      <c r="C8927" s="2">
        <v>0.875</v>
      </c>
      <c r="D8927">
        <v>3</v>
      </c>
      <c r="E8927">
        <v>17.3</v>
      </c>
      <c r="F8927">
        <v>78</v>
      </c>
    </row>
    <row r="8928" spans="1:6" x14ac:dyDescent="0.35">
      <c r="A8928">
        <v>1975</v>
      </c>
      <c r="B8928" s="1">
        <v>45896</v>
      </c>
      <c r="C8928" s="2">
        <v>0.91666666666666663</v>
      </c>
      <c r="D8928">
        <v>3</v>
      </c>
      <c r="E8928">
        <v>17.600000000000001</v>
      </c>
      <c r="F8928">
        <v>82</v>
      </c>
    </row>
    <row r="8929" spans="1:6" x14ac:dyDescent="0.35">
      <c r="A8929">
        <v>1975</v>
      </c>
      <c r="B8929" s="1">
        <v>45896</v>
      </c>
      <c r="C8929" s="2">
        <v>0.95833333333333337</v>
      </c>
      <c r="D8929">
        <v>3</v>
      </c>
      <c r="E8929">
        <v>16.399999999999999</v>
      </c>
      <c r="F8929">
        <v>95</v>
      </c>
    </row>
    <row r="8930" spans="1:6" x14ac:dyDescent="0.35">
      <c r="A8930">
        <v>1975</v>
      </c>
      <c r="B8930" s="1">
        <v>45897</v>
      </c>
      <c r="C8930" s="2">
        <v>0</v>
      </c>
      <c r="D8930">
        <v>3</v>
      </c>
      <c r="E8930">
        <v>16.2</v>
      </c>
      <c r="F8930">
        <v>95</v>
      </c>
    </row>
    <row r="8931" spans="1:6" x14ac:dyDescent="0.35">
      <c r="A8931">
        <v>1975</v>
      </c>
      <c r="B8931" s="1">
        <v>45897</v>
      </c>
      <c r="C8931" s="2">
        <v>4.1666666666666657E-2</v>
      </c>
      <c r="D8931">
        <v>3</v>
      </c>
      <c r="E8931">
        <v>15.3</v>
      </c>
      <c r="F8931">
        <v>99</v>
      </c>
    </row>
    <row r="8932" spans="1:6" x14ac:dyDescent="0.35">
      <c r="A8932">
        <v>1975</v>
      </c>
      <c r="B8932" s="1">
        <v>45897</v>
      </c>
      <c r="C8932" s="2">
        <v>8.3333333333333329E-2</v>
      </c>
      <c r="D8932">
        <v>3</v>
      </c>
      <c r="E8932">
        <v>15.4</v>
      </c>
      <c r="F8932">
        <v>98</v>
      </c>
    </row>
    <row r="8933" spans="1:6" x14ac:dyDescent="0.35">
      <c r="A8933">
        <v>1975</v>
      </c>
      <c r="B8933" s="1">
        <v>45897</v>
      </c>
      <c r="C8933" s="2">
        <v>0.125</v>
      </c>
      <c r="D8933">
        <v>3</v>
      </c>
      <c r="E8933">
        <v>15.2</v>
      </c>
      <c r="F8933">
        <v>97</v>
      </c>
    </row>
    <row r="8934" spans="1:6" x14ac:dyDescent="0.35">
      <c r="A8934">
        <v>1975</v>
      </c>
      <c r="B8934" s="1">
        <v>45897</v>
      </c>
      <c r="C8934" s="2">
        <v>0.16666666666666671</v>
      </c>
      <c r="D8934">
        <v>3</v>
      </c>
      <c r="E8934">
        <v>15.3</v>
      </c>
      <c r="F8934">
        <v>96</v>
      </c>
    </row>
    <row r="8935" spans="1:6" x14ac:dyDescent="0.35">
      <c r="A8935">
        <v>1975</v>
      </c>
      <c r="B8935" s="1">
        <v>45897</v>
      </c>
      <c r="C8935" s="2">
        <v>0.20833333333333329</v>
      </c>
      <c r="D8935">
        <v>3</v>
      </c>
      <c r="E8935">
        <v>15.5</v>
      </c>
      <c r="F8935">
        <v>96</v>
      </c>
    </row>
    <row r="8936" spans="1:6" x14ac:dyDescent="0.35">
      <c r="A8936">
        <v>1975</v>
      </c>
      <c r="B8936" s="1">
        <v>45897</v>
      </c>
      <c r="C8936" s="2">
        <v>0.25</v>
      </c>
      <c r="D8936">
        <v>3</v>
      </c>
      <c r="E8936">
        <v>15.3</v>
      </c>
      <c r="F8936">
        <v>98</v>
      </c>
    </row>
    <row r="8937" spans="1:6" x14ac:dyDescent="0.35">
      <c r="A8937">
        <v>1975</v>
      </c>
      <c r="B8937" s="1">
        <v>45897</v>
      </c>
      <c r="C8937" s="2">
        <v>0.29166666666666669</v>
      </c>
      <c r="D8937">
        <v>3</v>
      </c>
      <c r="E8937">
        <v>16.100000000000001</v>
      </c>
      <c r="F8937">
        <v>95</v>
      </c>
    </row>
    <row r="8938" spans="1:6" x14ac:dyDescent="0.35">
      <c r="A8938">
        <v>1975</v>
      </c>
      <c r="B8938" s="1">
        <v>45897</v>
      </c>
      <c r="C8938" s="2">
        <v>0.33333333333333331</v>
      </c>
      <c r="D8938">
        <v>3</v>
      </c>
      <c r="E8938">
        <v>17</v>
      </c>
      <c r="F8938">
        <v>91</v>
      </c>
    </row>
    <row r="8939" spans="1:6" x14ac:dyDescent="0.35">
      <c r="A8939">
        <v>1975</v>
      </c>
      <c r="B8939" s="1">
        <v>45897</v>
      </c>
      <c r="C8939" s="2">
        <v>0.375</v>
      </c>
      <c r="D8939">
        <v>3</v>
      </c>
      <c r="E8939">
        <v>17.7</v>
      </c>
      <c r="F8939">
        <v>87</v>
      </c>
    </row>
    <row r="8940" spans="1:6" x14ac:dyDescent="0.35">
      <c r="A8940">
        <v>1975</v>
      </c>
      <c r="B8940" s="1">
        <v>45897</v>
      </c>
      <c r="C8940" s="2">
        <v>0.41666666666666669</v>
      </c>
      <c r="D8940">
        <v>3</v>
      </c>
      <c r="E8940">
        <v>18</v>
      </c>
      <c r="F8940">
        <v>87</v>
      </c>
    </row>
    <row r="8941" spans="1:6" x14ac:dyDescent="0.35">
      <c r="A8941">
        <v>1975</v>
      </c>
      <c r="B8941" s="1">
        <v>45897</v>
      </c>
      <c r="C8941" s="2">
        <v>0.45833333333333331</v>
      </c>
      <c r="D8941">
        <v>3</v>
      </c>
      <c r="E8941">
        <v>19.5</v>
      </c>
      <c r="F8941">
        <v>80</v>
      </c>
    </row>
    <row r="8942" spans="1:6" x14ac:dyDescent="0.35">
      <c r="A8942">
        <v>1975</v>
      </c>
      <c r="B8942" s="1">
        <v>45897</v>
      </c>
      <c r="C8942" s="2">
        <v>0.5</v>
      </c>
      <c r="D8942">
        <v>3</v>
      </c>
      <c r="E8942">
        <v>21</v>
      </c>
      <c r="F8942">
        <v>80</v>
      </c>
    </row>
    <row r="8943" spans="1:6" x14ac:dyDescent="0.35">
      <c r="A8943">
        <v>1975</v>
      </c>
      <c r="B8943" s="1">
        <v>45897</v>
      </c>
      <c r="C8943" s="2">
        <v>0.54166666666666663</v>
      </c>
      <c r="D8943">
        <v>3</v>
      </c>
      <c r="E8943">
        <v>21.9</v>
      </c>
      <c r="F8943">
        <v>75</v>
      </c>
    </row>
    <row r="8944" spans="1:6" x14ac:dyDescent="0.35">
      <c r="A8944">
        <v>1975</v>
      </c>
      <c r="B8944" s="1">
        <v>45897</v>
      </c>
      <c r="C8944" s="2">
        <v>0.58333333333333337</v>
      </c>
      <c r="D8944">
        <v>3</v>
      </c>
      <c r="E8944">
        <v>22</v>
      </c>
      <c r="F8944">
        <v>77</v>
      </c>
    </row>
    <row r="8945" spans="1:6" x14ac:dyDescent="0.35">
      <c r="A8945">
        <v>1975</v>
      </c>
      <c r="B8945" s="1">
        <v>45897</v>
      </c>
      <c r="C8945" s="2">
        <v>0.625</v>
      </c>
      <c r="D8945">
        <v>3</v>
      </c>
      <c r="E8945">
        <v>22</v>
      </c>
      <c r="F8945">
        <v>78</v>
      </c>
    </row>
    <row r="8946" spans="1:6" x14ac:dyDescent="0.35">
      <c r="A8946">
        <v>1975</v>
      </c>
      <c r="B8946" s="1">
        <v>45897</v>
      </c>
      <c r="C8946" s="2">
        <v>0.66666666666666663</v>
      </c>
      <c r="D8946">
        <v>3</v>
      </c>
      <c r="E8946">
        <v>22.3</v>
      </c>
      <c r="F8946">
        <v>76</v>
      </c>
    </row>
    <row r="8947" spans="1:6" x14ac:dyDescent="0.35">
      <c r="A8947">
        <v>1975</v>
      </c>
      <c r="B8947" s="1">
        <v>45897</v>
      </c>
      <c r="C8947" s="2">
        <v>0.70833333333333337</v>
      </c>
      <c r="D8947">
        <v>3</v>
      </c>
      <c r="E8947">
        <v>21.9</v>
      </c>
      <c r="F8947">
        <v>75</v>
      </c>
    </row>
    <row r="8948" spans="1:6" x14ac:dyDescent="0.35">
      <c r="A8948">
        <v>1975</v>
      </c>
      <c r="B8948" s="1">
        <v>45897</v>
      </c>
      <c r="C8948" s="2">
        <v>0.75</v>
      </c>
      <c r="D8948">
        <v>3</v>
      </c>
      <c r="E8948">
        <v>21</v>
      </c>
      <c r="F8948">
        <v>85</v>
      </c>
    </row>
    <row r="8949" spans="1:6" x14ac:dyDescent="0.35">
      <c r="A8949">
        <v>1975</v>
      </c>
      <c r="B8949" s="1">
        <v>45897</v>
      </c>
      <c r="C8949" s="2">
        <v>0.79166666666666663</v>
      </c>
      <c r="D8949">
        <v>3</v>
      </c>
      <c r="E8949">
        <v>19.899999999999999</v>
      </c>
      <c r="F8949">
        <v>89</v>
      </c>
    </row>
    <row r="8950" spans="1:6" x14ac:dyDescent="0.35">
      <c r="A8950">
        <v>1975</v>
      </c>
      <c r="B8950" s="1">
        <v>45897</v>
      </c>
      <c r="C8950" s="2">
        <v>0.83333333333333337</v>
      </c>
      <c r="D8950">
        <v>3</v>
      </c>
      <c r="E8950">
        <v>18.5</v>
      </c>
      <c r="F8950">
        <v>96</v>
      </c>
    </row>
    <row r="8951" spans="1:6" x14ac:dyDescent="0.35">
      <c r="A8951">
        <v>1975</v>
      </c>
      <c r="B8951" s="1">
        <v>45897</v>
      </c>
      <c r="C8951" s="2">
        <v>0.875</v>
      </c>
      <c r="D8951">
        <v>3</v>
      </c>
      <c r="E8951">
        <v>17.100000000000001</v>
      </c>
      <c r="F8951">
        <v>95</v>
      </c>
    </row>
    <row r="8952" spans="1:6" x14ac:dyDescent="0.35">
      <c r="A8952">
        <v>1975</v>
      </c>
      <c r="B8952" s="1">
        <v>45897</v>
      </c>
      <c r="C8952" s="2">
        <v>0.91666666666666663</v>
      </c>
      <c r="D8952">
        <v>3</v>
      </c>
      <c r="E8952">
        <v>16.2</v>
      </c>
      <c r="F8952">
        <v>100</v>
      </c>
    </row>
    <row r="8953" spans="1:6" x14ac:dyDescent="0.35">
      <c r="A8953">
        <v>1975</v>
      </c>
      <c r="B8953" s="1">
        <v>45897</v>
      </c>
      <c r="C8953" s="2">
        <v>0.95833333333333337</v>
      </c>
      <c r="D8953">
        <v>3</v>
      </c>
      <c r="E8953">
        <v>15.6</v>
      </c>
      <c r="F8953">
        <v>100</v>
      </c>
    </row>
    <row r="8954" spans="1:6" x14ac:dyDescent="0.35">
      <c r="A8954">
        <v>1975</v>
      </c>
      <c r="B8954" s="1">
        <v>45898</v>
      </c>
      <c r="C8954" s="2">
        <v>0</v>
      </c>
      <c r="D8954">
        <v>3</v>
      </c>
      <c r="E8954">
        <v>15.2</v>
      </c>
      <c r="F8954">
        <v>100</v>
      </c>
    </row>
    <row r="8955" spans="1:6" x14ac:dyDescent="0.35">
      <c r="A8955">
        <v>1975</v>
      </c>
      <c r="B8955" s="1">
        <v>45898</v>
      </c>
      <c r="C8955" s="2">
        <v>4.1666666666666657E-2</v>
      </c>
      <c r="D8955">
        <v>3</v>
      </c>
      <c r="E8955">
        <v>14.4</v>
      </c>
      <c r="F8955">
        <v>100</v>
      </c>
    </row>
    <row r="8956" spans="1:6" x14ac:dyDescent="0.35">
      <c r="A8956">
        <v>1975</v>
      </c>
      <c r="B8956" s="1">
        <v>45898</v>
      </c>
      <c r="C8956" s="2">
        <v>8.3333333333333329E-2</v>
      </c>
      <c r="D8956">
        <v>3</v>
      </c>
      <c r="E8956">
        <v>14.3</v>
      </c>
      <c r="F8956">
        <v>100</v>
      </c>
    </row>
    <row r="8957" spans="1:6" x14ac:dyDescent="0.35">
      <c r="A8957">
        <v>1975</v>
      </c>
      <c r="B8957" s="1">
        <v>45898</v>
      </c>
      <c r="C8957" s="2">
        <v>0.125</v>
      </c>
      <c r="D8957">
        <v>3</v>
      </c>
      <c r="E8957">
        <v>14.5</v>
      </c>
      <c r="F8957">
        <v>100</v>
      </c>
    </row>
    <row r="8958" spans="1:6" x14ac:dyDescent="0.35">
      <c r="A8958">
        <v>1975</v>
      </c>
      <c r="B8958" s="1">
        <v>45898</v>
      </c>
      <c r="C8958" s="2">
        <v>0.16666666666666671</v>
      </c>
      <c r="D8958">
        <v>3</v>
      </c>
      <c r="E8958">
        <v>13.1</v>
      </c>
      <c r="F8958">
        <v>100</v>
      </c>
    </row>
    <row r="8959" spans="1:6" x14ac:dyDescent="0.35">
      <c r="A8959">
        <v>1975</v>
      </c>
      <c r="B8959" s="1">
        <v>45898</v>
      </c>
      <c r="C8959" s="2">
        <v>0.20833333333333329</v>
      </c>
      <c r="D8959">
        <v>3</v>
      </c>
      <c r="E8959">
        <v>13.6</v>
      </c>
      <c r="F8959">
        <v>100</v>
      </c>
    </row>
    <row r="8960" spans="1:6" x14ac:dyDescent="0.35">
      <c r="A8960">
        <v>1975</v>
      </c>
      <c r="B8960" s="1">
        <v>45898</v>
      </c>
      <c r="C8960" s="2">
        <v>0.25</v>
      </c>
      <c r="D8960">
        <v>3</v>
      </c>
      <c r="E8960">
        <v>14.7</v>
      </c>
      <c r="F8960">
        <v>100</v>
      </c>
    </row>
    <row r="8961" spans="1:6" x14ac:dyDescent="0.35">
      <c r="A8961">
        <v>1975</v>
      </c>
      <c r="B8961" s="1">
        <v>45898</v>
      </c>
      <c r="C8961" s="2">
        <v>0.29166666666666669</v>
      </c>
      <c r="D8961">
        <v>3</v>
      </c>
      <c r="E8961">
        <v>16.3</v>
      </c>
      <c r="F8961">
        <v>95</v>
      </c>
    </row>
    <row r="8962" spans="1:6" x14ac:dyDescent="0.35">
      <c r="A8962">
        <v>1975</v>
      </c>
      <c r="B8962" s="1">
        <v>45898</v>
      </c>
      <c r="C8962" s="2">
        <v>0.33333333333333331</v>
      </c>
      <c r="D8962">
        <v>3</v>
      </c>
      <c r="E8962">
        <v>18.2</v>
      </c>
      <c r="F8962">
        <v>79</v>
      </c>
    </row>
    <row r="8963" spans="1:6" x14ac:dyDescent="0.35">
      <c r="A8963">
        <v>1975</v>
      </c>
      <c r="B8963" s="1">
        <v>45898</v>
      </c>
      <c r="C8963" s="2">
        <v>0.375</v>
      </c>
      <c r="D8963">
        <v>3</v>
      </c>
      <c r="E8963">
        <v>19</v>
      </c>
      <c r="F8963">
        <v>69</v>
      </c>
    </row>
    <row r="8964" spans="1:6" x14ac:dyDescent="0.35">
      <c r="A8964">
        <v>1975</v>
      </c>
      <c r="B8964" s="1">
        <v>45898</v>
      </c>
      <c r="C8964" s="2">
        <v>0.41666666666666669</v>
      </c>
      <c r="D8964">
        <v>3</v>
      </c>
      <c r="E8964">
        <v>18.7</v>
      </c>
      <c r="F8964">
        <v>73</v>
      </c>
    </row>
    <row r="8965" spans="1:6" x14ac:dyDescent="0.35">
      <c r="A8965">
        <v>1975</v>
      </c>
      <c r="B8965" s="1">
        <v>45898</v>
      </c>
      <c r="C8965" s="2">
        <v>0.45833333333333331</v>
      </c>
      <c r="D8965">
        <v>3</v>
      </c>
      <c r="E8965">
        <v>19.5</v>
      </c>
      <c r="F8965">
        <v>71</v>
      </c>
    </row>
    <row r="8966" spans="1:6" x14ac:dyDescent="0.35">
      <c r="A8966">
        <v>1975</v>
      </c>
      <c r="B8966" s="1">
        <v>45898</v>
      </c>
      <c r="C8966" s="2">
        <v>0.5</v>
      </c>
      <c r="D8966">
        <v>3</v>
      </c>
      <c r="E8966">
        <v>20.9</v>
      </c>
      <c r="F8966">
        <v>59</v>
      </c>
    </row>
    <row r="8967" spans="1:6" x14ac:dyDescent="0.35">
      <c r="A8967">
        <v>1975</v>
      </c>
      <c r="B8967" s="1">
        <v>45898</v>
      </c>
      <c r="C8967" s="2">
        <v>0.54166666666666663</v>
      </c>
      <c r="D8967">
        <v>3</v>
      </c>
      <c r="E8967">
        <v>21.8</v>
      </c>
      <c r="F8967">
        <v>52</v>
      </c>
    </row>
    <row r="8968" spans="1:6" x14ac:dyDescent="0.35">
      <c r="A8968">
        <v>1975</v>
      </c>
      <c r="B8968" s="1">
        <v>45898</v>
      </c>
      <c r="C8968" s="2">
        <v>0.58333333333333337</v>
      </c>
      <c r="D8968">
        <v>3</v>
      </c>
      <c r="E8968">
        <v>22.2</v>
      </c>
      <c r="F8968">
        <v>52</v>
      </c>
    </row>
    <row r="8969" spans="1:6" x14ac:dyDescent="0.35">
      <c r="A8969">
        <v>1975</v>
      </c>
      <c r="B8969" s="1">
        <v>45898</v>
      </c>
      <c r="C8969" s="2">
        <v>0.625</v>
      </c>
      <c r="D8969">
        <v>3</v>
      </c>
      <c r="E8969">
        <v>22.2</v>
      </c>
      <c r="F8969">
        <v>53</v>
      </c>
    </row>
    <row r="8970" spans="1:6" x14ac:dyDescent="0.35">
      <c r="A8970">
        <v>1975</v>
      </c>
      <c r="B8970" s="1">
        <v>45898</v>
      </c>
      <c r="C8970" s="2">
        <v>0.66666666666666663</v>
      </c>
      <c r="D8970">
        <v>3</v>
      </c>
      <c r="E8970">
        <v>22.4</v>
      </c>
      <c r="F8970">
        <v>53</v>
      </c>
    </row>
    <row r="8971" spans="1:6" x14ac:dyDescent="0.35">
      <c r="A8971">
        <v>1975</v>
      </c>
      <c r="B8971" s="1">
        <v>45898</v>
      </c>
      <c r="C8971" s="2">
        <v>0.70833333333333337</v>
      </c>
      <c r="D8971">
        <v>3</v>
      </c>
      <c r="E8971">
        <v>21.7</v>
      </c>
      <c r="F8971">
        <v>54</v>
      </c>
    </row>
    <row r="8972" spans="1:6" x14ac:dyDescent="0.35">
      <c r="A8972">
        <v>1975</v>
      </c>
      <c r="B8972" s="1">
        <v>45898</v>
      </c>
      <c r="C8972" s="2">
        <v>0.75</v>
      </c>
      <c r="D8972">
        <v>3</v>
      </c>
      <c r="E8972">
        <v>20.399999999999999</v>
      </c>
      <c r="F8972">
        <v>62</v>
      </c>
    </row>
    <row r="8973" spans="1:6" x14ac:dyDescent="0.35">
      <c r="A8973">
        <v>1975</v>
      </c>
      <c r="B8973" s="1">
        <v>45898</v>
      </c>
      <c r="C8973" s="2">
        <v>0.79166666666666663</v>
      </c>
      <c r="D8973">
        <v>3</v>
      </c>
      <c r="E8973">
        <v>19.2</v>
      </c>
      <c r="F8973">
        <v>69</v>
      </c>
    </row>
    <row r="8974" spans="1:6" x14ac:dyDescent="0.35">
      <c r="A8974">
        <v>1975</v>
      </c>
      <c r="B8974" s="1">
        <v>45898</v>
      </c>
      <c r="C8974" s="2">
        <v>0.83333333333333337</v>
      </c>
      <c r="D8974">
        <v>3</v>
      </c>
      <c r="E8974">
        <v>17.899999999999999</v>
      </c>
      <c r="F8974">
        <v>75</v>
      </c>
    </row>
    <row r="8975" spans="1:6" x14ac:dyDescent="0.35">
      <c r="A8975">
        <v>1975</v>
      </c>
      <c r="B8975" s="1">
        <v>45898</v>
      </c>
      <c r="C8975" s="2">
        <v>0.875</v>
      </c>
      <c r="D8975">
        <v>3</v>
      </c>
      <c r="E8975">
        <v>17.3</v>
      </c>
      <c r="F8975">
        <v>80</v>
      </c>
    </row>
    <row r="8976" spans="1:6" x14ac:dyDescent="0.35">
      <c r="A8976">
        <v>1975</v>
      </c>
      <c r="B8976" s="1">
        <v>45898</v>
      </c>
      <c r="C8976" s="2">
        <v>0.91666666666666663</v>
      </c>
      <c r="D8976">
        <v>3</v>
      </c>
      <c r="E8976">
        <v>17.2</v>
      </c>
      <c r="F8976">
        <v>83</v>
      </c>
    </row>
    <row r="8977" spans="1:6" x14ac:dyDescent="0.35">
      <c r="A8977">
        <v>1975</v>
      </c>
      <c r="B8977" s="1">
        <v>45898</v>
      </c>
      <c r="C8977" s="2">
        <v>0.95833333333333337</v>
      </c>
      <c r="D8977">
        <v>3</v>
      </c>
      <c r="E8977">
        <v>17.100000000000001</v>
      </c>
      <c r="F8977">
        <v>87</v>
      </c>
    </row>
    <row r="8978" spans="1:6" x14ac:dyDescent="0.35">
      <c r="A8978">
        <v>1975</v>
      </c>
      <c r="B8978" s="1">
        <v>45899</v>
      </c>
      <c r="C8978" s="2">
        <v>0</v>
      </c>
      <c r="D8978">
        <v>3</v>
      </c>
      <c r="E8978">
        <v>16.5</v>
      </c>
      <c r="F8978">
        <v>90</v>
      </c>
    </row>
    <row r="8979" spans="1:6" x14ac:dyDescent="0.35">
      <c r="A8979">
        <v>1975</v>
      </c>
      <c r="B8979" s="1">
        <v>45899</v>
      </c>
      <c r="C8979" s="2">
        <v>4.1666666666666657E-2</v>
      </c>
      <c r="D8979">
        <v>3</v>
      </c>
      <c r="E8979">
        <v>15.5</v>
      </c>
      <c r="F8979">
        <v>94</v>
      </c>
    </row>
    <row r="8980" spans="1:6" x14ac:dyDescent="0.35">
      <c r="A8980">
        <v>1975</v>
      </c>
      <c r="B8980" s="1">
        <v>45899</v>
      </c>
      <c r="C8980" s="2">
        <v>8.3333333333333329E-2</v>
      </c>
      <c r="D8980">
        <v>3</v>
      </c>
      <c r="E8980">
        <v>15</v>
      </c>
      <c r="F8980">
        <v>96</v>
      </c>
    </row>
    <row r="8981" spans="1:6" x14ac:dyDescent="0.35">
      <c r="A8981">
        <v>1975</v>
      </c>
      <c r="B8981" s="1">
        <v>45899</v>
      </c>
      <c r="C8981" s="2">
        <v>0.125</v>
      </c>
      <c r="D8981">
        <v>3</v>
      </c>
      <c r="E8981">
        <v>15.4</v>
      </c>
      <c r="F8981">
        <v>95</v>
      </c>
    </row>
    <row r="8982" spans="1:6" x14ac:dyDescent="0.35">
      <c r="A8982">
        <v>1975</v>
      </c>
      <c r="B8982" s="1">
        <v>45899</v>
      </c>
      <c r="C8982" s="2">
        <v>0.16666666666666671</v>
      </c>
      <c r="D8982">
        <v>3</v>
      </c>
      <c r="E8982">
        <v>15.5</v>
      </c>
      <c r="F8982">
        <v>93</v>
      </c>
    </row>
    <row r="8983" spans="1:6" x14ac:dyDescent="0.35">
      <c r="A8983">
        <v>1975</v>
      </c>
      <c r="B8983" s="1">
        <v>45899</v>
      </c>
      <c r="C8983" s="2">
        <v>0.20833333333333329</v>
      </c>
      <c r="D8983">
        <v>3</v>
      </c>
      <c r="E8983">
        <v>16.100000000000001</v>
      </c>
      <c r="F8983">
        <v>87</v>
      </c>
    </row>
    <row r="8984" spans="1:6" x14ac:dyDescent="0.35">
      <c r="A8984">
        <v>1975</v>
      </c>
      <c r="B8984" s="1">
        <v>45899</v>
      </c>
      <c r="C8984" s="2">
        <v>0.25</v>
      </c>
      <c r="D8984">
        <v>3</v>
      </c>
      <c r="E8984">
        <v>15.8</v>
      </c>
      <c r="F8984">
        <v>88</v>
      </c>
    </row>
    <row r="8985" spans="1:6" x14ac:dyDescent="0.35">
      <c r="A8985">
        <v>1975</v>
      </c>
      <c r="B8985" s="1">
        <v>45899</v>
      </c>
      <c r="C8985" s="2">
        <v>0.29166666666666669</v>
      </c>
      <c r="D8985">
        <v>3</v>
      </c>
      <c r="E8985">
        <v>17.399999999999999</v>
      </c>
      <c r="F8985">
        <v>82</v>
      </c>
    </row>
    <row r="8986" spans="1:6" x14ac:dyDescent="0.35">
      <c r="A8986">
        <v>1975</v>
      </c>
      <c r="B8986" s="1">
        <v>45899</v>
      </c>
      <c r="C8986" s="2">
        <v>0.33333333333333331</v>
      </c>
      <c r="D8986">
        <v>3</v>
      </c>
      <c r="E8986">
        <v>18</v>
      </c>
      <c r="F8986">
        <v>78</v>
      </c>
    </row>
    <row r="8987" spans="1:6" x14ac:dyDescent="0.35">
      <c r="A8987">
        <v>1975</v>
      </c>
      <c r="B8987" s="1">
        <v>45899</v>
      </c>
      <c r="C8987" s="2">
        <v>0.375</v>
      </c>
      <c r="D8987">
        <v>3</v>
      </c>
      <c r="E8987">
        <v>19.600000000000001</v>
      </c>
      <c r="F8987">
        <v>71</v>
      </c>
    </row>
    <row r="8988" spans="1:6" x14ac:dyDescent="0.35">
      <c r="A8988">
        <v>1975</v>
      </c>
      <c r="B8988" s="1">
        <v>45899</v>
      </c>
      <c r="C8988" s="2">
        <v>0.41666666666666669</v>
      </c>
      <c r="D8988">
        <v>3</v>
      </c>
      <c r="E8988">
        <v>20</v>
      </c>
      <c r="F8988">
        <v>69</v>
      </c>
    </row>
    <row r="8989" spans="1:6" x14ac:dyDescent="0.35">
      <c r="A8989">
        <v>1975</v>
      </c>
      <c r="B8989" s="1">
        <v>45899</v>
      </c>
      <c r="C8989" s="2">
        <v>0.45833333333333331</v>
      </c>
      <c r="D8989">
        <v>3</v>
      </c>
      <c r="E8989">
        <v>21.3</v>
      </c>
      <c r="F8989">
        <v>63</v>
      </c>
    </row>
    <row r="8990" spans="1:6" x14ac:dyDescent="0.35">
      <c r="A8990">
        <v>1975</v>
      </c>
      <c r="B8990" s="1">
        <v>45899</v>
      </c>
      <c r="C8990" s="2">
        <v>0.5</v>
      </c>
      <c r="D8990">
        <v>3</v>
      </c>
      <c r="E8990">
        <v>21.3</v>
      </c>
      <c r="F8990">
        <v>63</v>
      </c>
    </row>
    <row r="8991" spans="1:6" x14ac:dyDescent="0.35">
      <c r="A8991">
        <v>1975</v>
      </c>
      <c r="B8991" s="1">
        <v>45899</v>
      </c>
      <c r="C8991" s="2">
        <v>0.54166666666666663</v>
      </c>
      <c r="D8991">
        <v>3</v>
      </c>
      <c r="E8991">
        <v>20.8</v>
      </c>
      <c r="F8991">
        <v>61</v>
      </c>
    </row>
    <row r="8992" spans="1:6" x14ac:dyDescent="0.35">
      <c r="A8992">
        <v>1975</v>
      </c>
      <c r="B8992" s="1">
        <v>45899</v>
      </c>
      <c r="C8992" s="2">
        <v>0.58333333333333337</v>
      </c>
      <c r="D8992">
        <v>3</v>
      </c>
      <c r="E8992">
        <v>21.9</v>
      </c>
      <c r="F8992">
        <v>54</v>
      </c>
    </row>
    <row r="8993" spans="1:6" x14ac:dyDescent="0.35">
      <c r="A8993">
        <v>1975</v>
      </c>
      <c r="B8993" s="1">
        <v>45899</v>
      </c>
      <c r="C8993" s="2">
        <v>0.625</v>
      </c>
      <c r="D8993">
        <v>3</v>
      </c>
      <c r="E8993">
        <v>22.6</v>
      </c>
      <c r="F8993">
        <v>55</v>
      </c>
    </row>
    <row r="8994" spans="1:6" x14ac:dyDescent="0.35">
      <c r="A8994">
        <v>1975</v>
      </c>
      <c r="B8994" s="1">
        <v>45899</v>
      </c>
      <c r="C8994" s="2">
        <v>0.66666666666666663</v>
      </c>
      <c r="D8994">
        <v>3</v>
      </c>
      <c r="E8994">
        <v>22.7</v>
      </c>
      <c r="F8994">
        <v>54</v>
      </c>
    </row>
    <row r="8995" spans="1:6" x14ac:dyDescent="0.35">
      <c r="A8995">
        <v>1975</v>
      </c>
      <c r="B8995" s="1">
        <v>45899</v>
      </c>
      <c r="C8995" s="2">
        <v>0.70833333333333337</v>
      </c>
      <c r="D8995">
        <v>3</v>
      </c>
      <c r="E8995">
        <v>19.399999999999999</v>
      </c>
      <c r="F8995">
        <v>70</v>
      </c>
    </row>
    <row r="8996" spans="1:6" x14ac:dyDescent="0.35">
      <c r="A8996">
        <v>1975</v>
      </c>
      <c r="B8996" s="1">
        <v>45899</v>
      </c>
      <c r="C8996" s="2">
        <v>0.75</v>
      </c>
      <c r="D8996">
        <v>3</v>
      </c>
      <c r="E8996">
        <v>17.8</v>
      </c>
      <c r="F8996">
        <v>78</v>
      </c>
    </row>
    <row r="8997" spans="1:6" x14ac:dyDescent="0.35">
      <c r="A8997">
        <v>1975</v>
      </c>
      <c r="B8997" s="1">
        <v>45899</v>
      </c>
      <c r="C8997" s="2">
        <v>0.79166666666666663</v>
      </c>
      <c r="D8997">
        <v>3</v>
      </c>
      <c r="E8997">
        <v>15.8</v>
      </c>
      <c r="F8997">
        <v>91</v>
      </c>
    </row>
    <row r="8998" spans="1:6" x14ac:dyDescent="0.35">
      <c r="A8998">
        <v>1975</v>
      </c>
      <c r="B8998" s="1">
        <v>45899</v>
      </c>
      <c r="C8998" s="2">
        <v>0.83333333333333337</v>
      </c>
      <c r="D8998">
        <v>3</v>
      </c>
      <c r="E8998">
        <v>15.9</v>
      </c>
      <c r="F8998">
        <v>90</v>
      </c>
    </row>
    <row r="8999" spans="1:6" x14ac:dyDescent="0.35">
      <c r="A8999">
        <v>1975</v>
      </c>
      <c r="B8999" s="1">
        <v>45899</v>
      </c>
      <c r="C8999" s="2">
        <v>0.875</v>
      </c>
      <c r="D8999">
        <v>3</v>
      </c>
      <c r="E8999">
        <v>16.2</v>
      </c>
      <c r="F8999">
        <v>87</v>
      </c>
    </row>
    <row r="9000" spans="1:6" x14ac:dyDescent="0.35">
      <c r="A9000">
        <v>1975</v>
      </c>
      <c r="B9000" s="1">
        <v>45899</v>
      </c>
      <c r="C9000" s="2">
        <v>0.91666666666666663</v>
      </c>
      <c r="D9000">
        <v>3</v>
      </c>
      <c r="E9000">
        <v>16</v>
      </c>
      <c r="F9000">
        <v>87</v>
      </c>
    </row>
    <row r="9001" spans="1:6" x14ac:dyDescent="0.35">
      <c r="A9001">
        <v>1975</v>
      </c>
      <c r="B9001" s="1">
        <v>45899</v>
      </c>
      <c r="C9001" s="2">
        <v>0.95833333333333337</v>
      </c>
      <c r="D9001">
        <v>3</v>
      </c>
      <c r="E9001">
        <v>14.4</v>
      </c>
      <c r="F9001">
        <v>95</v>
      </c>
    </row>
    <row r="9002" spans="1:6" x14ac:dyDescent="0.35">
      <c r="A9002">
        <v>1975</v>
      </c>
      <c r="B9002" s="1">
        <v>45900</v>
      </c>
      <c r="C9002" s="2">
        <v>0</v>
      </c>
      <c r="D9002">
        <v>3</v>
      </c>
      <c r="E9002">
        <v>15</v>
      </c>
      <c r="F9002">
        <v>89</v>
      </c>
    </row>
    <row r="9003" spans="1:6" x14ac:dyDescent="0.35">
      <c r="A9003">
        <v>1975</v>
      </c>
      <c r="B9003" s="1">
        <v>45900</v>
      </c>
      <c r="C9003" s="2">
        <v>4.1666666666666657E-2</v>
      </c>
      <c r="D9003">
        <v>3</v>
      </c>
      <c r="E9003">
        <v>14.7</v>
      </c>
      <c r="F9003">
        <v>86</v>
      </c>
    </row>
    <row r="9004" spans="1:6" x14ac:dyDescent="0.35">
      <c r="A9004">
        <v>1975</v>
      </c>
      <c r="B9004" s="1">
        <v>45900</v>
      </c>
      <c r="C9004" s="2">
        <v>8.3333333333333329E-2</v>
      </c>
      <c r="D9004">
        <v>3</v>
      </c>
      <c r="E9004">
        <v>13.8</v>
      </c>
      <c r="F9004">
        <v>90</v>
      </c>
    </row>
    <row r="9005" spans="1:6" x14ac:dyDescent="0.35">
      <c r="A9005">
        <v>1975</v>
      </c>
      <c r="B9005" s="1">
        <v>45900</v>
      </c>
      <c r="C9005" s="2">
        <v>0.125</v>
      </c>
      <c r="D9005">
        <v>3</v>
      </c>
      <c r="E9005">
        <v>13.5</v>
      </c>
      <c r="F9005">
        <v>89</v>
      </c>
    </row>
    <row r="9006" spans="1:6" x14ac:dyDescent="0.35">
      <c r="A9006">
        <v>1975</v>
      </c>
      <c r="B9006" s="1">
        <v>45900</v>
      </c>
      <c r="C9006" s="2">
        <v>0.16666666666666671</v>
      </c>
      <c r="D9006">
        <v>3</v>
      </c>
      <c r="E9006">
        <v>12.6</v>
      </c>
      <c r="F9006">
        <v>93</v>
      </c>
    </row>
    <row r="9007" spans="1:6" x14ac:dyDescent="0.35">
      <c r="A9007">
        <v>1975</v>
      </c>
      <c r="B9007" s="1">
        <v>45900</v>
      </c>
      <c r="C9007" s="2">
        <v>0.20833333333333329</v>
      </c>
      <c r="D9007">
        <v>3</v>
      </c>
      <c r="E9007">
        <v>13.4</v>
      </c>
      <c r="F9007">
        <v>91</v>
      </c>
    </row>
    <row r="9008" spans="1:6" x14ac:dyDescent="0.35">
      <c r="A9008">
        <v>1975</v>
      </c>
      <c r="B9008" s="1">
        <v>45900</v>
      </c>
      <c r="C9008" s="2">
        <v>0.25</v>
      </c>
      <c r="D9008">
        <v>3</v>
      </c>
      <c r="E9008">
        <v>14.9</v>
      </c>
      <c r="F9008">
        <v>83</v>
      </c>
    </row>
    <row r="9009" spans="1:6" x14ac:dyDescent="0.35">
      <c r="A9009">
        <v>1975</v>
      </c>
      <c r="B9009" s="1">
        <v>45900</v>
      </c>
      <c r="C9009" s="2">
        <v>0.29166666666666669</v>
      </c>
      <c r="D9009">
        <v>3</v>
      </c>
      <c r="E9009">
        <v>16.7</v>
      </c>
      <c r="F9009">
        <v>74</v>
      </c>
    </row>
    <row r="9010" spans="1:6" x14ac:dyDescent="0.35">
      <c r="A9010">
        <v>1975</v>
      </c>
      <c r="B9010" s="1">
        <v>45900</v>
      </c>
      <c r="C9010" s="2">
        <v>0.33333333333333331</v>
      </c>
      <c r="D9010">
        <v>3</v>
      </c>
      <c r="E9010">
        <v>19</v>
      </c>
      <c r="F9010">
        <v>67</v>
      </c>
    </row>
    <row r="9011" spans="1:6" x14ac:dyDescent="0.35">
      <c r="A9011">
        <v>1975</v>
      </c>
      <c r="B9011" s="1">
        <v>45900</v>
      </c>
      <c r="C9011" s="2">
        <v>0.375</v>
      </c>
      <c r="D9011">
        <v>3</v>
      </c>
      <c r="E9011">
        <v>21.5</v>
      </c>
      <c r="F9011">
        <v>62</v>
      </c>
    </row>
    <row r="9012" spans="1:6" x14ac:dyDescent="0.35">
      <c r="A9012">
        <v>1975</v>
      </c>
      <c r="B9012" s="1">
        <v>45900</v>
      </c>
      <c r="C9012" s="2">
        <v>0.41666666666666669</v>
      </c>
      <c r="D9012">
        <v>3</v>
      </c>
      <c r="E9012">
        <v>22.2</v>
      </c>
      <c r="F9012">
        <v>56</v>
      </c>
    </row>
    <row r="9013" spans="1:6" x14ac:dyDescent="0.35">
      <c r="A9013">
        <v>1975</v>
      </c>
      <c r="B9013" s="1">
        <v>45900</v>
      </c>
      <c r="C9013" s="2">
        <v>0.45833333333333331</v>
      </c>
      <c r="D9013">
        <v>3</v>
      </c>
      <c r="E9013">
        <v>22.9</v>
      </c>
      <c r="F9013">
        <v>55</v>
      </c>
    </row>
    <row r="9014" spans="1:6" x14ac:dyDescent="0.35">
      <c r="A9014">
        <v>1975</v>
      </c>
      <c r="B9014" s="1">
        <v>45900</v>
      </c>
      <c r="C9014" s="2">
        <v>0.5</v>
      </c>
      <c r="D9014">
        <v>3</v>
      </c>
      <c r="E9014">
        <v>22.8</v>
      </c>
      <c r="F9014">
        <v>60</v>
      </c>
    </row>
    <row r="9015" spans="1:6" x14ac:dyDescent="0.35">
      <c r="A9015">
        <v>1975</v>
      </c>
      <c r="B9015" s="1">
        <v>45900</v>
      </c>
      <c r="C9015" s="2">
        <v>0.54166666666666663</v>
      </c>
      <c r="D9015">
        <v>3</v>
      </c>
      <c r="E9015">
        <v>24.1</v>
      </c>
      <c r="F9015">
        <v>52</v>
      </c>
    </row>
    <row r="9016" spans="1:6" x14ac:dyDescent="0.35">
      <c r="A9016">
        <v>1975</v>
      </c>
      <c r="B9016" s="1">
        <v>45900</v>
      </c>
      <c r="C9016" s="2">
        <v>0.58333333333333337</v>
      </c>
      <c r="D9016">
        <v>3</v>
      </c>
      <c r="E9016">
        <v>24.6</v>
      </c>
      <c r="F9016">
        <v>53</v>
      </c>
    </row>
    <row r="9017" spans="1:6" x14ac:dyDescent="0.35">
      <c r="A9017">
        <v>1975</v>
      </c>
      <c r="B9017" s="1">
        <v>45900</v>
      </c>
      <c r="C9017" s="2">
        <v>0.625</v>
      </c>
      <c r="D9017">
        <v>3</v>
      </c>
      <c r="E9017">
        <v>24.7</v>
      </c>
      <c r="F9017">
        <v>53</v>
      </c>
    </row>
    <row r="9018" spans="1:6" x14ac:dyDescent="0.35">
      <c r="A9018">
        <v>1975</v>
      </c>
      <c r="B9018" s="1">
        <v>45900</v>
      </c>
      <c r="C9018" s="2">
        <v>0.66666666666666663</v>
      </c>
      <c r="D9018">
        <v>3</v>
      </c>
      <c r="E9018">
        <v>24</v>
      </c>
      <c r="F9018">
        <v>59</v>
      </c>
    </row>
    <row r="9019" spans="1:6" x14ac:dyDescent="0.35">
      <c r="A9019">
        <v>1975</v>
      </c>
      <c r="B9019" s="1">
        <v>45900</v>
      </c>
      <c r="C9019" s="2">
        <v>0.70833333333333337</v>
      </c>
      <c r="D9019">
        <v>3</v>
      </c>
      <c r="E9019">
        <v>22.5</v>
      </c>
      <c r="F9019">
        <v>67</v>
      </c>
    </row>
    <row r="9020" spans="1:6" x14ac:dyDescent="0.35">
      <c r="A9020">
        <v>1975</v>
      </c>
      <c r="B9020" s="1">
        <v>45900</v>
      </c>
      <c r="C9020" s="2">
        <v>0.75</v>
      </c>
      <c r="D9020">
        <v>3</v>
      </c>
      <c r="E9020">
        <v>23.2</v>
      </c>
      <c r="F9020">
        <v>61</v>
      </c>
    </row>
    <row r="9021" spans="1:6" x14ac:dyDescent="0.35">
      <c r="A9021">
        <v>1975</v>
      </c>
      <c r="B9021" s="1">
        <v>45900</v>
      </c>
      <c r="C9021" s="2">
        <v>0.79166666666666663</v>
      </c>
      <c r="D9021">
        <v>3</v>
      </c>
      <c r="E9021">
        <v>23</v>
      </c>
      <c r="F9021">
        <v>61</v>
      </c>
    </row>
    <row r="9022" spans="1:6" x14ac:dyDescent="0.35">
      <c r="A9022">
        <v>1975</v>
      </c>
      <c r="B9022" s="1">
        <v>45900</v>
      </c>
      <c r="C9022" s="2">
        <v>0.83333333333333337</v>
      </c>
      <c r="D9022">
        <v>3</v>
      </c>
      <c r="E9022">
        <v>21.5</v>
      </c>
      <c r="F9022">
        <v>70</v>
      </c>
    </row>
    <row r="9023" spans="1:6" x14ac:dyDescent="0.35">
      <c r="A9023">
        <v>1975</v>
      </c>
      <c r="B9023" s="1">
        <v>45900</v>
      </c>
      <c r="C9023" s="2">
        <v>0.875</v>
      </c>
      <c r="D9023">
        <v>3</v>
      </c>
      <c r="E9023">
        <v>20.100000000000001</v>
      </c>
      <c r="F9023">
        <v>75</v>
      </c>
    </row>
    <row r="9024" spans="1:6" x14ac:dyDescent="0.35">
      <c r="A9024">
        <v>1975</v>
      </c>
      <c r="B9024" s="1">
        <v>45900</v>
      </c>
      <c r="C9024" s="2">
        <v>0.91666666666666663</v>
      </c>
      <c r="D9024">
        <v>3</v>
      </c>
      <c r="E9024">
        <v>19.7</v>
      </c>
      <c r="F9024">
        <v>76</v>
      </c>
    </row>
    <row r="9025" spans="1:6" x14ac:dyDescent="0.35">
      <c r="A9025">
        <v>1975</v>
      </c>
      <c r="B9025" s="1">
        <v>45900</v>
      </c>
      <c r="C9025" s="2">
        <v>0.95833333333333337</v>
      </c>
      <c r="D9025">
        <v>3</v>
      </c>
      <c r="E9025">
        <v>20.7</v>
      </c>
      <c r="F9025">
        <v>71</v>
      </c>
    </row>
    <row r="9026" spans="1:6" x14ac:dyDescent="0.35">
      <c r="A9026">
        <v>1975</v>
      </c>
      <c r="B9026" s="1">
        <v>45901</v>
      </c>
      <c r="C9026" s="2">
        <v>0</v>
      </c>
      <c r="D9026">
        <v>3</v>
      </c>
      <c r="E9026">
        <v>19.2</v>
      </c>
      <c r="F9026">
        <v>75</v>
      </c>
    </row>
    <row r="9027" spans="1:6" x14ac:dyDescent="0.35">
      <c r="A9027">
        <v>1975</v>
      </c>
      <c r="B9027" s="1">
        <v>45901</v>
      </c>
      <c r="C9027" s="2">
        <v>4.1666666666666657E-2</v>
      </c>
      <c r="D9027">
        <v>3</v>
      </c>
      <c r="E9027">
        <v>17.899999999999999</v>
      </c>
      <c r="F9027">
        <v>76</v>
      </c>
    </row>
    <row r="9028" spans="1:6" x14ac:dyDescent="0.35">
      <c r="A9028">
        <v>1975</v>
      </c>
      <c r="B9028" s="1">
        <v>45901</v>
      </c>
      <c r="C9028" s="2">
        <v>8.3333333333333329E-2</v>
      </c>
      <c r="D9028">
        <v>3</v>
      </c>
      <c r="E9028">
        <v>17.7</v>
      </c>
      <c r="F9028">
        <v>76</v>
      </c>
    </row>
    <row r="9029" spans="1:6" x14ac:dyDescent="0.35">
      <c r="A9029">
        <v>1975</v>
      </c>
      <c r="B9029" s="1">
        <v>45901</v>
      </c>
      <c r="C9029" s="2">
        <v>0.125</v>
      </c>
      <c r="D9029">
        <v>3</v>
      </c>
      <c r="E9029">
        <v>17.399999999999999</v>
      </c>
      <c r="F9029">
        <v>77</v>
      </c>
    </row>
    <row r="9030" spans="1:6" x14ac:dyDescent="0.35">
      <c r="A9030">
        <v>1975</v>
      </c>
      <c r="B9030" s="1">
        <v>45901</v>
      </c>
      <c r="C9030" s="2">
        <v>0.16666666666666671</v>
      </c>
      <c r="D9030">
        <v>3</v>
      </c>
      <c r="E9030">
        <v>18.600000000000001</v>
      </c>
      <c r="F9030">
        <v>69</v>
      </c>
    </row>
    <row r="9031" spans="1:6" x14ac:dyDescent="0.35">
      <c r="A9031">
        <v>1975</v>
      </c>
      <c r="B9031" s="1">
        <v>45901</v>
      </c>
      <c r="C9031" s="2">
        <v>0.20833333333333329</v>
      </c>
      <c r="D9031">
        <v>3</v>
      </c>
      <c r="E9031">
        <v>19.3</v>
      </c>
      <c r="F9031">
        <v>63</v>
      </c>
    </row>
    <row r="9032" spans="1:6" x14ac:dyDescent="0.35">
      <c r="A9032">
        <v>1975</v>
      </c>
      <c r="B9032" s="1">
        <v>45901</v>
      </c>
      <c r="C9032" s="2">
        <v>0.25</v>
      </c>
      <c r="D9032">
        <v>3</v>
      </c>
      <c r="E9032">
        <v>19</v>
      </c>
      <c r="F9032">
        <v>64</v>
      </c>
    </row>
    <row r="9033" spans="1:6" x14ac:dyDescent="0.35">
      <c r="A9033">
        <v>1975</v>
      </c>
      <c r="B9033" s="1">
        <v>45901</v>
      </c>
      <c r="C9033" s="2">
        <v>0.29166666666666669</v>
      </c>
      <c r="D9033">
        <v>3</v>
      </c>
      <c r="E9033">
        <v>19.8</v>
      </c>
      <c r="F9033">
        <v>62</v>
      </c>
    </row>
    <row r="9034" spans="1:6" x14ac:dyDescent="0.35">
      <c r="A9034">
        <v>1975</v>
      </c>
      <c r="B9034" s="1">
        <v>45901</v>
      </c>
      <c r="C9034" s="2">
        <v>0.33333333333333331</v>
      </c>
      <c r="D9034">
        <v>3</v>
      </c>
      <c r="E9034">
        <v>20.2</v>
      </c>
      <c r="F9034">
        <v>62</v>
      </c>
    </row>
    <row r="9035" spans="1:6" x14ac:dyDescent="0.35">
      <c r="A9035">
        <v>1975</v>
      </c>
      <c r="B9035" s="1">
        <v>45901</v>
      </c>
      <c r="C9035" s="2">
        <v>0.375</v>
      </c>
      <c r="D9035">
        <v>3</v>
      </c>
      <c r="E9035">
        <v>20.8</v>
      </c>
      <c r="F9035">
        <v>60</v>
      </c>
    </row>
    <row r="9036" spans="1:6" x14ac:dyDescent="0.35">
      <c r="A9036">
        <v>1975</v>
      </c>
      <c r="B9036" s="1">
        <v>45901</v>
      </c>
      <c r="C9036" s="2">
        <v>0.41666666666666669</v>
      </c>
      <c r="D9036">
        <v>3</v>
      </c>
      <c r="E9036">
        <v>21.4</v>
      </c>
      <c r="F9036">
        <v>62</v>
      </c>
    </row>
    <row r="9037" spans="1:6" x14ac:dyDescent="0.35">
      <c r="A9037">
        <v>1975</v>
      </c>
      <c r="B9037" s="1">
        <v>45901</v>
      </c>
      <c r="C9037" s="2">
        <v>0.45833333333333331</v>
      </c>
      <c r="D9037">
        <v>3</v>
      </c>
      <c r="E9037">
        <v>21.2</v>
      </c>
      <c r="F9037">
        <v>61</v>
      </c>
    </row>
    <row r="9038" spans="1:6" x14ac:dyDescent="0.35">
      <c r="A9038">
        <v>1975</v>
      </c>
      <c r="B9038" s="1">
        <v>45901</v>
      </c>
      <c r="C9038" s="2">
        <v>0.5</v>
      </c>
      <c r="D9038">
        <v>3</v>
      </c>
      <c r="E9038">
        <v>17.899999999999999</v>
      </c>
      <c r="F9038">
        <v>85</v>
      </c>
    </row>
    <row r="9039" spans="1:6" x14ac:dyDescent="0.35">
      <c r="A9039">
        <v>1975</v>
      </c>
      <c r="B9039" s="1">
        <v>45901</v>
      </c>
      <c r="C9039" s="2">
        <v>0.54166666666666663</v>
      </c>
      <c r="D9039">
        <v>3</v>
      </c>
      <c r="E9039">
        <v>17.600000000000001</v>
      </c>
      <c r="F9039">
        <v>94</v>
      </c>
    </row>
    <row r="9040" spans="1:6" x14ac:dyDescent="0.35">
      <c r="A9040">
        <v>1975</v>
      </c>
      <c r="B9040" s="1">
        <v>45901</v>
      </c>
      <c r="C9040" s="2">
        <v>0.58333333333333337</v>
      </c>
      <c r="D9040">
        <v>3</v>
      </c>
      <c r="E9040">
        <v>17.600000000000001</v>
      </c>
      <c r="F9040">
        <v>96</v>
      </c>
    </row>
    <row r="9041" spans="1:6" x14ac:dyDescent="0.35">
      <c r="A9041">
        <v>1975</v>
      </c>
      <c r="B9041" s="1">
        <v>45901</v>
      </c>
      <c r="C9041" s="2">
        <v>0.625</v>
      </c>
      <c r="D9041">
        <v>3</v>
      </c>
      <c r="E9041">
        <v>18.100000000000001</v>
      </c>
      <c r="F9041">
        <v>94</v>
      </c>
    </row>
    <row r="9042" spans="1:6" x14ac:dyDescent="0.35">
      <c r="A9042">
        <v>1975</v>
      </c>
      <c r="B9042" s="1">
        <v>45901</v>
      </c>
      <c r="C9042" s="2">
        <v>0.66666666666666663</v>
      </c>
      <c r="D9042">
        <v>3</v>
      </c>
      <c r="E9042">
        <v>18.600000000000001</v>
      </c>
      <c r="F9042">
        <v>91</v>
      </c>
    </row>
    <row r="9043" spans="1:6" x14ac:dyDescent="0.35">
      <c r="A9043">
        <v>1975</v>
      </c>
      <c r="B9043" s="1">
        <v>45901</v>
      </c>
      <c r="C9043" s="2">
        <v>0.70833333333333337</v>
      </c>
      <c r="D9043">
        <v>3</v>
      </c>
      <c r="E9043">
        <v>19.100000000000001</v>
      </c>
      <c r="F9043">
        <v>86</v>
      </c>
    </row>
    <row r="9044" spans="1:6" x14ac:dyDescent="0.35">
      <c r="A9044">
        <v>1975</v>
      </c>
      <c r="B9044" s="1">
        <v>45901</v>
      </c>
      <c r="C9044" s="2">
        <v>0.75</v>
      </c>
      <c r="D9044">
        <v>3</v>
      </c>
      <c r="E9044">
        <v>17.8</v>
      </c>
      <c r="F9044">
        <v>92</v>
      </c>
    </row>
    <row r="9045" spans="1:6" x14ac:dyDescent="0.35">
      <c r="A9045">
        <v>1975</v>
      </c>
      <c r="B9045" s="1">
        <v>45901</v>
      </c>
      <c r="C9045" s="2">
        <v>0.79166666666666663</v>
      </c>
      <c r="D9045">
        <v>3</v>
      </c>
      <c r="E9045">
        <v>16.5</v>
      </c>
      <c r="F9045">
        <v>100</v>
      </c>
    </row>
    <row r="9046" spans="1:6" x14ac:dyDescent="0.35">
      <c r="A9046">
        <v>1975</v>
      </c>
      <c r="B9046" s="1">
        <v>45901</v>
      </c>
      <c r="C9046" s="2">
        <v>0.83333333333333337</v>
      </c>
      <c r="D9046">
        <v>3</v>
      </c>
      <c r="E9046">
        <v>15.8</v>
      </c>
      <c r="F9046">
        <v>100</v>
      </c>
    </row>
    <row r="9047" spans="1:6" x14ac:dyDescent="0.35">
      <c r="A9047">
        <v>1975</v>
      </c>
      <c r="B9047" s="1">
        <v>45901</v>
      </c>
      <c r="C9047" s="2">
        <v>0.875</v>
      </c>
      <c r="D9047">
        <v>3</v>
      </c>
      <c r="E9047">
        <v>15.7</v>
      </c>
      <c r="F9047">
        <v>100</v>
      </c>
    </row>
    <row r="9048" spans="1:6" x14ac:dyDescent="0.35">
      <c r="A9048">
        <v>1975</v>
      </c>
      <c r="B9048" s="1">
        <v>45901</v>
      </c>
      <c r="C9048" s="2">
        <v>0.91666666666666663</v>
      </c>
      <c r="D9048">
        <v>3</v>
      </c>
      <c r="E9048">
        <v>15.9</v>
      </c>
      <c r="F9048">
        <v>100</v>
      </c>
    </row>
    <row r="9049" spans="1:6" x14ac:dyDescent="0.35">
      <c r="A9049">
        <v>1975</v>
      </c>
      <c r="B9049" s="1">
        <v>45901</v>
      </c>
      <c r="C9049" s="2">
        <v>0.95833333333333337</v>
      </c>
      <c r="D9049">
        <v>3</v>
      </c>
      <c r="E9049">
        <v>15.2</v>
      </c>
      <c r="F9049">
        <v>100</v>
      </c>
    </row>
    <row r="9050" spans="1:6" x14ac:dyDescent="0.35">
      <c r="A9050">
        <v>1975</v>
      </c>
      <c r="B9050" s="1">
        <v>45902</v>
      </c>
      <c r="C9050" s="2">
        <v>0</v>
      </c>
      <c r="D9050">
        <v>3</v>
      </c>
      <c r="E9050">
        <v>14.9</v>
      </c>
      <c r="F9050">
        <v>100</v>
      </c>
    </row>
    <row r="9051" spans="1:6" x14ac:dyDescent="0.35">
      <c r="A9051">
        <v>1975</v>
      </c>
      <c r="B9051" s="1">
        <v>45902</v>
      </c>
      <c r="C9051" s="2">
        <v>4.1666666666666657E-2</v>
      </c>
      <c r="D9051">
        <v>3</v>
      </c>
      <c r="E9051">
        <v>15.3</v>
      </c>
      <c r="F9051">
        <v>100</v>
      </c>
    </row>
    <row r="9052" spans="1:6" x14ac:dyDescent="0.35">
      <c r="A9052">
        <v>1975</v>
      </c>
      <c r="B9052" s="1">
        <v>45902</v>
      </c>
      <c r="C9052" s="2">
        <v>8.3333333333333329E-2</v>
      </c>
      <c r="D9052">
        <v>3</v>
      </c>
      <c r="E9052">
        <v>14.5</v>
      </c>
      <c r="F9052">
        <v>100</v>
      </c>
    </row>
    <row r="9053" spans="1:6" x14ac:dyDescent="0.35">
      <c r="A9053">
        <v>1975</v>
      </c>
      <c r="B9053" s="1">
        <v>45902</v>
      </c>
      <c r="C9053" s="2">
        <v>0.125</v>
      </c>
      <c r="D9053">
        <v>3</v>
      </c>
      <c r="E9053">
        <v>14.9</v>
      </c>
      <c r="F9053">
        <v>100</v>
      </c>
    </row>
    <row r="9054" spans="1:6" x14ac:dyDescent="0.35">
      <c r="A9054">
        <v>1975</v>
      </c>
      <c r="B9054" s="1">
        <v>45902</v>
      </c>
      <c r="C9054" s="2">
        <v>0.16666666666666671</v>
      </c>
      <c r="D9054">
        <v>3</v>
      </c>
      <c r="E9054">
        <v>14.5</v>
      </c>
      <c r="F9054">
        <v>100</v>
      </c>
    </row>
    <row r="9055" spans="1:6" x14ac:dyDescent="0.35">
      <c r="A9055">
        <v>1975</v>
      </c>
      <c r="B9055" s="1">
        <v>45902</v>
      </c>
      <c r="C9055" s="2">
        <v>0.20833333333333329</v>
      </c>
      <c r="D9055">
        <v>3</v>
      </c>
      <c r="E9055">
        <v>14.8</v>
      </c>
      <c r="F9055">
        <v>99</v>
      </c>
    </row>
    <row r="9056" spans="1:6" x14ac:dyDescent="0.35">
      <c r="A9056">
        <v>1975</v>
      </c>
      <c r="B9056" s="1">
        <v>45902</v>
      </c>
      <c r="C9056" s="2">
        <v>0.25</v>
      </c>
      <c r="D9056">
        <v>3</v>
      </c>
      <c r="E9056">
        <v>15.1</v>
      </c>
      <c r="F9056">
        <v>97</v>
      </c>
    </row>
    <row r="9057" spans="1:6" x14ac:dyDescent="0.35">
      <c r="A9057">
        <v>1975</v>
      </c>
      <c r="B9057" s="1">
        <v>45902</v>
      </c>
      <c r="C9057" s="2">
        <v>0.29166666666666669</v>
      </c>
      <c r="D9057">
        <v>3</v>
      </c>
      <c r="E9057">
        <v>16</v>
      </c>
      <c r="F9057">
        <v>93</v>
      </c>
    </row>
    <row r="9058" spans="1:6" x14ac:dyDescent="0.35">
      <c r="A9058">
        <v>1975</v>
      </c>
      <c r="B9058" s="1">
        <v>45902</v>
      </c>
      <c r="C9058" s="2">
        <v>0.33333333333333331</v>
      </c>
      <c r="D9058">
        <v>3</v>
      </c>
      <c r="E9058">
        <v>16.899999999999999</v>
      </c>
      <c r="F9058">
        <v>89</v>
      </c>
    </row>
    <row r="9059" spans="1:6" x14ac:dyDescent="0.35">
      <c r="A9059">
        <v>1975</v>
      </c>
      <c r="B9059" s="1">
        <v>45902</v>
      </c>
      <c r="C9059" s="2">
        <v>0.375</v>
      </c>
      <c r="D9059">
        <v>3</v>
      </c>
      <c r="E9059">
        <v>18.7</v>
      </c>
      <c r="F9059">
        <v>79</v>
      </c>
    </row>
    <row r="9060" spans="1:6" x14ac:dyDescent="0.35">
      <c r="A9060">
        <v>1975</v>
      </c>
      <c r="B9060" s="1">
        <v>45902</v>
      </c>
      <c r="C9060" s="2">
        <v>0.41666666666666669</v>
      </c>
      <c r="D9060">
        <v>3</v>
      </c>
      <c r="E9060">
        <v>19.899999999999999</v>
      </c>
      <c r="F9060">
        <v>70</v>
      </c>
    </row>
    <row r="9061" spans="1:6" x14ac:dyDescent="0.35">
      <c r="A9061">
        <v>1975</v>
      </c>
      <c r="B9061" s="1">
        <v>45902</v>
      </c>
      <c r="C9061" s="2">
        <v>0.45833333333333331</v>
      </c>
      <c r="D9061">
        <v>3</v>
      </c>
      <c r="E9061">
        <v>21.6</v>
      </c>
      <c r="F9061">
        <v>63</v>
      </c>
    </row>
    <row r="9062" spans="1:6" x14ac:dyDescent="0.35">
      <c r="A9062">
        <v>1975</v>
      </c>
      <c r="B9062" s="1">
        <v>45902</v>
      </c>
      <c r="C9062" s="2">
        <v>0.5</v>
      </c>
      <c r="D9062">
        <v>3</v>
      </c>
      <c r="E9062">
        <v>21.6</v>
      </c>
      <c r="F9062">
        <v>60</v>
      </c>
    </row>
    <row r="9063" spans="1:6" x14ac:dyDescent="0.35">
      <c r="A9063">
        <v>1975</v>
      </c>
      <c r="B9063" s="1">
        <v>45902</v>
      </c>
      <c r="C9063" s="2">
        <v>0.54166666666666663</v>
      </c>
      <c r="D9063">
        <v>3</v>
      </c>
      <c r="E9063">
        <v>21.9</v>
      </c>
      <c r="F9063">
        <v>62</v>
      </c>
    </row>
    <row r="9064" spans="1:6" x14ac:dyDescent="0.35">
      <c r="A9064">
        <v>1975</v>
      </c>
      <c r="B9064" s="1">
        <v>45902</v>
      </c>
      <c r="C9064" s="2">
        <v>0.58333333333333337</v>
      </c>
      <c r="D9064">
        <v>3</v>
      </c>
      <c r="E9064">
        <v>22.4</v>
      </c>
      <c r="F9064">
        <v>54</v>
      </c>
    </row>
    <row r="9065" spans="1:6" x14ac:dyDescent="0.35">
      <c r="A9065">
        <v>1975</v>
      </c>
      <c r="B9065" s="1">
        <v>45902</v>
      </c>
      <c r="C9065" s="2">
        <v>0.625</v>
      </c>
      <c r="D9065">
        <v>3</v>
      </c>
      <c r="E9065">
        <v>23.2</v>
      </c>
      <c r="F9065">
        <v>51</v>
      </c>
    </row>
    <row r="9066" spans="1:6" x14ac:dyDescent="0.35">
      <c r="A9066">
        <v>1975</v>
      </c>
      <c r="B9066" s="1">
        <v>45902</v>
      </c>
      <c r="C9066" s="2">
        <v>0.66666666666666663</v>
      </c>
      <c r="D9066">
        <v>3</v>
      </c>
      <c r="E9066">
        <v>21.6</v>
      </c>
      <c r="F9066">
        <v>56</v>
      </c>
    </row>
    <row r="9067" spans="1:6" x14ac:dyDescent="0.35">
      <c r="A9067">
        <v>1975</v>
      </c>
      <c r="B9067" s="1">
        <v>45902</v>
      </c>
      <c r="C9067" s="2">
        <v>0.70833333333333337</v>
      </c>
      <c r="D9067">
        <v>3</v>
      </c>
      <c r="E9067">
        <v>21.2</v>
      </c>
      <c r="F9067">
        <v>55</v>
      </c>
    </row>
    <row r="9068" spans="1:6" x14ac:dyDescent="0.35">
      <c r="A9068">
        <v>1975</v>
      </c>
      <c r="B9068" s="1">
        <v>45902</v>
      </c>
      <c r="C9068" s="2">
        <v>0.75</v>
      </c>
      <c r="D9068">
        <v>3</v>
      </c>
      <c r="E9068">
        <v>19.5</v>
      </c>
      <c r="F9068">
        <v>63</v>
      </c>
    </row>
    <row r="9069" spans="1:6" x14ac:dyDescent="0.35">
      <c r="A9069">
        <v>1975</v>
      </c>
      <c r="B9069" s="1">
        <v>45902</v>
      </c>
      <c r="C9069" s="2">
        <v>0.79166666666666663</v>
      </c>
      <c r="D9069">
        <v>3</v>
      </c>
      <c r="E9069">
        <v>16.3</v>
      </c>
      <c r="F9069">
        <v>82</v>
      </c>
    </row>
    <row r="9070" spans="1:6" x14ac:dyDescent="0.35">
      <c r="A9070">
        <v>1975</v>
      </c>
      <c r="B9070" s="1">
        <v>45902</v>
      </c>
      <c r="C9070" s="2">
        <v>0.83333333333333337</v>
      </c>
      <c r="D9070">
        <v>3</v>
      </c>
      <c r="E9070">
        <v>14.8</v>
      </c>
      <c r="F9070">
        <v>90</v>
      </c>
    </row>
    <row r="9071" spans="1:6" x14ac:dyDescent="0.35">
      <c r="A9071">
        <v>1975</v>
      </c>
      <c r="B9071" s="1">
        <v>45902</v>
      </c>
      <c r="C9071" s="2">
        <v>0.875</v>
      </c>
      <c r="D9071">
        <v>3</v>
      </c>
      <c r="E9071">
        <v>13.7</v>
      </c>
      <c r="F9071">
        <v>96</v>
      </c>
    </row>
    <row r="9072" spans="1:6" x14ac:dyDescent="0.35">
      <c r="A9072">
        <v>1975</v>
      </c>
      <c r="B9072" s="1">
        <v>45902</v>
      </c>
      <c r="C9072" s="2">
        <v>0.91666666666666663</v>
      </c>
      <c r="D9072">
        <v>3</v>
      </c>
      <c r="E9072">
        <v>13</v>
      </c>
      <c r="F9072">
        <v>98</v>
      </c>
    </row>
    <row r="9073" spans="1:6" x14ac:dyDescent="0.35">
      <c r="A9073">
        <v>1975</v>
      </c>
      <c r="B9073" s="1">
        <v>45902</v>
      </c>
      <c r="C9073" s="2">
        <v>0.95833333333333337</v>
      </c>
      <c r="D9073">
        <v>3</v>
      </c>
      <c r="E9073">
        <v>12.8</v>
      </c>
      <c r="F9073">
        <v>95</v>
      </c>
    </row>
    <row r="9074" spans="1:6" x14ac:dyDescent="0.35">
      <c r="A9074">
        <v>1975</v>
      </c>
      <c r="B9074" s="1">
        <v>45903</v>
      </c>
      <c r="C9074" s="2">
        <v>0</v>
      </c>
      <c r="D9074">
        <v>3</v>
      </c>
      <c r="E9074">
        <v>13.9</v>
      </c>
      <c r="F9074">
        <v>87</v>
      </c>
    </row>
    <row r="9075" spans="1:6" x14ac:dyDescent="0.35">
      <c r="A9075">
        <v>1975</v>
      </c>
      <c r="B9075" s="1">
        <v>45903</v>
      </c>
      <c r="C9075" s="2">
        <v>4.1666666666666657E-2</v>
      </c>
      <c r="D9075">
        <v>3</v>
      </c>
      <c r="E9075">
        <v>12</v>
      </c>
      <c r="F9075">
        <v>92</v>
      </c>
    </row>
    <row r="9076" spans="1:6" x14ac:dyDescent="0.35">
      <c r="A9076">
        <v>1975</v>
      </c>
      <c r="B9076" s="1">
        <v>45903</v>
      </c>
      <c r="C9076" s="2">
        <v>8.3333333333333329E-2</v>
      </c>
      <c r="D9076">
        <v>3</v>
      </c>
      <c r="E9076">
        <v>12.2</v>
      </c>
      <c r="F9076">
        <v>93</v>
      </c>
    </row>
    <row r="9077" spans="1:6" x14ac:dyDescent="0.35">
      <c r="A9077">
        <v>1975</v>
      </c>
      <c r="B9077" s="1">
        <v>45903</v>
      </c>
      <c r="C9077" s="2">
        <v>0.125</v>
      </c>
      <c r="D9077">
        <v>3</v>
      </c>
      <c r="E9077">
        <v>12.6</v>
      </c>
      <c r="F9077">
        <v>88</v>
      </c>
    </row>
    <row r="9078" spans="1:6" x14ac:dyDescent="0.35">
      <c r="A9078">
        <v>1975</v>
      </c>
      <c r="B9078" s="1">
        <v>45903</v>
      </c>
      <c r="C9078" s="2">
        <v>0.16666666666666671</v>
      </c>
      <c r="D9078">
        <v>3</v>
      </c>
      <c r="E9078">
        <v>12.8</v>
      </c>
      <c r="F9078">
        <v>88</v>
      </c>
    </row>
    <row r="9079" spans="1:6" x14ac:dyDescent="0.35">
      <c r="A9079">
        <v>1975</v>
      </c>
      <c r="B9079" s="1">
        <v>45903</v>
      </c>
      <c r="C9079" s="2">
        <v>0.20833333333333329</v>
      </c>
      <c r="D9079">
        <v>3</v>
      </c>
      <c r="E9079">
        <v>12.7</v>
      </c>
      <c r="F9079">
        <v>85</v>
      </c>
    </row>
    <row r="9080" spans="1:6" x14ac:dyDescent="0.35">
      <c r="A9080">
        <v>1975</v>
      </c>
      <c r="B9080" s="1">
        <v>45903</v>
      </c>
      <c r="C9080" s="2">
        <v>0.25</v>
      </c>
      <c r="D9080">
        <v>3</v>
      </c>
      <c r="E9080">
        <v>14.3</v>
      </c>
      <c r="F9080">
        <v>78</v>
      </c>
    </row>
    <row r="9081" spans="1:6" x14ac:dyDescent="0.35">
      <c r="A9081">
        <v>1975</v>
      </c>
      <c r="B9081" s="1">
        <v>45903</v>
      </c>
      <c r="C9081" s="2">
        <v>0.29166666666666669</v>
      </c>
      <c r="D9081">
        <v>3</v>
      </c>
      <c r="E9081">
        <v>16.7</v>
      </c>
      <c r="F9081">
        <v>69</v>
      </c>
    </row>
    <row r="9082" spans="1:6" x14ac:dyDescent="0.35">
      <c r="A9082">
        <v>1975</v>
      </c>
      <c r="B9082" s="1">
        <v>45903</v>
      </c>
      <c r="C9082" s="2">
        <v>0.33333333333333331</v>
      </c>
      <c r="D9082">
        <v>3</v>
      </c>
      <c r="E9082">
        <v>18.600000000000001</v>
      </c>
      <c r="F9082">
        <v>65</v>
      </c>
    </row>
    <row r="9083" spans="1:6" x14ac:dyDescent="0.35">
      <c r="A9083">
        <v>1975</v>
      </c>
      <c r="B9083" s="1">
        <v>45903</v>
      </c>
      <c r="C9083" s="2">
        <v>0.375</v>
      </c>
      <c r="D9083">
        <v>3</v>
      </c>
      <c r="E9083">
        <v>20.2</v>
      </c>
      <c r="F9083">
        <v>62</v>
      </c>
    </row>
    <row r="9084" spans="1:6" x14ac:dyDescent="0.35">
      <c r="A9084">
        <v>1975</v>
      </c>
      <c r="B9084" s="1">
        <v>45903</v>
      </c>
      <c r="C9084" s="2">
        <v>0.41666666666666669</v>
      </c>
      <c r="D9084">
        <v>3</v>
      </c>
      <c r="E9084">
        <v>21.5</v>
      </c>
      <c r="F9084">
        <v>60</v>
      </c>
    </row>
    <row r="9085" spans="1:6" x14ac:dyDescent="0.35">
      <c r="A9085">
        <v>1975</v>
      </c>
      <c r="B9085" s="1">
        <v>45903</v>
      </c>
      <c r="C9085" s="2">
        <v>0.45833333333333331</v>
      </c>
      <c r="D9085">
        <v>3</v>
      </c>
      <c r="E9085">
        <v>22.1</v>
      </c>
      <c r="F9085">
        <v>59</v>
      </c>
    </row>
    <row r="9086" spans="1:6" x14ac:dyDescent="0.35">
      <c r="A9086">
        <v>1975</v>
      </c>
      <c r="B9086" s="1">
        <v>45903</v>
      </c>
      <c r="C9086" s="2">
        <v>0.5</v>
      </c>
      <c r="D9086">
        <v>3</v>
      </c>
      <c r="E9086">
        <v>22.8</v>
      </c>
      <c r="F9086">
        <v>58</v>
      </c>
    </row>
    <row r="9087" spans="1:6" x14ac:dyDescent="0.35">
      <c r="A9087">
        <v>1975</v>
      </c>
      <c r="B9087" s="1">
        <v>45903</v>
      </c>
      <c r="C9087" s="2">
        <v>0.54166666666666663</v>
      </c>
      <c r="D9087">
        <v>3</v>
      </c>
      <c r="E9087">
        <v>23.1</v>
      </c>
      <c r="F9087">
        <v>56</v>
      </c>
    </row>
    <row r="9088" spans="1:6" x14ac:dyDescent="0.35">
      <c r="A9088">
        <v>1975</v>
      </c>
      <c r="B9088" s="1">
        <v>45903</v>
      </c>
      <c r="C9088" s="2">
        <v>0.58333333333333337</v>
      </c>
      <c r="D9088">
        <v>3</v>
      </c>
      <c r="E9088">
        <v>24.3</v>
      </c>
      <c r="F9088">
        <v>54</v>
      </c>
    </row>
    <row r="9089" spans="1:6" x14ac:dyDescent="0.35">
      <c r="A9089">
        <v>1975</v>
      </c>
      <c r="B9089" s="1">
        <v>45903</v>
      </c>
      <c r="C9089" s="2">
        <v>0.625</v>
      </c>
      <c r="D9089">
        <v>3</v>
      </c>
      <c r="E9089">
        <v>24.6</v>
      </c>
      <c r="F9089">
        <v>52</v>
      </c>
    </row>
    <row r="9090" spans="1:6" x14ac:dyDescent="0.35">
      <c r="A9090">
        <v>1975</v>
      </c>
      <c r="B9090" s="1">
        <v>45903</v>
      </c>
      <c r="C9090" s="2">
        <v>0.66666666666666663</v>
      </c>
      <c r="D9090">
        <v>3</v>
      </c>
      <c r="E9090">
        <v>23.7</v>
      </c>
      <c r="F9090">
        <v>53</v>
      </c>
    </row>
    <row r="9091" spans="1:6" x14ac:dyDescent="0.35">
      <c r="A9091">
        <v>1975</v>
      </c>
      <c r="B9091" s="1">
        <v>45903</v>
      </c>
      <c r="C9091" s="2">
        <v>0.70833333333333337</v>
      </c>
      <c r="D9091">
        <v>3</v>
      </c>
      <c r="E9091">
        <v>23.2</v>
      </c>
      <c r="F9091">
        <v>56</v>
      </c>
    </row>
    <row r="9092" spans="1:6" x14ac:dyDescent="0.35">
      <c r="A9092">
        <v>1975</v>
      </c>
      <c r="B9092" s="1">
        <v>45903</v>
      </c>
      <c r="C9092" s="2">
        <v>0.75</v>
      </c>
      <c r="D9092">
        <v>3</v>
      </c>
      <c r="E9092">
        <v>22.9</v>
      </c>
      <c r="F9092">
        <v>58</v>
      </c>
    </row>
    <row r="9093" spans="1:6" x14ac:dyDescent="0.35">
      <c r="A9093">
        <v>1975</v>
      </c>
      <c r="B9093" s="1">
        <v>45903</v>
      </c>
      <c r="C9093" s="2">
        <v>0.79166666666666663</v>
      </c>
      <c r="D9093">
        <v>3</v>
      </c>
      <c r="E9093">
        <v>22</v>
      </c>
      <c r="F9093">
        <v>61</v>
      </c>
    </row>
    <row r="9094" spans="1:6" x14ac:dyDescent="0.35">
      <c r="A9094">
        <v>1975</v>
      </c>
      <c r="B9094" s="1">
        <v>45903</v>
      </c>
      <c r="C9094" s="2">
        <v>0.83333333333333337</v>
      </c>
      <c r="D9094">
        <v>3</v>
      </c>
      <c r="E9094">
        <v>21.5</v>
      </c>
      <c r="F9094">
        <v>64</v>
      </c>
    </row>
    <row r="9095" spans="1:6" x14ac:dyDescent="0.35">
      <c r="A9095">
        <v>1975</v>
      </c>
      <c r="B9095" s="1">
        <v>45903</v>
      </c>
      <c r="C9095" s="2">
        <v>0.875</v>
      </c>
      <c r="D9095">
        <v>3</v>
      </c>
      <c r="E9095">
        <v>21</v>
      </c>
      <c r="F9095">
        <v>66</v>
      </c>
    </row>
    <row r="9096" spans="1:6" x14ac:dyDescent="0.35">
      <c r="A9096">
        <v>1975</v>
      </c>
      <c r="B9096" s="1">
        <v>45903</v>
      </c>
      <c r="C9096" s="2">
        <v>0.91666666666666663</v>
      </c>
      <c r="D9096">
        <v>3</v>
      </c>
      <c r="E9096">
        <v>20.3</v>
      </c>
      <c r="F9096">
        <v>68</v>
      </c>
    </row>
    <row r="9097" spans="1:6" x14ac:dyDescent="0.35">
      <c r="A9097">
        <v>1975</v>
      </c>
      <c r="B9097" s="1">
        <v>45903</v>
      </c>
      <c r="C9097" s="2">
        <v>0.95833333333333337</v>
      </c>
      <c r="D9097">
        <v>3</v>
      </c>
      <c r="E9097">
        <v>19.899999999999999</v>
      </c>
      <c r="F9097">
        <v>71</v>
      </c>
    </row>
    <row r="9098" spans="1:6" x14ac:dyDescent="0.35">
      <c r="A9098">
        <v>1975</v>
      </c>
      <c r="B9098" s="1">
        <v>45904</v>
      </c>
      <c r="C9098" s="2">
        <v>0</v>
      </c>
      <c r="D9098">
        <v>3</v>
      </c>
      <c r="E9098">
        <v>19.8</v>
      </c>
      <c r="F9098">
        <v>73</v>
      </c>
    </row>
    <row r="9099" spans="1:6" x14ac:dyDescent="0.35">
      <c r="A9099">
        <v>1975</v>
      </c>
      <c r="B9099" s="1">
        <v>45904</v>
      </c>
      <c r="C9099" s="2">
        <v>4.1666666666666657E-2</v>
      </c>
      <c r="D9099">
        <v>3</v>
      </c>
      <c r="E9099">
        <v>20.3</v>
      </c>
      <c r="F9099">
        <v>71</v>
      </c>
    </row>
    <row r="9100" spans="1:6" x14ac:dyDescent="0.35">
      <c r="A9100">
        <v>1975</v>
      </c>
      <c r="B9100" s="1">
        <v>45904</v>
      </c>
      <c r="C9100" s="2">
        <v>8.3333333333333329E-2</v>
      </c>
      <c r="D9100">
        <v>3</v>
      </c>
      <c r="E9100">
        <v>19.600000000000001</v>
      </c>
      <c r="F9100">
        <v>74</v>
      </c>
    </row>
    <row r="9101" spans="1:6" x14ac:dyDescent="0.35">
      <c r="A9101">
        <v>1975</v>
      </c>
      <c r="B9101" s="1">
        <v>45904</v>
      </c>
      <c r="C9101" s="2">
        <v>0.125</v>
      </c>
      <c r="D9101">
        <v>3</v>
      </c>
      <c r="E9101">
        <v>19.600000000000001</v>
      </c>
      <c r="F9101">
        <v>75</v>
      </c>
    </row>
    <row r="9102" spans="1:6" x14ac:dyDescent="0.35">
      <c r="A9102">
        <v>1975</v>
      </c>
      <c r="B9102" s="1">
        <v>45904</v>
      </c>
      <c r="C9102" s="2">
        <v>0.16666666666666671</v>
      </c>
      <c r="D9102">
        <v>3</v>
      </c>
      <c r="E9102">
        <v>18.399999999999999</v>
      </c>
      <c r="F9102">
        <v>81</v>
      </c>
    </row>
    <row r="9103" spans="1:6" x14ac:dyDescent="0.35">
      <c r="A9103">
        <v>1975</v>
      </c>
      <c r="B9103" s="1">
        <v>45904</v>
      </c>
      <c r="C9103" s="2">
        <v>0.20833333333333329</v>
      </c>
      <c r="D9103">
        <v>3</v>
      </c>
      <c r="E9103">
        <v>18.8</v>
      </c>
      <c r="F9103">
        <v>81</v>
      </c>
    </row>
    <row r="9104" spans="1:6" x14ac:dyDescent="0.35">
      <c r="A9104">
        <v>1975</v>
      </c>
      <c r="B9104" s="1">
        <v>45904</v>
      </c>
      <c r="C9104" s="2">
        <v>0.25</v>
      </c>
      <c r="D9104">
        <v>3</v>
      </c>
      <c r="E9104">
        <v>19.100000000000001</v>
      </c>
      <c r="F9104">
        <v>79</v>
      </c>
    </row>
    <row r="9105" spans="1:6" x14ac:dyDescent="0.35">
      <c r="A9105">
        <v>1975</v>
      </c>
      <c r="B9105" s="1">
        <v>45904</v>
      </c>
      <c r="C9105" s="2">
        <v>0.29166666666666669</v>
      </c>
      <c r="D9105">
        <v>3</v>
      </c>
      <c r="E9105">
        <v>19.2</v>
      </c>
      <c r="F9105">
        <v>76</v>
      </c>
    </row>
    <row r="9106" spans="1:6" x14ac:dyDescent="0.35">
      <c r="A9106">
        <v>1975</v>
      </c>
      <c r="B9106" s="1">
        <v>45904</v>
      </c>
      <c r="C9106" s="2">
        <v>0.33333333333333331</v>
      </c>
      <c r="D9106">
        <v>3</v>
      </c>
      <c r="E9106">
        <v>20.2</v>
      </c>
      <c r="F9106">
        <v>71</v>
      </c>
    </row>
    <row r="9107" spans="1:6" x14ac:dyDescent="0.35">
      <c r="A9107">
        <v>1975</v>
      </c>
      <c r="B9107" s="1">
        <v>45904</v>
      </c>
      <c r="C9107" s="2">
        <v>0.375</v>
      </c>
      <c r="D9107">
        <v>3</v>
      </c>
      <c r="E9107">
        <v>20.399999999999999</v>
      </c>
      <c r="F9107">
        <v>69</v>
      </c>
    </row>
    <row r="9108" spans="1:6" x14ac:dyDescent="0.35">
      <c r="A9108">
        <v>1975</v>
      </c>
      <c r="B9108" s="1">
        <v>45904</v>
      </c>
      <c r="C9108" s="2">
        <v>0.41666666666666669</v>
      </c>
      <c r="D9108">
        <v>3</v>
      </c>
      <c r="E9108">
        <v>20.9</v>
      </c>
      <c r="F9108">
        <v>62</v>
      </c>
    </row>
    <row r="9109" spans="1:6" x14ac:dyDescent="0.35">
      <c r="A9109">
        <v>1975</v>
      </c>
      <c r="B9109" s="1">
        <v>45904</v>
      </c>
      <c r="C9109" s="2">
        <v>0.45833333333333331</v>
      </c>
      <c r="D9109">
        <v>3</v>
      </c>
      <c r="E9109">
        <v>21.7</v>
      </c>
      <c r="F9109">
        <v>62</v>
      </c>
    </row>
    <row r="9110" spans="1:6" x14ac:dyDescent="0.35">
      <c r="A9110">
        <v>1975</v>
      </c>
      <c r="B9110" s="1">
        <v>45904</v>
      </c>
      <c r="C9110" s="2">
        <v>0.5</v>
      </c>
      <c r="D9110">
        <v>3</v>
      </c>
      <c r="E9110">
        <v>23</v>
      </c>
      <c r="F9110">
        <v>58</v>
      </c>
    </row>
    <row r="9111" spans="1:6" x14ac:dyDescent="0.35">
      <c r="A9111">
        <v>1975</v>
      </c>
      <c r="B9111" s="1">
        <v>45904</v>
      </c>
      <c r="C9111" s="2">
        <v>0.54166666666666663</v>
      </c>
      <c r="D9111">
        <v>3</v>
      </c>
      <c r="E9111">
        <v>23.7</v>
      </c>
      <c r="F9111">
        <v>52</v>
      </c>
    </row>
    <row r="9112" spans="1:6" x14ac:dyDescent="0.35">
      <c r="A9112">
        <v>1975</v>
      </c>
      <c r="B9112" s="1">
        <v>45904</v>
      </c>
      <c r="C9112" s="2">
        <v>0.58333333333333337</v>
      </c>
      <c r="D9112">
        <v>3</v>
      </c>
      <c r="E9112">
        <v>24.1</v>
      </c>
      <c r="F9112">
        <v>50</v>
      </c>
    </row>
    <row r="9113" spans="1:6" x14ac:dyDescent="0.35">
      <c r="A9113">
        <v>1975</v>
      </c>
      <c r="B9113" s="1">
        <v>45904</v>
      </c>
      <c r="C9113" s="2">
        <v>0.625</v>
      </c>
      <c r="D9113">
        <v>3</v>
      </c>
      <c r="E9113">
        <v>23.9</v>
      </c>
      <c r="F9113">
        <v>50</v>
      </c>
    </row>
    <row r="9114" spans="1:6" x14ac:dyDescent="0.35">
      <c r="A9114">
        <v>1975</v>
      </c>
      <c r="B9114" s="1">
        <v>45904</v>
      </c>
      <c r="C9114" s="2">
        <v>0.66666666666666663</v>
      </c>
      <c r="D9114">
        <v>3</v>
      </c>
      <c r="E9114">
        <v>23.4</v>
      </c>
      <c r="F9114">
        <v>52</v>
      </c>
    </row>
    <row r="9115" spans="1:6" x14ac:dyDescent="0.35">
      <c r="A9115">
        <v>1975</v>
      </c>
      <c r="B9115" s="1">
        <v>45904</v>
      </c>
      <c r="C9115" s="2">
        <v>0.70833333333333337</v>
      </c>
      <c r="D9115">
        <v>3</v>
      </c>
      <c r="E9115">
        <v>21.8</v>
      </c>
      <c r="F9115">
        <v>59</v>
      </c>
    </row>
    <row r="9116" spans="1:6" x14ac:dyDescent="0.35">
      <c r="A9116">
        <v>1975</v>
      </c>
      <c r="B9116" s="1">
        <v>45904</v>
      </c>
      <c r="C9116" s="2">
        <v>0.75</v>
      </c>
      <c r="D9116">
        <v>3</v>
      </c>
      <c r="E9116">
        <v>19.100000000000001</v>
      </c>
      <c r="F9116">
        <v>77</v>
      </c>
    </row>
    <row r="9117" spans="1:6" x14ac:dyDescent="0.35">
      <c r="A9117">
        <v>1975</v>
      </c>
      <c r="B9117" s="1">
        <v>45904</v>
      </c>
      <c r="C9117" s="2">
        <v>0.79166666666666663</v>
      </c>
      <c r="D9117">
        <v>3</v>
      </c>
      <c r="E9117">
        <v>18.600000000000001</v>
      </c>
      <c r="F9117">
        <v>80</v>
      </c>
    </row>
    <row r="9118" spans="1:6" x14ac:dyDescent="0.35">
      <c r="A9118">
        <v>1975</v>
      </c>
      <c r="B9118" s="1">
        <v>45904</v>
      </c>
      <c r="C9118" s="2">
        <v>0.83333333333333337</v>
      </c>
      <c r="D9118">
        <v>3</v>
      </c>
      <c r="E9118">
        <v>19.100000000000001</v>
      </c>
      <c r="F9118">
        <v>78</v>
      </c>
    </row>
    <row r="9119" spans="1:6" x14ac:dyDescent="0.35">
      <c r="A9119">
        <v>1975</v>
      </c>
      <c r="B9119" s="1">
        <v>45904</v>
      </c>
      <c r="C9119" s="2">
        <v>0.875</v>
      </c>
      <c r="D9119">
        <v>3</v>
      </c>
      <c r="E9119">
        <v>18</v>
      </c>
      <c r="F9119">
        <v>86</v>
      </c>
    </row>
    <row r="9120" spans="1:6" x14ac:dyDescent="0.35">
      <c r="A9120">
        <v>1975</v>
      </c>
      <c r="B9120" s="1">
        <v>45904</v>
      </c>
      <c r="C9120" s="2">
        <v>0.91666666666666663</v>
      </c>
      <c r="D9120">
        <v>3</v>
      </c>
      <c r="E9120">
        <v>18.600000000000001</v>
      </c>
      <c r="F9120">
        <v>80</v>
      </c>
    </row>
    <row r="9121" spans="1:6" x14ac:dyDescent="0.35">
      <c r="A9121">
        <v>1975</v>
      </c>
      <c r="B9121" s="1">
        <v>45904</v>
      </c>
      <c r="C9121" s="2">
        <v>0.95833333333333337</v>
      </c>
      <c r="D9121">
        <v>3</v>
      </c>
      <c r="E9121">
        <v>18.5</v>
      </c>
      <c r="F9121">
        <v>79</v>
      </c>
    </row>
    <row r="9122" spans="1:6" x14ac:dyDescent="0.35">
      <c r="A9122">
        <v>1975</v>
      </c>
      <c r="B9122" s="1">
        <v>45905</v>
      </c>
      <c r="C9122" s="2">
        <v>0</v>
      </c>
      <c r="D9122">
        <v>3</v>
      </c>
      <c r="E9122">
        <v>18.5</v>
      </c>
      <c r="F9122">
        <v>82</v>
      </c>
    </row>
    <row r="9123" spans="1:6" x14ac:dyDescent="0.35">
      <c r="A9123">
        <v>1975</v>
      </c>
      <c r="B9123" s="1">
        <v>45905</v>
      </c>
      <c r="C9123" s="2">
        <v>4.1666666666666657E-2</v>
      </c>
      <c r="D9123">
        <v>3</v>
      </c>
      <c r="E9123">
        <v>17.399999999999999</v>
      </c>
      <c r="F9123">
        <v>91</v>
      </c>
    </row>
    <row r="9124" spans="1:6" x14ac:dyDescent="0.35">
      <c r="A9124">
        <v>1975</v>
      </c>
      <c r="B9124" s="1">
        <v>45905</v>
      </c>
      <c r="C9124" s="2">
        <v>8.3333333333333329E-2</v>
      </c>
      <c r="D9124">
        <v>3</v>
      </c>
      <c r="E9124">
        <v>17.3</v>
      </c>
      <c r="F9124">
        <v>92</v>
      </c>
    </row>
    <row r="9125" spans="1:6" x14ac:dyDescent="0.35">
      <c r="A9125">
        <v>1975</v>
      </c>
      <c r="B9125" s="1">
        <v>45905</v>
      </c>
      <c r="C9125" s="2">
        <v>0.125</v>
      </c>
      <c r="D9125">
        <v>3</v>
      </c>
      <c r="E9125">
        <v>16.7</v>
      </c>
      <c r="F9125">
        <v>93</v>
      </c>
    </row>
    <row r="9126" spans="1:6" x14ac:dyDescent="0.35">
      <c r="A9126">
        <v>1975</v>
      </c>
      <c r="B9126" s="1">
        <v>45905</v>
      </c>
      <c r="C9126" s="2">
        <v>0.16666666666666671</v>
      </c>
      <c r="D9126">
        <v>3</v>
      </c>
      <c r="E9126">
        <v>16.399999999999999</v>
      </c>
      <c r="F9126">
        <v>94</v>
      </c>
    </row>
    <row r="9127" spans="1:6" x14ac:dyDescent="0.35">
      <c r="A9127">
        <v>1975</v>
      </c>
      <c r="B9127" s="1">
        <v>45905</v>
      </c>
      <c r="C9127" s="2">
        <v>0.20833333333333329</v>
      </c>
      <c r="D9127">
        <v>3</v>
      </c>
      <c r="E9127">
        <v>16</v>
      </c>
      <c r="F9127">
        <v>94</v>
      </c>
    </row>
    <row r="9128" spans="1:6" x14ac:dyDescent="0.35">
      <c r="A9128">
        <v>1975</v>
      </c>
      <c r="B9128" s="1">
        <v>45905</v>
      </c>
      <c r="C9128" s="2">
        <v>0.25</v>
      </c>
      <c r="D9128">
        <v>3</v>
      </c>
      <c r="E9128">
        <v>15.6</v>
      </c>
      <c r="F9128">
        <v>96</v>
      </c>
    </row>
    <row r="9129" spans="1:6" x14ac:dyDescent="0.35">
      <c r="A9129">
        <v>1975</v>
      </c>
      <c r="B9129" s="1">
        <v>45905</v>
      </c>
      <c r="C9129" s="2">
        <v>0.29166666666666669</v>
      </c>
      <c r="D9129">
        <v>3</v>
      </c>
      <c r="E9129">
        <v>15.9</v>
      </c>
      <c r="F9129">
        <v>96</v>
      </c>
    </row>
    <row r="9130" spans="1:6" x14ac:dyDescent="0.35">
      <c r="A9130">
        <v>1975</v>
      </c>
      <c r="B9130" s="1">
        <v>45905</v>
      </c>
      <c r="C9130" s="2">
        <v>0.33333333333333331</v>
      </c>
      <c r="D9130">
        <v>3</v>
      </c>
      <c r="E9130">
        <v>16.399999999999999</v>
      </c>
      <c r="F9130">
        <v>92</v>
      </c>
    </row>
    <row r="9131" spans="1:6" x14ac:dyDescent="0.35">
      <c r="A9131">
        <v>1975</v>
      </c>
      <c r="B9131" s="1">
        <v>45905</v>
      </c>
      <c r="C9131" s="2">
        <v>0.375</v>
      </c>
      <c r="D9131">
        <v>3</v>
      </c>
      <c r="E9131">
        <v>17.600000000000001</v>
      </c>
      <c r="F9131">
        <v>87</v>
      </c>
    </row>
    <row r="9132" spans="1:6" x14ac:dyDescent="0.35">
      <c r="A9132">
        <v>1975</v>
      </c>
      <c r="B9132" s="1">
        <v>45905</v>
      </c>
      <c r="C9132" s="2">
        <v>0.41666666666666669</v>
      </c>
      <c r="D9132">
        <v>3</v>
      </c>
      <c r="E9132">
        <v>18.100000000000001</v>
      </c>
      <c r="F9132">
        <v>77</v>
      </c>
    </row>
    <row r="9133" spans="1:6" x14ac:dyDescent="0.35">
      <c r="A9133">
        <v>1975</v>
      </c>
      <c r="B9133" s="1">
        <v>45905</v>
      </c>
      <c r="C9133" s="2">
        <v>0.45833333333333331</v>
      </c>
      <c r="D9133">
        <v>3</v>
      </c>
      <c r="E9133">
        <v>19.899999999999999</v>
      </c>
      <c r="F9133">
        <v>62</v>
      </c>
    </row>
    <row r="9134" spans="1:6" x14ac:dyDescent="0.35">
      <c r="A9134">
        <v>1975</v>
      </c>
      <c r="B9134" s="1">
        <v>45905</v>
      </c>
      <c r="C9134" s="2">
        <v>0.5</v>
      </c>
      <c r="D9134">
        <v>3</v>
      </c>
      <c r="E9134">
        <v>19.399999999999999</v>
      </c>
      <c r="F9134">
        <v>66</v>
      </c>
    </row>
    <row r="9135" spans="1:6" x14ac:dyDescent="0.35">
      <c r="A9135">
        <v>1975</v>
      </c>
      <c r="B9135" s="1">
        <v>45905</v>
      </c>
      <c r="C9135" s="2">
        <v>0.54166666666666663</v>
      </c>
      <c r="D9135">
        <v>3</v>
      </c>
      <c r="E9135">
        <v>20.2</v>
      </c>
      <c r="F9135">
        <v>64</v>
      </c>
    </row>
    <row r="9136" spans="1:6" x14ac:dyDescent="0.35">
      <c r="A9136">
        <v>1975</v>
      </c>
      <c r="B9136" s="1">
        <v>45905</v>
      </c>
      <c r="C9136" s="2">
        <v>0.58333333333333337</v>
      </c>
      <c r="D9136">
        <v>3</v>
      </c>
      <c r="E9136">
        <v>20.399999999999999</v>
      </c>
      <c r="F9136">
        <v>60</v>
      </c>
    </row>
    <row r="9137" spans="1:6" x14ac:dyDescent="0.35">
      <c r="A9137">
        <v>1975</v>
      </c>
      <c r="B9137" s="1">
        <v>45905</v>
      </c>
      <c r="C9137" s="2">
        <v>0.625</v>
      </c>
      <c r="D9137">
        <v>3</v>
      </c>
      <c r="E9137">
        <v>19.100000000000001</v>
      </c>
      <c r="F9137">
        <v>66</v>
      </c>
    </row>
    <row r="9138" spans="1:6" x14ac:dyDescent="0.35">
      <c r="A9138">
        <v>1975</v>
      </c>
      <c r="B9138" s="1">
        <v>45905</v>
      </c>
      <c r="C9138" s="2">
        <v>0.66666666666666663</v>
      </c>
      <c r="D9138">
        <v>3</v>
      </c>
      <c r="E9138">
        <v>18.100000000000001</v>
      </c>
      <c r="F9138">
        <v>74</v>
      </c>
    </row>
    <row r="9139" spans="1:6" x14ac:dyDescent="0.35">
      <c r="A9139">
        <v>1975</v>
      </c>
      <c r="B9139" s="1">
        <v>45905</v>
      </c>
      <c r="C9139" s="2">
        <v>0.70833333333333337</v>
      </c>
      <c r="D9139">
        <v>3</v>
      </c>
      <c r="E9139">
        <v>18.7</v>
      </c>
      <c r="F9139">
        <v>71</v>
      </c>
    </row>
    <row r="9140" spans="1:6" x14ac:dyDescent="0.35">
      <c r="A9140">
        <v>1975</v>
      </c>
      <c r="B9140" s="1">
        <v>45905</v>
      </c>
      <c r="C9140" s="2">
        <v>0.75</v>
      </c>
      <c r="D9140">
        <v>3</v>
      </c>
      <c r="E9140">
        <v>16.7</v>
      </c>
      <c r="F9140">
        <v>84</v>
      </c>
    </row>
    <row r="9141" spans="1:6" x14ac:dyDescent="0.35">
      <c r="A9141">
        <v>1975</v>
      </c>
      <c r="B9141" s="1">
        <v>45905</v>
      </c>
      <c r="C9141" s="2">
        <v>0.79166666666666663</v>
      </c>
      <c r="D9141">
        <v>3</v>
      </c>
      <c r="E9141">
        <v>15.3</v>
      </c>
      <c r="F9141">
        <v>92</v>
      </c>
    </row>
    <row r="9142" spans="1:6" x14ac:dyDescent="0.35">
      <c r="A9142">
        <v>1975</v>
      </c>
      <c r="B9142" s="1">
        <v>45905</v>
      </c>
      <c r="C9142" s="2">
        <v>0.83333333333333337</v>
      </c>
      <c r="D9142">
        <v>3</v>
      </c>
      <c r="E9142">
        <v>14.8</v>
      </c>
      <c r="F9142">
        <v>93</v>
      </c>
    </row>
    <row r="9143" spans="1:6" x14ac:dyDescent="0.35">
      <c r="A9143">
        <v>1975</v>
      </c>
      <c r="B9143" s="1">
        <v>45905</v>
      </c>
      <c r="C9143" s="2">
        <v>0.875</v>
      </c>
      <c r="D9143">
        <v>3</v>
      </c>
      <c r="E9143">
        <v>14.1</v>
      </c>
      <c r="F9143">
        <v>94</v>
      </c>
    </row>
    <row r="9144" spans="1:6" x14ac:dyDescent="0.35">
      <c r="A9144">
        <v>1975</v>
      </c>
      <c r="B9144" s="1">
        <v>45905</v>
      </c>
      <c r="C9144" s="2">
        <v>0.91666666666666663</v>
      </c>
      <c r="D9144">
        <v>3</v>
      </c>
      <c r="E9144">
        <v>14.3</v>
      </c>
      <c r="F9144">
        <v>91</v>
      </c>
    </row>
    <row r="9145" spans="1:6" x14ac:dyDescent="0.35">
      <c r="A9145">
        <v>1975</v>
      </c>
      <c r="B9145" s="1">
        <v>45905</v>
      </c>
      <c r="C9145" s="2">
        <v>0.95833333333333337</v>
      </c>
      <c r="D9145">
        <v>3</v>
      </c>
      <c r="E9145">
        <v>11.9</v>
      </c>
      <c r="F9145">
        <v>96</v>
      </c>
    </row>
    <row r="9146" spans="1:6" x14ac:dyDescent="0.35">
      <c r="A9146">
        <v>1975</v>
      </c>
      <c r="B9146" s="1">
        <v>45906</v>
      </c>
      <c r="C9146" s="2">
        <v>0</v>
      </c>
      <c r="D9146">
        <v>3</v>
      </c>
      <c r="E9146">
        <v>11.5</v>
      </c>
      <c r="F9146">
        <v>100</v>
      </c>
    </row>
    <row r="9147" spans="1:6" x14ac:dyDescent="0.35">
      <c r="A9147">
        <v>1975</v>
      </c>
      <c r="B9147" s="1">
        <v>45906</v>
      </c>
      <c r="C9147" s="2">
        <v>4.1666666666666657E-2</v>
      </c>
      <c r="D9147">
        <v>3</v>
      </c>
      <c r="E9147">
        <v>11.2</v>
      </c>
      <c r="F9147">
        <v>100</v>
      </c>
    </row>
    <row r="9148" spans="1:6" x14ac:dyDescent="0.35">
      <c r="A9148">
        <v>1975</v>
      </c>
      <c r="B9148" s="1">
        <v>45906</v>
      </c>
      <c r="C9148" s="2">
        <v>8.3333333333333329E-2</v>
      </c>
      <c r="D9148">
        <v>3</v>
      </c>
      <c r="E9148">
        <v>10.4</v>
      </c>
      <c r="F9148">
        <v>100</v>
      </c>
    </row>
    <row r="9149" spans="1:6" x14ac:dyDescent="0.35">
      <c r="A9149">
        <v>1975</v>
      </c>
      <c r="B9149" s="1">
        <v>45906</v>
      </c>
      <c r="C9149" s="2">
        <v>0.125</v>
      </c>
      <c r="D9149">
        <v>3</v>
      </c>
      <c r="E9149">
        <v>10.3</v>
      </c>
      <c r="F9149">
        <v>100</v>
      </c>
    </row>
    <row r="9150" spans="1:6" x14ac:dyDescent="0.35">
      <c r="A9150">
        <v>1975</v>
      </c>
      <c r="B9150" s="1">
        <v>45906</v>
      </c>
      <c r="C9150" s="2">
        <v>0.16666666666666671</v>
      </c>
      <c r="D9150">
        <v>3</v>
      </c>
      <c r="E9150">
        <v>9.9</v>
      </c>
      <c r="F9150">
        <v>100</v>
      </c>
    </row>
    <row r="9151" spans="1:6" x14ac:dyDescent="0.35">
      <c r="A9151">
        <v>1975</v>
      </c>
      <c r="B9151" s="1">
        <v>45906</v>
      </c>
      <c r="C9151" s="2">
        <v>0.20833333333333329</v>
      </c>
      <c r="D9151">
        <v>3</v>
      </c>
      <c r="E9151">
        <v>9.1999999999999993</v>
      </c>
      <c r="F9151">
        <v>100</v>
      </c>
    </row>
    <row r="9152" spans="1:6" x14ac:dyDescent="0.35">
      <c r="A9152">
        <v>1975</v>
      </c>
      <c r="B9152" s="1">
        <v>45906</v>
      </c>
      <c r="C9152" s="2">
        <v>0.25</v>
      </c>
      <c r="D9152">
        <v>3</v>
      </c>
      <c r="E9152">
        <v>11.5</v>
      </c>
      <c r="F9152">
        <v>100</v>
      </c>
    </row>
    <row r="9153" spans="1:6" x14ac:dyDescent="0.35">
      <c r="A9153">
        <v>1975</v>
      </c>
      <c r="B9153" s="1">
        <v>45906</v>
      </c>
      <c r="C9153" s="2">
        <v>0.29166666666666669</v>
      </c>
      <c r="D9153">
        <v>3</v>
      </c>
      <c r="E9153">
        <v>14.6</v>
      </c>
      <c r="F9153">
        <v>90</v>
      </c>
    </row>
    <row r="9154" spans="1:6" x14ac:dyDescent="0.35">
      <c r="A9154">
        <v>1975</v>
      </c>
      <c r="B9154" s="1">
        <v>45906</v>
      </c>
      <c r="C9154" s="2">
        <v>0.33333333333333331</v>
      </c>
      <c r="D9154">
        <v>3</v>
      </c>
      <c r="E9154">
        <v>16.8</v>
      </c>
      <c r="F9154">
        <v>78</v>
      </c>
    </row>
    <row r="9155" spans="1:6" x14ac:dyDescent="0.35">
      <c r="A9155">
        <v>1975</v>
      </c>
      <c r="B9155" s="1">
        <v>45906</v>
      </c>
      <c r="C9155" s="2">
        <v>0.375</v>
      </c>
      <c r="D9155">
        <v>3</v>
      </c>
      <c r="E9155">
        <v>18.2</v>
      </c>
      <c r="F9155">
        <v>70</v>
      </c>
    </row>
    <row r="9156" spans="1:6" x14ac:dyDescent="0.35">
      <c r="A9156">
        <v>1975</v>
      </c>
      <c r="B9156" s="1">
        <v>45906</v>
      </c>
      <c r="C9156" s="2">
        <v>0.41666666666666669</v>
      </c>
      <c r="D9156">
        <v>3</v>
      </c>
      <c r="E9156">
        <v>18.899999999999999</v>
      </c>
      <c r="F9156">
        <v>61</v>
      </c>
    </row>
    <row r="9157" spans="1:6" x14ac:dyDescent="0.35">
      <c r="A9157">
        <v>1975</v>
      </c>
      <c r="B9157" s="1">
        <v>45906</v>
      </c>
      <c r="C9157" s="2">
        <v>0.45833333333333331</v>
      </c>
      <c r="D9157">
        <v>3</v>
      </c>
      <c r="E9157">
        <v>19.899999999999999</v>
      </c>
      <c r="F9157">
        <v>58</v>
      </c>
    </row>
    <row r="9158" spans="1:6" x14ac:dyDescent="0.35">
      <c r="A9158">
        <v>1975</v>
      </c>
      <c r="B9158" s="1">
        <v>45906</v>
      </c>
      <c r="C9158" s="2">
        <v>0.5</v>
      </c>
      <c r="D9158">
        <v>3</v>
      </c>
      <c r="E9158">
        <v>19.5</v>
      </c>
      <c r="F9158">
        <v>60</v>
      </c>
    </row>
    <row r="9159" spans="1:6" x14ac:dyDescent="0.35">
      <c r="A9159">
        <v>1975</v>
      </c>
      <c r="B9159" s="1">
        <v>45906</v>
      </c>
      <c r="C9159" s="2">
        <v>0.54166666666666663</v>
      </c>
      <c r="D9159">
        <v>3</v>
      </c>
      <c r="E9159">
        <v>19.7</v>
      </c>
      <c r="F9159">
        <v>58</v>
      </c>
    </row>
    <row r="9160" spans="1:6" x14ac:dyDescent="0.35">
      <c r="A9160">
        <v>1975</v>
      </c>
      <c r="B9160" s="1">
        <v>45906</v>
      </c>
      <c r="C9160" s="2">
        <v>0.58333333333333337</v>
      </c>
      <c r="D9160">
        <v>3</v>
      </c>
      <c r="E9160">
        <v>21.1</v>
      </c>
      <c r="F9160">
        <v>48</v>
      </c>
    </row>
    <row r="9161" spans="1:6" x14ac:dyDescent="0.35">
      <c r="A9161">
        <v>1975</v>
      </c>
      <c r="B9161" s="1">
        <v>45906</v>
      </c>
      <c r="C9161" s="2">
        <v>0.625</v>
      </c>
      <c r="D9161">
        <v>3</v>
      </c>
      <c r="E9161">
        <v>22</v>
      </c>
      <c r="F9161">
        <v>48</v>
      </c>
    </row>
    <row r="9162" spans="1:6" x14ac:dyDescent="0.35">
      <c r="A9162">
        <v>1975</v>
      </c>
      <c r="B9162" s="1">
        <v>45906</v>
      </c>
      <c r="C9162" s="2">
        <v>0.66666666666666663</v>
      </c>
      <c r="D9162">
        <v>3</v>
      </c>
      <c r="E9162">
        <v>22</v>
      </c>
      <c r="F9162">
        <v>49</v>
      </c>
    </row>
    <row r="9163" spans="1:6" x14ac:dyDescent="0.35">
      <c r="A9163">
        <v>1975</v>
      </c>
      <c r="B9163" s="1">
        <v>45906</v>
      </c>
      <c r="C9163" s="2">
        <v>0.70833333333333337</v>
      </c>
      <c r="D9163">
        <v>3</v>
      </c>
      <c r="E9163">
        <v>20.5</v>
      </c>
      <c r="F9163">
        <v>52</v>
      </c>
    </row>
    <row r="9164" spans="1:6" x14ac:dyDescent="0.35">
      <c r="A9164">
        <v>1975</v>
      </c>
      <c r="B9164" s="1">
        <v>45906</v>
      </c>
      <c r="C9164" s="2">
        <v>0.75</v>
      </c>
      <c r="D9164">
        <v>3</v>
      </c>
      <c r="E9164">
        <v>18.3</v>
      </c>
      <c r="F9164">
        <v>65</v>
      </c>
    </row>
    <row r="9165" spans="1:6" x14ac:dyDescent="0.35">
      <c r="A9165">
        <v>1975</v>
      </c>
      <c r="B9165" s="1">
        <v>45906</v>
      </c>
      <c r="C9165" s="2">
        <v>0.79166666666666663</v>
      </c>
      <c r="D9165">
        <v>3</v>
      </c>
      <c r="E9165">
        <v>16</v>
      </c>
      <c r="F9165">
        <v>77</v>
      </c>
    </row>
    <row r="9166" spans="1:6" x14ac:dyDescent="0.35">
      <c r="A9166">
        <v>1975</v>
      </c>
      <c r="B9166" s="1">
        <v>45906</v>
      </c>
      <c r="C9166" s="2">
        <v>0.83333333333333337</v>
      </c>
      <c r="D9166">
        <v>3</v>
      </c>
      <c r="E9166">
        <v>15.9</v>
      </c>
      <c r="F9166">
        <v>77</v>
      </c>
    </row>
    <row r="9167" spans="1:6" x14ac:dyDescent="0.35">
      <c r="A9167">
        <v>1975</v>
      </c>
      <c r="B9167" s="1">
        <v>45906</v>
      </c>
      <c r="C9167" s="2">
        <v>0.875</v>
      </c>
      <c r="D9167">
        <v>3</v>
      </c>
      <c r="E9167">
        <v>13.8</v>
      </c>
      <c r="F9167">
        <v>85</v>
      </c>
    </row>
    <row r="9168" spans="1:6" x14ac:dyDescent="0.35">
      <c r="A9168">
        <v>1975</v>
      </c>
      <c r="B9168" s="1">
        <v>45906</v>
      </c>
      <c r="C9168" s="2">
        <v>0.91666666666666663</v>
      </c>
      <c r="D9168">
        <v>3</v>
      </c>
      <c r="E9168">
        <v>14.9</v>
      </c>
      <c r="F9168">
        <v>82</v>
      </c>
    </row>
    <row r="9169" spans="1:6" x14ac:dyDescent="0.35">
      <c r="A9169">
        <v>1975</v>
      </c>
      <c r="B9169" s="1">
        <v>45906</v>
      </c>
      <c r="C9169" s="2">
        <v>0.95833333333333337</v>
      </c>
      <c r="D9169">
        <v>3</v>
      </c>
      <c r="E9169">
        <v>14</v>
      </c>
      <c r="F9169">
        <v>84</v>
      </c>
    </row>
    <row r="9170" spans="1:6" x14ac:dyDescent="0.35">
      <c r="A9170">
        <v>1975</v>
      </c>
      <c r="B9170" s="1">
        <v>45907</v>
      </c>
      <c r="C9170" s="2">
        <v>0</v>
      </c>
      <c r="D9170">
        <v>3</v>
      </c>
      <c r="E9170">
        <v>12.8</v>
      </c>
      <c r="F9170">
        <v>90</v>
      </c>
    </row>
    <row r="9171" spans="1:6" x14ac:dyDescent="0.35">
      <c r="A9171">
        <v>1975</v>
      </c>
      <c r="B9171" s="1">
        <v>45907</v>
      </c>
      <c r="C9171" s="2">
        <v>4.1666666666666657E-2</v>
      </c>
      <c r="D9171">
        <v>3</v>
      </c>
      <c r="E9171">
        <v>13.2</v>
      </c>
      <c r="F9171">
        <v>89</v>
      </c>
    </row>
    <row r="9172" spans="1:6" x14ac:dyDescent="0.35">
      <c r="A9172">
        <v>1975</v>
      </c>
      <c r="B9172" s="1">
        <v>45907</v>
      </c>
      <c r="C9172" s="2">
        <v>8.3333333333333329E-2</v>
      </c>
      <c r="D9172">
        <v>3</v>
      </c>
      <c r="E9172">
        <v>12.3</v>
      </c>
      <c r="F9172">
        <v>91</v>
      </c>
    </row>
    <row r="9173" spans="1:6" x14ac:dyDescent="0.35">
      <c r="A9173">
        <v>1975</v>
      </c>
      <c r="B9173" s="1">
        <v>45907</v>
      </c>
      <c r="C9173" s="2">
        <v>0.125</v>
      </c>
      <c r="D9173">
        <v>3</v>
      </c>
      <c r="E9173">
        <v>11.9</v>
      </c>
      <c r="F9173">
        <v>92</v>
      </c>
    </row>
    <row r="9174" spans="1:6" x14ac:dyDescent="0.35">
      <c r="A9174">
        <v>1975</v>
      </c>
      <c r="B9174" s="1">
        <v>45907</v>
      </c>
      <c r="C9174" s="2">
        <v>0.16666666666666671</v>
      </c>
      <c r="D9174">
        <v>3</v>
      </c>
      <c r="E9174">
        <v>10.9</v>
      </c>
      <c r="F9174">
        <v>94</v>
      </c>
    </row>
    <row r="9175" spans="1:6" x14ac:dyDescent="0.35">
      <c r="A9175">
        <v>1975</v>
      </c>
      <c r="B9175" s="1">
        <v>45907</v>
      </c>
      <c r="C9175" s="2">
        <v>0.20833333333333329</v>
      </c>
      <c r="D9175">
        <v>3</v>
      </c>
      <c r="E9175">
        <v>12.6</v>
      </c>
      <c r="F9175">
        <v>89</v>
      </c>
    </row>
    <row r="9176" spans="1:6" x14ac:dyDescent="0.35">
      <c r="A9176">
        <v>1975</v>
      </c>
      <c r="B9176" s="1">
        <v>45907</v>
      </c>
      <c r="C9176" s="2">
        <v>0.25</v>
      </c>
      <c r="D9176">
        <v>3</v>
      </c>
      <c r="E9176">
        <v>13.8</v>
      </c>
      <c r="F9176">
        <v>84</v>
      </c>
    </row>
    <row r="9177" spans="1:6" x14ac:dyDescent="0.35">
      <c r="A9177">
        <v>1975</v>
      </c>
      <c r="B9177" s="1">
        <v>45907</v>
      </c>
      <c r="C9177" s="2">
        <v>0.29166666666666669</v>
      </c>
      <c r="D9177">
        <v>3</v>
      </c>
      <c r="E9177">
        <v>15.7</v>
      </c>
      <c r="F9177">
        <v>77</v>
      </c>
    </row>
    <row r="9178" spans="1:6" x14ac:dyDescent="0.35">
      <c r="A9178">
        <v>1975</v>
      </c>
      <c r="B9178" s="1">
        <v>45907</v>
      </c>
      <c r="C9178" s="2">
        <v>0.33333333333333331</v>
      </c>
      <c r="D9178">
        <v>3</v>
      </c>
      <c r="E9178">
        <v>18.2</v>
      </c>
      <c r="F9178">
        <v>66</v>
      </c>
    </row>
    <row r="9179" spans="1:6" x14ac:dyDescent="0.35">
      <c r="A9179">
        <v>1975</v>
      </c>
      <c r="B9179" s="1">
        <v>45907</v>
      </c>
      <c r="C9179" s="2">
        <v>0.375</v>
      </c>
      <c r="D9179">
        <v>3</v>
      </c>
      <c r="E9179">
        <v>20.6</v>
      </c>
      <c r="F9179">
        <v>58</v>
      </c>
    </row>
    <row r="9180" spans="1:6" x14ac:dyDescent="0.35">
      <c r="A9180">
        <v>1975</v>
      </c>
      <c r="B9180" s="1">
        <v>45907</v>
      </c>
      <c r="C9180" s="2">
        <v>0.41666666666666669</v>
      </c>
      <c r="D9180">
        <v>3</v>
      </c>
      <c r="E9180">
        <v>21.4</v>
      </c>
      <c r="F9180">
        <v>51</v>
      </c>
    </row>
    <row r="9181" spans="1:6" x14ac:dyDescent="0.35">
      <c r="A9181">
        <v>1975</v>
      </c>
      <c r="B9181" s="1">
        <v>45907</v>
      </c>
      <c r="C9181" s="2">
        <v>0.45833333333333331</v>
      </c>
      <c r="D9181">
        <v>3</v>
      </c>
      <c r="E9181">
        <v>22.3</v>
      </c>
      <c r="F9181">
        <v>50</v>
      </c>
    </row>
    <row r="9182" spans="1:6" x14ac:dyDescent="0.35">
      <c r="A9182">
        <v>1975</v>
      </c>
      <c r="B9182" s="1">
        <v>45907</v>
      </c>
      <c r="C9182" s="2">
        <v>0.5</v>
      </c>
      <c r="D9182">
        <v>3</v>
      </c>
      <c r="E9182">
        <v>23</v>
      </c>
      <c r="F9182">
        <v>47</v>
      </c>
    </row>
    <row r="9183" spans="1:6" x14ac:dyDescent="0.35">
      <c r="A9183">
        <v>1975</v>
      </c>
      <c r="B9183" s="1">
        <v>45907</v>
      </c>
      <c r="C9183" s="2">
        <v>0.54166666666666663</v>
      </c>
      <c r="D9183">
        <v>3</v>
      </c>
      <c r="E9183">
        <v>23.3</v>
      </c>
      <c r="F9183">
        <v>45</v>
      </c>
    </row>
    <row r="9184" spans="1:6" x14ac:dyDescent="0.35">
      <c r="A9184">
        <v>1975</v>
      </c>
      <c r="B9184" s="1">
        <v>45907</v>
      </c>
      <c r="C9184" s="2">
        <v>0.58333333333333337</v>
      </c>
      <c r="D9184">
        <v>3</v>
      </c>
      <c r="E9184">
        <v>23.5</v>
      </c>
      <c r="F9184">
        <v>43</v>
      </c>
    </row>
    <row r="9185" spans="1:6" x14ac:dyDescent="0.35">
      <c r="A9185">
        <v>1975</v>
      </c>
      <c r="B9185" s="1">
        <v>45907</v>
      </c>
      <c r="C9185" s="2">
        <v>0.625</v>
      </c>
      <c r="D9185">
        <v>3</v>
      </c>
      <c r="E9185">
        <v>23.5</v>
      </c>
      <c r="F9185">
        <v>42</v>
      </c>
    </row>
    <row r="9186" spans="1:6" x14ac:dyDescent="0.35">
      <c r="A9186">
        <v>1975</v>
      </c>
      <c r="B9186" s="1">
        <v>45907</v>
      </c>
      <c r="C9186" s="2">
        <v>0.66666666666666663</v>
      </c>
      <c r="D9186">
        <v>3</v>
      </c>
      <c r="E9186">
        <v>22.8</v>
      </c>
      <c r="F9186">
        <v>43</v>
      </c>
    </row>
    <row r="9187" spans="1:6" x14ac:dyDescent="0.35">
      <c r="A9187">
        <v>1975</v>
      </c>
      <c r="B9187" s="1">
        <v>45907</v>
      </c>
      <c r="C9187" s="2">
        <v>0.70833333333333337</v>
      </c>
      <c r="D9187">
        <v>3</v>
      </c>
      <c r="E9187">
        <v>21.6</v>
      </c>
      <c r="F9187">
        <v>46</v>
      </c>
    </row>
    <row r="9188" spans="1:6" x14ac:dyDescent="0.35">
      <c r="A9188">
        <v>1975</v>
      </c>
      <c r="B9188" s="1">
        <v>45907</v>
      </c>
      <c r="C9188" s="2">
        <v>0.75</v>
      </c>
      <c r="D9188">
        <v>3</v>
      </c>
      <c r="E9188">
        <v>20.100000000000001</v>
      </c>
      <c r="F9188">
        <v>52</v>
      </c>
    </row>
    <row r="9189" spans="1:6" x14ac:dyDescent="0.35">
      <c r="A9189">
        <v>1975</v>
      </c>
      <c r="B9189" s="1">
        <v>45907</v>
      </c>
      <c r="C9189" s="2">
        <v>0.79166666666666663</v>
      </c>
      <c r="D9189">
        <v>3</v>
      </c>
      <c r="E9189">
        <v>19</v>
      </c>
      <c r="F9189">
        <v>57</v>
      </c>
    </row>
    <row r="9190" spans="1:6" x14ac:dyDescent="0.35">
      <c r="A9190">
        <v>1975</v>
      </c>
      <c r="B9190" s="1">
        <v>45907</v>
      </c>
      <c r="C9190" s="2">
        <v>0.83333333333333337</v>
      </c>
      <c r="D9190">
        <v>3</v>
      </c>
      <c r="E9190">
        <v>17.3</v>
      </c>
      <c r="F9190">
        <v>63</v>
      </c>
    </row>
    <row r="9191" spans="1:6" x14ac:dyDescent="0.35">
      <c r="A9191">
        <v>1975</v>
      </c>
      <c r="B9191" s="1">
        <v>45907</v>
      </c>
      <c r="C9191" s="2">
        <v>0.875</v>
      </c>
      <c r="D9191">
        <v>3</v>
      </c>
      <c r="E9191">
        <v>16.899999999999999</v>
      </c>
      <c r="F9191">
        <v>68</v>
      </c>
    </row>
    <row r="9192" spans="1:6" x14ac:dyDescent="0.35">
      <c r="A9192">
        <v>1975</v>
      </c>
      <c r="B9192" s="1">
        <v>45907</v>
      </c>
      <c r="C9192" s="2">
        <v>0.91666666666666663</v>
      </c>
      <c r="D9192">
        <v>3</v>
      </c>
      <c r="E9192">
        <v>15.7</v>
      </c>
      <c r="F9192">
        <v>73</v>
      </c>
    </row>
    <row r="9193" spans="1:6" x14ac:dyDescent="0.35">
      <c r="A9193">
        <v>1975</v>
      </c>
      <c r="B9193" s="1">
        <v>45907</v>
      </c>
      <c r="C9193" s="2">
        <v>0.95833333333333337</v>
      </c>
      <c r="D9193">
        <v>3</v>
      </c>
      <c r="E9193">
        <v>15.6</v>
      </c>
      <c r="F9193">
        <v>72</v>
      </c>
    </row>
    <row r="9194" spans="1:6" x14ac:dyDescent="0.35">
      <c r="A9194">
        <v>1975</v>
      </c>
      <c r="B9194" s="1">
        <v>45908</v>
      </c>
      <c r="C9194" s="2">
        <v>0</v>
      </c>
      <c r="D9194">
        <v>3</v>
      </c>
      <c r="E9194">
        <v>14.6</v>
      </c>
      <c r="F9194">
        <v>77</v>
      </c>
    </row>
    <row r="9195" spans="1:6" x14ac:dyDescent="0.35">
      <c r="A9195">
        <v>1975</v>
      </c>
      <c r="B9195" s="1">
        <v>45908</v>
      </c>
      <c r="C9195" s="2">
        <v>4.1666666666666657E-2</v>
      </c>
      <c r="D9195">
        <v>3</v>
      </c>
      <c r="E9195">
        <v>14.2</v>
      </c>
      <c r="F9195">
        <v>82</v>
      </c>
    </row>
    <row r="9196" spans="1:6" x14ac:dyDescent="0.35">
      <c r="A9196">
        <v>1975</v>
      </c>
      <c r="B9196" s="1">
        <v>45908</v>
      </c>
      <c r="C9196" s="2">
        <v>8.3333333333333329E-2</v>
      </c>
      <c r="D9196">
        <v>3</v>
      </c>
      <c r="E9196">
        <v>13.6</v>
      </c>
      <c r="F9196">
        <v>86</v>
      </c>
    </row>
    <row r="9197" spans="1:6" x14ac:dyDescent="0.35">
      <c r="A9197">
        <v>1975</v>
      </c>
      <c r="B9197" s="1">
        <v>45908</v>
      </c>
      <c r="C9197" s="2">
        <v>0.125</v>
      </c>
      <c r="D9197">
        <v>3</v>
      </c>
      <c r="E9197">
        <v>13</v>
      </c>
      <c r="F9197">
        <v>88</v>
      </c>
    </row>
    <row r="9198" spans="1:6" x14ac:dyDescent="0.35">
      <c r="A9198">
        <v>1975</v>
      </c>
      <c r="B9198" s="1">
        <v>45908</v>
      </c>
      <c r="C9198" s="2">
        <v>0.16666666666666671</v>
      </c>
      <c r="D9198">
        <v>3</v>
      </c>
      <c r="E9198">
        <v>12.9</v>
      </c>
      <c r="F9198">
        <v>89</v>
      </c>
    </row>
    <row r="9199" spans="1:6" x14ac:dyDescent="0.35">
      <c r="A9199">
        <v>1975</v>
      </c>
      <c r="B9199" s="1">
        <v>45908</v>
      </c>
      <c r="C9199" s="2">
        <v>0.20833333333333329</v>
      </c>
      <c r="D9199">
        <v>3</v>
      </c>
      <c r="E9199">
        <v>12.7</v>
      </c>
      <c r="F9199">
        <v>89</v>
      </c>
    </row>
    <row r="9200" spans="1:6" x14ac:dyDescent="0.35">
      <c r="A9200">
        <v>1975</v>
      </c>
      <c r="B9200" s="1">
        <v>45908</v>
      </c>
      <c r="C9200" s="2">
        <v>0.25</v>
      </c>
      <c r="D9200">
        <v>3</v>
      </c>
      <c r="E9200">
        <v>13.7</v>
      </c>
      <c r="F9200">
        <v>84</v>
      </c>
    </row>
    <row r="9201" spans="1:6" x14ac:dyDescent="0.35">
      <c r="A9201">
        <v>1975</v>
      </c>
      <c r="B9201" s="1">
        <v>45908</v>
      </c>
      <c r="C9201" s="2">
        <v>0.29166666666666669</v>
      </c>
      <c r="D9201">
        <v>3</v>
      </c>
      <c r="E9201">
        <v>15.7</v>
      </c>
      <c r="F9201">
        <v>76</v>
      </c>
    </row>
    <row r="9202" spans="1:6" x14ac:dyDescent="0.35">
      <c r="A9202">
        <v>1975</v>
      </c>
      <c r="B9202" s="1">
        <v>45908</v>
      </c>
      <c r="C9202" s="2">
        <v>0.33333333333333331</v>
      </c>
      <c r="D9202">
        <v>3</v>
      </c>
      <c r="E9202">
        <v>18</v>
      </c>
      <c r="F9202">
        <v>66</v>
      </c>
    </row>
    <row r="9203" spans="1:6" x14ac:dyDescent="0.35">
      <c r="A9203">
        <v>1975</v>
      </c>
      <c r="B9203" s="1">
        <v>45908</v>
      </c>
      <c r="C9203" s="2">
        <v>0.375</v>
      </c>
      <c r="D9203">
        <v>3</v>
      </c>
      <c r="E9203">
        <v>20.6</v>
      </c>
      <c r="F9203">
        <v>56</v>
      </c>
    </row>
    <row r="9204" spans="1:6" x14ac:dyDescent="0.35">
      <c r="A9204">
        <v>1975</v>
      </c>
      <c r="B9204" s="1">
        <v>45908</v>
      </c>
      <c r="C9204" s="2">
        <v>0.41666666666666669</v>
      </c>
      <c r="D9204">
        <v>3</v>
      </c>
      <c r="E9204">
        <v>21.7</v>
      </c>
      <c r="F9204">
        <v>51</v>
      </c>
    </row>
    <row r="9205" spans="1:6" x14ac:dyDescent="0.35">
      <c r="A9205">
        <v>1975</v>
      </c>
      <c r="B9205" s="1">
        <v>45908</v>
      </c>
      <c r="C9205" s="2">
        <v>0.45833333333333331</v>
      </c>
      <c r="D9205">
        <v>3</v>
      </c>
      <c r="E9205">
        <v>23.2</v>
      </c>
      <c r="F9205">
        <v>48</v>
      </c>
    </row>
    <row r="9206" spans="1:6" x14ac:dyDescent="0.35">
      <c r="A9206">
        <v>1975</v>
      </c>
      <c r="B9206" s="1">
        <v>45908</v>
      </c>
      <c r="C9206" s="2">
        <v>0.5</v>
      </c>
      <c r="D9206">
        <v>3</v>
      </c>
      <c r="E9206">
        <v>23.2</v>
      </c>
      <c r="F9206">
        <v>43</v>
      </c>
    </row>
    <row r="9207" spans="1:6" x14ac:dyDescent="0.35">
      <c r="A9207">
        <v>1975</v>
      </c>
      <c r="B9207" s="1">
        <v>45908</v>
      </c>
      <c r="C9207" s="2">
        <v>0.54166666666666663</v>
      </c>
      <c r="D9207">
        <v>3</v>
      </c>
      <c r="E9207">
        <v>23.6</v>
      </c>
      <c r="F9207">
        <v>42</v>
      </c>
    </row>
    <row r="9208" spans="1:6" x14ac:dyDescent="0.35">
      <c r="A9208">
        <v>1975</v>
      </c>
      <c r="B9208" s="1">
        <v>45908</v>
      </c>
      <c r="C9208" s="2">
        <v>0.58333333333333337</v>
      </c>
      <c r="D9208">
        <v>3</v>
      </c>
      <c r="E9208">
        <v>23.4</v>
      </c>
      <c r="F9208">
        <v>44</v>
      </c>
    </row>
    <row r="9209" spans="1:6" x14ac:dyDescent="0.35">
      <c r="A9209">
        <v>1975</v>
      </c>
      <c r="B9209" s="1">
        <v>45908</v>
      </c>
      <c r="C9209" s="2">
        <v>0.625</v>
      </c>
      <c r="D9209">
        <v>3</v>
      </c>
      <c r="E9209">
        <v>23.4</v>
      </c>
      <c r="F9209">
        <v>45</v>
      </c>
    </row>
    <row r="9210" spans="1:6" x14ac:dyDescent="0.35">
      <c r="A9210">
        <v>1975</v>
      </c>
      <c r="B9210" s="1">
        <v>45908</v>
      </c>
      <c r="C9210" s="2">
        <v>0.66666666666666663</v>
      </c>
      <c r="D9210">
        <v>3</v>
      </c>
      <c r="E9210">
        <v>22.9</v>
      </c>
      <c r="F9210">
        <v>47</v>
      </c>
    </row>
    <row r="9211" spans="1:6" x14ac:dyDescent="0.35">
      <c r="A9211">
        <v>1975</v>
      </c>
      <c r="B9211" s="1">
        <v>45908</v>
      </c>
      <c r="C9211" s="2">
        <v>0.70833333333333337</v>
      </c>
      <c r="D9211">
        <v>3</v>
      </c>
      <c r="E9211">
        <v>21.6</v>
      </c>
      <c r="F9211">
        <v>54</v>
      </c>
    </row>
    <row r="9212" spans="1:6" x14ac:dyDescent="0.35">
      <c r="A9212">
        <v>1975</v>
      </c>
      <c r="B9212" s="1">
        <v>45908</v>
      </c>
      <c r="C9212" s="2">
        <v>0.75</v>
      </c>
      <c r="D9212">
        <v>3</v>
      </c>
      <c r="E9212">
        <v>20.8</v>
      </c>
      <c r="F9212">
        <v>57</v>
      </c>
    </row>
    <row r="9213" spans="1:6" x14ac:dyDescent="0.35">
      <c r="A9213">
        <v>1975</v>
      </c>
      <c r="B9213" s="1">
        <v>45908</v>
      </c>
      <c r="C9213" s="2">
        <v>0.79166666666666663</v>
      </c>
      <c r="D9213">
        <v>3</v>
      </c>
      <c r="E9213">
        <v>19.100000000000001</v>
      </c>
      <c r="F9213">
        <v>64</v>
      </c>
    </row>
    <row r="9214" spans="1:6" x14ac:dyDescent="0.35">
      <c r="A9214">
        <v>1975</v>
      </c>
      <c r="B9214" s="1">
        <v>45908</v>
      </c>
      <c r="C9214" s="2">
        <v>0.83333333333333337</v>
      </c>
      <c r="D9214">
        <v>3</v>
      </c>
      <c r="E9214">
        <v>18.399999999999999</v>
      </c>
      <c r="F9214">
        <v>67</v>
      </c>
    </row>
    <row r="9215" spans="1:6" x14ac:dyDescent="0.35">
      <c r="A9215">
        <v>1975</v>
      </c>
      <c r="B9215" s="1">
        <v>45908</v>
      </c>
      <c r="C9215" s="2">
        <v>0.875</v>
      </c>
      <c r="D9215">
        <v>3</v>
      </c>
      <c r="E9215">
        <v>17.7</v>
      </c>
      <c r="F9215">
        <v>69</v>
      </c>
    </row>
    <row r="9216" spans="1:6" x14ac:dyDescent="0.35">
      <c r="A9216">
        <v>1975</v>
      </c>
      <c r="B9216" s="1">
        <v>45908</v>
      </c>
      <c r="C9216" s="2">
        <v>0.91666666666666663</v>
      </c>
      <c r="D9216">
        <v>3</v>
      </c>
      <c r="E9216">
        <v>16.399999999999999</v>
      </c>
      <c r="F9216">
        <v>74</v>
      </c>
    </row>
    <row r="9217" spans="1:6" x14ac:dyDescent="0.35">
      <c r="A9217">
        <v>1975</v>
      </c>
      <c r="B9217" s="1">
        <v>45908</v>
      </c>
      <c r="C9217" s="2">
        <v>0.95833333333333337</v>
      </c>
      <c r="D9217">
        <v>3</v>
      </c>
      <c r="E9217">
        <v>14.3</v>
      </c>
      <c r="F9217">
        <v>86</v>
      </c>
    </row>
    <row r="9218" spans="1:6" x14ac:dyDescent="0.35">
      <c r="A9218">
        <v>1975</v>
      </c>
      <c r="B9218" s="1">
        <v>45909</v>
      </c>
      <c r="C9218" s="2">
        <v>0</v>
      </c>
      <c r="D9218">
        <v>3</v>
      </c>
      <c r="E9218">
        <v>13.6</v>
      </c>
      <c r="F9218">
        <v>87</v>
      </c>
    </row>
    <row r="9219" spans="1:6" x14ac:dyDescent="0.35">
      <c r="A9219">
        <v>1975</v>
      </c>
      <c r="B9219" s="1">
        <v>45909</v>
      </c>
      <c r="C9219" s="2">
        <v>4.1666666666666657E-2</v>
      </c>
      <c r="D9219">
        <v>3</v>
      </c>
      <c r="E9219">
        <v>12.8</v>
      </c>
      <c r="F9219">
        <v>89</v>
      </c>
    </row>
    <row r="9220" spans="1:6" x14ac:dyDescent="0.35">
      <c r="A9220">
        <v>1975</v>
      </c>
      <c r="B9220" s="1">
        <v>45909</v>
      </c>
      <c r="C9220" s="2">
        <v>8.3333333333333329E-2</v>
      </c>
      <c r="D9220">
        <v>3</v>
      </c>
      <c r="E9220">
        <v>12</v>
      </c>
      <c r="F9220">
        <v>93</v>
      </c>
    </row>
    <row r="9221" spans="1:6" x14ac:dyDescent="0.35">
      <c r="A9221">
        <v>1975</v>
      </c>
      <c r="B9221" s="1">
        <v>45909</v>
      </c>
      <c r="C9221" s="2">
        <v>0.125</v>
      </c>
      <c r="D9221">
        <v>3</v>
      </c>
      <c r="E9221">
        <v>10.7</v>
      </c>
      <c r="F9221">
        <v>96</v>
      </c>
    </row>
    <row r="9222" spans="1:6" x14ac:dyDescent="0.35">
      <c r="A9222">
        <v>1975</v>
      </c>
      <c r="B9222" s="1">
        <v>45909</v>
      </c>
      <c r="C9222" s="2">
        <v>0.16666666666666671</v>
      </c>
      <c r="D9222">
        <v>3</v>
      </c>
      <c r="E9222">
        <v>10.7</v>
      </c>
      <c r="F9222">
        <v>96</v>
      </c>
    </row>
    <row r="9223" spans="1:6" x14ac:dyDescent="0.35">
      <c r="A9223">
        <v>1975</v>
      </c>
      <c r="B9223" s="1">
        <v>45909</v>
      </c>
      <c r="C9223" s="2">
        <v>0.20833333333333329</v>
      </c>
      <c r="D9223">
        <v>3</v>
      </c>
      <c r="E9223">
        <v>11.4</v>
      </c>
      <c r="F9223">
        <v>93</v>
      </c>
    </row>
    <row r="9224" spans="1:6" x14ac:dyDescent="0.35">
      <c r="A9224">
        <v>1975</v>
      </c>
      <c r="B9224" s="1">
        <v>45909</v>
      </c>
      <c r="C9224" s="2">
        <v>0.25</v>
      </c>
      <c r="D9224">
        <v>3</v>
      </c>
      <c r="E9224">
        <v>13.3</v>
      </c>
      <c r="F9224">
        <v>84</v>
      </c>
    </row>
    <row r="9225" spans="1:6" x14ac:dyDescent="0.35">
      <c r="A9225">
        <v>1975</v>
      </c>
      <c r="B9225" s="1">
        <v>45909</v>
      </c>
      <c r="C9225" s="2">
        <v>0.29166666666666669</v>
      </c>
      <c r="D9225">
        <v>3</v>
      </c>
      <c r="E9225">
        <v>16.100000000000001</v>
      </c>
      <c r="F9225">
        <v>79</v>
      </c>
    </row>
    <row r="9226" spans="1:6" x14ac:dyDescent="0.35">
      <c r="A9226">
        <v>1975</v>
      </c>
      <c r="B9226" s="1">
        <v>45909</v>
      </c>
      <c r="C9226" s="2">
        <v>0.33333333333333331</v>
      </c>
      <c r="D9226">
        <v>3</v>
      </c>
      <c r="E9226">
        <v>17.399999999999999</v>
      </c>
      <c r="F9226">
        <v>75</v>
      </c>
    </row>
    <row r="9227" spans="1:6" x14ac:dyDescent="0.35">
      <c r="A9227">
        <v>1975</v>
      </c>
      <c r="B9227" s="1">
        <v>45909</v>
      </c>
      <c r="C9227" s="2">
        <v>0.375</v>
      </c>
      <c r="D9227">
        <v>3</v>
      </c>
      <c r="E9227">
        <v>20.8</v>
      </c>
      <c r="F9227">
        <v>64</v>
      </c>
    </row>
    <row r="9228" spans="1:6" x14ac:dyDescent="0.35">
      <c r="A9228">
        <v>1975</v>
      </c>
      <c r="B9228" s="1">
        <v>45909</v>
      </c>
      <c r="C9228" s="2">
        <v>0.41666666666666669</v>
      </c>
      <c r="D9228">
        <v>3</v>
      </c>
      <c r="E9228">
        <v>21.8</v>
      </c>
      <c r="F9228">
        <v>58</v>
      </c>
    </row>
    <row r="9229" spans="1:6" x14ac:dyDescent="0.35">
      <c r="A9229">
        <v>1975</v>
      </c>
      <c r="B9229" s="1">
        <v>45909</v>
      </c>
      <c r="C9229" s="2">
        <v>0.45833333333333331</v>
      </c>
      <c r="D9229">
        <v>3</v>
      </c>
      <c r="E9229">
        <v>22.9</v>
      </c>
      <c r="F9229">
        <v>56</v>
      </c>
    </row>
    <row r="9230" spans="1:6" x14ac:dyDescent="0.35">
      <c r="A9230">
        <v>1975</v>
      </c>
      <c r="B9230" s="1">
        <v>45909</v>
      </c>
      <c r="C9230" s="2">
        <v>0.5</v>
      </c>
      <c r="D9230">
        <v>3</v>
      </c>
      <c r="E9230">
        <v>22.2</v>
      </c>
      <c r="F9230">
        <v>59</v>
      </c>
    </row>
    <row r="9231" spans="1:6" x14ac:dyDescent="0.35">
      <c r="A9231">
        <v>1975</v>
      </c>
      <c r="B9231" s="1">
        <v>45909</v>
      </c>
      <c r="C9231" s="2">
        <v>0.54166666666666663</v>
      </c>
      <c r="D9231">
        <v>3</v>
      </c>
      <c r="E9231">
        <v>22.3</v>
      </c>
      <c r="F9231">
        <v>61</v>
      </c>
    </row>
    <row r="9232" spans="1:6" x14ac:dyDescent="0.35">
      <c r="A9232">
        <v>1975</v>
      </c>
      <c r="B9232" s="1">
        <v>45909</v>
      </c>
      <c r="C9232" s="2">
        <v>0.58333333333333337</v>
      </c>
      <c r="D9232">
        <v>3</v>
      </c>
      <c r="E9232">
        <v>22.5</v>
      </c>
      <c r="F9232">
        <v>59</v>
      </c>
    </row>
    <row r="9233" spans="1:6" x14ac:dyDescent="0.35">
      <c r="A9233">
        <v>1975</v>
      </c>
      <c r="B9233" s="1">
        <v>45909</v>
      </c>
      <c r="C9233" s="2">
        <v>0.625</v>
      </c>
      <c r="D9233">
        <v>3</v>
      </c>
      <c r="E9233">
        <v>22.2</v>
      </c>
      <c r="F9233">
        <v>62</v>
      </c>
    </row>
    <row r="9234" spans="1:6" x14ac:dyDescent="0.35">
      <c r="A9234">
        <v>1975</v>
      </c>
      <c r="B9234" s="1">
        <v>45909</v>
      </c>
      <c r="C9234" s="2">
        <v>0.66666666666666663</v>
      </c>
      <c r="D9234">
        <v>3</v>
      </c>
      <c r="E9234">
        <v>21.8</v>
      </c>
      <c r="F9234">
        <v>64</v>
      </c>
    </row>
    <row r="9235" spans="1:6" x14ac:dyDescent="0.35">
      <c r="A9235">
        <v>1975</v>
      </c>
      <c r="B9235" s="1">
        <v>45909</v>
      </c>
      <c r="C9235" s="2">
        <v>0.70833333333333337</v>
      </c>
      <c r="D9235">
        <v>3</v>
      </c>
      <c r="E9235">
        <v>21.1</v>
      </c>
      <c r="F9235">
        <v>69</v>
      </c>
    </row>
    <row r="9236" spans="1:6" x14ac:dyDescent="0.35">
      <c r="A9236">
        <v>1975</v>
      </c>
      <c r="B9236" s="1">
        <v>45909</v>
      </c>
      <c r="C9236" s="2">
        <v>0.75</v>
      </c>
      <c r="D9236">
        <v>3</v>
      </c>
      <c r="E9236">
        <v>20.100000000000001</v>
      </c>
      <c r="F9236">
        <v>76</v>
      </c>
    </row>
    <row r="9237" spans="1:6" x14ac:dyDescent="0.35">
      <c r="A9237">
        <v>1975</v>
      </c>
      <c r="B9237" s="1">
        <v>45909</v>
      </c>
      <c r="C9237" s="2">
        <v>0.79166666666666663</v>
      </c>
      <c r="D9237">
        <v>3</v>
      </c>
      <c r="E9237">
        <v>19.8</v>
      </c>
      <c r="F9237">
        <v>81</v>
      </c>
    </row>
    <row r="9238" spans="1:6" x14ac:dyDescent="0.35">
      <c r="A9238">
        <v>1975</v>
      </c>
      <c r="B9238" s="1">
        <v>45909</v>
      </c>
      <c r="C9238" s="2">
        <v>0.83333333333333337</v>
      </c>
      <c r="D9238">
        <v>3</v>
      </c>
      <c r="E9238">
        <v>18.600000000000001</v>
      </c>
      <c r="F9238">
        <v>89</v>
      </c>
    </row>
    <row r="9239" spans="1:6" x14ac:dyDescent="0.35">
      <c r="A9239">
        <v>1975</v>
      </c>
      <c r="B9239" s="1">
        <v>45909</v>
      </c>
      <c r="C9239" s="2">
        <v>0.875</v>
      </c>
      <c r="D9239">
        <v>3</v>
      </c>
      <c r="E9239">
        <v>17.5</v>
      </c>
      <c r="F9239">
        <v>87</v>
      </c>
    </row>
    <row r="9240" spans="1:6" x14ac:dyDescent="0.35">
      <c r="A9240">
        <v>1975</v>
      </c>
      <c r="B9240" s="1">
        <v>45909</v>
      </c>
      <c r="C9240" s="2">
        <v>0.91666666666666663</v>
      </c>
      <c r="D9240">
        <v>3</v>
      </c>
      <c r="E9240">
        <v>17</v>
      </c>
      <c r="F9240">
        <v>91</v>
      </c>
    </row>
    <row r="9241" spans="1:6" x14ac:dyDescent="0.35">
      <c r="A9241">
        <v>1975</v>
      </c>
      <c r="B9241" s="1">
        <v>45909</v>
      </c>
      <c r="C9241" s="2">
        <v>0.95833333333333337</v>
      </c>
      <c r="D9241">
        <v>3</v>
      </c>
      <c r="E9241">
        <v>16.600000000000001</v>
      </c>
      <c r="F9241">
        <v>93</v>
      </c>
    </row>
    <row r="9242" spans="1:6" x14ac:dyDescent="0.35">
      <c r="A9242">
        <v>1975</v>
      </c>
      <c r="B9242" s="1">
        <v>45910</v>
      </c>
      <c r="C9242" s="2">
        <v>0</v>
      </c>
      <c r="D9242">
        <v>3</v>
      </c>
      <c r="E9242">
        <v>15.6</v>
      </c>
      <c r="F9242">
        <v>98</v>
      </c>
    </row>
    <row r="9243" spans="1:6" x14ac:dyDescent="0.35">
      <c r="A9243">
        <v>1975</v>
      </c>
      <c r="B9243" s="1">
        <v>45910</v>
      </c>
      <c r="C9243" s="2">
        <v>4.1666666666666657E-2</v>
      </c>
      <c r="D9243">
        <v>3</v>
      </c>
      <c r="E9243">
        <v>15.3</v>
      </c>
      <c r="F9243">
        <v>99</v>
      </c>
    </row>
    <row r="9244" spans="1:6" x14ac:dyDescent="0.35">
      <c r="A9244">
        <v>1975</v>
      </c>
      <c r="B9244" s="1">
        <v>45910</v>
      </c>
      <c r="C9244" s="2">
        <v>8.3333333333333329E-2</v>
      </c>
      <c r="D9244">
        <v>3</v>
      </c>
      <c r="E9244">
        <v>15.9</v>
      </c>
      <c r="F9244">
        <v>97</v>
      </c>
    </row>
    <row r="9245" spans="1:6" x14ac:dyDescent="0.35">
      <c r="A9245">
        <v>1975</v>
      </c>
      <c r="B9245" s="1">
        <v>45910</v>
      </c>
      <c r="C9245" s="2">
        <v>0.125</v>
      </c>
      <c r="D9245">
        <v>3</v>
      </c>
      <c r="E9245">
        <v>15.7</v>
      </c>
      <c r="F9245">
        <v>99</v>
      </c>
    </row>
    <row r="9246" spans="1:6" x14ac:dyDescent="0.35">
      <c r="A9246">
        <v>1975</v>
      </c>
      <c r="B9246" s="1">
        <v>45910</v>
      </c>
      <c r="C9246" s="2">
        <v>0.16666666666666671</v>
      </c>
      <c r="D9246">
        <v>3</v>
      </c>
      <c r="E9246">
        <v>15.4</v>
      </c>
      <c r="F9246">
        <v>100</v>
      </c>
    </row>
    <row r="9247" spans="1:6" x14ac:dyDescent="0.35">
      <c r="A9247">
        <v>1975</v>
      </c>
      <c r="B9247" s="1">
        <v>45910</v>
      </c>
      <c r="C9247" s="2">
        <v>0.20833333333333329</v>
      </c>
      <c r="D9247">
        <v>3</v>
      </c>
      <c r="E9247">
        <v>15.3</v>
      </c>
      <c r="F9247">
        <v>98</v>
      </c>
    </row>
    <row r="9248" spans="1:6" x14ac:dyDescent="0.35">
      <c r="A9248">
        <v>1975</v>
      </c>
      <c r="B9248" s="1">
        <v>45910</v>
      </c>
      <c r="C9248" s="2">
        <v>0.25</v>
      </c>
      <c r="D9248">
        <v>3</v>
      </c>
      <c r="E9248">
        <v>14.9</v>
      </c>
      <c r="F9248">
        <v>97</v>
      </c>
    </row>
    <row r="9249" spans="1:6" x14ac:dyDescent="0.35">
      <c r="A9249">
        <v>1975</v>
      </c>
      <c r="B9249" s="1">
        <v>45910</v>
      </c>
      <c r="C9249" s="2">
        <v>0.29166666666666669</v>
      </c>
      <c r="D9249">
        <v>3</v>
      </c>
      <c r="E9249">
        <v>15</v>
      </c>
      <c r="F9249">
        <v>97</v>
      </c>
    </row>
    <row r="9250" spans="1:6" x14ac:dyDescent="0.35">
      <c r="A9250">
        <v>1975</v>
      </c>
      <c r="B9250" s="1">
        <v>45910</v>
      </c>
      <c r="C9250" s="2">
        <v>0.33333333333333331</v>
      </c>
      <c r="D9250">
        <v>3</v>
      </c>
      <c r="E9250">
        <v>15.1</v>
      </c>
      <c r="F9250">
        <v>95</v>
      </c>
    </row>
    <row r="9251" spans="1:6" x14ac:dyDescent="0.35">
      <c r="A9251">
        <v>1975</v>
      </c>
      <c r="B9251" s="1">
        <v>45910</v>
      </c>
      <c r="C9251" s="2">
        <v>0.375</v>
      </c>
      <c r="D9251">
        <v>3</v>
      </c>
      <c r="E9251">
        <v>15.1</v>
      </c>
      <c r="F9251">
        <v>94</v>
      </c>
    </row>
    <row r="9252" spans="1:6" x14ac:dyDescent="0.35">
      <c r="A9252">
        <v>1975</v>
      </c>
      <c r="B9252" s="1">
        <v>45910</v>
      </c>
      <c r="C9252" s="2">
        <v>0.41666666666666669</v>
      </c>
      <c r="D9252">
        <v>3</v>
      </c>
      <c r="E9252">
        <v>15.7</v>
      </c>
      <c r="F9252">
        <v>90</v>
      </c>
    </row>
    <row r="9253" spans="1:6" x14ac:dyDescent="0.35">
      <c r="A9253">
        <v>1975</v>
      </c>
      <c r="B9253" s="1">
        <v>45910</v>
      </c>
      <c r="C9253" s="2">
        <v>0.45833333333333331</v>
      </c>
      <c r="D9253">
        <v>3</v>
      </c>
      <c r="E9253">
        <v>17.399999999999999</v>
      </c>
      <c r="F9253">
        <v>79</v>
      </c>
    </row>
    <row r="9254" spans="1:6" x14ac:dyDescent="0.35">
      <c r="A9254">
        <v>1975</v>
      </c>
      <c r="B9254" s="1">
        <v>45910</v>
      </c>
      <c r="C9254" s="2">
        <v>0.5</v>
      </c>
      <c r="D9254">
        <v>3</v>
      </c>
      <c r="E9254">
        <v>18.8</v>
      </c>
      <c r="F9254">
        <v>70</v>
      </c>
    </row>
    <row r="9255" spans="1:6" x14ac:dyDescent="0.35">
      <c r="A9255">
        <v>1975</v>
      </c>
      <c r="B9255" s="1">
        <v>45910</v>
      </c>
      <c r="C9255" s="2">
        <v>0.54166666666666663</v>
      </c>
      <c r="D9255">
        <v>3</v>
      </c>
      <c r="E9255">
        <v>19.7</v>
      </c>
      <c r="F9255">
        <v>65</v>
      </c>
    </row>
    <row r="9256" spans="1:6" x14ac:dyDescent="0.35">
      <c r="A9256">
        <v>1975</v>
      </c>
      <c r="B9256" s="1">
        <v>45910</v>
      </c>
      <c r="C9256" s="2">
        <v>0.58333333333333337</v>
      </c>
      <c r="D9256">
        <v>3</v>
      </c>
      <c r="E9256">
        <v>19.5</v>
      </c>
      <c r="F9256">
        <v>67</v>
      </c>
    </row>
    <row r="9257" spans="1:6" x14ac:dyDescent="0.35">
      <c r="A9257">
        <v>1975</v>
      </c>
      <c r="B9257" s="1">
        <v>45910</v>
      </c>
      <c r="C9257" s="2">
        <v>0.625</v>
      </c>
      <c r="D9257">
        <v>3</v>
      </c>
      <c r="E9257">
        <v>19.2</v>
      </c>
      <c r="F9257">
        <v>68</v>
      </c>
    </row>
    <row r="9258" spans="1:6" x14ac:dyDescent="0.35">
      <c r="A9258">
        <v>1975</v>
      </c>
      <c r="B9258" s="1">
        <v>45910</v>
      </c>
      <c r="C9258" s="2">
        <v>0.66666666666666663</v>
      </c>
      <c r="D9258">
        <v>3</v>
      </c>
      <c r="E9258">
        <v>18.5</v>
      </c>
      <c r="F9258">
        <v>72</v>
      </c>
    </row>
    <row r="9259" spans="1:6" x14ac:dyDescent="0.35">
      <c r="A9259">
        <v>1975</v>
      </c>
      <c r="B9259" s="1">
        <v>45910</v>
      </c>
      <c r="C9259" s="2">
        <v>0.70833333333333337</v>
      </c>
      <c r="D9259">
        <v>3</v>
      </c>
      <c r="E9259">
        <v>18</v>
      </c>
      <c r="F9259">
        <v>74</v>
      </c>
    </row>
    <row r="9260" spans="1:6" x14ac:dyDescent="0.35">
      <c r="A9260">
        <v>1975</v>
      </c>
      <c r="B9260" s="1">
        <v>45910</v>
      </c>
      <c r="C9260" s="2">
        <v>0.75</v>
      </c>
      <c r="D9260">
        <v>3</v>
      </c>
      <c r="E9260">
        <v>17.600000000000001</v>
      </c>
      <c r="F9260">
        <v>72</v>
      </c>
    </row>
    <row r="9261" spans="1:6" x14ac:dyDescent="0.35">
      <c r="A9261">
        <v>1975</v>
      </c>
      <c r="B9261" s="1">
        <v>45910</v>
      </c>
      <c r="C9261" s="2">
        <v>0.79166666666666663</v>
      </c>
      <c r="D9261">
        <v>3</v>
      </c>
      <c r="E9261">
        <v>17</v>
      </c>
      <c r="F9261">
        <v>74</v>
      </c>
    </row>
    <row r="9262" spans="1:6" x14ac:dyDescent="0.35">
      <c r="A9262">
        <v>1975</v>
      </c>
      <c r="B9262" s="1">
        <v>45910</v>
      </c>
      <c r="C9262" s="2">
        <v>0.83333333333333337</v>
      </c>
      <c r="D9262">
        <v>3</v>
      </c>
      <c r="E9262">
        <v>16.600000000000001</v>
      </c>
      <c r="F9262">
        <v>76</v>
      </c>
    </row>
    <row r="9263" spans="1:6" x14ac:dyDescent="0.35">
      <c r="A9263">
        <v>1975</v>
      </c>
      <c r="B9263" s="1">
        <v>45910</v>
      </c>
      <c r="C9263" s="2">
        <v>0.875</v>
      </c>
      <c r="D9263">
        <v>3</v>
      </c>
      <c r="E9263">
        <v>15.7</v>
      </c>
      <c r="F9263">
        <v>80</v>
      </c>
    </row>
    <row r="9264" spans="1:6" x14ac:dyDescent="0.35">
      <c r="A9264">
        <v>1975</v>
      </c>
      <c r="B9264" s="1">
        <v>45910</v>
      </c>
      <c r="C9264" s="2">
        <v>0.91666666666666663</v>
      </c>
      <c r="D9264">
        <v>3</v>
      </c>
      <c r="E9264">
        <v>14.2</v>
      </c>
      <c r="F9264">
        <v>86</v>
      </c>
    </row>
    <row r="9265" spans="1:6" x14ac:dyDescent="0.35">
      <c r="A9265">
        <v>1975</v>
      </c>
      <c r="B9265" s="1">
        <v>45910</v>
      </c>
      <c r="C9265" s="2">
        <v>0.95833333333333337</v>
      </c>
      <c r="D9265">
        <v>3</v>
      </c>
      <c r="E9265">
        <v>12.9</v>
      </c>
      <c r="F9265">
        <v>93</v>
      </c>
    </row>
    <row r="9266" spans="1:6" x14ac:dyDescent="0.35">
      <c r="A9266">
        <v>1975</v>
      </c>
      <c r="B9266" s="1">
        <v>45911</v>
      </c>
      <c r="C9266" s="2">
        <v>0</v>
      </c>
      <c r="D9266">
        <v>3</v>
      </c>
      <c r="E9266">
        <v>12.1</v>
      </c>
      <c r="F9266">
        <v>95</v>
      </c>
    </row>
    <row r="9267" spans="1:6" x14ac:dyDescent="0.35">
      <c r="A9267">
        <v>1975</v>
      </c>
      <c r="B9267" s="1">
        <v>45911</v>
      </c>
      <c r="C9267" s="2">
        <v>4.1666666666666657E-2</v>
      </c>
      <c r="D9267">
        <v>3</v>
      </c>
      <c r="E9267">
        <v>11.8</v>
      </c>
      <c r="F9267">
        <v>96</v>
      </c>
    </row>
    <row r="9268" spans="1:6" x14ac:dyDescent="0.35">
      <c r="A9268">
        <v>1975</v>
      </c>
      <c r="B9268" s="1">
        <v>45911</v>
      </c>
      <c r="C9268" s="2">
        <v>8.3333333333333329E-2</v>
      </c>
      <c r="D9268">
        <v>3</v>
      </c>
      <c r="E9268">
        <v>11.5</v>
      </c>
      <c r="F9268">
        <v>96</v>
      </c>
    </row>
    <row r="9269" spans="1:6" x14ac:dyDescent="0.35">
      <c r="A9269">
        <v>1975</v>
      </c>
      <c r="B9269" s="1">
        <v>45911</v>
      </c>
      <c r="C9269" s="2">
        <v>0.125</v>
      </c>
      <c r="D9269">
        <v>3</v>
      </c>
      <c r="E9269">
        <v>11.4</v>
      </c>
      <c r="F9269">
        <v>97</v>
      </c>
    </row>
    <row r="9270" spans="1:6" x14ac:dyDescent="0.35">
      <c r="A9270">
        <v>1975</v>
      </c>
      <c r="B9270" s="1">
        <v>45911</v>
      </c>
      <c r="C9270" s="2">
        <v>0.16666666666666671</v>
      </c>
      <c r="D9270">
        <v>3</v>
      </c>
      <c r="E9270">
        <v>11.2</v>
      </c>
      <c r="F9270">
        <v>97</v>
      </c>
    </row>
    <row r="9271" spans="1:6" x14ac:dyDescent="0.35">
      <c r="A9271">
        <v>1975</v>
      </c>
      <c r="B9271" s="1">
        <v>45911</v>
      </c>
      <c r="C9271" s="2">
        <v>0.20833333333333329</v>
      </c>
      <c r="D9271">
        <v>3</v>
      </c>
      <c r="E9271">
        <v>11.5</v>
      </c>
      <c r="F9271">
        <v>97</v>
      </c>
    </row>
    <row r="9272" spans="1:6" x14ac:dyDescent="0.35">
      <c r="A9272">
        <v>1975</v>
      </c>
      <c r="B9272" s="1">
        <v>45911</v>
      </c>
      <c r="C9272" s="2">
        <v>0.25</v>
      </c>
      <c r="D9272">
        <v>3</v>
      </c>
      <c r="E9272">
        <v>12.9</v>
      </c>
      <c r="F9272">
        <v>93</v>
      </c>
    </row>
    <row r="9273" spans="1:6" x14ac:dyDescent="0.35">
      <c r="A9273">
        <v>1975</v>
      </c>
      <c r="B9273" s="1">
        <v>45911</v>
      </c>
      <c r="C9273" s="2">
        <v>0.29166666666666669</v>
      </c>
      <c r="D9273">
        <v>3</v>
      </c>
      <c r="E9273">
        <v>14.1</v>
      </c>
      <c r="F9273">
        <v>89</v>
      </c>
    </row>
    <row r="9274" spans="1:6" x14ac:dyDescent="0.35">
      <c r="A9274">
        <v>1975</v>
      </c>
      <c r="B9274" s="1">
        <v>45911</v>
      </c>
      <c r="C9274" s="2">
        <v>0.33333333333333331</v>
      </c>
      <c r="D9274">
        <v>3</v>
      </c>
      <c r="E9274">
        <v>15.9</v>
      </c>
      <c r="F9274">
        <v>81</v>
      </c>
    </row>
    <row r="9275" spans="1:6" x14ac:dyDescent="0.35">
      <c r="A9275">
        <v>1975</v>
      </c>
      <c r="B9275" s="1">
        <v>45911</v>
      </c>
      <c r="C9275" s="2">
        <v>0.375</v>
      </c>
      <c r="D9275">
        <v>3</v>
      </c>
      <c r="E9275">
        <v>19.3</v>
      </c>
      <c r="F9275">
        <v>68</v>
      </c>
    </row>
    <row r="9276" spans="1:6" x14ac:dyDescent="0.35">
      <c r="A9276">
        <v>1975</v>
      </c>
      <c r="B9276" s="1">
        <v>45911</v>
      </c>
      <c r="C9276" s="2">
        <v>0.41666666666666669</v>
      </c>
      <c r="D9276">
        <v>3</v>
      </c>
      <c r="E9276">
        <v>19</v>
      </c>
      <c r="F9276">
        <v>71</v>
      </c>
    </row>
    <row r="9277" spans="1:6" x14ac:dyDescent="0.35">
      <c r="A9277">
        <v>1975</v>
      </c>
      <c r="B9277" s="1">
        <v>45911</v>
      </c>
      <c r="C9277" s="2">
        <v>0.45833333333333331</v>
      </c>
      <c r="D9277">
        <v>3</v>
      </c>
      <c r="E9277">
        <v>17.7</v>
      </c>
      <c r="F9277">
        <v>86</v>
      </c>
    </row>
    <row r="9278" spans="1:6" x14ac:dyDescent="0.35">
      <c r="A9278">
        <v>1975</v>
      </c>
      <c r="B9278" s="1">
        <v>45911</v>
      </c>
      <c r="C9278" s="2">
        <v>0.5</v>
      </c>
      <c r="D9278">
        <v>3</v>
      </c>
      <c r="E9278">
        <v>18.399999999999999</v>
      </c>
      <c r="F9278">
        <v>77</v>
      </c>
    </row>
    <row r="9279" spans="1:6" x14ac:dyDescent="0.35">
      <c r="A9279">
        <v>1975</v>
      </c>
      <c r="B9279" s="1">
        <v>45911</v>
      </c>
      <c r="C9279" s="2">
        <v>0.54166666666666663</v>
      </c>
      <c r="D9279">
        <v>3</v>
      </c>
      <c r="E9279">
        <v>19.7</v>
      </c>
      <c r="F9279">
        <v>67</v>
      </c>
    </row>
    <row r="9280" spans="1:6" x14ac:dyDescent="0.35">
      <c r="A9280">
        <v>1975</v>
      </c>
      <c r="B9280" s="1">
        <v>45911</v>
      </c>
      <c r="C9280" s="2">
        <v>0.58333333333333337</v>
      </c>
      <c r="D9280">
        <v>3</v>
      </c>
      <c r="E9280">
        <v>16.2</v>
      </c>
      <c r="F9280">
        <v>93</v>
      </c>
    </row>
    <row r="9281" spans="1:6" x14ac:dyDescent="0.35">
      <c r="A9281">
        <v>1975</v>
      </c>
      <c r="B9281" s="1">
        <v>45911</v>
      </c>
      <c r="C9281" s="2">
        <v>0.625</v>
      </c>
      <c r="D9281">
        <v>3</v>
      </c>
      <c r="E9281">
        <v>17.899999999999999</v>
      </c>
      <c r="F9281">
        <v>72</v>
      </c>
    </row>
    <row r="9282" spans="1:6" x14ac:dyDescent="0.35">
      <c r="A9282">
        <v>1975</v>
      </c>
      <c r="B9282" s="1">
        <v>45911</v>
      </c>
      <c r="C9282" s="2">
        <v>0.66666666666666663</v>
      </c>
      <c r="D9282">
        <v>3</v>
      </c>
      <c r="E9282">
        <v>16.8</v>
      </c>
      <c r="F9282">
        <v>81</v>
      </c>
    </row>
    <row r="9283" spans="1:6" x14ac:dyDescent="0.35">
      <c r="A9283">
        <v>1975</v>
      </c>
      <c r="B9283" s="1">
        <v>45911</v>
      </c>
      <c r="C9283" s="2">
        <v>0.70833333333333337</v>
      </c>
      <c r="D9283">
        <v>3</v>
      </c>
      <c r="E9283">
        <v>15.7</v>
      </c>
      <c r="F9283">
        <v>78</v>
      </c>
    </row>
    <row r="9284" spans="1:6" x14ac:dyDescent="0.35">
      <c r="A9284">
        <v>1975</v>
      </c>
      <c r="B9284" s="1">
        <v>45911</v>
      </c>
      <c r="C9284" s="2">
        <v>0.75</v>
      </c>
      <c r="D9284">
        <v>3</v>
      </c>
      <c r="E9284">
        <v>13.7</v>
      </c>
      <c r="F9284">
        <v>86</v>
      </c>
    </row>
    <row r="9285" spans="1:6" x14ac:dyDescent="0.35">
      <c r="A9285">
        <v>1975</v>
      </c>
      <c r="B9285" s="1">
        <v>45911</v>
      </c>
      <c r="C9285" s="2">
        <v>0.79166666666666663</v>
      </c>
      <c r="D9285">
        <v>3</v>
      </c>
      <c r="E9285">
        <v>12.2</v>
      </c>
      <c r="F9285">
        <v>96</v>
      </c>
    </row>
    <row r="9286" spans="1:6" x14ac:dyDescent="0.35">
      <c r="A9286">
        <v>1975</v>
      </c>
      <c r="B9286" s="1">
        <v>45911</v>
      </c>
      <c r="C9286" s="2">
        <v>0.83333333333333337</v>
      </c>
      <c r="D9286">
        <v>3</v>
      </c>
      <c r="E9286">
        <v>11.5</v>
      </c>
      <c r="F9286">
        <v>94</v>
      </c>
    </row>
    <row r="9287" spans="1:6" x14ac:dyDescent="0.35">
      <c r="A9287">
        <v>1975</v>
      </c>
      <c r="B9287" s="1">
        <v>45911</v>
      </c>
      <c r="C9287" s="2">
        <v>0.875</v>
      </c>
      <c r="D9287">
        <v>3</v>
      </c>
      <c r="E9287">
        <v>13.4</v>
      </c>
      <c r="F9287">
        <v>79</v>
      </c>
    </row>
    <row r="9288" spans="1:6" x14ac:dyDescent="0.35">
      <c r="A9288">
        <v>1975</v>
      </c>
      <c r="B9288" s="1">
        <v>45911</v>
      </c>
      <c r="C9288" s="2">
        <v>0.91666666666666663</v>
      </c>
      <c r="D9288">
        <v>3</v>
      </c>
      <c r="E9288">
        <v>14.2</v>
      </c>
      <c r="F9288">
        <v>76</v>
      </c>
    </row>
    <row r="9289" spans="1:6" x14ac:dyDescent="0.35">
      <c r="A9289">
        <v>1975</v>
      </c>
      <c r="B9289" s="1">
        <v>45911</v>
      </c>
      <c r="C9289" s="2">
        <v>0.95833333333333337</v>
      </c>
      <c r="D9289">
        <v>3</v>
      </c>
      <c r="E9289">
        <v>13.3</v>
      </c>
      <c r="F9289">
        <v>81</v>
      </c>
    </row>
    <row r="9290" spans="1:6" x14ac:dyDescent="0.35">
      <c r="A9290">
        <v>1975</v>
      </c>
      <c r="B9290" s="1">
        <v>45912</v>
      </c>
      <c r="C9290" s="2">
        <v>0</v>
      </c>
      <c r="D9290">
        <v>3</v>
      </c>
      <c r="E9290">
        <v>13.5</v>
      </c>
      <c r="F9290">
        <v>78</v>
      </c>
    </row>
    <row r="9291" spans="1:6" x14ac:dyDescent="0.35">
      <c r="A9291">
        <v>1975</v>
      </c>
      <c r="B9291" s="1">
        <v>45912</v>
      </c>
      <c r="C9291" s="2">
        <v>4.1666666666666657E-2</v>
      </c>
      <c r="D9291">
        <v>3</v>
      </c>
      <c r="E9291">
        <v>13.2</v>
      </c>
      <c r="F9291">
        <v>80</v>
      </c>
    </row>
    <row r="9292" spans="1:6" x14ac:dyDescent="0.35">
      <c r="A9292">
        <v>1975</v>
      </c>
      <c r="B9292" s="1">
        <v>45912</v>
      </c>
      <c r="C9292" s="2">
        <v>8.3333333333333329E-2</v>
      </c>
      <c r="D9292">
        <v>3</v>
      </c>
      <c r="E9292">
        <v>13.1</v>
      </c>
      <c r="F9292">
        <v>80</v>
      </c>
    </row>
    <row r="9293" spans="1:6" x14ac:dyDescent="0.35">
      <c r="A9293">
        <v>1975</v>
      </c>
      <c r="B9293" s="1">
        <v>45912</v>
      </c>
      <c r="C9293" s="2">
        <v>0.125</v>
      </c>
      <c r="D9293">
        <v>3</v>
      </c>
      <c r="E9293">
        <v>12.6</v>
      </c>
      <c r="F9293">
        <v>84</v>
      </c>
    </row>
    <row r="9294" spans="1:6" x14ac:dyDescent="0.35">
      <c r="A9294">
        <v>1975</v>
      </c>
      <c r="B9294" s="1">
        <v>45912</v>
      </c>
      <c r="C9294" s="2">
        <v>0.16666666666666671</v>
      </c>
      <c r="D9294">
        <v>3</v>
      </c>
      <c r="E9294">
        <v>12.3</v>
      </c>
      <c r="F9294">
        <v>85</v>
      </c>
    </row>
    <row r="9295" spans="1:6" x14ac:dyDescent="0.35">
      <c r="A9295">
        <v>1975</v>
      </c>
      <c r="B9295" s="1">
        <v>45912</v>
      </c>
      <c r="C9295" s="2">
        <v>0.20833333333333329</v>
      </c>
      <c r="D9295">
        <v>3</v>
      </c>
      <c r="E9295">
        <v>11.6</v>
      </c>
      <c r="F9295">
        <v>88</v>
      </c>
    </row>
    <row r="9296" spans="1:6" x14ac:dyDescent="0.35">
      <c r="A9296">
        <v>1975</v>
      </c>
      <c r="B9296" s="1">
        <v>45912</v>
      </c>
      <c r="C9296" s="2">
        <v>0.25</v>
      </c>
      <c r="D9296">
        <v>3</v>
      </c>
      <c r="E9296">
        <v>12.2</v>
      </c>
      <c r="F9296">
        <v>86</v>
      </c>
    </row>
    <row r="9297" spans="1:6" x14ac:dyDescent="0.35">
      <c r="A9297">
        <v>1975</v>
      </c>
      <c r="B9297" s="1">
        <v>45912</v>
      </c>
      <c r="C9297" s="2">
        <v>0.29166666666666669</v>
      </c>
      <c r="D9297">
        <v>3</v>
      </c>
      <c r="E9297">
        <v>13.4</v>
      </c>
      <c r="F9297">
        <v>81</v>
      </c>
    </row>
    <row r="9298" spans="1:6" x14ac:dyDescent="0.35">
      <c r="A9298">
        <v>1975</v>
      </c>
      <c r="B9298" s="1">
        <v>45912</v>
      </c>
      <c r="C9298" s="2">
        <v>0.33333333333333331</v>
      </c>
      <c r="D9298">
        <v>3</v>
      </c>
      <c r="E9298">
        <v>14.8</v>
      </c>
      <c r="F9298">
        <v>75</v>
      </c>
    </row>
    <row r="9299" spans="1:6" x14ac:dyDescent="0.35">
      <c r="A9299">
        <v>1975</v>
      </c>
      <c r="B9299" s="1">
        <v>45912</v>
      </c>
      <c r="C9299" s="2">
        <v>0.375</v>
      </c>
      <c r="D9299">
        <v>3</v>
      </c>
      <c r="E9299">
        <v>15.9</v>
      </c>
      <c r="F9299">
        <v>70</v>
      </c>
    </row>
    <row r="9300" spans="1:6" x14ac:dyDescent="0.35">
      <c r="A9300">
        <v>1975</v>
      </c>
      <c r="B9300" s="1">
        <v>45912</v>
      </c>
      <c r="C9300" s="2">
        <v>0.41666666666666669</v>
      </c>
      <c r="D9300">
        <v>3</v>
      </c>
      <c r="E9300">
        <v>17</v>
      </c>
      <c r="F9300">
        <v>62</v>
      </c>
    </row>
    <row r="9301" spans="1:6" x14ac:dyDescent="0.35">
      <c r="A9301">
        <v>1975</v>
      </c>
      <c r="B9301" s="1">
        <v>45912</v>
      </c>
      <c r="C9301" s="2">
        <v>0.45833333333333331</v>
      </c>
      <c r="D9301">
        <v>3</v>
      </c>
      <c r="E9301">
        <v>18.3</v>
      </c>
      <c r="F9301">
        <v>55</v>
      </c>
    </row>
    <row r="9302" spans="1:6" x14ac:dyDescent="0.35">
      <c r="A9302">
        <v>1975</v>
      </c>
      <c r="B9302" s="1">
        <v>45912</v>
      </c>
      <c r="C9302" s="2">
        <v>0.5</v>
      </c>
      <c r="D9302">
        <v>3</v>
      </c>
      <c r="E9302">
        <v>19</v>
      </c>
      <c r="F9302">
        <v>53</v>
      </c>
    </row>
    <row r="9303" spans="1:6" x14ac:dyDescent="0.35">
      <c r="A9303">
        <v>1975</v>
      </c>
      <c r="B9303" s="1">
        <v>45912</v>
      </c>
      <c r="C9303" s="2">
        <v>0.54166666666666663</v>
      </c>
      <c r="D9303">
        <v>3</v>
      </c>
      <c r="E9303">
        <v>18.899999999999999</v>
      </c>
      <c r="F9303">
        <v>52</v>
      </c>
    </row>
    <row r="9304" spans="1:6" x14ac:dyDescent="0.35">
      <c r="A9304">
        <v>1975</v>
      </c>
      <c r="B9304" s="1">
        <v>45912</v>
      </c>
      <c r="C9304" s="2">
        <v>0.58333333333333337</v>
      </c>
      <c r="D9304">
        <v>3</v>
      </c>
      <c r="E9304">
        <v>18.399999999999999</v>
      </c>
      <c r="F9304">
        <v>52</v>
      </c>
    </row>
    <row r="9305" spans="1:6" x14ac:dyDescent="0.35">
      <c r="A9305">
        <v>1975</v>
      </c>
      <c r="B9305" s="1">
        <v>45912</v>
      </c>
      <c r="C9305" s="2">
        <v>0.625</v>
      </c>
      <c r="D9305">
        <v>3</v>
      </c>
      <c r="E9305">
        <v>18.2</v>
      </c>
      <c r="F9305">
        <v>53</v>
      </c>
    </row>
    <row r="9306" spans="1:6" x14ac:dyDescent="0.35">
      <c r="A9306">
        <v>1975</v>
      </c>
      <c r="B9306" s="1">
        <v>45912</v>
      </c>
      <c r="C9306" s="2">
        <v>0.66666666666666663</v>
      </c>
      <c r="D9306">
        <v>3</v>
      </c>
      <c r="E9306">
        <v>14.2</v>
      </c>
      <c r="F9306">
        <v>72</v>
      </c>
    </row>
    <row r="9307" spans="1:6" x14ac:dyDescent="0.35">
      <c r="A9307">
        <v>1975</v>
      </c>
      <c r="B9307" s="1">
        <v>45912</v>
      </c>
      <c r="C9307" s="2">
        <v>0.70833333333333337</v>
      </c>
      <c r="D9307">
        <v>3</v>
      </c>
      <c r="E9307">
        <v>14</v>
      </c>
      <c r="F9307">
        <v>75</v>
      </c>
    </row>
    <row r="9308" spans="1:6" x14ac:dyDescent="0.35">
      <c r="A9308">
        <v>1975</v>
      </c>
      <c r="B9308" s="1">
        <v>45912</v>
      </c>
      <c r="C9308" s="2">
        <v>0.75</v>
      </c>
      <c r="D9308">
        <v>3</v>
      </c>
      <c r="E9308">
        <v>12.3</v>
      </c>
      <c r="F9308">
        <v>90</v>
      </c>
    </row>
    <row r="9309" spans="1:6" x14ac:dyDescent="0.35">
      <c r="A9309">
        <v>1975</v>
      </c>
      <c r="B9309" s="1">
        <v>45912</v>
      </c>
      <c r="C9309" s="2">
        <v>0.79166666666666663</v>
      </c>
      <c r="D9309">
        <v>3</v>
      </c>
      <c r="E9309">
        <v>12.9</v>
      </c>
      <c r="F9309">
        <v>79</v>
      </c>
    </row>
    <row r="9310" spans="1:6" x14ac:dyDescent="0.35">
      <c r="A9310">
        <v>1975</v>
      </c>
      <c r="B9310" s="1">
        <v>45912</v>
      </c>
      <c r="C9310" s="2">
        <v>0.83333333333333337</v>
      </c>
      <c r="D9310">
        <v>3</v>
      </c>
      <c r="E9310">
        <v>12.2</v>
      </c>
      <c r="F9310">
        <v>82</v>
      </c>
    </row>
    <row r="9311" spans="1:6" x14ac:dyDescent="0.35">
      <c r="A9311">
        <v>1975</v>
      </c>
      <c r="B9311" s="1">
        <v>45912</v>
      </c>
      <c r="C9311" s="2">
        <v>0.875</v>
      </c>
      <c r="D9311">
        <v>3</v>
      </c>
      <c r="E9311">
        <v>12.3</v>
      </c>
      <c r="F9311">
        <v>81</v>
      </c>
    </row>
    <row r="9312" spans="1:6" x14ac:dyDescent="0.35">
      <c r="A9312">
        <v>1975</v>
      </c>
      <c r="B9312" s="1">
        <v>45912</v>
      </c>
      <c r="C9312" s="2">
        <v>0.91666666666666663</v>
      </c>
      <c r="D9312">
        <v>3</v>
      </c>
      <c r="E9312">
        <v>11.3</v>
      </c>
      <c r="F9312">
        <v>86</v>
      </c>
    </row>
    <row r="9313" spans="1:6" x14ac:dyDescent="0.35">
      <c r="A9313">
        <v>1975</v>
      </c>
      <c r="B9313" s="1">
        <v>45912</v>
      </c>
      <c r="C9313" s="2">
        <v>0.95833333333333337</v>
      </c>
      <c r="D9313">
        <v>3</v>
      </c>
      <c r="E9313">
        <v>11.7</v>
      </c>
      <c r="F9313">
        <v>85</v>
      </c>
    </row>
    <row r="9314" spans="1:6" x14ac:dyDescent="0.35">
      <c r="A9314">
        <v>1975</v>
      </c>
      <c r="B9314" s="1">
        <v>45913</v>
      </c>
      <c r="C9314" s="2">
        <v>0</v>
      </c>
      <c r="D9314">
        <v>3</v>
      </c>
      <c r="E9314">
        <v>11.4</v>
      </c>
      <c r="F9314">
        <v>85</v>
      </c>
    </row>
    <row r="9315" spans="1:6" x14ac:dyDescent="0.35">
      <c r="A9315">
        <v>1975</v>
      </c>
      <c r="B9315" s="1">
        <v>45913</v>
      </c>
      <c r="C9315" s="2">
        <v>4.1666666666666657E-2</v>
      </c>
      <c r="D9315">
        <v>3</v>
      </c>
      <c r="E9315">
        <v>11.3</v>
      </c>
      <c r="F9315">
        <v>85</v>
      </c>
    </row>
    <row r="9316" spans="1:6" x14ac:dyDescent="0.35">
      <c r="A9316">
        <v>1975</v>
      </c>
      <c r="B9316" s="1">
        <v>45913</v>
      </c>
      <c r="C9316" s="2">
        <v>8.3333333333333329E-2</v>
      </c>
      <c r="D9316">
        <v>3</v>
      </c>
      <c r="E9316">
        <v>10.199999999999999</v>
      </c>
      <c r="F9316">
        <v>89</v>
      </c>
    </row>
    <row r="9317" spans="1:6" x14ac:dyDescent="0.35">
      <c r="A9317">
        <v>1975</v>
      </c>
      <c r="B9317" s="1">
        <v>45913</v>
      </c>
      <c r="C9317" s="2">
        <v>0.125</v>
      </c>
      <c r="D9317">
        <v>3</v>
      </c>
      <c r="E9317">
        <v>9.6999999999999993</v>
      </c>
      <c r="F9317">
        <v>92</v>
      </c>
    </row>
    <row r="9318" spans="1:6" x14ac:dyDescent="0.35">
      <c r="A9318">
        <v>1975</v>
      </c>
      <c r="B9318" s="1">
        <v>45913</v>
      </c>
      <c r="C9318" s="2">
        <v>0.16666666666666671</v>
      </c>
      <c r="D9318">
        <v>3</v>
      </c>
      <c r="E9318">
        <v>9.6</v>
      </c>
      <c r="F9318">
        <v>93</v>
      </c>
    </row>
    <row r="9319" spans="1:6" x14ac:dyDescent="0.35">
      <c r="A9319">
        <v>1975</v>
      </c>
      <c r="B9319" s="1">
        <v>45913</v>
      </c>
      <c r="C9319" s="2">
        <v>0.20833333333333329</v>
      </c>
      <c r="D9319">
        <v>3</v>
      </c>
      <c r="E9319">
        <v>9.8000000000000007</v>
      </c>
      <c r="F9319">
        <v>92</v>
      </c>
    </row>
    <row r="9320" spans="1:6" x14ac:dyDescent="0.35">
      <c r="A9320">
        <v>1975</v>
      </c>
      <c r="B9320" s="1">
        <v>45913</v>
      </c>
      <c r="C9320" s="2">
        <v>0.25</v>
      </c>
      <c r="D9320">
        <v>3</v>
      </c>
      <c r="E9320">
        <v>10.5</v>
      </c>
      <c r="F9320">
        <v>89</v>
      </c>
    </row>
    <row r="9321" spans="1:6" x14ac:dyDescent="0.35">
      <c r="A9321">
        <v>1975</v>
      </c>
      <c r="B9321" s="1">
        <v>45913</v>
      </c>
      <c r="C9321" s="2">
        <v>0.29166666666666669</v>
      </c>
      <c r="D9321">
        <v>3</v>
      </c>
      <c r="E9321">
        <v>12.8</v>
      </c>
      <c r="F9321">
        <v>78</v>
      </c>
    </row>
    <row r="9322" spans="1:6" x14ac:dyDescent="0.35">
      <c r="A9322">
        <v>1975</v>
      </c>
      <c r="B9322" s="1">
        <v>45913</v>
      </c>
      <c r="C9322" s="2">
        <v>0.33333333333333331</v>
      </c>
      <c r="D9322">
        <v>3</v>
      </c>
      <c r="E9322">
        <v>14.6</v>
      </c>
      <c r="F9322">
        <v>72</v>
      </c>
    </row>
    <row r="9323" spans="1:6" x14ac:dyDescent="0.35">
      <c r="A9323">
        <v>1975</v>
      </c>
      <c r="B9323" s="1">
        <v>45913</v>
      </c>
      <c r="C9323" s="2">
        <v>0.375</v>
      </c>
      <c r="D9323">
        <v>3</v>
      </c>
      <c r="E9323">
        <v>15.2</v>
      </c>
      <c r="F9323">
        <v>72</v>
      </c>
    </row>
    <row r="9324" spans="1:6" x14ac:dyDescent="0.35">
      <c r="A9324">
        <v>1975</v>
      </c>
      <c r="B9324" s="1">
        <v>45913</v>
      </c>
      <c r="C9324" s="2">
        <v>0.41666666666666669</v>
      </c>
      <c r="D9324">
        <v>3</v>
      </c>
      <c r="E9324">
        <v>15.1</v>
      </c>
      <c r="F9324">
        <v>76</v>
      </c>
    </row>
    <row r="9325" spans="1:6" x14ac:dyDescent="0.35">
      <c r="A9325">
        <v>1975</v>
      </c>
      <c r="B9325" s="1">
        <v>45913</v>
      </c>
      <c r="C9325" s="2">
        <v>0.45833333333333331</v>
      </c>
      <c r="D9325">
        <v>3</v>
      </c>
      <c r="E9325">
        <v>16.2</v>
      </c>
      <c r="F9325">
        <v>71</v>
      </c>
    </row>
    <row r="9326" spans="1:6" x14ac:dyDescent="0.35">
      <c r="A9326">
        <v>1975</v>
      </c>
      <c r="B9326" s="1">
        <v>45913</v>
      </c>
      <c r="C9326" s="2">
        <v>0.5</v>
      </c>
      <c r="D9326">
        <v>3</v>
      </c>
      <c r="E9326">
        <v>16</v>
      </c>
      <c r="F9326">
        <v>71</v>
      </c>
    </row>
    <row r="9327" spans="1:6" x14ac:dyDescent="0.35">
      <c r="A9327">
        <v>1975</v>
      </c>
      <c r="B9327" s="1">
        <v>45913</v>
      </c>
      <c r="C9327" s="2">
        <v>0.54166666666666663</v>
      </c>
      <c r="D9327">
        <v>3</v>
      </c>
      <c r="E9327">
        <v>15.1</v>
      </c>
      <c r="F9327">
        <v>88</v>
      </c>
    </row>
    <row r="9328" spans="1:6" x14ac:dyDescent="0.35">
      <c r="A9328">
        <v>1975</v>
      </c>
      <c r="B9328" s="1">
        <v>45913</v>
      </c>
      <c r="C9328" s="2">
        <v>0.58333333333333337</v>
      </c>
      <c r="D9328">
        <v>3</v>
      </c>
      <c r="E9328">
        <v>16.399999999999999</v>
      </c>
      <c r="F9328">
        <v>78</v>
      </c>
    </row>
    <row r="9329" spans="1:6" x14ac:dyDescent="0.35">
      <c r="A9329">
        <v>1975</v>
      </c>
      <c r="B9329" s="1">
        <v>45913</v>
      </c>
      <c r="C9329" s="2">
        <v>0.625</v>
      </c>
      <c r="D9329">
        <v>3</v>
      </c>
      <c r="E9329">
        <v>16.600000000000001</v>
      </c>
      <c r="F9329">
        <v>72</v>
      </c>
    </row>
    <row r="9330" spans="1:6" x14ac:dyDescent="0.35">
      <c r="A9330">
        <v>1975</v>
      </c>
      <c r="B9330" s="1">
        <v>45913</v>
      </c>
      <c r="C9330" s="2">
        <v>0.66666666666666663</v>
      </c>
      <c r="D9330">
        <v>3</v>
      </c>
      <c r="E9330">
        <v>17</v>
      </c>
      <c r="F9330">
        <v>74</v>
      </c>
    </row>
    <row r="9331" spans="1:6" x14ac:dyDescent="0.35">
      <c r="A9331">
        <v>1975</v>
      </c>
      <c r="B9331" s="1">
        <v>45913</v>
      </c>
      <c r="C9331" s="2">
        <v>0.70833333333333337</v>
      </c>
      <c r="D9331">
        <v>3</v>
      </c>
      <c r="E9331">
        <v>17.100000000000001</v>
      </c>
      <c r="F9331">
        <v>70</v>
      </c>
    </row>
    <row r="9332" spans="1:6" x14ac:dyDescent="0.35">
      <c r="A9332">
        <v>1975</v>
      </c>
      <c r="B9332" s="1">
        <v>45913</v>
      </c>
      <c r="C9332" s="2">
        <v>0.75</v>
      </c>
      <c r="D9332">
        <v>3</v>
      </c>
      <c r="E9332">
        <v>15.5</v>
      </c>
      <c r="F9332">
        <v>74</v>
      </c>
    </row>
    <row r="9333" spans="1:6" x14ac:dyDescent="0.35">
      <c r="A9333">
        <v>1975</v>
      </c>
      <c r="B9333" s="1">
        <v>45913</v>
      </c>
      <c r="C9333" s="2">
        <v>0.79166666666666663</v>
      </c>
      <c r="D9333">
        <v>3</v>
      </c>
      <c r="E9333">
        <v>14.6</v>
      </c>
      <c r="F9333">
        <v>85</v>
      </c>
    </row>
    <row r="9334" spans="1:6" x14ac:dyDescent="0.35">
      <c r="A9334">
        <v>1975</v>
      </c>
      <c r="B9334" s="1">
        <v>45913</v>
      </c>
      <c r="C9334" s="2">
        <v>0.83333333333333337</v>
      </c>
      <c r="D9334">
        <v>3</v>
      </c>
      <c r="E9334">
        <v>14.5</v>
      </c>
      <c r="F9334">
        <v>81</v>
      </c>
    </row>
    <row r="9335" spans="1:6" x14ac:dyDescent="0.35">
      <c r="A9335">
        <v>1975</v>
      </c>
      <c r="B9335" s="1">
        <v>45913</v>
      </c>
      <c r="C9335" s="2">
        <v>0.875</v>
      </c>
      <c r="D9335">
        <v>3</v>
      </c>
      <c r="E9335">
        <v>13.7</v>
      </c>
      <c r="F9335">
        <v>85</v>
      </c>
    </row>
    <row r="9336" spans="1:6" x14ac:dyDescent="0.35">
      <c r="A9336">
        <v>1975</v>
      </c>
      <c r="B9336" s="1">
        <v>45913</v>
      </c>
      <c r="C9336" s="2">
        <v>0.91666666666666663</v>
      </c>
      <c r="D9336">
        <v>3</v>
      </c>
      <c r="E9336">
        <v>14.2</v>
      </c>
      <c r="F9336">
        <v>82</v>
      </c>
    </row>
    <row r="9337" spans="1:6" x14ac:dyDescent="0.35">
      <c r="A9337">
        <v>1975</v>
      </c>
      <c r="B9337" s="1">
        <v>45913</v>
      </c>
      <c r="C9337" s="2">
        <v>0.95833333333333337</v>
      </c>
      <c r="D9337">
        <v>3</v>
      </c>
      <c r="E9337">
        <v>13.2</v>
      </c>
      <c r="F9337">
        <v>89</v>
      </c>
    </row>
    <row r="9338" spans="1:6" x14ac:dyDescent="0.35">
      <c r="A9338">
        <v>1975</v>
      </c>
      <c r="B9338" s="1">
        <v>45914</v>
      </c>
      <c r="C9338" s="2">
        <v>0</v>
      </c>
      <c r="D9338">
        <v>3</v>
      </c>
      <c r="E9338">
        <v>12.8</v>
      </c>
      <c r="F9338">
        <v>94</v>
      </c>
    </row>
    <row r="9339" spans="1:6" x14ac:dyDescent="0.35">
      <c r="A9339">
        <v>1975</v>
      </c>
      <c r="B9339" s="1">
        <v>45914</v>
      </c>
      <c r="C9339" s="2">
        <v>4.1666666666666657E-2</v>
      </c>
      <c r="D9339">
        <v>3</v>
      </c>
      <c r="E9339">
        <v>13.3</v>
      </c>
      <c r="F9339">
        <v>90</v>
      </c>
    </row>
    <row r="9340" spans="1:6" x14ac:dyDescent="0.35">
      <c r="A9340">
        <v>1975</v>
      </c>
      <c r="B9340" s="1">
        <v>45914</v>
      </c>
      <c r="C9340" s="2">
        <v>8.3333333333333329E-2</v>
      </c>
      <c r="D9340">
        <v>3</v>
      </c>
      <c r="E9340">
        <v>13.5</v>
      </c>
      <c r="F9340">
        <v>87</v>
      </c>
    </row>
    <row r="9341" spans="1:6" x14ac:dyDescent="0.35">
      <c r="A9341">
        <v>1975</v>
      </c>
      <c r="B9341" s="1">
        <v>45914</v>
      </c>
      <c r="C9341" s="2">
        <v>0.125</v>
      </c>
      <c r="D9341">
        <v>3</v>
      </c>
      <c r="E9341">
        <v>12.8</v>
      </c>
      <c r="F9341">
        <v>90</v>
      </c>
    </row>
    <row r="9342" spans="1:6" x14ac:dyDescent="0.35">
      <c r="A9342">
        <v>1975</v>
      </c>
      <c r="B9342" s="1">
        <v>45914</v>
      </c>
      <c r="C9342" s="2">
        <v>0.16666666666666671</v>
      </c>
      <c r="D9342">
        <v>3</v>
      </c>
      <c r="E9342">
        <v>12.8</v>
      </c>
      <c r="F9342">
        <v>91</v>
      </c>
    </row>
    <row r="9343" spans="1:6" x14ac:dyDescent="0.35">
      <c r="A9343">
        <v>1975</v>
      </c>
      <c r="B9343" s="1">
        <v>45914</v>
      </c>
      <c r="C9343" s="2">
        <v>0.20833333333333329</v>
      </c>
      <c r="D9343">
        <v>3</v>
      </c>
      <c r="E9343">
        <v>12.8</v>
      </c>
      <c r="F9343">
        <v>94</v>
      </c>
    </row>
    <row r="9344" spans="1:6" x14ac:dyDescent="0.35">
      <c r="A9344">
        <v>1975</v>
      </c>
      <c r="B9344" s="1">
        <v>45914</v>
      </c>
      <c r="C9344" s="2">
        <v>0.25</v>
      </c>
      <c r="D9344">
        <v>3</v>
      </c>
      <c r="E9344">
        <v>13</v>
      </c>
      <c r="F9344">
        <v>93</v>
      </c>
    </row>
    <row r="9345" spans="1:6" x14ac:dyDescent="0.35">
      <c r="A9345">
        <v>1975</v>
      </c>
      <c r="B9345" s="1">
        <v>45914</v>
      </c>
      <c r="C9345" s="2">
        <v>0.29166666666666669</v>
      </c>
      <c r="D9345">
        <v>3</v>
      </c>
      <c r="E9345">
        <v>13.3</v>
      </c>
      <c r="F9345">
        <v>87</v>
      </c>
    </row>
    <row r="9346" spans="1:6" x14ac:dyDescent="0.35">
      <c r="A9346">
        <v>1975</v>
      </c>
      <c r="B9346" s="1">
        <v>45914</v>
      </c>
      <c r="C9346" s="2">
        <v>0.33333333333333331</v>
      </c>
      <c r="D9346">
        <v>3</v>
      </c>
      <c r="E9346">
        <v>13.1</v>
      </c>
      <c r="F9346">
        <v>84</v>
      </c>
    </row>
    <row r="9347" spans="1:6" x14ac:dyDescent="0.35">
      <c r="A9347">
        <v>1975</v>
      </c>
      <c r="B9347" s="1">
        <v>45914</v>
      </c>
      <c r="C9347" s="2">
        <v>0.375</v>
      </c>
      <c r="D9347">
        <v>3</v>
      </c>
      <c r="E9347">
        <v>14</v>
      </c>
      <c r="F9347">
        <v>80</v>
      </c>
    </row>
    <row r="9348" spans="1:6" x14ac:dyDescent="0.35">
      <c r="A9348">
        <v>1975</v>
      </c>
      <c r="B9348" s="1">
        <v>45914</v>
      </c>
      <c r="C9348" s="2">
        <v>0.41666666666666669</v>
      </c>
      <c r="D9348">
        <v>3</v>
      </c>
      <c r="E9348">
        <v>15.1</v>
      </c>
      <c r="F9348">
        <v>72</v>
      </c>
    </row>
    <row r="9349" spans="1:6" x14ac:dyDescent="0.35">
      <c r="A9349">
        <v>1975</v>
      </c>
      <c r="B9349" s="1">
        <v>45914</v>
      </c>
      <c r="C9349" s="2">
        <v>0.45833333333333331</v>
      </c>
      <c r="D9349">
        <v>3</v>
      </c>
      <c r="E9349">
        <v>16.5</v>
      </c>
      <c r="F9349">
        <v>68</v>
      </c>
    </row>
    <row r="9350" spans="1:6" x14ac:dyDescent="0.35">
      <c r="A9350">
        <v>1975</v>
      </c>
      <c r="B9350" s="1">
        <v>45914</v>
      </c>
      <c r="C9350" s="2">
        <v>0.5</v>
      </c>
      <c r="D9350">
        <v>3</v>
      </c>
      <c r="E9350">
        <v>16</v>
      </c>
      <c r="F9350">
        <v>65</v>
      </c>
    </row>
    <row r="9351" spans="1:6" x14ac:dyDescent="0.35">
      <c r="A9351">
        <v>1975</v>
      </c>
      <c r="B9351" s="1">
        <v>45914</v>
      </c>
      <c r="C9351" s="2">
        <v>0.54166666666666663</v>
      </c>
      <c r="D9351">
        <v>3</v>
      </c>
      <c r="E9351">
        <v>17.899999999999999</v>
      </c>
      <c r="F9351">
        <v>60</v>
      </c>
    </row>
    <row r="9352" spans="1:6" x14ac:dyDescent="0.35">
      <c r="A9352">
        <v>1975</v>
      </c>
      <c r="B9352" s="1">
        <v>45914</v>
      </c>
      <c r="C9352" s="2">
        <v>0.58333333333333337</v>
      </c>
      <c r="D9352">
        <v>3</v>
      </c>
      <c r="E9352">
        <v>18.3</v>
      </c>
      <c r="F9352">
        <v>55</v>
      </c>
    </row>
    <row r="9353" spans="1:6" x14ac:dyDescent="0.35">
      <c r="A9353">
        <v>1975</v>
      </c>
      <c r="B9353" s="1">
        <v>45914</v>
      </c>
      <c r="C9353" s="2">
        <v>0.625</v>
      </c>
      <c r="D9353">
        <v>3</v>
      </c>
      <c r="E9353">
        <v>18.600000000000001</v>
      </c>
      <c r="F9353">
        <v>57</v>
      </c>
    </row>
    <row r="9354" spans="1:6" x14ac:dyDescent="0.35">
      <c r="A9354">
        <v>1975</v>
      </c>
      <c r="B9354" s="1">
        <v>45914</v>
      </c>
      <c r="C9354" s="2">
        <v>0.66666666666666663</v>
      </c>
      <c r="D9354">
        <v>3</v>
      </c>
      <c r="E9354">
        <v>16.899999999999999</v>
      </c>
      <c r="F9354">
        <v>58</v>
      </c>
    </row>
    <row r="9355" spans="1:6" x14ac:dyDescent="0.35">
      <c r="A9355">
        <v>1975</v>
      </c>
      <c r="B9355" s="1">
        <v>45914</v>
      </c>
      <c r="C9355" s="2">
        <v>0.70833333333333337</v>
      </c>
      <c r="D9355">
        <v>3</v>
      </c>
      <c r="E9355">
        <v>16</v>
      </c>
      <c r="F9355">
        <v>67</v>
      </c>
    </row>
    <row r="9356" spans="1:6" x14ac:dyDescent="0.35">
      <c r="A9356">
        <v>1975</v>
      </c>
      <c r="B9356" s="1">
        <v>45914</v>
      </c>
      <c r="C9356" s="2">
        <v>0.75</v>
      </c>
      <c r="D9356">
        <v>3</v>
      </c>
      <c r="E9356">
        <v>13</v>
      </c>
      <c r="F9356">
        <v>81</v>
      </c>
    </row>
    <row r="9357" spans="1:6" x14ac:dyDescent="0.35">
      <c r="A9357">
        <v>1975</v>
      </c>
      <c r="B9357" s="1">
        <v>45914</v>
      </c>
      <c r="C9357" s="2">
        <v>0.79166666666666663</v>
      </c>
      <c r="D9357">
        <v>3</v>
      </c>
      <c r="E9357">
        <v>11.6</v>
      </c>
      <c r="F9357">
        <v>90</v>
      </c>
    </row>
    <row r="9358" spans="1:6" x14ac:dyDescent="0.35">
      <c r="A9358">
        <v>1975</v>
      </c>
      <c r="B9358" s="1">
        <v>45914</v>
      </c>
      <c r="C9358" s="2">
        <v>0.83333333333333337</v>
      </c>
      <c r="D9358">
        <v>3</v>
      </c>
      <c r="E9358">
        <v>11.2</v>
      </c>
      <c r="F9358">
        <v>90</v>
      </c>
    </row>
    <row r="9359" spans="1:6" x14ac:dyDescent="0.35">
      <c r="A9359">
        <v>1975</v>
      </c>
      <c r="B9359" s="1">
        <v>45914</v>
      </c>
      <c r="C9359" s="2">
        <v>0.875</v>
      </c>
      <c r="D9359">
        <v>3</v>
      </c>
      <c r="E9359">
        <v>12.5</v>
      </c>
      <c r="F9359">
        <v>86</v>
      </c>
    </row>
    <row r="9360" spans="1:6" x14ac:dyDescent="0.35">
      <c r="A9360">
        <v>1975</v>
      </c>
      <c r="B9360" s="1">
        <v>45914</v>
      </c>
      <c r="C9360" s="2">
        <v>0.91666666666666663</v>
      </c>
      <c r="D9360">
        <v>3</v>
      </c>
      <c r="E9360">
        <v>12.7</v>
      </c>
      <c r="F9360">
        <v>83</v>
      </c>
    </row>
    <row r="9361" spans="1:6" x14ac:dyDescent="0.35">
      <c r="A9361">
        <v>1975</v>
      </c>
      <c r="B9361" s="1">
        <v>45914</v>
      </c>
      <c r="C9361" s="2">
        <v>0.95833333333333337</v>
      </c>
      <c r="D9361">
        <v>3</v>
      </c>
      <c r="E9361">
        <v>12.8</v>
      </c>
      <c r="F9361">
        <v>82</v>
      </c>
    </row>
    <row r="9362" spans="1:6" x14ac:dyDescent="0.35">
      <c r="A9362">
        <v>1975</v>
      </c>
      <c r="B9362" s="1">
        <v>45915</v>
      </c>
      <c r="C9362" s="2">
        <v>0</v>
      </c>
      <c r="D9362">
        <v>3</v>
      </c>
      <c r="E9362">
        <v>13</v>
      </c>
      <c r="F9362">
        <v>80</v>
      </c>
    </row>
    <row r="9363" spans="1:6" x14ac:dyDescent="0.35">
      <c r="A9363">
        <v>1975</v>
      </c>
      <c r="B9363" s="1">
        <v>45915</v>
      </c>
      <c r="C9363" s="2">
        <v>4.1666666666666657E-2</v>
      </c>
      <c r="D9363">
        <v>3</v>
      </c>
      <c r="E9363">
        <v>12.8</v>
      </c>
      <c r="F9363">
        <v>82</v>
      </c>
    </row>
    <row r="9364" spans="1:6" x14ac:dyDescent="0.35">
      <c r="A9364">
        <v>1975</v>
      </c>
      <c r="B9364" s="1">
        <v>45915</v>
      </c>
      <c r="C9364" s="2">
        <v>8.3333333333333329E-2</v>
      </c>
      <c r="D9364">
        <v>3</v>
      </c>
      <c r="E9364">
        <v>13</v>
      </c>
      <c r="F9364">
        <v>81</v>
      </c>
    </row>
    <row r="9365" spans="1:6" x14ac:dyDescent="0.35">
      <c r="A9365">
        <v>1975</v>
      </c>
      <c r="B9365" s="1">
        <v>45915</v>
      </c>
      <c r="C9365" s="2">
        <v>0.125</v>
      </c>
      <c r="D9365">
        <v>3</v>
      </c>
      <c r="E9365">
        <v>12.9</v>
      </c>
      <c r="F9365">
        <v>84</v>
      </c>
    </row>
    <row r="9366" spans="1:6" x14ac:dyDescent="0.35">
      <c r="A9366">
        <v>1975</v>
      </c>
      <c r="B9366" s="1">
        <v>45915</v>
      </c>
      <c r="C9366" s="2">
        <v>0.16666666666666671</v>
      </c>
      <c r="D9366">
        <v>3</v>
      </c>
      <c r="E9366">
        <v>12.9</v>
      </c>
      <c r="F9366">
        <v>92</v>
      </c>
    </row>
    <row r="9367" spans="1:6" x14ac:dyDescent="0.35">
      <c r="A9367">
        <v>1975</v>
      </c>
      <c r="B9367" s="1">
        <v>45915</v>
      </c>
      <c r="C9367" s="2">
        <v>0.20833333333333329</v>
      </c>
      <c r="D9367">
        <v>3</v>
      </c>
      <c r="E9367">
        <v>12.9</v>
      </c>
      <c r="F9367">
        <v>98</v>
      </c>
    </row>
    <row r="9368" spans="1:6" x14ac:dyDescent="0.35">
      <c r="A9368">
        <v>1975</v>
      </c>
      <c r="B9368" s="1">
        <v>45915</v>
      </c>
      <c r="C9368" s="2">
        <v>0.25</v>
      </c>
      <c r="D9368">
        <v>3</v>
      </c>
      <c r="E9368">
        <v>14</v>
      </c>
      <c r="F9368">
        <v>99</v>
      </c>
    </row>
    <row r="9369" spans="1:6" x14ac:dyDescent="0.35">
      <c r="A9369">
        <v>1975</v>
      </c>
      <c r="B9369" s="1">
        <v>45915</v>
      </c>
      <c r="C9369" s="2">
        <v>0.29166666666666669</v>
      </c>
      <c r="D9369">
        <v>3</v>
      </c>
      <c r="E9369">
        <v>15.4</v>
      </c>
      <c r="F9369">
        <v>98</v>
      </c>
    </row>
    <row r="9370" spans="1:6" x14ac:dyDescent="0.35">
      <c r="A9370">
        <v>1975</v>
      </c>
      <c r="B9370" s="1">
        <v>45915</v>
      </c>
      <c r="C9370" s="2">
        <v>0.33333333333333331</v>
      </c>
      <c r="D9370">
        <v>3</v>
      </c>
      <c r="E9370">
        <v>17.100000000000001</v>
      </c>
      <c r="F9370">
        <v>87</v>
      </c>
    </row>
    <row r="9371" spans="1:6" x14ac:dyDescent="0.35">
      <c r="A9371">
        <v>1975</v>
      </c>
      <c r="B9371" s="1">
        <v>45915</v>
      </c>
      <c r="C9371" s="2">
        <v>0.375</v>
      </c>
      <c r="D9371">
        <v>3</v>
      </c>
      <c r="E9371">
        <v>18.600000000000001</v>
      </c>
      <c r="F9371">
        <v>78</v>
      </c>
    </row>
    <row r="9372" spans="1:6" x14ac:dyDescent="0.35">
      <c r="A9372">
        <v>1975</v>
      </c>
      <c r="B9372" s="1">
        <v>45915</v>
      </c>
      <c r="C9372" s="2">
        <v>0.41666666666666669</v>
      </c>
      <c r="D9372">
        <v>3</v>
      </c>
      <c r="E9372">
        <v>18.8</v>
      </c>
      <c r="F9372">
        <v>65</v>
      </c>
    </row>
    <row r="9373" spans="1:6" x14ac:dyDescent="0.35">
      <c r="A9373">
        <v>1975</v>
      </c>
      <c r="B9373" s="1">
        <v>45915</v>
      </c>
      <c r="C9373" s="2">
        <v>0.45833333333333331</v>
      </c>
      <c r="D9373">
        <v>3</v>
      </c>
      <c r="E9373">
        <v>19.600000000000001</v>
      </c>
      <c r="F9373">
        <v>58</v>
      </c>
    </row>
    <row r="9374" spans="1:6" x14ac:dyDescent="0.35">
      <c r="A9374">
        <v>1975</v>
      </c>
      <c r="B9374" s="1">
        <v>45915</v>
      </c>
      <c r="C9374" s="2">
        <v>0.5</v>
      </c>
      <c r="D9374">
        <v>3</v>
      </c>
      <c r="E9374">
        <v>19.2</v>
      </c>
      <c r="F9374">
        <v>56</v>
      </c>
    </row>
    <row r="9375" spans="1:6" x14ac:dyDescent="0.35">
      <c r="A9375">
        <v>1975</v>
      </c>
      <c r="B9375" s="1">
        <v>45915</v>
      </c>
      <c r="C9375" s="2">
        <v>0.54166666666666663</v>
      </c>
      <c r="D9375">
        <v>3</v>
      </c>
      <c r="E9375">
        <v>20.9</v>
      </c>
      <c r="F9375">
        <v>53</v>
      </c>
    </row>
    <row r="9376" spans="1:6" x14ac:dyDescent="0.35">
      <c r="A9376">
        <v>1975</v>
      </c>
      <c r="B9376" s="1">
        <v>45915</v>
      </c>
      <c r="C9376" s="2">
        <v>0.58333333333333337</v>
      </c>
      <c r="D9376">
        <v>3</v>
      </c>
      <c r="E9376">
        <v>15.2</v>
      </c>
      <c r="F9376">
        <v>85</v>
      </c>
    </row>
    <row r="9377" spans="1:6" x14ac:dyDescent="0.35">
      <c r="A9377">
        <v>1975</v>
      </c>
      <c r="B9377" s="1">
        <v>45915</v>
      </c>
      <c r="C9377" s="2">
        <v>0.625</v>
      </c>
      <c r="D9377">
        <v>3</v>
      </c>
      <c r="E9377">
        <v>16.399999999999999</v>
      </c>
      <c r="F9377">
        <v>84</v>
      </c>
    </row>
    <row r="9378" spans="1:6" x14ac:dyDescent="0.35">
      <c r="A9378">
        <v>1975</v>
      </c>
      <c r="B9378" s="1">
        <v>45915</v>
      </c>
      <c r="C9378" s="2">
        <v>0.66666666666666663</v>
      </c>
      <c r="D9378">
        <v>3</v>
      </c>
      <c r="E9378">
        <v>17.5</v>
      </c>
      <c r="F9378">
        <v>66</v>
      </c>
    </row>
    <row r="9379" spans="1:6" x14ac:dyDescent="0.35">
      <c r="A9379">
        <v>1975</v>
      </c>
      <c r="B9379" s="1">
        <v>45915</v>
      </c>
      <c r="C9379" s="2">
        <v>0.70833333333333337</v>
      </c>
      <c r="D9379">
        <v>3</v>
      </c>
      <c r="E9379">
        <v>15.5</v>
      </c>
      <c r="F9379">
        <v>81</v>
      </c>
    </row>
    <row r="9380" spans="1:6" x14ac:dyDescent="0.35">
      <c r="A9380">
        <v>1975</v>
      </c>
      <c r="B9380" s="1">
        <v>45915</v>
      </c>
      <c r="C9380" s="2">
        <v>0.75</v>
      </c>
      <c r="D9380">
        <v>3</v>
      </c>
      <c r="E9380">
        <v>14.3</v>
      </c>
      <c r="F9380">
        <v>89</v>
      </c>
    </row>
    <row r="9381" spans="1:6" x14ac:dyDescent="0.35">
      <c r="A9381">
        <v>1975</v>
      </c>
      <c r="B9381" s="1">
        <v>45915</v>
      </c>
      <c r="C9381" s="2">
        <v>0.79166666666666663</v>
      </c>
      <c r="D9381">
        <v>3</v>
      </c>
      <c r="E9381">
        <v>15.9</v>
      </c>
      <c r="F9381">
        <v>72</v>
      </c>
    </row>
    <row r="9382" spans="1:6" x14ac:dyDescent="0.35">
      <c r="A9382">
        <v>1975</v>
      </c>
      <c r="B9382" s="1">
        <v>45915</v>
      </c>
      <c r="C9382" s="2">
        <v>0.83333333333333337</v>
      </c>
      <c r="D9382">
        <v>3</v>
      </c>
      <c r="E9382">
        <v>15.7</v>
      </c>
      <c r="F9382">
        <v>72</v>
      </c>
    </row>
    <row r="9383" spans="1:6" x14ac:dyDescent="0.35">
      <c r="A9383">
        <v>1975</v>
      </c>
      <c r="B9383" s="1">
        <v>45915</v>
      </c>
      <c r="C9383" s="2">
        <v>0.875</v>
      </c>
      <c r="D9383">
        <v>3</v>
      </c>
      <c r="E9383">
        <v>15.1</v>
      </c>
      <c r="F9383">
        <v>74</v>
      </c>
    </row>
    <row r="9384" spans="1:6" x14ac:dyDescent="0.35">
      <c r="A9384">
        <v>1975</v>
      </c>
      <c r="B9384" s="1">
        <v>45915</v>
      </c>
      <c r="C9384" s="2">
        <v>0.91666666666666663</v>
      </c>
      <c r="D9384">
        <v>3</v>
      </c>
      <c r="E9384">
        <v>14.3</v>
      </c>
      <c r="F9384">
        <v>77</v>
      </c>
    </row>
    <row r="9385" spans="1:6" x14ac:dyDescent="0.35">
      <c r="A9385">
        <v>1975</v>
      </c>
      <c r="B9385" s="1">
        <v>45915</v>
      </c>
      <c r="C9385" s="2">
        <v>0.95833333333333337</v>
      </c>
      <c r="D9385">
        <v>3</v>
      </c>
      <c r="E9385">
        <v>14.9</v>
      </c>
      <c r="F9385">
        <v>74</v>
      </c>
    </row>
    <row r="9386" spans="1:6" x14ac:dyDescent="0.35">
      <c r="A9386">
        <v>1975</v>
      </c>
      <c r="B9386" s="1">
        <v>45916</v>
      </c>
      <c r="C9386" s="2">
        <v>0</v>
      </c>
      <c r="D9386">
        <v>3</v>
      </c>
      <c r="E9386">
        <v>14.8</v>
      </c>
      <c r="F9386">
        <v>73</v>
      </c>
    </row>
    <row r="9387" spans="1:6" x14ac:dyDescent="0.35">
      <c r="A9387">
        <v>1975</v>
      </c>
      <c r="B9387" s="1">
        <v>45916</v>
      </c>
      <c r="C9387" s="2">
        <v>4.1666666666666657E-2</v>
      </c>
      <c r="D9387">
        <v>3</v>
      </c>
      <c r="E9387">
        <v>14.5</v>
      </c>
      <c r="F9387">
        <v>76</v>
      </c>
    </row>
    <row r="9388" spans="1:6" x14ac:dyDescent="0.35">
      <c r="A9388">
        <v>1975</v>
      </c>
      <c r="B9388" s="1">
        <v>45916</v>
      </c>
      <c r="C9388" s="2">
        <v>8.3333333333333329E-2</v>
      </c>
      <c r="D9388">
        <v>3</v>
      </c>
      <c r="E9388">
        <v>13.6</v>
      </c>
      <c r="F9388">
        <v>86</v>
      </c>
    </row>
    <row r="9389" spans="1:6" x14ac:dyDescent="0.35">
      <c r="A9389">
        <v>1975</v>
      </c>
      <c r="B9389" s="1">
        <v>45916</v>
      </c>
      <c r="C9389" s="2">
        <v>0.125</v>
      </c>
      <c r="D9389">
        <v>3</v>
      </c>
      <c r="E9389">
        <v>14</v>
      </c>
      <c r="F9389">
        <v>84</v>
      </c>
    </row>
    <row r="9390" spans="1:6" x14ac:dyDescent="0.35">
      <c r="A9390">
        <v>1975</v>
      </c>
      <c r="B9390" s="1">
        <v>45916</v>
      </c>
      <c r="C9390" s="2">
        <v>0.16666666666666671</v>
      </c>
      <c r="D9390">
        <v>3</v>
      </c>
      <c r="E9390">
        <v>14.1</v>
      </c>
      <c r="F9390">
        <v>85</v>
      </c>
    </row>
    <row r="9391" spans="1:6" x14ac:dyDescent="0.35">
      <c r="A9391">
        <v>1975</v>
      </c>
      <c r="B9391" s="1">
        <v>45916</v>
      </c>
      <c r="C9391" s="2">
        <v>0.20833333333333329</v>
      </c>
      <c r="D9391">
        <v>3</v>
      </c>
      <c r="E9391">
        <v>14.4</v>
      </c>
      <c r="F9391">
        <v>83</v>
      </c>
    </row>
    <row r="9392" spans="1:6" x14ac:dyDescent="0.35">
      <c r="A9392">
        <v>1975</v>
      </c>
      <c r="B9392" s="1">
        <v>45916</v>
      </c>
      <c r="C9392" s="2">
        <v>0.25</v>
      </c>
      <c r="D9392">
        <v>3</v>
      </c>
      <c r="E9392">
        <v>14.3</v>
      </c>
      <c r="F9392">
        <v>86</v>
      </c>
    </row>
    <row r="9393" spans="1:6" x14ac:dyDescent="0.35">
      <c r="A9393">
        <v>1975</v>
      </c>
      <c r="B9393" s="1">
        <v>45916</v>
      </c>
      <c r="C9393" s="2">
        <v>0.29166666666666669</v>
      </c>
      <c r="D9393">
        <v>3</v>
      </c>
      <c r="E9393">
        <v>13.5</v>
      </c>
      <c r="F9393">
        <v>96</v>
      </c>
    </row>
    <row r="9394" spans="1:6" x14ac:dyDescent="0.35">
      <c r="A9394">
        <v>1975</v>
      </c>
      <c r="B9394" s="1">
        <v>45916</v>
      </c>
      <c r="C9394" s="2">
        <v>0.33333333333333331</v>
      </c>
      <c r="D9394">
        <v>3</v>
      </c>
      <c r="E9394">
        <v>13.8</v>
      </c>
      <c r="F9394">
        <v>95</v>
      </c>
    </row>
    <row r="9395" spans="1:6" x14ac:dyDescent="0.35">
      <c r="A9395">
        <v>1975</v>
      </c>
      <c r="B9395" s="1">
        <v>45916</v>
      </c>
      <c r="C9395" s="2">
        <v>0.375</v>
      </c>
      <c r="D9395">
        <v>3</v>
      </c>
      <c r="E9395">
        <v>14.1</v>
      </c>
      <c r="F9395">
        <v>93</v>
      </c>
    </row>
    <row r="9396" spans="1:6" x14ac:dyDescent="0.35">
      <c r="A9396">
        <v>1975</v>
      </c>
      <c r="B9396" s="1">
        <v>45916</v>
      </c>
      <c r="C9396" s="2">
        <v>0.41666666666666669</v>
      </c>
      <c r="D9396">
        <v>3</v>
      </c>
      <c r="E9396">
        <v>14.9</v>
      </c>
      <c r="F9396">
        <v>87</v>
      </c>
    </row>
    <row r="9397" spans="1:6" x14ac:dyDescent="0.35">
      <c r="A9397">
        <v>1975</v>
      </c>
      <c r="B9397" s="1">
        <v>45916</v>
      </c>
      <c r="C9397" s="2">
        <v>0.45833333333333331</v>
      </c>
      <c r="D9397">
        <v>3</v>
      </c>
      <c r="E9397">
        <v>14.9</v>
      </c>
      <c r="F9397">
        <v>92</v>
      </c>
    </row>
    <row r="9398" spans="1:6" x14ac:dyDescent="0.35">
      <c r="A9398">
        <v>1975</v>
      </c>
      <c r="B9398" s="1">
        <v>45916</v>
      </c>
      <c r="C9398" s="2">
        <v>0.5</v>
      </c>
      <c r="D9398">
        <v>3</v>
      </c>
      <c r="E9398">
        <v>14.9</v>
      </c>
      <c r="F9398">
        <v>88</v>
      </c>
    </row>
    <row r="9399" spans="1:6" x14ac:dyDescent="0.35">
      <c r="A9399">
        <v>1975</v>
      </c>
      <c r="B9399" s="1">
        <v>45916</v>
      </c>
      <c r="C9399" s="2">
        <v>0.54166666666666663</v>
      </c>
      <c r="D9399">
        <v>3</v>
      </c>
      <c r="E9399">
        <v>14.4</v>
      </c>
      <c r="F9399">
        <v>92</v>
      </c>
    </row>
    <row r="9400" spans="1:6" x14ac:dyDescent="0.35">
      <c r="A9400">
        <v>1975</v>
      </c>
      <c r="B9400" s="1">
        <v>45916</v>
      </c>
      <c r="C9400" s="2">
        <v>0.58333333333333337</v>
      </c>
      <c r="D9400">
        <v>3</v>
      </c>
      <c r="E9400">
        <v>14.6</v>
      </c>
      <c r="F9400">
        <v>90</v>
      </c>
    </row>
    <row r="9401" spans="1:6" x14ac:dyDescent="0.35">
      <c r="A9401">
        <v>1975</v>
      </c>
      <c r="B9401" s="1">
        <v>45916</v>
      </c>
      <c r="C9401" s="2">
        <v>0.625</v>
      </c>
      <c r="D9401">
        <v>3</v>
      </c>
      <c r="E9401">
        <v>13.8</v>
      </c>
      <c r="F9401">
        <v>92</v>
      </c>
    </row>
    <row r="9402" spans="1:6" x14ac:dyDescent="0.35">
      <c r="A9402">
        <v>1975</v>
      </c>
      <c r="B9402" s="1">
        <v>45916</v>
      </c>
      <c r="C9402" s="2">
        <v>0.66666666666666663</v>
      </c>
      <c r="D9402">
        <v>3</v>
      </c>
      <c r="E9402">
        <v>14.3</v>
      </c>
      <c r="F9402">
        <v>90</v>
      </c>
    </row>
    <row r="9403" spans="1:6" x14ac:dyDescent="0.35">
      <c r="A9403">
        <v>1975</v>
      </c>
      <c r="B9403" s="1">
        <v>45916</v>
      </c>
      <c r="C9403" s="2">
        <v>0.70833333333333337</v>
      </c>
      <c r="D9403">
        <v>3</v>
      </c>
      <c r="E9403">
        <v>14.1</v>
      </c>
      <c r="F9403">
        <v>91</v>
      </c>
    </row>
    <row r="9404" spans="1:6" x14ac:dyDescent="0.35">
      <c r="A9404">
        <v>1975</v>
      </c>
      <c r="B9404" s="1">
        <v>45916</v>
      </c>
      <c r="C9404" s="2">
        <v>0.75</v>
      </c>
      <c r="D9404">
        <v>3</v>
      </c>
      <c r="E9404">
        <v>12.8</v>
      </c>
      <c r="F9404">
        <v>98</v>
      </c>
    </row>
    <row r="9405" spans="1:6" x14ac:dyDescent="0.35">
      <c r="A9405">
        <v>1975</v>
      </c>
      <c r="B9405" s="1">
        <v>45916</v>
      </c>
      <c r="C9405" s="2">
        <v>0.79166666666666663</v>
      </c>
      <c r="D9405">
        <v>3</v>
      </c>
      <c r="E9405">
        <v>13.3</v>
      </c>
      <c r="F9405">
        <v>96</v>
      </c>
    </row>
    <row r="9406" spans="1:6" x14ac:dyDescent="0.35">
      <c r="A9406">
        <v>1975</v>
      </c>
      <c r="B9406" s="1">
        <v>45916</v>
      </c>
      <c r="C9406" s="2">
        <v>0.83333333333333337</v>
      </c>
      <c r="D9406">
        <v>3</v>
      </c>
      <c r="E9406">
        <v>13.3</v>
      </c>
      <c r="F9406">
        <v>97</v>
      </c>
    </row>
    <row r="9407" spans="1:6" x14ac:dyDescent="0.35">
      <c r="A9407">
        <v>1975</v>
      </c>
      <c r="B9407" s="1">
        <v>45916</v>
      </c>
      <c r="C9407" s="2">
        <v>0.875</v>
      </c>
      <c r="D9407">
        <v>3</v>
      </c>
      <c r="E9407">
        <v>12.6</v>
      </c>
      <c r="F9407">
        <v>94</v>
      </c>
    </row>
    <row r="9408" spans="1:6" x14ac:dyDescent="0.35">
      <c r="A9408">
        <v>1975</v>
      </c>
      <c r="B9408" s="1">
        <v>45916</v>
      </c>
      <c r="C9408" s="2">
        <v>0.91666666666666663</v>
      </c>
      <c r="D9408">
        <v>3</v>
      </c>
      <c r="E9408">
        <v>12.4</v>
      </c>
      <c r="F9408">
        <v>95</v>
      </c>
    </row>
    <row r="9409" spans="1:6" x14ac:dyDescent="0.35">
      <c r="A9409">
        <v>1975</v>
      </c>
      <c r="B9409" s="1">
        <v>45916</v>
      </c>
      <c r="C9409" s="2">
        <v>0.95833333333333337</v>
      </c>
      <c r="D9409">
        <v>3</v>
      </c>
      <c r="E9409">
        <v>12.2</v>
      </c>
      <c r="F9409">
        <v>96</v>
      </c>
    </row>
    <row r="9410" spans="1:6" x14ac:dyDescent="0.35">
      <c r="A9410">
        <v>1975</v>
      </c>
      <c r="B9410" s="1">
        <v>45917</v>
      </c>
      <c r="C9410" s="2">
        <v>0</v>
      </c>
      <c r="D9410">
        <v>3</v>
      </c>
      <c r="E9410">
        <v>11.8</v>
      </c>
      <c r="F9410">
        <v>95</v>
      </c>
    </row>
    <row r="9411" spans="1:6" x14ac:dyDescent="0.35">
      <c r="A9411">
        <v>1975</v>
      </c>
      <c r="B9411" s="1">
        <v>45917</v>
      </c>
      <c r="C9411" s="2">
        <v>4.1666666666666657E-2</v>
      </c>
      <c r="D9411">
        <v>3</v>
      </c>
      <c r="E9411">
        <v>11.6</v>
      </c>
      <c r="F9411">
        <v>96</v>
      </c>
    </row>
    <row r="9412" spans="1:6" x14ac:dyDescent="0.35">
      <c r="A9412">
        <v>1975</v>
      </c>
      <c r="B9412" s="1">
        <v>45917</v>
      </c>
      <c r="C9412" s="2">
        <v>8.3333333333333329E-2</v>
      </c>
      <c r="D9412">
        <v>3</v>
      </c>
      <c r="E9412">
        <v>11.6</v>
      </c>
      <c r="F9412">
        <v>95</v>
      </c>
    </row>
    <row r="9413" spans="1:6" x14ac:dyDescent="0.35">
      <c r="A9413">
        <v>1975</v>
      </c>
      <c r="B9413" s="1">
        <v>45917</v>
      </c>
      <c r="C9413" s="2">
        <v>0.125</v>
      </c>
      <c r="D9413">
        <v>3</v>
      </c>
      <c r="E9413">
        <v>11.9</v>
      </c>
      <c r="F9413">
        <v>95</v>
      </c>
    </row>
    <row r="9414" spans="1:6" x14ac:dyDescent="0.35">
      <c r="A9414">
        <v>1975</v>
      </c>
      <c r="B9414" s="1">
        <v>45917</v>
      </c>
      <c r="C9414" s="2">
        <v>0.16666666666666671</v>
      </c>
      <c r="D9414">
        <v>3</v>
      </c>
      <c r="E9414">
        <v>12.1</v>
      </c>
      <c r="F9414">
        <v>94</v>
      </c>
    </row>
    <row r="9415" spans="1:6" x14ac:dyDescent="0.35">
      <c r="A9415">
        <v>1975</v>
      </c>
      <c r="B9415" s="1">
        <v>45917</v>
      </c>
      <c r="C9415" s="2">
        <v>0.20833333333333329</v>
      </c>
      <c r="D9415">
        <v>3</v>
      </c>
      <c r="E9415">
        <v>11.7</v>
      </c>
      <c r="F9415">
        <v>95</v>
      </c>
    </row>
    <row r="9416" spans="1:6" x14ac:dyDescent="0.35">
      <c r="A9416">
        <v>1975</v>
      </c>
      <c r="B9416" s="1">
        <v>45917</v>
      </c>
      <c r="C9416" s="2">
        <v>0.25</v>
      </c>
      <c r="D9416">
        <v>3</v>
      </c>
      <c r="E9416">
        <v>12.2</v>
      </c>
      <c r="F9416">
        <v>95</v>
      </c>
    </row>
    <row r="9417" spans="1:6" x14ac:dyDescent="0.35">
      <c r="A9417">
        <v>1975</v>
      </c>
      <c r="B9417" s="1">
        <v>45917</v>
      </c>
      <c r="C9417" s="2">
        <v>0.29166666666666669</v>
      </c>
      <c r="D9417">
        <v>3</v>
      </c>
      <c r="E9417">
        <v>13.1</v>
      </c>
      <c r="F9417">
        <v>92</v>
      </c>
    </row>
    <row r="9418" spans="1:6" x14ac:dyDescent="0.35">
      <c r="A9418">
        <v>1975</v>
      </c>
      <c r="B9418" s="1">
        <v>45917</v>
      </c>
      <c r="C9418" s="2">
        <v>0.33333333333333331</v>
      </c>
      <c r="D9418">
        <v>3</v>
      </c>
      <c r="E9418">
        <v>13.7</v>
      </c>
      <c r="F9418">
        <v>88</v>
      </c>
    </row>
    <row r="9419" spans="1:6" x14ac:dyDescent="0.35">
      <c r="A9419">
        <v>1975</v>
      </c>
      <c r="B9419" s="1">
        <v>45917</v>
      </c>
      <c r="C9419" s="2">
        <v>0.375</v>
      </c>
      <c r="D9419">
        <v>3</v>
      </c>
      <c r="E9419">
        <v>14.7</v>
      </c>
      <c r="F9419">
        <v>84</v>
      </c>
    </row>
    <row r="9420" spans="1:6" x14ac:dyDescent="0.35">
      <c r="A9420">
        <v>1975</v>
      </c>
      <c r="B9420" s="1">
        <v>45917</v>
      </c>
      <c r="C9420" s="2">
        <v>0.41666666666666669</v>
      </c>
      <c r="D9420">
        <v>3</v>
      </c>
      <c r="E9420">
        <v>16.2</v>
      </c>
      <c r="F9420">
        <v>77</v>
      </c>
    </row>
    <row r="9421" spans="1:6" x14ac:dyDescent="0.35">
      <c r="A9421">
        <v>1975</v>
      </c>
      <c r="B9421" s="1">
        <v>45917</v>
      </c>
      <c r="C9421" s="2">
        <v>0.45833333333333331</v>
      </c>
      <c r="D9421">
        <v>3</v>
      </c>
      <c r="E9421">
        <v>16.5</v>
      </c>
      <c r="F9421">
        <v>71</v>
      </c>
    </row>
    <row r="9422" spans="1:6" x14ac:dyDescent="0.35">
      <c r="A9422">
        <v>1975</v>
      </c>
      <c r="B9422" s="1">
        <v>45917</v>
      </c>
      <c r="C9422" s="2">
        <v>0.5</v>
      </c>
      <c r="D9422">
        <v>3</v>
      </c>
      <c r="E9422">
        <v>17.2</v>
      </c>
      <c r="F9422">
        <v>66</v>
      </c>
    </row>
    <row r="9423" spans="1:6" x14ac:dyDescent="0.35">
      <c r="A9423">
        <v>1975</v>
      </c>
      <c r="B9423" s="1">
        <v>45917</v>
      </c>
      <c r="C9423" s="2">
        <v>0.54166666666666663</v>
      </c>
      <c r="D9423">
        <v>3</v>
      </c>
      <c r="E9423">
        <v>17.399999999999999</v>
      </c>
      <c r="F9423">
        <v>60</v>
      </c>
    </row>
    <row r="9424" spans="1:6" x14ac:dyDescent="0.35">
      <c r="A9424">
        <v>1975</v>
      </c>
      <c r="B9424" s="1">
        <v>45917</v>
      </c>
      <c r="C9424" s="2">
        <v>0.58333333333333337</v>
      </c>
      <c r="D9424">
        <v>3</v>
      </c>
      <c r="E9424">
        <v>18.3</v>
      </c>
      <c r="F9424">
        <v>59</v>
      </c>
    </row>
    <row r="9425" spans="1:6" x14ac:dyDescent="0.35">
      <c r="A9425">
        <v>1975</v>
      </c>
      <c r="B9425" s="1">
        <v>45917</v>
      </c>
      <c r="C9425" s="2">
        <v>0.625</v>
      </c>
      <c r="D9425">
        <v>3</v>
      </c>
      <c r="E9425">
        <v>18.100000000000001</v>
      </c>
      <c r="F9425">
        <v>61</v>
      </c>
    </row>
    <row r="9426" spans="1:6" x14ac:dyDescent="0.35">
      <c r="A9426">
        <v>1975</v>
      </c>
      <c r="B9426" s="1">
        <v>45917</v>
      </c>
      <c r="C9426" s="2">
        <v>0.66666666666666663</v>
      </c>
      <c r="D9426">
        <v>3</v>
      </c>
      <c r="E9426">
        <v>16.7</v>
      </c>
      <c r="F9426">
        <v>66</v>
      </c>
    </row>
    <row r="9427" spans="1:6" x14ac:dyDescent="0.35">
      <c r="A9427">
        <v>1975</v>
      </c>
      <c r="B9427" s="1">
        <v>45917</v>
      </c>
      <c r="C9427" s="2">
        <v>0.70833333333333337</v>
      </c>
      <c r="D9427">
        <v>3</v>
      </c>
      <c r="E9427">
        <v>15.2</v>
      </c>
      <c r="F9427">
        <v>76</v>
      </c>
    </row>
    <row r="9428" spans="1:6" x14ac:dyDescent="0.35">
      <c r="A9428">
        <v>1975</v>
      </c>
      <c r="B9428" s="1">
        <v>45917</v>
      </c>
      <c r="C9428" s="2">
        <v>0.75</v>
      </c>
      <c r="D9428">
        <v>3</v>
      </c>
      <c r="E9428">
        <v>14.3</v>
      </c>
      <c r="F9428">
        <v>85</v>
      </c>
    </row>
    <row r="9429" spans="1:6" x14ac:dyDescent="0.35">
      <c r="A9429">
        <v>1975</v>
      </c>
      <c r="B9429" s="1">
        <v>45917</v>
      </c>
      <c r="C9429" s="2">
        <v>0.79166666666666663</v>
      </c>
      <c r="D9429">
        <v>3</v>
      </c>
      <c r="E9429">
        <v>14.6</v>
      </c>
      <c r="F9429">
        <v>82</v>
      </c>
    </row>
    <row r="9430" spans="1:6" x14ac:dyDescent="0.35">
      <c r="A9430">
        <v>1975</v>
      </c>
      <c r="B9430" s="1">
        <v>45917</v>
      </c>
      <c r="C9430" s="2">
        <v>0.83333333333333337</v>
      </c>
      <c r="D9430">
        <v>3</v>
      </c>
      <c r="E9430">
        <v>14.2</v>
      </c>
      <c r="F9430">
        <v>86</v>
      </c>
    </row>
    <row r="9431" spans="1:6" x14ac:dyDescent="0.35">
      <c r="A9431">
        <v>1975</v>
      </c>
      <c r="B9431" s="1">
        <v>45917</v>
      </c>
      <c r="C9431" s="2">
        <v>0.875</v>
      </c>
      <c r="D9431">
        <v>3</v>
      </c>
      <c r="E9431">
        <v>13.7</v>
      </c>
      <c r="F9431">
        <v>97</v>
      </c>
    </row>
    <row r="9432" spans="1:6" x14ac:dyDescent="0.35">
      <c r="A9432">
        <v>1975</v>
      </c>
      <c r="B9432" s="1">
        <v>45917</v>
      </c>
      <c r="C9432" s="2">
        <v>0.91666666666666663</v>
      </c>
      <c r="D9432">
        <v>3</v>
      </c>
      <c r="E9432">
        <v>13.8</v>
      </c>
      <c r="F9432">
        <v>98</v>
      </c>
    </row>
    <row r="9433" spans="1:6" x14ac:dyDescent="0.35">
      <c r="A9433">
        <v>1975</v>
      </c>
      <c r="B9433" s="1">
        <v>45917</v>
      </c>
      <c r="C9433" s="2">
        <v>0.95833333333333337</v>
      </c>
      <c r="D9433">
        <v>3</v>
      </c>
      <c r="E9433">
        <v>14</v>
      </c>
      <c r="F9433">
        <v>98</v>
      </c>
    </row>
    <row r="9434" spans="1:6" x14ac:dyDescent="0.35">
      <c r="A9434">
        <v>1975</v>
      </c>
      <c r="B9434" s="1">
        <v>45918</v>
      </c>
      <c r="C9434" s="2">
        <v>0</v>
      </c>
      <c r="D9434">
        <v>3</v>
      </c>
      <c r="E9434">
        <v>14.3</v>
      </c>
      <c r="F9434">
        <v>99</v>
      </c>
    </row>
    <row r="9435" spans="1:6" x14ac:dyDescent="0.35">
      <c r="A9435">
        <v>1975</v>
      </c>
      <c r="B9435" s="1">
        <v>45918</v>
      </c>
      <c r="C9435" s="2">
        <v>4.1666666666666657E-2</v>
      </c>
      <c r="D9435">
        <v>3</v>
      </c>
      <c r="E9435">
        <v>14.5</v>
      </c>
      <c r="F9435">
        <v>99</v>
      </c>
    </row>
    <row r="9436" spans="1:6" x14ac:dyDescent="0.35">
      <c r="A9436">
        <v>1975</v>
      </c>
      <c r="B9436" s="1">
        <v>45918</v>
      </c>
      <c r="C9436" s="2">
        <v>8.3333333333333329E-2</v>
      </c>
      <c r="D9436">
        <v>3</v>
      </c>
      <c r="E9436">
        <v>14.7</v>
      </c>
      <c r="F9436">
        <v>100</v>
      </c>
    </row>
    <row r="9437" spans="1:6" x14ac:dyDescent="0.35">
      <c r="A9437">
        <v>1975</v>
      </c>
      <c r="B9437" s="1">
        <v>45918</v>
      </c>
      <c r="C9437" s="2">
        <v>0.125</v>
      </c>
      <c r="D9437">
        <v>3</v>
      </c>
      <c r="E9437">
        <v>15</v>
      </c>
      <c r="F9437">
        <v>99</v>
      </c>
    </row>
    <row r="9438" spans="1:6" x14ac:dyDescent="0.35">
      <c r="A9438">
        <v>1975</v>
      </c>
      <c r="B9438" s="1">
        <v>45918</v>
      </c>
      <c r="C9438" s="2">
        <v>0.16666666666666671</v>
      </c>
      <c r="D9438">
        <v>3</v>
      </c>
      <c r="E9438">
        <v>15.4</v>
      </c>
      <c r="F9438">
        <v>99</v>
      </c>
    </row>
    <row r="9439" spans="1:6" x14ac:dyDescent="0.35">
      <c r="A9439">
        <v>1975</v>
      </c>
      <c r="B9439" s="1">
        <v>45918</v>
      </c>
      <c r="C9439" s="2">
        <v>0.20833333333333329</v>
      </c>
      <c r="D9439">
        <v>3</v>
      </c>
      <c r="E9439">
        <v>15.9</v>
      </c>
      <c r="F9439">
        <v>99</v>
      </c>
    </row>
    <row r="9440" spans="1:6" x14ac:dyDescent="0.35">
      <c r="A9440">
        <v>1975</v>
      </c>
      <c r="B9440" s="1">
        <v>45918</v>
      </c>
      <c r="C9440" s="2">
        <v>0.25</v>
      </c>
      <c r="D9440">
        <v>3</v>
      </c>
      <c r="E9440">
        <v>16.3</v>
      </c>
      <c r="F9440">
        <v>99</v>
      </c>
    </row>
    <row r="9441" spans="1:6" x14ac:dyDescent="0.35">
      <c r="A9441">
        <v>1975</v>
      </c>
      <c r="B9441" s="1">
        <v>45918</v>
      </c>
      <c r="C9441" s="2">
        <v>0.29166666666666669</v>
      </c>
      <c r="D9441">
        <v>3</v>
      </c>
      <c r="E9441">
        <v>16.7</v>
      </c>
      <c r="F9441">
        <v>98</v>
      </c>
    </row>
    <row r="9442" spans="1:6" x14ac:dyDescent="0.35">
      <c r="A9442">
        <v>1975</v>
      </c>
      <c r="B9442" s="1">
        <v>45918</v>
      </c>
      <c r="C9442" s="2">
        <v>0.33333333333333331</v>
      </c>
      <c r="D9442">
        <v>3</v>
      </c>
      <c r="E9442">
        <v>17.399999999999999</v>
      </c>
      <c r="F9442">
        <v>94</v>
      </c>
    </row>
    <row r="9443" spans="1:6" x14ac:dyDescent="0.35">
      <c r="A9443">
        <v>1975</v>
      </c>
      <c r="B9443" s="1">
        <v>45918</v>
      </c>
      <c r="C9443" s="2">
        <v>0.375</v>
      </c>
      <c r="D9443">
        <v>3</v>
      </c>
      <c r="E9443">
        <v>17.7</v>
      </c>
      <c r="F9443">
        <v>94</v>
      </c>
    </row>
    <row r="9444" spans="1:6" x14ac:dyDescent="0.35">
      <c r="A9444">
        <v>1975</v>
      </c>
      <c r="B9444" s="1">
        <v>45918</v>
      </c>
      <c r="C9444" s="2">
        <v>0.41666666666666669</v>
      </c>
      <c r="D9444">
        <v>3</v>
      </c>
      <c r="E9444">
        <v>18.600000000000001</v>
      </c>
      <c r="F9444">
        <v>90</v>
      </c>
    </row>
    <row r="9445" spans="1:6" x14ac:dyDescent="0.35">
      <c r="A9445">
        <v>1975</v>
      </c>
      <c r="B9445" s="1">
        <v>45918</v>
      </c>
      <c r="C9445" s="2">
        <v>0.45833333333333331</v>
      </c>
      <c r="D9445">
        <v>3</v>
      </c>
      <c r="E9445">
        <v>18.399999999999999</v>
      </c>
      <c r="F9445">
        <v>90</v>
      </c>
    </row>
    <row r="9446" spans="1:6" x14ac:dyDescent="0.35">
      <c r="A9446">
        <v>1975</v>
      </c>
      <c r="B9446" s="1">
        <v>45918</v>
      </c>
      <c r="C9446" s="2">
        <v>0.5</v>
      </c>
      <c r="D9446">
        <v>3</v>
      </c>
      <c r="E9446">
        <v>18.2</v>
      </c>
      <c r="F9446">
        <v>94</v>
      </c>
    </row>
    <row r="9447" spans="1:6" x14ac:dyDescent="0.35">
      <c r="A9447">
        <v>1975</v>
      </c>
      <c r="B9447" s="1">
        <v>45918</v>
      </c>
      <c r="C9447" s="2">
        <v>0.54166666666666663</v>
      </c>
      <c r="D9447">
        <v>3</v>
      </c>
      <c r="E9447">
        <v>19.8</v>
      </c>
      <c r="F9447">
        <v>86</v>
      </c>
    </row>
    <row r="9448" spans="1:6" x14ac:dyDescent="0.35">
      <c r="A9448">
        <v>1975</v>
      </c>
      <c r="B9448" s="1">
        <v>45918</v>
      </c>
      <c r="C9448" s="2">
        <v>0.58333333333333337</v>
      </c>
      <c r="D9448">
        <v>3</v>
      </c>
      <c r="E9448">
        <v>20.100000000000001</v>
      </c>
      <c r="F9448">
        <v>84</v>
      </c>
    </row>
    <row r="9449" spans="1:6" x14ac:dyDescent="0.35">
      <c r="A9449">
        <v>1975</v>
      </c>
      <c r="B9449" s="1">
        <v>45918</v>
      </c>
      <c r="C9449" s="2">
        <v>0.625</v>
      </c>
      <c r="D9449">
        <v>3</v>
      </c>
      <c r="E9449">
        <v>19.7</v>
      </c>
      <c r="F9449">
        <v>87</v>
      </c>
    </row>
    <row r="9450" spans="1:6" x14ac:dyDescent="0.35">
      <c r="A9450">
        <v>1975</v>
      </c>
      <c r="B9450" s="1">
        <v>45918</v>
      </c>
      <c r="C9450" s="2">
        <v>0.66666666666666663</v>
      </c>
      <c r="D9450">
        <v>3</v>
      </c>
      <c r="E9450">
        <v>18.600000000000001</v>
      </c>
      <c r="F9450">
        <v>93</v>
      </c>
    </row>
    <row r="9451" spans="1:6" x14ac:dyDescent="0.35">
      <c r="A9451">
        <v>1975</v>
      </c>
      <c r="B9451" s="1">
        <v>45918</v>
      </c>
      <c r="C9451" s="2">
        <v>0.70833333333333337</v>
      </c>
      <c r="D9451">
        <v>3</v>
      </c>
      <c r="E9451">
        <v>18</v>
      </c>
      <c r="F9451">
        <v>96</v>
      </c>
    </row>
    <row r="9452" spans="1:6" x14ac:dyDescent="0.35">
      <c r="A9452">
        <v>1975</v>
      </c>
      <c r="B9452" s="1">
        <v>45918</v>
      </c>
      <c r="C9452" s="2">
        <v>0.75</v>
      </c>
      <c r="D9452">
        <v>3</v>
      </c>
      <c r="E9452">
        <v>18.100000000000001</v>
      </c>
      <c r="F9452">
        <v>98</v>
      </c>
    </row>
    <row r="9453" spans="1:6" x14ac:dyDescent="0.35">
      <c r="A9453">
        <v>1975</v>
      </c>
      <c r="B9453" s="1">
        <v>45918</v>
      </c>
      <c r="C9453" s="2">
        <v>0.79166666666666663</v>
      </c>
      <c r="D9453">
        <v>3</v>
      </c>
      <c r="E9453">
        <v>18.100000000000001</v>
      </c>
      <c r="F9453">
        <v>98</v>
      </c>
    </row>
    <row r="9454" spans="1:6" x14ac:dyDescent="0.35">
      <c r="A9454">
        <v>1975</v>
      </c>
      <c r="B9454" s="1">
        <v>45918</v>
      </c>
      <c r="C9454" s="2">
        <v>0.83333333333333337</v>
      </c>
      <c r="D9454">
        <v>3</v>
      </c>
      <c r="E9454">
        <v>18.2</v>
      </c>
      <c r="F9454">
        <v>96</v>
      </c>
    </row>
    <row r="9455" spans="1:6" x14ac:dyDescent="0.35">
      <c r="A9455">
        <v>1975</v>
      </c>
      <c r="B9455" s="1">
        <v>45918</v>
      </c>
      <c r="C9455" s="2">
        <v>0.875</v>
      </c>
      <c r="D9455">
        <v>3</v>
      </c>
      <c r="E9455">
        <v>18.3</v>
      </c>
      <c r="F9455">
        <v>95</v>
      </c>
    </row>
    <row r="9456" spans="1:6" x14ac:dyDescent="0.35">
      <c r="A9456">
        <v>1975</v>
      </c>
      <c r="B9456" s="1">
        <v>45918</v>
      </c>
      <c r="C9456" s="2">
        <v>0.91666666666666663</v>
      </c>
      <c r="D9456">
        <v>3</v>
      </c>
      <c r="E9456">
        <v>18.399999999999999</v>
      </c>
      <c r="F9456">
        <v>95</v>
      </c>
    </row>
    <row r="9457" spans="1:6" x14ac:dyDescent="0.35">
      <c r="A9457">
        <v>1975</v>
      </c>
      <c r="B9457" s="1">
        <v>45918</v>
      </c>
      <c r="C9457" s="2">
        <v>0.95833333333333337</v>
      </c>
      <c r="D9457">
        <v>3</v>
      </c>
      <c r="E9457">
        <v>18.399999999999999</v>
      </c>
      <c r="F9457">
        <v>94</v>
      </c>
    </row>
    <row r="9458" spans="1:6" x14ac:dyDescent="0.35">
      <c r="A9458">
        <v>1975</v>
      </c>
      <c r="B9458" s="1">
        <v>45919</v>
      </c>
      <c r="C9458" s="2">
        <v>0</v>
      </c>
      <c r="D9458">
        <v>3</v>
      </c>
      <c r="E9458">
        <v>18.100000000000001</v>
      </c>
      <c r="F9458">
        <v>96</v>
      </c>
    </row>
    <row r="9459" spans="1:6" x14ac:dyDescent="0.35">
      <c r="A9459">
        <v>1975</v>
      </c>
      <c r="B9459" s="1">
        <v>45919</v>
      </c>
      <c r="C9459" s="2">
        <v>4.1666666666666657E-2</v>
      </c>
      <c r="D9459">
        <v>3</v>
      </c>
      <c r="E9459">
        <v>18</v>
      </c>
      <c r="F9459">
        <v>94</v>
      </c>
    </row>
    <row r="9460" spans="1:6" x14ac:dyDescent="0.35">
      <c r="A9460">
        <v>1975</v>
      </c>
      <c r="B9460" s="1">
        <v>45919</v>
      </c>
      <c r="C9460" s="2">
        <v>8.3333333333333329E-2</v>
      </c>
      <c r="D9460">
        <v>3</v>
      </c>
      <c r="E9460">
        <v>18</v>
      </c>
      <c r="F9460">
        <v>93</v>
      </c>
    </row>
    <row r="9461" spans="1:6" x14ac:dyDescent="0.35">
      <c r="A9461">
        <v>1975</v>
      </c>
      <c r="B9461" s="1">
        <v>45919</v>
      </c>
      <c r="C9461" s="2">
        <v>0.125</v>
      </c>
      <c r="D9461">
        <v>3</v>
      </c>
      <c r="E9461">
        <v>18</v>
      </c>
      <c r="F9461">
        <v>92</v>
      </c>
    </row>
    <row r="9462" spans="1:6" x14ac:dyDescent="0.35">
      <c r="A9462">
        <v>1975</v>
      </c>
      <c r="B9462" s="1">
        <v>45919</v>
      </c>
      <c r="C9462" s="2">
        <v>0.16666666666666671</v>
      </c>
      <c r="D9462">
        <v>3</v>
      </c>
      <c r="E9462">
        <v>17.8</v>
      </c>
      <c r="F9462">
        <v>92</v>
      </c>
    </row>
    <row r="9463" spans="1:6" x14ac:dyDescent="0.35">
      <c r="A9463">
        <v>1975</v>
      </c>
      <c r="B9463" s="1">
        <v>45919</v>
      </c>
      <c r="C9463" s="2">
        <v>0.20833333333333329</v>
      </c>
      <c r="D9463">
        <v>3</v>
      </c>
      <c r="E9463">
        <v>17.399999999999999</v>
      </c>
      <c r="F9463">
        <v>94</v>
      </c>
    </row>
    <row r="9464" spans="1:6" x14ac:dyDescent="0.35">
      <c r="A9464">
        <v>1975</v>
      </c>
      <c r="B9464" s="1">
        <v>45919</v>
      </c>
      <c r="C9464" s="2">
        <v>0.25</v>
      </c>
      <c r="D9464">
        <v>3</v>
      </c>
      <c r="E9464">
        <v>17.5</v>
      </c>
      <c r="F9464">
        <v>91</v>
      </c>
    </row>
    <row r="9465" spans="1:6" x14ac:dyDescent="0.35">
      <c r="A9465">
        <v>1975</v>
      </c>
      <c r="B9465" s="1">
        <v>45919</v>
      </c>
      <c r="C9465" s="2">
        <v>0.29166666666666669</v>
      </c>
      <c r="D9465">
        <v>3</v>
      </c>
      <c r="E9465">
        <v>17.899999999999999</v>
      </c>
      <c r="F9465">
        <v>89</v>
      </c>
    </row>
    <row r="9466" spans="1:6" x14ac:dyDescent="0.35">
      <c r="A9466">
        <v>1975</v>
      </c>
      <c r="B9466" s="1">
        <v>45919</v>
      </c>
      <c r="C9466" s="2">
        <v>0.33333333333333331</v>
      </c>
      <c r="D9466">
        <v>3</v>
      </c>
      <c r="E9466">
        <v>18</v>
      </c>
      <c r="F9466">
        <v>89</v>
      </c>
    </row>
    <row r="9467" spans="1:6" x14ac:dyDescent="0.35">
      <c r="A9467">
        <v>1975</v>
      </c>
      <c r="B9467" s="1">
        <v>45919</v>
      </c>
      <c r="C9467" s="2">
        <v>0.375</v>
      </c>
      <c r="D9467">
        <v>3</v>
      </c>
      <c r="E9467">
        <v>18.2</v>
      </c>
      <c r="F9467">
        <v>86</v>
      </c>
    </row>
    <row r="9468" spans="1:6" x14ac:dyDescent="0.35">
      <c r="A9468">
        <v>1975</v>
      </c>
      <c r="B9468" s="1">
        <v>45919</v>
      </c>
      <c r="C9468" s="2">
        <v>0.41666666666666669</v>
      </c>
      <c r="D9468">
        <v>3</v>
      </c>
      <c r="E9468">
        <v>18.3</v>
      </c>
      <c r="F9468">
        <v>85</v>
      </c>
    </row>
    <row r="9469" spans="1:6" x14ac:dyDescent="0.35">
      <c r="A9469">
        <v>1975</v>
      </c>
      <c r="B9469" s="1">
        <v>45919</v>
      </c>
      <c r="C9469" s="2">
        <v>0.45833333333333331</v>
      </c>
      <c r="D9469">
        <v>3</v>
      </c>
      <c r="E9469">
        <v>19.399999999999999</v>
      </c>
      <c r="F9469">
        <v>82</v>
      </c>
    </row>
    <row r="9470" spans="1:6" x14ac:dyDescent="0.35">
      <c r="A9470">
        <v>1975</v>
      </c>
      <c r="B9470" s="1">
        <v>45919</v>
      </c>
      <c r="C9470" s="2">
        <v>0.5</v>
      </c>
      <c r="D9470">
        <v>3</v>
      </c>
      <c r="E9470">
        <v>20.6</v>
      </c>
      <c r="F9470">
        <v>75</v>
      </c>
    </row>
    <row r="9471" spans="1:6" x14ac:dyDescent="0.35">
      <c r="A9471">
        <v>1975</v>
      </c>
      <c r="B9471" s="1">
        <v>45919</v>
      </c>
      <c r="C9471" s="2">
        <v>0.54166666666666663</v>
      </c>
      <c r="D9471">
        <v>3</v>
      </c>
      <c r="E9471">
        <v>21.2</v>
      </c>
      <c r="F9471">
        <v>72</v>
      </c>
    </row>
    <row r="9472" spans="1:6" x14ac:dyDescent="0.35">
      <c r="A9472">
        <v>1975</v>
      </c>
      <c r="B9472" s="1">
        <v>45919</v>
      </c>
      <c r="C9472" s="2">
        <v>0.58333333333333337</v>
      </c>
      <c r="D9472">
        <v>3</v>
      </c>
      <c r="E9472">
        <v>22.3</v>
      </c>
      <c r="F9472">
        <v>68</v>
      </c>
    </row>
    <row r="9473" spans="1:6" x14ac:dyDescent="0.35">
      <c r="A9473">
        <v>1975</v>
      </c>
      <c r="B9473" s="1">
        <v>45919</v>
      </c>
      <c r="C9473" s="2">
        <v>0.625</v>
      </c>
      <c r="D9473">
        <v>3</v>
      </c>
      <c r="E9473">
        <v>22.3</v>
      </c>
      <c r="F9473">
        <v>68</v>
      </c>
    </row>
    <row r="9474" spans="1:6" x14ac:dyDescent="0.35">
      <c r="A9474">
        <v>1975</v>
      </c>
      <c r="B9474" s="1">
        <v>45919</v>
      </c>
      <c r="C9474" s="2">
        <v>0.66666666666666663</v>
      </c>
      <c r="D9474">
        <v>3</v>
      </c>
      <c r="E9474">
        <v>22.4</v>
      </c>
      <c r="F9474">
        <v>67</v>
      </c>
    </row>
    <row r="9475" spans="1:6" x14ac:dyDescent="0.35">
      <c r="A9475">
        <v>1975</v>
      </c>
      <c r="B9475" s="1">
        <v>45919</v>
      </c>
      <c r="C9475" s="2">
        <v>0.70833333333333337</v>
      </c>
      <c r="D9475">
        <v>3</v>
      </c>
      <c r="E9475">
        <v>21</v>
      </c>
      <c r="F9475">
        <v>72</v>
      </c>
    </row>
    <row r="9476" spans="1:6" x14ac:dyDescent="0.35">
      <c r="A9476">
        <v>1975</v>
      </c>
      <c r="B9476" s="1">
        <v>45919</v>
      </c>
      <c r="C9476" s="2">
        <v>0.75</v>
      </c>
      <c r="D9476">
        <v>3</v>
      </c>
      <c r="E9476">
        <v>19.3</v>
      </c>
      <c r="F9476">
        <v>78</v>
      </c>
    </row>
    <row r="9477" spans="1:6" x14ac:dyDescent="0.35">
      <c r="A9477">
        <v>1975</v>
      </c>
      <c r="B9477" s="1">
        <v>45919</v>
      </c>
      <c r="C9477" s="2">
        <v>0.79166666666666663</v>
      </c>
      <c r="D9477">
        <v>3</v>
      </c>
      <c r="E9477">
        <v>16.600000000000001</v>
      </c>
      <c r="F9477">
        <v>98</v>
      </c>
    </row>
    <row r="9478" spans="1:6" x14ac:dyDescent="0.35">
      <c r="A9478">
        <v>1975</v>
      </c>
      <c r="B9478" s="1">
        <v>45919</v>
      </c>
      <c r="C9478" s="2">
        <v>0.83333333333333337</v>
      </c>
      <c r="D9478">
        <v>3</v>
      </c>
      <c r="E9478">
        <v>16</v>
      </c>
      <c r="F9478">
        <v>98</v>
      </c>
    </row>
    <row r="9479" spans="1:6" x14ac:dyDescent="0.35">
      <c r="A9479">
        <v>1975</v>
      </c>
      <c r="B9479" s="1">
        <v>45919</v>
      </c>
      <c r="C9479" s="2">
        <v>0.875</v>
      </c>
      <c r="D9479">
        <v>3</v>
      </c>
      <c r="E9479">
        <v>16.8</v>
      </c>
      <c r="F9479">
        <v>91</v>
      </c>
    </row>
    <row r="9480" spans="1:6" x14ac:dyDescent="0.35">
      <c r="A9480">
        <v>1975</v>
      </c>
      <c r="B9480" s="1">
        <v>45919</v>
      </c>
      <c r="C9480" s="2">
        <v>0.91666666666666663</v>
      </c>
      <c r="D9480">
        <v>3</v>
      </c>
      <c r="E9480">
        <v>15.9</v>
      </c>
      <c r="F9480">
        <v>92</v>
      </c>
    </row>
    <row r="9481" spans="1:6" x14ac:dyDescent="0.35">
      <c r="A9481">
        <v>1975</v>
      </c>
      <c r="B9481" s="1">
        <v>45919</v>
      </c>
      <c r="C9481" s="2">
        <v>0.95833333333333337</v>
      </c>
      <c r="D9481">
        <v>3</v>
      </c>
      <c r="E9481">
        <v>16.100000000000001</v>
      </c>
      <c r="F9481">
        <v>93</v>
      </c>
    </row>
    <row r="9482" spans="1:6" x14ac:dyDescent="0.35">
      <c r="A9482">
        <v>1975</v>
      </c>
      <c r="B9482" s="1">
        <v>45920</v>
      </c>
      <c r="C9482" s="2">
        <v>0</v>
      </c>
      <c r="D9482">
        <v>3</v>
      </c>
      <c r="E9482">
        <v>15.4</v>
      </c>
      <c r="F9482">
        <v>92</v>
      </c>
    </row>
    <row r="9483" spans="1:6" x14ac:dyDescent="0.35">
      <c r="A9483">
        <v>1975</v>
      </c>
      <c r="B9483" s="1">
        <v>45920</v>
      </c>
      <c r="C9483" s="2">
        <v>4.1666666666666657E-2</v>
      </c>
      <c r="D9483">
        <v>3</v>
      </c>
      <c r="E9483">
        <v>15.7</v>
      </c>
      <c r="F9483">
        <v>93</v>
      </c>
    </row>
    <row r="9484" spans="1:6" x14ac:dyDescent="0.35">
      <c r="A9484">
        <v>1975</v>
      </c>
      <c r="B9484" s="1">
        <v>45920</v>
      </c>
      <c r="C9484" s="2">
        <v>8.3333333333333329E-2</v>
      </c>
      <c r="D9484">
        <v>3</v>
      </c>
      <c r="E9484">
        <v>15.2</v>
      </c>
      <c r="F9484">
        <v>90</v>
      </c>
    </row>
    <row r="9485" spans="1:6" x14ac:dyDescent="0.35">
      <c r="A9485">
        <v>1975</v>
      </c>
      <c r="B9485" s="1">
        <v>45920</v>
      </c>
      <c r="C9485" s="2">
        <v>0.125</v>
      </c>
      <c r="D9485">
        <v>3</v>
      </c>
      <c r="E9485">
        <v>14.2</v>
      </c>
      <c r="F9485">
        <v>96</v>
      </c>
    </row>
    <row r="9486" spans="1:6" x14ac:dyDescent="0.35">
      <c r="A9486">
        <v>1975</v>
      </c>
      <c r="B9486" s="1">
        <v>45920</v>
      </c>
      <c r="C9486" s="2">
        <v>0.16666666666666671</v>
      </c>
      <c r="D9486">
        <v>3</v>
      </c>
      <c r="E9486">
        <v>13.7</v>
      </c>
      <c r="F9486">
        <v>100</v>
      </c>
    </row>
    <row r="9487" spans="1:6" x14ac:dyDescent="0.35">
      <c r="A9487">
        <v>1975</v>
      </c>
      <c r="B9487" s="1">
        <v>45920</v>
      </c>
      <c r="C9487" s="2">
        <v>0.20833333333333329</v>
      </c>
      <c r="D9487">
        <v>3</v>
      </c>
      <c r="E9487">
        <v>13.4</v>
      </c>
      <c r="F9487">
        <v>100</v>
      </c>
    </row>
    <row r="9488" spans="1:6" x14ac:dyDescent="0.35">
      <c r="A9488">
        <v>1975</v>
      </c>
      <c r="B9488" s="1">
        <v>45920</v>
      </c>
      <c r="C9488" s="2">
        <v>0.25</v>
      </c>
      <c r="D9488">
        <v>3</v>
      </c>
      <c r="E9488">
        <v>13.1</v>
      </c>
      <c r="F9488">
        <v>98</v>
      </c>
    </row>
    <row r="9489" spans="1:6" x14ac:dyDescent="0.35">
      <c r="A9489">
        <v>1975</v>
      </c>
      <c r="B9489" s="1">
        <v>45920</v>
      </c>
      <c r="C9489" s="2">
        <v>0.29166666666666669</v>
      </c>
      <c r="D9489">
        <v>3</v>
      </c>
      <c r="E9489">
        <v>16.3</v>
      </c>
      <c r="F9489">
        <v>84</v>
      </c>
    </row>
    <row r="9490" spans="1:6" x14ac:dyDescent="0.35">
      <c r="A9490">
        <v>1975</v>
      </c>
      <c r="B9490" s="1">
        <v>45920</v>
      </c>
      <c r="C9490" s="2">
        <v>0.33333333333333331</v>
      </c>
      <c r="D9490">
        <v>3</v>
      </c>
      <c r="E9490">
        <v>18.600000000000001</v>
      </c>
      <c r="F9490">
        <v>75</v>
      </c>
    </row>
    <row r="9491" spans="1:6" x14ac:dyDescent="0.35">
      <c r="A9491">
        <v>1975</v>
      </c>
      <c r="B9491" s="1">
        <v>45920</v>
      </c>
      <c r="C9491" s="2">
        <v>0.375</v>
      </c>
      <c r="D9491">
        <v>3</v>
      </c>
      <c r="E9491">
        <v>20.8</v>
      </c>
      <c r="F9491">
        <v>67</v>
      </c>
    </row>
    <row r="9492" spans="1:6" x14ac:dyDescent="0.35">
      <c r="A9492">
        <v>1975</v>
      </c>
      <c r="B9492" s="1">
        <v>45920</v>
      </c>
      <c r="C9492" s="2">
        <v>0.41666666666666669</v>
      </c>
      <c r="D9492">
        <v>3</v>
      </c>
      <c r="E9492">
        <v>23.1</v>
      </c>
      <c r="F9492">
        <v>59</v>
      </c>
    </row>
    <row r="9493" spans="1:6" x14ac:dyDescent="0.35">
      <c r="A9493">
        <v>1975</v>
      </c>
      <c r="B9493" s="1">
        <v>45920</v>
      </c>
      <c r="C9493" s="2">
        <v>0.45833333333333331</v>
      </c>
      <c r="D9493">
        <v>3</v>
      </c>
      <c r="E9493">
        <v>25.2</v>
      </c>
      <c r="F9493">
        <v>58</v>
      </c>
    </row>
    <row r="9494" spans="1:6" x14ac:dyDescent="0.35">
      <c r="A9494">
        <v>1975</v>
      </c>
      <c r="B9494" s="1">
        <v>45920</v>
      </c>
      <c r="C9494" s="2">
        <v>0.5</v>
      </c>
      <c r="D9494">
        <v>3</v>
      </c>
      <c r="E9494">
        <v>26.2</v>
      </c>
      <c r="F9494">
        <v>55</v>
      </c>
    </row>
    <row r="9495" spans="1:6" x14ac:dyDescent="0.35">
      <c r="A9495">
        <v>1975</v>
      </c>
      <c r="B9495" s="1">
        <v>45920</v>
      </c>
      <c r="C9495" s="2">
        <v>0.54166666666666663</v>
      </c>
      <c r="D9495">
        <v>3</v>
      </c>
      <c r="E9495">
        <v>27.1</v>
      </c>
      <c r="F9495">
        <v>52</v>
      </c>
    </row>
    <row r="9496" spans="1:6" x14ac:dyDescent="0.35">
      <c r="A9496">
        <v>1975</v>
      </c>
      <c r="B9496" s="1">
        <v>45920</v>
      </c>
      <c r="C9496" s="2">
        <v>0.58333333333333337</v>
      </c>
      <c r="D9496">
        <v>3</v>
      </c>
      <c r="E9496">
        <v>26.8</v>
      </c>
      <c r="F9496">
        <v>53</v>
      </c>
    </row>
    <row r="9497" spans="1:6" x14ac:dyDescent="0.35">
      <c r="A9497">
        <v>1975</v>
      </c>
      <c r="B9497" s="1">
        <v>45920</v>
      </c>
      <c r="C9497" s="2">
        <v>0.625</v>
      </c>
      <c r="D9497">
        <v>3</v>
      </c>
      <c r="E9497">
        <v>26.1</v>
      </c>
      <c r="F9497">
        <v>54</v>
      </c>
    </row>
    <row r="9498" spans="1:6" x14ac:dyDescent="0.35">
      <c r="A9498">
        <v>1975</v>
      </c>
      <c r="B9498" s="1">
        <v>45920</v>
      </c>
      <c r="C9498" s="2">
        <v>0.66666666666666663</v>
      </c>
      <c r="D9498">
        <v>3</v>
      </c>
      <c r="E9498">
        <v>24.9</v>
      </c>
      <c r="F9498">
        <v>63</v>
      </c>
    </row>
    <row r="9499" spans="1:6" x14ac:dyDescent="0.35">
      <c r="A9499">
        <v>1975</v>
      </c>
      <c r="B9499" s="1">
        <v>45920</v>
      </c>
      <c r="C9499" s="2">
        <v>0.70833333333333337</v>
      </c>
      <c r="D9499">
        <v>3</v>
      </c>
      <c r="E9499">
        <v>24.4</v>
      </c>
      <c r="F9499">
        <v>64</v>
      </c>
    </row>
    <row r="9500" spans="1:6" x14ac:dyDescent="0.35">
      <c r="A9500">
        <v>1975</v>
      </c>
      <c r="B9500" s="1">
        <v>45920</v>
      </c>
      <c r="C9500" s="2">
        <v>0.75</v>
      </c>
      <c r="D9500">
        <v>3</v>
      </c>
      <c r="E9500">
        <v>21.8</v>
      </c>
      <c r="F9500">
        <v>75</v>
      </c>
    </row>
    <row r="9501" spans="1:6" x14ac:dyDescent="0.35">
      <c r="A9501">
        <v>1975</v>
      </c>
      <c r="B9501" s="1">
        <v>45920</v>
      </c>
      <c r="C9501" s="2">
        <v>0.79166666666666663</v>
      </c>
      <c r="D9501">
        <v>3</v>
      </c>
      <c r="E9501">
        <v>19.8</v>
      </c>
      <c r="F9501">
        <v>87</v>
      </c>
    </row>
    <row r="9502" spans="1:6" x14ac:dyDescent="0.35">
      <c r="A9502">
        <v>1975</v>
      </c>
      <c r="B9502" s="1">
        <v>45920</v>
      </c>
      <c r="C9502" s="2">
        <v>0.83333333333333337</v>
      </c>
      <c r="D9502">
        <v>3</v>
      </c>
      <c r="E9502">
        <v>19.399999999999999</v>
      </c>
      <c r="F9502">
        <v>92</v>
      </c>
    </row>
    <row r="9503" spans="1:6" x14ac:dyDescent="0.35">
      <c r="A9503">
        <v>1975</v>
      </c>
      <c r="B9503" s="1">
        <v>45920</v>
      </c>
      <c r="C9503" s="2">
        <v>0.875</v>
      </c>
      <c r="D9503">
        <v>3</v>
      </c>
      <c r="E9503">
        <v>19.899999999999999</v>
      </c>
      <c r="F9503">
        <v>85</v>
      </c>
    </row>
    <row r="9504" spans="1:6" x14ac:dyDescent="0.35">
      <c r="A9504">
        <v>1975</v>
      </c>
      <c r="B9504" s="1">
        <v>45920</v>
      </c>
      <c r="C9504" s="2">
        <v>0.91666666666666663</v>
      </c>
      <c r="D9504">
        <v>3</v>
      </c>
      <c r="E9504">
        <v>19.2</v>
      </c>
      <c r="F9504">
        <v>88</v>
      </c>
    </row>
    <row r="9505" spans="1:6" x14ac:dyDescent="0.35">
      <c r="A9505">
        <v>1975</v>
      </c>
      <c r="B9505" s="1">
        <v>45920</v>
      </c>
      <c r="C9505" s="2">
        <v>0.95833333333333337</v>
      </c>
      <c r="D9505">
        <v>3</v>
      </c>
      <c r="E9505">
        <v>19.100000000000001</v>
      </c>
      <c r="F9505">
        <v>88</v>
      </c>
    </row>
    <row r="9506" spans="1:6" x14ac:dyDescent="0.35">
      <c r="A9506">
        <v>1975</v>
      </c>
      <c r="B9506" s="1">
        <v>45921</v>
      </c>
      <c r="C9506" s="2">
        <v>0</v>
      </c>
      <c r="D9506">
        <v>3</v>
      </c>
      <c r="E9506">
        <v>18.7</v>
      </c>
      <c r="F9506">
        <v>91</v>
      </c>
    </row>
    <row r="9507" spans="1:6" x14ac:dyDescent="0.35">
      <c r="A9507">
        <v>1975</v>
      </c>
      <c r="B9507" s="1">
        <v>45921</v>
      </c>
      <c r="C9507" s="2">
        <v>4.1666666666666657E-2</v>
      </c>
      <c r="D9507">
        <v>3</v>
      </c>
      <c r="E9507">
        <v>18.399999999999999</v>
      </c>
      <c r="F9507">
        <v>92</v>
      </c>
    </row>
    <row r="9508" spans="1:6" x14ac:dyDescent="0.35">
      <c r="A9508">
        <v>1975</v>
      </c>
      <c r="B9508" s="1">
        <v>45921</v>
      </c>
      <c r="C9508" s="2">
        <v>8.3333333333333329E-2</v>
      </c>
      <c r="D9508">
        <v>3</v>
      </c>
      <c r="E9508">
        <v>19.8</v>
      </c>
      <c r="F9508">
        <v>83</v>
      </c>
    </row>
    <row r="9509" spans="1:6" x14ac:dyDescent="0.35">
      <c r="A9509">
        <v>1975</v>
      </c>
      <c r="B9509" s="1">
        <v>45921</v>
      </c>
      <c r="C9509" s="2">
        <v>0.125</v>
      </c>
      <c r="D9509">
        <v>3</v>
      </c>
      <c r="E9509">
        <v>19.399999999999999</v>
      </c>
      <c r="F9509">
        <v>83</v>
      </c>
    </row>
    <row r="9510" spans="1:6" x14ac:dyDescent="0.35">
      <c r="A9510">
        <v>1975</v>
      </c>
      <c r="B9510" s="1">
        <v>45921</v>
      </c>
      <c r="C9510" s="2">
        <v>0.16666666666666671</v>
      </c>
      <c r="D9510">
        <v>3</v>
      </c>
      <c r="E9510">
        <v>19.8</v>
      </c>
      <c r="F9510">
        <v>82</v>
      </c>
    </row>
    <row r="9511" spans="1:6" x14ac:dyDescent="0.35">
      <c r="A9511">
        <v>1975</v>
      </c>
      <c r="B9511" s="1">
        <v>45921</v>
      </c>
      <c r="C9511" s="2">
        <v>0.20833333333333329</v>
      </c>
      <c r="D9511">
        <v>3</v>
      </c>
      <c r="E9511">
        <v>19.7</v>
      </c>
      <c r="F9511">
        <v>83</v>
      </c>
    </row>
    <row r="9512" spans="1:6" x14ac:dyDescent="0.35">
      <c r="A9512">
        <v>1975</v>
      </c>
      <c r="B9512" s="1">
        <v>45921</v>
      </c>
      <c r="C9512" s="2">
        <v>0.25</v>
      </c>
      <c r="D9512">
        <v>3</v>
      </c>
      <c r="E9512">
        <v>20.100000000000001</v>
      </c>
      <c r="F9512">
        <v>81</v>
      </c>
    </row>
    <row r="9513" spans="1:6" x14ac:dyDescent="0.35">
      <c r="A9513">
        <v>1975</v>
      </c>
      <c r="B9513" s="1">
        <v>45921</v>
      </c>
      <c r="C9513" s="2">
        <v>0.29166666666666669</v>
      </c>
      <c r="D9513">
        <v>3</v>
      </c>
      <c r="E9513">
        <v>20.3</v>
      </c>
      <c r="F9513">
        <v>81</v>
      </c>
    </row>
    <row r="9514" spans="1:6" x14ac:dyDescent="0.35">
      <c r="A9514">
        <v>1975</v>
      </c>
      <c r="B9514" s="1">
        <v>45921</v>
      </c>
      <c r="C9514" s="2">
        <v>0.33333333333333331</v>
      </c>
      <c r="D9514">
        <v>3</v>
      </c>
      <c r="E9514">
        <v>20.100000000000001</v>
      </c>
      <c r="F9514">
        <v>78</v>
      </c>
    </row>
    <row r="9515" spans="1:6" x14ac:dyDescent="0.35">
      <c r="A9515">
        <v>1975</v>
      </c>
      <c r="B9515" s="1">
        <v>45921</v>
      </c>
      <c r="C9515" s="2">
        <v>0.375</v>
      </c>
      <c r="D9515">
        <v>3</v>
      </c>
      <c r="E9515">
        <v>18.7</v>
      </c>
      <c r="F9515">
        <v>63</v>
      </c>
    </row>
    <row r="9516" spans="1:6" x14ac:dyDescent="0.35">
      <c r="A9516">
        <v>1975</v>
      </c>
      <c r="B9516" s="1">
        <v>45921</v>
      </c>
      <c r="C9516" s="2">
        <v>0.41666666666666669</v>
      </c>
      <c r="D9516">
        <v>3</v>
      </c>
      <c r="E9516">
        <v>17.899999999999999</v>
      </c>
      <c r="F9516">
        <v>68</v>
      </c>
    </row>
    <row r="9517" spans="1:6" x14ac:dyDescent="0.35">
      <c r="A9517">
        <v>1975</v>
      </c>
      <c r="B9517" s="1">
        <v>45921</v>
      </c>
      <c r="C9517" s="2">
        <v>0.45833333333333331</v>
      </c>
      <c r="D9517">
        <v>3</v>
      </c>
      <c r="E9517">
        <v>17.3</v>
      </c>
      <c r="F9517">
        <v>67</v>
      </c>
    </row>
    <row r="9518" spans="1:6" x14ac:dyDescent="0.35">
      <c r="A9518">
        <v>1975</v>
      </c>
      <c r="B9518" s="1">
        <v>45921</v>
      </c>
      <c r="C9518" s="2">
        <v>0.5</v>
      </c>
      <c r="D9518">
        <v>3</v>
      </c>
      <c r="E9518">
        <v>18.7</v>
      </c>
      <c r="F9518">
        <v>60</v>
      </c>
    </row>
    <row r="9519" spans="1:6" x14ac:dyDescent="0.35">
      <c r="A9519">
        <v>1975</v>
      </c>
      <c r="B9519" s="1">
        <v>45921</v>
      </c>
      <c r="C9519" s="2">
        <v>0.54166666666666663</v>
      </c>
      <c r="D9519">
        <v>3</v>
      </c>
      <c r="E9519">
        <v>17.899999999999999</v>
      </c>
      <c r="F9519">
        <v>61</v>
      </c>
    </row>
    <row r="9520" spans="1:6" x14ac:dyDescent="0.35">
      <c r="A9520">
        <v>1975</v>
      </c>
      <c r="B9520" s="1">
        <v>45921</v>
      </c>
      <c r="C9520" s="2">
        <v>0.58333333333333337</v>
      </c>
      <c r="D9520">
        <v>3</v>
      </c>
      <c r="E9520">
        <v>17.3</v>
      </c>
      <c r="F9520">
        <v>68</v>
      </c>
    </row>
    <row r="9521" spans="1:6" x14ac:dyDescent="0.35">
      <c r="A9521">
        <v>1975</v>
      </c>
      <c r="B9521" s="1">
        <v>45921</v>
      </c>
      <c r="C9521" s="2">
        <v>0.625</v>
      </c>
      <c r="D9521">
        <v>3</v>
      </c>
      <c r="E9521">
        <v>14.6</v>
      </c>
      <c r="F9521">
        <v>90</v>
      </c>
    </row>
    <row r="9522" spans="1:6" x14ac:dyDescent="0.35">
      <c r="A9522">
        <v>1975</v>
      </c>
      <c r="B9522" s="1">
        <v>45921</v>
      </c>
      <c r="C9522" s="2">
        <v>0.66666666666666663</v>
      </c>
      <c r="D9522">
        <v>3</v>
      </c>
      <c r="E9522">
        <v>13.6</v>
      </c>
      <c r="F9522">
        <v>86</v>
      </c>
    </row>
    <row r="9523" spans="1:6" x14ac:dyDescent="0.35">
      <c r="A9523">
        <v>1975</v>
      </c>
      <c r="B9523" s="1">
        <v>45921</v>
      </c>
      <c r="C9523" s="2">
        <v>0.70833333333333337</v>
      </c>
      <c r="D9523">
        <v>3</v>
      </c>
      <c r="E9523">
        <v>12.9</v>
      </c>
      <c r="F9523">
        <v>86</v>
      </c>
    </row>
    <row r="9524" spans="1:6" x14ac:dyDescent="0.35">
      <c r="A9524">
        <v>1975</v>
      </c>
      <c r="B9524" s="1">
        <v>45921</v>
      </c>
      <c r="C9524" s="2">
        <v>0.75</v>
      </c>
      <c r="D9524">
        <v>3</v>
      </c>
      <c r="E9524">
        <v>12</v>
      </c>
      <c r="F9524">
        <v>94</v>
      </c>
    </row>
    <row r="9525" spans="1:6" x14ac:dyDescent="0.35">
      <c r="A9525">
        <v>1975</v>
      </c>
      <c r="B9525" s="1">
        <v>45921</v>
      </c>
      <c r="C9525" s="2">
        <v>0.79166666666666663</v>
      </c>
      <c r="D9525">
        <v>3</v>
      </c>
      <c r="E9525">
        <v>11.5</v>
      </c>
      <c r="F9525">
        <v>97</v>
      </c>
    </row>
    <row r="9526" spans="1:6" x14ac:dyDescent="0.35">
      <c r="A9526">
        <v>1975</v>
      </c>
      <c r="B9526" s="1">
        <v>45921</v>
      </c>
      <c r="C9526" s="2">
        <v>0.83333333333333337</v>
      </c>
      <c r="D9526">
        <v>3</v>
      </c>
      <c r="E9526">
        <v>11.3</v>
      </c>
      <c r="F9526">
        <v>90</v>
      </c>
    </row>
    <row r="9527" spans="1:6" x14ac:dyDescent="0.35">
      <c r="A9527">
        <v>1975</v>
      </c>
      <c r="B9527" s="1">
        <v>45921</v>
      </c>
      <c r="C9527" s="2">
        <v>0.875</v>
      </c>
      <c r="D9527">
        <v>3</v>
      </c>
      <c r="E9527">
        <v>10.3</v>
      </c>
      <c r="F9527">
        <v>94</v>
      </c>
    </row>
    <row r="9528" spans="1:6" x14ac:dyDescent="0.35">
      <c r="A9528">
        <v>1975</v>
      </c>
      <c r="B9528" s="1">
        <v>45921</v>
      </c>
      <c r="C9528" s="2">
        <v>0.91666666666666663</v>
      </c>
      <c r="D9528">
        <v>3</v>
      </c>
      <c r="E9528">
        <v>10.7</v>
      </c>
      <c r="F9528">
        <v>91</v>
      </c>
    </row>
    <row r="9529" spans="1:6" x14ac:dyDescent="0.35">
      <c r="A9529">
        <v>1975</v>
      </c>
      <c r="B9529" s="1">
        <v>45921</v>
      </c>
      <c r="C9529" s="2">
        <v>0.95833333333333337</v>
      </c>
      <c r="D9529">
        <v>3</v>
      </c>
      <c r="E9529">
        <v>10.4</v>
      </c>
      <c r="F9529">
        <v>91</v>
      </c>
    </row>
    <row r="9530" spans="1:6" x14ac:dyDescent="0.35">
      <c r="A9530">
        <v>1975</v>
      </c>
      <c r="B9530" s="1">
        <v>45922</v>
      </c>
      <c r="C9530" s="2">
        <v>0</v>
      </c>
      <c r="D9530">
        <v>3</v>
      </c>
      <c r="E9530">
        <v>10</v>
      </c>
      <c r="F9530">
        <v>90</v>
      </c>
    </row>
    <row r="9531" spans="1:6" x14ac:dyDescent="0.35">
      <c r="A9531">
        <v>1975</v>
      </c>
      <c r="B9531" s="1">
        <v>45922</v>
      </c>
      <c r="C9531" s="2">
        <v>4.1666666666666657E-2</v>
      </c>
      <c r="D9531">
        <v>3</v>
      </c>
      <c r="E9531">
        <v>9.5</v>
      </c>
      <c r="F9531">
        <v>93</v>
      </c>
    </row>
    <row r="9532" spans="1:6" x14ac:dyDescent="0.35">
      <c r="A9532">
        <v>1975</v>
      </c>
      <c r="B9532" s="1">
        <v>45922</v>
      </c>
      <c r="C9532" s="2">
        <v>8.3333333333333329E-2</v>
      </c>
      <c r="D9532">
        <v>3</v>
      </c>
      <c r="E9532">
        <v>7.9</v>
      </c>
      <c r="F9532">
        <v>95</v>
      </c>
    </row>
    <row r="9533" spans="1:6" x14ac:dyDescent="0.35">
      <c r="A9533">
        <v>1975</v>
      </c>
      <c r="B9533" s="1">
        <v>45922</v>
      </c>
      <c r="C9533" s="2">
        <v>0.125</v>
      </c>
      <c r="D9533">
        <v>3</v>
      </c>
      <c r="E9533">
        <v>7.5</v>
      </c>
      <c r="F9533">
        <v>100</v>
      </c>
    </row>
    <row r="9534" spans="1:6" x14ac:dyDescent="0.35">
      <c r="A9534">
        <v>1975</v>
      </c>
      <c r="B9534" s="1">
        <v>45922</v>
      </c>
      <c r="C9534" s="2">
        <v>0.16666666666666671</v>
      </c>
      <c r="D9534">
        <v>3</v>
      </c>
      <c r="E9534">
        <v>7</v>
      </c>
      <c r="F9534">
        <v>100</v>
      </c>
    </row>
    <row r="9535" spans="1:6" x14ac:dyDescent="0.35">
      <c r="A9535">
        <v>1975</v>
      </c>
      <c r="B9535" s="1">
        <v>45922</v>
      </c>
      <c r="C9535" s="2">
        <v>0.20833333333333329</v>
      </c>
      <c r="D9535">
        <v>3</v>
      </c>
      <c r="E9535">
        <v>6.3</v>
      </c>
      <c r="F9535">
        <v>100</v>
      </c>
    </row>
    <row r="9536" spans="1:6" x14ac:dyDescent="0.35">
      <c r="A9536">
        <v>1975</v>
      </c>
      <c r="B9536" s="1">
        <v>45922</v>
      </c>
      <c r="C9536" s="2">
        <v>0.25</v>
      </c>
      <c r="D9536">
        <v>3</v>
      </c>
      <c r="E9536">
        <v>6.6</v>
      </c>
      <c r="F9536">
        <v>100</v>
      </c>
    </row>
    <row r="9537" spans="1:6" x14ac:dyDescent="0.35">
      <c r="A9537">
        <v>1975</v>
      </c>
      <c r="B9537" s="1">
        <v>45922</v>
      </c>
      <c r="C9537" s="2">
        <v>0.29166666666666669</v>
      </c>
      <c r="D9537">
        <v>3</v>
      </c>
      <c r="E9537">
        <v>8.6</v>
      </c>
      <c r="F9537">
        <v>93</v>
      </c>
    </row>
    <row r="9538" spans="1:6" x14ac:dyDescent="0.35">
      <c r="A9538">
        <v>1975</v>
      </c>
      <c r="B9538" s="1">
        <v>45922</v>
      </c>
      <c r="C9538" s="2">
        <v>0.33333333333333331</v>
      </c>
      <c r="D9538">
        <v>3</v>
      </c>
      <c r="E9538">
        <v>12.5</v>
      </c>
      <c r="F9538">
        <v>73</v>
      </c>
    </row>
    <row r="9539" spans="1:6" x14ac:dyDescent="0.35">
      <c r="A9539">
        <v>1975</v>
      </c>
      <c r="B9539" s="1">
        <v>45922</v>
      </c>
      <c r="C9539" s="2">
        <v>0.375</v>
      </c>
      <c r="D9539">
        <v>3</v>
      </c>
      <c r="E9539">
        <v>13</v>
      </c>
      <c r="F9539">
        <v>72</v>
      </c>
    </row>
    <row r="9540" spans="1:6" x14ac:dyDescent="0.35">
      <c r="A9540">
        <v>1975</v>
      </c>
      <c r="B9540" s="1">
        <v>45922</v>
      </c>
      <c r="C9540" s="2">
        <v>0.41666666666666669</v>
      </c>
      <c r="D9540">
        <v>3</v>
      </c>
      <c r="E9540">
        <v>14</v>
      </c>
      <c r="F9540">
        <v>62</v>
      </c>
    </row>
    <row r="9541" spans="1:6" x14ac:dyDescent="0.35">
      <c r="A9541">
        <v>1975</v>
      </c>
      <c r="B9541" s="1">
        <v>45922</v>
      </c>
      <c r="C9541" s="2">
        <v>0.45833333333333331</v>
      </c>
      <c r="D9541">
        <v>3</v>
      </c>
      <c r="E9541">
        <v>14.4</v>
      </c>
      <c r="F9541">
        <v>59</v>
      </c>
    </row>
    <row r="9542" spans="1:6" x14ac:dyDescent="0.35">
      <c r="A9542">
        <v>1975</v>
      </c>
      <c r="B9542" s="1">
        <v>45922</v>
      </c>
      <c r="C9542" s="2">
        <v>0.5</v>
      </c>
      <c r="D9542">
        <v>3</v>
      </c>
      <c r="E9542">
        <v>14.6</v>
      </c>
      <c r="F9542">
        <v>55</v>
      </c>
    </row>
    <row r="9543" spans="1:6" x14ac:dyDescent="0.35">
      <c r="A9543">
        <v>1975</v>
      </c>
      <c r="B9543" s="1">
        <v>45922</v>
      </c>
      <c r="C9543" s="2">
        <v>0.54166666666666663</v>
      </c>
      <c r="D9543">
        <v>3</v>
      </c>
      <c r="E9543">
        <v>14.8</v>
      </c>
      <c r="F9543">
        <v>52</v>
      </c>
    </row>
    <row r="9544" spans="1:6" x14ac:dyDescent="0.35">
      <c r="A9544">
        <v>1975</v>
      </c>
      <c r="B9544" s="1">
        <v>45922</v>
      </c>
      <c r="C9544" s="2">
        <v>0.58333333333333337</v>
      </c>
      <c r="D9544">
        <v>3</v>
      </c>
      <c r="E9544">
        <v>14.3</v>
      </c>
      <c r="F9544">
        <v>55</v>
      </c>
    </row>
    <row r="9545" spans="1:6" x14ac:dyDescent="0.35">
      <c r="A9545">
        <v>1975</v>
      </c>
      <c r="B9545" s="1">
        <v>45922</v>
      </c>
      <c r="C9545" s="2">
        <v>0.625</v>
      </c>
      <c r="D9545">
        <v>3</v>
      </c>
      <c r="E9545">
        <v>14.3</v>
      </c>
      <c r="F9545">
        <v>55</v>
      </c>
    </row>
    <row r="9546" spans="1:6" x14ac:dyDescent="0.35">
      <c r="A9546">
        <v>1975</v>
      </c>
      <c r="B9546" s="1">
        <v>45922</v>
      </c>
      <c r="C9546" s="2">
        <v>0.66666666666666663</v>
      </c>
      <c r="D9546">
        <v>3</v>
      </c>
      <c r="E9546">
        <v>13.4</v>
      </c>
      <c r="F9546">
        <v>63</v>
      </c>
    </row>
    <row r="9547" spans="1:6" x14ac:dyDescent="0.35">
      <c r="A9547">
        <v>1975</v>
      </c>
      <c r="B9547" s="1">
        <v>45922</v>
      </c>
      <c r="C9547" s="2">
        <v>0.70833333333333337</v>
      </c>
      <c r="D9547">
        <v>3</v>
      </c>
      <c r="E9547">
        <v>12.3</v>
      </c>
      <c r="F9547">
        <v>65</v>
      </c>
    </row>
    <row r="9548" spans="1:6" x14ac:dyDescent="0.35">
      <c r="A9548">
        <v>1975</v>
      </c>
      <c r="B9548" s="1">
        <v>45922</v>
      </c>
      <c r="C9548" s="2">
        <v>0.75</v>
      </c>
      <c r="D9548">
        <v>3</v>
      </c>
      <c r="E9548">
        <v>9.5</v>
      </c>
      <c r="F9548">
        <v>85</v>
      </c>
    </row>
    <row r="9549" spans="1:6" x14ac:dyDescent="0.35">
      <c r="A9549">
        <v>1975</v>
      </c>
      <c r="B9549" s="1">
        <v>45922</v>
      </c>
      <c r="C9549" s="2">
        <v>0.79166666666666663</v>
      </c>
      <c r="D9549">
        <v>3</v>
      </c>
      <c r="E9549">
        <v>8.3000000000000007</v>
      </c>
      <c r="F9549">
        <v>92</v>
      </c>
    </row>
    <row r="9550" spans="1:6" x14ac:dyDescent="0.35">
      <c r="A9550">
        <v>1975</v>
      </c>
      <c r="B9550" s="1">
        <v>45922</v>
      </c>
      <c r="C9550" s="2">
        <v>0.83333333333333337</v>
      </c>
      <c r="D9550">
        <v>3</v>
      </c>
      <c r="E9550">
        <v>7.5</v>
      </c>
      <c r="F9550">
        <v>97</v>
      </c>
    </row>
    <row r="9551" spans="1:6" x14ac:dyDescent="0.35">
      <c r="A9551">
        <v>1975</v>
      </c>
      <c r="B9551" s="1">
        <v>45922</v>
      </c>
      <c r="C9551" s="2">
        <v>0.875</v>
      </c>
      <c r="D9551">
        <v>3</v>
      </c>
      <c r="E9551">
        <v>7.1</v>
      </c>
      <c r="F9551">
        <v>97</v>
      </c>
    </row>
    <row r="9552" spans="1:6" x14ac:dyDescent="0.35">
      <c r="A9552">
        <v>1975</v>
      </c>
      <c r="B9552" s="1">
        <v>45922</v>
      </c>
      <c r="C9552" s="2">
        <v>0.91666666666666663</v>
      </c>
      <c r="D9552">
        <v>3</v>
      </c>
      <c r="E9552">
        <v>6.6</v>
      </c>
      <c r="F9552">
        <v>100</v>
      </c>
    </row>
    <row r="9553" spans="1:6" x14ac:dyDescent="0.35">
      <c r="A9553">
        <v>1975</v>
      </c>
      <c r="B9553" s="1">
        <v>45922</v>
      </c>
      <c r="C9553" s="2">
        <v>0.95833333333333337</v>
      </c>
      <c r="D9553">
        <v>3</v>
      </c>
      <c r="E9553">
        <v>6.5</v>
      </c>
      <c r="F9553">
        <v>100</v>
      </c>
    </row>
    <row r="9554" spans="1:6" x14ac:dyDescent="0.35">
      <c r="A9554">
        <v>1975</v>
      </c>
      <c r="B9554" s="1">
        <v>45923</v>
      </c>
      <c r="C9554" s="2">
        <v>0</v>
      </c>
      <c r="D9554">
        <v>3</v>
      </c>
      <c r="E9554">
        <v>6.2</v>
      </c>
      <c r="F9554">
        <v>98</v>
      </c>
    </row>
    <row r="9555" spans="1:6" x14ac:dyDescent="0.35">
      <c r="A9555">
        <v>1975</v>
      </c>
      <c r="B9555" s="1">
        <v>45923</v>
      </c>
      <c r="C9555" s="2">
        <v>4.1666666666666657E-2</v>
      </c>
      <c r="D9555">
        <v>3</v>
      </c>
      <c r="E9555">
        <v>7.2</v>
      </c>
      <c r="F9555">
        <v>100</v>
      </c>
    </row>
    <row r="9556" spans="1:6" x14ac:dyDescent="0.35">
      <c r="A9556">
        <v>1975</v>
      </c>
      <c r="B9556" s="1">
        <v>45923</v>
      </c>
      <c r="C9556" s="2">
        <v>8.3333333333333329E-2</v>
      </c>
      <c r="D9556">
        <v>3</v>
      </c>
      <c r="E9556">
        <v>6</v>
      </c>
      <c r="F9556">
        <v>100</v>
      </c>
    </row>
    <row r="9557" spans="1:6" x14ac:dyDescent="0.35">
      <c r="A9557">
        <v>1975</v>
      </c>
      <c r="B9557" s="1">
        <v>45923</v>
      </c>
      <c r="C9557" s="2">
        <v>0.125</v>
      </c>
      <c r="D9557">
        <v>3</v>
      </c>
      <c r="E9557">
        <v>9.5</v>
      </c>
      <c r="F9557">
        <v>93</v>
      </c>
    </row>
    <row r="9558" spans="1:6" x14ac:dyDescent="0.35">
      <c r="A9558">
        <v>1975</v>
      </c>
      <c r="B9558" s="1">
        <v>45923</v>
      </c>
      <c r="C9558" s="2">
        <v>0.16666666666666671</v>
      </c>
      <c r="D9558">
        <v>3</v>
      </c>
      <c r="E9558">
        <v>7.4</v>
      </c>
      <c r="F9558">
        <v>100</v>
      </c>
    </row>
    <row r="9559" spans="1:6" x14ac:dyDescent="0.35">
      <c r="A9559">
        <v>1975</v>
      </c>
      <c r="B9559" s="1">
        <v>45923</v>
      </c>
      <c r="C9559" s="2">
        <v>0.20833333333333329</v>
      </c>
      <c r="D9559">
        <v>3</v>
      </c>
      <c r="E9559">
        <v>7.5</v>
      </c>
      <c r="F9559">
        <v>100</v>
      </c>
    </row>
    <row r="9560" spans="1:6" x14ac:dyDescent="0.35">
      <c r="A9560">
        <v>1975</v>
      </c>
      <c r="B9560" s="1">
        <v>45923</v>
      </c>
      <c r="C9560" s="2">
        <v>0.25</v>
      </c>
      <c r="D9560">
        <v>3</v>
      </c>
      <c r="E9560">
        <v>6.8</v>
      </c>
      <c r="F9560">
        <v>99</v>
      </c>
    </row>
    <row r="9561" spans="1:6" x14ac:dyDescent="0.35">
      <c r="A9561">
        <v>1975</v>
      </c>
      <c r="B9561" s="1">
        <v>45923</v>
      </c>
      <c r="C9561" s="2">
        <v>0.29166666666666669</v>
      </c>
      <c r="D9561">
        <v>3</v>
      </c>
      <c r="E9561">
        <v>10</v>
      </c>
      <c r="F9561">
        <v>90</v>
      </c>
    </row>
    <row r="9562" spans="1:6" x14ac:dyDescent="0.35">
      <c r="A9562">
        <v>1975</v>
      </c>
      <c r="B9562" s="1">
        <v>45923</v>
      </c>
      <c r="C9562" s="2">
        <v>0.33333333333333331</v>
      </c>
      <c r="D9562">
        <v>3</v>
      </c>
      <c r="E9562">
        <v>12.3</v>
      </c>
      <c r="F9562">
        <v>82</v>
      </c>
    </row>
    <row r="9563" spans="1:6" x14ac:dyDescent="0.35">
      <c r="A9563">
        <v>1975</v>
      </c>
      <c r="B9563" s="1">
        <v>45923</v>
      </c>
      <c r="C9563" s="2">
        <v>0.375</v>
      </c>
      <c r="D9563">
        <v>3</v>
      </c>
      <c r="E9563">
        <v>13.6</v>
      </c>
      <c r="F9563">
        <v>71</v>
      </c>
    </row>
    <row r="9564" spans="1:6" x14ac:dyDescent="0.35">
      <c r="A9564">
        <v>1975</v>
      </c>
      <c r="B9564" s="1">
        <v>45923</v>
      </c>
      <c r="C9564" s="2">
        <v>0.41666666666666669</v>
      </c>
      <c r="D9564">
        <v>3</v>
      </c>
      <c r="E9564">
        <v>13.7</v>
      </c>
      <c r="F9564">
        <v>61</v>
      </c>
    </row>
    <row r="9565" spans="1:6" x14ac:dyDescent="0.35">
      <c r="A9565">
        <v>1975</v>
      </c>
      <c r="B9565" s="1">
        <v>45923</v>
      </c>
      <c r="C9565" s="2">
        <v>0.45833333333333331</v>
      </c>
      <c r="D9565">
        <v>3</v>
      </c>
      <c r="E9565">
        <v>14.6</v>
      </c>
      <c r="F9565">
        <v>58</v>
      </c>
    </row>
    <row r="9566" spans="1:6" x14ac:dyDescent="0.35">
      <c r="A9566">
        <v>1975</v>
      </c>
      <c r="B9566" s="1">
        <v>45923</v>
      </c>
      <c r="C9566" s="2">
        <v>0.5</v>
      </c>
      <c r="D9566">
        <v>3</v>
      </c>
      <c r="E9566">
        <v>14.6</v>
      </c>
      <c r="F9566">
        <v>54</v>
      </c>
    </row>
    <row r="9567" spans="1:6" x14ac:dyDescent="0.35">
      <c r="A9567">
        <v>1975</v>
      </c>
      <c r="B9567" s="1">
        <v>45923</v>
      </c>
      <c r="C9567" s="2">
        <v>0.54166666666666663</v>
      </c>
      <c r="D9567">
        <v>3</v>
      </c>
      <c r="E9567">
        <v>16.3</v>
      </c>
      <c r="F9567">
        <v>50</v>
      </c>
    </row>
    <row r="9568" spans="1:6" x14ac:dyDescent="0.35">
      <c r="A9568">
        <v>1975</v>
      </c>
      <c r="B9568" s="1">
        <v>45923</v>
      </c>
      <c r="C9568" s="2">
        <v>0.58333333333333337</v>
      </c>
      <c r="D9568">
        <v>3</v>
      </c>
      <c r="E9568">
        <v>14.9</v>
      </c>
      <c r="F9568">
        <v>53</v>
      </c>
    </row>
    <row r="9569" spans="1:6" x14ac:dyDescent="0.35">
      <c r="A9569">
        <v>1975</v>
      </c>
      <c r="B9569" s="1">
        <v>45923</v>
      </c>
      <c r="C9569" s="2">
        <v>0.625</v>
      </c>
      <c r="D9569">
        <v>3</v>
      </c>
      <c r="E9569">
        <v>15</v>
      </c>
      <c r="F9569">
        <v>56</v>
      </c>
    </row>
    <row r="9570" spans="1:6" x14ac:dyDescent="0.35">
      <c r="A9570">
        <v>1975</v>
      </c>
      <c r="B9570" s="1">
        <v>45923</v>
      </c>
      <c r="C9570" s="2">
        <v>0.66666666666666663</v>
      </c>
      <c r="D9570">
        <v>3</v>
      </c>
      <c r="E9570">
        <v>14.9</v>
      </c>
      <c r="F9570">
        <v>53</v>
      </c>
    </row>
    <row r="9571" spans="1:6" x14ac:dyDescent="0.35">
      <c r="A9571">
        <v>1975</v>
      </c>
      <c r="B9571" s="1">
        <v>45923</v>
      </c>
      <c r="C9571" s="2">
        <v>0.70833333333333337</v>
      </c>
      <c r="D9571">
        <v>3</v>
      </c>
      <c r="E9571">
        <v>13.9</v>
      </c>
      <c r="F9571">
        <v>57</v>
      </c>
    </row>
    <row r="9572" spans="1:6" x14ac:dyDescent="0.35">
      <c r="A9572">
        <v>1975</v>
      </c>
      <c r="B9572" s="1">
        <v>45923</v>
      </c>
      <c r="C9572" s="2">
        <v>0.75</v>
      </c>
      <c r="D9572">
        <v>3</v>
      </c>
      <c r="E9572">
        <v>12</v>
      </c>
      <c r="F9572">
        <v>65</v>
      </c>
    </row>
    <row r="9573" spans="1:6" x14ac:dyDescent="0.35">
      <c r="A9573">
        <v>1975</v>
      </c>
      <c r="B9573" s="1">
        <v>45923</v>
      </c>
      <c r="C9573" s="2">
        <v>0.79166666666666663</v>
      </c>
      <c r="D9573">
        <v>3</v>
      </c>
      <c r="E9573">
        <v>10.5</v>
      </c>
      <c r="F9573">
        <v>71</v>
      </c>
    </row>
    <row r="9574" spans="1:6" x14ac:dyDescent="0.35">
      <c r="A9574">
        <v>1975</v>
      </c>
      <c r="B9574" s="1">
        <v>45923</v>
      </c>
      <c r="C9574" s="2">
        <v>0.83333333333333337</v>
      </c>
      <c r="D9574">
        <v>3</v>
      </c>
      <c r="E9574">
        <v>9</v>
      </c>
      <c r="F9574">
        <v>79</v>
      </c>
    </row>
    <row r="9575" spans="1:6" x14ac:dyDescent="0.35">
      <c r="A9575">
        <v>1975</v>
      </c>
      <c r="B9575" s="1">
        <v>45923</v>
      </c>
      <c r="C9575" s="2">
        <v>0.875</v>
      </c>
      <c r="D9575">
        <v>3</v>
      </c>
      <c r="E9575">
        <v>7.6</v>
      </c>
      <c r="F9575">
        <v>91</v>
      </c>
    </row>
    <row r="9576" spans="1:6" x14ac:dyDescent="0.35">
      <c r="A9576">
        <v>1975</v>
      </c>
      <c r="B9576" s="1">
        <v>45923</v>
      </c>
      <c r="C9576" s="2">
        <v>0.91666666666666663</v>
      </c>
      <c r="D9576">
        <v>3</v>
      </c>
      <c r="E9576">
        <v>7.4</v>
      </c>
      <c r="F9576">
        <v>89</v>
      </c>
    </row>
    <row r="9577" spans="1:6" x14ac:dyDescent="0.35">
      <c r="A9577">
        <v>1975</v>
      </c>
      <c r="B9577" s="1">
        <v>45923</v>
      </c>
      <c r="C9577" s="2">
        <v>0.95833333333333337</v>
      </c>
      <c r="D9577">
        <v>3</v>
      </c>
      <c r="E9577">
        <v>6.6</v>
      </c>
      <c r="F9577">
        <v>93</v>
      </c>
    </row>
    <row r="9578" spans="1:6" x14ac:dyDescent="0.35">
      <c r="A9578">
        <v>1975</v>
      </c>
      <c r="B9578" s="1">
        <v>45924</v>
      </c>
      <c r="C9578" s="2">
        <v>0</v>
      </c>
      <c r="D9578">
        <v>3</v>
      </c>
      <c r="E9578">
        <v>5.6</v>
      </c>
      <c r="F9578">
        <v>100</v>
      </c>
    </row>
    <row r="9579" spans="1:6" x14ac:dyDescent="0.35">
      <c r="A9579">
        <v>1975</v>
      </c>
      <c r="B9579" s="1">
        <v>45924</v>
      </c>
      <c r="C9579" s="2">
        <v>4.1666666666666657E-2</v>
      </c>
      <c r="D9579">
        <v>3</v>
      </c>
      <c r="E9579">
        <v>4.5</v>
      </c>
      <c r="F9579">
        <v>99</v>
      </c>
    </row>
    <row r="9580" spans="1:6" x14ac:dyDescent="0.35">
      <c r="A9580">
        <v>1975</v>
      </c>
      <c r="B9580" s="1">
        <v>45924</v>
      </c>
      <c r="C9580" s="2">
        <v>8.3333333333333329E-2</v>
      </c>
      <c r="D9580">
        <v>3</v>
      </c>
      <c r="E9580">
        <v>4.9000000000000004</v>
      </c>
      <c r="F9580">
        <v>100</v>
      </c>
    </row>
    <row r="9581" spans="1:6" x14ac:dyDescent="0.35">
      <c r="A9581">
        <v>1975</v>
      </c>
      <c r="B9581" s="1">
        <v>45924</v>
      </c>
      <c r="C9581" s="2">
        <v>0.125</v>
      </c>
      <c r="D9581">
        <v>3</v>
      </c>
      <c r="E9581">
        <v>4.4000000000000004</v>
      </c>
      <c r="F9581">
        <v>100</v>
      </c>
    </row>
    <row r="9582" spans="1:6" x14ac:dyDescent="0.35">
      <c r="A9582">
        <v>1975</v>
      </c>
      <c r="B9582" s="1">
        <v>45924</v>
      </c>
      <c r="C9582" s="2">
        <v>0.16666666666666671</v>
      </c>
      <c r="D9582">
        <v>3</v>
      </c>
      <c r="E9582">
        <v>4.8</v>
      </c>
      <c r="F9582">
        <v>100</v>
      </c>
    </row>
    <row r="9583" spans="1:6" x14ac:dyDescent="0.35">
      <c r="A9583">
        <v>1975</v>
      </c>
      <c r="B9583" s="1">
        <v>45924</v>
      </c>
      <c r="C9583" s="2">
        <v>0.20833333333333329</v>
      </c>
      <c r="D9583">
        <v>3</v>
      </c>
      <c r="E9583">
        <v>4.2</v>
      </c>
      <c r="F9583">
        <v>100</v>
      </c>
    </row>
    <row r="9584" spans="1:6" x14ac:dyDescent="0.35">
      <c r="A9584">
        <v>1975</v>
      </c>
      <c r="B9584" s="1">
        <v>45924</v>
      </c>
      <c r="C9584" s="2">
        <v>0.25</v>
      </c>
      <c r="D9584">
        <v>3</v>
      </c>
      <c r="E9584">
        <v>5.5</v>
      </c>
      <c r="F9584">
        <v>99</v>
      </c>
    </row>
    <row r="9585" spans="1:6" x14ac:dyDescent="0.35">
      <c r="A9585">
        <v>1975</v>
      </c>
      <c r="B9585" s="1">
        <v>45924</v>
      </c>
      <c r="C9585" s="2">
        <v>0.29166666666666669</v>
      </c>
      <c r="D9585">
        <v>3</v>
      </c>
      <c r="E9585">
        <v>9</v>
      </c>
      <c r="F9585">
        <v>85</v>
      </c>
    </row>
    <row r="9586" spans="1:6" x14ac:dyDescent="0.35">
      <c r="A9586">
        <v>1975</v>
      </c>
      <c r="B9586" s="1">
        <v>45924</v>
      </c>
      <c r="C9586" s="2">
        <v>0.33333333333333331</v>
      </c>
      <c r="D9586">
        <v>3</v>
      </c>
      <c r="E9586">
        <v>11.3</v>
      </c>
      <c r="F9586">
        <v>77</v>
      </c>
    </row>
    <row r="9587" spans="1:6" x14ac:dyDescent="0.35">
      <c r="A9587">
        <v>1975</v>
      </c>
      <c r="B9587" s="1">
        <v>45924</v>
      </c>
      <c r="C9587" s="2">
        <v>0.375</v>
      </c>
      <c r="D9587">
        <v>3</v>
      </c>
      <c r="E9587">
        <v>13.7</v>
      </c>
      <c r="F9587">
        <v>63</v>
      </c>
    </row>
    <row r="9588" spans="1:6" x14ac:dyDescent="0.35">
      <c r="A9588">
        <v>1975</v>
      </c>
      <c r="B9588" s="1">
        <v>45924</v>
      </c>
      <c r="C9588" s="2">
        <v>0.41666666666666669</v>
      </c>
      <c r="D9588">
        <v>3</v>
      </c>
      <c r="E9588">
        <v>14.8</v>
      </c>
      <c r="F9588">
        <v>56</v>
      </c>
    </row>
    <row r="9589" spans="1:6" x14ac:dyDescent="0.35">
      <c r="A9589">
        <v>1975</v>
      </c>
      <c r="B9589" s="1">
        <v>45924</v>
      </c>
      <c r="C9589" s="2">
        <v>0.45833333333333331</v>
      </c>
      <c r="D9589">
        <v>3</v>
      </c>
      <c r="E9589">
        <v>15.9</v>
      </c>
      <c r="F9589">
        <v>54</v>
      </c>
    </row>
    <row r="9590" spans="1:6" x14ac:dyDescent="0.35">
      <c r="A9590">
        <v>1975</v>
      </c>
      <c r="B9590" s="1">
        <v>45924</v>
      </c>
      <c r="C9590" s="2">
        <v>0.5</v>
      </c>
      <c r="D9590">
        <v>3</v>
      </c>
      <c r="E9590">
        <v>16.100000000000001</v>
      </c>
      <c r="F9590">
        <v>48</v>
      </c>
    </row>
    <row r="9591" spans="1:6" x14ac:dyDescent="0.35">
      <c r="A9591">
        <v>1975</v>
      </c>
      <c r="B9591" s="1">
        <v>45924</v>
      </c>
      <c r="C9591" s="2">
        <v>0.54166666666666663</v>
      </c>
      <c r="D9591">
        <v>3</v>
      </c>
      <c r="E9591">
        <v>16.8</v>
      </c>
      <c r="F9591">
        <v>49</v>
      </c>
    </row>
    <row r="9592" spans="1:6" x14ac:dyDescent="0.35">
      <c r="A9592">
        <v>1975</v>
      </c>
      <c r="B9592" s="1">
        <v>45924</v>
      </c>
      <c r="C9592" s="2">
        <v>0.58333333333333337</v>
      </c>
      <c r="D9592">
        <v>3</v>
      </c>
      <c r="E9592">
        <v>16.600000000000001</v>
      </c>
      <c r="F9592">
        <v>48</v>
      </c>
    </row>
    <row r="9593" spans="1:6" x14ac:dyDescent="0.35">
      <c r="A9593">
        <v>1975</v>
      </c>
      <c r="B9593" s="1">
        <v>45924</v>
      </c>
      <c r="C9593" s="2">
        <v>0.625</v>
      </c>
      <c r="D9593">
        <v>3</v>
      </c>
      <c r="E9593">
        <v>16.5</v>
      </c>
      <c r="F9593">
        <v>49</v>
      </c>
    </row>
    <row r="9594" spans="1:6" x14ac:dyDescent="0.35">
      <c r="A9594">
        <v>1975</v>
      </c>
      <c r="B9594" s="1">
        <v>45924</v>
      </c>
      <c r="C9594" s="2">
        <v>0.66666666666666663</v>
      </c>
      <c r="D9594">
        <v>3</v>
      </c>
      <c r="E9594">
        <v>15.5</v>
      </c>
      <c r="F9594">
        <v>58</v>
      </c>
    </row>
    <row r="9595" spans="1:6" x14ac:dyDescent="0.35">
      <c r="A9595">
        <v>1975</v>
      </c>
      <c r="B9595" s="1">
        <v>45924</v>
      </c>
      <c r="C9595" s="2">
        <v>0.70833333333333337</v>
      </c>
      <c r="D9595">
        <v>3</v>
      </c>
      <c r="E9595">
        <v>14.2</v>
      </c>
      <c r="F9595">
        <v>65</v>
      </c>
    </row>
    <row r="9596" spans="1:6" x14ac:dyDescent="0.35">
      <c r="A9596">
        <v>1975</v>
      </c>
      <c r="B9596" s="1">
        <v>45924</v>
      </c>
      <c r="C9596" s="2">
        <v>0.75</v>
      </c>
      <c r="D9596">
        <v>3</v>
      </c>
      <c r="E9596">
        <v>12.5</v>
      </c>
      <c r="F9596">
        <v>73</v>
      </c>
    </row>
    <row r="9597" spans="1:6" x14ac:dyDescent="0.35">
      <c r="A9597">
        <v>1975</v>
      </c>
      <c r="B9597" s="1">
        <v>45924</v>
      </c>
      <c r="C9597" s="2">
        <v>0.79166666666666663</v>
      </c>
      <c r="D9597">
        <v>3</v>
      </c>
      <c r="E9597">
        <v>11.5</v>
      </c>
      <c r="F9597">
        <v>71</v>
      </c>
    </row>
    <row r="9598" spans="1:6" x14ac:dyDescent="0.35">
      <c r="A9598">
        <v>1975</v>
      </c>
      <c r="B9598" s="1">
        <v>45924</v>
      </c>
      <c r="C9598" s="2">
        <v>0.83333333333333337</v>
      </c>
      <c r="D9598">
        <v>3</v>
      </c>
      <c r="E9598">
        <v>11.1</v>
      </c>
      <c r="F9598">
        <v>69</v>
      </c>
    </row>
    <row r="9599" spans="1:6" x14ac:dyDescent="0.35">
      <c r="A9599">
        <v>1975</v>
      </c>
      <c r="B9599" s="1">
        <v>45924</v>
      </c>
      <c r="C9599" s="2">
        <v>0.875</v>
      </c>
      <c r="D9599">
        <v>3</v>
      </c>
      <c r="E9599">
        <v>10.6</v>
      </c>
      <c r="F9599">
        <v>73</v>
      </c>
    </row>
    <row r="9600" spans="1:6" x14ac:dyDescent="0.35">
      <c r="A9600">
        <v>1975</v>
      </c>
      <c r="B9600" s="1">
        <v>45924</v>
      </c>
      <c r="C9600" s="2">
        <v>0.91666666666666663</v>
      </c>
      <c r="D9600">
        <v>3</v>
      </c>
      <c r="E9600">
        <v>9.9</v>
      </c>
      <c r="F9600">
        <v>76</v>
      </c>
    </row>
    <row r="9601" spans="1:6" x14ac:dyDescent="0.35">
      <c r="A9601">
        <v>1975</v>
      </c>
      <c r="B9601" s="1">
        <v>45924</v>
      </c>
      <c r="C9601" s="2">
        <v>0.95833333333333337</v>
      </c>
      <c r="D9601">
        <v>3</v>
      </c>
      <c r="E9601">
        <v>9.3000000000000007</v>
      </c>
      <c r="F9601">
        <v>79</v>
      </c>
    </row>
    <row r="9602" spans="1:6" x14ac:dyDescent="0.35">
      <c r="A9602">
        <v>1975</v>
      </c>
      <c r="B9602" s="1">
        <v>45925</v>
      </c>
      <c r="C9602" s="2">
        <v>0</v>
      </c>
      <c r="D9602">
        <v>3</v>
      </c>
      <c r="E9602">
        <v>9.1999999999999993</v>
      </c>
      <c r="F9602">
        <v>80</v>
      </c>
    </row>
    <row r="9603" spans="1:6" x14ac:dyDescent="0.35">
      <c r="A9603">
        <v>1975</v>
      </c>
      <c r="B9603" s="1">
        <v>45925</v>
      </c>
      <c r="C9603" s="2">
        <v>4.1666666666666657E-2</v>
      </c>
      <c r="D9603">
        <v>3</v>
      </c>
      <c r="E9603">
        <v>8.6</v>
      </c>
      <c r="F9603">
        <v>83</v>
      </c>
    </row>
    <row r="9604" spans="1:6" x14ac:dyDescent="0.35">
      <c r="A9604">
        <v>1975</v>
      </c>
      <c r="B9604" s="1">
        <v>45925</v>
      </c>
      <c r="C9604" s="2">
        <v>8.3333333333333329E-2</v>
      </c>
      <c r="D9604">
        <v>3</v>
      </c>
      <c r="E9604">
        <v>8.1</v>
      </c>
      <c r="F9604">
        <v>84</v>
      </c>
    </row>
    <row r="9605" spans="1:6" x14ac:dyDescent="0.35">
      <c r="A9605">
        <v>1975</v>
      </c>
      <c r="B9605" s="1">
        <v>45925</v>
      </c>
      <c r="C9605" s="2">
        <v>0.125</v>
      </c>
      <c r="D9605">
        <v>3</v>
      </c>
      <c r="E9605">
        <v>8.1</v>
      </c>
      <c r="F9605">
        <v>84</v>
      </c>
    </row>
    <row r="9606" spans="1:6" x14ac:dyDescent="0.35">
      <c r="A9606">
        <v>1975</v>
      </c>
      <c r="B9606" s="1">
        <v>45925</v>
      </c>
      <c r="C9606" s="2">
        <v>0.16666666666666671</v>
      </c>
      <c r="D9606">
        <v>3</v>
      </c>
      <c r="E9606">
        <v>7.5</v>
      </c>
      <c r="F9606">
        <v>84</v>
      </c>
    </row>
    <row r="9607" spans="1:6" x14ac:dyDescent="0.35">
      <c r="A9607">
        <v>1975</v>
      </c>
      <c r="B9607" s="1">
        <v>45925</v>
      </c>
      <c r="C9607" s="2">
        <v>0.20833333333333329</v>
      </c>
      <c r="D9607">
        <v>3</v>
      </c>
      <c r="E9607">
        <v>7.7</v>
      </c>
      <c r="F9607">
        <v>83</v>
      </c>
    </row>
    <row r="9608" spans="1:6" x14ac:dyDescent="0.35">
      <c r="A9608">
        <v>1975</v>
      </c>
      <c r="B9608" s="1">
        <v>45925</v>
      </c>
      <c r="C9608" s="2">
        <v>0.25</v>
      </c>
      <c r="D9608">
        <v>3</v>
      </c>
      <c r="E9608">
        <v>7.9</v>
      </c>
      <c r="F9608">
        <v>81</v>
      </c>
    </row>
    <row r="9609" spans="1:6" x14ac:dyDescent="0.35">
      <c r="A9609">
        <v>1975</v>
      </c>
      <c r="B9609" s="1">
        <v>45925</v>
      </c>
      <c r="C9609" s="2">
        <v>0.29166666666666669</v>
      </c>
      <c r="D9609">
        <v>3</v>
      </c>
      <c r="E9609">
        <v>10.199999999999999</v>
      </c>
      <c r="F9609">
        <v>73</v>
      </c>
    </row>
    <row r="9610" spans="1:6" x14ac:dyDescent="0.35">
      <c r="A9610">
        <v>1975</v>
      </c>
      <c r="B9610" s="1">
        <v>45925</v>
      </c>
      <c r="C9610" s="2">
        <v>0.33333333333333331</v>
      </c>
      <c r="D9610">
        <v>3</v>
      </c>
      <c r="E9610">
        <v>12.2</v>
      </c>
      <c r="F9610">
        <v>64</v>
      </c>
    </row>
    <row r="9611" spans="1:6" x14ac:dyDescent="0.35">
      <c r="A9611">
        <v>1975</v>
      </c>
      <c r="B9611" s="1">
        <v>45925</v>
      </c>
      <c r="C9611" s="2">
        <v>0.375</v>
      </c>
      <c r="D9611">
        <v>3</v>
      </c>
      <c r="E9611">
        <v>13.5</v>
      </c>
      <c r="F9611">
        <v>58</v>
      </c>
    </row>
    <row r="9612" spans="1:6" x14ac:dyDescent="0.35">
      <c r="A9612">
        <v>1975</v>
      </c>
      <c r="B9612" s="1">
        <v>45925</v>
      </c>
      <c r="C9612" s="2">
        <v>0.41666666666666669</v>
      </c>
      <c r="D9612">
        <v>3</v>
      </c>
      <c r="E9612">
        <v>14.9</v>
      </c>
      <c r="F9612">
        <v>52</v>
      </c>
    </row>
    <row r="9613" spans="1:6" x14ac:dyDescent="0.35">
      <c r="A9613">
        <v>1975</v>
      </c>
      <c r="B9613" s="1">
        <v>45925</v>
      </c>
      <c r="C9613" s="2">
        <v>0.45833333333333331</v>
      </c>
      <c r="D9613">
        <v>3</v>
      </c>
      <c r="E9613">
        <v>15.2</v>
      </c>
      <c r="F9613">
        <v>49</v>
      </c>
    </row>
    <row r="9614" spans="1:6" x14ac:dyDescent="0.35">
      <c r="A9614">
        <v>1975</v>
      </c>
      <c r="B9614" s="1">
        <v>45925</v>
      </c>
      <c r="C9614" s="2">
        <v>0.5</v>
      </c>
      <c r="D9614">
        <v>3</v>
      </c>
      <c r="E9614">
        <v>15.6</v>
      </c>
      <c r="F9614">
        <v>47</v>
      </c>
    </row>
    <row r="9615" spans="1:6" x14ac:dyDescent="0.35">
      <c r="A9615">
        <v>1975</v>
      </c>
      <c r="B9615" s="1">
        <v>45925</v>
      </c>
      <c r="C9615" s="2">
        <v>0.54166666666666663</v>
      </c>
      <c r="D9615">
        <v>3</v>
      </c>
      <c r="E9615">
        <v>16.100000000000001</v>
      </c>
      <c r="F9615">
        <v>42</v>
      </c>
    </row>
    <row r="9616" spans="1:6" x14ac:dyDescent="0.35">
      <c r="A9616">
        <v>1975</v>
      </c>
      <c r="B9616" s="1">
        <v>45925</v>
      </c>
      <c r="C9616" s="2">
        <v>0.58333333333333337</v>
      </c>
      <c r="D9616">
        <v>3</v>
      </c>
      <c r="E9616">
        <v>16.5</v>
      </c>
      <c r="F9616">
        <v>42</v>
      </c>
    </row>
    <row r="9617" spans="1:6" x14ac:dyDescent="0.35">
      <c r="A9617">
        <v>1975</v>
      </c>
      <c r="B9617" s="1">
        <v>45925</v>
      </c>
      <c r="C9617" s="2">
        <v>0.625</v>
      </c>
      <c r="D9617">
        <v>3</v>
      </c>
      <c r="E9617">
        <v>15.7</v>
      </c>
      <c r="F9617">
        <v>43</v>
      </c>
    </row>
    <row r="9618" spans="1:6" x14ac:dyDescent="0.35">
      <c r="A9618">
        <v>1975</v>
      </c>
      <c r="B9618" s="1">
        <v>45925</v>
      </c>
      <c r="C9618" s="2">
        <v>0.66666666666666663</v>
      </c>
      <c r="D9618">
        <v>3</v>
      </c>
      <c r="E9618">
        <v>15.4</v>
      </c>
      <c r="F9618">
        <v>46</v>
      </c>
    </row>
    <row r="9619" spans="1:6" x14ac:dyDescent="0.35">
      <c r="A9619">
        <v>1975</v>
      </c>
      <c r="B9619" s="1">
        <v>45925</v>
      </c>
      <c r="C9619" s="2">
        <v>0.70833333333333337</v>
      </c>
      <c r="D9619">
        <v>3</v>
      </c>
      <c r="E9619">
        <v>14.5</v>
      </c>
      <c r="F9619">
        <v>50</v>
      </c>
    </row>
    <row r="9620" spans="1:6" x14ac:dyDescent="0.35">
      <c r="A9620">
        <v>1975</v>
      </c>
      <c r="B9620" s="1">
        <v>45925</v>
      </c>
      <c r="C9620" s="2">
        <v>0.75</v>
      </c>
      <c r="D9620">
        <v>3</v>
      </c>
      <c r="E9620">
        <v>12.7</v>
      </c>
      <c r="F9620">
        <v>56</v>
      </c>
    </row>
    <row r="9621" spans="1:6" x14ac:dyDescent="0.35">
      <c r="A9621">
        <v>1975</v>
      </c>
      <c r="B9621" s="1">
        <v>45925</v>
      </c>
      <c r="C9621" s="2">
        <v>0.79166666666666663</v>
      </c>
      <c r="D9621">
        <v>3</v>
      </c>
      <c r="E9621">
        <v>12.1</v>
      </c>
      <c r="F9621">
        <v>62</v>
      </c>
    </row>
    <row r="9622" spans="1:6" x14ac:dyDescent="0.35">
      <c r="A9622">
        <v>1975</v>
      </c>
      <c r="B9622" s="1">
        <v>45925</v>
      </c>
      <c r="C9622" s="2">
        <v>0.83333333333333337</v>
      </c>
      <c r="D9622">
        <v>3</v>
      </c>
      <c r="E9622">
        <v>12</v>
      </c>
      <c r="F9622">
        <v>67</v>
      </c>
    </row>
    <row r="9623" spans="1:6" x14ac:dyDescent="0.35">
      <c r="A9623">
        <v>1975</v>
      </c>
      <c r="B9623" s="1">
        <v>45925</v>
      </c>
      <c r="C9623" s="2">
        <v>0.875</v>
      </c>
      <c r="D9623">
        <v>3</v>
      </c>
      <c r="E9623">
        <v>11.7</v>
      </c>
      <c r="F9623">
        <v>71</v>
      </c>
    </row>
    <row r="9624" spans="1:6" x14ac:dyDescent="0.35">
      <c r="A9624">
        <v>1975</v>
      </c>
      <c r="B9624" s="1">
        <v>45925</v>
      </c>
      <c r="C9624" s="2">
        <v>0.91666666666666663</v>
      </c>
      <c r="D9624">
        <v>3</v>
      </c>
      <c r="E9624">
        <v>10.9</v>
      </c>
      <c r="F9624">
        <v>74</v>
      </c>
    </row>
    <row r="9625" spans="1:6" x14ac:dyDescent="0.35">
      <c r="A9625">
        <v>1975</v>
      </c>
      <c r="B9625" s="1">
        <v>45925</v>
      </c>
      <c r="C9625" s="2">
        <v>0.95833333333333337</v>
      </c>
      <c r="D9625">
        <v>3</v>
      </c>
      <c r="E9625">
        <v>10.3</v>
      </c>
      <c r="F9625">
        <v>75</v>
      </c>
    </row>
    <row r="9626" spans="1:6" x14ac:dyDescent="0.35">
      <c r="A9626">
        <v>1975</v>
      </c>
      <c r="B9626" s="1">
        <v>45926</v>
      </c>
      <c r="C9626" s="2">
        <v>0</v>
      </c>
      <c r="D9626">
        <v>3</v>
      </c>
      <c r="E9626">
        <v>10.1</v>
      </c>
      <c r="F9626">
        <v>74</v>
      </c>
    </row>
    <row r="9627" spans="1:6" x14ac:dyDescent="0.35">
      <c r="A9627">
        <v>1975</v>
      </c>
      <c r="B9627" s="1">
        <v>45926</v>
      </c>
      <c r="C9627" s="2">
        <v>4.1666666666666657E-2</v>
      </c>
      <c r="D9627">
        <v>3</v>
      </c>
      <c r="E9627">
        <v>9.9</v>
      </c>
      <c r="F9627">
        <v>72</v>
      </c>
    </row>
    <row r="9628" spans="1:6" x14ac:dyDescent="0.35">
      <c r="A9628">
        <v>1975</v>
      </c>
      <c r="B9628" s="1">
        <v>45926</v>
      </c>
      <c r="C9628" s="2">
        <v>8.3333333333333329E-2</v>
      </c>
      <c r="D9628">
        <v>3</v>
      </c>
      <c r="E9628">
        <v>10.3</v>
      </c>
      <c r="F9628">
        <v>71</v>
      </c>
    </row>
    <row r="9629" spans="1:6" x14ac:dyDescent="0.35">
      <c r="A9629">
        <v>1975</v>
      </c>
      <c r="B9629" s="1">
        <v>45926</v>
      </c>
      <c r="C9629" s="2">
        <v>0.125</v>
      </c>
      <c r="D9629">
        <v>3</v>
      </c>
      <c r="E9629">
        <v>10.7</v>
      </c>
      <c r="F9629">
        <v>68</v>
      </c>
    </row>
    <row r="9630" spans="1:6" x14ac:dyDescent="0.35">
      <c r="A9630">
        <v>1975</v>
      </c>
      <c r="B9630" s="1">
        <v>45926</v>
      </c>
      <c r="C9630" s="2">
        <v>0.16666666666666671</v>
      </c>
      <c r="D9630">
        <v>3</v>
      </c>
      <c r="E9630">
        <v>10.7</v>
      </c>
      <c r="F9630">
        <v>69</v>
      </c>
    </row>
    <row r="9631" spans="1:6" x14ac:dyDescent="0.35">
      <c r="A9631">
        <v>1975</v>
      </c>
      <c r="B9631" s="1">
        <v>45926</v>
      </c>
      <c r="C9631" s="2">
        <v>0.20833333333333329</v>
      </c>
      <c r="D9631">
        <v>3</v>
      </c>
      <c r="E9631">
        <v>10.6</v>
      </c>
      <c r="F9631">
        <v>70</v>
      </c>
    </row>
    <row r="9632" spans="1:6" x14ac:dyDescent="0.35">
      <c r="A9632">
        <v>1975</v>
      </c>
      <c r="B9632" s="1">
        <v>45926</v>
      </c>
      <c r="C9632" s="2">
        <v>0.25</v>
      </c>
      <c r="D9632">
        <v>3</v>
      </c>
      <c r="E9632">
        <v>10.6</v>
      </c>
      <c r="F9632">
        <v>71</v>
      </c>
    </row>
    <row r="9633" spans="1:6" x14ac:dyDescent="0.35">
      <c r="A9633">
        <v>1975</v>
      </c>
      <c r="B9633" s="1">
        <v>45926</v>
      </c>
      <c r="C9633" s="2">
        <v>0.29166666666666669</v>
      </c>
      <c r="D9633">
        <v>3</v>
      </c>
      <c r="E9633">
        <v>10.8</v>
      </c>
      <c r="F9633">
        <v>70</v>
      </c>
    </row>
    <row r="9634" spans="1:6" x14ac:dyDescent="0.35">
      <c r="A9634">
        <v>1975</v>
      </c>
      <c r="B9634" s="1">
        <v>45926</v>
      </c>
      <c r="C9634" s="2">
        <v>0.33333333333333331</v>
      </c>
      <c r="D9634">
        <v>3</v>
      </c>
      <c r="E9634">
        <v>11.3</v>
      </c>
      <c r="F9634">
        <v>70</v>
      </c>
    </row>
    <row r="9635" spans="1:6" x14ac:dyDescent="0.35">
      <c r="A9635">
        <v>1975</v>
      </c>
      <c r="B9635" s="1">
        <v>45926</v>
      </c>
      <c r="C9635" s="2">
        <v>0.375</v>
      </c>
      <c r="D9635">
        <v>3</v>
      </c>
      <c r="E9635">
        <v>11.8</v>
      </c>
      <c r="F9635">
        <v>69</v>
      </c>
    </row>
    <row r="9636" spans="1:6" x14ac:dyDescent="0.35">
      <c r="A9636">
        <v>1975</v>
      </c>
      <c r="B9636" s="1">
        <v>45926</v>
      </c>
      <c r="C9636" s="2">
        <v>0.41666666666666669</v>
      </c>
      <c r="D9636">
        <v>3</v>
      </c>
      <c r="E9636">
        <v>12.9</v>
      </c>
      <c r="F9636">
        <v>62</v>
      </c>
    </row>
    <row r="9637" spans="1:6" x14ac:dyDescent="0.35">
      <c r="A9637">
        <v>1975</v>
      </c>
      <c r="B9637" s="1">
        <v>45926</v>
      </c>
      <c r="C9637" s="2">
        <v>0.45833333333333331</v>
      </c>
      <c r="D9637">
        <v>3</v>
      </c>
      <c r="E9637">
        <v>14.7</v>
      </c>
      <c r="F9637">
        <v>57</v>
      </c>
    </row>
    <row r="9638" spans="1:6" x14ac:dyDescent="0.35">
      <c r="A9638">
        <v>1975</v>
      </c>
      <c r="B9638" s="1">
        <v>45926</v>
      </c>
      <c r="C9638" s="2">
        <v>0.5</v>
      </c>
      <c r="D9638">
        <v>3</v>
      </c>
      <c r="E9638">
        <v>15.4</v>
      </c>
      <c r="F9638">
        <v>53</v>
      </c>
    </row>
    <row r="9639" spans="1:6" x14ac:dyDescent="0.35">
      <c r="A9639">
        <v>1975</v>
      </c>
      <c r="B9639" s="1">
        <v>45926</v>
      </c>
      <c r="C9639" s="2">
        <v>0.54166666666666663</v>
      </c>
      <c r="D9639">
        <v>3</v>
      </c>
      <c r="E9639">
        <v>15.2</v>
      </c>
      <c r="F9639">
        <v>50</v>
      </c>
    </row>
    <row r="9640" spans="1:6" x14ac:dyDescent="0.35">
      <c r="A9640">
        <v>1975</v>
      </c>
      <c r="B9640" s="1">
        <v>45926</v>
      </c>
      <c r="C9640" s="2">
        <v>0.58333333333333337</v>
      </c>
      <c r="D9640">
        <v>3</v>
      </c>
      <c r="E9640">
        <v>15.2</v>
      </c>
      <c r="F9640">
        <v>48</v>
      </c>
    </row>
    <row r="9641" spans="1:6" x14ac:dyDescent="0.35">
      <c r="A9641">
        <v>1975</v>
      </c>
      <c r="B9641" s="1">
        <v>45926</v>
      </c>
      <c r="C9641" s="2">
        <v>0.625</v>
      </c>
      <c r="D9641">
        <v>3</v>
      </c>
      <c r="E9641">
        <v>15.1</v>
      </c>
      <c r="F9641">
        <v>50</v>
      </c>
    </row>
    <row r="9642" spans="1:6" x14ac:dyDescent="0.35">
      <c r="A9642">
        <v>1975</v>
      </c>
      <c r="B9642" s="1">
        <v>45926</v>
      </c>
      <c r="C9642" s="2">
        <v>0.66666666666666663</v>
      </c>
      <c r="D9642">
        <v>3</v>
      </c>
      <c r="E9642">
        <v>14.8</v>
      </c>
      <c r="F9642">
        <v>50</v>
      </c>
    </row>
    <row r="9643" spans="1:6" x14ac:dyDescent="0.35">
      <c r="A9643">
        <v>1975</v>
      </c>
      <c r="B9643" s="1">
        <v>45926</v>
      </c>
      <c r="C9643" s="2">
        <v>0.70833333333333337</v>
      </c>
      <c r="D9643">
        <v>3</v>
      </c>
      <c r="E9643">
        <v>14.7</v>
      </c>
      <c r="F9643">
        <v>50</v>
      </c>
    </row>
    <row r="9644" spans="1:6" x14ac:dyDescent="0.35">
      <c r="A9644">
        <v>1975</v>
      </c>
      <c r="B9644" s="1">
        <v>45926</v>
      </c>
      <c r="C9644" s="2">
        <v>0.75</v>
      </c>
      <c r="D9644">
        <v>3</v>
      </c>
      <c r="E9644">
        <v>14.6</v>
      </c>
      <c r="F9644">
        <v>49</v>
      </c>
    </row>
    <row r="9645" spans="1:6" x14ac:dyDescent="0.35">
      <c r="A9645">
        <v>1975</v>
      </c>
      <c r="B9645" s="1">
        <v>45926</v>
      </c>
      <c r="C9645" s="2">
        <v>0.79166666666666663</v>
      </c>
      <c r="D9645">
        <v>3</v>
      </c>
      <c r="E9645">
        <v>14.2</v>
      </c>
      <c r="F9645">
        <v>53</v>
      </c>
    </row>
    <row r="9646" spans="1:6" x14ac:dyDescent="0.35">
      <c r="A9646">
        <v>1975</v>
      </c>
      <c r="B9646" s="1">
        <v>45926</v>
      </c>
      <c r="C9646" s="2">
        <v>0.83333333333333337</v>
      </c>
      <c r="D9646">
        <v>3</v>
      </c>
      <c r="E9646">
        <v>14</v>
      </c>
      <c r="F9646">
        <v>54</v>
      </c>
    </row>
    <row r="9647" spans="1:6" x14ac:dyDescent="0.35">
      <c r="A9647">
        <v>1975</v>
      </c>
      <c r="B9647" s="1">
        <v>45926</v>
      </c>
      <c r="C9647" s="2">
        <v>0.875</v>
      </c>
      <c r="D9647">
        <v>3</v>
      </c>
      <c r="E9647">
        <v>13.8</v>
      </c>
      <c r="F9647">
        <v>55</v>
      </c>
    </row>
    <row r="9648" spans="1:6" x14ac:dyDescent="0.35">
      <c r="A9648">
        <v>1975</v>
      </c>
      <c r="B9648" s="1">
        <v>45926</v>
      </c>
      <c r="C9648" s="2">
        <v>0.91666666666666663</v>
      </c>
      <c r="D9648">
        <v>3</v>
      </c>
      <c r="E9648">
        <v>13.6</v>
      </c>
      <c r="F9648">
        <v>56</v>
      </c>
    </row>
    <row r="9649" spans="1:6" x14ac:dyDescent="0.35">
      <c r="A9649">
        <v>1975</v>
      </c>
      <c r="B9649" s="1">
        <v>45926</v>
      </c>
      <c r="C9649" s="2">
        <v>0.95833333333333337</v>
      </c>
      <c r="D9649">
        <v>3</v>
      </c>
      <c r="E9649">
        <v>13.4</v>
      </c>
      <c r="F9649">
        <v>57</v>
      </c>
    </row>
    <row r="9650" spans="1:6" x14ac:dyDescent="0.35">
      <c r="A9650">
        <v>1975</v>
      </c>
      <c r="B9650" s="1">
        <v>45927</v>
      </c>
      <c r="C9650" s="2">
        <v>0</v>
      </c>
      <c r="D9650">
        <v>3</v>
      </c>
      <c r="E9650">
        <v>12.7</v>
      </c>
      <c r="F9650">
        <v>64</v>
      </c>
    </row>
    <row r="9651" spans="1:6" x14ac:dyDescent="0.35">
      <c r="A9651">
        <v>1975</v>
      </c>
      <c r="B9651" s="1">
        <v>45927</v>
      </c>
      <c r="C9651" s="2">
        <v>4.1666666666666657E-2</v>
      </c>
      <c r="D9651">
        <v>3</v>
      </c>
      <c r="E9651">
        <v>12.5</v>
      </c>
      <c r="F9651">
        <v>62</v>
      </c>
    </row>
    <row r="9652" spans="1:6" x14ac:dyDescent="0.35">
      <c r="A9652">
        <v>1975</v>
      </c>
      <c r="B9652" s="1">
        <v>45927</v>
      </c>
      <c r="C9652" s="2">
        <v>8.3333333333333329E-2</v>
      </c>
      <c r="D9652">
        <v>3</v>
      </c>
      <c r="E9652">
        <v>12.4</v>
      </c>
      <c r="F9652">
        <v>63</v>
      </c>
    </row>
    <row r="9653" spans="1:6" x14ac:dyDescent="0.35">
      <c r="A9653">
        <v>1975</v>
      </c>
      <c r="B9653" s="1">
        <v>45927</v>
      </c>
      <c r="C9653" s="2">
        <v>0.125</v>
      </c>
      <c r="D9653">
        <v>3</v>
      </c>
      <c r="E9653">
        <v>12.2</v>
      </c>
      <c r="F9653">
        <v>65</v>
      </c>
    </row>
    <row r="9654" spans="1:6" x14ac:dyDescent="0.35">
      <c r="A9654">
        <v>1975</v>
      </c>
      <c r="B9654" s="1">
        <v>45927</v>
      </c>
      <c r="C9654" s="2">
        <v>0.16666666666666671</v>
      </c>
      <c r="D9654">
        <v>3</v>
      </c>
      <c r="E9654">
        <v>11.8</v>
      </c>
      <c r="F9654">
        <v>66</v>
      </c>
    </row>
    <row r="9655" spans="1:6" x14ac:dyDescent="0.35">
      <c r="A9655">
        <v>1975</v>
      </c>
      <c r="B9655" s="1">
        <v>45927</v>
      </c>
      <c r="C9655" s="2">
        <v>0.20833333333333329</v>
      </c>
      <c r="D9655">
        <v>3</v>
      </c>
      <c r="E9655">
        <v>11.8</v>
      </c>
      <c r="F9655">
        <v>66</v>
      </c>
    </row>
    <row r="9656" spans="1:6" x14ac:dyDescent="0.35">
      <c r="A9656">
        <v>1975</v>
      </c>
      <c r="B9656" s="1">
        <v>45927</v>
      </c>
      <c r="C9656" s="2">
        <v>0.25</v>
      </c>
      <c r="D9656">
        <v>3</v>
      </c>
      <c r="E9656">
        <v>12.3</v>
      </c>
      <c r="F9656">
        <v>63</v>
      </c>
    </row>
    <row r="9657" spans="1:6" x14ac:dyDescent="0.35">
      <c r="A9657">
        <v>1975</v>
      </c>
      <c r="B9657" s="1">
        <v>45927</v>
      </c>
      <c r="C9657" s="2">
        <v>0.29166666666666669</v>
      </c>
      <c r="D9657">
        <v>3</v>
      </c>
      <c r="E9657">
        <v>12.4</v>
      </c>
      <c r="F9657">
        <v>64</v>
      </c>
    </row>
    <row r="9658" spans="1:6" x14ac:dyDescent="0.35">
      <c r="A9658">
        <v>1975</v>
      </c>
      <c r="B9658" s="1">
        <v>45927</v>
      </c>
      <c r="C9658" s="2">
        <v>0.33333333333333331</v>
      </c>
      <c r="D9658">
        <v>3</v>
      </c>
      <c r="E9658">
        <v>12.5</v>
      </c>
      <c r="F9658">
        <v>64</v>
      </c>
    </row>
    <row r="9659" spans="1:6" x14ac:dyDescent="0.35">
      <c r="A9659">
        <v>1975</v>
      </c>
      <c r="B9659" s="1">
        <v>45927</v>
      </c>
      <c r="C9659" s="2">
        <v>0.375</v>
      </c>
      <c r="D9659">
        <v>3</v>
      </c>
      <c r="E9659">
        <v>12.7</v>
      </c>
      <c r="F9659">
        <v>65</v>
      </c>
    </row>
    <row r="9660" spans="1:6" x14ac:dyDescent="0.35">
      <c r="A9660">
        <v>1975</v>
      </c>
      <c r="B9660" s="1">
        <v>45927</v>
      </c>
      <c r="C9660" s="2">
        <v>0.41666666666666669</v>
      </c>
      <c r="D9660">
        <v>3</v>
      </c>
      <c r="E9660">
        <v>13.5</v>
      </c>
      <c r="F9660">
        <v>67</v>
      </c>
    </row>
    <row r="9661" spans="1:6" x14ac:dyDescent="0.35">
      <c r="A9661">
        <v>1975</v>
      </c>
      <c r="B9661" s="1">
        <v>45927</v>
      </c>
      <c r="C9661" s="2">
        <v>0.45833333333333331</v>
      </c>
      <c r="D9661">
        <v>3</v>
      </c>
      <c r="E9661">
        <v>14.2</v>
      </c>
      <c r="F9661">
        <v>65</v>
      </c>
    </row>
    <row r="9662" spans="1:6" x14ac:dyDescent="0.35">
      <c r="A9662">
        <v>1975</v>
      </c>
      <c r="B9662" s="1">
        <v>45927</v>
      </c>
      <c r="C9662" s="2">
        <v>0.5</v>
      </c>
      <c r="D9662">
        <v>3</v>
      </c>
      <c r="E9662">
        <v>15.5</v>
      </c>
      <c r="F9662">
        <v>67</v>
      </c>
    </row>
    <row r="9663" spans="1:6" x14ac:dyDescent="0.35">
      <c r="A9663">
        <v>1975</v>
      </c>
      <c r="B9663" s="1">
        <v>45927</v>
      </c>
      <c r="C9663" s="2">
        <v>0.54166666666666663</v>
      </c>
      <c r="D9663">
        <v>3</v>
      </c>
      <c r="E9663">
        <v>17.3</v>
      </c>
      <c r="F9663">
        <v>63</v>
      </c>
    </row>
    <row r="9664" spans="1:6" x14ac:dyDescent="0.35">
      <c r="A9664">
        <v>1975</v>
      </c>
      <c r="B9664" s="1">
        <v>45927</v>
      </c>
      <c r="C9664" s="2">
        <v>0.58333333333333337</v>
      </c>
      <c r="D9664">
        <v>3</v>
      </c>
      <c r="E9664">
        <v>18</v>
      </c>
      <c r="F9664">
        <v>59</v>
      </c>
    </row>
    <row r="9665" spans="1:6" x14ac:dyDescent="0.35">
      <c r="A9665">
        <v>1975</v>
      </c>
      <c r="B9665" s="1">
        <v>45927</v>
      </c>
      <c r="C9665" s="2">
        <v>0.625</v>
      </c>
      <c r="D9665">
        <v>3</v>
      </c>
      <c r="E9665">
        <v>17.899999999999999</v>
      </c>
      <c r="F9665">
        <v>63</v>
      </c>
    </row>
    <row r="9666" spans="1:6" x14ac:dyDescent="0.35">
      <c r="A9666">
        <v>1975</v>
      </c>
      <c r="B9666" s="1">
        <v>45927</v>
      </c>
      <c r="C9666" s="2">
        <v>0.66666666666666663</v>
      </c>
      <c r="D9666">
        <v>3</v>
      </c>
      <c r="E9666">
        <v>17.899999999999999</v>
      </c>
      <c r="F9666">
        <v>62</v>
      </c>
    </row>
    <row r="9667" spans="1:6" x14ac:dyDescent="0.35">
      <c r="A9667">
        <v>1975</v>
      </c>
      <c r="B9667" s="1">
        <v>45927</v>
      </c>
      <c r="C9667" s="2">
        <v>0.70833333333333337</v>
      </c>
      <c r="D9667">
        <v>3</v>
      </c>
      <c r="E9667">
        <v>17.100000000000001</v>
      </c>
      <c r="F9667">
        <v>67</v>
      </c>
    </row>
    <row r="9668" spans="1:6" x14ac:dyDescent="0.35">
      <c r="A9668">
        <v>1975</v>
      </c>
      <c r="B9668" s="1">
        <v>45927</v>
      </c>
      <c r="C9668" s="2">
        <v>0.75</v>
      </c>
      <c r="D9668">
        <v>3</v>
      </c>
      <c r="E9668">
        <v>16.3</v>
      </c>
      <c r="F9668">
        <v>73</v>
      </c>
    </row>
    <row r="9669" spans="1:6" x14ac:dyDescent="0.35">
      <c r="A9669">
        <v>1975</v>
      </c>
      <c r="B9669" s="1">
        <v>45927</v>
      </c>
      <c r="C9669" s="2">
        <v>0.79166666666666663</v>
      </c>
      <c r="D9669">
        <v>3</v>
      </c>
      <c r="E9669">
        <v>16.2</v>
      </c>
      <c r="F9669">
        <v>68</v>
      </c>
    </row>
    <row r="9670" spans="1:6" x14ac:dyDescent="0.35">
      <c r="A9670">
        <v>1975</v>
      </c>
      <c r="B9670" s="1">
        <v>45927</v>
      </c>
      <c r="C9670" s="2">
        <v>0.83333333333333337</v>
      </c>
      <c r="D9670">
        <v>3</v>
      </c>
      <c r="E9670">
        <v>15.9</v>
      </c>
      <c r="F9670">
        <v>65</v>
      </c>
    </row>
    <row r="9671" spans="1:6" x14ac:dyDescent="0.35">
      <c r="A9671">
        <v>1975</v>
      </c>
      <c r="B9671" s="1">
        <v>45927</v>
      </c>
      <c r="C9671" s="2">
        <v>0.875</v>
      </c>
      <c r="D9671">
        <v>3</v>
      </c>
      <c r="E9671">
        <v>15.5</v>
      </c>
      <c r="F9671">
        <v>63</v>
      </c>
    </row>
    <row r="9672" spans="1:6" x14ac:dyDescent="0.35">
      <c r="A9672">
        <v>1975</v>
      </c>
      <c r="B9672" s="1">
        <v>45927</v>
      </c>
      <c r="C9672" s="2">
        <v>0.91666666666666663</v>
      </c>
      <c r="D9672">
        <v>3</v>
      </c>
      <c r="E9672">
        <v>15.1</v>
      </c>
      <c r="F9672">
        <v>65</v>
      </c>
    </row>
    <row r="9673" spans="1:6" x14ac:dyDescent="0.35">
      <c r="A9673">
        <v>1975</v>
      </c>
      <c r="B9673" s="1">
        <v>45927</v>
      </c>
      <c r="C9673" s="2">
        <v>0.95833333333333337</v>
      </c>
      <c r="D9673">
        <v>3</v>
      </c>
      <c r="E9673">
        <v>14.4</v>
      </c>
      <c r="F9673">
        <v>66</v>
      </c>
    </row>
    <row r="9674" spans="1:6" x14ac:dyDescent="0.35">
      <c r="A9674">
        <v>1975</v>
      </c>
      <c r="B9674" s="1">
        <v>45928</v>
      </c>
      <c r="C9674" s="2">
        <v>0</v>
      </c>
      <c r="D9674">
        <v>3</v>
      </c>
      <c r="E9674">
        <v>12.6</v>
      </c>
      <c r="F9674">
        <v>73</v>
      </c>
    </row>
    <row r="9675" spans="1:6" x14ac:dyDescent="0.35">
      <c r="A9675">
        <v>1975</v>
      </c>
      <c r="B9675" s="1">
        <v>45928</v>
      </c>
      <c r="C9675" s="2">
        <v>4.1666666666666657E-2</v>
      </c>
      <c r="D9675">
        <v>3</v>
      </c>
      <c r="E9675">
        <v>11.6</v>
      </c>
      <c r="F9675">
        <v>75</v>
      </c>
    </row>
    <row r="9676" spans="1:6" x14ac:dyDescent="0.35">
      <c r="A9676">
        <v>1975</v>
      </c>
      <c r="B9676" s="1">
        <v>45928</v>
      </c>
      <c r="C9676" s="2">
        <v>8.3333333333333329E-2</v>
      </c>
      <c r="D9676">
        <v>3</v>
      </c>
      <c r="E9676">
        <v>10.5</v>
      </c>
      <c r="F9676">
        <v>80</v>
      </c>
    </row>
    <row r="9677" spans="1:6" x14ac:dyDescent="0.35">
      <c r="A9677">
        <v>1975</v>
      </c>
      <c r="B9677" s="1">
        <v>45928</v>
      </c>
      <c r="C9677" s="2">
        <v>0.125</v>
      </c>
      <c r="D9677">
        <v>3</v>
      </c>
      <c r="E9677">
        <v>9.9</v>
      </c>
      <c r="F9677">
        <v>81</v>
      </c>
    </row>
    <row r="9678" spans="1:6" x14ac:dyDescent="0.35">
      <c r="A9678">
        <v>1975</v>
      </c>
      <c r="B9678" s="1">
        <v>45928</v>
      </c>
      <c r="C9678" s="2">
        <v>0.16666666666666671</v>
      </c>
      <c r="D9678">
        <v>3</v>
      </c>
      <c r="E9678">
        <v>7.2</v>
      </c>
      <c r="F9678">
        <v>93</v>
      </c>
    </row>
    <row r="9679" spans="1:6" x14ac:dyDescent="0.35">
      <c r="A9679">
        <v>1975</v>
      </c>
      <c r="B9679" s="1">
        <v>45928</v>
      </c>
      <c r="C9679" s="2">
        <v>0.20833333333333329</v>
      </c>
      <c r="D9679">
        <v>3</v>
      </c>
      <c r="E9679">
        <v>7.9</v>
      </c>
      <c r="F9679">
        <v>90</v>
      </c>
    </row>
    <row r="9680" spans="1:6" x14ac:dyDescent="0.35">
      <c r="A9680">
        <v>1975</v>
      </c>
      <c r="B9680" s="1">
        <v>45928</v>
      </c>
      <c r="C9680" s="2">
        <v>0.25</v>
      </c>
      <c r="D9680">
        <v>3</v>
      </c>
      <c r="E9680">
        <v>7.8</v>
      </c>
      <c r="F9680">
        <v>89</v>
      </c>
    </row>
    <row r="9681" spans="1:6" x14ac:dyDescent="0.35">
      <c r="A9681">
        <v>1975</v>
      </c>
      <c r="B9681" s="1">
        <v>45928</v>
      </c>
      <c r="C9681" s="2">
        <v>0.29166666666666669</v>
      </c>
      <c r="D9681">
        <v>3</v>
      </c>
      <c r="E9681">
        <v>10.8</v>
      </c>
      <c r="F9681">
        <v>75</v>
      </c>
    </row>
    <row r="9682" spans="1:6" x14ac:dyDescent="0.35">
      <c r="A9682">
        <v>1975</v>
      </c>
      <c r="B9682" s="1">
        <v>45928</v>
      </c>
      <c r="C9682" s="2">
        <v>0.33333333333333331</v>
      </c>
      <c r="D9682">
        <v>3</v>
      </c>
      <c r="E9682">
        <v>13.1</v>
      </c>
      <c r="F9682">
        <v>64</v>
      </c>
    </row>
    <row r="9683" spans="1:6" x14ac:dyDescent="0.35">
      <c r="A9683">
        <v>1975</v>
      </c>
      <c r="B9683" s="1">
        <v>45928</v>
      </c>
      <c r="C9683" s="2">
        <v>0.375</v>
      </c>
      <c r="D9683">
        <v>3</v>
      </c>
      <c r="E9683">
        <v>15</v>
      </c>
      <c r="F9683">
        <v>57</v>
      </c>
    </row>
    <row r="9684" spans="1:6" x14ac:dyDescent="0.35">
      <c r="A9684">
        <v>1975</v>
      </c>
      <c r="B9684" s="1">
        <v>45928</v>
      </c>
      <c r="C9684" s="2">
        <v>0.41666666666666669</v>
      </c>
      <c r="D9684">
        <v>3</v>
      </c>
      <c r="E9684">
        <v>16.899999999999999</v>
      </c>
      <c r="F9684">
        <v>54</v>
      </c>
    </row>
    <row r="9685" spans="1:6" x14ac:dyDescent="0.35">
      <c r="A9685">
        <v>1975</v>
      </c>
      <c r="B9685" s="1">
        <v>45928</v>
      </c>
      <c r="C9685" s="2">
        <v>0.45833333333333331</v>
      </c>
      <c r="D9685">
        <v>3</v>
      </c>
      <c r="E9685">
        <v>17.7</v>
      </c>
      <c r="F9685">
        <v>51</v>
      </c>
    </row>
    <row r="9686" spans="1:6" x14ac:dyDescent="0.35">
      <c r="A9686">
        <v>1975</v>
      </c>
      <c r="B9686" s="1">
        <v>45928</v>
      </c>
      <c r="C9686" s="2">
        <v>0.5</v>
      </c>
      <c r="D9686">
        <v>3</v>
      </c>
      <c r="E9686">
        <v>18.5</v>
      </c>
      <c r="F9686">
        <v>51</v>
      </c>
    </row>
    <row r="9687" spans="1:6" x14ac:dyDescent="0.35">
      <c r="A9687">
        <v>1975</v>
      </c>
      <c r="B9687" s="1">
        <v>45928</v>
      </c>
      <c r="C9687" s="2">
        <v>0.54166666666666663</v>
      </c>
      <c r="D9687">
        <v>3</v>
      </c>
      <c r="E9687">
        <v>18.899999999999999</v>
      </c>
      <c r="F9687">
        <v>52</v>
      </c>
    </row>
    <row r="9688" spans="1:6" x14ac:dyDescent="0.35">
      <c r="A9688">
        <v>1975</v>
      </c>
      <c r="B9688" s="1">
        <v>45928</v>
      </c>
      <c r="C9688" s="2">
        <v>0.58333333333333337</v>
      </c>
      <c r="D9688">
        <v>3</v>
      </c>
      <c r="E9688">
        <v>18.899999999999999</v>
      </c>
      <c r="F9688">
        <v>51</v>
      </c>
    </row>
    <row r="9689" spans="1:6" x14ac:dyDescent="0.35">
      <c r="A9689">
        <v>1975</v>
      </c>
      <c r="B9689" s="1">
        <v>45928</v>
      </c>
      <c r="C9689" s="2">
        <v>0.625</v>
      </c>
      <c r="D9689">
        <v>3</v>
      </c>
      <c r="E9689">
        <v>18.7</v>
      </c>
      <c r="F9689">
        <v>50</v>
      </c>
    </row>
    <row r="9690" spans="1:6" x14ac:dyDescent="0.35">
      <c r="A9690">
        <v>1975</v>
      </c>
      <c r="B9690" s="1">
        <v>45928</v>
      </c>
      <c r="C9690" s="2">
        <v>0.66666666666666663</v>
      </c>
      <c r="D9690">
        <v>3</v>
      </c>
      <c r="E9690">
        <v>18</v>
      </c>
      <c r="F9690">
        <v>52</v>
      </c>
    </row>
    <row r="9691" spans="1:6" x14ac:dyDescent="0.35">
      <c r="A9691">
        <v>1975</v>
      </c>
      <c r="B9691" s="1">
        <v>45928</v>
      </c>
      <c r="C9691" s="2">
        <v>0.70833333333333337</v>
      </c>
      <c r="D9691">
        <v>3</v>
      </c>
      <c r="E9691">
        <v>15.9</v>
      </c>
      <c r="F9691">
        <v>61</v>
      </c>
    </row>
    <row r="9692" spans="1:6" x14ac:dyDescent="0.35">
      <c r="A9692">
        <v>1975</v>
      </c>
      <c r="B9692" s="1">
        <v>45928</v>
      </c>
      <c r="C9692" s="2">
        <v>0.75</v>
      </c>
      <c r="D9692">
        <v>3</v>
      </c>
      <c r="E9692">
        <v>13.8</v>
      </c>
      <c r="F9692">
        <v>70</v>
      </c>
    </row>
    <row r="9693" spans="1:6" x14ac:dyDescent="0.35">
      <c r="A9693">
        <v>1975</v>
      </c>
      <c r="B9693" s="1">
        <v>45928</v>
      </c>
      <c r="C9693" s="2">
        <v>0.79166666666666663</v>
      </c>
      <c r="D9693">
        <v>3</v>
      </c>
      <c r="E9693">
        <v>11.9</v>
      </c>
      <c r="F9693">
        <v>79</v>
      </c>
    </row>
    <row r="9694" spans="1:6" x14ac:dyDescent="0.35">
      <c r="A9694">
        <v>1975</v>
      </c>
      <c r="B9694" s="1">
        <v>45928</v>
      </c>
      <c r="C9694" s="2">
        <v>0.83333333333333337</v>
      </c>
      <c r="D9694">
        <v>3</v>
      </c>
      <c r="E9694">
        <v>11.1</v>
      </c>
      <c r="F9694">
        <v>84</v>
      </c>
    </row>
    <row r="9695" spans="1:6" x14ac:dyDescent="0.35">
      <c r="A9695">
        <v>1975</v>
      </c>
      <c r="B9695" s="1">
        <v>45928</v>
      </c>
      <c r="C9695" s="2">
        <v>0.875</v>
      </c>
      <c r="D9695">
        <v>3</v>
      </c>
      <c r="E9695">
        <v>10.4</v>
      </c>
      <c r="F9695">
        <v>84</v>
      </c>
    </row>
    <row r="9696" spans="1:6" x14ac:dyDescent="0.35">
      <c r="A9696">
        <v>1975</v>
      </c>
      <c r="B9696" s="1">
        <v>45928</v>
      </c>
      <c r="C9696" s="2">
        <v>0.91666666666666663</v>
      </c>
      <c r="D9696">
        <v>3</v>
      </c>
      <c r="E9696">
        <v>8.8000000000000007</v>
      </c>
      <c r="F9696">
        <v>89</v>
      </c>
    </row>
    <row r="9697" spans="1:6" x14ac:dyDescent="0.35">
      <c r="A9697">
        <v>1975</v>
      </c>
      <c r="B9697" s="1">
        <v>45928</v>
      </c>
      <c r="C9697" s="2">
        <v>0.95833333333333337</v>
      </c>
      <c r="D9697">
        <v>3</v>
      </c>
      <c r="E9697">
        <v>9</v>
      </c>
      <c r="F9697">
        <v>85</v>
      </c>
    </row>
    <row r="9698" spans="1:6" x14ac:dyDescent="0.35">
      <c r="A9698">
        <v>1975</v>
      </c>
      <c r="B9698" s="1">
        <v>45929</v>
      </c>
      <c r="C9698" s="2">
        <v>0</v>
      </c>
      <c r="D9698">
        <v>3</v>
      </c>
      <c r="E9698">
        <v>8.9</v>
      </c>
      <c r="F9698">
        <v>86</v>
      </c>
    </row>
    <row r="9699" spans="1:6" x14ac:dyDescent="0.35">
      <c r="A9699">
        <v>1975</v>
      </c>
      <c r="B9699" s="1">
        <v>45929</v>
      </c>
      <c r="C9699" s="2">
        <v>4.1666666666666657E-2</v>
      </c>
      <c r="D9699">
        <v>3</v>
      </c>
      <c r="E9699">
        <v>7.6</v>
      </c>
      <c r="F9699">
        <v>91</v>
      </c>
    </row>
    <row r="9700" spans="1:6" x14ac:dyDescent="0.35">
      <c r="A9700">
        <v>1975</v>
      </c>
      <c r="B9700" s="1">
        <v>45929</v>
      </c>
      <c r="C9700" s="2">
        <v>8.3333333333333329E-2</v>
      </c>
      <c r="D9700">
        <v>3</v>
      </c>
      <c r="E9700">
        <v>7</v>
      </c>
      <c r="F9700">
        <v>95</v>
      </c>
    </row>
    <row r="9701" spans="1:6" x14ac:dyDescent="0.35">
      <c r="A9701">
        <v>1975</v>
      </c>
      <c r="B9701" s="1">
        <v>45929</v>
      </c>
      <c r="C9701" s="2">
        <v>0.125</v>
      </c>
      <c r="D9701">
        <v>3</v>
      </c>
      <c r="E9701">
        <v>6.3</v>
      </c>
      <c r="F9701">
        <v>98</v>
      </c>
    </row>
    <row r="9702" spans="1:6" x14ac:dyDescent="0.35">
      <c r="A9702">
        <v>1975</v>
      </c>
      <c r="B9702" s="1">
        <v>45929</v>
      </c>
      <c r="C9702" s="2">
        <v>0.16666666666666671</v>
      </c>
      <c r="D9702">
        <v>3</v>
      </c>
      <c r="E9702">
        <v>6.6</v>
      </c>
      <c r="F9702">
        <v>97</v>
      </c>
    </row>
    <row r="9703" spans="1:6" x14ac:dyDescent="0.35">
      <c r="A9703">
        <v>1975</v>
      </c>
      <c r="B9703" s="1">
        <v>45929</v>
      </c>
      <c r="C9703" s="2">
        <v>0.20833333333333329</v>
      </c>
      <c r="D9703">
        <v>3</v>
      </c>
      <c r="E9703">
        <v>6.9</v>
      </c>
      <c r="F9703">
        <v>97</v>
      </c>
    </row>
    <row r="9704" spans="1:6" x14ac:dyDescent="0.35">
      <c r="A9704">
        <v>1975</v>
      </c>
      <c r="B9704" s="1">
        <v>45929</v>
      </c>
      <c r="C9704" s="2">
        <v>0.25</v>
      </c>
      <c r="D9704">
        <v>3</v>
      </c>
      <c r="E9704">
        <v>6.3</v>
      </c>
      <c r="F9704">
        <v>92</v>
      </c>
    </row>
    <row r="9705" spans="1:6" x14ac:dyDescent="0.35">
      <c r="A9705">
        <v>1975</v>
      </c>
      <c r="B9705" s="1">
        <v>45929</v>
      </c>
      <c r="C9705" s="2">
        <v>0.29166666666666669</v>
      </c>
      <c r="D9705">
        <v>3</v>
      </c>
      <c r="E9705">
        <v>9.3000000000000007</v>
      </c>
      <c r="F9705">
        <v>84</v>
      </c>
    </row>
    <row r="9706" spans="1:6" x14ac:dyDescent="0.35">
      <c r="A9706">
        <v>1975</v>
      </c>
      <c r="B9706" s="1">
        <v>45929</v>
      </c>
      <c r="C9706" s="2">
        <v>0.33333333333333331</v>
      </c>
      <c r="D9706">
        <v>3</v>
      </c>
      <c r="E9706">
        <v>11.4</v>
      </c>
      <c r="F9706">
        <v>77</v>
      </c>
    </row>
    <row r="9707" spans="1:6" x14ac:dyDescent="0.35">
      <c r="A9707">
        <v>1975</v>
      </c>
      <c r="B9707" s="1">
        <v>45929</v>
      </c>
      <c r="C9707" s="2">
        <v>0.375</v>
      </c>
      <c r="D9707">
        <v>3</v>
      </c>
      <c r="E9707">
        <v>13.3</v>
      </c>
      <c r="F9707">
        <v>68</v>
      </c>
    </row>
    <row r="9708" spans="1:6" x14ac:dyDescent="0.35">
      <c r="A9708">
        <v>1975</v>
      </c>
      <c r="B9708" s="1">
        <v>45929</v>
      </c>
      <c r="C9708" s="2">
        <v>0.41666666666666669</v>
      </c>
      <c r="D9708">
        <v>3</v>
      </c>
      <c r="E9708">
        <v>15.1</v>
      </c>
      <c r="F9708">
        <v>59</v>
      </c>
    </row>
    <row r="9709" spans="1:6" x14ac:dyDescent="0.35">
      <c r="A9709">
        <v>1975</v>
      </c>
      <c r="B9709" s="1">
        <v>45929</v>
      </c>
      <c r="C9709" s="2">
        <v>0.45833333333333331</v>
      </c>
      <c r="D9709">
        <v>3</v>
      </c>
      <c r="E9709">
        <v>16.3</v>
      </c>
      <c r="F9709">
        <v>54</v>
      </c>
    </row>
    <row r="9710" spans="1:6" x14ac:dyDescent="0.35">
      <c r="A9710">
        <v>1975</v>
      </c>
      <c r="B9710" s="1">
        <v>45929</v>
      </c>
      <c r="C9710" s="2">
        <v>0.5</v>
      </c>
      <c r="D9710">
        <v>3</v>
      </c>
      <c r="E9710">
        <v>17</v>
      </c>
      <c r="F9710">
        <v>53</v>
      </c>
    </row>
    <row r="9711" spans="1:6" x14ac:dyDescent="0.35">
      <c r="A9711">
        <v>1975</v>
      </c>
      <c r="B9711" s="1">
        <v>45929</v>
      </c>
      <c r="C9711" s="2">
        <v>0.54166666666666663</v>
      </c>
      <c r="D9711">
        <v>3</v>
      </c>
      <c r="E9711">
        <v>16.8</v>
      </c>
      <c r="F9711">
        <v>52</v>
      </c>
    </row>
    <row r="9712" spans="1:6" x14ac:dyDescent="0.35">
      <c r="A9712">
        <v>1975</v>
      </c>
      <c r="B9712" s="1">
        <v>45929</v>
      </c>
      <c r="C9712" s="2">
        <v>0.58333333333333337</v>
      </c>
      <c r="D9712">
        <v>3</v>
      </c>
      <c r="E9712">
        <v>16.7</v>
      </c>
      <c r="F9712">
        <v>52</v>
      </c>
    </row>
    <row r="9713" spans="1:6" x14ac:dyDescent="0.35">
      <c r="A9713">
        <v>1975</v>
      </c>
      <c r="B9713" s="1">
        <v>45929</v>
      </c>
      <c r="C9713" s="2">
        <v>0.625</v>
      </c>
      <c r="D9713">
        <v>3</v>
      </c>
      <c r="E9713">
        <v>16.8</v>
      </c>
      <c r="F9713">
        <v>54</v>
      </c>
    </row>
    <row r="9714" spans="1:6" x14ac:dyDescent="0.35">
      <c r="A9714">
        <v>1975</v>
      </c>
      <c r="B9714" s="1">
        <v>45929</v>
      </c>
      <c r="C9714" s="2">
        <v>0.66666666666666663</v>
      </c>
      <c r="D9714">
        <v>3</v>
      </c>
      <c r="E9714">
        <v>16.2</v>
      </c>
      <c r="F9714">
        <v>55</v>
      </c>
    </row>
    <row r="9715" spans="1:6" x14ac:dyDescent="0.35">
      <c r="A9715">
        <v>1975</v>
      </c>
      <c r="B9715" s="1">
        <v>45929</v>
      </c>
      <c r="C9715" s="2">
        <v>0.70833333333333337</v>
      </c>
      <c r="D9715">
        <v>3</v>
      </c>
      <c r="E9715">
        <v>14.3</v>
      </c>
      <c r="F9715">
        <v>62</v>
      </c>
    </row>
    <row r="9716" spans="1:6" x14ac:dyDescent="0.35">
      <c r="A9716">
        <v>1975</v>
      </c>
      <c r="B9716" s="1">
        <v>45929</v>
      </c>
      <c r="C9716" s="2">
        <v>0.75</v>
      </c>
      <c r="D9716">
        <v>3</v>
      </c>
      <c r="E9716">
        <v>12.1</v>
      </c>
      <c r="F9716">
        <v>75</v>
      </c>
    </row>
    <row r="9717" spans="1:6" x14ac:dyDescent="0.35">
      <c r="A9717">
        <v>1975</v>
      </c>
      <c r="B9717" s="1">
        <v>45929</v>
      </c>
      <c r="C9717" s="2">
        <v>0.79166666666666663</v>
      </c>
      <c r="D9717">
        <v>3</v>
      </c>
      <c r="E9717">
        <v>11.2</v>
      </c>
      <c r="F9717">
        <v>85</v>
      </c>
    </row>
    <row r="9718" spans="1:6" x14ac:dyDescent="0.35">
      <c r="A9718">
        <v>1975</v>
      </c>
      <c r="B9718" s="1">
        <v>45929</v>
      </c>
      <c r="C9718" s="2">
        <v>0.83333333333333337</v>
      </c>
      <c r="D9718">
        <v>3</v>
      </c>
      <c r="E9718">
        <v>10.4</v>
      </c>
      <c r="F9718">
        <v>90</v>
      </c>
    </row>
    <row r="9719" spans="1:6" x14ac:dyDescent="0.35">
      <c r="A9719">
        <v>1975</v>
      </c>
      <c r="B9719" s="1">
        <v>45929</v>
      </c>
      <c r="C9719" s="2">
        <v>0.875</v>
      </c>
      <c r="D9719">
        <v>3</v>
      </c>
      <c r="E9719">
        <v>11.3</v>
      </c>
      <c r="F9719">
        <v>81</v>
      </c>
    </row>
    <row r="9720" spans="1:6" x14ac:dyDescent="0.35">
      <c r="A9720">
        <v>1975</v>
      </c>
      <c r="B9720" s="1">
        <v>45929</v>
      </c>
      <c r="C9720" s="2">
        <v>0.91666666666666663</v>
      </c>
      <c r="D9720">
        <v>3</v>
      </c>
      <c r="E9720">
        <v>10.4</v>
      </c>
      <c r="F9720">
        <v>82</v>
      </c>
    </row>
    <row r="9721" spans="1:6" x14ac:dyDescent="0.35">
      <c r="A9721">
        <v>1975</v>
      </c>
      <c r="B9721" s="1">
        <v>45929</v>
      </c>
      <c r="C9721" s="2">
        <v>0.95833333333333337</v>
      </c>
      <c r="D9721">
        <v>3</v>
      </c>
      <c r="E9721">
        <v>10.199999999999999</v>
      </c>
      <c r="F9721">
        <v>83</v>
      </c>
    </row>
    <row r="9722" spans="1:6" x14ac:dyDescent="0.35">
      <c r="A9722">
        <v>1975</v>
      </c>
      <c r="B9722" s="1">
        <v>45930</v>
      </c>
      <c r="C9722" s="2">
        <v>0</v>
      </c>
      <c r="D9722">
        <v>3</v>
      </c>
      <c r="E9722">
        <v>9.1</v>
      </c>
      <c r="F9722">
        <v>87</v>
      </c>
    </row>
    <row r="9723" spans="1:6" x14ac:dyDescent="0.35">
      <c r="A9723">
        <v>1975</v>
      </c>
      <c r="B9723" s="1">
        <v>45930</v>
      </c>
      <c r="C9723" s="2">
        <v>4.1666666666666657E-2</v>
      </c>
      <c r="D9723">
        <v>3</v>
      </c>
      <c r="E9723">
        <v>8.1999999999999993</v>
      </c>
      <c r="F9723">
        <v>89</v>
      </c>
    </row>
    <row r="9724" spans="1:6" x14ac:dyDescent="0.35">
      <c r="A9724">
        <v>1975</v>
      </c>
      <c r="B9724" s="1">
        <v>45930</v>
      </c>
      <c r="C9724" s="2">
        <v>8.3333333333333329E-2</v>
      </c>
      <c r="D9724">
        <v>3</v>
      </c>
      <c r="E9724">
        <v>9</v>
      </c>
      <c r="F9724">
        <v>87</v>
      </c>
    </row>
    <row r="9725" spans="1:6" x14ac:dyDescent="0.35">
      <c r="A9725">
        <v>1975</v>
      </c>
      <c r="B9725" s="1">
        <v>45930</v>
      </c>
      <c r="C9725" s="2">
        <v>0.125</v>
      </c>
      <c r="D9725">
        <v>3</v>
      </c>
      <c r="E9725">
        <v>7.9</v>
      </c>
      <c r="F9725">
        <v>90</v>
      </c>
    </row>
    <row r="9726" spans="1:6" x14ac:dyDescent="0.35">
      <c r="A9726">
        <v>1975</v>
      </c>
      <c r="B9726" s="1">
        <v>45930</v>
      </c>
      <c r="C9726" s="2">
        <v>0.16666666666666671</v>
      </c>
      <c r="D9726">
        <v>3</v>
      </c>
      <c r="E9726">
        <v>9.3000000000000007</v>
      </c>
      <c r="F9726">
        <v>87</v>
      </c>
    </row>
    <row r="9727" spans="1:6" x14ac:dyDescent="0.35">
      <c r="A9727">
        <v>1975</v>
      </c>
      <c r="B9727" s="1">
        <v>45930</v>
      </c>
      <c r="C9727" s="2">
        <v>0.20833333333333329</v>
      </c>
      <c r="D9727">
        <v>3</v>
      </c>
      <c r="E9727">
        <v>10.4</v>
      </c>
      <c r="F9727">
        <v>81</v>
      </c>
    </row>
    <row r="9728" spans="1:6" x14ac:dyDescent="0.35">
      <c r="A9728">
        <v>1975</v>
      </c>
      <c r="B9728" s="1">
        <v>45930</v>
      </c>
      <c r="C9728" s="2">
        <v>0.25</v>
      </c>
      <c r="D9728">
        <v>3</v>
      </c>
      <c r="E9728">
        <v>9.6999999999999993</v>
      </c>
      <c r="F9728">
        <v>85</v>
      </c>
    </row>
    <row r="9729" spans="1:6" x14ac:dyDescent="0.35">
      <c r="A9729">
        <v>1975</v>
      </c>
      <c r="B9729" s="1">
        <v>45930</v>
      </c>
      <c r="C9729" s="2">
        <v>0.29166666666666669</v>
      </c>
      <c r="D9729">
        <v>3</v>
      </c>
      <c r="E9729">
        <v>10.4</v>
      </c>
      <c r="F9729">
        <v>84</v>
      </c>
    </row>
    <row r="9730" spans="1:6" x14ac:dyDescent="0.35">
      <c r="A9730">
        <v>1975</v>
      </c>
      <c r="B9730" s="1">
        <v>45930</v>
      </c>
      <c r="C9730" s="2">
        <v>0.33333333333333331</v>
      </c>
      <c r="D9730">
        <v>3</v>
      </c>
      <c r="E9730">
        <v>12.4</v>
      </c>
      <c r="F9730">
        <v>77</v>
      </c>
    </row>
    <row r="9731" spans="1:6" x14ac:dyDescent="0.35">
      <c r="A9731">
        <v>1975</v>
      </c>
      <c r="B9731" s="1">
        <v>45930</v>
      </c>
      <c r="C9731" s="2">
        <v>0.375</v>
      </c>
      <c r="D9731">
        <v>3</v>
      </c>
      <c r="E9731">
        <v>13.2</v>
      </c>
      <c r="F9731">
        <v>69</v>
      </c>
    </row>
    <row r="9732" spans="1:6" x14ac:dyDescent="0.35">
      <c r="A9732">
        <v>1975</v>
      </c>
      <c r="B9732" s="1">
        <v>45930</v>
      </c>
      <c r="C9732" s="2">
        <v>0.41666666666666669</v>
      </c>
      <c r="D9732">
        <v>3</v>
      </c>
      <c r="E9732">
        <v>15.2</v>
      </c>
      <c r="F9732">
        <v>59</v>
      </c>
    </row>
    <row r="9733" spans="1:6" x14ac:dyDescent="0.35">
      <c r="A9733">
        <v>1975</v>
      </c>
      <c r="B9733" s="1">
        <v>45930</v>
      </c>
      <c r="C9733" s="2">
        <v>0.45833333333333331</v>
      </c>
      <c r="D9733">
        <v>3</v>
      </c>
      <c r="E9733">
        <v>15.8</v>
      </c>
      <c r="F9733">
        <v>53</v>
      </c>
    </row>
    <row r="9734" spans="1:6" x14ac:dyDescent="0.35">
      <c r="A9734">
        <v>1975</v>
      </c>
      <c r="B9734" s="1">
        <v>45930</v>
      </c>
      <c r="C9734" s="2">
        <v>0.5</v>
      </c>
      <c r="D9734">
        <v>3</v>
      </c>
      <c r="E9734">
        <v>16.7</v>
      </c>
      <c r="F9734">
        <v>49</v>
      </c>
    </row>
    <row r="9735" spans="1:6" x14ac:dyDescent="0.35">
      <c r="A9735">
        <v>1975</v>
      </c>
      <c r="B9735" s="1">
        <v>45930</v>
      </c>
      <c r="C9735" s="2">
        <v>0.54166666666666663</v>
      </c>
      <c r="D9735">
        <v>3</v>
      </c>
      <c r="E9735">
        <v>16.899999999999999</v>
      </c>
      <c r="F9735">
        <v>47</v>
      </c>
    </row>
    <row r="9736" spans="1:6" x14ac:dyDescent="0.35">
      <c r="A9736">
        <v>1975</v>
      </c>
      <c r="B9736" s="1">
        <v>45930</v>
      </c>
      <c r="C9736" s="2">
        <v>0.58333333333333337</v>
      </c>
      <c r="D9736">
        <v>3</v>
      </c>
      <c r="E9736">
        <v>16.100000000000001</v>
      </c>
      <c r="F9736">
        <v>46</v>
      </c>
    </row>
    <row r="9737" spans="1:6" x14ac:dyDescent="0.35">
      <c r="A9737">
        <v>1975</v>
      </c>
      <c r="B9737" s="1">
        <v>45930</v>
      </c>
      <c r="C9737" s="2">
        <v>0.625</v>
      </c>
      <c r="D9737">
        <v>3</v>
      </c>
      <c r="E9737">
        <v>16.5</v>
      </c>
      <c r="F9737">
        <v>45</v>
      </c>
    </row>
    <row r="9738" spans="1:6" x14ac:dyDescent="0.35">
      <c r="A9738">
        <v>1975</v>
      </c>
      <c r="B9738" s="1">
        <v>45930</v>
      </c>
      <c r="C9738" s="2">
        <v>0.66666666666666663</v>
      </c>
      <c r="D9738">
        <v>3</v>
      </c>
      <c r="E9738">
        <v>13.7</v>
      </c>
      <c r="F9738">
        <v>57</v>
      </c>
    </row>
    <row r="9739" spans="1:6" x14ac:dyDescent="0.35">
      <c r="A9739">
        <v>1975</v>
      </c>
      <c r="B9739" s="1">
        <v>45930</v>
      </c>
      <c r="C9739" s="2">
        <v>0.70833333333333337</v>
      </c>
      <c r="D9739">
        <v>3</v>
      </c>
      <c r="E9739">
        <v>13.2</v>
      </c>
      <c r="F9739">
        <v>59</v>
      </c>
    </row>
    <row r="9740" spans="1:6" x14ac:dyDescent="0.35">
      <c r="A9740">
        <v>1975</v>
      </c>
      <c r="B9740" s="1">
        <v>45930</v>
      </c>
      <c r="C9740" s="2">
        <v>0.75</v>
      </c>
      <c r="D9740">
        <v>3</v>
      </c>
      <c r="E9740">
        <v>11.4</v>
      </c>
      <c r="F9740">
        <v>67</v>
      </c>
    </row>
    <row r="9741" spans="1:6" x14ac:dyDescent="0.35">
      <c r="A9741">
        <v>1975</v>
      </c>
      <c r="B9741" s="1">
        <v>45930</v>
      </c>
      <c r="C9741" s="2">
        <v>0.79166666666666663</v>
      </c>
      <c r="D9741">
        <v>3</v>
      </c>
      <c r="E9741">
        <v>9.1999999999999993</v>
      </c>
      <c r="F9741">
        <v>77</v>
      </c>
    </row>
    <row r="9742" spans="1:6" x14ac:dyDescent="0.35">
      <c r="A9742">
        <v>1975</v>
      </c>
      <c r="B9742" s="1">
        <v>45930</v>
      </c>
      <c r="C9742" s="2">
        <v>0.83333333333333337</v>
      </c>
      <c r="D9742">
        <v>3</v>
      </c>
      <c r="E9742">
        <v>8.3000000000000007</v>
      </c>
      <c r="F9742">
        <v>80</v>
      </c>
    </row>
    <row r="9743" spans="1:6" x14ac:dyDescent="0.35">
      <c r="A9743">
        <v>1975</v>
      </c>
      <c r="B9743" s="1">
        <v>45930</v>
      </c>
      <c r="C9743" s="2">
        <v>0.875</v>
      </c>
      <c r="D9743">
        <v>3</v>
      </c>
      <c r="E9743">
        <v>8.9</v>
      </c>
      <c r="F9743">
        <v>73</v>
      </c>
    </row>
    <row r="9744" spans="1:6" x14ac:dyDescent="0.35">
      <c r="A9744">
        <v>1975</v>
      </c>
      <c r="B9744" s="1">
        <v>45930</v>
      </c>
      <c r="C9744" s="2">
        <v>0.91666666666666663</v>
      </c>
      <c r="D9744">
        <v>3</v>
      </c>
      <c r="E9744">
        <v>8.3000000000000007</v>
      </c>
      <c r="F9744">
        <v>73</v>
      </c>
    </row>
    <row r="9745" spans="1:6" x14ac:dyDescent="0.35">
      <c r="A9745">
        <v>1975</v>
      </c>
      <c r="B9745" s="1">
        <v>45930</v>
      </c>
      <c r="C9745" s="2">
        <v>0.95833333333333337</v>
      </c>
      <c r="D9745">
        <v>3</v>
      </c>
      <c r="E9745">
        <v>7.3</v>
      </c>
      <c r="F9745">
        <v>75</v>
      </c>
    </row>
    <row r="9746" spans="1:6" x14ac:dyDescent="0.35">
      <c r="A9746">
        <v>1975</v>
      </c>
      <c r="B9746" s="1">
        <v>45931</v>
      </c>
      <c r="C9746" s="2">
        <v>0</v>
      </c>
      <c r="D9746">
        <v>3</v>
      </c>
      <c r="E9746">
        <v>6.1</v>
      </c>
      <c r="F9746">
        <v>81</v>
      </c>
    </row>
    <row r="9747" spans="1:6" x14ac:dyDescent="0.35">
      <c r="A9747">
        <v>1975</v>
      </c>
      <c r="B9747" s="1">
        <v>45931</v>
      </c>
      <c r="C9747" s="2">
        <v>4.1666666666666657E-2</v>
      </c>
      <c r="D9747">
        <v>3</v>
      </c>
      <c r="E9747">
        <v>4.5</v>
      </c>
      <c r="F9747">
        <v>91</v>
      </c>
    </row>
    <row r="9748" spans="1:6" x14ac:dyDescent="0.35">
      <c r="A9748">
        <v>1975</v>
      </c>
      <c r="B9748" s="1">
        <v>45931</v>
      </c>
      <c r="C9748" s="2">
        <v>8.3333333333333329E-2</v>
      </c>
      <c r="D9748">
        <v>3</v>
      </c>
      <c r="E9748">
        <v>3.8</v>
      </c>
      <c r="F9748">
        <v>92</v>
      </c>
    </row>
    <row r="9749" spans="1:6" x14ac:dyDescent="0.35">
      <c r="A9749">
        <v>1975</v>
      </c>
      <c r="B9749" s="1">
        <v>45931</v>
      </c>
      <c r="C9749" s="2">
        <v>0.125</v>
      </c>
      <c r="D9749">
        <v>3</v>
      </c>
      <c r="E9749">
        <v>3.3</v>
      </c>
      <c r="F9749">
        <v>90</v>
      </c>
    </row>
    <row r="9750" spans="1:6" x14ac:dyDescent="0.35">
      <c r="A9750">
        <v>1975</v>
      </c>
      <c r="B9750" s="1">
        <v>45931</v>
      </c>
      <c r="C9750" s="2">
        <v>0.16666666666666671</v>
      </c>
      <c r="D9750">
        <v>3</v>
      </c>
      <c r="E9750">
        <v>2.7</v>
      </c>
      <c r="F9750">
        <v>97</v>
      </c>
    </row>
    <row r="9751" spans="1:6" x14ac:dyDescent="0.35">
      <c r="A9751">
        <v>1975</v>
      </c>
      <c r="B9751" s="1">
        <v>45931</v>
      </c>
      <c r="C9751" s="2">
        <v>0.20833333333333329</v>
      </c>
      <c r="D9751">
        <v>3</v>
      </c>
      <c r="E9751">
        <v>1.8</v>
      </c>
      <c r="F9751">
        <v>96</v>
      </c>
    </row>
    <row r="9752" spans="1:6" x14ac:dyDescent="0.35">
      <c r="A9752">
        <v>1975</v>
      </c>
      <c r="B9752" s="1">
        <v>45931</v>
      </c>
      <c r="C9752" s="2">
        <v>0.25</v>
      </c>
      <c r="D9752">
        <v>3</v>
      </c>
      <c r="E9752">
        <v>2.2999999999999998</v>
      </c>
      <c r="F9752">
        <v>95</v>
      </c>
    </row>
    <row r="9753" spans="1:6" x14ac:dyDescent="0.35">
      <c r="A9753">
        <v>1975</v>
      </c>
      <c r="B9753" s="1">
        <v>45931</v>
      </c>
      <c r="C9753" s="2">
        <v>0.29166666666666669</v>
      </c>
      <c r="D9753">
        <v>3</v>
      </c>
      <c r="E9753">
        <v>6.5</v>
      </c>
      <c r="F9753">
        <v>87</v>
      </c>
    </row>
    <row r="9754" spans="1:6" x14ac:dyDescent="0.35">
      <c r="A9754">
        <v>1975</v>
      </c>
      <c r="B9754" s="1">
        <v>45931</v>
      </c>
      <c r="C9754" s="2">
        <v>0.33333333333333331</v>
      </c>
      <c r="D9754">
        <v>3</v>
      </c>
      <c r="E9754">
        <v>8.6</v>
      </c>
      <c r="F9754">
        <v>79</v>
      </c>
    </row>
    <row r="9755" spans="1:6" x14ac:dyDescent="0.35">
      <c r="A9755">
        <v>1975</v>
      </c>
      <c r="B9755" s="1">
        <v>45931</v>
      </c>
      <c r="C9755" s="2">
        <v>0.375</v>
      </c>
      <c r="D9755">
        <v>3</v>
      </c>
      <c r="E9755">
        <v>10.5</v>
      </c>
      <c r="F9755">
        <v>72</v>
      </c>
    </row>
    <row r="9756" spans="1:6" x14ac:dyDescent="0.35">
      <c r="A9756">
        <v>1975</v>
      </c>
      <c r="B9756" s="1">
        <v>45931</v>
      </c>
      <c r="C9756" s="2">
        <v>0.41666666666666669</v>
      </c>
      <c r="D9756">
        <v>3</v>
      </c>
      <c r="E9756">
        <v>11.9</v>
      </c>
      <c r="F9756">
        <v>61</v>
      </c>
    </row>
    <row r="9757" spans="1:6" x14ac:dyDescent="0.35">
      <c r="A9757">
        <v>1975</v>
      </c>
      <c r="B9757" s="1">
        <v>45931</v>
      </c>
      <c r="C9757" s="2">
        <v>0.45833333333333331</v>
      </c>
      <c r="D9757">
        <v>3</v>
      </c>
      <c r="E9757">
        <v>13</v>
      </c>
      <c r="F9757">
        <v>57</v>
      </c>
    </row>
    <row r="9758" spans="1:6" x14ac:dyDescent="0.35">
      <c r="A9758">
        <v>1975</v>
      </c>
      <c r="B9758" s="1">
        <v>45931</v>
      </c>
      <c r="C9758" s="2">
        <v>0.5</v>
      </c>
      <c r="D9758">
        <v>3</v>
      </c>
      <c r="E9758">
        <v>12.9</v>
      </c>
      <c r="F9758">
        <v>49</v>
      </c>
    </row>
    <row r="9759" spans="1:6" x14ac:dyDescent="0.35">
      <c r="A9759">
        <v>1975</v>
      </c>
      <c r="B9759" s="1">
        <v>45931</v>
      </c>
      <c r="C9759" s="2">
        <v>0.54166666666666663</v>
      </c>
      <c r="D9759">
        <v>3</v>
      </c>
      <c r="E9759">
        <v>13.1</v>
      </c>
      <c r="F9759">
        <v>53</v>
      </c>
    </row>
    <row r="9760" spans="1:6" x14ac:dyDescent="0.35">
      <c r="A9760">
        <v>1975</v>
      </c>
      <c r="B9760" s="1">
        <v>45931</v>
      </c>
      <c r="C9760" s="2">
        <v>0.58333333333333337</v>
      </c>
      <c r="D9760">
        <v>3</v>
      </c>
      <c r="E9760">
        <v>13.8</v>
      </c>
      <c r="F9760">
        <v>54</v>
      </c>
    </row>
    <row r="9761" spans="1:6" x14ac:dyDescent="0.35">
      <c r="A9761">
        <v>1975</v>
      </c>
      <c r="B9761" s="1">
        <v>45931</v>
      </c>
      <c r="C9761" s="2">
        <v>0.625</v>
      </c>
      <c r="D9761">
        <v>3</v>
      </c>
      <c r="E9761">
        <v>14</v>
      </c>
      <c r="F9761">
        <v>53</v>
      </c>
    </row>
    <row r="9762" spans="1:6" x14ac:dyDescent="0.35">
      <c r="A9762">
        <v>1975</v>
      </c>
      <c r="B9762" s="1">
        <v>45931</v>
      </c>
      <c r="C9762" s="2">
        <v>0.66666666666666663</v>
      </c>
      <c r="D9762">
        <v>3</v>
      </c>
      <c r="E9762">
        <v>13.2</v>
      </c>
      <c r="F9762">
        <v>58</v>
      </c>
    </row>
    <row r="9763" spans="1:6" x14ac:dyDescent="0.35">
      <c r="A9763">
        <v>1975</v>
      </c>
      <c r="B9763" s="1">
        <v>45931</v>
      </c>
      <c r="C9763" s="2">
        <v>0.70833333333333337</v>
      </c>
      <c r="D9763">
        <v>3</v>
      </c>
      <c r="E9763">
        <v>12</v>
      </c>
      <c r="F9763">
        <v>62</v>
      </c>
    </row>
    <row r="9764" spans="1:6" x14ac:dyDescent="0.35">
      <c r="A9764">
        <v>1975</v>
      </c>
      <c r="B9764" s="1">
        <v>45931</v>
      </c>
      <c r="C9764" s="2">
        <v>0.75</v>
      </c>
      <c r="D9764">
        <v>3</v>
      </c>
      <c r="E9764">
        <v>10.5</v>
      </c>
      <c r="F9764">
        <v>68</v>
      </c>
    </row>
    <row r="9765" spans="1:6" x14ac:dyDescent="0.35">
      <c r="A9765">
        <v>1975</v>
      </c>
      <c r="B9765" s="1">
        <v>45931</v>
      </c>
      <c r="C9765" s="2">
        <v>0.79166666666666663</v>
      </c>
      <c r="D9765">
        <v>3</v>
      </c>
      <c r="E9765">
        <v>10</v>
      </c>
      <c r="F9765">
        <v>72</v>
      </c>
    </row>
    <row r="9766" spans="1:6" x14ac:dyDescent="0.35">
      <c r="A9766">
        <v>1975</v>
      </c>
      <c r="B9766" s="1">
        <v>45931</v>
      </c>
      <c r="C9766" s="2">
        <v>0.83333333333333337</v>
      </c>
      <c r="D9766">
        <v>3</v>
      </c>
      <c r="E9766">
        <v>10.199999999999999</v>
      </c>
      <c r="F9766">
        <v>73</v>
      </c>
    </row>
    <row r="9767" spans="1:6" x14ac:dyDescent="0.35">
      <c r="A9767">
        <v>1975</v>
      </c>
      <c r="B9767" s="1">
        <v>45931</v>
      </c>
      <c r="C9767" s="2">
        <v>0.875</v>
      </c>
      <c r="D9767">
        <v>3</v>
      </c>
      <c r="E9767">
        <v>8.6999999999999993</v>
      </c>
      <c r="F9767">
        <v>78</v>
      </c>
    </row>
    <row r="9768" spans="1:6" x14ac:dyDescent="0.35">
      <c r="A9768">
        <v>1975</v>
      </c>
      <c r="B9768" s="1">
        <v>45931</v>
      </c>
      <c r="C9768" s="2">
        <v>0.91666666666666663</v>
      </c>
      <c r="D9768">
        <v>3</v>
      </c>
      <c r="E9768">
        <v>7.4</v>
      </c>
      <c r="F9768">
        <v>82</v>
      </c>
    </row>
    <row r="9769" spans="1:6" x14ac:dyDescent="0.35">
      <c r="A9769">
        <v>1975</v>
      </c>
      <c r="B9769" s="1">
        <v>45931</v>
      </c>
      <c r="C9769" s="2">
        <v>0.95833333333333337</v>
      </c>
      <c r="D9769">
        <v>3</v>
      </c>
      <c r="E9769">
        <v>6.6</v>
      </c>
      <c r="F9769">
        <v>86</v>
      </c>
    </row>
    <row r="9770" spans="1:6" x14ac:dyDescent="0.35">
      <c r="A9770">
        <v>1975</v>
      </c>
      <c r="B9770" s="1">
        <v>45932</v>
      </c>
      <c r="C9770" s="2">
        <v>0</v>
      </c>
      <c r="D9770">
        <v>3</v>
      </c>
      <c r="E9770">
        <v>5.0999999999999996</v>
      </c>
      <c r="F9770">
        <v>94</v>
      </c>
    </row>
    <row r="9771" spans="1:6" x14ac:dyDescent="0.35">
      <c r="A9771">
        <v>1975</v>
      </c>
      <c r="B9771" s="1">
        <v>45932</v>
      </c>
      <c r="C9771" s="2">
        <v>4.1666666666666657E-2</v>
      </c>
      <c r="D9771">
        <v>3</v>
      </c>
      <c r="E9771">
        <v>4.4000000000000004</v>
      </c>
      <c r="F9771">
        <v>96</v>
      </c>
    </row>
    <row r="9772" spans="1:6" x14ac:dyDescent="0.35">
      <c r="A9772">
        <v>1975</v>
      </c>
      <c r="B9772" s="1">
        <v>45932</v>
      </c>
      <c r="C9772" s="2">
        <v>8.3333333333333329E-2</v>
      </c>
      <c r="D9772">
        <v>3</v>
      </c>
      <c r="E9772">
        <v>3.7</v>
      </c>
      <c r="F9772">
        <v>98</v>
      </c>
    </row>
    <row r="9773" spans="1:6" x14ac:dyDescent="0.35">
      <c r="A9773">
        <v>1975</v>
      </c>
      <c r="B9773" s="1">
        <v>45932</v>
      </c>
      <c r="C9773" s="2">
        <v>0.125</v>
      </c>
      <c r="D9773">
        <v>3</v>
      </c>
      <c r="E9773">
        <v>3.2</v>
      </c>
      <c r="F9773">
        <v>98</v>
      </c>
    </row>
    <row r="9774" spans="1:6" x14ac:dyDescent="0.35">
      <c r="A9774">
        <v>1975</v>
      </c>
      <c r="B9774" s="1">
        <v>45932</v>
      </c>
      <c r="C9774" s="2">
        <v>0.16666666666666671</v>
      </c>
      <c r="D9774">
        <v>3</v>
      </c>
      <c r="E9774">
        <v>3.4</v>
      </c>
      <c r="F9774">
        <v>97</v>
      </c>
    </row>
    <row r="9775" spans="1:6" x14ac:dyDescent="0.35">
      <c r="A9775">
        <v>1975</v>
      </c>
      <c r="B9775" s="1">
        <v>45932</v>
      </c>
      <c r="C9775" s="2">
        <v>0.20833333333333329</v>
      </c>
      <c r="D9775">
        <v>3</v>
      </c>
      <c r="E9775">
        <v>2.9</v>
      </c>
      <c r="F9775">
        <v>98</v>
      </c>
    </row>
    <row r="9776" spans="1:6" x14ac:dyDescent="0.35">
      <c r="A9776">
        <v>1975</v>
      </c>
      <c r="B9776" s="1">
        <v>45932</v>
      </c>
      <c r="C9776" s="2">
        <v>0.25</v>
      </c>
      <c r="D9776">
        <v>3</v>
      </c>
      <c r="E9776">
        <v>3.2</v>
      </c>
      <c r="F9776">
        <v>98</v>
      </c>
    </row>
    <row r="9777" spans="1:6" x14ac:dyDescent="0.35">
      <c r="A9777">
        <v>1975</v>
      </c>
      <c r="B9777" s="1">
        <v>45932</v>
      </c>
      <c r="C9777" s="2">
        <v>0.29166666666666669</v>
      </c>
      <c r="D9777">
        <v>3</v>
      </c>
      <c r="E9777">
        <v>5.8</v>
      </c>
      <c r="F9777">
        <v>94</v>
      </c>
    </row>
    <row r="9778" spans="1:6" x14ac:dyDescent="0.35">
      <c r="A9778">
        <v>1975</v>
      </c>
      <c r="B9778" s="1">
        <v>45932</v>
      </c>
      <c r="C9778" s="2">
        <v>0.33333333333333331</v>
      </c>
      <c r="D9778">
        <v>3</v>
      </c>
      <c r="E9778">
        <v>9.4</v>
      </c>
      <c r="F9778">
        <v>78</v>
      </c>
    </row>
    <row r="9779" spans="1:6" x14ac:dyDescent="0.35">
      <c r="A9779">
        <v>1975</v>
      </c>
      <c r="B9779" s="1">
        <v>45932</v>
      </c>
      <c r="C9779" s="2">
        <v>0.375</v>
      </c>
      <c r="D9779">
        <v>3</v>
      </c>
      <c r="E9779">
        <v>11.3</v>
      </c>
      <c r="F9779">
        <v>69</v>
      </c>
    </row>
    <row r="9780" spans="1:6" x14ac:dyDescent="0.35">
      <c r="A9780">
        <v>1975</v>
      </c>
      <c r="B9780" s="1">
        <v>45932</v>
      </c>
      <c r="C9780" s="2">
        <v>0.41666666666666669</v>
      </c>
      <c r="D9780">
        <v>3</v>
      </c>
      <c r="E9780">
        <v>12.6</v>
      </c>
      <c r="F9780">
        <v>63</v>
      </c>
    </row>
    <row r="9781" spans="1:6" x14ac:dyDescent="0.35">
      <c r="A9781">
        <v>1975</v>
      </c>
      <c r="B9781" s="1">
        <v>45932</v>
      </c>
      <c r="C9781" s="2">
        <v>0.45833333333333331</v>
      </c>
      <c r="D9781">
        <v>3</v>
      </c>
      <c r="E9781">
        <v>13.3</v>
      </c>
      <c r="F9781">
        <v>59</v>
      </c>
    </row>
    <row r="9782" spans="1:6" x14ac:dyDescent="0.35">
      <c r="A9782">
        <v>1975</v>
      </c>
      <c r="B9782" s="1">
        <v>45932</v>
      </c>
      <c r="C9782" s="2">
        <v>0.5</v>
      </c>
      <c r="D9782">
        <v>3</v>
      </c>
      <c r="E9782">
        <v>14.3</v>
      </c>
      <c r="F9782">
        <v>53</v>
      </c>
    </row>
    <row r="9783" spans="1:6" x14ac:dyDescent="0.35">
      <c r="A9783">
        <v>1975</v>
      </c>
      <c r="B9783" s="1">
        <v>45932</v>
      </c>
      <c r="C9783" s="2">
        <v>0.54166666666666663</v>
      </c>
      <c r="D9783">
        <v>3</v>
      </c>
      <c r="E9783">
        <v>14.3</v>
      </c>
      <c r="F9783">
        <v>52</v>
      </c>
    </row>
    <row r="9784" spans="1:6" x14ac:dyDescent="0.35">
      <c r="A9784">
        <v>1975</v>
      </c>
      <c r="B9784" s="1">
        <v>45932</v>
      </c>
      <c r="C9784" s="2">
        <v>0.58333333333333337</v>
      </c>
      <c r="D9784">
        <v>3</v>
      </c>
      <c r="E9784">
        <v>15</v>
      </c>
      <c r="F9784">
        <v>52</v>
      </c>
    </row>
    <row r="9785" spans="1:6" x14ac:dyDescent="0.35">
      <c r="A9785">
        <v>1975</v>
      </c>
      <c r="B9785" s="1">
        <v>45932</v>
      </c>
      <c r="C9785" s="2">
        <v>0.625</v>
      </c>
      <c r="D9785">
        <v>3</v>
      </c>
      <c r="E9785">
        <v>14.4</v>
      </c>
      <c r="F9785">
        <v>52</v>
      </c>
    </row>
    <row r="9786" spans="1:6" x14ac:dyDescent="0.35">
      <c r="A9786">
        <v>1975</v>
      </c>
      <c r="B9786" s="1">
        <v>45932</v>
      </c>
      <c r="C9786" s="2">
        <v>0.66666666666666663</v>
      </c>
      <c r="D9786">
        <v>3</v>
      </c>
      <c r="E9786">
        <v>13.8</v>
      </c>
      <c r="F9786">
        <v>56</v>
      </c>
    </row>
    <row r="9787" spans="1:6" x14ac:dyDescent="0.35">
      <c r="A9787">
        <v>1975</v>
      </c>
      <c r="B9787" s="1">
        <v>45932</v>
      </c>
      <c r="C9787" s="2">
        <v>0.70833333333333337</v>
      </c>
      <c r="D9787">
        <v>3</v>
      </c>
      <c r="E9787">
        <v>12.4</v>
      </c>
      <c r="F9787">
        <v>59</v>
      </c>
    </row>
    <row r="9788" spans="1:6" x14ac:dyDescent="0.35">
      <c r="A9788">
        <v>1975</v>
      </c>
      <c r="B9788" s="1">
        <v>45932</v>
      </c>
      <c r="C9788" s="2">
        <v>0.75</v>
      </c>
      <c r="D9788">
        <v>3</v>
      </c>
      <c r="E9788">
        <v>10.7</v>
      </c>
      <c r="F9788">
        <v>67</v>
      </c>
    </row>
    <row r="9789" spans="1:6" x14ac:dyDescent="0.35">
      <c r="A9789">
        <v>1975</v>
      </c>
      <c r="B9789" s="1">
        <v>45932</v>
      </c>
      <c r="C9789" s="2">
        <v>0.79166666666666663</v>
      </c>
      <c r="D9789">
        <v>3</v>
      </c>
      <c r="E9789">
        <v>9.3000000000000007</v>
      </c>
      <c r="F9789">
        <v>73</v>
      </c>
    </row>
    <row r="9790" spans="1:6" x14ac:dyDescent="0.35">
      <c r="A9790">
        <v>1975</v>
      </c>
      <c r="B9790" s="1">
        <v>45932</v>
      </c>
      <c r="C9790" s="2">
        <v>0.83333333333333337</v>
      </c>
      <c r="D9790">
        <v>3</v>
      </c>
      <c r="E9790">
        <v>9</v>
      </c>
      <c r="F9790">
        <v>74</v>
      </c>
    </row>
    <row r="9791" spans="1:6" x14ac:dyDescent="0.35">
      <c r="A9791">
        <v>1975</v>
      </c>
      <c r="B9791" s="1">
        <v>45932</v>
      </c>
      <c r="C9791" s="2">
        <v>0.875</v>
      </c>
      <c r="D9791">
        <v>3</v>
      </c>
      <c r="E9791">
        <v>7.6</v>
      </c>
      <c r="F9791">
        <v>77</v>
      </c>
    </row>
    <row r="9792" spans="1:6" x14ac:dyDescent="0.35">
      <c r="A9792">
        <v>1975</v>
      </c>
      <c r="B9792" s="1">
        <v>45932</v>
      </c>
      <c r="C9792" s="2">
        <v>0.91666666666666663</v>
      </c>
      <c r="D9792">
        <v>3</v>
      </c>
      <c r="E9792">
        <v>7.8</v>
      </c>
      <c r="F9792">
        <v>77</v>
      </c>
    </row>
    <row r="9793" spans="1:6" x14ac:dyDescent="0.35">
      <c r="A9793">
        <v>1975</v>
      </c>
      <c r="B9793" s="1">
        <v>45932</v>
      </c>
      <c r="C9793" s="2">
        <v>0.95833333333333337</v>
      </c>
      <c r="D9793">
        <v>3</v>
      </c>
      <c r="E9793">
        <v>5.2</v>
      </c>
      <c r="F9793">
        <v>91</v>
      </c>
    </row>
    <row r="9794" spans="1:6" x14ac:dyDescent="0.35">
      <c r="A9794">
        <v>1975</v>
      </c>
      <c r="B9794" s="1">
        <v>45933</v>
      </c>
      <c r="C9794" s="2">
        <v>0</v>
      </c>
      <c r="D9794">
        <v>3</v>
      </c>
      <c r="E9794">
        <v>5</v>
      </c>
      <c r="F9794">
        <v>86</v>
      </c>
    </row>
    <row r="9795" spans="1:6" x14ac:dyDescent="0.35">
      <c r="A9795">
        <v>1975</v>
      </c>
      <c r="B9795" s="1">
        <v>45933</v>
      </c>
      <c r="C9795" s="2">
        <v>4.1666666666666657E-2</v>
      </c>
      <c r="D9795">
        <v>3</v>
      </c>
      <c r="E9795">
        <v>4.7</v>
      </c>
      <c r="F9795">
        <v>85</v>
      </c>
    </row>
    <row r="9796" spans="1:6" x14ac:dyDescent="0.35">
      <c r="A9796">
        <v>1975</v>
      </c>
      <c r="B9796" s="1">
        <v>45933</v>
      </c>
      <c r="C9796" s="2">
        <v>8.3333333333333329E-2</v>
      </c>
      <c r="D9796">
        <v>3</v>
      </c>
      <c r="E9796">
        <v>3.6</v>
      </c>
      <c r="F9796">
        <v>92</v>
      </c>
    </row>
    <row r="9797" spans="1:6" x14ac:dyDescent="0.35">
      <c r="A9797">
        <v>1975</v>
      </c>
      <c r="B9797" s="1">
        <v>45933</v>
      </c>
      <c r="C9797" s="2">
        <v>0.125</v>
      </c>
      <c r="D9797">
        <v>3</v>
      </c>
      <c r="E9797">
        <v>3.4</v>
      </c>
      <c r="F9797">
        <v>90</v>
      </c>
    </row>
    <row r="9798" spans="1:6" x14ac:dyDescent="0.35">
      <c r="A9798">
        <v>1975</v>
      </c>
      <c r="B9798" s="1">
        <v>45933</v>
      </c>
      <c r="C9798" s="2">
        <v>0.16666666666666671</v>
      </c>
      <c r="D9798">
        <v>3</v>
      </c>
      <c r="E9798">
        <v>4.4000000000000004</v>
      </c>
      <c r="F9798">
        <v>88</v>
      </c>
    </row>
    <row r="9799" spans="1:6" x14ac:dyDescent="0.35">
      <c r="A9799">
        <v>1975</v>
      </c>
      <c r="B9799" s="1">
        <v>45933</v>
      </c>
      <c r="C9799" s="2">
        <v>0.20833333333333329</v>
      </c>
      <c r="D9799">
        <v>3</v>
      </c>
      <c r="E9799">
        <v>4.3</v>
      </c>
      <c r="F9799">
        <v>88</v>
      </c>
    </row>
    <row r="9800" spans="1:6" x14ac:dyDescent="0.35">
      <c r="A9800">
        <v>1975</v>
      </c>
      <c r="B9800" s="1">
        <v>45933</v>
      </c>
      <c r="C9800" s="2">
        <v>0.25</v>
      </c>
      <c r="D9800">
        <v>3</v>
      </c>
      <c r="E9800">
        <v>4.5</v>
      </c>
      <c r="F9800">
        <v>88</v>
      </c>
    </row>
    <row r="9801" spans="1:6" x14ac:dyDescent="0.35">
      <c r="A9801">
        <v>1975</v>
      </c>
      <c r="B9801" s="1">
        <v>45933</v>
      </c>
      <c r="C9801" s="2">
        <v>0.29166666666666669</v>
      </c>
      <c r="D9801">
        <v>3</v>
      </c>
      <c r="E9801">
        <v>6.3</v>
      </c>
      <c r="F9801">
        <v>82</v>
      </c>
    </row>
    <row r="9802" spans="1:6" x14ac:dyDescent="0.35">
      <c r="A9802">
        <v>1975</v>
      </c>
      <c r="B9802" s="1">
        <v>45933</v>
      </c>
      <c r="C9802" s="2">
        <v>0.33333333333333331</v>
      </c>
      <c r="D9802">
        <v>3</v>
      </c>
      <c r="E9802">
        <v>8.4</v>
      </c>
      <c r="F9802">
        <v>74</v>
      </c>
    </row>
    <row r="9803" spans="1:6" x14ac:dyDescent="0.35">
      <c r="A9803">
        <v>1975</v>
      </c>
      <c r="B9803" s="1">
        <v>45933</v>
      </c>
      <c r="C9803" s="2">
        <v>0.375</v>
      </c>
      <c r="D9803">
        <v>3</v>
      </c>
      <c r="E9803">
        <v>11</v>
      </c>
      <c r="F9803">
        <v>65</v>
      </c>
    </row>
    <row r="9804" spans="1:6" x14ac:dyDescent="0.35">
      <c r="A9804">
        <v>1975</v>
      </c>
      <c r="B9804" s="1">
        <v>45933</v>
      </c>
      <c r="C9804" s="2">
        <v>0.41666666666666669</v>
      </c>
      <c r="D9804">
        <v>3</v>
      </c>
      <c r="E9804">
        <v>13.1</v>
      </c>
      <c r="F9804">
        <v>59</v>
      </c>
    </row>
    <row r="9805" spans="1:6" x14ac:dyDescent="0.35">
      <c r="A9805">
        <v>1975</v>
      </c>
      <c r="B9805" s="1">
        <v>45933</v>
      </c>
      <c r="C9805" s="2">
        <v>0.45833333333333331</v>
      </c>
      <c r="D9805">
        <v>3</v>
      </c>
      <c r="E9805">
        <v>14.7</v>
      </c>
      <c r="F9805">
        <v>50</v>
      </c>
    </row>
    <row r="9806" spans="1:6" x14ac:dyDescent="0.35">
      <c r="A9806">
        <v>1975</v>
      </c>
      <c r="B9806" s="1">
        <v>45933</v>
      </c>
      <c r="C9806" s="2">
        <v>0.5</v>
      </c>
      <c r="D9806">
        <v>3</v>
      </c>
      <c r="E9806">
        <v>16.100000000000001</v>
      </c>
      <c r="F9806">
        <v>44</v>
      </c>
    </row>
    <row r="9807" spans="1:6" x14ac:dyDescent="0.35">
      <c r="A9807">
        <v>1975</v>
      </c>
      <c r="B9807" s="1">
        <v>45933</v>
      </c>
      <c r="C9807" s="2">
        <v>0.54166666666666663</v>
      </c>
      <c r="D9807">
        <v>3</v>
      </c>
      <c r="E9807">
        <v>15.7</v>
      </c>
      <c r="F9807">
        <v>41</v>
      </c>
    </row>
    <row r="9808" spans="1:6" x14ac:dyDescent="0.35">
      <c r="A9808">
        <v>1975</v>
      </c>
      <c r="B9808" s="1">
        <v>45933</v>
      </c>
      <c r="C9808" s="2">
        <v>0.58333333333333337</v>
      </c>
      <c r="D9808">
        <v>3</v>
      </c>
      <c r="E9808">
        <v>15.6</v>
      </c>
      <c r="F9808">
        <v>39</v>
      </c>
    </row>
    <row r="9809" spans="1:6" x14ac:dyDescent="0.35">
      <c r="A9809">
        <v>1975</v>
      </c>
      <c r="B9809" s="1">
        <v>45933</v>
      </c>
      <c r="C9809" s="2">
        <v>0.625</v>
      </c>
      <c r="D9809">
        <v>3</v>
      </c>
      <c r="E9809">
        <v>15.9</v>
      </c>
      <c r="F9809">
        <v>40</v>
      </c>
    </row>
    <row r="9810" spans="1:6" x14ac:dyDescent="0.35">
      <c r="A9810">
        <v>1975</v>
      </c>
      <c r="B9810" s="1">
        <v>45933</v>
      </c>
      <c r="C9810" s="2">
        <v>0.66666666666666663</v>
      </c>
      <c r="D9810">
        <v>3</v>
      </c>
      <c r="E9810">
        <v>15.2</v>
      </c>
      <c r="F9810">
        <v>42</v>
      </c>
    </row>
    <row r="9811" spans="1:6" x14ac:dyDescent="0.35">
      <c r="A9811">
        <v>1975</v>
      </c>
      <c r="B9811" s="1">
        <v>45933</v>
      </c>
      <c r="C9811" s="2">
        <v>0.70833333333333337</v>
      </c>
      <c r="D9811">
        <v>3</v>
      </c>
      <c r="E9811">
        <v>14</v>
      </c>
      <c r="F9811">
        <v>45</v>
      </c>
    </row>
    <row r="9812" spans="1:6" x14ac:dyDescent="0.35">
      <c r="A9812">
        <v>1975</v>
      </c>
      <c r="B9812" s="1">
        <v>45933</v>
      </c>
      <c r="C9812" s="2">
        <v>0.75</v>
      </c>
      <c r="D9812">
        <v>3</v>
      </c>
      <c r="E9812">
        <v>13.5</v>
      </c>
      <c r="F9812">
        <v>46</v>
      </c>
    </row>
    <row r="9813" spans="1:6" x14ac:dyDescent="0.35">
      <c r="A9813">
        <v>1975</v>
      </c>
      <c r="B9813" s="1">
        <v>45933</v>
      </c>
      <c r="C9813" s="2">
        <v>0.79166666666666663</v>
      </c>
      <c r="D9813">
        <v>3</v>
      </c>
      <c r="E9813">
        <v>12.6</v>
      </c>
      <c r="F9813">
        <v>48</v>
      </c>
    </row>
    <row r="9814" spans="1:6" x14ac:dyDescent="0.35">
      <c r="A9814">
        <v>1975</v>
      </c>
      <c r="B9814" s="1">
        <v>45933</v>
      </c>
      <c r="C9814" s="2">
        <v>0.83333333333333337</v>
      </c>
      <c r="D9814">
        <v>3</v>
      </c>
      <c r="E9814">
        <v>12.1</v>
      </c>
      <c r="F9814">
        <v>51</v>
      </c>
    </row>
    <row r="9815" spans="1:6" x14ac:dyDescent="0.35">
      <c r="A9815">
        <v>1975</v>
      </c>
      <c r="B9815" s="1">
        <v>45933</v>
      </c>
      <c r="C9815" s="2">
        <v>0.875</v>
      </c>
      <c r="D9815">
        <v>3</v>
      </c>
      <c r="E9815">
        <v>12.2</v>
      </c>
      <c r="F9815">
        <v>52</v>
      </c>
    </row>
    <row r="9816" spans="1:6" x14ac:dyDescent="0.35">
      <c r="A9816">
        <v>1975</v>
      </c>
      <c r="B9816" s="1">
        <v>45933</v>
      </c>
      <c r="C9816" s="2">
        <v>0.91666666666666663</v>
      </c>
      <c r="D9816">
        <v>3</v>
      </c>
      <c r="E9816">
        <v>11.9</v>
      </c>
      <c r="F9816">
        <v>54</v>
      </c>
    </row>
    <row r="9817" spans="1:6" x14ac:dyDescent="0.35">
      <c r="A9817">
        <v>1975</v>
      </c>
      <c r="B9817" s="1">
        <v>45933</v>
      </c>
      <c r="C9817" s="2">
        <v>0.95833333333333337</v>
      </c>
      <c r="D9817">
        <v>3</v>
      </c>
      <c r="E9817">
        <v>11.6</v>
      </c>
      <c r="F9817">
        <v>57</v>
      </c>
    </row>
    <row r="9818" spans="1:6" x14ac:dyDescent="0.35">
      <c r="A9818">
        <v>1975</v>
      </c>
      <c r="B9818" s="1">
        <v>45934</v>
      </c>
      <c r="C9818" s="2">
        <v>0</v>
      </c>
      <c r="D9818">
        <v>3</v>
      </c>
      <c r="E9818">
        <v>10.5</v>
      </c>
      <c r="F9818">
        <v>69</v>
      </c>
    </row>
    <row r="9819" spans="1:6" x14ac:dyDescent="0.35">
      <c r="A9819">
        <v>1975</v>
      </c>
      <c r="B9819" s="1">
        <v>45934</v>
      </c>
      <c r="C9819" s="2">
        <v>4.1666666666666657E-2</v>
      </c>
      <c r="D9819">
        <v>3</v>
      </c>
      <c r="E9819">
        <v>9.1999999999999993</v>
      </c>
      <c r="F9819">
        <v>81</v>
      </c>
    </row>
    <row r="9820" spans="1:6" x14ac:dyDescent="0.35">
      <c r="A9820">
        <v>1975</v>
      </c>
      <c r="B9820" s="1">
        <v>45934</v>
      </c>
      <c r="C9820" s="2">
        <v>8.3333333333333329E-2</v>
      </c>
      <c r="D9820">
        <v>3</v>
      </c>
      <c r="E9820">
        <v>8.6</v>
      </c>
      <c r="F9820">
        <v>87</v>
      </c>
    </row>
    <row r="9821" spans="1:6" x14ac:dyDescent="0.35">
      <c r="A9821">
        <v>1975</v>
      </c>
      <c r="B9821" s="1">
        <v>45934</v>
      </c>
      <c r="C9821" s="2">
        <v>0.125</v>
      </c>
      <c r="D9821">
        <v>3</v>
      </c>
      <c r="E9821">
        <v>8.6999999999999993</v>
      </c>
      <c r="F9821">
        <v>89</v>
      </c>
    </row>
    <row r="9822" spans="1:6" x14ac:dyDescent="0.35">
      <c r="A9822">
        <v>1975</v>
      </c>
      <c r="B9822" s="1">
        <v>45934</v>
      </c>
      <c r="C9822" s="2">
        <v>0.16666666666666671</v>
      </c>
      <c r="D9822">
        <v>3</v>
      </c>
      <c r="E9822">
        <v>8.5</v>
      </c>
      <c r="F9822">
        <v>93</v>
      </c>
    </row>
    <row r="9823" spans="1:6" x14ac:dyDescent="0.35">
      <c r="A9823">
        <v>1975</v>
      </c>
      <c r="B9823" s="1">
        <v>45934</v>
      </c>
      <c r="C9823" s="2">
        <v>0.20833333333333329</v>
      </c>
      <c r="D9823">
        <v>3</v>
      </c>
      <c r="E9823">
        <v>8.6</v>
      </c>
      <c r="F9823">
        <v>95</v>
      </c>
    </row>
    <row r="9824" spans="1:6" x14ac:dyDescent="0.35">
      <c r="A9824">
        <v>1975</v>
      </c>
      <c r="B9824" s="1">
        <v>45934</v>
      </c>
      <c r="C9824" s="2">
        <v>0.25</v>
      </c>
      <c r="D9824">
        <v>3</v>
      </c>
      <c r="E9824">
        <v>8.9</v>
      </c>
      <c r="F9824">
        <v>95</v>
      </c>
    </row>
    <row r="9825" spans="1:6" x14ac:dyDescent="0.35">
      <c r="A9825">
        <v>1975</v>
      </c>
      <c r="B9825" s="1">
        <v>45934</v>
      </c>
      <c r="C9825" s="2">
        <v>0.29166666666666669</v>
      </c>
      <c r="D9825">
        <v>3</v>
      </c>
      <c r="E9825">
        <v>9.6</v>
      </c>
      <c r="F9825">
        <v>97</v>
      </c>
    </row>
    <row r="9826" spans="1:6" x14ac:dyDescent="0.35">
      <c r="A9826">
        <v>1975</v>
      </c>
      <c r="B9826" s="1">
        <v>45934</v>
      </c>
      <c r="C9826" s="2">
        <v>0.33333333333333331</v>
      </c>
      <c r="D9826">
        <v>3</v>
      </c>
      <c r="E9826">
        <v>11.1</v>
      </c>
      <c r="F9826">
        <v>96</v>
      </c>
    </row>
    <row r="9827" spans="1:6" x14ac:dyDescent="0.35">
      <c r="A9827">
        <v>1975</v>
      </c>
      <c r="B9827" s="1">
        <v>45934</v>
      </c>
      <c r="C9827" s="2">
        <v>0.375</v>
      </c>
      <c r="D9827">
        <v>3</v>
      </c>
      <c r="E9827">
        <v>12.1</v>
      </c>
      <c r="F9827">
        <v>96</v>
      </c>
    </row>
    <row r="9828" spans="1:6" x14ac:dyDescent="0.35">
      <c r="A9828">
        <v>1975</v>
      </c>
      <c r="B9828" s="1">
        <v>45934</v>
      </c>
      <c r="C9828" s="2">
        <v>0.41666666666666669</v>
      </c>
      <c r="D9828">
        <v>3</v>
      </c>
      <c r="E9828">
        <v>12.2</v>
      </c>
      <c r="F9828">
        <v>94</v>
      </c>
    </row>
    <row r="9829" spans="1:6" x14ac:dyDescent="0.35">
      <c r="A9829">
        <v>1975</v>
      </c>
      <c r="B9829" s="1">
        <v>45934</v>
      </c>
      <c r="C9829" s="2">
        <v>0.45833333333333331</v>
      </c>
      <c r="D9829">
        <v>3</v>
      </c>
      <c r="E9829">
        <v>12</v>
      </c>
      <c r="F9829">
        <v>94</v>
      </c>
    </row>
    <row r="9830" spans="1:6" x14ac:dyDescent="0.35">
      <c r="A9830">
        <v>1975</v>
      </c>
      <c r="B9830" s="1">
        <v>45934</v>
      </c>
      <c r="C9830" s="2">
        <v>0.5</v>
      </c>
      <c r="D9830">
        <v>3</v>
      </c>
      <c r="E9830">
        <v>12.1</v>
      </c>
      <c r="F9830">
        <v>92</v>
      </c>
    </row>
    <row r="9831" spans="1:6" x14ac:dyDescent="0.35">
      <c r="A9831">
        <v>1975</v>
      </c>
      <c r="B9831" s="1">
        <v>45934</v>
      </c>
      <c r="C9831" s="2">
        <v>0.54166666666666663</v>
      </c>
      <c r="D9831">
        <v>3</v>
      </c>
      <c r="E9831">
        <v>12</v>
      </c>
      <c r="F9831">
        <v>94</v>
      </c>
    </row>
    <row r="9832" spans="1:6" x14ac:dyDescent="0.35">
      <c r="A9832">
        <v>1975</v>
      </c>
      <c r="B9832" s="1">
        <v>45934</v>
      </c>
      <c r="C9832" s="2">
        <v>0.58333333333333337</v>
      </c>
      <c r="D9832">
        <v>3</v>
      </c>
      <c r="E9832">
        <v>11</v>
      </c>
      <c r="F9832">
        <v>89</v>
      </c>
    </row>
    <row r="9833" spans="1:6" x14ac:dyDescent="0.35">
      <c r="A9833">
        <v>1975</v>
      </c>
      <c r="B9833" s="1">
        <v>45934</v>
      </c>
      <c r="C9833" s="2">
        <v>0.625</v>
      </c>
      <c r="D9833">
        <v>3</v>
      </c>
      <c r="E9833">
        <v>11.7</v>
      </c>
      <c r="F9833">
        <v>86</v>
      </c>
    </row>
    <row r="9834" spans="1:6" x14ac:dyDescent="0.35">
      <c r="A9834">
        <v>1975</v>
      </c>
      <c r="B9834" s="1">
        <v>45934</v>
      </c>
      <c r="C9834" s="2">
        <v>0.66666666666666663</v>
      </c>
      <c r="D9834">
        <v>3</v>
      </c>
      <c r="E9834">
        <v>9.1999999999999993</v>
      </c>
      <c r="F9834">
        <v>86</v>
      </c>
    </row>
    <row r="9835" spans="1:6" x14ac:dyDescent="0.35">
      <c r="A9835">
        <v>1975</v>
      </c>
      <c r="B9835" s="1">
        <v>45934</v>
      </c>
      <c r="C9835" s="2">
        <v>0.70833333333333337</v>
      </c>
      <c r="D9835">
        <v>3</v>
      </c>
      <c r="E9835">
        <v>9.5</v>
      </c>
      <c r="F9835">
        <v>85</v>
      </c>
    </row>
    <row r="9836" spans="1:6" x14ac:dyDescent="0.35">
      <c r="A9836">
        <v>1975</v>
      </c>
      <c r="B9836" s="1">
        <v>45934</v>
      </c>
      <c r="C9836" s="2">
        <v>0.75</v>
      </c>
      <c r="D9836">
        <v>3</v>
      </c>
      <c r="E9836">
        <v>9.3000000000000007</v>
      </c>
      <c r="F9836">
        <v>86</v>
      </c>
    </row>
    <row r="9837" spans="1:6" x14ac:dyDescent="0.35">
      <c r="A9837">
        <v>1975</v>
      </c>
      <c r="B9837" s="1">
        <v>45934</v>
      </c>
      <c r="C9837" s="2">
        <v>0.79166666666666663</v>
      </c>
      <c r="D9837">
        <v>3</v>
      </c>
      <c r="E9837">
        <v>9.4</v>
      </c>
      <c r="F9837">
        <v>84</v>
      </c>
    </row>
    <row r="9838" spans="1:6" x14ac:dyDescent="0.35">
      <c r="A9838">
        <v>1975</v>
      </c>
      <c r="B9838" s="1">
        <v>45934</v>
      </c>
      <c r="C9838" s="2">
        <v>0.83333333333333337</v>
      </c>
      <c r="D9838">
        <v>3</v>
      </c>
      <c r="E9838">
        <v>9.4</v>
      </c>
      <c r="F9838">
        <v>89</v>
      </c>
    </row>
    <row r="9839" spans="1:6" x14ac:dyDescent="0.35">
      <c r="A9839">
        <v>1975</v>
      </c>
      <c r="B9839" s="1">
        <v>45934</v>
      </c>
      <c r="C9839" s="2">
        <v>0.875</v>
      </c>
      <c r="D9839">
        <v>3</v>
      </c>
      <c r="E9839">
        <v>9.1999999999999993</v>
      </c>
      <c r="F9839">
        <v>94</v>
      </c>
    </row>
    <row r="9840" spans="1:6" x14ac:dyDescent="0.35">
      <c r="A9840">
        <v>1975</v>
      </c>
      <c r="B9840" s="1">
        <v>45934</v>
      </c>
      <c r="C9840" s="2">
        <v>0.91666666666666663</v>
      </c>
      <c r="D9840">
        <v>3</v>
      </c>
      <c r="E9840">
        <v>9.8000000000000007</v>
      </c>
      <c r="F9840">
        <v>90</v>
      </c>
    </row>
    <row r="9841" spans="1:6" x14ac:dyDescent="0.35">
      <c r="A9841">
        <v>1975</v>
      </c>
      <c r="B9841" s="1">
        <v>45934</v>
      </c>
      <c r="C9841" s="2">
        <v>0.95833333333333337</v>
      </c>
      <c r="D9841">
        <v>3</v>
      </c>
      <c r="E9841">
        <v>10</v>
      </c>
      <c r="F9841">
        <v>90</v>
      </c>
    </row>
    <row r="9842" spans="1:6" x14ac:dyDescent="0.35">
      <c r="A9842">
        <v>1975</v>
      </c>
      <c r="B9842" s="1">
        <v>45935</v>
      </c>
      <c r="C9842" s="2">
        <v>0</v>
      </c>
      <c r="D9842">
        <v>3</v>
      </c>
      <c r="E9842">
        <v>10.199999999999999</v>
      </c>
      <c r="F9842">
        <v>90</v>
      </c>
    </row>
    <row r="9843" spans="1:6" x14ac:dyDescent="0.35">
      <c r="A9843">
        <v>1975</v>
      </c>
      <c r="B9843" s="1">
        <v>45935</v>
      </c>
      <c r="C9843" s="2">
        <v>4.1666666666666657E-2</v>
      </c>
      <c r="D9843">
        <v>3</v>
      </c>
      <c r="E9843">
        <v>10.3</v>
      </c>
      <c r="F9843">
        <v>89</v>
      </c>
    </row>
    <row r="9844" spans="1:6" x14ac:dyDescent="0.35">
      <c r="A9844">
        <v>1975</v>
      </c>
      <c r="B9844" s="1">
        <v>45935</v>
      </c>
      <c r="C9844" s="2">
        <v>8.3333333333333329E-2</v>
      </c>
      <c r="D9844">
        <v>3</v>
      </c>
      <c r="E9844">
        <v>10.5</v>
      </c>
      <c r="F9844">
        <v>85</v>
      </c>
    </row>
    <row r="9845" spans="1:6" x14ac:dyDescent="0.35">
      <c r="A9845">
        <v>1975</v>
      </c>
      <c r="B9845" s="1">
        <v>45935</v>
      </c>
      <c r="C9845" s="2">
        <v>0.125</v>
      </c>
      <c r="D9845">
        <v>3</v>
      </c>
      <c r="E9845">
        <v>10.6</v>
      </c>
      <c r="F9845">
        <v>84</v>
      </c>
    </row>
    <row r="9846" spans="1:6" x14ac:dyDescent="0.35">
      <c r="A9846">
        <v>1975</v>
      </c>
      <c r="B9846" s="1">
        <v>45935</v>
      </c>
      <c r="C9846" s="2">
        <v>0.16666666666666671</v>
      </c>
      <c r="D9846">
        <v>3</v>
      </c>
      <c r="E9846">
        <v>10.6</v>
      </c>
      <c r="F9846">
        <v>83</v>
      </c>
    </row>
    <row r="9847" spans="1:6" x14ac:dyDescent="0.35">
      <c r="A9847">
        <v>1975</v>
      </c>
      <c r="B9847" s="1">
        <v>45935</v>
      </c>
      <c r="C9847" s="2">
        <v>0.20833333333333329</v>
      </c>
      <c r="D9847">
        <v>3</v>
      </c>
      <c r="E9847">
        <v>10.8</v>
      </c>
      <c r="F9847">
        <v>82</v>
      </c>
    </row>
    <row r="9848" spans="1:6" x14ac:dyDescent="0.35">
      <c r="A9848">
        <v>1975</v>
      </c>
      <c r="B9848" s="1">
        <v>45935</v>
      </c>
      <c r="C9848" s="2">
        <v>0.25</v>
      </c>
      <c r="D9848">
        <v>3</v>
      </c>
      <c r="E9848">
        <v>10.3</v>
      </c>
      <c r="F9848">
        <v>84</v>
      </c>
    </row>
    <row r="9849" spans="1:6" x14ac:dyDescent="0.35">
      <c r="A9849">
        <v>1975</v>
      </c>
      <c r="B9849" s="1">
        <v>45935</v>
      </c>
      <c r="C9849" s="2">
        <v>0.29166666666666669</v>
      </c>
      <c r="D9849">
        <v>3</v>
      </c>
      <c r="E9849">
        <v>11.1</v>
      </c>
      <c r="F9849">
        <v>80</v>
      </c>
    </row>
    <row r="9850" spans="1:6" x14ac:dyDescent="0.35">
      <c r="A9850">
        <v>1975</v>
      </c>
      <c r="B9850" s="1">
        <v>45935</v>
      </c>
      <c r="C9850" s="2">
        <v>0.33333333333333331</v>
      </c>
      <c r="D9850">
        <v>3</v>
      </c>
      <c r="E9850">
        <v>11.4</v>
      </c>
      <c r="F9850">
        <v>79</v>
      </c>
    </row>
    <row r="9851" spans="1:6" x14ac:dyDescent="0.35">
      <c r="A9851">
        <v>1975</v>
      </c>
      <c r="B9851" s="1">
        <v>45935</v>
      </c>
      <c r="C9851" s="2">
        <v>0.375</v>
      </c>
      <c r="D9851">
        <v>3</v>
      </c>
      <c r="E9851">
        <v>11.7</v>
      </c>
      <c r="F9851">
        <v>80</v>
      </c>
    </row>
    <row r="9852" spans="1:6" x14ac:dyDescent="0.35">
      <c r="A9852">
        <v>1975</v>
      </c>
      <c r="B9852" s="1">
        <v>45935</v>
      </c>
      <c r="C9852" s="2">
        <v>0.41666666666666669</v>
      </c>
      <c r="D9852">
        <v>3</v>
      </c>
      <c r="E9852">
        <v>11.7</v>
      </c>
      <c r="F9852">
        <v>84</v>
      </c>
    </row>
    <row r="9853" spans="1:6" x14ac:dyDescent="0.35">
      <c r="A9853">
        <v>1975</v>
      </c>
      <c r="B9853" s="1">
        <v>45935</v>
      </c>
      <c r="C9853" s="2">
        <v>0.45833333333333331</v>
      </c>
      <c r="D9853">
        <v>3</v>
      </c>
      <c r="E9853">
        <v>12.7</v>
      </c>
      <c r="F9853">
        <v>75</v>
      </c>
    </row>
    <row r="9854" spans="1:6" x14ac:dyDescent="0.35">
      <c r="A9854">
        <v>1975</v>
      </c>
      <c r="B9854" s="1">
        <v>45935</v>
      </c>
      <c r="C9854" s="2">
        <v>0.5</v>
      </c>
      <c r="D9854">
        <v>3</v>
      </c>
      <c r="E9854">
        <v>12.5</v>
      </c>
      <c r="F9854">
        <v>79</v>
      </c>
    </row>
    <row r="9855" spans="1:6" x14ac:dyDescent="0.35">
      <c r="A9855">
        <v>1975</v>
      </c>
      <c r="B9855" s="1">
        <v>45935</v>
      </c>
      <c r="C9855" s="2">
        <v>0.54166666666666663</v>
      </c>
      <c r="D9855">
        <v>3</v>
      </c>
      <c r="E9855">
        <v>12</v>
      </c>
      <c r="F9855">
        <v>90</v>
      </c>
    </row>
    <row r="9856" spans="1:6" x14ac:dyDescent="0.35">
      <c r="A9856">
        <v>1975</v>
      </c>
      <c r="B9856" s="1">
        <v>45935</v>
      </c>
      <c r="C9856" s="2">
        <v>0.58333333333333337</v>
      </c>
      <c r="D9856">
        <v>3</v>
      </c>
      <c r="E9856">
        <v>12.5</v>
      </c>
      <c r="F9856">
        <v>84</v>
      </c>
    </row>
    <row r="9857" spans="1:6" x14ac:dyDescent="0.35">
      <c r="A9857">
        <v>1975</v>
      </c>
      <c r="B9857" s="1">
        <v>45935</v>
      </c>
      <c r="C9857" s="2">
        <v>0.625</v>
      </c>
      <c r="D9857">
        <v>3</v>
      </c>
      <c r="E9857">
        <v>11.9</v>
      </c>
      <c r="F9857">
        <v>87</v>
      </c>
    </row>
    <row r="9858" spans="1:6" x14ac:dyDescent="0.35">
      <c r="A9858">
        <v>1975</v>
      </c>
      <c r="B9858" s="1">
        <v>45935</v>
      </c>
      <c r="C9858" s="2">
        <v>0.66666666666666663</v>
      </c>
      <c r="D9858">
        <v>3</v>
      </c>
      <c r="E9858">
        <v>11.4</v>
      </c>
      <c r="F9858">
        <v>93</v>
      </c>
    </row>
    <row r="9859" spans="1:6" x14ac:dyDescent="0.35">
      <c r="A9859">
        <v>1975</v>
      </c>
      <c r="B9859" s="1">
        <v>45935</v>
      </c>
      <c r="C9859" s="2">
        <v>0.70833333333333337</v>
      </c>
      <c r="D9859">
        <v>3</v>
      </c>
      <c r="E9859">
        <v>11.2</v>
      </c>
      <c r="F9859">
        <v>92</v>
      </c>
    </row>
    <row r="9860" spans="1:6" x14ac:dyDescent="0.35">
      <c r="A9860">
        <v>1975</v>
      </c>
      <c r="B9860" s="1">
        <v>45935</v>
      </c>
      <c r="C9860" s="2">
        <v>0.75</v>
      </c>
      <c r="D9860">
        <v>3</v>
      </c>
      <c r="E9860">
        <v>11.1</v>
      </c>
      <c r="F9860">
        <v>94</v>
      </c>
    </row>
    <row r="9861" spans="1:6" x14ac:dyDescent="0.35">
      <c r="A9861">
        <v>1975</v>
      </c>
      <c r="B9861" s="1">
        <v>45935</v>
      </c>
      <c r="C9861" s="2">
        <v>0.79166666666666663</v>
      </c>
      <c r="D9861">
        <v>3</v>
      </c>
      <c r="E9861">
        <v>11.1</v>
      </c>
      <c r="F9861">
        <v>92</v>
      </c>
    </row>
    <row r="9862" spans="1:6" x14ac:dyDescent="0.35">
      <c r="A9862">
        <v>1975</v>
      </c>
      <c r="B9862" s="1">
        <v>45935</v>
      </c>
      <c r="C9862" s="2">
        <v>0.83333333333333337</v>
      </c>
      <c r="D9862">
        <v>3</v>
      </c>
      <c r="E9862">
        <v>10.9</v>
      </c>
      <c r="F9862">
        <v>96</v>
      </c>
    </row>
    <row r="9863" spans="1:6" x14ac:dyDescent="0.35">
      <c r="A9863">
        <v>1975</v>
      </c>
      <c r="B9863" s="1">
        <v>45935</v>
      </c>
      <c r="C9863" s="2">
        <v>0.875</v>
      </c>
      <c r="D9863">
        <v>3</v>
      </c>
      <c r="E9863">
        <v>11.2</v>
      </c>
      <c r="F9863">
        <v>95</v>
      </c>
    </row>
    <row r="9864" spans="1:6" x14ac:dyDescent="0.35">
      <c r="A9864">
        <v>1975</v>
      </c>
      <c r="B9864" s="1">
        <v>45935</v>
      </c>
      <c r="C9864" s="2">
        <v>0.91666666666666663</v>
      </c>
      <c r="D9864">
        <v>3</v>
      </c>
      <c r="E9864">
        <v>11.4</v>
      </c>
      <c r="F9864">
        <v>91</v>
      </c>
    </row>
    <row r="9865" spans="1:6" x14ac:dyDescent="0.35">
      <c r="A9865">
        <v>1975</v>
      </c>
      <c r="B9865" s="1">
        <v>45935</v>
      </c>
      <c r="C9865" s="2">
        <v>0.95833333333333337</v>
      </c>
      <c r="D9865">
        <v>3</v>
      </c>
      <c r="E9865">
        <v>11.4</v>
      </c>
      <c r="F9865">
        <v>88</v>
      </c>
    </row>
    <row r="9866" spans="1:6" x14ac:dyDescent="0.35">
      <c r="A9866">
        <v>1975</v>
      </c>
      <c r="B9866" s="1">
        <v>45936</v>
      </c>
      <c r="C9866" s="2">
        <v>0</v>
      </c>
      <c r="D9866">
        <v>3</v>
      </c>
      <c r="E9866">
        <v>11.8</v>
      </c>
      <c r="F9866">
        <v>81</v>
      </c>
    </row>
    <row r="9867" spans="1:6" x14ac:dyDescent="0.35">
      <c r="A9867">
        <v>1975</v>
      </c>
      <c r="B9867" s="1">
        <v>45936</v>
      </c>
      <c r="C9867" s="2">
        <v>4.1666666666666657E-2</v>
      </c>
      <c r="D9867">
        <v>3</v>
      </c>
      <c r="E9867">
        <v>12</v>
      </c>
      <c r="F9867">
        <v>80</v>
      </c>
    </row>
    <row r="9868" spans="1:6" x14ac:dyDescent="0.35">
      <c r="A9868">
        <v>1975</v>
      </c>
      <c r="B9868" s="1">
        <v>45936</v>
      </c>
      <c r="C9868" s="2">
        <v>8.3333333333333329E-2</v>
      </c>
      <c r="D9868">
        <v>3</v>
      </c>
      <c r="E9868">
        <v>11.8</v>
      </c>
      <c r="F9868">
        <v>83</v>
      </c>
    </row>
    <row r="9869" spans="1:6" x14ac:dyDescent="0.35">
      <c r="A9869">
        <v>1975</v>
      </c>
      <c r="B9869" s="1">
        <v>45936</v>
      </c>
      <c r="C9869" s="2">
        <v>0.125</v>
      </c>
      <c r="D9869">
        <v>3</v>
      </c>
      <c r="E9869">
        <v>10.9</v>
      </c>
      <c r="F9869">
        <v>92</v>
      </c>
    </row>
    <row r="9870" spans="1:6" x14ac:dyDescent="0.35">
      <c r="A9870">
        <v>1975</v>
      </c>
      <c r="B9870" s="1">
        <v>45936</v>
      </c>
      <c r="C9870" s="2">
        <v>0.16666666666666671</v>
      </c>
      <c r="D9870">
        <v>3</v>
      </c>
      <c r="E9870">
        <v>11.5</v>
      </c>
      <c r="F9870">
        <v>79</v>
      </c>
    </row>
    <row r="9871" spans="1:6" x14ac:dyDescent="0.35">
      <c r="A9871">
        <v>1975</v>
      </c>
      <c r="B9871" s="1">
        <v>45936</v>
      </c>
      <c r="C9871" s="2">
        <v>0.20833333333333329</v>
      </c>
      <c r="D9871">
        <v>3</v>
      </c>
      <c r="E9871">
        <v>11.4</v>
      </c>
      <c r="F9871">
        <v>73</v>
      </c>
    </row>
    <row r="9872" spans="1:6" x14ac:dyDescent="0.35">
      <c r="A9872">
        <v>1975</v>
      </c>
      <c r="B9872" s="1">
        <v>45936</v>
      </c>
      <c r="C9872" s="2">
        <v>0.25</v>
      </c>
      <c r="D9872">
        <v>3</v>
      </c>
      <c r="E9872">
        <v>10.4</v>
      </c>
      <c r="F9872">
        <v>77</v>
      </c>
    </row>
    <row r="9873" spans="1:6" x14ac:dyDescent="0.35">
      <c r="A9873">
        <v>1975</v>
      </c>
      <c r="B9873" s="1">
        <v>45936</v>
      </c>
      <c r="C9873" s="2">
        <v>0.29166666666666669</v>
      </c>
      <c r="D9873">
        <v>3</v>
      </c>
      <c r="E9873">
        <v>10.6</v>
      </c>
      <c r="F9873">
        <v>83</v>
      </c>
    </row>
    <row r="9874" spans="1:6" x14ac:dyDescent="0.35">
      <c r="A9874">
        <v>1975</v>
      </c>
      <c r="B9874" s="1">
        <v>45936</v>
      </c>
      <c r="C9874" s="2">
        <v>0.33333333333333331</v>
      </c>
      <c r="D9874">
        <v>3</v>
      </c>
      <c r="E9874">
        <v>12.4</v>
      </c>
      <c r="F9874">
        <v>83</v>
      </c>
    </row>
    <row r="9875" spans="1:6" x14ac:dyDescent="0.35">
      <c r="A9875">
        <v>1975</v>
      </c>
      <c r="B9875" s="1">
        <v>45936</v>
      </c>
      <c r="C9875" s="2">
        <v>0.375</v>
      </c>
      <c r="D9875">
        <v>3</v>
      </c>
      <c r="E9875">
        <v>13.7</v>
      </c>
      <c r="F9875">
        <v>83</v>
      </c>
    </row>
    <row r="9876" spans="1:6" x14ac:dyDescent="0.35">
      <c r="A9876">
        <v>1975</v>
      </c>
      <c r="B9876" s="1">
        <v>45936</v>
      </c>
      <c r="C9876" s="2">
        <v>0.41666666666666669</v>
      </c>
      <c r="D9876">
        <v>3</v>
      </c>
      <c r="E9876">
        <v>14.8</v>
      </c>
      <c r="F9876">
        <v>79</v>
      </c>
    </row>
    <row r="9877" spans="1:6" x14ac:dyDescent="0.35">
      <c r="A9877">
        <v>1975</v>
      </c>
      <c r="B9877" s="1">
        <v>45936</v>
      </c>
      <c r="C9877" s="2">
        <v>0.45833333333333331</v>
      </c>
      <c r="D9877">
        <v>3</v>
      </c>
      <c r="E9877">
        <v>14.9</v>
      </c>
      <c r="F9877">
        <v>79</v>
      </c>
    </row>
    <row r="9878" spans="1:6" x14ac:dyDescent="0.35">
      <c r="A9878">
        <v>1975</v>
      </c>
      <c r="B9878" s="1">
        <v>45936</v>
      </c>
      <c r="C9878" s="2">
        <v>0.5</v>
      </c>
      <c r="D9878">
        <v>3</v>
      </c>
      <c r="E9878">
        <v>15.4</v>
      </c>
      <c r="F9878">
        <v>76</v>
      </c>
    </row>
    <row r="9879" spans="1:6" x14ac:dyDescent="0.35">
      <c r="A9879">
        <v>1975</v>
      </c>
      <c r="B9879" s="1">
        <v>45936</v>
      </c>
      <c r="C9879" s="2">
        <v>0.54166666666666663</v>
      </c>
      <c r="D9879">
        <v>3</v>
      </c>
      <c r="E9879">
        <v>14.6</v>
      </c>
      <c r="F9879">
        <v>83</v>
      </c>
    </row>
    <row r="9880" spans="1:6" x14ac:dyDescent="0.35">
      <c r="A9880">
        <v>1975</v>
      </c>
      <c r="B9880" s="1">
        <v>45936</v>
      </c>
      <c r="C9880" s="2">
        <v>0.58333333333333337</v>
      </c>
      <c r="D9880">
        <v>3</v>
      </c>
      <c r="E9880">
        <v>14.9</v>
      </c>
      <c r="F9880">
        <v>81</v>
      </c>
    </row>
    <row r="9881" spans="1:6" x14ac:dyDescent="0.35">
      <c r="A9881">
        <v>1975</v>
      </c>
      <c r="B9881" s="1">
        <v>45936</v>
      </c>
      <c r="C9881" s="2">
        <v>0.625</v>
      </c>
      <c r="D9881">
        <v>3</v>
      </c>
      <c r="E9881">
        <v>14.6</v>
      </c>
      <c r="F9881">
        <v>83</v>
      </c>
    </row>
    <row r="9882" spans="1:6" x14ac:dyDescent="0.35">
      <c r="A9882">
        <v>1975</v>
      </c>
      <c r="B9882" s="1">
        <v>45936</v>
      </c>
      <c r="C9882" s="2">
        <v>0.66666666666666663</v>
      </c>
      <c r="D9882">
        <v>3</v>
      </c>
      <c r="E9882">
        <v>14.6</v>
      </c>
      <c r="F9882">
        <v>83</v>
      </c>
    </row>
    <row r="9883" spans="1:6" x14ac:dyDescent="0.35">
      <c r="A9883">
        <v>1975</v>
      </c>
      <c r="B9883" s="1">
        <v>45936</v>
      </c>
      <c r="C9883" s="2">
        <v>0.70833333333333337</v>
      </c>
      <c r="D9883">
        <v>3</v>
      </c>
      <c r="E9883">
        <v>14.1</v>
      </c>
      <c r="F9883">
        <v>83</v>
      </c>
    </row>
    <row r="9884" spans="1:6" x14ac:dyDescent="0.35">
      <c r="A9884">
        <v>1975</v>
      </c>
      <c r="B9884" s="1">
        <v>45936</v>
      </c>
      <c r="C9884" s="2">
        <v>0.75</v>
      </c>
      <c r="D9884">
        <v>3</v>
      </c>
      <c r="E9884">
        <v>13.5</v>
      </c>
      <c r="F9884">
        <v>90</v>
      </c>
    </row>
    <row r="9885" spans="1:6" x14ac:dyDescent="0.35">
      <c r="A9885">
        <v>1975</v>
      </c>
      <c r="B9885" s="1">
        <v>45936</v>
      </c>
      <c r="C9885" s="2">
        <v>0.79166666666666663</v>
      </c>
      <c r="D9885">
        <v>3</v>
      </c>
      <c r="E9885">
        <v>13.4</v>
      </c>
      <c r="F9885">
        <v>90</v>
      </c>
    </row>
    <row r="9886" spans="1:6" x14ac:dyDescent="0.35">
      <c r="A9886">
        <v>1975</v>
      </c>
      <c r="B9886" s="1">
        <v>45936</v>
      </c>
      <c r="C9886" s="2">
        <v>0.83333333333333337</v>
      </c>
      <c r="D9886">
        <v>3</v>
      </c>
      <c r="E9886">
        <v>13.3</v>
      </c>
      <c r="F9886">
        <v>90</v>
      </c>
    </row>
    <row r="9887" spans="1:6" x14ac:dyDescent="0.35">
      <c r="A9887">
        <v>1975</v>
      </c>
      <c r="B9887" s="1">
        <v>45936</v>
      </c>
      <c r="C9887" s="2">
        <v>0.875</v>
      </c>
      <c r="D9887">
        <v>3</v>
      </c>
      <c r="E9887">
        <v>13.3</v>
      </c>
      <c r="F9887">
        <v>93</v>
      </c>
    </row>
    <row r="9888" spans="1:6" x14ac:dyDescent="0.35">
      <c r="A9888">
        <v>1975</v>
      </c>
      <c r="B9888" s="1">
        <v>45936</v>
      </c>
      <c r="C9888" s="2">
        <v>0.91666666666666663</v>
      </c>
      <c r="D9888">
        <v>3</v>
      </c>
      <c r="E9888">
        <v>13.3</v>
      </c>
      <c r="F9888">
        <v>94</v>
      </c>
    </row>
    <row r="9889" spans="1:6" x14ac:dyDescent="0.35">
      <c r="A9889">
        <v>1975</v>
      </c>
      <c r="B9889" s="1">
        <v>45936</v>
      </c>
      <c r="C9889" s="2">
        <v>0.95833333333333337</v>
      </c>
      <c r="D9889">
        <v>3</v>
      </c>
      <c r="E9889">
        <v>13.1</v>
      </c>
      <c r="F9889">
        <v>96</v>
      </c>
    </row>
    <row r="9890" spans="1:6" x14ac:dyDescent="0.35">
      <c r="A9890">
        <v>1975</v>
      </c>
      <c r="B9890" s="1">
        <v>45937</v>
      </c>
      <c r="C9890" s="2">
        <v>0</v>
      </c>
      <c r="D9890">
        <v>3</v>
      </c>
      <c r="E9890">
        <v>13.1</v>
      </c>
      <c r="F9890">
        <v>95</v>
      </c>
    </row>
    <row r="9891" spans="1:6" x14ac:dyDescent="0.35">
      <c r="A9891">
        <v>1975</v>
      </c>
      <c r="B9891" s="1">
        <v>45937</v>
      </c>
      <c r="C9891" s="2">
        <v>4.1666666666666657E-2</v>
      </c>
      <c r="D9891">
        <v>3</v>
      </c>
      <c r="E9891">
        <v>13.2</v>
      </c>
      <c r="F9891">
        <v>95</v>
      </c>
    </row>
    <row r="9892" spans="1:6" x14ac:dyDescent="0.35">
      <c r="A9892">
        <v>1975</v>
      </c>
      <c r="B9892" s="1">
        <v>45937</v>
      </c>
      <c r="C9892" s="2">
        <v>8.3333333333333329E-2</v>
      </c>
      <c r="D9892">
        <v>3</v>
      </c>
      <c r="E9892">
        <v>13.1</v>
      </c>
      <c r="F9892">
        <v>95</v>
      </c>
    </row>
    <row r="9893" spans="1:6" x14ac:dyDescent="0.35">
      <c r="A9893">
        <v>1975</v>
      </c>
      <c r="B9893" s="1">
        <v>45937</v>
      </c>
      <c r="C9893" s="2">
        <v>0.125</v>
      </c>
      <c r="D9893">
        <v>3</v>
      </c>
      <c r="E9893">
        <v>13</v>
      </c>
      <c r="F9893">
        <v>96</v>
      </c>
    </row>
    <row r="9894" spans="1:6" x14ac:dyDescent="0.35">
      <c r="A9894">
        <v>1975</v>
      </c>
      <c r="B9894" s="1">
        <v>45937</v>
      </c>
      <c r="C9894" s="2">
        <v>0.16666666666666671</v>
      </c>
      <c r="D9894">
        <v>3</v>
      </c>
      <c r="E9894">
        <v>12.9</v>
      </c>
      <c r="F9894">
        <v>96</v>
      </c>
    </row>
    <row r="9895" spans="1:6" x14ac:dyDescent="0.35">
      <c r="A9895">
        <v>1975</v>
      </c>
      <c r="B9895" s="1">
        <v>45937</v>
      </c>
      <c r="C9895" s="2">
        <v>0.20833333333333329</v>
      </c>
      <c r="D9895">
        <v>3</v>
      </c>
      <c r="E9895">
        <v>12.9</v>
      </c>
      <c r="F9895">
        <v>95</v>
      </c>
    </row>
    <row r="9896" spans="1:6" x14ac:dyDescent="0.35">
      <c r="A9896">
        <v>1975</v>
      </c>
      <c r="B9896" s="1">
        <v>45937</v>
      </c>
      <c r="C9896" s="2">
        <v>0.25</v>
      </c>
      <c r="D9896">
        <v>3</v>
      </c>
      <c r="E9896">
        <v>12.8</v>
      </c>
      <c r="F9896">
        <v>98</v>
      </c>
    </row>
    <row r="9897" spans="1:6" x14ac:dyDescent="0.35">
      <c r="A9897">
        <v>1975</v>
      </c>
      <c r="B9897" s="1">
        <v>45937</v>
      </c>
      <c r="C9897" s="2">
        <v>0.29166666666666669</v>
      </c>
      <c r="D9897">
        <v>3</v>
      </c>
      <c r="E9897">
        <v>13.2</v>
      </c>
      <c r="F9897">
        <v>98</v>
      </c>
    </row>
    <row r="9898" spans="1:6" x14ac:dyDescent="0.35">
      <c r="A9898">
        <v>1975</v>
      </c>
      <c r="B9898" s="1">
        <v>45937</v>
      </c>
      <c r="C9898" s="2">
        <v>0.33333333333333331</v>
      </c>
      <c r="D9898">
        <v>3</v>
      </c>
      <c r="E9898">
        <v>13.7</v>
      </c>
      <c r="F9898">
        <v>97</v>
      </c>
    </row>
    <row r="9899" spans="1:6" x14ac:dyDescent="0.35">
      <c r="A9899">
        <v>1975</v>
      </c>
      <c r="B9899" s="1">
        <v>45937</v>
      </c>
      <c r="C9899" s="2">
        <v>0.375</v>
      </c>
      <c r="D9899">
        <v>3</v>
      </c>
      <c r="E9899">
        <v>13.9</v>
      </c>
      <c r="F9899">
        <v>97</v>
      </c>
    </row>
    <row r="9900" spans="1:6" x14ac:dyDescent="0.35">
      <c r="A9900">
        <v>1975</v>
      </c>
      <c r="B9900" s="1">
        <v>45937</v>
      </c>
      <c r="C9900" s="2">
        <v>0.41666666666666669</v>
      </c>
      <c r="D9900">
        <v>3</v>
      </c>
      <c r="E9900">
        <v>14.3</v>
      </c>
      <c r="F9900">
        <v>98</v>
      </c>
    </row>
    <row r="9901" spans="1:6" x14ac:dyDescent="0.35">
      <c r="A9901">
        <v>1975</v>
      </c>
      <c r="B9901" s="1">
        <v>45937</v>
      </c>
      <c r="C9901" s="2">
        <v>0.45833333333333331</v>
      </c>
      <c r="D9901">
        <v>3</v>
      </c>
      <c r="E9901">
        <v>14.8</v>
      </c>
      <c r="F9901">
        <v>94</v>
      </c>
    </row>
    <row r="9902" spans="1:6" x14ac:dyDescent="0.35">
      <c r="A9902">
        <v>1975</v>
      </c>
      <c r="B9902" s="1">
        <v>45937</v>
      </c>
      <c r="C9902" s="2">
        <v>0.5</v>
      </c>
      <c r="D9902">
        <v>3</v>
      </c>
      <c r="E9902">
        <v>15.4</v>
      </c>
      <c r="F9902">
        <v>91</v>
      </c>
    </row>
    <row r="9903" spans="1:6" x14ac:dyDescent="0.35">
      <c r="A9903">
        <v>1975</v>
      </c>
      <c r="B9903" s="1">
        <v>45937</v>
      </c>
      <c r="C9903" s="2">
        <v>0.54166666666666663</v>
      </c>
      <c r="D9903">
        <v>3</v>
      </c>
      <c r="E9903">
        <v>15.4</v>
      </c>
      <c r="F9903">
        <v>94</v>
      </c>
    </row>
    <row r="9904" spans="1:6" x14ac:dyDescent="0.35">
      <c r="A9904">
        <v>1975</v>
      </c>
      <c r="B9904" s="1">
        <v>45937</v>
      </c>
      <c r="C9904" s="2">
        <v>0.58333333333333337</v>
      </c>
      <c r="D9904">
        <v>3</v>
      </c>
      <c r="E9904">
        <v>15.7</v>
      </c>
      <c r="F9904">
        <v>93</v>
      </c>
    </row>
    <row r="9905" spans="1:6" x14ac:dyDescent="0.35">
      <c r="A9905">
        <v>1975</v>
      </c>
      <c r="B9905" s="1">
        <v>45937</v>
      </c>
      <c r="C9905" s="2">
        <v>0.625</v>
      </c>
      <c r="D9905">
        <v>3</v>
      </c>
      <c r="E9905">
        <v>16</v>
      </c>
      <c r="F9905">
        <v>92</v>
      </c>
    </row>
    <row r="9906" spans="1:6" x14ac:dyDescent="0.35">
      <c r="A9906">
        <v>1975</v>
      </c>
      <c r="B9906" s="1">
        <v>45937</v>
      </c>
      <c r="C9906" s="2">
        <v>0.66666666666666663</v>
      </c>
      <c r="D9906">
        <v>3</v>
      </c>
      <c r="E9906">
        <v>16</v>
      </c>
      <c r="F9906">
        <v>92</v>
      </c>
    </row>
    <row r="9907" spans="1:6" x14ac:dyDescent="0.35">
      <c r="A9907">
        <v>1975</v>
      </c>
      <c r="B9907" s="1">
        <v>45937</v>
      </c>
      <c r="C9907" s="2">
        <v>0.70833333333333337</v>
      </c>
      <c r="D9907">
        <v>3</v>
      </c>
      <c r="E9907">
        <v>15.6</v>
      </c>
      <c r="F9907">
        <v>95</v>
      </c>
    </row>
    <row r="9908" spans="1:6" x14ac:dyDescent="0.35">
      <c r="A9908">
        <v>1975</v>
      </c>
      <c r="B9908" s="1">
        <v>45937</v>
      </c>
      <c r="C9908" s="2">
        <v>0.75</v>
      </c>
      <c r="D9908">
        <v>3</v>
      </c>
      <c r="E9908">
        <v>15.4</v>
      </c>
      <c r="F9908">
        <v>96</v>
      </c>
    </row>
    <row r="9909" spans="1:6" x14ac:dyDescent="0.35">
      <c r="A9909">
        <v>1975</v>
      </c>
      <c r="B9909" s="1">
        <v>45937</v>
      </c>
      <c r="C9909" s="2">
        <v>0.79166666666666663</v>
      </c>
      <c r="D9909">
        <v>3</v>
      </c>
      <c r="E9909">
        <v>15.5</v>
      </c>
      <c r="F9909">
        <v>96</v>
      </c>
    </row>
    <row r="9910" spans="1:6" x14ac:dyDescent="0.35">
      <c r="A9910">
        <v>1975</v>
      </c>
      <c r="B9910" s="1">
        <v>45937</v>
      </c>
      <c r="C9910" s="2">
        <v>0.83333333333333337</v>
      </c>
      <c r="D9910">
        <v>3</v>
      </c>
      <c r="E9910">
        <v>15.4</v>
      </c>
      <c r="F9910">
        <v>98</v>
      </c>
    </row>
    <row r="9911" spans="1:6" x14ac:dyDescent="0.35">
      <c r="A9911">
        <v>1975</v>
      </c>
      <c r="B9911" s="1">
        <v>45937</v>
      </c>
      <c r="C9911" s="2">
        <v>0.875</v>
      </c>
      <c r="D9911">
        <v>3</v>
      </c>
      <c r="E9911">
        <v>15.2</v>
      </c>
      <c r="F9911">
        <v>96</v>
      </c>
    </row>
    <row r="9912" spans="1:6" x14ac:dyDescent="0.35">
      <c r="A9912">
        <v>1975</v>
      </c>
      <c r="B9912" s="1">
        <v>45937</v>
      </c>
      <c r="C9912" s="2">
        <v>0.91666666666666663</v>
      </c>
      <c r="D9912">
        <v>3</v>
      </c>
      <c r="E9912">
        <v>13.9</v>
      </c>
      <c r="F9912">
        <v>97</v>
      </c>
    </row>
    <row r="9913" spans="1:6" x14ac:dyDescent="0.35">
      <c r="A9913">
        <v>1975</v>
      </c>
      <c r="B9913" s="1">
        <v>45937</v>
      </c>
      <c r="C9913" s="2">
        <v>0.95833333333333337</v>
      </c>
      <c r="D9913">
        <v>3</v>
      </c>
      <c r="E9913">
        <v>13.5</v>
      </c>
      <c r="F9913">
        <v>97</v>
      </c>
    </row>
    <row r="9914" spans="1:6" x14ac:dyDescent="0.35">
      <c r="A9914">
        <v>1975</v>
      </c>
      <c r="B9914" s="1">
        <v>45938</v>
      </c>
      <c r="C9914" s="2">
        <v>0</v>
      </c>
      <c r="D9914">
        <v>3</v>
      </c>
      <c r="E9914">
        <v>13.4</v>
      </c>
      <c r="F9914">
        <v>95</v>
      </c>
    </row>
    <row r="9915" spans="1:6" x14ac:dyDescent="0.35">
      <c r="A9915">
        <v>1975</v>
      </c>
      <c r="B9915" s="1">
        <v>45938</v>
      </c>
      <c r="C9915" s="2">
        <v>4.1666666666666657E-2</v>
      </c>
      <c r="D9915">
        <v>3</v>
      </c>
      <c r="E9915">
        <v>13.3</v>
      </c>
      <c r="F9915">
        <v>94</v>
      </c>
    </row>
    <row r="9916" spans="1:6" x14ac:dyDescent="0.35">
      <c r="A9916">
        <v>1975</v>
      </c>
      <c r="B9916" s="1">
        <v>45938</v>
      </c>
      <c r="C9916" s="2">
        <v>8.3333333333333329E-2</v>
      </c>
      <c r="D9916">
        <v>3</v>
      </c>
      <c r="E9916">
        <v>13.2</v>
      </c>
      <c r="F9916">
        <v>93</v>
      </c>
    </row>
    <row r="9917" spans="1:6" x14ac:dyDescent="0.35">
      <c r="A9917">
        <v>1975</v>
      </c>
      <c r="B9917" s="1">
        <v>45938</v>
      </c>
      <c r="C9917" s="2">
        <v>0.125</v>
      </c>
      <c r="D9917">
        <v>3</v>
      </c>
      <c r="E9917">
        <v>13.2</v>
      </c>
      <c r="F9917">
        <v>93</v>
      </c>
    </row>
    <row r="9918" spans="1:6" x14ac:dyDescent="0.35">
      <c r="A9918">
        <v>1975</v>
      </c>
      <c r="B9918" s="1">
        <v>45938</v>
      </c>
      <c r="C9918" s="2">
        <v>0.16666666666666671</v>
      </c>
      <c r="D9918">
        <v>3</v>
      </c>
      <c r="E9918">
        <v>13</v>
      </c>
      <c r="F9918">
        <v>96</v>
      </c>
    </row>
    <row r="9919" spans="1:6" x14ac:dyDescent="0.35">
      <c r="A9919">
        <v>1975</v>
      </c>
      <c r="B9919" s="1">
        <v>45938</v>
      </c>
      <c r="C9919" s="2">
        <v>0.20833333333333329</v>
      </c>
      <c r="D9919">
        <v>3</v>
      </c>
      <c r="E9919">
        <v>13.1</v>
      </c>
      <c r="F9919">
        <v>96</v>
      </c>
    </row>
    <row r="9920" spans="1:6" x14ac:dyDescent="0.35">
      <c r="A9920">
        <v>1975</v>
      </c>
      <c r="B9920" s="1">
        <v>45938</v>
      </c>
      <c r="C9920" s="2">
        <v>0.25</v>
      </c>
      <c r="D9920">
        <v>3</v>
      </c>
      <c r="E9920">
        <v>13.2</v>
      </c>
      <c r="F9920">
        <v>95</v>
      </c>
    </row>
    <row r="9921" spans="1:6" x14ac:dyDescent="0.35">
      <c r="A9921">
        <v>1975</v>
      </c>
      <c r="B9921" s="1">
        <v>45938</v>
      </c>
      <c r="C9921" s="2">
        <v>0.29166666666666669</v>
      </c>
      <c r="D9921">
        <v>3</v>
      </c>
      <c r="E9921">
        <v>13.3</v>
      </c>
      <c r="F9921">
        <v>92</v>
      </c>
    </row>
    <row r="9922" spans="1:6" x14ac:dyDescent="0.35">
      <c r="A9922">
        <v>1975</v>
      </c>
      <c r="B9922" s="1">
        <v>45938</v>
      </c>
      <c r="C9922" s="2">
        <v>0.33333333333333331</v>
      </c>
      <c r="D9922">
        <v>3</v>
      </c>
      <c r="E9922">
        <v>14</v>
      </c>
      <c r="F9922">
        <v>91</v>
      </c>
    </row>
    <row r="9923" spans="1:6" x14ac:dyDescent="0.35">
      <c r="A9923">
        <v>1975</v>
      </c>
      <c r="B9923" s="1">
        <v>45938</v>
      </c>
      <c r="C9923" s="2">
        <v>0.375</v>
      </c>
      <c r="D9923">
        <v>3</v>
      </c>
      <c r="E9923">
        <v>14.4</v>
      </c>
      <c r="F9923">
        <v>85</v>
      </c>
    </row>
    <row r="9924" spans="1:6" x14ac:dyDescent="0.35">
      <c r="A9924">
        <v>1975</v>
      </c>
      <c r="B9924" s="1">
        <v>45938</v>
      </c>
      <c r="C9924" s="2">
        <v>0.41666666666666669</v>
      </c>
      <c r="D9924">
        <v>3</v>
      </c>
      <c r="E9924">
        <v>15</v>
      </c>
      <c r="F9924">
        <v>80</v>
      </c>
    </row>
    <row r="9925" spans="1:6" x14ac:dyDescent="0.35">
      <c r="A9925">
        <v>1975</v>
      </c>
      <c r="B9925" s="1">
        <v>45938</v>
      </c>
      <c r="C9925" s="2">
        <v>0.45833333333333331</v>
      </c>
      <c r="D9925">
        <v>3</v>
      </c>
      <c r="E9925">
        <v>15.7</v>
      </c>
      <c r="F9925">
        <v>79</v>
      </c>
    </row>
    <row r="9926" spans="1:6" x14ac:dyDescent="0.35">
      <c r="A9926">
        <v>1975</v>
      </c>
      <c r="B9926" s="1">
        <v>45938</v>
      </c>
      <c r="C9926" s="2">
        <v>0.5</v>
      </c>
      <c r="D9926">
        <v>3</v>
      </c>
      <c r="E9926">
        <v>15.7</v>
      </c>
      <c r="F9926">
        <v>77</v>
      </c>
    </row>
    <row r="9927" spans="1:6" x14ac:dyDescent="0.35">
      <c r="A9927">
        <v>1975</v>
      </c>
      <c r="B9927" s="1">
        <v>45938</v>
      </c>
      <c r="C9927" s="2">
        <v>0.54166666666666663</v>
      </c>
      <c r="D9927">
        <v>3</v>
      </c>
      <c r="E9927">
        <v>15.6</v>
      </c>
      <c r="F9927">
        <v>79</v>
      </c>
    </row>
    <row r="9928" spans="1:6" x14ac:dyDescent="0.35">
      <c r="A9928">
        <v>1975</v>
      </c>
      <c r="B9928" s="1">
        <v>45938</v>
      </c>
      <c r="C9928" s="2">
        <v>0.58333333333333337</v>
      </c>
      <c r="D9928">
        <v>3</v>
      </c>
      <c r="E9928">
        <v>15.2</v>
      </c>
      <c r="F9928">
        <v>80</v>
      </c>
    </row>
    <row r="9929" spans="1:6" x14ac:dyDescent="0.35">
      <c r="A9929">
        <v>1975</v>
      </c>
      <c r="B9929" s="1">
        <v>45938</v>
      </c>
      <c r="C9929" s="2">
        <v>0.625</v>
      </c>
      <c r="D9929">
        <v>3</v>
      </c>
      <c r="E9929">
        <v>15.1</v>
      </c>
      <c r="F9929">
        <v>80</v>
      </c>
    </row>
    <row r="9930" spans="1:6" x14ac:dyDescent="0.35">
      <c r="A9930">
        <v>1975</v>
      </c>
      <c r="B9930" s="1">
        <v>45938</v>
      </c>
      <c r="C9930" s="2">
        <v>0.66666666666666663</v>
      </c>
      <c r="D9930">
        <v>3</v>
      </c>
      <c r="E9930">
        <v>14.3</v>
      </c>
      <c r="F9930">
        <v>90</v>
      </c>
    </row>
    <row r="9931" spans="1:6" x14ac:dyDescent="0.35">
      <c r="A9931">
        <v>1975</v>
      </c>
      <c r="B9931" s="1">
        <v>45938</v>
      </c>
      <c r="C9931" s="2">
        <v>0.70833333333333337</v>
      </c>
      <c r="D9931">
        <v>3</v>
      </c>
      <c r="E9931">
        <v>13.1</v>
      </c>
      <c r="F9931">
        <v>96</v>
      </c>
    </row>
    <row r="9932" spans="1:6" x14ac:dyDescent="0.35">
      <c r="A9932">
        <v>1975</v>
      </c>
      <c r="B9932" s="1">
        <v>45938</v>
      </c>
      <c r="C9932" s="2">
        <v>0.75</v>
      </c>
      <c r="D9932">
        <v>3</v>
      </c>
      <c r="E9932">
        <v>13.1</v>
      </c>
      <c r="F9932">
        <v>97</v>
      </c>
    </row>
    <row r="9933" spans="1:6" x14ac:dyDescent="0.35">
      <c r="A9933">
        <v>1975</v>
      </c>
      <c r="B9933" s="1">
        <v>45938</v>
      </c>
      <c r="C9933" s="2">
        <v>0.79166666666666663</v>
      </c>
      <c r="D9933">
        <v>3</v>
      </c>
      <c r="E9933">
        <v>13.1</v>
      </c>
      <c r="F9933">
        <v>98</v>
      </c>
    </row>
    <row r="9934" spans="1:6" x14ac:dyDescent="0.35">
      <c r="A9934">
        <v>1975</v>
      </c>
      <c r="B9934" s="1">
        <v>45938</v>
      </c>
      <c r="C9934" s="2">
        <v>0.83333333333333337</v>
      </c>
      <c r="D9934">
        <v>3</v>
      </c>
      <c r="E9934">
        <v>12.6</v>
      </c>
      <c r="F9934">
        <v>99</v>
      </c>
    </row>
    <row r="9935" spans="1:6" x14ac:dyDescent="0.35">
      <c r="A9935">
        <v>1975</v>
      </c>
      <c r="B9935" s="1">
        <v>45938</v>
      </c>
      <c r="C9935" s="2">
        <v>0.875</v>
      </c>
      <c r="D9935">
        <v>3</v>
      </c>
      <c r="E9935">
        <v>12.4</v>
      </c>
      <c r="F9935">
        <v>97</v>
      </c>
    </row>
    <row r="9936" spans="1:6" x14ac:dyDescent="0.35">
      <c r="A9936">
        <v>1975</v>
      </c>
      <c r="B9936" s="1">
        <v>45938</v>
      </c>
      <c r="C9936" s="2">
        <v>0.91666666666666663</v>
      </c>
      <c r="D9936">
        <v>3</v>
      </c>
      <c r="E9936">
        <v>12.1</v>
      </c>
      <c r="F9936">
        <v>96</v>
      </c>
    </row>
    <row r="9937" spans="1:6" x14ac:dyDescent="0.35">
      <c r="A9937">
        <v>1975</v>
      </c>
      <c r="B9937" s="1">
        <v>45938</v>
      </c>
      <c r="C9937" s="2">
        <v>0.95833333333333337</v>
      </c>
      <c r="D9937">
        <v>3</v>
      </c>
      <c r="E9937">
        <v>12</v>
      </c>
      <c r="F9937">
        <v>95</v>
      </c>
    </row>
    <row r="9938" spans="1:6" x14ac:dyDescent="0.35">
      <c r="A9938">
        <v>1975</v>
      </c>
      <c r="B9938" s="1">
        <v>45939</v>
      </c>
      <c r="C9938" s="2">
        <v>0</v>
      </c>
      <c r="D9938">
        <v>3</v>
      </c>
      <c r="E9938">
        <v>12</v>
      </c>
      <c r="F9938">
        <v>96</v>
      </c>
    </row>
    <row r="9939" spans="1:6" x14ac:dyDescent="0.35">
      <c r="A9939">
        <v>1975</v>
      </c>
      <c r="B9939" s="1">
        <v>45939</v>
      </c>
      <c r="C9939" s="2">
        <v>4.1666666666666657E-2</v>
      </c>
      <c r="D9939">
        <v>3</v>
      </c>
      <c r="E9939">
        <v>11.9</v>
      </c>
      <c r="F9939">
        <v>96</v>
      </c>
    </row>
    <row r="9940" spans="1:6" x14ac:dyDescent="0.35">
      <c r="A9940">
        <v>1975</v>
      </c>
      <c r="B9940" s="1">
        <v>45939</v>
      </c>
      <c r="C9940" s="2">
        <v>8.3333333333333329E-2</v>
      </c>
      <c r="D9940">
        <v>3</v>
      </c>
      <c r="E9940">
        <v>11.8</v>
      </c>
      <c r="F9940">
        <v>94</v>
      </c>
    </row>
    <row r="9941" spans="1:6" x14ac:dyDescent="0.35">
      <c r="A9941">
        <v>1975</v>
      </c>
      <c r="B9941" s="1">
        <v>45939</v>
      </c>
      <c r="C9941" s="2">
        <v>0.125</v>
      </c>
      <c r="D9941">
        <v>3</v>
      </c>
      <c r="E9941">
        <v>11.6</v>
      </c>
      <c r="F9941">
        <v>94</v>
      </c>
    </row>
    <row r="9942" spans="1:6" x14ac:dyDescent="0.35">
      <c r="A9942">
        <v>1975</v>
      </c>
      <c r="B9942" s="1">
        <v>45939</v>
      </c>
      <c r="C9942" s="2">
        <v>0.16666666666666671</v>
      </c>
      <c r="D9942">
        <v>3</v>
      </c>
      <c r="E9942">
        <v>11.4</v>
      </c>
      <c r="F9942">
        <v>95</v>
      </c>
    </row>
    <row r="9943" spans="1:6" x14ac:dyDescent="0.35">
      <c r="A9943">
        <v>1975</v>
      </c>
      <c r="B9943" s="1">
        <v>45939</v>
      </c>
      <c r="C9943" s="2">
        <v>0.20833333333333329</v>
      </c>
      <c r="D9943">
        <v>3</v>
      </c>
      <c r="E9943">
        <v>11.3</v>
      </c>
      <c r="F9943">
        <v>96</v>
      </c>
    </row>
    <row r="9944" spans="1:6" x14ac:dyDescent="0.35">
      <c r="A9944">
        <v>1975</v>
      </c>
      <c r="B9944" s="1">
        <v>45939</v>
      </c>
      <c r="C9944" s="2">
        <v>0.25</v>
      </c>
      <c r="D9944">
        <v>3</v>
      </c>
      <c r="E9944">
        <v>11.3</v>
      </c>
      <c r="F9944">
        <v>96</v>
      </c>
    </row>
    <row r="9945" spans="1:6" x14ac:dyDescent="0.35">
      <c r="A9945">
        <v>1975</v>
      </c>
      <c r="B9945" s="1">
        <v>45939</v>
      </c>
      <c r="C9945" s="2">
        <v>0.29166666666666669</v>
      </c>
      <c r="D9945">
        <v>3</v>
      </c>
      <c r="E9945">
        <v>11.6</v>
      </c>
      <c r="F9945">
        <v>93</v>
      </c>
    </row>
    <row r="9946" spans="1:6" x14ac:dyDescent="0.35">
      <c r="A9946">
        <v>1975</v>
      </c>
      <c r="B9946" s="1">
        <v>45939</v>
      </c>
      <c r="C9946" s="2">
        <v>0.33333333333333331</v>
      </c>
      <c r="D9946">
        <v>3</v>
      </c>
      <c r="E9946">
        <v>12.3</v>
      </c>
      <c r="F9946">
        <v>89</v>
      </c>
    </row>
    <row r="9947" spans="1:6" x14ac:dyDescent="0.35">
      <c r="A9947">
        <v>1975</v>
      </c>
      <c r="B9947" s="1">
        <v>45939</v>
      </c>
      <c r="C9947" s="2">
        <v>0.375</v>
      </c>
      <c r="D9947">
        <v>3</v>
      </c>
      <c r="E9947">
        <v>14.2</v>
      </c>
      <c r="F9947">
        <v>81</v>
      </c>
    </row>
    <row r="9948" spans="1:6" x14ac:dyDescent="0.35">
      <c r="A9948">
        <v>1975</v>
      </c>
      <c r="B9948" s="1">
        <v>45939</v>
      </c>
      <c r="C9948" s="2">
        <v>0.41666666666666669</v>
      </c>
      <c r="D9948">
        <v>3</v>
      </c>
      <c r="E9948">
        <v>14.3</v>
      </c>
      <c r="F9948">
        <v>75</v>
      </c>
    </row>
    <row r="9949" spans="1:6" x14ac:dyDescent="0.35">
      <c r="A9949">
        <v>1975</v>
      </c>
      <c r="B9949" s="1">
        <v>45939</v>
      </c>
      <c r="C9949" s="2">
        <v>0.45833333333333331</v>
      </c>
      <c r="D9949">
        <v>3</v>
      </c>
      <c r="E9949">
        <v>13.8</v>
      </c>
      <c r="F9949">
        <v>76</v>
      </c>
    </row>
    <row r="9950" spans="1:6" x14ac:dyDescent="0.35">
      <c r="A9950">
        <v>1975</v>
      </c>
      <c r="B9950" s="1">
        <v>45939</v>
      </c>
      <c r="C9950" s="2">
        <v>0.5</v>
      </c>
      <c r="D9950">
        <v>3</v>
      </c>
      <c r="E9950">
        <v>14.1</v>
      </c>
      <c r="F9950">
        <v>78</v>
      </c>
    </row>
    <row r="9951" spans="1:6" x14ac:dyDescent="0.35">
      <c r="A9951">
        <v>1975</v>
      </c>
      <c r="B9951" s="1">
        <v>45939</v>
      </c>
      <c r="C9951" s="2">
        <v>0.54166666666666663</v>
      </c>
      <c r="D9951">
        <v>3</v>
      </c>
      <c r="E9951">
        <v>14.6</v>
      </c>
      <c r="F9951">
        <v>74</v>
      </c>
    </row>
    <row r="9952" spans="1:6" x14ac:dyDescent="0.35">
      <c r="A9952">
        <v>1975</v>
      </c>
      <c r="B9952" s="1">
        <v>45939</v>
      </c>
      <c r="C9952" s="2">
        <v>0.58333333333333337</v>
      </c>
      <c r="D9952">
        <v>3</v>
      </c>
      <c r="E9952">
        <v>14.2</v>
      </c>
      <c r="F9952">
        <v>79</v>
      </c>
    </row>
    <row r="9953" spans="1:6" x14ac:dyDescent="0.35">
      <c r="A9953">
        <v>1975</v>
      </c>
      <c r="B9953" s="1">
        <v>45939</v>
      </c>
      <c r="C9953" s="2">
        <v>0.625</v>
      </c>
      <c r="D9953">
        <v>3</v>
      </c>
      <c r="E9953">
        <v>13.5</v>
      </c>
      <c r="F9953">
        <v>83</v>
      </c>
    </row>
    <row r="9954" spans="1:6" x14ac:dyDescent="0.35">
      <c r="A9954">
        <v>1975</v>
      </c>
      <c r="B9954" s="1">
        <v>45939</v>
      </c>
      <c r="C9954" s="2">
        <v>0.66666666666666663</v>
      </c>
      <c r="D9954">
        <v>3</v>
      </c>
      <c r="E9954">
        <v>12.8</v>
      </c>
      <c r="F9954">
        <v>90</v>
      </c>
    </row>
    <row r="9955" spans="1:6" x14ac:dyDescent="0.35">
      <c r="A9955">
        <v>1975</v>
      </c>
      <c r="B9955" s="1">
        <v>45939</v>
      </c>
      <c r="C9955" s="2">
        <v>0.70833333333333337</v>
      </c>
      <c r="D9955">
        <v>3</v>
      </c>
      <c r="E9955">
        <v>13</v>
      </c>
      <c r="F9955">
        <v>88</v>
      </c>
    </row>
    <row r="9956" spans="1:6" x14ac:dyDescent="0.35">
      <c r="A9956">
        <v>1975</v>
      </c>
      <c r="B9956" s="1">
        <v>45939</v>
      </c>
      <c r="C9956" s="2">
        <v>0.75</v>
      </c>
      <c r="D9956">
        <v>3</v>
      </c>
      <c r="E9956">
        <v>13.1</v>
      </c>
      <c r="F9956">
        <v>85</v>
      </c>
    </row>
    <row r="9957" spans="1:6" x14ac:dyDescent="0.35">
      <c r="A9957">
        <v>1975</v>
      </c>
      <c r="B9957" s="1">
        <v>45939</v>
      </c>
      <c r="C9957" s="2">
        <v>0.79166666666666663</v>
      </c>
      <c r="D9957">
        <v>3</v>
      </c>
      <c r="E9957">
        <v>13.2</v>
      </c>
      <c r="F9957">
        <v>84</v>
      </c>
    </row>
    <row r="9958" spans="1:6" x14ac:dyDescent="0.35">
      <c r="A9958">
        <v>1975</v>
      </c>
      <c r="B9958" s="1">
        <v>45939</v>
      </c>
      <c r="C9958" s="2">
        <v>0.83333333333333337</v>
      </c>
      <c r="D9958">
        <v>3</v>
      </c>
      <c r="E9958">
        <v>13.1</v>
      </c>
      <c r="F9958">
        <v>85</v>
      </c>
    </row>
    <row r="9959" spans="1:6" x14ac:dyDescent="0.35">
      <c r="A9959">
        <v>1975</v>
      </c>
      <c r="B9959" s="1">
        <v>45939</v>
      </c>
      <c r="C9959" s="2">
        <v>0.875</v>
      </c>
      <c r="D9959">
        <v>3</v>
      </c>
      <c r="E9959">
        <v>12.4</v>
      </c>
      <c r="F9959">
        <v>94</v>
      </c>
    </row>
    <row r="9960" spans="1:6" x14ac:dyDescent="0.35">
      <c r="A9960">
        <v>1975</v>
      </c>
      <c r="B9960" s="1">
        <v>45939</v>
      </c>
      <c r="C9960" s="2">
        <v>0.91666666666666663</v>
      </c>
      <c r="D9960">
        <v>3</v>
      </c>
      <c r="E9960">
        <v>12.9</v>
      </c>
      <c r="F9960">
        <v>94</v>
      </c>
    </row>
    <row r="9961" spans="1:6" x14ac:dyDescent="0.35">
      <c r="A9961">
        <v>1975</v>
      </c>
      <c r="B9961" s="1">
        <v>45939</v>
      </c>
      <c r="C9961" s="2">
        <v>0.95833333333333337</v>
      </c>
      <c r="D9961">
        <v>3</v>
      </c>
      <c r="E9961">
        <v>13.1</v>
      </c>
      <c r="F9961">
        <v>93</v>
      </c>
    </row>
    <row r="9962" spans="1:6" x14ac:dyDescent="0.35">
      <c r="A9962">
        <v>1975</v>
      </c>
      <c r="B9962" s="1">
        <v>45940</v>
      </c>
      <c r="C9962" s="2">
        <v>0</v>
      </c>
      <c r="D9962">
        <v>3</v>
      </c>
      <c r="E9962">
        <v>13.3</v>
      </c>
      <c r="F9962">
        <v>93</v>
      </c>
    </row>
    <row r="9963" spans="1:6" x14ac:dyDescent="0.35">
      <c r="A9963">
        <v>1975</v>
      </c>
      <c r="B9963" s="1">
        <v>45940</v>
      </c>
      <c r="C9963" s="2">
        <v>4.1666666666666657E-2</v>
      </c>
      <c r="D9963">
        <v>3</v>
      </c>
      <c r="E9963">
        <v>13.4</v>
      </c>
      <c r="F9963">
        <v>91</v>
      </c>
    </row>
    <row r="9964" spans="1:6" x14ac:dyDescent="0.35">
      <c r="A9964">
        <v>1975</v>
      </c>
      <c r="B9964" s="1">
        <v>45940</v>
      </c>
      <c r="C9964" s="2">
        <v>8.3333333333333329E-2</v>
      </c>
      <c r="D9964">
        <v>3</v>
      </c>
      <c r="E9964">
        <v>12.5</v>
      </c>
      <c r="F9964">
        <v>89</v>
      </c>
    </row>
    <row r="9965" spans="1:6" x14ac:dyDescent="0.35">
      <c r="A9965">
        <v>1975</v>
      </c>
      <c r="B9965" s="1">
        <v>45940</v>
      </c>
      <c r="C9965" s="2">
        <v>0.125</v>
      </c>
      <c r="D9965">
        <v>3</v>
      </c>
      <c r="E9965">
        <v>11.9</v>
      </c>
      <c r="F9965">
        <v>88</v>
      </c>
    </row>
    <row r="9966" spans="1:6" x14ac:dyDescent="0.35">
      <c r="A9966">
        <v>1975</v>
      </c>
      <c r="B9966" s="1">
        <v>45940</v>
      </c>
      <c r="C9966" s="2">
        <v>0.16666666666666671</v>
      </c>
      <c r="D9966">
        <v>3</v>
      </c>
      <c r="E9966">
        <v>11.7</v>
      </c>
      <c r="F9966">
        <v>87</v>
      </c>
    </row>
    <row r="9967" spans="1:6" x14ac:dyDescent="0.35">
      <c r="A9967">
        <v>1975</v>
      </c>
      <c r="B9967" s="1">
        <v>45940</v>
      </c>
      <c r="C9967" s="2">
        <v>0.20833333333333329</v>
      </c>
      <c r="D9967">
        <v>3</v>
      </c>
      <c r="E9967">
        <v>10.9</v>
      </c>
      <c r="F9967">
        <v>92</v>
      </c>
    </row>
    <row r="9968" spans="1:6" x14ac:dyDescent="0.35">
      <c r="A9968">
        <v>1975</v>
      </c>
      <c r="B9968" s="1">
        <v>45940</v>
      </c>
      <c r="C9968" s="2">
        <v>0.25</v>
      </c>
      <c r="D9968">
        <v>3</v>
      </c>
      <c r="E9968">
        <v>11.3</v>
      </c>
      <c r="F9968">
        <v>90</v>
      </c>
    </row>
    <row r="9969" spans="1:6" x14ac:dyDescent="0.35">
      <c r="A9969">
        <v>1975</v>
      </c>
      <c r="B9969" s="1">
        <v>45940</v>
      </c>
      <c r="C9969" s="2">
        <v>0.29166666666666669</v>
      </c>
      <c r="D9969">
        <v>3</v>
      </c>
      <c r="E9969">
        <v>12.1</v>
      </c>
      <c r="F9969">
        <v>87</v>
      </c>
    </row>
    <row r="9970" spans="1:6" x14ac:dyDescent="0.35">
      <c r="A9970">
        <v>1975</v>
      </c>
      <c r="B9970" s="1">
        <v>45940</v>
      </c>
      <c r="C9970" s="2">
        <v>0.33333333333333331</v>
      </c>
      <c r="D9970">
        <v>3</v>
      </c>
      <c r="E9970">
        <v>13.3</v>
      </c>
      <c r="F9970">
        <v>86</v>
      </c>
    </row>
    <row r="9971" spans="1:6" x14ac:dyDescent="0.35">
      <c r="A9971">
        <v>1975</v>
      </c>
      <c r="B9971" s="1">
        <v>45940</v>
      </c>
      <c r="C9971" s="2">
        <v>0.375</v>
      </c>
      <c r="D9971">
        <v>3</v>
      </c>
      <c r="E9971">
        <v>13.3</v>
      </c>
      <c r="F9971">
        <v>91</v>
      </c>
    </row>
    <row r="9972" spans="1:6" x14ac:dyDescent="0.35">
      <c r="A9972">
        <v>1975</v>
      </c>
      <c r="B9972" s="1">
        <v>45940</v>
      </c>
      <c r="C9972" s="2">
        <v>0.41666666666666669</v>
      </c>
      <c r="D9972">
        <v>3</v>
      </c>
      <c r="E9972">
        <v>14.8</v>
      </c>
      <c r="F9972">
        <v>83</v>
      </c>
    </row>
    <row r="9973" spans="1:6" x14ac:dyDescent="0.35">
      <c r="A9973">
        <v>1975</v>
      </c>
      <c r="B9973" s="1">
        <v>45940</v>
      </c>
      <c r="C9973" s="2">
        <v>0.45833333333333331</v>
      </c>
      <c r="D9973">
        <v>3</v>
      </c>
      <c r="E9973">
        <v>15.2</v>
      </c>
      <c r="F9973">
        <v>78</v>
      </c>
    </row>
    <row r="9974" spans="1:6" x14ac:dyDescent="0.35">
      <c r="A9974">
        <v>1975</v>
      </c>
      <c r="B9974" s="1">
        <v>45940</v>
      </c>
      <c r="C9974" s="2">
        <v>0.5</v>
      </c>
      <c r="D9974">
        <v>3</v>
      </c>
      <c r="E9974">
        <v>15</v>
      </c>
      <c r="F9974">
        <v>78</v>
      </c>
    </row>
    <row r="9975" spans="1:6" x14ac:dyDescent="0.35">
      <c r="A9975">
        <v>1975</v>
      </c>
      <c r="B9975" s="1">
        <v>45940</v>
      </c>
      <c r="C9975" s="2">
        <v>0.54166666666666663</v>
      </c>
      <c r="D9975">
        <v>3</v>
      </c>
      <c r="E9975">
        <v>15.3</v>
      </c>
      <c r="F9975">
        <v>76</v>
      </c>
    </row>
    <row r="9976" spans="1:6" x14ac:dyDescent="0.35">
      <c r="A9976">
        <v>1975</v>
      </c>
      <c r="B9976" s="1">
        <v>45940</v>
      </c>
      <c r="C9976" s="2">
        <v>0.58333333333333337</v>
      </c>
      <c r="D9976">
        <v>3</v>
      </c>
      <c r="E9976">
        <v>15.4</v>
      </c>
      <c r="F9976">
        <v>79</v>
      </c>
    </row>
    <row r="9977" spans="1:6" x14ac:dyDescent="0.35">
      <c r="A9977">
        <v>1975</v>
      </c>
      <c r="B9977" s="1">
        <v>45940</v>
      </c>
      <c r="C9977" s="2">
        <v>0.625</v>
      </c>
      <c r="D9977">
        <v>3</v>
      </c>
      <c r="E9977">
        <v>15.3</v>
      </c>
      <c r="F9977">
        <v>82</v>
      </c>
    </row>
    <row r="9978" spans="1:6" x14ac:dyDescent="0.35">
      <c r="A9978">
        <v>1975</v>
      </c>
      <c r="B9978" s="1">
        <v>45940</v>
      </c>
      <c r="C9978" s="2">
        <v>0.66666666666666663</v>
      </c>
      <c r="D9978">
        <v>3</v>
      </c>
      <c r="E9978">
        <v>15.2</v>
      </c>
      <c r="F9978">
        <v>82</v>
      </c>
    </row>
    <row r="9979" spans="1:6" x14ac:dyDescent="0.35">
      <c r="A9979">
        <v>1975</v>
      </c>
      <c r="B9979" s="1">
        <v>45940</v>
      </c>
      <c r="C9979" s="2">
        <v>0.70833333333333337</v>
      </c>
      <c r="D9979">
        <v>3</v>
      </c>
      <c r="E9979">
        <v>14.4</v>
      </c>
      <c r="F9979">
        <v>84</v>
      </c>
    </row>
    <row r="9980" spans="1:6" x14ac:dyDescent="0.35">
      <c r="A9980">
        <v>1975</v>
      </c>
      <c r="B9980" s="1">
        <v>45940</v>
      </c>
      <c r="C9980" s="2">
        <v>0.75</v>
      </c>
      <c r="D9980">
        <v>3</v>
      </c>
      <c r="E9980">
        <v>13.8</v>
      </c>
      <c r="F9980">
        <v>86</v>
      </c>
    </row>
    <row r="9981" spans="1:6" x14ac:dyDescent="0.35">
      <c r="A9981">
        <v>1975</v>
      </c>
      <c r="B9981" s="1">
        <v>45940</v>
      </c>
      <c r="C9981" s="2">
        <v>0.79166666666666663</v>
      </c>
      <c r="D9981">
        <v>3</v>
      </c>
      <c r="E9981">
        <v>13.9</v>
      </c>
      <c r="F9981">
        <v>88</v>
      </c>
    </row>
    <row r="9982" spans="1:6" x14ac:dyDescent="0.35">
      <c r="A9982">
        <v>1975</v>
      </c>
      <c r="B9982" s="1">
        <v>45940</v>
      </c>
      <c r="C9982" s="2">
        <v>0.83333333333333337</v>
      </c>
      <c r="D9982">
        <v>3</v>
      </c>
      <c r="E9982">
        <v>14.1</v>
      </c>
      <c r="F9982">
        <v>84</v>
      </c>
    </row>
    <row r="9983" spans="1:6" x14ac:dyDescent="0.35">
      <c r="A9983">
        <v>1975</v>
      </c>
      <c r="B9983" s="1">
        <v>45940</v>
      </c>
      <c r="C9983" s="2">
        <v>0.875</v>
      </c>
      <c r="D9983">
        <v>3</v>
      </c>
      <c r="E9983">
        <v>14</v>
      </c>
      <c r="F9983">
        <v>84</v>
      </c>
    </row>
    <row r="9984" spans="1:6" x14ac:dyDescent="0.35">
      <c r="A9984">
        <v>1975</v>
      </c>
      <c r="B9984" s="1">
        <v>45940</v>
      </c>
      <c r="C9984" s="2">
        <v>0.91666666666666663</v>
      </c>
      <c r="D9984">
        <v>3</v>
      </c>
      <c r="E9984">
        <v>13.8</v>
      </c>
      <c r="F9984">
        <v>86</v>
      </c>
    </row>
    <row r="9985" spans="1:6" x14ac:dyDescent="0.35">
      <c r="A9985">
        <v>1975</v>
      </c>
      <c r="B9985" s="1">
        <v>45940</v>
      </c>
      <c r="C9985" s="2">
        <v>0.95833333333333337</v>
      </c>
      <c r="D9985">
        <v>3</v>
      </c>
      <c r="E9985">
        <v>13.9</v>
      </c>
      <c r="F9985">
        <v>86</v>
      </c>
    </row>
    <row r="9986" spans="1:6" x14ac:dyDescent="0.35">
      <c r="A9986">
        <v>1975</v>
      </c>
      <c r="B9986" s="1">
        <v>45941</v>
      </c>
      <c r="C9986" s="2">
        <v>0</v>
      </c>
      <c r="D9986">
        <v>3</v>
      </c>
      <c r="E9986">
        <v>13.9</v>
      </c>
      <c r="F9986">
        <v>86</v>
      </c>
    </row>
    <row r="9987" spans="1:6" x14ac:dyDescent="0.35">
      <c r="A9987">
        <v>1975</v>
      </c>
      <c r="B9987" s="1">
        <v>45941</v>
      </c>
      <c r="C9987" s="2">
        <v>4.1666666666666657E-2</v>
      </c>
      <c r="D9987">
        <v>3</v>
      </c>
      <c r="E9987">
        <v>13.6</v>
      </c>
      <c r="F9987">
        <v>89</v>
      </c>
    </row>
    <row r="9988" spans="1:6" x14ac:dyDescent="0.35">
      <c r="A9988">
        <v>1975</v>
      </c>
      <c r="B9988" s="1">
        <v>45941</v>
      </c>
      <c r="C9988" s="2">
        <v>8.3333333333333329E-2</v>
      </c>
      <c r="D9988">
        <v>3</v>
      </c>
      <c r="E9988">
        <v>13.5</v>
      </c>
      <c r="F9988">
        <v>90</v>
      </c>
    </row>
    <row r="9989" spans="1:6" x14ac:dyDescent="0.35">
      <c r="A9989">
        <v>1975</v>
      </c>
      <c r="B9989" s="1">
        <v>45941</v>
      </c>
      <c r="C9989" s="2">
        <v>0.125</v>
      </c>
      <c r="D9989">
        <v>3</v>
      </c>
      <c r="E9989">
        <v>13.6</v>
      </c>
      <c r="F9989">
        <v>89</v>
      </c>
    </row>
    <row r="9990" spans="1:6" x14ac:dyDescent="0.35">
      <c r="A9990">
        <v>1975</v>
      </c>
      <c r="B9990" s="1">
        <v>45941</v>
      </c>
      <c r="C9990" s="2">
        <v>0.16666666666666671</v>
      </c>
      <c r="D9990">
        <v>3</v>
      </c>
      <c r="E9990">
        <v>13.5</v>
      </c>
      <c r="F9990">
        <v>92</v>
      </c>
    </row>
    <row r="9991" spans="1:6" x14ac:dyDescent="0.35">
      <c r="A9991">
        <v>1975</v>
      </c>
      <c r="B9991" s="1">
        <v>45941</v>
      </c>
      <c r="C9991" s="2">
        <v>0.20833333333333329</v>
      </c>
      <c r="D9991">
        <v>3</v>
      </c>
      <c r="E9991">
        <v>13.4</v>
      </c>
      <c r="F9991">
        <v>91</v>
      </c>
    </row>
    <row r="9992" spans="1:6" x14ac:dyDescent="0.35">
      <c r="A9992">
        <v>1975</v>
      </c>
      <c r="B9992" s="1">
        <v>45941</v>
      </c>
      <c r="C9992" s="2">
        <v>0.25</v>
      </c>
      <c r="D9992">
        <v>3</v>
      </c>
      <c r="E9992">
        <v>13.4</v>
      </c>
      <c r="F9992">
        <v>91</v>
      </c>
    </row>
    <row r="9993" spans="1:6" x14ac:dyDescent="0.35">
      <c r="A9993">
        <v>1975</v>
      </c>
      <c r="B9993" s="1">
        <v>45941</v>
      </c>
      <c r="C9993" s="2">
        <v>0.29166666666666669</v>
      </c>
      <c r="D9993">
        <v>3</v>
      </c>
      <c r="E9993">
        <v>13.5</v>
      </c>
      <c r="F9993">
        <v>90</v>
      </c>
    </row>
    <row r="9994" spans="1:6" x14ac:dyDescent="0.35">
      <c r="A9994">
        <v>1975</v>
      </c>
      <c r="B9994" s="1">
        <v>45941</v>
      </c>
      <c r="C9994" s="2">
        <v>0.33333333333333331</v>
      </c>
      <c r="D9994">
        <v>3</v>
      </c>
      <c r="E9994">
        <v>13.8</v>
      </c>
      <c r="F9994">
        <v>86</v>
      </c>
    </row>
    <row r="9995" spans="1:6" x14ac:dyDescent="0.35">
      <c r="A9995">
        <v>1975</v>
      </c>
      <c r="B9995" s="1">
        <v>45941</v>
      </c>
      <c r="C9995" s="2">
        <v>0.375</v>
      </c>
      <c r="D9995">
        <v>3</v>
      </c>
      <c r="E9995">
        <v>14.6</v>
      </c>
      <c r="F9995">
        <v>82</v>
      </c>
    </row>
    <row r="9996" spans="1:6" x14ac:dyDescent="0.35">
      <c r="A9996">
        <v>1975</v>
      </c>
      <c r="B9996" s="1">
        <v>45941</v>
      </c>
      <c r="C9996" s="2">
        <v>0.41666666666666669</v>
      </c>
      <c r="D9996">
        <v>3</v>
      </c>
      <c r="E9996">
        <v>15</v>
      </c>
      <c r="F9996">
        <v>79</v>
      </c>
    </row>
    <row r="9997" spans="1:6" x14ac:dyDescent="0.35">
      <c r="A9997">
        <v>1975</v>
      </c>
      <c r="B9997" s="1">
        <v>45941</v>
      </c>
      <c r="C9997" s="2">
        <v>0.45833333333333331</v>
      </c>
      <c r="D9997">
        <v>3</v>
      </c>
      <c r="E9997">
        <v>15.7</v>
      </c>
      <c r="F9997">
        <v>70</v>
      </c>
    </row>
    <row r="9998" spans="1:6" x14ac:dyDescent="0.35">
      <c r="A9998">
        <v>1975</v>
      </c>
      <c r="B9998" s="1">
        <v>45941</v>
      </c>
      <c r="C9998" s="2">
        <v>0.5</v>
      </c>
      <c r="D9998">
        <v>3</v>
      </c>
      <c r="E9998">
        <v>15.6</v>
      </c>
      <c r="F9998">
        <v>70</v>
      </c>
    </row>
    <row r="9999" spans="1:6" x14ac:dyDescent="0.35">
      <c r="A9999">
        <v>1975</v>
      </c>
      <c r="B9999" s="1">
        <v>45941</v>
      </c>
      <c r="C9999" s="2">
        <v>0.54166666666666663</v>
      </c>
      <c r="D9999">
        <v>3</v>
      </c>
      <c r="E9999">
        <v>15.7</v>
      </c>
      <c r="F9999">
        <v>67</v>
      </c>
    </row>
    <row r="10000" spans="1:6" x14ac:dyDescent="0.35">
      <c r="A10000">
        <v>1975</v>
      </c>
      <c r="B10000" s="1">
        <v>45941</v>
      </c>
      <c r="C10000" s="2">
        <v>0.58333333333333337</v>
      </c>
      <c r="D10000">
        <v>3</v>
      </c>
      <c r="E10000">
        <v>15.2</v>
      </c>
      <c r="F10000">
        <v>69</v>
      </c>
    </row>
    <row r="10001" spans="1:6" x14ac:dyDescent="0.35">
      <c r="A10001">
        <v>1975</v>
      </c>
      <c r="B10001" s="1">
        <v>45941</v>
      </c>
      <c r="C10001" s="2">
        <v>0.625</v>
      </c>
      <c r="D10001">
        <v>3</v>
      </c>
      <c r="E10001">
        <v>14.9</v>
      </c>
      <c r="F10001">
        <v>69</v>
      </c>
    </row>
    <row r="10002" spans="1:6" x14ac:dyDescent="0.35">
      <c r="A10002">
        <v>1975</v>
      </c>
      <c r="B10002" s="1">
        <v>45941</v>
      </c>
      <c r="C10002" s="2">
        <v>0.66666666666666663</v>
      </c>
      <c r="D10002">
        <v>3</v>
      </c>
      <c r="E10002">
        <v>14.5</v>
      </c>
      <c r="F10002">
        <v>75</v>
      </c>
    </row>
    <row r="10003" spans="1:6" x14ac:dyDescent="0.35">
      <c r="A10003">
        <v>1975</v>
      </c>
      <c r="B10003" s="1">
        <v>45941</v>
      </c>
      <c r="C10003" s="2">
        <v>0.70833333333333337</v>
      </c>
      <c r="D10003">
        <v>3</v>
      </c>
      <c r="E10003">
        <v>13.9</v>
      </c>
      <c r="F10003">
        <v>79</v>
      </c>
    </row>
    <row r="10004" spans="1:6" x14ac:dyDescent="0.35">
      <c r="A10004">
        <v>1975</v>
      </c>
      <c r="B10004" s="1">
        <v>45941</v>
      </c>
      <c r="C10004" s="2">
        <v>0.75</v>
      </c>
      <c r="D10004">
        <v>3</v>
      </c>
      <c r="E10004">
        <v>13.5</v>
      </c>
      <c r="F10004">
        <v>82</v>
      </c>
    </row>
    <row r="10005" spans="1:6" x14ac:dyDescent="0.35">
      <c r="A10005">
        <v>1975</v>
      </c>
      <c r="B10005" s="1">
        <v>45941</v>
      </c>
      <c r="C10005" s="2">
        <v>0.79166666666666663</v>
      </c>
      <c r="D10005">
        <v>3</v>
      </c>
      <c r="E10005">
        <v>13.3</v>
      </c>
      <c r="F10005">
        <v>80</v>
      </c>
    </row>
    <row r="10006" spans="1:6" x14ac:dyDescent="0.35">
      <c r="A10006">
        <v>1975</v>
      </c>
      <c r="B10006" s="1">
        <v>45941</v>
      </c>
      <c r="C10006" s="2">
        <v>0.83333333333333337</v>
      </c>
      <c r="D10006">
        <v>3</v>
      </c>
      <c r="E10006">
        <v>13</v>
      </c>
      <c r="F10006">
        <v>78</v>
      </c>
    </row>
    <row r="10007" spans="1:6" x14ac:dyDescent="0.35">
      <c r="A10007">
        <v>1975</v>
      </c>
      <c r="B10007" s="1">
        <v>45941</v>
      </c>
      <c r="C10007" s="2">
        <v>0.875</v>
      </c>
      <c r="D10007">
        <v>3</v>
      </c>
      <c r="E10007">
        <v>12.9</v>
      </c>
      <c r="F10007">
        <v>78</v>
      </c>
    </row>
    <row r="10008" spans="1:6" x14ac:dyDescent="0.35">
      <c r="A10008">
        <v>1975</v>
      </c>
      <c r="B10008" s="1">
        <v>45941</v>
      </c>
      <c r="C10008" s="2">
        <v>0.91666666666666663</v>
      </c>
      <c r="D10008">
        <v>3</v>
      </c>
      <c r="E10008">
        <v>12.8</v>
      </c>
      <c r="F10008">
        <v>79</v>
      </c>
    </row>
    <row r="10009" spans="1:6" x14ac:dyDescent="0.35">
      <c r="A10009">
        <v>1975</v>
      </c>
      <c r="B10009" s="1">
        <v>45941</v>
      </c>
      <c r="C10009" s="2">
        <v>0.95833333333333337</v>
      </c>
      <c r="D10009">
        <v>3</v>
      </c>
      <c r="E10009">
        <v>12.6</v>
      </c>
      <c r="F10009">
        <v>79</v>
      </c>
    </row>
    <row r="10010" spans="1:6" x14ac:dyDescent="0.35">
      <c r="A10010">
        <v>1975</v>
      </c>
      <c r="B10010" s="1">
        <v>45942</v>
      </c>
      <c r="C10010" s="2">
        <v>0</v>
      </c>
      <c r="D10010">
        <v>3</v>
      </c>
      <c r="E10010">
        <v>12.6</v>
      </c>
      <c r="F10010">
        <v>79</v>
      </c>
    </row>
    <row r="10011" spans="1:6" x14ac:dyDescent="0.35">
      <c r="A10011">
        <v>1975</v>
      </c>
      <c r="B10011" s="1">
        <v>45942</v>
      </c>
      <c r="C10011" s="2">
        <v>4.1666666666666657E-2</v>
      </c>
      <c r="D10011">
        <v>3</v>
      </c>
      <c r="E10011">
        <v>12.5</v>
      </c>
      <c r="F10011">
        <v>81</v>
      </c>
    </row>
    <row r="10012" spans="1:6" x14ac:dyDescent="0.35">
      <c r="A10012">
        <v>1975</v>
      </c>
      <c r="B10012" s="1">
        <v>45942</v>
      </c>
      <c r="C10012" s="2">
        <v>8.3333333333333329E-2</v>
      </c>
      <c r="D10012">
        <v>3</v>
      </c>
      <c r="E10012">
        <v>12.5</v>
      </c>
      <c r="F10012">
        <v>81</v>
      </c>
    </row>
    <row r="10013" spans="1:6" x14ac:dyDescent="0.35">
      <c r="A10013">
        <v>1975</v>
      </c>
      <c r="B10013" s="1">
        <v>45942</v>
      </c>
      <c r="C10013" s="2">
        <v>0.125</v>
      </c>
      <c r="D10013">
        <v>3</v>
      </c>
      <c r="E10013">
        <v>12.4</v>
      </c>
      <c r="F10013">
        <v>82</v>
      </c>
    </row>
    <row r="10014" spans="1:6" x14ac:dyDescent="0.35">
      <c r="A10014">
        <v>1975</v>
      </c>
      <c r="B10014" s="1">
        <v>45942</v>
      </c>
      <c r="C10014" s="2">
        <v>0.16666666666666671</v>
      </c>
      <c r="D10014">
        <v>3</v>
      </c>
      <c r="E10014">
        <v>12.3</v>
      </c>
      <c r="F10014">
        <v>85</v>
      </c>
    </row>
    <row r="10015" spans="1:6" x14ac:dyDescent="0.35">
      <c r="A10015">
        <v>1975</v>
      </c>
      <c r="B10015" s="1">
        <v>45942</v>
      </c>
      <c r="C10015" s="2">
        <v>0.20833333333333329</v>
      </c>
      <c r="D10015">
        <v>3</v>
      </c>
      <c r="E10015">
        <v>12.3</v>
      </c>
      <c r="F10015">
        <v>85</v>
      </c>
    </row>
    <row r="10016" spans="1:6" x14ac:dyDescent="0.35">
      <c r="A10016">
        <v>1975</v>
      </c>
      <c r="B10016" s="1">
        <v>45942</v>
      </c>
      <c r="C10016" s="2">
        <v>0.25</v>
      </c>
      <c r="D10016">
        <v>3</v>
      </c>
      <c r="E10016">
        <v>12.3</v>
      </c>
      <c r="F10016">
        <v>90</v>
      </c>
    </row>
    <row r="10017" spans="1:6" x14ac:dyDescent="0.35">
      <c r="A10017">
        <v>1975</v>
      </c>
      <c r="B10017" s="1">
        <v>45942</v>
      </c>
      <c r="C10017" s="2">
        <v>0.29166666666666669</v>
      </c>
      <c r="D10017">
        <v>3</v>
      </c>
      <c r="E10017">
        <v>12.3</v>
      </c>
      <c r="F10017">
        <v>95</v>
      </c>
    </row>
    <row r="10018" spans="1:6" x14ac:dyDescent="0.35">
      <c r="A10018">
        <v>1975</v>
      </c>
      <c r="B10018" s="1">
        <v>45942</v>
      </c>
      <c r="C10018" s="2">
        <v>0.33333333333333331</v>
      </c>
      <c r="D10018">
        <v>3</v>
      </c>
      <c r="E10018">
        <v>13.1</v>
      </c>
      <c r="F10018">
        <v>92</v>
      </c>
    </row>
    <row r="10019" spans="1:6" x14ac:dyDescent="0.35">
      <c r="A10019">
        <v>1975</v>
      </c>
      <c r="B10019" s="1">
        <v>45942</v>
      </c>
      <c r="C10019" s="2">
        <v>0.375</v>
      </c>
      <c r="D10019">
        <v>3</v>
      </c>
      <c r="E10019">
        <v>13.6</v>
      </c>
      <c r="F10019">
        <v>92</v>
      </c>
    </row>
    <row r="10020" spans="1:6" x14ac:dyDescent="0.35">
      <c r="A10020">
        <v>1975</v>
      </c>
      <c r="B10020" s="1">
        <v>45942</v>
      </c>
      <c r="C10020" s="2">
        <v>0.41666666666666669</v>
      </c>
      <c r="D10020">
        <v>3</v>
      </c>
      <c r="E10020">
        <v>14.4</v>
      </c>
      <c r="F10020">
        <v>90</v>
      </c>
    </row>
    <row r="10021" spans="1:6" x14ac:dyDescent="0.35">
      <c r="A10021">
        <v>1975</v>
      </c>
      <c r="B10021" s="1">
        <v>45942</v>
      </c>
      <c r="C10021" s="2">
        <v>0.45833333333333331</v>
      </c>
      <c r="D10021">
        <v>3</v>
      </c>
      <c r="E10021">
        <v>14.4</v>
      </c>
      <c r="F10021">
        <v>93</v>
      </c>
    </row>
    <row r="10022" spans="1:6" x14ac:dyDescent="0.35">
      <c r="A10022">
        <v>1975</v>
      </c>
      <c r="B10022" s="1">
        <v>45942</v>
      </c>
      <c r="C10022" s="2">
        <v>0.5</v>
      </c>
      <c r="D10022">
        <v>3</v>
      </c>
      <c r="E10022">
        <v>15.8</v>
      </c>
      <c r="F10022">
        <v>83</v>
      </c>
    </row>
    <row r="10023" spans="1:6" x14ac:dyDescent="0.35">
      <c r="A10023">
        <v>1975</v>
      </c>
      <c r="B10023" s="1">
        <v>45942</v>
      </c>
      <c r="C10023" s="2">
        <v>0.54166666666666663</v>
      </c>
      <c r="D10023">
        <v>3</v>
      </c>
      <c r="E10023">
        <v>16.2</v>
      </c>
      <c r="F10023">
        <v>79</v>
      </c>
    </row>
    <row r="10024" spans="1:6" x14ac:dyDescent="0.35">
      <c r="A10024">
        <v>1975</v>
      </c>
      <c r="B10024" s="1">
        <v>45942</v>
      </c>
      <c r="C10024" s="2">
        <v>0.58333333333333337</v>
      </c>
      <c r="D10024">
        <v>3</v>
      </c>
      <c r="E10024">
        <v>15.9</v>
      </c>
      <c r="F10024">
        <v>80</v>
      </c>
    </row>
    <row r="10025" spans="1:6" x14ac:dyDescent="0.35">
      <c r="A10025">
        <v>1975</v>
      </c>
      <c r="B10025" s="1">
        <v>45942</v>
      </c>
      <c r="C10025" s="2">
        <v>0.625</v>
      </c>
      <c r="D10025">
        <v>3</v>
      </c>
      <c r="E10025">
        <v>15.8</v>
      </c>
      <c r="F10025">
        <v>82</v>
      </c>
    </row>
    <row r="10026" spans="1:6" x14ac:dyDescent="0.35">
      <c r="A10026">
        <v>1975</v>
      </c>
      <c r="B10026" s="1">
        <v>45942</v>
      </c>
      <c r="C10026" s="2">
        <v>0.66666666666666663</v>
      </c>
      <c r="D10026">
        <v>3</v>
      </c>
      <c r="E10026">
        <v>15.4</v>
      </c>
      <c r="F10026">
        <v>84</v>
      </c>
    </row>
    <row r="10027" spans="1:6" x14ac:dyDescent="0.35">
      <c r="A10027">
        <v>1975</v>
      </c>
      <c r="B10027" s="1">
        <v>45942</v>
      </c>
      <c r="C10027" s="2">
        <v>0.70833333333333337</v>
      </c>
      <c r="D10027">
        <v>3</v>
      </c>
      <c r="E10027">
        <v>14.9</v>
      </c>
      <c r="F10027">
        <v>82</v>
      </c>
    </row>
    <row r="10028" spans="1:6" x14ac:dyDescent="0.35">
      <c r="A10028">
        <v>1975</v>
      </c>
      <c r="B10028" s="1">
        <v>45942</v>
      </c>
      <c r="C10028" s="2">
        <v>0.75</v>
      </c>
      <c r="D10028">
        <v>3</v>
      </c>
      <c r="E10028">
        <v>14.3</v>
      </c>
      <c r="F10028">
        <v>83</v>
      </c>
    </row>
    <row r="10029" spans="1:6" x14ac:dyDescent="0.35">
      <c r="A10029">
        <v>1975</v>
      </c>
      <c r="B10029" s="1">
        <v>45942</v>
      </c>
      <c r="C10029" s="2">
        <v>0.79166666666666663</v>
      </c>
      <c r="D10029">
        <v>3</v>
      </c>
      <c r="E10029">
        <v>13.9</v>
      </c>
      <c r="F10029">
        <v>86</v>
      </c>
    </row>
    <row r="10030" spans="1:6" x14ac:dyDescent="0.35">
      <c r="A10030">
        <v>1975</v>
      </c>
      <c r="B10030" s="1">
        <v>45942</v>
      </c>
      <c r="C10030" s="2">
        <v>0.83333333333333337</v>
      </c>
      <c r="D10030">
        <v>3</v>
      </c>
      <c r="E10030">
        <v>13</v>
      </c>
      <c r="F10030">
        <v>89</v>
      </c>
    </row>
    <row r="10031" spans="1:6" x14ac:dyDescent="0.35">
      <c r="A10031">
        <v>1975</v>
      </c>
      <c r="B10031" s="1">
        <v>45942</v>
      </c>
      <c r="C10031" s="2">
        <v>0.875</v>
      </c>
      <c r="D10031">
        <v>3</v>
      </c>
      <c r="E10031">
        <v>11.7</v>
      </c>
      <c r="F10031">
        <v>95</v>
      </c>
    </row>
    <row r="10032" spans="1:6" x14ac:dyDescent="0.35">
      <c r="A10032">
        <v>1975</v>
      </c>
      <c r="B10032" s="1">
        <v>45942</v>
      </c>
      <c r="C10032" s="2">
        <v>0.91666666666666663</v>
      </c>
      <c r="D10032">
        <v>3</v>
      </c>
      <c r="E10032">
        <v>10.8</v>
      </c>
      <c r="F10032">
        <v>97</v>
      </c>
    </row>
    <row r="10033" spans="1:6" x14ac:dyDescent="0.35">
      <c r="A10033">
        <v>1975</v>
      </c>
      <c r="B10033" s="1">
        <v>45942</v>
      </c>
      <c r="C10033" s="2">
        <v>0.95833333333333337</v>
      </c>
      <c r="D10033">
        <v>3</v>
      </c>
      <c r="E10033">
        <v>9.1999999999999993</v>
      </c>
      <c r="F10033">
        <v>99</v>
      </c>
    </row>
    <row r="10034" spans="1:6" x14ac:dyDescent="0.35">
      <c r="A10034">
        <v>1975</v>
      </c>
      <c r="B10034" s="1">
        <v>45943</v>
      </c>
      <c r="C10034" s="2">
        <v>0</v>
      </c>
      <c r="D10034">
        <v>3</v>
      </c>
      <c r="E10034">
        <v>8.9</v>
      </c>
      <c r="F10034">
        <v>100</v>
      </c>
    </row>
    <row r="10035" spans="1:6" x14ac:dyDescent="0.35">
      <c r="A10035">
        <v>1975</v>
      </c>
      <c r="B10035" s="1">
        <v>45943</v>
      </c>
      <c r="C10035" s="2">
        <v>4.1666666666666657E-2</v>
      </c>
      <c r="D10035">
        <v>3</v>
      </c>
      <c r="E10035">
        <v>8.3000000000000007</v>
      </c>
      <c r="F10035">
        <v>100</v>
      </c>
    </row>
    <row r="10036" spans="1:6" x14ac:dyDescent="0.35">
      <c r="A10036">
        <v>1975</v>
      </c>
      <c r="B10036" s="1">
        <v>45943</v>
      </c>
      <c r="C10036" s="2">
        <v>8.3333333333333329E-2</v>
      </c>
      <c r="D10036">
        <v>3</v>
      </c>
      <c r="E10036">
        <v>9.8000000000000007</v>
      </c>
      <c r="F10036">
        <v>100</v>
      </c>
    </row>
    <row r="10037" spans="1:6" x14ac:dyDescent="0.35">
      <c r="A10037">
        <v>1975</v>
      </c>
      <c r="B10037" s="1">
        <v>45943</v>
      </c>
      <c r="C10037" s="2">
        <v>0.125</v>
      </c>
      <c r="D10037">
        <v>3</v>
      </c>
      <c r="E10037">
        <v>10.1</v>
      </c>
      <c r="F10037">
        <v>100</v>
      </c>
    </row>
    <row r="10038" spans="1:6" x14ac:dyDescent="0.35">
      <c r="A10038">
        <v>1975</v>
      </c>
      <c r="B10038" s="1">
        <v>45943</v>
      </c>
      <c r="C10038" s="2">
        <v>0.16666666666666671</v>
      </c>
      <c r="D10038">
        <v>3</v>
      </c>
      <c r="E10038">
        <v>10.1</v>
      </c>
      <c r="F10038">
        <v>100</v>
      </c>
    </row>
    <row r="10039" spans="1:6" x14ac:dyDescent="0.35">
      <c r="A10039">
        <v>1975</v>
      </c>
      <c r="B10039" s="1">
        <v>45943</v>
      </c>
      <c r="C10039" s="2">
        <v>0.20833333333333329</v>
      </c>
      <c r="D10039">
        <v>3</v>
      </c>
      <c r="E10039">
        <v>9.8000000000000007</v>
      </c>
      <c r="F10039">
        <v>100</v>
      </c>
    </row>
    <row r="10040" spans="1:6" x14ac:dyDescent="0.35">
      <c r="A10040">
        <v>1975</v>
      </c>
      <c r="B10040" s="1">
        <v>45943</v>
      </c>
      <c r="C10040" s="2">
        <v>0.25</v>
      </c>
      <c r="D10040">
        <v>3</v>
      </c>
      <c r="E10040">
        <v>9.6999999999999993</v>
      </c>
      <c r="F10040">
        <v>99</v>
      </c>
    </row>
    <row r="10041" spans="1:6" x14ac:dyDescent="0.35">
      <c r="A10041">
        <v>1975</v>
      </c>
      <c r="B10041" s="1">
        <v>45943</v>
      </c>
      <c r="C10041" s="2">
        <v>0.29166666666666669</v>
      </c>
      <c r="D10041">
        <v>3</v>
      </c>
      <c r="E10041">
        <v>9.6</v>
      </c>
      <c r="F10041">
        <v>96</v>
      </c>
    </row>
    <row r="10042" spans="1:6" x14ac:dyDescent="0.35">
      <c r="A10042">
        <v>1975</v>
      </c>
      <c r="B10042" s="1">
        <v>45943</v>
      </c>
      <c r="C10042" s="2">
        <v>0.33333333333333331</v>
      </c>
      <c r="D10042">
        <v>3</v>
      </c>
      <c r="E10042">
        <v>9.6</v>
      </c>
      <c r="F10042">
        <v>92</v>
      </c>
    </row>
    <row r="10043" spans="1:6" x14ac:dyDescent="0.35">
      <c r="A10043">
        <v>1975</v>
      </c>
      <c r="B10043" s="1">
        <v>45943</v>
      </c>
      <c r="C10043" s="2">
        <v>0.375</v>
      </c>
      <c r="D10043">
        <v>3</v>
      </c>
      <c r="E10043">
        <v>12.1</v>
      </c>
      <c r="F10043">
        <v>83</v>
      </c>
    </row>
    <row r="10044" spans="1:6" x14ac:dyDescent="0.35">
      <c r="A10044">
        <v>1975</v>
      </c>
      <c r="B10044" s="1">
        <v>45943</v>
      </c>
      <c r="C10044" s="2">
        <v>0.41666666666666669</v>
      </c>
      <c r="D10044">
        <v>3</v>
      </c>
      <c r="E10044">
        <v>12.5</v>
      </c>
      <c r="F10044">
        <v>80</v>
      </c>
    </row>
    <row r="10045" spans="1:6" x14ac:dyDescent="0.35">
      <c r="A10045">
        <v>1975</v>
      </c>
      <c r="B10045" s="1">
        <v>45943</v>
      </c>
      <c r="C10045" s="2">
        <v>0.45833333333333331</v>
      </c>
      <c r="D10045">
        <v>3</v>
      </c>
      <c r="E10045">
        <v>14</v>
      </c>
      <c r="F10045">
        <v>75</v>
      </c>
    </row>
    <row r="10046" spans="1:6" x14ac:dyDescent="0.35">
      <c r="A10046">
        <v>1975</v>
      </c>
      <c r="B10046" s="1">
        <v>45943</v>
      </c>
      <c r="C10046" s="2">
        <v>0.5</v>
      </c>
      <c r="D10046">
        <v>3</v>
      </c>
      <c r="E10046">
        <v>14.9</v>
      </c>
      <c r="F10046">
        <v>66</v>
      </c>
    </row>
    <row r="10047" spans="1:6" x14ac:dyDescent="0.35">
      <c r="A10047">
        <v>1975</v>
      </c>
      <c r="B10047" s="1">
        <v>45943</v>
      </c>
      <c r="C10047" s="2">
        <v>0.54166666666666663</v>
      </c>
      <c r="D10047">
        <v>3</v>
      </c>
      <c r="E10047">
        <v>15.1</v>
      </c>
      <c r="F10047">
        <v>67</v>
      </c>
    </row>
    <row r="10048" spans="1:6" x14ac:dyDescent="0.35">
      <c r="A10048">
        <v>1975</v>
      </c>
      <c r="B10048" s="1">
        <v>45943</v>
      </c>
      <c r="C10048" s="2">
        <v>0.58333333333333337</v>
      </c>
      <c r="D10048">
        <v>3</v>
      </c>
      <c r="E10048">
        <v>14.9</v>
      </c>
      <c r="F10048">
        <v>72</v>
      </c>
    </row>
    <row r="10049" spans="1:6" x14ac:dyDescent="0.35">
      <c r="A10049">
        <v>1975</v>
      </c>
      <c r="B10049" s="1">
        <v>45943</v>
      </c>
      <c r="C10049" s="2">
        <v>0.625</v>
      </c>
      <c r="D10049">
        <v>3</v>
      </c>
      <c r="E10049">
        <v>14.7</v>
      </c>
      <c r="F10049">
        <v>72</v>
      </c>
    </row>
    <row r="10050" spans="1:6" x14ac:dyDescent="0.35">
      <c r="A10050">
        <v>1975</v>
      </c>
      <c r="B10050" s="1">
        <v>45943</v>
      </c>
      <c r="C10050" s="2">
        <v>0.66666666666666663</v>
      </c>
      <c r="D10050">
        <v>3</v>
      </c>
      <c r="E10050">
        <v>13.2</v>
      </c>
      <c r="F10050">
        <v>84</v>
      </c>
    </row>
    <row r="10051" spans="1:6" x14ac:dyDescent="0.35">
      <c r="A10051">
        <v>1975</v>
      </c>
      <c r="B10051" s="1">
        <v>45943</v>
      </c>
      <c r="C10051" s="2">
        <v>0.70833333333333337</v>
      </c>
      <c r="D10051">
        <v>3</v>
      </c>
      <c r="E10051">
        <v>11.2</v>
      </c>
      <c r="F10051">
        <v>96</v>
      </c>
    </row>
    <row r="10052" spans="1:6" x14ac:dyDescent="0.35">
      <c r="A10052">
        <v>1975</v>
      </c>
      <c r="B10052" s="1">
        <v>45943</v>
      </c>
      <c r="C10052" s="2">
        <v>0.75</v>
      </c>
      <c r="D10052">
        <v>3</v>
      </c>
      <c r="E10052">
        <v>9.8000000000000007</v>
      </c>
      <c r="F10052">
        <v>98</v>
      </c>
    </row>
    <row r="10053" spans="1:6" x14ac:dyDescent="0.35">
      <c r="A10053">
        <v>1975</v>
      </c>
      <c r="B10053" s="1">
        <v>45943</v>
      </c>
      <c r="C10053" s="2">
        <v>0.79166666666666663</v>
      </c>
      <c r="D10053">
        <v>3</v>
      </c>
      <c r="E10053">
        <v>9.3000000000000007</v>
      </c>
      <c r="F10053">
        <v>100</v>
      </c>
    </row>
    <row r="10054" spans="1:6" x14ac:dyDescent="0.35">
      <c r="A10054">
        <v>1975</v>
      </c>
      <c r="B10054" s="1">
        <v>45943</v>
      </c>
      <c r="C10054" s="2">
        <v>0.83333333333333337</v>
      </c>
      <c r="D10054">
        <v>3</v>
      </c>
      <c r="E10054">
        <v>10.1</v>
      </c>
      <c r="F10054">
        <v>98</v>
      </c>
    </row>
    <row r="10055" spans="1:6" x14ac:dyDescent="0.35">
      <c r="A10055">
        <v>1975</v>
      </c>
      <c r="B10055" s="1">
        <v>45943</v>
      </c>
      <c r="C10055" s="2">
        <v>0.875</v>
      </c>
      <c r="D10055">
        <v>3</v>
      </c>
      <c r="E10055">
        <v>9.9</v>
      </c>
      <c r="F10055">
        <v>98</v>
      </c>
    </row>
    <row r="10056" spans="1:6" x14ac:dyDescent="0.35">
      <c r="A10056">
        <v>1975</v>
      </c>
      <c r="B10056" s="1">
        <v>45943</v>
      </c>
      <c r="C10056" s="2">
        <v>0.91666666666666663</v>
      </c>
      <c r="D10056">
        <v>3</v>
      </c>
      <c r="E10056">
        <v>10.1</v>
      </c>
      <c r="F10056">
        <v>97</v>
      </c>
    </row>
    <row r="10057" spans="1:6" x14ac:dyDescent="0.35">
      <c r="A10057">
        <v>1975</v>
      </c>
      <c r="B10057" s="1">
        <v>45943</v>
      </c>
      <c r="C10057" s="2">
        <v>0.95833333333333337</v>
      </c>
      <c r="D10057">
        <v>3</v>
      </c>
      <c r="E10057">
        <v>9.9</v>
      </c>
      <c r="F10057">
        <v>97</v>
      </c>
    </row>
    <row r="10058" spans="1:6" x14ac:dyDescent="0.35">
      <c r="A10058">
        <v>1975</v>
      </c>
      <c r="B10058" s="1">
        <v>45944</v>
      </c>
      <c r="C10058" s="2">
        <v>0</v>
      </c>
      <c r="D10058">
        <v>3</v>
      </c>
      <c r="E10058">
        <v>9.9</v>
      </c>
      <c r="F10058">
        <v>96</v>
      </c>
    </row>
    <row r="10059" spans="1:6" x14ac:dyDescent="0.35">
      <c r="A10059">
        <v>1975</v>
      </c>
      <c r="B10059" s="1">
        <v>45944</v>
      </c>
      <c r="C10059" s="2">
        <v>4.1666666666666657E-2</v>
      </c>
      <c r="D10059">
        <v>3</v>
      </c>
      <c r="E10059">
        <v>11</v>
      </c>
      <c r="F10059">
        <v>95</v>
      </c>
    </row>
    <row r="10060" spans="1:6" x14ac:dyDescent="0.35">
      <c r="A10060">
        <v>1975</v>
      </c>
      <c r="B10060" s="1">
        <v>45944</v>
      </c>
      <c r="C10060" s="2">
        <v>8.3333333333333329E-2</v>
      </c>
      <c r="D10060">
        <v>3</v>
      </c>
      <c r="E10060">
        <v>11.3</v>
      </c>
      <c r="F10060">
        <v>95</v>
      </c>
    </row>
    <row r="10061" spans="1:6" x14ac:dyDescent="0.35">
      <c r="A10061">
        <v>1975</v>
      </c>
      <c r="B10061" s="1">
        <v>45944</v>
      </c>
      <c r="C10061" s="2">
        <v>0.125</v>
      </c>
      <c r="D10061">
        <v>3</v>
      </c>
      <c r="E10061">
        <v>11.7</v>
      </c>
      <c r="F10061">
        <v>99</v>
      </c>
    </row>
    <row r="10062" spans="1:6" x14ac:dyDescent="0.35">
      <c r="A10062">
        <v>1975</v>
      </c>
      <c r="B10062" s="1">
        <v>45944</v>
      </c>
      <c r="C10062" s="2">
        <v>0.16666666666666671</v>
      </c>
      <c r="D10062">
        <v>3</v>
      </c>
      <c r="E10062">
        <v>12</v>
      </c>
      <c r="F10062">
        <v>95</v>
      </c>
    </row>
    <row r="10063" spans="1:6" x14ac:dyDescent="0.35">
      <c r="A10063">
        <v>1975</v>
      </c>
      <c r="B10063" s="1">
        <v>45944</v>
      </c>
      <c r="C10063" s="2">
        <v>0.20833333333333329</v>
      </c>
      <c r="D10063">
        <v>3</v>
      </c>
      <c r="E10063">
        <v>12.2</v>
      </c>
      <c r="F10063">
        <v>95</v>
      </c>
    </row>
    <row r="10064" spans="1:6" x14ac:dyDescent="0.35">
      <c r="A10064">
        <v>1975</v>
      </c>
      <c r="B10064" s="1">
        <v>45944</v>
      </c>
      <c r="C10064" s="2">
        <v>0.25</v>
      </c>
      <c r="D10064">
        <v>3</v>
      </c>
      <c r="E10064">
        <v>12.1</v>
      </c>
      <c r="F10064">
        <v>95</v>
      </c>
    </row>
    <row r="10065" spans="1:6" x14ac:dyDescent="0.35">
      <c r="A10065">
        <v>1975</v>
      </c>
      <c r="B10065" s="1">
        <v>45944</v>
      </c>
      <c r="C10065" s="2">
        <v>0.29166666666666669</v>
      </c>
      <c r="D10065">
        <v>3</v>
      </c>
      <c r="E10065">
        <v>11.7</v>
      </c>
      <c r="F10065">
        <v>94</v>
      </c>
    </row>
    <row r="10066" spans="1:6" x14ac:dyDescent="0.35">
      <c r="A10066">
        <v>1975</v>
      </c>
      <c r="B10066" s="1">
        <v>45944</v>
      </c>
      <c r="C10066" s="2">
        <v>0.33333333333333331</v>
      </c>
      <c r="D10066">
        <v>3</v>
      </c>
      <c r="E10066">
        <v>12</v>
      </c>
      <c r="F10066">
        <v>87</v>
      </c>
    </row>
    <row r="10067" spans="1:6" x14ac:dyDescent="0.35">
      <c r="A10067">
        <v>1975</v>
      </c>
      <c r="B10067" s="1">
        <v>45944</v>
      </c>
      <c r="C10067" s="2">
        <v>0.375</v>
      </c>
      <c r="D10067">
        <v>3</v>
      </c>
      <c r="E10067">
        <v>11.9</v>
      </c>
      <c r="F10067">
        <v>91</v>
      </c>
    </row>
    <row r="10068" spans="1:6" x14ac:dyDescent="0.35">
      <c r="A10068">
        <v>1975</v>
      </c>
      <c r="B10068" s="1">
        <v>45944</v>
      </c>
      <c r="C10068" s="2">
        <v>0.41666666666666669</v>
      </c>
      <c r="D10068">
        <v>3</v>
      </c>
      <c r="E10068">
        <v>12.3</v>
      </c>
      <c r="F10068">
        <v>91</v>
      </c>
    </row>
    <row r="10069" spans="1:6" x14ac:dyDescent="0.35">
      <c r="A10069">
        <v>1975</v>
      </c>
      <c r="B10069" s="1">
        <v>45944</v>
      </c>
      <c r="C10069" s="2">
        <v>0.45833333333333331</v>
      </c>
      <c r="D10069">
        <v>3</v>
      </c>
      <c r="E10069">
        <v>12.7</v>
      </c>
      <c r="F10069">
        <v>85</v>
      </c>
    </row>
    <row r="10070" spans="1:6" x14ac:dyDescent="0.35">
      <c r="A10070">
        <v>1975</v>
      </c>
      <c r="B10070" s="1">
        <v>45944</v>
      </c>
      <c r="C10070" s="2">
        <v>0.5</v>
      </c>
      <c r="D10070">
        <v>3</v>
      </c>
      <c r="E10070">
        <v>12.8</v>
      </c>
      <c r="F10070">
        <v>87</v>
      </c>
    </row>
    <row r="10071" spans="1:6" x14ac:dyDescent="0.35">
      <c r="A10071">
        <v>1975</v>
      </c>
      <c r="B10071" s="1">
        <v>45944</v>
      </c>
      <c r="C10071" s="2">
        <v>0.54166666666666663</v>
      </c>
      <c r="D10071">
        <v>3</v>
      </c>
      <c r="E10071">
        <v>12.6</v>
      </c>
      <c r="F10071">
        <v>93</v>
      </c>
    </row>
    <row r="10072" spans="1:6" x14ac:dyDescent="0.35">
      <c r="A10072">
        <v>1975</v>
      </c>
      <c r="B10072" s="1">
        <v>45944</v>
      </c>
      <c r="C10072" s="2">
        <v>0.58333333333333337</v>
      </c>
      <c r="D10072">
        <v>3</v>
      </c>
      <c r="E10072">
        <v>13</v>
      </c>
      <c r="F10072">
        <v>90</v>
      </c>
    </row>
    <row r="10073" spans="1:6" x14ac:dyDescent="0.35">
      <c r="A10073">
        <v>1975</v>
      </c>
      <c r="B10073" s="1">
        <v>45944</v>
      </c>
      <c r="C10073" s="2">
        <v>0.625</v>
      </c>
      <c r="D10073">
        <v>3</v>
      </c>
      <c r="E10073">
        <v>13.1</v>
      </c>
      <c r="F10073">
        <v>87</v>
      </c>
    </row>
    <row r="10074" spans="1:6" x14ac:dyDescent="0.35">
      <c r="A10074">
        <v>1975</v>
      </c>
      <c r="B10074" s="1">
        <v>45944</v>
      </c>
      <c r="C10074" s="2">
        <v>0.66666666666666663</v>
      </c>
      <c r="D10074">
        <v>3</v>
      </c>
      <c r="E10074">
        <v>12.8</v>
      </c>
      <c r="F10074">
        <v>88</v>
      </c>
    </row>
    <row r="10075" spans="1:6" x14ac:dyDescent="0.35">
      <c r="A10075">
        <v>1975</v>
      </c>
      <c r="B10075" s="1">
        <v>45944</v>
      </c>
      <c r="C10075" s="2">
        <v>0.70833333333333337</v>
      </c>
      <c r="D10075">
        <v>3</v>
      </c>
      <c r="E10075">
        <v>12.6</v>
      </c>
      <c r="F10075">
        <v>89</v>
      </c>
    </row>
    <row r="10076" spans="1:6" x14ac:dyDescent="0.35">
      <c r="A10076">
        <v>1975</v>
      </c>
      <c r="B10076" s="1">
        <v>45944</v>
      </c>
      <c r="C10076" s="2">
        <v>0.75</v>
      </c>
      <c r="D10076">
        <v>3</v>
      </c>
      <c r="E10076">
        <v>12.5</v>
      </c>
      <c r="F10076">
        <v>89</v>
      </c>
    </row>
    <row r="10077" spans="1:6" x14ac:dyDescent="0.35">
      <c r="A10077">
        <v>1975</v>
      </c>
      <c r="B10077" s="1">
        <v>45944</v>
      </c>
      <c r="C10077" s="2">
        <v>0.79166666666666663</v>
      </c>
      <c r="D10077">
        <v>3</v>
      </c>
      <c r="E10077">
        <v>12.3</v>
      </c>
      <c r="F10077">
        <v>90</v>
      </c>
    </row>
    <row r="10078" spans="1:6" x14ac:dyDescent="0.35">
      <c r="A10078">
        <v>1975</v>
      </c>
      <c r="B10078" s="1">
        <v>45944</v>
      </c>
      <c r="C10078" s="2">
        <v>0.83333333333333337</v>
      </c>
      <c r="D10078">
        <v>3</v>
      </c>
      <c r="E10078">
        <v>12.4</v>
      </c>
      <c r="F10078">
        <v>87</v>
      </c>
    </row>
    <row r="10079" spans="1:6" x14ac:dyDescent="0.35">
      <c r="A10079">
        <v>1975</v>
      </c>
      <c r="B10079" s="1">
        <v>45944</v>
      </c>
      <c r="C10079" s="2">
        <v>0.875</v>
      </c>
      <c r="D10079">
        <v>3</v>
      </c>
      <c r="E10079">
        <v>12.2</v>
      </c>
      <c r="F10079">
        <v>87</v>
      </c>
    </row>
    <row r="10080" spans="1:6" x14ac:dyDescent="0.35">
      <c r="A10080">
        <v>1975</v>
      </c>
      <c r="B10080" s="1">
        <v>45944</v>
      </c>
      <c r="C10080" s="2">
        <v>0.91666666666666663</v>
      </c>
      <c r="D10080">
        <v>3</v>
      </c>
      <c r="E10080">
        <v>12</v>
      </c>
      <c r="F10080">
        <v>86</v>
      </c>
    </row>
    <row r="10081" spans="1:6" x14ac:dyDescent="0.35">
      <c r="A10081">
        <v>1975</v>
      </c>
      <c r="B10081" s="1">
        <v>45944</v>
      </c>
      <c r="C10081" s="2">
        <v>0.95833333333333337</v>
      </c>
      <c r="D10081">
        <v>3</v>
      </c>
      <c r="E10081">
        <v>11.6</v>
      </c>
      <c r="F10081">
        <v>90</v>
      </c>
    </row>
    <row r="10082" spans="1:6" x14ac:dyDescent="0.35">
      <c r="A10082">
        <v>1975</v>
      </c>
      <c r="B10082" s="1">
        <v>45945</v>
      </c>
      <c r="C10082" s="2">
        <v>0</v>
      </c>
      <c r="D10082">
        <v>3</v>
      </c>
      <c r="E10082">
        <v>11.8</v>
      </c>
      <c r="F10082">
        <v>89</v>
      </c>
    </row>
    <row r="10083" spans="1:6" x14ac:dyDescent="0.35">
      <c r="A10083">
        <v>1975</v>
      </c>
      <c r="B10083" s="1">
        <v>45945</v>
      </c>
      <c r="C10083" s="2">
        <v>4.1666666666666657E-2</v>
      </c>
      <c r="D10083">
        <v>3</v>
      </c>
      <c r="E10083">
        <v>11.7</v>
      </c>
      <c r="F10083">
        <v>88</v>
      </c>
    </row>
    <row r="10084" spans="1:6" x14ac:dyDescent="0.35">
      <c r="A10084">
        <v>1975</v>
      </c>
      <c r="B10084" s="1">
        <v>45945</v>
      </c>
      <c r="C10084" s="2">
        <v>8.3333333333333329E-2</v>
      </c>
      <c r="D10084">
        <v>3</v>
      </c>
      <c r="E10084">
        <v>11.4</v>
      </c>
      <c r="F10084">
        <v>87</v>
      </c>
    </row>
    <row r="10085" spans="1:6" x14ac:dyDescent="0.35">
      <c r="A10085">
        <v>1975</v>
      </c>
      <c r="B10085" s="1">
        <v>45945</v>
      </c>
      <c r="C10085" s="2">
        <v>0.125</v>
      </c>
      <c r="D10085">
        <v>3</v>
      </c>
      <c r="E10085">
        <v>10.6</v>
      </c>
      <c r="F10085">
        <v>90</v>
      </c>
    </row>
    <row r="10086" spans="1:6" x14ac:dyDescent="0.35">
      <c r="A10086">
        <v>1975</v>
      </c>
      <c r="B10086" s="1">
        <v>45945</v>
      </c>
      <c r="C10086" s="2">
        <v>0.16666666666666671</v>
      </c>
      <c r="D10086">
        <v>3</v>
      </c>
      <c r="E10086">
        <v>9.6999999999999993</v>
      </c>
      <c r="F10086">
        <v>96</v>
      </c>
    </row>
    <row r="10087" spans="1:6" x14ac:dyDescent="0.35">
      <c r="A10087">
        <v>1975</v>
      </c>
      <c r="B10087" s="1">
        <v>45945</v>
      </c>
      <c r="C10087" s="2">
        <v>0.20833333333333329</v>
      </c>
      <c r="D10087">
        <v>3</v>
      </c>
      <c r="E10087">
        <v>9.4</v>
      </c>
      <c r="F10087">
        <v>94</v>
      </c>
    </row>
    <row r="10088" spans="1:6" x14ac:dyDescent="0.35">
      <c r="A10088">
        <v>1975</v>
      </c>
      <c r="B10088" s="1">
        <v>45945</v>
      </c>
      <c r="C10088" s="2">
        <v>0.25</v>
      </c>
      <c r="D10088">
        <v>3</v>
      </c>
      <c r="E10088">
        <v>10.6</v>
      </c>
      <c r="F10088">
        <v>93</v>
      </c>
    </row>
    <row r="10089" spans="1:6" x14ac:dyDescent="0.35">
      <c r="A10089">
        <v>1975</v>
      </c>
      <c r="B10089" s="1">
        <v>45945</v>
      </c>
      <c r="C10089" s="2">
        <v>0.29166666666666669</v>
      </c>
      <c r="D10089">
        <v>3</v>
      </c>
      <c r="E10089">
        <v>11.3</v>
      </c>
      <c r="F10089">
        <v>92</v>
      </c>
    </row>
    <row r="10090" spans="1:6" x14ac:dyDescent="0.35">
      <c r="A10090">
        <v>1975</v>
      </c>
      <c r="B10090" s="1">
        <v>45945</v>
      </c>
      <c r="C10090" s="2">
        <v>0.33333333333333331</v>
      </c>
      <c r="D10090">
        <v>3</v>
      </c>
      <c r="E10090">
        <v>12.2</v>
      </c>
      <c r="F10090">
        <v>89</v>
      </c>
    </row>
    <row r="10091" spans="1:6" x14ac:dyDescent="0.35">
      <c r="A10091">
        <v>1975</v>
      </c>
      <c r="B10091" s="1">
        <v>45945</v>
      </c>
      <c r="C10091" s="2">
        <v>0.375</v>
      </c>
      <c r="D10091">
        <v>3</v>
      </c>
      <c r="E10091">
        <v>12.7</v>
      </c>
      <c r="F10091">
        <v>85</v>
      </c>
    </row>
    <row r="10092" spans="1:6" x14ac:dyDescent="0.35">
      <c r="A10092">
        <v>1975</v>
      </c>
      <c r="B10092" s="1">
        <v>45945</v>
      </c>
      <c r="C10092" s="2">
        <v>0.41666666666666669</v>
      </c>
      <c r="D10092">
        <v>3</v>
      </c>
      <c r="E10092">
        <v>13.6</v>
      </c>
      <c r="F10092">
        <v>80</v>
      </c>
    </row>
    <row r="10093" spans="1:6" x14ac:dyDescent="0.35">
      <c r="A10093">
        <v>1975</v>
      </c>
      <c r="B10093" s="1">
        <v>45945</v>
      </c>
      <c r="C10093" s="2">
        <v>0.45833333333333331</v>
      </c>
      <c r="D10093">
        <v>3</v>
      </c>
      <c r="E10093">
        <v>13.4</v>
      </c>
      <c r="F10093">
        <v>83</v>
      </c>
    </row>
    <row r="10094" spans="1:6" x14ac:dyDescent="0.35">
      <c r="A10094">
        <v>1975</v>
      </c>
      <c r="B10094" s="1">
        <v>45945</v>
      </c>
      <c r="C10094" s="2">
        <v>0.5</v>
      </c>
      <c r="D10094">
        <v>3</v>
      </c>
      <c r="E10094">
        <v>13.5</v>
      </c>
      <c r="F10094">
        <v>85</v>
      </c>
    </row>
    <row r="10095" spans="1:6" x14ac:dyDescent="0.35">
      <c r="A10095">
        <v>1975</v>
      </c>
      <c r="B10095" s="1">
        <v>45945</v>
      </c>
      <c r="C10095" s="2">
        <v>0.54166666666666663</v>
      </c>
      <c r="D10095">
        <v>3</v>
      </c>
      <c r="E10095">
        <v>13.3</v>
      </c>
      <c r="F10095">
        <v>92</v>
      </c>
    </row>
    <row r="10096" spans="1:6" x14ac:dyDescent="0.35">
      <c r="A10096">
        <v>1975</v>
      </c>
      <c r="B10096" s="1">
        <v>45945</v>
      </c>
      <c r="C10096" s="2">
        <v>0.58333333333333337</v>
      </c>
      <c r="D10096">
        <v>3</v>
      </c>
      <c r="E10096">
        <v>13.2</v>
      </c>
      <c r="F10096">
        <v>93</v>
      </c>
    </row>
    <row r="10097" spans="1:6" x14ac:dyDescent="0.35">
      <c r="A10097">
        <v>1975</v>
      </c>
      <c r="B10097" s="1">
        <v>45945</v>
      </c>
      <c r="C10097" s="2">
        <v>0.625</v>
      </c>
      <c r="D10097">
        <v>3</v>
      </c>
      <c r="E10097">
        <v>13.1</v>
      </c>
      <c r="F10097">
        <v>90</v>
      </c>
    </row>
    <row r="10098" spans="1:6" x14ac:dyDescent="0.35">
      <c r="A10098">
        <v>1975</v>
      </c>
      <c r="B10098" s="1">
        <v>45945</v>
      </c>
      <c r="C10098" s="2">
        <v>0.66666666666666663</v>
      </c>
      <c r="D10098">
        <v>3</v>
      </c>
      <c r="E10098">
        <v>12.5</v>
      </c>
      <c r="F10098">
        <v>86</v>
      </c>
    </row>
    <row r="10099" spans="1:6" x14ac:dyDescent="0.35">
      <c r="A10099">
        <v>1975</v>
      </c>
      <c r="B10099" s="1">
        <v>45945</v>
      </c>
      <c r="C10099" s="2">
        <v>0.70833333333333337</v>
      </c>
      <c r="D10099">
        <v>3</v>
      </c>
      <c r="E10099">
        <v>12.2</v>
      </c>
      <c r="F10099">
        <v>88</v>
      </c>
    </row>
    <row r="10100" spans="1:6" x14ac:dyDescent="0.35">
      <c r="A10100">
        <v>1975</v>
      </c>
      <c r="B10100" s="1">
        <v>45945</v>
      </c>
      <c r="C10100" s="2">
        <v>0.75</v>
      </c>
      <c r="D10100">
        <v>3</v>
      </c>
      <c r="E10100">
        <v>11.7</v>
      </c>
      <c r="F10100">
        <v>92</v>
      </c>
    </row>
    <row r="10101" spans="1:6" x14ac:dyDescent="0.35">
      <c r="A10101">
        <v>1975</v>
      </c>
      <c r="B10101" s="1">
        <v>45945</v>
      </c>
      <c r="C10101" s="2">
        <v>0.79166666666666663</v>
      </c>
      <c r="D10101">
        <v>3</v>
      </c>
      <c r="E10101">
        <v>11.4</v>
      </c>
      <c r="F10101">
        <v>94</v>
      </c>
    </row>
    <row r="10102" spans="1:6" x14ac:dyDescent="0.35">
      <c r="A10102">
        <v>1975</v>
      </c>
      <c r="B10102" s="1">
        <v>45945</v>
      </c>
      <c r="C10102" s="2">
        <v>0.83333333333333337</v>
      </c>
      <c r="D10102">
        <v>3</v>
      </c>
      <c r="E10102">
        <v>10.9</v>
      </c>
      <c r="F10102">
        <v>94</v>
      </c>
    </row>
    <row r="10103" spans="1:6" x14ac:dyDescent="0.35">
      <c r="A10103">
        <v>1975</v>
      </c>
      <c r="B10103" s="1">
        <v>45945</v>
      </c>
      <c r="C10103" s="2">
        <v>0.875</v>
      </c>
      <c r="D10103">
        <v>3</v>
      </c>
      <c r="E10103">
        <v>9.8000000000000007</v>
      </c>
      <c r="F10103">
        <v>96</v>
      </c>
    </row>
    <row r="10104" spans="1:6" x14ac:dyDescent="0.35">
      <c r="A10104">
        <v>1975</v>
      </c>
      <c r="B10104" s="1">
        <v>45945</v>
      </c>
      <c r="C10104" s="2">
        <v>0.91666666666666663</v>
      </c>
      <c r="D10104">
        <v>3</v>
      </c>
      <c r="E10104">
        <v>10</v>
      </c>
      <c r="F10104">
        <v>97</v>
      </c>
    </row>
    <row r="10105" spans="1:6" x14ac:dyDescent="0.35">
      <c r="A10105">
        <v>1975</v>
      </c>
      <c r="B10105" s="1">
        <v>45945</v>
      </c>
      <c r="C10105" s="2">
        <v>0.95833333333333337</v>
      </c>
      <c r="D10105">
        <v>3</v>
      </c>
      <c r="E10105">
        <v>10.6</v>
      </c>
      <c r="F10105">
        <v>95</v>
      </c>
    </row>
    <row r="10106" spans="1:6" x14ac:dyDescent="0.35">
      <c r="A10106">
        <v>1975</v>
      </c>
      <c r="B10106" s="1">
        <v>45946</v>
      </c>
      <c r="C10106" s="2">
        <v>0</v>
      </c>
      <c r="D10106">
        <v>3</v>
      </c>
      <c r="E10106">
        <v>10.7</v>
      </c>
      <c r="F10106">
        <v>95</v>
      </c>
    </row>
    <row r="10107" spans="1:6" x14ac:dyDescent="0.35">
      <c r="A10107">
        <v>1975</v>
      </c>
      <c r="B10107" s="1">
        <v>45946</v>
      </c>
      <c r="C10107" s="2">
        <v>4.1666666666666657E-2</v>
      </c>
      <c r="D10107">
        <v>3</v>
      </c>
      <c r="E10107">
        <v>10.9</v>
      </c>
      <c r="F10107">
        <v>95</v>
      </c>
    </row>
    <row r="10108" spans="1:6" x14ac:dyDescent="0.35">
      <c r="A10108">
        <v>1975</v>
      </c>
      <c r="B10108" s="1">
        <v>45946</v>
      </c>
      <c r="C10108" s="2">
        <v>8.3333333333333329E-2</v>
      </c>
      <c r="D10108">
        <v>3</v>
      </c>
      <c r="E10108">
        <v>11</v>
      </c>
      <c r="F10108">
        <v>96</v>
      </c>
    </row>
    <row r="10109" spans="1:6" x14ac:dyDescent="0.35">
      <c r="A10109">
        <v>1975</v>
      </c>
      <c r="B10109" s="1">
        <v>45946</v>
      </c>
      <c r="C10109" s="2">
        <v>0.125</v>
      </c>
      <c r="D10109">
        <v>3</v>
      </c>
      <c r="E10109">
        <v>11.1</v>
      </c>
      <c r="F10109">
        <v>95</v>
      </c>
    </row>
    <row r="10110" spans="1:6" x14ac:dyDescent="0.35">
      <c r="A10110">
        <v>1975</v>
      </c>
      <c r="B10110" s="1">
        <v>45946</v>
      </c>
      <c r="C10110" s="2">
        <v>0.16666666666666671</v>
      </c>
      <c r="D10110">
        <v>3</v>
      </c>
      <c r="E10110">
        <v>11.2</v>
      </c>
      <c r="F10110">
        <v>95</v>
      </c>
    </row>
    <row r="10111" spans="1:6" x14ac:dyDescent="0.35">
      <c r="A10111">
        <v>1975</v>
      </c>
      <c r="B10111" s="1">
        <v>45946</v>
      </c>
      <c r="C10111" s="2">
        <v>0.20833333333333329</v>
      </c>
      <c r="D10111">
        <v>3</v>
      </c>
      <c r="E10111">
        <v>11.2</v>
      </c>
      <c r="F10111">
        <v>95</v>
      </c>
    </row>
    <row r="10112" spans="1:6" x14ac:dyDescent="0.35">
      <c r="A10112">
        <v>1975</v>
      </c>
      <c r="B10112" s="1">
        <v>45946</v>
      </c>
      <c r="C10112" s="2">
        <v>0.25</v>
      </c>
      <c r="D10112">
        <v>3</v>
      </c>
      <c r="E10112">
        <v>11.3</v>
      </c>
      <c r="F10112">
        <v>93</v>
      </c>
    </row>
    <row r="10113" spans="1:6" x14ac:dyDescent="0.35">
      <c r="A10113">
        <v>1975</v>
      </c>
      <c r="B10113" s="1">
        <v>45946</v>
      </c>
      <c r="C10113" s="2">
        <v>0.29166666666666669</v>
      </c>
      <c r="D10113">
        <v>3</v>
      </c>
      <c r="E10113">
        <v>11.4</v>
      </c>
      <c r="F10113">
        <v>94</v>
      </c>
    </row>
    <row r="10114" spans="1:6" x14ac:dyDescent="0.35">
      <c r="A10114">
        <v>1975</v>
      </c>
      <c r="B10114" s="1">
        <v>45946</v>
      </c>
      <c r="C10114" s="2">
        <v>0.33333333333333331</v>
      </c>
      <c r="D10114">
        <v>3</v>
      </c>
      <c r="E10114">
        <v>11.7</v>
      </c>
      <c r="F10114">
        <v>93</v>
      </c>
    </row>
    <row r="10115" spans="1:6" x14ac:dyDescent="0.35">
      <c r="A10115">
        <v>1975</v>
      </c>
      <c r="B10115" s="1">
        <v>45946</v>
      </c>
      <c r="C10115" s="2">
        <v>0.375</v>
      </c>
      <c r="D10115">
        <v>3</v>
      </c>
      <c r="E10115">
        <v>12.5</v>
      </c>
      <c r="F10115">
        <v>91</v>
      </c>
    </row>
    <row r="10116" spans="1:6" x14ac:dyDescent="0.35">
      <c r="A10116">
        <v>1975</v>
      </c>
      <c r="B10116" s="1">
        <v>45946</v>
      </c>
      <c r="C10116" s="2">
        <v>0.41666666666666669</v>
      </c>
      <c r="D10116">
        <v>3</v>
      </c>
      <c r="E10116">
        <v>12.9</v>
      </c>
      <c r="F10116">
        <v>92</v>
      </c>
    </row>
    <row r="10117" spans="1:6" x14ac:dyDescent="0.35">
      <c r="A10117">
        <v>1975</v>
      </c>
      <c r="B10117" s="1">
        <v>45946</v>
      </c>
      <c r="C10117" s="2">
        <v>0.45833333333333331</v>
      </c>
      <c r="D10117">
        <v>3</v>
      </c>
      <c r="E10117">
        <v>14.5</v>
      </c>
      <c r="F10117">
        <v>77</v>
      </c>
    </row>
    <row r="10118" spans="1:6" x14ac:dyDescent="0.35">
      <c r="A10118">
        <v>1975</v>
      </c>
      <c r="B10118" s="1">
        <v>45946</v>
      </c>
      <c r="C10118" s="2">
        <v>0.5</v>
      </c>
      <c r="D10118">
        <v>3</v>
      </c>
      <c r="E10118">
        <v>14.7</v>
      </c>
      <c r="F10118">
        <v>75</v>
      </c>
    </row>
    <row r="10119" spans="1:6" x14ac:dyDescent="0.35">
      <c r="A10119">
        <v>1975</v>
      </c>
      <c r="B10119" s="1">
        <v>45946</v>
      </c>
      <c r="C10119" s="2">
        <v>0.54166666666666663</v>
      </c>
      <c r="D10119">
        <v>3</v>
      </c>
      <c r="E10119">
        <v>14.9</v>
      </c>
      <c r="F10119">
        <v>75</v>
      </c>
    </row>
    <row r="10120" spans="1:6" x14ac:dyDescent="0.35">
      <c r="A10120">
        <v>1975</v>
      </c>
      <c r="B10120" s="1">
        <v>45946</v>
      </c>
      <c r="C10120" s="2">
        <v>0.58333333333333337</v>
      </c>
      <c r="D10120">
        <v>3</v>
      </c>
      <c r="E10120">
        <v>14.6</v>
      </c>
      <c r="F10120">
        <v>80</v>
      </c>
    </row>
    <row r="10121" spans="1:6" x14ac:dyDescent="0.35">
      <c r="A10121">
        <v>1975</v>
      </c>
      <c r="B10121" s="1">
        <v>45946</v>
      </c>
      <c r="C10121" s="2">
        <v>0.625</v>
      </c>
      <c r="D10121">
        <v>3</v>
      </c>
      <c r="E10121">
        <v>14.2</v>
      </c>
      <c r="F10121">
        <v>76</v>
      </c>
    </row>
    <row r="10122" spans="1:6" x14ac:dyDescent="0.35">
      <c r="A10122">
        <v>1975</v>
      </c>
      <c r="B10122" s="1">
        <v>45946</v>
      </c>
      <c r="C10122" s="2">
        <v>0.66666666666666663</v>
      </c>
      <c r="D10122">
        <v>3</v>
      </c>
      <c r="E10122">
        <v>13.1</v>
      </c>
      <c r="F10122">
        <v>80</v>
      </c>
    </row>
    <row r="10123" spans="1:6" x14ac:dyDescent="0.35">
      <c r="A10123">
        <v>1975</v>
      </c>
      <c r="B10123" s="1">
        <v>45946</v>
      </c>
      <c r="C10123" s="2">
        <v>0.70833333333333337</v>
      </c>
      <c r="D10123">
        <v>3</v>
      </c>
      <c r="E10123">
        <v>12.6</v>
      </c>
      <c r="F10123">
        <v>81</v>
      </c>
    </row>
    <row r="10124" spans="1:6" x14ac:dyDescent="0.35">
      <c r="A10124">
        <v>1975</v>
      </c>
      <c r="B10124" s="1">
        <v>45946</v>
      </c>
      <c r="C10124" s="2">
        <v>0.75</v>
      </c>
      <c r="D10124">
        <v>3</v>
      </c>
      <c r="E10124">
        <v>12.5</v>
      </c>
      <c r="F10124">
        <v>77</v>
      </c>
    </row>
    <row r="10125" spans="1:6" x14ac:dyDescent="0.35">
      <c r="A10125">
        <v>1975</v>
      </c>
      <c r="B10125" s="1">
        <v>45946</v>
      </c>
      <c r="C10125" s="2">
        <v>0.79166666666666663</v>
      </c>
      <c r="D10125">
        <v>3</v>
      </c>
      <c r="E10125">
        <v>12.2</v>
      </c>
      <c r="F10125">
        <v>81</v>
      </c>
    </row>
    <row r="10126" spans="1:6" x14ac:dyDescent="0.35">
      <c r="A10126">
        <v>1975</v>
      </c>
      <c r="B10126" s="1">
        <v>45946</v>
      </c>
      <c r="C10126" s="2">
        <v>0.83333333333333337</v>
      </c>
      <c r="D10126">
        <v>3</v>
      </c>
      <c r="E10126">
        <v>11.8</v>
      </c>
      <c r="F10126">
        <v>83</v>
      </c>
    </row>
    <row r="10127" spans="1:6" x14ac:dyDescent="0.35">
      <c r="A10127">
        <v>1975</v>
      </c>
      <c r="B10127" s="1">
        <v>45946</v>
      </c>
      <c r="C10127" s="2">
        <v>0.875</v>
      </c>
      <c r="D10127">
        <v>3</v>
      </c>
      <c r="E10127">
        <v>11.6</v>
      </c>
      <c r="F10127">
        <v>83</v>
      </c>
    </row>
    <row r="10128" spans="1:6" x14ac:dyDescent="0.35">
      <c r="A10128">
        <v>1975</v>
      </c>
      <c r="B10128" s="1">
        <v>45946</v>
      </c>
      <c r="C10128" s="2">
        <v>0.91666666666666663</v>
      </c>
      <c r="D10128">
        <v>3</v>
      </c>
      <c r="E10128">
        <v>10.7</v>
      </c>
      <c r="F10128">
        <v>85</v>
      </c>
    </row>
    <row r="10129" spans="1:6" x14ac:dyDescent="0.35">
      <c r="A10129">
        <v>1975</v>
      </c>
      <c r="B10129" s="1">
        <v>45946</v>
      </c>
      <c r="C10129" s="2">
        <v>0.95833333333333337</v>
      </c>
      <c r="D10129">
        <v>3</v>
      </c>
      <c r="E10129">
        <v>10.1</v>
      </c>
      <c r="F10129">
        <v>91</v>
      </c>
    </row>
    <row r="10130" spans="1:6" x14ac:dyDescent="0.35">
      <c r="A10130">
        <v>1975</v>
      </c>
      <c r="B10130" s="1">
        <v>45947</v>
      </c>
      <c r="C10130" s="2">
        <v>0</v>
      </c>
      <c r="D10130">
        <v>3</v>
      </c>
      <c r="E10130">
        <v>9.5</v>
      </c>
      <c r="F10130">
        <v>94</v>
      </c>
    </row>
    <row r="10131" spans="1:6" x14ac:dyDescent="0.35">
      <c r="A10131">
        <v>1975</v>
      </c>
      <c r="B10131" s="1">
        <v>45947</v>
      </c>
      <c r="C10131" s="2">
        <v>4.1666666666666657E-2</v>
      </c>
      <c r="D10131">
        <v>3</v>
      </c>
      <c r="E10131">
        <v>10.1</v>
      </c>
      <c r="F10131">
        <v>89</v>
      </c>
    </row>
    <row r="10132" spans="1:6" x14ac:dyDescent="0.35">
      <c r="A10132">
        <v>1975</v>
      </c>
      <c r="B10132" s="1">
        <v>45947</v>
      </c>
      <c r="C10132" s="2">
        <v>8.3333333333333329E-2</v>
      </c>
      <c r="D10132">
        <v>3</v>
      </c>
      <c r="E10132">
        <v>9.1999999999999993</v>
      </c>
      <c r="F10132">
        <v>97</v>
      </c>
    </row>
    <row r="10133" spans="1:6" x14ac:dyDescent="0.35">
      <c r="A10133">
        <v>1975</v>
      </c>
      <c r="B10133" s="1">
        <v>45947</v>
      </c>
      <c r="C10133" s="2">
        <v>0.125</v>
      </c>
      <c r="D10133">
        <v>3</v>
      </c>
      <c r="E10133">
        <v>9.1999999999999993</v>
      </c>
      <c r="F10133">
        <v>96</v>
      </c>
    </row>
    <row r="10134" spans="1:6" x14ac:dyDescent="0.35">
      <c r="A10134">
        <v>1975</v>
      </c>
      <c r="B10134" s="1">
        <v>45947</v>
      </c>
      <c r="C10134" s="2">
        <v>0.16666666666666671</v>
      </c>
      <c r="D10134">
        <v>3</v>
      </c>
      <c r="E10134">
        <v>9</v>
      </c>
      <c r="F10134">
        <v>98</v>
      </c>
    </row>
    <row r="10135" spans="1:6" x14ac:dyDescent="0.35">
      <c r="A10135">
        <v>1975</v>
      </c>
      <c r="B10135" s="1">
        <v>45947</v>
      </c>
      <c r="C10135" s="2">
        <v>0.20833333333333329</v>
      </c>
      <c r="D10135">
        <v>3</v>
      </c>
      <c r="E10135">
        <v>8.8000000000000007</v>
      </c>
      <c r="F10135">
        <v>98</v>
      </c>
    </row>
    <row r="10136" spans="1:6" x14ac:dyDescent="0.35">
      <c r="A10136">
        <v>1975</v>
      </c>
      <c r="B10136" s="1">
        <v>45947</v>
      </c>
      <c r="C10136" s="2">
        <v>0.25</v>
      </c>
      <c r="D10136">
        <v>3</v>
      </c>
      <c r="E10136">
        <v>9.8000000000000007</v>
      </c>
      <c r="F10136">
        <v>94</v>
      </c>
    </row>
    <row r="10137" spans="1:6" x14ac:dyDescent="0.35">
      <c r="A10137">
        <v>1975</v>
      </c>
      <c r="B10137" s="1">
        <v>45947</v>
      </c>
      <c r="C10137" s="2">
        <v>0.29166666666666669</v>
      </c>
      <c r="D10137">
        <v>3</v>
      </c>
      <c r="E10137">
        <v>10.1</v>
      </c>
      <c r="F10137">
        <v>94</v>
      </c>
    </row>
    <row r="10138" spans="1:6" x14ac:dyDescent="0.35">
      <c r="A10138">
        <v>1975</v>
      </c>
      <c r="B10138" s="1">
        <v>45947</v>
      </c>
      <c r="C10138" s="2">
        <v>0.33333333333333331</v>
      </c>
      <c r="D10138">
        <v>3</v>
      </c>
      <c r="E10138">
        <v>10.8</v>
      </c>
      <c r="F10138">
        <v>82</v>
      </c>
    </row>
    <row r="10139" spans="1:6" x14ac:dyDescent="0.35">
      <c r="A10139">
        <v>1975</v>
      </c>
      <c r="B10139" s="1">
        <v>45947</v>
      </c>
      <c r="C10139" s="2">
        <v>0.375</v>
      </c>
      <c r="D10139">
        <v>3</v>
      </c>
      <c r="E10139">
        <v>11.1</v>
      </c>
      <c r="F10139">
        <v>71</v>
      </c>
    </row>
    <row r="10140" spans="1:6" x14ac:dyDescent="0.35">
      <c r="A10140">
        <v>1975</v>
      </c>
      <c r="B10140" s="1">
        <v>45947</v>
      </c>
      <c r="C10140" s="2">
        <v>0.41666666666666669</v>
      </c>
      <c r="D10140">
        <v>3</v>
      </c>
      <c r="E10140">
        <v>11.6</v>
      </c>
      <c r="F10140">
        <v>67</v>
      </c>
    </row>
    <row r="10141" spans="1:6" x14ac:dyDescent="0.35">
      <c r="A10141">
        <v>1975</v>
      </c>
      <c r="B10141" s="1">
        <v>45947</v>
      </c>
      <c r="C10141" s="2">
        <v>0.45833333333333331</v>
      </c>
      <c r="D10141">
        <v>3</v>
      </c>
      <c r="E10141">
        <v>12</v>
      </c>
      <c r="F10141">
        <v>62</v>
      </c>
    </row>
    <row r="10142" spans="1:6" x14ac:dyDescent="0.35">
      <c r="A10142">
        <v>1975</v>
      </c>
      <c r="B10142" s="1">
        <v>45947</v>
      </c>
      <c r="C10142" s="2">
        <v>0.5</v>
      </c>
      <c r="D10142">
        <v>3</v>
      </c>
      <c r="E10142">
        <v>12.1</v>
      </c>
      <c r="F10142">
        <v>64</v>
      </c>
    </row>
    <row r="10143" spans="1:6" x14ac:dyDescent="0.35">
      <c r="A10143">
        <v>1975</v>
      </c>
      <c r="B10143" s="1">
        <v>45947</v>
      </c>
      <c r="C10143" s="2">
        <v>0.54166666666666663</v>
      </c>
      <c r="D10143">
        <v>3</v>
      </c>
      <c r="E10143">
        <v>12.4</v>
      </c>
      <c r="F10143">
        <v>61</v>
      </c>
    </row>
    <row r="10144" spans="1:6" x14ac:dyDescent="0.35">
      <c r="A10144">
        <v>1975</v>
      </c>
      <c r="B10144" s="1">
        <v>45947</v>
      </c>
      <c r="C10144" s="2">
        <v>0.58333333333333337</v>
      </c>
      <c r="D10144">
        <v>3</v>
      </c>
      <c r="E10144">
        <v>12.6</v>
      </c>
      <c r="F10144">
        <v>61</v>
      </c>
    </row>
    <row r="10145" spans="1:6" x14ac:dyDescent="0.35">
      <c r="A10145">
        <v>1975</v>
      </c>
      <c r="B10145" s="1">
        <v>45947</v>
      </c>
      <c r="C10145" s="2">
        <v>0.625</v>
      </c>
      <c r="D10145">
        <v>3</v>
      </c>
      <c r="E10145">
        <v>11.7</v>
      </c>
      <c r="F10145">
        <v>63</v>
      </c>
    </row>
    <row r="10146" spans="1:6" x14ac:dyDescent="0.35">
      <c r="A10146">
        <v>1975</v>
      </c>
      <c r="B10146" s="1">
        <v>45947</v>
      </c>
      <c r="C10146" s="2">
        <v>0.66666666666666663</v>
      </c>
      <c r="D10146">
        <v>3</v>
      </c>
      <c r="E10146">
        <v>10.9</v>
      </c>
      <c r="F10146">
        <v>66</v>
      </c>
    </row>
    <row r="10147" spans="1:6" x14ac:dyDescent="0.35">
      <c r="A10147">
        <v>1975</v>
      </c>
      <c r="B10147" s="1">
        <v>45947</v>
      </c>
      <c r="C10147" s="2">
        <v>0.70833333333333337</v>
      </c>
      <c r="D10147">
        <v>3</v>
      </c>
      <c r="E10147">
        <v>10</v>
      </c>
      <c r="F10147">
        <v>72</v>
      </c>
    </row>
    <row r="10148" spans="1:6" x14ac:dyDescent="0.35">
      <c r="A10148">
        <v>1975</v>
      </c>
      <c r="B10148" s="1">
        <v>45947</v>
      </c>
      <c r="C10148" s="2">
        <v>0.75</v>
      </c>
      <c r="D10148">
        <v>3</v>
      </c>
      <c r="E10148">
        <v>9.9</v>
      </c>
      <c r="F10148">
        <v>71</v>
      </c>
    </row>
    <row r="10149" spans="1:6" x14ac:dyDescent="0.35">
      <c r="A10149">
        <v>1975</v>
      </c>
      <c r="B10149" s="1">
        <v>45947</v>
      </c>
      <c r="C10149" s="2">
        <v>0.79166666666666663</v>
      </c>
      <c r="D10149">
        <v>3</v>
      </c>
      <c r="E10149">
        <v>8.8000000000000007</v>
      </c>
      <c r="F10149">
        <v>75</v>
      </c>
    </row>
    <row r="10150" spans="1:6" x14ac:dyDescent="0.35">
      <c r="A10150">
        <v>1975</v>
      </c>
      <c r="B10150" s="1">
        <v>45947</v>
      </c>
      <c r="C10150" s="2">
        <v>0.83333333333333337</v>
      </c>
      <c r="D10150">
        <v>3</v>
      </c>
      <c r="E10150">
        <v>7.5</v>
      </c>
      <c r="F10150">
        <v>77</v>
      </c>
    </row>
    <row r="10151" spans="1:6" x14ac:dyDescent="0.35">
      <c r="A10151">
        <v>1975</v>
      </c>
      <c r="B10151" s="1">
        <v>45947</v>
      </c>
      <c r="C10151" s="2">
        <v>0.875</v>
      </c>
      <c r="D10151">
        <v>3</v>
      </c>
      <c r="E10151">
        <v>6.6</v>
      </c>
      <c r="F10151">
        <v>80</v>
      </c>
    </row>
    <row r="10152" spans="1:6" x14ac:dyDescent="0.35">
      <c r="A10152">
        <v>1975</v>
      </c>
      <c r="B10152" s="1">
        <v>45947</v>
      </c>
      <c r="C10152" s="2">
        <v>0.91666666666666663</v>
      </c>
      <c r="D10152">
        <v>3</v>
      </c>
      <c r="E10152">
        <v>5.7</v>
      </c>
      <c r="F10152">
        <v>80</v>
      </c>
    </row>
    <row r="10153" spans="1:6" x14ac:dyDescent="0.35">
      <c r="A10153">
        <v>1975</v>
      </c>
      <c r="B10153" s="1">
        <v>45947</v>
      </c>
      <c r="C10153" s="2">
        <v>0.95833333333333337</v>
      </c>
      <c r="D10153">
        <v>3</v>
      </c>
      <c r="E10153">
        <v>4.5</v>
      </c>
      <c r="F10153">
        <v>84</v>
      </c>
    </row>
    <row r="10154" spans="1:6" x14ac:dyDescent="0.35">
      <c r="A10154">
        <v>1975</v>
      </c>
      <c r="B10154" s="1">
        <v>45948</v>
      </c>
      <c r="C10154" s="2">
        <v>0</v>
      </c>
      <c r="D10154">
        <v>3</v>
      </c>
      <c r="E10154">
        <v>3.9</v>
      </c>
      <c r="F10154">
        <v>87</v>
      </c>
    </row>
    <row r="10155" spans="1:6" x14ac:dyDescent="0.35">
      <c r="A10155">
        <v>1975</v>
      </c>
      <c r="B10155" s="1">
        <v>45948</v>
      </c>
      <c r="C10155" s="2">
        <v>4.1666666666666657E-2</v>
      </c>
      <c r="D10155">
        <v>3</v>
      </c>
      <c r="E10155">
        <v>2.5</v>
      </c>
      <c r="F10155">
        <v>91</v>
      </c>
    </row>
    <row r="10156" spans="1:6" x14ac:dyDescent="0.35">
      <c r="A10156">
        <v>1975</v>
      </c>
      <c r="B10156" s="1">
        <v>45948</v>
      </c>
      <c r="C10156" s="2">
        <v>8.3333333333333329E-2</v>
      </c>
      <c r="D10156">
        <v>3</v>
      </c>
      <c r="E10156">
        <v>1.5</v>
      </c>
      <c r="F10156">
        <v>95</v>
      </c>
    </row>
    <row r="10157" spans="1:6" x14ac:dyDescent="0.35">
      <c r="A10157">
        <v>1975</v>
      </c>
      <c r="B10157" s="1">
        <v>45948</v>
      </c>
      <c r="C10157" s="2">
        <v>0.125</v>
      </c>
      <c r="D10157">
        <v>3</v>
      </c>
      <c r="E10157">
        <v>1.8</v>
      </c>
      <c r="F10157">
        <v>97</v>
      </c>
    </row>
    <row r="10158" spans="1:6" x14ac:dyDescent="0.35">
      <c r="A10158">
        <v>1975</v>
      </c>
      <c r="B10158" s="1">
        <v>45948</v>
      </c>
      <c r="C10158" s="2">
        <v>0.16666666666666671</v>
      </c>
      <c r="D10158">
        <v>3</v>
      </c>
      <c r="E10158">
        <v>1.2</v>
      </c>
      <c r="F10158">
        <v>97</v>
      </c>
    </row>
    <row r="10159" spans="1:6" x14ac:dyDescent="0.35">
      <c r="A10159">
        <v>1975</v>
      </c>
      <c r="B10159" s="1">
        <v>45948</v>
      </c>
      <c r="C10159" s="2">
        <v>0.20833333333333329</v>
      </c>
      <c r="D10159">
        <v>3</v>
      </c>
      <c r="E10159">
        <v>1</v>
      </c>
      <c r="F10159">
        <v>100</v>
      </c>
    </row>
    <row r="10160" spans="1:6" x14ac:dyDescent="0.35">
      <c r="A10160">
        <v>1975</v>
      </c>
      <c r="B10160" s="1">
        <v>45948</v>
      </c>
      <c r="C10160" s="2">
        <v>0.25</v>
      </c>
      <c r="D10160">
        <v>3</v>
      </c>
      <c r="E10160">
        <v>0.4</v>
      </c>
      <c r="F10160">
        <v>99</v>
      </c>
    </row>
    <row r="10161" spans="1:6" x14ac:dyDescent="0.35">
      <c r="A10161">
        <v>1975</v>
      </c>
      <c r="B10161" s="1">
        <v>45948</v>
      </c>
      <c r="C10161" s="2">
        <v>0.29166666666666669</v>
      </c>
      <c r="D10161">
        <v>3</v>
      </c>
      <c r="E10161">
        <v>0.7</v>
      </c>
      <c r="F10161">
        <v>95</v>
      </c>
    </row>
    <row r="10162" spans="1:6" x14ac:dyDescent="0.35">
      <c r="A10162">
        <v>1975</v>
      </c>
      <c r="B10162" s="1">
        <v>45948</v>
      </c>
      <c r="C10162" s="2">
        <v>0.33333333333333331</v>
      </c>
      <c r="D10162">
        <v>3</v>
      </c>
      <c r="E10162">
        <v>4.7</v>
      </c>
      <c r="F10162">
        <v>88</v>
      </c>
    </row>
    <row r="10163" spans="1:6" x14ac:dyDescent="0.35">
      <c r="A10163">
        <v>1975</v>
      </c>
      <c r="B10163" s="1">
        <v>45948</v>
      </c>
      <c r="C10163" s="2">
        <v>0.375</v>
      </c>
      <c r="D10163">
        <v>3</v>
      </c>
      <c r="E10163">
        <v>8.1</v>
      </c>
      <c r="F10163">
        <v>78</v>
      </c>
    </row>
    <row r="10164" spans="1:6" x14ac:dyDescent="0.35">
      <c r="A10164">
        <v>1975</v>
      </c>
      <c r="B10164" s="1">
        <v>45948</v>
      </c>
      <c r="C10164" s="2">
        <v>0.41666666666666669</v>
      </c>
      <c r="D10164">
        <v>3</v>
      </c>
      <c r="E10164">
        <v>9.6</v>
      </c>
      <c r="F10164">
        <v>62</v>
      </c>
    </row>
    <row r="10165" spans="1:6" x14ac:dyDescent="0.35">
      <c r="A10165">
        <v>1975</v>
      </c>
      <c r="B10165" s="1">
        <v>45948</v>
      </c>
      <c r="C10165" s="2">
        <v>0.45833333333333331</v>
      </c>
      <c r="D10165">
        <v>3</v>
      </c>
      <c r="E10165">
        <v>10.8</v>
      </c>
      <c r="F10165">
        <v>58</v>
      </c>
    </row>
    <row r="10166" spans="1:6" x14ac:dyDescent="0.35">
      <c r="A10166">
        <v>1975</v>
      </c>
      <c r="B10166" s="1">
        <v>45948</v>
      </c>
      <c r="C10166" s="2">
        <v>0.5</v>
      </c>
      <c r="D10166">
        <v>3</v>
      </c>
      <c r="E10166">
        <v>10</v>
      </c>
      <c r="F10166">
        <v>62</v>
      </c>
    </row>
    <row r="10167" spans="1:6" x14ac:dyDescent="0.35">
      <c r="A10167">
        <v>1975</v>
      </c>
      <c r="B10167" s="1">
        <v>45948</v>
      </c>
      <c r="C10167" s="2">
        <v>0.54166666666666663</v>
      </c>
      <c r="D10167">
        <v>3</v>
      </c>
      <c r="E10167">
        <v>9.8000000000000007</v>
      </c>
      <c r="F10167">
        <v>62</v>
      </c>
    </row>
    <row r="10168" spans="1:6" x14ac:dyDescent="0.35">
      <c r="A10168">
        <v>1975</v>
      </c>
      <c r="B10168" s="1">
        <v>45948</v>
      </c>
      <c r="C10168" s="2">
        <v>0.58333333333333337</v>
      </c>
      <c r="D10168">
        <v>3</v>
      </c>
      <c r="E10168">
        <v>10.9</v>
      </c>
      <c r="F10168">
        <v>55</v>
      </c>
    </row>
    <row r="10169" spans="1:6" x14ac:dyDescent="0.35">
      <c r="A10169">
        <v>1975</v>
      </c>
      <c r="B10169" s="1">
        <v>45948</v>
      </c>
      <c r="C10169" s="2">
        <v>0.625</v>
      </c>
      <c r="D10169">
        <v>3</v>
      </c>
      <c r="E10169">
        <v>10.3</v>
      </c>
      <c r="F10169">
        <v>55</v>
      </c>
    </row>
    <row r="10170" spans="1:6" x14ac:dyDescent="0.35">
      <c r="A10170">
        <v>1975</v>
      </c>
      <c r="B10170" s="1">
        <v>45948</v>
      </c>
      <c r="C10170" s="2">
        <v>0.66666666666666663</v>
      </c>
      <c r="D10170">
        <v>3</v>
      </c>
      <c r="E10170">
        <v>8.1</v>
      </c>
      <c r="F10170">
        <v>69</v>
      </c>
    </row>
    <row r="10171" spans="1:6" x14ac:dyDescent="0.35">
      <c r="A10171">
        <v>1975</v>
      </c>
      <c r="B10171" s="1">
        <v>45948</v>
      </c>
      <c r="C10171" s="2">
        <v>0.70833333333333337</v>
      </c>
      <c r="D10171">
        <v>3</v>
      </c>
      <c r="E10171">
        <v>5.3</v>
      </c>
      <c r="F10171">
        <v>85</v>
      </c>
    </row>
    <row r="10172" spans="1:6" x14ac:dyDescent="0.35">
      <c r="A10172">
        <v>1975</v>
      </c>
      <c r="B10172" s="1">
        <v>45948</v>
      </c>
      <c r="C10172" s="2">
        <v>0.75</v>
      </c>
      <c r="D10172">
        <v>3</v>
      </c>
      <c r="E10172">
        <v>4.3</v>
      </c>
      <c r="F10172">
        <v>92</v>
      </c>
    </row>
    <row r="10173" spans="1:6" x14ac:dyDescent="0.35">
      <c r="A10173">
        <v>1975</v>
      </c>
      <c r="B10173" s="1">
        <v>45948</v>
      </c>
      <c r="C10173" s="2">
        <v>0.79166666666666663</v>
      </c>
      <c r="D10173">
        <v>3</v>
      </c>
      <c r="E10173">
        <v>4.0999999999999996</v>
      </c>
      <c r="F10173">
        <v>91</v>
      </c>
    </row>
    <row r="10174" spans="1:6" x14ac:dyDescent="0.35">
      <c r="A10174">
        <v>1975</v>
      </c>
      <c r="B10174" s="1">
        <v>45948</v>
      </c>
      <c r="C10174" s="2">
        <v>0.83333333333333337</v>
      </c>
      <c r="D10174">
        <v>3</v>
      </c>
      <c r="E10174">
        <v>3.3</v>
      </c>
      <c r="F10174">
        <v>91</v>
      </c>
    </row>
    <row r="10175" spans="1:6" x14ac:dyDescent="0.35">
      <c r="A10175">
        <v>1975</v>
      </c>
      <c r="B10175" s="1">
        <v>45948</v>
      </c>
      <c r="C10175" s="2">
        <v>0.875</v>
      </c>
      <c r="D10175">
        <v>3</v>
      </c>
      <c r="E10175">
        <v>3.1</v>
      </c>
      <c r="F10175">
        <v>92</v>
      </c>
    </row>
    <row r="10176" spans="1:6" x14ac:dyDescent="0.35">
      <c r="A10176">
        <v>1975</v>
      </c>
      <c r="B10176" s="1">
        <v>45948</v>
      </c>
      <c r="C10176" s="2">
        <v>0.91666666666666663</v>
      </c>
      <c r="D10176">
        <v>3</v>
      </c>
      <c r="E10176">
        <v>3.1</v>
      </c>
      <c r="F10176">
        <v>88</v>
      </c>
    </row>
    <row r="10177" spans="1:6" x14ac:dyDescent="0.35">
      <c r="A10177">
        <v>1975</v>
      </c>
      <c r="B10177" s="1">
        <v>45948</v>
      </c>
      <c r="C10177" s="2">
        <v>0.95833333333333337</v>
      </c>
      <c r="D10177">
        <v>3</v>
      </c>
      <c r="E10177">
        <v>2.5</v>
      </c>
      <c r="F10177">
        <v>94</v>
      </c>
    </row>
    <row r="10178" spans="1:6" x14ac:dyDescent="0.35">
      <c r="A10178">
        <v>1975</v>
      </c>
      <c r="B10178" s="1">
        <v>45949</v>
      </c>
      <c r="C10178" s="2">
        <v>0</v>
      </c>
      <c r="D10178">
        <v>3</v>
      </c>
      <c r="E10178">
        <v>2.6</v>
      </c>
      <c r="F10178">
        <v>88</v>
      </c>
    </row>
    <row r="10179" spans="1:6" x14ac:dyDescent="0.35">
      <c r="A10179">
        <v>1975</v>
      </c>
      <c r="B10179" s="1">
        <v>45949</v>
      </c>
      <c r="C10179" s="2">
        <v>4.1666666666666657E-2</v>
      </c>
      <c r="D10179">
        <v>3</v>
      </c>
      <c r="E10179">
        <v>1.7</v>
      </c>
      <c r="F10179">
        <v>91</v>
      </c>
    </row>
    <row r="10180" spans="1:6" x14ac:dyDescent="0.35">
      <c r="A10180">
        <v>1975</v>
      </c>
      <c r="B10180" s="1">
        <v>45949</v>
      </c>
      <c r="C10180" s="2">
        <v>8.3333333333333329E-2</v>
      </c>
      <c r="D10180">
        <v>3</v>
      </c>
      <c r="E10180">
        <v>1.9</v>
      </c>
      <c r="F10180">
        <v>88</v>
      </c>
    </row>
    <row r="10181" spans="1:6" x14ac:dyDescent="0.35">
      <c r="A10181">
        <v>1975</v>
      </c>
      <c r="B10181" s="1">
        <v>45949</v>
      </c>
      <c r="C10181" s="2">
        <v>0.125</v>
      </c>
      <c r="D10181">
        <v>3</v>
      </c>
      <c r="E10181">
        <v>1.7</v>
      </c>
      <c r="F10181">
        <v>89</v>
      </c>
    </row>
    <row r="10182" spans="1:6" x14ac:dyDescent="0.35">
      <c r="A10182">
        <v>1975</v>
      </c>
      <c r="B10182" s="1">
        <v>45949</v>
      </c>
      <c r="C10182" s="2">
        <v>0.16666666666666671</v>
      </c>
      <c r="D10182">
        <v>3</v>
      </c>
      <c r="E10182">
        <v>1.6</v>
      </c>
      <c r="F10182">
        <v>90</v>
      </c>
    </row>
    <row r="10183" spans="1:6" x14ac:dyDescent="0.35">
      <c r="A10183">
        <v>1975</v>
      </c>
      <c r="B10183" s="1">
        <v>45949</v>
      </c>
      <c r="C10183" s="2">
        <v>0.20833333333333329</v>
      </c>
      <c r="D10183">
        <v>3</v>
      </c>
      <c r="E10183">
        <v>2.2000000000000002</v>
      </c>
      <c r="F10183">
        <v>86</v>
      </c>
    </row>
    <row r="10184" spans="1:6" x14ac:dyDescent="0.35">
      <c r="A10184">
        <v>1975</v>
      </c>
      <c r="B10184" s="1">
        <v>45949</v>
      </c>
      <c r="C10184" s="2">
        <v>0.25</v>
      </c>
      <c r="D10184">
        <v>3</v>
      </c>
      <c r="E10184">
        <v>2.7</v>
      </c>
      <c r="F10184">
        <v>85</v>
      </c>
    </row>
    <row r="10185" spans="1:6" x14ac:dyDescent="0.35">
      <c r="A10185">
        <v>1975</v>
      </c>
      <c r="B10185" s="1">
        <v>45949</v>
      </c>
      <c r="C10185" s="2">
        <v>0.29166666666666669</v>
      </c>
      <c r="D10185">
        <v>3</v>
      </c>
      <c r="E10185">
        <v>3.8</v>
      </c>
      <c r="F10185">
        <v>78</v>
      </c>
    </row>
    <row r="10186" spans="1:6" x14ac:dyDescent="0.35">
      <c r="A10186">
        <v>1975</v>
      </c>
      <c r="B10186" s="1">
        <v>45949</v>
      </c>
      <c r="C10186" s="2">
        <v>0.33333333333333331</v>
      </c>
      <c r="D10186">
        <v>3</v>
      </c>
      <c r="E10186">
        <v>4.5999999999999996</v>
      </c>
      <c r="F10186">
        <v>75</v>
      </c>
    </row>
    <row r="10187" spans="1:6" x14ac:dyDescent="0.35">
      <c r="A10187">
        <v>1975</v>
      </c>
      <c r="B10187" s="1">
        <v>45949</v>
      </c>
      <c r="C10187" s="2">
        <v>0.375</v>
      </c>
      <c r="D10187">
        <v>3</v>
      </c>
      <c r="E10187">
        <v>6.1</v>
      </c>
      <c r="F10187">
        <v>69</v>
      </c>
    </row>
    <row r="10188" spans="1:6" x14ac:dyDescent="0.35">
      <c r="A10188">
        <v>1975</v>
      </c>
      <c r="B10188" s="1">
        <v>45949</v>
      </c>
      <c r="C10188" s="2">
        <v>0.41666666666666669</v>
      </c>
      <c r="D10188">
        <v>3</v>
      </c>
      <c r="E10188">
        <v>8.5</v>
      </c>
      <c r="F10188">
        <v>59</v>
      </c>
    </row>
    <row r="10189" spans="1:6" x14ac:dyDescent="0.35">
      <c r="A10189">
        <v>1975</v>
      </c>
      <c r="B10189" s="1">
        <v>45949</v>
      </c>
      <c r="C10189" s="2">
        <v>0.45833333333333331</v>
      </c>
      <c r="D10189">
        <v>3</v>
      </c>
      <c r="E10189">
        <v>8.6999999999999993</v>
      </c>
      <c r="F10189">
        <v>59</v>
      </c>
    </row>
    <row r="10190" spans="1:6" x14ac:dyDescent="0.35">
      <c r="A10190">
        <v>1975</v>
      </c>
      <c r="B10190" s="1">
        <v>45949</v>
      </c>
      <c r="C10190" s="2">
        <v>0.5</v>
      </c>
      <c r="D10190">
        <v>3</v>
      </c>
      <c r="E10190">
        <v>10.5</v>
      </c>
      <c r="F10190">
        <v>55</v>
      </c>
    </row>
    <row r="10191" spans="1:6" x14ac:dyDescent="0.35">
      <c r="A10191">
        <v>1975</v>
      </c>
      <c r="B10191" s="1">
        <v>45949</v>
      </c>
      <c r="C10191" s="2">
        <v>0.54166666666666663</v>
      </c>
      <c r="D10191">
        <v>3</v>
      </c>
      <c r="E10191">
        <v>10.6</v>
      </c>
      <c r="F10191">
        <v>53</v>
      </c>
    </row>
    <row r="10192" spans="1:6" x14ac:dyDescent="0.35">
      <c r="A10192">
        <v>1975</v>
      </c>
      <c r="B10192" s="1">
        <v>45949</v>
      </c>
      <c r="C10192" s="2">
        <v>0.58333333333333337</v>
      </c>
      <c r="D10192">
        <v>3</v>
      </c>
      <c r="E10192">
        <v>11.1</v>
      </c>
      <c r="F10192">
        <v>54</v>
      </c>
    </row>
    <row r="10193" spans="1:6" x14ac:dyDescent="0.35">
      <c r="A10193">
        <v>1975</v>
      </c>
      <c r="B10193" s="1">
        <v>45949</v>
      </c>
      <c r="C10193" s="2">
        <v>0.625</v>
      </c>
      <c r="D10193">
        <v>3</v>
      </c>
      <c r="E10193">
        <v>10.8</v>
      </c>
      <c r="F10193">
        <v>53</v>
      </c>
    </row>
    <row r="10194" spans="1:6" x14ac:dyDescent="0.35">
      <c r="A10194">
        <v>1975</v>
      </c>
      <c r="B10194" s="1">
        <v>45949</v>
      </c>
      <c r="C10194" s="2">
        <v>0.66666666666666663</v>
      </c>
      <c r="D10194">
        <v>3</v>
      </c>
      <c r="E10194">
        <v>9.6999999999999993</v>
      </c>
      <c r="F10194">
        <v>60</v>
      </c>
    </row>
    <row r="10195" spans="1:6" x14ac:dyDescent="0.35">
      <c r="A10195">
        <v>1975</v>
      </c>
      <c r="B10195" s="1">
        <v>45949</v>
      </c>
      <c r="C10195" s="2">
        <v>0.70833333333333337</v>
      </c>
      <c r="D10195">
        <v>3</v>
      </c>
      <c r="E10195">
        <v>8.5</v>
      </c>
      <c r="F10195">
        <v>66</v>
      </c>
    </row>
    <row r="10196" spans="1:6" x14ac:dyDescent="0.35">
      <c r="A10196">
        <v>1975</v>
      </c>
      <c r="B10196" s="1">
        <v>45949</v>
      </c>
      <c r="C10196" s="2">
        <v>0.75</v>
      </c>
      <c r="D10196">
        <v>3</v>
      </c>
      <c r="E10196">
        <v>7.4</v>
      </c>
      <c r="F10196">
        <v>68</v>
      </c>
    </row>
    <row r="10197" spans="1:6" x14ac:dyDescent="0.35">
      <c r="A10197">
        <v>1975</v>
      </c>
      <c r="B10197" s="1">
        <v>45949</v>
      </c>
      <c r="C10197" s="2">
        <v>0.79166666666666663</v>
      </c>
      <c r="D10197">
        <v>3</v>
      </c>
      <c r="E10197">
        <v>6.6</v>
      </c>
      <c r="F10197">
        <v>72</v>
      </c>
    </row>
    <row r="10198" spans="1:6" x14ac:dyDescent="0.35">
      <c r="A10198">
        <v>1975</v>
      </c>
      <c r="B10198" s="1">
        <v>45949</v>
      </c>
      <c r="C10198" s="2">
        <v>0.83333333333333337</v>
      </c>
      <c r="D10198">
        <v>3</v>
      </c>
      <c r="E10198">
        <v>6.7</v>
      </c>
      <c r="F10198">
        <v>70</v>
      </c>
    </row>
    <row r="10199" spans="1:6" x14ac:dyDescent="0.35">
      <c r="A10199">
        <v>1975</v>
      </c>
      <c r="B10199" s="1">
        <v>45949</v>
      </c>
      <c r="C10199" s="2">
        <v>0.875</v>
      </c>
      <c r="D10199">
        <v>3</v>
      </c>
      <c r="E10199">
        <v>5.9</v>
      </c>
      <c r="F10199">
        <v>73</v>
      </c>
    </row>
    <row r="10200" spans="1:6" x14ac:dyDescent="0.35">
      <c r="A10200">
        <v>1975</v>
      </c>
      <c r="B10200" s="1">
        <v>45949</v>
      </c>
      <c r="C10200" s="2">
        <v>0.91666666666666663</v>
      </c>
      <c r="D10200">
        <v>3</v>
      </c>
      <c r="E10200">
        <v>5.2</v>
      </c>
      <c r="F10200">
        <v>74</v>
      </c>
    </row>
    <row r="10201" spans="1:6" x14ac:dyDescent="0.35">
      <c r="A10201">
        <v>1975</v>
      </c>
      <c r="B10201" s="1">
        <v>45949</v>
      </c>
      <c r="C10201" s="2">
        <v>0.95833333333333337</v>
      </c>
      <c r="D10201">
        <v>3</v>
      </c>
      <c r="E10201">
        <v>4.5</v>
      </c>
      <c r="F10201">
        <v>77</v>
      </c>
    </row>
    <row r="10202" spans="1:6" x14ac:dyDescent="0.35">
      <c r="A10202">
        <v>1975</v>
      </c>
      <c r="B10202" s="1">
        <v>45950</v>
      </c>
      <c r="C10202" s="2">
        <v>0</v>
      </c>
      <c r="D10202">
        <v>3</v>
      </c>
      <c r="E10202">
        <v>4</v>
      </c>
      <c r="F10202">
        <v>79</v>
      </c>
    </row>
    <row r="10203" spans="1:6" x14ac:dyDescent="0.35">
      <c r="A10203">
        <v>1975</v>
      </c>
      <c r="B10203" s="1">
        <v>45950</v>
      </c>
      <c r="C10203" s="2">
        <v>4.1666666666666657E-2</v>
      </c>
      <c r="D10203">
        <v>3</v>
      </c>
      <c r="E10203">
        <v>3.4</v>
      </c>
      <c r="F10203">
        <v>81</v>
      </c>
    </row>
    <row r="10204" spans="1:6" x14ac:dyDescent="0.35">
      <c r="A10204">
        <v>1975</v>
      </c>
      <c r="B10204" s="1">
        <v>45950</v>
      </c>
      <c r="C10204" s="2">
        <v>8.3333333333333329E-2</v>
      </c>
      <c r="D10204">
        <v>3</v>
      </c>
      <c r="E10204">
        <v>3.4</v>
      </c>
      <c r="F10204">
        <v>82</v>
      </c>
    </row>
    <row r="10205" spans="1:6" x14ac:dyDescent="0.35">
      <c r="A10205">
        <v>1975</v>
      </c>
      <c r="B10205" s="1">
        <v>45950</v>
      </c>
      <c r="C10205" s="2">
        <v>0.125</v>
      </c>
      <c r="D10205">
        <v>3</v>
      </c>
      <c r="E10205">
        <v>2.9</v>
      </c>
      <c r="F10205">
        <v>84</v>
      </c>
    </row>
    <row r="10206" spans="1:6" x14ac:dyDescent="0.35">
      <c r="A10206">
        <v>1975</v>
      </c>
      <c r="B10206" s="1">
        <v>45950</v>
      </c>
      <c r="C10206" s="2">
        <v>0.16666666666666671</v>
      </c>
      <c r="D10206">
        <v>3</v>
      </c>
      <c r="E10206">
        <v>3.2</v>
      </c>
      <c r="F10206">
        <v>84</v>
      </c>
    </row>
    <row r="10207" spans="1:6" x14ac:dyDescent="0.35">
      <c r="A10207">
        <v>1975</v>
      </c>
      <c r="B10207" s="1">
        <v>45950</v>
      </c>
      <c r="C10207" s="2">
        <v>0.20833333333333329</v>
      </c>
      <c r="D10207">
        <v>3</v>
      </c>
      <c r="E10207">
        <v>3.6</v>
      </c>
      <c r="F10207">
        <v>84</v>
      </c>
    </row>
    <row r="10208" spans="1:6" x14ac:dyDescent="0.35">
      <c r="A10208">
        <v>1975</v>
      </c>
      <c r="B10208" s="1">
        <v>45950</v>
      </c>
      <c r="C10208" s="2">
        <v>0.25</v>
      </c>
      <c r="D10208">
        <v>3</v>
      </c>
      <c r="E10208">
        <v>4.5999999999999996</v>
      </c>
      <c r="F10208">
        <v>82</v>
      </c>
    </row>
    <row r="10209" spans="1:6" x14ac:dyDescent="0.35">
      <c r="A10209">
        <v>1975</v>
      </c>
      <c r="B10209" s="1">
        <v>45950</v>
      </c>
      <c r="C10209" s="2">
        <v>0.29166666666666669</v>
      </c>
      <c r="D10209">
        <v>3</v>
      </c>
      <c r="E10209">
        <v>5.6</v>
      </c>
      <c r="F10209">
        <v>79</v>
      </c>
    </row>
    <row r="10210" spans="1:6" x14ac:dyDescent="0.35">
      <c r="A10210">
        <v>1975</v>
      </c>
      <c r="B10210" s="1">
        <v>45950</v>
      </c>
      <c r="C10210" s="2">
        <v>0.33333333333333331</v>
      </c>
      <c r="D10210">
        <v>3</v>
      </c>
      <c r="E10210">
        <v>6.4</v>
      </c>
      <c r="F10210">
        <v>78</v>
      </c>
    </row>
    <row r="10211" spans="1:6" x14ac:dyDescent="0.35">
      <c r="A10211">
        <v>1975</v>
      </c>
      <c r="B10211" s="1">
        <v>45950</v>
      </c>
      <c r="C10211" s="2">
        <v>0.375</v>
      </c>
      <c r="D10211">
        <v>3</v>
      </c>
      <c r="E10211">
        <v>7.5</v>
      </c>
      <c r="F10211">
        <v>76</v>
      </c>
    </row>
    <row r="10212" spans="1:6" x14ac:dyDescent="0.35">
      <c r="A10212">
        <v>1975</v>
      </c>
      <c r="B10212" s="1">
        <v>45950</v>
      </c>
      <c r="C10212" s="2">
        <v>0.41666666666666669</v>
      </c>
      <c r="D10212">
        <v>3</v>
      </c>
      <c r="E10212">
        <v>8</v>
      </c>
      <c r="F10212">
        <v>74</v>
      </c>
    </row>
    <row r="10213" spans="1:6" x14ac:dyDescent="0.35">
      <c r="A10213">
        <v>1975</v>
      </c>
      <c r="B10213" s="1">
        <v>45950</v>
      </c>
      <c r="C10213" s="2">
        <v>0.45833333333333331</v>
      </c>
      <c r="D10213">
        <v>3</v>
      </c>
      <c r="E10213">
        <v>8.5</v>
      </c>
      <c r="F10213">
        <v>75</v>
      </c>
    </row>
    <row r="10214" spans="1:6" x14ac:dyDescent="0.35">
      <c r="A10214">
        <v>1975</v>
      </c>
      <c r="B10214" s="1">
        <v>45950</v>
      </c>
      <c r="C10214" s="2">
        <v>0.5</v>
      </c>
      <c r="D10214">
        <v>3</v>
      </c>
      <c r="E10214">
        <v>9.1</v>
      </c>
      <c r="F10214">
        <v>75</v>
      </c>
    </row>
    <row r="10215" spans="1:6" x14ac:dyDescent="0.35">
      <c r="A10215">
        <v>1975</v>
      </c>
      <c r="B10215" s="1">
        <v>45950</v>
      </c>
      <c r="C10215" s="2">
        <v>0.54166666666666663</v>
      </c>
      <c r="D10215">
        <v>3</v>
      </c>
      <c r="E10215">
        <v>10.6</v>
      </c>
      <c r="F10215">
        <v>73</v>
      </c>
    </row>
    <row r="10216" spans="1:6" x14ac:dyDescent="0.35">
      <c r="A10216">
        <v>1975</v>
      </c>
      <c r="B10216" s="1">
        <v>45950</v>
      </c>
      <c r="C10216" s="2">
        <v>0.58333333333333337</v>
      </c>
      <c r="D10216">
        <v>3</v>
      </c>
      <c r="E10216">
        <v>11.2</v>
      </c>
      <c r="F10216">
        <v>73</v>
      </c>
    </row>
    <row r="10217" spans="1:6" x14ac:dyDescent="0.35">
      <c r="A10217">
        <v>1975</v>
      </c>
      <c r="B10217" s="1">
        <v>45950</v>
      </c>
      <c r="C10217" s="2">
        <v>0.625</v>
      </c>
      <c r="D10217">
        <v>3</v>
      </c>
      <c r="E10217">
        <v>11.4</v>
      </c>
      <c r="F10217">
        <v>74</v>
      </c>
    </row>
    <row r="10218" spans="1:6" x14ac:dyDescent="0.35">
      <c r="A10218">
        <v>1975</v>
      </c>
      <c r="B10218" s="1">
        <v>45950</v>
      </c>
      <c r="C10218" s="2">
        <v>0.66666666666666663</v>
      </c>
      <c r="D10218">
        <v>3</v>
      </c>
      <c r="E10218">
        <v>11.7</v>
      </c>
      <c r="F10218">
        <v>75</v>
      </c>
    </row>
    <row r="10219" spans="1:6" x14ac:dyDescent="0.35">
      <c r="A10219">
        <v>1975</v>
      </c>
      <c r="B10219" s="1">
        <v>45950</v>
      </c>
      <c r="C10219" s="2">
        <v>0.70833333333333337</v>
      </c>
      <c r="D10219">
        <v>3</v>
      </c>
      <c r="E10219">
        <v>10.9</v>
      </c>
      <c r="F10219">
        <v>79</v>
      </c>
    </row>
    <row r="10220" spans="1:6" x14ac:dyDescent="0.35">
      <c r="A10220">
        <v>1975</v>
      </c>
      <c r="B10220" s="1">
        <v>45950</v>
      </c>
      <c r="C10220" s="2">
        <v>0.75</v>
      </c>
      <c r="D10220">
        <v>3</v>
      </c>
      <c r="E10220">
        <v>10.9</v>
      </c>
      <c r="F10220">
        <v>80</v>
      </c>
    </row>
    <row r="10221" spans="1:6" x14ac:dyDescent="0.35">
      <c r="A10221">
        <v>1975</v>
      </c>
      <c r="B10221" s="1">
        <v>45950</v>
      </c>
      <c r="C10221" s="2">
        <v>0.79166666666666663</v>
      </c>
      <c r="D10221">
        <v>3</v>
      </c>
      <c r="E10221">
        <v>10.4</v>
      </c>
      <c r="F10221">
        <v>90</v>
      </c>
    </row>
    <row r="10222" spans="1:6" x14ac:dyDescent="0.35">
      <c r="A10222">
        <v>1975</v>
      </c>
      <c r="B10222" s="1">
        <v>45950</v>
      </c>
      <c r="C10222" s="2">
        <v>0.83333333333333337</v>
      </c>
      <c r="D10222">
        <v>3</v>
      </c>
      <c r="E10222">
        <v>10.199999999999999</v>
      </c>
      <c r="F10222">
        <v>94</v>
      </c>
    </row>
    <row r="10223" spans="1:6" x14ac:dyDescent="0.35">
      <c r="A10223">
        <v>1975</v>
      </c>
      <c r="B10223" s="1">
        <v>45950</v>
      </c>
      <c r="C10223" s="2">
        <v>0.875</v>
      </c>
      <c r="D10223">
        <v>3</v>
      </c>
      <c r="E10223">
        <v>10.199999999999999</v>
      </c>
      <c r="F10223">
        <v>95</v>
      </c>
    </row>
    <row r="10224" spans="1:6" x14ac:dyDescent="0.35">
      <c r="A10224">
        <v>1975</v>
      </c>
      <c r="B10224" s="1">
        <v>45950</v>
      </c>
      <c r="C10224" s="2">
        <v>0.91666666666666663</v>
      </c>
      <c r="D10224">
        <v>3</v>
      </c>
      <c r="E10224">
        <v>10.1</v>
      </c>
      <c r="F10224">
        <v>96</v>
      </c>
    </row>
    <row r="10225" spans="1:6" x14ac:dyDescent="0.35">
      <c r="A10225">
        <v>1975</v>
      </c>
      <c r="B10225" s="1">
        <v>45950</v>
      </c>
      <c r="C10225" s="2">
        <v>0.95833333333333337</v>
      </c>
      <c r="D10225">
        <v>3</v>
      </c>
      <c r="E10225">
        <v>10.199999999999999</v>
      </c>
      <c r="F10225">
        <v>96</v>
      </c>
    </row>
    <row r="10226" spans="1:6" x14ac:dyDescent="0.35">
      <c r="A10226">
        <v>1975</v>
      </c>
      <c r="B10226" s="1">
        <v>45951</v>
      </c>
      <c r="C10226" s="2">
        <v>0</v>
      </c>
      <c r="D10226">
        <v>3</v>
      </c>
      <c r="E10226">
        <v>10.3</v>
      </c>
      <c r="F10226">
        <v>96</v>
      </c>
    </row>
    <row r="10227" spans="1:6" x14ac:dyDescent="0.35">
      <c r="A10227">
        <v>1975</v>
      </c>
      <c r="B10227" s="1">
        <v>45951</v>
      </c>
      <c r="C10227" s="2">
        <v>4.1666666666666657E-2</v>
      </c>
      <c r="D10227">
        <v>3</v>
      </c>
      <c r="E10227">
        <v>10.3</v>
      </c>
      <c r="F10227">
        <v>96</v>
      </c>
    </row>
    <row r="10228" spans="1:6" x14ac:dyDescent="0.35">
      <c r="A10228">
        <v>1975</v>
      </c>
      <c r="B10228" s="1">
        <v>45951</v>
      </c>
      <c r="C10228" s="2">
        <v>8.3333333333333329E-2</v>
      </c>
      <c r="D10228">
        <v>3</v>
      </c>
      <c r="E10228">
        <v>10.4</v>
      </c>
      <c r="F10228">
        <v>96</v>
      </c>
    </row>
    <row r="10229" spans="1:6" x14ac:dyDescent="0.35">
      <c r="A10229">
        <v>1975</v>
      </c>
      <c r="B10229" s="1">
        <v>45951</v>
      </c>
      <c r="C10229" s="2">
        <v>0.125</v>
      </c>
      <c r="D10229">
        <v>3</v>
      </c>
      <c r="E10229">
        <v>11</v>
      </c>
      <c r="F10229">
        <v>95</v>
      </c>
    </row>
    <row r="10230" spans="1:6" x14ac:dyDescent="0.35">
      <c r="A10230">
        <v>1975</v>
      </c>
      <c r="B10230" s="1">
        <v>45951</v>
      </c>
      <c r="C10230" s="2">
        <v>0.16666666666666671</v>
      </c>
      <c r="D10230">
        <v>3</v>
      </c>
      <c r="E10230">
        <v>10.7</v>
      </c>
      <c r="F10230">
        <v>94</v>
      </c>
    </row>
    <row r="10231" spans="1:6" x14ac:dyDescent="0.35">
      <c r="A10231">
        <v>1975</v>
      </c>
      <c r="B10231" s="1">
        <v>45951</v>
      </c>
      <c r="C10231" s="2">
        <v>0.20833333333333329</v>
      </c>
      <c r="D10231">
        <v>3</v>
      </c>
      <c r="E10231">
        <v>10.199999999999999</v>
      </c>
      <c r="F10231">
        <v>92</v>
      </c>
    </row>
    <row r="10232" spans="1:6" x14ac:dyDescent="0.35">
      <c r="A10232">
        <v>1975</v>
      </c>
      <c r="B10232" s="1">
        <v>45951</v>
      </c>
      <c r="C10232" s="2">
        <v>0.25</v>
      </c>
      <c r="D10232">
        <v>3</v>
      </c>
      <c r="E10232">
        <v>9.8000000000000007</v>
      </c>
      <c r="F10232">
        <v>93</v>
      </c>
    </row>
    <row r="10233" spans="1:6" x14ac:dyDescent="0.35">
      <c r="A10233">
        <v>1975</v>
      </c>
      <c r="B10233" s="1">
        <v>45951</v>
      </c>
      <c r="C10233" s="2">
        <v>0.29166666666666669</v>
      </c>
      <c r="D10233">
        <v>3</v>
      </c>
      <c r="E10233">
        <v>10.199999999999999</v>
      </c>
      <c r="F10233">
        <v>91</v>
      </c>
    </row>
    <row r="10234" spans="1:6" x14ac:dyDescent="0.35">
      <c r="A10234">
        <v>1975</v>
      </c>
      <c r="B10234" s="1">
        <v>45951</v>
      </c>
      <c r="C10234" s="2">
        <v>0.33333333333333331</v>
      </c>
      <c r="D10234">
        <v>3</v>
      </c>
      <c r="E10234">
        <v>11.6</v>
      </c>
      <c r="F10234">
        <v>87</v>
      </c>
    </row>
    <row r="10235" spans="1:6" x14ac:dyDescent="0.35">
      <c r="A10235">
        <v>1975</v>
      </c>
      <c r="B10235" s="1">
        <v>45951</v>
      </c>
      <c r="C10235" s="2">
        <v>0.375</v>
      </c>
      <c r="D10235">
        <v>3</v>
      </c>
      <c r="E10235">
        <v>13.3</v>
      </c>
      <c r="F10235">
        <v>83</v>
      </c>
    </row>
    <row r="10236" spans="1:6" x14ac:dyDescent="0.35">
      <c r="A10236">
        <v>1975</v>
      </c>
      <c r="B10236" s="1">
        <v>45951</v>
      </c>
      <c r="C10236" s="2">
        <v>0.41666666666666669</v>
      </c>
      <c r="D10236">
        <v>3</v>
      </c>
      <c r="E10236">
        <v>14.3</v>
      </c>
      <c r="F10236">
        <v>78</v>
      </c>
    </row>
    <row r="10237" spans="1:6" x14ac:dyDescent="0.35">
      <c r="A10237">
        <v>1975</v>
      </c>
      <c r="B10237" s="1">
        <v>45951</v>
      </c>
      <c r="C10237" s="2">
        <v>0.45833333333333331</v>
      </c>
      <c r="D10237">
        <v>3</v>
      </c>
      <c r="E10237">
        <v>14.2</v>
      </c>
      <c r="F10237">
        <v>83</v>
      </c>
    </row>
    <row r="10238" spans="1:6" x14ac:dyDescent="0.35">
      <c r="A10238">
        <v>1975</v>
      </c>
      <c r="B10238" s="1">
        <v>45951</v>
      </c>
      <c r="C10238" s="2">
        <v>0.5</v>
      </c>
      <c r="D10238">
        <v>3</v>
      </c>
      <c r="E10238">
        <v>14.6</v>
      </c>
      <c r="F10238">
        <v>81</v>
      </c>
    </row>
    <row r="10239" spans="1:6" x14ac:dyDescent="0.35">
      <c r="A10239">
        <v>1975</v>
      </c>
      <c r="B10239" s="1">
        <v>45951</v>
      </c>
      <c r="C10239" s="2">
        <v>0.54166666666666663</v>
      </c>
      <c r="D10239">
        <v>3</v>
      </c>
      <c r="E10239">
        <v>14.6</v>
      </c>
      <c r="F10239">
        <v>78</v>
      </c>
    </row>
    <row r="10240" spans="1:6" x14ac:dyDescent="0.35">
      <c r="A10240">
        <v>1975</v>
      </c>
      <c r="B10240" s="1">
        <v>45951</v>
      </c>
      <c r="C10240" s="2">
        <v>0.58333333333333337</v>
      </c>
      <c r="D10240">
        <v>3</v>
      </c>
      <c r="E10240">
        <v>13.9</v>
      </c>
      <c r="F10240">
        <v>88</v>
      </c>
    </row>
    <row r="10241" spans="1:6" x14ac:dyDescent="0.35">
      <c r="A10241">
        <v>1975</v>
      </c>
      <c r="B10241" s="1">
        <v>45951</v>
      </c>
      <c r="C10241" s="2">
        <v>0.625</v>
      </c>
      <c r="D10241">
        <v>3</v>
      </c>
      <c r="E10241">
        <v>14</v>
      </c>
      <c r="F10241">
        <v>86</v>
      </c>
    </row>
    <row r="10242" spans="1:6" x14ac:dyDescent="0.35">
      <c r="A10242">
        <v>1975</v>
      </c>
      <c r="B10242" s="1">
        <v>45951</v>
      </c>
      <c r="C10242" s="2">
        <v>0.66666666666666663</v>
      </c>
      <c r="D10242">
        <v>3</v>
      </c>
      <c r="E10242">
        <v>13.5</v>
      </c>
      <c r="F10242">
        <v>88</v>
      </c>
    </row>
    <row r="10243" spans="1:6" x14ac:dyDescent="0.35">
      <c r="A10243">
        <v>1975</v>
      </c>
      <c r="B10243" s="1">
        <v>45951</v>
      </c>
      <c r="C10243" s="2">
        <v>0.70833333333333337</v>
      </c>
      <c r="D10243">
        <v>3</v>
      </c>
      <c r="E10243">
        <v>13.3</v>
      </c>
      <c r="F10243">
        <v>89</v>
      </c>
    </row>
    <row r="10244" spans="1:6" x14ac:dyDescent="0.35">
      <c r="A10244">
        <v>1975</v>
      </c>
      <c r="B10244" s="1">
        <v>45951</v>
      </c>
      <c r="C10244" s="2">
        <v>0.75</v>
      </c>
      <c r="D10244">
        <v>3</v>
      </c>
      <c r="E10244">
        <v>12.9</v>
      </c>
      <c r="F10244">
        <v>94</v>
      </c>
    </row>
    <row r="10245" spans="1:6" x14ac:dyDescent="0.35">
      <c r="A10245">
        <v>1975</v>
      </c>
      <c r="B10245" s="1">
        <v>45951</v>
      </c>
      <c r="C10245" s="2">
        <v>0.79166666666666663</v>
      </c>
      <c r="D10245">
        <v>3</v>
      </c>
      <c r="E10245">
        <v>13.1</v>
      </c>
      <c r="F10245">
        <v>89</v>
      </c>
    </row>
    <row r="10246" spans="1:6" x14ac:dyDescent="0.35">
      <c r="A10246">
        <v>1975</v>
      </c>
      <c r="B10246" s="1">
        <v>45951</v>
      </c>
      <c r="C10246" s="2">
        <v>0.83333333333333337</v>
      </c>
      <c r="D10246">
        <v>3</v>
      </c>
      <c r="E10246">
        <v>13</v>
      </c>
      <c r="F10246">
        <v>87</v>
      </c>
    </row>
    <row r="10247" spans="1:6" x14ac:dyDescent="0.35">
      <c r="A10247">
        <v>1975</v>
      </c>
      <c r="B10247" s="1">
        <v>45951</v>
      </c>
      <c r="C10247" s="2">
        <v>0.875</v>
      </c>
      <c r="D10247">
        <v>3</v>
      </c>
      <c r="E10247">
        <v>12.7</v>
      </c>
      <c r="F10247">
        <v>87</v>
      </c>
    </row>
    <row r="10248" spans="1:6" x14ac:dyDescent="0.35">
      <c r="A10248">
        <v>1975</v>
      </c>
      <c r="B10248" s="1">
        <v>45951</v>
      </c>
      <c r="C10248" s="2">
        <v>0.91666666666666663</v>
      </c>
      <c r="D10248">
        <v>3</v>
      </c>
      <c r="E10248">
        <v>12.3</v>
      </c>
      <c r="F10248">
        <v>88</v>
      </c>
    </row>
    <row r="10249" spans="1:6" x14ac:dyDescent="0.35">
      <c r="A10249">
        <v>1975</v>
      </c>
      <c r="B10249" s="1">
        <v>45951</v>
      </c>
      <c r="C10249" s="2">
        <v>0.95833333333333337</v>
      </c>
      <c r="D10249">
        <v>3</v>
      </c>
      <c r="E10249">
        <v>12.3</v>
      </c>
      <c r="F10249">
        <v>87</v>
      </c>
    </row>
    <row r="10250" spans="1:6" x14ac:dyDescent="0.35">
      <c r="A10250">
        <v>1975</v>
      </c>
      <c r="B10250" s="1">
        <v>45952</v>
      </c>
      <c r="C10250" s="2">
        <v>0</v>
      </c>
      <c r="D10250">
        <v>3</v>
      </c>
      <c r="E10250">
        <v>12</v>
      </c>
      <c r="F10250">
        <v>86</v>
      </c>
    </row>
    <row r="10251" spans="1:6" x14ac:dyDescent="0.35">
      <c r="A10251">
        <v>1975</v>
      </c>
      <c r="B10251" s="1">
        <v>45952</v>
      </c>
      <c r="C10251" s="2">
        <v>4.1666666666666657E-2</v>
      </c>
      <c r="D10251">
        <v>3</v>
      </c>
      <c r="E10251">
        <v>11.8</v>
      </c>
      <c r="F10251">
        <v>87</v>
      </c>
    </row>
    <row r="10252" spans="1:6" x14ac:dyDescent="0.35">
      <c r="A10252">
        <v>1975</v>
      </c>
      <c r="B10252" s="1">
        <v>45952</v>
      </c>
      <c r="C10252" s="2">
        <v>8.3333333333333329E-2</v>
      </c>
      <c r="D10252">
        <v>3</v>
      </c>
      <c r="E10252">
        <v>11.5</v>
      </c>
      <c r="F10252">
        <v>87</v>
      </c>
    </row>
    <row r="10253" spans="1:6" x14ac:dyDescent="0.35">
      <c r="A10253">
        <v>1975</v>
      </c>
      <c r="B10253" s="1">
        <v>45952</v>
      </c>
      <c r="C10253" s="2">
        <v>0.125</v>
      </c>
      <c r="D10253">
        <v>3</v>
      </c>
      <c r="E10253">
        <v>11.2</v>
      </c>
      <c r="F10253">
        <v>89</v>
      </c>
    </row>
    <row r="10254" spans="1:6" x14ac:dyDescent="0.35">
      <c r="A10254">
        <v>1975</v>
      </c>
      <c r="B10254" s="1">
        <v>45952</v>
      </c>
      <c r="C10254" s="2">
        <v>0.16666666666666671</v>
      </c>
      <c r="D10254">
        <v>3</v>
      </c>
      <c r="E10254">
        <v>11</v>
      </c>
      <c r="F10254">
        <v>90</v>
      </c>
    </row>
    <row r="10255" spans="1:6" x14ac:dyDescent="0.35">
      <c r="A10255">
        <v>1975</v>
      </c>
      <c r="B10255" s="1">
        <v>45952</v>
      </c>
      <c r="C10255" s="2">
        <v>0.20833333333333329</v>
      </c>
      <c r="D10255">
        <v>3</v>
      </c>
      <c r="E10255">
        <v>11.2</v>
      </c>
      <c r="F10255">
        <v>90</v>
      </c>
    </row>
    <row r="10256" spans="1:6" x14ac:dyDescent="0.35">
      <c r="A10256">
        <v>1975</v>
      </c>
      <c r="B10256" s="1">
        <v>45952</v>
      </c>
      <c r="C10256" s="2">
        <v>0.25</v>
      </c>
      <c r="D10256">
        <v>3</v>
      </c>
      <c r="E10256">
        <v>11.4</v>
      </c>
      <c r="F10256">
        <v>91</v>
      </c>
    </row>
    <row r="10257" spans="1:6" x14ac:dyDescent="0.35">
      <c r="A10257">
        <v>1975</v>
      </c>
      <c r="B10257" s="1">
        <v>45952</v>
      </c>
      <c r="C10257" s="2">
        <v>0.29166666666666669</v>
      </c>
      <c r="D10257">
        <v>3</v>
      </c>
      <c r="E10257">
        <v>12</v>
      </c>
      <c r="F10257">
        <v>89</v>
      </c>
    </row>
    <row r="10258" spans="1:6" x14ac:dyDescent="0.35">
      <c r="A10258">
        <v>1975</v>
      </c>
      <c r="B10258" s="1">
        <v>45952</v>
      </c>
      <c r="C10258" s="2">
        <v>0.33333333333333331</v>
      </c>
      <c r="D10258">
        <v>3</v>
      </c>
      <c r="E10258">
        <v>12.2</v>
      </c>
      <c r="F10258">
        <v>90</v>
      </c>
    </row>
    <row r="10259" spans="1:6" x14ac:dyDescent="0.35">
      <c r="A10259">
        <v>1975</v>
      </c>
      <c r="B10259" s="1">
        <v>45952</v>
      </c>
      <c r="C10259" s="2">
        <v>0.375</v>
      </c>
      <c r="D10259">
        <v>3</v>
      </c>
      <c r="E10259">
        <v>12.8</v>
      </c>
      <c r="F10259">
        <v>90</v>
      </c>
    </row>
    <row r="10260" spans="1:6" x14ac:dyDescent="0.35">
      <c r="A10260">
        <v>1975</v>
      </c>
      <c r="B10260" s="1">
        <v>45952</v>
      </c>
      <c r="C10260" s="2">
        <v>0.41666666666666669</v>
      </c>
      <c r="D10260">
        <v>3</v>
      </c>
      <c r="E10260">
        <v>13.5</v>
      </c>
      <c r="F10260">
        <v>88</v>
      </c>
    </row>
    <row r="10261" spans="1:6" x14ac:dyDescent="0.35">
      <c r="A10261">
        <v>1975</v>
      </c>
      <c r="B10261" s="1">
        <v>45952</v>
      </c>
      <c r="C10261" s="2">
        <v>0.45833333333333331</v>
      </c>
      <c r="D10261">
        <v>3</v>
      </c>
      <c r="E10261">
        <v>13.7</v>
      </c>
      <c r="F10261">
        <v>87</v>
      </c>
    </row>
    <row r="10262" spans="1:6" x14ac:dyDescent="0.35">
      <c r="A10262">
        <v>1975</v>
      </c>
      <c r="B10262" s="1">
        <v>45952</v>
      </c>
      <c r="C10262" s="2">
        <v>0.5</v>
      </c>
      <c r="D10262">
        <v>3</v>
      </c>
      <c r="E10262">
        <v>14</v>
      </c>
      <c r="F10262">
        <v>83</v>
      </c>
    </row>
    <row r="10263" spans="1:6" x14ac:dyDescent="0.35">
      <c r="A10263">
        <v>1975</v>
      </c>
      <c r="B10263" s="1">
        <v>45952</v>
      </c>
      <c r="C10263" s="2">
        <v>0.54166666666666663</v>
      </c>
      <c r="D10263">
        <v>3</v>
      </c>
      <c r="E10263">
        <v>12.4</v>
      </c>
      <c r="F10263">
        <v>84</v>
      </c>
    </row>
    <row r="10264" spans="1:6" x14ac:dyDescent="0.35">
      <c r="A10264">
        <v>1975</v>
      </c>
      <c r="B10264" s="1">
        <v>45952</v>
      </c>
      <c r="C10264" s="2">
        <v>0.58333333333333337</v>
      </c>
      <c r="D10264">
        <v>3</v>
      </c>
      <c r="E10264">
        <v>12</v>
      </c>
      <c r="F10264">
        <v>89</v>
      </c>
    </row>
    <row r="10265" spans="1:6" x14ac:dyDescent="0.35">
      <c r="A10265">
        <v>1975</v>
      </c>
      <c r="B10265" s="1">
        <v>45952</v>
      </c>
      <c r="C10265" s="2">
        <v>0.625</v>
      </c>
      <c r="D10265">
        <v>3</v>
      </c>
      <c r="E10265">
        <v>12.4</v>
      </c>
      <c r="F10265">
        <v>90</v>
      </c>
    </row>
    <row r="10266" spans="1:6" x14ac:dyDescent="0.35">
      <c r="A10266">
        <v>1975</v>
      </c>
      <c r="B10266" s="1">
        <v>45952</v>
      </c>
      <c r="C10266" s="2">
        <v>0.66666666666666663</v>
      </c>
      <c r="D10266">
        <v>3</v>
      </c>
      <c r="E10266">
        <v>11.5</v>
      </c>
      <c r="F10266">
        <v>91</v>
      </c>
    </row>
    <row r="10267" spans="1:6" x14ac:dyDescent="0.35">
      <c r="A10267">
        <v>1975</v>
      </c>
      <c r="B10267" s="1">
        <v>45952</v>
      </c>
      <c r="C10267" s="2">
        <v>0.70833333333333337</v>
      </c>
      <c r="D10267">
        <v>3</v>
      </c>
      <c r="E10267">
        <v>9.8000000000000007</v>
      </c>
      <c r="F10267">
        <v>99</v>
      </c>
    </row>
    <row r="10268" spans="1:6" x14ac:dyDescent="0.35">
      <c r="A10268">
        <v>1975</v>
      </c>
      <c r="B10268" s="1">
        <v>45952</v>
      </c>
      <c r="C10268" s="2">
        <v>0.75</v>
      </c>
      <c r="D10268">
        <v>3</v>
      </c>
      <c r="E10268">
        <v>9.5</v>
      </c>
      <c r="F10268">
        <v>99</v>
      </c>
    </row>
    <row r="10269" spans="1:6" x14ac:dyDescent="0.35">
      <c r="A10269">
        <v>1975</v>
      </c>
      <c r="B10269" s="1">
        <v>45952</v>
      </c>
      <c r="C10269" s="2">
        <v>0.79166666666666663</v>
      </c>
      <c r="D10269">
        <v>3</v>
      </c>
      <c r="E10269">
        <v>10</v>
      </c>
      <c r="F10269">
        <v>97</v>
      </c>
    </row>
    <row r="10270" spans="1:6" x14ac:dyDescent="0.35">
      <c r="A10270">
        <v>1975</v>
      </c>
      <c r="B10270" s="1">
        <v>45952</v>
      </c>
      <c r="C10270" s="2">
        <v>0.83333333333333337</v>
      </c>
      <c r="D10270">
        <v>3</v>
      </c>
      <c r="E10270">
        <v>10.4</v>
      </c>
      <c r="F10270">
        <v>96</v>
      </c>
    </row>
    <row r="10271" spans="1:6" x14ac:dyDescent="0.35">
      <c r="A10271">
        <v>1975</v>
      </c>
      <c r="B10271" s="1">
        <v>45952</v>
      </c>
      <c r="C10271" s="2">
        <v>0.875</v>
      </c>
      <c r="D10271">
        <v>3</v>
      </c>
      <c r="E10271">
        <v>10.199999999999999</v>
      </c>
      <c r="F10271">
        <v>96</v>
      </c>
    </row>
    <row r="10272" spans="1:6" x14ac:dyDescent="0.35">
      <c r="A10272">
        <v>1975</v>
      </c>
      <c r="B10272" s="1">
        <v>45952</v>
      </c>
      <c r="C10272" s="2">
        <v>0.91666666666666663</v>
      </c>
      <c r="D10272">
        <v>3</v>
      </c>
      <c r="E10272">
        <v>9.6999999999999993</v>
      </c>
      <c r="F10272">
        <v>99</v>
      </c>
    </row>
    <row r="10273" spans="1:6" x14ac:dyDescent="0.35">
      <c r="A10273">
        <v>1975</v>
      </c>
      <c r="B10273" s="1">
        <v>45952</v>
      </c>
      <c r="C10273" s="2">
        <v>0.95833333333333337</v>
      </c>
      <c r="D10273">
        <v>3</v>
      </c>
      <c r="E10273">
        <v>8.4</v>
      </c>
      <c r="F10273">
        <v>100</v>
      </c>
    </row>
    <row r="10274" spans="1:6" x14ac:dyDescent="0.35">
      <c r="A10274">
        <v>1975</v>
      </c>
      <c r="B10274" s="1">
        <v>45953</v>
      </c>
      <c r="C10274" s="2">
        <v>0</v>
      </c>
      <c r="D10274">
        <v>3</v>
      </c>
      <c r="E10274">
        <v>8.3000000000000007</v>
      </c>
      <c r="F10274">
        <v>100</v>
      </c>
    </row>
    <row r="10275" spans="1:6" x14ac:dyDescent="0.35">
      <c r="A10275">
        <v>1975</v>
      </c>
      <c r="B10275" s="1">
        <v>45953</v>
      </c>
      <c r="C10275" s="2">
        <v>4.1666666666666657E-2</v>
      </c>
      <c r="D10275">
        <v>3</v>
      </c>
      <c r="E10275">
        <v>8.5</v>
      </c>
      <c r="F10275">
        <v>100</v>
      </c>
    </row>
    <row r="10276" spans="1:6" x14ac:dyDescent="0.35">
      <c r="A10276">
        <v>1975</v>
      </c>
      <c r="B10276" s="1">
        <v>45953</v>
      </c>
      <c r="C10276" s="2">
        <v>8.3333333333333329E-2</v>
      </c>
      <c r="D10276">
        <v>3</v>
      </c>
      <c r="E10276">
        <v>7.9</v>
      </c>
      <c r="F10276">
        <v>100</v>
      </c>
    </row>
    <row r="10277" spans="1:6" x14ac:dyDescent="0.35">
      <c r="A10277">
        <v>1975</v>
      </c>
      <c r="B10277" s="1">
        <v>45953</v>
      </c>
      <c r="C10277" s="2">
        <v>0.125</v>
      </c>
      <c r="D10277">
        <v>3</v>
      </c>
      <c r="E10277">
        <v>9.5</v>
      </c>
      <c r="F10277">
        <v>96</v>
      </c>
    </row>
    <row r="10278" spans="1:6" x14ac:dyDescent="0.35">
      <c r="A10278">
        <v>1975</v>
      </c>
      <c r="B10278" s="1">
        <v>45953</v>
      </c>
      <c r="C10278" s="2">
        <v>0.16666666666666671</v>
      </c>
      <c r="D10278">
        <v>3</v>
      </c>
      <c r="E10278">
        <v>9.6999999999999993</v>
      </c>
      <c r="F10278">
        <v>96</v>
      </c>
    </row>
    <row r="10279" spans="1:6" x14ac:dyDescent="0.35">
      <c r="A10279">
        <v>1975</v>
      </c>
      <c r="B10279" s="1">
        <v>45953</v>
      </c>
      <c r="C10279" s="2">
        <v>0.20833333333333329</v>
      </c>
      <c r="D10279">
        <v>3</v>
      </c>
      <c r="E10279">
        <v>10.199999999999999</v>
      </c>
      <c r="F10279">
        <v>96</v>
      </c>
    </row>
    <row r="10280" spans="1:6" x14ac:dyDescent="0.35">
      <c r="A10280">
        <v>1975</v>
      </c>
      <c r="B10280" s="1">
        <v>45953</v>
      </c>
      <c r="C10280" s="2">
        <v>0.25</v>
      </c>
      <c r="D10280">
        <v>3</v>
      </c>
      <c r="E10280">
        <v>10.9</v>
      </c>
      <c r="F10280">
        <v>95</v>
      </c>
    </row>
    <row r="10281" spans="1:6" x14ac:dyDescent="0.35">
      <c r="A10281">
        <v>1975</v>
      </c>
      <c r="B10281" s="1">
        <v>45953</v>
      </c>
      <c r="C10281" s="2">
        <v>0.29166666666666669</v>
      </c>
      <c r="D10281">
        <v>3</v>
      </c>
      <c r="E10281">
        <v>11.4</v>
      </c>
      <c r="F10281">
        <v>95</v>
      </c>
    </row>
    <row r="10282" spans="1:6" x14ac:dyDescent="0.35">
      <c r="A10282">
        <v>1975</v>
      </c>
      <c r="B10282" s="1">
        <v>45953</v>
      </c>
      <c r="C10282" s="2">
        <v>0.33333333333333331</v>
      </c>
      <c r="D10282">
        <v>3</v>
      </c>
      <c r="E10282">
        <v>11.7</v>
      </c>
      <c r="F10282">
        <v>96</v>
      </c>
    </row>
    <row r="10283" spans="1:6" x14ac:dyDescent="0.35">
      <c r="A10283">
        <v>1975</v>
      </c>
      <c r="B10283" s="1">
        <v>45953</v>
      </c>
      <c r="C10283" s="2">
        <v>0.375</v>
      </c>
      <c r="D10283">
        <v>3</v>
      </c>
      <c r="E10283">
        <v>12.3</v>
      </c>
      <c r="F10283">
        <v>95</v>
      </c>
    </row>
    <row r="10284" spans="1:6" x14ac:dyDescent="0.35">
      <c r="A10284">
        <v>1975</v>
      </c>
      <c r="B10284" s="1">
        <v>45953</v>
      </c>
      <c r="C10284" s="2">
        <v>0.41666666666666669</v>
      </c>
      <c r="D10284">
        <v>3</v>
      </c>
      <c r="E10284">
        <v>13.2</v>
      </c>
      <c r="F10284">
        <v>95</v>
      </c>
    </row>
    <row r="10285" spans="1:6" x14ac:dyDescent="0.35">
      <c r="A10285">
        <v>1975</v>
      </c>
      <c r="B10285" s="1">
        <v>45953</v>
      </c>
      <c r="C10285" s="2">
        <v>0.45833333333333331</v>
      </c>
      <c r="D10285">
        <v>3</v>
      </c>
      <c r="E10285">
        <v>13.9</v>
      </c>
      <c r="F10285">
        <v>93</v>
      </c>
    </row>
    <row r="10286" spans="1:6" x14ac:dyDescent="0.35">
      <c r="A10286">
        <v>1975</v>
      </c>
      <c r="B10286" s="1">
        <v>45953</v>
      </c>
      <c r="C10286" s="2">
        <v>0.5</v>
      </c>
      <c r="D10286">
        <v>3</v>
      </c>
      <c r="E10286">
        <v>14.5</v>
      </c>
      <c r="F10286">
        <v>93</v>
      </c>
    </row>
    <row r="10287" spans="1:6" x14ac:dyDescent="0.35">
      <c r="A10287">
        <v>1975</v>
      </c>
      <c r="B10287" s="1">
        <v>45953</v>
      </c>
      <c r="C10287" s="2">
        <v>0.54166666666666663</v>
      </c>
      <c r="D10287">
        <v>3</v>
      </c>
      <c r="E10287">
        <v>14.9</v>
      </c>
      <c r="F10287">
        <v>82</v>
      </c>
    </row>
    <row r="10288" spans="1:6" x14ac:dyDescent="0.35">
      <c r="A10288">
        <v>1975</v>
      </c>
      <c r="B10288" s="1">
        <v>45953</v>
      </c>
      <c r="C10288" s="2">
        <v>0.58333333333333337</v>
      </c>
      <c r="D10288">
        <v>3</v>
      </c>
      <c r="E10288">
        <v>15.4</v>
      </c>
      <c r="F10288">
        <v>77</v>
      </c>
    </row>
    <row r="10289" spans="1:6" x14ac:dyDescent="0.35">
      <c r="A10289">
        <v>1975</v>
      </c>
      <c r="B10289" s="1">
        <v>45953</v>
      </c>
      <c r="C10289" s="2">
        <v>0.625</v>
      </c>
      <c r="D10289">
        <v>3</v>
      </c>
      <c r="E10289">
        <v>15.2</v>
      </c>
      <c r="F10289">
        <v>79</v>
      </c>
    </row>
    <row r="10290" spans="1:6" x14ac:dyDescent="0.35">
      <c r="A10290">
        <v>1975</v>
      </c>
      <c r="B10290" s="1">
        <v>45953</v>
      </c>
      <c r="C10290" s="2">
        <v>0.66666666666666663</v>
      </c>
      <c r="D10290">
        <v>3</v>
      </c>
      <c r="E10290">
        <v>14.1</v>
      </c>
      <c r="F10290">
        <v>87</v>
      </c>
    </row>
    <row r="10291" spans="1:6" x14ac:dyDescent="0.35">
      <c r="A10291">
        <v>1975</v>
      </c>
      <c r="B10291" s="1">
        <v>45953</v>
      </c>
      <c r="C10291" s="2">
        <v>0.70833333333333337</v>
      </c>
      <c r="D10291">
        <v>3</v>
      </c>
      <c r="E10291">
        <v>13.3</v>
      </c>
      <c r="F10291">
        <v>90</v>
      </c>
    </row>
    <row r="10292" spans="1:6" x14ac:dyDescent="0.35">
      <c r="A10292">
        <v>1975</v>
      </c>
      <c r="B10292" s="1">
        <v>45953</v>
      </c>
      <c r="C10292" s="2">
        <v>0.75</v>
      </c>
      <c r="D10292">
        <v>3</v>
      </c>
      <c r="E10292">
        <v>13.9</v>
      </c>
      <c r="F10292">
        <v>74</v>
      </c>
    </row>
    <row r="10293" spans="1:6" x14ac:dyDescent="0.35">
      <c r="A10293">
        <v>1975</v>
      </c>
      <c r="B10293" s="1">
        <v>45953</v>
      </c>
      <c r="C10293" s="2">
        <v>0.79166666666666663</v>
      </c>
      <c r="D10293">
        <v>3</v>
      </c>
      <c r="E10293">
        <v>12.9</v>
      </c>
      <c r="F10293">
        <v>69</v>
      </c>
    </row>
    <row r="10294" spans="1:6" x14ac:dyDescent="0.35">
      <c r="A10294">
        <v>1975</v>
      </c>
      <c r="B10294" s="1">
        <v>45953</v>
      </c>
      <c r="C10294" s="2">
        <v>0.83333333333333337</v>
      </c>
      <c r="D10294">
        <v>3</v>
      </c>
      <c r="E10294">
        <v>12.3</v>
      </c>
      <c r="F10294">
        <v>69</v>
      </c>
    </row>
    <row r="10295" spans="1:6" x14ac:dyDescent="0.35">
      <c r="A10295">
        <v>1975</v>
      </c>
      <c r="B10295" s="1">
        <v>45953</v>
      </c>
      <c r="C10295" s="2">
        <v>0.875</v>
      </c>
      <c r="D10295">
        <v>3</v>
      </c>
      <c r="E10295">
        <v>11.9</v>
      </c>
      <c r="F10295">
        <v>73</v>
      </c>
    </row>
    <row r="10296" spans="1:6" x14ac:dyDescent="0.35">
      <c r="A10296">
        <v>1975</v>
      </c>
      <c r="B10296" s="1">
        <v>45953</v>
      </c>
      <c r="C10296" s="2">
        <v>0.91666666666666663</v>
      </c>
      <c r="D10296">
        <v>3</v>
      </c>
      <c r="E10296">
        <v>10.8</v>
      </c>
      <c r="F10296">
        <v>87</v>
      </c>
    </row>
    <row r="10297" spans="1:6" x14ac:dyDescent="0.35">
      <c r="A10297">
        <v>1975</v>
      </c>
      <c r="B10297" s="1">
        <v>45953</v>
      </c>
      <c r="C10297" s="2">
        <v>0.95833333333333337</v>
      </c>
      <c r="D10297">
        <v>3</v>
      </c>
      <c r="E10297">
        <v>10.4</v>
      </c>
      <c r="F10297">
        <v>92</v>
      </c>
    </row>
    <row r="10298" spans="1:6" x14ac:dyDescent="0.35">
      <c r="A10298">
        <v>1975</v>
      </c>
      <c r="B10298" s="1">
        <v>45954</v>
      </c>
      <c r="C10298" s="2">
        <v>0</v>
      </c>
      <c r="D10298">
        <v>3</v>
      </c>
      <c r="E10298">
        <v>10.199999999999999</v>
      </c>
      <c r="F10298">
        <v>92</v>
      </c>
    </row>
    <row r="10299" spans="1:6" x14ac:dyDescent="0.35">
      <c r="A10299">
        <v>1975</v>
      </c>
      <c r="B10299" s="1">
        <v>45954</v>
      </c>
      <c r="C10299" s="2">
        <v>4.1666666666666657E-2</v>
      </c>
      <c r="D10299">
        <v>3</v>
      </c>
      <c r="E10299">
        <v>10.5</v>
      </c>
      <c r="F10299">
        <v>86</v>
      </c>
    </row>
    <row r="10300" spans="1:6" x14ac:dyDescent="0.35">
      <c r="A10300">
        <v>1975</v>
      </c>
      <c r="B10300" s="1">
        <v>45954</v>
      </c>
      <c r="C10300" s="2">
        <v>8.3333333333333329E-2</v>
      </c>
      <c r="D10300">
        <v>3</v>
      </c>
      <c r="E10300">
        <v>10.6</v>
      </c>
      <c r="F10300">
        <v>85</v>
      </c>
    </row>
    <row r="10301" spans="1:6" x14ac:dyDescent="0.35">
      <c r="A10301">
        <v>1975</v>
      </c>
      <c r="B10301" s="1">
        <v>45954</v>
      </c>
      <c r="C10301" s="2">
        <v>0.125</v>
      </c>
      <c r="D10301">
        <v>3</v>
      </c>
      <c r="E10301">
        <v>10.6</v>
      </c>
      <c r="F10301">
        <v>85</v>
      </c>
    </row>
    <row r="10302" spans="1:6" x14ac:dyDescent="0.35">
      <c r="A10302">
        <v>1975</v>
      </c>
      <c r="B10302" s="1">
        <v>45954</v>
      </c>
      <c r="C10302" s="2">
        <v>0.16666666666666671</v>
      </c>
      <c r="D10302">
        <v>3</v>
      </c>
      <c r="E10302">
        <v>10.6</v>
      </c>
      <c r="F10302">
        <v>82</v>
      </c>
    </row>
    <row r="10303" spans="1:6" x14ac:dyDescent="0.35">
      <c r="A10303">
        <v>1975</v>
      </c>
      <c r="B10303" s="1">
        <v>45954</v>
      </c>
      <c r="C10303" s="2">
        <v>0.20833333333333329</v>
      </c>
      <c r="D10303">
        <v>3</v>
      </c>
      <c r="E10303">
        <v>10.4</v>
      </c>
      <c r="F10303">
        <v>84</v>
      </c>
    </row>
    <row r="10304" spans="1:6" x14ac:dyDescent="0.35">
      <c r="A10304">
        <v>1975</v>
      </c>
      <c r="B10304" s="1">
        <v>45954</v>
      </c>
      <c r="C10304" s="2">
        <v>0.25</v>
      </c>
      <c r="D10304">
        <v>3</v>
      </c>
      <c r="E10304">
        <v>10.1</v>
      </c>
      <c r="F10304">
        <v>85</v>
      </c>
    </row>
    <row r="10305" spans="1:6" x14ac:dyDescent="0.35">
      <c r="A10305">
        <v>1975</v>
      </c>
      <c r="B10305" s="1">
        <v>45954</v>
      </c>
      <c r="C10305" s="2">
        <v>0.29166666666666669</v>
      </c>
      <c r="D10305">
        <v>3</v>
      </c>
      <c r="E10305">
        <v>9.6</v>
      </c>
      <c r="F10305">
        <v>89</v>
      </c>
    </row>
    <row r="10306" spans="1:6" x14ac:dyDescent="0.35">
      <c r="A10306">
        <v>1975</v>
      </c>
      <c r="B10306" s="1">
        <v>45954</v>
      </c>
      <c r="C10306" s="2">
        <v>0.33333333333333331</v>
      </c>
      <c r="D10306">
        <v>3</v>
      </c>
      <c r="E10306">
        <v>10</v>
      </c>
      <c r="F10306">
        <v>83</v>
      </c>
    </row>
    <row r="10307" spans="1:6" x14ac:dyDescent="0.35">
      <c r="A10307">
        <v>1975</v>
      </c>
      <c r="B10307" s="1">
        <v>45954</v>
      </c>
      <c r="C10307" s="2">
        <v>0.375</v>
      </c>
      <c r="D10307">
        <v>3</v>
      </c>
      <c r="E10307">
        <v>10.5</v>
      </c>
      <c r="F10307">
        <v>76</v>
      </c>
    </row>
    <row r="10308" spans="1:6" x14ac:dyDescent="0.35">
      <c r="A10308">
        <v>1975</v>
      </c>
      <c r="B10308" s="1">
        <v>45954</v>
      </c>
      <c r="C10308" s="2">
        <v>0.41666666666666669</v>
      </c>
      <c r="D10308">
        <v>3</v>
      </c>
      <c r="E10308">
        <v>10.6</v>
      </c>
      <c r="F10308">
        <v>71</v>
      </c>
    </row>
    <row r="10309" spans="1:6" x14ac:dyDescent="0.35">
      <c r="A10309">
        <v>1975</v>
      </c>
      <c r="B10309" s="1">
        <v>45954</v>
      </c>
      <c r="C10309" s="2">
        <v>0.45833333333333331</v>
      </c>
      <c r="D10309">
        <v>3</v>
      </c>
      <c r="E10309">
        <v>11.1</v>
      </c>
      <c r="F10309">
        <v>69</v>
      </c>
    </row>
    <row r="10310" spans="1:6" x14ac:dyDescent="0.35">
      <c r="A10310">
        <v>1975</v>
      </c>
      <c r="B10310" s="1">
        <v>45954</v>
      </c>
      <c r="C10310" s="2">
        <v>0.5</v>
      </c>
      <c r="D10310">
        <v>3</v>
      </c>
      <c r="E10310">
        <v>10.9</v>
      </c>
      <c r="F10310">
        <v>69</v>
      </c>
    </row>
    <row r="10311" spans="1:6" x14ac:dyDescent="0.35">
      <c r="A10311">
        <v>1975</v>
      </c>
      <c r="B10311" s="1">
        <v>45954</v>
      </c>
      <c r="C10311" s="2">
        <v>0.54166666666666663</v>
      </c>
      <c r="D10311">
        <v>3</v>
      </c>
      <c r="E10311">
        <v>10.6</v>
      </c>
      <c r="F10311">
        <v>72</v>
      </c>
    </row>
    <row r="10312" spans="1:6" x14ac:dyDescent="0.35">
      <c r="A10312">
        <v>1975</v>
      </c>
      <c r="B10312" s="1">
        <v>45954</v>
      </c>
      <c r="C10312" s="2">
        <v>0.58333333333333337</v>
      </c>
      <c r="D10312">
        <v>3</v>
      </c>
      <c r="E10312">
        <v>11.4</v>
      </c>
      <c r="F10312">
        <v>65</v>
      </c>
    </row>
    <row r="10313" spans="1:6" x14ac:dyDescent="0.35">
      <c r="A10313">
        <v>1975</v>
      </c>
      <c r="B10313" s="1">
        <v>45954</v>
      </c>
      <c r="C10313" s="2">
        <v>0.625</v>
      </c>
      <c r="D10313">
        <v>3</v>
      </c>
      <c r="E10313">
        <v>11</v>
      </c>
      <c r="F10313">
        <v>69</v>
      </c>
    </row>
    <row r="10314" spans="1:6" x14ac:dyDescent="0.35">
      <c r="A10314">
        <v>1975</v>
      </c>
      <c r="B10314" s="1">
        <v>45954</v>
      </c>
      <c r="C10314" s="2">
        <v>0.66666666666666663</v>
      </c>
      <c r="D10314">
        <v>3</v>
      </c>
      <c r="E10314">
        <v>10.9</v>
      </c>
      <c r="F10314">
        <v>67</v>
      </c>
    </row>
    <row r="10315" spans="1:6" x14ac:dyDescent="0.35">
      <c r="A10315">
        <v>1975</v>
      </c>
      <c r="B10315" s="1">
        <v>45954</v>
      </c>
      <c r="C10315" s="2">
        <v>0.70833333333333337</v>
      </c>
      <c r="D10315">
        <v>3</v>
      </c>
      <c r="E10315">
        <v>10.1</v>
      </c>
      <c r="F10315">
        <v>69</v>
      </c>
    </row>
    <row r="10316" spans="1:6" x14ac:dyDescent="0.35">
      <c r="A10316">
        <v>1975</v>
      </c>
      <c r="B10316" s="1">
        <v>45954</v>
      </c>
      <c r="C10316" s="2">
        <v>0.75</v>
      </c>
      <c r="D10316">
        <v>3</v>
      </c>
      <c r="E10316">
        <v>9.3000000000000007</v>
      </c>
      <c r="F10316">
        <v>71</v>
      </c>
    </row>
    <row r="10317" spans="1:6" x14ac:dyDescent="0.35">
      <c r="A10317">
        <v>1975</v>
      </c>
      <c r="B10317" s="1">
        <v>45954</v>
      </c>
      <c r="C10317" s="2">
        <v>0.79166666666666663</v>
      </c>
      <c r="D10317">
        <v>3</v>
      </c>
      <c r="E10317">
        <v>9.1999999999999993</v>
      </c>
      <c r="F10317">
        <v>69</v>
      </c>
    </row>
    <row r="10318" spans="1:6" x14ac:dyDescent="0.35">
      <c r="A10318">
        <v>1975</v>
      </c>
      <c r="B10318" s="1">
        <v>45954</v>
      </c>
      <c r="C10318" s="2">
        <v>0.83333333333333337</v>
      </c>
      <c r="D10318">
        <v>3</v>
      </c>
      <c r="E10318">
        <v>8.5</v>
      </c>
      <c r="F10318">
        <v>72</v>
      </c>
    </row>
    <row r="10319" spans="1:6" x14ac:dyDescent="0.35">
      <c r="A10319">
        <v>1975</v>
      </c>
      <c r="B10319" s="1">
        <v>45954</v>
      </c>
      <c r="C10319" s="2">
        <v>0.875</v>
      </c>
      <c r="D10319">
        <v>3</v>
      </c>
      <c r="E10319">
        <v>8.6</v>
      </c>
      <c r="F10319">
        <v>74</v>
      </c>
    </row>
    <row r="10320" spans="1:6" x14ac:dyDescent="0.35">
      <c r="A10320">
        <v>1975</v>
      </c>
      <c r="B10320" s="1">
        <v>45954</v>
      </c>
      <c r="C10320" s="2">
        <v>0.91666666666666663</v>
      </c>
      <c r="D10320">
        <v>3</v>
      </c>
      <c r="E10320">
        <v>8.1</v>
      </c>
      <c r="F10320">
        <v>78</v>
      </c>
    </row>
    <row r="10321" spans="1:6" x14ac:dyDescent="0.35">
      <c r="A10321">
        <v>1975</v>
      </c>
      <c r="B10321" s="1">
        <v>45954</v>
      </c>
      <c r="C10321" s="2">
        <v>0.95833333333333337</v>
      </c>
      <c r="D10321">
        <v>3</v>
      </c>
      <c r="E10321">
        <v>8.1</v>
      </c>
      <c r="F10321">
        <v>80</v>
      </c>
    </row>
    <row r="10322" spans="1:6" x14ac:dyDescent="0.35">
      <c r="A10322">
        <v>1975</v>
      </c>
      <c r="B10322" s="1">
        <v>45955</v>
      </c>
      <c r="C10322" s="2">
        <v>0</v>
      </c>
      <c r="D10322">
        <v>3</v>
      </c>
      <c r="E10322">
        <v>8.6</v>
      </c>
      <c r="F10322">
        <v>79</v>
      </c>
    </row>
    <row r="10323" spans="1:6" x14ac:dyDescent="0.35">
      <c r="A10323">
        <v>1975</v>
      </c>
      <c r="B10323" s="1">
        <v>45955</v>
      </c>
      <c r="C10323" s="2">
        <v>4.1666666666666657E-2</v>
      </c>
      <c r="D10323">
        <v>3</v>
      </c>
      <c r="E10323">
        <v>8.6</v>
      </c>
      <c r="F10323">
        <v>79</v>
      </c>
    </row>
    <row r="10324" spans="1:6" x14ac:dyDescent="0.35">
      <c r="A10324">
        <v>1975</v>
      </c>
      <c r="B10324" s="1">
        <v>45955</v>
      </c>
      <c r="C10324" s="2">
        <v>8.3333333333333329E-2</v>
      </c>
      <c r="D10324">
        <v>3</v>
      </c>
      <c r="E10324">
        <v>8.4</v>
      </c>
      <c r="F10324">
        <v>79</v>
      </c>
    </row>
    <row r="10325" spans="1:6" x14ac:dyDescent="0.35">
      <c r="A10325">
        <v>1975</v>
      </c>
      <c r="B10325" s="1">
        <v>45955</v>
      </c>
      <c r="C10325" s="2">
        <v>0.125</v>
      </c>
      <c r="D10325">
        <v>3</v>
      </c>
      <c r="E10325">
        <v>8.6999999999999993</v>
      </c>
      <c r="F10325">
        <v>78</v>
      </c>
    </row>
    <row r="10326" spans="1:6" x14ac:dyDescent="0.35">
      <c r="A10326">
        <v>1975</v>
      </c>
      <c r="B10326" s="1">
        <v>45955</v>
      </c>
      <c r="C10326" s="2">
        <v>0.16666666666666671</v>
      </c>
      <c r="D10326">
        <v>3</v>
      </c>
      <c r="E10326">
        <v>8.6</v>
      </c>
      <c r="F10326">
        <v>79</v>
      </c>
    </row>
    <row r="10327" spans="1:6" x14ac:dyDescent="0.35">
      <c r="A10327">
        <v>1975</v>
      </c>
      <c r="B10327" s="1">
        <v>45955</v>
      </c>
      <c r="C10327" s="2">
        <v>0.20833333333333329</v>
      </c>
      <c r="D10327">
        <v>3</v>
      </c>
      <c r="E10327">
        <v>8.6</v>
      </c>
      <c r="F10327">
        <v>79</v>
      </c>
    </row>
    <row r="10328" spans="1:6" x14ac:dyDescent="0.35">
      <c r="A10328">
        <v>1975</v>
      </c>
      <c r="B10328" s="1">
        <v>45955</v>
      </c>
      <c r="C10328" s="2">
        <v>0.25</v>
      </c>
      <c r="D10328">
        <v>3</v>
      </c>
      <c r="E10328">
        <v>8.6</v>
      </c>
      <c r="F10328">
        <v>81</v>
      </c>
    </row>
    <row r="10329" spans="1:6" x14ac:dyDescent="0.35">
      <c r="A10329">
        <v>1975</v>
      </c>
      <c r="B10329" s="1">
        <v>45955</v>
      </c>
      <c r="C10329" s="2">
        <v>0.29166666666666669</v>
      </c>
      <c r="D10329">
        <v>3</v>
      </c>
      <c r="E10329">
        <v>8.1</v>
      </c>
      <c r="F10329">
        <v>90</v>
      </c>
    </row>
    <row r="10330" spans="1:6" x14ac:dyDescent="0.35">
      <c r="A10330">
        <v>1975</v>
      </c>
      <c r="B10330" s="1">
        <v>45955</v>
      </c>
      <c r="C10330" s="2">
        <v>0.33333333333333331</v>
      </c>
      <c r="D10330">
        <v>3</v>
      </c>
      <c r="E10330">
        <v>8.8000000000000007</v>
      </c>
      <c r="F10330">
        <v>84</v>
      </c>
    </row>
    <row r="10331" spans="1:6" x14ac:dyDescent="0.35">
      <c r="A10331">
        <v>1975</v>
      </c>
      <c r="B10331" s="1">
        <v>45955</v>
      </c>
      <c r="C10331" s="2">
        <v>0.375</v>
      </c>
      <c r="D10331">
        <v>3</v>
      </c>
      <c r="E10331">
        <v>9.4</v>
      </c>
      <c r="F10331">
        <v>82</v>
      </c>
    </row>
    <row r="10332" spans="1:6" x14ac:dyDescent="0.35">
      <c r="A10332">
        <v>1975</v>
      </c>
      <c r="B10332" s="1">
        <v>45955</v>
      </c>
      <c r="C10332" s="2">
        <v>0.41666666666666669</v>
      </c>
      <c r="D10332">
        <v>3</v>
      </c>
      <c r="E10332">
        <v>9.5</v>
      </c>
      <c r="F10332">
        <v>83</v>
      </c>
    </row>
    <row r="10333" spans="1:6" x14ac:dyDescent="0.35">
      <c r="A10333">
        <v>1975</v>
      </c>
      <c r="B10333" s="1">
        <v>45955</v>
      </c>
      <c r="C10333" s="2">
        <v>0.45833333333333331</v>
      </c>
      <c r="D10333">
        <v>3</v>
      </c>
      <c r="E10333">
        <v>9.1999999999999993</v>
      </c>
      <c r="F10333">
        <v>89</v>
      </c>
    </row>
    <row r="10334" spans="1:6" x14ac:dyDescent="0.35">
      <c r="A10334">
        <v>1975</v>
      </c>
      <c r="B10334" s="1">
        <v>45955</v>
      </c>
      <c r="C10334" s="2">
        <v>0.5</v>
      </c>
      <c r="D10334">
        <v>3</v>
      </c>
      <c r="E10334">
        <v>9.1</v>
      </c>
      <c r="F10334">
        <v>92</v>
      </c>
    </row>
    <row r="10335" spans="1:6" x14ac:dyDescent="0.35">
      <c r="A10335">
        <v>1975</v>
      </c>
      <c r="B10335" s="1">
        <v>45955</v>
      </c>
      <c r="C10335" s="2">
        <v>0.54166666666666663</v>
      </c>
      <c r="D10335">
        <v>3</v>
      </c>
      <c r="E10335">
        <v>9.1999999999999993</v>
      </c>
      <c r="F10335">
        <v>94</v>
      </c>
    </row>
    <row r="10336" spans="1:6" x14ac:dyDescent="0.35">
      <c r="A10336">
        <v>1975</v>
      </c>
      <c r="B10336" s="1">
        <v>45955</v>
      </c>
      <c r="C10336" s="2">
        <v>0.58333333333333337</v>
      </c>
      <c r="D10336">
        <v>3</v>
      </c>
      <c r="E10336">
        <v>9.8000000000000007</v>
      </c>
      <c r="F10336">
        <v>93</v>
      </c>
    </row>
    <row r="10337" spans="1:6" x14ac:dyDescent="0.35">
      <c r="A10337">
        <v>1975</v>
      </c>
      <c r="B10337" s="1">
        <v>45955</v>
      </c>
      <c r="C10337" s="2">
        <v>0.625</v>
      </c>
      <c r="D10337">
        <v>3</v>
      </c>
      <c r="E10337">
        <v>10.1</v>
      </c>
      <c r="F10337">
        <v>94</v>
      </c>
    </row>
    <row r="10338" spans="1:6" x14ac:dyDescent="0.35">
      <c r="A10338">
        <v>1975</v>
      </c>
      <c r="B10338" s="1">
        <v>45955</v>
      </c>
      <c r="C10338" s="2">
        <v>0.66666666666666663</v>
      </c>
      <c r="D10338">
        <v>3</v>
      </c>
      <c r="E10338">
        <v>10.199999999999999</v>
      </c>
      <c r="F10338">
        <v>92</v>
      </c>
    </row>
    <row r="10339" spans="1:6" x14ac:dyDescent="0.35">
      <c r="A10339">
        <v>1975</v>
      </c>
      <c r="B10339" s="1">
        <v>45955</v>
      </c>
      <c r="C10339" s="2">
        <v>0.70833333333333337</v>
      </c>
      <c r="D10339">
        <v>3</v>
      </c>
      <c r="E10339">
        <v>10.1</v>
      </c>
      <c r="F10339">
        <v>91</v>
      </c>
    </row>
    <row r="10340" spans="1:6" x14ac:dyDescent="0.35">
      <c r="A10340">
        <v>1975</v>
      </c>
      <c r="B10340" s="1">
        <v>45955</v>
      </c>
      <c r="C10340" s="2">
        <v>0.75</v>
      </c>
      <c r="D10340">
        <v>3</v>
      </c>
      <c r="E10340">
        <v>9.8000000000000007</v>
      </c>
      <c r="F10340">
        <v>91</v>
      </c>
    </row>
    <row r="10341" spans="1:6" x14ac:dyDescent="0.35">
      <c r="A10341">
        <v>1975</v>
      </c>
      <c r="B10341" s="1">
        <v>45955</v>
      </c>
      <c r="C10341" s="2">
        <v>0.79166666666666663</v>
      </c>
      <c r="D10341">
        <v>3</v>
      </c>
      <c r="E10341">
        <v>9.6</v>
      </c>
      <c r="F10341">
        <v>89</v>
      </c>
    </row>
    <row r="10342" spans="1:6" x14ac:dyDescent="0.35">
      <c r="A10342">
        <v>1975</v>
      </c>
      <c r="B10342" s="1">
        <v>45955</v>
      </c>
      <c r="C10342" s="2">
        <v>0.83333333333333337</v>
      </c>
      <c r="D10342">
        <v>3</v>
      </c>
      <c r="E10342">
        <v>9</v>
      </c>
      <c r="F10342">
        <v>87</v>
      </c>
    </row>
    <row r="10343" spans="1:6" x14ac:dyDescent="0.35">
      <c r="A10343">
        <v>1975</v>
      </c>
      <c r="B10343" s="1">
        <v>45955</v>
      </c>
      <c r="C10343" s="2">
        <v>0.875</v>
      </c>
      <c r="D10343">
        <v>3</v>
      </c>
      <c r="E10343">
        <v>8.1</v>
      </c>
      <c r="F10343">
        <v>87</v>
      </c>
    </row>
    <row r="10344" spans="1:6" x14ac:dyDescent="0.35">
      <c r="A10344">
        <v>1975</v>
      </c>
      <c r="B10344" s="1">
        <v>45955</v>
      </c>
      <c r="C10344" s="2">
        <v>0.91666666666666663</v>
      </c>
      <c r="D10344">
        <v>3</v>
      </c>
      <c r="E10344">
        <v>7.8</v>
      </c>
      <c r="F10344">
        <v>86</v>
      </c>
    </row>
    <row r="10345" spans="1:6" x14ac:dyDescent="0.35">
      <c r="A10345">
        <v>1975</v>
      </c>
      <c r="B10345" s="1">
        <v>45955</v>
      </c>
      <c r="C10345" s="2">
        <v>0.95833333333333337</v>
      </c>
      <c r="D10345">
        <v>3</v>
      </c>
      <c r="E10345">
        <v>7.3</v>
      </c>
      <c r="F10345">
        <v>86</v>
      </c>
    </row>
    <row r="10346" spans="1:6" x14ac:dyDescent="0.35">
      <c r="A10346">
        <v>1975</v>
      </c>
      <c r="B10346" s="1">
        <v>45956</v>
      </c>
      <c r="C10346" s="2">
        <v>0</v>
      </c>
      <c r="D10346">
        <v>3</v>
      </c>
      <c r="E10346">
        <v>6.9</v>
      </c>
      <c r="F10346">
        <v>85</v>
      </c>
    </row>
    <row r="10347" spans="1:6" x14ac:dyDescent="0.35">
      <c r="A10347">
        <v>1975</v>
      </c>
      <c r="B10347" s="1">
        <v>45956</v>
      </c>
      <c r="C10347" s="2">
        <v>4.1666666666666657E-2</v>
      </c>
      <c r="D10347">
        <v>3</v>
      </c>
      <c r="E10347">
        <v>6.4</v>
      </c>
      <c r="F10347">
        <v>87</v>
      </c>
    </row>
    <row r="10348" spans="1:6" x14ac:dyDescent="0.35">
      <c r="A10348">
        <v>1975</v>
      </c>
      <c r="B10348" s="1">
        <v>45956</v>
      </c>
      <c r="C10348" s="2">
        <v>8.3333333333333329E-2</v>
      </c>
      <c r="D10348">
        <v>3</v>
      </c>
      <c r="E10348">
        <v>6.2</v>
      </c>
      <c r="F10348">
        <v>87</v>
      </c>
    </row>
    <row r="10349" spans="1:6" x14ac:dyDescent="0.35">
      <c r="A10349">
        <v>1975</v>
      </c>
      <c r="B10349" s="1">
        <v>45956</v>
      </c>
      <c r="C10349" s="2">
        <v>0.125</v>
      </c>
      <c r="D10349">
        <v>3</v>
      </c>
      <c r="E10349">
        <v>6.3</v>
      </c>
      <c r="F10349">
        <v>85</v>
      </c>
    </row>
    <row r="10350" spans="1:6" x14ac:dyDescent="0.35">
      <c r="A10350">
        <v>1975</v>
      </c>
      <c r="B10350" s="1">
        <v>45956</v>
      </c>
      <c r="C10350" s="2">
        <v>0.16666666666666671</v>
      </c>
      <c r="D10350">
        <v>3</v>
      </c>
      <c r="E10350">
        <v>5.9</v>
      </c>
      <c r="F10350">
        <v>85</v>
      </c>
    </row>
    <row r="10351" spans="1:6" x14ac:dyDescent="0.35">
      <c r="A10351">
        <v>1975</v>
      </c>
      <c r="B10351" s="1">
        <v>45956</v>
      </c>
      <c r="C10351" s="2">
        <v>0.20833333333333329</v>
      </c>
      <c r="D10351">
        <v>3</v>
      </c>
      <c r="E10351">
        <v>5.7</v>
      </c>
      <c r="F10351">
        <v>83</v>
      </c>
    </row>
    <row r="10352" spans="1:6" x14ac:dyDescent="0.35">
      <c r="A10352">
        <v>1975</v>
      </c>
      <c r="B10352" s="1">
        <v>45956</v>
      </c>
      <c r="C10352" s="2">
        <v>0.25</v>
      </c>
      <c r="D10352">
        <v>3</v>
      </c>
      <c r="E10352">
        <v>6.1</v>
      </c>
      <c r="F10352">
        <v>83</v>
      </c>
    </row>
    <row r="10353" spans="1:6" x14ac:dyDescent="0.35">
      <c r="A10353">
        <v>1975</v>
      </c>
      <c r="B10353" s="1">
        <v>45956</v>
      </c>
      <c r="C10353" s="2">
        <v>0.29166666666666669</v>
      </c>
      <c r="D10353">
        <v>3</v>
      </c>
      <c r="E10353">
        <v>5.3</v>
      </c>
      <c r="F10353">
        <v>90</v>
      </c>
    </row>
    <row r="10354" spans="1:6" x14ac:dyDescent="0.35">
      <c r="A10354">
        <v>1975</v>
      </c>
      <c r="B10354" s="1">
        <v>45956</v>
      </c>
      <c r="C10354" s="2">
        <v>0.33333333333333331</v>
      </c>
      <c r="D10354">
        <v>3</v>
      </c>
      <c r="E10354">
        <v>4.9000000000000004</v>
      </c>
      <c r="F10354">
        <v>91</v>
      </c>
    </row>
    <row r="10355" spans="1:6" x14ac:dyDescent="0.35">
      <c r="A10355">
        <v>1975</v>
      </c>
      <c r="B10355" s="1">
        <v>45956</v>
      </c>
      <c r="C10355" s="2">
        <v>0.375</v>
      </c>
      <c r="D10355">
        <v>3</v>
      </c>
      <c r="E10355">
        <v>5</v>
      </c>
      <c r="F10355">
        <v>95</v>
      </c>
    </row>
    <row r="10356" spans="1:6" x14ac:dyDescent="0.35">
      <c r="A10356">
        <v>1975</v>
      </c>
      <c r="B10356" s="1">
        <v>45956</v>
      </c>
      <c r="C10356" s="2">
        <v>0.41666666666666669</v>
      </c>
      <c r="D10356">
        <v>3</v>
      </c>
      <c r="E10356">
        <v>7</v>
      </c>
      <c r="F10356">
        <v>98</v>
      </c>
    </row>
    <row r="10357" spans="1:6" x14ac:dyDescent="0.35">
      <c r="A10357">
        <v>1975</v>
      </c>
      <c r="B10357" s="1">
        <v>45956</v>
      </c>
      <c r="C10357" s="2">
        <v>0.45833333333333331</v>
      </c>
      <c r="D10357">
        <v>3</v>
      </c>
      <c r="E10357">
        <v>10.4</v>
      </c>
      <c r="F10357">
        <v>94</v>
      </c>
    </row>
    <row r="10358" spans="1:6" x14ac:dyDescent="0.35">
      <c r="A10358">
        <v>1975</v>
      </c>
      <c r="B10358" s="1">
        <v>45956</v>
      </c>
      <c r="C10358" s="2">
        <v>0.5</v>
      </c>
      <c r="D10358">
        <v>3</v>
      </c>
      <c r="E10358">
        <v>10.5</v>
      </c>
      <c r="F10358">
        <v>91</v>
      </c>
    </row>
    <row r="10359" spans="1:6" x14ac:dyDescent="0.35">
      <c r="A10359">
        <v>1975</v>
      </c>
      <c r="B10359" s="1">
        <v>45956</v>
      </c>
      <c r="C10359" s="2">
        <v>0.54166666666666663</v>
      </c>
      <c r="D10359">
        <v>3</v>
      </c>
      <c r="E10359">
        <v>10</v>
      </c>
      <c r="F10359">
        <v>94</v>
      </c>
    </row>
    <row r="10360" spans="1:6" x14ac:dyDescent="0.35">
      <c r="A10360">
        <v>1975</v>
      </c>
      <c r="B10360" s="1">
        <v>45956</v>
      </c>
      <c r="C10360" s="2">
        <v>0.58333333333333337</v>
      </c>
      <c r="D10360">
        <v>3</v>
      </c>
      <c r="E10360">
        <v>9.9</v>
      </c>
      <c r="F10360">
        <v>95</v>
      </c>
    </row>
    <row r="10361" spans="1:6" x14ac:dyDescent="0.35">
      <c r="A10361">
        <v>1975</v>
      </c>
      <c r="B10361" s="1">
        <v>45956</v>
      </c>
      <c r="C10361" s="2">
        <v>0.625</v>
      </c>
      <c r="D10361">
        <v>3</v>
      </c>
      <c r="E10361">
        <v>9.9</v>
      </c>
      <c r="F10361">
        <v>86</v>
      </c>
    </row>
    <row r="10362" spans="1:6" x14ac:dyDescent="0.35">
      <c r="A10362">
        <v>1975</v>
      </c>
      <c r="B10362" s="1">
        <v>45956</v>
      </c>
      <c r="C10362" s="2">
        <v>0.66666666666666663</v>
      </c>
      <c r="D10362">
        <v>3</v>
      </c>
      <c r="E10362">
        <v>8.9</v>
      </c>
      <c r="F10362">
        <v>91</v>
      </c>
    </row>
    <row r="10363" spans="1:6" x14ac:dyDescent="0.35">
      <c r="A10363">
        <v>1975</v>
      </c>
      <c r="B10363" s="1">
        <v>45956</v>
      </c>
      <c r="C10363" s="2">
        <v>0.70833333333333337</v>
      </c>
      <c r="D10363">
        <v>3</v>
      </c>
      <c r="E10363">
        <v>8.8000000000000007</v>
      </c>
      <c r="F10363">
        <v>92</v>
      </c>
    </row>
    <row r="10364" spans="1:6" x14ac:dyDescent="0.35">
      <c r="A10364">
        <v>1975</v>
      </c>
      <c r="B10364" s="1">
        <v>45956</v>
      </c>
      <c r="C10364" s="2">
        <v>0.75</v>
      </c>
      <c r="D10364">
        <v>3</v>
      </c>
      <c r="E10364">
        <v>8.5</v>
      </c>
      <c r="F10364">
        <v>89</v>
      </c>
    </row>
    <row r="10365" spans="1:6" x14ac:dyDescent="0.35">
      <c r="A10365">
        <v>1975</v>
      </c>
      <c r="B10365" s="1">
        <v>45956</v>
      </c>
      <c r="C10365" s="2">
        <v>0.79166666666666663</v>
      </c>
      <c r="D10365">
        <v>3</v>
      </c>
      <c r="E10365">
        <v>8.3000000000000007</v>
      </c>
      <c r="F10365">
        <v>84</v>
      </c>
    </row>
    <row r="10366" spans="1:6" x14ac:dyDescent="0.35">
      <c r="A10366">
        <v>1975</v>
      </c>
      <c r="B10366" s="1">
        <v>45956</v>
      </c>
      <c r="C10366" s="2">
        <v>0.83333333333333337</v>
      </c>
      <c r="D10366">
        <v>3</v>
      </c>
      <c r="E10366">
        <v>7.9</v>
      </c>
      <c r="F10366">
        <v>86</v>
      </c>
    </row>
    <row r="10367" spans="1:6" x14ac:dyDescent="0.35">
      <c r="A10367">
        <v>1975</v>
      </c>
      <c r="B10367" s="1">
        <v>45956</v>
      </c>
      <c r="C10367" s="2">
        <v>0.875</v>
      </c>
      <c r="D10367">
        <v>3</v>
      </c>
      <c r="E10367">
        <v>7.4</v>
      </c>
      <c r="F10367">
        <v>88</v>
      </c>
    </row>
    <row r="10368" spans="1:6" x14ac:dyDescent="0.35">
      <c r="A10368">
        <v>1975</v>
      </c>
      <c r="B10368" s="1">
        <v>45956</v>
      </c>
      <c r="C10368" s="2">
        <v>0.91666666666666663</v>
      </c>
      <c r="D10368">
        <v>3</v>
      </c>
      <c r="E10368">
        <v>7.3</v>
      </c>
      <c r="F10368">
        <v>85</v>
      </c>
    </row>
    <row r="10369" spans="1:6" x14ac:dyDescent="0.35">
      <c r="A10369">
        <v>1975</v>
      </c>
      <c r="B10369" s="1">
        <v>45956</v>
      </c>
      <c r="C10369" s="2">
        <v>0.95833333333333337</v>
      </c>
      <c r="D10369">
        <v>3</v>
      </c>
      <c r="E10369">
        <v>7</v>
      </c>
      <c r="F10369">
        <v>87</v>
      </c>
    </row>
    <row r="10370" spans="1:6" x14ac:dyDescent="0.35">
      <c r="A10370">
        <v>1975</v>
      </c>
      <c r="B10370" s="1">
        <v>45957</v>
      </c>
      <c r="C10370" s="2">
        <v>0</v>
      </c>
      <c r="D10370">
        <v>3</v>
      </c>
      <c r="E10370">
        <v>6.9</v>
      </c>
      <c r="F10370">
        <v>82</v>
      </c>
    </row>
    <row r="10371" spans="1:6" x14ac:dyDescent="0.35">
      <c r="A10371">
        <v>1975</v>
      </c>
      <c r="B10371" s="1">
        <v>45957</v>
      </c>
      <c r="C10371" s="2">
        <v>4.1666666666666657E-2</v>
      </c>
      <c r="D10371">
        <v>3</v>
      </c>
      <c r="E10371">
        <v>6.2</v>
      </c>
      <c r="F10371">
        <v>92</v>
      </c>
    </row>
    <row r="10372" spans="1:6" x14ac:dyDescent="0.35">
      <c r="A10372">
        <v>1975</v>
      </c>
      <c r="B10372" s="1">
        <v>45957</v>
      </c>
      <c r="C10372" s="2">
        <v>8.3333333333333329E-2</v>
      </c>
      <c r="D10372">
        <v>3</v>
      </c>
      <c r="E10372">
        <v>6.1</v>
      </c>
      <c r="F10372">
        <v>95</v>
      </c>
    </row>
    <row r="10373" spans="1:6" x14ac:dyDescent="0.35">
      <c r="A10373">
        <v>1975</v>
      </c>
      <c r="B10373" s="1">
        <v>45957</v>
      </c>
      <c r="C10373" s="2">
        <v>0.125</v>
      </c>
      <c r="D10373">
        <v>3</v>
      </c>
      <c r="E10373">
        <v>6.6</v>
      </c>
      <c r="F10373">
        <v>94</v>
      </c>
    </row>
    <row r="10374" spans="1:6" x14ac:dyDescent="0.35">
      <c r="A10374">
        <v>1975</v>
      </c>
      <c r="B10374" s="1">
        <v>45957</v>
      </c>
      <c r="C10374" s="2">
        <v>0.16666666666666671</v>
      </c>
      <c r="D10374">
        <v>3</v>
      </c>
      <c r="E10374">
        <v>6.8</v>
      </c>
      <c r="F10374">
        <v>95</v>
      </c>
    </row>
    <row r="10375" spans="1:6" x14ac:dyDescent="0.35">
      <c r="A10375">
        <v>1975</v>
      </c>
      <c r="B10375" s="1">
        <v>45957</v>
      </c>
      <c r="C10375" s="2">
        <v>0.20833333333333329</v>
      </c>
      <c r="D10375">
        <v>3</v>
      </c>
      <c r="E10375">
        <v>7.1</v>
      </c>
      <c r="F10375">
        <v>95</v>
      </c>
    </row>
    <row r="10376" spans="1:6" x14ac:dyDescent="0.35">
      <c r="A10376">
        <v>1975</v>
      </c>
      <c r="B10376" s="1">
        <v>45957</v>
      </c>
      <c r="C10376" s="2">
        <v>0.25</v>
      </c>
      <c r="D10376">
        <v>3</v>
      </c>
      <c r="E10376">
        <v>7.3</v>
      </c>
      <c r="F10376">
        <v>96</v>
      </c>
    </row>
    <row r="10377" spans="1:6" x14ac:dyDescent="0.35">
      <c r="A10377">
        <v>1975</v>
      </c>
      <c r="B10377" s="1">
        <v>45957</v>
      </c>
      <c r="C10377" s="2">
        <v>0.29166666666666669</v>
      </c>
      <c r="D10377">
        <v>3</v>
      </c>
      <c r="E10377">
        <v>7.7</v>
      </c>
      <c r="F10377">
        <v>94</v>
      </c>
    </row>
    <row r="10378" spans="1:6" x14ac:dyDescent="0.35">
      <c r="A10378">
        <v>1975</v>
      </c>
      <c r="B10378" s="1">
        <v>45957</v>
      </c>
      <c r="C10378" s="2">
        <v>0.33333333333333331</v>
      </c>
      <c r="D10378">
        <v>3</v>
      </c>
      <c r="E10378">
        <v>8.1999999999999993</v>
      </c>
      <c r="F10378">
        <v>89</v>
      </c>
    </row>
    <row r="10379" spans="1:6" x14ac:dyDescent="0.35">
      <c r="A10379">
        <v>1975</v>
      </c>
      <c r="B10379" s="1">
        <v>45957</v>
      </c>
      <c r="C10379" s="2">
        <v>0.375</v>
      </c>
      <c r="D10379">
        <v>3</v>
      </c>
      <c r="E10379">
        <v>8.5</v>
      </c>
      <c r="F10379">
        <v>90</v>
      </c>
    </row>
    <row r="10380" spans="1:6" x14ac:dyDescent="0.35">
      <c r="A10380">
        <v>1975</v>
      </c>
      <c r="B10380" s="1">
        <v>45957</v>
      </c>
      <c r="C10380" s="2">
        <v>0.41666666666666669</v>
      </c>
      <c r="D10380">
        <v>3</v>
      </c>
      <c r="E10380">
        <v>8.9</v>
      </c>
      <c r="F10380">
        <v>89</v>
      </c>
    </row>
    <row r="10381" spans="1:6" x14ac:dyDescent="0.35">
      <c r="A10381">
        <v>1975</v>
      </c>
      <c r="B10381" s="1">
        <v>45957</v>
      </c>
      <c r="C10381" s="2">
        <v>0.45833333333333331</v>
      </c>
      <c r="D10381">
        <v>3</v>
      </c>
      <c r="E10381">
        <v>8.8000000000000007</v>
      </c>
      <c r="F10381">
        <v>87</v>
      </c>
    </row>
    <row r="10382" spans="1:6" x14ac:dyDescent="0.35">
      <c r="A10382">
        <v>1975</v>
      </c>
      <c r="B10382" s="1">
        <v>45957</v>
      </c>
      <c r="C10382" s="2">
        <v>0.5</v>
      </c>
      <c r="D10382">
        <v>3</v>
      </c>
      <c r="E10382">
        <v>10.199999999999999</v>
      </c>
      <c r="F10382">
        <v>83</v>
      </c>
    </row>
    <row r="10383" spans="1:6" x14ac:dyDescent="0.35">
      <c r="A10383">
        <v>1975</v>
      </c>
      <c r="B10383" s="1">
        <v>45957</v>
      </c>
      <c r="C10383" s="2">
        <v>0.54166666666666663</v>
      </c>
      <c r="D10383">
        <v>3</v>
      </c>
      <c r="E10383">
        <v>9.6</v>
      </c>
      <c r="F10383">
        <v>87</v>
      </c>
    </row>
    <row r="10384" spans="1:6" x14ac:dyDescent="0.35">
      <c r="A10384">
        <v>1975</v>
      </c>
      <c r="B10384" s="1">
        <v>45957</v>
      </c>
      <c r="C10384" s="2">
        <v>0.58333333333333337</v>
      </c>
      <c r="D10384">
        <v>3</v>
      </c>
      <c r="E10384">
        <v>10.1</v>
      </c>
      <c r="F10384">
        <v>77</v>
      </c>
    </row>
    <row r="10385" spans="1:6" x14ac:dyDescent="0.35">
      <c r="A10385">
        <v>1975</v>
      </c>
      <c r="B10385" s="1">
        <v>45957</v>
      </c>
      <c r="C10385" s="2">
        <v>0.625</v>
      </c>
      <c r="D10385">
        <v>3</v>
      </c>
      <c r="E10385">
        <v>9</v>
      </c>
      <c r="F10385">
        <v>87</v>
      </c>
    </row>
    <row r="10386" spans="1:6" x14ac:dyDescent="0.35">
      <c r="A10386">
        <v>1975</v>
      </c>
      <c r="B10386" s="1">
        <v>45957</v>
      </c>
      <c r="C10386" s="2">
        <v>0.66666666666666663</v>
      </c>
      <c r="D10386">
        <v>3</v>
      </c>
      <c r="E10386">
        <v>8.1</v>
      </c>
      <c r="F10386">
        <v>86</v>
      </c>
    </row>
    <row r="10387" spans="1:6" x14ac:dyDescent="0.35">
      <c r="A10387">
        <v>1975</v>
      </c>
      <c r="B10387" s="1">
        <v>45957</v>
      </c>
      <c r="C10387" s="2">
        <v>0.70833333333333337</v>
      </c>
      <c r="D10387">
        <v>3</v>
      </c>
      <c r="E10387">
        <v>8</v>
      </c>
      <c r="F10387">
        <v>88</v>
      </c>
    </row>
    <row r="10388" spans="1:6" x14ac:dyDescent="0.35">
      <c r="A10388">
        <v>1975</v>
      </c>
      <c r="B10388" s="1">
        <v>45957</v>
      </c>
      <c r="C10388" s="2">
        <v>0.75</v>
      </c>
      <c r="D10388">
        <v>3</v>
      </c>
      <c r="E10388">
        <v>7.9</v>
      </c>
      <c r="F10388">
        <v>88</v>
      </c>
    </row>
    <row r="10389" spans="1:6" x14ac:dyDescent="0.35">
      <c r="A10389">
        <v>1975</v>
      </c>
      <c r="B10389" s="1">
        <v>45957</v>
      </c>
      <c r="C10389" s="2">
        <v>0.79166666666666663</v>
      </c>
      <c r="D10389">
        <v>3</v>
      </c>
      <c r="E10389">
        <v>7.8</v>
      </c>
      <c r="F10389">
        <v>90</v>
      </c>
    </row>
    <row r="10390" spans="1:6" x14ac:dyDescent="0.35">
      <c r="A10390">
        <v>1975</v>
      </c>
      <c r="B10390" s="1">
        <v>45957</v>
      </c>
      <c r="C10390" s="2">
        <v>0.83333333333333337</v>
      </c>
      <c r="D10390">
        <v>3</v>
      </c>
      <c r="E10390">
        <v>7.9</v>
      </c>
      <c r="F10390">
        <v>93</v>
      </c>
    </row>
    <row r="10391" spans="1:6" x14ac:dyDescent="0.35">
      <c r="A10391">
        <v>1975</v>
      </c>
      <c r="B10391" s="1">
        <v>45957</v>
      </c>
      <c r="C10391" s="2">
        <v>0.875</v>
      </c>
      <c r="D10391">
        <v>3</v>
      </c>
      <c r="E10391">
        <v>8.1</v>
      </c>
      <c r="F10391">
        <v>92</v>
      </c>
    </row>
    <row r="10392" spans="1:6" x14ac:dyDescent="0.35">
      <c r="A10392">
        <v>1975</v>
      </c>
      <c r="B10392" s="1">
        <v>45957</v>
      </c>
      <c r="C10392" s="2">
        <v>0.91666666666666663</v>
      </c>
      <c r="D10392">
        <v>3</v>
      </c>
      <c r="E10392">
        <v>7.8</v>
      </c>
      <c r="F10392">
        <v>92</v>
      </c>
    </row>
    <row r="10393" spans="1:6" x14ac:dyDescent="0.35">
      <c r="A10393">
        <v>1975</v>
      </c>
      <c r="B10393" s="1">
        <v>45957</v>
      </c>
      <c r="C10393" s="2">
        <v>0.95833333333333337</v>
      </c>
      <c r="D10393">
        <v>3</v>
      </c>
      <c r="E10393">
        <v>7.8</v>
      </c>
      <c r="F10393">
        <v>90</v>
      </c>
    </row>
    <row r="10394" spans="1:6" x14ac:dyDescent="0.35">
      <c r="A10394">
        <v>1975</v>
      </c>
      <c r="B10394" s="1">
        <v>45958</v>
      </c>
      <c r="C10394" s="2">
        <v>0</v>
      </c>
      <c r="D10394">
        <v>3</v>
      </c>
      <c r="E10394">
        <v>7.7</v>
      </c>
      <c r="F10394">
        <v>90</v>
      </c>
    </row>
    <row r="10395" spans="1:6" x14ac:dyDescent="0.35">
      <c r="A10395">
        <v>1975</v>
      </c>
      <c r="B10395" s="1">
        <v>45958</v>
      </c>
      <c r="C10395" s="2">
        <v>4.1666666666666657E-2</v>
      </c>
      <c r="D10395">
        <v>3</v>
      </c>
      <c r="E10395">
        <v>7.3</v>
      </c>
      <c r="F10395">
        <v>90</v>
      </c>
    </row>
    <row r="10396" spans="1:6" x14ac:dyDescent="0.35">
      <c r="A10396">
        <v>1975</v>
      </c>
      <c r="B10396" s="1">
        <v>45958</v>
      </c>
      <c r="C10396" s="2">
        <v>8.3333333333333329E-2</v>
      </c>
      <c r="D10396">
        <v>3</v>
      </c>
      <c r="E10396">
        <v>7.2</v>
      </c>
      <c r="F10396">
        <v>91</v>
      </c>
    </row>
    <row r="10397" spans="1:6" x14ac:dyDescent="0.35">
      <c r="A10397">
        <v>1975</v>
      </c>
      <c r="B10397" s="1">
        <v>45958</v>
      </c>
      <c r="C10397" s="2">
        <v>0.125</v>
      </c>
      <c r="D10397">
        <v>3</v>
      </c>
      <c r="E10397">
        <v>7.2</v>
      </c>
      <c r="F10397">
        <v>92</v>
      </c>
    </row>
    <row r="10398" spans="1:6" x14ac:dyDescent="0.35">
      <c r="A10398">
        <v>1975</v>
      </c>
      <c r="B10398" s="1">
        <v>45958</v>
      </c>
      <c r="C10398" s="2">
        <v>0.16666666666666671</v>
      </c>
      <c r="D10398">
        <v>3</v>
      </c>
      <c r="E10398">
        <v>6.6</v>
      </c>
      <c r="F10398">
        <v>92</v>
      </c>
    </row>
    <row r="10399" spans="1:6" x14ac:dyDescent="0.35">
      <c r="A10399">
        <v>1975</v>
      </c>
      <c r="B10399" s="1">
        <v>45958</v>
      </c>
      <c r="C10399" s="2">
        <v>0.20833333333333329</v>
      </c>
      <c r="D10399">
        <v>3</v>
      </c>
      <c r="E10399">
        <v>6.5</v>
      </c>
      <c r="F10399">
        <v>91</v>
      </c>
    </row>
    <row r="10400" spans="1:6" x14ac:dyDescent="0.35">
      <c r="A10400">
        <v>1975</v>
      </c>
      <c r="B10400" s="1">
        <v>45958</v>
      </c>
      <c r="C10400" s="2">
        <v>0.25</v>
      </c>
      <c r="D10400">
        <v>3</v>
      </c>
      <c r="E10400">
        <v>6.4</v>
      </c>
      <c r="F10400">
        <v>90</v>
      </c>
    </row>
    <row r="10401" spans="1:6" x14ac:dyDescent="0.35">
      <c r="A10401">
        <v>1975</v>
      </c>
      <c r="B10401" s="1">
        <v>45958</v>
      </c>
      <c r="C10401" s="2">
        <v>0.29166666666666669</v>
      </c>
      <c r="D10401">
        <v>3</v>
      </c>
      <c r="E10401">
        <v>6.6</v>
      </c>
      <c r="F10401">
        <v>90</v>
      </c>
    </row>
    <row r="10402" spans="1:6" x14ac:dyDescent="0.35">
      <c r="A10402">
        <v>1975</v>
      </c>
      <c r="B10402" s="1">
        <v>45958</v>
      </c>
      <c r="C10402" s="2">
        <v>0.33333333333333331</v>
      </c>
      <c r="D10402">
        <v>3</v>
      </c>
      <c r="E10402">
        <v>6.5</v>
      </c>
      <c r="F10402">
        <v>94</v>
      </c>
    </row>
    <row r="10403" spans="1:6" x14ac:dyDescent="0.35">
      <c r="A10403">
        <v>1975</v>
      </c>
      <c r="B10403" s="1">
        <v>45958</v>
      </c>
      <c r="C10403" s="2">
        <v>0.375</v>
      </c>
      <c r="D10403">
        <v>3</v>
      </c>
      <c r="E10403">
        <v>6.9</v>
      </c>
      <c r="F10403">
        <v>94</v>
      </c>
    </row>
    <row r="10404" spans="1:6" x14ac:dyDescent="0.35">
      <c r="A10404">
        <v>1975</v>
      </c>
      <c r="B10404" s="1">
        <v>45958</v>
      </c>
      <c r="C10404" s="2">
        <v>0.41666666666666669</v>
      </c>
      <c r="D10404">
        <v>3</v>
      </c>
      <c r="E10404">
        <v>7.2</v>
      </c>
      <c r="F10404">
        <v>97</v>
      </c>
    </row>
    <row r="10405" spans="1:6" x14ac:dyDescent="0.35">
      <c r="A10405">
        <v>1975</v>
      </c>
      <c r="B10405" s="1">
        <v>45958</v>
      </c>
      <c r="C10405" s="2">
        <v>0.45833333333333331</v>
      </c>
      <c r="D10405">
        <v>3</v>
      </c>
      <c r="E10405">
        <v>9.1</v>
      </c>
      <c r="F10405">
        <v>95</v>
      </c>
    </row>
    <row r="10406" spans="1:6" x14ac:dyDescent="0.35">
      <c r="A10406">
        <v>1975</v>
      </c>
      <c r="B10406" s="1">
        <v>45958</v>
      </c>
      <c r="C10406" s="2">
        <v>0.5</v>
      </c>
      <c r="D10406">
        <v>3</v>
      </c>
      <c r="E10406">
        <v>11.4</v>
      </c>
      <c r="F10406">
        <v>87</v>
      </c>
    </row>
    <row r="10407" spans="1:6" x14ac:dyDescent="0.35">
      <c r="A10407">
        <v>1975</v>
      </c>
      <c r="B10407" s="1">
        <v>45958</v>
      </c>
      <c r="C10407" s="2">
        <v>0.54166666666666663</v>
      </c>
      <c r="D10407">
        <v>3</v>
      </c>
      <c r="E10407">
        <v>10.6</v>
      </c>
      <c r="F10407">
        <v>85</v>
      </c>
    </row>
    <row r="10408" spans="1:6" x14ac:dyDescent="0.35">
      <c r="A10408">
        <v>1975</v>
      </c>
      <c r="B10408" s="1">
        <v>45958</v>
      </c>
      <c r="C10408" s="2">
        <v>0.58333333333333337</v>
      </c>
      <c r="D10408">
        <v>3</v>
      </c>
      <c r="E10408">
        <v>10</v>
      </c>
      <c r="F10408">
        <v>90</v>
      </c>
    </row>
    <row r="10409" spans="1:6" x14ac:dyDescent="0.35">
      <c r="A10409">
        <v>1975</v>
      </c>
      <c r="B10409" s="1">
        <v>45958</v>
      </c>
      <c r="C10409" s="2">
        <v>0.625</v>
      </c>
      <c r="D10409">
        <v>3</v>
      </c>
      <c r="E10409">
        <v>9.8000000000000007</v>
      </c>
      <c r="F10409">
        <v>92</v>
      </c>
    </row>
    <row r="10410" spans="1:6" x14ac:dyDescent="0.35">
      <c r="A10410">
        <v>1975</v>
      </c>
      <c r="B10410" s="1">
        <v>45958</v>
      </c>
      <c r="C10410" s="2">
        <v>0.66666666666666663</v>
      </c>
      <c r="D10410">
        <v>3</v>
      </c>
      <c r="E10410">
        <v>10.7</v>
      </c>
      <c r="F10410">
        <v>82</v>
      </c>
    </row>
    <row r="10411" spans="1:6" x14ac:dyDescent="0.35">
      <c r="A10411">
        <v>1975</v>
      </c>
      <c r="B10411" s="1">
        <v>45958</v>
      </c>
      <c r="C10411" s="2">
        <v>0.70833333333333337</v>
      </c>
      <c r="D10411">
        <v>3</v>
      </c>
      <c r="E10411">
        <v>10.3</v>
      </c>
      <c r="F10411">
        <v>83</v>
      </c>
    </row>
    <row r="10412" spans="1:6" x14ac:dyDescent="0.35">
      <c r="A10412">
        <v>1975</v>
      </c>
      <c r="B10412" s="1">
        <v>45958</v>
      </c>
      <c r="C10412" s="2">
        <v>0.75</v>
      </c>
      <c r="D10412">
        <v>3</v>
      </c>
      <c r="E10412">
        <v>9.8000000000000007</v>
      </c>
      <c r="F10412">
        <v>84</v>
      </c>
    </row>
    <row r="10413" spans="1:6" x14ac:dyDescent="0.35">
      <c r="A10413">
        <v>1975</v>
      </c>
      <c r="B10413" s="1">
        <v>45958</v>
      </c>
      <c r="C10413" s="2">
        <v>0.79166666666666663</v>
      </c>
      <c r="D10413">
        <v>3</v>
      </c>
      <c r="E10413">
        <v>9.9</v>
      </c>
      <c r="F10413">
        <v>85</v>
      </c>
    </row>
    <row r="10414" spans="1:6" x14ac:dyDescent="0.35">
      <c r="A10414">
        <v>1975</v>
      </c>
      <c r="B10414" s="1">
        <v>45958</v>
      </c>
      <c r="C10414" s="2">
        <v>0.83333333333333337</v>
      </c>
      <c r="D10414">
        <v>3</v>
      </c>
      <c r="E10414">
        <v>10.1</v>
      </c>
      <c r="F10414">
        <v>83</v>
      </c>
    </row>
    <row r="10415" spans="1:6" x14ac:dyDescent="0.35">
      <c r="A10415">
        <v>1975</v>
      </c>
      <c r="B10415" s="1">
        <v>45958</v>
      </c>
      <c r="C10415" s="2">
        <v>0.875</v>
      </c>
      <c r="D10415">
        <v>3</v>
      </c>
      <c r="E10415">
        <v>9.9</v>
      </c>
      <c r="F10415">
        <v>83</v>
      </c>
    </row>
    <row r="10416" spans="1:6" x14ac:dyDescent="0.35">
      <c r="A10416">
        <v>1975</v>
      </c>
      <c r="B10416" s="1">
        <v>45958</v>
      </c>
      <c r="C10416" s="2">
        <v>0.91666666666666663</v>
      </c>
      <c r="D10416">
        <v>3</v>
      </c>
      <c r="E10416">
        <v>9.6999999999999993</v>
      </c>
      <c r="F10416">
        <v>83</v>
      </c>
    </row>
    <row r="10417" spans="1:6" x14ac:dyDescent="0.35">
      <c r="A10417">
        <v>1975</v>
      </c>
      <c r="B10417" s="1">
        <v>45958</v>
      </c>
      <c r="C10417" s="2">
        <v>0.95833333333333337</v>
      </c>
      <c r="D10417">
        <v>3</v>
      </c>
      <c r="E10417">
        <v>9.5</v>
      </c>
      <c r="F10417">
        <v>82</v>
      </c>
    </row>
    <row r="10418" spans="1:6" x14ac:dyDescent="0.35">
      <c r="A10418">
        <v>1975</v>
      </c>
      <c r="B10418" s="1">
        <v>45959</v>
      </c>
      <c r="C10418" s="2">
        <v>0</v>
      </c>
      <c r="D10418">
        <v>3</v>
      </c>
      <c r="E10418">
        <v>9.6</v>
      </c>
      <c r="F10418">
        <v>82</v>
      </c>
    </row>
    <row r="10419" spans="1:6" x14ac:dyDescent="0.35">
      <c r="A10419">
        <v>1975</v>
      </c>
      <c r="B10419" s="1">
        <v>45959</v>
      </c>
      <c r="C10419" s="2">
        <v>4.1666666666666657E-2</v>
      </c>
      <c r="D10419">
        <v>3</v>
      </c>
      <c r="E10419">
        <v>9.5</v>
      </c>
      <c r="F10419">
        <v>82</v>
      </c>
    </row>
    <row r="10420" spans="1:6" x14ac:dyDescent="0.35">
      <c r="A10420">
        <v>1975</v>
      </c>
      <c r="B10420" s="1">
        <v>45959</v>
      </c>
      <c r="C10420" s="2">
        <v>8.3333333333333329E-2</v>
      </c>
      <c r="D10420">
        <v>3</v>
      </c>
      <c r="E10420">
        <v>9.1</v>
      </c>
      <c r="F10420">
        <v>83</v>
      </c>
    </row>
    <row r="10421" spans="1:6" x14ac:dyDescent="0.35">
      <c r="A10421">
        <v>1975</v>
      </c>
      <c r="B10421" s="1">
        <v>45959</v>
      </c>
      <c r="C10421" s="2">
        <v>0.125</v>
      </c>
      <c r="D10421">
        <v>3</v>
      </c>
      <c r="E10421">
        <v>8.8000000000000007</v>
      </c>
      <c r="F10421">
        <v>86</v>
      </c>
    </row>
    <row r="10422" spans="1:6" x14ac:dyDescent="0.35">
      <c r="A10422">
        <v>1975</v>
      </c>
      <c r="B10422" s="1">
        <v>45959</v>
      </c>
      <c r="C10422" s="2">
        <v>0.16666666666666671</v>
      </c>
      <c r="D10422">
        <v>3</v>
      </c>
      <c r="E10422">
        <v>7.3</v>
      </c>
      <c r="F10422">
        <v>93</v>
      </c>
    </row>
    <row r="10423" spans="1:6" x14ac:dyDescent="0.35">
      <c r="A10423">
        <v>1975</v>
      </c>
      <c r="B10423" s="1">
        <v>45959</v>
      </c>
      <c r="C10423" s="2">
        <v>0.20833333333333329</v>
      </c>
      <c r="D10423">
        <v>3</v>
      </c>
      <c r="E10423">
        <v>7.2</v>
      </c>
      <c r="F10423">
        <v>94</v>
      </c>
    </row>
    <row r="10424" spans="1:6" x14ac:dyDescent="0.35">
      <c r="A10424">
        <v>1975</v>
      </c>
      <c r="B10424" s="1">
        <v>45959</v>
      </c>
      <c r="C10424" s="2">
        <v>0.25</v>
      </c>
      <c r="D10424">
        <v>3</v>
      </c>
      <c r="E10424">
        <v>7.1</v>
      </c>
      <c r="F10424">
        <v>96</v>
      </c>
    </row>
    <row r="10425" spans="1:6" x14ac:dyDescent="0.35">
      <c r="A10425">
        <v>1975</v>
      </c>
      <c r="B10425" s="1">
        <v>45959</v>
      </c>
      <c r="C10425" s="2">
        <v>0.29166666666666669</v>
      </c>
      <c r="D10425">
        <v>3</v>
      </c>
      <c r="E10425">
        <v>8.4</v>
      </c>
      <c r="F10425">
        <v>92</v>
      </c>
    </row>
    <row r="10426" spans="1:6" x14ac:dyDescent="0.35">
      <c r="A10426">
        <v>1975</v>
      </c>
      <c r="B10426" s="1">
        <v>45959</v>
      </c>
      <c r="C10426" s="2">
        <v>0.33333333333333331</v>
      </c>
      <c r="D10426">
        <v>3</v>
      </c>
      <c r="E10426">
        <v>9.1</v>
      </c>
      <c r="F10426">
        <v>92</v>
      </c>
    </row>
    <row r="10427" spans="1:6" x14ac:dyDescent="0.35">
      <c r="A10427">
        <v>1975</v>
      </c>
      <c r="B10427" s="1">
        <v>45959</v>
      </c>
      <c r="C10427" s="2">
        <v>0.375</v>
      </c>
      <c r="D10427">
        <v>3</v>
      </c>
      <c r="E10427">
        <v>9.6</v>
      </c>
      <c r="F10427">
        <v>91</v>
      </c>
    </row>
    <row r="10428" spans="1:6" x14ac:dyDescent="0.35">
      <c r="A10428">
        <v>1975</v>
      </c>
      <c r="B10428" s="1">
        <v>45959</v>
      </c>
      <c r="C10428" s="2">
        <v>0.41666666666666669</v>
      </c>
      <c r="D10428">
        <v>3</v>
      </c>
      <c r="E10428">
        <v>10.5</v>
      </c>
      <c r="F10428">
        <v>86</v>
      </c>
    </row>
    <row r="10429" spans="1:6" x14ac:dyDescent="0.35">
      <c r="A10429">
        <v>1975</v>
      </c>
      <c r="B10429" s="1">
        <v>45959</v>
      </c>
      <c r="C10429" s="2">
        <v>0.45833333333333331</v>
      </c>
      <c r="D10429">
        <v>3</v>
      </c>
      <c r="E10429">
        <v>11.6</v>
      </c>
      <c r="F10429">
        <v>84</v>
      </c>
    </row>
    <row r="10430" spans="1:6" x14ac:dyDescent="0.35">
      <c r="A10430">
        <v>1975</v>
      </c>
      <c r="B10430" s="1">
        <v>45959</v>
      </c>
      <c r="C10430" s="2">
        <v>0.5</v>
      </c>
      <c r="D10430">
        <v>3</v>
      </c>
      <c r="E10430">
        <v>12</v>
      </c>
      <c r="F10430">
        <v>83</v>
      </c>
    </row>
    <row r="10431" spans="1:6" x14ac:dyDescent="0.35">
      <c r="A10431">
        <v>1975</v>
      </c>
      <c r="B10431" s="1">
        <v>45959</v>
      </c>
      <c r="C10431" s="2">
        <v>0.54166666666666663</v>
      </c>
      <c r="D10431">
        <v>3</v>
      </c>
      <c r="E10431">
        <v>12.5</v>
      </c>
      <c r="F10431">
        <v>81</v>
      </c>
    </row>
    <row r="10432" spans="1:6" x14ac:dyDescent="0.35">
      <c r="A10432">
        <v>1975</v>
      </c>
      <c r="B10432" s="1">
        <v>45959</v>
      </c>
      <c r="C10432" s="2">
        <v>0.58333333333333337</v>
      </c>
      <c r="D10432">
        <v>3</v>
      </c>
      <c r="E10432">
        <v>12.7</v>
      </c>
      <c r="F10432">
        <v>80</v>
      </c>
    </row>
    <row r="10433" spans="1:6" x14ac:dyDescent="0.35">
      <c r="A10433">
        <v>1975</v>
      </c>
      <c r="B10433" s="1">
        <v>45959</v>
      </c>
      <c r="C10433" s="2">
        <v>0.625</v>
      </c>
      <c r="D10433">
        <v>3</v>
      </c>
      <c r="E10433">
        <v>12.9</v>
      </c>
      <c r="F10433">
        <v>77</v>
      </c>
    </row>
    <row r="10434" spans="1:6" x14ac:dyDescent="0.35">
      <c r="A10434">
        <v>1975</v>
      </c>
      <c r="B10434" s="1">
        <v>45959</v>
      </c>
      <c r="C10434" s="2">
        <v>0.66666666666666663</v>
      </c>
      <c r="D10434">
        <v>3</v>
      </c>
      <c r="E10434">
        <v>12.5</v>
      </c>
      <c r="F10434">
        <v>74</v>
      </c>
    </row>
    <row r="10435" spans="1:6" x14ac:dyDescent="0.35">
      <c r="A10435">
        <v>1975</v>
      </c>
      <c r="B10435" s="1">
        <v>45959</v>
      </c>
      <c r="C10435" s="2">
        <v>0.70833333333333337</v>
      </c>
      <c r="D10435">
        <v>3</v>
      </c>
      <c r="E10435">
        <v>12.1</v>
      </c>
      <c r="F10435">
        <v>74</v>
      </c>
    </row>
    <row r="10436" spans="1:6" x14ac:dyDescent="0.35">
      <c r="A10436">
        <v>1975</v>
      </c>
      <c r="B10436" s="1">
        <v>45959</v>
      </c>
      <c r="C10436" s="2">
        <v>0.75</v>
      </c>
      <c r="D10436">
        <v>3</v>
      </c>
      <c r="E10436">
        <v>11.6</v>
      </c>
      <c r="F10436">
        <v>76</v>
      </c>
    </row>
    <row r="10437" spans="1:6" x14ac:dyDescent="0.35">
      <c r="A10437">
        <v>1975</v>
      </c>
      <c r="B10437" s="1">
        <v>45959</v>
      </c>
      <c r="C10437" s="2">
        <v>0.79166666666666663</v>
      </c>
      <c r="D10437">
        <v>3</v>
      </c>
      <c r="E10437">
        <v>11.2</v>
      </c>
      <c r="F10437">
        <v>81</v>
      </c>
    </row>
    <row r="10438" spans="1:6" x14ac:dyDescent="0.35">
      <c r="A10438">
        <v>1975</v>
      </c>
      <c r="B10438" s="1">
        <v>45959</v>
      </c>
      <c r="C10438" s="2">
        <v>0.83333333333333337</v>
      </c>
      <c r="D10438">
        <v>3</v>
      </c>
      <c r="E10438">
        <v>10.8</v>
      </c>
      <c r="F10438">
        <v>83</v>
      </c>
    </row>
    <row r="10439" spans="1:6" x14ac:dyDescent="0.35">
      <c r="A10439">
        <v>1975</v>
      </c>
      <c r="B10439" s="1">
        <v>45959</v>
      </c>
      <c r="C10439" s="2">
        <v>0.875</v>
      </c>
      <c r="D10439">
        <v>3</v>
      </c>
      <c r="E10439">
        <v>10.8</v>
      </c>
      <c r="F10439">
        <v>80</v>
      </c>
    </row>
    <row r="10440" spans="1:6" x14ac:dyDescent="0.35">
      <c r="A10440">
        <v>1975</v>
      </c>
      <c r="B10440" s="1">
        <v>45959</v>
      </c>
      <c r="C10440" s="2">
        <v>0.91666666666666663</v>
      </c>
      <c r="D10440">
        <v>3</v>
      </c>
      <c r="E10440">
        <v>10.8</v>
      </c>
      <c r="F10440">
        <v>79</v>
      </c>
    </row>
    <row r="10441" spans="1:6" x14ac:dyDescent="0.35">
      <c r="A10441">
        <v>1975</v>
      </c>
      <c r="B10441" s="1">
        <v>45959</v>
      </c>
      <c r="C10441" s="2">
        <v>0.95833333333333337</v>
      </c>
      <c r="D10441">
        <v>3</v>
      </c>
      <c r="E10441">
        <v>10.4</v>
      </c>
      <c r="F10441">
        <v>82</v>
      </c>
    </row>
    <row r="10442" spans="1:6" x14ac:dyDescent="0.35">
      <c r="A10442">
        <v>1975</v>
      </c>
      <c r="B10442" s="1">
        <v>45960</v>
      </c>
      <c r="C10442" s="2">
        <v>0</v>
      </c>
      <c r="D10442">
        <v>3</v>
      </c>
      <c r="E10442">
        <v>9.8000000000000007</v>
      </c>
      <c r="F10442">
        <v>88</v>
      </c>
    </row>
    <row r="10443" spans="1:6" x14ac:dyDescent="0.35">
      <c r="A10443">
        <v>1975</v>
      </c>
      <c r="B10443" s="1">
        <v>45960</v>
      </c>
      <c r="C10443" s="2">
        <v>4.1666666666666657E-2</v>
      </c>
      <c r="D10443">
        <v>3</v>
      </c>
      <c r="E10443">
        <v>9.6999999999999993</v>
      </c>
      <c r="F10443">
        <v>87</v>
      </c>
    </row>
    <row r="10444" spans="1:6" x14ac:dyDescent="0.35">
      <c r="A10444">
        <v>1975</v>
      </c>
      <c r="B10444" s="1">
        <v>45960</v>
      </c>
      <c r="C10444" s="2">
        <v>8.3333333333333329E-2</v>
      </c>
      <c r="D10444">
        <v>3</v>
      </c>
      <c r="E10444">
        <v>9.5</v>
      </c>
      <c r="F10444">
        <v>92</v>
      </c>
    </row>
    <row r="10445" spans="1:6" x14ac:dyDescent="0.35">
      <c r="A10445">
        <v>1975</v>
      </c>
      <c r="B10445" s="1">
        <v>45960</v>
      </c>
      <c r="C10445" s="2">
        <v>0.125</v>
      </c>
      <c r="D10445">
        <v>3</v>
      </c>
      <c r="E10445">
        <v>9.4</v>
      </c>
      <c r="F10445">
        <v>96</v>
      </c>
    </row>
    <row r="10446" spans="1:6" x14ac:dyDescent="0.35">
      <c r="A10446">
        <v>1975</v>
      </c>
      <c r="B10446" s="1">
        <v>45960</v>
      </c>
      <c r="C10446" s="2">
        <v>0.16666666666666671</v>
      </c>
      <c r="D10446">
        <v>3</v>
      </c>
      <c r="E10446">
        <v>9.6999999999999993</v>
      </c>
      <c r="F10446">
        <v>98</v>
      </c>
    </row>
    <row r="10447" spans="1:6" x14ac:dyDescent="0.35">
      <c r="A10447">
        <v>1975</v>
      </c>
      <c r="B10447" s="1">
        <v>45960</v>
      </c>
      <c r="C10447" s="2">
        <v>0.20833333333333329</v>
      </c>
      <c r="D10447">
        <v>3</v>
      </c>
      <c r="E10447">
        <v>10.3</v>
      </c>
      <c r="F10447">
        <v>94</v>
      </c>
    </row>
    <row r="10448" spans="1:6" x14ac:dyDescent="0.35">
      <c r="A10448">
        <v>1975</v>
      </c>
      <c r="B10448" s="1">
        <v>45960</v>
      </c>
      <c r="C10448" s="2">
        <v>0.25</v>
      </c>
      <c r="D10448">
        <v>3</v>
      </c>
      <c r="E10448">
        <v>9.8000000000000007</v>
      </c>
      <c r="F10448">
        <v>93</v>
      </c>
    </row>
    <row r="10449" spans="1:6" x14ac:dyDescent="0.35">
      <c r="A10449">
        <v>1975</v>
      </c>
      <c r="B10449" s="1">
        <v>45960</v>
      </c>
      <c r="C10449" s="2">
        <v>0.29166666666666669</v>
      </c>
      <c r="D10449">
        <v>3</v>
      </c>
      <c r="E10449">
        <v>9.6999999999999993</v>
      </c>
      <c r="F10449">
        <v>93</v>
      </c>
    </row>
    <row r="10450" spans="1:6" x14ac:dyDescent="0.35">
      <c r="A10450">
        <v>1975</v>
      </c>
      <c r="B10450" s="1">
        <v>45960</v>
      </c>
      <c r="C10450" s="2">
        <v>0.33333333333333331</v>
      </c>
      <c r="D10450">
        <v>3</v>
      </c>
      <c r="E10450">
        <v>8.6999999999999993</v>
      </c>
      <c r="F10450">
        <v>92</v>
      </c>
    </row>
    <row r="10451" spans="1:6" x14ac:dyDescent="0.35">
      <c r="A10451">
        <v>1975</v>
      </c>
      <c r="B10451" s="1">
        <v>45960</v>
      </c>
      <c r="C10451" s="2">
        <v>0.375</v>
      </c>
      <c r="D10451">
        <v>3</v>
      </c>
      <c r="E10451">
        <v>9.1</v>
      </c>
      <c r="F10451">
        <v>91</v>
      </c>
    </row>
    <row r="10452" spans="1:6" x14ac:dyDescent="0.35">
      <c r="A10452">
        <v>1975</v>
      </c>
      <c r="B10452" s="1">
        <v>45960</v>
      </c>
      <c r="C10452" s="2">
        <v>0.41666666666666669</v>
      </c>
      <c r="D10452">
        <v>3</v>
      </c>
      <c r="E10452">
        <v>9.6999999999999993</v>
      </c>
      <c r="F10452">
        <v>89</v>
      </c>
    </row>
    <row r="10453" spans="1:6" x14ac:dyDescent="0.35">
      <c r="A10453">
        <v>1975</v>
      </c>
      <c r="B10453" s="1">
        <v>45960</v>
      </c>
      <c r="C10453" s="2">
        <v>0.45833333333333331</v>
      </c>
      <c r="D10453">
        <v>3</v>
      </c>
      <c r="E10453">
        <v>11.2</v>
      </c>
      <c r="F10453">
        <v>76</v>
      </c>
    </row>
    <row r="10454" spans="1:6" x14ac:dyDescent="0.35">
      <c r="A10454">
        <v>1975</v>
      </c>
      <c r="B10454" s="1">
        <v>45960</v>
      </c>
      <c r="C10454" s="2">
        <v>0.5</v>
      </c>
      <c r="D10454">
        <v>3</v>
      </c>
      <c r="E10454">
        <v>11.6</v>
      </c>
      <c r="F10454">
        <v>78</v>
      </c>
    </row>
    <row r="10455" spans="1:6" x14ac:dyDescent="0.35">
      <c r="A10455">
        <v>1975</v>
      </c>
      <c r="B10455" s="1">
        <v>45960</v>
      </c>
      <c r="C10455" s="2">
        <v>0.54166666666666663</v>
      </c>
      <c r="D10455">
        <v>3</v>
      </c>
      <c r="E10455">
        <v>11.8</v>
      </c>
      <c r="F10455">
        <v>75</v>
      </c>
    </row>
    <row r="10456" spans="1:6" x14ac:dyDescent="0.35">
      <c r="A10456">
        <v>1975</v>
      </c>
      <c r="B10456" s="1">
        <v>45960</v>
      </c>
      <c r="C10456" s="2">
        <v>0.58333333333333337</v>
      </c>
      <c r="D10456">
        <v>3</v>
      </c>
      <c r="E10456">
        <v>12.1</v>
      </c>
      <c r="F10456">
        <v>73</v>
      </c>
    </row>
    <row r="10457" spans="1:6" x14ac:dyDescent="0.35">
      <c r="A10457">
        <v>1975</v>
      </c>
      <c r="B10457" s="1">
        <v>45960</v>
      </c>
      <c r="C10457" s="2">
        <v>0.625</v>
      </c>
      <c r="D10457">
        <v>3</v>
      </c>
      <c r="E10457">
        <v>11.9</v>
      </c>
      <c r="F10457">
        <v>71</v>
      </c>
    </row>
    <row r="10458" spans="1:6" x14ac:dyDescent="0.35">
      <c r="A10458">
        <v>1975</v>
      </c>
      <c r="B10458" s="1">
        <v>45960</v>
      </c>
      <c r="C10458" s="2">
        <v>0.66666666666666663</v>
      </c>
      <c r="D10458">
        <v>3</v>
      </c>
      <c r="E10458">
        <v>11.2</v>
      </c>
      <c r="F10458">
        <v>71</v>
      </c>
    </row>
    <row r="10459" spans="1:6" x14ac:dyDescent="0.35">
      <c r="A10459">
        <v>1975</v>
      </c>
      <c r="B10459" s="1">
        <v>45960</v>
      </c>
      <c r="C10459" s="2">
        <v>0.70833333333333337</v>
      </c>
      <c r="D10459">
        <v>3</v>
      </c>
      <c r="E10459">
        <v>10.5</v>
      </c>
      <c r="F10459">
        <v>77</v>
      </c>
    </row>
    <row r="10460" spans="1:6" x14ac:dyDescent="0.35">
      <c r="A10460">
        <v>1975</v>
      </c>
      <c r="B10460" s="1">
        <v>45960</v>
      </c>
      <c r="C10460" s="2">
        <v>0.75</v>
      </c>
      <c r="D10460">
        <v>3</v>
      </c>
      <c r="E10460">
        <v>10.4</v>
      </c>
      <c r="F10460">
        <v>78</v>
      </c>
    </row>
    <row r="10461" spans="1:6" x14ac:dyDescent="0.35">
      <c r="A10461">
        <v>1975</v>
      </c>
      <c r="B10461" s="1">
        <v>45960</v>
      </c>
      <c r="C10461" s="2">
        <v>0.79166666666666663</v>
      </c>
      <c r="D10461">
        <v>3</v>
      </c>
      <c r="E10461">
        <v>10.1</v>
      </c>
      <c r="F10461">
        <v>79</v>
      </c>
    </row>
    <row r="10462" spans="1:6" x14ac:dyDescent="0.35">
      <c r="A10462">
        <v>1975</v>
      </c>
      <c r="B10462" s="1">
        <v>45960</v>
      </c>
      <c r="C10462" s="2">
        <v>0.83333333333333337</v>
      </c>
      <c r="D10462">
        <v>3</v>
      </c>
      <c r="E10462">
        <v>10.199999999999999</v>
      </c>
      <c r="F10462">
        <v>77</v>
      </c>
    </row>
    <row r="10463" spans="1:6" x14ac:dyDescent="0.35">
      <c r="A10463">
        <v>1975</v>
      </c>
      <c r="B10463" s="1">
        <v>45960</v>
      </c>
      <c r="C10463" s="2">
        <v>0.875</v>
      </c>
      <c r="D10463">
        <v>3</v>
      </c>
      <c r="E10463">
        <v>9.4</v>
      </c>
      <c r="F10463">
        <v>78</v>
      </c>
    </row>
    <row r="10464" spans="1:6" x14ac:dyDescent="0.35">
      <c r="A10464">
        <v>1975</v>
      </c>
      <c r="B10464" s="1">
        <v>45960</v>
      </c>
      <c r="C10464" s="2">
        <v>0.91666666666666663</v>
      </c>
      <c r="D10464">
        <v>3</v>
      </c>
      <c r="E10464">
        <v>9.3000000000000007</v>
      </c>
      <c r="F10464">
        <v>79</v>
      </c>
    </row>
    <row r="10465" spans="1:6" x14ac:dyDescent="0.35">
      <c r="A10465">
        <v>1975</v>
      </c>
      <c r="B10465" s="1">
        <v>45960</v>
      </c>
      <c r="C10465" s="2">
        <v>0.95833333333333337</v>
      </c>
      <c r="D10465">
        <v>3</v>
      </c>
      <c r="E10465">
        <v>8.6999999999999993</v>
      </c>
      <c r="F10465">
        <v>82</v>
      </c>
    </row>
    <row r="10466" spans="1:6" x14ac:dyDescent="0.35">
      <c r="A10466">
        <v>1975</v>
      </c>
      <c r="B10466" s="1">
        <v>45961</v>
      </c>
      <c r="C10466" s="2">
        <v>0</v>
      </c>
      <c r="D10466">
        <v>3</v>
      </c>
      <c r="E10466">
        <v>7.7</v>
      </c>
      <c r="F10466">
        <v>86</v>
      </c>
    </row>
    <row r="10467" spans="1:6" x14ac:dyDescent="0.35">
      <c r="A10467">
        <v>1975</v>
      </c>
      <c r="B10467" s="1">
        <v>45961</v>
      </c>
      <c r="C10467" s="2">
        <v>4.1666666666666657E-2</v>
      </c>
      <c r="D10467">
        <v>3</v>
      </c>
      <c r="E10467">
        <v>6.1</v>
      </c>
      <c r="F10467">
        <v>96</v>
      </c>
    </row>
    <row r="10468" spans="1:6" x14ac:dyDescent="0.35">
      <c r="A10468">
        <v>1975</v>
      </c>
      <c r="B10468" s="1">
        <v>45961</v>
      </c>
      <c r="C10468" s="2">
        <v>8.3333333333333329E-2</v>
      </c>
      <c r="D10468">
        <v>3</v>
      </c>
      <c r="E10468">
        <v>4.8</v>
      </c>
      <c r="F10468">
        <v>99</v>
      </c>
    </row>
    <row r="10469" spans="1:6" x14ac:dyDescent="0.35">
      <c r="A10469">
        <v>1975</v>
      </c>
      <c r="B10469" s="1">
        <v>45961</v>
      </c>
      <c r="C10469" s="2">
        <v>0.125</v>
      </c>
      <c r="D10469">
        <v>3</v>
      </c>
      <c r="E10469">
        <v>4.7</v>
      </c>
      <c r="F10469">
        <v>98</v>
      </c>
    </row>
    <row r="10470" spans="1:6" x14ac:dyDescent="0.35">
      <c r="A10470">
        <v>1975</v>
      </c>
      <c r="B10470" s="1">
        <v>45961</v>
      </c>
      <c r="C10470" s="2">
        <v>0.16666666666666671</v>
      </c>
      <c r="D10470">
        <v>3</v>
      </c>
      <c r="E10470">
        <v>4.2</v>
      </c>
      <c r="F10470">
        <v>100</v>
      </c>
    </row>
    <row r="10471" spans="1:6" x14ac:dyDescent="0.35">
      <c r="A10471">
        <v>1975</v>
      </c>
      <c r="B10471" s="1">
        <v>45961</v>
      </c>
      <c r="C10471" s="2">
        <v>0.20833333333333329</v>
      </c>
      <c r="D10471">
        <v>3</v>
      </c>
      <c r="E10471">
        <v>5.0999999999999996</v>
      </c>
      <c r="F10471">
        <v>97</v>
      </c>
    </row>
    <row r="10472" spans="1:6" x14ac:dyDescent="0.35">
      <c r="A10472">
        <v>1975</v>
      </c>
      <c r="B10472" s="1">
        <v>45961</v>
      </c>
      <c r="C10472" s="2">
        <v>0.25</v>
      </c>
      <c r="D10472">
        <v>3</v>
      </c>
      <c r="E10472">
        <v>5</v>
      </c>
      <c r="F10472">
        <v>96</v>
      </c>
    </row>
    <row r="10473" spans="1:6" x14ac:dyDescent="0.35">
      <c r="A10473">
        <v>1975</v>
      </c>
      <c r="B10473" s="1">
        <v>45961</v>
      </c>
      <c r="C10473" s="2">
        <v>0.29166666666666669</v>
      </c>
      <c r="D10473">
        <v>3</v>
      </c>
      <c r="E10473">
        <v>4.5</v>
      </c>
      <c r="F10473">
        <v>96</v>
      </c>
    </row>
    <row r="10474" spans="1:6" x14ac:dyDescent="0.35">
      <c r="A10474">
        <v>1975</v>
      </c>
      <c r="B10474" s="1">
        <v>45961</v>
      </c>
      <c r="C10474" s="2">
        <v>0.33333333333333331</v>
      </c>
      <c r="D10474">
        <v>3</v>
      </c>
      <c r="E10474">
        <v>5.7</v>
      </c>
      <c r="F10474">
        <v>95</v>
      </c>
    </row>
    <row r="10475" spans="1:6" x14ac:dyDescent="0.35">
      <c r="A10475">
        <v>1975</v>
      </c>
      <c r="B10475" s="1">
        <v>45961</v>
      </c>
      <c r="C10475" s="2">
        <v>0.375</v>
      </c>
      <c r="D10475">
        <v>3</v>
      </c>
      <c r="E10475">
        <v>6.7</v>
      </c>
      <c r="F10475">
        <v>90</v>
      </c>
    </row>
    <row r="10476" spans="1:6" x14ac:dyDescent="0.35">
      <c r="A10476">
        <v>1975</v>
      </c>
      <c r="B10476" s="1">
        <v>45961</v>
      </c>
      <c r="C10476" s="2">
        <v>0.41666666666666669</v>
      </c>
      <c r="D10476">
        <v>3</v>
      </c>
      <c r="E10476">
        <v>8.1</v>
      </c>
      <c r="F10476">
        <v>83</v>
      </c>
    </row>
    <row r="10477" spans="1:6" x14ac:dyDescent="0.35">
      <c r="A10477">
        <v>1975</v>
      </c>
      <c r="B10477" s="1">
        <v>45961</v>
      </c>
      <c r="C10477" s="2">
        <v>0.45833333333333331</v>
      </c>
      <c r="D10477">
        <v>3</v>
      </c>
      <c r="E10477">
        <v>8.9</v>
      </c>
      <c r="F10477">
        <v>79</v>
      </c>
    </row>
    <row r="10478" spans="1:6" x14ac:dyDescent="0.35">
      <c r="A10478">
        <v>1975</v>
      </c>
      <c r="B10478" s="1">
        <v>45961</v>
      </c>
      <c r="C10478" s="2">
        <v>0.5</v>
      </c>
      <c r="D10478">
        <v>3</v>
      </c>
      <c r="E10478">
        <v>10.199999999999999</v>
      </c>
      <c r="F10478">
        <v>75</v>
      </c>
    </row>
    <row r="10479" spans="1:6" x14ac:dyDescent="0.35">
      <c r="A10479">
        <v>1975</v>
      </c>
      <c r="B10479" s="1">
        <v>45961</v>
      </c>
      <c r="C10479" s="2">
        <v>0.54166666666666663</v>
      </c>
      <c r="D10479">
        <v>3</v>
      </c>
      <c r="E10479">
        <v>10.7</v>
      </c>
      <c r="F10479">
        <v>73</v>
      </c>
    </row>
    <row r="10480" spans="1:6" x14ac:dyDescent="0.35">
      <c r="A10480">
        <v>1975</v>
      </c>
      <c r="B10480" s="1">
        <v>45961</v>
      </c>
      <c r="C10480" s="2">
        <v>0.58333333333333337</v>
      </c>
      <c r="D10480">
        <v>3</v>
      </c>
      <c r="E10480">
        <v>11</v>
      </c>
      <c r="F10480">
        <v>72</v>
      </c>
    </row>
    <row r="10481" spans="1:6" x14ac:dyDescent="0.35">
      <c r="A10481">
        <v>1975</v>
      </c>
      <c r="B10481" s="1">
        <v>45961</v>
      </c>
      <c r="C10481" s="2">
        <v>0.625</v>
      </c>
      <c r="D10481">
        <v>3</v>
      </c>
      <c r="E10481">
        <v>10.6</v>
      </c>
      <c r="F10481">
        <v>74</v>
      </c>
    </row>
    <row r="10482" spans="1:6" x14ac:dyDescent="0.35">
      <c r="A10482">
        <v>1975</v>
      </c>
      <c r="B10482" s="1">
        <v>45961</v>
      </c>
      <c r="C10482" s="2">
        <v>0.66666666666666663</v>
      </c>
      <c r="D10482">
        <v>3</v>
      </c>
      <c r="E10482">
        <v>10</v>
      </c>
      <c r="F10482">
        <v>76</v>
      </c>
    </row>
    <row r="10483" spans="1:6" x14ac:dyDescent="0.35">
      <c r="A10483">
        <v>1975</v>
      </c>
      <c r="B10483" s="1">
        <v>45961</v>
      </c>
      <c r="C10483" s="2">
        <v>0.70833333333333337</v>
      </c>
      <c r="D10483">
        <v>3</v>
      </c>
      <c r="E10483">
        <v>9.6</v>
      </c>
      <c r="F10483">
        <v>78</v>
      </c>
    </row>
    <row r="10484" spans="1:6" x14ac:dyDescent="0.35">
      <c r="A10484">
        <v>1975</v>
      </c>
      <c r="B10484" s="1">
        <v>45961</v>
      </c>
      <c r="C10484" s="2">
        <v>0.75</v>
      </c>
      <c r="D10484">
        <v>3</v>
      </c>
      <c r="E10484">
        <v>9</v>
      </c>
      <c r="F10484">
        <v>80</v>
      </c>
    </row>
    <row r="10485" spans="1:6" x14ac:dyDescent="0.35">
      <c r="A10485">
        <v>1975</v>
      </c>
      <c r="B10485" s="1">
        <v>45961</v>
      </c>
      <c r="C10485" s="2">
        <v>0.79166666666666663</v>
      </c>
      <c r="D10485">
        <v>3</v>
      </c>
      <c r="E10485">
        <v>8.6</v>
      </c>
      <c r="F10485">
        <v>84</v>
      </c>
    </row>
    <row r="10486" spans="1:6" x14ac:dyDescent="0.35">
      <c r="A10486">
        <v>1975</v>
      </c>
      <c r="B10486" s="1">
        <v>45961</v>
      </c>
      <c r="C10486" s="2">
        <v>0.83333333333333337</v>
      </c>
      <c r="D10486">
        <v>3</v>
      </c>
      <c r="E10486">
        <v>8.8000000000000007</v>
      </c>
      <c r="F10486">
        <v>84</v>
      </c>
    </row>
    <row r="10487" spans="1:6" x14ac:dyDescent="0.35">
      <c r="A10487">
        <v>1975</v>
      </c>
      <c r="B10487" s="1">
        <v>45961</v>
      </c>
      <c r="C10487" s="2">
        <v>0.875</v>
      </c>
      <c r="D10487">
        <v>3</v>
      </c>
      <c r="E10487">
        <v>8.5</v>
      </c>
      <c r="F10487">
        <v>85</v>
      </c>
    </row>
    <row r="10488" spans="1:6" x14ac:dyDescent="0.35">
      <c r="A10488">
        <v>1975</v>
      </c>
      <c r="B10488" s="1">
        <v>45961</v>
      </c>
      <c r="C10488" s="2">
        <v>0.91666666666666663</v>
      </c>
      <c r="D10488">
        <v>3</v>
      </c>
      <c r="E10488">
        <v>7.2</v>
      </c>
      <c r="F10488">
        <v>89</v>
      </c>
    </row>
    <row r="10489" spans="1:6" x14ac:dyDescent="0.35">
      <c r="A10489">
        <v>1975</v>
      </c>
      <c r="B10489" s="1">
        <v>45961</v>
      </c>
      <c r="C10489" s="2">
        <v>0.95833333333333337</v>
      </c>
      <c r="D10489">
        <v>3</v>
      </c>
      <c r="E10489">
        <v>6.5</v>
      </c>
      <c r="F10489">
        <v>92</v>
      </c>
    </row>
    <row r="10490" spans="1:6" x14ac:dyDescent="0.35">
      <c r="A10490">
        <v>1975</v>
      </c>
      <c r="B10490" s="1">
        <v>45962</v>
      </c>
      <c r="C10490" s="2">
        <v>0</v>
      </c>
      <c r="D10490">
        <v>3</v>
      </c>
      <c r="E10490">
        <v>6.2</v>
      </c>
      <c r="F10490">
        <v>94</v>
      </c>
    </row>
    <row r="10491" spans="1:6" x14ac:dyDescent="0.35">
      <c r="A10491">
        <v>1975</v>
      </c>
      <c r="B10491" s="1">
        <v>45962</v>
      </c>
      <c r="C10491" s="2">
        <v>4.1666666666666657E-2</v>
      </c>
      <c r="D10491">
        <v>3</v>
      </c>
      <c r="E10491">
        <v>6.4</v>
      </c>
      <c r="F10491">
        <v>94</v>
      </c>
    </row>
    <row r="10492" spans="1:6" x14ac:dyDescent="0.35">
      <c r="A10492">
        <v>1975</v>
      </c>
      <c r="B10492" s="1">
        <v>45962</v>
      </c>
      <c r="C10492" s="2">
        <v>8.3333333333333329E-2</v>
      </c>
      <c r="D10492">
        <v>3</v>
      </c>
      <c r="E10492">
        <v>6.3</v>
      </c>
      <c r="F10492">
        <v>93</v>
      </c>
    </row>
    <row r="10493" spans="1:6" x14ac:dyDescent="0.35">
      <c r="A10493">
        <v>1975</v>
      </c>
      <c r="B10493" s="1">
        <v>45962</v>
      </c>
      <c r="C10493" s="2">
        <v>0.125</v>
      </c>
      <c r="D10493">
        <v>3</v>
      </c>
      <c r="E10493">
        <v>6.2</v>
      </c>
      <c r="F10493">
        <v>94</v>
      </c>
    </row>
    <row r="10494" spans="1:6" x14ac:dyDescent="0.35">
      <c r="A10494">
        <v>1975</v>
      </c>
      <c r="B10494" s="1">
        <v>45962</v>
      </c>
      <c r="C10494" s="2">
        <v>0.16666666666666671</v>
      </c>
      <c r="D10494">
        <v>3</v>
      </c>
      <c r="E10494">
        <v>5.9</v>
      </c>
      <c r="F10494">
        <v>95</v>
      </c>
    </row>
    <row r="10495" spans="1:6" x14ac:dyDescent="0.35">
      <c r="A10495">
        <v>1975</v>
      </c>
      <c r="B10495" s="1">
        <v>45962</v>
      </c>
      <c r="C10495" s="2">
        <v>0.20833333333333329</v>
      </c>
      <c r="D10495">
        <v>3</v>
      </c>
      <c r="E10495">
        <v>5.9</v>
      </c>
      <c r="F10495">
        <v>95</v>
      </c>
    </row>
    <row r="10496" spans="1:6" x14ac:dyDescent="0.35">
      <c r="A10496">
        <v>1975</v>
      </c>
      <c r="B10496" s="1">
        <v>45962</v>
      </c>
      <c r="C10496" s="2">
        <v>0.25</v>
      </c>
      <c r="D10496">
        <v>3</v>
      </c>
      <c r="E10496">
        <v>6.5</v>
      </c>
      <c r="F10496">
        <v>96</v>
      </c>
    </row>
    <row r="10497" spans="1:6" x14ac:dyDescent="0.35">
      <c r="A10497">
        <v>1975</v>
      </c>
      <c r="B10497" s="1">
        <v>45962</v>
      </c>
      <c r="C10497" s="2">
        <v>0.29166666666666669</v>
      </c>
      <c r="D10497">
        <v>3</v>
      </c>
      <c r="E10497">
        <v>7.3</v>
      </c>
      <c r="F10497">
        <v>94</v>
      </c>
    </row>
    <row r="10498" spans="1:6" x14ac:dyDescent="0.35">
      <c r="A10498">
        <v>1975</v>
      </c>
      <c r="B10498" s="1">
        <v>45962</v>
      </c>
      <c r="C10498" s="2">
        <v>0.33333333333333331</v>
      </c>
      <c r="D10498">
        <v>3</v>
      </c>
      <c r="E10498">
        <v>9</v>
      </c>
      <c r="F10498">
        <v>90</v>
      </c>
    </row>
    <row r="10499" spans="1:6" x14ac:dyDescent="0.35">
      <c r="A10499">
        <v>1975</v>
      </c>
      <c r="B10499" s="1">
        <v>45962</v>
      </c>
      <c r="C10499" s="2">
        <v>0.375</v>
      </c>
      <c r="D10499">
        <v>3</v>
      </c>
      <c r="E10499">
        <v>10</v>
      </c>
      <c r="F10499">
        <v>87</v>
      </c>
    </row>
    <row r="10500" spans="1:6" x14ac:dyDescent="0.35">
      <c r="A10500">
        <v>1975</v>
      </c>
      <c r="B10500" s="1">
        <v>45962</v>
      </c>
      <c r="C10500" s="2">
        <v>0.41666666666666669</v>
      </c>
      <c r="D10500">
        <v>3</v>
      </c>
      <c r="E10500">
        <v>10.7</v>
      </c>
      <c r="F10500">
        <v>86</v>
      </c>
    </row>
    <row r="10501" spans="1:6" x14ac:dyDescent="0.35">
      <c r="A10501">
        <v>1975</v>
      </c>
      <c r="B10501" s="1">
        <v>45962</v>
      </c>
      <c r="C10501" s="2">
        <v>0.45833333333333331</v>
      </c>
      <c r="D10501">
        <v>3</v>
      </c>
      <c r="E10501">
        <v>11.6</v>
      </c>
      <c r="F10501">
        <v>86</v>
      </c>
    </row>
    <row r="10502" spans="1:6" x14ac:dyDescent="0.35">
      <c r="A10502">
        <v>1975</v>
      </c>
      <c r="B10502" s="1">
        <v>45962</v>
      </c>
      <c r="C10502" s="2">
        <v>0.5</v>
      </c>
      <c r="D10502">
        <v>3</v>
      </c>
      <c r="E10502">
        <v>12.9</v>
      </c>
      <c r="F10502">
        <v>84</v>
      </c>
    </row>
    <row r="10503" spans="1:6" x14ac:dyDescent="0.35">
      <c r="A10503">
        <v>1975</v>
      </c>
      <c r="B10503" s="1">
        <v>45962</v>
      </c>
      <c r="C10503" s="2">
        <v>0.54166666666666663</v>
      </c>
      <c r="D10503">
        <v>3</v>
      </c>
      <c r="E10503">
        <v>13.7</v>
      </c>
      <c r="F10503">
        <v>82</v>
      </c>
    </row>
    <row r="10504" spans="1:6" x14ac:dyDescent="0.35">
      <c r="A10504">
        <v>1975</v>
      </c>
      <c r="B10504" s="1">
        <v>45962</v>
      </c>
      <c r="C10504" s="2">
        <v>0.58333333333333337</v>
      </c>
      <c r="D10504">
        <v>3</v>
      </c>
      <c r="E10504">
        <v>13.5</v>
      </c>
      <c r="F10504">
        <v>89</v>
      </c>
    </row>
    <row r="10505" spans="1:6" x14ac:dyDescent="0.35">
      <c r="A10505">
        <v>1975</v>
      </c>
      <c r="B10505" s="1">
        <v>45962</v>
      </c>
      <c r="C10505" s="2">
        <v>0.625</v>
      </c>
      <c r="D10505">
        <v>3</v>
      </c>
      <c r="E10505">
        <v>13.3</v>
      </c>
      <c r="F10505">
        <v>92</v>
      </c>
    </row>
    <row r="10506" spans="1:6" x14ac:dyDescent="0.35">
      <c r="A10506">
        <v>1975</v>
      </c>
      <c r="B10506" s="1">
        <v>45962</v>
      </c>
      <c r="C10506" s="2">
        <v>0.66666666666666663</v>
      </c>
      <c r="D10506">
        <v>3</v>
      </c>
      <c r="E10506">
        <v>13.1</v>
      </c>
      <c r="F10506">
        <v>95</v>
      </c>
    </row>
    <row r="10507" spans="1:6" x14ac:dyDescent="0.35">
      <c r="A10507">
        <v>1975</v>
      </c>
      <c r="B10507" s="1">
        <v>45962</v>
      </c>
      <c r="C10507" s="2">
        <v>0.70833333333333337</v>
      </c>
      <c r="D10507">
        <v>3</v>
      </c>
      <c r="E10507">
        <v>13</v>
      </c>
      <c r="F10507">
        <v>97</v>
      </c>
    </row>
    <row r="10508" spans="1:6" x14ac:dyDescent="0.35">
      <c r="A10508">
        <v>1975</v>
      </c>
      <c r="B10508" s="1">
        <v>45962</v>
      </c>
      <c r="C10508" s="2">
        <v>0.75</v>
      </c>
      <c r="D10508">
        <v>3</v>
      </c>
      <c r="E10508">
        <v>12.2</v>
      </c>
      <c r="F10508">
        <v>97</v>
      </c>
    </row>
    <row r="10509" spans="1:6" x14ac:dyDescent="0.35">
      <c r="A10509">
        <v>1975</v>
      </c>
      <c r="B10509" s="1">
        <v>45962</v>
      </c>
      <c r="C10509" s="2">
        <v>0.79166666666666663</v>
      </c>
      <c r="D10509">
        <v>3</v>
      </c>
      <c r="E10509">
        <v>12.5</v>
      </c>
      <c r="F10509">
        <v>97</v>
      </c>
    </row>
    <row r="10510" spans="1:6" x14ac:dyDescent="0.35">
      <c r="A10510">
        <v>1975</v>
      </c>
      <c r="B10510" s="1">
        <v>45962</v>
      </c>
      <c r="C10510" s="2">
        <v>0.83333333333333337</v>
      </c>
      <c r="D10510">
        <v>3</v>
      </c>
      <c r="E10510">
        <v>12.3</v>
      </c>
      <c r="F10510">
        <v>93</v>
      </c>
    </row>
    <row r="10511" spans="1:6" x14ac:dyDescent="0.35">
      <c r="A10511">
        <v>1975</v>
      </c>
      <c r="B10511" s="1">
        <v>45962</v>
      </c>
      <c r="C10511" s="2">
        <v>0.875</v>
      </c>
      <c r="D10511">
        <v>3</v>
      </c>
      <c r="E10511">
        <v>11.7</v>
      </c>
      <c r="F10511">
        <v>93</v>
      </c>
    </row>
    <row r="10512" spans="1:6" x14ac:dyDescent="0.35">
      <c r="A10512">
        <v>1975</v>
      </c>
      <c r="B10512" s="1">
        <v>45962</v>
      </c>
      <c r="C10512" s="2">
        <v>0.91666666666666663</v>
      </c>
      <c r="D10512">
        <v>3</v>
      </c>
      <c r="E10512">
        <v>10.6</v>
      </c>
      <c r="F10512">
        <v>95</v>
      </c>
    </row>
    <row r="10513" spans="1:6" x14ac:dyDescent="0.35">
      <c r="A10513">
        <v>1975</v>
      </c>
      <c r="B10513" s="1">
        <v>45962</v>
      </c>
      <c r="C10513" s="2">
        <v>0.95833333333333337</v>
      </c>
      <c r="D10513">
        <v>3</v>
      </c>
      <c r="E10513">
        <v>10.199999999999999</v>
      </c>
      <c r="F10513">
        <v>96</v>
      </c>
    </row>
    <row r="10514" spans="1:6" x14ac:dyDescent="0.35">
      <c r="A10514">
        <v>1975</v>
      </c>
      <c r="B10514" s="1">
        <v>45963</v>
      </c>
      <c r="C10514" s="2">
        <v>0</v>
      </c>
      <c r="D10514">
        <v>3</v>
      </c>
      <c r="E10514">
        <v>10.9</v>
      </c>
      <c r="F10514">
        <v>93</v>
      </c>
    </row>
    <row r="10515" spans="1:6" x14ac:dyDescent="0.35">
      <c r="A10515">
        <v>1975</v>
      </c>
      <c r="B10515" s="1">
        <v>45963</v>
      </c>
      <c r="C10515" s="2">
        <v>4.1666666666666657E-2</v>
      </c>
      <c r="D10515">
        <v>3</v>
      </c>
      <c r="E10515">
        <v>11</v>
      </c>
      <c r="F10515">
        <v>91</v>
      </c>
    </row>
    <row r="10516" spans="1:6" x14ac:dyDescent="0.35">
      <c r="A10516">
        <v>1975</v>
      </c>
      <c r="B10516" s="1">
        <v>45963</v>
      </c>
      <c r="C10516" s="2">
        <v>8.3333333333333329E-2</v>
      </c>
      <c r="D10516">
        <v>3</v>
      </c>
      <c r="E10516">
        <v>10.1</v>
      </c>
      <c r="F10516">
        <v>93</v>
      </c>
    </row>
    <row r="10517" spans="1:6" x14ac:dyDescent="0.35">
      <c r="A10517">
        <v>1975</v>
      </c>
      <c r="B10517" s="1">
        <v>45963</v>
      </c>
      <c r="C10517" s="2">
        <v>0.125</v>
      </c>
      <c r="D10517">
        <v>3</v>
      </c>
      <c r="E10517">
        <v>9.5</v>
      </c>
      <c r="F10517">
        <v>94</v>
      </c>
    </row>
    <row r="10518" spans="1:6" x14ac:dyDescent="0.35">
      <c r="A10518">
        <v>1975</v>
      </c>
      <c r="B10518" s="1">
        <v>45963</v>
      </c>
      <c r="C10518" s="2">
        <v>0.16666666666666671</v>
      </c>
      <c r="D10518">
        <v>3</v>
      </c>
      <c r="E10518">
        <v>10</v>
      </c>
      <c r="F10518">
        <v>93</v>
      </c>
    </row>
    <row r="10519" spans="1:6" x14ac:dyDescent="0.35">
      <c r="A10519">
        <v>1975</v>
      </c>
      <c r="B10519" s="1">
        <v>45963</v>
      </c>
      <c r="C10519" s="2">
        <v>0.20833333333333329</v>
      </c>
      <c r="D10519">
        <v>3</v>
      </c>
      <c r="E10519">
        <v>10.1</v>
      </c>
      <c r="F10519">
        <v>92</v>
      </c>
    </row>
    <row r="10520" spans="1:6" x14ac:dyDescent="0.35">
      <c r="A10520">
        <v>1975</v>
      </c>
      <c r="B10520" s="1">
        <v>45963</v>
      </c>
      <c r="C10520" s="2">
        <v>0.25</v>
      </c>
      <c r="D10520">
        <v>3</v>
      </c>
      <c r="E10520">
        <v>9.1</v>
      </c>
      <c r="F10520">
        <v>95</v>
      </c>
    </row>
    <row r="10521" spans="1:6" x14ac:dyDescent="0.35">
      <c r="A10521">
        <v>1975</v>
      </c>
      <c r="B10521" s="1">
        <v>45963</v>
      </c>
      <c r="C10521" s="2">
        <v>0.29166666666666669</v>
      </c>
      <c r="D10521">
        <v>3</v>
      </c>
      <c r="E10521">
        <v>10.1</v>
      </c>
      <c r="F10521">
        <v>91</v>
      </c>
    </row>
    <row r="10522" spans="1:6" x14ac:dyDescent="0.35">
      <c r="A10522">
        <v>1975</v>
      </c>
      <c r="B10522" s="1">
        <v>45963</v>
      </c>
      <c r="C10522" s="2">
        <v>0.33333333333333331</v>
      </c>
      <c r="D10522">
        <v>3</v>
      </c>
      <c r="E10522">
        <v>10.3</v>
      </c>
      <c r="F10522">
        <v>89</v>
      </c>
    </row>
    <row r="10523" spans="1:6" x14ac:dyDescent="0.35">
      <c r="A10523">
        <v>1975</v>
      </c>
      <c r="B10523" s="1">
        <v>45963</v>
      </c>
      <c r="C10523" s="2">
        <v>0.375</v>
      </c>
      <c r="D10523">
        <v>3</v>
      </c>
      <c r="E10523">
        <v>10.6</v>
      </c>
      <c r="F10523">
        <v>89</v>
      </c>
    </row>
    <row r="10524" spans="1:6" x14ac:dyDescent="0.35">
      <c r="A10524">
        <v>1975</v>
      </c>
      <c r="B10524" s="1">
        <v>45963</v>
      </c>
      <c r="C10524" s="2">
        <v>0.41666666666666669</v>
      </c>
      <c r="D10524">
        <v>3</v>
      </c>
      <c r="E10524">
        <v>10.9</v>
      </c>
      <c r="F10524">
        <v>86</v>
      </c>
    </row>
    <row r="10525" spans="1:6" x14ac:dyDescent="0.35">
      <c r="A10525">
        <v>1975</v>
      </c>
      <c r="B10525" s="1">
        <v>45963</v>
      </c>
      <c r="C10525" s="2">
        <v>0.45833333333333331</v>
      </c>
      <c r="D10525">
        <v>3</v>
      </c>
      <c r="E10525">
        <v>10.9</v>
      </c>
      <c r="F10525">
        <v>87</v>
      </c>
    </row>
    <row r="10526" spans="1:6" x14ac:dyDescent="0.35">
      <c r="A10526">
        <v>1975</v>
      </c>
      <c r="B10526" s="1">
        <v>45963</v>
      </c>
      <c r="C10526" s="2">
        <v>0.5</v>
      </c>
      <c r="D10526">
        <v>3</v>
      </c>
      <c r="E10526">
        <v>11.2</v>
      </c>
      <c r="F10526">
        <v>83</v>
      </c>
    </row>
    <row r="10527" spans="1:6" x14ac:dyDescent="0.35">
      <c r="A10527">
        <v>1975</v>
      </c>
      <c r="B10527" s="1">
        <v>45963</v>
      </c>
      <c r="C10527" s="2">
        <v>0.54166666666666663</v>
      </c>
      <c r="D10527">
        <v>3</v>
      </c>
      <c r="E10527">
        <v>12.4</v>
      </c>
      <c r="F10527">
        <v>77</v>
      </c>
    </row>
    <row r="10528" spans="1:6" x14ac:dyDescent="0.35">
      <c r="A10528">
        <v>1975</v>
      </c>
      <c r="B10528" s="1">
        <v>45963</v>
      </c>
      <c r="C10528" s="2">
        <v>0.58333333333333337</v>
      </c>
      <c r="D10528">
        <v>3</v>
      </c>
      <c r="E10528">
        <v>12.3</v>
      </c>
      <c r="F10528">
        <v>75</v>
      </c>
    </row>
    <row r="10529" spans="1:6" x14ac:dyDescent="0.35">
      <c r="A10529">
        <v>1975</v>
      </c>
      <c r="B10529" s="1">
        <v>45963</v>
      </c>
      <c r="C10529" s="2">
        <v>0.625</v>
      </c>
      <c r="D10529">
        <v>3</v>
      </c>
      <c r="E10529">
        <v>11.8</v>
      </c>
      <c r="F10529">
        <v>76</v>
      </c>
    </row>
    <row r="10530" spans="1:6" x14ac:dyDescent="0.35">
      <c r="A10530">
        <v>1975</v>
      </c>
      <c r="B10530" s="1">
        <v>45963</v>
      </c>
      <c r="C10530" s="2">
        <v>0.66666666666666663</v>
      </c>
      <c r="D10530">
        <v>3</v>
      </c>
      <c r="E10530">
        <v>10</v>
      </c>
      <c r="F10530">
        <v>86</v>
      </c>
    </row>
    <row r="10531" spans="1:6" x14ac:dyDescent="0.35">
      <c r="A10531">
        <v>1975</v>
      </c>
      <c r="B10531" s="1">
        <v>45963</v>
      </c>
      <c r="C10531" s="2">
        <v>0.70833333333333337</v>
      </c>
      <c r="D10531">
        <v>3</v>
      </c>
      <c r="E10531">
        <v>8.5</v>
      </c>
      <c r="F10531">
        <v>94</v>
      </c>
    </row>
    <row r="10532" spans="1:6" x14ac:dyDescent="0.35">
      <c r="A10532">
        <v>1975</v>
      </c>
      <c r="B10532" s="1">
        <v>45963</v>
      </c>
      <c r="C10532" s="2">
        <v>0.75</v>
      </c>
      <c r="D10532">
        <v>3</v>
      </c>
      <c r="E10532">
        <v>9.3000000000000007</v>
      </c>
      <c r="F10532">
        <v>91</v>
      </c>
    </row>
    <row r="10533" spans="1:6" x14ac:dyDescent="0.35">
      <c r="A10533">
        <v>1975</v>
      </c>
      <c r="B10533" s="1">
        <v>45963</v>
      </c>
      <c r="C10533" s="2">
        <v>0.79166666666666663</v>
      </c>
      <c r="D10533">
        <v>3</v>
      </c>
      <c r="E10533">
        <v>8.3000000000000007</v>
      </c>
      <c r="F10533">
        <v>93</v>
      </c>
    </row>
    <row r="10534" spans="1:6" x14ac:dyDescent="0.35">
      <c r="A10534">
        <v>1975</v>
      </c>
      <c r="B10534" s="1">
        <v>45963</v>
      </c>
      <c r="C10534" s="2">
        <v>0.83333333333333337</v>
      </c>
      <c r="D10534">
        <v>3</v>
      </c>
      <c r="E10534">
        <v>8</v>
      </c>
      <c r="F10534">
        <v>97</v>
      </c>
    </row>
    <row r="10535" spans="1:6" x14ac:dyDescent="0.35">
      <c r="A10535">
        <v>1975</v>
      </c>
      <c r="B10535" s="1">
        <v>45963</v>
      </c>
      <c r="C10535" s="2">
        <v>0.875</v>
      </c>
      <c r="D10535">
        <v>3</v>
      </c>
      <c r="E10535">
        <v>7.5</v>
      </c>
      <c r="F10535">
        <v>99</v>
      </c>
    </row>
    <row r="10536" spans="1:6" x14ac:dyDescent="0.35">
      <c r="A10536">
        <v>1975</v>
      </c>
      <c r="B10536" s="1">
        <v>45963</v>
      </c>
      <c r="C10536" s="2">
        <v>0.91666666666666663</v>
      </c>
      <c r="D10536">
        <v>3</v>
      </c>
      <c r="E10536">
        <v>7.3</v>
      </c>
      <c r="F10536">
        <v>98</v>
      </c>
    </row>
    <row r="10537" spans="1:6" x14ac:dyDescent="0.35">
      <c r="A10537">
        <v>1975</v>
      </c>
      <c r="B10537" s="1">
        <v>45963</v>
      </c>
      <c r="C10537" s="2">
        <v>0.95833333333333337</v>
      </c>
      <c r="D10537">
        <v>3</v>
      </c>
      <c r="E10537">
        <v>5.7</v>
      </c>
      <c r="F10537">
        <v>98</v>
      </c>
    </row>
    <row r="10538" spans="1:6" x14ac:dyDescent="0.35">
      <c r="A10538">
        <v>1975</v>
      </c>
      <c r="B10538" s="1">
        <v>45964</v>
      </c>
      <c r="C10538" s="2">
        <v>0</v>
      </c>
      <c r="D10538">
        <v>3</v>
      </c>
      <c r="E10538">
        <v>7.7</v>
      </c>
      <c r="F10538">
        <v>97</v>
      </c>
    </row>
    <row r="10539" spans="1:6" x14ac:dyDescent="0.35">
      <c r="A10539">
        <v>1975</v>
      </c>
      <c r="B10539" s="1">
        <v>45964</v>
      </c>
      <c r="C10539" s="2">
        <v>4.1666666666666657E-2</v>
      </c>
      <c r="D10539">
        <v>3</v>
      </c>
      <c r="E10539">
        <v>8.8000000000000007</v>
      </c>
      <c r="F10539">
        <v>92</v>
      </c>
    </row>
    <row r="10540" spans="1:6" x14ac:dyDescent="0.35">
      <c r="A10540">
        <v>1975</v>
      </c>
      <c r="B10540" s="1">
        <v>45964</v>
      </c>
      <c r="C10540" s="2">
        <v>8.3333333333333329E-2</v>
      </c>
      <c r="D10540">
        <v>3</v>
      </c>
      <c r="E10540">
        <v>8.9</v>
      </c>
      <c r="F10540">
        <v>91</v>
      </c>
    </row>
    <row r="10541" spans="1:6" x14ac:dyDescent="0.35">
      <c r="A10541">
        <v>1975</v>
      </c>
      <c r="B10541" s="1">
        <v>45964</v>
      </c>
      <c r="C10541" s="2">
        <v>0.125</v>
      </c>
      <c r="D10541">
        <v>3</v>
      </c>
      <c r="E10541">
        <v>8.8000000000000007</v>
      </c>
      <c r="F10541">
        <v>92</v>
      </c>
    </row>
    <row r="10542" spans="1:6" x14ac:dyDescent="0.35">
      <c r="A10542">
        <v>1975</v>
      </c>
      <c r="B10542" s="1">
        <v>45964</v>
      </c>
      <c r="C10542" s="2">
        <v>0.16666666666666671</v>
      </c>
      <c r="D10542">
        <v>3</v>
      </c>
      <c r="E10542">
        <v>9</v>
      </c>
      <c r="F10542">
        <v>92</v>
      </c>
    </row>
    <row r="10543" spans="1:6" x14ac:dyDescent="0.35">
      <c r="A10543">
        <v>1975</v>
      </c>
      <c r="B10543" s="1">
        <v>45964</v>
      </c>
      <c r="C10543" s="2">
        <v>0.20833333333333329</v>
      </c>
      <c r="D10543">
        <v>3</v>
      </c>
      <c r="E10543">
        <v>9</v>
      </c>
      <c r="F10543">
        <v>92</v>
      </c>
    </row>
    <row r="10544" spans="1:6" x14ac:dyDescent="0.35">
      <c r="A10544">
        <v>1975</v>
      </c>
      <c r="B10544" s="1">
        <v>45964</v>
      </c>
      <c r="C10544" s="2">
        <v>0.25</v>
      </c>
      <c r="D10544">
        <v>3</v>
      </c>
      <c r="E10544">
        <v>8.6</v>
      </c>
      <c r="F10544">
        <v>90</v>
      </c>
    </row>
    <row r="10545" spans="1:6" x14ac:dyDescent="0.35">
      <c r="A10545">
        <v>1975</v>
      </c>
      <c r="B10545" s="1">
        <v>45964</v>
      </c>
      <c r="C10545" s="2">
        <v>0.29166666666666669</v>
      </c>
      <c r="D10545">
        <v>3</v>
      </c>
      <c r="E10545">
        <v>7.6</v>
      </c>
      <c r="F10545">
        <v>92</v>
      </c>
    </row>
    <row r="10546" spans="1:6" x14ac:dyDescent="0.35">
      <c r="A10546">
        <v>1975</v>
      </c>
      <c r="B10546" s="1">
        <v>45964</v>
      </c>
      <c r="C10546" s="2">
        <v>0.33333333333333331</v>
      </c>
      <c r="D10546">
        <v>3</v>
      </c>
      <c r="E10546">
        <v>8.1999999999999993</v>
      </c>
      <c r="F10546">
        <v>89</v>
      </c>
    </row>
    <row r="10547" spans="1:6" x14ac:dyDescent="0.35">
      <c r="A10547">
        <v>1975</v>
      </c>
      <c r="B10547" s="1">
        <v>45964</v>
      </c>
      <c r="C10547" s="2">
        <v>0.375</v>
      </c>
      <c r="D10547">
        <v>3</v>
      </c>
      <c r="E10547">
        <v>9</v>
      </c>
      <c r="F10547">
        <v>84</v>
      </c>
    </row>
    <row r="10548" spans="1:6" x14ac:dyDescent="0.35">
      <c r="A10548">
        <v>1975</v>
      </c>
      <c r="B10548" s="1">
        <v>45964</v>
      </c>
      <c r="C10548" s="2">
        <v>0.41666666666666669</v>
      </c>
      <c r="D10548">
        <v>3</v>
      </c>
      <c r="E10548">
        <v>10.199999999999999</v>
      </c>
      <c r="F10548">
        <v>77</v>
      </c>
    </row>
    <row r="10549" spans="1:6" x14ac:dyDescent="0.35">
      <c r="A10549">
        <v>1975</v>
      </c>
      <c r="B10549" s="1">
        <v>45964</v>
      </c>
      <c r="C10549" s="2">
        <v>0.45833333333333331</v>
      </c>
      <c r="D10549">
        <v>3</v>
      </c>
      <c r="E10549">
        <v>11.1</v>
      </c>
      <c r="F10549">
        <v>75</v>
      </c>
    </row>
    <row r="10550" spans="1:6" x14ac:dyDescent="0.35">
      <c r="A10550">
        <v>1975</v>
      </c>
      <c r="B10550" s="1">
        <v>45964</v>
      </c>
      <c r="C10550" s="2">
        <v>0.5</v>
      </c>
      <c r="D10550">
        <v>3</v>
      </c>
      <c r="E10550">
        <v>11.3</v>
      </c>
      <c r="F10550">
        <v>72</v>
      </c>
    </row>
    <row r="10551" spans="1:6" x14ac:dyDescent="0.35">
      <c r="A10551">
        <v>1975</v>
      </c>
      <c r="B10551" s="1">
        <v>45964</v>
      </c>
      <c r="C10551" s="2">
        <v>0.54166666666666663</v>
      </c>
      <c r="D10551">
        <v>3</v>
      </c>
      <c r="E10551">
        <v>10.7</v>
      </c>
      <c r="F10551">
        <v>74</v>
      </c>
    </row>
    <row r="10552" spans="1:6" x14ac:dyDescent="0.35">
      <c r="A10552">
        <v>1975</v>
      </c>
      <c r="B10552" s="1">
        <v>45964</v>
      </c>
      <c r="C10552" s="2">
        <v>0.58333333333333337</v>
      </c>
      <c r="D10552">
        <v>3</v>
      </c>
      <c r="E10552">
        <v>9.6999999999999993</v>
      </c>
      <c r="F10552">
        <v>85</v>
      </c>
    </row>
    <row r="10553" spans="1:6" x14ac:dyDescent="0.35">
      <c r="A10553">
        <v>1975</v>
      </c>
      <c r="B10553" s="1">
        <v>45964</v>
      </c>
      <c r="C10553" s="2">
        <v>0.625</v>
      </c>
      <c r="D10553">
        <v>3</v>
      </c>
      <c r="E10553">
        <v>9.9</v>
      </c>
      <c r="F10553">
        <v>86</v>
      </c>
    </row>
    <row r="10554" spans="1:6" x14ac:dyDescent="0.35">
      <c r="A10554">
        <v>1975</v>
      </c>
      <c r="B10554" s="1">
        <v>45964</v>
      </c>
      <c r="C10554" s="2">
        <v>0.66666666666666663</v>
      </c>
      <c r="D10554">
        <v>3</v>
      </c>
      <c r="E10554">
        <v>9.6999999999999993</v>
      </c>
      <c r="F10554">
        <v>90</v>
      </c>
    </row>
    <row r="10555" spans="1:6" x14ac:dyDescent="0.35">
      <c r="A10555">
        <v>1975</v>
      </c>
      <c r="B10555" s="1">
        <v>45964</v>
      </c>
      <c r="C10555" s="2">
        <v>0.70833333333333337</v>
      </c>
      <c r="D10555">
        <v>3</v>
      </c>
      <c r="E10555">
        <v>10.4</v>
      </c>
      <c r="F10555">
        <v>87</v>
      </c>
    </row>
    <row r="10556" spans="1:6" x14ac:dyDescent="0.35">
      <c r="A10556">
        <v>1975</v>
      </c>
      <c r="B10556" s="1">
        <v>45964</v>
      </c>
      <c r="C10556" s="2">
        <v>0.75</v>
      </c>
      <c r="D10556">
        <v>3</v>
      </c>
      <c r="E10556">
        <v>10.8</v>
      </c>
      <c r="F10556">
        <v>84</v>
      </c>
    </row>
    <row r="10557" spans="1:6" x14ac:dyDescent="0.35">
      <c r="A10557">
        <v>1975</v>
      </c>
      <c r="B10557" s="1">
        <v>45964</v>
      </c>
      <c r="C10557" s="2">
        <v>0.79166666666666663</v>
      </c>
      <c r="D10557">
        <v>3</v>
      </c>
      <c r="E10557">
        <v>11</v>
      </c>
      <c r="F10557">
        <v>83</v>
      </c>
    </row>
    <row r="10558" spans="1:6" x14ac:dyDescent="0.35">
      <c r="A10558">
        <v>1975</v>
      </c>
      <c r="B10558" s="1">
        <v>45964</v>
      </c>
      <c r="C10558" s="2">
        <v>0.83333333333333337</v>
      </c>
      <c r="D10558">
        <v>3</v>
      </c>
      <c r="E10558">
        <v>11.2</v>
      </c>
      <c r="F10558">
        <v>85</v>
      </c>
    </row>
    <row r="10559" spans="1:6" x14ac:dyDescent="0.35">
      <c r="A10559">
        <v>1975</v>
      </c>
      <c r="B10559" s="1">
        <v>45964</v>
      </c>
      <c r="C10559" s="2">
        <v>0.875</v>
      </c>
      <c r="D10559">
        <v>3</v>
      </c>
      <c r="E10559">
        <v>11.1</v>
      </c>
      <c r="F10559">
        <v>87</v>
      </c>
    </row>
    <row r="10560" spans="1:6" x14ac:dyDescent="0.35">
      <c r="A10560">
        <v>1975</v>
      </c>
      <c r="B10560" s="1">
        <v>45964</v>
      </c>
      <c r="C10560" s="2">
        <v>0.91666666666666663</v>
      </c>
      <c r="D10560">
        <v>3</v>
      </c>
      <c r="E10560">
        <v>11.5</v>
      </c>
      <c r="F10560">
        <v>83</v>
      </c>
    </row>
    <row r="10561" spans="1:6" x14ac:dyDescent="0.35">
      <c r="A10561">
        <v>1975</v>
      </c>
      <c r="B10561" s="1">
        <v>45964</v>
      </c>
      <c r="C10561" s="2">
        <v>0.95833333333333337</v>
      </c>
      <c r="D10561">
        <v>3</v>
      </c>
      <c r="E10561">
        <v>11.4</v>
      </c>
      <c r="F10561">
        <v>88</v>
      </c>
    </row>
    <row r="10562" spans="1:6" x14ac:dyDescent="0.35">
      <c r="A10562">
        <v>1975</v>
      </c>
      <c r="B10562" s="1">
        <v>45965</v>
      </c>
      <c r="C10562" s="2">
        <v>0</v>
      </c>
      <c r="D10562">
        <v>3</v>
      </c>
      <c r="E10562">
        <v>11.7</v>
      </c>
      <c r="F10562">
        <v>86</v>
      </c>
    </row>
    <row r="10563" spans="1:6" x14ac:dyDescent="0.35">
      <c r="A10563">
        <v>1975</v>
      </c>
      <c r="B10563" s="1">
        <v>45965</v>
      </c>
      <c r="C10563" s="2">
        <v>4.1666666666666657E-2</v>
      </c>
      <c r="D10563">
        <v>3</v>
      </c>
      <c r="E10563">
        <v>11.5</v>
      </c>
      <c r="F10563">
        <v>86</v>
      </c>
    </row>
    <row r="10564" spans="1:6" x14ac:dyDescent="0.35">
      <c r="A10564">
        <v>1975</v>
      </c>
      <c r="B10564" s="1">
        <v>45965</v>
      </c>
      <c r="C10564" s="2">
        <v>8.3333333333333329E-2</v>
      </c>
      <c r="D10564">
        <v>3</v>
      </c>
      <c r="E10564">
        <v>11.5</v>
      </c>
      <c r="F10564">
        <v>88</v>
      </c>
    </row>
    <row r="10565" spans="1:6" x14ac:dyDescent="0.35">
      <c r="A10565">
        <v>1975</v>
      </c>
      <c r="B10565" s="1">
        <v>45965</v>
      </c>
      <c r="C10565" s="2">
        <v>0.125</v>
      </c>
      <c r="D10565">
        <v>3</v>
      </c>
      <c r="E10565">
        <v>11.5</v>
      </c>
      <c r="F10565">
        <v>90</v>
      </c>
    </row>
    <row r="10566" spans="1:6" x14ac:dyDescent="0.35">
      <c r="A10566">
        <v>1975</v>
      </c>
      <c r="B10566" s="1">
        <v>45965</v>
      </c>
      <c r="C10566" s="2">
        <v>0.16666666666666671</v>
      </c>
      <c r="D10566">
        <v>3</v>
      </c>
      <c r="E10566">
        <v>11.5</v>
      </c>
      <c r="F10566">
        <v>91</v>
      </c>
    </row>
    <row r="10567" spans="1:6" x14ac:dyDescent="0.35">
      <c r="A10567">
        <v>1975</v>
      </c>
      <c r="B10567" s="1">
        <v>45965</v>
      </c>
      <c r="C10567" s="2">
        <v>0.20833333333333329</v>
      </c>
      <c r="D10567">
        <v>3</v>
      </c>
      <c r="E10567">
        <v>11.2</v>
      </c>
      <c r="F10567">
        <v>94</v>
      </c>
    </row>
    <row r="10568" spans="1:6" x14ac:dyDescent="0.35">
      <c r="A10568">
        <v>1975</v>
      </c>
      <c r="B10568" s="1">
        <v>45965</v>
      </c>
      <c r="C10568" s="2">
        <v>0.25</v>
      </c>
      <c r="D10568">
        <v>3</v>
      </c>
      <c r="E10568">
        <v>11.4</v>
      </c>
      <c r="F10568">
        <v>90</v>
      </c>
    </row>
    <row r="10569" spans="1:6" x14ac:dyDescent="0.35">
      <c r="A10569">
        <v>1975</v>
      </c>
      <c r="B10569" s="1">
        <v>45965</v>
      </c>
      <c r="C10569" s="2">
        <v>0.29166666666666669</v>
      </c>
      <c r="D10569">
        <v>3</v>
      </c>
      <c r="E10569">
        <v>11.8</v>
      </c>
      <c r="F10569">
        <v>87</v>
      </c>
    </row>
    <row r="10570" spans="1:6" x14ac:dyDescent="0.35">
      <c r="A10570">
        <v>1975</v>
      </c>
      <c r="B10570" s="1">
        <v>45965</v>
      </c>
      <c r="C10570" s="2">
        <v>0.33333333333333331</v>
      </c>
      <c r="D10570">
        <v>3</v>
      </c>
      <c r="E10570">
        <v>12.5</v>
      </c>
      <c r="F10570">
        <v>85</v>
      </c>
    </row>
    <row r="10571" spans="1:6" x14ac:dyDescent="0.35">
      <c r="A10571">
        <v>1975</v>
      </c>
      <c r="B10571" s="1">
        <v>45965</v>
      </c>
      <c r="C10571" s="2">
        <v>0.375</v>
      </c>
      <c r="D10571">
        <v>3</v>
      </c>
      <c r="E10571">
        <v>13</v>
      </c>
      <c r="F10571">
        <v>83</v>
      </c>
    </row>
    <row r="10572" spans="1:6" x14ac:dyDescent="0.35">
      <c r="A10572">
        <v>1975</v>
      </c>
      <c r="B10572" s="1">
        <v>45965</v>
      </c>
      <c r="C10572" s="2">
        <v>0.41666666666666669</v>
      </c>
      <c r="D10572">
        <v>3</v>
      </c>
      <c r="E10572">
        <v>13.6</v>
      </c>
      <c r="F10572">
        <v>80</v>
      </c>
    </row>
    <row r="10573" spans="1:6" x14ac:dyDescent="0.35">
      <c r="A10573">
        <v>1975</v>
      </c>
      <c r="B10573" s="1">
        <v>45965</v>
      </c>
      <c r="C10573" s="2">
        <v>0.45833333333333331</v>
      </c>
      <c r="D10573">
        <v>3</v>
      </c>
      <c r="E10573">
        <v>14.5</v>
      </c>
      <c r="F10573">
        <v>77</v>
      </c>
    </row>
    <row r="10574" spans="1:6" x14ac:dyDescent="0.35">
      <c r="A10574">
        <v>1975</v>
      </c>
      <c r="B10574" s="1">
        <v>45965</v>
      </c>
      <c r="C10574" s="2">
        <v>0.5</v>
      </c>
      <c r="D10574">
        <v>3</v>
      </c>
      <c r="E10574">
        <v>15.2</v>
      </c>
      <c r="F10574">
        <v>72</v>
      </c>
    </row>
    <row r="10575" spans="1:6" x14ac:dyDescent="0.35">
      <c r="A10575">
        <v>1975</v>
      </c>
      <c r="B10575" s="1">
        <v>45965</v>
      </c>
      <c r="C10575" s="2">
        <v>0.54166666666666663</v>
      </c>
      <c r="D10575">
        <v>3</v>
      </c>
      <c r="E10575">
        <v>14.9</v>
      </c>
      <c r="F10575">
        <v>71</v>
      </c>
    </row>
    <row r="10576" spans="1:6" x14ac:dyDescent="0.35">
      <c r="A10576">
        <v>1975</v>
      </c>
      <c r="B10576" s="1">
        <v>45965</v>
      </c>
      <c r="C10576" s="2">
        <v>0.58333333333333337</v>
      </c>
      <c r="D10576">
        <v>3</v>
      </c>
      <c r="E10576">
        <v>15.2</v>
      </c>
      <c r="F10576">
        <v>70</v>
      </c>
    </row>
    <row r="10577" spans="1:6" x14ac:dyDescent="0.35">
      <c r="A10577">
        <v>1975</v>
      </c>
      <c r="B10577" s="1">
        <v>45965</v>
      </c>
      <c r="C10577" s="2">
        <v>0.625</v>
      </c>
      <c r="D10577">
        <v>3</v>
      </c>
      <c r="E10577">
        <v>14.9</v>
      </c>
      <c r="F10577">
        <v>71</v>
      </c>
    </row>
    <row r="10578" spans="1:6" x14ac:dyDescent="0.35">
      <c r="A10578">
        <v>1975</v>
      </c>
      <c r="B10578" s="1">
        <v>45965</v>
      </c>
      <c r="C10578" s="2">
        <v>0.66666666666666663</v>
      </c>
      <c r="D10578">
        <v>3</v>
      </c>
      <c r="E10578">
        <v>14.5</v>
      </c>
      <c r="F10578">
        <v>70</v>
      </c>
    </row>
    <row r="10579" spans="1:6" x14ac:dyDescent="0.35">
      <c r="A10579">
        <v>1975</v>
      </c>
      <c r="B10579" s="1">
        <v>45965</v>
      </c>
      <c r="C10579" s="2">
        <v>0.70833333333333337</v>
      </c>
      <c r="D10579">
        <v>3</v>
      </c>
      <c r="E10579">
        <v>13.5</v>
      </c>
      <c r="F10579">
        <v>73</v>
      </c>
    </row>
    <row r="10580" spans="1:6" x14ac:dyDescent="0.35">
      <c r="A10580">
        <v>1975</v>
      </c>
      <c r="B10580" s="1">
        <v>45965</v>
      </c>
      <c r="C10580" s="2">
        <v>0.75</v>
      </c>
      <c r="D10580">
        <v>3</v>
      </c>
      <c r="E10580">
        <v>12.6</v>
      </c>
      <c r="F10580">
        <v>77</v>
      </c>
    </row>
    <row r="10581" spans="1:6" x14ac:dyDescent="0.35">
      <c r="A10581">
        <v>1975</v>
      </c>
      <c r="B10581" s="1">
        <v>45965</v>
      </c>
      <c r="C10581" s="2">
        <v>0.79166666666666663</v>
      </c>
      <c r="D10581">
        <v>3</v>
      </c>
      <c r="E10581">
        <v>12.4</v>
      </c>
      <c r="F10581">
        <v>77</v>
      </c>
    </row>
    <row r="10582" spans="1:6" x14ac:dyDescent="0.35">
      <c r="A10582">
        <v>1975</v>
      </c>
      <c r="B10582" s="1">
        <v>45965</v>
      </c>
      <c r="C10582" s="2">
        <v>0.83333333333333337</v>
      </c>
      <c r="D10582">
        <v>3</v>
      </c>
      <c r="E10582">
        <v>12</v>
      </c>
      <c r="F10582">
        <v>78</v>
      </c>
    </row>
    <row r="10583" spans="1:6" x14ac:dyDescent="0.35">
      <c r="A10583">
        <v>1975</v>
      </c>
      <c r="B10583" s="1">
        <v>45965</v>
      </c>
      <c r="C10583" s="2">
        <v>0.875</v>
      </c>
      <c r="D10583">
        <v>3</v>
      </c>
      <c r="E10583">
        <v>11.9</v>
      </c>
      <c r="F10583">
        <v>77</v>
      </c>
    </row>
    <row r="10584" spans="1:6" x14ac:dyDescent="0.35">
      <c r="A10584">
        <v>1975</v>
      </c>
      <c r="B10584" s="1">
        <v>45965</v>
      </c>
      <c r="C10584" s="2">
        <v>0.91666666666666663</v>
      </c>
      <c r="D10584">
        <v>3</v>
      </c>
      <c r="E10584">
        <v>11.2</v>
      </c>
      <c r="F10584">
        <v>80</v>
      </c>
    </row>
    <row r="10585" spans="1:6" x14ac:dyDescent="0.35">
      <c r="A10585">
        <v>1975</v>
      </c>
      <c r="B10585" s="1">
        <v>45965</v>
      </c>
      <c r="C10585" s="2">
        <v>0.95833333333333337</v>
      </c>
      <c r="D10585">
        <v>3</v>
      </c>
      <c r="E10585">
        <v>10.1</v>
      </c>
      <c r="F10585">
        <v>86</v>
      </c>
    </row>
    <row r="10586" spans="1:6" x14ac:dyDescent="0.35">
      <c r="A10586">
        <v>1975</v>
      </c>
      <c r="B10586" s="1">
        <v>45966</v>
      </c>
      <c r="C10586" s="2">
        <v>0</v>
      </c>
      <c r="D10586">
        <v>3</v>
      </c>
      <c r="E10586">
        <v>9.9</v>
      </c>
      <c r="F10586">
        <v>86</v>
      </c>
    </row>
    <row r="10587" spans="1:6" x14ac:dyDescent="0.35">
      <c r="A10587">
        <v>1975</v>
      </c>
      <c r="B10587" s="1">
        <v>45966</v>
      </c>
      <c r="C10587" s="2">
        <v>4.1666666666666657E-2</v>
      </c>
      <c r="D10587">
        <v>3</v>
      </c>
      <c r="E10587">
        <v>10.1</v>
      </c>
      <c r="F10587">
        <v>84</v>
      </c>
    </row>
    <row r="10588" spans="1:6" x14ac:dyDescent="0.35">
      <c r="A10588">
        <v>1975</v>
      </c>
      <c r="B10588" s="1">
        <v>45966</v>
      </c>
      <c r="C10588" s="2">
        <v>8.3333333333333329E-2</v>
      </c>
      <c r="D10588">
        <v>3</v>
      </c>
      <c r="E10588">
        <v>10.5</v>
      </c>
      <c r="F10588">
        <v>81</v>
      </c>
    </row>
    <row r="10589" spans="1:6" x14ac:dyDescent="0.35">
      <c r="A10589">
        <v>1975</v>
      </c>
      <c r="B10589" s="1">
        <v>45966</v>
      </c>
      <c r="C10589" s="2">
        <v>0.125</v>
      </c>
      <c r="D10589">
        <v>3</v>
      </c>
      <c r="E10589">
        <v>10.4</v>
      </c>
      <c r="F10589">
        <v>80</v>
      </c>
    </row>
    <row r="10590" spans="1:6" x14ac:dyDescent="0.35">
      <c r="A10590">
        <v>1975</v>
      </c>
      <c r="B10590" s="1">
        <v>45966</v>
      </c>
      <c r="C10590" s="2">
        <v>0.16666666666666671</v>
      </c>
      <c r="D10590">
        <v>3</v>
      </c>
      <c r="E10590">
        <v>10.3</v>
      </c>
      <c r="F10590">
        <v>79</v>
      </c>
    </row>
    <row r="10591" spans="1:6" x14ac:dyDescent="0.35">
      <c r="A10591">
        <v>1975</v>
      </c>
      <c r="B10591" s="1">
        <v>45966</v>
      </c>
      <c r="C10591" s="2">
        <v>0.20833333333333329</v>
      </c>
      <c r="D10591">
        <v>3</v>
      </c>
      <c r="E10591">
        <v>9.4</v>
      </c>
      <c r="F10591">
        <v>82</v>
      </c>
    </row>
    <row r="10592" spans="1:6" x14ac:dyDescent="0.35">
      <c r="A10592">
        <v>1975</v>
      </c>
      <c r="B10592" s="1">
        <v>45966</v>
      </c>
      <c r="C10592" s="2">
        <v>0.25</v>
      </c>
      <c r="D10592">
        <v>3</v>
      </c>
      <c r="E10592">
        <v>9.8000000000000007</v>
      </c>
      <c r="F10592">
        <v>79</v>
      </c>
    </row>
    <row r="10593" spans="1:6" x14ac:dyDescent="0.35">
      <c r="A10593">
        <v>1975</v>
      </c>
      <c r="B10593" s="1">
        <v>45966</v>
      </c>
      <c r="C10593" s="2">
        <v>0.29166666666666669</v>
      </c>
      <c r="D10593">
        <v>3</v>
      </c>
      <c r="E10593">
        <v>9.9</v>
      </c>
      <c r="F10593">
        <v>78</v>
      </c>
    </row>
    <row r="10594" spans="1:6" x14ac:dyDescent="0.35">
      <c r="A10594">
        <v>1975</v>
      </c>
      <c r="B10594" s="1">
        <v>45966</v>
      </c>
      <c r="C10594" s="2">
        <v>0.33333333333333331</v>
      </c>
      <c r="D10594">
        <v>3</v>
      </c>
      <c r="E10594">
        <v>10.9</v>
      </c>
      <c r="F10594">
        <v>74</v>
      </c>
    </row>
    <row r="10595" spans="1:6" x14ac:dyDescent="0.35">
      <c r="A10595">
        <v>1975</v>
      </c>
      <c r="B10595" s="1">
        <v>45966</v>
      </c>
      <c r="C10595" s="2">
        <v>0.375</v>
      </c>
      <c r="D10595">
        <v>3</v>
      </c>
      <c r="E10595">
        <v>12.3</v>
      </c>
      <c r="F10595">
        <v>69</v>
      </c>
    </row>
    <row r="10596" spans="1:6" x14ac:dyDescent="0.35">
      <c r="A10596">
        <v>1975</v>
      </c>
      <c r="B10596" s="1">
        <v>45966</v>
      </c>
      <c r="C10596" s="2">
        <v>0.41666666666666669</v>
      </c>
      <c r="D10596">
        <v>3</v>
      </c>
      <c r="E10596">
        <v>14.6</v>
      </c>
      <c r="F10596">
        <v>58</v>
      </c>
    </row>
    <row r="10597" spans="1:6" x14ac:dyDescent="0.35">
      <c r="A10597">
        <v>1975</v>
      </c>
      <c r="B10597" s="1">
        <v>45966</v>
      </c>
      <c r="C10597" s="2">
        <v>0.45833333333333331</v>
      </c>
      <c r="D10597">
        <v>3</v>
      </c>
      <c r="E10597">
        <v>16.100000000000001</v>
      </c>
      <c r="F10597">
        <v>55</v>
      </c>
    </row>
    <row r="10598" spans="1:6" x14ac:dyDescent="0.35">
      <c r="A10598">
        <v>1975</v>
      </c>
      <c r="B10598" s="1">
        <v>45966</v>
      </c>
      <c r="C10598" s="2">
        <v>0.5</v>
      </c>
      <c r="D10598">
        <v>3</v>
      </c>
      <c r="E10598">
        <v>16.600000000000001</v>
      </c>
      <c r="F10598">
        <v>55</v>
      </c>
    </row>
    <row r="10599" spans="1:6" x14ac:dyDescent="0.35">
      <c r="A10599">
        <v>1975</v>
      </c>
      <c r="B10599" s="1">
        <v>45966</v>
      </c>
      <c r="C10599" s="2">
        <v>0.54166666666666663</v>
      </c>
      <c r="D10599">
        <v>3</v>
      </c>
      <c r="E10599">
        <v>17</v>
      </c>
      <c r="F10599">
        <v>53</v>
      </c>
    </row>
    <row r="10600" spans="1:6" x14ac:dyDescent="0.35">
      <c r="A10600">
        <v>1975</v>
      </c>
      <c r="B10600" s="1">
        <v>45966</v>
      </c>
      <c r="C10600" s="2">
        <v>0.58333333333333337</v>
      </c>
      <c r="D10600">
        <v>3</v>
      </c>
      <c r="E10600">
        <v>17</v>
      </c>
      <c r="F10600">
        <v>57</v>
      </c>
    </row>
    <row r="10601" spans="1:6" x14ac:dyDescent="0.35">
      <c r="A10601">
        <v>1975</v>
      </c>
      <c r="B10601" s="1">
        <v>45966</v>
      </c>
      <c r="C10601" s="2">
        <v>0.625</v>
      </c>
      <c r="D10601">
        <v>3</v>
      </c>
      <c r="E10601">
        <v>14.3</v>
      </c>
      <c r="F10601">
        <v>66</v>
      </c>
    </row>
    <row r="10602" spans="1:6" x14ac:dyDescent="0.35">
      <c r="A10602">
        <v>1975</v>
      </c>
      <c r="B10602" s="1">
        <v>45966</v>
      </c>
      <c r="C10602" s="2">
        <v>0.66666666666666663</v>
      </c>
      <c r="D10602">
        <v>3</v>
      </c>
      <c r="E10602">
        <v>13.7</v>
      </c>
      <c r="F10602">
        <v>66</v>
      </c>
    </row>
    <row r="10603" spans="1:6" x14ac:dyDescent="0.35">
      <c r="A10603">
        <v>1975</v>
      </c>
      <c r="B10603" s="1">
        <v>45966</v>
      </c>
      <c r="C10603" s="2">
        <v>0.70833333333333337</v>
      </c>
      <c r="D10603">
        <v>3</v>
      </c>
      <c r="E10603">
        <v>14.5</v>
      </c>
      <c r="F10603">
        <v>64</v>
      </c>
    </row>
    <row r="10604" spans="1:6" x14ac:dyDescent="0.35">
      <c r="A10604">
        <v>1975</v>
      </c>
      <c r="B10604" s="1">
        <v>45966</v>
      </c>
      <c r="C10604" s="2">
        <v>0.75</v>
      </c>
      <c r="D10604">
        <v>3</v>
      </c>
      <c r="E10604">
        <v>13.9</v>
      </c>
      <c r="F10604">
        <v>67</v>
      </c>
    </row>
    <row r="10605" spans="1:6" x14ac:dyDescent="0.35">
      <c r="A10605">
        <v>1975</v>
      </c>
      <c r="B10605" s="1">
        <v>45966</v>
      </c>
      <c r="C10605" s="2">
        <v>0.79166666666666663</v>
      </c>
      <c r="D10605">
        <v>3</v>
      </c>
      <c r="E10605">
        <v>12.8</v>
      </c>
      <c r="F10605">
        <v>71</v>
      </c>
    </row>
    <row r="10606" spans="1:6" x14ac:dyDescent="0.35">
      <c r="A10606">
        <v>1975</v>
      </c>
      <c r="B10606" s="1">
        <v>45966</v>
      </c>
      <c r="C10606" s="2">
        <v>0.83333333333333337</v>
      </c>
      <c r="D10606">
        <v>3</v>
      </c>
      <c r="E10606">
        <v>12</v>
      </c>
      <c r="F10606">
        <v>76</v>
      </c>
    </row>
    <row r="10607" spans="1:6" x14ac:dyDescent="0.35">
      <c r="A10607">
        <v>1975</v>
      </c>
      <c r="B10607" s="1">
        <v>45966</v>
      </c>
      <c r="C10607" s="2">
        <v>0.875</v>
      </c>
      <c r="D10607">
        <v>3</v>
      </c>
      <c r="E10607">
        <v>12</v>
      </c>
      <c r="F10607">
        <v>73</v>
      </c>
    </row>
    <row r="10608" spans="1:6" x14ac:dyDescent="0.35">
      <c r="A10608">
        <v>1975</v>
      </c>
      <c r="B10608" s="1">
        <v>45966</v>
      </c>
      <c r="C10608" s="2">
        <v>0.91666666666666663</v>
      </c>
      <c r="D10608">
        <v>3</v>
      </c>
      <c r="E10608">
        <v>11.3</v>
      </c>
      <c r="F10608">
        <v>75</v>
      </c>
    </row>
    <row r="10609" spans="1:6" x14ac:dyDescent="0.35">
      <c r="A10609">
        <v>1975</v>
      </c>
      <c r="B10609" s="1">
        <v>45966</v>
      </c>
      <c r="C10609" s="2">
        <v>0.95833333333333337</v>
      </c>
      <c r="D10609">
        <v>3</v>
      </c>
      <c r="E10609">
        <v>9.8000000000000007</v>
      </c>
      <c r="F10609">
        <v>77</v>
      </c>
    </row>
    <row r="10610" spans="1:6" x14ac:dyDescent="0.35">
      <c r="A10610">
        <v>1975</v>
      </c>
      <c r="B10610" s="1">
        <v>45967</v>
      </c>
      <c r="C10610" s="2">
        <v>0</v>
      </c>
      <c r="D10610">
        <v>3</v>
      </c>
      <c r="E10610">
        <v>9</v>
      </c>
      <c r="F10610">
        <v>81</v>
      </c>
    </row>
    <row r="10611" spans="1:6" x14ac:dyDescent="0.35">
      <c r="A10611">
        <v>1975</v>
      </c>
      <c r="B10611" s="1">
        <v>45967</v>
      </c>
      <c r="C10611" s="2">
        <v>4.1666666666666657E-2</v>
      </c>
      <c r="D10611">
        <v>3</v>
      </c>
      <c r="E10611">
        <v>8.3000000000000007</v>
      </c>
      <c r="F10611">
        <v>81</v>
      </c>
    </row>
    <row r="10612" spans="1:6" x14ac:dyDescent="0.35">
      <c r="A10612">
        <v>1975</v>
      </c>
      <c r="B10612" s="1">
        <v>45967</v>
      </c>
      <c r="C10612" s="2">
        <v>8.3333333333333329E-2</v>
      </c>
      <c r="D10612">
        <v>3</v>
      </c>
      <c r="E10612">
        <v>8.3000000000000007</v>
      </c>
      <c r="F10612">
        <v>80</v>
      </c>
    </row>
    <row r="10613" spans="1:6" x14ac:dyDescent="0.35">
      <c r="A10613">
        <v>1975</v>
      </c>
      <c r="B10613" s="1">
        <v>45967</v>
      </c>
      <c r="C10613" s="2">
        <v>0.125</v>
      </c>
      <c r="D10613">
        <v>3</v>
      </c>
      <c r="E10613">
        <v>8</v>
      </c>
      <c r="F10613">
        <v>79</v>
      </c>
    </row>
    <row r="10614" spans="1:6" x14ac:dyDescent="0.35">
      <c r="A10614">
        <v>1975</v>
      </c>
      <c r="B10614" s="1">
        <v>45967</v>
      </c>
      <c r="C10614" s="2">
        <v>0.16666666666666671</v>
      </c>
      <c r="D10614">
        <v>3</v>
      </c>
      <c r="E10614">
        <v>7.8</v>
      </c>
      <c r="F10614">
        <v>79</v>
      </c>
    </row>
    <row r="10615" spans="1:6" x14ac:dyDescent="0.35">
      <c r="A10615">
        <v>1975</v>
      </c>
      <c r="B10615" s="1">
        <v>45967</v>
      </c>
      <c r="C10615" s="2">
        <v>0.20833333333333329</v>
      </c>
      <c r="D10615">
        <v>3</v>
      </c>
      <c r="E10615">
        <v>7.2</v>
      </c>
      <c r="F10615">
        <v>81</v>
      </c>
    </row>
    <row r="10616" spans="1:6" x14ac:dyDescent="0.35">
      <c r="A10616">
        <v>1975</v>
      </c>
      <c r="B10616" s="1">
        <v>45967</v>
      </c>
      <c r="C10616" s="2">
        <v>0.25</v>
      </c>
      <c r="D10616">
        <v>3</v>
      </c>
      <c r="E10616">
        <v>6.7</v>
      </c>
      <c r="F10616">
        <v>83</v>
      </c>
    </row>
    <row r="10617" spans="1:6" x14ac:dyDescent="0.35">
      <c r="A10617">
        <v>1975</v>
      </c>
      <c r="B10617" s="1">
        <v>45967</v>
      </c>
      <c r="C10617" s="2">
        <v>0.29166666666666669</v>
      </c>
      <c r="D10617">
        <v>3</v>
      </c>
      <c r="E10617">
        <v>5.2</v>
      </c>
      <c r="F10617">
        <v>87</v>
      </c>
    </row>
    <row r="10618" spans="1:6" x14ac:dyDescent="0.35">
      <c r="A10618">
        <v>1975</v>
      </c>
      <c r="B10618" s="1">
        <v>45967</v>
      </c>
      <c r="C10618" s="2">
        <v>0.33333333333333331</v>
      </c>
      <c r="D10618">
        <v>3</v>
      </c>
      <c r="E10618">
        <v>6.7</v>
      </c>
      <c r="F10618">
        <v>84</v>
      </c>
    </row>
    <row r="10619" spans="1:6" x14ac:dyDescent="0.35">
      <c r="A10619">
        <v>1975</v>
      </c>
      <c r="B10619" s="1">
        <v>45967</v>
      </c>
      <c r="C10619" s="2">
        <v>0.375</v>
      </c>
      <c r="D10619">
        <v>3</v>
      </c>
      <c r="E10619">
        <v>8.1999999999999993</v>
      </c>
      <c r="F10619">
        <v>81</v>
      </c>
    </row>
    <row r="10620" spans="1:6" x14ac:dyDescent="0.35">
      <c r="A10620">
        <v>1975</v>
      </c>
      <c r="B10620" s="1">
        <v>45967</v>
      </c>
      <c r="C10620" s="2">
        <v>0.41666666666666669</v>
      </c>
      <c r="D10620">
        <v>3</v>
      </c>
      <c r="E10620">
        <v>10.5</v>
      </c>
      <c r="F10620">
        <v>70</v>
      </c>
    </row>
    <row r="10621" spans="1:6" x14ac:dyDescent="0.35">
      <c r="A10621">
        <v>1975</v>
      </c>
      <c r="B10621" s="1">
        <v>45967</v>
      </c>
      <c r="C10621" s="2">
        <v>0.45833333333333331</v>
      </c>
      <c r="D10621">
        <v>3</v>
      </c>
      <c r="E10621">
        <v>12.4</v>
      </c>
      <c r="F10621">
        <v>62</v>
      </c>
    </row>
    <row r="10622" spans="1:6" x14ac:dyDescent="0.35">
      <c r="A10622">
        <v>1975</v>
      </c>
      <c r="B10622" s="1">
        <v>45967</v>
      </c>
      <c r="C10622" s="2">
        <v>0.5</v>
      </c>
      <c r="D10622">
        <v>3</v>
      </c>
      <c r="E10622">
        <v>13.8</v>
      </c>
      <c r="F10622">
        <v>60</v>
      </c>
    </row>
    <row r="10623" spans="1:6" x14ac:dyDescent="0.35">
      <c r="A10623">
        <v>1975</v>
      </c>
      <c r="B10623" s="1">
        <v>45967</v>
      </c>
      <c r="C10623" s="2">
        <v>0.54166666666666663</v>
      </c>
      <c r="D10623">
        <v>3</v>
      </c>
      <c r="E10623">
        <v>13.9</v>
      </c>
      <c r="F10623">
        <v>60</v>
      </c>
    </row>
    <row r="10624" spans="1:6" x14ac:dyDescent="0.35">
      <c r="A10624">
        <v>1975</v>
      </c>
      <c r="B10624" s="1">
        <v>45967</v>
      </c>
      <c r="C10624" s="2">
        <v>0.58333333333333337</v>
      </c>
      <c r="D10624">
        <v>3</v>
      </c>
      <c r="E10624">
        <v>13.3</v>
      </c>
      <c r="F10624">
        <v>64</v>
      </c>
    </row>
    <row r="10625" spans="1:6" x14ac:dyDescent="0.35">
      <c r="A10625">
        <v>1975</v>
      </c>
      <c r="B10625" s="1">
        <v>45967</v>
      </c>
      <c r="C10625" s="2">
        <v>0.625</v>
      </c>
      <c r="D10625">
        <v>3</v>
      </c>
      <c r="E10625">
        <v>12.3</v>
      </c>
      <c r="F10625">
        <v>66</v>
      </c>
    </row>
    <row r="10626" spans="1:6" x14ac:dyDescent="0.35">
      <c r="A10626">
        <v>1975</v>
      </c>
      <c r="B10626" s="1">
        <v>45967</v>
      </c>
      <c r="C10626" s="2">
        <v>0.66666666666666663</v>
      </c>
      <c r="D10626">
        <v>3</v>
      </c>
      <c r="E10626">
        <v>10.5</v>
      </c>
      <c r="F10626">
        <v>73</v>
      </c>
    </row>
    <row r="10627" spans="1:6" x14ac:dyDescent="0.35">
      <c r="A10627">
        <v>1975</v>
      </c>
      <c r="B10627" s="1">
        <v>45967</v>
      </c>
      <c r="C10627" s="2">
        <v>0.70833333333333337</v>
      </c>
      <c r="D10627">
        <v>3</v>
      </c>
      <c r="E10627">
        <v>9.1</v>
      </c>
      <c r="F10627">
        <v>79</v>
      </c>
    </row>
    <row r="10628" spans="1:6" x14ac:dyDescent="0.35">
      <c r="A10628">
        <v>1975</v>
      </c>
      <c r="B10628" s="1">
        <v>45967</v>
      </c>
      <c r="C10628" s="2">
        <v>0.75</v>
      </c>
      <c r="D10628">
        <v>3</v>
      </c>
      <c r="E10628">
        <v>8.8000000000000007</v>
      </c>
      <c r="F10628">
        <v>83</v>
      </c>
    </row>
    <row r="10629" spans="1:6" x14ac:dyDescent="0.35">
      <c r="A10629">
        <v>1975</v>
      </c>
      <c r="B10629" s="1">
        <v>45967</v>
      </c>
      <c r="C10629" s="2">
        <v>0.79166666666666663</v>
      </c>
      <c r="D10629">
        <v>3</v>
      </c>
      <c r="E10629">
        <v>7.9</v>
      </c>
      <c r="F10629">
        <v>87</v>
      </c>
    </row>
    <row r="10630" spans="1:6" x14ac:dyDescent="0.35">
      <c r="A10630">
        <v>1975</v>
      </c>
      <c r="B10630" s="1">
        <v>45967</v>
      </c>
      <c r="C10630" s="2">
        <v>0.83333333333333337</v>
      </c>
      <c r="D10630">
        <v>3</v>
      </c>
      <c r="E10630">
        <v>7.7</v>
      </c>
      <c r="F10630">
        <v>87</v>
      </c>
    </row>
    <row r="10631" spans="1:6" x14ac:dyDescent="0.35">
      <c r="A10631">
        <v>1975</v>
      </c>
      <c r="B10631" s="1">
        <v>45967</v>
      </c>
      <c r="C10631" s="2">
        <v>0.875</v>
      </c>
      <c r="D10631">
        <v>3</v>
      </c>
      <c r="E10631">
        <v>6.9</v>
      </c>
      <c r="F10631">
        <v>89</v>
      </c>
    </row>
    <row r="10632" spans="1:6" x14ac:dyDescent="0.35">
      <c r="A10632">
        <v>1975</v>
      </c>
      <c r="B10632" s="1">
        <v>45967</v>
      </c>
      <c r="C10632" s="2">
        <v>0.91666666666666663</v>
      </c>
      <c r="D10632">
        <v>3</v>
      </c>
      <c r="E10632">
        <v>5.9</v>
      </c>
      <c r="F10632">
        <v>91</v>
      </c>
    </row>
    <row r="10633" spans="1:6" x14ac:dyDescent="0.35">
      <c r="A10633">
        <v>1975</v>
      </c>
      <c r="B10633" s="1">
        <v>45967</v>
      </c>
      <c r="C10633" s="2">
        <v>0.95833333333333337</v>
      </c>
      <c r="D10633">
        <v>3</v>
      </c>
      <c r="E10633">
        <v>4.5</v>
      </c>
      <c r="F10633">
        <v>96</v>
      </c>
    </row>
    <row r="10634" spans="1:6" x14ac:dyDescent="0.35">
      <c r="A10634">
        <v>1975</v>
      </c>
      <c r="B10634" s="1">
        <v>45968</v>
      </c>
      <c r="C10634" s="2">
        <v>0</v>
      </c>
      <c r="D10634">
        <v>3</v>
      </c>
      <c r="E10634">
        <v>4.7</v>
      </c>
      <c r="F10634">
        <v>98</v>
      </c>
    </row>
    <row r="10635" spans="1:6" x14ac:dyDescent="0.35">
      <c r="A10635">
        <v>1975</v>
      </c>
      <c r="B10635" s="1">
        <v>45968</v>
      </c>
      <c r="C10635" s="2">
        <v>4.1666666666666657E-2</v>
      </c>
      <c r="D10635">
        <v>3</v>
      </c>
      <c r="E10635">
        <v>4.0999999999999996</v>
      </c>
      <c r="F10635">
        <v>99</v>
      </c>
    </row>
    <row r="10636" spans="1:6" x14ac:dyDescent="0.35">
      <c r="A10636">
        <v>1975</v>
      </c>
      <c r="B10636" s="1">
        <v>45968</v>
      </c>
      <c r="C10636" s="2">
        <v>8.3333333333333329E-2</v>
      </c>
      <c r="D10636">
        <v>3</v>
      </c>
      <c r="E10636">
        <v>4.2</v>
      </c>
      <c r="F10636">
        <v>98</v>
      </c>
    </row>
    <row r="10637" spans="1:6" x14ac:dyDescent="0.35">
      <c r="A10637">
        <v>1975</v>
      </c>
      <c r="B10637" s="1">
        <v>45968</v>
      </c>
      <c r="C10637" s="2">
        <v>0.125</v>
      </c>
      <c r="D10637">
        <v>3</v>
      </c>
      <c r="E10637">
        <v>4</v>
      </c>
      <c r="F10637">
        <v>97</v>
      </c>
    </row>
    <row r="10638" spans="1:6" x14ac:dyDescent="0.35">
      <c r="A10638">
        <v>1975</v>
      </c>
      <c r="B10638" s="1">
        <v>45968</v>
      </c>
      <c r="C10638" s="2">
        <v>0.16666666666666671</v>
      </c>
      <c r="D10638">
        <v>3</v>
      </c>
      <c r="E10638">
        <v>3.6</v>
      </c>
      <c r="F10638">
        <v>99</v>
      </c>
    </row>
    <row r="10639" spans="1:6" x14ac:dyDescent="0.35">
      <c r="A10639">
        <v>1975</v>
      </c>
      <c r="B10639" s="1">
        <v>45968</v>
      </c>
      <c r="C10639" s="2">
        <v>0.20833333333333329</v>
      </c>
      <c r="D10639">
        <v>3</v>
      </c>
      <c r="E10639">
        <v>3.8</v>
      </c>
      <c r="F10639">
        <v>99</v>
      </c>
    </row>
    <row r="10640" spans="1:6" x14ac:dyDescent="0.35">
      <c r="A10640">
        <v>1975</v>
      </c>
      <c r="B10640" s="1">
        <v>45968</v>
      </c>
      <c r="C10640" s="2">
        <v>0.25</v>
      </c>
      <c r="D10640">
        <v>3</v>
      </c>
      <c r="E10640">
        <v>3.6</v>
      </c>
      <c r="F10640">
        <v>100</v>
      </c>
    </row>
    <row r="10641" spans="1:6" x14ac:dyDescent="0.35">
      <c r="A10641">
        <v>1975</v>
      </c>
      <c r="B10641" s="1">
        <v>45968</v>
      </c>
      <c r="C10641" s="2">
        <v>0.29166666666666669</v>
      </c>
      <c r="D10641">
        <v>3</v>
      </c>
      <c r="E10641">
        <v>3.3</v>
      </c>
      <c r="F10641">
        <v>100</v>
      </c>
    </row>
    <row r="10642" spans="1:6" x14ac:dyDescent="0.35">
      <c r="A10642">
        <v>1975</v>
      </c>
      <c r="B10642" s="1">
        <v>45968</v>
      </c>
      <c r="C10642" s="2">
        <v>0.33333333333333331</v>
      </c>
      <c r="D10642">
        <v>3</v>
      </c>
      <c r="E10642">
        <v>3.3</v>
      </c>
      <c r="F10642">
        <v>100</v>
      </c>
    </row>
    <row r="10643" spans="1:6" x14ac:dyDescent="0.35">
      <c r="A10643">
        <v>1975</v>
      </c>
      <c r="B10643" s="1">
        <v>45968</v>
      </c>
      <c r="C10643" s="2">
        <v>0.375</v>
      </c>
      <c r="D10643">
        <v>3</v>
      </c>
      <c r="E10643">
        <v>3</v>
      </c>
      <c r="F10643">
        <v>100</v>
      </c>
    </row>
    <row r="10644" spans="1:6" x14ac:dyDescent="0.35">
      <c r="A10644">
        <v>1975</v>
      </c>
      <c r="B10644" s="1">
        <v>45968</v>
      </c>
      <c r="C10644" s="2">
        <v>0.41666666666666669</v>
      </c>
      <c r="D10644">
        <v>3</v>
      </c>
      <c r="E10644">
        <v>3.7</v>
      </c>
      <c r="F10644">
        <v>100</v>
      </c>
    </row>
    <row r="10645" spans="1:6" x14ac:dyDescent="0.35">
      <c r="A10645">
        <v>1975</v>
      </c>
      <c r="B10645" s="1">
        <v>45968</v>
      </c>
      <c r="C10645" s="2">
        <v>0.45833333333333331</v>
      </c>
      <c r="D10645">
        <v>3</v>
      </c>
      <c r="E10645">
        <v>4.7</v>
      </c>
      <c r="F10645">
        <v>100</v>
      </c>
    </row>
    <row r="10646" spans="1:6" x14ac:dyDescent="0.35">
      <c r="A10646">
        <v>1975</v>
      </c>
      <c r="B10646" s="1">
        <v>45968</v>
      </c>
      <c r="C10646" s="2">
        <v>0.5</v>
      </c>
      <c r="D10646">
        <v>3</v>
      </c>
      <c r="E10646">
        <v>5.9</v>
      </c>
      <c r="F10646">
        <v>95</v>
      </c>
    </row>
    <row r="10647" spans="1:6" x14ac:dyDescent="0.35">
      <c r="A10647">
        <v>1975</v>
      </c>
      <c r="B10647" s="1">
        <v>45968</v>
      </c>
      <c r="C10647" s="2">
        <v>0.54166666666666663</v>
      </c>
      <c r="D10647">
        <v>3</v>
      </c>
      <c r="E10647">
        <v>6.7</v>
      </c>
      <c r="F10647">
        <v>91</v>
      </c>
    </row>
    <row r="10648" spans="1:6" x14ac:dyDescent="0.35">
      <c r="A10648">
        <v>1975</v>
      </c>
      <c r="B10648" s="1">
        <v>45968</v>
      </c>
      <c r="C10648" s="2">
        <v>0.58333333333333337</v>
      </c>
      <c r="D10648">
        <v>3</v>
      </c>
      <c r="E10648">
        <v>7.2</v>
      </c>
      <c r="F10648">
        <v>92</v>
      </c>
    </row>
    <row r="10649" spans="1:6" x14ac:dyDescent="0.35">
      <c r="A10649">
        <v>1975</v>
      </c>
      <c r="B10649" s="1">
        <v>45968</v>
      </c>
      <c r="C10649" s="2">
        <v>0.625</v>
      </c>
      <c r="D10649">
        <v>3</v>
      </c>
      <c r="E10649">
        <v>7.1</v>
      </c>
      <c r="F10649">
        <v>97</v>
      </c>
    </row>
    <row r="10650" spans="1:6" x14ac:dyDescent="0.35">
      <c r="A10650">
        <v>1975</v>
      </c>
      <c r="B10650" s="1">
        <v>45968</v>
      </c>
      <c r="C10650" s="2">
        <v>0.66666666666666663</v>
      </c>
      <c r="D10650">
        <v>3</v>
      </c>
      <c r="E10650">
        <v>7.3</v>
      </c>
      <c r="F10650">
        <v>99</v>
      </c>
    </row>
    <row r="10651" spans="1:6" x14ac:dyDescent="0.35">
      <c r="A10651">
        <v>1975</v>
      </c>
      <c r="B10651" s="1">
        <v>45968</v>
      </c>
      <c r="C10651" s="2">
        <v>0.70833333333333337</v>
      </c>
      <c r="D10651">
        <v>3</v>
      </c>
      <c r="E10651">
        <v>7.4</v>
      </c>
      <c r="F10651">
        <v>98</v>
      </c>
    </row>
    <row r="10652" spans="1:6" x14ac:dyDescent="0.35">
      <c r="A10652">
        <v>1975</v>
      </c>
      <c r="B10652" s="1">
        <v>45968</v>
      </c>
      <c r="C10652" s="2">
        <v>0.75</v>
      </c>
      <c r="D10652">
        <v>3</v>
      </c>
      <c r="E10652">
        <v>7.6</v>
      </c>
      <c r="F10652">
        <v>99</v>
      </c>
    </row>
    <row r="10653" spans="1:6" x14ac:dyDescent="0.35">
      <c r="A10653">
        <v>1975</v>
      </c>
      <c r="B10653" s="1">
        <v>45968</v>
      </c>
      <c r="C10653" s="2">
        <v>0.79166666666666663</v>
      </c>
      <c r="D10653">
        <v>3</v>
      </c>
      <c r="E10653">
        <v>7.8</v>
      </c>
      <c r="F10653">
        <v>99</v>
      </c>
    </row>
    <row r="10654" spans="1:6" x14ac:dyDescent="0.35">
      <c r="A10654">
        <v>1975</v>
      </c>
      <c r="B10654" s="1">
        <v>45968</v>
      </c>
      <c r="C10654" s="2">
        <v>0.83333333333333337</v>
      </c>
      <c r="D10654">
        <v>3</v>
      </c>
      <c r="E10654">
        <v>8</v>
      </c>
      <c r="F10654">
        <v>99</v>
      </c>
    </row>
    <row r="10655" spans="1:6" x14ac:dyDescent="0.35">
      <c r="A10655">
        <v>1975</v>
      </c>
      <c r="B10655" s="1">
        <v>45968</v>
      </c>
      <c r="C10655" s="2">
        <v>0.875</v>
      </c>
      <c r="D10655">
        <v>3</v>
      </c>
      <c r="E10655">
        <v>8.1</v>
      </c>
      <c r="F10655">
        <v>97</v>
      </c>
    </row>
    <row r="10656" spans="1:6" x14ac:dyDescent="0.35">
      <c r="A10656">
        <v>1975</v>
      </c>
      <c r="B10656" s="1">
        <v>45968</v>
      </c>
      <c r="C10656" s="2">
        <v>0.91666666666666663</v>
      </c>
      <c r="D10656">
        <v>3</v>
      </c>
      <c r="E10656">
        <v>8.1</v>
      </c>
      <c r="F10656">
        <v>97</v>
      </c>
    </row>
    <row r="10657" spans="1:6" x14ac:dyDescent="0.35">
      <c r="A10657">
        <v>1975</v>
      </c>
      <c r="B10657" s="1">
        <v>45968</v>
      </c>
      <c r="C10657" s="2">
        <v>0.95833333333333337</v>
      </c>
      <c r="D10657">
        <v>3</v>
      </c>
      <c r="E10657">
        <v>8</v>
      </c>
      <c r="F10657">
        <v>98</v>
      </c>
    </row>
    <row r="10658" spans="1:6" x14ac:dyDescent="0.35">
      <c r="A10658">
        <v>1975</v>
      </c>
      <c r="B10658" s="1">
        <v>45969</v>
      </c>
      <c r="C10658" s="2">
        <v>0</v>
      </c>
      <c r="D10658">
        <v>3</v>
      </c>
      <c r="E10658">
        <v>7.9</v>
      </c>
      <c r="F10658">
        <v>98</v>
      </c>
    </row>
    <row r="10659" spans="1:6" x14ac:dyDescent="0.35">
      <c r="A10659">
        <v>1975</v>
      </c>
      <c r="B10659" s="1">
        <v>45969</v>
      </c>
      <c r="C10659" s="2">
        <v>4.1666666666666657E-2</v>
      </c>
      <c r="D10659">
        <v>3</v>
      </c>
      <c r="E10659">
        <v>8.1</v>
      </c>
      <c r="F10659">
        <v>96</v>
      </c>
    </row>
    <row r="10660" spans="1:6" x14ac:dyDescent="0.35">
      <c r="A10660">
        <v>1975</v>
      </c>
      <c r="B10660" s="1">
        <v>45969</v>
      </c>
      <c r="C10660" s="2">
        <v>8.3333333333333329E-2</v>
      </c>
      <c r="D10660">
        <v>3</v>
      </c>
      <c r="E10660">
        <v>7.9</v>
      </c>
      <c r="F10660">
        <v>97</v>
      </c>
    </row>
    <row r="10661" spans="1:6" x14ac:dyDescent="0.35">
      <c r="A10661">
        <v>1975</v>
      </c>
      <c r="B10661" s="1">
        <v>45969</v>
      </c>
      <c r="C10661" s="2">
        <v>0.125</v>
      </c>
      <c r="D10661">
        <v>3</v>
      </c>
      <c r="E10661">
        <v>8.1</v>
      </c>
      <c r="F10661">
        <v>88</v>
      </c>
    </row>
    <row r="10662" spans="1:6" x14ac:dyDescent="0.35">
      <c r="A10662">
        <v>1975</v>
      </c>
      <c r="B10662" s="1">
        <v>45969</v>
      </c>
      <c r="C10662" s="2">
        <v>0.16666666666666671</v>
      </c>
      <c r="D10662">
        <v>3</v>
      </c>
      <c r="E10662">
        <v>8.3000000000000007</v>
      </c>
      <c r="F10662">
        <v>86</v>
      </c>
    </row>
    <row r="10663" spans="1:6" x14ac:dyDescent="0.35">
      <c r="A10663">
        <v>1975</v>
      </c>
      <c r="B10663" s="1">
        <v>45969</v>
      </c>
      <c r="C10663" s="2">
        <v>0.20833333333333329</v>
      </c>
      <c r="D10663">
        <v>3</v>
      </c>
      <c r="E10663">
        <v>8.1999999999999993</v>
      </c>
      <c r="F10663">
        <v>84</v>
      </c>
    </row>
    <row r="10664" spans="1:6" x14ac:dyDescent="0.35">
      <c r="A10664">
        <v>1975</v>
      </c>
      <c r="B10664" s="1">
        <v>45969</v>
      </c>
      <c r="C10664" s="2">
        <v>0.25</v>
      </c>
      <c r="D10664">
        <v>3</v>
      </c>
      <c r="E10664">
        <v>8</v>
      </c>
      <c r="F10664">
        <v>85</v>
      </c>
    </row>
    <row r="10665" spans="1:6" x14ac:dyDescent="0.35">
      <c r="A10665">
        <v>1975</v>
      </c>
      <c r="B10665" s="1">
        <v>45969</v>
      </c>
      <c r="C10665" s="2">
        <v>0.29166666666666669</v>
      </c>
      <c r="D10665">
        <v>3</v>
      </c>
      <c r="E10665">
        <v>7.8</v>
      </c>
      <c r="F10665">
        <v>85</v>
      </c>
    </row>
    <row r="10666" spans="1:6" x14ac:dyDescent="0.35">
      <c r="A10666">
        <v>1975</v>
      </c>
      <c r="B10666" s="1">
        <v>45969</v>
      </c>
      <c r="C10666" s="2">
        <v>0.33333333333333331</v>
      </c>
      <c r="D10666">
        <v>3</v>
      </c>
      <c r="E10666">
        <v>7.6</v>
      </c>
      <c r="F10666">
        <v>84</v>
      </c>
    </row>
    <row r="10667" spans="1:6" x14ac:dyDescent="0.35">
      <c r="A10667">
        <v>1975</v>
      </c>
      <c r="B10667" s="1">
        <v>45969</v>
      </c>
      <c r="C10667" s="2">
        <v>0.375</v>
      </c>
      <c r="D10667">
        <v>3</v>
      </c>
      <c r="E10667">
        <v>7.4</v>
      </c>
      <c r="F10667">
        <v>87</v>
      </c>
    </row>
    <row r="10668" spans="1:6" x14ac:dyDescent="0.35">
      <c r="A10668">
        <v>1975</v>
      </c>
      <c r="B10668" s="1">
        <v>45969</v>
      </c>
      <c r="C10668" s="2">
        <v>0.41666666666666669</v>
      </c>
      <c r="D10668">
        <v>3</v>
      </c>
      <c r="E10668">
        <v>7.4</v>
      </c>
      <c r="F10668">
        <v>88</v>
      </c>
    </row>
    <row r="10669" spans="1:6" x14ac:dyDescent="0.35">
      <c r="A10669">
        <v>1975</v>
      </c>
      <c r="B10669" s="1">
        <v>45969</v>
      </c>
      <c r="C10669" s="2">
        <v>0.45833333333333331</v>
      </c>
      <c r="D10669">
        <v>3</v>
      </c>
      <c r="E10669">
        <v>7.5</v>
      </c>
      <c r="F10669">
        <v>87</v>
      </c>
    </row>
    <row r="10670" spans="1:6" x14ac:dyDescent="0.35">
      <c r="A10670">
        <v>1975</v>
      </c>
      <c r="B10670" s="1">
        <v>45969</v>
      </c>
      <c r="C10670" s="2">
        <v>0.5</v>
      </c>
      <c r="D10670">
        <v>3</v>
      </c>
      <c r="E10670">
        <v>7.7</v>
      </c>
      <c r="F10670">
        <v>87</v>
      </c>
    </row>
    <row r="10671" spans="1:6" x14ac:dyDescent="0.35">
      <c r="A10671">
        <v>1975</v>
      </c>
      <c r="B10671" s="1">
        <v>45969</v>
      </c>
      <c r="C10671" s="2">
        <v>0.54166666666666663</v>
      </c>
      <c r="D10671">
        <v>3</v>
      </c>
      <c r="E10671">
        <v>7.8</v>
      </c>
      <c r="F10671">
        <v>85</v>
      </c>
    </row>
    <row r="10672" spans="1:6" x14ac:dyDescent="0.35">
      <c r="A10672">
        <v>1975</v>
      </c>
      <c r="B10672" s="1">
        <v>45969</v>
      </c>
      <c r="C10672" s="2">
        <v>0.58333333333333337</v>
      </c>
      <c r="D10672">
        <v>3</v>
      </c>
      <c r="E10672">
        <v>7.7</v>
      </c>
      <c r="F10672">
        <v>87</v>
      </c>
    </row>
    <row r="10673" spans="1:6" x14ac:dyDescent="0.35">
      <c r="A10673">
        <v>1975</v>
      </c>
      <c r="B10673" s="1">
        <v>45969</v>
      </c>
      <c r="C10673" s="2">
        <v>0.625</v>
      </c>
      <c r="D10673">
        <v>3</v>
      </c>
      <c r="E10673">
        <v>7.6</v>
      </c>
      <c r="F10673">
        <v>86</v>
      </c>
    </row>
    <row r="10674" spans="1:6" x14ac:dyDescent="0.35">
      <c r="A10674">
        <v>1975</v>
      </c>
      <c r="B10674" s="1">
        <v>45969</v>
      </c>
      <c r="C10674" s="2">
        <v>0.66666666666666663</v>
      </c>
      <c r="D10674">
        <v>3</v>
      </c>
      <c r="E10674">
        <v>7.4</v>
      </c>
      <c r="F10674">
        <v>89</v>
      </c>
    </row>
    <row r="10675" spans="1:6" x14ac:dyDescent="0.35">
      <c r="A10675">
        <v>1975</v>
      </c>
      <c r="B10675" s="1">
        <v>45969</v>
      </c>
      <c r="C10675" s="2">
        <v>0.70833333333333337</v>
      </c>
      <c r="D10675">
        <v>3</v>
      </c>
      <c r="E10675">
        <v>7.4</v>
      </c>
      <c r="F10675">
        <v>88</v>
      </c>
    </row>
    <row r="10676" spans="1:6" x14ac:dyDescent="0.35">
      <c r="A10676">
        <v>1975</v>
      </c>
      <c r="B10676" s="1">
        <v>45969</v>
      </c>
      <c r="C10676" s="2">
        <v>0.75</v>
      </c>
      <c r="D10676">
        <v>3</v>
      </c>
      <c r="E10676">
        <v>7.4</v>
      </c>
      <c r="F10676">
        <v>89</v>
      </c>
    </row>
    <row r="10677" spans="1:6" x14ac:dyDescent="0.35">
      <c r="A10677">
        <v>1975</v>
      </c>
      <c r="B10677" s="1">
        <v>45969</v>
      </c>
      <c r="C10677" s="2">
        <v>0.79166666666666663</v>
      </c>
      <c r="D10677">
        <v>3</v>
      </c>
      <c r="E10677">
        <v>7.5</v>
      </c>
      <c r="F10677">
        <v>88</v>
      </c>
    </row>
    <row r="10678" spans="1:6" x14ac:dyDescent="0.35">
      <c r="A10678">
        <v>1975</v>
      </c>
      <c r="B10678" s="1">
        <v>45969</v>
      </c>
      <c r="C10678" s="2">
        <v>0.83333333333333337</v>
      </c>
      <c r="D10678">
        <v>3</v>
      </c>
      <c r="E10678">
        <v>6.7</v>
      </c>
      <c r="F10678">
        <v>93</v>
      </c>
    </row>
    <row r="10679" spans="1:6" x14ac:dyDescent="0.35">
      <c r="A10679">
        <v>1975</v>
      </c>
      <c r="B10679" s="1">
        <v>45969</v>
      </c>
      <c r="C10679" s="2">
        <v>0.875</v>
      </c>
      <c r="D10679">
        <v>3</v>
      </c>
      <c r="E10679">
        <v>6.4</v>
      </c>
      <c r="F10679">
        <v>95</v>
      </c>
    </row>
    <row r="10680" spans="1:6" x14ac:dyDescent="0.35">
      <c r="A10680">
        <v>1975</v>
      </c>
      <c r="B10680" s="1">
        <v>45969</v>
      </c>
      <c r="C10680" s="2">
        <v>0.91666666666666663</v>
      </c>
      <c r="D10680">
        <v>3</v>
      </c>
      <c r="E10680">
        <v>6.3</v>
      </c>
      <c r="F10680">
        <v>95</v>
      </c>
    </row>
    <row r="10681" spans="1:6" x14ac:dyDescent="0.35">
      <c r="A10681">
        <v>1975</v>
      </c>
      <c r="B10681" s="1">
        <v>45969</v>
      </c>
      <c r="C10681" s="2">
        <v>0.95833333333333337</v>
      </c>
      <c r="D10681">
        <v>3</v>
      </c>
      <c r="E10681">
        <v>6.2</v>
      </c>
      <c r="F10681">
        <v>96</v>
      </c>
    </row>
    <row r="10682" spans="1:6" x14ac:dyDescent="0.35">
      <c r="A10682">
        <v>1975</v>
      </c>
      <c r="B10682" s="1">
        <v>45970</v>
      </c>
      <c r="C10682" s="2">
        <v>0</v>
      </c>
      <c r="D10682">
        <v>3</v>
      </c>
      <c r="E10682">
        <v>6.3</v>
      </c>
      <c r="F10682">
        <v>94</v>
      </c>
    </row>
    <row r="10683" spans="1:6" x14ac:dyDescent="0.35">
      <c r="A10683">
        <v>1975</v>
      </c>
      <c r="B10683" s="1">
        <v>45970</v>
      </c>
      <c r="C10683" s="2">
        <v>4.1666666666666657E-2</v>
      </c>
      <c r="D10683">
        <v>3</v>
      </c>
      <c r="E10683">
        <v>6.2</v>
      </c>
      <c r="F10683">
        <v>95</v>
      </c>
    </row>
    <row r="10684" spans="1:6" x14ac:dyDescent="0.35">
      <c r="A10684">
        <v>1975</v>
      </c>
      <c r="B10684" s="1">
        <v>45970</v>
      </c>
      <c r="C10684" s="2">
        <v>8.3333333333333329E-2</v>
      </c>
      <c r="D10684">
        <v>3</v>
      </c>
      <c r="E10684">
        <v>6.3</v>
      </c>
      <c r="F10684">
        <v>94</v>
      </c>
    </row>
    <row r="10685" spans="1:6" x14ac:dyDescent="0.35">
      <c r="A10685">
        <v>1975</v>
      </c>
      <c r="B10685" s="1">
        <v>45970</v>
      </c>
      <c r="C10685" s="2">
        <v>0.125</v>
      </c>
      <c r="D10685">
        <v>3</v>
      </c>
      <c r="E10685">
        <v>6.2</v>
      </c>
      <c r="F10685">
        <v>94</v>
      </c>
    </row>
    <row r="10686" spans="1:6" x14ac:dyDescent="0.35">
      <c r="A10686">
        <v>1975</v>
      </c>
      <c r="B10686" s="1">
        <v>45970</v>
      </c>
      <c r="C10686" s="2">
        <v>0.16666666666666671</v>
      </c>
      <c r="D10686">
        <v>3</v>
      </c>
      <c r="E10686">
        <v>5.9</v>
      </c>
      <c r="F10686">
        <v>97</v>
      </c>
    </row>
    <row r="10687" spans="1:6" x14ac:dyDescent="0.35">
      <c r="A10687">
        <v>1975</v>
      </c>
      <c r="B10687" s="1">
        <v>45970</v>
      </c>
      <c r="C10687" s="2">
        <v>0.20833333333333329</v>
      </c>
      <c r="D10687">
        <v>3</v>
      </c>
      <c r="E10687">
        <v>6</v>
      </c>
      <c r="F10687">
        <v>96</v>
      </c>
    </row>
    <row r="10688" spans="1:6" x14ac:dyDescent="0.35">
      <c r="A10688">
        <v>1975</v>
      </c>
      <c r="B10688" s="1">
        <v>45970</v>
      </c>
      <c r="C10688" s="2">
        <v>0.25</v>
      </c>
      <c r="D10688">
        <v>3</v>
      </c>
      <c r="E10688">
        <v>6.2</v>
      </c>
      <c r="F10688">
        <v>95</v>
      </c>
    </row>
    <row r="10689" spans="1:6" x14ac:dyDescent="0.35">
      <c r="A10689">
        <v>1975</v>
      </c>
      <c r="B10689" s="1">
        <v>45970</v>
      </c>
      <c r="C10689" s="2">
        <v>0.29166666666666669</v>
      </c>
      <c r="D10689">
        <v>3</v>
      </c>
      <c r="E10689">
        <v>6.4</v>
      </c>
      <c r="F10689">
        <v>98</v>
      </c>
    </row>
    <row r="10690" spans="1:6" x14ac:dyDescent="0.35">
      <c r="A10690">
        <v>1975</v>
      </c>
      <c r="B10690" s="1">
        <v>45970</v>
      </c>
      <c r="C10690" s="2">
        <v>0.33333333333333331</v>
      </c>
      <c r="D10690">
        <v>3</v>
      </c>
      <c r="E10690">
        <v>6.7</v>
      </c>
      <c r="F10690">
        <v>97</v>
      </c>
    </row>
    <row r="10691" spans="1:6" x14ac:dyDescent="0.35">
      <c r="A10691">
        <v>1975</v>
      </c>
      <c r="B10691" s="1">
        <v>45970</v>
      </c>
      <c r="C10691" s="2">
        <v>0.375</v>
      </c>
      <c r="D10691">
        <v>3</v>
      </c>
      <c r="E10691">
        <v>7.2</v>
      </c>
      <c r="F10691">
        <v>95</v>
      </c>
    </row>
    <row r="10692" spans="1:6" x14ac:dyDescent="0.35">
      <c r="A10692">
        <v>1975</v>
      </c>
      <c r="B10692" s="1">
        <v>45970</v>
      </c>
      <c r="C10692" s="2">
        <v>0.41666666666666669</v>
      </c>
      <c r="D10692">
        <v>3</v>
      </c>
      <c r="E10692">
        <v>7.3</v>
      </c>
      <c r="F10692">
        <v>97</v>
      </c>
    </row>
    <row r="10693" spans="1:6" x14ac:dyDescent="0.35">
      <c r="A10693">
        <v>1975</v>
      </c>
      <c r="B10693" s="1">
        <v>45970</v>
      </c>
      <c r="C10693" s="2">
        <v>0.45833333333333331</v>
      </c>
      <c r="D10693">
        <v>3</v>
      </c>
      <c r="E10693">
        <v>7.5</v>
      </c>
      <c r="F10693">
        <v>97</v>
      </c>
    </row>
    <row r="10694" spans="1:6" x14ac:dyDescent="0.35">
      <c r="A10694">
        <v>1975</v>
      </c>
      <c r="B10694" s="1">
        <v>45970</v>
      </c>
      <c r="C10694" s="2">
        <v>0.5</v>
      </c>
      <c r="D10694">
        <v>3</v>
      </c>
      <c r="E10694">
        <v>7.7</v>
      </c>
      <c r="F10694">
        <v>96</v>
      </c>
    </row>
    <row r="10695" spans="1:6" x14ac:dyDescent="0.35">
      <c r="A10695">
        <v>1975</v>
      </c>
      <c r="B10695" s="1">
        <v>45970</v>
      </c>
      <c r="C10695" s="2">
        <v>0.54166666666666663</v>
      </c>
      <c r="D10695">
        <v>3</v>
      </c>
      <c r="E10695">
        <v>8.1999999999999993</v>
      </c>
      <c r="F10695">
        <v>95</v>
      </c>
    </row>
    <row r="10696" spans="1:6" x14ac:dyDescent="0.35">
      <c r="A10696">
        <v>1975</v>
      </c>
      <c r="B10696" s="1">
        <v>45970</v>
      </c>
      <c r="C10696" s="2">
        <v>0.58333333333333337</v>
      </c>
      <c r="D10696">
        <v>3</v>
      </c>
      <c r="E10696">
        <v>8.5</v>
      </c>
      <c r="F10696">
        <v>95</v>
      </c>
    </row>
    <row r="10697" spans="1:6" x14ac:dyDescent="0.35">
      <c r="A10697">
        <v>1975</v>
      </c>
      <c r="B10697" s="1">
        <v>45970</v>
      </c>
      <c r="C10697" s="2">
        <v>0.625</v>
      </c>
      <c r="D10697">
        <v>3</v>
      </c>
      <c r="E10697">
        <v>8.5</v>
      </c>
      <c r="F10697">
        <v>96</v>
      </c>
    </row>
    <row r="10698" spans="1:6" x14ac:dyDescent="0.35">
      <c r="A10698">
        <v>1975</v>
      </c>
      <c r="B10698" s="1">
        <v>45970</v>
      </c>
      <c r="C10698" s="2">
        <v>0.66666666666666663</v>
      </c>
      <c r="D10698">
        <v>3</v>
      </c>
      <c r="E10698">
        <v>8.3000000000000007</v>
      </c>
      <c r="F10698">
        <v>98</v>
      </c>
    </row>
    <row r="10699" spans="1:6" x14ac:dyDescent="0.35">
      <c r="A10699">
        <v>1975</v>
      </c>
      <c r="B10699" s="1">
        <v>45970</v>
      </c>
      <c r="C10699" s="2">
        <v>0.70833333333333337</v>
      </c>
      <c r="D10699">
        <v>3</v>
      </c>
      <c r="E10699">
        <v>8.1999999999999993</v>
      </c>
      <c r="F10699">
        <v>98</v>
      </c>
    </row>
    <row r="10700" spans="1:6" x14ac:dyDescent="0.35">
      <c r="A10700">
        <v>1975</v>
      </c>
      <c r="B10700" s="1">
        <v>45970</v>
      </c>
      <c r="C10700" s="2">
        <v>0.75</v>
      </c>
      <c r="D10700">
        <v>3</v>
      </c>
      <c r="E10700">
        <v>8.5</v>
      </c>
      <c r="F10700">
        <v>97</v>
      </c>
    </row>
    <row r="10701" spans="1:6" x14ac:dyDescent="0.35">
      <c r="A10701">
        <v>1975</v>
      </c>
      <c r="B10701" s="1">
        <v>45970</v>
      </c>
      <c r="C10701" s="2">
        <v>0.79166666666666663</v>
      </c>
      <c r="D10701">
        <v>3</v>
      </c>
      <c r="E10701">
        <v>8.6</v>
      </c>
      <c r="F10701">
        <v>98</v>
      </c>
    </row>
    <row r="10702" spans="1:6" x14ac:dyDescent="0.35">
      <c r="A10702">
        <v>1975</v>
      </c>
      <c r="B10702" s="1">
        <v>45970</v>
      </c>
      <c r="C10702" s="2">
        <v>0.83333333333333337</v>
      </c>
      <c r="D10702">
        <v>3</v>
      </c>
      <c r="E10702">
        <v>8.6999999999999993</v>
      </c>
      <c r="F10702">
        <v>99</v>
      </c>
    </row>
    <row r="10703" spans="1:6" x14ac:dyDescent="0.35">
      <c r="A10703">
        <v>1975</v>
      </c>
      <c r="B10703" s="1">
        <v>45970</v>
      </c>
      <c r="C10703" s="2">
        <v>0.875</v>
      </c>
      <c r="D10703">
        <v>3</v>
      </c>
      <c r="E10703">
        <v>9.1</v>
      </c>
      <c r="F10703">
        <v>100</v>
      </c>
    </row>
    <row r="10704" spans="1:6" x14ac:dyDescent="0.35">
      <c r="A10704">
        <v>1975</v>
      </c>
      <c r="B10704" s="1">
        <v>45970</v>
      </c>
      <c r="C10704" s="2">
        <v>0.91666666666666663</v>
      </c>
      <c r="D10704">
        <v>3</v>
      </c>
      <c r="E10704">
        <v>9.3000000000000007</v>
      </c>
      <c r="F10704">
        <v>99</v>
      </c>
    </row>
    <row r="10705" spans="1:6" x14ac:dyDescent="0.35">
      <c r="A10705">
        <v>1975</v>
      </c>
      <c r="B10705" s="1">
        <v>45970</v>
      </c>
      <c r="C10705" s="2">
        <v>0.95833333333333337</v>
      </c>
      <c r="D10705">
        <v>3</v>
      </c>
      <c r="E10705">
        <v>9.4</v>
      </c>
      <c r="F10705">
        <v>99</v>
      </c>
    </row>
    <row r="10706" spans="1:6" x14ac:dyDescent="0.35">
      <c r="A10706">
        <v>1975</v>
      </c>
      <c r="B10706" s="1">
        <v>45971</v>
      </c>
      <c r="C10706" s="2">
        <v>0</v>
      </c>
      <c r="D10706">
        <v>3</v>
      </c>
      <c r="E10706">
        <v>9.9</v>
      </c>
      <c r="F10706">
        <v>99</v>
      </c>
    </row>
    <row r="10707" spans="1:6" x14ac:dyDescent="0.35">
      <c r="A10707">
        <v>1975</v>
      </c>
      <c r="B10707" s="1">
        <v>45971</v>
      </c>
      <c r="C10707" s="2">
        <v>4.1666666666666657E-2</v>
      </c>
      <c r="D10707">
        <v>3</v>
      </c>
      <c r="E10707">
        <v>9.8000000000000007</v>
      </c>
      <c r="F10707">
        <v>97</v>
      </c>
    </row>
    <row r="10708" spans="1:6" x14ac:dyDescent="0.35">
      <c r="A10708">
        <v>1975</v>
      </c>
      <c r="B10708" s="1">
        <v>45971</v>
      </c>
      <c r="C10708" s="2">
        <v>8.3333333333333329E-2</v>
      </c>
      <c r="D10708">
        <v>3</v>
      </c>
      <c r="E10708">
        <v>9.3000000000000007</v>
      </c>
      <c r="F10708">
        <v>96</v>
      </c>
    </row>
    <row r="10709" spans="1:6" x14ac:dyDescent="0.35">
      <c r="A10709">
        <v>1975</v>
      </c>
      <c r="B10709" s="1">
        <v>45971</v>
      </c>
      <c r="C10709" s="2">
        <v>0.125</v>
      </c>
      <c r="D10709">
        <v>3</v>
      </c>
      <c r="E10709">
        <v>8.4</v>
      </c>
      <c r="F10709">
        <v>99</v>
      </c>
    </row>
    <row r="10710" spans="1:6" x14ac:dyDescent="0.35">
      <c r="A10710">
        <v>1975</v>
      </c>
      <c r="B10710" s="1">
        <v>45971</v>
      </c>
      <c r="C10710" s="2">
        <v>0.16666666666666671</v>
      </c>
      <c r="D10710">
        <v>3</v>
      </c>
      <c r="E10710">
        <v>7.3</v>
      </c>
      <c r="F10710">
        <v>100</v>
      </c>
    </row>
    <row r="10711" spans="1:6" x14ac:dyDescent="0.35">
      <c r="A10711">
        <v>1975</v>
      </c>
      <c r="B10711" s="1">
        <v>45971</v>
      </c>
      <c r="C10711" s="2">
        <v>0.20833333333333329</v>
      </c>
      <c r="D10711">
        <v>3</v>
      </c>
      <c r="E10711">
        <v>7.3</v>
      </c>
      <c r="F10711">
        <v>100</v>
      </c>
    </row>
    <row r="10712" spans="1:6" x14ac:dyDescent="0.35">
      <c r="A10712">
        <v>1975</v>
      </c>
      <c r="B10712" s="1">
        <v>45971</v>
      </c>
      <c r="C10712" s="2">
        <v>0.25</v>
      </c>
      <c r="D10712">
        <v>3</v>
      </c>
      <c r="E10712">
        <v>7</v>
      </c>
      <c r="F10712">
        <v>100</v>
      </c>
    </row>
    <row r="10713" spans="1:6" x14ac:dyDescent="0.35">
      <c r="A10713">
        <v>1975</v>
      </c>
      <c r="B10713" s="1">
        <v>45971</v>
      </c>
      <c r="C10713" s="2">
        <v>0.29166666666666669</v>
      </c>
      <c r="D10713">
        <v>3</v>
      </c>
      <c r="E10713">
        <v>7.1</v>
      </c>
      <c r="F10713">
        <v>100</v>
      </c>
    </row>
    <row r="10714" spans="1:6" x14ac:dyDescent="0.35">
      <c r="A10714">
        <v>1975</v>
      </c>
      <c r="B10714" s="1">
        <v>45971</v>
      </c>
      <c r="C10714" s="2">
        <v>0.33333333333333331</v>
      </c>
      <c r="D10714">
        <v>3</v>
      </c>
      <c r="E10714">
        <v>7.2</v>
      </c>
      <c r="F10714">
        <v>100</v>
      </c>
    </row>
    <row r="10715" spans="1:6" x14ac:dyDescent="0.35">
      <c r="A10715">
        <v>1975</v>
      </c>
      <c r="B10715" s="1">
        <v>45971</v>
      </c>
      <c r="C10715" s="2">
        <v>0.375</v>
      </c>
      <c r="D10715">
        <v>3</v>
      </c>
      <c r="E10715">
        <v>7.1</v>
      </c>
      <c r="F10715">
        <v>100</v>
      </c>
    </row>
    <row r="10716" spans="1:6" x14ac:dyDescent="0.35">
      <c r="A10716">
        <v>1975</v>
      </c>
      <c r="B10716" s="1">
        <v>45971</v>
      </c>
      <c r="C10716" s="2">
        <v>0.41666666666666669</v>
      </c>
      <c r="D10716">
        <v>3</v>
      </c>
      <c r="E10716">
        <v>7.5</v>
      </c>
      <c r="F10716">
        <v>100</v>
      </c>
    </row>
    <row r="10717" spans="1:6" x14ac:dyDescent="0.35">
      <c r="A10717">
        <v>1975</v>
      </c>
      <c r="B10717" s="1">
        <v>45971</v>
      </c>
      <c r="C10717" s="2">
        <v>0.45833333333333331</v>
      </c>
      <c r="D10717">
        <v>3</v>
      </c>
      <c r="E10717">
        <v>8.3000000000000007</v>
      </c>
      <c r="F10717">
        <v>98</v>
      </c>
    </row>
    <row r="10718" spans="1:6" x14ac:dyDescent="0.35">
      <c r="A10718">
        <v>1975</v>
      </c>
      <c r="B10718" s="1">
        <v>45971</v>
      </c>
      <c r="C10718" s="2">
        <v>0.5</v>
      </c>
      <c r="D10718">
        <v>3</v>
      </c>
      <c r="E10718">
        <v>9.3000000000000007</v>
      </c>
      <c r="F10718">
        <v>93</v>
      </c>
    </row>
    <row r="10719" spans="1:6" x14ac:dyDescent="0.35">
      <c r="A10719">
        <v>1975</v>
      </c>
      <c r="B10719" s="1">
        <v>45971</v>
      </c>
      <c r="C10719" s="2">
        <v>0.54166666666666663</v>
      </c>
      <c r="D10719">
        <v>3</v>
      </c>
      <c r="E10719">
        <v>8.5</v>
      </c>
      <c r="F10719">
        <v>95</v>
      </c>
    </row>
    <row r="10720" spans="1:6" x14ac:dyDescent="0.35">
      <c r="A10720">
        <v>1975</v>
      </c>
      <c r="B10720" s="1">
        <v>45971</v>
      </c>
      <c r="C10720" s="2">
        <v>0.58333333333333337</v>
      </c>
      <c r="D10720">
        <v>3</v>
      </c>
      <c r="E10720">
        <v>7.8</v>
      </c>
      <c r="F10720">
        <v>98</v>
      </c>
    </row>
    <row r="10721" spans="1:6" x14ac:dyDescent="0.35">
      <c r="A10721">
        <v>1975</v>
      </c>
      <c r="B10721" s="1">
        <v>45971</v>
      </c>
      <c r="C10721" s="2">
        <v>0.625</v>
      </c>
      <c r="D10721">
        <v>3</v>
      </c>
      <c r="E10721">
        <v>7.1</v>
      </c>
      <c r="F10721">
        <v>98</v>
      </c>
    </row>
    <row r="10722" spans="1:6" x14ac:dyDescent="0.35">
      <c r="A10722">
        <v>1975</v>
      </c>
      <c r="B10722" s="1">
        <v>45971</v>
      </c>
      <c r="C10722" s="2">
        <v>0.66666666666666663</v>
      </c>
      <c r="D10722">
        <v>3</v>
      </c>
      <c r="E10722">
        <v>7.1</v>
      </c>
      <c r="F10722">
        <v>98</v>
      </c>
    </row>
    <row r="10723" spans="1:6" x14ac:dyDescent="0.35">
      <c r="A10723">
        <v>1975</v>
      </c>
      <c r="B10723" s="1">
        <v>45971</v>
      </c>
      <c r="C10723" s="2">
        <v>0.70833333333333337</v>
      </c>
      <c r="D10723">
        <v>3</v>
      </c>
      <c r="E10723">
        <v>7.2</v>
      </c>
      <c r="F10723">
        <v>96</v>
      </c>
    </row>
    <row r="10724" spans="1:6" x14ac:dyDescent="0.35">
      <c r="A10724">
        <v>1975</v>
      </c>
      <c r="B10724" s="1">
        <v>45971</v>
      </c>
      <c r="C10724" s="2">
        <v>0.75</v>
      </c>
      <c r="D10724">
        <v>3</v>
      </c>
      <c r="E10724">
        <v>7.4</v>
      </c>
      <c r="F10724">
        <v>94</v>
      </c>
    </row>
    <row r="10725" spans="1:6" x14ac:dyDescent="0.35">
      <c r="A10725">
        <v>1975</v>
      </c>
      <c r="B10725" s="1">
        <v>45971</v>
      </c>
      <c r="C10725" s="2">
        <v>0.79166666666666663</v>
      </c>
      <c r="D10725">
        <v>3</v>
      </c>
      <c r="E10725">
        <v>7.4</v>
      </c>
      <c r="F10725">
        <v>93</v>
      </c>
    </row>
    <row r="10726" spans="1:6" x14ac:dyDescent="0.35">
      <c r="A10726">
        <v>1975</v>
      </c>
      <c r="B10726" s="1">
        <v>45971</v>
      </c>
      <c r="C10726" s="2">
        <v>0.83333333333333337</v>
      </c>
      <c r="D10726">
        <v>3</v>
      </c>
      <c r="E10726">
        <v>7.6</v>
      </c>
      <c r="F10726">
        <v>91</v>
      </c>
    </row>
    <row r="10727" spans="1:6" x14ac:dyDescent="0.35">
      <c r="A10727">
        <v>1975</v>
      </c>
      <c r="B10727" s="1">
        <v>45971</v>
      </c>
      <c r="C10727" s="2">
        <v>0.875</v>
      </c>
      <c r="D10727">
        <v>3</v>
      </c>
      <c r="E10727">
        <v>5.9</v>
      </c>
      <c r="F10727">
        <v>95</v>
      </c>
    </row>
    <row r="10728" spans="1:6" x14ac:dyDescent="0.35">
      <c r="A10728">
        <v>1975</v>
      </c>
      <c r="B10728" s="1">
        <v>45971</v>
      </c>
      <c r="C10728" s="2">
        <v>0.91666666666666663</v>
      </c>
      <c r="D10728">
        <v>3</v>
      </c>
      <c r="E10728">
        <v>5.6</v>
      </c>
      <c r="F10728">
        <v>97</v>
      </c>
    </row>
    <row r="10729" spans="1:6" x14ac:dyDescent="0.35">
      <c r="A10729">
        <v>1975</v>
      </c>
      <c r="B10729" s="1">
        <v>45971</v>
      </c>
      <c r="C10729" s="2">
        <v>0.95833333333333337</v>
      </c>
      <c r="D10729">
        <v>3</v>
      </c>
      <c r="E10729">
        <v>6.3</v>
      </c>
      <c r="F10729">
        <v>98</v>
      </c>
    </row>
    <row r="10730" spans="1:6" x14ac:dyDescent="0.35">
      <c r="A10730">
        <v>1975</v>
      </c>
      <c r="B10730" s="1">
        <v>45972</v>
      </c>
      <c r="C10730" s="2">
        <v>0</v>
      </c>
      <c r="D10730">
        <v>3</v>
      </c>
      <c r="E10730">
        <v>6.3</v>
      </c>
      <c r="F10730">
        <v>98</v>
      </c>
    </row>
    <row r="10731" spans="1:6" x14ac:dyDescent="0.35">
      <c r="A10731">
        <v>1975</v>
      </c>
      <c r="B10731" s="1">
        <v>45972</v>
      </c>
      <c r="C10731" s="2">
        <v>4.1666666666666657E-2</v>
      </c>
      <c r="D10731">
        <v>3</v>
      </c>
      <c r="E10731">
        <v>6.4</v>
      </c>
      <c r="F10731">
        <v>96</v>
      </c>
    </row>
    <row r="10732" spans="1:6" x14ac:dyDescent="0.35">
      <c r="A10732">
        <v>1975</v>
      </c>
      <c r="B10732" s="1">
        <v>45972</v>
      </c>
      <c r="C10732" s="2">
        <v>8.3333333333333329E-2</v>
      </c>
      <c r="D10732">
        <v>3</v>
      </c>
      <c r="E10732">
        <v>6.5</v>
      </c>
      <c r="F10732">
        <v>94</v>
      </c>
    </row>
    <row r="10733" spans="1:6" x14ac:dyDescent="0.35">
      <c r="A10733">
        <v>1975</v>
      </c>
      <c r="B10733" s="1">
        <v>45972</v>
      </c>
      <c r="C10733" s="2">
        <v>0.125</v>
      </c>
      <c r="D10733">
        <v>3</v>
      </c>
      <c r="E10733">
        <v>6.5</v>
      </c>
      <c r="F10733">
        <v>95</v>
      </c>
    </row>
    <row r="10734" spans="1:6" x14ac:dyDescent="0.35">
      <c r="A10734">
        <v>1975</v>
      </c>
      <c r="B10734" s="1">
        <v>45972</v>
      </c>
      <c r="C10734" s="2">
        <v>0.16666666666666671</v>
      </c>
      <c r="D10734">
        <v>3</v>
      </c>
      <c r="E10734">
        <v>6.5</v>
      </c>
      <c r="F10734">
        <v>95</v>
      </c>
    </row>
    <row r="10735" spans="1:6" x14ac:dyDescent="0.35">
      <c r="A10735">
        <v>1975</v>
      </c>
      <c r="B10735" s="1">
        <v>45972</v>
      </c>
      <c r="C10735" s="2">
        <v>0.20833333333333329</v>
      </c>
      <c r="D10735">
        <v>3</v>
      </c>
      <c r="E10735">
        <v>6.7</v>
      </c>
      <c r="F10735">
        <v>96</v>
      </c>
    </row>
    <row r="10736" spans="1:6" x14ac:dyDescent="0.35">
      <c r="A10736">
        <v>1975</v>
      </c>
      <c r="B10736" s="1">
        <v>45972</v>
      </c>
      <c r="C10736" s="2">
        <v>0.25</v>
      </c>
      <c r="D10736">
        <v>3</v>
      </c>
      <c r="E10736">
        <v>6.8</v>
      </c>
      <c r="F10736">
        <v>98</v>
      </c>
    </row>
    <row r="10737" spans="1:6" x14ac:dyDescent="0.35">
      <c r="A10737">
        <v>1975</v>
      </c>
      <c r="B10737" s="1">
        <v>45972</v>
      </c>
      <c r="C10737" s="2">
        <v>0.29166666666666669</v>
      </c>
      <c r="D10737">
        <v>3</v>
      </c>
      <c r="E10737">
        <v>7.4</v>
      </c>
      <c r="F10737">
        <v>97</v>
      </c>
    </row>
    <row r="10738" spans="1:6" x14ac:dyDescent="0.35">
      <c r="A10738">
        <v>1975</v>
      </c>
      <c r="B10738" s="1">
        <v>45972</v>
      </c>
      <c r="C10738" s="2">
        <v>0.33333333333333331</v>
      </c>
      <c r="D10738">
        <v>3</v>
      </c>
      <c r="E10738">
        <v>8.6</v>
      </c>
      <c r="F10738">
        <v>95</v>
      </c>
    </row>
    <row r="10739" spans="1:6" x14ac:dyDescent="0.35">
      <c r="A10739">
        <v>1975</v>
      </c>
      <c r="B10739" s="1">
        <v>45972</v>
      </c>
      <c r="C10739" s="2">
        <v>0.375</v>
      </c>
      <c r="D10739">
        <v>3</v>
      </c>
      <c r="E10739">
        <v>9.3000000000000007</v>
      </c>
      <c r="F10739">
        <v>95</v>
      </c>
    </row>
    <row r="10740" spans="1:6" x14ac:dyDescent="0.35">
      <c r="A10740">
        <v>1975</v>
      </c>
      <c r="B10740" s="1">
        <v>45972</v>
      </c>
      <c r="C10740" s="2">
        <v>0.41666666666666669</v>
      </c>
      <c r="D10740">
        <v>3</v>
      </c>
      <c r="E10740">
        <v>9.6999999999999993</v>
      </c>
      <c r="F10740">
        <v>92</v>
      </c>
    </row>
    <row r="10741" spans="1:6" x14ac:dyDescent="0.35">
      <c r="A10741">
        <v>1975</v>
      </c>
      <c r="B10741" s="1">
        <v>45972</v>
      </c>
      <c r="C10741" s="2">
        <v>0.45833333333333331</v>
      </c>
      <c r="D10741">
        <v>3</v>
      </c>
      <c r="E10741">
        <v>10.6</v>
      </c>
      <c r="F10741">
        <v>88</v>
      </c>
    </row>
    <row r="10742" spans="1:6" x14ac:dyDescent="0.35">
      <c r="A10742">
        <v>1975</v>
      </c>
      <c r="B10742" s="1">
        <v>45972</v>
      </c>
      <c r="C10742" s="2">
        <v>0.5</v>
      </c>
      <c r="D10742">
        <v>3</v>
      </c>
      <c r="E10742">
        <v>11.5</v>
      </c>
      <c r="F10742">
        <v>82</v>
      </c>
    </row>
    <row r="10743" spans="1:6" x14ac:dyDescent="0.35">
      <c r="A10743">
        <v>1975</v>
      </c>
      <c r="B10743" s="1">
        <v>45972</v>
      </c>
      <c r="C10743" s="2">
        <v>0.54166666666666663</v>
      </c>
      <c r="D10743">
        <v>3</v>
      </c>
      <c r="E10743">
        <v>11.5</v>
      </c>
      <c r="F10743">
        <v>82</v>
      </c>
    </row>
    <row r="10744" spans="1:6" x14ac:dyDescent="0.35">
      <c r="A10744">
        <v>1975</v>
      </c>
      <c r="B10744" s="1">
        <v>45972</v>
      </c>
      <c r="C10744" s="2">
        <v>0.58333333333333337</v>
      </c>
      <c r="D10744">
        <v>3</v>
      </c>
      <c r="E10744">
        <v>11.2</v>
      </c>
      <c r="F10744">
        <v>82</v>
      </c>
    </row>
    <row r="10745" spans="1:6" x14ac:dyDescent="0.35">
      <c r="A10745">
        <v>1975</v>
      </c>
      <c r="B10745" s="1">
        <v>45972</v>
      </c>
      <c r="C10745" s="2">
        <v>0.625</v>
      </c>
      <c r="D10745">
        <v>3</v>
      </c>
      <c r="E10745">
        <v>10.8</v>
      </c>
      <c r="F10745">
        <v>83</v>
      </c>
    </row>
    <row r="10746" spans="1:6" x14ac:dyDescent="0.35">
      <c r="A10746">
        <v>1975</v>
      </c>
      <c r="B10746" s="1">
        <v>45972</v>
      </c>
      <c r="C10746" s="2">
        <v>0.66666666666666663</v>
      </c>
      <c r="D10746">
        <v>3</v>
      </c>
      <c r="E10746">
        <v>9.6999999999999993</v>
      </c>
      <c r="F10746">
        <v>88</v>
      </c>
    </row>
    <row r="10747" spans="1:6" x14ac:dyDescent="0.35">
      <c r="A10747">
        <v>1975</v>
      </c>
      <c r="B10747" s="1">
        <v>45972</v>
      </c>
      <c r="C10747" s="2">
        <v>0.70833333333333337</v>
      </c>
      <c r="D10747">
        <v>3</v>
      </c>
      <c r="E10747">
        <v>8.6999999999999993</v>
      </c>
      <c r="F10747">
        <v>90</v>
      </c>
    </row>
    <row r="10748" spans="1:6" x14ac:dyDescent="0.35">
      <c r="A10748">
        <v>1975</v>
      </c>
      <c r="B10748" s="1">
        <v>45972</v>
      </c>
      <c r="C10748" s="2">
        <v>0.75</v>
      </c>
      <c r="D10748">
        <v>3</v>
      </c>
      <c r="E10748">
        <v>8.3000000000000007</v>
      </c>
      <c r="F10748">
        <v>92</v>
      </c>
    </row>
    <row r="10749" spans="1:6" x14ac:dyDescent="0.35">
      <c r="A10749">
        <v>1975</v>
      </c>
      <c r="B10749" s="1">
        <v>45972</v>
      </c>
      <c r="C10749" s="2">
        <v>0.79166666666666663</v>
      </c>
      <c r="D10749">
        <v>3</v>
      </c>
      <c r="E10749">
        <v>7.6</v>
      </c>
      <c r="F10749">
        <v>96</v>
      </c>
    </row>
    <row r="10750" spans="1:6" x14ac:dyDescent="0.35">
      <c r="A10750">
        <v>1975</v>
      </c>
      <c r="B10750" s="1">
        <v>45972</v>
      </c>
      <c r="C10750" s="2">
        <v>0.83333333333333337</v>
      </c>
      <c r="D10750">
        <v>3</v>
      </c>
      <c r="E10750">
        <v>7</v>
      </c>
      <c r="F10750">
        <v>96</v>
      </c>
    </row>
    <row r="10751" spans="1:6" x14ac:dyDescent="0.35">
      <c r="A10751">
        <v>1975</v>
      </c>
      <c r="B10751" s="1">
        <v>45972</v>
      </c>
      <c r="C10751" s="2">
        <v>0.875</v>
      </c>
      <c r="D10751">
        <v>3</v>
      </c>
      <c r="E10751">
        <v>7.3</v>
      </c>
      <c r="F10751">
        <v>97</v>
      </c>
    </row>
    <row r="10752" spans="1:6" x14ac:dyDescent="0.35">
      <c r="A10752">
        <v>1975</v>
      </c>
      <c r="B10752" s="1">
        <v>45972</v>
      </c>
      <c r="C10752" s="2">
        <v>0.91666666666666663</v>
      </c>
      <c r="D10752">
        <v>3</v>
      </c>
      <c r="E10752">
        <v>7</v>
      </c>
      <c r="F10752">
        <v>98</v>
      </c>
    </row>
    <row r="10753" spans="1:6" x14ac:dyDescent="0.35">
      <c r="A10753">
        <v>1975</v>
      </c>
      <c r="B10753" s="1">
        <v>45972</v>
      </c>
      <c r="C10753" s="2">
        <v>0.95833333333333337</v>
      </c>
      <c r="D10753">
        <v>3</v>
      </c>
      <c r="E10753">
        <v>6.4</v>
      </c>
      <c r="F10753">
        <v>98</v>
      </c>
    </row>
    <row r="10754" spans="1:6" x14ac:dyDescent="0.35">
      <c r="A10754">
        <v>1975</v>
      </c>
      <c r="B10754" s="1">
        <v>45973</v>
      </c>
      <c r="C10754" s="2">
        <v>0</v>
      </c>
      <c r="D10754">
        <v>3</v>
      </c>
      <c r="E10754">
        <v>6.3</v>
      </c>
      <c r="F10754">
        <v>98</v>
      </c>
    </row>
    <row r="10755" spans="1:6" x14ac:dyDescent="0.35">
      <c r="A10755">
        <v>1975</v>
      </c>
      <c r="B10755" s="1">
        <v>45973</v>
      </c>
      <c r="C10755" s="2">
        <v>4.1666666666666657E-2</v>
      </c>
      <c r="D10755">
        <v>3</v>
      </c>
      <c r="E10755">
        <v>6.7</v>
      </c>
      <c r="F10755">
        <v>95</v>
      </c>
    </row>
    <row r="10756" spans="1:6" x14ac:dyDescent="0.35">
      <c r="A10756">
        <v>1975</v>
      </c>
      <c r="B10756" s="1">
        <v>45973</v>
      </c>
      <c r="C10756" s="2">
        <v>8.3333333333333329E-2</v>
      </c>
      <c r="D10756">
        <v>3</v>
      </c>
      <c r="E10756">
        <v>6.4</v>
      </c>
      <c r="F10756">
        <v>96</v>
      </c>
    </row>
    <row r="10757" spans="1:6" x14ac:dyDescent="0.35">
      <c r="A10757">
        <v>1975</v>
      </c>
      <c r="B10757" s="1">
        <v>45973</v>
      </c>
      <c r="C10757" s="2">
        <v>0.125</v>
      </c>
      <c r="D10757">
        <v>3</v>
      </c>
      <c r="E10757">
        <v>6.7</v>
      </c>
      <c r="F10757">
        <v>95</v>
      </c>
    </row>
    <row r="10758" spans="1:6" x14ac:dyDescent="0.35">
      <c r="A10758">
        <v>1975</v>
      </c>
      <c r="B10758" s="1">
        <v>45973</v>
      </c>
      <c r="C10758" s="2">
        <v>0.16666666666666671</v>
      </c>
      <c r="D10758">
        <v>3</v>
      </c>
      <c r="E10758">
        <v>6.5</v>
      </c>
      <c r="F10758">
        <v>95</v>
      </c>
    </row>
    <row r="10759" spans="1:6" x14ac:dyDescent="0.35">
      <c r="A10759">
        <v>1975</v>
      </c>
      <c r="B10759" s="1">
        <v>45973</v>
      </c>
      <c r="C10759" s="2">
        <v>0.20833333333333329</v>
      </c>
      <c r="D10759">
        <v>3</v>
      </c>
      <c r="E10759">
        <v>7</v>
      </c>
      <c r="F10759">
        <v>95</v>
      </c>
    </row>
    <row r="10760" spans="1:6" x14ac:dyDescent="0.35">
      <c r="A10760">
        <v>1975</v>
      </c>
      <c r="B10760" s="1">
        <v>45973</v>
      </c>
      <c r="C10760" s="2">
        <v>0.25</v>
      </c>
      <c r="D10760">
        <v>3</v>
      </c>
      <c r="E10760">
        <v>7.3</v>
      </c>
      <c r="F10760">
        <v>93</v>
      </c>
    </row>
    <row r="10761" spans="1:6" x14ac:dyDescent="0.35">
      <c r="A10761">
        <v>1975</v>
      </c>
      <c r="B10761" s="1">
        <v>45973</v>
      </c>
      <c r="C10761" s="2">
        <v>0.29166666666666669</v>
      </c>
      <c r="D10761">
        <v>3</v>
      </c>
      <c r="E10761">
        <v>7.4</v>
      </c>
      <c r="F10761">
        <v>93</v>
      </c>
    </row>
    <row r="10762" spans="1:6" x14ac:dyDescent="0.35">
      <c r="A10762">
        <v>1975</v>
      </c>
      <c r="B10762" s="1">
        <v>45973</v>
      </c>
      <c r="C10762" s="2">
        <v>0.33333333333333331</v>
      </c>
      <c r="D10762">
        <v>3</v>
      </c>
      <c r="E10762">
        <v>7.8</v>
      </c>
      <c r="F10762">
        <v>92</v>
      </c>
    </row>
    <row r="10763" spans="1:6" x14ac:dyDescent="0.35">
      <c r="A10763">
        <v>1975</v>
      </c>
      <c r="B10763" s="1">
        <v>45973</v>
      </c>
      <c r="C10763" s="2">
        <v>0.375</v>
      </c>
      <c r="D10763">
        <v>3</v>
      </c>
      <c r="E10763">
        <v>8.5</v>
      </c>
      <c r="F10763">
        <v>89</v>
      </c>
    </row>
    <row r="10764" spans="1:6" x14ac:dyDescent="0.35">
      <c r="A10764">
        <v>1975</v>
      </c>
      <c r="B10764" s="1">
        <v>45973</v>
      </c>
      <c r="C10764" s="2">
        <v>0.41666666666666669</v>
      </c>
      <c r="D10764">
        <v>3</v>
      </c>
      <c r="E10764">
        <v>9.4</v>
      </c>
      <c r="F10764">
        <v>86</v>
      </c>
    </row>
    <row r="10765" spans="1:6" x14ac:dyDescent="0.35">
      <c r="A10765">
        <v>1975</v>
      </c>
      <c r="B10765" s="1">
        <v>45973</v>
      </c>
      <c r="C10765" s="2">
        <v>0.45833333333333331</v>
      </c>
      <c r="D10765">
        <v>3</v>
      </c>
      <c r="E10765">
        <v>10.8</v>
      </c>
      <c r="F10765">
        <v>81</v>
      </c>
    </row>
    <row r="10766" spans="1:6" x14ac:dyDescent="0.35">
      <c r="A10766">
        <v>1975</v>
      </c>
      <c r="B10766" s="1">
        <v>45973</v>
      </c>
      <c r="C10766" s="2">
        <v>0.5</v>
      </c>
      <c r="D10766">
        <v>3</v>
      </c>
      <c r="E10766">
        <v>11.4</v>
      </c>
      <c r="F10766">
        <v>78</v>
      </c>
    </row>
    <row r="10767" spans="1:6" x14ac:dyDescent="0.35">
      <c r="A10767">
        <v>1975</v>
      </c>
      <c r="B10767" s="1">
        <v>45973</v>
      </c>
      <c r="C10767" s="2">
        <v>0.54166666666666663</v>
      </c>
      <c r="D10767">
        <v>3</v>
      </c>
      <c r="E10767">
        <v>12</v>
      </c>
      <c r="F10767">
        <v>75</v>
      </c>
    </row>
    <row r="10768" spans="1:6" x14ac:dyDescent="0.35">
      <c r="A10768">
        <v>1975</v>
      </c>
      <c r="B10768" s="1">
        <v>45973</v>
      </c>
      <c r="C10768" s="2">
        <v>0.58333333333333337</v>
      </c>
      <c r="D10768">
        <v>3</v>
      </c>
      <c r="E10768">
        <v>12.2</v>
      </c>
      <c r="F10768">
        <v>75</v>
      </c>
    </row>
    <row r="10769" spans="1:6" x14ac:dyDescent="0.35">
      <c r="A10769">
        <v>1975</v>
      </c>
      <c r="B10769" s="1">
        <v>45973</v>
      </c>
      <c r="C10769" s="2">
        <v>0.625</v>
      </c>
      <c r="D10769">
        <v>3</v>
      </c>
      <c r="E10769">
        <v>12</v>
      </c>
      <c r="F10769">
        <v>77</v>
      </c>
    </row>
    <row r="10770" spans="1:6" x14ac:dyDescent="0.35">
      <c r="A10770">
        <v>1975</v>
      </c>
      <c r="B10770" s="1">
        <v>45973</v>
      </c>
      <c r="C10770" s="2">
        <v>0.66666666666666663</v>
      </c>
      <c r="D10770">
        <v>3</v>
      </c>
      <c r="E10770">
        <v>11.9</v>
      </c>
      <c r="F10770">
        <v>77</v>
      </c>
    </row>
    <row r="10771" spans="1:6" x14ac:dyDescent="0.35">
      <c r="A10771">
        <v>1975</v>
      </c>
      <c r="B10771" s="1">
        <v>45973</v>
      </c>
      <c r="C10771" s="2">
        <v>0.70833333333333337</v>
      </c>
      <c r="D10771">
        <v>3</v>
      </c>
      <c r="E10771">
        <v>11.3</v>
      </c>
      <c r="F10771">
        <v>79</v>
      </c>
    </row>
    <row r="10772" spans="1:6" x14ac:dyDescent="0.35">
      <c r="A10772">
        <v>1975</v>
      </c>
      <c r="B10772" s="1">
        <v>45973</v>
      </c>
      <c r="C10772" s="2">
        <v>0.75</v>
      </c>
      <c r="D10772">
        <v>3</v>
      </c>
      <c r="E10772">
        <v>11.1</v>
      </c>
      <c r="F10772">
        <v>78</v>
      </c>
    </row>
    <row r="10773" spans="1:6" x14ac:dyDescent="0.35">
      <c r="A10773">
        <v>1975</v>
      </c>
      <c r="B10773" s="1">
        <v>45973</v>
      </c>
      <c r="C10773" s="2">
        <v>0.79166666666666663</v>
      </c>
      <c r="D10773">
        <v>3</v>
      </c>
      <c r="E10773">
        <v>10.8</v>
      </c>
      <c r="F10773">
        <v>79</v>
      </c>
    </row>
    <row r="10774" spans="1:6" x14ac:dyDescent="0.35">
      <c r="A10774">
        <v>1975</v>
      </c>
      <c r="B10774" s="1">
        <v>45973</v>
      </c>
      <c r="C10774" s="2">
        <v>0.83333333333333337</v>
      </c>
      <c r="D10774">
        <v>3</v>
      </c>
      <c r="E10774">
        <v>10</v>
      </c>
      <c r="F10774">
        <v>81</v>
      </c>
    </row>
    <row r="10775" spans="1:6" x14ac:dyDescent="0.35">
      <c r="A10775">
        <v>1975</v>
      </c>
      <c r="B10775" s="1">
        <v>45973</v>
      </c>
      <c r="C10775" s="2">
        <v>0.875</v>
      </c>
      <c r="D10775">
        <v>3</v>
      </c>
      <c r="E10775">
        <v>9.6</v>
      </c>
      <c r="F10775">
        <v>81</v>
      </c>
    </row>
    <row r="10776" spans="1:6" x14ac:dyDescent="0.35">
      <c r="A10776">
        <v>1975</v>
      </c>
      <c r="B10776" s="1">
        <v>45973</v>
      </c>
      <c r="C10776" s="2">
        <v>0.91666666666666663</v>
      </c>
      <c r="D10776">
        <v>3</v>
      </c>
      <c r="E10776">
        <v>8.8000000000000007</v>
      </c>
      <c r="F10776">
        <v>82</v>
      </c>
    </row>
    <row r="10777" spans="1:6" x14ac:dyDescent="0.35">
      <c r="A10777">
        <v>1975</v>
      </c>
      <c r="B10777" s="1">
        <v>45973</v>
      </c>
      <c r="C10777" s="2">
        <v>0.95833333333333337</v>
      </c>
      <c r="D10777">
        <v>3</v>
      </c>
      <c r="E10777">
        <v>10.9</v>
      </c>
      <c r="F10777">
        <v>73</v>
      </c>
    </row>
    <row r="10778" spans="1:6" x14ac:dyDescent="0.35">
      <c r="A10778">
        <v>1975</v>
      </c>
      <c r="B10778" s="1">
        <v>45974</v>
      </c>
      <c r="C10778" s="2">
        <v>0</v>
      </c>
      <c r="D10778">
        <v>3</v>
      </c>
      <c r="E10778">
        <v>10.199999999999999</v>
      </c>
      <c r="F10778">
        <v>74</v>
      </c>
    </row>
    <row r="10779" spans="1:6" x14ac:dyDescent="0.35">
      <c r="A10779">
        <v>1975</v>
      </c>
      <c r="B10779" s="1">
        <v>45974</v>
      </c>
      <c r="C10779" s="2">
        <v>4.1666666666666657E-2</v>
      </c>
      <c r="D10779">
        <v>3</v>
      </c>
      <c r="E10779">
        <v>10.199999999999999</v>
      </c>
      <c r="F10779">
        <v>75</v>
      </c>
    </row>
    <row r="10780" spans="1:6" x14ac:dyDescent="0.35">
      <c r="A10780">
        <v>1975</v>
      </c>
      <c r="B10780" s="1">
        <v>45974</v>
      </c>
      <c r="C10780" s="2">
        <v>8.3333333333333329E-2</v>
      </c>
      <c r="D10780">
        <v>3</v>
      </c>
      <c r="E10780">
        <v>9.6999999999999993</v>
      </c>
      <c r="F10780">
        <v>78</v>
      </c>
    </row>
    <row r="10781" spans="1:6" x14ac:dyDescent="0.35">
      <c r="A10781">
        <v>1975</v>
      </c>
      <c r="B10781" s="1">
        <v>45974</v>
      </c>
      <c r="C10781" s="2">
        <v>0.125</v>
      </c>
      <c r="D10781">
        <v>3</v>
      </c>
      <c r="E10781">
        <v>10.199999999999999</v>
      </c>
      <c r="F10781">
        <v>76</v>
      </c>
    </row>
    <row r="10782" spans="1:6" x14ac:dyDescent="0.35">
      <c r="A10782">
        <v>1975</v>
      </c>
      <c r="B10782" s="1">
        <v>45974</v>
      </c>
      <c r="C10782" s="2">
        <v>0.16666666666666671</v>
      </c>
      <c r="D10782">
        <v>3</v>
      </c>
      <c r="E10782">
        <v>10</v>
      </c>
      <c r="F10782">
        <v>78</v>
      </c>
    </row>
    <row r="10783" spans="1:6" x14ac:dyDescent="0.35">
      <c r="A10783">
        <v>1975</v>
      </c>
      <c r="B10783" s="1">
        <v>45974</v>
      </c>
      <c r="C10783" s="2">
        <v>0.20833333333333329</v>
      </c>
      <c r="D10783">
        <v>3</v>
      </c>
      <c r="E10783">
        <v>6.9</v>
      </c>
      <c r="F10783">
        <v>91</v>
      </c>
    </row>
    <row r="10784" spans="1:6" x14ac:dyDescent="0.35">
      <c r="A10784">
        <v>1975</v>
      </c>
      <c r="B10784" s="1">
        <v>45974</v>
      </c>
      <c r="C10784" s="2">
        <v>0.25</v>
      </c>
      <c r="D10784">
        <v>3</v>
      </c>
      <c r="E10784">
        <v>10.9</v>
      </c>
      <c r="F10784">
        <v>78</v>
      </c>
    </row>
    <row r="10785" spans="1:6" x14ac:dyDescent="0.35">
      <c r="A10785">
        <v>1975</v>
      </c>
      <c r="B10785" s="1">
        <v>45974</v>
      </c>
      <c r="C10785" s="2">
        <v>0.29166666666666669</v>
      </c>
      <c r="D10785">
        <v>3</v>
      </c>
      <c r="E10785">
        <v>11.4</v>
      </c>
      <c r="F10785">
        <v>76</v>
      </c>
    </row>
    <row r="10786" spans="1:6" x14ac:dyDescent="0.35">
      <c r="A10786">
        <v>1975</v>
      </c>
      <c r="B10786" s="1">
        <v>45974</v>
      </c>
      <c r="C10786" s="2">
        <v>0.33333333333333331</v>
      </c>
      <c r="D10786">
        <v>3</v>
      </c>
      <c r="E10786">
        <v>11.6</v>
      </c>
      <c r="F10786">
        <v>77</v>
      </c>
    </row>
    <row r="10787" spans="1:6" x14ac:dyDescent="0.35">
      <c r="A10787">
        <v>1975</v>
      </c>
      <c r="B10787" s="1">
        <v>45974</v>
      </c>
      <c r="C10787" s="2">
        <v>0.375</v>
      </c>
      <c r="D10787">
        <v>3</v>
      </c>
      <c r="E10787">
        <v>13</v>
      </c>
      <c r="F10787">
        <v>73</v>
      </c>
    </row>
    <row r="10788" spans="1:6" x14ac:dyDescent="0.35">
      <c r="A10788">
        <v>1975</v>
      </c>
      <c r="B10788" s="1">
        <v>45974</v>
      </c>
      <c r="C10788" s="2">
        <v>0.41666666666666669</v>
      </c>
      <c r="D10788">
        <v>3</v>
      </c>
      <c r="E10788">
        <v>13.7</v>
      </c>
      <c r="F10788">
        <v>71</v>
      </c>
    </row>
    <row r="10789" spans="1:6" x14ac:dyDescent="0.35">
      <c r="A10789">
        <v>1975</v>
      </c>
      <c r="B10789" s="1">
        <v>45974</v>
      </c>
      <c r="C10789" s="2">
        <v>0.45833333333333331</v>
      </c>
      <c r="D10789">
        <v>3</v>
      </c>
      <c r="E10789">
        <v>14.8</v>
      </c>
      <c r="F10789">
        <v>70</v>
      </c>
    </row>
    <row r="10790" spans="1:6" x14ac:dyDescent="0.35">
      <c r="A10790">
        <v>1975</v>
      </c>
      <c r="B10790" s="1">
        <v>45974</v>
      </c>
      <c r="C10790" s="2">
        <v>0.5</v>
      </c>
      <c r="D10790">
        <v>3</v>
      </c>
      <c r="E10790">
        <v>14.6</v>
      </c>
      <c r="F10790">
        <v>73</v>
      </c>
    </row>
    <row r="10791" spans="1:6" x14ac:dyDescent="0.35">
      <c r="A10791">
        <v>1975</v>
      </c>
      <c r="B10791" s="1">
        <v>45974</v>
      </c>
      <c r="C10791" s="2">
        <v>0.54166666666666663</v>
      </c>
      <c r="D10791">
        <v>3</v>
      </c>
      <c r="E10791">
        <v>15.2</v>
      </c>
      <c r="F10791">
        <v>71</v>
      </c>
    </row>
    <row r="10792" spans="1:6" x14ac:dyDescent="0.35">
      <c r="A10792">
        <v>1975</v>
      </c>
      <c r="B10792" s="1">
        <v>45974</v>
      </c>
      <c r="C10792" s="2">
        <v>0.58333333333333337</v>
      </c>
      <c r="D10792">
        <v>3</v>
      </c>
      <c r="E10792">
        <v>15.2</v>
      </c>
      <c r="F10792">
        <v>73</v>
      </c>
    </row>
    <row r="10793" spans="1:6" x14ac:dyDescent="0.35">
      <c r="A10793">
        <v>1975</v>
      </c>
      <c r="B10793" s="1">
        <v>45974</v>
      </c>
      <c r="C10793" s="2">
        <v>0.625</v>
      </c>
      <c r="D10793">
        <v>3</v>
      </c>
      <c r="E10793">
        <v>14.9</v>
      </c>
      <c r="F10793">
        <v>74</v>
      </c>
    </row>
    <row r="10794" spans="1:6" x14ac:dyDescent="0.35">
      <c r="A10794">
        <v>1975</v>
      </c>
      <c r="B10794" s="1">
        <v>45974</v>
      </c>
      <c r="C10794" s="2">
        <v>0.66666666666666663</v>
      </c>
      <c r="D10794">
        <v>3</v>
      </c>
      <c r="E10794">
        <v>14.4</v>
      </c>
      <c r="F10794">
        <v>77</v>
      </c>
    </row>
    <row r="10795" spans="1:6" x14ac:dyDescent="0.35">
      <c r="A10795">
        <v>1975</v>
      </c>
      <c r="B10795" s="1">
        <v>45974</v>
      </c>
      <c r="C10795" s="2">
        <v>0.70833333333333337</v>
      </c>
      <c r="D10795">
        <v>3</v>
      </c>
      <c r="E10795">
        <v>14.2</v>
      </c>
      <c r="F10795">
        <v>78</v>
      </c>
    </row>
    <row r="10796" spans="1:6" x14ac:dyDescent="0.35">
      <c r="A10796">
        <v>1975</v>
      </c>
      <c r="B10796" s="1">
        <v>45974</v>
      </c>
      <c r="C10796" s="2">
        <v>0.75</v>
      </c>
      <c r="D10796">
        <v>3</v>
      </c>
      <c r="E10796">
        <v>14</v>
      </c>
      <c r="F10796">
        <v>81</v>
      </c>
    </row>
    <row r="10797" spans="1:6" x14ac:dyDescent="0.35">
      <c r="A10797">
        <v>1975</v>
      </c>
      <c r="B10797" s="1">
        <v>45974</v>
      </c>
      <c r="C10797" s="2">
        <v>0.79166666666666663</v>
      </c>
      <c r="D10797">
        <v>3</v>
      </c>
      <c r="E10797">
        <v>13.5</v>
      </c>
      <c r="F10797">
        <v>83</v>
      </c>
    </row>
    <row r="10798" spans="1:6" x14ac:dyDescent="0.35">
      <c r="A10798">
        <v>1975</v>
      </c>
      <c r="B10798" s="1">
        <v>45974</v>
      </c>
      <c r="C10798" s="2">
        <v>0.83333333333333337</v>
      </c>
      <c r="D10798">
        <v>3</v>
      </c>
      <c r="E10798">
        <v>13.6</v>
      </c>
      <c r="F10798">
        <v>83</v>
      </c>
    </row>
    <row r="10799" spans="1:6" x14ac:dyDescent="0.35">
      <c r="A10799">
        <v>1975</v>
      </c>
      <c r="B10799" s="1">
        <v>45974</v>
      </c>
      <c r="C10799" s="2">
        <v>0.875</v>
      </c>
      <c r="D10799">
        <v>3</v>
      </c>
      <c r="E10799">
        <v>13.3</v>
      </c>
      <c r="F10799">
        <v>84</v>
      </c>
    </row>
    <row r="10800" spans="1:6" x14ac:dyDescent="0.35">
      <c r="A10800">
        <v>1975</v>
      </c>
      <c r="B10800" s="1">
        <v>45974</v>
      </c>
      <c r="C10800" s="2">
        <v>0.91666666666666663</v>
      </c>
      <c r="D10800">
        <v>3</v>
      </c>
      <c r="E10800">
        <v>12.8</v>
      </c>
      <c r="F10800">
        <v>87</v>
      </c>
    </row>
    <row r="10801" spans="1:6" x14ac:dyDescent="0.35">
      <c r="A10801">
        <v>1975</v>
      </c>
      <c r="B10801" s="1">
        <v>45974</v>
      </c>
      <c r="C10801" s="2">
        <v>0.95833333333333337</v>
      </c>
      <c r="D10801">
        <v>3</v>
      </c>
      <c r="E10801">
        <v>12.2</v>
      </c>
      <c r="F10801">
        <v>89</v>
      </c>
    </row>
    <row r="10802" spans="1:6" x14ac:dyDescent="0.35">
      <c r="A10802">
        <v>1975</v>
      </c>
      <c r="B10802" s="1">
        <v>45975</v>
      </c>
      <c r="C10802" s="2">
        <v>0</v>
      </c>
      <c r="D10802">
        <v>3</v>
      </c>
      <c r="E10802">
        <v>11.6</v>
      </c>
      <c r="F10802">
        <v>92</v>
      </c>
    </row>
    <row r="10803" spans="1:6" x14ac:dyDescent="0.35">
      <c r="A10803">
        <v>1975</v>
      </c>
      <c r="B10803" s="1">
        <v>45975</v>
      </c>
      <c r="C10803" s="2">
        <v>4.1666666666666657E-2</v>
      </c>
      <c r="D10803">
        <v>3</v>
      </c>
      <c r="E10803">
        <v>11.7</v>
      </c>
      <c r="F10803">
        <v>88</v>
      </c>
    </row>
    <row r="10804" spans="1:6" x14ac:dyDescent="0.35">
      <c r="A10804">
        <v>1975</v>
      </c>
      <c r="B10804" s="1">
        <v>45975</v>
      </c>
      <c r="C10804" s="2">
        <v>8.3333333333333329E-2</v>
      </c>
      <c r="D10804">
        <v>3</v>
      </c>
      <c r="E10804">
        <v>10.7</v>
      </c>
      <c r="F10804">
        <v>94</v>
      </c>
    </row>
    <row r="10805" spans="1:6" x14ac:dyDescent="0.35">
      <c r="A10805">
        <v>1975</v>
      </c>
      <c r="B10805" s="1">
        <v>45975</v>
      </c>
      <c r="C10805" s="2">
        <v>0.125</v>
      </c>
      <c r="D10805">
        <v>3</v>
      </c>
      <c r="E10805">
        <v>10.4</v>
      </c>
      <c r="F10805">
        <v>98</v>
      </c>
    </row>
    <row r="10806" spans="1:6" x14ac:dyDescent="0.35">
      <c r="A10806">
        <v>1975</v>
      </c>
      <c r="B10806" s="1">
        <v>45975</v>
      </c>
      <c r="C10806" s="2">
        <v>0.16666666666666671</v>
      </c>
      <c r="D10806">
        <v>3</v>
      </c>
      <c r="E10806">
        <v>9.5</v>
      </c>
      <c r="F10806">
        <v>94</v>
      </c>
    </row>
    <row r="10807" spans="1:6" x14ac:dyDescent="0.35">
      <c r="A10807">
        <v>1975</v>
      </c>
      <c r="B10807" s="1">
        <v>45975</v>
      </c>
      <c r="C10807" s="2">
        <v>0.20833333333333329</v>
      </c>
      <c r="D10807">
        <v>3</v>
      </c>
      <c r="E10807">
        <v>9.1999999999999993</v>
      </c>
      <c r="F10807">
        <v>96</v>
      </c>
    </row>
    <row r="10808" spans="1:6" x14ac:dyDescent="0.35">
      <c r="A10808">
        <v>1975</v>
      </c>
      <c r="B10808" s="1">
        <v>45975</v>
      </c>
      <c r="C10808" s="2">
        <v>0.25</v>
      </c>
      <c r="D10808">
        <v>3</v>
      </c>
      <c r="E10808">
        <v>8.9</v>
      </c>
      <c r="F10808">
        <v>97</v>
      </c>
    </row>
    <row r="10809" spans="1:6" x14ac:dyDescent="0.35">
      <c r="A10809">
        <v>1975</v>
      </c>
      <c r="B10809" s="1">
        <v>45975</v>
      </c>
      <c r="C10809" s="2">
        <v>0.29166666666666669</v>
      </c>
      <c r="D10809">
        <v>3</v>
      </c>
      <c r="E10809">
        <v>8.5</v>
      </c>
      <c r="F10809">
        <v>96</v>
      </c>
    </row>
    <row r="10810" spans="1:6" x14ac:dyDescent="0.35">
      <c r="A10810">
        <v>1975</v>
      </c>
      <c r="B10810" s="1">
        <v>45975</v>
      </c>
      <c r="C10810" s="2">
        <v>0.33333333333333331</v>
      </c>
      <c r="D10810">
        <v>3</v>
      </c>
      <c r="E10810">
        <v>8.3000000000000007</v>
      </c>
      <c r="F10810">
        <v>95</v>
      </c>
    </row>
    <row r="10811" spans="1:6" x14ac:dyDescent="0.35">
      <c r="A10811">
        <v>1975</v>
      </c>
      <c r="B10811" s="1">
        <v>45975</v>
      </c>
      <c r="C10811" s="2">
        <v>0.375</v>
      </c>
      <c r="D10811">
        <v>3</v>
      </c>
      <c r="E10811">
        <v>7.8</v>
      </c>
      <c r="F10811">
        <v>94</v>
      </c>
    </row>
    <row r="10812" spans="1:6" x14ac:dyDescent="0.35">
      <c r="A10812">
        <v>1975</v>
      </c>
      <c r="B10812" s="1">
        <v>45975</v>
      </c>
      <c r="C10812" s="2">
        <v>0.41666666666666669</v>
      </c>
      <c r="D10812">
        <v>3</v>
      </c>
      <c r="E10812">
        <v>7.5</v>
      </c>
      <c r="F10812">
        <v>94</v>
      </c>
    </row>
    <row r="10813" spans="1:6" x14ac:dyDescent="0.35">
      <c r="A10813">
        <v>1975</v>
      </c>
      <c r="B10813" s="1">
        <v>45975</v>
      </c>
      <c r="C10813" s="2">
        <v>0.45833333333333331</v>
      </c>
      <c r="D10813">
        <v>3</v>
      </c>
      <c r="E10813">
        <v>7.4</v>
      </c>
      <c r="F10813">
        <v>94</v>
      </c>
    </row>
    <row r="10814" spans="1:6" x14ac:dyDescent="0.35">
      <c r="A10814">
        <v>1975</v>
      </c>
      <c r="B10814" s="1">
        <v>45975</v>
      </c>
      <c r="C10814" s="2">
        <v>0.5</v>
      </c>
      <c r="D10814">
        <v>3</v>
      </c>
      <c r="E10814">
        <v>7.5</v>
      </c>
      <c r="F10814">
        <v>96</v>
      </c>
    </row>
    <row r="10815" spans="1:6" x14ac:dyDescent="0.35">
      <c r="A10815">
        <v>1975</v>
      </c>
      <c r="B10815" s="1">
        <v>45975</v>
      </c>
      <c r="C10815" s="2">
        <v>0.54166666666666663</v>
      </c>
      <c r="D10815">
        <v>3</v>
      </c>
      <c r="E10815">
        <v>7.4</v>
      </c>
      <c r="F10815">
        <v>95</v>
      </c>
    </row>
    <row r="10816" spans="1:6" x14ac:dyDescent="0.35">
      <c r="A10816">
        <v>1975</v>
      </c>
      <c r="B10816" s="1">
        <v>45975</v>
      </c>
      <c r="C10816" s="2">
        <v>0.58333333333333337</v>
      </c>
      <c r="D10816">
        <v>3</v>
      </c>
      <c r="E10816">
        <v>6.5</v>
      </c>
      <c r="F10816">
        <v>94</v>
      </c>
    </row>
    <row r="10817" spans="1:6" x14ac:dyDescent="0.35">
      <c r="A10817">
        <v>1975</v>
      </c>
      <c r="B10817" s="1">
        <v>45975</v>
      </c>
      <c r="C10817" s="2">
        <v>0.625</v>
      </c>
      <c r="D10817">
        <v>3</v>
      </c>
      <c r="E10817">
        <v>6.2</v>
      </c>
      <c r="F10817">
        <v>93</v>
      </c>
    </row>
    <row r="10818" spans="1:6" x14ac:dyDescent="0.35">
      <c r="A10818">
        <v>1975</v>
      </c>
      <c r="B10818" s="1">
        <v>45975</v>
      </c>
      <c r="C10818" s="2">
        <v>0.66666666666666663</v>
      </c>
      <c r="D10818">
        <v>3</v>
      </c>
      <c r="E10818">
        <v>6.2</v>
      </c>
      <c r="F10818">
        <v>95</v>
      </c>
    </row>
    <row r="10819" spans="1:6" x14ac:dyDescent="0.35">
      <c r="A10819">
        <v>1975</v>
      </c>
      <c r="B10819" s="1">
        <v>45975</v>
      </c>
      <c r="C10819" s="2">
        <v>0.70833333333333337</v>
      </c>
      <c r="D10819">
        <v>3</v>
      </c>
      <c r="E10819">
        <v>6.1</v>
      </c>
      <c r="F10819">
        <v>93</v>
      </c>
    </row>
    <row r="10820" spans="1:6" x14ac:dyDescent="0.35">
      <c r="A10820">
        <v>1975</v>
      </c>
      <c r="B10820" s="1">
        <v>45975</v>
      </c>
      <c r="C10820" s="2">
        <v>0.75</v>
      </c>
      <c r="D10820">
        <v>3</v>
      </c>
      <c r="E10820">
        <v>5.9</v>
      </c>
      <c r="F10820">
        <v>93</v>
      </c>
    </row>
    <row r="10821" spans="1:6" x14ac:dyDescent="0.35">
      <c r="A10821">
        <v>1975</v>
      </c>
      <c r="B10821" s="1">
        <v>45975</v>
      </c>
      <c r="C10821" s="2">
        <v>0.79166666666666663</v>
      </c>
      <c r="D10821">
        <v>3</v>
      </c>
      <c r="E10821">
        <v>5.7</v>
      </c>
      <c r="F10821">
        <v>94</v>
      </c>
    </row>
    <row r="10822" spans="1:6" x14ac:dyDescent="0.35">
      <c r="A10822">
        <v>1975</v>
      </c>
      <c r="B10822" s="1">
        <v>45975</v>
      </c>
      <c r="C10822" s="2">
        <v>0.83333333333333337</v>
      </c>
      <c r="D10822">
        <v>3</v>
      </c>
      <c r="E10822">
        <v>5.8</v>
      </c>
      <c r="F10822">
        <v>94</v>
      </c>
    </row>
    <row r="10823" spans="1:6" x14ac:dyDescent="0.35">
      <c r="A10823">
        <v>1975</v>
      </c>
      <c r="B10823" s="1">
        <v>45975</v>
      </c>
      <c r="C10823" s="2">
        <v>0.875</v>
      </c>
      <c r="D10823">
        <v>3</v>
      </c>
      <c r="E10823">
        <v>5.9</v>
      </c>
      <c r="F10823">
        <v>94</v>
      </c>
    </row>
    <row r="10824" spans="1:6" x14ac:dyDescent="0.35">
      <c r="A10824">
        <v>1975</v>
      </c>
      <c r="B10824" s="1">
        <v>45975</v>
      </c>
      <c r="C10824" s="2">
        <v>0.91666666666666663</v>
      </c>
      <c r="D10824">
        <v>3</v>
      </c>
      <c r="E10824">
        <v>5.8</v>
      </c>
      <c r="F10824">
        <v>93</v>
      </c>
    </row>
    <row r="10825" spans="1:6" x14ac:dyDescent="0.35">
      <c r="A10825">
        <v>1975</v>
      </c>
      <c r="B10825" s="1">
        <v>45975</v>
      </c>
      <c r="C10825" s="2">
        <v>0.95833333333333337</v>
      </c>
      <c r="D10825">
        <v>3</v>
      </c>
      <c r="E10825">
        <v>5.6</v>
      </c>
      <c r="F10825">
        <v>94</v>
      </c>
    </row>
    <row r="10826" spans="1:6" x14ac:dyDescent="0.35">
      <c r="A10826">
        <v>1975</v>
      </c>
      <c r="B10826" s="1">
        <v>45976</v>
      </c>
      <c r="C10826" s="2">
        <v>0</v>
      </c>
      <c r="D10826">
        <v>3</v>
      </c>
      <c r="E10826">
        <v>5.7</v>
      </c>
      <c r="F10826">
        <v>91</v>
      </c>
    </row>
    <row r="10827" spans="1:6" x14ac:dyDescent="0.35">
      <c r="A10827">
        <v>1975</v>
      </c>
      <c r="B10827" s="1">
        <v>45976</v>
      </c>
      <c r="C10827" s="2">
        <v>4.1666666666666657E-2</v>
      </c>
      <c r="D10827">
        <v>3</v>
      </c>
      <c r="E10827">
        <v>5.6</v>
      </c>
      <c r="F10827">
        <v>90</v>
      </c>
    </row>
    <row r="10828" spans="1:6" x14ac:dyDescent="0.35">
      <c r="A10828">
        <v>1975</v>
      </c>
      <c r="B10828" s="1">
        <v>45976</v>
      </c>
      <c r="C10828" s="2">
        <v>8.3333333333333329E-2</v>
      </c>
      <c r="D10828">
        <v>3</v>
      </c>
      <c r="E10828">
        <v>5.5</v>
      </c>
      <c r="F10828">
        <v>94</v>
      </c>
    </row>
    <row r="10829" spans="1:6" x14ac:dyDescent="0.35">
      <c r="A10829">
        <v>1975</v>
      </c>
      <c r="B10829" s="1">
        <v>45976</v>
      </c>
      <c r="C10829" s="2">
        <v>0.125</v>
      </c>
      <c r="D10829">
        <v>3</v>
      </c>
      <c r="E10829">
        <v>5.8</v>
      </c>
      <c r="F10829">
        <v>91</v>
      </c>
    </row>
    <row r="10830" spans="1:6" x14ac:dyDescent="0.35">
      <c r="A10830">
        <v>1975</v>
      </c>
      <c r="B10830" s="1">
        <v>45976</v>
      </c>
      <c r="C10830" s="2">
        <v>0.16666666666666671</v>
      </c>
      <c r="D10830">
        <v>3</v>
      </c>
      <c r="E10830">
        <v>6</v>
      </c>
      <c r="F10830">
        <v>91</v>
      </c>
    </row>
    <row r="10831" spans="1:6" x14ac:dyDescent="0.35">
      <c r="A10831">
        <v>1975</v>
      </c>
      <c r="B10831" s="1">
        <v>45976</v>
      </c>
      <c r="C10831" s="2">
        <v>0.20833333333333329</v>
      </c>
      <c r="D10831">
        <v>3</v>
      </c>
      <c r="E10831">
        <v>6.2</v>
      </c>
      <c r="F10831">
        <v>89</v>
      </c>
    </row>
    <row r="10832" spans="1:6" x14ac:dyDescent="0.35">
      <c r="A10832">
        <v>1975</v>
      </c>
      <c r="B10832" s="1">
        <v>45976</v>
      </c>
      <c r="C10832" s="2">
        <v>0.25</v>
      </c>
      <c r="D10832">
        <v>3</v>
      </c>
      <c r="E10832">
        <v>6.3</v>
      </c>
      <c r="F10832">
        <v>86</v>
      </c>
    </row>
    <row r="10833" spans="1:6" x14ac:dyDescent="0.35">
      <c r="A10833">
        <v>1975</v>
      </c>
      <c r="B10833" s="1">
        <v>45976</v>
      </c>
      <c r="C10833" s="2">
        <v>0.29166666666666669</v>
      </c>
      <c r="D10833">
        <v>3</v>
      </c>
      <c r="E10833">
        <v>6.3</v>
      </c>
      <c r="F10833">
        <v>84</v>
      </c>
    </row>
    <row r="10834" spans="1:6" x14ac:dyDescent="0.35">
      <c r="A10834">
        <v>1975</v>
      </c>
      <c r="B10834" s="1">
        <v>45976</v>
      </c>
      <c r="C10834" s="2">
        <v>0.33333333333333331</v>
      </c>
      <c r="D10834">
        <v>3</v>
      </c>
      <c r="E10834">
        <v>6.3</v>
      </c>
      <c r="F10834">
        <v>82</v>
      </c>
    </row>
    <row r="10835" spans="1:6" x14ac:dyDescent="0.35">
      <c r="A10835">
        <v>1975</v>
      </c>
      <c r="B10835" s="1">
        <v>45976</v>
      </c>
      <c r="C10835" s="2">
        <v>0.375</v>
      </c>
      <c r="D10835">
        <v>3</v>
      </c>
      <c r="E10835">
        <v>6.6</v>
      </c>
      <c r="F10835">
        <v>78</v>
      </c>
    </row>
    <row r="10836" spans="1:6" x14ac:dyDescent="0.35">
      <c r="A10836">
        <v>1975</v>
      </c>
      <c r="B10836" s="1">
        <v>45976</v>
      </c>
      <c r="C10836" s="2">
        <v>0.41666666666666669</v>
      </c>
      <c r="D10836">
        <v>3</v>
      </c>
      <c r="E10836">
        <v>6.7</v>
      </c>
      <c r="F10836">
        <v>79</v>
      </c>
    </row>
    <row r="10837" spans="1:6" x14ac:dyDescent="0.35">
      <c r="A10837">
        <v>1975</v>
      </c>
      <c r="B10837" s="1">
        <v>45976</v>
      </c>
      <c r="C10837" s="2">
        <v>0.45833333333333331</v>
      </c>
      <c r="D10837">
        <v>3</v>
      </c>
      <c r="E10837">
        <v>6.4</v>
      </c>
      <c r="F10837">
        <v>81</v>
      </c>
    </row>
    <row r="10838" spans="1:6" x14ac:dyDescent="0.35">
      <c r="A10838">
        <v>1975</v>
      </c>
      <c r="B10838" s="1">
        <v>45976</v>
      </c>
      <c r="C10838" s="2">
        <v>0.5</v>
      </c>
      <c r="D10838">
        <v>3</v>
      </c>
      <c r="E10838">
        <v>6.3</v>
      </c>
      <c r="F10838">
        <v>81</v>
      </c>
    </row>
    <row r="10839" spans="1:6" x14ac:dyDescent="0.35">
      <c r="A10839">
        <v>1975</v>
      </c>
      <c r="B10839" s="1">
        <v>45976</v>
      </c>
      <c r="C10839" s="2">
        <v>0.54166666666666663</v>
      </c>
      <c r="D10839">
        <v>3</v>
      </c>
      <c r="E10839">
        <v>6.1</v>
      </c>
      <c r="F10839">
        <v>80</v>
      </c>
    </row>
    <row r="10840" spans="1:6" x14ac:dyDescent="0.35">
      <c r="A10840">
        <v>1975</v>
      </c>
      <c r="B10840" s="1">
        <v>45976</v>
      </c>
      <c r="C10840" s="2">
        <v>0.58333333333333337</v>
      </c>
      <c r="D10840">
        <v>3</v>
      </c>
      <c r="E10840">
        <v>6</v>
      </c>
      <c r="F10840">
        <v>79</v>
      </c>
    </row>
    <row r="10841" spans="1:6" x14ac:dyDescent="0.35">
      <c r="A10841">
        <v>1975</v>
      </c>
      <c r="B10841" s="1">
        <v>45976</v>
      </c>
      <c r="C10841" s="2">
        <v>0.625</v>
      </c>
      <c r="D10841">
        <v>3</v>
      </c>
      <c r="E10841">
        <v>5.9</v>
      </c>
      <c r="F10841">
        <v>77</v>
      </c>
    </row>
    <row r="10842" spans="1:6" x14ac:dyDescent="0.35">
      <c r="A10842">
        <v>1975</v>
      </c>
      <c r="B10842" s="1">
        <v>45976</v>
      </c>
      <c r="C10842" s="2">
        <v>0.66666666666666663</v>
      </c>
      <c r="D10842">
        <v>3</v>
      </c>
      <c r="E10842">
        <v>5.8</v>
      </c>
      <c r="F10842">
        <v>79</v>
      </c>
    </row>
    <row r="10843" spans="1:6" x14ac:dyDescent="0.35">
      <c r="A10843">
        <v>1975</v>
      </c>
      <c r="B10843" s="1">
        <v>45976</v>
      </c>
      <c r="C10843" s="2">
        <v>0.70833333333333337</v>
      </c>
      <c r="D10843">
        <v>3</v>
      </c>
      <c r="E10843">
        <v>5.6</v>
      </c>
      <c r="F10843">
        <v>84</v>
      </c>
    </row>
    <row r="10844" spans="1:6" x14ac:dyDescent="0.35">
      <c r="A10844">
        <v>1975</v>
      </c>
      <c r="B10844" s="1">
        <v>45976</v>
      </c>
      <c r="C10844" s="2">
        <v>0.75</v>
      </c>
      <c r="D10844">
        <v>3</v>
      </c>
      <c r="E10844">
        <v>5.4</v>
      </c>
      <c r="F10844">
        <v>90</v>
      </c>
    </row>
    <row r="10845" spans="1:6" x14ac:dyDescent="0.35">
      <c r="A10845">
        <v>1975</v>
      </c>
      <c r="B10845" s="1">
        <v>45976</v>
      </c>
      <c r="C10845" s="2">
        <v>0.79166666666666663</v>
      </c>
      <c r="D10845">
        <v>3</v>
      </c>
      <c r="E10845">
        <v>5.2</v>
      </c>
      <c r="F10845">
        <v>92</v>
      </c>
    </row>
    <row r="10846" spans="1:6" x14ac:dyDescent="0.35">
      <c r="A10846">
        <v>1975</v>
      </c>
      <c r="B10846" s="1">
        <v>45976</v>
      </c>
      <c r="C10846" s="2">
        <v>0.83333333333333337</v>
      </c>
      <c r="D10846">
        <v>3</v>
      </c>
      <c r="E10846">
        <v>5.2</v>
      </c>
      <c r="F10846">
        <v>93</v>
      </c>
    </row>
    <row r="10847" spans="1:6" x14ac:dyDescent="0.35">
      <c r="A10847">
        <v>1975</v>
      </c>
      <c r="B10847" s="1">
        <v>45976</v>
      </c>
      <c r="C10847" s="2">
        <v>0.875</v>
      </c>
      <c r="D10847">
        <v>3</v>
      </c>
      <c r="E10847">
        <v>5.0999999999999996</v>
      </c>
      <c r="F10847">
        <v>95</v>
      </c>
    </row>
    <row r="10848" spans="1:6" x14ac:dyDescent="0.35">
      <c r="A10848">
        <v>1975</v>
      </c>
      <c r="B10848" s="1">
        <v>45976</v>
      </c>
      <c r="C10848" s="2">
        <v>0.91666666666666663</v>
      </c>
      <c r="D10848">
        <v>3</v>
      </c>
      <c r="E10848">
        <v>5.0999999999999996</v>
      </c>
      <c r="F10848">
        <v>95</v>
      </c>
    </row>
    <row r="10849" spans="1:6" x14ac:dyDescent="0.35">
      <c r="A10849">
        <v>1975</v>
      </c>
      <c r="B10849" s="1">
        <v>45976</v>
      </c>
      <c r="C10849" s="2">
        <v>0.95833333333333337</v>
      </c>
      <c r="D10849">
        <v>3</v>
      </c>
      <c r="E10849">
        <v>5.0999999999999996</v>
      </c>
      <c r="F10849">
        <v>95</v>
      </c>
    </row>
    <row r="10850" spans="1:6" x14ac:dyDescent="0.35">
      <c r="A10850">
        <v>1975</v>
      </c>
      <c r="B10850" s="1">
        <v>45977</v>
      </c>
      <c r="C10850" s="2">
        <v>0</v>
      </c>
      <c r="D10850">
        <v>3</v>
      </c>
      <c r="E10850">
        <v>5.0999999999999996</v>
      </c>
      <c r="F10850">
        <v>96</v>
      </c>
    </row>
    <row r="10851" spans="1:6" x14ac:dyDescent="0.35">
      <c r="A10851">
        <v>1975</v>
      </c>
      <c r="B10851" s="1">
        <v>45977</v>
      </c>
      <c r="C10851" s="2">
        <v>4.1666666666666657E-2</v>
      </c>
      <c r="D10851">
        <v>3</v>
      </c>
      <c r="E10851">
        <v>5</v>
      </c>
      <c r="F10851">
        <v>97</v>
      </c>
    </row>
    <row r="10852" spans="1:6" x14ac:dyDescent="0.35">
      <c r="A10852">
        <v>1975</v>
      </c>
      <c r="B10852" s="1">
        <v>45977</v>
      </c>
      <c r="C10852" s="2">
        <v>8.3333333333333329E-2</v>
      </c>
      <c r="D10852">
        <v>3</v>
      </c>
      <c r="E10852">
        <v>4.9000000000000004</v>
      </c>
      <c r="F10852">
        <v>97</v>
      </c>
    </row>
    <row r="10853" spans="1:6" x14ac:dyDescent="0.35">
      <c r="A10853">
        <v>1975</v>
      </c>
      <c r="B10853" s="1">
        <v>45977</v>
      </c>
      <c r="C10853" s="2">
        <v>0.125</v>
      </c>
      <c r="D10853">
        <v>3</v>
      </c>
      <c r="E10853">
        <v>4.7</v>
      </c>
      <c r="F10853">
        <v>97</v>
      </c>
    </row>
    <row r="10854" spans="1:6" x14ac:dyDescent="0.35">
      <c r="A10854">
        <v>1975</v>
      </c>
      <c r="B10854" s="1">
        <v>45977</v>
      </c>
      <c r="C10854" s="2">
        <v>0.16666666666666671</v>
      </c>
      <c r="D10854">
        <v>3</v>
      </c>
      <c r="E10854">
        <v>4.7</v>
      </c>
      <c r="F10854">
        <v>96</v>
      </c>
    </row>
    <row r="10855" spans="1:6" x14ac:dyDescent="0.35">
      <c r="A10855">
        <v>1975</v>
      </c>
      <c r="B10855" s="1">
        <v>45977</v>
      </c>
      <c r="C10855" s="2">
        <v>0.20833333333333329</v>
      </c>
      <c r="D10855">
        <v>3</v>
      </c>
      <c r="E10855">
        <v>4.7</v>
      </c>
      <c r="F10855">
        <v>97</v>
      </c>
    </row>
    <row r="10856" spans="1:6" x14ac:dyDescent="0.35">
      <c r="A10856">
        <v>1975</v>
      </c>
      <c r="B10856" s="1">
        <v>45977</v>
      </c>
      <c r="C10856" s="2">
        <v>0.25</v>
      </c>
      <c r="D10856">
        <v>3</v>
      </c>
      <c r="E10856">
        <v>4.8</v>
      </c>
      <c r="F10856">
        <v>97</v>
      </c>
    </row>
    <row r="10857" spans="1:6" x14ac:dyDescent="0.35">
      <c r="A10857">
        <v>1975</v>
      </c>
      <c r="B10857" s="1">
        <v>45977</v>
      </c>
      <c r="C10857" s="2">
        <v>0.29166666666666669</v>
      </c>
      <c r="D10857">
        <v>3</v>
      </c>
      <c r="E10857">
        <v>4.8</v>
      </c>
      <c r="F10857">
        <v>98</v>
      </c>
    </row>
    <row r="10858" spans="1:6" x14ac:dyDescent="0.35">
      <c r="A10858">
        <v>1975</v>
      </c>
      <c r="B10858" s="1">
        <v>45977</v>
      </c>
      <c r="C10858" s="2">
        <v>0.33333333333333331</v>
      </c>
      <c r="D10858">
        <v>3</v>
      </c>
      <c r="E10858">
        <v>5</v>
      </c>
      <c r="F10858">
        <v>99</v>
      </c>
    </row>
    <row r="10859" spans="1:6" x14ac:dyDescent="0.35">
      <c r="A10859">
        <v>1975</v>
      </c>
      <c r="B10859" s="1">
        <v>45977</v>
      </c>
      <c r="C10859" s="2">
        <v>0.375</v>
      </c>
      <c r="D10859">
        <v>3</v>
      </c>
      <c r="E10859">
        <v>5.5</v>
      </c>
      <c r="F10859">
        <v>97</v>
      </c>
    </row>
    <row r="10860" spans="1:6" x14ac:dyDescent="0.35">
      <c r="A10860">
        <v>1975</v>
      </c>
      <c r="B10860" s="1">
        <v>45977</v>
      </c>
      <c r="C10860" s="2">
        <v>0.41666666666666669</v>
      </c>
      <c r="D10860">
        <v>3</v>
      </c>
      <c r="E10860">
        <v>5.9</v>
      </c>
      <c r="F10860">
        <v>96</v>
      </c>
    </row>
    <row r="10861" spans="1:6" x14ac:dyDescent="0.35">
      <c r="A10861">
        <v>1975</v>
      </c>
      <c r="B10861" s="1">
        <v>45977</v>
      </c>
      <c r="C10861" s="2">
        <v>0.45833333333333331</v>
      </c>
      <c r="D10861">
        <v>3</v>
      </c>
      <c r="E10861">
        <v>6.1</v>
      </c>
      <c r="F10861">
        <v>93</v>
      </c>
    </row>
    <row r="10862" spans="1:6" x14ac:dyDescent="0.35">
      <c r="A10862">
        <v>1975</v>
      </c>
      <c r="B10862" s="1">
        <v>45977</v>
      </c>
      <c r="C10862" s="2">
        <v>0.5</v>
      </c>
      <c r="D10862">
        <v>3</v>
      </c>
      <c r="E10862">
        <v>6.1</v>
      </c>
      <c r="F10862">
        <v>92</v>
      </c>
    </row>
    <row r="10863" spans="1:6" x14ac:dyDescent="0.35">
      <c r="A10863">
        <v>1975</v>
      </c>
      <c r="B10863" s="1">
        <v>45977</v>
      </c>
      <c r="C10863" s="2">
        <v>0.54166666666666663</v>
      </c>
      <c r="D10863">
        <v>3</v>
      </c>
      <c r="E10863">
        <v>6.1</v>
      </c>
      <c r="F10863">
        <v>88</v>
      </c>
    </row>
    <row r="10864" spans="1:6" x14ac:dyDescent="0.35">
      <c r="A10864">
        <v>1975</v>
      </c>
      <c r="B10864" s="1">
        <v>45977</v>
      </c>
      <c r="C10864" s="2">
        <v>0.58333333333333337</v>
      </c>
      <c r="D10864">
        <v>3</v>
      </c>
      <c r="E10864">
        <v>6</v>
      </c>
      <c r="F10864">
        <v>87</v>
      </c>
    </row>
    <row r="10865" spans="1:6" x14ac:dyDescent="0.35">
      <c r="A10865">
        <v>1975</v>
      </c>
      <c r="B10865" s="1">
        <v>45977</v>
      </c>
      <c r="C10865" s="2">
        <v>0.625</v>
      </c>
      <c r="D10865">
        <v>3</v>
      </c>
      <c r="E10865">
        <v>5.4</v>
      </c>
      <c r="F10865">
        <v>82</v>
      </c>
    </row>
    <row r="10866" spans="1:6" x14ac:dyDescent="0.35">
      <c r="A10866">
        <v>1975</v>
      </c>
      <c r="B10866" s="1">
        <v>45977</v>
      </c>
      <c r="C10866" s="2">
        <v>0.66666666666666663</v>
      </c>
      <c r="D10866">
        <v>3</v>
      </c>
      <c r="E10866">
        <v>3.4</v>
      </c>
      <c r="F10866">
        <v>97</v>
      </c>
    </row>
    <row r="10867" spans="1:6" x14ac:dyDescent="0.35">
      <c r="A10867">
        <v>1975</v>
      </c>
      <c r="B10867" s="1">
        <v>45977</v>
      </c>
      <c r="C10867" s="2">
        <v>0.70833333333333337</v>
      </c>
      <c r="D10867">
        <v>3</v>
      </c>
      <c r="E10867">
        <v>3.1</v>
      </c>
      <c r="F10867">
        <v>93</v>
      </c>
    </row>
    <row r="10868" spans="1:6" x14ac:dyDescent="0.35">
      <c r="A10868">
        <v>1975</v>
      </c>
      <c r="B10868" s="1">
        <v>45977</v>
      </c>
      <c r="C10868" s="2">
        <v>0.75</v>
      </c>
      <c r="D10868">
        <v>3</v>
      </c>
      <c r="E10868">
        <v>2.6</v>
      </c>
      <c r="F10868">
        <v>95</v>
      </c>
    </row>
    <row r="10869" spans="1:6" x14ac:dyDescent="0.35">
      <c r="A10869">
        <v>1975</v>
      </c>
      <c r="B10869" s="1">
        <v>45977</v>
      </c>
      <c r="C10869" s="2">
        <v>0.79166666666666663</v>
      </c>
      <c r="D10869">
        <v>3</v>
      </c>
      <c r="E10869">
        <v>3</v>
      </c>
      <c r="F10869">
        <v>88</v>
      </c>
    </row>
    <row r="10870" spans="1:6" x14ac:dyDescent="0.35">
      <c r="A10870">
        <v>1975</v>
      </c>
      <c r="B10870" s="1">
        <v>45977</v>
      </c>
      <c r="C10870" s="2">
        <v>0.83333333333333337</v>
      </c>
      <c r="D10870">
        <v>3</v>
      </c>
      <c r="E10870">
        <v>3</v>
      </c>
      <c r="F10870">
        <v>87</v>
      </c>
    </row>
    <row r="10871" spans="1:6" x14ac:dyDescent="0.35">
      <c r="A10871">
        <v>1975</v>
      </c>
      <c r="B10871" s="1">
        <v>45977</v>
      </c>
      <c r="C10871" s="2">
        <v>0.875</v>
      </c>
      <c r="D10871">
        <v>3</v>
      </c>
      <c r="E10871">
        <v>3.6</v>
      </c>
      <c r="F10871">
        <v>83</v>
      </c>
    </row>
    <row r="10872" spans="1:6" x14ac:dyDescent="0.35">
      <c r="A10872">
        <v>1975</v>
      </c>
      <c r="B10872" s="1">
        <v>45977</v>
      </c>
      <c r="C10872" s="2">
        <v>0.91666666666666663</v>
      </c>
      <c r="D10872">
        <v>3</v>
      </c>
      <c r="E10872">
        <v>2.5</v>
      </c>
      <c r="F10872">
        <v>85</v>
      </c>
    </row>
    <row r="10873" spans="1:6" x14ac:dyDescent="0.35">
      <c r="A10873">
        <v>1975</v>
      </c>
      <c r="B10873" s="1">
        <v>45977</v>
      </c>
      <c r="C10873" s="2">
        <v>0.95833333333333337</v>
      </c>
      <c r="D10873">
        <v>3</v>
      </c>
      <c r="E10873">
        <v>3</v>
      </c>
      <c r="F10873">
        <v>83</v>
      </c>
    </row>
    <row r="10874" spans="1:6" x14ac:dyDescent="0.35">
      <c r="A10874">
        <v>1975</v>
      </c>
      <c r="B10874" s="1">
        <v>45978</v>
      </c>
      <c r="C10874" s="2">
        <v>0</v>
      </c>
      <c r="D10874">
        <v>3</v>
      </c>
      <c r="E10874">
        <v>3.7</v>
      </c>
      <c r="F10874">
        <v>87</v>
      </c>
    </row>
    <row r="10875" spans="1:6" x14ac:dyDescent="0.35">
      <c r="A10875">
        <v>1975</v>
      </c>
      <c r="B10875" s="1">
        <v>45978</v>
      </c>
      <c r="C10875" s="2">
        <v>4.1666666666666657E-2</v>
      </c>
      <c r="D10875">
        <v>3</v>
      </c>
      <c r="E10875">
        <v>3.8</v>
      </c>
      <c r="F10875">
        <v>93</v>
      </c>
    </row>
    <row r="10876" spans="1:6" x14ac:dyDescent="0.35">
      <c r="A10876">
        <v>1975</v>
      </c>
      <c r="B10876" s="1">
        <v>45978</v>
      </c>
      <c r="C10876" s="2">
        <v>8.3333333333333329E-2</v>
      </c>
      <c r="D10876">
        <v>3</v>
      </c>
      <c r="E10876">
        <v>3.9</v>
      </c>
      <c r="F10876">
        <v>95</v>
      </c>
    </row>
    <row r="10877" spans="1:6" x14ac:dyDescent="0.35">
      <c r="A10877">
        <v>1975</v>
      </c>
      <c r="B10877" s="1">
        <v>45978</v>
      </c>
      <c r="C10877" s="2">
        <v>0.125</v>
      </c>
      <c r="D10877">
        <v>3</v>
      </c>
      <c r="E10877">
        <v>2.4</v>
      </c>
      <c r="F10877">
        <v>96</v>
      </c>
    </row>
    <row r="10878" spans="1:6" x14ac:dyDescent="0.35">
      <c r="A10878">
        <v>1975</v>
      </c>
      <c r="B10878" s="1">
        <v>45978</v>
      </c>
      <c r="C10878" s="2">
        <v>0.16666666666666671</v>
      </c>
      <c r="D10878">
        <v>3</v>
      </c>
      <c r="E10878">
        <v>4.0999999999999996</v>
      </c>
      <c r="F10878">
        <v>97</v>
      </c>
    </row>
    <row r="10879" spans="1:6" x14ac:dyDescent="0.35">
      <c r="A10879">
        <v>1975</v>
      </c>
      <c r="B10879" s="1">
        <v>45978</v>
      </c>
      <c r="C10879" s="2">
        <v>0.20833333333333329</v>
      </c>
      <c r="D10879">
        <v>3</v>
      </c>
      <c r="E10879">
        <v>4.4000000000000004</v>
      </c>
      <c r="F10879">
        <v>96</v>
      </c>
    </row>
    <row r="10880" spans="1:6" x14ac:dyDescent="0.35">
      <c r="A10880">
        <v>1975</v>
      </c>
      <c r="B10880" s="1">
        <v>45978</v>
      </c>
      <c r="C10880" s="2">
        <v>0.25</v>
      </c>
      <c r="D10880">
        <v>3</v>
      </c>
      <c r="E10880">
        <v>3.8</v>
      </c>
      <c r="F10880">
        <v>97</v>
      </c>
    </row>
    <row r="10881" spans="1:6" x14ac:dyDescent="0.35">
      <c r="A10881">
        <v>1975</v>
      </c>
      <c r="B10881" s="1">
        <v>45978</v>
      </c>
      <c r="C10881" s="2">
        <v>0.29166666666666669</v>
      </c>
      <c r="D10881">
        <v>3</v>
      </c>
      <c r="E10881">
        <v>3.6</v>
      </c>
      <c r="F10881">
        <v>97</v>
      </c>
    </row>
    <row r="10882" spans="1:6" x14ac:dyDescent="0.35">
      <c r="A10882">
        <v>1975</v>
      </c>
      <c r="B10882" s="1">
        <v>45978</v>
      </c>
      <c r="C10882" s="2">
        <v>0.33333333333333331</v>
      </c>
      <c r="D10882">
        <v>3</v>
      </c>
      <c r="E10882">
        <v>3.8</v>
      </c>
      <c r="F10882">
        <v>92</v>
      </c>
    </row>
    <row r="10883" spans="1:6" x14ac:dyDescent="0.35">
      <c r="A10883">
        <v>1975</v>
      </c>
      <c r="B10883" s="1">
        <v>45978</v>
      </c>
      <c r="C10883" s="2">
        <v>0.375</v>
      </c>
      <c r="D10883">
        <v>3</v>
      </c>
      <c r="E10883">
        <v>4.5999999999999996</v>
      </c>
      <c r="F10883">
        <v>85</v>
      </c>
    </row>
    <row r="10884" spans="1:6" x14ac:dyDescent="0.35">
      <c r="A10884">
        <v>1975</v>
      </c>
      <c r="B10884" s="1">
        <v>45978</v>
      </c>
      <c r="C10884" s="2">
        <v>0.41666666666666669</v>
      </c>
      <c r="D10884">
        <v>3</v>
      </c>
      <c r="E10884">
        <v>5.5</v>
      </c>
      <c r="F10884">
        <v>80</v>
      </c>
    </row>
    <row r="10885" spans="1:6" x14ac:dyDescent="0.35">
      <c r="A10885">
        <v>1975</v>
      </c>
      <c r="B10885" s="1">
        <v>45978</v>
      </c>
      <c r="C10885" s="2">
        <v>0.45833333333333331</v>
      </c>
      <c r="D10885">
        <v>3</v>
      </c>
      <c r="E10885">
        <v>5.8</v>
      </c>
      <c r="F10885">
        <v>76</v>
      </c>
    </row>
    <row r="10886" spans="1:6" x14ac:dyDescent="0.35">
      <c r="A10886">
        <v>1975</v>
      </c>
      <c r="B10886" s="1">
        <v>45978</v>
      </c>
      <c r="C10886" s="2">
        <v>0.5</v>
      </c>
      <c r="D10886">
        <v>3</v>
      </c>
      <c r="E10886">
        <v>6.1</v>
      </c>
      <c r="F10886">
        <v>70</v>
      </c>
    </row>
    <row r="10887" spans="1:6" x14ac:dyDescent="0.35">
      <c r="A10887">
        <v>1975</v>
      </c>
      <c r="B10887" s="1">
        <v>45978</v>
      </c>
      <c r="C10887" s="2">
        <v>0.54166666666666663</v>
      </c>
      <c r="D10887">
        <v>3</v>
      </c>
      <c r="E10887">
        <v>6.2</v>
      </c>
      <c r="F10887">
        <v>67</v>
      </c>
    </row>
    <row r="10888" spans="1:6" x14ac:dyDescent="0.35">
      <c r="A10888">
        <v>1975</v>
      </c>
      <c r="B10888" s="1">
        <v>45978</v>
      </c>
      <c r="C10888" s="2">
        <v>0.58333333333333337</v>
      </c>
      <c r="D10888">
        <v>3</v>
      </c>
      <c r="E10888">
        <v>6.1</v>
      </c>
      <c r="F10888">
        <v>64</v>
      </c>
    </row>
    <row r="10889" spans="1:6" x14ac:dyDescent="0.35">
      <c r="A10889">
        <v>1975</v>
      </c>
      <c r="B10889" s="1">
        <v>45978</v>
      </c>
      <c r="C10889" s="2">
        <v>0.625</v>
      </c>
      <c r="D10889">
        <v>3</v>
      </c>
      <c r="E10889">
        <v>5.4</v>
      </c>
      <c r="F10889">
        <v>71</v>
      </c>
    </row>
    <row r="10890" spans="1:6" x14ac:dyDescent="0.35">
      <c r="A10890">
        <v>1975</v>
      </c>
      <c r="B10890" s="1">
        <v>45978</v>
      </c>
      <c r="C10890" s="2">
        <v>0.66666666666666663</v>
      </c>
      <c r="D10890">
        <v>3</v>
      </c>
      <c r="E10890">
        <v>4.4000000000000004</v>
      </c>
      <c r="F10890">
        <v>74</v>
      </c>
    </row>
    <row r="10891" spans="1:6" x14ac:dyDescent="0.35">
      <c r="A10891">
        <v>1975</v>
      </c>
      <c r="B10891" s="1">
        <v>45978</v>
      </c>
      <c r="C10891" s="2">
        <v>0.70833333333333337</v>
      </c>
      <c r="D10891">
        <v>3</v>
      </c>
      <c r="E10891">
        <v>3.5</v>
      </c>
      <c r="F10891">
        <v>78</v>
      </c>
    </row>
    <row r="10892" spans="1:6" x14ac:dyDescent="0.35">
      <c r="A10892">
        <v>1975</v>
      </c>
      <c r="B10892" s="1">
        <v>45978</v>
      </c>
      <c r="C10892" s="2">
        <v>0.75</v>
      </c>
      <c r="D10892">
        <v>3</v>
      </c>
      <c r="E10892">
        <v>2.5</v>
      </c>
      <c r="F10892">
        <v>82</v>
      </c>
    </row>
    <row r="10893" spans="1:6" x14ac:dyDescent="0.35">
      <c r="A10893">
        <v>1975</v>
      </c>
      <c r="B10893" s="1">
        <v>45978</v>
      </c>
      <c r="C10893" s="2">
        <v>0.79166666666666663</v>
      </c>
      <c r="D10893">
        <v>3</v>
      </c>
      <c r="E10893">
        <v>2.6</v>
      </c>
      <c r="F10893">
        <v>81</v>
      </c>
    </row>
    <row r="10894" spans="1:6" x14ac:dyDescent="0.35">
      <c r="A10894">
        <v>1975</v>
      </c>
      <c r="B10894" s="1">
        <v>45978</v>
      </c>
      <c r="C10894" s="2">
        <v>0.83333333333333337</v>
      </c>
      <c r="D10894">
        <v>3</v>
      </c>
      <c r="E10894">
        <v>2.1</v>
      </c>
      <c r="F10894">
        <v>82</v>
      </c>
    </row>
    <row r="10895" spans="1:6" x14ac:dyDescent="0.35">
      <c r="A10895">
        <v>1975</v>
      </c>
      <c r="B10895" s="1">
        <v>45978</v>
      </c>
      <c r="C10895" s="2">
        <v>0.875</v>
      </c>
      <c r="D10895">
        <v>3</v>
      </c>
      <c r="E10895">
        <v>2.8</v>
      </c>
      <c r="F10895">
        <v>79</v>
      </c>
    </row>
    <row r="10896" spans="1:6" x14ac:dyDescent="0.35">
      <c r="A10896">
        <v>1975</v>
      </c>
      <c r="B10896" s="1">
        <v>45978</v>
      </c>
      <c r="C10896" s="2">
        <v>0.91666666666666663</v>
      </c>
      <c r="D10896">
        <v>3</v>
      </c>
      <c r="E10896">
        <v>2.9</v>
      </c>
      <c r="F10896">
        <v>80</v>
      </c>
    </row>
    <row r="10897" spans="1:6" x14ac:dyDescent="0.35">
      <c r="A10897">
        <v>1975</v>
      </c>
      <c r="B10897" s="1">
        <v>45978</v>
      </c>
      <c r="C10897" s="2">
        <v>0.95833333333333337</v>
      </c>
      <c r="D10897">
        <v>3</v>
      </c>
      <c r="E10897">
        <v>3.4</v>
      </c>
      <c r="F10897">
        <v>85</v>
      </c>
    </row>
    <row r="10898" spans="1:6" x14ac:dyDescent="0.35">
      <c r="A10898">
        <v>1975</v>
      </c>
      <c r="B10898" s="1">
        <v>45979</v>
      </c>
      <c r="C10898" s="2">
        <v>0</v>
      </c>
      <c r="D10898">
        <v>3</v>
      </c>
      <c r="E10898">
        <v>3.5</v>
      </c>
      <c r="F10898">
        <v>87</v>
      </c>
    </row>
    <row r="10899" spans="1:6" x14ac:dyDescent="0.35">
      <c r="A10899">
        <v>1975</v>
      </c>
      <c r="B10899" s="1">
        <v>45979</v>
      </c>
      <c r="C10899" s="2">
        <v>4.1666666666666657E-2</v>
      </c>
      <c r="D10899">
        <v>3</v>
      </c>
      <c r="E10899">
        <v>3.1</v>
      </c>
      <c r="F10899">
        <v>90</v>
      </c>
    </row>
    <row r="10900" spans="1:6" x14ac:dyDescent="0.35">
      <c r="A10900">
        <v>1975</v>
      </c>
      <c r="B10900" s="1">
        <v>45979</v>
      </c>
      <c r="C10900" s="2">
        <v>8.3333333333333329E-2</v>
      </c>
      <c r="D10900">
        <v>3</v>
      </c>
      <c r="E10900">
        <v>2.8</v>
      </c>
      <c r="F10900">
        <v>95</v>
      </c>
    </row>
    <row r="10901" spans="1:6" x14ac:dyDescent="0.35">
      <c r="A10901">
        <v>1975</v>
      </c>
      <c r="B10901" s="1">
        <v>45979</v>
      </c>
      <c r="C10901" s="2">
        <v>0.125</v>
      </c>
      <c r="D10901">
        <v>3</v>
      </c>
      <c r="E10901">
        <v>3.7</v>
      </c>
      <c r="F10901">
        <v>93</v>
      </c>
    </row>
    <row r="10902" spans="1:6" x14ac:dyDescent="0.35">
      <c r="A10902">
        <v>1975</v>
      </c>
      <c r="B10902" s="1">
        <v>45979</v>
      </c>
      <c r="C10902" s="2">
        <v>0.16666666666666671</v>
      </c>
      <c r="D10902">
        <v>3</v>
      </c>
      <c r="E10902">
        <v>3.5</v>
      </c>
      <c r="F10902">
        <v>92</v>
      </c>
    </row>
    <row r="10903" spans="1:6" x14ac:dyDescent="0.35">
      <c r="A10903">
        <v>1975</v>
      </c>
      <c r="B10903" s="1">
        <v>45979</v>
      </c>
      <c r="C10903" s="2">
        <v>0.20833333333333329</v>
      </c>
      <c r="D10903">
        <v>3</v>
      </c>
      <c r="E10903">
        <v>3.5</v>
      </c>
      <c r="F10903">
        <v>94</v>
      </c>
    </row>
    <row r="10904" spans="1:6" x14ac:dyDescent="0.35">
      <c r="A10904">
        <v>1975</v>
      </c>
      <c r="B10904" s="1">
        <v>45979</v>
      </c>
      <c r="C10904" s="2">
        <v>0.25</v>
      </c>
      <c r="D10904">
        <v>3</v>
      </c>
      <c r="E10904">
        <v>3.3</v>
      </c>
      <c r="F10904">
        <v>95</v>
      </c>
    </row>
    <row r="10905" spans="1:6" x14ac:dyDescent="0.35">
      <c r="A10905">
        <v>1975</v>
      </c>
      <c r="B10905" s="1">
        <v>45979</v>
      </c>
      <c r="C10905" s="2">
        <v>0.29166666666666669</v>
      </c>
      <c r="D10905">
        <v>3</v>
      </c>
      <c r="E10905">
        <v>3.3</v>
      </c>
      <c r="F10905">
        <v>95</v>
      </c>
    </row>
    <row r="10906" spans="1:6" x14ac:dyDescent="0.35">
      <c r="A10906">
        <v>1975</v>
      </c>
      <c r="B10906" s="1">
        <v>45979</v>
      </c>
      <c r="C10906" s="2">
        <v>0.33333333333333331</v>
      </c>
      <c r="D10906">
        <v>3</v>
      </c>
      <c r="E10906">
        <v>3.6</v>
      </c>
      <c r="F10906">
        <v>96</v>
      </c>
    </row>
    <row r="10907" spans="1:6" x14ac:dyDescent="0.35">
      <c r="A10907">
        <v>1975</v>
      </c>
      <c r="B10907" s="1">
        <v>45979</v>
      </c>
      <c r="C10907" s="2">
        <v>0.375</v>
      </c>
      <c r="D10907">
        <v>3</v>
      </c>
      <c r="E10907">
        <v>4.0999999999999996</v>
      </c>
      <c r="F10907">
        <v>94</v>
      </c>
    </row>
    <row r="10908" spans="1:6" x14ac:dyDescent="0.35">
      <c r="A10908">
        <v>1975</v>
      </c>
      <c r="B10908" s="1">
        <v>45979</v>
      </c>
      <c r="C10908" s="2">
        <v>0.41666666666666669</v>
      </c>
      <c r="D10908">
        <v>3</v>
      </c>
      <c r="E10908">
        <v>4.5</v>
      </c>
      <c r="F10908">
        <v>93</v>
      </c>
    </row>
    <row r="10909" spans="1:6" x14ac:dyDescent="0.35">
      <c r="A10909">
        <v>1975</v>
      </c>
      <c r="B10909" s="1">
        <v>45979</v>
      </c>
      <c r="C10909" s="2">
        <v>0.45833333333333331</v>
      </c>
      <c r="D10909">
        <v>3</v>
      </c>
      <c r="E10909">
        <v>4.8</v>
      </c>
      <c r="F10909">
        <v>94</v>
      </c>
    </row>
    <row r="10910" spans="1:6" x14ac:dyDescent="0.35">
      <c r="A10910">
        <v>1975</v>
      </c>
      <c r="B10910" s="1">
        <v>45979</v>
      </c>
      <c r="C10910" s="2">
        <v>0.5</v>
      </c>
      <c r="D10910">
        <v>3</v>
      </c>
      <c r="E10910">
        <v>5.4</v>
      </c>
      <c r="F10910">
        <v>88</v>
      </c>
    </row>
    <row r="10911" spans="1:6" x14ac:dyDescent="0.35">
      <c r="A10911">
        <v>1975</v>
      </c>
      <c r="B10911" s="1">
        <v>45979</v>
      </c>
      <c r="C10911" s="2">
        <v>0.54166666666666663</v>
      </c>
      <c r="D10911">
        <v>3</v>
      </c>
      <c r="E10911">
        <v>5.4</v>
      </c>
      <c r="F10911">
        <v>88</v>
      </c>
    </row>
    <row r="10912" spans="1:6" x14ac:dyDescent="0.35">
      <c r="A10912">
        <v>1975</v>
      </c>
      <c r="B10912" s="1">
        <v>45979</v>
      </c>
      <c r="C10912" s="2">
        <v>0.58333333333333337</v>
      </c>
      <c r="D10912">
        <v>3</v>
      </c>
      <c r="E10912">
        <v>6.1</v>
      </c>
      <c r="F10912">
        <v>77</v>
      </c>
    </row>
    <row r="10913" spans="1:6" x14ac:dyDescent="0.35">
      <c r="A10913">
        <v>1975</v>
      </c>
      <c r="B10913" s="1">
        <v>45979</v>
      </c>
      <c r="C10913" s="2">
        <v>0.625</v>
      </c>
      <c r="D10913">
        <v>3</v>
      </c>
      <c r="E10913">
        <v>5.7</v>
      </c>
      <c r="F10913">
        <v>78</v>
      </c>
    </row>
    <row r="10914" spans="1:6" x14ac:dyDescent="0.35">
      <c r="A10914">
        <v>1975</v>
      </c>
      <c r="B10914" s="1">
        <v>45979</v>
      </c>
      <c r="C10914" s="2">
        <v>0.66666666666666663</v>
      </c>
      <c r="D10914">
        <v>3</v>
      </c>
      <c r="E10914">
        <v>5.5</v>
      </c>
      <c r="F10914">
        <v>77</v>
      </c>
    </row>
    <row r="10915" spans="1:6" x14ac:dyDescent="0.35">
      <c r="A10915">
        <v>1975</v>
      </c>
      <c r="B10915" s="1">
        <v>45979</v>
      </c>
      <c r="C10915" s="2">
        <v>0.70833333333333337</v>
      </c>
      <c r="D10915">
        <v>3</v>
      </c>
      <c r="E10915">
        <v>4.5999999999999996</v>
      </c>
      <c r="F10915">
        <v>81</v>
      </c>
    </row>
    <row r="10916" spans="1:6" x14ac:dyDescent="0.35">
      <c r="A10916">
        <v>1975</v>
      </c>
      <c r="B10916" s="1">
        <v>45979</v>
      </c>
      <c r="C10916" s="2">
        <v>0.75</v>
      </c>
      <c r="D10916">
        <v>3</v>
      </c>
      <c r="E10916">
        <v>4.3</v>
      </c>
      <c r="F10916">
        <v>89</v>
      </c>
    </row>
    <row r="10917" spans="1:6" x14ac:dyDescent="0.35">
      <c r="A10917">
        <v>1975</v>
      </c>
      <c r="B10917" s="1">
        <v>45979</v>
      </c>
      <c r="C10917" s="2">
        <v>0.79166666666666663</v>
      </c>
      <c r="D10917">
        <v>3</v>
      </c>
      <c r="E10917">
        <v>4.2</v>
      </c>
      <c r="F10917">
        <v>88</v>
      </c>
    </row>
    <row r="10918" spans="1:6" x14ac:dyDescent="0.35">
      <c r="A10918">
        <v>1975</v>
      </c>
      <c r="B10918" s="1">
        <v>45979</v>
      </c>
      <c r="C10918" s="2">
        <v>0.83333333333333337</v>
      </c>
      <c r="D10918">
        <v>3</v>
      </c>
      <c r="E10918">
        <v>4</v>
      </c>
      <c r="F10918">
        <v>86</v>
      </c>
    </row>
    <row r="10919" spans="1:6" x14ac:dyDescent="0.35">
      <c r="A10919">
        <v>1975</v>
      </c>
      <c r="B10919" s="1">
        <v>45979</v>
      </c>
      <c r="C10919" s="2">
        <v>0.875</v>
      </c>
      <c r="D10919">
        <v>3</v>
      </c>
      <c r="E10919">
        <v>3.9</v>
      </c>
      <c r="F10919">
        <v>87</v>
      </c>
    </row>
    <row r="10920" spans="1:6" x14ac:dyDescent="0.35">
      <c r="A10920">
        <v>1975</v>
      </c>
      <c r="B10920" s="1">
        <v>45979</v>
      </c>
      <c r="C10920" s="2">
        <v>0.91666666666666663</v>
      </c>
      <c r="D10920">
        <v>3</v>
      </c>
      <c r="E10920">
        <v>3.4</v>
      </c>
      <c r="F10920">
        <v>92</v>
      </c>
    </row>
    <row r="10921" spans="1:6" x14ac:dyDescent="0.35">
      <c r="A10921">
        <v>1975</v>
      </c>
      <c r="B10921" s="1">
        <v>45979</v>
      </c>
      <c r="C10921" s="2">
        <v>0.95833333333333337</v>
      </c>
      <c r="D10921">
        <v>3</v>
      </c>
      <c r="E10921">
        <v>3.1</v>
      </c>
      <c r="F10921">
        <v>92</v>
      </c>
    </row>
    <row r="10922" spans="1:6" x14ac:dyDescent="0.35">
      <c r="A10922">
        <v>1975</v>
      </c>
      <c r="B10922" s="1">
        <v>45980</v>
      </c>
      <c r="C10922" s="2">
        <v>0</v>
      </c>
      <c r="D10922">
        <v>3</v>
      </c>
      <c r="E10922">
        <v>3.2</v>
      </c>
      <c r="F10922">
        <v>92</v>
      </c>
    </row>
    <row r="10923" spans="1:6" x14ac:dyDescent="0.35">
      <c r="A10923">
        <v>1975</v>
      </c>
      <c r="B10923" s="1">
        <v>45980</v>
      </c>
      <c r="C10923" s="2">
        <v>4.1666666666666657E-2</v>
      </c>
      <c r="D10923">
        <v>3</v>
      </c>
      <c r="E10923">
        <v>3.2</v>
      </c>
      <c r="F10923">
        <v>93</v>
      </c>
    </row>
    <row r="10924" spans="1:6" x14ac:dyDescent="0.35">
      <c r="A10924">
        <v>1975</v>
      </c>
      <c r="B10924" s="1">
        <v>45980</v>
      </c>
      <c r="C10924" s="2">
        <v>8.3333333333333329E-2</v>
      </c>
      <c r="D10924">
        <v>3</v>
      </c>
      <c r="E10924">
        <v>3.3</v>
      </c>
      <c r="F10924">
        <v>92</v>
      </c>
    </row>
    <row r="10925" spans="1:6" x14ac:dyDescent="0.35">
      <c r="A10925">
        <v>1975</v>
      </c>
      <c r="B10925" s="1">
        <v>45980</v>
      </c>
      <c r="C10925" s="2">
        <v>0.125</v>
      </c>
      <c r="D10925">
        <v>3</v>
      </c>
      <c r="E10925">
        <v>3</v>
      </c>
      <c r="F10925">
        <v>94</v>
      </c>
    </row>
    <row r="10926" spans="1:6" x14ac:dyDescent="0.35">
      <c r="A10926">
        <v>1975</v>
      </c>
      <c r="B10926" s="1">
        <v>45980</v>
      </c>
      <c r="C10926" s="2">
        <v>0.16666666666666671</v>
      </c>
      <c r="D10926">
        <v>3</v>
      </c>
      <c r="E10926">
        <v>2.9</v>
      </c>
      <c r="F10926">
        <v>95</v>
      </c>
    </row>
    <row r="10927" spans="1:6" x14ac:dyDescent="0.35">
      <c r="A10927">
        <v>1975</v>
      </c>
      <c r="B10927" s="1">
        <v>45980</v>
      </c>
      <c r="C10927" s="2">
        <v>0.20833333333333329</v>
      </c>
      <c r="D10927">
        <v>3</v>
      </c>
      <c r="E10927">
        <v>3.1</v>
      </c>
      <c r="F10927">
        <v>93</v>
      </c>
    </row>
    <row r="10928" spans="1:6" x14ac:dyDescent="0.35">
      <c r="A10928">
        <v>1975</v>
      </c>
      <c r="B10928" s="1">
        <v>45980</v>
      </c>
      <c r="C10928" s="2">
        <v>0.25</v>
      </c>
      <c r="D10928">
        <v>3</v>
      </c>
      <c r="E10928">
        <v>3.5</v>
      </c>
      <c r="F10928">
        <v>91</v>
      </c>
    </row>
    <row r="10929" spans="1:6" x14ac:dyDescent="0.35">
      <c r="A10929">
        <v>1975</v>
      </c>
      <c r="B10929" s="1">
        <v>45980</v>
      </c>
      <c r="C10929" s="2">
        <v>0.29166666666666669</v>
      </c>
      <c r="D10929">
        <v>3</v>
      </c>
      <c r="E10929">
        <v>3.6</v>
      </c>
      <c r="F10929">
        <v>92</v>
      </c>
    </row>
    <row r="10930" spans="1:6" x14ac:dyDescent="0.35">
      <c r="A10930">
        <v>1975</v>
      </c>
      <c r="B10930" s="1">
        <v>45980</v>
      </c>
      <c r="C10930" s="2">
        <v>0.33333333333333331</v>
      </c>
      <c r="D10930">
        <v>3</v>
      </c>
      <c r="E10930">
        <v>3.6</v>
      </c>
      <c r="F10930">
        <v>93</v>
      </c>
    </row>
    <row r="10931" spans="1:6" x14ac:dyDescent="0.35">
      <c r="A10931">
        <v>1975</v>
      </c>
      <c r="B10931" s="1">
        <v>45980</v>
      </c>
      <c r="C10931" s="2">
        <v>0.375</v>
      </c>
      <c r="D10931">
        <v>3</v>
      </c>
      <c r="E10931">
        <v>3.7</v>
      </c>
      <c r="F10931">
        <v>92</v>
      </c>
    </row>
    <row r="10932" spans="1:6" x14ac:dyDescent="0.35">
      <c r="A10932">
        <v>1975</v>
      </c>
      <c r="B10932" s="1">
        <v>45980</v>
      </c>
      <c r="C10932" s="2">
        <v>0.41666666666666669</v>
      </c>
      <c r="D10932">
        <v>3</v>
      </c>
      <c r="E10932">
        <v>4.0999999999999996</v>
      </c>
      <c r="F10932">
        <v>88</v>
      </c>
    </row>
    <row r="10933" spans="1:6" x14ac:dyDescent="0.35">
      <c r="A10933">
        <v>1975</v>
      </c>
      <c r="B10933" s="1">
        <v>45980</v>
      </c>
      <c r="C10933" s="2">
        <v>0.45833333333333331</v>
      </c>
      <c r="D10933">
        <v>3</v>
      </c>
      <c r="E10933">
        <v>4.4000000000000004</v>
      </c>
      <c r="F10933">
        <v>85</v>
      </c>
    </row>
    <row r="10934" spans="1:6" x14ac:dyDescent="0.35">
      <c r="A10934">
        <v>1975</v>
      </c>
      <c r="B10934" s="1">
        <v>45980</v>
      </c>
      <c r="C10934" s="2">
        <v>0.5</v>
      </c>
      <c r="D10934">
        <v>3</v>
      </c>
      <c r="E10934">
        <v>4.0999999999999996</v>
      </c>
      <c r="F10934">
        <v>86</v>
      </c>
    </row>
    <row r="10935" spans="1:6" x14ac:dyDescent="0.35">
      <c r="A10935">
        <v>1975</v>
      </c>
      <c r="B10935" s="1">
        <v>45980</v>
      </c>
      <c r="C10935" s="2">
        <v>0.54166666666666663</v>
      </c>
      <c r="D10935">
        <v>3</v>
      </c>
      <c r="E10935">
        <v>3.7</v>
      </c>
      <c r="F10935">
        <v>90</v>
      </c>
    </row>
    <row r="10936" spans="1:6" x14ac:dyDescent="0.35">
      <c r="A10936">
        <v>1975</v>
      </c>
      <c r="B10936" s="1">
        <v>45980</v>
      </c>
      <c r="C10936" s="2">
        <v>0.58333333333333337</v>
      </c>
      <c r="D10936">
        <v>3</v>
      </c>
      <c r="E10936">
        <v>3.9</v>
      </c>
      <c r="F10936">
        <v>88</v>
      </c>
    </row>
    <row r="10937" spans="1:6" x14ac:dyDescent="0.35">
      <c r="A10937">
        <v>1975</v>
      </c>
      <c r="B10937" s="1">
        <v>45980</v>
      </c>
      <c r="C10937" s="2">
        <v>0.625</v>
      </c>
      <c r="D10937">
        <v>3</v>
      </c>
      <c r="E10937">
        <v>4</v>
      </c>
      <c r="F10937">
        <v>90</v>
      </c>
    </row>
    <row r="10938" spans="1:6" x14ac:dyDescent="0.35">
      <c r="A10938">
        <v>1975</v>
      </c>
      <c r="B10938" s="1">
        <v>45980</v>
      </c>
      <c r="C10938" s="2">
        <v>0.66666666666666663</v>
      </c>
      <c r="D10938">
        <v>3</v>
      </c>
      <c r="E10938">
        <v>3.9</v>
      </c>
      <c r="F10938">
        <v>90</v>
      </c>
    </row>
    <row r="10939" spans="1:6" x14ac:dyDescent="0.35">
      <c r="A10939">
        <v>1975</v>
      </c>
      <c r="B10939" s="1">
        <v>45980</v>
      </c>
      <c r="C10939" s="2">
        <v>0.70833333333333337</v>
      </c>
      <c r="D10939">
        <v>3</v>
      </c>
      <c r="E10939">
        <v>3.7</v>
      </c>
      <c r="F10939">
        <v>93</v>
      </c>
    </row>
    <row r="10940" spans="1:6" x14ac:dyDescent="0.35">
      <c r="A10940">
        <v>1975</v>
      </c>
      <c r="B10940" s="1">
        <v>45980</v>
      </c>
      <c r="C10940" s="2">
        <v>0.75</v>
      </c>
      <c r="D10940">
        <v>3</v>
      </c>
      <c r="E10940">
        <v>3.7</v>
      </c>
      <c r="F10940">
        <v>93</v>
      </c>
    </row>
    <row r="10941" spans="1:6" x14ac:dyDescent="0.35">
      <c r="A10941">
        <v>1975</v>
      </c>
      <c r="B10941" s="1">
        <v>45980</v>
      </c>
      <c r="C10941" s="2">
        <v>0.79166666666666663</v>
      </c>
      <c r="D10941">
        <v>3</v>
      </c>
      <c r="E10941">
        <v>3.1</v>
      </c>
      <c r="F10941">
        <v>94</v>
      </c>
    </row>
    <row r="10942" spans="1:6" x14ac:dyDescent="0.35">
      <c r="A10942">
        <v>1975</v>
      </c>
      <c r="B10942" s="1">
        <v>45980</v>
      </c>
      <c r="C10942" s="2">
        <v>0.83333333333333337</v>
      </c>
      <c r="D10942">
        <v>3</v>
      </c>
      <c r="E10942">
        <v>3.1</v>
      </c>
      <c r="F10942">
        <v>95</v>
      </c>
    </row>
    <row r="10943" spans="1:6" x14ac:dyDescent="0.35">
      <c r="A10943">
        <v>1975</v>
      </c>
      <c r="B10943" s="1">
        <v>45980</v>
      </c>
      <c r="C10943" s="2">
        <v>0.875</v>
      </c>
      <c r="D10943">
        <v>3</v>
      </c>
      <c r="E10943">
        <v>2.7</v>
      </c>
      <c r="F10943">
        <v>95</v>
      </c>
    </row>
    <row r="10944" spans="1:6" x14ac:dyDescent="0.35">
      <c r="A10944">
        <v>1975</v>
      </c>
      <c r="B10944" s="1">
        <v>45980</v>
      </c>
      <c r="C10944" s="2">
        <v>0.91666666666666663</v>
      </c>
      <c r="D10944">
        <v>3</v>
      </c>
      <c r="E10944">
        <v>2.1</v>
      </c>
      <c r="F10944">
        <v>98</v>
      </c>
    </row>
    <row r="10945" spans="1:6" x14ac:dyDescent="0.35">
      <c r="A10945">
        <v>1975</v>
      </c>
      <c r="B10945" s="1">
        <v>45980</v>
      </c>
      <c r="C10945" s="2">
        <v>0.95833333333333337</v>
      </c>
      <c r="D10945">
        <v>3</v>
      </c>
      <c r="E10945">
        <v>1.6</v>
      </c>
      <c r="F10945">
        <v>96</v>
      </c>
    </row>
    <row r="10946" spans="1:6" x14ac:dyDescent="0.35">
      <c r="A10946">
        <v>1975</v>
      </c>
      <c r="B10946" s="1">
        <v>45981</v>
      </c>
      <c r="C10946" s="2">
        <v>0</v>
      </c>
      <c r="D10946">
        <v>3</v>
      </c>
      <c r="E10946">
        <v>0.6</v>
      </c>
      <c r="F10946">
        <v>99</v>
      </c>
    </row>
    <row r="10947" spans="1:6" x14ac:dyDescent="0.35">
      <c r="A10947">
        <v>1975</v>
      </c>
      <c r="B10947" s="1">
        <v>45981</v>
      </c>
      <c r="C10947" s="2">
        <v>4.1666666666666657E-2</v>
      </c>
      <c r="D10947">
        <v>3</v>
      </c>
      <c r="E10947">
        <v>1.2</v>
      </c>
      <c r="F10947">
        <v>98</v>
      </c>
    </row>
    <row r="10948" spans="1:6" x14ac:dyDescent="0.35">
      <c r="A10948">
        <v>1975</v>
      </c>
      <c r="B10948" s="1">
        <v>45981</v>
      </c>
      <c r="C10948" s="2">
        <v>8.3333333333333329E-2</v>
      </c>
      <c r="D10948">
        <v>3</v>
      </c>
      <c r="E10948">
        <v>2</v>
      </c>
      <c r="F10948">
        <v>97</v>
      </c>
    </row>
    <row r="10949" spans="1:6" x14ac:dyDescent="0.35">
      <c r="A10949">
        <v>1975</v>
      </c>
      <c r="B10949" s="1">
        <v>45981</v>
      </c>
      <c r="C10949" s="2">
        <v>0.125</v>
      </c>
      <c r="D10949">
        <v>3</v>
      </c>
      <c r="E10949">
        <v>2.2000000000000002</v>
      </c>
      <c r="F10949">
        <v>97</v>
      </c>
    </row>
    <row r="10950" spans="1:6" x14ac:dyDescent="0.35">
      <c r="A10950">
        <v>1975</v>
      </c>
      <c r="B10950" s="1">
        <v>45981</v>
      </c>
      <c r="C10950" s="2">
        <v>0.16666666666666671</v>
      </c>
      <c r="D10950">
        <v>3</v>
      </c>
      <c r="E10950">
        <v>2.2000000000000002</v>
      </c>
      <c r="F10950">
        <v>96</v>
      </c>
    </row>
    <row r="10951" spans="1:6" x14ac:dyDescent="0.35">
      <c r="A10951">
        <v>1975</v>
      </c>
      <c r="B10951" s="1">
        <v>45981</v>
      </c>
      <c r="C10951" s="2">
        <v>0.20833333333333329</v>
      </c>
      <c r="D10951">
        <v>3</v>
      </c>
      <c r="E10951">
        <v>2.2000000000000002</v>
      </c>
      <c r="F10951">
        <v>94</v>
      </c>
    </row>
    <row r="10952" spans="1:6" x14ac:dyDescent="0.35">
      <c r="A10952">
        <v>1975</v>
      </c>
      <c r="B10952" s="1">
        <v>45981</v>
      </c>
      <c r="C10952" s="2">
        <v>0.25</v>
      </c>
      <c r="D10952">
        <v>3</v>
      </c>
      <c r="E10952">
        <v>1.9</v>
      </c>
      <c r="F10952">
        <v>93</v>
      </c>
    </row>
    <row r="10953" spans="1:6" x14ac:dyDescent="0.35">
      <c r="A10953">
        <v>1975</v>
      </c>
      <c r="B10953" s="1">
        <v>45981</v>
      </c>
      <c r="C10953" s="2">
        <v>0.29166666666666669</v>
      </c>
      <c r="D10953">
        <v>3</v>
      </c>
      <c r="E10953">
        <v>1.7</v>
      </c>
      <c r="F10953">
        <v>93</v>
      </c>
    </row>
    <row r="10954" spans="1:6" x14ac:dyDescent="0.35">
      <c r="A10954">
        <v>1975</v>
      </c>
      <c r="B10954" s="1">
        <v>45981</v>
      </c>
      <c r="C10954" s="2">
        <v>0.33333333333333331</v>
      </c>
      <c r="D10954">
        <v>3</v>
      </c>
      <c r="E10954">
        <v>1.3</v>
      </c>
      <c r="F10954">
        <v>93</v>
      </c>
    </row>
    <row r="10955" spans="1:6" x14ac:dyDescent="0.35">
      <c r="A10955">
        <v>1975</v>
      </c>
      <c r="B10955" s="1">
        <v>45981</v>
      </c>
      <c r="C10955" s="2">
        <v>0.375</v>
      </c>
      <c r="D10955">
        <v>3</v>
      </c>
      <c r="E10955">
        <v>1.1000000000000001</v>
      </c>
      <c r="F10955">
        <v>93</v>
      </c>
    </row>
    <row r="10956" spans="1:6" x14ac:dyDescent="0.35">
      <c r="A10956">
        <v>1975</v>
      </c>
      <c r="B10956" s="1">
        <v>45981</v>
      </c>
      <c r="C10956" s="2">
        <v>0.41666666666666669</v>
      </c>
      <c r="D10956">
        <v>3</v>
      </c>
      <c r="E10956">
        <v>1.3</v>
      </c>
      <c r="F10956">
        <v>90</v>
      </c>
    </row>
    <row r="10957" spans="1:6" x14ac:dyDescent="0.35">
      <c r="A10957">
        <v>1975</v>
      </c>
      <c r="B10957" s="1">
        <v>45981</v>
      </c>
      <c r="C10957" s="2">
        <v>0.45833333333333331</v>
      </c>
      <c r="D10957">
        <v>3</v>
      </c>
      <c r="E10957">
        <v>2.1</v>
      </c>
      <c r="F10957">
        <v>83</v>
      </c>
    </row>
    <row r="10958" spans="1:6" x14ac:dyDescent="0.35">
      <c r="A10958">
        <v>1975</v>
      </c>
      <c r="B10958" s="1">
        <v>45981</v>
      </c>
      <c r="C10958" s="2">
        <v>0.5</v>
      </c>
      <c r="D10958">
        <v>3</v>
      </c>
      <c r="E10958">
        <v>2.7</v>
      </c>
      <c r="F10958">
        <v>79</v>
      </c>
    </row>
    <row r="10959" spans="1:6" x14ac:dyDescent="0.35">
      <c r="A10959">
        <v>1975</v>
      </c>
      <c r="B10959" s="1">
        <v>45981</v>
      </c>
      <c r="C10959" s="2">
        <v>0.54166666666666663</v>
      </c>
      <c r="D10959">
        <v>3</v>
      </c>
      <c r="E10959">
        <v>2.9</v>
      </c>
      <c r="F10959">
        <v>75</v>
      </c>
    </row>
    <row r="10960" spans="1:6" x14ac:dyDescent="0.35">
      <c r="A10960">
        <v>1975</v>
      </c>
      <c r="B10960" s="1">
        <v>45981</v>
      </c>
      <c r="C10960" s="2">
        <v>0.58333333333333337</v>
      </c>
      <c r="D10960">
        <v>3</v>
      </c>
      <c r="E10960">
        <v>2.8</v>
      </c>
      <c r="F10960">
        <v>74</v>
      </c>
    </row>
    <row r="10961" spans="1:6" x14ac:dyDescent="0.35">
      <c r="A10961">
        <v>1975</v>
      </c>
      <c r="B10961" s="1">
        <v>45981</v>
      </c>
      <c r="C10961" s="2">
        <v>0.625</v>
      </c>
      <c r="D10961">
        <v>3</v>
      </c>
      <c r="E10961">
        <v>1.6</v>
      </c>
      <c r="F10961">
        <v>79</v>
      </c>
    </row>
    <row r="10962" spans="1:6" x14ac:dyDescent="0.35">
      <c r="A10962">
        <v>1975</v>
      </c>
      <c r="B10962" s="1">
        <v>45981</v>
      </c>
      <c r="C10962" s="2">
        <v>0.66666666666666663</v>
      </c>
      <c r="D10962">
        <v>3</v>
      </c>
      <c r="E10962">
        <v>0.5</v>
      </c>
      <c r="F10962">
        <v>85</v>
      </c>
    </row>
    <row r="10963" spans="1:6" x14ac:dyDescent="0.35">
      <c r="A10963">
        <v>1975</v>
      </c>
      <c r="B10963" s="1">
        <v>45981</v>
      </c>
      <c r="C10963" s="2">
        <v>0.70833333333333337</v>
      </c>
      <c r="D10963">
        <v>3</v>
      </c>
      <c r="E10963">
        <v>-0.8</v>
      </c>
      <c r="F10963">
        <v>93</v>
      </c>
    </row>
    <row r="10964" spans="1:6" x14ac:dyDescent="0.35">
      <c r="A10964">
        <v>1975</v>
      </c>
      <c r="B10964" s="1">
        <v>45981</v>
      </c>
      <c r="C10964" s="2">
        <v>0.75</v>
      </c>
      <c r="D10964">
        <v>3</v>
      </c>
      <c r="E10964">
        <v>-1.2</v>
      </c>
      <c r="F10964">
        <v>94</v>
      </c>
    </row>
    <row r="10965" spans="1:6" x14ac:dyDescent="0.35">
      <c r="A10965">
        <v>1975</v>
      </c>
      <c r="B10965" s="1">
        <v>45981</v>
      </c>
      <c r="C10965" s="2">
        <v>0.79166666666666663</v>
      </c>
      <c r="D10965">
        <v>3</v>
      </c>
      <c r="E10965">
        <v>-1.4</v>
      </c>
      <c r="F10965">
        <v>91</v>
      </c>
    </row>
    <row r="10966" spans="1:6" x14ac:dyDescent="0.35">
      <c r="A10966">
        <v>1975</v>
      </c>
      <c r="B10966" s="1">
        <v>45981</v>
      </c>
      <c r="C10966" s="2">
        <v>0.83333333333333337</v>
      </c>
      <c r="D10966">
        <v>3</v>
      </c>
      <c r="E10966">
        <v>-1.8</v>
      </c>
      <c r="F10966">
        <v>91</v>
      </c>
    </row>
    <row r="10967" spans="1:6" x14ac:dyDescent="0.35">
      <c r="A10967">
        <v>1975</v>
      </c>
      <c r="B10967" s="1">
        <v>45981</v>
      </c>
      <c r="C10967" s="2">
        <v>0.875</v>
      </c>
      <c r="D10967">
        <v>3</v>
      </c>
      <c r="E10967">
        <v>-2.7</v>
      </c>
      <c r="F10967">
        <v>91</v>
      </c>
    </row>
    <row r="10968" spans="1:6" x14ac:dyDescent="0.35">
      <c r="A10968">
        <v>1975</v>
      </c>
      <c r="B10968" s="1">
        <v>45981</v>
      </c>
      <c r="C10968" s="2">
        <v>0.91666666666666663</v>
      </c>
      <c r="D10968">
        <v>3</v>
      </c>
      <c r="E10968">
        <v>-2.9</v>
      </c>
      <c r="F10968">
        <v>94</v>
      </c>
    </row>
    <row r="10969" spans="1:6" x14ac:dyDescent="0.35">
      <c r="A10969">
        <v>1975</v>
      </c>
      <c r="B10969" s="1">
        <v>45981</v>
      </c>
      <c r="C10969" s="2">
        <v>0.95833333333333337</v>
      </c>
      <c r="D10969">
        <v>3</v>
      </c>
      <c r="E10969">
        <v>-3.8</v>
      </c>
      <c r="F10969">
        <v>97</v>
      </c>
    </row>
    <row r="10970" spans="1:6" x14ac:dyDescent="0.35">
      <c r="A10970">
        <v>1975</v>
      </c>
      <c r="B10970" s="1">
        <v>45982</v>
      </c>
      <c r="C10970" s="2">
        <v>0</v>
      </c>
      <c r="D10970">
        <v>3</v>
      </c>
      <c r="E10970">
        <v>-3.7</v>
      </c>
      <c r="F10970">
        <v>94</v>
      </c>
    </row>
    <row r="10971" spans="1:6" x14ac:dyDescent="0.35">
      <c r="A10971">
        <v>1975</v>
      </c>
      <c r="B10971" s="1">
        <v>45982</v>
      </c>
      <c r="C10971" s="2">
        <v>4.1666666666666657E-2</v>
      </c>
      <c r="D10971">
        <v>3</v>
      </c>
      <c r="E10971">
        <v>-5.3</v>
      </c>
      <c r="F10971">
        <v>94</v>
      </c>
    </row>
    <row r="10972" spans="1:6" x14ac:dyDescent="0.35">
      <c r="A10972">
        <v>1975</v>
      </c>
      <c r="B10972" s="1">
        <v>45982</v>
      </c>
      <c r="C10972" s="2">
        <v>8.3333333333333329E-2</v>
      </c>
      <c r="D10972">
        <v>3</v>
      </c>
      <c r="E10972">
        <v>-5</v>
      </c>
      <c r="F10972">
        <v>94</v>
      </c>
    </row>
    <row r="10973" spans="1:6" x14ac:dyDescent="0.35">
      <c r="A10973">
        <v>1975</v>
      </c>
      <c r="B10973" s="1">
        <v>45982</v>
      </c>
      <c r="C10973" s="2">
        <v>0.125</v>
      </c>
      <c r="D10973">
        <v>3</v>
      </c>
      <c r="E10973">
        <v>-5</v>
      </c>
      <c r="F10973">
        <v>93</v>
      </c>
    </row>
    <row r="10974" spans="1:6" x14ac:dyDescent="0.35">
      <c r="A10974">
        <v>1975</v>
      </c>
      <c r="B10974" s="1">
        <v>45982</v>
      </c>
      <c r="C10974" s="2">
        <v>0.16666666666666671</v>
      </c>
      <c r="D10974">
        <v>3</v>
      </c>
      <c r="E10974">
        <v>-5.3</v>
      </c>
      <c r="F10974">
        <v>94</v>
      </c>
    </row>
    <row r="10975" spans="1:6" x14ac:dyDescent="0.35">
      <c r="A10975">
        <v>1975</v>
      </c>
      <c r="B10975" s="1">
        <v>45982</v>
      </c>
      <c r="C10975" s="2">
        <v>0.20833333333333329</v>
      </c>
      <c r="D10975">
        <v>3</v>
      </c>
      <c r="E10975">
        <v>-4.9000000000000004</v>
      </c>
      <c r="F10975">
        <v>96</v>
      </c>
    </row>
    <row r="10976" spans="1:6" x14ac:dyDescent="0.35">
      <c r="A10976">
        <v>1975</v>
      </c>
      <c r="B10976" s="1">
        <v>45982</v>
      </c>
      <c r="C10976" s="2">
        <v>0.25</v>
      </c>
      <c r="D10976">
        <v>3</v>
      </c>
      <c r="E10976">
        <v>-5.6</v>
      </c>
      <c r="F10976">
        <v>94</v>
      </c>
    </row>
    <row r="10977" spans="1:6" x14ac:dyDescent="0.35">
      <c r="A10977">
        <v>1975</v>
      </c>
      <c r="B10977" s="1">
        <v>45982</v>
      </c>
      <c r="C10977" s="2">
        <v>0.29166666666666669</v>
      </c>
      <c r="D10977">
        <v>3</v>
      </c>
      <c r="E10977">
        <v>-5.2</v>
      </c>
      <c r="F10977">
        <v>98</v>
      </c>
    </row>
    <row r="10978" spans="1:6" x14ac:dyDescent="0.35">
      <c r="A10978">
        <v>1975</v>
      </c>
      <c r="B10978" s="1">
        <v>45982</v>
      </c>
      <c r="C10978" s="2">
        <v>0.33333333333333331</v>
      </c>
      <c r="D10978">
        <v>3</v>
      </c>
      <c r="E10978">
        <v>-4.4000000000000004</v>
      </c>
      <c r="F10978">
        <v>90</v>
      </c>
    </row>
    <row r="10979" spans="1:6" x14ac:dyDescent="0.35">
      <c r="A10979">
        <v>1975</v>
      </c>
      <c r="B10979" s="1">
        <v>45982</v>
      </c>
      <c r="C10979" s="2">
        <v>0.375</v>
      </c>
      <c r="D10979">
        <v>3</v>
      </c>
      <c r="E10979">
        <v>-0.7</v>
      </c>
      <c r="F10979">
        <v>85</v>
      </c>
    </row>
    <row r="10980" spans="1:6" x14ac:dyDescent="0.35">
      <c r="A10980">
        <v>1975</v>
      </c>
      <c r="B10980" s="1">
        <v>45982</v>
      </c>
      <c r="C10980" s="2">
        <v>0.41666666666666669</v>
      </c>
      <c r="D10980">
        <v>3</v>
      </c>
      <c r="E10980">
        <v>0.5</v>
      </c>
      <c r="F10980">
        <v>83</v>
      </c>
    </row>
    <row r="10981" spans="1:6" x14ac:dyDescent="0.35">
      <c r="A10981">
        <v>1975</v>
      </c>
      <c r="B10981" s="1">
        <v>45982</v>
      </c>
      <c r="C10981" s="2">
        <v>0.45833333333333331</v>
      </c>
      <c r="D10981">
        <v>3</v>
      </c>
      <c r="E10981">
        <v>1.9</v>
      </c>
      <c r="F10981">
        <v>79</v>
      </c>
    </row>
    <row r="10982" spans="1:6" x14ac:dyDescent="0.35">
      <c r="A10982">
        <v>1975</v>
      </c>
      <c r="B10982" s="1">
        <v>45982</v>
      </c>
      <c r="C10982" s="2">
        <v>0.5</v>
      </c>
      <c r="D10982">
        <v>3</v>
      </c>
      <c r="E10982">
        <v>2.6</v>
      </c>
      <c r="F10982">
        <v>77</v>
      </c>
    </row>
    <row r="10983" spans="1:6" x14ac:dyDescent="0.35">
      <c r="A10983">
        <v>1975</v>
      </c>
      <c r="B10983" s="1">
        <v>45982</v>
      </c>
      <c r="C10983" s="2">
        <v>0.54166666666666663</v>
      </c>
      <c r="D10983">
        <v>3</v>
      </c>
      <c r="E10983">
        <v>3.2</v>
      </c>
      <c r="F10983">
        <v>76</v>
      </c>
    </row>
    <row r="10984" spans="1:6" x14ac:dyDescent="0.35">
      <c r="A10984">
        <v>1975</v>
      </c>
      <c r="B10984" s="1">
        <v>45982</v>
      </c>
      <c r="C10984" s="2">
        <v>0.58333333333333337</v>
      </c>
      <c r="D10984">
        <v>3</v>
      </c>
      <c r="E10984">
        <v>2.6</v>
      </c>
      <c r="F10984">
        <v>78</v>
      </c>
    </row>
    <row r="10985" spans="1:6" x14ac:dyDescent="0.35">
      <c r="A10985">
        <v>1975</v>
      </c>
      <c r="B10985" s="1">
        <v>45982</v>
      </c>
      <c r="C10985" s="2">
        <v>0.625</v>
      </c>
      <c r="D10985">
        <v>3</v>
      </c>
      <c r="E10985">
        <v>2</v>
      </c>
      <c r="F10985">
        <v>83</v>
      </c>
    </row>
    <row r="10986" spans="1:6" x14ac:dyDescent="0.35">
      <c r="A10986">
        <v>1975</v>
      </c>
      <c r="B10986" s="1">
        <v>45982</v>
      </c>
      <c r="C10986" s="2">
        <v>0.66666666666666663</v>
      </c>
      <c r="D10986">
        <v>3</v>
      </c>
      <c r="E10986">
        <v>0.6</v>
      </c>
      <c r="F10986">
        <v>93</v>
      </c>
    </row>
    <row r="10987" spans="1:6" x14ac:dyDescent="0.35">
      <c r="A10987">
        <v>1975</v>
      </c>
      <c r="B10987" s="1">
        <v>45982</v>
      </c>
      <c r="C10987" s="2">
        <v>0.70833333333333337</v>
      </c>
      <c r="D10987">
        <v>3</v>
      </c>
      <c r="E10987">
        <v>-0.8</v>
      </c>
      <c r="F10987">
        <v>98</v>
      </c>
    </row>
    <row r="10988" spans="1:6" x14ac:dyDescent="0.35">
      <c r="A10988">
        <v>1975</v>
      </c>
      <c r="B10988" s="1">
        <v>45982</v>
      </c>
      <c r="C10988" s="2">
        <v>0.75</v>
      </c>
      <c r="D10988">
        <v>3</v>
      </c>
      <c r="E10988">
        <v>-0.1</v>
      </c>
      <c r="F10988">
        <v>97</v>
      </c>
    </row>
    <row r="10989" spans="1:6" x14ac:dyDescent="0.35">
      <c r="A10989">
        <v>1975</v>
      </c>
      <c r="B10989" s="1">
        <v>45982</v>
      </c>
      <c r="C10989" s="2">
        <v>0.79166666666666663</v>
      </c>
      <c r="D10989">
        <v>3</v>
      </c>
      <c r="E10989">
        <v>-0.7</v>
      </c>
      <c r="F10989">
        <v>98</v>
      </c>
    </row>
    <row r="10990" spans="1:6" x14ac:dyDescent="0.35">
      <c r="A10990">
        <v>1975</v>
      </c>
      <c r="B10990" s="1">
        <v>45982</v>
      </c>
      <c r="C10990" s="2">
        <v>0.83333333333333337</v>
      </c>
      <c r="D10990">
        <v>3</v>
      </c>
      <c r="E10990">
        <v>-1.7</v>
      </c>
      <c r="F10990">
        <v>98</v>
      </c>
    </row>
    <row r="10991" spans="1:6" x14ac:dyDescent="0.35">
      <c r="A10991">
        <v>1975</v>
      </c>
      <c r="B10991" s="1">
        <v>45982</v>
      </c>
      <c r="C10991" s="2">
        <v>0.875</v>
      </c>
      <c r="D10991">
        <v>3</v>
      </c>
      <c r="E10991">
        <v>-2.1</v>
      </c>
      <c r="F10991">
        <v>100</v>
      </c>
    </row>
    <row r="10992" spans="1:6" x14ac:dyDescent="0.35">
      <c r="A10992">
        <v>1975</v>
      </c>
      <c r="B10992" s="1">
        <v>45982</v>
      </c>
      <c r="C10992" s="2">
        <v>0.91666666666666663</v>
      </c>
      <c r="D10992">
        <v>3</v>
      </c>
      <c r="E10992">
        <v>-1.7</v>
      </c>
      <c r="F10992">
        <v>97</v>
      </c>
    </row>
    <row r="10993" spans="1:6" x14ac:dyDescent="0.35">
      <c r="A10993">
        <v>1975</v>
      </c>
      <c r="B10993" s="1">
        <v>45982</v>
      </c>
      <c r="C10993" s="2">
        <v>0.95833333333333337</v>
      </c>
      <c r="D10993">
        <v>3</v>
      </c>
      <c r="E10993">
        <v>-2.8</v>
      </c>
      <c r="F10993">
        <v>96</v>
      </c>
    </row>
    <row r="10994" spans="1:6" x14ac:dyDescent="0.35">
      <c r="A10994">
        <v>1975</v>
      </c>
      <c r="B10994" s="1">
        <v>45983</v>
      </c>
      <c r="C10994" s="2">
        <v>0</v>
      </c>
      <c r="D10994">
        <v>3</v>
      </c>
      <c r="E10994">
        <v>-1.9</v>
      </c>
      <c r="F10994">
        <v>95</v>
      </c>
    </row>
    <row r="10995" spans="1:6" x14ac:dyDescent="0.35">
      <c r="A10995">
        <v>1975</v>
      </c>
      <c r="B10995" s="1">
        <v>45983</v>
      </c>
      <c r="C10995" s="2">
        <v>4.1666666666666657E-2</v>
      </c>
      <c r="D10995">
        <v>3</v>
      </c>
      <c r="E10995">
        <v>-2.5</v>
      </c>
      <c r="F10995">
        <v>96</v>
      </c>
    </row>
    <row r="10996" spans="1:6" x14ac:dyDescent="0.35">
      <c r="A10996">
        <v>1975</v>
      </c>
      <c r="B10996" s="1">
        <v>45983</v>
      </c>
      <c r="C10996" s="2">
        <v>8.3333333333333329E-2</v>
      </c>
      <c r="D10996">
        <v>3</v>
      </c>
      <c r="E10996">
        <v>-2.5</v>
      </c>
      <c r="F10996">
        <v>94</v>
      </c>
    </row>
    <row r="10997" spans="1:6" x14ac:dyDescent="0.35">
      <c r="A10997">
        <v>1975</v>
      </c>
      <c r="B10997" s="1">
        <v>45983</v>
      </c>
      <c r="C10997" s="2">
        <v>0.125</v>
      </c>
      <c r="D10997">
        <v>3</v>
      </c>
      <c r="E10997">
        <v>-2.5</v>
      </c>
      <c r="F10997">
        <v>94</v>
      </c>
    </row>
    <row r="10998" spans="1:6" x14ac:dyDescent="0.35">
      <c r="A10998">
        <v>1975</v>
      </c>
      <c r="B10998" s="1">
        <v>45983</v>
      </c>
      <c r="C10998" s="2">
        <v>0.16666666666666671</v>
      </c>
      <c r="D10998">
        <v>3</v>
      </c>
      <c r="E10998">
        <v>-3.1</v>
      </c>
      <c r="F10998">
        <v>91</v>
      </c>
    </row>
    <row r="10999" spans="1:6" x14ac:dyDescent="0.35">
      <c r="A10999">
        <v>1975</v>
      </c>
      <c r="B10999" s="1">
        <v>45983</v>
      </c>
      <c r="C10999" s="2">
        <v>0.20833333333333329</v>
      </c>
      <c r="D10999">
        <v>3</v>
      </c>
      <c r="E10999">
        <v>-2.7</v>
      </c>
      <c r="F10999">
        <v>90</v>
      </c>
    </row>
    <row r="11000" spans="1:6" x14ac:dyDescent="0.35">
      <c r="A11000">
        <v>1975</v>
      </c>
      <c r="B11000" s="1">
        <v>45983</v>
      </c>
      <c r="C11000" s="2">
        <v>0.25</v>
      </c>
      <c r="D11000">
        <v>3</v>
      </c>
      <c r="E11000">
        <v>-2.2999999999999998</v>
      </c>
      <c r="F11000">
        <v>90</v>
      </c>
    </row>
    <row r="11001" spans="1:6" x14ac:dyDescent="0.35">
      <c r="A11001">
        <v>1975</v>
      </c>
      <c r="B11001" s="1">
        <v>45983</v>
      </c>
      <c r="C11001" s="2">
        <v>0.29166666666666669</v>
      </c>
      <c r="D11001">
        <v>3</v>
      </c>
      <c r="E11001">
        <v>-1.5</v>
      </c>
      <c r="F11001">
        <v>89</v>
      </c>
    </row>
    <row r="11002" spans="1:6" x14ac:dyDescent="0.35">
      <c r="A11002">
        <v>1975</v>
      </c>
      <c r="B11002" s="1">
        <v>45983</v>
      </c>
      <c r="C11002" s="2">
        <v>0.33333333333333331</v>
      </c>
      <c r="D11002">
        <v>3</v>
      </c>
      <c r="E11002">
        <v>-1</v>
      </c>
      <c r="F11002">
        <v>88</v>
      </c>
    </row>
    <row r="11003" spans="1:6" x14ac:dyDescent="0.35">
      <c r="A11003">
        <v>1975</v>
      </c>
      <c r="B11003" s="1">
        <v>45983</v>
      </c>
      <c r="C11003" s="2">
        <v>0.375</v>
      </c>
      <c r="D11003">
        <v>3</v>
      </c>
      <c r="E11003">
        <v>-0.2</v>
      </c>
      <c r="F11003">
        <v>86</v>
      </c>
    </row>
    <row r="11004" spans="1:6" x14ac:dyDescent="0.35">
      <c r="A11004">
        <v>1975</v>
      </c>
      <c r="B11004" s="1">
        <v>45983</v>
      </c>
      <c r="C11004" s="2">
        <v>0.41666666666666669</v>
      </c>
      <c r="D11004">
        <v>3</v>
      </c>
      <c r="E11004">
        <v>0.8</v>
      </c>
      <c r="F11004">
        <v>84</v>
      </c>
    </row>
    <row r="11005" spans="1:6" x14ac:dyDescent="0.35">
      <c r="A11005">
        <v>1975</v>
      </c>
      <c r="B11005" s="1">
        <v>45983</v>
      </c>
      <c r="C11005" s="2">
        <v>0.45833333333333331</v>
      </c>
      <c r="D11005">
        <v>3</v>
      </c>
      <c r="E11005">
        <v>1.9</v>
      </c>
      <c r="F11005">
        <v>79</v>
      </c>
    </row>
    <row r="11006" spans="1:6" x14ac:dyDescent="0.35">
      <c r="A11006">
        <v>1975</v>
      </c>
      <c r="B11006" s="1">
        <v>45983</v>
      </c>
      <c r="C11006" s="2">
        <v>0.5</v>
      </c>
      <c r="D11006">
        <v>3</v>
      </c>
      <c r="E11006">
        <v>2.9</v>
      </c>
      <c r="F11006">
        <v>76</v>
      </c>
    </row>
    <row r="11007" spans="1:6" x14ac:dyDescent="0.35">
      <c r="A11007">
        <v>1975</v>
      </c>
      <c r="B11007" s="1">
        <v>45983</v>
      </c>
      <c r="C11007" s="2">
        <v>0.54166666666666663</v>
      </c>
      <c r="D11007">
        <v>3</v>
      </c>
      <c r="E11007">
        <v>3.4</v>
      </c>
      <c r="F11007">
        <v>72</v>
      </c>
    </row>
    <row r="11008" spans="1:6" x14ac:dyDescent="0.35">
      <c r="A11008">
        <v>1975</v>
      </c>
      <c r="B11008" s="1">
        <v>45983</v>
      </c>
      <c r="C11008" s="2">
        <v>0.58333333333333337</v>
      </c>
      <c r="D11008">
        <v>3</v>
      </c>
      <c r="E11008">
        <v>3.6</v>
      </c>
      <c r="F11008">
        <v>70</v>
      </c>
    </row>
    <row r="11009" spans="1:6" x14ac:dyDescent="0.35">
      <c r="A11009">
        <v>1975</v>
      </c>
      <c r="B11009" s="1">
        <v>45983</v>
      </c>
      <c r="C11009" s="2">
        <v>0.625</v>
      </c>
      <c r="D11009">
        <v>3</v>
      </c>
      <c r="E11009">
        <v>2.8</v>
      </c>
      <c r="F11009">
        <v>69</v>
      </c>
    </row>
    <row r="11010" spans="1:6" x14ac:dyDescent="0.35">
      <c r="A11010">
        <v>1975</v>
      </c>
      <c r="B11010" s="1">
        <v>45983</v>
      </c>
      <c r="C11010" s="2">
        <v>0.66666666666666663</v>
      </c>
      <c r="D11010">
        <v>3</v>
      </c>
      <c r="E11010">
        <v>2.2999999999999998</v>
      </c>
      <c r="F11010">
        <v>68</v>
      </c>
    </row>
    <row r="11011" spans="1:6" x14ac:dyDescent="0.35">
      <c r="A11011">
        <v>1975</v>
      </c>
      <c r="B11011" s="1">
        <v>45983</v>
      </c>
      <c r="C11011" s="2">
        <v>0.70833333333333337</v>
      </c>
      <c r="D11011">
        <v>3</v>
      </c>
      <c r="E11011">
        <v>2.1</v>
      </c>
      <c r="F11011">
        <v>67</v>
      </c>
    </row>
    <row r="11012" spans="1:6" x14ac:dyDescent="0.35">
      <c r="A11012">
        <v>1975</v>
      </c>
      <c r="B11012" s="1">
        <v>45983</v>
      </c>
      <c r="C11012" s="2">
        <v>0.75</v>
      </c>
      <c r="D11012">
        <v>3</v>
      </c>
      <c r="E11012">
        <v>1.4</v>
      </c>
      <c r="F11012">
        <v>65</v>
      </c>
    </row>
    <row r="11013" spans="1:6" x14ac:dyDescent="0.35">
      <c r="A11013">
        <v>1975</v>
      </c>
      <c r="B11013" s="1">
        <v>45983</v>
      </c>
      <c r="C11013" s="2">
        <v>0.79166666666666663</v>
      </c>
      <c r="D11013">
        <v>3</v>
      </c>
      <c r="E11013">
        <v>1.6</v>
      </c>
      <c r="F11013">
        <v>57</v>
      </c>
    </row>
    <row r="11014" spans="1:6" x14ac:dyDescent="0.35">
      <c r="A11014">
        <v>1975</v>
      </c>
      <c r="B11014" s="1">
        <v>45983</v>
      </c>
      <c r="C11014" s="2">
        <v>0.83333333333333337</v>
      </c>
      <c r="D11014">
        <v>3</v>
      </c>
      <c r="E11014">
        <v>-0.4</v>
      </c>
      <c r="F11014">
        <v>66</v>
      </c>
    </row>
    <row r="11015" spans="1:6" x14ac:dyDescent="0.35">
      <c r="A11015">
        <v>1975</v>
      </c>
      <c r="B11015" s="1">
        <v>45983</v>
      </c>
      <c r="C11015" s="2">
        <v>0.875</v>
      </c>
      <c r="D11015">
        <v>3</v>
      </c>
      <c r="E11015">
        <v>0.7</v>
      </c>
      <c r="F11015">
        <v>61</v>
      </c>
    </row>
    <row r="11016" spans="1:6" x14ac:dyDescent="0.35">
      <c r="A11016">
        <v>1975</v>
      </c>
      <c r="B11016" s="1">
        <v>45983</v>
      </c>
      <c r="C11016" s="2">
        <v>0.91666666666666663</v>
      </c>
      <c r="D11016">
        <v>3</v>
      </c>
      <c r="E11016">
        <v>-1</v>
      </c>
      <c r="F11016">
        <v>73</v>
      </c>
    </row>
    <row r="11017" spans="1:6" x14ac:dyDescent="0.35">
      <c r="A11017">
        <v>1975</v>
      </c>
      <c r="B11017" s="1">
        <v>45983</v>
      </c>
      <c r="C11017" s="2">
        <v>0.95833333333333337</v>
      </c>
      <c r="D11017">
        <v>3</v>
      </c>
      <c r="E11017">
        <v>-0.5</v>
      </c>
      <c r="F11017">
        <v>73</v>
      </c>
    </row>
    <row r="11018" spans="1:6" x14ac:dyDescent="0.35">
      <c r="A11018">
        <v>1975</v>
      </c>
      <c r="B11018" s="1">
        <v>45984</v>
      </c>
      <c r="C11018" s="2">
        <v>0</v>
      </c>
      <c r="D11018">
        <v>3</v>
      </c>
      <c r="E11018">
        <v>-0.7</v>
      </c>
      <c r="F11018">
        <v>74</v>
      </c>
    </row>
    <row r="11019" spans="1:6" x14ac:dyDescent="0.35">
      <c r="A11019">
        <v>1975</v>
      </c>
      <c r="B11019" s="1">
        <v>45984</v>
      </c>
      <c r="C11019" s="2">
        <v>4.1666666666666657E-2</v>
      </c>
      <c r="D11019">
        <v>3</v>
      </c>
      <c r="E11019">
        <v>-1.2</v>
      </c>
      <c r="F11019">
        <v>75</v>
      </c>
    </row>
    <row r="11020" spans="1:6" x14ac:dyDescent="0.35">
      <c r="A11020">
        <v>1975</v>
      </c>
      <c r="B11020" s="1">
        <v>45984</v>
      </c>
      <c r="C11020" s="2">
        <v>8.3333333333333329E-2</v>
      </c>
      <c r="D11020">
        <v>3</v>
      </c>
      <c r="E11020">
        <v>-1.2</v>
      </c>
      <c r="F11020">
        <v>75</v>
      </c>
    </row>
    <row r="11021" spans="1:6" x14ac:dyDescent="0.35">
      <c r="A11021">
        <v>1975</v>
      </c>
      <c r="B11021" s="1">
        <v>45984</v>
      </c>
      <c r="C11021" s="2">
        <v>0.125</v>
      </c>
      <c r="D11021">
        <v>3</v>
      </c>
      <c r="E11021">
        <v>-1.8</v>
      </c>
      <c r="F11021">
        <v>78</v>
      </c>
    </row>
    <row r="11022" spans="1:6" x14ac:dyDescent="0.35">
      <c r="A11022">
        <v>1975</v>
      </c>
      <c r="B11022" s="1">
        <v>45984</v>
      </c>
      <c r="C11022" s="2">
        <v>0.16666666666666671</v>
      </c>
      <c r="D11022">
        <v>3</v>
      </c>
      <c r="E11022">
        <v>-2.9</v>
      </c>
      <c r="F11022">
        <v>81</v>
      </c>
    </row>
    <row r="11023" spans="1:6" x14ac:dyDescent="0.35">
      <c r="A11023">
        <v>1975</v>
      </c>
      <c r="B11023" s="1">
        <v>45984</v>
      </c>
      <c r="C11023" s="2">
        <v>0.20833333333333329</v>
      </c>
      <c r="D11023">
        <v>3</v>
      </c>
      <c r="E11023">
        <v>-2.9</v>
      </c>
      <c r="F11023">
        <v>82</v>
      </c>
    </row>
    <row r="11024" spans="1:6" x14ac:dyDescent="0.35">
      <c r="A11024">
        <v>1975</v>
      </c>
      <c r="B11024" s="1">
        <v>45984</v>
      </c>
      <c r="C11024" s="2">
        <v>0.25</v>
      </c>
      <c r="D11024">
        <v>3</v>
      </c>
      <c r="E11024">
        <v>-3.3</v>
      </c>
      <c r="F11024">
        <v>83</v>
      </c>
    </row>
    <row r="11025" spans="1:6" x14ac:dyDescent="0.35">
      <c r="A11025">
        <v>1975</v>
      </c>
      <c r="B11025" s="1">
        <v>45984</v>
      </c>
      <c r="C11025" s="2">
        <v>0.29166666666666669</v>
      </c>
      <c r="D11025">
        <v>3</v>
      </c>
      <c r="E11025">
        <v>-3.5</v>
      </c>
      <c r="F11025">
        <v>84</v>
      </c>
    </row>
    <row r="11026" spans="1:6" x14ac:dyDescent="0.35">
      <c r="A11026">
        <v>1975</v>
      </c>
      <c r="B11026" s="1">
        <v>45984</v>
      </c>
      <c r="C11026" s="2">
        <v>0.33333333333333331</v>
      </c>
      <c r="D11026">
        <v>3</v>
      </c>
      <c r="E11026">
        <v>-2.9</v>
      </c>
      <c r="F11026">
        <v>81</v>
      </c>
    </row>
    <row r="11027" spans="1:6" x14ac:dyDescent="0.35">
      <c r="A11027">
        <v>1975</v>
      </c>
      <c r="B11027" s="1">
        <v>45984</v>
      </c>
      <c r="C11027" s="2">
        <v>0.375</v>
      </c>
      <c r="D11027">
        <v>3</v>
      </c>
      <c r="E11027">
        <v>-1.8</v>
      </c>
      <c r="F11027">
        <v>77</v>
      </c>
    </row>
    <row r="11028" spans="1:6" x14ac:dyDescent="0.35">
      <c r="A11028">
        <v>1975</v>
      </c>
      <c r="B11028" s="1">
        <v>45984</v>
      </c>
      <c r="C11028" s="2">
        <v>0.41666666666666669</v>
      </c>
      <c r="D11028">
        <v>3</v>
      </c>
      <c r="E11028">
        <v>-0.8</v>
      </c>
      <c r="F11028">
        <v>70</v>
      </c>
    </row>
    <row r="11029" spans="1:6" x14ac:dyDescent="0.35">
      <c r="A11029">
        <v>1975</v>
      </c>
      <c r="B11029" s="1">
        <v>45984</v>
      </c>
      <c r="C11029" s="2">
        <v>0.45833333333333331</v>
      </c>
      <c r="D11029">
        <v>3</v>
      </c>
      <c r="E11029">
        <v>0.2</v>
      </c>
      <c r="F11029">
        <v>64</v>
      </c>
    </row>
    <row r="11030" spans="1:6" x14ac:dyDescent="0.35">
      <c r="A11030">
        <v>1975</v>
      </c>
      <c r="B11030" s="1">
        <v>45984</v>
      </c>
      <c r="C11030" s="2">
        <v>0.5</v>
      </c>
      <c r="D11030">
        <v>3</v>
      </c>
      <c r="E11030">
        <v>0.9</v>
      </c>
      <c r="F11030">
        <v>58</v>
      </c>
    </row>
    <row r="11031" spans="1:6" x14ac:dyDescent="0.35">
      <c r="A11031">
        <v>1975</v>
      </c>
      <c r="B11031" s="1">
        <v>45984</v>
      </c>
      <c r="C11031" s="2">
        <v>0.54166666666666663</v>
      </c>
      <c r="D11031">
        <v>3</v>
      </c>
      <c r="E11031">
        <v>1.2</v>
      </c>
      <c r="F11031">
        <v>56</v>
      </c>
    </row>
    <row r="11032" spans="1:6" x14ac:dyDescent="0.35">
      <c r="A11032">
        <v>1975</v>
      </c>
      <c r="B11032" s="1">
        <v>45984</v>
      </c>
      <c r="C11032" s="2">
        <v>0.58333333333333337</v>
      </c>
      <c r="D11032">
        <v>3</v>
      </c>
      <c r="E11032">
        <v>1.5</v>
      </c>
      <c r="F11032">
        <v>51</v>
      </c>
    </row>
    <row r="11033" spans="1:6" x14ac:dyDescent="0.35">
      <c r="A11033">
        <v>1975</v>
      </c>
      <c r="B11033" s="1">
        <v>45984</v>
      </c>
      <c r="C11033" s="2">
        <v>0.625</v>
      </c>
      <c r="D11033">
        <v>3</v>
      </c>
      <c r="E11033">
        <v>1</v>
      </c>
      <c r="F11033">
        <v>51</v>
      </c>
    </row>
    <row r="11034" spans="1:6" x14ac:dyDescent="0.35">
      <c r="A11034">
        <v>1975</v>
      </c>
      <c r="B11034" s="1">
        <v>45984</v>
      </c>
      <c r="C11034" s="2">
        <v>0.66666666666666663</v>
      </c>
      <c r="D11034">
        <v>3</v>
      </c>
      <c r="E11034">
        <v>0.9</v>
      </c>
      <c r="F11034">
        <v>55</v>
      </c>
    </row>
    <row r="11035" spans="1:6" x14ac:dyDescent="0.35">
      <c r="A11035">
        <v>1975</v>
      </c>
      <c r="B11035" s="1">
        <v>45984</v>
      </c>
      <c r="C11035" s="2">
        <v>0.70833333333333337</v>
      </c>
      <c r="D11035">
        <v>3</v>
      </c>
      <c r="E11035">
        <v>0.3</v>
      </c>
      <c r="F11035">
        <v>62</v>
      </c>
    </row>
    <row r="11036" spans="1:6" x14ac:dyDescent="0.35">
      <c r="A11036">
        <v>1975</v>
      </c>
      <c r="B11036" s="1">
        <v>45984</v>
      </c>
      <c r="C11036" s="2">
        <v>0.75</v>
      </c>
      <c r="D11036">
        <v>3</v>
      </c>
      <c r="E11036">
        <v>0.3</v>
      </c>
      <c r="F11036">
        <v>60</v>
      </c>
    </row>
    <row r="11037" spans="1:6" x14ac:dyDescent="0.35">
      <c r="A11037">
        <v>1975</v>
      </c>
      <c r="B11037" s="1">
        <v>45984</v>
      </c>
      <c r="C11037" s="2">
        <v>0.79166666666666663</v>
      </c>
      <c r="D11037">
        <v>3</v>
      </c>
      <c r="E11037">
        <v>0.2</v>
      </c>
      <c r="F11037">
        <v>61</v>
      </c>
    </row>
    <row r="11038" spans="1:6" x14ac:dyDescent="0.35">
      <c r="A11038">
        <v>1975</v>
      </c>
      <c r="B11038" s="1">
        <v>45984</v>
      </c>
      <c r="C11038" s="2">
        <v>0.83333333333333337</v>
      </c>
      <c r="D11038">
        <v>3</v>
      </c>
      <c r="E11038">
        <v>-0.2</v>
      </c>
      <c r="F11038">
        <v>66</v>
      </c>
    </row>
    <row r="11039" spans="1:6" x14ac:dyDescent="0.35">
      <c r="A11039">
        <v>1975</v>
      </c>
      <c r="B11039" s="1">
        <v>45984</v>
      </c>
      <c r="C11039" s="2">
        <v>0.875</v>
      </c>
      <c r="D11039">
        <v>3</v>
      </c>
      <c r="E11039">
        <v>-1.3</v>
      </c>
      <c r="F11039">
        <v>86</v>
      </c>
    </row>
    <row r="11040" spans="1:6" x14ac:dyDescent="0.35">
      <c r="A11040">
        <v>1975</v>
      </c>
      <c r="B11040" s="1">
        <v>45984</v>
      </c>
      <c r="C11040" s="2">
        <v>0.91666666666666663</v>
      </c>
      <c r="D11040">
        <v>3</v>
      </c>
      <c r="E11040">
        <v>-1.8</v>
      </c>
      <c r="F11040">
        <v>96</v>
      </c>
    </row>
    <row r="11041" spans="1:6" x14ac:dyDescent="0.35">
      <c r="A11041">
        <v>1975</v>
      </c>
      <c r="B11041" s="1">
        <v>45984</v>
      </c>
      <c r="C11041" s="2">
        <v>0.95833333333333337</v>
      </c>
      <c r="D11041">
        <v>3</v>
      </c>
      <c r="E11041">
        <v>-1.7</v>
      </c>
      <c r="F11041">
        <v>95</v>
      </c>
    </row>
    <row r="11042" spans="1:6" x14ac:dyDescent="0.35">
      <c r="A11042">
        <v>1975</v>
      </c>
      <c r="B11042" s="1">
        <v>45985</v>
      </c>
      <c r="C11042" s="2">
        <v>0</v>
      </c>
      <c r="D11042">
        <v>3</v>
      </c>
      <c r="E11042">
        <v>-1.3</v>
      </c>
      <c r="F11042">
        <v>95</v>
      </c>
    </row>
    <row r="11043" spans="1:6" x14ac:dyDescent="0.35">
      <c r="A11043">
        <v>1975</v>
      </c>
      <c r="B11043" s="1">
        <v>45985</v>
      </c>
      <c r="C11043" s="2">
        <v>4.1666666666666657E-2</v>
      </c>
      <c r="D11043">
        <v>3</v>
      </c>
      <c r="E11043">
        <v>-0.9</v>
      </c>
      <c r="F11043">
        <v>94</v>
      </c>
    </row>
    <row r="11044" spans="1:6" x14ac:dyDescent="0.35">
      <c r="A11044">
        <v>1975</v>
      </c>
      <c r="B11044" s="1">
        <v>45985</v>
      </c>
      <c r="C11044" s="2">
        <v>8.3333333333333329E-2</v>
      </c>
      <c r="D11044">
        <v>3</v>
      </c>
      <c r="E11044">
        <v>-0.5</v>
      </c>
      <c r="F11044">
        <v>95</v>
      </c>
    </row>
    <row r="11045" spans="1:6" x14ac:dyDescent="0.35">
      <c r="A11045">
        <v>1975</v>
      </c>
      <c r="B11045" s="1">
        <v>45985</v>
      </c>
      <c r="C11045" s="2">
        <v>0.125</v>
      </c>
      <c r="D11045">
        <v>3</v>
      </c>
      <c r="E11045">
        <v>-0.4</v>
      </c>
      <c r="F11045">
        <v>97</v>
      </c>
    </row>
    <row r="11046" spans="1:6" x14ac:dyDescent="0.35">
      <c r="A11046">
        <v>1975</v>
      </c>
      <c r="B11046" s="1">
        <v>45985</v>
      </c>
      <c r="C11046" s="2">
        <v>0.16666666666666671</v>
      </c>
      <c r="D11046">
        <v>3</v>
      </c>
      <c r="E11046">
        <v>0.1</v>
      </c>
      <c r="F11046">
        <v>98</v>
      </c>
    </row>
    <row r="11047" spans="1:6" x14ac:dyDescent="0.35">
      <c r="A11047">
        <v>1975</v>
      </c>
      <c r="B11047" s="1">
        <v>45985</v>
      </c>
      <c r="C11047" s="2">
        <v>0.20833333333333329</v>
      </c>
      <c r="D11047">
        <v>3</v>
      </c>
      <c r="E11047">
        <v>1.1000000000000001</v>
      </c>
      <c r="F11047">
        <v>96</v>
      </c>
    </row>
    <row r="11048" spans="1:6" x14ac:dyDescent="0.35">
      <c r="A11048">
        <v>1975</v>
      </c>
      <c r="B11048" s="1">
        <v>45985</v>
      </c>
      <c r="C11048" s="2">
        <v>0.25</v>
      </c>
      <c r="D11048">
        <v>3</v>
      </c>
      <c r="E11048">
        <v>2</v>
      </c>
      <c r="F11048">
        <v>94</v>
      </c>
    </row>
    <row r="11049" spans="1:6" x14ac:dyDescent="0.35">
      <c r="A11049">
        <v>1975</v>
      </c>
      <c r="B11049" s="1">
        <v>45985</v>
      </c>
      <c r="C11049" s="2">
        <v>0.29166666666666669</v>
      </c>
      <c r="D11049">
        <v>3</v>
      </c>
      <c r="E11049">
        <v>2.9</v>
      </c>
      <c r="F11049">
        <v>91</v>
      </c>
    </row>
    <row r="11050" spans="1:6" x14ac:dyDescent="0.35">
      <c r="A11050">
        <v>1975</v>
      </c>
      <c r="B11050" s="1">
        <v>45985</v>
      </c>
      <c r="C11050" s="2">
        <v>0.33333333333333331</v>
      </c>
      <c r="D11050">
        <v>3</v>
      </c>
      <c r="E11050">
        <v>3.2</v>
      </c>
      <c r="F11050">
        <v>90</v>
      </c>
    </row>
    <row r="11051" spans="1:6" x14ac:dyDescent="0.35">
      <c r="A11051">
        <v>1975</v>
      </c>
      <c r="B11051" s="1">
        <v>45985</v>
      </c>
      <c r="C11051" s="2">
        <v>0.375</v>
      </c>
      <c r="D11051">
        <v>3</v>
      </c>
      <c r="E11051">
        <v>3.2</v>
      </c>
      <c r="F11051">
        <v>90</v>
      </c>
    </row>
    <row r="11052" spans="1:6" x14ac:dyDescent="0.35">
      <c r="A11052">
        <v>1975</v>
      </c>
      <c r="B11052" s="1">
        <v>45985</v>
      </c>
      <c r="C11052" s="2">
        <v>0.41666666666666669</v>
      </c>
      <c r="D11052">
        <v>3</v>
      </c>
      <c r="E11052">
        <v>3.7</v>
      </c>
      <c r="F11052">
        <v>88</v>
      </c>
    </row>
    <row r="11053" spans="1:6" x14ac:dyDescent="0.35">
      <c r="A11053">
        <v>1975</v>
      </c>
      <c r="B11053" s="1">
        <v>45985</v>
      </c>
      <c r="C11053" s="2">
        <v>0.45833333333333331</v>
      </c>
      <c r="D11053">
        <v>3</v>
      </c>
      <c r="E11053">
        <v>4.4000000000000004</v>
      </c>
      <c r="F11053">
        <v>86</v>
      </c>
    </row>
    <row r="11054" spans="1:6" x14ac:dyDescent="0.35">
      <c r="A11054">
        <v>1975</v>
      </c>
      <c r="B11054" s="1">
        <v>45985</v>
      </c>
      <c r="C11054" s="2">
        <v>0.5</v>
      </c>
      <c r="D11054">
        <v>3</v>
      </c>
      <c r="E11054">
        <v>5</v>
      </c>
      <c r="F11054">
        <v>85</v>
      </c>
    </row>
    <row r="11055" spans="1:6" x14ac:dyDescent="0.35">
      <c r="A11055">
        <v>1975</v>
      </c>
      <c r="B11055" s="1">
        <v>45985</v>
      </c>
      <c r="C11055" s="2">
        <v>0.54166666666666663</v>
      </c>
      <c r="D11055">
        <v>3</v>
      </c>
      <c r="E11055">
        <v>5.3</v>
      </c>
      <c r="F11055">
        <v>83</v>
      </c>
    </row>
    <row r="11056" spans="1:6" x14ac:dyDescent="0.35">
      <c r="A11056">
        <v>1975</v>
      </c>
      <c r="B11056" s="1">
        <v>45985</v>
      </c>
      <c r="C11056" s="2">
        <v>0.58333333333333337</v>
      </c>
      <c r="D11056">
        <v>3</v>
      </c>
      <c r="E11056">
        <v>4.8</v>
      </c>
      <c r="F11056">
        <v>87</v>
      </c>
    </row>
    <row r="11057" spans="1:6" x14ac:dyDescent="0.35">
      <c r="A11057">
        <v>1975</v>
      </c>
      <c r="B11057" s="1">
        <v>45985</v>
      </c>
      <c r="C11057" s="2">
        <v>0.625</v>
      </c>
      <c r="D11057">
        <v>3</v>
      </c>
      <c r="E11057">
        <v>4.3</v>
      </c>
      <c r="F11057">
        <v>87</v>
      </c>
    </row>
    <row r="11058" spans="1:6" x14ac:dyDescent="0.35">
      <c r="A11058">
        <v>1975</v>
      </c>
      <c r="B11058" s="1">
        <v>45985</v>
      </c>
      <c r="C11058" s="2">
        <v>0.66666666666666663</v>
      </c>
      <c r="D11058">
        <v>3</v>
      </c>
      <c r="E11058">
        <v>4.2</v>
      </c>
      <c r="F11058">
        <v>88</v>
      </c>
    </row>
    <row r="11059" spans="1:6" x14ac:dyDescent="0.35">
      <c r="A11059">
        <v>1975</v>
      </c>
      <c r="B11059" s="1">
        <v>45985</v>
      </c>
      <c r="C11059" s="2">
        <v>0.70833333333333337</v>
      </c>
      <c r="D11059">
        <v>3</v>
      </c>
      <c r="E11059">
        <v>4.3</v>
      </c>
      <c r="F11059">
        <v>88</v>
      </c>
    </row>
    <row r="11060" spans="1:6" x14ac:dyDescent="0.35">
      <c r="A11060">
        <v>1975</v>
      </c>
      <c r="B11060" s="1">
        <v>45985</v>
      </c>
      <c r="C11060" s="2">
        <v>0.75</v>
      </c>
      <c r="D11060">
        <v>3</v>
      </c>
      <c r="E11060">
        <v>4.2</v>
      </c>
      <c r="F11060">
        <v>87</v>
      </c>
    </row>
    <row r="11061" spans="1:6" x14ac:dyDescent="0.35">
      <c r="A11061">
        <v>1975</v>
      </c>
      <c r="B11061" s="1">
        <v>45985</v>
      </c>
      <c r="C11061" s="2">
        <v>0.79166666666666663</v>
      </c>
      <c r="D11061">
        <v>3</v>
      </c>
      <c r="E11061">
        <v>4</v>
      </c>
      <c r="F11061">
        <v>88</v>
      </c>
    </row>
    <row r="11062" spans="1:6" x14ac:dyDescent="0.35">
      <c r="A11062">
        <v>1975</v>
      </c>
      <c r="B11062" s="1">
        <v>45985</v>
      </c>
      <c r="C11062" s="2">
        <v>0.83333333333333337</v>
      </c>
      <c r="D11062">
        <v>3</v>
      </c>
      <c r="E11062">
        <v>4.0999999999999996</v>
      </c>
      <c r="F11062">
        <v>89</v>
      </c>
    </row>
    <row r="11063" spans="1:6" x14ac:dyDescent="0.35">
      <c r="A11063">
        <v>1975</v>
      </c>
      <c r="B11063" s="1">
        <v>45985</v>
      </c>
      <c r="C11063" s="2">
        <v>0.875</v>
      </c>
      <c r="D11063">
        <v>3</v>
      </c>
      <c r="E11063">
        <v>3.8</v>
      </c>
      <c r="F11063">
        <v>91</v>
      </c>
    </row>
    <row r="11064" spans="1:6" x14ac:dyDescent="0.35">
      <c r="A11064">
        <v>1975</v>
      </c>
      <c r="B11064" s="1">
        <v>45985</v>
      </c>
      <c r="C11064" s="2">
        <v>0.91666666666666663</v>
      </c>
      <c r="D11064">
        <v>3</v>
      </c>
      <c r="E11064">
        <v>3.5</v>
      </c>
      <c r="F11064">
        <v>92</v>
      </c>
    </row>
    <row r="11065" spans="1:6" x14ac:dyDescent="0.35">
      <c r="A11065">
        <v>1975</v>
      </c>
      <c r="B11065" s="1">
        <v>45985</v>
      </c>
      <c r="C11065" s="2">
        <v>0.95833333333333337</v>
      </c>
      <c r="D11065">
        <v>3</v>
      </c>
      <c r="E11065">
        <v>2.5</v>
      </c>
      <c r="F11065">
        <v>95</v>
      </c>
    </row>
    <row r="11066" spans="1:6" x14ac:dyDescent="0.35">
      <c r="A11066">
        <v>1975</v>
      </c>
      <c r="B11066" s="1">
        <v>45986</v>
      </c>
      <c r="C11066" s="2">
        <v>0</v>
      </c>
      <c r="D11066">
        <v>3</v>
      </c>
      <c r="E11066">
        <v>2.2000000000000002</v>
      </c>
      <c r="F11066">
        <v>99</v>
      </c>
    </row>
    <row r="11067" spans="1:6" x14ac:dyDescent="0.35">
      <c r="A11067">
        <v>1975</v>
      </c>
      <c r="B11067" s="1">
        <v>45986</v>
      </c>
      <c r="C11067" s="2">
        <v>4.1666666666666657E-2</v>
      </c>
      <c r="D11067">
        <v>3</v>
      </c>
      <c r="E11067">
        <v>2.2999999999999998</v>
      </c>
      <c r="F11067">
        <v>97</v>
      </c>
    </row>
    <row r="11068" spans="1:6" x14ac:dyDescent="0.35">
      <c r="A11068">
        <v>1975</v>
      </c>
      <c r="B11068" s="1">
        <v>45986</v>
      </c>
      <c r="C11068" s="2">
        <v>8.3333333333333329E-2</v>
      </c>
      <c r="D11068">
        <v>3</v>
      </c>
      <c r="E11068">
        <v>2.6</v>
      </c>
      <c r="F11068">
        <v>97</v>
      </c>
    </row>
    <row r="11069" spans="1:6" x14ac:dyDescent="0.35">
      <c r="A11069">
        <v>1975</v>
      </c>
      <c r="B11069" s="1">
        <v>45986</v>
      </c>
      <c r="C11069" s="2">
        <v>0.125</v>
      </c>
      <c r="D11069">
        <v>3</v>
      </c>
      <c r="E11069">
        <v>2.7</v>
      </c>
      <c r="F11069">
        <v>98</v>
      </c>
    </row>
    <row r="11070" spans="1:6" x14ac:dyDescent="0.35">
      <c r="A11070">
        <v>1975</v>
      </c>
      <c r="B11070" s="1">
        <v>45986</v>
      </c>
      <c r="C11070" s="2">
        <v>0.16666666666666671</v>
      </c>
      <c r="D11070">
        <v>3</v>
      </c>
      <c r="E11070">
        <v>2.7</v>
      </c>
      <c r="F11070">
        <v>97</v>
      </c>
    </row>
    <row r="11071" spans="1:6" x14ac:dyDescent="0.35">
      <c r="A11071">
        <v>1975</v>
      </c>
      <c r="B11071" s="1">
        <v>45986</v>
      </c>
      <c r="C11071" s="2">
        <v>0.20833333333333329</v>
      </c>
      <c r="D11071">
        <v>3</v>
      </c>
      <c r="E11071">
        <v>2.6</v>
      </c>
      <c r="F11071">
        <v>95</v>
      </c>
    </row>
    <row r="11072" spans="1:6" x14ac:dyDescent="0.35">
      <c r="A11072">
        <v>1975</v>
      </c>
      <c r="B11072" s="1">
        <v>45986</v>
      </c>
      <c r="C11072" s="2">
        <v>0.25</v>
      </c>
      <c r="D11072">
        <v>3</v>
      </c>
      <c r="E11072">
        <v>2.7</v>
      </c>
      <c r="F11072">
        <v>95</v>
      </c>
    </row>
    <row r="11073" spans="1:6" x14ac:dyDescent="0.35">
      <c r="A11073">
        <v>1975</v>
      </c>
      <c r="B11073" s="1">
        <v>45986</v>
      </c>
      <c r="C11073" s="2">
        <v>0.29166666666666669</v>
      </c>
      <c r="D11073">
        <v>3</v>
      </c>
      <c r="E11073">
        <v>2.1</v>
      </c>
      <c r="F11073">
        <v>95</v>
      </c>
    </row>
    <row r="11074" spans="1:6" x14ac:dyDescent="0.35">
      <c r="A11074">
        <v>1975</v>
      </c>
      <c r="B11074" s="1">
        <v>45986</v>
      </c>
      <c r="C11074" s="2">
        <v>0.33333333333333331</v>
      </c>
      <c r="D11074">
        <v>3</v>
      </c>
      <c r="E11074">
        <v>1.9</v>
      </c>
      <c r="F11074">
        <v>95</v>
      </c>
    </row>
    <row r="11075" spans="1:6" x14ac:dyDescent="0.35">
      <c r="A11075">
        <v>1975</v>
      </c>
      <c r="B11075" s="1">
        <v>45986</v>
      </c>
      <c r="C11075" s="2">
        <v>0.375</v>
      </c>
      <c r="D11075">
        <v>3</v>
      </c>
      <c r="E11075">
        <v>2.4</v>
      </c>
      <c r="F11075">
        <v>95</v>
      </c>
    </row>
    <row r="11076" spans="1:6" x14ac:dyDescent="0.35">
      <c r="A11076">
        <v>1975</v>
      </c>
      <c r="B11076" s="1">
        <v>45986</v>
      </c>
      <c r="C11076" s="2">
        <v>0.41666666666666669</v>
      </c>
      <c r="D11076">
        <v>3</v>
      </c>
      <c r="E11076">
        <v>3.3</v>
      </c>
      <c r="F11076">
        <v>92</v>
      </c>
    </row>
    <row r="11077" spans="1:6" x14ac:dyDescent="0.35">
      <c r="A11077">
        <v>1975</v>
      </c>
      <c r="B11077" s="1">
        <v>45986</v>
      </c>
      <c r="C11077" s="2">
        <v>0.45833333333333331</v>
      </c>
      <c r="D11077">
        <v>3</v>
      </c>
      <c r="E11077">
        <v>4.0999999999999996</v>
      </c>
      <c r="F11077">
        <v>88</v>
      </c>
    </row>
    <row r="11078" spans="1:6" x14ac:dyDescent="0.35">
      <c r="A11078">
        <v>1975</v>
      </c>
      <c r="B11078" s="1">
        <v>45986</v>
      </c>
      <c r="C11078" s="2">
        <v>0.5</v>
      </c>
      <c r="D11078">
        <v>3</v>
      </c>
      <c r="E11078">
        <v>4.2</v>
      </c>
      <c r="F11078">
        <v>88</v>
      </c>
    </row>
    <row r="11079" spans="1:6" x14ac:dyDescent="0.35">
      <c r="A11079">
        <v>1975</v>
      </c>
      <c r="B11079" s="1">
        <v>45986</v>
      </c>
      <c r="C11079" s="2">
        <v>0.54166666666666663</v>
      </c>
      <c r="D11079">
        <v>3</v>
      </c>
      <c r="E11079">
        <v>4.7</v>
      </c>
      <c r="F11079">
        <v>84</v>
      </c>
    </row>
    <row r="11080" spans="1:6" x14ac:dyDescent="0.35">
      <c r="A11080">
        <v>1975</v>
      </c>
      <c r="B11080" s="1">
        <v>45986</v>
      </c>
      <c r="C11080" s="2">
        <v>0.58333333333333337</v>
      </c>
      <c r="D11080">
        <v>3</v>
      </c>
      <c r="E11080">
        <v>4.0999999999999996</v>
      </c>
      <c r="F11080">
        <v>88</v>
      </c>
    </row>
    <row r="11081" spans="1:6" x14ac:dyDescent="0.35">
      <c r="A11081">
        <v>1975</v>
      </c>
      <c r="B11081" s="1">
        <v>45986</v>
      </c>
      <c r="C11081" s="2">
        <v>0.625</v>
      </c>
      <c r="D11081">
        <v>3</v>
      </c>
      <c r="E11081">
        <v>3.7</v>
      </c>
      <c r="F11081">
        <v>90</v>
      </c>
    </row>
    <row r="11082" spans="1:6" x14ac:dyDescent="0.35">
      <c r="A11082">
        <v>1975</v>
      </c>
      <c r="B11082" s="1">
        <v>45986</v>
      </c>
      <c r="C11082" s="2">
        <v>0.66666666666666663</v>
      </c>
      <c r="D11082">
        <v>3</v>
      </c>
      <c r="E11082">
        <v>3.6</v>
      </c>
      <c r="F11082">
        <v>92</v>
      </c>
    </row>
    <row r="11083" spans="1:6" x14ac:dyDescent="0.35">
      <c r="A11083">
        <v>1975</v>
      </c>
      <c r="B11083" s="1">
        <v>45986</v>
      </c>
      <c r="C11083" s="2">
        <v>0.70833333333333337</v>
      </c>
      <c r="D11083">
        <v>3</v>
      </c>
      <c r="E11083">
        <v>3.9</v>
      </c>
      <c r="F11083">
        <v>90</v>
      </c>
    </row>
    <row r="11084" spans="1:6" x14ac:dyDescent="0.35">
      <c r="A11084">
        <v>1975</v>
      </c>
      <c r="B11084" s="1">
        <v>45986</v>
      </c>
      <c r="C11084" s="2">
        <v>0.75</v>
      </c>
      <c r="D11084">
        <v>3</v>
      </c>
      <c r="E11084">
        <v>3.6</v>
      </c>
      <c r="F11084">
        <v>92</v>
      </c>
    </row>
    <row r="11085" spans="1:6" x14ac:dyDescent="0.35">
      <c r="A11085">
        <v>1975</v>
      </c>
      <c r="B11085" s="1">
        <v>45986</v>
      </c>
      <c r="C11085" s="2">
        <v>0.79166666666666663</v>
      </c>
      <c r="D11085">
        <v>3</v>
      </c>
      <c r="E11085">
        <v>3.3</v>
      </c>
      <c r="F11085">
        <v>88</v>
      </c>
    </row>
    <row r="11086" spans="1:6" x14ac:dyDescent="0.35">
      <c r="A11086">
        <v>1975</v>
      </c>
      <c r="B11086" s="1">
        <v>45986</v>
      </c>
      <c r="C11086" s="2">
        <v>0.83333333333333337</v>
      </c>
      <c r="D11086">
        <v>3</v>
      </c>
      <c r="E11086">
        <v>2.8</v>
      </c>
      <c r="F11086">
        <v>89</v>
      </c>
    </row>
    <row r="11087" spans="1:6" x14ac:dyDescent="0.35">
      <c r="A11087">
        <v>1975</v>
      </c>
      <c r="B11087" s="1">
        <v>45986</v>
      </c>
      <c r="C11087" s="2">
        <v>0.875</v>
      </c>
      <c r="D11087">
        <v>3</v>
      </c>
      <c r="E11087">
        <v>2.8</v>
      </c>
      <c r="F11087">
        <v>91</v>
      </c>
    </row>
    <row r="11088" spans="1:6" x14ac:dyDescent="0.35">
      <c r="A11088">
        <v>1975</v>
      </c>
      <c r="B11088" s="1">
        <v>45986</v>
      </c>
      <c r="C11088" s="2">
        <v>0.91666666666666663</v>
      </c>
      <c r="D11088">
        <v>3</v>
      </c>
      <c r="E11088">
        <v>3</v>
      </c>
      <c r="F11088">
        <v>94</v>
      </c>
    </row>
    <row r="11089" spans="1:6" x14ac:dyDescent="0.35">
      <c r="A11089">
        <v>1975</v>
      </c>
      <c r="B11089" s="1">
        <v>45986</v>
      </c>
      <c r="C11089" s="2">
        <v>0.95833333333333337</v>
      </c>
      <c r="D11089">
        <v>3</v>
      </c>
      <c r="E11089">
        <v>2.8</v>
      </c>
      <c r="F11089">
        <v>97</v>
      </c>
    </row>
    <row r="11090" spans="1:6" x14ac:dyDescent="0.35">
      <c r="A11090">
        <v>1975</v>
      </c>
      <c r="B11090" s="1">
        <v>45987</v>
      </c>
      <c r="C11090" s="2">
        <v>0</v>
      </c>
      <c r="D11090">
        <v>3</v>
      </c>
      <c r="E11090">
        <v>2.5</v>
      </c>
      <c r="F11090">
        <v>98</v>
      </c>
    </row>
    <row r="11091" spans="1:6" x14ac:dyDescent="0.35">
      <c r="A11091">
        <v>1975</v>
      </c>
      <c r="B11091" s="1">
        <v>45987</v>
      </c>
      <c r="C11091" s="2">
        <v>4.1666666666666657E-2</v>
      </c>
      <c r="D11091">
        <v>3</v>
      </c>
      <c r="E11091">
        <v>2.1</v>
      </c>
      <c r="F11091">
        <v>99</v>
      </c>
    </row>
    <row r="11092" spans="1:6" x14ac:dyDescent="0.35">
      <c r="A11092">
        <v>1975</v>
      </c>
      <c r="B11092" s="1">
        <v>45987</v>
      </c>
      <c r="C11092" s="2">
        <v>8.3333333333333329E-2</v>
      </c>
      <c r="D11092">
        <v>3</v>
      </c>
      <c r="E11092">
        <v>2.1</v>
      </c>
      <c r="F11092">
        <v>98</v>
      </c>
    </row>
    <row r="11093" spans="1:6" x14ac:dyDescent="0.35">
      <c r="A11093">
        <v>1975</v>
      </c>
      <c r="B11093" s="1">
        <v>45987</v>
      </c>
      <c r="C11093" s="2">
        <v>0.125</v>
      </c>
      <c r="D11093">
        <v>3</v>
      </c>
      <c r="E11093">
        <v>1.4</v>
      </c>
      <c r="F11093">
        <v>98</v>
      </c>
    </row>
    <row r="11094" spans="1:6" x14ac:dyDescent="0.35">
      <c r="A11094">
        <v>1975</v>
      </c>
      <c r="B11094" s="1">
        <v>45987</v>
      </c>
      <c r="C11094" s="2">
        <v>0.16666666666666671</v>
      </c>
      <c r="D11094">
        <v>3</v>
      </c>
      <c r="E11094">
        <v>1</v>
      </c>
      <c r="F11094">
        <v>99</v>
      </c>
    </row>
    <row r="11095" spans="1:6" x14ac:dyDescent="0.35">
      <c r="A11095">
        <v>1975</v>
      </c>
      <c r="B11095" s="1">
        <v>45987</v>
      </c>
      <c r="C11095" s="2">
        <v>0.20833333333333329</v>
      </c>
      <c r="D11095">
        <v>3</v>
      </c>
      <c r="E11095">
        <v>0.5</v>
      </c>
      <c r="F11095">
        <v>99</v>
      </c>
    </row>
    <row r="11096" spans="1:6" x14ac:dyDescent="0.35">
      <c r="A11096">
        <v>1975</v>
      </c>
      <c r="B11096" s="1">
        <v>45987</v>
      </c>
      <c r="C11096" s="2">
        <v>0.25</v>
      </c>
      <c r="D11096">
        <v>3</v>
      </c>
      <c r="E11096">
        <v>0.1</v>
      </c>
      <c r="F11096">
        <v>100</v>
      </c>
    </row>
    <row r="11097" spans="1:6" x14ac:dyDescent="0.35">
      <c r="A11097">
        <v>1975</v>
      </c>
      <c r="B11097" s="1">
        <v>45987</v>
      </c>
      <c r="C11097" s="2">
        <v>0.29166666666666669</v>
      </c>
      <c r="D11097">
        <v>3</v>
      </c>
      <c r="E11097">
        <v>0.3</v>
      </c>
      <c r="F11097">
        <v>100</v>
      </c>
    </row>
    <row r="11098" spans="1:6" x14ac:dyDescent="0.35">
      <c r="A11098">
        <v>1975</v>
      </c>
      <c r="B11098" s="1">
        <v>45987</v>
      </c>
      <c r="C11098" s="2">
        <v>0.33333333333333331</v>
      </c>
      <c r="D11098">
        <v>3</v>
      </c>
      <c r="E11098">
        <v>1.1000000000000001</v>
      </c>
      <c r="F11098">
        <v>100</v>
      </c>
    </row>
    <row r="11099" spans="1:6" x14ac:dyDescent="0.35">
      <c r="A11099">
        <v>1975</v>
      </c>
      <c r="B11099" s="1">
        <v>45987</v>
      </c>
      <c r="C11099" s="2">
        <v>0.375</v>
      </c>
      <c r="D11099">
        <v>3</v>
      </c>
      <c r="E11099">
        <v>1.9</v>
      </c>
      <c r="F11099">
        <v>99</v>
      </c>
    </row>
    <row r="11100" spans="1:6" x14ac:dyDescent="0.35">
      <c r="A11100">
        <v>1975</v>
      </c>
      <c r="B11100" s="1">
        <v>45987</v>
      </c>
      <c r="C11100" s="2">
        <v>0.41666666666666669</v>
      </c>
      <c r="D11100">
        <v>3</v>
      </c>
      <c r="E11100">
        <v>3.1</v>
      </c>
      <c r="F11100">
        <v>99</v>
      </c>
    </row>
    <row r="11101" spans="1:6" x14ac:dyDescent="0.35">
      <c r="A11101">
        <v>1975</v>
      </c>
      <c r="B11101" s="1">
        <v>45987</v>
      </c>
      <c r="C11101" s="2">
        <v>0.45833333333333331</v>
      </c>
      <c r="D11101">
        <v>3</v>
      </c>
      <c r="E11101">
        <v>3.9</v>
      </c>
      <c r="F11101">
        <v>96</v>
      </c>
    </row>
    <row r="11102" spans="1:6" x14ac:dyDescent="0.35">
      <c r="A11102">
        <v>1975</v>
      </c>
      <c r="B11102" s="1">
        <v>45987</v>
      </c>
      <c r="C11102" s="2">
        <v>0.5</v>
      </c>
      <c r="D11102">
        <v>3</v>
      </c>
      <c r="E11102">
        <v>4.4000000000000004</v>
      </c>
      <c r="F11102">
        <v>92</v>
      </c>
    </row>
    <row r="11103" spans="1:6" x14ac:dyDescent="0.35">
      <c r="A11103">
        <v>1975</v>
      </c>
      <c r="B11103" s="1">
        <v>45987</v>
      </c>
      <c r="C11103" s="2">
        <v>0.54166666666666663</v>
      </c>
      <c r="D11103">
        <v>3</v>
      </c>
      <c r="E11103">
        <v>4.9000000000000004</v>
      </c>
      <c r="F11103">
        <v>91</v>
      </c>
    </row>
    <row r="11104" spans="1:6" x14ac:dyDescent="0.35">
      <c r="A11104">
        <v>1975</v>
      </c>
      <c r="B11104" s="1">
        <v>45987</v>
      </c>
      <c r="C11104" s="2">
        <v>0.58333333333333337</v>
      </c>
      <c r="D11104">
        <v>3</v>
      </c>
      <c r="E11104">
        <v>4.7</v>
      </c>
      <c r="F11104">
        <v>93</v>
      </c>
    </row>
    <row r="11105" spans="1:6" x14ac:dyDescent="0.35">
      <c r="A11105">
        <v>1975</v>
      </c>
      <c r="B11105" s="1">
        <v>45987</v>
      </c>
      <c r="C11105" s="2">
        <v>0.625</v>
      </c>
      <c r="D11105">
        <v>3</v>
      </c>
      <c r="E11105">
        <v>4.5999999999999996</v>
      </c>
      <c r="F11105">
        <v>94</v>
      </c>
    </row>
    <row r="11106" spans="1:6" x14ac:dyDescent="0.35">
      <c r="A11106">
        <v>1975</v>
      </c>
      <c r="B11106" s="1">
        <v>45987</v>
      </c>
      <c r="C11106" s="2">
        <v>0.66666666666666663</v>
      </c>
      <c r="D11106">
        <v>3</v>
      </c>
      <c r="E11106">
        <v>3.8</v>
      </c>
      <c r="F11106">
        <v>90</v>
      </c>
    </row>
    <row r="11107" spans="1:6" x14ac:dyDescent="0.35">
      <c r="A11107">
        <v>1975</v>
      </c>
      <c r="B11107" s="1">
        <v>45987</v>
      </c>
      <c r="C11107" s="2">
        <v>0.70833333333333337</v>
      </c>
      <c r="D11107">
        <v>3</v>
      </c>
      <c r="E11107">
        <v>1.4</v>
      </c>
      <c r="F11107">
        <v>97</v>
      </c>
    </row>
    <row r="11108" spans="1:6" x14ac:dyDescent="0.35">
      <c r="A11108">
        <v>1975</v>
      </c>
      <c r="B11108" s="1">
        <v>45987</v>
      </c>
      <c r="C11108" s="2">
        <v>0.75</v>
      </c>
      <c r="D11108">
        <v>3</v>
      </c>
      <c r="E11108">
        <v>0.8</v>
      </c>
      <c r="F11108">
        <v>99</v>
      </c>
    </row>
    <row r="11109" spans="1:6" x14ac:dyDescent="0.35">
      <c r="A11109">
        <v>1975</v>
      </c>
      <c r="B11109" s="1">
        <v>45987</v>
      </c>
      <c r="C11109" s="2">
        <v>0.79166666666666663</v>
      </c>
      <c r="D11109">
        <v>3</v>
      </c>
      <c r="E11109">
        <v>1.4</v>
      </c>
      <c r="F11109">
        <v>99</v>
      </c>
    </row>
    <row r="11110" spans="1:6" x14ac:dyDescent="0.35">
      <c r="A11110">
        <v>1975</v>
      </c>
      <c r="B11110" s="1">
        <v>45987</v>
      </c>
      <c r="C11110" s="2">
        <v>0.83333333333333337</v>
      </c>
      <c r="D11110">
        <v>3</v>
      </c>
      <c r="E11110">
        <v>1.8</v>
      </c>
      <c r="F11110">
        <v>98</v>
      </c>
    </row>
    <row r="11111" spans="1:6" x14ac:dyDescent="0.35">
      <c r="A11111">
        <v>1975</v>
      </c>
      <c r="B11111" s="1">
        <v>45987</v>
      </c>
      <c r="C11111" s="2">
        <v>0.875</v>
      </c>
      <c r="D11111">
        <v>3</v>
      </c>
      <c r="E11111">
        <v>-0.4</v>
      </c>
      <c r="F11111">
        <v>98</v>
      </c>
    </row>
    <row r="11112" spans="1:6" x14ac:dyDescent="0.35">
      <c r="A11112">
        <v>1975</v>
      </c>
      <c r="B11112" s="1">
        <v>45987</v>
      </c>
      <c r="C11112" s="2">
        <v>0.91666666666666663</v>
      </c>
      <c r="D11112">
        <v>3</v>
      </c>
      <c r="E11112">
        <v>-1</v>
      </c>
      <c r="F11112">
        <v>100</v>
      </c>
    </row>
    <row r="11113" spans="1:6" x14ac:dyDescent="0.35">
      <c r="A11113">
        <v>1975</v>
      </c>
      <c r="B11113" s="1">
        <v>45987</v>
      </c>
      <c r="C11113" s="2">
        <v>0.95833333333333337</v>
      </c>
      <c r="D11113">
        <v>3</v>
      </c>
      <c r="E11113">
        <v>0.3</v>
      </c>
      <c r="F11113">
        <v>100</v>
      </c>
    </row>
    <row r="11114" spans="1:6" x14ac:dyDescent="0.35">
      <c r="A11114">
        <v>1975</v>
      </c>
      <c r="B11114" s="1">
        <v>45988</v>
      </c>
      <c r="C11114" s="2">
        <v>0</v>
      </c>
      <c r="D11114">
        <v>3</v>
      </c>
      <c r="E11114">
        <v>0.1</v>
      </c>
      <c r="F11114">
        <v>100</v>
      </c>
    </row>
    <row r="11115" spans="1:6" x14ac:dyDescent="0.35">
      <c r="A11115">
        <v>1975</v>
      </c>
      <c r="B11115" s="1">
        <v>45988</v>
      </c>
      <c r="C11115" s="2">
        <v>4.1666666666666657E-2</v>
      </c>
      <c r="D11115">
        <v>3</v>
      </c>
      <c r="E11115">
        <v>0.2</v>
      </c>
      <c r="F11115">
        <v>99</v>
      </c>
    </row>
    <row r="11116" spans="1:6" x14ac:dyDescent="0.35">
      <c r="A11116">
        <v>1975</v>
      </c>
      <c r="B11116" s="1">
        <v>45988</v>
      </c>
      <c r="C11116" s="2">
        <v>8.3333333333333329E-2</v>
      </c>
      <c r="D11116">
        <v>3</v>
      </c>
      <c r="E11116">
        <v>0.5</v>
      </c>
      <c r="F11116">
        <v>97</v>
      </c>
    </row>
    <row r="11117" spans="1:6" x14ac:dyDescent="0.35">
      <c r="A11117">
        <v>1975</v>
      </c>
      <c r="B11117" s="1">
        <v>45988</v>
      </c>
      <c r="C11117" s="2">
        <v>0.125</v>
      </c>
      <c r="D11117">
        <v>3</v>
      </c>
      <c r="E11117">
        <v>0.7</v>
      </c>
      <c r="F11117">
        <v>94</v>
      </c>
    </row>
    <row r="11118" spans="1:6" x14ac:dyDescent="0.35">
      <c r="A11118">
        <v>1975</v>
      </c>
      <c r="B11118" s="1">
        <v>45988</v>
      </c>
      <c r="C11118" s="2">
        <v>0.16666666666666671</v>
      </c>
      <c r="D11118">
        <v>3</v>
      </c>
      <c r="E11118">
        <v>-1.1000000000000001</v>
      </c>
      <c r="F11118">
        <v>97</v>
      </c>
    </row>
    <row r="11119" spans="1:6" x14ac:dyDescent="0.35">
      <c r="A11119">
        <v>1975</v>
      </c>
      <c r="B11119" s="1">
        <v>45988</v>
      </c>
      <c r="C11119" s="2">
        <v>0.20833333333333329</v>
      </c>
      <c r="D11119">
        <v>3</v>
      </c>
      <c r="E11119">
        <v>-0.2</v>
      </c>
      <c r="F11119">
        <v>96</v>
      </c>
    </row>
    <row r="11120" spans="1:6" x14ac:dyDescent="0.35">
      <c r="A11120">
        <v>1975</v>
      </c>
      <c r="B11120" s="1">
        <v>45988</v>
      </c>
      <c r="C11120" s="2">
        <v>0.25</v>
      </c>
      <c r="D11120">
        <v>3</v>
      </c>
      <c r="E11120">
        <v>0.1</v>
      </c>
      <c r="F11120">
        <v>95</v>
      </c>
    </row>
    <row r="11121" spans="1:6" x14ac:dyDescent="0.35">
      <c r="A11121">
        <v>1975</v>
      </c>
      <c r="B11121" s="1">
        <v>45988</v>
      </c>
      <c r="C11121" s="2">
        <v>0.29166666666666669</v>
      </c>
      <c r="D11121">
        <v>3</v>
      </c>
      <c r="E11121">
        <v>0.9</v>
      </c>
      <c r="F11121">
        <v>94</v>
      </c>
    </row>
    <row r="11122" spans="1:6" x14ac:dyDescent="0.35">
      <c r="A11122">
        <v>1975</v>
      </c>
      <c r="B11122" s="1">
        <v>45988</v>
      </c>
      <c r="C11122" s="2">
        <v>0.33333333333333331</v>
      </c>
      <c r="D11122">
        <v>3</v>
      </c>
      <c r="E11122">
        <v>2</v>
      </c>
      <c r="F11122">
        <v>89</v>
      </c>
    </row>
    <row r="11123" spans="1:6" x14ac:dyDescent="0.35">
      <c r="A11123">
        <v>1975</v>
      </c>
      <c r="B11123" s="1">
        <v>45988</v>
      </c>
      <c r="C11123" s="2">
        <v>0.375</v>
      </c>
      <c r="D11123">
        <v>3</v>
      </c>
      <c r="E11123">
        <v>3.1</v>
      </c>
      <c r="F11123">
        <v>80</v>
      </c>
    </row>
    <row r="11124" spans="1:6" x14ac:dyDescent="0.35">
      <c r="A11124">
        <v>1975</v>
      </c>
      <c r="B11124" s="1">
        <v>45988</v>
      </c>
      <c r="C11124" s="2">
        <v>0.41666666666666669</v>
      </c>
      <c r="D11124">
        <v>3</v>
      </c>
      <c r="E11124">
        <v>3.5</v>
      </c>
      <c r="F11124">
        <v>79</v>
      </c>
    </row>
    <row r="11125" spans="1:6" x14ac:dyDescent="0.35">
      <c r="A11125">
        <v>1975</v>
      </c>
      <c r="B11125" s="1">
        <v>45988</v>
      </c>
      <c r="C11125" s="2">
        <v>0.45833333333333331</v>
      </c>
      <c r="D11125">
        <v>3</v>
      </c>
      <c r="E11125">
        <v>3.8</v>
      </c>
      <c r="F11125">
        <v>81</v>
      </c>
    </row>
    <row r="11126" spans="1:6" x14ac:dyDescent="0.35">
      <c r="A11126">
        <v>1975</v>
      </c>
      <c r="B11126" s="1">
        <v>45988</v>
      </c>
      <c r="C11126" s="2">
        <v>0.5</v>
      </c>
      <c r="D11126">
        <v>3</v>
      </c>
      <c r="E11126">
        <v>3.7</v>
      </c>
      <c r="F11126">
        <v>84</v>
      </c>
    </row>
    <row r="11127" spans="1:6" x14ac:dyDescent="0.35">
      <c r="A11127">
        <v>1975</v>
      </c>
      <c r="B11127" s="1">
        <v>45988</v>
      </c>
      <c r="C11127" s="2">
        <v>0.54166666666666663</v>
      </c>
      <c r="D11127">
        <v>3</v>
      </c>
      <c r="E11127">
        <v>3.8</v>
      </c>
      <c r="F11127">
        <v>86</v>
      </c>
    </row>
    <row r="11128" spans="1:6" x14ac:dyDescent="0.35">
      <c r="A11128">
        <v>1975</v>
      </c>
      <c r="B11128" s="1">
        <v>45988</v>
      </c>
      <c r="C11128" s="2">
        <v>0.58333333333333337</v>
      </c>
      <c r="D11128">
        <v>3</v>
      </c>
      <c r="E11128">
        <v>4</v>
      </c>
      <c r="F11128">
        <v>87</v>
      </c>
    </row>
    <row r="11129" spans="1:6" x14ac:dyDescent="0.35">
      <c r="A11129">
        <v>1975</v>
      </c>
      <c r="B11129" s="1">
        <v>45988</v>
      </c>
      <c r="C11129" s="2">
        <v>0.625</v>
      </c>
      <c r="D11129">
        <v>3</v>
      </c>
      <c r="E11129">
        <v>4.3</v>
      </c>
      <c r="F11129">
        <v>88</v>
      </c>
    </row>
    <row r="11130" spans="1:6" x14ac:dyDescent="0.35">
      <c r="A11130">
        <v>1975</v>
      </c>
      <c r="B11130" s="1">
        <v>45988</v>
      </c>
      <c r="C11130" s="2">
        <v>0.66666666666666663</v>
      </c>
      <c r="D11130">
        <v>3</v>
      </c>
      <c r="E11130">
        <v>4.4000000000000004</v>
      </c>
      <c r="F11130">
        <v>92</v>
      </c>
    </row>
    <row r="11131" spans="1:6" x14ac:dyDescent="0.35">
      <c r="A11131">
        <v>1975</v>
      </c>
      <c r="B11131" s="1">
        <v>45988</v>
      </c>
      <c r="C11131" s="2">
        <v>0.70833333333333337</v>
      </c>
      <c r="D11131">
        <v>3</v>
      </c>
      <c r="E11131">
        <v>4.5</v>
      </c>
      <c r="F11131">
        <v>95</v>
      </c>
    </row>
    <row r="11132" spans="1:6" x14ac:dyDescent="0.35">
      <c r="A11132">
        <v>1975</v>
      </c>
      <c r="B11132" s="1">
        <v>45988</v>
      </c>
      <c r="C11132" s="2">
        <v>0.75</v>
      </c>
      <c r="D11132">
        <v>3</v>
      </c>
      <c r="E11132">
        <v>4.7</v>
      </c>
      <c r="F11132">
        <v>96</v>
      </c>
    </row>
    <row r="11133" spans="1:6" x14ac:dyDescent="0.35">
      <c r="A11133">
        <v>1975</v>
      </c>
      <c r="B11133" s="1">
        <v>45988</v>
      </c>
      <c r="C11133" s="2">
        <v>0.79166666666666663</v>
      </c>
      <c r="D11133">
        <v>3</v>
      </c>
      <c r="E11133">
        <v>5</v>
      </c>
      <c r="F11133">
        <v>96</v>
      </c>
    </row>
    <row r="11134" spans="1:6" x14ac:dyDescent="0.35">
      <c r="A11134">
        <v>1975</v>
      </c>
      <c r="B11134" s="1">
        <v>45988</v>
      </c>
      <c r="C11134" s="2">
        <v>0.83333333333333337</v>
      </c>
      <c r="D11134">
        <v>3</v>
      </c>
      <c r="E11134">
        <v>5.2</v>
      </c>
      <c r="F11134">
        <v>98</v>
      </c>
    </row>
    <row r="11135" spans="1:6" x14ac:dyDescent="0.35">
      <c r="A11135">
        <v>1975</v>
      </c>
      <c r="B11135" s="1">
        <v>45988</v>
      </c>
      <c r="C11135" s="2">
        <v>0.875</v>
      </c>
      <c r="D11135">
        <v>3</v>
      </c>
      <c r="E11135">
        <v>5.6</v>
      </c>
      <c r="F11135">
        <v>98</v>
      </c>
    </row>
    <row r="11136" spans="1:6" x14ac:dyDescent="0.35">
      <c r="A11136">
        <v>1975</v>
      </c>
      <c r="B11136" s="1">
        <v>45988</v>
      </c>
      <c r="C11136" s="2">
        <v>0.91666666666666663</v>
      </c>
      <c r="D11136">
        <v>3</v>
      </c>
      <c r="E11136">
        <v>6</v>
      </c>
      <c r="F11136">
        <v>97</v>
      </c>
    </row>
    <row r="11137" spans="1:6" x14ac:dyDescent="0.35">
      <c r="A11137">
        <v>1975</v>
      </c>
      <c r="B11137" s="1">
        <v>45988</v>
      </c>
      <c r="C11137" s="2">
        <v>0.95833333333333337</v>
      </c>
      <c r="D11137">
        <v>3</v>
      </c>
      <c r="E11137">
        <v>6.3</v>
      </c>
      <c r="F11137">
        <v>97</v>
      </c>
    </row>
    <row r="11138" spans="1:6" x14ac:dyDescent="0.35">
      <c r="A11138">
        <v>1975</v>
      </c>
      <c r="B11138" s="1">
        <v>45989</v>
      </c>
      <c r="C11138" s="2">
        <v>0</v>
      </c>
      <c r="D11138">
        <v>3</v>
      </c>
      <c r="E11138">
        <v>6.4</v>
      </c>
      <c r="F11138">
        <v>97</v>
      </c>
    </row>
    <row r="11139" spans="1:6" x14ac:dyDescent="0.35">
      <c r="A11139">
        <v>1975</v>
      </c>
      <c r="B11139" s="1">
        <v>45989</v>
      </c>
      <c r="C11139" s="2">
        <v>4.1666666666666657E-2</v>
      </c>
      <c r="D11139">
        <v>3</v>
      </c>
      <c r="E11139">
        <v>6.4</v>
      </c>
      <c r="F11139">
        <v>98</v>
      </c>
    </row>
    <row r="11140" spans="1:6" x14ac:dyDescent="0.35">
      <c r="A11140">
        <v>1975</v>
      </c>
      <c r="B11140" s="1">
        <v>45989</v>
      </c>
      <c r="C11140" s="2">
        <v>8.3333333333333329E-2</v>
      </c>
      <c r="D11140">
        <v>3</v>
      </c>
      <c r="E11140">
        <v>6.6</v>
      </c>
      <c r="F11140">
        <v>97</v>
      </c>
    </row>
    <row r="11141" spans="1:6" x14ac:dyDescent="0.35">
      <c r="A11141">
        <v>1975</v>
      </c>
      <c r="B11141" s="1">
        <v>45989</v>
      </c>
      <c r="C11141" s="2">
        <v>0.125</v>
      </c>
      <c r="D11141">
        <v>3</v>
      </c>
      <c r="E11141">
        <v>6.9</v>
      </c>
      <c r="F11141">
        <v>97</v>
      </c>
    </row>
    <row r="11142" spans="1:6" x14ac:dyDescent="0.35">
      <c r="A11142">
        <v>1975</v>
      </c>
      <c r="B11142" s="1">
        <v>45989</v>
      </c>
      <c r="C11142" s="2">
        <v>0.16666666666666671</v>
      </c>
      <c r="D11142">
        <v>3</v>
      </c>
      <c r="E11142">
        <v>7.1</v>
      </c>
      <c r="F11142">
        <v>95</v>
      </c>
    </row>
    <row r="11143" spans="1:6" x14ac:dyDescent="0.35">
      <c r="A11143">
        <v>1975</v>
      </c>
      <c r="B11143" s="1">
        <v>45989</v>
      </c>
      <c r="C11143" s="2">
        <v>0.20833333333333329</v>
      </c>
      <c r="D11143">
        <v>3</v>
      </c>
      <c r="E11143">
        <v>7</v>
      </c>
      <c r="F11143">
        <v>97</v>
      </c>
    </row>
    <row r="11144" spans="1:6" x14ac:dyDescent="0.35">
      <c r="A11144">
        <v>1975</v>
      </c>
      <c r="B11144" s="1">
        <v>45989</v>
      </c>
      <c r="C11144" s="2">
        <v>0.25</v>
      </c>
      <c r="D11144">
        <v>3</v>
      </c>
      <c r="E11144">
        <v>7.1</v>
      </c>
      <c r="F11144">
        <v>96</v>
      </c>
    </row>
    <row r="11145" spans="1:6" x14ac:dyDescent="0.35">
      <c r="A11145">
        <v>1975</v>
      </c>
      <c r="B11145" s="1">
        <v>45989</v>
      </c>
      <c r="C11145" s="2">
        <v>0.29166666666666669</v>
      </c>
      <c r="D11145">
        <v>3</v>
      </c>
      <c r="E11145">
        <v>7.3</v>
      </c>
      <c r="F11145">
        <v>95</v>
      </c>
    </row>
    <row r="11146" spans="1:6" x14ac:dyDescent="0.35">
      <c r="A11146">
        <v>1975</v>
      </c>
      <c r="B11146" s="1">
        <v>45989</v>
      </c>
      <c r="C11146" s="2">
        <v>0.33333333333333331</v>
      </c>
      <c r="D11146">
        <v>3</v>
      </c>
      <c r="E11146">
        <v>7.2</v>
      </c>
      <c r="F11146">
        <v>96</v>
      </c>
    </row>
    <row r="11147" spans="1:6" x14ac:dyDescent="0.35">
      <c r="A11147">
        <v>1975</v>
      </c>
      <c r="B11147" s="1">
        <v>45989</v>
      </c>
      <c r="C11147" s="2">
        <v>0.375</v>
      </c>
      <c r="D11147">
        <v>3</v>
      </c>
      <c r="E11147">
        <v>7.3</v>
      </c>
      <c r="F11147">
        <v>96</v>
      </c>
    </row>
    <row r="11148" spans="1:6" x14ac:dyDescent="0.35">
      <c r="A11148">
        <v>1975</v>
      </c>
      <c r="B11148" s="1">
        <v>45989</v>
      </c>
      <c r="C11148" s="2">
        <v>0.41666666666666669</v>
      </c>
      <c r="D11148">
        <v>3</v>
      </c>
      <c r="E11148">
        <v>7.5</v>
      </c>
      <c r="F11148">
        <v>96</v>
      </c>
    </row>
    <row r="11149" spans="1:6" x14ac:dyDescent="0.35">
      <c r="A11149">
        <v>1975</v>
      </c>
      <c r="B11149" s="1">
        <v>45989</v>
      </c>
      <c r="C11149" s="2">
        <v>0.45833333333333331</v>
      </c>
      <c r="D11149">
        <v>3</v>
      </c>
      <c r="E11149">
        <v>7.7</v>
      </c>
      <c r="F11149">
        <v>96</v>
      </c>
    </row>
    <row r="11150" spans="1:6" x14ac:dyDescent="0.35">
      <c r="A11150">
        <v>1975</v>
      </c>
      <c r="B11150" s="1">
        <v>45989</v>
      </c>
      <c r="C11150" s="2">
        <v>0.5</v>
      </c>
      <c r="D11150">
        <v>3</v>
      </c>
      <c r="E11150">
        <v>7.9</v>
      </c>
      <c r="F11150">
        <v>95</v>
      </c>
    </row>
    <row r="11151" spans="1:6" x14ac:dyDescent="0.35">
      <c r="A11151">
        <v>1975</v>
      </c>
      <c r="B11151" s="1">
        <v>45989</v>
      </c>
      <c r="C11151" s="2">
        <v>0.54166666666666663</v>
      </c>
      <c r="D11151">
        <v>3</v>
      </c>
      <c r="E11151">
        <v>8</v>
      </c>
      <c r="F11151">
        <v>95</v>
      </c>
    </row>
    <row r="11152" spans="1:6" x14ac:dyDescent="0.35">
      <c r="A11152">
        <v>1975</v>
      </c>
      <c r="B11152" s="1">
        <v>45989</v>
      </c>
      <c r="C11152" s="2">
        <v>0.58333333333333337</v>
      </c>
      <c r="D11152">
        <v>3</v>
      </c>
      <c r="E11152">
        <v>8.1</v>
      </c>
      <c r="F11152">
        <v>95</v>
      </c>
    </row>
    <row r="11153" spans="1:6" x14ac:dyDescent="0.35">
      <c r="A11153">
        <v>1975</v>
      </c>
      <c r="B11153" s="1">
        <v>45989</v>
      </c>
      <c r="C11153" s="2">
        <v>0.625</v>
      </c>
      <c r="D11153">
        <v>3</v>
      </c>
      <c r="E11153">
        <v>8.1</v>
      </c>
      <c r="F11153">
        <v>95</v>
      </c>
    </row>
    <row r="11154" spans="1:6" x14ac:dyDescent="0.35">
      <c r="A11154">
        <v>1975</v>
      </c>
      <c r="B11154" s="1">
        <v>45989</v>
      </c>
      <c r="C11154" s="2">
        <v>0.66666666666666663</v>
      </c>
      <c r="D11154">
        <v>3</v>
      </c>
      <c r="E11154">
        <v>8</v>
      </c>
      <c r="F11154">
        <v>97</v>
      </c>
    </row>
    <row r="11155" spans="1:6" x14ac:dyDescent="0.35">
      <c r="A11155">
        <v>1975</v>
      </c>
      <c r="B11155" s="1">
        <v>45989</v>
      </c>
      <c r="C11155" s="2">
        <v>0.70833333333333337</v>
      </c>
      <c r="D11155">
        <v>3</v>
      </c>
      <c r="E11155">
        <v>8</v>
      </c>
      <c r="F11155">
        <v>97</v>
      </c>
    </row>
    <row r="11156" spans="1:6" x14ac:dyDescent="0.35">
      <c r="A11156">
        <v>1975</v>
      </c>
      <c r="B11156" s="1">
        <v>45989</v>
      </c>
      <c r="C11156" s="2">
        <v>0.75</v>
      </c>
      <c r="D11156">
        <v>3</v>
      </c>
      <c r="E11156">
        <v>8.1</v>
      </c>
      <c r="F11156">
        <v>96</v>
      </c>
    </row>
    <row r="11157" spans="1:6" x14ac:dyDescent="0.35">
      <c r="A11157">
        <v>1975</v>
      </c>
      <c r="B11157" s="1">
        <v>45989</v>
      </c>
      <c r="C11157" s="2">
        <v>0.79166666666666663</v>
      </c>
      <c r="D11157">
        <v>3</v>
      </c>
      <c r="E11157">
        <v>8.1999999999999993</v>
      </c>
      <c r="F11157">
        <v>95</v>
      </c>
    </row>
    <row r="11158" spans="1:6" x14ac:dyDescent="0.35">
      <c r="A11158">
        <v>1975</v>
      </c>
      <c r="B11158" s="1">
        <v>45989</v>
      </c>
      <c r="C11158" s="2">
        <v>0.83333333333333337</v>
      </c>
      <c r="D11158">
        <v>3</v>
      </c>
      <c r="E11158">
        <v>8.1999999999999993</v>
      </c>
      <c r="F11158">
        <v>96</v>
      </c>
    </row>
    <row r="11159" spans="1:6" x14ac:dyDescent="0.35">
      <c r="A11159">
        <v>1975</v>
      </c>
      <c r="B11159" s="1">
        <v>45989</v>
      </c>
      <c r="C11159" s="2">
        <v>0.875</v>
      </c>
      <c r="D11159">
        <v>3</v>
      </c>
      <c r="E11159">
        <v>8.1999999999999993</v>
      </c>
      <c r="F11159">
        <v>95</v>
      </c>
    </row>
    <row r="11160" spans="1:6" x14ac:dyDescent="0.35">
      <c r="A11160">
        <v>1975</v>
      </c>
      <c r="B11160" s="1">
        <v>45989</v>
      </c>
      <c r="C11160" s="2">
        <v>0.91666666666666663</v>
      </c>
      <c r="D11160">
        <v>3</v>
      </c>
      <c r="E11160">
        <v>8.1</v>
      </c>
      <c r="F11160">
        <v>94</v>
      </c>
    </row>
    <row r="11161" spans="1:6" x14ac:dyDescent="0.35">
      <c r="A11161">
        <v>1975</v>
      </c>
      <c r="B11161" s="1">
        <v>45989</v>
      </c>
      <c r="C11161" s="2">
        <v>0.95833333333333337</v>
      </c>
      <c r="D11161">
        <v>3</v>
      </c>
      <c r="E11161">
        <v>8.3000000000000007</v>
      </c>
      <c r="F11161">
        <v>92</v>
      </c>
    </row>
    <row r="11162" spans="1:6" x14ac:dyDescent="0.35">
      <c r="A11162">
        <v>1975</v>
      </c>
      <c r="B11162" s="1">
        <v>45990</v>
      </c>
      <c r="C11162" s="2">
        <v>0</v>
      </c>
      <c r="D11162">
        <v>3</v>
      </c>
      <c r="E11162">
        <v>8.1</v>
      </c>
      <c r="F11162">
        <v>92</v>
      </c>
    </row>
    <row r="11163" spans="1:6" x14ac:dyDescent="0.35">
      <c r="A11163">
        <v>1975</v>
      </c>
      <c r="B11163" s="1">
        <v>45990</v>
      </c>
      <c r="C11163" s="2">
        <v>4.1666666666666657E-2</v>
      </c>
      <c r="D11163">
        <v>3</v>
      </c>
      <c r="E11163">
        <v>8.5</v>
      </c>
      <c r="F11163">
        <v>90</v>
      </c>
    </row>
    <row r="11164" spans="1:6" x14ac:dyDescent="0.35">
      <c r="A11164">
        <v>1975</v>
      </c>
      <c r="B11164" s="1">
        <v>45990</v>
      </c>
      <c r="C11164" s="2">
        <v>8.3333333333333329E-2</v>
      </c>
      <c r="D11164">
        <v>3</v>
      </c>
      <c r="E11164">
        <v>8.4</v>
      </c>
      <c r="F11164">
        <v>91</v>
      </c>
    </row>
    <row r="11165" spans="1:6" x14ac:dyDescent="0.35">
      <c r="A11165">
        <v>1975</v>
      </c>
      <c r="B11165" s="1">
        <v>45990</v>
      </c>
      <c r="C11165" s="2">
        <v>0.125</v>
      </c>
      <c r="D11165">
        <v>3</v>
      </c>
      <c r="E11165">
        <v>8.5</v>
      </c>
      <c r="F11165">
        <v>90</v>
      </c>
    </row>
    <row r="11166" spans="1:6" x14ac:dyDescent="0.35">
      <c r="A11166">
        <v>1975</v>
      </c>
      <c r="B11166" s="1">
        <v>45990</v>
      </c>
      <c r="C11166" s="2">
        <v>0.16666666666666671</v>
      </c>
      <c r="D11166">
        <v>3</v>
      </c>
      <c r="E11166">
        <v>8.5</v>
      </c>
      <c r="F11166">
        <v>90</v>
      </c>
    </row>
    <row r="11167" spans="1:6" x14ac:dyDescent="0.35">
      <c r="A11167">
        <v>1975</v>
      </c>
      <c r="B11167" s="1">
        <v>45990</v>
      </c>
      <c r="C11167" s="2">
        <v>0.20833333333333329</v>
      </c>
      <c r="D11167">
        <v>3</v>
      </c>
      <c r="E11167">
        <v>7.4</v>
      </c>
      <c r="F11167">
        <v>93</v>
      </c>
    </row>
    <row r="11168" spans="1:6" x14ac:dyDescent="0.35">
      <c r="A11168">
        <v>1975</v>
      </c>
      <c r="B11168" s="1">
        <v>45990</v>
      </c>
      <c r="C11168" s="2">
        <v>0.25</v>
      </c>
      <c r="D11168">
        <v>3</v>
      </c>
      <c r="E11168">
        <v>7.3</v>
      </c>
      <c r="F11168">
        <v>91</v>
      </c>
    </row>
    <row r="11169" spans="1:6" x14ac:dyDescent="0.35">
      <c r="A11169">
        <v>1975</v>
      </c>
      <c r="B11169" s="1">
        <v>45990</v>
      </c>
      <c r="C11169" s="2">
        <v>0.29166666666666669</v>
      </c>
      <c r="D11169">
        <v>3</v>
      </c>
      <c r="E11169">
        <v>6.3</v>
      </c>
      <c r="F11169">
        <v>95</v>
      </c>
    </row>
    <row r="11170" spans="1:6" x14ac:dyDescent="0.35">
      <c r="A11170">
        <v>1975</v>
      </c>
      <c r="B11170" s="1">
        <v>45990</v>
      </c>
      <c r="C11170" s="2">
        <v>0.33333333333333331</v>
      </c>
      <c r="D11170">
        <v>3</v>
      </c>
      <c r="E11170">
        <v>7.1</v>
      </c>
      <c r="F11170">
        <v>94</v>
      </c>
    </row>
    <row r="11171" spans="1:6" x14ac:dyDescent="0.35">
      <c r="A11171">
        <v>1975</v>
      </c>
      <c r="B11171" s="1">
        <v>45990</v>
      </c>
      <c r="C11171" s="2">
        <v>0.375</v>
      </c>
      <c r="D11171">
        <v>3</v>
      </c>
      <c r="E11171">
        <v>7.8</v>
      </c>
      <c r="F11171">
        <v>93</v>
      </c>
    </row>
    <row r="11172" spans="1:6" x14ac:dyDescent="0.35">
      <c r="A11172">
        <v>1975</v>
      </c>
      <c r="B11172" s="1">
        <v>45990</v>
      </c>
      <c r="C11172" s="2">
        <v>0.41666666666666669</v>
      </c>
      <c r="D11172">
        <v>3</v>
      </c>
      <c r="E11172">
        <v>8.3000000000000007</v>
      </c>
      <c r="F11172">
        <v>90</v>
      </c>
    </row>
    <row r="11173" spans="1:6" x14ac:dyDescent="0.35">
      <c r="A11173">
        <v>1975</v>
      </c>
      <c r="B11173" s="1">
        <v>45990</v>
      </c>
      <c r="C11173" s="2">
        <v>0.45833333333333331</v>
      </c>
      <c r="D11173">
        <v>3</v>
      </c>
      <c r="E11173">
        <v>9</v>
      </c>
      <c r="F11173">
        <v>89</v>
      </c>
    </row>
    <row r="11174" spans="1:6" x14ac:dyDescent="0.35">
      <c r="A11174">
        <v>1975</v>
      </c>
      <c r="B11174" s="1">
        <v>45990</v>
      </c>
      <c r="C11174" s="2">
        <v>0.5</v>
      </c>
      <c r="D11174">
        <v>3</v>
      </c>
      <c r="E11174">
        <v>9.6</v>
      </c>
      <c r="F11174">
        <v>85</v>
      </c>
    </row>
    <row r="11175" spans="1:6" x14ac:dyDescent="0.35">
      <c r="A11175">
        <v>1975</v>
      </c>
      <c r="B11175" s="1">
        <v>45990</v>
      </c>
      <c r="C11175" s="2">
        <v>0.54166666666666663</v>
      </c>
      <c r="D11175">
        <v>3</v>
      </c>
      <c r="E11175">
        <v>9.4</v>
      </c>
      <c r="F11175">
        <v>84</v>
      </c>
    </row>
    <row r="11176" spans="1:6" x14ac:dyDescent="0.35">
      <c r="A11176">
        <v>1975</v>
      </c>
      <c r="B11176" s="1">
        <v>45990</v>
      </c>
      <c r="C11176" s="2">
        <v>0.58333333333333337</v>
      </c>
      <c r="D11176">
        <v>3</v>
      </c>
      <c r="E11176">
        <v>9.4</v>
      </c>
      <c r="F11176">
        <v>83</v>
      </c>
    </row>
    <row r="11177" spans="1:6" x14ac:dyDescent="0.35">
      <c r="A11177">
        <v>1975</v>
      </c>
      <c r="B11177" s="1">
        <v>45990</v>
      </c>
      <c r="C11177" s="2">
        <v>0.625</v>
      </c>
      <c r="D11177">
        <v>3</v>
      </c>
      <c r="E11177">
        <v>8.6</v>
      </c>
      <c r="F11177">
        <v>86</v>
      </c>
    </row>
    <row r="11178" spans="1:6" x14ac:dyDescent="0.35">
      <c r="A11178">
        <v>1975</v>
      </c>
      <c r="B11178" s="1">
        <v>45990</v>
      </c>
      <c r="C11178" s="2">
        <v>0.66666666666666663</v>
      </c>
      <c r="D11178">
        <v>3</v>
      </c>
      <c r="E11178">
        <v>8.6999999999999993</v>
      </c>
      <c r="F11178">
        <v>85</v>
      </c>
    </row>
    <row r="11179" spans="1:6" x14ac:dyDescent="0.35">
      <c r="A11179">
        <v>1975</v>
      </c>
      <c r="B11179" s="1">
        <v>45990</v>
      </c>
      <c r="C11179" s="2">
        <v>0.70833333333333337</v>
      </c>
      <c r="D11179">
        <v>3</v>
      </c>
      <c r="E11179">
        <v>8.6999999999999993</v>
      </c>
      <c r="F11179">
        <v>82</v>
      </c>
    </row>
    <row r="11180" spans="1:6" x14ac:dyDescent="0.35">
      <c r="A11180">
        <v>1975</v>
      </c>
      <c r="B11180" s="1">
        <v>45990</v>
      </c>
      <c r="C11180" s="2">
        <v>0.75</v>
      </c>
      <c r="D11180">
        <v>3</v>
      </c>
      <c r="E11180">
        <v>8.1999999999999993</v>
      </c>
      <c r="F11180">
        <v>82</v>
      </c>
    </row>
    <row r="11181" spans="1:6" x14ac:dyDescent="0.35">
      <c r="A11181">
        <v>1975</v>
      </c>
      <c r="B11181" s="1">
        <v>45990</v>
      </c>
      <c r="C11181" s="2">
        <v>0.79166666666666663</v>
      </c>
      <c r="D11181">
        <v>3</v>
      </c>
      <c r="E11181">
        <v>7.6</v>
      </c>
      <c r="F11181">
        <v>85</v>
      </c>
    </row>
    <row r="11182" spans="1:6" x14ac:dyDescent="0.35">
      <c r="A11182">
        <v>1975</v>
      </c>
      <c r="B11182" s="1">
        <v>45990</v>
      </c>
      <c r="C11182" s="2">
        <v>0.83333333333333337</v>
      </c>
      <c r="D11182">
        <v>3</v>
      </c>
      <c r="E11182">
        <v>7.3</v>
      </c>
      <c r="F11182">
        <v>85</v>
      </c>
    </row>
    <row r="11183" spans="1:6" x14ac:dyDescent="0.35">
      <c r="A11183">
        <v>1975</v>
      </c>
      <c r="B11183" s="1">
        <v>45990</v>
      </c>
      <c r="C11183" s="2">
        <v>0.875</v>
      </c>
      <c r="D11183">
        <v>3</v>
      </c>
      <c r="E11183">
        <v>7.1</v>
      </c>
      <c r="F11183">
        <v>87</v>
      </c>
    </row>
    <row r="11184" spans="1:6" x14ac:dyDescent="0.35">
      <c r="A11184">
        <v>1975</v>
      </c>
      <c r="B11184" s="1">
        <v>45990</v>
      </c>
      <c r="C11184" s="2">
        <v>0.91666666666666663</v>
      </c>
      <c r="D11184">
        <v>3</v>
      </c>
      <c r="E11184">
        <v>6.9</v>
      </c>
      <c r="F11184">
        <v>88</v>
      </c>
    </row>
    <row r="11185" spans="1:6" x14ac:dyDescent="0.35">
      <c r="A11185">
        <v>1975</v>
      </c>
      <c r="B11185" s="1">
        <v>45990</v>
      </c>
      <c r="C11185" s="2">
        <v>0.95833333333333337</v>
      </c>
      <c r="D11185">
        <v>3</v>
      </c>
      <c r="E11185">
        <v>7.3</v>
      </c>
      <c r="F11185">
        <v>88</v>
      </c>
    </row>
    <row r="11186" spans="1:6" x14ac:dyDescent="0.35">
      <c r="A11186">
        <v>1975</v>
      </c>
      <c r="B11186" s="1">
        <v>45991</v>
      </c>
      <c r="C11186" s="2">
        <v>0</v>
      </c>
      <c r="D11186">
        <v>3</v>
      </c>
      <c r="E11186">
        <v>7.1</v>
      </c>
      <c r="F11186">
        <v>89</v>
      </c>
    </row>
    <row r="11187" spans="1:6" x14ac:dyDescent="0.35">
      <c r="A11187">
        <v>1975</v>
      </c>
      <c r="B11187" s="1">
        <v>45991</v>
      </c>
      <c r="C11187" s="2">
        <v>4.1666666666666657E-2</v>
      </c>
      <c r="D11187">
        <v>3</v>
      </c>
      <c r="E11187">
        <v>7.2</v>
      </c>
      <c r="F11187">
        <v>89</v>
      </c>
    </row>
    <row r="11188" spans="1:6" x14ac:dyDescent="0.35">
      <c r="A11188">
        <v>1975</v>
      </c>
      <c r="B11188" s="1">
        <v>45991</v>
      </c>
      <c r="C11188" s="2">
        <v>8.3333333333333329E-2</v>
      </c>
      <c r="D11188">
        <v>3</v>
      </c>
      <c r="E11188">
        <v>7.5</v>
      </c>
      <c r="F11188">
        <v>90</v>
      </c>
    </row>
    <row r="11189" spans="1:6" x14ac:dyDescent="0.35">
      <c r="A11189">
        <v>1975</v>
      </c>
      <c r="B11189" s="1">
        <v>45991</v>
      </c>
      <c r="C11189" s="2">
        <v>0.125</v>
      </c>
      <c r="D11189">
        <v>3</v>
      </c>
      <c r="E11189">
        <v>7.7</v>
      </c>
      <c r="F11189">
        <v>90</v>
      </c>
    </row>
    <row r="11190" spans="1:6" x14ac:dyDescent="0.35">
      <c r="A11190">
        <v>1975</v>
      </c>
      <c r="B11190" s="1">
        <v>45991</v>
      </c>
      <c r="C11190" s="2">
        <v>0.16666666666666671</v>
      </c>
      <c r="D11190">
        <v>3</v>
      </c>
      <c r="E11190">
        <v>7.8</v>
      </c>
      <c r="F11190">
        <v>91</v>
      </c>
    </row>
    <row r="11191" spans="1:6" x14ac:dyDescent="0.35">
      <c r="A11191">
        <v>1975</v>
      </c>
      <c r="B11191" s="1">
        <v>45991</v>
      </c>
      <c r="C11191" s="2">
        <v>0.20833333333333329</v>
      </c>
      <c r="D11191">
        <v>3</v>
      </c>
      <c r="E11191">
        <v>8.6</v>
      </c>
      <c r="F11191">
        <v>91</v>
      </c>
    </row>
    <row r="11192" spans="1:6" x14ac:dyDescent="0.35">
      <c r="A11192">
        <v>1975</v>
      </c>
      <c r="B11192" s="1">
        <v>45991</v>
      </c>
      <c r="C11192" s="2">
        <v>0.25</v>
      </c>
      <c r="D11192">
        <v>3</v>
      </c>
      <c r="E11192">
        <v>9.5</v>
      </c>
      <c r="F11192">
        <v>87</v>
      </c>
    </row>
    <row r="11193" spans="1:6" x14ac:dyDescent="0.35">
      <c r="A11193">
        <v>1975</v>
      </c>
      <c r="B11193" s="1">
        <v>45991</v>
      </c>
      <c r="C11193" s="2">
        <v>0.29166666666666669</v>
      </c>
      <c r="D11193">
        <v>3</v>
      </c>
      <c r="E11193">
        <v>9.1999999999999993</v>
      </c>
      <c r="F11193">
        <v>82</v>
      </c>
    </row>
    <row r="11194" spans="1:6" x14ac:dyDescent="0.35">
      <c r="A11194">
        <v>1975</v>
      </c>
      <c r="B11194" s="1">
        <v>45991</v>
      </c>
      <c r="C11194" s="2">
        <v>0.33333333333333331</v>
      </c>
      <c r="D11194">
        <v>3</v>
      </c>
      <c r="E11194">
        <v>8.4</v>
      </c>
      <c r="F11194">
        <v>85</v>
      </c>
    </row>
    <row r="11195" spans="1:6" x14ac:dyDescent="0.35">
      <c r="A11195">
        <v>1975</v>
      </c>
      <c r="B11195" s="1">
        <v>45991</v>
      </c>
      <c r="C11195" s="2">
        <v>0.375</v>
      </c>
      <c r="D11195">
        <v>3</v>
      </c>
      <c r="E11195">
        <v>8</v>
      </c>
      <c r="F11195">
        <v>80</v>
      </c>
    </row>
    <row r="11196" spans="1:6" x14ac:dyDescent="0.35">
      <c r="A11196">
        <v>1975</v>
      </c>
      <c r="B11196" s="1">
        <v>45991</v>
      </c>
      <c r="C11196" s="2">
        <v>0.41666666666666669</v>
      </c>
      <c r="D11196">
        <v>3</v>
      </c>
      <c r="E11196">
        <v>8.3000000000000007</v>
      </c>
      <c r="F11196">
        <v>78</v>
      </c>
    </row>
    <row r="11197" spans="1:6" x14ac:dyDescent="0.35">
      <c r="A11197">
        <v>1975</v>
      </c>
      <c r="B11197" s="1">
        <v>45991</v>
      </c>
      <c r="C11197" s="2">
        <v>0.45833333333333331</v>
      </c>
      <c r="D11197">
        <v>3</v>
      </c>
      <c r="E11197">
        <v>8.4</v>
      </c>
      <c r="F11197">
        <v>76</v>
      </c>
    </row>
    <row r="11198" spans="1:6" x14ac:dyDescent="0.35">
      <c r="A11198">
        <v>1975</v>
      </c>
      <c r="B11198" s="1">
        <v>45991</v>
      </c>
      <c r="C11198" s="2">
        <v>0.5</v>
      </c>
      <c r="D11198">
        <v>3</v>
      </c>
      <c r="E11198">
        <v>8.3000000000000007</v>
      </c>
      <c r="F11198">
        <v>76</v>
      </c>
    </row>
    <row r="11199" spans="1:6" x14ac:dyDescent="0.35">
      <c r="A11199">
        <v>1975</v>
      </c>
      <c r="B11199" s="1">
        <v>45991</v>
      </c>
      <c r="C11199" s="2">
        <v>0.54166666666666663</v>
      </c>
      <c r="D11199">
        <v>3</v>
      </c>
      <c r="E11199">
        <v>8.5</v>
      </c>
      <c r="F11199">
        <v>73</v>
      </c>
    </row>
    <row r="11200" spans="1:6" x14ac:dyDescent="0.35">
      <c r="A11200">
        <v>1975</v>
      </c>
      <c r="B11200" s="1">
        <v>45991</v>
      </c>
      <c r="C11200" s="2">
        <v>0.58333333333333337</v>
      </c>
      <c r="D11200">
        <v>3</v>
      </c>
      <c r="E11200">
        <v>7.9</v>
      </c>
      <c r="F11200">
        <v>75</v>
      </c>
    </row>
    <row r="11201" spans="1:6" x14ac:dyDescent="0.35">
      <c r="A11201">
        <v>1975</v>
      </c>
      <c r="B11201" s="1">
        <v>45991</v>
      </c>
      <c r="C11201" s="2">
        <v>0.625</v>
      </c>
      <c r="D11201">
        <v>3</v>
      </c>
      <c r="E11201">
        <v>7.9</v>
      </c>
      <c r="F11201">
        <v>73</v>
      </c>
    </row>
    <row r="11202" spans="1:6" x14ac:dyDescent="0.35">
      <c r="A11202">
        <v>1975</v>
      </c>
      <c r="B11202" s="1">
        <v>45991</v>
      </c>
      <c r="C11202" s="2">
        <v>0.66666666666666663</v>
      </c>
      <c r="D11202">
        <v>3</v>
      </c>
      <c r="E11202">
        <v>7.2</v>
      </c>
      <c r="F11202">
        <v>77</v>
      </c>
    </row>
    <row r="11203" spans="1:6" x14ac:dyDescent="0.35">
      <c r="A11203">
        <v>1975</v>
      </c>
      <c r="B11203" s="1">
        <v>45991</v>
      </c>
      <c r="C11203" s="2">
        <v>0.70833333333333337</v>
      </c>
      <c r="D11203">
        <v>3</v>
      </c>
      <c r="E11203">
        <v>6.7</v>
      </c>
      <c r="F11203">
        <v>77</v>
      </c>
    </row>
    <row r="11204" spans="1:6" x14ac:dyDescent="0.35">
      <c r="A11204">
        <v>1975</v>
      </c>
      <c r="B11204" s="1">
        <v>45991</v>
      </c>
      <c r="C11204" s="2">
        <v>0.75</v>
      </c>
      <c r="D11204">
        <v>3</v>
      </c>
      <c r="E11204">
        <v>6.3</v>
      </c>
      <c r="F11204">
        <v>75</v>
      </c>
    </row>
    <row r="11205" spans="1:6" x14ac:dyDescent="0.35">
      <c r="A11205">
        <v>1975</v>
      </c>
      <c r="B11205" s="1">
        <v>45991</v>
      </c>
      <c r="C11205" s="2">
        <v>0.79166666666666663</v>
      </c>
      <c r="D11205">
        <v>3</v>
      </c>
      <c r="E11205">
        <v>6.4</v>
      </c>
      <c r="F11205">
        <v>70</v>
      </c>
    </row>
    <row r="11206" spans="1:6" x14ac:dyDescent="0.35">
      <c r="A11206">
        <v>1975</v>
      </c>
      <c r="B11206" s="1">
        <v>45991</v>
      </c>
      <c r="C11206" s="2">
        <v>0.83333333333333337</v>
      </c>
      <c r="D11206">
        <v>3</v>
      </c>
      <c r="E11206">
        <v>5.7</v>
      </c>
      <c r="F11206">
        <v>71</v>
      </c>
    </row>
    <row r="11207" spans="1:6" x14ac:dyDescent="0.35">
      <c r="A11207">
        <v>1975</v>
      </c>
      <c r="B11207" s="1">
        <v>45991</v>
      </c>
      <c r="C11207" s="2">
        <v>0.875</v>
      </c>
      <c r="D11207">
        <v>3</v>
      </c>
      <c r="E11207">
        <v>5.0999999999999996</v>
      </c>
      <c r="F11207">
        <v>74</v>
      </c>
    </row>
    <row r="11208" spans="1:6" x14ac:dyDescent="0.35">
      <c r="A11208">
        <v>1975</v>
      </c>
      <c r="B11208" s="1">
        <v>45991</v>
      </c>
      <c r="C11208" s="2">
        <v>0.91666666666666663</v>
      </c>
      <c r="D11208">
        <v>3</v>
      </c>
      <c r="E11208">
        <v>4.5</v>
      </c>
      <c r="F11208">
        <v>77</v>
      </c>
    </row>
    <row r="11209" spans="1:6" x14ac:dyDescent="0.35">
      <c r="A11209">
        <v>1975</v>
      </c>
      <c r="B11209" s="1">
        <v>45991</v>
      </c>
      <c r="C11209" s="2">
        <v>0.95833333333333337</v>
      </c>
      <c r="D11209">
        <v>3</v>
      </c>
      <c r="E11209">
        <v>3.8</v>
      </c>
      <c r="F11209">
        <v>81</v>
      </c>
    </row>
    <row r="11210" spans="1:6" x14ac:dyDescent="0.35">
      <c r="A11210">
        <v>1975</v>
      </c>
      <c r="B11210" s="1">
        <v>45992</v>
      </c>
      <c r="C11210" s="2">
        <v>0</v>
      </c>
      <c r="D11210">
        <v>3</v>
      </c>
      <c r="E11210">
        <v>3.4</v>
      </c>
      <c r="F11210">
        <v>84</v>
      </c>
    </row>
    <row r="11211" spans="1:6" x14ac:dyDescent="0.35">
      <c r="A11211">
        <v>1975</v>
      </c>
      <c r="B11211" s="1">
        <v>45992</v>
      </c>
      <c r="C11211" s="2">
        <v>4.1666666666666657E-2</v>
      </c>
      <c r="D11211">
        <v>3</v>
      </c>
      <c r="E11211">
        <v>3.2</v>
      </c>
      <c r="F11211">
        <v>87</v>
      </c>
    </row>
    <row r="11212" spans="1:6" x14ac:dyDescent="0.35">
      <c r="A11212">
        <v>1975</v>
      </c>
      <c r="B11212" s="1">
        <v>45992</v>
      </c>
      <c r="C11212" s="2">
        <v>8.3333333333333329E-2</v>
      </c>
      <c r="D11212">
        <v>3</v>
      </c>
      <c r="E11212">
        <v>2.4</v>
      </c>
      <c r="F11212">
        <v>92</v>
      </c>
    </row>
    <row r="11213" spans="1:6" x14ac:dyDescent="0.35">
      <c r="A11213">
        <v>1975</v>
      </c>
      <c r="B11213" s="1">
        <v>45992</v>
      </c>
      <c r="C11213" s="2">
        <v>0.125</v>
      </c>
      <c r="D11213">
        <v>3</v>
      </c>
      <c r="E11213">
        <v>1.6</v>
      </c>
      <c r="F11213">
        <v>95</v>
      </c>
    </row>
    <row r="11214" spans="1:6" x14ac:dyDescent="0.35">
      <c r="A11214">
        <v>1975</v>
      </c>
      <c r="B11214" s="1">
        <v>45992</v>
      </c>
      <c r="C11214" s="2">
        <v>0.16666666666666671</v>
      </c>
      <c r="D11214">
        <v>3</v>
      </c>
      <c r="E11214">
        <v>1.4</v>
      </c>
      <c r="F11214">
        <v>96</v>
      </c>
    </row>
    <row r="11215" spans="1:6" x14ac:dyDescent="0.35">
      <c r="A11215">
        <v>1975</v>
      </c>
      <c r="B11215" s="1">
        <v>45992</v>
      </c>
      <c r="C11215" s="2">
        <v>0.20833333333333329</v>
      </c>
      <c r="D11215">
        <v>3</v>
      </c>
      <c r="E11215">
        <v>2</v>
      </c>
      <c r="F11215">
        <v>95</v>
      </c>
    </row>
    <row r="11216" spans="1:6" x14ac:dyDescent="0.35">
      <c r="A11216">
        <v>1975</v>
      </c>
      <c r="B11216" s="1">
        <v>45992</v>
      </c>
      <c r="C11216" s="2">
        <v>0.25</v>
      </c>
      <c r="D11216">
        <v>3</v>
      </c>
      <c r="E11216">
        <v>2.4</v>
      </c>
      <c r="F11216">
        <v>94</v>
      </c>
    </row>
    <row r="11217" spans="1:6" x14ac:dyDescent="0.35">
      <c r="A11217">
        <v>1975</v>
      </c>
      <c r="B11217" s="1">
        <v>45992</v>
      </c>
      <c r="C11217" s="2">
        <v>0.29166666666666669</v>
      </c>
      <c r="D11217">
        <v>3</v>
      </c>
      <c r="E11217">
        <v>3.8</v>
      </c>
      <c r="F11217">
        <v>92</v>
      </c>
    </row>
    <row r="11218" spans="1:6" x14ac:dyDescent="0.35">
      <c r="A11218">
        <v>1975</v>
      </c>
      <c r="B11218" s="1">
        <v>45992</v>
      </c>
      <c r="C11218" s="2">
        <v>0.33333333333333331</v>
      </c>
      <c r="D11218">
        <v>3</v>
      </c>
      <c r="E11218">
        <v>3.4</v>
      </c>
      <c r="F11218">
        <v>92</v>
      </c>
    </row>
    <row r="11219" spans="1:6" x14ac:dyDescent="0.35">
      <c r="A11219">
        <v>1975</v>
      </c>
      <c r="B11219" s="1">
        <v>45992</v>
      </c>
      <c r="C11219" s="2">
        <v>0.375</v>
      </c>
      <c r="D11219">
        <v>3</v>
      </c>
      <c r="E11219">
        <v>4.8</v>
      </c>
      <c r="F11219">
        <v>87</v>
      </c>
    </row>
    <row r="11220" spans="1:6" x14ac:dyDescent="0.35">
      <c r="A11220">
        <v>1975</v>
      </c>
      <c r="B11220" s="1">
        <v>45992</v>
      </c>
      <c r="C11220" s="2">
        <v>0.41666666666666669</v>
      </c>
      <c r="D11220">
        <v>3</v>
      </c>
      <c r="E11220">
        <v>6.1</v>
      </c>
      <c r="F11220">
        <v>78</v>
      </c>
    </row>
    <row r="11221" spans="1:6" x14ac:dyDescent="0.35">
      <c r="A11221">
        <v>1975</v>
      </c>
      <c r="B11221" s="1">
        <v>45992</v>
      </c>
      <c r="C11221" s="2">
        <v>0.45833333333333331</v>
      </c>
      <c r="D11221">
        <v>3</v>
      </c>
      <c r="E11221">
        <v>6.2</v>
      </c>
      <c r="F11221">
        <v>77</v>
      </c>
    </row>
    <row r="11222" spans="1:6" x14ac:dyDescent="0.35">
      <c r="A11222">
        <v>1975</v>
      </c>
      <c r="B11222" s="1">
        <v>45992</v>
      </c>
      <c r="C11222" s="2">
        <v>0.5</v>
      </c>
      <c r="D11222">
        <v>3</v>
      </c>
      <c r="E11222">
        <v>7.2</v>
      </c>
      <c r="F11222">
        <v>73</v>
      </c>
    </row>
    <row r="11223" spans="1:6" x14ac:dyDescent="0.35">
      <c r="A11223">
        <v>1975</v>
      </c>
      <c r="B11223" s="1">
        <v>45992</v>
      </c>
      <c r="C11223" s="2">
        <v>0.54166666666666663</v>
      </c>
      <c r="D11223">
        <v>3</v>
      </c>
      <c r="E11223">
        <v>7.4</v>
      </c>
      <c r="F11223">
        <v>71</v>
      </c>
    </row>
    <row r="11224" spans="1:6" x14ac:dyDescent="0.35">
      <c r="A11224">
        <v>1975</v>
      </c>
      <c r="B11224" s="1">
        <v>45992</v>
      </c>
      <c r="C11224" s="2">
        <v>0.58333333333333337</v>
      </c>
      <c r="D11224">
        <v>3</v>
      </c>
      <c r="E11224">
        <v>7.2</v>
      </c>
      <c r="F11224">
        <v>70</v>
      </c>
    </row>
    <row r="11225" spans="1:6" x14ac:dyDescent="0.35">
      <c r="A11225">
        <v>1975</v>
      </c>
      <c r="B11225" s="1">
        <v>45992</v>
      </c>
      <c r="C11225" s="2">
        <v>0.625</v>
      </c>
      <c r="D11225">
        <v>3</v>
      </c>
      <c r="E11225">
        <v>7</v>
      </c>
      <c r="F11225">
        <v>68</v>
      </c>
    </row>
    <row r="11226" spans="1:6" x14ac:dyDescent="0.35">
      <c r="A11226">
        <v>1975</v>
      </c>
      <c r="B11226" s="1">
        <v>45992</v>
      </c>
      <c r="C11226" s="2">
        <v>0.66666666666666663</v>
      </c>
      <c r="D11226">
        <v>3</v>
      </c>
      <c r="E11226">
        <v>6.6</v>
      </c>
      <c r="F11226">
        <v>70</v>
      </c>
    </row>
    <row r="11227" spans="1:6" x14ac:dyDescent="0.35">
      <c r="A11227">
        <v>1975</v>
      </c>
      <c r="B11227" s="1">
        <v>45992</v>
      </c>
      <c r="C11227" s="2">
        <v>0.70833333333333337</v>
      </c>
      <c r="D11227">
        <v>3</v>
      </c>
      <c r="E11227">
        <v>6.1</v>
      </c>
      <c r="F11227">
        <v>71</v>
      </c>
    </row>
    <row r="11228" spans="1:6" x14ac:dyDescent="0.35">
      <c r="A11228">
        <v>1975</v>
      </c>
      <c r="B11228" s="1">
        <v>45992</v>
      </c>
      <c r="C11228" s="2">
        <v>0.75</v>
      </c>
      <c r="D11228">
        <v>3</v>
      </c>
      <c r="E11228">
        <v>5.3</v>
      </c>
      <c r="F11228">
        <v>71</v>
      </c>
    </row>
    <row r="11229" spans="1:6" x14ac:dyDescent="0.35">
      <c r="A11229">
        <v>1975</v>
      </c>
      <c r="B11229" s="1">
        <v>45992</v>
      </c>
      <c r="C11229" s="2">
        <v>0.79166666666666663</v>
      </c>
      <c r="D11229">
        <v>3</v>
      </c>
      <c r="E11229">
        <v>5.0999999999999996</v>
      </c>
      <c r="F11229">
        <v>69</v>
      </c>
    </row>
    <row r="11230" spans="1:6" x14ac:dyDescent="0.35">
      <c r="A11230">
        <v>1975</v>
      </c>
      <c r="B11230" s="1">
        <v>45992</v>
      </c>
      <c r="C11230" s="2">
        <v>0.83333333333333337</v>
      </c>
      <c r="D11230">
        <v>3</v>
      </c>
      <c r="E11230">
        <v>5</v>
      </c>
      <c r="F11230">
        <v>69</v>
      </c>
    </row>
    <row r="11231" spans="1:6" x14ac:dyDescent="0.35">
      <c r="A11231">
        <v>1975</v>
      </c>
      <c r="B11231" s="1">
        <v>45992</v>
      </c>
      <c r="C11231" s="2">
        <v>0.875</v>
      </c>
      <c r="D11231">
        <v>3</v>
      </c>
      <c r="E11231">
        <v>5</v>
      </c>
      <c r="F11231">
        <v>68</v>
      </c>
    </row>
    <row r="11232" spans="1:6" x14ac:dyDescent="0.35">
      <c r="A11232">
        <v>1975</v>
      </c>
      <c r="B11232" s="1">
        <v>45992</v>
      </c>
      <c r="C11232" s="2">
        <v>0.91666666666666663</v>
      </c>
      <c r="D11232">
        <v>3</v>
      </c>
      <c r="E11232">
        <v>5.2</v>
      </c>
      <c r="F11232">
        <v>66</v>
      </c>
    </row>
    <row r="11233" spans="1:6" x14ac:dyDescent="0.35">
      <c r="A11233">
        <v>1975</v>
      </c>
      <c r="B11233" s="1">
        <v>45992</v>
      </c>
      <c r="C11233" s="2">
        <v>0.95833333333333337</v>
      </c>
      <c r="D11233">
        <v>3</v>
      </c>
      <c r="E11233">
        <v>5</v>
      </c>
      <c r="F11233">
        <v>66</v>
      </c>
    </row>
    <row r="11234" spans="1:6" x14ac:dyDescent="0.35">
      <c r="A11234">
        <v>1975</v>
      </c>
      <c r="B11234" s="1">
        <v>45993</v>
      </c>
      <c r="C11234" s="2">
        <v>0</v>
      </c>
      <c r="D11234">
        <v>3</v>
      </c>
      <c r="E11234">
        <v>5.0999999999999996</v>
      </c>
      <c r="F11234">
        <v>65</v>
      </c>
    </row>
    <row r="11235" spans="1:6" x14ac:dyDescent="0.35">
      <c r="A11235">
        <v>1975</v>
      </c>
      <c r="B11235" s="1">
        <v>45993</v>
      </c>
      <c r="C11235" s="2">
        <v>4.1666666666666657E-2</v>
      </c>
      <c r="D11235">
        <v>3</v>
      </c>
      <c r="E11235">
        <v>5</v>
      </c>
      <c r="F11235">
        <v>64</v>
      </c>
    </row>
    <row r="11236" spans="1:6" x14ac:dyDescent="0.35">
      <c r="A11236">
        <v>1975</v>
      </c>
      <c r="B11236" s="1">
        <v>45993</v>
      </c>
      <c r="C11236" s="2">
        <v>8.3333333333333329E-2</v>
      </c>
      <c r="D11236">
        <v>3</v>
      </c>
      <c r="E11236">
        <v>4.8</v>
      </c>
      <c r="F11236">
        <v>63</v>
      </c>
    </row>
    <row r="11237" spans="1:6" x14ac:dyDescent="0.35">
      <c r="A11237">
        <v>1975</v>
      </c>
      <c r="B11237" s="1">
        <v>45993</v>
      </c>
      <c r="C11237" s="2">
        <v>0.125</v>
      </c>
      <c r="D11237">
        <v>3</v>
      </c>
      <c r="E11237">
        <v>4.8</v>
      </c>
      <c r="F11237">
        <v>62</v>
      </c>
    </row>
    <row r="11238" spans="1:6" x14ac:dyDescent="0.35">
      <c r="A11238">
        <v>1975</v>
      </c>
      <c r="B11238" s="1">
        <v>45993</v>
      </c>
      <c r="C11238" s="2">
        <v>0.16666666666666671</v>
      </c>
      <c r="D11238">
        <v>3</v>
      </c>
      <c r="E11238">
        <v>4.4000000000000004</v>
      </c>
      <c r="F11238">
        <v>63</v>
      </c>
    </row>
    <row r="11239" spans="1:6" x14ac:dyDescent="0.35">
      <c r="A11239">
        <v>1975</v>
      </c>
      <c r="B11239" s="1">
        <v>45993</v>
      </c>
      <c r="C11239" s="2">
        <v>0.20833333333333329</v>
      </c>
      <c r="D11239">
        <v>3</v>
      </c>
      <c r="E11239">
        <v>3.7</v>
      </c>
      <c r="F11239">
        <v>66</v>
      </c>
    </row>
    <row r="11240" spans="1:6" x14ac:dyDescent="0.35">
      <c r="A11240">
        <v>1975</v>
      </c>
      <c r="B11240" s="1">
        <v>45993</v>
      </c>
      <c r="C11240" s="2">
        <v>0.25</v>
      </c>
      <c r="D11240">
        <v>3</v>
      </c>
      <c r="E11240">
        <v>4</v>
      </c>
      <c r="F11240">
        <v>68</v>
      </c>
    </row>
    <row r="11241" spans="1:6" x14ac:dyDescent="0.35">
      <c r="A11241">
        <v>1975</v>
      </c>
      <c r="B11241" s="1">
        <v>45993</v>
      </c>
      <c r="C11241" s="2">
        <v>0.29166666666666669</v>
      </c>
      <c r="D11241">
        <v>3</v>
      </c>
      <c r="E11241">
        <v>4.2</v>
      </c>
      <c r="F11241">
        <v>70</v>
      </c>
    </row>
    <row r="11242" spans="1:6" x14ac:dyDescent="0.35">
      <c r="A11242">
        <v>1975</v>
      </c>
      <c r="B11242" s="1">
        <v>45993</v>
      </c>
      <c r="C11242" s="2">
        <v>0.33333333333333331</v>
      </c>
      <c r="D11242">
        <v>3</v>
      </c>
      <c r="E11242">
        <v>4.2</v>
      </c>
      <c r="F11242">
        <v>72</v>
      </c>
    </row>
    <row r="11243" spans="1:6" x14ac:dyDescent="0.35">
      <c r="A11243">
        <v>1975</v>
      </c>
      <c r="B11243" s="1">
        <v>45993</v>
      </c>
      <c r="C11243" s="2">
        <v>0.375</v>
      </c>
      <c r="D11243">
        <v>3</v>
      </c>
      <c r="E11243">
        <v>4.5</v>
      </c>
      <c r="F11243">
        <v>73</v>
      </c>
    </row>
    <row r="11244" spans="1:6" x14ac:dyDescent="0.35">
      <c r="A11244">
        <v>1975</v>
      </c>
      <c r="B11244" s="1">
        <v>45993</v>
      </c>
      <c r="C11244" s="2">
        <v>0.41666666666666669</v>
      </c>
      <c r="D11244">
        <v>3</v>
      </c>
      <c r="E11244">
        <v>4.8</v>
      </c>
      <c r="F11244">
        <v>74</v>
      </c>
    </row>
    <row r="11245" spans="1:6" x14ac:dyDescent="0.35">
      <c r="A11245">
        <v>1975</v>
      </c>
      <c r="B11245" s="1">
        <v>45993</v>
      </c>
      <c r="C11245" s="2">
        <v>0.45833333333333331</v>
      </c>
      <c r="D11245">
        <v>3</v>
      </c>
      <c r="E11245">
        <v>5.2</v>
      </c>
      <c r="F11245">
        <v>73</v>
      </c>
    </row>
    <row r="11246" spans="1:6" x14ac:dyDescent="0.35">
      <c r="A11246">
        <v>1975</v>
      </c>
      <c r="B11246" s="1">
        <v>45993</v>
      </c>
      <c r="C11246" s="2">
        <v>0.5</v>
      </c>
      <c r="D11246">
        <v>3</v>
      </c>
      <c r="E11246">
        <v>5.3</v>
      </c>
      <c r="F11246">
        <v>79</v>
      </c>
    </row>
    <row r="11247" spans="1:6" x14ac:dyDescent="0.35">
      <c r="A11247">
        <v>1975</v>
      </c>
      <c r="B11247" s="1">
        <v>45993</v>
      </c>
      <c r="C11247" s="2">
        <v>0.54166666666666663</v>
      </c>
      <c r="D11247">
        <v>3</v>
      </c>
      <c r="E11247">
        <v>5.6</v>
      </c>
      <c r="F11247">
        <v>77</v>
      </c>
    </row>
    <row r="11248" spans="1:6" x14ac:dyDescent="0.35">
      <c r="A11248">
        <v>1975</v>
      </c>
      <c r="B11248" s="1">
        <v>45993</v>
      </c>
      <c r="C11248" s="2">
        <v>0.58333333333333337</v>
      </c>
      <c r="D11248">
        <v>3</v>
      </c>
      <c r="E11248">
        <v>5.5</v>
      </c>
      <c r="F11248">
        <v>82</v>
      </c>
    </row>
    <row r="11249" spans="1:6" x14ac:dyDescent="0.35">
      <c r="A11249">
        <v>1975</v>
      </c>
      <c r="B11249" s="1">
        <v>45993</v>
      </c>
      <c r="C11249" s="2">
        <v>0.625</v>
      </c>
      <c r="D11249">
        <v>3</v>
      </c>
      <c r="E11249">
        <v>5.2</v>
      </c>
      <c r="F11249">
        <v>89</v>
      </c>
    </row>
    <row r="11250" spans="1:6" x14ac:dyDescent="0.35">
      <c r="A11250">
        <v>1975</v>
      </c>
      <c r="B11250" s="1">
        <v>45993</v>
      </c>
      <c r="C11250" s="2">
        <v>0.66666666666666663</v>
      </c>
      <c r="D11250">
        <v>3</v>
      </c>
      <c r="E11250">
        <v>5.5</v>
      </c>
      <c r="F11250">
        <v>88</v>
      </c>
    </row>
    <row r="11251" spans="1:6" x14ac:dyDescent="0.35">
      <c r="A11251">
        <v>1975</v>
      </c>
      <c r="B11251" s="1">
        <v>45993</v>
      </c>
      <c r="C11251" s="2">
        <v>0.70833333333333337</v>
      </c>
      <c r="D11251">
        <v>3</v>
      </c>
      <c r="E11251">
        <v>6</v>
      </c>
      <c r="F11251">
        <v>84</v>
      </c>
    </row>
    <row r="11252" spans="1:6" x14ac:dyDescent="0.35">
      <c r="A11252">
        <v>1975</v>
      </c>
      <c r="B11252" s="1">
        <v>45993</v>
      </c>
      <c r="C11252" s="2">
        <v>0.75</v>
      </c>
      <c r="D11252">
        <v>3</v>
      </c>
      <c r="E11252">
        <v>6.1</v>
      </c>
      <c r="F11252">
        <v>82</v>
      </c>
    </row>
    <row r="11253" spans="1:6" x14ac:dyDescent="0.35">
      <c r="A11253">
        <v>1975</v>
      </c>
      <c r="B11253" s="1">
        <v>45993</v>
      </c>
      <c r="C11253" s="2">
        <v>0.79166666666666663</v>
      </c>
      <c r="D11253">
        <v>3</v>
      </c>
      <c r="E11253">
        <v>6.2</v>
      </c>
      <c r="F11253">
        <v>82</v>
      </c>
    </row>
    <row r="11254" spans="1:6" x14ac:dyDescent="0.35">
      <c r="A11254">
        <v>1975</v>
      </c>
      <c r="B11254" s="1">
        <v>45993</v>
      </c>
      <c r="C11254" s="2">
        <v>0.83333333333333337</v>
      </c>
      <c r="D11254">
        <v>3</v>
      </c>
      <c r="E11254">
        <v>5.7</v>
      </c>
      <c r="F11254">
        <v>86</v>
      </c>
    </row>
    <row r="11255" spans="1:6" x14ac:dyDescent="0.35">
      <c r="A11255">
        <v>1975</v>
      </c>
      <c r="B11255" s="1">
        <v>45993</v>
      </c>
      <c r="C11255" s="2">
        <v>0.875</v>
      </c>
      <c r="D11255">
        <v>3</v>
      </c>
      <c r="E11255">
        <v>5.6</v>
      </c>
      <c r="F11255">
        <v>86</v>
      </c>
    </row>
    <row r="11256" spans="1:6" x14ac:dyDescent="0.35">
      <c r="A11256">
        <v>1975</v>
      </c>
      <c r="B11256" s="1">
        <v>45993</v>
      </c>
      <c r="C11256" s="2">
        <v>0.91666666666666663</v>
      </c>
      <c r="D11256">
        <v>3</v>
      </c>
      <c r="E11256">
        <v>5.5</v>
      </c>
      <c r="F11256">
        <v>84</v>
      </c>
    </row>
    <row r="11257" spans="1:6" x14ac:dyDescent="0.35">
      <c r="A11257">
        <v>1975</v>
      </c>
      <c r="B11257" s="1">
        <v>45993</v>
      </c>
      <c r="C11257" s="2">
        <v>0.95833333333333337</v>
      </c>
      <c r="D11257">
        <v>3</v>
      </c>
      <c r="E11257">
        <v>5.7</v>
      </c>
      <c r="F11257">
        <v>84</v>
      </c>
    </row>
    <row r="11258" spans="1:6" x14ac:dyDescent="0.35">
      <c r="A11258">
        <v>1975</v>
      </c>
      <c r="B11258" s="1">
        <v>45994</v>
      </c>
      <c r="C11258" s="2">
        <v>0</v>
      </c>
      <c r="D11258">
        <v>3</v>
      </c>
      <c r="E11258">
        <v>5.5</v>
      </c>
      <c r="F11258">
        <v>84</v>
      </c>
    </row>
    <row r="11259" spans="1:6" x14ac:dyDescent="0.35">
      <c r="A11259">
        <v>1975</v>
      </c>
      <c r="B11259" s="1">
        <v>45994</v>
      </c>
      <c r="C11259" s="2">
        <v>4.1666666666666657E-2</v>
      </c>
      <c r="D11259">
        <v>3</v>
      </c>
      <c r="E11259">
        <v>5.4</v>
      </c>
      <c r="F11259">
        <v>87</v>
      </c>
    </row>
    <row r="11260" spans="1:6" x14ac:dyDescent="0.35">
      <c r="A11260">
        <v>1975</v>
      </c>
      <c r="B11260" s="1">
        <v>45994</v>
      </c>
      <c r="C11260" s="2">
        <v>8.3333333333333329E-2</v>
      </c>
      <c r="D11260">
        <v>3</v>
      </c>
      <c r="E11260">
        <v>5.4</v>
      </c>
      <c r="F11260">
        <v>85</v>
      </c>
    </row>
    <row r="11261" spans="1:6" x14ac:dyDescent="0.35">
      <c r="A11261">
        <v>1975</v>
      </c>
      <c r="B11261" s="1">
        <v>45994</v>
      </c>
      <c r="C11261" s="2">
        <v>0.125</v>
      </c>
      <c r="D11261">
        <v>3</v>
      </c>
      <c r="E11261">
        <v>5</v>
      </c>
      <c r="F11261">
        <v>86</v>
      </c>
    </row>
    <row r="11262" spans="1:6" x14ac:dyDescent="0.35">
      <c r="A11262">
        <v>1975</v>
      </c>
      <c r="B11262" s="1">
        <v>45994</v>
      </c>
      <c r="C11262" s="2">
        <v>0.16666666666666671</v>
      </c>
      <c r="D11262">
        <v>3</v>
      </c>
      <c r="E11262">
        <v>5.0999999999999996</v>
      </c>
      <c r="F11262">
        <v>88</v>
      </c>
    </row>
    <row r="11263" spans="1:6" x14ac:dyDescent="0.35">
      <c r="A11263">
        <v>1975</v>
      </c>
      <c r="B11263" s="1">
        <v>45994</v>
      </c>
      <c r="C11263" s="2">
        <v>0.20833333333333329</v>
      </c>
      <c r="D11263">
        <v>3</v>
      </c>
      <c r="E11263">
        <v>5</v>
      </c>
      <c r="F11263">
        <v>91</v>
      </c>
    </row>
    <row r="11264" spans="1:6" x14ac:dyDescent="0.35">
      <c r="A11264">
        <v>1975</v>
      </c>
      <c r="B11264" s="1">
        <v>45994</v>
      </c>
      <c r="C11264" s="2">
        <v>0.25</v>
      </c>
      <c r="D11264">
        <v>3</v>
      </c>
      <c r="E11264">
        <v>4.7</v>
      </c>
      <c r="F11264">
        <v>93</v>
      </c>
    </row>
    <row r="11265" spans="1:6" x14ac:dyDescent="0.35">
      <c r="A11265">
        <v>1975</v>
      </c>
      <c r="B11265" s="1">
        <v>45994</v>
      </c>
      <c r="C11265" s="2">
        <v>0.29166666666666669</v>
      </c>
      <c r="D11265">
        <v>3</v>
      </c>
      <c r="E11265">
        <v>4.7</v>
      </c>
      <c r="F11265">
        <v>94</v>
      </c>
    </row>
    <row r="11266" spans="1:6" x14ac:dyDescent="0.35">
      <c r="A11266">
        <v>1975</v>
      </c>
      <c r="B11266" s="1">
        <v>45994</v>
      </c>
      <c r="C11266" s="2">
        <v>0.33333333333333331</v>
      </c>
      <c r="D11266">
        <v>3</v>
      </c>
      <c r="E11266">
        <v>5.2</v>
      </c>
      <c r="F11266">
        <v>93</v>
      </c>
    </row>
    <row r="11267" spans="1:6" x14ac:dyDescent="0.35">
      <c r="A11267">
        <v>1975</v>
      </c>
      <c r="B11267" s="1">
        <v>45994</v>
      </c>
      <c r="C11267" s="2">
        <v>0.375</v>
      </c>
      <c r="D11267">
        <v>3</v>
      </c>
      <c r="E11267">
        <v>5.7</v>
      </c>
      <c r="F11267">
        <v>90</v>
      </c>
    </row>
    <row r="11268" spans="1:6" x14ac:dyDescent="0.35">
      <c r="A11268">
        <v>1975</v>
      </c>
      <c r="B11268" s="1">
        <v>45994</v>
      </c>
      <c r="C11268" s="2">
        <v>0.41666666666666669</v>
      </c>
      <c r="D11268">
        <v>3</v>
      </c>
      <c r="E11268">
        <v>6.4</v>
      </c>
      <c r="F11268">
        <v>86</v>
      </c>
    </row>
    <row r="11269" spans="1:6" x14ac:dyDescent="0.35">
      <c r="A11269">
        <v>1975</v>
      </c>
      <c r="B11269" s="1">
        <v>45994</v>
      </c>
      <c r="C11269" s="2">
        <v>0.45833333333333331</v>
      </c>
      <c r="D11269">
        <v>3</v>
      </c>
      <c r="E11269">
        <v>6.6</v>
      </c>
      <c r="F11269">
        <v>84</v>
      </c>
    </row>
    <row r="11270" spans="1:6" x14ac:dyDescent="0.35">
      <c r="A11270">
        <v>1975</v>
      </c>
      <c r="B11270" s="1">
        <v>45994</v>
      </c>
      <c r="C11270" s="2">
        <v>0.5</v>
      </c>
      <c r="D11270">
        <v>3</v>
      </c>
      <c r="E11270">
        <v>7.1</v>
      </c>
      <c r="F11270">
        <v>85</v>
      </c>
    </row>
    <row r="11271" spans="1:6" x14ac:dyDescent="0.35">
      <c r="A11271">
        <v>1975</v>
      </c>
      <c r="B11271" s="1">
        <v>45994</v>
      </c>
      <c r="C11271" s="2">
        <v>0.54166666666666663</v>
      </c>
      <c r="D11271">
        <v>3</v>
      </c>
      <c r="E11271">
        <v>7.5</v>
      </c>
      <c r="F11271">
        <v>85</v>
      </c>
    </row>
    <row r="11272" spans="1:6" x14ac:dyDescent="0.35">
      <c r="A11272">
        <v>1975</v>
      </c>
      <c r="B11272" s="1">
        <v>45994</v>
      </c>
      <c r="C11272" s="2">
        <v>0.58333333333333337</v>
      </c>
      <c r="D11272">
        <v>3</v>
      </c>
      <c r="E11272">
        <v>7.5</v>
      </c>
      <c r="F11272">
        <v>85</v>
      </c>
    </row>
    <row r="11273" spans="1:6" x14ac:dyDescent="0.35">
      <c r="A11273">
        <v>1975</v>
      </c>
      <c r="B11273" s="1">
        <v>45994</v>
      </c>
      <c r="C11273" s="2">
        <v>0.625</v>
      </c>
      <c r="D11273">
        <v>3</v>
      </c>
      <c r="E11273">
        <v>6.7</v>
      </c>
      <c r="F11273">
        <v>88</v>
      </c>
    </row>
    <row r="11274" spans="1:6" x14ac:dyDescent="0.35">
      <c r="A11274">
        <v>1975</v>
      </c>
      <c r="B11274" s="1">
        <v>45994</v>
      </c>
      <c r="C11274" s="2">
        <v>0.66666666666666663</v>
      </c>
      <c r="D11274">
        <v>3</v>
      </c>
      <c r="E11274">
        <v>6.7</v>
      </c>
      <c r="F11274">
        <v>88</v>
      </c>
    </row>
    <row r="11275" spans="1:6" x14ac:dyDescent="0.35">
      <c r="A11275">
        <v>1975</v>
      </c>
      <c r="B11275" s="1">
        <v>45994</v>
      </c>
      <c r="C11275" s="2">
        <v>0.70833333333333337</v>
      </c>
      <c r="D11275">
        <v>3</v>
      </c>
      <c r="E11275">
        <v>6.5</v>
      </c>
      <c r="F11275">
        <v>89</v>
      </c>
    </row>
    <row r="11276" spans="1:6" x14ac:dyDescent="0.35">
      <c r="A11276">
        <v>1975</v>
      </c>
      <c r="B11276" s="1">
        <v>45994</v>
      </c>
      <c r="C11276" s="2">
        <v>0.75</v>
      </c>
      <c r="D11276">
        <v>3</v>
      </c>
      <c r="E11276">
        <v>6.6</v>
      </c>
      <c r="F11276">
        <v>88</v>
      </c>
    </row>
    <row r="11277" spans="1:6" x14ac:dyDescent="0.35">
      <c r="A11277">
        <v>1975</v>
      </c>
      <c r="B11277" s="1">
        <v>45994</v>
      </c>
      <c r="C11277" s="2">
        <v>0.79166666666666663</v>
      </c>
      <c r="D11277">
        <v>3</v>
      </c>
      <c r="E11277">
        <v>6.3</v>
      </c>
      <c r="F11277">
        <v>91</v>
      </c>
    </row>
    <row r="11278" spans="1:6" x14ac:dyDescent="0.35">
      <c r="A11278">
        <v>1975</v>
      </c>
      <c r="B11278" s="1">
        <v>45994</v>
      </c>
      <c r="C11278" s="2">
        <v>0.83333333333333337</v>
      </c>
      <c r="D11278">
        <v>3</v>
      </c>
      <c r="E11278">
        <v>6.3</v>
      </c>
      <c r="F11278">
        <v>91</v>
      </c>
    </row>
    <row r="11279" spans="1:6" x14ac:dyDescent="0.35">
      <c r="A11279">
        <v>1975</v>
      </c>
      <c r="B11279" s="1">
        <v>45994</v>
      </c>
      <c r="C11279" s="2">
        <v>0.875</v>
      </c>
      <c r="D11279">
        <v>3</v>
      </c>
      <c r="E11279">
        <v>6</v>
      </c>
      <c r="F11279">
        <v>93</v>
      </c>
    </row>
    <row r="11280" spans="1:6" x14ac:dyDescent="0.35">
      <c r="A11280">
        <v>1975</v>
      </c>
      <c r="B11280" s="1">
        <v>45994</v>
      </c>
      <c r="C11280" s="2">
        <v>0.91666666666666663</v>
      </c>
      <c r="D11280">
        <v>3</v>
      </c>
      <c r="E11280">
        <v>5.7</v>
      </c>
      <c r="F11280">
        <v>95</v>
      </c>
    </row>
    <row r="11281" spans="1:6" x14ac:dyDescent="0.35">
      <c r="A11281">
        <v>1975</v>
      </c>
      <c r="B11281" s="1">
        <v>45994</v>
      </c>
      <c r="C11281" s="2">
        <v>0.95833333333333337</v>
      </c>
      <c r="D11281">
        <v>3</v>
      </c>
      <c r="E11281">
        <v>5.7</v>
      </c>
      <c r="F11281">
        <v>93</v>
      </c>
    </row>
    <row r="11282" spans="1:6" x14ac:dyDescent="0.35">
      <c r="A11282">
        <v>1975</v>
      </c>
      <c r="B11282" s="1">
        <v>45995</v>
      </c>
      <c r="C11282" s="2">
        <v>0</v>
      </c>
      <c r="D11282">
        <v>3</v>
      </c>
      <c r="E11282">
        <v>5.4</v>
      </c>
      <c r="F11282">
        <v>95</v>
      </c>
    </row>
    <row r="11283" spans="1:6" x14ac:dyDescent="0.35">
      <c r="A11283">
        <v>1975</v>
      </c>
      <c r="B11283" s="1">
        <v>45995</v>
      </c>
      <c r="C11283" s="2">
        <v>4.1666666666666657E-2</v>
      </c>
      <c r="D11283">
        <v>3</v>
      </c>
      <c r="E11283">
        <v>5.5</v>
      </c>
      <c r="F11283">
        <v>93</v>
      </c>
    </row>
    <row r="11284" spans="1:6" x14ac:dyDescent="0.35">
      <c r="A11284">
        <v>1975</v>
      </c>
      <c r="B11284" s="1">
        <v>45995</v>
      </c>
      <c r="C11284" s="2">
        <v>8.3333333333333329E-2</v>
      </c>
      <c r="D11284">
        <v>3</v>
      </c>
      <c r="E11284">
        <v>5.0999999999999996</v>
      </c>
      <c r="F11284">
        <v>93</v>
      </c>
    </row>
    <row r="11285" spans="1:6" x14ac:dyDescent="0.35">
      <c r="A11285">
        <v>1975</v>
      </c>
      <c r="B11285" s="1">
        <v>45995</v>
      </c>
      <c r="C11285" s="2">
        <v>0.125</v>
      </c>
      <c r="D11285">
        <v>3</v>
      </c>
      <c r="E11285">
        <v>4.4000000000000004</v>
      </c>
      <c r="F11285">
        <v>97</v>
      </c>
    </row>
    <row r="11286" spans="1:6" x14ac:dyDescent="0.35">
      <c r="A11286">
        <v>1975</v>
      </c>
      <c r="B11286" s="1">
        <v>45995</v>
      </c>
      <c r="C11286" s="2">
        <v>0.16666666666666671</v>
      </c>
      <c r="D11286">
        <v>3</v>
      </c>
      <c r="E11286">
        <v>4.5999999999999996</v>
      </c>
      <c r="F11286">
        <v>94</v>
      </c>
    </row>
    <row r="11287" spans="1:6" x14ac:dyDescent="0.35">
      <c r="A11287">
        <v>1975</v>
      </c>
      <c r="B11287" s="1">
        <v>45995</v>
      </c>
      <c r="C11287" s="2">
        <v>0.20833333333333329</v>
      </c>
      <c r="D11287">
        <v>3</v>
      </c>
      <c r="E11287">
        <v>4.5999999999999996</v>
      </c>
      <c r="F11287">
        <v>95</v>
      </c>
    </row>
    <row r="11288" spans="1:6" x14ac:dyDescent="0.35">
      <c r="A11288">
        <v>1975</v>
      </c>
      <c r="B11288" s="1">
        <v>45995</v>
      </c>
      <c r="C11288" s="2">
        <v>0.25</v>
      </c>
      <c r="D11288">
        <v>3</v>
      </c>
      <c r="E11288">
        <v>4.4000000000000004</v>
      </c>
      <c r="F11288">
        <v>96</v>
      </c>
    </row>
    <row r="11289" spans="1:6" x14ac:dyDescent="0.35">
      <c r="A11289">
        <v>1975</v>
      </c>
      <c r="B11289" s="1">
        <v>45995</v>
      </c>
      <c r="C11289" s="2">
        <v>0.29166666666666669</v>
      </c>
      <c r="D11289">
        <v>3</v>
      </c>
      <c r="E11289">
        <v>4.5999999999999996</v>
      </c>
      <c r="F11289">
        <v>95</v>
      </c>
    </row>
    <row r="11290" spans="1:6" x14ac:dyDescent="0.35">
      <c r="A11290">
        <v>1975</v>
      </c>
      <c r="B11290" s="1">
        <v>45995</v>
      </c>
      <c r="C11290" s="2">
        <v>0.33333333333333331</v>
      </c>
      <c r="D11290">
        <v>3</v>
      </c>
      <c r="E11290">
        <v>4.7</v>
      </c>
      <c r="F11290">
        <v>95</v>
      </c>
    </row>
    <row r="11291" spans="1:6" x14ac:dyDescent="0.35">
      <c r="A11291">
        <v>1975</v>
      </c>
      <c r="B11291" s="1">
        <v>45995</v>
      </c>
      <c r="C11291" s="2">
        <v>0.375</v>
      </c>
      <c r="D11291">
        <v>3</v>
      </c>
      <c r="E11291">
        <v>4.7</v>
      </c>
      <c r="F11291">
        <v>96</v>
      </c>
    </row>
    <row r="11292" spans="1:6" x14ac:dyDescent="0.35">
      <c r="A11292">
        <v>1975</v>
      </c>
      <c r="B11292" s="1">
        <v>45995</v>
      </c>
      <c r="C11292" s="2">
        <v>0.41666666666666669</v>
      </c>
      <c r="D11292">
        <v>3</v>
      </c>
      <c r="E11292">
        <v>4.8</v>
      </c>
      <c r="F11292">
        <v>96</v>
      </c>
    </row>
    <row r="11293" spans="1:6" x14ac:dyDescent="0.35">
      <c r="A11293">
        <v>1975</v>
      </c>
      <c r="B11293" s="1">
        <v>45995</v>
      </c>
      <c r="C11293" s="2">
        <v>0.45833333333333331</v>
      </c>
      <c r="D11293">
        <v>3</v>
      </c>
      <c r="E11293">
        <v>5.2</v>
      </c>
      <c r="F11293">
        <v>94</v>
      </c>
    </row>
    <row r="11294" spans="1:6" x14ac:dyDescent="0.35">
      <c r="A11294">
        <v>1975</v>
      </c>
      <c r="B11294" s="1">
        <v>45995</v>
      </c>
      <c r="C11294" s="2">
        <v>0.5</v>
      </c>
      <c r="D11294">
        <v>3</v>
      </c>
      <c r="E11294">
        <v>5.5</v>
      </c>
      <c r="F11294">
        <v>92</v>
      </c>
    </row>
    <row r="11295" spans="1:6" x14ac:dyDescent="0.35">
      <c r="A11295">
        <v>1975</v>
      </c>
      <c r="B11295" s="1">
        <v>45995</v>
      </c>
      <c r="C11295" s="2">
        <v>0.54166666666666663</v>
      </c>
      <c r="D11295">
        <v>3</v>
      </c>
      <c r="E11295">
        <v>5.9</v>
      </c>
      <c r="F11295">
        <v>91</v>
      </c>
    </row>
    <row r="11296" spans="1:6" x14ac:dyDescent="0.35">
      <c r="A11296">
        <v>1975</v>
      </c>
      <c r="B11296" s="1">
        <v>45995</v>
      </c>
      <c r="C11296" s="2">
        <v>0.58333333333333337</v>
      </c>
      <c r="D11296">
        <v>3</v>
      </c>
      <c r="E11296">
        <v>5.6</v>
      </c>
      <c r="F11296">
        <v>89</v>
      </c>
    </row>
    <row r="11297" spans="1:6" x14ac:dyDescent="0.35">
      <c r="A11297">
        <v>1975</v>
      </c>
      <c r="B11297" s="1">
        <v>45995</v>
      </c>
      <c r="C11297" s="2">
        <v>0.625</v>
      </c>
      <c r="D11297">
        <v>3</v>
      </c>
      <c r="E11297">
        <v>4.8</v>
      </c>
      <c r="F11297">
        <v>91</v>
      </c>
    </row>
    <row r="11298" spans="1:6" x14ac:dyDescent="0.35">
      <c r="A11298">
        <v>1975</v>
      </c>
      <c r="B11298" s="1">
        <v>45995</v>
      </c>
      <c r="C11298" s="2">
        <v>0.66666666666666663</v>
      </c>
      <c r="D11298">
        <v>3</v>
      </c>
      <c r="E11298">
        <v>3.6</v>
      </c>
      <c r="F11298">
        <v>95</v>
      </c>
    </row>
    <row r="11299" spans="1:6" x14ac:dyDescent="0.35">
      <c r="A11299">
        <v>1975</v>
      </c>
      <c r="B11299" s="1">
        <v>45995</v>
      </c>
      <c r="C11299" s="2">
        <v>0.70833333333333337</v>
      </c>
      <c r="D11299">
        <v>3</v>
      </c>
      <c r="E11299">
        <v>4</v>
      </c>
      <c r="F11299">
        <v>92</v>
      </c>
    </row>
    <row r="11300" spans="1:6" x14ac:dyDescent="0.35">
      <c r="A11300">
        <v>1975</v>
      </c>
      <c r="B11300" s="1">
        <v>45995</v>
      </c>
      <c r="C11300" s="2">
        <v>0.75</v>
      </c>
      <c r="D11300">
        <v>3</v>
      </c>
      <c r="E11300">
        <v>3.5</v>
      </c>
      <c r="F11300">
        <v>91</v>
      </c>
    </row>
    <row r="11301" spans="1:6" x14ac:dyDescent="0.35">
      <c r="A11301">
        <v>1975</v>
      </c>
      <c r="B11301" s="1">
        <v>45995</v>
      </c>
      <c r="C11301" s="2">
        <v>0.79166666666666663</v>
      </c>
      <c r="D11301">
        <v>3</v>
      </c>
      <c r="E11301">
        <v>3.3</v>
      </c>
      <c r="F11301">
        <v>90</v>
      </c>
    </row>
    <row r="11302" spans="1:6" x14ac:dyDescent="0.35">
      <c r="A11302">
        <v>1975</v>
      </c>
      <c r="B11302" s="1">
        <v>45995</v>
      </c>
      <c r="C11302" s="2">
        <v>0.83333333333333337</v>
      </c>
      <c r="D11302">
        <v>3</v>
      </c>
      <c r="E11302">
        <v>3.2</v>
      </c>
      <c r="F11302">
        <v>90</v>
      </c>
    </row>
    <row r="11303" spans="1:6" x14ac:dyDescent="0.35">
      <c r="A11303">
        <v>1975</v>
      </c>
      <c r="B11303" s="1">
        <v>45995</v>
      </c>
      <c r="C11303" s="2">
        <v>0.875</v>
      </c>
      <c r="D11303">
        <v>3</v>
      </c>
      <c r="E11303">
        <v>3.1</v>
      </c>
      <c r="F11303">
        <v>88</v>
      </c>
    </row>
    <row r="11304" spans="1:6" x14ac:dyDescent="0.35">
      <c r="A11304">
        <v>1975</v>
      </c>
      <c r="B11304" s="1">
        <v>45995</v>
      </c>
      <c r="C11304" s="2">
        <v>0.91666666666666663</v>
      </c>
      <c r="D11304">
        <v>3</v>
      </c>
      <c r="E11304">
        <v>3</v>
      </c>
      <c r="F11304">
        <v>89</v>
      </c>
    </row>
    <row r="11305" spans="1:6" x14ac:dyDescent="0.35">
      <c r="A11305">
        <v>1975</v>
      </c>
      <c r="B11305" s="1">
        <v>45995</v>
      </c>
      <c r="C11305" s="2">
        <v>0.95833333333333337</v>
      </c>
      <c r="D11305">
        <v>3</v>
      </c>
      <c r="E11305">
        <v>2.7</v>
      </c>
      <c r="F11305">
        <v>89</v>
      </c>
    </row>
    <row r="11306" spans="1:6" x14ac:dyDescent="0.35">
      <c r="A11306">
        <v>1975</v>
      </c>
      <c r="B11306" s="1">
        <v>45996</v>
      </c>
      <c r="C11306" s="2">
        <v>0</v>
      </c>
      <c r="D11306">
        <v>3</v>
      </c>
      <c r="E11306">
        <v>2.2000000000000002</v>
      </c>
      <c r="F11306">
        <v>89</v>
      </c>
    </row>
    <row r="11307" spans="1:6" x14ac:dyDescent="0.35">
      <c r="A11307">
        <v>1975</v>
      </c>
      <c r="B11307" s="1">
        <v>45996</v>
      </c>
      <c r="C11307" s="2">
        <v>4.1666666666666657E-2</v>
      </c>
      <c r="D11307">
        <v>3</v>
      </c>
      <c r="E11307">
        <v>1.8</v>
      </c>
      <c r="F11307">
        <v>90</v>
      </c>
    </row>
    <row r="11308" spans="1:6" x14ac:dyDescent="0.35">
      <c r="A11308">
        <v>1975</v>
      </c>
      <c r="B11308" s="1">
        <v>45996</v>
      </c>
      <c r="C11308" s="2">
        <v>8.3333333333333329E-2</v>
      </c>
      <c r="D11308">
        <v>3</v>
      </c>
      <c r="E11308">
        <v>1.5</v>
      </c>
      <c r="F11308">
        <v>90</v>
      </c>
    </row>
    <row r="11309" spans="1:6" x14ac:dyDescent="0.35">
      <c r="A11309">
        <v>1975</v>
      </c>
      <c r="B11309" s="1">
        <v>45996</v>
      </c>
      <c r="C11309" s="2">
        <v>0.125</v>
      </c>
      <c r="D11309">
        <v>3</v>
      </c>
      <c r="E11309">
        <v>0.9</v>
      </c>
      <c r="F11309">
        <v>92</v>
      </c>
    </row>
    <row r="11310" spans="1:6" x14ac:dyDescent="0.35">
      <c r="A11310">
        <v>1975</v>
      </c>
      <c r="B11310" s="1">
        <v>45996</v>
      </c>
      <c r="C11310" s="2">
        <v>0.16666666666666671</v>
      </c>
      <c r="D11310">
        <v>3</v>
      </c>
      <c r="E11310">
        <v>0.8</v>
      </c>
      <c r="F11310">
        <v>94</v>
      </c>
    </row>
    <row r="11311" spans="1:6" x14ac:dyDescent="0.35">
      <c r="A11311">
        <v>1975</v>
      </c>
      <c r="B11311" s="1">
        <v>45996</v>
      </c>
      <c r="C11311" s="2">
        <v>0.20833333333333329</v>
      </c>
      <c r="D11311">
        <v>3</v>
      </c>
      <c r="E11311">
        <v>1.2</v>
      </c>
      <c r="F11311">
        <v>92</v>
      </c>
    </row>
    <row r="11312" spans="1:6" x14ac:dyDescent="0.35">
      <c r="A11312">
        <v>1975</v>
      </c>
      <c r="B11312" s="1">
        <v>45996</v>
      </c>
      <c r="C11312" s="2">
        <v>0.25</v>
      </c>
      <c r="D11312">
        <v>3</v>
      </c>
      <c r="E11312">
        <v>1.7</v>
      </c>
      <c r="F11312">
        <v>91</v>
      </c>
    </row>
    <row r="11313" spans="1:6" x14ac:dyDescent="0.35">
      <c r="A11313">
        <v>1975</v>
      </c>
      <c r="B11313" s="1">
        <v>45996</v>
      </c>
      <c r="C11313" s="2">
        <v>0.29166666666666669</v>
      </c>
      <c r="D11313">
        <v>3</v>
      </c>
      <c r="E11313">
        <v>2.2000000000000002</v>
      </c>
      <c r="F11313">
        <v>89</v>
      </c>
    </row>
    <row r="11314" spans="1:6" x14ac:dyDescent="0.35">
      <c r="A11314">
        <v>1975</v>
      </c>
      <c r="B11314" s="1">
        <v>45996</v>
      </c>
      <c r="C11314" s="2">
        <v>0.33333333333333331</v>
      </c>
      <c r="D11314">
        <v>3</v>
      </c>
      <c r="E11314">
        <v>2.4</v>
      </c>
      <c r="F11314">
        <v>89</v>
      </c>
    </row>
    <row r="11315" spans="1:6" x14ac:dyDescent="0.35">
      <c r="A11315">
        <v>1975</v>
      </c>
      <c r="B11315" s="1">
        <v>45996</v>
      </c>
      <c r="C11315" s="2">
        <v>0.375</v>
      </c>
      <c r="D11315">
        <v>3</v>
      </c>
      <c r="E11315">
        <v>3</v>
      </c>
      <c r="F11315">
        <v>87</v>
      </c>
    </row>
    <row r="11316" spans="1:6" x14ac:dyDescent="0.35">
      <c r="A11316">
        <v>1975</v>
      </c>
      <c r="B11316" s="1">
        <v>45996</v>
      </c>
      <c r="C11316" s="2">
        <v>0.41666666666666669</v>
      </c>
      <c r="D11316">
        <v>3</v>
      </c>
      <c r="E11316">
        <v>2.9</v>
      </c>
      <c r="F11316">
        <v>85</v>
      </c>
    </row>
    <row r="11317" spans="1:6" x14ac:dyDescent="0.35">
      <c r="A11317">
        <v>1975</v>
      </c>
      <c r="B11317" s="1">
        <v>45996</v>
      </c>
      <c r="C11317" s="2">
        <v>0.45833333333333331</v>
      </c>
      <c r="D11317">
        <v>3</v>
      </c>
      <c r="E11317">
        <v>3.3</v>
      </c>
      <c r="F11317">
        <v>84</v>
      </c>
    </row>
    <row r="11318" spans="1:6" x14ac:dyDescent="0.35">
      <c r="A11318">
        <v>1975</v>
      </c>
      <c r="B11318" s="1">
        <v>45996</v>
      </c>
      <c r="C11318" s="2">
        <v>0.5</v>
      </c>
      <c r="D11318">
        <v>3</v>
      </c>
      <c r="E11318">
        <v>3.7</v>
      </c>
      <c r="F11318">
        <v>83</v>
      </c>
    </row>
    <row r="11319" spans="1:6" x14ac:dyDescent="0.35">
      <c r="A11319">
        <v>1975</v>
      </c>
      <c r="B11319" s="1">
        <v>45996</v>
      </c>
      <c r="C11319" s="2">
        <v>0.54166666666666663</v>
      </c>
      <c r="D11319">
        <v>3</v>
      </c>
      <c r="E11319">
        <v>3.6</v>
      </c>
      <c r="F11319">
        <v>82</v>
      </c>
    </row>
    <row r="11320" spans="1:6" x14ac:dyDescent="0.35">
      <c r="A11320">
        <v>1975</v>
      </c>
      <c r="B11320" s="1">
        <v>45996</v>
      </c>
      <c r="C11320" s="2">
        <v>0.58333333333333337</v>
      </c>
      <c r="D11320">
        <v>3</v>
      </c>
      <c r="E11320">
        <v>3.6</v>
      </c>
      <c r="F11320">
        <v>84</v>
      </c>
    </row>
    <row r="11321" spans="1:6" x14ac:dyDescent="0.35">
      <c r="A11321">
        <v>1975</v>
      </c>
      <c r="B11321" s="1">
        <v>45996</v>
      </c>
      <c r="C11321" s="2">
        <v>0.625</v>
      </c>
      <c r="D11321">
        <v>3</v>
      </c>
      <c r="E11321">
        <v>3.8</v>
      </c>
      <c r="F11321">
        <v>87</v>
      </c>
    </row>
    <row r="11322" spans="1:6" x14ac:dyDescent="0.35">
      <c r="A11322">
        <v>1975</v>
      </c>
      <c r="B11322" s="1">
        <v>45996</v>
      </c>
      <c r="C11322" s="2">
        <v>0.66666666666666663</v>
      </c>
      <c r="D11322">
        <v>3</v>
      </c>
      <c r="E11322">
        <v>3.4</v>
      </c>
      <c r="F11322">
        <v>89</v>
      </c>
    </row>
    <row r="11323" spans="1:6" x14ac:dyDescent="0.35">
      <c r="A11323">
        <v>1975</v>
      </c>
      <c r="B11323" s="1">
        <v>45996</v>
      </c>
      <c r="C11323" s="2">
        <v>0.70833333333333337</v>
      </c>
      <c r="D11323">
        <v>3</v>
      </c>
      <c r="E11323">
        <v>2.6</v>
      </c>
      <c r="F11323">
        <v>92</v>
      </c>
    </row>
    <row r="11324" spans="1:6" x14ac:dyDescent="0.35">
      <c r="A11324">
        <v>1975</v>
      </c>
      <c r="B11324" s="1">
        <v>45996</v>
      </c>
      <c r="C11324" s="2">
        <v>0.75</v>
      </c>
      <c r="D11324">
        <v>3</v>
      </c>
      <c r="E11324">
        <v>3.3</v>
      </c>
      <c r="F11324">
        <v>91</v>
      </c>
    </row>
    <row r="11325" spans="1:6" x14ac:dyDescent="0.35">
      <c r="A11325">
        <v>1975</v>
      </c>
      <c r="B11325" s="1">
        <v>45996</v>
      </c>
      <c r="C11325" s="2">
        <v>0.79166666666666663</v>
      </c>
      <c r="D11325">
        <v>3</v>
      </c>
      <c r="E11325">
        <v>3.2</v>
      </c>
      <c r="F11325">
        <v>91</v>
      </c>
    </row>
    <row r="11326" spans="1:6" x14ac:dyDescent="0.35">
      <c r="A11326">
        <v>1975</v>
      </c>
      <c r="B11326" s="1">
        <v>45996</v>
      </c>
      <c r="C11326" s="2">
        <v>0.83333333333333337</v>
      </c>
      <c r="D11326">
        <v>3</v>
      </c>
      <c r="E11326">
        <v>3.6</v>
      </c>
      <c r="F11326">
        <v>90</v>
      </c>
    </row>
    <row r="11327" spans="1:6" x14ac:dyDescent="0.35">
      <c r="A11327">
        <v>1975</v>
      </c>
      <c r="B11327" s="1">
        <v>45996</v>
      </c>
      <c r="C11327" s="2">
        <v>0.875</v>
      </c>
      <c r="D11327">
        <v>3</v>
      </c>
      <c r="E11327">
        <v>3.5</v>
      </c>
      <c r="F11327">
        <v>90</v>
      </c>
    </row>
    <row r="11328" spans="1:6" x14ac:dyDescent="0.35">
      <c r="A11328">
        <v>1975</v>
      </c>
      <c r="B11328" s="1">
        <v>45996</v>
      </c>
      <c r="C11328" s="2">
        <v>0.91666666666666663</v>
      </c>
      <c r="D11328">
        <v>3</v>
      </c>
      <c r="E11328">
        <v>3.6</v>
      </c>
      <c r="F11328">
        <v>91</v>
      </c>
    </row>
    <row r="11329" spans="1:6" x14ac:dyDescent="0.35">
      <c r="A11329">
        <v>1975</v>
      </c>
      <c r="B11329" s="1">
        <v>45996</v>
      </c>
      <c r="C11329" s="2">
        <v>0.95833333333333337</v>
      </c>
      <c r="D11329">
        <v>3</v>
      </c>
      <c r="E11329">
        <v>3.4</v>
      </c>
      <c r="F11329">
        <v>92</v>
      </c>
    </row>
    <row r="11330" spans="1:6" x14ac:dyDescent="0.35">
      <c r="A11330">
        <v>1975</v>
      </c>
      <c r="B11330" s="1">
        <v>45997</v>
      </c>
      <c r="C11330" s="2">
        <v>0</v>
      </c>
      <c r="D11330">
        <v>3</v>
      </c>
      <c r="E11330">
        <v>3.5</v>
      </c>
      <c r="F11330">
        <v>91</v>
      </c>
    </row>
    <row r="11331" spans="1:6" x14ac:dyDescent="0.35">
      <c r="A11331">
        <v>1975</v>
      </c>
      <c r="B11331" s="1">
        <v>45997</v>
      </c>
      <c r="C11331" s="2">
        <v>4.1666666666666657E-2</v>
      </c>
      <c r="D11331">
        <v>3</v>
      </c>
      <c r="E11331">
        <v>3</v>
      </c>
      <c r="F11331">
        <v>93</v>
      </c>
    </row>
    <row r="11332" spans="1:6" x14ac:dyDescent="0.35">
      <c r="A11332">
        <v>1975</v>
      </c>
      <c r="B11332" s="1">
        <v>45997</v>
      </c>
      <c r="C11332" s="2">
        <v>8.3333333333333329E-2</v>
      </c>
      <c r="D11332">
        <v>3</v>
      </c>
      <c r="E11332">
        <v>2.7</v>
      </c>
      <c r="F11332">
        <v>94</v>
      </c>
    </row>
    <row r="11333" spans="1:6" x14ac:dyDescent="0.35">
      <c r="A11333">
        <v>1975</v>
      </c>
      <c r="B11333" s="1">
        <v>45997</v>
      </c>
      <c r="C11333" s="2">
        <v>0.125</v>
      </c>
      <c r="D11333">
        <v>3</v>
      </c>
      <c r="E11333">
        <v>3</v>
      </c>
      <c r="F11333">
        <v>93</v>
      </c>
    </row>
    <row r="11334" spans="1:6" x14ac:dyDescent="0.35">
      <c r="A11334">
        <v>1975</v>
      </c>
      <c r="B11334" s="1">
        <v>45997</v>
      </c>
      <c r="C11334" s="2">
        <v>0.16666666666666671</v>
      </c>
      <c r="D11334">
        <v>3</v>
      </c>
      <c r="E11334">
        <v>2.5</v>
      </c>
      <c r="F11334">
        <v>95</v>
      </c>
    </row>
    <row r="11335" spans="1:6" x14ac:dyDescent="0.35">
      <c r="A11335">
        <v>1975</v>
      </c>
      <c r="B11335" s="1">
        <v>45997</v>
      </c>
      <c r="C11335" s="2">
        <v>0.20833333333333329</v>
      </c>
      <c r="D11335">
        <v>3</v>
      </c>
      <c r="E11335">
        <v>2.4</v>
      </c>
      <c r="F11335">
        <v>95</v>
      </c>
    </row>
    <row r="11336" spans="1:6" x14ac:dyDescent="0.35">
      <c r="A11336">
        <v>1975</v>
      </c>
      <c r="B11336" s="1">
        <v>45997</v>
      </c>
      <c r="C11336" s="2">
        <v>0.25</v>
      </c>
      <c r="D11336">
        <v>3</v>
      </c>
      <c r="E11336">
        <v>2.6</v>
      </c>
      <c r="F11336">
        <v>93</v>
      </c>
    </row>
    <row r="11337" spans="1:6" x14ac:dyDescent="0.35">
      <c r="A11337">
        <v>1975</v>
      </c>
      <c r="B11337" s="1">
        <v>45997</v>
      </c>
      <c r="C11337" s="2">
        <v>0.29166666666666669</v>
      </c>
      <c r="D11337">
        <v>3</v>
      </c>
      <c r="E11337">
        <v>3</v>
      </c>
      <c r="F11337">
        <v>88</v>
      </c>
    </row>
    <row r="11338" spans="1:6" x14ac:dyDescent="0.35">
      <c r="A11338">
        <v>1975</v>
      </c>
      <c r="B11338" s="1">
        <v>45997</v>
      </c>
      <c r="C11338" s="2">
        <v>0.33333333333333331</v>
      </c>
      <c r="D11338">
        <v>3</v>
      </c>
      <c r="E11338">
        <v>2.8</v>
      </c>
      <c r="F11338">
        <v>87</v>
      </c>
    </row>
    <row r="11339" spans="1:6" x14ac:dyDescent="0.35">
      <c r="A11339">
        <v>1975</v>
      </c>
      <c r="B11339" s="1">
        <v>45997</v>
      </c>
      <c r="C11339" s="2">
        <v>0.375</v>
      </c>
      <c r="D11339">
        <v>3</v>
      </c>
      <c r="E11339">
        <v>3.3</v>
      </c>
      <c r="F11339">
        <v>85</v>
      </c>
    </row>
    <row r="11340" spans="1:6" x14ac:dyDescent="0.35">
      <c r="A11340">
        <v>1975</v>
      </c>
      <c r="B11340" s="1">
        <v>45997</v>
      </c>
      <c r="C11340" s="2">
        <v>0.41666666666666669</v>
      </c>
      <c r="D11340">
        <v>3</v>
      </c>
      <c r="E11340">
        <v>3.4</v>
      </c>
      <c r="F11340">
        <v>85</v>
      </c>
    </row>
    <row r="11341" spans="1:6" x14ac:dyDescent="0.35">
      <c r="A11341">
        <v>1975</v>
      </c>
      <c r="B11341" s="1">
        <v>45997</v>
      </c>
      <c r="C11341" s="2">
        <v>0.45833333333333331</v>
      </c>
      <c r="D11341">
        <v>3</v>
      </c>
      <c r="E11341">
        <v>3.9</v>
      </c>
      <c r="F11341">
        <v>85</v>
      </c>
    </row>
    <row r="11342" spans="1:6" x14ac:dyDescent="0.35">
      <c r="A11342">
        <v>1975</v>
      </c>
      <c r="B11342" s="1">
        <v>45997</v>
      </c>
      <c r="C11342" s="2">
        <v>0.5</v>
      </c>
      <c r="D11342">
        <v>3</v>
      </c>
      <c r="E11342">
        <v>4.2</v>
      </c>
      <c r="F11342">
        <v>89</v>
      </c>
    </row>
    <row r="11343" spans="1:6" x14ac:dyDescent="0.35">
      <c r="A11343">
        <v>1975</v>
      </c>
      <c r="B11343" s="1">
        <v>45997</v>
      </c>
      <c r="C11343" s="2">
        <v>0.54166666666666663</v>
      </c>
      <c r="D11343">
        <v>3</v>
      </c>
      <c r="E11343">
        <v>4.2</v>
      </c>
      <c r="F11343">
        <v>95</v>
      </c>
    </row>
    <row r="11344" spans="1:6" x14ac:dyDescent="0.35">
      <c r="A11344">
        <v>1975</v>
      </c>
      <c r="B11344" s="1">
        <v>45997</v>
      </c>
      <c r="C11344" s="2">
        <v>0.58333333333333337</v>
      </c>
      <c r="D11344">
        <v>3</v>
      </c>
      <c r="E11344">
        <v>4.7</v>
      </c>
      <c r="F11344">
        <v>90</v>
      </c>
    </row>
    <row r="11345" spans="1:6" x14ac:dyDescent="0.35">
      <c r="A11345">
        <v>1975</v>
      </c>
      <c r="B11345" s="1">
        <v>45997</v>
      </c>
      <c r="C11345" s="2">
        <v>0.625</v>
      </c>
      <c r="D11345">
        <v>3</v>
      </c>
      <c r="E11345">
        <v>4.5</v>
      </c>
      <c r="F11345">
        <v>96</v>
      </c>
    </row>
    <row r="11346" spans="1:6" x14ac:dyDescent="0.35">
      <c r="A11346">
        <v>1975</v>
      </c>
      <c r="B11346" s="1">
        <v>45997</v>
      </c>
      <c r="C11346" s="2">
        <v>0.66666666666666663</v>
      </c>
      <c r="D11346">
        <v>3</v>
      </c>
      <c r="E11346">
        <v>4.7</v>
      </c>
      <c r="F11346">
        <v>97</v>
      </c>
    </row>
    <row r="11347" spans="1:6" x14ac:dyDescent="0.35">
      <c r="A11347">
        <v>1975</v>
      </c>
      <c r="B11347" s="1">
        <v>45997</v>
      </c>
      <c r="C11347" s="2">
        <v>0.70833333333333337</v>
      </c>
      <c r="D11347">
        <v>3</v>
      </c>
      <c r="E11347">
        <v>4.9000000000000004</v>
      </c>
      <c r="F11347">
        <v>95</v>
      </c>
    </row>
    <row r="11348" spans="1:6" x14ac:dyDescent="0.35">
      <c r="A11348">
        <v>1975</v>
      </c>
      <c r="B11348" s="1">
        <v>45997</v>
      </c>
      <c r="C11348" s="2">
        <v>0.75</v>
      </c>
      <c r="D11348">
        <v>3</v>
      </c>
      <c r="E11348">
        <v>4.9000000000000004</v>
      </c>
      <c r="F11348">
        <v>96</v>
      </c>
    </row>
    <row r="11349" spans="1:6" x14ac:dyDescent="0.35">
      <c r="A11349">
        <v>1975</v>
      </c>
      <c r="B11349" s="1">
        <v>45997</v>
      </c>
      <c r="C11349" s="2">
        <v>0.79166666666666663</v>
      </c>
      <c r="D11349">
        <v>3</v>
      </c>
      <c r="E11349">
        <v>5.0999999999999996</v>
      </c>
      <c r="F11349">
        <v>95</v>
      </c>
    </row>
    <row r="11350" spans="1:6" x14ac:dyDescent="0.35">
      <c r="A11350">
        <v>1975</v>
      </c>
      <c r="B11350" s="1">
        <v>45997</v>
      </c>
      <c r="C11350" s="2">
        <v>0.83333333333333337</v>
      </c>
      <c r="D11350">
        <v>3</v>
      </c>
      <c r="E11350">
        <v>5.3</v>
      </c>
      <c r="F11350">
        <v>95</v>
      </c>
    </row>
    <row r="11351" spans="1:6" x14ac:dyDescent="0.35">
      <c r="A11351">
        <v>1975</v>
      </c>
      <c r="B11351" s="1">
        <v>45997</v>
      </c>
      <c r="C11351" s="2">
        <v>0.875</v>
      </c>
      <c r="D11351">
        <v>3</v>
      </c>
      <c r="E11351">
        <v>5.8</v>
      </c>
      <c r="F11351">
        <v>95</v>
      </c>
    </row>
    <row r="11352" spans="1:6" x14ac:dyDescent="0.35">
      <c r="A11352">
        <v>1975</v>
      </c>
      <c r="B11352" s="1">
        <v>45997</v>
      </c>
      <c r="C11352" s="2">
        <v>0.91666666666666663</v>
      </c>
      <c r="D11352">
        <v>3</v>
      </c>
      <c r="E11352">
        <v>6.2</v>
      </c>
      <c r="F11352">
        <v>93</v>
      </c>
    </row>
    <row r="11353" spans="1:6" x14ac:dyDescent="0.35">
      <c r="A11353">
        <v>1975</v>
      </c>
      <c r="B11353" s="1">
        <v>45997</v>
      </c>
      <c r="C11353" s="2">
        <v>0.95833333333333337</v>
      </c>
      <c r="D11353">
        <v>3</v>
      </c>
      <c r="E11353">
        <v>6.2</v>
      </c>
      <c r="F11353">
        <v>94</v>
      </c>
    </row>
    <row r="11354" spans="1:6" x14ac:dyDescent="0.35">
      <c r="A11354">
        <v>1975</v>
      </c>
      <c r="B11354" s="1">
        <v>45998</v>
      </c>
      <c r="C11354" s="2">
        <v>0</v>
      </c>
      <c r="D11354">
        <v>3</v>
      </c>
      <c r="E11354">
        <v>6.6</v>
      </c>
      <c r="F11354">
        <v>95</v>
      </c>
    </row>
    <row r="11355" spans="1:6" x14ac:dyDescent="0.35">
      <c r="A11355">
        <v>1975</v>
      </c>
      <c r="B11355" s="1">
        <v>45998</v>
      </c>
      <c r="C11355" s="2">
        <v>4.1666666666666657E-2</v>
      </c>
      <c r="D11355">
        <v>3</v>
      </c>
      <c r="E11355">
        <v>6.8</v>
      </c>
      <c r="F11355">
        <v>96</v>
      </c>
    </row>
    <row r="11356" spans="1:6" x14ac:dyDescent="0.35">
      <c r="A11356">
        <v>1975</v>
      </c>
      <c r="B11356" s="1">
        <v>45998</v>
      </c>
      <c r="C11356" s="2">
        <v>8.3333333333333329E-2</v>
      </c>
      <c r="D11356">
        <v>3</v>
      </c>
      <c r="E11356">
        <v>7.1</v>
      </c>
      <c r="F11356">
        <v>96</v>
      </c>
    </row>
    <row r="11357" spans="1:6" x14ac:dyDescent="0.35">
      <c r="A11357">
        <v>1975</v>
      </c>
      <c r="B11357" s="1">
        <v>45998</v>
      </c>
      <c r="C11357" s="2">
        <v>0.125</v>
      </c>
      <c r="D11357">
        <v>3</v>
      </c>
      <c r="E11357">
        <v>7.6</v>
      </c>
      <c r="F11357">
        <v>95</v>
      </c>
    </row>
    <row r="11358" spans="1:6" x14ac:dyDescent="0.35">
      <c r="A11358">
        <v>1975</v>
      </c>
      <c r="B11358" s="1">
        <v>45998</v>
      </c>
      <c r="C11358" s="2">
        <v>0.16666666666666671</v>
      </c>
      <c r="D11358">
        <v>3</v>
      </c>
      <c r="E11358">
        <v>7.6</v>
      </c>
      <c r="F11358">
        <v>96</v>
      </c>
    </row>
    <row r="11359" spans="1:6" x14ac:dyDescent="0.35">
      <c r="A11359">
        <v>1975</v>
      </c>
      <c r="B11359" s="1">
        <v>45998</v>
      </c>
      <c r="C11359" s="2">
        <v>0.20833333333333329</v>
      </c>
      <c r="D11359">
        <v>3</v>
      </c>
      <c r="E11359">
        <v>7.9</v>
      </c>
      <c r="F11359">
        <v>97</v>
      </c>
    </row>
    <row r="11360" spans="1:6" x14ac:dyDescent="0.35">
      <c r="A11360">
        <v>1975</v>
      </c>
      <c r="B11360" s="1">
        <v>45998</v>
      </c>
      <c r="C11360" s="2">
        <v>0.25</v>
      </c>
      <c r="D11360">
        <v>3</v>
      </c>
      <c r="E11360">
        <v>7.9</v>
      </c>
      <c r="F11360">
        <v>98</v>
      </c>
    </row>
    <row r="11361" spans="1:6" x14ac:dyDescent="0.35">
      <c r="A11361">
        <v>1975</v>
      </c>
      <c r="B11361" s="1">
        <v>45998</v>
      </c>
      <c r="C11361" s="2">
        <v>0.29166666666666669</v>
      </c>
      <c r="D11361">
        <v>3</v>
      </c>
      <c r="E11361">
        <v>8.6</v>
      </c>
      <c r="F11361">
        <v>98</v>
      </c>
    </row>
    <row r="11362" spans="1:6" x14ac:dyDescent="0.35">
      <c r="A11362">
        <v>1975</v>
      </c>
      <c r="B11362" s="1">
        <v>45998</v>
      </c>
      <c r="C11362" s="2">
        <v>0.33333333333333331</v>
      </c>
      <c r="D11362">
        <v>3</v>
      </c>
      <c r="E11362">
        <v>8.9</v>
      </c>
      <c r="F11362">
        <v>97</v>
      </c>
    </row>
    <row r="11363" spans="1:6" x14ac:dyDescent="0.35">
      <c r="A11363">
        <v>1975</v>
      </c>
      <c r="B11363" s="1">
        <v>45998</v>
      </c>
      <c r="C11363" s="2">
        <v>0.375</v>
      </c>
      <c r="D11363">
        <v>3</v>
      </c>
      <c r="E11363">
        <v>8.9</v>
      </c>
      <c r="F11363">
        <v>98</v>
      </c>
    </row>
    <row r="11364" spans="1:6" x14ac:dyDescent="0.35">
      <c r="A11364">
        <v>1975</v>
      </c>
      <c r="B11364" s="1">
        <v>45998</v>
      </c>
      <c r="C11364" s="2">
        <v>0.41666666666666669</v>
      </c>
      <c r="D11364">
        <v>3</v>
      </c>
      <c r="E11364">
        <v>9.1</v>
      </c>
      <c r="F11364">
        <v>97</v>
      </c>
    </row>
    <row r="11365" spans="1:6" x14ac:dyDescent="0.35">
      <c r="A11365">
        <v>1975</v>
      </c>
      <c r="B11365" s="1">
        <v>45998</v>
      </c>
      <c r="C11365" s="2">
        <v>0.45833333333333331</v>
      </c>
      <c r="D11365">
        <v>3</v>
      </c>
      <c r="E11365">
        <v>9.1999999999999993</v>
      </c>
      <c r="F11365">
        <v>97</v>
      </c>
    </row>
    <row r="11366" spans="1:6" x14ac:dyDescent="0.35">
      <c r="A11366">
        <v>1975</v>
      </c>
      <c r="B11366" s="1">
        <v>45998</v>
      </c>
      <c r="C11366" s="2">
        <v>0.5</v>
      </c>
      <c r="D11366">
        <v>3</v>
      </c>
      <c r="E11366">
        <v>9.4</v>
      </c>
      <c r="F11366">
        <v>95</v>
      </c>
    </row>
    <row r="11367" spans="1:6" x14ac:dyDescent="0.35">
      <c r="A11367">
        <v>1975</v>
      </c>
      <c r="B11367" s="1">
        <v>45998</v>
      </c>
      <c r="C11367" s="2">
        <v>0.54166666666666663</v>
      </c>
      <c r="D11367">
        <v>3</v>
      </c>
      <c r="E11367">
        <v>9.6999999999999993</v>
      </c>
      <c r="F11367">
        <v>91</v>
      </c>
    </row>
    <row r="11368" spans="1:6" x14ac:dyDescent="0.35">
      <c r="A11368">
        <v>1975</v>
      </c>
      <c r="B11368" s="1">
        <v>45998</v>
      </c>
      <c r="C11368" s="2">
        <v>0.58333333333333337</v>
      </c>
      <c r="D11368">
        <v>3</v>
      </c>
      <c r="E11368">
        <v>9.6999999999999993</v>
      </c>
      <c r="F11368">
        <v>90</v>
      </c>
    </row>
    <row r="11369" spans="1:6" x14ac:dyDescent="0.35">
      <c r="A11369">
        <v>1975</v>
      </c>
      <c r="B11369" s="1">
        <v>45998</v>
      </c>
      <c r="C11369" s="2">
        <v>0.625</v>
      </c>
      <c r="D11369">
        <v>3</v>
      </c>
      <c r="E11369">
        <v>9.4</v>
      </c>
      <c r="F11369">
        <v>89</v>
      </c>
    </row>
    <row r="11370" spans="1:6" x14ac:dyDescent="0.35">
      <c r="A11370">
        <v>1975</v>
      </c>
      <c r="B11370" s="1">
        <v>45998</v>
      </c>
      <c r="C11370" s="2">
        <v>0.66666666666666663</v>
      </c>
      <c r="D11370">
        <v>3</v>
      </c>
      <c r="E11370">
        <v>9.1999999999999993</v>
      </c>
      <c r="F11370">
        <v>90</v>
      </c>
    </row>
    <row r="11371" spans="1:6" x14ac:dyDescent="0.35">
      <c r="A11371">
        <v>1975</v>
      </c>
      <c r="B11371" s="1">
        <v>45998</v>
      </c>
      <c r="C11371" s="2">
        <v>0.70833333333333337</v>
      </c>
      <c r="D11371">
        <v>3</v>
      </c>
      <c r="E11371">
        <v>9.1999999999999993</v>
      </c>
      <c r="F11371">
        <v>89</v>
      </c>
    </row>
    <row r="11372" spans="1:6" x14ac:dyDescent="0.35">
      <c r="A11372">
        <v>1975</v>
      </c>
      <c r="B11372" s="1">
        <v>45998</v>
      </c>
      <c r="C11372" s="2">
        <v>0.75</v>
      </c>
      <c r="D11372">
        <v>3</v>
      </c>
      <c r="E11372">
        <v>9.1</v>
      </c>
      <c r="F11372">
        <v>90</v>
      </c>
    </row>
    <row r="11373" spans="1:6" x14ac:dyDescent="0.35">
      <c r="A11373">
        <v>1975</v>
      </c>
      <c r="B11373" s="1">
        <v>45998</v>
      </c>
      <c r="C11373" s="2">
        <v>0.79166666666666663</v>
      </c>
      <c r="D11373">
        <v>3</v>
      </c>
      <c r="E11373">
        <v>8.6999999999999993</v>
      </c>
      <c r="F11373">
        <v>93</v>
      </c>
    </row>
    <row r="11374" spans="1:6" x14ac:dyDescent="0.35">
      <c r="A11374">
        <v>1975</v>
      </c>
      <c r="B11374" s="1">
        <v>45998</v>
      </c>
      <c r="C11374" s="2">
        <v>0.83333333333333337</v>
      </c>
      <c r="D11374">
        <v>3</v>
      </c>
      <c r="E11374">
        <v>8.8000000000000007</v>
      </c>
      <c r="F11374">
        <v>91</v>
      </c>
    </row>
    <row r="11375" spans="1:6" x14ac:dyDescent="0.35">
      <c r="A11375">
        <v>1975</v>
      </c>
      <c r="B11375" s="1">
        <v>45998</v>
      </c>
      <c r="C11375" s="2">
        <v>0.875</v>
      </c>
      <c r="D11375">
        <v>3</v>
      </c>
      <c r="E11375">
        <v>8.6999999999999993</v>
      </c>
      <c r="F11375">
        <v>90</v>
      </c>
    </row>
    <row r="11376" spans="1:6" x14ac:dyDescent="0.35">
      <c r="A11376">
        <v>1975</v>
      </c>
      <c r="B11376" s="1">
        <v>45998</v>
      </c>
      <c r="C11376" s="2">
        <v>0.91666666666666663</v>
      </c>
      <c r="D11376">
        <v>3</v>
      </c>
      <c r="E11376">
        <v>8.6999999999999993</v>
      </c>
      <c r="F11376">
        <v>90</v>
      </c>
    </row>
    <row r="11377" spans="1:6" x14ac:dyDescent="0.35">
      <c r="A11377">
        <v>1975</v>
      </c>
      <c r="B11377" s="1">
        <v>45998</v>
      </c>
      <c r="C11377" s="2">
        <v>0.95833333333333337</v>
      </c>
      <c r="D11377">
        <v>3</v>
      </c>
      <c r="E11377">
        <v>8.3000000000000007</v>
      </c>
      <c r="F11377">
        <v>95</v>
      </c>
    </row>
    <row r="11378" spans="1:6" x14ac:dyDescent="0.35">
      <c r="A11378">
        <v>1975</v>
      </c>
      <c r="B11378" s="1">
        <v>45999</v>
      </c>
      <c r="C11378" s="2">
        <v>0</v>
      </c>
      <c r="D11378">
        <v>3</v>
      </c>
      <c r="E11378">
        <v>8.3000000000000007</v>
      </c>
      <c r="F11378">
        <v>98</v>
      </c>
    </row>
    <row r="11379" spans="1:6" x14ac:dyDescent="0.35">
      <c r="A11379">
        <v>1975</v>
      </c>
      <c r="B11379" s="1">
        <v>45999</v>
      </c>
      <c r="C11379" s="2">
        <v>4.1666666666666657E-2</v>
      </c>
      <c r="D11379">
        <v>3</v>
      </c>
      <c r="E11379">
        <v>9</v>
      </c>
      <c r="F11379">
        <v>98</v>
      </c>
    </row>
    <row r="11380" spans="1:6" x14ac:dyDescent="0.35">
      <c r="A11380">
        <v>1975</v>
      </c>
      <c r="B11380" s="1">
        <v>45999</v>
      </c>
      <c r="C11380" s="2">
        <v>8.3333333333333329E-2</v>
      </c>
      <c r="D11380">
        <v>3</v>
      </c>
      <c r="E11380">
        <v>10.1</v>
      </c>
      <c r="F11380">
        <v>99</v>
      </c>
    </row>
    <row r="11381" spans="1:6" x14ac:dyDescent="0.35">
      <c r="A11381">
        <v>1975</v>
      </c>
      <c r="B11381" s="1">
        <v>45999</v>
      </c>
      <c r="C11381" s="2">
        <v>0.125</v>
      </c>
      <c r="D11381">
        <v>3</v>
      </c>
      <c r="E11381">
        <v>11.6</v>
      </c>
      <c r="F11381">
        <v>96</v>
      </c>
    </row>
    <row r="11382" spans="1:6" x14ac:dyDescent="0.35">
      <c r="A11382">
        <v>1975</v>
      </c>
      <c r="B11382" s="1">
        <v>45999</v>
      </c>
      <c r="C11382" s="2">
        <v>0.16666666666666671</v>
      </c>
      <c r="D11382">
        <v>3</v>
      </c>
      <c r="E11382">
        <v>12</v>
      </c>
      <c r="F11382">
        <v>87</v>
      </c>
    </row>
    <row r="11383" spans="1:6" x14ac:dyDescent="0.35">
      <c r="A11383">
        <v>1975</v>
      </c>
      <c r="B11383" s="1">
        <v>45999</v>
      </c>
      <c r="C11383" s="2">
        <v>0.20833333333333329</v>
      </c>
      <c r="D11383">
        <v>3</v>
      </c>
      <c r="E11383">
        <v>10.8</v>
      </c>
      <c r="F11383">
        <v>83</v>
      </c>
    </row>
    <row r="11384" spans="1:6" x14ac:dyDescent="0.35">
      <c r="A11384">
        <v>1975</v>
      </c>
      <c r="B11384" s="1">
        <v>45999</v>
      </c>
      <c r="C11384" s="2">
        <v>0.25</v>
      </c>
      <c r="D11384">
        <v>3</v>
      </c>
      <c r="E11384">
        <v>10.3</v>
      </c>
      <c r="F11384">
        <v>86</v>
      </c>
    </row>
    <row r="11385" spans="1:6" x14ac:dyDescent="0.35">
      <c r="A11385">
        <v>1975</v>
      </c>
      <c r="B11385" s="1">
        <v>45999</v>
      </c>
      <c r="C11385" s="2">
        <v>0.29166666666666669</v>
      </c>
      <c r="D11385">
        <v>3</v>
      </c>
      <c r="E11385">
        <v>10.199999999999999</v>
      </c>
      <c r="F11385">
        <v>84</v>
      </c>
    </row>
    <row r="11386" spans="1:6" x14ac:dyDescent="0.35">
      <c r="A11386">
        <v>1975</v>
      </c>
      <c r="B11386" s="1">
        <v>45999</v>
      </c>
      <c r="C11386" s="2">
        <v>0.33333333333333331</v>
      </c>
      <c r="D11386">
        <v>3</v>
      </c>
      <c r="E11386">
        <v>10</v>
      </c>
      <c r="F11386">
        <v>83</v>
      </c>
    </row>
    <row r="11387" spans="1:6" x14ac:dyDescent="0.35">
      <c r="A11387">
        <v>1975</v>
      </c>
      <c r="B11387" s="1">
        <v>45999</v>
      </c>
      <c r="C11387" s="2">
        <v>0.375</v>
      </c>
      <c r="D11387">
        <v>3</v>
      </c>
      <c r="E11387">
        <v>9.9</v>
      </c>
      <c r="F11387">
        <v>85</v>
      </c>
    </row>
    <row r="11388" spans="1:6" x14ac:dyDescent="0.35">
      <c r="A11388">
        <v>1975</v>
      </c>
      <c r="B11388" s="1">
        <v>45999</v>
      </c>
      <c r="C11388" s="2">
        <v>0.41666666666666669</v>
      </c>
      <c r="D11388">
        <v>3</v>
      </c>
      <c r="E11388">
        <v>10.6</v>
      </c>
      <c r="F11388">
        <v>81</v>
      </c>
    </row>
    <row r="11389" spans="1:6" x14ac:dyDescent="0.35">
      <c r="A11389">
        <v>1975</v>
      </c>
      <c r="B11389" s="1">
        <v>45999</v>
      </c>
      <c r="C11389" s="2">
        <v>0.45833333333333331</v>
      </c>
      <c r="D11389">
        <v>3</v>
      </c>
      <c r="E11389">
        <v>10.9</v>
      </c>
      <c r="F11389">
        <v>83</v>
      </c>
    </row>
    <row r="11390" spans="1:6" x14ac:dyDescent="0.35">
      <c r="A11390">
        <v>1975</v>
      </c>
      <c r="B11390" s="1">
        <v>45999</v>
      </c>
      <c r="C11390" s="2">
        <v>0.5</v>
      </c>
      <c r="D11390">
        <v>3</v>
      </c>
      <c r="E11390">
        <v>11.3</v>
      </c>
      <c r="F11390">
        <v>82</v>
      </c>
    </row>
    <row r="11391" spans="1:6" x14ac:dyDescent="0.35">
      <c r="A11391">
        <v>1975</v>
      </c>
      <c r="B11391" s="1">
        <v>45999</v>
      </c>
      <c r="C11391" s="2">
        <v>0.54166666666666663</v>
      </c>
      <c r="D11391">
        <v>3</v>
      </c>
      <c r="E11391">
        <v>11.6</v>
      </c>
      <c r="F11391">
        <v>82</v>
      </c>
    </row>
    <row r="11392" spans="1:6" x14ac:dyDescent="0.35">
      <c r="A11392">
        <v>1975</v>
      </c>
      <c r="B11392" s="1">
        <v>45999</v>
      </c>
      <c r="C11392" s="2">
        <v>0.58333333333333337</v>
      </c>
      <c r="D11392">
        <v>3</v>
      </c>
      <c r="E11392">
        <v>11.4</v>
      </c>
      <c r="F11392">
        <v>84</v>
      </c>
    </row>
    <row r="11393" spans="1:6" x14ac:dyDescent="0.35">
      <c r="A11393">
        <v>1975</v>
      </c>
      <c r="B11393" s="1">
        <v>45999</v>
      </c>
      <c r="C11393" s="2">
        <v>0.625</v>
      </c>
      <c r="D11393">
        <v>3</v>
      </c>
      <c r="E11393">
        <v>11.5</v>
      </c>
      <c r="F11393">
        <v>84</v>
      </c>
    </row>
    <row r="11394" spans="1:6" x14ac:dyDescent="0.35">
      <c r="A11394">
        <v>1975</v>
      </c>
      <c r="B11394" s="1">
        <v>45999</v>
      </c>
      <c r="C11394" s="2">
        <v>0.66666666666666663</v>
      </c>
      <c r="D11394">
        <v>3</v>
      </c>
      <c r="E11394">
        <v>11.4</v>
      </c>
      <c r="F11394">
        <v>86</v>
      </c>
    </row>
    <row r="11395" spans="1:6" x14ac:dyDescent="0.35">
      <c r="A11395">
        <v>1975</v>
      </c>
      <c r="B11395" s="1">
        <v>45999</v>
      </c>
      <c r="C11395" s="2">
        <v>0.70833333333333337</v>
      </c>
      <c r="D11395">
        <v>3</v>
      </c>
      <c r="E11395">
        <v>11.4</v>
      </c>
      <c r="F11395">
        <v>87</v>
      </c>
    </row>
    <row r="11396" spans="1:6" x14ac:dyDescent="0.35">
      <c r="A11396">
        <v>1975</v>
      </c>
      <c r="B11396" s="1">
        <v>45999</v>
      </c>
      <c r="C11396" s="2">
        <v>0.75</v>
      </c>
      <c r="D11396">
        <v>3</v>
      </c>
      <c r="E11396">
        <v>11.4</v>
      </c>
      <c r="F11396">
        <v>92</v>
      </c>
    </row>
    <row r="11397" spans="1:6" x14ac:dyDescent="0.35">
      <c r="A11397">
        <v>1975</v>
      </c>
      <c r="B11397" s="1">
        <v>45999</v>
      </c>
      <c r="C11397" s="2">
        <v>0.79166666666666663</v>
      </c>
      <c r="D11397">
        <v>3</v>
      </c>
      <c r="E11397">
        <v>12.3</v>
      </c>
      <c r="F11397">
        <v>90</v>
      </c>
    </row>
    <row r="11398" spans="1:6" x14ac:dyDescent="0.35">
      <c r="A11398">
        <v>1975</v>
      </c>
      <c r="B11398" s="1">
        <v>45999</v>
      </c>
      <c r="C11398" s="2">
        <v>0.83333333333333337</v>
      </c>
      <c r="D11398">
        <v>3</v>
      </c>
      <c r="E11398">
        <v>12</v>
      </c>
      <c r="F11398">
        <v>90</v>
      </c>
    </row>
    <row r="11399" spans="1:6" x14ac:dyDescent="0.35">
      <c r="A11399">
        <v>1975</v>
      </c>
      <c r="B11399" s="1">
        <v>45999</v>
      </c>
      <c r="C11399" s="2">
        <v>0.875</v>
      </c>
      <c r="D11399">
        <v>3</v>
      </c>
      <c r="E11399">
        <v>11.8</v>
      </c>
      <c r="F11399">
        <v>91</v>
      </c>
    </row>
    <row r="11400" spans="1:6" x14ac:dyDescent="0.35">
      <c r="A11400">
        <v>1975</v>
      </c>
      <c r="B11400" s="1">
        <v>45999</v>
      </c>
      <c r="C11400" s="2">
        <v>0.91666666666666663</v>
      </c>
      <c r="D11400">
        <v>3</v>
      </c>
      <c r="E11400">
        <v>11.8</v>
      </c>
      <c r="F11400">
        <v>91</v>
      </c>
    </row>
    <row r="11401" spans="1:6" x14ac:dyDescent="0.35">
      <c r="A11401">
        <v>1975</v>
      </c>
      <c r="B11401" s="1">
        <v>45999</v>
      </c>
      <c r="C11401" s="2">
        <v>0.95833333333333337</v>
      </c>
      <c r="D11401">
        <v>3</v>
      </c>
      <c r="E11401">
        <v>11.9</v>
      </c>
      <c r="F11401">
        <v>90</v>
      </c>
    </row>
    <row r="11402" spans="1:6" x14ac:dyDescent="0.35">
      <c r="A11402">
        <v>1975</v>
      </c>
      <c r="B11402" s="1">
        <v>46000</v>
      </c>
      <c r="C11402" s="2">
        <v>0</v>
      </c>
      <c r="D11402">
        <v>3</v>
      </c>
      <c r="E11402">
        <v>12</v>
      </c>
      <c r="F11402">
        <v>89</v>
      </c>
    </row>
    <row r="11403" spans="1:6" x14ac:dyDescent="0.35">
      <c r="A11403">
        <v>1975</v>
      </c>
      <c r="B11403" s="1">
        <v>46000</v>
      </c>
      <c r="C11403" s="2">
        <v>4.1666666666666657E-2</v>
      </c>
      <c r="D11403">
        <v>3</v>
      </c>
      <c r="E11403">
        <v>11.8</v>
      </c>
      <c r="F11403">
        <v>88</v>
      </c>
    </row>
    <row r="11404" spans="1:6" x14ac:dyDescent="0.35">
      <c r="A11404">
        <v>1975</v>
      </c>
      <c r="B11404" s="1">
        <v>46000</v>
      </c>
      <c r="C11404" s="2">
        <v>8.3333333333333329E-2</v>
      </c>
      <c r="D11404">
        <v>3</v>
      </c>
      <c r="E11404">
        <v>11.4</v>
      </c>
      <c r="F11404">
        <v>93</v>
      </c>
    </row>
    <row r="11405" spans="1:6" x14ac:dyDescent="0.35">
      <c r="A11405">
        <v>1975</v>
      </c>
      <c r="B11405" s="1">
        <v>46000</v>
      </c>
      <c r="C11405" s="2">
        <v>0.125</v>
      </c>
      <c r="D11405">
        <v>3</v>
      </c>
      <c r="E11405">
        <v>11.2</v>
      </c>
      <c r="F11405">
        <v>95</v>
      </c>
    </row>
    <row r="11406" spans="1:6" x14ac:dyDescent="0.35">
      <c r="A11406">
        <v>1975</v>
      </c>
      <c r="B11406" s="1">
        <v>46000</v>
      </c>
      <c r="C11406" s="2">
        <v>0.16666666666666671</v>
      </c>
      <c r="D11406">
        <v>3</v>
      </c>
      <c r="E11406">
        <v>11.6</v>
      </c>
      <c r="F11406">
        <v>96</v>
      </c>
    </row>
    <row r="11407" spans="1:6" x14ac:dyDescent="0.35">
      <c r="A11407">
        <v>1975</v>
      </c>
      <c r="B11407" s="1">
        <v>46000</v>
      </c>
      <c r="C11407" s="2">
        <v>0.20833333333333329</v>
      </c>
      <c r="D11407">
        <v>3</v>
      </c>
      <c r="E11407">
        <v>11.7</v>
      </c>
      <c r="F11407">
        <v>96</v>
      </c>
    </row>
    <row r="11408" spans="1:6" x14ac:dyDescent="0.35">
      <c r="A11408">
        <v>1975</v>
      </c>
      <c r="B11408" s="1">
        <v>46000</v>
      </c>
      <c r="C11408" s="2">
        <v>0.25</v>
      </c>
      <c r="D11408">
        <v>3</v>
      </c>
      <c r="E11408">
        <v>11.6</v>
      </c>
      <c r="F11408">
        <v>96</v>
      </c>
    </row>
    <row r="11409" spans="1:6" x14ac:dyDescent="0.35">
      <c r="A11409">
        <v>1975</v>
      </c>
      <c r="B11409" s="1">
        <v>46000</v>
      </c>
      <c r="C11409" s="2">
        <v>0.29166666666666669</v>
      </c>
      <c r="D11409">
        <v>3</v>
      </c>
      <c r="E11409">
        <v>11.5</v>
      </c>
      <c r="F11409">
        <v>96</v>
      </c>
    </row>
    <row r="11410" spans="1:6" x14ac:dyDescent="0.35">
      <c r="A11410">
        <v>1975</v>
      </c>
      <c r="B11410" s="1">
        <v>46000</v>
      </c>
      <c r="C11410" s="2">
        <v>0.33333333333333331</v>
      </c>
      <c r="D11410">
        <v>3</v>
      </c>
      <c r="E11410">
        <v>11.7</v>
      </c>
      <c r="F11410">
        <v>94</v>
      </c>
    </row>
    <row r="11411" spans="1:6" x14ac:dyDescent="0.35">
      <c r="A11411">
        <v>1975</v>
      </c>
      <c r="B11411" s="1">
        <v>46000</v>
      </c>
      <c r="C11411" s="2">
        <v>0.375</v>
      </c>
      <c r="D11411">
        <v>3</v>
      </c>
      <c r="E11411">
        <v>11.9</v>
      </c>
      <c r="F11411">
        <v>93</v>
      </c>
    </row>
    <row r="11412" spans="1:6" x14ac:dyDescent="0.35">
      <c r="A11412">
        <v>1975</v>
      </c>
      <c r="B11412" s="1">
        <v>46000</v>
      </c>
      <c r="C11412" s="2">
        <v>0.41666666666666669</v>
      </c>
      <c r="D11412">
        <v>3</v>
      </c>
      <c r="E11412">
        <v>11.8</v>
      </c>
      <c r="F11412">
        <v>95</v>
      </c>
    </row>
    <row r="11413" spans="1:6" x14ac:dyDescent="0.35">
      <c r="A11413">
        <v>1975</v>
      </c>
      <c r="B11413" s="1">
        <v>46000</v>
      </c>
      <c r="C11413" s="2">
        <v>0.45833333333333331</v>
      </c>
      <c r="D11413">
        <v>3</v>
      </c>
      <c r="E11413">
        <v>11.9</v>
      </c>
      <c r="F11413">
        <v>97</v>
      </c>
    </row>
    <row r="11414" spans="1:6" x14ac:dyDescent="0.35">
      <c r="A11414">
        <v>1975</v>
      </c>
      <c r="B11414" s="1">
        <v>46000</v>
      </c>
      <c r="C11414" s="2">
        <v>0.5</v>
      </c>
      <c r="D11414">
        <v>3</v>
      </c>
      <c r="E11414">
        <v>12.1</v>
      </c>
      <c r="F11414">
        <v>97</v>
      </c>
    </row>
    <row r="11415" spans="1:6" x14ac:dyDescent="0.35">
      <c r="A11415">
        <v>1975</v>
      </c>
      <c r="B11415" s="1">
        <v>46000</v>
      </c>
      <c r="C11415" s="2">
        <v>0.54166666666666663</v>
      </c>
      <c r="D11415">
        <v>3</v>
      </c>
      <c r="E11415">
        <v>12.2</v>
      </c>
      <c r="F11415">
        <v>96</v>
      </c>
    </row>
    <row r="11416" spans="1:6" x14ac:dyDescent="0.35">
      <c r="A11416">
        <v>1975</v>
      </c>
      <c r="B11416" s="1">
        <v>46000</v>
      </c>
      <c r="C11416" s="2">
        <v>0.58333333333333337</v>
      </c>
      <c r="D11416">
        <v>3</v>
      </c>
      <c r="E11416">
        <v>12.1</v>
      </c>
      <c r="F11416">
        <v>96</v>
      </c>
    </row>
    <row r="11417" spans="1:6" x14ac:dyDescent="0.35">
      <c r="A11417">
        <v>1975</v>
      </c>
      <c r="B11417" s="1">
        <v>46000</v>
      </c>
      <c r="C11417" s="2">
        <v>0.625</v>
      </c>
      <c r="D11417">
        <v>3</v>
      </c>
      <c r="E11417">
        <v>11.8</v>
      </c>
      <c r="F11417">
        <v>97</v>
      </c>
    </row>
    <row r="11418" spans="1:6" x14ac:dyDescent="0.35">
      <c r="A11418">
        <v>1975</v>
      </c>
      <c r="B11418" s="1">
        <v>46000</v>
      </c>
      <c r="C11418" s="2">
        <v>0.66666666666666663</v>
      </c>
      <c r="D11418">
        <v>3</v>
      </c>
      <c r="E11418">
        <v>11.8</v>
      </c>
      <c r="F11418">
        <v>95</v>
      </c>
    </row>
    <row r="11419" spans="1:6" x14ac:dyDescent="0.35">
      <c r="A11419">
        <v>1975</v>
      </c>
      <c r="B11419" s="1">
        <v>46000</v>
      </c>
      <c r="C11419" s="2">
        <v>0.70833333333333337</v>
      </c>
      <c r="D11419">
        <v>3</v>
      </c>
      <c r="E11419">
        <v>11.6</v>
      </c>
      <c r="F11419">
        <v>95</v>
      </c>
    </row>
    <row r="11420" spans="1:6" x14ac:dyDescent="0.35">
      <c r="A11420">
        <v>1975</v>
      </c>
      <c r="B11420" s="1">
        <v>46000</v>
      </c>
      <c r="C11420" s="2">
        <v>0.75</v>
      </c>
      <c r="D11420">
        <v>3</v>
      </c>
      <c r="E11420">
        <v>11.6</v>
      </c>
      <c r="F11420">
        <v>95</v>
      </c>
    </row>
    <row r="11421" spans="1:6" x14ac:dyDescent="0.35">
      <c r="A11421">
        <v>1975</v>
      </c>
      <c r="B11421" s="1">
        <v>46000</v>
      </c>
      <c r="C11421" s="2">
        <v>0.79166666666666663</v>
      </c>
      <c r="D11421">
        <v>3</v>
      </c>
      <c r="E11421">
        <v>11.8</v>
      </c>
      <c r="F11421">
        <v>92</v>
      </c>
    </row>
    <row r="11422" spans="1:6" x14ac:dyDescent="0.35">
      <c r="A11422">
        <v>1975</v>
      </c>
      <c r="B11422" s="1">
        <v>46000</v>
      </c>
      <c r="C11422" s="2">
        <v>0.83333333333333337</v>
      </c>
      <c r="D11422">
        <v>3</v>
      </c>
      <c r="E11422">
        <v>11.7</v>
      </c>
      <c r="F11422">
        <v>92</v>
      </c>
    </row>
    <row r="11423" spans="1:6" x14ac:dyDescent="0.35">
      <c r="A11423">
        <v>1975</v>
      </c>
      <c r="B11423" s="1">
        <v>46000</v>
      </c>
      <c r="C11423" s="2">
        <v>0.875</v>
      </c>
      <c r="D11423">
        <v>3</v>
      </c>
      <c r="E11423">
        <v>12.1</v>
      </c>
      <c r="F11423">
        <v>88</v>
      </c>
    </row>
    <row r="11424" spans="1:6" x14ac:dyDescent="0.35">
      <c r="A11424">
        <v>1975</v>
      </c>
      <c r="B11424" s="1">
        <v>46000</v>
      </c>
      <c r="C11424" s="2">
        <v>0.91666666666666663</v>
      </c>
      <c r="D11424">
        <v>3</v>
      </c>
      <c r="E11424">
        <v>12.4</v>
      </c>
      <c r="F11424">
        <v>81</v>
      </c>
    </row>
    <row r="11425" spans="1:6" x14ac:dyDescent="0.35">
      <c r="A11425">
        <v>1975</v>
      </c>
      <c r="B11425" s="1">
        <v>46000</v>
      </c>
      <c r="C11425" s="2">
        <v>0.95833333333333337</v>
      </c>
      <c r="D11425">
        <v>3</v>
      </c>
      <c r="E11425">
        <v>12.4</v>
      </c>
      <c r="F11425">
        <v>79</v>
      </c>
    </row>
    <row r="11426" spans="1:6" x14ac:dyDescent="0.35">
      <c r="A11426">
        <v>1975</v>
      </c>
      <c r="B11426" s="1">
        <v>46001</v>
      </c>
      <c r="C11426" s="2">
        <v>0</v>
      </c>
      <c r="D11426">
        <v>3</v>
      </c>
      <c r="E11426">
        <v>12.1</v>
      </c>
      <c r="F11426">
        <v>78</v>
      </c>
    </row>
    <row r="11427" spans="1:6" x14ac:dyDescent="0.35">
      <c r="A11427">
        <v>1975</v>
      </c>
      <c r="B11427" s="1">
        <v>46001</v>
      </c>
      <c r="C11427" s="2">
        <v>4.1666666666666657E-2</v>
      </c>
      <c r="D11427">
        <v>3</v>
      </c>
      <c r="E11427">
        <v>11.6</v>
      </c>
      <c r="F11427">
        <v>80</v>
      </c>
    </row>
    <row r="11428" spans="1:6" x14ac:dyDescent="0.35">
      <c r="A11428">
        <v>1975</v>
      </c>
      <c r="B11428" s="1">
        <v>46001</v>
      </c>
      <c r="C11428" s="2">
        <v>8.3333333333333329E-2</v>
      </c>
      <c r="D11428">
        <v>3</v>
      </c>
      <c r="E11428">
        <v>11.6</v>
      </c>
      <c r="F11428">
        <v>80</v>
      </c>
    </row>
    <row r="11429" spans="1:6" x14ac:dyDescent="0.35">
      <c r="A11429">
        <v>1975</v>
      </c>
      <c r="B11429" s="1">
        <v>46001</v>
      </c>
      <c r="C11429" s="2">
        <v>0.125</v>
      </c>
      <c r="D11429">
        <v>3</v>
      </c>
      <c r="E11429">
        <v>11</v>
      </c>
      <c r="F11429">
        <v>89</v>
      </c>
    </row>
    <row r="11430" spans="1:6" x14ac:dyDescent="0.35">
      <c r="A11430">
        <v>1975</v>
      </c>
      <c r="B11430" s="1">
        <v>46001</v>
      </c>
      <c r="C11430" s="2">
        <v>0.16666666666666671</v>
      </c>
      <c r="D11430">
        <v>3</v>
      </c>
      <c r="E11430">
        <v>10.8</v>
      </c>
      <c r="F11430">
        <v>88</v>
      </c>
    </row>
    <row r="11431" spans="1:6" x14ac:dyDescent="0.35">
      <c r="A11431">
        <v>1975</v>
      </c>
      <c r="B11431" s="1">
        <v>46001</v>
      </c>
      <c r="C11431" s="2">
        <v>0.20833333333333329</v>
      </c>
      <c r="D11431">
        <v>3</v>
      </c>
      <c r="E11431">
        <v>11</v>
      </c>
      <c r="F11431">
        <v>88</v>
      </c>
    </row>
    <row r="11432" spans="1:6" x14ac:dyDescent="0.35">
      <c r="A11432">
        <v>1975</v>
      </c>
      <c r="B11432" s="1">
        <v>46001</v>
      </c>
      <c r="C11432" s="2">
        <v>0.25</v>
      </c>
      <c r="D11432">
        <v>3</v>
      </c>
      <c r="E11432">
        <v>11.8</v>
      </c>
      <c r="F11432">
        <v>84</v>
      </c>
    </row>
    <row r="11433" spans="1:6" x14ac:dyDescent="0.35">
      <c r="A11433">
        <v>1975</v>
      </c>
      <c r="B11433" s="1">
        <v>46001</v>
      </c>
      <c r="C11433" s="2">
        <v>0.29166666666666669</v>
      </c>
      <c r="D11433">
        <v>3</v>
      </c>
      <c r="E11433">
        <v>12</v>
      </c>
      <c r="F11433">
        <v>83</v>
      </c>
    </row>
    <row r="11434" spans="1:6" x14ac:dyDescent="0.35">
      <c r="A11434">
        <v>1975</v>
      </c>
      <c r="B11434" s="1">
        <v>46001</v>
      </c>
      <c r="C11434" s="2">
        <v>0.33333333333333331</v>
      </c>
      <c r="D11434">
        <v>3</v>
      </c>
      <c r="E11434">
        <v>11.6</v>
      </c>
      <c r="F11434">
        <v>86</v>
      </c>
    </row>
    <row r="11435" spans="1:6" x14ac:dyDescent="0.35">
      <c r="A11435">
        <v>1975</v>
      </c>
      <c r="B11435" s="1">
        <v>46001</v>
      </c>
      <c r="C11435" s="2">
        <v>0.375</v>
      </c>
      <c r="D11435">
        <v>3</v>
      </c>
      <c r="E11435">
        <v>11.6</v>
      </c>
      <c r="F11435">
        <v>86</v>
      </c>
    </row>
    <row r="11436" spans="1:6" x14ac:dyDescent="0.35">
      <c r="A11436">
        <v>1975</v>
      </c>
      <c r="B11436" s="1">
        <v>46001</v>
      </c>
      <c r="C11436" s="2">
        <v>0.41666666666666669</v>
      </c>
      <c r="D11436">
        <v>3</v>
      </c>
      <c r="E11436">
        <v>12.1</v>
      </c>
      <c r="F11436">
        <v>84</v>
      </c>
    </row>
    <row r="11437" spans="1:6" x14ac:dyDescent="0.35">
      <c r="A11437">
        <v>1975</v>
      </c>
      <c r="B11437" s="1">
        <v>46001</v>
      </c>
      <c r="C11437" s="2">
        <v>0.45833333333333331</v>
      </c>
      <c r="D11437">
        <v>3</v>
      </c>
      <c r="E11437">
        <v>12.4</v>
      </c>
      <c r="F11437">
        <v>83</v>
      </c>
    </row>
    <row r="11438" spans="1:6" x14ac:dyDescent="0.35">
      <c r="A11438">
        <v>1975</v>
      </c>
      <c r="B11438" s="1">
        <v>46001</v>
      </c>
      <c r="C11438" s="2">
        <v>0.5</v>
      </c>
      <c r="D11438">
        <v>3</v>
      </c>
      <c r="E11438">
        <v>12.6</v>
      </c>
      <c r="F11438">
        <v>80</v>
      </c>
    </row>
    <row r="11439" spans="1:6" x14ac:dyDescent="0.35">
      <c r="A11439">
        <v>1975</v>
      </c>
      <c r="B11439" s="1">
        <v>46001</v>
      </c>
      <c r="C11439" s="2">
        <v>0.54166666666666663</v>
      </c>
      <c r="D11439">
        <v>3</v>
      </c>
      <c r="E11439">
        <v>12.2</v>
      </c>
      <c r="F11439">
        <v>82</v>
      </c>
    </row>
    <row r="11440" spans="1:6" x14ac:dyDescent="0.35">
      <c r="A11440">
        <v>1975</v>
      </c>
      <c r="B11440" s="1">
        <v>46001</v>
      </c>
      <c r="C11440" s="2">
        <v>0.58333333333333337</v>
      </c>
      <c r="D11440">
        <v>3</v>
      </c>
      <c r="E11440">
        <v>12.2</v>
      </c>
      <c r="F11440">
        <v>81</v>
      </c>
    </row>
    <row r="11441" spans="1:6" x14ac:dyDescent="0.35">
      <c r="A11441">
        <v>1975</v>
      </c>
      <c r="B11441" s="1">
        <v>46001</v>
      </c>
      <c r="C11441" s="2">
        <v>0.625</v>
      </c>
      <c r="D11441">
        <v>3</v>
      </c>
      <c r="E11441">
        <v>11.7</v>
      </c>
      <c r="F11441">
        <v>84</v>
      </c>
    </row>
    <row r="11442" spans="1:6" x14ac:dyDescent="0.35">
      <c r="A11442">
        <v>1975</v>
      </c>
      <c r="B11442" s="1">
        <v>46001</v>
      </c>
      <c r="C11442" s="2">
        <v>0.66666666666666663</v>
      </c>
      <c r="D11442">
        <v>3</v>
      </c>
      <c r="E11442">
        <v>11</v>
      </c>
      <c r="F11442">
        <v>88</v>
      </c>
    </row>
    <row r="11443" spans="1:6" x14ac:dyDescent="0.35">
      <c r="A11443">
        <v>1975</v>
      </c>
      <c r="B11443" s="1">
        <v>46001</v>
      </c>
      <c r="C11443" s="2">
        <v>0.70833333333333337</v>
      </c>
      <c r="D11443">
        <v>3</v>
      </c>
      <c r="E11443">
        <v>11</v>
      </c>
      <c r="F11443">
        <v>87</v>
      </c>
    </row>
    <row r="11444" spans="1:6" x14ac:dyDescent="0.35">
      <c r="A11444">
        <v>1975</v>
      </c>
      <c r="B11444" s="1">
        <v>46001</v>
      </c>
      <c r="C11444" s="2">
        <v>0.75</v>
      </c>
      <c r="D11444">
        <v>3</v>
      </c>
      <c r="E11444">
        <v>11</v>
      </c>
      <c r="F11444">
        <v>87</v>
      </c>
    </row>
    <row r="11445" spans="1:6" x14ac:dyDescent="0.35">
      <c r="A11445">
        <v>1975</v>
      </c>
      <c r="B11445" s="1">
        <v>46001</v>
      </c>
      <c r="C11445" s="2">
        <v>0.79166666666666663</v>
      </c>
      <c r="D11445">
        <v>3</v>
      </c>
      <c r="E11445">
        <v>11.4</v>
      </c>
      <c r="F11445">
        <v>83</v>
      </c>
    </row>
    <row r="11446" spans="1:6" x14ac:dyDescent="0.35">
      <c r="A11446">
        <v>1975</v>
      </c>
      <c r="B11446" s="1">
        <v>46001</v>
      </c>
      <c r="C11446" s="2">
        <v>0.83333333333333337</v>
      </c>
      <c r="D11446">
        <v>3</v>
      </c>
      <c r="E11446">
        <v>11.6</v>
      </c>
      <c r="F11446">
        <v>80</v>
      </c>
    </row>
    <row r="11447" spans="1:6" x14ac:dyDescent="0.35">
      <c r="A11447">
        <v>1975</v>
      </c>
      <c r="B11447" s="1">
        <v>46001</v>
      </c>
      <c r="C11447" s="2">
        <v>0.875</v>
      </c>
      <c r="D11447">
        <v>3</v>
      </c>
      <c r="E11447">
        <v>11.3</v>
      </c>
      <c r="F11447">
        <v>81</v>
      </c>
    </row>
    <row r="11448" spans="1:6" x14ac:dyDescent="0.35">
      <c r="A11448">
        <v>1975</v>
      </c>
      <c r="B11448" s="1">
        <v>46001</v>
      </c>
      <c r="C11448" s="2">
        <v>0.91666666666666663</v>
      </c>
      <c r="D11448">
        <v>3</v>
      </c>
      <c r="E11448">
        <v>11.2</v>
      </c>
      <c r="F11448">
        <v>81</v>
      </c>
    </row>
    <row r="11449" spans="1:6" x14ac:dyDescent="0.35">
      <c r="A11449">
        <v>1975</v>
      </c>
      <c r="B11449" s="1">
        <v>46001</v>
      </c>
      <c r="C11449" s="2">
        <v>0.95833333333333337</v>
      </c>
      <c r="D11449">
        <v>3</v>
      </c>
      <c r="E11449">
        <v>11</v>
      </c>
      <c r="F11449">
        <v>79</v>
      </c>
    </row>
    <row r="11450" spans="1:6" x14ac:dyDescent="0.35">
      <c r="A11450">
        <v>1975</v>
      </c>
      <c r="B11450" s="1">
        <v>46002</v>
      </c>
      <c r="C11450" s="2">
        <v>0</v>
      </c>
      <c r="D11450">
        <v>1</v>
      </c>
      <c r="E11450">
        <v>10.7</v>
      </c>
      <c r="F11450">
        <v>81</v>
      </c>
    </row>
    <row r="11451" spans="1:6" x14ac:dyDescent="0.35">
      <c r="A11451">
        <v>1975</v>
      </c>
      <c r="B11451" s="1">
        <v>46002</v>
      </c>
      <c r="C11451" s="2">
        <v>4.1666666666666657E-2</v>
      </c>
      <c r="D11451">
        <v>1</v>
      </c>
      <c r="E11451">
        <v>10.5</v>
      </c>
      <c r="F11451">
        <v>80</v>
      </c>
    </row>
    <row r="11452" spans="1:6" x14ac:dyDescent="0.35">
      <c r="A11452">
        <v>1975</v>
      </c>
      <c r="B11452" s="1">
        <v>46002</v>
      </c>
      <c r="C11452" s="2">
        <v>8.3333333333333329E-2</v>
      </c>
      <c r="D11452">
        <v>1</v>
      </c>
      <c r="E11452">
        <v>10.199999999999999</v>
      </c>
      <c r="F11452">
        <v>81</v>
      </c>
    </row>
    <row r="11453" spans="1:6" x14ac:dyDescent="0.35">
      <c r="A11453">
        <v>1975</v>
      </c>
      <c r="B11453" s="1">
        <v>46002</v>
      </c>
      <c r="C11453" s="2">
        <v>0.125</v>
      </c>
      <c r="D11453">
        <v>1</v>
      </c>
      <c r="E11453">
        <v>9.8000000000000007</v>
      </c>
      <c r="F11453">
        <v>84</v>
      </c>
    </row>
    <row r="11454" spans="1:6" x14ac:dyDescent="0.35">
      <c r="A11454">
        <v>1975</v>
      </c>
      <c r="B11454" s="1">
        <v>46002</v>
      </c>
      <c r="C11454" s="2">
        <v>0.16666666666666671</v>
      </c>
      <c r="D11454">
        <v>1</v>
      </c>
      <c r="E11454">
        <v>9.3000000000000007</v>
      </c>
      <c r="F11454">
        <v>85</v>
      </c>
    </row>
    <row r="11455" spans="1:6" x14ac:dyDescent="0.35">
      <c r="A11455">
        <v>1975</v>
      </c>
      <c r="B11455" s="1">
        <v>46002</v>
      </c>
      <c r="C11455" s="2">
        <v>0.20833333333333329</v>
      </c>
      <c r="D11455">
        <v>1</v>
      </c>
      <c r="E11455">
        <v>9</v>
      </c>
      <c r="F11455">
        <v>87</v>
      </c>
    </row>
    <row r="11456" spans="1:6" x14ac:dyDescent="0.35">
      <c r="A11456">
        <v>1975</v>
      </c>
      <c r="B11456" s="1">
        <v>46002</v>
      </c>
      <c r="C11456" s="2">
        <v>0.25</v>
      </c>
      <c r="D11456">
        <v>1</v>
      </c>
      <c r="E11456">
        <v>9.1</v>
      </c>
      <c r="F11456">
        <v>87</v>
      </c>
    </row>
    <row r="11457" spans="1:6" x14ac:dyDescent="0.35">
      <c r="A11457">
        <v>1975</v>
      </c>
      <c r="B11457" s="1">
        <v>46002</v>
      </c>
      <c r="C11457" s="2">
        <v>0.29166666666666669</v>
      </c>
      <c r="D11457">
        <v>1</v>
      </c>
      <c r="E11457">
        <v>9.3000000000000007</v>
      </c>
      <c r="F11457">
        <v>86</v>
      </c>
    </row>
    <row r="11458" spans="1:6" x14ac:dyDescent="0.35">
      <c r="A11458">
        <v>1975</v>
      </c>
      <c r="B11458" s="1">
        <v>46002</v>
      </c>
      <c r="C11458" s="2">
        <v>0.33333333333333331</v>
      </c>
      <c r="D11458">
        <v>1</v>
      </c>
      <c r="E11458">
        <v>9.1999999999999993</v>
      </c>
      <c r="F11458">
        <v>86</v>
      </c>
    </row>
    <row r="11459" spans="1:6" x14ac:dyDescent="0.35">
      <c r="A11459">
        <v>1975</v>
      </c>
      <c r="B11459" s="1">
        <v>46002</v>
      </c>
      <c r="C11459" s="2">
        <v>0.375</v>
      </c>
      <c r="D11459">
        <v>1</v>
      </c>
      <c r="E11459">
        <v>9.3000000000000007</v>
      </c>
      <c r="F11459">
        <v>85</v>
      </c>
    </row>
    <row r="11460" spans="1:6" x14ac:dyDescent="0.35">
      <c r="A11460">
        <v>1975</v>
      </c>
      <c r="B11460" s="1">
        <v>46002</v>
      </c>
      <c r="C11460" s="2">
        <v>0.41666666666666669</v>
      </c>
      <c r="D11460">
        <v>1</v>
      </c>
      <c r="E11460">
        <v>9.4</v>
      </c>
      <c r="F11460">
        <v>85</v>
      </c>
    </row>
    <row r="11461" spans="1:6" x14ac:dyDescent="0.35">
      <c r="A11461">
        <v>1975</v>
      </c>
      <c r="B11461" s="1">
        <v>46002</v>
      </c>
      <c r="C11461" s="2">
        <v>0.45833333333333331</v>
      </c>
      <c r="D11461">
        <v>1</v>
      </c>
      <c r="E11461">
        <v>9.4</v>
      </c>
      <c r="F11461">
        <v>84</v>
      </c>
    </row>
    <row r="11462" spans="1:6" x14ac:dyDescent="0.35">
      <c r="A11462">
        <v>1975</v>
      </c>
      <c r="B11462" s="1">
        <v>46002</v>
      </c>
      <c r="C11462" s="2">
        <v>0.5</v>
      </c>
      <c r="D11462">
        <v>1</v>
      </c>
      <c r="E11462">
        <v>9.5</v>
      </c>
      <c r="F11462">
        <v>83</v>
      </c>
    </row>
    <row r="11463" spans="1:6" x14ac:dyDescent="0.35">
      <c r="A11463">
        <v>1975</v>
      </c>
      <c r="B11463" s="1">
        <v>46002</v>
      </c>
      <c r="C11463" s="2">
        <v>0.54166666666666663</v>
      </c>
      <c r="D11463">
        <v>1</v>
      </c>
      <c r="E11463">
        <v>9.6</v>
      </c>
      <c r="F11463">
        <v>81</v>
      </c>
    </row>
    <row r="11464" spans="1:6" x14ac:dyDescent="0.35">
      <c r="A11464">
        <v>1975</v>
      </c>
      <c r="B11464" s="1">
        <v>46002</v>
      </c>
      <c r="C11464" s="2">
        <v>0.58333333333333337</v>
      </c>
      <c r="D11464">
        <v>1</v>
      </c>
      <c r="E11464">
        <v>9.6</v>
      </c>
      <c r="F11464">
        <v>81</v>
      </c>
    </row>
    <row r="11465" spans="1:6" x14ac:dyDescent="0.35">
      <c r="A11465">
        <v>1975</v>
      </c>
      <c r="B11465" s="1">
        <v>46002</v>
      </c>
      <c r="C11465" s="2">
        <v>0.625</v>
      </c>
      <c r="D11465">
        <v>1</v>
      </c>
      <c r="E11465">
        <v>9.3000000000000007</v>
      </c>
      <c r="F11465">
        <v>79</v>
      </c>
    </row>
    <row r="11466" spans="1:6" x14ac:dyDescent="0.35">
      <c r="A11466">
        <v>1975</v>
      </c>
      <c r="B11466" s="1">
        <v>46002</v>
      </c>
      <c r="C11466" s="2">
        <v>0.66666666666666663</v>
      </c>
      <c r="D11466">
        <v>1</v>
      </c>
      <c r="E11466">
        <v>8.8000000000000007</v>
      </c>
      <c r="F11466">
        <v>82</v>
      </c>
    </row>
    <row r="11467" spans="1:6" x14ac:dyDescent="0.35">
      <c r="A11467">
        <v>1975</v>
      </c>
      <c r="B11467" s="1">
        <v>46002</v>
      </c>
      <c r="C11467" s="2">
        <v>0.70833333333333337</v>
      </c>
      <c r="D11467">
        <v>1</v>
      </c>
      <c r="E11467">
        <v>8.5</v>
      </c>
      <c r="F11467">
        <v>83</v>
      </c>
    </row>
    <row r="11468" spans="1:6" x14ac:dyDescent="0.35">
      <c r="A11468">
        <v>1975</v>
      </c>
      <c r="B11468" s="1">
        <v>46002</v>
      </c>
      <c r="C11468" s="2">
        <v>0.75</v>
      </c>
      <c r="D11468">
        <v>1</v>
      </c>
      <c r="E11468">
        <v>7.7</v>
      </c>
      <c r="F11468">
        <v>86</v>
      </c>
    </row>
    <row r="11469" spans="1:6" x14ac:dyDescent="0.35">
      <c r="A11469">
        <v>1975</v>
      </c>
      <c r="B11469" s="1">
        <v>46002</v>
      </c>
      <c r="C11469" s="2">
        <v>0.79166666666666663</v>
      </c>
      <c r="D11469">
        <v>1</v>
      </c>
      <c r="E11469">
        <v>7.3</v>
      </c>
      <c r="F11469">
        <v>89</v>
      </c>
    </row>
    <row r="11470" spans="1:6" x14ac:dyDescent="0.35">
      <c r="A11470">
        <v>1975</v>
      </c>
      <c r="B11470" s="1">
        <v>46002</v>
      </c>
      <c r="C11470" s="2">
        <v>0.83333333333333337</v>
      </c>
      <c r="D11470">
        <v>1</v>
      </c>
      <c r="E11470">
        <v>7.1</v>
      </c>
      <c r="F11470">
        <v>89</v>
      </c>
    </row>
    <row r="11471" spans="1:6" x14ac:dyDescent="0.35">
      <c r="A11471">
        <v>1975</v>
      </c>
      <c r="B11471" s="1">
        <v>46002</v>
      </c>
      <c r="C11471" s="2">
        <v>0.875</v>
      </c>
      <c r="D11471">
        <v>1</v>
      </c>
      <c r="E11471">
        <v>6.6</v>
      </c>
      <c r="F11471">
        <v>91</v>
      </c>
    </row>
    <row r="11472" spans="1:6" x14ac:dyDescent="0.35">
      <c r="A11472">
        <v>1975</v>
      </c>
      <c r="B11472" s="1">
        <v>46002</v>
      </c>
      <c r="C11472" s="2">
        <v>0.91666666666666663</v>
      </c>
      <c r="D11472">
        <v>1</v>
      </c>
      <c r="E11472">
        <v>5.0999999999999996</v>
      </c>
      <c r="F11472">
        <v>96</v>
      </c>
    </row>
    <row r="11473" spans="1:6" x14ac:dyDescent="0.35">
      <c r="A11473">
        <v>1975</v>
      </c>
      <c r="B11473" s="1">
        <v>46002</v>
      </c>
      <c r="C11473" s="2">
        <v>0.95833333333333337</v>
      </c>
      <c r="D11473">
        <v>1</v>
      </c>
      <c r="E11473">
        <v>3.9</v>
      </c>
      <c r="F11473">
        <v>100</v>
      </c>
    </row>
    <row r="11474" spans="1:6" x14ac:dyDescent="0.35">
      <c r="A11474">
        <v>1975</v>
      </c>
      <c r="B11474" s="1">
        <v>46003</v>
      </c>
      <c r="C11474" s="2">
        <v>0</v>
      </c>
      <c r="D11474">
        <v>1</v>
      </c>
      <c r="E11474">
        <v>2.7</v>
      </c>
      <c r="F11474">
        <v>100</v>
      </c>
    </row>
    <row r="11475" spans="1:6" x14ac:dyDescent="0.35">
      <c r="A11475">
        <v>1975</v>
      </c>
      <c r="B11475" s="1">
        <v>46003</v>
      </c>
      <c r="C11475" s="2">
        <v>4.1666666666666657E-2</v>
      </c>
      <c r="D11475">
        <v>1</v>
      </c>
      <c r="E11475">
        <v>2.4</v>
      </c>
      <c r="F11475">
        <v>100</v>
      </c>
    </row>
    <row r="11476" spans="1:6" x14ac:dyDescent="0.35">
      <c r="A11476">
        <v>1975</v>
      </c>
      <c r="B11476" s="1">
        <v>46003</v>
      </c>
      <c r="C11476" s="2">
        <v>8.3333333333333329E-2</v>
      </c>
      <c r="D11476">
        <v>1</v>
      </c>
      <c r="E11476">
        <v>1.7</v>
      </c>
      <c r="F11476">
        <v>100</v>
      </c>
    </row>
    <row r="11477" spans="1:6" x14ac:dyDescent="0.35">
      <c r="A11477">
        <v>1975</v>
      </c>
      <c r="B11477" s="1">
        <v>46003</v>
      </c>
      <c r="C11477" s="2">
        <v>0.125</v>
      </c>
      <c r="D11477">
        <v>1</v>
      </c>
      <c r="E11477">
        <v>0.5</v>
      </c>
      <c r="F11477">
        <v>100</v>
      </c>
    </row>
    <row r="11478" spans="1:6" x14ac:dyDescent="0.35">
      <c r="A11478">
        <v>1975</v>
      </c>
      <c r="B11478" s="1">
        <v>46003</v>
      </c>
      <c r="C11478" s="2">
        <v>0.16666666666666671</v>
      </c>
      <c r="D11478">
        <v>1</v>
      </c>
      <c r="E11478">
        <v>4.8</v>
      </c>
      <c r="F11478">
        <v>100</v>
      </c>
    </row>
    <row r="11479" spans="1:6" x14ac:dyDescent="0.35">
      <c r="A11479">
        <v>1975</v>
      </c>
      <c r="B11479" s="1">
        <v>46003</v>
      </c>
      <c r="C11479" s="2">
        <v>0.20833333333333329</v>
      </c>
      <c r="D11479">
        <v>1</v>
      </c>
      <c r="E11479">
        <v>5.0999999999999996</v>
      </c>
      <c r="F11479">
        <v>100</v>
      </c>
    </row>
    <row r="11480" spans="1:6" x14ac:dyDescent="0.35">
      <c r="A11480">
        <v>1975</v>
      </c>
      <c r="B11480" s="1">
        <v>46003</v>
      </c>
      <c r="C11480" s="2">
        <v>0.25</v>
      </c>
      <c r="D11480">
        <v>1</v>
      </c>
      <c r="E11480">
        <v>5.2</v>
      </c>
      <c r="F11480">
        <v>100</v>
      </c>
    </row>
    <row r="11481" spans="1:6" x14ac:dyDescent="0.35">
      <c r="A11481">
        <v>1975</v>
      </c>
      <c r="B11481" s="1">
        <v>46003</v>
      </c>
      <c r="C11481" s="2">
        <v>0.29166666666666669</v>
      </c>
      <c r="D11481">
        <v>1</v>
      </c>
      <c r="E11481">
        <v>4.7</v>
      </c>
      <c r="F11481">
        <v>100</v>
      </c>
    </row>
    <row r="11482" spans="1:6" x14ac:dyDescent="0.35">
      <c r="A11482">
        <v>1975</v>
      </c>
      <c r="B11482" s="1">
        <v>46003</v>
      </c>
      <c r="C11482" s="2">
        <v>0.33333333333333331</v>
      </c>
      <c r="D11482">
        <v>1</v>
      </c>
      <c r="E11482">
        <v>4.2</v>
      </c>
      <c r="F11482">
        <v>100</v>
      </c>
    </row>
    <row r="11483" spans="1:6" x14ac:dyDescent="0.35">
      <c r="A11483">
        <v>1975</v>
      </c>
      <c r="B11483" s="1">
        <v>46003</v>
      </c>
      <c r="C11483" s="2">
        <v>0.375</v>
      </c>
      <c r="D11483">
        <v>1</v>
      </c>
      <c r="E11483">
        <v>4.5999999999999996</v>
      </c>
      <c r="F11483">
        <v>100</v>
      </c>
    </row>
    <row r="11484" spans="1:6" x14ac:dyDescent="0.35">
      <c r="A11484">
        <v>1975</v>
      </c>
      <c r="B11484" s="1">
        <v>46003</v>
      </c>
      <c r="C11484" s="2">
        <v>0.41666666666666669</v>
      </c>
      <c r="D11484">
        <v>1</v>
      </c>
      <c r="E11484">
        <v>5</v>
      </c>
      <c r="F11484">
        <v>100</v>
      </c>
    </row>
    <row r="11485" spans="1:6" x14ac:dyDescent="0.35">
      <c r="A11485">
        <v>1975</v>
      </c>
      <c r="B11485" s="1">
        <v>46003</v>
      </c>
      <c r="C11485" s="2">
        <v>0.45833333333333331</v>
      </c>
      <c r="D11485">
        <v>1</v>
      </c>
      <c r="E11485">
        <v>5.5</v>
      </c>
      <c r="F11485">
        <v>97</v>
      </c>
    </row>
    <row r="11486" spans="1:6" x14ac:dyDescent="0.35">
      <c r="A11486">
        <v>1975</v>
      </c>
      <c r="B11486" s="1">
        <v>46003</v>
      </c>
      <c r="C11486" s="2">
        <v>0.5</v>
      </c>
      <c r="D11486">
        <v>1</v>
      </c>
      <c r="E11486">
        <v>6.1</v>
      </c>
      <c r="F11486">
        <v>92</v>
      </c>
    </row>
    <row r="11487" spans="1:6" x14ac:dyDescent="0.35">
      <c r="A11487">
        <v>1975</v>
      </c>
      <c r="B11487" s="1">
        <v>46003</v>
      </c>
      <c r="C11487" s="2">
        <v>0.54166666666666663</v>
      </c>
      <c r="D11487">
        <v>1</v>
      </c>
      <c r="E11487">
        <v>5.4</v>
      </c>
      <c r="F11487">
        <v>91</v>
      </c>
    </row>
    <row r="11488" spans="1:6" x14ac:dyDescent="0.35">
      <c r="A11488">
        <v>1975</v>
      </c>
      <c r="B11488" s="1">
        <v>46003</v>
      </c>
      <c r="C11488" s="2">
        <v>0.58333333333333337</v>
      </c>
      <c r="D11488">
        <v>1</v>
      </c>
      <c r="E11488">
        <v>5.6</v>
      </c>
      <c r="F11488">
        <v>92</v>
      </c>
    </row>
    <row r="11489" spans="1:6" x14ac:dyDescent="0.35">
      <c r="A11489">
        <v>1975</v>
      </c>
      <c r="B11489" s="1">
        <v>46003</v>
      </c>
      <c r="C11489" s="2">
        <v>0.625</v>
      </c>
      <c r="D11489">
        <v>1</v>
      </c>
      <c r="E11489">
        <v>5.7</v>
      </c>
      <c r="F11489">
        <v>92</v>
      </c>
    </row>
    <row r="11490" spans="1:6" x14ac:dyDescent="0.35">
      <c r="A11490">
        <v>1975</v>
      </c>
      <c r="B11490" s="1">
        <v>46003</v>
      </c>
      <c r="C11490" s="2">
        <v>0.66666666666666663</v>
      </c>
      <c r="D11490">
        <v>1</v>
      </c>
      <c r="E11490">
        <v>5.5</v>
      </c>
      <c r="F11490">
        <v>92</v>
      </c>
    </row>
    <row r="11491" spans="1:6" x14ac:dyDescent="0.35">
      <c r="A11491">
        <v>1975</v>
      </c>
      <c r="B11491" s="1">
        <v>46003</v>
      </c>
      <c r="C11491" s="2">
        <v>0.70833333333333337</v>
      </c>
      <c r="D11491">
        <v>1</v>
      </c>
      <c r="E11491">
        <v>6</v>
      </c>
      <c r="F11491">
        <v>92</v>
      </c>
    </row>
    <row r="11492" spans="1:6" x14ac:dyDescent="0.35">
      <c r="A11492">
        <v>1975</v>
      </c>
      <c r="B11492" s="1">
        <v>46003</v>
      </c>
      <c r="C11492" s="2">
        <v>0.75</v>
      </c>
      <c r="D11492">
        <v>1</v>
      </c>
      <c r="E11492">
        <v>6.2</v>
      </c>
      <c r="F11492">
        <v>91</v>
      </c>
    </row>
    <row r="11493" spans="1:6" x14ac:dyDescent="0.35">
      <c r="A11493">
        <v>1975</v>
      </c>
      <c r="B11493" s="1">
        <v>46003</v>
      </c>
      <c r="C11493" s="2">
        <v>0.79166666666666663</v>
      </c>
      <c r="D11493">
        <v>1</v>
      </c>
      <c r="E11493">
        <v>6.6</v>
      </c>
      <c r="F11493">
        <v>89</v>
      </c>
    </row>
    <row r="11494" spans="1:6" x14ac:dyDescent="0.35">
      <c r="A11494">
        <v>1975</v>
      </c>
      <c r="B11494" s="1">
        <v>46003</v>
      </c>
      <c r="C11494" s="2">
        <v>0.83333333333333337</v>
      </c>
      <c r="D11494">
        <v>1</v>
      </c>
      <c r="E11494">
        <v>6.2</v>
      </c>
      <c r="F11494">
        <v>94</v>
      </c>
    </row>
    <row r="11495" spans="1:6" x14ac:dyDescent="0.35">
      <c r="A11495">
        <v>1975</v>
      </c>
      <c r="B11495" s="1">
        <v>46003</v>
      </c>
      <c r="C11495" s="2">
        <v>0.875</v>
      </c>
      <c r="D11495">
        <v>1</v>
      </c>
      <c r="E11495">
        <v>6</v>
      </c>
      <c r="F11495">
        <v>97</v>
      </c>
    </row>
    <row r="11496" spans="1:6" x14ac:dyDescent="0.35">
      <c r="A11496">
        <v>1975</v>
      </c>
      <c r="B11496" s="1">
        <v>46003</v>
      </c>
      <c r="C11496" s="2">
        <v>0.91666666666666663</v>
      </c>
      <c r="D11496">
        <v>1</v>
      </c>
      <c r="E11496">
        <v>5.9</v>
      </c>
      <c r="F11496">
        <v>97</v>
      </c>
    </row>
    <row r="11497" spans="1:6" x14ac:dyDescent="0.35">
      <c r="A11497">
        <v>1975</v>
      </c>
      <c r="B11497" s="1">
        <v>46003</v>
      </c>
      <c r="C11497" s="2">
        <v>0.95833333333333337</v>
      </c>
      <c r="D11497">
        <v>1</v>
      </c>
      <c r="E11497">
        <v>6</v>
      </c>
      <c r="F11497">
        <v>97</v>
      </c>
    </row>
    <row r="11498" spans="1:6" x14ac:dyDescent="0.35">
      <c r="A11498">
        <v>1975</v>
      </c>
      <c r="B11498" s="1">
        <v>46004</v>
      </c>
      <c r="C11498" s="2">
        <v>0</v>
      </c>
      <c r="D11498">
        <v>1</v>
      </c>
      <c r="E11498">
        <v>6.1</v>
      </c>
      <c r="F11498">
        <v>97</v>
      </c>
    </row>
    <row r="11499" spans="1:6" x14ac:dyDescent="0.35">
      <c r="A11499">
        <v>1975</v>
      </c>
      <c r="B11499" s="1">
        <v>46004</v>
      </c>
      <c r="C11499" s="2">
        <v>4.1666666666666657E-2</v>
      </c>
      <c r="D11499">
        <v>1</v>
      </c>
      <c r="E11499">
        <v>6.6</v>
      </c>
      <c r="F11499">
        <v>97</v>
      </c>
    </row>
    <row r="11500" spans="1:6" x14ac:dyDescent="0.35">
      <c r="A11500">
        <v>1975</v>
      </c>
      <c r="B11500" s="1">
        <v>46004</v>
      </c>
      <c r="C11500" s="2">
        <v>8.3333333333333329E-2</v>
      </c>
      <c r="D11500">
        <v>1</v>
      </c>
      <c r="E11500">
        <v>6.7</v>
      </c>
      <c r="F11500">
        <v>98</v>
      </c>
    </row>
    <row r="11501" spans="1:6" x14ac:dyDescent="0.35">
      <c r="A11501">
        <v>1975</v>
      </c>
      <c r="B11501" s="1">
        <v>46004</v>
      </c>
      <c r="C11501" s="2">
        <v>0.125</v>
      </c>
      <c r="D11501">
        <v>1</v>
      </c>
      <c r="E11501">
        <v>7.7</v>
      </c>
      <c r="F11501">
        <v>95</v>
      </c>
    </row>
    <row r="11502" spans="1:6" x14ac:dyDescent="0.35">
      <c r="A11502">
        <v>1975</v>
      </c>
      <c r="B11502" s="1">
        <v>46004</v>
      </c>
      <c r="C11502" s="2">
        <v>0.16666666666666671</v>
      </c>
      <c r="D11502">
        <v>1</v>
      </c>
      <c r="E11502">
        <v>8</v>
      </c>
      <c r="F11502">
        <v>94</v>
      </c>
    </row>
    <row r="11503" spans="1:6" x14ac:dyDescent="0.35">
      <c r="A11503">
        <v>1975</v>
      </c>
      <c r="B11503" s="1">
        <v>46004</v>
      </c>
      <c r="C11503" s="2">
        <v>0.20833333333333329</v>
      </c>
      <c r="D11503">
        <v>1</v>
      </c>
      <c r="E11503">
        <v>8</v>
      </c>
      <c r="F11503">
        <v>94</v>
      </c>
    </row>
    <row r="11504" spans="1:6" x14ac:dyDescent="0.35">
      <c r="A11504">
        <v>1975</v>
      </c>
      <c r="B11504" s="1">
        <v>46004</v>
      </c>
      <c r="C11504" s="2">
        <v>0.25</v>
      </c>
      <c r="D11504">
        <v>1</v>
      </c>
      <c r="E11504">
        <v>8.1999999999999993</v>
      </c>
      <c r="F11504">
        <v>92</v>
      </c>
    </row>
    <row r="11505" spans="1:6" x14ac:dyDescent="0.35">
      <c r="A11505">
        <v>1975</v>
      </c>
      <c r="B11505" s="1">
        <v>46004</v>
      </c>
      <c r="C11505" s="2">
        <v>0.29166666666666669</v>
      </c>
      <c r="D11505">
        <v>1</v>
      </c>
      <c r="E11505">
        <v>8.3000000000000007</v>
      </c>
      <c r="F11505">
        <v>92</v>
      </c>
    </row>
    <row r="11506" spans="1:6" x14ac:dyDescent="0.35">
      <c r="A11506">
        <v>1975</v>
      </c>
      <c r="B11506" s="1">
        <v>46004</v>
      </c>
      <c r="C11506" s="2">
        <v>0.33333333333333331</v>
      </c>
      <c r="D11506">
        <v>1</v>
      </c>
      <c r="E11506">
        <v>8.6</v>
      </c>
      <c r="F11506">
        <v>91</v>
      </c>
    </row>
    <row r="11507" spans="1:6" x14ac:dyDescent="0.35">
      <c r="A11507">
        <v>1975</v>
      </c>
      <c r="B11507" s="1">
        <v>46004</v>
      </c>
      <c r="C11507" s="2">
        <v>0.375</v>
      </c>
      <c r="D11507">
        <v>1</v>
      </c>
      <c r="E11507">
        <v>8.6</v>
      </c>
      <c r="F11507">
        <v>93</v>
      </c>
    </row>
    <row r="11508" spans="1:6" x14ac:dyDescent="0.35">
      <c r="A11508">
        <v>1975</v>
      </c>
      <c r="B11508" s="1">
        <v>46004</v>
      </c>
      <c r="C11508" s="2">
        <v>0.41666666666666669</v>
      </c>
      <c r="D11508">
        <v>1</v>
      </c>
      <c r="E11508">
        <v>8.8000000000000007</v>
      </c>
      <c r="F11508">
        <v>95</v>
      </c>
    </row>
    <row r="11509" spans="1:6" x14ac:dyDescent="0.35">
      <c r="A11509">
        <v>1975</v>
      </c>
      <c r="B11509" s="1">
        <v>46004</v>
      </c>
      <c r="C11509" s="2">
        <v>0.45833333333333331</v>
      </c>
      <c r="D11509">
        <v>1</v>
      </c>
      <c r="E11509">
        <v>8.9</v>
      </c>
      <c r="F11509">
        <v>98</v>
      </c>
    </row>
    <row r="11510" spans="1:6" x14ac:dyDescent="0.35">
      <c r="A11510">
        <v>1975</v>
      </c>
      <c r="B11510" s="1">
        <v>46004</v>
      </c>
      <c r="C11510" s="2">
        <v>0.5</v>
      </c>
      <c r="D11510">
        <v>1</v>
      </c>
      <c r="E11510">
        <v>9.3000000000000007</v>
      </c>
      <c r="F11510">
        <v>94</v>
      </c>
    </row>
    <row r="11511" spans="1:6" x14ac:dyDescent="0.35">
      <c r="A11511">
        <v>1975</v>
      </c>
      <c r="B11511" s="1">
        <v>46004</v>
      </c>
      <c r="C11511" s="2">
        <v>0.54166666666666663</v>
      </c>
      <c r="D11511">
        <v>1</v>
      </c>
      <c r="E11511">
        <v>9.1</v>
      </c>
      <c r="F11511">
        <v>85</v>
      </c>
    </row>
    <row r="11512" spans="1:6" x14ac:dyDescent="0.35">
      <c r="A11512">
        <v>1975</v>
      </c>
      <c r="B11512" s="1">
        <v>46004</v>
      </c>
      <c r="C11512" s="2">
        <v>0.58333333333333337</v>
      </c>
      <c r="D11512">
        <v>1</v>
      </c>
      <c r="E11512">
        <v>9</v>
      </c>
      <c r="F11512">
        <v>83</v>
      </c>
    </row>
    <row r="11513" spans="1:6" x14ac:dyDescent="0.35">
      <c r="A11513">
        <v>1975</v>
      </c>
      <c r="B11513" s="1">
        <v>46004</v>
      </c>
      <c r="C11513" s="2">
        <v>0.625</v>
      </c>
      <c r="D11513">
        <v>1</v>
      </c>
      <c r="E11513">
        <v>8.6</v>
      </c>
      <c r="F11513">
        <v>84</v>
      </c>
    </row>
    <row r="11514" spans="1:6" x14ac:dyDescent="0.35">
      <c r="A11514">
        <v>1975</v>
      </c>
      <c r="B11514" s="1">
        <v>46004</v>
      </c>
      <c r="C11514" s="2">
        <v>0.66666666666666663</v>
      </c>
      <c r="D11514">
        <v>1</v>
      </c>
      <c r="E11514">
        <v>7.8</v>
      </c>
      <c r="F11514">
        <v>89</v>
      </c>
    </row>
    <row r="11515" spans="1:6" x14ac:dyDescent="0.35">
      <c r="A11515">
        <v>1975</v>
      </c>
      <c r="B11515" s="1">
        <v>46004</v>
      </c>
      <c r="C11515" s="2">
        <v>0.70833333333333337</v>
      </c>
      <c r="D11515">
        <v>1</v>
      </c>
      <c r="E11515">
        <v>5.5</v>
      </c>
      <c r="F11515">
        <v>97</v>
      </c>
    </row>
    <row r="11516" spans="1:6" x14ac:dyDescent="0.35">
      <c r="A11516">
        <v>1975</v>
      </c>
      <c r="B11516" s="1">
        <v>46004</v>
      </c>
      <c r="C11516" s="2">
        <v>0.75</v>
      </c>
      <c r="D11516">
        <v>1</v>
      </c>
      <c r="E11516">
        <v>5.9</v>
      </c>
      <c r="F11516">
        <v>96</v>
      </c>
    </row>
    <row r="11517" spans="1:6" x14ac:dyDescent="0.35">
      <c r="A11517">
        <v>1975</v>
      </c>
      <c r="B11517" s="1">
        <v>46004</v>
      </c>
      <c r="C11517" s="2">
        <v>0.79166666666666663</v>
      </c>
      <c r="D11517">
        <v>1</v>
      </c>
      <c r="E11517">
        <v>6.1</v>
      </c>
      <c r="F11517">
        <v>94</v>
      </c>
    </row>
    <row r="11518" spans="1:6" x14ac:dyDescent="0.35">
      <c r="A11518">
        <v>1975</v>
      </c>
      <c r="B11518" s="1">
        <v>46004</v>
      </c>
      <c r="C11518" s="2">
        <v>0.83333333333333337</v>
      </c>
      <c r="D11518">
        <v>1</v>
      </c>
      <c r="E11518">
        <v>6.5</v>
      </c>
      <c r="F11518">
        <v>94</v>
      </c>
    </row>
    <row r="11519" spans="1:6" x14ac:dyDescent="0.35">
      <c r="A11519">
        <v>1975</v>
      </c>
      <c r="B11519" s="1">
        <v>46004</v>
      </c>
      <c r="C11519" s="2">
        <v>0.875</v>
      </c>
      <c r="D11519">
        <v>1</v>
      </c>
      <c r="E11519">
        <v>4.5999999999999996</v>
      </c>
      <c r="F11519">
        <v>98</v>
      </c>
    </row>
    <row r="11520" spans="1:6" x14ac:dyDescent="0.35">
      <c r="A11520">
        <v>1975</v>
      </c>
      <c r="B11520" s="1">
        <v>46004</v>
      </c>
      <c r="C11520" s="2">
        <v>0.91666666666666663</v>
      </c>
      <c r="D11520">
        <v>1</v>
      </c>
      <c r="E11520">
        <v>4.0999999999999996</v>
      </c>
      <c r="F11520">
        <v>100</v>
      </c>
    </row>
    <row r="11521" spans="1:6" x14ac:dyDescent="0.35">
      <c r="A11521">
        <v>1975</v>
      </c>
      <c r="B11521" s="1">
        <v>46004</v>
      </c>
      <c r="C11521" s="2">
        <v>0.95833333333333337</v>
      </c>
      <c r="D11521">
        <v>1</v>
      </c>
      <c r="E11521">
        <v>5.2</v>
      </c>
      <c r="F11521">
        <v>100</v>
      </c>
    </row>
    <row r="11522" spans="1:6" x14ac:dyDescent="0.35">
      <c r="A11522">
        <v>1975</v>
      </c>
      <c r="B11522" s="1">
        <v>46005</v>
      </c>
      <c r="C11522" s="2">
        <v>0</v>
      </c>
      <c r="D11522">
        <v>1</v>
      </c>
      <c r="E11522">
        <v>5.0999999999999996</v>
      </c>
      <c r="F11522">
        <v>100</v>
      </c>
    </row>
    <row r="11523" spans="1:6" x14ac:dyDescent="0.35">
      <c r="A11523">
        <v>1975</v>
      </c>
      <c r="B11523" s="1">
        <v>46005</v>
      </c>
      <c r="C11523" s="2">
        <v>4.1666666666666657E-2</v>
      </c>
      <c r="D11523">
        <v>1</v>
      </c>
      <c r="E11523">
        <v>5.3</v>
      </c>
      <c r="F11523">
        <v>100</v>
      </c>
    </row>
    <row r="11524" spans="1:6" x14ac:dyDescent="0.35">
      <c r="A11524">
        <v>1975</v>
      </c>
      <c r="B11524" s="1">
        <v>46005</v>
      </c>
      <c r="C11524" s="2">
        <v>8.3333333333333329E-2</v>
      </c>
      <c r="D11524">
        <v>1</v>
      </c>
      <c r="E11524">
        <v>5.5</v>
      </c>
      <c r="F11524">
        <v>100</v>
      </c>
    </row>
    <row r="11525" spans="1:6" x14ac:dyDescent="0.35">
      <c r="A11525">
        <v>1975</v>
      </c>
      <c r="B11525" s="1">
        <v>46005</v>
      </c>
      <c r="C11525" s="2">
        <v>0.125</v>
      </c>
      <c r="D11525">
        <v>1</v>
      </c>
      <c r="E11525">
        <v>4.7</v>
      </c>
      <c r="F11525">
        <v>99</v>
      </c>
    </row>
    <row r="11526" spans="1:6" x14ac:dyDescent="0.35">
      <c r="A11526">
        <v>1975</v>
      </c>
      <c r="B11526" s="1">
        <v>46005</v>
      </c>
      <c r="C11526" s="2">
        <v>0.16666666666666671</v>
      </c>
      <c r="D11526">
        <v>1</v>
      </c>
      <c r="E11526">
        <v>5.2</v>
      </c>
      <c r="F11526">
        <v>97</v>
      </c>
    </row>
    <row r="11527" spans="1:6" x14ac:dyDescent="0.35">
      <c r="A11527">
        <v>1975</v>
      </c>
      <c r="B11527" s="1">
        <v>46005</v>
      </c>
      <c r="C11527" s="2">
        <v>0.20833333333333329</v>
      </c>
      <c r="D11527">
        <v>1</v>
      </c>
      <c r="E11527">
        <v>5.4</v>
      </c>
      <c r="F11527">
        <v>92</v>
      </c>
    </row>
    <row r="11528" spans="1:6" x14ac:dyDescent="0.35">
      <c r="A11528">
        <v>1975</v>
      </c>
      <c r="B11528" s="1">
        <v>46005</v>
      </c>
      <c r="C11528" s="2">
        <v>0.25</v>
      </c>
      <c r="D11528">
        <v>1</v>
      </c>
      <c r="E11528">
        <v>5.0999999999999996</v>
      </c>
      <c r="F11528">
        <v>91</v>
      </c>
    </row>
    <row r="11529" spans="1:6" x14ac:dyDescent="0.35">
      <c r="A11529">
        <v>1975</v>
      </c>
      <c r="B11529" s="1">
        <v>46005</v>
      </c>
      <c r="C11529" s="2">
        <v>0.29166666666666669</v>
      </c>
      <c r="D11529">
        <v>1</v>
      </c>
      <c r="E11529">
        <v>4.9000000000000004</v>
      </c>
      <c r="F11529">
        <v>90</v>
      </c>
    </row>
    <row r="11530" spans="1:6" x14ac:dyDescent="0.35">
      <c r="A11530">
        <v>1975</v>
      </c>
      <c r="B11530" s="1">
        <v>46005</v>
      </c>
      <c r="C11530" s="2">
        <v>0.33333333333333331</v>
      </c>
      <c r="D11530">
        <v>1</v>
      </c>
      <c r="E11530">
        <v>4.9000000000000004</v>
      </c>
      <c r="F11530">
        <v>90</v>
      </c>
    </row>
    <row r="11531" spans="1:6" x14ac:dyDescent="0.35">
      <c r="A11531">
        <v>1975</v>
      </c>
      <c r="B11531" s="1">
        <v>46005</v>
      </c>
      <c r="C11531" s="2">
        <v>0.375</v>
      </c>
      <c r="D11531">
        <v>1</v>
      </c>
      <c r="E11531">
        <v>4.8</v>
      </c>
      <c r="F11531">
        <v>89</v>
      </c>
    </row>
    <row r="11532" spans="1:6" x14ac:dyDescent="0.35">
      <c r="A11532">
        <v>1975</v>
      </c>
      <c r="B11532" s="1">
        <v>46005</v>
      </c>
      <c r="C11532" s="2">
        <v>0.41666666666666669</v>
      </c>
      <c r="D11532">
        <v>1</v>
      </c>
      <c r="E11532">
        <v>5.2</v>
      </c>
      <c r="F11532">
        <v>87</v>
      </c>
    </row>
    <row r="11533" spans="1:6" x14ac:dyDescent="0.35">
      <c r="A11533">
        <v>1975</v>
      </c>
      <c r="B11533" s="1">
        <v>46005</v>
      </c>
      <c r="C11533" s="2">
        <v>0.45833333333333331</v>
      </c>
      <c r="D11533">
        <v>1</v>
      </c>
      <c r="E11533">
        <v>5.9</v>
      </c>
      <c r="F11533">
        <v>86</v>
      </c>
    </row>
    <row r="11534" spans="1:6" x14ac:dyDescent="0.35">
      <c r="A11534">
        <v>1975</v>
      </c>
      <c r="B11534" s="1">
        <v>46005</v>
      </c>
      <c r="C11534" s="2">
        <v>0.5</v>
      </c>
      <c r="D11534">
        <v>1</v>
      </c>
      <c r="E11534">
        <v>6.5</v>
      </c>
      <c r="F11534">
        <v>84</v>
      </c>
    </row>
    <row r="11535" spans="1:6" x14ac:dyDescent="0.35">
      <c r="A11535">
        <v>1975</v>
      </c>
      <c r="B11535" s="1">
        <v>46005</v>
      </c>
      <c r="C11535" s="2">
        <v>0.54166666666666663</v>
      </c>
      <c r="D11535">
        <v>1</v>
      </c>
      <c r="E11535">
        <v>7.1</v>
      </c>
      <c r="F11535">
        <v>84</v>
      </c>
    </row>
    <row r="11536" spans="1:6" x14ac:dyDescent="0.35">
      <c r="A11536">
        <v>1975</v>
      </c>
      <c r="B11536" s="1">
        <v>46005</v>
      </c>
      <c r="C11536" s="2">
        <v>0.58333333333333337</v>
      </c>
      <c r="D11536">
        <v>1</v>
      </c>
      <c r="E11536">
        <v>7</v>
      </c>
      <c r="F11536">
        <v>84</v>
      </c>
    </row>
    <row r="11537" spans="1:6" x14ac:dyDescent="0.35">
      <c r="A11537">
        <v>1975</v>
      </c>
      <c r="B11537" s="1">
        <v>46005</v>
      </c>
      <c r="C11537" s="2">
        <v>0.625</v>
      </c>
      <c r="D11537">
        <v>1</v>
      </c>
      <c r="E11537">
        <v>6.8</v>
      </c>
      <c r="F11537">
        <v>83</v>
      </c>
    </row>
    <row r="11538" spans="1:6" x14ac:dyDescent="0.35">
      <c r="A11538">
        <v>1975</v>
      </c>
      <c r="B11538" s="1">
        <v>46005</v>
      </c>
      <c r="C11538" s="2">
        <v>0.66666666666666663</v>
      </c>
      <c r="D11538">
        <v>1</v>
      </c>
      <c r="E11538">
        <v>6.5</v>
      </c>
      <c r="F11538">
        <v>85</v>
      </c>
    </row>
    <row r="11539" spans="1:6" x14ac:dyDescent="0.35">
      <c r="A11539">
        <v>1975</v>
      </c>
      <c r="B11539" s="1">
        <v>46005</v>
      </c>
      <c r="C11539" s="2">
        <v>0.70833333333333337</v>
      </c>
      <c r="D11539">
        <v>1</v>
      </c>
      <c r="E11539">
        <v>6.1</v>
      </c>
      <c r="F11539">
        <v>86</v>
      </c>
    </row>
    <row r="11540" spans="1:6" x14ac:dyDescent="0.35">
      <c r="A11540">
        <v>1975</v>
      </c>
      <c r="B11540" s="1">
        <v>46005</v>
      </c>
      <c r="C11540" s="2">
        <v>0.75</v>
      </c>
      <c r="D11540">
        <v>1</v>
      </c>
      <c r="E11540">
        <v>5.8</v>
      </c>
      <c r="F11540">
        <v>87</v>
      </c>
    </row>
    <row r="11541" spans="1:6" x14ac:dyDescent="0.35">
      <c r="A11541">
        <v>1975</v>
      </c>
      <c r="B11541" s="1">
        <v>46005</v>
      </c>
      <c r="C11541" s="2">
        <v>0.79166666666666663</v>
      </c>
      <c r="D11541">
        <v>1</v>
      </c>
      <c r="E11541">
        <v>6.2</v>
      </c>
      <c r="F11541">
        <v>87</v>
      </c>
    </row>
    <row r="11542" spans="1:6" x14ac:dyDescent="0.35">
      <c r="A11542">
        <v>1975</v>
      </c>
      <c r="B11542" s="1">
        <v>46005</v>
      </c>
      <c r="C11542" s="2">
        <v>0.83333333333333337</v>
      </c>
      <c r="D11542">
        <v>1</v>
      </c>
      <c r="E11542">
        <v>6.4</v>
      </c>
      <c r="F11542">
        <v>86</v>
      </c>
    </row>
    <row r="11543" spans="1:6" x14ac:dyDescent="0.35">
      <c r="A11543">
        <v>1975</v>
      </c>
      <c r="B11543" s="1">
        <v>46005</v>
      </c>
      <c r="C11543" s="2">
        <v>0.875</v>
      </c>
      <c r="D11543">
        <v>1</v>
      </c>
      <c r="E11543">
        <v>6.6</v>
      </c>
      <c r="F11543">
        <v>86</v>
      </c>
    </row>
    <row r="11544" spans="1:6" x14ac:dyDescent="0.35">
      <c r="A11544">
        <v>1975</v>
      </c>
      <c r="B11544" s="1">
        <v>46005</v>
      </c>
      <c r="C11544" s="2">
        <v>0.91666666666666663</v>
      </c>
      <c r="D11544">
        <v>1</v>
      </c>
      <c r="E11544">
        <v>6.4</v>
      </c>
      <c r="F11544">
        <v>86</v>
      </c>
    </row>
    <row r="11545" spans="1:6" x14ac:dyDescent="0.35">
      <c r="A11545">
        <v>1975</v>
      </c>
      <c r="B11545" s="1">
        <v>46005</v>
      </c>
      <c r="C11545" s="2">
        <v>0.95833333333333337</v>
      </c>
      <c r="D11545">
        <v>1</v>
      </c>
      <c r="E11545">
        <v>6.8</v>
      </c>
      <c r="F11545">
        <v>86</v>
      </c>
    </row>
    <row r="11546" spans="1:6" x14ac:dyDescent="0.35">
      <c r="A11546">
        <v>1975</v>
      </c>
      <c r="B11546" s="1">
        <v>46006</v>
      </c>
      <c r="C11546" s="2">
        <v>0</v>
      </c>
      <c r="D11546">
        <v>1</v>
      </c>
      <c r="E11546">
        <v>6.9</v>
      </c>
      <c r="F11546">
        <v>86</v>
      </c>
    </row>
    <row r="11547" spans="1:6" x14ac:dyDescent="0.35">
      <c r="A11547">
        <v>1975</v>
      </c>
      <c r="B11547" s="1">
        <v>46006</v>
      </c>
      <c r="C11547" s="2">
        <v>4.1666666666666657E-2</v>
      </c>
      <c r="D11547">
        <v>1</v>
      </c>
      <c r="E11547">
        <v>7.4</v>
      </c>
      <c r="F11547">
        <v>83</v>
      </c>
    </row>
    <row r="11548" spans="1:6" x14ac:dyDescent="0.35">
      <c r="A11548">
        <v>1975</v>
      </c>
      <c r="B11548" s="1">
        <v>46006</v>
      </c>
      <c r="C11548" s="2">
        <v>8.3333333333333329E-2</v>
      </c>
      <c r="D11548">
        <v>1</v>
      </c>
      <c r="E11548">
        <v>7.5</v>
      </c>
      <c r="F11548">
        <v>83</v>
      </c>
    </row>
    <row r="11549" spans="1:6" x14ac:dyDescent="0.35">
      <c r="A11549">
        <v>1975</v>
      </c>
      <c r="B11549" s="1">
        <v>46006</v>
      </c>
      <c r="C11549" s="2">
        <v>0.125</v>
      </c>
      <c r="D11549">
        <v>1</v>
      </c>
      <c r="E11549">
        <v>7.1</v>
      </c>
      <c r="F11549">
        <v>83</v>
      </c>
    </row>
    <row r="11550" spans="1:6" x14ac:dyDescent="0.35">
      <c r="A11550">
        <v>1975</v>
      </c>
      <c r="B11550" s="1">
        <v>46006</v>
      </c>
      <c r="C11550" s="2">
        <v>0.16666666666666671</v>
      </c>
      <c r="D11550">
        <v>1</v>
      </c>
      <c r="E11550">
        <v>6.1</v>
      </c>
      <c r="F11550">
        <v>87</v>
      </c>
    </row>
    <row r="11551" spans="1:6" x14ac:dyDescent="0.35">
      <c r="A11551">
        <v>1975</v>
      </c>
      <c r="B11551" s="1">
        <v>46006</v>
      </c>
      <c r="C11551" s="2">
        <v>0.20833333333333329</v>
      </c>
      <c r="D11551">
        <v>1</v>
      </c>
      <c r="E11551">
        <v>4.4000000000000004</v>
      </c>
      <c r="F11551">
        <v>93</v>
      </c>
    </row>
    <row r="11552" spans="1:6" x14ac:dyDescent="0.35">
      <c r="A11552">
        <v>1975</v>
      </c>
      <c r="B11552" s="1">
        <v>46006</v>
      </c>
      <c r="C11552" s="2">
        <v>0.25</v>
      </c>
      <c r="D11552">
        <v>1</v>
      </c>
      <c r="E11552">
        <v>3.4</v>
      </c>
      <c r="F11552">
        <v>97</v>
      </c>
    </row>
    <row r="11553" spans="1:6" x14ac:dyDescent="0.35">
      <c r="A11553">
        <v>1975</v>
      </c>
      <c r="B11553" s="1">
        <v>46006</v>
      </c>
      <c r="C11553" s="2">
        <v>0.29166666666666669</v>
      </c>
      <c r="D11553">
        <v>1</v>
      </c>
      <c r="E11553">
        <v>4.3</v>
      </c>
      <c r="F11553">
        <v>94</v>
      </c>
    </row>
    <row r="11554" spans="1:6" x14ac:dyDescent="0.35">
      <c r="A11554">
        <v>1975</v>
      </c>
      <c r="B11554" s="1">
        <v>46006</v>
      </c>
      <c r="C11554" s="2">
        <v>0.33333333333333331</v>
      </c>
      <c r="D11554">
        <v>1</v>
      </c>
      <c r="E11554">
        <v>3.7</v>
      </c>
      <c r="F11554">
        <v>96</v>
      </c>
    </row>
    <row r="11555" spans="1:6" x14ac:dyDescent="0.35">
      <c r="A11555">
        <v>1975</v>
      </c>
      <c r="B11555" s="1">
        <v>46006</v>
      </c>
      <c r="C11555" s="2">
        <v>0.375</v>
      </c>
      <c r="D11555">
        <v>1</v>
      </c>
      <c r="E11555">
        <v>5</v>
      </c>
      <c r="F11555">
        <v>92</v>
      </c>
    </row>
    <row r="11556" spans="1:6" x14ac:dyDescent="0.35">
      <c r="A11556">
        <v>1975</v>
      </c>
      <c r="B11556" s="1">
        <v>46006</v>
      </c>
      <c r="C11556" s="2">
        <v>0.41666666666666669</v>
      </c>
      <c r="D11556">
        <v>1</v>
      </c>
      <c r="E11556">
        <v>6.1</v>
      </c>
      <c r="F11556">
        <v>87</v>
      </c>
    </row>
    <row r="11557" spans="1:6" x14ac:dyDescent="0.35">
      <c r="A11557">
        <v>1975</v>
      </c>
      <c r="B11557" s="1">
        <v>46006</v>
      </c>
      <c r="C11557" s="2">
        <v>0.45833333333333331</v>
      </c>
      <c r="D11557">
        <v>1</v>
      </c>
      <c r="E11557">
        <v>7.4</v>
      </c>
      <c r="F11557">
        <v>80</v>
      </c>
    </row>
    <row r="11558" spans="1:6" x14ac:dyDescent="0.35">
      <c r="A11558">
        <v>1975</v>
      </c>
      <c r="B11558" s="1">
        <v>46006</v>
      </c>
      <c r="C11558" s="2">
        <v>0.5</v>
      </c>
      <c r="D11558">
        <v>1</v>
      </c>
      <c r="E11558">
        <v>8.5</v>
      </c>
      <c r="F11558">
        <v>74</v>
      </c>
    </row>
    <row r="11559" spans="1:6" x14ac:dyDescent="0.35">
      <c r="A11559">
        <v>1975</v>
      </c>
      <c r="B11559" s="1">
        <v>46006</v>
      </c>
      <c r="C11559" s="2">
        <v>0.54166666666666663</v>
      </c>
      <c r="D11559">
        <v>1</v>
      </c>
      <c r="E11559">
        <v>8.6</v>
      </c>
      <c r="F11559">
        <v>74</v>
      </c>
    </row>
    <row r="11560" spans="1:6" x14ac:dyDescent="0.35">
      <c r="A11560">
        <v>1975</v>
      </c>
      <c r="B11560" s="1">
        <v>46006</v>
      </c>
      <c r="C11560" s="2">
        <v>0.58333333333333337</v>
      </c>
      <c r="D11560">
        <v>1</v>
      </c>
      <c r="E11560">
        <v>8.4</v>
      </c>
      <c r="F11560">
        <v>73</v>
      </c>
    </row>
    <row r="11561" spans="1:6" x14ac:dyDescent="0.35">
      <c r="A11561">
        <v>1975</v>
      </c>
      <c r="B11561" s="1">
        <v>46006</v>
      </c>
      <c r="C11561" s="2">
        <v>0.625</v>
      </c>
      <c r="D11561">
        <v>1</v>
      </c>
      <c r="E11561">
        <v>7.4</v>
      </c>
      <c r="F11561">
        <v>77</v>
      </c>
    </row>
    <row r="11562" spans="1:6" x14ac:dyDescent="0.35">
      <c r="A11562">
        <v>1975</v>
      </c>
      <c r="B11562" s="1">
        <v>46006</v>
      </c>
      <c r="C11562" s="2">
        <v>0.66666666666666663</v>
      </c>
      <c r="D11562">
        <v>1</v>
      </c>
      <c r="E11562">
        <v>7</v>
      </c>
      <c r="F11562">
        <v>79</v>
      </c>
    </row>
    <row r="11563" spans="1:6" x14ac:dyDescent="0.35">
      <c r="A11563">
        <v>1975</v>
      </c>
      <c r="B11563" s="1">
        <v>46006</v>
      </c>
      <c r="C11563" s="2">
        <v>0.70833333333333337</v>
      </c>
      <c r="D11563">
        <v>1</v>
      </c>
      <c r="E11563">
        <v>6.4</v>
      </c>
      <c r="F11563">
        <v>82</v>
      </c>
    </row>
    <row r="11564" spans="1:6" x14ac:dyDescent="0.35">
      <c r="A11564">
        <v>1975</v>
      </c>
      <c r="B11564" s="1">
        <v>46006</v>
      </c>
      <c r="C11564" s="2">
        <v>0.75</v>
      </c>
      <c r="D11564">
        <v>1</v>
      </c>
      <c r="E11564">
        <v>5</v>
      </c>
      <c r="F11564">
        <v>86</v>
      </c>
    </row>
    <row r="11565" spans="1:6" x14ac:dyDescent="0.35">
      <c r="A11565">
        <v>1975</v>
      </c>
      <c r="B11565" s="1">
        <v>46006</v>
      </c>
      <c r="C11565" s="2">
        <v>0.79166666666666663</v>
      </c>
      <c r="D11565">
        <v>1</v>
      </c>
      <c r="E11565">
        <v>4.7</v>
      </c>
      <c r="F11565">
        <v>87</v>
      </c>
    </row>
    <row r="11566" spans="1:6" x14ac:dyDescent="0.35">
      <c r="A11566">
        <v>1975</v>
      </c>
      <c r="B11566" s="1">
        <v>46006</v>
      </c>
      <c r="C11566" s="2">
        <v>0.83333333333333337</v>
      </c>
      <c r="D11566">
        <v>1</v>
      </c>
      <c r="E11566">
        <v>4.4000000000000004</v>
      </c>
      <c r="F11566">
        <v>89</v>
      </c>
    </row>
    <row r="11567" spans="1:6" x14ac:dyDescent="0.35">
      <c r="A11567">
        <v>1975</v>
      </c>
      <c r="B11567" s="1">
        <v>46006</v>
      </c>
      <c r="C11567" s="2">
        <v>0.875</v>
      </c>
      <c r="D11567">
        <v>1</v>
      </c>
      <c r="E11567">
        <v>4.8</v>
      </c>
      <c r="F11567">
        <v>87</v>
      </c>
    </row>
    <row r="11568" spans="1:6" x14ac:dyDescent="0.35">
      <c r="A11568">
        <v>1975</v>
      </c>
      <c r="B11568" s="1">
        <v>46006</v>
      </c>
      <c r="C11568" s="2">
        <v>0.91666666666666663</v>
      </c>
      <c r="D11568">
        <v>1</v>
      </c>
      <c r="E11568">
        <v>3.6</v>
      </c>
      <c r="F11568">
        <v>92</v>
      </c>
    </row>
    <row r="11569" spans="1:6" x14ac:dyDescent="0.35">
      <c r="A11569">
        <v>1975</v>
      </c>
      <c r="B11569" s="1">
        <v>46006</v>
      </c>
      <c r="C11569" s="2">
        <v>0.95833333333333337</v>
      </c>
      <c r="D11569">
        <v>1</v>
      </c>
      <c r="E11569">
        <v>3.6</v>
      </c>
      <c r="F11569">
        <v>91</v>
      </c>
    </row>
    <row r="11570" spans="1:6" x14ac:dyDescent="0.35">
      <c r="A11570">
        <v>1975</v>
      </c>
      <c r="B11570" s="1">
        <v>46007</v>
      </c>
      <c r="C11570" s="2">
        <v>0</v>
      </c>
      <c r="D11570">
        <v>1</v>
      </c>
      <c r="E11570">
        <v>3.1</v>
      </c>
      <c r="F11570">
        <v>94</v>
      </c>
    </row>
    <row r="11571" spans="1:6" x14ac:dyDescent="0.35">
      <c r="A11571">
        <v>1975</v>
      </c>
      <c r="B11571" s="1">
        <v>46007</v>
      </c>
      <c r="C11571" s="2">
        <v>4.1666666666666657E-2</v>
      </c>
      <c r="D11571">
        <v>1</v>
      </c>
      <c r="E11571">
        <v>2.7</v>
      </c>
      <c r="F11571">
        <v>95</v>
      </c>
    </row>
    <row r="11572" spans="1:6" x14ac:dyDescent="0.35">
      <c r="A11572">
        <v>1975</v>
      </c>
      <c r="B11572" s="1">
        <v>46007</v>
      </c>
      <c r="C11572" s="2">
        <v>8.3333333333333329E-2</v>
      </c>
      <c r="D11572">
        <v>1</v>
      </c>
      <c r="E11572">
        <v>2.7</v>
      </c>
      <c r="F11572">
        <v>96</v>
      </c>
    </row>
    <row r="11573" spans="1:6" x14ac:dyDescent="0.35">
      <c r="A11573">
        <v>1975</v>
      </c>
      <c r="B11573" s="1">
        <v>46007</v>
      </c>
      <c r="C11573" s="2">
        <v>0.125</v>
      </c>
      <c r="D11573">
        <v>1</v>
      </c>
      <c r="E11573">
        <v>2.8</v>
      </c>
      <c r="F11573">
        <v>96</v>
      </c>
    </row>
    <row r="11574" spans="1:6" x14ac:dyDescent="0.35">
      <c r="A11574">
        <v>1975</v>
      </c>
      <c r="B11574" s="1">
        <v>46007</v>
      </c>
      <c r="C11574" s="2">
        <v>0.16666666666666671</v>
      </c>
      <c r="D11574">
        <v>1</v>
      </c>
      <c r="E11574">
        <v>2.8</v>
      </c>
      <c r="F11574">
        <v>96</v>
      </c>
    </row>
    <row r="11575" spans="1:6" x14ac:dyDescent="0.35">
      <c r="A11575">
        <v>1975</v>
      </c>
      <c r="B11575" s="1">
        <v>46007</v>
      </c>
      <c r="C11575" s="2">
        <v>0.20833333333333329</v>
      </c>
      <c r="D11575">
        <v>1</v>
      </c>
      <c r="E11575">
        <v>2.8</v>
      </c>
      <c r="F11575">
        <v>95</v>
      </c>
    </row>
    <row r="11576" spans="1:6" x14ac:dyDescent="0.35">
      <c r="A11576">
        <v>1975</v>
      </c>
      <c r="B11576" s="1">
        <v>46007</v>
      </c>
      <c r="C11576" s="2">
        <v>0.25</v>
      </c>
      <c r="D11576">
        <v>1</v>
      </c>
      <c r="E11576">
        <v>3</v>
      </c>
      <c r="F11576">
        <v>95</v>
      </c>
    </row>
    <row r="11577" spans="1:6" x14ac:dyDescent="0.35">
      <c r="A11577">
        <v>1975</v>
      </c>
      <c r="B11577" s="1">
        <v>46007</v>
      </c>
      <c r="C11577" s="2">
        <v>0.29166666666666669</v>
      </c>
      <c r="D11577">
        <v>1</v>
      </c>
      <c r="E11577">
        <v>3.3</v>
      </c>
      <c r="F11577">
        <v>94</v>
      </c>
    </row>
    <row r="11578" spans="1:6" x14ac:dyDescent="0.35">
      <c r="A11578">
        <v>1975</v>
      </c>
      <c r="B11578" s="1">
        <v>46007</v>
      </c>
      <c r="C11578" s="2">
        <v>0.33333333333333331</v>
      </c>
      <c r="D11578">
        <v>1</v>
      </c>
      <c r="E11578">
        <v>4</v>
      </c>
      <c r="F11578">
        <v>91</v>
      </c>
    </row>
    <row r="11579" spans="1:6" x14ac:dyDescent="0.35">
      <c r="A11579">
        <v>1975</v>
      </c>
      <c r="B11579" s="1">
        <v>46007</v>
      </c>
      <c r="C11579" s="2">
        <v>0.375</v>
      </c>
      <c r="D11579">
        <v>1</v>
      </c>
      <c r="E11579">
        <v>4.5999999999999996</v>
      </c>
      <c r="F11579">
        <v>87</v>
      </c>
    </row>
    <row r="11580" spans="1:6" x14ac:dyDescent="0.35">
      <c r="A11580">
        <v>1975</v>
      </c>
      <c r="B11580" s="1">
        <v>46007</v>
      </c>
      <c r="C11580" s="2">
        <v>0.41666666666666669</v>
      </c>
      <c r="D11580">
        <v>1</v>
      </c>
      <c r="E11580">
        <v>6.3</v>
      </c>
      <c r="F11580">
        <v>79</v>
      </c>
    </row>
    <row r="11581" spans="1:6" x14ac:dyDescent="0.35">
      <c r="A11581">
        <v>1975</v>
      </c>
      <c r="B11581" s="1">
        <v>46007</v>
      </c>
      <c r="C11581" s="2">
        <v>0.45833333333333331</v>
      </c>
      <c r="D11581">
        <v>1</v>
      </c>
      <c r="E11581">
        <v>7.5</v>
      </c>
      <c r="F11581">
        <v>74</v>
      </c>
    </row>
    <row r="11582" spans="1:6" x14ac:dyDescent="0.35">
      <c r="A11582">
        <v>1975</v>
      </c>
      <c r="B11582" s="1">
        <v>46007</v>
      </c>
      <c r="C11582" s="2">
        <v>0.5</v>
      </c>
      <c r="D11582">
        <v>1</v>
      </c>
      <c r="E11582">
        <v>8.4</v>
      </c>
      <c r="F11582">
        <v>69</v>
      </c>
    </row>
    <row r="11583" spans="1:6" x14ac:dyDescent="0.35">
      <c r="A11583">
        <v>1975</v>
      </c>
      <c r="B11583" s="1">
        <v>46007</v>
      </c>
      <c r="C11583" s="2">
        <v>0.54166666666666663</v>
      </c>
      <c r="D11583">
        <v>1</v>
      </c>
      <c r="E11583">
        <v>8.6</v>
      </c>
      <c r="F11583">
        <v>72</v>
      </c>
    </row>
    <row r="11584" spans="1:6" x14ac:dyDescent="0.35">
      <c r="A11584">
        <v>1975</v>
      </c>
      <c r="B11584" s="1">
        <v>46007</v>
      </c>
      <c r="C11584" s="2">
        <v>0.58333333333333337</v>
      </c>
      <c r="D11584">
        <v>1</v>
      </c>
      <c r="E11584">
        <v>8.8000000000000007</v>
      </c>
      <c r="F11584">
        <v>70</v>
      </c>
    </row>
    <row r="11585" spans="1:6" x14ac:dyDescent="0.35">
      <c r="A11585">
        <v>1975</v>
      </c>
      <c r="B11585" s="1">
        <v>46007</v>
      </c>
      <c r="C11585" s="2">
        <v>0.625</v>
      </c>
      <c r="D11585">
        <v>1</v>
      </c>
      <c r="E11585">
        <v>7.4</v>
      </c>
      <c r="F11585">
        <v>76</v>
      </c>
    </row>
    <row r="11586" spans="1:6" x14ac:dyDescent="0.35">
      <c r="A11586">
        <v>1975</v>
      </c>
      <c r="B11586" s="1">
        <v>46007</v>
      </c>
      <c r="C11586" s="2">
        <v>0.66666666666666663</v>
      </c>
      <c r="D11586">
        <v>1</v>
      </c>
      <c r="E11586">
        <v>6.9</v>
      </c>
      <c r="F11586">
        <v>81</v>
      </c>
    </row>
    <row r="11587" spans="1:6" x14ac:dyDescent="0.35">
      <c r="A11587">
        <v>1975</v>
      </c>
      <c r="B11587" s="1">
        <v>46007</v>
      </c>
      <c r="C11587" s="2">
        <v>0.70833333333333337</v>
      </c>
      <c r="D11587">
        <v>1</v>
      </c>
      <c r="E11587">
        <v>6.9</v>
      </c>
      <c r="F11587">
        <v>79</v>
      </c>
    </row>
    <row r="11588" spans="1:6" x14ac:dyDescent="0.35">
      <c r="A11588">
        <v>1975</v>
      </c>
      <c r="B11588" s="1">
        <v>46007</v>
      </c>
      <c r="C11588" s="2">
        <v>0.75</v>
      </c>
      <c r="D11588">
        <v>1</v>
      </c>
      <c r="E11588">
        <v>6.4</v>
      </c>
      <c r="F11588">
        <v>78</v>
      </c>
    </row>
    <row r="11589" spans="1:6" x14ac:dyDescent="0.35">
      <c r="A11589">
        <v>1975</v>
      </c>
      <c r="B11589" s="1">
        <v>46007</v>
      </c>
      <c r="C11589" s="2">
        <v>0.79166666666666663</v>
      </c>
      <c r="D11589">
        <v>1</v>
      </c>
      <c r="E11589">
        <v>6</v>
      </c>
      <c r="F11589">
        <v>80</v>
      </c>
    </row>
    <row r="11590" spans="1:6" x14ac:dyDescent="0.35">
      <c r="A11590">
        <v>1975</v>
      </c>
      <c r="B11590" s="1">
        <v>46007</v>
      </c>
      <c r="C11590" s="2">
        <v>0.83333333333333337</v>
      </c>
      <c r="D11590">
        <v>1</v>
      </c>
      <c r="E11590">
        <v>5.8</v>
      </c>
      <c r="F11590">
        <v>80</v>
      </c>
    </row>
    <row r="11591" spans="1:6" x14ac:dyDescent="0.35">
      <c r="A11591">
        <v>1975</v>
      </c>
      <c r="B11591" s="1">
        <v>46007</v>
      </c>
      <c r="C11591" s="2">
        <v>0.875</v>
      </c>
      <c r="D11591">
        <v>1</v>
      </c>
      <c r="E11591">
        <v>5.4</v>
      </c>
      <c r="F11591">
        <v>82</v>
      </c>
    </row>
    <row r="11592" spans="1:6" x14ac:dyDescent="0.35">
      <c r="A11592">
        <v>1975</v>
      </c>
      <c r="B11592" s="1">
        <v>46007</v>
      </c>
      <c r="C11592" s="2">
        <v>0.91666666666666663</v>
      </c>
      <c r="D11592">
        <v>1</v>
      </c>
      <c r="E11592">
        <v>5.2</v>
      </c>
      <c r="F11592">
        <v>84</v>
      </c>
    </row>
    <row r="11593" spans="1:6" x14ac:dyDescent="0.35">
      <c r="A11593">
        <v>1975</v>
      </c>
      <c r="B11593" s="1">
        <v>46007</v>
      </c>
      <c r="C11593" s="2">
        <v>0.95833333333333337</v>
      </c>
      <c r="D11593">
        <v>1</v>
      </c>
      <c r="E11593">
        <v>5.2</v>
      </c>
      <c r="F11593">
        <v>85</v>
      </c>
    </row>
    <row r="11594" spans="1:6" x14ac:dyDescent="0.35">
      <c r="A11594">
        <v>1975</v>
      </c>
      <c r="B11594" s="1">
        <v>46008</v>
      </c>
      <c r="C11594" s="2">
        <v>0</v>
      </c>
      <c r="D11594">
        <v>1</v>
      </c>
      <c r="E11594">
        <v>5.4</v>
      </c>
      <c r="F11594">
        <v>83</v>
      </c>
    </row>
    <row r="11595" spans="1:6" x14ac:dyDescent="0.35">
      <c r="A11595">
        <v>1975</v>
      </c>
      <c r="B11595" s="1">
        <v>46008</v>
      </c>
      <c r="C11595" s="2">
        <v>4.1666666666666657E-2</v>
      </c>
      <c r="D11595">
        <v>1</v>
      </c>
      <c r="E11595">
        <v>5.7</v>
      </c>
      <c r="F11595">
        <v>79</v>
      </c>
    </row>
    <row r="11596" spans="1:6" x14ac:dyDescent="0.35">
      <c r="A11596">
        <v>1975</v>
      </c>
      <c r="B11596" s="1">
        <v>46008</v>
      </c>
      <c r="C11596" s="2">
        <v>8.3333333333333329E-2</v>
      </c>
      <c r="D11596">
        <v>1</v>
      </c>
      <c r="E11596">
        <v>4.8</v>
      </c>
      <c r="F11596">
        <v>83</v>
      </c>
    </row>
    <row r="11597" spans="1:6" x14ac:dyDescent="0.35">
      <c r="A11597">
        <v>1975</v>
      </c>
      <c r="B11597" s="1">
        <v>46008</v>
      </c>
      <c r="C11597" s="2">
        <v>0.125</v>
      </c>
      <c r="D11597">
        <v>1</v>
      </c>
      <c r="E11597">
        <v>4.4000000000000004</v>
      </c>
      <c r="F11597">
        <v>84</v>
      </c>
    </row>
    <row r="11598" spans="1:6" x14ac:dyDescent="0.35">
      <c r="A11598">
        <v>1975</v>
      </c>
      <c r="B11598" s="1">
        <v>46008</v>
      </c>
      <c r="C11598" s="2">
        <v>0.16666666666666671</v>
      </c>
      <c r="D11598">
        <v>1</v>
      </c>
      <c r="E11598">
        <v>4.5999999999999996</v>
      </c>
      <c r="F11598">
        <v>83</v>
      </c>
    </row>
    <row r="11599" spans="1:6" x14ac:dyDescent="0.35">
      <c r="A11599">
        <v>1975</v>
      </c>
      <c r="B11599" s="1">
        <v>46008</v>
      </c>
      <c r="C11599" s="2">
        <v>0.20833333333333329</v>
      </c>
      <c r="D11599">
        <v>1</v>
      </c>
      <c r="E11599">
        <v>4.3</v>
      </c>
      <c r="F11599">
        <v>83</v>
      </c>
    </row>
    <row r="11600" spans="1:6" x14ac:dyDescent="0.35">
      <c r="A11600">
        <v>1975</v>
      </c>
      <c r="B11600" s="1">
        <v>46008</v>
      </c>
      <c r="C11600" s="2">
        <v>0.25</v>
      </c>
      <c r="D11600">
        <v>1</v>
      </c>
      <c r="E11600">
        <v>4</v>
      </c>
      <c r="F11600">
        <v>86</v>
      </c>
    </row>
    <row r="11601" spans="1:6" x14ac:dyDescent="0.35">
      <c r="A11601">
        <v>1975</v>
      </c>
      <c r="B11601" s="1">
        <v>46008</v>
      </c>
      <c r="C11601" s="2">
        <v>0.29166666666666669</v>
      </c>
      <c r="D11601">
        <v>1</v>
      </c>
      <c r="E11601">
        <v>3.4</v>
      </c>
      <c r="F11601">
        <v>88</v>
      </c>
    </row>
    <row r="11602" spans="1:6" x14ac:dyDescent="0.35">
      <c r="A11602">
        <v>1975</v>
      </c>
      <c r="B11602" s="1">
        <v>46008</v>
      </c>
      <c r="C11602" s="2">
        <v>0.33333333333333331</v>
      </c>
      <c r="D11602">
        <v>1</v>
      </c>
      <c r="E11602">
        <v>2.9</v>
      </c>
      <c r="F11602">
        <v>91</v>
      </c>
    </row>
    <row r="11603" spans="1:6" x14ac:dyDescent="0.35">
      <c r="A11603">
        <v>1975</v>
      </c>
      <c r="B11603" s="1">
        <v>46008</v>
      </c>
      <c r="C11603" s="2">
        <v>0.375</v>
      </c>
      <c r="D11603">
        <v>1</v>
      </c>
      <c r="E11603">
        <v>3.4</v>
      </c>
      <c r="F11603">
        <v>91</v>
      </c>
    </row>
    <row r="11604" spans="1:6" x14ac:dyDescent="0.35">
      <c r="A11604">
        <v>1975</v>
      </c>
      <c r="B11604" s="1">
        <v>46008</v>
      </c>
      <c r="C11604" s="2">
        <v>0.41666666666666669</v>
      </c>
      <c r="D11604">
        <v>1</v>
      </c>
      <c r="E11604">
        <v>6</v>
      </c>
      <c r="F11604">
        <v>80</v>
      </c>
    </row>
    <row r="11605" spans="1:6" x14ac:dyDescent="0.35">
      <c r="A11605">
        <v>1975</v>
      </c>
      <c r="B11605" s="1">
        <v>46008</v>
      </c>
      <c r="C11605" s="2">
        <v>0.45833333333333331</v>
      </c>
      <c r="D11605">
        <v>1</v>
      </c>
      <c r="E11605">
        <v>7.3</v>
      </c>
      <c r="F11605">
        <v>77</v>
      </c>
    </row>
    <row r="11606" spans="1:6" x14ac:dyDescent="0.35">
      <c r="A11606">
        <v>1975</v>
      </c>
      <c r="B11606" s="1">
        <v>46008</v>
      </c>
      <c r="C11606" s="2">
        <v>0.5</v>
      </c>
      <c r="D11606">
        <v>1</v>
      </c>
      <c r="E11606">
        <v>8.5</v>
      </c>
      <c r="F11606">
        <v>74</v>
      </c>
    </row>
    <row r="11607" spans="1:6" x14ac:dyDescent="0.35">
      <c r="A11607">
        <v>1975</v>
      </c>
      <c r="B11607" s="1">
        <v>46008</v>
      </c>
      <c r="C11607" s="2">
        <v>0.54166666666666663</v>
      </c>
      <c r="D11607">
        <v>1</v>
      </c>
      <c r="E11607">
        <v>8.9</v>
      </c>
      <c r="F11607">
        <v>77</v>
      </c>
    </row>
    <row r="11608" spans="1:6" x14ac:dyDescent="0.35">
      <c r="A11608">
        <v>1975</v>
      </c>
      <c r="B11608" s="1">
        <v>46008</v>
      </c>
      <c r="C11608" s="2">
        <v>0.58333333333333337</v>
      </c>
      <c r="D11608">
        <v>1</v>
      </c>
      <c r="E11608">
        <v>8.6999999999999993</v>
      </c>
      <c r="F11608">
        <v>80</v>
      </c>
    </row>
    <row r="11609" spans="1:6" x14ac:dyDescent="0.35">
      <c r="A11609">
        <v>1975</v>
      </c>
      <c r="B11609" s="1">
        <v>46008</v>
      </c>
      <c r="C11609" s="2">
        <v>0.625</v>
      </c>
      <c r="D11609">
        <v>1</v>
      </c>
      <c r="E11609">
        <v>8.1999999999999993</v>
      </c>
      <c r="F11609">
        <v>84</v>
      </c>
    </row>
    <row r="11610" spans="1:6" x14ac:dyDescent="0.35">
      <c r="A11610">
        <v>1975</v>
      </c>
      <c r="B11610" s="1">
        <v>46008</v>
      </c>
      <c r="C11610" s="2">
        <v>0.66666666666666663</v>
      </c>
      <c r="D11610">
        <v>1</v>
      </c>
      <c r="E11610">
        <v>8</v>
      </c>
      <c r="F11610">
        <v>86</v>
      </c>
    </row>
    <row r="11611" spans="1:6" x14ac:dyDescent="0.35">
      <c r="A11611">
        <v>1975</v>
      </c>
      <c r="B11611" s="1">
        <v>46008</v>
      </c>
      <c r="C11611" s="2">
        <v>0.70833333333333337</v>
      </c>
      <c r="D11611">
        <v>1</v>
      </c>
      <c r="E11611">
        <v>8.1</v>
      </c>
      <c r="F11611">
        <v>87</v>
      </c>
    </row>
    <row r="11612" spans="1:6" x14ac:dyDescent="0.35">
      <c r="A11612">
        <v>1975</v>
      </c>
      <c r="B11612" s="1">
        <v>46008</v>
      </c>
      <c r="C11612" s="2">
        <v>0.75</v>
      </c>
      <c r="D11612">
        <v>1</v>
      </c>
      <c r="E11612">
        <v>8.1999999999999993</v>
      </c>
      <c r="F11612">
        <v>90</v>
      </c>
    </row>
    <row r="11613" spans="1:6" x14ac:dyDescent="0.35">
      <c r="A11613">
        <v>1975</v>
      </c>
      <c r="B11613" s="1">
        <v>46008</v>
      </c>
      <c r="C11613" s="2">
        <v>0.79166666666666663</v>
      </c>
      <c r="D11613">
        <v>1</v>
      </c>
      <c r="E11613">
        <v>8.3000000000000007</v>
      </c>
      <c r="F11613">
        <v>93</v>
      </c>
    </row>
    <row r="11614" spans="1:6" x14ac:dyDescent="0.35">
      <c r="A11614">
        <v>1975</v>
      </c>
      <c r="B11614" s="1">
        <v>46008</v>
      </c>
      <c r="C11614" s="2">
        <v>0.83333333333333337</v>
      </c>
      <c r="D11614">
        <v>1</v>
      </c>
      <c r="E11614">
        <v>8.4</v>
      </c>
      <c r="F11614">
        <v>92</v>
      </c>
    </row>
    <row r="11615" spans="1:6" x14ac:dyDescent="0.35">
      <c r="A11615">
        <v>1975</v>
      </c>
      <c r="B11615" s="1">
        <v>46008</v>
      </c>
      <c r="C11615" s="2">
        <v>0.875</v>
      </c>
      <c r="D11615">
        <v>1</v>
      </c>
      <c r="E11615">
        <v>8.3000000000000007</v>
      </c>
      <c r="F11615">
        <v>92</v>
      </c>
    </row>
    <row r="11616" spans="1:6" x14ac:dyDescent="0.35">
      <c r="A11616">
        <v>1975</v>
      </c>
      <c r="B11616" s="1">
        <v>46008</v>
      </c>
      <c r="C11616" s="2">
        <v>0.91666666666666663</v>
      </c>
      <c r="D11616">
        <v>1</v>
      </c>
      <c r="E11616">
        <v>8.1</v>
      </c>
      <c r="F11616">
        <v>95</v>
      </c>
    </row>
    <row r="11617" spans="1:6" x14ac:dyDescent="0.35">
      <c r="A11617">
        <v>1975</v>
      </c>
      <c r="B11617" s="1">
        <v>46008</v>
      </c>
      <c r="C11617" s="2">
        <v>0.95833333333333337</v>
      </c>
      <c r="D11617">
        <v>1</v>
      </c>
      <c r="E11617">
        <v>8.1999999999999993</v>
      </c>
      <c r="F11617">
        <v>92</v>
      </c>
    </row>
    <row r="11618" spans="1:6" x14ac:dyDescent="0.35">
      <c r="A11618">
        <v>1975</v>
      </c>
      <c r="B11618" s="1">
        <v>46009</v>
      </c>
      <c r="C11618" s="2">
        <v>0</v>
      </c>
      <c r="D11618">
        <v>1</v>
      </c>
      <c r="E11618">
        <v>8.4</v>
      </c>
      <c r="F11618">
        <v>89</v>
      </c>
    </row>
    <row r="11619" spans="1:6" x14ac:dyDescent="0.35">
      <c r="A11619">
        <v>1975</v>
      </c>
      <c r="B11619" s="1">
        <v>46009</v>
      </c>
      <c r="C11619" s="2">
        <v>4.1666666666666657E-2</v>
      </c>
      <c r="D11619">
        <v>1</v>
      </c>
      <c r="E11619">
        <v>8.5</v>
      </c>
      <c r="F11619">
        <v>86</v>
      </c>
    </row>
    <row r="11620" spans="1:6" x14ac:dyDescent="0.35">
      <c r="A11620">
        <v>1975</v>
      </c>
      <c r="B11620" s="1">
        <v>46009</v>
      </c>
      <c r="C11620" s="2">
        <v>8.3333333333333329E-2</v>
      </c>
      <c r="D11620">
        <v>1</v>
      </c>
      <c r="E11620">
        <v>7.9</v>
      </c>
      <c r="F11620">
        <v>86</v>
      </c>
    </row>
    <row r="11621" spans="1:6" x14ac:dyDescent="0.35">
      <c r="A11621">
        <v>1975</v>
      </c>
      <c r="B11621" s="1">
        <v>46009</v>
      </c>
      <c r="C11621" s="2">
        <v>0.125</v>
      </c>
      <c r="D11621">
        <v>1</v>
      </c>
      <c r="E11621">
        <v>7.6</v>
      </c>
      <c r="F11621">
        <v>85</v>
      </c>
    </row>
    <row r="11622" spans="1:6" x14ac:dyDescent="0.35">
      <c r="A11622">
        <v>1975</v>
      </c>
      <c r="B11622" s="1">
        <v>46009</v>
      </c>
      <c r="C11622" s="2">
        <v>0.16666666666666671</v>
      </c>
      <c r="D11622">
        <v>1</v>
      </c>
      <c r="E11622">
        <v>6.7</v>
      </c>
      <c r="F11622">
        <v>88</v>
      </c>
    </row>
    <row r="11623" spans="1:6" x14ac:dyDescent="0.35">
      <c r="A11623">
        <v>1975</v>
      </c>
      <c r="B11623" s="1">
        <v>46009</v>
      </c>
      <c r="C11623" s="2">
        <v>0.20833333333333329</v>
      </c>
      <c r="D11623">
        <v>1</v>
      </c>
      <c r="E11623">
        <v>5.9</v>
      </c>
      <c r="F11623">
        <v>89</v>
      </c>
    </row>
    <row r="11624" spans="1:6" x14ac:dyDescent="0.35">
      <c r="A11624">
        <v>1975</v>
      </c>
      <c r="B11624" s="1">
        <v>46009</v>
      </c>
      <c r="C11624" s="2">
        <v>0.25</v>
      </c>
      <c r="D11624">
        <v>1</v>
      </c>
      <c r="E11624">
        <v>5.8</v>
      </c>
      <c r="F11624">
        <v>90</v>
      </c>
    </row>
    <row r="11625" spans="1:6" x14ac:dyDescent="0.35">
      <c r="A11625">
        <v>1975</v>
      </c>
      <c r="B11625" s="1">
        <v>46009</v>
      </c>
      <c r="C11625" s="2">
        <v>0.29166666666666669</v>
      </c>
      <c r="D11625">
        <v>1</v>
      </c>
      <c r="E11625">
        <v>5.5</v>
      </c>
      <c r="F11625">
        <v>91</v>
      </c>
    </row>
    <row r="11626" spans="1:6" x14ac:dyDescent="0.35">
      <c r="A11626">
        <v>1975</v>
      </c>
      <c r="B11626" s="1">
        <v>46009</v>
      </c>
      <c r="C11626" s="2">
        <v>0.33333333333333331</v>
      </c>
      <c r="D11626">
        <v>1</v>
      </c>
      <c r="E11626">
        <v>5.6</v>
      </c>
      <c r="F11626">
        <v>90</v>
      </c>
    </row>
    <row r="11627" spans="1:6" x14ac:dyDescent="0.35">
      <c r="A11627">
        <v>1975</v>
      </c>
      <c r="B11627" s="1">
        <v>46009</v>
      </c>
      <c r="C11627" s="2">
        <v>0.375</v>
      </c>
      <c r="D11627">
        <v>1</v>
      </c>
      <c r="E11627">
        <v>6.2</v>
      </c>
      <c r="F11627">
        <v>89</v>
      </c>
    </row>
    <row r="11628" spans="1:6" x14ac:dyDescent="0.35">
      <c r="A11628">
        <v>1975</v>
      </c>
      <c r="B11628" s="1">
        <v>46009</v>
      </c>
      <c r="C11628" s="2">
        <v>0.41666666666666669</v>
      </c>
      <c r="D11628">
        <v>1</v>
      </c>
      <c r="E11628">
        <v>7.5</v>
      </c>
      <c r="F11628">
        <v>83</v>
      </c>
    </row>
    <row r="11629" spans="1:6" x14ac:dyDescent="0.35">
      <c r="A11629">
        <v>1975</v>
      </c>
      <c r="B11629" s="1">
        <v>46009</v>
      </c>
      <c r="C11629" s="2">
        <v>0.45833333333333331</v>
      </c>
      <c r="D11629">
        <v>1</v>
      </c>
      <c r="E11629">
        <v>9.1999999999999993</v>
      </c>
      <c r="F11629">
        <v>75</v>
      </c>
    </row>
    <row r="11630" spans="1:6" x14ac:dyDescent="0.35">
      <c r="A11630">
        <v>1975</v>
      </c>
      <c r="B11630" s="1">
        <v>46009</v>
      </c>
      <c r="C11630" s="2">
        <v>0.5</v>
      </c>
      <c r="D11630">
        <v>1</v>
      </c>
      <c r="E11630">
        <v>9.6</v>
      </c>
      <c r="F11630">
        <v>75</v>
      </c>
    </row>
    <row r="11631" spans="1:6" x14ac:dyDescent="0.35">
      <c r="A11631">
        <v>1975</v>
      </c>
      <c r="B11631" s="1">
        <v>46009</v>
      </c>
      <c r="C11631" s="2">
        <v>0.54166666666666663</v>
      </c>
      <c r="D11631">
        <v>1</v>
      </c>
      <c r="E11631">
        <v>9.9</v>
      </c>
      <c r="F11631">
        <v>75</v>
      </c>
    </row>
    <row r="11632" spans="1:6" x14ac:dyDescent="0.35">
      <c r="A11632">
        <v>1975</v>
      </c>
      <c r="B11632" s="1">
        <v>46009</v>
      </c>
      <c r="C11632" s="2">
        <v>0.58333333333333337</v>
      </c>
      <c r="D11632">
        <v>1</v>
      </c>
      <c r="E11632">
        <v>10</v>
      </c>
      <c r="F11632">
        <v>75</v>
      </c>
    </row>
    <row r="11633" spans="1:6" x14ac:dyDescent="0.35">
      <c r="A11633">
        <v>1975</v>
      </c>
      <c r="B11633" s="1">
        <v>46009</v>
      </c>
      <c r="C11633" s="2">
        <v>0.625</v>
      </c>
      <c r="D11633">
        <v>1</v>
      </c>
      <c r="E11633">
        <v>10.199999999999999</v>
      </c>
      <c r="F11633">
        <v>74</v>
      </c>
    </row>
    <row r="11634" spans="1:6" x14ac:dyDescent="0.35">
      <c r="A11634">
        <v>1975</v>
      </c>
      <c r="B11634" s="1">
        <v>46009</v>
      </c>
      <c r="C11634" s="2">
        <v>0.66666666666666663</v>
      </c>
      <c r="D11634">
        <v>1</v>
      </c>
      <c r="E11634">
        <v>9.6999999999999993</v>
      </c>
      <c r="F11634">
        <v>76</v>
      </c>
    </row>
    <row r="11635" spans="1:6" x14ac:dyDescent="0.35">
      <c r="A11635">
        <v>1975</v>
      </c>
      <c r="B11635" s="1">
        <v>46009</v>
      </c>
      <c r="C11635" s="2">
        <v>0.70833333333333337</v>
      </c>
      <c r="D11635">
        <v>1</v>
      </c>
      <c r="E11635">
        <v>8.6</v>
      </c>
      <c r="F11635">
        <v>80</v>
      </c>
    </row>
    <row r="11636" spans="1:6" x14ac:dyDescent="0.35">
      <c r="A11636">
        <v>1975</v>
      </c>
      <c r="B11636" s="1">
        <v>46009</v>
      </c>
      <c r="C11636" s="2">
        <v>0.75</v>
      </c>
      <c r="D11636">
        <v>1</v>
      </c>
      <c r="E11636">
        <v>8.5</v>
      </c>
      <c r="F11636">
        <v>83</v>
      </c>
    </row>
    <row r="11637" spans="1:6" x14ac:dyDescent="0.35">
      <c r="A11637">
        <v>1975</v>
      </c>
      <c r="B11637" s="1">
        <v>46009</v>
      </c>
      <c r="C11637" s="2">
        <v>0.79166666666666663</v>
      </c>
      <c r="D11637">
        <v>1</v>
      </c>
      <c r="E11637">
        <v>8.1</v>
      </c>
      <c r="F11637">
        <v>83</v>
      </c>
    </row>
    <row r="11638" spans="1:6" x14ac:dyDescent="0.35">
      <c r="A11638">
        <v>1975</v>
      </c>
      <c r="B11638" s="1">
        <v>46009</v>
      </c>
      <c r="C11638" s="2">
        <v>0.83333333333333337</v>
      </c>
      <c r="D11638">
        <v>1</v>
      </c>
      <c r="E11638">
        <v>7.6</v>
      </c>
      <c r="F11638">
        <v>85</v>
      </c>
    </row>
    <row r="11639" spans="1:6" x14ac:dyDescent="0.35">
      <c r="A11639">
        <v>1975</v>
      </c>
      <c r="B11639" s="1">
        <v>46009</v>
      </c>
      <c r="C11639" s="2">
        <v>0.875</v>
      </c>
      <c r="D11639">
        <v>1</v>
      </c>
      <c r="E11639">
        <v>7.3</v>
      </c>
      <c r="F11639">
        <v>87</v>
      </c>
    </row>
    <row r="11640" spans="1:6" x14ac:dyDescent="0.35">
      <c r="A11640">
        <v>1975</v>
      </c>
      <c r="B11640" s="1">
        <v>46009</v>
      </c>
      <c r="C11640" s="2">
        <v>0.91666666666666663</v>
      </c>
      <c r="D11640">
        <v>1</v>
      </c>
      <c r="E11640">
        <v>7.3</v>
      </c>
      <c r="F11640">
        <v>88</v>
      </c>
    </row>
    <row r="11641" spans="1:6" x14ac:dyDescent="0.35">
      <c r="A11641">
        <v>1975</v>
      </c>
      <c r="B11641" s="1">
        <v>46009</v>
      </c>
      <c r="C11641" s="2">
        <v>0.95833333333333337</v>
      </c>
      <c r="D11641">
        <v>1</v>
      </c>
      <c r="E11641">
        <v>8.5</v>
      </c>
      <c r="F11641">
        <v>82</v>
      </c>
    </row>
    <row r="11642" spans="1:6" x14ac:dyDescent="0.35">
      <c r="A11642">
        <v>1975</v>
      </c>
      <c r="B11642" s="1">
        <v>46010</v>
      </c>
      <c r="C11642" s="2">
        <v>0</v>
      </c>
      <c r="D11642">
        <v>1</v>
      </c>
      <c r="E11642">
        <v>8.9</v>
      </c>
      <c r="F11642">
        <v>80</v>
      </c>
    </row>
    <row r="11643" spans="1:6" x14ac:dyDescent="0.35">
      <c r="A11643">
        <v>1975</v>
      </c>
      <c r="B11643" s="1">
        <v>46010</v>
      </c>
      <c r="C11643" s="2">
        <v>4.1666666666666657E-2</v>
      </c>
      <c r="D11643">
        <v>1</v>
      </c>
      <c r="E11643">
        <v>9.4</v>
      </c>
      <c r="F11643">
        <v>76</v>
      </c>
    </row>
    <row r="11644" spans="1:6" x14ac:dyDescent="0.35">
      <c r="A11644">
        <v>1975</v>
      </c>
      <c r="B11644" s="1">
        <v>46010</v>
      </c>
      <c r="C11644" s="2">
        <v>8.3333333333333329E-2</v>
      </c>
      <c r="D11644">
        <v>1</v>
      </c>
      <c r="E11644">
        <v>9.1999999999999993</v>
      </c>
      <c r="F11644">
        <v>76</v>
      </c>
    </row>
    <row r="11645" spans="1:6" x14ac:dyDescent="0.35">
      <c r="A11645">
        <v>1975</v>
      </c>
      <c r="B11645" s="1">
        <v>46010</v>
      </c>
      <c r="C11645" s="2">
        <v>0.125</v>
      </c>
      <c r="D11645">
        <v>1</v>
      </c>
      <c r="E11645">
        <v>9.5</v>
      </c>
      <c r="F11645">
        <v>75</v>
      </c>
    </row>
    <row r="11646" spans="1:6" x14ac:dyDescent="0.35">
      <c r="A11646">
        <v>1975</v>
      </c>
      <c r="B11646" s="1">
        <v>46010</v>
      </c>
      <c r="C11646" s="2">
        <v>0.16666666666666671</v>
      </c>
      <c r="D11646">
        <v>1</v>
      </c>
      <c r="E11646">
        <v>10.6</v>
      </c>
      <c r="F11646">
        <v>71</v>
      </c>
    </row>
    <row r="11647" spans="1:6" x14ac:dyDescent="0.35">
      <c r="A11647">
        <v>1975</v>
      </c>
      <c r="B11647" s="1">
        <v>46010</v>
      </c>
      <c r="C11647" s="2">
        <v>0.20833333333333329</v>
      </c>
      <c r="D11647">
        <v>1</v>
      </c>
      <c r="E11647">
        <v>11.2</v>
      </c>
      <c r="F11647">
        <v>71</v>
      </c>
    </row>
    <row r="11648" spans="1:6" x14ac:dyDescent="0.35">
      <c r="A11648">
        <v>1975</v>
      </c>
      <c r="B11648" s="1">
        <v>46010</v>
      </c>
      <c r="C11648" s="2">
        <v>0.25</v>
      </c>
      <c r="D11648">
        <v>1</v>
      </c>
      <c r="E11648">
        <v>11.3</v>
      </c>
      <c r="F11648">
        <v>71</v>
      </c>
    </row>
    <row r="11649" spans="1:6" x14ac:dyDescent="0.35">
      <c r="A11649">
        <v>1975</v>
      </c>
      <c r="B11649" s="1">
        <v>46010</v>
      </c>
      <c r="C11649" s="2">
        <v>0.29166666666666669</v>
      </c>
      <c r="D11649">
        <v>1</v>
      </c>
      <c r="E11649">
        <v>11.5</v>
      </c>
      <c r="F11649">
        <v>73</v>
      </c>
    </row>
    <row r="11650" spans="1:6" x14ac:dyDescent="0.35">
      <c r="A11650">
        <v>1975</v>
      </c>
      <c r="B11650" s="1">
        <v>46010</v>
      </c>
      <c r="C11650" s="2">
        <v>0.33333333333333331</v>
      </c>
      <c r="D11650">
        <v>1</v>
      </c>
      <c r="E11650">
        <v>11</v>
      </c>
      <c r="F11650">
        <v>79</v>
      </c>
    </row>
    <row r="11651" spans="1:6" x14ac:dyDescent="0.35">
      <c r="A11651">
        <v>1975</v>
      </c>
      <c r="B11651" s="1">
        <v>46010</v>
      </c>
      <c r="C11651" s="2">
        <v>0.375</v>
      </c>
      <c r="D11651">
        <v>1</v>
      </c>
      <c r="E11651">
        <v>10</v>
      </c>
      <c r="F11651">
        <v>90</v>
      </c>
    </row>
    <row r="11652" spans="1:6" x14ac:dyDescent="0.35">
      <c r="A11652">
        <v>1975</v>
      </c>
      <c r="B11652" s="1">
        <v>46010</v>
      </c>
      <c r="C11652" s="2">
        <v>0.41666666666666669</v>
      </c>
      <c r="D11652">
        <v>1</v>
      </c>
      <c r="E11652">
        <v>10.4</v>
      </c>
      <c r="F11652">
        <v>89</v>
      </c>
    </row>
    <row r="11653" spans="1:6" x14ac:dyDescent="0.35">
      <c r="A11653">
        <v>1975</v>
      </c>
      <c r="B11653" s="1">
        <v>46010</v>
      </c>
      <c r="C11653" s="2">
        <v>0.45833333333333331</v>
      </c>
      <c r="D11653">
        <v>1</v>
      </c>
      <c r="E11653">
        <v>11</v>
      </c>
      <c r="F11653">
        <v>81</v>
      </c>
    </row>
    <row r="11654" spans="1:6" x14ac:dyDescent="0.35">
      <c r="A11654">
        <v>1975</v>
      </c>
      <c r="B11654" s="1">
        <v>46010</v>
      </c>
      <c r="C11654" s="2">
        <v>0.5</v>
      </c>
      <c r="D11654">
        <v>1</v>
      </c>
      <c r="E11654">
        <v>11.3</v>
      </c>
      <c r="F11654">
        <v>80</v>
      </c>
    </row>
    <row r="11655" spans="1:6" x14ac:dyDescent="0.35">
      <c r="A11655">
        <v>1975</v>
      </c>
      <c r="B11655" s="1">
        <v>46010</v>
      </c>
      <c r="C11655" s="2">
        <v>0.54166666666666663</v>
      </c>
      <c r="D11655">
        <v>1</v>
      </c>
      <c r="E11655">
        <v>11.6</v>
      </c>
      <c r="F11655">
        <v>82</v>
      </c>
    </row>
    <row r="11656" spans="1:6" x14ac:dyDescent="0.35">
      <c r="A11656">
        <v>1975</v>
      </c>
      <c r="B11656" s="1">
        <v>46010</v>
      </c>
      <c r="C11656" s="2">
        <v>0.58333333333333337</v>
      </c>
      <c r="D11656">
        <v>1</v>
      </c>
      <c r="E11656">
        <v>11.4</v>
      </c>
      <c r="F11656">
        <v>86</v>
      </c>
    </row>
    <row r="11657" spans="1:6" x14ac:dyDescent="0.35">
      <c r="A11657">
        <v>1975</v>
      </c>
      <c r="B11657" s="1">
        <v>46010</v>
      </c>
      <c r="C11657" s="2">
        <v>0.625</v>
      </c>
      <c r="D11657">
        <v>1</v>
      </c>
      <c r="E11657">
        <v>10.8</v>
      </c>
      <c r="F11657">
        <v>94</v>
      </c>
    </row>
    <row r="11658" spans="1:6" x14ac:dyDescent="0.35">
      <c r="A11658">
        <v>1975</v>
      </c>
      <c r="B11658" s="1">
        <v>46010</v>
      </c>
      <c r="C11658" s="2">
        <v>0.66666666666666663</v>
      </c>
      <c r="D11658">
        <v>1</v>
      </c>
      <c r="E11658">
        <v>10.3</v>
      </c>
      <c r="F11658">
        <v>96</v>
      </c>
    </row>
    <row r="11659" spans="1:6" x14ac:dyDescent="0.35">
      <c r="A11659">
        <v>1975</v>
      </c>
      <c r="B11659" s="1">
        <v>46010</v>
      </c>
      <c r="C11659" s="2">
        <v>0.70833333333333337</v>
      </c>
      <c r="D11659">
        <v>1</v>
      </c>
      <c r="E11659">
        <v>9.8000000000000007</v>
      </c>
      <c r="F11659">
        <v>96</v>
      </c>
    </row>
    <row r="11660" spans="1:6" x14ac:dyDescent="0.35">
      <c r="A11660">
        <v>1975</v>
      </c>
      <c r="B11660" s="1">
        <v>46010</v>
      </c>
      <c r="C11660" s="2">
        <v>0.75</v>
      </c>
      <c r="D11660">
        <v>1</v>
      </c>
      <c r="E11660">
        <v>9.3000000000000007</v>
      </c>
      <c r="F11660">
        <v>96</v>
      </c>
    </row>
    <row r="11661" spans="1:6" x14ac:dyDescent="0.35">
      <c r="A11661">
        <v>1975</v>
      </c>
      <c r="B11661" s="1">
        <v>46010</v>
      </c>
      <c r="C11661" s="2">
        <v>0.79166666666666663</v>
      </c>
      <c r="D11661">
        <v>1</v>
      </c>
      <c r="E11661">
        <v>9</v>
      </c>
      <c r="F11661">
        <v>96</v>
      </c>
    </row>
    <row r="11662" spans="1:6" x14ac:dyDescent="0.35">
      <c r="A11662">
        <v>1975</v>
      </c>
      <c r="B11662" s="1">
        <v>46010</v>
      </c>
      <c r="C11662" s="2">
        <v>0.83333333333333337</v>
      </c>
      <c r="D11662">
        <v>1</v>
      </c>
      <c r="E11662">
        <v>8.1999999999999993</v>
      </c>
      <c r="F11662">
        <v>91</v>
      </c>
    </row>
    <row r="11663" spans="1:6" x14ac:dyDescent="0.35">
      <c r="A11663">
        <v>1975</v>
      </c>
      <c r="B11663" s="1">
        <v>46010</v>
      </c>
      <c r="C11663" s="2">
        <v>0.875</v>
      </c>
      <c r="D11663">
        <v>1</v>
      </c>
      <c r="E11663">
        <v>6.9</v>
      </c>
      <c r="F11663">
        <v>93</v>
      </c>
    </row>
    <row r="11664" spans="1:6" x14ac:dyDescent="0.35">
      <c r="A11664">
        <v>1975</v>
      </c>
      <c r="B11664" s="1">
        <v>46010</v>
      </c>
      <c r="C11664" s="2">
        <v>0.91666666666666663</v>
      </c>
      <c r="D11664">
        <v>1</v>
      </c>
      <c r="E11664">
        <v>5.5</v>
      </c>
      <c r="F11664">
        <v>95</v>
      </c>
    </row>
    <row r="11665" spans="1:6" x14ac:dyDescent="0.35">
      <c r="A11665">
        <v>1975</v>
      </c>
      <c r="B11665" s="1">
        <v>46010</v>
      </c>
      <c r="C11665" s="2">
        <v>0.95833333333333337</v>
      </c>
      <c r="D11665">
        <v>1</v>
      </c>
      <c r="E11665">
        <v>4.7</v>
      </c>
      <c r="F11665">
        <v>96</v>
      </c>
    </row>
    <row r="11666" spans="1:6" x14ac:dyDescent="0.35">
      <c r="A11666">
        <v>1975</v>
      </c>
      <c r="B11666" s="1">
        <v>46011</v>
      </c>
      <c r="C11666" s="2">
        <v>0</v>
      </c>
      <c r="D11666">
        <v>1</v>
      </c>
      <c r="E11666">
        <v>5.3</v>
      </c>
      <c r="F11666">
        <v>94</v>
      </c>
    </row>
    <row r="11667" spans="1:6" x14ac:dyDescent="0.35">
      <c r="A11667">
        <v>1975</v>
      </c>
      <c r="B11667" s="1">
        <v>46011</v>
      </c>
      <c r="C11667" s="2">
        <v>4.1666666666666657E-2</v>
      </c>
      <c r="D11667">
        <v>1</v>
      </c>
      <c r="E11667">
        <v>5</v>
      </c>
      <c r="F11667">
        <v>94</v>
      </c>
    </row>
    <row r="11668" spans="1:6" x14ac:dyDescent="0.35">
      <c r="A11668">
        <v>1975</v>
      </c>
      <c r="B11668" s="1">
        <v>46011</v>
      </c>
      <c r="C11668" s="2">
        <v>8.3333333333333329E-2</v>
      </c>
      <c r="D11668">
        <v>1</v>
      </c>
      <c r="E11668">
        <v>5.4</v>
      </c>
      <c r="F11668">
        <v>95</v>
      </c>
    </row>
    <row r="11669" spans="1:6" x14ac:dyDescent="0.35">
      <c r="A11669">
        <v>1975</v>
      </c>
      <c r="B11669" s="1">
        <v>46011</v>
      </c>
      <c r="C11669" s="2">
        <v>0.125</v>
      </c>
      <c r="D11669">
        <v>1</v>
      </c>
      <c r="E11669">
        <v>4.2</v>
      </c>
      <c r="F11669">
        <v>96</v>
      </c>
    </row>
    <row r="11670" spans="1:6" x14ac:dyDescent="0.35">
      <c r="A11670">
        <v>1975</v>
      </c>
      <c r="B11670" s="1">
        <v>46011</v>
      </c>
      <c r="C11670" s="2">
        <v>0.16666666666666671</v>
      </c>
      <c r="D11670">
        <v>1</v>
      </c>
      <c r="E11670">
        <v>4.3</v>
      </c>
      <c r="F11670">
        <v>100</v>
      </c>
    </row>
    <row r="11671" spans="1:6" x14ac:dyDescent="0.35">
      <c r="A11671">
        <v>1975</v>
      </c>
      <c r="B11671" s="1">
        <v>46011</v>
      </c>
      <c r="C11671" s="2">
        <v>0.20833333333333329</v>
      </c>
      <c r="D11671">
        <v>1</v>
      </c>
      <c r="E11671">
        <v>3.6</v>
      </c>
      <c r="F11671">
        <v>100</v>
      </c>
    </row>
    <row r="11672" spans="1:6" x14ac:dyDescent="0.35">
      <c r="A11672">
        <v>1975</v>
      </c>
      <c r="B11672" s="1">
        <v>46011</v>
      </c>
      <c r="C11672" s="2">
        <v>0.25</v>
      </c>
      <c r="D11672">
        <v>1</v>
      </c>
      <c r="E11672">
        <v>3.4</v>
      </c>
      <c r="F11672">
        <v>100</v>
      </c>
    </row>
    <row r="11673" spans="1:6" x14ac:dyDescent="0.35">
      <c r="A11673">
        <v>1975</v>
      </c>
      <c r="B11673" s="1">
        <v>46011</v>
      </c>
      <c r="C11673" s="2">
        <v>0.29166666666666669</v>
      </c>
      <c r="D11673">
        <v>1</v>
      </c>
      <c r="E11673">
        <v>2.5</v>
      </c>
      <c r="F11673">
        <v>100</v>
      </c>
    </row>
    <row r="11674" spans="1:6" x14ac:dyDescent="0.35">
      <c r="A11674">
        <v>1975</v>
      </c>
      <c r="B11674" s="1">
        <v>46011</v>
      </c>
      <c r="C11674" s="2">
        <v>0.33333333333333331</v>
      </c>
      <c r="D11674">
        <v>1</v>
      </c>
      <c r="E11674">
        <v>2.4</v>
      </c>
      <c r="F11674">
        <v>100</v>
      </c>
    </row>
    <row r="11675" spans="1:6" x14ac:dyDescent="0.35">
      <c r="A11675">
        <v>1975</v>
      </c>
      <c r="B11675" s="1">
        <v>46011</v>
      </c>
      <c r="C11675" s="2">
        <v>0.375</v>
      </c>
      <c r="D11675">
        <v>1</v>
      </c>
      <c r="E11675">
        <v>2.5</v>
      </c>
      <c r="F11675">
        <v>100</v>
      </c>
    </row>
    <row r="11676" spans="1:6" x14ac:dyDescent="0.35">
      <c r="A11676">
        <v>1975</v>
      </c>
      <c r="B11676" s="1">
        <v>46011</v>
      </c>
      <c r="C11676" s="2">
        <v>0.41666666666666669</v>
      </c>
      <c r="D11676">
        <v>1</v>
      </c>
      <c r="E11676">
        <v>3.1</v>
      </c>
      <c r="F11676">
        <v>100</v>
      </c>
    </row>
    <row r="11677" spans="1:6" x14ac:dyDescent="0.35">
      <c r="A11677">
        <v>1975</v>
      </c>
      <c r="B11677" s="1">
        <v>46011</v>
      </c>
      <c r="C11677" s="2">
        <v>0.45833333333333331</v>
      </c>
      <c r="D11677">
        <v>1</v>
      </c>
      <c r="E11677">
        <v>4</v>
      </c>
      <c r="F11677">
        <v>100</v>
      </c>
    </row>
    <row r="11678" spans="1:6" x14ac:dyDescent="0.35">
      <c r="A11678">
        <v>1975</v>
      </c>
      <c r="B11678" s="1">
        <v>46011</v>
      </c>
      <c r="C11678" s="2">
        <v>0.5</v>
      </c>
      <c r="D11678">
        <v>1</v>
      </c>
      <c r="E11678">
        <v>4.4000000000000004</v>
      </c>
      <c r="F11678">
        <v>100</v>
      </c>
    </row>
    <row r="11679" spans="1:6" x14ac:dyDescent="0.35">
      <c r="A11679">
        <v>1975</v>
      </c>
      <c r="B11679" s="1">
        <v>46011</v>
      </c>
      <c r="C11679" s="2">
        <v>0.54166666666666663</v>
      </c>
      <c r="D11679">
        <v>1</v>
      </c>
      <c r="E11679">
        <v>4.5</v>
      </c>
      <c r="F11679">
        <v>100</v>
      </c>
    </row>
    <row r="11680" spans="1:6" x14ac:dyDescent="0.35">
      <c r="A11680">
        <v>1975</v>
      </c>
      <c r="B11680" s="1">
        <v>46011</v>
      </c>
      <c r="C11680" s="2">
        <v>0.58333333333333337</v>
      </c>
      <c r="D11680">
        <v>1</v>
      </c>
      <c r="E11680">
        <v>4.2</v>
      </c>
      <c r="F11680">
        <v>100</v>
      </c>
    </row>
    <row r="11681" spans="1:6" x14ac:dyDescent="0.35">
      <c r="A11681">
        <v>1975</v>
      </c>
      <c r="B11681" s="1">
        <v>46011</v>
      </c>
      <c r="C11681" s="2">
        <v>0.625</v>
      </c>
      <c r="D11681">
        <v>1</v>
      </c>
      <c r="E11681">
        <v>3.7</v>
      </c>
      <c r="F11681">
        <v>100</v>
      </c>
    </row>
    <row r="11682" spans="1:6" x14ac:dyDescent="0.35">
      <c r="A11682">
        <v>1975</v>
      </c>
      <c r="B11682" s="1">
        <v>46011</v>
      </c>
      <c r="C11682" s="2">
        <v>0.66666666666666663</v>
      </c>
      <c r="D11682">
        <v>1</v>
      </c>
      <c r="E11682">
        <v>3.3</v>
      </c>
      <c r="F11682">
        <v>100</v>
      </c>
    </row>
    <row r="11683" spans="1:6" x14ac:dyDescent="0.35">
      <c r="A11683">
        <v>1975</v>
      </c>
      <c r="B11683" s="1">
        <v>46011</v>
      </c>
      <c r="C11683" s="2">
        <v>0.70833333333333337</v>
      </c>
      <c r="D11683">
        <v>1</v>
      </c>
      <c r="E11683">
        <v>3.3</v>
      </c>
      <c r="F11683">
        <v>100</v>
      </c>
    </row>
    <row r="11684" spans="1:6" x14ac:dyDescent="0.35">
      <c r="A11684">
        <v>1975</v>
      </c>
      <c r="B11684" s="1">
        <v>46011</v>
      </c>
      <c r="C11684" s="2">
        <v>0.75</v>
      </c>
      <c r="D11684">
        <v>1</v>
      </c>
      <c r="E11684">
        <v>3.3</v>
      </c>
      <c r="F11684">
        <v>100</v>
      </c>
    </row>
    <row r="11685" spans="1:6" x14ac:dyDescent="0.35">
      <c r="A11685">
        <v>1975</v>
      </c>
      <c r="B11685" s="1">
        <v>46011</v>
      </c>
      <c r="C11685" s="2">
        <v>0.79166666666666663</v>
      </c>
      <c r="D11685">
        <v>1</v>
      </c>
      <c r="E11685">
        <v>3.5</v>
      </c>
      <c r="F11685">
        <v>100</v>
      </c>
    </row>
    <row r="11686" spans="1:6" x14ac:dyDescent="0.35">
      <c r="A11686">
        <v>1975</v>
      </c>
      <c r="B11686" s="1">
        <v>46011</v>
      </c>
      <c r="C11686" s="2">
        <v>0.83333333333333337</v>
      </c>
      <c r="D11686">
        <v>1</v>
      </c>
      <c r="E11686">
        <v>3.4</v>
      </c>
      <c r="F11686">
        <v>100</v>
      </c>
    </row>
    <row r="11687" spans="1:6" x14ac:dyDescent="0.35">
      <c r="A11687">
        <v>1975</v>
      </c>
      <c r="B11687" s="1">
        <v>46011</v>
      </c>
      <c r="C11687" s="2">
        <v>0.875</v>
      </c>
      <c r="D11687">
        <v>1</v>
      </c>
      <c r="E11687">
        <v>3.6</v>
      </c>
      <c r="F11687">
        <v>100</v>
      </c>
    </row>
    <row r="11688" spans="1:6" x14ac:dyDescent="0.35">
      <c r="A11688">
        <v>1975</v>
      </c>
      <c r="B11688" s="1">
        <v>46011</v>
      </c>
      <c r="C11688" s="2">
        <v>0.91666666666666663</v>
      </c>
      <c r="D11688">
        <v>1</v>
      </c>
      <c r="E11688">
        <v>3.8</v>
      </c>
      <c r="F11688">
        <v>100</v>
      </c>
    </row>
    <row r="11689" spans="1:6" x14ac:dyDescent="0.35">
      <c r="A11689">
        <v>1975</v>
      </c>
      <c r="B11689" s="1">
        <v>46011</v>
      </c>
      <c r="C11689" s="2">
        <v>0.95833333333333337</v>
      </c>
      <c r="D11689">
        <v>1</v>
      </c>
      <c r="E11689">
        <v>4.0999999999999996</v>
      </c>
      <c r="F11689">
        <v>98</v>
      </c>
    </row>
    <row r="11690" spans="1:6" x14ac:dyDescent="0.35">
      <c r="A11690">
        <v>1975</v>
      </c>
      <c r="B11690" s="1">
        <v>46012</v>
      </c>
      <c r="C11690" s="2">
        <v>0</v>
      </c>
      <c r="D11690">
        <v>1</v>
      </c>
      <c r="E11690">
        <v>4.2</v>
      </c>
      <c r="F11690">
        <v>97</v>
      </c>
    </row>
    <row r="11691" spans="1:6" x14ac:dyDescent="0.35">
      <c r="A11691">
        <v>1975</v>
      </c>
      <c r="B11691" s="1">
        <v>46012</v>
      </c>
      <c r="C11691" s="2">
        <v>4.1666666666666657E-2</v>
      </c>
      <c r="D11691">
        <v>1</v>
      </c>
      <c r="E11691">
        <v>4.4000000000000004</v>
      </c>
      <c r="F11691">
        <v>97</v>
      </c>
    </row>
    <row r="11692" spans="1:6" x14ac:dyDescent="0.35">
      <c r="A11692">
        <v>1975</v>
      </c>
      <c r="B11692" s="1">
        <v>46012</v>
      </c>
      <c r="C11692" s="2">
        <v>8.3333333333333329E-2</v>
      </c>
      <c r="D11692">
        <v>1</v>
      </c>
      <c r="E11692">
        <v>4.7</v>
      </c>
      <c r="F11692">
        <v>96</v>
      </c>
    </row>
    <row r="11693" spans="1:6" x14ac:dyDescent="0.35">
      <c r="A11693">
        <v>1975</v>
      </c>
      <c r="B11693" s="1">
        <v>46012</v>
      </c>
      <c r="C11693" s="2">
        <v>0.125</v>
      </c>
      <c r="D11693">
        <v>1</v>
      </c>
      <c r="E11693">
        <v>4.5999999999999996</v>
      </c>
      <c r="F11693">
        <v>97</v>
      </c>
    </row>
    <row r="11694" spans="1:6" x14ac:dyDescent="0.35">
      <c r="A11694">
        <v>1975</v>
      </c>
      <c r="B11694" s="1">
        <v>46012</v>
      </c>
      <c r="C11694" s="2">
        <v>0.16666666666666671</v>
      </c>
      <c r="D11694">
        <v>1</v>
      </c>
      <c r="E11694">
        <v>4.7</v>
      </c>
      <c r="F11694">
        <v>94</v>
      </c>
    </row>
    <row r="11695" spans="1:6" x14ac:dyDescent="0.35">
      <c r="A11695">
        <v>1975</v>
      </c>
      <c r="B11695" s="1">
        <v>46012</v>
      </c>
      <c r="C11695" s="2">
        <v>0.20833333333333329</v>
      </c>
      <c r="D11695">
        <v>1</v>
      </c>
      <c r="E11695">
        <v>4.8</v>
      </c>
      <c r="F11695">
        <v>95</v>
      </c>
    </row>
    <row r="11696" spans="1:6" x14ac:dyDescent="0.35">
      <c r="A11696">
        <v>1975</v>
      </c>
      <c r="B11696" s="1">
        <v>46012</v>
      </c>
      <c r="C11696" s="2">
        <v>0.25</v>
      </c>
      <c r="D11696">
        <v>1</v>
      </c>
      <c r="E11696">
        <v>5</v>
      </c>
      <c r="F11696">
        <v>96</v>
      </c>
    </row>
    <row r="11697" spans="1:6" x14ac:dyDescent="0.35">
      <c r="A11697">
        <v>1975</v>
      </c>
      <c r="B11697" s="1">
        <v>46012</v>
      </c>
      <c r="C11697" s="2">
        <v>0.29166666666666669</v>
      </c>
      <c r="D11697">
        <v>1</v>
      </c>
      <c r="E11697">
        <v>5.0999999999999996</v>
      </c>
      <c r="F11697">
        <v>97</v>
      </c>
    </row>
    <row r="11698" spans="1:6" x14ac:dyDescent="0.35">
      <c r="A11698">
        <v>1975</v>
      </c>
      <c r="B11698" s="1">
        <v>46012</v>
      </c>
      <c r="C11698" s="2">
        <v>0.33333333333333331</v>
      </c>
      <c r="D11698">
        <v>1</v>
      </c>
      <c r="E11698">
        <v>5.3</v>
      </c>
      <c r="F11698">
        <v>97</v>
      </c>
    </row>
    <row r="11699" spans="1:6" x14ac:dyDescent="0.35">
      <c r="A11699">
        <v>1975</v>
      </c>
      <c r="B11699" s="1">
        <v>46012</v>
      </c>
      <c r="C11699" s="2">
        <v>0.375</v>
      </c>
      <c r="D11699">
        <v>1</v>
      </c>
      <c r="E11699">
        <v>5.4</v>
      </c>
      <c r="F11699">
        <v>97</v>
      </c>
    </row>
    <row r="11700" spans="1:6" x14ac:dyDescent="0.35">
      <c r="A11700">
        <v>1975</v>
      </c>
      <c r="B11700" s="1">
        <v>46012</v>
      </c>
      <c r="C11700" s="2">
        <v>0.41666666666666669</v>
      </c>
      <c r="D11700">
        <v>1</v>
      </c>
      <c r="E11700">
        <v>5.7</v>
      </c>
      <c r="F11700">
        <v>97</v>
      </c>
    </row>
    <row r="11701" spans="1:6" x14ac:dyDescent="0.35">
      <c r="A11701">
        <v>1975</v>
      </c>
      <c r="B11701" s="1">
        <v>46012</v>
      </c>
      <c r="C11701" s="2">
        <v>0.45833333333333331</v>
      </c>
      <c r="D11701">
        <v>1</v>
      </c>
      <c r="E11701">
        <v>6.2</v>
      </c>
      <c r="F11701">
        <v>95</v>
      </c>
    </row>
    <row r="11702" spans="1:6" x14ac:dyDescent="0.35">
      <c r="A11702">
        <v>1975</v>
      </c>
      <c r="B11702" s="1">
        <v>46012</v>
      </c>
      <c r="C11702" s="2">
        <v>0.5</v>
      </c>
      <c r="D11702">
        <v>1</v>
      </c>
      <c r="E11702">
        <v>6.3</v>
      </c>
      <c r="F11702">
        <v>96</v>
      </c>
    </row>
    <row r="11703" spans="1:6" x14ac:dyDescent="0.35">
      <c r="A11703">
        <v>1975</v>
      </c>
      <c r="B11703" s="1">
        <v>46012</v>
      </c>
      <c r="C11703" s="2">
        <v>0.54166666666666663</v>
      </c>
      <c r="D11703">
        <v>1</v>
      </c>
      <c r="E11703">
        <v>6.5</v>
      </c>
      <c r="F11703">
        <v>95</v>
      </c>
    </row>
    <row r="11704" spans="1:6" x14ac:dyDescent="0.35">
      <c r="A11704">
        <v>1975</v>
      </c>
      <c r="B11704" s="1">
        <v>46012</v>
      </c>
      <c r="C11704" s="2">
        <v>0.58333333333333337</v>
      </c>
      <c r="D11704">
        <v>1</v>
      </c>
      <c r="E11704">
        <v>6.5</v>
      </c>
      <c r="F11704">
        <v>94</v>
      </c>
    </row>
    <row r="11705" spans="1:6" x14ac:dyDescent="0.35">
      <c r="A11705">
        <v>1975</v>
      </c>
      <c r="B11705" s="1">
        <v>46012</v>
      </c>
      <c r="C11705" s="2">
        <v>0.625</v>
      </c>
      <c r="D11705">
        <v>1</v>
      </c>
      <c r="E11705">
        <v>6.4</v>
      </c>
      <c r="F11705">
        <v>95</v>
      </c>
    </row>
    <row r="11706" spans="1:6" x14ac:dyDescent="0.35">
      <c r="A11706">
        <v>1975</v>
      </c>
      <c r="B11706" s="1">
        <v>46012</v>
      </c>
      <c r="C11706" s="2">
        <v>0.66666666666666663</v>
      </c>
      <c r="D11706">
        <v>1</v>
      </c>
      <c r="E11706">
        <v>6.2</v>
      </c>
      <c r="F11706">
        <v>95</v>
      </c>
    </row>
    <row r="11707" spans="1:6" x14ac:dyDescent="0.35">
      <c r="A11707">
        <v>1975</v>
      </c>
      <c r="B11707" s="1">
        <v>46012</v>
      </c>
      <c r="C11707" s="2">
        <v>0.70833333333333337</v>
      </c>
      <c r="D11707">
        <v>1</v>
      </c>
      <c r="E11707">
        <v>5.9</v>
      </c>
      <c r="F11707">
        <v>96</v>
      </c>
    </row>
    <row r="11708" spans="1:6" x14ac:dyDescent="0.35">
      <c r="A11708">
        <v>1975</v>
      </c>
      <c r="B11708" s="1">
        <v>46012</v>
      </c>
      <c r="C11708" s="2">
        <v>0.75</v>
      </c>
      <c r="D11708">
        <v>1</v>
      </c>
      <c r="E11708">
        <v>5.5</v>
      </c>
      <c r="F11708">
        <v>97</v>
      </c>
    </row>
    <row r="11709" spans="1:6" x14ac:dyDescent="0.35">
      <c r="A11709">
        <v>1975</v>
      </c>
      <c r="B11709" s="1">
        <v>46012</v>
      </c>
      <c r="C11709" s="2">
        <v>0.79166666666666663</v>
      </c>
      <c r="D11709">
        <v>1</v>
      </c>
      <c r="E11709">
        <v>5.3</v>
      </c>
      <c r="F11709">
        <v>98</v>
      </c>
    </row>
    <row r="11710" spans="1:6" x14ac:dyDescent="0.35">
      <c r="A11710">
        <v>1975</v>
      </c>
      <c r="B11710" s="1">
        <v>46012</v>
      </c>
      <c r="C11710" s="2">
        <v>0.83333333333333337</v>
      </c>
      <c r="D11710">
        <v>1</v>
      </c>
      <c r="E11710">
        <v>5.2</v>
      </c>
      <c r="F11710">
        <v>98</v>
      </c>
    </row>
    <row r="11711" spans="1:6" x14ac:dyDescent="0.35">
      <c r="A11711">
        <v>1975</v>
      </c>
      <c r="B11711" s="1">
        <v>46012</v>
      </c>
      <c r="C11711" s="2">
        <v>0.875</v>
      </c>
      <c r="D11711">
        <v>1</v>
      </c>
      <c r="E11711">
        <v>5.0999999999999996</v>
      </c>
      <c r="F11711">
        <v>99</v>
      </c>
    </row>
    <row r="11712" spans="1:6" x14ac:dyDescent="0.35">
      <c r="A11712">
        <v>1975</v>
      </c>
      <c r="B11712" s="1">
        <v>46012</v>
      </c>
      <c r="C11712" s="2">
        <v>0.91666666666666663</v>
      </c>
      <c r="D11712">
        <v>1</v>
      </c>
      <c r="E11712">
        <v>5</v>
      </c>
      <c r="F11712">
        <v>99</v>
      </c>
    </row>
    <row r="11713" spans="1:6" x14ac:dyDescent="0.35">
      <c r="A11713">
        <v>1975</v>
      </c>
      <c r="B11713" s="1">
        <v>46012</v>
      </c>
      <c r="C11713" s="2">
        <v>0.95833333333333337</v>
      </c>
      <c r="D11713">
        <v>1</v>
      </c>
      <c r="E11713">
        <v>4.7</v>
      </c>
      <c r="F11713">
        <v>99</v>
      </c>
    </row>
    <row r="11714" spans="1:6" x14ac:dyDescent="0.35">
      <c r="A11714">
        <v>1975</v>
      </c>
      <c r="B11714" s="1">
        <v>46013</v>
      </c>
      <c r="C11714" s="2">
        <v>0</v>
      </c>
      <c r="D11714">
        <v>1</v>
      </c>
      <c r="E11714">
        <v>4.7</v>
      </c>
      <c r="F11714">
        <v>99</v>
      </c>
    </row>
    <row r="11715" spans="1:6" x14ac:dyDescent="0.35">
      <c r="A11715">
        <v>1975</v>
      </c>
      <c r="B11715" s="1">
        <v>46013</v>
      </c>
      <c r="C11715" s="2">
        <v>4.1666666666666657E-2</v>
      </c>
      <c r="D11715">
        <v>1</v>
      </c>
      <c r="E11715">
        <v>4.7</v>
      </c>
      <c r="F11715">
        <v>98</v>
      </c>
    </row>
    <row r="11716" spans="1:6" x14ac:dyDescent="0.35">
      <c r="A11716">
        <v>1975</v>
      </c>
      <c r="B11716" s="1">
        <v>46013</v>
      </c>
      <c r="C11716" s="2">
        <v>8.3333333333333329E-2</v>
      </c>
      <c r="D11716">
        <v>1</v>
      </c>
      <c r="E11716">
        <v>4.5999999999999996</v>
      </c>
      <c r="F11716">
        <v>99</v>
      </c>
    </row>
    <row r="11717" spans="1:6" x14ac:dyDescent="0.35">
      <c r="A11717">
        <v>1975</v>
      </c>
      <c r="B11717" s="1">
        <v>46013</v>
      </c>
      <c r="C11717" s="2">
        <v>0.125</v>
      </c>
      <c r="D11717">
        <v>1</v>
      </c>
      <c r="E11717">
        <v>4.5</v>
      </c>
      <c r="F11717">
        <v>98</v>
      </c>
    </row>
    <row r="11718" spans="1:6" x14ac:dyDescent="0.35">
      <c r="A11718">
        <v>1975</v>
      </c>
      <c r="B11718" s="1">
        <v>46013</v>
      </c>
      <c r="C11718" s="2">
        <v>0.16666666666666671</v>
      </c>
      <c r="D11718">
        <v>1</v>
      </c>
      <c r="E11718">
        <v>4.4000000000000004</v>
      </c>
      <c r="F11718">
        <v>100</v>
      </c>
    </row>
    <row r="11719" spans="1:6" x14ac:dyDescent="0.35">
      <c r="A11719">
        <v>1975</v>
      </c>
      <c r="B11719" s="1">
        <v>46013</v>
      </c>
      <c r="C11719" s="2">
        <v>0.20833333333333329</v>
      </c>
      <c r="D11719">
        <v>1</v>
      </c>
      <c r="E11719">
        <v>4.2</v>
      </c>
      <c r="F11719">
        <v>99</v>
      </c>
    </row>
    <row r="11720" spans="1:6" x14ac:dyDescent="0.35">
      <c r="A11720">
        <v>1975</v>
      </c>
      <c r="B11720" s="1">
        <v>46013</v>
      </c>
      <c r="C11720" s="2">
        <v>0.25</v>
      </c>
      <c r="D11720">
        <v>1</v>
      </c>
      <c r="E11720">
        <v>4.0999999999999996</v>
      </c>
      <c r="F11720">
        <v>99</v>
      </c>
    </row>
    <row r="11721" spans="1:6" x14ac:dyDescent="0.35">
      <c r="A11721">
        <v>1975</v>
      </c>
      <c r="B11721" s="1">
        <v>46013</v>
      </c>
      <c r="C11721" s="2">
        <v>0.29166666666666669</v>
      </c>
      <c r="D11721">
        <v>1</v>
      </c>
      <c r="E11721">
        <v>4.0999999999999996</v>
      </c>
      <c r="F11721">
        <v>98</v>
      </c>
    </row>
    <row r="11722" spans="1:6" x14ac:dyDescent="0.35">
      <c r="A11722">
        <v>1975</v>
      </c>
      <c r="B11722" s="1">
        <v>46013</v>
      </c>
      <c r="C11722" s="2">
        <v>0.33333333333333331</v>
      </c>
      <c r="D11722">
        <v>1</v>
      </c>
      <c r="E11722">
        <v>4.0999999999999996</v>
      </c>
      <c r="F11722">
        <v>99</v>
      </c>
    </row>
    <row r="11723" spans="1:6" x14ac:dyDescent="0.35">
      <c r="A11723">
        <v>1975</v>
      </c>
      <c r="B11723" s="1">
        <v>46013</v>
      </c>
      <c r="C11723" s="2">
        <v>0.375</v>
      </c>
      <c r="D11723">
        <v>1</v>
      </c>
      <c r="E11723">
        <v>3.9</v>
      </c>
      <c r="F11723">
        <v>98</v>
      </c>
    </row>
    <row r="11724" spans="1:6" x14ac:dyDescent="0.35">
      <c r="A11724">
        <v>1975</v>
      </c>
      <c r="B11724" s="1">
        <v>46013</v>
      </c>
      <c r="C11724" s="2">
        <v>0.41666666666666669</v>
      </c>
      <c r="D11724">
        <v>1</v>
      </c>
      <c r="E11724">
        <v>3.7</v>
      </c>
      <c r="F11724">
        <v>96</v>
      </c>
    </row>
    <row r="11725" spans="1:6" x14ac:dyDescent="0.35">
      <c r="A11725">
        <v>1975</v>
      </c>
      <c r="B11725" s="1">
        <v>46013</v>
      </c>
      <c r="C11725" s="2">
        <v>0.45833333333333331</v>
      </c>
      <c r="D11725">
        <v>1</v>
      </c>
      <c r="E11725">
        <v>3.6</v>
      </c>
      <c r="F11725">
        <v>96</v>
      </c>
    </row>
    <row r="11726" spans="1:6" x14ac:dyDescent="0.35">
      <c r="A11726">
        <v>1975</v>
      </c>
      <c r="B11726" s="1">
        <v>46013</v>
      </c>
      <c r="C11726" s="2">
        <v>0.5</v>
      </c>
      <c r="D11726">
        <v>1</v>
      </c>
      <c r="E11726">
        <v>3.2</v>
      </c>
      <c r="F11726">
        <v>97</v>
      </c>
    </row>
    <row r="11727" spans="1:6" x14ac:dyDescent="0.35">
      <c r="A11727">
        <v>1975</v>
      </c>
      <c r="B11727" s="1">
        <v>46013</v>
      </c>
      <c r="C11727" s="2">
        <v>0.54166666666666663</v>
      </c>
      <c r="D11727">
        <v>1</v>
      </c>
      <c r="E11727">
        <v>3.2</v>
      </c>
      <c r="F11727">
        <v>96</v>
      </c>
    </row>
    <row r="11728" spans="1:6" x14ac:dyDescent="0.35">
      <c r="A11728">
        <v>1975</v>
      </c>
      <c r="B11728" s="1">
        <v>46013</v>
      </c>
      <c r="C11728" s="2">
        <v>0.58333333333333337</v>
      </c>
      <c r="D11728">
        <v>1</v>
      </c>
      <c r="E11728">
        <v>2.9</v>
      </c>
      <c r="F11728">
        <v>96</v>
      </c>
    </row>
    <row r="11729" spans="1:6" x14ac:dyDescent="0.35">
      <c r="A11729">
        <v>1975</v>
      </c>
      <c r="B11729" s="1">
        <v>46013</v>
      </c>
      <c r="C11729" s="2">
        <v>0.625</v>
      </c>
      <c r="D11729">
        <v>1</v>
      </c>
      <c r="E11729">
        <v>2.8</v>
      </c>
      <c r="F11729">
        <v>97</v>
      </c>
    </row>
    <row r="11730" spans="1:6" x14ac:dyDescent="0.35">
      <c r="A11730">
        <v>1975</v>
      </c>
      <c r="B11730" s="1">
        <v>46013</v>
      </c>
      <c r="C11730" s="2">
        <v>0.66666666666666663</v>
      </c>
      <c r="D11730">
        <v>1</v>
      </c>
      <c r="E11730">
        <v>2.8</v>
      </c>
      <c r="F11730">
        <v>96</v>
      </c>
    </row>
    <row r="11731" spans="1:6" x14ac:dyDescent="0.35">
      <c r="A11731">
        <v>1975</v>
      </c>
      <c r="B11731" s="1">
        <v>46013</v>
      </c>
      <c r="C11731" s="2">
        <v>0.70833333333333337</v>
      </c>
      <c r="D11731">
        <v>1</v>
      </c>
      <c r="E11731">
        <v>2.5</v>
      </c>
      <c r="F11731">
        <v>97</v>
      </c>
    </row>
    <row r="11732" spans="1:6" x14ac:dyDescent="0.35">
      <c r="A11732">
        <v>1975</v>
      </c>
      <c r="B11732" s="1">
        <v>46013</v>
      </c>
      <c r="C11732" s="2">
        <v>0.75</v>
      </c>
      <c r="D11732">
        <v>1</v>
      </c>
      <c r="E11732">
        <v>2</v>
      </c>
      <c r="F11732">
        <v>98</v>
      </c>
    </row>
    <row r="11733" spans="1:6" x14ac:dyDescent="0.35">
      <c r="A11733">
        <v>1975</v>
      </c>
      <c r="B11733" s="1">
        <v>46013</v>
      </c>
      <c r="C11733" s="2">
        <v>0.79166666666666663</v>
      </c>
      <c r="D11733">
        <v>1</v>
      </c>
      <c r="E11733">
        <v>2.1</v>
      </c>
      <c r="F11733">
        <v>96</v>
      </c>
    </row>
    <row r="11734" spans="1:6" x14ac:dyDescent="0.35">
      <c r="A11734">
        <v>1975</v>
      </c>
      <c r="B11734" s="1">
        <v>46013</v>
      </c>
      <c r="C11734" s="2">
        <v>0.83333333333333337</v>
      </c>
      <c r="D11734">
        <v>1</v>
      </c>
      <c r="E11734">
        <v>2</v>
      </c>
      <c r="F11734">
        <v>98</v>
      </c>
    </row>
    <row r="11735" spans="1:6" x14ac:dyDescent="0.35">
      <c r="A11735">
        <v>1975</v>
      </c>
      <c r="B11735" s="1">
        <v>46013</v>
      </c>
      <c r="C11735" s="2">
        <v>0.875</v>
      </c>
      <c r="D11735">
        <v>1</v>
      </c>
      <c r="E11735">
        <v>1.9</v>
      </c>
      <c r="F11735">
        <v>97</v>
      </c>
    </row>
    <row r="11736" spans="1:6" x14ac:dyDescent="0.35">
      <c r="A11736">
        <v>1975</v>
      </c>
      <c r="B11736" s="1">
        <v>46013</v>
      </c>
      <c r="C11736" s="2">
        <v>0.91666666666666663</v>
      </c>
      <c r="D11736">
        <v>1</v>
      </c>
      <c r="E11736">
        <v>1.6</v>
      </c>
      <c r="F11736">
        <v>97</v>
      </c>
    </row>
    <row r="11737" spans="1:6" x14ac:dyDescent="0.35">
      <c r="A11737">
        <v>1975</v>
      </c>
      <c r="B11737" s="1">
        <v>46013</v>
      </c>
      <c r="C11737" s="2">
        <v>0.95833333333333337</v>
      </c>
      <c r="D11737">
        <v>1</v>
      </c>
      <c r="E11737">
        <v>1.7</v>
      </c>
      <c r="F11737">
        <v>97</v>
      </c>
    </row>
    <row r="11738" spans="1:6" x14ac:dyDescent="0.35">
      <c r="A11738">
        <v>1975</v>
      </c>
      <c r="B11738" s="1">
        <v>46014</v>
      </c>
      <c r="C11738" s="2">
        <v>0</v>
      </c>
      <c r="D11738">
        <v>1</v>
      </c>
      <c r="E11738">
        <v>1.5</v>
      </c>
      <c r="F11738">
        <v>97</v>
      </c>
    </row>
    <row r="11739" spans="1:6" x14ac:dyDescent="0.35">
      <c r="A11739">
        <v>1975</v>
      </c>
      <c r="B11739" s="1">
        <v>46014</v>
      </c>
      <c r="C11739" s="2">
        <v>4.1666666666666657E-2</v>
      </c>
      <c r="D11739">
        <v>1</v>
      </c>
      <c r="E11739">
        <v>1.4</v>
      </c>
      <c r="F11739">
        <v>97</v>
      </c>
    </row>
    <row r="11740" spans="1:6" x14ac:dyDescent="0.35">
      <c r="A11740">
        <v>1975</v>
      </c>
      <c r="B11740" s="1">
        <v>46014</v>
      </c>
      <c r="C11740" s="2">
        <v>8.3333333333333329E-2</v>
      </c>
      <c r="D11740">
        <v>1</v>
      </c>
      <c r="E11740">
        <v>1.4</v>
      </c>
      <c r="F11740">
        <v>96</v>
      </c>
    </row>
    <row r="11741" spans="1:6" x14ac:dyDescent="0.35">
      <c r="A11741">
        <v>1975</v>
      </c>
      <c r="B11741" s="1">
        <v>46014</v>
      </c>
      <c r="C11741" s="2">
        <v>0.125</v>
      </c>
      <c r="D11741">
        <v>1</v>
      </c>
      <c r="E11741">
        <v>1.2</v>
      </c>
      <c r="F11741">
        <v>96</v>
      </c>
    </row>
    <row r="11742" spans="1:6" x14ac:dyDescent="0.35">
      <c r="A11742">
        <v>1975</v>
      </c>
      <c r="B11742" s="1">
        <v>46014</v>
      </c>
      <c r="C11742" s="2">
        <v>0.16666666666666671</v>
      </c>
      <c r="D11742">
        <v>1</v>
      </c>
      <c r="E11742">
        <v>0.8</v>
      </c>
      <c r="F11742">
        <v>93</v>
      </c>
    </row>
    <row r="11743" spans="1:6" x14ac:dyDescent="0.35">
      <c r="A11743">
        <v>1975</v>
      </c>
      <c r="B11743" s="1">
        <v>46014</v>
      </c>
      <c r="C11743" s="2">
        <v>0.20833333333333329</v>
      </c>
      <c r="D11743">
        <v>1</v>
      </c>
      <c r="E11743">
        <v>0.8</v>
      </c>
      <c r="F11743">
        <v>92</v>
      </c>
    </row>
    <row r="11744" spans="1:6" x14ac:dyDescent="0.35">
      <c r="A11744">
        <v>1975</v>
      </c>
      <c r="B11744" s="1">
        <v>46014</v>
      </c>
      <c r="C11744" s="2">
        <v>0.25</v>
      </c>
      <c r="D11744">
        <v>1</v>
      </c>
      <c r="E11744">
        <v>0.9</v>
      </c>
      <c r="F11744">
        <v>92</v>
      </c>
    </row>
    <row r="11745" spans="1:6" x14ac:dyDescent="0.35">
      <c r="A11745">
        <v>1975</v>
      </c>
      <c r="B11745" s="1">
        <v>46014</v>
      </c>
      <c r="C11745" s="2">
        <v>0.29166666666666669</v>
      </c>
      <c r="D11745">
        <v>1</v>
      </c>
      <c r="E11745">
        <v>1.1000000000000001</v>
      </c>
      <c r="F11745">
        <v>90</v>
      </c>
    </row>
    <row r="11746" spans="1:6" x14ac:dyDescent="0.35">
      <c r="A11746">
        <v>1975</v>
      </c>
      <c r="B11746" s="1">
        <v>46014</v>
      </c>
      <c r="C11746" s="2">
        <v>0.33333333333333331</v>
      </c>
      <c r="D11746">
        <v>1</v>
      </c>
      <c r="E11746">
        <v>1.3</v>
      </c>
      <c r="F11746">
        <v>91</v>
      </c>
    </row>
    <row r="11747" spans="1:6" x14ac:dyDescent="0.35">
      <c r="A11747">
        <v>1975</v>
      </c>
      <c r="B11747" s="1">
        <v>46014</v>
      </c>
      <c r="C11747" s="2">
        <v>0.375</v>
      </c>
      <c r="D11747">
        <v>1</v>
      </c>
      <c r="E11747">
        <v>1.7</v>
      </c>
      <c r="F11747">
        <v>86</v>
      </c>
    </row>
    <row r="11748" spans="1:6" x14ac:dyDescent="0.35">
      <c r="A11748">
        <v>1975</v>
      </c>
      <c r="B11748" s="1">
        <v>46014</v>
      </c>
      <c r="C11748" s="2">
        <v>0.41666666666666669</v>
      </c>
      <c r="D11748">
        <v>1</v>
      </c>
      <c r="E11748">
        <v>1.9</v>
      </c>
      <c r="F11748">
        <v>76</v>
      </c>
    </row>
    <row r="11749" spans="1:6" x14ac:dyDescent="0.35">
      <c r="A11749">
        <v>1975</v>
      </c>
      <c r="B11749" s="1">
        <v>46014</v>
      </c>
      <c r="C11749" s="2">
        <v>0.45833333333333331</v>
      </c>
      <c r="D11749">
        <v>1</v>
      </c>
      <c r="E11749">
        <v>2.1</v>
      </c>
      <c r="F11749">
        <v>76</v>
      </c>
    </row>
    <row r="11750" spans="1:6" x14ac:dyDescent="0.35">
      <c r="A11750">
        <v>1975</v>
      </c>
      <c r="B11750" s="1">
        <v>46014</v>
      </c>
      <c r="C11750" s="2">
        <v>0.5</v>
      </c>
      <c r="D11750">
        <v>1</v>
      </c>
      <c r="E11750">
        <v>2.5</v>
      </c>
      <c r="F11750">
        <v>73</v>
      </c>
    </row>
    <row r="11751" spans="1:6" x14ac:dyDescent="0.35">
      <c r="A11751">
        <v>1975</v>
      </c>
      <c r="B11751" s="1">
        <v>46014</v>
      </c>
      <c r="C11751" s="2">
        <v>0.54166666666666663</v>
      </c>
      <c r="D11751">
        <v>1</v>
      </c>
      <c r="E11751">
        <v>2.5</v>
      </c>
      <c r="F11751">
        <v>71</v>
      </c>
    </row>
    <row r="11752" spans="1:6" x14ac:dyDescent="0.35">
      <c r="A11752">
        <v>1975</v>
      </c>
      <c r="B11752" s="1">
        <v>46014</v>
      </c>
      <c r="C11752" s="2">
        <v>0.58333333333333337</v>
      </c>
      <c r="D11752">
        <v>1</v>
      </c>
      <c r="E11752">
        <v>3</v>
      </c>
      <c r="F11752">
        <v>69</v>
      </c>
    </row>
    <row r="11753" spans="1:6" x14ac:dyDescent="0.35">
      <c r="A11753">
        <v>1975</v>
      </c>
      <c r="B11753" s="1">
        <v>46014</v>
      </c>
      <c r="C11753" s="2">
        <v>0.625</v>
      </c>
      <c r="D11753">
        <v>1</v>
      </c>
      <c r="E11753">
        <v>1.8</v>
      </c>
      <c r="F11753">
        <v>74</v>
      </c>
    </row>
    <row r="11754" spans="1:6" x14ac:dyDescent="0.35">
      <c r="A11754">
        <v>1975</v>
      </c>
      <c r="B11754" s="1">
        <v>46014</v>
      </c>
      <c r="C11754" s="2">
        <v>0.66666666666666663</v>
      </c>
      <c r="D11754">
        <v>1</v>
      </c>
      <c r="E11754">
        <v>1.7</v>
      </c>
      <c r="F11754">
        <v>77</v>
      </c>
    </row>
    <row r="11755" spans="1:6" x14ac:dyDescent="0.35">
      <c r="A11755">
        <v>1975</v>
      </c>
      <c r="B11755" s="1">
        <v>46014</v>
      </c>
      <c r="C11755" s="2">
        <v>0.70833333333333337</v>
      </c>
      <c r="D11755">
        <v>1</v>
      </c>
      <c r="E11755">
        <v>1.7</v>
      </c>
      <c r="F11755">
        <v>77</v>
      </c>
    </row>
    <row r="11756" spans="1:6" x14ac:dyDescent="0.35">
      <c r="A11756">
        <v>1975</v>
      </c>
      <c r="B11756" s="1">
        <v>46014</v>
      </c>
      <c r="C11756" s="2">
        <v>0.75</v>
      </c>
      <c r="D11756">
        <v>1</v>
      </c>
      <c r="E11756">
        <v>2.1</v>
      </c>
      <c r="F11756">
        <v>80</v>
      </c>
    </row>
    <row r="11757" spans="1:6" x14ac:dyDescent="0.35">
      <c r="A11757">
        <v>1975</v>
      </c>
      <c r="B11757" s="1">
        <v>46014</v>
      </c>
      <c r="C11757" s="2">
        <v>0.79166666666666663</v>
      </c>
      <c r="D11757">
        <v>1</v>
      </c>
      <c r="E11757">
        <v>1.2</v>
      </c>
      <c r="F11757">
        <v>85</v>
      </c>
    </row>
    <row r="11758" spans="1:6" x14ac:dyDescent="0.35">
      <c r="A11758">
        <v>1975</v>
      </c>
      <c r="B11758" s="1">
        <v>46014</v>
      </c>
      <c r="C11758" s="2">
        <v>0.83333333333333337</v>
      </c>
      <c r="D11758">
        <v>1</v>
      </c>
      <c r="E11758">
        <v>0.9</v>
      </c>
      <c r="F11758">
        <v>90</v>
      </c>
    </row>
    <row r="11759" spans="1:6" x14ac:dyDescent="0.35">
      <c r="A11759">
        <v>1975</v>
      </c>
      <c r="B11759" s="1">
        <v>46014</v>
      </c>
      <c r="C11759" s="2">
        <v>0.875</v>
      </c>
      <c r="D11759">
        <v>1</v>
      </c>
      <c r="E11759">
        <v>1</v>
      </c>
      <c r="F11759">
        <v>92</v>
      </c>
    </row>
    <row r="11760" spans="1:6" x14ac:dyDescent="0.35">
      <c r="A11760">
        <v>1975</v>
      </c>
      <c r="B11760" s="1">
        <v>46014</v>
      </c>
      <c r="C11760" s="2">
        <v>0.91666666666666663</v>
      </c>
      <c r="D11760">
        <v>1</v>
      </c>
      <c r="E11760">
        <v>0.6</v>
      </c>
      <c r="F11760">
        <v>93</v>
      </c>
    </row>
    <row r="11761" spans="1:6" x14ac:dyDescent="0.35">
      <c r="A11761">
        <v>1975</v>
      </c>
      <c r="B11761" s="1">
        <v>46014</v>
      </c>
      <c r="C11761" s="2">
        <v>0.95833333333333337</v>
      </c>
      <c r="D11761">
        <v>1</v>
      </c>
      <c r="E11761">
        <v>0.3</v>
      </c>
      <c r="F11761">
        <v>91</v>
      </c>
    </row>
    <row r="11762" spans="1:6" x14ac:dyDescent="0.35">
      <c r="A11762">
        <v>1975</v>
      </c>
      <c r="B11762" s="1">
        <v>46015</v>
      </c>
      <c r="C11762" s="2">
        <v>0</v>
      </c>
      <c r="D11762">
        <v>1</v>
      </c>
      <c r="E11762">
        <v>0.7</v>
      </c>
      <c r="F11762">
        <v>90</v>
      </c>
    </row>
    <row r="11763" spans="1:6" x14ac:dyDescent="0.35">
      <c r="A11763">
        <v>1975</v>
      </c>
      <c r="B11763" s="1">
        <v>46015</v>
      </c>
      <c r="C11763" s="2">
        <v>4.1666666666666657E-2</v>
      </c>
      <c r="D11763">
        <v>1</v>
      </c>
      <c r="E11763">
        <v>0.9</v>
      </c>
      <c r="F11763">
        <v>89</v>
      </c>
    </row>
    <row r="11764" spans="1:6" x14ac:dyDescent="0.35">
      <c r="A11764">
        <v>1975</v>
      </c>
      <c r="B11764" s="1">
        <v>46015</v>
      </c>
      <c r="C11764" s="2">
        <v>8.3333333333333329E-2</v>
      </c>
      <c r="D11764">
        <v>1</v>
      </c>
      <c r="E11764">
        <v>1</v>
      </c>
      <c r="F11764">
        <v>82</v>
      </c>
    </row>
    <row r="11765" spans="1:6" x14ac:dyDescent="0.35">
      <c r="A11765">
        <v>1975</v>
      </c>
      <c r="B11765" s="1">
        <v>46015</v>
      </c>
      <c r="C11765" s="2">
        <v>0.125</v>
      </c>
      <c r="D11765">
        <v>1</v>
      </c>
      <c r="E11765">
        <v>1.1000000000000001</v>
      </c>
      <c r="F11765">
        <v>77</v>
      </c>
    </row>
    <row r="11766" spans="1:6" x14ac:dyDescent="0.35">
      <c r="A11766">
        <v>1975</v>
      </c>
      <c r="B11766" s="1">
        <v>46015</v>
      </c>
      <c r="C11766" s="2">
        <v>0.16666666666666671</v>
      </c>
      <c r="D11766">
        <v>1</v>
      </c>
      <c r="E11766">
        <v>1.1000000000000001</v>
      </c>
      <c r="F11766">
        <v>74</v>
      </c>
    </row>
    <row r="11767" spans="1:6" x14ac:dyDescent="0.35">
      <c r="A11767">
        <v>1975</v>
      </c>
      <c r="B11767" s="1">
        <v>46015</v>
      </c>
      <c r="C11767" s="2">
        <v>0.20833333333333329</v>
      </c>
      <c r="D11767">
        <v>1</v>
      </c>
      <c r="E11767">
        <v>0.5</v>
      </c>
      <c r="F11767">
        <v>74</v>
      </c>
    </row>
    <row r="11768" spans="1:6" x14ac:dyDescent="0.35">
      <c r="A11768">
        <v>1975</v>
      </c>
      <c r="B11768" s="1">
        <v>46015</v>
      </c>
      <c r="C11768" s="2">
        <v>0.25</v>
      </c>
      <c r="D11768">
        <v>1</v>
      </c>
      <c r="E11768">
        <v>0.5</v>
      </c>
      <c r="F11768">
        <v>76</v>
      </c>
    </row>
    <row r="11769" spans="1:6" x14ac:dyDescent="0.35">
      <c r="A11769">
        <v>1975</v>
      </c>
      <c r="B11769" s="1">
        <v>46015</v>
      </c>
      <c r="C11769" s="2">
        <v>0.29166666666666669</v>
      </c>
      <c r="D11769">
        <v>1</v>
      </c>
      <c r="E11769">
        <v>0.7</v>
      </c>
      <c r="F11769">
        <v>72</v>
      </c>
    </row>
    <row r="11770" spans="1:6" x14ac:dyDescent="0.35">
      <c r="A11770">
        <v>1975</v>
      </c>
      <c r="B11770" s="1">
        <v>46015</v>
      </c>
      <c r="C11770" s="2">
        <v>0.33333333333333331</v>
      </c>
      <c r="D11770">
        <v>1</v>
      </c>
      <c r="E11770">
        <v>0.2</v>
      </c>
      <c r="F11770">
        <v>75</v>
      </c>
    </row>
    <row r="11771" spans="1:6" x14ac:dyDescent="0.35">
      <c r="A11771">
        <v>1975</v>
      </c>
      <c r="B11771" s="1">
        <v>46015</v>
      </c>
      <c r="C11771" s="2">
        <v>0.375</v>
      </c>
      <c r="D11771">
        <v>1</v>
      </c>
      <c r="E11771">
        <v>0.9</v>
      </c>
      <c r="F11771">
        <v>72</v>
      </c>
    </row>
    <row r="11772" spans="1:6" x14ac:dyDescent="0.35">
      <c r="A11772">
        <v>1975</v>
      </c>
      <c r="B11772" s="1">
        <v>46015</v>
      </c>
      <c r="C11772" s="2">
        <v>0.41666666666666669</v>
      </c>
      <c r="D11772">
        <v>1</v>
      </c>
      <c r="E11772">
        <v>1.7</v>
      </c>
      <c r="F11772">
        <v>69</v>
      </c>
    </row>
    <row r="11773" spans="1:6" x14ac:dyDescent="0.35">
      <c r="A11773">
        <v>1975</v>
      </c>
      <c r="B11773" s="1">
        <v>46015</v>
      </c>
      <c r="C11773" s="2">
        <v>0.45833333333333331</v>
      </c>
      <c r="D11773">
        <v>1</v>
      </c>
      <c r="E11773">
        <v>2.1</v>
      </c>
      <c r="F11773">
        <v>69</v>
      </c>
    </row>
    <row r="11774" spans="1:6" x14ac:dyDescent="0.35">
      <c r="A11774">
        <v>1975</v>
      </c>
      <c r="B11774" s="1">
        <v>46015</v>
      </c>
      <c r="C11774" s="2">
        <v>0.5</v>
      </c>
      <c r="D11774">
        <v>1</v>
      </c>
      <c r="E11774">
        <v>2.6</v>
      </c>
      <c r="F11774">
        <v>69</v>
      </c>
    </row>
    <row r="11775" spans="1:6" x14ac:dyDescent="0.35">
      <c r="A11775">
        <v>1975</v>
      </c>
      <c r="B11775" s="1">
        <v>46015</v>
      </c>
      <c r="C11775" s="2">
        <v>0.54166666666666663</v>
      </c>
      <c r="D11775">
        <v>1</v>
      </c>
      <c r="E11775">
        <v>2.5</v>
      </c>
      <c r="F11775">
        <v>67</v>
      </c>
    </row>
    <row r="11776" spans="1:6" x14ac:dyDescent="0.35">
      <c r="A11776">
        <v>1975</v>
      </c>
      <c r="B11776" s="1">
        <v>46015</v>
      </c>
      <c r="C11776" s="2">
        <v>0.58333333333333337</v>
      </c>
      <c r="D11776">
        <v>1</v>
      </c>
      <c r="E11776">
        <v>1.7</v>
      </c>
      <c r="F11776">
        <v>70</v>
      </c>
    </row>
    <row r="11777" spans="1:6" x14ac:dyDescent="0.35">
      <c r="A11777">
        <v>1975</v>
      </c>
      <c r="B11777" s="1">
        <v>46015</v>
      </c>
      <c r="C11777" s="2">
        <v>0.625</v>
      </c>
      <c r="D11777">
        <v>1</v>
      </c>
      <c r="E11777">
        <v>0.8</v>
      </c>
      <c r="F11777">
        <v>73</v>
      </c>
    </row>
    <row r="11778" spans="1:6" x14ac:dyDescent="0.35">
      <c r="A11778">
        <v>1975</v>
      </c>
      <c r="B11778" s="1">
        <v>46015</v>
      </c>
      <c r="C11778" s="2">
        <v>0.66666666666666663</v>
      </c>
      <c r="D11778">
        <v>1</v>
      </c>
      <c r="E11778">
        <v>-0.2</v>
      </c>
      <c r="F11778">
        <v>76</v>
      </c>
    </row>
    <row r="11779" spans="1:6" x14ac:dyDescent="0.35">
      <c r="A11779">
        <v>1975</v>
      </c>
      <c r="B11779" s="1">
        <v>46015</v>
      </c>
      <c r="C11779" s="2">
        <v>0.70833333333333337</v>
      </c>
      <c r="D11779">
        <v>1</v>
      </c>
      <c r="E11779">
        <v>-0.6</v>
      </c>
      <c r="F11779">
        <v>76</v>
      </c>
    </row>
    <row r="11780" spans="1:6" x14ac:dyDescent="0.35">
      <c r="A11780">
        <v>1975</v>
      </c>
      <c r="B11780" s="1">
        <v>46015</v>
      </c>
      <c r="C11780" s="2">
        <v>0.75</v>
      </c>
      <c r="D11780">
        <v>1</v>
      </c>
      <c r="E11780">
        <v>-1.2</v>
      </c>
      <c r="F11780">
        <v>77</v>
      </c>
    </row>
    <row r="11781" spans="1:6" x14ac:dyDescent="0.35">
      <c r="A11781">
        <v>1975</v>
      </c>
      <c r="B11781" s="1">
        <v>46015</v>
      </c>
      <c r="C11781" s="2">
        <v>0.79166666666666663</v>
      </c>
      <c r="D11781">
        <v>1</v>
      </c>
      <c r="E11781">
        <v>-1.8</v>
      </c>
      <c r="F11781">
        <v>74</v>
      </c>
    </row>
    <row r="11782" spans="1:6" x14ac:dyDescent="0.35">
      <c r="A11782">
        <v>1975</v>
      </c>
      <c r="B11782" s="1">
        <v>46015</v>
      </c>
      <c r="C11782" s="2">
        <v>0.83333333333333337</v>
      </c>
      <c r="D11782">
        <v>1</v>
      </c>
      <c r="E11782">
        <v>-2.2000000000000002</v>
      </c>
      <c r="F11782">
        <v>78</v>
      </c>
    </row>
    <row r="11783" spans="1:6" x14ac:dyDescent="0.35">
      <c r="A11783">
        <v>1975</v>
      </c>
      <c r="B11783" s="1">
        <v>46015</v>
      </c>
      <c r="C11783" s="2">
        <v>0.875</v>
      </c>
      <c r="D11783">
        <v>1</v>
      </c>
      <c r="E11783">
        <v>-2.4</v>
      </c>
      <c r="F11783">
        <v>80</v>
      </c>
    </row>
    <row r="11784" spans="1:6" x14ac:dyDescent="0.35">
      <c r="A11784">
        <v>1975</v>
      </c>
      <c r="B11784" s="1">
        <v>46015</v>
      </c>
      <c r="C11784" s="2">
        <v>0.91666666666666663</v>
      </c>
      <c r="D11784">
        <v>1</v>
      </c>
      <c r="E11784">
        <v>-2.4</v>
      </c>
      <c r="F11784">
        <v>80</v>
      </c>
    </row>
    <row r="11785" spans="1:6" x14ac:dyDescent="0.35">
      <c r="A11785">
        <v>1975</v>
      </c>
      <c r="B11785" s="1">
        <v>46015</v>
      </c>
      <c r="C11785" s="2">
        <v>0.95833333333333337</v>
      </c>
      <c r="D11785">
        <v>1</v>
      </c>
      <c r="E11785">
        <v>-2.5</v>
      </c>
      <c r="F11785">
        <v>82</v>
      </c>
    </row>
    <row r="11786" spans="1:6" x14ac:dyDescent="0.35">
      <c r="A11786">
        <v>1975</v>
      </c>
      <c r="B11786" s="1">
        <v>46016</v>
      </c>
      <c r="C11786" s="2">
        <v>0</v>
      </c>
      <c r="D11786">
        <v>1</v>
      </c>
      <c r="E11786">
        <v>-2.8</v>
      </c>
      <c r="F11786">
        <v>79</v>
      </c>
    </row>
    <row r="11787" spans="1:6" x14ac:dyDescent="0.35">
      <c r="A11787">
        <v>1975</v>
      </c>
      <c r="B11787" s="1">
        <v>46016</v>
      </c>
      <c r="C11787" s="2">
        <v>4.1666666666666657E-2</v>
      </c>
      <c r="D11787">
        <v>1</v>
      </c>
      <c r="E11787">
        <v>-3.4</v>
      </c>
      <c r="F11787">
        <v>75</v>
      </c>
    </row>
    <row r="11788" spans="1:6" x14ac:dyDescent="0.35">
      <c r="A11788">
        <v>1975</v>
      </c>
      <c r="B11788" s="1">
        <v>46016</v>
      </c>
      <c r="C11788" s="2">
        <v>8.3333333333333329E-2</v>
      </c>
      <c r="D11788">
        <v>1</v>
      </c>
      <c r="E11788">
        <v>-4.0999999999999996</v>
      </c>
      <c r="F11788">
        <v>74</v>
      </c>
    </row>
    <row r="11789" spans="1:6" x14ac:dyDescent="0.35">
      <c r="A11789">
        <v>1975</v>
      </c>
      <c r="B11789" s="1">
        <v>46016</v>
      </c>
      <c r="C11789" s="2">
        <v>0.125</v>
      </c>
      <c r="D11789">
        <v>1</v>
      </c>
      <c r="E11789">
        <v>-4.7</v>
      </c>
      <c r="F11789">
        <v>75</v>
      </c>
    </row>
    <row r="11790" spans="1:6" x14ac:dyDescent="0.35">
      <c r="A11790">
        <v>1975</v>
      </c>
      <c r="B11790" s="1">
        <v>46016</v>
      </c>
      <c r="C11790" s="2">
        <v>0.16666666666666671</v>
      </c>
      <c r="D11790">
        <v>1</v>
      </c>
      <c r="E11790">
        <v>-5.0999999999999996</v>
      </c>
      <c r="F11790">
        <v>76</v>
      </c>
    </row>
    <row r="11791" spans="1:6" x14ac:dyDescent="0.35">
      <c r="A11791">
        <v>1975</v>
      </c>
      <c r="B11791" s="1">
        <v>46016</v>
      </c>
      <c r="C11791" s="2">
        <v>0.20833333333333329</v>
      </c>
      <c r="D11791">
        <v>1</v>
      </c>
      <c r="E11791">
        <v>-4.9000000000000004</v>
      </c>
      <c r="F11791">
        <v>75</v>
      </c>
    </row>
    <row r="11792" spans="1:6" x14ac:dyDescent="0.35">
      <c r="A11792">
        <v>1975</v>
      </c>
      <c r="B11792" s="1">
        <v>46016</v>
      </c>
      <c r="C11792" s="2">
        <v>0.25</v>
      </c>
      <c r="D11792">
        <v>1</v>
      </c>
      <c r="E11792">
        <v>-5.2</v>
      </c>
      <c r="F11792">
        <v>72</v>
      </c>
    </row>
    <row r="11793" spans="1:6" x14ac:dyDescent="0.35">
      <c r="A11793">
        <v>1975</v>
      </c>
      <c r="B11793" s="1">
        <v>46016</v>
      </c>
      <c r="C11793" s="2">
        <v>0.29166666666666669</v>
      </c>
      <c r="D11793">
        <v>1</v>
      </c>
      <c r="E11793">
        <v>-4.8</v>
      </c>
      <c r="F11793">
        <v>69</v>
      </c>
    </row>
    <row r="11794" spans="1:6" x14ac:dyDescent="0.35">
      <c r="A11794">
        <v>1975</v>
      </c>
      <c r="B11794" s="1">
        <v>46016</v>
      </c>
      <c r="C11794" s="2">
        <v>0.33333333333333331</v>
      </c>
      <c r="D11794">
        <v>1</v>
      </c>
      <c r="E11794">
        <v>-5</v>
      </c>
      <c r="F11794">
        <v>71</v>
      </c>
    </row>
    <row r="11795" spans="1:6" x14ac:dyDescent="0.35">
      <c r="A11795">
        <v>1975</v>
      </c>
      <c r="B11795" s="1">
        <v>46016</v>
      </c>
      <c r="C11795" s="2">
        <v>0.375</v>
      </c>
      <c r="D11795">
        <v>1</v>
      </c>
      <c r="E11795">
        <v>-4.4000000000000004</v>
      </c>
      <c r="F11795">
        <v>66</v>
      </c>
    </row>
    <row r="11796" spans="1:6" x14ac:dyDescent="0.35">
      <c r="A11796">
        <v>1975</v>
      </c>
      <c r="B11796" s="1">
        <v>46016</v>
      </c>
      <c r="C11796" s="2">
        <v>0.41666666666666669</v>
      </c>
      <c r="D11796">
        <v>1</v>
      </c>
      <c r="E11796">
        <v>-3.4</v>
      </c>
      <c r="F11796">
        <v>60</v>
      </c>
    </row>
    <row r="11797" spans="1:6" x14ac:dyDescent="0.35">
      <c r="A11797">
        <v>1975</v>
      </c>
      <c r="B11797" s="1">
        <v>46016</v>
      </c>
      <c r="C11797" s="2">
        <v>0.45833333333333331</v>
      </c>
      <c r="D11797">
        <v>1</v>
      </c>
      <c r="E11797">
        <v>-2.2000000000000002</v>
      </c>
      <c r="F11797">
        <v>54</v>
      </c>
    </row>
    <row r="11798" spans="1:6" x14ac:dyDescent="0.35">
      <c r="A11798">
        <v>1975</v>
      </c>
      <c r="B11798" s="1">
        <v>46016</v>
      </c>
      <c r="C11798" s="2">
        <v>0.5</v>
      </c>
      <c r="D11798">
        <v>1</v>
      </c>
      <c r="E11798">
        <v>-1.7</v>
      </c>
      <c r="F11798">
        <v>50</v>
      </c>
    </row>
    <row r="11799" spans="1:6" x14ac:dyDescent="0.35">
      <c r="A11799">
        <v>1975</v>
      </c>
      <c r="B11799" s="1">
        <v>46016</v>
      </c>
      <c r="C11799" s="2">
        <v>0.54166666666666663</v>
      </c>
      <c r="D11799">
        <v>1</v>
      </c>
      <c r="E11799">
        <v>-1.2</v>
      </c>
      <c r="F11799">
        <v>51</v>
      </c>
    </row>
    <row r="11800" spans="1:6" x14ac:dyDescent="0.35">
      <c r="A11800">
        <v>1975</v>
      </c>
      <c r="B11800" s="1">
        <v>46016</v>
      </c>
      <c r="C11800" s="2">
        <v>0.58333333333333337</v>
      </c>
      <c r="D11800">
        <v>1</v>
      </c>
      <c r="E11800">
        <v>-1.2</v>
      </c>
      <c r="F11800">
        <v>48</v>
      </c>
    </row>
    <row r="11801" spans="1:6" x14ac:dyDescent="0.35">
      <c r="A11801">
        <v>1975</v>
      </c>
      <c r="B11801" s="1">
        <v>46016</v>
      </c>
      <c r="C11801" s="2">
        <v>0.625</v>
      </c>
      <c r="D11801">
        <v>1</v>
      </c>
      <c r="E11801">
        <v>-2.2999999999999998</v>
      </c>
      <c r="F11801">
        <v>53</v>
      </c>
    </row>
    <row r="11802" spans="1:6" x14ac:dyDescent="0.35">
      <c r="A11802">
        <v>1975</v>
      </c>
      <c r="B11802" s="1">
        <v>46016</v>
      </c>
      <c r="C11802" s="2">
        <v>0.66666666666666663</v>
      </c>
      <c r="D11802">
        <v>1</v>
      </c>
      <c r="E11802">
        <v>-3.4</v>
      </c>
      <c r="F11802">
        <v>61</v>
      </c>
    </row>
    <row r="11803" spans="1:6" x14ac:dyDescent="0.35">
      <c r="A11803">
        <v>1975</v>
      </c>
      <c r="B11803" s="1">
        <v>46016</v>
      </c>
      <c r="C11803" s="2">
        <v>0.70833333333333337</v>
      </c>
      <c r="D11803">
        <v>1</v>
      </c>
      <c r="E11803">
        <v>-4.0999999999999996</v>
      </c>
      <c r="F11803">
        <v>65</v>
      </c>
    </row>
    <row r="11804" spans="1:6" x14ac:dyDescent="0.35">
      <c r="A11804">
        <v>1975</v>
      </c>
      <c r="B11804" s="1">
        <v>46016</v>
      </c>
      <c r="C11804" s="2">
        <v>0.75</v>
      </c>
      <c r="D11804">
        <v>1</v>
      </c>
      <c r="E11804">
        <v>-4.3</v>
      </c>
      <c r="F11804">
        <v>67</v>
      </c>
    </row>
    <row r="11805" spans="1:6" x14ac:dyDescent="0.35">
      <c r="A11805">
        <v>1975</v>
      </c>
      <c r="B11805" s="1">
        <v>46016</v>
      </c>
      <c r="C11805" s="2">
        <v>0.79166666666666663</v>
      </c>
      <c r="D11805">
        <v>1</v>
      </c>
      <c r="E11805">
        <v>-5.0999999999999996</v>
      </c>
      <c r="F11805">
        <v>70</v>
      </c>
    </row>
    <row r="11806" spans="1:6" x14ac:dyDescent="0.35">
      <c r="A11806">
        <v>1975</v>
      </c>
      <c r="B11806" s="1">
        <v>46016</v>
      </c>
      <c r="C11806" s="2">
        <v>0.83333333333333337</v>
      </c>
      <c r="D11806">
        <v>1</v>
      </c>
      <c r="E11806">
        <v>-4.8</v>
      </c>
      <c r="F11806">
        <v>70</v>
      </c>
    </row>
    <row r="11807" spans="1:6" x14ac:dyDescent="0.35">
      <c r="A11807">
        <v>1975</v>
      </c>
      <c r="B11807" s="1">
        <v>46016</v>
      </c>
      <c r="C11807" s="2">
        <v>0.875</v>
      </c>
      <c r="D11807">
        <v>1</v>
      </c>
      <c r="E11807">
        <v>-5.0999999999999996</v>
      </c>
      <c r="F11807">
        <v>72</v>
      </c>
    </row>
    <row r="11808" spans="1:6" x14ac:dyDescent="0.35">
      <c r="A11808">
        <v>1975</v>
      </c>
      <c r="B11808" s="1">
        <v>46016</v>
      </c>
      <c r="C11808" s="2">
        <v>0.91666666666666663</v>
      </c>
      <c r="D11808">
        <v>1</v>
      </c>
      <c r="E11808">
        <v>-5.9</v>
      </c>
      <c r="F11808">
        <v>76</v>
      </c>
    </row>
    <row r="11809" spans="1:6" x14ac:dyDescent="0.35">
      <c r="A11809">
        <v>1975</v>
      </c>
      <c r="B11809" s="1">
        <v>46016</v>
      </c>
      <c r="C11809" s="2">
        <v>0.95833333333333337</v>
      </c>
      <c r="D11809">
        <v>1</v>
      </c>
      <c r="E11809">
        <v>-6.5</v>
      </c>
      <c r="F11809">
        <v>79</v>
      </c>
    </row>
    <row r="11810" spans="1:6" x14ac:dyDescent="0.35">
      <c r="A11810">
        <v>1975</v>
      </c>
      <c r="B11810" s="1">
        <v>46017</v>
      </c>
      <c r="C11810" s="2">
        <v>0</v>
      </c>
      <c r="D11810">
        <v>1</v>
      </c>
      <c r="E11810">
        <v>-7.4</v>
      </c>
      <c r="F11810">
        <v>84</v>
      </c>
    </row>
    <row r="11811" spans="1:6" x14ac:dyDescent="0.35">
      <c r="A11811">
        <v>1975</v>
      </c>
      <c r="B11811" s="1">
        <v>46017</v>
      </c>
      <c r="C11811" s="2">
        <v>4.1666666666666657E-2</v>
      </c>
      <c r="D11811">
        <v>1</v>
      </c>
      <c r="E11811">
        <v>-7.2</v>
      </c>
      <c r="F11811">
        <v>83</v>
      </c>
    </row>
    <row r="11812" spans="1:6" x14ac:dyDescent="0.35">
      <c r="A11812">
        <v>1975</v>
      </c>
      <c r="B11812" s="1">
        <v>46017</v>
      </c>
      <c r="C11812" s="2">
        <v>8.3333333333333329E-2</v>
      </c>
      <c r="D11812">
        <v>1</v>
      </c>
      <c r="E11812">
        <v>-7.4</v>
      </c>
      <c r="F11812">
        <v>83</v>
      </c>
    </row>
    <row r="11813" spans="1:6" x14ac:dyDescent="0.35">
      <c r="A11813">
        <v>1975</v>
      </c>
      <c r="B11813" s="1">
        <v>46017</v>
      </c>
      <c r="C11813" s="2">
        <v>0.125</v>
      </c>
      <c r="D11813">
        <v>1</v>
      </c>
      <c r="E11813">
        <v>-7.1</v>
      </c>
      <c r="F11813">
        <v>82</v>
      </c>
    </row>
    <row r="11814" spans="1:6" x14ac:dyDescent="0.35">
      <c r="A11814">
        <v>1975</v>
      </c>
      <c r="B11814" s="1">
        <v>46017</v>
      </c>
      <c r="C11814" s="2">
        <v>0.16666666666666671</v>
      </c>
      <c r="D11814">
        <v>1</v>
      </c>
      <c r="E11814">
        <v>-7</v>
      </c>
      <c r="F11814">
        <v>82</v>
      </c>
    </row>
    <row r="11815" spans="1:6" x14ac:dyDescent="0.35">
      <c r="A11815">
        <v>1975</v>
      </c>
      <c r="B11815" s="1">
        <v>46017</v>
      </c>
      <c r="C11815" s="2">
        <v>0.20833333333333329</v>
      </c>
      <c r="D11815">
        <v>1</v>
      </c>
      <c r="E11815">
        <v>-7.3</v>
      </c>
      <c r="F11815">
        <v>85</v>
      </c>
    </row>
    <row r="11816" spans="1:6" x14ac:dyDescent="0.35">
      <c r="A11816">
        <v>1975</v>
      </c>
      <c r="B11816" s="1">
        <v>46017</v>
      </c>
      <c r="C11816" s="2">
        <v>0.25</v>
      </c>
      <c r="D11816">
        <v>1</v>
      </c>
      <c r="E11816">
        <v>-6.7</v>
      </c>
      <c r="F11816">
        <v>83</v>
      </c>
    </row>
    <row r="11817" spans="1:6" x14ac:dyDescent="0.35">
      <c r="A11817">
        <v>1975</v>
      </c>
      <c r="B11817" s="1">
        <v>46017</v>
      </c>
      <c r="C11817" s="2">
        <v>0.29166666666666669</v>
      </c>
      <c r="D11817">
        <v>1</v>
      </c>
      <c r="E11817">
        <v>-6.5</v>
      </c>
      <c r="F11817">
        <v>82</v>
      </c>
    </row>
    <row r="11818" spans="1:6" x14ac:dyDescent="0.35">
      <c r="A11818">
        <v>1975</v>
      </c>
      <c r="B11818" s="1">
        <v>46017</v>
      </c>
      <c r="C11818" s="2">
        <v>0.33333333333333331</v>
      </c>
      <c r="D11818">
        <v>1</v>
      </c>
      <c r="E11818">
        <v>-7.3</v>
      </c>
      <c r="F11818">
        <v>87</v>
      </c>
    </row>
    <row r="11819" spans="1:6" x14ac:dyDescent="0.35">
      <c r="A11819">
        <v>1975</v>
      </c>
      <c r="B11819" s="1">
        <v>46017</v>
      </c>
      <c r="C11819" s="2">
        <v>0.375</v>
      </c>
      <c r="D11819">
        <v>1</v>
      </c>
      <c r="E11819">
        <v>-5.0999999999999996</v>
      </c>
      <c r="F11819">
        <v>75</v>
      </c>
    </row>
    <row r="11820" spans="1:6" x14ac:dyDescent="0.35">
      <c r="A11820">
        <v>1975</v>
      </c>
      <c r="B11820" s="1">
        <v>46017</v>
      </c>
      <c r="C11820" s="2">
        <v>0.41666666666666669</v>
      </c>
      <c r="D11820">
        <v>1</v>
      </c>
      <c r="E11820">
        <v>-2.1</v>
      </c>
      <c r="F11820">
        <v>62</v>
      </c>
    </row>
    <row r="11821" spans="1:6" x14ac:dyDescent="0.35">
      <c r="A11821">
        <v>1975</v>
      </c>
      <c r="B11821" s="1">
        <v>46017</v>
      </c>
      <c r="C11821" s="2">
        <v>0.45833333333333331</v>
      </c>
      <c r="D11821">
        <v>1</v>
      </c>
      <c r="E11821">
        <v>-0.7</v>
      </c>
      <c r="F11821">
        <v>59</v>
      </c>
    </row>
    <row r="11822" spans="1:6" x14ac:dyDescent="0.35">
      <c r="A11822">
        <v>1975</v>
      </c>
      <c r="B11822" s="1">
        <v>46017</v>
      </c>
      <c r="C11822" s="2">
        <v>0.5</v>
      </c>
      <c r="D11822">
        <v>1</v>
      </c>
      <c r="E11822">
        <v>0.8</v>
      </c>
      <c r="F11822">
        <v>60</v>
      </c>
    </row>
    <row r="11823" spans="1:6" x14ac:dyDescent="0.35">
      <c r="A11823">
        <v>1975</v>
      </c>
      <c r="B11823" s="1">
        <v>46017</v>
      </c>
      <c r="C11823" s="2">
        <v>0.54166666666666663</v>
      </c>
      <c r="D11823">
        <v>1</v>
      </c>
      <c r="E11823">
        <v>1.5</v>
      </c>
      <c r="F11823">
        <v>82</v>
      </c>
    </row>
    <row r="11824" spans="1:6" x14ac:dyDescent="0.35">
      <c r="A11824">
        <v>1975</v>
      </c>
      <c r="B11824" s="1">
        <v>46017</v>
      </c>
      <c r="C11824" s="2">
        <v>0.58333333333333337</v>
      </c>
      <c r="D11824">
        <v>1</v>
      </c>
      <c r="E11824">
        <v>1.2</v>
      </c>
      <c r="F11824">
        <v>84</v>
      </c>
    </row>
    <row r="11825" spans="1:6" x14ac:dyDescent="0.35">
      <c r="A11825">
        <v>1975</v>
      </c>
      <c r="B11825" s="1">
        <v>46017</v>
      </c>
      <c r="C11825" s="2">
        <v>0.625</v>
      </c>
      <c r="D11825">
        <v>1</v>
      </c>
      <c r="E11825">
        <v>0</v>
      </c>
      <c r="F11825">
        <v>88</v>
      </c>
    </row>
    <row r="11826" spans="1:6" x14ac:dyDescent="0.35">
      <c r="A11826">
        <v>1975</v>
      </c>
      <c r="B11826" s="1">
        <v>46017</v>
      </c>
      <c r="C11826" s="2">
        <v>0.66666666666666663</v>
      </c>
      <c r="D11826">
        <v>1</v>
      </c>
      <c r="E11826">
        <v>0.2</v>
      </c>
      <c r="F11826">
        <v>93</v>
      </c>
    </row>
    <row r="11827" spans="1:6" x14ac:dyDescent="0.35">
      <c r="A11827">
        <v>1975</v>
      </c>
      <c r="B11827" s="1">
        <v>46017</v>
      </c>
      <c r="C11827" s="2">
        <v>0.70833333333333337</v>
      </c>
      <c r="D11827">
        <v>1</v>
      </c>
      <c r="E11827">
        <v>-0.1</v>
      </c>
      <c r="F11827">
        <v>98</v>
      </c>
    </row>
    <row r="11828" spans="1:6" x14ac:dyDescent="0.35">
      <c r="A11828">
        <v>1975</v>
      </c>
      <c r="B11828" s="1">
        <v>46017</v>
      </c>
      <c r="C11828" s="2">
        <v>0.75</v>
      </c>
      <c r="D11828">
        <v>1</v>
      </c>
      <c r="E11828">
        <v>-0.1</v>
      </c>
      <c r="F11828">
        <v>100</v>
      </c>
    </row>
    <row r="11829" spans="1:6" x14ac:dyDescent="0.35">
      <c r="A11829">
        <v>1975</v>
      </c>
      <c r="B11829" s="1">
        <v>46017</v>
      </c>
      <c r="C11829" s="2">
        <v>0.79166666666666663</v>
      </c>
      <c r="D11829">
        <v>1</v>
      </c>
      <c r="E11829">
        <v>0.1</v>
      </c>
      <c r="F11829">
        <v>100</v>
      </c>
    </row>
    <row r="11830" spans="1:6" x14ac:dyDescent="0.35">
      <c r="A11830">
        <v>1975</v>
      </c>
      <c r="B11830" s="1">
        <v>46017</v>
      </c>
      <c r="C11830" s="2">
        <v>0.83333333333333337</v>
      </c>
      <c r="D11830">
        <v>1</v>
      </c>
      <c r="E11830">
        <v>0.2</v>
      </c>
      <c r="F11830">
        <v>100</v>
      </c>
    </row>
    <row r="11831" spans="1:6" x14ac:dyDescent="0.35">
      <c r="A11831">
        <v>1975</v>
      </c>
      <c r="B11831" s="1">
        <v>46017</v>
      </c>
      <c r="C11831" s="2">
        <v>0.875</v>
      </c>
      <c r="D11831">
        <v>1</v>
      </c>
      <c r="E11831">
        <v>0.2</v>
      </c>
      <c r="F11831">
        <v>100</v>
      </c>
    </row>
    <row r="11832" spans="1:6" x14ac:dyDescent="0.35">
      <c r="A11832">
        <v>1975</v>
      </c>
      <c r="B11832" s="1">
        <v>46017</v>
      </c>
      <c r="C11832" s="2">
        <v>0.91666666666666663</v>
      </c>
      <c r="D11832">
        <v>1</v>
      </c>
      <c r="E11832">
        <v>0.3</v>
      </c>
      <c r="F11832">
        <v>100</v>
      </c>
    </row>
    <row r="11833" spans="1:6" x14ac:dyDescent="0.35">
      <c r="A11833">
        <v>1975</v>
      </c>
      <c r="B11833" s="1">
        <v>46017</v>
      </c>
      <c r="C11833" s="2">
        <v>0.95833333333333337</v>
      </c>
      <c r="D11833">
        <v>1</v>
      </c>
      <c r="E11833">
        <v>0.4</v>
      </c>
      <c r="F11833">
        <v>100</v>
      </c>
    </row>
    <row r="11834" spans="1:6" x14ac:dyDescent="0.35">
      <c r="A11834">
        <v>1975</v>
      </c>
      <c r="B11834" s="1">
        <v>46018</v>
      </c>
      <c r="C11834" s="2">
        <v>0</v>
      </c>
      <c r="D11834">
        <v>1</v>
      </c>
      <c r="E11834">
        <v>0.4</v>
      </c>
      <c r="F11834">
        <v>100</v>
      </c>
    </row>
    <row r="11835" spans="1:6" x14ac:dyDescent="0.35">
      <c r="A11835">
        <v>1975</v>
      </c>
      <c r="B11835" s="1">
        <v>46018</v>
      </c>
      <c r="C11835" s="2">
        <v>4.1666666666666657E-2</v>
      </c>
      <c r="D11835">
        <v>1</v>
      </c>
      <c r="E11835">
        <v>0.6</v>
      </c>
      <c r="F11835">
        <v>100</v>
      </c>
    </row>
    <row r="11836" spans="1:6" x14ac:dyDescent="0.35">
      <c r="A11836">
        <v>1975</v>
      </c>
      <c r="B11836" s="1">
        <v>46018</v>
      </c>
      <c r="C11836" s="2">
        <v>8.3333333333333329E-2</v>
      </c>
      <c r="D11836">
        <v>1</v>
      </c>
      <c r="E11836">
        <v>0.7</v>
      </c>
      <c r="F11836">
        <v>100</v>
      </c>
    </row>
    <row r="11837" spans="1:6" x14ac:dyDescent="0.35">
      <c r="A11837">
        <v>1975</v>
      </c>
      <c r="B11837" s="1">
        <v>46018</v>
      </c>
      <c r="C11837" s="2">
        <v>0.125</v>
      </c>
      <c r="D11837">
        <v>1</v>
      </c>
      <c r="E11837">
        <v>0.9</v>
      </c>
      <c r="F11837">
        <v>100</v>
      </c>
    </row>
    <row r="11838" spans="1:6" x14ac:dyDescent="0.35">
      <c r="A11838">
        <v>1975</v>
      </c>
      <c r="B11838" s="1">
        <v>46018</v>
      </c>
      <c r="C11838" s="2">
        <v>0.16666666666666671</v>
      </c>
      <c r="D11838">
        <v>1</v>
      </c>
      <c r="E11838">
        <v>1</v>
      </c>
      <c r="F11838">
        <v>100</v>
      </c>
    </row>
    <row r="11839" spans="1:6" x14ac:dyDescent="0.35">
      <c r="A11839">
        <v>1975</v>
      </c>
      <c r="B11839" s="1">
        <v>46018</v>
      </c>
      <c r="C11839" s="2">
        <v>0.20833333333333329</v>
      </c>
      <c r="D11839">
        <v>1</v>
      </c>
      <c r="E11839">
        <v>1.2</v>
      </c>
      <c r="F11839">
        <v>100</v>
      </c>
    </row>
    <row r="11840" spans="1:6" x14ac:dyDescent="0.35">
      <c r="A11840">
        <v>1975</v>
      </c>
      <c r="B11840" s="1">
        <v>46018</v>
      </c>
      <c r="C11840" s="2">
        <v>0.25</v>
      </c>
      <c r="D11840">
        <v>1</v>
      </c>
      <c r="E11840">
        <v>2</v>
      </c>
      <c r="F11840">
        <v>100</v>
      </c>
    </row>
    <row r="11841" spans="1:6" x14ac:dyDescent="0.35">
      <c r="A11841">
        <v>1975</v>
      </c>
      <c r="B11841" s="1">
        <v>46018</v>
      </c>
      <c r="C11841" s="2">
        <v>0.29166666666666669</v>
      </c>
      <c r="D11841">
        <v>1</v>
      </c>
      <c r="E11841">
        <v>2.6</v>
      </c>
      <c r="F11841">
        <v>99</v>
      </c>
    </row>
    <row r="11842" spans="1:6" x14ac:dyDescent="0.35">
      <c r="A11842">
        <v>1975</v>
      </c>
      <c r="B11842" s="1">
        <v>46018</v>
      </c>
      <c r="C11842" s="2">
        <v>0.33333333333333331</v>
      </c>
      <c r="D11842">
        <v>1</v>
      </c>
      <c r="E11842">
        <v>3.2</v>
      </c>
      <c r="F11842">
        <v>100</v>
      </c>
    </row>
    <row r="11843" spans="1:6" x14ac:dyDescent="0.35">
      <c r="A11843">
        <v>1975</v>
      </c>
      <c r="B11843" s="1">
        <v>46018</v>
      </c>
      <c r="C11843" s="2">
        <v>0.375</v>
      </c>
      <c r="D11843">
        <v>1</v>
      </c>
      <c r="E11843">
        <v>4</v>
      </c>
      <c r="F11843">
        <v>99</v>
      </c>
    </row>
    <row r="11844" spans="1:6" x14ac:dyDescent="0.35">
      <c r="A11844">
        <v>1975</v>
      </c>
      <c r="B11844" s="1">
        <v>46018</v>
      </c>
      <c r="C11844" s="2">
        <v>0.41666666666666669</v>
      </c>
      <c r="D11844">
        <v>1</v>
      </c>
      <c r="E11844">
        <v>5.0999999999999996</v>
      </c>
      <c r="F11844">
        <v>97</v>
      </c>
    </row>
    <row r="11845" spans="1:6" x14ac:dyDescent="0.35">
      <c r="A11845">
        <v>1975</v>
      </c>
      <c r="B11845" s="1">
        <v>46018</v>
      </c>
      <c r="C11845" s="2">
        <v>0.45833333333333331</v>
      </c>
      <c r="D11845">
        <v>1</v>
      </c>
      <c r="E11845">
        <v>5.6</v>
      </c>
      <c r="F11845">
        <v>95</v>
      </c>
    </row>
    <row r="11846" spans="1:6" x14ac:dyDescent="0.35">
      <c r="A11846">
        <v>1975</v>
      </c>
      <c r="B11846" s="1">
        <v>46018</v>
      </c>
      <c r="C11846" s="2">
        <v>0.5</v>
      </c>
      <c r="D11846">
        <v>1</v>
      </c>
      <c r="E11846">
        <v>6.1</v>
      </c>
      <c r="F11846">
        <v>93</v>
      </c>
    </row>
    <row r="11847" spans="1:6" x14ac:dyDescent="0.35">
      <c r="A11847">
        <v>1975</v>
      </c>
      <c r="B11847" s="1">
        <v>46018</v>
      </c>
      <c r="C11847" s="2">
        <v>0.54166666666666663</v>
      </c>
      <c r="D11847">
        <v>1</v>
      </c>
      <c r="E11847">
        <v>6.3</v>
      </c>
      <c r="F11847">
        <v>93</v>
      </c>
    </row>
    <row r="11848" spans="1:6" x14ac:dyDescent="0.35">
      <c r="A11848">
        <v>1975</v>
      </c>
      <c r="B11848" s="1">
        <v>46018</v>
      </c>
      <c r="C11848" s="2">
        <v>0.58333333333333337</v>
      </c>
      <c r="D11848">
        <v>1</v>
      </c>
      <c r="E11848">
        <v>6.9</v>
      </c>
      <c r="F11848">
        <v>87</v>
      </c>
    </row>
    <row r="11849" spans="1:6" x14ac:dyDescent="0.35">
      <c r="A11849">
        <v>1975</v>
      </c>
      <c r="B11849" s="1">
        <v>46018</v>
      </c>
      <c r="C11849" s="2">
        <v>0.625</v>
      </c>
      <c r="D11849">
        <v>1</v>
      </c>
      <c r="E11849">
        <v>6.6</v>
      </c>
      <c r="F11849">
        <v>83</v>
      </c>
    </row>
    <row r="11850" spans="1:6" x14ac:dyDescent="0.35">
      <c r="A11850">
        <v>1975</v>
      </c>
      <c r="B11850" s="1">
        <v>46018</v>
      </c>
      <c r="C11850" s="2">
        <v>0.66666666666666663</v>
      </c>
      <c r="D11850">
        <v>1</v>
      </c>
      <c r="E11850">
        <v>5.0999999999999996</v>
      </c>
      <c r="F11850">
        <v>90</v>
      </c>
    </row>
    <row r="11851" spans="1:6" x14ac:dyDescent="0.35">
      <c r="A11851">
        <v>1975</v>
      </c>
      <c r="B11851" s="1">
        <v>46018</v>
      </c>
      <c r="C11851" s="2">
        <v>0.70833333333333337</v>
      </c>
      <c r="D11851">
        <v>1</v>
      </c>
      <c r="E11851">
        <v>3.7</v>
      </c>
      <c r="F11851">
        <v>94</v>
      </c>
    </row>
    <row r="11852" spans="1:6" x14ac:dyDescent="0.35">
      <c r="A11852">
        <v>1975</v>
      </c>
      <c r="B11852" s="1">
        <v>46018</v>
      </c>
      <c r="C11852" s="2">
        <v>0.75</v>
      </c>
      <c r="D11852">
        <v>1</v>
      </c>
      <c r="E11852">
        <v>3.3</v>
      </c>
      <c r="F11852">
        <v>96</v>
      </c>
    </row>
    <row r="11853" spans="1:6" x14ac:dyDescent="0.35">
      <c r="A11853">
        <v>1975</v>
      </c>
      <c r="B11853" s="1">
        <v>46018</v>
      </c>
      <c r="C11853" s="2">
        <v>0.79166666666666663</v>
      </c>
      <c r="D11853">
        <v>1</v>
      </c>
      <c r="E11853">
        <v>2.6</v>
      </c>
      <c r="F11853">
        <v>97</v>
      </c>
    </row>
    <row r="11854" spans="1:6" x14ac:dyDescent="0.35">
      <c r="A11854">
        <v>1975</v>
      </c>
      <c r="B11854" s="1">
        <v>46018</v>
      </c>
      <c r="C11854" s="2">
        <v>0.83333333333333337</v>
      </c>
      <c r="D11854">
        <v>1</v>
      </c>
      <c r="E11854">
        <v>0</v>
      </c>
      <c r="F11854">
        <v>98</v>
      </c>
    </row>
    <row r="11855" spans="1:6" x14ac:dyDescent="0.35">
      <c r="A11855">
        <v>1975</v>
      </c>
      <c r="B11855" s="1">
        <v>46018</v>
      </c>
      <c r="C11855" s="2">
        <v>0.875</v>
      </c>
      <c r="D11855">
        <v>1</v>
      </c>
      <c r="E11855">
        <v>-0.9</v>
      </c>
      <c r="F11855">
        <v>100</v>
      </c>
    </row>
    <row r="11856" spans="1:6" x14ac:dyDescent="0.35">
      <c r="A11856">
        <v>1975</v>
      </c>
      <c r="B11856" s="1">
        <v>46018</v>
      </c>
      <c r="C11856" s="2">
        <v>0.91666666666666663</v>
      </c>
      <c r="D11856">
        <v>1</v>
      </c>
      <c r="E11856">
        <v>-2.5</v>
      </c>
      <c r="F11856">
        <v>99</v>
      </c>
    </row>
    <row r="11857" spans="1:6" x14ac:dyDescent="0.35">
      <c r="A11857">
        <v>1975</v>
      </c>
      <c r="B11857" s="1">
        <v>46018</v>
      </c>
      <c r="C11857" s="2">
        <v>0.95833333333333337</v>
      </c>
      <c r="D11857">
        <v>1</v>
      </c>
      <c r="E11857">
        <v>-3.1</v>
      </c>
      <c r="F11857">
        <v>100</v>
      </c>
    </row>
    <row r="11858" spans="1:6" x14ac:dyDescent="0.35">
      <c r="A11858">
        <v>1975</v>
      </c>
      <c r="B11858" s="1">
        <v>46019</v>
      </c>
      <c r="C11858" s="2">
        <v>0</v>
      </c>
      <c r="D11858">
        <v>1</v>
      </c>
      <c r="E11858">
        <v>-4.0999999999999996</v>
      </c>
      <c r="F11858">
        <v>98</v>
      </c>
    </row>
    <row r="11859" spans="1:6" x14ac:dyDescent="0.35">
      <c r="A11859">
        <v>1975</v>
      </c>
      <c r="B11859" s="1">
        <v>46019</v>
      </c>
      <c r="C11859" s="2">
        <v>4.1666666666666657E-2</v>
      </c>
      <c r="D11859">
        <v>1</v>
      </c>
      <c r="E11859">
        <v>-3.4</v>
      </c>
      <c r="F11859">
        <v>100</v>
      </c>
    </row>
    <row r="11860" spans="1:6" x14ac:dyDescent="0.35">
      <c r="A11860">
        <v>1975</v>
      </c>
      <c r="B11860" s="1">
        <v>46019</v>
      </c>
      <c r="C11860" s="2">
        <v>8.3333333333333329E-2</v>
      </c>
      <c r="D11860">
        <v>1</v>
      </c>
      <c r="E11860">
        <v>-3.9</v>
      </c>
      <c r="F11860">
        <v>100</v>
      </c>
    </row>
    <row r="11861" spans="1:6" x14ac:dyDescent="0.35">
      <c r="A11861">
        <v>1975</v>
      </c>
      <c r="B11861" s="1">
        <v>46019</v>
      </c>
      <c r="C11861" s="2">
        <v>0.125</v>
      </c>
      <c r="D11861">
        <v>1</v>
      </c>
      <c r="E11861">
        <v>-4</v>
      </c>
      <c r="F11861">
        <v>100</v>
      </c>
    </row>
    <row r="11862" spans="1:6" x14ac:dyDescent="0.35">
      <c r="A11862">
        <v>1975</v>
      </c>
      <c r="B11862" s="1">
        <v>46019</v>
      </c>
      <c r="C11862" s="2">
        <v>0.16666666666666671</v>
      </c>
      <c r="D11862">
        <v>1</v>
      </c>
      <c r="E11862">
        <v>-4.5</v>
      </c>
      <c r="F11862">
        <v>100</v>
      </c>
    </row>
    <row r="11863" spans="1:6" x14ac:dyDescent="0.35">
      <c r="A11863">
        <v>1975</v>
      </c>
      <c r="B11863" s="1">
        <v>46019</v>
      </c>
      <c r="C11863" s="2">
        <v>0.20833333333333329</v>
      </c>
      <c r="D11863">
        <v>1</v>
      </c>
      <c r="E11863">
        <v>-4.7</v>
      </c>
      <c r="F11863">
        <v>98</v>
      </c>
    </row>
    <row r="11864" spans="1:6" x14ac:dyDescent="0.35">
      <c r="A11864">
        <v>1975</v>
      </c>
      <c r="B11864" s="1">
        <v>46019</v>
      </c>
      <c r="C11864" s="2">
        <v>0.25</v>
      </c>
      <c r="D11864">
        <v>1</v>
      </c>
      <c r="E11864">
        <v>-4.2</v>
      </c>
      <c r="F11864">
        <v>100</v>
      </c>
    </row>
    <row r="11865" spans="1:6" x14ac:dyDescent="0.35">
      <c r="A11865">
        <v>1975</v>
      </c>
      <c r="B11865" s="1">
        <v>46019</v>
      </c>
      <c r="C11865" s="2">
        <v>0.29166666666666669</v>
      </c>
      <c r="D11865">
        <v>1</v>
      </c>
      <c r="E11865">
        <v>-4.0999999999999996</v>
      </c>
      <c r="F11865">
        <v>98</v>
      </c>
    </row>
    <row r="11866" spans="1:6" x14ac:dyDescent="0.35">
      <c r="A11866">
        <v>1975</v>
      </c>
      <c r="B11866" s="1">
        <v>46019</v>
      </c>
      <c r="C11866" s="2">
        <v>0.33333333333333331</v>
      </c>
      <c r="D11866">
        <v>1</v>
      </c>
      <c r="E11866">
        <v>-4.5999999999999996</v>
      </c>
      <c r="F11866">
        <v>99</v>
      </c>
    </row>
    <row r="11867" spans="1:6" x14ac:dyDescent="0.35">
      <c r="A11867">
        <v>1975</v>
      </c>
      <c r="B11867" s="1">
        <v>46019</v>
      </c>
      <c r="C11867" s="2">
        <v>0.375</v>
      </c>
      <c r="D11867">
        <v>1</v>
      </c>
      <c r="E11867">
        <v>-3.7</v>
      </c>
      <c r="F11867">
        <v>95</v>
      </c>
    </row>
    <row r="11868" spans="1:6" x14ac:dyDescent="0.35">
      <c r="A11868">
        <v>1975</v>
      </c>
      <c r="B11868" s="1">
        <v>46019</v>
      </c>
      <c r="C11868" s="2">
        <v>0.41666666666666669</v>
      </c>
      <c r="D11868">
        <v>1</v>
      </c>
      <c r="E11868">
        <v>-1.3</v>
      </c>
      <c r="F11868">
        <v>95</v>
      </c>
    </row>
    <row r="11869" spans="1:6" x14ac:dyDescent="0.35">
      <c r="A11869">
        <v>1975</v>
      </c>
      <c r="B11869" s="1">
        <v>46019</v>
      </c>
      <c r="C11869" s="2">
        <v>0.45833333333333331</v>
      </c>
      <c r="D11869">
        <v>1</v>
      </c>
      <c r="E11869">
        <v>0.1</v>
      </c>
      <c r="F11869">
        <v>90</v>
      </c>
    </row>
    <row r="11870" spans="1:6" x14ac:dyDescent="0.35">
      <c r="A11870">
        <v>1975</v>
      </c>
      <c r="B11870" s="1">
        <v>46019</v>
      </c>
      <c r="C11870" s="2">
        <v>0.5</v>
      </c>
      <c r="D11870">
        <v>1</v>
      </c>
      <c r="E11870">
        <v>2.5</v>
      </c>
      <c r="F11870">
        <v>87</v>
      </c>
    </row>
    <row r="11871" spans="1:6" x14ac:dyDescent="0.35">
      <c r="A11871">
        <v>1975</v>
      </c>
      <c r="B11871" s="1">
        <v>46019</v>
      </c>
      <c r="C11871" s="2">
        <v>0.54166666666666663</v>
      </c>
      <c r="D11871">
        <v>1</v>
      </c>
      <c r="E11871">
        <v>4.3</v>
      </c>
      <c r="F11871">
        <v>83</v>
      </c>
    </row>
    <row r="11872" spans="1:6" x14ac:dyDescent="0.35">
      <c r="A11872">
        <v>1975</v>
      </c>
      <c r="B11872" s="1">
        <v>46019</v>
      </c>
      <c r="C11872" s="2">
        <v>0.58333333333333337</v>
      </c>
      <c r="D11872">
        <v>1</v>
      </c>
      <c r="E11872">
        <v>3.8</v>
      </c>
      <c r="F11872">
        <v>79</v>
      </c>
    </row>
    <row r="11873" spans="1:6" x14ac:dyDescent="0.35">
      <c r="A11873">
        <v>1975</v>
      </c>
      <c r="B11873" s="1">
        <v>46019</v>
      </c>
      <c r="C11873" s="2">
        <v>0.625</v>
      </c>
      <c r="D11873">
        <v>1</v>
      </c>
      <c r="E11873">
        <v>1.9</v>
      </c>
      <c r="F11873">
        <v>86</v>
      </c>
    </row>
    <row r="11874" spans="1:6" x14ac:dyDescent="0.35">
      <c r="A11874">
        <v>1975</v>
      </c>
      <c r="B11874" s="1">
        <v>46019</v>
      </c>
      <c r="C11874" s="2">
        <v>0.66666666666666663</v>
      </c>
      <c r="D11874">
        <v>1</v>
      </c>
      <c r="E11874">
        <v>-0.8</v>
      </c>
      <c r="F11874">
        <v>98</v>
      </c>
    </row>
    <row r="11875" spans="1:6" x14ac:dyDescent="0.35">
      <c r="A11875">
        <v>1975</v>
      </c>
      <c r="B11875" s="1">
        <v>46019</v>
      </c>
      <c r="C11875" s="2">
        <v>0.70833333333333337</v>
      </c>
      <c r="D11875">
        <v>1</v>
      </c>
      <c r="E11875">
        <v>0.8</v>
      </c>
      <c r="F11875">
        <v>97</v>
      </c>
    </row>
    <row r="11876" spans="1:6" x14ac:dyDescent="0.35">
      <c r="A11876">
        <v>1975</v>
      </c>
      <c r="B11876" s="1">
        <v>46019</v>
      </c>
      <c r="C11876" s="2">
        <v>0.75</v>
      </c>
      <c r="D11876">
        <v>1</v>
      </c>
      <c r="E11876">
        <v>0.3</v>
      </c>
      <c r="F11876">
        <v>100</v>
      </c>
    </row>
    <row r="11877" spans="1:6" x14ac:dyDescent="0.35">
      <c r="A11877">
        <v>1975</v>
      </c>
      <c r="B11877" s="1">
        <v>46019</v>
      </c>
      <c r="C11877" s="2">
        <v>0.79166666666666663</v>
      </c>
      <c r="D11877">
        <v>1</v>
      </c>
      <c r="E11877">
        <v>0.2</v>
      </c>
      <c r="F11877">
        <v>100</v>
      </c>
    </row>
    <row r="11878" spans="1:6" x14ac:dyDescent="0.35">
      <c r="A11878">
        <v>1975</v>
      </c>
      <c r="B11878" s="1">
        <v>46019</v>
      </c>
      <c r="C11878" s="2">
        <v>0.83333333333333337</v>
      </c>
      <c r="D11878">
        <v>1</v>
      </c>
      <c r="E11878">
        <v>0.3</v>
      </c>
      <c r="F11878">
        <v>100</v>
      </c>
    </row>
    <row r="11879" spans="1:6" x14ac:dyDescent="0.35">
      <c r="A11879">
        <v>1975</v>
      </c>
      <c r="B11879" s="1">
        <v>46019</v>
      </c>
      <c r="C11879" s="2">
        <v>0.875</v>
      </c>
      <c r="D11879">
        <v>1</v>
      </c>
      <c r="E11879">
        <v>0.2</v>
      </c>
      <c r="F11879">
        <v>100</v>
      </c>
    </row>
    <row r="11880" spans="1:6" x14ac:dyDescent="0.35">
      <c r="A11880">
        <v>1975</v>
      </c>
      <c r="B11880" s="1">
        <v>46019</v>
      </c>
      <c r="C11880" s="2">
        <v>0.91666666666666663</v>
      </c>
      <c r="D11880">
        <v>1</v>
      </c>
      <c r="E11880">
        <v>0.7</v>
      </c>
      <c r="F11880">
        <v>100</v>
      </c>
    </row>
    <row r="11881" spans="1:6" x14ac:dyDescent="0.35">
      <c r="A11881">
        <v>1975</v>
      </c>
      <c r="B11881" s="1">
        <v>46019</v>
      </c>
      <c r="C11881" s="2">
        <v>0.95833333333333337</v>
      </c>
      <c r="D11881">
        <v>1</v>
      </c>
      <c r="E11881">
        <v>1.1000000000000001</v>
      </c>
      <c r="F11881">
        <v>98</v>
      </c>
    </row>
    <row r="11882" spans="1:6" x14ac:dyDescent="0.35">
      <c r="A11882">
        <v>1975</v>
      </c>
      <c r="B11882" s="1">
        <v>46020</v>
      </c>
      <c r="C11882" s="2">
        <v>0</v>
      </c>
      <c r="D11882">
        <v>1</v>
      </c>
      <c r="E11882">
        <v>1.8</v>
      </c>
      <c r="F11882">
        <v>96</v>
      </c>
    </row>
    <row r="11883" spans="1:6" x14ac:dyDescent="0.35">
      <c r="A11883">
        <v>1975</v>
      </c>
      <c r="B11883" s="1">
        <v>46020</v>
      </c>
      <c r="C11883" s="2">
        <v>4.1666666666666657E-2</v>
      </c>
      <c r="D11883">
        <v>1</v>
      </c>
      <c r="E11883">
        <v>2.7</v>
      </c>
      <c r="F11883">
        <v>93</v>
      </c>
    </row>
    <row r="11884" spans="1:6" x14ac:dyDescent="0.35">
      <c r="A11884">
        <v>1975</v>
      </c>
      <c r="B11884" s="1">
        <v>46020</v>
      </c>
      <c r="C11884" s="2">
        <v>8.3333333333333329E-2</v>
      </c>
      <c r="D11884">
        <v>1</v>
      </c>
      <c r="E11884">
        <v>3.3</v>
      </c>
      <c r="F11884">
        <v>92</v>
      </c>
    </row>
    <row r="11885" spans="1:6" x14ac:dyDescent="0.35">
      <c r="A11885">
        <v>1975</v>
      </c>
      <c r="B11885" s="1">
        <v>46020</v>
      </c>
      <c r="C11885" s="2">
        <v>0.125</v>
      </c>
      <c r="D11885">
        <v>1</v>
      </c>
      <c r="E11885">
        <v>4.5999999999999996</v>
      </c>
      <c r="F11885">
        <v>85</v>
      </c>
    </row>
    <row r="11886" spans="1:6" x14ac:dyDescent="0.35">
      <c r="A11886">
        <v>1975</v>
      </c>
      <c r="B11886" s="1">
        <v>46020</v>
      </c>
      <c r="C11886" s="2">
        <v>0.16666666666666671</v>
      </c>
      <c r="D11886">
        <v>1</v>
      </c>
      <c r="E11886">
        <v>4.9000000000000004</v>
      </c>
      <c r="F11886">
        <v>83</v>
      </c>
    </row>
    <row r="11887" spans="1:6" x14ac:dyDescent="0.35">
      <c r="A11887">
        <v>1975</v>
      </c>
      <c r="B11887" s="1">
        <v>46020</v>
      </c>
      <c r="C11887" s="2">
        <v>0.20833333333333329</v>
      </c>
      <c r="D11887">
        <v>1</v>
      </c>
      <c r="E11887">
        <v>4.9000000000000004</v>
      </c>
      <c r="F11887">
        <v>84</v>
      </c>
    </row>
    <row r="11888" spans="1:6" x14ac:dyDescent="0.35">
      <c r="A11888">
        <v>1975</v>
      </c>
      <c r="B11888" s="1">
        <v>46020</v>
      </c>
      <c r="C11888" s="2">
        <v>0.25</v>
      </c>
      <c r="D11888">
        <v>1</v>
      </c>
      <c r="E11888">
        <v>5.0999999999999996</v>
      </c>
      <c r="F11888">
        <v>84</v>
      </c>
    </row>
    <row r="11889" spans="1:6" x14ac:dyDescent="0.35">
      <c r="A11889">
        <v>1975</v>
      </c>
      <c r="B11889" s="1">
        <v>46020</v>
      </c>
      <c r="C11889" s="2">
        <v>0.29166666666666669</v>
      </c>
      <c r="D11889">
        <v>1</v>
      </c>
      <c r="E11889">
        <v>5.2</v>
      </c>
      <c r="F11889">
        <v>85</v>
      </c>
    </row>
    <row r="11890" spans="1:6" x14ac:dyDescent="0.35">
      <c r="A11890">
        <v>1975</v>
      </c>
      <c r="B11890" s="1">
        <v>46020</v>
      </c>
      <c r="C11890" s="2">
        <v>0.33333333333333331</v>
      </c>
      <c r="D11890">
        <v>1</v>
      </c>
      <c r="E11890">
        <v>5.4</v>
      </c>
      <c r="F11890">
        <v>86</v>
      </c>
    </row>
    <row r="11891" spans="1:6" x14ac:dyDescent="0.35">
      <c r="A11891">
        <v>1975</v>
      </c>
      <c r="B11891" s="1">
        <v>46020</v>
      </c>
      <c r="C11891" s="2">
        <v>0.375</v>
      </c>
      <c r="D11891">
        <v>1</v>
      </c>
      <c r="E11891">
        <v>5.5</v>
      </c>
      <c r="F11891">
        <v>90</v>
      </c>
    </row>
    <row r="11892" spans="1:6" x14ac:dyDescent="0.35">
      <c r="A11892">
        <v>1975</v>
      </c>
      <c r="B11892" s="1">
        <v>46020</v>
      </c>
      <c r="C11892" s="2">
        <v>0.41666666666666669</v>
      </c>
      <c r="D11892">
        <v>1</v>
      </c>
      <c r="E11892">
        <v>6.1</v>
      </c>
      <c r="F11892">
        <v>84</v>
      </c>
    </row>
    <row r="11893" spans="1:6" x14ac:dyDescent="0.35">
      <c r="A11893">
        <v>1975</v>
      </c>
      <c r="B11893" s="1">
        <v>46020</v>
      </c>
      <c r="C11893" s="2">
        <v>0.45833333333333331</v>
      </c>
      <c r="D11893">
        <v>1</v>
      </c>
      <c r="E11893">
        <v>6.6</v>
      </c>
      <c r="F11893">
        <v>83</v>
      </c>
    </row>
    <row r="11894" spans="1:6" x14ac:dyDescent="0.35">
      <c r="A11894">
        <v>1975</v>
      </c>
      <c r="B11894" s="1">
        <v>46020</v>
      </c>
      <c r="C11894" s="2">
        <v>0.5</v>
      </c>
      <c r="D11894">
        <v>1</v>
      </c>
      <c r="E11894">
        <v>6.8</v>
      </c>
      <c r="F11894">
        <v>82</v>
      </c>
    </row>
    <row r="11895" spans="1:6" x14ac:dyDescent="0.35">
      <c r="A11895">
        <v>1975</v>
      </c>
      <c r="B11895" s="1">
        <v>46020</v>
      </c>
      <c r="C11895" s="2">
        <v>0.54166666666666663</v>
      </c>
      <c r="D11895">
        <v>1</v>
      </c>
      <c r="E11895">
        <v>6.9</v>
      </c>
      <c r="F11895">
        <v>79</v>
      </c>
    </row>
    <row r="11896" spans="1:6" x14ac:dyDescent="0.35">
      <c r="A11896">
        <v>1975</v>
      </c>
      <c r="B11896" s="1">
        <v>46020</v>
      </c>
      <c r="C11896" s="2">
        <v>0.58333333333333337</v>
      </c>
      <c r="D11896">
        <v>1</v>
      </c>
      <c r="E11896">
        <v>6.9</v>
      </c>
      <c r="F11896">
        <v>74</v>
      </c>
    </row>
    <row r="11897" spans="1:6" x14ac:dyDescent="0.35">
      <c r="A11897">
        <v>1975</v>
      </c>
      <c r="B11897" s="1">
        <v>46020</v>
      </c>
      <c r="C11897" s="2">
        <v>0.625</v>
      </c>
      <c r="D11897">
        <v>1</v>
      </c>
      <c r="E11897">
        <v>5.9</v>
      </c>
      <c r="F11897">
        <v>73</v>
      </c>
    </row>
    <row r="11898" spans="1:6" x14ac:dyDescent="0.35">
      <c r="A11898">
        <v>1975</v>
      </c>
      <c r="B11898" s="1">
        <v>46020</v>
      </c>
      <c r="C11898" s="2">
        <v>0.66666666666666663</v>
      </c>
      <c r="D11898">
        <v>1</v>
      </c>
      <c r="E11898">
        <v>5.2</v>
      </c>
      <c r="F11898">
        <v>78</v>
      </c>
    </row>
    <row r="11899" spans="1:6" x14ac:dyDescent="0.35">
      <c r="A11899">
        <v>1975</v>
      </c>
      <c r="B11899" s="1">
        <v>46020</v>
      </c>
      <c r="C11899" s="2">
        <v>0.70833333333333337</v>
      </c>
      <c r="D11899">
        <v>1</v>
      </c>
      <c r="E11899">
        <v>4.4000000000000004</v>
      </c>
      <c r="F11899">
        <v>82</v>
      </c>
    </row>
    <row r="11900" spans="1:6" x14ac:dyDescent="0.35">
      <c r="A11900">
        <v>1975</v>
      </c>
      <c r="B11900" s="1">
        <v>46020</v>
      </c>
      <c r="C11900" s="2">
        <v>0.75</v>
      </c>
      <c r="D11900">
        <v>1</v>
      </c>
      <c r="E11900">
        <v>3.4</v>
      </c>
      <c r="F11900">
        <v>85</v>
      </c>
    </row>
    <row r="11901" spans="1:6" x14ac:dyDescent="0.35">
      <c r="A11901">
        <v>1975</v>
      </c>
      <c r="B11901" s="1">
        <v>46020</v>
      </c>
      <c r="C11901" s="2">
        <v>0.79166666666666663</v>
      </c>
      <c r="D11901">
        <v>1</v>
      </c>
      <c r="E11901">
        <v>3</v>
      </c>
      <c r="F11901">
        <v>87</v>
      </c>
    </row>
    <row r="11902" spans="1:6" x14ac:dyDescent="0.35">
      <c r="A11902">
        <v>1975</v>
      </c>
      <c r="B11902" s="1">
        <v>46020</v>
      </c>
      <c r="C11902" s="2">
        <v>0.83333333333333337</v>
      </c>
      <c r="D11902">
        <v>1</v>
      </c>
      <c r="E11902">
        <v>2.1</v>
      </c>
      <c r="F11902">
        <v>90</v>
      </c>
    </row>
    <row r="11903" spans="1:6" x14ac:dyDescent="0.35">
      <c r="A11903">
        <v>1975</v>
      </c>
      <c r="B11903" s="1">
        <v>46020</v>
      </c>
      <c r="C11903" s="2">
        <v>0.875</v>
      </c>
      <c r="D11903">
        <v>1</v>
      </c>
      <c r="E11903">
        <v>0</v>
      </c>
      <c r="F11903">
        <v>97</v>
      </c>
    </row>
    <row r="11904" spans="1:6" x14ac:dyDescent="0.35">
      <c r="A11904">
        <v>1975</v>
      </c>
      <c r="B11904" s="1">
        <v>46020</v>
      </c>
      <c r="C11904" s="2">
        <v>0.91666666666666663</v>
      </c>
      <c r="D11904">
        <v>1</v>
      </c>
      <c r="E11904">
        <v>-0.6</v>
      </c>
      <c r="F11904">
        <v>94</v>
      </c>
    </row>
    <row r="11905" spans="1:6" x14ac:dyDescent="0.35">
      <c r="A11905">
        <v>1975</v>
      </c>
      <c r="B11905" s="1">
        <v>46020</v>
      </c>
      <c r="C11905" s="2">
        <v>0.95833333333333337</v>
      </c>
      <c r="D11905">
        <v>1</v>
      </c>
      <c r="E11905">
        <v>0.5</v>
      </c>
      <c r="F11905">
        <v>93</v>
      </c>
    </row>
    <row r="11906" spans="1:6" x14ac:dyDescent="0.35">
      <c r="A11906">
        <v>1975</v>
      </c>
      <c r="B11906" s="1">
        <v>46021</v>
      </c>
      <c r="C11906" s="2">
        <v>0</v>
      </c>
      <c r="D11906">
        <v>1</v>
      </c>
      <c r="E11906">
        <v>-0.2</v>
      </c>
      <c r="F11906">
        <v>92</v>
      </c>
    </row>
    <row r="11907" spans="1:6" x14ac:dyDescent="0.35">
      <c r="A11907">
        <v>1975</v>
      </c>
      <c r="B11907" s="1">
        <v>46021</v>
      </c>
      <c r="C11907" s="2">
        <v>4.1666666666666657E-2</v>
      </c>
      <c r="D11907">
        <v>1</v>
      </c>
      <c r="E11907">
        <v>-1.5</v>
      </c>
      <c r="F11907">
        <v>97</v>
      </c>
    </row>
    <row r="11908" spans="1:6" x14ac:dyDescent="0.35">
      <c r="A11908">
        <v>1975</v>
      </c>
      <c r="B11908" s="1">
        <v>46021</v>
      </c>
      <c r="C11908" s="2">
        <v>8.3333333333333329E-2</v>
      </c>
      <c r="D11908">
        <v>1</v>
      </c>
      <c r="E11908">
        <v>-1.7</v>
      </c>
      <c r="F11908">
        <v>97</v>
      </c>
    </row>
    <row r="11909" spans="1:6" x14ac:dyDescent="0.35">
      <c r="A11909">
        <v>1975</v>
      </c>
      <c r="B11909" s="1">
        <v>46021</v>
      </c>
      <c r="C11909" s="2">
        <v>0.125</v>
      </c>
      <c r="D11909">
        <v>1</v>
      </c>
      <c r="E11909">
        <v>-2.1</v>
      </c>
      <c r="F11909">
        <v>99</v>
      </c>
    </row>
    <row r="11910" spans="1:6" x14ac:dyDescent="0.35">
      <c r="A11910">
        <v>1975</v>
      </c>
      <c r="B11910" s="1">
        <v>46021</v>
      </c>
      <c r="C11910" s="2">
        <v>0.16666666666666671</v>
      </c>
      <c r="D11910">
        <v>1</v>
      </c>
      <c r="E11910">
        <v>-1.9</v>
      </c>
      <c r="F11910">
        <v>91</v>
      </c>
    </row>
    <row r="11911" spans="1:6" x14ac:dyDescent="0.35">
      <c r="A11911">
        <v>1975</v>
      </c>
      <c r="B11911" s="1">
        <v>46021</v>
      </c>
      <c r="C11911" s="2">
        <v>0.20833333333333329</v>
      </c>
      <c r="D11911">
        <v>1</v>
      </c>
      <c r="E11911">
        <v>-1.7</v>
      </c>
      <c r="F11911">
        <v>82</v>
      </c>
    </row>
    <row r="11912" spans="1:6" x14ac:dyDescent="0.35">
      <c r="A11912">
        <v>1975</v>
      </c>
      <c r="B11912" s="1">
        <v>46021</v>
      </c>
      <c r="C11912" s="2">
        <v>0.25</v>
      </c>
      <c r="D11912">
        <v>1</v>
      </c>
      <c r="E11912">
        <v>-2.2000000000000002</v>
      </c>
      <c r="F11912">
        <v>81</v>
      </c>
    </row>
    <row r="11913" spans="1:6" x14ac:dyDescent="0.35">
      <c r="A11913">
        <v>1975</v>
      </c>
      <c r="B11913" s="1">
        <v>46021</v>
      </c>
      <c r="C11913" s="2">
        <v>0.29166666666666669</v>
      </c>
      <c r="D11913">
        <v>1</v>
      </c>
      <c r="E11913">
        <v>-3</v>
      </c>
      <c r="F11913">
        <v>81</v>
      </c>
    </row>
    <row r="11914" spans="1:6" x14ac:dyDescent="0.35">
      <c r="A11914">
        <v>1975</v>
      </c>
      <c r="B11914" s="1">
        <v>46021</v>
      </c>
      <c r="C11914" s="2">
        <v>0.33333333333333331</v>
      </c>
      <c r="D11914">
        <v>1</v>
      </c>
      <c r="E11914">
        <v>-3.2</v>
      </c>
      <c r="F11914">
        <v>82</v>
      </c>
    </row>
    <row r="11915" spans="1:6" x14ac:dyDescent="0.35">
      <c r="A11915">
        <v>1975</v>
      </c>
      <c r="B11915" s="1">
        <v>46021</v>
      </c>
      <c r="C11915" s="2">
        <v>0.375</v>
      </c>
      <c r="D11915">
        <v>1</v>
      </c>
      <c r="E11915">
        <v>-1.7</v>
      </c>
      <c r="F11915">
        <v>70</v>
      </c>
    </row>
    <row r="11916" spans="1:6" x14ac:dyDescent="0.35">
      <c r="A11916">
        <v>1975</v>
      </c>
      <c r="B11916" s="1">
        <v>46021</v>
      </c>
      <c r="C11916" s="2">
        <v>0.41666666666666669</v>
      </c>
      <c r="D11916">
        <v>1</v>
      </c>
      <c r="E11916">
        <v>-0.2</v>
      </c>
      <c r="F11916">
        <v>65</v>
      </c>
    </row>
    <row r="11917" spans="1:6" x14ac:dyDescent="0.35">
      <c r="A11917">
        <v>1975</v>
      </c>
      <c r="B11917" s="1">
        <v>46021</v>
      </c>
      <c r="C11917" s="2">
        <v>0.45833333333333331</v>
      </c>
      <c r="D11917">
        <v>1</v>
      </c>
      <c r="E11917">
        <v>1</v>
      </c>
      <c r="F11917">
        <v>60</v>
      </c>
    </row>
    <row r="11918" spans="1:6" x14ac:dyDescent="0.35">
      <c r="A11918">
        <v>1975</v>
      </c>
      <c r="B11918" s="1">
        <v>46021</v>
      </c>
      <c r="C11918" s="2">
        <v>0.5</v>
      </c>
      <c r="D11918">
        <v>1</v>
      </c>
      <c r="E11918">
        <v>2</v>
      </c>
      <c r="F11918">
        <v>57</v>
      </c>
    </row>
    <row r="11919" spans="1:6" x14ac:dyDescent="0.35">
      <c r="A11919">
        <v>1975</v>
      </c>
      <c r="B11919" s="1">
        <v>46021</v>
      </c>
      <c r="C11919" s="2">
        <v>0.54166666666666663</v>
      </c>
      <c r="D11919">
        <v>1</v>
      </c>
      <c r="E11919">
        <v>2.4</v>
      </c>
      <c r="F11919">
        <v>54</v>
      </c>
    </row>
    <row r="11920" spans="1:6" x14ac:dyDescent="0.35">
      <c r="A11920">
        <v>1975</v>
      </c>
      <c r="B11920" s="1">
        <v>46021</v>
      </c>
      <c r="C11920" s="2">
        <v>0.58333333333333337</v>
      </c>
      <c r="D11920">
        <v>1</v>
      </c>
      <c r="E11920">
        <v>2.2999999999999998</v>
      </c>
      <c r="F11920">
        <v>55</v>
      </c>
    </row>
    <row r="11921" spans="1:6" x14ac:dyDescent="0.35">
      <c r="A11921">
        <v>1975</v>
      </c>
      <c r="B11921" s="1">
        <v>46021</v>
      </c>
      <c r="C11921" s="2">
        <v>0.625</v>
      </c>
      <c r="D11921">
        <v>1</v>
      </c>
      <c r="E11921">
        <v>1.5</v>
      </c>
      <c r="F11921">
        <v>60</v>
      </c>
    </row>
    <row r="11922" spans="1:6" x14ac:dyDescent="0.35">
      <c r="A11922">
        <v>1975</v>
      </c>
      <c r="B11922" s="1">
        <v>46021</v>
      </c>
      <c r="C11922" s="2">
        <v>0.66666666666666663</v>
      </c>
      <c r="D11922">
        <v>1</v>
      </c>
      <c r="E11922">
        <v>0.2</v>
      </c>
      <c r="F11922">
        <v>65</v>
      </c>
    </row>
    <row r="11923" spans="1:6" x14ac:dyDescent="0.35">
      <c r="A11923">
        <v>1975</v>
      </c>
      <c r="B11923" s="1">
        <v>46021</v>
      </c>
      <c r="C11923" s="2">
        <v>0.70833333333333337</v>
      </c>
      <c r="D11923">
        <v>1</v>
      </c>
      <c r="E11923">
        <v>-0.4</v>
      </c>
      <c r="F11923">
        <v>68</v>
      </c>
    </row>
    <row r="11924" spans="1:6" x14ac:dyDescent="0.35">
      <c r="A11924">
        <v>1975</v>
      </c>
      <c r="B11924" s="1">
        <v>46021</v>
      </c>
      <c r="C11924" s="2">
        <v>0.75</v>
      </c>
      <c r="D11924">
        <v>1</v>
      </c>
      <c r="E11924">
        <v>-1.4</v>
      </c>
      <c r="F11924">
        <v>73</v>
      </c>
    </row>
    <row r="11925" spans="1:6" x14ac:dyDescent="0.35">
      <c r="A11925">
        <v>1975</v>
      </c>
      <c r="B11925" s="1">
        <v>46021</v>
      </c>
      <c r="C11925" s="2">
        <v>0.79166666666666663</v>
      </c>
      <c r="D11925">
        <v>1</v>
      </c>
      <c r="E11925">
        <v>-2.5</v>
      </c>
      <c r="F11925">
        <v>76</v>
      </c>
    </row>
    <row r="11926" spans="1:6" x14ac:dyDescent="0.35">
      <c r="A11926">
        <v>1975</v>
      </c>
      <c r="B11926" s="1">
        <v>46021</v>
      </c>
      <c r="C11926" s="2">
        <v>0.83333333333333337</v>
      </c>
      <c r="D11926">
        <v>1</v>
      </c>
      <c r="E11926">
        <v>-4.3</v>
      </c>
      <c r="F11926">
        <v>81</v>
      </c>
    </row>
    <row r="11927" spans="1:6" x14ac:dyDescent="0.35">
      <c r="A11927">
        <v>1975</v>
      </c>
      <c r="B11927" s="1">
        <v>46021</v>
      </c>
      <c r="C11927" s="2">
        <v>0.875</v>
      </c>
      <c r="D11927">
        <v>1</v>
      </c>
      <c r="E11927">
        <v>-2.2000000000000002</v>
      </c>
      <c r="F11927">
        <v>78</v>
      </c>
    </row>
    <row r="11928" spans="1:6" x14ac:dyDescent="0.35">
      <c r="A11928">
        <v>1975</v>
      </c>
      <c r="B11928" s="1">
        <v>46021</v>
      </c>
      <c r="C11928" s="2">
        <v>0.91666666666666663</v>
      </c>
      <c r="D11928">
        <v>1</v>
      </c>
      <c r="E11928">
        <v>-1.8</v>
      </c>
      <c r="F11928">
        <v>74</v>
      </c>
    </row>
    <row r="11929" spans="1:6" x14ac:dyDescent="0.35">
      <c r="A11929">
        <v>1975</v>
      </c>
      <c r="B11929" s="1">
        <v>46021</v>
      </c>
      <c r="C11929" s="2">
        <v>0.95833333333333337</v>
      </c>
      <c r="D11929">
        <v>1</v>
      </c>
      <c r="E11929">
        <v>-2.2000000000000002</v>
      </c>
      <c r="F11929">
        <v>77</v>
      </c>
    </row>
    <row r="11930" spans="1:6" x14ac:dyDescent="0.35">
      <c r="A11930">
        <v>1975</v>
      </c>
      <c r="B11930" s="1">
        <v>46022</v>
      </c>
      <c r="C11930" s="2">
        <v>0</v>
      </c>
      <c r="D11930">
        <v>1</v>
      </c>
      <c r="E11930">
        <v>-1.3</v>
      </c>
      <c r="F11930">
        <v>76</v>
      </c>
    </row>
    <row r="11931" spans="1:6" x14ac:dyDescent="0.35">
      <c r="A11931">
        <v>1975</v>
      </c>
      <c r="B11931" s="1">
        <v>46022</v>
      </c>
      <c r="C11931" s="2">
        <v>4.1666666666666657E-2</v>
      </c>
      <c r="D11931">
        <v>1</v>
      </c>
      <c r="E11931">
        <v>-0.2</v>
      </c>
      <c r="F11931">
        <v>73</v>
      </c>
    </row>
    <row r="11932" spans="1:6" x14ac:dyDescent="0.35">
      <c r="A11932">
        <v>1975</v>
      </c>
      <c r="B11932" s="1">
        <v>46022</v>
      </c>
      <c r="C11932" s="2">
        <v>8.3333333333333329E-2</v>
      </c>
      <c r="D11932">
        <v>1</v>
      </c>
      <c r="E11932">
        <v>0.5</v>
      </c>
      <c r="F11932">
        <v>82</v>
      </c>
    </row>
    <row r="11933" spans="1:6" x14ac:dyDescent="0.35">
      <c r="A11933">
        <v>1975</v>
      </c>
      <c r="B11933" s="1">
        <v>46022</v>
      </c>
      <c r="C11933" s="2">
        <v>0.125</v>
      </c>
      <c r="D11933">
        <v>1</v>
      </c>
      <c r="E11933">
        <v>1</v>
      </c>
      <c r="F11933">
        <v>85</v>
      </c>
    </row>
    <row r="11934" spans="1:6" x14ac:dyDescent="0.35">
      <c r="A11934">
        <v>1975</v>
      </c>
      <c r="B11934" s="1">
        <v>46022</v>
      </c>
      <c r="C11934" s="2">
        <v>0.16666666666666671</v>
      </c>
      <c r="D11934">
        <v>1</v>
      </c>
      <c r="E11934">
        <v>1.4</v>
      </c>
      <c r="F11934">
        <v>88</v>
      </c>
    </row>
    <row r="11935" spans="1:6" x14ac:dyDescent="0.35">
      <c r="A11935">
        <v>1975</v>
      </c>
      <c r="B11935" s="1">
        <v>46022</v>
      </c>
      <c r="C11935" s="2">
        <v>0.20833333333333329</v>
      </c>
      <c r="D11935">
        <v>1</v>
      </c>
      <c r="E11935">
        <v>1.7</v>
      </c>
      <c r="F11935">
        <v>92</v>
      </c>
    </row>
    <row r="11936" spans="1:6" x14ac:dyDescent="0.35">
      <c r="A11936">
        <v>1975</v>
      </c>
      <c r="B11936" s="1">
        <v>46022</v>
      </c>
      <c r="C11936" s="2">
        <v>0.25</v>
      </c>
      <c r="D11936">
        <v>1</v>
      </c>
      <c r="E11936">
        <v>2.2000000000000002</v>
      </c>
      <c r="F11936">
        <v>96</v>
      </c>
    </row>
    <row r="11937" spans="1:6" x14ac:dyDescent="0.35">
      <c r="A11937">
        <v>1975</v>
      </c>
      <c r="B11937" s="1">
        <v>46022</v>
      </c>
      <c r="C11937" s="2">
        <v>0.29166666666666669</v>
      </c>
      <c r="D11937">
        <v>1</v>
      </c>
      <c r="E11937">
        <v>2.7</v>
      </c>
      <c r="F11937">
        <v>98</v>
      </c>
    </row>
    <row r="11938" spans="1:6" x14ac:dyDescent="0.35">
      <c r="A11938">
        <v>1975</v>
      </c>
      <c r="B11938" s="1">
        <v>46022</v>
      </c>
      <c r="C11938" s="2">
        <v>0.33333333333333331</v>
      </c>
      <c r="D11938">
        <v>1</v>
      </c>
      <c r="E11938">
        <v>3.1</v>
      </c>
      <c r="F11938">
        <v>98</v>
      </c>
    </row>
    <row r="11939" spans="1:6" x14ac:dyDescent="0.35">
      <c r="A11939">
        <v>1975</v>
      </c>
      <c r="B11939" s="1">
        <v>46022</v>
      </c>
      <c r="C11939" s="2">
        <v>0.375</v>
      </c>
      <c r="D11939">
        <v>1</v>
      </c>
      <c r="E11939">
        <v>4</v>
      </c>
      <c r="F11939">
        <v>99</v>
      </c>
    </row>
    <row r="11940" spans="1:6" x14ac:dyDescent="0.35">
      <c r="A11940">
        <v>1975</v>
      </c>
      <c r="B11940" s="1">
        <v>46022</v>
      </c>
      <c r="C11940" s="2">
        <v>0.41666666666666669</v>
      </c>
      <c r="D11940">
        <v>1</v>
      </c>
      <c r="E11940">
        <v>5</v>
      </c>
      <c r="F11940">
        <v>97</v>
      </c>
    </row>
    <row r="11941" spans="1:6" x14ac:dyDescent="0.35">
      <c r="A11941">
        <v>1975</v>
      </c>
      <c r="B11941" s="1">
        <v>46022</v>
      </c>
      <c r="C11941" s="2">
        <v>0.45833333333333331</v>
      </c>
      <c r="D11941">
        <v>1</v>
      </c>
      <c r="E11941">
        <v>5.4</v>
      </c>
      <c r="F11941">
        <v>91</v>
      </c>
    </row>
    <row r="11942" spans="1:6" x14ac:dyDescent="0.35">
      <c r="A11942">
        <v>1975</v>
      </c>
      <c r="B11942" s="1">
        <v>46022</v>
      </c>
      <c r="C11942" s="2">
        <v>0.5</v>
      </c>
      <c r="D11942">
        <v>1</v>
      </c>
      <c r="E11942">
        <v>5.7</v>
      </c>
      <c r="F11942">
        <v>87</v>
      </c>
    </row>
    <row r="11943" spans="1:6" x14ac:dyDescent="0.35">
      <c r="A11943">
        <v>1975</v>
      </c>
      <c r="B11943" s="1">
        <v>46022</v>
      </c>
      <c r="C11943" s="2">
        <v>0.54166666666666663</v>
      </c>
      <c r="D11943">
        <v>1</v>
      </c>
      <c r="E11943">
        <v>5.9</v>
      </c>
      <c r="F11943">
        <v>87</v>
      </c>
    </row>
    <row r="11944" spans="1:6" x14ac:dyDescent="0.35">
      <c r="A11944">
        <v>1975</v>
      </c>
      <c r="B11944" s="1">
        <v>46022</v>
      </c>
      <c r="C11944" s="2">
        <v>0.58333333333333337</v>
      </c>
      <c r="D11944">
        <v>1</v>
      </c>
      <c r="E11944">
        <v>5.8</v>
      </c>
      <c r="F11944">
        <v>86</v>
      </c>
    </row>
    <row r="11945" spans="1:6" x14ac:dyDescent="0.35">
      <c r="A11945">
        <v>1975</v>
      </c>
      <c r="B11945" s="1">
        <v>46022</v>
      </c>
      <c r="C11945" s="2">
        <v>0.625</v>
      </c>
      <c r="D11945">
        <v>1</v>
      </c>
      <c r="E11945">
        <v>5.6</v>
      </c>
      <c r="F11945">
        <v>84</v>
      </c>
    </row>
    <row r="11946" spans="1:6" x14ac:dyDescent="0.35">
      <c r="A11946">
        <v>1975</v>
      </c>
      <c r="B11946" s="1">
        <v>46022</v>
      </c>
      <c r="C11946" s="2">
        <v>0.66666666666666663</v>
      </c>
      <c r="D11946">
        <v>1</v>
      </c>
      <c r="E11946">
        <v>4.9000000000000004</v>
      </c>
      <c r="F11946">
        <v>86</v>
      </c>
    </row>
    <row r="11947" spans="1:6" x14ac:dyDescent="0.35">
      <c r="A11947">
        <v>1975</v>
      </c>
      <c r="B11947" s="1">
        <v>46022</v>
      </c>
      <c r="C11947" s="2">
        <v>0.70833333333333337</v>
      </c>
      <c r="D11947">
        <v>1</v>
      </c>
      <c r="E11947">
        <v>4.7</v>
      </c>
      <c r="F11947">
        <v>91</v>
      </c>
    </row>
    <row r="11948" spans="1:6" x14ac:dyDescent="0.35">
      <c r="A11948">
        <v>1975</v>
      </c>
      <c r="B11948" s="1">
        <v>46022</v>
      </c>
      <c r="C11948" s="2">
        <v>0.75</v>
      </c>
      <c r="D11948">
        <v>1</v>
      </c>
      <c r="E11948">
        <v>4.8</v>
      </c>
      <c r="F11948">
        <v>88</v>
      </c>
    </row>
    <row r="11949" spans="1:6" x14ac:dyDescent="0.35">
      <c r="A11949">
        <v>1975</v>
      </c>
      <c r="B11949" s="1">
        <v>46022</v>
      </c>
      <c r="C11949" s="2">
        <v>0.79166666666666663</v>
      </c>
      <c r="D11949">
        <v>1</v>
      </c>
      <c r="E11949">
        <v>4.7</v>
      </c>
      <c r="F11949">
        <v>90</v>
      </c>
    </row>
    <row r="11950" spans="1:6" x14ac:dyDescent="0.35">
      <c r="A11950">
        <v>1975</v>
      </c>
      <c r="B11950" s="1">
        <v>46022</v>
      </c>
      <c r="C11950" s="2">
        <v>0.83333333333333337</v>
      </c>
      <c r="D11950">
        <v>1</v>
      </c>
      <c r="E11950">
        <v>4.9000000000000004</v>
      </c>
      <c r="F11950">
        <v>96</v>
      </c>
    </row>
    <row r="11951" spans="1:6" x14ac:dyDescent="0.35">
      <c r="A11951">
        <v>1975</v>
      </c>
      <c r="B11951" s="1">
        <v>46022</v>
      </c>
      <c r="C11951" s="2">
        <v>0.875</v>
      </c>
      <c r="D11951">
        <v>1</v>
      </c>
      <c r="E11951">
        <v>5.2</v>
      </c>
      <c r="F11951">
        <v>98</v>
      </c>
    </row>
    <row r="11952" spans="1:6" x14ac:dyDescent="0.35">
      <c r="A11952">
        <v>1975</v>
      </c>
      <c r="B11952" s="1">
        <v>46022</v>
      </c>
      <c r="C11952" s="2">
        <v>0.91666666666666663</v>
      </c>
      <c r="D11952">
        <v>1</v>
      </c>
      <c r="E11952">
        <v>5.3</v>
      </c>
      <c r="F11952">
        <v>97</v>
      </c>
    </row>
    <row r="11953" spans="1:6" x14ac:dyDescent="0.35">
      <c r="A11953">
        <v>1975</v>
      </c>
      <c r="B11953" s="1">
        <v>46022</v>
      </c>
      <c r="C11953" s="2">
        <v>0.95833333333333337</v>
      </c>
      <c r="D11953">
        <v>1</v>
      </c>
      <c r="E11953">
        <v>4.8</v>
      </c>
      <c r="F11953">
        <v>93</v>
      </c>
    </row>
    <row r="11954" spans="1:6" x14ac:dyDescent="0.35">
      <c r="A11954">
        <v>1975</v>
      </c>
      <c r="B11954" s="1">
        <v>46023</v>
      </c>
      <c r="C11954" s="2">
        <v>0</v>
      </c>
      <c r="D11954">
        <v>1</v>
      </c>
      <c r="E11954">
        <v>4.2</v>
      </c>
      <c r="F11954">
        <v>90</v>
      </c>
    </row>
    <row r="11955" spans="1:6" x14ac:dyDescent="0.35">
      <c r="A11955">
        <v>1975</v>
      </c>
      <c r="B11955" s="1">
        <v>46023</v>
      </c>
      <c r="C11955" s="2">
        <v>4.1666666666666657E-2</v>
      </c>
      <c r="D11955">
        <v>1</v>
      </c>
      <c r="E11955">
        <v>3.7</v>
      </c>
      <c r="F11955">
        <v>91</v>
      </c>
    </row>
    <row r="11956" spans="1:6" x14ac:dyDescent="0.35">
      <c r="A11956">
        <v>1975</v>
      </c>
      <c r="B11956" s="1">
        <v>46023</v>
      </c>
      <c r="C11956" s="2">
        <v>8.3333333333333329E-2</v>
      </c>
      <c r="D11956">
        <v>1</v>
      </c>
      <c r="E11956">
        <v>3.1</v>
      </c>
      <c r="F11956">
        <v>90</v>
      </c>
    </row>
    <row r="11957" spans="1:6" x14ac:dyDescent="0.35">
      <c r="A11957">
        <v>1975</v>
      </c>
      <c r="B11957" s="1">
        <v>46023</v>
      </c>
      <c r="C11957" s="2">
        <v>0.125</v>
      </c>
      <c r="D11957">
        <v>1</v>
      </c>
      <c r="E11957">
        <v>2.6</v>
      </c>
      <c r="F11957">
        <v>93</v>
      </c>
    </row>
    <row r="11958" spans="1:6" x14ac:dyDescent="0.35">
      <c r="A11958">
        <v>1975</v>
      </c>
      <c r="B11958" s="1">
        <v>46023</v>
      </c>
      <c r="C11958" s="2">
        <v>0.16666666666666671</v>
      </c>
      <c r="D11958">
        <v>1</v>
      </c>
      <c r="E11958">
        <v>2.9</v>
      </c>
      <c r="F11958">
        <v>92</v>
      </c>
    </row>
    <row r="11959" spans="1:6" x14ac:dyDescent="0.35">
      <c r="A11959">
        <v>1975</v>
      </c>
      <c r="B11959" s="1">
        <v>46023</v>
      </c>
      <c r="C11959" s="2">
        <v>0.20833333333333329</v>
      </c>
      <c r="D11959">
        <v>1</v>
      </c>
      <c r="E11959">
        <v>3.1</v>
      </c>
      <c r="F11959">
        <v>88</v>
      </c>
    </row>
    <row r="11960" spans="1:6" x14ac:dyDescent="0.35">
      <c r="A11960">
        <v>1975</v>
      </c>
      <c r="B11960" s="1">
        <v>46023</v>
      </c>
      <c r="C11960" s="2">
        <v>0.25</v>
      </c>
      <c r="D11960">
        <v>1</v>
      </c>
      <c r="E11960">
        <v>3.1</v>
      </c>
      <c r="F11960">
        <v>87</v>
      </c>
    </row>
    <row r="11961" spans="1:6" x14ac:dyDescent="0.35">
      <c r="A11961">
        <v>1975</v>
      </c>
      <c r="B11961" s="1">
        <v>46023</v>
      </c>
      <c r="C11961" s="2">
        <v>0.29166666666666669</v>
      </c>
      <c r="D11961">
        <v>1</v>
      </c>
      <c r="E11961">
        <v>3.2</v>
      </c>
      <c r="F11961">
        <v>87</v>
      </c>
    </row>
    <row r="11962" spans="1:6" x14ac:dyDescent="0.35">
      <c r="A11962">
        <v>1975</v>
      </c>
      <c r="B11962" s="1">
        <v>46023</v>
      </c>
      <c r="C11962" s="2">
        <v>0.33333333333333331</v>
      </c>
      <c r="D11962">
        <v>1</v>
      </c>
      <c r="E11962">
        <v>3.4</v>
      </c>
      <c r="F11962">
        <v>85</v>
      </c>
    </row>
    <row r="11963" spans="1:6" x14ac:dyDescent="0.35">
      <c r="A11963">
        <v>1975</v>
      </c>
      <c r="B11963" s="1">
        <v>46023</v>
      </c>
      <c r="C11963" s="2">
        <v>0.375</v>
      </c>
      <c r="D11963">
        <v>1</v>
      </c>
      <c r="E11963">
        <v>3.6</v>
      </c>
      <c r="F11963">
        <v>83</v>
      </c>
    </row>
    <row r="11964" spans="1:6" x14ac:dyDescent="0.35">
      <c r="A11964">
        <v>1975</v>
      </c>
      <c r="B11964" s="1">
        <v>46023</v>
      </c>
      <c r="C11964" s="2">
        <v>0.41666666666666669</v>
      </c>
      <c r="D11964">
        <v>1</v>
      </c>
      <c r="E11964">
        <v>3.3</v>
      </c>
      <c r="F11964">
        <v>88</v>
      </c>
    </row>
    <row r="11965" spans="1:6" x14ac:dyDescent="0.35">
      <c r="A11965">
        <v>1975</v>
      </c>
      <c r="B11965" s="1">
        <v>46023</v>
      </c>
      <c r="C11965" s="2">
        <v>0.45833333333333331</v>
      </c>
      <c r="D11965">
        <v>1</v>
      </c>
      <c r="E11965">
        <v>2.4</v>
      </c>
      <c r="F11965">
        <v>92</v>
      </c>
    </row>
    <row r="11966" spans="1:6" x14ac:dyDescent="0.35">
      <c r="A11966">
        <v>1975</v>
      </c>
      <c r="B11966" s="1">
        <v>46023</v>
      </c>
      <c r="C11966" s="2">
        <v>0.5</v>
      </c>
      <c r="D11966">
        <v>1</v>
      </c>
      <c r="E11966">
        <v>2.7</v>
      </c>
      <c r="F11966">
        <v>93</v>
      </c>
    </row>
    <row r="11967" spans="1:6" x14ac:dyDescent="0.35">
      <c r="A11967">
        <v>1975</v>
      </c>
      <c r="B11967" s="1">
        <v>46023</v>
      </c>
      <c r="C11967" s="2">
        <v>0.54166666666666663</v>
      </c>
      <c r="D11967">
        <v>1</v>
      </c>
      <c r="E11967">
        <v>2.8</v>
      </c>
      <c r="F11967">
        <v>92</v>
      </c>
    </row>
    <row r="11968" spans="1:6" x14ac:dyDescent="0.35">
      <c r="A11968">
        <v>1975</v>
      </c>
      <c r="B11968" s="1">
        <v>46023</v>
      </c>
      <c r="C11968" s="2">
        <v>0.58333333333333337</v>
      </c>
      <c r="D11968">
        <v>1</v>
      </c>
      <c r="E11968">
        <v>2.9</v>
      </c>
      <c r="F11968">
        <v>93</v>
      </c>
    </row>
    <row r="11969" spans="1:6" x14ac:dyDescent="0.35">
      <c r="A11969">
        <v>1975</v>
      </c>
      <c r="B11969" s="1">
        <v>46023</v>
      </c>
      <c r="C11969" s="2">
        <v>0.625</v>
      </c>
      <c r="D11969">
        <v>1</v>
      </c>
      <c r="E11969">
        <v>3.5</v>
      </c>
      <c r="F11969">
        <v>94</v>
      </c>
    </row>
    <row r="11970" spans="1:6" x14ac:dyDescent="0.35">
      <c r="A11970">
        <v>1975</v>
      </c>
      <c r="B11970" s="1">
        <v>46023</v>
      </c>
      <c r="C11970" s="2">
        <v>0.66666666666666663</v>
      </c>
      <c r="D11970">
        <v>1</v>
      </c>
      <c r="E11970">
        <v>3.6</v>
      </c>
      <c r="F11970">
        <v>89</v>
      </c>
    </row>
    <row r="11971" spans="1:6" x14ac:dyDescent="0.35">
      <c r="A11971">
        <v>1975</v>
      </c>
      <c r="B11971" s="1">
        <v>46023</v>
      </c>
      <c r="C11971" s="2">
        <v>0.70833333333333337</v>
      </c>
      <c r="D11971">
        <v>1</v>
      </c>
      <c r="E11971">
        <v>3.3</v>
      </c>
      <c r="F11971">
        <v>93</v>
      </c>
    </row>
    <row r="11972" spans="1:6" x14ac:dyDescent="0.35">
      <c r="A11972">
        <v>1975</v>
      </c>
      <c r="B11972" s="1">
        <v>46023</v>
      </c>
      <c r="C11972" s="2">
        <v>0.75</v>
      </c>
      <c r="D11972">
        <v>1</v>
      </c>
      <c r="E11972">
        <v>1.6</v>
      </c>
      <c r="F11972">
        <v>96</v>
      </c>
    </row>
    <row r="11973" spans="1:6" x14ac:dyDescent="0.35">
      <c r="A11973">
        <v>1975</v>
      </c>
      <c r="B11973" s="1">
        <v>46023</v>
      </c>
      <c r="C11973" s="2">
        <v>0.79166666666666663</v>
      </c>
      <c r="D11973">
        <v>1</v>
      </c>
      <c r="E11973">
        <v>2</v>
      </c>
      <c r="F11973">
        <v>96</v>
      </c>
    </row>
    <row r="11974" spans="1:6" x14ac:dyDescent="0.35">
      <c r="A11974">
        <v>1975</v>
      </c>
      <c r="B11974" s="1">
        <v>46023</v>
      </c>
      <c r="C11974" s="2">
        <v>0.83333333333333337</v>
      </c>
      <c r="D11974">
        <v>1</v>
      </c>
      <c r="E11974">
        <v>2.5</v>
      </c>
      <c r="F11974">
        <v>91</v>
      </c>
    </row>
    <row r="11975" spans="1:6" x14ac:dyDescent="0.35">
      <c r="A11975">
        <v>1975</v>
      </c>
      <c r="B11975" s="1">
        <v>46023</v>
      </c>
      <c r="C11975" s="2">
        <v>0.875</v>
      </c>
      <c r="D11975">
        <v>1</v>
      </c>
      <c r="E11975">
        <v>2.1</v>
      </c>
      <c r="F11975">
        <v>91</v>
      </c>
    </row>
    <row r="11976" spans="1:6" x14ac:dyDescent="0.35">
      <c r="A11976">
        <v>1975</v>
      </c>
      <c r="B11976" s="1">
        <v>46023</v>
      </c>
      <c r="C11976" s="2">
        <v>0.91666666666666663</v>
      </c>
      <c r="D11976">
        <v>1</v>
      </c>
      <c r="E11976">
        <v>1.9</v>
      </c>
      <c r="F11976">
        <v>91</v>
      </c>
    </row>
    <row r="11977" spans="1:6" x14ac:dyDescent="0.35">
      <c r="A11977">
        <v>1975</v>
      </c>
      <c r="B11977" s="1">
        <v>46023</v>
      </c>
      <c r="C11977" s="2">
        <v>0.95833333333333337</v>
      </c>
      <c r="D11977">
        <v>1</v>
      </c>
      <c r="E11977">
        <v>2.2000000000000002</v>
      </c>
      <c r="F11977">
        <v>88</v>
      </c>
    </row>
    <row r="11978" spans="1:6" x14ac:dyDescent="0.35">
      <c r="A11978">
        <v>1975</v>
      </c>
      <c r="B11978" s="1">
        <v>46024</v>
      </c>
      <c r="C11978" s="2">
        <v>0</v>
      </c>
      <c r="D11978">
        <v>1</v>
      </c>
      <c r="E11978">
        <v>2.1</v>
      </c>
      <c r="F11978">
        <v>87</v>
      </c>
    </row>
    <row r="11979" spans="1:6" x14ac:dyDescent="0.35">
      <c r="A11979">
        <v>1975</v>
      </c>
      <c r="B11979" s="1">
        <v>46024</v>
      </c>
      <c r="C11979" s="2">
        <v>4.1666666666666657E-2</v>
      </c>
      <c r="D11979">
        <v>1</v>
      </c>
      <c r="E11979">
        <v>2.5</v>
      </c>
      <c r="F11979">
        <v>83</v>
      </c>
    </row>
    <row r="11980" spans="1:6" x14ac:dyDescent="0.35">
      <c r="A11980">
        <v>1975</v>
      </c>
      <c r="B11980" s="1">
        <v>46024</v>
      </c>
      <c r="C11980" s="2">
        <v>8.3333333333333329E-2</v>
      </c>
      <c r="D11980">
        <v>1</v>
      </c>
      <c r="E11980">
        <v>2.5</v>
      </c>
      <c r="F11980">
        <v>86</v>
      </c>
    </row>
    <row r="11981" spans="1:6" x14ac:dyDescent="0.35">
      <c r="A11981">
        <v>1975</v>
      </c>
      <c r="B11981" s="1">
        <v>46024</v>
      </c>
      <c r="C11981" s="2">
        <v>0.125</v>
      </c>
      <c r="D11981">
        <v>1</v>
      </c>
      <c r="E11981">
        <v>1.7</v>
      </c>
      <c r="F11981">
        <v>93</v>
      </c>
    </row>
    <row r="11982" spans="1:6" x14ac:dyDescent="0.35">
      <c r="A11982">
        <v>1975</v>
      </c>
      <c r="B11982" s="1">
        <v>46024</v>
      </c>
      <c r="C11982" s="2">
        <v>0.16666666666666671</v>
      </c>
      <c r="D11982">
        <v>1</v>
      </c>
      <c r="E11982">
        <v>1.8</v>
      </c>
      <c r="F11982">
        <v>93</v>
      </c>
    </row>
    <row r="11983" spans="1:6" x14ac:dyDescent="0.35">
      <c r="A11983">
        <v>1975</v>
      </c>
      <c r="B11983" s="1">
        <v>46024</v>
      </c>
      <c r="C11983" s="2">
        <v>0.20833333333333329</v>
      </c>
      <c r="D11983">
        <v>1</v>
      </c>
      <c r="E11983">
        <v>0.4</v>
      </c>
      <c r="F11983">
        <v>98</v>
      </c>
    </row>
    <row r="11984" spans="1:6" x14ac:dyDescent="0.35">
      <c r="A11984">
        <v>1975</v>
      </c>
      <c r="B11984" s="1">
        <v>46024</v>
      </c>
      <c r="C11984" s="2">
        <v>0.25</v>
      </c>
      <c r="D11984">
        <v>1</v>
      </c>
      <c r="E11984">
        <v>0.2</v>
      </c>
      <c r="F11984">
        <v>100</v>
      </c>
    </row>
    <row r="11985" spans="1:6" x14ac:dyDescent="0.35">
      <c r="A11985">
        <v>1975</v>
      </c>
      <c r="B11985" s="1">
        <v>46024</v>
      </c>
      <c r="C11985" s="2">
        <v>0.29166666666666669</v>
      </c>
      <c r="D11985">
        <v>1</v>
      </c>
      <c r="E11985">
        <v>0.4</v>
      </c>
      <c r="F11985">
        <v>99</v>
      </c>
    </row>
    <row r="11986" spans="1:6" x14ac:dyDescent="0.35">
      <c r="A11986">
        <v>1975</v>
      </c>
      <c r="B11986" s="1">
        <v>46024</v>
      </c>
      <c r="C11986" s="2">
        <v>0.33333333333333331</v>
      </c>
      <c r="D11986">
        <v>1</v>
      </c>
      <c r="E11986">
        <v>0.5</v>
      </c>
      <c r="F11986">
        <v>99</v>
      </c>
    </row>
    <row r="11987" spans="1:6" x14ac:dyDescent="0.35">
      <c r="A11987">
        <v>1975</v>
      </c>
      <c r="B11987" s="1">
        <v>46024</v>
      </c>
      <c r="C11987" s="2">
        <v>0.375</v>
      </c>
      <c r="D11987">
        <v>1</v>
      </c>
      <c r="E11987">
        <v>0.3</v>
      </c>
      <c r="F11987">
        <v>100</v>
      </c>
    </row>
    <row r="11988" spans="1:6" x14ac:dyDescent="0.35">
      <c r="A11988">
        <v>1975</v>
      </c>
      <c r="B11988" s="1">
        <v>46024</v>
      </c>
      <c r="C11988" s="2">
        <v>0.41666666666666669</v>
      </c>
      <c r="D11988">
        <v>1</v>
      </c>
      <c r="E11988">
        <v>0.4</v>
      </c>
      <c r="F11988">
        <v>99</v>
      </c>
    </row>
    <row r="11989" spans="1:6" x14ac:dyDescent="0.35">
      <c r="A11989">
        <v>1975</v>
      </c>
      <c r="B11989" s="1">
        <v>46024</v>
      </c>
      <c r="C11989" s="2">
        <v>0.45833333333333331</v>
      </c>
      <c r="D11989">
        <v>1</v>
      </c>
      <c r="E11989">
        <v>1</v>
      </c>
      <c r="F11989">
        <v>94</v>
      </c>
    </row>
    <row r="11990" spans="1:6" x14ac:dyDescent="0.35">
      <c r="A11990">
        <v>1975</v>
      </c>
      <c r="B11990" s="1">
        <v>46024</v>
      </c>
      <c r="C11990" s="2">
        <v>0.5</v>
      </c>
      <c r="D11990">
        <v>1</v>
      </c>
      <c r="E11990">
        <v>0.8</v>
      </c>
      <c r="F11990">
        <v>96</v>
      </c>
    </row>
    <row r="11991" spans="1:6" x14ac:dyDescent="0.35">
      <c r="A11991">
        <v>1975</v>
      </c>
      <c r="B11991" s="1">
        <v>46024</v>
      </c>
      <c r="C11991" s="2">
        <v>0.54166666666666663</v>
      </c>
      <c r="D11991">
        <v>1</v>
      </c>
      <c r="E11991">
        <v>0.1</v>
      </c>
      <c r="F11991">
        <v>99</v>
      </c>
    </row>
    <row r="11992" spans="1:6" x14ac:dyDescent="0.35">
      <c r="A11992">
        <v>1975</v>
      </c>
      <c r="B11992" s="1">
        <v>46024</v>
      </c>
      <c r="C11992" s="2">
        <v>0.58333333333333337</v>
      </c>
      <c r="D11992">
        <v>1</v>
      </c>
      <c r="E11992">
        <v>-0.5</v>
      </c>
      <c r="F11992">
        <v>97</v>
      </c>
    </row>
    <row r="11993" spans="1:6" x14ac:dyDescent="0.35">
      <c r="A11993">
        <v>1975</v>
      </c>
      <c r="B11993" s="1">
        <v>46024</v>
      </c>
      <c r="C11993" s="2">
        <v>0.625</v>
      </c>
      <c r="D11993">
        <v>1</v>
      </c>
      <c r="E11993">
        <v>0.6</v>
      </c>
      <c r="F11993">
        <v>89</v>
      </c>
    </row>
    <row r="11994" spans="1:6" x14ac:dyDescent="0.35">
      <c r="A11994">
        <v>1975</v>
      </c>
      <c r="B11994" s="1">
        <v>46024</v>
      </c>
      <c r="C11994" s="2">
        <v>0.66666666666666663</v>
      </c>
      <c r="D11994">
        <v>1</v>
      </c>
      <c r="E11994">
        <v>0.3</v>
      </c>
      <c r="F11994">
        <v>93</v>
      </c>
    </row>
    <row r="11995" spans="1:6" x14ac:dyDescent="0.35">
      <c r="A11995">
        <v>1975</v>
      </c>
      <c r="B11995" s="1">
        <v>46024</v>
      </c>
      <c r="C11995" s="2">
        <v>0.70833333333333337</v>
      </c>
      <c r="D11995">
        <v>1</v>
      </c>
      <c r="E11995">
        <v>0.3</v>
      </c>
      <c r="F11995">
        <v>95</v>
      </c>
    </row>
    <row r="11996" spans="1:6" x14ac:dyDescent="0.35">
      <c r="A11996">
        <v>1975</v>
      </c>
      <c r="B11996" s="1">
        <v>46024</v>
      </c>
      <c r="C11996" s="2">
        <v>0.75</v>
      </c>
      <c r="D11996">
        <v>1</v>
      </c>
      <c r="E11996">
        <v>0.3</v>
      </c>
      <c r="F11996">
        <v>94</v>
      </c>
    </row>
    <row r="11997" spans="1:6" x14ac:dyDescent="0.35">
      <c r="A11997">
        <v>1975</v>
      </c>
      <c r="B11997" s="1">
        <v>46024</v>
      </c>
      <c r="C11997" s="2">
        <v>0.79166666666666663</v>
      </c>
      <c r="D11997">
        <v>1</v>
      </c>
      <c r="E11997">
        <v>-0.4</v>
      </c>
      <c r="F11997">
        <v>92</v>
      </c>
    </row>
    <row r="11998" spans="1:6" x14ac:dyDescent="0.35">
      <c r="A11998">
        <v>1975</v>
      </c>
      <c r="B11998" s="1">
        <v>46024</v>
      </c>
      <c r="C11998" s="2">
        <v>0.83333333333333337</v>
      </c>
      <c r="D11998">
        <v>1</v>
      </c>
      <c r="E11998">
        <v>-0.8</v>
      </c>
      <c r="F11998">
        <v>89</v>
      </c>
    </row>
    <row r="11999" spans="1:6" x14ac:dyDescent="0.35">
      <c r="A11999">
        <v>1975</v>
      </c>
      <c r="B11999" s="1">
        <v>46024</v>
      </c>
      <c r="C11999" s="2">
        <v>0.875</v>
      </c>
      <c r="D11999">
        <v>1</v>
      </c>
      <c r="E11999">
        <v>-0.9</v>
      </c>
      <c r="F11999">
        <v>82</v>
      </c>
    </row>
    <row r="12000" spans="1:6" x14ac:dyDescent="0.35">
      <c r="A12000">
        <v>1975</v>
      </c>
      <c r="B12000" s="1">
        <v>46024</v>
      </c>
      <c r="C12000" s="2">
        <v>0.91666666666666663</v>
      </c>
      <c r="D12000">
        <v>1</v>
      </c>
      <c r="E12000">
        <v>-1.6</v>
      </c>
      <c r="F12000">
        <v>83</v>
      </c>
    </row>
    <row r="12001" spans="1:6" x14ac:dyDescent="0.35">
      <c r="A12001">
        <v>1975</v>
      </c>
      <c r="B12001" s="1">
        <v>46024</v>
      </c>
      <c r="C12001" s="2">
        <v>0.95833333333333337</v>
      </c>
      <c r="D12001">
        <v>1</v>
      </c>
      <c r="E12001">
        <v>-1.7</v>
      </c>
      <c r="F12001">
        <v>84</v>
      </c>
    </row>
    <row r="12002" spans="1:6" x14ac:dyDescent="0.35">
      <c r="A12002">
        <v>1975</v>
      </c>
      <c r="B12002" s="1">
        <v>46025</v>
      </c>
      <c r="C12002" s="2">
        <v>0</v>
      </c>
      <c r="D12002">
        <v>1</v>
      </c>
      <c r="E12002">
        <v>-1.8</v>
      </c>
      <c r="F12002">
        <v>91</v>
      </c>
    </row>
    <row r="12003" spans="1:6" x14ac:dyDescent="0.35">
      <c r="A12003">
        <v>1975</v>
      </c>
      <c r="B12003" s="1">
        <v>46025</v>
      </c>
      <c r="C12003" s="2">
        <v>4.1666666666666657E-2</v>
      </c>
      <c r="D12003">
        <v>1</v>
      </c>
      <c r="E12003">
        <v>-1.9</v>
      </c>
      <c r="F12003">
        <v>95</v>
      </c>
    </row>
    <row r="12004" spans="1:6" x14ac:dyDescent="0.35">
      <c r="A12004">
        <v>1975</v>
      </c>
      <c r="B12004" s="1">
        <v>46025</v>
      </c>
      <c r="C12004" s="2">
        <v>8.3333333333333329E-2</v>
      </c>
      <c r="D12004">
        <v>1</v>
      </c>
      <c r="E12004">
        <v>-2.1</v>
      </c>
      <c r="F12004">
        <v>93</v>
      </c>
    </row>
    <row r="12005" spans="1:6" x14ac:dyDescent="0.35">
      <c r="A12005">
        <v>1975</v>
      </c>
      <c r="B12005" s="1">
        <v>46025</v>
      </c>
      <c r="C12005" s="2">
        <v>0.125</v>
      </c>
      <c r="D12005">
        <v>1</v>
      </c>
      <c r="E12005">
        <v>-1.4</v>
      </c>
      <c r="F12005">
        <v>87</v>
      </c>
    </row>
    <row r="12006" spans="1:6" x14ac:dyDescent="0.35">
      <c r="A12006">
        <v>1975</v>
      </c>
      <c r="B12006" s="1">
        <v>46025</v>
      </c>
      <c r="C12006" s="2">
        <v>0.16666666666666671</v>
      </c>
      <c r="D12006">
        <v>1</v>
      </c>
      <c r="E12006">
        <v>-0.3</v>
      </c>
      <c r="F12006">
        <v>93</v>
      </c>
    </row>
    <row r="12007" spans="1:6" x14ac:dyDescent="0.35">
      <c r="A12007">
        <v>1975</v>
      </c>
      <c r="B12007" s="1">
        <v>46025</v>
      </c>
      <c r="C12007" s="2">
        <v>0.20833333333333329</v>
      </c>
      <c r="D12007">
        <v>1</v>
      </c>
      <c r="E12007">
        <v>0</v>
      </c>
      <c r="F12007">
        <v>96</v>
      </c>
    </row>
    <row r="12008" spans="1:6" x14ac:dyDescent="0.35">
      <c r="A12008">
        <v>1975</v>
      </c>
      <c r="B12008" s="1">
        <v>46025</v>
      </c>
      <c r="C12008" s="2">
        <v>0.25</v>
      </c>
      <c r="D12008">
        <v>1</v>
      </c>
      <c r="E12008">
        <v>-0.2</v>
      </c>
      <c r="F12008">
        <v>100</v>
      </c>
    </row>
    <row r="12009" spans="1:6" x14ac:dyDescent="0.35">
      <c r="A12009">
        <v>1975</v>
      </c>
      <c r="B12009" s="1">
        <v>46025</v>
      </c>
      <c r="C12009" s="2">
        <v>0.29166666666666669</v>
      </c>
      <c r="D12009">
        <v>1</v>
      </c>
      <c r="E12009">
        <v>-0.2</v>
      </c>
      <c r="F12009">
        <v>99</v>
      </c>
    </row>
    <row r="12010" spans="1:6" x14ac:dyDescent="0.35">
      <c r="A12010">
        <v>1975</v>
      </c>
      <c r="B12010" s="1">
        <v>46025</v>
      </c>
      <c r="C12010" s="2">
        <v>0.33333333333333331</v>
      </c>
      <c r="D12010">
        <v>1</v>
      </c>
      <c r="E12010">
        <v>-0.8</v>
      </c>
      <c r="F12010">
        <v>93</v>
      </c>
    </row>
    <row r="12011" spans="1:6" x14ac:dyDescent="0.35">
      <c r="A12011">
        <v>1975</v>
      </c>
      <c r="B12011" s="1">
        <v>46025</v>
      </c>
      <c r="C12011" s="2">
        <v>0.375</v>
      </c>
      <c r="D12011">
        <v>1</v>
      </c>
      <c r="E12011">
        <v>-1.2</v>
      </c>
      <c r="F12011">
        <v>99</v>
      </c>
    </row>
    <row r="12012" spans="1:6" x14ac:dyDescent="0.35">
      <c r="A12012">
        <v>1975</v>
      </c>
      <c r="B12012" s="1">
        <v>46025</v>
      </c>
      <c r="C12012" s="2">
        <v>0.41666666666666669</v>
      </c>
      <c r="D12012">
        <v>1</v>
      </c>
      <c r="E12012">
        <v>-1.3</v>
      </c>
      <c r="F12012">
        <v>97</v>
      </c>
    </row>
    <row r="12013" spans="1:6" x14ac:dyDescent="0.35">
      <c r="A12013">
        <v>1975</v>
      </c>
      <c r="B12013" s="1">
        <v>46025</v>
      </c>
      <c r="C12013" s="2">
        <v>0.45833333333333331</v>
      </c>
      <c r="D12013">
        <v>1</v>
      </c>
      <c r="E12013">
        <v>-1.9</v>
      </c>
      <c r="F12013">
        <v>99</v>
      </c>
    </row>
    <row r="12014" spans="1:6" x14ac:dyDescent="0.35">
      <c r="A12014">
        <v>1975</v>
      </c>
      <c r="B12014" s="1">
        <v>46025</v>
      </c>
      <c r="C12014" s="2">
        <v>0.5</v>
      </c>
      <c r="D12014">
        <v>1</v>
      </c>
      <c r="E12014">
        <v>-0.6</v>
      </c>
      <c r="F12014">
        <v>96</v>
      </c>
    </row>
    <row r="12015" spans="1:6" x14ac:dyDescent="0.35">
      <c r="A12015">
        <v>1975</v>
      </c>
      <c r="B12015" s="1">
        <v>46025</v>
      </c>
      <c r="C12015" s="2">
        <v>0.54166666666666663</v>
      </c>
      <c r="D12015">
        <v>1</v>
      </c>
      <c r="E12015">
        <v>-0.5</v>
      </c>
      <c r="F12015">
        <v>94</v>
      </c>
    </row>
    <row r="12016" spans="1:6" x14ac:dyDescent="0.35">
      <c r="A12016">
        <v>1975</v>
      </c>
      <c r="B12016" s="1">
        <v>46025</v>
      </c>
      <c r="C12016" s="2">
        <v>0.58333333333333337</v>
      </c>
      <c r="D12016">
        <v>1</v>
      </c>
      <c r="E12016">
        <v>-0.8</v>
      </c>
      <c r="F12016">
        <v>90</v>
      </c>
    </row>
    <row r="12017" spans="1:6" x14ac:dyDescent="0.35">
      <c r="A12017">
        <v>1975</v>
      </c>
      <c r="B12017" s="1">
        <v>46025</v>
      </c>
      <c r="C12017" s="2">
        <v>0.625</v>
      </c>
      <c r="D12017">
        <v>1</v>
      </c>
      <c r="E12017">
        <v>-0.9</v>
      </c>
      <c r="F12017">
        <v>96</v>
      </c>
    </row>
    <row r="12018" spans="1:6" x14ac:dyDescent="0.35">
      <c r="A12018">
        <v>1975</v>
      </c>
      <c r="B12018" s="1">
        <v>46025</v>
      </c>
      <c r="C12018" s="2">
        <v>0.66666666666666663</v>
      </c>
      <c r="D12018">
        <v>1</v>
      </c>
      <c r="E12018">
        <v>-1.5</v>
      </c>
      <c r="F12018">
        <v>98</v>
      </c>
    </row>
    <row r="12019" spans="1:6" x14ac:dyDescent="0.35">
      <c r="A12019">
        <v>1975</v>
      </c>
      <c r="B12019" s="1">
        <v>46025</v>
      </c>
      <c r="C12019" s="2">
        <v>0.70833333333333337</v>
      </c>
      <c r="D12019">
        <v>1</v>
      </c>
      <c r="E12019">
        <v>-1.1000000000000001</v>
      </c>
      <c r="F12019">
        <v>97</v>
      </c>
    </row>
    <row r="12020" spans="1:6" x14ac:dyDescent="0.35">
      <c r="A12020">
        <v>1975</v>
      </c>
      <c r="B12020" s="1">
        <v>46025</v>
      </c>
      <c r="C12020" s="2">
        <v>0.75</v>
      </c>
      <c r="D12020">
        <v>1</v>
      </c>
      <c r="E12020">
        <v>-0.8</v>
      </c>
      <c r="F12020">
        <v>96</v>
      </c>
    </row>
    <row r="12021" spans="1:6" x14ac:dyDescent="0.35">
      <c r="A12021">
        <v>1975</v>
      </c>
      <c r="B12021" s="1">
        <v>46025</v>
      </c>
      <c r="C12021" s="2">
        <v>0.79166666666666663</v>
      </c>
      <c r="D12021">
        <v>1</v>
      </c>
      <c r="E12021">
        <v>-1</v>
      </c>
      <c r="F12021">
        <v>90</v>
      </c>
    </row>
    <row r="12022" spans="1:6" x14ac:dyDescent="0.35">
      <c r="A12022">
        <v>1975</v>
      </c>
      <c r="B12022" s="1">
        <v>46025</v>
      </c>
      <c r="C12022" s="2">
        <v>0.83333333333333337</v>
      </c>
      <c r="D12022">
        <v>1</v>
      </c>
      <c r="E12022">
        <v>-1.2</v>
      </c>
      <c r="F12022">
        <v>90</v>
      </c>
    </row>
    <row r="12023" spans="1:6" x14ac:dyDescent="0.35">
      <c r="A12023">
        <v>1975</v>
      </c>
      <c r="B12023" s="1">
        <v>46025</v>
      </c>
      <c r="C12023" s="2">
        <v>0.875</v>
      </c>
      <c r="D12023">
        <v>1</v>
      </c>
      <c r="E12023">
        <v>-2.9</v>
      </c>
      <c r="F12023">
        <v>88</v>
      </c>
    </row>
    <row r="12024" spans="1:6" x14ac:dyDescent="0.35">
      <c r="A12024">
        <v>1975</v>
      </c>
      <c r="B12024" s="1">
        <v>46025</v>
      </c>
      <c r="C12024" s="2">
        <v>0.91666666666666663</v>
      </c>
      <c r="D12024">
        <v>1</v>
      </c>
      <c r="E12024">
        <v>-4.2</v>
      </c>
      <c r="F12024">
        <v>87</v>
      </c>
    </row>
    <row r="12025" spans="1:6" x14ac:dyDescent="0.35">
      <c r="A12025">
        <v>1975</v>
      </c>
      <c r="B12025" s="1">
        <v>46025</v>
      </c>
      <c r="C12025" s="2">
        <v>0.95833333333333337</v>
      </c>
      <c r="D12025">
        <v>1</v>
      </c>
      <c r="E12025">
        <v>-5</v>
      </c>
      <c r="F12025">
        <v>87</v>
      </c>
    </row>
    <row r="12026" spans="1:6" x14ac:dyDescent="0.35">
      <c r="A12026">
        <v>1975</v>
      </c>
      <c r="B12026" s="1">
        <v>46026</v>
      </c>
      <c r="C12026" s="2">
        <v>0</v>
      </c>
      <c r="D12026">
        <v>1</v>
      </c>
      <c r="E12026">
        <v>-6.1</v>
      </c>
      <c r="F12026">
        <v>88</v>
      </c>
    </row>
    <row r="12027" spans="1:6" x14ac:dyDescent="0.35">
      <c r="A12027">
        <v>1975</v>
      </c>
      <c r="B12027" s="1">
        <v>46026</v>
      </c>
      <c r="C12027" s="2">
        <v>4.1666666666666657E-2</v>
      </c>
      <c r="D12027">
        <v>1</v>
      </c>
      <c r="E12027">
        <v>-5.6</v>
      </c>
      <c r="F12027">
        <v>88</v>
      </c>
    </row>
    <row r="12028" spans="1:6" x14ac:dyDescent="0.35">
      <c r="A12028">
        <v>1975</v>
      </c>
      <c r="B12028" s="1">
        <v>46026</v>
      </c>
      <c r="C12028" s="2">
        <v>8.3333333333333329E-2</v>
      </c>
      <c r="D12028">
        <v>1</v>
      </c>
      <c r="E12028">
        <v>-5.3</v>
      </c>
      <c r="F12028">
        <v>93</v>
      </c>
    </row>
    <row r="12029" spans="1:6" x14ac:dyDescent="0.35">
      <c r="A12029">
        <v>1975</v>
      </c>
      <c r="B12029" s="1">
        <v>46026</v>
      </c>
      <c r="C12029" s="2">
        <v>0.125</v>
      </c>
      <c r="D12029">
        <v>1</v>
      </c>
      <c r="E12029">
        <v>-6.8</v>
      </c>
      <c r="F12029">
        <v>99</v>
      </c>
    </row>
    <row r="12030" spans="1:6" x14ac:dyDescent="0.35">
      <c r="A12030">
        <v>1975</v>
      </c>
      <c r="B12030" s="1">
        <v>46026</v>
      </c>
      <c r="C12030" s="2">
        <v>0.16666666666666671</v>
      </c>
      <c r="D12030">
        <v>1</v>
      </c>
      <c r="E12030">
        <v>-5.2</v>
      </c>
      <c r="F12030">
        <v>96</v>
      </c>
    </row>
    <row r="12031" spans="1:6" x14ac:dyDescent="0.35">
      <c r="A12031">
        <v>1975</v>
      </c>
      <c r="B12031" s="1">
        <v>46026</v>
      </c>
      <c r="C12031" s="2">
        <v>0.20833333333333329</v>
      </c>
      <c r="D12031">
        <v>1</v>
      </c>
      <c r="E12031">
        <v>-6.7</v>
      </c>
      <c r="F12031">
        <v>98</v>
      </c>
    </row>
    <row r="12032" spans="1:6" x14ac:dyDescent="0.35">
      <c r="A12032">
        <v>1975</v>
      </c>
      <c r="B12032" s="1">
        <v>46026</v>
      </c>
      <c r="C12032" s="2">
        <v>0.25</v>
      </c>
      <c r="D12032">
        <v>1</v>
      </c>
      <c r="E12032">
        <v>-3.8</v>
      </c>
      <c r="F12032">
        <v>95</v>
      </c>
    </row>
    <row r="12033" spans="1:6" x14ac:dyDescent="0.35">
      <c r="A12033">
        <v>1975</v>
      </c>
      <c r="B12033" s="1">
        <v>46026</v>
      </c>
      <c r="C12033" s="2">
        <v>0.29166666666666669</v>
      </c>
      <c r="D12033">
        <v>1</v>
      </c>
      <c r="E12033">
        <v>-3.5</v>
      </c>
      <c r="F12033">
        <v>94</v>
      </c>
    </row>
    <row r="12034" spans="1:6" x14ac:dyDescent="0.35">
      <c r="A12034">
        <v>1975</v>
      </c>
      <c r="B12034" s="1">
        <v>46026</v>
      </c>
      <c r="C12034" s="2">
        <v>0.33333333333333331</v>
      </c>
      <c r="D12034">
        <v>1</v>
      </c>
      <c r="E12034">
        <v>-2.7</v>
      </c>
      <c r="F12034">
        <v>97</v>
      </c>
    </row>
    <row r="12035" spans="1:6" x14ac:dyDescent="0.35">
      <c r="A12035">
        <v>1975</v>
      </c>
      <c r="B12035" s="1">
        <v>46026</v>
      </c>
      <c r="C12035" s="2">
        <v>0.375</v>
      </c>
      <c r="D12035">
        <v>1</v>
      </c>
      <c r="E12035">
        <v>-1.5</v>
      </c>
      <c r="F12035">
        <v>96</v>
      </c>
    </row>
    <row r="12036" spans="1:6" x14ac:dyDescent="0.35">
      <c r="A12036">
        <v>1975</v>
      </c>
      <c r="B12036" s="1">
        <v>46026</v>
      </c>
      <c r="C12036" s="2">
        <v>0.41666666666666669</v>
      </c>
      <c r="D12036">
        <v>1</v>
      </c>
      <c r="E12036">
        <v>-1</v>
      </c>
      <c r="F12036">
        <v>95</v>
      </c>
    </row>
    <row r="12037" spans="1:6" x14ac:dyDescent="0.35">
      <c r="A12037">
        <v>1975</v>
      </c>
      <c r="B12037" s="1">
        <v>46026</v>
      </c>
      <c r="C12037" s="2">
        <v>0.45833333333333331</v>
      </c>
      <c r="D12037">
        <v>1</v>
      </c>
      <c r="E12037">
        <v>-0.8</v>
      </c>
      <c r="F12037">
        <v>93</v>
      </c>
    </row>
    <row r="12038" spans="1:6" x14ac:dyDescent="0.35">
      <c r="A12038">
        <v>1975</v>
      </c>
      <c r="B12038" s="1">
        <v>46026</v>
      </c>
      <c r="C12038" s="2">
        <v>0.5</v>
      </c>
      <c r="D12038">
        <v>1</v>
      </c>
      <c r="E12038">
        <v>-0.5</v>
      </c>
      <c r="F12038">
        <v>92</v>
      </c>
    </row>
    <row r="12039" spans="1:6" x14ac:dyDescent="0.35">
      <c r="A12039">
        <v>1975</v>
      </c>
      <c r="B12039" s="1">
        <v>46026</v>
      </c>
      <c r="C12039" s="2">
        <v>0.54166666666666663</v>
      </c>
      <c r="D12039">
        <v>1</v>
      </c>
      <c r="E12039">
        <v>-0.3</v>
      </c>
      <c r="F12039">
        <v>89</v>
      </c>
    </row>
    <row r="12040" spans="1:6" x14ac:dyDescent="0.35">
      <c r="A12040">
        <v>1975</v>
      </c>
      <c r="B12040" s="1">
        <v>46026</v>
      </c>
      <c r="C12040" s="2">
        <v>0.58333333333333337</v>
      </c>
      <c r="D12040">
        <v>1</v>
      </c>
      <c r="E12040">
        <v>-0.2</v>
      </c>
      <c r="F12040">
        <v>90</v>
      </c>
    </row>
    <row r="12041" spans="1:6" x14ac:dyDescent="0.35">
      <c r="A12041">
        <v>1975</v>
      </c>
      <c r="B12041" s="1">
        <v>46026</v>
      </c>
      <c r="C12041" s="2">
        <v>0.625</v>
      </c>
      <c r="D12041">
        <v>1</v>
      </c>
      <c r="E12041">
        <v>-0.1</v>
      </c>
      <c r="F12041">
        <v>92</v>
      </c>
    </row>
    <row r="12042" spans="1:6" x14ac:dyDescent="0.35">
      <c r="A12042">
        <v>1975</v>
      </c>
      <c r="B12042" s="1">
        <v>46026</v>
      </c>
      <c r="C12042" s="2">
        <v>0.66666666666666663</v>
      </c>
      <c r="D12042">
        <v>1</v>
      </c>
      <c r="E12042">
        <v>-0.4</v>
      </c>
      <c r="F12042">
        <v>93</v>
      </c>
    </row>
    <row r="12043" spans="1:6" x14ac:dyDescent="0.35">
      <c r="A12043">
        <v>1975</v>
      </c>
      <c r="B12043" s="1">
        <v>46026</v>
      </c>
      <c r="C12043" s="2">
        <v>0.70833333333333337</v>
      </c>
      <c r="D12043">
        <v>1</v>
      </c>
      <c r="E12043">
        <v>-0.5</v>
      </c>
      <c r="F12043">
        <v>93</v>
      </c>
    </row>
    <row r="12044" spans="1:6" x14ac:dyDescent="0.35">
      <c r="A12044">
        <v>1975</v>
      </c>
      <c r="B12044" s="1">
        <v>46026</v>
      </c>
      <c r="C12044" s="2">
        <v>0.75</v>
      </c>
      <c r="D12044">
        <v>1</v>
      </c>
      <c r="E12044">
        <v>0.1</v>
      </c>
      <c r="F12044">
        <v>95</v>
      </c>
    </row>
    <row r="12045" spans="1:6" x14ac:dyDescent="0.35">
      <c r="A12045">
        <v>1975</v>
      </c>
      <c r="B12045" s="1">
        <v>46026</v>
      </c>
      <c r="C12045" s="2">
        <v>0.79166666666666663</v>
      </c>
      <c r="D12045">
        <v>1</v>
      </c>
      <c r="E12045">
        <v>0.2</v>
      </c>
      <c r="F12045">
        <v>96</v>
      </c>
    </row>
    <row r="12046" spans="1:6" x14ac:dyDescent="0.35">
      <c r="A12046">
        <v>1975</v>
      </c>
      <c r="B12046" s="1">
        <v>46026</v>
      </c>
      <c r="C12046" s="2">
        <v>0.83333333333333337</v>
      </c>
      <c r="D12046">
        <v>1</v>
      </c>
      <c r="E12046">
        <v>0.3</v>
      </c>
      <c r="F12046">
        <v>95</v>
      </c>
    </row>
    <row r="12047" spans="1:6" x14ac:dyDescent="0.35">
      <c r="A12047">
        <v>1975</v>
      </c>
      <c r="B12047" s="1">
        <v>46026</v>
      </c>
      <c r="C12047" s="2">
        <v>0.875</v>
      </c>
      <c r="D12047">
        <v>1</v>
      </c>
      <c r="E12047">
        <v>0.3</v>
      </c>
      <c r="F12047">
        <v>94</v>
      </c>
    </row>
    <row r="12048" spans="1:6" x14ac:dyDescent="0.35">
      <c r="A12048">
        <v>1975</v>
      </c>
      <c r="B12048" s="1">
        <v>46026</v>
      </c>
      <c r="C12048" s="2">
        <v>0.91666666666666663</v>
      </c>
      <c r="D12048">
        <v>1</v>
      </c>
      <c r="E12048">
        <v>0.3</v>
      </c>
      <c r="F12048">
        <v>92</v>
      </c>
    </row>
    <row r="12049" spans="1:6" x14ac:dyDescent="0.35">
      <c r="A12049">
        <v>1975</v>
      </c>
      <c r="B12049" s="1">
        <v>46026</v>
      </c>
      <c r="C12049" s="2">
        <v>0.95833333333333337</v>
      </c>
      <c r="D12049">
        <v>1</v>
      </c>
      <c r="E12049">
        <v>0.5</v>
      </c>
      <c r="F12049">
        <v>90</v>
      </c>
    </row>
    <row r="12050" spans="1:6" x14ac:dyDescent="0.35">
      <c r="A12050">
        <v>1975</v>
      </c>
      <c r="B12050" s="1">
        <v>46027</v>
      </c>
      <c r="C12050" s="2">
        <v>0</v>
      </c>
      <c r="D12050">
        <v>1</v>
      </c>
      <c r="E12050">
        <v>0.3</v>
      </c>
      <c r="F12050">
        <v>90</v>
      </c>
    </row>
    <row r="12051" spans="1:6" x14ac:dyDescent="0.35">
      <c r="A12051">
        <v>1975</v>
      </c>
      <c r="B12051" s="1">
        <v>46027</v>
      </c>
      <c r="C12051" s="2">
        <v>4.1666666666666657E-2</v>
      </c>
      <c r="D12051">
        <v>1</v>
      </c>
      <c r="E12051">
        <v>0.2</v>
      </c>
      <c r="F12051">
        <v>90</v>
      </c>
    </row>
    <row r="12052" spans="1:6" x14ac:dyDescent="0.35">
      <c r="A12052">
        <v>1975</v>
      </c>
      <c r="B12052" s="1">
        <v>46027</v>
      </c>
      <c r="C12052" s="2">
        <v>8.3333333333333329E-2</v>
      </c>
      <c r="D12052">
        <v>1</v>
      </c>
      <c r="E12052">
        <v>0.1</v>
      </c>
      <c r="F12052">
        <v>89</v>
      </c>
    </row>
    <row r="12053" spans="1:6" x14ac:dyDescent="0.35">
      <c r="A12053">
        <v>1975</v>
      </c>
      <c r="B12053" s="1">
        <v>46027</v>
      </c>
      <c r="C12053" s="2">
        <v>0.125</v>
      </c>
      <c r="D12053">
        <v>1</v>
      </c>
      <c r="E12053">
        <v>0.2</v>
      </c>
      <c r="F12053">
        <v>87</v>
      </c>
    </row>
    <row r="12054" spans="1:6" x14ac:dyDescent="0.35">
      <c r="A12054">
        <v>1975</v>
      </c>
      <c r="B12054" s="1">
        <v>46027</v>
      </c>
      <c r="C12054" s="2">
        <v>0.16666666666666671</v>
      </c>
      <c r="D12054">
        <v>1</v>
      </c>
      <c r="E12054">
        <v>0.2</v>
      </c>
      <c r="F12054">
        <v>88</v>
      </c>
    </row>
    <row r="12055" spans="1:6" x14ac:dyDescent="0.35">
      <c r="A12055">
        <v>1975</v>
      </c>
      <c r="B12055" s="1">
        <v>46027</v>
      </c>
      <c r="C12055" s="2">
        <v>0.20833333333333329</v>
      </c>
      <c r="D12055">
        <v>1</v>
      </c>
      <c r="E12055">
        <v>0.2</v>
      </c>
      <c r="F12055">
        <v>88</v>
      </c>
    </row>
    <row r="12056" spans="1:6" x14ac:dyDescent="0.35">
      <c r="A12056">
        <v>1975</v>
      </c>
      <c r="B12056" s="1">
        <v>46027</v>
      </c>
      <c r="C12056" s="2">
        <v>0.25</v>
      </c>
      <c r="D12056">
        <v>1</v>
      </c>
      <c r="E12056">
        <v>0</v>
      </c>
      <c r="F12056">
        <v>88</v>
      </c>
    </row>
    <row r="12057" spans="1:6" x14ac:dyDescent="0.35">
      <c r="A12057">
        <v>1975</v>
      </c>
      <c r="B12057" s="1">
        <v>46027</v>
      </c>
      <c r="C12057" s="2">
        <v>0.29166666666666669</v>
      </c>
      <c r="D12057">
        <v>1</v>
      </c>
      <c r="E12057">
        <v>-0.4</v>
      </c>
      <c r="F12057">
        <v>87</v>
      </c>
    </row>
    <row r="12058" spans="1:6" x14ac:dyDescent="0.35">
      <c r="A12058">
        <v>1975</v>
      </c>
      <c r="B12058" s="1">
        <v>46027</v>
      </c>
      <c r="C12058" s="2">
        <v>0.33333333333333331</v>
      </c>
      <c r="D12058">
        <v>1</v>
      </c>
      <c r="E12058">
        <v>-0.4</v>
      </c>
      <c r="F12058">
        <v>85</v>
      </c>
    </row>
    <row r="12059" spans="1:6" x14ac:dyDescent="0.35">
      <c r="A12059">
        <v>1975</v>
      </c>
      <c r="B12059" s="1">
        <v>46027</v>
      </c>
      <c r="C12059" s="2">
        <v>0.375</v>
      </c>
      <c r="D12059">
        <v>1</v>
      </c>
      <c r="E12059">
        <v>-0.6</v>
      </c>
      <c r="F12059">
        <v>86</v>
      </c>
    </row>
    <row r="12060" spans="1:6" x14ac:dyDescent="0.35">
      <c r="A12060">
        <v>1975</v>
      </c>
      <c r="B12060" s="1">
        <v>46027</v>
      </c>
      <c r="C12060" s="2">
        <v>0.41666666666666669</v>
      </c>
      <c r="D12060">
        <v>1</v>
      </c>
      <c r="E12060">
        <v>-0.7</v>
      </c>
      <c r="F12060">
        <v>84</v>
      </c>
    </row>
    <row r="12061" spans="1:6" x14ac:dyDescent="0.35">
      <c r="A12061">
        <v>1975</v>
      </c>
      <c r="B12061" s="1">
        <v>46027</v>
      </c>
      <c r="C12061" s="2">
        <v>0.45833333333333331</v>
      </c>
      <c r="D12061">
        <v>1</v>
      </c>
      <c r="E12061">
        <v>-0.7</v>
      </c>
      <c r="F12061">
        <v>84</v>
      </c>
    </row>
    <row r="12062" spans="1:6" x14ac:dyDescent="0.35">
      <c r="A12062">
        <v>1975</v>
      </c>
      <c r="B12062" s="1">
        <v>46027</v>
      </c>
      <c r="C12062" s="2">
        <v>0.5</v>
      </c>
      <c r="D12062">
        <v>1</v>
      </c>
      <c r="E12062">
        <v>-0.6</v>
      </c>
      <c r="F12062">
        <v>81</v>
      </c>
    </row>
    <row r="12063" spans="1:6" x14ac:dyDescent="0.35">
      <c r="A12063">
        <v>1975</v>
      </c>
      <c r="B12063" s="1">
        <v>46027</v>
      </c>
      <c r="C12063" s="2">
        <v>0.54166666666666663</v>
      </c>
      <c r="D12063">
        <v>1</v>
      </c>
      <c r="E12063">
        <v>-1.5</v>
      </c>
      <c r="F12063">
        <v>93</v>
      </c>
    </row>
    <row r="12064" spans="1:6" x14ac:dyDescent="0.35">
      <c r="A12064">
        <v>1975</v>
      </c>
      <c r="B12064" s="1">
        <v>46027</v>
      </c>
      <c r="C12064" s="2">
        <v>0.58333333333333337</v>
      </c>
      <c r="D12064">
        <v>1</v>
      </c>
      <c r="E12064">
        <v>-1</v>
      </c>
      <c r="F12064">
        <v>85</v>
      </c>
    </row>
    <row r="12065" spans="1:6" x14ac:dyDescent="0.35">
      <c r="A12065">
        <v>1975</v>
      </c>
      <c r="B12065" s="1">
        <v>46027</v>
      </c>
      <c r="C12065" s="2">
        <v>0.625</v>
      </c>
      <c r="D12065">
        <v>1</v>
      </c>
      <c r="E12065">
        <v>-1</v>
      </c>
      <c r="F12065">
        <v>88</v>
      </c>
    </row>
    <row r="12066" spans="1:6" x14ac:dyDescent="0.35">
      <c r="A12066">
        <v>1975</v>
      </c>
      <c r="B12066" s="1">
        <v>46027</v>
      </c>
      <c r="C12066" s="2">
        <v>0.66666666666666663</v>
      </c>
      <c r="D12066">
        <v>1</v>
      </c>
      <c r="E12066">
        <v>-0.7</v>
      </c>
      <c r="F12066">
        <v>84</v>
      </c>
    </row>
    <row r="12067" spans="1:6" x14ac:dyDescent="0.35">
      <c r="A12067">
        <v>1975</v>
      </c>
      <c r="B12067" s="1">
        <v>46027</v>
      </c>
      <c r="C12067" s="2">
        <v>0.70833333333333337</v>
      </c>
      <c r="D12067">
        <v>1</v>
      </c>
      <c r="E12067">
        <v>-0.9</v>
      </c>
      <c r="F12067">
        <v>87</v>
      </c>
    </row>
    <row r="12068" spans="1:6" x14ac:dyDescent="0.35">
      <c r="A12068">
        <v>1975</v>
      </c>
      <c r="B12068" s="1">
        <v>46027</v>
      </c>
      <c r="C12068" s="2">
        <v>0.75</v>
      </c>
      <c r="D12068">
        <v>1</v>
      </c>
      <c r="E12068">
        <v>-0.8</v>
      </c>
      <c r="F12068">
        <v>86</v>
      </c>
    </row>
    <row r="12069" spans="1:6" x14ac:dyDescent="0.35">
      <c r="A12069">
        <v>1975</v>
      </c>
      <c r="B12069" s="1">
        <v>46027</v>
      </c>
      <c r="C12069" s="2">
        <v>0.79166666666666663</v>
      </c>
      <c r="D12069">
        <v>1</v>
      </c>
      <c r="E12069">
        <v>-1.2</v>
      </c>
      <c r="F12069">
        <v>97</v>
      </c>
    </row>
    <row r="12070" spans="1:6" x14ac:dyDescent="0.35">
      <c r="A12070">
        <v>1975</v>
      </c>
      <c r="B12070" s="1">
        <v>46027</v>
      </c>
      <c r="C12070" s="2">
        <v>0.83333333333333337</v>
      </c>
      <c r="D12070">
        <v>1</v>
      </c>
      <c r="E12070">
        <v>-1.2</v>
      </c>
      <c r="F12070">
        <v>95</v>
      </c>
    </row>
    <row r="12071" spans="1:6" x14ac:dyDescent="0.35">
      <c r="A12071">
        <v>1975</v>
      </c>
      <c r="B12071" s="1">
        <v>46027</v>
      </c>
      <c r="C12071" s="2">
        <v>0.875</v>
      </c>
      <c r="D12071">
        <v>1</v>
      </c>
      <c r="E12071">
        <v>-1.1000000000000001</v>
      </c>
      <c r="F12071">
        <v>90</v>
      </c>
    </row>
    <row r="12072" spans="1:6" x14ac:dyDescent="0.35">
      <c r="A12072">
        <v>1975</v>
      </c>
      <c r="B12072" s="1">
        <v>46027</v>
      </c>
      <c r="C12072" s="2">
        <v>0.91666666666666663</v>
      </c>
      <c r="D12072">
        <v>1</v>
      </c>
      <c r="E12072">
        <v>-1.2</v>
      </c>
      <c r="F12072">
        <v>91</v>
      </c>
    </row>
    <row r="12073" spans="1:6" x14ac:dyDescent="0.35">
      <c r="A12073">
        <v>1975</v>
      </c>
      <c r="B12073" s="1">
        <v>46027</v>
      </c>
      <c r="C12073" s="2">
        <v>0.95833333333333337</v>
      </c>
      <c r="D12073">
        <v>1</v>
      </c>
      <c r="E12073">
        <v>-1.3</v>
      </c>
      <c r="F12073">
        <v>92</v>
      </c>
    </row>
    <row r="12074" spans="1:6" x14ac:dyDescent="0.35">
      <c r="A12074">
        <v>1975</v>
      </c>
      <c r="B12074" s="1">
        <v>46028</v>
      </c>
      <c r="C12074" s="2">
        <v>0</v>
      </c>
      <c r="D12074">
        <v>1</v>
      </c>
      <c r="E12074">
        <v>-1.3</v>
      </c>
      <c r="F12074">
        <v>93</v>
      </c>
    </row>
    <row r="12075" spans="1:6" x14ac:dyDescent="0.35">
      <c r="A12075">
        <v>1975</v>
      </c>
      <c r="B12075" s="1">
        <v>46028</v>
      </c>
      <c r="C12075" s="2">
        <v>4.1666666666666657E-2</v>
      </c>
      <c r="D12075">
        <v>1</v>
      </c>
      <c r="E12075">
        <v>-1.2</v>
      </c>
      <c r="F12075">
        <v>95</v>
      </c>
    </row>
    <row r="12076" spans="1:6" x14ac:dyDescent="0.35">
      <c r="A12076">
        <v>1975</v>
      </c>
      <c r="B12076" s="1">
        <v>46028</v>
      </c>
      <c r="C12076" s="2">
        <v>8.3333333333333329E-2</v>
      </c>
      <c r="D12076">
        <v>1</v>
      </c>
      <c r="E12076">
        <v>-1.3</v>
      </c>
      <c r="F12076">
        <v>96</v>
      </c>
    </row>
    <row r="12077" spans="1:6" x14ac:dyDescent="0.35">
      <c r="A12077">
        <v>1975</v>
      </c>
      <c r="B12077" s="1">
        <v>46028</v>
      </c>
      <c r="C12077" s="2">
        <v>0.125</v>
      </c>
      <c r="D12077">
        <v>1</v>
      </c>
      <c r="E12077">
        <v>-1.3</v>
      </c>
      <c r="F12077">
        <v>93</v>
      </c>
    </row>
    <row r="12078" spans="1:6" x14ac:dyDescent="0.35">
      <c r="A12078">
        <v>1975</v>
      </c>
      <c r="B12078" s="1">
        <v>46028</v>
      </c>
      <c r="C12078" s="2">
        <v>0.16666666666666671</v>
      </c>
      <c r="D12078">
        <v>1</v>
      </c>
      <c r="E12078">
        <v>-1.2</v>
      </c>
      <c r="F12078">
        <v>91</v>
      </c>
    </row>
    <row r="12079" spans="1:6" x14ac:dyDescent="0.35">
      <c r="A12079">
        <v>1975</v>
      </c>
      <c r="B12079" s="1">
        <v>46028</v>
      </c>
      <c r="C12079" s="2">
        <v>0.20833333333333329</v>
      </c>
      <c r="D12079">
        <v>1</v>
      </c>
      <c r="E12079">
        <v>-1.3</v>
      </c>
      <c r="F12079">
        <v>92</v>
      </c>
    </row>
    <row r="12080" spans="1:6" x14ac:dyDescent="0.35">
      <c r="A12080">
        <v>1975</v>
      </c>
      <c r="B12080" s="1">
        <v>46028</v>
      </c>
      <c r="C12080" s="2">
        <v>0.25</v>
      </c>
      <c r="D12080">
        <v>1</v>
      </c>
      <c r="E12080">
        <v>-1.4</v>
      </c>
      <c r="F12080">
        <v>94</v>
      </c>
    </row>
    <row r="12081" spans="1:6" x14ac:dyDescent="0.35">
      <c r="A12081">
        <v>1975</v>
      </c>
      <c r="B12081" s="1">
        <v>46028</v>
      </c>
      <c r="C12081" s="2">
        <v>0.29166666666666669</v>
      </c>
      <c r="D12081">
        <v>1</v>
      </c>
      <c r="E12081">
        <v>-1.4</v>
      </c>
      <c r="F12081">
        <v>92</v>
      </c>
    </row>
    <row r="12082" spans="1:6" x14ac:dyDescent="0.35">
      <c r="A12082">
        <v>1975</v>
      </c>
      <c r="B12082" s="1">
        <v>46028</v>
      </c>
      <c r="C12082" s="2">
        <v>0.33333333333333331</v>
      </c>
      <c r="D12082">
        <v>1</v>
      </c>
      <c r="E12082">
        <v>-1.3</v>
      </c>
      <c r="F12082">
        <v>91</v>
      </c>
    </row>
    <row r="12083" spans="1:6" x14ac:dyDescent="0.35">
      <c r="A12083">
        <v>1975</v>
      </c>
      <c r="B12083" s="1">
        <v>46028</v>
      </c>
      <c r="C12083" s="2">
        <v>0.375</v>
      </c>
      <c r="D12083">
        <v>1</v>
      </c>
      <c r="E12083">
        <v>-1.2</v>
      </c>
      <c r="F12083">
        <v>91</v>
      </c>
    </row>
    <row r="12084" spans="1:6" x14ac:dyDescent="0.35">
      <c r="A12084">
        <v>1975</v>
      </c>
      <c r="B12084" s="1">
        <v>46028</v>
      </c>
      <c r="C12084" s="2">
        <v>0.41666666666666669</v>
      </c>
      <c r="D12084">
        <v>1</v>
      </c>
      <c r="E12084">
        <v>-0.9</v>
      </c>
      <c r="F12084">
        <v>91</v>
      </c>
    </row>
    <row r="12085" spans="1:6" x14ac:dyDescent="0.35">
      <c r="A12085">
        <v>1975</v>
      </c>
      <c r="B12085" s="1">
        <v>46028</v>
      </c>
      <c r="C12085" s="2">
        <v>0.45833333333333331</v>
      </c>
      <c r="D12085">
        <v>1</v>
      </c>
      <c r="E12085">
        <v>-0.6</v>
      </c>
      <c r="F12085">
        <v>90</v>
      </c>
    </row>
    <row r="12086" spans="1:6" x14ac:dyDescent="0.35">
      <c r="A12086">
        <v>1975</v>
      </c>
      <c r="B12086" s="1">
        <v>46028</v>
      </c>
      <c r="C12086" s="2">
        <v>0.5</v>
      </c>
      <c r="D12086">
        <v>1</v>
      </c>
      <c r="E12086">
        <v>-0.7</v>
      </c>
      <c r="F12086">
        <v>88</v>
      </c>
    </row>
    <row r="12087" spans="1:6" x14ac:dyDescent="0.35">
      <c r="A12087">
        <v>1975</v>
      </c>
      <c r="B12087" s="1">
        <v>46028</v>
      </c>
      <c r="C12087" s="2">
        <v>0.54166666666666663</v>
      </c>
      <c r="D12087">
        <v>1</v>
      </c>
      <c r="E12087">
        <v>-999</v>
      </c>
      <c r="F12087">
        <v>-999</v>
      </c>
    </row>
    <row r="12088" spans="1:6" x14ac:dyDescent="0.35">
      <c r="A12088">
        <v>1975</v>
      </c>
      <c r="B12088" s="1">
        <v>46028</v>
      </c>
      <c r="C12088" s="2">
        <v>0.58333333333333337</v>
      </c>
      <c r="D12088">
        <v>1</v>
      </c>
      <c r="E12088">
        <v>-999</v>
      </c>
      <c r="F12088">
        <v>-999</v>
      </c>
    </row>
    <row r="12089" spans="1:6" x14ac:dyDescent="0.35">
      <c r="A12089">
        <v>1975</v>
      </c>
      <c r="B12089" s="1">
        <v>46028</v>
      </c>
      <c r="C12089" s="2">
        <v>0.625</v>
      </c>
      <c r="D12089">
        <v>1</v>
      </c>
      <c r="E12089">
        <v>-999</v>
      </c>
      <c r="F12089">
        <v>-999</v>
      </c>
    </row>
    <row r="12090" spans="1:6" x14ac:dyDescent="0.35">
      <c r="A12090">
        <v>1975</v>
      </c>
      <c r="B12090" s="1">
        <v>46028</v>
      </c>
      <c r="C12090" s="2">
        <v>0.66666666666666663</v>
      </c>
      <c r="D12090">
        <v>1</v>
      </c>
      <c r="E12090">
        <v>-999</v>
      </c>
      <c r="F12090">
        <v>-999</v>
      </c>
    </row>
    <row r="12091" spans="1:6" x14ac:dyDescent="0.35">
      <c r="A12091">
        <v>1975</v>
      </c>
      <c r="B12091" s="1">
        <v>46028</v>
      </c>
      <c r="C12091" s="2">
        <v>0.70833333333333337</v>
      </c>
      <c r="D12091">
        <v>1</v>
      </c>
      <c r="E12091">
        <v>-999</v>
      </c>
      <c r="F12091">
        <v>-999</v>
      </c>
    </row>
    <row r="12092" spans="1:6" x14ac:dyDescent="0.35">
      <c r="A12092">
        <v>1975</v>
      </c>
      <c r="B12092" s="1">
        <v>46028</v>
      </c>
      <c r="C12092" s="2">
        <v>0.75</v>
      </c>
      <c r="D12092">
        <v>1</v>
      </c>
      <c r="E12092">
        <v>-999</v>
      </c>
      <c r="F12092">
        <v>-999</v>
      </c>
    </row>
    <row r="12093" spans="1:6" x14ac:dyDescent="0.35">
      <c r="A12093">
        <v>1975</v>
      </c>
      <c r="B12093" s="1">
        <v>46028</v>
      </c>
      <c r="C12093" s="2">
        <v>0.79166666666666663</v>
      </c>
      <c r="D12093">
        <v>1</v>
      </c>
      <c r="E12093">
        <v>-999</v>
      </c>
      <c r="F12093">
        <v>-999</v>
      </c>
    </row>
    <row r="12094" spans="1:6" x14ac:dyDescent="0.35">
      <c r="A12094">
        <v>1975</v>
      </c>
      <c r="B12094" s="1">
        <v>46028</v>
      </c>
      <c r="C12094" s="2">
        <v>0.83333333333333337</v>
      </c>
      <c r="D12094">
        <v>1</v>
      </c>
      <c r="E12094">
        <v>-999</v>
      </c>
      <c r="F12094">
        <v>-999</v>
      </c>
    </row>
    <row r="12095" spans="1:6" x14ac:dyDescent="0.35">
      <c r="A12095">
        <v>1975</v>
      </c>
      <c r="B12095" s="1">
        <v>46028</v>
      </c>
      <c r="C12095" s="2">
        <v>0.875</v>
      </c>
      <c r="D12095">
        <v>1</v>
      </c>
      <c r="E12095">
        <v>-999</v>
      </c>
      <c r="F12095">
        <v>-999</v>
      </c>
    </row>
    <row r="12096" spans="1:6" x14ac:dyDescent="0.35">
      <c r="A12096">
        <v>1975</v>
      </c>
      <c r="B12096" s="1">
        <v>46028</v>
      </c>
      <c r="C12096" s="2">
        <v>0.91666666666666663</v>
      </c>
      <c r="D12096">
        <v>1</v>
      </c>
      <c r="E12096">
        <v>-999</v>
      </c>
      <c r="F12096">
        <v>-999</v>
      </c>
    </row>
    <row r="12097" spans="1:6" x14ac:dyDescent="0.35">
      <c r="A12097">
        <v>1975</v>
      </c>
      <c r="B12097" s="1">
        <v>46028</v>
      </c>
      <c r="C12097" s="2">
        <v>0.95833333333333337</v>
      </c>
      <c r="D12097">
        <v>1</v>
      </c>
      <c r="E12097">
        <v>-999</v>
      </c>
      <c r="F12097">
        <v>-999</v>
      </c>
    </row>
    <row r="12098" spans="1:6" x14ac:dyDescent="0.35">
      <c r="A12098">
        <v>1975</v>
      </c>
      <c r="B12098" s="1">
        <v>46029</v>
      </c>
      <c r="C12098" s="2">
        <v>0</v>
      </c>
      <c r="D12098">
        <v>1</v>
      </c>
      <c r="E12098">
        <v>-999</v>
      </c>
      <c r="F12098">
        <v>-999</v>
      </c>
    </row>
    <row r="12099" spans="1:6" x14ac:dyDescent="0.35">
      <c r="A12099">
        <v>1975</v>
      </c>
      <c r="B12099" s="1">
        <v>46029</v>
      </c>
      <c r="C12099" s="2">
        <v>4.1666666666666657E-2</v>
      </c>
      <c r="D12099">
        <v>1</v>
      </c>
      <c r="E12099">
        <v>-999</v>
      </c>
      <c r="F12099">
        <v>-999</v>
      </c>
    </row>
    <row r="12100" spans="1:6" x14ac:dyDescent="0.35">
      <c r="A12100">
        <v>1975</v>
      </c>
      <c r="B12100" s="1">
        <v>46029</v>
      </c>
      <c r="C12100" s="2">
        <v>8.3333333333333329E-2</v>
      </c>
      <c r="D12100">
        <v>1</v>
      </c>
      <c r="E12100">
        <v>-999</v>
      </c>
      <c r="F12100">
        <v>-999</v>
      </c>
    </row>
    <row r="12101" spans="1:6" x14ac:dyDescent="0.35">
      <c r="A12101">
        <v>1975</v>
      </c>
      <c r="B12101" s="1">
        <v>46029</v>
      </c>
      <c r="C12101" s="2">
        <v>0.125</v>
      </c>
      <c r="D12101">
        <v>1</v>
      </c>
      <c r="E12101">
        <v>-999</v>
      </c>
      <c r="F12101">
        <v>-999</v>
      </c>
    </row>
    <row r="12102" spans="1:6" x14ac:dyDescent="0.35">
      <c r="A12102">
        <v>1975</v>
      </c>
      <c r="B12102" s="1">
        <v>46029</v>
      </c>
      <c r="C12102" s="2">
        <v>0.16666666666666671</v>
      </c>
      <c r="D12102">
        <v>1</v>
      </c>
      <c r="E12102">
        <v>-999</v>
      </c>
      <c r="F12102">
        <v>-999</v>
      </c>
    </row>
    <row r="12103" spans="1:6" x14ac:dyDescent="0.35">
      <c r="A12103">
        <v>1975</v>
      </c>
      <c r="B12103" s="1">
        <v>46029</v>
      </c>
      <c r="C12103" s="2">
        <v>0.20833333333333329</v>
      </c>
      <c r="D12103">
        <v>1</v>
      </c>
      <c r="E12103">
        <v>-999</v>
      </c>
      <c r="F12103">
        <v>-999</v>
      </c>
    </row>
    <row r="12104" spans="1:6" x14ac:dyDescent="0.35">
      <c r="A12104">
        <v>1975</v>
      </c>
      <c r="B12104" s="1">
        <v>46029</v>
      </c>
      <c r="C12104" s="2">
        <v>0.25</v>
      </c>
      <c r="D12104">
        <v>1</v>
      </c>
      <c r="E12104">
        <v>-999</v>
      </c>
      <c r="F12104">
        <v>-999</v>
      </c>
    </row>
    <row r="12105" spans="1:6" x14ac:dyDescent="0.35">
      <c r="A12105">
        <v>1975</v>
      </c>
      <c r="B12105" s="1">
        <v>46029</v>
      </c>
      <c r="C12105" s="2">
        <v>0.29166666666666669</v>
      </c>
      <c r="D12105">
        <v>1</v>
      </c>
      <c r="E12105">
        <v>-999</v>
      </c>
      <c r="F12105">
        <v>-999</v>
      </c>
    </row>
    <row r="12106" spans="1:6" x14ac:dyDescent="0.35">
      <c r="A12106">
        <v>1975</v>
      </c>
      <c r="B12106" s="1">
        <v>46029</v>
      </c>
      <c r="C12106" s="2">
        <v>0.33333333333333331</v>
      </c>
      <c r="D12106">
        <v>1</v>
      </c>
      <c r="E12106">
        <v>-999</v>
      </c>
      <c r="F12106">
        <v>-999</v>
      </c>
    </row>
    <row r="12107" spans="1:6" x14ac:dyDescent="0.35">
      <c r="A12107">
        <v>1975</v>
      </c>
      <c r="B12107" s="1">
        <v>46029</v>
      </c>
      <c r="C12107" s="2">
        <v>0.375</v>
      </c>
      <c r="D12107">
        <v>1</v>
      </c>
      <c r="E12107">
        <v>-2.9</v>
      </c>
      <c r="F12107">
        <v>81</v>
      </c>
    </row>
    <row r="12108" spans="1:6" x14ac:dyDescent="0.35">
      <c r="A12108">
        <v>1975</v>
      </c>
      <c r="B12108" s="1">
        <v>46029</v>
      </c>
      <c r="C12108" s="2">
        <v>0.41666666666666669</v>
      </c>
      <c r="D12108">
        <v>1</v>
      </c>
      <c r="E12108">
        <v>-2.5</v>
      </c>
      <c r="F12108">
        <v>79</v>
      </c>
    </row>
    <row r="12109" spans="1:6" x14ac:dyDescent="0.35">
      <c r="A12109">
        <v>1975</v>
      </c>
      <c r="B12109" s="1">
        <v>46029</v>
      </c>
      <c r="C12109" s="2">
        <v>0.45833333333333331</v>
      </c>
      <c r="D12109">
        <v>1</v>
      </c>
      <c r="E12109">
        <v>-1.8</v>
      </c>
      <c r="F12109">
        <v>78</v>
      </c>
    </row>
    <row r="12110" spans="1:6" x14ac:dyDescent="0.35">
      <c r="A12110">
        <v>1975</v>
      </c>
      <c r="B12110" s="1">
        <v>46029</v>
      </c>
      <c r="C12110" s="2">
        <v>0.5</v>
      </c>
      <c r="D12110">
        <v>1</v>
      </c>
      <c r="E12110">
        <v>-1.3</v>
      </c>
      <c r="F12110">
        <v>77</v>
      </c>
    </row>
    <row r="12111" spans="1:6" x14ac:dyDescent="0.35">
      <c r="A12111">
        <v>1975</v>
      </c>
      <c r="B12111" s="1">
        <v>46029</v>
      </c>
      <c r="C12111" s="2">
        <v>0.54166666666666663</v>
      </c>
      <c r="D12111">
        <v>1</v>
      </c>
      <c r="E12111">
        <v>-0.9</v>
      </c>
      <c r="F12111">
        <v>76</v>
      </c>
    </row>
    <row r="12112" spans="1:6" x14ac:dyDescent="0.35">
      <c r="A12112">
        <v>1975</v>
      </c>
      <c r="B12112" s="1">
        <v>46029</v>
      </c>
      <c r="C12112" s="2">
        <v>0.58333333333333337</v>
      </c>
      <c r="D12112">
        <v>1</v>
      </c>
      <c r="E12112">
        <v>-1.2</v>
      </c>
      <c r="F12112">
        <v>76</v>
      </c>
    </row>
    <row r="12113" spans="1:6" x14ac:dyDescent="0.35">
      <c r="A12113">
        <v>1975</v>
      </c>
      <c r="B12113" s="1">
        <v>46029</v>
      </c>
      <c r="C12113" s="2">
        <v>0.625</v>
      </c>
      <c r="D12113">
        <v>1</v>
      </c>
      <c r="E12113">
        <v>-1.5</v>
      </c>
      <c r="F12113">
        <v>76</v>
      </c>
    </row>
    <row r="12114" spans="1:6" x14ac:dyDescent="0.35">
      <c r="A12114">
        <v>1975</v>
      </c>
      <c r="B12114" s="1">
        <v>46029</v>
      </c>
      <c r="C12114" s="2">
        <v>0.66666666666666663</v>
      </c>
      <c r="D12114">
        <v>1</v>
      </c>
      <c r="E12114">
        <v>-1.9</v>
      </c>
      <c r="F12114">
        <v>76</v>
      </c>
    </row>
    <row r="12115" spans="1:6" x14ac:dyDescent="0.35">
      <c r="A12115">
        <v>1975</v>
      </c>
      <c r="B12115" s="1">
        <v>46029</v>
      </c>
      <c r="C12115" s="2">
        <v>0.70833333333333337</v>
      </c>
      <c r="D12115">
        <v>1</v>
      </c>
      <c r="E12115">
        <v>-1.9</v>
      </c>
      <c r="F12115">
        <v>74</v>
      </c>
    </row>
    <row r="12116" spans="1:6" x14ac:dyDescent="0.35">
      <c r="A12116">
        <v>1975</v>
      </c>
      <c r="B12116" s="1">
        <v>46029</v>
      </c>
      <c r="C12116" s="2">
        <v>0.75</v>
      </c>
      <c r="D12116">
        <v>1</v>
      </c>
      <c r="E12116">
        <v>-2.1</v>
      </c>
      <c r="F12116">
        <v>75</v>
      </c>
    </row>
    <row r="12117" spans="1:6" x14ac:dyDescent="0.35">
      <c r="A12117">
        <v>1975</v>
      </c>
      <c r="B12117" s="1">
        <v>46029</v>
      </c>
      <c r="C12117" s="2">
        <v>0.79166666666666663</v>
      </c>
      <c r="D12117">
        <v>1</v>
      </c>
      <c r="E12117">
        <v>-2.2000000000000002</v>
      </c>
      <c r="F12117">
        <v>76</v>
      </c>
    </row>
    <row r="12118" spans="1:6" x14ac:dyDescent="0.35">
      <c r="A12118">
        <v>1975</v>
      </c>
      <c r="B12118" s="1">
        <v>46029</v>
      </c>
      <c r="C12118" s="2">
        <v>0.83333333333333337</v>
      </c>
      <c r="D12118">
        <v>1</v>
      </c>
      <c r="E12118">
        <v>-3</v>
      </c>
      <c r="F12118">
        <v>90</v>
      </c>
    </row>
    <row r="12119" spans="1:6" x14ac:dyDescent="0.35">
      <c r="A12119">
        <v>1975</v>
      </c>
      <c r="B12119" s="1">
        <v>46029</v>
      </c>
      <c r="C12119" s="2">
        <v>0.875</v>
      </c>
      <c r="D12119">
        <v>1</v>
      </c>
      <c r="E12119">
        <v>-2.9</v>
      </c>
      <c r="F12119">
        <v>89</v>
      </c>
    </row>
    <row r="12120" spans="1:6" x14ac:dyDescent="0.35">
      <c r="A12120">
        <v>1975</v>
      </c>
      <c r="B12120" s="1">
        <v>46029</v>
      </c>
      <c r="C12120" s="2">
        <v>0.91666666666666663</v>
      </c>
      <c r="D12120">
        <v>1</v>
      </c>
      <c r="E12120">
        <v>-2.7</v>
      </c>
      <c r="F12120">
        <v>87</v>
      </c>
    </row>
    <row r="12121" spans="1:6" x14ac:dyDescent="0.35">
      <c r="A12121">
        <v>1975</v>
      </c>
      <c r="B12121" s="1">
        <v>46029</v>
      </c>
      <c r="C12121" s="2">
        <v>0.95833333333333337</v>
      </c>
      <c r="D12121">
        <v>1</v>
      </c>
      <c r="E12121">
        <v>-2.6</v>
      </c>
      <c r="F12121">
        <v>86</v>
      </c>
    </row>
    <row r="12122" spans="1:6" x14ac:dyDescent="0.35">
      <c r="A12122">
        <v>1975</v>
      </c>
      <c r="B12122" s="1">
        <v>46030</v>
      </c>
      <c r="C12122" s="2">
        <v>0</v>
      </c>
      <c r="D12122">
        <v>1</v>
      </c>
      <c r="E12122">
        <v>-2.5</v>
      </c>
      <c r="F12122">
        <v>85</v>
      </c>
    </row>
    <row r="12123" spans="1:6" x14ac:dyDescent="0.35">
      <c r="A12123">
        <v>1975</v>
      </c>
      <c r="B12123" s="1">
        <v>46030</v>
      </c>
      <c r="C12123" s="2">
        <v>4.1666666666666657E-2</v>
      </c>
      <c r="D12123">
        <v>1</v>
      </c>
      <c r="E12123">
        <v>-2.5</v>
      </c>
      <c r="F12123">
        <v>86</v>
      </c>
    </row>
    <row r="12124" spans="1:6" x14ac:dyDescent="0.35">
      <c r="A12124">
        <v>1975</v>
      </c>
      <c r="B12124" s="1">
        <v>46030</v>
      </c>
      <c r="C12124" s="2">
        <v>8.3333333333333329E-2</v>
      </c>
      <c r="D12124">
        <v>1</v>
      </c>
      <c r="E12124">
        <v>-2.6</v>
      </c>
      <c r="F12124">
        <v>85</v>
      </c>
    </row>
    <row r="12125" spans="1:6" x14ac:dyDescent="0.35">
      <c r="A12125">
        <v>1975</v>
      </c>
      <c r="B12125" s="1">
        <v>46030</v>
      </c>
      <c r="C12125" s="2">
        <v>0.125</v>
      </c>
      <c r="D12125">
        <v>1</v>
      </c>
      <c r="E12125">
        <v>-2.6</v>
      </c>
      <c r="F12125">
        <v>87</v>
      </c>
    </row>
    <row r="12126" spans="1:6" x14ac:dyDescent="0.35">
      <c r="A12126">
        <v>1975</v>
      </c>
      <c r="B12126" s="1">
        <v>46030</v>
      </c>
      <c r="C12126" s="2">
        <v>0.16666666666666671</v>
      </c>
      <c r="D12126">
        <v>1</v>
      </c>
      <c r="E12126">
        <v>-2.4</v>
      </c>
      <c r="F12126">
        <v>87</v>
      </c>
    </row>
    <row r="12127" spans="1:6" x14ac:dyDescent="0.35">
      <c r="A12127">
        <v>1975</v>
      </c>
      <c r="B12127" s="1">
        <v>46030</v>
      </c>
      <c r="C12127" s="2">
        <v>0.20833333333333329</v>
      </c>
      <c r="D12127">
        <v>1</v>
      </c>
      <c r="E12127">
        <v>-2.2999999999999998</v>
      </c>
      <c r="F12127">
        <v>89</v>
      </c>
    </row>
    <row r="12128" spans="1:6" x14ac:dyDescent="0.35">
      <c r="A12128">
        <v>1975</v>
      </c>
      <c r="B12128" s="1">
        <v>46030</v>
      </c>
      <c r="C12128" s="2">
        <v>0.25</v>
      </c>
      <c r="D12128">
        <v>1</v>
      </c>
      <c r="E12128">
        <v>-2.5</v>
      </c>
      <c r="F12128">
        <v>90</v>
      </c>
    </row>
    <row r="12129" spans="1:6" x14ac:dyDescent="0.35">
      <c r="A12129">
        <v>1975</v>
      </c>
      <c r="B12129" s="1">
        <v>46030</v>
      </c>
      <c r="C12129" s="2">
        <v>0.29166666666666669</v>
      </c>
      <c r="D12129">
        <v>1</v>
      </c>
      <c r="E12129">
        <v>-2.9</v>
      </c>
      <c r="F12129">
        <v>96</v>
      </c>
    </row>
    <row r="12130" spans="1:6" x14ac:dyDescent="0.35">
      <c r="A12130">
        <v>1975</v>
      </c>
      <c r="B12130" s="1">
        <v>46030</v>
      </c>
      <c r="C12130" s="2">
        <v>0.33333333333333331</v>
      </c>
      <c r="D12130">
        <v>1</v>
      </c>
      <c r="E12130">
        <v>-2.6</v>
      </c>
      <c r="F12130">
        <v>95</v>
      </c>
    </row>
    <row r="12131" spans="1:6" x14ac:dyDescent="0.35">
      <c r="A12131">
        <v>1975</v>
      </c>
      <c r="B12131" s="1">
        <v>46030</v>
      </c>
      <c r="C12131" s="2">
        <v>0.375</v>
      </c>
      <c r="D12131">
        <v>1</v>
      </c>
      <c r="E12131">
        <v>-2.4</v>
      </c>
      <c r="F12131">
        <v>95</v>
      </c>
    </row>
    <row r="12132" spans="1:6" x14ac:dyDescent="0.35">
      <c r="A12132">
        <v>1975</v>
      </c>
      <c r="B12132" s="1">
        <v>46030</v>
      </c>
      <c r="C12132" s="2">
        <v>0.41666666666666669</v>
      </c>
      <c r="D12132">
        <v>1</v>
      </c>
      <c r="E12132">
        <v>-2.2000000000000002</v>
      </c>
      <c r="F12132">
        <v>97</v>
      </c>
    </row>
    <row r="12133" spans="1:6" x14ac:dyDescent="0.35">
      <c r="A12133">
        <v>1975</v>
      </c>
      <c r="B12133" s="1">
        <v>46030</v>
      </c>
      <c r="C12133" s="2">
        <v>0.45833333333333331</v>
      </c>
      <c r="D12133">
        <v>1</v>
      </c>
      <c r="E12133">
        <v>-1.7</v>
      </c>
      <c r="F12133">
        <v>95</v>
      </c>
    </row>
    <row r="12134" spans="1:6" x14ac:dyDescent="0.35">
      <c r="A12134">
        <v>1975</v>
      </c>
      <c r="B12134" s="1">
        <v>46030</v>
      </c>
      <c r="C12134" s="2">
        <v>0.5</v>
      </c>
      <c r="D12134">
        <v>1</v>
      </c>
      <c r="E12134">
        <v>-1.1000000000000001</v>
      </c>
      <c r="F12134">
        <v>95</v>
      </c>
    </row>
    <row r="12135" spans="1:6" x14ac:dyDescent="0.35">
      <c r="A12135">
        <v>1975</v>
      </c>
      <c r="B12135" s="1">
        <v>46030</v>
      </c>
      <c r="C12135" s="2">
        <v>0.54166666666666663</v>
      </c>
      <c r="D12135">
        <v>1</v>
      </c>
      <c r="E12135">
        <v>-0.8</v>
      </c>
      <c r="F12135">
        <v>95</v>
      </c>
    </row>
    <row r="12136" spans="1:6" x14ac:dyDescent="0.35">
      <c r="A12136">
        <v>1975</v>
      </c>
      <c r="B12136" s="1">
        <v>46030</v>
      </c>
      <c r="C12136" s="2">
        <v>0.58333333333333337</v>
      </c>
      <c r="D12136">
        <v>1</v>
      </c>
      <c r="E12136">
        <v>-0.3</v>
      </c>
      <c r="F12136">
        <v>95</v>
      </c>
    </row>
    <row r="12137" spans="1:6" x14ac:dyDescent="0.35">
      <c r="A12137">
        <v>1975</v>
      </c>
      <c r="B12137" s="1">
        <v>46030</v>
      </c>
      <c r="C12137" s="2">
        <v>0.625</v>
      </c>
      <c r="D12137">
        <v>1</v>
      </c>
      <c r="E12137">
        <v>-0.1</v>
      </c>
      <c r="F12137">
        <v>96</v>
      </c>
    </row>
    <row r="12138" spans="1:6" x14ac:dyDescent="0.35">
      <c r="A12138">
        <v>1975</v>
      </c>
      <c r="B12138" s="1">
        <v>46030</v>
      </c>
      <c r="C12138" s="2">
        <v>0.66666666666666663</v>
      </c>
      <c r="D12138">
        <v>1</v>
      </c>
      <c r="E12138">
        <v>0</v>
      </c>
      <c r="F12138">
        <v>96</v>
      </c>
    </row>
    <row r="12139" spans="1:6" x14ac:dyDescent="0.35">
      <c r="A12139">
        <v>1975</v>
      </c>
      <c r="B12139" s="1">
        <v>46030</v>
      </c>
      <c r="C12139" s="2">
        <v>0.70833333333333337</v>
      </c>
      <c r="D12139">
        <v>1</v>
      </c>
      <c r="E12139">
        <v>-0.3</v>
      </c>
      <c r="F12139">
        <v>96</v>
      </c>
    </row>
    <row r="12140" spans="1:6" x14ac:dyDescent="0.35">
      <c r="A12140">
        <v>1975</v>
      </c>
      <c r="B12140" s="1">
        <v>46030</v>
      </c>
      <c r="C12140" s="2">
        <v>0.75</v>
      </c>
      <c r="D12140">
        <v>1</v>
      </c>
      <c r="E12140">
        <v>-0.2</v>
      </c>
      <c r="F12140">
        <v>96</v>
      </c>
    </row>
    <row r="12141" spans="1:6" x14ac:dyDescent="0.35">
      <c r="A12141">
        <v>1975</v>
      </c>
      <c r="B12141" s="1">
        <v>46030</v>
      </c>
      <c r="C12141" s="2">
        <v>0.79166666666666663</v>
      </c>
      <c r="D12141">
        <v>1</v>
      </c>
      <c r="E12141">
        <v>-0.2</v>
      </c>
      <c r="F12141">
        <v>95</v>
      </c>
    </row>
    <row r="12142" spans="1:6" x14ac:dyDescent="0.35">
      <c r="A12142">
        <v>1975</v>
      </c>
      <c r="B12142" s="1">
        <v>46030</v>
      </c>
      <c r="C12142" s="2">
        <v>0.83333333333333337</v>
      </c>
      <c r="D12142">
        <v>1</v>
      </c>
      <c r="E12142">
        <v>-0.5</v>
      </c>
      <c r="F12142">
        <v>94</v>
      </c>
    </row>
    <row r="12143" spans="1:6" x14ac:dyDescent="0.35">
      <c r="A12143">
        <v>1975</v>
      </c>
      <c r="B12143" s="1">
        <v>46030</v>
      </c>
      <c r="C12143" s="2">
        <v>0.875</v>
      </c>
      <c r="D12143">
        <v>1</v>
      </c>
      <c r="E12143">
        <v>-1</v>
      </c>
      <c r="F12143">
        <v>93</v>
      </c>
    </row>
    <row r="12144" spans="1:6" x14ac:dyDescent="0.35">
      <c r="A12144">
        <v>1975</v>
      </c>
      <c r="B12144" s="1">
        <v>46030</v>
      </c>
      <c r="C12144" s="2">
        <v>0.91666666666666663</v>
      </c>
      <c r="D12144">
        <v>1</v>
      </c>
      <c r="E12144">
        <v>-1.1000000000000001</v>
      </c>
      <c r="F12144">
        <v>93</v>
      </c>
    </row>
    <row r="12145" spans="1:6" x14ac:dyDescent="0.35">
      <c r="A12145">
        <v>1975</v>
      </c>
      <c r="B12145" s="1">
        <v>46030</v>
      </c>
      <c r="C12145" s="2">
        <v>0.95833333333333337</v>
      </c>
      <c r="D12145">
        <v>1</v>
      </c>
      <c r="E12145">
        <v>-1.7</v>
      </c>
      <c r="F12145">
        <v>92</v>
      </c>
    </row>
    <row r="12146" spans="1:6" x14ac:dyDescent="0.35">
      <c r="A12146">
        <v>1975</v>
      </c>
      <c r="B12146" s="1">
        <v>46031</v>
      </c>
      <c r="C12146" s="2">
        <v>0</v>
      </c>
      <c r="D12146">
        <v>1</v>
      </c>
      <c r="E12146">
        <v>-1.9</v>
      </c>
      <c r="F12146">
        <v>91</v>
      </c>
    </row>
    <row r="12147" spans="1:6" x14ac:dyDescent="0.35">
      <c r="A12147">
        <v>1975</v>
      </c>
      <c r="B12147" s="1">
        <v>46031</v>
      </c>
      <c r="C12147" s="2">
        <v>4.1666666666666657E-2</v>
      </c>
      <c r="D12147">
        <v>1</v>
      </c>
      <c r="E12147">
        <v>-2.4</v>
      </c>
      <c r="F12147">
        <v>90</v>
      </c>
    </row>
    <row r="12148" spans="1:6" x14ac:dyDescent="0.35">
      <c r="A12148">
        <v>1975</v>
      </c>
      <c r="B12148" s="1">
        <v>46031</v>
      </c>
      <c r="C12148" s="2">
        <v>8.3333333333333329E-2</v>
      </c>
      <c r="D12148">
        <v>1</v>
      </c>
      <c r="E12148">
        <v>-2.7</v>
      </c>
      <c r="F12148">
        <v>90</v>
      </c>
    </row>
    <row r="12149" spans="1:6" x14ac:dyDescent="0.35">
      <c r="A12149">
        <v>1975</v>
      </c>
      <c r="B12149" s="1">
        <v>46031</v>
      </c>
      <c r="C12149" s="2">
        <v>0.125</v>
      </c>
      <c r="D12149">
        <v>1</v>
      </c>
      <c r="E12149">
        <v>-2.9</v>
      </c>
      <c r="F12149">
        <v>88</v>
      </c>
    </row>
    <row r="12150" spans="1:6" x14ac:dyDescent="0.35">
      <c r="A12150">
        <v>1975</v>
      </c>
      <c r="B12150" s="1">
        <v>46031</v>
      </c>
      <c r="C12150" s="2">
        <v>0.16666666666666671</v>
      </c>
      <c r="D12150">
        <v>1</v>
      </c>
      <c r="E12150">
        <v>-2.7</v>
      </c>
      <c r="F12150">
        <v>86</v>
      </c>
    </row>
    <row r="12151" spans="1:6" x14ac:dyDescent="0.35">
      <c r="A12151">
        <v>1975</v>
      </c>
      <c r="B12151" s="1">
        <v>46031</v>
      </c>
      <c r="C12151" s="2">
        <v>0.20833333333333329</v>
      </c>
      <c r="D12151">
        <v>1</v>
      </c>
      <c r="E12151">
        <v>-2.2999999999999998</v>
      </c>
      <c r="F12151">
        <v>84</v>
      </c>
    </row>
    <row r="12152" spans="1:6" x14ac:dyDescent="0.35">
      <c r="A12152">
        <v>1975</v>
      </c>
      <c r="B12152" s="1">
        <v>46031</v>
      </c>
      <c r="C12152" s="2">
        <v>0.25</v>
      </c>
      <c r="D12152">
        <v>1</v>
      </c>
      <c r="E12152">
        <v>-2.6</v>
      </c>
      <c r="F12152">
        <v>85</v>
      </c>
    </row>
    <row r="12153" spans="1:6" x14ac:dyDescent="0.35">
      <c r="A12153">
        <v>1975</v>
      </c>
      <c r="B12153" s="1">
        <v>46031</v>
      </c>
      <c r="C12153" s="2">
        <v>0.29166666666666669</v>
      </c>
      <c r="D12153">
        <v>1</v>
      </c>
      <c r="E12153">
        <v>-2.5</v>
      </c>
      <c r="F12153">
        <v>82</v>
      </c>
    </row>
    <row r="12154" spans="1:6" x14ac:dyDescent="0.35">
      <c r="A12154">
        <v>1975</v>
      </c>
      <c r="B12154" s="1">
        <v>46031</v>
      </c>
      <c r="C12154" s="2">
        <v>0.33333333333333331</v>
      </c>
      <c r="D12154">
        <v>1</v>
      </c>
      <c r="E12154">
        <v>-2.8</v>
      </c>
      <c r="F12154">
        <v>83</v>
      </c>
    </row>
    <row r="12155" spans="1:6" x14ac:dyDescent="0.35">
      <c r="A12155">
        <v>1975</v>
      </c>
      <c r="B12155" s="1">
        <v>46031</v>
      </c>
      <c r="C12155" s="2">
        <v>0.375</v>
      </c>
      <c r="D12155">
        <v>1</v>
      </c>
      <c r="E12155">
        <v>-3.6</v>
      </c>
      <c r="F12155">
        <v>87</v>
      </c>
    </row>
    <row r="12156" spans="1:6" x14ac:dyDescent="0.35">
      <c r="A12156">
        <v>1975</v>
      </c>
      <c r="B12156" s="1">
        <v>46031</v>
      </c>
      <c r="C12156" s="2">
        <v>0.41666666666666669</v>
      </c>
      <c r="D12156">
        <v>1</v>
      </c>
      <c r="E12156">
        <v>-4.0999999999999996</v>
      </c>
      <c r="F12156">
        <v>88</v>
      </c>
    </row>
    <row r="12157" spans="1:6" x14ac:dyDescent="0.35">
      <c r="A12157">
        <v>1975</v>
      </c>
      <c r="B12157" s="1">
        <v>46031</v>
      </c>
      <c r="C12157" s="2">
        <v>0.45833333333333331</v>
      </c>
      <c r="D12157">
        <v>1</v>
      </c>
      <c r="E12157">
        <v>-3.8</v>
      </c>
      <c r="F12157">
        <v>84</v>
      </c>
    </row>
    <row r="12158" spans="1:6" x14ac:dyDescent="0.35">
      <c r="A12158">
        <v>1975</v>
      </c>
      <c r="B12158" s="1">
        <v>46031</v>
      </c>
      <c r="C12158" s="2">
        <v>0.5</v>
      </c>
      <c r="D12158">
        <v>1</v>
      </c>
      <c r="E12158">
        <v>-3.6</v>
      </c>
      <c r="F12158">
        <v>83</v>
      </c>
    </row>
    <row r="12159" spans="1:6" x14ac:dyDescent="0.35">
      <c r="A12159">
        <v>1975</v>
      </c>
      <c r="B12159" s="1">
        <v>46031</v>
      </c>
      <c r="C12159" s="2">
        <v>0.54166666666666663</v>
      </c>
      <c r="D12159">
        <v>1</v>
      </c>
      <c r="E12159">
        <v>-3.2</v>
      </c>
      <c r="F12159">
        <v>81</v>
      </c>
    </row>
    <row r="12160" spans="1:6" x14ac:dyDescent="0.35">
      <c r="A12160">
        <v>1975</v>
      </c>
      <c r="B12160" s="1">
        <v>46031</v>
      </c>
      <c r="C12160" s="2">
        <v>0.58333333333333337</v>
      </c>
      <c r="D12160">
        <v>1</v>
      </c>
      <c r="E12160">
        <v>-3.1</v>
      </c>
      <c r="F12160">
        <v>77</v>
      </c>
    </row>
    <row r="12161" spans="1:6" x14ac:dyDescent="0.35">
      <c r="A12161">
        <v>1975</v>
      </c>
      <c r="B12161" s="1">
        <v>46031</v>
      </c>
      <c r="C12161" s="2">
        <v>0.625</v>
      </c>
      <c r="D12161">
        <v>1</v>
      </c>
      <c r="E12161">
        <v>-3.1</v>
      </c>
      <c r="F12161">
        <v>68</v>
      </c>
    </row>
    <row r="12162" spans="1:6" x14ac:dyDescent="0.35">
      <c r="A12162">
        <v>1975</v>
      </c>
      <c r="B12162" s="1">
        <v>46031</v>
      </c>
      <c r="C12162" s="2">
        <v>0.66666666666666663</v>
      </c>
      <c r="D12162">
        <v>1</v>
      </c>
      <c r="E12162">
        <v>-4</v>
      </c>
      <c r="F12162">
        <v>64</v>
      </c>
    </row>
    <row r="12163" spans="1:6" x14ac:dyDescent="0.35">
      <c r="A12163">
        <v>1975</v>
      </c>
      <c r="B12163" s="1">
        <v>46031</v>
      </c>
      <c r="C12163" s="2">
        <v>0.70833333333333337</v>
      </c>
      <c r="D12163">
        <v>1</v>
      </c>
      <c r="E12163">
        <v>-4.2</v>
      </c>
      <c r="F12163">
        <v>63</v>
      </c>
    </row>
    <row r="12164" spans="1:6" x14ac:dyDescent="0.35">
      <c r="A12164">
        <v>1975</v>
      </c>
      <c r="B12164" s="1">
        <v>46031</v>
      </c>
      <c r="C12164" s="2">
        <v>0.75</v>
      </c>
      <c r="D12164">
        <v>1</v>
      </c>
      <c r="E12164">
        <v>-4</v>
      </c>
      <c r="F12164">
        <v>64</v>
      </c>
    </row>
    <row r="12165" spans="1:6" x14ac:dyDescent="0.35">
      <c r="A12165">
        <v>1975</v>
      </c>
      <c r="B12165" s="1">
        <v>46031</v>
      </c>
      <c r="C12165" s="2">
        <v>0.79166666666666663</v>
      </c>
      <c r="D12165">
        <v>1</v>
      </c>
      <c r="E12165">
        <v>-3.7</v>
      </c>
      <c r="F12165">
        <v>61</v>
      </c>
    </row>
    <row r="12166" spans="1:6" x14ac:dyDescent="0.35">
      <c r="A12166">
        <v>1975</v>
      </c>
      <c r="B12166" s="1">
        <v>46031</v>
      </c>
      <c r="C12166" s="2">
        <v>0.83333333333333337</v>
      </c>
      <c r="D12166">
        <v>1</v>
      </c>
      <c r="E12166">
        <v>-3</v>
      </c>
      <c r="F12166">
        <v>66</v>
      </c>
    </row>
    <row r="12167" spans="1:6" x14ac:dyDescent="0.35">
      <c r="A12167">
        <v>1975</v>
      </c>
      <c r="B12167" s="1">
        <v>46031</v>
      </c>
      <c r="C12167" s="2">
        <v>0.875</v>
      </c>
      <c r="D12167">
        <v>1</v>
      </c>
      <c r="E12167">
        <v>-2.5</v>
      </c>
      <c r="F12167">
        <v>65</v>
      </c>
    </row>
    <row r="12168" spans="1:6" x14ac:dyDescent="0.35">
      <c r="A12168">
        <v>1975</v>
      </c>
      <c r="B12168" s="1">
        <v>46031</v>
      </c>
      <c r="C12168" s="2">
        <v>0.91666666666666663</v>
      </c>
      <c r="D12168">
        <v>1</v>
      </c>
      <c r="E12168">
        <v>-2.5</v>
      </c>
      <c r="F12168">
        <v>69</v>
      </c>
    </row>
    <row r="12169" spans="1:6" x14ac:dyDescent="0.35">
      <c r="A12169">
        <v>1975</v>
      </c>
      <c r="B12169" s="1">
        <v>46031</v>
      </c>
      <c r="C12169" s="2">
        <v>0.95833333333333337</v>
      </c>
      <c r="D12169">
        <v>1</v>
      </c>
      <c r="E12169">
        <v>-2.9</v>
      </c>
      <c r="F12169">
        <v>71</v>
      </c>
    </row>
    <row r="12170" spans="1:6" x14ac:dyDescent="0.35">
      <c r="A12170">
        <v>1975</v>
      </c>
      <c r="B12170" s="1">
        <v>46032</v>
      </c>
      <c r="C12170" s="2">
        <v>0</v>
      </c>
      <c r="D12170">
        <v>1</v>
      </c>
      <c r="E12170">
        <v>-2.7</v>
      </c>
      <c r="F12170">
        <v>66</v>
      </c>
    </row>
    <row r="12171" spans="1:6" x14ac:dyDescent="0.35">
      <c r="A12171">
        <v>1975</v>
      </c>
      <c r="B12171" s="1">
        <v>46032</v>
      </c>
      <c r="C12171" s="2">
        <v>4.1666666666666657E-2</v>
      </c>
      <c r="D12171">
        <v>1</v>
      </c>
      <c r="E12171">
        <v>-2.7</v>
      </c>
      <c r="F12171">
        <v>68</v>
      </c>
    </row>
    <row r="12172" spans="1:6" x14ac:dyDescent="0.35">
      <c r="A12172">
        <v>1975</v>
      </c>
      <c r="B12172" s="1">
        <v>46032</v>
      </c>
      <c r="C12172" s="2">
        <v>8.3333333333333329E-2</v>
      </c>
      <c r="D12172">
        <v>1</v>
      </c>
      <c r="E12172">
        <v>-2.5</v>
      </c>
      <c r="F12172">
        <v>68</v>
      </c>
    </row>
    <row r="12173" spans="1:6" x14ac:dyDescent="0.35">
      <c r="A12173">
        <v>1975</v>
      </c>
      <c r="B12173" s="1">
        <v>46032</v>
      </c>
      <c r="C12173" s="2">
        <v>0.125</v>
      </c>
      <c r="D12173">
        <v>1</v>
      </c>
      <c r="E12173">
        <v>-2.4</v>
      </c>
      <c r="F12173">
        <v>70</v>
      </c>
    </row>
    <row r="12174" spans="1:6" x14ac:dyDescent="0.35">
      <c r="A12174">
        <v>1975</v>
      </c>
      <c r="B12174" s="1">
        <v>46032</v>
      </c>
      <c r="C12174" s="2">
        <v>0.16666666666666671</v>
      </c>
      <c r="D12174">
        <v>1</v>
      </c>
      <c r="E12174">
        <v>-2.6</v>
      </c>
      <c r="F12174">
        <v>70</v>
      </c>
    </row>
    <row r="12175" spans="1:6" x14ac:dyDescent="0.35">
      <c r="A12175">
        <v>1975</v>
      </c>
      <c r="B12175" s="1">
        <v>46032</v>
      </c>
      <c r="C12175" s="2">
        <v>0.20833333333333329</v>
      </c>
      <c r="D12175">
        <v>1</v>
      </c>
      <c r="E12175">
        <v>-2.9</v>
      </c>
      <c r="F12175">
        <v>70</v>
      </c>
    </row>
    <row r="12176" spans="1:6" x14ac:dyDescent="0.35">
      <c r="A12176">
        <v>1975</v>
      </c>
      <c r="B12176" s="1">
        <v>46032</v>
      </c>
      <c r="C12176" s="2">
        <v>0.25</v>
      </c>
      <c r="D12176">
        <v>1</v>
      </c>
      <c r="E12176">
        <v>-3.2</v>
      </c>
      <c r="F12176">
        <v>71</v>
      </c>
    </row>
    <row r="12177" spans="1:6" x14ac:dyDescent="0.35">
      <c r="A12177">
        <v>1975</v>
      </c>
      <c r="B12177" s="1">
        <v>46032</v>
      </c>
      <c r="C12177" s="2">
        <v>0.29166666666666669</v>
      </c>
      <c r="D12177">
        <v>1</v>
      </c>
      <c r="E12177">
        <v>-3.3</v>
      </c>
      <c r="F12177">
        <v>72</v>
      </c>
    </row>
    <row r="12178" spans="1:6" x14ac:dyDescent="0.35">
      <c r="A12178">
        <v>1975</v>
      </c>
      <c r="B12178" s="1">
        <v>46032</v>
      </c>
      <c r="C12178" s="2">
        <v>0.33333333333333331</v>
      </c>
      <c r="D12178">
        <v>1</v>
      </c>
      <c r="E12178">
        <v>-3.3</v>
      </c>
      <c r="F12178">
        <v>73</v>
      </c>
    </row>
    <row r="12179" spans="1:6" x14ac:dyDescent="0.35">
      <c r="A12179">
        <v>1975</v>
      </c>
      <c r="B12179" s="1">
        <v>46032</v>
      </c>
      <c r="C12179" s="2">
        <v>0.375</v>
      </c>
      <c r="D12179">
        <v>1</v>
      </c>
      <c r="E12179">
        <v>-2.7</v>
      </c>
      <c r="F12179">
        <v>70</v>
      </c>
    </row>
    <row r="12180" spans="1:6" x14ac:dyDescent="0.35">
      <c r="A12180">
        <v>1975</v>
      </c>
      <c r="B12180" s="1">
        <v>46032</v>
      </c>
      <c r="C12180" s="2">
        <v>0.41666666666666669</v>
      </c>
      <c r="D12180">
        <v>1</v>
      </c>
      <c r="E12180">
        <v>-2</v>
      </c>
      <c r="F12180">
        <v>68</v>
      </c>
    </row>
    <row r="12181" spans="1:6" x14ac:dyDescent="0.35">
      <c r="A12181">
        <v>1975</v>
      </c>
      <c r="B12181" s="1">
        <v>46032</v>
      </c>
      <c r="C12181" s="2">
        <v>0.45833333333333331</v>
      </c>
      <c r="D12181">
        <v>1</v>
      </c>
      <c r="E12181">
        <v>-1.6</v>
      </c>
      <c r="F12181">
        <v>70</v>
      </c>
    </row>
    <row r="12182" spans="1:6" x14ac:dyDescent="0.35">
      <c r="A12182">
        <v>1975</v>
      </c>
      <c r="B12182" s="1">
        <v>46032</v>
      </c>
      <c r="C12182" s="2">
        <v>0.5</v>
      </c>
      <c r="D12182">
        <v>1</v>
      </c>
      <c r="E12182">
        <v>-1.1000000000000001</v>
      </c>
      <c r="F12182">
        <v>67</v>
      </c>
    </row>
    <row r="12183" spans="1:6" x14ac:dyDescent="0.35">
      <c r="A12183">
        <v>1975</v>
      </c>
      <c r="B12183" s="1">
        <v>46032</v>
      </c>
      <c r="C12183" s="2">
        <v>0.54166666666666663</v>
      </c>
      <c r="D12183">
        <v>1</v>
      </c>
      <c r="E12183">
        <v>-0.7</v>
      </c>
      <c r="F12183">
        <v>68</v>
      </c>
    </row>
    <row r="12184" spans="1:6" x14ac:dyDescent="0.35">
      <c r="A12184">
        <v>1975</v>
      </c>
      <c r="B12184" s="1">
        <v>46032</v>
      </c>
      <c r="C12184" s="2">
        <v>0.58333333333333337</v>
      </c>
      <c r="D12184">
        <v>1</v>
      </c>
      <c r="E12184">
        <v>-0.4</v>
      </c>
      <c r="F12184">
        <v>76</v>
      </c>
    </row>
    <row r="12185" spans="1:6" x14ac:dyDescent="0.35">
      <c r="A12185">
        <v>1975</v>
      </c>
      <c r="B12185" s="1">
        <v>46032</v>
      </c>
      <c r="C12185" s="2">
        <v>0.625</v>
      </c>
      <c r="D12185">
        <v>1</v>
      </c>
      <c r="E12185">
        <v>0.1</v>
      </c>
      <c r="F12185">
        <v>81</v>
      </c>
    </row>
    <row r="12186" spans="1:6" x14ac:dyDescent="0.35">
      <c r="A12186">
        <v>1975</v>
      </c>
      <c r="B12186" s="1">
        <v>46032</v>
      </c>
      <c r="C12186" s="2">
        <v>0.66666666666666663</v>
      </c>
      <c r="D12186">
        <v>1</v>
      </c>
      <c r="E12186">
        <v>-0.3</v>
      </c>
      <c r="F12186">
        <v>80</v>
      </c>
    </row>
    <row r="12187" spans="1:6" x14ac:dyDescent="0.35">
      <c r="A12187">
        <v>1975</v>
      </c>
      <c r="B12187" s="1">
        <v>46032</v>
      </c>
      <c r="C12187" s="2">
        <v>0.70833333333333337</v>
      </c>
      <c r="D12187">
        <v>1</v>
      </c>
      <c r="E12187">
        <v>-2.1</v>
      </c>
      <c r="F12187">
        <v>79</v>
      </c>
    </row>
    <row r="12188" spans="1:6" x14ac:dyDescent="0.35">
      <c r="A12188">
        <v>1975</v>
      </c>
      <c r="B12188" s="1">
        <v>46032</v>
      </c>
      <c r="C12188" s="2">
        <v>0.75</v>
      </c>
      <c r="D12188">
        <v>1</v>
      </c>
      <c r="E12188">
        <v>-3.8</v>
      </c>
      <c r="F12188">
        <v>84</v>
      </c>
    </row>
    <row r="12189" spans="1:6" x14ac:dyDescent="0.35">
      <c r="A12189">
        <v>1975</v>
      </c>
      <c r="B12189" s="1">
        <v>46032</v>
      </c>
      <c r="C12189" s="2">
        <v>0.79166666666666663</v>
      </c>
      <c r="D12189">
        <v>1</v>
      </c>
      <c r="E12189">
        <v>-4.4000000000000004</v>
      </c>
      <c r="F12189">
        <v>89</v>
      </c>
    </row>
    <row r="12190" spans="1:6" x14ac:dyDescent="0.35">
      <c r="A12190">
        <v>1975</v>
      </c>
      <c r="B12190" s="1">
        <v>46032</v>
      </c>
      <c r="C12190" s="2">
        <v>0.83333333333333337</v>
      </c>
      <c r="D12190">
        <v>1</v>
      </c>
      <c r="E12190">
        <v>-6.1</v>
      </c>
      <c r="F12190">
        <v>95</v>
      </c>
    </row>
    <row r="12191" spans="1:6" x14ac:dyDescent="0.35">
      <c r="A12191">
        <v>1975</v>
      </c>
      <c r="B12191" s="1">
        <v>46032</v>
      </c>
      <c r="C12191" s="2">
        <v>0.875</v>
      </c>
      <c r="D12191">
        <v>1</v>
      </c>
      <c r="E12191">
        <v>-8.8000000000000007</v>
      </c>
      <c r="F12191">
        <v>94</v>
      </c>
    </row>
    <row r="12192" spans="1:6" x14ac:dyDescent="0.35">
      <c r="A12192">
        <v>1975</v>
      </c>
      <c r="B12192" s="1">
        <v>46032</v>
      </c>
      <c r="C12192" s="2">
        <v>0.91666666666666663</v>
      </c>
      <c r="D12192">
        <v>1</v>
      </c>
      <c r="E12192">
        <v>-9.1999999999999993</v>
      </c>
      <c r="F12192">
        <v>96</v>
      </c>
    </row>
    <row r="12193" spans="1:6" x14ac:dyDescent="0.35">
      <c r="A12193">
        <v>1975</v>
      </c>
      <c r="B12193" s="1">
        <v>46032</v>
      </c>
      <c r="C12193" s="2">
        <v>0.95833333333333337</v>
      </c>
      <c r="D12193">
        <v>1</v>
      </c>
      <c r="E12193">
        <v>-10.1</v>
      </c>
      <c r="F12193">
        <v>96</v>
      </c>
    </row>
    <row r="12194" spans="1:6" x14ac:dyDescent="0.35">
      <c r="A12194">
        <v>1975</v>
      </c>
      <c r="B12194" s="1">
        <v>46033</v>
      </c>
      <c r="C12194" s="2">
        <v>0</v>
      </c>
      <c r="D12194">
        <v>1</v>
      </c>
      <c r="E12194">
        <v>-10.8</v>
      </c>
      <c r="F12194">
        <v>97</v>
      </c>
    </row>
    <row r="12195" spans="1:6" x14ac:dyDescent="0.35">
      <c r="A12195">
        <v>1975</v>
      </c>
      <c r="B12195" s="1">
        <v>46033</v>
      </c>
      <c r="C12195" s="2">
        <v>4.1666666666666657E-2</v>
      </c>
      <c r="D12195">
        <v>1</v>
      </c>
      <c r="E12195">
        <v>-12.2</v>
      </c>
      <c r="F12195">
        <v>93</v>
      </c>
    </row>
    <row r="12196" spans="1:6" x14ac:dyDescent="0.35">
      <c r="A12196">
        <v>1975</v>
      </c>
      <c r="B12196" s="1">
        <v>46033</v>
      </c>
      <c r="C12196" s="2">
        <v>8.3333333333333329E-2</v>
      </c>
      <c r="D12196">
        <v>1</v>
      </c>
      <c r="E12196">
        <v>-11.4</v>
      </c>
      <c r="F12196">
        <v>94</v>
      </c>
    </row>
    <row r="12197" spans="1:6" x14ac:dyDescent="0.35">
      <c r="A12197">
        <v>1975</v>
      </c>
      <c r="B12197" s="1">
        <v>46033</v>
      </c>
      <c r="C12197" s="2">
        <v>0.125</v>
      </c>
      <c r="D12197">
        <v>1</v>
      </c>
      <c r="E12197">
        <v>-12.3</v>
      </c>
      <c r="F12197">
        <v>91</v>
      </c>
    </row>
    <row r="12198" spans="1:6" x14ac:dyDescent="0.35">
      <c r="A12198">
        <v>1975</v>
      </c>
      <c r="B12198" s="1">
        <v>46033</v>
      </c>
      <c r="C12198" s="2">
        <v>0.16666666666666671</v>
      </c>
      <c r="D12198">
        <v>1</v>
      </c>
      <c r="E12198">
        <v>-12.5</v>
      </c>
      <c r="F12198">
        <v>94</v>
      </c>
    </row>
    <row r="12199" spans="1:6" x14ac:dyDescent="0.35">
      <c r="A12199">
        <v>1975</v>
      </c>
      <c r="B12199" s="1">
        <v>46033</v>
      </c>
      <c r="C12199" s="2">
        <v>0.20833333333333329</v>
      </c>
      <c r="D12199">
        <v>1</v>
      </c>
      <c r="E12199">
        <v>-12.4</v>
      </c>
      <c r="F12199">
        <v>94</v>
      </c>
    </row>
    <row r="12200" spans="1:6" x14ac:dyDescent="0.35">
      <c r="A12200">
        <v>1975</v>
      </c>
      <c r="B12200" s="1">
        <v>46033</v>
      </c>
      <c r="C12200" s="2">
        <v>0.25</v>
      </c>
      <c r="D12200">
        <v>1</v>
      </c>
      <c r="E12200">
        <v>-13.4</v>
      </c>
      <c r="F12200">
        <v>91</v>
      </c>
    </row>
    <row r="12201" spans="1:6" x14ac:dyDescent="0.35">
      <c r="A12201">
        <v>1975</v>
      </c>
      <c r="B12201" s="1">
        <v>46033</v>
      </c>
      <c r="C12201" s="2">
        <v>0.29166666666666669</v>
      </c>
      <c r="D12201">
        <v>1</v>
      </c>
      <c r="E12201">
        <v>-12.7</v>
      </c>
      <c r="F12201">
        <v>96</v>
      </c>
    </row>
    <row r="12202" spans="1:6" x14ac:dyDescent="0.35">
      <c r="A12202">
        <v>1975</v>
      </c>
      <c r="B12202" s="1">
        <v>46033</v>
      </c>
      <c r="C12202" s="2">
        <v>0.33333333333333331</v>
      </c>
      <c r="D12202">
        <v>1</v>
      </c>
      <c r="E12202">
        <v>-11.6</v>
      </c>
      <c r="F12202">
        <v>97</v>
      </c>
    </row>
    <row r="12203" spans="1:6" x14ac:dyDescent="0.35">
      <c r="A12203">
        <v>1975</v>
      </c>
      <c r="B12203" s="1">
        <v>46033</v>
      </c>
      <c r="C12203" s="2">
        <v>0.375</v>
      </c>
      <c r="D12203">
        <v>1</v>
      </c>
      <c r="E12203">
        <v>-10.1</v>
      </c>
      <c r="F12203">
        <v>100</v>
      </c>
    </row>
    <row r="12204" spans="1:6" x14ac:dyDescent="0.35">
      <c r="A12204">
        <v>1975</v>
      </c>
      <c r="B12204" s="1">
        <v>46033</v>
      </c>
      <c r="C12204" s="2">
        <v>0.41666666666666669</v>
      </c>
      <c r="D12204">
        <v>1</v>
      </c>
      <c r="E12204">
        <v>-9.6</v>
      </c>
      <c r="F12204">
        <v>90</v>
      </c>
    </row>
    <row r="12205" spans="1:6" x14ac:dyDescent="0.35">
      <c r="A12205">
        <v>1975</v>
      </c>
      <c r="B12205" s="1">
        <v>46033</v>
      </c>
      <c r="C12205" s="2">
        <v>0.45833333333333331</v>
      </c>
      <c r="D12205">
        <v>1</v>
      </c>
      <c r="E12205">
        <v>-8.6999999999999993</v>
      </c>
      <c r="F12205">
        <v>91</v>
      </c>
    </row>
    <row r="12206" spans="1:6" x14ac:dyDescent="0.35">
      <c r="A12206">
        <v>1975</v>
      </c>
      <c r="B12206" s="1">
        <v>46033</v>
      </c>
      <c r="C12206" s="2">
        <v>0.5</v>
      </c>
      <c r="D12206">
        <v>1</v>
      </c>
      <c r="E12206">
        <v>-7.6</v>
      </c>
      <c r="F12206">
        <v>93</v>
      </c>
    </row>
    <row r="12207" spans="1:6" x14ac:dyDescent="0.35">
      <c r="A12207">
        <v>1975</v>
      </c>
      <c r="B12207" s="1">
        <v>46033</v>
      </c>
      <c r="C12207" s="2">
        <v>0.54166666666666663</v>
      </c>
      <c r="D12207">
        <v>1</v>
      </c>
      <c r="E12207">
        <v>-6.4</v>
      </c>
      <c r="F12207">
        <v>95</v>
      </c>
    </row>
    <row r="12208" spans="1:6" x14ac:dyDescent="0.35">
      <c r="A12208">
        <v>1975</v>
      </c>
      <c r="B12208" s="1">
        <v>46033</v>
      </c>
      <c r="C12208" s="2">
        <v>0.58333333333333337</v>
      </c>
      <c r="D12208">
        <v>1</v>
      </c>
      <c r="E12208">
        <v>-6</v>
      </c>
      <c r="F12208">
        <v>96</v>
      </c>
    </row>
    <row r="12209" spans="1:6" x14ac:dyDescent="0.35">
      <c r="A12209">
        <v>1975</v>
      </c>
      <c r="B12209" s="1">
        <v>46033</v>
      </c>
      <c r="C12209" s="2">
        <v>0.625</v>
      </c>
      <c r="D12209">
        <v>1</v>
      </c>
      <c r="E12209">
        <v>-7.1</v>
      </c>
      <c r="F12209">
        <v>95</v>
      </c>
    </row>
    <row r="12210" spans="1:6" x14ac:dyDescent="0.35">
      <c r="A12210">
        <v>1975</v>
      </c>
      <c r="B12210" s="1">
        <v>46033</v>
      </c>
      <c r="C12210" s="2">
        <v>0.66666666666666663</v>
      </c>
      <c r="D12210">
        <v>1</v>
      </c>
      <c r="E12210">
        <v>-7.9</v>
      </c>
      <c r="F12210">
        <v>97</v>
      </c>
    </row>
    <row r="12211" spans="1:6" x14ac:dyDescent="0.35">
      <c r="A12211">
        <v>1975</v>
      </c>
      <c r="B12211" s="1">
        <v>46033</v>
      </c>
      <c r="C12211" s="2">
        <v>0.70833333333333337</v>
      </c>
      <c r="D12211">
        <v>1</v>
      </c>
      <c r="E12211">
        <v>-8.3000000000000007</v>
      </c>
      <c r="F12211">
        <v>97</v>
      </c>
    </row>
    <row r="12212" spans="1:6" x14ac:dyDescent="0.35">
      <c r="A12212">
        <v>1975</v>
      </c>
      <c r="B12212" s="1">
        <v>46033</v>
      </c>
      <c r="C12212" s="2">
        <v>0.75</v>
      </c>
      <c r="D12212">
        <v>1</v>
      </c>
      <c r="E12212">
        <v>-6.9</v>
      </c>
      <c r="F12212">
        <v>94</v>
      </c>
    </row>
    <row r="12213" spans="1:6" x14ac:dyDescent="0.35">
      <c r="A12213">
        <v>1975</v>
      </c>
      <c r="B12213" s="1">
        <v>46033</v>
      </c>
      <c r="C12213" s="2">
        <v>0.79166666666666663</v>
      </c>
      <c r="D12213">
        <v>1</v>
      </c>
      <c r="E12213">
        <v>-6.8</v>
      </c>
      <c r="F12213">
        <v>94</v>
      </c>
    </row>
    <row r="12214" spans="1:6" x14ac:dyDescent="0.35">
      <c r="A12214">
        <v>1975</v>
      </c>
      <c r="B12214" s="1">
        <v>46033</v>
      </c>
      <c r="C12214" s="2">
        <v>0.83333333333333337</v>
      </c>
      <c r="D12214">
        <v>1</v>
      </c>
      <c r="E12214">
        <v>-7.1</v>
      </c>
      <c r="F12214">
        <v>93</v>
      </c>
    </row>
    <row r="12215" spans="1:6" x14ac:dyDescent="0.35">
      <c r="A12215">
        <v>1975</v>
      </c>
      <c r="B12215" s="1">
        <v>46033</v>
      </c>
      <c r="C12215" s="2">
        <v>0.875</v>
      </c>
      <c r="D12215">
        <v>1</v>
      </c>
      <c r="E12215">
        <v>-7.6</v>
      </c>
      <c r="F12215">
        <v>91</v>
      </c>
    </row>
    <row r="12216" spans="1:6" x14ac:dyDescent="0.35">
      <c r="A12216">
        <v>1975</v>
      </c>
      <c r="B12216" s="1">
        <v>46033</v>
      </c>
      <c r="C12216" s="2">
        <v>0.91666666666666663</v>
      </c>
      <c r="D12216">
        <v>1</v>
      </c>
      <c r="E12216">
        <v>-7.3</v>
      </c>
      <c r="F12216">
        <v>90</v>
      </c>
    </row>
    <row r="12217" spans="1:6" x14ac:dyDescent="0.35">
      <c r="A12217">
        <v>1975</v>
      </c>
      <c r="B12217" s="1">
        <v>46033</v>
      </c>
      <c r="C12217" s="2">
        <v>0.95833333333333337</v>
      </c>
      <c r="D12217">
        <v>1</v>
      </c>
      <c r="E12217">
        <v>-6.9</v>
      </c>
      <c r="F12217">
        <v>86</v>
      </c>
    </row>
    <row r="12218" spans="1:6" x14ac:dyDescent="0.35">
      <c r="A12218">
        <v>1975</v>
      </c>
      <c r="B12218" s="1">
        <v>46034</v>
      </c>
      <c r="C12218" s="2">
        <v>0</v>
      </c>
      <c r="D12218">
        <v>1</v>
      </c>
      <c r="E12218">
        <v>-6.6</v>
      </c>
      <c r="F12218">
        <v>86</v>
      </c>
    </row>
    <row r="12219" spans="1:6" x14ac:dyDescent="0.35">
      <c r="A12219">
        <v>1975</v>
      </c>
      <c r="B12219" s="1">
        <v>46034</v>
      </c>
      <c r="C12219" s="2">
        <v>4.1666666666666657E-2</v>
      </c>
      <c r="D12219">
        <v>1</v>
      </c>
      <c r="E12219">
        <v>-6.4</v>
      </c>
      <c r="F12219">
        <v>84</v>
      </c>
    </row>
    <row r="12220" spans="1:6" x14ac:dyDescent="0.35">
      <c r="A12220">
        <v>1975</v>
      </c>
      <c r="B12220" s="1">
        <v>46034</v>
      </c>
      <c r="C12220" s="2">
        <v>8.3333333333333329E-2</v>
      </c>
      <c r="D12220">
        <v>1</v>
      </c>
      <c r="E12220">
        <v>-5.5</v>
      </c>
      <c r="F12220">
        <v>82</v>
      </c>
    </row>
    <row r="12221" spans="1:6" x14ac:dyDescent="0.35">
      <c r="A12221">
        <v>1975</v>
      </c>
      <c r="B12221" s="1">
        <v>46034</v>
      </c>
      <c r="C12221" s="2">
        <v>0.125</v>
      </c>
      <c r="D12221">
        <v>1</v>
      </c>
      <c r="E12221">
        <v>-5</v>
      </c>
      <c r="F12221">
        <v>80</v>
      </c>
    </row>
    <row r="12222" spans="1:6" x14ac:dyDescent="0.35">
      <c r="A12222">
        <v>1975</v>
      </c>
      <c r="B12222" s="1">
        <v>46034</v>
      </c>
      <c r="C12222" s="2">
        <v>0.16666666666666671</v>
      </c>
      <c r="D12222">
        <v>1</v>
      </c>
      <c r="E12222">
        <v>-4.3</v>
      </c>
      <c r="F12222">
        <v>77</v>
      </c>
    </row>
    <row r="12223" spans="1:6" x14ac:dyDescent="0.35">
      <c r="A12223">
        <v>1975</v>
      </c>
      <c r="B12223" s="1">
        <v>46034</v>
      </c>
      <c r="C12223" s="2">
        <v>0.20833333333333329</v>
      </c>
      <c r="D12223">
        <v>1</v>
      </c>
      <c r="E12223">
        <v>-4.0999999999999996</v>
      </c>
      <c r="F12223">
        <v>74</v>
      </c>
    </row>
    <row r="12224" spans="1:6" x14ac:dyDescent="0.35">
      <c r="A12224">
        <v>1975</v>
      </c>
      <c r="B12224" s="1">
        <v>46034</v>
      </c>
      <c r="C12224" s="2">
        <v>0.25</v>
      </c>
      <c r="D12224">
        <v>1</v>
      </c>
      <c r="E12224">
        <v>-4</v>
      </c>
      <c r="F12224">
        <v>77</v>
      </c>
    </row>
    <row r="12225" spans="1:6" x14ac:dyDescent="0.35">
      <c r="A12225">
        <v>1975</v>
      </c>
      <c r="B12225" s="1">
        <v>46034</v>
      </c>
      <c r="C12225" s="2">
        <v>0.29166666666666669</v>
      </c>
      <c r="D12225">
        <v>1</v>
      </c>
      <c r="E12225">
        <v>-3.6</v>
      </c>
      <c r="F12225">
        <v>77</v>
      </c>
    </row>
    <row r="12226" spans="1:6" x14ac:dyDescent="0.35">
      <c r="A12226">
        <v>1975</v>
      </c>
      <c r="B12226" s="1">
        <v>46034</v>
      </c>
      <c r="C12226" s="2">
        <v>0.33333333333333331</v>
      </c>
      <c r="D12226">
        <v>1</v>
      </c>
      <c r="E12226">
        <v>-3.3</v>
      </c>
      <c r="F12226">
        <v>80</v>
      </c>
    </row>
    <row r="12227" spans="1:6" x14ac:dyDescent="0.35">
      <c r="A12227">
        <v>1975</v>
      </c>
      <c r="B12227" s="1">
        <v>46034</v>
      </c>
      <c r="C12227" s="2">
        <v>0.375</v>
      </c>
      <c r="D12227">
        <v>1</v>
      </c>
      <c r="E12227">
        <v>-2.8</v>
      </c>
      <c r="F12227">
        <v>81</v>
      </c>
    </row>
    <row r="12228" spans="1:6" x14ac:dyDescent="0.35">
      <c r="A12228">
        <v>1975</v>
      </c>
      <c r="B12228" s="1">
        <v>46034</v>
      </c>
      <c r="C12228" s="2">
        <v>0.41666666666666669</v>
      </c>
      <c r="D12228">
        <v>1</v>
      </c>
      <c r="E12228">
        <v>-2.7</v>
      </c>
      <c r="F12228">
        <v>85</v>
      </c>
    </row>
    <row r="12229" spans="1:6" x14ac:dyDescent="0.35">
      <c r="A12229">
        <v>1975</v>
      </c>
      <c r="B12229" s="1">
        <v>46034</v>
      </c>
      <c r="C12229" s="2">
        <v>0.45833333333333331</v>
      </c>
      <c r="D12229">
        <v>1</v>
      </c>
      <c r="E12229">
        <v>-2.8</v>
      </c>
      <c r="F12229">
        <v>95</v>
      </c>
    </row>
    <row r="12230" spans="1:6" x14ac:dyDescent="0.35">
      <c r="A12230">
        <v>1975</v>
      </c>
      <c r="B12230" s="1">
        <v>46034</v>
      </c>
      <c r="C12230" s="2">
        <v>0.5</v>
      </c>
      <c r="D12230">
        <v>1</v>
      </c>
      <c r="E12230">
        <v>-2.6</v>
      </c>
      <c r="F12230">
        <v>94</v>
      </c>
    </row>
    <row r="12231" spans="1:6" x14ac:dyDescent="0.35">
      <c r="A12231">
        <v>1975</v>
      </c>
      <c r="B12231" s="1">
        <v>46034</v>
      </c>
      <c r="C12231" s="2">
        <v>0.54166666666666663</v>
      </c>
      <c r="D12231">
        <v>1</v>
      </c>
      <c r="E12231">
        <v>-2.2000000000000002</v>
      </c>
      <c r="F12231">
        <v>96</v>
      </c>
    </row>
    <row r="12232" spans="1:6" x14ac:dyDescent="0.35">
      <c r="A12232">
        <v>1975</v>
      </c>
      <c r="B12232" s="1">
        <v>46034</v>
      </c>
      <c r="C12232" s="2">
        <v>0.58333333333333337</v>
      </c>
      <c r="D12232">
        <v>1</v>
      </c>
      <c r="E12232">
        <v>-1.6</v>
      </c>
      <c r="F12232">
        <v>97</v>
      </c>
    </row>
    <row r="12233" spans="1:6" x14ac:dyDescent="0.35">
      <c r="A12233">
        <v>1975</v>
      </c>
      <c r="B12233" s="1">
        <v>46034</v>
      </c>
      <c r="C12233" s="2">
        <v>0.625</v>
      </c>
      <c r="D12233">
        <v>1</v>
      </c>
      <c r="E12233">
        <v>-1.3</v>
      </c>
      <c r="F12233">
        <v>98</v>
      </c>
    </row>
    <row r="12234" spans="1:6" x14ac:dyDescent="0.35">
      <c r="A12234">
        <v>1975</v>
      </c>
      <c r="B12234" s="1">
        <v>46034</v>
      </c>
      <c r="C12234" s="2">
        <v>0.66666666666666663</v>
      </c>
      <c r="D12234">
        <v>1</v>
      </c>
      <c r="E12234">
        <v>-0.9</v>
      </c>
      <c r="F12234">
        <v>98</v>
      </c>
    </row>
    <row r="12235" spans="1:6" x14ac:dyDescent="0.35">
      <c r="A12235">
        <v>1975</v>
      </c>
      <c r="B12235" s="1">
        <v>46034</v>
      </c>
      <c r="C12235" s="2">
        <v>0.70833333333333337</v>
      </c>
      <c r="D12235">
        <v>1</v>
      </c>
      <c r="E12235">
        <v>-0.6</v>
      </c>
      <c r="F12235">
        <v>98</v>
      </c>
    </row>
    <row r="12236" spans="1:6" x14ac:dyDescent="0.35">
      <c r="A12236">
        <v>1975</v>
      </c>
      <c r="B12236" s="1">
        <v>46034</v>
      </c>
      <c r="C12236" s="2">
        <v>0.75</v>
      </c>
      <c r="D12236">
        <v>1</v>
      </c>
      <c r="E12236">
        <v>-0.2</v>
      </c>
      <c r="F12236">
        <v>100</v>
      </c>
    </row>
    <row r="12237" spans="1:6" x14ac:dyDescent="0.35">
      <c r="A12237">
        <v>1975</v>
      </c>
      <c r="B12237" s="1">
        <v>46034</v>
      </c>
      <c r="C12237" s="2">
        <v>0.79166666666666663</v>
      </c>
      <c r="D12237">
        <v>1</v>
      </c>
      <c r="E12237">
        <v>0</v>
      </c>
      <c r="F12237">
        <v>99</v>
      </c>
    </row>
    <row r="12238" spans="1:6" x14ac:dyDescent="0.35">
      <c r="A12238">
        <v>1975</v>
      </c>
      <c r="B12238" s="1">
        <v>46034</v>
      </c>
      <c r="C12238" s="2">
        <v>0.83333333333333337</v>
      </c>
      <c r="D12238">
        <v>1</v>
      </c>
      <c r="E12238">
        <v>0.2</v>
      </c>
      <c r="F12238">
        <v>100</v>
      </c>
    </row>
    <row r="12239" spans="1:6" x14ac:dyDescent="0.35">
      <c r="A12239">
        <v>1975</v>
      </c>
      <c r="B12239" s="1">
        <v>46034</v>
      </c>
      <c r="C12239" s="2">
        <v>0.875</v>
      </c>
      <c r="D12239">
        <v>1</v>
      </c>
      <c r="E12239">
        <v>0.4</v>
      </c>
      <c r="F12239">
        <v>99</v>
      </c>
    </row>
    <row r="12240" spans="1:6" x14ac:dyDescent="0.35">
      <c r="A12240">
        <v>1975</v>
      </c>
      <c r="B12240" s="1">
        <v>46034</v>
      </c>
      <c r="C12240" s="2">
        <v>0.91666666666666663</v>
      </c>
      <c r="D12240">
        <v>1</v>
      </c>
      <c r="E12240">
        <v>0.6</v>
      </c>
      <c r="F12240">
        <v>100</v>
      </c>
    </row>
    <row r="12241" spans="1:6" x14ac:dyDescent="0.35">
      <c r="A12241">
        <v>1975</v>
      </c>
      <c r="B12241" s="1">
        <v>46034</v>
      </c>
      <c r="C12241" s="2">
        <v>0.95833333333333337</v>
      </c>
      <c r="D12241">
        <v>1</v>
      </c>
      <c r="E12241">
        <v>0.8</v>
      </c>
      <c r="F12241">
        <v>100</v>
      </c>
    </row>
    <row r="12242" spans="1:6" x14ac:dyDescent="0.35">
      <c r="A12242">
        <v>1975</v>
      </c>
      <c r="B12242" s="1">
        <v>46035</v>
      </c>
      <c r="C12242" s="2">
        <v>0</v>
      </c>
      <c r="D12242">
        <v>1</v>
      </c>
      <c r="E12242">
        <v>1</v>
      </c>
      <c r="F12242">
        <v>100</v>
      </c>
    </row>
    <row r="12243" spans="1:6" x14ac:dyDescent="0.35">
      <c r="A12243">
        <v>1975</v>
      </c>
      <c r="B12243" s="1">
        <v>46035</v>
      </c>
      <c r="C12243" s="2">
        <v>4.1666666666666657E-2</v>
      </c>
      <c r="D12243">
        <v>1</v>
      </c>
      <c r="E12243">
        <v>1.1000000000000001</v>
      </c>
      <c r="F12243">
        <v>100</v>
      </c>
    </row>
    <row r="12244" spans="1:6" x14ac:dyDescent="0.35">
      <c r="A12244">
        <v>1975</v>
      </c>
      <c r="B12244" s="1">
        <v>46035</v>
      </c>
      <c r="C12244" s="2">
        <v>8.3333333333333329E-2</v>
      </c>
      <c r="D12244">
        <v>1</v>
      </c>
      <c r="E12244">
        <v>1.2</v>
      </c>
      <c r="F12244">
        <v>100</v>
      </c>
    </row>
    <row r="12245" spans="1:6" x14ac:dyDescent="0.35">
      <c r="A12245">
        <v>1975</v>
      </c>
      <c r="B12245" s="1">
        <v>46035</v>
      </c>
      <c r="C12245" s="2">
        <v>0.125</v>
      </c>
      <c r="D12245">
        <v>1</v>
      </c>
      <c r="E12245">
        <v>1.1000000000000001</v>
      </c>
      <c r="F12245">
        <v>100</v>
      </c>
    </row>
    <row r="12246" spans="1:6" x14ac:dyDescent="0.35">
      <c r="A12246">
        <v>1975</v>
      </c>
      <c r="B12246" s="1">
        <v>46035</v>
      </c>
      <c r="C12246" s="2">
        <v>0.16666666666666671</v>
      </c>
      <c r="D12246">
        <v>1</v>
      </c>
      <c r="E12246">
        <v>1.3</v>
      </c>
      <c r="F12246">
        <v>100</v>
      </c>
    </row>
    <row r="12247" spans="1:6" x14ac:dyDescent="0.35">
      <c r="A12247">
        <v>1975</v>
      </c>
      <c r="B12247" s="1">
        <v>46035</v>
      </c>
      <c r="C12247" s="2">
        <v>0.20833333333333329</v>
      </c>
      <c r="D12247">
        <v>1</v>
      </c>
      <c r="E12247">
        <v>1.1000000000000001</v>
      </c>
      <c r="F12247">
        <v>100</v>
      </c>
    </row>
    <row r="12248" spans="1:6" x14ac:dyDescent="0.35">
      <c r="A12248">
        <v>1975</v>
      </c>
      <c r="B12248" s="1">
        <v>46035</v>
      </c>
      <c r="C12248" s="2">
        <v>0.25</v>
      </c>
      <c r="D12248">
        <v>1</v>
      </c>
      <c r="E12248">
        <v>1.7</v>
      </c>
      <c r="F12248">
        <v>100</v>
      </c>
    </row>
    <row r="12249" spans="1:6" x14ac:dyDescent="0.35">
      <c r="A12249">
        <v>1975</v>
      </c>
      <c r="B12249" s="1">
        <v>46035</v>
      </c>
      <c r="C12249" s="2">
        <v>0.29166666666666669</v>
      </c>
      <c r="D12249">
        <v>1</v>
      </c>
      <c r="E12249">
        <v>2.2999999999999998</v>
      </c>
      <c r="F12249">
        <v>100</v>
      </c>
    </row>
    <row r="12250" spans="1:6" x14ac:dyDescent="0.35">
      <c r="A12250">
        <v>1975</v>
      </c>
      <c r="B12250" s="1">
        <v>46035</v>
      </c>
      <c r="C12250" s="2">
        <v>0.33333333333333331</v>
      </c>
      <c r="D12250">
        <v>1</v>
      </c>
      <c r="E12250">
        <v>2.2999999999999998</v>
      </c>
      <c r="F12250">
        <v>100</v>
      </c>
    </row>
    <row r="12251" spans="1:6" x14ac:dyDescent="0.35">
      <c r="A12251">
        <v>1975</v>
      </c>
      <c r="B12251" s="1">
        <v>46035</v>
      </c>
      <c r="C12251" s="2">
        <v>0.375</v>
      </c>
      <c r="D12251">
        <v>1</v>
      </c>
      <c r="E12251">
        <v>2.4</v>
      </c>
      <c r="F12251">
        <v>100</v>
      </c>
    </row>
    <row r="12252" spans="1:6" x14ac:dyDescent="0.35">
      <c r="A12252">
        <v>1975</v>
      </c>
      <c r="B12252" s="1">
        <v>46035</v>
      </c>
      <c r="C12252" s="2">
        <v>0.41666666666666669</v>
      </c>
      <c r="D12252">
        <v>1</v>
      </c>
      <c r="E12252">
        <v>3</v>
      </c>
      <c r="F12252">
        <v>100</v>
      </c>
    </row>
    <row r="12253" spans="1:6" x14ac:dyDescent="0.35">
      <c r="A12253">
        <v>1975</v>
      </c>
      <c r="B12253" s="1">
        <v>46035</v>
      </c>
      <c r="C12253" s="2">
        <v>0.45833333333333331</v>
      </c>
      <c r="D12253">
        <v>1</v>
      </c>
      <c r="E12253">
        <v>3.3</v>
      </c>
      <c r="F12253">
        <v>100</v>
      </c>
    </row>
    <row r="12254" spans="1:6" x14ac:dyDescent="0.35">
      <c r="A12254">
        <v>1975</v>
      </c>
      <c r="B12254" s="1">
        <v>46035</v>
      </c>
      <c r="C12254" s="2">
        <v>0.5</v>
      </c>
      <c r="D12254">
        <v>1</v>
      </c>
      <c r="E12254">
        <v>3.1</v>
      </c>
      <c r="F12254">
        <v>100</v>
      </c>
    </row>
    <row r="12255" spans="1:6" x14ac:dyDescent="0.35">
      <c r="A12255">
        <v>1975</v>
      </c>
      <c r="B12255" s="1">
        <v>46035</v>
      </c>
      <c r="C12255" s="2">
        <v>0.54166666666666663</v>
      </c>
      <c r="D12255">
        <v>1</v>
      </c>
      <c r="E12255">
        <v>4.8</v>
      </c>
      <c r="F12255">
        <v>100</v>
      </c>
    </row>
    <row r="12256" spans="1:6" x14ac:dyDescent="0.35">
      <c r="A12256">
        <v>1975</v>
      </c>
      <c r="B12256" s="1">
        <v>46035</v>
      </c>
      <c r="C12256" s="2">
        <v>0.58333333333333337</v>
      </c>
      <c r="D12256">
        <v>1</v>
      </c>
      <c r="E12256">
        <v>4.8</v>
      </c>
      <c r="F12256">
        <v>100</v>
      </c>
    </row>
    <row r="12257" spans="1:6" x14ac:dyDescent="0.35">
      <c r="A12257">
        <v>1975</v>
      </c>
      <c r="B12257" s="1">
        <v>46035</v>
      </c>
      <c r="C12257" s="2">
        <v>0.625</v>
      </c>
      <c r="D12257">
        <v>1</v>
      </c>
      <c r="E12257">
        <v>4.5999999999999996</v>
      </c>
      <c r="F12257">
        <v>100</v>
      </c>
    </row>
    <row r="12258" spans="1:6" x14ac:dyDescent="0.35">
      <c r="A12258">
        <v>1975</v>
      </c>
      <c r="B12258" s="1">
        <v>46035</v>
      </c>
      <c r="C12258" s="2">
        <v>0.66666666666666663</v>
      </c>
      <c r="D12258">
        <v>1</v>
      </c>
      <c r="E12258">
        <v>4.3</v>
      </c>
      <c r="F12258">
        <v>100</v>
      </c>
    </row>
    <row r="12259" spans="1:6" x14ac:dyDescent="0.35">
      <c r="A12259">
        <v>1975</v>
      </c>
      <c r="B12259" s="1">
        <v>46035</v>
      </c>
      <c r="C12259" s="2">
        <v>0.70833333333333337</v>
      </c>
      <c r="D12259">
        <v>1</v>
      </c>
      <c r="E12259">
        <v>4.4000000000000004</v>
      </c>
      <c r="F12259">
        <v>100</v>
      </c>
    </row>
    <row r="12260" spans="1:6" x14ac:dyDescent="0.35">
      <c r="A12260">
        <v>1975</v>
      </c>
      <c r="B12260" s="1">
        <v>46035</v>
      </c>
      <c r="C12260" s="2">
        <v>0.75</v>
      </c>
      <c r="D12260">
        <v>1</v>
      </c>
      <c r="E12260">
        <v>4.2</v>
      </c>
      <c r="F12260">
        <v>100</v>
      </c>
    </row>
    <row r="12261" spans="1:6" x14ac:dyDescent="0.35">
      <c r="A12261">
        <v>1975</v>
      </c>
      <c r="B12261" s="1">
        <v>46035</v>
      </c>
      <c r="C12261" s="2">
        <v>0.79166666666666663</v>
      </c>
      <c r="D12261">
        <v>1</v>
      </c>
      <c r="E12261">
        <v>4</v>
      </c>
      <c r="F12261">
        <v>100</v>
      </c>
    </row>
    <row r="12262" spans="1:6" x14ac:dyDescent="0.35">
      <c r="A12262">
        <v>1975</v>
      </c>
      <c r="B12262" s="1">
        <v>46035</v>
      </c>
      <c r="C12262" s="2">
        <v>0.83333333333333337</v>
      </c>
      <c r="D12262">
        <v>1</v>
      </c>
      <c r="E12262">
        <v>3.6</v>
      </c>
      <c r="F12262">
        <v>99</v>
      </c>
    </row>
    <row r="12263" spans="1:6" x14ac:dyDescent="0.35">
      <c r="A12263">
        <v>1975</v>
      </c>
      <c r="B12263" s="1">
        <v>46035</v>
      </c>
      <c r="C12263" s="2">
        <v>0.875</v>
      </c>
      <c r="D12263">
        <v>1</v>
      </c>
      <c r="E12263">
        <v>3.9</v>
      </c>
      <c r="F12263">
        <v>100</v>
      </c>
    </row>
    <row r="12264" spans="1:6" x14ac:dyDescent="0.35">
      <c r="A12264">
        <v>1975</v>
      </c>
      <c r="B12264" s="1">
        <v>46035</v>
      </c>
      <c r="C12264" s="2">
        <v>0.91666666666666663</v>
      </c>
      <c r="D12264">
        <v>1</v>
      </c>
      <c r="E12264">
        <v>4</v>
      </c>
      <c r="F12264">
        <v>99</v>
      </c>
    </row>
    <row r="12265" spans="1:6" x14ac:dyDescent="0.35">
      <c r="A12265">
        <v>1975</v>
      </c>
      <c r="B12265" s="1">
        <v>46035</v>
      </c>
      <c r="C12265" s="2">
        <v>0.95833333333333337</v>
      </c>
      <c r="D12265">
        <v>1</v>
      </c>
      <c r="E12265">
        <v>4.0999999999999996</v>
      </c>
      <c r="F12265">
        <v>99</v>
      </c>
    </row>
    <row r="12266" spans="1:6" x14ac:dyDescent="0.35">
      <c r="A12266">
        <v>1975</v>
      </c>
      <c r="B12266" s="1">
        <v>46036</v>
      </c>
      <c r="C12266" s="2">
        <v>0</v>
      </c>
      <c r="D12266">
        <v>1</v>
      </c>
      <c r="E12266">
        <v>4.4000000000000004</v>
      </c>
      <c r="F12266">
        <v>98</v>
      </c>
    </row>
    <row r="12267" spans="1:6" x14ac:dyDescent="0.35">
      <c r="A12267">
        <v>1975</v>
      </c>
      <c r="B12267" s="1">
        <v>46036</v>
      </c>
      <c r="C12267" s="2">
        <v>4.1666666666666657E-2</v>
      </c>
      <c r="D12267">
        <v>1</v>
      </c>
      <c r="E12267">
        <v>4.3</v>
      </c>
      <c r="F12267">
        <v>97</v>
      </c>
    </row>
    <row r="12268" spans="1:6" x14ac:dyDescent="0.35">
      <c r="A12268">
        <v>1975</v>
      </c>
      <c r="B12268" s="1">
        <v>46036</v>
      </c>
      <c r="C12268" s="2">
        <v>8.3333333333333329E-2</v>
      </c>
      <c r="D12268">
        <v>1</v>
      </c>
      <c r="E12268">
        <v>5.3</v>
      </c>
      <c r="F12268">
        <v>96</v>
      </c>
    </row>
    <row r="12269" spans="1:6" x14ac:dyDescent="0.35">
      <c r="A12269">
        <v>1975</v>
      </c>
      <c r="B12269" s="1">
        <v>46036</v>
      </c>
      <c r="C12269" s="2">
        <v>0.125</v>
      </c>
      <c r="D12269">
        <v>1</v>
      </c>
      <c r="E12269">
        <v>4.4000000000000004</v>
      </c>
      <c r="F12269">
        <v>98</v>
      </c>
    </row>
    <row r="12270" spans="1:6" x14ac:dyDescent="0.35">
      <c r="A12270">
        <v>1975</v>
      </c>
      <c r="B12270" s="1">
        <v>46036</v>
      </c>
      <c r="C12270" s="2">
        <v>0.16666666666666671</v>
      </c>
      <c r="D12270">
        <v>1</v>
      </c>
      <c r="E12270">
        <v>4.5999999999999996</v>
      </c>
      <c r="F12270">
        <v>100</v>
      </c>
    </row>
    <row r="12271" spans="1:6" x14ac:dyDescent="0.35">
      <c r="A12271">
        <v>1975</v>
      </c>
      <c r="B12271" s="1">
        <v>46036</v>
      </c>
      <c r="C12271" s="2">
        <v>0.20833333333333329</v>
      </c>
      <c r="D12271">
        <v>1</v>
      </c>
      <c r="E12271">
        <v>4.5</v>
      </c>
      <c r="F12271">
        <v>100</v>
      </c>
    </row>
    <row r="12272" spans="1:6" x14ac:dyDescent="0.35">
      <c r="A12272">
        <v>1975</v>
      </c>
      <c r="B12272" s="1">
        <v>46036</v>
      </c>
      <c r="C12272" s="2">
        <v>0.25</v>
      </c>
      <c r="D12272">
        <v>1</v>
      </c>
      <c r="E12272">
        <v>4.5999999999999996</v>
      </c>
      <c r="F12272">
        <v>100</v>
      </c>
    </row>
    <row r="12273" spans="1:6" x14ac:dyDescent="0.35">
      <c r="A12273">
        <v>1975</v>
      </c>
      <c r="B12273" s="1">
        <v>46036</v>
      </c>
      <c r="C12273" s="2">
        <v>0.29166666666666669</v>
      </c>
      <c r="D12273">
        <v>1</v>
      </c>
      <c r="E12273">
        <v>5.6</v>
      </c>
      <c r="F12273">
        <v>100</v>
      </c>
    </row>
    <row r="12274" spans="1:6" x14ac:dyDescent="0.35">
      <c r="A12274">
        <v>1975</v>
      </c>
      <c r="B12274" s="1">
        <v>46036</v>
      </c>
      <c r="C12274" s="2">
        <v>0.33333333333333331</v>
      </c>
      <c r="D12274">
        <v>1</v>
      </c>
      <c r="E12274">
        <v>5.6</v>
      </c>
      <c r="F12274">
        <v>100</v>
      </c>
    </row>
    <row r="12275" spans="1:6" x14ac:dyDescent="0.35">
      <c r="A12275">
        <v>1975</v>
      </c>
      <c r="B12275" s="1">
        <v>46036</v>
      </c>
      <c r="C12275" s="2">
        <v>0.375</v>
      </c>
      <c r="D12275">
        <v>1</v>
      </c>
      <c r="E12275">
        <v>5.2</v>
      </c>
      <c r="F12275">
        <v>100</v>
      </c>
    </row>
    <row r="12276" spans="1:6" x14ac:dyDescent="0.35">
      <c r="A12276">
        <v>1975</v>
      </c>
      <c r="B12276" s="1">
        <v>46036</v>
      </c>
      <c r="C12276" s="2">
        <v>0.41666666666666669</v>
      </c>
      <c r="D12276">
        <v>1</v>
      </c>
      <c r="E12276">
        <v>5.2</v>
      </c>
      <c r="F12276">
        <v>97</v>
      </c>
    </row>
    <row r="12277" spans="1:6" x14ac:dyDescent="0.35">
      <c r="A12277">
        <v>1975</v>
      </c>
      <c r="B12277" s="1">
        <v>46036</v>
      </c>
      <c r="C12277" s="2">
        <v>0.45833333333333331</v>
      </c>
      <c r="D12277">
        <v>1</v>
      </c>
      <c r="E12277">
        <v>5.4</v>
      </c>
      <c r="F12277">
        <v>89</v>
      </c>
    </row>
    <row r="12278" spans="1:6" x14ac:dyDescent="0.35">
      <c r="A12278">
        <v>1975</v>
      </c>
      <c r="B12278" s="1">
        <v>46036</v>
      </c>
      <c r="C12278" s="2">
        <v>0.5</v>
      </c>
      <c r="D12278">
        <v>1</v>
      </c>
      <c r="E12278">
        <v>5.5</v>
      </c>
      <c r="F12278">
        <v>81</v>
      </c>
    </row>
    <row r="12279" spans="1:6" x14ac:dyDescent="0.35">
      <c r="A12279">
        <v>1975</v>
      </c>
      <c r="B12279" s="1">
        <v>46036</v>
      </c>
      <c r="C12279" s="2">
        <v>0.54166666666666663</v>
      </c>
      <c r="D12279">
        <v>1</v>
      </c>
      <c r="E12279">
        <v>5.4</v>
      </c>
      <c r="F12279">
        <v>81</v>
      </c>
    </row>
    <row r="12280" spans="1:6" x14ac:dyDescent="0.35">
      <c r="A12280">
        <v>1975</v>
      </c>
      <c r="B12280" s="1">
        <v>46036</v>
      </c>
      <c r="C12280" s="2">
        <v>0.58333333333333337</v>
      </c>
      <c r="D12280">
        <v>1</v>
      </c>
      <c r="E12280">
        <v>5.9</v>
      </c>
      <c r="F12280">
        <v>77</v>
      </c>
    </row>
    <row r="12281" spans="1:6" x14ac:dyDescent="0.35">
      <c r="A12281">
        <v>1975</v>
      </c>
      <c r="B12281" s="1">
        <v>46036</v>
      </c>
      <c r="C12281" s="2">
        <v>0.625</v>
      </c>
      <c r="D12281">
        <v>1</v>
      </c>
      <c r="E12281">
        <v>4.8</v>
      </c>
      <c r="F12281">
        <v>82</v>
      </c>
    </row>
    <row r="12282" spans="1:6" x14ac:dyDescent="0.35">
      <c r="A12282">
        <v>1975</v>
      </c>
      <c r="B12282" s="1">
        <v>46036</v>
      </c>
      <c r="C12282" s="2">
        <v>0.66666666666666663</v>
      </c>
      <c r="D12282">
        <v>1</v>
      </c>
      <c r="E12282">
        <v>3.9</v>
      </c>
      <c r="F12282">
        <v>88</v>
      </c>
    </row>
    <row r="12283" spans="1:6" x14ac:dyDescent="0.35">
      <c r="A12283">
        <v>1975</v>
      </c>
      <c r="B12283" s="1">
        <v>46036</v>
      </c>
      <c r="C12283" s="2">
        <v>0.70833333333333337</v>
      </c>
      <c r="D12283">
        <v>1</v>
      </c>
      <c r="E12283">
        <v>1.2</v>
      </c>
      <c r="F12283">
        <v>98</v>
      </c>
    </row>
    <row r="12284" spans="1:6" x14ac:dyDescent="0.35">
      <c r="A12284">
        <v>1975</v>
      </c>
      <c r="B12284" s="1">
        <v>46036</v>
      </c>
      <c r="C12284" s="2">
        <v>0.75</v>
      </c>
      <c r="D12284">
        <v>1</v>
      </c>
      <c r="E12284">
        <v>0.8</v>
      </c>
      <c r="F12284">
        <v>98</v>
      </c>
    </row>
    <row r="12285" spans="1:6" x14ac:dyDescent="0.35">
      <c r="A12285">
        <v>1975</v>
      </c>
      <c r="B12285" s="1">
        <v>46036</v>
      </c>
      <c r="C12285" s="2">
        <v>0.79166666666666663</v>
      </c>
      <c r="D12285">
        <v>1</v>
      </c>
      <c r="E12285">
        <v>1.5</v>
      </c>
      <c r="F12285">
        <v>97</v>
      </c>
    </row>
    <row r="12286" spans="1:6" x14ac:dyDescent="0.35">
      <c r="A12286">
        <v>1975</v>
      </c>
      <c r="B12286" s="1">
        <v>46036</v>
      </c>
      <c r="C12286" s="2">
        <v>0.83333333333333337</v>
      </c>
      <c r="D12286">
        <v>1</v>
      </c>
      <c r="E12286">
        <v>1.3</v>
      </c>
      <c r="F12286">
        <v>97</v>
      </c>
    </row>
    <row r="12287" spans="1:6" x14ac:dyDescent="0.35">
      <c r="A12287">
        <v>1975</v>
      </c>
      <c r="B12287" s="1">
        <v>46036</v>
      </c>
      <c r="C12287" s="2">
        <v>0.875</v>
      </c>
      <c r="D12287">
        <v>1</v>
      </c>
      <c r="E12287">
        <v>0.9</v>
      </c>
      <c r="F12287">
        <v>98</v>
      </c>
    </row>
    <row r="12288" spans="1:6" x14ac:dyDescent="0.35">
      <c r="A12288">
        <v>1975</v>
      </c>
      <c r="B12288" s="1">
        <v>46036</v>
      </c>
      <c r="C12288" s="2">
        <v>0.91666666666666663</v>
      </c>
      <c r="D12288">
        <v>1</v>
      </c>
      <c r="E12288">
        <v>1.5</v>
      </c>
      <c r="F12288">
        <v>96</v>
      </c>
    </row>
    <row r="12289" spans="1:6" x14ac:dyDescent="0.35">
      <c r="A12289">
        <v>1975</v>
      </c>
      <c r="B12289" s="1">
        <v>46036</v>
      </c>
      <c r="C12289" s="2">
        <v>0.95833333333333337</v>
      </c>
      <c r="D12289">
        <v>1</v>
      </c>
      <c r="E12289">
        <v>0.6</v>
      </c>
      <c r="F12289">
        <v>100</v>
      </c>
    </row>
    <row r="12290" spans="1:6" x14ac:dyDescent="0.35">
      <c r="A12290">
        <v>1975</v>
      </c>
      <c r="B12290" s="1">
        <v>46037</v>
      </c>
      <c r="C12290" s="2">
        <v>0</v>
      </c>
      <c r="D12290">
        <v>1</v>
      </c>
      <c r="E12290">
        <v>-0.3</v>
      </c>
      <c r="F12290">
        <v>98</v>
      </c>
    </row>
    <row r="12291" spans="1:6" x14ac:dyDescent="0.35">
      <c r="A12291">
        <v>1975</v>
      </c>
      <c r="B12291" s="1">
        <v>46037</v>
      </c>
      <c r="C12291" s="2">
        <v>4.1666666666666657E-2</v>
      </c>
      <c r="D12291">
        <v>1</v>
      </c>
      <c r="E12291">
        <v>-0.7</v>
      </c>
      <c r="F12291">
        <v>100</v>
      </c>
    </row>
    <row r="12292" spans="1:6" x14ac:dyDescent="0.35">
      <c r="A12292">
        <v>1975</v>
      </c>
      <c r="B12292" s="1">
        <v>46037</v>
      </c>
      <c r="C12292" s="2">
        <v>8.3333333333333329E-2</v>
      </c>
      <c r="D12292">
        <v>1</v>
      </c>
      <c r="E12292">
        <v>-0.2</v>
      </c>
      <c r="F12292">
        <v>98</v>
      </c>
    </row>
    <row r="12293" spans="1:6" x14ac:dyDescent="0.35">
      <c r="A12293">
        <v>1975</v>
      </c>
      <c r="B12293" s="1">
        <v>46037</v>
      </c>
      <c r="C12293" s="2">
        <v>0.125</v>
      </c>
      <c r="D12293">
        <v>1</v>
      </c>
      <c r="E12293">
        <v>0.7</v>
      </c>
      <c r="F12293">
        <v>96</v>
      </c>
    </row>
    <row r="12294" spans="1:6" x14ac:dyDescent="0.35">
      <c r="A12294">
        <v>1975</v>
      </c>
      <c r="B12294" s="1">
        <v>46037</v>
      </c>
      <c r="C12294" s="2">
        <v>0.16666666666666671</v>
      </c>
      <c r="D12294">
        <v>1</v>
      </c>
      <c r="E12294">
        <v>1.6</v>
      </c>
      <c r="F12294">
        <v>94</v>
      </c>
    </row>
    <row r="12295" spans="1:6" x14ac:dyDescent="0.35">
      <c r="A12295">
        <v>1975</v>
      </c>
      <c r="B12295" s="1">
        <v>46037</v>
      </c>
      <c r="C12295" s="2">
        <v>0.20833333333333329</v>
      </c>
      <c r="D12295">
        <v>1</v>
      </c>
      <c r="E12295">
        <v>1.9</v>
      </c>
      <c r="F12295">
        <v>95</v>
      </c>
    </row>
    <row r="12296" spans="1:6" x14ac:dyDescent="0.35">
      <c r="A12296">
        <v>1975</v>
      </c>
      <c r="B12296" s="1">
        <v>46037</v>
      </c>
      <c r="C12296" s="2">
        <v>0.25</v>
      </c>
      <c r="D12296">
        <v>1</v>
      </c>
      <c r="E12296">
        <v>2.1</v>
      </c>
      <c r="F12296">
        <v>98</v>
      </c>
    </row>
    <row r="12297" spans="1:6" x14ac:dyDescent="0.35">
      <c r="A12297">
        <v>1975</v>
      </c>
      <c r="B12297" s="1">
        <v>46037</v>
      </c>
      <c r="C12297" s="2">
        <v>0.29166666666666669</v>
      </c>
      <c r="D12297">
        <v>1</v>
      </c>
      <c r="E12297">
        <v>2.7</v>
      </c>
      <c r="F12297">
        <v>97</v>
      </c>
    </row>
    <row r="12298" spans="1:6" x14ac:dyDescent="0.35">
      <c r="A12298">
        <v>1975</v>
      </c>
      <c r="B12298" s="1">
        <v>46037</v>
      </c>
      <c r="C12298" s="2">
        <v>0.33333333333333331</v>
      </c>
      <c r="D12298">
        <v>1</v>
      </c>
      <c r="E12298">
        <v>2.9</v>
      </c>
      <c r="F12298">
        <v>99</v>
      </c>
    </row>
    <row r="12299" spans="1:6" x14ac:dyDescent="0.35">
      <c r="A12299">
        <v>1975</v>
      </c>
      <c r="B12299" s="1">
        <v>46037</v>
      </c>
      <c r="C12299" s="2">
        <v>0.375</v>
      </c>
      <c r="D12299">
        <v>1</v>
      </c>
      <c r="E12299">
        <v>3.3</v>
      </c>
      <c r="F12299">
        <v>98</v>
      </c>
    </row>
    <row r="12300" spans="1:6" x14ac:dyDescent="0.35">
      <c r="A12300">
        <v>1975</v>
      </c>
      <c r="B12300" s="1">
        <v>46037</v>
      </c>
      <c r="C12300" s="2">
        <v>0.41666666666666669</v>
      </c>
      <c r="D12300">
        <v>1</v>
      </c>
      <c r="E12300">
        <v>3.8</v>
      </c>
      <c r="F12300">
        <v>98</v>
      </c>
    </row>
    <row r="12301" spans="1:6" x14ac:dyDescent="0.35">
      <c r="A12301">
        <v>1975</v>
      </c>
      <c r="B12301" s="1">
        <v>46037</v>
      </c>
      <c r="C12301" s="2">
        <v>0.45833333333333331</v>
      </c>
      <c r="D12301">
        <v>1</v>
      </c>
      <c r="E12301">
        <v>4.5</v>
      </c>
      <c r="F12301">
        <v>98</v>
      </c>
    </row>
    <row r="12302" spans="1:6" x14ac:dyDescent="0.35">
      <c r="A12302">
        <v>1975</v>
      </c>
      <c r="B12302" s="1">
        <v>46037</v>
      </c>
      <c r="C12302" s="2">
        <v>0.5</v>
      </c>
      <c r="D12302">
        <v>1</v>
      </c>
      <c r="E12302">
        <v>5.8</v>
      </c>
      <c r="F12302">
        <v>96</v>
      </c>
    </row>
    <row r="12303" spans="1:6" x14ac:dyDescent="0.35">
      <c r="A12303">
        <v>1975</v>
      </c>
      <c r="B12303" s="1">
        <v>46037</v>
      </c>
      <c r="C12303" s="2">
        <v>0.54166666666666663</v>
      </c>
      <c r="D12303">
        <v>1</v>
      </c>
      <c r="E12303">
        <v>6.4</v>
      </c>
      <c r="F12303">
        <v>95</v>
      </c>
    </row>
    <row r="12304" spans="1:6" x14ac:dyDescent="0.35">
      <c r="A12304">
        <v>1975</v>
      </c>
      <c r="B12304" s="1">
        <v>46037</v>
      </c>
      <c r="C12304" s="2">
        <v>0.58333333333333337</v>
      </c>
      <c r="D12304">
        <v>1</v>
      </c>
      <c r="E12304">
        <v>6.6</v>
      </c>
      <c r="F12304">
        <v>95</v>
      </c>
    </row>
    <row r="12305" spans="1:6" x14ac:dyDescent="0.35">
      <c r="A12305">
        <v>1975</v>
      </c>
      <c r="B12305" s="1">
        <v>46037</v>
      </c>
      <c r="C12305" s="2">
        <v>0.625</v>
      </c>
      <c r="D12305">
        <v>1</v>
      </c>
      <c r="E12305">
        <v>6.8</v>
      </c>
      <c r="F12305">
        <v>94</v>
      </c>
    </row>
    <row r="12306" spans="1:6" x14ac:dyDescent="0.35">
      <c r="A12306">
        <v>1975</v>
      </c>
      <c r="B12306" s="1">
        <v>46037</v>
      </c>
      <c r="C12306" s="2">
        <v>0.66666666666666663</v>
      </c>
      <c r="D12306">
        <v>1</v>
      </c>
      <c r="E12306">
        <v>7.2</v>
      </c>
      <c r="F12306">
        <v>93</v>
      </c>
    </row>
    <row r="12307" spans="1:6" x14ac:dyDescent="0.35">
      <c r="A12307">
        <v>1975</v>
      </c>
      <c r="B12307" s="1">
        <v>46037</v>
      </c>
      <c r="C12307" s="2">
        <v>0.70833333333333337</v>
      </c>
      <c r="D12307">
        <v>1</v>
      </c>
      <c r="E12307">
        <v>6.7</v>
      </c>
      <c r="F12307">
        <v>96</v>
      </c>
    </row>
    <row r="12308" spans="1:6" x14ac:dyDescent="0.35">
      <c r="A12308">
        <v>1975</v>
      </c>
      <c r="B12308" s="1">
        <v>46037</v>
      </c>
      <c r="C12308" s="2">
        <v>0.75</v>
      </c>
      <c r="D12308">
        <v>1</v>
      </c>
      <c r="E12308">
        <v>6.8</v>
      </c>
      <c r="F12308">
        <v>95</v>
      </c>
    </row>
    <row r="12309" spans="1:6" x14ac:dyDescent="0.35">
      <c r="A12309">
        <v>1975</v>
      </c>
      <c r="B12309" s="1">
        <v>46037</v>
      </c>
      <c r="C12309" s="2">
        <v>0.79166666666666663</v>
      </c>
      <c r="D12309">
        <v>1</v>
      </c>
      <c r="E12309">
        <v>7</v>
      </c>
      <c r="F12309">
        <v>96</v>
      </c>
    </row>
    <row r="12310" spans="1:6" x14ac:dyDescent="0.35">
      <c r="A12310">
        <v>1975</v>
      </c>
      <c r="B12310" s="1">
        <v>46037</v>
      </c>
      <c r="C12310" s="2">
        <v>0.83333333333333337</v>
      </c>
      <c r="D12310">
        <v>1</v>
      </c>
      <c r="E12310">
        <v>6.7</v>
      </c>
      <c r="F12310">
        <v>95</v>
      </c>
    </row>
    <row r="12311" spans="1:6" x14ac:dyDescent="0.35">
      <c r="A12311">
        <v>1975</v>
      </c>
      <c r="B12311" s="1">
        <v>46037</v>
      </c>
      <c r="C12311" s="2">
        <v>0.875</v>
      </c>
      <c r="D12311">
        <v>1</v>
      </c>
      <c r="E12311">
        <v>6.5</v>
      </c>
      <c r="F12311">
        <v>95</v>
      </c>
    </row>
    <row r="12312" spans="1:6" x14ac:dyDescent="0.35">
      <c r="A12312">
        <v>1975</v>
      </c>
      <c r="B12312" s="1">
        <v>46037</v>
      </c>
      <c r="C12312" s="2">
        <v>0.91666666666666663</v>
      </c>
      <c r="D12312">
        <v>1</v>
      </c>
      <c r="E12312">
        <v>6.1</v>
      </c>
      <c r="F12312">
        <v>95</v>
      </c>
    </row>
    <row r="12313" spans="1:6" x14ac:dyDescent="0.35">
      <c r="A12313">
        <v>1975</v>
      </c>
      <c r="B12313" s="1">
        <v>46037</v>
      </c>
      <c r="C12313" s="2">
        <v>0.95833333333333337</v>
      </c>
      <c r="D12313">
        <v>1</v>
      </c>
      <c r="E12313">
        <v>5.5</v>
      </c>
      <c r="F12313">
        <v>96</v>
      </c>
    </row>
    <row r="12314" spans="1:6" x14ac:dyDescent="0.35">
      <c r="A12314">
        <v>1975</v>
      </c>
      <c r="B12314" s="1">
        <v>46038</v>
      </c>
      <c r="C12314" s="2">
        <v>0</v>
      </c>
      <c r="D12314">
        <v>1</v>
      </c>
      <c r="E12314">
        <v>6.2</v>
      </c>
      <c r="F12314">
        <v>93</v>
      </c>
    </row>
    <row r="12315" spans="1:6" x14ac:dyDescent="0.35">
      <c r="A12315">
        <v>1975</v>
      </c>
      <c r="B12315" s="1">
        <v>46038</v>
      </c>
      <c r="C12315" s="2">
        <v>4.1666666666666657E-2</v>
      </c>
      <c r="D12315">
        <v>1</v>
      </c>
      <c r="E12315">
        <v>6.6</v>
      </c>
      <c r="F12315">
        <v>90</v>
      </c>
    </row>
    <row r="12316" spans="1:6" x14ac:dyDescent="0.35">
      <c r="A12316">
        <v>1975</v>
      </c>
      <c r="B12316" s="1">
        <v>46038</v>
      </c>
      <c r="C12316" s="2">
        <v>8.3333333333333329E-2</v>
      </c>
      <c r="D12316">
        <v>1</v>
      </c>
      <c r="E12316">
        <v>6.5</v>
      </c>
      <c r="F12316">
        <v>88</v>
      </c>
    </row>
    <row r="12317" spans="1:6" x14ac:dyDescent="0.35">
      <c r="A12317">
        <v>1975</v>
      </c>
      <c r="B12317" s="1">
        <v>46038</v>
      </c>
      <c r="C12317" s="2">
        <v>0.125</v>
      </c>
      <c r="D12317">
        <v>1</v>
      </c>
      <c r="E12317">
        <v>6.3</v>
      </c>
      <c r="F12317">
        <v>87</v>
      </c>
    </row>
    <row r="12318" spans="1:6" x14ac:dyDescent="0.35">
      <c r="A12318">
        <v>1975</v>
      </c>
      <c r="B12318" s="1">
        <v>46038</v>
      </c>
      <c r="C12318" s="2">
        <v>0.16666666666666671</v>
      </c>
      <c r="D12318">
        <v>1</v>
      </c>
      <c r="E12318">
        <v>5.6</v>
      </c>
      <c r="F12318">
        <v>89</v>
      </c>
    </row>
    <row r="12319" spans="1:6" x14ac:dyDescent="0.35">
      <c r="A12319">
        <v>1975</v>
      </c>
      <c r="B12319" s="1">
        <v>46038</v>
      </c>
      <c r="C12319" s="2">
        <v>0.20833333333333329</v>
      </c>
      <c r="D12319">
        <v>1</v>
      </c>
      <c r="E12319">
        <v>5.5</v>
      </c>
      <c r="F12319">
        <v>89</v>
      </c>
    </row>
    <row r="12320" spans="1:6" x14ac:dyDescent="0.35">
      <c r="A12320">
        <v>1975</v>
      </c>
      <c r="B12320" s="1">
        <v>46038</v>
      </c>
      <c r="C12320" s="2">
        <v>0.25</v>
      </c>
      <c r="D12320">
        <v>1</v>
      </c>
      <c r="E12320">
        <v>4.9000000000000004</v>
      </c>
      <c r="F12320">
        <v>91</v>
      </c>
    </row>
    <row r="12321" spans="1:6" x14ac:dyDescent="0.35">
      <c r="A12321">
        <v>1975</v>
      </c>
      <c r="B12321" s="1">
        <v>46038</v>
      </c>
      <c r="C12321" s="2">
        <v>0.29166666666666669</v>
      </c>
      <c r="D12321">
        <v>1</v>
      </c>
      <c r="E12321">
        <v>5.5</v>
      </c>
      <c r="F12321">
        <v>88</v>
      </c>
    </row>
    <row r="12322" spans="1:6" x14ac:dyDescent="0.35">
      <c r="A12322">
        <v>1975</v>
      </c>
      <c r="B12322" s="1">
        <v>46038</v>
      </c>
      <c r="C12322" s="2">
        <v>0.33333333333333331</v>
      </c>
      <c r="D12322">
        <v>1</v>
      </c>
      <c r="E12322">
        <v>6.4</v>
      </c>
      <c r="F12322">
        <v>84</v>
      </c>
    </row>
    <row r="12323" spans="1:6" x14ac:dyDescent="0.35">
      <c r="A12323">
        <v>1975</v>
      </c>
      <c r="B12323" s="1">
        <v>46038</v>
      </c>
      <c r="C12323" s="2">
        <v>0.375</v>
      </c>
      <c r="D12323">
        <v>1</v>
      </c>
      <c r="E12323">
        <v>7.8</v>
      </c>
      <c r="F12323">
        <v>79</v>
      </c>
    </row>
    <row r="12324" spans="1:6" x14ac:dyDescent="0.35">
      <c r="A12324">
        <v>1975</v>
      </c>
      <c r="B12324" s="1">
        <v>46038</v>
      </c>
      <c r="C12324" s="2">
        <v>0.41666666666666669</v>
      </c>
      <c r="D12324">
        <v>1</v>
      </c>
      <c r="E12324">
        <v>8.4</v>
      </c>
      <c r="F12324">
        <v>77</v>
      </c>
    </row>
    <row r="12325" spans="1:6" x14ac:dyDescent="0.35">
      <c r="A12325">
        <v>1975</v>
      </c>
      <c r="B12325" s="1">
        <v>46038</v>
      </c>
      <c r="C12325" s="2">
        <v>0.45833333333333331</v>
      </c>
      <c r="D12325">
        <v>1</v>
      </c>
      <c r="E12325">
        <v>9.1999999999999993</v>
      </c>
      <c r="F12325">
        <v>77</v>
      </c>
    </row>
    <row r="12326" spans="1:6" x14ac:dyDescent="0.35">
      <c r="A12326">
        <v>1975</v>
      </c>
      <c r="B12326" s="1">
        <v>46038</v>
      </c>
      <c r="C12326" s="2">
        <v>0.5</v>
      </c>
      <c r="D12326">
        <v>1</v>
      </c>
      <c r="E12326">
        <v>10.3</v>
      </c>
      <c r="F12326">
        <v>74</v>
      </c>
    </row>
    <row r="12327" spans="1:6" x14ac:dyDescent="0.35">
      <c r="A12327">
        <v>1975</v>
      </c>
      <c r="B12327" s="1">
        <v>46038</v>
      </c>
      <c r="C12327" s="2">
        <v>0.54166666666666663</v>
      </c>
      <c r="D12327">
        <v>1</v>
      </c>
      <c r="E12327">
        <v>10.3</v>
      </c>
      <c r="F12327">
        <v>75</v>
      </c>
    </row>
    <row r="12328" spans="1:6" x14ac:dyDescent="0.35">
      <c r="A12328">
        <v>1975</v>
      </c>
      <c r="B12328" s="1">
        <v>46038</v>
      </c>
      <c r="C12328" s="2">
        <v>0.58333333333333337</v>
      </c>
      <c r="D12328">
        <v>1</v>
      </c>
      <c r="E12328">
        <v>9.9</v>
      </c>
      <c r="F12328">
        <v>78</v>
      </c>
    </row>
    <row r="12329" spans="1:6" x14ac:dyDescent="0.35">
      <c r="A12329">
        <v>1975</v>
      </c>
      <c r="B12329" s="1">
        <v>46038</v>
      </c>
      <c r="C12329" s="2">
        <v>0.625</v>
      </c>
      <c r="D12329">
        <v>1</v>
      </c>
      <c r="E12329">
        <v>9.6</v>
      </c>
      <c r="F12329">
        <v>79</v>
      </c>
    </row>
    <row r="12330" spans="1:6" x14ac:dyDescent="0.35">
      <c r="A12330">
        <v>1975</v>
      </c>
      <c r="B12330" s="1">
        <v>46038</v>
      </c>
      <c r="C12330" s="2">
        <v>0.66666666666666663</v>
      </c>
      <c r="D12330">
        <v>1</v>
      </c>
      <c r="E12330">
        <v>7.4</v>
      </c>
      <c r="F12330">
        <v>87</v>
      </c>
    </row>
    <row r="12331" spans="1:6" x14ac:dyDescent="0.35">
      <c r="A12331">
        <v>1975</v>
      </c>
      <c r="B12331" s="1">
        <v>46038</v>
      </c>
      <c r="C12331" s="2">
        <v>0.70833333333333337</v>
      </c>
      <c r="D12331">
        <v>1</v>
      </c>
      <c r="E12331">
        <v>6.7</v>
      </c>
      <c r="F12331">
        <v>92</v>
      </c>
    </row>
    <row r="12332" spans="1:6" x14ac:dyDescent="0.35">
      <c r="A12332">
        <v>1975</v>
      </c>
      <c r="B12332" s="1">
        <v>46038</v>
      </c>
      <c r="C12332" s="2">
        <v>0.75</v>
      </c>
      <c r="D12332">
        <v>1</v>
      </c>
      <c r="E12332">
        <v>6.9</v>
      </c>
      <c r="F12332">
        <v>90</v>
      </c>
    </row>
    <row r="12333" spans="1:6" x14ac:dyDescent="0.35">
      <c r="A12333">
        <v>1975</v>
      </c>
      <c r="B12333" s="1">
        <v>46038</v>
      </c>
      <c r="C12333" s="2">
        <v>0.79166666666666663</v>
      </c>
      <c r="D12333">
        <v>1</v>
      </c>
      <c r="E12333">
        <v>6.8</v>
      </c>
      <c r="F12333">
        <v>90</v>
      </c>
    </row>
    <row r="12334" spans="1:6" x14ac:dyDescent="0.35">
      <c r="A12334">
        <v>1975</v>
      </c>
      <c r="B12334" s="1">
        <v>46038</v>
      </c>
      <c r="C12334" s="2">
        <v>0.83333333333333337</v>
      </c>
      <c r="D12334">
        <v>1</v>
      </c>
      <c r="E12334">
        <v>7.6</v>
      </c>
      <c r="F12334">
        <v>87</v>
      </c>
    </row>
    <row r="12335" spans="1:6" x14ac:dyDescent="0.35">
      <c r="A12335">
        <v>1975</v>
      </c>
      <c r="B12335" s="1">
        <v>46038</v>
      </c>
      <c r="C12335" s="2">
        <v>0.875</v>
      </c>
      <c r="D12335">
        <v>1</v>
      </c>
      <c r="E12335">
        <v>7.9</v>
      </c>
      <c r="F12335">
        <v>84</v>
      </c>
    </row>
    <row r="12336" spans="1:6" x14ac:dyDescent="0.35">
      <c r="A12336">
        <v>1975</v>
      </c>
      <c r="B12336" s="1">
        <v>46038</v>
      </c>
      <c r="C12336" s="2">
        <v>0.91666666666666663</v>
      </c>
      <c r="D12336">
        <v>1</v>
      </c>
      <c r="E12336">
        <v>7.3</v>
      </c>
      <c r="F12336">
        <v>88</v>
      </c>
    </row>
    <row r="12337" spans="1:6" x14ac:dyDescent="0.35">
      <c r="A12337">
        <v>1975</v>
      </c>
      <c r="B12337" s="1">
        <v>46038</v>
      </c>
      <c r="C12337" s="2">
        <v>0.95833333333333337</v>
      </c>
      <c r="D12337">
        <v>1</v>
      </c>
      <c r="E12337">
        <v>7.3</v>
      </c>
      <c r="F12337">
        <v>87</v>
      </c>
    </row>
    <row r="12338" spans="1:6" x14ac:dyDescent="0.35">
      <c r="A12338">
        <v>1975</v>
      </c>
      <c r="B12338" s="1">
        <v>46039</v>
      </c>
      <c r="C12338" s="2">
        <v>0</v>
      </c>
      <c r="D12338">
        <v>1</v>
      </c>
      <c r="E12338">
        <v>6.5</v>
      </c>
      <c r="F12338">
        <v>89</v>
      </c>
    </row>
    <row r="12339" spans="1:6" x14ac:dyDescent="0.35">
      <c r="A12339">
        <v>1975</v>
      </c>
      <c r="B12339" s="1">
        <v>46039</v>
      </c>
      <c r="C12339" s="2">
        <v>4.1666666666666657E-2</v>
      </c>
      <c r="D12339">
        <v>1</v>
      </c>
      <c r="E12339">
        <v>5.8</v>
      </c>
      <c r="F12339">
        <v>90</v>
      </c>
    </row>
    <row r="12340" spans="1:6" x14ac:dyDescent="0.35">
      <c r="A12340">
        <v>1975</v>
      </c>
      <c r="B12340" s="1">
        <v>46039</v>
      </c>
      <c r="C12340" s="2">
        <v>8.3333333333333329E-2</v>
      </c>
      <c r="D12340">
        <v>1</v>
      </c>
      <c r="E12340">
        <v>4.7</v>
      </c>
      <c r="F12340">
        <v>92</v>
      </c>
    </row>
    <row r="12341" spans="1:6" x14ac:dyDescent="0.35">
      <c r="A12341">
        <v>1975</v>
      </c>
      <c r="B12341" s="1">
        <v>46039</v>
      </c>
      <c r="C12341" s="2">
        <v>0.125</v>
      </c>
      <c r="D12341">
        <v>1</v>
      </c>
      <c r="E12341">
        <v>3.9</v>
      </c>
      <c r="F12341">
        <v>94</v>
      </c>
    </row>
    <row r="12342" spans="1:6" x14ac:dyDescent="0.35">
      <c r="A12342">
        <v>1975</v>
      </c>
      <c r="B12342" s="1">
        <v>46039</v>
      </c>
      <c r="C12342" s="2">
        <v>0.16666666666666671</v>
      </c>
      <c r="D12342">
        <v>1</v>
      </c>
      <c r="E12342">
        <v>3.1</v>
      </c>
      <c r="F12342">
        <v>95</v>
      </c>
    </row>
    <row r="12343" spans="1:6" x14ac:dyDescent="0.35">
      <c r="A12343">
        <v>1975</v>
      </c>
      <c r="B12343" s="1">
        <v>46039</v>
      </c>
      <c r="C12343" s="2">
        <v>0.20833333333333329</v>
      </c>
      <c r="D12343">
        <v>1</v>
      </c>
      <c r="E12343">
        <v>2.9</v>
      </c>
      <c r="F12343">
        <v>95</v>
      </c>
    </row>
    <row r="12344" spans="1:6" x14ac:dyDescent="0.35">
      <c r="A12344">
        <v>1975</v>
      </c>
      <c r="B12344" s="1">
        <v>46039</v>
      </c>
      <c r="C12344" s="2">
        <v>0.25</v>
      </c>
      <c r="D12344">
        <v>1</v>
      </c>
      <c r="E12344">
        <v>2.5</v>
      </c>
      <c r="F12344">
        <v>95</v>
      </c>
    </row>
    <row r="12345" spans="1:6" x14ac:dyDescent="0.35">
      <c r="A12345">
        <v>1975</v>
      </c>
      <c r="B12345" s="1">
        <v>46039</v>
      </c>
      <c r="C12345" s="2">
        <v>0.29166666666666669</v>
      </c>
      <c r="D12345">
        <v>1</v>
      </c>
      <c r="E12345">
        <v>2</v>
      </c>
      <c r="F12345">
        <v>94</v>
      </c>
    </row>
    <row r="12346" spans="1:6" x14ac:dyDescent="0.35">
      <c r="A12346">
        <v>1975</v>
      </c>
      <c r="B12346" s="1">
        <v>46039</v>
      </c>
      <c r="C12346" s="2">
        <v>0.33333333333333331</v>
      </c>
      <c r="D12346">
        <v>1</v>
      </c>
      <c r="E12346">
        <v>1.8</v>
      </c>
      <c r="F12346">
        <v>92</v>
      </c>
    </row>
    <row r="12347" spans="1:6" x14ac:dyDescent="0.35">
      <c r="A12347">
        <v>1975</v>
      </c>
      <c r="B12347" s="1">
        <v>46039</v>
      </c>
      <c r="C12347" s="2">
        <v>0.375</v>
      </c>
      <c r="D12347">
        <v>1</v>
      </c>
      <c r="E12347">
        <v>1.7</v>
      </c>
      <c r="F12347">
        <v>90</v>
      </c>
    </row>
    <row r="12348" spans="1:6" x14ac:dyDescent="0.35">
      <c r="A12348">
        <v>1975</v>
      </c>
      <c r="B12348" s="1">
        <v>46039</v>
      </c>
      <c r="C12348" s="2">
        <v>0.41666666666666669</v>
      </c>
      <c r="D12348">
        <v>1</v>
      </c>
      <c r="E12348">
        <v>2.1</v>
      </c>
      <c r="F12348">
        <v>88</v>
      </c>
    </row>
    <row r="12349" spans="1:6" x14ac:dyDescent="0.35">
      <c r="A12349">
        <v>1975</v>
      </c>
      <c r="B12349" s="1">
        <v>46039</v>
      </c>
      <c r="C12349" s="2">
        <v>0.45833333333333331</v>
      </c>
      <c r="D12349">
        <v>1</v>
      </c>
      <c r="E12349">
        <v>2.2000000000000002</v>
      </c>
      <c r="F12349">
        <v>86</v>
      </c>
    </row>
    <row r="12350" spans="1:6" x14ac:dyDescent="0.35">
      <c r="A12350">
        <v>1975</v>
      </c>
      <c r="B12350" s="1">
        <v>46039</v>
      </c>
      <c r="C12350" s="2">
        <v>0.5</v>
      </c>
      <c r="D12350">
        <v>1</v>
      </c>
      <c r="E12350">
        <v>2.7</v>
      </c>
      <c r="F12350">
        <v>88</v>
      </c>
    </row>
    <row r="12351" spans="1:6" x14ac:dyDescent="0.35">
      <c r="A12351">
        <v>1975</v>
      </c>
      <c r="B12351" s="1">
        <v>46039</v>
      </c>
      <c r="C12351" s="2">
        <v>0.54166666666666663</v>
      </c>
      <c r="D12351">
        <v>1</v>
      </c>
      <c r="E12351">
        <v>2.4</v>
      </c>
      <c r="F12351">
        <v>89</v>
      </c>
    </row>
    <row r="12352" spans="1:6" x14ac:dyDescent="0.35">
      <c r="A12352">
        <v>1975</v>
      </c>
      <c r="B12352" s="1">
        <v>46039</v>
      </c>
      <c r="C12352" s="2">
        <v>0.58333333333333337</v>
      </c>
      <c r="D12352">
        <v>1</v>
      </c>
      <c r="E12352">
        <v>2.5</v>
      </c>
      <c r="F12352">
        <v>90</v>
      </c>
    </row>
    <row r="12353" spans="1:6" x14ac:dyDescent="0.35">
      <c r="A12353">
        <v>1975</v>
      </c>
      <c r="B12353" s="1">
        <v>46039</v>
      </c>
      <c r="C12353" s="2">
        <v>0.625</v>
      </c>
      <c r="D12353">
        <v>1</v>
      </c>
      <c r="E12353">
        <v>2.4</v>
      </c>
      <c r="F12353">
        <v>91</v>
      </c>
    </row>
    <row r="12354" spans="1:6" x14ac:dyDescent="0.35">
      <c r="A12354">
        <v>1975</v>
      </c>
      <c r="B12354" s="1">
        <v>46039</v>
      </c>
      <c r="C12354" s="2">
        <v>0.66666666666666663</v>
      </c>
      <c r="D12354">
        <v>1</v>
      </c>
      <c r="E12354">
        <v>2.7</v>
      </c>
      <c r="F12354">
        <v>92</v>
      </c>
    </row>
    <row r="12355" spans="1:6" x14ac:dyDescent="0.35">
      <c r="A12355">
        <v>1975</v>
      </c>
      <c r="B12355" s="1">
        <v>46039</v>
      </c>
      <c r="C12355" s="2">
        <v>0.70833333333333337</v>
      </c>
      <c r="D12355">
        <v>1</v>
      </c>
      <c r="E12355">
        <v>3.2</v>
      </c>
      <c r="F12355">
        <v>90</v>
      </c>
    </row>
    <row r="12356" spans="1:6" x14ac:dyDescent="0.35">
      <c r="A12356">
        <v>1975</v>
      </c>
      <c r="B12356" s="1">
        <v>46039</v>
      </c>
      <c r="C12356" s="2">
        <v>0.75</v>
      </c>
      <c r="D12356">
        <v>1</v>
      </c>
      <c r="E12356">
        <v>3.7</v>
      </c>
      <c r="F12356">
        <v>88</v>
      </c>
    </row>
    <row r="12357" spans="1:6" x14ac:dyDescent="0.35">
      <c r="A12357">
        <v>1975</v>
      </c>
      <c r="B12357" s="1">
        <v>46039</v>
      </c>
      <c r="C12357" s="2">
        <v>0.79166666666666663</v>
      </c>
      <c r="D12357">
        <v>1</v>
      </c>
      <c r="E12357">
        <v>3.9</v>
      </c>
      <c r="F12357">
        <v>88</v>
      </c>
    </row>
    <row r="12358" spans="1:6" x14ac:dyDescent="0.35">
      <c r="A12358">
        <v>1975</v>
      </c>
      <c r="B12358" s="1">
        <v>46039</v>
      </c>
      <c r="C12358" s="2">
        <v>0.83333333333333337</v>
      </c>
      <c r="D12358">
        <v>1</v>
      </c>
      <c r="E12358">
        <v>4</v>
      </c>
      <c r="F12358">
        <v>86</v>
      </c>
    </row>
    <row r="12359" spans="1:6" x14ac:dyDescent="0.35">
      <c r="A12359">
        <v>1975</v>
      </c>
      <c r="B12359" s="1">
        <v>46039</v>
      </c>
      <c r="C12359" s="2">
        <v>0.875</v>
      </c>
      <c r="D12359">
        <v>1</v>
      </c>
      <c r="E12359">
        <v>3.9</v>
      </c>
      <c r="F12359">
        <v>87</v>
      </c>
    </row>
    <row r="12360" spans="1:6" x14ac:dyDescent="0.35">
      <c r="A12360">
        <v>1975</v>
      </c>
      <c r="B12360" s="1">
        <v>46039</v>
      </c>
      <c r="C12360" s="2">
        <v>0.91666666666666663</v>
      </c>
      <c r="D12360">
        <v>1</v>
      </c>
      <c r="E12360">
        <v>3.9</v>
      </c>
      <c r="F12360">
        <v>87</v>
      </c>
    </row>
    <row r="12361" spans="1:6" x14ac:dyDescent="0.35">
      <c r="A12361">
        <v>1975</v>
      </c>
      <c r="B12361" s="1">
        <v>46039</v>
      </c>
      <c r="C12361" s="2">
        <v>0.95833333333333337</v>
      </c>
      <c r="D12361">
        <v>1</v>
      </c>
      <c r="E12361">
        <v>3.6</v>
      </c>
      <c r="F12361">
        <v>88</v>
      </c>
    </row>
    <row r="12362" spans="1:6" x14ac:dyDescent="0.35">
      <c r="A12362">
        <v>1975</v>
      </c>
      <c r="B12362" s="1">
        <v>46040</v>
      </c>
      <c r="C12362" s="2">
        <v>0</v>
      </c>
      <c r="D12362">
        <v>1</v>
      </c>
      <c r="E12362">
        <v>3.6</v>
      </c>
      <c r="F12362">
        <v>88</v>
      </c>
    </row>
    <row r="12363" spans="1:6" x14ac:dyDescent="0.35">
      <c r="A12363">
        <v>1975</v>
      </c>
      <c r="B12363" s="1">
        <v>46040</v>
      </c>
      <c r="C12363" s="2">
        <v>4.1666666666666657E-2</v>
      </c>
      <c r="D12363">
        <v>1</v>
      </c>
      <c r="E12363">
        <v>3.6</v>
      </c>
      <c r="F12363">
        <v>88</v>
      </c>
    </row>
    <row r="12364" spans="1:6" x14ac:dyDescent="0.35">
      <c r="A12364">
        <v>1975</v>
      </c>
      <c r="B12364" s="1">
        <v>46040</v>
      </c>
      <c r="C12364" s="2">
        <v>8.3333333333333329E-2</v>
      </c>
      <c r="D12364">
        <v>1</v>
      </c>
      <c r="E12364">
        <v>3.7</v>
      </c>
      <c r="F12364">
        <v>88</v>
      </c>
    </row>
    <row r="12365" spans="1:6" x14ac:dyDescent="0.35">
      <c r="A12365">
        <v>1975</v>
      </c>
      <c r="B12365" s="1">
        <v>46040</v>
      </c>
      <c r="C12365" s="2">
        <v>0.125</v>
      </c>
      <c r="D12365">
        <v>1</v>
      </c>
      <c r="E12365">
        <v>3.8</v>
      </c>
      <c r="F12365">
        <v>88</v>
      </c>
    </row>
    <row r="12366" spans="1:6" x14ac:dyDescent="0.35">
      <c r="A12366">
        <v>1975</v>
      </c>
      <c r="B12366" s="1">
        <v>46040</v>
      </c>
      <c r="C12366" s="2">
        <v>0.16666666666666671</v>
      </c>
      <c r="D12366">
        <v>1</v>
      </c>
      <c r="E12366">
        <v>3.9</v>
      </c>
      <c r="F12366">
        <v>87</v>
      </c>
    </row>
    <row r="12367" spans="1:6" x14ac:dyDescent="0.35">
      <c r="A12367">
        <v>1975</v>
      </c>
      <c r="B12367" s="1">
        <v>46040</v>
      </c>
      <c r="C12367" s="2">
        <v>0.20833333333333329</v>
      </c>
      <c r="D12367">
        <v>1</v>
      </c>
      <c r="E12367">
        <v>3.8</v>
      </c>
      <c r="F12367">
        <v>88</v>
      </c>
    </row>
    <row r="12368" spans="1:6" x14ac:dyDescent="0.35">
      <c r="A12368">
        <v>1975</v>
      </c>
      <c r="B12368" s="1">
        <v>46040</v>
      </c>
      <c r="C12368" s="2">
        <v>0.25</v>
      </c>
      <c r="D12368">
        <v>1</v>
      </c>
      <c r="E12368">
        <v>4.0999999999999996</v>
      </c>
      <c r="F12368">
        <v>86</v>
      </c>
    </row>
    <row r="12369" spans="1:6" x14ac:dyDescent="0.35">
      <c r="A12369">
        <v>1975</v>
      </c>
      <c r="B12369" s="1">
        <v>46040</v>
      </c>
      <c r="C12369" s="2">
        <v>0.29166666666666669</v>
      </c>
      <c r="D12369">
        <v>1</v>
      </c>
      <c r="E12369">
        <v>4.0999999999999996</v>
      </c>
      <c r="F12369">
        <v>85</v>
      </c>
    </row>
    <row r="12370" spans="1:6" x14ac:dyDescent="0.35">
      <c r="A12370">
        <v>1975</v>
      </c>
      <c r="B12370" s="1">
        <v>46040</v>
      </c>
      <c r="C12370" s="2">
        <v>0.33333333333333331</v>
      </c>
      <c r="D12370">
        <v>1</v>
      </c>
      <c r="E12370">
        <v>3.8</v>
      </c>
      <c r="F12370">
        <v>86</v>
      </c>
    </row>
    <row r="12371" spans="1:6" x14ac:dyDescent="0.35">
      <c r="A12371">
        <v>1975</v>
      </c>
      <c r="B12371" s="1">
        <v>46040</v>
      </c>
      <c r="C12371" s="2">
        <v>0.375</v>
      </c>
      <c r="D12371">
        <v>1</v>
      </c>
      <c r="E12371">
        <v>3.6</v>
      </c>
      <c r="F12371">
        <v>87</v>
      </c>
    </row>
    <row r="12372" spans="1:6" x14ac:dyDescent="0.35">
      <c r="A12372">
        <v>1975</v>
      </c>
      <c r="B12372" s="1">
        <v>46040</v>
      </c>
      <c r="C12372" s="2">
        <v>0.41666666666666669</v>
      </c>
      <c r="D12372">
        <v>1</v>
      </c>
      <c r="E12372">
        <v>3.3</v>
      </c>
      <c r="F12372">
        <v>85</v>
      </c>
    </row>
    <row r="12373" spans="1:6" x14ac:dyDescent="0.35">
      <c r="A12373">
        <v>1975</v>
      </c>
      <c r="B12373" s="1">
        <v>46040</v>
      </c>
      <c r="C12373" s="2">
        <v>0.45833333333333331</v>
      </c>
      <c r="D12373">
        <v>1</v>
      </c>
      <c r="E12373">
        <v>3.1</v>
      </c>
      <c r="F12373">
        <v>84</v>
      </c>
    </row>
    <row r="12374" spans="1:6" x14ac:dyDescent="0.35">
      <c r="A12374">
        <v>1975</v>
      </c>
      <c r="B12374" s="1">
        <v>46040</v>
      </c>
      <c r="C12374" s="2">
        <v>0.5</v>
      </c>
      <c r="D12374">
        <v>1</v>
      </c>
      <c r="E12374">
        <v>3.7</v>
      </c>
      <c r="F12374">
        <v>79</v>
      </c>
    </row>
    <row r="12375" spans="1:6" x14ac:dyDescent="0.35">
      <c r="A12375">
        <v>1975</v>
      </c>
      <c r="B12375" s="1">
        <v>46040</v>
      </c>
      <c r="C12375" s="2">
        <v>0.54166666666666663</v>
      </c>
      <c r="D12375">
        <v>1</v>
      </c>
      <c r="E12375">
        <v>4.4000000000000004</v>
      </c>
      <c r="F12375">
        <v>77</v>
      </c>
    </row>
    <row r="12376" spans="1:6" x14ac:dyDescent="0.35">
      <c r="A12376">
        <v>1975</v>
      </c>
      <c r="B12376" s="1">
        <v>46040</v>
      </c>
      <c r="C12376" s="2">
        <v>0.58333333333333337</v>
      </c>
      <c r="D12376">
        <v>1</v>
      </c>
      <c r="E12376">
        <v>4.5</v>
      </c>
      <c r="F12376">
        <v>77</v>
      </c>
    </row>
    <row r="12377" spans="1:6" x14ac:dyDescent="0.35">
      <c r="A12377">
        <v>1975</v>
      </c>
      <c r="B12377" s="1">
        <v>46040</v>
      </c>
      <c r="C12377" s="2">
        <v>0.625</v>
      </c>
      <c r="D12377">
        <v>1</v>
      </c>
      <c r="E12377">
        <v>4</v>
      </c>
      <c r="F12377">
        <v>78</v>
      </c>
    </row>
    <row r="12378" spans="1:6" x14ac:dyDescent="0.35">
      <c r="A12378">
        <v>1975</v>
      </c>
      <c r="B12378" s="1">
        <v>46040</v>
      </c>
      <c r="C12378" s="2">
        <v>0.66666666666666663</v>
      </c>
      <c r="D12378">
        <v>1</v>
      </c>
      <c r="E12378">
        <v>3.4</v>
      </c>
      <c r="F12378">
        <v>80</v>
      </c>
    </row>
    <row r="12379" spans="1:6" x14ac:dyDescent="0.35">
      <c r="A12379">
        <v>1975</v>
      </c>
      <c r="B12379" s="1">
        <v>46040</v>
      </c>
      <c r="C12379" s="2">
        <v>0.70833333333333337</v>
      </c>
      <c r="D12379">
        <v>1</v>
      </c>
      <c r="E12379">
        <v>2.9</v>
      </c>
      <c r="F12379">
        <v>84</v>
      </c>
    </row>
    <row r="12380" spans="1:6" x14ac:dyDescent="0.35">
      <c r="A12380">
        <v>1975</v>
      </c>
      <c r="B12380" s="1">
        <v>46040</v>
      </c>
      <c r="C12380" s="2">
        <v>0.75</v>
      </c>
      <c r="D12380">
        <v>1</v>
      </c>
      <c r="E12380">
        <v>2.2999999999999998</v>
      </c>
      <c r="F12380">
        <v>84</v>
      </c>
    </row>
    <row r="12381" spans="1:6" x14ac:dyDescent="0.35">
      <c r="A12381">
        <v>1975</v>
      </c>
      <c r="B12381" s="1">
        <v>46040</v>
      </c>
      <c r="C12381" s="2">
        <v>0.79166666666666663</v>
      </c>
      <c r="D12381">
        <v>1</v>
      </c>
      <c r="E12381">
        <v>2.1</v>
      </c>
      <c r="F12381">
        <v>82</v>
      </c>
    </row>
    <row r="12382" spans="1:6" x14ac:dyDescent="0.35">
      <c r="A12382">
        <v>1975</v>
      </c>
      <c r="B12382" s="1">
        <v>46040</v>
      </c>
      <c r="C12382" s="2">
        <v>0.83333333333333337</v>
      </c>
      <c r="D12382">
        <v>1</v>
      </c>
      <c r="E12382">
        <v>1.8</v>
      </c>
      <c r="F12382">
        <v>81</v>
      </c>
    </row>
    <row r="12383" spans="1:6" x14ac:dyDescent="0.35">
      <c r="A12383">
        <v>1975</v>
      </c>
      <c r="B12383" s="1">
        <v>46040</v>
      </c>
      <c r="C12383" s="2">
        <v>0.875</v>
      </c>
      <c r="D12383">
        <v>1</v>
      </c>
      <c r="E12383">
        <v>1.4</v>
      </c>
      <c r="F12383">
        <v>81</v>
      </c>
    </row>
    <row r="12384" spans="1:6" x14ac:dyDescent="0.35">
      <c r="A12384">
        <v>1975</v>
      </c>
      <c r="B12384" s="1">
        <v>46040</v>
      </c>
      <c r="C12384" s="2">
        <v>0.91666666666666663</v>
      </c>
      <c r="D12384">
        <v>1</v>
      </c>
      <c r="E12384">
        <v>1.1000000000000001</v>
      </c>
      <c r="F12384">
        <v>79</v>
      </c>
    </row>
    <row r="12385" spans="1:6" x14ac:dyDescent="0.35">
      <c r="A12385">
        <v>1975</v>
      </c>
      <c r="B12385" s="1">
        <v>46040</v>
      </c>
      <c r="C12385" s="2">
        <v>0.95833333333333337</v>
      </c>
      <c r="D12385">
        <v>1</v>
      </c>
      <c r="E12385">
        <v>0.5</v>
      </c>
      <c r="F12385">
        <v>80</v>
      </c>
    </row>
    <row r="12386" spans="1:6" x14ac:dyDescent="0.35">
      <c r="A12386">
        <v>1975</v>
      </c>
      <c r="B12386" s="1">
        <v>46041</v>
      </c>
      <c r="C12386" s="2">
        <v>0</v>
      </c>
      <c r="D12386">
        <v>1</v>
      </c>
      <c r="E12386">
        <v>0</v>
      </c>
      <c r="F12386">
        <v>81</v>
      </c>
    </row>
    <row r="12387" spans="1:6" x14ac:dyDescent="0.35">
      <c r="A12387">
        <v>1975</v>
      </c>
      <c r="B12387" s="1">
        <v>46041</v>
      </c>
      <c r="C12387" s="2">
        <v>4.1666666666666657E-2</v>
      </c>
      <c r="D12387">
        <v>1</v>
      </c>
      <c r="E12387">
        <v>-0.2</v>
      </c>
      <c r="F12387">
        <v>81</v>
      </c>
    </row>
    <row r="12388" spans="1:6" x14ac:dyDescent="0.35">
      <c r="A12388">
        <v>1975</v>
      </c>
      <c r="B12388" s="1">
        <v>46041</v>
      </c>
      <c r="C12388" s="2">
        <v>8.3333333333333329E-2</v>
      </c>
      <c r="D12388">
        <v>1</v>
      </c>
      <c r="E12388">
        <v>-0.6</v>
      </c>
      <c r="F12388">
        <v>81</v>
      </c>
    </row>
    <row r="12389" spans="1:6" x14ac:dyDescent="0.35">
      <c r="A12389">
        <v>1975</v>
      </c>
      <c r="B12389" s="1">
        <v>46041</v>
      </c>
      <c r="C12389" s="2">
        <v>0.125</v>
      </c>
      <c r="D12389">
        <v>1</v>
      </c>
      <c r="E12389">
        <v>-1.1000000000000001</v>
      </c>
      <c r="F12389">
        <v>82</v>
      </c>
    </row>
    <row r="12390" spans="1:6" x14ac:dyDescent="0.35">
      <c r="A12390">
        <v>1975</v>
      </c>
      <c r="B12390" s="1">
        <v>46041</v>
      </c>
      <c r="C12390" s="2">
        <v>0.16666666666666671</v>
      </c>
      <c r="D12390">
        <v>1</v>
      </c>
      <c r="E12390">
        <v>-0.8</v>
      </c>
      <c r="F12390">
        <v>79</v>
      </c>
    </row>
    <row r="12391" spans="1:6" x14ac:dyDescent="0.35">
      <c r="A12391">
        <v>1975</v>
      </c>
      <c r="B12391" s="1">
        <v>46041</v>
      </c>
      <c r="C12391" s="2">
        <v>0.20833333333333329</v>
      </c>
      <c r="D12391">
        <v>1</v>
      </c>
      <c r="E12391">
        <v>-1</v>
      </c>
      <c r="F12391">
        <v>79</v>
      </c>
    </row>
    <row r="12392" spans="1:6" x14ac:dyDescent="0.35">
      <c r="A12392">
        <v>1975</v>
      </c>
      <c r="B12392" s="1">
        <v>46041</v>
      </c>
      <c r="C12392" s="2">
        <v>0.25</v>
      </c>
      <c r="D12392">
        <v>1</v>
      </c>
      <c r="E12392">
        <v>-1.4</v>
      </c>
      <c r="F12392">
        <v>79</v>
      </c>
    </row>
    <row r="12393" spans="1:6" x14ac:dyDescent="0.35">
      <c r="A12393">
        <v>1975</v>
      </c>
      <c r="B12393" s="1">
        <v>46041</v>
      </c>
      <c r="C12393" s="2">
        <v>0.29166666666666669</v>
      </c>
      <c r="D12393">
        <v>1</v>
      </c>
      <c r="E12393">
        <v>-0.9</v>
      </c>
      <c r="F12393">
        <v>75</v>
      </c>
    </row>
    <row r="12394" spans="1:6" x14ac:dyDescent="0.35">
      <c r="A12394">
        <v>1975</v>
      </c>
      <c r="B12394" s="1">
        <v>46041</v>
      </c>
      <c r="C12394" s="2">
        <v>0.33333333333333331</v>
      </c>
      <c r="D12394">
        <v>1</v>
      </c>
      <c r="E12394">
        <v>-1.2</v>
      </c>
      <c r="F12394">
        <v>75</v>
      </c>
    </row>
    <row r="12395" spans="1:6" x14ac:dyDescent="0.35">
      <c r="A12395">
        <v>1975</v>
      </c>
      <c r="B12395" s="1">
        <v>46041</v>
      </c>
      <c r="C12395" s="2">
        <v>0.375</v>
      </c>
      <c r="D12395">
        <v>1</v>
      </c>
      <c r="E12395">
        <v>-0.4</v>
      </c>
      <c r="F12395">
        <v>70</v>
      </c>
    </row>
    <row r="12396" spans="1:6" x14ac:dyDescent="0.35">
      <c r="A12396">
        <v>1975</v>
      </c>
      <c r="B12396" s="1">
        <v>46041</v>
      </c>
      <c r="C12396" s="2">
        <v>0.41666666666666669</v>
      </c>
      <c r="D12396">
        <v>1</v>
      </c>
      <c r="E12396">
        <v>0.7</v>
      </c>
      <c r="F12396">
        <v>65</v>
      </c>
    </row>
    <row r="12397" spans="1:6" x14ac:dyDescent="0.35">
      <c r="A12397">
        <v>1975</v>
      </c>
      <c r="B12397" s="1">
        <v>46041</v>
      </c>
      <c r="C12397" s="2">
        <v>0.45833333333333331</v>
      </c>
      <c r="D12397">
        <v>1</v>
      </c>
      <c r="E12397">
        <v>1.5</v>
      </c>
      <c r="F12397">
        <v>64</v>
      </c>
    </row>
    <row r="12398" spans="1:6" x14ac:dyDescent="0.35">
      <c r="A12398">
        <v>1975</v>
      </c>
      <c r="B12398" s="1">
        <v>46041</v>
      </c>
      <c r="C12398" s="2">
        <v>0.5</v>
      </c>
      <c r="D12398">
        <v>1</v>
      </c>
      <c r="E12398">
        <v>2.4</v>
      </c>
      <c r="F12398">
        <v>61</v>
      </c>
    </row>
    <row r="12399" spans="1:6" x14ac:dyDescent="0.35">
      <c r="A12399">
        <v>1975</v>
      </c>
      <c r="B12399" s="1">
        <v>46041</v>
      </c>
      <c r="C12399" s="2">
        <v>0.54166666666666663</v>
      </c>
      <c r="D12399">
        <v>1</v>
      </c>
      <c r="E12399">
        <v>2.8</v>
      </c>
      <c r="F12399">
        <v>60</v>
      </c>
    </row>
    <row r="12400" spans="1:6" x14ac:dyDescent="0.35">
      <c r="A12400">
        <v>1975</v>
      </c>
      <c r="B12400" s="1">
        <v>46041</v>
      </c>
      <c r="C12400" s="2">
        <v>0.58333333333333337</v>
      </c>
      <c r="D12400">
        <v>1</v>
      </c>
      <c r="E12400">
        <v>2.9</v>
      </c>
      <c r="F12400">
        <v>60</v>
      </c>
    </row>
    <row r="12401" spans="1:6" x14ac:dyDescent="0.35">
      <c r="A12401">
        <v>1975</v>
      </c>
      <c r="B12401" s="1">
        <v>46041</v>
      </c>
      <c r="C12401" s="2">
        <v>0.625</v>
      </c>
      <c r="D12401">
        <v>1</v>
      </c>
      <c r="E12401">
        <v>2.8</v>
      </c>
      <c r="F12401">
        <v>60</v>
      </c>
    </row>
    <row r="12402" spans="1:6" x14ac:dyDescent="0.35">
      <c r="A12402">
        <v>1975</v>
      </c>
      <c r="B12402" s="1">
        <v>46041</v>
      </c>
      <c r="C12402" s="2">
        <v>0.66666666666666663</v>
      </c>
      <c r="D12402">
        <v>1</v>
      </c>
      <c r="E12402">
        <v>1.3</v>
      </c>
      <c r="F12402">
        <v>68</v>
      </c>
    </row>
    <row r="12403" spans="1:6" x14ac:dyDescent="0.35">
      <c r="A12403">
        <v>1975</v>
      </c>
      <c r="B12403" s="1">
        <v>46041</v>
      </c>
      <c r="C12403" s="2">
        <v>0.70833333333333337</v>
      </c>
      <c r="D12403">
        <v>1</v>
      </c>
      <c r="E12403">
        <v>0.6</v>
      </c>
      <c r="F12403">
        <v>69</v>
      </c>
    </row>
    <row r="12404" spans="1:6" x14ac:dyDescent="0.35">
      <c r="A12404">
        <v>1975</v>
      </c>
      <c r="B12404" s="1">
        <v>46041</v>
      </c>
      <c r="C12404" s="2">
        <v>0.75</v>
      </c>
      <c r="D12404">
        <v>1</v>
      </c>
      <c r="E12404">
        <v>0.3</v>
      </c>
      <c r="F12404">
        <v>71</v>
      </c>
    </row>
    <row r="12405" spans="1:6" x14ac:dyDescent="0.35">
      <c r="A12405">
        <v>1975</v>
      </c>
      <c r="B12405" s="1">
        <v>46041</v>
      </c>
      <c r="C12405" s="2">
        <v>0.79166666666666663</v>
      </c>
      <c r="D12405">
        <v>1</v>
      </c>
      <c r="E12405">
        <v>-1.1000000000000001</v>
      </c>
      <c r="F12405">
        <v>77</v>
      </c>
    </row>
    <row r="12406" spans="1:6" x14ac:dyDescent="0.35">
      <c r="A12406">
        <v>1975</v>
      </c>
      <c r="B12406" s="1">
        <v>46041</v>
      </c>
      <c r="C12406" s="2">
        <v>0.83333333333333337</v>
      </c>
      <c r="D12406">
        <v>1</v>
      </c>
      <c r="E12406">
        <v>-1.2</v>
      </c>
      <c r="F12406">
        <v>79</v>
      </c>
    </row>
    <row r="12407" spans="1:6" x14ac:dyDescent="0.35">
      <c r="A12407">
        <v>1975</v>
      </c>
      <c r="B12407" s="1">
        <v>46041</v>
      </c>
      <c r="C12407" s="2">
        <v>0.875</v>
      </c>
      <c r="D12407">
        <v>1</v>
      </c>
      <c r="E12407">
        <v>-1.7</v>
      </c>
      <c r="F12407">
        <v>81</v>
      </c>
    </row>
    <row r="12408" spans="1:6" x14ac:dyDescent="0.35">
      <c r="A12408">
        <v>1975</v>
      </c>
      <c r="B12408" s="1">
        <v>46041</v>
      </c>
      <c r="C12408" s="2">
        <v>0.91666666666666663</v>
      </c>
      <c r="D12408">
        <v>1</v>
      </c>
      <c r="E12408">
        <v>-1.6</v>
      </c>
      <c r="F12408">
        <v>81</v>
      </c>
    </row>
    <row r="12409" spans="1:6" x14ac:dyDescent="0.35">
      <c r="A12409">
        <v>1975</v>
      </c>
      <c r="B12409" s="1">
        <v>46041</v>
      </c>
      <c r="C12409" s="2">
        <v>0.95833333333333337</v>
      </c>
      <c r="D12409">
        <v>1</v>
      </c>
      <c r="E12409">
        <v>-1.6</v>
      </c>
      <c r="F12409">
        <v>82</v>
      </c>
    </row>
    <row r="12410" spans="1:6" x14ac:dyDescent="0.35">
      <c r="A12410">
        <v>1975</v>
      </c>
      <c r="B12410" s="1">
        <v>46042</v>
      </c>
      <c r="C12410" s="2">
        <v>0</v>
      </c>
      <c r="D12410">
        <v>1</v>
      </c>
      <c r="E12410">
        <v>-1.3</v>
      </c>
      <c r="F12410">
        <v>79</v>
      </c>
    </row>
    <row r="12411" spans="1:6" x14ac:dyDescent="0.35">
      <c r="A12411">
        <v>1975</v>
      </c>
      <c r="B12411" s="1">
        <v>46042</v>
      </c>
      <c r="C12411" s="2">
        <v>4.1666666666666657E-2</v>
      </c>
      <c r="D12411">
        <v>1</v>
      </c>
      <c r="E12411">
        <v>-2.4</v>
      </c>
      <c r="F12411">
        <v>82</v>
      </c>
    </row>
    <row r="12412" spans="1:6" x14ac:dyDescent="0.35">
      <c r="A12412">
        <v>1975</v>
      </c>
      <c r="B12412" s="1">
        <v>46042</v>
      </c>
      <c r="C12412" s="2">
        <v>8.3333333333333329E-2</v>
      </c>
      <c r="D12412">
        <v>1</v>
      </c>
      <c r="E12412">
        <v>-2.4</v>
      </c>
      <c r="F12412">
        <v>84</v>
      </c>
    </row>
    <row r="12413" spans="1:6" x14ac:dyDescent="0.35">
      <c r="A12413">
        <v>1975</v>
      </c>
      <c r="B12413" s="1">
        <v>46042</v>
      </c>
      <c r="C12413" s="2">
        <v>0.125</v>
      </c>
      <c r="D12413">
        <v>1</v>
      </c>
      <c r="E12413">
        <v>-2.4</v>
      </c>
      <c r="F12413">
        <v>83</v>
      </c>
    </row>
    <row r="12414" spans="1:6" x14ac:dyDescent="0.35">
      <c r="A12414">
        <v>1975</v>
      </c>
      <c r="B12414" s="1">
        <v>46042</v>
      </c>
      <c r="C12414" s="2">
        <v>0.16666666666666671</v>
      </c>
      <c r="D12414">
        <v>1</v>
      </c>
      <c r="E12414">
        <v>-3</v>
      </c>
      <c r="F12414">
        <v>85</v>
      </c>
    </row>
    <row r="12415" spans="1:6" x14ac:dyDescent="0.35">
      <c r="A12415">
        <v>1975</v>
      </c>
      <c r="B12415" s="1">
        <v>46042</v>
      </c>
      <c r="C12415" s="2">
        <v>0.20833333333333329</v>
      </c>
      <c r="D12415">
        <v>1</v>
      </c>
      <c r="E12415">
        <v>-3.4</v>
      </c>
      <c r="F12415">
        <v>84</v>
      </c>
    </row>
    <row r="12416" spans="1:6" x14ac:dyDescent="0.35">
      <c r="A12416">
        <v>1975</v>
      </c>
      <c r="B12416" s="1">
        <v>46042</v>
      </c>
      <c r="C12416" s="2">
        <v>0.25</v>
      </c>
      <c r="D12416">
        <v>1</v>
      </c>
      <c r="E12416">
        <v>-3.2</v>
      </c>
      <c r="F12416">
        <v>86</v>
      </c>
    </row>
    <row r="12417" spans="1:6" x14ac:dyDescent="0.35">
      <c r="A12417">
        <v>1975</v>
      </c>
      <c r="B12417" s="1">
        <v>46042</v>
      </c>
      <c r="C12417" s="2">
        <v>0.29166666666666669</v>
      </c>
      <c r="D12417">
        <v>1</v>
      </c>
      <c r="E12417">
        <v>-2.9</v>
      </c>
      <c r="F12417">
        <v>83</v>
      </c>
    </row>
    <row r="12418" spans="1:6" x14ac:dyDescent="0.35">
      <c r="A12418">
        <v>1975</v>
      </c>
      <c r="B12418" s="1">
        <v>46042</v>
      </c>
      <c r="C12418" s="2">
        <v>0.33333333333333331</v>
      </c>
      <c r="D12418">
        <v>1</v>
      </c>
      <c r="E12418">
        <v>-3</v>
      </c>
      <c r="F12418">
        <v>84</v>
      </c>
    </row>
    <row r="12419" spans="1:6" x14ac:dyDescent="0.35">
      <c r="A12419">
        <v>1975</v>
      </c>
      <c r="B12419" s="1">
        <v>46042</v>
      </c>
      <c r="C12419" s="2">
        <v>0.375</v>
      </c>
      <c r="D12419">
        <v>1</v>
      </c>
      <c r="E12419">
        <v>-1.7</v>
      </c>
      <c r="F12419">
        <v>81</v>
      </c>
    </row>
    <row r="12420" spans="1:6" x14ac:dyDescent="0.35">
      <c r="A12420">
        <v>1975</v>
      </c>
      <c r="B12420" s="1">
        <v>46042</v>
      </c>
      <c r="C12420" s="2">
        <v>0.41666666666666669</v>
      </c>
      <c r="D12420">
        <v>1</v>
      </c>
      <c r="E12420">
        <v>-0.1</v>
      </c>
      <c r="F12420">
        <v>76</v>
      </c>
    </row>
    <row r="12421" spans="1:6" x14ac:dyDescent="0.35">
      <c r="A12421">
        <v>1975</v>
      </c>
      <c r="B12421" s="1">
        <v>46042</v>
      </c>
      <c r="C12421" s="2">
        <v>0.45833333333333331</v>
      </c>
      <c r="D12421">
        <v>1</v>
      </c>
      <c r="E12421">
        <v>1.5</v>
      </c>
      <c r="F12421">
        <v>69</v>
      </c>
    </row>
    <row r="12422" spans="1:6" x14ac:dyDescent="0.35">
      <c r="A12422">
        <v>1975</v>
      </c>
      <c r="B12422" s="1">
        <v>46042</v>
      </c>
      <c r="C12422" s="2">
        <v>0.5</v>
      </c>
      <c r="D12422">
        <v>1</v>
      </c>
      <c r="E12422">
        <v>3</v>
      </c>
      <c r="F12422">
        <v>65</v>
      </c>
    </row>
    <row r="12423" spans="1:6" x14ac:dyDescent="0.35">
      <c r="A12423">
        <v>1975</v>
      </c>
      <c r="B12423" s="1">
        <v>46042</v>
      </c>
      <c r="C12423" s="2">
        <v>0.54166666666666663</v>
      </c>
      <c r="D12423">
        <v>1</v>
      </c>
      <c r="E12423">
        <v>3.8</v>
      </c>
      <c r="F12423">
        <v>59</v>
      </c>
    </row>
    <row r="12424" spans="1:6" x14ac:dyDescent="0.35">
      <c r="A12424">
        <v>1975</v>
      </c>
      <c r="B12424" s="1">
        <v>46042</v>
      </c>
      <c r="C12424" s="2">
        <v>0.58333333333333337</v>
      </c>
      <c r="D12424">
        <v>1</v>
      </c>
      <c r="E12424">
        <v>4.0999999999999996</v>
      </c>
      <c r="F12424">
        <v>59</v>
      </c>
    </row>
    <row r="12425" spans="1:6" x14ac:dyDescent="0.35">
      <c r="A12425">
        <v>1975</v>
      </c>
      <c r="B12425" s="1">
        <v>46042</v>
      </c>
      <c r="C12425" s="2">
        <v>0.625</v>
      </c>
      <c r="D12425">
        <v>1</v>
      </c>
      <c r="E12425">
        <v>2.5</v>
      </c>
      <c r="F12425">
        <v>66</v>
      </c>
    </row>
    <row r="12426" spans="1:6" x14ac:dyDescent="0.35">
      <c r="A12426">
        <v>1975</v>
      </c>
      <c r="B12426" s="1">
        <v>46042</v>
      </c>
      <c r="C12426" s="2">
        <v>0.66666666666666663</v>
      </c>
      <c r="D12426">
        <v>1</v>
      </c>
      <c r="E12426">
        <v>1</v>
      </c>
      <c r="F12426">
        <v>71</v>
      </c>
    </row>
    <row r="12427" spans="1:6" x14ac:dyDescent="0.35">
      <c r="A12427">
        <v>1975</v>
      </c>
      <c r="B12427" s="1">
        <v>46042</v>
      </c>
      <c r="C12427" s="2">
        <v>0.70833333333333337</v>
      </c>
      <c r="D12427">
        <v>1</v>
      </c>
      <c r="E12427">
        <v>-0.2</v>
      </c>
      <c r="F12427">
        <v>76</v>
      </c>
    </row>
    <row r="12428" spans="1:6" x14ac:dyDescent="0.35">
      <c r="A12428">
        <v>1975</v>
      </c>
      <c r="B12428" s="1">
        <v>46042</v>
      </c>
      <c r="C12428" s="2">
        <v>0.75</v>
      </c>
      <c r="D12428">
        <v>1</v>
      </c>
      <c r="E12428">
        <v>-0.2</v>
      </c>
      <c r="F12428">
        <v>77</v>
      </c>
    </row>
    <row r="12429" spans="1:6" x14ac:dyDescent="0.35">
      <c r="A12429">
        <v>1975</v>
      </c>
      <c r="B12429" s="1">
        <v>46042</v>
      </c>
      <c r="C12429" s="2">
        <v>0.79166666666666663</v>
      </c>
      <c r="D12429">
        <v>1</v>
      </c>
      <c r="E12429">
        <v>-0.7</v>
      </c>
      <c r="F12429">
        <v>77</v>
      </c>
    </row>
    <row r="12430" spans="1:6" x14ac:dyDescent="0.35">
      <c r="A12430">
        <v>1975</v>
      </c>
      <c r="B12430" s="1">
        <v>46042</v>
      </c>
      <c r="C12430" s="2">
        <v>0.83333333333333337</v>
      </c>
      <c r="D12430">
        <v>1</v>
      </c>
      <c r="E12430">
        <v>-1.6</v>
      </c>
      <c r="F12430">
        <v>80</v>
      </c>
    </row>
    <row r="12431" spans="1:6" x14ac:dyDescent="0.35">
      <c r="A12431">
        <v>1975</v>
      </c>
      <c r="B12431" s="1">
        <v>46042</v>
      </c>
      <c r="C12431" s="2">
        <v>0.875</v>
      </c>
      <c r="D12431">
        <v>1</v>
      </c>
      <c r="E12431">
        <v>-1.7</v>
      </c>
      <c r="F12431">
        <v>80</v>
      </c>
    </row>
    <row r="12432" spans="1:6" x14ac:dyDescent="0.35">
      <c r="A12432">
        <v>1975</v>
      </c>
      <c r="B12432" s="1">
        <v>46042</v>
      </c>
      <c r="C12432" s="2">
        <v>0.91666666666666663</v>
      </c>
      <c r="D12432">
        <v>1</v>
      </c>
      <c r="E12432">
        <v>-2.2999999999999998</v>
      </c>
      <c r="F12432">
        <v>80</v>
      </c>
    </row>
    <row r="12433" spans="1:6" x14ac:dyDescent="0.35">
      <c r="A12433">
        <v>1975</v>
      </c>
      <c r="B12433" s="1">
        <v>46042</v>
      </c>
      <c r="C12433" s="2">
        <v>0.95833333333333337</v>
      </c>
      <c r="D12433">
        <v>1</v>
      </c>
      <c r="E12433">
        <v>-2.4</v>
      </c>
      <c r="F12433">
        <v>80</v>
      </c>
    </row>
    <row r="12434" spans="1:6" x14ac:dyDescent="0.35">
      <c r="A12434">
        <v>1975</v>
      </c>
      <c r="B12434" s="1">
        <v>46043</v>
      </c>
      <c r="C12434" s="2">
        <v>0</v>
      </c>
      <c r="D12434">
        <v>1</v>
      </c>
      <c r="E12434">
        <v>-2.9</v>
      </c>
      <c r="F12434">
        <v>81</v>
      </c>
    </row>
    <row r="12435" spans="1:6" x14ac:dyDescent="0.35">
      <c r="A12435">
        <v>1975</v>
      </c>
      <c r="B12435" s="1">
        <v>46043</v>
      </c>
      <c r="C12435" s="2">
        <v>4.1666666666666657E-2</v>
      </c>
      <c r="D12435">
        <v>1</v>
      </c>
      <c r="E12435">
        <v>-2.9</v>
      </c>
      <c r="F12435">
        <v>81</v>
      </c>
    </row>
    <row r="12436" spans="1:6" x14ac:dyDescent="0.35">
      <c r="A12436">
        <v>1975</v>
      </c>
      <c r="B12436" s="1">
        <v>46043</v>
      </c>
      <c r="C12436" s="2">
        <v>8.3333333333333329E-2</v>
      </c>
      <c r="D12436">
        <v>1</v>
      </c>
      <c r="E12436">
        <v>-3.2</v>
      </c>
      <c r="F12436">
        <v>81</v>
      </c>
    </row>
    <row r="12437" spans="1:6" x14ac:dyDescent="0.35">
      <c r="A12437">
        <v>1975</v>
      </c>
      <c r="B12437" s="1">
        <v>46043</v>
      </c>
      <c r="C12437" s="2">
        <v>0.125</v>
      </c>
      <c r="D12437">
        <v>1</v>
      </c>
      <c r="E12437">
        <v>-4</v>
      </c>
      <c r="F12437">
        <v>83</v>
      </c>
    </row>
    <row r="12438" spans="1:6" x14ac:dyDescent="0.35">
      <c r="A12438">
        <v>1975</v>
      </c>
      <c r="B12438" s="1">
        <v>46043</v>
      </c>
      <c r="C12438" s="2">
        <v>0.16666666666666671</v>
      </c>
      <c r="D12438">
        <v>1</v>
      </c>
      <c r="E12438">
        <v>-4</v>
      </c>
      <c r="F12438">
        <v>83</v>
      </c>
    </row>
    <row r="12439" spans="1:6" x14ac:dyDescent="0.35">
      <c r="A12439">
        <v>1975</v>
      </c>
      <c r="B12439" s="1">
        <v>46043</v>
      </c>
      <c r="C12439" s="2">
        <v>0.20833333333333329</v>
      </c>
      <c r="D12439">
        <v>1</v>
      </c>
      <c r="E12439">
        <v>-3.7</v>
      </c>
      <c r="F12439">
        <v>81</v>
      </c>
    </row>
    <row r="12440" spans="1:6" x14ac:dyDescent="0.35">
      <c r="A12440">
        <v>1975</v>
      </c>
      <c r="B12440" s="1">
        <v>46043</v>
      </c>
      <c r="C12440" s="2">
        <v>0.25</v>
      </c>
      <c r="D12440">
        <v>1</v>
      </c>
      <c r="E12440">
        <v>-4.2</v>
      </c>
      <c r="F12440">
        <v>82</v>
      </c>
    </row>
    <row r="12441" spans="1:6" x14ac:dyDescent="0.35">
      <c r="A12441">
        <v>1975</v>
      </c>
      <c r="B12441" s="1">
        <v>46043</v>
      </c>
      <c r="C12441" s="2">
        <v>0.29166666666666669</v>
      </c>
      <c r="D12441">
        <v>1</v>
      </c>
      <c r="E12441">
        <v>-4</v>
      </c>
      <c r="F12441">
        <v>81</v>
      </c>
    </row>
    <row r="12442" spans="1:6" x14ac:dyDescent="0.35">
      <c r="A12442">
        <v>1975</v>
      </c>
      <c r="B12442" s="1">
        <v>46043</v>
      </c>
      <c r="C12442" s="2">
        <v>0.33333333333333331</v>
      </c>
      <c r="D12442">
        <v>1</v>
      </c>
      <c r="E12442">
        <v>-4.2</v>
      </c>
      <c r="F12442">
        <v>82</v>
      </c>
    </row>
    <row r="12443" spans="1:6" x14ac:dyDescent="0.35">
      <c r="A12443">
        <v>1975</v>
      </c>
      <c r="B12443" s="1">
        <v>46043</v>
      </c>
      <c r="C12443" s="2">
        <v>0.375</v>
      </c>
      <c r="D12443">
        <v>1</v>
      </c>
      <c r="E12443">
        <v>-3.2</v>
      </c>
      <c r="F12443">
        <v>79</v>
      </c>
    </row>
    <row r="12444" spans="1:6" x14ac:dyDescent="0.35">
      <c r="A12444">
        <v>1975</v>
      </c>
      <c r="B12444" s="1">
        <v>46043</v>
      </c>
      <c r="C12444" s="2">
        <v>0.41666666666666669</v>
      </c>
      <c r="D12444">
        <v>1</v>
      </c>
      <c r="E12444">
        <v>-2.2999999999999998</v>
      </c>
      <c r="F12444">
        <v>75</v>
      </c>
    </row>
    <row r="12445" spans="1:6" x14ac:dyDescent="0.35">
      <c r="A12445">
        <v>1975</v>
      </c>
      <c r="B12445" s="1">
        <v>46043</v>
      </c>
      <c r="C12445" s="2">
        <v>0.45833333333333331</v>
      </c>
      <c r="D12445">
        <v>1</v>
      </c>
      <c r="E12445">
        <v>-0.8</v>
      </c>
      <c r="F12445">
        <v>72</v>
      </c>
    </row>
    <row r="12446" spans="1:6" x14ac:dyDescent="0.35">
      <c r="A12446">
        <v>1975</v>
      </c>
      <c r="B12446" s="1">
        <v>46043</v>
      </c>
      <c r="C12446" s="2">
        <v>0.5</v>
      </c>
      <c r="D12446">
        <v>1</v>
      </c>
      <c r="E12446">
        <v>0.3</v>
      </c>
      <c r="F12446">
        <v>66</v>
      </c>
    </row>
    <row r="12447" spans="1:6" x14ac:dyDescent="0.35">
      <c r="A12447">
        <v>1975</v>
      </c>
      <c r="B12447" s="1">
        <v>46043</v>
      </c>
      <c r="C12447" s="2">
        <v>0.54166666666666663</v>
      </c>
      <c r="D12447">
        <v>1</v>
      </c>
      <c r="E12447">
        <v>1.5</v>
      </c>
      <c r="F12447">
        <v>65</v>
      </c>
    </row>
    <row r="12448" spans="1:6" x14ac:dyDescent="0.35">
      <c r="A12448">
        <v>1975</v>
      </c>
      <c r="B12448" s="1">
        <v>46043</v>
      </c>
      <c r="C12448" s="2">
        <v>0.58333333333333337</v>
      </c>
      <c r="D12448">
        <v>1</v>
      </c>
      <c r="E12448">
        <v>0.6</v>
      </c>
      <c r="F12448">
        <v>69</v>
      </c>
    </row>
    <row r="12449" spans="1:6" x14ac:dyDescent="0.35">
      <c r="A12449">
        <v>1975</v>
      </c>
      <c r="B12449" s="1">
        <v>46043</v>
      </c>
      <c r="C12449" s="2">
        <v>0.625</v>
      </c>
      <c r="D12449">
        <v>1</v>
      </c>
      <c r="E12449">
        <v>-0.2</v>
      </c>
      <c r="F12449">
        <v>73</v>
      </c>
    </row>
    <row r="12450" spans="1:6" x14ac:dyDescent="0.35">
      <c r="A12450">
        <v>1975</v>
      </c>
      <c r="B12450" s="1">
        <v>46043</v>
      </c>
      <c r="C12450" s="2">
        <v>0.66666666666666663</v>
      </c>
      <c r="D12450">
        <v>1</v>
      </c>
      <c r="E12450">
        <v>-1.6</v>
      </c>
      <c r="F12450">
        <v>79</v>
      </c>
    </row>
    <row r="12451" spans="1:6" x14ac:dyDescent="0.35">
      <c r="A12451">
        <v>1975</v>
      </c>
      <c r="B12451" s="1">
        <v>46043</v>
      </c>
      <c r="C12451" s="2">
        <v>0.70833333333333337</v>
      </c>
      <c r="D12451">
        <v>1</v>
      </c>
      <c r="E12451">
        <v>-1.8</v>
      </c>
      <c r="F12451">
        <v>80</v>
      </c>
    </row>
    <row r="12452" spans="1:6" x14ac:dyDescent="0.35">
      <c r="A12452">
        <v>1975</v>
      </c>
      <c r="B12452" s="1">
        <v>46043</v>
      </c>
      <c r="C12452" s="2">
        <v>0.75</v>
      </c>
      <c r="D12452">
        <v>1</v>
      </c>
      <c r="E12452">
        <v>-2.2000000000000002</v>
      </c>
      <c r="F12452">
        <v>81</v>
      </c>
    </row>
    <row r="12453" spans="1:6" x14ac:dyDescent="0.35">
      <c r="A12453">
        <v>1975</v>
      </c>
      <c r="B12453" s="1">
        <v>46043</v>
      </c>
      <c r="C12453" s="2">
        <v>0.79166666666666663</v>
      </c>
      <c r="D12453">
        <v>1</v>
      </c>
      <c r="E12453">
        <v>-2.4</v>
      </c>
      <c r="F12453">
        <v>81</v>
      </c>
    </row>
    <row r="12454" spans="1:6" x14ac:dyDescent="0.35">
      <c r="A12454">
        <v>1975</v>
      </c>
      <c r="B12454" s="1">
        <v>46043</v>
      </c>
      <c r="C12454" s="2">
        <v>0.83333333333333337</v>
      </c>
      <c r="D12454">
        <v>1</v>
      </c>
      <c r="E12454">
        <v>-3</v>
      </c>
      <c r="F12454">
        <v>84</v>
      </c>
    </row>
    <row r="12455" spans="1:6" x14ac:dyDescent="0.35">
      <c r="A12455">
        <v>1975</v>
      </c>
      <c r="B12455" s="1">
        <v>46043</v>
      </c>
      <c r="C12455" s="2">
        <v>0.875</v>
      </c>
      <c r="D12455">
        <v>1</v>
      </c>
      <c r="E12455">
        <v>-3.4</v>
      </c>
      <c r="F12455">
        <v>86</v>
      </c>
    </row>
    <row r="12456" spans="1:6" x14ac:dyDescent="0.35">
      <c r="A12456">
        <v>1975</v>
      </c>
      <c r="B12456" s="1">
        <v>46043</v>
      </c>
      <c r="C12456" s="2">
        <v>0.91666666666666663</v>
      </c>
      <c r="D12456">
        <v>1</v>
      </c>
      <c r="E12456">
        <v>-3.8</v>
      </c>
      <c r="F12456">
        <v>86</v>
      </c>
    </row>
    <row r="12457" spans="1:6" x14ac:dyDescent="0.35">
      <c r="A12457">
        <v>1975</v>
      </c>
      <c r="B12457" s="1">
        <v>46043</v>
      </c>
      <c r="C12457" s="2">
        <v>0.95833333333333337</v>
      </c>
      <c r="D12457">
        <v>1</v>
      </c>
      <c r="E12457">
        <v>-4</v>
      </c>
      <c r="F12457">
        <v>86</v>
      </c>
    </row>
    <row r="12458" spans="1:6" x14ac:dyDescent="0.35">
      <c r="A12458">
        <v>1975</v>
      </c>
      <c r="B12458" s="1">
        <v>46044</v>
      </c>
      <c r="C12458" s="2">
        <v>0</v>
      </c>
      <c r="D12458">
        <v>1</v>
      </c>
      <c r="E12458">
        <v>-3.9</v>
      </c>
      <c r="F12458">
        <v>85</v>
      </c>
    </row>
    <row r="12459" spans="1:6" x14ac:dyDescent="0.35">
      <c r="A12459">
        <v>1975</v>
      </c>
      <c r="B12459" s="1">
        <v>46044</v>
      </c>
      <c r="C12459" s="2">
        <v>4.1666666666666657E-2</v>
      </c>
      <c r="D12459">
        <v>1</v>
      </c>
      <c r="E12459">
        <v>-4.0999999999999996</v>
      </c>
      <c r="F12459">
        <v>86</v>
      </c>
    </row>
    <row r="12460" spans="1:6" x14ac:dyDescent="0.35">
      <c r="A12460">
        <v>1975</v>
      </c>
      <c r="B12460" s="1">
        <v>46044</v>
      </c>
      <c r="C12460" s="2">
        <v>8.3333333333333329E-2</v>
      </c>
      <c r="D12460">
        <v>1</v>
      </c>
      <c r="E12460">
        <v>-3.8</v>
      </c>
      <c r="F12460">
        <v>83</v>
      </c>
    </row>
    <row r="12461" spans="1:6" x14ac:dyDescent="0.35">
      <c r="A12461">
        <v>1975</v>
      </c>
      <c r="B12461" s="1">
        <v>46044</v>
      </c>
      <c r="C12461" s="2">
        <v>0.125</v>
      </c>
      <c r="D12461">
        <v>1</v>
      </c>
      <c r="E12461">
        <v>-3.8</v>
      </c>
      <c r="F12461">
        <v>80</v>
      </c>
    </row>
    <row r="12462" spans="1:6" x14ac:dyDescent="0.35">
      <c r="A12462">
        <v>1975</v>
      </c>
      <c r="B12462" s="1">
        <v>46044</v>
      </c>
      <c r="C12462" s="2">
        <v>0.16666666666666671</v>
      </c>
      <c r="D12462">
        <v>1</v>
      </c>
      <c r="E12462">
        <v>-3.8</v>
      </c>
      <c r="F12462">
        <v>82</v>
      </c>
    </row>
    <row r="12463" spans="1:6" x14ac:dyDescent="0.35">
      <c r="A12463">
        <v>1975</v>
      </c>
      <c r="B12463" s="1">
        <v>46044</v>
      </c>
      <c r="C12463" s="2">
        <v>0.20833333333333329</v>
      </c>
      <c r="D12463">
        <v>1</v>
      </c>
      <c r="E12463">
        <v>-4</v>
      </c>
      <c r="F12463">
        <v>85</v>
      </c>
    </row>
    <row r="12464" spans="1:6" x14ac:dyDescent="0.35">
      <c r="A12464">
        <v>1975</v>
      </c>
      <c r="B12464" s="1">
        <v>46044</v>
      </c>
      <c r="C12464" s="2">
        <v>0.25</v>
      </c>
      <c r="D12464">
        <v>1</v>
      </c>
      <c r="E12464">
        <v>-3.6</v>
      </c>
      <c r="F12464">
        <v>84</v>
      </c>
    </row>
    <row r="12465" spans="1:6" x14ac:dyDescent="0.35">
      <c r="A12465">
        <v>1975</v>
      </c>
      <c r="B12465" s="1">
        <v>46044</v>
      </c>
      <c r="C12465" s="2">
        <v>0.29166666666666669</v>
      </c>
      <c r="D12465">
        <v>1</v>
      </c>
      <c r="E12465">
        <v>-3.8</v>
      </c>
      <c r="F12465">
        <v>81</v>
      </c>
    </row>
    <row r="12466" spans="1:6" x14ac:dyDescent="0.35">
      <c r="A12466">
        <v>1975</v>
      </c>
      <c r="B12466" s="1">
        <v>46044</v>
      </c>
      <c r="C12466" s="2">
        <v>0.33333333333333331</v>
      </c>
      <c r="D12466">
        <v>1</v>
      </c>
      <c r="E12466">
        <v>-3.5</v>
      </c>
      <c r="F12466">
        <v>81</v>
      </c>
    </row>
    <row r="12467" spans="1:6" x14ac:dyDescent="0.35">
      <c r="A12467">
        <v>1975</v>
      </c>
      <c r="B12467" s="1">
        <v>46044</v>
      </c>
      <c r="C12467" s="2">
        <v>0.375</v>
      </c>
      <c r="D12467">
        <v>1</v>
      </c>
      <c r="E12467">
        <v>-2.6</v>
      </c>
      <c r="F12467">
        <v>80</v>
      </c>
    </row>
    <row r="12468" spans="1:6" x14ac:dyDescent="0.35">
      <c r="A12468">
        <v>1975</v>
      </c>
      <c r="B12468" s="1">
        <v>46044</v>
      </c>
      <c r="C12468" s="2">
        <v>0.41666666666666669</v>
      </c>
      <c r="D12468">
        <v>1</v>
      </c>
      <c r="E12468">
        <v>-1.5</v>
      </c>
      <c r="F12468">
        <v>76</v>
      </c>
    </row>
    <row r="12469" spans="1:6" x14ac:dyDescent="0.35">
      <c r="A12469">
        <v>1975</v>
      </c>
      <c r="B12469" s="1">
        <v>46044</v>
      </c>
      <c r="C12469" s="2">
        <v>0.45833333333333331</v>
      </c>
      <c r="D12469">
        <v>1</v>
      </c>
      <c r="E12469">
        <v>-0.7</v>
      </c>
      <c r="F12469">
        <v>72</v>
      </c>
    </row>
    <row r="12470" spans="1:6" x14ac:dyDescent="0.35">
      <c r="A12470">
        <v>1975</v>
      </c>
      <c r="B12470" s="1">
        <v>46044</v>
      </c>
      <c r="C12470" s="2">
        <v>0.5</v>
      </c>
      <c r="D12470">
        <v>1</v>
      </c>
      <c r="E12470">
        <v>-0.3</v>
      </c>
      <c r="F12470">
        <v>68</v>
      </c>
    </row>
    <row r="12471" spans="1:6" x14ac:dyDescent="0.35">
      <c r="A12471">
        <v>1975</v>
      </c>
      <c r="B12471" s="1">
        <v>46044</v>
      </c>
      <c r="C12471" s="2">
        <v>0.54166666666666663</v>
      </c>
      <c r="D12471">
        <v>1</v>
      </c>
      <c r="E12471">
        <v>-0.1</v>
      </c>
      <c r="F12471">
        <v>66</v>
      </c>
    </row>
    <row r="12472" spans="1:6" x14ac:dyDescent="0.35">
      <c r="A12472">
        <v>1975</v>
      </c>
      <c r="B12472" s="1">
        <v>46044</v>
      </c>
      <c r="C12472" s="2">
        <v>0.58333333333333337</v>
      </c>
      <c r="D12472">
        <v>1</v>
      </c>
      <c r="E12472">
        <v>0.1</v>
      </c>
      <c r="F12472">
        <v>67</v>
      </c>
    </row>
    <row r="12473" spans="1:6" x14ac:dyDescent="0.35">
      <c r="A12473">
        <v>1975</v>
      </c>
      <c r="B12473" s="1">
        <v>46044</v>
      </c>
      <c r="C12473" s="2">
        <v>0.625</v>
      </c>
      <c r="D12473">
        <v>1</v>
      </c>
      <c r="E12473">
        <v>-0.4</v>
      </c>
      <c r="F12473">
        <v>69</v>
      </c>
    </row>
    <row r="12474" spans="1:6" x14ac:dyDescent="0.35">
      <c r="A12474">
        <v>1975</v>
      </c>
      <c r="B12474" s="1">
        <v>46044</v>
      </c>
      <c r="C12474" s="2">
        <v>0.66666666666666663</v>
      </c>
      <c r="D12474">
        <v>1</v>
      </c>
      <c r="E12474">
        <v>-1.2</v>
      </c>
      <c r="F12474">
        <v>73</v>
      </c>
    </row>
    <row r="12475" spans="1:6" x14ac:dyDescent="0.35">
      <c r="A12475">
        <v>1975</v>
      </c>
      <c r="B12475" s="1">
        <v>46044</v>
      </c>
      <c r="C12475" s="2">
        <v>0.70833333333333337</v>
      </c>
      <c r="D12475">
        <v>1</v>
      </c>
      <c r="E12475">
        <v>-1.9</v>
      </c>
      <c r="F12475">
        <v>78</v>
      </c>
    </row>
    <row r="12476" spans="1:6" x14ac:dyDescent="0.35">
      <c r="A12476">
        <v>1975</v>
      </c>
      <c r="B12476" s="1">
        <v>46044</v>
      </c>
      <c r="C12476" s="2">
        <v>0.75</v>
      </c>
      <c r="D12476">
        <v>1</v>
      </c>
      <c r="E12476">
        <v>-2.6</v>
      </c>
      <c r="F12476">
        <v>82</v>
      </c>
    </row>
    <row r="12477" spans="1:6" x14ac:dyDescent="0.35">
      <c r="A12477">
        <v>1975</v>
      </c>
      <c r="B12477" s="1">
        <v>46044</v>
      </c>
      <c r="C12477" s="2">
        <v>0.79166666666666663</v>
      </c>
      <c r="D12477">
        <v>1</v>
      </c>
      <c r="E12477">
        <v>-2.7</v>
      </c>
      <c r="F12477">
        <v>84</v>
      </c>
    </row>
    <row r="12478" spans="1:6" x14ac:dyDescent="0.35">
      <c r="A12478">
        <v>1975</v>
      </c>
      <c r="B12478" s="1">
        <v>46044</v>
      </c>
      <c r="C12478" s="2">
        <v>0.83333333333333337</v>
      </c>
      <c r="D12478">
        <v>1</v>
      </c>
      <c r="E12478">
        <v>-2.8</v>
      </c>
      <c r="F12478">
        <v>86</v>
      </c>
    </row>
    <row r="12479" spans="1:6" x14ac:dyDescent="0.35">
      <c r="A12479">
        <v>1975</v>
      </c>
      <c r="B12479" s="1">
        <v>46044</v>
      </c>
      <c r="C12479" s="2">
        <v>0.875</v>
      </c>
      <c r="D12479">
        <v>1</v>
      </c>
      <c r="E12479">
        <v>-3.4</v>
      </c>
      <c r="F12479">
        <v>86</v>
      </c>
    </row>
    <row r="12480" spans="1:6" x14ac:dyDescent="0.35">
      <c r="A12480">
        <v>1975</v>
      </c>
      <c r="B12480" s="1">
        <v>46044</v>
      </c>
      <c r="C12480" s="2">
        <v>0.91666666666666663</v>
      </c>
      <c r="D12480">
        <v>1</v>
      </c>
      <c r="E12480">
        <v>-3.6</v>
      </c>
      <c r="F12480">
        <v>84</v>
      </c>
    </row>
    <row r="12481" spans="1:6" x14ac:dyDescent="0.35">
      <c r="A12481">
        <v>1975</v>
      </c>
      <c r="B12481" s="1">
        <v>46044</v>
      </c>
      <c r="C12481" s="2">
        <v>0.95833333333333337</v>
      </c>
      <c r="D12481">
        <v>1</v>
      </c>
      <c r="E12481">
        <v>-3.9</v>
      </c>
      <c r="F12481">
        <v>83</v>
      </c>
    </row>
    <row r="12482" spans="1:6" x14ac:dyDescent="0.35">
      <c r="A12482">
        <v>1975</v>
      </c>
      <c r="B12482" s="1">
        <v>46045</v>
      </c>
      <c r="C12482" s="2">
        <v>0</v>
      </c>
      <c r="D12482">
        <v>1</v>
      </c>
      <c r="E12482">
        <v>-3.8</v>
      </c>
      <c r="F12482">
        <v>81</v>
      </c>
    </row>
    <row r="12483" spans="1:6" x14ac:dyDescent="0.35">
      <c r="A12483">
        <v>1975</v>
      </c>
      <c r="B12483" s="1">
        <v>46045</v>
      </c>
      <c r="C12483" s="2">
        <v>4.1666666666666657E-2</v>
      </c>
      <c r="D12483">
        <v>1</v>
      </c>
      <c r="E12483">
        <v>-4</v>
      </c>
      <c r="F12483">
        <v>82</v>
      </c>
    </row>
    <row r="12484" spans="1:6" x14ac:dyDescent="0.35">
      <c r="A12484">
        <v>1975</v>
      </c>
      <c r="B12484" s="1">
        <v>46045</v>
      </c>
      <c r="C12484" s="2">
        <v>8.3333333333333329E-2</v>
      </c>
      <c r="D12484">
        <v>1</v>
      </c>
      <c r="E12484">
        <v>-4.2</v>
      </c>
      <c r="F12484">
        <v>82</v>
      </c>
    </row>
    <row r="12485" spans="1:6" x14ac:dyDescent="0.35">
      <c r="A12485">
        <v>1975</v>
      </c>
      <c r="B12485" s="1">
        <v>46045</v>
      </c>
      <c r="C12485" s="2">
        <v>0.125</v>
      </c>
      <c r="D12485">
        <v>1</v>
      </c>
      <c r="E12485">
        <v>-4.5</v>
      </c>
      <c r="F12485">
        <v>82</v>
      </c>
    </row>
    <row r="12486" spans="1:6" x14ac:dyDescent="0.35">
      <c r="A12486">
        <v>1975</v>
      </c>
      <c r="B12486" s="1">
        <v>46045</v>
      </c>
      <c r="C12486" s="2">
        <v>0.16666666666666671</v>
      </c>
      <c r="D12486">
        <v>1</v>
      </c>
      <c r="E12486">
        <v>-4.5</v>
      </c>
      <c r="F12486">
        <v>83</v>
      </c>
    </row>
    <row r="12487" spans="1:6" x14ac:dyDescent="0.35">
      <c r="A12487">
        <v>1975</v>
      </c>
      <c r="B12487" s="1">
        <v>46045</v>
      </c>
      <c r="C12487" s="2">
        <v>0.20833333333333329</v>
      </c>
      <c r="D12487">
        <v>1</v>
      </c>
      <c r="E12487">
        <v>-4.8</v>
      </c>
      <c r="F12487">
        <v>83</v>
      </c>
    </row>
    <row r="12488" spans="1:6" x14ac:dyDescent="0.35">
      <c r="A12488">
        <v>1975</v>
      </c>
      <c r="B12488" s="1">
        <v>46045</v>
      </c>
      <c r="C12488" s="2">
        <v>0.25</v>
      </c>
      <c r="D12488">
        <v>1</v>
      </c>
      <c r="E12488">
        <v>-4.9000000000000004</v>
      </c>
      <c r="F12488">
        <v>83</v>
      </c>
    </row>
    <row r="12489" spans="1:6" x14ac:dyDescent="0.35">
      <c r="A12489">
        <v>1975</v>
      </c>
      <c r="B12489" s="1">
        <v>46045</v>
      </c>
      <c r="C12489" s="2">
        <v>0.29166666666666669</v>
      </c>
      <c r="D12489">
        <v>1</v>
      </c>
      <c r="E12489">
        <v>-5</v>
      </c>
      <c r="F12489">
        <v>83</v>
      </c>
    </row>
    <row r="12490" spans="1:6" x14ac:dyDescent="0.35">
      <c r="A12490">
        <v>1975</v>
      </c>
      <c r="B12490" s="1">
        <v>46045</v>
      </c>
      <c r="C12490" s="2">
        <v>0.33333333333333331</v>
      </c>
      <c r="D12490">
        <v>1</v>
      </c>
      <c r="E12490">
        <v>-5.0999999999999996</v>
      </c>
      <c r="F12490">
        <v>83</v>
      </c>
    </row>
    <row r="12491" spans="1:6" x14ac:dyDescent="0.35">
      <c r="A12491">
        <v>1975</v>
      </c>
      <c r="B12491" s="1">
        <v>46045</v>
      </c>
      <c r="C12491" s="2">
        <v>0.375</v>
      </c>
      <c r="D12491">
        <v>1</v>
      </c>
      <c r="E12491">
        <v>-4.7</v>
      </c>
      <c r="F12491">
        <v>81</v>
      </c>
    </row>
    <row r="12492" spans="1:6" x14ac:dyDescent="0.35">
      <c r="A12492">
        <v>1975</v>
      </c>
      <c r="B12492" s="1">
        <v>46045</v>
      </c>
      <c r="C12492" s="2">
        <v>0.41666666666666669</v>
      </c>
      <c r="D12492">
        <v>1</v>
      </c>
      <c r="E12492">
        <v>-4</v>
      </c>
      <c r="F12492">
        <v>78</v>
      </c>
    </row>
    <row r="12493" spans="1:6" x14ac:dyDescent="0.35">
      <c r="A12493">
        <v>1975</v>
      </c>
      <c r="B12493" s="1">
        <v>46045</v>
      </c>
      <c r="C12493" s="2">
        <v>0.45833333333333331</v>
      </c>
      <c r="D12493">
        <v>1</v>
      </c>
      <c r="E12493">
        <v>-3.4</v>
      </c>
      <c r="F12493">
        <v>76</v>
      </c>
    </row>
    <row r="12494" spans="1:6" x14ac:dyDescent="0.35">
      <c r="A12494">
        <v>1975</v>
      </c>
      <c r="B12494" s="1">
        <v>46045</v>
      </c>
      <c r="C12494" s="2">
        <v>0.5</v>
      </c>
      <c r="D12494">
        <v>1</v>
      </c>
      <c r="E12494">
        <v>-3</v>
      </c>
      <c r="F12494">
        <v>76</v>
      </c>
    </row>
    <row r="12495" spans="1:6" x14ac:dyDescent="0.35">
      <c r="A12495">
        <v>1975</v>
      </c>
      <c r="B12495" s="1">
        <v>46045</v>
      </c>
      <c r="C12495" s="2">
        <v>0.54166666666666663</v>
      </c>
      <c r="D12495">
        <v>1</v>
      </c>
      <c r="E12495">
        <v>-2.5</v>
      </c>
      <c r="F12495">
        <v>74</v>
      </c>
    </row>
    <row r="12496" spans="1:6" x14ac:dyDescent="0.35">
      <c r="A12496">
        <v>1975</v>
      </c>
      <c r="B12496" s="1">
        <v>46045</v>
      </c>
      <c r="C12496" s="2">
        <v>0.58333333333333337</v>
      </c>
      <c r="D12496">
        <v>1</v>
      </c>
      <c r="E12496">
        <v>-2.2999999999999998</v>
      </c>
      <c r="F12496">
        <v>74</v>
      </c>
    </row>
    <row r="12497" spans="1:6" x14ac:dyDescent="0.35">
      <c r="A12497">
        <v>1975</v>
      </c>
      <c r="B12497" s="1">
        <v>46045</v>
      </c>
      <c r="C12497" s="2">
        <v>0.625</v>
      </c>
      <c r="D12497">
        <v>1</v>
      </c>
      <c r="E12497">
        <v>-2.5</v>
      </c>
      <c r="F12497">
        <v>74</v>
      </c>
    </row>
    <row r="12498" spans="1:6" x14ac:dyDescent="0.35">
      <c r="A12498">
        <v>1975</v>
      </c>
      <c r="B12498" s="1">
        <v>46045</v>
      </c>
      <c r="C12498" s="2">
        <v>0.66666666666666663</v>
      </c>
      <c r="D12498">
        <v>1</v>
      </c>
      <c r="E12498">
        <v>-2.5</v>
      </c>
      <c r="F12498">
        <v>75</v>
      </c>
    </row>
    <row r="12499" spans="1:6" x14ac:dyDescent="0.35">
      <c r="A12499">
        <v>1975</v>
      </c>
      <c r="B12499" s="1">
        <v>46045</v>
      </c>
      <c r="C12499" s="2">
        <v>0.70833333333333337</v>
      </c>
      <c r="D12499">
        <v>1</v>
      </c>
      <c r="E12499">
        <v>-2.9</v>
      </c>
      <c r="F12499">
        <v>75</v>
      </c>
    </row>
    <row r="12500" spans="1:6" x14ac:dyDescent="0.35">
      <c r="A12500">
        <v>1975</v>
      </c>
      <c r="B12500" s="1">
        <v>46045</v>
      </c>
      <c r="C12500" s="2">
        <v>0.75</v>
      </c>
      <c r="D12500">
        <v>1</v>
      </c>
      <c r="E12500">
        <v>-4</v>
      </c>
      <c r="F12500">
        <v>76</v>
      </c>
    </row>
    <row r="12501" spans="1:6" x14ac:dyDescent="0.35">
      <c r="A12501">
        <v>1975</v>
      </c>
      <c r="B12501" s="1">
        <v>46045</v>
      </c>
      <c r="C12501" s="2">
        <v>0.79166666666666663</v>
      </c>
      <c r="D12501">
        <v>1</v>
      </c>
      <c r="E12501">
        <v>-5.5</v>
      </c>
      <c r="F12501">
        <v>80</v>
      </c>
    </row>
    <row r="12502" spans="1:6" x14ac:dyDescent="0.35">
      <c r="A12502">
        <v>1975</v>
      </c>
      <c r="B12502" s="1">
        <v>46045</v>
      </c>
      <c r="C12502" s="2">
        <v>0.83333333333333337</v>
      </c>
      <c r="D12502">
        <v>1</v>
      </c>
      <c r="E12502">
        <v>-5.6</v>
      </c>
      <c r="F12502">
        <v>80</v>
      </c>
    </row>
    <row r="12503" spans="1:6" x14ac:dyDescent="0.35">
      <c r="A12503">
        <v>1975</v>
      </c>
      <c r="B12503" s="1">
        <v>46045</v>
      </c>
      <c r="C12503" s="2">
        <v>0.875</v>
      </c>
      <c r="D12503">
        <v>1</v>
      </c>
      <c r="E12503">
        <v>-5.4</v>
      </c>
      <c r="F12503">
        <v>80</v>
      </c>
    </row>
    <row r="12504" spans="1:6" x14ac:dyDescent="0.35">
      <c r="A12504">
        <v>1975</v>
      </c>
      <c r="B12504" s="1">
        <v>46045</v>
      </c>
      <c r="C12504" s="2">
        <v>0.91666666666666663</v>
      </c>
      <c r="D12504">
        <v>1</v>
      </c>
      <c r="E12504">
        <v>-5.0999999999999996</v>
      </c>
      <c r="F12504">
        <v>80</v>
      </c>
    </row>
    <row r="12505" spans="1:6" x14ac:dyDescent="0.35">
      <c r="A12505">
        <v>1975</v>
      </c>
      <c r="B12505" s="1">
        <v>46045</v>
      </c>
      <c r="C12505" s="2">
        <v>0.95833333333333337</v>
      </c>
      <c r="D12505">
        <v>1</v>
      </c>
      <c r="E12505">
        <v>-5.3</v>
      </c>
      <c r="F12505">
        <v>80</v>
      </c>
    </row>
    <row r="12506" spans="1:6" x14ac:dyDescent="0.35">
      <c r="A12506">
        <v>1975</v>
      </c>
      <c r="B12506" s="1">
        <v>46046</v>
      </c>
      <c r="C12506" s="2">
        <v>0</v>
      </c>
      <c r="D12506">
        <v>1</v>
      </c>
      <c r="E12506">
        <v>-4.8</v>
      </c>
      <c r="F12506">
        <v>80</v>
      </c>
    </row>
    <row r="12507" spans="1:6" x14ac:dyDescent="0.35">
      <c r="A12507">
        <v>1975</v>
      </c>
      <c r="B12507" s="1">
        <v>46046</v>
      </c>
      <c r="C12507" s="2">
        <v>4.1666666666666657E-2</v>
      </c>
      <c r="D12507">
        <v>1</v>
      </c>
      <c r="E12507">
        <v>-4.5999999999999996</v>
      </c>
      <c r="F12507">
        <v>80</v>
      </c>
    </row>
    <row r="12508" spans="1:6" x14ac:dyDescent="0.35">
      <c r="A12508">
        <v>1975</v>
      </c>
      <c r="B12508" s="1">
        <v>46046</v>
      </c>
      <c r="C12508" s="2">
        <v>8.3333333333333329E-2</v>
      </c>
      <c r="D12508">
        <v>1</v>
      </c>
      <c r="E12508">
        <v>-4.4000000000000004</v>
      </c>
      <c r="F12508">
        <v>80</v>
      </c>
    </row>
    <row r="12509" spans="1:6" x14ac:dyDescent="0.35">
      <c r="A12509">
        <v>1975</v>
      </c>
      <c r="B12509" s="1">
        <v>46046</v>
      </c>
      <c r="C12509" s="2">
        <v>0.125</v>
      </c>
      <c r="D12509">
        <v>1</v>
      </c>
      <c r="E12509">
        <v>-4.2</v>
      </c>
      <c r="F12509">
        <v>80</v>
      </c>
    </row>
    <row r="12510" spans="1:6" x14ac:dyDescent="0.35">
      <c r="A12510">
        <v>1975</v>
      </c>
      <c r="B12510" s="1">
        <v>46046</v>
      </c>
      <c r="C12510" s="2">
        <v>0.16666666666666671</v>
      </c>
      <c r="D12510">
        <v>1</v>
      </c>
      <c r="E12510">
        <v>-4.0999999999999996</v>
      </c>
      <c r="F12510">
        <v>80</v>
      </c>
    </row>
    <row r="12511" spans="1:6" x14ac:dyDescent="0.35">
      <c r="A12511">
        <v>1975</v>
      </c>
      <c r="B12511" s="1">
        <v>46046</v>
      </c>
      <c r="C12511" s="2">
        <v>0.20833333333333329</v>
      </c>
      <c r="D12511">
        <v>1</v>
      </c>
      <c r="E12511">
        <v>-3.9</v>
      </c>
      <c r="F12511">
        <v>80</v>
      </c>
    </row>
    <row r="12512" spans="1:6" x14ac:dyDescent="0.35">
      <c r="A12512">
        <v>1975</v>
      </c>
      <c r="B12512" s="1">
        <v>46046</v>
      </c>
      <c r="C12512" s="2">
        <v>0.25</v>
      </c>
      <c r="D12512">
        <v>1</v>
      </c>
      <c r="E12512">
        <v>-3.6</v>
      </c>
      <c r="F12512">
        <v>81</v>
      </c>
    </row>
    <row r="12513" spans="1:6" x14ac:dyDescent="0.35">
      <c r="A12513">
        <v>1975</v>
      </c>
      <c r="B12513" s="1">
        <v>46046</v>
      </c>
      <c r="C12513" s="2">
        <v>0.29166666666666669</v>
      </c>
      <c r="D12513">
        <v>1</v>
      </c>
      <c r="E12513">
        <v>-3.4</v>
      </c>
      <c r="F12513">
        <v>80</v>
      </c>
    </row>
    <row r="12514" spans="1:6" x14ac:dyDescent="0.35">
      <c r="A12514">
        <v>1975</v>
      </c>
      <c r="B12514" s="1">
        <v>46046</v>
      </c>
      <c r="C12514" s="2">
        <v>0.33333333333333331</v>
      </c>
      <c r="D12514">
        <v>1</v>
      </c>
      <c r="E12514">
        <v>-3.2</v>
      </c>
      <c r="F12514">
        <v>81</v>
      </c>
    </row>
    <row r="12515" spans="1:6" x14ac:dyDescent="0.35">
      <c r="A12515">
        <v>1975</v>
      </c>
      <c r="B12515" s="1">
        <v>46046</v>
      </c>
      <c r="C12515" s="2">
        <v>0.375</v>
      </c>
      <c r="D12515">
        <v>1</v>
      </c>
      <c r="E12515">
        <v>-3</v>
      </c>
      <c r="F12515">
        <v>81</v>
      </c>
    </row>
    <row r="12516" spans="1:6" x14ac:dyDescent="0.35">
      <c r="A12516">
        <v>1975</v>
      </c>
      <c r="B12516" s="1">
        <v>46046</v>
      </c>
      <c r="C12516" s="2">
        <v>0.41666666666666669</v>
      </c>
      <c r="D12516">
        <v>1</v>
      </c>
      <c r="E12516">
        <v>-2.5</v>
      </c>
      <c r="F12516">
        <v>79</v>
      </c>
    </row>
    <row r="12517" spans="1:6" x14ac:dyDescent="0.35">
      <c r="A12517">
        <v>1975</v>
      </c>
      <c r="B12517" s="1">
        <v>46046</v>
      </c>
      <c r="C12517" s="2">
        <v>0.45833333333333331</v>
      </c>
      <c r="D12517">
        <v>1</v>
      </c>
      <c r="E12517">
        <v>-2.1</v>
      </c>
      <c r="F12517">
        <v>77</v>
      </c>
    </row>
    <row r="12518" spans="1:6" x14ac:dyDescent="0.35">
      <c r="A12518">
        <v>1975</v>
      </c>
      <c r="B12518" s="1">
        <v>46046</v>
      </c>
      <c r="C12518" s="2">
        <v>0.5</v>
      </c>
      <c r="D12518">
        <v>1</v>
      </c>
      <c r="E12518">
        <v>-2.2999999999999998</v>
      </c>
      <c r="F12518">
        <v>77</v>
      </c>
    </row>
    <row r="12519" spans="1:6" x14ac:dyDescent="0.35">
      <c r="A12519">
        <v>1975</v>
      </c>
      <c r="B12519" s="1">
        <v>46046</v>
      </c>
      <c r="C12519" s="2">
        <v>0.54166666666666663</v>
      </c>
      <c r="D12519">
        <v>1</v>
      </c>
      <c r="E12519">
        <v>-2</v>
      </c>
      <c r="F12519">
        <v>76</v>
      </c>
    </row>
    <row r="12520" spans="1:6" x14ac:dyDescent="0.35">
      <c r="A12520">
        <v>1975</v>
      </c>
      <c r="B12520" s="1">
        <v>46046</v>
      </c>
      <c r="C12520" s="2">
        <v>0.58333333333333337</v>
      </c>
      <c r="D12520">
        <v>1</v>
      </c>
      <c r="E12520">
        <v>-2.1</v>
      </c>
      <c r="F12520">
        <v>77</v>
      </c>
    </row>
    <row r="12521" spans="1:6" x14ac:dyDescent="0.35">
      <c r="A12521">
        <v>1975</v>
      </c>
      <c r="B12521" s="1">
        <v>46046</v>
      </c>
      <c r="C12521" s="2">
        <v>0.625</v>
      </c>
      <c r="D12521">
        <v>1</v>
      </c>
      <c r="E12521">
        <v>-2.2000000000000002</v>
      </c>
      <c r="F12521">
        <v>77</v>
      </c>
    </row>
    <row r="12522" spans="1:6" x14ac:dyDescent="0.35">
      <c r="A12522">
        <v>1975</v>
      </c>
      <c r="B12522" s="1">
        <v>46046</v>
      </c>
      <c r="C12522" s="2">
        <v>0.66666666666666663</v>
      </c>
      <c r="D12522">
        <v>1</v>
      </c>
      <c r="E12522">
        <v>-2.4</v>
      </c>
      <c r="F12522">
        <v>79</v>
      </c>
    </row>
    <row r="12523" spans="1:6" x14ac:dyDescent="0.35">
      <c r="A12523">
        <v>1975</v>
      </c>
      <c r="B12523" s="1">
        <v>46046</v>
      </c>
      <c r="C12523" s="2">
        <v>0.70833333333333337</v>
      </c>
      <c r="D12523">
        <v>1</v>
      </c>
      <c r="E12523">
        <v>-2.4</v>
      </c>
      <c r="F12523">
        <v>80</v>
      </c>
    </row>
    <row r="12524" spans="1:6" x14ac:dyDescent="0.35">
      <c r="A12524">
        <v>1975</v>
      </c>
      <c r="B12524" s="1">
        <v>46046</v>
      </c>
      <c r="C12524" s="2">
        <v>0.75</v>
      </c>
      <c r="D12524">
        <v>1</v>
      </c>
      <c r="E12524">
        <v>-2.4</v>
      </c>
      <c r="F12524">
        <v>81</v>
      </c>
    </row>
    <row r="12525" spans="1:6" x14ac:dyDescent="0.35">
      <c r="A12525">
        <v>1975</v>
      </c>
      <c r="B12525" s="1">
        <v>46046</v>
      </c>
      <c r="C12525" s="2">
        <v>0.79166666666666663</v>
      </c>
      <c r="D12525">
        <v>1</v>
      </c>
      <c r="E12525">
        <v>-2.2000000000000002</v>
      </c>
      <c r="F12525">
        <v>81</v>
      </c>
    </row>
    <row r="12526" spans="1:6" x14ac:dyDescent="0.35">
      <c r="A12526">
        <v>1975</v>
      </c>
      <c r="B12526" s="1">
        <v>46046</v>
      </c>
      <c r="C12526" s="2">
        <v>0.83333333333333337</v>
      </c>
      <c r="D12526">
        <v>1</v>
      </c>
      <c r="E12526">
        <v>-2.1</v>
      </c>
      <c r="F12526">
        <v>81</v>
      </c>
    </row>
    <row r="12527" spans="1:6" x14ac:dyDescent="0.35">
      <c r="A12527">
        <v>1975</v>
      </c>
      <c r="B12527" s="1">
        <v>46046</v>
      </c>
      <c r="C12527" s="2">
        <v>0.875</v>
      </c>
      <c r="D12527">
        <v>1</v>
      </c>
      <c r="E12527">
        <v>-2.1</v>
      </c>
      <c r="F12527">
        <v>83</v>
      </c>
    </row>
    <row r="12528" spans="1:6" x14ac:dyDescent="0.35">
      <c r="A12528">
        <v>1975</v>
      </c>
      <c r="B12528" s="1">
        <v>46046</v>
      </c>
      <c r="C12528" s="2">
        <v>0.91666666666666663</v>
      </c>
      <c r="D12528">
        <v>1</v>
      </c>
      <c r="E12528">
        <v>-2.2000000000000002</v>
      </c>
      <c r="F12528">
        <v>85</v>
      </c>
    </row>
    <row r="12529" spans="1:6" x14ac:dyDescent="0.35">
      <c r="A12529">
        <v>1975</v>
      </c>
      <c r="B12529" s="1">
        <v>46046</v>
      </c>
      <c r="C12529" s="2">
        <v>0.95833333333333337</v>
      </c>
      <c r="D12529">
        <v>1</v>
      </c>
      <c r="E12529">
        <v>-2.2000000000000002</v>
      </c>
      <c r="F12529">
        <v>88</v>
      </c>
    </row>
    <row r="12530" spans="1:6" x14ac:dyDescent="0.35">
      <c r="A12530">
        <v>1975</v>
      </c>
      <c r="B12530" s="1">
        <v>46047</v>
      </c>
      <c r="C12530" s="2">
        <v>0</v>
      </c>
      <c r="D12530">
        <v>1</v>
      </c>
      <c r="E12530">
        <v>-2</v>
      </c>
      <c r="F12530">
        <v>87</v>
      </c>
    </row>
    <row r="12531" spans="1:6" x14ac:dyDescent="0.35">
      <c r="A12531">
        <v>1975</v>
      </c>
      <c r="B12531" s="1">
        <v>46047</v>
      </c>
      <c r="C12531" s="2">
        <v>4.1666666666666657E-2</v>
      </c>
      <c r="D12531">
        <v>1</v>
      </c>
      <c r="E12531">
        <v>-2.1</v>
      </c>
      <c r="F12531">
        <v>88</v>
      </c>
    </row>
    <row r="12532" spans="1:6" x14ac:dyDescent="0.35">
      <c r="A12532">
        <v>1975</v>
      </c>
      <c r="B12532" s="1">
        <v>46047</v>
      </c>
      <c r="C12532" s="2">
        <v>8.3333333333333329E-2</v>
      </c>
      <c r="D12532">
        <v>1</v>
      </c>
      <c r="E12532">
        <v>-2</v>
      </c>
      <c r="F12532">
        <v>88</v>
      </c>
    </row>
    <row r="12533" spans="1:6" x14ac:dyDescent="0.35">
      <c r="A12533">
        <v>1975</v>
      </c>
      <c r="B12533" s="1">
        <v>46047</v>
      </c>
      <c r="C12533" s="2">
        <v>0.125</v>
      </c>
      <c r="D12533">
        <v>1</v>
      </c>
      <c r="E12533">
        <v>-2.1</v>
      </c>
      <c r="F12533">
        <v>87</v>
      </c>
    </row>
    <row r="12534" spans="1:6" x14ac:dyDescent="0.35">
      <c r="A12534">
        <v>1975</v>
      </c>
      <c r="B12534" s="1">
        <v>46047</v>
      </c>
      <c r="C12534" s="2">
        <v>0.16666666666666671</v>
      </c>
      <c r="D12534">
        <v>1</v>
      </c>
      <c r="E12534">
        <v>-2.1</v>
      </c>
      <c r="F12534">
        <v>88</v>
      </c>
    </row>
    <row r="12535" spans="1:6" x14ac:dyDescent="0.35">
      <c r="A12535">
        <v>1975</v>
      </c>
      <c r="B12535" s="1">
        <v>46047</v>
      </c>
      <c r="C12535" s="2">
        <v>0.20833333333333329</v>
      </c>
      <c r="D12535">
        <v>1</v>
      </c>
      <c r="E12535">
        <v>-2.1</v>
      </c>
      <c r="F12535">
        <v>88</v>
      </c>
    </row>
    <row r="12536" spans="1:6" x14ac:dyDescent="0.35">
      <c r="A12536">
        <v>1975</v>
      </c>
      <c r="B12536" s="1">
        <v>46047</v>
      </c>
      <c r="C12536" s="2">
        <v>0.25</v>
      </c>
      <c r="D12536">
        <v>1</v>
      </c>
      <c r="E12536">
        <v>-2.2000000000000002</v>
      </c>
      <c r="F12536">
        <v>88</v>
      </c>
    </row>
    <row r="12537" spans="1:6" x14ac:dyDescent="0.35">
      <c r="A12537">
        <v>1975</v>
      </c>
      <c r="B12537" s="1">
        <v>46047</v>
      </c>
      <c r="C12537" s="2">
        <v>0.29166666666666669</v>
      </c>
      <c r="D12537">
        <v>1</v>
      </c>
      <c r="E12537">
        <v>-2.2999999999999998</v>
      </c>
      <c r="F12537">
        <v>88</v>
      </c>
    </row>
    <row r="12538" spans="1:6" x14ac:dyDescent="0.35">
      <c r="A12538">
        <v>1975</v>
      </c>
      <c r="B12538" s="1">
        <v>46047</v>
      </c>
      <c r="C12538" s="2">
        <v>0.33333333333333331</v>
      </c>
      <c r="D12538">
        <v>1</v>
      </c>
      <c r="E12538">
        <v>-2.1</v>
      </c>
      <c r="F12538">
        <v>87</v>
      </c>
    </row>
    <row r="12539" spans="1:6" x14ac:dyDescent="0.35">
      <c r="A12539">
        <v>1975</v>
      </c>
      <c r="B12539" s="1">
        <v>46047</v>
      </c>
      <c r="C12539" s="2">
        <v>0.375</v>
      </c>
      <c r="D12539">
        <v>1</v>
      </c>
      <c r="E12539">
        <v>-2</v>
      </c>
      <c r="F12539">
        <v>87</v>
      </c>
    </row>
    <row r="12540" spans="1:6" x14ac:dyDescent="0.35">
      <c r="A12540">
        <v>1975</v>
      </c>
      <c r="B12540" s="1">
        <v>46047</v>
      </c>
      <c r="C12540" s="2">
        <v>0.41666666666666669</v>
      </c>
      <c r="D12540">
        <v>1</v>
      </c>
      <c r="E12540">
        <v>-1.9</v>
      </c>
      <c r="F12540">
        <v>85</v>
      </c>
    </row>
    <row r="12541" spans="1:6" x14ac:dyDescent="0.35">
      <c r="A12541">
        <v>1975</v>
      </c>
      <c r="B12541" s="1">
        <v>46047</v>
      </c>
      <c r="C12541" s="2">
        <v>0.45833333333333331</v>
      </c>
      <c r="D12541">
        <v>1</v>
      </c>
      <c r="E12541">
        <v>-1.7</v>
      </c>
      <c r="F12541">
        <v>85</v>
      </c>
    </row>
    <row r="12542" spans="1:6" x14ac:dyDescent="0.35">
      <c r="A12542">
        <v>1975</v>
      </c>
      <c r="B12542" s="1">
        <v>46047</v>
      </c>
      <c r="C12542" s="2">
        <v>0.5</v>
      </c>
      <c r="D12542">
        <v>1</v>
      </c>
      <c r="E12542">
        <v>-1.6</v>
      </c>
      <c r="F12542">
        <v>85</v>
      </c>
    </row>
    <row r="12543" spans="1:6" x14ac:dyDescent="0.35">
      <c r="A12543">
        <v>1975</v>
      </c>
      <c r="B12543" s="1">
        <v>46047</v>
      </c>
      <c r="C12543" s="2">
        <v>0.54166666666666663</v>
      </c>
      <c r="D12543">
        <v>1</v>
      </c>
      <c r="E12543">
        <v>-1.4</v>
      </c>
      <c r="F12543">
        <v>86</v>
      </c>
    </row>
    <row r="12544" spans="1:6" x14ac:dyDescent="0.35">
      <c r="A12544">
        <v>1975</v>
      </c>
      <c r="B12544" s="1">
        <v>46047</v>
      </c>
      <c r="C12544" s="2">
        <v>0.58333333333333337</v>
      </c>
      <c r="D12544">
        <v>1</v>
      </c>
      <c r="E12544">
        <v>-1.2</v>
      </c>
      <c r="F12544">
        <v>86</v>
      </c>
    </row>
    <row r="12545" spans="1:6" x14ac:dyDescent="0.35">
      <c r="A12545">
        <v>1975</v>
      </c>
      <c r="B12545" s="1">
        <v>46047</v>
      </c>
      <c r="C12545" s="2">
        <v>0.625</v>
      </c>
      <c r="D12545">
        <v>1</v>
      </c>
      <c r="E12545">
        <v>-1.1000000000000001</v>
      </c>
      <c r="F12545">
        <v>86</v>
      </c>
    </row>
    <row r="12546" spans="1:6" x14ac:dyDescent="0.35">
      <c r="A12546">
        <v>1975</v>
      </c>
      <c r="B12546" s="1">
        <v>46047</v>
      </c>
      <c r="C12546" s="2">
        <v>0.66666666666666663</v>
      </c>
      <c r="D12546">
        <v>1</v>
      </c>
      <c r="E12546">
        <v>-1.2</v>
      </c>
      <c r="F12546">
        <v>86</v>
      </c>
    </row>
    <row r="12547" spans="1:6" x14ac:dyDescent="0.35">
      <c r="A12547">
        <v>1975</v>
      </c>
      <c r="B12547" s="1">
        <v>46047</v>
      </c>
      <c r="C12547" s="2">
        <v>0.70833333333333337</v>
      </c>
      <c r="D12547">
        <v>1</v>
      </c>
      <c r="E12547">
        <v>-1.2</v>
      </c>
      <c r="F12547">
        <v>87</v>
      </c>
    </row>
    <row r="12548" spans="1:6" x14ac:dyDescent="0.35">
      <c r="A12548">
        <v>1975</v>
      </c>
      <c r="B12548" s="1">
        <v>46047</v>
      </c>
      <c r="C12548" s="2">
        <v>0.75</v>
      </c>
      <c r="D12548">
        <v>1</v>
      </c>
      <c r="E12548">
        <v>-1.4</v>
      </c>
      <c r="F12548">
        <v>89</v>
      </c>
    </row>
    <row r="12549" spans="1:6" x14ac:dyDescent="0.35">
      <c r="A12549">
        <v>1975</v>
      </c>
      <c r="B12549" s="1">
        <v>46047</v>
      </c>
      <c r="C12549" s="2">
        <v>0.79166666666666663</v>
      </c>
      <c r="D12549">
        <v>1</v>
      </c>
      <c r="E12549">
        <v>-1.5</v>
      </c>
      <c r="F12549">
        <v>89</v>
      </c>
    </row>
    <row r="12550" spans="1:6" x14ac:dyDescent="0.35">
      <c r="A12550">
        <v>1975</v>
      </c>
      <c r="B12550" s="1">
        <v>46047</v>
      </c>
      <c r="C12550" s="2">
        <v>0.83333333333333337</v>
      </c>
      <c r="D12550">
        <v>1</v>
      </c>
      <c r="E12550">
        <v>-1.5</v>
      </c>
      <c r="F12550">
        <v>90</v>
      </c>
    </row>
    <row r="12551" spans="1:6" x14ac:dyDescent="0.35">
      <c r="A12551">
        <v>1975</v>
      </c>
      <c r="B12551" s="1">
        <v>46047</v>
      </c>
      <c r="C12551" s="2">
        <v>0.875</v>
      </c>
      <c r="D12551">
        <v>1</v>
      </c>
      <c r="E12551">
        <v>-1.3</v>
      </c>
      <c r="F12551">
        <v>90</v>
      </c>
    </row>
    <row r="12552" spans="1:6" x14ac:dyDescent="0.35">
      <c r="A12552">
        <v>1975</v>
      </c>
      <c r="B12552" s="1">
        <v>46047</v>
      </c>
      <c r="C12552" s="2">
        <v>0.91666666666666663</v>
      </c>
      <c r="D12552">
        <v>1</v>
      </c>
      <c r="E12552">
        <v>-1.2</v>
      </c>
      <c r="F12552">
        <v>94</v>
      </c>
    </row>
    <row r="12553" spans="1:6" x14ac:dyDescent="0.35">
      <c r="A12553">
        <v>1975</v>
      </c>
      <c r="B12553" s="1">
        <v>46047</v>
      </c>
      <c r="C12553" s="2">
        <v>0.95833333333333337</v>
      </c>
      <c r="D12553">
        <v>1</v>
      </c>
      <c r="E12553">
        <v>-1</v>
      </c>
      <c r="F12553">
        <v>91</v>
      </c>
    </row>
    <row r="12554" spans="1:6" x14ac:dyDescent="0.35">
      <c r="A12554">
        <v>1975</v>
      </c>
      <c r="B12554" s="1">
        <v>46048</v>
      </c>
      <c r="C12554" s="2">
        <v>0</v>
      </c>
      <c r="D12554">
        <v>1</v>
      </c>
      <c r="E12554">
        <v>-0.9</v>
      </c>
      <c r="F12554">
        <v>90</v>
      </c>
    </row>
    <row r="12555" spans="1:6" x14ac:dyDescent="0.35">
      <c r="A12555">
        <v>1975</v>
      </c>
      <c r="B12555" s="1">
        <v>46048</v>
      </c>
      <c r="C12555" s="2">
        <v>4.1666666666666657E-2</v>
      </c>
      <c r="D12555">
        <v>1</v>
      </c>
      <c r="E12555">
        <v>-0.6</v>
      </c>
      <c r="F12555">
        <v>95</v>
      </c>
    </row>
    <row r="12556" spans="1:6" x14ac:dyDescent="0.35">
      <c r="A12556">
        <v>1975</v>
      </c>
      <c r="B12556" s="1">
        <v>46048</v>
      </c>
      <c r="C12556" s="2">
        <v>8.3333333333333329E-2</v>
      </c>
      <c r="D12556">
        <v>1</v>
      </c>
      <c r="E12556">
        <v>-0.1</v>
      </c>
      <c r="F12556">
        <v>95</v>
      </c>
    </row>
    <row r="12557" spans="1:6" x14ac:dyDescent="0.35">
      <c r="A12557">
        <v>1975</v>
      </c>
      <c r="B12557" s="1">
        <v>46048</v>
      </c>
      <c r="C12557" s="2">
        <v>0.125</v>
      </c>
      <c r="D12557">
        <v>1</v>
      </c>
      <c r="E12557">
        <v>0.4</v>
      </c>
      <c r="F12557">
        <v>96</v>
      </c>
    </row>
    <row r="12558" spans="1:6" x14ac:dyDescent="0.35">
      <c r="A12558">
        <v>1975</v>
      </c>
      <c r="B12558" s="1">
        <v>46048</v>
      </c>
      <c r="C12558" s="2">
        <v>0.16666666666666671</v>
      </c>
      <c r="D12558">
        <v>1</v>
      </c>
      <c r="E12558">
        <v>0.7</v>
      </c>
      <c r="F12558">
        <v>94</v>
      </c>
    </row>
    <row r="12559" spans="1:6" x14ac:dyDescent="0.35">
      <c r="A12559">
        <v>1975</v>
      </c>
      <c r="B12559" s="1">
        <v>46048</v>
      </c>
      <c r="C12559" s="2">
        <v>0.20833333333333329</v>
      </c>
      <c r="D12559">
        <v>1</v>
      </c>
      <c r="E12559">
        <v>0.7</v>
      </c>
      <c r="F12559">
        <v>94</v>
      </c>
    </row>
    <row r="12560" spans="1:6" x14ac:dyDescent="0.35">
      <c r="A12560">
        <v>1975</v>
      </c>
      <c r="B12560" s="1">
        <v>46048</v>
      </c>
      <c r="C12560" s="2">
        <v>0.25</v>
      </c>
      <c r="D12560">
        <v>1</v>
      </c>
      <c r="E12560">
        <v>0.6</v>
      </c>
      <c r="F12560">
        <v>96</v>
      </c>
    </row>
    <row r="12561" spans="1:6" x14ac:dyDescent="0.35">
      <c r="A12561">
        <v>1975</v>
      </c>
      <c r="B12561" s="1">
        <v>46048</v>
      </c>
      <c r="C12561" s="2">
        <v>0.29166666666666669</v>
      </c>
      <c r="D12561">
        <v>1</v>
      </c>
      <c r="E12561">
        <v>0.6</v>
      </c>
      <c r="F12561">
        <v>97</v>
      </c>
    </row>
    <row r="12562" spans="1:6" x14ac:dyDescent="0.35">
      <c r="A12562">
        <v>1975</v>
      </c>
      <c r="B12562" s="1">
        <v>46048</v>
      </c>
      <c r="C12562" s="2">
        <v>0.33333333333333331</v>
      </c>
      <c r="D12562">
        <v>1</v>
      </c>
      <c r="E12562">
        <v>0.7</v>
      </c>
      <c r="F12562">
        <v>97</v>
      </c>
    </row>
    <row r="12563" spans="1:6" x14ac:dyDescent="0.35">
      <c r="A12563">
        <v>1975</v>
      </c>
      <c r="B12563" s="1">
        <v>46048</v>
      </c>
      <c r="C12563" s="2">
        <v>0.375</v>
      </c>
      <c r="D12563">
        <v>1</v>
      </c>
      <c r="E12563">
        <v>0.7</v>
      </c>
      <c r="F12563">
        <v>96</v>
      </c>
    </row>
    <row r="12564" spans="1:6" x14ac:dyDescent="0.35">
      <c r="A12564">
        <v>1975</v>
      </c>
      <c r="B12564" s="1">
        <v>46048</v>
      </c>
      <c r="C12564" s="2">
        <v>0.41666666666666669</v>
      </c>
      <c r="D12564">
        <v>1</v>
      </c>
      <c r="E12564">
        <v>0.9</v>
      </c>
      <c r="F12564">
        <v>95</v>
      </c>
    </row>
    <row r="12565" spans="1:6" x14ac:dyDescent="0.35">
      <c r="A12565">
        <v>1975</v>
      </c>
      <c r="B12565" s="1">
        <v>46048</v>
      </c>
      <c r="C12565" s="2">
        <v>0.45833333333333331</v>
      </c>
      <c r="D12565">
        <v>1</v>
      </c>
      <c r="E12565">
        <v>0.9</v>
      </c>
      <c r="F12565">
        <v>95</v>
      </c>
    </row>
    <row r="12566" spans="1:6" x14ac:dyDescent="0.35">
      <c r="A12566">
        <v>1975</v>
      </c>
      <c r="B12566" s="1">
        <v>46048</v>
      </c>
      <c r="C12566" s="2">
        <v>0.5</v>
      </c>
      <c r="D12566">
        <v>1</v>
      </c>
      <c r="E12566">
        <v>0.9</v>
      </c>
      <c r="F12566">
        <v>95</v>
      </c>
    </row>
    <row r="12567" spans="1:6" x14ac:dyDescent="0.35">
      <c r="A12567">
        <v>1975</v>
      </c>
      <c r="B12567" s="1">
        <v>46048</v>
      </c>
      <c r="C12567" s="2">
        <v>0.54166666666666663</v>
      </c>
      <c r="D12567">
        <v>1</v>
      </c>
      <c r="E12567">
        <v>0.8</v>
      </c>
      <c r="F12567">
        <v>96</v>
      </c>
    </row>
    <row r="12568" spans="1:6" x14ac:dyDescent="0.35">
      <c r="A12568">
        <v>1975</v>
      </c>
      <c r="B12568" s="1">
        <v>46048</v>
      </c>
      <c r="C12568" s="2">
        <v>0.58333333333333337</v>
      </c>
      <c r="D12568">
        <v>1</v>
      </c>
      <c r="E12568">
        <v>0.8</v>
      </c>
      <c r="F12568">
        <v>96</v>
      </c>
    </row>
    <row r="12569" spans="1:6" x14ac:dyDescent="0.35">
      <c r="A12569">
        <v>1975</v>
      </c>
      <c r="B12569" s="1">
        <v>46048</v>
      </c>
      <c r="C12569" s="2">
        <v>0.625</v>
      </c>
      <c r="D12569">
        <v>1</v>
      </c>
      <c r="E12569">
        <v>0.8</v>
      </c>
      <c r="F12569">
        <v>96</v>
      </c>
    </row>
    <row r="12570" spans="1:6" x14ac:dyDescent="0.35">
      <c r="A12570">
        <v>1975</v>
      </c>
      <c r="B12570" s="1">
        <v>46048</v>
      </c>
      <c r="C12570" s="2">
        <v>0.66666666666666663</v>
      </c>
      <c r="D12570">
        <v>1</v>
      </c>
      <c r="E12570">
        <v>0.5</v>
      </c>
      <c r="F12570">
        <v>96</v>
      </c>
    </row>
    <row r="12571" spans="1:6" x14ac:dyDescent="0.35">
      <c r="A12571">
        <v>1975</v>
      </c>
      <c r="B12571" s="1">
        <v>46048</v>
      </c>
      <c r="C12571" s="2">
        <v>0.70833333333333337</v>
      </c>
      <c r="D12571">
        <v>1</v>
      </c>
      <c r="E12571">
        <v>0.5</v>
      </c>
      <c r="F12571">
        <v>97</v>
      </c>
    </row>
    <row r="12572" spans="1:6" x14ac:dyDescent="0.35">
      <c r="A12572">
        <v>1975</v>
      </c>
      <c r="B12572" s="1">
        <v>46048</v>
      </c>
      <c r="C12572" s="2">
        <v>0.75</v>
      </c>
      <c r="D12572">
        <v>1</v>
      </c>
      <c r="E12572">
        <v>0.7</v>
      </c>
      <c r="F12572">
        <v>92</v>
      </c>
    </row>
    <row r="12573" spans="1:6" x14ac:dyDescent="0.35">
      <c r="A12573">
        <v>1975</v>
      </c>
      <c r="B12573" s="1">
        <v>46048</v>
      </c>
      <c r="C12573" s="2">
        <v>0.79166666666666663</v>
      </c>
      <c r="D12573">
        <v>1</v>
      </c>
      <c r="E12573">
        <v>0.4</v>
      </c>
      <c r="F12573">
        <v>96</v>
      </c>
    </row>
    <row r="12574" spans="1:6" x14ac:dyDescent="0.35">
      <c r="A12574">
        <v>1975</v>
      </c>
      <c r="B12574" s="1">
        <v>46048</v>
      </c>
      <c r="C12574" s="2">
        <v>0.83333333333333337</v>
      </c>
      <c r="D12574">
        <v>1</v>
      </c>
      <c r="E12574">
        <v>0.4</v>
      </c>
      <c r="F12574">
        <v>96</v>
      </c>
    </row>
    <row r="12575" spans="1:6" x14ac:dyDescent="0.35">
      <c r="A12575">
        <v>1975</v>
      </c>
      <c r="B12575" s="1">
        <v>46048</v>
      </c>
      <c r="C12575" s="2">
        <v>0.875</v>
      </c>
      <c r="D12575">
        <v>1</v>
      </c>
      <c r="E12575">
        <v>0.3</v>
      </c>
      <c r="F12575">
        <v>98</v>
      </c>
    </row>
    <row r="12576" spans="1:6" x14ac:dyDescent="0.35">
      <c r="A12576">
        <v>1975</v>
      </c>
      <c r="B12576" s="1">
        <v>46048</v>
      </c>
      <c r="C12576" s="2">
        <v>0.91666666666666663</v>
      </c>
      <c r="D12576">
        <v>1</v>
      </c>
      <c r="E12576">
        <v>0.6</v>
      </c>
      <c r="F12576">
        <v>96</v>
      </c>
    </row>
    <row r="12577" spans="1:6" x14ac:dyDescent="0.35">
      <c r="A12577">
        <v>1975</v>
      </c>
      <c r="B12577" s="1">
        <v>46048</v>
      </c>
      <c r="C12577" s="2">
        <v>0.95833333333333337</v>
      </c>
      <c r="D12577">
        <v>1</v>
      </c>
      <c r="E12577">
        <v>0.4</v>
      </c>
      <c r="F12577">
        <v>98</v>
      </c>
    </row>
    <row r="12578" spans="1:6" x14ac:dyDescent="0.35">
      <c r="A12578">
        <v>1975</v>
      </c>
      <c r="B12578" s="1">
        <v>46049</v>
      </c>
      <c r="C12578" s="2">
        <v>0</v>
      </c>
      <c r="D12578">
        <v>1</v>
      </c>
      <c r="E12578">
        <v>0.5</v>
      </c>
      <c r="F12578">
        <v>95</v>
      </c>
    </row>
    <row r="12579" spans="1:6" x14ac:dyDescent="0.35">
      <c r="A12579">
        <v>1975</v>
      </c>
      <c r="B12579" s="1">
        <v>46049</v>
      </c>
      <c r="C12579" s="2">
        <v>4.1666666666666657E-2</v>
      </c>
      <c r="D12579">
        <v>1</v>
      </c>
      <c r="E12579">
        <v>0.3</v>
      </c>
      <c r="F12579">
        <v>98</v>
      </c>
    </row>
    <row r="12580" spans="1:6" x14ac:dyDescent="0.35">
      <c r="A12580">
        <v>1975</v>
      </c>
      <c r="B12580" s="1">
        <v>46049</v>
      </c>
      <c r="C12580" s="2">
        <v>8.3333333333333329E-2</v>
      </c>
      <c r="D12580">
        <v>1</v>
      </c>
      <c r="E12580">
        <v>0.3</v>
      </c>
      <c r="F12580">
        <v>97</v>
      </c>
    </row>
    <row r="12581" spans="1:6" x14ac:dyDescent="0.35">
      <c r="A12581">
        <v>1975</v>
      </c>
      <c r="B12581" s="1">
        <v>46049</v>
      </c>
      <c r="C12581" s="2">
        <v>0.125</v>
      </c>
      <c r="D12581">
        <v>1</v>
      </c>
      <c r="E12581">
        <v>0.2</v>
      </c>
      <c r="F12581">
        <v>94</v>
      </c>
    </row>
    <row r="12582" spans="1:6" x14ac:dyDescent="0.35">
      <c r="A12582">
        <v>1975</v>
      </c>
      <c r="B12582" s="1">
        <v>46049</v>
      </c>
      <c r="C12582" s="2">
        <v>0.16666666666666671</v>
      </c>
      <c r="D12582">
        <v>1</v>
      </c>
      <c r="E12582">
        <v>0.2</v>
      </c>
      <c r="F12582">
        <v>94</v>
      </c>
    </row>
    <row r="12583" spans="1:6" x14ac:dyDescent="0.35">
      <c r="A12583">
        <v>1975</v>
      </c>
      <c r="B12583" s="1">
        <v>46049</v>
      </c>
      <c r="C12583" s="2">
        <v>0.20833333333333329</v>
      </c>
      <c r="D12583">
        <v>1</v>
      </c>
      <c r="E12583">
        <v>0</v>
      </c>
      <c r="F12583">
        <v>93</v>
      </c>
    </row>
    <row r="12584" spans="1:6" x14ac:dyDescent="0.35">
      <c r="A12584">
        <v>1975</v>
      </c>
      <c r="B12584" s="1">
        <v>46049</v>
      </c>
      <c r="C12584" s="2">
        <v>0.25</v>
      </c>
      <c r="D12584">
        <v>1</v>
      </c>
      <c r="E12584">
        <v>-0.2</v>
      </c>
      <c r="F12584">
        <v>94</v>
      </c>
    </row>
    <row r="12585" spans="1:6" x14ac:dyDescent="0.35">
      <c r="A12585">
        <v>1975</v>
      </c>
      <c r="B12585" s="1">
        <v>46049</v>
      </c>
      <c r="C12585" s="2">
        <v>0.29166666666666669</v>
      </c>
      <c r="D12585">
        <v>1</v>
      </c>
      <c r="E12585">
        <v>-0.3</v>
      </c>
      <c r="F12585">
        <v>93</v>
      </c>
    </row>
    <row r="12586" spans="1:6" x14ac:dyDescent="0.35">
      <c r="A12586">
        <v>1975</v>
      </c>
      <c r="B12586" s="1">
        <v>46049</v>
      </c>
      <c r="C12586" s="2">
        <v>0.33333333333333331</v>
      </c>
      <c r="D12586">
        <v>1</v>
      </c>
      <c r="E12586">
        <v>-0.2</v>
      </c>
      <c r="F12586">
        <v>93</v>
      </c>
    </row>
    <row r="12587" spans="1:6" x14ac:dyDescent="0.35">
      <c r="A12587">
        <v>1975</v>
      </c>
      <c r="B12587" s="1">
        <v>46049</v>
      </c>
      <c r="C12587" s="2">
        <v>0.375</v>
      </c>
      <c r="D12587">
        <v>1</v>
      </c>
      <c r="E12587">
        <v>0</v>
      </c>
      <c r="F12587">
        <v>94</v>
      </c>
    </row>
    <row r="12588" spans="1:6" x14ac:dyDescent="0.35">
      <c r="A12588">
        <v>1975</v>
      </c>
      <c r="B12588" s="1">
        <v>46049</v>
      </c>
      <c r="C12588" s="2">
        <v>0.41666666666666669</v>
      </c>
      <c r="D12588">
        <v>1</v>
      </c>
      <c r="E12588">
        <v>0.1</v>
      </c>
      <c r="F12588">
        <v>92</v>
      </c>
    </row>
    <row r="12589" spans="1:6" x14ac:dyDescent="0.35">
      <c r="A12589">
        <v>1975</v>
      </c>
      <c r="B12589" s="1">
        <v>46049</v>
      </c>
      <c r="C12589" s="2">
        <v>0.45833333333333331</v>
      </c>
      <c r="D12589">
        <v>1</v>
      </c>
      <c r="E12589">
        <v>0.2</v>
      </c>
      <c r="F12589">
        <v>92</v>
      </c>
    </row>
    <row r="12590" spans="1:6" x14ac:dyDescent="0.35">
      <c r="A12590">
        <v>1975</v>
      </c>
      <c r="B12590" s="1">
        <v>46049</v>
      </c>
      <c r="C12590" s="2">
        <v>0.5</v>
      </c>
      <c r="D12590">
        <v>1</v>
      </c>
      <c r="E12590">
        <v>0.3</v>
      </c>
      <c r="F12590">
        <v>90</v>
      </c>
    </row>
    <row r="12591" spans="1:6" x14ac:dyDescent="0.35">
      <c r="A12591">
        <v>1975</v>
      </c>
      <c r="B12591" s="1">
        <v>46049</v>
      </c>
      <c r="C12591" s="2">
        <v>0.54166666666666663</v>
      </c>
      <c r="D12591">
        <v>1</v>
      </c>
      <c r="E12591">
        <v>0.5</v>
      </c>
      <c r="F12591">
        <v>86</v>
      </c>
    </row>
    <row r="12592" spans="1:6" x14ac:dyDescent="0.35">
      <c r="A12592">
        <v>1975</v>
      </c>
      <c r="B12592" s="1">
        <v>46049</v>
      </c>
      <c r="C12592" s="2">
        <v>0.58333333333333337</v>
      </c>
      <c r="D12592">
        <v>1</v>
      </c>
      <c r="E12592">
        <v>0.4</v>
      </c>
      <c r="F12592">
        <v>85</v>
      </c>
    </row>
    <row r="12593" spans="1:6" x14ac:dyDescent="0.35">
      <c r="A12593">
        <v>1975</v>
      </c>
      <c r="B12593" s="1">
        <v>46049</v>
      </c>
      <c r="C12593" s="2">
        <v>0.625</v>
      </c>
      <c r="D12593">
        <v>1</v>
      </c>
      <c r="E12593">
        <v>0.3</v>
      </c>
      <c r="F12593">
        <v>88</v>
      </c>
    </row>
    <row r="12594" spans="1:6" x14ac:dyDescent="0.35">
      <c r="A12594">
        <v>1975</v>
      </c>
      <c r="B12594" s="1">
        <v>46049</v>
      </c>
      <c r="C12594" s="2">
        <v>0.66666666666666663</v>
      </c>
      <c r="D12594">
        <v>1</v>
      </c>
      <c r="E12594">
        <v>0.3</v>
      </c>
      <c r="F12594">
        <v>90</v>
      </c>
    </row>
    <row r="12595" spans="1:6" x14ac:dyDescent="0.35">
      <c r="A12595">
        <v>1975</v>
      </c>
      <c r="B12595" s="1">
        <v>46049</v>
      </c>
      <c r="C12595" s="2">
        <v>0.70833333333333337</v>
      </c>
      <c r="D12595">
        <v>1</v>
      </c>
      <c r="E12595">
        <v>0.1</v>
      </c>
      <c r="F12595">
        <v>90</v>
      </c>
    </row>
    <row r="12596" spans="1:6" x14ac:dyDescent="0.35">
      <c r="A12596">
        <v>1975</v>
      </c>
      <c r="B12596" s="1">
        <v>46049</v>
      </c>
      <c r="C12596" s="2">
        <v>0.75</v>
      </c>
      <c r="D12596">
        <v>1</v>
      </c>
      <c r="E12596">
        <v>0.3</v>
      </c>
      <c r="F12596">
        <v>89</v>
      </c>
    </row>
    <row r="12597" spans="1:6" x14ac:dyDescent="0.35">
      <c r="A12597">
        <v>1975</v>
      </c>
      <c r="B12597" s="1">
        <v>46049</v>
      </c>
      <c r="C12597" s="2">
        <v>0.79166666666666663</v>
      </c>
      <c r="D12597">
        <v>1</v>
      </c>
      <c r="E12597">
        <v>0.4</v>
      </c>
      <c r="F12597">
        <v>89</v>
      </c>
    </row>
    <row r="12598" spans="1:6" x14ac:dyDescent="0.35">
      <c r="A12598">
        <v>1975</v>
      </c>
      <c r="B12598" s="1">
        <v>46049</v>
      </c>
      <c r="C12598" s="2">
        <v>0.83333333333333337</v>
      </c>
      <c r="D12598">
        <v>1</v>
      </c>
      <c r="E12598">
        <v>0.3</v>
      </c>
      <c r="F12598">
        <v>92</v>
      </c>
    </row>
    <row r="12599" spans="1:6" x14ac:dyDescent="0.35">
      <c r="A12599">
        <v>1975</v>
      </c>
      <c r="B12599" s="1">
        <v>46049</v>
      </c>
      <c r="C12599" s="2">
        <v>0.875</v>
      </c>
      <c r="D12599">
        <v>1</v>
      </c>
      <c r="E12599">
        <v>0.2</v>
      </c>
      <c r="F12599">
        <v>95</v>
      </c>
    </row>
    <row r="12600" spans="1:6" x14ac:dyDescent="0.35">
      <c r="A12600">
        <v>1975</v>
      </c>
      <c r="B12600" s="1">
        <v>46049</v>
      </c>
      <c r="C12600" s="2">
        <v>0.91666666666666663</v>
      </c>
      <c r="D12600">
        <v>1</v>
      </c>
      <c r="E12600">
        <v>0.2</v>
      </c>
      <c r="F12600">
        <v>96</v>
      </c>
    </row>
    <row r="12601" spans="1:6" x14ac:dyDescent="0.35">
      <c r="A12601">
        <v>1975</v>
      </c>
      <c r="B12601" s="1">
        <v>46049</v>
      </c>
      <c r="C12601" s="2">
        <v>0.95833333333333337</v>
      </c>
      <c r="D12601">
        <v>1</v>
      </c>
      <c r="E12601">
        <v>0.2</v>
      </c>
      <c r="F12601">
        <v>94</v>
      </c>
    </row>
    <row r="12602" spans="1:6" x14ac:dyDescent="0.35">
      <c r="A12602">
        <v>1975</v>
      </c>
      <c r="B12602" s="1">
        <v>46050</v>
      </c>
      <c r="C12602" s="2">
        <v>0</v>
      </c>
      <c r="D12602">
        <v>1</v>
      </c>
      <c r="E12602">
        <v>0.1</v>
      </c>
      <c r="F12602">
        <v>88</v>
      </c>
    </row>
    <row r="12603" spans="1:6" x14ac:dyDescent="0.35">
      <c r="A12603">
        <v>1975</v>
      </c>
      <c r="B12603" s="1">
        <v>46050</v>
      </c>
      <c r="C12603" s="2">
        <v>4.1666666666666657E-2</v>
      </c>
      <c r="D12603">
        <v>1</v>
      </c>
      <c r="E12603">
        <v>-0.1</v>
      </c>
      <c r="F12603">
        <v>89</v>
      </c>
    </row>
    <row r="12604" spans="1:6" x14ac:dyDescent="0.35">
      <c r="A12604">
        <v>1975</v>
      </c>
      <c r="B12604" s="1">
        <v>46050</v>
      </c>
      <c r="C12604" s="2">
        <v>8.3333333333333329E-2</v>
      </c>
      <c r="D12604">
        <v>1</v>
      </c>
      <c r="E12604">
        <v>0.1</v>
      </c>
      <c r="F12604">
        <v>87</v>
      </c>
    </row>
    <row r="12605" spans="1:6" x14ac:dyDescent="0.35">
      <c r="A12605">
        <v>1975</v>
      </c>
      <c r="B12605" s="1">
        <v>46050</v>
      </c>
      <c r="C12605" s="2">
        <v>0.125</v>
      </c>
      <c r="D12605">
        <v>1</v>
      </c>
      <c r="E12605">
        <v>0</v>
      </c>
      <c r="F12605">
        <v>91</v>
      </c>
    </row>
    <row r="12606" spans="1:6" x14ac:dyDescent="0.35">
      <c r="A12606">
        <v>1975</v>
      </c>
      <c r="B12606" s="1">
        <v>46050</v>
      </c>
      <c r="C12606" s="2">
        <v>0.16666666666666671</v>
      </c>
      <c r="D12606">
        <v>1</v>
      </c>
      <c r="E12606">
        <v>0.3</v>
      </c>
      <c r="F12606">
        <v>87</v>
      </c>
    </row>
    <row r="12607" spans="1:6" x14ac:dyDescent="0.35">
      <c r="A12607">
        <v>1975</v>
      </c>
      <c r="B12607" s="1">
        <v>46050</v>
      </c>
      <c r="C12607" s="2">
        <v>0.20833333333333329</v>
      </c>
      <c r="D12607">
        <v>1</v>
      </c>
      <c r="E12607">
        <v>0.6</v>
      </c>
      <c r="F12607">
        <v>86</v>
      </c>
    </row>
    <row r="12608" spans="1:6" x14ac:dyDescent="0.35">
      <c r="A12608">
        <v>1975</v>
      </c>
      <c r="B12608" s="1">
        <v>46050</v>
      </c>
      <c r="C12608" s="2">
        <v>0.25</v>
      </c>
      <c r="D12608">
        <v>1</v>
      </c>
      <c r="E12608">
        <v>0.5</v>
      </c>
      <c r="F12608">
        <v>87</v>
      </c>
    </row>
    <row r="12609" spans="1:6" x14ac:dyDescent="0.35">
      <c r="A12609">
        <v>1975</v>
      </c>
      <c r="B12609" s="1">
        <v>46050</v>
      </c>
      <c r="C12609" s="2">
        <v>0.29166666666666669</v>
      </c>
      <c r="D12609">
        <v>1</v>
      </c>
      <c r="E12609">
        <v>-0.1</v>
      </c>
      <c r="F12609">
        <v>88</v>
      </c>
    </row>
    <row r="12610" spans="1:6" x14ac:dyDescent="0.35">
      <c r="A12610">
        <v>1975</v>
      </c>
      <c r="B12610" s="1">
        <v>46050</v>
      </c>
      <c r="C12610" s="2">
        <v>0.33333333333333331</v>
      </c>
      <c r="D12610">
        <v>1</v>
      </c>
      <c r="E12610">
        <v>-0.4</v>
      </c>
      <c r="F12610">
        <v>86</v>
      </c>
    </row>
    <row r="12611" spans="1:6" x14ac:dyDescent="0.35">
      <c r="A12611">
        <v>1975</v>
      </c>
      <c r="B12611" s="1">
        <v>46050</v>
      </c>
      <c r="C12611" s="2">
        <v>0.375</v>
      </c>
      <c r="D12611">
        <v>1</v>
      </c>
      <c r="E12611">
        <v>-0.1</v>
      </c>
      <c r="F12611">
        <v>83</v>
      </c>
    </row>
    <row r="12612" spans="1:6" x14ac:dyDescent="0.35">
      <c r="A12612">
        <v>1975</v>
      </c>
      <c r="B12612" s="1">
        <v>46050</v>
      </c>
      <c r="C12612" s="2">
        <v>0.41666666666666669</v>
      </c>
      <c r="D12612">
        <v>1</v>
      </c>
      <c r="E12612">
        <v>0.1</v>
      </c>
      <c r="F12612">
        <v>82</v>
      </c>
    </row>
    <row r="12613" spans="1:6" x14ac:dyDescent="0.35">
      <c r="A12613">
        <v>1975</v>
      </c>
      <c r="B12613" s="1">
        <v>46050</v>
      </c>
      <c r="C12613" s="2">
        <v>0.45833333333333331</v>
      </c>
      <c r="D12613">
        <v>1</v>
      </c>
      <c r="E12613">
        <v>0.2</v>
      </c>
      <c r="F12613">
        <v>81</v>
      </c>
    </row>
    <row r="12614" spans="1:6" x14ac:dyDescent="0.35">
      <c r="A12614">
        <v>1975</v>
      </c>
      <c r="B12614" s="1">
        <v>46050</v>
      </c>
      <c r="C12614" s="2">
        <v>0.5</v>
      </c>
      <c r="D12614">
        <v>1</v>
      </c>
      <c r="E12614">
        <v>0.3</v>
      </c>
      <c r="F12614">
        <v>81</v>
      </c>
    </row>
    <row r="12615" spans="1:6" x14ac:dyDescent="0.35">
      <c r="A12615">
        <v>1975</v>
      </c>
      <c r="B12615" s="1">
        <v>46050</v>
      </c>
      <c r="C12615" s="2">
        <v>0.54166666666666663</v>
      </c>
      <c r="D12615">
        <v>1</v>
      </c>
      <c r="E12615">
        <v>0.4</v>
      </c>
      <c r="F12615">
        <v>80</v>
      </c>
    </row>
    <row r="12616" spans="1:6" x14ac:dyDescent="0.35">
      <c r="A12616">
        <v>1975</v>
      </c>
      <c r="B12616" s="1">
        <v>46050</v>
      </c>
      <c r="C12616" s="2">
        <v>0.58333333333333337</v>
      </c>
      <c r="D12616">
        <v>1</v>
      </c>
      <c r="E12616">
        <v>0.4</v>
      </c>
      <c r="F12616">
        <v>80</v>
      </c>
    </row>
    <row r="12617" spans="1:6" x14ac:dyDescent="0.35">
      <c r="A12617">
        <v>1975</v>
      </c>
      <c r="B12617" s="1">
        <v>46050</v>
      </c>
      <c r="C12617" s="2">
        <v>0.625</v>
      </c>
      <c r="D12617">
        <v>1</v>
      </c>
      <c r="E12617">
        <v>0.5</v>
      </c>
      <c r="F12617">
        <v>84</v>
      </c>
    </row>
    <row r="12618" spans="1:6" x14ac:dyDescent="0.35">
      <c r="A12618">
        <v>1975</v>
      </c>
      <c r="B12618" s="1">
        <v>46050</v>
      </c>
      <c r="C12618" s="2">
        <v>0.66666666666666663</v>
      </c>
      <c r="D12618">
        <v>1</v>
      </c>
      <c r="E12618">
        <v>0.6</v>
      </c>
      <c r="F12618">
        <v>87</v>
      </c>
    </row>
    <row r="12619" spans="1:6" x14ac:dyDescent="0.35">
      <c r="A12619">
        <v>1975</v>
      </c>
      <c r="B12619" s="1">
        <v>46050</v>
      </c>
      <c r="C12619" s="2">
        <v>0.70833333333333337</v>
      </c>
      <c r="D12619">
        <v>1</v>
      </c>
      <c r="E12619">
        <v>0.8</v>
      </c>
      <c r="F12619">
        <v>87</v>
      </c>
    </row>
    <row r="12620" spans="1:6" x14ac:dyDescent="0.35">
      <c r="A12620">
        <v>1975</v>
      </c>
      <c r="B12620" s="1">
        <v>46050</v>
      </c>
      <c r="C12620" s="2">
        <v>0.75</v>
      </c>
      <c r="D12620">
        <v>1</v>
      </c>
      <c r="E12620">
        <v>0.9</v>
      </c>
      <c r="F12620">
        <v>86</v>
      </c>
    </row>
    <row r="12621" spans="1:6" x14ac:dyDescent="0.35">
      <c r="A12621">
        <v>1975</v>
      </c>
      <c r="B12621" s="1">
        <v>46050</v>
      </c>
      <c r="C12621" s="2">
        <v>0.79166666666666663</v>
      </c>
      <c r="D12621">
        <v>1</v>
      </c>
      <c r="E12621">
        <v>0.8</v>
      </c>
      <c r="F12621">
        <v>85</v>
      </c>
    </row>
    <row r="12622" spans="1:6" x14ac:dyDescent="0.35">
      <c r="A12622">
        <v>1975</v>
      </c>
      <c r="B12622" s="1">
        <v>46050</v>
      </c>
      <c r="C12622" s="2">
        <v>0.83333333333333337</v>
      </c>
      <c r="D12622">
        <v>1</v>
      </c>
      <c r="E12622">
        <v>0.8</v>
      </c>
      <c r="F12622">
        <v>83</v>
      </c>
    </row>
    <row r="12623" spans="1:6" x14ac:dyDescent="0.35">
      <c r="A12623">
        <v>1975</v>
      </c>
      <c r="B12623" s="1">
        <v>46050</v>
      </c>
      <c r="C12623" s="2">
        <v>0.875</v>
      </c>
      <c r="D12623">
        <v>1</v>
      </c>
      <c r="E12623">
        <v>0.5</v>
      </c>
      <c r="F12623">
        <v>86</v>
      </c>
    </row>
    <row r="12624" spans="1:6" x14ac:dyDescent="0.35">
      <c r="A12624">
        <v>1975</v>
      </c>
      <c r="B12624" s="1">
        <v>46050</v>
      </c>
      <c r="C12624" s="2">
        <v>0.91666666666666663</v>
      </c>
      <c r="D12624">
        <v>1</v>
      </c>
      <c r="E12624">
        <v>0.7</v>
      </c>
      <c r="F12624">
        <v>82</v>
      </c>
    </row>
    <row r="12625" spans="1:6" x14ac:dyDescent="0.35">
      <c r="A12625">
        <v>1975</v>
      </c>
      <c r="B12625" s="1">
        <v>46050</v>
      </c>
      <c r="C12625" s="2">
        <v>0.95833333333333337</v>
      </c>
      <c r="D12625">
        <v>1</v>
      </c>
      <c r="E12625">
        <v>0.6</v>
      </c>
      <c r="F12625">
        <v>82</v>
      </c>
    </row>
    <row r="12626" spans="1:6" x14ac:dyDescent="0.35">
      <c r="A12626">
        <v>1975</v>
      </c>
      <c r="B12626" s="1">
        <v>46051</v>
      </c>
      <c r="C12626" s="2">
        <v>0</v>
      </c>
      <c r="D12626">
        <v>1</v>
      </c>
      <c r="E12626">
        <v>0.5</v>
      </c>
      <c r="F12626">
        <v>84</v>
      </c>
    </row>
    <row r="12627" spans="1:6" x14ac:dyDescent="0.35">
      <c r="A12627">
        <v>1975</v>
      </c>
      <c r="B12627" s="1">
        <v>46051</v>
      </c>
      <c r="C12627" s="2">
        <v>4.1666666666666657E-2</v>
      </c>
      <c r="D12627">
        <v>1</v>
      </c>
      <c r="E12627">
        <v>0.4</v>
      </c>
      <c r="F12627">
        <v>83</v>
      </c>
    </row>
    <row r="12628" spans="1:6" x14ac:dyDescent="0.35">
      <c r="A12628">
        <v>1975</v>
      </c>
      <c r="B12628" s="1">
        <v>46051</v>
      </c>
      <c r="C12628" s="2">
        <v>8.3333333333333329E-2</v>
      </c>
      <c r="D12628">
        <v>1</v>
      </c>
      <c r="E12628">
        <v>0.5</v>
      </c>
      <c r="F12628">
        <v>80</v>
      </c>
    </row>
    <row r="12629" spans="1:6" x14ac:dyDescent="0.35">
      <c r="A12629">
        <v>1975</v>
      </c>
      <c r="B12629" s="1">
        <v>46051</v>
      </c>
      <c r="C12629" s="2">
        <v>0.125</v>
      </c>
      <c r="D12629">
        <v>1</v>
      </c>
      <c r="E12629">
        <v>0.3</v>
      </c>
      <c r="F12629">
        <v>79</v>
      </c>
    </row>
    <row r="12630" spans="1:6" x14ac:dyDescent="0.35">
      <c r="A12630">
        <v>1975</v>
      </c>
      <c r="B12630" s="1">
        <v>46051</v>
      </c>
      <c r="C12630" s="2">
        <v>0.16666666666666671</v>
      </c>
      <c r="D12630">
        <v>1</v>
      </c>
      <c r="E12630">
        <v>0.2</v>
      </c>
      <c r="F12630">
        <v>79</v>
      </c>
    </row>
    <row r="12631" spans="1:6" x14ac:dyDescent="0.35">
      <c r="A12631">
        <v>1975</v>
      </c>
      <c r="B12631" s="1">
        <v>46051</v>
      </c>
      <c r="C12631" s="2">
        <v>0.20833333333333329</v>
      </c>
      <c r="D12631">
        <v>1</v>
      </c>
      <c r="E12631">
        <v>0.1</v>
      </c>
      <c r="F12631">
        <v>80</v>
      </c>
    </row>
    <row r="12632" spans="1:6" x14ac:dyDescent="0.35">
      <c r="A12632">
        <v>1975</v>
      </c>
      <c r="B12632" s="1">
        <v>46051</v>
      </c>
      <c r="C12632" s="2">
        <v>0.25</v>
      </c>
      <c r="D12632">
        <v>1</v>
      </c>
      <c r="E12632">
        <v>0</v>
      </c>
      <c r="F12632">
        <v>84</v>
      </c>
    </row>
    <row r="12633" spans="1:6" x14ac:dyDescent="0.35">
      <c r="A12633">
        <v>1975</v>
      </c>
      <c r="B12633" s="1">
        <v>46051</v>
      </c>
      <c r="C12633" s="2">
        <v>0.29166666666666669</v>
      </c>
      <c r="D12633">
        <v>1</v>
      </c>
      <c r="E12633">
        <v>-0.1</v>
      </c>
      <c r="F12633">
        <v>85</v>
      </c>
    </row>
    <row r="12634" spans="1:6" x14ac:dyDescent="0.35">
      <c r="A12634">
        <v>1975</v>
      </c>
      <c r="B12634" s="1">
        <v>46051</v>
      </c>
      <c r="C12634" s="2">
        <v>0.33333333333333331</v>
      </c>
      <c r="D12634">
        <v>1</v>
      </c>
      <c r="E12634">
        <v>0</v>
      </c>
      <c r="F12634">
        <v>87</v>
      </c>
    </row>
    <row r="12635" spans="1:6" x14ac:dyDescent="0.35">
      <c r="A12635">
        <v>1975</v>
      </c>
      <c r="B12635" s="1">
        <v>46051</v>
      </c>
      <c r="C12635" s="2">
        <v>0.375</v>
      </c>
      <c r="D12635">
        <v>1</v>
      </c>
      <c r="E12635">
        <v>0</v>
      </c>
      <c r="F12635">
        <v>86</v>
      </c>
    </row>
    <row r="12636" spans="1:6" x14ac:dyDescent="0.35">
      <c r="A12636">
        <v>1975</v>
      </c>
      <c r="B12636" s="1">
        <v>46051</v>
      </c>
      <c r="C12636" s="2">
        <v>0.41666666666666669</v>
      </c>
      <c r="D12636">
        <v>1</v>
      </c>
      <c r="E12636">
        <v>-0.2</v>
      </c>
      <c r="F12636">
        <v>84</v>
      </c>
    </row>
    <row r="12637" spans="1:6" x14ac:dyDescent="0.35">
      <c r="A12637">
        <v>1975</v>
      </c>
      <c r="B12637" s="1">
        <v>46051</v>
      </c>
      <c r="C12637" s="2">
        <v>0.45833333333333331</v>
      </c>
      <c r="D12637">
        <v>1</v>
      </c>
      <c r="E12637">
        <v>-0.2</v>
      </c>
      <c r="F12637">
        <v>85</v>
      </c>
    </row>
    <row r="12638" spans="1:6" x14ac:dyDescent="0.35">
      <c r="A12638">
        <v>1975</v>
      </c>
      <c r="B12638" s="1">
        <v>46051</v>
      </c>
      <c r="C12638" s="2">
        <v>0.5</v>
      </c>
      <c r="D12638">
        <v>1</v>
      </c>
      <c r="E12638">
        <v>-0.4</v>
      </c>
      <c r="F12638">
        <v>85</v>
      </c>
    </row>
    <row r="12639" spans="1:6" x14ac:dyDescent="0.35">
      <c r="A12639">
        <v>1975</v>
      </c>
      <c r="B12639" s="1">
        <v>46051</v>
      </c>
      <c r="C12639" s="2">
        <v>0.54166666666666663</v>
      </c>
      <c r="D12639">
        <v>1</v>
      </c>
      <c r="E12639">
        <v>-0.7</v>
      </c>
      <c r="F12639">
        <v>85</v>
      </c>
    </row>
    <row r="12640" spans="1:6" x14ac:dyDescent="0.35">
      <c r="A12640">
        <v>1975</v>
      </c>
      <c r="B12640" s="1">
        <v>46051</v>
      </c>
      <c r="C12640" s="2">
        <v>0.58333333333333337</v>
      </c>
      <c r="D12640">
        <v>1</v>
      </c>
      <c r="E12640">
        <v>-0.9</v>
      </c>
      <c r="F12640">
        <v>87</v>
      </c>
    </row>
    <row r="12641" spans="1:6" x14ac:dyDescent="0.35">
      <c r="A12641">
        <v>1975</v>
      </c>
      <c r="B12641" s="1">
        <v>46051</v>
      </c>
      <c r="C12641" s="2">
        <v>0.625</v>
      </c>
      <c r="D12641">
        <v>1</v>
      </c>
      <c r="E12641">
        <v>-1.1000000000000001</v>
      </c>
      <c r="F12641">
        <v>87</v>
      </c>
    </row>
    <row r="12642" spans="1:6" x14ac:dyDescent="0.35">
      <c r="A12642">
        <v>1975</v>
      </c>
      <c r="B12642" s="1">
        <v>46051</v>
      </c>
      <c r="C12642" s="2">
        <v>0.66666666666666663</v>
      </c>
      <c r="D12642">
        <v>1</v>
      </c>
      <c r="E12642">
        <v>-1.2</v>
      </c>
      <c r="F12642">
        <v>87</v>
      </c>
    </row>
    <row r="12643" spans="1:6" x14ac:dyDescent="0.35">
      <c r="A12643">
        <v>1975</v>
      </c>
      <c r="B12643" s="1">
        <v>46051</v>
      </c>
      <c r="C12643" s="2">
        <v>0.70833333333333337</v>
      </c>
      <c r="D12643">
        <v>1</v>
      </c>
      <c r="E12643">
        <v>-1.4</v>
      </c>
      <c r="F12643">
        <v>87</v>
      </c>
    </row>
    <row r="12644" spans="1:6" x14ac:dyDescent="0.35">
      <c r="A12644">
        <v>1975</v>
      </c>
      <c r="B12644" s="1">
        <v>46051</v>
      </c>
      <c r="C12644" s="2">
        <v>0.75</v>
      </c>
      <c r="D12644">
        <v>1</v>
      </c>
      <c r="E12644">
        <v>-1.5</v>
      </c>
      <c r="F12644">
        <v>86</v>
      </c>
    </row>
    <row r="12645" spans="1:6" x14ac:dyDescent="0.35">
      <c r="A12645">
        <v>1975</v>
      </c>
      <c r="B12645" s="1">
        <v>46051</v>
      </c>
      <c r="C12645" s="2">
        <v>0.79166666666666663</v>
      </c>
      <c r="D12645">
        <v>1</v>
      </c>
      <c r="E12645">
        <v>-1.8</v>
      </c>
      <c r="F12645">
        <v>86</v>
      </c>
    </row>
    <row r="12646" spans="1:6" x14ac:dyDescent="0.35">
      <c r="A12646">
        <v>1975</v>
      </c>
      <c r="B12646" s="1">
        <v>46051</v>
      </c>
      <c r="C12646" s="2">
        <v>0.83333333333333337</v>
      </c>
      <c r="D12646">
        <v>1</v>
      </c>
      <c r="E12646">
        <v>-1.7</v>
      </c>
      <c r="F12646">
        <v>85</v>
      </c>
    </row>
    <row r="12647" spans="1:6" x14ac:dyDescent="0.35">
      <c r="A12647">
        <v>1975</v>
      </c>
      <c r="B12647" s="1">
        <v>46051</v>
      </c>
      <c r="C12647" s="2">
        <v>0.875</v>
      </c>
      <c r="D12647">
        <v>1</v>
      </c>
      <c r="E12647">
        <v>-1.7</v>
      </c>
      <c r="F12647">
        <v>83</v>
      </c>
    </row>
    <row r="12648" spans="1:6" x14ac:dyDescent="0.35">
      <c r="A12648">
        <v>1975</v>
      </c>
      <c r="B12648" s="1">
        <v>46051</v>
      </c>
      <c r="C12648" s="2">
        <v>0.91666666666666663</v>
      </c>
      <c r="D12648">
        <v>1</v>
      </c>
      <c r="E12648">
        <v>-1.8</v>
      </c>
      <c r="F12648">
        <v>85</v>
      </c>
    </row>
    <row r="12649" spans="1:6" x14ac:dyDescent="0.35">
      <c r="A12649">
        <v>1975</v>
      </c>
      <c r="B12649" s="1">
        <v>46051</v>
      </c>
      <c r="C12649" s="2">
        <v>0.95833333333333337</v>
      </c>
      <c r="D12649">
        <v>1</v>
      </c>
      <c r="E12649">
        <v>-1.9</v>
      </c>
      <c r="F12649">
        <v>85</v>
      </c>
    </row>
    <row r="12650" spans="1:6" x14ac:dyDescent="0.35">
      <c r="A12650">
        <v>1975</v>
      </c>
      <c r="B12650" s="1">
        <v>46052</v>
      </c>
      <c r="C12650" s="2">
        <v>0</v>
      </c>
      <c r="D12650">
        <v>1</v>
      </c>
      <c r="E12650">
        <v>-1.9</v>
      </c>
      <c r="F12650">
        <v>84</v>
      </c>
    </row>
    <row r="12651" spans="1:6" x14ac:dyDescent="0.35">
      <c r="A12651">
        <v>1975</v>
      </c>
      <c r="B12651" s="1">
        <v>46052</v>
      </c>
      <c r="C12651" s="2">
        <v>4.1666666666666657E-2</v>
      </c>
      <c r="D12651">
        <v>1</v>
      </c>
      <c r="E12651">
        <v>-2</v>
      </c>
      <c r="F12651">
        <v>85</v>
      </c>
    </row>
    <row r="12652" spans="1:6" x14ac:dyDescent="0.35">
      <c r="A12652">
        <v>1975</v>
      </c>
      <c r="B12652" s="1">
        <v>46052</v>
      </c>
      <c r="C12652" s="2">
        <v>8.3333333333333329E-2</v>
      </c>
      <c r="D12652">
        <v>1</v>
      </c>
      <c r="E12652">
        <v>-2.1</v>
      </c>
      <c r="F12652">
        <v>85</v>
      </c>
    </row>
    <row r="12653" spans="1:6" x14ac:dyDescent="0.35">
      <c r="A12653">
        <v>1975</v>
      </c>
      <c r="B12653" s="1">
        <v>46052</v>
      </c>
      <c r="C12653" s="2">
        <v>0.125</v>
      </c>
      <c r="D12653">
        <v>1</v>
      </c>
      <c r="E12653">
        <v>-2.2000000000000002</v>
      </c>
      <c r="F12653">
        <v>86</v>
      </c>
    </row>
    <row r="12654" spans="1:6" x14ac:dyDescent="0.35">
      <c r="A12654">
        <v>1975</v>
      </c>
      <c r="B12654" s="1">
        <v>46052</v>
      </c>
      <c r="C12654" s="2">
        <v>0.16666666666666671</v>
      </c>
      <c r="D12654">
        <v>1</v>
      </c>
      <c r="E12654">
        <v>-2.4</v>
      </c>
      <c r="F12654">
        <v>86</v>
      </c>
    </row>
    <row r="12655" spans="1:6" x14ac:dyDescent="0.35">
      <c r="A12655">
        <v>1975</v>
      </c>
      <c r="B12655" s="1">
        <v>46052</v>
      </c>
      <c r="C12655" s="2">
        <v>0.20833333333333329</v>
      </c>
      <c r="D12655">
        <v>1</v>
      </c>
      <c r="E12655">
        <v>-2.6</v>
      </c>
      <c r="F12655">
        <v>92</v>
      </c>
    </row>
    <row r="12656" spans="1:6" x14ac:dyDescent="0.35">
      <c r="A12656">
        <v>1975</v>
      </c>
      <c r="B12656" s="1">
        <v>46052</v>
      </c>
      <c r="C12656" s="2">
        <v>0.25</v>
      </c>
      <c r="D12656">
        <v>1</v>
      </c>
      <c r="E12656">
        <v>-2.2000000000000002</v>
      </c>
      <c r="F12656">
        <v>87</v>
      </c>
    </row>
    <row r="12657" spans="1:6" x14ac:dyDescent="0.35">
      <c r="A12657">
        <v>1975</v>
      </c>
      <c r="B12657" s="1">
        <v>46052</v>
      </c>
      <c r="C12657" s="2">
        <v>0.29166666666666669</v>
      </c>
      <c r="D12657">
        <v>1</v>
      </c>
      <c r="E12657">
        <v>-2.5</v>
      </c>
      <c r="F12657">
        <v>87</v>
      </c>
    </row>
    <row r="12658" spans="1:6" x14ac:dyDescent="0.35">
      <c r="A12658">
        <v>1975</v>
      </c>
      <c r="B12658" s="1">
        <v>46052</v>
      </c>
      <c r="C12658" s="2">
        <v>0.33333333333333331</v>
      </c>
      <c r="D12658">
        <v>1</v>
      </c>
      <c r="E12658">
        <v>-2.4</v>
      </c>
      <c r="F12658">
        <v>89</v>
      </c>
    </row>
    <row r="12659" spans="1:6" x14ac:dyDescent="0.35">
      <c r="A12659">
        <v>1975</v>
      </c>
      <c r="B12659" s="1">
        <v>46052</v>
      </c>
      <c r="C12659" s="2">
        <v>0.375</v>
      </c>
      <c r="D12659">
        <v>1</v>
      </c>
      <c r="E12659">
        <v>-2.4</v>
      </c>
      <c r="F12659">
        <v>87</v>
      </c>
    </row>
    <row r="12660" spans="1:6" x14ac:dyDescent="0.35">
      <c r="A12660">
        <v>1975</v>
      </c>
      <c r="B12660" s="1">
        <v>46052</v>
      </c>
      <c r="C12660" s="2">
        <v>0.41666666666666669</v>
      </c>
      <c r="D12660">
        <v>1</v>
      </c>
      <c r="E12660">
        <v>-2.1</v>
      </c>
      <c r="F12660">
        <v>85</v>
      </c>
    </row>
    <row r="12661" spans="1:6" x14ac:dyDescent="0.35">
      <c r="A12661">
        <v>1975</v>
      </c>
      <c r="B12661" s="1">
        <v>46052</v>
      </c>
      <c r="C12661" s="2">
        <v>0.45833333333333331</v>
      </c>
      <c r="D12661">
        <v>1</v>
      </c>
      <c r="E12661">
        <v>-1.8</v>
      </c>
      <c r="F12661">
        <v>82</v>
      </c>
    </row>
    <row r="12662" spans="1:6" x14ac:dyDescent="0.35">
      <c r="A12662">
        <v>1975</v>
      </c>
      <c r="B12662" s="1">
        <v>46052</v>
      </c>
      <c r="C12662" s="2">
        <v>0.5</v>
      </c>
      <c r="D12662">
        <v>1</v>
      </c>
      <c r="E12662">
        <v>-1.7</v>
      </c>
      <c r="F12662">
        <v>82</v>
      </c>
    </row>
    <row r="12663" spans="1:6" x14ac:dyDescent="0.35">
      <c r="A12663">
        <v>1975</v>
      </c>
      <c r="B12663" s="1">
        <v>46052</v>
      </c>
      <c r="C12663" s="2">
        <v>0.54166666666666663</v>
      </c>
      <c r="D12663">
        <v>1</v>
      </c>
      <c r="E12663">
        <v>-1.7</v>
      </c>
      <c r="F12663">
        <v>83</v>
      </c>
    </row>
    <row r="12664" spans="1:6" x14ac:dyDescent="0.35">
      <c r="A12664">
        <v>1975</v>
      </c>
      <c r="B12664" s="1">
        <v>46052</v>
      </c>
      <c r="C12664" s="2">
        <v>0.58333333333333337</v>
      </c>
      <c r="D12664">
        <v>1</v>
      </c>
      <c r="E12664">
        <v>-1.9</v>
      </c>
      <c r="F12664">
        <v>81</v>
      </c>
    </row>
    <row r="12665" spans="1:6" x14ac:dyDescent="0.35">
      <c r="A12665">
        <v>1975</v>
      </c>
      <c r="B12665" s="1">
        <v>46052</v>
      </c>
      <c r="C12665" s="2">
        <v>0.625</v>
      </c>
      <c r="D12665">
        <v>1</v>
      </c>
      <c r="E12665">
        <v>-1.9</v>
      </c>
      <c r="F12665">
        <v>82</v>
      </c>
    </row>
    <row r="12666" spans="1:6" x14ac:dyDescent="0.35">
      <c r="A12666">
        <v>1975</v>
      </c>
      <c r="B12666" s="1">
        <v>46052</v>
      </c>
      <c r="C12666" s="2">
        <v>0.66666666666666663</v>
      </c>
      <c r="D12666">
        <v>1</v>
      </c>
      <c r="E12666">
        <v>-1.9</v>
      </c>
      <c r="F12666">
        <v>83</v>
      </c>
    </row>
    <row r="12667" spans="1:6" x14ac:dyDescent="0.35">
      <c r="A12667">
        <v>1975</v>
      </c>
      <c r="B12667" s="1">
        <v>46052</v>
      </c>
      <c r="C12667" s="2">
        <v>0.70833333333333337</v>
      </c>
      <c r="D12667">
        <v>1</v>
      </c>
      <c r="E12667">
        <v>-1.8</v>
      </c>
      <c r="F12667">
        <v>84</v>
      </c>
    </row>
    <row r="12668" spans="1:6" x14ac:dyDescent="0.35">
      <c r="A12668">
        <v>1975</v>
      </c>
      <c r="B12668" s="1">
        <v>46052</v>
      </c>
      <c r="C12668" s="2">
        <v>0.75</v>
      </c>
      <c r="D12668">
        <v>1</v>
      </c>
      <c r="E12668">
        <v>-1.6</v>
      </c>
      <c r="F12668">
        <v>85</v>
      </c>
    </row>
    <row r="12669" spans="1:6" x14ac:dyDescent="0.35">
      <c r="A12669">
        <v>1975</v>
      </c>
      <c r="B12669" s="1">
        <v>46052</v>
      </c>
      <c r="C12669" s="2">
        <v>0.79166666666666663</v>
      </c>
      <c r="D12669">
        <v>1</v>
      </c>
      <c r="E12669">
        <v>-1.6</v>
      </c>
      <c r="F12669">
        <v>85</v>
      </c>
    </row>
    <row r="12670" spans="1:6" x14ac:dyDescent="0.35">
      <c r="A12670">
        <v>1975</v>
      </c>
      <c r="B12670" s="1">
        <v>46052</v>
      </c>
      <c r="C12670" s="2">
        <v>0.83333333333333337</v>
      </c>
      <c r="D12670">
        <v>1</v>
      </c>
      <c r="E12670">
        <v>-1.5</v>
      </c>
      <c r="F12670">
        <v>86</v>
      </c>
    </row>
    <row r="12671" spans="1:6" x14ac:dyDescent="0.35">
      <c r="A12671">
        <v>1975</v>
      </c>
      <c r="B12671" s="1">
        <v>46052</v>
      </c>
      <c r="C12671" s="2">
        <v>0.875</v>
      </c>
      <c r="D12671">
        <v>1</v>
      </c>
      <c r="E12671">
        <v>-1.4</v>
      </c>
      <c r="F12671">
        <v>86</v>
      </c>
    </row>
    <row r="12672" spans="1:6" x14ac:dyDescent="0.35">
      <c r="A12672">
        <v>1975</v>
      </c>
      <c r="B12672" s="1">
        <v>46052</v>
      </c>
      <c r="C12672" s="2">
        <v>0.91666666666666663</v>
      </c>
      <c r="D12672">
        <v>1</v>
      </c>
      <c r="E12672">
        <v>-1.3</v>
      </c>
      <c r="F12672">
        <v>86</v>
      </c>
    </row>
    <row r="12673" spans="1:6" x14ac:dyDescent="0.35">
      <c r="A12673">
        <v>1975</v>
      </c>
      <c r="B12673" s="1">
        <v>46052</v>
      </c>
      <c r="C12673" s="2">
        <v>0.95833333333333337</v>
      </c>
      <c r="D12673">
        <v>1</v>
      </c>
      <c r="E12673">
        <v>-1.3</v>
      </c>
      <c r="F12673">
        <v>87</v>
      </c>
    </row>
    <row r="12674" spans="1:6" x14ac:dyDescent="0.35">
      <c r="A12674">
        <v>1975</v>
      </c>
      <c r="B12674" s="1">
        <v>46053</v>
      </c>
      <c r="C12674" s="2">
        <v>0</v>
      </c>
      <c r="D12674">
        <v>1</v>
      </c>
      <c r="E12674">
        <v>-1.3</v>
      </c>
      <c r="F12674">
        <v>87</v>
      </c>
    </row>
    <row r="12675" spans="1:6" x14ac:dyDescent="0.35">
      <c r="A12675">
        <v>1975</v>
      </c>
      <c r="B12675" s="1">
        <v>46053</v>
      </c>
      <c r="C12675" s="2">
        <v>4.1666666666666657E-2</v>
      </c>
      <c r="D12675">
        <v>1</v>
      </c>
      <c r="E12675">
        <v>-1.4</v>
      </c>
      <c r="F12675">
        <v>87</v>
      </c>
    </row>
    <row r="12676" spans="1:6" x14ac:dyDescent="0.35">
      <c r="A12676">
        <v>1975</v>
      </c>
      <c r="B12676" s="1">
        <v>46053</v>
      </c>
      <c r="C12676" s="2">
        <v>8.3333333333333329E-2</v>
      </c>
      <c r="D12676">
        <v>1</v>
      </c>
      <c r="E12676">
        <v>-1.4</v>
      </c>
      <c r="F12676">
        <v>87</v>
      </c>
    </row>
    <row r="12677" spans="1:6" x14ac:dyDescent="0.35">
      <c r="A12677">
        <v>1975</v>
      </c>
      <c r="B12677" s="1">
        <v>46053</v>
      </c>
      <c r="C12677" s="2">
        <v>0.125</v>
      </c>
      <c r="D12677">
        <v>1</v>
      </c>
      <c r="E12677">
        <v>-1.5</v>
      </c>
      <c r="F12677">
        <v>87</v>
      </c>
    </row>
    <row r="12678" spans="1:6" x14ac:dyDescent="0.35">
      <c r="A12678">
        <v>1975</v>
      </c>
      <c r="B12678" s="1">
        <v>46053</v>
      </c>
      <c r="C12678" s="2">
        <v>0.16666666666666671</v>
      </c>
      <c r="D12678">
        <v>1</v>
      </c>
      <c r="E12678">
        <v>-1.5</v>
      </c>
      <c r="F12678">
        <v>87</v>
      </c>
    </row>
    <row r="12679" spans="1:6" x14ac:dyDescent="0.35">
      <c r="A12679">
        <v>1975</v>
      </c>
      <c r="B12679" s="1">
        <v>46053</v>
      </c>
      <c r="C12679" s="2">
        <v>0.20833333333333329</v>
      </c>
      <c r="D12679">
        <v>1</v>
      </c>
      <c r="E12679">
        <v>-1.5</v>
      </c>
      <c r="F12679">
        <v>87</v>
      </c>
    </row>
    <row r="12680" spans="1:6" x14ac:dyDescent="0.35">
      <c r="A12680">
        <v>1975</v>
      </c>
      <c r="B12680" s="1">
        <v>46053</v>
      </c>
      <c r="C12680" s="2">
        <v>0.25</v>
      </c>
      <c r="D12680">
        <v>1</v>
      </c>
      <c r="E12680">
        <v>-1.6</v>
      </c>
      <c r="F12680">
        <v>86</v>
      </c>
    </row>
    <row r="12681" spans="1:6" x14ac:dyDescent="0.35">
      <c r="A12681">
        <v>1975</v>
      </c>
      <c r="B12681" s="1">
        <v>46053</v>
      </c>
      <c r="C12681" s="2">
        <v>0.29166666666666669</v>
      </c>
      <c r="D12681">
        <v>1</v>
      </c>
      <c r="E12681">
        <v>-1.7</v>
      </c>
      <c r="F12681">
        <v>86</v>
      </c>
    </row>
    <row r="12682" spans="1:6" x14ac:dyDescent="0.35">
      <c r="A12682">
        <v>1975</v>
      </c>
      <c r="B12682" s="1">
        <v>46053</v>
      </c>
      <c r="C12682" s="2">
        <v>0.33333333333333331</v>
      </c>
      <c r="D12682">
        <v>1</v>
      </c>
      <c r="E12682">
        <v>-1.8</v>
      </c>
      <c r="F12682">
        <v>86</v>
      </c>
    </row>
    <row r="12683" spans="1:6" x14ac:dyDescent="0.35">
      <c r="A12683">
        <v>1975</v>
      </c>
      <c r="B12683" s="1">
        <v>46053</v>
      </c>
      <c r="C12683" s="2">
        <v>0.375</v>
      </c>
      <c r="D12683">
        <v>1</v>
      </c>
      <c r="E12683">
        <v>-2</v>
      </c>
      <c r="F12683">
        <v>87</v>
      </c>
    </row>
    <row r="12684" spans="1:6" x14ac:dyDescent="0.35">
      <c r="A12684">
        <v>1975</v>
      </c>
      <c r="B12684" s="1">
        <v>46053</v>
      </c>
      <c r="C12684" s="2">
        <v>0.41666666666666669</v>
      </c>
      <c r="D12684">
        <v>1</v>
      </c>
      <c r="E12684">
        <v>-2</v>
      </c>
      <c r="F12684">
        <v>86</v>
      </c>
    </row>
    <row r="12685" spans="1:6" x14ac:dyDescent="0.35">
      <c r="A12685">
        <v>1975</v>
      </c>
      <c r="B12685" s="1">
        <v>46053</v>
      </c>
      <c r="C12685" s="2">
        <v>0.45833333333333331</v>
      </c>
      <c r="D12685">
        <v>1</v>
      </c>
      <c r="E12685">
        <v>-2.2000000000000002</v>
      </c>
      <c r="F12685">
        <v>85</v>
      </c>
    </row>
    <row r="12686" spans="1:6" x14ac:dyDescent="0.35">
      <c r="A12686">
        <v>1975</v>
      </c>
      <c r="B12686" s="1">
        <v>46053</v>
      </c>
      <c r="C12686" s="2">
        <v>0.5</v>
      </c>
      <c r="D12686">
        <v>1</v>
      </c>
      <c r="E12686">
        <v>-2.2000000000000002</v>
      </c>
      <c r="F12686">
        <v>83</v>
      </c>
    </row>
    <row r="12687" spans="1:6" x14ac:dyDescent="0.35">
      <c r="A12687">
        <v>1975</v>
      </c>
      <c r="B12687" s="1">
        <v>46053</v>
      </c>
      <c r="C12687" s="2">
        <v>0.54166666666666663</v>
      </c>
      <c r="D12687">
        <v>1</v>
      </c>
      <c r="E12687">
        <v>-2.2000000000000002</v>
      </c>
      <c r="F12687">
        <v>81</v>
      </c>
    </row>
    <row r="12688" spans="1:6" x14ac:dyDescent="0.35">
      <c r="A12688">
        <v>1975</v>
      </c>
      <c r="B12688" s="1">
        <v>46053</v>
      </c>
      <c r="C12688" s="2">
        <v>0.58333333333333337</v>
      </c>
      <c r="D12688">
        <v>1</v>
      </c>
      <c r="E12688">
        <v>-2.4</v>
      </c>
      <c r="F12688">
        <v>81</v>
      </c>
    </row>
    <row r="12689" spans="1:6" x14ac:dyDescent="0.35">
      <c r="A12689">
        <v>1975</v>
      </c>
      <c r="B12689" s="1">
        <v>46053</v>
      </c>
      <c r="C12689" s="2">
        <v>0.625</v>
      </c>
      <c r="D12689">
        <v>1</v>
      </c>
      <c r="E12689">
        <v>-2.4</v>
      </c>
      <c r="F12689">
        <v>81</v>
      </c>
    </row>
    <row r="12690" spans="1:6" x14ac:dyDescent="0.35">
      <c r="A12690">
        <v>1975</v>
      </c>
      <c r="B12690" s="1">
        <v>46053</v>
      </c>
      <c r="C12690" s="2">
        <v>0.66666666666666663</v>
      </c>
      <c r="D12690">
        <v>1</v>
      </c>
      <c r="E12690">
        <v>-2.6</v>
      </c>
      <c r="F12690">
        <v>81</v>
      </c>
    </row>
    <row r="12691" spans="1:6" x14ac:dyDescent="0.35">
      <c r="A12691">
        <v>1975</v>
      </c>
      <c r="B12691" s="1">
        <v>46053</v>
      </c>
      <c r="C12691" s="2">
        <v>0.70833333333333337</v>
      </c>
      <c r="D12691">
        <v>1</v>
      </c>
      <c r="E12691">
        <v>-3</v>
      </c>
      <c r="F12691">
        <v>80</v>
      </c>
    </row>
    <row r="12692" spans="1:6" x14ac:dyDescent="0.35">
      <c r="A12692">
        <v>1975</v>
      </c>
      <c r="B12692" s="1">
        <v>46053</v>
      </c>
      <c r="C12692" s="2">
        <v>0.75</v>
      </c>
      <c r="D12692">
        <v>1</v>
      </c>
      <c r="E12692">
        <v>-3.3</v>
      </c>
      <c r="F12692">
        <v>81</v>
      </c>
    </row>
    <row r="12693" spans="1:6" x14ac:dyDescent="0.35">
      <c r="A12693">
        <v>1975</v>
      </c>
      <c r="B12693" s="1">
        <v>46053</v>
      </c>
      <c r="C12693" s="2">
        <v>0.79166666666666663</v>
      </c>
      <c r="D12693">
        <v>1</v>
      </c>
      <c r="E12693">
        <v>-3.7</v>
      </c>
      <c r="F12693">
        <v>80</v>
      </c>
    </row>
    <row r="12694" spans="1:6" x14ac:dyDescent="0.35">
      <c r="A12694">
        <v>1975</v>
      </c>
      <c r="B12694" s="1">
        <v>46053</v>
      </c>
      <c r="C12694" s="2">
        <v>0.83333333333333337</v>
      </c>
      <c r="D12694">
        <v>1</v>
      </c>
      <c r="E12694">
        <v>-4.2</v>
      </c>
      <c r="F12694">
        <v>80</v>
      </c>
    </row>
    <row r="12695" spans="1:6" x14ac:dyDescent="0.35">
      <c r="A12695">
        <v>1975</v>
      </c>
      <c r="B12695" s="1">
        <v>46053</v>
      </c>
      <c r="C12695" s="2">
        <v>0.875</v>
      </c>
      <c r="D12695">
        <v>1</v>
      </c>
      <c r="E12695">
        <v>-4.2</v>
      </c>
      <c r="F12695">
        <v>80</v>
      </c>
    </row>
    <row r="12696" spans="1:6" x14ac:dyDescent="0.35">
      <c r="A12696">
        <v>1975</v>
      </c>
      <c r="B12696" s="1">
        <v>46053</v>
      </c>
      <c r="C12696" s="2">
        <v>0.91666666666666663</v>
      </c>
      <c r="D12696">
        <v>1</v>
      </c>
      <c r="E12696">
        <v>-4.4000000000000004</v>
      </c>
      <c r="F12696">
        <v>80</v>
      </c>
    </row>
    <row r="12697" spans="1:6" x14ac:dyDescent="0.35">
      <c r="A12697">
        <v>1975</v>
      </c>
      <c r="B12697" s="1">
        <v>46053</v>
      </c>
      <c r="C12697" s="2">
        <v>0.95833333333333337</v>
      </c>
      <c r="D12697">
        <v>1</v>
      </c>
      <c r="E12697">
        <v>-4.5999999999999996</v>
      </c>
      <c r="F12697">
        <v>79</v>
      </c>
    </row>
    <row r="12698" spans="1:6" x14ac:dyDescent="0.35">
      <c r="A12698">
        <v>1975</v>
      </c>
      <c r="B12698" s="1">
        <v>46054</v>
      </c>
      <c r="C12698" s="2">
        <v>0</v>
      </c>
      <c r="D12698">
        <v>1</v>
      </c>
      <c r="E12698">
        <v>-4.8</v>
      </c>
      <c r="F12698">
        <v>79</v>
      </c>
    </row>
    <row r="12699" spans="1:6" x14ac:dyDescent="0.35">
      <c r="A12699">
        <v>1975</v>
      </c>
      <c r="B12699" s="1">
        <v>46054</v>
      </c>
      <c r="C12699" s="2">
        <v>4.1666666666666657E-2</v>
      </c>
      <c r="D12699">
        <v>1</v>
      </c>
      <c r="E12699">
        <v>-5</v>
      </c>
      <c r="F12699">
        <v>79</v>
      </c>
    </row>
    <row r="12700" spans="1:6" x14ac:dyDescent="0.35">
      <c r="A12700">
        <v>1975</v>
      </c>
      <c r="B12700" s="1">
        <v>46054</v>
      </c>
      <c r="C12700" s="2">
        <v>8.3333333333333329E-2</v>
      </c>
      <c r="D12700">
        <v>1</v>
      </c>
      <c r="E12700">
        <v>-5.3</v>
      </c>
      <c r="F12700">
        <v>78</v>
      </c>
    </row>
    <row r="12701" spans="1:6" x14ac:dyDescent="0.35">
      <c r="A12701">
        <v>1975</v>
      </c>
      <c r="B12701" s="1">
        <v>46054</v>
      </c>
      <c r="C12701" s="2">
        <v>0.125</v>
      </c>
      <c r="D12701">
        <v>1</v>
      </c>
      <c r="E12701">
        <v>-5.5</v>
      </c>
      <c r="F12701">
        <v>78</v>
      </c>
    </row>
    <row r="12702" spans="1:6" x14ac:dyDescent="0.35">
      <c r="A12702">
        <v>1975</v>
      </c>
      <c r="B12702" s="1">
        <v>46054</v>
      </c>
      <c r="C12702" s="2">
        <v>0.16666666666666671</v>
      </c>
      <c r="D12702">
        <v>1</v>
      </c>
      <c r="E12702">
        <v>-5.5</v>
      </c>
      <c r="F12702">
        <v>78</v>
      </c>
    </row>
    <row r="12703" spans="1:6" x14ac:dyDescent="0.35">
      <c r="A12703">
        <v>1975</v>
      </c>
      <c r="B12703" s="1">
        <v>46054</v>
      </c>
      <c r="C12703" s="2">
        <v>0.20833333333333329</v>
      </c>
      <c r="D12703">
        <v>1</v>
      </c>
      <c r="E12703">
        <v>-5.7</v>
      </c>
      <c r="F12703">
        <v>79</v>
      </c>
    </row>
    <row r="12704" spans="1:6" x14ac:dyDescent="0.35">
      <c r="A12704">
        <v>1975</v>
      </c>
      <c r="B12704" s="1">
        <v>46054</v>
      </c>
      <c r="C12704" s="2">
        <v>0.25</v>
      </c>
      <c r="D12704">
        <v>1</v>
      </c>
      <c r="E12704">
        <v>-5.9</v>
      </c>
      <c r="F12704">
        <v>79</v>
      </c>
    </row>
    <row r="12705" spans="1:6" x14ac:dyDescent="0.35">
      <c r="A12705">
        <v>1975</v>
      </c>
      <c r="B12705" s="1">
        <v>46054</v>
      </c>
      <c r="C12705" s="2">
        <v>0.29166666666666669</v>
      </c>
      <c r="D12705">
        <v>1</v>
      </c>
      <c r="E12705">
        <v>-6</v>
      </c>
      <c r="F12705">
        <v>79</v>
      </c>
    </row>
    <row r="12706" spans="1:6" x14ac:dyDescent="0.35">
      <c r="A12706">
        <v>1975</v>
      </c>
      <c r="B12706" s="1">
        <v>46054</v>
      </c>
      <c r="C12706" s="2">
        <v>0.33333333333333331</v>
      </c>
      <c r="D12706">
        <v>1</v>
      </c>
      <c r="E12706">
        <v>-6</v>
      </c>
      <c r="F12706">
        <v>78</v>
      </c>
    </row>
    <row r="12707" spans="1:6" x14ac:dyDescent="0.35">
      <c r="A12707">
        <v>1975</v>
      </c>
      <c r="B12707" s="1">
        <v>46054</v>
      </c>
      <c r="C12707" s="2">
        <v>0.375</v>
      </c>
      <c r="D12707">
        <v>1</v>
      </c>
      <c r="E12707">
        <v>-5.8</v>
      </c>
      <c r="F12707">
        <v>77</v>
      </c>
    </row>
    <row r="12708" spans="1:6" x14ac:dyDescent="0.35">
      <c r="A12708">
        <v>1975</v>
      </c>
      <c r="B12708" s="1">
        <v>46054</v>
      </c>
      <c r="C12708" s="2">
        <v>0.41666666666666669</v>
      </c>
      <c r="D12708">
        <v>1</v>
      </c>
      <c r="E12708">
        <v>-5.8</v>
      </c>
      <c r="F12708">
        <v>77</v>
      </c>
    </row>
    <row r="12709" spans="1:6" x14ac:dyDescent="0.35">
      <c r="A12709">
        <v>1975</v>
      </c>
      <c r="B12709" s="1">
        <v>46054</v>
      </c>
      <c r="C12709" s="2">
        <v>0.45833333333333331</v>
      </c>
      <c r="D12709">
        <v>1</v>
      </c>
      <c r="E12709">
        <v>-5.5</v>
      </c>
      <c r="F12709">
        <v>77</v>
      </c>
    </row>
    <row r="12710" spans="1:6" x14ac:dyDescent="0.35">
      <c r="A12710">
        <v>1975</v>
      </c>
      <c r="B12710" s="1">
        <v>46054</v>
      </c>
      <c r="C12710" s="2">
        <v>0.5</v>
      </c>
      <c r="D12710">
        <v>1</v>
      </c>
      <c r="E12710">
        <v>-5.5</v>
      </c>
      <c r="F12710">
        <v>75</v>
      </c>
    </row>
    <row r="12711" spans="1:6" x14ac:dyDescent="0.35">
      <c r="A12711">
        <v>1975</v>
      </c>
      <c r="B12711" s="1">
        <v>46054</v>
      </c>
      <c r="C12711" s="2">
        <v>0.54166666666666663</v>
      </c>
      <c r="D12711">
        <v>1</v>
      </c>
      <c r="E12711">
        <v>-5.4</v>
      </c>
      <c r="F12711">
        <v>76</v>
      </c>
    </row>
    <row r="12712" spans="1:6" x14ac:dyDescent="0.35">
      <c r="A12712">
        <v>1975</v>
      </c>
      <c r="B12712" s="1">
        <v>46054</v>
      </c>
      <c r="C12712" s="2">
        <v>0.58333333333333337</v>
      </c>
      <c r="D12712">
        <v>1</v>
      </c>
      <c r="E12712">
        <v>-5.7</v>
      </c>
      <c r="F12712">
        <v>78</v>
      </c>
    </row>
    <row r="12713" spans="1:6" x14ac:dyDescent="0.35">
      <c r="A12713">
        <v>1975</v>
      </c>
      <c r="B12713" s="1">
        <v>46054</v>
      </c>
      <c r="C12713" s="2">
        <v>0.625</v>
      </c>
      <c r="D12713">
        <v>1</v>
      </c>
      <c r="E12713">
        <v>-5.9</v>
      </c>
      <c r="F12713">
        <v>77</v>
      </c>
    </row>
    <row r="12714" spans="1:6" x14ac:dyDescent="0.35">
      <c r="A12714">
        <v>1975</v>
      </c>
      <c r="B12714" s="1">
        <v>46054</v>
      </c>
      <c r="C12714" s="2">
        <v>0.66666666666666663</v>
      </c>
      <c r="D12714">
        <v>1</v>
      </c>
      <c r="E12714">
        <v>-6</v>
      </c>
      <c r="F12714">
        <v>77</v>
      </c>
    </row>
    <row r="12715" spans="1:6" x14ac:dyDescent="0.35">
      <c r="A12715">
        <v>1975</v>
      </c>
      <c r="B12715" s="1">
        <v>46054</v>
      </c>
      <c r="C12715" s="2">
        <v>0.70833333333333337</v>
      </c>
      <c r="D12715">
        <v>1</v>
      </c>
      <c r="E12715">
        <v>-6.3</v>
      </c>
      <c r="F12715">
        <v>78</v>
      </c>
    </row>
    <row r="12716" spans="1:6" x14ac:dyDescent="0.35">
      <c r="A12716">
        <v>1975</v>
      </c>
      <c r="B12716" s="1">
        <v>46054</v>
      </c>
      <c r="C12716" s="2">
        <v>0.75</v>
      </c>
      <c r="D12716">
        <v>1</v>
      </c>
      <c r="E12716">
        <v>-6.4</v>
      </c>
      <c r="F12716">
        <v>78</v>
      </c>
    </row>
    <row r="12717" spans="1:6" x14ac:dyDescent="0.35">
      <c r="A12717">
        <v>1975</v>
      </c>
      <c r="B12717" s="1">
        <v>46054</v>
      </c>
      <c r="C12717" s="2">
        <v>0.79166666666666663</v>
      </c>
      <c r="D12717">
        <v>1</v>
      </c>
      <c r="E12717">
        <v>-6.6</v>
      </c>
      <c r="F12717">
        <v>79</v>
      </c>
    </row>
    <row r="12718" spans="1:6" x14ac:dyDescent="0.35">
      <c r="A12718">
        <v>1975</v>
      </c>
      <c r="B12718" s="1">
        <v>46054</v>
      </c>
      <c r="C12718" s="2">
        <v>0.83333333333333337</v>
      </c>
      <c r="D12718">
        <v>1</v>
      </c>
      <c r="E12718">
        <v>-6.3</v>
      </c>
      <c r="F12718">
        <v>79</v>
      </c>
    </row>
    <row r="12719" spans="1:6" x14ac:dyDescent="0.35">
      <c r="A12719">
        <v>1975</v>
      </c>
      <c r="B12719" s="1">
        <v>46054</v>
      </c>
      <c r="C12719" s="2">
        <v>0.875</v>
      </c>
      <c r="D12719">
        <v>1</v>
      </c>
      <c r="E12719">
        <v>-6.4</v>
      </c>
      <c r="F12719">
        <v>79</v>
      </c>
    </row>
    <row r="12720" spans="1:6" x14ac:dyDescent="0.35">
      <c r="A12720">
        <v>1975</v>
      </c>
      <c r="B12720" s="1">
        <v>46054</v>
      </c>
      <c r="C12720" s="2">
        <v>0.91666666666666663</v>
      </c>
      <c r="D12720">
        <v>1</v>
      </c>
      <c r="E12720">
        <v>-6.6</v>
      </c>
      <c r="F12720">
        <v>84</v>
      </c>
    </row>
    <row r="12721" spans="1:6" x14ac:dyDescent="0.35">
      <c r="A12721">
        <v>1975</v>
      </c>
      <c r="B12721" s="1">
        <v>46054</v>
      </c>
      <c r="C12721" s="2">
        <v>0.95833333333333337</v>
      </c>
      <c r="D12721">
        <v>1</v>
      </c>
      <c r="E12721">
        <v>-6.1</v>
      </c>
      <c r="F12721">
        <v>80</v>
      </c>
    </row>
    <row r="12722" spans="1:6" x14ac:dyDescent="0.35">
      <c r="A12722">
        <v>1975</v>
      </c>
      <c r="B12722" s="1">
        <v>46055</v>
      </c>
      <c r="C12722" s="2">
        <v>0</v>
      </c>
      <c r="D12722">
        <v>1</v>
      </c>
      <c r="E12722">
        <v>-5.9</v>
      </c>
      <c r="F12722">
        <v>78</v>
      </c>
    </row>
    <row r="12723" spans="1:6" x14ac:dyDescent="0.35">
      <c r="A12723">
        <v>1975</v>
      </c>
      <c r="B12723" s="1">
        <v>46055</v>
      </c>
      <c r="C12723" s="2">
        <v>4.1666666666666657E-2</v>
      </c>
      <c r="D12723">
        <v>1</v>
      </c>
      <c r="E12723">
        <v>-5.8</v>
      </c>
      <c r="F12723">
        <v>76</v>
      </c>
    </row>
    <row r="12724" spans="1:6" x14ac:dyDescent="0.35">
      <c r="A12724">
        <v>1975</v>
      </c>
      <c r="B12724" s="1">
        <v>46055</v>
      </c>
      <c r="C12724" s="2">
        <v>8.3333333333333329E-2</v>
      </c>
      <c r="D12724">
        <v>1</v>
      </c>
      <c r="E12724">
        <v>-5.8</v>
      </c>
      <c r="F12724">
        <v>76</v>
      </c>
    </row>
    <row r="12725" spans="1:6" x14ac:dyDescent="0.35">
      <c r="A12725">
        <v>1975</v>
      </c>
      <c r="B12725" s="1">
        <v>46055</v>
      </c>
      <c r="C12725" s="2">
        <v>0.125</v>
      </c>
      <c r="D12725">
        <v>1</v>
      </c>
      <c r="E12725">
        <v>-6</v>
      </c>
      <c r="F12725">
        <v>74</v>
      </c>
    </row>
    <row r="12726" spans="1:6" x14ac:dyDescent="0.35">
      <c r="A12726">
        <v>1975</v>
      </c>
      <c r="B12726" s="1">
        <v>46055</v>
      </c>
      <c r="C12726" s="2">
        <v>0.16666666666666671</v>
      </c>
      <c r="D12726">
        <v>1</v>
      </c>
      <c r="E12726">
        <v>-6.1</v>
      </c>
      <c r="F12726">
        <v>74</v>
      </c>
    </row>
    <row r="12727" spans="1:6" x14ac:dyDescent="0.35">
      <c r="A12727">
        <v>1975</v>
      </c>
      <c r="B12727" s="1">
        <v>46055</v>
      </c>
      <c r="C12727" s="2">
        <v>0.20833333333333329</v>
      </c>
      <c r="D12727">
        <v>1</v>
      </c>
      <c r="E12727">
        <v>-6.4</v>
      </c>
      <c r="F12727">
        <v>74</v>
      </c>
    </row>
    <row r="12728" spans="1:6" x14ac:dyDescent="0.35">
      <c r="A12728">
        <v>1975</v>
      </c>
      <c r="B12728" s="1">
        <v>46055</v>
      </c>
      <c r="C12728" s="2">
        <v>0.25</v>
      </c>
      <c r="D12728">
        <v>1</v>
      </c>
      <c r="E12728">
        <v>-6.6</v>
      </c>
      <c r="F12728">
        <v>75</v>
      </c>
    </row>
    <row r="12729" spans="1:6" x14ac:dyDescent="0.35">
      <c r="A12729">
        <v>1975</v>
      </c>
      <c r="B12729" s="1">
        <v>46055</v>
      </c>
      <c r="C12729" s="2">
        <v>0.29166666666666669</v>
      </c>
      <c r="D12729">
        <v>1</v>
      </c>
      <c r="E12729">
        <v>-7.1</v>
      </c>
      <c r="F12729">
        <v>73</v>
      </c>
    </row>
    <row r="12730" spans="1:6" x14ac:dyDescent="0.35">
      <c r="A12730">
        <v>1975</v>
      </c>
      <c r="B12730" s="1">
        <v>46055</v>
      </c>
      <c r="C12730" s="2">
        <v>0.33333333333333331</v>
      </c>
      <c r="D12730">
        <v>1</v>
      </c>
      <c r="E12730">
        <v>-7.3</v>
      </c>
      <c r="F12730">
        <v>73</v>
      </c>
    </row>
    <row r="12731" spans="1:6" x14ac:dyDescent="0.35">
      <c r="A12731">
        <v>1975</v>
      </c>
      <c r="B12731" s="1">
        <v>46055</v>
      </c>
      <c r="C12731" s="2">
        <v>0.375</v>
      </c>
      <c r="D12731">
        <v>1</v>
      </c>
      <c r="E12731">
        <v>-7.3</v>
      </c>
      <c r="F12731">
        <v>74</v>
      </c>
    </row>
    <row r="12732" spans="1:6" x14ac:dyDescent="0.35">
      <c r="A12732">
        <v>1975</v>
      </c>
      <c r="B12732" s="1">
        <v>46055</v>
      </c>
      <c r="C12732" s="2">
        <v>0.41666666666666669</v>
      </c>
      <c r="D12732">
        <v>1</v>
      </c>
      <c r="E12732">
        <v>-7</v>
      </c>
      <c r="F12732">
        <v>74</v>
      </c>
    </row>
    <row r="12733" spans="1:6" x14ac:dyDescent="0.35">
      <c r="A12733">
        <v>1975</v>
      </c>
      <c r="B12733" s="1">
        <v>46055</v>
      </c>
      <c r="C12733" s="2">
        <v>0.45833333333333331</v>
      </c>
      <c r="D12733">
        <v>1</v>
      </c>
      <c r="E12733">
        <v>-6.7</v>
      </c>
      <c r="F12733">
        <v>73</v>
      </c>
    </row>
    <row r="12734" spans="1:6" x14ac:dyDescent="0.35">
      <c r="A12734">
        <v>1975</v>
      </c>
      <c r="B12734" s="1">
        <v>46055</v>
      </c>
      <c r="C12734" s="2">
        <v>0.5</v>
      </c>
      <c r="D12734">
        <v>1</v>
      </c>
      <c r="E12734">
        <v>-6.5</v>
      </c>
      <c r="F12734">
        <v>72</v>
      </c>
    </row>
    <row r="12735" spans="1:6" x14ac:dyDescent="0.35">
      <c r="A12735">
        <v>1975</v>
      </c>
      <c r="B12735" s="1">
        <v>46055</v>
      </c>
      <c r="C12735" s="2">
        <v>0.54166666666666663</v>
      </c>
      <c r="D12735">
        <v>1</v>
      </c>
      <c r="E12735">
        <v>-6.4</v>
      </c>
      <c r="F12735">
        <v>74</v>
      </c>
    </row>
    <row r="12736" spans="1:6" x14ac:dyDescent="0.35">
      <c r="A12736">
        <v>1975</v>
      </c>
      <c r="B12736" s="1">
        <v>46055</v>
      </c>
      <c r="C12736" s="2">
        <v>0.58333333333333337</v>
      </c>
      <c r="D12736">
        <v>1</v>
      </c>
      <c r="E12736">
        <v>-6.6</v>
      </c>
      <c r="F12736">
        <v>73</v>
      </c>
    </row>
    <row r="12737" spans="1:6" x14ac:dyDescent="0.35">
      <c r="A12737">
        <v>1975</v>
      </c>
      <c r="B12737" s="1">
        <v>46055</v>
      </c>
      <c r="C12737" s="2">
        <v>0.625</v>
      </c>
      <c r="D12737">
        <v>1</v>
      </c>
      <c r="E12737">
        <v>-7.1</v>
      </c>
      <c r="F12737">
        <v>73</v>
      </c>
    </row>
    <row r="12738" spans="1:6" x14ac:dyDescent="0.35">
      <c r="A12738">
        <v>1975</v>
      </c>
      <c r="B12738" s="1">
        <v>46055</v>
      </c>
      <c r="C12738" s="2">
        <v>0.66666666666666663</v>
      </c>
      <c r="D12738">
        <v>1</v>
      </c>
      <c r="E12738">
        <v>-7.3</v>
      </c>
      <c r="F12738">
        <v>74</v>
      </c>
    </row>
    <row r="12739" spans="1:6" x14ac:dyDescent="0.35">
      <c r="A12739">
        <v>1975</v>
      </c>
      <c r="B12739" s="1">
        <v>46055</v>
      </c>
      <c r="C12739" s="2">
        <v>0.70833333333333337</v>
      </c>
      <c r="D12739">
        <v>1</v>
      </c>
      <c r="E12739">
        <v>-7.6</v>
      </c>
      <c r="F12739">
        <v>74</v>
      </c>
    </row>
    <row r="12740" spans="1:6" x14ac:dyDescent="0.35">
      <c r="A12740">
        <v>1975</v>
      </c>
      <c r="B12740" s="1">
        <v>46055</v>
      </c>
      <c r="C12740" s="2">
        <v>0.75</v>
      </c>
      <c r="D12740">
        <v>1</v>
      </c>
      <c r="E12740">
        <v>-7.7</v>
      </c>
      <c r="F12740">
        <v>75</v>
      </c>
    </row>
    <row r="12741" spans="1:6" x14ac:dyDescent="0.35">
      <c r="A12741">
        <v>1975</v>
      </c>
      <c r="B12741" s="1">
        <v>46055</v>
      </c>
      <c r="C12741" s="2">
        <v>0.79166666666666663</v>
      </c>
      <c r="D12741">
        <v>1</v>
      </c>
      <c r="E12741">
        <v>-8</v>
      </c>
      <c r="F12741">
        <v>75</v>
      </c>
    </row>
    <row r="12742" spans="1:6" x14ac:dyDescent="0.35">
      <c r="A12742">
        <v>1975</v>
      </c>
      <c r="B12742" s="1">
        <v>46055</v>
      </c>
      <c r="C12742" s="2">
        <v>0.83333333333333337</v>
      </c>
      <c r="D12742">
        <v>1</v>
      </c>
      <c r="E12742">
        <v>-8.1</v>
      </c>
      <c r="F12742">
        <v>75</v>
      </c>
    </row>
    <row r="12743" spans="1:6" x14ac:dyDescent="0.35">
      <c r="A12743">
        <v>1975</v>
      </c>
      <c r="B12743" s="1">
        <v>46055</v>
      </c>
      <c r="C12743" s="2">
        <v>0.875</v>
      </c>
      <c r="D12743">
        <v>1</v>
      </c>
      <c r="E12743">
        <v>-8.1</v>
      </c>
      <c r="F12743">
        <v>76</v>
      </c>
    </row>
    <row r="12744" spans="1:6" x14ac:dyDescent="0.35">
      <c r="A12744">
        <v>1975</v>
      </c>
      <c r="B12744" s="1">
        <v>46055</v>
      </c>
      <c r="C12744" s="2">
        <v>0.91666666666666663</v>
      </c>
      <c r="D12744">
        <v>1</v>
      </c>
      <c r="E12744">
        <v>-8</v>
      </c>
      <c r="F12744">
        <v>76</v>
      </c>
    </row>
    <row r="12745" spans="1:6" x14ac:dyDescent="0.35">
      <c r="A12745">
        <v>1975</v>
      </c>
      <c r="B12745" s="1">
        <v>46055</v>
      </c>
      <c r="C12745" s="2">
        <v>0.95833333333333337</v>
      </c>
      <c r="D12745">
        <v>1</v>
      </c>
      <c r="E12745">
        <v>-7.8</v>
      </c>
      <c r="F12745">
        <v>76</v>
      </c>
    </row>
    <row r="12746" spans="1:6" x14ac:dyDescent="0.35">
      <c r="A12746">
        <v>1975</v>
      </c>
      <c r="B12746" s="1">
        <v>46056</v>
      </c>
      <c r="C12746" s="2">
        <v>0</v>
      </c>
      <c r="D12746">
        <v>1</v>
      </c>
      <c r="E12746">
        <v>-7.5</v>
      </c>
      <c r="F12746">
        <v>74</v>
      </c>
    </row>
    <row r="12747" spans="1:6" x14ac:dyDescent="0.35">
      <c r="A12747">
        <v>1975</v>
      </c>
      <c r="B12747" s="1">
        <v>46056</v>
      </c>
      <c r="C12747" s="2">
        <v>4.1666666666666657E-2</v>
      </c>
      <c r="D12747">
        <v>1</v>
      </c>
      <c r="E12747">
        <v>-7.2</v>
      </c>
      <c r="F12747">
        <v>72</v>
      </c>
    </row>
    <row r="12748" spans="1:6" x14ac:dyDescent="0.35">
      <c r="A12748">
        <v>1975</v>
      </c>
      <c r="B12748" s="1">
        <v>46056</v>
      </c>
      <c r="C12748" s="2">
        <v>8.3333333333333329E-2</v>
      </c>
      <c r="D12748">
        <v>1</v>
      </c>
      <c r="E12748">
        <v>-6.8</v>
      </c>
      <c r="F12748">
        <v>71</v>
      </c>
    </row>
    <row r="12749" spans="1:6" x14ac:dyDescent="0.35">
      <c r="A12749">
        <v>1975</v>
      </c>
      <c r="B12749" s="1">
        <v>46056</v>
      </c>
      <c r="C12749" s="2">
        <v>0.125</v>
      </c>
      <c r="D12749">
        <v>1</v>
      </c>
      <c r="E12749">
        <v>-6.5</v>
      </c>
      <c r="F12749">
        <v>70</v>
      </c>
    </row>
    <row r="12750" spans="1:6" x14ac:dyDescent="0.35">
      <c r="A12750">
        <v>1975</v>
      </c>
      <c r="B12750" s="1">
        <v>46056</v>
      </c>
      <c r="C12750" s="2">
        <v>0.16666666666666671</v>
      </c>
      <c r="D12750">
        <v>1</v>
      </c>
      <c r="E12750">
        <v>-6.4</v>
      </c>
      <c r="F12750">
        <v>69</v>
      </c>
    </row>
    <row r="12751" spans="1:6" x14ac:dyDescent="0.35">
      <c r="A12751">
        <v>1975</v>
      </c>
      <c r="B12751" s="1">
        <v>46056</v>
      </c>
      <c r="C12751" s="2">
        <v>0.20833333333333329</v>
      </c>
      <c r="D12751">
        <v>1</v>
      </c>
      <c r="E12751">
        <v>-6.5</v>
      </c>
      <c r="F12751">
        <v>71</v>
      </c>
    </row>
    <row r="12752" spans="1:6" x14ac:dyDescent="0.35">
      <c r="A12752">
        <v>1975</v>
      </c>
      <c r="B12752" s="1">
        <v>46056</v>
      </c>
      <c r="C12752" s="2">
        <v>0.25</v>
      </c>
      <c r="D12752">
        <v>1</v>
      </c>
      <c r="E12752">
        <v>-7</v>
      </c>
      <c r="F12752">
        <v>70</v>
      </c>
    </row>
    <row r="12753" spans="1:6" x14ac:dyDescent="0.35">
      <c r="A12753">
        <v>1975</v>
      </c>
      <c r="B12753" s="1">
        <v>46056</v>
      </c>
      <c r="C12753" s="2">
        <v>0.29166666666666669</v>
      </c>
      <c r="D12753">
        <v>1</v>
      </c>
      <c r="E12753">
        <v>-7.1</v>
      </c>
      <c r="F12753">
        <v>67</v>
      </c>
    </row>
    <row r="12754" spans="1:6" x14ac:dyDescent="0.35">
      <c r="A12754">
        <v>1975</v>
      </c>
      <c r="B12754" s="1">
        <v>46056</v>
      </c>
      <c r="C12754" s="2">
        <v>0.33333333333333331</v>
      </c>
      <c r="D12754">
        <v>1</v>
      </c>
      <c r="E12754">
        <v>-6.8</v>
      </c>
      <c r="F12754">
        <v>60</v>
      </c>
    </row>
    <row r="12755" spans="1:6" x14ac:dyDescent="0.35">
      <c r="A12755">
        <v>1975</v>
      </c>
      <c r="B12755" s="1">
        <v>46056</v>
      </c>
      <c r="C12755" s="2">
        <v>0.375</v>
      </c>
      <c r="D12755">
        <v>1</v>
      </c>
      <c r="E12755">
        <v>-6.3</v>
      </c>
      <c r="F12755">
        <v>60</v>
      </c>
    </row>
    <row r="12756" spans="1:6" x14ac:dyDescent="0.35">
      <c r="A12756">
        <v>1975</v>
      </c>
      <c r="B12756" s="1">
        <v>46056</v>
      </c>
      <c r="C12756" s="2">
        <v>0.41666666666666669</v>
      </c>
      <c r="D12756">
        <v>1</v>
      </c>
      <c r="E12756">
        <v>-5.9</v>
      </c>
      <c r="F12756">
        <v>61</v>
      </c>
    </row>
    <row r="12757" spans="1:6" x14ac:dyDescent="0.35">
      <c r="A12757">
        <v>1975</v>
      </c>
      <c r="B12757" s="1">
        <v>46056</v>
      </c>
      <c r="C12757" s="2">
        <v>0.45833333333333331</v>
      </c>
      <c r="D12757">
        <v>1</v>
      </c>
      <c r="E12757">
        <v>-5.8</v>
      </c>
      <c r="F12757">
        <v>60</v>
      </c>
    </row>
    <row r="12758" spans="1:6" x14ac:dyDescent="0.35">
      <c r="A12758">
        <v>1975</v>
      </c>
      <c r="B12758" s="1">
        <v>46056</v>
      </c>
      <c r="C12758" s="2">
        <v>0.5</v>
      </c>
      <c r="D12758">
        <v>1</v>
      </c>
      <c r="E12758">
        <v>-5.2</v>
      </c>
      <c r="F12758">
        <v>60</v>
      </c>
    </row>
    <row r="12759" spans="1:6" x14ac:dyDescent="0.35">
      <c r="A12759">
        <v>1975</v>
      </c>
      <c r="B12759" s="1">
        <v>46056</v>
      </c>
      <c r="C12759" s="2">
        <v>0.54166666666666663</v>
      </c>
      <c r="D12759">
        <v>1</v>
      </c>
      <c r="E12759">
        <v>-4.7</v>
      </c>
      <c r="F12759">
        <v>59</v>
      </c>
    </row>
    <row r="12760" spans="1:6" x14ac:dyDescent="0.35">
      <c r="A12760">
        <v>1975</v>
      </c>
      <c r="B12760" s="1">
        <v>46056</v>
      </c>
      <c r="C12760" s="2">
        <v>0.58333333333333337</v>
      </c>
      <c r="D12760">
        <v>1</v>
      </c>
      <c r="E12760">
        <v>-4.4000000000000004</v>
      </c>
      <c r="F12760">
        <v>59</v>
      </c>
    </row>
    <row r="12761" spans="1:6" x14ac:dyDescent="0.35">
      <c r="A12761">
        <v>1975</v>
      </c>
      <c r="B12761" s="1">
        <v>46056</v>
      </c>
      <c r="C12761" s="2">
        <v>0.625</v>
      </c>
      <c r="D12761">
        <v>1</v>
      </c>
      <c r="E12761">
        <v>-4.4000000000000004</v>
      </c>
      <c r="F12761">
        <v>58</v>
      </c>
    </row>
    <row r="12762" spans="1:6" x14ac:dyDescent="0.35">
      <c r="A12762">
        <v>1975</v>
      </c>
      <c r="B12762" s="1">
        <v>46056</v>
      </c>
      <c r="C12762" s="2">
        <v>0.66666666666666663</v>
      </c>
      <c r="D12762">
        <v>1</v>
      </c>
      <c r="E12762">
        <v>-4.2</v>
      </c>
      <c r="F12762">
        <v>57</v>
      </c>
    </row>
    <row r="12763" spans="1:6" x14ac:dyDescent="0.35">
      <c r="A12763">
        <v>1975</v>
      </c>
      <c r="B12763" s="1">
        <v>46056</v>
      </c>
      <c r="C12763" s="2">
        <v>0.70833333333333337</v>
      </c>
      <c r="D12763">
        <v>1</v>
      </c>
      <c r="E12763">
        <v>-4.0999999999999996</v>
      </c>
      <c r="F12763">
        <v>56</v>
      </c>
    </row>
    <row r="12764" spans="1:6" x14ac:dyDescent="0.35">
      <c r="A12764">
        <v>1975</v>
      </c>
      <c r="B12764" s="1">
        <v>46056</v>
      </c>
      <c r="C12764" s="2">
        <v>0.75</v>
      </c>
      <c r="D12764">
        <v>1</v>
      </c>
      <c r="E12764">
        <v>-3.8</v>
      </c>
      <c r="F12764">
        <v>55</v>
      </c>
    </row>
    <row r="12765" spans="1:6" x14ac:dyDescent="0.35">
      <c r="A12765">
        <v>1975</v>
      </c>
      <c r="B12765" s="1">
        <v>46056</v>
      </c>
      <c r="C12765" s="2">
        <v>0.79166666666666663</v>
      </c>
      <c r="D12765">
        <v>1</v>
      </c>
      <c r="E12765">
        <v>-3.9</v>
      </c>
      <c r="F12765">
        <v>54</v>
      </c>
    </row>
    <row r="12766" spans="1:6" x14ac:dyDescent="0.35">
      <c r="A12766">
        <v>1975</v>
      </c>
      <c r="B12766" s="1">
        <v>46056</v>
      </c>
      <c r="C12766" s="2">
        <v>0.83333333333333337</v>
      </c>
      <c r="D12766">
        <v>1</v>
      </c>
      <c r="E12766">
        <v>-4</v>
      </c>
      <c r="F12766">
        <v>55</v>
      </c>
    </row>
    <row r="12767" spans="1:6" x14ac:dyDescent="0.35">
      <c r="A12767">
        <v>1975</v>
      </c>
      <c r="B12767" s="1">
        <v>46056</v>
      </c>
      <c r="C12767" s="2">
        <v>0.875</v>
      </c>
      <c r="D12767">
        <v>1</v>
      </c>
      <c r="E12767">
        <v>-4</v>
      </c>
      <c r="F12767">
        <v>55</v>
      </c>
    </row>
    <row r="12768" spans="1:6" x14ac:dyDescent="0.35">
      <c r="A12768">
        <v>1975</v>
      </c>
      <c r="B12768" s="1">
        <v>46056</v>
      </c>
      <c r="C12768" s="2">
        <v>0.91666666666666663</v>
      </c>
      <c r="D12768">
        <v>1</v>
      </c>
      <c r="E12768">
        <v>-4.2</v>
      </c>
      <c r="F12768">
        <v>57</v>
      </c>
    </row>
    <row r="12769" spans="1:6" x14ac:dyDescent="0.35">
      <c r="A12769">
        <v>1975</v>
      </c>
      <c r="B12769" s="1">
        <v>46056</v>
      </c>
      <c r="C12769" s="2">
        <v>0.95833333333333337</v>
      </c>
      <c r="D12769">
        <v>1</v>
      </c>
      <c r="E12769">
        <v>-4.4000000000000004</v>
      </c>
      <c r="F12769">
        <v>58</v>
      </c>
    </row>
    <row r="12770" spans="1:6" x14ac:dyDescent="0.35">
      <c r="A12770">
        <v>1975</v>
      </c>
      <c r="B12770" s="1">
        <v>46057</v>
      </c>
      <c r="C12770" s="2">
        <v>0</v>
      </c>
      <c r="D12770">
        <v>1</v>
      </c>
      <c r="E12770">
        <v>-4.5999999999999996</v>
      </c>
      <c r="F12770">
        <v>59</v>
      </c>
    </row>
    <row r="12771" spans="1:6" x14ac:dyDescent="0.35">
      <c r="A12771">
        <v>1975</v>
      </c>
      <c r="B12771" s="1">
        <v>46057</v>
      </c>
      <c r="C12771" s="2">
        <v>4.1666666666666657E-2</v>
      </c>
      <c r="D12771">
        <v>1</v>
      </c>
      <c r="E12771">
        <v>-4.7</v>
      </c>
      <c r="F12771">
        <v>62</v>
      </c>
    </row>
    <row r="12772" spans="1:6" x14ac:dyDescent="0.35">
      <c r="A12772">
        <v>1975</v>
      </c>
      <c r="B12772" s="1">
        <v>46057</v>
      </c>
      <c r="C12772" s="2">
        <v>8.3333333333333329E-2</v>
      </c>
      <c r="D12772">
        <v>1</v>
      </c>
      <c r="E12772">
        <v>-5.0999999999999996</v>
      </c>
      <c r="F12772">
        <v>63</v>
      </c>
    </row>
    <row r="12773" spans="1:6" x14ac:dyDescent="0.35">
      <c r="A12773">
        <v>1975</v>
      </c>
      <c r="B12773" s="1">
        <v>46057</v>
      </c>
      <c r="C12773" s="2">
        <v>0.125</v>
      </c>
      <c r="D12773">
        <v>1</v>
      </c>
      <c r="E12773">
        <v>-5.2</v>
      </c>
      <c r="F12773">
        <v>64</v>
      </c>
    </row>
    <row r="12774" spans="1:6" x14ac:dyDescent="0.35">
      <c r="A12774">
        <v>1975</v>
      </c>
      <c r="B12774" s="1">
        <v>46057</v>
      </c>
      <c r="C12774" s="2">
        <v>0.16666666666666671</v>
      </c>
      <c r="D12774">
        <v>1</v>
      </c>
      <c r="E12774">
        <v>-5.3</v>
      </c>
      <c r="F12774">
        <v>65</v>
      </c>
    </row>
    <row r="12775" spans="1:6" x14ac:dyDescent="0.35">
      <c r="A12775">
        <v>1975</v>
      </c>
      <c r="B12775" s="1">
        <v>46057</v>
      </c>
      <c r="C12775" s="2">
        <v>0.20833333333333329</v>
      </c>
      <c r="D12775">
        <v>1</v>
      </c>
      <c r="E12775">
        <v>-5.5</v>
      </c>
      <c r="F12775">
        <v>68</v>
      </c>
    </row>
    <row r="12776" spans="1:6" x14ac:dyDescent="0.35">
      <c r="A12776">
        <v>1975</v>
      </c>
      <c r="B12776" s="1">
        <v>46057</v>
      </c>
      <c r="C12776" s="2">
        <v>0.25</v>
      </c>
      <c r="D12776">
        <v>1</v>
      </c>
      <c r="E12776">
        <v>-6.4</v>
      </c>
      <c r="F12776">
        <v>79</v>
      </c>
    </row>
    <row r="12777" spans="1:6" x14ac:dyDescent="0.35">
      <c r="A12777">
        <v>1975</v>
      </c>
      <c r="B12777" s="1">
        <v>46057</v>
      </c>
      <c r="C12777" s="2">
        <v>0.29166666666666669</v>
      </c>
      <c r="D12777">
        <v>1</v>
      </c>
      <c r="E12777">
        <v>-6.5</v>
      </c>
      <c r="F12777">
        <v>84</v>
      </c>
    </row>
    <row r="12778" spans="1:6" x14ac:dyDescent="0.35">
      <c r="A12778">
        <v>1975</v>
      </c>
      <c r="B12778" s="1">
        <v>46057</v>
      </c>
      <c r="C12778" s="2">
        <v>0.33333333333333331</v>
      </c>
      <c r="D12778">
        <v>1</v>
      </c>
      <c r="E12778">
        <v>-6.3</v>
      </c>
      <c r="F12778">
        <v>84</v>
      </c>
    </row>
    <row r="12779" spans="1:6" x14ac:dyDescent="0.35">
      <c r="A12779">
        <v>1975</v>
      </c>
      <c r="B12779" s="1">
        <v>46057</v>
      </c>
      <c r="C12779" s="2">
        <v>0.375</v>
      </c>
      <c r="D12779">
        <v>1</v>
      </c>
      <c r="E12779">
        <v>-6.2</v>
      </c>
      <c r="F12779">
        <v>83</v>
      </c>
    </row>
    <row r="12780" spans="1:6" x14ac:dyDescent="0.35">
      <c r="A12780">
        <v>1975</v>
      </c>
      <c r="B12780" s="1">
        <v>46057</v>
      </c>
      <c r="C12780" s="2">
        <v>0.41666666666666669</v>
      </c>
      <c r="D12780">
        <v>1</v>
      </c>
      <c r="E12780">
        <v>-5.9</v>
      </c>
      <c r="F12780">
        <v>83</v>
      </c>
    </row>
    <row r="12781" spans="1:6" x14ac:dyDescent="0.35">
      <c r="A12781">
        <v>1975</v>
      </c>
      <c r="B12781" s="1">
        <v>46057</v>
      </c>
      <c r="C12781" s="2">
        <v>0.45833333333333331</v>
      </c>
      <c r="D12781">
        <v>1</v>
      </c>
      <c r="E12781">
        <v>-5.5</v>
      </c>
      <c r="F12781">
        <v>82</v>
      </c>
    </row>
    <row r="12782" spans="1:6" x14ac:dyDescent="0.35">
      <c r="A12782">
        <v>1975</v>
      </c>
      <c r="B12782" s="1">
        <v>46057</v>
      </c>
      <c r="C12782" s="2">
        <v>0.5</v>
      </c>
      <c r="D12782">
        <v>1</v>
      </c>
      <c r="E12782">
        <v>-5</v>
      </c>
      <c r="F12782">
        <v>78</v>
      </c>
    </row>
    <row r="12783" spans="1:6" x14ac:dyDescent="0.35">
      <c r="A12783">
        <v>1975</v>
      </c>
      <c r="B12783" s="1">
        <v>46057</v>
      </c>
      <c r="C12783" s="2">
        <v>0.54166666666666663</v>
      </c>
      <c r="D12783">
        <v>1</v>
      </c>
      <c r="E12783">
        <v>-4.5</v>
      </c>
      <c r="F12783">
        <v>80</v>
      </c>
    </row>
    <row r="12784" spans="1:6" x14ac:dyDescent="0.35">
      <c r="A12784">
        <v>1975</v>
      </c>
      <c r="B12784" s="1">
        <v>46057</v>
      </c>
      <c r="C12784" s="2">
        <v>0.58333333333333337</v>
      </c>
      <c r="D12784">
        <v>1</v>
      </c>
      <c r="E12784">
        <v>-4.4000000000000004</v>
      </c>
      <c r="F12784">
        <v>84</v>
      </c>
    </row>
    <row r="12785" spans="1:6" x14ac:dyDescent="0.35">
      <c r="A12785">
        <v>1975</v>
      </c>
      <c r="B12785" s="1">
        <v>46057</v>
      </c>
      <c r="C12785" s="2">
        <v>0.625</v>
      </c>
      <c r="D12785">
        <v>1</v>
      </c>
      <c r="E12785">
        <v>-4.0999999999999996</v>
      </c>
      <c r="F12785">
        <v>80</v>
      </c>
    </row>
    <row r="12786" spans="1:6" x14ac:dyDescent="0.35">
      <c r="A12786">
        <v>1975</v>
      </c>
      <c r="B12786" s="1">
        <v>46057</v>
      </c>
      <c r="C12786" s="2">
        <v>0.66666666666666663</v>
      </c>
      <c r="D12786">
        <v>1</v>
      </c>
      <c r="E12786">
        <v>-4.0999999999999996</v>
      </c>
      <c r="F12786">
        <v>80</v>
      </c>
    </row>
    <row r="12787" spans="1:6" x14ac:dyDescent="0.35">
      <c r="A12787">
        <v>1975</v>
      </c>
      <c r="B12787" s="1">
        <v>46057</v>
      </c>
      <c r="C12787" s="2">
        <v>0.70833333333333337</v>
      </c>
      <c r="D12787">
        <v>1</v>
      </c>
      <c r="E12787">
        <v>-4.3</v>
      </c>
      <c r="F12787">
        <v>85</v>
      </c>
    </row>
    <row r="12788" spans="1:6" x14ac:dyDescent="0.35">
      <c r="A12788">
        <v>1975</v>
      </c>
      <c r="B12788" s="1">
        <v>46057</v>
      </c>
      <c r="C12788" s="2">
        <v>0.75</v>
      </c>
      <c r="D12788">
        <v>1</v>
      </c>
      <c r="E12788">
        <v>-4.5</v>
      </c>
      <c r="F12788">
        <v>85</v>
      </c>
    </row>
    <row r="12789" spans="1:6" x14ac:dyDescent="0.35">
      <c r="A12789">
        <v>1975</v>
      </c>
      <c r="B12789" s="1">
        <v>46057</v>
      </c>
      <c r="C12789" s="2">
        <v>0.79166666666666663</v>
      </c>
      <c r="D12789">
        <v>1</v>
      </c>
      <c r="E12789">
        <v>-4.5</v>
      </c>
      <c r="F12789">
        <v>82</v>
      </c>
    </row>
    <row r="12790" spans="1:6" x14ac:dyDescent="0.35">
      <c r="A12790">
        <v>1975</v>
      </c>
      <c r="B12790" s="1">
        <v>46057</v>
      </c>
      <c r="C12790" s="2">
        <v>0.83333333333333337</v>
      </c>
      <c r="D12790">
        <v>1</v>
      </c>
      <c r="E12790">
        <v>-4.5999999999999996</v>
      </c>
      <c r="F12790">
        <v>83</v>
      </c>
    </row>
    <row r="12791" spans="1:6" x14ac:dyDescent="0.35">
      <c r="A12791">
        <v>1975</v>
      </c>
      <c r="B12791" s="1">
        <v>46057</v>
      </c>
      <c r="C12791" s="2">
        <v>0.875</v>
      </c>
      <c r="D12791">
        <v>1</v>
      </c>
      <c r="E12791">
        <v>-4.5</v>
      </c>
      <c r="F12791">
        <v>84</v>
      </c>
    </row>
    <row r="12792" spans="1:6" x14ac:dyDescent="0.35">
      <c r="A12792">
        <v>1975</v>
      </c>
      <c r="B12792" s="1">
        <v>46057</v>
      </c>
      <c r="C12792" s="2">
        <v>0.91666666666666663</v>
      </c>
      <c r="D12792">
        <v>1</v>
      </c>
      <c r="E12792">
        <v>-4.7</v>
      </c>
      <c r="F12792">
        <v>89</v>
      </c>
    </row>
    <row r="12793" spans="1:6" x14ac:dyDescent="0.35">
      <c r="A12793">
        <v>1975</v>
      </c>
      <c r="B12793" s="1">
        <v>46057</v>
      </c>
      <c r="C12793" s="2">
        <v>0.95833333333333337</v>
      </c>
      <c r="D12793">
        <v>1</v>
      </c>
      <c r="E12793">
        <v>-4.4000000000000004</v>
      </c>
      <c r="F12793">
        <v>84</v>
      </c>
    </row>
    <row r="12794" spans="1:6" x14ac:dyDescent="0.35">
      <c r="A12794">
        <v>1975</v>
      </c>
      <c r="B12794" s="1">
        <v>46058</v>
      </c>
      <c r="C12794" s="2">
        <v>0</v>
      </c>
      <c r="D12794">
        <v>1</v>
      </c>
      <c r="E12794">
        <v>-4.3</v>
      </c>
      <c r="F12794">
        <v>85</v>
      </c>
    </row>
    <row r="12795" spans="1:6" x14ac:dyDescent="0.35">
      <c r="A12795">
        <v>1975</v>
      </c>
      <c r="B12795" s="1">
        <v>46058</v>
      </c>
      <c r="C12795" s="2">
        <v>4.1666666666666657E-2</v>
      </c>
      <c r="D12795">
        <v>1</v>
      </c>
      <c r="E12795">
        <v>-4.3</v>
      </c>
      <c r="F12795">
        <v>83</v>
      </c>
    </row>
    <row r="12796" spans="1:6" x14ac:dyDescent="0.35">
      <c r="A12796">
        <v>1975</v>
      </c>
      <c r="B12796" s="1">
        <v>46058</v>
      </c>
      <c r="C12796" s="2">
        <v>8.3333333333333329E-2</v>
      </c>
      <c r="D12796">
        <v>1</v>
      </c>
      <c r="E12796">
        <v>-3.9</v>
      </c>
      <c r="F12796">
        <v>83</v>
      </c>
    </row>
    <row r="12797" spans="1:6" x14ac:dyDescent="0.35">
      <c r="A12797">
        <v>1975</v>
      </c>
      <c r="B12797" s="1">
        <v>46058</v>
      </c>
      <c r="C12797" s="2">
        <v>0.125</v>
      </c>
      <c r="D12797">
        <v>1</v>
      </c>
      <c r="E12797">
        <v>-3.7</v>
      </c>
      <c r="F12797">
        <v>83</v>
      </c>
    </row>
    <row r="12798" spans="1:6" x14ac:dyDescent="0.35">
      <c r="A12798">
        <v>1975</v>
      </c>
      <c r="B12798" s="1">
        <v>46058</v>
      </c>
      <c r="C12798" s="2">
        <v>0.16666666666666671</v>
      </c>
      <c r="D12798">
        <v>1</v>
      </c>
      <c r="E12798">
        <v>-3.4</v>
      </c>
      <c r="F12798">
        <v>83</v>
      </c>
    </row>
    <row r="12799" spans="1:6" x14ac:dyDescent="0.35">
      <c r="A12799">
        <v>1975</v>
      </c>
      <c r="B12799" s="1">
        <v>46058</v>
      </c>
      <c r="C12799" s="2">
        <v>0.20833333333333329</v>
      </c>
      <c r="D12799">
        <v>1</v>
      </c>
      <c r="E12799">
        <v>-3.1</v>
      </c>
      <c r="F12799">
        <v>86</v>
      </c>
    </row>
    <row r="12800" spans="1:6" x14ac:dyDescent="0.35">
      <c r="A12800">
        <v>1975</v>
      </c>
      <c r="B12800" s="1">
        <v>46058</v>
      </c>
      <c r="C12800" s="2">
        <v>0.25</v>
      </c>
      <c r="D12800">
        <v>1</v>
      </c>
      <c r="E12800">
        <v>-3.1</v>
      </c>
      <c r="F12800">
        <v>88</v>
      </c>
    </row>
    <row r="12801" spans="1:6" x14ac:dyDescent="0.35">
      <c r="A12801">
        <v>1975</v>
      </c>
      <c r="B12801" s="1">
        <v>46058</v>
      </c>
      <c r="C12801" s="2">
        <v>0.29166666666666669</v>
      </c>
      <c r="D12801">
        <v>1</v>
      </c>
      <c r="E12801">
        <v>-3.1</v>
      </c>
      <c r="F12801">
        <v>90</v>
      </c>
    </row>
    <row r="12802" spans="1:6" x14ac:dyDescent="0.35">
      <c r="A12802">
        <v>1975</v>
      </c>
      <c r="B12802" s="1">
        <v>46058</v>
      </c>
      <c r="C12802" s="2">
        <v>0.33333333333333331</v>
      </c>
      <c r="D12802">
        <v>1</v>
      </c>
      <c r="E12802">
        <v>-3.3</v>
      </c>
      <c r="F12802">
        <v>92</v>
      </c>
    </row>
    <row r="12803" spans="1:6" x14ac:dyDescent="0.35">
      <c r="A12803">
        <v>1975</v>
      </c>
      <c r="B12803" s="1">
        <v>46058</v>
      </c>
      <c r="C12803" s="2">
        <v>0.375</v>
      </c>
      <c r="D12803">
        <v>1</v>
      </c>
      <c r="E12803">
        <v>-3.2</v>
      </c>
      <c r="F12803">
        <v>89</v>
      </c>
    </row>
    <row r="12804" spans="1:6" x14ac:dyDescent="0.35">
      <c r="A12804">
        <v>1975</v>
      </c>
      <c r="B12804" s="1">
        <v>46058</v>
      </c>
      <c r="C12804" s="2">
        <v>0.41666666666666669</v>
      </c>
      <c r="D12804">
        <v>1</v>
      </c>
      <c r="E12804">
        <v>-3.2</v>
      </c>
      <c r="F12804">
        <v>88</v>
      </c>
    </row>
    <row r="12805" spans="1:6" x14ac:dyDescent="0.35">
      <c r="A12805">
        <v>1975</v>
      </c>
      <c r="B12805" s="1">
        <v>46058</v>
      </c>
      <c r="C12805" s="2">
        <v>0.45833333333333331</v>
      </c>
      <c r="D12805">
        <v>1</v>
      </c>
      <c r="E12805">
        <v>-3.2</v>
      </c>
      <c r="F12805">
        <v>87</v>
      </c>
    </row>
    <row r="12806" spans="1:6" x14ac:dyDescent="0.35">
      <c r="A12806">
        <v>1975</v>
      </c>
      <c r="B12806" s="1">
        <v>46058</v>
      </c>
      <c r="C12806" s="2">
        <v>0.5</v>
      </c>
      <c r="D12806">
        <v>1</v>
      </c>
      <c r="E12806">
        <v>-3.2</v>
      </c>
      <c r="F12806">
        <v>86</v>
      </c>
    </row>
    <row r="12807" spans="1:6" x14ac:dyDescent="0.35">
      <c r="A12807">
        <v>1975</v>
      </c>
      <c r="B12807" s="1">
        <v>46058</v>
      </c>
      <c r="C12807" s="2">
        <v>0.54166666666666663</v>
      </c>
      <c r="D12807">
        <v>1</v>
      </c>
      <c r="E12807">
        <v>-3.1</v>
      </c>
      <c r="F12807">
        <v>86</v>
      </c>
    </row>
    <row r="12808" spans="1:6" x14ac:dyDescent="0.35">
      <c r="A12808">
        <v>1975</v>
      </c>
      <c r="B12808" s="1">
        <v>46058</v>
      </c>
      <c r="C12808" s="2">
        <v>0.58333333333333337</v>
      </c>
      <c r="D12808">
        <v>1</v>
      </c>
      <c r="E12808">
        <v>-2.9</v>
      </c>
      <c r="F12808">
        <v>85</v>
      </c>
    </row>
    <row r="12809" spans="1:6" x14ac:dyDescent="0.35">
      <c r="A12809">
        <v>1975</v>
      </c>
      <c r="B12809" s="1">
        <v>46058</v>
      </c>
      <c r="C12809" s="2">
        <v>0.625</v>
      </c>
      <c r="D12809">
        <v>1</v>
      </c>
      <c r="E12809">
        <v>-2.8</v>
      </c>
      <c r="F12809">
        <v>84</v>
      </c>
    </row>
    <row r="12810" spans="1:6" x14ac:dyDescent="0.35">
      <c r="A12810">
        <v>1975</v>
      </c>
      <c r="B12810" s="1">
        <v>46058</v>
      </c>
      <c r="C12810" s="2">
        <v>0.66666666666666663</v>
      </c>
      <c r="D12810">
        <v>1</v>
      </c>
      <c r="E12810">
        <v>-2.9</v>
      </c>
      <c r="F12810">
        <v>86</v>
      </c>
    </row>
    <row r="12811" spans="1:6" x14ac:dyDescent="0.35">
      <c r="A12811">
        <v>1975</v>
      </c>
      <c r="B12811" s="1">
        <v>46058</v>
      </c>
      <c r="C12811" s="2">
        <v>0.70833333333333337</v>
      </c>
      <c r="D12811">
        <v>1</v>
      </c>
      <c r="E12811">
        <v>-3</v>
      </c>
      <c r="F12811">
        <v>88</v>
      </c>
    </row>
    <row r="12812" spans="1:6" x14ac:dyDescent="0.35">
      <c r="A12812">
        <v>1975</v>
      </c>
      <c r="B12812" s="1">
        <v>46058</v>
      </c>
      <c r="C12812" s="2">
        <v>0.75</v>
      </c>
      <c r="D12812">
        <v>1</v>
      </c>
      <c r="E12812">
        <v>-3</v>
      </c>
      <c r="F12812">
        <v>88</v>
      </c>
    </row>
    <row r="12813" spans="1:6" x14ac:dyDescent="0.35">
      <c r="A12813">
        <v>1975</v>
      </c>
      <c r="B12813" s="1">
        <v>46058</v>
      </c>
      <c r="C12813" s="2">
        <v>0.79166666666666663</v>
      </c>
      <c r="D12813">
        <v>1</v>
      </c>
      <c r="E12813">
        <v>-2.9</v>
      </c>
      <c r="F12813">
        <v>90</v>
      </c>
    </row>
    <row r="12814" spans="1:6" x14ac:dyDescent="0.35">
      <c r="A12814">
        <v>1975</v>
      </c>
      <c r="B12814" s="1">
        <v>46058</v>
      </c>
      <c r="C12814" s="2">
        <v>0.83333333333333337</v>
      </c>
      <c r="D12814">
        <v>1</v>
      </c>
      <c r="E12814">
        <v>-2.6</v>
      </c>
      <c r="F12814">
        <v>88</v>
      </c>
    </row>
    <row r="12815" spans="1:6" x14ac:dyDescent="0.35">
      <c r="A12815">
        <v>1975</v>
      </c>
      <c r="B12815" s="1">
        <v>46058</v>
      </c>
      <c r="C12815" s="2">
        <v>0.875</v>
      </c>
      <c r="D12815">
        <v>1</v>
      </c>
      <c r="E12815">
        <v>-2.6</v>
      </c>
      <c r="F12815">
        <v>88</v>
      </c>
    </row>
    <row r="12816" spans="1:6" x14ac:dyDescent="0.35">
      <c r="A12816">
        <v>1975</v>
      </c>
      <c r="B12816" s="1">
        <v>46058</v>
      </c>
      <c r="C12816" s="2">
        <v>0.91666666666666663</v>
      </c>
      <c r="D12816">
        <v>1</v>
      </c>
      <c r="E12816">
        <v>-2.4</v>
      </c>
      <c r="F12816">
        <v>89</v>
      </c>
    </row>
    <row r="12817" spans="1:6" x14ac:dyDescent="0.35">
      <c r="A12817">
        <v>1975</v>
      </c>
      <c r="B12817" s="1">
        <v>46058</v>
      </c>
      <c r="C12817" s="2">
        <v>0.95833333333333337</v>
      </c>
      <c r="D12817">
        <v>1</v>
      </c>
      <c r="E12817">
        <v>-2.2000000000000002</v>
      </c>
      <c r="F12817">
        <v>90</v>
      </c>
    </row>
    <row r="12818" spans="1:6" x14ac:dyDescent="0.35">
      <c r="A12818">
        <v>1975</v>
      </c>
      <c r="B12818" s="1">
        <v>46059</v>
      </c>
      <c r="C12818" s="2">
        <v>0</v>
      </c>
      <c r="D12818">
        <v>1</v>
      </c>
      <c r="E12818">
        <v>-1.9</v>
      </c>
      <c r="F12818">
        <v>90</v>
      </c>
    </row>
    <row r="12819" spans="1:6" x14ac:dyDescent="0.35">
      <c r="A12819">
        <v>1975</v>
      </c>
      <c r="B12819" s="1">
        <v>46059</v>
      </c>
      <c r="C12819" s="2">
        <v>4.1666666666666657E-2</v>
      </c>
      <c r="D12819">
        <v>1</v>
      </c>
      <c r="E12819">
        <v>-1.8</v>
      </c>
      <c r="F12819">
        <v>89</v>
      </c>
    </row>
    <row r="12820" spans="1:6" x14ac:dyDescent="0.35">
      <c r="A12820">
        <v>1975</v>
      </c>
      <c r="B12820" s="1">
        <v>46059</v>
      </c>
      <c r="C12820" s="2">
        <v>8.3333333333333329E-2</v>
      </c>
      <c r="D12820">
        <v>1</v>
      </c>
      <c r="E12820">
        <v>-1.8</v>
      </c>
      <c r="F12820">
        <v>91</v>
      </c>
    </row>
    <row r="12821" spans="1:6" x14ac:dyDescent="0.35">
      <c r="A12821">
        <v>1975</v>
      </c>
      <c r="B12821" s="1">
        <v>46059</v>
      </c>
      <c r="C12821" s="2">
        <v>0.125</v>
      </c>
      <c r="D12821">
        <v>1</v>
      </c>
      <c r="E12821">
        <v>-1.8</v>
      </c>
      <c r="F12821">
        <v>93</v>
      </c>
    </row>
    <row r="12822" spans="1:6" x14ac:dyDescent="0.35">
      <c r="A12822">
        <v>1975</v>
      </c>
      <c r="B12822" s="1">
        <v>46059</v>
      </c>
      <c r="C12822" s="2">
        <v>0.16666666666666671</v>
      </c>
      <c r="D12822">
        <v>1</v>
      </c>
      <c r="E12822">
        <v>-1.6</v>
      </c>
      <c r="F12822">
        <v>94</v>
      </c>
    </row>
    <row r="12823" spans="1:6" x14ac:dyDescent="0.35">
      <c r="A12823">
        <v>1975</v>
      </c>
      <c r="B12823" s="1">
        <v>46059</v>
      </c>
      <c r="C12823" s="2">
        <v>0.20833333333333329</v>
      </c>
      <c r="D12823">
        <v>1</v>
      </c>
      <c r="E12823">
        <v>-1.6</v>
      </c>
      <c r="F12823">
        <v>97</v>
      </c>
    </row>
    <row r="12824" spans="1:6" x14ac:dyDescent="0.35">
      <c r="A12824">
        <v>1975</v>
      </c>
      <c r="B12824" s="1">
        <v>46059</v>
      </c>
      <c r="C12824" s="2">
        <v>0.25</v>
      </c>
      <c r="D12824">
        <v>1</v>
      </c>
      <c r="E12824">
        <v>-1.3</v>
      </c>
      <c r="F12824">
        <v>98</v>
      </c>
    </row>
    <row r="12825" spans="1:6" x14ac:dyDescent="0.35">
      <c r="A12825">
        <v>1975</v>
      </c>
      <c r="B12825" s="1">
        <v>46059</v>
      </c>
      <c r="C12825" s="2">
        <v>0.29166666666666669</v>
      </c>
      <c r="D12825">
        <v>1</v>
      </c>
      <c r="E12825">
        <v>-1.1000000000000001</v>
      </c>
      <c r="F12825">
        <v>97</v>
      </c>
    </row>
    <row r="12826" spans="1:6" x14ac:dyDescent="0.35">
      <c r="A12826">
        <v>1975</v>
      </c>
      <c r="B12826" s="1">
        <v>46059</v>
      </c>
      <c r="C12826" s="2">
        <v>0.33333333333333331</v>
      </c>
      <c r="D12826">
        <v>1</v>
      </c>
      <c r="E12826">
        <v>-0.7</v>
      </c>
      <c r="F12826">
        <v>96</v>
      </c>
    </row>
    <row r="12827" spans="1:6" x14ac:dyDescent="0.35">
      <c r="A12827">
        <v>1975</v>
      </c>
      <c r="B12827" s="1">
        <v>46059</v>
      </c>
      <c r="C12827" s="2">
        <v>0.375</v>
      </c>
      <c r="D12827">
        <v>1</v>
      </c>
      <c r="E12827">
        <v>-0.5</v>
      </c>
      <c r="F12827">
        <v>96</v>
      </c>
    </row>
    <row r="12828" spans="1:6" x14ac:dyDescent="0.35">
      <c r="A12828">
        <v>1975</v>
      </c>
      <c r="B12828" s="1">
        <v>46059</v>
      </c>
      <c r="C12828" s="2">
        <v>0.41666666666666669</v>
      </c>
      <c r="D12828">
        <v>1</v>
      </c>
      <c r="E12828">
        <v>-0.2</v>
      </c>
      <c r="F12828">
        <v>96</v>
      </c>
    </row>
    <row r="12829" spans="1:6" x14ac:dyDescent="0.35">
      <c r="A12829">
        <v>1975</v>
      </c>
      <c r="B12829" s="1">
        <v>46059</v>
      </c>
      <c r="C12829" s="2">
        <v>0.45833333333333331</v>
      </c>
      <c r="D12829">
        <v>1</v>
      </c>
      <c r="E12829">
        <v>0</v>
      </c>
      <c r="F12829">
        <v>96</v>
      </c>
    </row>
    <row r="12830" spans="1:6" x14ac:dyDescent="0.35">
      <c r="A12830">
        <v>1975</v>
      </c>
      <c r="B12830" s="1">
        <v>46059</v>
      </c>
      <c r="C12830" s="2">
        <v>0.5</v>
      </c>
      <c r="D12830">
        <v>1</v>
      </c>
      <c r="E12830">
        <v>0.2</v>
      </c>
      <c r="F12830">
        <v>94</v>
      </c>
    </row>
    <row r="12831" spans="1:6" x14ac:dyDescent="0.35">
      <c r="A12831">
        <v>1975</v>
      </c>
      <c r="B12831" s="1">
        <v>46059</v>
      </c>
      <c r="C12831" s="2">
        <v>0.54166666666666663</v>
      </c>
      <c r="D12831">
        <v>1</v>
      </c>
      <c r="E12831">
        <v>0.6</v>
      </c>
      <c r="F12831">
        <v>93</v>
      </c>
    </row>
    <row r="12832" spans="1:6" x14ac:dyDescent="0.35">
      <c r="A12832">
        <v>1975</v>
      </c>
      <c r="B12832" s="1">
        <v>46059</v>
      </c>
      <c r="C12832" s="2">
        <v>0.58333333333333337</v>
      </c>
      <c r="D12832">
        <v>1</v>
      </c>
      <c r="E12832">
        <v>0.5</v>
      </c>
      <c r="F12832">
        <v>95</v>
      </c>
    </row>
    <row r="12833" spans="1:6" x14ac:dyDescent="0.35">
      <c r="A12833">
        <v>1975</v>
      </c>
      <c r="B12833" s="1">
        <v>46059</v>
      </c>
      <c r="C12833" s="2">
        <v>0.625</v>
      </c>
      <c r="D12833">
        <v>1</v>
      </c>
      <c r="E12833">
        <v>0.6</v>
      </c>
      <c r="F12833">
        <v>96</v>
      </c>
    </row>
    <row r="12834" spans="1:6" x14ac:dyDescent="0.35">
      <c r="A12834">
        <v>1975</v>
      </c>
      <c r="B12834" s="1">
        <v>46059</v>
      </c>
      <c r="C12834" s="2">
        <v>0.66666666666666663</v>
      </c>
      <c r="D12834">
        <v>1</v>
      </c>
      <c r="E12834">
        <v>0.6</v>
      </c>
      <c r="F12834">
        <v>96</v>
      </c>
    </row>
    <row r="12835" spans="1:6" x14ac:dyDescent="0.35">
      <c r="A12835">
        <v>1975</v>
      </c>
      <c r="B12835" s="1">
        <v>46059</v>
      </c>
      <c r="C12835" s="2">
        <v>0.70833333333333337</v>
      </c>
      <c r="D12835">
        <v>1</v>
      </c>
      <c r="E12835">
        <v>0.6</v>
      </c>
      <c r="F12835">
        <v>97</v>
      </c>
    </row>
    <row r="12836" spans="1:6" x14ac:dyDescent="0.35">
      <c r="A12836">
        <v>1975</v>
      </c>
      <c r="B12836" s="1">
        <v>46059</v>
      </c>
      <c r="C12836" s="2">
        <v>0.75</v>
      </c>
      <c r="D12836">
        <v>1</v>
      </c>
      <c r="E12836">
        <v>0.7</v>
      </c>
      <c r="F12836">
        <v>97</v>
      </c>
    </row>
    <row r="12837" spans="1:6" x14ac:dyDescent="0.35">
      <c r="A12837">
        <v>1975</v>
      </c>
      <c r="B12837" s="1">
        <v>46059</v>
      </c>
      <c r="C12837" s="2">
        <v>0.79166666666666663</v>
      </c>
      <c r="D12837">
        <v>1</v>
      </c>
      <c r="E12837">
        <v>0.8</v>
      </c>
      <c r="F12837">
        <v>96</v>
      </c>
    </row>
    <row r="12838" spans="1:6" x14ac:dyDescent="0.35">
      <c r="A12838">
        <v>1975</v>
      </c>
      <c r="B12838" s="1">
        <v>46059</v>
      </c>
      <c r="C12838" s="2">
        <v>0.83333333333333337</v>
      </c>
      <c r="D12838">
        <v>1</v>
      </c>
      <c r="E12838">
        <v>0.8</v>
      </c>
      <c r="F12838">
        <v>95</v>
      </c>
    </row>
    <row r="12839" spans="1:6" x14ac:dyDescent="0.35">
      <c r="A12839">
        <v>1975</v>
      </c>
      <c r="B12839" s="1">
        <v>46059</v>
      </c>
      <c r="C12839" s="2">
        <v>0.875</v>
      </c>
      <c r="D12839">
        <v>1</v>
      </c>
      <c r="E12839">
        <v>0.7</v>
      </c>
      <c r="F12839">
        <v>96</v>
      </c>
    </row>
    <row r="12840" spans="1:6" x14ac:dyDescent="0.35">
      <c r="A12840">
        <v>1975</v>
      </c>
      <c r="B12840" s="1">
        <v>46059</v>
      </c>
      <c r="C12840" s="2">
        <v>0.91666666666666663</v>
      </c>
      <c r="D12840">
        <v>1</v>
      </c>
      <c r="E12840">
        <v>0.8</v>
      </c>
      <c r="F12840">
        <v>97</v>
      </c>
    </row>
    <row r="12841" spans="1:6" x14ac:dyDescent="0.35">
      <c r="A12841">
        <v>1975</v>
      </c>
      <c r="B12841" s="1">
        <v>46059</v>
      </c>
      <c r="C12841" s="2">
        <v>0.95833333333333337</v>
      </c>
      <c r="D12841">
        <v>1</v>
      </c>
      <c r="E12841">
        <v>0.7</v>
      </c>
      <c r="F12841">
        <v>97</v>
      </c>
    </row>
    <row r="12842" spans="1:6" x14ac:dyDescent="0.35">
      <c r="A12842">
        <v>1975</v>
      </c>
      <c r="B12842" s="1">
        <v>46060</v>
      </c>
      <c r="C12842" s="2">
        <v>0</v>
      </c>
      <c r="D12842">
        <v>1</v>
      </c>
      <c r="E12842">
        <v>0.7</v>
      </c>
      <c r="F12842">
        <v>98</v>
      </c>
    </row>
    <row r="12843" spans="1:6" x14ac:dyDescent="0.35">
      <c r="A12843">
        <v>1975</v>
      </c>
      <c r="B12843" s="1">
        <v>46060</v>
      </c>
      <c r="C12843" s="2">
        <v>4.1666666666666657E-2</v>
      </c>
      <c r="D12843">
        <v>1</v>
      </c>
      <c r="E12843">
        <v>0.7</v>
      </c>
      <c r="F12843">
        <v>98</v>
      </c>
    </row>
    <row r="12844" spans="1:6" x14ac:dyDescent="0.35">
      <c r="A12844">
        <v>1975</v>
      </c>
      <c r="B12844" s="1">
        <v>46060</v>
      </c>
      <c r="C12844" s="2">
        <v>8.3333333333333329E-2</v>
      </c>
      <c r="D12844">
        <v>1</v>
      </c>
      <c r="E12844">
        <v>0.7</v>
      </c>
      <c r="F12844">
        <v>98</v>
      </c>
    </row>
    <row r="12845" spans="1:6" x14ac:dyDescent="0.35">
      <c r="A12845">
        <v>1975</v>
      </c>
      <c r="B12845" s="1">
        <v>46060</v>
      </c>
      <c r="C12845" s="2">
        <v>0.125</v>
      </c>
      <c r="D12845">
        <v>1</v>
      </c>
      <c r="E12845">
        <v>0.8</v>
      </c>
      <c r="F12845">
        <v>98</v>
      </c>
    </row>
    <row r="12846" spans="1:6" x14ac:dyDescent="0.35">
      <c r="A12846">
        <v>1975</v>
      </c>
      <c r="B12846" s="1">
        <v>46060</v>
      </c>
      <c r="C12846" s="2">
        <v>0.16666666666666671</v>
      </c>
      <c r="D12846">
        <v>1</v>
      </c>
      <c r="E12846">
        <v>0.9</v>
      </c>
      <c r="F12846">
        <v>98</v>
      </c>
    </row>
    <row r="12847" spans="1:6" x14ac:dyDescent="0.35">
      <c r="A12847">
        <v>1975</v>
      </c>
      <c r="B12847" s="1">
        <v>46060</v>
      </c>
      <c r="C12847" s="2">
        <v>0.20833333333333329</v>
      </c>
      <c r="D12847">
        <v>1</v>
      </c>
      <c r="E12847">
        <v>0.8</v>
      </c>
      <c r="F12847">
        <v>98</v>
      </c>
    </row>
    <row r="12848" spans="1:6" x14ac:dyDescent="0.35">
      <c r="A12848">
        <v>1975</v>
      </c>
      <c r="B12848" s="1">
        <v>46060</v>
      </c>
      <c r="C12848" s="2">
        <v>0.25</v>
      </c>
      <c r="D12848">
        <v>1</v>
      </c>
      <c r="E12848">
        <v>0.8</v>
      </c>
      <c r="F12848">
        <v>98</v>
      </c>
    </row>
    <row r="12849" spans="1:6" x14ac:dyDescent="0.35">
      <c r="A12849">
        <v>1975</v>
      </c>
      <c r="B12849" s="1">
        <v>46060</v>
      </c>
      <c r="C12849" s="2">
        <v>0.29166666666666669</v>
      </c>
      <c r="D12849">
        <v>1</v>
      </c>
      <c r="E12849">
        <v>0.9</v>
      </c>
      <c r="F12849">
        <v>97</v>
      </c>
    </row>
    <row r="12850" spans="1:6" x14ac:dyDescent="0.35">
      <c r="A12850">
        <v>1975</v>
      </c>
      <c r="B12850" s="1">
        <v>46060</v>
      </c>
      <c r="C12850" s="2">
        <v>0.33333333333333331</v>
      </c>
      <c r="D12850">
        <v>1</v>
      </c>
      <c r="E12850">
        <v>1</v>
      </c>
      <c r="F12850">
        <v>97</v>
      </c>
    </row>
    <row r="12851" spans="1:6" x14ac:dyDescent="0.35">
      <c r="A12851">
        <v>1975</v>
      </c>
      <c r="B12851" s="1">
        <v>46060</v>
      </c>
      <c r="C12851" s="2">
        <v>0.375</v>
      </c>
      <c r="D12851">
        <v>1</v>
      </c>
      <c r="E12851">
        <v>1.2</v>
      </c>
      <c r="F12851">
        <v>97</v>
      </c>
    </row>
    <row r="12852" spans="1:6" x14ac:dyDescent="0.35">
      <c r="A12852">
        <v>1975</v>
      </c>
      <c r="B12852" s="1">
        <v>46060</v>
      </c>
      <c r="C12852" s="2">
        <v>0.41666666666666669</v>
      </c>
      <c r="D12852">
        <v>1</v>
      </c>
      <c r="E12852">
        <v>1.4</v>
      </c>
      <c r="F12852">
        <v>97</v>
      </c>
    </row>
    <row r="12853" spans="1:6" x14ac:dyDescent="0.35">
      <c r="A12853">
        <v>1975</v>
      </c>
      <c r="B12853" s="1">
        <v>46060</v>
      </c>
      <c r="C12853" s="2">
        <v>0.45833333333333331</v>
      </c>
      <c r="D12853">
        <v>1</v>
      </c>
      <c r="E12853">
        <v>1.6</v>
      </c>
      <c r="F12853">
        <v>97</v>
      </c>
    </row>
    <row r="12854" spans="1:6" x14ac:dyDescent="0.35">
      <c r="A12854">
        <v>1975</v>
      </c>
      <c r="B12854" s="1">
        <v>46060</v>
      </c>
      <c r="C12854" s="2">
        <v>0.5</v>
      </c>
      <c r="D12854">
        <v>1</v>
      </c>
      <c r="E12854">
        <v>1.9</v>
      </c>
      <c r="F12854">
        <v>96</v>
      </c>
    </row>
    <row r="12855" spans="1:6" x14ac:dyDescent="0.35">
      <c r="A12855">
        <v>1975</v>
      </c>
      <c r="B12855" s="1">
        <v>46060</v>
      </c>
      <c r="C12855" s="2">
        <v>0.54166666666666663</v>
      </c>
      <c r="D12855">
        <v>1</v>
      </c>
      <c r="E12855">
        <v>1.9</v>
      </c>
      <c r="F12855">
        <v>96</v>
      </c>
    </row>
    <row r="12856" spans="1:6" x14ac:dyDescent="0.35">
      <c r="A12856">
        <v>1975</v>
      </c>
      <c r="B12856" s="1">
        <v>46060</v>
      </c>
      <c r="C12856" s="2">
        <v>0.58333333333333337</v>
      </c>
      <c r="D12856">
        <v>1</v>
      </c>
      <c r="E12856">
        <v>2</v>
      </c>
      <c r="F12856">
        <v>95</v>
      </c>
    </row>
    <row r="12857" spans="1:6" x14ac:dyDescent="0.35">
      <c r="A12857">
        <v>1975</v>
      </c>
      <c r="B12857" s="1">
        <v>46060</v>
      </c>
      <c r="C12857" s="2">
        <v>0.625</v>
      </c>
      <c r="D12857">
        <v>1</v>
      </c>
      <c r="E12857">
        <v>1.8</v>
      </c>
      <c r="F12857">
        <v>96</v>
      </c>
    </row>
    <row r="12858" spans="1:6" x14ac:dyDescent="0.35">
      <c r="A12858">
        <v>1975</v>
      </c>
      <c r="B12858" s="1">
        <v>46060</v>
      </c>
      <c r="C12858" s="2">
        <v>0.66666666666666663</v>
      </c>
      <c r="D12858">
        <v>1</v>
      </c>
      <c r="E12858">
        <v>1.4</v>
      </c>
      <c r="F12858">
        <v>97</v>
      </c>
    </row>
    <row r="12859" spans="1:6" x14ac:dyDescent="0.35">
      <c r="A12859">
        <v>1975</v>
      </c>
      <c r="B12859" s="1">
        <v>46060</v>
      </c>
      <c r="C12859" s="2">
        <v>0.70833333333333337</v>
      </c>
      <c r="D12859">
        <v>1</v>
      </c>
      <c r="E12859">
        <v>1.2</v>
      </c>
      <c r="F12859">
        <v>97</v>
      </c>
    </row>
    <row r="12860" spans="1:6" x14ac:dyDescent="0.35">
      <c r="A12860">
        <v>1975</v>
      </c>
      <c r="B12860" s="1">
        <v>46060</v>
      </c>
      <c r="C12860" s="2">
        <v>0.75</v>
      </c>
      <c r="D12860">
        <v>1</v>
      </c>
      <c r="E12860">
        <v>1.1000000000000001</v>
      </c>
      <c r="F12860">
        <v>97</v>
      </c>
    </row>
    <row r="12861" spans="1:6" x14ac:dyDescent="0.35">
      <c r="A12861">
        <v>1975</v>
      </c>
      <c r="B12861" s="1">
        <v>46060</v>
      </c>
      <c r="C12861" s="2">
        <v>0.79166666666666663</v>
      </c>
      <c r="D12861">
        <v>1</v>
      </c>
      <c r="E12861">
        <v>1.1000000000000001</v>
      </c>
      <c r="F12861">
        <v>96</v>
      </c>
    </row>
    <row r="12862" spans="1:6" x14ac:dyDescent="0.35">
      <c r="A12862">
        <v>1975</v>
      </c>
      <c r="B12862" s="1">
        <v>46060</v>
      </c>
      <c r="C12862" s="2">
        <v>0.83333333333333337</v>
      </c>
      <c r="D12862">
        <v>1</v>
      </c>
      <c r="E12862">
        <v>0.9</v>
      </c>
      <c r="F12862">
        <v>97</v>
      </c>
    </row>
    <row r="12863" spans="1:6" x14ac:dyDescent="0.35">
      <c r="A12863">
        <v>1975</v>
      </c>
      <c r="B12863" s="1">
        <v>46060</v>
      </c>
      <c r="C12863" s="2">
        <v>0.875</v>
      </c>
      <c r="D12863">
        <v>1</v>
      </c>
      <c r="E12863">
        <v>0.9</v>
      </c>
      <c r="F12863">
        <v>96</v>
      </c>
    </row>
    <row r="12864" spans="1:6" x14ac:dyDescent="0.35">
      <c r="A12864">
        <v>1975</v>
      </c>
      <c r="B12864" s="1">
        <v>46060</v>
      </c>
      <c r="C12864" s="2">
        <v>0.91666666666666663</v>
      </c>
      <c r="D12864">
        <v>1</v>
      </c>
      <c r="E12864">
        <v>0.8</v>
      </c>
      <c r="F12864">
        <v>96</v>
      </c>
    </row>
    <row r="12865" spans="1:6" x14ac:dyDescent="0.35">
      <c r="A12865">
        <v>1975</v>
      </c>
      <c r="B12865" s="1">
        <v>46060</v>
      </c>
      <c r="C12865" s="2">
        <v>0.95833333333333337</v>
      </c>
      <c r="D12865">
        <v>1</v>
      </c>
      <c r="E12865">
        <v>0.7</v>
      </c>
      <c r="F12865">
        <v>96</v>
      </c>
    </row>
    <row r="12866" spans="1:6" x14ac:dyDescent="0.35">
      <c r="A12866">
        <v>1975</v>
      </c>
      <c r="B12866" s="1">
        <v>46061</v>
      </c>
      <c r="C12866" s="2">
        <v>0</v>
      </c>
      <c r="D12866">
        <v>1</v>
      </c>
      <c r="E12866">
        <v>0.5</v>
      </c>
      <c r="F12866">
        <v>96</v>
      </c>
    </row>
    <row r="12867" spans="1:6" x14ac:dyDescent="0.35">
      <c r="A12867">
        <v>1975</v>
      </c>
      <c r="B12867" s="1">
        <v>46061</v>
      </c>
      <c r="C12867" s="2">
        <v>4.1666666666666657E-2</v>
      </c>
      <c r="D12867">
        <v>1</v>
      </c>
      <c r="E12867">
        <v>0.5</v>
      </c>
      <c r="F12867">
        <v>95</v>
      </c>
    </row>
    <row r="12868" spans="1:6" x14ac:dyDescent="0.35">
      <c r="A12868">
        <v>1975</v>
      </c>
      <c r="B12868" s="1">
        <v>46061</v>
      </c>
      <c r="C12868" s="2">
        <v>8.3333333333333329E-2</v>
      </c>
      <c r="D12868">
        <v>1</v>
      </c>
      <c r="E12868">
        <v>0.6</v>
      </c>
      <c r="F12868">
        <v>96</v>
      </c>
    </row>
    <row r="12869" spans="1:6" x14ac:dyDescent="0.35">
      <c r="A12869">
        <v>1975</v>
      </c>
      <c r="B12869" s="1">
        <v>46061</v>
      </c>
      <c r="C12869" s="2">
        <v>0.125</v>
      </c>
      <c r="D12869">
        <v>1</v>
      </c>
      <c r="E12869">
        <v>0.6</v>
      </c>
      <c r="F12869">
        <v>96</v>
      </c>
    </row>
    <row r="12870" spans="1:6" x14ac:dyDescent="0.35">
      <c r="A12870">
        <v>1975</v>
      </c>
      <c r="B12870" s="1">
        <v>46061</v>
      </c>
      <c r="C12870" s="2">
        <v>0.16666666666666671</v>
      </c>
      <c r="D12870">
        <v>1</v>
      </c>
      <c r="E12870">
        <v>0.6</v>
      </c>
      <c r="F12870">
        <v>94</v>
      </c>
    </row>
    <row r="12871" spans="1:6" x14ac:dyDescent="0.35">
      <c r="A12871">
        <v>1975</v>
      </c>
      <c r="B12871" s="1">
        <v>46061</v>
      </c>
      <c r="C12871" s="2">
        <v>0.20833333333333329</v>
      </c>
      <c r="D12871">
        <v>1</v>
      </c>
      <c r="E12871">
        <v>0.4</v>
      </c>
      <c r="F12871">
        <v>95</v>
      </c>
    </row>
    <row r="12872" spans="1:6" x14ac:dyDescent="0.35">
      <c r="A12872">
        <v>1975</v>
      </c>
      <c r="B12872" s="1">
        <v>46061</v>
      </c>
      <c r="C12872" s="2">
        <v>0.25</v>
      </c>
      <c r="D12872">
        <v>1</v>
      </c>
      <c r="E12872">
        <v>0.4</v>
      </c>
      <c r="F12872">
        <v>96</v>
      </c>
    </row>
    <row r="12873" spans="1:6" x14ac:dyDescent="0.35">
      <c r="A12873">
        <v>1975</v>
      </c>
      <c r="B12873" s="1">
        <v>46061</v>
      </c>
      <c r="C12873" s="2">
        <v>0.29166666666666669</v>
      </c>
      <c r="D12873">
        <v>1</v>
      </c>
      <c r="E12873">
        <v>0.5</v>
      </c>
      <c r="F12873">
        <v>94</v>
      </c>
    </row>
    <row r="12874" spans="1:6" x14ac:dyDescent="0.35">
      <c r="A12874">
        <v>1975</v>
      </c>
      <c r="B12874" s="1">
        <v>46061</v>
      </c>
      <c r="C12874" s="2">
        <v>0.33333333333333331</v>
      </c>
      <c r="D12874">
        <v>1</v>
      </c>
      <c r="E12874">
        <v>0.5</v>
      </c>
      <c r="F12874">
        <v>94</v>
      </c>
    </row>
    <row r="12875" spans="1:6" x14ac:dyDescent="0.35">
      <c r="A12875">
        <v>1975</v>
      </c>
      <c r="B12875" s="1">
        <v>46061</v>
      </c>
      <c r="C12875" s="2">
        <v>0.375</v>
      </c>
      <c r="D12875">
        <v>1</v>
      </c>
      <c r="E12875">
        <v>0.7</v>
      </c>
      <c r="F12875">
        <v>92</v>
      </c>
    </row>
    <row r="12876" spans="1:6" x14ac:dyDescent="0.35">
      <c r="A12876">
        <v>1975</v>
      </c>
      <c r="B12876" s="1">
        <v>46061</v>
      </c>
      <c r="C12876" s="2">
        <v>0.41666666666666669</v>
      </c>
      <c r="D12876">
        <v>1</v>
      </c>
      <c r="E12876">
        <v>1</v>
      </c>
      <c r="F12876">
        <v>92</v>
      </c>
    </row>
    <row r="12877" spans="1:6" x14ac:dyDescent="0.35">
      <c r="A12877">
        <v>1975</v>
      </c>
      <c r="B12877" s="1">
        <v>46061</v>
      </c>
      <c r="C12877" s="2">
        <v>0.45833333333333331</v>
      </c>
      <c r="D12877">
        <v>1</v>
      </c>
      <c r="E12877">
        <v>0.9</v>
      </c>
      <c r="F12877">
        <v>88</v>
      </c>
    </row>
    <row r="12878" spans="1:6" x14ac:dyDescent="0.35">
      <c r="A12878">
        <v>1975</v>
      </c>
      <c r="B12878" s="1">
        <v>46061</v>
      </c>
      <c r="C12878" s="2">
        <v>0.5</v>
      </c>
      <c r="D12878">
        <v>1</v>
      </c>
      <c r="E12878">
        <v>1.1000000000000001</v>
      </c>
      <c r="F12878">
        <v>89</v>
      </c>
    </row>
    <row r="12879" spans="1:6" x14ac:dyDescent="0.35">
      <c r="A12879">
        <v>1975</v>
      </c>
      <c r="B12879" s="1">
        <v>46061</v>
      </c>
      <c r="C12879" s="2">
        <v>0.54166666666666663</v>
      </c>
      <c r="D12879">
        <v>1</v>
      </c>
      <c r="E12879">
        <v>1.1000000000000001</v>
      </c>
      <c r="F12879">
        <v>90</v>
      </c>
    </row>
    <row r="12880" spans="1:6" x14ac:dyDescent="0.35">
      <c r="A12880">
        <v>1975</v>
      </c>
      <c r="B12880" s="1">
        <v>46061</v>
      </c>
      <c r="C12880" s="2">
        <v>0.58333333333333337</v>
      </c>
      <c r="D12880">
        <v>1</v>
      </c>
      <c r="E12880">
        <v>1.1000000000000001</v>
      </c>
      <c r="F12880">
        <v>89</v>
      </c>
    </row>
    <row r="12881" spans="1:6" x14ac:dyDescent="0.35">
      <c r="A12881">
        <v>1975</v>
      </c>
      <c r="B12881" s="1">
        <v>46061</v>
      </c>
      <c r="C12881" s="2">
        <v>0.625</v>
      </c>
      <c r="D12881">
        <v>1</v>
      </c>
      <c r="E12881">
        <v>0.9</v>
      </c>
      <c r="F12881">
        <v>90</v>
      </c>
    </row>
    <row r="12882" spans="1:6" x14ac:dyDescent="0.35">
      <c r="A12882">
        <v>1975</v>
      </c>
      <c r="B12882" s="1">
        <v>46061</v>
      </c>
      <c r="C12882" s="2">
        <v>0.66666666666666663</v>
      </c>
      <c r="D12882">
        <v>1</v>
      </c>
      <c r="E12882">
        <v>0.8</v>
      </c>
      <c r="F12882">
        <v>90</v>
      </c>
    </row>
    <row r="12883" spans="1:6" x14ac:dyDescent="0.35">
      <c r="A12883">
        <v>1975</v>
      </c>
      <c r="B12883" s="1">
        <v>46061</v>
      </c>
      <c r="C12883" s="2">
        <v>0.70833333333333337</v>
      </c>
      <c r="D12883">
        <v>1</v>
      </c>
      <c r="E12883">
        <v>0.8</v>
      </c>
      <c r="F12883">
        <v>86</v>
      </c>
    </row>
    <row r="12884" spans="1:6" x14ac:dyDescent="0.35">
      <c r="A12884">
        <v>1975</v>
      </c>
      <c r="B12884" s="1">
        <v>46061</v>
      </c>
      <c r="C12884" s="2">
        <v>0.75</v>
      </c>
      <c r="D12884">
        <v>1</v>
      </c>
      <c r="E12884">
        <v>0.7</v>
      </c>
      <c r="F12884">
        <v>85</v>
      </c>
    </row>
    <row r="12885" spans="1:6" x14ac:dyDescent="0.35">
      <c r="A12885">
        <v>1975</v>
      </c>
      <c r="B12885" s="1">
        <v>46061</v>
      </c>
      <c r="C12885" s="2">
        <v>0.79166666666666663</v>
      </c>
      <c r="D12885">
        <v>1</v>
      </c>
      <c r="E12885">
        <v>0.6</v>
      </c>
      <c r="F12885">
        <v>84</v>
      </c>
    </row>
    <row r="12886" spans="1:6" x14ac:dyDescent="0.35">
      <c r="A12886">
        <v>1975</v>
      </c>
      <c r="B12886" s="1">
        <v>46061</v>
      </c>
      <c r="C12886" s="2">
        <v>0.83333333333333337</v>
      </c>
      <c r="D12886">
        <v>1</v>
      </c>
      <c r="E12886">
        <v>0.3</v>
      </c>
      <c r="F12886">
        <v>84</v>
      </c>
    </row>
    <row r="12887" spans="1:6" x14ac:dyDescent="0.35">
      <c r="A12887">
        <v>1975</v>
      </c>
      <c r="B12887" s="1">
        <v>46061</v>
      </c>
      <c r="C12887" s="2">
        <v>0.875</v>
      </c>
      <c r="D12887">
        <v>1</v>
      </c>
      <c r="E12887">
        <v>0.4</v>
      </c>
      <c r="F12887">
        <v>85</v>
      </c>
    </row>
    <row r="12888" spans="1:6" x14ac:dyDescent="0.35">
      <c r="A12888">
        <v>1975</v>
      </c>
      <c r="B12888" s="1">
        <v>46061</v>
      </c>
      <c r="C12888" s="2">
        <v>0.91666666666666663</v>
      </c>
      <c r="D12888">
        <v>1</v>
      </c>
      <c r="E12888">
        <v>0.3</v>
      </c>
      <c r="F12888">
        <v>86</v>
      </c>
    </row>
    <row r="12889" spans="1:6" x14ac:dyDescent="0.35">
      <c r="A12889">
        <v>1975</v>
      </c>
      <c r="B12889" s="1">
        <v>46061</v>
      </c>
      <c r="C12889" s="2">
        <v>0.95833333333333337</v>
      </c>
      <c r="D12889">
        <v>1</v>
      </c>
      <c r="E12889">
        <v>0.2</v>
      </c>
      <c r="F12889">
        <v>87</v>
      </c>
    </row>
    <row r="12890" spans="1:6" x14ac:dyDescent="0.35">
      <c r="A12890">
        <v>1975</v>
      </c>
      <c r="B12890" s="1">
        <v>46062</v>
      </c>
      <c r="C12890" s="2">
        <v>0</v>
      </c>
      <c r="D12890">
        <v>1</v>
      </c>
      <c r="E12890">
        <v>0.1</v>
      </c>
      <c r="F12890">
        <v>89</v>
      </c>
    </row>
    <row r="12891" spans="1:6" x14ac:dyDescent="0.35">
      <c r="A12891">
        <v>1975</v>
      </c>
      <c r="B12891" s="1">
        <v>46062</v>
      </c>
      <c r="C12891" s="2">
        <v>4.1666666666666657E-2</v>
      </c>
      <c r="D12891">
        <v>1</v>
      </c>
      <c r="E12891">
        <v>0</v>
      </c>
      <c r="F12891">
        <v>89</v>
      </c>
    </row>
    <row r="12892" spans="1:6" x14ac:dyDescent="0.35">
      <c r="A12892">
        <v>1975</v>
      </c>
      <c r="B12892" s="1">
        <v>46062</v>
      </c>
      <c r="C12892" s="2">
        <v>8.3333333333333329E-2</v>
      </c>
      <c r="D12892">
        <v>1</v>
      </c>
      <c r="E12892">
        <v>0</v>
      </c>
      <c r="F12892">
        <v>89</v>
      </c>
    </row>
    <row r="12893" spans="1:6" x14ac:dyDescent="0.35">
      <c r="A12893">
        <v>1975</v>
      </c>
      <c r="B12893" s="1">
        <v>46062</v>
      </c>
      <c r="C12893" s="2">
        <v>0.125</v>
      </c>
      <c r="D12893">
        <v>1</v>
      </c>
      <c r="E12893">
        <v>0</v>
      </c>
      <c r="F12893">
        <v>90</v>
      </c>
    </row>
    <row r="12894" spans="1:6" x14ac:dyDescent="0.35">
      <c r="A12894">
        <v>1975</v>
      </c>
      <c r="B12894" s="1">
        <v>46062</v>
      </c>
      <c r="C12894" s="2">
        <v>0.16666666666666671</v>
      </c>
      <c r="D12894">
        <v>1</v>
      </c>
      <c r="E12894">
        <v>-0.2</v>
      </c>
      <c r="F12894">
        <v>92</v>
      </c>
    </row>
    <row r="12895" spans="1:6" x14ac:dyDescent="0.35">
      <c r="A12895">
        <v>1975</v>
      </c>
      <c r="B12895" s="1">
        <v>46062</v>
      </c>
      <c r="C12895" s="2">
        <v>0.20833333333333329</v>
      </c>
      <c r="D12895">
        <v>1</v>
      </c>
      <c r="E12895">
        <v>-0.1</v>
      </c>
      <c r="F12895">
        <v>91</v>
      </c>
    </row>
    <row r="12896" spans="1:6" x14ac:dyDescent="0.35">
      <c r="A12896">
        <v>1975</v>
      </c>
      <c r="B12896" s="1">
        <v>46062</v>
      </c>
      <c r="C12896" s="2">
        <v>0.25</v>
      </c>
      <c r="D12896">
        <v>1</v>
      </c>
      <c r="E12896">
        <v>0</v>
      </c>
      <c r="F12896">
        <v>91</v>
      </c>
    </row>
    <row r="12897" spans="1:6" x14ac:dyDescent="0.35">
      <c r="A12897">
        <v>1975</v>
      </c>
      <c r="B12897" s="1">
        <v>46062</v>
      </c>
      <c r="C12897" s="2">
        <v>0.29166666666666669</v>
      </c>
      <c r="D12897">
        <v>1</v>
      </c>
      <c r="E12897">
        <v>-0.1</v>
      </c>
      <c r="F12897">
        <v>91</v>
      </c>
    </row>
    <row r="12898" spans="1:6" x14ac:dyDescent="0.35">
      <c r="A12898">
        <v>1975</v>
      </c>
      <c r="B12898" s="1">
        <v>46062</v>
      </c>
      <c r="C12898" s="2">
        <v>0.33333333333333331</v>
      </c>
      <c r="D12898">
        <v>1</v>
      </c>
      <c r="E12898">
        <v>-0.1</v>
      </c>
      <c r="F12898">
        <v>91</v>
      </c>
    </row>
    <row r="12899" spans="1:6" x14ac:dyDescent="0.35">
      <c r="A12899">
        <v>1975</v>
      </c>
      <c r="B12899" s="1">
        <v>46062</v>
      </c>
      <c r="C12899" s="2">
        <v>0.375</v>
      </c>
      <c r="D12899">
        <v>1</v>
      </c>
      <c r="E12899">
        <v>0</v>
      </c>
      <c r="F12899">
        <v>92</v>
      </c>
    </row>
    <row r="12900" spans="1:6" x14ac:dyDescent="0.35">
      <c r="A12900">
        <v>1975</v>
      </c>
      <c r="B12900" s="1">
        <v>46062</v>
      </c>
      <c r="C12900" s="2">
        <v>0.41666666666666669</v>
      </c>
      <c r="D12900">
        <v>1</v>
      </c>
      <c r="E12900">
        <v>0.5</v>
      </c>
      <c r="F12900">
        <v>90</v>
      </c>
    </row>
    <row r="12901" spans="1:6" x14ac:dyDescent="0.35">
      <c r="A12901">
        <v>1975</v>
      </c>
      <c r="B12901" s="1">
        <v>46062</v>
      </c>
      <c r="C12901" s="2">
        <v>0.45833333333333331</v>
      </c>
      <c r="D12901">
        <v>1</v>
      </c>
      <c r="E12901">
        <v>0.6</v>
      </c>
      <c r="F12901">
        <v>89</v>
      </c>
    </row>
    <row r="12902" spans="1:6" x14ac:dyDescent="0.35">
      <c r="A12902">
        <v>1975</v>
      </c>
      <c r="B12902" s="1">
        <v>46062</v>
      </c>
      <c r="C12902" s="2">
        <v>0.5</v>
      </c>
      <c r="D12902">
        <v>1</v>
      </c>
      <c r="E12902">
        <v>0.9</v>
      </c>
      <c r="F12902">
        <v>91</v>
      </c>
    </row>
    <row r="12903" spans="1:6" x14ac:dyDescent="0.35">
      <c r="A12903">
        <v>1975</v>
      </c>
      <c r="B12903" s="1">
        <v>46062</v>
      </c>
      <c r="C12903" s="2">
        <v>0.54166666666666663</v>
      </c>
      <c r="D12903">
        <v>1</v>
      </c>
      <c r="E12903">
        <v>0.9</v>
      </c>
      <c r="F12903">
        <v>90</v>
      </c>
    </row>
    <row r="12904" spans="1:6" x14ac:dyDescent="0.35">
      <c r="A12904">
        <v>1975</v>
      </c>
      <c r="B12904" s="1">
        <v>46062</v>
      </c>
      <c r="C12904" s="2">
        <v>0.58333333333333337</v>
      </c>
      <c r="D12904">
        <v>1</v>
      </c>
      <c r="E12904">
        <v>1.1000000000000001</v>
      </c>
      <c r="F12904">
        <v>90</v>
      </c>
    </row>
    <row r="12905" spans="1:6" x14ac:dyDescent="0.35">
      <c r="A12905">
        <v>1975</v>
      </c>
      <c r="B12905" s="1">
        <v>46062</v>
      </c>
      <c r="C12905" s="2">
        <v>0.625</v>
      </c>
      <c r="D12905">
        <v>1</v>
      </c>
      <c r="E12905">
        <v>0.9</v>
      </c>
      <c r="F12905">
        <v>91</v>
      </c>
    </row>
    <row r="12906" spans="1:6" x14ac:dyDescent="0.35">
      <c r="A12906">
        <v>1975</v>
      </c>
      <c r="B12906" s="1">
        <v>46062</v>
      </c>
      <c r="C12906" s="2">
        <v>0.66666666666666663</v>
      </c>
      <c r="D12906">
        <v>1</v>
      </c>
      <c r="E12906">
        <v>0.6</v>
      </c>
      <c r="F12906">
        <v>93</v>
      </c>
    </row>
    <row r="12907" spans="1:6" x14ac:dyDescent="0.35">
      <c r="A12907">
        <v>1975</v>
      </c>
      <c r="B12907" s="1">
        <v>46062</v>
      </c>
      <c r="C12907" s="2">
        <v>0.70833333333333337</v>
      </c>
      <c r="D12907">
        <v>1</v>
      </c>
      <c r="E12907">
        <v>0.6</v>
      </c>
      <c r="F12907">
        <v>93</v>
      </c>
    </row>
    <row r="12908" spans="1:6" x14ac:dyDescent="0.35">
      <c r="A12908">
        <v>1975</v>
      </c>
      <c r="B12908" s="1">
        <v>46062</v>
      </c>
      <c r="C12908" s="2">
        <v>0.75</v>
      </c>
      <c r="D12908">
        <v>1</v>
      </c>
      <c r="E12908">
        <v>0.7</v>
      </c>
      <c r="F12908">
        <v>93</v>
      </c>
    </row>
    <row r="12909" spans="1:6" x14ac:dyDescent="0.35">
      <c r="A12909">
        <v>1975</v>
      </c>
      <c r="B12909" s="1">
        <v>46062</v>
      </c>
      <c r="C12909" s="2">
        <v>0.79166666666666663</v>
      </c>
      <c r="D12909">
        <v>1</v>
      </c>
      <c r="E12909">
        <v>0.6</v>
      </c>
      <c r="F12909">
        <v>93</v>
      </c>
    </row>
    <row r="12910" spans="1:6" x14ac:dyDescent="0.35">
      <c r="A12910">
        <v>1975</v>
      </c>
      <c r="B12910" s="1">
        <v>46062</v>
      </c>
      <c r="C12910" s="2">
        <v>0.83333333333333337</v>
      </c>
      <c r="D12910">
        <v>1</v>
      </c>
      <c r="E12910">
        <v>0.7</v>
      </c>
      <c r="F12910">
        <v>94</v>
      </c>
    </row>
    <row r="12911" spans="1:6" x14ac:dyDescent="0.35">
      <c r="A12911">
        <v>1975</v>
      </c>
      <c r="B12911" s="1">
        <v>46062</v>
      </c>
      <c r="C12911" s="2">
        <v>0.875</v>
      </c>
      <c r="D12911">
        <v>1</v>
      </c>
      <c r="E12911">
        <v>0.7</v>
      </c>
      <c r="F12911">
        <v>94</v>
      </c>
    </row>
    <row r="12912" spans="1:6" x14ac:dyDescent="0.35">
      <c r="A12912">
        <v>1975</v>
      </c>
      <c r="B12912" s="1">
        <v>46062</v>
      </c>
      <c r="C12912" s="2">
        <v>0.91666666666666663</v>
      </c>
      <c r="D12912">
        <v>1</v>
      </c>
      <c r="E12912">
        <v>0.7</v>
      </c>
      <c r="F12912">
        <v>95</v>
      </c>
    </row>
    <row r="12913" spans="1:6" x14ac:dyDescent="0.35">
      <c r="A12913">
        <v>1975</v>
      </c>
      <c r="B12913" s="1">
        <v>46062</v>
      </c>
      <c r="C12913" s="2">
        <v>0.95833333333333337</v>
      </c>
      <c r="D12913">
        <v>1</v>
      </c>
      <c r="E12913">
        <v>0.7</v>
      </c>
      <c r="F12913">
        <v>94</v>
      </c>
    </row>
    <row r="12914" spans="1:6" x14ac:dyDescent="0.35">
      <c r="A12914">
        <v>1975</v>
      </c>
      <c r="B12914" s="1">
        <v>46063</v>
      </c>
      <c r="C12914" s="2">
        <v>0</v>
      </c>
      <c r="D12914">
        <v>1</v>
      </c>
      <c r="E12914">
        <v>0.6</v>
      </c>
      <c r="F12914">
        <v>95</v>
      </c>
    </row>
    <row r="12915" spans="1:6" x14ac:dyDescent="0.35">
      <c r="A12915">
        <v>1975</v>
      </c>
      <c r="B12915" s="1">
        <v>46063</v>
      </c>
      <c r="C12915" s="2">
        <v>4.1666666666666657E-2</v>
      </c>
      <c r="D12915">
        <v>1</v>
      </c>
      <c r="E12915">
        <v>0.5</v>
      </c>
      <c r="F12915">
        <v>97</v>
      </c>
    </row>
    <row r="12916" spans="1:6" x14ac:dyDescent="0.35">
      <c r="A12916">
        <v>1975</v>
      </c>
      <c r="B12916" s="1">
        <v>46063</v>
      </c>
      <c r="C12916" s="2">
        <v>8.3333333333333329E-2</v>
      </c>
      <c r="D12916">
        <v>1</v>
      </c>
      <c r="E12916">
        <v>0.5</v>
      </c>
      <c r="F12916">
        <v>97</v>
      </c>
    </row>
    <row r="12917" spans="1:6" x14ac:dyDescent="0.35">
      <c r="A12917">
        <v>1975</v>
      </c>
      <c r="B12917" s="1">
        <v>46063</v>
      </c>
      <c r="C12917" s="2">
        <v>0.125</v>
      </c>
      <c r="D12917">
        <v>1</v>
      </c>
      <c r="E12917">
        <v>0.5</v>
      </c>
      <c r="F12917">
        <v>98</v>
      </c>
    </row>
    <row r="12918" spans="1:6" x14ac:dyDescent="0.35">
      <c r="A12918">
        <v>1975</v>
      </c>
      <c r="B12918" s="1">
        <v>46063</v>
      </c>
      <c r="C12918" s="2">
        <v>0.16666666666666671</v>
      </c>
      <c r="D12918">
        <v>1</v>
      </c>
      <c r="E12918">
        <v>0.6</v>
      </c>
      <c r="F12918">
        <v>97</v>
      </c>
    </row>
    <row r="12919" spans="1:6" x14ac:dyDescent="0.35">
      <c r="A12919">
        <v>1975</v>
      </c>
      <c r="B12919" s="1">
        <v>46063</v>
      </c>
      <c r="C12919" s="2">
        <v>0.20833333333333329</v>
      </c>
      <c r="D12919">
        <v>1</v>
      </c>
      <c r="E12919">
        <v>0.5</v>
      </c>
      <c r="F12919">
        <v>98</v>
      </c>
    </row>
    <row r="12920" spans="1:6" x14ac:dyDescent="0.35">
      <c r="A12920">
        <v>1975</v>
      </c>
      <c r="B12920" s="1">
        <v>46063</v>
      </c>
      <c r="C12920" s="2">
        <v>0.25</v>
      </c>
      <c r="D12920">
        <v>1</v>
      </c>
      <c r="E12920">
        <v>0.6</v>
      </c>
      <c r="F12920">
        <v>97</v>
      </c>
    </row>
    <row r="12921" spans="1:6" x14ac:dyDescent="0.35">
      <c r="A12921">
        <v>1975</v>
      </c>
      <c r="B12921" s="1">
        <v>46063</v>
      </c>
      <c r="C12921" s="2">
        <v>0.29166666666666669</v>
      </c>
      <c r="D12921">
        <v>1</v>
      </c>
      <c r="E12921">
        <v>0.6</v>
      </c>
      <c r="F12921">
        <v>97</v>
      </c>
    </row>
    <row r="12922" spans="1:6" x14ac:dyDescent="0.35">
      <c r="A12922">
        <v>1975</v>
      </c>
      <c r="B12922" s="1">
        <v>46063</v>
      </c>
      <c r="C12922" s="2">
        <v>0.33333333333333331</v>
      </c>
      <c r="D12922">
        <v>1</v>
      </c>
      <c r="E12922">
        <v>0.6</v>
      </c>
      <c r="F12922">
        <v>97</v>
      </c>
    </row>
    <row r="12923" spans="1:6" x14ac:dyDescent="0.35">
      <c r="A12923">
        <v>1975</v>
      </c>
      <c r="B12923" s="1">
        <v>46063</v>
      </c>
      <c r="C12923" s="2">
        <v>0.375</v>
      </c>
      <c r="D12923">
        <v>1</v>
      </c>
      <c r="E12923">
        <v>1.2</v>
      </c>
      <c r="F12923">
        <v>93</v>
      </c>
    </row>
    <row r="12924" spans="1:6" x14ac:dyDescent="0.35">
      <c r="A12924">
        <v>1975</v>
      </c>
      <c r="B12924" s="1">
        <v>46063</v>
      </c>
      <c r="C12924" s="2">
        <v>0.41666666666666669</v>
      </c>
      <c r="D12924">
        <v>1</v>
      </c>
      <c r="E12924">
        <v>1.6</v>
      </c>
      <c r="F12924">
        <v>90</v>
      </c>
    </row>
    <row r="12925" spans="1:6" x14ac:dyDescent="0.35">
      <c r="A12925">
        <v>1975</v>
      </c>
      <c r="B12925" s="1">
        <v>46063</v>
      </c>
      <c r="C12925" s="2">
        <v>0.45833333333333331</v>
      </c>
      <c r="D12925">
        <v>1</v>
      </c>
      <c r="E12925">
        <v>2.6</v>
      </c>
      <c r="F12925">
        <v>85</v>
      </c>
    </row>
    <row r="12926" spans="1:6" x14ac:dyDescent="0.35">
      <c r="A12926">
        <v>1975</v>
      </c>
      <c r="B12926" s="1">
        <v>46063</v>
      </c>
      <c r="C12926" s="2">
        <v>0.5</v>
      </c>
      <c r="D12926">
        <v>1</v>
      </c>
      <c r="E12926">
        <v>3.8</v>
      </c>
      <c r="F12926">
        <v>78</v>
      </c>
    </row>
    <row r="12927" spans="1:6" x14ac:dyDescent="0.35">
      <c r="A12927">
        <v>1975</v>
      </c>
      <c r="B12927" s="1">
        <v>46063</v>
      </c>
      <c r="C12927" s="2">
        <v>0.54166666666666663</v>
      </c>
      <c r="D12927">
        <v>1</v>
      </c>
      <c r="E12927">
        <v>4.2</v>
      </c>
      <c r="F12927">
        <v>78</v>
      </c>
    </row>
    <row r="12928" spans="1:6" x14ac:dyDescent="0.35">
      <c r="A12928">
        <v>1975</v>
      </c>
      <c r="B12928" s="1">
        <v>46063</v>
      </c>
      <c r="C12928" s="2">
        <v>0.58333333333333337</v>
      </c>
      <c r="D12928">
        <v>1</v>
      </c>
      <c r="E12928">
        <v>3.7</v>
      </c>
      <c r="F12928">
        <v>79</v>
      </c>
    </row>
    <row r="12929" spans="1:6" x14ac:dyDescent="0.35">
      <c r="A12929">
        <v>1975</v>
      </c>
      <c r="B12929" s="1">
        <v>46063</v>
      </c>
      <c r="C12929" s="2">
        <v>0.625</v>
      </c>
      <c r="D12929">
        <v>1</v>
      </c>
      <c r="E12929">
        <v>3.5</v>
      </c>
      <c r="F12929">
        <v>80</v>
      </c>
    </row>
    <row r="12930" spans="1:6" x14ac:dyDescent="0.35">
      <c r="A12930">
        <v>1975</v>
      </c>
      <c r="B12930" s="1">
        <v>46063</v>
      </c>
      <c r="C12930" s="2">
        <v>0.66666666666666663</v>
      </c>
      <c r="D12930">
        <v>1</v>
      </c>
      <c r="E12930">
        <v>3.3</v>
      </c>
      <c r="F12930">
        <v>82</v>
      </c>
    </row>
    <row r="12931" spans="1:6" x14ac:dyDescent="0.35">
      <c r="A12931">
        <v>1975</v>
      </c>
      <c r="B12931" s="1">
        <v>46063</v>
      </c>
      <c r="C12931" s="2">
        <v>0.70833333333333337</v>
      </c>
      <c r="D12931">
        <v>1</v>
      </c>
      <c r="E12931">
        <v>2.7</v>
      </c>
      <c r="F12931">
        <v>91</v>
      </c>
    </row>
    <row r="12932" spans="1:6" x14ac:dyDescent="0.35">
      <c r="A12932">
        <v>1975</v>
      </c>
      <c r="B12932" s="1">
        <v>46063</v>
      </c>
      <c r="C12932" s="2">
        <v>0.75</v>
      </c>
      <c r="D12932">
        <v>1</v>
      </c>
      <c r="E12932">
        <v>2.5</v>
      </c>
      <c r="F12932">
        <v>95</v>
      </c>
    </row>
    <row r="12933" spans="1:6" x14ac:dyDescent="0.35">
      <c r="A12933">
        <v>1975</v>
      </c>
      <c r="B12933" s="1">
        <v>46063</v>
      </c>
      <c r="C12933" s="2">
        <v>0.79166666666666663</v>
      </c>
      <c r="D12933">
        <v>1</v>
      </c>
      <c r="E12933">
        <v>2.5</v>
      </c>
      <c r="F12933">
        <v>96</v>
      </c>
    </row>
    <row r="12934" spans="1:6" x14ac:dyDescent="0.35">
      <c r="A12934">
        <v>1975</v>
      </c>
      <c r="B12934" s="1">
        <v>46063</v>
      </c>
      <c r="C12934" s="2">
        <v>0.83333333333333337</v>
      </c>
      <c r="D12934">
        <v>1</v>
      </c>
      <c r="E12934">
        <v>2.5</v>
      </c>
      <c r="F12934">
        <v>96</v>
      </c>
    </row>
    <row r="12935" spans="1:6" x14ac:dyDescent="0.35">
      <c r="A12935">
        <v>1975</v>
      </c>
      <c r="B12935" s="1">
        <v>46063</v>
      </c>
      <c r="C12935" s="2">
        <v>0.875</v>
      </c>
      <c r="D12935">
        <v>1</v>
      </c>
      <c r="E12935">
        <v>2.2999999999999998</v>
      </c>
      <c r="F12935">
        <v>97</v>
      </c>
    </row>
    <row r="12936" spans="1:6" x14ac:dyDescent="0.35">
      <c r="A12936">
        <v>1975</v>
      </c>
      <c r="B12936" s="1">
        <v>46063</v>
      </c>
      <c r="C12936" s="2">
        <v>0.91666666666666663</v>
      </c>
      <c r="D12936">
        <v>1</v>
      </c>
      <c r="E12936">
        <v>2.2000000000000002</v>
      </c>
      <c r="F12936">
        <v>98</v>
      </c>
    </row>
    <row r="12937" spans="1:6" x14ac:dyDescent="0.35">
      <c r="A12937">
        <v>1975</v>
      </c>
      <c r="B12937" s="1">
        <v>46063</v>
      </c>
      <c r="C12937" s="2">
        <v>0.95833333333333337</v>
      </c>
      <c r="D12937">
        <v>1</v>
      </c>
      <c r="E12937">
        <v>2</v>
      </c>
      <c r="F12937">
        <v>98</v>
      </c>
    </row>
    <row r="12938" spans="1:6" x14ac:dyDescent="0.35">
      <c r="A12938">
        <v>1975</v>
      </c>
      <c r="B12938" s="1">
        <v>46064</v>
      </c>
      <c r="C12938" s="2">
        <v>0</v>
      </c>
      <c r="D12938">
        <v>1</v>
      </c>
      <c r="E12938">
        <v>2</v>
      </c>
      <c r="F12938">
        <v>99</v>
      </c>
    </row>
    <row r="12939" spans="1:6" x14ac:dyDescent="0.35">
      <c r="A12939">
        <v>1975</v>
      </c>
      <c r="B12939" s="1">
        <v>46064</v>
      </c>
      <c r="C12939" s="2">
        <v>4.1666666666666657E-2</v>
      </c>
      <c r="D12939">
        <v>1</v>
      </c>
      <c r="E12939">
        <v>1.9</v>
      </c>
      <c r="F12939">
        <v>99</v>
      </c>
    </row>
    <row r="12940" spans="1:6" x14ac:dyDescent="0.35">
      <c r="A12940">
        <v>1975</v>
      </c>
      <c r="B12940" s="1">
        <v>46064</v>
      </c>
      <c r="C12940" s="2">
        <v>8.3333333333333329E-2</v>
      </c>
      <c r="D12940">
        <v>1</v>
      </c>
      <c r="E12940">
        <v>1.9</v>
      </c>
      <c r="F12940">
        <v>100</v>
      </c>
    </row>
    <row r="12941" spans="1:6" x14ac:dyDescent="0.35">
      <c r="A12941">
        <v>1975</v>
      </c>
      <c r="B12941" s="1">
        <v>46064</v>
      </c>
      <c r="C12941" s="2">
        <v>0.125</v>
      </c>
      <c r="D12941">
        <v>1</v>
      </c>
      <c r="E12941">
        <v>1.9</v>
      </c>
      <c r="F12941">
        <v>99</v>
      </c>
    </row>
    <row r="12942" spans="1:6" x14ac:dyDescent="0.35">
      <c r="A12942">
        <v>1975</v>
      </c>
      <c r="B12942" s="1">
        <v>46064</v>
      </c>
      <c r="C12942" s="2">
        <v>0.16666666666666671</v>
      </c>
      <c r="D12942">
        <v>1</v>
      </c>
      <c r="E12942">
        <v>1.9</v>
      </c>
      <c r="F12942">
        <v>99</v>
      </c>
    </row>
    <row r="12943" spans="1:6" x14ac:dyDescent="0.35">
      <c r="A12943">
        <v>1975</v>
      </c>
      <c r="B12943" s="1">
        <v>46064</v>
      </c>
      <c r="C12943" s="2">
        <v>0.20833333333333329</v>
      </c>
      <c r="D12943">
        <v>1</v>
      </c>
      <c r="E12943">
        <v>1.9</v>
      </c>
      <c r="F12943">
        <v>99</v>
      </c>
    </row>
    <row r="12944" spans="1:6" x14ac:dyDescent="0.35">
      <c r="A12944">
        <v>1975</v>
      </c>
      <c r="B12944" s="1">
        <v>46064</v>
      </c>
      <c r="C12944" s="2">
        <v>0.25</v>
      </c>
      <c r="D12944">
        <v>1</v>
      </c>
      <c r="E12944">
        <v>1.5</v>
      </c>
      <c r="F12944">
        <v>99</v>
      </c>
    </row>
    <row r="12945" spans="1:6" x14ac:dyDescent="0.35">
      <c r="A12945">
        <v>1975</v>
      </c>
      <c r="B12945" s="1">
        <v>46064</v>
      </c>
      <c r="C12945" s="2">
        <v>0.29166666666666669</v>
      </c>
      <c r="D12945">
        <v>1</v>
      </c>
      <c r="E12945">
        <v>1.4</v>
      </c>
      <c r="F12945">
        <v>99</v>
      </c>
    </row>
    <row r="12946" spans="1:6" x14ac:dyDescent="0.35">
      <c r="A12946">
        <v>1975</v>
      </c>
      <c r="B12946" s="1">
        <v>46064</v>
      </c>
      <c r="C12946" s="2">
        <v>0.33333333333333331</v>
      </c>
      <c r="D12946">
        <v>1</v>
      </c>
      <c r="E12946">
        <v>1.4</v>
      </c>
      <c r="F12946">
        <v>99</v>
      </c>
    </row>
    <row r="12947" spans="1:6" x14ac:dyDescent="0.35">
      <c r="A12947">
        <v>1975</v>
      </c>
      <c r="B12947" s="1">
        <v>46064</v>
      </c>
      <c r="C12947" s="2">
        <v>0.375</v>
      </c>
      <c r="D12947">
        <v>1</v>
      </c>
      <c r="E12947">
        <v>1.7</v>
      </c>
      <c r="F12947">
        <v>99</v>
      </c>
    </row>
    <row r="12948" spans="1:6" x14ac:dyDescent="0.35">
      <c r="A12948">
        <v>1975</v>
      </c>
      <c r="B12948" s="1">
        <v>46064</v>
      </c>
      <c r="C12948" s="2">
        <v>0.41666666666666669</v>
      </c>
      <c r="D12948">
        <v>1</v>
      </c>
      <c r="E12948">
        <v>1.8</v>
      </c>
      <c r="F12948">
        <v>97</v>
      </c>
    </row>
    <row r="12949" spans="1:6" x14ac:dyDescent="0.35">
      <c r="A12949">
        <v>1975</v>
      </c>
      <c r="B12949" s="1">
        <v>46064</v>
      </c>
      <c r="C12949" s="2">
        <v>0.45833333333333331</v>
      </c>
      <c r="D12949">
        <v>1</v>
      </c>
      <c r="E12949">
        <v>2</v>
      </c>
      <c r="F12949">
        <v>98</v>
      </c>
    </row>
    <row r="12950" spans="1:6" x14ac:dyDescent="0.35">
      <c r="A12950">
        <v>1975</v>
      </c>
      <c r="B12950" s="1">
        <v>46064</v>
      </c>
      <c r="C12950" s="2">
        <v>0.5</v>
      </c>
      <c r="D12950">
        <v>1</v>
      </c>
      <c r="E12950">
        <v>2.2000000000000002</v>
      </c>
      <c r="F12950">
        <v>99</v>
      </c>
    </row>
    <row r="12951" spans="1:6" x14ac:dyDescent="0.35">
      <c r="A12951">
        <v>1975</v>
      </c>
      <c r="B12951" s="1">
        <v>46064</v>
      </c>
      <c r="C12951" s="2">
        <v>0.54166666666666663</v>
      </c>
      <c r="D12951">
        <v>1</v>
      </c>
      <c r="E12951">
        <v>2.2999999999999998</v>
      </c>
      <c r="F12951">
        <v>99</v>
      </c>
    </row>
    <row r="12952" spans="1:6" x14ac:dyDescent="0.35">
      <c r="A12952">
        <v>1975</v>
      </c>
      <c r="B12952" s="1">
        <v>46064</v>
      </c>
      <c r="C12952" s="2">
        <v>0.58333333333333337</v>
      </c>
      <c r="D12952">
        <v>1</v>
      </c>
      <c r="E12952">
        <v>2.2000000000000002</v>
      </c>
      <c r="F12952">
        <v>99</v>
      </c>
    </row>
    <row r="12953" spans="1:6" x14ac:dyDescent="0.35">
      <c r="A12953">
        <v>1975</v>
      </c>
      <c r="B12953" s="1">
        <v>46064</v>
      </c>
      <c r="C12953" s="2">
        <v>0.625</v>
      </c>
      <c r="D12953">
        <v>1</v>
      </c>
      <c r="E12953">
        <v>2</v>
      </c>
      <c r="F12953">
        <v>98</v>
      </c>
    </row>
    <row r="12954" spans="1:6" x14ac:dyDescent="0.35">
      <c r="A12954">
        <v>1975</v>
      </c>
      <c r="B12954" s="1">
        <v>46064</v>
      </c>
      <c r="C12954" s="2">
        <v>0.66666666666666663</v>
      </c>
      <c r="D12954">
        <v>1</v>
      </c>
      <c r="E12954">
        <v>1.8</v>
      </c>
      <c r="F12954">
        <v>99</v>
      </c>
    </row>
    <row r="12955" spans="1:6" x14ac:dyDescent="0.35">
      <c r="A12955">
        <v>1975</v>
      </c>
      <c r="B12955" s="1">
        <v>46064</v>
      </c>
      <c r="C12955" s="2">
        <v>0.70833333333333337</v>
      </c>
      <c r="D12955">
        <v>1</v>
      </c>
      <c r="E12955">
        <v>1.3</v>
      </c>
      <c r="F12955">
        <v>99</v>
      </c>
    </row>
    <row r="12956" spans="1:6" x14ac:dyDescent="0.35">
      <c r="A12956">
        <v>1975</v>
      </c>
      <c r="B12956" s="1">
        <v>46064</v>
      </c>
      <c r="C12956" s="2">
        <v>0.75</v>
      </c>
      <c r="D12956">
        <v>1</v>
      </c>
      <c r="E12956">
        <v>1.2</v>
      </c>
      <c r="F12956">
        <v>99</v>
      </c>
    </row>
    <row r="12957" spans="1:6" x14ac:dyDescent="0.35">
      <c r="A12957">
        <v>1975</v>
      </c>
      <c r="B12957" s="1">
        <v>46064</v>
      </c>
      <c r="C12957" s="2">
        <v>0.79166666666666663</v>
      </c>
      <c r="D12957">
        <v>1</v>
      </c>
      <c r="E12957">
        <v>1.2</v>
      </c>
      <c r="F12957">
        <v>98</v>
      </c>
    </row>
    <row r="12958" spans="1:6" x14ac:dyDescent="0.35">
      <c r="A12958">
        <v>1975</v>
      </c>
      <c r="B12958" s="1">
        <v>46064</v>
      </c>
      <c r="C12958" s="2">
        <v>0.83333333333333337</v>
      </c>
      <c r="D12958">
        <v>1</v>
      </c>
      <c r="E12958">
        <v>1.2</v>
      </c>
      <c r="F12958">
        <v>99</v>
      </c>
    </row>
    <row r="12959" spans="1:6" x14ac:dyDescent="0.35">
      <c r="A12959">
        <v>1975</v>
      </c>
      <c r="B12959" s="1">
        <v>46064</v>
      </c>
      <c r="C12959" s="2">
        <v>0.875</v>
      </c>
      <c r="D12959">
        <v>1</v>
      </c>
      <c r="E12959">
        <v>1.2</v>
      </c>
      <c r="F12959">
        <v>98</v>
      </c>
    </row>
    <row r="12960" spans="1:6" x14ac:dyDescent="0.35">
      <c r="A12960">
        <v>1975</v>
      </c>
      <c r="B12960" s="1">
        <v>46064</v>
      </c>
      <c r="C12960" s="2">
        <v>0.91666666666666663</v>
      </c>
      <c r="D12960">
        <v>1</v>
      </c>
      <c r="E12960">
        <v>1.2</v>
      </c>
      <c r="F12960">
        <v>98</v>
      </c>
    </row>
    <row r="12961" spans="1:6" x14ac:dyDescent="0.35">
      <c r="A12961">
        <v>1975</v>
      </c>
      <c r="B12961" s="1">
        <v>46064</v>
      </c>
      <c r="C12961" s="2">
        <v>0.95833333333333337</v>
      </c>
      <c r="D12961">
        <v>1</v>
      </c>
      <c r="E12961">
        <v>1.1000000000000001</v>
      </c>
      <c r="F12961">
        <v>98</v>
      </c>
    </row>
    <row r="12962" spans="1:6" x14ac:dyDescent="0.35">
      <c r="A12962">
        <v>1975</v>
      </c>
      <c r="B12962" s="1">
        <v>46065</v>
      </c>
      <c r="C12962" s="2">
        <v>0</v>
      </c>
      <c r="D12962">
        <v>1</v>
      </c>
      <c r="E12962">
        <v>1</v>
      </c>
      <c r="F12962">
        <v>98</v>
      </c>
    </row>
    <row r="12963" spans="1:6" x14ac:dyDescent="0.35">
      <c r="A12963">
        <v>1975</v>
      </c>
      <c r="B12963" s="1">
        <v>46065</v>
      </c>
      <c r="C12963" s="2">
        <v>4.1666666666666657E-2</v>
      </c>
      <c r="D12963">
        <v>1</v>
      </c>
      <c r="E12963">
        <v>1</v>
      </c>
      <c r="F12963">
        <v>99</v>
      </c>
    </row>
    <row r="12964" spans="1:6" x14ac:dyDescent="0.35">
      <c r="A12964">
        <v>1975</v>
      </c>
      <c r="B12964" s="1">
        <v>46065</v>
      </c>
      <c r="C12964" s="2">
        <v>8.3333333333333329E-2</v>
      </c>
      <c r="D12964">
        <v>1</v>
      </c>
      <c r="E12964">
        <v>1.1000000000000001</v>
      </c>
      <c r="F12964">
        <v>98</v>
      </c>
    </row>
    <row r="12965" spans="1:6" x14ac:dyDescent="0.35">
      <c r="A12965">
        <v>1975</v>
      </c>
      <c r="B12965" s="1">
        <v>46065</v>
      </c>
      <c r="C12965" s="2">
        <v>0.125</v>
      </c>
      <c r="D12965">
        <v>1</v>
      </c>
      <c r="E12965">
        <v>1.1000000000000001</v>
      </c>
      <c r="F12965">
        <v>99</v>
      </c>
    </row>
    <row r="12966" spans="1:6" x14ac:dyDescent="0.35">
      <c r="A12966">
        <v>1975</v>
      </c>
      <c r="B12966" s="1">
        <v>46065</v>
      </c>
      <c r="C12966" s="2">
        <v>0.16666666666666671</v>
      </c>
      <c r="D12966">
        <v>1</v>
      </c>
      <c r="E12966">
        <v>1.1000000000000001</v>
      </c>
      <c r="F12966">
        <v>99</v>
      </c>
    </row>
    <row r="12967" spans="1:6" x14ac:dyDescent="0.35">
      <c r="A12967">
        <v>1975</v>
      </c>
      <c r="B12967" s="1">
        <v>46065</v>
      </c>
      <c r="C12967" s="2">
        <v>0.20833333333333329</v>
      </c>
      <c r="D12967">
        <v>1</v>
      </c>
      <c r="E12967">
        <v>1.2</v>
      </c>
      <c r="F12967">
        <v>98</v>
      </c>
    </row>
    <row r="12968" spans="1:6" x14ac:dyDescent="0.35">
      <c r="A12968">
        <v>1975</v>
      </c>
      <c r="B12968" s="1">
        <v>46065</v>
      </c>
      <c r="C12968" s="2">
        <v>0.25</v>
      </c>
      <c r="D12968">
        <v>1</v>
      </c>
      <c r="E12968">
        <v>1.4</v>
      </c>
      <c r="F12968">
        <v>98</v>
      </c>
    </row>
    <row r="12969" spans="1:6" x14ac:dyDescent="0.35">
      <c r="A12969">
        <v>1975</v>
      </c>
      <c r="B12969" s="1">
        <v>46065</v>
      </c>
      <c r="C12969" s="2">
        <v>0.29166666666666669</v>
      </c>
      <c r="D12969">
        <v>1</v>
      </c>
      <c r="E12969">
        <v>1.4</v>
      </c>
      <c r="F12969">
        <v>98</v>
      </c>
    </row>
    <row r="12970" spans="1:6" x14ac:dyDescent="0.35">
      <c r="A12970">
        <v>1975</v>
      </c>
      <c r="B12970" s="1">
        <v>46065</v>
      </c>
      <c r="C12970" s="2">
        <v>0.33333333333333331</v>
      </c>
      <c r="D12970">
        <v>1</v>
      </c>
      <c r="E12970">
        <v>1.5</v>
      </c>
      <c r="F12970">
        <v>99</v>
      </c>
    </row>
    <row r="12971" spans="1:6" x14ac:dyDescent="0.35">
      <c r="A12971">
        <v>1975</v>
      </c>
      <c r="B12971" s="1">
        <v>46065</v>
      </c>
      <c r="C12971" s="2">
        <v>0.375</v>
      </c>
      <c r="D12971">
        <v>1</v>
      </c>
      <c r="E12971">
        <v>1.6</v>
      </c>
      <c r="F12971">
        <v>99</v>
      </c>
    </row>
    <row r="12972" spans="1:6" x14ac:dyDescent="0.35">
      <c r="A12972">
        <v>1975</v>
      </c>
      <c r="B12972" s="1">
        <v>46065</v>
      </c>
      <c r="C12972" s="2">
        <v>0.41666666666666669</v>
      </c>
      <c r="D12972">
        <v>1</v>
      </c>
      <c r="E12972">
        <v>1.9</v>
      </c>
      <c r="F12972">
        <v>97</v>
      </c>
    </row>
    <row r="12973" spans="1:6" x14ac:dyDescent="0.35">
      <c r="A12973">
        <v>1975</v>
      </c>
      <c r="B12973" s="1">
        <v>46065</v>
      </c>
      <c r="C12973" s="2">
        <v>0.45833333333333331</v>
      </c>
      <c r="D12973">
        <v>1</v>
      </c>
      <c r="E12973">
        <v>2.1</v>
      </c>
      <c r="F12973">
        <v>97</v>
      </c>
    </row>
    <row r="12974" spans="1:6" x14ac:dyDescent="0.35">
      <c r="A12974">
        <v>1975</v>
      </c>
      <c r="B12974" s="1">
        <v>46065</v>
      </c>
      <c r="C12974" s="2">
        <v>0.5</v>
      </c>
      <c r="D12974">
        <v>1</v>
      </c>
      <c r="E12974">
        <v>2.1</v>
      </c>
      <c r="F12974">
        <v>96</v>
      </c>
    </row>
    <row r="12975" spans="1:6" x14ac:dyDescent="0.35">
      <c r="A12975">
        <v>1975</v>
      </c>
      <c r="B12975" s="1">
        <v>46065</v>
      </c>
      <c r="C12975" s="2">
        <v>0.54166666666666663</v>
      </c>
      <c r="D12975">
        <v>1</v>
      </c>
      <c r="E12975">
        <v>2.2000000000000002</v>
      </c>
      <c r="F12975">
        <v>95</v>
      </c>
    </row>
    <row r="12976" spans="1:6" x14ac:dyDescent="0.35">
      <c r="A12976">
        <v>1975</v>
      </c>
      <c r="B12976" s="1">
        <v>46065</v>
      </c>
      <c r="C12976" s="2">
        <v>0.58333333333333337</v>
      </c>
      <c r="D12976">
        <v>1</v>
      </c>
      <c r="E12976">
        <v>1.9</v>
      </c>
      <c r="F12976">
        <v>95</v>
      </c>
    </row>
    <row r="12977" spans="1:6" x14ac:dyDescent="0.35">
      <c r="A12977">
        <v>1975</v>
      </c>
      <c r="B12977" s="1">
        <v>46065</v>
      </c>
      <c r="C12977" s="2">
        <v>0.625</v>
      </c>
      <c r="D12977">
        <v>1</v>
      </c>
      <c r="E12977">
        <v>1.9</v>
      </c>
      <c r="F12977">
        <v>95</v>
      </c>
    </row>
    <row r="12978" spans="1:6" x14ac:dyDescent="0.35">
      <c r="A12978">
        <v>1975</v>
      </c>
      <c r="B12978" s="1">
        <v>46065</v>
      </c>
      <c r="C12978" s="2">
        <v>0.66666666666666663</v>
      </c>
      <c r="D12978">
        <v>1</v>
      </c>
      <c r="E12978">
        <v>1.6</v>
      </c>
      <c r="F12978">
        <v>95</v>
      </c>
    </row>
    <row r="12979" spans="1:6" x14ac:dyDescent="0.35">
      <c r="A12979">
        <v>1975</v>
      </c>
      <c r="B12979" s="1">
        <v>46065</v>
      </c>
      <c r="C12979" s="2">
        <v>0.70833333333333337</v>
      </c>
      <c r="D12979">
        <v>1</v>
      </c>
      <c r="E12979">
        <v>1.4</v>
      </c>
      <c r="F12979">
        <v>95</v>
      </c>
    </row>
    <row r="12980" spans="1:6" x14ac:dyDescent="0.35">
      <c r="A12980">
        <v>1975</v>
      </c>
      <c r="B12980" s="1">
        <v>46065</v>
      </c>
      <c r="C12980" s="2">
        <v>0.75</v>
      </c>
      <c r="D12980">
        <v>1</v>
      </c>
      <c r="E12980">
        <v>1.2</v>
      </c>
      <c r="F12980">
        <v>95</v>
      </c>
    </row>
    <row r="12981" spans="1:6" x14ac:dyDescent="0.35">
      <c r="A12981">
        <v>1975</v>
      </c>
      <c r="B12981" s="1">
        <v>46065</v>
      </c>
      <c r="C12981" s="2">
        <v>0.79166666666666663</v>
      </c>
      <c r="D12981">
        <v>1</v>
      </c>
      <c r="E12981">
        <v>0.8</v>
      </c>
      <c r="F12981">
        <v>95</v>
      </c>
    </row>
    <row r="12982" spans="1:6" x14ac:dyDescent="0.35">
      <c r="A12982">
        <v>1975</v>
      </c>
      <c r="B12982" s="1">
        <v>46065</v>
      </c>
      <c r="C12982" s="2">
        <v>0.83333333333333337</v>
      </c>
      <c r="D12982">
        <v>1</v>
      </c>
      <c r="E12982">
        <v>0.6</v>
      </c>
      <c r="F12982">
        <v>96</v>
      </c>
    </row>
    <row r="12983" spans="1:6" x14ac:dyDescent="0.35">
      <c r="A12983">
        <v>1975</v>
      </c>
      <c r="B12983" s="1">
        <v>46065</v>
      </c>
      <c r="C12983" s="2">
        <v>0.875</v>
      </c>
      <c r="D12983">
        <v>1</v>
      </c>
      <c r="E12983">
        <v>0.7</v>
      </c>
      <c r="F12983">
        <v>95</v>
      </c>
    </row>
    <row r="12984" spans="1:6" x14ac:dyDescent="0.35">
      <c r="A12984">
        <v>1975</v>
      </c>
      <c r="B12984" s="1">
        <v>46065</v>
      </c>
      <c r="C12984" s="2">
        <v>0.91666666666666663</v>
      </c>
      <c r="D12984">
        <v>1</v>
      </c>
      <c r="E12984">
        <v>0.6</v>
      </c>
      <c r="F12984">
        <v>94</v>
      </c>
    </row>
    <row r="12985" spans="1:6" x14ac:dyDescent="0.35">
      <c r="A12985">
        <v>1975</v>
      </c>
      <c r="B12985" s="1">
        <v>46065</v>
      </c>
      <c r="C12985" s="2">
        <v>0.95833333333333337</v>
      </c>
      <c r="D12985">
        <v>1</v>
      </c>
      <c r="E12985">
        <v>0.6</v>
      </c>
      <c r="F12985">
        <v>94</v>
      </c>
    </row>
    <row r="12986" spans="1:6" x14ac:dyDescent="0.35">
      <c r="A12986">
        <v>1975</v>
      </c>
      <c r="B12986" s="1">
        <v>46066</v>
      </c>
      <c r="C12986" s="2">
        <v>0</v>
      </c>
      <c r="D12986">
        <v>1</v>
      </c>
      <c r="E12986">
        <v>0.6</v>
      </c>
      <c r="F12986">
        <v>93</v>
      </c>
    </row>
    <row r="12987" spans="1:6" x14ac:dyDescent="0.35">
      <c r="A12987">
        <v>1975</v>
      </c>
      <c r="B12987" s="1">
        <v>46066</v>
      </c>
      <c r="C12987" s="2">
        <v>4.1666666666666657E-2</v>
      </c>
      <c r="D12987">
        <v>1</v>
      </c>
      <c r="E12987">
        <v>0.6</v>
      </c>
      <c r="F12987">
        <v>94</v>
      </c>
    </row>
    <row r="12988" spans="1:6" x14ac:dyDescent="0.35">
      <c r="A12988">
        <v>1975</v>
      </c>
      <c r="B12988" s="1">
        <v>46066</v>
      </c>
      <c r="C12988" s="2">
        <v>8.3333333333333329E-2</v>
      </c>
      <c r="D12988">
        <v>1</v>
      </c>
      <c r="E12988">
        <v>0.6</v>
      </c>
      <c r="F12988">
        <v>93</v>
      </c>
    </row>
    <row r="12989" spans="1:6" x14ac:dyDescent="0.35">
      <c r="A12989">
        <v>1975</v>
      </c>
      <c r="B12989" s="1">
        <v>46066</v>
      </c>
      <c r="C12989" s="2">
        <v>0.125</v>
      </c>
      <c r="D12989">
        <v>1</v>
      </c>
      <c r="E12989">
        <v>0.6</v>
      </c>
      <c r="F12989">
        <v>92</v>
      </c>
    </row>
    <row r="12990" spans="1:6" x14ac:dyDescent="0.35">
      <c r="A12990">
        <v>1975</v>
      </c>
      <c r="B12990" s="1">
        <v>46066</v>
      </c>
      <c r="C12990" s="2">
        <v>0.16666666666666671</v>
      </c>
      <c r="D12990">
        <v>1</v>
      </c>
      <c r="E12990">
        <v>0.3</v>
      </c>
      <c r="F12990">
        <v>92</v>
      </c>
    </row>
    <row r="12991" spans="1:6" x14ac:dyDescent="0.35">
      <c r="A12991">
        <v>1975</v>
      </c>
      <c r="B12991" s="1">
        <v>46066</v>
      </c>
      <c r="C12991" s="2">
        <v>0.20833333333333329</v>
      </c>
      <c r="D12991">
        <v>1</v>
      </c>
      <c r="E12991">
        <v>0</v>
      </c>
      <c r="F12991">
        <v>91</v>
      </c>
    </row>
    <row r="12992" spans="1:6" x14ac:dyDescent="0.35">
      <c r="A12992">
        <v>1975</v>
      </c>
      <c r="B12992" s="1">
        <v>46066</v>
      </c>
      <c r="C12992" s="2">
        <v>0.25</v>
      </c>
      <c r="D12992">
        <v>1</v>
      </c>
      <c r="E12992">
        <v>-0.1</v>
      </c>
      <c r="F12992">
        <v>93</v>
      </c>
    </row>
    <row r="12993" spans="1:6" x14ac:dyDescent="0.35">
      <c r="A12993">
        <v>1975</v>
      </c>
      <c r="B12993" s="1">
        <v>46066</v>
      </c>
      <c r="C12993" s="2">
        <v>0.29166666666666669</v>
      </c>
      <c r="D12993">
        <v>1</v>
      </c>
      <c r="E12993">
        <v>-0.5</v>
      </c>
      <c r="F12993">
        <v>90</v>
      </c>
    </row>
    <row r="12994" spans="1:6" x14ac:dyDescent="0.35">
      <c r="A12994">
        <v>1975</v>
      </c>
      <c r="B12994" s="1">
        <v>46066</v>
      </c>
      <c r="C12994" s="2">
        <v>0.33333333333333331</v>
      </c>
      <c r="D12994">
        <v>1</v>
      </c>
      <c r="E12994">
        <v>-0.8</v>
      </c>
      <c r="F12994">
        <v>91</v>
      </c>
    </row>
    <row r="12995" spans="1:6" x14ac:dyDescent="0.35">
      <c r="A12995">
        <v>1975</v>
      </c>
      <c r="B12995" s="1">
        <v>46066</v>
      </c>
      <c r="C12995" s="2">
        <v>0.375</v>
      </c>
      <c r="D12995">
        <v>1</v>
      </c>
      <c r="E12995">
        <v>-1</v>
      </c>
      <c r="F12995">
        <v>93</v>
      </c>
    </row>
    <row r="12996" spans="1:6" x14ac:dyDescent="0.35">
      <c r="A12996">
        <v>1975</v>
      </c>
      <c r="B12996" s="1">
        <v>46066</v>
      </c>
      <c r="C12996" s="2">
        <v>0.41666666666666669</v>
      </c>
      <c r="D12996">
        <v>1</v>
      </c>
      <c r="E12996">
        <v>-0.9</v>
      </c>
      <c r="F12996">
        <v>89</v>
      </c>
    </row>
    <row r="12997" spans="1:6" x14ac:dyDescent="0.35">
      <c r="A12997">
        <v>1975</v>
      </c>
      <c r="B12997" s="1">
        <v>46066</v>
      </c>
      <c r="C12997" s="2">
        <v>0.45833333333333331</v>
      </c>
      <c r="D12997">
        <v>1</v>
      </c>
      <c r="E12997">
        <v>-0.4</v>
      </c>
      <c r="F12997">
        <v>85</v>
      </c>
    </row>
    <row r="12998" spans="1:6" x14ac:dyDescent="0.35">
      <c r="A12998">
        <v>1975</v>
      </c>
      <c r="B12998" s="1">
        <v>46066</v>
      </c>
      <c r="C12998" s="2">
        <v>0.5</v>
      </c>
      <c r="D12998">
        <v>1</v>
      </c>
      <c r="E12998">
        <v>-0.7</v>
      </c>
      <c r="F12998">
        <v>88</v>
      </c>
    </row>
    <row r="12999" spans="1:6" x14ac:dyDescent="0.35">
      <c r="A12999">
        <v>1975</v>
      </c>
      <c r="B12999" s="1">
        <v>46066</v>
      </c>
      <c r="C12999" s="2">
        <v>0.54166666666666663</v>
      </c>
      <c r="D12999">
        <v>1</v>
      </c>
      <c r="E12999">
        <v>-0.8</v>
      </c>
      <c r="F12999">
        <v>89</v>
      </c>
    </row>
    <row r="13000" spans="1:6" x14ac:dyDescent="0.35">
      <c r="A13000">
        <v>1975</v>
      </c>
      <c r="B13000" s="1">
        <v>46066</v>
      </c>
      <c r="C13000" s="2">
        <v>0.58333333333333337</v>
      </c>
      <c r="D13000">
        <v>1</v>
      </c>
      <c r="E13000">
        <v>-0.8</v>
      </c>
      <c r="F13000">
        <v>88</v>
      </c>
    </row>
    <row r="13001" spans="1:6" x14ac:dyDescent="0.35">
      <c r="A13001">
        <v>1975</v>
      </c>
      <c r="B13001" s="1">
        <v>46066</v>
      </c>
      <c r="C13001" s="2">
        <v>0.625</v>
      </c>
      <c r="D13001">
        <v>1</v>
      </c>
      <c r="E13001">
        <v>-0.9</v>
      </c>
      <c r="F13001">
        <v>90</v>
      </c>
    </row>
    <row r="13002" spans="1:6" x14ac:dyDescent="0.35">
      <c r="A13002">
        <v>1975</v>
      </c>
      <c r="B13002" s="1">
        <v>46066</v>
      </c>
      <c r="C13002" s="2">
        <v>0.66666666666666663</v>
      </c>
      <c r="D13002">
        <v>1</v>
      </c>
      <c r="E13002">
        <v>-1.2</v>
      </c>
      <c r="F13002">
        <v>91</v>
      </c>
    </row>
    <row r="13003" spans="1:6" x14ac:dyDescent="0.35">
      <c r="A13003">
        <v>1975</v>
      </c>
      <c r="B13003" s="1">
        <v>46066</v>
      </c>
      <c r="C13003" s="2">
        <v>0.70833333333333337</v>
      </c>
      <c r="D13003">
        <v>1</v>
      </c>
      <c r="E13003">
        <v>-1.5</v>
      </c>
      <c r="F13003">
        <v>91</v>
      </c>
    </row>
    <row r="13004" spans="1:6" x14ac:dyDescent="0.35">
      <c r="A13004">
        <v>1975</v>
      </c>
      <c r="B13004" s="1">
        <v>46066</v>
      </c>
      <c r="C13004" s="2">
        <v>0.75</v>
      </c>
      <c r="D13004">
        <v>1</v>
      </c>
      <c r="E13004">
        <v>-1.5</v>
      </c>
      <c r="F13004">
        <v>90</v>
      </c>
    </row>
    <row r="13005" spans="1:6" x14ac:dyDescent="0.35">
      <c r="A13005">
        <v>1975</v>
      </c>
      <c r="B13005" s="1">
        <v>46066</v>
      </c>
      <c r="C13005" s="2">
        <v>0.79166666666666663</v>
      </c>
      <c r="D13005">
        <v>1</v>
      </c>
      <c r="E13005">
        <v>-1.7</v>
      </c>
      <c r="F13005">
        <v>90</v>
      </c>
    </row>
    <row r="13006" spans="1:6" x14ac:dyDescent="0.35">
      <c r="A13006">
        <v>1975</v>
      </c>
      <c r="B13006" s="1">
        <v>46066</v>
      </c>
      <c r="C13006" s="2">
        <v>0.83333333333333337</v>
      </c>
      <c r="D13006">
        <v>1</v>
      </c>
      <c r="E13006">
        <v>-1.8</v>
      </c>
      <c r="F13006">
        <v>91</v>
      </c>
    </row>
    <row r="13007" spans="1:6" x14ac:dyDescent="0.35">
      <c r="A13007">
        <v>1975</v>
      </c>
      <c r="B13007" s="1">
        <v>46066</v>
      </c>
      <c r="C13007" s="2">
        <v>0.875</v>
      </c>
      <c r="D13007">
        <v>1</v>
      </c>
      <c r="E13007">
        <v>-1.8</v>
      </c>
      <c r="F13007">
        <v>89</v>
      </c>
    </row>
    <row r="13008" spans="1:6" x14ac:dyDescent="0.35">
      <c r="A13008">
        <v>1975</v>
      </c>
      <c r="B13008" s="1">
        <v>46066</v>
      </c>
      <c r="C13008" s="2">
        <v>0.91666666666666663</v>
      </c>
      <c r="D13008">
        <v>1</v>
      </c>
      <c r="E13008">
        <v>-1.9</v>
      </c>
      <c r="F13008">
        <v>89</v>
      </c>
    </row>
    <row r="13009" spans="1:6" x14ac:dyDescent="0.35">
      <c r="A13009">
        <v>1975</v>
      </c>
      <c r="B13009" s="1">
        <v>46066</v>
      </c>
      <c r="C13009" s="2">
        <v>0.95833333333333337</v>
      </c>
      <c r="D13009">
        <v>1</v>
      </c>
      <c r="E13009">
        <v>-1.9</v>
      </c>
      <c r="F13009">
        <v>89</v>
      </c>
    </row>
    <row r="13010" spans="1:6" x14ac:dyDescent="0.35">
      <c r="A13010">
        <v>1975</v>
      </c>
      <c r="B13010" s="1">
        <v>46067</v>
      </c>
      <c r="C13010" s="2">
        <v>0</v>
      </c>
      <c r="D13010">
        <v>1</v>
      </c>
      <c r="E13010">
        <v>-2</v>
      </c>
      <c r="F13010">
        <v>91</v>
      </c>
    </row>
    <row r="13011" spans="1:6" x14ac:dyDescent="0.35">
      <c r="A13011">
        <v>1975</v>
      </c>
      <c r="B13011" s="1">
        <v>46067</v>
      </c>
      <c r="C13011" s="2">
        <v>4.1666666666666657E-2</v>
      </c>
      <c r="D13011">
        <v>1</v>
      </c>
      <c r="E13011">
        <v>-2.1</v>
      </c>
      <c r="F13011">
        <v>92</v>
      </c>
    </row>
    <row r="13012" spans="1:6" x14ac:dyDescent="0.35">
      <c r="A13012">
        <v>1975</v>
      </c>
      <c r="B13012" s="1">
        <v>46067</v>
      </c>
      <c r="C13012" s="2">
        <v>8.3333333333333329E-2</v>
      </c>
      <c r="D13012">
        <v>1</v>
      </c>
      <c r="E13012">
        <v>-2.1</v>
      </c>
      <c r="F13012">
        <v>92</v>
      </c>
    </row>
    <row r="13013" spans="1:6" x14ac:dyDescent="0.35">
      <c r="A13013">
        <v>1975</v>
      </c>
      <c r="B13013" s="1">
        <v>46067</v>
      </c>
      <c r="C13013" s="2">
        <v>0.125</v>
      </c>
      <c r="D13013">
        <v>1</v>
      </c>
      <c r="E13013">
        <v>-1.9</v>
      </c>
      <c r="F13013">
        <v>90</v>
      </c>
    </row>
    <row r="13014" spans="1:6" x14ac:dyDescent="0.35">
      <c r="A13014">
        <v>1975</v>
      </c>
      <c r="B13014" s="1">
        <v>46067</v>
      </c>
      <c r="C13014" s="2">
        <v>0.16666666666666671</v>
      </c>
      <c r="D13014">
        <v>1</v>
      </c>
      <c r="E13014">
        <v>-2</v>
      </c>
      <c r="F13014">
        <v>91</v>
      </c>
    </row>
    <row r="13015" spans="1:6" x14ac:dyDescent="0.35">
      <c r="A13015">
        <v>1975</v>
      </c>
      <c r="B13015" s="1">
        <v>46067</v>
      </c>
      <c r="C13015" s="2">
        <v>0.20833333333333329</v>
      </c>
      <c r="D13015">
        <v>1</v>
      </c>
      <c r="E13015">
        <v>-1.9</v>
      </c>
      <c r="F13015">
        <v>90</v>
      </c>
    </row>
    <row r="13016" spans="1:6" x14ac:dyDescent="0.35">
      <c r="A13016">
        <v>1975</v>
      </c>
      <c r="B13016" s="1">
        <v>46067</v>
      </c>
      <c r="C13016" s="2">
        <v>0.25</v>
      </c>
      <c r="D13016">
        <v>1</v>
      </c>
      <c r="E13016">
        <v>-1.8</v>
      </c>
      <c r="F13016">
        <v>90</v>
      </c>
    </row>
    <row r="13017" spans="1:6" x14ac:dyDescent="0.35">
      <c r="A13017">
        <v>1975</v>
      </c>
      <c r="B13017" s="1">
        <v>46067</v>
      </c>
      <c r="C13017" s="2">
        <v>0.29166666666666669</v>
      </c>
      <c r="D13017">
        <v>1</v>
      </c>
      <c r="E13017">
        <v>-1.6</v>
      </c>
      <c r="F13017">
        <v>89</v>
      </c>
    </row>
    <row r="13018" spans="1:6" x14ac:dyDescent="0.35">
      <c r="A13018">
        <v>1975</v>
      </c>
      <c r="B13018" s="1">
        <v>46067</v>
      </c>
      <c r="C13018" s="2">
        <v>0.33333333333333331</v>
      </c>
      <c r="D13018">
        <v>1</v>
      </c>
      <c r="E13018">
        <v>-1.5</v>
      </c>
      <c r="F13018">
        <v>87</v>
      </c>
    </row>
    <row r="13019" spans="1:6" x14ac:dyDescent="0.35">
      <c r="A13019">
        <v>1975</v>
      </c>
      <c r="B13019" s="1">
        <v>46067</v>
      </c>
      <c r="C13019" s="2">
        <v>0.375</v>
      </c>
      <c r="D13019">
        <v>1</v>
      </c>
      <c r="E13019">
        <v>-1.4</v>
      </c>
      <c r="F13019">
        <v>86</v>
      </c>
    </row>
    <row r="13020" spans="1:6" x14ac:dyDescent="0.35">
      <c r="A13020">
        <v>1975</v>
      </c>
      <c r="B13020" s="1">
        <v>46067</v>
      </c>
      <c r="C13020" s="2">
        <v>0.41666666666666669</v>
      </c>
      <c r="D13020">
        <v>1</v>
      </c>
      <c r="E13020">
        <v>-1.3</v>
      </c>
      <c r="F13020">
        <v>84</v>
      </c>
    </row>
    <row r="13021" spans="1:6" x14ac:dyDescent="0.35">
      <c r="A13021">
        <v>1975</v>
      </c>
      <c r="B13021" s="1">
        <v>46067</v>
      </c>
      <c r="C13021" s="2">
        <v>0.45833333333333331</v>
      </c>
      <c r="D13021">
        <v>1</v>
      </c>
      <c r="E13021">
        <v>-1.1000000000000001</v>
      </c>
      <c r="F13021">
        <v>80</v>
      </c>
    </row>
    <row r="13022" spans="1:6" x14ac:dyDescent="0.35">
      <c r="A13022">
        <v>1975</v>
      </c>
      <c r="B13022" s="1">
        <v>46067</v>
      </c>
      <c r="C13022" s="2">
        <v>0.5</v>
      </c>
      <c r="D13022">
        <v>1</v>
      </c>
      <c r="E13022">
        <v>-0.9</v>
      </c>
      <c r="F13022">
        <v>75</v>
      </c>
    </row>
    <row r="13023" spans="1:6" x14ac:dyDescent="0.35">
      <c r="A13023">
        <v>1975</v>
      </c>
      <c r="B13023" s="1">
        <v>46067</v>
      </c>
      <c r="C13023" s="2">
        <v>0.54166666666666663</v>
      </c>
      <c r="D13023">
        <v>1</v>
      </c>
      <c r="E13023">
        <v>-1.1000000000000001</v>
      </c>
      <c r="F13023">
        <v>70</v>
      </c>
    </row>
    <row r="13024" spans="1:6" x14ac:dyDescent="0.35">
      <c r="A13024">
        <v>1975</v>
      </c>
      <c r="B13024" s="1">
        <v>46067</v>
      </c>
      <c r="C13024" s="2">
        <v>0.58333333333333337</v>
      </c>
      <c r="D13024">
        <v>1</v>
      </c>
      <c r="E13024">
        <v>-1.2</v>
      </c>
      <c r="F13024">
        <v>69</v>
      </c>
    </row>
    <row r="13025" spans="1:6" x14ac:dyDescent="0.35">
      <c r="A13025">
        <v>1975</v>
      </c>
      <c r="B13025" s="1">
        <v>46067</v>
      </c>
      <c r="C13025" s="2">
        <v>0.625</v>
      </c>
      <c r="D13025">
        <v>1</v>
      </c>
      <c r="E13025">
        <v>-1.2</v>
      </c>
      <c r="F13025">
        <v>69</v>
      </c>
    </row>
    <row r="13026" spans="1:6" x14ac:dyDescent="0.35">
      <c r="A13026">
        <v>1975</v>
      </c>
      <c r="B13026" s="1">
        <v>46067</v>
      </c>
      <c r="C13026" s="2">
        <v>0.66666666666666663</v>
      </c>
      <c r="D13026">
        <v>1</v>
      </c>
      <c r="E13026">
        <v>-1.3</v>
      </c>
      <c r="F13026">
        <v>71</v>
      </c>
    </row>
    <row r="13027" spans="1:6" x14ac:dyDescent="0.35">
      <c r="A13027">
        <v>1975</v>
      </c>
      <c r="B13027" s="1">
        <v>46067</v>
      </c>
      <c r="C13027" s="2">
        <v>0.70833333333333337</v>
      </c>
      <c r="D13027">
        <v>1</v>
      </c>
      <c r="E13027">
        <v>-1.7</v>
      </c>
      <c r="F13027">
        <v>68</v>
      </c>
    </row>
    <row r="13028" spans="1:6" x14ac:dyDescent="0.35">
      <c r="A13028">
        <v>1975</v>
      </c>
      <c r="B13028" s="1">
        <v>46067</v>
      </c>
      <c r="C13028" s="2">
        <v>0.75</v>
      </c>
      <c r="D13028">
        <v>1</v>
      </c>
      <c r="E13028">
        <v>-1.9</v>
      </c>
      <c r="F13028">
        <v>70</v>
      </c>
    </row>
    <row r="13029" spans="1:6" x14ac:dyDescent="0.35">
      <c r="A13029">
        <v>1975</v>
      </c>
      <c r="B13029" s="1">
        <v>46067</v>
      </c>
      <c r="C13029" s="2">
        <v>0.79166666666666663</v>
      </c>
      <c r="D13029">
        <v>1</v>
      </c>
      <c r="E13029">
        <v>-4</v>
      </c>
      <c r="F13029">
        <v>74</v>
      </c>
    </row>
    <row r="13030" spans="1:6" x14ac:dyDescent="0.35">
      <c r="A13030">
        <v>1975</v>
      </c>
      <c r="B13030" s="1">
        <v>46067</v>
      </c>
      <c r="C13030" s="2">
        <v>0.83333333333333337</v>
      </c>
      <c r="D13030">
        <v>1</v>
      </c>
      <c r="E13030">
        <v>-4.7</v>
      </c>
      <c r="F13030">
        <v>86</v>
      </c>
    </row>
    <row r="13031" spans="1:6" x14ac:dyDescent="0.35">
      <c r="A13031">
        <v>1975</v>
      </c>
      <c r="B13031" s="1">
        <v>46067</v>
      </c>
      <c r="C13031" s="2">
        <v>0.875</v>
      </c>
      <c r="D13031">
        <v>1</v>
      </c>
      <c r="E13031">
        <v>-7.3</v>
      </c>
      <c r="F13031">
        <v>95</v>
      </c>
    </row>
    <row r="13032" spans="1:6" x14ac:dyDescent="0.35">
      <c r="A13032">
        <v>1975</v>
      </c>
      <c r="B13032" s="1">
        <v>46067</v>
      </c>
      <c r="C13032" s="2">
        <v>0.91666666666666663</v>
      </c>
      <c r="D13032">
        <v>1</v>
      </c>
      <c r="E13032">
        <v>-7.2</v>
      </c>
      <c r="F13032">
        <v>99</v>
      </c>
    </row>
    <row r="13033" spans="1:6" x14ac:dyDescent="0.35">
      <c r="A13033">
        <v>1975</v>
      </c>
      <c r="B13033" s="1">
        <v>46067</v>
      </c>
      <c r="C13033" s="2">
        <v>0.95833333333333337</v>
      </c>
      <c r="D13033">
        <v>1</v>
      </c>
      <c r="E13033">
        <v>-7.6</v>
      </c>
      <c r="F13033">
        <v>97</v>
      </c>
    </row>
    <row r="13034" spans="1:6" x14ac:dyDescent="0.35">
      <c r="A13034">
        <v>1975</v>
      </c>
      <c r="B13034" s="1">
        <v>46068</v>
      </c>
      <c r="C13034" s="2">
        <v>0</v>
      </c>
      <c r="D13034">
        <v>1</v>
      </c>
      <c r="E13034">
        <v>-8.6999999999999993</v>
      </c>
      <c r="F13034">
        <v>99</v>
      </c>
    </row>
    <row r="13035" spans="1:6" x14ac:dyDescent="0.35">
      <c r="A13035">
        <v>1975</v>
      </c>
      <c r="B13035" s="1">
        <v>46068</v>
      </c>
      <c r="C13035" s="2">
        <v>4.1666666666666657E-2</v>
      </c>
      <c r="D13035">
        <v>1</v>
      </c>
      <c r="E13035">
        <v>-9.1</v>
      </c>
      <c r="F13035">
        <v>98</v>
      </c>
    </row>
    <row r="13036" spans="1:6" x14ac:dyDescent="0.35">
      <c r="A13036">
        <v>1975</v>
      </c>
      <c r="B13036" s="1">
        <v>46068</v>
      </c>
      <c r="C13036" s="2">
        <v>8.3333333333333329E-2</v>
      </c>
      <c r="D13036">
        <v>1</v>
      </c>
      <c r="E13036">
        <v>-9.1999999999999993</v>
      </c>
      <c r="F13036">
        <v>97</v>
      </c>
    </row>
    <row r="13037" spans="1:6" x14ac:dyDescent="0.35">
      <c r="A13037">
        <v>1975</v>
      </c>
      <c r="B13037" s="1">
        <v>46068</v>
      </c>
      <c r="C13037" s="2">
        <v>0.125</v>
      </c>
      <c r="D13037">
        <v>1</v>
      </c>
      <c r="E13037">
        <v>-9.1999999999999993</v>
      </c>
      <c r="F13037">
        <v>96</v>
      </c>
    </row>
    <row r="13038" spans="1:6" x14ac:dyDescent="0.35">
      <c r="A13038">
        <v>1975</v>
      </c>
      <c r="B13038" s="1">
        <v>46068</v>
      </c>
      <c r="C13038" s="2">
        <v>0.16666666666666671</v>
      </c>
      <c r="D13038">
        <v>1</v>
      </c>
      <c r="E13038">
        <v>-8.9</v>
      </c>
      <c r="F13038">
        <v>95</v>
      </c>
    </row>
    <row r="13039" spans="1:6" x14ac:dyDescent="0.35">
      <c r="A13039">
        <v>1975</v>
      </c>
      <c r="B13039" s="1">
        <v>46068</v>
      </c>
      <c r="C13039" s="2">
        <v>0.20833333333333329</v>
      </c>
      <c r="D13039">
        <v>1</v>
      </c>
      <c r="E13039">
        <v>-9.5</v>
      </c>
      <c r="F13039">
        <v>97</v>
      </c>
    </row>
    <row r="13040" spans="1:6" x14ac:dyDescent="0.35">
      <c r="A13040">
        <v>1975</v>
      </c>
      <c r="B13040" s="1">
        <v>46068</v>
      </c>
      <c r="C13040" s="2">
        <v>0.25</v>
      </c>
      <c r="D13040">
        <v>1</v>
      </c>
      <c r="E13040">
        <v>-8.6999999999999993</v>
      </c>
      <c r="F13040">
        <v>91</v>
      </c>
    </row>
    <row r="13041" spans="1:6" x14ac:dyDescent="0.35">
      <c r="A13041">
        <v>1975</v>
      </c>
      <c r="B13041" s="1">
        <v>46068</v>
      </c>
      <c r="C13041" s="2">
        <v>0.29166666666666669</v>
      </c>
      <c r="D13041">
        <v>1</v>
      </c>
      <c r="E13041">
        <v>-7.8</v>
      </c>
      <c r="F13041">
        <v>93</v>
      </c>
    </row>
    <row r="13042" spans="1:6" x14ac:dyDescent="0.35">
      <c r="A13042">
        <v>1975</v>
      </c>
      <c r="B13042" s="1">
        <v>46068</v>
      </c>
      <c r="C13042" s="2">
        <v>0.33333333333333331</v>
      </c>
      <c r="D13042">
        <v>1</v>
      </c>
      <c r="E13042">
        <v>-6.4</v>
      </c>
      <c r="F13042">
        <v>91</v>
      </c>
    </row>
    <row r="13043" spans="1:6" x14ac:dyDescent="0.35">
      <c r="A13043">
        <v>1975</v>
      </c>
      <c r="B13043" s="1">
        <v>46068</v>
      </c>
      <c r="C13043" s="2">
        <v>0.375</v>
      </c>
      <c r="D13043">
        <v>1</v>
      </c>
      <c r="E13043">
        <v>-4.5999999999999996</v>
      </c>
      <c r="F13043">
        <v>79</v>
      </c>
    </row>
    <row r="13044" spans="1:6" x14ac:dyDescent="0.35">
      <c r="A13044">
        <v>1975</v>
      </c>
      <c r="B13044" s="1">
        <v>46068</v>
      </c>
      <c r="C13044" s="2">
        <v>0.41666666666666669</v>
      </c>
      <c r="D13044">
        <v>1</v>
      </c>
      <c r="E13044">
        <v>-3.5</v>
      </c>
      <c r="F13044">
        <v>70</v>
      </c>
    </row>
    <row r="13045" spans="1:6" x14ac:dyDescent="0.35">
      <c r="A13045">
        <v>1975</v>
      </c>
      <c r="B13045" s="1">
        <v>46068</v>
      </c>
      <c r="C13045" s="2">
        <v>0.45833333333333331</v>
      </c>
      <c r="D13045">
        <v>1</v>
      </c>
      <c r="E13045">
        <v>-2.5</v>
      </c>
      <c r="F13045">
        <v>68</v>
      </c>
    </row>
    <row r="13046" spans="1:6" x14ac:dyDescent="0.35">
      <c r="A13046">
        <v>1975</v>
      </c>
      <c r="B13046" s="1">
        <v>46068</v>
      </c>
      <c r="C13046" s="2">
        <v>0.5</v>
      </c>
      <c r="D13046">
        <v>1</v>
      </c>
      <c r="E13046">
        <v>-2</v>
      </c>
      <c r="F13046">
        <v>69</v>
      </c>
    </row>
    <row r="13047" spans="1:6" x14ac:dyDescent="0.35">
      <c r="A13047">
        <v>1975</v>
      </c>
      <c r="B13047" s="1">
        <v>46068</v>
      </c>
      <c r="C13047" s="2">
        <v>0.54166666666666663</v>
      </c>
      <c r="D13047">
        <v>1</v>
      </c>
      <c r="E13047">
        <v>-1.8</v>
      </c>
      <c r="F13047">
        <v>70</v>
      </c>
    </row>
    <row r="13048" spans="1:6" x14ac:dyDescent="0.35">
      <c r="A13048">
        <v>1975</v>
      </c>
      <c r="B13048" s="1">
        <v>46068</v>
      </c>
      <c r="C13048" s="2">
        <v>0.58333333333333337</v>
      </c>
      <c r="D13048">
        <v>1</v>
      </c>
      <c r="E13048">
        <v>-1.6</v>
      </c>
      <c r="F13048">
        <v>73</v>
      </c>
    </row>
    <row r="13049" spans="1:6" x14ac:dyDescent="0.35">
      <c r="A13049">
        <v>1975</v>
      </c>
      <c r="B13049" s="1">
        <v>46068</v>
      </c>
      <c r="C13049" s="2">
        <v>0.625</v>
      </c>
      <c r="D13049">
        <v>1</v>
      </c>
      <c r="E13049">
        <v>-1.7</v>
      </c>
      <c r="F13049">
        <v>72</v>
      </c>
    </row>
    <row r="13050" spans="1:6" x14ac:dyDescent="0.35">
      <c r="A13050">
        <v>1975</v>
      </c>
      <c r="B13050" s="1">
        <v>46068</v>
      </c>
      <c r="C13050" s="2">
        <v>0.66666666666666663</v>
      </c>
      <c r="D13050">
        <v>1</v>
      </c>
      <c r="E13050">
        <v>-1.7</v>
      </c>
      <c r="F13050">
        <v>72</v>
      </c>
    </row>
    <row r="13051" spans="1:6" x14ac:dyDescent="0.35">
      <c r="A13051">
        <v>1975</v>
      </c>
      <c r="B13051" s="1">
        <v>46068</v>
      </c>
      <c r="C13051" s="2">
        <v>0.70833333333333337</v>
      </c>
      <c r="D13051">
        <v>1</v>
      </c>
      <c r="E13051">
        <v>-2.2999999999999998</v>
      </c>
      <c r="F13051">
        <v>74</v>
      </c>
    </row>
    <row r="13052" spans="1:6" x14ac:dyDescent="0.35">
      <c r="A13052">
        <v>1975</v>
      </c>
      <c r="B13052" s="1">
        <v>46068</v>
      </c>
      <c r="C13052" s="2">
        <v>0.75</v>
      </c>
      <c r="D13052">
        <v>1</v>
      </c>
      <c r="E13052">
        <v>-2.6</v>
      </c>
      <c r="F13052">
        <v>76</v>
      </c>
    </row>
    <row r="13053" spans="1:6" x14ac:dyDescent="0.35">
      <c r="A13053">
        <v>1975</v>
      </c>
      <c r="B13053" s="1">
        <v>46068</v>
      </c>
      <c r="C13053" s="2">
        <v>0.79166666666666663</v>
      </c>
      <c r="D13053">
        <v>1</v>
      </c>
      <c r="E13053">
        <v>-2.8</v>
      </c>
      <c r="F13053">
        <v>76</v>
      </c>
    </row>
    <row r="13054" spans="1:6" x14ac:dyDescent="0.35">
      <c r="A13054">
        <v>1975</v>
      </c>
      <c r="B13054" s="1">
        <v>46068</v>
      </c>
      <c r="C13054" s="2">
        <v>0.83333333333333337</v>
      </c>
      <c r="D13054">
        <v>1</v>
      </c>
      <c r="E13054">
        <v>-2.4</v>
      </c>
      <c r="F13054">
        <v>72</v>
      </c>
    </row>
    <row r="13055" spans="1:6" x14ac:dyDescent="0.35">
      <c r="A13055">
        <v>1975</v>
      </c>
      <c r="B13055" s="1">
        <v>46068</v>
      </c>
      <c r="C13055" s="2">
        <v>0.875</v>
      </c>
      <c r="D13055">
        <v>1</v>
      </c>
      <c r="E13055">
        <v>-2.2000000000000002</v>
      </c>
      <c r="F13055">
        <v>71</v>
      </c>
    </row>
    <row r="13056" spans="1:6" x14ac:dyDescent="0.35">
      <c r="A13056">
        <v>1975</v>
      </c>
      <c r="B13056" s="1">
        <v>46068</v>
      </c>
      <c r="C13056" s="2">
        <v>0.91666666666666663</v>
      </c>
      <c r="D13056">
        <v>1</v>
      </c>
      <c r="E13056">
        <v>-2.5</v>
      </c>
      <c r="F13056">
        <v>73</v>
      </c>
    </row>
    <row r="13057" spans="1:6" x14ac:dyDescent="0.35">
      <c r="A13057">
        <v>1975</v>
      </c>
      <c r="B13057" s="1">
        <v>46068</v>
      </c>
      <c r="C13057" s="2">
        <v>0.95833333333333337</v>
      </c>
      <c r="D13057">
        <v>1</v>
      </c>
      <c r="E13057">
        <v>-2.4</v>
      </c>
      <c r="F13057">
        <v>72</v>
      </c>
    </row>
    <row r="13058" spans="1:6" x14ac:dyDescent="0.35">
      <c r="A13058">
        <v>1975</v>
      </c>
      <c r="B13058" s="1">
        <v>46069</v>
      </c>
      <c r="C13058" s="2">
        <v>0</v>
      </c>
      <c r="D13058">
        <v>1</v>
      </c>
      <c r="E13058">
        <v>-2.6</v>
      </c>
      <c r="F13058">
        <v>72</v>
      </c>
    </row>
    <row r="13059" spans="1:6" x14ac:dyDescent="0.35">
      <c r="A13059">
        <v>1975</v>
      </c>
      <c r="B13059" s="1">
        <v>46069</v>
      </c>
      <c r="C13059" s="2">
        <v>4.1666666666666657E-2</v>
      </c>
      <c r="D13059">
        <v>1</v>
      </c>
      <c r="E13059">
        <v>-2.7</v>
      </c>
      <c r="F13059">
        <v>73</v>
      </c>
    </row>
    <row r="13060" spans="1:6" x14ac:dyDescent="0.35">
      <c r="A13060">
        <v>1975</v>
      </c>
      <c r="B13060" s="1">
        <v>46069</v>
      </c>
      <c r="C13060" s="2">
        <v>8.3333333333333329E-2</v>
      </c>
      <c r="D13060">
        <v>1</v>
      </c>
      <c r="E13060">
        <v>-2.9</v>
      </c>
      <c r="F13060">
        <v>74</v>
      </c>
    </row>
    <row r="13061" spans="1:6" x14ac:dyDescent="0.35">
      <c r="A13061">
        <v>1975</v>
      </c>
      <c r="B13061" s="1">
        <v>46069</v>
      </c>
      <c r="C13061" s="2">
        <v>0.125</v>
      </c>
      <c r="D13061">
        <v>1</v>
      </c>
      <c r="E13061">
        <v>-3.1</v>
      </c>
      <c r="F13061">
        <v>74</v>
      </c>
    </row>
    <row r="13062" spans="1:6" x14ac:dyDescent="0.35">
      <c r="A13062">
        <v>1975</v>
      </c>
      <c r="B13062" s="1">
        <v>46069</v>
      </c>
      <c r="C13062" s="2">
        <v>0.16666666666666671</v>
      </c>
      <c r="D13062">
        <v>1</v>
      </c>
      <c r="E13062">
        <v>-3.6</v>
      </c>
      <c r="F13062">
        <v>82</v>
      </c>
    </row>
    <row r="13063" spans="1:6" x14ac:dyDescent="0.35">
      <c r="A13063">
        <v>1975</v>
      </c>
      <c r="B13063" s="1">
        <v>46069</v>
      </c>
      <c r="C13063" s="2">
        <v>0.20833333333333329</v>
      </c>
      <c r="D13063">
        <v>1</v>
      </c>
      <c r="E13063">
        <v>-3.8</v>
      </c>
      <c r="F13063">
        <v>82</v>
      </c>
    </row>
    <row r="13064" spans="1:6" x14ac:dyDescent="0.35">
      <c r="A13064">
        <v>1975</v>
      </c>
      <c r="B13064" s="1">
        <v>46069</v>
      </c>
      <c r="C13064" s="2">
        <v>0.25</v>
      </c>
      <c r="D13064">
        <v>1</v>
      </c>
      <c r="E13064">
        <v>-4.3</v>
      </c>
      <c r="F13064">
        <v>90</v>
      </c>
    </row>
    <row r="13065" spans="1:6" x14ac:dyDescent="0.35">
      <c r="A13065">
        <v>1975</v>
      </c>
      <c r="B13065" s="1">
        <v>46069</v>
      </c>
      <c r="C13065" s="2">
        <v>0.29166666666666669</v>
      </c>
      <c r="D13065">
        <v>1</v>
      </c>
      <c r="E13065">
        <v>-4.3</v>
      </c>
      <c r="F13065">
        <v>85</v>
      </c>
    </row>
    <row r="13066" spans="1:6" x14ac:dyDescent="0.35">
      <c r="A13066">
        <v>1975</v>
      </c>
      <c r="B13066" s="1">
        <v>46069</v>
      </c>
      <c r="C13066" s="2">
        <v>0.33333333333333331</v>
      </c>
      <c r="D13066">
        <v>1</v>
      </c>
      <c r="E13066">
        <v>-4.2</v>
      </c>
      <c r="F13066">
        <v>85</v>
      </c>
    </row>
    <row r="13067" spans="1:6" x14ac:dyDescent="0.35">
      <c r="A13067">
        <v>1975</v>
      </c>
      <c r="B13067" s="1">
        <v>46069</v>
      </c>
      <c r="C13067" s="2">
        <v>0.375</v>
      </c>
      <c r="D13067">
        <v>1</v>
      </c>
      <c r="E13067">
        <v>-4</v>
      </c>
      <c r="F13067">
        <v>85</v>
      </c>
    </row>
    <row r="13068" spans="1:6" x14ac:dyDescent="0.35">
      <c r="A13068">
        <v>1975</v>
      </c>
      <c r="B13068" s="1">
        <v>46069</v>
      </c>
      <c r="C13068" s="2">
        <v>0.41666666666666669</v>
      </c>
      <c r="D13068">
        <v>1</v>
      </c>
      <c r="E13068">
        <v>-3.8</v>
      </c>
      <c r="F13068">
        <v>87</v>
      </c>
    </row>
    <row r="13069" spans="1:6" x14ac:dyDescent="0.35">
      <c r="A13069">
        <v>1975</v>
      </c>
      <c r="B13069" s="1">
        <v>46069</v>
      </c>
      <c r="C13069" s="2">
        <v>0.45833333333333331</v>
      </c>
      <c r="D13069">
        <v>1</v>
      </c>
      <c r="E13069">
        <v>-3.5</v>
      </c>
      <c r="F13069">
        <v>87</v>
      </c>
    </row>
    <row r="13070" spans="1:6" x14ac:dyDescent="0.35">
      <c r="A13070">
        <v>1975</v>
      </c>
      <c r="B13070" s="1">
        <v>46069</v>
      </c>
      <c r="C13070" s="2">
        <v>0.5</v>
      </c>
      <c r="D13070">
        <v>1</v>
      </c>
      <c r="E13070">
        <v>-3.5</v>
      </c>
      <c r="F13070">
        <v>90</v>
      </c>
    </row>
    <row r="13071" spans="1:6" x14ac:dyDescent="0.35">
      <c r="A13071">
        <v>1975</v>
      </c>
      <c r="B13071" s="1">
        <v>46069</v>
      </c>
      <c r="C13071" s="2">
        <v>0.54166666666666663</v>
      </c>
      <c r="D13071">
        <v>1</v>
      </c>
      <c r="E13071">
        <v>-2.9</v>
      </c>
      <c r="F13071">
        <v>85</v>
      </c>
    </row>
    <row r="13072" spans="1:6" x14ac:dyDescent="0.35">
      <c r="A13072">
        <v>1975</v>
      </c>
      <c r="B13072" s="1">
        <v>46069</v>
      </c>
      <c r="C13072" s="2">
        <v>0.58333333333333337</v>
      </c>
      <c r="D13072">
        <v>1</v>
      </c>
      <c r="E13072">
        <v>-2.6</v>
      </c>
      <c r="F13072">
        <v>83</v>
      </c>
    </row>
    <row r="13073" spans="1:6" x14ac:dyDescent="0.35">
      <c r="A13073">
        <v>1975</v>
      </c>
      <c r="B13073" s="1">
        <v>46069</v>
      </c>
      <c r="C13073" s="2">
        <v>0.625</v>
      </c>
      <c r="D13073">
        <v>1</v>
      </c>
      <c r="E13073">
        <v>-2.6</v>
      </c>
      <c r="F13073">
        <v>82</v>
      </c>
    </row>
    <row r="13074" spans="1:6" x14ac:dyDescent="0.35">
      <c r="A13074">
        <v>1975</v>
      </c>
      <c r="B13074" s="1">
        <v>46069</v>
      </c>
      <c r="C13074" s="2">
        <v>0.66666666666666663</v>
      </c>
      <c r="D13074">
        <v>1</v>
      </c>
      <c r="E13074">
        <v>-2.9</v>
      </c>
      <c r="F13074">
        <v>86</v>
      </c>
    </row>
    <row r="13075" spans="1:6" x14ac:dyDescent="0.35">
      <c r="A13075">
        <v>1975</v>
      </c>
      <c r="B13075" s="1">
        <v>46069</v>
      </c>
      <c r="C13075" s="2">
        <v>0.70833333333333337</v>
      </c>
      <c r="D13075">
        <v>1</v>
      </c>
      <c r="E13075">
        <v>-2.8</v>
      </c>
      <c r="F13075">
        <v>84</v>
      </c>
    </row>
    <row r="13076" spans="1:6" x14ac:dyDescent="0.35">
      <c r="A13076">
        <v>1975</v>
      </c>
      <c r="B13076" s="1">
        <v>46069</v>
      </c>
      <c r="C13076" s="2">
        <v>0.75</v>
      </c>
      <c r="D13076">
        <v>1</v>
      </c>
      <c r="E13076">
        <v>-2.6</v>
      </c>
      <c r="F13076">
        <v>83</v>
      </c>
    </row>
    <row r="13077" spans="1:6" x14ac:dyDescent="0.35">
      <c r="A13077">
        <v>1975</v>
      </c>
      <c r="B13077" s="1">
        <v>46069</v>
      </c>
      <c r="C13077" s="2">
        <v>0.79166666666666663</v>
      </c>
      <c r="D13077">
        <v>1</v>
      </c>
      <c r="E13077">
        <v>-2.6</v>
      </c>
      <c r="F13077">
        <v>83</v>
      </c>
    </row>
    <row r="13078" spans="1:6" x14ac:dyDescent="0.35">
      <c r="A13078">
        <v>1975</v>
      </c>
      <c r="B13078" s="1">
        <v>46069</v>
      </c>
      <c r="C13078" s="2">
        <v>0.83333333333333337</v>
      </c>
      <c r="D13078">
        <v>1</v>
      </c>
      <c r="E13078">
        <v>-2.8</v>
      </c>
      <c r="F13078">
        <v>87</v>
      </c>
    </row>
    <row r="13079" spans="1:6" x14ac:dyDescent="0.35">
      <c r="A13079">
        <v>1975</v>
      </c>
      <c r="B13079" s="1">
        <v>46069</v>
      </c>
      <c r="C13079" s="2">
        <v>0.875</v>
      </c>
      <c r="D13079">
        <v>1</v>
      </c>
      <c r="E13079">
        <v>-2.9</v>
      </c>
      <c r="F13079">
        <v>88</v>
      </c>
    </row>
    <row r="13080" spans="1:6" x14ac:dyDescent="0.35">
      <c r="A13080">
        <v>1975</v>
      </c>
      <c r="B13080" s="1">
        <v>46069</v>
      </c>
      <c r="C13080" s="2">
        <v>0.91666666666666663</v>
      </c>
      <c r="D13080">
        <v>1</v>
      </c>
      <c r="E13080">
        <v>-2.9</v>
      </c>
      <c r="F13080">
        <v>90</v>
      </c>
    </row>
    <row r="13081" spans="1:6" x14ac:dyDescent="0.35">
      <c r="A13081">
        <v>1975</v>
      </c>
      <c r="B13081" s="1">
        <v>46069</v>
      </c>
      <c r="C13081" s="2">
        <v>0.95833333333333337</v>
      </c>
      <c r="D13081">
        <v>1</v>
      </c>
      <c r="E13081">
        <v>-3</v>
      </c>
      <c r="F13081">
        <v>91</v>
      </c>
    </row>
    <row r="13082" spans="1:6" x14ac:dyDescent="0.35">
      <c r="A13082">
        <v>1975</v>
      </c>
      <c r="B13082" s="1">
        <v>46070</v>
      </c>
      <c r="C13082" s="2">
        <v>0</v>
      </c>
      <c r="D13082">
        <v>1</v>
      </c>
      <c r="E13082">
        <v>-2.9</v>
      </c>
      <c r="F13082">
        <v>92</v>
      </c>
    </row>
    <row r="13083" spans="1:6" x14ac:dyDescent="0.35">
      <c r="A13083">
        <v>1975</v>
      </c>
      <c r="B13083" s="1">
        <v>46070</v>
      </c>
      <c r="C13083" s="2">
        <v>4.1666666666666657E-2</v>
      </c>
      <c r="D13083">
        <v>1</v>
      </c>
      <c r="E13083">
        <v>-2.8</v>
      </c>
      <c r="F13083">
        <v>90</v>
      </c>
    </row>
    <row r="13084" spans="1:6" x14ac:dyDescent="0.35">
      <c r="A13084">
        <v>1975</v>
      </c>
      <c r="B13084" s="1">
        <v>46070</v>
      </c>
      <c r="C13084" s="2">
        <v>8.3333333333333329E-2</v>
      </c>
      <c r="D13084">
        <v>1</v>
      </c>
      <c r="E13084">
        <v>-3.1</v>
      </c>
      <c r="F13084">
        <v>91</v>
      </c>
    </row>
    <row r="13085" spans="1:6" x14ac:dyDescent="0.35">
      <c r="A13085">
        <v>1975</v>
      </c>
      <c r="B13085" s="1">
        <v>46070</v>
      </c>
      <c r="C13085" s="2">
        <v>0.125</v>
      </c>
      <c r="D13085">
        <v>1</v>
      </c>
      <c r="E13085">
        <v>-3.4</v>
      </c>
      <c r="F13085">
        <v>92</v>
      </c>
    </row>
    <row r="13086" spans="1:6" x14ac:dyDescent="0.35">
      <c r="A13086">
        <v>1975</v>
      </c>
      <c r="B13086" s="1">
        <v>46070</v>
      </c>
      <c r="C13086" s="2">
        <v>0.16666666666666671</v>
      </c>
      <c r="D13086">
        <v>1</v>
      </c>
      <c r="E13086">
        <v>-3.4</v>
      </c>
      <c r="F13086">
        <v>93</v>
      </c>
    </row>
    <row r="13087" spans="1:6" x14ac:dyDescent="0.35">
      <c r="A13087">
        <v>1975</v>
      </c>
      <c r="B13087" s="1">
        <v>46070</v>
      </c>
      <c r="C13087" s="2">
        <v>0.20833333333333329</v>
      </c>
      <c r="D13087">
        <v>1</v>
      </c>
      <c r="E13087">
        <v>-3.3</v>
      </c>
      <c r="F13087">
        <v>92</v>
      </c>
    </row>
    <row r="13088" spans="1:6" x14ac:dyDescent="0.35">
      <c r="A13088">
        <v>1975</v>
      </c>
      <c r="B13088" s="1">
        <v>46070</v>
      </c>
      <c r="C13088" s="2">
        <v>0.25</v>
      </c>
      <c r="D13088">
        <v>1</v>
      </c>
      <c r="E13088">
        <v>-3.1</v>
      </c>
      <c r="F13088">
        <v>89</v>
      </c>
    </row>
    <row r="13089" spans="1:6" x14ac:dyDescent="0.35">
      <c r="A13089">
        <v>1975</v>
      </c>
      <c r="B13089" s="1">
        <v>46070</v>
      </c>
      <c r="C13089" s="2">
        <v>0.29166666666666669</v>
      </c>
      <c r="D13089">
        <v>1</v>
      </c>
      <c r="E13089">
        <v>-3</v>
      </c>
      <c r="F13089">
        <v>91</v>
      </c>
    </row>
    <row r="13090" spans="1:6" x14ac:dyDescent="0.35">
      <c r="A13090">
        <v>1975</v>
      </c>
      <c r="B13090" s="1">
        <v>46070</v>
      </c>
      <c r="C13090" s="2">
        <v>0.33333333333333331</v>
      </c>
      <c r="D13090">
        <v>1</v>
      </c>
      <c r="E13090">
        <v>-3</v>
      </c>
      <c r="F13090">
        <v>93</v>
      </c>
    </row>
    <row r="13091" spans="1:6" x14ac:dyDescent="0.35">
      <c r="A13091">
        <v>1975</v>
      </c>
      <c r="B13091" s="1">
        <v>46070</v>
      </c>
      <c r="C13091" s="2">
        <v>0.375</v>
      </c>
      <c r="D13091">
        <v>1</v>
      </c>
      <c r="E13091">
        <v>-2.7</v>
      </c>
      <c r="F13091">
        <v>94</v>
      </c>
    </row>
    <row r="13092" spans="1:6" x14ac:dyDescent="0.35">
      <c r="A13092">
        <v>1975</v>
      </c>
      <c r="B13092" s="1">
        <v>46070</v>
      </c>
      <c r="C13092" s="2">
        <v>0.41666666666666669</v>
      </c>
      <c r="D13092">
        <v>1</v>
      </c>
      <c r="E13092">
        <v>-2.4</v>
      </c>
      <c r="F13092">
        <v>96</v>
      </c>
    </row>
    <row r="13093" spans="1:6" x14ac:dyDescent="0.35">
      <c r="A13093">
        <v>1975</v>
      </c>
      <c r="B13093" s="1">
        <v>46070</v>
      </c>
      <c r="C13093" s="2">
        <v>0.45833333333333331</v>
      </c>
      <c r="D13093">
        <v>1</v>
      </c>
      <c r="E13093">
        <v>-1.9</v>
      </c>
      <c r="F13093">
        <v>92</v>
      </c>
    </row>
    <row r="13094" spans="1:6" x14ac:dyDescent="0.35">
      <c r="A13094">
        <v>1975</v>
      </c>
      <c r="B13094" s="1">
        <v>46070</v>
      </c>
      <c r="C13094" s="2">
        <v>0.5</v>
      </c>
      <c r="D13094">
        <v>1</v>
      </c>
      <c r="E13094">
        <v>-1.4</v>
      </c>
      <c r="F13094">
        <v>93</v>
      </c>
    </row>
    <row r="13095" spans="1:6" x14ac:dyDescent="0.35">
      <c r="A13095">
        <v>1975</v>
      </c>
      <c r="B13095" s="1">
        <v>46070</v>
      </c>
      <c r="C13095" s="2">
        <v>0.54166666666666663</v>
      </c>
      <c r="D13095">
        <v>1</v>
      </c>
      <c r="E13095">
        <v>-0.7</v>
      </c>
      <c r="F13095">
        <v>91</v>
      </c>
    </row>
    <row r="13096" spans="1:6" x14ac:dyDescent="0.35">
      <c r="A13096">
        <v>1975</v>
      </c>
      <c r="B13096" s="1">
        <v>46070</v>
      </c>
      <c r="C13096" s="2">
        <v>0.58333333333333337</v>
      </c>
      <c r="D13096">
        <v>1</v>
      </c>
      <c r="E13096">
        <v>-0.3</v>
      </c>
      <c r="F13096">
        <v>91</v>
      </c>
    </row>
    <row r="13097" spans="1:6" x14ac:dyDescent="0.35">
      <c r="A13097">
        <v>1975</v>
      </c>
      <c r="B13097" s="1">
        <v>46070</v>
      </c>
      <c r="C13097" s="2">
        <v>0.625</v>
      </c>
      <c r="D13097">
        <v>1</v>
      </c>
      <c r="E13097">
        <v>0</v>
      </c>
      <c r="F13097">
        <v>92</v>
      </c>
    </row>
    <row r="13098" spans="1:6" x14ac:dyDescent="0.35">
      <c r="A13098">
        <v>1975</v>
      </c>
      <c r="B13098" s="1">
        <v>46070</v>
      </c>
      <c r="C13098" s="2">
        <v>0.66666666666666663</v>
      </c>
      <c r="D13098">
        <v>1</v>
      </c>
      <c r="E13098">
        <v>0.4</v>
      </c>
      <c r="F13098">
        <v>93</v>
      </c>
    </row>
    <row r="13099" spans="1:6" x14ac:dyDescent="0.35">
      <c r="A13099">
        <v>1975</v>
      </c>
      <c r="B13099" s="1">
        <v>46070</v>
      </c>
      <c r="C13099" s="2">
        <v>0.70833333333333337</v>
      </c>
      <c r="D13099">
        <v>1</v>
      </c>
      <c r="E13099">
        <v>-0.2</v>
      </c>
      <c r="F13099">
        <v>95</v>
      </c>
    </row>
    <row r="13100" spans="1:6" x14ac:dyDescent="0.35">
      <c r="A13100">
        <v>1975</v>
      </c>
      <c r="B13100" s="1">
        <v>46070</v>
      </c>
      <c r="C13100" s="2">
        <v>0.75</v>
      </c>
      <c r="D13100">
        <v>1</v>
      </c>
      <c r="E13100">
        <v>-0.5</v>
      </c>
      <c r="F13100">
        <v>99</v>
      </c>
    </row>
    <row r="13101" spans="1:6" x14ac:dyDescent="0.35">
      <c r="A13101">
        <v>1975</v>
      </c>
      <c r="B13101" s="1">
        <v>46070</v>
      </c>
      <c r="C13101" s="2">
        <v>0.79166666666666663</v>
      </c>
      <c r="D13101">
        <v>1</v>
      </c>
      <c r="E13101">
        <v>-0.8</v>
      </c>
      <c r="F13101">
        <v>100</v>
      </c>
    </row>
    <row r="13102" spans="1:6" x14ac:dyDescent="0.35">
      <c r="A13102">
        <v>1975</v>
      </c>
      <c r="B13102" s="1">
        <v>46070</v>
      </c>
      <c r="C13102" s="2">
        <v>0.83333333333333337</v>
      </c>
      <c r="D13102">
        <v>1</v>
      </c>
      <c r="E13102">
        <v>-1.1000000000000001</v>
      </c>
      <c r="F13102">
        <v>99</v>
      </c>
    </row>
    <row r="13103" spans="1:6" x14ac:dyDescent="0.35">
      <c r="A13103">
        <v>1975</v>
      </c>
      <c r="B13103" s="1">
        <v>46070</v>
      </c>
      <c r="C13103" s="2">
        <v>0.875</v>
      </c>
      <c r="D13103">
        <v>1</v>
      </c>
      <c r="E13103">
        <v>-1.4</v>
      </c>
      <c r="F13103">
        <v>98</v>
      </c>
    </row>
    <row r="13104" spans="1:6" x14ac:dyDescent="0.35">
      <c r="A13104">
        <v>1975</v>
      </c>
      <c r="B13104" s="1">
        <v>46070</v>
      </c>
      <c r="C13104" s="2">
        <v>0.91666666666666663</v>
      </c>
      <c r="D13104">
        <v>1</v>
      </c>
      <c r="E13104">
        <v>-1.5</v>
      </c>
      <c r="F13104">
        <v>98</v>
      </c>
    </row>
    <row r="13105" spans="1:6" x14ac:dyDescent="0.35">
      <c r="A13105">
        <v>1975</v>
      </c>
      <c r="B13105" s="1">
        <v>46070</v>
      </c>
      <c r="C13105" s="2">
        <v>0.95833333333333337</v>
      </c>
      <c r="D13105">
        <v>1</v>
      </c>
      <c r="E13105">
        <v>-1.6</v>
      </c>
      <c r="F13105">
        <v>96</v>
      </c>
    </row>
    <row r="13106" spans="1:6" x14ac:dyDescent="0.35">
      <c r="A13106">
        <v>1975</v>
      </c>
      <c r="B13106" s="1">
        <v>46071</v>
      </c>
      <c r="C13106" s="2">
        <v>0</v>
      </c>
      <c r="D13106">
        <v>1</v>
      </c>
      <c r="E13106">
        <v>-1.9</v>
      </c>
      <c r="F13106">
        <v>93</v>
      </c>
    </row>
    <row r="13107" spans="1:6" x14ac:dyDescent="0.35">
      <c r="A13107">
        <v>1975</v>
      </c>
      <c r="B13107" s="1">
        <v>46071</v>
      </c>
      <c r="C13107" s="2">
        <v>4.1666666666666657E-2</v>
      </c>
      <c r="D13107">
        <v>1</v>
      </c>
      <c r="E13107">
        <v>-2.2999999999999998</v>
      </c>
      <c r="F13107">
        <v>92</v>
      </c>
    </row>
    <row r="13108" spans="1:6" x14ac:dyDescent="0.35">
      <c r="A13108">
        <v>1975</v>
      </c>
      <c r="B13108" s="1">
        <v>46071</v>
      </c>
      <c r="C13108" s="2">
        <v>8.3333333333333329E-2</v>
      </c>
      <c r="D13108">
        <v>1</v>
      </c>
      <c r="E13108">
        <v>-2.4</v>
      </c>
      <c r="F13108">
        <v>89</v>
      </c>
    </row>
    <row r="13109" spans="1:6" x14ac:dyDescent="0.35">
      <c r="A13109">
        <v>1975</v>
      </c>
      <c r="B13109" s="1">
        <v>46071</v>
      </c>
      <c r="C13109" s="2">
        <v>0.125</v>
      </c>
      <c r="D13109">
        <v>1</v>
      </c>
      <c r="E13109">
        <v>-2.5</v>
      </c>
      <c r="F13109">
        <v>93</v>
      </c>
    </row>
    <row r="13110" spans="1:6" x14ac:dyDescent="0.35">
      <c r="A13110">
        <v>1975</v>
      </c>
      <c r="B13110" s="1">
        <v>46071</v>
      </c>
      <c r="C13110" s="2">
        <v>0.16666666666666671</v>
      </c>
      <c r="D13110">
        <v>1</v>
      </c>
      <c r="E13110">
        <v>-2.7</v>
      </c>
      <c r="F13110">
        <v>92</v>
      </c>
    </row>
    <row r="13111" spans="1:6" x14ac:dyDescent="0.35">
      <c r="A13111">
        <v>1975</v>
      </c>
      <c r="B13111" s="1">
        <v>46071</v>
      </c>
      <c r="C13111" s="2">
        <v>0.20833333333333329</v>
      </c>
      <c r="D13111">
        <v>1</v>
      </c>
      <c r="E13111">
        <v>-3.1</v>
      </c>
      <c r="F13111">
        <v>91</v>
      </c>
    </row>
    <row r="13112" spans="1:6" x14ac:dyDescent="0.35">
      <c r="A13112">
        <v>1975</v>
      </c>
      <c r="B13112" s="1">
        <v>46071</v>
      </c>
      <c r="C13112" s="2">
        <v>0.25</v>
      </c>
      <c r="D13112">
        <v>1</v>
      </c>
      <c r="E13112">
        <v>-4</v>
      </c>
      <c r="F13112">
        <v>94</v>
      </c>
    </row>
    <row r="13113" spans="1:6" x14ac:dyDescent="0.35">
      <c r="A13113">
        <v>1975</v>
      </c>
      <c r="B13113" s="1">
        <v>46071</v>
      </c>
      <c r="C13113" s="2">
        <v>0.29166666666666669</v>
      </c>
      <c r="D13113">
        <v>1</v>
      </c>
      <c r="E13113">
        <v>-3</v>
      </c>
      <c r="F13113">
        <v>92</v>
      </c>
    </row>
    <row r="13114" spans="1:6" x14ac:dyDescent="0.35">
      <c r="A13114">
        <v>1975</v>
      </c>
      <c r="B13114" s="1">
        <v>46071</v>
      </c>
      <c r="C13114" s="2">
        <v>0.33333333333333331</v>
      </c>
      <c r="D13114">
        <v>1</v>
      </c>
      <c r="E13114">
        <v>-2.7</v>
      </c>
      <c r="F13114">
        <v>91</v>
      </c>
    </row>
    <row r="13115" spans="1:6" x14ac:dyDescent="0.35">
      <c r="A13115">
        <v>1975</v>
      </c>
      <c r="B13115" s="1">
        <v>46071</v>
      </c>
      <c r="C13115" s="2">
        <v>0.375</v>
      </c>
      <c r="D13115">
        <v>1</v>
      </c>
      <c r="E13115">
        <v>-2.2000000000000002</v>
      </c>
      <c r="F13115">
        <v>86</v>
      </c>
    </row>
    <row r="13116" spans="1:6" x14ac:dyDescent="0.35">
      <c r="A13116">
        <v>1975</v>
      </c>
      <c r="B13116" s="1">
        <v>46071</v>
      </c>
      <c r="C13116" s="2">
        <v>0.41666666666666669</v>
      </c>
      <c r="D13116">
        <v>1</v>
      </c>
      <c r="E13116">
        <v>-1.9</v>
      </c>
      <c r="F13116">
        <v>82</v>
      </c>
    </row>
    <row r="13117" spans="1:6" x14ac:dyDescent="0.35">
      <c r="A13117">
        <v>1975</v>
      </c>
      <c r="B13117" s="1">
        <v>46071</v>
      </c>
      <c r="C13117" s="2">
        <v>0.45833333333333331</v>
      </c>
      <c r="D13117">
        <v>1</v>
      </c>
      <c r="E13117">
        <v>-1</v>
      </c>
      <c r="F13117">
        <v>70</v>
      </c>
    </row>
    <row r="13118" spans="1:6" x14ac:dyDescent="0.35">
      <c r="A13118">
        <v>1975</v>
      </c>
      <c r="B13118" s="1">
        <v>46071</v>
      </c>
      <c r="C13118" s="2">
        <v>0.5</v>
      </c>
      <c r="D13118">
        <v>1</v>
      </c>
      <c r="E13118">
        <v>0.9</v>
      </c>
      <c r="F13118">
        <v>55</v>
      </c>
    </row>
    <row r="13119" spans="1:6" x14ac:dyDescent="0.35">
      <c r="A13119">
        <v>1975</v>
      </c>
      <c r="B13119" s="1">
        <v>46071</v>
      </c>
      <c r="C13119" s="2">
        <v>0.54166666666666663</v>
      </c>
      <c r="D13119">
        <v>1</v>
      </c>
      <c r="E13119">
        <v>1.2</v>
      </c>
      <c r="F13119">
        <v>59</v>
      </c>
    </row>
    <row r="13120" spans="1:6" x14ac:dyDescent="0.35">
      <c r="A13120">
        <v>1975</v>
      </c>
      <c r="B13120" s="1">
        <v>46071</v>
      </c>
      <c r="C13120" s="2">
        <v>0.58333333333333337</v>
      </c>
      <c r="D13120">
        <v>1</v>
      </c>
      <c r="E13120">
        <v>0.9</v>
      </c>
      <c r="F13120">
        <v>54</v>
      </c>
    </row>
    <row r="13121" spans="1:6" x14ac:dyDescent="0.35">
      <c r="A13121">
        <v>1975</v>
      </c>
      <c r="B13121" s="1">
        <v>46071</v>
      </c>
      <c r="C13121" s="2">
        <v>0.625</v>
      </c>
      <c r="D13121">
        <v>1</v>
      </c>
      <c r="E13121">
        <v>-0.5</v>
      </c>
      <c r="F13121">
        <v>59</v>
      </c>
    </row>
    <row r="13122" spans="1:6" x14ac:dyDescent="0.35">
      <c r="A13122">
        <v>1975</v>
      </c>
      <c r="B13122" s="1">
        <v>46071</v>
      </c>
      <c r="C13122" s="2">
        <v>0.66666666666666663</v>
      </c>
      <c r="D13122">
        <v>1</v>
      </c>
      <c r="E13122">
        <v>-1</v>
      </c>
      <c r="F13122">
        <v>63</v>
      </c>
    </row>
    <row r="13123" spans="1:6" x14ac:dyDescent="0.35">
      <c r="A13123">
        <v>1975</v>
      </c>
      <c r="B13123" s="1">
        <v>46071</v>
      </c>
      <c r="C13123" s="2">
        <v>0.70833333333333337</v>
      </c>
      <c r="D13123">
        <v>1</v>
      </c>
      <c r="E13123">
        <v>-1.5</v>
      </c>
      <c r="F13123">
        <v>66</v>
      </c>
    </row>
    <row r="13124" spans="1:6" x14ac:dyDescent="0.35">
      <c r="A13124">
        <v>1975</v>
      </c>
      <c r="B13124" s="1">
        <v>46071</v>
      </c>
      <c r="C13124" s="2">
        <v>0.75</v>
      </c>
      <c r="D13124">
        <v>1</v>
      </c>
      <c r="E13124">
        <v>-2.5</v>
      </c>
      <c r="F13124">
        <v>70</v>
      </c>
    </row>
    <row r="13125" spans="1:6" x14ac:dyDescent="0.35">
      <c r="A13125">
        <v>1975</v>
      </c>
      <c r="B13125" s="1">
        <v>46071</v>
      </c>
      <c r="C13125" s="2">
        <v>0.79166666666666663</v>
      </c>
      <c r="D13125">
        <v>1</v>
      </c>
      <c r="E13125">
        <v>-3.6</v>
      </c>
      <c r="F13125">
        <v>76</v>
      </c>
    </row>
    <row r="13126" spans="1:6" x14ac:dyDescent="0.35">
      <c r="A13126">
        <v>1975</v>
      </c>
      <c r="B13126" s="1">
        <v>46071</v>
      </c>
      <c r="C13126" s="2">
        <v>0.83333333333333337</v>
      </c>
      <c r="D13126">
        <v>1</v>
      </c>
      <c r="E13126">
        <v>-5.0999999999999996</v>
      </c>
      <c r="F13126">
        <v>79</v>
      </c>
    </row>
    <row r="13127" spans="1:6" x14ac:dyDescent="0.35">
      <c r="A13127">
        <v>1975</v>
      </c>
      <c r="B13127" s="1">
        <v>46071</v>
      </c>
      <c r="C13127" s="2">
        <v>0.875</v>
      </c>
      <c r="D13127">
        <v>1</v>
      </c>
      <c r="E13127">
        <v>-4.9000000000000004</v>
      </c>
      <c r="F13127">
        <v>80</v>
      </c>
    </row>
    <row r="13128" spans="1:6" x14ac:dyDescent="0.35">
      <c r="A13128">
        <v>1975</v>
      </c>
      <c r="B13128" s="1">
        <v>46071</v>
      </c>
      <c r="C13128" s="2">
        <v>0.91666666666666663</v>
      </c>
      <c r="D13128">
        <v>1</v>
      </c>
      <c r="E13128">
        <v>-5.8</v>
      </c>
      <c r="F13128">
        <v>82</v>
      </c>
    </row>
    <row r="13129" spans="1:6" x14ac:dyDescent="0.35">
      <c r="A13129">
        <v>1975</v>
      </c>
      <c r="B13129" s="1">
        <v>46071</v>
      </c>
      <c r="C13129" s="2">
        <v>0.95833333333333337</v>
      </c>
      <c r="D13129">
        <v>1</v>
      </c>
      <c r="E13129">
        <v>-5.9</v>
      </c>
      <c r="F13129">
        <v>82</v>
      </c>
    </row>
    <row r="13130" spans="1:6" x14ac:dyDescent="0.35">
      <c r="A13130">
        <v>1975</v>
      </c>
      <c r="B13130" s="1">
        <v>46072</v>
      </c>
      <c r="C13130" s="2">
        <v>0</v>
      </c>
      <c r="D13130">
        <v>1</v>
      </c>
      <c r="E13130">
        <v>-6.2</v>
      </c>
      <c r="F13130">
        <v>82</v>
      </c>
    </row>
    <row r="13131" spans="1:6" x14ac:dyDescent="0.35">
      <c r="A13131">
        <v>1975</v>
      </c>
      <c r="B13131" s="1">
        <v>46072</v>
      </c>
      <c r="C13131" s="2">
        <v>4.1666666666666657E-2</v>
      </c>
      <c r="D13131">
        <v>1</v>
      </c>
      <c r="E13131">
        <v>-6.4</v>
      </c>
      <c r="F13131">
        <v>81</v>
      </c>
    </row>
    <row r="13132" spans="1:6" x14ac:dyDescent="0.35">
      <c r="A13132">
        <v>1975</v>
      </c>
      <c r="B13132" s="1">
        <v>46072</v>
      </c>
      <c r="C13132" s="2">
        <v>8.3333333333333329E-2</v>
      </c>
      <c r="D13132">
        <v>1</v>
      </c>
      <c r="E13132">
        <v>-6.7</v>
      </c>
      <c r="F13132">
        <v>82</v>
      </c>
    </row>
    <row r="13133" spans="1:6" x14ac:dyDescent="0.35">
      <c r="A13133">
        <v>1975</v>
      </c>
      <c r="B13133" s="1">
        <v>46072</v>
      </c>
      <c r="C13133" s="2">
        <v>0.125</v>
      </c>
      <c r="D13133">
        <v>1</v>
      </c>
      <c r="E13133">
        <v>-6.7</v>
      </c>
      <c r="F13133">
        <v>83</v>
      </c>
    </row>
    <row r="13134" spans="1:6" x14ac:dyDescent="0.35">
      <c r="A13134">
        <v>1975</v>
      </c>
      <c r="B13134" s="1">
        <v>46072</v>
      </c>
      <c r="C13134" s="2">
        <v>0.16666666666666671</v>
      </c>
      <c r="D13134">
        <v>1</v>
      </c>
      <c r="E13134">
        <v>-6.6</v>
      </c>
      <c r="F13134">
        <v>83</v>
      </c>
    </row>
    <row r="13135" spans="1:6" x14ac:dyDescent="0.35">
      <c r="A13135">
        <v>1975</v>
      </c>
      <c r="B13135" s="1">
        <v>46072</v>
      </c>
      <c r="C13135" s="2">
        <v>0.20833333333333329</v>
      </c>
      <c r="D13135">
        <v>1</v>
      </c>
      <c r="E13135">
        <v>-6.2</v>
      </c>
      <c r="F13135">
        <v>82</v>
      </c>
    </row>
    <row r="13136" spans="1:6" x14ac:dyDescent="0.35">
      <c r="A13136">
        <v>1975</v>
      </c>
      <c r="B13136" s="1">
        <v>46072</v>
      </c>
      <c r="C13136" s="2">
        <v>0.25</v>
      </c>
      <c r="D13136">
        <v>1</v>
      </c>
      <c r="E13136">
        <v>-6.7</v>
      </c>
      <c r="F13136">
        <v>83</v>
      </c>
    </row>
    <row r="13137" spans="1:6" x14ac:dyDescent="0.35">
      <c r="A13137">
        <v>1975</v>
      </c>
      <c r="B13137" s="1">
        <v>46072</v>
      </c>
      <c r="C13137" s="2">
        <v>0.29166666666666669</v>
      </c>
      <c r="D13137">
        <v>1</v>
      </c>
      <c r="E13137">
        <v>-6.4</v>
      </c>
      <c r="F13137">
        <v>81</v>
      </c>
    </row>
    <row r="13138" spans="1:6" x14ac:dyDescent="0.35">
      <c r="A13138">
        <v>1975</v>
      </c>
      <c r="B13138" s="1">
        <v>46072</v>
      </c>
      <c r="C13138" s="2">
        <v>0.33333333333333331</v>
      </c>
      <c r="D13138">
        <v>1</v>
      </c>
      <c r="E13138">
        <v>-5.9</v>
      </c>
      <c r="F13138">
        <v>79</v>
      </c>
    </row>
    <row r="13139" spans="1:6" x14ac:dyDescent="0.35">
      <c r="A13139">
        <v>1975</v>
      </c>
      <c r="B13139" s="1">
        <v>46072</v>
      </c>
      <c r="C13139" s="2">
        <v>0.375</v>
      </c>
      <c r="D13139">
        <v>1</v>
      </c>
      <c r="E13139">
        <v>-4.5</v>
      </c>
      <c r="F13139">
        <v>74</v>
      </c>
    </row>
    <row r="13140" spans="1:6" x14ac:dyDescent="0.35">
      <c r="A13140">
        <v>1975</v>
      </c>
      <c r="B13140" s="1">
        <v>46072</v>
      </c>
      <c r="C13140" s="2">
        <v>0.41666666666666669</v>
      </c>
      <c r="D13140">
        <v>1</v>
      </c>
      <c r="E13140">
        <v>-3.5</v>
      </c>
      <c r="F13140">
        <v>72</v>
      </c>
    </row>
    <row r="13141" spans="1:6" x14ac:dyDescent="0.35">
      <c r="A13141">
        <v>1975</v>
      </c>
      <c r="B13141" s="1">
        <v>46072</v>
      </c>
      <c r="C13141" s="2">
        <v>0.45833333333333331</v>
      </c>
      <c r="D13141">
        <v>1</v>
      </c>
      <c r="E13141">
        <v>-1.8</v>
      </c>
      <c r="F13141">
        <v>65</v>
      </c>
    </row>
    <row r="13142" spans="1:6" x14ac:dyDescent="0.35">
      <c r="A13142">
        <v>1975</v>
      </c>
      <c r="B13142" s="1">
        <v>46072</v>
      </c>
      <c r="C13142" s="2">
        <v>0.5</v>
      </c>
      <c r="D13142">
        <v>1</v>
      </c>
      <c r="E13142">
        <v>-0.9</v>
      </c>
      <c r="F13142">
        <v>61</v>
      </c>
    </row>
    <row r="13143" spans="1:6" x14ac:dyDescent="0.35">
      <c r="A13143">
        <v>1975</v>
      </c>
      <c r="B13143" s="1">
        <v>46072</v>
      </c>
      <c r="C13143" s="2">
        <v>0.54166666666666663</v>
      </c>
      <c r="D13143">
        <v>1</v>
      </c>
      <c r="E13143">
        <v>-0.5</v>
      </c>
      <c r="F13143">
        <v>62</v>
      </c>
    </row>
    <row r="13144" spans="1:6" x14ac:dyDescent="0.35">
      <c r="A13144">
        <v>1975</v>
      </c>
      <c r="B13144" s="1">
        <v>46072</v>
      </c>
      <c r="C13144" s="2">
        <v>0.58333333333333337</v>
      </c>
      <c r="D13144">
        <v>1</v>
      </c>
      <c r="E13144">
        <v>-0.5</v>
      </c>
      <c r="F13144">
        <v>62</v>
      </c>
    </row>
    <row r="13145" spans="1:6" x14ac:dyDescent="0.35">
      <c r="A13145">
        <v>1975</v>
      </c>
      <c r="B13145" s="1">
        <v>46072</v>
      </c>
      <c r="C13145" s="2">
        <v>0.625</v>
      </c>
      <c r="D13145">
        <v>1</v>
      </c>
      <c r="E13145">
        <v>-0.8</v>
      </c>
      <c r="F13145">
        <v>64</v>
      </c>
    </row>
    <row r="13146" spans="1:6" x14ac:dyDescent="0.35">
      <c r="A13146">
        <v>1975</v>
      </c>
      <c r="B13146" s="1">
        <v>46072</v>
      </c>
      <c r="C13146" s="2">
        <v>0.66666666666666663</v>
      </c>
      <c r="D13146">
        <v>1</v>
      </c>
      <c r="E13146">
        <v>-1.8</v>
      </c>
      <c r="F13146">
        <v>69</v>
      </c>
    </row>
    <row r="13147" spans="1:6" x14ac:dyDescent="0.35">
      <c r="A13147">
        <v>1975</v>
      </c>
      <c r="B13147" s="1">
        <v>46072</v>
      </c>
      <c r="C13147" s="2">
        <v>0.70833333333333337</v>
      </c>
      <c r="D13147">
        <v>1</v>
      </c>
      <c r="E13147">
        <v>-2.6</v>
      </c>
      <c r="F13147">
        <v>70</v>
      </c>
    </row>
    <row r="13148" spans="1:6" x14ac:dyDescent="0.35">
      <c r="A13148">
        <v>1975</v>
      </c>
      <c r="B13148" s="1">
        <v>46072</v>
      </c>
      <c r="C13148" s="2">
        <v>0.75</v>
      </c>
      <c r="D13148">
        <v>1</v>
      </c>
      <c r="E13148">
        <v>-2.7</v>
      </c>
      <c r="F13148">
        <v>73</v>
      </c>
    </row>
    <row r="13149" spans="1:6" x14ac:dyDescent="0.35">
      <c r="A13149">
        <v>1975</v>
      </c>
      <c r="B13149" s="1">
        <v>46072</v>
      </c>
      <c r="C13149" s="2">
        <v>0.79166666666666663</v>
      </c>
      <c r="D13149">
        <v>1</v>
      </c>
      <c r="E13149">
        <v>-3.5</v>
      </c>
      <c r="F13149">
        <v>75</v>
      </c>
    </row>
    <row r="13150" spans="1:6" x14ac:dyDescent="0.35">
      <c r="A13150">
        <v>1975</v>
      </c>
      <c r="B13150" s="1">
        <v>46072</v>
      </c>
      <c r="C13150" s="2">
        <v>0.83333333333333337</v>
      </c>
      <c r="D13150">
        <v>1</v>
      </c>
      <c r="E13150">
        <v>-3</v>
      </c>
      <c r="F13150">
        <v>74</v>
      </c>
    </row>
    <row r="13151" spans="1:6" x14ac:dyDescent="0.35">
      <c r="A13151">
        <v>1975</v>
      </c>
      <c r="B13151" s="1">
        <v>46072</v>
      </c>
      <c r="C13151" s="2">
        <v>0.875</v>
      </c>
      <c r="D13151">
        <v>1</v>
      </c>
      <c r="E13151">
        <v>-3.2</v>
      </c>
      <c r="F13151">
        <v>75</v>
      </c>
    </row>
    <row r="13152" spans="1:6" x14ac:dyDescent="0.35">
      <c r="A13152">
        <v>1975</v>
      </c>
      <c r="B13152" s="1">
        <v>46072</v>
      </c>
      <c r="C13152" s="2">
        <v>0.91666666666666663</v>
      </c>
      <c r="D13152">
        <v>1</v>
      </c>
      <c r="E13152">
        <v>-3.7</v>
      </c>
      <c r="F13152">
        <v>77</v>
      </c>
    </row>
    <row r="13153" spans="1:6" x14ac:dyDescent="0.35">
      <c r="A13153">
        <v>1975</v>
      </c>
      <c r="B13153" s="1">
        <v>46072</v>
      </c>
      <c r="C13153" s="2">
        <v>0.95833333333333337</v>
      </c>
      <c r="D13153">
        <v>1</v>
      </c>
      <c r="E13153">
        <v>-4.2</v>
      </c>
      <c r="F13153">
        <v>79</v>
      </c>
    </row>
    <row r="13154" spans="1:6" x14ac:dyDescent="0.35">
      <c r="A13154">
        <v>1975</v>
      </c>
      <c r="B13154" s="1">
        <v>46073</v>
      </c>
      <c r="C13154" s="2">
        <v>0</v>
      </c>
      <c r="D13154">
        <v>1</v>
      </c>
      <c r="E13154">
        <v>-4.9000000000000004</v>
      </c>
      <c r="F13154">
        <v>82</v>
      </c>
    </row>
    <row r="13155" spans="1:6" x14ac:dyDescent="0.35">
      <c r="A13155">
        <v>1975</v>
      </c>
      <c r="B13155" s="1">
        <v>46073</v>
      </c>
      <c r="C13155" s="2">
        <v>4.1666666666666657E-2</v>
      </c>
      <c r="D13155">
        <v>1</v>
      </c>
      <c r="E13155">
        <v>-4.7</v>
      </c>
      <c r="F13155">
        <v>81</v>
      </c>
    </row>
    <row r="13156" spans="1:6" x14ac:dyDescent="0.35">
      <c r="A13156">
        <v>1975</v>
      </c>
      <c r="B13156" s="1">
        <v>46073</v>
      </c>
      <c r="C13156" s="2">
        <v>8.3333333333333329E-2</v>
      </c>
      <c r="D13156">
        <v>1</v>
      </c>
      <c r="E13156">
        <v>-4.9000000000000004</v>
      </c>
      <c r="F13156">
        <v>81</v>
      </c>
    </row>
    <row r="13157" spans="1:6" x14ac:dyDescent="0.35">
      <c r="A13157">
        <v>1975</v>
      </c>
      <c r="B13157" s="1">
        <v>46073</v>
      </c>
      <c r="C13157" s="2">
        <v>0.125</v>
      </c>
      <c r="D13157">
        <v>1</v>
      </c>
      <c r="E13157">
        <v>-5.6</v>
      </c>
      <c r="F13157">
        <v>83</v>
      </c>
    </row>
    <row r="13158" spans="1:6" x14ac:dyDescent="0.35">
      <c r="A13158">
        <v>1975</v>
      </c>
      <c r="B13158" s="1">
        <v>46073</v>
      </c>
      <c r="C13158" s="2">
        <v>0.16666666666666671</v>
      </c>
      <c r="D13158">
        <v>1</v>
      </c>
      <c r="E13158">
        <v>-5.9</v>
      </c>
      <c r="F13158">
        <v>85</v>
      </c>
    </row>
    <row r="13159" spans="1:6" x14ac:dyDescent="0.35">
      <c r="A13159">
        <v>1975</v>
      </c>
      <c r="B13159" s="1">
        <v>46073</v>
      </c>
      <c r="C13159" s="2">
        <v>0.20833333333333329</v>
      </c>
      <c r="D13159">
        <v>1</v>
      </c>
      <c r="E13159">
        <v>-5.7</v>
      </c>
      <c r="F13159">
        <v>84</v>
      </c>
    </row>
    <row r="13160" spans="1:6" x14ac:dyDescent="0.35">
      <c r="A13160">
        <v>1975</v>
      </c>
      <c r="B13160" s="1">
        <v>46073</v>
      </c>
      <c r="C13160" s="2">
        <v>0.25</v>
      </c>
      <c r="D13160">
        <v>1</v>
      </c>
      <c r="E13160">
        <v>-4.9000000000000004</v>
      </c>
      <c r="F13160">
        <v>80</v>
      </c>
    </row>
    <row r="13161" spans="1:6" x14ac:dyDescent="0.35">
      <c r="A13161">
        <v>1975</v>
      </c>
      <c r="B13161" s="1">
        <v>46073</v>
      </c>
      <c r="C13161" s="2">
        <v>0.29166666666666669</v>
      </c>
      <c r="D13161">
        <v>1</v>
      </c>
      <c r="E13161">
        <v>-4.9000000000000004</v>
      </c>
      <c r="F13161">
        <v>78</v>
      </c>
    </row>
    <row r="13162" spans="1:6" x14ac:dyDescent="0.35">
      <c r="A13162">
        <v>1975</v>
      </c>
      <c r="B13162" s="1">
        <v>46073</v>
      </c>
      <c r="C13162" s="2">
        <v>0.33333333333333331</v>
      </c>
      <c r="D13162">
        <v>1</v>
      </c>
      <c r="E13162">
        <v>-4.8</v>
      </c>
      <c r="F13162">
        <v>77</v>
      </c>
    </row>
    <row r="13163" spans="1:6" x14ac:dyDescent="0.35">
      <c r="A13163">
        <v>1975</v>
      </c>
      <c r="B13163" s="1">
        <v>46073</v>
      </c>
      <c r="C13163" s="2">
        <v>0.375</v>
      </c>
      <c r="D13163">
        <v>1</v>
      </c>
      <c r="E13163">
        <v>-4.5</v>
      </c>
      <c r="F13163">
        <v>75</v>
      </c>
    </row>
    <row r="13164" spans="1:6" x14ac:dyDescent="0.35">
      <c r="A13164">
        <v>1975</v>
      </c>
      <c r="B13164" s="1">
        <v>46073</v>
      </c>
      <c r="C13164" s="2">
        <v>0.41666666666666669</v>
      </c>
      <c r="D13164">
        <v>1</v>
      </c>
      <c r="E13164">
        <v>-3.1</v>
      </c>
      <c r="F13164">
        <v>70</v>
      </c>
    </row>
    <row r="13165" spans="1:6" x14ac:dyDescent="0.35">
      <c r="A13165">
        <v>1975</v>
      </c>
      <c r="B13165" s="1">
        <v>46073</v>
      </c>
      <c r="C13165" s="2">
        <v>0.45833333333333331</v>
      </c>
      <c r="D13165">
        <v>1</v>
      </c>
      <c r="E13165">
        <v>-1.5</v>
      </c>
      <c r="F13165">
        <v>64</v>
      </c>
    </row>
    <row r="13166" spans="1:6" x14ac:dyDescent="0.35">
      <c r="A13166">
        <v>1975</v>
      </c>
      <c r="B13166" s="1">
        <v>46073</v>
      </c>
      <c r="C13166" s="2">
        <v>0.5</v>
      </c>
      <c r="D13166">
        <v>1</v>
      </c>
      <c r="E13166">
        <v>-0.4</v>
      </c>
      <c r="F13166">
        <v>60</v>
      </c>
    </row>
    <row r="13167" spans="1:6" x14ac:dyDescent="0.35">
      <c r="A13167">
        <v>1975</v>
      </c>
      <c r="B13167" s="1">
        <v>46073</v>
      </c>
      <c r="C13167" s="2">
        <v>0.54166666666666663</v>
      </c>
      <c r="D13167">
        <v>1</v>
      </c>
      <c r="E13167">
        <v>0.5</v>
      </c>
      <c r="F13167">
        <v>56</v>
      </c>
    </row>
    <row r="13168" spans="1:6" x14ac:dyDescent="0.35">
      <c r="A13168">
        <v>1975</v>
      </c>
      <c r="B13168" s="1">
        <v>46073</v>
      </c>
      <c r="C13168" s="2">
        <v>0.58333333333333337</v>
      </c>
      <c r="D13168">
        <v>1</v>
      </c>
      <c r="E13168">
        <v>1</v>
      </c>
      <c r="F13168">
        <v>57</v>
      </c>
    </row>
    <row r="13169" spans="1:6" x14ac:dyDescent="0.35">
      <c r="A13169">
        <v>1975</v>
      </c>
      <c r="B13169" s="1">
        <v>46073</v>
      </c>
      <c r="C13169" s="2">
        <v>0.625</v>
      </c>
      <c r="D13169">
        <v>1</v>
      </c>
      <c r="E13169">
        <v>0.9</v>
      </c>
      <c r="F13169">
        <v>59</v>
      </c>
    </row>
    <row r="13170" spans="1:6" x14ac:dyDescent="0.35">
      <c r="A13170">
        <v>1975</v>
      </c>
      <c r="B13170" s="1">
        <v>46073</v>
      </c>
      <c r="C13170" s="2">
        <v>0.66666666666666663</v>
      </c>
      <c r="D13170">
        <v>1</v>
      </c>
      <c r="E13170">
        <v>1.1000000000000001</v>
      </c>
      <c r="F13170">
        <v>61</v>
      </c>
    </row>
    <row r="13171" spans="1:6" x14ac:dyDescent="0.35">
      <c r="A13171">
        <v>1975</v>
      </c>
      <c r="B13171" s="1">
        <v>46073</v>
      </c>
      <c r="C13171" s="2">
        <v>0.70833333333333337</v>
      </c>
      <c r="D13171">
        <v>1</v>
      </c>
      <c r="E13171">
        <v>1.2</v>
      </c>
      <c r="F13171">
        <v>63</v>
      </c>
    </row>
    <row r="13172" spans="1:6" x14ac:dyDescent="0.35">
      <c r="A13172">
        <v>1975</v>
      </c>
      <c r="B13172" s="1">
        <v>46073</v>
      </c>
      <c r="C13172" s="2">
        <v>0.75</v>
      </c>
      <c r="D13172">
        <v>1</v>
      </c>
      <c r="E13172">
        <v>1.8</v>
      </c>
      <c r="F13172">
        <v>68</v>
      </c>
    </row>
    <row r="13173" spans="1:6" x14ac:dyDescent="0.35">
      <c r="A13173">
        <v>1975</v>
      </c>
      <c r="B13173" s="1">
        <v>46073</v>
      </c>
      <c r="C13173" s="2">
        <v>0.79166666666666663</v>
      </c>
      <c r="D13173">
        <v>1</v>
      </c>
      <c r="E13173">
        <v>2</v>
      </c>
      <c r="F13173">
        <v>74</v>
      </c>
    </row>
    <row r="13174" spans="1:6" x14ac:dyDescent="0.35">
      <c r="A13174">
        <v>1975</v>
      </c>
      <c r="B13174" s="1">
        <v>46073</v>
      </c>
      <c r="C13174" s="2">
        <v>0.83333333333333337</v>
      </c>
      <c r="D13174">
        <v>1</v>
      </c>
      <c r="E13174">
        <v>1.7</v>
      </c>
      <c r="F13174">
        <v>85</v>
      </c>
    </row>
    <row r="13175" spans="1:6" x14ac:dyDescent="0.35">
      <c r="A13175">
        <v>1975</v>
      </c>
      <c r="B13175" s="1">
        <v>46073</v>
      </c>
      <c r="C13175" s="2">
        <v>0.875</v>
      </c>
      <c r="D13175">
        <v>1</v>
      </c>
      <c r="E13175">
        <v>2.2000000000000002</v>
      </c>
      <c r="F13175">
        <v>93</v>
      </c>
    </row>
    <row r="13176" spans="1:6" x14ac:dyDescent="0.35">
      <c r="A13176">
        <v>1975</v>
      </c>
      <c r="B13176" s="1">
        <v>46073</v>
      </c>
      <c r="C13176" s="2">
        <v>0.91666666666666663</v>
      </c>
      <c r="D13176">
        <v>1</v>
      </c>
      <c r="E13176">
        <v>2</v>
      </c>
      <c r="F13176">
        <v>96</v>
      </c>
    </row>
    <row r="13177" spans="1:6" x14ac:dyDescent="0.35">
      <c r="A13177">
        <v>1975</v>
      </c>
      <c r="B13177" s="1">
        <v>46073</v>
      </c>
      <c r="C13177" s="2">
        <v>0.95833333333333337</v>
      </c>
      <c r="D13177">
        <v>1</v>
      </c>
      <c r="E13177">
        <v>2.2999999999999998</v>
      </c>
      <c r="F13177">
        <v>96</v>
      </c>
    </row>
    <row r="13178" spans="1:6" x14ac:dyDescent="0.35">
      <c r="A13178">
        <v>1975</v>
      </c>
      <c r="B13178" s="1">
        <v>46074</v>
      </c>
      <c r="C13178" s="2">
        <v>0</v>
      </c>
      <c r="D13178">
        <v>1</v>
      </c>
      <c r="E13178">
        <v>2.6</v>
      </c>
      <c r="F13178">
        <v>96</v>
      </c>
    </row>
    <row r="13179" spans="1:6" x14ac:dyDescent="0.35">
      <c r="A13179">
        <v>1975</v>
      </c>
      <c r="B13179" s="1">
        <v>46074</v>
      </c>
      <c r="C13179" s="2">
        <v>4.1666666666666657E-2</v>
      </c>
      <c r="D13179">
        <v>1</v>
      </c>
      <c r="E13179">
        <v>2.8</v>
      </c>
      <c r="F13179">
        <v>97</v>
      </c>
    </row>
    <row r="13180" spans="1:6" x14ac:dyDescent="0.35">
      <c r="A13180">
        <v>1975</v>
      </c>
      <c r="B13180" s="1">
        <v>46074</v>
      </c>
      <c r="C13180" s="2">
        <v>8.3333333333333329E-2</v>
      </c>
      <c r="D13180">
        <v>1</v>
      </c>
      <c r="E13180">
        <v>4</v>
      </c>
      <c r="F13180">
        <v>95</v>
      </c>
    </row>
    <row r="13181" spans="1:6" x14ac:dyDescent="0.35">
      <c r="A13181">
        <v>1975</v>
      </c>
      <c r="B13181" s="1">
        <v>46074</v>
      </c>
      <c r="C13181" s="2">
        <v>0.125</v>
      </c>
      <c r="D13181">
        <v>1</v>
      </c>
      <c r="E13181">
        <v>4.2</v>
      </c>
      <c r="F13181">
        <v>97</v>
      </c>
    </row>
    <row r="13182" spans="1:6" x14ac:dyDescent="0.35">
      <c r="A13182">
        <v>1975</v>
      </c>
      <c r="B13182" s="1">
        <v>46074</v>
      </c>
      <c r="C13182" s="2">
        <v>0.16666666666666671</v>
      </c>
      <c r="D13182">
        <v>1</v>
      </c>
      <c r="E13182">
        <v>4.0999999999999996</v>
      </c>
      <c r="F13182">
        <v>98</v>
      </c>
    </row>
    <row r="13183" spans="1:6" x14ac:dyDescent="0.35">
      <c r="A13183">
        <v>1975</v>
      </c>
      <c r="B13183" s="1">
        <v>46074</v>
      </c>
      <c r="C13183" s="2">
        <v>0.20833333333333329</v>
      </c>
      <c r="D13183">
        <v>1</v>
      </c>
      <c r="E13183">
        <v>5.3</v>
      </c>
      <c r="F13183">
        <v>99</v>
      </c>
    </row>
    <row r="13184" spans="1:6" x14ac:dyDescent="0.35">
      <c r="A13184">
        <v>1975</v>
      </c>
      <c r="B13184" s="1">
        <v>46074</v>
      </c>
      <c r="C13184" s="2">
        <v>0.25</v>
      </c>
      <c r="D13184">
        <v>1</v>
      </c>
      <c r="E13184">
        <v>5.8</v>
      </c>
      <c r="F13184">
        <v>98</v>
      </c>
    </row>
    <row r="13185" spans="1:6" x14ac:dyDescent="0.35">
      <c r="A13185">
        <v>1975</v>
      </c>
      <c r="B13185" s="1">
        <v>46074</v>
      </c>
      <c r="C13185" s="2">
        <v>0.29166666666666669</v>
      </c>
      <c r="D13185">
        <v>1</v>
      </c>
      <c r="E13185">
        <v>5.8</v>
      </c>
      <c r="F13185">
        <v>96</v>
      </c>
    </row>
    <row r="13186" spans="1:6" x14ac:dyDescent="0.35">
      <c r="A13186">
        <v>1975</v>
      </c>
      <c r="B13186" s="1">
        <v>46074</v>
      </c>
      <c r="C13186" s="2">
        <v>0.33333333333333331</v>
      </c>
      <c r="D13186">
        <v>1</v>
      </c>
      <c r="E13186">
        <v>5.7</v>
      </c>
      <c r="F13186">
        <v>95</v>
      </c>
    </row>
    <row r="13187" spans="1:6" x14ac:dyDescent="0.35">
      <c r="A13187">
        <v>1975</v>
      </c>
      <c r="B13187" s="1">
        <v>46074</v>
      </c>
      <c r="C13187" s="2">
        <v>0.375</v>
      </c>
      <c r="D13187">
        <v>1</v>
      </c>
      <c r="E13187">
        <v>6.1</v>
      </c>
      <c r="F13187">
        <v>94</v>
      </c>
    </row>
    <row r="13188" spans="1:6" x14ac:dyDescent="0.35">
      <c r="A13188">
        <v>1975</v>
      </c>
      <c r="B13188" s="1">
        <v>46074</v>
      </c>
      <c r="C13188" s="2">
        <v>0.41666666666666669</v>
      </c>
      <c r="D13188">
        <v>1</v>
      </c>
      <c r="E13188">
        <v>6.6</v>
      </c>
      <c r="F13188">
        <v>92</v>
      </c>
    </row>
    <row r="13189" spans="1:6" x14ac:dyDescent="0.35">
      <c r="A13189">
        <v>1975</v>
      </c>
      <c r="B13189" s="1">
        <v>46074</v>
      </c>
      <c r="C13189" s="2">
        <v>0.45833333333333331</v>
      </c>
      <c r="D13189">
        <v>1</v>
      </c>
      <c r="E13189">
        <v>7</v>
      </c>
      <c r="F13189">
        <v>90</v>
      </c>
    </row>
    <row r="13190" spans="1:6" x14ac:dyDescent="0.35">
      <c r="A13190">
        <v>1975</v>
      </c>
      <c r="B13190" s="1">
        <v>46074</v>
      </c>
      <c r="C13190" s="2">
        <v>0.5</v>
      </c>
      <c r="D13190">
        <v>1</v>
      </c>
      <c r="E13190">
        <v>7.2</v>
      </c>
      <c r="F13190">
        <v>90</v>
      </c>
    </row>
    <row r="13191" spans="1:6" x14ac:dyDescent="0.35">
      <c r="A13191">
        <v>1975</v>
      </c>
      <c r="B13191" s="1">
        <v>46074</v>
      </c>
      <c r="C13191" s="2">
        <v>0.54166666666666663</v>
      </c>
      <c r="D13191">
        <v>1</v>
      </c>
      <c r="E13191">
        <v>7.4</v>
      </c>
      <c r="F13191">
        <v>89</v>
      </c>
    </row>
    <row r="13192" spans="1:6" x14ac:dyDescent="0.35">
      <c r="A13192">
        <v>1975</v>
      </c>
      <c r="B13192" s="1">
        <v>46074</v>
      </c>
      <c r="C13192" s="2">
        <v>0.58333333333333337</v>
      </c>
      <c r="D13192">
        <v>1</v>
      </c>
      <c r="E13192">
        <v>7.6</v>
      </c>
      <c r="F13192">
        <v>90</v>
      </c>
    </row>
    <row r="13193" spans="1:6" x14ac:dyDescent="0.35">
      <c r="A13193">
        <v>1975</v>
      </c>
      <c r="B13193" s="1">
        <v>46074</v>
      </c>
      <c r="C13193" s="2">
        <v>0.625</v>
      </c>
      <c r="D13193">
        <v>1</v>
      </c>
      <c r="E13193">
        <v>6.8</v>
      </c>
      <c r="F13193">
        <v>97</v>
      </c>
    </row>
    <row r="13194" spans="1:6" x14ac:dyDescent="0.35">
      <c r="A13194">
        <v>1975</v>
      </c>
      <c r="B13194" s="1">
        <v>46074</v>
      </c>
      <c r="C13194" s="2">
        <v>0.66666666666666663</v>
      </c>
      <c r="D13194">
        <v>1</v>
      </c>
      <c r="E13194">
        <v>6.9</v>
      </c>
      <c r="F13194">
        <v>94</v>
      </c>
    </row>
    <row r="13195" spans="1:6" x14ac:dyDescent="0.35">
      <c r="A13195">
        <v>1975</v>
      </c>
      <c r="B13195" s="1">
        <v>46074</v>
      </c>
      <c r="C13195" s="2">
        <v>0.70833333333333337</v>
      </c>
      <c r="D13195">
        <v>1</v>
      </c>
      <c r="E13195">
        <v>6.6</v>
      </c>
      <c r="F13195">
        <v>96</v>
      </c>
    </row>
    <row r="13196" spans="1:6" x14ac:dyDescent="0.35">
      <c r="A13196">
        <v>1975</v>
      </c>
      <c r="B13196" s="1">
        <v>46074</v>
      </c>
      <c r="C13196" s="2">
        <v>0.75</v>
      </c>
      <c r="D13196">
        <v>1</v>
      </c>
      <c r="E13196">
        <v>6.6</v>
      </c>
      <c r="F13196">
        <v>97</v>
      </c>
    </row>
    <row r="13197" spans="1:6" x14ac:dyDescent="0.35">
      <c r="A13197">
        <v>1975</v>
      </c>
      <c r="B13197" s="1">
        <v>46074</v>
      </c>
      <c r="C13197" s="2">
        <v>0.79166666666666663</v>
      </c>
      <c r="D13197">
        <v>1</v>
      </c>
      <c r="E13197">
        <v>6.4</v>
      </c>
      <c r="F13197">
        <v>98</v>
      </c>
    </row>
    <row r="13198" spans="1:6" x14ac:dyDescent="0.35">
      <c r="A13198">
        <v>1975</v>
      </c>
      <c r="B13198" s="1">
        <v>46074</v>
      </c>
      <c r="C13198" s="2">
        <v>0.83333333333333337</v>
      </c>
      <c r="D13198">
        <v>1</v>
      </c>
      <c r="E13198">
        <v>6.4</v>
      </c>
      <c r="F13198">
        <v>98</v>
      </c>
    </row>
    <row r="13199" spans="1:6" x14ac:dyDescent="0.35">
      <c r="A13199">
        <v>1975</v>
      </c>
      <c r="B13199" s="1">
        <v>46074</v>
      </c>
      <c r="C13199" s="2">
        <v>0.875</v>
      </c>
      <c r="D13199">
        <v>1</v>
      </c>
      <c r="E13199">
        <v>5.7</v>
      </c>
      <c r="F13199">
        <v>100</v>
      </c>
    </row>
    <row r="13200" spans="1:6" x14ac:dyDescent="0.35">
      <c r="A13200">
        <v>1975</v>
      </c>
      <c r="B13200" s="1">
        <v>46074</v>
      </c>
      <c r="C13200" s="2">
        <v>0.91666666666666663</v>
      </c>
      <c r="D13200">
        <v>1</v>
      </c>
      <c r="E13200">
        <v>6.4</v>
      </c>
      <c r="F13200">
        <v>98</v>
      </c>
    </row>
    <row r="13201" spans="1:6" x14ac:dyDescent="0.35">
      <c r="A13201">
        <v>1975</v>
      </c>
      <c r="B13201" s="1">
        <v>46074</v>
      </c>
      <c r="C13201" s="2">
        <v>0.95833333333333337</v>
      </c>
      <c r="D13201">
        <v>1</v>
      </c>
      <c r="E13201">
        <v>6.9</v>
      </c>
      <c r="F13201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2E058-A771-4F5D-9BD9-B6B87E43151E}">
  <dimension ref="B1:N8761"/>
  <sheetViews>
    <sheetView tabSelected="1" workbookViewId="0">
      <selection activeCell="I12" sqref="I12"/>
    </sheetView>
  </sheetViews>
  <sheetFormatPr defaultRowHeight="14.5" x14ac:dyDescent="0.35"/>
  <cols>
    <col min="2" max="2" width="9.90625" bestFit="1" customWidth="1"/>
    <col min="4" max="4" width="14.54296875" bestFit="1" customWidth="1"/>
    <col min="5" max="5" width="20.7265625" bestFit="1" customWidth="1"/>
    <col min="6" max="6" width="18.7265625" bestFit="1" customWidth="1"/>
    <col min="7" max="7" width="29.36328125" bestFit="1" customWidth="1"/>
    <col min="8" max="8" width="29.36328125" customWidth="1"/>
    <col min="9" max="9" width="31.1796875" bestFit="1" customWidth="1"/>
    <col min="12" max="12" width="19.08984375" bestFit="1" customWidth="1"/>
  </cols>
  <sheetData>
    <row r="1" spans="2:14" x14ac:dyDescent="0.35">
      <c r="B1" t="s">
        <v>1</v>
      </c>
      <c r="C1" t="s">
        <v>2</v>
      </c>
      <c r="D1" t="s">
        <v>4</v>
      </c>
      <c r="E1" t="s">
        <v>24</v>
      </c>
      <c r="F1" t="s">
        <v>25</v>
      </c>
      <c r="G1" t="s">
        <v>17</v>
      </c>
      <c r="I1" t="s">
        <v>6</v>
      </c>
      <c r="J1">
        <f>13.367</f>
        <v>13.367000000000001</v>
      </c>
      <c r="K1" t="s">
        <v>7</v>
      </c>
    </row>
    <row r="2" spans="2:14" x14ac:dyDescent="0.35">
      <c r="B2" s="1">
        <v>45658</v>
      </c>
      <c r="C2" s="2">
        <v>0</v>
      </c>
      <c r="D2">
        <v>5</v>
      </c>
      <c r="E2">
        <f>IF($D2 &gt; 16, 0, $J$3*(16 - $D2))</f>
        <v>2285.2350697076668</v>
      </c>
      <c r="F2">
        <f>IF($D2 &gt; 16, 0,$E2*$J$5)</f>
        <v>24838219.972652629</v>
      </c>
      <c r="G2">
        <f>MAX(0, 16 - $D2)</f>
        <v>11</v>
      </c>
    </row>
    <row r="3" spans="2:14" x14ac:dyDescent="0.35">
      <c r="B3" s="1">
        <v>45658</v>
      </c>
      <c r="C3" s="2">
        <v>4.1666666666666657E-2</v>
      </c>
      <c r="D3">
        <v>5.8</v>
      </c>
      <c r="E3">
        <f>IF($D3 &gt; 16, 0, $J$3*(16 - $D3))</f>
        <v>2119.036155547109</v>
      </c>
      <c r="F3">
        <f>IF($D3 &gt; 16, 0,$E3*$J$5)</f>
        <v>23031803.974641528</v>
      </c>
      <c r="G3">
        <f t="shared" ref="G3:G66" si="0">MAX(0, 16 - $D3)</f>
        <v>10.199999999999999</v>
      </c>
      <c r="I3" t="s">
        <v>9</v>
      </c>
      <c r="J3">
        <f>(J16*1000000) / J6</f>
        <v>207.74864270069699</v>
      </c>
      <c r="K3" t="s">
        <v>10</v>
      </c>
    </row>
    <row r="4" spans="2:14" x14ac:dyDescent="0.35">
      <c r="B4" s="1">
        <v>45658</v>
      </c>
      <c r="C4" s="2">
        <v>8.3333333333333329E-2</v>
      </c>
      <c r="D4">
        <v>6.1</v>
      </c>
      <c r="E4">
        <f>IF($D4 &gt; 16, 0, $J$3*(16 - $D4))</f>
        <v>2056.7115627369003</v>
      </c>
      <c r="F4">
        <f>IF($D4 &gt; 16, 0,$E4*$J$5)</f>
        <v>22354397.975387368</v>
      </c>
      <c r="G4">
        <f t="shared" si="0"/>
        <v>9.9</v>
      </c>
      <c r="I4" t="s">
        <v>21</v>
      </c>
      <c r="J4">
        <v>16</v>
      </c>
      <c r="K4" t="s">
        <v>12</v>
      </c>
      <c r="L4" t="s">
        <v>11</v>
      </c>
      <c r="M4">
        <v>20</v>
      </c>
      <c r="N4" t="s">
        <v>12</v>
      </c>
    </row>
    <row r="5" spans="2:14" x14ac:dyDescent="0.35">
      <c r="B5" s="1">
        <v>45658</v>
      </c>
      <c r="C5" s="2">
        <v>0.125</v>
      </c>
      <c r="D5">
        <v>6.6</v>
      </c>
      <c r="E5">
        <f>IF($D5 &gt; 16, 0, $J$3*(16 - $D5))</f>
        <v>1952.8372413865518</v>
      </c>
      <c r="F5">
        <f>IF($D5 &gt; 16, 0,$E5*$J$5)</f>
        <v>21225387.976630431</v>
      </c>
      <c r="G5">
        <f t="shared" si="0"/>
        <v>9.4</v>
      </c>
      <c r="I5" t="s">
        <v>13</v>
      </c>
      <c r="J5">
        <v>10869</v>
      </c>
    </row>
    <row r="6" spans="2:14" x14ac:dyDescent="0.35">
      <c r="B6" s="1">
        <v>45658</v>
      </c>
      <c r="C6" s="2">
        <v>0.16666666666666671</v>
      </c>
      <c r="D6">
        <v>6.8</v>
      </c>
      <c r="E6">
        <f>IF($D6 &gt; 16, 0, $J$3*(16 - $D6))</f>
        <v>1911.2875128464123</v>
      </c>
      <c r="F6">
        <f>IF($D6 &gt; 16, 0,$E6*$J$5)</f>
        <v>20773783.977127656</v>
      </c>
      <c r="G6">
        <f t="shared" si="0"/>
        <v>9.1999999999999993</v>
      </c>
      <c r="I6" t="s">
        <v>18</v>
      </c>
      <c r="J6">
        <f>SUM(G2:G8761)</f>
        <v>57117.100000000093</v>
      </c>
      <c r="K6" t="s">
        <v>19</v>
      </c>
    </row>
    <row r="7" spans="2:14" x14ac:dyDescent="0.35">
      <c r="B7" s="1">
        <v>45658</v>
      </c>
      <c r="C7" s="2">
        <v>0.20833333333333329</v>
      </c>
      <c r="D7">
        <v>7.4</v>
      </c>
      <c r="E7">
        <f>IF($D7 &gt; 16, 0, $J$3*(16 - $D7))</f>
        <v>1786.6383272259941</v>
      </c>
      <c r="F7">
        <f>IF($D7 &gt; 16, 0,$E7*$J$5)</f>
        <v>19418971.97861933</v>
      </c>
      <c r="G7">
        <f t="shared" si="0"/>
        <v>8.6</v>
      </c>
    </row>
    <row r="8" spans="2:14" x14ac:dyDescent="0.35">
      <c r="B8" s="1">
        <v>45658</v>
      </c>
      <c r="C8" s="2">
        <v>0.25</v>
      </c>
      <c r="D8">
        <v>7.7</v>
      </c>
      <c r="E8">
        <f>IF($D8 &gt; 16, 0, $J$3*(16 - $D8))</f>
        <v>1724.3137344157851</v>
      </c>
      <c r="F8">
        <f>IF($D8 &gt; 16, 0,$E8*$J$5)</f>
        <v>18741565.97936517</v>
      </c>
      <c r="G8">
        <f t="shared" si="0"/>
        <v>8.3000000000000007</v>
      </c>
      <c r="I8" t="s">
        <v>26</v>
      </c>
      <c r="J8">
        <f>SUM(E2:E8761)/1000000</f>
        <v>11.865999999999982</v>
      </c>
      <c r="K8" t="s">
        <v>8</v>
      </c>
      <c r="L8" t="s">
        <v>22</v>
      </c>
    </row>
    <row r="9" spans="2:14" x14ac:dyDescent="0.35">
      <c r="B9" s="1">
        <v>45658</v>
      </c>
      <c r="C9" s="2">
        <v>0.29166666666666669</v>
      </c>
      <c r="D9">
        <v>7.4</v>
      </c>
      <c r="E9">
        <f>IF($D9 &gt; 16, 0, $J$3*(16 - $D9))</f>
        <v>1786.6383272259941</v>
      </c>
      <c r="F9">
        <f>IF($D9 &gt; 16, 0,$E9*$J$5)</f>
        <v>19418971.97861933</v>
      </c>
      <c r="G9">
        <f t="shared" si="0"/>
        <v>8.6</v>
      </c>
    </row>
    <row r="10" spans="2:14" x14ac:dyDescent="0.35">
      <c r="B10" s="1">
        <v>45658</v>
      </c>
      <c r="C10" s="2">
        <v>0.33333333333333331</v>
      </c>
      <c r="D10">
        <v>7.6</v>
      </c>
      <c r="E10">
        <f>IF($D10 &gt; 16, 0, $J$3*(16 - $D10))</f>
        <v>1745.0885986858548</v>
      </c>
      <c r="F10">
        <f>IF($D10 &gt; 16, 0,$E10*$J$5)</f>
        <v>18967367.979116555</v>
      </c>
      <c r="G10">
        <f t="shared" si="0"/>
        <v>8.4</v>
      </c>
    </row>
    <row r="11" spans="2:14" x14ac:dyDescent="0.35">
      <c r="B11" s="1">
        <v>45658</v>
      </c>
      <c r="C11" s="2">
        <v>0.375</v>
      </c>
      <c r="D11">
        <v>7.9</v>
      </c>
      <c r="E11">
        <f>IF($D11 &gt; 16, 0, $J$3*(16 - $D11))</f>
        <v>1682.7640058756456</v>
      </c>
      <c r="F11">
        <f>IF($D11 &gt; 16, 0,$E11*$J$5)</f>
        <v>18289961.979862392</v>
      </c>
      <c r="G11">
        <f t="shared" si="0"/>
        <v>8.1</v>
      </c>
      <c r="I11" t="s">
        <v>27</v>
      </c>
      <c r="J11">
        <f>SUM(F2:F8761)/1000000000</f>
        <v>128.97155400000022</v>
      </c>
      <c r="K11" t="s">
        <v>14</v>
      </c>
    </row>
    <row r="12" spans="2:14" x14ac:dyDescent="0.35">
      <c r="B12" s="1">
        <v>45658</v>
      </c>
      <c r="C12" s="2">
        <v>0.41666666666666669</v>
      </c>
      <c r="D12">
        <v>7.8</v>
      </c>
      <c r="E12">
        <f>IF($D12 &gt; 16, 0, $J$3*(16 - $D12))</f>
        <v>1703.5388701457152</v>
      </c>
      <c r="F12">
        <f>IF($D12 &gt; 16, 0,$E12*$J$5)</f>
        <v>18515763.979613777</v>
      </c>
      <c r="G12">
        <f t="shared" si="0"/>
        <v>8.1999999999999993</v>
      </c>
    </row>
    <row r="13" spans="2:14" x14ac:dyDescent="0.35">
      <c r="B13" s="1">
        <v>45658</v>
      </c>
      <c r="C13" s="2">
        <v>0.45833333333333331</v>
      </c>
      <c r="D13">
        <v>7.6</v>
      </c>
      <c r="E13">
        <f>IF($D13 &gt; 16, 0, $J$3*(16 - $D13))</f>
        <v>1745.0885986858548</v>
      </c>
      <c r="F13">
        <f>IF($D13 &gt; 16, 0,$E13*$J$5)</f>
        <v>18967367.979116555</v>
      </c>
      <c r="G13">
        <f t="shared" si="0"/>
        <v>8.4</v>
      </c>
      <c r="I13" t="s">
        <v>15</v>
      </c>
      <c r="J13">
        <f>(J11/8760)*1000</f>
        <v>14.722780136986326</v>
      </c>
      <c r="K13" t="s">
        <v>8</v>
      </c>
    </row>
    <row r="14" spans="2:14" x14ac:dyDescent="0.35">
      <c r="B14" s="1">
        <v>45658</v>
      </c>
      <c r="C14" s="2">
        <v>0.5</v>
      </c>
      <c r="D14">
        <v>7.5</v>
      </c>
      <c r="E14">
        <f>IF($D14 &gt; 16, 0, $J$3*(16 - $D14))</f>
        <v>1765.8634629559244</v>
      </c>
      <c r="F14">
        <f>IF($D14 &gt; 16, 0,$E14*$J$5)</f>
        <v>19193169.978867944</v>
      </c>
      <c r="G14">
        <f t="shared" si="0"/>
        <v>8.5</v>
      </c>
      <c r="I14" t="s">
        <v>16</v>
      </c>
      <c r="J14">
        <f>(J11/365)*1000</f>
        <v>353.34672328767186</v>
      </c>
      <c r="K14" t="s">
        <v>8</v>
      </c>
    </row>
    <row r="15" spans="2:14" x14ac:dyDescent="0.35">
      <c r="B15" s="1">
        <v>45658</v>
      </c>
      <c r="C15" s="2">
        <v>0.54166666666666663</v>
      </c>
      <c r="D15">
        <v>7.6</v>
      </c>
      <c r="E15">
        <f>IF($D15 &gt; 16, 0, $J$3*(16 - $D15))</f>
        <v>1745.0885986858548</v>
      </c>
      <c r="F15">
        <f>IF($D15 &gt; 16, 0,$E15*$J$5)</f>
        <v>18967367.979116555</v>
      </c>
      <c r="G15">
        <f t="shared" si="0"/>
        <v>8.4</v>
      </c>
    </row>
    <row r="16" spans="2:14" x14ac:dyDescent="0.35">
      <c r="B16" s="1">
        <v>45658</v>
      </c>
      <c r="C16" s="2">
        <v>0.58333333333333337</v>
      </c>
      <c r="D16">
        <v>7.7</v>
      </c>
      <c r="E16">
        <f>IF($D16 &gt; 16, 0, $J$3*(16 - $D16))</f>
        <v>1724.3137344157851</v>
      </c>
      <c r="F16">
        <f>IF($D16 &gt; 16, 0,$E16*$J$5)</f>
        <v>18741565.97936517</v>
      </c>
      <c r="G16">
        <f t="shared" si="0"/>
        <v>8.3000000000000007</v>
      </c>
      <c r="I16" t="s">
        <v>20</v>
      </c>
      <c r="J16">
        <v>11.866</v>
      </c>
      <c r="K16" t="s">
        <v>8</v>
      </c>
    </row>
    <row r="17" spans="2:9" x14ac:dyDescent="0.35">
      <c r="B17" s="1">
        <v>45658</v>
      </c>
      <c r="C17" s="2">
        <v>0.625</v>
      </c>
      <c r="D17">
        <v>7.5</v>
      </c>
      <c r="E17">
        <f>IF($D17 &gt; 16, 0, $J$3*(16 - $D17))</f>
        <v>1765.8634629559244</v>
      </c>
      <c r="F17">
        <f>IF($D17 &gt; 16, 0,$E17*$J$5)</f>
        <v>19193169.978867944</v>
      </c>
      <c r="G17">
        <f t="shared" si="0"/>
        <v>8.5</v>
      </c>
      <c r="I17" t="s">
        <v>23</v>
      </c>
    </row>
    <row r="18" spans="2:9" x14ac:dyDescent="0.35">
      <c r="B18" s="1">
        <v>45658</v>
      </c>
      <c r="C18" s="2">
        <v>0.66666666666666663</v>
      </c>
      <c r="D18">
        <v>7.6</v>
      </c>
      <c r="E18">
        <f>IF($D18 &gt; 16, 0, $J$3*(16 - $D18))</f>
        <v>1745.0885986858548</v>
      </c>
      <c r="F18">
        <f>IF($D18 &gt; 16, 0,$E18*$J$5)</f>
        <v>18967367.979116555</v>
      </c>
      <c r="G18">
        <f t="shared" si="0"/>
        <v>8.4</v>
      </c>
    </row>
    <row r="19" spans="2:9" x14ac:dyDescent="0.35">
      <c r="B19" s="1">
        <v>45658</v>
      </c>
      <c r="C19" s="2">
        <v>0.70833333333333337</v>
      </c>
      <c r="D19">
        <v>7.8</v>
      </c>
      <c r="E19">
        <f>IF($D19 &gt; 16, 0, $J$3*(16 - $D19))</f>
        <v>1703.5388701457152</v>
      </c>
      <c r="F19">
        <f>IF($D19 &gt; 16, 0,$E19*$J$5)</f>
        <v>18515763.979613777</v>
      </c>
      <c r="G19">
        <f t="shared" si="0"/>
        <v>8.1999999999999993</v>
      </c>
    </row>
    <row r="20" spans="2:9" x14ac:dyDescent="0.35">
      <c r="B20" s="1">
        <v>45658</v>
      </c>
      <c r="C20" s="2">
        <v>0.75</v>
      </c>
      <c r="D20">
        <v>7.5</v>
      </c>
      <c r="E20">
        <f>IF($D20 &gt; 16, 0, $J$3*(16 - $D20))</f>
        <v>1765.8634629559244</v>
      </c>
      <c r="F20">
        <f>IF($D20 &gt; 16, 0,$E20*$J$5)</f>
        <v>19193169.978867944</v>
      </c>
      <c r="G20">
        <f t="shared" si="0"/>
        <v>8.5</v>
      </c>
    </row>
    <row r="21" spans="2:9" x14ac:dyDescent="0.35">
      <c r="B21" s="1">
        <v>45658</v>
      </c>
      <c r="C21" s="2">
        <v>0.79166666666666663</v>
      </c>
      <c r="D21">
        <v>5.9</v>
      </c>
      <c r="E21">
        <f>IF($D21 &gt; 16, 0, $J$3*(16 - $D21))</f>
        <v>2098.2612912770396</v>
      </c>
      <c r="F21">
        <f>IF($D21 &gt; 16, 0,$E21*$J$5)</f>
        <v>22806001.974890143</v>
      </c>
      <c r="G21">
        <f t="shared" si="0"/>
        <v>10.1</v>
      </c>
    </row>
    <row r="22" spans="2:9" x14ac:dyDescent="0.35">
      <c r="B22" s="1">
        <v>45658</v>
      </c>
      <c r="C22" s="2">
        <v>0.83333333333333337</v>
      </c>
      <c r="D22">
        <v>5.7</v>
      </c>
      <c r="E22">
        <f>IF($D22 &gt; 16, 0, $J$3*(16 - $D22))</f>
        <v>2139.8110198171789</v>
      </c>
      <c r="F22">
        <f>IF($D22 &gt; 16, 0,$E22*$J$5)</f>
        <v>23257605.974392917</v>
      </c>
      <c r="G22">
        <f t="shared" si="0"/>
        <v>10.3</v>
      </c>
    </row>
    <row r="23" spans="2:9" x14ac:dyDescent="0.35">
      <c r="B23" s="1">
        <v>45658</v>
      </c>
      <c r="C23" s="2">
        <v>0.875</v>
      </c>
      <c r="D23">
        <v>5.3</v>
      </c>
      <c r="E23">
        <f>IF($D23 &gt; 16, 0, $J$3*(16 - $D23))</f>
        <v>2222.9104768974576</v>
      </c>
      <c r="F23">
        <f>IF($D23 &gt; 16, 0,$E23*$J$5)</f>
        <v>24160813.973398466</v>
      </c>
      <c r="G23">
        <f t="shared" si="0"/>
        <v>10.7</v>
      </c>
    </row>
    <row r="24" spans="2:9" x14ac:dyDescent="0.35">
      <c r="B24" s="1">
        <v>45658</v>
      </c>
      <c r="C24" s="2">
        <v>0.91666666666666663</v>
      </c>
      <c r="D24">
        <v>5.3</v>
      </c>
      <c r="E24">
        <f>IF($D24 &gt; 16, 0, $J$3*(16 - $D24))</f>
        <v>2222.9104768974576</v>
      </c>
      <c r="F24">
        <f>IF($D24 &gt; 16, 0,$E24*$J$5)</f>
        <v>24160813.973398466</v>
      </c>
      <c r="G24">
        <f t="shared" si="0"/>
        <v>10.7</v>
      </c>
    </row>
    <row r="25" spans="2:9" x14ac:dyDescent="0.35">
      <c r="B25" s="1">
        <v>45658</v>
      </c>
      <c r="C25" s="2">
        <v>0.95833333333333337</v>
      </c>
      <c r="D25">
        <v>5.3</v>
      </c>
      <c r="E25">
        <f>IF($D25 &gt; 16, 0, $J$3*(16 - $D25))</f>
        <v>2222.9104768974576</v>
      </c>
      <c r="F25">
        <f>IF($D25 &gt; 16, 0,$E25*$J$5)</f>
        <v>24160813.973398466</v>
      </c>
      <c r="G25">
        <f t="shared" si="0"/>
        <v>10.7</v>
      </c>
    </row>
    <row r="26" spans="2:9" x14ac:dyDescent="0.35">
      <c r="B26" s="1">
        <v>45659</v>
      </c>
      <c r="C26" s="2">
        <v>0</v>
      </c>
      <c r="D26">
        <v>5.5</v>
      </c>
      <c r="E26">
        <f>IF($D26 &gt; 16, 0, $J$3*(16 - $D26))</f>
        <v>2181.3607483573182</v>
      </c>
      <c r="F26">
        <f>IF($D26 &gt; 16, 0,$E26*$J$5)</f>
        <v>23709209.973895691</v>
      </c>
      <c r="G26">
        <f t="shared" si="0"/>
        <v>10.5</v>
      </c>
    </row>
    <row r="27" spans="2:9" x14ac:dyDescent="0.35">
      <c r="B27" s="1">
        <v>45659</v>
      </c>
      <c r="C27" s="2">
        <v>4.1666666666666657E-2</v>
      </c>
      <c r="D27">
        <v>5.7</v>
      </c>
      <c r="E27">
        <f>IF($D27 &gt; 16, 0, $J$3*(16 - $D27))</f>
        <v>2139.8110198171789</v>
      </c>
      <c r="F27">
        <f>IF($D27 &gt; 16, 0,$E27*$J$5)</f>
        <v>23257605.974392917</v>
      </c>
      <c r="G27">
        <f t="shared" si="0"/>
        <v>10.3</v>
      </c>
    </row>
    <row r="28" spans="2:9" x14ac:dyDescent="0.35">
      <c r="B28" s="1">
        <v>45659</v>
      </c>
      <c r="C28" s="2">
        <v>8.3333333333333329E-2</v>
      </c>
      <c r="D28">
        <v>2.8</v>
      </c>
      <c r="E28">
        <f>IF($D28 &gt; 16, 0, $J$3*(16 - $D28))</f>
        <v>2742.2820836492001</v>
      </c>
      <c r="F28">
        <f>IF($D28 &gt; 16, 0,$E28*$J$5)</f>
        <v>29805863.967183154</v>
      </c>
      <c r="G28">
        <f t="shared" si="0"/>
        <v>13.2</v>
      </c>
    </row>
    <row r="29" spans="2:9" x14ac:dyDescent="0.35">
      <c r="B29" s="1">
        <v>45659</v>
      </c>
      <c r="C29" s="2">
        <v>0.125</v>
      </c>
      <c r="D29">
        <v>2.7</v>
      </c>
      <c r="E29">
        <f>IF($D29 &gt; 16, 0, $J$3*(16 - $D29))</f>
        <v>2763.05694791927</v>
      </c>
      <c r="F29">
        <f>IF($D29 &gt; 16, 0,$E29*$J$5)</f>
        <v>30031665.966934547</v>
      </c>
      <c r="G29">
        <f t="shared" si="0"/>
        <v>13.3</v>
      </c>
    </row>
    <row r="30" spans="2:9" x14ac:dyDescent="0.35">
      <c r="B30" s="1">
        <v>45659</v>
      </c>
      <c r="C30" s="2">
        <v>0.16666666666666671</v>
      </c>
      <c r="D30">
        <v>1.9</v>
      </c>
      <c r="E30">
        <f>IF($D30 &gt; 16, 0, $J$3*(16 - $D30))</f>
        <v>2929.2558620798277</v>
      </c>
      <c r="F30">
        <f>IF($D30 &gt; 16, 0,$E30*$J$5)</f>
        <v>31838081.964945648</v>
      </c>
      <c r="G30">
        <f t="shared" si="0"/>
        <v>14.1</v>
      </c>
    </row>
    <row r="31" spans="2:9" x14ac:dyDescent="0.35">
      <c r="B31" s="1">
        <v>45659</v>
      </c>
      <c r="C31" s="2">
        <v>0.20833333333333329</v>
      </c>
      <c r="D31">
        <v>1.9</v>
      </c>
      <c r="E31">
        <f>IF($D31 &gt; 16, 0, $J$3*(16 - $D31))</f>
        <v>2929.2558620798277</v>
      </c>
      <c r="F31">
        <f>IF($D31 &gt; 16, 0,$E31*$J$5)</f>
        <v>31838081.964945648</v>
      </c>
      <c r="G31">
        <f t="shared" si="0"/>
        <v>14.1</v>
      </c>
    </row>
    <row r="32" spans="2:9" x14ac:dyDescent="0.35">
      <c r="B32" s="1">
        <v>45659</v>
      </c>
      <c r="C32" s="2">
        <v>0.25</v>
      </c>
      <c r="D32">
        <v>1.6</v>
      </c>
      <c r="E32">
        <f>IF($D32 &gt; 16, 0, $J$3*(16 - $D32))</f>
        <v>2991.5804548900369</v>
      </c>
      <c r="F32">
        <f>IF($D32 &gt; 16, 0,$E32*$J$5)</f>
        <v>32515487.964199811</v>
      </c>
      <c r="G32">
        <f t="shared" si="0"/>
        <v>14.4</v>
      </c>
    </row>
    <row r="33" spans="2:7" x14ac:dyDescent="0.35">
      <c r="B33" s="1">
        <v>45659</v>
      </c>
      <c r="C33" s="2">
        <v>0.29166666666666669</v>
      </c>
      <c r="D33">
        <v>1.7</v>
      </c>
      <c r="E33">
        <f>IF($D33 &gt; 16, 0, $J$3*(16 - $D33))</f>
        <v>2970.805590619967</v>
      </c>
      <c r="F33">
        <f>IF($D33 &gt; 16, 0,$E33*$J$5)</f>
        <v>32289685.964448422</v>
      </c>
      <c r="G33">
        <f t="shared" si="0"/>
        <v>14.3</v>
      </c>
    </row>
    <row r="34" spans="2:7" x14ac:dyDescent="0.35">
      <c r="B34" s="1">
        <v>45659</v>
      </c>
      <c r="C34" s="2">
        <v>0.33333333333333331</v>
      </c>
      <c r="D34">
        <v>1.9</v>
      </c>
      <c r="E34">
        <f>IF($D34 &gt; 16, 0, $J$3*(16 - $D34))</f>
        <v>2929.2558620798277</v>
      </c>
      <c r="F34">
        <f>IF($D34 &gt; 16, 0,$E34*$J$5)</f>
        <v>31838081.964945648</v>
      </c>
      <c r="G34">
        <f t="shared" si="0"/>
        <v>14.1</v>
      </c>
    </row>
    <row r="35" spans="2:7" x14ac:dyDescent="0.35">
      <c r="B35" s="1">
        <v>45659</v>
      </c>
      <c r="C35" s="2">
        <v>0.375</v>
      </c>
      <c r="D35">
        <v>2.4</v>
      </c>
      <c r="E35">
        <f>IF($D35 &gt; 16, 0, $J$3*(16 - $D35))</f>
        <v>2825.3815407294792</v>
      </c>
      <c r="F35">
        <f>IF($D35 &gt; 16, 0,$E35*$J$5)</f>
        <v>30709071.96618871</v>
      </c>
      <c r="G35">
        <f t="shared" si="0"/>
        <v>13.6</v>
      </c>
    </row>
    <row r="36" spans="2:7" x14ac:dyDescent="0.35">
      <c r="B36" s="1">
        <v>45659</v>
      </c>
      <c r="C36" s="2">
        <v>0.41666666666666669</v>
      </c>
      <c r="D36">
        <v>2.4</v>
      </c>
      <c r="E36">
        <f>IF($D36 &gt; 16, 0, $J$3*(16 - $D36))</f>
        <v>2825.3815407294792</v>
      </c>
      <c r="F36">
        <f>IF($D36 &gt; 16, 0,$E36*$J$5)</f>
        <v>30709071.96618871</v>
      </c>
      <c r="G36">
        <f t="shared" si="0"/>
        <v>13.6</v>
      </c>
    </row>
    <row r="37" spans="2:7" x14ac:dyDescent="0.35">
      <c r="B37" s="1">
        <v>45659</v>
      </c>
      <c r="C37" s="2">
        <v>0.45833333333333331</v>
      </c>
      <c r="D37">
        <v>3</v>
      </c>
      <c r="E37">
        <f>IF($D37 &gt; 16, 0, $J$3*(16 - $D37))</f>
        <v>2700.7323551090608</v>
      </c>
      <c r="F37">
        <f>IF($D37 &gt; 16, 0,$E37*$J$5)</f>
        <v>29354259.967680383</v>
      </c>
      <c r="G37">
        <f t="shared" si="0"/>
        <v>13</v>
      </c>
    </row>
    <row r="38" spans="2:7" x14ac:dyDescent="0.35">
      <c r="B38" s="1">
        <v>45659</v>
      </c>
      <c r="C38" s="2">
        <v>0.5</v>
      </c>
      <c r="D38">
        <v>2.8</v>
      </c>
      <c r="E38">
        <f>IF($D38 &gt; 16, 0, $J$3*(16 - $D38))</f>
        <v>2742.2820836492001</v>
      </c>
      <c r="F38">
        <f>IF($D38 &gt; 16, 0,$E38*$J$5)</f>
        <v>29805863.967183154</v>
      </c>
      <c r="G38">
        <f t="shared" si="0"/>
        <v>13.2</v>
      </c>
    </row>
    <row r="39" spans="2:7" x14ac:dyDescent="0.35">
      <c r="B39" s="1">
        <v>45659</v>
      </c>
      <c r="C39" s="2">
        <v>0.54166666666666663</v>
      </c>
      <c r="D39">
        <v>3.6</v>
      </c>
      <c r="E39">
        <f>IF($D39 &gt; 16, 0, $J$3*(16 - $D39))</f>
        <v>2576.0831694886429</v>
      </c>
      <c r="F39">
        <f>IF($D39 &gt; 16, 0,$E39*$J$5)</f>
        <v>27999447.96917206</v>
      </c>
      <c r="G39">
        <f t="shared" si="0"/>
        <v>12.4</v>
      </c>
    </row>
    <row r="40" spans="2:7" x14ac:dyDescent="0.35">
      <c r="B40" s="1">
        <v>45659</v>
      </c>
      <c r="C40" s="2">
        <v>0.58333333333333337</v>
      </c>
      <c r="D40">
        <v>3.9</v>
      </c>
      <c r="E40">
        <f>IF($D40 &gt; 16, 0, $J$3*(16 - $D40))</f>
        <v>2513.7585766784337</v>
      </c>
      <c r="F40">
        <f>IF($D40 &gt; 16, 0,$E40*$J$5)</f>
        <v>27322041.969917897</v>
      </c>
      <c r="G40">
        <f t="shared" si="0"/>
        <v>12.1</v>
      </c>
    </row>
    <row r="41" spans="2:7" x14ac:dyDescent="0.35">
      <c r="B41" s="1">
        <v>45659</v>
      </c>
      <c r="C41" s="2">
        <v>0.625</v>
      </c>
      <c r="D41">
        <v>3.1</v>
      </c>
      <c r="E41">
        <f>IF($D41 &gt; 16, 0, $J$3*(16 - $D41))</f>
        <v>2679.9574908389914</v>
      </c>
      <c r="F41">
        <f>IF($D41 &gt; 16, 0,$E41*$J$5)</f>
        <v>29128457.967928998</v>
      </c>
      <c r="G41">
        <f t="shared" si="0"/>
        <v>12.9</v>
      </c>
    </row>
    <row r="42" spans="2:7" x14ac:dyDescent="0.35">
      <c r="B42" s="1">
        <v>45659</v>
      </c>
      <c r="C42" s="2">
        <v>0.66666666666666663</v>
      </c>
      <c r="D42">
        <v>2.2000000000000002</v>
      </c>
      <c r="E42">
        <f>IF($D42 &gt; 16, 0, $J$3*(16 - $D42))</f>
        <v>2866.9312692696185</v>
      </c>
      <c r="F42">
        <f>IF($D42 &gt; 16, 0,$E42*$J$5)</f>
        <v>31160675.965691485</v>
      </c>
      <c r="G42">
        <f t="shared" si="0"/>
        <v>13.8</v>
      </c>
    </row>
    <row r="43" spans="2:7" x14ac:dyDescent="0.35">
      <c r="B43" s="1">
        <v>45659</v>
      </c>
      <c r="C43" s="2">
        <v>0.70833333333333337</v>
      </c>
      <c r="D43">
        <v>1.2</v>
      </c>
      <c r="E43">
        <f>IF($D43 &gt; 16, 0, $J$3*(16 - $D43))</f>
        <v>3074.6799119703155</v>
      </c>
      <c r="F43">
        <f>IF($D43 &gt; 16, 0,$E43*$J$5)</f>
        <v>33418695.96320536</v>
      </c>
      <c r="G43">
        <f t="shared" si="0"/>
        <v>14.8</v>
      </c>
    </row>
    <row r="44" spans="2:7" x14ac:dyDescent="0.35">
      <c r="B44" s="1">
        <v>45659</v>
      </c>
      <c r="C44" s="2">
        <v>0.75</v>
      </c>
      <c r="D44">
        <v>1.9</v>
      </c>
      <c r="E44">
        <f>IF($D44 &gt; 16, 0, $J$3*(16 - $D44))</f>
        <v>2929.2558620798277</v>
      </c>
      <c r="F44">
        <f>IF($D44 &gt; 16, 0,$E44*$J$5)</f>
        <v>31838081.964945648</v>
      </c>
      <c r="G44">
        <f t="shared" si="0"/>
        <v>14.1</v>
      </c>
    </row>
    <row r="45" spans="2:7" x14ac:dyDescent="0.35">
      <c r="B45" s="1">
        <v>45659</v>
      </c>
      <c r="C45" s="2">
        <v>0.79166666666666663</v>
      </c>
      <c r="D45">
        <v>1.4</v>
      </c>
      <c r="E45">
        <f>IF($D45 &gt; 16, 0, $J$3*(16 - $D45))</f>
        <v>3033.1301834301762</v>
      </c>
      <c r="F45">
        <f>IF($D45 &gt; 16, 0,$E45*$J$5)</f>
        <v>32967091.963702586</v>
      </c>
      <c r="G45">
        <f t="shared" si="0"/>
        <v>14.6</v>
      </c>
    </row>
    <row r="46" spans="2:7" x14ac:dyDescent="0.35">
      <c r="B46" s="1">
        <v>45659</v>
      </c>
      <c r="C46" s="2">
        <v>0.83333333333333337</v>
      </c>
      <c r="D46">
        <v>0.9</v>
      </c>
      <c r="E46">
        <f>IF($D46 &gt; 16, 0, $J$3*(16 - $D46))</f>
        <v>3137.0045047805243</v>
      </c>
      <c r="F46">
        <f>IF($D46 &gt; 16, 0,$E46*$J$5)</f>
        <v>34096101.96245952</v>
      </c>
      <c r="G46">
        <f t="shared" si="0"/>
        <v>15.1</v>
      </c>
    </row>
    <row r="47" spans="2:7" x14ac:dyDescent="0.35">
      <c r="B47" s="1">
        <v>45659</v>
      </c>
      <c r="C47" s="2">
        <v>0.875</v>
      </c>
      <c r="D47">
        <v>0.7</v>
      </c>
      <c r="E47">
        <f>IF($D47 &gt; 16, 0, $J$3*(16 - $D47))</f>
        <v>3178.554233320664</v>
      </c>
      <c r="F47">
        <f>IF($D47 &gt; 16, 0,$E47*$J$5)</f>
        <v>34547705.961962298</v>
      </c>
      <c r="G47">
        <f t="shared" si="0"/>
        <v>15.3</v>
      </c>
    </row>
    <row r="48" spans="2:7" x14ac:dyDescent="0.35">
      <c r="B48" s="1">
        <v>45659</v>
      </c>
      <c r="C48" s="2">
        <v>0.91666666666666663</v>
      </c>
      <c r="D48">
        <v>1.7</v>
      </c>
      <c r="E48">
        <f>IF($D48 &gt; 16, 0, $J$3*(16 - $D48))</f>
        <v>2970.805590619967</v>
      </c>
      <c r="F48">
        <f>IF($D48 &gt; 16, 0,$E48*$J$5)</f>
        <v>32289685.964448422</v>
      </c>
      <c r="G48">
        <f t="shared" si="0"/>
        <v>14.3</v>
      </c>
    </row>
    <row r="49" spans="2:7" x14ac:dyDescent="0.35">
      <c r="B49" s="1">
        <v>45659</v>
      </c>
      <c r="C49" s="2">
        <v>0.95833333333333337</v>
      </c>
      <c r="D49">
        <v>1.2</v>
      </c>
      <c r="E49">
        <f>IF($D49 &gt; 16, 0, $J$3*(16 - $D49))</f>
        <v>3074.6799119703155</v>
      </c>
      <c r="F49">
        <f>IF($D49 &gt; 16, 0,$E49*$J$5)</f>
        <v>33418695.96320536</v>
      </c>
      <c r="G49">
        <f t="shared" si="0"/>
        <v>14.8</v>
      </c>
    </row>
    <row r="50" spans="2:7" x14ac:dyDescent="0.35">
      <c r="B50" s="1">
        <v>45660</v>
      </c>
      <c r="C50" s="2">
        <v>0</v>
      </c>
      <c r="D50">
        <v>0.9</v>
      </c>
      <c r="E50">
        <f>IF($D50 &gt; 16, 0, $J$3*(16 - $D50))</f>
        <v>3137.0045047805243</v>
      </c>
      <c r="F50">
        <f>IF($D50 &gt; 16, 0,$E50*$J$5)</f>
        <v>34096101.96245952</v>
      </c>
      <c r="G50">
        <f t="shared" si="0"/>
        <v>15.1</v>
      </c>
    </row>
    <row r="51" spans="2:7" x14ac:dyDescent="0.35">
      <c r="B51" s="1">
        <v>45660</v>
      </c>
      <c r="C51" s="2">
        <v>4.1666666666666657E-2</v>
      </c>
      <c r="D51">
        <v>0.9</v>
      </c>
      <c r="E51">
        <f>IF($D51 &gt; 16, 0, $J$3*(16 - $D51))</f>
        <v>3137.0045047805243</v>
      </c>
      <c r="F51">
        <f>IF($D51 &gt; 16, 0,$E51*$J$5)</f>
        <v>34096101.96245952</v>
      </c>
      <c r="G51">
        <f t="shared" si="0"/>
        <v>15.1</v>
      </c>
    </row>
    <row r="52" spans="2:7" x14ac:dyDescent="0.35">
      <c r="B52" s="1">
        <v>45660</v>
      </c>
      <c r="C52" s="2">
        <v>8.3333333333333329E-2</v>
      </c>
      <c r="D52">
        <v>0.8</v>
      </c>
      <c r="E52">
        <f>IF($D52 &gt; 16, 0, $J$3*(16 - $D52))</f>
        <v>3157.7793690505941</v>
      </c>
      <c r="F52">
        <f>IF($D52 &gt; 16, 0,$E52*$J$5)</f>
        <v>34321903.962210909</v>
      </c>
      <c r="G52">
        <f t="shared" si="0"/>
        <v>15.2</v>
      </c>
    </row>
    <row r="53" spans="2:7" x14ac:dyDescent="0.35">
      <c r="B53" s="1">
        <v>45660</v>
      </c>
      <c r="C53" s="2">
        <v>0.125</v>
      </c>
      <c r="D53">
        <v>0.6</v>
      </c>
      <c r="E53">
        <f>IF($D53 &gt; 16, 0, $J$3*(16 - $D53))</f>
        <v>3199.3290975907339</v>
      </c>
      <c r="F53">
        <f>IF($D53 &gt; 16, 0,$E53*$J$5)</f>
        <v>34773507.961713687</v>
      </c>
      <c r="G53">
        <f t="shared" si="0"/>
        <v>15.4</v>
      </c>
    </row>
    <row r="54" spans="2:7" x14ac:dyDescent="0.35">
      <c r="B54" s="1">
        <v>45660</v>
      </c>
      <c r="C54" s="2">
        <v>0.16666666666666671</v>
      </c>
      <c r="D54">
        <v>0.8</v>
      </c>
      <c r="E54">
        <f>IF($D54 &gt; 16, 0, $J$3*(16 - $D54))</f>
        <v>3157.7793690505941</v>
      </c>
      <c r="F54">
        <f>IF($D54 &gt; 16, 0,$E54*$J$5)</f>
        <v>34321903.962210909</v>
      </c>
      <c r="G54">
        <f t="shared" si="0"/>
        <v>15.2</v>
      </c>
    </row>
    <row r="55" spans="2:7" x14ac:dyDescent="0.35">
      <c r="B55" s="1">
        <v>45660</v>
      </c>
      <c r="C55" s="2">
        <v>0.20833333333333329</v>
      </c>
      <c r="D55">
        <v>0.4</v>
      </c>
      <c r="E55">
        <f>IF($D55 &gt; 16, 0, $J$3*(16 - $D55))</f>
        <v>3240.8788261308728</v>
      </c>
      <c r="F55">
        <f>IF($D55 &gt; 16, 0,$E55*$J$5)</f>
        <v>35225111.961216457</v>
      </c>
      <c r="G55">
        <f t="shared" si="0"/>
        <v>15.6</v>
      </c>
    </row>
    <row r="56" spans="2:7" x14ac:dyDescent="0.35">
      <c r="B56" s="1">
        <v>45660</v>
      </c>
      <c r="C56" s="2">
        <v>0.25</v>
      </c>
      <c r="D56">
        <v>0.5</v>
      </c>
      <c r="E56">
        <f>IF($D56 &gt; 16, 0, $J$3*(16 - $D56))</f>
        <v>3220.1039618608033</v>
      </c>
      <c r="F56">
        <f>IF($D56 &gt; 16, 0,$E56*$J$5)</f>
        <v>34999309.961465068</v>
      </c>
      <c r="G56">
        <f t="shared" si="0"/>
        <v>15.5</v>
      </c>
    </row>
    <row r="57" spans="2:7" x14ac:dyDescent="0.35">
      <c r="B57" s="1">
        <v>45660</v>
      </c>
      <c r="C57" s="2">
        <v>0.29166666666666669</v>
      </c>
      <c r="D57">
        <v>0.7</v>
      </c>
      <c r="E57">
        <f>IF($D57 &gt; 16, 0, $J$3*(16 - $D57))</f>
        <v>3178.554233320664</v>
      </c>
      <c r="F57">
        <f>IF($D57 &gt; 16, 0,$E57*$J$5)</f>
        <v>34547705.961962298</v>
      </c>
      <c r="G57">
        <f t="shared" si="0"/>
        <v>15.3</v>
      </c>
    </row>
    <row r="58" spans="2:7" x14ac:dyDescent="0.35">
      <c r="B58" s="1">
        <v>45660</v>
      </c>
      <c r="C58" s="2">
        <v>0.33333333333333331</v>
      </c>
      <c r="D58">
        <v>0.5</v>
      </c>
      <c r="E58">
        <f>IF($D58 &gt; 16, 0, $J$3*(16 - $D58))</f>
        <v>3220.1039618608033</v>
      </c>
      <c r="F58">
        <f>IF($D58 &gt; 16, 0,$E58*$J$5)</f>
        <v>34999309.961465068</v>
      </c>
      <c r="G58">
        <f t="shared" si="0"/>
        <v>15.5</v>
      </c>
    </row>
    <row r="59" spans="2:7" x14ac:dyDescent="0.35">
      <c r="B59" s="1">
        <v>45660</v>
      </c>
      <c r="C59" s="2">
        <v>0.375</v>
      </c>
      <c r="D59">
        <v>1</v>
      </c>
      <c r="E59">
        <f>IF($D59 &gt; 16, 0, $J$3*(16 - $D59))</f>
        <v>3116.2296405104548</v>
      </c>
      <c r="F59">
        <f>IF($D59 &gt; 16, 0,$E59*$J$5)</f>
        <v>33870299.96270813</v>
      </c>
      <c r="G59">
        <f t="shared" si="0"/>
        <v>15</v>
      </c>
    </row>
    <row r="60" spans="2:7" x14ac:dyDescent="0.35">
      <c r="B60" s="1">
        <v>45660</v>
      </c>
      <c r="C60" s="2">
        <v>0.41666666666666669</v>
      </c>
      <c r="D60">
        <v>0.2</v>
      </c>
      <c r="E60">
        <f>IF($D60 &gt; 16, 0, $J$3*(16 - $D60))</f>
        <v>3282.4285546710125</v>
      </c>
      <c r="F60">
        <f>IF($D60 &gt; 16, 0,$E60*$J$5)</f>
        <v>35676715.960719235</v>
      </c>
      <c r="G60">
        <f t="shared" si="0"/>
        <v>15.8</v>
      </c>
    </row>
    <row r="61" spans="2:7" x14ac:dyDescent="0.35">
      <c r="B61" s="1">
        <v>45660</v>
      </c>
      <c r="C61" s="2">
        <v>0.45833333333333331</v>
      </c>
      <c r="D61">
        <v>0.3</v>
      </c>
      <c r="E61">
        <f>IF($D61 &gt; 16, 0, $J$3*(16 - $D61))</f>
        <v>3261.6536904009427</v>
      </c>
      <c r="F61">
        <f>IF($D61 &gt; 16, 0,$E61*$J$5)</f>
        <v>35450913.960967846</v>
      </c>
      <c r="G61">
        <f t="shared" si="0"/>
        <v>15.7</v>
      </c>
    </row>
    <row r="62" spans="2:7" x14ac:dyDescent="0.35">
      <c r="B62" s="1">
        <v>45660</v>
      </c>
      <c r="C62" s="2">
        <v>0.5</v>
      </c>
      <c r="D62">
        <v>0.7</v>
      </c>
      <c r="E62">
        <f>IF($D62 &gt; 16, 0, $J$3*(16 - $D62))</f>
        <v>3178.554233320664</v>
      </c>
      <c r="F62">
        <f>IF($D62 &gt; 16, 0,$E62*$J$5)</f>
        <v>34547705.961962298</v>
      </c>
      <c r="G62">
        <f t="shared" si="0"/>
        <v>15.3</v>
      </c>
    </row>
    <row r="63" spans="2:7" x14ac:dyDescent="0.35">
      <c r="B63" s="1">
        <v>45660</v>
      </c>
      <c r="C63" s="2">
        <v>0.54166666666666663</v>
      </c>
      <c r="D63">
        <v>0.3</v>
      </c>
      <c r="E63">
        <f>IF($D63 &gt; 16, 0, $J$3*(16 - $D63))</f>
        <v>3261.6536904009427</v>
      </c>
      <c r="F63">
        <f>IF($D63 &gt; 16, 0,$E63*$J$5)</f>
        <v>35450913.960967846</v>
      </c>
      <c r="G63">
        <f t="shared" si="0"/>
        <v>15.7</v>
      </c>
    </row>
    <row r="64" spans="2:7" x14ac:dyDescent="0.35">
      <c r="B64" s="1">
        <v>45660</v>
      </c>
      <c r="C64" s="2">
        <v>0.58333333333333337</v>
      </c>
      <c r="D64">
        <v>0</v>
      </c>
      <c r="E64">
        <f>IF($D64 &gt; 16, 0, $J$3*(16 - $D64))</f>
        <v>3323.9782832111518</v>
      </c>
      <c r="F64">
        <f>IF($D64 &gt; 16, 0,$E64*$J$5)</f>
        <v>36128319.960222006</v>
      </c>
      <c r="G64">
        <f t="shared" si="0"/>
        <v>16</v>
      </c>
    </row>
    <row r="65" spans="2:7" x14ac:dyDescent="0.35">
      <c r="B65" s="1">
        <v>45660</v>
      </c>
      <c r="C65" s="2">
        <v>0.625</v>
      </c>
      <c r="D65">
        <v>-0.1</v>
      </c>
      <c r="E65">
        <f>IF($D65 &gt; 16, 0, $J$3*(16 - $D65))</f>
        <v>3344.7531474812217</v>
      </c>
      <c r="F65">
        <f>IF($D65 &gt; 16, 0,$E65*$J$5)</f>
        <v>36354121.959973402</v>
      </c>
      <c r="G65">
        <f t="shared" si="0"/>
        <v>16.100000000000001</v>
      </c>
    </row>
    <row r="66" spans="2:7" x14ac:dyDescent="0.35">
      <c r="B66" s="1">
        <v>45660</v>
      </c>
      <c r="C66" s="2">
        <v>0.66666666666666663</v>
      </c>
      <c r="D66">
        <v>-0.5</v>
      </c>
      <c r="E66">
        <f>IF($D66 &gt; 16, 0, $J$3*(16 - $D66))</f>
        <v>3427.8526045615004</v>
      </c>
      <c r="F66">
        <f>IF($D66 &gt; 16, 0,$E66*$J$5)</f>
        <v>37257329.958978951</v>
      </c>
      <c r="G66">
        <f t="shared" si="0"/>
        <v>16.5</v>
      </c>
    </row>
    <row r="67" spans="2:7" x14ac:dyDescent="0.35">
      <c r="B67" s="1">
        <v>45660</v>
      </c>
      <c r="C67" s="2">
        <v>0.70833333333333337</v>
      </c>
      <c r="D67">
        <v>-0.4</v>
      </c>
      <c r="E67">
        <f>IF($D67 &gt; 16, 0, $J$3*(16 - $D67))</f>
        <v>3407.0777402914305</v>
      </c>
      <c r="F67">
        <f>IF($D67 &gt; 16, 0,$E67*$J$5)</f>
        <v>37031527.959227555</v>
      </c>
      <c r="G67">
        <f t="shared" ref="G67:G130" si="1">MAX(0, 16 - $D67)</f>
        <v>16.399999999999999</v>
      </c>
    </row>
    <row r="68" spans="2:7" x14ac:dyDescent="0.35">
      <c r="B68" s="1">
        <v>45660</v>
      </c>
      <c r="C68" s="2">
        <v>0.75</v>
      </c>
      <c r="D68">
        <v>-0.4</v>
      </c>
      <c r="E68">
        <f>IF($D68 &gt; 16, 0, $J$3*(16 - $D68))</f>
        <v>3407.0777402914305</v>
      </c>
      <c r="F68">
        <f>IF($D68 &gt; 16, 0,$E68*$J$5)</f>
        <v>37031527.959227555</v>
      </c>
      <c r="G68">
        <f t="shared" si="1"/>
        <v>16.399999999999999</v>
      </c>
    </row>
    <row r="69" spans="2:7" x14ac:dyDescent="0.35">
      <c r="B69" s="1">
        <v>45660</v>
      </c>
      <c r="C69" s="2">
        <v>0.79166666666666663</v>
      </c>
      <c r="D69">
        <v>-1</v>
      </c>
      <c r="E69">
        <f>IF($D69 &gt; 16, 0, $J$3*(16 - $D69))</f>
        <v>3531.7269259118489</v>
      </c>
      <c r="F69">
        <f>IF($D69 &gt; 16, 0,$E69*$J$5)</f>
        <v>38386339.957735889</v>
      </c>
      <c r="G69">
        <f t="shared" si="1"/>
        <v>17</v>
      </c>
    </row>
    <row r="70" spans="2:7" x14ac:dyDescent="0.35">
      <c r="B70" s="1">
        <v>45660</v>
      </c>
      <c r="C70" s="2">
        <v>0.83333333333333337</v>
      </c>
      <c r="D70">
        <v>-0.5</v>
      </c>
      <c r="E70">
        <f>IF($D70 &gt; 16, 0, $J$3*(16 - $D70))</f>
        <v>3427.8526045615004</v>
      </c>
      <c r="F70">
        <f>IF($D70 &gt; 16, 0,$E70*$J$5)</f>
        <v>37257329.958978951</v>
      </c>
      <c r="G70">
        <f t="shared" si="1"/>
        <v>16.5</v>
      </c>
    </row>
    <row r="71" spans="2:7" x14ac:dyDescent="0.35">
      <c r="B71" s="1">
        <v>45660</v>
      </c>
      <c r="C71" s="2">
        <v>0.875</v>
      </c>
      <c r="D71">
        <v>-0.9</v>
      </c>
      <c r="E71">
        <f>IF($D71 &gt; 16, 0, $J$3*(16 - $D71))</f>
        <v>3510.952061641779</v>
      </c>
      <c r="F71">
        <f>IF($D71 &gt; 16, 0,$E71*$J$5)</f>
        <v>38160537.957984492</v>
      </c>
      <c r="G71">
        <f t="shared" si="1"/>
        <v>16.899999999999999</v>
      </c>
    </row>
    <row r="72" spans="2:7" x14ac:dyDescent="0.35">
      <c r="B72" s="1">
        <v>45660</v>
      </c>
      <c r="C72" s="2">
        <v>0.91666666666666663</v>
      </c>
      <c r="D72">
        <v>-0.8</v>
      </c>
      <c r="E72">
        <f>IF($D72 &gt; 16, 0, $J$3*(16 - $D72))</f>
        <v>3490.1771973717096</v>
      </c>
      <c r="F72">
        <f>IF($D72 &gt; 16, 0,$E72*$J$5)</f>
        <v>37934735.958233111</v>
      </c>
      <c r="G72">
        <f t="shared" si="1"/>
        <v>16.8</v>
      </c>
    </row>
    <row r="73" spans="2:7" x14ac:dyDescent="0.35">
      <c r="B73" s="1">
        <v>45660</v>
      </c>
      <c r="C73" s="2">
        <v>0.95833333333333337</v>
      </c>
      <c r="D73">
        <v>-0.5</v>
      </c>
      <c r="E73">
        <f>IF($D73 &gt; 16, 0, $J$3*(16 - $D73))</f>
        <v>3427.8526045615004</v>
      </c>
      <c r="F73">
        <f>IF($D73 &gt; 16, 0,$E73*$J$5)</f>
        <v>37257329.958978951</v>
      </c>
      <c r="G73">
        <f t="shared" si="1"/>
        <v>16.5</v>
      </c>
    </row>
    <row r="74" spans="2:7" x14ac:dyDescent="0.35">
      <c r="B74" s="1">
        <v>45661</v>
      </c>
      <c r="C74" s="2">
        <v>0</v>
      </c>
      <c r="D74">
        <v>-0.4</v>
      </c>
      <c r="E74">
        <f>IF($D74 &gt; 16, 0, $J$3*(16 - $D74))</f>
        <v>3407.0777402914305</v>
      </c>
      <c r="F74">
        <f>IF($D74 &gt; 16, 0,$E74*$J$5)</f>
        <v>37031527.959227555</v>
      </c>
      <c r="G74">
        <f t="shared" si="1"/>
        <v>16.399999999999999</v>
      </c>
    </row>
    <row r="75" spans="2:7" x14ac:dyDescent="0.35">
      <c r="B75" s="1">
        <v>45661</v>
      </c>
      <c r="C75" s="2">
        <v>4.1666666666666657E-2</v>
      </c>
      <c r="D75">
        <v>-0.9</v>
      </c>
      <c r="E75">
        <f>IF($D75 &gt; 16, 0, $J$3*(16 - $D75))</f>
        <v>3510.952061641779</v>
      </c>
      <c r="F75">
        <f>IF($D75 &gt; 16, 0,$E75*$J$5)</f>
        <v>38160537.957984492</v>
      </c>
      <c r="G75">
        <f t="shared" si="1"/>
        <v>16.899999999999999</v>
      </c>
    </row>
    <row r="76" spans="2:7" x14ac:dyDescent="0.35">
      <c r="B76" s="1">
        <v>45661</v>
      </c>
      <c r="C76" s="2">
        <v>8.3333333333333329E-2</v>
      </c>
      <c r="D76">
        <v>-1.4</v>
      </c>
      <c r="E76">
        <f>IF($D76 &gt; 16, 0, $J$3*(16 - $D76))</f>
        <v>3614.8263829921275</v>
      </c>
      <c r="F76">
        <f>IF($D76 &gt; 16, 0,$E76*$J$5)</f>
        <v>39289547.956741437</v>
      </c>
      <c r="G76">
        <f t="shared" si="1"/>
        <v>17.399999999999999</v>
      </c>
    </row>
    <row r="77" spans="2:7" x14ac:dyDescent="0.35">
      <c r="B77" s="1">
        <v>45661</v>
      </c>
      <c r="C77" s="2">
        <v>0.125</v>
      </c>
      <c r="D77">
        <v>-0.9</v>
      </c>
      <c r="E77">
        <f>IF($D77 &gt; 16, 0, $J$3*(16 - $D77))</f>
        <v>3510.952061641779</v>
      </c>
      <c r="F77">
        <f>IF($D77 &gt; 16, 0,$E77*$J$5)</f>
        <v>38160537.957984492</v>
      </c>
      <c r="G77">
        <f t="shared" si="1"/>
        <v>16.899999999999999</v>
      </c>
    </row>
    <row r="78" spans="2:7" x14ac:dyDescent="0.35">
      <c r="B78" s="1">
        <v>45661</v>
      </c>
      <c r="C78" s="2">
        <v>0.16666666666666671</v>
      </c>
      <c r="D78">
        <v>-0.5</v>
      </c>
      <c r="E78">
        <f>IF($D78 &gt; 16, 0, $J$3*(16 - $D78))</f>
        <v>3427.8526045615004</v>
      </c>
      <c r="F78">
        <f>IF($D78 &gt; 16, 0,$E78*$J$5)</f>
        <v>37257329.958978951</v>
      </c>
      <c r="G78">
        <f t="shared" si="1"/>
        <v>16.5</v>
      </c>
    </row>
    <row r="79" spans="2:7" x14ac:dyDescent="0.35">
      <c r="B79" s="1">
        <v>45661</v>
      </c>
      <c r="C79" s="2">
        <v>0.20833333333333329</v>
      </c>
      <c r="D79">
        <v>-1.7</v>
      </c>
      <c r="E79">
        <f>IF($D79 &gt; 16, 0, $J$3*(16 - $D79))</f>
        <v>3677.1509758023367</v>
      </c>
      <c r="F79">
        <f>IF($D79 &gt; 16, 0,$E79*$J$5)</f>
        <v>39966953.955995597</v>
      </c>
      <c r="G79">
        <f t="shared" si="1"/>
        <v>17.7</v>
      </c>
    </row>
    <row r="80" spans="2:7" x14ac:dyDescent="0.35">
      <c r="B80" s="1">
        <v>45661</v>
      </c>
      <c r="C80" s="2">
        <v>0.25</v>
      </c>
      <c r="D80">
        <v>-1.3</v>
      </c>
      <c r="E80">
        <f>IF($D80 &gt; 16, 0, $J$3*(16 - $D80))</f>
        <v>3594.0515187220581</v>
      </c>
      <c r="F80">
        <f>IF($D80 &gt; 16, 0,$E80*$J$5)</f>
        <v>39063745.956990048</v>
      </c>
      <c r="G80">
        <f t="shared" si="1"/>
        <v>17.3</v>
      </c>
    </row>
    <row r="81" spans="2:7" x14ac:dyDescent="0.35">
      <c r="B81" s="1">
        <v>45661</v>
      </c>
      <c r="C81" s="2">
        <v>0.29166666666666669</v>
      </c>
      <c r="D81">
        <v>-1.1000000000000001</v>
      </c>
      <c r="E81">
        <f>IF($D81 &gt; 16, 0, $J$3*(16 - $D81))</f>
        <v>3552.5017901819188</v>
      </c>
      <c r="F81">
        <f>IF($D81 &gt; 16, 0,$E81*$J$5)</f>
        <v>38612141.957487278</v>
      </c>
      <c r="G81">
        <f t="shared" si="1"/>
        <v>17.100000000000001</v>
      </c>
    </row>
    <row r="82" spans="2:7" x14ac:dyDescent="0.35">
      <c r="B82" s="1">
        <v>45661</v>
      </c>
      <c r="C82" s="2">
        <v>0.33333333333333331</v>
      </c>
      <c r="D82">
        <v>-0.8</v>
      </c>
      <c r="E82">
        <f>IF($D82 &gt; 16, 0, $J$3*(16 - $D82))</f>
        <v>3490.1771973717096</v>
      </c>
      <c r="F82">
        <f>IF($D82 &gt; 16, 0,$E82*$J$5)</f>
        <v>37934735.958233111</v>
      </c>
      <c r="G82">
        <f t="shared" si="1"/>
        <v>16.8</v>
      </c>
    </row>
    <row r="83" spans="2:7" x14ac:dyDescent="0.35">
      <c r="B83" s="1">
        <v>45661</v>
      </c>
      <c r="C83" s="2">
        <v>0.375</v>
      </c>
      <c r="D83">
        <v>-0.7</v>
      </c>
      <c r="E83">
        <f>IF($D83 &gt; 16, 0, $J$3*(16 - $D83))</f>
        <v>3469.4023331016397</v>
      </c>
      <c r="F83">
        <f>IF($D83 &gt; 16, 0,$E83*$J$5)</f>
        <v>37708933.958481722</v>
      </c>
      <c r="G83">
        <f t="shared" si="1"/>
        <v>16.7</v>
      </c>
    </row>
    <row r="84" spans="2:7" x14ac:dyDescent="0.35">
      <c r="B84" s="1">
        <v>45661</v>
      </c>
      <c r="C84" s="2">
        <v>0.41666666666666669</v>
      </c>
      <c r="D84">
        <v>-0.6</v>
      </c>
      <c r="E84">
        <f>IF($D84 &gt; 16, 0, $J$3*(16 - $D84))</f>
        <v>3448.6274688315702</v>
      </c>
      <c r="F84">
        <f>IF($D84 &gt; 16, 0,$E84*$J$5)</f>
        <v>37483131.95873034</v>
      </c>
      <c r="G84">
        <f t="shared" si="1"/>
        <v>16.600000000000001</v>
      </c>
    </row>
    <row r="85" spans="2:7" x14ac:dyDescent="0.35">
      <c r="B85" s="1">
        <v>45661</v>
      </c>
      <c r="C85" s="2">
        <v>0.45833333333333331</v>
      </c>
      <c r="D85">
        <v>-0.1</v>
      </c>
      <c r="E85">
        <f>IF($D85 &gt; 16, 0, $J$3*(16 - $D85))</f>
        <v>3344.7531474812217</v>
      </c>
      <c r="F85">
        <f>IF($D85 &gt; 16, 0,$E85*$J$5)</f>
        <v>36354121.959973402</v>
      </c>
      <c r="G85">
        <f t="shared" si="1"/>
        <v>16.100000000000001</v>
      </c>
    </row>
    <row r="86" spans="2:7" x14ac:dyDescent="0.35">
      <c r="B86" s="1">
        <v>45661</v>
      </c>
      <c r="C86" s="2">
        <v>0.5</v>
      </c>
      <c r="D86">
        <v>0.4</v>
      </c>
      <c r="E86">
        <f>IF($D86 &gt; 16, 0, $J$3*(16 - $D86))</f>
        <v>3240.8788261308728</v>
      </c>
      <c r="F86">
        <f>IF($D86 &gt; 16, 0,$E86*$J$5)</f>
        <v>35225111.961216457</v>
      </c>
      <c r="G86">
        <f t="shared" si="1"/>
        <v>15.6</v>
      </c>
    </row>
    <row r="87" spans="2:7" x14ac:dyDescent="0.35">
      <c r="B87" s="1">
        <v>45661</v>
      </c>
      <c r="C87" s="2">
        <v>0.54166666666666663</v>
      </c>
      <c r="D87">
        <v>0.5</v>
      </c>
      <c r="E87">
        <f>IF($D87 &gt; 16, 0, $J$3*(16 - $D87))</f>
        <v>3220.1039618608033</v>
      </c>
      <c r="F87">
        <f>IF($D87 &gt; 16, 0,$E87*$J$5)</f>
        <v>34999309.961465068</v>
      </c>
      <c r="G87">
        <f t="shared" si="1"/>
        <v>15.5</v>
      </c>
    </row>
    <row r="88" spans="2:7" x14ac:dyDescent="0.35">
      <c r="B88" s="1">
        <v>45661</v>
      </c>
      <c r="C88" s="2">
        <v>0.58333333333333337</v>
      </c>
      <c r="D88">
        <v>0.6</v>
      </c>
      <c r="E88">
        <f>IF($D88 &gt; 16, 0, $J$3*(16 - $D88))</f>
        <v>3199.3290975907339</v>
      </c>
      <c r="F88">
        <f>IF($D88 &gt; 16, 0,$E88*$J$5)</f>
        <v>34773507.961713687</v>
      </c>
      <c r="G88">
        <f t="shared" si="1"/>
        <v>15.4</v>
      </c>
    </row>
    <row r="89" spans="2:7" x14ac:dyDescent="0.35">
      <c r="B89" s="1">
        <v>45661</v>
      </c>
      <c r="C89" s="2">
        <v>0.625</v>
      </c>
      <c r="D89">
        <v>0.7</v>
      </c>
      <c r="E89">
        <f>IF($D89 &gt; 16, 0, $J$3*(16 - $D89))</f>
        <v>3178.554233320664</v>
      </c>
      <c r="F89">
        <f>IF($D89 &gt; 16, 0,$E89*$J$5)</f>
        <v>34547705.961962298</v>
      </c>
      <c r="G89">
        <f t="shared" si="1"/>
        <v>15.3</v>
      </c>
    </row>
    <row r="90" spans="2:7" x14ac:dyDescent="0.35">
      <c r="B90" s="1">
        <v>45661</v>
      </c>
      <c r="C90" s="2">
        <v>0.66666666666666663</v>
      </c>
      <c r="D90">
        <v>0.7</v>
      </c>
      <c r="E90">
        <f>IF($D90 &gt; 16, 0, $J$3*(16 - $D90))</f>
        <v>3178.554233320664</v>
      </c>
      <c r="F90">
        <f>IF($D90 &gt; 16, 0,$E90*$J$5)</f>
        <v>34547705.961962298</v>
      </c>
      <c r="G90">
        <f t="shared" si="1"/>
        <v>15.3</v>
      </c>
    </row>
    <row r="91" spans="2:7" x14ac:dyDescent="0.35">
      <c r="B91" s="1">
        <v>45661</v>
      </c>
      <c r="C91" s="2">
        <v>0.70833333333333337</v>
      </c>
      <c r="D91">
        <v>0.9</v>
      </c>
      <c r="E91">
        <f>IF($D91 &gt; 16, 0, $J$3*(16 - $D91))</f>
        <v>3137.0045047805243</v>
      </c>
      <c r="F91">
        <f>IF($D91 &gt; 16, 0,$E91*$J$5)</f>
        <v>34096101.96245952</v>
      </c>
      <c r="G91">
        <f t="shared" si="1"/>
        <v>15.1</v>
      </c>
    </row>
    <row r="92" spans="2:7" x14ac:dyDescent="0.35">
      <c r="B92" s="1">
        <v>45661</v>
      </c>
      <c r="C92" s="2">
        <v>0.75</v>
      </c>
      <c r="D92">
        <v>1</v>
      </c>
      <c r="E92">
        <f>IF($D92 &gt; 16, 0, $J$3*(16 - $D92))</f>
        <v>3116.2296405104548</v>
      </c>
      <c r="F92">
        <f>IF($D92 &gt; 16, 0,$E92*$J$5)</f>
        <v>33870299.96270813</v>
      </c>
      <c r="G92">
        <f t="shared" si="1"/>
        <v>15</v>
      </c>
    </row>
    <row r="93" spans="2:7" x14ac:dyDescent="0.35">
      <c r="B93" s="1">
        <v>45661</v>
      </c>
      <c r="C93" s="2">
        <v>0.79166666666666663</v>
      </c>
      <c r="D93">
        <v>1.1000000000000001</v>
      </c>
      <c r="E93">
        <f>IF($D93 &gt; 16, 0, $J$3*(16 - $D93))</f>
        <v>3095.4547762403854</v>
      </c>
      <c r="F93">
        <f>IF($D93 &gt; 16, 0,$E93*$J$5)</f>
        <v>33644497.962956749</v>
      </c>
      <c r="G93">
        <f t="shared" si="1"/>
        <v>14.9</v>
      </c>
    </row>
    <row r="94" spans="2:7" x14ac:dyDescent="0.35">
      <c r="B94" s="1">
        <v>45661</v>
      </c>
      <c r="C94" s="2">
        <v>0.83333333333333337</v>
      </c>
      <c r="D94">
        <v>1.1000000000000001</v>
      </c>
      <c r="E94">
        <f>IF($D94 &gt; 16, 0, $J$3*(16 - $D94))</f>
        <v>3095.4547762403854</v>
      </c>
      <c r="F94">
        <f>IF($D94 &gt; 16, 0,$E94*$J$5)</f>
        <v>33644497.962956749</v>
      </c>
      <c r="G94">
        <f t="shared" si="1"/>
        <v>14.9</v>
      </c>
    </row>
    <row r="95" spans="2:7" x14ac:dyDescent="0.35">
      <c r="B95" s="1">
        <v>45661</v>
      </c>
      <c r="C95" s="2">
        <v>0.875</v>
      </c>
      <c r="D95">
        <v>1</v>
      </c>
      <c r="E95">
        <f>IF($D95 &gt; 16, 0, $J$3*(16 - $D95))</f>
        <v>3116.2296405104548</v>
      </c>
      <c r="F95">
        <f>IF($D95 &gt; 16, 0,$E95*$J$5)</f>
        <v>33870299.96270813</v>
      </c>
      <c r="G95">
        <f t="shared" si="1"/>
        <v>15</v>
      </c>
    </row>
    <row r="96" spans="2:7" x14ac:dyDescent="0.35">
      <c r="B96" s="1">
        <v>45661</v>
      </c>
      <c r="C96" s="2">
        <v>0.91666666666666663</v>
      </c>
      <c r="D96">
        <v>1</v>
      </c>
      <c r="E96">
        <f>IF($D96 &gt; 16, 0, $J$3*(16 - $D96))</f>
        <v>3116.2296405104548</v>
      </c>
      <c r="F96">
        <f>IF($D96 &gt; 16, 0,$E96*$J$5)</f>
        <v>33870299.96270813</v>
      </c>
      <c r="G96">
        <f t="shared" si="1"/>
        <v>15</v>
      </c>
    </row>
    <row r="97" spans="2:7" x14ac:dyDescent="0.35">
      <c r="B97" s="1">
        <v>45661</v>
      </c>
      <c r="C97" s="2">
        <v>0.95833333333333337</v>
      </c>
      <c r="D97">
        <v>1</v>
      </c>
      <c r="E97">
        <f>IF($D97 &gt; 16, 0, $J$3*(16 - $D97))</f>
        <v>3116.2296405104548</v>
      </c>
      <c r="F97">
        <f>IF($D97 &gt; 16, 0,$E97*$J$5)</f>
        <v>33870299.96270813</v>
      </c>
      <c r="G97">
        <f t="shared" si="1"/>
        <v>15</v>
      </c>
    </row>
    <row r="98" spans="2:7" x14ac:dyDescent="0.35">
      <c r="B98" s="1">
        <v>45662</v>
      </c>
      <c r="C98" s="2">
        <v>0</v>
      </c>
      <c r="D98">
        <v>1</v>
      </c>
      <c r="E98">
        <f>IF($D98 &gt; 16, 0, $J$3*(16 - $D98))</f>
        <v>3116.2296405104548</v>
      </c>
      <c r="F98">
        <f>IF($D98 &gt; 16, 0,$E98*$J$5)</f>
        <v>33870299.96270813</v>
      </c>
      <c r="G98">
        <f t="shared" si="1"/>
        <v>15</v>
      </c>
    </row>
    <row r="99" spans="2:7" x14ac:dyDescent="0.35">
      <c r="B99" s="1">
        <v>45662</v>
      </c>
      <c r="C99" s="2">
        <v>4.1666666666666657E-2</v>
      </c>
      <c r="D99">
        <v>1.1000000000000001</v>
      </c>
      <c r="E99">
        <f>IF($D99 &gt; 16, 0, $J$3*(16 - $D99))</f>
        <v>3095.4547762403854</v>
      </c>
      <c r="F99">
        <f>IF($D99 &gt; 16, 0,$E99*$J$5)</f>
        <v>33644497.962956749</v>
      </c>
      <c r="G99">
        <f t="shared" si="1"/>
        <v>14.9</v>
      </c>
    </row>
    <row r="100" spans="2:7" x14ac:dyDescent="0.35">
      <c r="B100" s="1">
        <v>45662</v>
      </c>
      <c r="C100" s="2">
        <v>8.3333333333333329E-2</v>
      </c>
      <c r="D100">
        <v>1</v>
      </c>
      <c r="E100">
        <f>IF($D100 &gt; 16, 0, $J$3*(16 - $D100))</f>
        <v>3116.2296405104548</v>
      </c>
      <c r="F100">
        <f>IF($D100 &gt; 16, 0,$E100*$J$5)</f>
        <v>33870299.96270813</v>
      </c>
      <c r="G100">
        <f t="shared" si="1"/>
        <v>15</v>
      </c>
    </row>
    <row r="101" spans="2:7" x14ac:dyDescent="0.35">
      <c r="B101" s="1">
        <v>45662</v>
      </c>
      <c r="C101" s="2">
        <v>0.125</v>
      </c>
      <c r="D101">
        <v>1.1000000000000001</v>
      </c>
      <c r="E101">
        <f>IF($D101 &gt; 16, 0, $J$3*(16 - $D101))</f>
        <v>3095.4547762403854</v>
      </c>
      <c r="F101">
        <f>IF($D101 &gt; 16, 0,$E101*$J$5)</f>
        <v>33644497.962956749</v>
      </c>
      <c r="G101">
        <f t="shared" si="1"/>
        <v>14.9</v>
      </c>
    </row>
    <row r="102" spans="2:7" x14ac:dyDescent="0.35">
      <c r="B102" s="1">
        <v>45662</v>
      </c>
      <c r="C102" s="2">
        <v>0.16666666666666671</v>
      </c>
      <c r="D102">
        <v>0.9</v>
      </c>
      <c r="E102">
        <f>IF($D102 &gt; 16, 0, $J$3*(16 - $D102))</f>
        <v>3137.0045047805243</v>
      </c>
      <c r="F102">
        <f>IF($D102 &gt; 16, 0,$E102*$J$5)</f>
        <v>34096101.96245952</v>
      </c>
      <c r="G102">
        <f t="shared" si="1"/>
        <v>15.1</v>
      </c>
    </row>
    <row r="103" spans="2:7" x14ac:dyDescent="0.35">
      <c r="B103" s="1">
        <v>45662</v>
      </c>
      <c r="C103" s="2">
        <v>0.20833333333333329</v>
      </c>
      <c r="D103">
        <v>0.4</v>
      </c>
      <c r="E103">
        <f>IF($D103 &gt; 16, 0, $J$3*(16 - $D103))</f>
        <v>3240.8788261308728</v>
      </c>
      <c r="F103">
        <f>IF($D103 &gt; 16, 0,$E103*$J$5)</f>
        <v>35225111.961216457</v>
      </c>
      <c r="G103">
        <f t="shared" si="1"/>
        <v>15.6</v>
      </c>
    </row>
    <row r="104" spans="2:7" x14ac:dyDescent="0.35">
      <c r="B104" s="1">
        <v>45662</v>
      </c>
      <c r="C104" s="2">
        <v>0.25</v>
      </c>
      <c r="D104">
        <v>0.1</v>
      </c>
      <c r="E104">
        <f>IF($D104 &gt; 16, 0, $J$3*(16 - $D104))</f>
        <v>3303.2034189410824</v>
      </c>
      <c r="F104">
        <f>IF($D104 &gt; 16, 0,$E104*$J$5)</f>
        <v>35902517.960470624</v>
      </c>
      <c r="G104">
        <f t="shared" si="1"/>
        <v>15.9</v>
      </c>
    </row>
    <row r="105" spans="2:7" x14ac:dyDescent="0.35">
      <c r="B105" s="1">
        <v>45662</v>
      </c>
      <c r="C105" s="2">
        <v>0.29166666666666669</v>
      </c>
      <c r="D105">
        <v>-0.1</v>
      </c>
      <c r="E105">
        <f>IF($D105 &gt; 16, 0, $J$3*(16 - $D105))</f>
        <v>3344.7531474812217</v>
      </c>
      <c r="F105">
        <f>IF($D105 &gt; 16, 0,$E105*$J$5)</f>
        <v>36354121.959973402</v>
      </c>
      <c r="G105">
        <f t="shared" si="1"/>
        <v>16.100000000000001</v>
      </c>
    </row>
    <row r="106" spans="2:7" x14ac:dyDescent="0.35">
      <c r="B106" s="1">
        <v>45662</v>
      </c>
      <c r="C106" s="2">
        <v>0.33333333333333331</v>
      </c>
      <c r="D106">
        <v>-0.1</v>
      </c>
      <c r="E106">
        <f>IF($D106 &gt; 16, 0, $J$3*(16 - $D106))</f>
        <v>3344.7531474812217</v>
      </c>
      <c r="F106">
        <f>IF($D106 &gt; 16, 0,$E106*$J$5)</f>
        <v>36354121.959973402</v>
      </c>
      <c r="G106">
        <f t="shared" si="1"/>
        <v>16.100000000000001</v>
      </c>
    </row>
    <row r="107" spans="2:7" x14ac:dyDescent="0.35">
      <c r="B107" s="1">
        <v>45662</v>
      </c>
      <c r="C107" s="2">
        <v>0.375</v>
      </c>
      <c r="D107">
        <v>0.6</v>
      </c>
      <c r="E107">
        <f>IF($D107 &gt; 16, 0, $J$3*(16 - $D107))</f>
        <v>3199.3290975907339</v>
      </c>
      <c r="F107">
        <f>IF($D107 &gt; 16, 0,$E107*$J$5)</f>
        <v>34773507.961713687</v>
      </c>
      <c r="G107">
        <f t="shared" si="1"/>
        <v>15.4</v>
      </c>
    </row>
    <row r="108" spans="2:7" x14ac:dyDescent="0.35">
      <c r="B108" s="1">
        <v>45662</v>
      </c>
      <c r="C108" s="2">
        <v>0.41666666666666669</v>
      </c>
      <c r="D108">
        <v>0.9</v>
      </c>
      <c r="E108">
        <f>IF($D108 &gt; 16, 0, $J$3*(16 - $D108))</f>
        <v>3137.0045047805243</v>
      </c>
      <c r="F108">
        <f>IF($D108 &gt; 16, 0,$E108*$J$5)</f>
        <v>34096101.96245952</v>
      </c>
      <c r="G108">
        <f t="shared" si="1"/>
        <v>15.1</v>
      </c>
    </row>
    <row r="109" spans="2:7" x14ac:dyDescent="0.35">
      <c r="B109" s="1">
        <v>45662</v>
      </c>
      <c r="C109" s="2">
        <v>0.45833333333333331</v>
      </c>
      <c r="D109">
        <v>0.8</v>
      </c>
      <c r="E109">
        <f>IF($D109 &gt; 16, 0, $J$3*(16 - $D109))</f>
        <v>3157.7793690505941</v>
      </c>
      <c r="F109">
        <f>IF($D109 &gt; 16, 0,$E109*$J$5)</f>
        <v>34321903.962210909</v>
      </c>
      <c r="G109">
        <f t="shared" si="1"/>
        <v>15.2</v>
      </c>
    </row>
    <row r="110" spans="2:7" x14ac:dyDescent="0.35">
      <c r="B110" s="1">
        <v>45662</v>
      </c>
      <c r="C110" s="2">
        <v>0.5</v>
      </c>
      <c r="D110">
        <v>0.6</v>
      </c>
      <c r="E110">
        <f>IF($D110 &gt; 16, 0, $J$3*(16 - $D110))</f>
        <v>3199.3290975907339</v>
      </c>
      <c r="F110">
        <f>IF($D110 &gt; 16, 0,$E110*$J$5)</f>
        <v>34773507.961713687</v>
      </c>
      <c r="G110">
        <f t="shared" si="1"/>
        <v>15.4</v>
      </c>
    </row>
    <row r="111" spans="2:7" x14ac:dyDescent="0.35">
      <c r="B111" s="1">
        <v>45662</v>
      </c>
      <c r="C111" s="2">
        <v>0.54166666666666663</v>
      </c>
      <c r="D111">
        <v>0.8</v>
      </c>
      <c r="E111">
        <f>IF($D111 &gt; 16, 0, $J$3*(16 - $D111))</f>
        <v>3157.7793690505941</v>
      </c>
      <c r="F111">
        <f>IF($D111 &gt; 16, 0,$E111*$J$5)</f>
        <v>34321903.962210909</v>
      </c>
      <c r="G111">
        <f t="shared" si="1"/>
        <v>15.2</v>
      </c>
    </row>
    <row r="112" spans="2:7" x14ac:dyDescent="0.35">
      <c r="B112" s="1">
        <v>45662</v>
      </c>
      <c r="C112" s="2">
        <v>0.58333333333333337</v>
      </c>
      <c r="D112">
        <v>0.3</v>
      </c>
      <c r="E112">
        <f>IF($D112 &gt; 16, 0, $J$3*(16 - $D112))</f>
        <v>3261.6536904009427</v>
      </c>
      <c r="F112">
        <f>IF($D112 &gt; 16, 0,$E112*$J$5)</f>
        <v>35450913.960967846</v>
      </c>
      <c r="G112">
        <f t="shared" si="1"/>
        <v>15.7</v>
      </c>
    </row>
    <row r="113" spans="2:7" x14ac:dyDescent="0.35">
      <c r="B113" s="1">
        <v>45662</v>
      </c>
      <c r="C113" s="2">
        <v>0.625</v>
      </c>
      <c r="D113">
        <v>-0.3</v>
      </c>
      <c r="E113">
        <f>IF($D113 &gt; 16, 0, $J$3*(16 - $D113))</f>
        <v>3386.302876021361</v>
      </c>
      <c r="F113">
        <f>IF($D113 &gt; 16, 0,$E113*$J$5)</f>
        <v>36805725.959476173</v>
      </c>
      <c r="G113">
        <f t="shared" si="1"/>
        <v>16.3</v>
      </c>
    </row>
    <row r="114" spans="2:7" x14ac:dyDescent="0.35">
      <c r="B114" s="1">
        <v>45662</v>
      </c>
      <c r="C114" s="2">
        <v>0.66666666666666663</v>
      </c>
      <c r="D114">
        <v>-0.4</v>
      </c>
      <c r="E114">
        <f>IF($D114 &gt; 16, 0, $J$3*(16 - $D114))</f>
        <v>3407.0777402914305</v>
      </c>
      <c r="F114">
        <f>IF($D114 &gt; 16, 0,$E114*$J$5)</f>
        <v>37031527.959227555</v>
      </c>
      <c r="G114">
        <f t="shared" si="1"/>
        <v>16.399999999999999</v>
      </c>
    </row>
    <row r="115" spans="2:7" x14ac:dyDescent="0.35">
      <c r="B115" s="1">
        <v>45662</v>
      </c>
      <c r="C115" s="2">
        <v>0.70833333333333337</v>
      </c>
      <c r="D115">
        <v>-0.3</v>
      </c>
      <c r="E115">
        <f>IF($D115 &gt; 16, 0, $J$3*(16 - $D115))</f>
        <v>3386.302876021361</v>
      </c>
      <c r="F115">
        <f>IF($D115 &gt; 16, 0,$E115*$J$5)</f>
        <v>36805725.959476173</v>
      </c>
      <c r="G115">
        <f t="shared" si="1"/>
        <v>16.3</v>
      </c>
    </row>
    <row r="116" spans="2:7" x14ac:dyDescent="0.35">
      <c r="B116" s="1">
        <v>45662</v>
      </c>
      <c r="C116" s="2">
        <v>0.75</v>
      </c>
      <c r="D116">
        <v>-0.1</v>
      </c>
      <c r="E116">
        <f>IF($D116 &gt; 16, 0, $J$3*(16 - $D116))</f>
        <v>3344.7531474812217</v>
      </c>
      <c r="F116">
        <f>IF($D116 &gt; 16, 0,$E116*$J$5)</f>
        <v>36354121.959973402</v>
      </c>
      <c r="G116">
        <f t="shared" si="1"/>
        <v>16.100000000000001</v>
      </c>
    </row>
    <row r="117" spans="2:7" x14ac:dyDescent="0.35">
      <c r="B117" s="1">
        <v>45662</v>
      </c>
      <c r="C117" s="2">
        <v>0.79166666666666663</v>
      </c>
      <c r="D117">
        <v>0</v>
      </c>
      <c r="E117">
        <f>IF($D117 &gt; 16, 0, $J$3*(16 - $D117))</f>
        <v>3323.9782832111518</v>
      </c>
      <c r="F117">
        <f>IF($D117 &gt; 16, 0,$E117*$J$5)</f>
        <v>36128319.960222006</v>
      </c>
      <c r="G117">
        <f t="shared" si="1"/>
        <v>16</v>
      </c>
    </row>
    <row r="118" spans="2:7" x14ac:dyDescent="0.35">
      <c r="B118" s="1">
        <v>45662</v>
      </c>
      <c r="C118" s="2">
        <v>0.83333333333333337</v>
      </c>
      <c r="D118">
        <v>0.1</v>
      </c>
      <c r="E118">
        <f>IF($D118 &gt; 16, 0, $J$3*(16 - $D118))</f>
        <v>3303.2034189410824</v>
      </c>
      <c r="F118">
        <f>IF($D118 &gt; 16, 0,$E118*$J$5)</f>
        <v>35902517.960470624</v>
      </c>
      <c r="G118">
        <f t="shared" si="1"/>
        <v>15.9</v>
      </c>
    </row>
    <row r="119" spans="2:7" x14ac:dyDescent="0.35">
      <c r="B119" s="1">
        <v>45662</v>
      </c>
      <c r="C119" s="2">
        <v>0.875</v>
      </c>
      <c r="D119">
        <v>0.2</v>
      </c>
      <c r="E119">
        <f>IF($D119 &gt; 16, 0, $J$3*(16 - $D119))</f>
        <v>3282.4285546710125</v>
      </c>
      <c r="F119">
        <f>IF($D119 &gt; 16, 0,$E119*$J$5)</f>
        <v>35676715.960719235</v>
      </c>
      <c r="G119">
        <f t="shared" si="1"/>
        <v>15.8</v>
      </c>
    </row>
    <row r="120" spans="2:7" x14ac:dyDescent="0.35">
      <c r="B120" s="1">
        <v>45662</v>
      </c>
      <c r="C120" s="2">
        <v>0.91666666666666663</v>
      </c>
      <c r="D120">
        <v>0.4</v>
      </c>
      <c r="E120">
        <f>IF($D120 &gt; 16, 0, $J$3*(16 - $D120))</f>
        <v>3240.8788261308728</v>
      </c>
      <c r="F120">
        <f>IF($D120 &gt; 16, 0,$E120*$J$5)</f>
        <v>35225111.961216457</v>
      </c>
      <c r="G120">
        <f t="shared" si="1"/>
        <v>15.6</v>
      </c>
    </row>
    <row r="121" spans="2:7" x14ac:dyDescent="0.35">
      <c r="B121" s="1">
        <v>45662</v>
      </c>
      <c r="C121" s="2">
        <v>0.95833333333333337</v>
      </c>
      <c r="D121">
        <v>0.8</v>
      </c>
      <c r="E121">
        <f>IF($D121 &gt; 16, 0, $J$3*(16 - $D121))</f>
        <v>3157.7793690505941</v>
      </c>
      <c r="F121">
        <f>IF($D121 &gt; 16, 0,$E121*$J$5)</f>
        <v>34321903.962210909</v>
      </c>
      <c r="G121">
        <f t="shared" si="1"/>
        <v>15.2</v>
      </c>
    </row>
    <row r="122" spans="2:7" x14ac:dyDescent="0.35">
      <c r="B122" s="1">
        <v>45663</v>
      </c>
      <c r="C122" s="2">
        <v>0</v>
      </c>
      <c r="D122">
        <v>1.2</v>
      </c>
      <c r="E122">
        <f>IF($D122 &gt; 16, 0, $J$3*(16 - $D122))</f>
        <v>3074.6799119703155</v>
      </c>
      <c r="F122">
        <f>IF($D122 &gt; 16, 0,$E122*$J$5)</f>
        <v>33418695.96320536</v>
      </c>
      <c r="G122">
        <f t="shared" si="1"/>
        <v>14.8</v>
      </c>
    </row>
    <row r="123" spans="2:7" x14ac:dyDescent="0.35">
      <c r="B123" s="1">
        <v>45663</v>
      </c>
      <c r="C123" s="2">
        <v>4.1666666666666657E-2</v>
      </c>
      <c r="D123">
        <v>2.2999999999999998</v>
      </c>
      <c r="E123">
        <f>IF($D123 &gt; 16, 0, $J$3*(16 - $D123))</f>
        <v>2846.1564049995486</v>
      </c>
      <c r="F123">
        <f>IF($D123 &gt; 16, 0,$E123*$J$5)</f>
        <v>30934873.965940095</v>
      </c>
      <c r="G123">
        <f t="shared" si="1"/>
        <v>13.7</v>
      </c>
    </row>
    <row r="124" spans="2:7" x14ac:dyDescent="0.35">
      <c r="B124" s="1">
        <v>45663</v>
      </c>
      <c r="C124" s="2">
        <v>8.3333333333333329E-2</v>
      </c>
      <c r="D124">
        <v>3.1</v>
      </c>
      <c r="E124">
        <f>IF($D124 &gt; 16, 0, $J$3*(16 - $D124))</f>
        <v>2679.9574908389914</v>
      </c>
      <c r="F124">
        <f>IF($D124 &gt; 16, 0,$E124*$J$5)</f>
        <v>29128457.967928998</v>
      </c>
      <c r="G124">
        <f t="shared" si="1"/>
        <v>12.9</v>
      </c>
    </row>
    <row r="125" spans="2:7" x14ac:dyDescent="0.35">
      <c r="B125" s="1">
        <v>45663</v>
      </c>
      <c r="C125" s="2">
        <v>0.125</v>
      </c>
      <c r="D125">
        <v>4.2</v>
      </c>
      <c r="E125">
        <f>IF($D125 &gt; 16, 0, $J$3*(16 - $D125))</f>
        <v>2451.4339838682245</v>
      </c>
      <c r="F125">
        <f>IF($D125 &gt; 16, 0,$E125*$J$5)</f>
        <v>26644635.97066373</v>
      </c>
      <c r="G125">
        <f t="shared" si="1"/>
        <v>11.8</v>
      </c>
    </row>
    <row r="126" spans="2:7" x14ac:dyDescent="0.35">
      <c r="B126" s="1">
        <v>45663</v>
      </c>
      <c r="C126" s="2">
        <v>0.16666666666666671</v>
      </c>
      <c r="D126">
        <v>7.2</v>
      </c>
      <c r="E126">
        <f>IF($D126 &gt; 16, 0, $J$3*(16 - $D126))</f>
        <v>1828.1880557661336</v>
      </c>
      <c r="F126">
        <f>IF($D126 &gt; 16, 0,$E126*$J$5)</f>
        <v>19870575.978122108</v>
      </c>
      <c r="G126">
        <f t="shared" si="1"/>
        <v>8.8000000000000007</v>
      </c>
    </row>
    <row r="127" spans="2:7" x14ac:dyDescent="0.35">
      <c r="B127" s="1">
        <v>45663</v>
      </c>
      <c r="C127" s="2">
        <v>0.20833333333333329</v>
      </c>
      <c r="D127">
        <v>9</v>
      </c>
      <c r="E127">
        <f>IF($D127 &gt; 16, 0, $J$3*(16 - $D127))</f>
        <v>1454.2404989048789</v>
      </c>
      <c r="F127">
        <f>IF($D127 &gt; 16, 0,$E127*$J$5)</f>
        <v>15806139.982597129</v>
      </c>
      <c r="G127">
        <f t="shared" si="1"/>
        <v>7</v>
      </c>
    </row>
    <row r="128" spans="2:7" x14ac:dyDescent="0.35">
      <c r="B128" s="1">
        <v>45663</v>
      </c>
      <c r="C128" s="2">
        <v>0.25</v>
      </c>
      <c r="D128">
        <v>10.199999999999999</v>
      </c>
      <c r="E128">
        <f>IF($D128 &gt; 16, 0, $J$3*(16 - $D128))</f>
        <v>1204.9421276640428</v>
      </c>
      <c r="F128">
        <f>IF($D128 &gt; 16, 0,$E128*$J$5)</f>
        <v>13096515.985580482</v>
      </c>
      <c r="G128">
        <f t="shared" si="1"/>
        <v>5.8000000000000007</v>
      </c>
    </row>
    <row r="129" spans="2:7" x14ac:dyDescent="0.35">
      <c r="B129" s="1">
        <v>45663</v>
      </c>
      <c r="C129" s="2">
        <v>0.29166666666666669</v>
      </c>
      <c r="D129">
        <v>10.4</v>
      </c>
      <c r="E129">
        <f>IF($D129 &gt; 16, 0, $J$3*(16 - $D129))</f>
        <v>1163.392399123903</v>
      </c>
      <c r="F129">
        <f>IF($D129 &gt; 16, 0,$E129*$J$5)</f>
        <v>12644911.986077702</v>
      </c>
      <c r="G129">
        <f t="shared" si="1"/>
        <v>5.6</v>
      </c>
    </row>
    <row r="130" spans="2:7" x14ac:dyDescent="0.35">
      <c r="B130" s="1">
        <v>45663</v>
      </c>
      <c r="C130" s="2">
        <v>0.33333333333333331</v>
      </c>
      <c r="D130">
        <v>10.6</v>
      </c>
      <c r="E130">
        <f>IF($D130 &gt; 16, 0, $J$3*(16 - $D130))</f>
        <v>1121.8426705837637</v>
      </c>
      <c r="F130">
        <f>IF($D130 &gt; 16, 0,$E130*$J$5)</f>
        <v>12193307.986574927</v>
      </c>
      <c r="G130">
        <f t="shared" si="1"/>
        <v>5.4</v>
      </c>
    </row>
    <row r="131" spans="2:7" x14ac:dyDescent="0.35">
      <c r="B131" s="1">
        <v>45663</v>
      </c>
      <c r="C131" s="2">
        <v>0.375</v>
      </c>
      <c r="D131">
        <v>10.4</v>
      </c>
      <c r="E131">
        <f>IF($D131 &gt; 16, 0, $J$3*(16 - $D131))</f>
        <v>1163.392399123903</v>
      </c>
      <c r="F131">
        <f>IF($D131 &gt; 16, 0,$E131*$J$5)</f>
        <v>12644911.986077702</v>
      </c>
      <c r="G131">
        <f t="shared" ref="G131:G194" si="2">MAX(0, 16 - $D131)</f>
        <v>5.6</v>
      </c>
    </row>
    <row r="132" spans="2:7" x14ac:dyDescent="0.35">
      <c r="B132" s="1">
        <v>45663</v>
      </c>
      <c r="C132" s="2">
        <v>0.41666666666666669</v>
      </c>
      <c r="D132">
        <v>10.7</v>
      </c>
      <c r="E132">
        <f>IF($D132 &gt; 16, 0, $J$3*(16 - $D132))</f>
        <v>1101.0678063136943</v>
      </c>
      <c r="F132">
        <f>IF($D132 &gt; 16, 0,$E132*$J$5)</f>
        <v>11967505.986823544</v>
      </c>
      <c r="G132">
        <f t="shared" si="2"/>
        <v>5.3000000000000007</v>
      </c>
    </row>
    <row r="133" spans="2:7" x14ac:dyDescent="0.35">
      <c r="B133" s="1">
        <v>45663</v>
      </c>
      <c r="C133" s="2">
        <v>0.45833333333333331</v>
      </c>
      <c r="D133">
        <v>10.4</v>
      </c>
      <c r="E133">
        <f>IF($D133 &gt; 16, 0, $J$3*(16 - $D133))</f>
        <v>1163.392399123903</v>
      </c>
      <c r="F133">
        <f>IF($D133 &gt; 16, 0,$E133*$J$5)</f>
        <v>12644911.986077702</v>
      </c>
      <c r="G133">
        <f t="shared" si="2"/>
        <v>5.6</v>
      </c>
    </row>
    <row r="134" spans="2:7" x14ac:dyDescent="0.35">
      <c r="B134" s="1">
        <v>45663</v>
      </c>
      <c r="C134" s="2">
        <v>0.5</v>
      </c>
      <c r="D134">
        <v>10.5</v>
      </c>
      <c r="E134">
        <f>IF($D134 &gt; 16, 0, $J$3*(16 - $D134))</f>
        <v>1142.6175348538334</v>
      </c>
      <c r="F134">
        <f>IF($D134 &gt; 16, 0,$E134*$J$5)</f>
        <v>12419109.986326315</v>
      </c>
      <c r="G134">
        <f t="shared" si="2"/>
        <v>5.5</v>
      </c>
    </row>
    <row r="135" spans="2:7" x14ac:dyDescent="0.35">
      <c r="B135" s="1">
        <v>45663</v>
      </c>
      <c r="C135" s="2">
        <v>0.54166666666666663</v>
      </c>
      <c r="D135">
        <v>10.5</v>
      </c>
      <c r="E135">
        <f>IF($D135 &gt; 16, 0, $J$3*(16 - $D135))</f>
        <v>1142.6175348538334</v>
      </c>
      <c r="F135">
        <f>IF($D135 &gt; 16, 0,$E135*$J$5)</f>
        <v>12419109.986326315</v>
      </c>
      <c r="G135">
        <f t="shared" si="2"/>
        <v>5.5</v>
      </c>
    </row>
    <row r="136" spans="2:7" x14ac:dyDescent="0.35">
      <c r="B136" s="1">
        <v>45663</v>
      </c>
      <c r="C136" s="2">
        <v>0.58333333333333337</v>
      </c>
      <c r="D136">
        <v>10.6</v>
      </c>
      <c r="E136">
        <f>IF($D136 &gt; 16, 0, $J$3*(16 - $D136))</f>
        <v>1121.8426705837637</v>
      </c>
      <c r="F136">
        <f>IF($D136 &gt; 16, 0,$E136*$J$5)</f>
        <v>12193307.986574927</v>
      </c>
      <c r="G136">
        <f t="shared" si="2"/>
        <v>5.4</v>
      </c>
    </row>
    <row r="137" spans="2:7" x14ac:dyDescent="0.35">
      <c r="B137" s="1">
        <v>45663</v>
      </c>
      <c r="C137" s="2">
        <v>0.625</v>
      </c>
      <c r="D137">
        <v>10.3</v>
      </c>
      <c r="E137">
        <f>IF($D137 &gt; 16, 0, $J$3*(16 - $D137))</f>
        <v>1184.1672633939727</v>
      </c>
      <c r="F137">
        <f>IF($D137 &gt; 16, 0,$E137*$J$5)</f>
        <v>12870713.985829089</v>
      </c>
      <c r="G137">
        <f t="shared" si="2"/>
        <v>5.6999999999999993</v>
      </c>
    </row>
    <row r="138" spans="2:7" x14ac:dyDescent="0.35">
      <c r="B138" s="1">
        <v>45663</v>
      </c>
      <c r="C138" s="2">
        <v>0.66666666666666663</v>
      </c>
      <c r="D138">
        <v>10.4</v>
      </c>
      <c r="E138">
        <f>IF($D138 &gt; 16, 0, $J$3*(16 - $D138))</f>
        <v>1163.392399123903</v>
      </c>
      <c r="F138">
        <f>IF($D138 &gt; 16, 0,$E138*$J$5)</f>
        <v>12644911.986077702</v>
      </c>
      <c r="G138">
        <f t="shared" si="2"/>
        <v>5.6</v>
      </c>
    </row>
    <row r="139" spans="2:7" x14ac:dyDescent="0.35">
      <c r="B139" s="1">
        <v>45663</v>
      </c>
      <c r="C139" s="2">
        <v>0.70833333333333337</v>
      </c>
      <c r="D139">
        <v>11.2</v>
      </c>
      <c r="E139">
        <f>IF($D139 &gt; 16, 0, $J$3*(16 - $D139))</f>
        <v>997.19348496334567</v>
      </c>
      <c r="F139">
        <f>IF($D139 &gt; 16, 0,$E139*$J$5)</f>
        <v>10838495.988066604</v>
      </c>
      <c r="G139">
        <f t="shared" si="2"/>
        <v>4.8000000000000007</v>
      </c>
    </row>
    <row r="140" spans="2:7" x14ac:dyDescent="0.35">
      <c r="B140" s="1">
        <v>45663</v>
      </c>
      <c r="C140" s="2">
        <v>0.75</v>
      </c>
      <c r="D140">
        <v>9.1999999999999993</v>
      </c>
      <c r="E140">
        <f>IF($D140 &gt; 16, 0, $J$3*(16 - $D140))</f>
        <v>1412.6907703647396</v>
      </c>
      <c r="F140">
        <f>IF($D140 &gt; 16, 0,$E140*$J$5)</f>
        <v>15354535.983094355</v>
      </c>
      <c r="G140">
        <f t="shared" si="2"/>
        <v>6.8000000000000007</v>
      </c>
    </row>
    <row r="141" spans="2:7" x14ac:dyDescent="0.35">
      <c r="B141" s="1">
        <v>45663</v>
      </c>
      <c r="C141" s="2">
        <v>0.79166666666666663</v>
      </c>
      <c r="D141">
        <v>8.1999999999999993</v>
      </c>
      <c r="E141">
        <f>IF($D141 &gt; 16, 0, $J$3*(16 - $D141))</f>
        <v>1620.4394130654366</v>
      </c>
      <c r="F141">
        <f>IF($D141 &gt; 16, 0,$E141*$J$5)</f>
        <v>17612555.980608232</v>
      </c>
      <c r="G141">
        <f t="shared" si="2"/>
        <v>7.8000000000000007</v>
      </c>
    </row>
    <row r="142" spans="2:7" x14ac:dyDescent="0.35">
      <c r="B142" s="1">
        <v>45663</v>
      </c>
      <c r="C142" s="2">
        <v>0.83333333333333337</v>
      </c>
      <c r="D142">
        <v>7.2</v>
      </c>
      <c r="E142">
        <f>IF($D142 &gt; 16, 0, $J$3*(16 - $D142))</f>
        <v>1828.1880557661336</v>
      </c>
      <c r="F142">
        <f>IF($D142 &gt; 16, 0,$E142*$J$5)</f>
        <v>19870575.978122108</v>
      </c>
      <c r="G142">
        <f t="shared" si="2"/>
        <v>8.8000000000000007</v>
      </c>
    </row>
    <row r="143" spans="2:7" x14ac:dyDescent="0.35">
      <c r="B143" s="1">
        <v>45663</v>
      </c>
      <c r="C143" s="2">
        <v>0.875</v>
      </c>
      <c r="D143">
        <v>6.7</v>
      </c>
      <c r="E143">
        <f>IF($D143 &gt; 16, 0, $J$3*(16 - $D143))</f>
        <v>1932.0623771164821</v>
      </c>
      <c r="F143">
        <f>IF($D143 &gt; 16, 0,$E143*$J$5)</f>
        <v>20999585.976879045</v>
      </c>
      <c r="G143">
        <f t="shared" si="2"/>
        <v>9.3000000000000007</v>
      </c>
    </row>
    <row r="144" spans="2:7" x14ac:dyDescent="0.35">
      <c r="B144" s="1">
        <v>45663</v>
      </c>
      <c r="C144" s="2">
        <v>0.91666666666666663</v>
      </c>
      <c r="D144">
        <v>6</v>
      </c>
      <c r="E144">
        <f>IF($D144 &gt; 16, 0, $J$3*(16 - $D144))</f>
        <v>2077.4864270069697</v>
      </c>
      <c r="F144">
        <f>IF($D144 &gt; 16, 0,$E144*$J$5)</f>
        <v>22580199.975138754</v>
      </c>
      <c r="G144">
        <f t="shared" si="2"/>
        <v>10</v>
      </c>
    </row>
    <row r="145" spans="2:7" x14ac:dyDescent="0.35">
      <c r="B145" s="1">
        <v>45663</v>
      </c>
      <c r="C145" s="2">
        <v>0.95833333333333337</v>
      </c>
      <c r="D145">
        <v>5.9</v>
      </c>
      <c r="E145">
        <f>IF($D145 &gt; 16, 0, $J$3*(16 - $D145))</f>
        <v>2098.2612912770396</v>
      </c>
      <c r="F145">
        <f>IF($D145 &gt; 16, 0,$E145*$J$5)</f>
        <v>22806001.974890143</v>
      </c>
      <c r="G145">
        <f t="shared" si="2"/>
        <v>10.1</v>
      </c>
    </row>
    <row r="146" spans="2:7" x14ac:dyDescent="0.35">
      <c r="B146" s="1">
        <v>45664</v>
      </c>
      <c r="C146" s="2">
        <v>0</v>
      </c>
      <c r="D146">
        <v>5.3</v>
      </c>
      <c r="E146">
        <f>IF($D146 &gt; 16, 0, $J$3*(16 - $D146))</f>
        <v>2222.9104768974576</v>
      </c>
      <c r="F146">
        <f>IF($D146 &gt; 16, 0,$E146*$J$5)</f>
        <v>24160813.973398466</v>
      </c>
      <c r="G146">
        <f t="shared" si="2"/>
        <v>10.7</v>
      </c>
    </row>
    <row r="147" spans="2:7" x14ac:dyDescent="0.35">
      <c r="B147" s="1">
        <v>45664</v>
      </c>
      <c r="C147" s="2">
        <v>4.1666666666666657E-2</v>
      </c>
      <c r="D147">
        <v>5.3</v>
      </c>
      <c r="E147">
        <f>IF($D147 &gt; 16, 0, $J$3*(16 - $D147))</f>
        <v>2222.9104768974576</v>
      </c>
      <c r="F147">
        <f>IF($D147 &gt; 16, 0,$E147*$J$5)</f>
        <v>24160813.973398466</v>
      </c>
      <c r="G147">
        <f t="shared" si="2"/>
        <v>10.7</v>
      </c>
    </row>
    <row r="148" spans="2:7" x14ac:dyDescent="0.35">
      <c r="B148" s="1">
        <v>45664</v>
      </c>
      <c r="C148" s="2">
        <v>8.3333333333333329E-2</v>
      </c>
      <c r="D148">
        <v>4.8</v>
      </c>
      <c r="E148">
        <f>IF($D148 &gt; 16, 0, $J$3*(16 - $D148))</f>
        <v>2326.7847982478061</v>
      </c>
      <c r="F148">
        <f>IF($D148 &gt; 16, 0,$E148*$J$5)</f>
        <v>25289823.972155403</v>
      </c>
      <c r="G148">
        <f t="shared" si="2"/>
        <v>11.2</v>
      </c>
    </row>
    <row r="149" spans="2:7" x14ac:dyDescent="0.35">
      <c r="B149" s="1">
        <v>45664</v>
      </c>
      <c r="C149" s="2">
        <v>0.125</v>
      </c>
      <c r="D149">
        <v>4.5999999999999996</v>
      </c>
      <c r="E149">
        <f>IF($D149 &gt; 16, 0, $J$3*(16 - $D149))</f>
        <v>2368.3345267879458</v>
      </c>
      <c r="F149">
        <f>IF($D149 &gt; 16, 0,$E149*$J$5)</f>
        <v>25741427.971658185</v>
      </c>
      <c r="G149">
        <f t="shared" si="2"/>
        <v>11.4</v>
      </c>
    </row>
    <row r="150" spans="2:7" x14ac:dyDescent="0.35">
      <c r="B150" s="1">
        <v>45664</v>
      </c>
      <c r="C150" s="2">
        <v>0.16666666666666671</v>
      </c>
      <c r="D150">
        <v>5.2</v>
      </c>
      <c r="E150">
        <f>IF($D150 &gt; 16, 0, $J$3*(16 - $D150))</f>
        <v>2243.6853411675274</v>
      </c>
      <c r="F150">
        <f>IF($D150 &gt; 16, 0,$E150*$J$5)</f>
        <v>24386615.973149855</v>
      </c>
      <c r="G150">
        <f t="shared" si="2"/>
        <v>10.8</v>
      </c>
    </row>
    <row r="151" spans="2:7" x14ac:dyDescent="0.35">
      <c r="B151" s="1">
        <v>45664</v>
      </c>
      <c r="C151" s="2">
        <v>0.20833333333333329</v>
      </c>
      <c r="D151">
        <v>5</v>
      </c>
      <c r="E151">
        <f>IF($D151 &gt; 16, 0, $J$3*(16 - $D151))</f>
        <v>2285.2350697076668</v>
      </c>
      <c r="F151">
        <f>IF($D151 &gt; 16, 0,$E151*$J$5)</f>
        <v>24838219.972652629</v>
      </c>
      <c r="G151">
        <f t="shared" si="2"/>
        <v>11</v>
      </c>
    </row>
    <row r="152" spans="2:7" x14ac:dyDescent="0.35">
      <c r="B152" s="1">
        <v>45664</v>
      </c>
      <c r="C152" s="2">
        <v>0.25</v>
      </c>
      <c r="D152">
        <v>5</v>
      </c>
      <c r="E152">
        <f>IF($D152 &gt; 16, 0, $J$3*(16 - $D152))</f>
        <v>2285.2350697076668</v>
      </c>
      <c r="F152">
        <f>IF($D152 &gt; 16, 0,$E152*$J$5)</f>
        <v>24838219.972652629</v>
      </c>
      <c r="G152">
        <f t="shared" si="2"/>
        <v>11</v>
      </c>
    </row>
    <row r="153" spans="2:7" x14ac:dyDescent="0.35">
      <c r="B153" s="1">
        <v>45664</v>
      </c>
      <c r="C153" s="2">
        <v>0.29166666666666669</v>
      </c>
      <c r="D153">
        <v>4.8</v>
      </c>
      <c r="E153">
        <f>IF($D153 &gt; 16, 0, $J$3*(16 - $D153))</f>
        <v>2326.7847982478061</v>
      </c>
      <c r="F153">
        <f>IF($D153 &gt; 16, 0,$E153*$J$5)</f>
        <v>25289823.972155403</v>
      </c>
      <c r="G153">
        <f t="shared" si="2"/>
        <v>11.2</v>
      </c>
    </row>
    <row r="154" spans="2:7" x14ac:dyDescent="0.35">
      <c r="B154" s="1">
        <v>45664</v>
      </c>
      <c r="C154" s="2">
        <v>0.33333333333333331</v>
      </c>
      <c r="D154">
        <v>4.3</v>
      </c>
      <c r="E154">
        <f>IF($D154 &gt; 16, 0, $J$3*(16 - $D154))</f>
        <v>2430.6591195981546</v>
      </c>
      <c r="F154">
        <f>IF($D154 &gt; 16, 0,$E154*$J$5)</f>
        <v>26418833.970912341</v>
      </c>
      <c r="G154">
        <f t="shared" si="2"/>
        <v>11.7</v>
      </c>
    </row>
    <row r="155" spans="2:7" x14ac:dyDescent="0.35">
      <c r="B155" s="1">
        <v>45664</v>
      </c>
      <c r="C155" s="2">
        <v>0.375</v>
      </c>
      <c r="D155">
        <v>4.5</v>
      </c>
      <c r="E155">
        <f>IF($D155 &gt; 16, 0, $J$3*(16 - $D155))</f>
        <v>2389.1093910580153</v>
      </c>
      <c r="F155">
        <f>IF($D155 &gt; 16, 0,$E155*$J$5)</f>
        <v>25967229.971409567</v>
      </c>
      <c r="G155">
        <f t="shared" si="2"/>
        <v>11.5</v>
      </c>
    </row>
    <row r="156" spans="2:7" x14ac:dyDescent="0.35">
      <c r="B156" s="1">
        <v>45664</v>
      </c>
      <c r="C156" s="2">
        <v>0.41666666666666669</v>
      </c>
      <c r="D156">
        <v>4.7</v>
      </c>
      <c r="E156">
        <f>IF($D156 &gt; 16, 0, $J$3*(16 - $D156))</f>
        <v>2347.5596625178759</v>
      </c>
      <c r="F156">
        <f>IF($D156 &gt; 16, 0,$E156*$J$5)</f>
        <v>25515625.971906792</v>
      </c>
      <c r="G156">
        <f t="shared" si="2"/>
        <v>11.3</v>
      </c>
    </row>
    <row r="157" spans="2:7" x14ac:dyDescent="0.35">
      <c r="B157" s="1">
        <v>45664</v>
      </c>
      <c r="C157" s="2">
        <v>0.45833333333333331</v>
      </c>
      <c r="D157">
        <v>4.9000000000000004</v>
      </c>
      <c r="E157">
        <f>IF($D157 &gt; 16, 0, $J$3*(16 - $D157))</f>
        <v>2306.0099339777366</v>
      </c>
      <c r="F157">
        <f>IF($D157 &gt; 16, 0,$E157*$J$5)</f>
        <v>25064021.972404018</v>
      </c>
      <c r="G157">
        <f t="shared" si="2"/>
        <v>11.1</v>
      </c>
    </row>
    <row r="158" spans="2:7" x14ac:dyDescent="0.35">
      <c r="B158" s="1">
        <v>45664</v>
      </c>
      <c r="C158" s="2">
        <v>0.5</v>
      </c>
      <c r="D158">
        <v>5</v>
      </c>
      <c r="E158">
        <f>IF($D158 &gt; 16, 0, $J$3*(16 - $D158))</f>
        <v>2285.2350697076668</v>
      </c>
      <c r="F158">
        <f>IF($D158 &gt; 16, 0,$E158*$J$5)</f>
        <v>24838219.972652629</v>
      </c>
      <c r="G158">
        <f t="shared" si="2"/>
        <v>11</v>
      </c>
    </row>
    <row r="159" spans="2:7" x14ac:dyDescent="0.35">
      <c r="B159" s="1">
        <v>45664</v>
      </c>
      <c r="C159" s="2">
        <v>0.54166666666666663</v>
      </c>
      <c r="D159">
        <v>5.2</v>
      </c>
      <c r="E159">
        <f>IF($D159 &gt; 16, 0, $J$3*(16 - $D159))</f>
        <v>2243.6853411675274</v>
      </c>
      <c r="F159">
        <f>IF($D159 &gt; 16, 0,$E159*$J$5)</f>
        <v>24386615.973149855</v>
      </c>
      <c r="G159">
        <f t="shared" si="2"/>
        <v>10.8</v>
      </c>
    </row>
    <row r="160" spans="2:7" x14ac:dyDescent="0.35">
      <c r="B160" s="1">
        <v>45664</v>
      </c>
      <c r="C160" s="2">
        <v>0.58333333333333337</v>
      </c>
      <c r="D160">
        <v>5</v>
      </c>
      <c r="E160">
        <f>IF($D160 &gt; 16, 0, $J$3*(16 - $D160))</f>
        <v>2285.2350697076668</v>
      </c>
      <c r="F160">
        <f>IF($D160 &gt; 16, 0,$E160*$J$5)</f>
        <v>24838219.972652629</v>
      </c>
      <c r="G160">
        <f t="shared" si="2"/>
        <v>11</v>
      </c>
    </row>
    <row r="161" spans="2:7" x14ac:dyDescent="0.35">
      <c r="B161" s="1">
        <v>45664</v>
      </c>
      <c r="C161" s="2">
        <v>0.625</v>
      </c>
      <c r="D161">
        <v>4.5999999999999996</v>
      </c>
      <c r="E161">
        <f>IF($D161 &gt; 16, 0, $J$3*(16 - $D161))</f>
        <v>2368.3345267879458</v>
      </c>
      <c r="F161">
        <f>IF($D161 &gt; 16, 0,$E161*$J$5)</f>
        <v>25741427.971658185</v>
      </c>
      <c r="G161">
        <f t="shared" si="2"/>
        <v>11.4</v>
      </c>
    </row>
    <row r="162" spans="2:7" x14ac:dyDescent="0.35">
      <c r="B162" s="1">
        <v>45664</v>
      </c>
      <c r="C162" s="2">
        <v>0.66666666666666663</v>
      </c>
      <c r="D162">
        <v>2.1</v>
      </c>
      <c r="E162">
        <f>IF($D162 &gt; 16, 0, $J$3*(16 - $D162))</f>
        <v>2887.7061335396884</v>
      </c>
      <c r="F162">
        <f>IF($D162 &gt; 16, 0,$E162*$J$5)</f>
        <v>31386477.965442874</v>
      </c>
      <c r="G162">
        <f t="shared" si="2"/>
        <v>13.9</v>
      </c>
    </row>
    <row r="163" spans="2:7" x14ac:dyDescent="0.35">
      <c r="B163" s="1">
        <v>45664</v>
      </c>
      <c r="C163" s="2">
        <v>0.70833333333333337</v>
      </c>
      <c r="D163">
        <v>3.3</v>
      </c>
      <c r="E163">
        <f>IF($D163 &gt; 16, 0, $J$3*(16 - $D163))</f>
        <v>2638.4077622988516</v>
      </c>
      <c r="F163">
        <f>IF($D163 &gt; 16, 0,$E163*$J$5)</f>
        <v>28676853.968426216</v>
      </c>
      <c r="G163">
        <f t="shared" si="2"/>
        <v>12.7</v>
      </c>
    </row>
    <row r="164" spans="2:7" x14ac:dyDescent="0.35">
      <c r="B164" s="1">
        <v>45664</v>
      </c>
      <c r="C164" s="2">
        <v>0.75</v>
      </c>
      <c r="D164">
        <v>2.9</v>
      </c>
      <c r="E164">
        <f>IF($D164 &gt; 16, 0, $J$3*(16 - $D164))</f>
        <v>2721.5072193791307</v>
      </c>
      <c r="F164">
        <f>IF($D164 &gt; 16, 0,$E164*$J$5)</f>
        <v>29580061.967431773</v>
      </c>
      <c r="G164">
        <f t="shared" si="2"/>
        <v>13.1</v>
      </c>
    </row>
    <row r="165" spans="2:7" x14ac:dyDescent="0.35">
      <c r="B165" s="1">
        <v>45664</v>
      </c>
      <c r="C165" s="2">
        <v>0.79166666666666663</v>
      </c>
      <c r="D165">
        <v>2.5</v>
      </c>
      <c r="E165">
        <f>IF($D165 &gt; 16, 0, $J$3*(16 - $D165))</f>
        <v>2804.6066764594093</v>
      </c>
      <c r="F165">
        <f>IF($D165 &gt; 16, 0,$E165*$J$5)</f>
        <v>30483269.966437321</v>
      </c>
      <c r="G165">
        <f t="shared" si="2"/>
        <v>13.5</v>
      </c>
    </row>
    <row r="166" spans="2:7" x14ac:dyDescent="0.35">
      <c r="B166" s="1">
        <v>45664</v>
      </c>
      <c r="C166" s="2">
        <v>0.83333333333333337</v>
      </c>
      <c r="D166">
        <v>1.8</v>
      </c>
      <c r="E166">
        <f>IF($D166 &gt; 16, 0, $J$3*(16 - $D166))</f>
        <v>2950.0307263498971</v>
      </c>
      <c r="F166">
        <f>IF($D166 &gt; 16, 0,$E166*$J$5)</f>
        <v>32063883.964697033</v>
      </c>
      <c r="G166">
        <f t="shared" si="2"/>
        <v>14.2</v>
      </c>
    </row>
    <row r="167" spans="2:7" x14ac:dyDescent="0.35">
      <c r="B167" s="1">
        <v>45664</v>
      </c>
      <c r="C167" s="2">
        <v>0.875</v>
      </c>
      <c r="D167">
        <v>1.2</v>
      </c>
      <c r="E167">
        <f>IF($D167 &gt; 16, 0, $J$3*(16 - $D167))</f>
        <v>3074.6799119703155</v>
      </c>
      <c r="F167">
        <f>IF($D167 &gt; 16, 0,$E167*$J$5)</f>
        <v>33418695.96320536</v>
      </c>
      <c r="G167">
        <f t="shared" si="2"/>
        <v>14.8</v>
      </c>
    </row>
    <row r="168" spans="2:7" x14ac:dyDescent="0.35">
      <c r="B168" s="1">
        <v>45664</v>
      </c>
      <c r="C168" s="2">
        <v>0.91666666666666663</v>
      </c>
      <c r="D168">
        <v>1.4</v>
      </c>
      <c r="E168">
        <f>IF($D168 &gt; 16, 0, $J$3*(16 - $D168))</f>
        <v>3033.1301834301762</v>
      </c>
      <c r="F168">
        <f>IF($D168 &gt; 16, 0,$E168*$J$5)</f>
        <v>32967091.963702586</v>
      </c>
      <c r="G168">
        <f t="shared" si="2"/>
        <v>14.6</v>
      </c>
    </row>
    <row r="169" spans="2:7" x14ac:dyDescent="0.35">
      <c r="B169" s="1">
        <v>45664</v>
      </c>
      <c r="C169" s="2">
        <v>0.95833333333333337</v>
      </c>
      <c r="D169">
        <v>1.5</v>
      </c>
      <c r="E169">
        <f>IF($D169 &gt; 16, 0, $J$3*(16 - $D169))</f>
        <v>3012.3553191601063</v>
      </c>
      <c r="F169">
        <f>IF($D169 &gt; 16, 0,$E169*$J$5)</f>
        <v>32741289.963951197</v>
      </c>
      <c r="G169">
        <f t="shared" si="2"/>
        <v>14.5</v>
      </c>
    </row>
    <row r="170" spans="2:7" x14ac:dyDescent="0.35">
      <c r="B170" s="1">
        <v>45665</v>
      </c>
      <c r="C170" s="2">
        <v>0</v>
      </c>
      <c r="D170">
        <v>2.1</v>
      </c>
      <c r="E170">
        <f>IF($D170 &gt; 16, 0, $J$3*(16 - $D170))</f>
        <v>2887.7061335396884</v>
      </c>
      <c r="F170">
        <f>IF($D170 &gt; 16, 0,$E170*$J$5)</f>
        <v>31386477.965442874</v>
      </c>
      <c r="G170">
        <f t="shared" si="2"/>
        <v>13.9</v>
      </c>
    </row>
    <row r="171" spans="2:7" x14ac:dyDescent="0.35">
      <c r="B171" s="1">
        <v>45665</v>
      </c>
      <c r="C171" s="2">
        <v>4.1666666666666657E-2</v>
      </c>
      <c r="D171">
        <v>2.4</v>
      </c>
      <c r="E171">
        <f>IF($D171 &gt; 16, 0, $J$3*(16 - $D171))</f>
        <v>2825.3815407294792</v>
      </c>
      <c r="F171">
        <f>IF($D171 &gt; 16, 0,$E171*$J$5)</f>
        <v>30709071.96618871</v>
      </c>
      <c r="G171">
        <f t="shared" si="2"/>
        <v>13.6</v>
      </c>
    </row>
    <row r="172" spans="2:7" x14ac:dyDescent="0.35">
      <c r="B172" s="1">
        <v>45665</v>
      </c>
      <c r="C172" s="2">
        <v>8.3333333333333329E-2</v>
      </c>
      <c r="D172">
        <v>2.5</v>
      </c>
      <c r="E172">
        <f>IF($D172 &gt; 16, 0, $J$3*(16 - $D172))</f>
        <v>2804.6066764594093</v>
      </c>
      <c r="F172">
        <f>IF($D172 &gt; 16, 0,$E172*$J$5)</f>
        <v>30483269.966437321</v>
      </c>
      <c r="G172">
        <f t="shared" si="2"/>
        <v>13.5</v>
      </c>
    </row>
    <row r="173" spans="2:7" x14ac:dyDescent="0.35">
      <c r="B173" s="1">
        <v>45665</v>
      </c>
      <c r="C173" s="2">
        <v>0.125</v>
      </c>
      <c r="D173">
        <v>2.6</v>
      </c>
      <c r="E173">
        <f>IF($D173 &gt; 16, 0, $J$3*(16 - $D173))</f>
        <v>2783.8318121893399</v>
      </c>
      <c r="F173">
        <f>IF($D173 &gt; 16, 0,$E173*$J$5)</f>
        <v>30257467.966685936</v>
      </c>
      <c r="G173">
        <f t="shared" si="2"/>
        <v>13.4</v>
      </c>
    </row>
    <row r="174" spans="2:7" x14ac:dyDescent="0.35">
      <c r="B174" s="1">
        <v>45665</v>
      </c>
      <c r="C174" s="2">
        <v>0.16666666666666671</v>
      </c>
      <c r="D174">
        <v>2.6</v>
      </c>
      <c r="E174">
        <f>IF($D174 &gt; 16, 0, $J$3*(16 - $D174))</f>
        <v>2783.8318121893399</v>
      </c>
      <c r="F174">
        <f>IF($D174 &gt; 16, 0,$E174*$J$5)</f>
        <v>30257467.966685936</v>
      </c>
      <c r="G174">
        <f t="shared" si="2"/>
        <v>13.4</v>
      </c>
    </row>
    <row r="175" spans="2:7" x14ac:dyDescent="0.35">
      <c r="B175" s="1">
        <v>45665</v>
      </c>
      <c r="C175" s="2">
        <v>0.20833333333333329</v>
      </c>
      <c r="D175">
        <v>2.7</v>
      </c>
      <c r="E175">
        <f>IF($D175 &gt; 16, 0, $J$3*(16 - $D175))</f>
        <v>2763.05694791927</v>
      </c>
      <c r="F175">
        <f>IF($D175 &gt; 16, 0,$E175*$J$5)</f>
        <v>30031665.966934547</v>
      </c>
      <c r="G175">
        <f t="shared" si="2"/>
        <v>13.3</v>
      </c>
    </row>
    <row r="176" spans="2:7" x14ac:dyDescent="0.35">
      <c r="B176" s="1">
        <v>45665</v>
      </c>
      <c r="C176" s="2">
        <v>0.25</v>
      </c>
      <c r="D176">
        <v>2.4</v>
      </c>
      <c r="E176">
        <f>IF($D176 &gt; 16, 0, $J$3*(16 - $D176))</f>
        <v>2825.3815407294792</v>
      </c>
      <c r="F176">
        <f>IF($D176 &gt; 16, 0,$E176*$J$5)</f>
        <v>30709071.96618871</v>
      </c>
      <c r="G176">
        <f t="shared" si="2"/>
        <v>13.6</v>
      </c>
    </row>
    <row r="177" spans="2:7" x14ac:dyDescent="0.35">
      <c r="B177" s="1">
        <v>45665</v>
      </c>
      <c r="C177" s="2">
        <v>0.29166666666666669</v>
      </c>
      <c r="D177">
        <v>2.4</v>
      </c>
      <c r="E177">
        <f>IF($D177 &gt; 16, 0, $J$3*(16 - $D177))</f>
        <v>2825.3815407294792</v>
      </c>
      <c r="F177">
        <f>IF($D177 &gt; 16, 0,$E177*$J$5)</f>
        <v>30709071.96618871</v>
      </c>
      <c r="G177">
        <f t="shared" si="2"/>
        <v>13.6</v>
      </c>
    </row>
    <row r="178" spans="2:7" x14ac:dyDescent="0.35">
      <c r="B178" s="1">
        <v>45665</v>
      </c>
      <c r="C178" s="2">
        <v>0.33333333333333331</v>
      </c>
      <c r="D178">
        <v>2.6</v>
      </c>
      <c r="E178">
        <f>IF($D178 &gt; 16, 0, $J$3*(16 - $D178))</f>
        <v>2783.8318121893399</v>
      </c>
      <c r="F178">
        <f>IF($D178 &gt; 16, 0,$E178*$J$5)</f>
        <v>30257467.966685936</v>
      </c>
      <c r="G178">
        <f t="shared" si="2"/>
        <v>13.4</v>
      </c>
    </row>
    <row r="179" spans="2:7" x14ac:dyDescent="0.35">
      <c r="B179" s="1">
        <v>45665</v>
      </c>
      <c r="C179" s="2">
        <v>0.375</v>
      </c>
      <c r="D179">
        <v>2.7</v>
      </c>
      <c r="E179">
        <f>IF($D179 &gt; 16, 0, $J$3*(16 - $D179))</f>
        <v>2763.05694791927</v>
      </c>
      <c r="F179">
        <f>IF($D179 &gt; 16, 0,$E179*$J$5)</f>
        <v>30031665.966934547</v>
      </c>
      <c r="G179">
        <f t="shared" si="2"/>
        <v>13.3</v>
      </c>
    </row>
    <row r="180" spans="2:7" x14ac:dyDescent="0.35">
      <c r="B180" s="1">
        <v>45665</v>
      </c>
      <c r="C180" s="2">
        <v>0.41666666666666669</v>
      </c>
      <c r="D180">
        <v>3.1</v>
      </c>
      <c r="E180">
        <f>IF($D180 &gt; 16, 0, $J$3*(16 - $D180))</f>
        <v>2679.9574908389914</v>
      </c>
      <c r="F180">
        <f>IF($D180 &gt; 16, 0,$E180*$J$5)</f>
        <v>29128457.967928998</v>
      </c>
      <c r="G180">
        <f t="shared" si="2"/>
        <v>12.9</v>
      </c>
    </row>
    <row r="181" spans="2:7" x14ac:dyDescent="0.35">
      <c r="B181" s="1">
        <v>45665</v>
      </c>
      <c r="C181" s="2">
        <v>0.45833333333333331</v>
      </c>
      <c r="D181">
        <v>3.9</v>
      </c>
      <c r="E181">
        <f>IF($D181 &gt; 16, 0, $J$3*(16 - $D181))</f>
        <v>2513.7585766784337</v>
      </c>
      <c r="F181">
        <f>IF($D181 &gt; 16, 0,$E181*$J$5)</f>
        <v>27322041.969917897</v>
      </c>
      <c r="G181">
        <f t="shared" si="2"/>
        <v>12.1</v>
      </c>
    </row>
    <row r="182" spans="2:7" x14ac:dyDescent="0.35">
      <c r="B182" s="1">
        <v>45665</v>
      </c>
      <c r="C182" s="2">
        <v>0.5</v>
      </c>
      <c r="D182">
        <v>4.4000000000000004</v>
      </c>
      <c r="E182">
        <f>IF($D182 &gt; 16, 0, $J$3*(16 - $D182))</f>
        <v>2409.8842553280851</v>
      </c>
      <c r="F182">
        <f>IF($D182 &gt; 16, 0,$E182*$J$5)</f>
        <v>26193031.971160956</v>
      </c>
      <c r="G182">
        <f t="shared" si="2"/>
        <v>11.6</v>
      </c>
    </row>
    <row r="183" spans="2:7" x14ac:dyDescent="0.35">
      <c r="B183" s="1">
        <v>45665</v>
      </c>
      <c r="C183" s="2">
        <v>0.54166666666666663</v>
      </c>
      <c r="D183">
        <v>4.8</v>
      </c>
      <c r="E183">
        <f>IF($D183 &gt; 16, 0, $J$3*(16 - $D183))</f>
        <v>2326.7847982478061</v>
      </c>
      <c r="F183">
        <f>IF($D183 &gt; 16, 0,$E183*$J$5)</f>
        <v>25289823.972155403</v>
      </c>
      <c r="G183">
        <f t="shared" si="2"/>
        <v>11.2</v>
      </c>
    </row>
    <row r="184" spans="2:7" x14ac:dyDescent="0.35">
      <c r="B184" s="1">
        <v>45665</v>
      </c>
      <c r="C184" s="2">
        <v>0.58333333333333337</v>
      </c>
      <c r="D184">
        <v>4.9000000000000004</v>
      </c>
      <c r="E184">
        <f>IF($D184 &gt; 16, 0, $J$3*(16 - $D184))</f>
        <v>2306.0099339777366</v>
      </c>
      <c r="F184">
        <f>IF($D184 &gt; 16, 0,$E184*$J$5)</f>
        <v>25064021.972404018</v>
      </c>
      <c r="G184">
        <f t="shared" si="2"/>
        <v>11.1</v>
      </c>
    </row>
    <row r="185" spans="2:7" x14ac:dyDescent="0.35">
      <c r="B185" s="1">
        <v>45665</v>
      </c>
      <c r="C185" s="2">
        <v>0.625</v>
      </c>
      <c r="D185">
        <v>4.2</v>
      </c>
      <c r="E185">
        <f>IF($D185 &gt; 16, 0, $J$3*(16 - $D185))</f>
        <v>2451.4339838682245</v>
      </c>
      <c r="F185">
        <f>IF($D185 &gt; 16, 0,$E185*$J$5)</f>
        <v>26644635.97066373</v>
      </c>
      <c r="G185">
        <f t="shared" si="2"/>
        <v>11.8</v>
      </c>
    </row>
    <row r="186" spans="2:7" x14ac:dyDescent="0.35">
      <c r="B186" s="1">
        <v>45665</v>
      </c>
      <c r="C186" s="2">
        <v>0.66666666666666663</v>
      </c>
      <c r="D186">
        <v>3.7</v>
      </c>
      <c r="E186">
        <f>IF($D186 &gt; 16, 0, $J$3*(16 - $D186))</f>
        <v>2555.308305218573</v>
      </c>
      <c r="F186">
        <f>IF($D186 &gt; 16, 0,$E186*$J$5)</f>
        <v>27773645.969420668</v>
      </c>
      <c r="G186">
        <f t="shared" si="2"/>
        <v>12.3</v>
      </c>
    </row>
    <row r="187" spans="2:7" x14ac:dyDescent="0.35">
      <c r="B187" s="1">
        <v>45665</v>
      </c>
      <c r="C187" s="2">
        <v>0.70833333333333337</v>
      </c>
      <c r="D187">
        <v>3.2</v>
      </c>
      <c r="E187">
        <f>IF($D187 &gt; 16, 0, $J$3*(16 - $D187))</f>
        <v>2659.1826265689215</v>
      </c>
      <c r="F187">
        <f>IF($D187 &gt; 16, 0,$E187*$J$5)</f>
        <v>28902655.968177609</v>
      </c>
      <c r="G187">
        <f t="shared" si="2"/>
        <v>12.8</v>
      </c>
    </row>
    <row r="188" spans="2:7" x14ac:dyDescent="0.35">
      <c r="B188" s="1">
        <v>45665</v>
      </c>
      <c r="C188" s="2">
        <v>0.75</v>
      </c>
      <c r="D188">
        <v>2.5</v>
      </c>
      <c r="E188">
        <f>IF($D188 &gt; 16, 0, $J$3*(16 - $D188))</f>
        <v>2804.6066764594093</v>
      </c>
      <c r="F188">
        <f>IF($D188 &gt; 16, 0,$E188*$J$5)</f>
        <v>30483269.966437321</v>
      </c>
      <c r="G188">
        <f t="shared" si="2"/>
        <v>13.5</v>
      </c>
    </row>
    <row r="189" spans="2:7" x14ac:dyDescent="0.35">
      <c r="B189" s="1">
        <v>45665</v>
      </c>
      <c r="C189" s="2">
        <v>0.79166666666666663</v>
      </c>
      <c r="D189">
        <v>1.8</v>
      </c>
      <c r="E189">
        <f>IF($D189 &gt; 16, 0, $J$3*(16 - $D189))</f>
        <v>2950.0307263498971</v>
      </c>
      <c r="F189">
        <f>IF($D189 &gt; 16, 0,$E189*$J$5)</f>
        <v>32063883.964697033</v>
      </c>
      <c r="G189">
        <f t="shared" si="2"/>
        <v>14.2</v>
      </c>
    </row>
    <row r="190" spans="2:7" x14ac:dyDescent="0.35">
      <c r="B190" s="1">
        <v>45665</v>
      </c>
      <c r="C190" s="2">
        <v>0.83333333333333337</v>
      </c>
      <c r="D190">
        <v>1</v>
      </c>
      <c r="E190">
        <f>IF($D190 &gt; 16, 0, $J$3*(16 - $D190))</f>
        <v>3116.2296405104548</v>
      </c>
      <c r="F190">
        <f>IF($D190 &gt; 16, 0,$E190*$J$5)</f>
        <v>33870299.96270813</v>
      </c>
      <c r="G190">
        <f t="shared" si="2"/>
        <v>15</v>
      </c>
    </row>
    <row r="191" spans="2:7" x14ac:dyDescent="0.35">
      <c r="B191" s="1">
        <v>45665</v>
      </c>
      <c r="C191" s="2">
        <v>0.875</v>
      </c>
      <c r="D191">
        <v>1.2</v>
      </c>
      <c r="E191">
        <f>IF($D191 &gt; 16, 0, $J$3*(16 - $D191))</f>
        <v>3074.6799119703155</v>
      </c>
      <c r="F191">
        <f>IF($D191 &gt; 16, 0,$E191*$J$5)</f>
        <v>33418695.96320536</v>
      </c>
      <c r="G191">
        <f t="shared" si="2"/>
        <v>14.8</v>
      </c>
    </row>
    <row r="192" spans="2:7" x14ac:dyDescent="0.35">
      <c r="B192" s="1">
        <v>45665</v>
      </c>
      <c r="C192" s="2">
        <v>0.91666666666666663</v>
      </c>
      <c r="D192">
        <v>0.8</v>
      </c>
      <c r="E192">
        <f>IF($D192 &gt; 16, 0, $J$3*(16 - $D192))</f>
        <v>3157.7793690505941</v>
      </c>
      <c r="F192">
        <f>IF($D192 &gt; 16, 0,$E192*$J$5)</f>
        <v>34321903.962210909</v>
      </c>
      <c r="G192">
        <f t="shared" si="2"/>
        <v>15.2</v>
      </c>
    </row>
    <row r="193" spans="2:7" x14ac:dyDescent="0.35">
      <c r="B193" s="1">
        <v>45665</v>
      </c>
      <c r="C193" s="2">
        <v>0.95833333333333337</v>
      </c>
      <c r="D193">
        <v>1.6</v>
      </c>
      <c r="E193">
        <f>IF($D193 &gt; 16, 0, $J$3*(16 - $D193))</f>
        <v>2991.5804548900369</v>
      </c>
      <c r="F193">
        <f>IF($D193 &gt; 16, 0,$E193*$J$5)</f>
        <v>32515487.964199811</v>
      </c>
      <c r="G193">
        <f t="shared" si="2"/>
        <v>14.4</v>
      </c>
    </row>
    <row r="194" spans="2:7" x14ac:dyDescent="0.35">
      <c r="B194" s="1">
        <v>45666</v>
      </c>
      <c r="C194" s="2">
        <v>0</v>
      </c>
      <c r="D194">
        <v>0.9</v>
      </c>
      <c r="E194">
        <f>IF($D194 &gt; 16, 0, $J$3*(16 - $D194))</f>
        <v>3137.0045047805243</v>
      </c>
      <c r="F194">
        <f>IF($D194 &gt; 16, 0,$E194*$J$5)</f>
        <v>34096101.96245952</v>
      </c>
      <c r="G194">
        <f t="shared" si="2"/>
        <v>15.1</v>
      </c>
    </row>
    <row r="195" spans="2:7" x14ac:dyDescent="0.35">
      <c r="B195" s="1">
        <v>45666</v>
      </c>
      <c r="C195" s="2">
        <v>4.1666666666666657E-2</v>
      </c>
      <c r="D195">
        <v>1.1000000000000001</v>
      </c>
      <c r="E195">
        <f>IF($D195 &gt; 16, 0, $J$3*(16 - $D195))</f>
        <v>3095.4547762403854</v>
      </c>
      <c r="F195">
        <f>IF($D195 &gt; 16, 0,$E195*$J$5)</f>
        <v>33644497.962956749</v>
      </c>
      <c r="G195">
        <f t="shared" ref="G195:G258" si="3">MAX(0, 16 - $D195)</f>
        <v>14.9</v>
      </c>
    </row>
    <row r="196" spans="2:7" x14ac:dyDescent="0.35">
      <c r="B196" s="1">
        <v>45666</v>
      </c>
      <c r="C196" s="2">
        <v>8.3333333333333329E-2</v>
      </c>
      <c r="D196">
        <v>0.7</v>
      </c>
      <c r="E196">
        <f>IF($D196 &gt; 16, 0, $J$3*(16 - $D196))</f>
        <v>3178.554233320664</v>
      </c>
      <c r="F196">
        <f>IF($D196 &gt; 16, 0,$E196*$J$5)</f>
        <v>34547705.961962298</v>
      </c>
      <c r="G196">
        <f t="shared" si="3"/>
        <v>15.3</v>
      </c>
    </row>
    <row r="197" spans="2:7" x14ac:dyDescent="0.35">
      <c r="B197" s="1">
        <v>45666</v>
      </c>
      <c r="C197" s="2">
        <v>0.125</v>
      </c>
      <c r="D197">
        <v>0.5</v>
      </c>
      <c r="E197">
        <f>IF($D197 &gt; 16, 0, $J$3*(16 - $D197))</f>
        <v>3220.1039618608033</v>
      </c>
      <c r="F197">
        <f>IF($D197 &gt; 16, 0,$E197*$J$5)</f>
        <v>34999309.961465068</v>
      </c>
      <c r="G197">
        <f t="shared" si="3"/>
        <v>15.5</v>
      </c>
    </row>
    <row r="198" spans="2:7" x14ac:dyDescent="0.35">
      <c r="B198" s="1">
        <v>45666</v>
      </c>
      <c r="C198" s="2">
        <v>0.16666666666666671</v>
      </c>
      <c r="D198">
        <v>0.2</v>
      </c>
      <c r="E198">
        <f>IF($D198 &gt; 16, 0, $J$3*(16 - $D198))</f>
        <v>3282.4285546710125</v>
      </c>
      <c r="F198">
        <f>IF($D198 &gt; 16, 0,$E198*$J$5)</f>
        <v>35676715.960719235</v>
      </c>
      <c r="G198">
        <f t="shared" si="3"/>
        <v>15.8</v>
      </c>
    </row>
    <row r="199" spans="2:7" x14ac:dyDescent="0.35">
      <c r="B199" s="1">
        <v>45666</v>
      </c>
      <c r="C199" s="2">
        <v>0.20833333333333329</v>
      </c>
      <c r="D199">
        <v>0.7</v>
      </c>
      <c r="E199">
        <f>IF($D199 &gt; 16, 0, $J$3*(16 - $D199))</f>
        <v>3178.554233320664</v>
      </c>
      <c r="F199">
        <f>IF($D199 &gt; 16, 0,$E199*$J$5)</f>
        <v>34547705.961962298</v>
      </c>
      <c r="G199">
        <f t="shared" si="3"/>
        <v>15.3</v>
      </c>
    </row>
    <row r="200" spans="2:7" x14ac:dyDescent="0.35">
      <c r="B200" s="1">
        <v>45666</v>
      </c>
      <c r="C200" s="2">
        <v>0.25</v>
      </c>
      <c r="D200">
        <v>0.4</v>
      </c>
      <c r="E200">
        <f>IF($D200 &gt; 16, 0, $J$3*(16 - $D200))</f>
        <v>3240.8788261308728</v>
      </c>
      <c r="F200">
        <f>IF($D200 &gt; 16, 0,$E200*$J$5)</f>
        <v>35225111.961216457</v>
      </c>
      <c r="G200">
        <f t="shared" si="3"/>
        <v>15.6</v>
      </c>
    </row>
    <row r="201" spans="2:7" x14ac:dyDescent="0.35">
      <c r="B201" s="1">
        <v>45666</v>
      </c>
      <c r="C201" s="2">
        <v>0.29166666666666669</v>
      </c>
      <c r="D201">
        <v>0.4</v>
      </c>
      <c r="E201">
        <f>IF($D201 &gt; 16, 0, $J$3*(16 - $D201))</f>
        <v>3240.8788261308728</v>
      </c>
      <c r="F201">
        <f>IF($D201 &gt; 16, 0,$E201*$J$5)</f>
        <v>35225111.961216457</v>
      </c>
      <c r="G201">
        <f t="shared" si="3"/>
        <v>15.6</v>
      </c>
    </row>
    <row r="202" spans="2:7" x14ac:dyDescent="0.35">
      <c r="B202" s="1">
        <v>45666</v>
      </c>
      <c r="C202" s="2">
        <v>0.33333333333333331</v>
      </c>
      <c r="D202">
        <v>-0.4</v>
      </c>
      <c r="E202">
        <f>IF($D202 &gt; 16, 0, $J$3*(16 - $D202))</f>
        <v>3407.0777402914305</v>
      </c>
      <c r="F202">
        <f>IF($D202 &gt; 16, 0,$E202*$J$5)</f>
        <v>37031527.959227555</v>
      </c>
      <c r="G202">
        <f t="shared" si="3"/>
        <v>16.399999999999999</v>
      </c>
    </row>
    <row r="203" spans="2:7" x14ac:dyDescent="0.35">
      <c r="B203" s="1">
        <v>45666</v>
      </c>
      <c r="C203" s="2">
        <v>0.375</v>
      </c>
      <c r="D203">
        <v>0</v>
      </c>
      <c r="E203">
        <f>IF($D203 &gt; 16, 0, $J$3*(16 - $D203))</f>
        <v>3323.9782832111518</v>
      </c>
      <c r="F203">
        <f>IF($D203 &gt; 16, 0,$E203*$J$5)</f>
        <v>36128319.960222006</v>
      </c>
      <c r="G203">
        <f t="shared" si="3"/>
        <v>16</v>
      </c>
    </row>
    <row r="204" spans="2:7" x14ac:dyDescent="0.35">
      <c r="B204" s="1">
        <v>45666</v>
      </c>
      <c r="C204" s="2">
        <v>0.41666666666666669</v>
      </c>
      <c r="D204">
        <v>1.1000000000000001</v>
      </c>
      <c r="E204">
        <f>IF($D204 &gt; 16, 0, $J$3*(16 - $D204))</f>
        <v>3095.4547762403854</v>
      </c>
      <c r="F204">
        <f>IF($D204 &gt; 16, 0,$E204*$J$5)</f>
        <v>33644497.962956749</v>
      </c>
      <c r="G204">
        <f t="shared" si="3"/>
        <v>14.9</v>
      </c>
    </row>
    <row r="205" spans="2:7" x14ac:dyDescent="0.35">
      <c r="B205" s="1">
        <v>45666</v>
      </c>
      <c r="C205" s="2">
        <v>0.45833333333333331</v>
      </c>
      <c r="D205">
        <v>1.3</v>
      </c>
      <c r="E205">
        <f>IF($D205 &gt; 16, 0, $J$3*(16 - $D205))</f>
        <v>3053.9050477002456</v>
      </c>
      <c r="F205">
        <f>IF($D205 &gt; 16, 0,$E205*$J$5)</f>
        <v>33192893.963453971</v>
      </c>
      <c r="G205">
        <f t="shared" si="3"/>
        <v>14.7</v>
      </c>
    </row>
    <row r="206" spans="2:7" x14ac:dyDescent="0.35">
      <c r="B206" s="1">
        <v>45666</v>
      </c>
      <c r="C206" s="2">
        <v>0.5</v>
      </c>
      <c r="D206">
        <v>1.6</v>
      </c>
      <c r="E206">
        <f>IF($D206 &gt; 16, 0, $J$3*(16 - $D206))</f>
        <v>2991.5804548900369</v>
      </c>
      <c r="F206">
        <f>IF($D206 &gt; 16, 0,$E206*$J$5)</f>
        <v>32515487.964199811</v>
      </c>
      <c r="G206">
        <f t="shared" si="3"/>
        <v>14.4</v>
      </c>
    </row>
    <row r="207" spans="2:7" x14ac:dyDescent="0.35">
      <c r="B207" s="1">
        <v>45666</v>
      </c>
      <c r="C207" s="2">
        <v>0.54166666666666663</v>
      </c>
      <c r="D207">
        <v>1.5</v>
      </c>
      <c r="E207">
        <f>IF($D207 &gt; 16, 0, $J$3*(16 - $D207))</f>
        <v>3012.3553191601063</v>
      </c>
      <c r="F207">
        <f>IF($D207 &gt; 16, 0,$E207*$J$5)</f>
        <v>32741289.963951197</v>
      </c>
      <c r="G207">
        <f t="shared" si="3"/>
        <v>14.5</v>
      </c>
    </row>
    <row r="208" spans="2:7" x14ac:dyDescent="0.35">
      <c r="B208" s="1">
        <v>45666</v>
      </c>
      <c r="C208" s="2">
        <v>0.58333333333333337</v>
      </c>
      <c r="D208">
        <v>1.5</v>
      </c>
      <c r="E208">
        <f>IF($D208 &gt; 16, 0, $J$3*(16 - $D208))</f>
        <v>3012.3553191601063</v>
      </c>
      <c r="F208">
        <f>IF($D208 &gt; 16, 0,$E208*$J$5)</f>
        <v>32741289.963951197</v>
      </c>
      <c r="G208">
        <f t="shared" si="3"/>
        <v>14.5</v>
      </c>
    </row>
    <row r="209" spans="2:7" x14ac:dyDescent="0.35">
      <c r="B209" s="1">
        <v>45666</v>
      </c>
      <c r="C209" s="2">
        <v>0.625</v>
      </c>
      <c r="D209">
        <v>1.6</v>
      </c>
      <c r="E209">
        <f>IF($D209 &gt; 16, 0, $J$3*(16 - $D209))</f>
        <v>2991.5804548900369</v>
      </c>
      <c r="F209">
        <f>IF($D209 &gt; 16, 0,$E209*$J$5)</f>
        <v>32515487.964199811</v>
      </c>
      <c r="G209">
        <f t="shared" si="3"/>
        <v>14.4</v>
      </c>
    </row>
    <row r="210" spans="2:7" x14ac:dyDescent="0.35">
      <c r="B210" s="1">
        <v>45666</v>
      </c>
      <c r="C210" s="2">
        <v>0.66666666666666663</v>
      </c>
      <c r="D210">
        <v>1.7</v>
      </c>
      <c r="E210">
        <f>IF($D210 &gt; 16, 0, $J$3*(16 - $D210))</f>
        <v>2970.805590619967</v>
      </c>
      <c r="F210">
        <f>IF($D210 &gt; 16, 0,$E210*$J$5)</f>
        <v>32289685.964448422</v>
      </c>
      <c r="G210">
        <f t="shared" si="3"/>
        <v>14.3</v>
      </c>
    </row>
    <row r="211" spans="2:7" x14ac:dyDescent="0.35">
      <c r="B211" s="1">
        <v>45666</v>
      </c>
      <c r="C211" s="2">
        <v>0.70833333333333337</v>
      </c>
      <c r="D211">
        <v>1.6</v>
      </c>
      <c r="E211">
        <f>IF($D211 &gt; 16, 0, $J$3*(16 - $D211))</f>
        <v>2991.5804548900369</v>
      </c>
      <c r="F211">
        <f>IF($D211 &gt; 16, 0,$E211*$J$5)</f>
        <v>32515487.964199811</v>
      </c>
      <c r="G211">
        <f t="shared" si="3"/>
        <v>14.4</v>
      </c>
    </row>
    <row r="212" spans="2:7" x14ac:dyDescent="0.35">
      <c r="B212" s="1">
        <v>45666</v>
      </c>
      <c r="C212" s="2">
        <v>0.75</v>
      </c>
      <c r="D212">
        <v>2</v>
      </c>
      <c r="E212">
        <f>IF($D212 &gt; 16, 0, $J$3*(16 - $D212))</f>
        <v>2908.4809978097578</v>
      </c>
      <c r="F212">
        <f>IF($D212 &gt; 16, 0,$E212*$J$5)</f>
        <v>31612279.965194259</v>
      </c>
      <c r="G212">
        <f t="shared" si="3"/>
        <v>14</v>
      </c>
    </row>
    <row r="213" spans="2:7" x14ac:dyDescent="0.35">
      <c r="B213" s="1">
        <v>45666</v>
      </c>
      <c r="C213" s="2">
        <v>0.79166666666666663</v>
      </c>
      <c r="D213">
        <v>2.1</v>
      </c>
      <c r="E213">
        <f>IF($D213 &gt; 16, 0, $J$3*(16 - $D213))</f>
        <v>2887.7061335396884</v>
      </c>
      <c r="F213">
        <f>IF($D213 &gt; 16, 0,$E213*$J$5)</f>
        <v>31386477.965442874</v>
      </c>
      <c r="G213">
        <f t="shared" si="3"/>
        <v>13.9</v>
      </c>
    </row>
    <row r="214" spans="2:7" x14ac:dyDescent="0.35">
      <c r="B214" s="1">
        <v>45666</v>
      </c>
      <c r="C214" s="2">
        <v>0.83333333333333337</v>
      </c>
      <c r="D214">
        <v>1.6</v>
      </c>
      <c r="E214">
        <f>IF($D214 &gt; 16, 0, $J$3*(16 - $D214))</f>
        <v>2991.5804548900369</v>
      </c>
      <c r="F214">
        <f>IF($D214 &gt; 16, 0,$E214*$J$5)</f>
        <v>32515487.964199811</v>
      </c>
      <c r="G214">
        <f t="shared" si="3"/>
        <v>14.4</v>
      </c>
    </row>
    <row r="215" spans="2:7" x14ac:dyDescent="0.35">
      <c r="B215" s="1">
        <v>45666</v>
      </c>
      <c r="C215" s="2">
        <v>0.875</v>
      </c>
      <c r="D215">
        <v>1.6</v>
      </c>
      <c r="E215">
        <f>IF($D215 &gt; 16, 0, $J$3*(16 - $D215))</f>
        <v>2991.5804548900369</v>
      </c>
      <c r="F215">
        <f>IF($D215 &gt; 16, 0,$E215*$J$5)</f>
        <v>32515487.964199811</v>
      </c>
      <c r="G215">
        <f t="shared" si="3"/>
        <v>14.4</v>
      </c>
    </row>
    <row r="216" spans="2:7" x14ac:dyDescent="0.35">
      <c r="B216" s="1">
        <v>45666</v>
      </c>
      <c r="C216" s="2">
        <v>0.91666666666666663</v>
      </c>
      <c r="D216">
        <v>1</v>
      </c>
      <c r="E216">
        <f>IF($D216 &gt; 16, 0, $J$3*(16 - $D216))</f>
        <v>3116.2296405104548</v>
      </c>
      <c r="F216">
        <f>IF($D216 &gt; 16, 0,$E216*$J$5)</f>
        <v>33870299.96270813</v>
      </c>
      <c r="G216">
        <f t="shared" si="3"/>
        <v>15</v>
      </c>
    </row>
    <row r="217" spans="2:7" x14ac:dyDescent="0.35">
      <c r="B217" s="1">
        <v>45666</v>
      </c>
      <c r="C217" s="2">
        <v>0.95833333333333337</v>
      </c>
      <c r="D217">
        <v>1.2</v>
      </c>
      <c r="E217">
        <f>IF($D217 &gt; 16, 0, $J$3*(16 - $D217))</f>
        <v>3074.6799119703155</v>
      </c>
      <c r="F217">
        <f>IF($D217 &gt; 16, 0,$E217*$J$5)</f>
        <v>33418695.96320536</v>
      </c>
      <c r="G217">
        <f t="shared" si="3"/>
        <v>14.8</v>
      </c>
    </row>
    <row r="218" spans="2:7" x14ac:dyDescent="0.35">
      <c r="B218" s="1">
        <v>45667</v>
      </c>
      <c r="C218" s="2">
        <v>0</v>
      </c>
      <c r="D218">
        <v>1.3</v>
      </c>
      <c r="E218">
        <f>IF($D218 &gt; 16, 0, $J$3*(16 - $D218))</f>
        <v>3053.9050477002456</v>
      </c>
      <c r="F218">
        <f>IF($D218 &gt; 16, 0,$E218*$J$5)</f>
        <v>33192893.963453971</v>
      </c>
      <c r="G218">
        <f t="shared" si="3"/>
        <v>14.7</v>
      </c>
    </row>
    <row r="219" spans="2:7" x14ac:dyDescent="0.35">
      <c r="B219" s="1">
        <v>45667</v>
      </c>
      <c r="C219" s="2">
        <v>4.1666666666666657E-2</v>
      </c>
      <c r="D219">
        <v>1.5</v>
      </c>
      <c r="E219">
        <f>IF($D219 &gt; 16, 0, $J$3*(16 - $D219))</f>
        <v>3012.3553191601063</v>
      </c>
      <c r="F219">
        <f>IF($D219 &gt; 16, 0,$E219*$J$5)</f>
        <v>32741289.963951197</v>
      </c>
      <c r="G219">
        <f t="shared" si="3"/>
        <v>14.5</v>
      </c>
    </row>
    <row r="220" spans="2:7" x14ac:dyDescent="0.35">
      <c r="B220" s="1">
        <v>45667</v>
      </c>
      <c r="C220" s="2">
        <v>8.3333333333333329E-2</v>
      </c>
      <c r="D220">
        <v>1.8</v>
      </c>
      <c r="E220">
        <f>IF($D220 &gt; 16, 0, $J$3*(16 - $D220))</f>
        <v>2950.0307263498971</v>
      </c>
      <c r="F220">
        <f>IF($D220 &gt; 16, 0,$E220*$J$5)</f>
        <v>32063883.964697033</v>
      </c>
      <c r="G220">
        <f t="shared" si="3"/>
        <v>14.2</v>
      </c>
    </row>
    <row r="221" spans="2:7" x14ac:dyDescent="0.35">
      <c r="B221" s="1">
        <v>45667</v>
      </c>
      <c r="C221" s="2">
        <v>0.125</v>
      </c>
      <c r="D221">
        <v>1.7</v>
      </c>
      <c r="E221">
        <f>IF($D221 &gt; 16, 0, $J$3*(16 - $D221))</f>
        <v>2970.805590619967</v>
      </c>
      <c r="F221">
        <f>IF($D221 &gt; 16, 0,$E221*$J$5)</f>
        <v>32289685.964448422</v>
      </c>
      <c r="G221">
        <f t="shared" si="3"/>
        <v>14.3</v>
      </c>
    </row>
    <row r="222" spans="2:7" x14ac:dyDescent="0.35">
      <c r="B222" s="1">
        <v>45667</v>
      </c>
      <c r="C222" s="2">
        <v>0.16666666666666671</v>
      </c>
      <c r="D222">
        <v>1.8</v>
      </c>
      <c r="E222">
        <f>IF($D222 &gt; 16, 0, $J$3*(16 - $D222))</f>
        <v>2950.0307263498971</v>
      </c>
      <c r="F222">
        <f>IF($D222 &gt; 16, 0,$E222*$J$5)</f>
        <v>32063883.964697033</v>
      </c>
      <c r="G222">
        <f t="shared" si="3"/>
        <v>14.2</v>
      </c>
    </row>
    <row r="223" spans="2:7" x14ac:dyDescent="0.35">
      <c r="B223" s="1">
        <v>45667</v>
      </c>
      <c r="C223" s="2">
        <v>0.20833333333333329</v>
      </c>
      <c r="D223">
        <v>1.4</v>
      </c>
      <c r="E223">
        <f>IF($D223 &gt; 16, 0, $J$3*(16 - $D223))</f>
        <v>3033.1301834301762</v>
      </c>
      <c r="F223">
        <f>IF($D223 &gt; 16, 0,$E223*$J$5)</f>
        <v>32967091.963702586</v>
      </c>
      <c r="G223">
        <f t="shared" si="3"/>
        <v>14.6</v>
      </c>
    </row>
    <row r="224" spans="2:7" x14ac:dyDescent="0.35">
      <c r="B224" s="1">
        <v>45667</v>
      </c>
      <c r="C224" s="2">
        <v>0.25</v>
      </c>
      <c r="D224">
        <v>1</v>
      </c>
      <c r="E224">
        <f>IF($D224 &gt; 16, 0, $J$3*(16 - $D224))</f>
        <v>3116.2296405104548</v>
      </c>
      <c r="F224">
        <f>IF($D224 &gt; 16, 0,$E224*$J$5)</f>
        <v>33870299.96270813</v>
      </c>
      <c r="G224">
        <f t="shared" si="3"/>
        <v>15</v>
      </c>
    </row>
    <row r="225" spans="2:7" x14ac:dyDescent="0.35">
      <c r="B225" s="1">
        <v>45667</v>
      </c>
      <c r="C225" s="2">
        <v>0.29166666666666669</v>
      </c>
      <c r="D225">
        <v>1.3</v>
      </c>
      <c r="E225">
        <f>IF($D225 &gt; 16, 0, $J$3*(16 - $D225))</f>
        <v>3053.9050477002456</v>
      </c>
      <c r="F225">
        <f>IF($D225 &gt; 16, 0,$E225*$J$5)</f>
        <v>33192893.963453971</v>
      </c>
      <c r="G225">
        <f t="shared" si="3"/>
        <v>14.7</v>
      </c>
    </row>
    <row r="226" spans="2:7" x14ac:dyDescent="0.35">
      <c r="B226" s="1">
        <v>45667</v>
      </c>
      <c r="C226" s="2">
        <v>0.33333333333333331</v>
      </c>
      <c r="D226">
        <v>0.9</v>
      </c>
      <c r="E226">
        <f>IF($D226 &gt; 16, 0, $J$3*(16 - $D226))</f>
        <v>3137.0045047805243</v>
      </c>
      <c r="F226">
        <f>IF($D226 &gt; 16, 0,$E226*$J$5)</f>
        <v>34096101.96245952</v>
      </c>
      <c r="G226">
        <f t="shared" si="3"/>
        <v>15.1</v>
      </c>
    </row>
    <row r="227" spans="2:7" x14ac:dyDescent="0.35">
      <c r="B227" s="1">
        <v>45667</v>
      </c>
      <c r="C227" s="2">
        <v>0.375</v>
      </c>
      <c r="D227">
        <v>1.4</v>
      </c>
      <c r="E227">
        <f>IF($D227 &gt; 16, 0, $J$3*(16 - $D227))</f>
        <v>3033.1301834301762</v>
      </c>
      <c r="F227">
        <f>IF($D227 &gt; 16, 0,$E227*$J$5)</f>
        <v>32967091.963702586</v>
      </c>
      <c r="G227">
        <f t="shared" si="3"/>
        <v>14.6</v>
      </c>
    </row>
    <row r="228" spans="2:7" x14ac:dyDescent="0.35">
      <c r="B228" s="1">
        <v>45667</v>
      </c>
      <c r="C228" s="2">
        <v>0.41666666666666669</v>
      </c>
      <c r="D228">
        <v>0.9</v>
      </c>
      <c r="E228">
        <f>IF($D228 &gt; 16, 0, $J$3*(16 - $D228))</f>
        <v>3137.0045047805243</v>
      </c>
      <c r="F228">
        <f>IF($D228 &gt; 16, 0,$E228*$J$5)</f>
        <v>34096101.96245952</v>
      </c>
      <c r="G228">
        <f t="shared" si="3"/>
        <v>15.1</v>
      </c>
    </row>
    <row r="229" spans="2:7" x14ac:dyDescent="0.35">
      <c r="B229" s="1">
        <v>45667</v>
      </c>
      <c r="C229" s="2">
        <v>0.45833333333333331</v>
      </c>
      <c r="D229">
        <v>1.9</v>
      </c>
      <c r="E229">
        <f>IF($D229 &gt; 16, 0, $J$3*(16 - $D229))</f>
        <v>2929.2558620798277</v>
      </c>
      <c r="F229">
        <f>IF($D229 &gt; 16, 0,$E229*$J$5)</f>
        <v>31838081.964945648</v>
      </c>
      <c r="G229">
        <f t="shared" si="3"/>
        <v>14.1</v>
      </c>
    </row>
    <row r="230" spans="2:7" x14ac:dyDescent="0.35">
      <c r="B230" s="1">
        <v>45667</v>
      </c>
      <c r="C230" s="2">
        <v>0.5</v>
      </c>
      <c r="D230">
        <v>2.2999999999999998</v>
      </c>
      <c r="E230">
        <f>IF($D230 &gt; 16, 0, $J$3*(16 - $D230))</f>
        <v>2846.1564049995486</v>
      </c>
      <c r="F230">
        <f>IF($D230 &gt; 16, 0,$E230*$J$5)</f>
        <v>30934873.965940095</v>
      </c>
      <c r="G230">
        <f t="shared" si="3"/>
        <v>13.7</v>
      </c>
    </row>
    <row r="231" spans="2:7" x14ac:dyDescent="0.35">
      <c r="B231" s="1">
        <v>45667</v>
      </c>
      <c r="C231" s="2">
        <v>0.54166666666666663</v>
      </c>
      <c r="D231">
        <v>3</v>
      </c>
      <c r="E231">
        <f>IF($D231 &gt; 16, 0, $J$3*(16 - $D231))</f>
        <v>2700.7323551090608</v>
      </c>
      <c r="F231">
        <f>IF($D231 &gt; 16, 0,$E231*$J$5)</f>
        <v>29354259.967680383</v>
      </c>
      <c r="G231">
        <f t="shared" si="3"/>
        <v>13</v>
      </c>
    </row>
    <row r="232" spans="2:7" x14ac:dyDescent="0.35">
      <c r="B232" s="1">
        <v>45667</v>
      </c>
      <c r="C232" s="2">
        <v>0.58333333333333337</v>
      </c>
      <c r="D232">
        <v>2.9</v>
      </c>
      <c r="E232">
        <f>IF($D232 &gt; 16, 0, $J$3*(16 - $D232))</f>
        <v>2721.5072193791307</v>
      </c>
      <c r="F232">
        <f>IF($D232 &gt; 16, 0,$E232*$J$5)</f>
        <v>29580061.967431773</v>
      </c>
      <c r="G232">
        <f t="shared" si="3"/>
        <v>13.1</v>
      </c>
    </row>
    <row r="233" spans="2:7" x14ac:dyDescent="0.35">
      <c r="B233" s="1">
        <v>45667</v>
      </c>
      <c r="C233" s="2">
        <v>0.625</v>
      </c>
      <c r="D233">
        <v>2.1</v>
      </c>
      <c r="E233">
        <f>IF($D233 &gt; 16, 0, $J$3*(16 - $D233))</f>
        <v>2887.7061335396884</v>
      </c>
      <c r="F233">
        <f>IF($D233 &gt; 16, 0,$E233*$J$5)</f>
        <v>31386477.965442874</v>
      </c>
      <c r="G233">
        <f t="shared" si="3"/>
        <v>13.9</v>
      </c>
    </row>
    <row r="234" spans="2:7" x14ac:dyDescent="0.35">
      <c r="B234" s="1">
        <v>45667</v>
      </c>
      <c r="C234" s="2">
        <v>0.66666666666666663</v>
      </c>
      <c r="D234">
        <v>0.9</v>
      </c>
      <c r="E234">
        <f>IF($D234 &gt; 16, 0, $J$3*(16 - $D234))</f>
        <v>3137.0045047805243</v>
      </c>
      <c r="F234">
        <f>IF($D234 &gt; 16, 0,$E234*$J$5)</f>
        <v>34096101.96245952</v>
      </c>
      <c r="G234">
        <f t="shared" si="3"/>
        <v>15.1</v>
      </c>
    </row>
    <row r="235" spans="2:7" x14ac:dyDescent="0.35">
      <c r="B235" s="1">
        <v>45667</v>
      </c>
      <c r="C235" s="2">
        <v>0.70833333333333337</v>
      </c>
      <c r="D235">
        <v>0.8</v>
      </c>
      <c r="E235">
        <f>IF($D235 &gt; 16, 0, $J$3*(16 - $D235))</f>
        <v>3157.7793690505941</v>
      </c>
      <c r="F235">
        <f>IF($D235 &gt; 16, 0,$E235*$J$5)</f>
        <v>34321903.962210909</v>
      </c>
      <c r="G235">
        <f t="shared" si="3"/>
        <v>15.2</v>
      </c>
    </row>
    <row r="236" spans="2:7" x14ac:dyDescent="0.35">
      <c r="B236" s="1">
        <v>45667</v>
      </c>
      <c r="C236" s="2">
        <v>0.75</v>
      </c>
      <c r="D236">
        <v>-0.1</v>
      </c>
      <c r="E236">
        <f>IF($D236 &gt; 16, 0, $J$3*(16 - $D236))</f>
        <v>3344.7531474812217</v>
      </c>
      <c r="F236">
        <f>IF($D236 &gt; 16, 0,$E236*$J$5)</f>
        <v>36354121.959973402</v>
      </c>
      <c r="G236">
        <f t="shared" si="3"/>
        <v>16.100000000000001</v>
      </c>
    </row>
    <row r="237" spans="2:7" x14ac:dyDescent="0.35">
      <c r="B237" s="1">
        <v>45667</v>
      </c>
      <c r="C237" s="2">
        <v>0.79166666666666663</v>
      </c>
      <c r="D237">
        <v>-0.3</v>
      </c>
      <c r="E237">
        <f>IF($D237 &gt; 16, 0, $J$3*(16 - $D237))</f>
        <v>3386.302876021361</v>
      </c>
      <c r="F237">
        <f>IF($D237 &gt; 16, 0,$E237*$J$5)</f>
        <v>36805725.959476173</v>
      </c>
      <c r="G237">
        <f t="shared" si="3"/>
        <v>16.3</v>
      </c>
    </row>
    <row r="238" spans="2:7" x14ac:dyDescent="0.35">
      <c r="B238" s="1">
        <v>45667</v>
      </c>
      <c r="C238" s="2">
        <v>0.83333333333333337</v>
      </c>
      <c r="D238">
        <v>-0.1</v>
      </c>
      <c r="E238">
        <f>IF($D238 &gt; 16, 0, $J$3*(16 - $D238))</f>
        <v>3344.7531474812217</v>
      </c>
      <c r="F238">
        <f>IF($D238 &gt; 16, 0,$E238*$J$5)</f>
        <v>36354121.959973402</v>
      </c>
      <c r="G238">
        <f t="shared" si="3"/>
        <v>16.100000000000001</v>
      </c>
    </row>
    <row r="239" spans="2:7" x14ac:dyDescent="0.35">
      <c r="B239" s="1">
        <v>45667</v>
      </c>
      <c r="C239" s="2">
        <v>0.875</v>
      </c>
      <c r="D239">
        <v>0.1</v>
      </c>
      <c r="E239">
        <f>IF($D239 &gt; 16, 0, $J$3*(16 - $D239))</f>
        <v>3303.2034189410824</v>
      </c>
      <c r="F239">
        <f>IF($D239 &gt; 16, 0,$E239*$J$5)</f>
        <v>35902517.960470624</v>
      </c>
      <c r="G239">
        <f t="shared" si="3"/>
        <v>15.9</v>
      </c>
    </row>
    <row r="240" spans="2:7" x14ac:dyDescent="0.35">
      <c r="B240" s="1">
        <v>45667</v>
      </c>
      <c r="C240" s="2">
        <v>0.91666666666666663</v>
      </c>
      <c r="D240">
        <v>-0.3</v>
      </c>
      <c r="E240">
        <f>IF($D240 &gt; 16, 0, $J$3*(16 - $D240))</f>
        <v>3386.302876021361</v>
      </c>
      <c r="F240">
        <f>IF($D240 &gt; 16, 0,$E240*$J$5)</f>
        <v>36805725.959476173</v>
      </c>
      <c r="G240">
        <f t="shared" si="3"/>
        <v>16.3</v>
      </c>
    </row>
    <row r="241" spans="2:7" x14ac:dyDescent="0.35">
      <c r="B241" s="1">
        <v>45667</v>
      </c>
      <c r="C241" s="2">
        <v>0.95833333333333337</v>
      </c>
      <c r="D241">
        <v>-0.4</v>
      </c>
      <c r="E241">
        <f>IF($D241 &gt; 16, 0, $J$3*(16 - $D241))</f>
        <v>3407.0777402914305</v>
      </c>
      <c r="F241">
        <f>IF($D241 &gt; 16, 0,$E241*$J$5)</f>
        <v>37031527.959227555</v>
      </c>
      <c r="G241">
        <f t="shared" si="3"/>
        <v>16.399999999999999</v>
      </c>
    </row>
    <row r="242" spans="2:7" x14ac:dyDescent="0.35">
      <c r="B242" s="1">
        <v>45668</v>
      </c>
      <c r="C242" s="2">
        <v>0</v>
      </c>
      <c r="D242">
        <v>-0.4</v>
      </c>
      <c r="E242">
        <f>IF($D242 &gt; 16, 0, $J$3*(16 - $D242))</f>
        <v>3407.0777402914305</v>
      </c>
      <c r="F242">
        <f>IF($D242 &gt; 16, 0,$E242*$J$5)</f>
        <v>37031527.959227555</v>
      </c>
      <c r="G242">
        <f t="shared" si="3"/>
        <v>16.399999999999999</v>
      </c>
    </row>
    <row r="243" spans="2:7" x14ac:dyDescent="0.35">
      <c r="B243" s="1">
        <v>45668</v>
      </c>
      <c r="C243" s="2">
        <v>4.1666666666666657E-2</v>
      </c>
      <c r="D243">
        <v>-0.7</v>
      </c>
      <c r="E243">
        <f>IF($D243 &gt; 16, 0, $J$3*(16 - $D243))</f>
        <v>3469.4023331016397</v>
      </c>
      <c r="F243">
        <f>IF($D243 &gt; 16, 0,$E243*$J$5)</f>
        <v>37708933.958481722</v>
      </c>
      <c r="G243">
        <f t="shared" si="3"/>
        <v>16.7</v>
      </c>
    </row>
    <row r="244" spans="2:7" x14ac:dyDescent="0.35">
      <c r="B244" s="1">
        <v>45668</v>
      </c>
      <c r="C244" s="2">
        <v>8.3333333333333329E-2</v>
      </c>
      <c r="D244">
        <v>-1.2</v>
      </c>
      <c r="E244">
        <f>IF($D244 &gt; 16, 0, $J$3*(16 - $D244))</f>
        <v>3573.2766544519882</v>
      </c>
      <c r="F244">
        <f>IF($D244 &gt; 16, 0,$E244*$J$5)</f>
        <v>38837943.957238659</v>
      </c>
      <c r="G244">
        <f t="shared" si="3"/>
        <v>17.2</v>
      </c>
    </row>
    <row r="245" spans="2:7" x14ac:dyDescent="0.35">
      <c r="B245" s="1">
        <v>45668</v>
      </c>
      <c r="C245" s="2">
        <v>0.125</v>
      </c>
      <c r="D245">
        <v>-1.4</v>
      </c>
      <c r="E245">
        <f>IF($D245 &gt; 16, 0, $J$3*(16 - $D245))</f>
        <v>3614.8263829921275</v>
      </c>
      <c r="F245">
        <f>IF($D245 &gt; 16, 0,$E245*$J$5)</f>
        <v>39289547.956741437</v>
      </c>
      <c r="G245">
        <f t="shared" si="3"/>
        <v>17.399999999999999</v>
      </c>
    </row>
    <row r="246" spans="2:7" x14ac:dyDescent="0.35">
      <c r="B246" s="1">
        <v>45668</v>
      </c>
      <c r="C246" s="2">
        <v>0.16666666666666671</v>
      </c>
      <c r="D246">
        <v>-1.2</v>
      </c>
      <c r="E246">
        <f>IF($D246 &gt; 16, 0, $J$3*(16 - $D246))</f>
        <v>3573.2766544519882</v>
      </c>
      <c r="F246">
        <f>IF($D246 &gt; 16, 0,$E246*$J$5)</f>
        <v>38837943.957238659</v>
      </c>
      <c r="G246">
        <f t="shared" si="3"/>
        <v>17.2</v>
      </c>
    </row>
    <row r="247" spans="2:7" x14ac:dyDescent="0.35">
      <c r="B247" s="1">
        <v>45668</v>
      </c>
      <c r="C247" s="2">
        <v>0.20833333333333329</v>
      </c>
      <c r="D247">
        <v>-1.6</v>
      </c>
      <c r="E247">
        <f>IF($D247 &gt; 16, 0, $J$3*(16 - $D247))</f>
        <v>3656.3761115322673</v>
      </c>
      <c r="F247">
        <f>IF($D247 &gt; 16, 0,$E247*$J$5)</f>
        <v>39741151.956244215</v>
      </c>
      <c r="G247">
        <f t="shared" si="3"/>
        <v>17.600000000000001</v>
      </c>
    </row>
    <row r="248" spans="2:7" x14ac:dyDescent="0.35">
      <c r="B248" s="1">
        <v>45668</v>
      </c>
      <c r="C248" s="2">
        <v>0.25</v>
      </c>
      <c r="D248">
        <v>-1.7</v>
      </c>
      <c r="E248">
        <f>IF($D248 &gt; 16, 0, $J$3*(16 - $D248))</f>
        <v>3677.1509758023367</v>
      </c>
      <c r="F248">
        <f>IF($D248 &gt; 16, 0,$E248*$J$5)</f>
        <v>39966953.955995597</v>
      </c>
      <c r="G248">
        <f t="shared" si="3"/>
        <v>17.7</v>
      </c>
    </row>
    <row r="249" spans="2:7" x14ac:dyDescent="0.35">
      <c r="B249" s="1">
        <v>45668</v>
      </c>
      <c r="C249" s="2">
        <v>0.29166666666666669</v>
      </c>
      <c r="D249">
        <v>-1.5</v>
      </c>
      <c r="E249">
        <f>IF($D249 &gt; 16, 0, $J$3*(16 - $D249))</f>
        <v>3635.6012472621974</v>
      </c>
      <c r="F249">
        <f>IF($D249 &gt; 16, 0,$E249*$J$5)</f>
        <v>39515349.956492826</v>
      </c>
      <c r="G249">
        <f t="shared" si="3"/>
        <v>17.5</v>
      </c>
    </row>
    <row r="250" spans="2:7" x14ac:dyDescent="0.35">
      <c r="B250" s="1">
        <v>45668</v>
      </c>
      <c r="C250" s="2">
        <v>0.33333333333333331</v>
      </c>
      <c r="D250">
        <v>-1.1000000000000001</v>
      </c>
      <c r="E250">
        <f>IF($D250 &gt; 16, 0, $J$3*(16 - $D250))</f>
        <v>3552.5017901819188</v>
      </c>
      <c r="F250">
        <f>IF($D250 &gt; 16, 0,$E250*$J$5)</f>
        <v>38612141.957487278</v>
      </c>
      <c r="G250">
        <f t="shared" si="3"/>
        <v>17.100000000000001</v>
      </c>
    </row>
    <row r="251" spans="2:7" x14ac:dyDescent="0.35">
      <c r="B251" s="1">
        <v>45668</v>
      </c>
      <c r="C251" s="2">
        <v>0.375</v>
      </c>
      <c r="D251">
        <v>-0.6</v>
      </c>
      <c r="E251">
        <f>IF($D251 &gt; 16, 0, $J$3*(16 - $D251))</f>
        <v>3448.6274688315702</v>
      </c>
      <c r="F251">
        <f>IF($D251 &gt; 16, 0,$E251*$J$5)</f>
        <v>37483131.95873034</v>
      </c>
      <c r="G251">
        <f t="shared" si="3"/>
        <v>16.600000000000001</v>
      </c>
    </row>
    <row r="252" spans="2:7" x14ac:dyDescent="0.35">
      <c r="B252" s="1">
        <v>45668</v>
      </c>
      <c r="C252" s="2">
        <v>0.41666666666666669</v>
      </c>
      <c r="D252">
        <v>0.3</v>
      </c>
      <c r="E252">
        <f>IF($D252 &gt; 16, 0, $J$3*(16 - $D252))</f>
        <v>3261.6536904009427</v>
      </c>
      <c r="F252">
        <f>IF($D252 &gt; 16, 0,$E252*$J$5)</f>
        <v>35450913.960967846</v>
      </c>
      <c r="G252">
        <f t="shared" si="3"/>
        <v>15.7</v>
      </c>
    </row>
    <row r="253" spans="2:7" x14ac:dyDescent="0.35">
      <c r="B253" s="1">
        <v>45668</v>
      </c>
      <c r="C253" s="2">
        <v>0.45833333333333331</v>
      </c>
      <c r="D253">
        <v>1.2</v>
      </c>
      <c r="E253">
        <f>IF($D253 &gt; 16, 0, $J$3*(16 - $D253))</f>
        <v>3074.6799119703155</v>
      </c>
      <c r="F253">
        <f>IF($D253 &gt; 16, 0,$E253*$J$5)</f>
        <v>33418695.96320536</v>
      </c>
      <c r="G253">
        <f t="shared" si="3"/>
        <v>14.8</v>
      </c>
    </row>
    <row r="254" spans="2:7" x14ac:dyDescent="0.35">
      <c r="B254" s="1">
        <v>45668</v>
      </c>
      <c r="C254" s="2">
        <v>0.5</v>
      </c>
      <c r="D254">
        <v>1.9</v>
      </c>
      <c r="E254">
        <f>IF($D254 &gt; 16, 0, $J$3*(16 - $D254))</f>
        <v>2929.2558620798277</v>
      </c>
      <c r="F254">
        <f>IF($D254 &gt; 16, 0,$E254*$J$5)</f>
        <v>31838081.964945648</v>
      </c>
      <c r="G254">
        <f t="shared" si="3"/>
        <v>14.1</v>
      </c>
    </row>
    <row r="255" spans="2:7" x14ac:dyDescent="0.35">
      <c r="B255" s="1">
        <v>45668</v>
      </c>
      <c r="C255" s="2">
        <v>0.54166666666666663</v>
      </c>
      <c r="D255">
        <v>2</v>
      </c>
      <c r="E255">
        <f>IF($D255 &gt; 16, 0, $J$3*(16 - $D255))</f>
        <v>2908.4809978097578</v>
      </c>
      <c r="F255">
        <f>IF($D255 &gt; 16, 0,$E255*$J$5)</f>
        <v>31612279.965194259</v>
      </c>
      <c r="G255">
        <f t="shared" si="3"/>
        <v>14</v>
      </c>
    </row>
    <row r="256" spans="2:7" x14ac:dyDescent="0.35">
      <c r="B256" s="1">
        <v>45668</v>
      </c>
      <c r="C256" s="2">
        <v>0.58333333333333337</v>
      </c>
      <c r="D256">
        <v>1.9</v>
      </c>
      <c r="E256">
        <f>IF($D256 &gt; 16, 0, $J$3*(16 - $D256))</f>
        <v>2929.2558620798277</v>
      </c>
      <c r="F256">
        <f>IF($D256 &gt; 16, 0,$E256*$J$5)</f>
        <v>31838081.964945648</v>
      </c>
      <c r="G256">
        <f t="shared" si="3"/>
        <v>14.1</v>
      </c>
    </row>
    <row r="257" spans="2:7" x14ac:dyDescent="0.35">
      <c r="B257" s="1">
        <v>45668</v>
      </c>
      <c r="C257" s="2">
        <v>0.625</v>
      </c>
      <c r="D257">
        <v>1.5</v>
      </c>
      <c r="E257">
        <f>IF($D257 &gt; 16, 0, $J$3*(16 - $D257))</f>
        <v>3012.3553191601063</v>
      </c>
      <c r="F257">
        <f>IF($D257 &gt; 16, 0,$E257*$J$5)</f>
        <v>32741289.963951197</v>
      </c>
      <c r="G257">
        <f t="shared" si="3"/>
        <v>14.5</v>
      </c>
    </row>
    <row r="258" spans="2:7" x14ac:dyDescent="0.35">
      <c r="B258" s="1">
        <v>45668</v>
      </c>
      <c r="C258" s="2">
        <v>0.66666666666666663</v>
      </c>
      <c r="D258">
        <v>0.6</v>
      </c>
      <c r="E258">
        <f>IF($D258 &gt; 16, 0, $J$3*(16 - $D258))</f>
        <v>3199.3290975907339</v>
      </c>
      <c r="F258">
        <f>IF($D258 &gt; 16, 0,$E258*$J$5)</f>
        <v>34773507.961713687</v>
      </c>
      <c r="G258">
        <f t="shared" si="3"/>
        <v>15.4</v>
      </c>
    </row>
    <row r="259" spans="2:7" x14ac:dyDescent="0.35">
      <c r="B259" s="1">
        <v>45668</v>
      </c>
      <c r="C259" s="2">
        <v>0.70833333333333337</v>
      </c>
      <c r="D259">
        <v>0.1</v>
      </c>
      <c r="E259">
        <f>IF($D259 &gt; 16, 0, $J$3*(16 - $D259))</f>
        <v>3303.2034189410824</v>
      </c>
      <c r="F259">
        <f>IF($D259 &gt; 16, 0,$E259*$J$5)</f>
        <v>35902517.960470624</v>
      </c>
      <c r="G259">
        <f t="shared" ref="G259:G322" si="4">MAX(0, 16 - $D259)</f>
        <v>15.9</v>
      </c>
    </row>
    <row r="260" spans="2:7" x14ac:dyDescent="0.35">
      <c r="B260" s="1">
        <v>45668</v>
      </c>
      <c r="C260" s="2">
        <v>0.75</v>
      </c>
      <c r="D260">
        <v>-0.4</v>
      </c>
      <c r="E260">
        <f>IF($D260 &gt; 16, 0, $J$3*(16 - $D260))</f>
        <v>3407.0777402914305</v>
      </c>
      <c r="F260">
        <f>IF($D260 &gt; 16, 0,$E260*$J$5)</f>
        <v>37031527.959227555</v>
      </c>
      <c r="G260">
        <f t="shared" si="4"/>
        <v>16.399999999999999</v>
      </c>
    </row>
    <row r="261" spans="2:7" x14ac:dyDescent="0.35">
      <c r="B261" s="1">
        <v>45668</v>
      </c>
      <c r="C261" s="2">
        <v>0.79166666666666663</v>
      </c>
      <c r="D261">
        <v>-0.2</v>
      </c>
      <c r="E261">
        <f>IF($D261 &gt; 16, 0, $J$3*(16 - $D261))</f>
        <v>3365.5280117512912</v>
      </c>
      <c r="F261">
        <f>IF($D261 &gt; 16, 0,$E261*$J$5)</f>
        <v>36579923.959724784</v>
      </c>
      <c r="G261">
        <f t="shared" si="4"/>
        <v>16.2</v>
      </c>
    </row>
    <row r="262" spans="2:7" x14ac:dyDescent="0.35">
      <c r="B262" s="1">
        <v>45668</v>
      </c>
      <c r="C262" s="2">
        <v>0.83333333333333337</v>
      </c>
      <c r="D262">
        <v>-0.4</v>
      </c>
      <c r="E262">
        <f>IF($D262 &gt; 16, 0, $J$3*(16 - $D262))</f>
        <v>3407.0777402914305</v>
      </c>
      <c r="F262">
        <f>IF($D262 &gt; 16, 0,$E262*$J$5)</f>
        <v>37031527.959227555</v>
      </c>
      <c r="G262">
        <f t="shared" si="4"/>
        <v>16.399999999999999</v>
      </c>
    </row>
    <row r="263" spans="2:7" x14ac:dyDescent="0.35">
      <c r="B263" s="1">
        <v>45668</v>
      </c>
      <c r="C263" s="2">
        <v>0.875</v>
      </c>
      <c r="D263">
        <v>-0.4</v>
      </c>
      <c r="E263">
        <f>IF($D263 &gt; 16, 0, $J$3*(16 - $D263))</f>
        <v>3407.0777402914305</v>
      </c>
      <c r="F263">
        <f>IF($D263 &gt; 16, 0,$E263*$J$5)</f>
        <v>37031527.959227555</v>
      </c>
      <c r="G263">
        <f t="shared" si="4"/>
        <v>16.399999999999999</v>
      </c>
    </row>
    <row r="264" spans="2:7" x14ac:dyDescent="0.35">
      <c r="B264" s="1">
        <v>45668</v>
      </c>
      <c r="C264" s="2">
        <v>0.91666666666666663</v>
      </c>
      <c r="D264">
        <v>-0.8</v>
      </c>
      <c r="E264">
        <f>IF($D264 &gt; 16, 0, $J$3*(16 - $D264))</f>
        <v>3490.1771973717096</v>
      </c>
      <c r="F264">
        <f>IF($D264 &gt; 16, 0,$E264*$J$5)</f>
        <v>37934735.958233111</v>
      </c>
      <c r="G264">
        <f t="shared" si="4"/>
        <v>16.8</v>
      </c>
    </row>
    <row r="265" spans="2:7" x14ac:dyDescent="0.35">
      <c r="B265" s="1">
        <v>45668</v>
      </c>
      <c r="C265" s="2">
        <v>0.95833333333333337</v>
      </c>
      <c r="D265">
        <v>-1</v>
      </c>
      <c r="E265">
        <f>IF($D265 &gt; 16, 0, $J$3*(16 - $D265))</f>
        <v>3531.7269259118489</v>
      </c>
      <c r="F265">
        <f>IF($D265 &gt; 16, 0,$E265*$J$5)</f>
        <v>38386339.957735889</v>
      </c>
      <c r="G265">
        <f t="shared" si="4"/>
        <v>17</v>
      </c>
    </row>
    <row r="266" spans="2:7" x14ac:dyDescent="0.35">
      <c r="B266" s="1">
        <v>45669</v>
      </c>
      <c r="C266" s="2">
        <v>0</v>
      </c>
      <c r="D266">
        <v>-1.4</v>
      </c>
      <c r="E266">
        <f>IF($D266 &gt; 16, 0, $J$3*(16 - $D266))</f>
        <v>3614.8263829921275</v>
      </c>
      <c r="F266">
        <f>IF($D266 &gt; 16, 0,$E266*$J$5)</f>
        <v>39289547.956741437</v>
      </c>
      <c r="G266">
        <f t="shared" si="4"/>
        <v>17.399999999999999</v>
      </c>
    </row>
    <row r="267" spans="2:7" x14ac:dyDescent="0.35">
      <c r="B267" s="1">
        <v>45669</v>
      </c>
      <c r="C267" s="2">
        <v>4.1666666666666657E-2</v>
      </c>
      <c r="D267">
        <v>-1.3</v>
      </c>
      <c r="E267">
        <f>IF($D267 &gt; 16, 0, $J$3*(16 - $D267))</f>
        <v>3594.0515187220581</v>
      </c>
      <c r="F267">
        <f>IF($D267 &gt; 16, 0,$E267*$J$5)</f>
        <v>39063745.956990048</v>
      </c>
      <c r="G267">
        <f t="shared" si="4"/>
        <v>17.3</v>
      </c>
    </row>
    <row r="268" spans="2:7" x14ac:dyDescent="0.35">
      <c r="B268" s="1">
        <v>45669</v>
      </c>
      <c r="C268" s="2">
        <v>8.3333333333333329E-2</v>
      </c>
      <c r="D268">
        <v>-1.6</v>
      </c>
      <c r="E268">
        <f>IF($D268 &gt; 16, 0, $J$3*(16 - $D268))</f>
        <v>3656.3761115322673</v>
      </c>
      <c r="F268">
        <f>IF($D268 &gt; 16, 0,$E268*$J$5)</f>
        <v>39741151.956244215</v>
      </c>
      <c r="G268">
        <f t="shared" si="4"/>
        <v>17.600000000000001</v>
      </c>
    </row>
    <row r="269" spans="2:7" x14ac:dyDescent="0.35">
      <c r="B269" s="1">
        <v>45669</v>
      </c>
      <c r="C269" s="2">
        <v>0.125</v>
      </c>
      <c r="D269">
        <v>-2.2000000000000002</v>
      </c>
      <c r="E269">
        <f>IF($D269 &gt; 16, 0, $J$3*(16 - $D269))</f>
        <v>3781.0252971526852</v>
      </c>
      <c r="F269">
        <f>IF($D269 &gt; 16, 0,$E269*$J$5)</f>
        <v>41095963.954752535</v>
      </c>
      <c r="G269">
        <f t="shared" si="4"/>
        <v>18.2</v>
      </c>
    </row>
    <row r="270" spans="2:7" x14ac:dyDescent="0.35">
      <c r="B270" s="1">
        <v>45669</v>
      </c>
      <c r="C270" s="2">
        <v>0.16666666666666671</v>
      </c>
      <c r="D270">
        <v>-1.9</v>
      </c>
      <c r="E270">
        <f>IF($D270 &gt; 16, 0, $J$3*(16 - $D270))</f>
        <v>3718.700704342476</v>
      </c>
      <c r="F270">
        <f>IF($D270 &gt; 16, 0,$E270*$J$5)</f>
        <v>40418557.955498375</v>
      </c>
      <c r="G270">
        <f t="shared" si="4"/>
        <v>17.899999999999999</v>
      </c>
    </row>
    <row r="271" spans="2:7" x14ac:dyDescent="0.35">
      <c r="B271" s="1">
        <v>45669</v>
      </c>
      <c r="C271" s="2">
        <v>0.20833333333333329</v>
      </c>
      <c r="D271">
        <v>-1.9</v>
      </c>
      <c r="E271">
        <f>IF($D271 &gt; 16, 0, $J$3*(16 - $D271))</f>
        <v>3718.700704342476</v>
      </c>
      <c r="F271">
        <f>IF($D271 &gt; 16, 0,$E271*$J$5)</f>
        <v>40418557.955498375</v>
      </c>
      <c r="G271">
        <f t="shared" si="4"/>
        <v>17.899999999999999</v>
      </c>
    </row>
    <row r="272" spans="2:7" x14ac:dyDescent="0.35">
      <c r="B272" s="1">
        <v>45669</v>
      </c>
      <c r="C272" s="2">
        <v>0.25</v>
      </c>
      <c r="D272">
        <v>-2</v>
      </c>
      <c r="E272">
        <f>IF($D272 &gt; 16, 0, $J$3*(16 - $D272))</f>
        <v>3739.4755686125459</v>
      </c>
      <c r="F272">
        <f>IF($D272 &gt; 16, 0,$E272*$J$5)</f>
        <v>40644359.955249764</v>
      </c>
      <c r="G272">
        <f t="shared" si="4"/>
        <v>18</v>
      </c>
    </row>
    <row r="273" spans="2:7" x14ac:dyDescent="0.35">
      <c r="B273" s="1">
        <v>45669</v>
      </c>
      <c r="C273" s="2">
        <v>0.29166666666666669</v>
      </c>
      <c r="D273">
        <v>-2</v>
      </c>
      <c r="E273">
        <f>IF($D273 &gt; 16, 0, $J$3*(16 - $D273))</f>
        <v>3739.4755686125459</v>
      </c>
      <c r="F273">
        <f>IF($D273 &gt; 16, 0,$E273*$J$5)</f>
        <v>40644359.955249764</v>
      </c>
      <c r="G273">
        <f t="shared" si="4"/>
        <v>18</v>
      </c>
    </row>
    <row r="274" spans="2:7" x14ac:dyDescent="0.35">
      <c r="B274" s="1">
        <v>45669</v>
      </c>
      <c r="C274" s="2">
        <v>0.33333333333333331</v>
      </c>
      <c r="D274">
        <v>-1.9</v>
      </c>
      <c r="E274">
        <f>IF($D274 &gt; 16, 0, $J$3*(16 - $D274))</f>
        <v>3718.700704342476</v>
      </c>
      <c r="F274">
        <f>IF($D274 &gt; 16, 0,$E274*$J$5)</f>
        <v>40418557.955498375</v>
      </c>
      <c r="G274">
        <f t="shared" si="4"/>
        <v>17.899999999999999</v>
      </c>
    </row>
    <row r="275" spans="2:7" x14ac:dyDescent="0.35">
      <c r="B275" s="1">
        <v>45669</v>
      </c>
      <c r="C275" s="2">
        <v>0.375</v>
      </c>
      <c r="D275">
        <v>-1.3</v>
      </c>
      <c r="E275">
        <f>IF($D275 &gt; 16, 0, $J$3*(16 - $D275))</f>
        <v>3594.0515187220581</v>
      </c>
      <c r="F275">
        <f>IF($D275 &gt; 16, 0,$E275*$J$5)</f>
        <v>39063745.956990048</v>
      </c>
      <c r="G275">
        <f t="shared" si="4"/>
        <v>17.3</v>
      </c>
    </row>
    <row r="276" spans="2:7" x14ac:dyDescent="0.35">
      <c r="B276" s="1">
        <v>45669</v>
      </c>
      <c r="C276" s="2">
        <v>0.41666666666666669</v>
      </c>
      <c r="D276">
        <v>-0.2</v>
      </c>
      <c r="E276">
        <f>IF($D276 &gt; 16, 0, $J$3*(16 - $D276))</f>
        <v>3365.5280117512912</v>
      </c>
      <c r="F276">
        <f>IF($D276 &gt; 16, 0,$E276*$J$5)</f>
        <v>36579923.959724784</v>
      </c>
      <c r="G276">
        <f t="shared" si="4"/>
        <v>16.2</v>
      </c>
    </row>
    <row r="277" spans="2:7" x14ac:dyDescent="0.35">
      <c r="B277" s="1">
        <v>45669</v>
      </c>
      <c r="C277" s="2">
        <v>0.45833333333333331</v>
      </c>
      <c r="D277">
        <v>0.5</v>
      </c>
      <c r="E277">
        <f>IF($D277 &gt; 16, 0, $J$3*(16 - $D277))</f>
        <v>3220.1039618608033</v>
      </c>
      <c r="F277">
        <f>IF($D277 &gt; 16, 0,$E277*$J$5)</f>
        <v>34999309.961465068</v>
      </c>
      <c r="G277">
        <f t="shared" si="4"/>
        <v>15.5</v>
      </c>
    </row>
    <row r="278" spans="2:7" x14ac:dyDescent="0.35">
      <c r="B278" s="1">
        <v>45669</v>
      </c>
      <c r="C278" s="2">
        <v>0.5</v>
      </c>
      <c r="D278">
        <v>1.5</v>
      </c>
      <c r="E278">
        <f>IF($D278 &gt; 16, 0, $J$3*(16 - $D278))</f>
        <v>3012.3553191601063</v>
      </c>
      <c r="F278">
        <f>IF($D278 &gt; 16, 0,$E278*$J$5)</f>
        <v>32741289.963951197</v>
      </c>
      <c r="G278">
        <f t="shared" si="4"/>
        <v>14.5</v>
      </c>
    </row>
    <row r="279" spans="2:7" x14ac:dyDescent="0.35">
      <c r="B279" s="1">
        <v>45669</v>
      </c>
      <c r="C279" s="2">
        <v>0.54166666666666663</v>
      </c>
      <c r="D279">
        <v>1.9</v>
      </c>
      <c r="E279">
        <f>IF($D279 &gt; 16, 0, $J$3*(16 - $D279))</f>
        <v>2929.2558620798277</v>
      </c>
      <c r="F279">
        <f>IF($D279 &gt; 16, 0,$E279*$J$5)</f>
        <v>31838081.964945648</v>
      </c>
      <c r="G279">
        <f t="shared" si="4"/>
        <v>14.1</v>
      </c>
    </row>
    <row r="280" spans="2:7" x14ac:dyDescent="0.35">
      <c r="B280" s="1">
        <v>45669</v>
      </c>
      <c r="C280" s="2">
        <v>0.58333333333333337</v>
      </c>
      <c r="D280">
        <v>2.1</v>
      </c>
      <c r="E280">
        <f>IF($D280 &gt; 16, 0, $J$3*(16 - $D280))</f>
        <v>2887.7061335396884</v>
      </c>
      <c r="F280">
        <f>IF($D280 &gt; 16, 0,$E280*$J$5)</f>
        <v>31386477.965442874</v>
      </c>
      <c r="G280">
        <f t="shared" si="4"/>
        <v>13.9</v>
      </c>
    </row>
    <row r="281" spans="2:7" x14ac:dyDescent="0.35">
      <c r="B281" s="1">
        <v>45669</v>
      </c>
      <c r="C281" s="2">
        <v>0.625</v>
      </c>
      <c r="D281">
        <v>1.3</v>
      </c>
      <c r="E281">
        <f>IF($D281 &gt; 16, 0, $J$3*(16 - $D281))</f>
        <v>3053.9050477002456</v>
      </c>
      <c r="F281">
        <f>IF($D281 &gt; 16, 0,$E281*$J$5)</f>
        <v>33192893.963453971</v>
      </c>
      <c r="G281">
        <f t="shared" si="4"/>
        <v>14.7</v>
      </c>
    </row>
    <row r="282" spans="2:7" x14ac:dyDescent="0.35">
      <c r="B282" s="1">
        <v>45669</v>
      </c>
      <c r="C282" s="2">
        <v>0.66666666666666663</v>
      </c>
      <c r="D282">
        <v>-0.6</v>
      </c>
      <c r="E282">
        <f>IF($D282 &gt; 16, 0, $J$3*(16 - $D282))</f>
        <v>3448.6274688315702</v>
      </c>
      <c r="F282">
        <f>IF($D282 &gt; 16, 0,$E282*$J$5)</f>
        <v>37483131.95873034</v>
      </c>
      <c r="G282">
        <f t="shared" si="4"/>
        <v>16.600000000000001</v>
      </c>
    </row>
    <row r="283" spans="2:7" x14ac:dyDescent="0.35">
      <c r="B283" s="1">
        <v>45669</v>
      </c>
      <c r="C283" s="2">
        <v>0.70833333333333337</v>
      </c>
      <c r="D283">
        <v>-1</v>
      </c>
      <c r="E283">
        <f>IF($D283 &gt; 16, 0, $J$3*(16 - $D283))</f>
        <v>3531.7269259118489</v>
      </c>
      <c r="F283">
        <f>IF($D283 &gt; 16, 0,$E283*$J$5)</f>
        <v>38386339.957735889</v>
      </c>
      <c r="G283">
        <f t="shared" si="4"/>
        <v>17</v>
      </c>
    </row>
    <row r="284" spans="2:7" x14ac:dyDescent="0.35">
      <c r="B284" s="1">
        <v>45669</v>
      </c>
      <c r="C284" s="2">
        <v>0.75</v>
      </c>
      <c r="D284">
        <v>-1.4</v>
      </c>
      <c r="E284">
        <f>IF($D284 &gt; 16, 0, $J$3*(16 - $D284))</f>
        <v>3614.8263829921275</v>
      </c>
      <c r="F284">
        <f>IF($D284 &gt; 16, 0,$E284*$J$5)</f>
        <v>39289547.956741437</v>
      </c>
      <c r="G284">
        <f t="shared" si="4"/>
        <v>17.399999999999999</v>
      </c>
    </row>
    <row r="285" spans="2:7" x14ac:dyDescent="0.35">
      <c r="B285" s="1">
        <v>45669</v>
      </c>
      <c r="C285" s="2">
        <v>0.79166666666666663</v>
      </c>
      <c r="D285">
        <v>-2.8</v>
      </c>
      <c r="E285">
        <f>IF($D285 &gt; 16, 0, $J$3*(16 - $D285))</f>
        <v>3905.6744827731036</v>
      </c>
      <c r="F285">
        <f>IF($D285 &gt; 16, 0,$E285*$J$5)</f>
        <v>42450775.953260861</v>
      </c>
      <c r="G285">
        <f t="shared" si="4"/>
        <v>18.8</v>
      </c>
    </row>
    <row r="286" spans="2:7" x14ac:dyDescent="0.35">
      <c r="B286" s="1">
        <v>45669</v>
      </c>
      <c r="C286" s="2">
        <v>0.83333333333333337</v>
      </c>
      <c r="D286">
        <v>-4.4000000000000004</v>
      </c>
      <c r="E286">
        <f>IF($D286 &gt; 16, 0, $J$3*(16 - $D286))</f>
        <v>4238.0723110942181</v>
      </c>
      <c r="F286">
        <f>IF($D286 &gt; 16, 0,$E286*$J$5)</f>
        <v>46063607.949283056</v>
      </c>
      <c r="G286">
        <f t="shared" si="4"/>
        <v>20.399999999999999</v>
      </c>
    </row>
    <row r="287" spans="2:7" x14ac:dyDescent="0.35">
      <c r="B287" s="1">
        <v>45669</v>
      </c>
      <c r="C287" s="2">
        <v>0.875</v>
      </c>
      <c r="D287">
        <v>-5</v>
      </c>
      <c r="E287">
        <f>IF($D287 &gt; 16, 0, $J$3*(16 - $D287))</f>
        <v>4362.7214967146365</v>
      </c>
      <c r="F287">
        <f>IF($D287 &gt; 16, 0,$E287*$J$5)</f>
        <v>47418419.947791383</v>
      </c>
      <c r="G287">
        <f t="shared" si="4"/>
        <v>21</v>
      </c>
    </row>
    <row r="288" spans="2:7" x14ac:dyDescent="0.35">
      <c r="B288" s="1">
        <v>45669</v>
      </c>
      <c r="C288" s="2">
        <v>0.91666666666666663</v>
      </c>
      <c r="D288">
        <v>-4.4000000000000004</v>
      </c>
      <c r="E288">
        <f>IF($D288 &gt; 16, 0, $J$3*(16 - $D288))</f>
        <v>4238.0723110942181</v>
      </c>
      <c r="F288">
        <f>IF($D288 &gt; 16, 0,$E288*$J$5)</f>
        <v>46063607.949283056</v>
      </c>
      <c r="G288">
        <f t="shared" si="4"/>
        <v>20.399999999999999</v>
      </c>
    </row>
    <row r="289" spans="2:7" x14ac:dyDescent="0.35">
      <c r="B289" s="1">
        <v>45669</v>
      </c>
      <c r="C289" s="2">
        <v>0.95833333333333337</v>
      </c>
      <c r="D289">
        <v>-5.6</v>
      </c>
      <c r="E289">
        <f>IF($D289 &gt; 16, 0, $J$3*(16 - $D289))</f>
        <v>4487.3706823350549</v>
      </c>
      <c r="F289">
        <f>IF($D289 &gt; 16, 0,$E289*$J$5)</f>
        <v>48773231.946299709</v>
      </c>
      <c r="G289">
        <f t="shared" si="4"/>
        <v>21.6</v>
      </c>
    </row>
    <row r="290" spans="2:7" x14ac:dyDescent="0.35">
      <c r="B290" s="1">
        <v>45670</v>
      </c>
      <c r="C290" s="2">
        <v>0</v>
      </c>
      <c r="D290">
        <v>-6.9</v>
      </c>
      <c r="E290">
        <f>IF($D290 &gt; 16, 0, $J$3*(16 - $D290))</f>
        <v>4757.4439178459606</v>
      </c>
      <c r="F290">
        <f>IF($D290 &gt; 16, 0,$E290*$J$5)</f>
        <v>51708657.943067744</v>
      </c>
      <c r="G290">
        <f t="shared" si="4"/>
        <v>22.9</v>
      </c>
    </row>
    <row r="291" spans="2:7" x14ac:dyDescent="0.35">
      <c r="B291" s="1">
        <v>45670</v>
      </c>
      <c r="C291" s="2">
        <v>4.1666666666666657E-2</v>
      </c>
      <c r="D291">
        <v>-6.6</v>
      </c>
      <c r="E291">
        <f>IF($D291 &gt; 16, 0, $J$3*(16 - $D291))</f>
        <v>4695.1193250357519</v>
      </c>
      <c r="F291">
        <f>IF($D291 &gt; 16, 0,$E291*$J$5)</f>
        <v>51031251.943813585</v>
      </c>
      <c r="G291">
        <f t="shared" si="4"/>
        <v>22.6</v>
      </c>
    </row>
    <row r="292" spans="2:7" x14ac:dyDescent="0.35">
      <c r="B292" s="1">
        <v>45670</v>
      </c>
      <c r="C292" s="2">
        <v>8.3333333333333329E-2</v>
      </c>
      <c r="D292">
        <v>-7.4</v>
      </c>
      <c r="E292">
        <f>IF($D292 &gt; 16, 0, $J$3*(16 - $D292))</f>
        <v>4861.3182391963092</v>
      </c>
      <c r="F292">
        <f>IF($D292 &gt; 16, 0,$E292*$J$5)</f>
        <v>52837667.941824682</v>
      </c>
      <c r="G292">
        <f t="shared" si="4"/>
        <v>23.4</v>
      </c>
    </row>
    <row r="293" spans="2:7" x14ac:dyDescent="0.35">
      <c r="B293" s="1">
        <v>45670</v>
      </c>
      <c r="C293" s="2">
        <v>0.125</v>
      </c>
      <c r="D293">
        <v>-6.7</v>
      </c>
      <c r="E293">
        <f>IF($D293 &gt; 16, 0, $J$3*(16 - $D293))</f>
        <v>4715.8941893058218</v>
      </c>
      <c r="F293">
        <f>IF($D293 &gt; 16, 0,$E293*$J$5)</f>
        <v>51257053.943564974</v>
      </c>
      <c r="G293">
        <f t="shared" si="4"/>
        <v>22.7</v>
      </c>
    </row>
    <row r="294" spans="2:7" x14ac:dyDescent="0.35">
      <c r="B294" s="1">
        <v>45670</v>
      </c>
      <c r="C294" s="2">
        <v>0.16666666666666671</v>
      </c>
      <c r="D294">
        <v>-7.6</v>
      </c>
      <c r="E294">
        <f>IF($D294 &gt; 16, 0, $J$3*(16 - $D294))</f>
        <v>4902.8679677364489</v>
      </c>
      <c r="F294">
        <f>IF($D294 &gt; 16, 0,$E294*$J$5)</f>
        <v>53289271.94132746</v>
      </c>
      <c r="G294">
        <f t="shared" si="4"/>
        <v>23.6</v>
      </c>
    </row>
    <row r="295" spans="2:7" x14ac:dyDescent="0.35">
      <c r="B295" s="1">
        <v>45670</v>
      </c>
      <c r="C295" s="2">
        <v>0.20833333333333329</v>
      </c>
      <c r="D295">
        <v>-7.2</v>
      </c>
      <c r="E295">
        <f>IF($D295 &gt; 16, 0, $J$3*(16 - $D295))</f>
        <v>4819.7685106561703</v>
      </c>
      <c r="F295">
        <f>IF($D295 &gt; 16, 0,$E295*$J$5)</f>
        <v>52386063.942321911</v>
      </c>
      <c r="G295">
        <f t="shared" si="4"/>
        <v>23.2</v>
      </c>
    </row>
    <row r="296" spans="2:7" x14ac:dyDescent="0.35">
      <c r="B296" s="1">
        <v>45670</v>
      </c>
      <c r="C296" s="2">
        <v>0.25</v>
      </c>
      <c r="D296">
        <v>-7.8</v>
      </c>
      <c r="E296">
        <f>IF($D296 &gt; 16, 0, $J$3*(16 - $D296))</f>
        <v>4944.4176962765887</v>
      </c>
      <c r="F296">
        <f>IF($D296 &gt; 16, 0,$E296*$J$5)</f>
        <v>53740875.940830246</v>
      </c>
      <c r="G296">
        <f t="shared" si="4"/>
        <v>23.8</v>
      </c>
    </row>
    <row r="297" spans="2:7" x14ac:dyDescent="0.35">
      <c r="B297" s="1">
        <v>45670</v>
      </c>
      <c r="C297" s="2">
        <v>0.29166666666666669</v>
      </c>
      <c r="D297">
        <v>-8.4</v>
      </c>
      <c r="E297">
        <f>IF($D297 &gt; 16, 0, $J$3*(16 - $D297))</f>
        <v>5069.0668818970062</v>
      </c>
      <c r="F297">
        <f>IF($D297 &gt; 16, 0,$E297*$J$5)</f>
        <v>55095687.939338557</v>
      </c>
      <c r="G297">
        <f t="shared" si="4"/>
        <v>24.4</v>
      </c>
    </row>
    <row r="298" spans="2:7" x14ac:dyDescent="0.35">
      <c r="B298" s="1">
        <v>45670</v>
      </c>
      <c r="C298" s="2">
        <v>0.33333333333333331</v>
      </c>
      <c r="D298">
        <v>-6</v>
      </c>
      <c r="E298">
        <f>IF($D298 &gt; 16, 0, $J$3*(16 - $D298))</f>
        <v>4570.4701394153335</v>
      </c>
      <c r="F298">
        <f>IF($D298 &gt; 16, 0,$E298*$J$5)</f>
        <v>49676439.945305258</v>
      </c>
      <c r="G298">
        <f t="shared" si="4"/>
        <v>22</v>
      </c>
    </row>
    <row r="299" spans="2:7" x14ac:dyDescent="0.35">
      <c r="B299" s="1">
        <v>45670</v>
      </c>
      <c r="C299" s="2">
        <v>0.375</v>
      </c>
      <c r="D299">
        <v>-3.9</v>
      </c>
      <c r="E299">
        <f>IF($D299 &gt; 16, 0, $J$3*(16 - $D299))</f>
        <v>4134.1979897438696</v>
      </c>
      <c r="F299">
        <f>IF($D299 &gt; 16, 0,$E299*$J$5)</f>
        <v>44934597.950526118</v>
      </c>
      <c r="G299">
        <f t="shared" si="4"/>
        <v>19.899999999999999</v>
      </c>
    </row>
    <row r="300" spans="2:7" x14ac:dyDescent="0.35">
      <c r="B300" s="1">
        <v>45670</v>
      </c>
      <c r="C300" s="2">
        <v>0.41666666666666669</v>
      </c>
      <c r="D300">
        <v>-2.4</v>
      </c>
      <c r="E300">
        <f>IF($D300 &gt; 16, 0, $J$3*(16 - $D300))</f>
        <v>3822.5750256928245</v>
      </c>
      <c r="F300">
        <f>IF($D300 &gt; 16, 0,$E300*$J$5)</f>
        <v>41547567.954255313</v>
      </c>
      <c r="G300">
        <f t="shared" si="4"/>
        <v>18.399999999999999</v>
      </c>
    </row>
    <row r="301" spans="2:7" x14ac:dyDescent="0.35">
      <c r="B301" s="1">
        <v>45670</v>
      </c>
      <c r="C301" s="2">
        <v>0.45833333333333331</v>
      </c>
      <c r="D301">
        <v>-0.9</v>
      </c>
      <c r="E301">
        <f>IF($D301 &gt; 16, 0, $J$3*(16 - $D301))</f>
        <v>3510.952061641779</v>
      </c>
      <c r="F301">
        <f>IF($D301 &gt; 16, 0,$E301*$J$5)</f>
        <v>38160537.957984492</v>
      </c>
      <c r="G301">
        <f t="shared" si="4"/>
        <v>16.899999999999999</v>
      </c>
    </row>
    <row r="302" spans="2:7" x14ac:dyDescent="0.35">
      <c r="B302" s="1">
        <v>45670</v>
      </c>
      <c r="C302" s="2">
        <v>0.5</v>
      </c>
      <c r="D302">
        <v>-0.1</v>
      </c>
      <c r="E302">
        <f>IF($D302 &gt; 16, 0, $J$3*(16 - $D302))</f>
        <v>3344.7531474812217</v>
      </c>
      <c r="F302">
        <f>IF($D302 &gt; 16, 0,$E302*$J$5)</f>
        <v>36354121.959973402</v>
      </c>
      <c r="G302">
        <f t="shared" si="4"/>
        <v>16.100000000000001</v>
      </c>
    </row>
    <row r="303" spans="2:7" x14ac:dyDescent="0.35">
      <c r="B303" s="1">
        <v>45670</v>
      </c>
      <c r="C303" s="2">
        <v>0.54166666666666663</v>
      </c>
      <c r="D303">
        <v>0.6</v>
      </c>
      <c r="E303">
        <f>IF($D303 &gt; 16, 0, $J$3*(16 - $D303))</f>
        <v>3199.3290975907339</v>
      </c>
      <c r="F303">
        <f>IF($D303 &gt; 16, 0,$E303*$J$5)</f>
        <v>34773507.961713687</v>
      </c>
      <c r="G303">
        <f t="shared" si="4"/>
        <v>15.4</v>
      </c>
    </row>
    <row r="304" spans="2:7" x14ac:dyDescent="0.35">
      <c r="B304" s="1">
        <v>45670</v>
      </c>
      <c r="C304" s="2">
        <v>0.58333333333333337</v>
      </c>
      <c r="D304">
        <v>0.7</v>
      </c>
      <c r="E304">
        <f>IF($D304 &gt; 16, 0, $J$3*(16 - $D304))</f>
        <v>3178.554233320664</v>
      </c>
      <c r="F304">
        <f>IF($D304 &gt; 16, 0,$E304*$J$5)</f>
        <v>34547705.961962298</v>
      </c>
      <c r="G304">
        <f t="shared" si="4"/>
        <v>15.3</v>
      </c>
    </row>
    <row r="305" spans="2:7" x14ac:dyDescent="0.35">
      <c r="B305" s="1">
        <v>45670</v>
      </c>
      <c r="C305" s="2">
        <v>0.625</v>
      </c>
      <c r="D305">
        <v>0</v>
      </c>
      <c r="E305">
        <f>IF($D305 &gt; 16, 0, $J$3*(16 - $D305))</f>
        <v>3323.9782832111518</v>
      </c>
      <c r="F305">
        <f>IF($D305 &gt; 16, 0,$E305*$J$5)</f>
        <v>36128319.960222006</v>
      </c>
      <c r="G305">
        <f t="shared" si="4"/>
        <v>16</v>
      </c>
    </row>
    <row r="306" spans="2:7" x14ac:dyDescent="0.35">
      <c r="B306" s="1">
        <v>45670</v>
      </c>
      <c r="C306" s="2">
        <v>0.66666666666666663</v>
      </c>
      <c r="D306">
        <v>-0.9</v>
      </c>
      <c r="E306">
        <f>IF($D306 &gt; 16, 0, $J$3*(16 - $D306))</f>
        <v>3510.952061641779</v>
      </c>
      <c r="F306">
        <f>IF($D306 &gt; 16, 0,$E306*$J$5)</f>
        <v>38160537.957984492</v>
      </c>
      <c r="G306">
        <f t="shared" si="4"/>
        <v>16.899999999999999</v>
      </c>
    </row>
    <row r="307" spans="2:7" x14ac:dyDescent="0.35">
      <c r="B307" s="1">
        <v>45670</v>
      </c>
      <c r="C307" s="2">
        <v>0.70833333333333337</v>
      </c>
      <c r="D307">
        <v>-1.7</v>
      </c>
      <c r="E307">
        <f>IF($D307 &gt; 16, 0, $J$3*(16 - $D307))</f>
        <v>3677.1509758023367</v>
      </c>
      <c r="F307">
        <f>IF($D307 &gt; 16, 0,$E307*$J$5)</f>
        <v>39966953.955995597</v>
      </c>
      <c r="G307">
        <f t="shared" si="4"/>
        <v>17.7</v>
      </c>
    </row>
    <row r="308" spans="2:7" x14ac:dyDescent="0.35">
      <c r="B308" s="1">
        <v>45670</v>
      </c>
      <c r="C308" s="2">
        <v>0.75</v>
      </c>
      <c r="D308">
        <v>-1.9</v>
      </c>
      <c r="E308">
        <f>IF($D308 &gt; 16, 0, $J$3*(16 - $D308))</f>
        <v>3718.700704342476</v>
      </c>
      <c r="F308">
        <f>IF($D308 &gt; 16, 0,$E308*$J$5)</f>
        <v>40418557.955498375</v>
      </c>
      <c r="G308">
        <f t="shared" si="4"/>
        <v>17.899999999999999</v>
      </c>
    </row>
    <row r="309" spans="2:7" x14ac:dyDescent="0.35">
      <c r="B309" s="1">
        <v>45670</v>
      </c>
      <c r="C309" s="2">
        <v>0.79166666666666663</v>
      </c>
      <c r="D309">
        <v>-1.6</v>
      </c>
      <c r="E309">
        <f>IF($D309 &gt; 16, 0, $J$3*(16 - $D309))</f>
        <v>3656.3761115322673</v>
      </c>
      <c r="F309">
        <f>IF($D309 &gt; 16, 0,$E309*$J$5)</f>
        <v>39741151.956244215</v>
      </c>
      <c r="G309">
        <f t="shared" si="4"/>
        <v>17.600000000000001</v>
      </c>
    </row>
    <row r="310" spans="2:7" x14ac:dyDescent="0.35">
      <c r="B310" s="1">
        <v>45670</v>
      </c>
      <c r="C310" s="2">
        <v>0.83333333333333337</v>
      </c>
      <c r="D310">
        <v>-1.4</v>
      </c>
      <c r="E310">
        <f>IF($D310 &gt; 16, 0, $J$3*(16 - $D310))</f>
        <v>3614.8263829921275</v>
      </c>
      <c r="F310">
        <f>IF($D310 &gt; 16, 0,$E310*$J$5)</f>
        <v>39289547.956741437</v>
      </c>
      <c r="G310">
        <f t="shared" si="4"/>
        <v>17.399999999999999</v>
      </c>
    </row>
    <row r="311" spans="2:7" x14ac:dyDescent="0.35">
      <c r="B311" s="1">
        <v>45670</v>
      </c>
      <c r="C311" s="2">
        <v>0.875</v>
      </c>
      <c r="D311">
        <v>-1.5</v>
      </c>
      <c r="E311">
        <f>IF($D311 &gt; 16, 0, $J$3*(16 - $D311))</f>
        <v>3635.6012472621974</v>
      </c>
      <c r="F311">
        <f>IF($D311 &gt; 16, 0,$E311*$J$5)</f>
        <v>39515349.956492826</v>
      </c>
      <c r="G311">
        <f t="shared" si="4"/>
        <v>17.5</v>
      </c>
    </row>
    <row r="312" spans="2:7" x14ac:dyDescent="0.35">
      <c r="B312" s="1">
        <v>45670</v>
      </c>
      <c r="C312" s="2">
        <v>0.91666666666666663</v>
      </c>
      <c r="D312">
        <v>-1.7</v>
      </c>
      <c r="E312">
        <f>IF($D312 &gt; 16, 0, $J$3*(16 - $D312))</f>
        <v>3677.1509758023367</v>
      </c>
      <c r="F312">
        <f>IF($D312 &gt; 16, 0,$E312*$J$5)</f>
        <v>39966953.955995597</v>
      </c>
      <c r="G312">
        <f t="shared" si="4"/>
        <v>17.7</v>
      </c>
    </row>
    <row r="313" spans="2:7" x14ac:dyDescent="0.35">
      <c r="B313" s="1">
        <v>45670</v>
      </c>
      <c r="C313" s="2">
        <v>0.95833333333333337</v>
      </c>
      <c r="D313">
        <v>-1.8</v>
      </c>
      <c r="E313">
        <f>IF($D313 &gt; 16, 0, $J$3*(16 - $D313))</f>
        <v>3697.9258400724066</v>
      </c>
      <c r="F313">
        <f>IF($D313 &gt; 16, 0,$E313*$J$5)</f>
        <v>40192755.955746986</v>
      </c>
      <c r="G313">
        <f t="shared" si="4"/>
        <v>17.8</v>
      </c>
    </row>
    <row r="314" spans="2:7" x14ac:dyDescent="0.35">
      <c r="B314" s="1">
        <v>45671</v>
      </c>
      <c r="C314" s="2">
        <v>0</v>
      </c>
      <c r="D314">
        <v>-2.4</v>
      </c>
      <c r="E314">
        <f>IF($D314 &gt; 16, 0, $J$3*(16 - $D314))</f>
        <v>3822.5750256928245</v>
      </c>
      <c r="F314">
        <f>IF($D314 &gt; 16, 0,$E314*$J$5)</f>
        <v>41547567.954255313</v>
      </c>
      <c r="G314">
        <f t="shared" si="4"/>
        <v>18.399999999999999</v>
      </c>
    </row>
    <row r="315" spans="2:7" x14ac:dyDescent="0.35">
      <c r="B315" s="1">
        <v>45671</v>
      </c>
      <c r="C315" s="2">
        <v>4.1666666666666657E-2</v>
      </c>
      <c r="D315">
        <v>-2.8</v>
      </c>
      <c r="E315">
        <f>IF($D315 &gt; 16, 0, $J$3*(16 - $D315))</f>
        <v>3905.6744827731036</v>
      </c>
      <c r="F315">
        <f>IF($D315 &gt; 16, 0,$E315*$J$5)</f>
        <v>42450775.953260861</v>
      </c>
      <c r="G315">
        <f t="shared" si="4"/>
        <v>18.8</v>
      </c>
    </row>
    <row r="316" spans="2:7" x14ac:dyDescent="0.35">
      <c r="B316" s="1">
        <v>45671</v>
      </c>
      <c r="C316" s="2">
        <v>8.3333333333333329E-2</v>
      </c>
      <c r="D316">
        <v>-2.1</v>
      </c>
      <c r="E316">
        <f>IF($D316 &gt; 16, 0, $J$3*(16 - $D316))</f>
        <v>3760.2504328826158</v>
      </c>
      <c r="F316">
        <f>IF($D316 &gt; 16, 0,$E316*$J$5)</f>
        <v>40870161.955001153</v>
      </c>
      <c r="G316">
        <f t="shared" si="4"/>
        <v>18.100000000000001</v>
      </c>
    </row>
    <row r="317" spans="2:7" x14ac:dyDescent="0.35">
      <c r="B317" s="1">
        <v>45671</v>
      </c>
      <c r="C317" s="2">
        <v>0.125</v>
      </c>
      <c r="D317">
        <v>-1.7</v>
      </c>
      <c r="E317">
        <f>IF($D317 &gt; 16, 0, $J$3*(16 - $D317))</f>
        <v>3677.1509758023367</v>
      </c>
      <c r="F317">
        <f>IF($D317 &gt; 16, 0,$E317*$J$5)</f>
        <v>39966953.955995597</v>
      </c>
      <c r="G317">
        <f t="shared" si="4"/>
        <v>17.7</v>
      </c>
    </row>
    <row r="318" spans="2:7" x14ac:dyDescent="0.35">
      <c r="B318" s="1">
        <v>45671</v>
      </c>
      <c r="C318" s="2">
        <v>0.16666666666666671</v>
      </c>
      <c r="D318">
        <v>-1.4</v>
      </c>
      <c r="E318">
        <f>IF($D318 &gt; 16, 0, $J$3*(16 - $D318))</f>
        <v>3614.8263829921275</v>
      </c>
      <c r="F318">
        <f>IF($D318 &gt; 16, 0,$E318*$J$5)</f>
        <v>39289547.956741437</v>
      </c>
      <c r="G318">
        <f t="shared" si="4"/>
        <v>17.399999999999999</v>
      </c>
    </row>
    <row r="319" spans="2:7" x14ac:dyDescent="0.35">
      <c r="B319" s="1">
        <v>45671</v>
      </c>
      <c r="C319" s="2">
        <v>0.20833333333333329</v>
      </c>
      <c r="D319">
        <v>-1.1000000000000001</v>
      </c>
      <c r="E319">
        <f>IF($D319 &gt; 16, 0, $J$3*(16 - $D319))</f>
        <v>3552.5017901819188</v>
      </c>
      <c r="F319">
        <f>IF($D319 &gt; 16, 0,$E319*$J$5)</f>
        <v>38612141.957487278</v>
      </c>
      <c r="G319">
        <f t="shared" si="4"/>
        <v>17.100000000000001</v>
      </c>
    </row>
    <row r="320" spans="2:7" x14ac:dyDescent="0.35">
      <c r="B320" s="1">
        <v>45671</v>
      </c>
      <c r="C320" s="2">
        <v>0.25</v>
      </c>
      <c r="D320">
        <v>-0.5</v>
      </c>
      <c r="E320">
        <f>IF($D320 &gt; 16, 0, $J$3*(16 - $D320))</f>
        <v>3427.8526045615004</v>
      </c>
      <c r="F320">
        <f>IF($D320 &gt; 16, 0,$E320*$J$5)</f>
        <v>37257329.958978951</v>
      </c>
      <c r="G320">
        <f t="shared" si="4"/>
        <v>16.5</v>
      </c>
    </row>
    <row r="321" spans="2:7" x14ac:dyDescent="0.35">
      <c r="B321" s="1">
        <v>45671</v>
      </c>
      <c r="C321" s="2">
        <v>0.29166666666666669</v>
      </c>
      <c r="D321">
        <v>-0.4</v>
      </c>
      <c r="E321">
        <f>IF($D321 &gt; 16, 0, $J$3*(16 - $D321))</f>
        <v>3407.0777402914305</v>
      </c>
      <c r="F321">
        <f>IF($D321 &gt; 16, 0,$E321*$J$5)</f>
        <v>37031527.959227555</v>
      </c>
      <c r="G321">
        <f t="shared" si="4"/>
        <v>16.399999999999999</v>
      </c>
    </row>
    <row r="322" spans="2:7" x14ac:dyDescent="0.35">
      <c r="B322" s="1">
        <v>45671</v>
      </c>
      <c r="C322" s="2">
        <v>0.33333333333333331</v>
      </c>
      <c r="D322">
        <v>-0.1</v>
      </c>
      <c r="E322">
        <f>IF($D322 &gt; 16, 0, $J$3*(16 - $D322))</f>
        <v>3344.7531474812217</v>
      </c>
      <c r="F322">
        <f>IF($D322 &gt; 16, 0,$E322*$J$5)</f>
        <v>36354121.959973402</v>
      </c>
      <c r="G322">
        <f t="shared" si="4"/>
        <v>16.100000000000001</v>
      </c>
    </row>
    <row r="323" spans="2:7" x14ac:dyDescent="0.35">
      <c r="B323" s="1">
        <v>45671</v>
      </c>
      <c r="C323" s="2">
        <v>0.375</v>
      </c>
      <c r="D323">
        <v>0.1</v>
      </c>
      <c r="E323">
        <f>IF($D323 &gt; 16, 0, $J$3*(16 - $D323))</f>
        <v>3303.2034189410824</v>
      </c>
      <c r="F323">
        <f>IF($D323 &gt; 16, 0,$E323*$J$5)</f>
        <v>35902517.960470624</v>
      </c>
      <c r="G323">
        <f t="shared" ref="G323:G386" si="5">MAX(0, 16 - $D323)</f>
        <v>15.9</v>
      </c>
    </row>
    <row r="324" spans="2:7" x14ac:dyDescent="0.35">
      <c r="B324" s="1">
        <v>45671</v>
      </c>
      <c r="C324" s="2">
        <v>0.41666666666666669</v>
      </c>
      <c r="D324">
        <v>0.6</v>
      </c>
      <c r="E324">
        <f>IF($D324 &gt; 16, 0, $J$3*(16 - $D324))</f>
        <v>3199.3290975907339</v>
      </c>
      <c r="F324">
        <f>IF($D324 &gt; 16, 0,$E324*$J$5)</f>
        <v>34773507.961713687</v>
      </c>
      <c r="G324">
        <f t="shared" si="5"/>
        <v>15.4</v>
      </c>
    </row>
    <row r="325" spans="2:7" x14ac:dyDescent="0.35">
      <c r="B325" s="1">
        <v>45671</v>
      </c>
      <c r="C325" s="2">
        <v>0.45833333333333331</v>
      </c>
      <c r="D325">
        <v>1.1000000000000001</v>
      </c>
      <c r="E325">
        <f>IF($D325 &gt; 16, 0, $J$3*(16 - $D325))</f>
        <v>3095.4547762403854</v>
      </c>
      <c r="F325">
        <f>IF($D325 &gt; 16, 0,$E325*$J$5)</f>
        <v>33644497.962956749</v>
      </c>
      <c r="G325">
        <f t="shared" si="5"/>
        <v>14.9</v>
      </c>
    </row>
    <row r="326" spans="2:7" x14ac:dyDescent="0.35">
      <c r="B326" s="1">
        <v>45671</v>
      </c>
      <c r="C326" s="2">
        <v>0.5</v>
      </c>
      <c r="D326">
        <v>1.5</v>
      </c>
      <c r="E326">
        <f>IF($D326 &gt; 16, 0, $J$3*(16 - $D326))</f>
        <v>3012.3553191601063</v>
      </c>
      <c r="F326">
        <f>IF($D326 &gt; 16, 0,$E326*$J$5)</f>
        <v>32741289.963951197</v>
      </c>
      <c r="G326">
        <f t="shared" si="5"/>
        <v>14.5</v>
      </c>
    </row>
    <row r="327" spans="2:7" x14ac:dyDescent="0.35">
      <c r="B327" s="1">
        <v>45671</v>
      </c>
      <c r="C327" s="2">
        <v>0.54166666666666663</v>
      </c>
      <c r="D327">
        <v>1.8</v>
      </c>
      <c r="E327">
        <f>IF($D327 &gt; 16, 0, $J$3*(16 - $D327))</f>
        <v>2950.0307263498971</v>
      </c>
      <c r="F327">
        <f>IF($D327 &gt; 16, 0,$E327*$J$5)</f>
        <v>32063883.964697033</v>
      </c>
      <c r="G327">
        <f t="shared" si="5"/>
        <v>14.2</v>
      </c>
    </row>
    <row r="328" spans="2:7" x14ac:dyDescent="0.35">
      <c r="B328" s="1">
        <v>45671</v>
      </c>
      <c r="C328" s="2">
        <v>0.58333333333333337</v>
      </c>
      <c r="D328">
        <v>1.8</v>
      </c>
      <c r="E328">
        <f>IF($D328 &gt; 16, 0, $J$3*(16 - $D328))</f>
        <v>2950.0307263498971</v>
      </c>
      <c r="F328">
        <f>IF($D328 &gt; 16, 0,$E328*$J$5)</f>
        <v>32063883.964697033</v>
      </c>
      <c r="G328">
        <f t="shared" si="5"/>
        <v>14.2</v>
      </c>
    </row>
    <row r="329" spans="2:7" x14ac:dyDescent="0.35">
      <c r="B329" s="1">
        <v>45671</v>
      </c>
      <c r="C329" s="2">
        <v>0.625</v>
      </c>
      <c r="D329">
        <v>1.9</v>
      </c>
      <c r="E329">
        <f>IF($D329 &gt; 16, 0, $J$3*(16 - $D329))</f>
        <v>2929.2558620798277</v>
      </c>
      <c r="F329">
        <f>IF($D329 &gt; 16, 0,$E329*$J$5)</f>
        <v>31838081.964945648</v>
      </c>
      <c r="G329">
        <f t="shared" si="5"/>
        <v>14.1</v>
      </c>
    </row>
    <row r="330" spans="2:7" x14ac:dyDescent="0.35">
      <c r="B330" s="1">
        <v>45671</v>
      </c>
      <c r="C330" s="2">
        <v>0.66666666666666663</v>
      </c>
      <c r="D330">
        <v>2.2999999999999998</v>
      </c>
      <c r="E330">
        <f>IF($D330 &gt; 16, 0, $J$3*(16 - $D330))</f>
        <v>2846.1564049995486</v>
      </c>
      <c r="F330">
        <f>IF($D330 &gt; 16, 0,$E330*$J$5)</f>
        <v>30934873.965940095</v>
      </c>
      <c r="G330">
        <f t="shared" si="5"/>
        <v>13.7</v>
      </c>
    </row>
    <row r="331" spans="2:7" x14ac:dyDescent="0.35">
      <c r="B331" s="1">
        <v>45671</v>
      </c>
      <c r="C331" s="2">
        <v>0.70833333333333337</v>
      </c>
      <c r="D331">
        <v>2.2999999999999998</v>
      </c>
      <c r="E331">
        <f>IF($D331 &gt; 16, 0, $J$3*(16 - $D331))</f>
        <v>2846.1564049995486</v>
      </c>
      <c r="F331">
        <f>IF($D331 &gt; 16, 0,$E331*$J$5)</f>
        <v>30934873.965940095</v>
      </c>
      <c r="G331">
        <f t="shared" si="5"/>
        <v>13.7</v>
      </c>
    </row>
    <row r="332" spans="2:7" x14ac:dyDescent="0.35">
      <c r="B332" s="1">
        <v>45671</v>
      </c>
      <c r="C332" s="2">
        <v>0.75</v>
      </c>
      <c r="D332">
        <v>3</v>
      </c>
      <c r="E332">
        <f>IF($D332 &gt; 16, 0, $J$3*(16 - $D332))</f>
        <v>2700.7323551090608</v>
      </c>
      <c r="F332">
        <f>IF($D332 &gt; 16, 0,$E332*$J$5)</f>
        <v>29354259.967680383</v>
      </c>
      <c r="G332">
        <f t="shared" si="5"/>
        <v>13</v>
      </c>
    </row>
    <row r="333" spans="2:7" x14ac:dyDescent="0.35">
      <c r="B333" s="1">
        <v>45671</v>
      </c>
      <c r="C333" s="2">
        <v>0.79166666666666663</v>
      </c>
      <c r="D333">
        <v>3.7</v>
      </c>
      <c r="E333">
        <f>IF($D333 &gt; 16, 0, $J$3*(16 - $D333))</f>
        <v>2555.308305218573</v>
      </c>
      <c r="F333">
        <f>IF($D333 &gt; 16, 0,$E333*$J$5)</f>
        <v>27773645.969420668</v>
      </c>
      <c r="G333">
        <f t="shared" si="5"/>
        <v>12.3</v>
      </c>
    </row>
    <row r="334" spans="2:7" x14ac:dyDescent="0.35">
      <c r="B334" s="1">
        <v>45671</v>
      </c>
      <c r="C334" s="2">
        <v>0.83333333333333337</v>
      </c>
      <c r="D334">
        <v>3.9</v>
      </c>
      <c r="E334">
        <f>IF($D334 &gt; 16, 0, $J$3*(16 - $D334))</f>
        <v>2513.7585766784337</v>
      </c>
      <c r="F334">
        <f>IF($D334 &gt; 16, 0,$E334*$J$5)</f>
        <v>27322041.969917897</v>
      </c>
      <c r="G334">
        <f t="shared" si="5"/>
        <v>12.1</v>
      </c>
    </row>
    <row r="335" spans="2:7" x14ac:dyDescent="0.35">
      <c r="B335" s="1">
        <v>45671</v>
      </c>
      <c r="C335" s="2">
        <v>0.875</v>
      </c>
      <c r="D335">
        <v>4.2</v>
      </c>
      <c r="E335">
        <f>IF($D335 &gt; 16, 0, $J$3*(16 - $D335))</f>
        <v>2451.4339838682245</v>
      </c>
      <c r="F335">
        <f>IF($D335 &gt; 16, 0,$E335*$J$5)</f>
        <v>26644635.97066373</v>
      </c>
      <c r="G335">
        <f t="shared" si="5"/>
        <v>11.8</v>
      </c>
    </row>
    <row r="336" spans="2:7" x14ac:dyDescent="0.35">
      <c r="B336" s="1">
        <v>45671</v>
      </c>
      <c r="C336" s="2">
        <v>0.91666666666666663</v>
      </c>
      <c r="D336">
        <v>4.8</v>
      </c>
      <c r="E336">
        <f>IF($D336 &gt; 16, 0, $J$3*(16 - $D336))</f>
        <v>2326.7847982478061</v>
      </c>
      <c r="F336">
        <f>IF($D336 &gt; 16, 0,$E336*$J$5)</f>
        <v>25289823.972155403</v>
      </c>
      <c r="G336">
        <f t="shared" si="5"/>
        <v>11.2</v>
      </c>
    </row>
    <row r="337" spans="2:7" x14ac:dyDescent="0.35">
      <c r="B337" s="1">
        <v>45671</v>
      </c>
      <c r="C337" s="2">
        <v>0.95833333333333337</v>
      </c>
      <c r="D337">
        <v>5.0999999999999996</v>
      </c>
      <c r="E337">
        <f>IF($D337 &gt; 16, 0, $J$3*(16 - $D337))</f>
        <v>2264.4602054375973</v>
      </c>
      <c r="F337">
        <f>IF($D337 &gt; 16, 0,$E337*$J$5)</f>
        <v>24612417.972901244</v>
      </c>
      <c r="G337">
        <f t="shared" si="5"/>
        <v>10.9</v>
      </c>
    </row>
    <row r="338" spans="2:7" x14ac:dyDescent="0.35">
      <c r="B338" s="1">
        <v>45672</v>
      </c>
      <c r="C338" s="2">
        <v>0</v>
      </c>
      <c r="D338">
        <v>5.3</v>
      </c>
      <c r="E338">
        <f>IF($D338 &gt; 16, 0, $J$3*(16 - $D338))</f>
        <v>2222.9104768974576</v>
      </c>
      <c r="F338">
        <f>IF($D338 &gt; 16, 0,$E338*$J$5)</f>
        <v>24160813.973398466</v>
      </c>
      <c r="G338">
        <f t="shared" si="5"/>
        <v>10.7</v>
      </c>
    </row>
    <row r="339" spans="2:7" x14ac:dyDescent="0.35">
      <c r="B339" s="1">
        <v>45672</v>
      </c>
      <c r="C339" s="2">
        <v>4.1666666666666657E-2</v>
      </c>
      <c r="D339">
        <v>5.7</v>
      </c>
      <c r="E339">
        <f>IF($D339 &gt; 16, 0, $J$3*(16 - $D339))</f>
        <v>2139.8110198171789</v>
      </c>
      <c r="F339">
        <f>IF($D339 &gt; 16, 0,$E339*$J$5)</f>
        <v>23257605.974392917</v>
      </c>
      <c r="G339">
        <f t="shared" si="5"/>
        <v>10.3</v>
      </c>
    </row>
    <row r="340" spans="2:7" x14ac:dyDescent="0.35">
      <c r="B340" s="1">
        <v>45672</v>
      </c>
      <c r="C340" s="2">
        <v>8.3333333333333329E-2</v>
      </c>
      <c r="D340">
        <v>5.8</v>
      </c>
      <c r="E340">
        <f>IF($D340 &gt; 16, 0, $J$3*(16 - $D340))</f>
        <v>2119.036155547109</v>
      </c>
      <c r="F340">
        <f>IF($D340 &gt; 16, 0,$E340*$J$5)</f>
        <v>23031803.974641528</v>
      </c>
      <c r="G340">
        <f t="shared" si="5"/>
        <v>10.199999999999999</v>
      </c>
    </row>
    <row r="341" spans="2:7" x14ac:dyDescent="0.35">
      <c r="B341" s="1">
        <v>45672</v>
      </c>
      <c r="C341" s="2">
        <v>0.125</v>
      </c>
      <c r="D341">
        <v>5.8</v>
      </c>
      <c r="E341">
        <f>IF($D341 &gt; 16, 0, $J$3*(16 - $D341))</f>
        <v>2119.036155547109</v>
      </c>
      <c r="F341">
        <f>IF($D341 &gt; 16, 0,$E341*$J$5)</f>
        <v>23031803.974641528</v>
      </c>
      <c r="G341">
        <f t="shared" si="5"/>
        <v>10.199999999999999</v>
      </c>
    </row>
    <row r="342" spans="2:7" x14ac:dyDescent="0.35">
      <c r="B342" s="1">
        <v>45672</v>
      </c>
      <c r="C342" s="2">
        <v>0.16666666666666671</v>
      </c>
      <c r="D342">
        <v>5.7</v>
      </c>
      <c r="E342">
        <f>IF($D342 &gt; 16, 0, $J$3*(16 - $D342))</f>
        <v>2139.8110198171789</v>
      </c>
      <c r="F342">
        <f>IF($D342 &gt; 16, 0,$E342*$J$5)</f>
        <v>23257605.974392917</v>
      </c>
      <c r="G342">
        <f t="shared" si="5"/>
        <v>10.3</v>
      </c>
    </row>
    <row r="343" spans="2:7" x14ac:dyDescent="0.35">
      <c r="B343" s="1">
        <v>45672</v>
      </c>
      <c r="C343" s="2">
        <v>0.20833333333333329</v>
      </c>
      <c r="D343">
        <v>5.7</v>
      </c>
      <c r="E343">
        <f>IF($D343 &gt; 16, 0, $J$3*(16 - $D343))</f>
        <v>2139.8110198171789</v>
      </c>
      <c r="F343">
        <f>IF($D343 &gt; 16, 0,$E343*$J$5)</f>
        <v>23257605.974392917</v>
      </c>
      <c r="G343">
        <f t="shared" si="5"/>
        <v>10.3</v>
      </c>
    </row>
    <row r="344" spans="2:7" x14ac:dyDescent="0.35">
      <c r="B344" s="1">
        <v>45672</v>
      </c>
      <c r="C344" s="2">
        <v>0.25</v>
      </c>
      <c r="D344">
        <v>5.4</v>
      </c>
      <c r="E344">
        <f>IF($D344 &gt; 16, 0, $J$3*(16 - $D344))</f>
        <v>2202.1356126273881</v>
      </c>
      <c r="F344">
        <f>IF($D344 &gt; 16, 0,$E344*$J$5)</f>
        <v>23935011.97364708</v>
      </c>
      <c r="G344">
        <f t="shared" si="5"/>
        <v>10.6</v>
      </c>
    </row>
    <row r="345" spans="2:7" x14ac:dyDescent="0.35">
      <c r="B345" s="1">
        <v>45672</v>
      </c>
      <c r="C345" s="2">
        <v>0.29166666666666669</v>
      </c>
      <c r="D345">
        <v>5.4</v>
      </c>
      <c r="E345">
        <f>IF($D345 &gt; 16, 0, $J$3*(16 - $D345))</f>
        <v>2202.1356126273881</v>
      </c>
      <c r="F345">
        <f>IF($D345 &gt; 16, 0,$E345*$J$5)</f>
        <v>23935011.97364708</v>
      </c>
      <c r="G345">
        <f t="shared" si="5"/>
        <v>10.6</v>
      </c>
    </row>
    <row r="346" spans="2:7" x14ac:dyDescent="0.35">
      <c r="B346" s="1">
        <v>45672</v>
      </c>
      <c r="C346" s="2">
        <v>0.33333333333333331</v>
      </c>
      <c r="D346">
        <v>5.6</v>
      </c>
      <c r="E346">
        <f>IF($D346 &gt; 16, 0, $J$3*(16 - $D346))</f>
        <v>2160.5858840872488</v>
      </c>
      <c r="F346">
        <f>IF($D346 &gt; 16, 0,$E346*$J$5)</f>
        <v>23483407.974144306</v>
      </c>
      <c r="G346">
        <f t="shared" si="5"/>
        <v>10.4</v>
      </c>
    </row>
    <row r="347" spans="2:7" x14ac:dyDescent="0.35">
      <c r="B347" s="1">
        <v>45672</v>
      </c>
      <c r="C347" s="2">
        <v>0.375</v>
      </c>
      <c r="D347">
        <v>5.7</v>
      </c>
      <c r="E347">
        <f>IF($D347 &gt; 16, 0, $J$3*(16 - $D347))</f>
        <v>2139.8110198171789</v>
      </c>
      <c r="F347">
        <f>IF($D347 &gt; 16, 0,$E347*$J$5)</f>
        <v>23257605.974392917</v>
      </c>
      <c r="G347">
        <f t="shared" si="5"/>
        <v>10.3</v>
      </c>
    </row>
    <row r="348" spans="2:7" x14ac:dyDescent="0.35">
      <c r="B348" s="1">
        <v>45672</v>
      </c>
      <c r="C348" s="2">
        <v>0.41666666666666669</v>
      </c>
      <c r="D348">
        <v>5.6</v>
      </c>
      <c r="E348">
        <f>IF($D348 &gt; 16, 0, $J$3*(16 - $D348))</f>
        <v>2160.5858840872488</v>
      </c>
      <c r="F348">
        <f>IF($D348 &gt; 16, 0,$E348*$J$5)</f>
        <v>23483407.974144306</v>
      </c>
      <c r="G348">
        <f t="shared" si="5"/>
        <v>10.4</v>
      </c>
    </row>
    <row r="349" spans="2:7" x14ac:dyDescent="0.35">
      <c r="B349" s="1">
        <v>45672</v>
      </c>
      <c r="C349" s="2">
        <v>0.45833333333333331</v>
      </c>
      <c r="D349">
        <v>5.6</v>
      </c>
      <c r="E349">
        <f>IF($D349 &gt; 16, 0, $J$3*(16 - $D349))</f>
        <v>2160.5858840872488</v>
      </c>
      <c r="F349">
        <f>IF($D349 &gt; 16, 0,$E349*$J$5)</f>
        <v>23483407.974144306</v>
      </c>
      <c r="G349">
        <f t="shared" si="5"/>
        <v>10.4</v>
      </c>
    </row>
    <row r="350" spans="2:7" x14ac:dyDescent="0.35">
      <c r="B350" s="1">
        <v>45672</v>
      </c>
      <c r="C350" s="2">
        <v>0.5</v>
      </c>
      <c r="D350">
        <v>5.6</v>
      </c>
      <c r="E350">
        <f>IF($D350 &gt; 16, 0, $J$3*(16 - $D350))</f>
        <v>2160.5858840872488</v>
      </c>
      <c r="F350">
        <f>IF($D350 &gt; 16, 0,$E350*$J$5)</f>
        <v>23483407.974144306</v>
      </c>
      <c r="G350">
        <f t="shared" si="5"/>
        <v>10.4</v>
      </c>
    </row>
    <row r="351" spans="2:7" x14ac:dyDescent="0.35">
      <c r="B351" s="1">
        <v>45672</v>
      </c>
      <c r="C351" s="2">
        <v>0.54166666666666663</v>
      </c>
      <c r="D351">
        <v>5.4</v>
      </c>
      <c r="E351">
        <f>IF($D351 &gt; 16, 0, $J$3*(16 - $D351))</f>
        <v>2202.1356126273881</v>
      </c>
      <c r="F351">
        <f>IF($D351 &gt; 16, 0,$E351*$J$5)</f>
        <v>23935011.97364708</v>
      </c>
      <c r="G351">
        <f t="shared" si="5"/>
        <v>10.6</v>
      </c>
    </row>
    <row r="352" spans="2:7" x14ac:dyDescent="0.35">
      <c r="B352" s="1">
        <v>45672</v>
      </c>
      <c r="C352" s="2">
        <v>0.58333333333333337</v>
      </c>
      <c r="D352">
        <v>5.0999999999999996</v>
      </c>
      <c r="E352">
        <f>IF($D352 &gt; 16, 0, $J$3*(16 - $D352))</f>
        <v>2264.4602054375973</v>
      </c>
      <c r="F352">
        <f>IF($D352 &gt; 16, 0,$E352*$J$5)</f>
        <v>24612417.972901244</v>
      </c>
      <c r="G352">
        <f t="shared" si="5"/>
        <v>10.9</v>
      </c>
    </row>
    <row r="353" spans="2:7" x14ac:dyDescent="0.35">
      <c r="B353" s="1">
        <v>45672</v>
      </c>
      <c r="C353" s="2">
        <v>0.625</v>
      </c>
      <c r="D353">
        <v>4.4000000000000004</v>
      </c>
      <c r="E353">
        <f>IF($D353 &gt; 16, 0, $J$3*(16 - $D353))</f>
        <v>2409.8842553280851</v>
      </c>
      <c r="F353">
        <f>IF($D353 &gt; 16, 0,$E353*$J$5)</f>
        <v>26193031.971160956</v>
      </c>
      <c r="G353">
        <f t="shared" si="5"/>
        <v>11.6</v>
      </c>
    </row>
    <row r="354" spans="2:7" x14ac:dyDescent="0.35">
      <c r="B354" s="1">
        <v>45672</v>
      </c>
      <c r="C354" s="2">
        <v>0.66666666666666663</v>
      </c>
      <c r="D354">
        <v>4.5</v>
      </c>
      <c r="E354">
        <f>IF($D354 &gt; 16, 0, $J$3*(16 - $D354))</f>
        <v>2389.1093910580153</v>
      </c>
      <c r="F354">
        <f>IF($D354 &gt; 16, 0,$E354*$J$5)</f>
        <v>25967229.971409567</v>
      </c>
      <c r="G354">
        <f t="shared" si="5"/>
        <v>11.5</v>
      </c>
    </row>
    <row r="355" spans="2:7" x14ac:dyDescent="0.35">
      <c r="B355" s="1">
        <v>45672</v>
      </c>
      <c r="C355" s="2">
        <v>0.70833333333333337</v>
      </c>
      <c r="D355">
        <v>4.7</v>
      </c>
      <c r="E355">
        <f>IF($D355 &gt; 16, 0, $J$3*(16 - $D355))</f>
        <v>2347.5596625178759</v>
      </c>
      <c r="F355">
        <f>IF($D355 &gt; 16, 0,$E355*$J$5)</f>
        <v>25515625.971906792</v>
      </c>
      <c r="G355">
        <f t="shared" si="5"/>
        <v>11.3</v>
      </c>
    </row>
    <row r="356" spans="2:7" x14ac:dyDescent="0.35">
      <c r="B356" s="1">
        <v>45672</v>
      </c>
      <c r="C356" s="2">
        <v>0.75</v>
      </c>
      <c r="D356">
        <v>4.3</v>
      </c>
      <c r="E356">
        <f>IF($D356 &gt; 16, 0, $J$3*(16 - $D356))</f>
        <v>2430.6591195981546</v>
      </c>
      <c r="F356">
        <f>IF($D356 &gt; 16, 0,$E356*$J$5)</f>
        <v>26418833.970912341</v>
      </c>
      <c r="G356">
        <f t="shared" si="5"/>
        <v>11.7</v>
      </c>
    </row>
    <row r="357" spans="2:7" x14ac:dyDescent="0.35">
      <c r="B357" s="1">
        <v>45672</v>
      </c>
      <c r="C357" s="2">
        <v>0.79166666666666663</v>
      </c>
      <c r="D357">
        <v>4</v>
      </c>
      <c r="E357">
        <f>IF($D357 &gt; 16, 0, $J$3*(16 - $D357))</f>
        <v>2492.9837124083638</v>
      </c>
      <c r="F357">
        <f>IF($D357 &gt; 16, 0,$E357*$J$5)</f>
        <v>27096239.970166504</v>
      </c>
      <c r="G357">
        <f t="shared" si="5"/>
        <v>12</v>
      </c>
    </row>
    <row r="358" spans="2:7" x14ac:dyDescent="0.35">
      <c r="B358" s="1">
        <v>45672</v>
      </c>
      <c r="C358" s="2">
        <v>0.83333333333333337</v>
      </c>
      <c r="D358">
        <v>4</v>
      </c>
      <c r="E358">
        <f>IF($D358 &gt; 16, 0, $J$3*(16 - $D358))</f>
        <v>2492.9837124083638</v>
      </c>
      <c r="F358">
        <f>IF($D358 &gt; 16, 0,$E358*$J$5)</f>
        <v>27096239.970166504</v>
      </c>
      <c r="G358">
        <f t="shared" si="5"/>
        <v>12</v>
      </c>
    </row>
    <row r="359" spans="2:7" x14ac:dyDescent="0.35">
      <c r="B359" s="1">
        <v>45672</v>
      </c>
      <c r="C359" s="2">
        <v>0.875</v>
      </c>
      <c r="D359">
        <v>4</v>
      </c>
      <c r="E359">
        <f>IF($D359 &gt; 16, 0, $J$3*(16 - $D359))</f>
        <v>2492.9837124083638</v>
      </c>
      <c r="F359">
        <f>IF($D359 &gt; 16, 0,$E359*$J$5)</f>
        <v>27096239.970166504</v>
      </c>
      <c r="G359">
        <f t="shared" si="5"/>
        <v>12</v>
      </c>
    </row>
    <row r="360" spans="2:7" x14ac:dyDescent="0.35">
      <c r="B360" s="1">
        <v>45672</v>
      </c>
      <c r="C360" s="2">
        <v>0.91666666666666663</v>
      </c>
      <c r="D360">
        <v>3.8</v>
      </c>
      <c r="E360">
        <f>IF($D360 &gt; 16, 0, $J$3*(16 - $D360))</f>
        <v>2534.5334409485031</v>
      </c>
      <c r="F360">
        <f>IF($D360 &gt; 16, 0,$E360*$J$5)</f>
        <v>27547843.969669279</v>
      </c>
      <c r="G360">
        <f t="shared" si="5"/>
        <v>12.2</v>
      </c>
    </row>
    <row r="361" spans="2:7" x14ac:dyDescent="0.35">
      <c r="B361" s="1">
        <v>45672</v>
      </c>
      <c r="C361" s="2">
        <v>0.95833333333333337</v>
      </c>
      <c r="D361">
        <v>3.9</v>
      </c>
      <c r="E361">
        <f>IF($D361 &gt; 16, 0, $J$3*(16 - $D361))</f>
        <v>2513.7585766784337</v>
      </c>
      <c r="F361">
        <f>IF($D361 &gt; 16, 0,$E361*$J$5)</f>
        <v>27322041.969917897</v>
      </c>
      <c r="G361">
        <f t="shared" si="5"/>
        <v>12.1</v>
      </c>
    </row>
    <row r="362" spans="2:7" x14ac:dyDescent="0.35">
      <c r="B362" s="1">
        <v>45673</v>
      </c>
      <c r="C362" s="2">
        <v>0</v>
      </c>
      <c r="D362">
        <v>3.8</v>
      </c>
      <c r="E362">
        <f>IF($D362 &gt; 16, 0, $J$3*(16 - $D362))</f>
        <v>2534.5334409485031</v>
      </c>
      <c r="F362">
        <f>IF($D362 &gt; 16, 0,$E362*$J$5)</f>
        <v>27547843.969669279</v>
      </c>
      <c r="G362">
        <f t="shared" si="5"/>
        <v>12.2</v>
      </c>
    </row>
    <row r="363" spans="2:7" x14ac:dyDescent="0.35">
      <c r="B363" s="1">
        <v>45673</v>
      </c>
      <c r="C363" s="2">
        <v>4.1666666666666657E-2</v>
      </c>
      <c r="D363">
        <v>4</v>
      </c>
      <c r="E363">
        <f>IF($D363 &gt; 16, 0, $J$3*(16 - $D363))</f>
        <v>2492.9837124083638</v>
      </c>
      <c r="F363">
        <f>IF($D363 &gt; 16, 0,$E363*$J$5)</f>
        <v>27096239.970166504</v>
      </c>
      <c r="G363">
        <f t="shared" si="5"/>
        <v>12</v>
      </c>
    </row>
    <row r="364" spans="2:7" x14ac:dyDescent="0.35">
      <c r="B364" s="1">
        <v>45673</v>
      </c>
      <c r="C364" s="2">
        <v>8.3333333333333329E-2</v>
      </c>
      <c r="D364">
        <v>4.3</v>
      </c>
      <c r="E364">
        <f>IF($D364 &gt; 16, 0, $J$3*(16 - $D364))</f>
        <v>2430.6591195981546</v>
      </c>
      <c r="F364">
        <f>IF($D364 &gt; 16, 0,$E364*$J$5)</f>
        <v>26418833.970912341</v>
      </c>
      <c r="G364">
        <f t="shared" si="5"/>
        <v>11.7</v>
      </c>
    </row>
    <row r="365" spans="2:7" x14ac:dyDescent="0.35">
      <c r="B365" s="1">
        <v>45673</v>
      </c>
      <c r="C365" s="2">
        <v>0.125</v>
      </c>
      <c r="D365">
        <v>4.3</v>
      </c>
      <c r="E365">
        <f>IF($D365 &gt; 16, 0, $J$3*(16 - $D365))</f>
        <v>2430.6591195981546</v>
      </c>
      <c r="F365">
        <f>IF($D365 &gt; 16, 0,$E365*$J$5)</f>
        <v>26418833.970912341</v>
      </c>
      <c r="G365">
        <f t="shared" si="5"/>
        <v>11.7</v>
      </c>
    </row>
    <row r="366" spans="2:7" x14ac:dyDescent="0.35">
      <c r="B366" s="1">
        <v>45673</v>
      </c>
      <c r="C366" s="2">
        <v>0.16666666666666671</v>
      </c>
      <c r="D366">
        <v>4.3</v>
      </c>
      <c r="E366">
        <f>IF($D366 &gt; 16, 0, $J$3*(16 - $D366))</f>
        <v>2430.6591195981546</v>
      </c>
      <c r="F366">
        <f>IF($D366 &gt; 16, 0,$E366*$J$5)</f>
        <v>26418833.970912341</v>
      </c>
      <c r="G366">
        <f t="shared" si="5"/>
        <v>11.7</v>
      </c>
    </row>
    <row r="367" spans="2:7" x14ac:dyDescent="0.35">
      <c r="B367" s="1">
        <v>45673</v>
      </c>
      <c r="C367" s="2">
        <v>0.20833333333333329</v>
      </c>
      <c r="D367">
        <v>4.2</v>
      </c>
      <c r="E367">
        <f>IF($D367 &gt; 16, 0, $J$3*(16 - $D367))</f>
        <v>2451.4339838682245</v>
      </c>
      <c r="F367">
        <f>IF($D367 &gt; 16, 0,$E367*$J$5)</f>
        <v>26644635.97066373</v>
      </c>
      <c r="G367">
        <f t="shared" si="5"/>
        <v>11.8</v>
      </c>
    </row>
    <row r="368" spans="2:7" x14ac:dyDescent="0.35">
      <c r="B368" s="1">
        <v>45673</v>
      </c>
      <c r="C368" s="2">
        <v>0.25</v>
      </c>
      <c r="D368">
        <v>4.2</v>
      </c>
      <c r="E368">
        <f>IF($D368 &gt; 16, 0, $J$3*(16 - $D368))</f>
        <v>2451.4339838682245</v>
      </c>
      <c r="F368">
        <f>IF($D368 &gt; 16, 0,$E368*$J$5)</f>
        <v>26644635.97066373</v>
      </c>
      <c r="G368">
        <f t="shared" si="5"/>
        <v>11.8</v>
      </c>
    </row>
    <row r="369" spans="2:7" x14ac:dyDescent="0.35">
      <c r="B369" s="1">
        <v>45673</v>
      </c>
      <c r="C369" s="2">
        <v>0.29166666666666669</v>
      </c>
      <c r="D369">
        <v>4.2</v>
      </c>
      <c r="E369">
        <f>IF($D369 &gt; 16, 0, $J$3*(16 - $D369))</f>
        <v>2451.4339838682245</v>
      </c>
      <c r="F369">
        <f>IF($D369 &gt; 16, 0,$E369*$J$5)</f>
        <v>26644635.97066373</v>
      </c>
      <c r="G369">
        <f t="shared" si="5"/>
        <v>11.8</v>
      </c>
    </row>
    <row r="370" spans="2:7" x14ac:dyDescent="0.35">
      <c r="B370" s="1">
        <v>45673</v>
      </c>
      <c r="C370" s="2">
        <v>0.33333333333333331</v>
      </c>
      <c r="D370">
        <v>4.2</v>
      </c>
      <c r="E370">
        <f>IF($D370 &gt; 16, 0, $J$3*(16 - $D370))</f>
        <v>2451.4339838682245</v>
      </c>
      <c r="F370">
        <f>IF($D370 &gt; 16, 0,$E370*$J$5)</f>
        <v>26644635.97066373</v>
      </c>
      <c r="G370">
        <f t="shared" si="5"/>
        <v>11.8</v>
      </c>
    </row>
    <row r="371" spans="2:7" x14ac:dyDescent="0.35">
      <c r="B371" s="1">
        <v>45673</v>
      </c>
      <c r="C371" s="2">
        <v>0.375</v>
      </c>
      <c r="D371">
        <v>4.0999999999999996</v>
      </c>
      <c r="E371">
        <f>IF($D371 &gt; 16, 0, $J$3*(16 - $D371))</f>
        <v>2472.2088481382943</v>
      </c>
      <c r="F371">
        <f>IF($D371 &gt; 16, 0,$E371*$J$5)</f>
        <v>26870437.970415123</v>
      </c>
      <c r="G371">
        <f t="shared" si="5"/>
        <v>11.9</v>
      </c>
    </row>
    <row r="372" spans="2:7" x14ac:dyDescent="0.35">
      <c r="B372" s="1">
        <v>45673</v>
      </c>
      <c r="C372" s="2">
        <v>0.41666666666666669</v>
      </c>
      <c r="D372">
        <v>4</v>
      </c>
      <c r="E372">
        <f>IF($D372 &gt; 16, 0, $J$3*(16 - $D372))</f>
        <v>2492.9837124083638</v>
      </c>
      <c r="F372">
        <f>IF($D372 &gt; 16, 0,$E372*$J$5)</f>
        <v>27096239.970166504</v>
      </c>
      <c r="G372">
        <f t="shared" si="5"/>
        <v>12</v>
      </c>
    </row>
    <row r="373" spans="2:7" x14ac:dyDescent="0.35">
      <c r="B373" s="1">
        <v>45673</v>
      </c>
      <c r="C373" s="2">
        <v>0.45833333333333331</v>
      </c>
      <c r="D373">
        <v>4.2</v>
      </c>
      <c r="E373">
        <f>IF($D373 &gt; 16, 0, $J$3*(16 - $D373))</f>
        <v>2451.4339838682245</v>
      </c>
      <c r="F373">
        <f>IF($D373 &gt; 16, 0,$E373*$J$5)</f>
        <v>26644635.97066373</v>
      </c>
      <c r="G373">
        <f t="shared" si="5"/>
        <v>11.8</v>
      </c>
    </row>
    <row r="374" spans="2:7" x14ac:dyDescent="0.35">
      <c r="B374" s="1">
        <v>45673</v>
      </c>
      <c r="C374" s="2">
        <v>0.5</v>
      </c>
      <c r="D374">
        <v>4.2</v>
      </c>
      <c r="E374">
        <f>IF($D374 &gt; 16, 0, $J$3*(16 - $D374))</f>
        <v>2451.4339838682245</v>
      </c>
      <c r="F374">
        <f>IF($D374 &gt; 16, 0,$E374*$J$5)</f>
        <v>26644635.97066373</v>
      </c>
      <c r="G374">
        <f t="shared" si="5"/>
        <v>11.8</v>
      </c>
    </row>
    <row r="375" spans="2:7" x14ac:dyDescent="0.35">
      <c r="B375" s="1">
        <v>45673</v>
      </c>
      <c r="C375" s="2">
        <v>0.54166666666666663</v>
      </c>
      <c r="D375">
        <v>4.2</v>
      </c>
      <c r="E375">
        <f>IF($D375 &gt; 16, 0, $J$3*(16 - $D375))</f>
        <v>2451.4339838682245</v>
      </c>
      <c r="F375">
        <f>IF($D375 &gt; 16, 0,$E375*$J$5)</f>
        <v>26644635.97066373</v>
      </c>
      <c r="G375">
        <f t="shared" si="5"/>
        <v>11.8</v>
      </c>
    </row>
    <row r="376" spans="2:7" x14ac:dyDescent="0.35">
      <c r="B376" s="1">
        <v>45673</v>
      </c>
      <c r="C376" s="2">
        <v>0.58333333333333337</v>
      </c>
      <c r="D376">
        <v>4.0999999999999996</v>
      </c>
      <c r="E376">
        <f>IF($D376 &gt; 16, 0, $J$3*(16 - $D376))</f>
        <v>2472.2088481382943</v>
      </c>
      <c r="F376">
        <f>IF($D376 &gt; 16, 0,$E376*$J$5)</f>
        <v>26870437.970415123</v>
      </c>
      <c r="G376">
        <f t="shared" si="5"/>
        <v>11.9</v>
      </c>
    </row>
    <row r="377" spans="2:7" x14ac:dyDescent="0.35">
      <c r="B377" s="1">
        <v>45673</v>
      </c>
      <c r="C377" s="2">
        <v>0.625</v>
      </c>
      <c r="D377">
        <v>3.8</v>
      </c>
      <c r="E377">
        <f>IF($D377 &gt; 16, 0, $J$3*(16 - $D377))</f>
        <v>2534.5334409485031</v>
      </c>
      <c r="F377">
        <f>IF($D377 &gt; 16, 0,$E377*$J$5)</f>
        <v>27547843.969669279</v>
      </c>
      <c r="G377">
        <f t="shared" si="5"/>
        <v>12.2</v>
      </c>
    </row>
    <row r="378" spans="2:7" x14ac:dyDescent="0.35">
      <c r="B378" s="1">
        <v>45673</v>
      </c>
      <c r="C378" s="2">
        <v>0.66666666666666663</v>
      </c>
      <c r="D378">
        <v>3.6</v>
      </c>
      <c r="E378">
        <f>IF($D378 &gt; 16, 0, $J$3*(16 - $D378))</f>
        <v>2576.0831694886429</v>
      </c>
      <c r="F378">
        <f>IF($D378 &gt; 16, 0,$E378*$J$5)</f>
        <v>27999447.96917206</v>
      </c>
      <c r="G378">
        <f t="shared" si="5"/>
        <v>12.4</v>
      </c>
    </row>
    <row r="379" spans="2:7" x14ac:dyDescent="0.35">
      <c r="B379" s="1">
        <v>45673</v>
      </c>
      <c r="C379" s="2">
        <v>0.70833333333333337</v>
      </c>
      <c r="D379">
        <v>3.2</v>
      </c>
      <c r="E379">
        <f>IF($D379 &gt; 16, 0, $J$3*(16 - $D379))</f>
        <v>2659.1826265689215</v>
      </c>
      <c r="F379">
        <f>IF($D379 &gt; 16, 0,$E379*$J$5)</f>
        <v>28902655.968177609</v>
      </c>
      <c r="G379">
        <f t="shared" si="5"/>
        <v>12.8</v>
      </c>
    </row>
    <row r="380" spans="2:7" x14ac:dyDescent="0.35">
      <c r="B380" s="1">
        <v>45673</v>
      </c>
      <c r="C380" s="2">
        <v>0.75</v>
      </c>
      <c r="D380">
        <v>2.8</v>
      </c>
      <c r="E380">
        <f>IF($D380 &gt; 16, 0, $J$3*(16 - $D380))</f>
        <v>2742.2820836492001</v>
      </c>
      <c r="F380">
        <f>IF($D380 &gt; 16, 0,$E380*$J$5)</f>
        <v>29805863.967183154</v>
      </c>
      <c r="G380">
        <f t="shared" si="5"/>
        <v>13.2</v>
      </c>
    </row>
    <row r="381" spans="2:7" x14ac:dyDescent="0.35">
      <c r="B381" s="1">
        <v>45673</v>
      </c>
      <c r="C381" s="2">
        <v>0.79166666666666663</v>
      </c>
      <c r="D381">
        <v>2.6</v>
      </c>
      <c r="E381">
        <f>IF($D381 &gt; 16, 0, $J$3*(16 - $D381))</f>
        <v>2783.8318121893399</v>
      </c>
      <c r="F381">
        <f>IF($D381 &gt; 16, 0,$E381*$J$5)</f>
        <v>30257467.966685936</v>
      </c>
      <c r="G381">
        <f t="shared" si="5"/>
        <v>13.4</v>
      </c>
    </row>
    <row r="382" spans="2:7" x14ac:dyDescent="0.35">
      <c r="B382" s="1">
        <v>45673</v>
      </c>
      <c r="C382" s="2">
        <v>0.83333333333333337</v>
      </c>
      <c r="D382">
        <v>2.2999999999999998</v>
      </c>
      <c r="E382">
        <f>IF($D382 &gt; 16, 0, $J$3*(16 - $D382))</f>
        <v>2846.1564049995486</v>
      </c>
      <c r="F382">
        <f>IF($D382 &gt; 16, 0,$E382*$J$5)</f>
        <v>30934873.965940095</v>
      </c>
      <c r="G382">
        <f t="shared" si="5"/>
        <v>13.7</v>
      </c>
    </row>
    <row r="383" spans="2:7" x14ac:dyDescent="0.35">
      <c r="B383" s="1">
        <v>45673</v>
      </c>
      <c r="C383" s="2">
        <v>0.875</v>
      </c>
      <c r="D383">
        <v>2</v>
      </c>
      <c r="E383">
        <f>IF($D383 &gt; 16, 0, $J$3*(16 - $D383))</f>
        <v>2908.4809978097578</v>
      </c>
      <c r="F383">
        <f>IF($D383 &gt; 16, 0,$E383*$J$5)</f>
        <v>31612279.965194259</v>
      </c>
      <c r="G383">
        <f t="shared" si="5"/>
        <v>14</v>
      </c>
    </row>
    <row r="384" spans="2:7" x14ac:dyDescent="0.35">
      <c r="B384" s="1">
        <v>45673</v>
      </c>
      <c r="C384" s="2">
        <v>0.91666666666666663</v>
      </c>
      <c r="D384">
        <v>1.6</v>
      </c>
      <c r="E384">
        <f>IF($D384 &gt; 16, 0, $J$3*(16 - $D384))</f>
        <v>2991.5804548900369</v>
      </c>
      <c r="F384">
        <f>IF($D384 &gt; 16, 0,$E384*$J$5)</f>
        <v>32515487.964199811</v>
      </c>
      <c r="G384">
        <f t="shared" si="5"/>
        <v>14.4</v>
      </c>
    </row>
    <row r="385" spans="2:7" x14ac:dyDescent="0.35">
      <c r="B385" s="1">
        <v>45673</v>
      </c>
      <c r="C385" s="2">
        <v>0.95833333333333337</v>
      </c>
      <c r="D385">
        <v>1.5</v>
      </c>
      <c r="E385">
        <f>IF($D385 &gt; 16, 0, $J$3*(16 - $D385))</f>
        <v>3012.3553191601063</v>
      </c>
      <c r="F385">
        <f>IF($D385 &gt; 16, 0,$E385*$J$5)</f>
        <v>32741289.963951197</v>
      </c>
      <c r="G385">
        <f t="shared" si="5"/>
        <v>14.5</v>
      </c>
    </row>
    <row r="386" spans="2:7" x14ac:dyDescent="0.35">
      <c r="B386" s="1">
        <v>45674</v>
      </c>
      <c r="C386" s="2">
        <v>0</v>
      </c>
      <c r="D386">
        <v>1</v>
      </c>
      <c r="E386">
        <f>IF($D386 &gt; 16, 0, $J$3*(16 - $D386))</f>
        <v>3116.2296405104548</v>
      </c>
      <c r="F386">
        <f>IF($D386 &gt; 16, 0,$E386*$J$5)</f>
        <v>33870299.96270813</v>
      </c>
      <c r="G386">
        <f t="shared" si="5"/>
        <v>15</v>
      </c>
    </row>
    <row r="387" spans="2:7" x14ac:dyDescent="0.35">
      <c r="B387" s="1">
        <v>45674</v>
      </c>
      <c r="C387" s="2">
        <v>4.1666666666666657E-2</v>
      </c>
      <c r="D387">
        <v>0.6</v>
      </c>
      <c r="E387">
        <f>IF($D387 &gt; 16, 0, $J$3*(16 - $D387))</f>
        <v>3199.3290975907339</v>
      </c>
      <c r="F387">
        <f>IF($D387 &gt; 16, 0,$E387*$J$5)</f>
        <v>34773507.961713687</v>
      </c>
      <c r="G387">
        <f t="shared" ref="G387:G450" si="6">MAX(0, 16 - $D387)</f>
        <v>15.4</v>
      </c>
    </row>
    <row r="388" spans="2:7" x14ac:dyDescent="0.35">
      <c r="B388" s="1">
        <v>45674</v>
      </c>
      <c r="C388" s="2">
        <v>8.3333333333333329E-2</v>
      </c>
      <c r="D388">
        <v>0.5</v>
      </c>
      <c r="E388">
        <f>IF($D388 &gt; 16, 0, $J$3*(16 - $D388))</f>
        <v>3220.1039618608033</v>
      </c>
      <c r="F388">
        <f>IF($D388 &gt; 16, 0,$E388*$J$5)</f>
        <v>34999309.961465068</v>
      </c>
      <c r="G388">
        <f t="shared" si="6"/>
        <v>15.5</v>
      </c>
    </row>
    <row r="389" spans="2:7" x14ac:dyDescent="0.35">
      <c r="B389" s="1">
        <v>45674</v>
      </c>
      <c r="C389" s="2">
        <v>0.125</v>
      </c>
      <c r="D389">
        <v>0.2</v>
      </c>
      <c r="E389">
        <f>IF($D389 &gt; 16, 0, $J$3*(16 - $D389))</f>
        <v>3282.4285546710125</v>
      </c>
      <c r="F389">
        <f>IF($D389 &gt; 16, 0,$E389*$J$5)</f>
        <v>35676715.960719235</v>
      </c>
      <c r="G389">
        <f t="shared" si="6"/>
        <v>15.8</v>
      </c>
    </row>
    <row r="390" spans="2:7" x14ac:dyDescent="0.35">
      <c r="B390" s="1">
        <v>45674</v>
      </c>
      <c r="C390" s="2">
        <v>0.16666666666666671</v>
      </c>
      <c r="D390">
        <v>-0.1</v>
      </c>
      <c r="E390">
        <f>IF($D390 &gt; 16, 0, $J$3*(16 - $D390))</f>
        <v>3344.7531474812217</v>
      </c>
      <c r="F390">
        <f>IF($D390 &gt; 16, 0,$E390*$J$5)</f>
        <v>36354121.959973402</v>
      </c>
      <c r="G390">
        <f t="shared" si="6"/>
        <v>16.100000000000001</v>
      </c>
    </row>
    <row r="391" spans="2:7" x14ac:dyDescent="0.35">
      <c r="B391" s="1">
        <v>45674</v>
      </c>
      <c r="C391" s="2">
        <v>0.20833333333333329</v>
      </c>
      <c r="D391">
        <v>-0.2</v>
      </c>
      <c r="E391">
        <f>IF($D391 &gt; 16, 0, $J$3*(16 - $D391))</f>
        <v>3365.5280117512912</v>
      </c>
      <c r="F391">
        <f>IF($D391 &gt; 16, 0,$E391*$J$5)</f>
        <v>36579923.959724784</v>
      </c>
      <c r="G391">
        <f t="shared" si="6"/>
        <v>16.2</v>
      </c>
    </row>
    <row r="392" spans="2:7" x14ac:dyDescent="0.35">
      <c r="B392" s="1">
        <v>45674</v>
      </c>
      <c r="C392" s="2">
        <v>0.25</v>
      </c>
      <c r="D392">
        <v>-0.2</v>
      </c>
      <c r="E392">
        <f>IF($D392 &gt; 16, 0, $J$3*(16 - $D392))</f>
        <v>3365.5280117512912</v>
      </c>
      <c r="F392">
        <f>IF($D392 &gt; 16, 0,$E392*$J$5)</f>
        <v>36579923.959724784</v>
      </c>
      <c r="G392">
        <f t="shared" si="6"/>
        <v>16.2</v>
      </c>
    </row>
    <row r="393" spans="2:7" x14ac:dyDescent="0.35">
      <c r="B393" s="1">
        <v>45674</v>
      </c>
      <c r="C393" s="2">
        <v>0.29166666666666669</v>
      </c>
      <c r="D393">
        <v>-0.3</v>
      </c>
      <c r="E393">
        <f>IF($D393 &gt; 16, 0, $J$3*(16 - $D393))</f>
        <v>3386.302876021361</v>
      </c>
      <c r="F393">
        <f>IF($D393 &gt; 16, 0,$E393*$J$5)</f>
        <v>36805725.959476173</v>
      </c>
      <c r="G393">
        <f t="shared" si="6"/>
        <v>16.3</v>
      </c>
    </row>
    <row r="394" spans="2:7" x14ac:dyDescent="0.35">
      <c r="B394" s="1">
        <v>45674</v>
      </c>
      <c r="C394" s="2">
        <v>0.33333333333333331</v>
      </c>
      <c r="D394">
        <v>-0.5</v>
      </c>
      <c r="E394">
        <f>IF($D394 &gt; 16, 0, $J$3*(16 - $D394))</f>
        <v>3427.8526045615004</v>
      </c>
      <c r="F394">
        <f>IF($D394 &gt; 16, 0,$E394*$J$5)</f>
        <v>37257329.958978951</v>
      </c>
      <c r="G394">
        <f t="shared" si="6"/>
        <v>16.5</v>
      </c>
    </row>
    <row r="395" spans="2:7" x14ac:dyDescent="0.35">
      <c r="B395" s="1">
        <v>45674</v>
      </c>
      <c r="C395" s="2">
        <v>0.375</v>
      </c>
      <c r="D395">
        <v>-0.5</v>
      </c>
      <c r="E395">
        <f>IF($D395 &gt; 16, 0, $J$3*(16 - $D395))</f>
        <v>3427.8526045615004</v>
      </c>
      <c r="F395">
        <f>IF($D395 &gt; 16, 0,$E395*$J$5)</f>
        <v>37257329.958978951</v>
      </c>
      <c r="G395">
        <f t="shared" si="6"/>
        <v>16.5</v>
      </c>
    </row>
    <row r="396" spans="2:7" x14ac:dyDescent="0.35">
      <c r="B396" s="1">
        <v>45674</v>
      </c>
      <c r="C396" s="2">
        <v>0.41666666666666669</v>
      </c>
      <c r="D396">
        <v>-0.4</v>
      </c>
      <c r="E396">
        <f>IF($D396 &gt; 16, 0, $J$3*(16 - $D396))</f>
        <v>3407.0777402914305</v>
      </c>
      <c r="F396">
        <f>IF($D396 &gt; 16, 0,$E396*$J$5)</f>
        <v>37031527.959227555</v>
      </c>
      <c r="G396">
        <f t="shared" si="6"/>
        <v>16.399999999999999</v>
      </c>
    </row>
    <row r="397" spans="2:7" x14ac:dyDescent="0.35">
      <c r="B397" s="1">
        <v>45674</v>
      </c>
      <c r="C397" s="2">
        <v>0.45833333333333331</v>
      </c>
      <c r="D397">
        <v>-0.7</v>
      </c>
      <c r="E397">
        <f>IF($D397 &gt; 16, 0, $J$3*(16 - $D397))</f>
        <v>3469.4023331016397</v>
      </c>
      <c r="F397">
        <f>IF($D397 &gt; 16, 0,$E397*$J$5)</f>
        <v>37708933.958481722</v>
      </c>
      <c r="G397">
        <f t="shared" si="6"/>
        <v>16.7</v>
      </c>
    </row>
    <row r="398" spans="2:7" x14ac:dyDescent="0.35">
      <c r="B398" s="1">
        <v>45674</v>
      </c>
      <c r="C398" s="2">
        <v>0.5</v>
      </c>
      <c r="D398">
        <v>-0.5</v>
      </c>
      <c r="E398">
        <f>IF($D398 &gt; 16, 0, $J$3*(16 - $D398))</f>
        <v>3427.8526045615004</v>
      </c>
      <c r="F398">
        <f>IF($D398 &gt; 16, 0,$E398*$J$5)</f>
        <v>37257329.958978951</v>
      </c>
      <c r="G398">
        <f t="shared" si="6"/>
        <v>16.5</v>
      </c>
    </row>
    <row r="399" spans="2:7" x14ac:dyDescent="0.35">
      <c r="B399" s="1">
        <v>45674</v>
      </c>
      <c r="C399" s="2">
        <v>0.54166666666666663</v>
      </c>
      <c r="D399">
        <v>-0.4</v>
      </c>
      <c r="E399">
        <f>IF($D399 &gt; 16, 0, $J$3*(16 - $D399))</f>
        <v>3407.0777402914305</v>
      </c>
      <c r="F399">
        <f>IF($D399 &gt; 16, 0,$E399*$J$5)</f>
        <v>37031527.959227555</v>
      </c>
      <c r="G399">
        <f t="shared" si="6"/>
        <v>16.399999999999999</v>
      </c>
    </row>
    <row r="400" spans="2:7" x14ac:dyDescent="0.35">
      <c r="B400" s="1">
        <v>45674</v>
      </c>
      <c r="C400" s="2">
        <v>0.58333333333333337</v>
      </c>
      <c r="D400">
        <v>-0.6</v>
      </c>
      <c r="E400">
        <f>IF($D400 &gt; 16, 0, $J$3*(16 - $D400))</f>
        <v>3448.6274688315702</v>
      </c>
      <c r="F400">
        <f>IF($D400 &gt; 16, 0,$E400*$J$5)</f>
        <v>37483131.95873034</v>
      </c>
      <c r="G400">
        <f t="shared" si="6"/>
        <v>16.600000000000001</v>
      </c>
    </row>
    <row r="401" spans="2:7" x14ac:dyDescent="0.35">
      <c r="B401" s="1">
        <v>45674</v>
      </c>
      <c r="C401" s="2">
        <v>0.625</v>
      </c>
      <c r="D401">
        <v>-0.8</v>
      </c>
      <c r="E401">
        <f>IF($D401 &gt; 16, 0, $J$3*(16 - $D401))</f>
        <v>3490.1771973717096</v>
      </c>
      <c r="F401">
        <f>IF($D401 &gt; 16, 0,$E401*$J$5)</f>
        <v>37934735.958233111</v>
      </c>
      <c r="G401">
        <f t="shared" si="6"/>
        <v>16.8</v>
      </c>
    </row>
    <row r="402" spans="2:7" x14ac:dyDescent="0.35">
      <c r="B402" s="1">
        <v>45674</v>
      </c>
      <c r="C402" s="2">
        <v>0.66666666666666663</v>
      </c>
      <c r="D402">
        <v>-0.9</v>
      </c>
      <c r="E402">
        <f>IF($D402 &gt; 16, 0, $J$3*(16 - $D402))</f>
        <v>3510.952061641779</v>
      </c>
      <c r="F402">
        <f>IF($D402 &gt; 16, 0,$E402*$J$5)</f>
        <v>38160537.957984492</v>
      </c>
      <c r="G402">
        <f t="shared" si="6"/>
        <v>16.899999999999999</v>
      </c>
    </row>
    <row r="403" spans="2:7" x14ac:dyDescent="0.35">
      <c r="B403" s="1">
        <v>45674</v>
      </c>
      <c r="C403" s="2">
        <v>0.70833333333333337</v>
      </c>
      <c r="D403">
        <v>-1.1000000000000001</v>
      </c>
      <c r="E403">
        <f>IF($D403 &gt; 16, 0, $J$3*(16 - $D403))</f>
        <v>3552.5017901819188</v>
      </c>
      <c r="F403">
        <f>IF($D403 &gt; 16, 0,$E403*$J$5)</f>
        <v>38612141.957487278</v>
      </c>
      <c r="G403">
        <f t="shared" si="6"/>
        <v>17.100000000000001</v>
      </c>
    </row>
    <row r="404" spans="2:7" x14ac:dyDescent="0.35">
      <c r="B404" s="1">
        <v>45674</v>
      </c>
      <c r="C404" s="2">
        <v>0.75</v>
      </c>
      <c r="D404">
        <v>-1</v>
      </c>
      <c r="E404">
        <f>IF($D404 &gt; 16, 0, $J$3*(16 - $D404))</f>
        <v>3531.7269259118489</v>
      </c>
      <c r="F404">
        <f>IF($D404 &gt; 16, 0,$E404*$J$5)</f>
        <v>38386339.957735889</v>
      </c>
      <c r="G404">
        <f t="shared" si="6"/>
        <v>17</v>
      </c>
    </row>
    <row r="405" spans="2:7" x14ac:dyDescent="0.35">
      <c r="B405" s="1">
        <v>45674</v>
      </c>
      <c r="C405" s="2">
        <v>0.79166666666666663</v>
      </c>
      <c r="D405">
        <v>-1.1000000000000001</v>
      </c>
      <c r="E405">
        <f>IF($D405 &gt; 16, 0, $J$3*(16 - $D405))</f>
        <v>3552.5017901819188</v>
      </c>
      <c r="F405">
        <f>IF($D405 &gt; 16, 0,$E405*$J$5)</f>
        <v>38612141.957487278</v>
      </c>
      <c r="G405">
        <f t="shared" si="6"/>
        <v>17.100000000000001</v>
      </c>
    </row>
    <row r="406" spans="2:7" x14ac:dyDescent="0.35">
      <c r="B406" s="1">
        <v>45674</v>
      </c>
      <c r="C406" s="2">
        <v>0.83333333333333337</v>
      </c>
      <c r="D406">
        <v>-1.3</v>
      </c>
      <c r="E406">
        <f>IF($D406 &gt; 16, 0, $J$3*(16 - $D406))</f>
        <v>3594.0515187220581</v>
      </c>
      <c r="F406">
        <f>IF($D406 &gt; 16, 0,$E406*$J$5)</f>
        <v>39063745.956990048</v>
      </c>
      <c r="G406">
        <f t="shared" si="6"/>
        <v>17.3</v>
      </c>
    </row>
    <row r="407" spans="2:7" x14ac:dyDescent="0.35">
      <c r="B407" s="1">
        <v>45674</v>
      </c>
      <c r="C407" s="2">
        <v>0.875</v>
      </c>
      <c r="D407">
        <v>-1.3</v>
      </c>
      <c r="E407">
        <f>IF($D407 &gt; 16, 0, $J$3*(16 - $D407))</f>
        <v>3594.0515187220581</v>
      </c>
      <c r="F407">
        <f>IF($D407 &gt; 16, 0,$E407*$J$5)</f>
        <v>39063745.956990048</v>
      </c>
      <c r="G407">
        <f t="shared" si="6"/>
        <v>17.3</v>
      </c>
    </row>
    <row r="408" spans="2:7" x14ac:dyDescent="0.35">
      <c r="B408" s="1">
        <v>45674</v>
      </c>
      <c r="C408" s="2">
        <v>0.91666666666666663</v>
      </c>
      <c r="D408">
        <v>-1.2</v>
      </c>
      <c r="E408">
        <f>IF($D408 &gt; 16, 0, $J$3*(16 - $D408))</f>
        <v>3573.2766544519882</v>
      </c>
      <c r="F408">
        <f>IF($D408 &gt; 16, 0,$E408*$J$5)</f>
        <v>38837943.957238659</v>
      </c>
      <c r="G408">
        <f t="shared" si="6"/>
        <v>17.2</v>
      </c>
    </row>
    <row r="409" spans="2:7" x14ac:dyDescent="0.35">
      <c r="B409" s="1">
        <v>45674</v>
      </c>
      <c r="C409" s="2">
        <v>0.95833333333333337</v>
      </c>
      <c r="D409">
        <v>-1.4</v>
      </c>
      <c r="E409">
        <f>IF($D409 &gt; 16, 0, $J$3*(16 - $D409))</f>
        <v>3614.8263829921275</v>
      </c>
      <c r="F409">
        <f>IF($D409 &gt; 16, 0,$E409*$J$5)</f>
        <v>39289547.956741437</v>
      </c>
      <c r="G409">
        <f t="shared" si="6"/>
        <v>17.399999999999999</v>
      </c>
    </row>
    <row r="410" spans="2:7" x14ac:dyDescent="0.35">
      <c r="B410" s="1">
        <v>45675</v>
      </c>
      <c r="C410" s="2">
        <v>0</v>
      </c>
      <c r="D410">
        <v>-1.4</v>
      </c>
      <c r="E410">
        <f>IF($D410 &gt; 16, 0, $J$3*(16 - $D410))</f>
        <v>3614.8263829921275</v>
      </c>
      <c r="F410">
        <f>IF($D410 &gt; 16, 0,$E410*$J$5)</f>
        <v>39289547.956741437</v>
      </c>
      <c r="G410">
        <f t="shared" si="6"/>
        <v>17.399999999999999</v>
      </c>
    </row>
    <row r="411" spans="2:7" x14ac:dyDescent="0.35">
      <c r="B411" s="1">
        <v>45675</v>
      </c>
      <c r="C411" s="2">
        <v>4.1666666666666657E-2</v>
      </c>
      <c r="D411">
        <v>-1.6</v>
      </c>
      <c r="E411">
        <f>IF($D411 &gt; 16, 0, $J$3*(16 - $D411))</f>
        <v>3656.3761115322673</v>
      </c>
      <c r="F411">
        <f>IF($D411 &gt; 16, 0,$E411*$J$5)</f>
        <v>39741151.956244215</v>
      </c>
      <c r="G411">
        <f t="shared" si="6"/>
        <v>17.600000000000001</v>
      </c>
    </row>
    <row r="412" spans="2:7" x14ac:dyDescent="0.35">
      <c r="B412" s="1">
        <v>45675</v>
      </c>
      <c r="C412" s="2">
        <v>8.3333333333333329E-2</v>
      </c>
      <c r="D412">
        <v>-1.7</v>
      </c>
      <c r="E412">
        <f>IF($D412 &gt; 16, 0, $J$3*(16 - $D412))</f>
        <v>3677.1509758023367</v>
      </c>
      <c r="F412">
        <f>IF($D412 &gt; 16, 0,$E412*$J$5)</f>
        <v>39966953.955995597</v>
      </c>
      <c r="G412">
        <f t="shared" si="6"/>
        <v>17.7</v>
      </c>
    </row>
    <row r="413" spans="2:7" x14ac:dyDescent="0.35">
      <c r="B413" s="1">
        <v>45675</v>
      </c>
      <c r="C413" s="2">
        <v>0.125</v>
      </c>
      <c r="D413">
        <v>-1.8</v>
      </c>
      <c r="E413">
        <f>IF($D413 &gt; 16, 0, $J$3*(16 - $D413))</f>
        <v>3697.9258400724066</v>
      </c>
      <c r="F413">
        <f>IF($D413 &gt; 16, 0,$E413*$J$5)</f>
        <v>40192755.955746986</v>
      </c>
      <c r="G413">
        <f t="shared" si="6"/>
        <v>17.8</v>
      </c>
    </row>
    <row r="414" spans="2:7" x14ac:dyDescent="0.35">
      <c r="B414" s="1">
        <v>45675</v>
      </c>
      <c r="C414" s="2">
        <v>0.16666666666666671</v>
      </c>
      <c r="D414">
        <v>-1.8</v>
      </c>
      <c r="E414">
        <f>IF($D414 &gt; 16, 0, $J$3*(16 - $D414))</f>
        <v>3697.9258400724066</v>
      </c>
      <c r="F414">
        <f>IF($D414 &gt; 16, 0,$E414*$J$5)</f>
        <v>40192755.955746986</v>
      </c>
      <c r="G414">
        <f t="shared" si="6"/>
        <v>17.8</v>
      </c>
    </row>
    <row r="415" spans="2:7" x14ac:dyDescent="0.35">
      <c r="B415" s="1">
        <v>45675</v>
      </c>
      <c r="C415" s="2">
        <v>0.20833333333333329</v>
      </c>
      <c r="D415">
        <v>-2.1</v>
      </c>
      <c r="E415">
        <f>IF($D415 &gt; 16, 0, $J$3*(16 - $D415))</f>
        <v>3760.2504328826158</v>
      </c>
      <c r="F415">
        <f>IF($D415 &gt; 16, 0,$E415*$J$5)</f>
        <v>40870161.955001153</v>
      </c>
      <c r="G415">
        <f t="shared" si="6"/>
        <v>18.100000000000001</v>
      </c>
    </row>
    <row r="416" spans="2:7" x14ac:dyDescent="0.35">
      <c r="B416" s="1">
        <v>45675</v>
      </c>
      <c r="C416" s="2">
        <v>0.25</v>
      </c>
      <c r="D416">
        <v>-2.1</v>
      </c>
      <c r="E416">
        <f>IF($D416 &gt; 16, 0, $J$3*(16 - $D416))</f>
        <v>3760.2504328826158</v>
      </c>
      <c r="F416">
        <f>IF($D416 &gt; 16, 0,$E416*$J$5)</f>
        <v>40870161.955001153</v>
      </c>
      <c r="G416">
        <f t="shared" si="6"/>
        <v>18.100000000000001</v>
      </c>
    </row>
    <row r="417" spans="2:7" x14ac:dyDescent="0.35">
      <c r="B417" s="1">
        <v>45675</v>
      </c>
      <c r="C417" s="2">
        <v>0.29166666666666669</v>
      </c>
      <c r="D417">
        <v>-2.1</v>
      </c>
      <c r="E417">
        <f>IF($D417 &gt; 16, 0, $J$3*(16 - $D417))</f>
        <v>3760.2504328826158</v>
      </c>
      <c r="F417">
        <f>IF($D417 &gt; 16, 0,$E417*$J$5)</f>
        <v>40870161.955001153</v>
      </c>
      <c r="G417">
        <f t="shared" si="6"/>
        <v>18.100000000000001</v>
      </c>
    </row>
    <row r="418" spans="2:7" x14ac:dyDescent="0.35">
      <c r="B418" s="1">
        <v>45675</v>
      </c>
      <c r="C418" s="2">
        <v>0.33333333333333331</v>
      </c>
      <c r="D418">
        <v>-2.2999999999999998</v>
      </c>
      <c r="E418">
        <f>IF($D418 &gt; 16, 0, $J$3*(16 - $D418))</f>
        <v>3801.8001614227551</v>
      </c>
      <c r="F418">
        <f>IF($D418 &gt; 16, 0,$E418*$J$5)</f>
        <v>41321765.954503924</v>
      </c>
      <c r="G418">
        <f t="shared" si="6"/>
        <v>18.3</v>
      </c>
    </row>
    <row r="419" spans="2:7" x14ac:dyDescent="0.35">
      <c r="B419" s="1">
        <v>45675</v>
      </c>
      <c r="C419" s="2">
        <v>0.375</v>
      </c>
      <c r="D419">
        <v>-2.2000000000000002</v>
      </c>
      <c r="E419">
        <f>IF($D419 &gt; 16, 0, $J$3*(16 - $D419))</f>
        <v>3781.0252971526852</v>
      </c>
      <c r="F419">
        <f>IF($D419 &gt; 16, 0,$E419*$J$5)</f>
        <v>41095963.954752535</v>
      </c>
      <c r="G419">
        <f t="shared" si="6"/>
        <v>18.2</v>
      </c>
    </row>
    <row r="420" spans="2:7" x14ac:dyDescent="0.35">
      <c r="B420" s="1">
        <v>45675</v>
      </c>
      <c r="C420" s="2">
        <v>0.41666666666666669</v>
      </c>
      <c r="D420">
        <v>-1.8</v>
      </c>
      <c r="E420">
        <f>IF($D420 &gt; 16, 0, $J$3*(16 - $D420))</f>
        <v>3697.9258400724066</v>
      </c>
      <c r="F420">
        <f>IF($D420 &gt; 16, 0,$E420*$J$5)</f>
        <v>40192755.955746986</v>
      </c>
      <c r="G420">
        <f t="shared" si="6"/>
        <v>17.8</v>
      </c>
    </row>
    <row r="421" spans="2:7" x14ac:dyDescent="0.35">
      <c r="B421" s="1">
        <v>45675</v>
      </c>
      <c r="C421" s="2">
        <v>0.45833333333333331</v>
      </c>
      <c r="D421">
        <v>-1</v>
      </c>
      <c r="E421">
        <f>IF($D421 &gt; 16, 0, $J$3*(16 - $D421))</f>
        <v>3531.7269259118489</v>
      </c>
      <c r="F421">
        <f>IF($D421 &gt; 16, 0,$E421*$J$5)</f>
        <v>38386339.957735889</v>
      </c>
      <c r="G421">
        <f t="shared" si="6"/>
        <v>17</v>
      </c>
    </row>
    <row r="422" spans="2:7" x14ac:dyDescent="0.35">
      <c r="B422" s="1">
        <v>45675</v>
      </c>
      <c r="C422" s="2">
        <v>0.5</v>
      </c>
      <c r="D422">
        <v>-1.4</v>
      </c>
      <c r="E422">
        <f>IF($D422 &gt; 16, 0, $J$3*(16 - $D422))</f>
        <v>3614.8263829921275</v>
      </c>
      <c r="F422">
        <f>IF($D422 &gt; 16, 0,$E422*$J$5)</f>
        <v>39289547.956741437</v>
      </c>
      <c r="G422">
        <f t="shared" si="6"/>
        <v>17.399999999999999</v>
      </c>
    </row>
    <row r="423" spans="2:7" x14ac:dyDescent="0.35">
      <c r="B423" s="1">
        <v>45675</v>
      </c>
      <c r="C423" s="2">
        <v>0.54166666666666663</v>
      </c>
      <c r="D423">
        <v>-1.3</v>
      </c>
      <c r="E423">
        <f>IF($D423 &gt; 16, 0, $J$3*(16 - $D423))</f>
        <v>3594.0515187220581</v>
      </c>
      <c r="F423">
        <f>IF($D423 &gt; 16, 0,$E423*$J$5)</f>
        <v>39063745.956990048</v>
      </c>
      <c r="G423">
        <f t="shared" si="6"/>
        <v>17.3</v>
      </c>
    </row>
    <row r="424" spans="2:7" x14ac:dyDescent="0.35">
      <c r="B424" s="1">
        <v>45675</v>
      </c>
      <c r="C424" s="2">
        <v>0.58333333333333337</v>
      </c>
      <c r="D424">
        <v>-1.3</v>
      </c>
      <c r="E424">
        <f>IF($D424 &gt; 16, 0, $J$3*(16 - $D424))</f>
        <v>3594.0515187220581</v>
      </c>
      <c r="F424">
        <f>IF($D424 &gt; 16, 0,$E424*$J$5)</f>
        <v>39063745.956990048</v>
      </c>
      <c r="G424">
        <f t="shared" si="6"/>
        <v>17.3</v>
      </c>
    </row>
    <row r="425" spans="2:7" x14ac:dyDescent="0.35">
      <c r="B425" s="1">
        <v>45675</v>
      </c>
      <c r="C425" s="2">
        <v>0.625</v>
      </c>
      <c r="D425">
        <v>-1.4</v>
      </c>
      <c r="E425">
        <f>IF($D425 &gt; 16, 0, $J$3*(16 - $D425))</f>
        <v>3614.8263829921275</v>
      </c>
      <c r="F425">
        <f>IF($D425 &gt; 16, 0,$E425*$J$5)</f>
        <v>39289547.956741437</v>
      </c>
      <c r="G425">
        <f t="shared" si="6"/>
        <v>17.399999999999999</v>
      </c>
    </row>
    <row r="426" spans="2:7" x14ac:dyDescent="0.35">
      <c r="B426" s="1">
        <v>45675</v>
      </c>
      <c r="C426" s="2">
        <v>0.66666666666666663</v>
      </c>
      <c r="D426">
        <v>-1.7</v>
      </c>
      <c r="E426">
        <f>IF($D426 &gt; 16, 0, $J$3*(16 - $D426))</f>
        <v>3677.1509758023367</v>
      </c>
      <c r="F426">
        <f>IF($D426 &gt; 16, 0,$E426*$J$5)</f>
        <v>39966953.955995597</v>
      </c>
      <c r="G426">
        <f t="shared" si="6"/>
        <v>17.7</v>
      </c>
    </row>
    <row r="427" spans="2:7" x14ac:dyDescent="0.35">
      <c r="B427" s="1">
        <v>45675</v>
      </c>
      <c r="C427" s="2">
        <v>0.70833333333333337</v>
      </c>
      <c r="D427">
        <v>-2</v>
      </c>
      <c r="E427">
        <f>IF($D427 &gt; 16, 0, $J$3*(16 - $D427))</f>
        <v>3739.4755686125459</v>
      </c>
      <c r="F427">
        <f>IF($D427 &gt; 16, 0,$E427*$J$5)</f>
        <v>40644359.955249764</v>
      </c>
      <c r="G427">
        <f t="shared" si="6"/>
        <v>18</v>
      </c>
    </row>
    <row r="428" spans="2:7" x14ac:dyDescent="0.35">
      <c r="B428" s="1">
        <v>45675</v>
      </c>
      <c r="C428" s="2">
        <v>0.75</v>
      </c>
      <c r="D428">
        <v>-2.1</v>
      </c>
      <c r="E428">
        <f>IF($D428 &gt; 16, 0, $J$3*(16 - $D428))</f>
        <v>3760.2504328826158</v>
      </c>
      <c r="F428">
        <f>IF($D428 &gt; 16, 0,$E428*$J$5)</f>
        <v>40870161.955001153</v>
      </c>
      <c r="G428">
        <f t="shared" si="6"/>
        <v>18.100000000000001</v>
      </c>
    </row>
    <row r="429" spans="2:7" x14ac:dyDescent="0.35">
      <c r="B429" s="1">
        <v>45675</v>
      </c>
      <c r="C429" s="2">
        <v>0.79166666666666663</v>
      </c>
      <c r="D429">
        <v>-2.1</v>
      </c>
      <c r="E429">
        <f>IF($D429 &gt; 16, 0, $J$3*(16 - $D429))</f>
        <v>3760.2504328826158</v>
      </c>
      <c r="F429">
        <f>IF($D429 &gt; 16, 0,$E429*$J$5)</f>
        <v>40870161.955001153</v>
      </c>
      <c r="G429">
        <f t="shared" si="6"/>
        <v>18.100000000000001</v>
      </c>
    </row>
    <row r="430" spans="2:7" x14ac:dyDescent="0.35">
      <c r="B430" s="1">
        <v>45675</v>
      </c>
      <c r="C430" s="2">
        <v>0.83333333333333337</v>
      </c>
      <c r="D430">
        <v>-2.7</v>
      </c>
      <c r="E430">
        <f>IF($D430 &gt; 16, 0, $J$3*(16 - $D430))</f>
        <v>3884.8996185030337</v>
      </c>
      <c r="F430">
        <f>IF($D430 &gt; 16, 0,$E430*$J$5)</f>
        <v>42224973.953509472</v>
      </c>
      <c r="G430">
        <f t="shared" si="6"/>
        <v>18.7</v>
      </c>
    </row>
    <row r="431" spans="2:7" x14ac:dyDescent="0.35">
      <c r="B431" s="1">
        <v>45675</v>
      </c>
      <c r="C431" s="2">
        <v>0.875</v>
      </c>
      <c r="D431">
        <v>-3.1</v>
      </c>
      <c r="E431">
        <f>IF($D431 &gt; 16, 0, $J$3*(16 - $D431))</f>
        <v>3967.9990755833128</v>
      </c>
      <c r="F431">
        <f>IF($D431 &gt; 16, 0,$E431*$J$5)</f>
        <v>43128181.952515028</v>
      </c>
      <c r="G431">
        <f t="shared" si="6"/>
        <v>19.100000000000001</v>
      </c>
    </row>
    <row r="432" spans="2:7" x14ac:dyDescent="0.35">
      <c r="B432" s="1">
        <v>45675</v>
      </c>
      <c r="C432" s="2">
        <v>0.91666666666666663</v>
      </c>
      <c r="D432">
        <v>-3.2</v>
      </c>
      <c r="E432">
        <f>IF($D432 &gt; 16, 0, $J$3*(16 - $D432))</f>
        <v>3988.7739398533822</v>
      </c>
      <c r="F432">
        <f>IF($D432 &gt; 16, 0,$E432*$J$5)</f>
        <v>43353983.95226641</v>
      </c>
      <c r="G432">
        <f t="shared" si="6"/>
        <v>19.2</v>
      </c>
    </row>
    <row r="433" spans="2:7" x14ac:dyDescent="0.35">
      <c r="B433" s="1">
        <v>45675</v>
      </c>
      <c r="C433" s="2">
        <v>0.95833333333333337</v>
      </c>
      <c r="D433">
        <v>-3.6</v>
      </c>
      <c r="E433">
        <f>IF($D433 &gt; 16, 0, $J$3*(16 - $D433))</f>
        <v>4071.8733969336613</v>
      </c>
      <c r="F433">
        <f>IF($D433 &gt; 16, 0,$E433*$J$5)</f>
        <v>44257191.951271966</v>
      </c>
      <c r="G433">
        <f t="shared" si="6"/>
        <v>19.600000000000001</v>
      </c>
    </row>
    <row r="434" spans="2:7" x14ac:dyDescent="0.35">
      <c r="B434" s="1">
        <v>45676</v>
      </c>
      <c r="C434" s="2">
        <v>0</v>
      </c>
      <c r="D434">
        <v>-3.8</v>
      </c>
      <c r="E434">
        <f>IF($D434 &gt; 16, 0, $J$3*(16 - $D434))</f>
        <v>4113.4231254738006</v>
      </c>
      <c r="F434">
        <f>IF($D434 &gt; 16, 0,$E434*$J$5)</f>
        <v>44708795.950774737</v>
      </c>
      <c r="G434">
        <f t="shared" si="6"/>
        <v>19.8</v>
      </c>
    </row>
    <row r="435" spans="2:7" x14ac:dyDescent="0.35">
      <c r="B435" s="1">
        <v>45676</v>
      </c>
      <c r="C435" s="2">
        <v>4.1666666666666657E-2</v>
      </c>
      <c r="D435">
        <v>-4.0999999999999996</v>
      </c>
      <c r="E435">
        <f>IF($D435 &gt; 16, 0, $J$3*(16 - $D435))</f>
        <v>4175.7477182840094</v>
      </c>
      <c r="F435">
        <f>IF($D435 &gt; 16, 0,$E435*$J$5)</f>
        <v>45386201.950028896</v>
      </c>
      <c r="G435">
        <f t="shared" si="6"/>
        <v>20.100000000000001</v>
      </c>
    </row>
    <row r="436" spans="2:7" x14ac:dyDescent="0.35">
      <c r="B436" s="1">
        <v>45676</v>
      </c>
      <c r="C436" s="2">
        <v>8.3333333333333329E-2</v>
      </c>
      <c r="D436">
        <v>-4.0999999999999996</v>
      </c>
      <c r="E436">
        <f>IF($D436 &gt; 16, 0, $J$3*(16 - $D436))</f>
        <v>4175.7477182840094</v>
      </c>
      <c r="F436">
        <f>IF($D436 &gt; 16, 0,$E436*$J$5)</f>
        <v>45386201.950028896</v>
      </c>
      <c r="G436">
        <f t="shared" si="6"/>
        <v>20.100000000000001</v>
      </c>
    </row>
    <row r="437" spans="2:7" x14ac:dyDescent="0.35">
      <c r="B437" s="1">
        <v>45676</v>
      </c>
      <c r="C437" s="2">
        <v>0.125</v>
      </c>
      <c r="D437">
        <v>-4.4000000000000004</v>
      </c>
      <c r="E437">
        <f>IF($D437 &gt; 16, 0, $J$3*(16 - $D437))</f>
        <v>4238.0723110942181</v>
      </c>
      <c r="F437">
        <f>IF($D437 &gt; 16, 0,$E437*$J$5)</f>
        <v>46063607.949283056</v>
      </c>
      <c r="G437">
        <f t="shared" si="6"/>
        <v>20.399999999999999</v>
      </c>
    </row>
    <row r="438" spans="2:7" x14ac:dyDescent="0.35">
      <c r="B438" s="1">
        <v>45676</v>
      </c>
      <c r="C438" s="2">
        <v>0.16666666666666671</v>
      </c>
      <c r="D438">
        <v>-4.3</v>
      </c>
      <c r="E438">
        <f>IF($D438 &gt; 16, 0, $J$3*(16 - $D438))</f>
        <v>4217.2974468241491</v>
      </c>
      <c r="F438">
        <f>IF($D438 &gt; 16, 0,$E438*$J$5)</f>
        <v>45837805.949531674</v>
      </c>
      <c r="G438">
        <f t="shared" si="6"/>
        <v>20.3</v>
      </c>
    </row>
    <row r="439" spans="2:7" x14ac:dyDescent="0.35">
      <c r="B439" s="1">
        <v>45676</v>
      </c>
      <c r="C439" s="2">
        <v>0.20833333333333329</v>
      </c>
      <c r="D439">
        <v>-4.4000000000000004</v>
      </c>
      <c r="E439">
        <f>IF($D439 &gt; 16, 0, $J$3*(16 - $D439))</f>
        <v>4238.0723110942181</v>
      </c>
      <c r="F439">
        <f>IF($D439 &gt; 16, 0,$E439*$J$5)</f>
        <v>46063607.949283056</v>
      </c>
      <c r="G439">
        <f t="shared" si="6"/>
        <v>20.399999999999999</v>
      </c>
    </row>
    <row r="440" spans="2:7" x14ac:dyDescent="0.35">
      <c r="B440" s="1">
        <v>45676</v>
      </c>
      <c r="C440" s="2">
        <v>0.25</v>
      </c>
      <c r="D440">
        <v>-4.5</v>
      </c>
      <c r="E440">
        <f>IF($D440 &gt; 16, 0, $J$3*(16 - $D440))</f>
        <v>4258.847175364288</v>
      </c>
      <c r="F440">
        <f>IF($D440 &gt; 16, 0,$E440*$J$5)</f>
        <v>46289409.949034445</v>
      </c>
      <c r="G440">
        <f t="shared" si="6"/>
        <v>20.5</v>
      </c>
    </row>
    <row r="441" spans="2:7" x14ac:dyDescent="0.35">
      <c r="B441" s="1">
        <v>45676</v>
      </c>
      <c r="C441" s="2">
        <v>0.29166666666666669</v>
      </c>
      <c r="D441">
        <v>-4.2</v>
      </c>
      <c r="E441">
        <f>IF($D441 &gt; 16, 0, $J$3*(16 - $D441))</f>
        <v>4196.5225825540792</v>
      </c>
      <c r="F441">
        <f>IF($D441 &gt; 16, 0,$E441*$J$5)</f>
        <v>45612003.949780285</v>
      </c>
      <c r="G441">
        <f t="shared" si="6"/>
        <v>20.2</v>
      </c>
    </row>
    <row r="442" spans="2:7" x14ac:dyDescent="0.35">
      <c r="B442" s="1">
        <v>45676</v>
      </c>
      <c r="C442" s="2">
        <v>0.33333333333333331</v>
      </c>
      <c r="D442">
        <v>-3.8</v>
      </c>
      <c r="E442">
        <f>IF($D442 &gt; 16, 0, $J$3*(16 - $D442))</f>
        <v>4113.4231254738006</v>
      </c>
      <c r="F442">
        <f>IF($D442 &gt; 16, 0,$E442*$J$5)</f>
        <v>44708795.950774737</v>
      </c>
      <c r="G442">
        <f t="shared" si="6"/>
        <v>19.8</v>
      </c>
    </row>
    <row r="443" spans="2:7" x14ac:dyDescent="0.35">
      <c r="B443" s="1">
        <v>45676</v>
      </c>
      <c r="C443" s="2">
        <v>0.375</v>
      </c>
      <c r="D443">
        <v>-3.1</v>
      </c>
      <c r="E443">
        <f>IF($D443 &gt; 16, 0, $J$3*(16 - $D443))</f>
        <v>3967.9990755833128</v>
      </c>
      <c r="F443">
        <f>IF($D443 &gt; 16, 0,$E443*$J$5)</f>
        <v>43128181.952515028</v>
      </c>
      <c r="G443">
        <f t="shared" si="6"/>
        <v>19.100000000000001</v>
      </c>
    </row>
    <row r="444" spans="2:7" x14ac:dyDescent="0.35">
      <c r="B444" s="1">
        <v>45676</v>
      </c>
      <c r="C444" s="2">
        <v>0.41666666666666669</v>
      </c>
      <c r="D444">
        <v>-2.1</v>
      </c>
      <c r="E444">
        <f>IF($D444 &gt; 16, 0, $J$3*(16 - $D444))</f>
        <v>3760.2504328826158</v>
      </c>
      <c r="F444">
        <f>IF($D444 &gt; 16, 0,$E444*$J$5)</f>
        <v>40870161.955001153</v>
      </c>
      <c r="G444">
        <f t="shared" si="6"/>
        <v>18.100000000000001</v>
      </c>
    </row>
    <row r="445" spans="2:7" x14ac:dyDescent="0.35">
      <c r="B445" s="1">
        <v>45676</v>
      </c>
      <c r="C445" s="2">
        <v>0.45833333333333331</v>
      </c>
      <c r="D445">
        <v>-0.8</v>
      </c>
      <c r="E445">
        <f>IF($D445 &gt; 16, 0, $J$3*(16 - $D445))</f>
        <v>3490.1771973717096</v>
      </c>
      <c r="F445">
        <f>IF($D445 &gt; 16, 0,$E445*$J$5)</f>
        <v>37934735.958233111</v>
      </c>
      <c r="G445">
        <f t="shared" si="6"/>
        <v>16.8</v>
      </c>
    </row>
    <row r="446" spans="2:7" x14ac:dyDescent="0.35">
      <c r="B446" s="1">
        <v>45676</v>
      </c>
      <c r="C446" s="2">
        <v>0.5</v>
      </c>
      <c r="D446">
        <v>1.1000000000000001</v>
      </c>
      <c r="E446">
        <f>IF($D446 &gt; 16, 0, $J$3*(16 - $D446))</f>
        <v>3095.4547762403854</v>
      </c>
      <c r="F446">
        <f>IF($D446 &gt; 16, 0,$E446*$J$5)</f>
        <v>33644497.962956749</v>
      </c>
      <c r="G446">
        <f t="shared" si="6"/>
        <v>14.9</v>
      </c>
    </row>
    <row r="447" spans="2:7" x14ac:dyDescent="0.35">
      <c r="B447" s="1">
        <v>45676</v>
      </c>
      <c r="C447" s="2">
        <v>0.54166666666666663</v>
      </c>
      <c r="D447">
        <v>2.6</v>
      </c>
      <c r="E447">
        <f>IF($D447 &gt; 16, 0, $J$3*(16 - $D447))</f>
        <v>2783.8318121893399</v>
      </c>
      <c r="F447">
        <f>IF($D447 &gt; 16, 0,$E447*$J$5)</f>
        <v>30257467.966685936</v>
      </c>
      <c r="G447">
        <f t="shared" si="6"/>
        <v>13.4</v>
      </c>
    </row>
    <row r="448" spans="2:7" x14ac:dyDescent="0.35">
      <c r="B448" s="1">
        <v>45676</v>
      </c>
      <c r="C448" s="2">
        <v>0.58333333333333337</v>
      </c>
      <c r="D448">
        <v>3.2</v>
      </c>
      <c r="E448">
        <f>IF($D448 &gt; 16, 0, $J$3*(16 - $D448))</f>
        <v>2659.1826265689215</v>
      </c>
      <c r="F448">
        <f>IF($D448 &gt; 16, 0,$E448*$J$5)</f>
        <v>28902655.968177609</v>
      </c>
      <c r="G448">
        <f t="shared" si="6"/>
        <v>12.8</v>
      </c>
    </row>
    <row r="449" spans="2:7" x14ac:dyDescent="0.35">
      <c r="B449" s="1">
        <v>45676</v>
      </c>
      <c r="C449" s="2">
        <v>0.625</v>
      </c>
      <c r="D449">
        <v>2.7</v>
      </c>
      <c r="E449">
        <f>IF($D449 &gt; 16, 0, $J$3*(16 - $D449))</f>
        <v>2763.05694791927</v>
      </c>
      <c r="F449">
        <f>IF($D449 &gt; 16, 0,$E449*$J$5)</f>
        <v>30031665.966934547</v>
      </c>
      <c r="G449">
        <f t="shared" si="6"/>
        <v>13.3</v>
      </c>
    </row>
    <row r="450" spans="2:7" x14ac:dyDescent="0.35">
      <c r="B450" s="1">
        <v>45676</v>
      </c>
      <c r="C450" s="2">
        <v>0.66666666666666663</v>
      </c>
      <c r="D450">
        <v>1.7</v>
      </c>
      <c r="E450">
        <f>IF($D450 &gt; 16, 0, $J$3*(16 - $D450))</f>
        <v>2970.805590619967</v>
      </c>
      <c r="F450">
        <f>IF($D450 &gt; 16, 0,$E450*$J$5)</f>
        <v>32289685.964448422</v>
      </c>
      <c r="G450">
        <f t="shared" si="6"/>
        <v>14.3</v>
      </c>
    </row>
    <row r="451" spans="2:7" x14ac:dyDescent="0.35">
      <c r="B451" s="1">
        <v>45676</v>
      </c>
      <c r="C451" s="2">
        <v>0.70833333333333337</v>
      </c>
      <c r="D451">
        <v>0.9</v>
      </c>
      <c r="E451">
        <f>IF($D451 &gt; 16, 0, $J$3*(16 - $D451))</f>
        <v>3137.0045047805243</v>
      </c>
      <c r="F451">
        <f>IF($D451 &gt; 16, 0,$E451*$J$5)</f>
        <v>34096101.96245952</v>
      </c>
      <c r="G451">
        <f t="shared" ref="G451:G514" si="7">MAX(0, 16 - $D451)</f>
        <v>15.1</v>
      </c>
    </row>
    <row r="452" spans="2:7" x14ac:dyDescent="0.35">
      <c r="B452" s="1">
        <v>45676</v>
      </c>
      <c r="C452" s="2">
        <v>0.75</v>
      </c>
      <c r="D452">
        <v>0.4</v>
      </c>
      <c r="E452">
        <f>IF($D452 &gt; 16, 0, $J$3*(16 - $D452))</f>
        <v>3240.8788261308728</v>
      </c>
      <c r="F452">
        <f>IF($D452 &gt; 16, 0,$E452*$J$5)</f>
        <v>35225111.961216457</v>
      </c>
      <c r="G452">
        <f t="shared" si="7"/>
        <v>15.6</v>
      </c>
    </row>
    <row r="453" spans="2:7" x14ac:dyDescent="0.35">
      <c r="B453" s="1">
        <v>45676</v>
      </c>
      <c r="C453" s="2">
        <v>0.79166666666666663</v>
      </c>
      <c r="D453">
        <v>0.2</v>
      </c>
      <c r="E453">
        <f>IF($D453 &gt; 16, 0, $J$3*(16 - $D453))</f>
        <v>3282.4285546710125</v>
      </c>
      <c r="F453">
        <f>IF($D453 &gt; 16, 0,$E453*$J$5)</f>
        <v>35676715.960719235</v>
      </c>
      <c r="G453">
        <f t="shared" si="7"/>
        <v>15.8</v>
      </c>
    </row>
    <row r="454" spans="2:7" x14ac:dyDescent="0.35">
      <c r="B454" s="1">
        <v>45676</v>
      </c>
      <c r="C454" s="2">
        <v>0.83333333333333337</v>
      </c>
      <c r="D454">
        <v>-0.6</v>
      </c>
      <c r="E454">
        <f>IF($D454 &gt; 16, 0, $J$3*(16 - $D454))</f>
        <v>3448.6274688315702</v>
      </c>
      <c r="F454">
        <f>IF($D454 &gt; 16, 0,$E454*$J$5)</f>
        <v>37483131.95873034</v>
      </c>
      <c r="G454">
        <f t="shared" si="7"/>
        <v>16.600000000000001</v>
      </c>
    </row>
    <row r="455" spans="2:7" x14ac:dyDescent="0.35">
      <c r="B455" s="1">
        <v>45676</v>
      </c>
      <c r="C455" s="2">
        <v>0.875</v>
      </c>
      <c r="D455">
        <v>-0.6</v>
      </c>
      <c r="E455">
        <f>IF($D455 &gt; 16, 0, $J$3*(16 - $D455))</f>
        <v>3448.6274688315702</v>
      </c>
      <c r="F455">
        <f>IF($D455 &gt; 16, 0,$E455*$J$5)</f>
        <v>37483131.95873034</v>
      </c>
      <c r="G455">
        <f t="shared" si="7"/>
        <v>16.600000000000001</v>
      </c>
    </row>
    <row r="456" spans="2:7" x14ac:dyDescent="0.35">
      <c r="B456" s="1">
        <v>45676</v>
      </c>
      <c r="C456" s="2">
        <v>0.91666666666666663</v>
      </c>
      <c r="D456">
        <v>-1.5</v>
      </c>
      <c r="E456">
        <f>IF($D456 &gt; 16, 0, $J$3*(16 - $D456))</f>
        <v>3635.6012472621974</v>
      </c>
      <c r="F456">
        <f>IF($D456 &gt; 16, 0,$E456*$J$5)</f>
        <v>39515349.956492826</v>
      </c>
      <c r="G456">
        <f t="shared" si="7"/>
        <v>17.5</v>
      </c>
    </row>
    <row r="457" spans="2:7" x14ac:dyDescent="0.35">
      <c r="B457" s="1">
        <v>45676</v>
      </c>
      <c r="C457" s="2">
        <v>0.95833333333333337</v>
      </c>
      <c r="D457">
        <v>-0.5</v>
      </c>
      <c r="E457">
        <f>IF($D457 &gt; 16, 0, $J$3*(16 - $D457))</f>
        <v>3427.8526045615004</v>
      </c>
      <c r="F457">
        <f>IF($D457 &gt; 16, 0,$E457*$J$5)</f>
        <v>37257329.958978951</v>
      </c>
      <c r="G457">
        <f t="shared" si="7"/>
        <v>16.5</v>
      </c>
    </row>
    <row r="458" spans="2:7" x14ac:dyDescent="0.35">
      <c r="B458" s="1">
        <v>45677</v>
      </c>
      <c r="C458" s="2">
        <v>0</v>
      </c>
      <c r="D458">
        <v>-1.6</v>
      </c>
      <c r="E458">
        <f>IF($D458 &gt; 16, 0, $J$3*(16 - $D458))</f>
        <v>3656.3761115322673</v>
      </c>
      <c r="F458">
        <f>IF($D458 &gt; 16, 0,$E458*$J$5)</f>
        <v>39741151.956244215</v>
      </c>
      <c r="G458">
        <f t="shared" si="7"/>
        <v>17.600000000000001</v>
      </c>
    </row>
    <row r="459" spans="2:7" x14ac:dyDescent="0.35">
      <c r="B459" s="1">
        <v>45677</v>
      </c>
      <c r="C459" s="2">
        <v>4.1666666666666657E-2</v>
      </c>
      <c r="D459">
        <v>-2.6</v>
      </c>
      <c r="E459">
        <f>IF($D459 &gt; 16, 0, $J$3*(16 - $D459))</f>
        <v>3864.1247542329643</v>
      </c>
      <c r="F459">
        <f>IF($D459 &gt; 16, 0,$E459*$J$5)</f>
        <v>41999171.953758091</v>
      </c>
      <c r="G459">
        <f t="shared" si="7"/>
        <v>18.600000000000001</v>
      </c>
    </row>
    <row r="460" spans="2:7" x14ac:dyDescent="0.35">
      <c r="B460" s="1">
        <v>45677</v>
      </c>
      <c r="C460" s="2">
        <v>8.3333333333333329E-2</v>
      </c>
      <c r="D460">
        <v>-2.7</v>
      </c>
      <c r="E460">
        <f>IF($D460 &gt; 16, 0, $J$3*(16 - $D460))</f>
        <v>3884.8996185030337</v>
      </c>
      <c r="F460">
        <f>IF($D460 &gt; 16, 0,$E460*$J$5)</f>
        <v>42224973.953509472</v>
      </c>
      <c r="G460">
        <f t="shared" si="7"/>
        <v>18.7</v>
      </c>
    </row>
    <row r="461" spans="2:7" x14ac:dyDescent="0.35">
      <c r="B461" s="1">
        <v>45677</v>
      </c>
      <c r="C461" s="2">
        <v>0.125</v>
      </c>
      <c r="D461">
        <v>-3.4</v>
      </c>
      <c r="E461">
        <f>IF($D461 &gt; 16, 0, $J$3*(16 - $D461))</f>
        <v>4030.3236683935215</v>
      </c>
      <c r="F461">
        <f>IF($D461 &gt; 16, 0,$E461*$J$5)</f>
        <v>43805587.951769188</v>
      </c>
      <c r="G461">
        <f t="shared" si="7"/>
        <v>19.399999999999999</v>
      </c>
    </row>
    <row r="462" spans="2:7" x14ac:dyDescent="0.35">
      <c r="B462" s="1">
        <v>45677</v>
      </c>
      <c r="C462" s="2">
        <v>0.16666666666666671</v>
      </c>
      <c r="D462">
        <v>-2.9</v>
      </c>
      <c r="E462">
        <f>IF($D462 &gt; 16, 0, $J$3*(16 - $D462))</f>
        <v>3926.449347043173</v>
      </c>
      <c r="F462">
        <f>IF($D462 &gt; 16, 0,$E462*$J$5)</f>
        <v>42676577.95301225</v>
      </c>
      <c r="G462">
        <f t="shared" si="7"/>
        <v>18.899999999999999</v>
      </c>
    </row>
    <row r="463" spans="2:7" x14ac:dyDescent="0.35">
      <c r="B463" s="1">
        <v>45677</v>
      </c>
      <c r="C463" s="2">
        <v>0.20833333333333329</v>
      </c>
      <c r="D463">
        <v>-1.7</v>
      </c>
      <c r="E463">
        <f>IF($D463 &gt; 16, 0, $J$3*(16 - $D463))</f>
        <v>3677.1509758023367</v>
      </c>
      <c r="F463">
        <f>IF($D463 &gt; 16, 0,$E463*$J$5)</f>
        <v>39966953.955995597</v>
      </c>
      <c r="G463">
        <f t="shared" si="7"/>
        <v>17.7</v>
      </c>
    </row>
    <row r="464" spans="2:7" x14ac:dyDescent="0.35">
      <c r="B464" s="1">
        <v>45677</v>
      </c>
      <c r="C464" s="2">
        <v>0.25</v>
      </c>
      <c r="D464">
        <v>-2</v>
      </c>
      <c r="E464">
        <f>IF($D464 &gt; 16, 0, $J$3*(16 - $D464))</f>
        <v>3739.4755686125459</v>
      </c>
      <c r="F464">
        <f>IF($D464 &gt; 16, 0,$E464*$J$5)</f>
        <v>40644359.955249764</v>
      </c>
      <c r="G464">
        <f t="shared" si="7"/>
        <v>18</v>
      </c>
    </row>
    <row r="465" spans="2:7" x14ac:dyDescent="0.35">
      <c r="B465" s="1">
        <v>45677</v>
      </c>
      <c r="C465" s="2">
        <v>0.29166666666666669</v>
      </c>
      <c r="D465">
        <v>-2.2999999999999998</v>
      </c>
      <c r="E465">
        <f>IF($D465 &gt; 16, 0, $J$3*(16 - $D465))</f>
        <v>3801.8001614227551</v>
      </c>
      <c r="F465">
        <f>IF($D465 &gt; 16, 0,$E465*$J$5)</f>
        <v>41321765.954503924</v>
      </c>
      <c r="G465">
        <f t="shared" si="7"/>
        <v>18.3</v>
      </c>
    </row>
    <row r="466" spans="2:7" x14ac:dyDescent="0.35">
      <c r="B466" s="1">
        <v>45677</v>
      </c>
      <c r="C466" s="2">
        <v>0.33333333333333331</v>
      </c>
      <c r="D466">
        <v>-2.1</v>
      </c>
      <c r="E466">
        <f>IF($D466 &gt; 16, 0, $J$3*(16 - $D466))</f>
        <v>3760.2504328826158</v>
      </c>
      <c r="F466">
        <f>IF($D466 &gt; 16, 0,$E466*$J$5)</f>
        <v>40870161.955001153</v>
      </c>
      <c r="G466">
        <f t="shared" si="7"/>
        <v>18.100000000000001</v>
      </c>
    </row>
    <row r="467" spans="2:7" x14ac:dyDescent="0.35">
      <c r="B467" s="1">
        <v>45677</v>
      </c>
      <c r="C467" s="2">
        <v>0.375</v>
      </c>
      <c r="D467">
        <v>-2.4</v>
      </c>
      <c r="E467">
        <f>IF($D467 &gt; 16, 0, $J$3*(16 - $D467))</f>
        <v>3822.5750256928245</v>
      </c>
      <c r="F467">
        <f>IF($D467 &gt; 16, 0,$E467*$J$5)</f>
        <v>41547567.954255313</v>
      </c>
      <c r="G467">
        <f t="shared" si="7"/>
        <v>18.399999999999999</v>
      </c>
    </row>
    <row r="468" spans="2:7" x14ac:dyDescent="0.35">
      <c r="B468" s="1">
        <v>45677</v>
      </c>
      <c r="C468" s="2">
        <v>0.41666666666666669</v>
      </c>
      <c r="D468">
        <v>-2.2999999999999998</v>
      </c>
      <c r="E468">
        <f>IF($D468 &gt; 16, 0, $J$3*(16 - $D468))</f>
        <v>3801.8001614227551</v>
      </c>
      <c r="F468">
        <f>IF($D468 &gt; 16, 0,$E468*$J$5)</f>
        <v>41321765.954503924</v>
      </c>
      <c r="G468">
        <f t="shared" si="7"/>
        <v>18.3</v>
      </c>
    </row>
    <row r="469" spans="2:7" x14ac:dyDescent="0.35">
      <c r="B469" s="1">
        <v>45677</v>
      </c>
      <c r="C469" s="2">
        <v>0.45833333333333331</v>
      </c>
      <c r="D469">
        <v>-2.2000000000000002</v>
      </c>
      <c r="E469">
        <f>IF($D469 &gt; 16, 0, $J$3*(16 - $D469))</f>
        <v>3781.0252971526852</v>
      </c>
      <c r="F469">
        <f>IF($D469 &gt; 16, 0,$E469*$J$5)</f>
        <v>41095963.954752535</v>
      </c>
      <c r="G469">
        <f t="shared" si="7"/>
        <v>18.2</v>
      </c>
    </row>
    <row r="470" spans="2:7" x14ac:dyDescent="0.35">
      <c r="B470" s="1">
        <v>45677</v>
      </c>
      <c r="C470" s="2">
        <v>0.5</v>
      </c>
      <c r="D470">
        <v>-2.6</v>
      </c>
      <c r="E470">
        <f>IF($D470 &gt; 16, 0, $J$3*(16 - $D470))</f>
        <v>3864.1247542329643</v>
      </c>
      <c r="F470">
        <f>IF($D470 &gt; 16, 0,$E470*$J$5)</f>
        <v>41999171.953758091</v>
      </c>
      <c r="G470">
        <f t="shared" si="7"/>
        <v>18.600000000000001</v>
      </c>
    </row>
    <row r="471" spans="2:7" x14ac:dyDescent="0.35">
      <c r="B471" s="1">
        <v>45677</v>
      </c>
      <c r="C471" s="2">
        <v>0.54166666666666663</v>
      </c>
      <c r="D471">
        <v>-2.5</v>
      </c>
      <c r="E471">
        <f>IF($D471 &gt; 16, 0, $J$3*(16 - $D471))</f>
        <v>3843.3498899628944</v>
      </c>
      <c r="F471">
        <f>IF($D471 &gt; 16, 0,$E471*$J$5)</f>
        <v>41773369.954006702</v>
      </c>
      <c r="G471">
        <f t="shared" si="7"/>
        <v>18.5</v>
      </c>
    </row>
    <row r="472" spans="2:7" x14ac:dyDescent="0.35">
      <c r="B472" s="1">
        <v>45677</v>
      </c>
      <c r="C472" s="2">
        <v>0.58333333333333337</v>
      </c>
      <c r="D472">
        <v>-2.2999999999999998</v>
      </c>
      <c r="E472">
        <f>IF($D472 &gt; 16, 0, $J$3*(16 - $D472))</f>
        <v>3801.8001614227551</v>
      </c>
      <c r="F472">
        <f>IF($D472 &gt; 16, 0,$E472*$J$5)</f>
        <v>41321765.954503924</v>
      </c>
      <c r="G472">
        <f t="shared" si="7"/>
        <v>18.3</v>
      </c>
    </row>
    <row r="473" spans="2:7" x14ac:dyDescent="0.35">
      <c r="B473" s="1">
        <v>45677</v>
      </c>
      <c r="C473" s="2">
        <v>0.625</v>
      </c>
      <c r="D473">
        <v>-2.2999999999999998</v>
      </c>
      <c r="E473">
        <f>IF($D473 &gt; 16, 0, $J$3*(16 - $D473))</f>
        <v>3801.8001614227551</v>
      </c>
      <c r="F473">
        <f>IF($D473 &gt; 16, 0,$E473*$J$5)</f>
        <v>41321765.954503924</v>
      </c>
      <c r="G473">
        <f t="shared" si="7"/>
        <v>18.3</v>
      </c>
    </row>
    <row r="474" spans="2:7" x14ac:dyDescent="0.35">
      <c r="B474" s="1">
        <v>45677</v>
      </c>
      <c r="C474" s="2">
        <v>0.66666666666666663</v>
      </c>
      <c r="D474">
        <v>-2.1</v>
      </c>
      <c r="E474">
        <f>IF($D474 &gt; 16, 0, $J$3*(16 - $D474))</f>
        <v>3760.2504328826158</v>
      </c>
      <c r="F474">
        <f>IF($D474 &gt; 16, 0,$E474*$J$5)</f>
        <v>40870161.955001153</v>
      </c>
      <c r="G474">
        <f t="shared" si="7"/>
        <v>18.100000000000001</v>
      </c>
    </row>
    <row r="475" spans="2:7" x14ac:dyDescent="0.35">
      <c r="B475" s="1">
        <v>45677</v>
      </c>
      <c r="C475" s="2">
        <v>0.70833333333333337</v>
      </c>
      <c r="D475">
        <v>-2.4</v>
      </c>
      <c r="E475">
        <f>IF($D475 &gt; 16, 0, $J$3*(16 - $D475))</f>
        <v>3822.5750256928245</v>
      </c>
      <c r="F475">
        <f>IF($D475 &gt; 16, 0,$E475*$J$5)</f>
        <v>41547567.954255313</v>
      </c>
      <c r="G475">
        <f t="shared" si="7"/>
        <v>18.399999999999999</v>
      </c>
    </row>
    <row r="476" spans="2:7" x14ac:dyDescent="0.35">
      <c r="B476" s="1">
        <v>45677</v>
      </c>
      <c r="C476" s="2">
        <v>0.75</v>
      </c>
      <c r="D476">
        <v>-2.2999999999999998</v>
      </c>
      <c r="E476">
        <f>IF($D476 &gt; 16, 0, $J$3*(16 - $D476))</f>
        <v>3801.8001614227551</v>
      </c>
      <c r="F476">
        <f>IF($D476 &gt; 16, 0,$E476*$J$5)</f>
        <v>41321765.954503924</v>
      </c>
      <c r="G476">
        <f t="shared" si="7"/>
        <v>18.3</v>
      </c>
    </row>
    <row r="477" spans="2:7" x14ac:dyDescent="0.35">
      <c r="B477" s="1">
        <v>45677</v>
      </c>
      <c r="C477" s="2">
        <v>0.79166666666666663</v>
      </c>
      <c r="D477">
        <v>-2.1</v>
      </c>
      <c r="E477">
        <f>IF($D477 &gt; 16, 0, $J$3*(16 - $D477))</f>
        <v>3760.2504328826158</v>
      </c>
      <c r="F477">
        <f>IF($D477 &gt; 16, 0,$E477*$J$5)</f>
        <v>40870161.955001153</v>
      </c>
      <c r="G477">
        <f t="shared" si="7"/>
        <v>18.100000000000001</v>
      </c>
    </row>
    <row r="478" spans="2:7" x14ac:dyDescent="0.35">
      <c r="B478" s="1">
        <v>45677</v>
      </c>
      <c r="C478" s="2">
        <v>0.83333333333333337</v>
      </c>
      <c r="D478">
        <v>-1.9</v>
      </c>
      <c r="E478">
        <f>IF($D478 &gt; 16, 0, $J$3*(16 - $D478))</f>
        <v>3718.700704342476</v>
      </c>
      <c r="F478">
        <f>IF($D478 &gt; 16, 0,$E478*$J$5)</f>
        <v>40418557.955498375</v>
      </c>
      <c r="G478">
        <f t="shared" si="7"/>
        <v>17.899999999999999</v>
      </c>
    </row>
    <row r="479" spans="2:7" x14ac:dyDescent="0.35">
      <c r="B479" s="1">
        <v>45677</v>
      </c>
      <c r="C479" s="2">
        <v>0.875</v>
      </c>
      <c r="D479">
        <v>-1.7</v>
      </c>
      <c r="E479">
        <f>IF($D479 &gt; 16, 0, $J$3*(16 - $D479))</f>
        <v>3677.1509758023367</v>
      </c>
      <c r="F479">
        <f>IF($D479 &gt; 16, 0,$E479*$J$5)</f>
        <v>39966953.955995597</v>
      </c>
      <c r="G479">
        <f t="shared" si="7"/>
        <v>17.7</v>
      </c>
    </row>
    <row r="480" spans="2:7" x14ac:dyDescent="0.35">
      <c r="B480" s="1">
        <v>45677</v>
      </c>
      <c r="C480" s="2">
        <v>0.91666666666666663</v>
      </c>
      <c r="D480">
        <v>-1.6</v>
      </c>
      <c r="E480">
        <f>IF($D480 &gt; 16, 0, $J$3*(16 - $D480))</f>
        <v>3656.3761115322673</v>
      </c>
      <c r="F480">
        <f>IF($D480 &gt; 16, 0,$E480*$J$5)</f>
        <v>39741151.956244215</v>
      </c>
      <c r="G480">
        <f t="shared" si="7"/>
        <v>17.600000000000001</v>
      </c>
    </row>
    <row r="481" spans="2:7" x14ac:dyDescent="0.35">
      <c r="B481" s="1">
        <v>45677</v>
      </c>
      <c r="C481" s="2">
        <v>0.95833333333333337</v>
      </c>
      <c r="D481">
        <v>-1.4</v>
      </c>
      <c r="E481">
        <f>IF($D481 &gt; 16, 0, $J$3*(16 - $D481))</f>
        <v>3614.8263829921275</v>
      </c>
      <c r="F481">
        <f>IF($D481 &gt; 16, 0,$E481*$J$5)</f>
        <v>39289547.956741437</v>
      </c>
      <c r="G481">
        <f t="shared" si="7"/>
        <v>17.399999999999999</v>
      </c>
    </row>
    <row r="482" spans="2:7" x14ac:dyDescent="0.35">
      <c r="B482" s="1">
        <v>45678</v>
      </c>
      <c r="C482" s="2">
        <v>0</v>
      </c>
      <c r="D482">
        <v>-1.1000000000000001</v>
      </c>
      <c r="E482">
        <f>IF($D482 &gt; 16, 0, $J$3*(16 - $D482))</f>
        <v>3552.5017901819188</v>
      </c>
      <c r="F482">
        <f>IF($D482 &gt; 16, 0,$E482*$J$5)</f>
        <v>38612141.957487278</v>
      </c>
      <c r="G482">
        <f t="shared" si="7"/>
        <v>17.100000000000001</v>
      </c>
    </row>
    <row r="483" spans="2:7" x14ac:dyDescent="0.35">
      <c r="B483" s="1">
        <v>45678</v>
      </c>
      <c r="C483" s="2">
        <v>4.1666666666666657E-2</v>
      </c>
      <c r="D483">
        <v>-0.9</v>
      </c>
      <c r="E483">
        <f>IF($D483 &gt; 16, 0, $J$3*(16 - $D483))</f>
        <v>3510.952061641779</v>
      </c>
      <c r="F483">
        <f>IF($D483 &gt; 16, 0,$E483*$J$5)</f>
        <v>38160537.957984492</v>
      </c>
      <c r="G483">
        <f t="shared" si="7"/>
        <v>16.899999999999999</v>
      </c>
    </row>
    <row r="484" spans="2:7" x14ac:dyDescent="0.35">
      <c r="B484" s="1">
        <v>45678</v>
      </c>
      <c r="C484" s="2">
        <v>8.3333333333333329E-2</v>
      </c>
      <c r="D484">
        <v>-0.9</v>
      </c>
      <c r="E484">
        <f>IF($D484 &gt; 16, 0, $J$3*(16 - $D484))</f>
        <v>3510.952061641779</v>
      </c>
      <c r="F484">
        <f>IF($D484 &gt; 16, 0,$E484*$J$5)</f>
        <v>38160537.957984492</v>
      </c>
      <c r="G484">
        <f t="shared" si="7"/>
        <v>16.899999999999999</v>
      </c>
    </row>
    <row r="485" spans="2:7" x14ac:dyDescent="0.35">
      <c r="B485" s="1">
        <v>45678</v>
      </c>
      <c r="C485" s="2">
        <v>0.125</v>
      </c>
      <c r="D485">
        <v>-0.8</v>
      </c>
      <c r="E485">
        <f>IF($D485 &gt; 16, 0, $J$3*(16 - $D485))</f>
        <v>3490.1771973717096</v>
      </c>
      <c r="F485">
        <f>IF($D485 &gt; 16, 0,$E485*$J$5)</f>
        <v>37934735.958233111</v>
      </c>
      <c r="G485">
        <f t="shared" si="7"/>
        <v>16.8</v>
      </c>
    </row>
    <row r="486" spans="2:7" x14ac:dyDescent="0.35">
      <c r="B486" s="1">
        <v>45678</v>
      </c>
      <c r="C486" s="2">
        <v>0.16666666666666671</v>
      </c>
      <c r="D486">
        <v>-0.7</v>
      </c>
      <c r="E486">
        <f>IF($D486 &gt; 16, 0, $J$3*(16 - $D486))</f>
        <v>3469.4023331016397</v>
      </c>
      <c r="F486">
        <f>IF($D486 &gt; 16, 0,$E486*$J$5)</f>
        <v>37708933.958481722</v>
      </c>
      <c r="G486">
        <f t="shared" si="7"/>
        <v>16.7</v>
      </c>
    </row>
    <row r="487" spans="2:7" x14ac:dyDescent="0.35">
      <c r="B487" s="1">
        <v>45678</v>
      </c>
      <c r="C487" s="2">
        <v>0.20833333333333329</v>
      </c>
      <c r="D487">
        <v>-0.5</v>
      </c>
      <c r="E487">
        <f>IF($D487 &gt; 16, 0, $J$3*(16 - $D487))</f>
        <v>3427.8526045615004</v>
      </c>
      <c r="F487">
        <f>IF($D487 &gt; 16, 0,$E487*$J$5)</f>
        <v>37257329.958978951</v>
      </c>
      <c r="G487">
        <f t="shared" si="7"/>
        <v>16.5</v>
      </c>
    </row>
    <row r="488" spans="2:7" x14ac:dyDescent="0.35">
      <c r="B488" s="1">
        <v>45678</v>
      </c>
      <c r="C488" s="2">
        <v>0.25</v>
      </c>
      <c r="D488">
        <v>-0.5</v>
      </c>
      <c r="E488">
        <f>IF($D488 &gt; 16, 0, $J$3*(16 - $D488))</f>
        <v>3427.8526045615004</v>
      </c>
      <c r="F488">
        <f>IF($D488 &gt; 16, 0,$E488*$J$5)</f>
        <v>37257329.958978951</v>
      </c>
      <c r="G488">
        <f t="shared" si="7"/>
        <v>16.5</v>
      </c>
    </row>
    <row r="489" spans="2:7" x14ac:dyDescent="0.35">
      <c r="B489" s="1">
        <v>45678</v>
      </c>
      <c r="C489" s="2">
        <v>0.29166666666666669</v>
      </c>
      <c r="D489">
        <v>-0.2</v>
      </c>
      <c r="E489">
        <f>IF($D489 &gt; 16, 0, $J$3*(16 - $D489))</f>
        <v>3365.5280117512912</v>
      </c>
      <c r="F489">
        <f>IF($D489 &gt; 16, 0,$E489*$J$5)</f>
        <v>36579923.959724784</v>
      </c>
      <c r="G489">
        <f t="shared" si="7"/>
        <v>16.2</v>
      </c>
    </row>
    <row r="490" spans="2:7" x14ac:dyDescent="0.35">
      <c r="B490" s="1">
        <v>45678</v>
      </c>
      <c r="C490" s="2">
        <v>0.33333333333333331</v>
      </c>
      <c r="D490">
        <v>-0.2</v>
      </c>
      <c r="E490">
        <f>IF($D490 &gt; 16, 0, $J$3*(16 - $D490))</f>
        <v>3365.5280117512912</v>
      </c>
      <c r="F490">
        <f>IF($D490 &gt; 16, 0,$E490*$J$5)</f>
        <v>36579923.959724784</v>
      </c>
      <c r="G490">
        <f t="shared" si="7"/>
        <v>16.2</v>
      </c>
    </row>
    <row r="491" spans="2:7" x14ac:dyDescent="0.35">
      <c r="B491" s="1">
        <v>45678</v>
      </c>
      <c r="C491" s="2">
        <v>0.375</v>
      </c>
      <c r="D491">
        <v>-0.1</v>
      </c>
      <c r="E491">
        <f>IF($D491 &gt; 16, 0, $J$3*(16 - $D491))</f>
        <v>3344.7531474812217</v>
      </c>
      <c r="F491">
        <f>IF($D491 &gt; 16, 0,$E491*$J$5)</f>
        <v>36354121.959973402</v>
      </c>
      <c r="G491">
        <f t="shared" si="7"/>
        <v>16.100000000000001</v>
      </c>
    </row>
    <row r="492" spans="2:7" x14ac:dyDescent="0.35">
      <c r="B492" s="1">
        <v>45678</v>
      </c>
      <c r="C492" s="2">
        <v>0.41666666666666669</v>
      </c>
      <c r="D492">
        <v>0.6</v>
      </c>
      <c r="E492">
        <f>IF($D492 &gt; 16, 0, $J$3*(16 - $D492))</f>
        <v>3199.3290975907339</v>
      </c>
      <c r="F492">
        <f>IF($D492 &gt; 16, 0,$E492*$J$5)</f>
        <v>34773507.961713687</v>
      </c>
      <c r="G492">
        <f t="shared" si="7"/>
        <v>15.4</v>
      </c>
    </row>
    <row r="493" spans="2:7" x14ac:dyDescent="0.35">
      <c r="B493" s="1">
        <v>45678</v>
      </c>
      <c r="C493" s="2">
        <v>0.45833333333333331</v>
      </c>
      <c r="D493">
        <v>1.2</v>
      </c>
      <c r="E493">
        <f>IF($D493 &gt; 16, 0, $J$3*(16 - $D493))</f>
        <v>3074.6799119703155</v>
      </c>
      <c r="F493">
        <f>IF($D493 &gt; 16, 0,$E493*$J$5)</f>
        <v>33418695.96320536</v>
      </c>
      <c r="G493">
        <f t="shared" si="7"/>
        <v>14.8</v>
      </c>
    </row>
    <row r="494" spans="2:7" x14ac:dyDescent="0.35">
      <c r="B494" s="1">
        <v>45678</v>
      </c>
      <c r="C494" s="2">
        <v>0.5</v>
      </c>
      <c r="D494">
        <v>0.7</v>
      </c>
      <c r="E494">
        <f>IF($D494 &gt; 16, 0, $J$3*(16 - $D494))</f>
        <v>3178.554233320664</v>
      </c>
      <c r="F494">
        <f>IF($D494 &gt; 16, 0,$E494*$J$5)</f>
        <v>34547705.961962298</v>
      </c>
      <c r="G494">
        <f t="shared" si="7"/>
        <v>15.3</v>
      </c>
    </row>
    <row r="495" spans="2:7" x14ac:dyDescent="0.35">
      <c r="B495" s="1">
        <v>45678</v>
      </c>
      <c r="C495" s="2">
        <v>0.54166666666666663</v>
      </c>
      <c r="D495">
        <v>0.4</v>
      </c>
      <c r="E495">
        <f>IF($D495 &gt; 16, 0, $J$3*(16 - $D495))</f>
        <v>3240.8788261308728</v>
      </c>
      <c r="F495">
        <f>IF($D495 &gt; 16, 0,$E495*$J$5)</f>
        <v>35225111.961216457</v>
      </c>
      <c r="G495">
        <f t="shared" si="7"/>
        <v>15.6</v>
      </c>
    </row>
    <row r="496" spans="2:7" x14ac:dyDescent="0.35">
      <c r="B496" s="1">
        <v>45678</v>
      </c>
      <c r="C496" s="2">
        <v>0.58333333333333337</v>
      </c>
      <c r="D496">
        <v>0.1</v>
      </c>
      <c r="E496">
        <f>IF($D496 &gt; 16, 0, $J$3*(16 - $D496))</f>
        <v>3303.2034189410824</v>
      </c>
      <c r="F496">
        <f>IF($D496 &gt; 16, 0,$E496*$J$5)</f>
        <v>35902517.960470624</v>
      </c>
      <c r="G496">
        <f t="shared" si="7"/>
        <v>15.9</v>
      </c>
    </row>
    <row r="497" spans="2:7" x14ac:dyDescent="0.35">
      <c r="B497" s="1">
        <v>45678</v>
      </c>
      <c r="C497" s="2">
        <v>0.625</v>
      </c>
      <c r="D497">
        <v>-0.4</v>
      </c>
      <c r="E497">
        <f>IF($D497 &gt; 16, 0, $J$3*(16 - $D497))</f>
        <v>3407.0777402914305</v>
      </c>
      <c r="F497">
        <f>IF($D497 &gt; 16, 0,$E497*$J$5)</f>
        <v>37031527.959227555</v>
      </c>
      <c r="G497">
        <f t="shared" si="7"/>
        <v>16.399999999999999</v>
      </c>
    </row>
    <row r="498" spans="2:7" x14ac:dyDescent="0.35">
      <c r="B498" s="1">
        <v>45678</v>
      </c>
      <c r="C498" s="2">
        <v>0.66666666666666663</v>
      </c>
      <c r="D498">
        <v>-0.3</v>
      </c>
      <c r="E498">
        <f>IF($D498 &gt; 16, 0, $J$3*(16 - $D498))</f>
        <v>3386.302876021361</v>
      </c>
      <c r="F498">
        <f>IF($D498 &gt; 16, 0,$E498*$J$5)</f>
        <v>36805725.959476173</v>
      </c>
      <c r="G498">
        <f t="shared" si="7"/>
        <v>16.3</v>
      </c>
    </row>
    <row r="499" spans="2:7" x14ac:dyDescent="0.35">
      <c r="B499" s="1">
        <v>45678</v>
      </c>
      <c r="C499" s="2">
        <v>0.70833333333333337</v>
      </c>
      <c r="D499">
        <v>-0.4</v>
      </c>
      <c r="E499">
        <f>IF($D499 &gt; 16, 0, $J$3*(16 - $D499))</f>
        <v>3407.0777402914305</v>
      </c>
      <c r="F499">
        <f>IF($D499 &gt; 16, 0,$E499*$J$5)</f>
        <v>37031527.959227555</v>
      </c>
      <c r="G499">
        <f t="shared" si="7"/>
        <v>16.399999999999999</v>
      </c>
    </row>
    <row r="500" spans="2:7" x14ac:dyDescent="0.35">
      <c r="B500" s="1">
        <v>45678</v>
      </c>
      <c r="C500" s="2">
        <v>0.75</v>
      </c>
      <c r="D500">
        <v>-0.5</v>
      </c>
      <c r="E500">
        <f>IF($D500 &gt; 16, 0, $J$3*(16 - $D500))</f>
        <v>3427.8526045615004</v>
      </c>
      <c r="F500">
        <f>IF($D500 &gt; 16, 0,$E500*$J$5)</f>
        <v>37257329.958978951</v>
      </c>
      <c r="G500">
        <f t="shared" si="7"/>
        <v>16.5</v>
      </c>
    </row>
    <row r="501" spans="2:7" x14ac:dyDescent="0.35">
      <c r="B501" s="1">
        <v>45678</v>
      </c>
      <c r="C501" s="2">
        <v>0.79166666666666663</v>
      </c>
      <c r="D501">
        <v>-0.7</v>
      </c>
      <c r="E501">
        <f>IF($D501 &gt; 16, 0, $J$3*(16 - $D501))</f>
        <v>3469.4023331016397</v>
      </c>
      <c r="F501">
        <f>IF($D501 &gt; 16, 0,$E501*$J$5)</f>
        <v>37708933.958481722</v>
      </c>
      <c r="G501">
        <f t="shared" si="7"/>
        <v>16.7</v>
      </c>
    </row>
    <row r="502" spans="2:7" x14ac:dyDescent="0.35">
      <c r="B502" s="1">
        <v>45678</v>
      </c>
      <c r="C502" s="2">
        <v>0.83333333333333337</v>
      </c>
      <c r="D502">
        <v>-0.6</v>
      </c>
      <c r="E502">
        <f>IF($D502 &gt; 16, 0, $J$3*(16 - $D502))</f>
        <v>3448.6274688315702</v>
      </c>
      <c r="F502">
        <f>IF($D502 &gt; 16, 0,$E502*$J$5)</f>
        <v>37483131.95873034</v>
      </c>
      <c r="G502">
        <f t="shared" si="7"/>
        <v>16.600000000000001</v>
      </c>
    </row>
    <row r="503" spans="2:7" x14ac:dyDescent="0.35">
      <c r="B503" s="1">
        <v>45678</v>
      </c>
      <c r="C503" s="2">
        <v>0.875</v>
      </c>
      <c r="D503">
        <v>-0.7</v>
      </c>
      <c r="E503">
        <f>IF($D503 &gt; 16, 0, $J$3*(16 - $D503))</f>
        <v>3469.4023331016397</v>
      </c>
      <c r="F503">
        <f>IF($D503 &gt; 16, 0,$E503*$J$5)</f>
        <v>37708933.958481722</v>
      </c>
      <c r="G503">
        <f t="shared" si="7"/>
        <v>16.7</v>
      </c>
    </row>
    <row r="504" spans="2:7" x14ac:dyDescent="0.35">
      <c r="B504" s="1">
        <v>45678</v>
      </c>
      <c r="C504" s="2">
        <v>0.91666666666666663</v>
      </c>
      <c r="D504">
        <v>-0.4</v>
      </c>
      <c r="E504">
        <f>IF($D504 &gt; 16, 0, $J$3*(16 - $D504))</f>
        <v>3407.0777402914305</v>
      </c>
      <c r="F504">
        <f>IF($D504 &gt; 16, 0,$E504*$J$5)</f>
        <v>37031527.959227555</v>
      </c>
      <c r="G504">
        <f t="shared" si="7"/>
        <v>16.399999999999999</v>
      </c>
    </row>
    <row r="505" spans="2:7" x14ac:dyDescent="0.35">
      <c r="B505" s="1">
        <v>45678</v>
      </c>
      <c r="C505" s="2">
        <v>0.95833333333333337</v>
      </c>
      <c r="D505">
        <v>-0.6</v>
      </c>
      <c r="E505">
        <f>IF($D505 &gt; 16, 0, $J$3*(16 - $D505))</f>
        <v>3448.6274688315702</v>
      </c>
      <c r="F505">
        <f>IF($D505 &gt; 16, 0,$E505*$J$5)</f>
        <v>37483131.95873034</v>
      </c>
      <c r="G505">
        <f t="shared" si="7"/>
        <v>16.600000000000001</v>
      </c>
    </row>
    <row r="506" spans="2:7" x14ac:dyDescent="0.35">
      <c r="B506" s="1">
        <v>45679</v>
      </c>
      <c r="C506" s="2">
        <v>0</v>
      </c>
      <c r="D506">
        <v>-1.1000000000000001</v>
      </c>
      <c r="E506">
        <f>IF($D506 &gt; 16, 0, $J$3*(16 - $D506))</f>
        <v>3552.5017901819188</v>
      </c>
      <c r="F506">
        <f>IF($D506 &gt; 16, 0,$E506*$J$5)</f>
        <v>38612141.957487278</v>
      </c>
      <c r="G506">
        <f t="shared" si="7"/>
        <v>17.100000000000001</v>
      </c>
    </row>
    <row r="507" spans="2:7" x14ac:dyDescent="0.35">
      <c r="B507" s="1">
        <v>45679</v>
      </c>
      <c r="C507" s="2">
        <v>4.1666666666666657E-2</v>
      </c>
      <c r="D507">
        <v>-1.5</v>
      </c>
      <c r="E507">
        <f>IF($D507 &gt; 16, 0, $J$3*(16 - $D507))</f>
        <v>3635.6012472621974</v>
      </c>
      <c r="F507">
        <f>IF($D507 &gt; 16, 0,$E507*$J$5)</f>
        <v>39515349.956492826</v>
      </c>
      <c r="G507">
        <f t="shared" si="7"/>
        <v>17.5</v>
      </c>
    </row>
    <row r="508" spans="2:7" x14ac:dyDescent="0.35">
      <c r="B508" s="1">
        <v>45679</v>
      </c>
      <c r="C508" s="2">
        <v>8.3333333333333329E-2</v>
      </c>
      <c r="D508">
        <v>-1.7</v>
      </c>
      <c r="E508">
        <f>IF($D508 &gt; 16, 0, $J$3*(16 - $D508))</f>
        <v>3677.1509758023367</v>
      </c>
      <c r="F508">
        <f>IF($D508 &gt; 16, 0,$E508*$J$5)</f>
        <v>39966953.955995597</v>
      </c>
      <c r="G508">
        <f t="shared" si="7"/>
        <v>17.7</v>
      </c>
    </row>
    <row r="509" spans="2:7" x14ac:dyDescent="0.35">
      <c r="B509" s="1">
        <v>45679</v>
      </c>
      <c r="C509" s="2">
        <v>0.125</v>
      </c>
      <c r="D509">
        <v>-1.7</v>
      </c>
      <c r="E509">
        <f>IF($D509 &gt; 16, 0, $J$3*(16 - $D509))</f>
        <v>3677.1509758023367</v>
      </c>
      <c r="F509">
        <f>IF($D509 &gt; 16, 0,$E509*$J$5)</f>
        <v>39966953.955995597</v>
      </c>
      <c r="G509">
        <f t="shared" si="7"/>
        <v>17.7</v>
      </c>
    </row>
    <row r="510" spans="2:7" x14ac:dyDescent="0.35">
      <c r="B510" s="1">
        <v>45679</v>
      </c>
      <c r="C510" s="2">
        <v>0.16666666666666671</v>
      </c>
      <c r="D510">
        <v>-1.9</v>
      </c>
      <c r="E510">
        <f>IF($D510 &gt; 16, 0, $J$3*(16 - $D510))</f>
        <v>3718.700704342476</v>
      </c>
      <c r="F510">
        <f>IF($D510 &gt; 16, 0,$E510*$J$5)</f>
        <v>40418557.955498375</v>
      </c>
      <c r="G510">
        <f t="shared" si="7"/>
        <v>17.899999999999999</v>
      </c>
    </row>
    <row r="511" spans="2:7" x14ac:dyDescent="0.35">
      <c r="B511" s="1">
        <v>45679</v>
      </c>
      <c r="C511" s="2">
        <v>0.20833333333333329</v>
      </c>
      <c r="D511">
        <v>-1.8</v>
      </c>
      <c r="E511">
        <f>IF($D511 &gt; 16, 0, $J$3*(16 - $D511))</f>
        <v>3697.9258400724066</v>
      </c>
      <c r="F511">
        <f>IF($D511 &gt; 16, 0,$E511*$J$5)</f>
        <v>40192755.955746986</v>
      </c>
      <c r="G511">
        <f t="shared" si="7"/>
        <v>17.8</v>
      </c>
    </row>
    <row r="512" spans="2:7" x14ac:dyDescent="0.35">
      <c r="B512" s="1">
        <v>45679</v>
      </c>
      <c r="C512" s="2">
        <v>0.25</v>
      </c>
      <c r="D512">
        <v>-1.9</v>
      </c>
      <c r="E512">
        <f>IF($D512 &gt; 16, 0, $J$3*(16 - $D512))</f>
        <v>3718.700704342476</v>
      </c>
      <c r="F512">
        <f>IF($D512 &gt; 16, 0,$E512*$J$5)</f>
        <v>40418557.955498375</v>
      </c>
      <c r="G512">
        <f t="shared" si="7"/>
        <v>17.899999999999999</v>
      </c>
    </row>
    <row r="513" spans="2:7" x14ac:dyDescent="0.35">
      <c r="B513" s="1">
        <v>45679</v>
      </c>
      <c r="C513" s="2">
        <v>0.29166666666666669</v>
      </c>
      <c r="D513">
        <v>-2</v>
      </c>
      <c r="E513">
        <f>IF($D513 &gt; 16, 0, $J$3*(16 - $D513))</f>
        <v>3739.4755686125459</v>
      </c>
      <c r="F513">
        <f>IF($D513 &gt; 16, 0,$E513*$J$5)</f>
        <v>40644359.955249764</v>
      </c>
      <c r="G513">
        <f t="shared" si="7"/>
        <v>18</v>
      </c>
    </row>
    <row r="514" spans="2:7" x14ac:dyDescent="0.35">
      <c r="B514" s="1">
        <v>45679</v>
      </c>
      <c r="C514" s="2">
        <v>0.33333333333333331</v>
      </c>
      <c r="D514">
        <v>-2</v>
      </c>
      <c r="E514">
        <f>IF($D514 &gt; 16, 0, $J$3*(16 - $D514))</f>
        <v>3739.4755686125459</v>
      </c>
      <c r="F514">
        <f>IF($D514 &gt; 16, 0,$E514*$J$5)</f>
        <v>40644359.955249764</v>
      </c>
      <c r="G514">
        <f t="shared" si="7"/>
        <v>18</v>
      </c>
    </row>
    <row r="515" spans="2:7" x14ac:dyDescent="0.35">
      <c r="B515" s="1">
        <v>45679</v>
      </c>
      <c r="C515" s="2">
        <v>0.375</v>
      </c>
      <c r="D515">
        <v>-1.4</v>
      </c>
      <c r="E515">
        <f>IF($D515 &gt; 16, 0, $J$3*(16 - $D515))</f>
        <v>3614.8263829921275</v>
      </c>
      <c r="F515">
        <f>IF($D515 &gt; 16, 0,$E515*$J$5)</f>
        <v>39289547.956741437</v>
      </c>
      <c r="G515">
        <f t="shared" ref="G515:G578" si="8">MAX(0, 16 - $D515)</f>
        <v>17.399999999999999</v>
      </c>
    </row>
    <row r="516" spans="2:7" x14ac:dyDescent="0.35">
      <c r="B516" s="1">
        <v>45679</v>
      </c>
      <c r="C516" s="2">
        <v>0.41666666666666669</v>
      </c>
      <c r="D516">
        <v>-0.6</v>
      </c>
      <c r="E516">
        <f>IF($D516 &gt; 16, 0, $J$3*(16 - $D516))</f>
        <v>3448.6274688315702</v>
      </c>
      <c r="F516">
        <f>IF($D516 &gt; 16, 0,$E516*$J$5)</f>
        <v>37483131.95873034</v>
      </c>
      <c r="G516">
        <f t="shared" si="8"/>
        <v>16.600000000000001</v>
      </c>
    </row>
    <row r="517" spans="2:7" x14ac:dyDescent="0.35">
      <c r="B517" s="1">
        <v>45679</v>
      </c>
      <c r="C517" s="2">
        <v>0.45833333333333331</v>
      </c>
      <c r="D517">
        <v>-0.2</v>
      </c>
      <c r="E517">
        <f>IF($D517 &gt; 16, 0, $J$3*(16 - $D517))</f>
        <v>3365.5280117512912</v>
      </c>
      <c r="F517">
        <f>IF($D517 &gt; 16, 0,$E517*$J$5)</f>
        <v>36579923.959724784</v>
      </c>
      <c r="G517">
        <f t="shared" si="8"/>
        <v>16.2</v>
      </c>
    </row>
    <row r="518" spans="2:7" x14ac:dyDescent="0.35">
      <c r="B518" s="1">
        <v>45679</v>
      </c>
      <c r="C518" s="2">
        <v>0.5</v>
      </c>
      <c r="D518">
        <v>0.7</v>
      </c>
      <c r="E518">
        <f>IF($D518 &gt; 16, 0, $J$3*(16 - $D518))</f>
        <v>3178.554233320664</v>
      </c>
      <c r="F518">
        <f>IF($D518 &gt; 16, 0,$E518*$J$5)</f>
        <v>34547705.961962298</v>
      </c>
      <c r="G518">
        <f t="shared" si="8"/>
        <v>15.3</v>
      </c>
    </row>
    <row r="519" spans="2:7" x14ac:dyDescent="0.35">
      <c r="B519" s="1">
        <v>45679</v>
      </c>
      <c r="C519" s="2">
        <v>0.54166666666666663</v>
      </c>
      <c r="D519">
        <v>1.6</v>
      </c>
      <c r="E519">
        <f>IF($D519 &gt; 16, 0, $J$3*(16 - $D519))</f>
        <v>2991.5804548900369</v>
      </c>
      <c r="F519">
        <f>IF($D519 &gt; 16, 0,$E519*$J$5)</f>
        <v>32515487.964199811</v>
      </c>
      <c r="G519">
        <f t="shared" si="8"/>
        <v>14.4</v>
      </c>
    </row>
    <row r="520" spans="2:7" x14ac:dyDescent="0.35">
      <c r="B520" s="1">
        <v>45679</v>
      </c>
      <c r="C520" s="2">
        <v>0.58333333333333337</v>
      </c>
      <c r="D520">
        <v>2.4</v>
      </c>
      <c r="E520">
        <f>IF($D520 &gt; 16, 0, $J$3*(16 - $D520))</f>
        <v>2825.3815407294792</v>
      </c>
      <c r="F520">
        <f>IF($D520 &gt; 16, 0,$E520*$J$5)</f>
        <v>30709071.96618871</v>
      </c>
      <c r="G520">
        <f t="shared" si="8"/>
        <v>13.6</v>
      </c>
    </row>
    <row r="521" spans="2:7" x14ac:dyDescent="0.35">
      <c r="B521" s="1">
        <v>45679</v>
      </c>
      <c r="C521" s="2">
        <v>0.625</v>
      </c>
      <c r="D521">
        <v>1.5</v>
      </c>
      <c r="E521">
        <f>IF($D521 &gt; 16, 0, $J$3*(16 - $D521))</f>
        <v>3012.3553191601063</v>
      </c>
      <c r="F521">
        <f>IF($D521 &gt; 16, 0,$E521*$J$5)</f>
        <v>32741289.963951197</v>
      </c>
      <c r="G521">
        <f t="shared" si="8"/>
        <v>14.5</v>
      </c>
    </row>
    <row r="522" spans="2:7" x14ac:dyDescent="0.35">
      <c r="B522" s="1">
        <v>45679</v>
      </c>
      <c r="C522" s="2">
        <v>0.66666666666666663</v>
      </c>
      <c r="D522">
        <v>1.4</v>
      </c>
      <c r="E522">
        <f>IF($D522 &gt; 16, 0, $J$3*(16 - $D522))</f>
        <v>3033.1301834301762</v>
      </c>
      <c r="F522">
        <f>IF($D522 &gt; 16, 0,$E522*$J$5)</f>
        <v>32967091.963702586</v>
      </c>
      <c r="G522">
        <f t="shared" si="8"/>
        <v>14.6</v>
      </c>
    </row>
    <row r="523" spans="2:7" x14ac:dyDescent="0.35">
      <c r="B523" s="1">
        <v>45679</v>
      </c>
      <c r="C523" s="2">
        <v>0.70833333333333337</v>
      </c>
      <c r="D523">
        <v>1.5</v>
      </c>
      <c r="E523">
        <f>IF($D523 &gt; 16, 0, $J$3*(16 - $D523))</f>
        <v>3012.3553191601063</v>
      </c>
      <c r="F523">
        <f>IF($D523 &gt; 16, 0,$E523*$J$5)</f>
        <v>32741289.963951197</v>
      </c>
      <c r="G523">
        <f t="shared" si="8"/>
        <v>14.5</v>
      </c>
    </row>
    <row r="524" spans="2:7" x14ac:dyDescent="0.35">
      <c r="B524" s="1">
        <v>45679</v>
      </c>
      <c r="C524" s="2">
        <v>0.75</v>
      </c>
      <c r="D524">
        <v>1.9</v>
      </c>
      <c r="E524">
        <f>IF($D524 &gt; 16, 0, $J$3*(16 - $D524))</f>
        <v>2929.2558620798277</v>
      </c>
      <c r="F524">
        <f>IF($D524 &gt; 16, 0,$E524*$J$5)</f>
        <v>31838081.964945648</v>
      </c>
      <c r="G524">
        <f t="shared" si="8"/>
        <v>14.1</v>
      </c>
    </row>
    <row r="525" spans="2:7" x14ac:dyDescent="0.35">
      <c r="B525" s="1">
        <v>45679</v>
      </c>
      <c r="C525" s="2">
        <v>0.79166666666666663</v>
      </c>
      <c r="D525">
        <v>1.9</v>
      </c>
      <c r="E525">
        <f>IF($D525 &gt; 16, 0, $J$3*(16 - $D525))</f>
        <v>2929.2558620798277</v>
      </c>
      <c r="F525">
        <f>IF($D525 &gt; 16, 0,$E525*$J$5)</f>
        <v>31838081.964945648</v>
      </c>
      <c r="G525">
        <f t="shared" si="8"/>
        <v>14.1</v>
      </c>
    </row>
    <row r="526" spans="2:7" x14ac:dyDescent="0.35">
      <c r="B526" s="1">
        <v>45679</v>
      </c>
      <c r="C526" s="2">
        <v>0.83333333333333337</v>
      </c>
      <c r="D526">
        <v>2</v>
      </c>
      <c r="E526">
        <f>IF($D526 &gt; 16, 0, $J$3*(16 - $D526))</f>
        <v>2908.4809978097578</v>
      </c>
      <c r="F526">
        <f>IF($D526 &gt; 16, 0,$E526*$J$5)</f>
        <v>31612279.965194259</v>
      </c>
      <c r="G526">
        <f t="shared" si="8"/>
        <v>14</v>
      </c>
    </row>
    <row r="527" spans="2:7" x14ac:dyDescent="0.35">
      <c r="B527" s="1">
        <v>45679</v>
      </c>
      <c r="C527" s="2">
        <v>0.875</v>
      </c>
      <c r="D527">
        <v>2.1</v>
      </c>
      <c r="E527">
        <f>IF($D527 &gt; 16, 0, $J$3*(16 - $D527))</f>
        <v>2887.7061335396884</v>
      </c>
      <c r="F527">
        <f>IF($D527 &gt; 16, 0,$E527*$J$5)</f>
        <v>31386477.965442874</v>
      </c>
      <c r="G527">
        <f t="shared" si="8"/>
        <v>13.9</v>
      </c>
    </row>
    <row r="528" spans="2:7" x14ac:dyDescent="0.35">
      <c r="B528" s="1">
        <v>45679</v>
      </c>
      <c r="C528" s="2">
        <v>0.91666666666666663</v>
      </c>
      <c r="D528">
        <v>2.2999999999999998</v>
      </c>
      <c r="E528">
        <f>IF($D528 &gt; 16, 0, $J$3*(16 - $D528))</f>
        <v>2846.1564049995486</v>
      </c>
      <c r="F528">
        <f>IF($D528 &gt; 16, 0,$E528*$J$5)</f>
        <v>30934873.965940095</v>
      </c>
      <c r="G528">
        <f t="shared" si="8"/>
        <v>13.7</v>
      </c>
    </row>
    <row r="529" spans="2:7" x14ac:dyDescent="0.35">
      <c r="B529" s="1">
        <v>45679</v>
      </c>
      <c r="C529" s="2">
        <v>0.95833333333333337</v>
      </c>
      <c r="D529">
        <v>2.6</v>
      </c>
      <c r="E529">
        <f>IF($D529 &gt; 16, 0, $J$3*(16 - $D529))</f>
        <v>2783.8318121893399</v>
      </c>
      <c r="F529">
        <f>IF($D529 &gt; 16, 0,$E529*$J$5)</f>
        <v>30257467.966685936</v>
      </c>
      <c r="G529">
        <f t="shared" si="8"/>
        <v>13.4</v>
      </c>
    </row>
    <row r="530" spans="2:7" x14ac:dyDescent="0.35">
      <c r="B530" s="1">
        <v>45680</v>
      </c>
      <c r="C530" s="2">
        <v>0</v>
      </c>
      <c r="D530">
        <v>3.1</v>
      </c>
      <c r="E530">
        <f>IF($D530 &gt; 16, 0, $J$3*(16 - $D530))</f>
        <v>2679.9574908389914</v>
      </c>
      <c r="F530">
        <f>IF($D530 &gt; 16, 0,$E530*$J$5)</f>
        <v>29128457.967928998</v>
      </c>
      <c r="G530">
        <f t="shared" si="8"/>
        <v>12.9</v>
      </c>
    </row>
    <row r="531" spans="2:7" x14ac:dyDescent="0.35">
      <c r="B531" s="1">
        <v>45680</v>
      </c>
      <c r="C531" s="2">
        <v>4.1666666666666657E-2</v>
      </c>
      <c r="D531">
        <v>3.4</v>
      </c>
      <c r="E531">
        <f>IF($D531 &gt; 16, 0, $J$3*(16 - $D531))</f>
        <v>2617.6328980287822</v>
      </c>
      <c r="F531">
        <f>IF($D531 &gt; 16, 0,$E531*$J$5)</f>
        <v>28451051.968674835</v>
      </c>
      <c r="G531">
        <f t="shared" si="8"/>
        <v>12.6</v>
      </c>
    </row>
    <row r="532" spans="2:7" x14ac:dyDescent="0.35">
      <c r="B532" s="1">
        <v>45680</v>
      </c>
      <c r="C532" s="2">
        <v>8.3333333333333329E-2</v>
      </c>
      <c r="D532">
        <v>3.6</v>
      </c>
      <c r="E532">
        <f>IF($D532 &gt; 16, 0, $J$3*(16 - $D532))</f>
        <v>2576.0831694886429</v>
      </c>
      <c r="F532">
        <f>IF($D532 &gt; 16, 0,$E532*$J$5)</f>
        <v>27999447.96917206</v>
      </c>
      <c r="G532">
        <f t="shared" si="8"/>
        <v>12.4</v>
      </c>
    </row>
    <row r="533" spans="2:7" x14ac:dyDescent="0.35">
      <c r="B533" s="1">
        <v>45680</v>
      </c>
      <c r="C533" s="2">
        <v>0.125</v>
      </c>
      <c r="D533">
        <v>3.1</v>
      </c>
      <c r="E533">
        <f>IF($D533 &gt; 16, 0, $J$3*(16 - $D533))</f>
        <v>2679.9574908389914</v>
      </c>
      <c r="F533">
        <f>IF($D533 &gt; 16, 0,$E533*$J$5)</f>
        <v>29128457.967928998</v>
      </c>
      <c r="G533">
        <f t="shared" si="8"/>
        <v>12.9</v>
      </c>
    </row>
    <row r="534" spans="2:7" x14ac:dyDescent="0.35">
      <c r="B534" s="1">
        <v>45680</v>
      </c>
      <c r="C534" s="2">
        <v>0.16666666666666671</v>
      </c>
      <c r="D534">
        <v>2.9</v>
      </c>
      <c r="E534">
        <f>IF($D534 &gt; 16, 0, $J$3*(16 - $D534))</f>
        <v>2721.5072193791307</v>
      </c>
      <c r="F534">
        <f>IF($D534 &gt; 16, 0,$E534*$J$5)</f>
        <v>29580061.967431773</v>
      </c>
      <c r="G534">
        <f t="shared" si="8"/>
        <v>13.1</v>
      </c>
    </row>
    <row r="535" spans="2:7" x14ac:dyDescent="0.35">
      <c r="B535" s="1">
        <v>45680</v>
      </c>
      <c r="C535" s="2">
        <v>0.20833333333333329</v>
      </c>
      <c r="D535">
        <v>2.8</v>
      </c>
      <c r="E535">
        <f>IF($D535 &gt; 16, 0, $J$3*(16 - $D535))</f>
        <v>2742.2820836492001</v>
      </c>
      <c r="F535">
        <f>IF($D535 &gt; 16, 0,$E535*$J$5)</f>
        <v>29805863.967183154</v>
      </c>
      <c r="G535">
        <f t="shared" si="8"/>
        <v>13.2</v>
      </c>
    </row>
    <row r="536" spans="2:7" x14ac:dyDescent="0.35">
      <c r="B536" s="1">
        <v>45680</v>
      </c>
      <c r="C536" s="2">
        <v>0.25</v>
      </c>
      <c r="D536">
        <v>3.3</v>
      </c>
      <c r="E536">
        <f>IF($D536 &gt; 16, 0, $J$3*(16 - $D536))</f>
        <v>2638.4077622988516</v>
      </c>
      <c r="F536">
        <f>IF($D536 &gt; 16, 0,$E536*$J$5)</f>
        <v>28676853.968426216</v>
      </c>
      <c r="G536">
        <f t="shared" si="8"/>
        <v>12.7</v>
      </c>
    </row>
    <row r="537" spans="2:7" x14ac:dyDescent="0.35">
      <c r="B537" s="1">
        <v>45680</v>
      </c>
      <c r="C537" s="2">
        <v>0.29166666666666669</v>
      </c>
      <c r="D537">
        <v>2.9</v>
      </c>
      <c r="E537">
        <f>IF($D537 &gt; 16, 0, $J$3*(16 - $D537))</f>
        <v>2721.5072193791307</v>
      </c>
      <c r="F537">
        <f>IF($D537 &gt; 16, 0,$E537*$J$5)</f>
        <v>29580061.967431773</v>
      </c>
      <c r="G537">
        <f t="shared" si="8"/>
        <v>13.1</v>
      </c>
    </row>
    <row r="538" spans="2:7" x14ac:dyDescent="0.35">
      <c r="B538" s="1">
        <v>45680</v>
      </c>
      <c r="C538" s="2">
        <v>0.33333333333333331</v>
      </c>
      <c r="D538">
        <v>2.5</v>
      </c>
      <c r="E538">
        <f>IF($D538 &gt; 16, 0, $J$3*(16 - $D538))</f>
        <v>2804.6066764594093</v>
      </c>
      <c r="F538">
        <f>IF($D538 &gt; 16, 0,$E538*$J$5)</f>
        <v>30483269.966437321</v>
      </c>
      <c r="G538">
        <f t="shared" si="8"/>
        <v>13.5</v>
      </c>
    </row>
    <row r="539" spans="2:7" x14ac:dyDescent="0.35">
      <c r="B539" s="1">
        <v>45680</v>
      </c>
      <c r="C539" s="2">
        <v>0.375</v>
      </c>
      <c r="D539">
        <v>2.8</v>
      </c>
      <c r="E539">
        <f>IF($D539 &gt; 16, 0, $J$3*(16 - $D539))</f>
        <v>2742.2820836492001</v>
      </c>
      <c r="F539">
        <f>IF($D539 &gt; 16, 0,$E539*$J$5)</f>
        <v>29805863.967183154</v>
      </c>
      <c r="G539">
        <f t="shared" si="8"/>
        <v>13.2</v>
      </c>
    </row>
    <row r="540" spans="2:7" x14ac:dyDescent="0.35">
      <c r="B540" s="1">
        <v>45680</v>
      </c>
      <c r="C540" s="2">
        <v>0.41666666666666669</v>
      </c>
      <c r="D540">
        <v>4</v>
      </c>
      <c r="E540">
        <f>IF($D540 &gt; 16, 0, $J$3*(16 - $D540))</f>
        <v>2492.9837124083638</v>
      </c>
      <c r="F540">
        <f>IF($D540 &gt; 16, 0,$E540*$J$5)</f>
        <v>27096239.970166504</v>
      </c>
      <c r="G540">
        <f t="shared" si="8"/>
        <v>12</v>
      </c>
    </row>
    <row r="541" spans="2:7" x14ac:dyDescent="0.35">
      <c r="B541" s="1">
        <v>45680</v>
      </c>
      <c r="C541" s="2">
        <v>0.45833333333333331</v>
      </c>
      <c r="D541">
        <v>4.8</v>
      </c>
      <c r="E541">
        <f>IF($D541 &gt; 16, 0, $J$3*(16 - $D541))</f>
        <v>2326.7847982478061</v>
      </c>
      <c r="F541">
        <f>IF($D541 &gt; 16, 0,$E541*$J$5)</f>
        <v>25289823.972155403</v>
      </c>
      <c r="G541">
        <f t="shared" si="8"/>
        <v>11.2</v>
      </c>
    </row>
    <row r="542" spans="2:7" x14ac:dyDescent="0.35">
      <c r="B542" s="1">
        <v>45680</v>
      </c>
      <c r="C542" s="2">
        <v>0.5</v>
      </c>
      <c r="D542">
        <v>5.4</v>
      </c>
      <c r="E542">
        <f>IF($D542 &gt; 16, 0, $J$3*(16 - $D542))</f>
        <v>2202.1356126273881</v>
      </c>
      <c r="F542">
        <f>IF($D542 &gt; 16, 0,$E542*$J$5)</f>
        <v>23935011.97364708</v>
      </c>
      <c r="G542">
        <f t="shared" si="8"/>
        <v>10.6</v>
      </c>
    </row>
    <row r="543" spans="2:7" x14ac:dyDescent="0.35">
      <c r="B543" s="1">
        <v>45680</v>
      </c>
      <c r="C543" s="2">
        <v>0.54166666666666663</v>
      </c>
      <c r="D543">
        <v>5.6</v>
      </c>
      <c r="E543">
        <f>IF($D543 &gt; 16, 0, $J$3*(16 - $D543))</f>
        <v>2160.5858840872488</v>
      </c>
      <c r="F543">
        <f>IF($D543 &gt; 16, 0,$E543*$J$5)</f>
        <v>23483407.974144306</v>
      </c>
      <c r="G543">
        <f t="shared" si="8"/>
        <v>10.4</v>
      </c>
    </row>
    <row r="544" spans="2:7" x14ac:dyDescent="0.35">
      <c r="B544" s="1">
        <v>45680</v>
      </c>
      <c r="C544" s="2">
        <v>0.58333333333333337</v>
      </c>
      <c r="D544">
        <v>5.7</v>
      </c>
      <c r="E544">
        <f>IF($D544 &gt; 16, 0, $J$3*(16 - $D544))</f>
        <v>2139.8110198171789</v>
      </c>
      <c r="F544">
        <f>IF($D544 &gt; 16, 0,$E544*$J$5)</f>
        <v>23257605.974392917</v>
      </c>
      <c r="G544">
        <f t="shared" si="8"/>
        <v>10.3</v>
      </c>
    </row>
    <row r="545" spans="2:7" x14ac:dyDescent="0.35">
      <c r="B545" s="1">
        <v>45680</v>
      </c>
      <c r="C545" s="2">
        <v>0.625</v>
      </c>
      <c r="D545">
        <v>5.5</v>
      </c>
      <c r="E545">
        <f>IF($D545 &gt; 16, 0, $J$3*(16 - $D545))</f>
        <v>2181.3607483573182</v>
      </c>
      <c r="F545">
        <f>IF($D545 &gt; 16, 0,$E545*$J$5)</f>
        <v>23709209.973895691</v>
      </c>
      <c r="G545">
        <f t="shared" si="8"/>
        <v>10.5</v>
      </c>
    </row>
    <row r="546" spans="2:7" x14ac:dyDescent="0.35">
      <c r="B546" s="1">
        <v>45680</v>
      </c>
      <c r="C546" s="2">
        <v>0.66666666666666663</v>
      </c>
      <c r="D546">
        <v>5</v>
      </c>
      <c r="E546">
        <f>IF($D546 &gt; 16, 0, $J$3*(16 - $D546))</f>
        <v>2285.2350697076668</v>
      </c>
      <c r="F546">
        <f>IF($D546 &gt; 16, 0,$E546*$J$5)</f>
        <v>24838219.972652629</v>
      </c>
      <c r="G546">
        <f t="shared" si="8"/>
        <v>11</v>
      </c>
    </row>
    <row r="547" spans="2:7" x14ac:dyDescent="0.35">
      <c r="B547" s="1">
        <v>45680</v>
      </c>
      <c r="C547" s="2">
        <v>0.70833333333333337</v>
      </c>
      <c r="D547">
        <v>3.9</v>
      </c>
      <c r="E547">
        <f>IF($D547 &gt; 16, 0, $J$3*(16 - $D547))</f>
        <v>2513.7585766784337</v>
      </c>
      <c r="F547">
        <f>IF($D547 &gt; 16, 0,$E547*$J$5)</f>
        <v>27322041.969917897</v>
      </c>
      <c r="G547">
        <f t="shared" si="8"/>
        <v>12.1</v>
      </c>
    </row>
    <row r="548" spans="2:7" x14ac:dyDescent="0.35">
      <c r="B548" s="1">
        <v>45680</v>
      </c>
      <c r="C548" s="2">
        <v>0.75</v>
      </c>
      <c r="D548">
        <v>4.0999999999999996</v>
      </c>
      <c r="E548">
        <f>IF($D548 &gt; 16, 0, $J$3*(16 - $D548))</f>
        <v>2472.2088481382943</v>
      </c>
      <c r="F548">
        <f>IF($D548 &gt; 16, 0,$E548*$J$5)</f>
        <v>26870437.970415123</v>
      </c>
      <c r="G548">
        <f t="shared" si="8"/>
        <v>11.9</v>
      </c>
    </row>
    <row r="549" spans="2:7" x14ac:dyDescent="0.35">
      <c r="B549" s="1">
        <v>45680</v>
      </c>
      <c r="C549" s="2">
        <v>0.79166666666666663</v>
      </c>
      <c r="D549">
        <v>2.9</v>
      </c>
      <c r="E549">
        <f>IF($D549 &gt; 16, 0, $J$3*(16 - $D549))</f>
        <v>2721.5072193791307</v>
      </c>
      <c r="F549">
        <f>IF($D549 &gt; 16, 0,$E549*$J$5)</f>
        <v>29580061.967431773</v>
      </c>
      <c r="G549">
        <f t="shared" si="8"/>
        <v>13.1</v>
      </c>
    </row>
    <row r="550" spans="2:7" x14ac:dyDescent="0.35">
      <c r="B550" s="1">
        <v>45680</v>
      </c>
      <c r="C550" s="2">
        <v>0.83333333333333337</v>
      </c>
      <c r="D550">
        <v>4</v>
      </c>
      <c r="E550">
        <f>IF($D550 &gt; 16, 0, $J$3*(16 - $D550))</f>
        <v>2492.9837124083638</v>
      </c>
      <c r="F550">
        <f>IF($D550 &gt; 16, 0,$E550*$J$5)</f>
        <v>27096239.970166504</v>
      </c>
      <c r="G550">
        <f t="shared" si="8"/>
        <v>12</v>
      </c>
    </row>
    <row r="551" spans="2:7" x14ac:dyDescent="0.35">
      <c r="B551" s="1">
        <v>45680</v>
      </c>
      <c r="C551" s="2">
        <v>0.875</v>
      </c>
      <c r="D551">
        <v>4.5</v>
      </c>
      <c r="E551">
        <f>IF($D551 &gt; 16, 0, $J$3*(16 - $D551))</f>
        <v>2389.1093910580153</v>
      </c>
      <c r="F551">
        <f>IF($D551 &gt; 16, 0,$E551*$J$5)</f>
        <v>25967229.971409567</v>
      </c>
      <c r="G551">
        <f t="shared" si="8"/>
        <v>11.5</v>
      </c>
    </row>
    <row r="552" spans="2:7" x14ac:dyDescent="0.35">
      <c r="B552" s="1">
        <v>45680</v>
      </c>
      <c r="C552" s="2">
        <v>0.91666666666666663</v>
      </c>
      <c r="D552">
        <v>4.3</v>
      </c>
      <c r="E552">
        <f>IF($D552 &gt; 16, 0, $J$3*(16 - $D552))</f>
        <v>2430.6591195981546</v>
      </c>
      <c r="F552">
        <f>IF($D552 &gt; 16, 0,$E552*$J$5)</f>
        <v>26418833.970912341</v>
      </c>
      <c r="G552">
        <f t="shared" si="8"/>
        <v>11.7</v>
      </c>
    </row>
    <row r="553" spans="2:7" x14ac:dyDescent="0.35">
      <c r="B553" s="1">
        <v>45680</v>
      </c>
      <c r="C553" s="2">
        <v>0.95833333333333337</v>
      </c>
      <c r="D553">
        <v>4.2</v>
      </c>
      <c r="E553">
        <f>IF($D553 &gt; 16, 0, $J$3*(16 - $D553))</f>
        <v>2451.4339838682245</v>
      </c>
      <c r="F553">
        <f>IF($D553 &gt; 16, 0,$E553*$J$5)</f>
        <v>26644635.97066373</v>
      </c>
      <c r="G553">
        <f t="shared" si="8"/>
        <v>11.8</v>
      </c>
    </row>
    <row r="554" spans="2:7" x14ac:dyDescent="0.35">
      <c r="B554" s="1">
        <v>45681</v>
      </c>
      <c r="C554" s="2">
        <v>0</v>
      </c>
      <c r="D554">
        <v>4.4000000000000004</v>
      </c>
      <c r="E554">
        <f>IF($D554 &gt; 16, 0, $J$3*(16 - $D554))</f>
        <v>2409.8842553280851</v>
      </c>
      <c r="F554">
        <f>IF($D554 &gt; 16, 0,$E554*$J$5)</f>
        <v>26193031.971160956</v>
      </c>
      <c r="G554">
        <f t="shared" si="8"/>
        <v>11.6</v>
      </c>
    </row>
    <row r="555" spans="2:7" x14ac:dyDescent="0.35">
      <c r="B555" s="1">
        <v>45681</v>
      </c>
      <c r="C555" s="2">
        <v>4.1666666666666657E-2</v>
      </c>
      <c r="D555">
        <v>4.2</v>
      </c>
      <c r="E555">
        <f>IF($D555 &gt; 16, 0, $J$3*(16 - $D555))</f>
        <v>2451.4339838682245</v>
      </c>
      <c r="F555">
        <f>IF($D555 &gt; 16, 0,$E555*$J$5)</f>
        <v>26644635.97066373</v>
      </c>
      <c r="G555">
        <f t="shared" si="8"/>
        <v>11.8</v>
      </c>
    </row>
    <row r="556" spans="2:7" x14ac:dyDescent="0.35">
      <c r="B556" s="1">
        <v>45681</v>
      </c>
      <c r="C556" s="2">
        <v>8.3333333333333329E-2</v>
      </c>
      <c r="D556">
        <v>4.3</v>
      </c>
      <c r="E556">
        <f>IF($D556 &gt; 16, 0, $J$3*(16 - $D556))</f>
        <v>2430.6591195981546</v>
      </c>
      <c r="F556">
        <f>IF($D556 &gt; 16, 0,$E556*$J$5)</f>
        <v>26418833.970912341</v>
      </c>
      <c r="G556">
        <f t="shared" si="8"/>
        <v>11.7</v>
      </c>
    </row>
    <row r="557" spans="2:7" x14ac:dyDescent="0.35">
      <c r="B557" s="1">
        <v>45681</v>
      </c>
      <c r="C557" s="2">
        <v>0.125</v>
      </c>
      <c r="D557">
        <v>4.3</v>
      </c>
      <c r="E557">
        <f>IF($D557 &gt; 16, 0, $J$3*(16 - $D557))</f>
        <v>2430.6591195981546</v>
      </c>
      <c r="F557">
        <f>IF($D557 &gt; 16, 0,$E557*$J$5)</f>
        <v>26418833.970912341</v>
      </c>
      <c r="G557">
        <f t="shared" si="8"/>
        <v>11.7</v>
      </c>
    </row>
    <row r="558" spans="2:7" x14ac:dyDescent="0.35">
      <c r="B558" s="1">
        <v>45681</v>
      </c>
      <c r="C558" s="2">
        <v>0.16666666666666671</v>
      </c>
      <c r="D558">
        <v>4.4000000000000004</v>
      </c>
      <c r="E558">
        <f>IF($D558 &gt; 16, 0, $J$3*(16 - $D558))</f>
        <v>2409.8842553280851</v>
      </c>
      <c r="F558">
        <f>IF($D558 &gt; 16, 0,$E558*$J$5)</f>
        <v>26193031.971160956</v>
      </c>
      <c r="G558">
        <f t="shared" si="8"/>
        <v>11.6</v>
      </c>
    </row>
    <row r="559" spans="2:7" x14ac:dyDescent="0.35">
      <c r="B559" s="1">
        <v>45681</v>
      </c>
      <c r="C559" s="2">
        <v>0.20833333333333329</v>
      </c>
      <c r="D559">
        <v>4.5999999999999996</v>
      </c>
      <c r="E559">
        <f>IF($D559 &gt; 16, 0, $J$3*(16 - $D559))</f>
        <v>2368.3345267879458</v>
      </c>
      <c r="F559">
        <f>IF($D559 &gt; 16, 0,$E559*$J$5)</f>
        <v>25741427.971658185</v>
      </c>
      <c r="G559">
        <f t="shared" si="8"/>
        <v>11.4</v>
      </c>
    </row>
    <row r="560" spans="2:7" x14ac:dyDescent="0.35">
      <c r="B560" s="1">
        <v>45681</v>
      </c>
      <c r="C560" s="2">
        <v>0.25</v>
      </c>
      <c r="D560">
        <v>4.9000000000000004</v>
      </c>
      <c r="E560">
        <f>IF($D560 &gt; 16, 0, $J$3*(16 - $D560))</f>
        <v>2306.0099339777366</v>
      </c>
      <c r="F560">
        <f>IF($D560 &gt; 16, 0,$E560*$J$5)</f>
        <v>25064021.972404018</v>
      </c>
      <c r="G560">
        <f t="shared" si="8"/>
        <v>11.1</v>
      </c>
    </row>
    <row r="561" spans="2:7" x14ac:dyDescent="0.35">
      <c r="B561" s="1">
        <v>45681</v>
      </c>
      <c r="C561" s="2">
        <v>0.29166666666666669</v>
      </c>
      <c r="D561">
        <v>4.7</v>
      </c>
      <c r="E561">
        <f>IF($D561 &gt; 16, 0, $J$3*(16 - $D561))</f>
        <v>2347.5596625178759</v>
      </c>
      <c r="F561">
        <f>IF($D561 &gt; 16, 0,$E561*$J$5)</f>
        <v>25515625.971906792</v>
      </c>
      <c r="G561">
        <f t="shared" si="8"/>
        <v>11.3</v>
      </c>
    </row>
    <row r="562" spans="2:7" x14ac:dyDescent="0.35">
      <c r="B562" s="1">
        <v>45681</v>
      </c>
      <c r="C562" s="2">
        <v>0.33333333333333331</v>
      </c>
      <c r="D562">
        <v>4.8</v>
      </c>
      <c r="E562">
        <f>IF($D562 &gt; 16, 0, $J$3*(16 - $D562))</f>
        <v>2326.7847982478061</v>
      </c>
      <c r="F562">
        <f>IF($D562 &gt; 16, 0,$E562*$J$5)</f>
        <v>25289823.972155403</v>
      </c>
      <c r="G562">
        <f t="shared" si="8"/>
        <v>11.2</v>
      </c>
    </row>
    <row r="563" spans="2:7" x14ac:dyDescent="0.35">
      <c r="B563" s="1">
        <v>45681</v>
      </c>
      <c r="C563" s="2">
        <v>0.375</v>
      </c>
      <c r="D563">
        <v>5</v>
      </c>
      <c r="E563">
        <f>IF($D563 &gt; 16, 0, $J$3*(16 - $D563))</f>
        <v>2285.2350697076668</v>
      </c>
      <c r="F563">
        <f>IF($D563 &gt; 16, 0,$E563*$J$5)</f>
        <v>24838219.972652629</v>
      </c>
      <c r="G563">
        <f t="shared" si="8"/>
        <v>11</v>
      </c>
    </row>
    <row r="564" spans="2:7" x14ac:dyDescent="0.35">
      <c r="B564" s="1">
        <v>45681</v>
      </c>
      <c r="C564" s="2">
        <v>0.41666666666666669</v>
      </c>
      <c r="D564">
        <v>5.7</v>
      </c>
      <c r="E564">
        <f>IF($D564 &gt; 16, 0, $J$3*(16 - $D564))</f>
        <v>2139.8110198171789</v>
      </c>
      <c r="F564">
        <f>IF($D564 &gt; 16, 0,$E564*$J$5)</f>
        <v>23257605.974392917</v>
      </c>
      <c r="G564">
        <f t="shared" si="8"/>
        <v>10.3</v>
      </c>
    </row>
    <row r="565" spans="2:7" x14ac:dyDescent="0.35">
      <c r="B565" s="1">
        <v>45681</v>
      </c>
      <c r="C565" s="2">
        <v>0.45833333333333331</v>
      </c>
      <c r="D565">
        <v>6.1</v>
      </c>
      <c r="E565">
        <f>IF($D565 &gt; 16, 0, $J$3*(16 - $D565))</f>
        <v>2056.7115627369003</v>
      </c>
      <c r="F565">
        <f>IF($D565 &gt; 16, 0,$E565*$J$5)</f>
        <v>22354397.975387368</v>
      </c>
      <c r="G565">
        <f t="shared" si="8"/>
        <v>9.9</v>
      </c>
    </row>
    <row r="566" spans="2:7" x14ac:dyDescent="0.35">
      <c r="B566" s="1">
        <v>45681</v>
      </c>
      <c r="C566" s="2">
        <v>0.5</v>
      </c>
      <c r="D566">
        <v>6.6</v>
      </c>
      <c r="E566">
        <f>IF($D566 &gt; 16, 0, $J$3*(16 - $D566))</f>
        <v>1952.8372413865518</v>
      </c>
      <c r="F566">
        <f>IF($D566 &gt; 16, 0,$E566*$J$5)</f>
        <v>21225387.976630431</v>
      </c>
      <c r="G566">
        <f t="shared" si="8"/>
        <v>9.4</v>
      </c>
    </row>
    <row r="567" spans="2:7" x14ac:dyDescent="0.35">
      <c r="B567" s="1">
        <v>45681</v>
      </c>
      <c r="C567" s="2">
        <v>0.54166666666666663</v>
      </c>
      <c r="D567">
        <v>6.7</v>
      </c>
      <c r="E567">
        <f>IF($D567 &gt; 16, 0, $J$3*(16 - $D567))</f>
        <v>1932.0623771164821</v>
      </c>
      <c r="F567">
        <f>IF($D567 &gt; 16, 0,$E567*$J$5)</f>
        <v>20999585.976879045</v>
      </c>
      <c r="G567">
        <f t="shared" si="8"/>
        <v>9.3000000000000007</v>
      </c>
    </row>
    <row r="568" spans="2:7" x14ac:dyDescent="0.35">
      <c r="B568" s="1">
        <v>45681</v>
      </c>
      <c r="C568" s="2">
        <v>0.58333333333333337</v>
      </c>
      <c r="D568">
        <v>7.7</v>
      </c>
      <c r="E568">
        <f>IF($D568 &gt; 16, 0, $J$3*(16 - $D568))</f>
        <v>1724.3137344157851</v>
      </c>
      <c r="F568">
        <f>IF($D568 &gt; 16, 0,$E568*$J$5)</f>
        <v>18741565.97936517</v>
      </c>
      <c r="G568">
        <f t="shared" si="8"/>
        <v>8.3000000000000007</v>
      </c>
    </row>
    <row r="569" spans="2:7" x14ac:dyDescent="0.35">
      <c r="B569" s="1">
        <v>45681</v>
      </c>
      <c r="C569" s="2">
        <v>0.625</v>
      </c>
      <c r="D569">
        <v>7.4</v>
      </c>
      <c r="E569">
        <f>IF($D569 &gt; 16, 0, $J$3*(16 - $D569))</f>
        <v>1786.6383272259941</v>
      </c>
      <c r="F569">
        <f>IF($D569 &gt; 16, 0,$E569*$J$5)</f>
        <v>19418971.97861933</v>
      </c>
      <c r="G569">
        <f t="shared" si="8"/>
        <v>8.6</v>
      </c>
    </row>
    <row r="570" spans="2:7" x14ac:dyDescent="0.35">
      <c r="B570" s="1">
        <v>45681</v>
      </c>
      <c r="C570" s="2">
        <v>0.66666666666666663</v>
      </c>
      <c r="D570">
        <v>7.2</v>
      </c>
      <c r="E570">
        <f>IF($D570 &gt; 16, 0, $J$3*(16 - $D570))</f>
        <v>1828.1880557661336</v>
      </c>
      <c r="F570">
        <f>IF($D570 &gt; 16, 0,$E570*$J$5)</f>
        <v>19870575.978122108</v>
      </c>
      <c r="G570">
        <f t="shared" si="8"/>
        <v>8.8000000000000007</v>
      </c>
    </row>
    <row r="571" spans="2:7" x14ac:dyDescent="0.35">
      <c r="B571" s="1">
        <v>45681</v>
      </c>
      <c r="C571" s="2">
        <v>0.70833333333333337</v>
      </c>
      <c r="D571">
        <v>7.2</v>
      </c>
      <c r="E571">
        <f>IF($D571 &gt; 16, 0, $J$3*(16 - $D571))</f>
        <v>1828.1880557661336</v>
      </c>
      <c r="F571">
        <f>IF($D571 &gt; 16, 0,$E571*$J$5)</f>
        <v>19870575.978122108</v>
      </c>
      <c r="G571">
        <f t="shared" si="8"/>
        <v>8.8000000000000007</v>
      </c>
    </row>
    <row r="572" spans="2:7" x14ac:dyDescent="0.35">
      <c r="B572" s="1">
        <v>45681</v>
      </c>
      <c r="C572" s="2">
        <v>0.75</v>
      </c>
      <c r="D572">
        <v>7.2</v>
      </c>
      <c r="E572">
        <f>IF($D572 &gt; 16, 0, $J$3*(16 - $D572))</f>
        <v>1828.1880557661336</v>
      </c>
      <c r="F572">
        <f>IF($D572 &gt; 16, 0,$E572*$J$5)</f>
        <v>19870575.978122108</v>
      </c>
      <c r="G572">
        <f t="shared" si="8"/>
        <v>8.8000000000000007</v>
      </c>
    </row>
    <row r="573" spans="2:7" x14ac:dyDescent="0.35">
      <c r="B573" s="1">
        <v>45681</v>
      </c>
      <c r="C573" s="2">
        <v>0.79166666666666663</v>
      </c>
      <c r="D573">
        <v>7.5</v>
      </c>
      <c r="E573">
        <f>IF($D573 &gt; 16, 0, $J$3*(16 - $D573))</f>
        <v>1765.8634629559244</v>
      </c>
      <c r="F573">
        <f>IF($D573 &gt; 16, 0,$E573*$J$5)</f>
        <v>19193169.978867944</v>
      </c>
      <c r="G573">
        <f t="shared" si="8"/>
        <v>8.5</v>
      </c>
    </row>
    <row r="574" spans="2:7" x14ac:dyDescent="0.35">
      <c r="B574" s="1">
        <v>45681</v>
      </c>
      <c r="C574" s="2">
        <v>0.83333333333333337</v>
      </c>
      <c r="D574">
        <v>7.5</v>
      </c>
      <c r="E574">
        <f>IF($D574 &gt; 16, 0, $J$3*(16 - $D574))</f>
        <v>1765.8634629559244</v>
      </c>
      <c r="F574">
        <f>IF($D574 &gt; 16, 0,$E574*$J$5)</f>
        <v>19193169.978867944</v>
      </c>
      <c r="G574">
        <f t="shared" si="8"/>
        <v>8.5</v>
      </c>
    </row>
    <row r="575" spans="2:7" x14ac:dyDescent="0.35">
      <c r="B575" s="1">
        <v>45681</v>
      </c>
      <c r="C575" s="2">
        <v>0.875</v>
      </c>
      <c r="D575">
        <v>6.9</v>
      </c>
      <c r="E575">
        <f>IF($D575 &gt; 16, 0, $J$3*(16 - $D575))</f>
        <v>1890.5126485763426</v>
      </c>
      <c r="F575">
        <f>IF($D575 &gt; 16, 0,$E575*$J$5)</f>
        <v>20547981.977376267</v>
      </c>
      <c r="G575">
        <f t="shared" si="8"/>
        <v>9.1</v>
      </c>
    </row>
    <row r="576" spans="2:7" x14ac:dyDescent="0.35">
      <c r="B576" s="1">
        <v>45681</v>
      </c>
      <c r="C576" s="2">
        <v>0.91666666666666663</v>
      </c>
      <c r="D576">
        <v>6.7</v>
      </c>
      <c r="E576">
        <f>IF($D576 &gt; 16, 0, $J$3*(16 - $D576))</f>
        <v>1932.0623771164821</v>
      </c>
      <c r="F576">
        <f>IF($D576 &gt; 16, 0,$E576*$J$5)</f>
        <v>20999585.976879045</v>
      </c>
      <c r="G576">
        <f t="shared" si="8"/>
        <v>9.3000000000000007</v>
      </c>
    </row>
    <row r="577" spans="2:7" x14ac:dyDescent="0.35">
      <c r="B577" s="1">
        <v>45681</v>
      </c>
      <c r="C577" s="2">
        <v>0.95833333333333337</v>
      </c>
      <c r="D577">
        <v>6.1</v>
      </c>
      <c r="E577">
        <f>IF($D577 &gt; 16, 0, $J$3*(16 - $D577))</f>
        <v>2056.7115627369003</v>
      </c>
      <c r="F577">
        <f>IF($D577 &gt; 16, 0,$E577*$J$5)</f>
        <v>22354397.975387368</v>
      </c>
      <c r="G577">
        <f t="shared" si="8"/>
        <v>9.9</v>
      </c>
    </row>
    <row r="578" spans="2:7" x14ac:dyDescent="0.35">
      <c r="B578" s="1">
        <v>45682</v>
      </c>
      <c r="C578" s="2">
        <v>0</v>
      </c>
      <c r="D578">
        <v>6.9</v>
      </c>
      <c r="E578">
        <f>IF($D578 &gt; 16, 0, $J$3*(16 - $D578))</f>
        <v>1890.5126485763426</v>
      </c>
      <c r="F578">
        <f>IF($D578 &gt; 16, 0,$E578*$J$5)</f>
        <v>20547981.977376267</v>
      </c>
      <c r="G578">
        <f t="shared" si="8"/>
        <v>9.1</v>
      </c>
    </row>
    <row r="579" spans="2:7" x14ac:dyDescent="0.35">
      <c r="B579" s="1">
        <v>45682</v>
      </c>
      <c r="C579" s="2">
        <v>4.1666666666666657E-2</v>
      </c>
      <c r="D579">
        <v>6.1</v>
      </c>
      <c r="E579">
        <f>IF($D579 &gt; 16, 0, $J$3*(16 - $D579))</f>
        <v>2056.7115627369003</v>
      </c>
      <c r="F579">
        <f>IF($D579 &gt; 16, 0,$E579*$J$5)</f>
        <v>22354397.975387368</v>
      </c>
      <c r="G579">
        <f t="shared" ref="G579:G642" si="9">MAX(0, 16 - $D579)</f>
        <v>9.9</v>
      </c>
    </row>
    <row r="580" spans="2:7" x14ac:dyDescent="0.35">
      <c r="B580" s="1">
        <v>45682</v>
      </c>
      <c r="C580" s="2">
        <v>8.3333333333333329E-2</v>
      </c>
      <c r="D580">
        <v>6</v>
      </c>
      <c r="E580">
        <f>IF($D580 &gt; 16, 0, $J$3*(16 - $D580))</f>
        <v>2077.4864270069697</v>
      </c>
      <c r="F580">
        <f>IF($D580 &gt; 16, 0,$E580*$J$5)</f>
        <v>22580199.975138754</v>
      </c>
      <c r="G580">
        <f t="shared" si="9"/>
        <v>10</v>
      </c>
    </row>
    <row r="581" spans="2:7" x14ac:dyDescent="0.35">
      <c r="B581" s="1">
        <v>45682</v>
      </c>
      <c r="C581" s="2">
        <v>0.125</v>
      </c>
      <c r="D581">
        <v>5.9</v>
      </c>
      <c r="E581">
        <f>IF($D581 &gt; 16, 0, $J$3*(16 - $D581))</f>
        <v>2098.2612912770396</v>
      </c>
      <c r="F581">
        <f>IF($D581 &gt; 16, 0,$E581*$J$5)</f>
        <v>22806001.974890143</v>
      </c>
      <c r="G581">
        <f t="shared" si="9"/>
        <v>10.1</v>
      </c>
    </row>
    <row r="582" spans="2:7" x14ac:dyDescent="0.35">
      <c r="B582" s="1">
        <v>45682</v>
      </c>
      <c r="C582" s="2">
        <v>0.16666666666666671</v>
      </c>
      <c r="D582">
        <v>6</v>
      </c>
      <c r="E582">
        <f>IF($D582 &gt; 16, 0, $J$3*(16 - $D582))</f>
        <v>2077.4864270069697</v>
      </c>
      <c r="F582">
        <f>IF($D582 &gt; 16, 0,$E582*$J$5)</f>
        <v>22580199.975138754</v>
      </c>
      <c r="G582">
        <f t="shared" si="9"/>
        <v>10</v>
      </c>
    </row>
    <row r="583" spans="2:7" x14ac:dyDescent="0.35">
      <c r="B583" s="1">
        <v>45682</v>
      </c>
      <c r="C583" s="2">
        <v>0.20833333333333329</v>
      </c>
      <c r="D583">
        <v>6.3</v>
      </c>
      <c r="E583">
        <f>IF($D583 &gt; 16, 0, $J$3*(16 - $D583))</f>
        <v>2015.1618341967608</v>
      </c>
      <c r="F583">
        <f>IF($D583 &gt; 16, 0,$E583*$J$5)</f>
        <v>21902793.975884594</v>
      </c>
      <c r="G583">
        <f t="shared" si="9"/>
        <v>9.6999999999999993</v>
      </c>
    </row>
    <row r="584" spans="2:7" x14ac:dyDescent="0.35">
      <c r="B584" s="1">
        <v>45682</v>
      </c>
      <c r="C584" s="2">
        <v>0.25</v>
      </c>
      <c r="D584">
        <v>6.2</v>
      </c>
      <c r="E584">
        <f>IF($D584 &gt; 16, 0, $J$3*(16 - $D584))</f>
        <v>2035.9366984668306</v>
      </c>
      <c r="F584">
        <f>IF($D584 &gt; 16, 0,$E584*$J$5)</f>
        <v>22128595.975635983</v>
      </c>
      <c r="G584">
        <f t="shared" si="9"/>
        <v>9.8000000000000007</v>
      </c>
    </row>
    <row r="585" spans="2:7" x14ac:dyDescent="0.35">
      <c r="B585" s="1">
        <v>45682</v>
      </c>
      <c r="C585" s="2">
        <v>0.29166666666666669</v>
      </c>
      <c r="D585">
        <v>5.9</v>
      </c>
      <c r="E585">
        <f>IF($D585 &gt; 16, 0, $J$3*(16 - $D585))</f>
        <v>2098.2612912770396</v>
      </c>
      <c r="F585">
        <f>IF($D585 &gt; 16, 0,$E585*$J$5)</f>
        <v>22806001.974890143</v>
      </c>
      <c r="G585">
        <f t="shared" si="9"/>
        <v>10.1</v>
      </c>
    </row>
    <row r="586" spans="2:7" x14ac:dyDescent="0.35">
      <c r="B586" s="1">
        <v>45682</v>
      </c>
      <c r="C586" s="2">
        <v>0.33333333333333331</v>
      </c>
      <c r="D586">
        <v>5.6</v>
      </c>
      <c r="E586">
        <f>IF($D586 &gt; 16, 0, $J$3*(16 - $D586))</f>
        <v>2160.5858840872488</v>
      </c>
      <c r="F586">
        <f>IF($D586 &gt; 16, 0,$E586*$J$5)</f>
        <v>23483407.974144306</v>
      </c>
      <c r="G586">
        <f t="shared" si="9"/>
        <v>10.4</v>
      </c>
    </row>
    <row r="587" spans="2:7" x14ac:dyDescent="0.35">
      <c r="B587" s="1">
        <v>45682</v>
      </c>
      <c r="C587" s="2">
        <v>0.375</v>
      </c>
      <c r="D587">
        <v>5.6</v>
      </c>
      <c r="E587">
        <f>IF($D587 &gt; 16, 0, $J$3*(16 - $D587))</f>
        <v>2160.5858840872488</v>
      </c>
      <c r="F587">
        <f>IF($D587 &gt; 16, 0,$E587*$J$5)</f>
        <v>23483407.974144306</v>
      </c>
      <c r="G587">
        <f t="shared" si="9"/>
        <v>10.4</v>
      </c>
    </row>
    <row r="588" spans="2:7" x14ac:dyDescent="0.35">
      <c r="B588" s="1">
        <v>45682</v>
      </c>
      <c r="C588" s="2">
        <v>0.41666666666666669</v>
      </c>
      <c r="D588">
        <v>5.9</v>
      </c>
      <c r="E588">
        <f>IF($D588 &gt; 16, 0, $J$3*(16 - $D588))</f>
        <v>2098.2612912770396</v>
      </c>
      <c r="F588">
        <f>IF($D588 &gt; 16, 0,$E588*$J$5)</f>
        <v>22806001.974890143</v>
      </c>
      <c r="G588">
        <f t="shared" si="9"/>
        <v>10.1</v>
      </c>
    </row>
    <row r="589" spans="2:7" x14ac:dyDescent="0.35">
      <c r="B589" s="1">
        <v>45682</v>
      </c>
      <c r="C589" s="2">
        <v>0.45833333333333331</v>
      </c>
      <c r="D589">
        <v>6</v>
      </c>
      <c r="E589">
        <f>IF($D589 &gt; 16, 0, $J$3*(16 - $D589))</f>
        <v>2077.4864270069697</v>
      </c>
      <c r="F589">
        <f>IF($D589 &gt; 16, 0,$E589*$J$5)</f>
        <v>22580199.975138754</v>
      </c>
      <c r="G589">
        <f t="shared" si="9"/>
        <v>10</v>
      </c>
    </row>
    <row r="590" spans="2:7" x14ac:dyDescent="0.35">
      <c r="B590" s="1">
        <v>45682</v>
      </c>
      <c r="C590" s="2">
        <v>0.5</v>
      </c>
      <c r="D590">
        <v>6.1</v>
      </c>
      <c r="E590">
        <f>IF($D590 &gt; 16, 0, $J$3*(16 - $D590))</f>
        <v>2056.7115627369003</v>
      </c>
      <c r="F590">
        <f>IF($D590 &gt; 16, 0,$E590*$J$5)</f>
        <v>22354397.975387368</v>
      </c>
      <c r="G590">
        <f t="shared" si="9"/>
        <v>9.9</v>
      </c>
    </row>
    <row r="591" spans="2:7" x14ac:dyDescent="0.35">
      <c r="B591" s="1">
        <v>45682</v>
      </c>
      <c r="C591" s="2">
        <v>0.54166666666666663</v>
      </c>
      <c r="D591">
        <v>5.8</v>
      </c>
      <c r="E591">
        <f>IF($D591 &gt; 16, 0, $J$3*(16 - $D591))</f>
        <v>2119.036155547109</v>
      </c>
      <c r="F591">
        <f>IF($D591 &gt; 16, 0,$E591*$J$5)</f>
        <v>23031803.974641528</v>
      </c>
      <c r="G591">
        <f t="shared" si="9"/>
        <v>10.199999999999999</v>
      </c>
    </row>
    <row r="592" spans="2:7" x14ac:dyDescent="0.35">
      <c r="B592" s="1">
        <v>45682</v>
      </c>
      <c r="C592" s="2">
        <v>0.58333333333333337</v>
      </c>
      <c r="D592">
        <v>6.1</v>
      </c>
      <c r="E592">
        <f>IF($D592 &gt; 16, 0, $J$3*(16 - $D592))</f>
        <v>2056.7115627369003</v>
      </c>
      <c r="F592">
        <f>IF($D592 &gt; 16, 0,$E592*$J$5)</f>
        <v>22354397.975387368</v>
      </c>
      <c r="G592">
        <f t="shared" si="9"/>
        <v>9.9</v>
      </c>
    </row>
    <row r="593" spans="2:7" x14ac:dyDescent="0.35">
      <c r="B593" s="1">
        <v>45682</v>
      </c>
      <c r="C593" s="2">
        <v>0.625</v>
      </c>
      <c r="D593">
        <v>5.9</v>
      </c>
      <c r="E593">
        <f>IF($D593 &gt; 16, 0, $J$3*(16 - $D593))</f>
        <v>2098.2612912770396</v>
      </c>
      <c r="F593">
        <f>IF($D593 &gt; 16, 0,$E593*$J$5)</f>
        <v>22806001.974890143</v>
      </c>
      <c r="G593">
        <f t="shared" si="9"/>
        <v>10.1</v>
      </c>
    </row>
    <row r="594" spans="2:7" x14ac:dyDescent="0.35">
      <c r="B594" s="1">
        <v>45682</v>
      </c>
      <c r="C594" s="2">
        <v>0.66666666666666663</v>
      </c>
      <c r="D594">
        <v>4.8</v>
      </c>
      <c r="E594">
        <f>IF($D594 &gt; 16, 0, $J$3*(16 - $D594))</f>
        <v>2326.7847982478061</v>
      </c>
      <c r="F594">
        <f>IF($D594 &gt; 16, 0,$E594*$J$5)</f>
        <v>25289823.972155403</v>
      </c>
      <c r="G594">
        <f t="shared" si="9"/>
        <v>11.2</v>
      </c>
    </row>
    <row r="595" spans="2:7" x14ac:dyDescent="0.35">
      <c r="B595" s="1">
        <v>45682</v>
      </c>
      <c r="C595" s="2">
        <v>0.70833333333333337</v>
      </c>
      <c r="D595">
        <v>5.5</v>
      </c>
      <c r="E595">
        <f>IF($D595 &gt; 16, 0, $J$3*(16 - $D595))</f>
        <v>2181.3607483573182</v>
      </c>
      <c r="F595">
        <f>IF($D595 &gt; 16, 0,$E595*$J$5)</f>
        <v>23709209.973895691</v>
      </c>
      <c r="G595">
        <f t="shared" si="9"/>
        <v>10.5</v>
      </c>
    </row>
    <row r="596" spans="2:7" x14ac:dyDescent="0.35">
      <c r="B596" s="1">
        <v>45682</v>
      </c>
      <c r="C596" s="2">
        <v>0.75</v>
      </c>
      <c r="D596">
        <v>5.4</v>
      </c>
      <c r="E596">
        <f>IF($D596 &gt; 16, 0, $J$3*(16 - $D596))</f>
        <v>2202.1356126273881</v>
      </c>
      <c r="F596">
        <f>IF($D596 &gt; 16, 0,$E596*$J$5)</f>
        <v>23935011.97364708</v>
      </c>
      <c r="G596">
        <f t="shared" si="9"/>
        <v>10.6</v>
      </c>
    </row>
    <row r="597" spans="2:7" x14ac:dyDescent="0.35">
      <c r="B597" s="1">
        <v>45682</v>
      </c>
      <c r="C597" s="2">
        <v>0.79166666666666663</v>
      </c>
      <c r="D597">
        <v>5.5</v>
      </c>
      <c r="E597">
        <f>IF($D597 &gt; 16, 0, $J$3*(16 - $D597))</f>
        <v>2181.3607483573182</v>
      </c>
      <c r="F597">
        <f>IF($D597 &gt; 16, 0,$E597*$J$5)</f>
        <v>23709209.973895691</v>
      </c>
      <c r="G597">
        <f t="shared" si="9"/>
        <v>10.5</v>
      </c>
    </row>
    <row r="598" spans="2:7" x14ac:dyDescent="0.35">
      <c r="B598" s="1">
        <v>45682</v>
      </c>
      <c r="C598" s="2">
        <v>0.83333333333333337</v>
      </c>
      <c r="D598">
        <v>5.6</v>
      </c>
      <c r="E598">
        <f>IF($D598 &gt; 16, 0, $J$3*(16 - $D598))</f>
        <v>2160.5858840872488</v>
      </c>
      <c r="F598">
        <f>IF($D598 &gt; 16, 0,$E598*$J$5)</f>
        <v>23483407.974144306</v>
      </c>
      <c r="G598">
        <f t="shared" si="9"/>
        <v>10.4</v>
      </c>
    </row>
    <row r="599" spans="2:7" x14ac:dyDescent="0.35">
      <c r="B599" s="1">
        <v>45682</v>
      </c>
      <c r="C599" s="2">
        <v>0.875</v>
      </c>
      <c r="D599">
        <v>4.4000000000000004</v>
      </c>
      <c r="E599">
        <f>IF($D599 &gt; 16, 0, $J$3*(16 - $D599))</f>
        <v>2409.8842553280851</v>
      </c>
      <c r="F599">
        <f>IF($D599 &gt; 16, 0,$E599*$J$5)</f>
        <v>26193031.971160956</v>
      </c>
      <c r="G599">
        <f t="shared" si="9"/>
        <v>11.6</v>
      </c>
    </row>
    <row r="600" spans="2:7" x14ac:dyDescent="0.35">
      <c r="B600" s="1">
        <v>45682</v>
      </c>
      <c r="C600" s="2">
        <v>0.91666666666666663</v>
      </c>
      <c r="D600">
        <v>2.9</v>
      </c>
      <c r="E600">
        <f>IF($D600 &gt; 16, 0, $J$3*(16 - $D600))</f>
        <v>2721.5072193791307</v>
      </c>
      <c r="F600">
        <f>IF($D600 &gt; 16, 0,$E600*$J$5)</f>
        <v>29580061.967431773</v>
      </c>
      <c r="G600">
        <f t="shared" si="9"/>
        <v>13.1</v>
      </c>
    </row>
    <row r="601" spans="2:7" x14ac:dyDescent="0.35">
      <c r="B601" s="1">
        <v>45682</v>
      </c>
      <c r="C601" s="2">
        <v>0.95833333333333337</v>
      </c>
      <c r="D601">
        <v>2.4</v>
      </c>
      <c r="E601">
        <f>IF($D601 &gt; 16, 0, $J$3*(16 - $D601))</f>
        <v>2825.3815407294792</v>
      </c>
      <c r="F601">
        <f>IF($D601 &gt; 16, 0,$E601*$J$5)</f>
        <v>30709071.96618871</v>
      </c>
      <c r="G601">
        <f t="shared" si="9"/>
        <v>13.6</v>
      </c>
    </row>
    <row r="602" spans="2:7" x14ac:dyDescent="0.35">
      <c r="B602" s="1">
        <v>45683</v>
      </c>
      <c r="C602" s="2">
        <v>0</v>
      </c>
      <c r="D602">
        <v>2.2999999999999998</v>
      </c>
      <c r="E602">
        <f>IF($D602 &gt; 16, 0, $J$3*(16 - $D602))</f>
        <v>2846.1564049995486</v>
      </c>
      <c r="F602">
        <f>IF($D602 &gt; 16, 0,$E602*$J$5)</f>
        <v>30934873.965940095</v>
      </c>
      <c r="G602">
        <f t="shared" si="9"/>
        <v>13.7</v>
      </c>
    </row>
    <row r="603" spans="2:7" x14ac:dyDescent="0.35">
      <c r="B603" s="1">
        <v>45683</v>
      </c>
      <c r="C603" s="2">
        <v>4.1666666666666657E-2</v>
      </c>
      <c r="D603">
        <v>2.1</v>
      </c>
      <c r="E603">
        <f>IF($D603 &gt; 16, 0, $J$3*(16 - $D603))</f>
        <v>2887.7061335396884</v>
      </c>
      <c r="F603">
        <f>IF($D603 &gt; 16, 0,$E603*$J$5)</f>
        <v>31386477.965442874</v>
      </c>
      <c r="G603">
        <f t="shared" si="9"/>
        <v>13.9</v>
      </c>
    </row>
    <row r="604" spans="2:7" x14ac:dyDescent="0.35">
      <c r="B604" s="1">
        <v>45683</v>
      </c>
      <c r="C604" s="2">
        <v>8.3333333333333329E-2</v>
      </c>
      <c r="D604">
        <v>1.8</v>
      </c>
      <c r="E604">
        <f>IF($D604 &gt; 16, 0, $J$3*(16 - $D604))</f>
        <v>2950.0307263498971</v>
      </c>
      <c r="F604">
        <f>IF($D604 &gt; 16, 0,$E604*$J$5)</f>
        <v>32063883.964697033</v>
      </c>
      <c r="G604">
        <f t="shared" si="9"/>
        <v>14.2</v>
      </c>
    </row>
    <row r="605" spans="2:7" x14ac:dyDescent="0.35">
      <c r="B605" s="1">
        <v>45683</v>
      </c>
      <c r="C605" s="2">
        <v>0.125</v>
      </c>
      <c r="D605">
        <v>2.8</v>
      </c>
      <c r="E605">
        <f>IF($D605 &gt; 16, 0, $J$3*(16 - $D605))</f>
        <v>2742.2820836492001</v>
      </c>
      <c r="F605">
        <f>IF($D605 &gt; 16, 0,$E605*$J$5)</f>
        <v>29805863.967183154</v>
      </c>
      <c r="G605">
        <f t="shared" si="9"/>
        <v>13.2</v>
      </c>
    </row>
    <row r="606" spans="2:7" x14ac:dyDescent="0.35">
      <c r="B606" s="1">
        <v>45683</v>
      </c>
      <c r="C606" s="2">
        <v>0.16666666666666671</v>
      </c>
      <c r="D606">
        <v>2.7</v>
      </c>
      <c r="E606">
        <f>IF($D606 &gt; 16, 0, $J$3*(16 - $D606))</f>
        <v>2763.05694791927</v>
      </c>
      <c r="F606">
        <f>IF($D606 &gt; 16, 0,$E606*$J$5)</f>
        <v>30031665.966934547</v>
      </c>
      <c r="G606">
        <f t="shared" si="9"/>
        <v>13.3</v>
      </c>
    </row>
    <row r="607" spans="2:7" x14ac:dyDescent="0.35">
      <c r="B607" s="1">
        <v>45683</v>
      </c>
      <c r="C607" s="2">
        <v>0.20833333333333329</v>
      </c>
      <c r="D607">
        <v>3.8</v>
      </c>
      <c r="E607">
        <f>IF($D607 &gt; 16, 0, $J$3*(16 - $D607))</f>
        <v>2534.5334409485031</v>
      </c>
      <c r="F607">
        <f>IF($D607 &gt; 16, 0,$E607*$J$5)</f>
        <v>27547843.969669279</v>
      </c>
      <c r="G607">
        <f t="shared" si="9"/>
        <v>12.2</v>
      </c>
    </row>
    <row r="608" spans="2:7" x14ac:dyDescent="0.35">
      <c r="B608" s="1">
        <v>45683</v>
      </c>
      <c r="C608" s="2">
        <v>0.25</v>
      </c>
      <c r="D608">
        <v>3</v>
      </c>
      <c r="E608">
        <f>IF($D608 &gt; 16, 0, $J$3*(16 - $D608))</f>
        <v>2700.7323551090608</v>
      </c>
      <c r="F608">
        <f>IF($D608 &gt; 16, 0,$E608*$J$5)</f>
        <v>29354259.967680383</v>
      </c>
      <c r="G608">
        <f t="shared" si="9"/>
        <v>13</v>
      </c>
    </row>
    <row r="609" spans="2:7" x14ac:dyDescent="0.35">
      <c r="B609" s="1">
        <v>45683</v>
      </c>
      <c r="C609" s="2">
        <v>0.29166666666666669</v>
      </c>
      <c r="D609">
        <v>2.7</v>
      </c>
      <c r="E609">
        <f>IF($D609 &gt; 16, 0, $J$3*(16 - $D609))</f>
        <v>2763.05694791927</v>
      </c>
      <c r="F609">
        <f>IF($D609 &gt; 16, 0,$E609*$J$5)</f>
        <v>30031665.966934547</v>
      </c>
      <c r="G609">
        <f t="shared" si="9"/>
        <v>13.3</v>
      </c>
    </row>
    <row r="610" spans="2:7" x14ac:dyDescent="0.35">
      <c r="B610" s="1">
        <v>45683</v>
      </c>
      <c r="C610" s="2">
        <v>0.33333333333333331</v>
      </c>
      <c r="D610">
        <v>2.4</v>
      </c>
      <c r="E610">
        <f>IF($D610 &gt; 16, 0, $J$3*(16 - $D610))</f>
        <v>2825.3815407294792</v>
      </c>
      <c r="F610">
        <f>IF($D610 &gt; 16, 0,$E610*$J$5)</f>
        <v>30709071.96618871</v>
      </c>
      <c r="G610">
        <f t="shared" si="9"/>
        <v>13.6</v>
      </c>
    </row>
    <row r="611" spans="2:7" x14ac:dyDescent="0.35">
      <c r="B611" s="1">
        <v>45683</v>
      </c>
      <c r="C611" s="2">
        <v>0.375</v>
      </c>
      <c r="D611">
        <v>2.8</v>
      </c>
      <c r="E611">
        <f>IF($D611 &gt; 16, 0, $J$3*(16 - $D611))</f>
        <v>2742.2820836492001</v>
      </c>
      <c r="F611">
        <f>IF($D611 &gt; 16, 0,$E611*$J$5)</f>
        <v>29805863.967183154</v>
      </c>
      <c r="G611">
        <f t="shared" si="9"/>
        <v>13.2</v>
      </c>
    </row>
    <row r="612" spans="2:7" x14ac:dyDescent="0.35">
      <c r="B612" s="1">
        <v>45683</v>
      </c>
      <c r="C612" s="2">
        <v>0.41666666666666669</v>
      </c>
      <c r="D612">
        <v>2.8</v>
      </c>
      <c r="E612">
        <f>IF($D612 &gt; 16, 0, $J$3*(16 - $D612))</f>
        <v>2742.2820836492001</v>
      </c>
      <c r="F612">
        <f>IF($D612 &gt; 16, 0,$E612*$J$5)</f>
        <v>29805863.967183154</v>
      </c>
      <c r="G612">
        <f t="shared" si="9"/>
        <v>13.2</v>
      </c>
    </row>
    <row r="613" spans="2:7" x14ac:dyDescent="0.35">
      <c r="B613" s="1">
        <v>45683</v>
      </c>
      <c r="C613" s="2">
        <v>0.45833333333333331</v>
      </c>
      <c r="D613">
        <v>3.1</v>
      </c>
      <c r="E613">
        <f>IF($D613 &gt; 16, 0, $J$3*(16 - $D613))</f>
        <v>2679.9574908389914</v>
      </c>
      <c r="F613">
        <f>IF($D613 &gt; 16, 0,$E613*$J$5)</f>
        <v>29128457.967928998</v>
      </c>
      <c r="G613">
        <f t="shared" si="9"/>
        <v>12.9</v>
      </c>
    </row>
    <row r="614" spans="2:7" x14ac:dyDescent="0.35">
      <c r="B614" s="1">
        <v>45683</v>
      </c>
      <c r="C614" s="2">
        <v>0.5</v>
      </c>
      <c r="D614">
        <v>3.3</v>
      </c>
      <c r="E614">
        <f>IF($D614 &gt; 16, 0, $J$3*(16 - $D614))</f>
        <v>2638.4077622988516</v>
      </c>
      <c r="F614">
        <f>IF($D614 &gt; 16, 0,$E614*$J$5)</f>
        <v>28676853.968426216</v>
      </c>
      <c r="G614">
        <f t="shared" si="9"/>
        <v>12.7</v>
      </c>
    </row>
    <row r="615" spans="2:7" x14ac:dyDescent="0.35">
      <c r="B615" s="1">
        <v>45683</v>
      </c>
      <c r="C615" s="2">
        <v>0.54166666666666663</v>
      </c>
      <c r="D615">
        <v>3.5</v>
      </c>
      <c r="E615">
        <f>IF($D615 &gt; 16, 0, $J$3*(16 - $D615))</f>
        <v>2596.8580337587123</v>
      </c>
      <c r="F615">
        <f>IF($D615 &gt; 16, 0,$E615*$J$5)</f>
        <v>28225249.968923442</v>
      </c>
      <c r="G615">
        <f t="shared" si="9"/>
        <v>12.5</v>
      </c>
    </row>
    <row r="616" spans="2:7" x14ac:dyDescent="0.35">
      <c r="B616" s="1">
        <v>45683</v>
      </c>
      <c r="C616" s="2">
        <v>0.58333333333333337</v>
      </c>
      <c r="D616">
        <v>3.7</v>
      </c>
      <c r="E616">
        <f>IF($D616 &gt; 16, 0, $J$3*(16 - $D616))</f>
        <v>2555.308305218573</v>
      </c>
      <c r="F616">
        <f>IF($D616 &gt; 16, 0,$E616*$J$5)</f>
        <v>27773645.969420668</v>
      </c>
      <c r="G616">
        <f t="shared" si="9"/>
        <v>12.3</v>
      </c>
    </row>
    <row r="617" spans="2:7" x14ac:dyDescent="0.35">
      <c r="B617" s="1">
        <v>45683</v>
      </c>
      <c r="C617" s="2">
        <v>0.625</v>
      </c>
      <c r="D617">
        <v>3.4</v>
      </c>
      <c r="E617">
        <f>IF($D617 &gt; 16, 0, $J$3*(16 - $D617))</f>
        <v>2617.6328980287822</v>
      </c>
      <c r="F617">
        <f>IF($D617 &gt; 16, 0,$E617*$J$5)</f>
        <v>28451051.968674835</v>
      </c>
      <c r="G617">
        <f t="shared" si="9"/>
        <v>12.6</v>
      </c>
    </row>
    <row r="618" spans="2:7" x14ac:dyDescent="0.35">
      <c r="B618" s="1">
        <v>45683</v>
      </c>
      <c r="C618" s="2">
        <v>0.66666666666666663</v>
      </c>
      <c r="D618">
        <v>2.9</v>
      </c>
      <c r="E618">
        <f>IF($D618 &gt; 16, 0, $J$3*(16 - $D618))</f>
        <v>2721.5072193791307</v>
      </c>
      <c r="F618">
        <f>IF($D618 &gt; 16, 0,$E618*$J$5)</f>
        <v>29580061.967431773</v>
      </c>
      <c r="G618">
        <f t="shared" si="9"/>
        <v>13.1</v>
      </c>
    </row>
    <row r="619" spans="2:7" x14ac:dyDescent="0.35">
      <c r="B619" s="1">
        <v>45683</v>
      </c>
      <c r="C619" s="2">
        <v>0.70833333333333337</v>
      </c>
      <c r="D619">
        <v>2.8</v>
      </c>
      <c r="E619">
        <f>IF($D619 &gt; 16, 0, $J$3*(16 - $D619))</f>
        <v>2742.2820836492001</v>
      </c>
      <c r="F619">
        <f>IF($D619 &gt; 16, 0,$E619*$J$5)</f>
        <v>29805863.967183154</v>
      </c>
      <c r="G619">
        <f t="shared" si="9"/>
        <v>13.2</v>
      </c>
    </row>
    <row r="620" spans="2:7" x14ac:dyDescent="0.35">
      <c r="B620" s="1">
        <v>45683</v>
      </c>
      <c r="C620" s="2">
        <v>0.75</v>
      </c>
      <c r="D620">
        <v>3.2</v>
      </c>
      <c r="E620">
        <f>IF($D620 &gt; 16, 0, $J$3*(16 - $D620))</f>
        <v>2659.1826265689215</v>
      </c>
      <c r="F620">
        <f>IF($D620 &gt; 16, 0,$E620*$J$5)</f>
        <v>28902655.968177609</v>
      </c>
      <c r="G620">
        <f t="shared" si="9"/>
        <v>12.8</v>
      </c>
    </row>
    <row r="621" spans="2:7" x14ac:dyDescent="0.35">
      <c r="B621" s="1">
        <v>45683</v>
      </c>
      <c r="C621" s="2">
        <v>0.79166666666666663</v>
      </c>
      <c r="D621">
        <v>3.2</v>
      </c>
      <c r="E621">
        <f>IF($D621 &gt; 16, 0, $J$3*(16 - $D621))</f>
        <v>2659.1826265689215</v>
      </c>
      <c r="F621">
        <f>IF($D621 &gt; 16, 0,$E621*$J$5)</f>
        <v>28902655.968177609</v>
      </c>
      <c r="G621">
        <f t="shared" si="9"/>
        <v>12.8</v>
      </c>
    </row>
    <row r="622" spans="2:7" x14ac:dyDescent="0.35">
      <c r="B622" s="1">
        <v>45683</v>
      </c>
      <c r="C622" s="2">
        <v>0.83333333333333337</v>
      </c>
      <c r="D622">
        <v>3.2</v>
      </c>
      <c r="E622">
        <f>IF($D622 &gt; 16, 0, $J$3*(16 - $D622))</f>
        <v>2659.1826265689215</v>
      </c>
      <c r="F622">
        <f>IF($D622 &gt; 16, 0,$E622*$J$5)</f>
        <v>28902655.968177609</v>
      </c>
      <c r="G622">
        <f t="shared" si="9"/>
        <v>12.8</v>
      </c>
    </row>
    <row r="623" spans="2:7" x14ac:dyDescent="0.35">
      <c r="B623" s="1">
        <v>45683</v>
      </c>
      <c r="C623" s="2">
        <v>0.875</v>
      </c>
      <c r="D623">
        <v>2.6</v>
      </c>
      <c r="E623">
        <f>IF($D623 &gt; 16, 0, $J$3*(16 - $D623))</f>
        <v>2783.8318121893399</v>
      </c>
      <c r="F623">
        <f>IF($D623 &gt; 16, 0,$E623*$J$5)</f>
        <v>30257467.966685936</v>
      </c>
      <c r="G623">
        <f t="shared" si="9"/>
        <v>13.4</v>
      </c>
    </row>
    <row r="624" spans="2:7" x14ac:dyDescent="0.35">
      <c r="B624" s="1">
        <v>45683</v>
      </c>
      <c r="C624" s="2">
        <v>0.91666666666666663</v>
      </c>
      <c r="D624">
        <v>2.6</v>
      </c>
      <c r="E624">
        <f>IF($D624 &gt; 16, 0, $J$3*(16 - $D624))</f>
        <v>2783.8318121893399</v>
      </c>
      <c r="F624">
        <f>IF($D624 &gt; 16, 0,$E624*$J$5)</f>
        <v>30257467.966685936</v>
      </c>
      <c r="G624">
        <f t="shared" si="9"/>
        <v>13.4</v>
      </c>
    </row>
    <row r="625" spans="2:7" x14ac:dyDescent="0.35">
      <c r="B625" s="1">
        <v>45683</v>
      </c>
      <c r="C625" s="2">
        <v>0.95833333333333337</v>
      </c>
      <c r="D625">
        <v>2.5</v>
      </c>
      <c r="E625">
        <f>IF($D625 &gt; 16, 0, $J$3*(16 - $D625))</f>
        <v>2804.6066764594093</v>
      </c>
      <c r="F625">
        <f>IF($D625 &gt; 16, 0,$E625*$J$5)</f>
        <v>30483269.966437321</v>
      </c>
      <c r="G625">
        <f t="shared" si="9"/>
        <v>13.5</v>
      </c>
    </row>
    <row r="626" spans="2:7" x14ac:dyDescent="0.35">
      <c r="B626" s="1">
        <v>45684</v>
      </c>
      <c r="C626" s="2">
        <v>0</v>
      </c>
      <c r="D626">
        <v>2.5</v>
      </c>
      <c r="E626">
        <f>IF($D626 &gt; 16, 0, $J$3*(16 - $D626))</f>
        <v>2804.6066764594093</v>
      </c>
      <c r="F626">
        <f>IF($D626 &gt; 16, 0,$E626*$J$5)</f>
        <v>30483269.966437321</v>
      </c>
      <c r="G626">
        <f t="shared" si="9"/>
        <v>13.5</v>
      </c>
    </row>
    <row r="627" spans="2:7" x14ac:dyDescent="0.35">
      <c r="B627" s="1">
        <v>45684</v>
      </c>
      <c r="C627" s="2">
        <v>4.1666666666666657E-2</v>
      </c>
      <c r="D627">
        <v>2.6</v>
      </c>
      <c r="E627">
        <f>IF($D627 &gt; 16, 0, $J$3*(16 - $D627))</f>
        <v>2783.8318121893399</v>
      </c>
      <c r="F627">
        <f>IF($D627 &gt; 16, 0,$E627*$J$5)</f>
        <v>30257467.966685936</v>
      </c>
      <c r="G627">
        <f t="shared" si="9"/>
        <v>13.4</v>
      </c>
    </row>
    <row r="628" spans="2:7" x14ac:dyDescent="0.35">
      <c r="B628" s="1">
        <v>45684</v>
      </c>
      <c r="C628" s="2">
        <v>8.3333333333333329E-2</v>
      </c>
      <c r="D628">
        <v>3</v>
      </c>
      <c r="E628">
        <f>IF($D628 &gt; 16, 0, $J$3*(16 - $D628))</f>
        <v>2700.7323551090608</v>
      </c>
      <c r="F628">
        <f>IF($D628 &gt; 16, 0,$E628*$J$5)</f>
        <v>29354259.967680383</v>
      </c>
      <c r="G628">
        <f t="shared" si="9"/>
        <v>13</v>
      </c>
    </row>
    <row r="629" spans="2:7" x14ac:dyDescent="0.35">
      <c r="B629" s="1">
        <v>45684</v>
      </c>
      <c r="C629" s="2">
        <v>0.125</v>
      </c>
      <c r="D629">
        <v>3.5</v>
      </c>
      <c r="E629">
        <f>IF($D629 &gt; 16, 0, $J$3*(16 - $D629))</f>
        <v>2596.8580337587123</v>
      </c>
      <c r="F629">
        <f>IF($D629 &gt; 16, 0,$E629*$J$5)</f>
        <v>28225249.968923442</v>
      </c>
      <c r="G629">
        <f t="shared" si="9"/>
        <v>12.5</v>
      </c>
    </row>
    <row r="630" spans="2:7" x14ac:dyDescent="0.35">
      <c r="B630" s="1">
        <v>45684</v>
      </c>
      <c r="C630" s="2">
        <v>0.16666666666666671</v>
      </c>
      <c r="D630">
        <v>3.7</v>
      </c>
      <c r="E630">
        <f>IF($D630 &gt; 16, 0, $J$3*(16 - $D630))</f>
        <v>2555.308305218573</v>
      </c>
      <c r="F630">
        <f>IF($D630 &gt; 16, 0,$E630*$J$5)</f>
        <v>27773645.969420668</v>
      </c>
      <c r="G630">
        <f t="shared" si="9"/>
        <v>12.3</v>
      </c>
    </row>
    <row r="631" spans="2:7" x14ac:dyDescent="0.35">
      <c r="B631" s="1">
        <v>45684</v>
      </c>
      <c r="C631" s="2">
        <v>0.20833333333333329</v>
      </c>
      <c r="D631">
        <v>3.9</v>
      </c>
      <c r="E631">
        <f>IF($D631 &gt; 16, 0, $J$3*(16 - $D631))</f>
        <v>2513.7585766784337</v>
      </c>
      <c r="F631">
        <f>IF($D631 &gt; 16, 0,$E631*$J$5)</f>
        <v>27322041.969917897</v>
      </c>
      <c r="G631">
        <f t="shared" si="9"/>
        <v>12.1</v>
      </c>
    </row>
    <row r="632" spans="2:7" x14ac:dyDescent="0.35">
      <c r="B632" s="1">
        <v>45684</v>
      </c>
      <c r="C632" s="2">
        <v>0.25</v>
      </c>
      <c r="D632">
        <v>4.2</v>
      </c>
      <c r="E632">
        <f>IF($D632 &gt; 16, 0, $J$3*(16 - $D632))</f>
        <v>2451.4339838682245</v>
      </c>
      <c r="F632">
        <f>IF($D632 &gt; 16, 0,$E632*$J$5)</f>
        <v>26644635.97066373</v>
      </c>
      <c r="G632">
        <f t="shared" si="9"/>
        <v>11.8</v>
      </c>
    </row>
    <row r="633" spans="2:7" x14ac:dyDescent="0.35">
      <c r="B633" s="1">
        <v>45684</v>
      </c>
      <c r="C633" s="2">
        <v>0.29166666666666669</v>
      </c>
      <c r="D633">
        <v>4.5</v>
      </c>
      <c r="E633">
        <f>IF($D633 &gt; 16, 0, $J$3*(16 - $D633))</f>
        <v>2389.1093910580153</v>
      </c>
      <c r="F633">
        <f>IF($D633 &gt; 16, 0,$E633*$J$5)</f>
        <v>25967229.971409567</v>
      </c>
      <c r="G633">
        <f t="shared" si="9"/>
        <v>11.5</v>
      </c>
    </row>
    <row r="634" spans="2:7" x14ac:dyDescent="0.35">
      <c r="B634" s="1">
        <v>45684</v>
      </c>
      <c r="C634" s="2">
        <v>0.33333333333333331</v>
      </c>
      <c r="D634">
        <v>5.5</v>
      </c>
      <c r="E634">
        <f>IF($D634 &gt; 16, 0, $J$3*(16 - $D634))</f>
        <v>2181.3607483573182</v>
      </c>
      <c r="F634">
        <f>IF($D634 &gt; 16, 0,$E634*$J$5)</f>
        <v>23709209.973895691</v>
      </c>
      <c r="G634">
        <f t="shared" si="9"/>
        <v>10.5</v>
      </c>
    </row>
    <row r="635" spans="2:7" x14ac:dyDescent="0.35">
      <c r="B635" s="1">
        <v>45684</v>
      </c>
      <c r="C635" s="2">
        <v>0.375</v>
      </c>
      <c r="D635">
        <v>7.1</v>
      </c>
      <c r="E635">
        <f>IF($D635 &gt; 16, 0, $J$3*(16 - $D635))</f>
        <v>1848.9629200362033</v>
      </c>
      <c r="F635">
        <f>IF($D635 &gt; 16, 0,$E635*$J$5)</f>
        <v>20096377.977873493</v>
      </c>
      <c r="G635">
        <f t="shared" si="9"/>
        <v>8.9</v>
      </c>
    </row>
    <row r="636" spans="2:7" x14ac:dyDescent="0.35">
      <c r="B636" s="1">
        <v>45684</v>
      </c>
      <c r="C636" s="2">
        <v>0.41666666666666669</v>
      </c>
      <c r="D636">
        <v>9.1999999999999993</v>
      </c>
      <c r="E636">
        <f>IF($D636 &gt; 16, 0, $J$3*(16 - $D636))</f>
        <v>1412.6907703647396</v>
      </c>
      <c r="F636">
        <f>IF($D636 &gt; 16, 0,$E636*$J$5)</f>
        <v>15354535.983094355</v>
      </c>
      <c r="G636">
        <f t="shared" si="9"/>
        <v>6.8000000000000007</v>
      </c>
    </row>
    <row r="637" spans="2:7" x14ac:dyDescent="0.35">
      <c r="B637" s="1">
        <v>45684</v>
      </c>
      <c r="C637" s="2">
        <v>0.45833333333333331</v>
      </c>
      <c r="D637">
        <v>9.9</v>
      </c>
      <c r="E637">
        <f>IF($D637 &gt; 16, 0, $J$3*(16 - $D637))</f>
        <v>1267.2667204742515</v>
      </c>
      <c r="F637">
        <f>IF($D637 &gt; 16, 0,$E637*$J$5)</f>
        <v>13773921.984834639</v>
      </c>
      <c r="G637">
        <f t="shared" si="9"/>
        <v>6.1</v>
      </c>
    </row>
    <row r="638" spans="2:7" x14ac:dyDescent="0.35">
      <c r="B638" s="1">
        <v>45684</v>
      </c>
      <c r="C638" s="2">
        <v>0.5</v>
      </c>
      <c r="D638">
        <v>10.1</v>
      </c>
      <c r="E638">
        <f>IF($D638 &gt; 16, 0, $J$3*(16 - $D638))</f>
        <v>1225.7169919341122</v>
      </c>
      <c r="F638">
        <f>IF($D638 &gt; 16, 0,$E638*$J$5)</f>
        <v>13322317.985331865</v>
      </c>
      <c r="G638">
        <f t="shared" si="9"/>
        <v>5.9</v>
      </c>
    </row>
    <row r="639" spans="2:7" x14ac:dyDescent="0.35">
      <c r="B639" s="1">
        <v>45684</v>
      </c>
      <c r="C639" s="2">
        <v>0.54166666666666663</v>
      </c>
      <c r="D639">
        <v>11</v>
      </c>
      <c r="E639">
        <f>IF($D639 &gt; 16, 0, $J$3*(16 - $D639))</f>
        <v>1038.7432135034849</v>
      </c>
      <c r="F639">
        <f>IF($D639 &gt; 16, 0,$E639*$J$5)</f>
        <v>11290099.987569377</v>
      </c>
      <c r="G639">
        <f t="shared" si="9"/>
        <v>5</v>
      </c>
    </row>
    <row r="640" spans="2:7" x14ac:dyDescent="0.35">
      <c r="B640" s="1">
        <v>45684</v>
      </c>
      <c r="C640" s="2">
        <v>0.58333333333333337</v>
      </c>
      <c r="D640">
        <v>10.7</v>
      </c>
      <c r="E640">
        <f>IF($D640 &gt; 16, 0, $J$3*(16 - $D640))</f>
        <v>1101.0678063136943</v>
      </c>
      <c r="F640">
        <f>IF($D640 &gt; 16, 0,$E640*$J$5)</f>
        <v>11967505.986823544</v>
      </c>
      <c r="G640">
        <f t="shared" si="9"/>
        <v>5.3000000000000007</v>
      </c>
    </row>
    <row r="641" spans="2:7" x14ac:dyDescent="0.35">
      <c r="B641" s="1">
        <v>45684</v>
      </c>
      <c r="C641" s="2">
        <v>0.625</v>
      </c>
      <c r="D641">
        <v>9.9</v>
      </c>
      <c r="E641">
        <f>IF($D641 &gt; 16, 0, $J$3*(16 - $D641))</f>
        <v>1267.2667204742515</v>
      </c>
      <c r="F641">
        <f>IF($D641 &gt; 16, 0,$E641*$J$5)</f>
        <v>13773921.984834639</v>
      </c>
      <c r="G641">
        <f t="shared" si="9"/>
        <v>6.1</v>
      </c>
    </row>
    <row r="642" spans="2:7" x14ac:dyDescent="0.35">
      <c r="B642" s="1">
        <v>45684</v>
      </c>
      <c r="C642" s="2">
        <v>0.66666666666666663</v>
      </c>
      <c r="D642">
        <v>9.9</v>
      </c>
      <c r="E642">
        <f>IF($D642 &gt; 16, 0, $J$3*(16 - $D642))</f>
        <v>1267.2667204742515</v>
      </c>
      <c r="F642">
        <f>IF($D642 &gt; 16, 0,$E642*$J$5)</f>
        <v>13773921.984834639</v>
      </c>
      <c r="G642">
        <f t="shared" si="9"/>
        <v>6.1</v>
      </c>
    </row>
    <row r="643" spans="2:7" x14ac:dyDescent="0.35">
      <c r="B643" s="1">
        <v>45684</v>
      </c>
      <c r="C643" s="2">
        <v>0.70833333333333337</v>
      </c>
      <c r="D643">
        <v>8.5</v>
      </c>
      <c r="E643">
        <f>IF($D643 &gt; 16, 0, $J$3*(16 - $D643))</f>
        <v>1558.1148202552274</v>
      </c>
      <c r="F643">
        <f>IF($D643 &gt; 16, 0,$E643*$J$5)</f>
        <v>16935149.981354065</v>
      </c>
      <c r="G643">
        <f t="shared" ref="G643:G706" si="10">MAX(0, 16 - $D643)</f>
        <v>7.5</v>
      </c>
    </row>
    <row r="644" spans="2:7" x14ac:dyDescent="0.35">
      <c r="B644" s="1">
        <v>45684</v>
      </c>
      <c r="C644" s="2">
        <v>0.75</v>
      </c>
      <c r="D644">
        <v>8.3000000000000007</v>
      </c>
      <c r="E644">
        <f>IF($D644 &gt; 16, 0, $J$3*(16 - $D644))</f>
        <v>1599.6645487953667</v>
      </c>
      <c r="F644">
        <f>IF($D644 &gt; 16, 0,$E644*$J$5)</f>
        <v>17386753.98085684</v>
      </c>
      <c r="G644">
        <f t="shared" si="10"/>
        <v>7.6999999999999993</v>
      </c>
    </row>
    <row r="645" spans="2:7" x14ac:dyDescent="0.35">
      <c r="B645" s="1">
        <v>45684</v>
      </c>
      <c r="C645" s="2">
        <v>0.79166666666666663</v>
      </c>
      <c r="D645">
        <v>7.1</v>
      </c>
      <c r="E645">
        <f>IF($D645 &gt; 16, 0, $J$3*(16 - $D645))</f>
        <v>1848.9629200362033</v>
      </c>
      <c r="F645">
        <f>IF($D645 &gt; 16, 0,$E645*$J$5)</f>
        <v>20096377.977873493</v>
      </c>
      <c r="G645">
        <f t="shared" si="10"/>
        <v>8.9</v>
      </c>
    </row>
    <row r="646" spans="2:7" x14ac:dyDescent="0.35">
      <c r="B646" s="1">
        <v>45684</v>
      </c>
      <c r="C646" s="2">
        <v>0.83333333333333337</v>
      </c>
      <c r="D646">
        <v>7.7</v>
      </c>
      <c r="E646">
        <f>IF($D646 &gt; 16, 0, $J$3*(16 - $D646))</f>
        <v>1724.3137344157851</v>
      </c>
      <c r="F646">
        <f>IF($D646 &gt; 16, 0,$E646*$J$5)</f>
        <v>18741565.97936517</v>
      </c>
      <c r="G646">
        <f t="shared" si="10"/>
        <v>8.3000000000000007</v>
      </c>
    </row>
    <row r="647" spans="2:7" x14ac:dyDescent="0.35">
      <c r="B647" s="1">
        <v>45684</v>
      </c>
      <c r="C647" s="2">
        <v>0.875</v>
      </c>
      <c r="D647">
        <v>6.4</v>
      </c>
      <c r="E647">
        <f>IF($D647 &gt; 16, 0, $J$3*(16 - $D647))</f>
        <v>1994.3869699266911</v>
      </c>
      <c r="F647">
        <f>IF($D647 &gt; 16, 0,$E647*$J$5)</f>
        <v>21676991.976133205</v>
      </c>
      <c r="G647">
        <f t="shared" si="10"/>
        <v>9.6</v>
      </c>
    </row>
    <row r="648" spans="2:7" x14ac:dyDescent="0.35">
      <c r="B648" s="1">
        <v>45684</v>
      </c>
      <c r="C648" s="2">
        <v>0.91666666666666663</v>
      </c>
      <c r="D648">
        <v>6.4</v>
      </c>
      <c r="E648">
        <f>IF($D648 &gt; 16, 0, $J$3*(16 - $D648))</f>
        <v>1994.3869699266911</v>
      </c>
      <c r="F648">
        <f>IF($D648 &gt; 16, 0,$E648*$J$5)</f>
        <v>21676991.976133205</v>
      </c>
      <c r="G648">
        <f t="shared" si="10"/>
        <v>9.6</v>
      </c>
    </row>
    <row r="649" spans="2:7" x14ac:dyDescent="0.35">
      <c r="B649" s="1">
        <v>45684</v>
      </c>
      <c r="C649" s="2">
        <v>0.95833333333333337</v>
      </c>
      <c r="D649">
        <v>6.9</v>
      </c>
      <c r="E649">
        <f>IF($D649 &gt; 16, 0, $J$3*(16 - $D649))</f>
        <v>1890.5126485763426</v>
      </c>
      <c r="F649">
        <f>IF($D649 &gt; 16, 0,$E649*$J$5)</f>
        <v>20547981.977376267</v>
      </c>
      <c r="G649">
        <f t="shared" si="10"/>
        <v>9.1</v>
      </c>
    </row>
    <row r="650" spans="2:7" x14ac:dyDescent="0.35">
      <c r="B650" s="1">
        <v>45685</v>
      </c>
      <c r="C650" s="2">
        <v>0</v>
      </c>
      <c r="D650">
        <v>6.4</v>
      </c>
      <c r="E650">
        <f>IF($D650 &gt; 16, 0, $J$3*(16 - $D650))</f>
        <v>1994.3869699266911</v>
      </c>
      <c r="F650">
        <f>IF($D650 &gt; 16, 0,$E650*$J$5)</f>
        <v>21676991.976133205</v>
      </c>
      <c r="G650">
        <f t="shared" si="10"/>
        <v>9.6</v>
      </c>
    </row>
    <row r="651" spans="2:7" x14ac:dyDescent="0.35">
      <c r="B651" s="1">
        <v>45685</v>
      </c>
      <c r="C651" s="2">
        <v>4.1666666666666657E-2</v>
      </c>
      <c r="D651">
        <v>6.8</v>
      </c>
      <c r="E651">
        <f>IF($D651 &gt; 16, 0, $J$3*(16 - $D651))</f>
        <v>1911.2875128464123</v>
      </c>
      <c r="F651">
        <f>IF($D651 &gt; 16, 0,$E651*$J$5)</f>
        <v>20773783.977127656</v>
      </c>
      <c r="G651">
        <f t="shared" si="10"/>
        <v>9.1999999999999993</v>
      </c>
    </row>
    <row r="652" spans="2:7" x14ac:dyDescent="0.35">
      <c r="B652" s="1">
        <v>45685</v>
      </c>
      <c r="C652" s="2">
        <v>8.3333333333333329E-2</v>
      </c>
      <c r="D652">
        <v>7.1</v>
      </c>
      <c r="E652">
        <f>IF($D652 &gt; 16, 0, $J$3*(16 - $D652))</f>
        <v>1848.9629200362033</v>
      </c>
      <c r="F652">
        <f>IF($D652 &gt; 16, 0,$E652*$J$5)</f>
        <v>20096377.977873493</v>
      </c>
      <c r="G652">
        <f t="shared" si="10"/>
        <v>8.9</v>
      </c>
    </row>
    <row r="653" spans="2:7" x14ac:dyDescent="0.35">
      <c r="B653" s="1">
        <v>45685</v>
      </c>
      <c r="C653" s="2">
        <v>0.125</v>
      </c>
      <c r="D653">
        <v>5.2</v>
      </c>
      <c r="E653">
        <f>IF($D653 &gt; 16, 0, $J$3*(16 - $D653))</f>
        <v>2243.6853411675274</v>
      </c>
      <c r="F653">
        <f>IF($D653 &gt; 16, 0,$E653*$J$5)</f>
        <v>24386615.973149855</v>
      </c>
      <c r="G653">
        <f t="shared" si="10"/>
        <v>10.8</v>
      </c>
    </row>
    <row r="654" spans="2:7" x14ac:dyDescent="0.35">
      <c r="B654" s="1">
        <v>45685</v>
      </c>
      <c r="C654" s="2">
        <v>0.16666666666666671</v>
      </c>
      <c r="D654">
        <v>6.4</v>
      </c>
      <c r="E654">
        <f>IF($D654 &gt; 16, 0, $J$3*(16 - $D654))</f>
        <v>1994.3869699266911</v>
      </c>
      <c r="F654">
        <f>IF($D654 &gt; 16, 0,$E654*$J$5)</f>
        <v>21676991.976133205</v>
      </c>
      <c r="G654">
        <f t="shared" si="10"/>
        <v>9.6</v>
      </c>
    </row>
    <row r="655" spans="2:7" x14ac:dyDescent="0.35">
      <c r="B655" s="1">
        <v>45685</v>
      </c>
      <c r="C655" s="2">
        <v>0.20833333333333329</v>
      </c>
      <c r="D655">
        <v>5.3</v>
      </c>
      <c r="E655">
        <f>IF($D655 &gt; 16, 0, $J$3*(16 - $D655))</f>
        <v>2222.9104768974576</v>
      </c>
      <c r="F655">
        <f>IF($D655 &gt; 16, 0,$E655*$J$5)</f>
        <v>24160813.973398466</v>
      </c>
      <c r="G655">
        <f t="shared" si="10"/>
        <v>10.7</v>
      </c>
    </row>
    <row r="656" spans="2:7" x14ac:dyDescent="0.35">
      <c r="B656" s="1">
        <v>45685</v>
      </c>
      <c r="C656" s="2">
        <v>0.25</v>
      </c>
      <c r="D656">
        <v>5.3</v>
      </c>
      <c r="E656">
        <f>IF($D656 &gt; 16, 0, $J$3*(16 - $D656))</f>
        <v>2222.9104768974576</v>
      </c>
      <c r="F656">
        <f>IF($D656 &gt; 16, 0,$E656*$J$5)</f>
        <v>24160813.973398466</v>
      </c>
      <c r="G656">
        <f t="shared" si="10"/>
        <v>10.7</v>
      </c>
    </row>
    <row r="657" spans="2:7" x14ac:dyDescent="0.35">
      <c r="B657" s="1">
        <v>45685</v>
      </c>
      <c r="C657" s="2">
        <v>0.29166666666666669</v>
      </c>
      <c r="D657">
        <v>4.8</v>
      </c>
      <c r="E657">
        <f>IF($D657 &gt; 16, 0, $J$3*(16 - $D657))</f>
        <v>2326.7847982478061</v>
      </c>
      <c r="F657">
        <f>IF($D657 &gt; 16, 0,$E657*$J$5)</f>
        <v>25289823.972155403</v>
      </c>
      <c r="G657">
        <f t="shared" si="10"/>
        <v>11.2</v>
      </c>
    </row>
    <row r="658" spans="2:7" x14ac:dyDescent="0.35">
      <c r="B658" s="1">
        <v>45685</v>
      </c>
      <c r="C658" s="2">
        <v>0.33333333333333331</v>
      </c>
      <c r="D658">
        <v>5.4</v>
      </c>
      <c r="E658">
        <f>IF($D658 &gt; 16, 0, $J$3*(16 - $D658))</f>
        <v>2202.1356126273881</v>
      </c>
      <c r="F658">
        <f>IF($D658 &gt; 16, 0,$E658*$J$5)</f>
        <v>23935011.97364708</v>
      </c>
      <c r="G658">
        <f t="shared" si="10"/>
        <v>10.6</v>
      </c>
    </row>
    <row r="659" spans="2:7" x14ac:dyDescent="0.35">
      <c r="B659" s="1">
        <v>45685</v>
      </c>
      <c r="C659" s="2">
        <v>0.375</v>
      </c>
      <c r="D659">
        <v>6.1</v>
      </c>
      <c r="E659">
        <f>IF($D659 &gt; 16, 0, $J$3*(16 - $D659))</f>
        <v>2056.7115627369003</v>
      </c>
      <c r="F659">
        <f>IF($D659 &gt; 16, 0,$E659*$J$5)</f>
        <v>22354397.975387368</v>
      </c>
      <c r="G659">
        <f t="shared" si="10"/>
        <v>9.9</v>
      </c>
    </row>
    <row r="660" spans="2:7" x14ac:dyDescent="0.35">
      <c r="B660" s="1">
        <v>45685</v>
      </c>
      <c r="C660" s="2">
        <v>0.41666666666666669</v>
      </c>
      <c r="D660">
        <v>6.4</v>
      </c>
      <c r="E660">
        <f>IF($D660 &gt; 16, 0, $J$3*(16 - $D660))</f>
        <v>1994.3869699266911</v>
      </c>
      <c r="F660">
        <f>IF($D660 &gt; 16, 0,$E660*$J$5)</f>
        <v>21676991.976133205</v>
      </c>
      <c r="G660">
        <f t="shared" si="10"/>
        <v>9.6</v>
      </c>
    </row>
    <row r="661" spans="2:7" x14ac:dyDescent="0.35">
      <c r="B661" s="1">
        <v>45685</v>
      </c>
      <c r="C661" s="2">
        <v>0.45833333333333331</v>
      </c>
      <c r="D661">
        <v>7</v>
      </c>
      <c r="E661">
        <f>IF($D661 &gt; 16, 0, $J$3*(16 - $D661))</f>
        <v>1869.7377843062729</v>
      </c>
      <c r="F661">
        <f>IF($D661 &gt; 16, 0,$E661*$J$5)</f>
        <v>20322179.977624882</v>
      </c>
      <c r="G661">
        <f t="shared" si="10"/>
        <v>9</v>
      </c>
    </row>
    <row r="662" spans="2:7" x14ac:dyDescent="0.35">
      <c r="B662" s="1">
        <v>45685</v>
      </c>
      <c r="C662" s="2">
        <v>0.5</v>
      </c>
      <c r="D662">
        <v>8</v>
      </c>
      <c r="E662">
        <f>IF($D662 &gt; 16, 0, $J$3*(16 - $D662))</f>
        <v>1661.9891416055759</v>
      </c>
      <c r="F662">
        <f>IF($D662 &gt; 16, 0,$E662*$J$5)</f>
        <v>18064159.980111003</v>
      </c>
      <c r="G662">
        <f t="shared" si="10"/>
        <v>8</v>
      </c>
    </row>
    <row r="663" spans="2:7" x14ac:dyDescent="0.35">
      <c r="B663" s="1">
        <v>45685</v>
      </c>
      <c r="C663" s="2">
        <v>0.54166666666666663</v>
      </c>
      <c r="D663">
        <v>8.6999999999999993</v>
      </c>
      <c r="E663">
        <f>IF($D663 &gt; 16, 0, $J$3*(16 - $D663))</f>
        <v>1516.5650917150881</v>
      </c>
      <c r="F663">
        <f>IF($D663 &gt; 16, 0,$E663*$J$5)</f>
        <v>16483545.981851293</v>
      </c>
      <c r="G663">
        <f t="shared" si="10"/>
        <v>7.3000000000000007</v>
      </c>
    </row>
    <row r="664" spans="2:7" x14ac:dyDescent="0.35">
      <c r="B664" s="1">
        <v>45685</v>
      </c>
      <c r="C664" s="2">
        <v>0.58333333333333337</v>
      </c>
      <c r="D664">
        <v>8.8000000000000007</v>
      </c>
      <c r="E664">
        <f>IF($D664 &gt; 16, 0, $J$3*(16 - $D664))</f>
        <v>1495.7902274450182</v>
      </c>
      <c r="F664">
        <f>IF($D664 &gt; 16, 0,$E664*$J$5)</f>
        <v>16257743.982099904</v>
      </c>
      <c r="G664">
        <f t="shared" si="10"/>
        <v>7.1999999999999993</v>
      </c>
    </row>
    <row r="665" spans="2:7" x14ac:dyDescent="0.35">
      <c r="B665" s="1">
        <v>45685</v>
      </c>
      <c r="C665" s="2">
        <v>0.625</v>
      </c>
      <c r="D665">
        <v>9</v>
      </c>
      <c r="E665">
        <f>IF($D665 &gt; 16, 0, $J$3*(16 - $D665))</f>
        <v>1454.2404989048789</v>
      </c>
      <c r="F665">
        <f>IF($D665 &gt; 16, 0,$E665*$J$5)</f>
        <v>15806139.982597129</v>
      </c>
      <c r="G665">
        <f t="shared" si="10"/>
        <v>7</v>
      </c>
    </row>
    <row r="666" spans="2:7" x14ac:dyDescent="0.35">
      <c r="B666" s="1">
        <v>45685</v>
      </c>
      <c r="C666" s="2">
        <v>0.66666666666666663</v>
      </c>
      <c r="D666">
        <v>8.1</v>
      </c>
      <c r="E666">
        <f>IF($D666 &gt; 16, 0, $J$3*(16 - $D666))</f>
        <v>1641.2142773355063</v>
      </c>
      <c r="F666">
        <f>IF($D666 &gt; 16, 0,$E666*$J$5)</f>
        <v>17838357.980359618</v>
      </c>
      <c r="G666">
        <f t="shared" si="10"/>
        <v>7.9</v>
      </c>
    </row>
    <row r="667" spans="2:7" x14ac:dyDescent="0.35">
      <c r="B667" s="1">
        <v>45685</v>
      </c>
      <c r="C667" s="2">
        <v>0.70833333333333337</v>
      </c>
      <c r="D667">
        <v>6.3</v>
      </c>
      <c r="E667">
        <f>IF($D667 &gt; 16, 0, $J$3*(16 - $D667))</f>
        <v>2015.1618341967608</v>
      </c>
      <c r="F667">
        <f>IF($D667 &gt; 16, 0,$E667*$J$5)</f>
        <v>21902793.975884594</v>
      </c>
      <c r="G667">
        <f t="shared" si="10"/>
        <v>9.6999999999999993</v>
      </c>
    </row>
    <row r="668" spans="2:7" x14ac:dyDescent="0.35">
      <c r="B668" s="1">
        <v>45685</v>
      </c>
      <c r="C668" s="2">
        <v>0.75</v>
      </c>
      <c r="D668">
        <v>5.4</v>
      </c>
      <c r="E668">
        <f>IF($D668 &gt; 16, 0, $J$3*(16 - $D668))</f>
        <v>2202.1356126273881</v>
      </c>
      <c r="F668">
        <f>IF($D668 &gt; 16, 0,$E668*$J$5)</f>
        <v>23935011.97364708</v>
      </c>
      <c r="G668">
        <f t="shared" si="10"/>
        <v>10.6</v>
      </c>
    </row>
    <row r="669" spans="2:7" x14ac:dyDescent="0.35">
      <c r="B669" s="1">
        <v>45685</v>
      </c>
      <c r="C669" s="2">
        <v>0.79166666666666663</v>
      </c>
      <c r="D669">
        <v>4.5999999999999996</v>
      </c>
      <c r="E669">
        <f>IF($D669 &gt; 16, 0, $J$3*(16 - $D669))</f>
        <v>2368.3345267879458</v>
      </c>
      <c r="F669">
        <f>IF($D669 &gt; 16, 0,$E669*$J$5)</f>
        <v>25741427.971658185</v>
      </c>
      <c r="G669">
        <f t="shared" si="10"/>
        <v>11.4</v>
      </c>
    </row>
    <row r="670" spans="2:7" x14ac:dyDescent="0.35">
      <c r="B670" s="1">
        <v>45685</v>
      </c>
      <c r="C670" s="2">
        <v>0.83333333333333337</v>
      </c>
      <c r="D670">
        <v>4.8</v>
      </c>
      <c r="E670">
        <f>IF($D670 &gt; 16, 0, $J$3*(16 - $D670))</f>
        <v>2326.7847982478061</v>
      </c>
      <c r="F670">
        <f>IF($D670 &gt; 16, 0,$E670*$J$5)</f>
        <v>25289823.972155403</v>
      </c>
      <c r="G670">
        <f t="shared" si="10"/>
        <v>11.2</v>
      </c>
    </row>
    <row r="671" spans="2:7" x14ac:dyDescent="0.35">
      <c r="B671" s="1">
        <v>45685</v>
      </c>
      <c r="C671" s="2">
        <v>0.875</v>
      </c>
      <c r="D671">
        <v>5.0999999999999996</v>
      </c>
      <c r="E671">
        <f>IF($D671 &gt; 16, 0, $J$3*(16 - $D671))</f>
        <v>2264.4602054375973</v>
      </c>
      <c r="F671">
        <f>IF($D671 &gt; 16, 0,$E671*$J$5)</f>
        <v>24612417.972901244</v>
      </c>
      <c r="G671">
        <f t="shared" si="10"/>
        <v>10.9</v>
      </c>
    </row>
    <row r="672" spans="2:7" x14ac:dyDescent="0.35">
      <c r="B672" s="1">
        <v>45685</v>
      </c>
      <c r="C672" s="2">
        <v>0.91666666666666663</v>
      </c>
      <c r="D672">
        <v>3.9</v>
      </c>
      <c r="E672">
        <f>IF($D672 &gt; 16, 0, $J$3*(16 - $D672))</f>
        <v>2513.7585766784337</v>
      </c>
      <c r="F672">
        <f>IF($D672 &gt; 16, 0,$E672*$J$5)</f>
        <v>27322041.969917897</v>
      </c>
      <c r="G672">
        <f t="shared" si="10"/>
        <v>12.1</v>
      </c>
    </row>
    <row r="673" spans="2:7" x14ac:dyDescent="0.35">
      <c r="B673" s="1">
        <v>45685</v>
      </c>
      <c r="C673" s="2">
        <v>0.95833333333333337</v>
      </c>
      <c r="D673">
        <v>3.6</v>
      </c>
      <c r="E673">
        <f>IF($D673 &gt; 16, 0, $J$3*(16 - $D673))</f>
        <v>2576.0831694886429</v>
      </c>
      <c r="F673">
        <f>IF($D673 &gt; 16, 0,$E673*$J$5)</f>
        <v>27999447.96917206</v>
      </c>
      <c r="G673">
        <f t="shared" si="10"/>
        <v>12.4</v>
      </c>
    </row>
    <row r="674" spans="2:7" x14ac:dyDescent="0.35">
      <c r="B674" s="1">
        <v>45686</v>
      </c>
      <c r="C674" s="2">
        <v>0</v>
      </c>
      <c r="D674">
        <v>2.8</v>
      </c>
      <c r="E674">
        <f>IF($D674 &gt; 16, 0, $J$3*(16 - $D674))</f>
        <v>2742.2820836492001</v>
      </c>
      <c r="F674">
        <f>IF($D674 &gt; 16, 0,$E674*$J$5)</f>
        <v>29805863.967183154</v>
      </c>
      <c r="G674">
        <f t="shared" si="10"/>
        <v>13.2</v>
      </c>
    </row>
    <row r="675" spans="2:7" x14ac:dyDescent="0.35">
      <c r="B675" s="1">
        <v>45686</v>
      </c>
      <c r="C675" s="2">
        <v>4.1666666666666657E-2</v>
      </c>
      <c r="D675">
        <v>2</v>
      </c>
      <c r="E675">
        <f>IF($D675 &gt; 16, 0, $J$3*(16 - $D675))</f>
        <v>2908.4809978097578</v>
      </c>
      <c r="F675">
        <f>IF($D675 &gt; 16, 0,$E675*$J$5)</f>
        <v>31612279.965194259</v>
      </c>
      <c r="G675">
        <f t="shared" si="10"/>
        <v>14</v>
      </c>
    </row>
    <row r="676" spans="2:7" x14ac:dyDescent="0.35">
      <c r="B676" s="1">
        <v>45686</v>
      </c>
      <c r="C676" s="2">
        <v>8.3333333333333329E-2</v>
      </c>
      <c r="D676">
        <v>4</v>
      </c>
      <c r="E676">
        <f>IF($D676 &gt; 16, 0, $J$3*(16 - $D676))</f>
        <v>2492.9837124083638</v>
      </c>
      <c r="F676">
        <f>IF($D676 &gt; 16, 0,$E676*$J$5)</f>
        <v>27096239.970166504</v>
      </c>
      <c r="G676">
        <f t="shared" si="10"/>
        <v>12</v>
      </c>
    </row>
    <row r="677" spans="2:7" x14ac:dyDescent="0.35">
      <c r="B677" s="1">
        <v>45686</v>
      </c>
      <c r="C677" s="2">
        <v>0.125</v>
      </c>
      <c r="D677">
        <v>4.5</v>
      </c>
      <c r="E677">
        <f>IF($D677 &gt; 16, 0, $J$3*(16 - $D677))</f>
        <v>2389.1093910580153</v>
      </c>
      <c r="F677">
        <f>IF($D677 &gt; 16, 0,$E677*$J$5)</f>
        <v>25967229.971409567</v>
      </c>
      <c r="G677">
        <f t="shared" si="10"/>
        <v>11.5</v>
      </c>
    </row>
    <row r="678" spans="2:7" x14ac:dyDescent="0.35">
      <c r="B678" s="1">
        <v>45686</v>
      </c>
      <c r="C678" s="2">
        <v>0.16666666666666671</v>
      </c>
      <c r="D678">
        <v>5.4</v>
      </c>
      <c r="E678">
        <f>IF($D678 &gt; 16, 0, $J$3*(16 - $D678))</f>
        <v>2202.1356126273881</v>
      </c>
      <c r="F678">
        <f>IF($D678 &gt; 16, 0,$E678*$J$5)</f>
        <v>23935011.97364708</v>
      </c>
      <c r="G678">
        <f t="shared" si="10"/>
        <v>10.6</v>
      </c>
    </row>
    <row r="679" spans="2:7" x14ac:dyDescent="0.35">
      <c r="B679" s="1">
        <v>45686</v>
      </c>
      <c r="C679" s="2">
        <v>0.20833333333333329</v>
      </c>
      <c r="D679">
        <v>4.5</v>
      </c>
      <c r="E679">
        <f>IF($D679 &gt; 16, 0, $J$3*(16 - $D679))</f>
        <v>2389.1093910580153</v>
      </c>
      <c r="F679">
        <f>IF($D679 &gt; 16, 0,$E679*$J$5)</f>
        <v>25967229.971409567</v>
      </c>
      <c r="G679">
        <f t="shared" si="10"/>
        <v>11.5</v>
      </c>
    </row>
    <row r="680" spans="2:7" x14ac:dyDescent="0.35">
      <c r="B680" s="1">
        <v>45686</v>
      </c>
      <c r="C680" s="2">
        <v>0.25</v>
      </c>
      <c r="D680">
        <v>5.2</v>
      </c>
      <c r="E680">
        <f>IF($D680 &gt; 16, 0, $J$3*(16 - $D680))</f>
        <v>2243.6853411675274</v>
      </c>
      <c r="F680">
        <f>IF($D680 &gt; 16, 0,$E680*$J$5)</f>
        <v>24386615.973149855</v>
      </c>
      <c r="G680">
        <f t="shared" si="10"/>
        <v>10.8</v>
      </c>
    </row>
    <row r="681" spans="2:7" x14ac:dyDescent="0.35">
      <c r="B681" s="1">
        <v>45686</v>
      </c>
      <c r="C681" s="2">
        <v>0.29166666666666669</v>
      </c>
      <c r="D681">
        <v>5.4</v>
      </c>
      <c r="E681">
        <f>IF($D681 &gt; 16, 0, $J$3*(16 - $D681))</f>
        <v>2202.1356126273881</v>
      </c>
      <c r="F681">
        <f>IF($D681 &gt; 16, 0,$E681*$J$5)</f>
        <v>23935011.97364708</v>
      </c>
      <c r="G681">
        <f t="shared" si="10"/>
        <v>10.6</v>
      </c>
    </row>
    <row r="682" spans="2:7" x14ac:dyDescent="0.35">
      <c r="B682" s="1">
        <v>45686</v>
      </c>
      <c r="C682" s="2">
        <v>0.33333333333333331</v>
      </c>
      <c r="D682">
        <v>5.4</v>
      </c>
      <c r="E682">
        <f>IF($D682 &gt; 16, 0, $J$3*(16 - $D682))</f>
        <v>2202.1356126273881</v>
      </c>
      <c r="F682">
        <f>IF($D682 &gt; 16, 0,$E682*$J$5)</f>
        <v>23935011.97364708</v>
      </c>
      <c r="G682">
        <f t="shared" si="10"/>
        <v>10.6</v>
      </c>
    </row>
    <row r="683" spans="2:7" x14ac:dyDescent="0.35">
      <c r="B683" s="1">
        <v>45686</v>
      </c>
      <c r="C683" s="2">
        <v>0.375</v>
      </c>
      <c r="D683">
        <v>6.1</v>
      </c>
      <c r="E683">
        <f>IF($D683 &gt; 16, 0, $J$3*(16 - $D683))</f>
        <v>2056.7115627369003</v>
      </c>
      <c r="F683">
        <f>IF($D683 &gt; 16, 0,$E683*$J$5)</f>
        <v>22354397.975387368</v>
      </c>
      <c r="G683">
        <f t="shared" si="10"/>
        <v>9.9</v>
      </c>
    </row>
    <row r="684" spans="2:7" x14ac:dyDescent="0.35">
      <c r="B684" s="1">
        <v>45686</v>
      </c>
      <c r="C684" s="2">
        <v>0.41666666666666669</v>
      </c>
      <c r="D684">
        <v>6.9</v>
      </c>
      <c r="E684">
        <f>IF($D684 &gt; 16, 0, $J$3*(16 - $D684))</f>
        <v>1890.5126485763426</v>
      </c>
      <c r="F684">
        <f>IF($D684 &gt; 16, 0,$E684*$J$5)</f>
        <v>20547981.977376267</v>
      </c>
      <c r="G684">
        <f t="shared" si="10"/>
        <v>9.1</v>
      </c>
    </row>
    <row r="685" spans="2:7" x14ac:dyDescent="0.35">
      <c r="B685" s="1">
        <v>45686</v>
      </c>
      <c r="C685" s="2">
        <v>0.45833333333333331</v>
      </c>
      <c r="D685">
        <v>7.3</v>
      </c>
      <c r="E685">
        <f>IF($D685 &gt; 16, 0, $J$3*(16 - $D685))</f>
        <v>1807.4131914960637</v>
      </c>
      <c r="F685">
        <f>IF($D685 &gt; 16, 0,$E685*$J$5)</f>
        <v>19644773.978370719</v>
      </c>
      <c r="G685">
        <f t="shared" si="10"/>
        <v>8.6999999999999993</v>
      </c>
    </row>
    <row r="686" spans="2:7" x14ac:dyDescent="0.35">
      <c r="B686" s="1">
        <v>45686</v>
      </c>
      <c r="C686" s="2">
        <v>0.5</v>
      </c>
      <c r="D686">
        <v>7</v>
      </c>
      <c r="E686">
        <f>IF($D686 &gt; 16, 0, $J$3*(16 - $D686))</f>
        <v>1869.7377843062729</v>
      </c>
      <c r="F686">
        <f>IF($D686 &gt; 16, 0,$E686*$J$5)</f>
        <v>20322179.977624882</v>
      </c>
      <c r="G686">
        <f t="shared" si="10"/>
        <v>9</v>
      </c>
    </row>
    <row r="687" spans="2:7" x14ac:dyDescent="0.35">
      <c r="B687" s="1">
        <v>45686</v>
      </c>
      <c r="C687" s="2">
        <v>0.54166666666666663</v>
      </c>
      <c r="D687">
        <v>6.5</v>
      </c>
      <c r="E687">
        <f>IF($D687 &gt; 16, 0, $J$3*(16 - $D687))</f>
        <v>1973.6121056566215</v>
      </c>
      <c r="F687">
        <f>IF($D687 &gt; 16, 0,$E687*$J$5)</f>
        <v>21451189.97638182</v>
      </c>
      <c r="G687">
        <f t="shared" si="10"/>
        <v>9.5</v>
      </c>
    </row>
    <row r="688" spans="2:7" x14ac:dyDescent="0.35">
      <c r="B688" s="1">
        <v>45686</v>
      </c>
      <c r="C688" s="2">
        <v>0.58333333333333337</v>
      </c>
      <c r="D688">
        <v>6.8</v>
      </c>
      <c r="E688">
        <f>IF($D688 &gt; 16, 0, $J$3*(16 - $D688))</f>
        <v>1911.2875128464123</v>
      </c>
      <c r="F688">
        <f>IF($D688 &gt; 16, 0,$E688*$J$5)</f>
        <v>20773783.977127656</v>
      </c>
      <c r="G688">
        <f t="shared" si="10"/>
        <v>9.1999999999999993</v>
      </c>
    </row>
    <row r="689" spans="2:7" x14ac:dyDescent="0.35">
      <c r="B689" s="1">
        <v>45686</v>
      </c>
      <c r="C689" s="2">
        <v>0.625</v>
      </c>
      <c r="D689">
        <v>7</v>
      </c>
      <c r="E689">
        <f>IF($D689 &gt; 16, 0, $J$3*(16 - $D689))</f>
        <v>1869.7377843062729</v>
      </c>
      <c r="F689">
        <f>IF($D689 &gt; 16, 0,$E689*$J$5)</f>
        <v>20322179.977624882</v>
      </c>
      <c r="G689">
        <f t="shared" si="10"/>
        <v>9</v>
      </c>
    </row>
    <row r="690" spans="2:7" x14ac:dyDescent="0.35">
      <c r="B690" s="1">
        <v>45686</v>
      </c>
      <c r="C690" s="2">
        <v>0.66666666666666663</v>
      </c>
      <c r="D690">
        <v>7</v>
      </c>
      <c r="E690">
        <f>IF($D690 &gt; 16, 0, $J$3*(16 - $D690))</f>
        <v>1869.7377843062729</v>
      </c>
      <c r="F690">
        <f>IF($D690 &gt; 16, 0,$E690*$J$5)</f>
        <v>20322179.977624882</v>
      </c>
      <c r="G690">
        <f t="shared" si="10"/>
        <v>9</v>
      </c>
    </row>
    <row r="691" spans="2:7" x14ac:dyDescent="0.35">
      <c r="B691" s="1">
        <v>45686</v>
      </c>
      <c r="C691" s="2">
        <v>0.70833333333333337</v>
      </c>
      <c r="D691">
        <v>6.9</v>
      </c>
      <c r="E691">
        <f>IF($D691 &gt; 16, 0, $J$3*(16 - $D691))</f>
        <v>1890.5126485763426</v>
      </c>
      <c r="F691">
        <f>IF($D691 &gt; 16, 0,$E691*$J$5)</f>
        <v>20547981.977376267</v>
      </c>
      <c r="G691">
        <f t="shared" si="10"/>
        <v>9.1</v>
      </c>
    </row>
    <row r="692" spans="2:7" x14ac:dyDescent="0.35">
      <c r="B692" s="1">
        <v>45686</v>
      </c>
      <c r="C692" s="2">
        <v>0.75</v>
      </c>
      <c r="D692">
        <v>6.1</v>
      </c>
      <c r="E692">
        <f>IF($D692 &gt; 16, 0, $J$3*(16 - $D692))</f>
        <v>2056.7115627369003</v>
      </c>
      <c r="F692">
        <f>IF($D692 &gt; 16, 0,$E692*$J$5)</f>
        <v>22354397.975387368</v>
      </c>
      <c r="G692">
        <f t="shared" si="10"/>
        <v>9.9</v>
      </c>
    </row>
    <row r="693" spans="2:7" x14ac:dyDescent="0.35">
      <c r="B693" s="1">
        <v>45686</v>
      </c>
      <c r="C693" s="2">
        <v>0.79166666666666663</v>
      </c>
      <c r="D693">
        <v>5.7</v>
      </c>
      <c r="E693">
        <f>IF($D693 &gt; 16, 0, $J$3*(16 - $D693))</f>
        <v>2139.8110198171789</v>
      </c>
      <c r="F693">
        <f>IF($D693 &gt; 16, 0,$E693*$J$5)</f>
        <v>23257605.974392917</v>
      </c>
      <c r="G693">
        <f t="shared" si="10"/>
        <v>10.3</v>
      </c>
    </row>
    <row r="694" spans="2:7" x14ac:dyDescent="0.35">
      <c r="B694" s="1">
        <v>45686</v>
      </c>
      <c r="C694" s="2">
        <v>0.83333333333333337</v>
      </c>
      <c r="D694">
        <v>5.7</v>
      </c>
      <c r="E694">
        <f>IF($D694 &gt; 16, 0, $J$3*(16 - $D694))</f>
        <v>2139.8110198171789</v>
      </c>
      <c r="F694">
        <f>IF($D694 &gt; 16, 0,$E694*$J$5)</f>
        <v>23257605.974392917</v>
      </c>
      <c r="G694">
        <f t="shared" si="10"/>
        <v>10.3</v>
      </c>
    </row>
    <row r="695" spans="2:7" x14ac:dyDescent="0.35">
      <c r="B695" s="1">
        <v>45686</v>
      </c>
      <c r="C695" s="2">
        <v>0.875</v>
      </c>
      <c r="D695">
        <v>5.4</v>
      </c>
      <c r="E695">
        <f>IF($D695 &gt; 16, 0, $J$3*(16 - $D695))</f>
        <v>2202.1356126273881</v>
      </c>
      <c r="F695">
        <f>IF($D695 &gt; 16, 0,$E695*$J$5)</f>
        <v>23935011.97364708</v>
      </c>
      <c r="G695">
        <f t="shared" si="10"/>
        <v>10.6</v>
      </c>
    </row>
    <row r="696" spans="2:7" x14ac:dyDescent="0.35">
      <c r="B696" s="1">
        <v>45686</v>
      </c>
      <c r="C696" s="2">
        <v>0.91666666666666663</v>
      </c>
      <c r="D696">
        <v>5.6</v>
      </c>
      <c r="E696">
        <f>IF($D696 &gt; 16, 0, $J$3*(16 - $D696))</f>
        <v>2160.5858840872488</v>
      </c>
      <c r="F696">
        <f>IF($D696 &gt; 16, 0,$E696*$J$5)</f>
        <v>23483407.974144306</v>
      </c>
      <c r="G696">
        <f t="shared" si="10"/>
        <v>10.4</v>
      </c>
    </row>
    <row r="697" spans="2:7" x14ac:dyDescent="0.35">
      <c r="B697" s="1">
        <v>45686</v>
      </c>
      <c r="C697" s="2">
        <v>0.95833333333333337</v>
      </c>
      <c r="D697">
        <v>3.3</v>
      </c>
      <c r="E697">
        <f>IF($D697 &gt; 16, 0, $J$3*(16 - $D697))</f>
        <v>2638.4077622988516</v>
      </c>
      <c r="F697">
        <f>IF($D697 &gt; 16, 0,$E697*$J$5)</f>
        <v>28676853.968426216</v>
      </c>
      <c r="G697">
        <f t="shared" si="10"/>
        <v>12.7</v>
      </c>
    </row>
    <row r="698" spans="2:7" x14ac:dyDescent="0.35">
      <c r="B698" s="1">
        <v>45687</v>
      </c>
      <c r="C698" s="2">
        <v>0</v>
      </c>
      <c r="D698">
        <v>3.8</v>
      </c>
      <c r="E698">
        <f>IF($D698 &gt; 16, 0, $J$3*(16 - $D698))</f>
        <v>2534.5334409485031</v>
      </c>
      <c r="F698">
        <f>IF($D698 &gt; 16, 0,$E698*$J$5)</f>
        <v>27547843.969669279</v>
      </c>
      <c r="G698">
        <f t="shared" si="10"/>
        <v>12.2</v>
      </c>
    </row>
    <row r="699" spans="2:7" x14ac:dyDescent="0.35">
      <c r="B699" s="1">
        <v>45687</v>
      </c>
      <c r="C699" s="2">
        <v>4.1666666666666657E-2</v>
      </c>
      <c r="D699">
        <v>4.2</v>
      </c>
      <c r="E699">
        <f>IF($D699 &gt; 16, 0, $J$3*(16 - $D699))</f>
        <v>2451.4339838682245</v>
      </c>
      <c r="F699">
        <f>IF($D699 &gt; 16, 0,$E699*$J$5)</f>
        <v>26644635.97066373</v>
      </c>
      <c r="G699">
        <f t="shared" si="10"/>
        <v>11.8</v>
      </c>
    </row>
    <row r="700" spans="2:7" x14ac:dyDescent="0.35">
      <c r="B700" s="1">
        <v>45687</v>
      </c>
      <c r="C700" s="2">
        <v>8.3333333333333329E-2</v>
      </c>
      <c r="D700">
        <v>4.2</v>
      </c>
      <c r="E700">
        <f>IF($D700 &gt; 16, 0, $J$3*(16 - $D700))</f>
        <v>2451.4339838682245</v>
      </c>
      <c r="F700">
        <f>IF($D700 &gt; 16, 0,$E700*$J$5)</f>
        <v>26644635.97066373</v>
      </c>
      <c r="G700">
        <f t="shared" si="10"/>
        <v>11.8</v>
      </c>
    </row>
    <row r="701" spans="2:7" x14ac:dyDescent="0.35">
      <c r="B701" s="1">
        <v>45687</v>
      </c>
      <c r="C701" s="2">
        <v>0.125</v>
      </c>
      <c r="D701">
        <v>3.6</v>
      </c>
      <c r="E701">
        <f>IF($D701 &gt; 16, 0, $J$3*(16 - $D701))</f>
        <v>2576.0831694886429</v>
      </c>
      <c r="F701">
        <f>IF($D701 &gt; 16, 0,$E701*$J$5)</f>
        <v>27999447.96917206</v>
      </c>
      <c r="G701">
        <f t="shared" si="10"/>
        <v>12.4</v>
      </c>
    </row>
    <row r="702" spans="2:7" x14ac:dyDescent="0.35">
      <c r="B702" s="1">
        <v>45687</v>
      </c>
      <c r="C702" s="2">
        <v>0.16666666666666671</v>
      </c>
      <c r="D702">
        <v>3.3</v>
      </c>
      <c r="E702">
        <f>IF($D702 &gt; 16, 0, $J$3*(16 - $D702))</f>
        <v>2638.4077622988516</v>
      </c>
      <c r="F702">
        <f>IF($D702 &gt; 16, 0,$E702*$J$5)</f>
        <v>28676853.968426216</v>
      </c>
      <c r="G702">
        <f t="shared" si="10"/>
        <v>12.7</v>
      </c>
    </row>
    <row r="703" spans="2:7" x14ac:dyDescent="0.35">
      <c r="B703" s="1">
        <v>45687</v>
      </c>
      <c r="C703" s="2">
        <v>0.20833333333333329</v>
      </c>
      <c r="D703">
        <v>3.8</v>
      </c>
      <c r="E703">
        <f>IF($D703 &gt; 16, 0, $J$3*(16 - $D703))</f>
        <v>2534.5334409485031</v>
      </c>
      <c r="F703">
        <f>IF($D703 &gt; 16, 0,$E703*$J$5)</f>
        <v>27547843.969669279</v>
      </c>
      <c r="G703">
        <f t="shared" si="10"/>
        <v>12.2</v>
      </c>
    </row>
    <row r="704" spans="2:7" x14ac:dyDescent="0.35">
      <c r="B704" s="1">
        <v>45687</v>
      </c>
      <c r="C704" s="2">
        <v>0.25</v>
      </c>
      <c r="D704">
        <v>4</v>
      </c>
      <c r="E704">
        <f>IF($D704 &gt; 16, 0, $J$3*(16 - $D704))</f>
        <v>2492.9837124083638</v>
      </c>
      <c r="F704">
        <f>IF($D704 &gt; 16, 0,$E704*$J$5)</f>
        <v>27096239.970166504</v>
      </c>
      <c r="G704">
        <f t="shared" si="10"/>
        <v>12</v>
      </c>
    </row>
    <row r="705" spans="2:7" x14ac:dyDescent="0.35">
      <c r="B705" s="1">
        <v>45687</v>
      </c>
      <c r="C705" s="2">
        <v>0.29166666666666669</v>
      </c>
      <c r="D705">
        <v>5</v>
      </c>
      <c r="E705">
        <f>IF($D705 &gt; 16, 0, $J$3*(16 - $D705))</f>
        <v>2285.2350697076668</v>
      </c>
      <c r="F705">
        <f>IF($D705 &gt; 16, 0,$E705*$J$5)</f>
        <v>24838219.972652629</v>
      </c>
      <c r="G705">
        <f t="shared" si="10"/>
        <v>11</v>
      </c>
    </row>
    <row r="706" spans="2:7" x14ac:dyDescent="0.35">
      <c r="B706" s="1">
        <v>45687</v>
      </c>
      <c r="C706" s="2">
        <v>0.33333333333333331</v>
      </c>
      <c r="D706">
        <v>5.3</v>
      </c>
      <c r="E706">
        <f>IF($D706 &gt; 16, 0, $J$3*(16 - $D706))</f>
        <v>2222.9104768974576</v>
      </c>
      <c r="F706">
        <f>IF($D706 &gt; 16, 0,$E706*$J$5)</f>
        <v>24160813.973398466</v>
      </c>
      <c r="G706">
        <f t="shared" si="10"/>
        <v>10.7</v>
      </c>
    </row>
    <row r="707" spans="2:7" x14ac:dyDescent="0.35">
      <c r="B707" s="1">
        <v>45687</v>
      </c>
      <c r="C707" s="2">
        <v>0.375</v>
      </c>
      <c r="D707">
        <v>5.6</v>
      </c>
      <c r="E707">
        <f>IF($D707 &gt; 16, 0, $J$3*(16 - $D707))</f>
        <v>2160.5858840872488</v>
      </c>
      <c r="F707">
        <f>IF($D707 &gt; 16, 0,$E707*$J$5)</f>
        <v>23483407.974144306</v>
      </c>
      <c r="G707">
        <f t="shared" ref="G707:G770" si="11">MAX(0, 16 - $D707)</f>
        <v>10.4</v>
      </c>
    </row>
    <row r="708" spans="2:7" x14ac:dyDescent="0.35">
      <c r="B708" s="1">
        <v>45687</v>
      </c>
      <c r="C708" s="2">
        <v>0.41666666666666669</v>
      </c>
      <c r="D708">
        <v>6.3</v>
      </c>
      <c r="E708">
        <f>IF($D708 &gt; 16, 0, $J$3*(16 - $D708))</f>
        <v>2015.1618341967608</v>
      </c>
      <c r="F708">
        <f>IF($D708 &gt; 16, 0,$E708*$J$5)</f>
        <v>21902793.975884594</v>
      </c>
      <c r="G708">
        <f t="shared" si="11"/>
        <v>9.6999999999999993</v>
      </c>
    </row>
    <row r="709" spans="2:7" x14ac:dyDescent="0.35">
      <c r="B709" s="1">
        <v>45687</v>
      </c>
      <c r="C709" s="2">
        <v>0.45833333333333331</v>
      </c>
      <c r="D709">
        <v>6.1</v>
      </c>
      <c r="E709">
        <f>IF($D709 &gt; 16, 0, $J$3*(16 - $D709))</f>
        <v>2056.7115627369003</v>
      </c>
      <c r="F709">
        <f>IF($D709 &gt; 16, 0,$E709*$J$5)</f>
        <v>22354397.975387368</v>
      </c>
      <c r="G709">
        <f t="shared" si="11"/>
        <v>9.9</v>
      </c>
    </row>
    <row r="710" spans="2:7" x14ac:dyDescent="0.35">
      <c r="B710" s="1">
        <v>45687</v>
      </c>
      <c r="C710" s="2">
        <v>0.5</v>
      </c>
      <c r="D710">
        <v>6.6</v>
      </c>
      <c r="E710">
        <f>IF($D710 &gt; 16, 0, $J$3*(16 - $D710))</f>
        <v>1952.8372413865518</v>
      </c>
      <c r="F710">
        <f>IF($D710 &gt; 16, 0,$E710*$J$5)</f>
        <v>21225387.976630431</v>
      </c>
      <c r="G710">
        <f t="shared" si="11"/>
        <v>9.4</v>
      </c>
    </row>
    <row r="711" spans="2:7" x14ac:dyDescent="0.35">
      <c r="B711" s="1">
        <v>45687</v>
      </c>
      <c r="C711" s="2">
        <v>0.54166666666666663</v>
      </c>
      <c r="D711">
        <v>6.6</v>
      </c>
      <c r="E711">
        <f>IF($D711 &gt; 16, 0, $J$3*(16 - $D711))</f>
        <v>1952.8372413865518</v>
      </c>
      <c r="F711">
        <f>IF($D711 &gt; 16, 0,$E711*$J$5)</f>
        <v>21225387.976630431</v>
      </c>
      <c r="G711">
        <f t="shared" si="11"/>
        <v>9.4</v>
      </c>
    </row>
    <row r="712" spans="2:7" x14ac:dyDescent="0.35">
      <c r="B712" s="1">
        <v>45687</v>
      </c>
      <c r="C712" s="2">
        <v>0.58333333333333337</v>
      </c>
      <c r="D712">
        <v>6.8</v>
      </c>
      <c r="E712">
        <f>IF($D712 &gt; 16, 0, $J$3*(16 - $D712))</f>
        <v>1911.2875128464123</v>
      </c>
      <c r="F712">
        <f>IF($D712 &gt; 16, 0,$E712*$J$5)</f>
        <v>20773783.977127656</v>
      </c>
      <c r="G712">
        <f t="shared" si="11"/>
        <v>9.1999999999999993</v>
      </c>
    </row>
    <row r="713" spans="2:7" x14ac:dyDescent="0.35">
      <c r="B713" s="1">
        <v>45687</v>
      </c>
      <c r="C713" s="2">
        <v>0.625</v>
      </c>
      <c r="D713">
        <v>6.7</v>
      </c>
      <c r="E713">
        <f>IF($D713 &gt; 16, 0, $J$3*(16 - $D713))</f>
        <v>1932.0623771164821</v>
      </c>
      <c r="F713">
        <f>IF($D713 &gt; 16, 0,$E713*$J$5)</f>
        <v>20999585.976879045</v>
      </c>
      <c r="G713">
        <f t="shared" si="11"/>
        <v>9.3000000000000007</v>
      </c>
    </row>
    <row r="714" spans="2:7" x14ac:dyDescent="0.35">
      <c r="B714" s="1">
        <v>45687</v>
      </c>
      <c r="C714" s="2">
        <v>0.66666666666666663</v>
      </c>
      <c r="D714">
        <v>6.4</v>
      </c>
      <c r="E714">
        <f>IF($D714 &gt; 16, 0, $J$3*(16 - $D714))</f>
        <v>1994.3869699266911</v>
      </c>
      <c r="F714">
        <f>IF($D714 &gt; 16, 0,$E714*$J$5)</f>
        <v>21676991.976133205</v>
      </c>
      <c r="G714">
        <f t="shared" si="11"/>
        <v>9.6</v>
      </c>
    </row>
    <row r="715" spans="2:7" x14ac:dyDescent="0.35">
      <c r="B715" s="1">
        <v>45687</v>
      </c>
      <c r="C715" s="2">
        <v>0.70833333333333337</v>
      </c>
      <c r="D715">
        <v>6.1</v>
      </c>
      <c r="E715">
        <f>IF($D715 &gt; 16, 0, $J$3*(16 - $D715))</f>
        <v>2056.7115627369003</v>
      </c>
      <c r="F715">
        <f>IF($D715 &gt; 16, 0,$E715*$J$5)</f>
        <v>22354397.975387368</v>
      </c>
      <c r="G715">
        <f t="shared" si="11"/>
        <v>9.9</v>
      </c>
    </row>
    <row r="716" spans="2:7" x14ac:dyDescent="0.35">
      <c r="B716" s="1">
        <v>45687</v>
      </c>
      <c r="C716" s="2">
        <v>0.75</v>
      </c>
      <c r="D716">
        <v>5.7</v>
      </c>
      <c r="E716">
        <f>IF($D716 &gt; 16, 0, $J$3*(16 - $D716))</f>
        <v>2139.8110198171789</v>
      </c>
      <c r="F716">
        <f>IF($D716 &gt; 16, 0,$E716*$J$5)</f>
        <v>23257605.974392917</v>
      </c>
      <c r="G716">
        <f t="shared" si="11"/>
        <v>10.3</v>
      </c>
    </row>
    <row r="717" spans="2:7" x14ac:dyDescent="0.35">
      <c r="B717" s="1">
        <v>45687</v>
      </c>
      <c r="C717" s="2">
        <v>0.79166666666666663</v>
      </c>
      <c r="D717">
        <v>5.4</v>
      </c>
      <c r="E717">
        <f>IF($D717 &gt; 16, 0, $J$3*(16 - $D717))</f>
        <v>2202.1356126273881</v>
      </c>
      <c r="F717">
        <f>IF($D717 &gt; 16, 0,$E717*$J$5)</f>
        <v>23935011.97364708</v>
      </c>
      <c r="G717">
        <f t="shared" si="11"/>
        <v>10.6</v>
      </c>
    </row>
    <row r="718" spans="2:7" x14ac:dyDescent="0.35">
      <c r="B718" s="1">
        <v>45687</v>
      </c>
      <c r="C718" s="2">
        <v>0.83333333333333337</v>
      </c>
      <c r="D718">
        <v>5</v>
      </c>
      <c r="E718">
        <f>IF($D718 &gt; 16, 0, $J$3*(16 - $D718))</f>
        <v>2285.2350697076668</v>
      </c>
      <c r="F718">
        <f>IF($D718 &gt; 16, 0,$E718*$J$5)</f>
        <v>24838219.972652629</v>
      </c>
      <c r="G718">
        <f t="shared" si="11"/>
        <v>11</v>
      </c>
    </row>
    <row r="719" spans="2:7" x14ac:dyDescent="0.35">
      <c r="B719" s="1">
        <v>45687</v>
      </c>
      <c r="C719" s="2">
        <v>0.875</v>
      </c>
      <c r="D719">
        <v>4.7</v>
      </c>
      <c r="E719">
        <f>IF($D719 &gt; 16, 0, $J$3*(16 - $D719))</f>
        <v>2347.5596625178759</v>
      </c>
      <c r="F719">
        <f>IF($D719 &gt; 16, 0,$E719*$J$5)</f>
        <v>25515625.971906792</v>
      </c>
      <c r="G719">
        <f t="shared" si="11"/>
        <v>11.3</v>
      </c>
    </row>
    <row r="720" spans="2:7" x14ac:dyDescent="0.35">
      <c r="B720" s="1">
        <v>45687</v>
      </c>
      <c r="C720" s="2">
        <v>0.91666666666666663</v>
      </c>
      <c r="D720">
        <v>4.3</v>
      </c>
      <c r="E720">
        <f>IF($D720 &gt; 16, 0, $J$3*(16 - $D720))</f>
        <v>2430.6591195981546</v>
      </c>
      <c r="F720">
        <f>IF($D720 &gt; 16, 0,$E720*$J$5)</f>
        <v>26418833.970912341</v>
      </c>
      <c r="G720">
        <f t="shared" si="11"/>
        <v>11.7</v>
      </c>
    </row>
    <row r="721" spans="2:7" x14ac:dyDescent="0.35">
      <c r="B721" s="1">
        <v>45687</v>
      </c>
      <c r="C721" s="2">
        <v>0.95833333333333337</v>
      </c>
      <c r="D721">
        <v>3.3</v>
      </c>
      <c r="E721">
        <f>IF($D721 &gt; 16, 0, $J$3*(16 - $D721))</f>
        <v>2638.4077622988516</v>
      </c>
      <c r="F721">
        <f>IF($D721 &gt; 16, 0,$E721*$J$5)</f>
        <v>28676853.968426216</v>
      </c>
      <c r="G721">
        <f t="shared" si="11"/>
        <v>12.7</v>
      </c>
    </row>
    <row r="722" spans="2:7" x14ac:dyDescent="0.35">
      <c r="B722" s="1">
        <v>45688</v>
      </c>
      <c r="C722" s="2">
        <v>0</v>
      </c>
      <c r="D722">
        <v>2.9</v>
      </c>
      <c r="E722">
        <f>IF($D722 &gt; 16, 0, $J$3*(16 - $D722))</f>
        <v>2721.5072193791307</v>
      </c>
      <c r="F722">
        <f>IF($D722 &gt; 16, 0,$E722*$J$5)</f>
        <v>29580061.967431773</v>
      </c>
      <c r="G722">
        <f t="shared" si="11"/>
        <v>13.1</v>
      </c>
    </row>
    <row r="723" spans="2:7" x14ac:dyDescent="0.35">
      <c r="B723" s="1">
        <v>45688</v>
      </c>
      <c r="C723" s="2">
        <v>4.1666666666666657E-2</v>
      </c>
      <c r="D723">
        <v>2.1</v>
      </c>
      <c r="E723">
        <f>IF($D723 &gt; 16, 0, $J$3*(16 - $D723))</f>
        <v>2887.7061335396884</v>
      </c>
      <c r="F723">
        <f>IF($D723 &gt; 16, 0,$E723*$J$5)</f>
        <v>31386477.965442874</v>
      </c>
      <c r="G723">
        <f t="shared" si="11"/>
        <v>13.9</v>
      </c>
    </row>
    <row r="724" spans="2:7" x14ac:dyDescent="0.35">
      <c r="B724" s="1">
        <v>45688</v>
      </c>
      <c r="C724" s="2">
        <v>8.3333333333333329E-2</v>
      </c>
      <c r="D724">
        <v>1.8</v>
      </c>
      <c r="E724">
        <f>IF($D724 &gt; 16, 0, $J$3*(16 - $D724))</f>
        <v>2950.0307263498971</v>
      </c>
      <c r="F724">
        <f>IF($D724 &gt; 16, 0,$E724*$J$5)</f>
        <v>32063883.964697033</v>
      </c>
      <c r="G724">
        <f t="shared" si="11"/>
        <v>14.2</v>
      </c>
    </row>
    <row r="725" spans="2:7" x14ac:dyDescent="0.35">
      <c r="B725" s="1">
        <v>45688</v>
      </c>
      <c r="C725" s="2">
        <v>0.125</v>
      </c>
      <c r="D725">
        <v>1.6</v>
      </c>
      <c r="E725">
        <f>IF($D725 &gt; 16, 0, $J$3*(16 - $D725))</f>
        <v>2991.5804548900369</v>
      </c>
      <c r="F725">
        <f>IF($D725 &gt; 16, 0,$E725*$J$5)</f>
        <v>32515487.964199811</v>
      </c>
      <c r="G725">
        <f t="shared" si="11"/>
        <v>14.4</v>
      </c>
    </row>
    <row r="726" spans="2:7" x14ac:dyDescent="0.35">
      <c r="B726" s="1">
        <v>45688</v>
      </c>
      <c r="C726" s="2">
        <v>0.16666666666666671</v>
      </c>
      <c r="D726">
        <v>1.8</v>
      </c>
      <c r="E726">
        <f>IF($D726 &gt; 16, 0, $J$3*(16 - $D726))</f>
        <v>2950.0307263498971</v>
      </c>
      <c r="F726">
        <f>IF($D726 &gt; 16, 0,$E726*$J$5)</f>
        <v>32063883.964697033</v>
      </c>
      <c r="G726">
        <f t="shared" si="11"/>
        <v>14.2</v>
      </c>
    </row>
    <row r="727" spans="2:7" x14ac:dyDescent="0.35">
      <c r="B727" s="1">
        <v>45688</v>
      </c>
      <c r="C727" s="2">
        <v>0.20833333333333329</v>
      </c>
      <c r="D727">
        <v>2.2999999999999998</v>
      </c>
      <c r="E727">
        <f>IF($D727 &gt; 16, 0, $J$3*(16 - $D727))</f>
        <v>2846.1564049995486</v>
      </c>
      <c r="F727">
        <f>IF($D727 &gt; 16, 0,$E727*$J$5)</f>
        <v>30934873.965940095</v>
      </c>
      <c r="G727">
        <f t="shared" si="11"/>
        <v>13.7</v>
      </c>
    </row>
    <row r="728" spans="2:7" x14ac:dyDescent="0.35">
      <c r="B728" s="1">
        <v>45688</v>
      </c>
      <c r="C728" s="2">
        <v>0.25</v>
      </c>
      <c r="D728">
        <v>2.4</v>
      </c>
      <c r="E728">
        <f>IF($D728 &gt; 16, 0, $J$3*(16 - $D728))</f>
        <v>2825.3815407294792</v>
      </c>
      <c r="F728">
        <f>IF($D728 &gt; 16, 0,$E728*$J$5)</f>
        <v>30709071.96618871</v>
      </c>
      <c r="G728">
        <f t="shared" si="11"/>
        <v>13.6</v>
      </c>
    </row>
    <row r="729" spans="2:7" x14ac:dyDescent="0.35">
      <c r="B729" s="1">
        <v>45688</v>
      </c>
      <c r="C729" s="2">
        <v>0.29166666666666669</v>
      </c>
      <c r="D729">
        <v>2.5</v>
      </c>
      <c r="E729">
        <f>IF($D729 &gt; 16, 0, $J$3*(16 - $D729))</f>
        <v>2804.6066764594093</v>
      </c>
      <c r="F729">
        <f>IF($D729 &gt; 16, 0,$E729*$J$5)</f>
        <v>30483269.966437321</v>
      </c>
      <c r="G729">
        <f t="shared" si="11"/>
        <v>13.5</v>
      </c>
    </row>
    <row r="730" spans="2:7" x14ac:dyDescent="0.35">
      <c r="B730" s="1">
        <v>45688</v>
      </c>
      <c r="C730" s="2">
        <v>0.33333333333333331</v>
      </c>
      <c r="D730">
        <v>2.4</v>
      </c>
      <c r="E730">
        <f>IF($D730 &gt; 16, 0, $J$3*(16 - $D730))</f>
        <v>2825.3815407294792</v>
      </c>
      <c r="F730">
        <f>IF($D730 &gt; 16, 0,$E730*$J$5)</f>
        <v>30709071.96618871</v>
      </c>
      <c r="G730">
        <f t="shared" si="11"/>
        <v>13.6</v>
      </c>
    </row>
    <row r="731" spans="2:7" x14ac:dyDescent="0.35">
      <c r="B731" s="1">
        <v>45688</v>
      </c>
      <c r="C731" s="2">
        <v>0.375</v>
      </c>
      <c r="D731">
        <v>3.3</v>
      </c>
      <c r="E731">
        <f>IF($D731 &gt; 16, 0, $J$3*(16 - $D731))</f>
        <v>2638.4077622988516</v>
      </c>
      <c r="F731">
        <f>IF($D731 &gt; 16, 0,$E731*$J$5)</f>
        <v>28676853.968426216</v>
      </c>
      <c r="G731">
        <f t="shared" si="11"/>
        <v>12.7</v>
      </c>
    </row>
    <row r="732" spans="2:7" x14ac:dyDescent="0.35">
      <c r="B732" s="1">
        <v>45688</v>
      </c>
      <c r="C732" s="2">
        <v>0.41666666666666669</v>
      </c>
      <c r="D732">
        <v>4.4000000000000004</v>
      </c>
      <c r="E732">
        <f>IF($D732 &gt; 16, 0, $J$3*(16 - $D732))</f>
        <v>2409.8842553280851</v>
      </c>
      <c r="F732">
        <f>IF($D732 &gt; 16, 0,$E732*$J$5)</f>
        <v>26193031.971160956</v>
      </c>
      <c r="G732">
        <f t="shared" si="11"/>
        <v>11.6</v>
      </c>
    </row>
    <row r="733" spans="2:7" x14ac:dyDescent="0.35">
      <c r="B733" s="1">
        <v>45688</v>
      </c>
      <c r="C733" s="2">
        <v>0.45833333333333331</v>
      </c>
      <c r="D733">
        <v>5.4</v>
      </c>
      <c r="E733">
        <f>IF($D733 &gt; 16, 0, $J$3*(16 - $D733))</f>
        <v>2202.1356126273881</v>
      </c>
      <c r="F733">
        <f>IF($D733 &gt; 16, 0,$E733*$J$5)</f>
        <v>23935011.97364708</v>
      </c>
      <c r="G733">
        <f t="shared" si="11"/>
        <v>10.6</v>
      </c>
    </row>
    <row r="734" spans="2:7" x14ac:dyDescent="0.35">
      <c r="B734" s="1">
        <v>45688</v>
      </c>
      <c r="C734" s="2">
        <v>0.5</v>
      </c>
      <c r="D734">
        <v>5.9</v>
      </c>
      <c r="E734">
        <f>IF($D734 &gt; 16, 0, $J$3*(16 - $D734))</f>
        <v>2098.2612912770396</v>
      </c>
      <c r="F734">
        <f>IF($D734 &gt; 16, 0,$E734*$J$5)</f>
        <v>22806001.974890143</v>
      </c>
      <c r="G734">
        <f t="shared" si="11"/>
        <v>10.1</v>
      </c>
    </row>
    <row r="735" spans="2:7" x14ac:dyDescent="0.35">
      <c r="B735" s="1">
        <v>45688</v>
      </c>
      <c r="C735" s="2">
        <v>0.54166666666666663</v>
      </c>
      <c r="D735">
        <v>6.6</v>
      </c>
      <c r="E735">
        <f>IF($D735 &gt; 16, 0, $J$3*(16 - $D735))</f>
        <v>1952.8372413865518</v>
      </c>
      <c r="F735">
        <f>IF($D735 &gt; 16, 0,$E735*$J$5)</f>
        <v>21225387.976630431</v>
      </c>
      <c r="G735">
        <f t="shared" si="11"/>
        <v>9.4</v>
      </c>
    </row>
    <row r="736" spans="2:7" x14ac:dyDescent="0.35">
      <c r="B736" s="1">
        <v>45688</v>
      </c>
      <c r="C736" s="2">
        <v>0.58333333333333337</v>
      </c>
      <c r="D736">
        <v>6.1</v>
      </c>
      <c r="E736">
        <f>IF($D736 &gt; 16, 0, $J$3*(16 - $D736))</f>
        <v>2056.7115627369003</v>
      </c>
      <c r="F736">
        <f>IF($D736 &gt; 16, 0,$E736*$J$5)</f>
        <v>22354397.975387368</v>
      </c>
      <c r="G736">
        <f t="shared" si="11"/>
        <v>9.9</v>
      </c>
    </row>
    <row r="737" spans="2:7" x14ac:dyDescent="0.35">
      <c r="B737" s="1">
        <v>45688</v>
      </c>
      <c r="C737" s="2">
        <v>0.625</v>
      </c>
      <c r="D737">
        <v>6</v>
      </c>
      <c r="E737">
        <f>IF($D737 &gt; 16, 0, $J$3*(16 - $D737))</f>
        <v>2077.4864270069697</v>
      </c>
      <c r="F737">
        <f>IF($D737 &gt; 16, 0,$E737*$J$5)</f>
        <v>22580199.975138754</v>
      </c>
      <c r="G737">
        <f t="shared" si="11"/>
        <v>10</v>
      </c>
    </row>
    <row r="738" spans="2:7" x14ac:dyDescent="0.35">
      <c r="B738" s="1">
        <v>45688</v>
      </c>
      <c r="C738" s="2">
        <v>0.66666666666666663</v>
      </c>
      <c r="D738">
        <v>5</v>
      </c>
      <c r="E738">
        <f>IF($D738 &gt; 16, 0, $J$3*(16 - $D738))</f>
        <v>2285.2350697076668</v>
      </c>
      <c r="F738">
        <f>IF($D738 &gt; 16, 0,$E738*$J$5)</f>
        <v>24838219.972652629</v>
      </c>
      <c r="G738">
        <f t="shared" si="11"/>
        <v>11</v>
      </c>
    </row>
    <row r="739" spans="2:7" x14ac:dyDescent="0.35">
      <c r="B739" s="1">
        <v>45688</v>
      </c>
      <c r="C739" s="2">
        <v>0.70833333333333337</v>
      </c>
      <c r="D739">
        <v>4.5999999999999996</v>
      </c>
      <c r="E739">
        <f>IF($D739 &gt; 16, 0, $J$3*(16 - $D739))</f>
        <v>2368.3345267879458</v>
      </c>
      <c r="F739">
        <f>IF($D739 &gt; 16, 0,$E739*$J$5)</f>
        <v>25741427.971658185</v>
      </c>
      <c r="G739">
        <f t="shared" si="11"/>
        <v>11.4</v>
      </c>
    </row>
    <row r="740" spans="2:7" x14ac:dyDescent="0.35">
      <c r="B740" s="1">
        <v>45688</v>
      </c>
      <c r="C740" s="2">
        <v>0.75</v>
      </c>
      <c r="D740">
        <v>4.8</v>
      </c>
      <c r="E740">
        <f>IF($D740 &gt; 16, 0, $J$3*(16 - $D740))</f>
        <v>2326.7847982478061</v>
      </c>
      <c r="F740">
        <f>IF($D740 &gt; 16, 0,$E740*$J$5)</f>
        <v>25289823.972155403</v>
      </c>
      <c r="G740">
        <f t="shared" si="11"/>
        <v>11.2</v>
      </c>
    </row>
    <row r="741" spans="2:7" x14ac:dyDescent="0.35">
      <c r="B741" s="1">
        <v>45688</v>
      </c>
      <c r="C741" s="2">
        <v>0.79166666666666663</v>
      </c>
      <c r="D741">
        <v>4.7</v>
      </c>
      <c r="E741">
        <f>IF($D741 &gt; 16, 0, $J$3*(16 - $D741))</f>
        <v>2347.5596625178759</v>
      </c>
      <c r="F741">
        <f>IF($D741 &gt; 16, 0,$E741*$J$5)</f>
        <v>25515625.971906792</v>
      </c>
      <c r="G741">
        <f t="shared" si="11"/>
        <v>11.3</v>
      </c>
    </row>
    <row r="742" spans="2:7" x14ac:dyDescent="0.35">
      <c r="B742" s="1">
        <v>45688</v>
      </c>
      <c r="C742" s="2">
        <v>0.83333333333333337</v>
      </c>
      <c r="D742">
        <v>4.5</v>
      </c>
      <c r="E742">
        <f>IF($D742 &gt; 16, 0, $J$3*(16 - $D742))</f>
        <v>2389.1093910580153</v>
      </c>
      <c r="F742">
        <f>IF($D742 &gt; 16, 0,$E742*$J$5)</f>
        <v>25967229.971409567</v>
      </c>
      <c r="G742">
        <f t="shared" si="11"/>
        <v>11.5</v>
      </c>
    </row>
    <row r="743" spans="2:7" x14ac:dyDescent="0.35">
      <c r="B743" s="1">
        <v>45688</v>
      </c>
      <c r="C743" s="2">
        <v>0.875</v>
      </c>
      <c r="D743">
        <v>3.9</v>
      </c>
      <c r="E743">
        <f>IF($D743 &gt; 16, 0, $J$3*(16 - $D743))</f>
        <v>2513.7585766784337</v>
      </c>
      <c r="F743">
        <f>IF($D743 &gt; 16, 0,$E743*$J$5)</f>
        <v>27322041.969917897</v>
      </c>
      <c r="G743">
        <f t="shared" si="11"/>
        <v>12.1</v>
      </c>
    </row>
    <row r="744" spans="2:7" x14ac:dyDescent="0.35">
      <c r="B744" s="1">
        <v>45688</v>
      </c>
      <c r="C744" s="2">
        <v>0.91666666666666663</v>
      </c>
      <c r="D744">
        <v>3.5</v>
      </c>
      <c r="E744">
        <f>IF($D744 &gt; 16, 0, $J$3*(16 - $D744))</f>
        <v>2596.8580337587123</v>
      </c>
      <c r="F744">
        <f>IF($D744 &gt; 16, 0,$E744*$J$5)</f>
        <v>28225249.968923442</v>
      </c>
      <c r="G744">
        <f t="shared" si="11"/>
        <v>12.5</v>
      </c>
    </row>
    <row r="745" spans="2:7" x14ac:dyDescent="0.35">
      <c r="B745" s="1">
        <v>45688</v>
      </c>
      <c r="C745" s="2">
        <v>0.95833333333333337</v>
      </c>
      <c r="D745">
        <v>2.9</v>
      </c>
      <c r="E745">
        <f>IF($D745 &gt; 16, 0, $J$3*(16 - $D745))</f>
        <v>2721.5072193791307</v>
      </c>
      <c r="F745">
        <f>IF($D745 &gt; 16, 0,$E745*$J$5)</f>
        <v>29580061.967431773</v>
      </c>
      <c r="G745">
        <f t="shared" si="11"/>
        <v>13.1</v>
      </c>
    </row>
    <row r="746" spans="2:7" x14ac:dyDescent="0.35">
      <c r="B746" s="1">
        <v>45689</v>
      </c>
      <c r="C746" s="2">
        <v>0</v>
      </c>
      <c r="D746">
        <v>1.9</v>
      </c>
      <c r="E746">
        <f>IF($D746 &gt; 16, 0, $J$3*(16 - $D746))</f>
        <v>2929.2558620798277</v>
      </c>
      <c r="F746">
        <f>IF($D746 &gt; 16, 0,$E746*$J$5)</f>
        <v>31838081.964945648</v>
      </c>
      <c r="G746">
        <f t="shared" si="11"/>
        <v>14.1</v>
      </c>
    </row>
    <row r="747" spans="2:7" x14ac:dyDescent="0.35">
      <c r="B747" s="1">
        <v>45689</v>
      </c>
      <c r="C747" s="2">
        <v>4.1666666666666657E-2</v>
      </c>
      <c r="D747">
        <v>2.7</v>
      </c>
      <c r="E747">
        <f>IF($D747 &gt; 16, 0, $J$3*(16 - $D747))</f>
        <v>2763.05694791927</v>
      </c>
      <c r="F747">
        <f>IF($D747 &gt; 16, 0,$E747*$J$5)</f>
        <v>30031665.966934547</v>
      </c>
      <c r="G747">
        <f t="shared" si="11"/>
        <v>13.3</v>
      </c>
    </row>
    <row r="748" spans="2:7" x14ac:dyDescent="0.35">
      <c r="B748" s="1">
        <v>45689</v>
      </c>
      <c r="C748" s="2">
        <v>8.3333333333333329E-2</v>
      </c>
      <c r="D748">
        <v>2.7</v>
      </c>
      <c r="E748">
        <f>IF($D748 &gt; 16, 0, $J$3*(16 - $D748))</f>
        <v>2763.05694791927</v>
      </c>
      <c r="F748">
        <f>IF($D748 &gt; 16, 0,$E748*$J$5)</f>
        <v>30031665.966934547</v>
      </c>
      <c r="G748">
        <f t="shared" si="11"/>
        <v>13.3</v>
      </c>
    </row>
    <row r="749" spans="2:7" x14ac:dyDescent="0.35">
      <c r="B749" s="1">
        <v>45689</v>
      </c>
      <c r="C749" s="2">
        <v>0.125</v>
      </c>
      <c r="D749">
        <v>2.1</v>
      </c>
      <c r="E749">
        <f>IF($D749 &gt; 16, 0, $J$3*(16 - $D749))</f>
        <v>2887.7061335396884</v>
      </c>
      <c r="F749">
        <f>IF($D749 &gt; 16, 0,$E749*$J$5)</f>
        <v>31386477.965442874</v>
      </c>
      <c r="G749">
        <f t="shared" si="11"/>
        <v>13.9</v>
      </c>
    </row>
    <row r="750" spans="2:7" x14ac:dyDescent="0.35">
      <c r="B750" s="1">
        <v>45689</v>
      </c>
      <c r="C750" s="2">
        <v>0.16666666666666671</v>
      </c>
      <c r="D750">
        <v>1.9</v>
      </c>
      <c r="E750">
        <f>IF($D750 &gt; 16, 0, $J$3*(16 - $D750))</f>
        <v>2929.2558620798277</v>
      </c>
      <c r="F750">
        <f>IF($D750 &gt; 16, 0,$E750*$J$5)</f>
        <v>31838081.964945648</v>
      </c>
      <c r="G750">
        <f t="shared" si="11"/>
        <v>14.1</v>
      </c>
    </row>
    <row r="751" spans="2:7" x14ac:dyDescent="0.35">
      <c r="B751" s="1">
        <v>45689</v>
      </c>
      <c r="C751" s="2">
        <v>0.20833333333333329</v>
      </c>
      <c r="D751">
        <v>1.4</v>
      </c>
      <c r="E751">
        <f>IF($D751 &gt; 16, 0, $J$3*(16 - $D751))</f>
        <v>3033.1301834301762</v>
      </c>
      <c r="F751">
        <f>IF($D751 &gt; 16, 0,$E751*$J$5)</f>
        <v>32967091.963702586</v>
      </c>
      <c r="G751">
        <f t="shared" si="11"/>
        <v>14.6</v>
      </c>
    </row>
    <row r="752" spans="2:7" x14ac:dyDescent="0.35">
      <c r="B752" s="1">
        <v>45689</v>
      </c>
      <c r="C752" s="2">
        <v>0.25</v>
      </c>
      <c r="D752">
        <v>0.8</v>
      </c>
      <c r="E752">
        <f>IF($D752 &gt; 16, 0, $J$3*(16 - $D752))</f>
        <v>3157.7793690505941</v>
      </c>
      <c r="F752">
        <f>IF($D752 &gt; 16, 0,$E752*$J$5)</f>
        <v>34321903.962210909</v>
      </c>
      <c r="G752">
        <f t="shared" si="11"/>
        <v>15.2</v>
      </c>
    </row>
    <row r="753" spans="2:7" x14ac:dyDescent="0.35">
      <c r="B753" s="1">
        <v>45689</v>
      </c>
      <c r="C753" s="2">
        <v>0.29166666666666669</v>
      </c>
      <c r="D753">
        <v>0</v>
      </c>
      <c r="E753">
        <f>IF($D753 &gt; 16, 0, $J$3*(16 - $D753))</f>
        <v>3323.9782832111518</v>
      </c>
      <c r="F753">
        <f>IF($D753 &gt; 16, 0,$E753*$J$5)</f>
        <v>36128319.960222006</v>
      </c>
      <c r="G753">
        <f t="shared" si="11"/>
        <v>16</v>
      </c>
    </row>
    <row r="754" spans="2:7" x14ac:dyDescent="0.35">
      <c r="B754" s="1">
        <v>45689</v>
      </c>
      <c r="C754" s="2">
        <v>0.33333333333333331</v>
      </c>
      <c r="D754">
        <v>-0.7</v>
      </c>
      <c r="E754">
        <f>IF($D754 &gt; 16, 0, $J$3*(16 - $D754))</f>
        <v>3469.4023331016397</v>
      </c>
      <c r="F754">
        <f>IF($D754 &gt; 16, 0,$E754*$J$5)</f>
        <v>37708933.958481722</v>
      </c>
      <c r="G754">
        <f t="shared" si="11"/>
        <v>16.7</v>
      </c>
    </row>
    <row r="755" spans="2:7" x14ac:dyDescent="0.35">
      <c r="B755" s="1">
        <v>45689</v>
      </c>
      <c r="C755" s="2">
        <v>0.375</v>
      </c>
      <c r="D755">
        <v>-0.1</v>
      </c>
      <c r="E755">
        <f>IF($D755 &gt; 16, 0, $J$3*(16 - $D755))</f>
        <v>3344.7531474812217</v>
      </c>
      <c r="F755">
        <f>IF($D755 &gt; 16, 0,$E755*$J$5)</f>
        <v>36354121.959973402</v>
      </c>
      <c r="G755">
        <f t="shared" si="11"/>
        <v>16.100000000000001</v>
      </c>
    </row>
    <row r="756" spans="2:7" x14ac:dyDescent="0.35">
      <c r="B756" s="1">
        <v>45689</v>
      </c>
      <c r="C756" s="2">
        <v>0.41666666666666669</v>
      </c>
      <c r="D756">
        <v>0.7</v>
      </c>
      <c r="E756">
        <f>IF($D756 &gt; 16, 0, $J$3*(16 - $D756))</f>
        <v>3178.554233320664</v>
      </c>
      <c r="F756">
        <f>IF($D756 &gt; 16, 0,$E756*$J$5)</f>
        <v>34547705.961962298</v>
      </c>
      <c r="G756">
        <f t="shared" si="11"/>
        <v>15.3</v>
      </c>
    </row>
    <row r="757" spans="2:7" x14ac:dyDescent="0.35">
      <c r="B757" s="1">
        <v>45689</v>
      </c>
      <c r="C757" s="2">
        <v>0.45833333333333331</v>
      </c>
      <c r="D757">
        <v>1.4</v>
      </c>
      <c r="E757">
        <f>IF($D757 &gt; 16, 0, $J$3*(16 - $D757))</f>
        <v>3033.1301834301762</v>
      </c>
      <c r="F757">
        <f>IF($D757 &gt; 16, 0,$E757*$J$5)</f>
        <v>32967091.963702586</v>
      </c>
      <c r="G757">
        <f t="shared" si="11"/>
        <v>14.6</v>
      </c>
    </row>
    <row r="758" spans="2:7" x14ac:dyDescent="0.35">
      <c r="B758" s="1">
        <v>45689</v>
      </c>
      <c r="C758" s="2">
        <v>0.5</v>
      </c>
      <c r="D758">
        <v>1.3</v>
      </c>
      <c r="E758">
        <f>IF($D758 &gt; 16, 0, $J$3*(16 - $D758))</f>
        <v>3053.9050477002456</v>
      </c>
      <c r="F758">
        <f>IF($D758 &gt; 16, 0,$E758*$J$5)</f>
        <v>33192893.963453971</v>
      </c>
      <c r="G758">
        <f t="shared" si="11"/>
        <v>14.7</v>
      </c>
    </row>
    <row r="759" spans="2:7" x14ac:dyDescent="0.35">
      <c r="B759" s="1">
        <v>45689</v>
      </c>
      <c r="C759" s="2">
        <v>0.54166666666666663</v>
      </c>
      <c r="D759">
        <v>1.7</v>
      </c>
      <c r="E759">
        <f>IF($D759 &gt; 16, 0, $J$3*(16 - $D759))</f>
        <v>2970.805590619967</v>
      </c>
      <c r="F759">
        <f>IF($D759 &gt; 16, 0,$E759*$J$5)</f>
        <v>32289685.964448422</v>
      </c>
      <c r="G759">
        <f t="shared" si="11"/>
        <v>14.3</v>
      </c>
    </row>
    <row r="760" spans="2:7" x14ac:dyDescent="0.35">
      <c r="B760" s="1">
        <v>45689</v>
      </c>
      <c r="C760" s="2">
        <v>0.58333333333333337</v>
      </c>
      <c r="D760">
        <v>1.9</v>
      </c>
      <c r="E760">
        <f>IF($D760 &gt; 16, 0, $J$3*(16 - $D760))</f>
        <v>2929.2558620798277</v>
      </c>
      <c r="F760">
        <f>IF($D760 &gt; 16, 0,$E760*$J$5)</f>
        <v>31838081.964945648</v>
      </c>
      <c r="G760">
        <f t="shared" si="11"/>
        <v>14.1</v>
      </c>
    </row>
    <row r="761" spans="2:7" x14ac:dyDescent="0.35">
      <c r="B761" s="1">
        <v>45689</v>
      </c>
      <c r="C761" s="2">
        <v>0.625</v>
      </c>
      <c r="D761">
        <v>2</v>
      </c>
      <c r="E761">
        <f>IF($D761 &gt; 16, 0, $J$3*(16 - $D761))</f>
        <v>2908.4809978097578</v>
      </c>
      <c r="F761">
        <f>IF($D761 &gt; 16, 0,$E761*$J$5)</f>
        <v>31612279.965194259</v>
      </c>
      <c r="G761">
        <f t="shared" si="11"/>
        <v>14</v>
      </c>
    </row>
    <row r="762" spans="2:7" x14ac:dyDescent="0.35">
      <c r="B762" s="1">
        <v>45689</v>
      </c>
      <c r="C762" s="2">
        <v>0.66666666666666663</v>
      </c>
      <c r="D762">
        <v>1.9</v>
      </c>
      <c r="E762">
        <f>IF($D762 &gt; 16, 0, $J$3*(16 - $D762))</f>
        <v>2929.2558620798277</v>
      </c>
      <c r="F762">
        <f>IF($D762 &gt; 16, 0,$E762*$J$5)</f>
        <v>31838081.964945648</v>
      </c>
      <c r="G762">
        <f t="shared" si="11"/>
        <v>14.1</v>
      </c>
    </row>
    <row r="763" spans="2:7" x14ac:dyDescent="0.35">
      <c r="B763" s="1">
        <v>45689</v>
      </c>
      <c r="C763" s="2">
        <v>0.70833333333333337</v>
      </c>
      <c r="D763">
        <v>1</v>
      </c>
      <c r="E763">
        <f>IF($D763 &gt; 16, 0, $J$3*(16 - $D763))</f>
        <v>3116.2296405104548</v>
      </c>
      <c r="F763">
        <f>IF($D763 &gt; 16, 0,$E763*$J$5)</f>
        <v>33870299.96270813</v>
      </c>
      <c r="G763">
        <f t="shared" si="11"/>
        <v>15</v>
      </c>
    </row>
    <row r="764" spans="2:7" x14ac:dyDescent="0.35">
      <c r="B764" s="1">
        <v>45689</v>
      </c>
      <c r="C764" s="2">
        <v>0.75</v>
      </c>
      <c r="D764">
        <v>1.2</v>
      </c>
      <c r="E764">
        <f>IF($D764 &gt; 16, 0, $J$3*(16 - $D764))</f>
        <v>3074.6799119703155</v>
      </c>
      <c r="F764">
        <f>IF($D764 &gt; 16, 0,$E764*$J$5)</f>
        <v>33418695.96320536</v>
      </c>
      <c r="G764">
        <f t="shared" si="11"/>
        <v>14.8</v>
      </c>
    </row>
    <row r="765" spans="2:7" x14ac:dyDescent="0.35">
      <c r="B765" s="1">
        <v>45689</v>
      </c>
      <c r="C765" s="2">
        <v>0.79166666666666663</v>
      </c>
      <c r="D765">
        <v>0.7</v>
      </c>
      <c r="E765">
        <f>IF($D765 &gt; 16, 0, $J$3*(16 - $D765))</f>
        <v>3178.554233320664</v>
      </c>
      <c r="F765">
        <f>IF($D765 &gt; 16, 0,$E765*$J$5)</f>
        <v>34547705.961962298</v>
      </c>
      <c r="G765">
        <f t="shared" si="11"/>
        <v>15.3</v>
      </c>
    </row>
    <row r="766" spans="2:7" x14ac:dyDescent="0.35">
      <c r="B766" s="1">
        <v>45689</v>
      </c>
      <c r="C766" s="2">
        <v>0.83333333333333337</v>
      </c>
      <c r="D766">
        <v>-0.1</v>
      </c>
      <c r="E766">
        <f>IF($D766 &gt; 16, 0, $J$3*(16 - $D766))</f>
        <v>3344.7531474812217</v>
      </c>
      <c r="F766">
        <f>IF($D766 &gt; 16, 0,$E766*$J$5)</f>
        <v>36354121.959973402</v>
      </c>
      <c r="G766">
        <f t="shared" si="11"/>
        <v>16.100000000000001</v>
      </c>
    </row>
    <row r="767" spans="2:7" x14ac:dyDescent="0.35">
      <c r="B767" s="1">
        <v>45689</v>
      </c>
      <c r="C767" s="2">
        <v>0.875</v>
      </c>
      <c r="D767">
        <v>-0.5</v>
      </c>
      <c r="E767">
        <f>IF($D767 &gt; 16, 0, $J$3*(16 - $D767))</f>
        <v>3427.8526045615004</v>
      </c>
      <c r="F767">
        <f>IF($D767 &gt; 16, 0,$E767*$J$5)</f>
        <v>37257329.958978951</v>
      </c>
      <c r="G767">
        <f t="shared" si="11"/>
        <v>16.5</v>
      </c>
    </row>
    <row r="768" spans="2:7" x14ac:dyDescent="0.35">
      <c r="B768" s="1">
        <v>45689</v>
      </c>
      <c r="C768" s="2">
        <v>0.91666666666666663</v>
      </c>
      <c r="D768">
        <v>-0.9</v>
      </c>
      <c r="E768">
        <f>IF($D768 &gt; 16, 0, $J$3*(16 - $D768))</f>
        <v>3510.952061641779</v>
      </c>
      <c r="F768">
        <f>IF($D768 &gt; 16, 0,$E768*$J$5)</f>
        <v>38160537.957984492</v>
      </c>
      <c r="G768">
        <f t="shared" si="11"/>
        <v>16.899999999999999</v>
      </c>
    </row>
    <row r="769" spans="2:7" x14ac:dyDescent="0.35">
      <c r="B769" s="1">
        <v>45689</v>
      </c>
      <c r="C769" s="2">
        <v>0.95833333333333337</v>
      </c>
      <c r="D769">
        <v>-0.9</v>
      </c>
      <c r="E769">
        <f>IF($D769 &gt; 16, 0, $J$3*(16 - $D769))</f>
        <v>3510.952061641779</v>
      </c>
      <c r="F769">
        <f>IF($D769 &gt; 16, 0,$E769*$J$5)</f>
        <v>38160537.957984492</v>
      </c>
      <c r="G769">
        <f t="shared" si="11"/>
        <v>16.899999999999999</v>
      </c>
    </row>
    <row r="770" spans="2:7" x14ac:dyDescent="0.35">
      <c r="B770" s="1">
        <v>45690</v>
      </c>
      <c r="C770" s="2">
        <v>0</v>
      </c>
      <c r="D770">
        <v>-0.7</v>
      </c>
      <c r="E770">
        <f>IF($D770 &gt; 16, 0, $J$3*(16 - $D770))</f>
        <v>3469.4023331016397</v>
      </c>
      <c r="F770">
        <f>IF($D770 &gt; 16, 0,$E770*$J$5)</f>
        <v>37708933.958481722</v>
      </c>
      <c r="G770">
        <f t="shared" si="11"/>
        <v>16.7</v>
      </c>
    </row>
    <row r="771" spans="2:7" x14ac:dyDescent="0.35">
      <c r="B771" s="1">
        <v>45690</v>
      </c>
      <c r="C771" s="2">
        <v>4.1666666666666657E-2</v>
      </c>
      <c r="D771">
        <v>-0.8</v>
      </c>
      <c r="E771">
        <f>IF($D771 &gt; 16, 0, $J$3*(16 - $D771))</f>
        <v>3490.1771973717096</v>
      </c>
      <c r="F771">
        <f>IF($D771 &gt; 16, 0,$E771*$J$5)</f>
        <v>37934735.958233111</v>
      </c>
      <c r="G771">
        <f t="shared" ref="G771:G834" si="12">MAX(0, 16 - $D771)</f>
        <v>16.8</v>
      </c>
    </row>
    <row r="772" spans="2:7" x14ac:dyDescent="0.35">
      <c r="B772" s="1">
        <v>45690</v>
      </c>
      <c r="C772" s="2">
        <v>8.3333333333333329E-2</v>
      </c>
      <c r="D772">
        <v>-0.7</v>
      </c>
      <c r="E772">
        <f>IF($D772 &gt; 16, 0, $J$3*(16 - $D772))</f>
        <v>3469.4023331016397</v>
      </c>
      <c r="F772">
        <f>IF($D772 &gt; 16, 0,$E772*$J$5)</f>
        <v>37708933.958481722</v>
      </c>
      <c r="G772">
        <f t="shared" si="12"/>
        <v>16.7</v>
      </c>
    </row>
    <row r="773" spans="2:7" x14ac:dyDescent="0.35">
      <c r="B773" s="1">
        <v>45690</v>
      </c>
      <c r="C773" s="2">
        <v>0.125</v>
      </c>
      <c r="D773">
        <v>-0.8</v>
      </c>
      <c r="E773">
        <f>IF($D773 &gt; 16, 0, $J$3*(16 - $D773))</f>
        <v>3490.1771973717096</v>
      </c>
      <c r="F773">
        <f>IF($D773 &gt; 16, 0,$E773*$J$5)</f>
        <v>37934735.958233111</v>
      </c>
      <c r="G773">
        <f t="shared" si="12"/>
        <v>16.8</v>
      </c>
    </row>
    <row r="774" spans="2:7" x14ac:dyDescent="0.35">
      <c r="B774" s="1">
        <v>45690</v>
      </c>
      <c r="C774" s="2">
        <v>0.16666666666666671</v>
      </c>
      <c r="D774">
        <v>-0.6</v>
      </c>
      <c r="E774">
        <f>IF($D774 &gt; 16, 0, $J$3*(16 - $D774))</f>
        <v>3448.6274688315702</v>
      </c>
      <c r="F774">
        <f>IF($D774 &gt; 16, 0,$E774*$J$5)</f>
        <v>37483131.95873034</v>
      </c>
      <c r="G774">
        <f t="shared" si="12"/>
        <v>16.600000000000001</v>
      </c>
    </row>
    <row r="775" spans="2:7" x14ac:dyDescent="0.35">
      <c r="B775" s="1">
        <v>45690</v>
      </c>
      <c r="C775" s="2">
        <v>0.20833333333333329</v>
      </c>
      <c r="D775">
        <v>-0.9</v>
      </c>
      <c r="E775">
        <f>IF($D775 &gt; 16, 0, $J$3*(16 - $D775))</f>
        <v>3510.952061641779</v>
      </c>
      <c r="F775">
        <f>IF($D775 &gt; 16, 0,$E775*$J$5)</f>
        <v>38160537.957984492</v>
      </c>
      <c r="G775">
        <f t="shared" si="12"/>
        <v>16.899999999999999</v>
      </c>
    </row>
    <row r="776" spans="2:7" x14ac:dyDescent="0.35">
      <c r="B776" s="1">
        <v>45690</v>
      </c>
      <c r="C776" s="2">
        <v>0.25</v>
      </c>
      <c r="D776">
        <v>-1.3</v>
      </c>
      <c r="E776">
        <f>IF($D776 &gt; 16, 0, $J$3*(16 - $D776))</f>
        <v>3594.0515187220581</v>
      </c>
      <c r="F776">
        <f>IF($D776 &gt; 16, 0,$E776*$J$5)</f>
        <v>39063745.956990048</v>
      </c>
      <c r="G776">
        <f t="shared" si="12"/>
        <v>17.3</v>
      </c>
    </row>
    <row r="777" spans="2:7" x14ac:dyDescent="0.35">
      <c r="B777" s="1">
        <v>45690</v>
      </c>
      <c r="C777" s="2">
        <v>0.29166666666666669</v>
      </c>
      <c r="D777">
        <v>-1.4</v>
      </c>
      <c r="E777">
        <f>IF($D777 &gt; 16, 0, $J$3*(16 - $D777))</f>
        <v>3614.8263829921275</v>
      </c>
      <c r="F777">
        <f>IF($D777 &gt; 16, 0,$E777*$J$5)</f>
        <v>39289547.956741437</v>
      </c>
      <c r="G777">
        <f t="shared" si="12"/>
        <v>17.399999999999999</v>
      </c>
    </row>
    <row r="778" spans="2:7" x14ac:dyDescent="0.35">
      <c r="B778" s="1">
        <v>45690</v>
      </c>
      <c r="C778" s="2">
        <v>0.33333333333333331</v>
      </c>
      <c r="D778">
        <v>-1.5</v>
      </c>
      <c r="E778">
        <f>IF($D778 &gt; 16, 0, $J$3*(16 - $D778))</f>
        <v>3635.6012472621974</v>
      </c>
      <c r="F778">
        <f>IF($D778 &gt; 16, 0,$E778*$J$5)</f>
        <v>39515349.956492826</v>
      </c>
      <c r="G778">
        <f t="shared" si="12"/>
        <v>17.5</v>
      </c>
    </row>
    <row r="779" spans="2:7" x14ac:dyDescent="0.35">
      <c r="B779" s="1">
        <v>45690</v>
      </c>
      <c r="C779" s="2">
        <v>0.375</v>
      </c>
      <c r="D779">
        <v>-1.9</v>
      </c>
      <c r="E779">
        <f>IF($D779 &gt; 16, 0, $J$3*(16 - $D779))</f>
        <v>3718.700704342476</v>
      </c>
      <c r="F779">
        <f>IF($D779 &gt; 16, 0,$E779*$J$5)</f>
        <v>40418557.955498375</v>
      </c>
      <c r="G779">
        <f t="shared" si="12"/>
        <v>17.899999999999999</v>
      </c>
    </row>
    <row r="780" spans="2:7" x14ac:dyDescent="0.35">
      <c r="B780" s="1">
        <v>45690</v>
      </c>
      <c r="C780" s="2">
        <v>0.41666666666666669</v>
      </c>
      <c r="D780">
        <v>-1.6</v>
      </c>
      <c r="E780">
        <f>IF($D780 &gt; 16, 0, $J$3*(16 - $D780))</f>
        <v>3656.3761115322673</v>
      </c>
      <c r="F780">
        <f>IF($D780 &gt; 16, 0,$E780*$J$5)</f>
        <v>39741151.956244215</v>
      </c>
      <c r="G780">
        <f t="shared" si="12"/>
        <v>17.600000000000001</v>
      </c>
    </row>
    <row r="781" spans="2:7" x14ac:dyDescent="0.35">
      <c r="B781" s="1">
        <v>45690</v>
      </c>
      <c r="C781" s="2">
        <v>0.45833333333333331</v>
      </c>
      <c r="D781">
        <v>-0.8</v>
      </c>
      <c r="E781">
        <f>IF($D781 &gt; 16, 0, $J$3*(16 - $D781))</f>
        <v>3490.1771973717096</v>
      </c>
      <c r="F781">
        <f>IF($D781 &gt; 16, 0,$E781*$J$5)</f>
        <v>37934735.958233111</v>
      </c>
      <c r="G781">
        <f t="shared" si="12"/>
        <v>16.8</v>
      </c>
    </row>
    <row r="782" spans="2:7" x14ac:dyDescent="0.35">
      <c r="B782" s="1">
        <v>45690</v>
      </c>
      <c r="C782" s="2">
        <v>0.5</v>
      </c>
      <c r="D782">
        <v>-0.1</v>
      </c>
      <c r="E782">
        <f>IF($D782 &gt; 16, 0, $J$3*(16 - $D782))</f>
        <v>3344.7531474812217</v>
      </c>
      <c r="F782">
        <f>IF($D782 &gt; 16, 0,$E782*$J$5)</f>
        <v>36354121.959973402</v>
      </c>
      <c r="G782">
        <f t="shared" si="12"/>
        <v>16.100000000000001</v>
      </c>
    </row>
    <row r="783" spans="2:7" x14ac:dyDescent="0.35">
      <c r="B783" s="1">
        <v>45690</v>
      </c>
      <c r="C783" s="2">
        <v>0.54166666666666663</v>
      </c>
      <c r="D783">
        <v>1.4</v>
      </c>
      <c r="E783">
        <f>IF($D783 &gt; 16, 0, $J$3*(16 - $D783))</f>
        <v>3033.1301834301762</v>
      </c>
      <c r="F783">
        <f>IF($D783 &gt; 16, 0,$E783*$J$5)</f>
        <v>32967091.963702586</v>
      </c>
      <c r="G783">
        <f t="shared" si="12"/>
        <v>14.6</v>
      </c>
    </row>
    <row r="784" spans="2:7" x14ac:dyDescent="0.35">
      <c r="B784" s="1">
        <v>45690</v>
      </c>
      <c r="C784" s="2">
        <v>0.58333333333333337</v>
      </c>
      <c r="D784">
        <v>2.2000000000000002</v>
      </c>
      <c r="E784">
        <f>IF($D784 &gt; 16, 0, $J$3*(16 - $D784))</f>
        <v>2866.9312692696185</v>
      </c>
      <c r="F784">
        <f>IF($D784 &gt; 16, 0,$E784*$J$5)</f>
        <v>31160675.965691485</v>
      </c>
      <c r="G784">
        <f t="shared" si="12"/>
        <v>13.8</v>
      </c>
    </row>
    <row r="785" spans="2:7" x14ac:dyDescent="0.35">
      <c r="B785" s="1">
        <v>45690</v>
      </c>
      <c r="C785" s="2">
        <v>0.625</v>
      </c>
      <c r="D785">
        <v>2.9</v>
      </c>
      <c r="E785">
        <f>IF($D785 &gt; 16, 0, $J$3*(16 - $D785))</f>
        <v>2721.5072193791307</v>
      </c>
      <c r="F785">
        <f>IF($D785 &gt; 16, 0,$E785*$J$5)</f>
        <v>29580061.967431773</v>
      </c>
      <c r="G785">
        <f t="shared" si="12"/>
        <v>13.1</v>
      </c>
    </row>
    <row r="786" spans="2:7" x14ac:dyDescent="0.35">
      <c r="B786" s="1">
        <v>45690</v>
      </c>
      <c r="C786" s="2">
        <v>0.66666666666666663</v>
      </c>
      <c r="D786">
        <v>1.7</v>
      </c>
      <c r="E786">
        <f>IF($D786 &gt; 16, 0, $J$3*(16 - $D786))</f>
        <v>2970.805590619967</v>
      </c>
      <c r="F786">
        <f>IF($D786 &gt; 16, 0,$E786*$J$5)</f>
        <v>32289685.964448422</v>
      </c>
      <c r="G786">
        <f t="shared" si="12"/>
        <v>14.3</v>
      </c>
    </row>
    <row r="787" spans="2:7" x14ac:dyDescent="0.35">
      <c r="B787" s="1">
        <v>45690</v>
      </c>
      <c r="C787" s="2">
        <v>0.70833333333333337</v>
      </c>
      <c r="D787">
        <v>1.1000000000000001</v>
      </c>
      <c r="E787">
        <f>IF($D787 &gt; 16, 0, $J$3*(16 - $D787))</f>
        <v>3095.4547762403854</v>
      </c>
      <c r="F787">
        <f>IF($D787 &gt; 16, 0,$E787*$J$5)</f>
        <v>33644497.962956749</v>
      </c>
      <c r="G787">
        <f t="shared" si="12"/>
        <v>14.9</v>
      </c>
    </row>
    <row r="788" spans="2:7" x14ac:dyDescent="0.35">
      <c r="B788" s="1">
        <v>45690</v>
      </c>
      <c r="C788" s="2">
        <v>0.75</v>
      </c>
      <c r="D788">
        <v>0.9</v>
      </c>
      <c r="E788">
        <f>IF($D788 &gt; 16, 0, $J$3*(16 - $D788))</f>
        <v>3137.0045047805243</v>
      </c>
      <c r="F788">
        <f>IF($D788 &gt; 16, 0,$E788*$J$5)</f>
        <v>34096101.96245952</v>
      </c>
      <c r="G788">
        <f t="shared" si="12"/>
        <v>15.1</v>
      </c>
    </row>
    <row r="789" spans="2:7" x14ac:dyDescent="0.35">
      <c r="B789" s="1">
        <v>45690</v>
      </c>
      <c r="C789" s="2">
        <v>0.79166666666666663</v>
      </c>
      <c r="D789">
        <v>0.9</v>
      </c>
      <c r="E789">
        <f>IF($D789 &gt; 16, 0, $J$3*(16 - $D789))</f>
        <v>3137.0045047805243</v>
      </c>
      <c r="F789">
        <f>IF($D789 &gt; 16, 0,$E789*$J$5)</f>
        <v>34096101.96245952</v>
      </c>
      <c r="G789">
        <f t="shared" si="12"/>
        <v>15.1</v>
      </c>
    </row>
    <row r="790" spans="2:7" x14ac:dyDescent="0.35">
      <c r="B790" s="1">
        <v>45690</v>
      </c>
      <c r="C790" s="2">
        <v>0.83333333333333337</v>
      </c>
      <c r="D790">
        <v>0.3</v>
      </c>
      <c r="E790">
        <f>IF($D790 &gt; 16, 0, $J$3*(16 - $D790))</f>
        <v>3261.6536904009427</v>
      </c>
      <c r="F790">
        <f>IF($D790 &gt; 16, 0,$E790*$J$5)</f>
        <v>35450913.960967846</v>
      </c>
      <c r="G790">
        <f t="shared" si="12"/>
        <v>15.7</v>
      </c>
    </row>
    <row r="791" spans="2:7" x14ac:dyDescent="0.35">
      <c r="B791" s="1">
        <v>45690</v>
      </c>
      <c r="C791" s="2">
        <v>0.875</v>
      </c>
      <c r="D791">
        <v>-0.3</v>
      </c>
      <c r="E791">
        <f>IF($D791 &gt; 16, 0, $J$3*(16 - $D791))</f>
        <v>3386.302876021361</v>
      </c>
      <c r="F791">
        <f>IF($D791 &gt; 16, 0,$E791*$J$5)</f>
        <v>36805725.959476173</v>
      </c>
      <c r="G791">
        <f t="shared" si="12"/>
        <v>16.3</v>
      </c>
    </row>
    <row r="792" spans="2:7" x14ac:dyDescent="0.35">
      <c r="B792" s="1">
        <v>45690</v>
      </c>
      <c r="C792" s="2">
        <v>0.91666666666666663</v>
      </c>
      <c r="D792">
        <v>-1.2</v>
      </c>
      <c r="E792">
        <f>IF($D792 &gt; 16, 0, $J$3*(16 - $D792))</f>
        <v>3573.2766544519882</v>
      </c>
      <c r="F792">
        <f>IF($D792 &gt; 16, 0,$E792*$J$5)</f>
        <v>38837943.957238659</v>
      </c>
      <c r="G792">
        <f t="shared" si="12"/>
        <v>17.2</v>
      </c>
    </row>
    <row r="793" spans="2:7" x14ac:dyDescent="0.35">
      <c r="B793" s="1">
        <v>45690</v>
      </c>
      <c r="C793" s="2">
        <v>0.95833333333333337</v>
      </c>
      <c r="D793">
        <v>-1.9</v>
      </c>
      <c r="E793">
        <f>IF($D793 &gt; 16, 0, $J$3*(16 - $D793))</f>
        <v>3718.700704342476</v>
      </c>
      <c r="F793">
        <f>IF($D793 &gt; 16, 0,$E793*$J$5)</f>
        <v>40418557.955498375</v>
      </c>
      <c r="G793">
        <f t="shared" si="12"/>
        <v>17.899999999999999</v>
      </c>
    </row>
    <row r="794" spans="2:7" x14ac:dyDescent="0.35">
      <c r="B794" s="1">
        <v>45691</v>
      </c>
      <c r="C794" s="2">
        <v>0</v>
      </c>
      <c r="D794">
        <v>-1.9</v>
      </c>
      <c r="E794">
        <f>IF($D794 &gt; 16, 0, $J$3*(16 - $D794))</f>
        <v>3718.700704342476</v>
      </c>
      <c r="F794">
        <f>IF($D794 &gt; 16, 0,$E794*$J$5)</f>
        <v>40418557.955498375</v>
      </c>
      <c r="G794">
        <f t="shared" si="12"/>
        <v>17.899999999999999</v>
      </c>
    </row>
    <row r="795" spans="2:7" x14ac:dyDescent="0.35">
      <c r="B795" s="1">
        <v>45691</v>
      </c>
      <c r="C795" s="2">
        <v>4.1666666666666657E-2</v>
      </c>
      <c r="D795">
        <v>-1.4</v>
      </c>
      <c r="E795">
        <f>IF($D795 &gt; 16, 0, $J$3*(16 - $D795))</f>
        <v>3614.8263829921275</v>
      </c>
      <c r="F795">
        <f>IF($D795 &gt; 16, 0,$E795*$J$5)</f>
        <v>39289547.956741437</v>
      </c>
      <c r="G795">
        <f t="shared" si="12"/>
        <v>17.399999999999999</v>
      </c>
    </row>
    <row r="796" spans="2:7" x14ac:dyDescent="0.35">
      <c r="B796" s="1">
        <v>45691</v>
      </c>
      <c r="C796" s="2">
        <v>8.3333333333333329E-2</v>
      </c>
      <c r="D796">
        <v>-2</v>
      </c>
      <c r="E796">
        <f>IF($D796 &gt; 16, 0, $J$3*(16 - $D796))</f>
        <v>3739.4755686125459</v>
      </c>
      <c r="F796">
        <f>IF($D796 &gt; 16, 0,$E796*$J$5)</f>
        <v>40644359.955249764</v>
      </c>
      <c r="G796">
        <f t="shared" si="12"/>
        <v>18</v>
      </c>
    </row>
    <row r="797" spans="2:7" x14ac:dyDescent="0.35">
      <c r="B797" s="1">
        <v>45691</v>
      </c>
      <c r="C797" s="2">
        <v>0.125</v>
      </c>
      <c r="D797">
        <v>-1.9</v>
      </c>
      <c r="E797">
        <f>IF($D797 &gt; 16, 0, $J$3*(16 - $D797))</f>
        <v>3718.700704342476</v>
      </c>
      <c r="F797">
        <f>IF($D797 &gt; 16, 0,$E797*$J$5)</f>
        <v>40418557.955498375</v>
      </c>
      <c r="G797">
        <f t="shared" si="12"/>
        <v>17.899999999999999</v>
      </c>
    </row>
    <row r="798" spans="2:7" x14ac:dyDescent="0.35">
      <c r="B798" s="1">
        <v>45691</v>
      </c>
      <c r="C798" s="2">
        <v>0.16666666666666671</v>
      </c>
      <c r="D798">
        <v>-2.2000000000000002</v>
      </c>
      <c r="E798">
        <f>IF($D798 &gt; 16, 0, $J$3*(16 - $D798))</f>
        <v>3781.0252971526852</v>
      </c>
      <c r="F798">
        <f>IF($D798 &gt; 16, 0,$E798*$J$5)</f>
        <v>41095963.954752535</v>
      </c>
      <c r="G798">
        <f t="shared" si="12"/>
        <v>18.2</v>
      </c>
    </row>
    <row r="799" spans="2:7" x14ac:dyDescent="0.35">
      <c r="B799" s="1">
        <v>45691</v>
      </c>
      <c r="C799" s="2">
        <v>0.20833333333333329</v>
      </c>
      <c r="D799">
        <v>-3.2</v>
      </c>
      <c r="E799">
        <f>IF($D799 &gt; 16, 0, $J$3*(16 - $D799))</f>
        <v>3988.7739398533822</v>
      </c>
      <c r="F799">
        <f>IF($D799 &gt; 16, 0,$E799*$J$5)</f>
        <v>43353983.95226641</v>
      </c>
      <c r="G799">
        <f t="shared" si="12"/>
        <v>19.2</v>
      </c>
    </row>
    <row r="800" spans="2:7" x14ac:dyDescent="0.35">
      <c r="B800" s="1">
        <v>45691</v>
      </c>
      <c r="C800" s="2">
        <v>0.25</v>
      </c>
      <c r="D800">
        <v>-3.1</v>
      </c>
      <c r="E800">
        <f>IF($D800 &gt; 16, 0, $J$3*(16 - $D800))</f>
        <v>3967.9990755833128</v>
      </c>
      <c r="F800">
        <f>IF($D800 &gt; 16, 0,$E800*$J$5)</f>
        <v>43128181.952515028</v>
      </c>
      <c r="G800">
        <f t="shared" si="12"/>
        <v>19.100000000000001</v>
      </c>
    </row>
    <row r="801" spans="2:7" x14ac:dyDescent="0.35">
      <c r="B801" s="1">
        <v>45691</v>
      </c>
      <c r="C801" s="2">
        <v>0.29166666666666669</v>
      </c>
      <c r="D801">
        <v>-3.6</v>
      </c>
      <c r="E801">
        <f>IF($D801 &gt; 16, 0, $J$3*(16 - $D801))</f>
        <v>4071.8733969336613</v>
      </c>
      <c r="F801">
        <f>IF($D801 &gt; 16, 0,$E801*$J$5)</f>
        <v>44257191.951271966</v>
      </c>
      <c r="G801">
        <f t="shared" si="12"/>
        <v>19.600000000000001</v>
      </c>
    </row>
    <row r="802" spans="2:7" x14ac:dyDescent="0.35">
      <c r="B802" s="1">
        <v>45691</v>
      </c>
      <c r="C802" s="2">
        <v>0.33333333333333331</v>
      </c>
      <c r="D802">
        <v>-2.5</v>
      </c>
      <c r="E802">
        <f>IF($D802 &gt; 16, 0, $J$3*(16 - $D802))</f>
        <v>3843.3498899628944</v>
      </c>
      <c r="F802">
        <f>IF($D802 &gt; 16, 0,$E802*$J$5)</f>
        <v>41773369.954006702</v>
      </c>
      <c r="G802">
        <f t="shared" si="12"/>
        <v>18.5</v>
      </c>
    </row>
    <row r="803" spans="2:7" x14ac:dyDescent="0.35">
      <c r="B803" s="1">
        <v>45691</v>
      </c>
      <c r="C803" s="2">
        <v>0.375</v>
      </c>
      <c r="D803">
        <v>-1.5</v>
      </c>
      <c r="E803">
        <f>IF($D803 &gt; 16, 0, $J$3*(16 - $D803))</f>
        <v>3635.6012472621974</v>
      </c>
      <c r="F803">
        <f>IF($D803 &gt; 16, 0,$E803*$J$5)</f>
        <v>39515349.956492826</v>
      </c>
      <c r="G803">
        <f t="shared" si="12"/>
        <v>17.5</v>
      </c>
    </row>
    <row r="804" spans="2:7" x14ac:dyDescent="0.35">
      <c r="B804" s="1">
        <v>45691</v>
      </c>
      <c r="C804" s="2">
        <v>0.41666666666666669</v>
      </c>
      <c r="D804">
        <v>0.2</v>
      </c>
      <c r="E804">
        <f>IF($D804 &gt; 16, 0, $J$3*(16 - $D804))</f>
        <v>3282.4285546710125</v>
      </c>
      <c r="F804">
        <f>IF($D804 &gt; 16, 0,$E804*$J$5)</f>
        <v>35676715.960719235</v>
      </c>
      <c r="G804">
        <f t="shared" si="12"/>
        <v>15.8</v>
      </c>
    </row>
    <row r="805" spans="2:7" x14ac:dyDescent="0.35">
      <c r="B805" s="1">
        <v>45691</v>
      </c>
      <c r="C805" s="2">
        <v>0.45833333333333331</v>
      </c>
      <c r="D805">
        <v>2</v>
      </c>
      <c r="E805">
        <f>IF($D805 &gt; 16, 0, $J$3*(16 - $D805))</f>
        <v>2908.4809978097578</v>
      </c>
      <c r="F805">
        <f>IF($D805 &gt; 16, 0,$E805*$J$5)</f>
        <v>31612279.965194259</v>
      </c>
      <c r="G805">
        <f t="shared" si="12"/>
        <v>14</v>
      </c>
    </row>
    <row r="806" spans="2:7" x14ac:dyDescent="0.35">
      <c r="B806" s="1">
        <v>45691</v>
      </c>
      <c r="C806" s="2">
        <v>0.5</v>
      </c>
      <c r="D806">
        <v>3.1</v>
      </c>
      <c r="E806">
        <f>IF($D806 &gt; 16, 0, $J$3*(16 - $D806))</f>
        <v>2679.9574908389914</v>
      </c>
      <c r="F806">
        <f>IF($D806 &gt; 16, 0,$E806*$J$5)</f>
        <v>29128457.967928998</v>
      </c>
      <c r="G806">
        <f t="shared" si="12"/>
        <v>12.9</v>
      </c>
    </row>
    <row r="807" spans="2:7" x14ac:dyDescent="0.35">
      <c r="B807" s="1">
        <v>45691</v>
      </c>
      <c r="C807" s="2">
        <v>0.54166666666666663</v>
      </c>
      <c r="D807">
        <v>2.9</v>
      </c>
      <c r="E807">
        <f>IF($D807 &gt; 16, 0, $J$3*(16 - $D807))</f>
        <v>2721.5072193791307</v>
      </c>
      <c r="F807">
        <f>IF($D807 &gt; 16, 0,$E807*$J$5)</f>
        <v>29580061.967431773</v>
      </c>
      <c r="G807">
        <f t="shared" si="12"/>
        <v>13.1</v>
      </c>
    </row>
    <row r="808" spans="2:7" x14ac:dyDescent="0.35">
      <c r="B808" s="1">
        <v>45691</v>
      </c>
      <c r="C808" s="2">
        <v>0.58333333333333337</v>
      </c>
      <c r="D808">
        <v>2.9</v>
      </c>
      <c r="E808">
        <f>IF($D808 &gt; 16, 0, $J$3*(16 - $D808))</f>
        <v>2721.5072193791307</v>
      </c>
      <c r="F808">
        <f>IF($D808 &gt; 16, 0,$E808*$J$5)</f>
        <v>29580061.967431773</v>
      </c>
      <c r="G808">
        <f t="shared" si="12"/>
        <v>13.1</v>
      </c>
    </row>
    <row r="809" spans="2:7" x14ac:dyDescent="0.35">
      <c r="B809" s="1">
        <v>45691</v>
      </c>
      <c r="C809" s="2">
        <v>0.625</v>
      </c>
      <c r="D809">
        <v>2.6</v>
      </c>
      <c r="E809">
        <f>IF($D809 &gt; 16, 0, $J$3*(16 - $D809))</f>
        <v>2783.8318121893399</v>
      </c>
      <c r="F809">
        <f>IF($D809 &gt; 16, 0,$E809*$J$5)</f>
        <v>30257467.966685936</v>
      </c>
      <c r="G809">
        <f t="shared" si="12"/>
        <v>13.4</v>
      </c>
    </row>
    <row r="810" spans="2:7" x14ac:dyDescent="0.35">
      <c r="B810" s="1">
        <v>45691</v>
      </c>
      <c r="C810" s="2">
        <v>0.66666666666666663</v>
      </c>
      <c r="D810">
        <v>1.4</v>
      </c>
      <c r="E810">
        <f>IF($D810 &gt; 16, 0, $J$3*(16 - $D810))</f>
        <v>3033.1301834301762</v>
      </c>
      <c r="F810">
        <f>IF($D810 &gt; 16, 0,$E810*$J$5)</f>
        <v>32967091.963702586</v>
      </c>
      <c r="G810">
        <f t="shared" si="12"/>
        <v>14.6</v>
      </c>
    </row>
    <row r="811" spans="2:7" x14ac:dyDescent="0.35">
      <c r="B811" s="1">
        <v>45691</v>
      </c>
      <c r="C811" s="2">
        <v>0.70833333333333337</v>
      </c>
      <c r="D811">
        <v>-0.2</v>
      </c>
      <c r="E811">
        <f>IF($D811 &gt; 16, 0, $J$3*(16 - $D811))</f>
        <v>3365.5280117512912</v>
      </c>
      <c r="F811">
        <f>IF($D811 &gt; 16, 0,$E811*$J$5)</f>
        <v>36579923.959724784</v>
      </c>
      <c r="G811">
        <f t="shared" si="12"/>
        <v>16.2</v>
      </c>
    </row>
    <row r="812" spans="2:7" x14ac:dyDescent="0.35">
      <c r="B812" s="1">
        <v>45691</v>
      </c>
      <c r="C812" s="2">
        <v>0.75</v>
      </c>
      <c r="D812">
        <v>-1.4</v>
      </c>
      <c r="E812">
        <f>IF($D812 &gt; 16, 0, $J$3*(16 - $D812))</f>
        <v>3614.8263829921275</v>
      </c>
      <c r="F812">
        <f>IF($D812 &gt; 16, 0,$E812*$J$5)</f>
        <v>39289547.956741437</v>
      </c>
      <c r="G812">
        <f t="shared" si="12"/>
        <v>17.399999999999999</v>
      </c>
    </row>
    <row r="813" spans="2:7" x14ac:dyDescent="0.35">
      <c r="B813" s="1">
        <v>45691</v>
      </c>
      <c r="C813" s="2">
        <v>0.79166666666666663</v>
      </c>
      <c r="D813">
        <v>-1.5</v>
      </c>
      <c r="E813">
        <f>IF($D813 &gt; 16, 0, $J$3*(16 - $D813))</f>
        <v>3635.6012472621974</v>
      </c>
      <c r="F813">
        <f>IF($D813 &gt; 16, 0,$E813*$J$5)</f>
        <v>39515349.956492826</v>
      </c>
      <c r="G813">
        <f t="shared" si="12"/>
        <v>17.5</v>
      </c>
    </row>
    <row r="814" spans="2:7" x14ac:dyDescent="0.35">
      <c r="B814" s="1">
        <v>45691</v>
      </c>
      <c r="C814" s="2">
        <v>0.83333333333333337</v>
      </c>
      <c r="D814">
        <v>-1.4</v>
      </c>
      <c r="E814">
        <f>IF($D814 &gt; 16, 0, $J$3*(16 - $D814))</f>
        <v>3614.8263829921275</v>
      </c>
      <c r="F814">
        <f>IF($D814 &gt; 16, 0,$E814*$J$5)</f>
        <v>39289547.956741437</v>
      </c>
      <c r="G814">
        <f t="shared" si="12"/>
        <v>17.399999999999999</v>
      </c>
    </row>
    <row r="815" spans="2:7" x14ac:dyDescent="0.35">
      <c r="B815" s="1">
        <v>45691</v>
      </c>
      <c r="C815" s="2">
        <v>0.875</v>
      </c>
      <c r="D815">
        <v>-2.6</v>
      </c>
      <c r="E815">
        <f>IF($D815 &gt; 16, 0, $J$3*(16 - $D815))</f>
        <v>3864.1247542329643</v>
      </c>
      <c r="F815">
        <f>IF($D815 &gt; 16, 0,$E815*$J$5)</f>
        <v>41999171.953758091</v>
      </c>
      <c r="G815">
        <f t="shared" si="12"/>
        <v>18.600000000000001</v>
      </c>
    </row>
    <row r="816" spans="2:7" x14ac:dyDescent="0.35">
      <c r="B816" s="1">
        <v>45691</v>
      </c>
      <c r="C816" s="2">
        <v>0.91666666666666663</v>
      </c>
      <c r="D816">
        <v>-2.4</v>
      </c>
      <c r="E816">
        <f>IF($D816 &gt; 16, 0, $J$3*(16 - $D816))</f>
        <v>3822.5750256928245</v>
      </c>
      <c r="F816">
        <f>IF($D816 &gt; 16, 0,$E816*$J$5)</f>
        <v>41547567.954255313</v>
      </c>
      <c r="G816">
        <f t="shared" si="12"/>
        <v>18.399999999999999</v>
      </c>
    </row>
    <row r="817" spans="2:7" x14ac:dyDescent="0.35">
      <c r="B817" s="1">
        <v>45691</v>
      </c>
      <c r="C817" s="2">
        <v>0.95833333333333337</v>
      </c>
      <c r="D817">
        <v>-2.8</v>
      </c>
      <c r="E817">
        <f>IF($D817 &gt; 16, 0, $J$3*(16 - $D817))</f>
        <v>3905.6744827731036</v>
      </c>
      <c r="F817">
        <f>IF($D817 &gt; 16, 0,$E817*$J$5)</f>
        <v>42450775.953260861</v>
      </c>
      <c r="G817">
        <f t="shared" si="12"/>
        <v>18.8</v>
      </c>
    </row>
    <row r="818" spans="2:7" x14ac:dyDescent="0.35">
      <c r="B818" s="1">
        <v>45692</v>
      </c>
      <c r="C818" s="2">
        <v>0</v>
      </c>
      <c r="D818">
        <v>-2.6</v>
      </c>
      <c r="E818">
        <f>IF($D818 &gt; 16, 0, $J$3*(16 - $D818))</f>
        <v>3864.1247542329643</v>
      </c>
      <c r="F818">
        <f>IF($D818 &gt; 16, 0,$E818*$J$5)</f>
        <v>41999171.953758091</v>
      </c>
      <c r="G818">
        <f t="shared" si="12"/>
        <v>18.600000000000001</v>
      </c>
    </row>
    <row r="819" spans="2:7" x14ac:dyDescent="0.35">
      <c r="B819" s="1">
        <v>45692</v>
      </c>
      <c r="C819" s="2">
        <v>4.1666666666666657E-2</v>
      </c>
      <c r="D819">
        <v>-2.7</v>
      </c>
      <c r="E819">
        <f>IF($D819 &gt; 16, 0, $J$3*(16 - $D819))</f>
        <v>3884.8996185030337</v>
      </c>
      <c r="F819">
        <f>IF($D819 &gt; 16, 0,$E819*$J$5)</f>
        <v>42224973.953509472</v>
      </c>
      <c r="G819">
        <f t="shared" si="12"/>
        <v>18.7</v>
      </c>
    </row>
    <row r="820" spans="2:7" x14ac:dyDescent="0.35">
      <c r="B820" s="1">
        <v>45692</v>
      </c>
      <c r="C820" s="2">
        <v>8.3333333333333329E-2</v>
      </c>
      <c r="D820">
        <v>-3.3</v>
      </c>
      <c r="E820">
        <f>IF($D820 &gt; 16, 0, $J$3*(16 - $D820))</f>
        <v>4009.5488041234521</v>
      </c>
      <c r="F820">
        <f>IF($D820 &gt; 16, 0,$E820*$J$5)</f>
        <v>43579785.952017799</v>
      </c>
      <c r="G820">
        <f t="shared" si="12"/>
        <v>19.3</v>
      </c>
    </row>
    <row r="821" spans="2:7" x14ac:dyDescent="0.35">
      <c r="B821" s="1">
        <v>45692</v>
      </c>
      <c r="C821" s="2">
        <v>0.125</v>
      </c>
      <c r="D821">
        <v>-3.2</v>
      </c>
      <c r="E821">
        <f>IF($D821 &gt; 16, 0, $J$3*(16 - $D821))</f>
        <v>3988.7739398533822</v>
      </c>
      <c r="F821">
        <f>IF($D821 &gt; 16, 0,$E821*$J$5)</f>
        <v>43353983.95226641</v>
      </c>
      <c r="G821">
        <f t="shared" si="12"/>
        <v>19.2</v>
      </c>
    </row>
    <row r="822" spans="2:7" x14ac:dyDescent="0.35">
      <c r="B822" s="1">
        <v>45692</v>
      </c>
      <c r="C822" s="2">
        <v>0.16666666666666671</v>
      </c>
      <c r="D822">
        <v>-3.3</v>
      </c>
      <c r="E822">
        <f>IF($D822 &gt; 16, 0, $J$3*(16 - $D822))</f>
        <v>4009.5488041234521</v>
      </c>
      <c r="F822">
        <f>IF($D822 &gt; 16, 0,$E822*$J$5)</f>
        <v>43579785.952017799</v>
      </c>
      <c r="G822">
        <f t="shared" si="12"/>
        <v>19.3</v>
      </c>
    </row>
    <row r="823" spans="2:7" x14ac:dyDescent="0.35">
      <c r="B823" s="1">
        <v>45692</v>
      </c>
      <c r="C823" s="2">
        <v>0.20833333333333329</v>
      </c>
      <c r="D823">
        <v>-3.4</v>
      </c>
      <c r="E823">
        <f>IF($D823 &gt; 16, 0, $J$3*(16 - $D823))</f>
        <v>4030.3236683935215</v>
      </c>
      <c r="F823">
        <f>IF($D823 &gt; 16, 0,$E823*$J$5)</f>
        <v>43805587.951769188</v>
      </c>
      <c r="G823">
        <f t="shared" si="12"/>
        <v>19.399999999999999</v>
      </c>
    </row>
    <row r="824" spans="2:7" x14ac:dyDescent="0.35">
      <c r="B824" s="1">
        <v>45692</v>
      </c>
      <c r="C824" s="2">
        <v>0.25</v>
      </c>
      <c r="D824">
        <v>-3.2</v>
      </c>
      <c r="E824">
        <f>IF($D824 &gt; 16, 0, $J$3*(16 - $D824))</f>
        <v>3988.7739398533822</v>
      </c>
      <c r="F824">
        <f>IF($D824 &gt; 16, 0,$E824*$J$5)</f>
        <v>43353983.95226641</v>
      </c>
      <c r="G824">
        <f t="shared" si="12"/>
        <v>19.2</v>
      </c>
    </row>
    <row r="825" spans="2:7" x14ac:dyDescent="0.35">
      <c r="B825" s="1">
        <v>45692</v>
      </c>
      <c r="C825" s="2">
        <v>0.29166666666666669</v>
      </c>
      <c r="D825">
        <v>-3.1</v>
      </c>
      <c r="E825">
        <f>IF($D825 &gt; 16, 0, $J$3*(16 - $D825))</f>
        <v>3967.9990755833128</v>
      </c>
      <c r="F825">
        <f>IF($D825 &gt; 16, 0,$E825*$J$5)</f>
        <v>43128181.952515028</v>
      </c>
      <c r="G825">
        <f t="shared" si="12"/>
        <v>19.100000000000001</v>
      </c>
    </row>
    <row r="826" spans="2:7" x14ac:dyDescent="0.35">
      <c r="B826" s="1">
        <v>45692</v>
      </c>
      <c r="C826" s="2">
        <v>0.33333333333333331</v>
      </c>
      <c r="D826">
        <v>-2.1</v>
      </c>
      <c r="E826">
        <f>IF($D826 &gt; 16, 0, $J$3*(16 - $D826))</f>
        <v>3760.2504328826158</v>
      </c>
      <c r="F826">
        <f>IF($D826 &gt; 16, 0,$E826*$J$5)</f>
        <v>40870161.955001153</v>
      </c>
      <c r="G826">
        <f t="shared" si="12"/>
        <v>18.100000000000001</v>
      </c>
    </row>
    <row r="827" spans="2:7" x14ac:dyDescent="0.35">
      <c r="B827" s="1">
        <v>45692</v>
      </c>
      <c r="C827" s="2">
        <v>0.375</v>
      </c>
      <c r="D827">
        <v>-0.1</v>
      </c>
      <c r="E827">
        <f>IF($D827 &gt; 16, 0, $J$3*(16 - $D827))</f>
        <v>3344.7531474812217</v>
      </c>
      <c r="F827">
        <f>IF($D827 &gt; 16, 0,$E827*$J$5)</f>
        <v>36354121.959973402</v>
      </c>
      <c r="G827">
        <f t="shared" si="12"/>
        <v>16.100000000000001</v>
      </c>
    </row>
    <row r="828" spans="2:7" x14ac:dyDescent="0.35">
      <c r="B828" s="1">
        <v>45692</v>
      </c>
      <c r="C828" s="2">
        <v>0.41666666666666669</v>
      </c>
      <c r="D828">
        <v>0.5</v>
      </c>
      <c r="E828">
        <f>IF($D828 &gt; 16, 0, $J$3*(16 - $D828))</f>
        <v>3220.1039618608033</v>
      </c>
      <c r="F828">
        <f>IF($D828 &gt; 16, 0,$E828*$J$5)</f>
        <v>34999309.961465068</v>
      </c>
      <c r="G828">
        <f t="shared" si="12"/>
        <v>15.5</v>
      </c>
    </row>
    <row r="829" spans="2:7" x14ac:dyDescent="0.35">
      <c r="B829" s="1">
        <v>45692</v>
      </c>
      <c r="C829" s="2">
        <v>0.45833333333333331</v>
      </c>
      <c r="D829">
        <v>1.1000000000000001</v>
      </c>
      <c r="E829">
        <f>IF($D829 &gt; 16, 0, $J$3*(16 - $D829))</f>
        <v>3095.4547762403854</v>
      </c>
      <c r="F829">
        <f>IF($D829 &gt; 16, 0,$E829*$J$5)</f>
        <v>33644497.962956749</v>
      </c>
      <c r="G829">
        <f t="shared" si="12"/>
        <v>14.9</v>
      </c>
    </row>
    <row r="830" spans="2:7" x14ac:dyDescent="0.35">
      <c r="B830" s="1">
        <v>45692</v>
      </c>
      <c r="C830" s="2">
        <v>0.5</v>
      </c>
      <c r="D830">
        <v>1.6</v>
      </c>
      <c r="E830">
        <f>IF($D830 &gt; 16, 0, $J$3*(16 - $D830))</f>
        <v>2991.5804548900369</v>
      </c>
      <c r="F830">
        <f>IF($D830 &gt; 16, 0,$E830*$J$5)</f>
        <v>32515487.964199811</v>
      </c>
      <c r="G830">
        <f t="shared" si="12"/>
        <v>14.4</v>
      </c>
    </row>
    <row r="831" spans="2:7" x14ac:dyDescent="0.35">
      <c r="B831" s="1">
        <v>45692</v>
      </c>
      <c r="C831" s="2">
        <v>0.54166666666666663</v>
      </c>
      <c r="D831">
        <v>1.6</v>
      </c>
      <c r="E831">
        <f>IF($D831 &gt; 16, 0, $J$3*(16 - $D831))</f>
        <v>2991.5804548900369</v>
      </c>
      <c r="F831">
        <f>IF($D831 &gt; 16, 0,$E831*$J$5)</f>
        <v>32515487.964199811</v>
      </c>
      <c r="G831">
        <f t="shared" si="12"/>
        <v>14.4</v>
      </c>
    </row>
    <row r="832" spans="2:7" x14ac:dyDescent="0.35">
      <c r="B832" s="1">
        <v>45692</v>
      </c>
      <c r="C832" s="2">
        <v>0.58333333333333337</v>
      </c>
      <c r="D832">
        <v>1.9</v>
      </c>
      <c r="E832">
        <f>IF($D832 &gt; 16, 0, $J$3*(16 - $D832))</f>
        <v>2929.2558620798277</v>
      </c>
      <c r="F832">
        <f>IF($D832 &gt; 16, 0,$E832*$J$5)</f>
        <v>31838081.964945648</v>
      </c>
      <c r="G832">
        <f t="shared" si="12"/>
        <v>14.1</v>
      </c>
    </row>
    <row r="833" spans="2:7" x14ac:dyDescent="0.35">
      <c r="B833" s="1">
        <v>45692</v>
      </c>
      <c r="C833" s="2">
        <v>0.625</v>
      </c>
      <c r="D833">
        <v>2.4</v>
      </c>
      <c r="E833">
        <f>IF($D833 &gt; 16, 0, $J$3*(16 - $D833))</f>
        <v>2825.3815407294792</v>
      </c>
      <c r="F833">
        <f>IF($D833 &gt; 16, 0,$E833*$J$5)</f>
        <v>30709071.96618871</v>
      </c>
      <c r="G833">
        <f t="shared" si="12"/>
        <v>13.6</v>
      </c>
    </row>
    <row r="834" spans="2:7" x14ac:dyDescent="0.35">
      <c r="B834" s="1">
        <v>45692</v>
      </c>
      <c r="C834" s="2">
        <v>0.66666666666666663</v>
      </c>
      <c r="D834">
        <v>2.5</v>
      </c>
      <c r="E834">
        <f>IF($D834 &gt; 16, 0, $J$3*(16 - $D834))</f>
        <v>2804.6066764594093</v>
      </c>
      <c r="F834">
        <f>IF($D834 &gt; 16, 0,$E834*$J$5)</f>
        <v>30483269.966437321</v>
      </c>
      <c r="G834">
        <f t="shared" si="12"/>
        <v>13.5</v>
      </c>
    </row>
    <row r="835" spans="2:7" x14ac:dyDescent="0.35">
      <c r="B835" s="1">
        <v>45692</v>
      </c>
      <c r="C835" s="2">
        <v>0.70833333333333337</v>
      </c>
      <c r="D835">
        <v>2.9</v>
      </c>
      <c r="E835">
        <f>IF($D835 &gt; 16, 0, $J$3*(16 - $D835))</f>
        <v>2721.5072193791307</v>
      </c>
      <c r="F835">
        <f>IF($D835 &gt; 16, 0,$E835*$J$5)</f>
        <v>29580061.967431773</v>
      </c>
      <c r="G835">
        <f t="shared" ref="G835:G898" si="13">MAX(0, 16 - $D835)</f>
        <v>13.1</v>
      </c>
    </row>
    <row r="836" spans="2:7" x14ac:dyDescent="0.35">
      <c r="B836" s="1">
        <v>45692</v>
      </c>
      <c r="C836" s="2">
        <v>0.75</v>
      </c>
      <c r="D836">
        <v>3.2</v>
      </c>
      <c r="E836">
        <f>IF($D836 &gt; 16, 0, $J$3*(16 - $D836))</f>
        <v>2659.1826265689215</v>
      </c>
      <c r="F836">
        <f>IF($D836 &gt; 16, 0,$E836*$J$5)</f>
        <v>28902655.968177609</v>
      </c>
      <c r="G836">
        <f t="shared" si="13"/>
        <v>12.8</v>
      </c>
    </row>
    <row r="837" spans="2:7" x14ac:dyDescent="0.35">
      <c r="B837" s="1">
        <v>45692</v>
      </c>
      <c r="C837" s="2">
        <v>0.79166666666666663</v>
      </c>
      <c r="D837">
        <v>3.3</v>
      </c>
      <c r="E837">
        <f>IF($D837 &gt; 16, 0, $J$3*(16 - $D837))</f>
        <v>2638.4077622988516</v>
      </c>
      <c r="F837">
        <f>IF($D837 &gt; 16, 0,$E837*$J$5)</f>
        <v>28676853.968426216</v>
      </c>
      <c r="G837">
        <f t="shared" si="13"/>
        <v>12.7</v>
      </c>
    </row>
    <row r="838" spans="2:7" x14ac:dyDescent="0.35">
      <c r="B838" s="1">
        <v>45692</v>
      </c>
      <c r="C838" s="2">
        <v>0.83333333333333337</v>
      </c>
      <c r="D838">
        <v>3.6</v>
      </c>
      <c r="E838">
        <f>IF($D838 &gt; 16, 0, $J$3*(16 - $D838))</f>
        <v>2576.0831694886429</v>
      </c>
      <c r="F838">
        <f>IF($D838 &gt; 16, 0,$E838*$J$5)</f>
        <v>27999447.96917206</v>
      </c>
      <c r="G838">
        <f t="shared" si="13"/>
        <v>12.4</v>
      </c>
    </row>
    <row r="839" spans="2:7" x14ac:dyDescent="0.35">
      <c r="B839" s="1">
        <v>45692</v>
      </c>
      <c r="C839" s="2">
        <v>0.875</v>
      </c>
      <c r="D839">
        <v>3.3</v>
      </c>
      <c r="E839">
        <f>IF($D839 &gt; 16, 0, $J$3*(16 - $D839))</f>
        <v>2638.4077622988516</v>
      </c>
      <c r="F839">
        <f>IF($D839 &gt; 16, 0,$E839*$J$5)</f>
        <v>28676853.968426216</v>
      </c>
      <c r="G839">
        <f t="shared" si="13"/>
        <v>12.7</v>
      </c>
    </row>
    <row r="840" spans="2:7" x14ac:dyDescent="0.35">
      <c r="B840" s="1">
        <v>45692</v>
      </c>
      <c r="C840" s="2">
        <v>0.91666666666666663</v>
      </c>
      <c r="D840">
        <v>3.3</v>
      </c>
      <c r="E840">
        <f>IF($D840 &gt; 16, 0, $J$3*(16 - $D840))</f>
        <v>2638.4077622988516</v>
      </c>
      <c r="F840">
        <f>IF($D840 &gt; 16, 0,$E840*$J$5)</f>
        <v>28676853.968426216</v>
      </c>
      <c r="G840">
        <f t="shared" si="13"/>
        <v>12.7</v>
      </c>
    </row>
    <row r="841" spans="2:7" x14ac:dyDescent="0.35">
      <c r="B841" s="1">
        <v>45692</v>
      </c>
      <c r="C841" s="2">
        <v>0.95833333333333337</v>
      </c>
      <c r="D841">
        <v>3.1</v>
      </c>
      <c r="E841">
        <f>IF($D841 &gt; 16, 0, $J$3*(16 - $D841))</f>
        <v>2679.9574908389914</v>
      </c>
      <c r="F841">
        <f>IF($D841 &gt; 16, 0,$E841*$J$5)</f>
        <v>29128457.967928998</v>
      </c>
      <c r="G841">
        <f t="shared" si="13"/>
        <v>12.9</v>
      </c>
    </row>
    <row r="842" spans="2:7" x14ac:dyDescent="0.35">
      <c r="B842" s="1">
        <v>45693</v>
      </c>
      <c r="C842" s="2">
        <v>0</v>
      </c>
      <c r="D842">
        <v>3</v>
      </c>
      <c r="E842">
        <f>IF($D842 &gt; 16, 0, $J$3*(16 - $D842))</f>
        <v>2700.7323551090608</v>
      </c>
      <c r="F842">
        <f>IF($D842 &gt; 16, 0,$E842*$J$5)</f>
        <v>29354259.967680383</v>
      </c>
      <c r="G842">
        <f t="shared" si="13"/>
        <v>13</v>
      </c>
    </row>
    <row r="843" spans="2:7" x14ac:dyDescent="0.35">
      <c r="B843" s="1">
        <v>45693</v>
      </c>
      <c r="C843" s="2">
        <v>4.1666666666666657E-2</v>
      </c>
      <c r="D843">
        <v>1.8</v>
      </c>
      <c r="E843">
        <f>IF($D843 &gt; 16, 0, $J$3*(16 - $D843))</f>
        <v>2950.0307263498971</v>
      </c>
      <c r="F843">
        <f>IF($D843 &gt; 16, 0,$E843*$J$5)</f>
        <v>32063883.964697033</v>
      </c>
      <c r="G843">
        <f t="shared" si="13"/>
        <v>14.2</v>
      </c>
    </row>
    <row r="844" spans="2:7" x14ac:dyDescent="0.35">
      <c r="B844" s="1">
        <v>45693</v>
      </c>
      <c r="C844" s="2">
        <v>8.3333333333333329E-2</v>
      </c>
      <c r="D844">
        <v>1.6</v>
      </c>
      <c r="E844">
        <f>IF($D844 &gt; 16, 0, $J$3*(16 - $D844))</f>
        <v>2991.5804548900369</v>
      </c>
      <c r="F844">
        <f>IF($D844 &gt; 16, 0,$E844*$J$5)</f>
        <v>32515487.964199811</v>
      </c>
      <c r="G844">
        <f t="shared" si="13"/>
        <v>14.4</v>
      </c>
    </row>
    <row r="845" spans="2:7" x14ac:dyDescent="0.35">
      <c r="B845" s="1">
        <v>45693</v>
      </c>
      <c r="C845" s="2">
        <v>0.125</v>
      </c>
      <c r="D845">
        <v>1.3</v>
      </c>
      <c r="E845">
        <f>IF($D845 &gt; 16, 0, $J$3*(16 - $D845))</f>
        <v>3053.9050477002456</v>
      </c>
      <c r="F845">
        <f>IF($D845 &gt; 16, 0,$E845*$J$5)</f>
        <v>33192893.963453971</v>
      </c>
      <c r="G845">
        <f t="shared" si="13"/>
        <v>14.7</v>
      </c>
    </row>
    <row r="846" spans="2:7" x14ac:dyDescent="0.35">
      <c r="B846" s="1">
        <v>45693</v>
      </c>
      <c r="C846" s="2">
        <v>0.16666666666666671</v>
      </c>
      <c r="D846">
        <v>1.1000000000000001</v>
      </c>
      <c r="E846">
        <f>IF($D846 &gt; 16, 0, $J$3*(16 - $D846))</f>
        <v>3095.4547762403854</v>
      </c>
      <c r="F846">
        <f>IF($D846 &gt; 16, 0,$E846*$J$5)</f>
        <v>33644497.962956749</v>
      </c>
      <c r="G846">
        <f t="shared" si="13"/>
        <v>14.9</v>
      </c>
    </row>
    <row r="847" spans="2:7" x14ac:dyDescent="0.35">
      <c r="B847" s="1">
        <v>45693</v>
      </c>
      <c r="C847" s="2">
        <v>0.20833333333333329</v>
      </c>
      <c r="D847">
        <v>1.4</v>
      </c>
      <c r="E847">
        <f>IF($D847 &gt; 16, 0, $J$3*(16 - $D847))</f>
        <v>3033.1301834301762</v>
      </c>
      <c r="F847">
        <f>IF($D847 &gt; 16, 0,$E847*$J$5)</f>
        <v>32967091.963702586</v>
      </c>
      <c r="G847">
        <f t="shared" si="13"/>
        <v>14.6</v>
      </c>
    </row>
    <row r="848" spans="2:7" x14ac:dyDescent="0.35">
      <c r="B848" s="1">
        <v>45693</v>
      </c>
      <c r="C848" s="2">
        <v>0.25</v>
      </c>
      <c r="D848">
        <v>1.8</v>
      </c>
      <c r="E848">
        <f>IF($D848 &gt; 16, 0, $J$3*(16 - $D848))</f>
        <v>2950.0307263498971</v>
      </c>
      <c r="F848">
        <f>IF($D848 &gt; 16, 0,$E848*$J$5)</f>
        <v>32063883.964697033</v>
      </c>
      <c r="G848">
        <f t="shared" si="13"/>
        <v>14.2</v>
      </c>
    </row>
    <row r="849" spans="2:7" x14ac:dyDescent="0.35">
      <c r="B849" s="1">
        <v>45693</v>
      </c>
      <c r="C849" s="2">
        <v>0.29166666666666669</v>
      </c>
      <c r="D849">
        <v>2.4</v>
      </c>
      <c r="E849">
        <f>IF($D849 &gt; 16, 0, $J$3*(16 - $D849))</f>
        <v>2825.3815407294792</v>
      </c>
      <c r="F849">
        <f>IF($D849 &gt; 16, 0,$E849*$J$5)</f>
        <v>30709071.96618871</v>
      </c>
      <c r="G849">
        <f t="shared" si="13"/>
        <v>13.6</v>
      </c>
    </row>
    <row r="850" spans="2:7" x14ac:dyDescent="0.35">
      <c r="B850" s="1">
        <v>45693</v>
      </c>
      <c r="C850" s="2">
        <v>0.33333333333333331</v>
      </c>
      <c r="D850">
        <v>2.8</v>
      </c>
      <c r="E850">
        <f>IF($D850 &gt; 16, 0, $J$3*(16 - $D850))</f>
        <v>2742.2820836492001</v>
      </c>
      <c r="F850">
        <f>IF($D850 &gt; 16, 0,$E850*$J$5)</f>
        <v>29805863.967183154</v>
      </c>
      <c r="G850">
        <f t="shared" si="13"/>
        <v>13.2</v>
      </c>
    </row>
    <row r="851" spans="2:7" x14ac:dyDescent="0.35">
      <c r="B851" s="1">
        <v>45693</v>
      </c>
      <c r="C851" s="2">
        <v>0.375</v>
      </c>
      <c r="D851">
        <v>3.4</v>
      </c>
      <c r="E851">
        <f>IF($D851 &gt; 16, 0, $J$3*(16 - $D851))</f>
        <v>2617.6328980287822</v>
      </c>
      <c r="F851">
        <f>IF($D851 &gt; 16, 0,$E851*$J$5)</f>
        <v>28451051.968674835</v>
      </c>
      <c r="G851">
        <f t="shared" si="13"/>
        <v>12.6</v>
      </c>
    </row>
    <row r="852" spans="2:7" x14ac:dyDescent="0.35">
      <c r="B852" s="1">
        <v>45693</v>
      </c>
      <c r="C852" s="2">
        <v>0.41666666666666669</v>
      </c>
      <c r="D852">
        <v>4</v>
      </c>
      <c r="E852">
        <f>IF($D852 &gt; 16, 0, $J$3*(16 - $D852))</f>
        <v>2492.9837124083638</v>
      </c>
      <c r="F852">
        <f>IF($D852 &gt; 16, 0,$E852*$J$5)</f>
        <v>27096239.970166504</v>
      </c>
      <c r="G852">
        <f t="shared" si="13"/>
        <v>12</v>
      </c>
    </row>
    <row r="853" spans="2:7" x14ac:dyDescent="0.35">
      <c r="B853" s="1">
        <v>45693</v>
      </c>
      <c r="C853" s="2">
        <v>0.45833333333333331</v>
      </c>
      <c r="D853">
        <v>4.8</v>
      </c>
      <c r="E853">
        <f>IF($D853 &gt; 16, 0, $J$3*(16 - $D853))</f>
        <v>2326.7847982478061</v>
      </c>
      <c r="F853">
        <f>IF($D853 &gt; 16, 0,$E853*$J$5)</f>
        <v>25289823.972155403</v>
      </c>
      <c r="G853">
        <f t="shared" si="13"/>
        <v>11.2</v>
      </c>
    </row>
    <row r="854" spans="2:7" x14ac:dyDescent="0.35">
      <c r="B854" s="1">
        <v>45693</v>
      </c>
      <c r="C854" s="2">
        <v>0.5</v>
      </c>
      <c r="D854">
        <v>5.7</v>
      </c>
      <c r="E854">
        <f>IF($D854 &gt; 16, 0, $J$3*(16 - $D854))</f>
        <v>2139.8110198171789</v>
      </c>
      <c r="F854">
        <f>IF($D854 &gt; 16, 0,$E854*$J$5)</f>
        <v>23257605.974392917</v>
      </c>
      <c r="G854">
        <f t="shared" si="13"/>
        <v>10.3</v>
      </c>
    </row>
    <row r="855" spans="2:7" x14ac:dyDescent="0.35">
      <c r="B855" s="1">
        <v>45693</v>
      </c>
      <c r="C855" s="2">
        <v>0.54166666666666663</v>
      </c>
      <c r="D855">
        <v>6.3</v>
      </c>
      <c r="E855">
        <f>IF($D855 &gt; 16, 0, $J$3*(16 - $D855))</f>
        <v>2015.1618341967608</v>
      </c>
      <c r="F855">
        <f>IF($D855 &gt; 16, 0,$E855*$J$5)</f>
        <v>21902793.975884594</v>
      </c>
      <c r="G855">
        <f t="shared" si="13"/>
        <v>9.6999999999999993</v>
      </c>
    </row>
    <row r="856" spans="2:7" x14ac:dyDescent="0.35">
      <c r="B856" s="1">
        <v>45693</v>
      </c>
      <c r="C856" s="2">
        <v>0.58333333333333337</v>
      </c>
      <c r="D856">
        <v>6.9</v>
      </c>
      <c r="E856">
        <f>IF($D856 &gt; 16, 0, $J$3*(16 - $D856))</f>
        <v>1890.5126485763426</v>
      </c>
      <c r="F856">
        <f>IF($D856 &gt; 16, 0,$E856*$J$5)</f>
        <v>20547981.977376267</v>
      </c>
      <c r="G856">
        <f t="shared" si="13"/>
        <v>9.1</v>
      </c>
    </row>
    <row r="857" spans="2:7" x14ac:dyDescent="0.35">
      <c r="B857" s="1">
        <v>45693</v>
      </c>
      <c r="C857" s="2">
        <v>0.625</v>
      </c>
      <c r="D857">
        <v>6.8</v>
      </c>
      <c r="E857">
        <f>IF($D857 &gt; 16, 0, $J$3*(16 - $D857))</f>
        <v>1911.2875128464123</v>
      </c>
      <c r="F857">
        <f>IF($D857 &gt; 16, 0,$E857*$J$5)</f>
        <v>20773783.977127656</v>
      </c>
      <c r="G857">
        <f t="shared" si="13"/>
        <v>9.1999999999999993</v>
      </c>
    </row>
    <row r="858" spans="2:7" x14ac:dyDescent="0.35">
      <c r="B858" s="1">
        <v>45693</v>
      </c>
      <c r="C858" s="2">
        <v>0.66666666666666663</v>
      </c>
      <c r="D858">
        <v>6.5</v>
      </c>
      <c r="E858">
        <f>IF($D858 &gt; 16, 0, $J$3*(16 - $D858))</f>
        <v>1973.6121056566215</v>
      </c>
      <c r="F858">
        <f>IF($D858 &gt; 16, 0,$E858*$J$5)</f>
        <v>21451189.97638182</v>
      </c>
      <c r="G858">
        <f t="shared" si="13"/>
        <v>9.5</v>
      </c>
    </row>
    <row r="859" spans="2:7" x14ac:dyDescent="0.35">
      <c r="B859" s="1">
        <v>45693</v>
      </c>
      <c r="C859" s="2">
        <v>0.70833333333333337</v>
      </c>
      <c r="D859">
        <v>5.5</v>
      </c>
      <c r="E859">
        <f>IF($D859 &gt; 16, 0, $J$3*(16 - $D859))</f>
        <v>2181.3607483573182</v>
      </c>
      <c r="F859">
        <f>IF($D859 &gt; 16, 0,$E859*$J$5)</f>
        <v>23709209.973895691</v>
      </c>
      <c r="G859">
        <f t="shared" si="13"/>
        <v>10.5</v>
      </c>
    </row>
    <row r="860" spans="2:7" x14ac:dyDescent="0.35">
      <c r="B860" s="1">
        <v>45693</v>
      </c>
      <c r="C860" s="2">
        <v>0.75</v>
      </c>
      <c r="D860">
        <v>5.2</v>
      </c>
      <c r="E860">
        <f>IF($D860 &gt; 16, 0, $J$3*(16 - $D860))</f>
        <v>2243.6853411675274</v>
      </c>
      <c r="F860">
        <f>IF($D860 &gt; 16, 0,$E860*$J$5)</f>
        <v>24386615.973149855</v>
      </c>
      <c r="G860">
        <f t="shared" si="13"/>
        <v>10.8</v>
      </c>
    </row>
    <row r="861" spans="2:7" x14ac:dyDescent="0.35">
      <c r="B861" s="1">
        <v>45693</v>
      </c>
      <c r="C861" s="2">
        <v>0.79166666666666663</v>
      </c>
      <c r="D861">
        <v>4.3</v>
      </c>
      <c r="E861">
        <f>IF($D861 &gt; 16, 0, $J$3*(16 - $D861))</f>
        <v>2430.6591195981546</v>
      </c>
      <c r="F861">
        <f>IF($D861 &gt; 16, 0,$E861*$J$5)</f>
        <v>26418833.970912341</v>
      </c>
      <c r="G861">
        <f t="shared" si="13"/>
        <v>11.7</v>
      </c>
    </row>
    <row r="862" spans="2:7" x14ac:dyDescent="0.35">
      <c r="B862" s="1">
        <v>45693</v>
      </c>
      <c r="C862" s="2">
        <v>0.83333333333333337</v>
      </c>
      <c r="D862">
        <v>4.7</v>
      </c>
      <c r="E862">
        <f>IF($D862 &gt; 16, 0, $J$3*(16 - $D862))</f>
        <v>2347.5596625178759</v>
      </c>
      <c r="F862">
        <f>IF($D862 &gt; 16, 0,$E862*$J$5)</f>
        <v>25515625.971906792</v>
      </c>
      <c r="G862">
        <f t="shared" si="13"/>
        <v>11.3</v>
      </c>
    </row>
    <row r="863" spans="2:7" x14ac:dyDescent="0.35">
      <c r="B863" s="1">
        <v>45693</v>
      </c>
      <c r="C863" s="2">
        <v>0.875</v>
      </c>
      <c r="D863">
        <v>3.1</v>
      </c>
      <c r="E863">
        <f>IF($D863 &gt; 16, 0, $J$3*(16 - $D863))</f>
        <v>2679.9574908389914</v>
      </c>
      <c r="F863">
        <f>IF($D863 &gt; 16, 0,$E863*$J$5)</f>
        <v>29128457.967928998</v>
      </c>
      <c r="G863">
        <f t="shared" si="13"/>
        <v>12.9</v>
      </c>
    </row>
    <row r="864" spans="2:7" x14ac:dyDescent="0.35">
      <c r="B864" s="1">
        <v>45693</v>
      </c>
      <c r="C864" s="2">
        <v>0.91666666666666663</v>
      </c>
      <c r="D864">
        <v>3.1</v>
      </c>
      <c r="E864">
        <f>IF($D864 &gt; 16, 0, $J$3*(16 - $D864))</f>
        <v>2679.9574908389914</v>
      </c>
      <c r="F864">
        <f>IF($D864 &gt; 16, 0,$E864*$J$5)</f>
        <v>29128457.967928998</v>
      </c>
      <c r="G864">
        <f t="shared" si="13"/>
        <v>12.9</v>
      </c>
    </row>
    <row r="865" spans="2:7" x14ac:dyDescent="0.35">
      <c r="B865" s="1">
        <v>45693</v>
      </c>
      <c r="C865" s="2">
        <v>0.95833333333333337</v>
      </c>
      <c r="D865">
        <v>4.2</v>
      </c>
      <c r="E865">
        <f>IF($D865 &gt; 16, 0, $J$3*(16 - $D865))</f>
        <v>2451.4339838682245</v>
      </c>
      <c r="F865">
        <f>IF($D865 &gt; 16, 0,$E865*$J$5)</f>
        <v>26644635.97066373</v>
      </c>
      <c r="G865">
        <f t="shared" si="13"/>
        <v>11.8</v>
      </c>
    </row>
    <row r="866" spans="2:7" x14ac:dyDescent="0.35">
      <c r="B866" s="1">
        <v>45694</v>
      </c>
      <c r="C866" s="2">
        <v>0</v>
      </c>
      <c r="D866">
        <v>4.3</v>
      </c>
      <c r="E866">
        <f>IF($D866 &gt; 16, 0, $J$3*(16 - $D866))</f>
        <v>2430.6591195981546</v>
      </c>
      <c r="F866">
        <f>IF($D866 &gt; 16, 0,$E866*$J$5)</f>
        <v>26418833.970912341</v>
      </c>
      <c r="G866">
        <f t="shared" si="13"/>
        <v>11.7</v>
      </c>
    </row>
    <row r="867" spans="2:7" x14ac:dyDescent="0.35">
      <c r="B867" s="1">
        <v>45694</v>
      </c>
      <c r="C867" s="2">
        <v>4.1666666666666657E-2</v>
      </c>
      <c r="D867">
        <v>4.0999999999999996</v>
      </c>
      <c r="E867">
        <f>IF($D867 &gt; 16, 0, $J$3*(16 - $D867))</f>
        <v>2472.2088481382943</v>
      </c>
      <c r="F867">
        <f>IF($D867 &gt; 16, 0,$E867*$J$5)</f>
        <v>26870437.970415123</v>
      </c>
      <c r="G867">
        <f t="shared" si="13"/>
        <v>11.9</v>
      </c>
    </row>
    <row r="868" spans="2:7" x14ac:dyDescent="0.35">
      <c r="B868" s="1">
        <v>45694</v>
      </c>
      <c r="C868" s="2">
        <v>8.3333333333333329E-2</v>
      </c>
      <c r="D868">
        <v>3.9</v>
      </c>
      <c r="E868">
        <f>IF($D868 &gt; 16, 0, $J$3*(16 - $D868))</f>
        <v>2513.7585766784337</v>
      </c>
      <c r="F868">
        <f>IF($D868 &gt; 16, 0,$E868*$J$5)</f>
        <v>27322041.969917897</v>
      </c>
      <c r="G868">
        <f t="shared" si="13"/>
        <v>12.1</v>
      </c>
    </row>
    <row r="869" spans="2:7" x14ac:dyDescent="0.35">
      <c r="B869" s="1">
        <v>45694</v>
      </c>
      <c r="C869" s="2">
        <v>0.125</v>
      </c>
      <c r="D869">
        <v>3.7</v>
      </c>
      <c r="E869">
        <f>IF($D869 &gt; 16, 0, $J$3*(16 - $D869))</f>
        <v>2555.308305218573</v>
      </c>
      <c r="F869">
        <f>IF($D869 &gt; 16, 0,$E869*$J$5)</f>
        <v>27773645.969420668</v>
      </c>
      <c r="G869">
        <f t="shared" si="13"/>
        <v>12.3</v>
      </c>
    </row>
    <row r="870" spans="2:7" x14ac:dyDescent="0.35">
      <c r="B870" s="1">
        <v>45694</v>
      </c>
      <c r="C870" s="2">
        <v>0.16666666666666671</v>
      </c>
      <c r="D870">
        <v>3.6</v>
      </c>
      <c r="E870">
        <f>IF($D870 &gt; 16, 0, $J$3*(16 - $D870))</f>
        <v>2576.0831694886429</v>
      </c>
      <c r="F870">
        <f>IF($D870 &gt; 16, 0,$E870*$J$5)</f>
        <v>27999447.96917206</v>
      </c>
      <c r="G870">
        <f t="shared" si="13"/>
        <v>12.4</v>
      </c>
    </row>
    <row r="871" spans="2:7" x14ac:dyDescent="0.35">
      <c r="B871" s="1">
        <v>45694</v>
      </c>
      <c r="C871" s="2">
        <v>0.20833333333333329</v>
      </c>
      <c r="D871">
        <v>3.7</v>
      </c>
      <c r="E871">
        <f>IF($D871 &gt; 16, 0, $J$3*(16 - $D871))</f>
        <v>2555.308305218573</v>
      </c>
      <c r="F871">
        <f>IF($D871 &gt; 16, 0,$E871*$J$5)</f>
        <v>27773645.969420668</v>
      </c>
      <c r="G871">
        <f t="shared" si="13"/>
        <v>12.3</v>
      </c>
    </row>
    <row r="872" spans="2:7" x14ac:dyDescent="0.35">
      <c r="B872" s="1">
        <v>45694</v>
      </c>
      <c r="C872" s="2">
        <v>0.25</v>
      </c>
      <c r="D872">
        <v>3.7</v>
      </c>
      <c r="E872">
        <f>IF($D872 &gt; 16, 0, $J$3*(16 - $D872))</f>
        <v>2555.308305218573</v>
      </c>
      <c r="F872">
        <f>IF($D872 &gt; 16, 0,$E872*$J$5)</f>
        <v>27773645.969420668</v>
      </c>
      <c r="G872">
        <f t="shared" si="13"/>
        <v>12.3</v>
      </c>
    </row>
    <row r="873" spans="2:7" x14ac:dyDescent="0.35">
      <c r="B873" s="1">
        <v>45694</v>
      </c>
      <c r="C873" s="2">
        <v>0.29166666666666669</v>
      </c>
      <c r="D873">
        <v>3.8</v>
      </c>
      <c r="E873">
        <f>IF($D873 &gt; 16, 0, $J$3*(16 - $D873))</f>
        <v>2534.5334409485031</v>
      </c>
      <c r="F873">
        <f>IF($D873 &gt; 16, 0,$E873*$J$5)</f>
        <v>27547843.969669279</v>
      </c>
      <c r="G873">
        <f t="shared" si="13"/>
        <v>12.2</v>
      </c>
    </row>
    <row r="874" spans="2:7" x14ac:dyDescent="0.35">
      <c r="B874" s="1">
        <v>45694</v>
      </c>
      <c r="C874" s="2">
        <v>0.33333333333333331</v>
      </c>
      <c r="D874">
        <v>4.0999999999999996</v>
      </c>
      <c r="E874">
        <f>IF($D874 &gt; 16, 0, $J$3*(16 - $D874))</f>
        <v>2472.2088481382943</v>
      </c>
      <c r="F874">
        <f>IF($D874 &gt; 16, 0,$E874*$J$5)</f>
        <v>26870437.970415123</v>
      </c>
      <c r="G874">
        <f t="shared" si="13"/>
        <v>11.9</v>
      </c>
    </row>
    <row r="875" spans="2:7" x14ac:dyDescent="0.35">
      <c r="B875" s="1">
        <v>45694</v>
      </c>
      <c r="C875" s="2">
        <v>0.375</v>
      </c>
      <c r="D875">
        <v>4.0999999999999996</v>
      </c>
      <c r="E875">
        <f>IF($D875 &gt; 16, 0, $J$3*(16 - $D875))</f>
        <v>2472.2088481382943</v>
      </c>
      <c r="F875">
        <f>IF($D875 &gt; 16, 0,$E875*$J$5)</f>
        <v>26870437.970415123</v>
      </c>
      <c r="G875">
        <f t="shared" si="13"/>
        <v>11.9</v>
      </c>
    </row>
    <row r="876" spans="2:7" x14ac:dyDescent="0.35">
      <c r="B876" s="1">
        <v>45694</v>
      </c>
      <c r="C876" s="2">
        <v>0.41666666666666669</v>
      </c>
      <c r="D876">
        <v>4.7</v>
      </c>
      <c r="E876">
        <f>IF($D876 &gt; 16, 0, $J$3*(16 - $D876))</f>
        <v>2347.5596625178759</v>
      </c>
      <c r="F876">
        <f>IF($D876 &gt; 16, 0,$E876*$J$5)</f>
        <v>25515625.971906792</v>
      </c>
      <c r="G876">
        <f t="shared" si="13"/>
        <v>11.3</v>
      </c>
    </row>
    <row r="877" spans="2:7" x14ac:dyDescent="0.35">
      <c r="B877" s="1">
        <v>45694</v>
      </c>
      <c r="C877" s="2">
        <v>0.45833333333333331</v>
      </c>
      <c r="D877">
        <v>4.5999999999999996</v>
      </c>
      <c r="E877">
        <f>IF($D877 &gt; 16, 0, $J$3*(16 - $D877))</f>
        <v>2368.3345267879458</v>
      </c>
      <c r="F877">
        <f>IF($D877 &gt; 16, 0,$E877*$J$5)</f>
        <v>25741427.971658185</v>
      </c>
      <c r="G877">
        <f t="shared" si="13"/>
        <v>11.4</v>
      </c>
    </row>
    <row r="878" spans="2:7" x14ac:dyDescent="0.35">
      <c r="B878" s="1">
        <v>45694</v>
      </c>
      <c r="C878" s="2">
        <v>0.5</v>
      </c>
      <c r="D878">
        <v>5.3</v>
      </c>
      <c r="E878">
        <f>IF($D878 &gt; 16, 0, $J$3*(16 - $D878))</f>
        <v>2222.9104768974576</v>
      </c>
      <c r="F878">
        <f>IF($D878 &gt; 16, 0,$E878*$J$5)</f>
        <v>24160813.973398466</v>
      </c>
      <c r="G878">
        <f t="shared" si="13"/>
        <v>10.7</v>
      </c>
    </row>
    <row r="879" spans="2:7" x14ac:dyDescent="0.35">
      <c r="B879" s="1">
        <v>45694</v>
      </c>
      <c r="C879" s="2">
        <v>0.54166666666666663</v>
      </c>
      <c r="D879">
        <v>5.5</v>
      </c>
      <c r="E879">
        <f>IF($D879 &gt; 16, 0, $J$3*(16 - $D879))</f>
        <v>2181.3607483573182</v>
      </c>
      <c r="F879">
        <f>IF($D879 &gt; 16, 0,$E879*$J$5)</f>
        <v>23709209.973895691</v>
      </c>
      <c r="G879">
        <f t="shared" si="13"/>
        <v>10.5</v>
      </c>
    </row>
    <row r="880" spans="2:7" x14ac:dyDescent="0.35">
      <c r="B880" s="1">
        <v>45694</v>
      </c>
      <c r="C880" s="2">
        <v>0.58333333333333337</v>
      </c>
      <c r="D880">
        <v>5.8</v>
      </c>
      <c r="E880">
        <f>IF($D880 &gt; 16, 0, $J$3*(16 - $D880))</f>
        <v>2119.036155547109</v>
      </c>
      <c r="F880">
        <f>IF($D880 &gt; 16, 0,$E880*$J$5)</f>
        <v>23031803.974641528</v>
      </c>
      <c r="G880">
        <f t="shared" si="13"/>
        <v>10.199999999999999</v>
      </c>
    </row>
    <row r="881" spans="2:7" x14ac:dyDescent="0.35">
      <c r="B881" s="1">
        <v>45694</v>
      </c>
      <c r="C881" s="2">
        <v>0.625</v>
      </c>
      <c r="D881">
        <v>5.3</v>
      </c>
      <c r="E881">
        <f>IF($D881 &gt; 16, 0, $J$3*(16 - $D881))</f>
        <v>2222.9104768974576</v>
      </c>
      <c r="F881">
        <f>IF($D881 &gt; 16, 0,$E881*$J$5)</f>
        <v>24160813.973398466</v>
      </c>
      <c r="G881">
        <f t="shared" si="13"/>
        <v>10.7</v>
      </c>
    </row>
    <row r="882" spans="2:7" x14ac:dyDescent="0.35">
      <c r="B882" s="1">
        <v>45694</v>
      </c>
      <c r="C882" s="2">
        <v>0.66666666666666663</v>
      </c>
      <c r="D882">
        <v>4.3</v>
      </c>
      <c r="E882">
        <f>IF($D882 &gt; 16, 0, $J$3*(16 - $D882))</f>
        <v>2430.6591195981546</v>
      </c>
      <c r="F882">
        <f>IF($D882 &gt; 16, 0,$E882*$J$5)</f>
        <v>26418833.970912341</v>
      </c>
      <c r="G882">
        <f t="shared" si="13"/>
        <v>11.7</v>
      </c>
    </row>
    <row r="883" spans="2:7" x14ac:dyDescent="0.35">
      <c r="B883" s="1">
        <v>45694</v>
      </c>
      <c r="C883" s="2">
        <v>0.70833333333333337</v>
      </c>
      <c r="D883">
        <v>4</v>
      </c>
      <c r="E883">
        <f>IF($D883 &gt; 16, 0, $J$3*(16 - $D883))</f>
        <v>2492.9837124083638</v>
      </c>
      <c r="F883">
        <f>IF($D883 &gt; 16, 0,$E883*$J$5)</f>
        <v>27096239.970166504</v>
      </c>
      <c r="G883">
        <f t="shared" si="13"/>
        <v>12</v>
      </c>
    </row>
    <row r="884" spans="2:7" x14ac:dyDescent="0.35">
      <c r="B884" s="1">
        <v>45694</v>
      </c>
      <c r="C884" s="2">
        <v>0.75</v>
      </c>
      <c r="D884">
        <v>4.2</v>
      </c>
      <c r="E884">
        <f>IF($D884 &gt; 16, 0, $J$3*(16 - $D884))</f>
        <v>2451.4339838682245</v>
      </c>
      <c r="F884">
        <f>IF($D884 &gt; 16, 0,$E884*$J$5)</f>
        <v>26644635.97066373</v>
      </c>
      <c r="G884">
        <f t="shared" si="13"/>
        <v>11.8</v>
      </c>
    </row>
    <row r="885" spans="2:7" x14ac:dyDescent="0.35">
      <c r="B885" s="1">
        <v>45694</v>
      </c>
      <c r="C885" s="2">
        <v>0.79166666666666663</v>
      </c>
      <c r="D885">
        <v>3.3</v>
      </c>
      <c r="E885">
        <f>IF($D885 &gt; 16, 0, $J$3*(16 - $D885))</f>
        <v>2638.4077622988516</v>
      </c>
      <c r="F885">
        <f>IF($D885 &gt; 16, 0,$E885*$J$5)</f>
        <v>28676853.968426216</v>
      </c>
      <c r="G885">
        <f t="shared" si="13"/>
        <v>12.7</v>
      </c>
    </row>
    <row r="886" spans="2:7" x14ac:dyDescent="0.35">
      <c r="B886" s="1">
        <v>45694</v>
      </c>
      <c r="C886" s="2">
        <v>0.83333333333333337</v>
      </c>
      <c r="D886">
        <v>3</v>
      </c>
      <c r="E886">
        <f>IF($D886 &gt; 16, 0, $J$3*(16 - $D886))</f>
        <v>2700.7323551090608</v>
      </c>
      <c r="F886">
        <f>IF($D886 &gt; 16, 0,$E886*$J$5)</f>
        <v>29354259.967680383</v>
      </c>
      <c r="G886">
        <f t="shared" si="13"/>
        <v>13</v>
      </c>
    </row>
    <row r="887" spans="2:7" x14ac:dyDescent="0.35">
      <c r="B887" s="1">
        <v>45694</v>
      </c>
      <c r="C887" s="2">
        <v>0.875</v>
      </c>
      <c r="D887">
        <v>3</v>
      </c>
      <c r="E887">
        <f>IF($D887 &gt; 16, 0, $J$3*(16 - $D887))</f>
        <v>2700.7323551090608</v>
      </c>
      <c r="F887">
        <f>IF($D887 &gt; 16, 0,$E887*$J$5)</f>
        <v>29354259.967680383</v>
      </c>
      <c r="G887">
        <f t="shared" si="13"/>
        <v>13</v>
      </c>
    </row>
    <row r="888" spans="2:7" x14ac:dyDescent="0.35">
      <c r="B888" s="1">
        <v>45694</v>
      </c>
      <c r="C888" s="2">
        <v>0.91666666666666663</v>
      </c>
      <c r="D888">
        <v>3</v>
      </c>
      <c r="E888">
        <f>IF($D888 &gt; 16, 0, $J$3*(16 - $D888))</f>
        <v>2700.7323551090608</v>
      </c>
      <c r="F888">
        <f>IF($D888 &gt; 16, 0,$E888*$J$5)</f>
        <v>29354259.967680383</v>
      </c>
      <c r="G888">
        <f t="shared" si="13"/>
        <v>13</v>
      </c>
    </row>
    <row r="889" spans="2:7" x14ac:dyDescent="0.35">
      <c r="B889" s="1">
        <v>45694</v>
      </c>
      <c r="C889" s="2">
        <v>0.95833333333333337</v>
      </c>
      <c r="D889">
        <v>3</v>
      </c>
      <c r="E889">
        <f>IF($D889 &gt; 16, 0, $J$3*(16 - $D889))</f>
        <v>2700.7323551090608</v>
      </c>
      <c r="F889">
        <f>IF($D889 &gt; 16, 0,$E889*$J$5)</f>
        <v>29354259.967680383</v>
      </c>
      <c r="G889">
        <f t="shared" si="13"/>
        <v>13</v>
      </c>
    </row>
    <row r="890" spans="2:7" x14ac:dyDescent="0.35">
      <c r="B890" s="1">
        <v>45695</v>
      </c>
      <c r="C890" s="2">
        <v>0</v>
      </c>
      <c r="D890">
        <v>3.1</v>
      </c>
      <c r="E890">
        <f>IF($D890 &gt; 16, 0, $J$3*(16 - $D890))</f>
        <v>2679.9574908389914</v>
      </c>
      <c r="F890">
        <f>IF($D890 &gt; 16, 0,$E890*$J$5)</f>
        <v>29128457.967928998</v>
      </c>
      <c r="G890">
        <f t="shared" si="13"/>
        <v>12.9</v>
      </c>
    </row>
    <row r="891" spans="2:7" x14ac:dyDescent="0.35">
      <c r="B891" s="1">
        <v>45695</v>
      </c>
      <c r="C891" s="2">
        <v>4.1666666666666657E-2</v>
      </c>
      <c r="D891">
        <v>3.1</v>
      </c>
      <c r="E891">
        <f>IF($D891 &gt; 16, 0, $J$3*(16 - $D891))</f>
        <v>2679.9574908389914</v>
      </c>
      <c r="F891">
        <f>IF($D891 &gt; 16, 0,$E891*$J$5)</f>
        <v>29128457.967928998</v>
      </c>
      <c r="G891">
        <f t="shared" si="13"/>
        <v>12.9</v>
      </c>
    </row>
    <row r="892" spans="2:7" x14ac:dyDescent="0.35">
      <c r="B892" s="1">
        <v>45695</v>
      </c>
      <c r="C892" s="2">
        <v>8.3333333333333329E-2</v>
      </c>
      <c r="D892">
        <v>3.2</v>
      </c>
      <c r="E892">
        <f>IF($D892 &gt; 16, 0, $J$3*(16 - $D892))</f>
        <v>2659.1826265689215</v>
      </c>
      <c r="F892">
        <f>IF($D892 &gt; 16, 0,$E892*$J$5)</f>
        <v>28902655.968177609</v>
      </c>
      <c r="G892">
        <f t="shared" si="13"/>
        <v>12.8</v>
      </c>
    </row>
    <row r="893" spans="2:7" x14ac:dyDescent="0.35">
      <c r="B893" s="1">
        <v>45695</v>
      </c>
      <c r="C893" s="2">
        <v>0.125</v>
      </c>
      <c r="D893">
        <v>3.2</v>
      </c>
      <c r="E893">
        <f>IF($D893 &gt; 16, 0, $J$3*(16 - $D893))</f>
        <v>2659.1826265689215</v>
      </c>
      <c r="F893">
        <f>IF($D893 &gt; 16, 0,$E893*$J$5)</f>
        <v>28902655.968177609</v>
      </c>
      <c r="G893">
        <f t="shared" si="13"/>
        <v>12.8</v>
      </c>
    </row>
    <row r="894" spans="2:7" x14ac:dyDescent="0.35">
      <c r="B894" s="1">
        <v>45695</v>
      </c>
      <c r="C894" s="2">
        <v>0.16666666666666671</v>
      </c>
      <c r="D894">
        <v>3</v>
      </c>
      <c r="E894">
        <f>IF($D894 &gt; 16, 0, $J$3*(16 - $D894))</f>
        <v>2700.7323551090608</v>
      </c>
      <c r="F894">
        <f>IF($D894 &gt; 16, 0,$E894*$J$5)</f>
        <v>29354259.967680383</v>
      </c>
      <c r="G894">
        <f t="shared" si="13"/>
        <v>13</v>
      </c>
    </row>
    <row r="895" spans="2:7" x14ac:dyDescent="0.35">
      <c r="B895" s="1">
        <v>45695</v>
      </c>
      <c r="C895" s="2">
        <v>0.20833333333333329</v>
      </c>
      <c r="D895">
        <v>2.8</v>
      </c>
      <c r="E895">
        <f>IF($D895 &gt; 16, 0, $J$3*(16 - $D895))</f>
        <v>2742.2820836492001</v>
      </c>
      <c r="F895">
        <f>IF($D895 &gt; 16, 0,$E895*$J$5)</f>
        <v>29805863.967183154</v>
      </c>
      <c r="G895">
        <f t="shared" si="13"/>
        <v>13.2</v>
      </c>
    </row>
    <row r="896" spans="2:7" x14ac:dyDescent="0.35">
      <c r="B896" s="1">
        <v>45695</v>
      </c>
      <c r="C896" s="2">
        <v>0.25</v>
      </c>
      <c r="D896">
        <v>2.5</v>
      </c>
      <c r="E896">
        <f>IF($D896 &gt; 16, 0, $J$3*(16 - $D896))</f>
        <v>2804.6066764594093</v>
      </c>
      <c r="F896">
        <f>IF($D896 &gt; 16, 0,$E896*$J$5)</f>
        <v>30483269.966437321</v>
      </c>
      <c r="G896">
        <f t="shared" si="13"/>
        <v>13.5</v>
      </c>
    </row>
    <row r="897" spans="2:7" x14ac:dyDescent="0.35">
      <c r="B897" s="1">
        <v>45695</v>
      </c>
      <c r="C897" s="2">
        <v>0.29166666666666669</v>
      </c>
      <c r="D897">
        <v>2.2000000000000002</v>
      </c>
      <c r="E897">
        <f>IF($D897 &gt; 16, 0, $J$3*(16 - $D897))</f>
        <v>2866.9312692696185</v>
      </c>
      <c r="F897">
        <f>IF($D897 &gt; 16, 0,$E897*$J$5)</f>
        <v>31160675.965691485</v>
      </c>
      <c r="G897">
        <f t="shared" si="13"/>
        <v>13.8</v>
      </c>
    </row>
    <row r="898" spans="2:7" x14ac:dyDescent="0.35">
      <c r="B898" s="1">
        <v>45695</v>
      </c>
      <c r="C898" s="2">
        <v>0.33333333333333331</v>
      </c>
      <c r="D898">
        <v>2.4</v>
      </c>
      <c r="E898">
        <f>IF($D898 &gt; 16, 0, $J$3*(16 - $D898))</f>
        <v>2825.3815407294792</v>
      </c>
      <c r="F898">
        <f>IF($D898 &gt; 16, 0,$E898*$J$5)</f>
        <v>30709071.96618871</v>
      </c>
      <c r="G898">
        <f t="shared" si="13"/>
        <v>13.6</v>
      </c>
    </row>
    <row r="899" spans="2:7" x14ac:dyDescent="0.35">
      <c r="B899" s="1">
        <v>45695</v>
      </c>
      <c r="C899" s="2">
        <v>0.375</v>
      </c>
      <c r="D899">
        <v>2.6</v>
      </c>
      <c r="E899">
        <f>IF($D899 &gt; 16, 0, $J$3*(16 - $D899))</f>
        <v>2783.8318121893399</v>
      </c>
      <c r="F899">
        <f>IF($D899 &gt; 16, 0,$E899*$J$5)</f>
        <v>30257467.966685936</v>
      </c>
      <c r="G899">
        <f t="shared" ref="G899:G962" si="14">MAX(0, 16 - $D899)</f>
        <v>13.4</v>
      </c>
    </row>
    <row r="900" spans="2:7" x14ac:dyDescent="0.35">
      <c r="B900" s="1">
        <v>45695</v>
      </c>
      <c r="C900" s="2">
        <v>0.41666666666666669</v>
      </c>
      <c r="D900">
        <v>2.9</v>
      </c>
      <c r="E900">
        <f>IF($D900 &gt; 16, 0, $J$3*(16 - $D900))</f>
        <v>2721.5072193791307</v>
      </c>
      <c r="F900">
        <f>IF($D900 &gt; 16, 0,$E900*$J$5)</f>
        <v>29580061.967431773</v>
      </c>
      <c r="G900">
        <f t="shared" si="14"/>
        <v>13.1</v>
      </c>
    </row>
    <row r="901" spans="2:7" x14ac:dyDescent="0.35">
      <c r="B901" s="1">
        <v>45695</v>
      </c>
      <c r="C901" s="2">
        <v>0.45833333333333331</v>
      </c>
      <c r="D901">
        <v>3.2</v>
      </c>
      <c r="E901">
        <f>IF($D901 &gt; 16, 0, $J$3*(16 - $D901))</f>
        <v>2659.1826265689215</v>
      </c>
      <c r="F901">
        <f>IF($D901 &gt; 16, 0,$E901*$J$5)</f>
        <v>28902655.968177609</v>
      </c>
      <c r="G901">
        <f t="shared" si="14"/>
        <v>12.8</v>
      </c>
    </row>
    <row r="902" spans="2:7" x14ac:dyDescent="0.35">
      <c r="B902" s="1">
        <v>45695</v>
      </c>
      <c r="C902" s="2">
        <v>0.5</v>
      </c>
      <c r="D902">
        <v>3.3</v>
      </c>
      <c r="E902">
        <f>IF($D902 &gt; 16, 0, $J$3*(16 - $D902))</f>
        <v>2638.4077622988516</v>
      </c>
      <c r="F902">
        <f>IF($D902 &gt; 16, 0,$E902*$J$5)</f>
        <v>28676853.968426216</v>
      </c>
      <c r="G902">
        <f t="shared" si="14"/>
        <v>12.7</v>
      </c>
    </row>
    <row r="903" spans="2:7" x14ac:dyDescent="0.35">
      <c r="B903" s="1">
        <v>45695</v>
      </c>
      <c r="C903" s="2">
        <v>0.54166666666666663</v>
      </c>
      <c r="D903">
        <v>3</v>
      </c>
      <c r="E903">
        <f>IF($D903 &gt; 16, 0, $J$3*(16 - $D903))</f>
        <v>2700.7323551090608</v>
      </c>
      <c r="F903">
        <f>IF($D903 &gt; 16, 0,$E903*$J$5)</f>
        <v>29354259.967680383</v>
      </c>
      <c r="G903">
        <f t="shared" si="14"/>
        <v>13</v>
      </c>
    </row>
    <row r="904" spans="2:7" x14ac:dyDescent="0.35">
      <c r="B904" s="1">
        <v>45695</v>
      </c>
      <c r="C904" s="2">
        <v>0.58333333333333337</v>
      </c>
      <c r="D904">
        <v>3.5</v>
      </c>
      <c r="E904">
        <f>IF($D904 &gt; 16, 0, $J$3*(16 - $D904))</f>
        <v>2596.8580337587123</v>
      </c>
      <c r="F904">
        <f>IF($D904 &gt; 16, 0,$E904*$J$5)</f>
        <v>28225249.968923442</v>
      </c>
      <c r="G904">
        <f t="shared" si="14"/>
        <v>12.5</v>
      </c>
    </row>
    <row r="905" spans="2:7" x14ac:dyDescent="0.35">
      <c r="B905" s="1">
        <v>45695</v>
      </c>
      <c r="C905" s="2">
        <v>0.625</v>
      </c>
      <c r="D905">
        <v>3.8</v>
      </c>
      <c r="E905">
        <f>IF($D905 &gt; 16, 0, $J$3*(16 - $D905))</f>
        <v>2534.5334409485031</v>
      </c>
      <c r="F905">
        <f>IF($D905 &gt; 16, 0,$E905*$J$5)</f>
        <v>27547843.969669279</v>
      </c>
      <c r="G905">
        <f t="shared" si="14"/>
        <v>12.2</v>
      </c>
    </row>
    <row r="906" spans="2:7" x14ac:dyDescent="0.35">
      <c r="B906" s="1">
        <v>45695</v>
      </c>
      <c r="C906" s="2">
        <v>0.66666666666666663</v>
      </c>
      <c r="D906">
        <v>3.3</v>
      </c>
      <c r="E906">
        <f>IF($D906 &gt; 16, 0, $J$3*(16 - $D906))</f>
        <v>2638.4077622988516</v>
      </c>
      <c r="F906">
        <f>IF($D906 &gt; 16, 0,$E906*$J$5)</f>
        <v>28676853.968426216</v>
      </c>
      <c r="G906">
        <f t="shared" si="14"/>
        <v>12.7</v>
      </c>
    </row>
    <row r="907" spans="2:7" x14ac:dyDescent="0.35">
      <c r="B907" s="1">
        <v>45695</v>
      </c>
      <c r="C907" s="2">
        <v>0.70833333333333337</v>
      </c>
      <c r="D907">
        <v>2.8</v>
      </c>
      <c r="E907">
        <f>IF($D907 &gt; 16, 0, $J$3*(16 - $D907))</f>
        <v>2742.2820836492001</v>
      </c>
      <c r="F907">
        <f>IF($D907 &gt; 16, 0,$E907*$J$5)</f>
        <v>29805863.967183154</v>
      </c>
      <c r="G907">
        <f t="shared" si="14"/>
        <v>13.2</v>
      </c>
    </row>
    <row r="908" spans="2:7" x14ac:dyDescent="0.35">
      <c r="B908" s="1">
        <v>45695</v>
      </c>
      <c r="C908" s="2">
        <v>0.75</v>
      </c>
      <c r="D908">
        <v>2.9</v>
      </c>
      <c r="E908">
        <f>IF($D908 &gt; 16, 0, $J$3*(16 - $D908))</f>
        <v>2721.5072193791307</v>
      </c>
      <c r="F908">
        <f>IF($D908 &gt; 16, 0,$E908*$J$5)</f>
        <v>29580061.967431773</v>
      </c>
      <c r="G908">
        <f t="shared" si="14"/>
        <v>13.1</v>
      </c>
    </row>
    <row r="909" spans="2:7" x14ac:dyDescent="0.35">
      <c r="B909" s="1">
        <v>45695</v>
      </c>
      <c r="C909" s="2">
        <v>0.79166666666666663</v>
      </c>
      <c r="D909">
        <v>2.8</v>
      </c>
      <c r="E909">
        <f>IF($D909 &gt; 16, 0, $J$3*(16 - $D909))</f>
        <v>2742.2820836492001</v>
      </c>
      <c r="F909">
        <f>IF($D909 &gt; 16, 0,$E909*$J$5)</f>
        <v>29805863.967183154</v>
      </c>
      <c r="G909">
        <f t="shared" si="14"/>
        <v>13.2</v>
      </c>
    </row>
    <row r="910" spans="2:7" x14ac:dyDescent="0.35">
      <c r="B910" s="1">
        <v>45695</v>
      </c>
      <c r="C910" s="2">
        <v>0.83333333333333337</v>
      </c>
      <c r="D910">
        <v>2.6</v>
      </c>
      <c r="E910">
        <f>IF($D910 &gt; 16, 0, $J$3*(16 - $D910))</f>
        <v>2783.8318121893399</v>
      </c>
      <c r="F910">
        <f>IF($D910 &gt; 16, 0,$E910*$J$5)</f>
        <v>30257467.966685936</v>
      </c>
      <c r="G910">
        <f t="shared" si="14"/>
        <v>13.4</v>
      </c>
    </row>
    <row r="911" spans="2:7" x14ac:dyDescent="0.35">
      <c r="B911" s="1">
        <v>45695</v>
      </c>
      <c r="C911" s="2">
        <v>0.875</v>
      </c>
      <c r="D911">
        <v>2.4</v>
      </c>
      <c r="E911">
        <f>IF($D911 &gt; 16, 0, $J$3*(16 - $D911))</f>
        <v>2825.3815407294792</v>
      </c>
      <c r="F911">
        <f>IF($D911 &gt; 16, 0,$E911*$J$5)</f>
        <v>30709071.96618871</v>
      </c>
      <c r="G911">
        <f t="shared" si="14"/>
        <v>13.6</v>
      </c>
    </row>
    <row r="912" spans="2:7" x14ac:dyDescent="0.35">
      <c r="B912" s="1">
        <v>45695</v>
      </c>
      <c r="C912" s="2">
        <v>0.91666666666666663</v>
      </c>
      <c r="D912">
        <v>1.8</v>
      </c>
      <c r="E912">
        <f>IF($D912 &gt; 16, 0, $J$3*(16 - $D912))</f>
        <v>2950.0307263498971</v>
      </c>
      <c r="F912">
        <f>IF($D912 &gt; 16, 0,$E912*$J$5)</f>
        <v>32063883.964697033</v>
      </c>
      <c r="G912">
        <f t="shared" si="14"/>
        <v>14.2</v>
      </c>
    </row>
    <row r="913" spans="2:7" x14ac:dyDescent="0.35">
      <c r="B913" s="1">
        <v>45695</v>
      </c>
      <c r="C913" s="2">
        <v>0.95833333333333337</v>
      </c>
      <c r="D913">
        <v>1.3</v>
      </c>
      <c r="E913">
        <f>IF($D913 &gt; 16, 0, $J$3*(16 - $D913))</f>
        <v>3053.9050477002456</v>
      </c>
      <c r="F913">
        <f>IF($D913 &gt; 16, 0,$E913*$J$5)</f>
        <v>33192893.963453971</v>
      </c>
      <c r="G913">
        <f t="shared" si="14"/>
        <v>14.7</v>
      </c>
    </row>
    <row r="914" spans="2:7" x14ac:dyDescent="0.35">
      <c r="B914" s="1">
        <v>45696</v>
      </c>
      <c r="C914" s="2">
        <v>0</v>
      </c>
      <c r="D914">
        <v>1.1000000000000001</v>
      </c>
      <c r="E914">
        <f>IF($D914 &gt; 16, 0, $J$3*(16 - $D914))</f>
        <v>3095.4547762403854</v>
      </c>
      <c r="F914">
        <f>IF($D914 &gt; 16, 0,$E914*$J$5)</f>
        <v>33644497.962956749</v>
      </c>
      <c r="G914">
        <f t="shared" si="14"/>
        <v>14.9</v>
      </c>
    </row>
    <row r="915" spans="2:7" x14ac:dyDescent="0.35">
      <c r="B915" s="1">
        <v>45696</v>
      </c>
      <c r="C915" s="2">
        <v>4.1666666666666657E-2</v>
      </c>
      <c r="D915">
        <v>0.7</v>
      </c>
      <c r="E915">
        <f>IF($D915 &gt; 16, 0, $J$3*(16 - $D915))</f>
        <v>3178.554233320664</v>
      </c>
      <c r="F915">
        <f>IF($D915 &gt; 16, 0,$E915*$J$5)</f>
        <v>34547705.961962298</v>
      </c>
      <c r="G915">
        <f t="shared" si="14"/>
        <v>15.3</v>
      </c>
    </row>
    <row r="916" spans="2:7" x14ac:dyDescent="0.35">
      <c r="B916" s="1">
        <v>45696</v>
      </c>
      <c r="C916" s="2">
        <v>8.3333333333333329E-2</v>
      </c>
      <c r="D916">
        <v>0.7</v>
      </c>
      <c r="E916">
        <f>IF($D916 &gt; 16, 0, $J$3*(16 - $D916))</f>
        <v>3178.554233320664</v>
      </c>
      <c r="F916">
        <f>IF($D916 &gt; 16, 0,$E916*$J$5)</f>
        <v>34547705.961962298</v>
      </c>
      <c r="G916">
        <f t="shared" si="14"/>
        <v>15.3</v>
      </c>
    </row>
    <row r="917" spans="2:7" x14ac:dyDescent="0.35">
      <c r="B917" s="1">
        <v>45696</v>
      </c>
      <c r="C917" s="2">
        <v>0.125</v>
      </c>
      <c r="D917">
        <v>0.4</v>
      </c>
      <c r="E917">
        <f>IF($D917 &gt; 16, 0, $J$3*(16 - $D917))</f>
        <v>3240.8788261308728</v>
      </c>
      <c r="F917">
        <f>IF($D917 &gt; 16, 0,$E917*$J$5)</f>
        <v>35225111.961216457</v>
      </c>
      <c r="G917">
        <f t="shared" si="14"/>
        <v>15.6</v>
      </c>
    </row>
    <row r="918" spans="2:7" x14ac:dyDescent="0.35">
      <c r="B918" s="1">
        <v>45696</v>
      </c>
      <c r="C918" s="2">
        <v>0.16666666666666671</v>
      </c>
      <c r="D918">
        <v>0.2</v>
      </c>
      <c r="E918">
        <f>IF($D918 &gt; 16, 0, $J$3*(16 - $D918))</f>
        <v>3282.4285546710125</v>
      </c>
      <c r="F918">
        <f>IF($D918 &gt; 16, 0,$E918*$J$5)</f>
        <v>35676715.960719235</v>
      </c>
      <c r="G918">
        <f t="shared" si="14"/>
        <v>15.8</v>
      </c>
    </row>
    <row r="919" spans="2:7" x14ac:dyDescent="0.35">
      <c r="B919" s="1">
        <v>45696</v>
      </c>
      <c r="C919" s="2">
        <v>0.20833333333333329</v>
      </c>
      <c r="D919">
        <v>0.1</v>
      </c>
      <c r="E919">
        <f>IF($D919 &gt; 16, 0, $J$3*(16 - $D919))</f>
        <v>3303.2034189410824</v>
      </c>
      <c r="F919">
        <f>IF($D919 &gt; 16, 0,$E919*$J$5)</f>
        <v>35902517.960470624</v>
      </c>
      <c r="G919">
        <f t="shared" si="14"/>
        <v>15.9</v>
      </c>
    </row>
    <row r="920" spans="2:7" x14ac:dyDescent="0.35">
      <c r="B920" s="1">
        <v>45696</v>
      </c>
      <c r="C920" s="2">
        <v>0.25</v>
      </c>
      <c r="D920">
        <v>-0.2</v>
      </c>
      <c r="E920">
        <f>IF($D920 &gt; 16, 0, $J$3*(16 - $D920))</f>
        <v>3365.5280117512912</v>
      </c>
      <c r="F920">
        <f>IF($D920 &gt; 16, 0,$E920*$J$5)</f>
        <v>36579923.959724784</v>
      </c>
      <c r="G920">
        <f t="shared" si="14"/>
        <v>16.2</v>
      </c>
    </row>
    <row r="921" spans="2:7" x14ac:dyDescent="0.35">
      <c r="B921" s="1">
        <v>45696</v>
      </c>
      <c r="C921" s="2">
        <v>0.29166666666666669</v>
      </c>
      <c r="D921">
        <v>-0.4</v>
      </c>
      <c r="E921">
        <f>IF($D921 &gt; 16, 0, $J$3*(16 - $D921))</f>
        <v>3407.0777402914305</v>
      </c>
      <c r="F921">
        <f>IF($D921 &gt; 16, 0,$E921*$J$5)</f>
        <v>37031527.959227555</v>
      </c>
      <c r="G921">
        <f t="shared" si="14"/>
        <v>16.399999999999999</v>
      </c>
    </row>
    <row r="922" spans="2:7" x14ac:dyDescent="0.35">
      <c r="B922" s="1">
        <v>45696</v>
      </c>
      <c r="C922" s="2">
        <v>0.33333333333333331</v>
      </c>
      <c r="D922">
        <v>-0.3</v>
      </c>
      <c r="E922">
        <f>IF($D922 &gt; 16, 0, $J$3*(16 - $D922))</f>
        <v>3386.302876021361</v>
      </c>
      <c r="F922">
        <f>IF($D922 &gt; 16, 0,$E922*$J$5)</f>
        <v>36805725.959476173</v>
      </c>
      <c r="G922">
        <f t="shared" si="14"/>
        <v>16.3</v>
      </c>
    </row>
    <row r="923" spans="2:7" x14ac:dyDescent="0.35">
      <c r="B923" s="1">
        <v>45696</v>
      </c>
      <c r="C923" s="2">
        <v>0.375</v>
      </c>
      <c r="D923">
        <v>0.3</v>
      </c>
      <c r="E923">
        <f>IF($D923 &gt; 16, 0, $J$3*(16 - $D923))</f>
        <v>3261.6536904009427</v>
      </c>
      <c r="F923">
        <f>IF($D923 &gt; 16, 0,$E923*$J$5)</f>
        <v>35450913.960967846</v>
      </c>
      <c r="G923">
        <f t="shared" si="14"/>
        <v>15.7</v>
      </c>
    </row>
    <row r="924" spans="2:7" x14ac:dyDescent="0.35">
      <c r="B924" s="1">
        <v>45696</v>
      </c>
      <c r="C924" s="2">
        <v>0.41666666666666669</v>
      </c>
      <c r="D924">
        <v>1.4</v>
      </c>
      <c r="E924">
        <f>IF($D924 &gt; 16, 0, $J$3*(16 - $D924))</f>
        <v>3033.1301834301762</v>
      </c>
      <c r="F924">
        <f>IF($D924 &gt; 16, 0,$E924*$J$5)</f>
        <v>32967091.963702586</v>
      </c>
      <c r="G924">
        <f t="shared" si="14"/>
        <v>14.6</v>
      </c>
    </row>
    <row r="925" spans="2:7" x14ac:dyDescent="0.35">
      <c r="B925" s="1">
        <v>45696</v>
      </c>
      <c r="C925" s="2">
        <v>0.45833333333333331</v>
      </c>
      <c r="D925">
        <v>2.5</v>
      </c>
      <c r="E925">
        <f>IF($D925 &gt; 16, 0, $J$3*(16 - $D925))</f>
        <v>2804.6066764594093</v>
      </c>
      <c r="F925">
        <f>IF($D925 &gt; 16, 0,$E925*$J$5)</f>
        <v>30483269.966437321</v>
      </c>
      <c r="G925">
        <f t="shared" si="14"/>
        <v>13.5</v>
      </c>
    </row>
    <row r="926" spans="2:7" x14ac:dyDescent="0.35">
      <c r="B926" s="1">
        <v>45696</v>
      </c>
      <c r="C926" s="2">
        <v>0.5</v>
      </c>
      <c r="D926">
        <v>3</v>
      </c>
      <c r="E926">
        <f>IF($D926 &gt; 16, 0, $J$3*(16 - $D926))</f>
        <v>2700.7323551090608</v>
      </c>
      <c r="F926">
        <f>IF($D926 &gt; 16, 0,$E926*$J$5)</f>
        <v>29354259.967680383</v>
      </c>
      <c r="G926">
        <f t="shared" si="14"/>
        <v>13</v>
      </c>
    </row>
    <row r="927" spans="2:7" x14ac:dyDescent="0.35">
      <c r="B927" s="1">
        <v>45696</v>
      </c>
      <c r="C927" s="2">
        <v>0.54166666666666663</v>
      </c>
      <c r="D927">
        <v>3.7</v>
      </c>
      <c r="E927">
        <f>IF($D927 &gt; 16, 0, $J$3*(16 - $D927))</f>
        <v>2555.308305218573</v>
      </c>
      <c r="F927">
        <f>IF($D927 &gt; 16, 0,$E927*$J$5)</f>
        <v>27773645.969420668</v>
      </c>
      <c r="G927">
        <f t="shared" si="14"/>
        <v>12.3</v>
      </c>
    </row>
    <row r="928" spans="2:7" x14ac:dyDescent="0.35">
      <c r="B928" s="1">
        <v>45696</v>
      </c>
      <c r="C928" s="2">
        <v>0.58333333333333337</v>
      </c>
      <c r="D928">
        <v>4</v>
      </c>
      <c r="E928">
        <f>IF($D928 &gt; 16, 0, $J$3*(16 - $D928))</f>
        <v>2492.9837124083638</v>
      </c>
      <c r="F928">
        <f>IF($D928 &gt; 16, 0,$E928*$J$5)</f>
        <v>27096239.970166504</v>
      </c>
      <c r="G928">
        <f t="shared" si="14"/>
        <v>12</v>
      </c>
    </row>
    <row r="929" spans="2:7" x14ac:dyDescent="0.35">
      <c r="B929" s="1">
        <v>45696</v>
      </c>
      <c r="C929" s="2">
        <v>0.625</v>
      </c>
      <c r="D929">
        <v>3.8</v>
      </c>
      <c r="E929">
        <f>IF($D929 &gt; 16, 0, $J$3*(16 - $D929))</f>
        <v>2534.5334409485031</v>
      </c>
      <c r="F929">
        <f>IF($D929 &gt; 16, 0,$E929*$J$5)</f>
        <v>27547843.969669279</v>
      </c>
      <c r="G929">
        <f t="shared" si="14"/>
        <v>12.2</v>
      </c>
    </row>
    <row r="930" spans="2:7" x14ac:dyDescent="0.35">
      <c r="B930" s="1">
        <v>45696</v>
      </c>
      <c r="C930" s="2">
        <v>0.66666666666666663</v>
      </c>
      <c r="D930">
        <v>3.2</v>
      </c>
      <c r="E930">
        <f>IF($D930 &gt; 16, 0, $J$3*(16 - $D930))</f>
        <v>2659.1826265689215</v>
      </c>
      <c r="F930">
        <f>IF($D930 &gt; 16, 0,$E930*$J$5)</f>
        <v>28902655.968177609</v>
      </c>
      <c r="G930">
        <f t="shared" si="14"/>
        <v>12.8</v>
      </c>
    </row>
    <row r="931" spans="2:7" x14ac:dyDescent="0.35">
      <c r="B931" s="1">
        <v>45696</v>
      </c>
      <c r="C931" s="2">
        <v>0.70833333333333337</v>
      </c>
      <c r="D931">
        <v>2.9</v>
      </c>
      <c r="E931">
        <f>IF($D931 &gt; 16, 0, $J$3*(16 - $D931))</f>
        <v>2721.5072193791307</v>
      </c>
      <c r="F931">
        <f>IF($D931 &gt; 16, 0,$E931*$J$5)</f>
        <v>29580061.967431773</v>
      </c>
      <c r="G931">
        <f t="shared" si="14"/>
        <v>13.1</v>
      </c>
    </row>
    <row r="932" spans="2:7" x14ac:dyDescent="0.35">
      <c r="B932" s="1">
        <v>45696</v>
      </c>
      <c r="C932" s="2">
        <v>0.75</v>
      </c>
      <c r="D932">
        <v>2.9</v>
      </c>
      <c r="E932">
        <f>IF($D932 &gt; 16, 0, $J$3*(16 - $D932))</f>
        <v>2721.5072193791307</v>
      </c>
      <c r="F932">
        <f>IF($D932 &gt; 16, 0,$E932*$J$5)</f>
        <v>29580061.967431773</v>
      </c>
      <c r="G932">
        <f t="shared" si="14"/>
        <v>13.1</v>
      </c>
    </row>
    <row r="933" spans="2:7" x14ac:dyDescent="0.35">
      <c r="B933" s="1">
        <v>45696</v>
      </c>
      <c r="C933" s="2">
        <v>0.79166666666666663</v>
      </c>
      <c r="D933">
        <v>2.8</v>
      </c>
      <c r="E933">
        <f>IF($D933 &gt; 16, 0, $J$3*(16 - $D933))</f>
        <v>2742.2820836492001</v>
      </c>
      <c r="F933">
        <f>IF($D933 &gt; 16, 0,$E933*$J$5)</f>
        <v>29805863.967183154</v>
      </c>
      <c r="G933">
        <f t="shared" si="14"/>
        <v>13.2</v>
      </c>
    </row>
    <row r="934" spans="2:7" x14ac:dyDescent="0.35">
      <c r="B934" s="1">
        <v>45696</v>
      </c>
      <c r="C934" s="2">
        <v>0.83333333333333337</v>
      </c>
      <c r="D934">
        <v>2.5</v>
      </c>
      <c r="E934">
        <f>IF($D934 &gt; 16, 0, $J$3*(16 - $D934))</f>
        <v>2804.6066764594093</v>
      </c>
      <c r="F934">
        <f>IF($D934 &gt; 16, 0,$E934*$J$5)</f>
        <v>30483269.966437321</v>
      </c>
      <c r="G934">
        <f t="shared" si="14"/>
        <v>13.5</v>
      </c>
    </row>
    <row r="935" spans="2:7" x14ac:dyDescent="0.35">
      <c r="B935" s="1">
        <v>45696</v>
      </c>
      <c r="C935" s="2">
        <v>0.875</v>
      </c>
      <c r="D935">
        <v>2.1</v>
      </c>
      <c r="E935">
        <f>IF($D935 &gt; 16, 0, $J$3*(16 - $D935))</f>
        <v>2887.7061335396884</v>
      </c>
      <c r="F935">
        <f>IF($D935 &gt; 16, 0,$E935*$J$5)</f>
        <v>31386477.965442874</v>
      </c>
      <c r="G935">
        <f t="shared" si="14"/>
        <v>13.9</v>
      </c>
    </row>
    <row r="936" spans="2:7" x14ac:dyDescent="0.35">
      <c r="B936" s="1">
        <v>45696</v>
      </c>
      <c r="C936" s="2">
        <v>0.91666666666666663</v>
      </c>
      <c r="D936">
        <v>1.6</v>
      </c>
      <c r="E936">
        <f>IF($D936 &gt; 16, 0, $J$3*(16 - $D936))</f>
        <v>2991.5804548900369</v>
      </c>
      <c r="F936">
        <f>IF($D936 &gt; 16, 0,$E936*$J$5)</f>
        <v>32515487.964199811</v>
      </c>
      <c r="G936">
        <f t="shared" si="14"/>
        <v>14.4</v>
      </c>
    </row>
    <row r="937" spans="2:7" x14ac:dyDescent="0.35">
      <c r="B937" s="1">
        <v>45696</v>
      </c>
      <c r="C937" s="2">
        <v>0.95833333333333337</v>
      </c>
      <c r="D937">
        <v>1.3</v>
      </c>
      <c r="E937">
        <f>IF($D937 &gt; 16, 0, $J$3*(16 - $D937))</f>
        <v>3053.9050477002456</v>
      </c>
      <c r="F937">
        <f>IF($D937 &gt; 16, 0,$E937*$J$5)</f>
        <v>33192893.963453971</v>
      </c>
      <c r="G937">
        <f t="shared" si="14"/>
        <v>14.7</v>
      </c>
    </row>
    <row r="938" spans="2:7" x14ac:dyDescent="0.35">
      <c r="B938" s="1">
        <v>45697</v>
      </c>
      <c r="C938" s="2">
        <v>0</v>
      </c>
      <c r="D938">
        <v>0.8</v>
      </c>
      <c r="E938">
        <f>IF($D938 &gt; 16, 0, $J$3*(16 - $D938))</f>
        <v>3157.7793690505941</v>
      </c>
      <c r="F938">
        <f>IF($D938 &gt; 16, 0,$E938*$J$5)</f>
        <v>34321903.962210909</v>
      </c>
      <c r="G938">
        <f t="shared" si="14"/>
        <v>15.2</v>
      </c>
    </row>
    <row r="939" spans="2:7" x14ac:dyDescent="0.35">
      <c r="B939" s="1">
        <v>45697</v>
      </c>
      <c r="C939" s="2">
        <v>4.1666666666666657E-2</v>
      </c>
      <c r="D939">
        <v>0.8</v>
      </c>
      <c r="E939">
        <f>IF($D939 &gt; 16, 0, $J$3*(16 - $D939))</f>
        <v>3157.7793690505941</v>
      </c>
      <c r="F939">
        <f>IF($D939 &gt; 16, 0,$E939*$J$5)</f>
        <v>34321903.962210909</v>
      </c>
      <c r="G939">
        <f t="shared" si="14"/>
        <v>15.2</v>
      </c>
    </row>
    <row r="940" spans="2:7" x14ac:dyDescent="0.35">
      <c r="B940" s="1">
        <v>45697</v>
      </c>
      <c r="C940" s="2">
        <v>8.3333333333333329E-2</v>
      </c>
      <c r="D940">
        <v>0.6</v>
      </c>
      <c r="E940">
        <f>IF($D940 &gt; 16, 0, $J$3*(16 - $D940))</f>
        <v>3199.3290975907339</v>
      </c>
      <c r="F940">
        <f>IF($D940 &gt; 16, 0,$E940*$J$5)</f>
        <v>34773507.961713687</v>
      </c>
      <c r="G940">
        <f t="shared" si="14"/>
        <v>15.4</v>
      </c>
    </row>
    <row r="941" spans="2:7" x14ac:dyDescent="0.35">
      <c r="B941" s="1">
        <v>45697</v>
      </c>
      <c r="C941" s="2">
        <v>0.125</v>
      </c>
      <c r="D941">
        <v>0.2</v>
      </c>
      <c r="E941">
        <f>IF($D941 &gt; 16, 0, $J$3*(16 - $D941))</f>
        <v>3282.4285546710125</v>
      </c>
      <c r="F941">
        <f>IF($D941 &gt; 16, 0,$E941*$J$5)</f>
        <v>35676715.960719235</v>
      </c>
      <c r="G941">
        <f t="shared" si="14"/>
        <v>15.8</v>
      </c>
    </row>
    <row r="942" spans="2:7" x14ac:dyDescent="0.35">
      <c r="B942" s="1">
        <v>45697</v>
      </c>
      <c r="C942" s="2">
        <v>0.16666666666666671</v>
      </c>
      <c r="D942">
        <v>-0.2</v>
      </c>
      <c r="E942">
        <f>IF($D942 &gt; 16, 0, $J$3*(16 - $D942))</f>
        <v>3365.5280117512912</v>
      </c>
      <c r="F942">
        <f>IF($D942 &gt; 16, 0,$E942*$J$5)</f>
        <v>36579923.959724784</v>
      </c>
      <c r="G942">
        <f t="shared" si="14"/>
        <v>16.2</v>
      </c>
    </row>
    <row r="943" spans="2:7" x14ac:dyDescent="0.35">
      <c r="B943" s="1">
        <v>45697</v>
      </c>
      <c r="C943" s="2">
        <v>0.20833333333333329</v>
      </c>
      <c r="D943">
        <v>-0.6</v>
      </c>
      <c r="E943">
        <f>IF($D943 &gt; 16, 0, $J$3*(16 - $D943))</f>
        <v>3448.6274688315702</v>
      </c>
      <c r="F943">
        <f>IF($D943 &gt; 16, 0,$E943*$J$5)</f>
        <v>37483131.95873034</v>
      </c>
      <c r="G943">
        <f t="shared" si="14"/>
        <v>16.600000000000001</v>
      </c>
    </row>
    <row r="944" spans="2:7" x14ac:dyDescent="0.35">
      <c r="B944" s="1">
        <v>45697</v>
      </c>
      <c r="C944" s="2">
        <v>0.25</v>
      </c>
      <c r="D944">
        <v>-0.5</v>
      </c>
      <c r="E944">
        <f>IF($D944 &gt; 16, 0, $J$3*(16 - $D944))</f>
        <v>3427.8526045615004</v>
      </c>
      <c r="F944">
        <f>IF($D944 &gt; 16, 0,$E944*$J$5)</f>
        <v>37257329.958978951</v>
      </c>
      <c r="G944">
        <f t="shared" si="14"/>
        <v>16.5</v>
      </c>
    </row>
    <row r="945" spans="2:7" x14ac:dyDescent="0.35">
      <c r="B945" s="1">
        <v>45697</v>
      </c>
      <c r="C945" s="2">
        <v>0.29166666666666669</v>
      </c>
      <c r="D945">
        <v>-0.8</v>
      </c>
      <c r="E945">
        <f>IF($D945 &gt; 16, 0, $J$3*(16 - $D945))</f>
        <v>3490.1771973717096</v>
      </c>
      <c r="F945">
        <f>IF($D945 &gt; 16, 0,$E945*$J$5)</f>
        <v>37934735.958233111</v>
      </c>
      <c r="G945">
        <f t="shared" si="14"/>
        <v>16.8</v>
      </c>
    </row>
    <row r="946" spans="2:7" x14ac:dyDescent="0.35">
      <c r="B946" s="1">
        <v>45697</v>
      </c>
      <c r="C946" s="2">
        <v>0.33333333333333331</v>
      </c>
      <c r="D946">
        <v>-0.1</v>
      </c>
      <c r="E946">
        <f>IF($D946 &gt; 16, 0, $J$3*(16 - $D946))</f>
        <v>3344.7531474812217</v>
      </c>
      <c r="F946">
        <f>IF($D946 &gt; 16, 0,$E946*$J$5)</f>
        <v>36354121.959973402</v>
      </c>
      <c r="G946">
        <f t="shared" si="14"/>
        <v>16.100000000000001</v>
      </c>
    </row>
    <row r="947" spans="2:7" x14ac:dyDescent="0.35">
      <c r="B947" s="1">
        <v>45697</v>
      </c>
      <c r="C947" s="2">
        <v>0.375</v>
      </c>
      <c r="D947">
        <v>1.9</v>
      </c>
      <c r="E947">
        <f>IF($D947 &gt; 16, 0, $J$3*(16 - $D947))</f>
        <v>2929.2558620798277</v>
      </c>
      <c r="F947">
        <f>IF($D947 &gt; 16, 0,$E947*$J$5)</f>
        <v>31838081.964945648</v>
      </c>
      <c r="G947">
        <f t="shared" si="14"/>
        <v>14.1</v>
      </c>
    </row>
    <row r="948" spans="2:7" x14ac:dyDescent="0.35">
      <c r="B948" s="1">
        <v>45697</v>
      </c>
      <c r="C948" s="2">
        <v>0.41666666666666669</v>
      </c>
      <c r="D948">
        <v>2.7</v>
      </c>
      <c r="E948">
        <f>IF($D948 &gt; 16, 0, $J$3*(16 - $D948))</f>
        <v>2763.05694791927</v>
      </c>
      <c r="F948">
        <f>IF($D948 &gt; 16, 0,$E948*$J$5)</f>
        <v>30031665.966934547</v>
      </c>
      <c r="G948">
        <f t="shared" si="14"/>
        <v>13.3</v>
      </c>
    </row>
    <row r="949" spans="2:7" x14ac:dyDescent="0.35">
      <c r="B949" s="1">
        <v>45697</v>
      </c>
      <c r="C949" s="2">
        <v>0.45833333333333331</v>
      </c>
      <c r="D949">
        <v>3.6</v>
      </c>
      <c r="E949">
        <f>IF($D949 &gt; 16, 0, $J$3*(16 - $D949))</f>
        <v>2576.0831694886429</v>
      </c>
      <c r="F949">
        <f>IF($D949 &gt; 16, 0,$E949*$J$5)</f>
        <v>27999447.96917206</v>
      </c>
      <c r="G949">
        <f t="shared" si="14"/>
        <v>12.4</v>
      </c>
    </row>
    <row r="950" spans="2:7" x14ac:dyDescent="0.35">
      <c r="B950" s="1">
        <v>45697</v>
      </c>
      <c r="C950" s="2">
        <v>0.5</v>
      </c>
      <c r="D950">
        <v>4</v>
      </c>
      <c r="E950">
        <f>IF($D950 &gt; 16, 0, $J$3*(16 - $D950))</f>
        <v>2492.9837124083638</v>
      </c>
      <c r="F950">
        <f>IF($D950 &gt; 16, 0,$E950*$J$5)</f>
        <v>27096239.970166504</v>
      </c>
      <c r="G950">
        <f t="shared" si="14"/>
        <v>12</v>
      </c>
    </row>
    <row r="951" spans="2:7" x14ac:dyDescent="0.35">
      <c r="B951" s="1">
        <v>45697</v>
      </c>
      <c r="C951" s="2">
        <v>0.54166666666666663</v>
      </c>
      <c r="D951">
        <v>4.8</v>
      </c>
      <c r="E951">
        <f>IF($D951 &gt; 16, 0, $J$3*(16 - $D951))</f>
        <v>2326.7847982478061</v>
      </c>
      <c r="F951">
        <f>IF($D951 &gt; 16, 0,$E951*$J$5)</f>
        <v>25289823.972155403</v>
      </c>
      <c r="G951">
        <f t="shared" si="14"/>
        <v>11.2</v>
      </c>
    </row>
    <row r="952" spans="2:7" x14ac:dyDescent="0.35">
      <c r="B952" s="1">
        <v>45697</v>
      </c>
      <c r="C952" s="2">
        <v>0.58333333333333337</v>
      </c>
      <c r="D952">
        <v>4.3</v>
      </c>
      <c r="E952">
        <f>IF($D952 &gt; 16, 0, $J$3*(16 - $D952))</f>
        <v>2430.6591195981546</v>
      </c>
      <c r="F952">
        <f>IF($D952 &gt; 16, 0,$E952*$J$5)</f>
        <v>26418833.970912341</v>
      </c>
      <c r="G952">
        <f t="shared" si="14"/>
        <v>11.7</v>
      </c>
    </row>
    <row r="953" spans="2:7" x14ac:dyDescent="0.35">
      <c r="B953" s="1">
        <v>45697</v>
      </c>
      <c r="C953" s="2">
        <v>0.625</v>
      </c>
      <c r="D953">
        <v>3.4</v>
      </c>
      <c r="E953">
        <f>IF($D953 &gt; 16, 0, $J$3*(16 - $D953))</f>
        <v>2617.6328980287822</v>
      </c>
      <c r="F953">
        <f>IF($D953 &gt; 16, 0,$E953*$J$5)</f>
        <v>28451051.968674835</v>
      </c>
      <c r="G953">
        <f t="shared" si="14"/>
        <v>12.6</v>
      </c>
    </row>
    <row r="954" spans="2:7" x14ac:dyDescent="0.35">
      <c r="B954" s="1">
        <v>45697</v>
      </c>
      <c r="C954" s="2">
        <v>0.66666666666666663</v>
      </c>
      <c r="D954">
        <v>2.5</v>
      </c>
      <c r="E954">
        <f>IF($D954 &gt; 16, 0, $J$3*(16 - $D954))</f>
        <v>2804.6066764594093</v>
      </c>
      <c r="F954">
        <f>IF($D954 &gt; 16, 0,$E954*$J$5)</f>
        <v>30483269.966437321</v>
      </c>
      <c r="G954">
        <f t="shared" si="14"/>
        <v>13.5</v>
      </c>
    </row>
    <row r="955" spans="2:7" x14ac:dyDescent="0.35">
      <c r="B955" s="1">
        <v>45697</v>
      </c>
      <c r="C955" s="2">
        <v>0.70833333333333337</v>
      </c>
      <c r="D955">
        <v>2.6</v>
      </c>
      <c r="E955">
        <f>IF($D955 &gt; 16, 0, $J$3*(16 - $D955))</f>
        <v>2783.8318121893399</v>
      </c>
      <c r="F955">
        <f>IF($D955 &gt; 16, 0,$E955*$J$5)</f>
        <v>30257467.966685936</v>
      </c>
      <c r="G955">
        <f t="shared" si="14"/>
        <v>13.4</v>
      </c>
    </row>
    <row r="956" spans="2:7" x14ac:dyDescent="0.35">
      <c r="B956" s="1">
        <v>45697</v>
      </c>
      <c r="C956" s="2">
        <v>0.75</v>
      </c>
      <c r="D956">
        <v>2.7</v>
      </c>
      <c r="E956">
        <f>IF($D956 &gt; 16, 0, $J$3*(16 - $D956))</f>
        <v>2763.05694791927</v>
      </c>
      <c r="F956">
        <f>IF($D956 &gt; 16, 0,$E956*$J$5)</f>
        <v>30031665.966934547</v>
      </c>
      <c r="G956">
        <f t="shared" si="14"/>
        <v>13.3</v>
      </c>
    </row>
    <row r="957" spans="2:7" x14ac:dyDescent="0.35">
      <c r="B957" s="1">
        <v>45697</v>
      </c>
      <c r="C957" s="2">
        <v>0.79166666666666663</v>
      </c>
      <c r="D957">
        <v>3</v>
      </c>
      <c r="E957">
        <f>IF($D957 &gt; 16, 0, $J$3*(16 - $D957))</f>
        <v>2700.7323551090608</v>
      </c>
      <c r="F957">
        <f>IF($D957 &gt; 16, 0,$E957*$J$5)</f>
        <v>29354259.967680383</v>
      </c>
      <c r="G957">
        <f t="shared" si="14"/>
        <v>13</v>
      </c>
    </row>
    <row r="958" spans="2:7" x14ac:dyDescent="0.35">
      <c r="B958" s="1">
        <v>45697</v>
      </c>
      <c r="C958" s="2">
        <v>0.83333333333333337</v>
      </c>
      <c r="D958">
        <v>3</v>
      </c>
      <c r="E958">
        <f>IF($D958 &gt; 16, 0, $J$3*(16 - $D958))</f>
        <v>2700.7323551090608</v>
      </c>
      <c r="F958">
        <f>IF($D958 &gt; 16, 0,$E958*$J$5)</f>
        <v>29354259.967680383</v>
      </c>
      <c r="G958">
        <f t="shared" si="14"/>
        <v>13</v>
      </c>
    </row>
    <row r="959" spans="2:7" x14ac:dyDescent="0.35">
      <c r="B959" s="1">
        <v>45697</v>
      </c>
      <c r="C959" s="2">
        <v>0.875</v>
      </c>
      <c r="D959">
        <v>2.8</v>
      </c>
      <c r="E959">
        <f>IF($D959 &gt; 16, 0, $J$3*(16 - $D959))</f>
        <v>2742.2820836492001</v>
      </c>
      <c r="F959">
        <f>IF($D959 &gt; 16, 0,$E959*$J$5)</f>
        <v>29805863.967183154</v>
      </c>
      <c r="G959">
        <f t="shared" si="14"/>
        <v>13.2</v>
      </c>
    </row>
    <row r="960" spans="2:7" x14ac:dyDescent="0.35">
      <c r="B960" s="1">
        <v>45697</v>
      </c>
      <c r="C960" s="2">
        <v>0.91666666666666663</v>
      </c>
      <c r="D960">
        <v>2.7</v>
      </c>
      <c r="E960">
        <f>IF($D960 &gt; 16, 0, $J$3*(16 - $D960))</f>
        <v>2763.05694791927</v>
      </c>
      <c r="F960">
        <f>IF($D960 &gt; 16, 0,$E960*$J$5)</f>
        <v>30031665.966934547</v>
      </c>
      <c r="G960">
        <f t="shared" si="14"/>
        <v>13.3</v>
      </c>
    </row>
    <row r="961" spans="2:7" x14ac:dyDescent="0.35">
      <c r="B961" s="1">
        <v>45697</v>
      </c>
      <c r="C961" s="2">
        <v>0.95833333333333337</v>
      </c>
      <c r="D961">
        <v>2.6</v>
      </c>
      <c r="E961">
        <f>IF($D961 &gt; 16, 0, $J$3*(16 - $D961))</f>
        <v>2783.8318121893399</v>
      </c>
      <c r="F961">
        <f>IF($D961 &gt; 16, 0,$E961*$J$5)</f>
        <v>30257467.966685936</v>
      </c>
      <c r="G961">
        <f t="shared" si="14"/>
        <v>13.4</v>
      </c>
    </row>
    <row r="962" spans="2:7" x14ac:dyDescent="0.35">
      <c r="B962" s="1">
        <v>45698</v>
      </c>
      <c r="C962" s="2">
        <v>0</v>
      </c>
      <c r="D962">
        <v>2.7</v>
      </c>
      <c r="E962">
        <f>IF($D962 &gt; 16, 0, $J$3*(16 - $D962))</f>
        <v>2763.05694791927</v>
      </c>
      <c r="F962">
        <f>IF($D962 &gt; 16, 0,$E962*$J$5)</f>
        <v>30031665.966934547</v>
      </c>
      <c r="G962">
        <f t="shared" si="14"/>
        <v>13.3</v>
      </c>
    </row>
    <row r="963" spans="2:7" x14ac:dyDescent="0.35">
      <c r="B963" s="1">
        <v>45698</v>
      </c>
      <c r="C963" s="2">
        <v>4.1666666666666657E-2</v>
      </c>
      <c r="D963">
        <v>2.6</v>
      </c>
      <c r="E963">
        <f>IF($D963 &gt; 16, 0, $J$3*(16 - $D963))</f>
        <v>2783.8318121893399</v>
      </c>
      <c r="F963">
        <f>IF($D963 &gt; 16, 0,$E963*$J$5)</f>
        <v>30257467.966685936</v>
      </c>
      <c r="G963">
        <f t="shared" ref="G963:G1026" si="15">MAX(0, 16 - $D963)</f>
        <v>13.4</v>
      </c>
    </row>
    <row r="964" spans="2:7" x14ac:dyDescent="0.35">
      <c r="B964" s="1">
        <v>45698</v>
      </c>
      <c r="C964" s="2">
        <v>8.3333333333333329E-2</v>
      </c>
      <c r="D964">
        <v>2.5</v>
      </c>
      <c r="E964">
        <f>IF($D964 &gt; 16, 0, $J$3*(16 - $D964))</f>
        <v>2804.6066764594093</v>
      </c>
      <c r="F964">
        <f>IF($D964 &gt; 16, 0,$E964*$J$5)</f>
        <v>30483269.966437321</v>
      </c>
      <c r="G964">
        <f t="shared" si="15"/>
        <v>13.5</v>
      </c>
    </row>
    <row r="965" spans="2:7" x14ac:dyDescent="0.35">
      <c r="B965" s="1">
        <v>45698</v>
      </c>
      <c r="C965" s="2">
        <v>0.125</v>
      </c>
      <c r="D965">
        <v>2.2999999999999998</v>
      </c>
      <c r="E965">
        <f>IF($D965 &gt; 16, 0, $J$3*(16 - $D965))</f>
        <v>2846.1564049995486</v>
      </c>
      <c r="F965">
        <f>IF($D965 &gt; 16, 0,$E965*$J$5)</f>
        <v>30934873.965940095</v>
      </c>
      <c r="G965">
        <f t="shared" si="15"/>
        <v>13.7</v>
      </c>
    </row>
    <row r="966" spans="2:7" x14ac:dyDescent="0.35">
      <c r="B966" s="1">
        <v>45698</v>
      </c>
      <c r="C966" s="2">
        <v>0.16666666666666671</v>
      </c>
      <c r="D966">
        <v>2.2000000000000002</v>
      </c>
      <c r="E966">
        <f>IF($D966 &gt; 16, 0, $J$3*(16 - $D966))</f>
        <v>2866.9312692696185</v>
      </c>
      <c r="F966">
        <f>IF($D966 &gt; 16, 0,$E966*$J$5)</f>
        <v>31160675.965691485</v>
      </c>
      <c r="G966">
        <f t="shared" si="15"/>
        <v>13.8</v>
      </c>
    </row>
    <row r="967" spans="2:7" x14ac:dyDescent="0.35">
      <c r="B967" s="1">
        <v>45698</v>
      </c>
      <c r="C967" s="2">
        <v>0.20833333333333329</v>
      </c>
      <c r="D967">
        <v>2</v>
      </c>
      <c r="E967">
        <f>IF($D967 &gt; 16, 0, $J$3*(16 - $D967))</f>
        <v>2908.4809978097578</v>
      </c>
      <c r="F967">
        <f>IF($D967 &gt; 16, 0,$E967*$J$5)</f>
        <v>31612279.965194259</v>
      </c>
      <c r="G967">
        <f t="shared" si="15"/>
        <v>14</v>
      </c>
    </row>
    <row r="968" spans="2:7" x14ac:dyDescent="0.35">
      <c r="B968" s="1">
        <v>45698</v>
      </c>
      <c r="C968" s="2">
        <v>0.25</v>
      </c>
      <c r="D968">
        <v>1.9</v>
      </c>
      <c r="E968">
        <f>IF($D968 &gt; 16, 0, $J$3*(16 - $D968))</f>
        <v>2929.2558620798277</v>
      </c>
      <c r="F968">
        <f>IF($D968 &gt; 16, 0,$E968*$J$5)</f>
        <v>31838081.964945648</v>
      </c>
      <c r="G968">
        <f t="shared" si="15"/>
        <v>14.1</v>
      </c>
    </row>
    <row r="969" spans="2:7" x14ac:dyDescent="0.35">
      <c r="B969" s="1">
        <v>45698</v>
      </c>
      <c r="C969" s="2">
        <v>0.29166666666666669</v>
      </c>
      <c r="D969">
        <v>1.8</v>
      </c>
      <c r="E969">
        <f>IF($D969 &gt; 16, 0, $J$3*(16 - $D969))</f>
        <v>2950.0307263498971</v>
      </c>
      <c r="F969">
        <f>IF($D969 &gt; 16, 0,$E969*$J$5)</f>
        <v>32063883.964697033</v>
      </c>
      <c r="G969">
        <f t="shared" si="15"/>
        <v>14.2</v>
      </c>
    </row>
    <row r="970" spans="2:7" x14ac:dyDescent="0.35">
      <c r="B970" s="1">
        <v>45698</v>
      </c>
      <c r="C970" s="2">
        <v>0.33333333333333331</v>
      </c>
      <c r="D970">
        <v>1.8</v>
      </c>
      <c r="E970">
        <f>IF($D970 &gt; 16, 0, $J$3*(16 - $D970))</f>
        <v>2950.0307263498971</v>
      </c>
      <c r="F970">
        <f>IF($D970 &gt; 16, 0,$E970*$J$5)</f>
        <v>32063883.964697033</v>
      </c>
      <c r="G970">
        <f t="shared" si="15"/>
        <v>14.2</v>
      </c>
    </row>
    <row r="971" spans="2:7" x14ac:dyDescent="0.35">
      <c r="B971" s="1">
        <v>45698</v>
      </c>
      <c r="C971" s="2">
        <v>0.375</v>
      </c>
      <c r="D971">
        <v>2</v>
      </c>
      <c r="E971">
        <f>IF($D971 &gt; 16, 0, $J$3*(16 - $D971))</f>
        <v>2908.4809978097578</v>
      </c>
      <c r="F971">
        <f>IF($D971 &gt; 16, 0,$E971*$J$5)</f>
        <v>31612279.965194259</v>
      </c>
      <c r="G971">
        <f t="shared" si="15"/>
        <v>14</v>
      </c>
    </row>
    <row r="972" spans="2:7" x14ac:dyDescent="0.35">
      <c r="B972" s="1">
        <v>45698</v>
      </c>
      <c r="C972" s="2">
        <v>0.41666666666666669</v>
      </c>
      <c r="D972">
        <v>2.2000000000000002</v>
      </c>
      <c r="E972">
        <f>IF($D972 &gt; 16, 0, $J$3*(16 - $D972))</f>
        <v>2866.9312692696185</v>
      </c>
      <c r="F972">
        <f>IF($D972 &gt; 16, 0,$E972*$J$5)</f>
        <v>31160675.965691485</v>
      </c>
      <c r="G972">
        <f t="shared" si="15"/>
        <v>13.8</v>
      </c>
    </row>
    <row r="973" spans="2:7" x14ac:dyDescent="0.35">
      <c r="B973" s="1">
        <v>45698</v>
      </c>
      <c r="C973" s="2">
        <v>0.45833333333333331</v>
      </c>
      <c r="D973">
        <v>2.6</v>
      </c>
      <c r="E973">
        <f>IF($D973 &gt; 16, 0, $J$3*(16 - $D973))</f>
        <v>2783.8318121893399</v>
      </c>
      <c r="F973">
        <f>IF($D973 &gt; 16, 0,$E973*$J$5)</f>
        <v>30257467.966685936</v>
      </c>
      <c r="G973">
        <f t="shared" si="15"/>
        <v>13.4</v>
      </c>
    </row>
    <row r="974" spans="2:7" x14ac:dyDescent="0.35">
      <c r="B974" s="1">
        <v>45698</v>
      </c>
      <c r="C974" s="2">
        <v>0.5</v>
      </c>
      <c r="D974">
        <v>3</v>
      </c>
      <c r="E974">
        <f>IF($D974 &gt; 16, 0, $J$3*(16 - $D974))</f>
        <v>2700.7323551090608</v>
      </c>
      <c r="F974">
        <f>IF($D974 &gt; 16, 0,$E974*$J$5)</f>
        <v>29354259.967680383</v>
      </c>
      <c r="G974">
        <f t="shared" si="15"/>
        <v>13</v>
      </c>
    </row>
    <row r="975" spans="2:7" x14ac:dyDescent="0.35">
      <c r="B975" s="1">
        <v>45698</v>
      </c>
      <c r="C975" s="2">
        <v>0.54166666666666663</v>
      </c>
      <c r="D975">
        <v>3.9</v>
      </c>
      <c r="E975">
        <f>IF($D975 &gt; 16, 0, $J$3*(16 - $D975))</f>
        <v>2513.7585766784337</v>
      </c>
      <c r="F975">
        <f>IF($D975 &gt; 16, 0,$E975*$J$5)</f>
        <v>27322041.969917897</v>
      </c>
      <c r="G975">
        <f t="shared" si="15"/>
        <v>12.1</v>
      </c>
    </row>
    <row r="976" spans="2:7" x14ac:dyDescent="0.35">
      <c r="B976" s="1">
        <v>45698</v>
      </c>
      <c r="C976" s="2">
        <v>0.58333333333333337</v>
      </c>
      <c r="D976">
        <v>3.7</v>
      </c>
      <c r="E976">
        <f>IF($D976 &gt; 16, 0, $J$3*(16 - $D976))</f>
        <v>2555.308305218573</v>
      </c>
      <c r="F976">
        <f>IF($D976 &gt; 16, 0,$E976*$J$5)</f>
        <v>27773645.969420668</v>
      </c>
      <c r="G976">
        <f t="shared" si="15"/>
        <v>12.3</v>
      </c>
    </row>
    <row r="977" spans="2:7" x14ac:dyDescent="0.35">
      <c r="B977" s="1">
        <v>45698</v>
      </c>
      <c r="C977" s="2">
        <v>0.625</v>
      </c>
      <c r="D977">
        <v>3.2</v>
      </c>
      <c r="E977">
        <f>IF($D977 &gt; 16, 0, $J$3*(16 - $D977))</f>
        <v>2659.1826265689215</v>
      </c>
      <c r="F977">
        <f>IF($D977 &gt; 16, 0,$E977*$J$5)</f>
        <v>28902655.968177609</v>
      </c>
      <c r="G977">
        <f t="shared" si="15"/>
        <v>12.8</v>
      </c>
    </row>
    <row r="978" spans="2:7" x14ac:dyDescent="0.35">
      <c r="B978" s="1">
        <v>45698</v>
      </c>
      <c r="C978" s="2">
        <v>0.66666666666666663</v>
      </c>
      <c r="D978">
        <v>2.8</v>
      </c>
      <c r="E978">
        <f>IF($D978 &gt; 16, 0, $J$3*(16 - $D978))</f>
        <v>2742.2820836492001</v>
      </c>
      <c r="F978">
        <f>IF($D978 &gt; 16, 0,$E978*$J$5)</f>
        <v>29805863.967183154</v>
      </c>
      <c r="G978">
        <f t="shared" si="15"/>
        <v>13.2</v>
      </c>
    </row>
    <row r="979" spans="2:7" x14ac:dyDescent="0.35">
      <c r="B979" s="1">
        <v>45698</v>
      </c>
      <c r="C979" s="2">
        <v>0.70833333333333337</v>
      </c>
      <c r="D979">
        <v>2</v>
      </c>
      <c r="E979">
        <f>IF($D979 &gt; 16, 0, $J$3*(16 - $D979))</f>
        <v>2908.4809978097578</v>
      </c>
      <c r="F979">
        <f>IF($D979 &gt; 16, 0,$E979*$J$5)</f>
        <v>31612279.965194259</v>
      </c>
      <c r="G979">
        <f t="shared" si="15"/>
        <v>14</v>
      </c>
    </row>
    <row r="980" spans="2:7" x14ac:dyDescent="0.35">
      <c r="B980" s="1">
        <v>45698</v>
      </c>
      <c r="C980" s="2">
        <v>0.75</v>
      </c>
      <c r="D980">
        <v>1.4</v>
      </c>
      <c r="E980">
        <f>IF($D980 &gt; 16, 0, $J$3*(16 - $D980))</f>
        <v>3033.1301834301762</v>
      </c>
      <c r="F980">
        <f>IF($D980 &gt; 16, 0,$E980*$J$5)</f>
        <v>32967091.963702586</v>
      </c>
      <c r="G980">
        <f t="shared" si="15"/>
        <v>14.6</v>
      </c>
    </row>
    <row r="981" spans="2:7" x14ac:dyDescent="0.35">
      <c r="B981" s="1">
        <v>45698</v>
      </c>
      <c r="C981" s="2">
        <v>0.79166666666666663</v>
      </c>
      <c r="D981">
        <v>1</v>
      </c>
      <c r="E981">
        <f>IF($D981 &gt; 16, 0, $J$3*(16 - $D981))</f>
        <v>3116.2296405104548</v>
      </c>
      <c r="F981">
        <f>IF($D981 &gt; 16, 0,$E981*$J$5)</f>
        <v>33870299.96270813</v>
      </c>
      <c r="G981">
        <f t="shared" si="15"/>
        <v>15</v>
      </c>
    </row>
    <row r="982" spans="2:7" x14ac:dyDescent="0.35">
      <c r="B982" s="1">
        <v>45698</v>
      </c>
      <c r="C982" s="2">
        <v>0.83333333333333337</v>
      </c>
      <c r="D982">
        <v>0.6</v>
      </c>
      <c r="E982">
        <f>IF($D982 &gt; 16, 0, $J$3*(16 - $D982))</f>
        <v>3199.3290975907339</v>
      </c>
      <c r="F982">
        <f>IF($D982 &gt; 16, 0,$E982*$J$5)</f>
        <v>34773507.961713687</v>
      </c>
      <c r="G982">
        <f t="shared" si="15"/>
        <v>15.4</v>
      </c>
    </row>
    <row r="983" spans="2:7" x14ac:dyDescent="0.35">
      <c r="B983" s="1">
        <v>45698</v>
      </c>
      <c r="C983" s="2">
        <v>0.875</v>
      </c>
      <c r="D983">
        <v>0.7</v>
      </c>
      <c r="E983">
        <f>IF($D983 &gt; 16, 0, $J$3*(16 - $D983))</f>
        <v>3178.554233320664</v>
      </c>
      <c r="F983">
        <f>IF($D983 &gt; 16, 0,$E983*$J$5)</f>
        <v>34547705.961962298</v>
      </c>
      <c r="G983">
        <f t="shared" si="15"/>
        <v>15.3</v>
      </c>
    </row>
    <row r="984" spans="2:7" x14ac:dyDescent="0.35">
      <c r="B984" s="1">
        <v>45698</v>
      </c>
      <c r="C984" s="2">
        <v>0.91666666666666663</v>
      </c>
      <c r="D984">
        <v>0.6</v>
      </c>
      <c r="E984">
        <f>IF($D984 &gt; 16, 0, $J$3*(16 - $D984))</f>
        <v>3199.3290975907339</v>
      </c>
      <c r="F984">
        <f>IF($D984 &gt; 16, 0,$E984*$J$5)</f>
        <v>34773507.961713687</v>
      </c>
      <c r="G984">
        <f t="shared" si="15"/>
        <v>15.4</v>
      </c>
    </row>
    <row r="985" spans="2:7" x14ac:dyDescent="0.35">
      <c r="B985" s="1">
        <v>45698</v>
      </c>
      <c r="C985" s="2">
        <v>0.95833333333333337</v>
      </c>
      <c r="D985">
        <v>0.5</v>
      </c>
      <c r="E985">
        <f>IF($D985 &gt; 16, 0, $J$3*(16 - $D985))</f>
        <v>3220.1039618608033</v>
      </c>
      <c r="F985">
        <f>IF($D985 &gt; 16, 0,$E985*$J$5)</f>
        <v>34999309.961465068</v>
      </c>
      <c r="G985">
        <f t="shared" si="15"/>
        <v>15.5</v>
      </c>
    </row>
    <row r="986" spans="2:7" x14ac:dyDescent="0.35">
      <c r="B986" s="1">
        <v>45699</v>
      </c>
      <c r="C986" s="2">
        <v>0</v>
      </c>
      <c r="D986">
        <v>0.4</v>
      </c>
      <c r="E986">
        <f>IF($D986 &gt; 16, 0, $J$3*(16 - $D986))</f>
        <v>3240.8788261308728</v>
      </c>
      <c r="F986">
        <f>IF($D986 &gt; 16, 0,$E986*$J$5)</f>
        <v>35225111.961216457</v>
      </c>
      <c r="G986">
        <f t="shared" si="15"/>
        <v>15.6</v>
      </c>
    </row>
    <row r="987" spans="2:7" x14ac:dyDescent="0.35">
      <c r="B987" s="1">
        <v>45699</v>
      </c>
      <c r="C987" s="2">
        <v>4.1666666666666657E-2</v>
      </c>
      <c r="D987">
        <v>0</v>
      </c>
      <c r="E987">
        <f>IF($D987 &gt; 16, 0, $J$3*(16 - $D987))</f>
        <v>3323.9782832111518</v>
      </c>
      <c r="F987">
        <f>IF($D987 &gt; 16, 0,$E987*$J$5)</f>
        <v>36128319.960222006</v>
      </c>
      <c r="G987">
        <f t="shared" si="15"/>
        <v>16</v>
      </c>
    </row>
    <row r="988" spans="2:7" x14ac:dyDescent="0.35">
      <c r="B988" s="1">
        <v>45699</v>
      </c>
      <c r="C988" s="2">
        <v>8.3333333333333329E-2</v>
      </c>
      <c r="D988">
        <v>-0.3</v>
      </c>
      <c r="E988">
        <f>IF($D988 &gt; 16, 0, $J$3*(16 - $D988))</f>
        <v>3386.302876021361</v>
      </c>
      <c r="F988">
        <f>IF($D988 &gt; 16, 0,$E988*$J$5)</f>
        <v>36805725.959476173</v>
      </c>
      <c r="G988">
        <f t="shared" si="15"/>
        <v>16.3</v>
      </c>
    </row>
    <row r="989" spans="2:7" x14ac:dyDescent="0.35">
      <c r="B989" s="1">
        <v>45699</v>
      </c>
      <c r="C989" s="2">
        <v>0.125</v>
      </c>
      <c r="D989">
        <v>-0.6</v>
      </c>
      <c r="E989">
        <f>IF($D989 &gt; 16, 0, $J$3*(16 - $D989))</f>
        <v>3448.6274688315702</v>
      </c>
      <c r="F989">
        <f>IF($D989 &gt; 16, 0,$E989*$J$5)</f>
        <v>37483131.95873034</v>
      </c>
      <c r="G989">
        <f t="shared" si="15"/>
        <v>16.600000000000001</v>
      </c>
    </row>
    <row r="990" spans="2:7" x14ac:dyDescent="0.35">
      <c r="B990" s="1">
        <v>45699</v>
      </c>
      <c r="C990" s="2">
        <v>0.16666666666666671</v>
      </c>
      <c r="D990">
        <v>-0.9</v>
      </c>
      <c r="E990">
        <f>IF($D990 &gt; 16, 0, $J$3*(16 - $D990))</f>
        <v>3510.952061641779</v>
      </c>
      <c r="F990">
        <f>IF($D990 &gt; 16, 0,$E990*$J$5)</f>
        <v>38160537.957984492</v>
      </c>
      <c r="G990">
        <f t="shared" si="15"/>
        <v>16.899999999999999</v>
      </c>
    </row>
    <row r="991" spans="2:7" x14ac:dyDescent="0.35">
      <c r="B991" s="1">
        <v>45699</v>
      </c>
      <c r="C991" s="2">
        <v>0.20833333333333329</v>
      </c>
      <c r="D991">
        <v>-1.2</v>
      </c>
      <c r="E991">
        <f>IF($D991 &gt; 16, 0, $J$3*(16 - $D991))</f>
        <v>3573.2766544519882</v>
      </c>
      <c r="F991">
        <f>IF($D991 &gt; 16, 0,$E991*$J$5)</f>
        <v>38837943.957238659</v>
      </c>
      <c r="G991">
        <f t="shared" si="15"/>
        <v>17.2</v>
      </c>
    </row>
    <row r="992" spans="2:7" x14ac:dyDescent="0.35">
      <c r="B992" s="1">
        <v>45699</v>
      </c>
      <c r="C992" s="2">
        <v>0.25</v>
      </c>
      <c r="D992">
        <v>-1.2</v>
      </c>
      <c r="E992">
        <f>IF($D992 &gt; 16, 0, $J$3*(16 - $D992))</f>
        <v>3573.2766544519882</v>
      </c>
      <c r="F992">
        <f>IF($D992 &gt; 16, 0,$E992*$J$5)</f>
        <v>38837943.957238659</v>
      </c>
      <c r="G992">
        <f t="shared" si="15"/>
        <v>17.2</v>
      </c>
    </row>
    <row r="993" spans="2:7" x14ac:dyDescent="0.35">
      <c r="B993" s="1">
        <v>45699</v>
      </c>
      <c r="C993" s="2">
        <v>0.29166666666666669</v>
      </c>
      <c r="D993">
        <v>-1.2</v>
      </c>
      <c r="E993">
        <f>IF($D993 &gt; 16, 0, $J$3*(16 - $D993))</f>
        <v>3573.2766544519882</v>
      </c>
      <c r="F993">
        <f>IF($D993 &gt; 16, 0,$E993*$J$5)</f>
        <v>38837943.957238659</v>
      </c>
      <c r="G993">
        <f t="shared" si="15"/>
        <v>17.2</v>
      </c>
    </row>
    <row r="994" spans="2:7" x14ac:dyDescent="0.35">
      <c r="B994" s="1">
        <v>45699</v>
      </c>
      <c r="C994" s="2">
        <v>0.33333333333333331</v>
      </c>
      <c r="D994">
        <v>-0.5</v>
      </c>
      <c r="E994">
        <f>IF($D994 &gt; 16, 0, $J$3*(16 - $D994))</f>
        <v>3427.8526045615004</v>
      </c>
      <c r="F994">
        <f>IF($D994 &gt; 16, 0,$E994*$J$5)</f>
        <v>37257329.958978951</v>
      </c>
      <c r="G994">
        <f t="shared" si="15"/>
        <v>16.5</v>
      </c>
    </row>
    <row r="995" spans="2:7" x14ac:dyDescent="0.35">
      <c r="B995" s="1">
        <v>45699</v>
      </c>
      <c r="C995" s="2">
        <v>0.375</v>
      </c>
      <c r="D995">
        <v>-0.4</v>
      </c>
      <c r="E995">
        <f>IF($D995 &gt; 16, 0, $J$3*(16 - $D995))</f>
        <v>3407.0777402914305</v>
      </c>
      <c r="F995">
        <f>IF($D995 &gt; 16, 0,$E995*$J$5)</f>
        <v>37031527.959227555</v>
      </c>
      <c r="G995">
        <f t="shared" si="15"/>
        <v>16.399999999999999</v>
      </c>
    </row>
    <row r="996" spans="2:7" x14ac:dyDescent="0.35">
      <c r="B996" s="1">
        <v>45699</v>
      </c>
      <c r="C996" s="2">
        <v>0.41666666666666669</v>
      </c>
      <c r="D996">
        <v>-0.1</v>
      </c>
      <c r="E996">
        <f>IF($D996 &gt; 16, 0, $J$3*(16 - $D996))</f>
        <v>3344.7531474812217</v>
      </c>
      <c r="F996">
        <f>IF($D996 &gt; 16, 0,$E996*$J$5)</f>
        <v>36354121.959973402</v>
      </c>
      <c r="G996">
        <f t="shared" si="15"/>
        <v>16.100000000000001</v>
      </c>
    </row>
    <row r="997" spans="2:7" x14ac:dyDescent="0.35">
      <c r="B997" s="1">
        <v>45699</v>
      </c>
      <c r="C997" s="2">
        <v>0.45833333333333331</v>
      </c>
      <c r="D997">
        <v>0.5</v>
      </c>
      <c r="E997">
        <f>IF($D997 &gt; 16, 0, $J$3*(16 - $D997))</f>
        <v>3220.1039618608033</v>
      </c>
      <c r="F997">
        <f>IF($D997 &gt; 16, 0,$E997*$J$5)</f>
        <v>34999309.961465068</v>
      </c>
      <c r="G997">
        <f t="shared" si="15"/>
        <v>15.5</v>
      </c>
    </row>
    <row r="998" spans="2:7" x14ac:dyDescent="0.35">
      <c r="B998" s="1">
        <v>45699</v>
      </c>
      <c r="C998" s="2">
        <v>0.5</v>
      </c>
      <c r="D998">
        <v>1.2</v>
      </c>
      <c r="E998">
        <f>IF($D998 &gt; 16, 0, $J$3*(16 - $D998))</f>
        <v>3074.6799119703155</v>
      </c>
      <c r="F998">
        <f>IF($D998 &gt; 16, 0,$E998*$J$5)</f>
        <v>33418695.96320536</v>
      </c>
      <c r="G998">
        <f t="shared" si="15"/>
        <v>14.8</v>
      </c>
    </row>
    <row r="999" spans="2:7" x14ac:dyDescent="0.35">
      <c r="B999" s="1">
        <v>45699</v>
      </c>
      <c r="C999" s="2">
        <v>0.54166666666666663</v>
      </c>
      <c r="D999">
        <v>1.9</v>
      </c>
      <c r="E999">
        <f>IF($D999 &gt; 16, 0, $J$3*(16 - $D999))</f>
        <v>2929.2558620798277</v>
      </c>
      <c r="F999">
        <f>IF($D999 &gt; 16, 0,$E999*$J$5)</f>
        <v>31838081.964945648</v>
      </c>
      <c r="G999">
        <f t="shared" si="15"/>
        <v>14.1</v>
      </c>
    </row>
    <row r="1000" spans="2:7" x14ac:dyDescent="0.35">
      <c r="B1000" s="1">
        <v>45699</v>
      </c>
      <c r="C1000" s="2">
        <v>0.58333333333333337</v>
      </c>
      <c r="D1000">
        <v>2.4</v>
      </c>
      <c r="E1000">
        <f>IF($D1000 &gt; 16, 0, $J$3*(16 - $D1000))</f>
        <v>2825.3815407294792</v>
      </c>
      <c r="F1000">
        <f>IF($D1000 &gt; 16, 0,$E1000*$J$5)</f>
        <v>30709071.96618871</v>
      </c>
      <c r="G1000">
        <f t="shared" si="15"/>
        <v>13.6</v>
      </c>
    </row>
    <row r="1001" spans="2:7" x14ac:dyDescent="0.35">
      <c r="B1001" s="1">
        <v>45699</v>
      </c>
      <c r="C1001" s="2">
        <v>0.625</v>
      </c>
      <c r="D1001">
        <v>2.2999999999999998</v>
      </c>
      <c r="E1001">
        <f>IF($D1001 &gt; 16, 0, $J$3*(16 - $D1001))</f>
        <v>2846.1564049995486</v>
      </c>
      <c r="F1001">
        <f>IF($D1001 &gt; 16, 0,$E1001*$J$5)</f>
        <v>30934873.965940095</v>
      </c>
      <c r="G1001">
        <f t="shared" si="15"/>
        <v>13.7</v>
      </c>
    </row>
    <row r="1002" spans="2:7" x14ac:dyDescent="0.35">
      <c r="B1002" s="1">
        <v>45699</v>
      </c>
      <c r="C1002" s="2">
        <v>0.66666666666666663</v>
      </c>
      <c r="D1002">
        <v>2.2999999999999998</v>
      </c>
      <c r="E1002">
        <f>IF($D1002 &gt; 16, 0, $J$3*(16 - $D1002))</f>
        <v>2846.1564049995486</v>
      </c>
      <c r="F1002">
        <f>IF($D1002 &gt; 16, 0,$E1002*$J$5)</f>
        <v>30934873.965940095</v>
      </c>
      <c r="G1002">
        <f t="shared" si="15"/>
        <v>13.7</v>
      </c>
    </row>
    <row r="1003" spans="2:7" x14ac:dyDescent="0.35">
      <c r="B1003" s="1">
        <v>45699</v>
      </c>
      <c r="C1003" s="2">
        <v>0.70833333333333337</v>
      </c>
      <c r="D1003">
        <v>2.4</v>
      </c>
      <c r="E1003">
        <f>IF($D1003 &gt; 16, 0, $J$3*(16 - $D1003))</f>
        <v>2825.3815407294792</v>
      </c>
      <c r="F1003">
        <f>IF($D1003 &gt; 16, 0,$E1003*$J$5)</f>
        <v>30709071.96618871</v>
      </c>
      <c r="G1003">
        <f t="shared" si="15"/>
        <v>13.6</v>
      </c>
    </row>
    <row r="1004" spans="2:7" x14ac:dyDescent="0.35">
      <c r="B1004" s="1">
        <v>45699</v>
      </c>
      <c r="C1004" s="2">
        <v>0.75</v>
      </c>
      <c r="D1004">
        <v>2.2999999999999998</v>
      </c>
      <c r="E1004">
        <f>IF($D1004 &gt; 16, 0, $J$3*(16 - $D1004))</f>
        <v>2846.1564049995486</v>
      </c>
      <c r="F1004">
        <f>IF($D1004 &gt; 16, 0,$E1004*$J$5)</f>
        <v>30934873.965940095</v>
      </c>
      <c r="G1004">
        <f t="shared" si="15"/>
        <v>13.7</v>
      </c>
    </row>
    <row r="1005" spans="2:7" x14ac:dyDescent="0.35">
      <c r="B1005" s="1">
        <v>45699</v>
      </c>
      <c r="C1005" s="2">
        <v>0.79166666666666663</v>
      </c>
      <c r="D1005">
        <v>1.8</v>
      </c>
      <c r="E1005">
        <f>IF($D1005 &gt; 16, 0, $J$3*(16 - $D1005))</f>
        <v>2950.0307263498971</v>
      </c>
      <c r="F1005">
        <f>IF($D1005 &gt; 16, 0,$E1005*$J$5)</f>
        <v>32063883.964697033</v>
      </c>
      <c r="G1005">
        <f t="shared" si="15"/>
        <v>14.2</v>
      </c>
    </row>
    <row r="1006" spans="2:7" x14ac:dyDescent="0.35">
      <c r="B1006" s="1">
        <v>45699</v>
      </c>
      <c r="C1006" s="2">
        <v>0.83333333333333337</v>
      </c>
      <c r="D1006">
        <v>1.5</v>
      </c>
      <c r="E1006">
        <f>IF($D1006 &gt; 16, 0, $J$3*(16 - $D1006))</f>
        <v>3012.3553191601063</v>
      </c>
      <c r="F1006">
        <f>IF($D1006 &gt; 16, 0,$E1006*$J$5)</f>
        <v>32741289.963951197</v>
      </c>
      <c r="G1006">
        <f t="shared" si="15"/>
        <v>14.5</v>
      </c>
    </row>
    <row r="1007" spans="2:7" x14ac:dyDescent="0.35">
      <c r="B1007" s="1">
        <v>45699</v>
      </c>
      <c r="C1007" s="2">
        <v>0.875</v>
      </c>
      <c r="D1007">
        <v>1.3</v>
      </c>
      <c r="E1007">
        <f>IF($D1007 &gt; 16, 0, $J$3*(16 - $D1007))</f>
        <v>3053.9050477002456</v>
      </c>
      <c r="F1007">
        <f>IF($D1007 &gt; 16, 0,$E1007*$J$5)</f>
        <v>33192893.963453971</v>
      </c>
      <c r="G1007">
        <f t="shared" si="15"/>
        <v>14.7</v>
      </c>
    </row>
    <row r="1008" spans="2:7" x14ac:dyDescent="0.35">
      <c r="B1008" s="1">
        <v>45699</v>
      </c>
      <c r="C1008" s="2">
        <v>0.91666666666666663</v>
      </c>
      <c r="D1008">
        <v>0.9</v>
      </c>
      <c r="E1008">
        <f>IF($D1008 &gt; 16, 0, $J$3*(16 - $D1008))</f>
        <v>3137.0045047805243</v>
      </c>
      <c r="F1008">
        <f>IF($D1008 &gt; 16, 0,$E1008*$J$5)</f>
        <v>34096101.96245952</v>
      </c>
      <c r="G1008">
        <f t="shared" si="15"/>
        <v>15.1</v>
      </c>
    </row>
    <row r="1009" spans="2:7" x14ac:dyDescent="0.35">
      <c r="B1009" s="1">
        <v>45699</v>
      </c>
      <c r="C1009" s="2">
        <v>0.95833333333333337</v>
      </c>
      <c r="D1009">
        <v>0.4</v>
      </c>
      <c r="E1009">
        <f>IF($D1009 &gt; 16, 0, $J$3*(16 - $D1009))</f>
        <v>3240.8788261308728</v>
      </c>
      <c r="F1009">
        <f>IF($D1009 &gt; 16, 0,$E1009*$J$5)</f>
        <v>35225111.961216457</v>
      </c>
      <c r="G1009">
        <f t="shared" si="15"/>
        <v>15.6</v>
      </c>
    </row>
    <row r="1010" spans="2:7" x14ac:dyDescent="0.35">
      <c r="B1010" s="1">
        <v>45700</v>
      </c>
      <c r="C1010" s="2">
        <v>0</v>
      </c>
      <c r="D1010">
        <v>0.4</v>
      </c>
      <c r="E1010">
        <f>IF($D1010 &gt; 16, 0, $J$3*(16 - $D1010))</f>
        <v>3240.8788261308728</v>
      </c>
      <c r="F1010">
        <f>IF($D1010 &gt; 16, 0,$E1010*$J$5)</f>
        <v>35225111.961216457</v>
      </c>
      <c r="G1010">
        <f t="shared" si="15"/>
        <v>15.6</v>
      </c>
    </row>
    <row r="1011" spans="2:7" x14ac:dyDescent="0.35">
      <c r="B1011" s="1">
        <v>45700</v>
      </c>
      <c r="C1011" s="2">
        <v>4.1666666666666657E-2</v>
      </c>
      <c r="D1011">
        <v>-0.4</v>
      </c>
      <c r="E1011">
        <f>IF($D1011 &gt; 16, 0, $J$3*(16 - $D1011))</f>
        <v>3407.0777402914305</v>
      </c>
      <c r="F1011">
        <f>IF($D1011 &gt; 16, 0,$E1011*$J$5)</f>
        <v>37031527.959227555</v>
      </c>
      <c r="G1011">
        <f t="shared" si="15"/>
        <v>16.399999999999999</v>
      </c>
    </row>
    <row r="1012" spans="2:7" x14ac:dyDescent="0.35">
      <c r="B1012" s="1">
        <v>45700</v>
      </c>
      <c r="C1012" s="2">
        <v>8.3333333333333329E-2</v>
      </c>
      <c r="D1012">
        <v>-0.9</v>
      </c>
      <c r="E1012">
        <f>IF($D1012 &gt; 16, 0, $J$3*(16 - $D1012))</f>
        <v>3510.952061641779</v>
      </c>
      <c r="F1012">
        <f>IF($D1012 &gt; 16, 0,$E1012*$J$5)</f>
        <v>38160537.957984492</v>
      </c>
      <c r="G1012">
        <f t="shared" si="15"/>
        <v>16.899999999999999</v>
      </c>
    </row>
    <row r="1013" spans="2:7" x14ac:dyDescent="0.35">
      <c r="B1013" s="1">
        <v>45700</v>
      </c>
      <c r="C1013" s="2">
        <v>0.125</v>
      </c>
      <c r="D1013">
        <v>-1.3</v>
      </c>
      <c r="E1013">
        <f>IF($D1013 &gt; 16, 0, $J$3*(16 - $D1013))</f>
        <v>3594.0515187220581</v>
      </c>
      <c r="F1013">
        <f>IF($D1013 &gt; 16, 0,$E1013*$J$5)</f>
        <v>39063745.956990048</v>
      </c>
      <c r="G1013">
        <f t="shared" si="15"/>
        <v>17.3</v>
      </c>
    </row>
    <row r="1014" spans="2:7" x14ac:dyDescent="0.35">
      <c r="B1014" s="1">
        <v>45700</v>
      </c>
      <c r="C1014" s="2">
        <v>0.16666666666666671</v>
      </c>
      <c r="D1014">
        <v>-1.4</v>
      </c>
      <c r="E1014">
        <f>IF($D1014 &gt; 16, 0, $J$3*(16 - $D1014))</f>
        <v>3614.8263829921275</v>
      </c>
      <c r="F1014">
        <f>IF($D1014 &gt; 16, 0,$E1014*$J$5)</f>
        <v>39289547.956741437</v>
      </c>
      <c r="G1014">
        <f t="shared" si="15"/>
        <v>17.399999999999999</v>
      </c>
    </row>
    <row r="1015" spans="2:7" x14ac:dyDescent="0.35">
      <c r="B1015" s="1">
        <v>45700</v>
      </c>
      <c r="C1015" s="2">
        <v>0.20833333333333329</v>
      </c>
      <c r="D1015">
        <v>-1.7</v>
      </c>
      <c r="E1015">
        <f>IF($D1015 &gt; 16, 0, $J$3*(16 - $D1015))</f>
        <v>3677.1509758023367</v>
      </c>
      <c r="F1015">
        <f>IF($D1015 &gt; 16, 0,$E1015*$J$5)</f>
        <v>39966953.955995597</v>
      </c>
      <c r="G1015">
        <f t="shared" si="15"/>
        <v>17.7</v>
      </c>
    </row>
    <row r="1016" spans="2:7" x14ac:dyDescent="0.35">
      <c r="B1016" s="1">
        <v>45700</v>
      </c>
      <c r="C1016" s="2">
        <v>0.25</v>
      </c>
      <c r="D1016">
        <v>-2.2999999999999998</v>
      </c>
      <c r="E1016">
        <f>IF($D1016 &gt; 16, 0, $J$3*(16 - $D1016))</f>
        <v>3801.8001614227551</v>
      </c>
      <c r="F1016">
        <f>IF($D1016 &gt; 16, 0,$E1016*$J$5)</f>
        <v>41321765.954503924</v>
      </c>
      <c r="G1016">
        <f t="shared" si="15"/>
        <v>18.3</v>
      </c>
    </row>
    <row r="1017" spans="2:7" x14ac:dyDescent="0.35">
      <c r="B1017" s="1">
        <v>45700</v>
      </c>
      <c r="C1017" s="2">
        <v>0.29166666666666669</v>
      </c>
      <c r="D1017">
        <v>-2.8</v>
      </c>
      <c r="E1017">
        <f>IF($D1017 &gt; 16, 0, $J$3*(16 - $D1017))</f>
        <v>3905.6744827731036</v>
      </c>
      <c r="F1017">
        <f>IF($D1017 &gt; 16, 0,$E1017*$J$5)</f>
        <v>42450775.953260861</v>
      </c>
      <c r="G1017">
        <f t="shared" si="15"/>
        <v>18.8</v>
      </c>
    </row>
    <row r="1018" spans="2:7" x14ac:dyDescent="0.35">
      <c r="B1018" s="1">
        <v>45700</v>
      </c>
      <c r="C1018" s="2">
        <v>0.33333333333333331</v>
      </c>
      <c r="D1018">
        <v>-3</v>
      </c>
      <c r="E1018">
        <f>IF($D1018 &gt; 16, 0, $J$3*(16 - $D1018))</f>
        <v>3947.2242113132429</v>
      </c>
      <c r="F1018">
        <f>IF($D1018 &gt; 16, 0,$E1018*$J$5)</f>
        <v>42902379.952763639</v>
      </c>
      <c r="G1018">
        <f t="shared" si="15"/>
        <v>19</v>
      </c>
    </row>
    <row r="1019" spans="2:7" x14ac:dyDescent="0.35">
      <c r="B1019" s="1">
        <v>45700</v>
      </c>
      <c r="C1019" s="2">
        <v>0.375</v>
      </c>
      <c r="D1019">
        <v>-2.5</v>
      </c>
      <c r="E1019">
        <f>IF($D1019 &gt; 16, 0, $J$3*(16 - $D1019))</f>
        <v>3843.3498899628944</v>
      </c>
      <c r="F1019">
        <f>IF($D1019 &gt; 16, 0,$E1019*$J$5)</f>
        <v>41773369.954006702</v>
      </c>
      <c r="G1019">
        <f t="shared" si="15"/>
        <v>18.5</v>
      </c>
    </row>
    <row r="1020" spans="2:7" x14ac:dyDescent="0.35">
      <c r="B1020" s="1">
        <v>45700</v>
      </c>
      <c r="C1020" s="2">
        <v>0.41666666666666669</v>
      </c>
      <c r="D1020">
        <v>-1.9</v>
      </c>
      <c r="E1020">
        <f>IF($D1020 &gt; 16, 0, $J$3*(16 - $D1020))</f>
        <v>3718.700704342476</v>
      </c>
      <c r="F1020">
        <f>IF($D1020 &gt; 16, 0,$E1020*$J$5)</f>
        <v>40418557.955498375</v>
      </c>
      <c r="G1020">
        <f t="shared" si="15"/>
        <v>17.899999999999999</v>
      </c>
    </row>
    <row r="1021" spans="2:7" x14ac:dyDescent="0.35">
      <c r="B1021" s="1">
        <v>45700</v>
      </c>
      <c r="C1021" s="2">
        <v>0.45833333333333331</v>
      </c>
      <c r="D1021">
        <v>-1.3</v>
      </c>
      <c r="E1021">
        <f>IF($D1021 &gt; 16, 0, $J$3*(16 - $D1021))</f>
        <v>3594.0515187220581</v>
      </c>
      <c r="F1021">
        <f>IF($D1021 &gt; 16, 0,$E1021*$J$5)</f>
        <v>39063745.956990048</v>
      </c>
      <c r="G1021">
        <f t="shared" si="15"/>
        <v>17.3</v>
      </c>
    </row>
    <row r="1022" spans="2:7" x14ac:dyDescent="0.35">
      <c r="B1022" s="1">
        <v>45700</v>
      </c>
      <c r="C1022" s="2">
        <v>0.5</v>
      </c>
      <c r="D1022">
        <v>-0.6</v>
      </c>
      <c r="E1022">
        <f>IF($D1022 &gt; 16, 0, $J$3*(16 - $D1022))</f>
        <v>3448.6274688315702</v>
      </c>
      <c r="F1022">
        <f>IF($D1022 &gt; 16, 0,$E1022*$J$5)</f>
        <v>37483131.95873034</v>
      </c>
      <c r="G1022">
        <f t="shared" si="15"/>
        <v>16.600000000000001</v>
      </c>
    </row>
    <row r="1023" spans="2:7" x14ac:dyDescent="0.35">
      <c r="B1023" s="1">
        <v>45700</v>
      </c>
      <c r="C1023" s="2">
        <v>0.54166666666666663</v>
      </c>
      <c r="D1023">
        <v>0.4</v>
      </c>
      <c r="E1023">
        <f>IF($D1023 &gt; 16, 0, $J$3*(16 - $D1023))</f>
        <v>3240.8788261308728</v>
      </c>
      <c r="F1023">
        <f>IF($D1023 &gt; 16, 0,$E1023*$J$5)</f>
        <v>35225111.961216457</v>
      </c>
      <c r="G1023">
        <f t="shared" si="15"/>
        <v>15.6</v>
      </c>
    </row>
    <row r="1024" spans="2:7" x14ac:dyDescent="0.35">
      <c r="B1024" s="1">
        <v>45700</v>
      </c>
      <c r="C1024" s="2">
        <v>0.58333333333333337</v>
      </c>
      <c r="D1024">
        <v>-0.4</v>
      </c>
      <c r="E1024">
        <f>IF($D1024 &gt; 16, 0, $J$3*(16 - $D1024))</f>
        <v>3407.0777402914305</v>
      </c>
      <c r="F1024">
        <f>IF($D1024 &gt; 16, 0,$E1024*$J$5)</f>
        <v>37031527.959227555</v>
      </c>
      <c r="G1024">
        <f t="shared" si="15"/>
        <v>16.399999999999999</v>
      </c>
    </row>
    <row r="1025" spans="2:7" x14ac:dyDescent="0.35">
      <c r="B1025" s="1">
        <v>45700</v>
      </c>
      <c r="C1025" s="2">
        <v>0.625</v>
      </c>
      <c r="D1025">
        <v>-1.2</v>
      </c>
      <c r="E1025">
        <f>IF($D1025 &gt; 16, 0, $J$3*(16 - $D1025))</f>
        <v>3573.2766544519882</v>
      </c>
      <c r="F1025">
        <f>IF($D1025 &gt; 16, 0,$E1025*$J$5)</f>
        <v>38837943.957238659</v>
      </c>
      <c r="G1025">
        <f t="shared" si="15"/>
        <v>17.2</v>
      </c>
    </row>
    <row r="1026" spans="2:7" x14ac:dyDescent="0.35">
      <c r="B1026" s="1">
        <v>45700</v>
      </c>
      <c r="C1026" s="2">
        <v>0.66666666666666663</v>
      </c>
      <c r="D1026">
        <v>-2.2000000000000002</v>
      </c>
      <c r="E1026">
        <f>IF($D1026 &gt; 16, 0, $J$3*(16 - $D1026))</f>
        <v>3781.0252971526852</v>
      </c>
      <c r="F1026">
        <f>IF($D1026 &gt; 16, 0,$E1026*$J$5)</f>
        <v>41095963.954752535</v>
      </c>
      <c r="G1026">
        <f t="shared" si="15"/>
        <v>18.2</v>
      </c>
    </row>
    <row r="1027" spans="2:7" x14ac:dyDescent="0.35">
      <c r="B1027" s="1">
        <v>45700</v>
      </c>
      <c r="C1027" s="2">
        <v>0.70833333333333337</v>
      </c>
      <c r="D1027">
        <v>-3.3</v>
      </c>
      <c r="E1027">
        <f>IF($D1027 &gt; 16, 0, $J$3*(16 - $D1027))</f>
        <v>4009.5488041234521</v>
      </c>
      <c r="F1027">
        <f>IF($D1027 &gt; 16, 0,$E1027*$J$5)</f>
        <v>43579785.952017799</v>
      </c>
      <c r="G1027">
        <f t="shared" ref="G1027:G1090" si="16">MAX(0, 16 - $D1027)</f>
        <v>19.3</v>
      </c>
    </row>
    <row r="1028" spans="2:7" x14ac:dyDescent="0.35">
      <c r="B1028" s="1">
        <v>45700</v>
      </c>
      <c r="C1028" s="2">
        <v>0.75</v>
      </c>
      <c r="D1028">
        <v>-3.8</v>
      </c>
      <c r="E1028">
        <f>IF($D1028 &gt; 16, 0, $J$3*(16 - $D1028))</f>
        <v>4113.4231254738006</v>
      </c>
      <c r="F1028">
        <f>IF($D1028 &gt; 16, 0,$E1028*$J$5)</f>
        <v>44708795.950774737</v>
      </c>
      <c r="G1028">
        <f t="shared" si="16"/>
        <v>19.8</v>
      </c>
    </row>
    <row r="1029" spans="2:7" x14ac:dyDescent="0.35">
      <c r="B1029" s="1">
        <v>45700</v>
      </c>
      <c r="C1029" s="2">
        <v>0.79166666666666663</v>
      </c>
      <c r="D1029">
        <v>-4</v>
      </c>
      <c r="E1029">
        <f>IF($D1029 &gt; 16, 0, $J$3*(16 - $D1029))</f>
        <v>4154.9728540139395</v>
      </c>
      <c r="F1029">
        <f>IF($D1029 &gt; 16, 0,$E1029*$J$5)</f>
        <v>45160399.950277507</v>
      </c>
      <c r="G1029">
        <f t="shared" si="16"/>
        <v>20</v>
      </c>
    </row>
    <row r="1030" spans="2:7" x14ac:dyDescent="0.35">
      <c r="B1030" s="1">
        <v>45700</v>
      </c>
      <c r="C1030" s="2">
        <v>0.83333333333333337</v>
      </c>
      <c r="D1030">
        <v>-4</v>
      </c>
      <c r="E1030">
        <f>IF($D1030 &gt; 16, 0, $J$3*(16 - $D1030))</f>
        <v>4154.9728540139395</v>
      </c>
      <c r="F1030">
        <f>IF($D1030 &gt; 16, 0,$E1030*$J$5)</f>
        <v>45160399.950277507</v>
      </c>
      <c r="G1030">
        <f t="shared" si="16"/>
        <v>20</v>
      </c>
    </row>
    <row r="1031" spans="2:7" x14ac:dyDescent="0.35">
      <c r="B1031" s="1">
        <v>45700</v>
      </c>
      <c r="C1031" s="2">
        <v>0.875</v>
      </c>
      <c r="D1031">
        <v>-3.9</v>
      </c>
      <c r="E1031">
        <f>IF($D1031 &gt; 16, 0, $J$3*(16 - $D1031))</f>
        <v>4134.1979897438696</v>
      </c>
      <c r="F1031">
        <f>IF($D1031 &gt; 16, 0,$E1031*$J$5)</f>
        <v>44934597.950526118</v>
      </c>
      <c r="G1031">
        <f t="shared" si="16"/>
        <v>19.899999999999999</v>
      </c>
    </row>
    <row r="1032" spans="2:7" x14ac:dyDescent="0.35">
      <c r="B1032" s="1">
        <v>45700</v>
      </c>
      <c r="C1032" s="2">
        <v>0.91666666666666663</v>
      </c>
      <c r="D1032">
        <v>-3.7</v>
      </c>
      <c r="E1032">
        <f>IF($D1032 &gt; 16, 0, $J$3*(16 - $D1032))</f>
        <v>4092.6482612037307</v>
      </c>
      <c r="F1032">
        <f>IF($D1032 &gt; 16, 0,$E1032*$J$5)</f>
        <v>44482993.951023348</v>
      </c>
      <c r="G1032">
        <f t="shared" si="16"/>
        <v>19.7</v>
      </c>
    </row>
    <row r="1033" spans="2:7" x14ac:dyDescent="0.35">
      <c r="B1033" s="1">
        <v>45700</v>
      </c>
      <c r="C1033" s="2">
        <v>0.95833333333333337</v>
      </c>
      <c r="D1033">
        <v>-3.7</v>
      </c>
      <c r="E1033">
        <f>IF($D1033 &gt; 16, 0, $J$3*(16 - $D1033))</f>
        <v>4092.6482612037307</v>
      </c>
      <c r="F1033">
        <f>IF($D1033 &gt; 16, 0,$E1033*$J$5)</f>
        <v>44482993.951023348</v>
      </c>
      <c r="G1033">
        <f t="shared" si="16"/>
        <v>19.7</v>
      </c>
    </row>
    <row r="1034" spans="2:7" x14ac:dyDescent="0.35">
      <c r="B1034" s="1">
        <v>45701</v>
      </c>
      <c r="C1034" s="2">
        <v>0</v>
      </c>
      <c r="D1034">
        <v>-3.7</v>
      </c>
      <c r="E1034">
        <f>IF($D1034 &gt; 16, 0, $J$3*(16 - $D1034))</f>
        <v>4092.6482612037307</v>
      </c>
      <c r="F1034">
        <f>IF($D1034 &gt; 16, 0,$E1034*$J$5)</f>
        <v>44482993.951023348</v>
      </c>
      <c r="G1034">
        <f t="shared" si="16"/>
        <v>19.7</v>
      </c>
    </row>
    <row r="1035" spans="2:7" x14ac:dyDescent="0.35">
      <c r="B1035" s="1">
        <v>45701</v>
      </c>
      <c r="C1035" s="2">
        <v>4.1666666666666657E-2</v>
      </c>
      <c r="D1035">
        <v>-3.7</v>
      </c>
      <c r="E1035">
        <f>IF($D1035 &gt; 16, 0, $J$3*(16 - $D1035))</f>
        <v>4092.6482612037307</v>
      </c>
      <c r="F1035">
        <f>IF($D1035 &gt; 16, 0,$E1035*$J$5)</f>
        <v>44482993.951023348</v>
      </c>
      <c r="G1035">
        <f t="shared" si="16"/>
        <v>19.7</v>
      </c>
    </row>
    <row r="1036" spans="2:7" x14ac:dyDescent="0.35">
      <c r="B1036" s="1">
        <v>45701</v>
      </c>
      <c r="C1036" s="2">
        <v>8.3333333333333329E-2</v>
      </c>
      <c r="D1036">
        <v>-5.5</v>
      </c>
      <c r="E1036">
        <f>IF($D1036 &gt; 16, 0, $J$3*(16 - $D1036))</f>
        <v>4466.595818064985</v>
      </c>
      <c r="F1036">
        <f>IF($D1036 &gt; 16, 0,$E1036*$J$5)</f>
        <v>48547429.94654832</v>
      </c>
      <c r="G1036">
        <f t="shared" si="16"/>
        <v>21.5</v>
      </c>
    </row>
    <row r="1037" spans="2:7" x14ac:dyDescent="0.35">
      <c r="B1037" s="1">
        <v>45701</v>
      </c>
      <c r="C1037" s="2">
        <v>0.125</v>
      </c>
      <c r="D1037">
        <v>-4.4000000000000004</v>
      </c>
      <c r="E1037">
        <f>IF($D1037 &gt; 16, 0, $J$3*(16 - $D1037))</f>
        <v>4238.0723110942181</v>
      </c>
      <c r="F1037">
        <f>IF($D1037 &gt; 16, 0,$E1037*$J$5)</f>
        <v>46063607.949283056</v>
      </c>
      <c r="G1037">
        <f t="shared" si="16"/>
        <v>20.399999999999999</v>
      </c>
    </row>
    <row r="1038" spans="2:7" x14ac:dyDescent="0.35">
      <c r="B1038" s="1">
        <v>45701</v>
      </c>
      <c r="C1038" s="2">
        <v>0.16666666666666671</v>
      </c>
      <c r="D1038">
        <v>-4</v>
      </c>
      <c r="E1038">
        <f>IF($D1038 &gt; 16, 0, $J$3*(16 - $D1038))</f>
        <v>4154.9728540139395</v>
      </c>
      <c r="F1038">
        <f>IF($D1038 &gt; 16, 0,$E1038*$J$5)</f>
        <v>45160399.950277507</v>
      </c>
      <c r="G1038">
        <f t="shared" si="16"/>
        <v>20</v>
      </c>
    </row>
    <row r="1039" spans="2:7" x14ac:dyDescent="0.35">
      <c r="B1039" s="1">
        <v>45701</v>
      </c>
      <c r="C1039" s="2">
        <v>0.20833333333333329</v>
      </c>
      <c r="D1039">
        <v>-3.3</v>
      </c>
      <c r="E1039">
        <f>IF($D1039 &gt; 16, 0, $J$3*(16 - $D1039))</f>
        <v>4009.5488041234521</v>
      </c>
      <c r="F1039">
        <f>IF($D1039 &gt; 16, 0,$E1039*$J$5)</f>
        <v>43579785.952017799</v>
      </c>
      <c r="G1039">
        <f t="shared" si="16"/>
        <v>19.3</v>
      </c>
    </row>
    <row r="1040" spans="2:7" x14ac:dyDescent="0.35">
      <c r="B1040" s="1">
        <v>45701</v>
      </c>
      <c r="C1040" s="2">
        <v>0.25</v>
      </c>
      <c r="D1040">
        <v>-3</v>
      </c>
      <c r="E1040">
        <f>IF($D1040 &gt; 16, 0, $J$3*(16 - $D1040))</f>
        <v>3947.2242113132429</v>
      </c>
      <c r="F1040">
        <f>IF($D1040 &gt; 16, 0,$E1040*$J$5)</f>
        <v>42902379.952763639</v>
      </c>
      <c r="G1040">
        <f t="shared" si="16"/>
        <v>19</v>
      </c>
    </row>
    <row r="1041" spans="2:7" x14ac:dyDescent="0.35">
      <c r="B1041" s="1">
        <v>45701</v>
      </c>
      <c r="C1041" s="2">
        <v>0.29166666666666669</v>
      </c>
      <c r="D1041">
        <v>-2.6</v>
      </c>
      <c r="E1041">
        <f>IF($D1041 &gt; 16, 0, $J$3*(16 - $D1041))</f>
        <v>3864.1247542329643</v>
      </c>
      <c r="F1041">
        <f>IF($D1041 &gt; 16, 0,$E1041*$J$5)</f>
        <v>41999171.953758091</v>
      </c>
      <c r="G1041">
        <f t="shared" si="16"/>
        <v>18.600000000000001</v>
      </c>
    </row>
    <row r="1042" spans="2:7" x14ac:dyDescent="0.35">
      <c r="B1042" s="1">
        <v>45701</v>
      </c>
      <c r="C1042" s="2">
        <v>0.33333333333333331</v>
      </c>
      <c r="D1042">
        <v>-2</v>
      </c>
      <c r="E1042">
        <f>IF($D1042 &gt; 16, 0, $J$3*(16 - $D1042))</f>
        <v>3739.4755686125459</v>
      </c>
      <c r="F1042">
        <f>IF($D1042 &gt; 16, 0,$E1042*$J$5)</f>
        <v>40644359.955249764</v>
      </c>
      <c r="G1042">
        <f t="shared" si="16"/>
        <v>18</v>
      </c>
    </row>
    <row r="1043" spans="2:7" x14ac:dyDescent="0.35">
      <c r="B1043" s="1">
        <v>45701</v>
      </c>
      <c r="C1043" s="2">
        <v>0.375</v>
      </c>
      <c r="D1043">
        <v>-1.2</v>
      </c>
      <c r="E1043">
        <f>IF($D1043 &gt; 16, 0, $J$3*(16 - $D1043))</f>
        <v>3573.2766544519882</v>
      </c>
      <c r="F1043">
        <f>IF($D1043 &gt; 16, 0,$E1043*$J$5)</f>
        <v>38837943.957238659</v>
      </c>
      <c r="G1043">
        <f t="shared" si="16"/>
        <v>17.2</v>
      </c>
    </row>
    <row r="1044" spans="2:7" x14ac:dyDescent="0.35">
      <c r="B1044" s="1">
        <v>45701</v>
      </c>
      <c r="C1044" s="2">
        <v>0.41666666666666669</v>
      </c>
      <c r="D1044">
        <v>-0.4</v>
      </c>
      <c r="E1044">
        <f>IF($D1044 &gt; 16, 0, $J$3*(16 - $D1044))</f>
        <v>3407.0777402914305</v>
      </c>
      <c r="F1044">
        <f>IF($D1044 &gt; 16, 0,$E1044*$J$5)</f>
        <v>37031527.959227555</v>
      </c>
      <c r="G1044">
        <f t="shared" si="16"/>
        <v>16.399999999999999</v>
      </c>
    </row>
    <row r="1045" spans="2:7" x14ac:dyDescent="0.35">
      <c r="B1045" s="1">
        <v>45701</v>
      </c>
      <c r="C1045" s="2">
        <v>0.45833333333333331</v>
      </c>
      <c r="D1045">
        <v>0.2</v>
      </c>
      <c r="E1045">
        <f>IF($D1045 &gt; 16, 0, $J$3*(16 - $D1045))</f>
        <v>3282.4285546710125</v>
      </c>
      <c r="F1045">
        <f>IF($D1045 &gt; 16, 0,$E1045*$J$5)</f>
        <v>35676715.960719235</v>
      </c>
      <c r="G1045">
        <f t="shared" si="16"/>
        <v>15.8</v>
      </c>
    </row>
    <row r="1046" spans="2:7" x14ac:dyDescent="0.35">
      <c r="B1046" s="1">
        <v>45701</v>
      </c>
      <c r="C1046" s="2">
        <v>0.5</v>
      </c>
      <c r="D1046">
        <v>0.9</v>
      </c>
      <c r="E1046">
        <f>IF($D1046 &gt; 16, 0, $J$3*(16 - $D1046))</f>
        <v>3137.0045047805243</v>
      </c>
      <c r="F1046">
        <f>IF($D1046 &gt; 16, 0,$E1046*$J$5)</f>
        <v>34096101.96245952</v>
      </c>
      <c r="G1046">
        <f t="shared" si="16"/>
        <v>15.1</v>
      </c>
    </row>
    <row r="1047" spans="2:7" x14ac:dyDescent="0.35">
      <c r="B1047" s="1">
        <v>45701</v>
      </c>
      <c r="C1047" s="2">
        <v>0.54166666666666663</v>
      </c>
      <c r="D1047">
        <v>1.5</v>
      </c>
      <c r="E1047">
        <f>IF($D1047 &gt; 16, 0, $J$3*(16 - $D1047))</f>
        <v>3012.3553191601063</v>
      </c>
      <c r="F1047">
        <f>IF($D1047 &gt; 16, 0,$E1047*$J$5)</f>
        <v>32741289.963951197</v>
      </c>
      <c r="G1047">
        <f t="shared" si="16"/>
        <v>14.5</v>
      </c>
    </row>
    <row r="1048" spans="2:7" x14ac:dyDescent="0.35">
      <c r="B1048" s="1">
        <v>45701</v>
      </c>
      <c r="C1048" s="2">
        <v>0.58333333333333337</v>
      </c>
      <c r="D1048">
        <v>1.6</v>
      </c>
      <c r="E1048">
        <f>IF($D1048 &gt; 16, 0, $J$3*(16 - $D1048))</f>
        <v>2991.5804548900369</v>
      </c>
      <c r="F1048">
        <f>IF($D1048 &gt; 16, 0,$E1048*$J$5)</f>
        <v>32515487.964199811</v>
      </c>
      <c r="G1048">
        <f t="shared" si="16"/>
        <v>14.4</v>
      </c>
    </row>
    <row r="1049" spans="2:7" x14ac:dyDescent="0.35">
      <c r="B1049" s="1">
        <v>45701</v>
      </c>
      <c r="C1049" s="2">
        <v>0.625</v>
      </c>
      <c r="D1049">
        <v>0.9</v>
      </c>
      <c r="E1049">
        <f>IF($D1049 &gt; 16, 0, $J$3*(16 - $D1049))</f>
        <v>3137.0045047805243</v>
      </c>
      <c r="F1049">
        <f>IF($D1049 &gt; 16, 0,$E1049*$J$5)</f>
        <v>34096101.96245952</v>
      </c>
      <c r="G1049">
        <f t="shared" si="16"/>
        <v>15.1</v>
      </c>
    </row>
    <row r="1050" spans="2:7" x14ac:dyDescent="0.35">
      <c r="B1050" s="1">
        <v>45701</v>
      </c>
      <c r="C1050" s="2">
        <v>0.66666666666666663</v>
      </c>
      <c r="D1050">
        <v>0.4</v>
      </c>
      <c r="E1050">
        <f>IF($D1050 &gt; 16, 0, $J$3*(16 - $D1050))</f>
        <v>3240.8788261308728</v>
      </c>
      <c r="F1050">
        <f>IF($D1050 &gt; 16, 0,$E1050*$J$5)</f>
        <v>35225111.961216457</v>
      </c>
      <c r="G1050">
        <f t="shared" si="16"/>
        <v>15.6</v>
      </c>
    </row>
    <row r="1051" spans="2:7" x14ac:dyDescent="0.35">
      <c r="B1051" s="1">
        <v>45701</v>
      </c>
      <c r="C1051" s="2">
        <v>0.70833333333333337</v>
      </c>
      <c r="D1051">
        <v>0.3</v>
      </c>
      <c r="E1051">
        <f>IF($D1051 &gt; 16, 0, $J$3*(16 - $D1051))</f>
        <v>3261.6536904009427</v>
      </c>
      <c r="F1051">
        <f>IF($D1051 &gt; 16, 0,$E1051*$J$5)</f>
        <v>35450913.960967846</v>
      </c>
      <c r="G1051">
        <f t="shared" si="16"/>
        <v>15.7</v>
      </c>
    </row>
    <row r="1052" spans="2:7" x14ac:dyDescent="0.35">
      <c r="B1052" s="1">
        <v>45701</v>
      </c>
      <c r="C1052" s="2">
        <v>0.75</v>
      </c>
      <c r="D1052">
        <v>0.1</v>
      </c>
      <c r="E1052">
        <f>IF($D1052 &gt; 16, 0, $J$3*(16 - $D1052))</f>
        <v>3303.2034189410824</v>
      </c>
      <c r="F1052">
        <f>IF($D1052 &gt; 16, 0,$E1052*$J$5)</f>
        <v>35902517.960470624</v>
      </c>
      <c r="G1052">
        <f t="shared" si="16"/>
        <v>15.9</v>
      </c>
    </row>
    <row r="1053" spans="2:7" x14ac:dyDescent="0.35">
      <c r="B1053" s="1">
        <v>45701</v>
      </c>
      <c r="C1053" s="2">
        <v>0.79166666666666663</v>
      </c>
      <c r="D1053">
        <v>0.3</v>
      </c>
      <c r="E1053">
        <f>IF($D1053 &gt; 16, 0, $J$3*(16 - $D1053))</f>
        <v>3261.6536904009427</v>
      </c>
      <c r="F1053">
        <f>IF($D1053 &gt; 16, 0,$E1053*$J$5)</f>
        <v>35450913.960967846</v>
      </c>
      <c r="G1053">
        <f t="shared" si="16"/>
        <v>15.7</v>
      </c>
    </row>
    <row r="1054" spans="2:7" x14ac:dyDescent="0.35">
      <c r="B1054" s="1">
        <v>45701</v>
      </c>
      <c r="C1054" s="2">
        <v>0.83333333333333337</v>
      </c>
      <c r="D1054">
        <v>0.3</v>
      </c>
      <c r="E1054">
        <f>IF($D1054 &gt; 16, 0, $J$3*(16 - $D1054))</f>
        <v>3261.6536904009427</v>
      </c>
      <c r="F1054">
        <f>IF($D1054 &gt; 16, 0,$E1054*$J$5)</f>
        <v>35450913.960967846</v>
      </c>
      <c r="G1054">
        <f t="shared" si="16"/>
        <v>15.7</v>
      </c>
    </row>
    <row r="1055" spans="2:7" x14ac:dyDescent="0.35">
      <c r="B1055" s="1">
        <v>45701</v>
      </c>
      <c r="C1055" s="2">
        <v>0.875</v>
      </c>
      <c r="D1055">
        <v>0.1</v>
      </c>
      <c r="E1055">
        <f>IF($D1055 &gt; 16, 0, $J$3*(16 - $D1055))</f>
        <v>3303.2034189410824</v>
      </c>
      <c r="F1055">
        <f>IF($D1055 &gt; 16, 0,$E1055*$J$5)</f>
        <v>35902517.960470624</v>
      </c>
      <c r="G1055">
        <f t="shared" si="16"/>
        <v>15.9</v>
      </c>
    </row>
    <row r="1056" spans="2:7" x14ac:dyDescent="0.35">
      <c r="B1056" s="1">
        <v>45701</v>
      </c>
      <c r="C1056" s="2">
        <v>0.91666666666666663</v>
      </c>
      <c r="D1056">
        <v>0.2</v>
      </c>
      <c r="E1056">
        <f>IF($D1056 &gt; 16, 0, $J$3*(16 - $D1056))</f>
        <v>3282.4285546710125</v>
      </c>
      <c r="F1056">
        <f>IF($D1056 &gt; 16, 0,$E1056*$J$5)</f>
        <v>35676715.960719235</v>
      </c>
      <c r="G1056">
        <f t="shared" si="16"/>
        <v>15.8</v>
      </c>
    </row>
    <row r="1057" spans="2:7" x14ac:dyDescent="0.35">
      <c r="B1057" s="1">
        <v>45701</v>
      </c>
      <c r="C1057" s="2">
        <v>0.95833333333333337</v>
      </c>
      <c r="D1057">
        <v>0.1</v>
      </c>
      <c r="E1057">
        <f>IF($D1057 &gt; 16, 0, $J$3*(16 - $D1057))</f>
        <v>3303.2034189410824</v>
      </c>
      <c r="F1057">
        <f>IF($D1057 &gt; 16, 0,$E1057*$J$5)</f>
        <v>35902517.960470624</v>
      </c>
      <c r="G1057">
        <f t="shared" si="16"/>
        <v>15.9</v>
      </c>
    </row>
    <row r="1058" spans="2:7" x14ac:dyDescent="0.35">
      <c r="B1058" s="1">
        <v>45702</v>
      </c>
      <c r="C1058" s="2">
        <v>0</v>
      </c>
      <c r="D1058">
        <v>0</v>
      </c>
      <c r="E1058">
        <f>IF($D1058 &gt; 16, 0, $J$3*(16 - $D1058))</f>
        <v>3323.9782832111518</v>
      </c>
      <c r="F1058">
        <f>IF($D1058 &gt; 16, 0,$E1058*$J$5)</f>
        <v>36128319.960222006</v>
      </c>
      <c r="G1058">
        <f t="shared" si="16"/>
        <v>16</v>
      </c>
    </row>
    <row r="1059" spans="2:7" x14ac:dyDescent="0.35">
      <c r="B1059" s="1">
        <v>45702</v>
      </c>
      <c r="C1059" s="2">
        <v>4.1666666666666657E-2</v>
      </c>
      <c r="D1059">
        <v>-0.1</v>
      </c>
      <c r="E1059">
        <f>IF($D1059 &gt; 16, 0, $J$3*(16 - $D1059))</f>
        <v>3344.7531474812217</v>
      </c>
      <c r="F1059">
        <f>IF($D1059 &gt; 16, 0,$E1059*$J$5)</f>
        <v>36354121.959973402</v>
      </c>
      <c r="G1059">
        <f t="shared" si="16"/>
        <v>16.100000000000001</v>
      </c>
    </row>
    <row r="1060" spans="2:7" x14ac:dyDescent="0.35">
      <c r="B1060" s="1">
        <v>45702</v>
      </c>
      <c r="C1060" s="2">
        <v>8.3333333333333329E-2</v>
      </c>
      <c r="D1060">
        <v>-0.3</v>
      </c>
      <c r="E1060">
        <f>IF($D1060 &gt; 16, 0, $J$3*(16 - $D1060))</f>
        <v>3386.302876021361</v>
      </c>
      <c r="F1060">
        <f>IF($D1060 &gt; 16, 0,$E1060*$J$5)</f>
        <v>36805725.959476173</v>
      </c>
      <c r="G1060">
        <f t="shared" si="16"/>
        <v>16.3</v>
      </c>
    </row>
    <row r="1061" spans="2:7" x14ac:dyDescent="0.35">
      <c r="B1061" s="1">
        <v>45702</v>
      </c>
      <c r="C1061" s="2">
        <v>0.125</v>
      </c>
      <c r="D1061">
        <v>-0.4</v>
      </c>
      <c r="E1061">
        <f>IF($D1061 &gt; 16, 0, $J$3*(16 - $D1061))</f>
        <v>3407.0777402914305</v>
      </c>
      <c r="F1061">
        <f>IF($D1061 &gt; 16, 0,$E1061*$J$5)</f>
        <v>37031527.959227555</v>
      </c>
      <c r="G1061">
        <f t="shared" si="16"/>
        <v>16.399999999999999</v>
      </c>
    </row>
    <row r="1062" spans="2:7" x14ac:dyDescent="0.35">
      <c r="B1062" s="1">
        <v>45702</v>
      </c>
      <c r="C1062" s="2">
        <v>0.16666666666666671</v>
      </c>
      <c r="D1062">
        <v>-0.4</v>
      </c>
      <c r="E1062">
        <f>IF($D1062 &gt; 16, 0, $J$3*(16 - $D1062))</f>
        <v>3407.0777402914305</v>
      </c>
      <c r="F1062">
        <f>IF($D1062 &gt; 16, 0,$E1062*$J$5)</f>
        <v>37031527.959227555</v>
      </c>
      <c r="G1062">
        <f t="shared" si="16"/>
        <v>16.399999999999999</v>
      </c>
    </row>
    <row r="1063" spans="2:7" x14ac:dyDescent="0.35">
      <c r="B1063" s="1">
        <v>45702</v>
      </c>
      <c r="C1063" s="2">
        <v>0.20833333333333329</v>
      </c>
      <c r="D1063">
        <v>-0.4</v>
      </c>
      <c r="E1063">
        <f>IF($D1063 &gt; 16, 0, $J$3*(16 - $D1063))</f>
        <v>3407.0777402914305</v>
      </c>
      <c r="F1063">
        <f>IF($D1063 &gt; 16, 0,$E1063*$J$5)</f>
        <v>37031527.959227555</v>
      </c>
      <c r="G1063">
        <f t="shared" si="16"/>
        <v>16.399999999999999</v>
      </c>
    </row>
    <row r="1064" spans="2:7" x14ac:dyDescent="0.35">
      <c r="B1064" s="1">
        <v>45702</v>
      </c>
      <c r="C1064" s="2">
        <v>0.25</v>
      </c>
      <c r="D1064">
        <v>-0.6</v>
      </c>
      <c r="E1064">
        <f>IF($D1064 &gt; 16, 0, $J$3*(16 - $D1064))</f>
        <v>3448.6274688315702</v>
      </c>
      <c r="F1064">
        <f>IF($D1064 &gt; 16, 0,$E1064*$J$5)</f>
        <v>37483131.95873034</v>
      </c>
      <c r="G1064">
        <f t="shared" si="16"/>
        <v>16.600000000000001</v>
      </c>
    </row>
    <row r="1065" spans="2:7" x14ac:dyDescent="0.35">
      <c r="B1065" s="1">
        <v>45702</v>
      </c>
      <c r="C1065" s="2">
        <v>0.29166666666666669</v>
      </c>
      <c r="D1065">
        <v>-0.6</v>
      </c>
      <c r="E1065">
        <f>IF($D1065 &gt; 16, 0, $J$3*(16 - $D1065))</f>
        <v>3448.6274688315702</v>
      </c>
      <c r="F1065">
        <f>IF($D1065 &gt; 16, 0,$E1065*$J$5)</f>
        <v>37483131.95873034</v>
      </c>
      <c r="G1065">
        <f t="shared" si="16"/>
        <v>16.600000000000001</v>
      </c>
    </row>
    <row r="1066" spans="2:7" x14ac:dyDescent="0.35">
      <c r="B1066" s="1">
        <v>45702</v>
      </c>
      <c r="C1066" s="2">
        <v>0.33333333333333331</v>
      </c>
      <c r="D1066">
        <v>-0.6</v>
      </c>
      <c r="E1066">
        <f>IF($D1066 &gt; 16, 0, $J$3*(16 - $D1066))</f>
        <v>3448.6274688315702</v>
      </c>
      <c r="F1066">
        <f>IF($D1066 &gt; 16, 0,$E1066*$J$5)</f>
        <v>37483131.95873034</v>
      </c>
      <c r="G1066">
        <f t="shared" si="16"/>
        <v>16.600000000000001</v>
      </c>
    </row>
    <row r="1067" spans="2:7" x14ac:dyDescent="0.35">
      <c r="B1067" s="1">
        <v>45702</v>
      </c>
      <c r="C1067" s="2">
        <v>0.375</v>
      </c>
      <c r="D1067">
        <v>-0.4</v>
      </c>
      <c r="E1067">
        <f>IF($D1067 &gt; 16, 0, $J$3*(16 - $D1067))</f>
        <v>3407.0777402914305</v>
      </c>
      <c r="F1067">
        <f>IF($D1067 &gt; 16, 0,$E1067*$J$5)</f>
        <v>37031527.959227555</v>
      </c>
      <c r="G1067">
        <f t="shared" si="16"/>
        <v>16.399999999999999</v>
      </c>
    </row>
    <row r="1068" spans="2:7" x14ac:dyDescent="0.35">
      <c r="B1068" s="1">
        <v>45702</v>
      </c>
      <c r="C1068" s="2">
        <v>0.41666666666666669</v>
      </c>
      <c r="D1068">
        <v>-0.1</v>
      </c>
      <c r="E1068">
        <f>IF($D1068 &gt; 16, 0, $J$3*(16 - $D1068))</f>
        <v>3344.7531474812217</v>
      </c>
      <c r="F1068">
        <f>IF($D1068 &gt; 16, 0,$E1068*$J$5)</f>
        <v>36354121.959973402</v>
      </c>
      <c r="G1068">
        <f t="shared" si="16"/>
        <v>16.100000000000001</v>
      </c>
    </row>
    <row r="1069" spans="2:7" x14ac:dyDescent="0.35">
      <c r="B1069" s="1">
        <v>45702</v>
      </c>
      <c r="C1069" s="2">
        <v>0.45833333333333331</v>
      </c>
      <c r="D1069">
        <v>0</v>
      </c>
      <c r="E1069">
        <f>IF($D1069 &gt; 16, 0, $J$3*(16 - $D1069))</f>
        <v>3323.9782832111518</v>
      </c>
      <c r="F1069">
        <f>IF($D1069 &gt; 16, 0,$E1069*$J$5)</f>
        <v>36128319.960222006</v>
      </c>
      <c r="G1069">
        <f t="shared" si="16"/>
        <v>16</v>
      </c>
    </row>
    <row r="1070" spans="2:7" x14ac:dyDescent="0.35">
      <c r="B1070" s="1">
        <v>45702</v>
      </c>
      <c r="C1070" s="2">
        <v>0.5</v>
      </c>
      <c r="D1070">
        <v>0.4</v>
      </c>
      <c r="E1070">
        <f>IF($D1070 &gt; 16, 0, $J$3*(16 - $D1070))</f>
        <v>3240.8788261308728</v>
      </c>
      <c r="F1070">
        <f>IF($D1070 &gt; 16, 0,$E1070*$J$5)</f>
        <v>35225111.961216457</v>
      </c>
      <c r="G1070">
        <f t="shared" si="16"/>
        <v>15.6</v>
      </c>
    </row>
    <row r="1071" spans="2:7" x14ac:dyDescent="0.35">
      <c r="B1071" s="1">
        <v>45702</v>
      </c>
      <c r="C1071" s="2">
        <v>0.54166666666666663</v>
      </c>
      <c r="D1071">
        <v>0.7</v>
      </c>
      <c r="E1071">
        <f>IF($D1071 &gt; 16, 0, $J$3*(16 - $D1071))</f>
        <v>3178.554233320664</v>
      </c>
      <c r="F1071">
        <f>IF($D1071 &gt; 16, 0,$E1071*$J$5)</f>
        <v>34547705.961962298</v>
      </c>
      <c r="G1071">
        <f t="shared" si="16"/>
        <v>15.3</v>
      </c>
    </row>
    <row r="1072" spans="2:7" x14ac:dyDescent="0.35">
      <c r="B1072" s="1">
        <v>45702</v>
      </c>
      <c r="C1072" s="2">
        <v>0.58333333333333337</v>
      </c>
      <c r="D1072">
        <v>0.8</v>
      </c>
      <c r="E1072">
        <f>IF($D1072 &gt; 16, 0, $J$3*(16 - $D1072))</f>
        <v>3157.7793690505941</v>
      </c>
      <c r="F1072">
        <f>IF($D1072 &gt; 16, 0,$E1072*$J$5)</f>
        <v>34321903.962210909</v>
      </c>
      <c r="G1072">
        <f t="shared" si="16"/>
        <v>15.2</v>
      </c>
    </row>
    <row r="1073" spans="2:7" x14ac:dyDescent="0.35">
      <c r="B1073" s="1">
        <v>45702</v>
      </c>
      <c r="C1073" s="2">
        <v>0.625</v>
      </c>
      <c r="D1073">
        <v>0.6</v>
      </c>
      <c r="E1073">
        <f>IF($D1073 &gt; 16, 0, $J$3*(16 - $D1073))</f>
        <v>3199.3290975907339</v>
      </c>
      <c r="F1073">
        <f>IF($D1073 &gt; 16, 0,$E1073*$J$5)</f>
        <v>34773507.961713687</v>
      </c>
      <c r="G1073">
        <f t="shared" si="16"/>
        <v>15.4</v>
      </c>
    </row>
    <row r="1074" spans="2:7" x14ac:dyDescent="0.35">
      <c r="B1074" s="1">
        <v>45702</v>
      </c>
      <c r="C1074" s="2">
        <v>0.66666666666666663</v>
      </c>
      <c r="D1074">
        <v>0.5</v>
      </c>
      <c r="E1074">
        <f>IF($D1074 &gt; 16, 0, $J$3*(16 - $D1074))</f>
        <v>3220.1039618608033</v>
      </c>
      <c r="F1074">
        <f>IF($D1074 &gt; 16, 0,$E1074*$J$5)</f>
        <v>34999309.961465068</v>
      </c>
      <c r="G1074">
        <f t="shared" si="16"/>
        <v>15.5</v>
      </c>
    </row>
    <row r="1075" spans="2:7" x14ac:dyDescent="0.35">
      <c r="B1075" s="1">
        <v>45702</v>
      </c>
      <c r="C1075" s="2">
        <v>0.70833333333333337</v>
      </c>
      <c r="D1075">
        <v>0.2</v>
      </c>
      <c r="E1075">
        <f>IF($D1075 &gt; 16, 0, $J$3*(16 - $D1075))</f>
        <v>3282.4285546710125</v>
      </c>
      <c r="F1075">
        <f>IF($D1075 &gt; 16, 0,$E1075*$J$5)</f>
        <v>35676715.960719235</v>
      </c>
      <c r="G1075">
        <f t="shared" si="16"/>
        <v>15.8</v>
      </c>
    </row>
    <row r="1076" spans="2:7" x14ac:dyDescent="0.35">
      <c r="B1076" s="1">
        <v>45702</v>
      </c>
      <c r="C1076" s="2">
        <v>0.75</v>
      </c>
      <c r="D1076">
        <v>-0.2</v>
      </c>
      <c r="E1076">
        <f>IF($D1076 &gt; 16, 0, $J$3*(16 - $D1076))</f>
        <v>3365.5280117512912</v>
      </c>
      <c r="F1076">
        <f>IF($D1076 &gt; 16, 0,$E1076*$J$5)</f>
        <v>36579923.959724784</v>
      </c>
      <c r="G1076">
        <f t="shared" si="16"/>
        <v>16.2</v>
      </c>
    </row>
    <row r="1077" spans="2:7" x14ac:dyDescent="0.35">
      <c r="B1077" s="1">
        <v>45702</v>
      </c>
      <c r="C1077" s="2">
        <v>0.79166666666666663</v>
      </c>
      <c r="D1077">
        <v>-0.3</v>
      </c>
      <c r="E1077">
        <f>IF($D1077 &gt; 16, 0, $J$3*(16 - $D1077))</f>
        <v>3386.302876021361</v>
      </c>
      <c r="F1077">
        <f>IF($D1077 &gt; 16, 0,$E1077*$J$5)</f>
        <v>36805725.959476173</v>
      </c>
      <c r="G1077">
        <f t="shared" si="16"/>
        <v>16.3</v>
      </c>
    </row>
    <row r="1078" spans="2:7" x14ac:dyDescent="0.35">
      <c r="B1078" s="1">
        <v>45702</v>
      </c>
      <c r="C1078" s="2">
        <v>0.83333333333333337</v>
      </c>
      <c r="D1078">
        <v>-0.5</v>
      </c>
      <c r="E1078">
        <f>IF($D1078 &gt; 16, 0, $J$3*(16 - $D1078))</f>
        <v>3427.8526045615004</v>
      </c>
      <c r="F1078">
        <f>IF($D1078 &gt; 16, 0,$E1078*$J$5)</f>
        <v>37257329.958978951</v>
      </c>
      <c r="G1078">
        <f t="shared" si="16"/>
        <v>16.5</v>
      </c>
    </row>
    <row r="1079" spans="2:7" x14ac:dyDescent="0.35">
      <c r="B1079" s="1">
        <v>45702</v>
      </c>
      <c r="C1079" s="2">
        <v>0.875</v>
      </c>
      <c r="D1079">
        <v>-0.2</v>
      </c>
      <c r="E1079">
        <f>IF($D1079 &gt; 16, 0, $J$3*(16 - $D1079))</f>
        <v>3365.5280117512912</v>
      </c>
      <c r="F1079">
        <f>IF($D1079 &gt; 16, 0,$E1079*$J$5)</f>
        <v>36579923.959724784</v>
      </c>
      <c r="G1079">
        <f t="shared" si="16"/>
        <v>16.2</v>
      </c>
    </row>
    <row r="1080" spans="2:7" x14ac:dyDescent="0.35">
      <c r="B1080" s="1">
        <v>45702</v>
      </c>
      <c r="C1080" s="2">
        <v>0.91666666666666663</v>
      </c>
      <c r="D1080">
        <v>-0.4</v>
      </c>
      <c r="E1080">
        <f>IF($D1080 &gt; 16, 0, $J$3*(16 - $D1080))</f>
        <v>3407.0777402914305</v>
      </c>
      <c r="F1080">
        <f>IF($D1080 &gt; 16, 0,$E1080*$J$5)</f>
        <v>37031527.959227555</v>
      </c>
      <c r="G1080">
        <f t="shared" si="16"/>
        <v>16.399999999999999</v>
      </c>
    </row>
    <row r="1081" spans="2:7" x14ac:dyDescent="0.35">
      <c r="B1081" s="1">
        <v>45702</v>
      </c>
      <c r="C1081" s="2">
        <v>0.95833333333333337</v>
      </c>
      <c r="D1081">
        <v>-0.6</v>
      </c>
      <c r="E1081">
        <f>IF($D1081 &gt; 16, 0, $J$3*(16 - $D1081))</f>
        <v>3448.6274688315702</v>
      </c>
      <c r="F1081">
        <f>IF($D1081 &gt; 16, 0,$E1081*$J$5)</f>
        <v>37483131.95873034</v>
      </c>
      <c r="G1081">
        <f t="shared" si="16"/>
        <v>16.600000000000001</v>
      </c>
    </row>
    <row r="1082" spans="2:7" x14ac:dyDescent="0.35">
      <c r="B1082" s="1">
        <v>45703</v>
      </c>
      <c r="C1082" s="2">
        <v>0</v>
      </c>
      <c r="D1082">
        <v>-1</v>
      </c>
      <c r="E1082">
        <f>IF($D1082 &gt; 16, 0, $J$3*(16 - $D1082))</f>
        <v>3531.7269259118489</v>
      </c>
      <c r="F1082">
        <f>IF($D1082 &gt; 16, 0,$E1082*$J$5)</f>
        <v>38386339.957735889</v>
      </c>
      <c r="G1082">
        <f t="shared" si="16"/>
        <v>17</v>
      </c>
    </row>
    <row r="1083" spans="2:7" x14ac:dyDescent="0.35">
      <c r="B1083" s="1">
        <v>45703</v>
      </c>
      <c r="C1083" s="2">
        <v>4.1666666666666657E-2</v>
      </c>
      <c r="D1083">
        <v>-1</v>
      </c>
      <c r="E1083">
        <f>IF($D1083 &gt; 16, 0, $J$3*(16 - $D1083))</f>
        <v>3531.7269259118489</v>
      </c>
      <c r="F1083">
        <f>IF($D1083 &gt; 16, 0,$E1083*$J$5)</f>
        <v>38386339.957735889</v>
      </c>
      <c r="G1083">
        <f t="shared" si="16"/>
        <v>17</v>
      </c>
    </row>
    <row r="1084" spans="2:7" x14ac:dyDescent="0.35">
      <c r="B1084" s="1">
        <v>45703</v>
      </c>
      <c r="C1084" s="2">
        <v>8.3333333333333329E-2</v>
      </c>
      <c r="D1084">
        <v>-1.1000000000000001</v>
      </c>
      <c r="E1084">
        <f>IF($D1084 &gt; 16, 0, $J$3*(16 - $D1084))</f>
        <v>3552.5017901819188</v>
      </c>
      <c r="F1084">
        <f>IF($D1084 &gt; 16, 0,$E1084*$J$5)</f>
        <v>38612141.957487278</v>
      </c>
      <c r="G1084">
        <f t="shared" si="16"/>
        <v>17.100000000000001</v>
      </c>
    </row>
    <row r="1085" spans="2:7" x14ac:dyDescent="0.35">
      <c r="B1085" s="1">
        <v>45703</v>
      </c>
      <c r="C1085" s="2">
        <v>0.125</v>
      </c>
      <c r="D1085">
        <v>-1.3</v>
      </c>
      <c r="E1085">
        <f>IF($D1085 &gt; 16, 0, $J$3*(16 - $D1085))</f>
        <v>3594.0515187220581</v>
      </c>
      <c r="F1085">
        <f>IF($D1085 &gt; 16, 0,$E1085*$J$5)</f>
        <v>39063745.956990048</v>
      </c>
      <c r="G1085">
        <f t="shared" si="16"/>
        <v>17.3</v>
      </c>
    </row>
    <row r="1086" spans="2:7" x14ac:dyDescent="0.35">
      <c r="B1086" s="1">
        <v>45703</v>
      </c>
      <c r="C1086" s="2">
        <v>0.16666666666666671</v>
      </c>
      <c r="D1086">
        <v>-0.9</v>
      </c>
      <c r="E1086">
        <f>IF($D1086 &gt; 16, 0, $J$3*(16 - $D1086))</f>
        <v>3510.952061641779</v>
      </c>
      <c r="F1086">
        <f>IF($D1086 &gt; 16, 0,$E1086*$J$5)</f>
        <v>38160537.957984492</v>
      </c>
      <c r="G1086">
        <f t="shared" si="16"/>
        <v>16.899999999999999</v>
      </c>
    </row>
    <row r="1087" spans="2:7" x14ac:dyDescent="0.35">
      <c r="B1087" s="1">
        <v>45703</v>
      </c>
      <c r="C1087" s="2">
        <v>0.20833333333333329</v>
      </c>
      <c r="D1087">
        <v>-1.4</v>
      </c>
      <c r="E1087">
        <f>IF($D1087 &gt; 16, 0, $J$3*(16 - $D1087))</f>
        <v>3614.8263829921275</v>
      </c>
      <c r="F1087">
        <f>IF($D1087 &gt; 16, 0,$E1087*$J$5)</f>
        <v>39289547.956741437</v>
      </c>
      <c r="G1087">
        <f t="shared" si="16"/>
        <v>17.399999999999999</v>
      </c>
    </row>
    <row r="1088" spans="2:7" x14ac:dyDescent="0.35">
      <c r="B1088" s="1">
        <v>45703</v>
      </c>
      <c r="C1088" s="2">
        <v>0.25</v>
      </c>
      <c r="D1088">
        <v>-1.3</v>
      </c>
      <c r="E1088">
        <f>IF($D1088 &gt; 16, 0, $J$3*(16 - $D1088))</f>
        <v>3594.0515187220581</v>
      </c>
      <c r="F1088">
        <f>IF($D1088 &gt; 16, 0,$E1088*$J$5)</f>
        <v>39063745.956990048</v>
      </c>
      <c r="G1088">
        <f t="shared" si="16"/>
        <v>17.3</v>
      </c>
    </row>
    <row r="1089" spans="2:7" x14ac:dyDescent="0.35">
      <c r="B1089" s="1">
        <v>45703</v>
      </c>
      <c r="C1089" s="2">
        <v>0.29166666666666669</v>
      </c>
      <c r="D1089">
        <v>-1</v>
      </c>
      <c r="E1089">
        <f>IF($D1089 &gt; 16, 0, $J$3*(16 - $D1089))</f>
        <v>3531.7269259118489</v>
      </c>
      <c r="F1089">
        <f>IF($D1089 &gt; 16, 0,$E1089*$J$5)</f>
        <v>38386339.957735889</v>
      </c>
      <c r="G1089">
        <f t="shared" si="16"/>
        <v>17</v>
      </c>
    </row>
    <row r="1090" spans="2:7" x14ac:dyDescent="0.35">
      <c r="B1090" s="1">
        <v>45703</v>
      </c>
      <c r="C1090" s="2">
        <v>0.33333333333333331</v>
      </c>
      <c r="D1090">
        <v>-0.8</v>
      </c>
      <c r="E1090">
        <f>IF($D1090 &gt; 16, 0, $J$3*(16 - $D1090))</f>
        <v>3490.1771973717096</v>
      </c>
      <c r="F1090">
        <f>IF($D1090 &gt; 16, 0,$E1090*$J$5)</f>
        <v>37934735.958233111</v>
      </c>
      <c r="G1090">
        <f t="shared" si="16"/>
        <v>16.8</v>
      </c>
    </row>
    <row r="1091" spans="2:7" x14ac:dyDescent="0.35">
      <c r="B1091" s="1">
        <v>45703</v>
      </c>
      <c r="C1091" s="2">
        <v>0.375</v>
      </c>
      <c r="D1091">
        <v>-0.2</v>
      </c>
      <c r="E1091">
        <f>IF($D1091 &gt; 16, 0, $J$3*(16 - $D1091))</f>
        <v>3365.5280117512912</v>
      </c>
      <c r="F1091">
        <f>IF($D1091 &gt; 16, 0,$E1091*$J$5)</f>
        <v>36579923.959724784</v>
      </c>
      <c r="G1091">
        <f t="shared" ref="G1091:G1154" si="17">MAX(0, 16 - $D1091)</f>
        <v>16.2</v>
      </c>
    </row>
    <row r="1092" spans="2:7" x14ac:dyDescent="0.35">
      <c r="B1092" s="1">
        <v>45703</v>
      </c>
      <c r="C1092" s="2">
        <v>0.41666666666666669</v>
      </c>
      <c r="D1092">
        <v>0.3</v>
      </c>
      <c r="E1092">
        <f>IF($D1092 &gt; 16, 0, $J$3*(16 - $D1092))</f>
        <v>3261.6536904009427</v>
      </c>
      <c r="F1092">
        <f>IF($D1092 &gt; 16, 0,$E1092*$J$5)</f>
        <v>35450913.960967846</v>
      </c>
      <c r="G1092">
        <f t="shared" si="17"/>
        <v>15.7</v>
      </c>
    </row>
    <row r="1093" spans="2:7" x14ac:dyDescent="0.35">
      <c r="B1093" s="1">
        <v>45703</v>
      </c>
      <c r="C1093" s="2">
        <v>0.45833333333333331</v>
      </c>
      <c r="D1093">
        <v>0.9</v>
      </c>
      <c r="E1093">
        <f>IF($D1093 &gt; 16, 0, $J$3*(16 - $D1093))</f>
        <v>3137.0045047805243</v>
      </c>
      <c r="F1093">
        <f>IF($D1093 &gt; 16, 0,$E1093*$J$5)</f>
        <v>34096101.96245952</v>
      </c>
      <c r="G1093">
        <f t="shared" si="17"/>
        <v>15.1</v>
      </c>
    </row>
    <row r="1094" spans="2:7" x14ac:dyDescent="0.35">
      <c r="B1094" s="1">
        <v>45703</v>
      </c>
      <c r="C1094" s="2">
        <v>0.5</v>
      </c>
      <c r="D1094">
        <v>0.9</v>
      </c>
      <c r="E1094">
        <f>IF($D1094 &gt; 16, 0, $J$3*(16 - $D1094))</f>
        <v>3137.0045047805243</v>
      </c>
      <c r="F1094">
        <f>IF($D1094 &gt; 16, 0,$E1094*$J$5)</f>
        <v>34096101.96245952</v>
      </c>
      <c r="G1094">
        <f t="shared" si="17"/>
        <v>15.1</v>
      </c>
    </row>
    <row r="1095" spans="2:7" x14ac:dyDescent="0.35">
      <c r="B1095" s="1">
        <v>45703</v>
      </c>
      <c r="C1095" s="2">
        <v>0.54166666666666663</v>
      </c>
      <c r="D1095">
        <v>1.7</v>
      </c>
      <c r="E1095">
        <f>IF($D1095 &gt; 16, 0, $J$3*(16 - $D1095))</f>
        <v>2970.805590619967</v>
      </c>
      <c r="F1095">
        <f>IF($D1095 &gt; 16, 0,$E1095*$J$5)</f>
        <v>32289685.964448422</v>
      </c>
      <c r="G1095">
        <f t="shared" si="17"/>
        <v>14.3</v>
      </c>
    </row>
    <row r="1096" spans="2:7" x14ac:dyDescent="0.35">
      <c r="B1096" s="1">
        <v>45703</v>
      </c>
      <c r="C1096" s="2">
        <v>0.58333333333333337</v>
      </c>
      <c r="D1096">
        <v>1.6</v>
      </c>
      <c r="E1096">
        <f>IF($D1096 &gt; 16, 0, $J$3*(16 - $D1096))</f>
        <v>2991.5804548900369</v>
      </c>
      <c r="F1096">
        <f>IF($D1096 &gt; 16, 0,$E1096*$J$5)</f>
        <v>32515487.964199811</v>
      </c>
      <c r="G1096">
        <f t="shared" si="17"/>
        <v>14.4</v>
      </c>
    </row>
    <row r="1097" spans="2:7" x14ac:dyDescent="0.35">
      <c r="B1097" s="1">
        <v>45703</v>
      </c>
      <c r="C1097" s="2">
        <v>0.625</v>
      </c>
      <c r="D1097">
        <v>1.6</v>
      </c>
      <c r="E1097">
        <f>IF($D1097 &gt; 16, 0, $J$3*(16 - $D1097))</f>
        <v>2991.5804548900369</v>
      </c>
      <c r="F1097">
        <f>IF($D1097 &gt; 16, 0,$E1097*$J$5)</f>
        <v>32515487.964199811</v>
      </c>
      <c r="G1097">
        <f t="shared" si="17"/>
        <v>14.4</v>
      </c>
    </row>
    <row r="1098" spans="2:7" x14ac:dyDescent="0.35">
      <c r="B1098" s="1">
        <v>45703</v>
      </c>
      <c r="C1098" s="2">
        <v>0.66666666666666663</v>
      </c>
      <c r="D1098">
        <v>1.4</v>
      </c>
      <c r="E1098">
        <f>IF($D1098 &gt; 16, 0, $J$3*(16 - $D1098))</f>
        <v>3033.1301834301762</v>
      </c>
      <c r="F1098">
        <f>IF($D1098 &gt; 16, 0,$E1098*$J$5)</f>
        <v>32967091.963702586</v>
      </c>
      <c r="G1098">
        <f t="shared" si="17"/>
        <v>14.6</v>
      </c>
    </row>
    <row r="1099" spans="2:7" x14ac:dyDescent="0.35">
      <c r="B1099" s="1">
        <v>45703</v>
      </c>
      <c r="C1099" s="2">
        <v>0.70833333333333337</v>
      </c>
      <c r="D1099">
        <v>0.5</v>
      </c>
      <c r="E1099">
        <f>IF($D1099 &gt; 16, 0, $J$3*(16 - $D1099))</f>
        <v>3220.1039618608033</v>
      </c>
      <c r="F1099">
        <f>IF($D1099 &gt; 16, 0,$E1099*$J$5)</f>
        <v>34999309.961465068</v>
      </c>
      <c r="G1099">
        <f t="shared" si="17"/>
        <v>15.5</v>
      </c>
    </row>
    <row r="1100" spans="2:7" x14ac:dyDescent="0.35">
      <c r="B1100" s="1">
        <v>45703</v>
      </c>
      <c r="C1100" s="2">
        <v>0.75</v>
      </c>
      <c r="D1100">
        <v>-1.1000000000000001</v>
      </c>
      <c r="E1100">
        <f>IF($D1100 &gt; 16, 0, $J$3*(16 - $D1100))</f>
        <v>3552.5017901819188</v>
      </c>
      <c r="F1100">
        <f>IF($D1100 &gt; 16, 0,$E1100*$J$5)</f>
        <v>38612141.957487278</v>
      </c>
      <c r="G1100">
        <f t="shared" si="17"/>
        <v>17.100000000000001</v>
      </c>
    </row>
    <row r="1101" spans="2:7" x14ac:dyDescent="0.35">
      <c r="B1101" s="1">
        <v>45703</v>
      </c>
      <c r="C1101" s="2">
        <v>0.79166666666666663</v>
      </c>
      <c r="D1101">
        <v>-2.5</v>
      </c>
      <c r="E1101">
        <f>IF($D1101 &gt; 16, 0, $J$3*(16 - $D1101))</f>
        <v>3843.3498899628944</v>
      </c>
      <c r="F1101">
        <f>IF($D1101 &gt; 16, 0,$E1101*$J$5)</f>
        <v>41773369.954006702</v>
      </c>
      <c r="G1101">
        <f t="shared" si="17"/>
        <v>18.5</v>
      </c>
    </row>
    <row r="1102" spans="2:7" x14ac:dyDescent="0.35">
      <c r="B1102" s="1">
        <v>45703</v>
      </c>
      <c r="C1102" s="2">
        <v>0.83333333333333337</v>
      </c>
      <c r="D1102">
        <v>-3.1</v>
      </c>
      <c r="E1102">
        <f>IF($D1102 &gt; 16, 0, $J$3*(16 - $D1102))</f>
        <v>3967.9990755833128</v>
      </c>
      <c r="F1102">
        <f>IF($D1102 &gt; 16, 0,$E1102*$J$5)</f>
        <v>43128181.952515028</v>
      </c>
      <c r="G1102">
        <f t="shared" si="17"/>
        <v>19.100000000000001</v>
      </c>
    </row>
    <row r="1103" spans="2:7" x14ac:dyDescent="0.35">
      <c r="B1103" s="1">
        <v>45703</v>
      </c>
      <c r="C1103" s="2">
        <v>0.875</v>
      </c>
      <c r="D1103">
        <v>-3.2</v>
      </c>
      <c r="E1103">
        <f>IF($D1103 &gt; 16, 0, $J$3*(16 - $D1103))</f>
        <v>3988.7739398533822</v>
      </c>
      <c r="F1103">
        <f>IF($D1103 &gt; 16, 0,$E1103*$J$5)</f>
        <v>43353983.95226641</v>
      </c>
      <c r="G1103">
        <f t="shared" si="17"/>
        <v>19.2</v>
      </c>
    </row>
    <row r="1104" spans="2:7" x14ac:dyDescent="0.35">
      <c r="B1104" s="1">
        <v>45703</v>
      </c>
      <c r="C1104" s="2">
        <v>0.91666666666666663</v>
      </c>
      <c r="D1104">
        <v>-2.2000000000000002</v>
      </c>
      <c r="E1104">
        <f>IF($D1104 &gt; 16, 0, $J$3*(16 - $D1104))</f>
        <v>3781.0252971526852</v>
      </c>
      <c r="F1104">
        <f>IF($D1104 &gt; 16, 0,$E1104*$J$5)</f>
        <v>41095963.954752535</v>
      </c>
      <c r="G1104">
        <f t="shared" si="17"/>
        <v>18.2</v>
      </c>
    </row>
    <row r="1105" spans="2:7" x14ac:dyDescent="0.35">
      <c r="B1105" s="1">
        <v>45703</v>
      </c>
      <c r="C1105" s="2">
        <v>0.95833333333333337</v>
      </c>
      <c r="D1105">
        <v>-1.6</v>
      </c>
      <c r="E1105">
        <f>IF($D1105 &gt; 16, 0, $J$3*(16 - $D1105))</f>
        <v>3656.3761115322673</v>
      </c>
      <c r="F1105">
        <f>IF($D1105 &gt; 16, 0,$E1105*$J$5)</f>
        <v>39741151.956244215</v>
      </c>
      <c r="G1105">
        <f t="shared" si="17"/>
        <v>17.600000000000001</v>
      </c>
    </row>
    <row r="1106" spans="2:7" x14ac:dyDescent="0.35">
      <c r="B1106" s="1">
        <v>45704</v>
      </c>
      <c r="C1106" s="2">
        <v>0</v>
      </c>
      <c r="D1106">
        <v>-0.7</v>
      </c>
      <c r="E1106">
        <f>IF($D1106 &gt; 16, 0, $J$3*(16 - $D1106))</f>
        <v>3469.4023331016397</v>
      </c>
      <c r="F1106">
        <f>IF($D1106 &gt; 16, 0,$E1106*$J$5)</f>
        <v>37708933.958481722</v>
      </c>
      <c r="G1106">
        <f t="shared" si="17"/>
        <v>16.7</v>
      </c>
    </row>
    <row r="1107" spans="2:7" x14ac:dyDescent="0.35">
      <c r="B1107" s="1">
        <v>45704</v>
      </c>
      <c r="C1107" s="2">
        <v>4.1666666666666657E-2</v>
      </c>
      <c r="D1107">
        <v>-0.6</v>
      </c>
      <c r="E1107">
        <f>IF($D1107 &gt; 16, 0, $J$3*(16 - $D1107))</f>
        <v>3448.6274688315702</v>
      </c>
      <c r="F1107">
        <f>IF($D1107 &gt; 16, 0,$E1107*$J$5)</f>
        <v>37483131.95873034</v>
      </c>
      <c r="G1107">
        <f t="shared" si="17"/>
        <v>16.600000000000001</v>
      </c>
    </row>
    <row r="1108" spans="2:7" x14ac:dyDescent="0.35">
      <c r="B1108" s="1">
        <v>45704</v>
      </c>
      <c r="C1108" s="2">
        <v>8.3333333333333329E-2</v>
      </c>
      <c r="D1108">
        <v>-0.2</v>
      </c>
      <c r="E1108">
        <f>IF($D1108 &gt; 16, 0, $J$3*(16 - $D1108))</f>
        <v>3365.5280117512912</v>
      </c>
      <c r="F1108">
        <f>IF($D1108 &gt; 16, 0,$E1108*$J$5)</f>
        <v>36579923.959724784</v>
      </c>
      <c r="G1108">
        <f t="shared" si="17"/>
        <v>16.2</v>
      </c>
    </row>
    <row r="1109" spans="2:7" x14ac:dyDescent="0.35">
      <c r="B1109" s="1">
        <v>45704</v>
      </c>
      <c r="C1109" s="2">
        <v>0.125</v>
      </c>
      <c r="D1109">
        <v>-0.3</v>
      </c>
      <c r="E1109">
        <f>IF($D1109 &gt; 16, 0, $J$3*(16 - $D1109))</f>
        <v>3386.302876021361</v>
      </c>
      <c r="F1109">
        <f>IF($D1109 &gt; 16, 0,$E1109*$J$5)</f>
        <v>36805725.959476173</v>
      </c>
      <c r="G1109">
        <f t="shared" si="17"/>
        <v>16.3</v>
      </c>
    </row>
    <row r="1110" spans="2:7" x14ac:dyDescent="0.35">
      <c r="B1110" s="1">
        <v>45704</v>
      </c>
      <c r="C1110" s="2">
        <v>0.16666666666666671</v>
      </c>
      <c r="D1110">
        <v>-1</v>
      </c>
      <c r="E1110">
        <f>IF($D1110 &gt; 16, 0, $J$3*(16 - $D1110))</f>
        <v>3531.7269259118489</v>
      </c>
      <c r="F1110">
        <f>IF($D1110 &gt; 16, 0,$E1110*$J$5)</f>
        <v>38386339.957735889</v>
      </c>
      <c r="G1110">
        <f t="shared" si="17"/>
        <v>17</v>
      </c>
    </row>
    <row r="1111" spans="2:7" x14ac:dyDescent="0.35">
      <c r="B1111" s="1">
        <v>45704</v>
      </c>
      <c r="C1111" s="2">
        <v>0.20833333333333329</v>
      </c>
      <c r="D1111">
        <v>-1.5</v>
      </c>
      <c r="E1111">
        <f>IF($D1111 &gt; 16, 0, $J$3*(16 - $D1111))</f>
        <v>3635.6012472621974</v>
      </c>
      <c r="F1111">
        <f>IF($D1111 &gt; 16, 0,$E1111*$J$5)</f>
        <v>39515349.956492826</v>
      </c>
      <c r="G1111">
        <f t="shared" si="17"/>
        <v>17.5</v>
      </c>
    </row>
    <row r="1112" spans="2:7" x14ac:dyDescent="0.35">
      <c r="B1112" s="1">
        <v>45704</v>
      </c>
      <c r="C1112" s="2">
        <v>0.25</v>
      </c>
      <c r="D1112">
        <v>-2</v>
      </c>
      <c r="E1112">
        <f>IF($D1112 &gt; 16, 0, $J$3*(16 - $D1112))</f>
        <v>3739.4755686125459</v>
      </c>
      <c r="F1112">
        <f>IF($D1112 &gt; 16, 0,$E1112*$J$5)</f>
        <v>40644359.955249764</v>
      </c>
      <c r="G1112">
        <f t="shared" si="17"/>
        <v>18</v>
      </c>
    </row>
    <row r="1113" spans="2:7" x14ac:dyDescent="0.35">
      <c r="B1113" s="1">
        <v>45704</v>
      </c>
      <c r="C1113" s="2">
        <v>0.29166666666666669</v>
      </c>
      <c r="D1113">
        <v>-2</v>
      </c>
      <c r="E1113">
        <f>IF($D1113 &gt; 16, 0, $J$3*(16 - $D1113))</f>
        <v>3739.4755686125459</v>
      </c>
      <c r="F1113">
        <f>IF($D1113 &gt; 16, 0,$E1113*$J$5)</f>
        <v>40644359.955249764</v>
      </c>
      <c r="G1113">
        <f t="shared" si="17"/>
        <v>18</v>
      </c>
    </row>
    <row r="1114" spans="2:7" x14ac:dyDescent="0.35">
      <c r="B1114" s="1">
        <v>45704</v>
      </c>
      <c r="C1114" s="2">
        <v>0.33333333333333331</v>
      </c>
      <c r="D1114">
        <v>-1.8</v>
      </c>
      <c r="E1114">
        <f>IF($D1114 &gt; 16, 0, $J$3*(16 - $D1114))</f>
        <v>3697.9258400724066</v>
      </c>
      <c r="F1114">
        <f>IF($D1114 &gt; 16, 0,$E1114*$J$5)</f>
        <v>40192755.955746986</v>
      </c>
      <c r="G1114">
        <f t="shared" si="17"/>
        <v>17.8</v>
      </c>
    </row>
    <row r="1115" spans="2:7" x14ac:dyDescent="0.35">
      <c r="B1115" s="1">
        <v>45704</v>
      </c>
      <c r="C1115" s="2">
        <v>0.375</v>
      </c>
      <c r="D1115">
        <v>-1</v>
      </c>
      <c r="E1115">
        <f>IF($D1115 &gt; 16, 0, $J$3*(16 - $D1115))</f>
        <v>3531.7269259118489</v>
      </c>
      <c r="F1115">
        <f>IF($D1115 &gt; 16, 0,$E1115*$J$5)</f>
        <v>38386339.957735889</v>
      </c>
      <c r="G1115">
        <f t="shared" si="17"/>
        <v>17</v>
      </c>
    </row>
    <row r="1116" spans="2:7" x14ac:dyDescent="0.35">
      <c r="B1116" s="1">
        <v>45704</v>
      </c>
      <c r="C1116" s="2">
        <v>0.41666666666666669</v>
      </c>
      <c r="D1116">
        <v>-0.5</v>
      </c>
      <c r="E1116">
        <f>IF($D1116 &gt; 16, 0, $J$3*(16 - $D1116))</f>
        <v>3427.8526045615004</v>
      </c>
      <c r="F1116">
        <f>IF($D1116 &gt; 16, 0,$E1116*$J$5)</f>
        <v>37257329.958978951</v>
      </c>
      <c r="G1116">
        <f t="shared" si="17"/>
        <v>16.5</v>
      </c>
    </row>
    <row r="1117" spans="2:7" x14ac:dyDescent="0.35">
      <c r="B1117" s="1">
        <v>45704</v>
      </c>
      <c r="C1117" s="2">
        <v>0.45833333333333331</v>
      </c>
      <c r="D1117">
        <v>-0.1</v>
      </c>
      <c r="E1117">
        <f>IF($D1117 &gt; 16, 0, $J$3*(16 - $D1117))</f>
        <v>3344.7531474812217</v>
      </c>
      <c r="F1117">
        <f>IF($D1117 &gt; 16, 0,$E1117*$J$5)</f>
        <v>36354121.959973402</v>
      </c>
      <c r="G1117">
        <f t="shared" si="17"/>
        <v>16.100000000000001</v>
      </c>
    </row>
    <row r="1118" spans="2:7" x14ac:dyDescent="0.35">
      <c r="B1118" s="1">
        <v>45704</v>
      </c>
      <c r="C1118" s="2">
        <v>0.5</v>
      </c>
      <c r="D1118">
        <v>0.6</v>
      </c>
      <c r="E1118">
        <f>IF($D1118 &gt; 16, 0, $J$3*(16 - $D1118))</f>
        <v>3199.3290975907339</v>
      </c>
      <c r="F1118">
        <f>IF($D1118 &gt; 16, 0,$E1118*$J$5)</f>
        <v>34773507.961713687</v>
      </c>
      <c r="G1118">
        <f t="shared" si="17"/>
        <v>15.4</v>
      </c>
    </row>
    <row r="1119" spans="2:7" x14ac:dyDescent="0.35">
      <c r="B1119" s="1">
        <v>45704</v>
      </c>
      <c r="C1119" s="2">
        <v>0.54166666666666663</v>
      </c>
      <c r="D1119">
        <v>0.4</v>
      </c>
      <c r="E1119">
        <f>IF($D1119 &gt; 16, 0, $J$3*(16 - $D1119))</f>
        <v>3240.8788261308728</v>
      </c>
      <c r="F1119">
        <f>IF($D1119 &gt; 16, 0,$E1119*$J$5)</f>
        <v>35225111.961216457</v>
      </c>
      <c r="G1119">
        <f t="shared" si="17"/>
        <v>15.6</v>
      </c>
    </row>
    <row r="1120" spans="2:7" x14ac:dyDescent="0.35">
      <c r="B1120" s="1">
        <v>45704</v>
      </c>
      <c r="C1120" s="2">
        <v>0.58333333333333337</v>
      </c>
      <c r="D1120">
        <v>0.6</v>
      </c>
      <c r="E1120">
        <f>IF($D1120 &gt; 16, 0, $J$3*(16 - $D1120))</f>
        <v>3199.3290975907339</v>
      </c>
      <c r="F1120">
        <f>IF($D1120 &gt; 16, 0,$E1120*$J$5)</f>
        <v>34773507.961713687</v>
      </c>
      <c r="G1120">
        <f t="shared" si="17"/>
        <v>15.4</v>
      </c>
    </row>
    <row r="1121" spans="2:7" x14ac:dyDescent="0.35">
      <c r="B1121" s="1">
        <v>45704</v>
      </c>
      <c r="C1121" s="2">
        <v>0.625</v>
      </c>
      <c r="D1121">
        <v>0.3</v>
      </c>
      <c r="E1121">
        <f>IF($D1121 &gt; 16, 0, $J$3*(16 - $D1121))</f>
        <v>3261.6536904009427</v>
      </c>
      <c r="F1121">
        <f>IF($D1121 &gt; 16, 0,$E1121*$J$5)</f>
        <v>35450913.960967846</v>
      </c>
      <c r="G1121">
        <f t="shared" si="17"/>
        <v>15.7</v>
      </c>
    </row>
    <row r="1122" spans="2:7" x14ac:dyDescent="0.35">
      <c r="B1122" s="1">
        <v>45704</v>
      </c>
      <c r="C1122" s="2">
        <v>0.66666666666666663</v>
      </c>
      <c r="D1122">
        <v>0</v>
      </c>
      <c r="E1122">
        <f>IF($D1122 &gt; 16, 0, $J$3*(16 - $D1122))</f>
        <v>3323.9782832111518</v>
      </c>
      <c r="F1122">
        <f>IF($D1122 &gt; 16, 0,$E1122*$J$5)</f>
        <v>36128319.960222006</v>
      </c>
      <c r="G1122">
        <f t="shared" si="17"/>
        <v>16</v>
      </c>
    </row>
    <row r="1123" spans="2:7" x14ac:dyDescent="0.35">
      <c r="B1123" s="1">
        <v>45704</v>
      </c>
      <c r="C1123" s="2">
        <v>0.70833333333333337</v>
      </c>
      <c r="D1123">
        <v>-1.5</v>
      </c>
      <c r="E1123">
        <f>IF($D1123 &gt; 16, 0, $J$3*(16 - $D1123))</f>
        <v>3635.6012472621974</v>
      </c>
      <c r="F1123">
        <f>IF($D1123 &gt; 16, 0,$E1123*$J$5)</f>
        <v>39515349.956492826</v>
      </c>
      <c r="G1123">
        <f t="shared" si="17"/>
        <v>17.5</v>
      </c>
    </row>
    <row r="1124" spans="2:7" x14ac:dyDescent="0.35">
      <c r="B1124" s="1">
        <v>45704</v>
      </c>
      <c r="C1124" s="2">
        <v>0.75</v>
      </c>
      <c r="D1124">
        <v>-2.4</v>
      </c>
      <c r="E1124">
        <f>IF($D1124 &gt; 16, 0, $J$3*(16 - $D1124))</f>
        <v>3822.5750256928245</v>
      </c>
      <c r="F1124">
        <f>IF($D1124 &gt; 16, 0,$E1124*$J$5)</f>
        <v>41547567.954255313</v>
      </c>
      <c r="G1124">
        <f t="shared" si="17"/>
        <v>18.399999999999999</v>
      </c>
    </row>
    <row r="1125" spans="2:7" x14ac:dyDescent="0.35">
      <c r="B1125" s="1">
        <v>45704</v>
      </c>
      <c r="C1125" s="2">
        <v>0.79166666666666663</v>
      </c>
      <c r="D1125">
        <v>-2.7</v>
      </c>
      <c r="E1125">
        <f>IF($D1125 &gt; 16, 0, $J$3*(16 - $D1125))</f>
        <v>3884.8996185030337</v>
      </c>
      <c r="F1125">
        <f>IF($D1125 &gt; 16, 0,$E1125*$J$5)</f>
        <v>42224973.953509472</v>
      </c>
      <c r="G1125">
        <f t="shared" si="17"/>
        <v>18.7</v>
      </c>
    </row>
    <row r="1126" spans="2:7" x14ac:dyDescent="0.35">
      <c r="B1126" s="1">
        <v>45704</v>
      </c>
      <c r="C1126" s="2">
        <v>0.83333333333333337</v>
      </c>
      <c r="D1126">
        <v>-3.3</v>
      </c>
      <c r="E1126">
        <f>IF($D1126 &gt; 16, 0, $J$3*(16 - $D1126))</f>
        <v>4009.5488041234521</v>
      </c>
      <c r="F1126">
        <f>IF($D1126 &gt; 16, 0,$E1126*$J$5)</f>
        <v>43579785.952017799</v>
      </c>
      <c r="G1126">
        <f t="shared" si="17"/>
        <v>19.3</v>
      </c>
    </row>
    <row r="1127" spans="2:7" x14ac:dyDescent="0.35">
      <c r="B1127" s="1">
        <v>45704</v>
      </c>
      <c r="C1127" s="2">
        <v>0.875</v>
      </c>
      <c r="D1127">
        <v>-4.5999999999999996</v>
      </c>
      <c r="E1127">
        <f>IF($D1127 &gt; 16, 0, $J$3*(16 - $D1127))</f>
        <v>4279.6220396343579</v>
      </c>
      <c r="F1127">
        <f>IF($D1127 &gt; 16, 0,$E1127*$J$5)</f>
        <v>46515211.948785834</v>
      </c>
      <c r="G1127">
        <f t="shared" si="17"/>
        <v>20.6</v>
      </c>
    </row>
    <row r="1128" spans="2:7" x14ac:dyDescent="0.35">
      <c r="B1128" s="1">
        <v>45704</v>
      </c>
      <c r="C1128" s="2">
        <v>0.91666666666666663</v>
      </c>
      <c r="D1128">
        <v>-5.0999999999999996</v>
      </c>
      <c r="E1128">
        <f>IF($D1128 &gt; 16, 0, $J$3*(16 - $D1128))</f>
        <v>4383.4963609847064</v>
      </c>
      <c r="F1128">
        <f>IF($D1128 &gt; 16, 0,$E1128*$J$5)</f>
        <v>47644221.947542772</v>
      </c>
      <c r="G1128">
        <f t="shared" si="17"/>
        <v>21.1</v>
      </c>
    </row>
    <row r="1129" spans="2:7" x14ac:dyDescent="0.35">
      <c r="B1129" s="1">
        <v>45704</v>
      </c>
      <c r="C1129" s="2">
        <v>0.95833333333333337</v>
      </c>
      <c r="D1129">
        <v>-5.3</v>
      </c>
      <c r="E1129">
        <f>IF($D1129 &gt; 16, 0, $J$3*(16 - $D1129))</f>
        <v>4425.0460895248461</v>
      </c>
      <c r="F1129">
        <f>IF($D1129 &gt; 16, 0,$E1129*$J$5)</f>
        <v>48095825.94704555</v>
      </c>
      <c r="G1129">
        <f t="shared" si="17"/>
        <v>21.3</v>
      </c>
    </row>
    <row r="1130" spans="2:7" x14ac:dyDescent="0.35">
      <c r="B1130" s="1">
        <v>45705</v>
      </c>
      <c r="C1130" s="2">
        <v>0</v>
      </c>
      <c r="D1130">
        <v>-5.7</v>
      </c>
      <c r="E1130">
        <f>IF($D1130 &gt; 16, 0, $J$3*(16 - $D1130))</f>
        <v>4508.1455466051248</v>
      </c>
      <c r="F1130">
        <f>IF($D1130 &gt; 16, 0,$E1130*$J$5)</f>
        <v>48999033.946051098</v>
      </c>
      <c r="G1130">
        <f t="shared" si="17"/>
        <v>21.7</v>
      </c>
    </row>
    <row r="1131" spans="2:7" x14ac:dyDescent="0.35">
      <c r="B1131" s="1">
        <v>45705</v>
      </c>
      <c r="C1131" s="2">
        <v>4.1666666666666657E-2</v>
      </c>
      <c r="D1131">
        <v>-6.2</v>
      </c>
      <c r="E1131">
        <f>IF($D1131 &gt; 16, 0, $J$3*(16 - $D1131))</f>
        <v>4612.0198679554733</v>
      </c>
      <c r="F1131">
        <f>IF($D1131 &gt; 16, 0,$E1131*$J$5)</f>
        <v>50128043.944808036</v>
      </c>
      <c r="G1131">
        <f t="shared" si="17"/>
        <v>22.2</v>
      </c>
    </row>
    <row r="1132" spans="2:7" x14ac:dyDescent="0.35">
      <c r="B1132" s="1">
        <v>45705</v>
      </c>
      <c r="C1132" s="2">
        <v>8.3333333333333329E-2</v>
      </c>
      <c r="D1132">
        <v>-5.8</v>
      </c>
      <c r="E1132">
        <f>IF($D1132 &gt; 16, 0, $J$3*(16 - $D1132))</f>
        <v>4528.9204108751946</v>
      </c>
      <c r="F1132">
        <f>IF($D1132 &gt; 16, 0,$E1132*$J$5)</f>
        <v>49224835.945802487</v>
      </c>
      <c r="G1132">
        <f t="shared" si="17"/>
        <v>21.8</v>
      </c>
    </row>
    <row r="1133" spans="2:7" x14ac:dyDescent="0.35">
      <c r="B1133" s="1">
        <v>45705</v>
      </c>
      <c r="C1133" s="2">
        <v>0.125</v>
      </c>
      <c r="D1133">
        <v>-6.6</v>
      </c>
      <c r="E1133">
        <f>IF($D1133 &gt; 16, 0, $J$3*(16 - $D1133))</f>
        <v>4695.1193250357519</v>
      </c>
      <c r="F1133">
        <f>IF($D1133 &gt; 16, 0,$E1133*$J$5)</f>
        <v>51031251.943813585</v>
      </c>
      <c r="G1133">
        <f t="shared" si="17"/>
        <v>22.6</v>
      </c>
    </row>
    <row r="1134" spans="2:7" x14ac:dyDescent="0.35">
      <c r="B1134" s="1">
        <v>45705</v>
      </c>
      <c r="C1134" s="2">
        <v>0.16666666666666671</v>
      </c>
      <c r="D1134">
        <v>-7</v>
      </c>
      <c r="E1134">
        <f>IF($D1134 &gt; 16, 0, $J$3*(16 - $D1134))</f>
        <v>4778.2187821160305</v>
      </c>
      <c r="F1134">
        <f>IF($D1134 &gt; 16, 0,$E1134*$J$5)</f>
        <v>51934459.942819133</v>
      </c>
      <c r="G1134">
        <f t="shared" si="17"/>
        <v>23</v>
      </c>
    </row>
    <row r="1135" spans="2:7" x14ac:dyDescent="0.35">
      <c r="B1135" s="1">
        <v>45705</v>
      </c>
      <c r="C1135" s="2">
        <v>0.20833333333333329</v>
      </c>
      <c r="D1135">
        <v>-7.7</v>
      </c>
      <c r="E1135">
        <f>IF($D1135 &gt; 16, 0, $J$3*(16 - $D1135))</f>
        <v>4923.6428320065188</v>
      </c>
      <c r="F1135">
        <f>IF($D1135 &gt; 16, 0,$E1135*$J$5)</f>
        <v>53515073.941078849</v>
      </c>
      <c r="G1135">
        <f t="shared" si="17"/>
        <v>23.7</v>
      </c>
    </row>
    <row r="1136" spans="2:7" x14ac:dyDescent="0.35">
      <c r="B1136" s="1">
        <v>45705</v>
      </c>
      <c r="C1136" s="2">
        <v>0.25</v>
      </c>
      <c r="D1136">
        <v>-7</v>
      </c>
      <c r="E1136">
        <f>IF($D1136 &gt; 16, 0, $J$3*(16 - $D1136))</f>
        <v>4778.2187821160305</v>
      </c>
      <c r="F1136">
        <f>IF($D1136 &gt; 16, 0,$E1136*$J$5)</f>
        <v>51934459.942819133</v>
      </c>
      <c r="G1136">
        <f t="shared" si="17"/>
        <v>23</v>
      </c>
    </row>
    <row r="1137" spans="2:7" x14ac:dyDescent="0.35">
      <c r="B1137" s="1">
        <v>45705</v>
      </c>
      <c r="C1137" s="2">
        <v>0.29166666666666669</v>
      </c>
      <c r="D1137">
        <v>-7.4</v>
      </c>
      <c r="E1137">
        <f>IF($D1137 &gt; 16, 0, $J$3*(16 - $D1137))</f>
        <v>4861.3182391963092</v>
      </c>
      <c r="F1137">
        <f>IF($D1137 &gt; 16, 0,$E1137*$J$5)</f>
        <v>52837667.941824682</v>
      </c>
      <c r="G1137">
        <f t="shared" si="17"/>
        <v>23.4</v>
      </c>
    </row>
    <row r="1138" spans="2:7" x14ac:dyDescent="0.35">
      <c r="B1138" s="1">
        <v>45705</v>
      </c>
      <c r="C1138" s="2">
        <v>0.33333333333333331</v>
      </c>
      <c r="D1138">
        <v>-4.9000000000000004</v>
      </c>
      <c r="E1138">
        <f>IF($D1138 &gt; 16, 0, $J$3*(16 - $D1138))</f>
        <v>4341.9466324445666</v>
      </c>
      <c r="F1138">
        <f>IF($D1138 &gt; 16, 0,$E1138*$J$5)</f>
        <v>47192617.948039994</v>
      </c>
      <c r="G1138">
        <f t="shared" si="17"/>
        <v>20.9</v>
      </c>
    </row>
    <row r="1139" spans="2:7" x14ac:dyDescent="0.35">
      <c r="B1139" s="1">
        <v>45705</v>
      </c>
      <c r="C1139" s="2">
        <v>0.375</v>
      </c>
      <c r="D1139">
        <v>-2.9</v>
      </c>
      <c r="E1139">
        <f>IF($D1139 &gt; 16, 0, $J$3*(16 - $D1139))</f>
        <v>3926.449347043173</v>
      </c>
      <c r="F1139">
        <f>IF($D1139 &gt; 16, 0,$E1139*$J$5)</f>
        <v>42676577.95301225</v>
      </c>
      <c r="G1139">
        <f t="shared" si="17"/>
        <v>18.899999999999999</v>
      </c>
    </row>
    <row r="1140" spans="2:7" x14ac:dyDescent="0.35">
      <c r="B1140" s="1">
        <v>45705</v>
      </c>
      <c r="C1140" s="2">
        <v>0.41666666666666669</v>
      </c>
      <c r="D1140">
        <v>-1.6</v>
      </c>
      <c r="E1140">
        <f>IF($D1140 &gt; 16, 0, $J$3*(16 - $D1140))</f>
        <v>3656.3761115322673</v>
      </c>
      <c r="F1140">
        <f>IF($D1140 &gt; 16, 0,$E1140*$J$5)</f>
        <v>39741151.956244215</v>
      </c>
      <c r="G1140">
        <f t="shared" si="17"/>
        <v>17.600000000000001</v>
      </c>
    </row>
    <row r="1141" spans="2:7" x14ac:dyDescent="0.35">
      <c r="B1141" s="1">
        <v>45705</v>
      </c>
      <c r="C1141" s="2">
        <v>0.45833333333333331</v>
      </c>
      <c r="D1141">
        <v>-0.5</v>
      </c>
      <c r="E1141">
        <f>IF($D1141 &gt; 16, 0, $J$3*(16 - $D1141))</f>
        <v>3427.8526045615004</v>
      </c>
      <c r="F1141">
        <f>IF($D1141 &gt; 16, 0,$E1141*$J$5)</f>
        <v>37257329.958978951</v>
      </c>
      <c r="G1141">
        <f t="shared" si="17"/>
        <v>16.5</v>
      </c>
    </row>
    <row r="1142" spans="2:7" x14ac:dyDescent="0.35">
      <c r="B1142" s="1">
        <v>45705</v>
      </c>
      <c r="C1142" s="2">
        <v>0.5</v>
      </c>
      <c r="D1142">
        <v>-0.2</v>
      </c>
      <c r="E1142">
        <f>IF($D1142 &gt; 16, 0, $J$3*(16 - $D1142))</f>
        <v>3365.5280117512912</v>
      </c>
      <c r="F1142">
        <f>IF($D1142 &gt; 16, 0,$E1142*$J$5)</f>
        <v>36579923.959724784</v>
      </c>
      <c r="G1142">
        <f t="shared" si="17"/>
        <v>16.2</v>
      </c>
    </row>
    <row r="1143" spans="2:7" x14ac:dyDescent="0.35">
      <c r="B1143" s="1">
        <v>45705</v>
      </c>
      <c r="C1143" s="2">
        <v>0.54166666666666663</v>
      </c>
      <c r="D1143">
        <v>0.7</v>
      </c>
      <c r="E1143">
        <f>IF($D1143 &gt; 16, 0, $J$3*(16 - $D1143))</f>
        <v>3178.554233320664</v>
      </c>
      <c r="F1143">
        <f>IF($D1143 &gt; 16, 0,$E1143*$J$5)</f>
        <v>34547705.961962298</v>
      </c>
      <c r="G1143">
        <f t="shared" si="17"/>
        <v>15.3</v>
      </c>
    </row>
    <row r="1144" spans="2:7" x14ac:dyDescent="0.35">
      <c r="B1144" s="1">
        <v>45705</v>
      </c>
      <c r="C1144" s="2">
        <v>0.58333333333333337</v>
      </c>
      <c r="D1144">
        <v>0.7</v>
      </c>
      <c r="E1144">
        <f>IF($D1144 &gt; 16, 0, $J$3*(16 - $D1144))</f>
        <v>3178.554233320664</v>
      </c>
      <c r="F1144">
        <f>IF($D1144 &gt; 16, 0,$E1144*$J$5)</f>
        <v>34547705.961962298</v>
      </c>
      <c r="G1144">
        <f t="shared" si="17"/>
        <v>15.3</v>
      </c>
    </row>
    <row r="1145" spans="2:7" x14ac:dyDescent="0.35">
      <c r="B1145" s="1">
        <v>45705</v>
      </c>
      <c r="C1145" s="2">
        <v>0.625</v>
      </c>
      <c r="D1145">
        <v>0.5</v>
      </c>
      <c r="E1145">
        <f>IF($D1145 &gt; 16, 0, $J$3*(16 - $D1145))</f>
        <v>3220.1039618608033</v>
      </c>
      <c r="F1145">
        <f>IF($D1145 &gt; 16, 0,$E1145*$J$5)</f>
        <v>34999309.961465068</v>
      </c>
      <c r="G1145">
        <f t="shared" si="17"/>
        <v>15.5</v>
      </c>
    </row>
    <row r="1146" spans="2:7" x14ac:dyDescent="0.35">
      <c r="B1146" s="1">
        <v>45705</v>
      </c>
      <c r="C1146" s="2">
        <v>0.66666666666666663</v>
      </c>
      <c r="D1146">
        <v>-0.4</v>
      </c>
      <c r="E1146">
        <f>IF($D1146 &gt; 16, 0, $J$3*(16 - $D1146))</f>
        <v>3407.0777402914305</v>
      </c>
      <c r="F1146">
        <f>IF($D1146 &gt; 16, 0,$E1146*$J$5)</f>
        <v>37031527.959227555</v>
      </c>
      <c r="G1146">
        <f t="shared" si="17"/>
        <v>16.399999999999999</v>
      </c>
    </row>
    <row r="1147" spans="2:7" x14ac:dyDescent="0.35">
      <c r="B1147" s="1">
        <v>45705</v>
      </c>
      <c r="C1147" s="2">
        <v>0.70833333333333337</v>
      </c>
      <c r="D1147">
        <v>-1.1000000000000001</v>
      </c>
      <c r="E1147">
        <f>IF($D1147 &gt; 16, 0, $J$3*(16 - $D1147))</f>
        <v>3552.5017901819188</v>
      </c>
      <c r="F1147">
        <f>IF($D1147 &gt; 16, 0,$E1147*$J$5)</f>
        <v>38612141.957487278</v>
      </c>
      <c r="G1147">
        <f t="shared" si="17"/>
        <v>17.100000000000001</v>
      </c>
    </row>
    <row r="1148" spans="2:7" x14ac:dyDescent="0.35">
      <c r="B1148" s="1">
        <v>45705</v>
      </c>
      <c r="C1148" s="2">
        <v>0.75</v>
      </c>
      <c r="D1148">
        <v>-2.9</v>
      </c>
      <c r="E1148">
        <f>IF($D1148 &gt; 16, 0, $J$3*(16 - $D1148))</f>
        <v>3926.449347043173</v>
      </c>
      <c r="F1148">
        <f>IF($D1148 &gt; 16, 0,$E1148*$J$5)</f>
        <v>42676577.95301225</v>
      </c>
      <c r="G1148">
        <f t="shared" si="17"/>
        <v>18.899999999999999</v>
      </c>
    </row>
    <row r="1149" spans="2:7" x14ac:dyDescent="0.35">
      <c r="B1149" s="1">
        <v>45705</v>
      </c>
      <c r="C1149" s="2">
        <v>0.79166666666666663</v>
      </c>
      <c r="D1149">
        <v>-4.4000000000000004</v>
      </c>
      <c r="E1149">
        <f>IF($D1149 &gt; 16, 0, $J$3*(16 - $D1149))</f>
        <v>4238.0723110942181</v>
      </c>
      <c r="F1149">
        <f>IF($D1149 &gt; 16, 0,$E1149*$J$5)</f>
        <v>46063607.949283056</v>
      </c>
      <c r="G1149">
        <f t="shared" si="17"/>
        <v>20.399999999999999</v>
      </c>
    </row>
    <row r="1150" spans="2:7" x14ac:dyDescent="0.35">
      <c r="B1150" s="1">
        <v>45705</v>
      </c>
      <c r="C1150" s="2">
        <v>0.83333333333333337</v>
      </c>
      <c r="D1150">
        <v>-3.9</v>
      </c>
      <c r="E1150">
        <f>IF($D1150 &gt; 16, 0, $J$3*(16 - $D1150))</f>
        <v>4134.1979897438696</v>
      </c>
      <c r="F1150">
        <f>IF($D1150 &gt; 16, 0,$E1150*$J$5)</f>
        <v>44934597.950526118</v>
      </c>
      <c r="G1150">
        <f t="shared" si="17"/>
        <v>19.899999999999999</v>
      </c>
    </row>
    <row r="1151" spans="2:7" x14ac:dyDescent="0.35">
      <c r="B1151" s="1">
        <v>45705</v>
      </c>
      <c r="C1151" s="2">
        <v>0.875</v>
      </c>
      <c r="D1151">
        <v>-5.4</v>
      </c>
      <c r="E1151">
        <f>IF($D1151 &gt; 16, 0, $J$3*(16 - $D1151))</f>
        <v>4445.8209537949151</v>
      </c>
      <c r="F1151">
        <f>IF($D1151 &gt; 16, 0,$E1151*$J$5)</f>
        <v>48321627.946796931</v>
      </c>
      <c r="G1151">
        <f t="shared" si="17"/>
        <v>21.4</v>
      </c>
    </row>
    <row r="1152" spans="2:7" x14ac:dyDescent="0.35">
      <c r="B1152" s="1">
        <v>45705</v>
      </c>
      <c r="C1152" s="2">
        <v>0.91666666666666663</v>
      </c>
      <c r="D1152">
        <v>-6.5</v>
      </c>
      <c r="E1152">
        <f>IF($D1152 &gt; 16, 0, $J$3*(16 - $D1152))</f>
        <v>4674.344460765682</v>
      </c>
      <c r="F1152">
        <f>IF($D1152 &gt; 16, 0,$E1152*$J$5)</f>
        <v>50805449.944062196</v>
      </c>
      <c r="G1152">
        <f t="shared" si="17"/>
        <v>22.5</v>
      </c>
    </row>
    <row r="1153" spans="2:7" x14ac:dyDescent="0.35">
      <c r="B1153" s="1">
        <v>45705</v>
      </c>
      <c r="C1153" s="2">
        <v>0.95833333333333337</v>
      </c>
      <c r="D1153">
        <v>-7</v>
      </c>
      <c r="E1153">
        <f>IF($D1153 &gt; 16, 0, $J$3*(16 - $D1153))</f>
        <v>4778.2187821160305</v>
      </c>
      <c r="F1153">
        <f>IF($D1153 &gt; 16, 0,$E1153*$J$5)</f>
        <v>51934459.942819133</v>
      </c>
      <c r="G1153">
        <f t="shared" si="17"/>
        <v>23</v>
      </c>
    </row>
    <row r="1154" spans="2:7" x14ac:dyDescent="0.35">
      <c r="B1154" s="1">
        <v>45706</v>
      </c>
      <c r="C1154" s="2">
        <v>0</v>
      </c>
      <c r="D1154">
        <v>-7.5</v>
      </c>
      <c r="E1154">
        <f>IF($D1154 &gt; 16, 0, $J$3*(16 - $D1154))</f>
        <v>4882.093103466379</v>
      </c>
      <c r="F1154">
        <f>IF($D1154 &gt; 16, 0,$E1154*$J$5)</f>
        <v>53063469.941576071</v>
      </c>
      <c r="G1154">
        <f t="shared" si="17"/>
        <v>23.5</v>
      </c>
    </row>
    <row r="1155" spans="2:7" x14ac:dyDescent="0.35">
      <c r="B1155" s="1">
        <v>45706</v>
      </c>
      <c r="C1155" s="2">
        <v>4.1666666666666657E-2</v>
      </c>
      <c r="D1155">
        <v>-8.3000000000000007</v>
      </c>
      <c r="E1155">
        <f>IF($D1155 &gt; 16, 0, $J$3*(16 - $D1155))</f>
        <v>5048.2920176269372</v>
      </c>
      <c r="F1155">
        <f>IF($D1155 &gt; 16, 0,$E1155*$J$5)</f>
        <v>54869885.939587183</v>
      </c>
      <c r="G1155">
        <f t="shared" ref="G1155:G1218" si="18">MAX(0, 16 - $D1155)</f>
        <v>24.3</v>
      </c>
    </row>
    <row r="1156" spans="2:7" x14ac:dyDescent="0.35">
      <c r="B1156" s="1">
        <v>45706</v>
      </c>
      <c r="C1156" s="2">
        <v>8.3333333333333329E-2</v>
      </c>
      <c r="D1156">
        <v>-8.3000000000000007</v>
      </c>
      <c r="E1156">
        <f>IF($D1156 &gt; 16, 0, $J$3*(16 - $D1156))</f>
        <v>5048.2920176269372</v>
      </c>
      <c r="F1156">
        <f>IF($D1156 &gt; 16, 0,$E1156*$J$5)</f>
        <v>54869885.939587183</v>
      </c>
      <c r="G1156">
        <f t="shared" si="18"/>
        <v>24.3</v>
      </c>
    </row>
    <row r="1157" spans="2:7" x14ac:dyDescent="0.35">
      <c r="B1157" s="1">
        <v>45706</v>
      </c>
      <c r="C1157" s="2">
        <v>0.125</v>
      </c>
      <c r="D1157">
        <v>-8.6999999999999993</v>
      </c>
      <c r="E1157">
        <f>IF($D1157 &gt; 16, 0, $J$3*(16 - $D1157))</f>
        <v>5131.3914747072158</v>
      </c>
      <c r="F1157">
        <f>IF($D1157 &gt; 16, 0,$E1157*$J$5)</f>
        <v>55773093.938592732</v>
      </c>
      <c r="G1157">
        <f t="shared" si="18"/>
        <v>24.7</v>
      </c>
    </row>
    <row r="1158" spans="2:7" x14ac:dyDescent="0.35">
      <c r="B1158" s="1">
        <v>45706</v>
      </c>
      <c r="C1158" s="2">
        <v>0.16666666666666671</v>
      </c>
      <c r="D1158">
        <v>-9.1999999999999993</v>
      </c>
      <c r="E1158">
        <f>IF($D1158 &gt; 16, 0, $J$3*(16 - $D1158))</f>
        <v>5235.2657960575643</v>
      </c>
      <c r="F1158">
        <f>IF($D1158 &gt; 16, 0,$E1158*$J$5)</f>
        <v>56902103.93734967</v>
      </c>
      <c r="G1158">
        <f t="shared" si="18"/>
        <v>25.2</v>
      </c>
    </row>
    <row r="1159" spans="2:7" x14ac:dyDescent="0.35">
      <c r="B1159" s="1">
        <v>45706</v>
      </c>
      <c r="C1159" s="2">
        <v>0.20833333333333329</v>
      </c>
      <c r="D1159">
        <v>-9.1999999999999993</v>
      </c>
      <c r="E1159">
        <f>IF($D1159 &gt; 16, 0, $J$3*(16 - $D1159))</f>
        <v>5235.2657960575643</v>
      </c>
      <c r="F1159">
        <f>IF($D1159 &gt; 16, 0,$E1159*$J$5)</f>
        <v>56902103.93734967</v>
      </c>
      <c r="G1159">
        <f t="shared" si="18"/>
        <v>25.2</v>
      </c>
    </row>
    <row r="1160" spans="2:7" x14ac:dyDescent="0.35">
      <c r="B1160" s="1">
        <v>45706</v>
      </c>
      <c r="C1160" s="2">
        <v>0.25</v>
      </c>
      <c r="D1160">
        <v>-9.4</v>
      </c>
      <c r="E1160">
        <f>IF($D1160 &gt; 16, 0, $J$3*(16 - $D1160))</f>
        <v>5276.8155245977032</v>
      </c>
      <c r="F1160">
        <f>IF($D1160 &gt; 16, 0,$E1160*$J$5)</f>
        <v>57353707.936852433</v>
      </c>
      <c r="G1160">
        <f t="shared" si="18"/>
        <v>25.4</v>
      </c>
    </row>
    <row r="1161" spans="2:7" x14ac:dyDescent="0.35">
      <c r="B1161" s="1">
        <v>45706</v>
      </c>
      <c r="C1161" s="2">
        <v>0.29166666666666669</v>
      </c>
      <c r="D1161">
        <v>-9.3000000000000007</v>
      </c>
      <c r="E1161">
        <f>IF($D1161 &gt; 16, 0, $J$3*(16 - $D1161))</f>
        <v>5256.0406603276342</v>
      </c>
      <c r="F1161">
        <f>IF($D1161 &gt; 16, 0,$E1161*$J$5)</f>
        <v>57127905.937101059</v>
      </c>
      <c r="G1161">
        <f t="shared" si="18"/>
        <v>25.3</v>
      </c>
    </row>
    <row r="1162" spans="2:7" x14ac:dyDescent="0.35">
      <c r="B1162" s="1">
        <v>45706</v>
      </c>
      <c r="C1162" s="2">
        <v>0.33333333333333331</v>
      </c>
      <c r="D1162">
        <v>-6.1</v>
      </c>
      <c r="E1162">
        <f>IF($D1162 &gt; 16, 0, $J$3*(16 - $D1162))</f>
        <v>4591.2450036854034</v>
      </c>
      <c r="F1162">
        <f>IF($D1162 &gt; 16, 0,$E1162*$J$5)</f>
        <v>49902241.945056647</v>
      </c>
      <c r="G1162">
        <f t="shared" si="18"/>
        <v>22.1</v>
      </c>
    </row>
    <row r="1163" spans="2:7" x14ac:dyDescent="0.35">
      <c r="B1163" s="1">
        <v>45706</v>
      </c>
      <c r="C1163" s="2">
        <v>0.375</v>
      </c>
      <c r="D1163">
        <v>-2.7</v>
      </c>
      <c r="E1163">
        <f>IF($D1163 &gt; 16, 0, $J$3*(16 - $D1163))</f>
        <v>3884.8996185030337</v>
      </c>
      <c r="F1163">
        <f>IF($D1163 &gt; 16, 0,$E1163*$J$5)</f>
        <v>42224973.953509472</v>
      </c>
      <c r="G1163">
        <f t="shared" si="18"/>
        <v>18.7</v>
      </c>
    </row>
    <row r="1164" spans="2:7" x14ac:dyDescent="0.35">
      <c r="B1164" s="1">
        <v>45706</v>
      </c>
      <c r="C1164" s="2">
        <v>0.41666666666666669</v>
      </c>
      <c r="D1164">
        <v>-0.2</v>
      </c>
      <c r="E1164">
        <f>IF($D1164 &gt; 16, 0, $J$3*(16 - $D1164))</f>
        <v>3365.5280117512912</v>
      </c>
      <c r="F1164">
        <f>IF($D1164 &gt; 16, 0,$E1164*$J$5)</f>
        <v>36579923.959724784</v>
      </c>
      <c r="G1164">
        <f t="shared" si="18"/>
        <v>16.2</v>
      </c>
    </row>
    <row r="1165" spans="2:7" x14ac:dyDescent="0.35">
      <c r="B1165" s="1">
        <v>45706</v>
      </c>
      <c r="C1165" s="2">
        <v>0.45833333333333331</v>
      </c>
      <c r="D1165">
        <v>0.2</v>
      </c>
      <c r="E1165">
        <f>IF($D1165 &gt; 16, 0, $J$3*(16 - $D1165))</f>
        <v>3282.4285546710125</v>
      </c>
      <c r="F1165">
        <f>IF($D1165 &gt; 16, 0,$E1165*$J$5)</f>
        <v>35676715.960719235</v>
      </c>
      <c r="G1165">
        <f t="shared" si="18"/>
        <v>15.8</v>
      </c>
    </row>
    <row r="1166" spans="2:7" x14ac:dyDescent="0.35">
      <c r="B1166" s="1">
        <v>45706</v>
      </c>
      <c r="C1166" s="2">
        <v>0.5</v>
      </c>
      <c r="D1166">
        <v>0.8</v>
      </c>
      <c r="E1166">
        <f>IF($D1166 &gt; 16, 0, $J$3*(16 - $D1166))</f>
        <v>3157.7793690505941</v>
      </c>
      <c r="F1166">
        <f>IF($D1166 &gt; 16, 0,$E1166*$J$5)</f>
        <v>34321903.962210909</v>
      </c>
      <c r="G1166">
        <f t="shared" si="18"/>
        <v>15.2</v>
      </c>
    </row>
    <row r="1167" spans="2:7" x14ac:dyDescent="0.35">
      <c r="B1167" s="1">
        <v>45706</v>
      </c>
      <c r="C1167" s="2">
        <v>0.54166666666666663</v>
      </c>
      <c r="D1167">
        <v>1.9</v>
      </c>
      <c r="E1167">
        <f>IF($D1167 &gt; 16, 0, $J$3*(16 - $D1167))</f>
        <v>2929.2558620798277</v>
      </c>
      <c r="F1167">
        <f>IF($D1167 &gt; 16, 0,$E1167*$J$5)</f>
        <v>31838081.964945648</v>
      </c>
      <c r="G1167">
        <f t="shared" si="18"/>
        <v>14.1</v>
      </c>
    </row>
    <row r="1168" spans="2:7" x14ac:dyDescent="0.35">
      <c r="B1168" s="1">
        <v>45706</v>
      </c>
      <c r="C1168" s="2">
        <v>0.58333333333333337</v>
      </c>
      <c r="D1168">
        <v>2</v>
      </c>
      <c r="E1168">
        <f>IF($D1168 &gt; 16, 0, $J$3*(16 - $D1168))</f>
        <v>2908.4809978097578</v>
      </c>
      <c r="F1168">
        <f>IF($D1168 &gt; 16, 0,$E1168*$J$5)</f>
        <v>31612279.965194259</v>
      </c>
      <c r="G1168">
        <f t="shared" si="18"/>
        <v>14</v>
      </c>
    </row>
    <row r="1169" spans="2:7" x14ac:dyDescent="0.35">
      <c r="B1169" s="1">
        <v>45706</v>
      </c>
      <c r="C1169" s="2">
        <v>0.625</v>
      </c>
      <c r="D1169">
        <v>2</v>
      </c>
      <c r="E1169">
        <f>IF($D1169 &gt; 16, 0, $J$3*(16 - $D1169))</f>
        <v>2908.4809978097578</v>
      </c>
      <c r="F1169">
        <f>IF($D1169 &gt; 16, 0,$E1169*$J$5)</f>
        <v>31612279.965194259</v>
      </c>
      <c r="G1169">
        <f t="shared" si="18"/>
        <v>14</v>
      </c>
    </row>
    <row r="1170" spans="2:7" x14ac:dyDescent="0.35">
      <c r="B1170" s="1">
        <v>45706</v>
      </c>
      <c r="C1170" s="2">
        <v>0.66666666666666663</v>
      </c>
      <c r="D1170">
        <v>1.2</v>
      </c>
      <c r="E1170">
        <f>IF($D1170 &gt; 16, 0, $J$3*(16 - $D1170))</f>
        <v>3074.6799119703155</v>
      </c>
      <c r="F1170">
        <f>IF($D1170 &gt; 16, 0,$E1170*$J$5)</f>
        <v>33418695.96320536</v>
      </c>
      <c r="G1170">
        <f t="shared" si="18"/>
        <v>14.8</v>
      </c>
    </row>
    <row r="1171" spans="2:7" x14ac:dyDescent="0.35">
      <c r="B1171" s="1">
        <v>45706</v>
      </c>
      <c r="C1171" s="2">
        <v>0.70833333333333337</v>
      </c>
      <c r="D1171">
        <v>-1.1000000000000001</v>
      </c>
      <c r="E1171">
        <f>IF($D1171 &gt; 16, 0, $J$3*(16 - $D1171))</f>
        <v>3552.5017901819188</v>
      </c>
      <c r="F1171">
        <f>IF($D1171 &gt; 16, 0,$E1171*$J$5)</f>
        <v>38612141.957487278</v>
      </c>
      <c r="G1171">
        <f t="shared" si="18"/>
        <v>17.100000000000001</v>
      </c>
    </row>
    <row r="1172" spans="2:7" x14ac:dyDescent="0.35">
      <c r="B1172" s="1">
        <v>45706</v>
      </c>
      <c r="C1172" s="2">
        <v>0.75</v>
      </c>
      <c r="D1172">
        <v>-2.2999999999999998</v>
      </c>
      <c r="E1172">
        <f>IF($D1172 &gt; 16, 0, $J$3*(16 - $D1172))</f>
        <v>3801.8001614227551</v>
      </c>
      <c r="F1172">
        <f>IF($D1172 &gt; 16, 0,$E1172*$J$5)</f>
        <v>41321765.954503924</v>
      </c>
      <c r="G1172">
        <f t="shared" si="18"/>
        <v>18.3</v>
      </c>
    </row>
    <row r="1173" spans="2:7" x14ac:dyDescent="0.35">
      <c r="B1173" s="1">
        <v>45706</v>
      </c>
      <c r="C1173" s="2">
        <v>0.79166666666666663</v>
      </c>
      <c r="D1173">
        <v>-3.3</v>
      </c>
      <c r="E1173">
        <f>IF($D1173 &gt; 16, 0, $J$3*(16 - $D1173))</f>
        <v>4009.5488041234521</v>
      </c>
      <c r="F1173">
        <f>IF($D1173 &gt; 16, 0,$E1173*$J$5)</f>
        <v>43579785.952017799</v>
      </c>
      <c r="G1173">
        <f t="shared" si="18"/>
        <v>19.3</v>
      </c>
    </row>
    <row r="1174" spans="2:7" x14ac:dyDescent="0.35">
      <c r="B1174" s="1">
        <v>45706</v>
      </c>
      <c r="C1174" s="2">
        <v>0.83333333333333337</v>
      </c>
      <c r="D1174">
        <v>-4</v>
      </c>
      <c r="E1174">
        <f>IF($D1174 &gt; 16, 0, $J$3*(16 - $D1174))</f>
        <v>4154.9728540139395</v>
      </c>
      <c r="F1174">
        <f>IF($D1174 &gt; 16, 0,$E1174*$J$5)</f>
        <v>45160399.950277507</v>
      </c>
      <c r="G1174">
        <f t="shared" si="18"/>
        <v>20</v>
      </c>
    </row>
    <row r="1175" spans="2:7" x14ac:dyDescent="0.35">
      <c r="B1175" s="1">
        <v>45706</v>
      </c>
      <c r="C1175" s="2">
        <v>0.875</v>
      </c>
      <c r="D1175">
        <v>-3.4</v>
      </c>
      <c r="E1175">
        <f>IF($D1175 &gt; 16, 0, $J$3*(16 - $D1175))</f>
        <v>4030.3236683935215</v>
      </c>
      <c r="F1175">
        <f>IF($D1175 &gt; 16, 0,$E1175*$J$5)</f>
        <v>43805587.951769188</v>
      </c>
      <c r="G1175">
        <f t="shared" si="18"/>
        <v>19.399999999999999</v>
      </c>
    </row>
    <row r="1176" spans="2:7" x14ac:dyDescent="0.35">
      <c r="B1176" s="1">
        <v>45706</v>
      </c>
      <c r="C1176" s="2">
        <v>0.91666666666666663</v>
      </c>
      <c r="D1176">
        <v>-4.5999999999999996</v>
      </c>
      <c r="E1176">
        <f>IF($D1176 &gt; 16, 0, $J$3*(16 - $D1176))</f>
        <v>4279.6220396343579</v>
      </c>
      <c r="F1176">
        <f>IF($D1176 &gt; 16, 0,$E1176*$J$5)</f>
        <v>46515211.948785834</v>
      </c>
      <c r="G1176">
        <f t="shared" si="18"/>
        <v>20.6</v>
      </c>
    </row>
    <row r="1177" spans="2:7" x14ac:dyDescent="0.35">
      <c r="B1177" s="1">
        <v>45706</v>
      </c>
      <c r="C1177" s="2">
        <v>0.95833333333333337</v>
      </c>
      <c r="D1177">
        <v>-5.0999999999999996</v>
      </c>
      <c r="E1177">
        <f>IF($D1177 &gt; 16, 0, $J$3*(16 - $D1177))</f>
        <v>4383.4963609847064</v>
      </c>
      <c r="F1177">
        <f>IF($D1177 &gt; 16, 0,$E1177*$J$5)</f>
        <v>47644221.947542772</v>
      </c>
      <c r="G1177">
        <f t="shared" si="18"/>
        <v>21.1</v>
      </c>
    </row>
    <row r="1178" spans="2:7" x14ac:dyDescent="0.35">
      <c r="B1178" s="1">
        <v>45707</v>
      </c>
      <c r="C1178" s="2">
        <v>0</v>
      </c>
      <c r="D1178">
        <v>-5.3</v>
      </c>
      <c r="E1178">
        <f>IF($D1178 &gt; 16, 0, $J$3*(16 - $D1178))</f>
        <v>4425.0460895248461</v>
      </c>
      <c r="F1178">
        <f>IF($D1178 &gt; 16, 0,$E1178*$J$5)</f>
        <v>48095825.94704555</v>
      </c>
      <c r="G1178">
        <f t="shared" si="18"/>
        <v>21.3</v>
      </c>
    </row>
    <row r="1179" spans="2:7" x14ac:dyDescent="0.35">
      <c r="B1179" s="1">
        <v>45707</v>
      </c>
      <c r="C1179" s="2">
        <v>4.1666666666666657E-2</v>
      </c>
      <c r="D1179">
        <v>-5.2</v>
      </c>
      <c r="E1179">
        <f>IF($D1179 &gt; 16, 0, $J$3*(16 - $D1179))</f>
        <v>4404.2712252547763</v>
      </c>
      <c r="F1179">
        <f>IF($D1179 &gt; 16, 0,$E1179*$J$5)</f>
        <v>47870023.947294161</v>
      </c>
      <c r="G1179">
        <f t="shared" si="18"/>
        <v>21.2</v>
      </c>
    </row>
    <row r="1180" spans="2:7" x14ac:dyDescent="0.35">
      <c r="B1180" s="1">
        <v>45707</v>
      </c>
      <c r="C1180" s="2">
        <v>8.3333333333333329E-2</v>
      </c>
      <c r="D1180">
        <v>-6</v>
      </c>
      <c r="E1180">
        <f>IF($D1180 &gt; 16, 0, $J$3*(16 - $D1180))</f>
        <v>4570.4701394153335</v>
      </c>
      <c r="F1180">
        <f>IF($D1180 &gt; 16, 0,$E1180*$J$5)</f>
        <v>49676439.945305258</v>
      </c>
      <c r="G1180">
        <f t="shared" si="18"/>
        <v>22</v>
      </c>
    </row>
    <row r="1181" spans="2:7" x14ac:dyDescent="0.35">
      <c r="B1181" s="1">
        <v>45707</v>
      </c>
      <c r="C1181" s="2">
        <v>0.125</v>
      </c>
      <c r="D1181">
        <v>-6.5</v>
      </c>
      <c r="E1181">
        <f>IF($D1181 &gt; 16, 0, $J$3*(16 - $D1181))</f>
        <v>4674.344460765682</v>
      </c>
      <c r="F1181">
        <f>IF($D1181 &gt; 16, 0,$E1181*$J$5)</f>
        <v>50805449.944062196</v>
      </c>
      <c r="G1181">
        <f t="shared" si="18"/>
        <v>22.5</v>
      </c>
    </row>
    <row r="1182" spans="2:7" x14ac:dyDescent="0.35">
      <c r="B1182" s="1">
        <v>45707</v>
      </c>
      <c r="C1182" s="2">
        <v>0.16666666666666671</v>
      </c>
      <c r="D1182">
        <v>-7</v>
      </c>
      <c r="E1182">
        <f>IF($D1182 &gt; 16, 0, $J$3*(16 - $D1182))</f>
        <v>4778.2187821160305</v>
      </c>
      <c r="F1182">
        <f>IF($D1182 &gt; 16, 0,$E1182*$J$5)</f>
        <v>51934459.942819133</v>
      </c>
      <c r="G1182">
        <f t="shared" si="18"/>
        <v>23</v>
      </c>
    </row>
    <row r="1183" spans="2:7" x14ac:dyDescent="0.35">
      <c r="B1183" s="1">
        <v>45707</v>
      </c>
      <c r="C1183" s="2">
        <v>0.20833333333333329</v>
      </c>
      <c r="D1183">
        <v>-6.9</v>
      </c>
      <c r="E1183">
        <f>IF($D1183 &gt; 16, 0, $J$3*(16 - $D1183))</f>
        <v>4757.4439178459606</v>
      </c>
      <c r="F1183">
        <f>IF($D1183 &gt; 16, 0,$E1183*$J$5)</f>
        <v>51708657.943067744</v>
      </c>
      <c r="G1183">
        <f t="shared" si="18"/>
        <v>22.9</v>
      </c>
    </row>
    <row r="1184" spans="2:7" x14ac:dyDescent="0.35">
      <c r="B1184" s="1">
        <v>45707</v>
      </c>
      <c r="C1184" s="2">
        <v>0.25</v>
      </c>
      <c r="D1184">
        <v>-6.1</v>
      </c>
      <c r="E1184">
        <f>IF($D1184 &gt; 16, 0, $J$3*(16 - $D1184))</f>
        <v>4591.2450036854034</v>
      </c>
      <c r="F1184">
        <f>IF($D1184 &gt; 16, 0,$E1184*$J$5)</f>
        <v>49902241.945056647</v>
      </c>
      <c r="G1184">
        <f t="shared" si="18"/>
        <v>22.1</v>
      </c>
    </row>
    <row r="1185" spans="2:7" x14ac:dyDescent="0.35">
      <c r="B1185" s="1">
        <v>45707</v>
      </c>
      <c r="C1185" s="2">
        <v>0.29166666666666669</v>
      </c>
      <c r="D1185">
        <v>-5.3</v>
      </c>
      <c r="E1185">
        <f>IF($D1185 &gt; 16, 0, $J$3*(16 - $D1185))</f>
        <v>4425.0460895248461</v>
      </c>
      <c r="F1185">
        <f>IF($D1185 &gt; 16, 0,$E1185*$J$5)</f>
        <v>48095825.94704555</v>
      </c>
      <c r="G1185">
        <f t="shared" si="18"/>
        <v>21.3</v>
      </c>
    </row>
    <row r="1186" spans="2:7" x14ac:dyDescent="0.35">
      <c r="B1186" s="1">
        <v>45707</v>
      </c>
      <c r="C1186" s="2">
        <v>0.33333333333333331</v>
      </c>
      <c r="D1186">
        <v>-4.0999999999999996</v>
      </c>
      <c r="E1186">
        <f>IF($D1186 &gt; 16, 0, $J$3*(16 - $D1186))</f>
        <v>4175.7477182840094</v>
      </c>
      <c r="F1186">
        <f>IF($D1186 &gt; 16, 0,$E1186*$J$5)</f>
        <v>45386201.950028896</v>
      </c>
      <c r="G1186">
        <f t="shared" si="18"/>
        <v>20.100000000000001</v>
      </c>
    </row>
    <row r="1187" spans="2:7" x14ac:dyDescent="0.35">
      <c r="B1187" s="1">
        <v>45707</v>
      </c>
      <c r="C1187" s="2">
        <v>0.375</v>
      </c>
      <c r="D1187">
        <v>-2</v>
      </c>
      <c r="E1187">
        <f>IF($D1187 &gt; 16, 0, $J$3*(16 - $D1187))</f>
        <v>3739.4755686125459</v>
      </c>
      <c r="F1187">
        <f>IF($D1187 &gt; 16, 0,$E1187*$J$5)</f>
        <v>40644359.955249764</v>
      </c>
      <c r="G1187">
        <f t="shared" si="18"/>
        <v>18</v>
      </c>
    </row>
    <row r="1188" spans="2:7" x14ac:dyDescent="0.35">
      <c r="B1188" s="1">
        <v>45707</v>
      </c>
      <c r="C1188" s="2">
        <v>0.41666666666666669</v>
      </c>
      <c r="D1188">
        <v>0.1</v>
      </c>
      <c r="E1188">
        <f>IF($D1188 &gt; 16, 0, $J$3*(16 - $D1188))</f>
        <v>3303.2034189410824</v>
      </c>
      <c r="F1188">
        <f>IF($D1188 &gt; 16, 0,$E1188*$J$5)</f>
        <v>35902517.960470624</v>
      </c>
      <c r="G1188">
        <f t="shared" si="18"/>
        <v>15.9</v>
      </c>
    </row>
    <row r="1189" spans="2:7" x14ac:dyDescent="0.35">
      <c r="B1189" s="1">
        <v>45707</v>
      </c>
      <c r="C1189" s="2">
        <v>0.45833333333333331</v>
      </c>
      <c r="D1189">
        <v>1.4</v>
      </c>
      <c r="E1189">
        <f>IF($D1189 &gt; 16, 0, $J$3*(16 - $D1189))</f>
        <v>3033.1301834301762</v>
      </c>
      <c r="F1189">
        <f>IF($D1189 &gt; 16, 0,$E1189*$J$5)</f>
        <v>32967091.963702586</v>
      </c>
      <c r="G1189">
        <f t="shared" si="18"/>
        <v>14.6</v>
      </c>
    </row>
    <row r="1190" spans="2:7" x14ac:dyDescent="0.35">
      <c r="B1190" s="1">
        <v>45707</v>
      </c>
      <c r="C1190" s="2">
        <v>0.5</v>
      </c>
      <c r="D1190">
        <v>2.2999999999999998</v>
      </c>
      <c r="E1190">
        <f>IF($D1190 &gt; 16, 0, $J$3*(16 - $D1190))</f>
        <v>2846.1564049995486</v>
      </c>
      <c r="F1190">
        <f>IF($D1190 &gt; 16, 0,$E1190*$J$5)</f>
        <v>30934873.965940095</v>
      </c>
      <c r="G1190">
        <f t="shared" si="18"/>
        <v>13.7</v>
      </c>
    </row>
    <row r="1191" spans="2:7" x14ac:dyDescent="0.35">
      <c r="B1191" s="1">
        <v>45707</v>
      </c>
      <c r="C1191" s="2">
        <v>0.54166666666666663</v>
      </c>
      <c r="D1191">
        <v>3.3</v>
      </c>
      <c r="E1191">
        <f>IF($D1191 &gt; 16, 0, $J$3*(16 - $D1191))</f>
        <v>2638.4077622988516</v>
      </c>
      <c r="F1191">
        <f>IF($D1191 &gt; 16, 0,$E1191*$J$5)</f>
        <v>28676853.968426216</v>
      </c>
      <c r="G1191">
        <f t="shared" si="18"/>
        <v>12.7</v>
      </c>
    </row>
    <row r="1192" spans="2:7" x14ac:dyDescent="0.35">
      <c r="B1192" s="1">
        <v>45707</v>
      </c>
      <c r="C1192" s="2">
        <v>0.58333333333333337</v>
      </c>
      <c r="D1192">
        <v>3.5</v>
      </c>
      <c r="E1192">
        <f>IF($D1192 &gt; 16, 0, $J$3*(16 - $D1192))</f>
        <v>2596.8580337587123</v>
      </c>
      <c r="F1192">
        <f>IF($D1192 &gt; 16, 0,$E1192*$J$5)</f>
        <v>28225249.968923442</v>
      </c>
      <c r="G1192">
        <f t="shared" si="18"/>
        <v>12.5</v>
      </c>
    </row>
    <row r="1193" spans="2:7" x14ac:dyDescent="0.35">
      <c r="B1193" s="1">
        <v>45707</v>
      </c>
      <c r="C1193" s="2">
        <v>0.625</v>
      </c>
      <c r="D1193">
        <v>3.3</v>
      </c>
      <c r="E1193">
        <f>IF($D1193 &gt; 16, 0, $J$3*(16 - $D1193))</f>
        <v>2638.4077622988516</v>
      </c>
      <c r="F1193">
        <f>IF($D1193 &gt; 16, 0,$E1193*$J$5)</f>
        <v>28676853.968426216</v>
      </c>
      <c r="G1193">
        <f t="shared" si="18"/>
        <v>12.7</v>
      </c>
    </row>
    <row r="1194" spans="2:7" x14ac:dyDescent="0.35">
      <c r="B1194" s="1">
        <v>45707</v>
      </c>
      <c r="C1194" s="2">
        <v>0.66666666666666663</v>
      </c>
      <c r="D1194">
        <v>2.6</v>
      </c>
      <c r="E1194">
        <f>IF($D1194 &gt; 16, 0, $J$3*(16 - $D1194))</f>
        <v>2783.8318121893399</v>
      </c>
      <c r="F1194">
        <f>IF($D1194 &gt; 16, 0,$E1194*$J$5)</f>
        <v>30257467.966685936</v>
      </c>
      <c r="G1194">
        <f t="shared" si="18"/>
        <v>13.4</v>
      </c>
    </row>
    <row r="1195" spans="2:7" x14ac:dyDescent="0.35">
      <c r="B1195" s="1">
        <v>45707</v>
      </c>
      <c r="C1195" s="2">
        <v>0.70833333333333337</v>
      </c>
      <c r="D1195">
        <v>1.6</v>
      </c>
      <c r="E1195">
        <f>IF($D1195 &gt; 16, 0, $J$3*(16 - $D1195))</f>
        <v>2991.5804548900369</v>
      </c>
      <c r="F1195">
        <f>IF($D1195 &gt; 16, 0,$E1195*$J$5)</f>
        <v>32515487.964199811</v>
      </c>
      <c r="G1195">
        <f t="shared" si="18"/>
        <v>14.4</v>
      </c>
    </row>
    <row r="1196" spans="2:7" x14ac:dyDescent="0.35">
      <c r="B1196" s="1">
        <v>45707</v>
      </c>
      <c r="C1196" s="2">
        <v>0.75</v>
      </c>
      <c r="D1196">
        <v>0.8</v>
      </c>
      <c r="E1196">
        <f>IF($D1196 &gt; 16, 0, $J$3*(16 - $D1196))</f>
        <v>3157.7793690505941</v>
      </c>
      <c r="F1196">
        <f>IF($D1196 &gt; 16, 0,$E1196*$J$5)</f>
        <v>34321903.962210909</v>
      </c>
      <c r="G1196">
        <f t="shared" si="18"/>
        <v>15.2</v>
      </c>
    </row>
    <row r="1197" spans="2:7" x14ac:dyDescent="0.35">
      <c r="B1197" s="1">
        <v>45707</v>
      </c>
      <c r="C1197" s="2">
        <v>0.79166666666666663</v>
      </c>
      <c r="D1197">
        <v>0.3</v>
      </c>
      <c r="E1197">
        <f>IF($D1197 &gt; 16, 0, $J$3*(16 - $D1197))</f>
        <v>3261.6536904009427</v>
      </c>
      <c r="F1197">
        <f>IF($D1197 &gt; 16, 0,$E1197*$J$5)</f>
        <v>35450913.960967846</v>
      </c>
      <c r="G1197">
        <f t="shared" si="18"/>
        <v>15.7</v>
      </c>
    </row>
    <row r="1198" spans="2:7" x14ac:dyDescent="0.35">
      <c r="B1198" s="1">
        <v>45707</v>
      </c>
      <c r="C1198" s="2">
        <v>0.83333333333333337</v>
      </c>
      <c r="D1198">
        <v>-0.4</v>
      </c>
      <c r="E1198">
        <f>IF($D1198 &gt; 16, 0, $J$3*(16 - $D1198))</f>
        <v>3407.0777402914305</v>
      </c>
      <c r="F1198">
        <f>IF($D1198 &gt; 16, 0,$E1198*$J$5)</f>
        <v>37031527.959227555</v>
      </c>
      <c r="G1198">
        <f t="shared" si="18"/>
        <v>16.399999999999999</v>
      </c>
    </row>
    <row r="1199" spans="2:7" x14ac:dyDescent="0.35">
      <c r="B1199" s="1">
        <v>45707</v>
      </c>
      <c r="C1199" s="2">
        <v>0.875</v>
      </c>
      <c r="D1199">
        <v>-0.9</v>
      </c>
      <c r="E1199">
        <f>IF($D1199 &gt; 16, 0, $J$3*(16 - $D1199))</f>
        <v>3510.952061641779</v>
      </c>
      <c r="F1199">
        <f>IF($D1199 &gt; 16, 0,$E1199*$J$5)</f>
        <v>38160537.957984492</v>
      </c>
      <c r="G1199">
        <f t="shared" si="18"/>
        <v>16.899999999999999</v>
      </c>
    </row>
    <row r="1200" spans="2:7" x14ac:dyDescent="0.35">
      <c r="B1200" s="1">
        <v>45707</v>
      </c>
      <c r="C1200" s="2">
        <v>0.91666666666666663</v>
      </c>
      <c r="D1200">
        <v>-1.1000000000000001</v>
      </c>
      <c r="E1200">
        <f>IF($D1200 &gt; 16, 0, $J$3*(16 - $D1200))</f>
        <v>3552.5017901819188</v>
      </c>
      <c r="F1200">
        <f>IF($D1200 &gt; 16, 0,$E1200*$J$5)</f>
        <v>38612141.957487278</v>
      </c>
      <c r="G1200">
        <f t="shared" si="18"/>
        <v>17.100000000000001</v>
      </c>
    </row>
    <row r="1201" spans="2:7" x14ac:dyDescent="0.35">
      <c r="B1201" s="1">
        <v>45707</v>
      </c>
      <c r="C1201" s="2">
        <v>0.95833333333333337</v>
      </c>
      <c r="D1201">
        <v>-1.5</v>
      </c>
      <c r="E1201">
        <f>IF($D1201 &gt; 16, 0, $J$3*(16 - $D1201))</f>
        <v>3635.6012472621974</v>
      </c>
      <c r="F1201">
        <f>IF($D1201 &gt; 16, 0,$E1201*$J$5)</f>
        <v>39515349.956492826</v>
      </c>
      <c r="G1201">
        <f t="shared" si="18"/>
        <v>17.5</v>
      </c>
    </row>
    <row r="1202" spans="2:7" x14ac:dyDescent="0.35">
      <c r="B1202" s="1">
        <v>45708</v>
      </c>
      <c r="C1202" s="2">
        <v>0</v>
      </c>
      <c r="D1202">
        <v>-1.7</v>
      </c>
      <c r="E1202">
        <f>IF($D1202 &gt; 16, 0, $J$3*(16 - $D1202))</f>
        <v>3677.1509758023367</v>
      </c>
      <c r="F1202">
        <f>IF($D1202 &gt; 16, 0,$E1202*$J$5)</f>
        <v>39966953.955995597</v>
      </c>
      <c r="G1202">
        <f t="shared" si="18"/>
        <v>17.7</v>
      </c>
    </row>
    <row r="1203" spans="2:7" x14ac:dyDescent="0.35">
      <c r="B1203" s="1">
        <v>45708</v>
      </c>
      <c r="C1203" s="2">
        <v>4.1666666666666657E-2</v>
      </c>
      <c r="D1203">
        <v>-2.1</v>
      </c>
      <c r="E1203">
        <f>IF($D1203 &gt; 16, 0, $J$3*(16 - $D1203))</f>
        <v>3760.2504328826158</v>
      </c>
      <c r="F1203">
        <f>IF($D1203 &gt; 16, 0,$E1203*$J$5)</f>
        <v>40870161.955001153</v>
      </c>
      <c r="G1203">
        <f t="shared" si="18"/>
        <v>18.100000000000001</v>
      </c>
    </row>
    <row r="1204" spans="2:7" x14ac:dyDescent="0.35">
      <c r="B1204" s="1">
        <v>45708</v>
      </c>
      <c r="C1204" s="2">
        <v>8.3333333333333329E-2</v>
      </c>
      <c r="D1204">
        <v>-2.7</v>
      </c>
      <c r="E1204">
        <f>IF($D1204 &gt; 16, 0, $J$3*(16 - $D1204))</f>
        <v>3884.8996185030337</v>
      </c>
      <c r="F1204">
        <f>IF($D1204 &gt; 16, 0,$E1204*$J$5)</f>
        <v>42224973.953509472</v>
      </c>
      <c r="G1204">
        <f t="shared" si="18"/>
        <v>18.7</v>
      </c>
    </row>
    <row r="1205" spans="2:7" x14ac:dyDescent="0.35">
      <c r="B1205" s="1">
        <v>45708</v>
      </c>
      <c r="C1205" s="2">
        <v>0.125</v>
      </c>
      <c r="D1205">
        <v>-2.9</v>
      </c>
      <c r="E1205">
        <f>IF($D1205 &gt; 16, 0, $J$3*(16 - $D1205))</f>
        <v>3926.449347043173</v>
      </c>
      <c r="F1205">
        <f>IF($D1205 &gt; 16, 0,$E1205*$J$5)</f>
        <v>42676577.95301225</v>
      </c>
      <c r="G1205">
        <f t="shared" si="18"/>
        <v>18.899999999999999</v>
      </c>
    </row>
    <row r="1206" spans="2:7" x14ac:dyDescent="0.35">
      <c r="B1206" s="1">
        <v>45708</v>
      </c>
      <c r="C1206" s="2">
        <v>0.16666666666666671</v>
      </c>
      <c r="D1206">
        <v>-2.7</v>
      </c>
      <c r="E1206">
        <f>IF($D1206 &gt; 16, 0, $J$3*(16 - $D1206))</f>
        <v>3884.8996185030337</v>
      </c>
      <c r="F1206">
        <f>IF($D1206 &gt; 16, 0,$E1206*$J$5)</f>
        <v>42224973.953509472</v>
      </c>
      <c r="G1206">
        <f t="shared" si="18"/>
        <v>18.7</v>
      </c>
    </row>
    <row r="1207" spans="2:7" x14ac:dyDescent="0.35">
      <c r="B1207" s="1">
        <v>45708</v>
      </c>
      <c r="C1207" s="2">
        <v>0.20833333333333329</v>
      </c>
      <c r="D1207">
        <v>-2.8</v>
      </c>
      <c r="E1207">
        <f>IF($D1207 &gt; 16, 0, $J$3*(16 - $D1207))</f>
        <v>3905.6744827731036</v>
      </c>
      <c r="F1207">
        <f>IF($D1207 &gt; 16, 0,$E1207*$J$5)</f>
        <v>42450775.953260861</v>
      </c>
      <c r="G1207">
        <f t="shared" si="18"/>
        <v>18.8</v>
      </c>
    </row>
    <row r="1208" spans="2:7" x14ac:dyDescent="0.35">
      <c r="B1208" s="1">
        <v>45708</v>
      </c>
      <c r="C1208" s="2">
        <v>0.25</v>
      </c>
      <c r="D1208">
        <v>-3.3</v>
      </c>
      <c r="E1208">
        <f>IF($D1208 &gt; 16, 0, $J$3*(16 - $D1208))</f>
        <v>4009.5488041234521</v>
      </c>
      <c r="F1208">
        <f>IF($D1208 &gt; 16, 0,$E1208*$J$5)</f>
        <v>43579785.952017799</v>
      </c>
      <c r="G1208">
        <f t="shared" si="18"/>
        <v>19.3</v>
      </c>
    </row>
    <row r="1209" spans="2:7" x14ac:dyDescent="0.35">
      <c r="B1209" s="1">
        <v>45708</v>
      </c>
      <c r="C1209" s="2">
        <v>0.29166666666666669</v>
      </c>
      <c r="D1209">
        <v>-3.2</v>
      </c>
      <c r="E1209">
        <f>IF($D1209 &gt; 16, 0, $J$3*(16 - $D1209))</f>
        <v>3988.7739398533822</v>
      </c>
      <c r="F1209">
        <f>IF($D1209 &gt; 16, 0,$E1209*$J$5)</f>
        <v>43353983.95226641</v>
      </c>
      <c r="G1209">
        <f t="shared" si="18"/>
        <v>19.2</v>
      </c>
    </row>
    <row r="1210" spans="2:7" x14ac:dyDescent="0.35">
      <c r="B1210" s="1">
        <v>45708</v>
      </c>
      <c r="C1210" s="2">
        <v>0.33333333333333331</v>
      </c>
      <c r="D1210">
        <v>-2.2999999999999998</v>
      </c>
      <c r="E1210">
        <f>IF($D1210 &gt; 16, 0, $J$3*(16 - $D1210))</f>
        <v>3801.8001614227551</v>
      </c>
      <c r="F1210">
        <f>IF($D1210 &gt; 16, 0,$E1210*$J$5)</f>
        <v>41321765.954503924</v>
      </c>
      <c r="G1210">
        <f t="shared" si="18"/>
        <v>18.3</v>
      </c>
    </row>
    <row r="1211" spans="2:7" x14ac:dyDescent="0.35">
      <c r="B1211" s="1">
        <v>45708</v>
      </c>
      <c r="C1211" s="2">
        <v>0.375</v>
      </c>
      <c r="D1211">
        <v>-1.2</v>
      </c>
      <c r="E1211">
        <f>IF($D1211 &gt; 16, 0, $J$3*(16 - $D1211))</f>
        <v>3573.2766544519882</v>
      </c>
      <c r="F1211">
        <f>IF($D1211 &gt; 16, 0,$E1211*$J$5)</f>
        <v>38837943.957238659</v>
      </c>
      <c r="G1211">
        <f t="shared" si="18"/>
        <v>17.2</v>
      </c>
    </row>
    <row r="1212" spans="2:7" x14ac:dyDescent="0.35">
      <c r="B1212" s="1">
        <v>45708</v>
      </c>
      <c r="C1212" s="2">
        <v>0.41666666666666669</v>
      </c>
      <c r="D1212">
        <v>0.3</v>
      </c>
      <c r="E1212">
        <f>IF($D1212 &gt; 16, 0, $J$3*(16 - $D1212))</f>
        <v>3261.6536904009427</v>
      </c>
      <c r="F1212">
        <f>IF($D1212 &gt; 16, 0,$E1212*$J$5)</f>
        <v>35450913.960967846</v>
      </c>
      <c r="G1212">
        <f t="shared" si="18"/>
        <v>15.7</v>
      </c>
    </row>
    <row r="1213" spans="2:7" x14ac:dyDescent="0.35">
      <c r="B1213" s="1">
        <v>45708</v>
      </c>
      <c r="C1213" s="2">
        <v>0.45833333333333331</v>
      </c>
      <c r="D1213">
        <v>1.9</v>
      </c>
      <c r="E1213">
        <f>IF($D1213 &gt; 16, 0, $J$3*(16 - $D1213))</f>
        <v>2929.2558620798277</v>
      </c>
      <c r="F1213">
        <f>IF($D1213 &gt; 16, 0,$E1213*$J$5)</f>
        <v>31838081.964945648</v>
      </c>
      <c r="G1213">
        <f t="shared" si="18"/>
        <v>14.1</v>
      </c>
    </row>
    <row r="1214" spans="2:7" x14ac:dyDescent="0.35">
      <c r="B1214" s="1">
        <v>45708</v>
      </c>
      <c r="C1214" s="2">
        <v>0.5</v>
      </c>
      <c r="D1214">
        <v>3.5</v>
      </c>
      <c r="E1214">
        <f>IF($D1214 &gt; 16, 0, $J$3*(16 - $D1214))</f>
        <v>2596.8580337587123</v>
      </c>
      <c r="F1214">
        <f>IF($D1214 &gt; 16, 0,$E1214*$J$5)</f>
        <v>28225249.968923442</v>
      </c>
      <c r="G1214">
        <f t="shared" si="18"/>
        <v>12.5</v>
      </c>
    </row>
    <row r="1215" spans="2:7" x14ac:dyDescent="0.35">
      <c r="B1215" s="1">
        <v>45708</v>
      </c>
      <c r="C1215" s="2">
        <v>0.54166666666666663</v>
      </c>
      <c r="D1215">
        <v>3.8</v>
      </c>
      <c r="E1215">
        <f>IF($D1215 &gt; 16, 0, $J$3*(16 - $D1215))</f>
        <v>2534.5334409485031</v>
      </c>
      <c r="F1215">
        <f>IF($D1215 &gt; 16, 0,$E1215*$J$5)</f>
        <v>27547843.969669279</v>
      </c>
      <c r="G1215">
        <f t="shared" si="18"/>
        <v>12.2</v>
      </c>
    </row>
    <row r="1216" spans="2:7" x14ac:dyDescent="0.35">
      <c r="B1216" s="1">
        <v>45708</v>
      </c>
      <c r="C1216" s="2">
        <v>0.58333333333333337</v>
      </c>
      <c r="D1216">
        <v>4.5</v>
      </c>
      <c r="E1216">
        <f>IF($D1216 &gt; 16, 0, $J$3*(16 - $D1216))</f>
        <v>2389.1093910580153</v>
      </c>
      <c r="F1216">
        <f>IF($D1216 &gt; 16, 0,$E1216*$J$5)</f>
        <v>25967229.971409567</v>
      </c>
      <c r="G1216">
        <f t="shared" si="18"/>
        <v>11.5</v>
      </c>
    </row>
    <row r="1217" spans="2:7" x14ac:dyDescent="0.35">
      <c r="B1217" s="1">
        <v>45708</v>
      </c>
      <c r="C1217" s="2">
        <v>0.625</v>
      </c>
      <c r="D1217">
        <v>4.5999999999999996</v>
      </c>
      <c r="E1217">
        <f>IF($D1217 &gt; 16, 0, $J$3*(16 - $D1217))</f>
        <v>2368.3345267879458</v>
      </c>
      <c r="F1217">
        <f>IF($D1217 &gt; 16, 0,$E1217*$J$5)</f>
        <v>25741427.971658185</v>
      </c>
      <c r="G1217">
        <f t="shared" si="18"/>
        <v>11.4</v>
      </c>
    </row>
    <row r="1218" spans="2:7" x14ac:dyDescent="0.35">
      <c r="B1218" s="1">
        <v>45708</v>
      </c>
      <c r="C1218" s="2">
        <v>0.66666666666666663</v>
      </c>
      <c r="D1218">
        <v>4.7</v>
      </c>
      <c r="E1218">
        <f>IF($D1218 &gt; 16, 0, $J$3*(16 - $D1218))</f>
        <v>2347.5596625178759</v>
      </c>
      <c r="F1218">
        <f>IF($D1218 &gt; 16, 0,$E1218*$J$5)</f>
        <v>25515625.971906792</v>
      </c>
      <c r="G1218">
        <f t="shared" si="18"/>
        <v>11.3</v>
      </c>
    </row>
    <row r="1219" spans="2:7" x14ac:dyDescent="0.35">
      <c r="B1219" s="1">
        <v>45708</v>
      </c>
      <c r="C1219" s="2">
        <v>0.70833333333333337</v>
      </c>
      <c r="D1219">
        <v>4.5999999999999996</v>
      </c>
      <c r="E1219">
        <f>IF($D1219 &gt; 16, 0, $J$3*(16 - $D1219))</f>
        <v>2368.3345267879458</v>
      </c>
      <c r="F1219">
        <f>IF($D1219 &gt; 16, 0,$E1219*$J$5)</f>
        <v>25741427.971658185</v>
      </c>
      <c r="G1219">
        <f t="shared" ref="G1219:G1282" si="19">MAX(0, 16 - $D1219)</f>
        <v>11.4</v>
      </c>
    </row>
    <row r="1220" spans="2:7" x14ac:dyDescent="0.35">
      <c r="B1220" s="1">
        <v>45708</v>
      </c>
      <c r="C1220" s="2">
        <v>0.75</v>
      </c>
      <c r="D1220">
        <v>4.5999999999999996</v>
      </c>
      <c r="E1220">
        <f>IF($D1220 &gt; 16, 0, $J$3*(16 - $D1220))</f>
        <v>2368.3345267879458</v>
      </c>
      <c r="F1220">
        <f>IF($D1220 &gt; 16, 0,$E1220*$J$5)</f>
        <v>25741427.971658185</v>
      </c>
      <c r="G1220">
        <f t="shared" si="19"/>
        <v>11.4</v>
      </c>
    </row>
    <row r="1221" spans="2:7" x14ac:dyDescent="0.35">
      <c r="B1221" s="1">
        <v>45708</v>
      </c>
      <c r="C1221" s="2">
        <v>0.79166666666666663</v>
      </c>
      <c r="D1221">
        <v>4.2</v>
      </c>
      <c r="E1221">
        <f>IF($D1221 &gt; 16, 0, $J$3*(16 - $D1221))</f>
        <v>2451.4339838682245</v>
      </c>
      <c r="F1221">
        <f>IF($D1221 &gt; 16, 0,$E1221*$J$5)</f>
        <v>26644635.97066373</v>
      </c>
      <c r="G1221">
        <f t="shared" si="19"/>
        <v>11.8</v>
      </c>
    </row>
    <row r="1222" spans="2:7" x14ac:dyDescent="0.35">
      <c r="B1222" s="1">
        <v>45708</v>
      </c>
      <c r="C1222" s="2">
        <v>0.83333333333333337</v>
      </c>
      <c r="D1222">
        <v>3.8</v>
      </c>
      <c r="E1222">
        <f>IF($D1222 &gt; 16, 0, $J$3*(16 - $D1222))</f>
        <v>2534.5334409485031</v>
      </c>
      <c r="F1222">
        <f>IF($D1222 &gt; 16, 0,$E1222*$J$5)</f>
        <v>27547843.969669279</v>
      </c>
      <c r="G1222">
        <f t="shared" si="19"/>
        <v>12.2</v>
      </c>
    </row>
    <row r="1223" spans="2:7" x14ac:dyDescent="0.35">
      <c r="B1223" s="1">
        <v>45708</v>
      </c>
      <c r="C1223" s="2">
        <v>0.875</v>
      </c>
      <c r="D1223">
        <v>3.8</v>
      </c>
      <c r="E1223">
        <f>IF($D1223 &gt; 16, 0, $J$3*(16 - $D1223))</f>
        <v>2534.5334409485031</v>
      </c>
      <c r="F1223">
        <f>IF($D1223 &gt; 16, 0,$E1223*$J$5)</f>
        <v>27547843.969669279</v>
      </c>
      <c r="G1223">
        <f t="shared" si="19"/>
        <v>12.2</v>
      </c>
    </row>
    <row r="1224" spans="2:7" x14ac:dyDescent="0.35">
      <c r="B1224" s="1">
        <v>45708</v>
      </c>
      <c r="C1224" s="2">
        <v>0.91666666666666663</v>
      </c>
      <c r="D1224">
        <v>3.7</v>
      </c>
      <c r="E1224">
        <f>IF($D1224 &gt; 16, 0, $J$3*(16 - $D1224))</f>
        <v>2555.308305218573</v>
      </c>
      <c r="F1224">
        <f>IF($D1224 &gt; 16, 0,$E1224*$J$5)</f>
        <v>27773645.969420668</v>
      </c>
      <c r="G1224">
        <f t="shared" si="19"/>
        <v>12.3</v>
      </c>
    </row>
    <row r="1225" spans="2:7" x14ac:dyDescent="0.35">
      <c r="B1225" s="1">
        <v>45708</v>
      </c>
      <c r="C1225" s="2">
        <v>0.95833333333333337</v>
      </c>
      <c r="D1225">
        <v>3.6</v>
      </c>
      <c r="E1225">
        <f>IF($D1225 &gt; 16, 0, $J$3*(16 - $D1225))</f>
        <v>2576.0831694886429</v>
      </c>
      <c r="F1225">
        <f>IF($D1225 &gt; 16, 0,$E1225*$J$5)</f>
        <v>27999447.96917206</v>
      </c>
      <c r="G1225">
        <f t="shared" si="19"/>
        <v>12.4</v>
      </c>
    </row>
    <row r="1226" spans="2:7" x14ac:dyDescent="0.35">
      <c r="B1226" s="1">
        <v>45709</v>
      </c>
      <c r="C1226" s="2">
        <v>0</v>
      </c>
      <c r="D1226">
        <v>3</v>
      </c>
      <c r="E1226">
        <f>IF($D1226 &gt; 16, 0, $J$3*(16 - $D1226))</f>
        <v>2700.7323551090608</v>
      </c>
      <c r="F1226">
        <f>IF($D1226 &gt; 16, 0,$E1226*$J$5)</f>
        <v>29354259.967680383</v>
      </c>
      <c r="G1226">
        <f t="shared" si="19"/>
        <v>13</v>
      </c>
    </row>
    <row r="1227" spans="2:7" x14ac:dyDescent="0.35">
      <c r="B1227" s="1">
        <v>45709</v>
      </c>
      <c r="C1227" s="2">
        <v>4.1666666666666657E-2</v>
      </c>
      <c r="D1227">
        <v>3.2</v>
      </c>
      <c r="E1227">
        <f>IF($D1227 &gt; 16, 0, $J$3*(16 - $D1227))</f>
        <v>2659.1826265689215</v>
      </c>
      <c r="F1227">
        <f>IF($D1227 &gt; 16, 0,$E1227*$J$5)</f>
        <v>28902655.968177609</v>
      </c>
      <c r="G1227">
        <f t="shared" si="19"/>
        <v>12.8</v>
      </c>
    </row>
    <row r="1228" spans="2:7" x14ac:dyDescent="0.35">
      <c r="B1228" s="1">
        <v>45709</v>
      </c>
      <c r="C1228" s="2">
        <v>8.3333333333333329E-2</v>
      </c>
      <c r="D1228">
        <v>3.5</v>
      </c>
      <c r="E1228">
        <f>IF($D1228 &gt; 16, 0, $J$3*(16 - $D1228))</f>
        <v>2596.8580337587123</v>
      </c>
      <c r="F1228">
        <f>IF($D1228 &gt; 16, 0,$E1228*$J$5)</f>
        <v>28225249.968923442</v>
      </c>
      <c r="G1228">
        <f t="shared" si="19"/>
        <v>12.5</v>
      </c>
    </row>
    <row r="1229" spans="2:7" x14ac:dyDescent="0.35">
      <c r="B1229" s="1">
        <v>45709</v>
      </c>
      <c r="C1229" s="2">
        <v>0.125</v>
      </c>
      <c r="D1229">
        <v>3.5</v>
      </c>
      <c r="E1229">
        <f>IF($D1229 &gt; 16, 0, $J$3*(16 - $D1229))</f>
        <v>2596.8580337587123</v>
      </c>
      <c r="F1229">
        <f>IF($D1229 &gt; 16, 0,$E1229*$J$5)</f>
        <v>28225249.968923442</v>
      </c>
      <c r="G1229">
        <f t="shared" si="19"/>
        <v>12.5</v>
      </c>
    </row>
    <row r="1230" spans="2:7" x14ac:dyDescent="0.35">
      <c r="B1230" s="1">
        <v>45709</v>
      </c>
      <c r="C1230" s="2">
        <v>0.16666666666666671</v>
      </c>
      <c r="D1230">
        <v>4.3</v>
      </c>
      <c r="E1230">
        <f>IF($D1230 &gt; 16, 0, $J$3*(16 - $D1230))</f>
        <v>2430.6591195981546</v>
      </c>
      <c r="F1230">
        <f>IF($D1230 &gt; 16, 0,$E1230*$J$5)</f>
        <v>26418833.970912341</v>
      </c>
      <c r="G1230">
        <f t="shared" si="19"/>
        <v>11.7</v>
      </c>
    </row>
    <row r="1231" spans="2:7" x14ac:dyDescent="0.35">
      <c r="B1231" s="1">
        <v>45709</v>
      </c>
      <c r="C1231" s="2">
        <v>0.20833333333333329</v>
      </c>
      <c r="D1231">
        <v>4.8</v>
      </c>
      <c r="E1231">
        <f>IF($D1231 &gt; 16, 0, $J$3*(16 - $D1231))</f>
        <v>2326.7847982478061</v>
      </c>
      <c r="F1231">
        <f>IF($D1231 &gt; 16, 0,$E1231*$J$5)</f>
        <v>25289823.972155403</v>
      </c>
      <c r="G1231">
        <f t="shared" si="19"/>
        <v>11.2</v>
      </c>
    </row>
    <row r="1232" spans="2:7" x14ac:dyDescent="0.35">
      <c r="B1232" s="1">
        <v>45709</v>
      </c>
      <c r="C1232" s="2">
        <v>0.25</v>
      </c>
      <c r="D1232">
        <v>5.3</v>
      </c>
      <c r="E1232">
        <f>IF($D1232 &gt; 16, 0, $J$3*(16 - $D1232))</f>
        <v>2222.9104768974576</v>
      </c>
      <c r="F1232">
        <f>IF($D1232 &gt; 16, 0,$E1232*$J$5)</f>
        <v>24160813.973398466</v>
      </c>
      <c r="G1232">
        <f t="shared" si="19"/>
        <v>10.7</v>
      </c>
    </row>
    <row r="1233" spans="2:7" x14ac:dyDescent="0.35">
      <c r="B1233" s="1">
        <v>45709</v>
      </c>
      <c r="C1233" s="2">
        <v>0.29166666666666669</v>
      </c>
      <c r="D1233">
        <v>5.7</v>
      </c>
      <c r="E1233">
        <f>IF($D1233 &gt; 16, 0, $J$3*(16 - $D1233))</f>
        <v>2139.8110198171789</v>
      </c>
      <c r="F1233">
        <f>IF($D1233 &gt; 16, 0,$E1233*$J$5)</f>
        <v>23257605.974392917</v>
      </c>
      <c r="G1233">
        <f t="shared" si="19"/>
        <v>10.3</v>
      </c>
    </row>
    <row r="1234" spans="2:7" x14ac:dyDescent="0.35">
      <c r="B1234" s="1">
        <v>45709</v>
      </c>
      <c r="C1234" s="2">
        <v>0.33333333333333331</v>
      </c>
      <c r="D1234">
        <v>6.1</v>
      </c>
      <c r="E1234">
        <f>IF($D1234 &gt; 16, 0, $J$3*(16 - $D1234))</f>
        <v>2056.7115627369003</v>
      </c>
      <c r="F1234">
        <f>IF($D1234 &gt; 16, 0,$E1234*$J$5)</f>
        <v>22354397.975387368</v>
      </c>
      <c r="G1234">
        <f t="shared" si="19"/>
        <v>9.9</v>
      </c>
    </row>
    <row r="1235" spans="2:7" x14ac:dyDescent="0.35">
      <c r="B1235" s="1">
        <v>45709</v>
      </c>
      <c r="C1235" s="2">
        <v>0.375</v>
      </c>
      <c r="D1235">
        <v>6.7</v>
      </c>
      <c r="E1235">
        <f>IF($D1235 &gt; 16, 0, $J$3*(16 - $D1235))</f>
        <v>1932.0623771164821</v>
      </c>
      <c r="F1235">
        <f>IF($D1235 &gt; 16, 0,$E1235*$J$5)</f>
        <v>20999585.976879045</v>
      </c>
      <c r="G1235">
        <f t="shared" si="19"/>
        <v>9.3000000000000007</v>
      </c>
    </row>
    <row r="1236" spans="2:7" x14ac:dyDescent="0.35">
      <c r="B1236" s="1">
        <v>45709</v>
      </c>
      <c r="C1236" s="2">
        <v>0.41666666666666669</v>
      </c>
      <c r="D1236">
        <v>7.2</v>
      </c>
      <c r="E1236">
        <f>IF($D1236 &gt; 16, 0, $J$3*(16 - $D1236))</f>
        <v>1828.1880557661336</v>
      </c>
      <c r="F1236">
        <f>IF($D1236 &gt; 16, 0,$E1236*$J$5)</f>
        <v>19870575.978122108</v>
      </c>
      <c r="G1236">
        <f t="shared" si="19"/>
        <v>8.8000000000000007</v>
      </c>
    </row>
    <row r="1237" spans="2:7" x14ac:dyDescent="0.35">
      <c r="B1237" s="1">
        <v>45709</v>
      </c>
      <c r="C1237" s="2">
        <v>0.45833333333333331</v>
      </c>
      <c r="D1237">
        <v>7.7</v>
      </c>
      <c r="E1237">
        <f>IF($D1237 &gt; 16, 0, $J$3*(16 - $D1237))</f>
        <v>1724.3137344157851</v>
      </c>
      <c r="F1237">
        <f>IF($D1237 &gt; 16, 0,$E1237*$J$5)</f>
        <v>18741565.97936517</v>
      </c>
      <c r="G1237">
        <f t="shared" si="19"/>
        <v>8.3000000000000007</v>
      </c>
    </row>
    <row r="1238" spans="2:7" x14ac:dyDescent="0.35">
      <c r="B1238" s="1">
        <v>45709</v>
      </c>
      <c r="C1238" s="2">
        <v>0.5</v>
      </c>
      <c r="D1238">
        <v>8.6999999999999993</v>
      </c>
      <c r="E1238">
        <f>IF($D1238 &gt; 16, 0, $J$3*(16 - $D1238))</f>
        <v>1516.5650917150881</v>
      </c>
      <c r="F1238">
        <f>IF($D1238 &gt; 16, 0,$E1238*$J$5)</f>
        <v>16483545.981851293</v>
      </c>
      <c r="G1238">
        <f t="shared" si="19"/>
        <v>7.3000000000000007</v>
      </c>
    </row>
    <row r="1239" spans="2:7" x14ac:dyDescent="0.35">
      <c r="B1239" s="1">
        <v>45709</v>
      </c>
      <c r="C1239" s="2">
        <v>0.54166666666666663</v>
      </c>
      <c r="D1239">
        <v>10.5</v>
      </c>
      <c r="E1239">
        <f>IF($D1239 &gt; 16, 0, $J$3*(16 - $D1239))</f>
        <v>1142.6175348538334</v>
      </c>
      <c r="F1239">
        <f>IF($D1239 &gt; 16, 0,$E1239*$J$5)</f>
        <v>12419109.986326315</v>
      </c>
      <c r="G1239">
        <f t="shared" si="19"/>
        <v>5.5</v>
      </c>
    </row>
    <row r="1240" spans="2:7" x14ac:dyDescent="0.35">
      <c r="B1240" s="1">
        <v>45709</v>
      </c>
      <c r="C1240" s="2">
        <v>0.58333333333333337</v>
      </c>
      <c r="D1240">
        <v>12.1</v>
      </c>
      <c r="E1240">
        <f>IF($D1240 &gt; 16, 0, $J$3*(16 - $D1240))</f>
        <v>810.21970653271831</v>
      </c>
      <c r="F1240">
        <f>IF($D1240 &gt; 16, 0,$E1240*$J$5)</f>
        <v>8806277.9903041162</v>
      </c>
      <c r="G1240">
        <f t="shared" si="19"/>
        <v>3.9000000000000004</v>
      </c>
    </row>
    <row r="1241" spans="2:7" x14ac:dyDescent="0.35">
      <c r="B1241" s="1">
        <v>45709</v>
      </c>
      <c r="C1241" s="2">
        <v>0.625</v>
      </c>
      <c r="D1241">
        <v>12.6</v>
      </c>
      <c r="E1241">
        <f>IF($D1241 &gt; 16, 0, $J$3*(16 - $D1241))</f>
        <v>706.3453851823698</v>
      </c>
      <c r="F1241">
        <f>IF($D1241 &gt; 16, 0,$E1241*$J$5)</f>
        <v>7677267.9915471775</v>
      </c>
      <c r="G1241">
        <f t="shared" si="19"/>
        <v>3.4000000000000004</v>
      </c>
    </row>
    <row r="1242" spans="2:7" x14ac:dyDescent="0.35">
      <c r="B1242" s="1">
        <v>45709</v>
      </c>
      <c r="C1242" s="2">
        <v>0.66666666666666663</v>
      </c>
      <c r="D1242">
        <v>11.7</v>
      </c>
      <c r="E1242">
        <f>IF($D1242 &gt; 16, 0, $J$3*(16 - $D1242))</f>
        <v>893.31916361299716</v>
      </c>
      <c r="F1242">
        <f>IF($D1242 &gt; 16, 0,$E1242*$J$5)</f>
        <v>9709485.9893096667</v>
      </c>
      <c r="G1242">
        <f t="shared" si="19"/>
        <v>4.3000000000000007</v>
      </c>
    </row>
    <row r="1243" spans="2:7" x14ac:dyDescent="0.35">
      <c r="B1243" s="1">
        <v>45709</v>
      </c>
      <c r="C1243" s="2">
        <v>0.70833333333333337</v>
      </c>
      <c r="D1243">
        <v>10.8</v>
      </c>
      <c r="E1243">
        <f>IF($D1243 &gt; 16, 0, $J$3*(16 - $D1243))</f>
        <v>1080.2929420436242</v>
      </c>
      <c r="F1243">
        <f>IF($D1243 &gt; 16, 0,$E1243*$J$5)</f>
        <v>11741703.987072151</v>
      </c>
      <c r="G1243">
        <f t="shared" si="19"/>
        <v>5.1999999999999993</v>
      </c>
    </row>
    <row r="1244" spans="2:7" x14ac:dyDescent="0.35">
      <c r="B1244" s="1">
        <v>45709</v>
      </c>
      <c r="C1244" s="2">
        <v>0.75</v>
      </c>
      <c r="D1244">
        <v>10.3</v>
      </c>
      <c r="E1244">
        <f>IF($D1244 &gt; 16, 0, $J$3*(16 - $D1244))</f>
        <v>1184.1672633939727</v>
      </c>
      <c r="F1244">
        <f>IF($D1244 &gt; 16, 0,$E1244*$J$5)</f>
        <v>12870713.985829089</v>
      </c>
      <c r="G1244">
        <f t="shared" si="19"/>
        <v>5.6999999999999993</v>
      </c>
    </row>
    <row r="1245" spans="2:7" x14ac:dyDescent="0.35">
      <c r="B1245" s="1">
        <v>45709</v>
      </c>
      <c r="C1245" s="2">
        <v>0.79166666666666663</v>
      </c>
      <c r="D1245">
        <v>10.1</v>
      </c>
      <c r="E1245">
        <f>IF($D1245 &gt; 16, 0, $J$3*(16 - $D1245))</f>
        <v>1225.7169919341122</v>
      </c>
      <c r="F1245">
        <f>IF($D1245 &gt; 16, 0,$E1245*$J$5)</f>
        <v>13322317.985331865</v>
      </c>
      <c r="G1245">
        <f t="shared" si="19"/>
        <v>5.9</v>
      </c>
    </row>
    <row r="1246" spans="2:7" x14ac:dyDescent="0.35">
      <c r="B1246" s="1">
        <v>45709</v>
      </c>
      <c r="C1246" s="2">
        <v>0.83333333333333337</v>
      </c>
      <c r="D1246">
        <v>9.5</v>
      </c>
      <c r="E1246">
        <f>IF($D1246 &gt; 16, 0, $J$3*(16 - $D1246))</f>
        <v>1350.3661775545304</v>
      </c>
      <c r="F1246">
        <f>IF($D1246 &gt; 16, 0,$E1246*$J$5)</f>
        <v>14677129.983840192</v>
      </c>
      <c r="G1246">
        <f t="shared" si="19"/>
        <v>6.5</v>
      </c>
    </row>
    <row r="1247" spans="2:7" x14ac:dyDescent="0.35">
      <c r="B1247" s="1">
        <v>45709</v>
      </c>
      <c r="C1247" s="2">
        <v>0.875</v>
      </c>
      <c r="D1247">
        <v>8.9</v>
      </c>
      <c r="E1247">
        <f>IF($D1247 &gt; 16, 0, $J$3*(16 - $D1247))</f>
        <v>1475.0153631749486</v>
      </c>
      <c r="F1247">
        <f>IF($D1247 &gt; 16, 0,$E1247*$J$5)</f>
        <v>16031941.982348517</v>
      </c>
      <c r="G1247">
        <f t="shared" si="19"/>
        <v>7.1</v>
      </c>
    </row>
    <row r="1248" spans="2:7" x14ac:dyDescent="0.35">
      <c r="B1248" s="1">
        <v>45709</v>
      </c>
      <c r="C1248" s="2">
        <v>0.91666666666666663</v>
      </c>
      <c r="D1248">
        <v>8.3000000000000007</v>
      </c>
      <c r="E1248">
        <f>IF($D1248 &gt; 16, 0, $J$3*(16 - $D1248))</f>
        <v>1599.6645487953667</v>
      </c>
      <c r="F1248">
        <f>IF($D1248 &gt; 16, 0,$E1248*$J$5)</f>
        <v>17386753.98085684</v>
      </c>
      <c r="G1248">
        <f t="shared" si="19"/>
        <v>7.6999999999999993</v>
      </c>
    </row>
    <row r="1249" spans="2:7" x14ac:dyDescent="0.35">
      <c r="B1249" s="1">
        <v>45709</v>
      </c>
      <c r="C1249" s="2">
        <v>0.95833333333333337</v>
      </c>
      <c r="D1249">
        <v>8</v>
      </c>
      <c r="E1249">
        <f>IF($D1249 &gt; 16, 0, $J$3*(16 - $D1249))</f>
        <v>1661.9891416055759</v>
      </c>
      <c r="F1249">
        <f>IF($D1249 &gt; 16, 0,$E1249*$J$5)</f>
        <v>18064159.980111003</v>
      </c>
      <c r="G1249">
        <f t="shared" si="19"/>
        <v>8</v>
      </c>
    </row>
    <row r="1250" spans="2:7" x14ac:dyDescent="0.35">
      <c r="B1250" s="1">
        <v>45710</v>
      </c>
      <c r="C1250" s="2">
        <v>0</v>
      </c>
      <c r="D1250">
        <v>7.2</v>
      </c>
      <c r="E1250">
        <f>IF($D1250 &gt; 16, 0, $J$3*(16 - $D1250))</f>
        <v>1828.1880557661336</v>
      </c>
      <c r="F1250">
        <f>IF($D1250 &gt; 16, 0,$E1250*$J$5)</f>
        <v>19870575.978122108</v>
      </c>
      <c r="G1250">
        <f t="shared" si="19"/>
        <v>8.8000000000000007</v>
      </c>
    </row>
    <row r="1251" spans="2:7" x14ac:dyDescent="0.35">
      <c r="B1251" s="1">
        <v>45710</v>
      </c>
      <c r="C1251" s="2">
        <v>4.1666666666666657E-2</v>
      </c>
      <c r="D1251">
        <v>6.9</v>
      </c>
      <c r="E1251">
        <f>IF($D1251 &gt; 16, 0, $J$3*(16 - $D1251))</f>
        <v>1890.5126485763426</v>
      </c>
      <c r="F1251">
        <f>IF($D1251 &gt; 16, 0,$E1251*$J$5)</f>
        <v>20547981.977376267</v>
      </c>
      <c r="G1251">
        <f t="shared" si="19"/>
        <v>9.1</v>
      </c>
    </row>
    <row r="1252" spans="2:7" x14ac:dyDescent="0.35">
      <c r="B1252" s="1">
        <v>45710</v>
      </c>
      <c r="C1252" s="2">
        <v>8.3333333333333329E-2</v>
      </c>
      <c r="D1252">
        <v>6.3</v>
      </c>
      <c r="E1252">
        <f>IF($D1252 &gt; 16, 0, $J$3*(16 - $D1252))</f>
        <v>2015.1618341967608</v>
      </c>
      <c r="F1252">
        <f>IF($D1252 &gt; 16, 0,$E1252*$J$5)</f>
        <v>21902793.975884594</v>
      </c>
      <c r="G1252">
        <f t="shared" si="19"/>
        <v>9.6999999999999993</v>
      </c>
    </row>
    <row r="1253" spans="2:7" x14ac:dyDescent="0.35">
      <c r="B1253" s="1">
        <v>45710</v>
      </c>
      <c r="C1253" s="2">
        <v>0.125</v>
      </c>
      <c r="D1253">
        <v>5.4</v>
      </c>
      <c r="E1253">
        <f>IF($D1253 &gt; 16, 0, $J$3*(16 - $D1253))</f>
        <v>2202.1356126273881</v>
      </c>
      <c r="F1253">
        <f>IF($D1253 &gt; 16, 0,$E1253*$J$5)</f>
        <v>23935011.97364708</v>
      </c>
      <c r="G1253">
        <f t="shared" si="19"/>
        <v>10.6</v>
      </c>
    </row>
    <row r="1254" spans="2:7" x14ac:dyDescent="0.35">
      <c r="B1254" s="1">
        <v>45710</v>
      </c>
      <c r="C1254" s="2">
        <v>0.16666666666666671</v>
      </c>
      <c r="D1254">
        <v>5.5</v>
      </c>
      <c r="E1254">
        <f>IF($D1254 &gt; 16, 0, $J$3*(16 - $D1254))</f>
        <v>2181.3607483573182</v>
      </c>
      <c r="F1254">
        <f>IF($D1254 &gt; 16, 0,$E1254*$J$5)</f>
        <v>23709209.973895691</v>
      </c>
      <c r="G1254">
        <f t="shared" si="19"/>
        <v>10.5</v>
      </c>
    </row>
    <row r="1255" spans="2:7" x14ac:dyDescent="0.35">
      <c r="B1255" s="1">
        <v>45710</v>
      </c>
      <c r="C1255" s="2">
        <v>0.20833333333333329</v>
      </c>
      <c r="D1255">
        <v>5.3</v>
      </c>
      <c r="E1255">
        <f>IF($D1255 &gt; 16, 0, $J$3*(16 - $D1255))</f>
        <v>2222.9104768974576</v>
      </c>
      <c r="F1255">
        <f>IF($D1255 &gt; 16, 0,$E1255*$J$5)</f>
        <v>24160813.973398466</v>
      </c>
      <c r="G1255">
        <f t="shared" si="19"/>
        <v>10.7</v>
      </c>
    </row>
    <row r="1256" spans="2:7" x14ac:dyDescent="0.35">
      <c r="B1256" s="1">
        <v>45710</v>
      </c>
      <c r="C1256" s="2">
        <v>0.25</v>
      </c>
      <c r="D1256">
        <v>4.8</v>
      </c>
      <c r="E1256">
        <f>IF($D1256 &gt; 16, 0, $J$3*(16 - $D1256))</f>
        <v>2326.7847982478061</v>
      </c>
      <c r="F1256">
        <f>IF($D1256 &gt; 16, 0,$E1256*$J$5)</f>
        <v>25289823.972155403</v>
      </c>
      <c r="G1256">
        <f t="shared" si="19"/>
        <v>11.2</v>
      </c>
    </row>
    <row r="1257" spans="2:7" x14ac:dyDescent="0.35">
      <c r="B1257" s="1">
        <v>45710</v>
      </c>
      <c r="C1257" s="2">
        <v>0.29166666666666669</v>
      </c>
      <c r="D1257">
        <v>4.8</v>
      </c>
      <c r="E1257">
        <f>IF($D1257 &gt; 16, 0, $J$3*(16 - $D1257))</f>
        <v>2326.7847982478061</v>
      </c>
      <c r="F1257">
        <f>IF($D1257 &gt; 16, 0,$E1257*$J$5)</f>
        <v>25289823.972155403</v>
      </c>
      <c r="G1257">
        <f t="shared" si="19"/>
        <v>11.2</v>
      </c>
    </row>
    <row r="1258" spans="2:7" x14ac:dyDescent="0.35">
      <c r="B1258" s="1">
        <v>45710</v>
      </c>
      <c r="C1258" s="2">
        <v>0.33333333333333331</v>
      </c>
      <c r="D1258">
        <v>5.6</v>
      </c>
      <c r="E1258">
        <f>IF($D1258 &gt; 16, 0, $J$3*(16 - $D1258))</f>
        <v>2160.5858840872488</v>
      </c>
      <c r="F1258">
        <f>IF($D1258 &gt; 16, 0,$E1258*$J$5)</f>
        <v>23483407.974144306</v>
      </c>
      <c r="G1258">
        <f t="shared" si="19"/>
        <v>10.4</v>
      </c>
    </row>
    <row r="1259" spans="2:7" x14ac:dyDescent="0.35">
      <c r="B1259" s="1">
        <v>45710</v>
      </c>
      <c r="C1259" s="2">
        <v>0.375</v>
      </c>
      <c r="D1259">
        <v>6</v>
      </c>
      <c r="E1259">
        <f>IF($D1259 &gt; 16, 0, $J$3*(16 - $D1259))</f>
        <v>2077.4864270069697</v>
      </c>
      <c r="F1259">
        <f>IF($D1259 &gt; 16, 0,$E1259*$J$5)</f>
        <v>22580199.975138754</v>
      </c>
      <c r="G1259">
        <f t="shared" si="19"/>
        <v>10</v>
      </c>
    </row>
    <row r="1260" spans="2:7" x14ac:dyDescent="0.35">
      <c r="B1260" s="1">
        <v>45710</v>
      </c>
      <c r="C1260" s="2">
        <v>0.41666666666666669</v>
      </c>
      <c r="D1260">
        <v>7</v>
      </c>
      <c r="E1260">
        <f>IF($D1260 &gt; 16, 0, $J$3*(16 - $D1260))</f>
        <v>1869.7377843062729</v>
      </c>
      <c r="F1260">
        <f>IF($D1260 &gt; 16, 0,$E1260*$J$5)</f>
        <v>20322179.977624882</v>
      </c>
      <c r="G1260">
        <f t="shared" si="19"/>
        <v>9</v>
      </c>
    </row>
    <row r="1261" spans="2:7" x14ac:dyDescent="0.35">
      <c r="B1261" s="1">
        <v>45710</v>
      </c>
      <c r="C1261" s="2">
        <v>0.45833333333333331</v>
      </c>
      <c r="D1261">
        <v>8.4</v>
      </c>
      <c r="E1261">
        <f>IF($D1261 &gt; 16, 0, $J$3*(16 - $D1261))</f>
        <v>1578.8896845252971</v>
      </c>
      <c r="F1261">
        <f>IF($D1261 &gt; 16, 0,$E1261*$J$5)</f>
        <v>17160951.981105454</v>
      </c>
      <c r="G1261">
        <f t="shared" si="19"/>
        <v>7.6</v>
      </c>
    </row>
    <row r="1262" spans="2:7" x14ac:dyDescent="0.35">
      <c r="B1262" s="1">
        <v>45710</v>
      </c>
      <c r="C1262" s="2">
        <v>0.5</v>
      </c>
      <c r="D1262">
        <v>9</v>
      </c>
      <c r="E1262">
        <f>IF($D1262 &gt; 16, 0, $J$3*(16 - $D1262))</f>
        <v>1454.2404989048789</v>
      </c>
      <c r="F1262">
        <f>IF($D1262 &gt; 16, 0,$E1262*$J$5)</f>
        <v>15806139.982597129</v>
      </c>
      <c r="G1262">
        <f t="shared" si="19"/>
        <v>7</v>
      </c>
    </row>
    <row r="1263" spans="2:7" x14ac:dyDescent="0.35">
      <c r="B1263" s="1">
        <v>45710</v>
      </c>
      <c r="C1263" s="2">
        <v>0.54166666666666663</v>
      </c>
      <c r="D1263">
        <v>9.8000000000000007</v>
      </c>
      <c r="E1263">
        <f>IF($D1263 &gt; 16, 0, $J$3*(16 - $D1263))</f>
        <v>1288.0415847443212</v>
      </c>
      <c r="F1263">
        <f>IF($D1263 &gt; 16, 0,$E1263*$J$5)</f>
        <v>13999723.984586027</v>
      </c>
      <c r="G1263">
        <f t="shared" si="19"/>
        <v>6.1999999999999993</v>
      </c>
    </row>
    <row r="1264" spans="2:7" x14ac:dyDescent="0.35">
      <c r="B1264" s="1">
        <v>45710</v>
      </c>
      <c r="C1264" s="2">
        <v>0.58333333333333337</v>
      </c>
      <c r="D1264">
        <v>11.6</v>
      </c>
      <c r="E1264">
        <f>IF($D1264 &gt; 16, 0, $J$3*(16 - $D1264))</f>
        <v>914.09402788306681</v>
      </c>
      <c r="F1264">
        <f>IF($D1264 &gt; 16, 0,$E1264*$J$5)</f>
        <v>9935287.9890610538</v>
      </c>
      <c r="G1264">
        <f t="shared" si="19"/>
        <v>4.4000000000000004</v>
      </c>
    </row>
    <row r="1265" spans="2:7" x14ac:dyDescent="0.35">
      <c r="B1265" s="1">
        <v>45710</v>
      </c>
      <c r="C1265" s="2">
        <v>0.625</v>
      </c>
      <c r="D1265">
        <v>11.8</v>
      </c>
      <c r="E1265">
        <f>IF($D1265 &gt; 16, 0, $J$3*(16 - $D1265))</f>
        <v>872.54429934292716</v>
      </c>
      <c r="F1265">
        <f>IF($D1265 &gt; 16, 0,$E1265*$J$5)</f>
        <v>9483683.9895582758</v>
      </c>
      <c r="G1265">
        <f t="shared" si="19"/>
        <v>4.1999999999999993</v>
      </c>
    </row>
    <row r="1266" spans="2:7" x14ac:dyDescent="0.35">
      <c r="B1266" s="1">
        <v>45710</v>
      </c>
      <c r="C1266" s="2">
        <v>0.66666666666666663</v>
      </c>
      <c r="D1266">
        <v>11.2</v>
      </c>
      <c r="E1266">
        <f>IF($D1266 &gt; 16, 0, $J$3*(16 - $D1266))</f>
        <v>997.19348496334567</v>
      </c>
      <c r="F1266">
        <f>IF($D1266 &gt; 16, 0,$E1266*$J$5)</f>
        <v>10838495.988066604</v>
      </c>
      <c r="G1266">
        <f t="shared" si="19"/>
        <v>4.8000000000000007</v>
      </c>
    </row>
    <row r="1267" spans="2:7" x14ac:dyDescent="0.35">
      <c r="B1267" s="1">
        <v>45710</v>
      </c>
      <c r="C1267" s="2">
        <v>0.70833333333333337</v>
      </c>
      <c r="D1267">
        <v>11</v>
      </c>
      <c r="E1267">
        <f>IF($D1267 &gt; 16, 0, $J$3*(16 - $D1267))</f>
        <v>1038.7432135034849</v>
      </c>
      <c r="F1267">
        <f>IF($D1267 &gt; 16, 0,$E1267*$J$5)</f>
        <v>11290099.987569377</v>
      </c>
      <c r="G1267">
        <f t="shared" si="19"/>
        <v>5</v>
      </c>
    </row>
    <row r="1268" spans="2:7" x14ac:dyDescent="0.35">
      <c r="B1268" s="1">
        <v>45710</v>
      </c>
      <c r="C1268" s="2">
        <v>0.75</v>
      </c>
      <c r="D1268">
        <v>11.4</v>
      </c>
      <c r="E1268">
        <f>IF($D1268 &gt; 16, 0, $J$3*(16 - $D1268))</f>
        <v>955.64375642320613</v>
      </c>
      <c r="F1268">
        <f>IF($D1268 &gt; 16, 0,$E1268*$J$5)</f>
        <v>10386891.988563828</v>
      </c>
      <c r="G1268">
        <f t="shared" si="19"/>
        <v>4.5999999999999996</v>
      </c>
    </row>
    <row r="1269" spans="2:7" x14ac:dyDescent="0.35">
      <c r="B1269" s="1">
        <v>45710</v>
      </c>
      <c r="C1269" s="2">
        <v>0.79166666666666663</v>
      </c>
      <c r="D1269">
        <v>10.9</v>
      </c>
      <c r="E1269">
        <f>IF($D1269 &gt; 16, 0, $J$3*(16 - $D1269))</f>
        <v>1059.5180777735545</v>
      </c>
      <c r="F1269">
        <f>IF($D1269 &gt; 16, 0,$E1269*$J$5)</f>
        <v>11515901.987320764</v>
      </c>
      <c r="G1269">
        <f t="shared" si="19"/>
        <v>5.0999999999999996</v>
      </c>
    </row>
    <row r="1270" spans="2:7" x14ac:dyDescent="0.35">
      <c r="B1270" s="1">
        <v>45710</v>
      </c>
      <c r="C1270" s="2">
        <v>0.83333333333333337</v>
      </c>
      <c r="D1270">
        <v>10.1</v>
      </c>
      <c r="E1270">
        <f>IF($D1270 &gt; 16, 0, $J$3*(16 - $D1270))</f>
        <v>1225.7169919341122</v>
      </c>
      <c r="F1270">
        <f>IF($D1270 &gt; 16, 0,$E1270*$J$5)</f>
        <v>13322317.985331865</v>
      </c>
      <c r="G1270">
        <f t="shared" si="19"/>
        <v>5.9</v>
      </c>
    </row>
    <row r="1271" spans="2:7" x14ac:dyDescent="0.35">
      <c r="B1271" s="1">
        <v>45710</v>
      </c>
      <c r="C1271" s="2">
        <v>0.875</v>
      </c>
      <c r="D1271">
        <v>9.6999999999999993</v>
      </c>
      <c r="E1271">
        <f>IF($D1271 &gt; 16, 0, $J$3*(16 - $D1271))</f>
        <v>1308.8164490143911</v>
      </c>
      <c r="F1271">
        <f>IF($D1271 &gt; 16, 0,$E1271*$J$5)</f>
        <v>14225525.984337417</v>
      </c>
      <c r="G1271">
        <f t="shared" si="19"/>
        <v>6.3000000000000007</v>
      </c>
    </row>
    <row r="1272" spans="2:7" x14ac:dyDescent="0.35">
      <c r="B1272" s="1">
        <v>45710</v>
      </c>
      <c r="C1272" s="2">
        <v>0.91666666666666663</v>
      </c>
      <c r="D1272">
        <v>9.3000000000000007</v>
      </c>
      <c r="E1272">
        <f>IF($D1272 &gt; 16, 0, $J$3*(16 - $D1272))</f>
        <v>1391.9159060946697</v>
      </c>
      <c r="F1272">
        <f>IF($D1272 &gt; 16, 0,$E1272*$J$5)</f>
        <v>15128733.983342964</v>
      </c>
      <c r="G1272">
        <f t="shared" si="19"/>
        <v>6.6999999999999993</v>
      </c>
    </row>
    <row r="1273" spans="2:7" x14ac:dyDescent="0.35">
      <c r="B1273" s="1">
        <v>45710</v>
      </c>
      <c r="C1273" s="2">
        <v>0.95833333333333337</v>
      </c>
      <c r="D1273">
        <v>9.3000000000000007</v>
      </c>
      <c r="E1273">
        <f>IF($D1273 &gt; 16, 0, $J$3*(16 - $D1273))</f>
        <v>1391.9159060946697</v>
      </c>
      <c r="F1273">
        <f>IF($D1273 &gt; 16, 0,$E1273*$J$5)</f>
        <v>15128733.983342964</v>
      </c>
      <c r="G1273">
        <f t="shared" si="19"/>
        <v>6.6999999999999993</v>
      </c>
    </row>
    <row r="1274" spans="2:7" x14ac:dyDescent="0.35">
      <c r="B1274" s="1">
        <v>45711</v>
      </c>
      <c r="C1274" s="2">
        <v>0</v>
      </c>
      <c r="D1274">
        <v>9.8000000000000007</v>
      </c>
      <c r="E1274">
        <f>IF($D1274 &gt; 16, 0, $J$3*(16 - $D1274))</f>
        <v>1288.0415847443212</v>
      </c>
      <c r="F1274">
        <f>IF($D1274 &gt; 16, 0,$E1274*$J$5)</f>
        <v>13999723.984586027</v>
      </c>
      <c r="G1274">
        <f t="shared" si="19"/>
        <v>6.1999999999999993</v>
      </c>
    </row>
    <row r="1275" spans="2:7" x14ac:dyDescent="0.35">
      <c r="B1275" s="1">
        <v>45711</v>
      </c>
      <c r="C1275" s="2">
        <v>4.1666666666666657E-2</v>
      </c>
      <c r="D1275">
        <v>10.4</v>
      </c>
      <c r="E1275">
        <f>IF($D1275 &gt; 16, 0, $J$3*(16 - $D1275))</f>
        <v>1163.392399123903</v>
      </c>
      <c r="F1275">
        <f>IF($D1275 &gt; 16, 0,$E1275*$J$5)</f>
        <v>12644911.986077702</v>
      </c>
      <c r="G1275">
        <f t="shared" si="19"/>
        <v>5.6</v>
      </c>
    </row>
    <row r="1276" spans="2:7" x14ac:dyDescent="0.35">
      <c r="B1276" s="1">
        <v>45711</v>
      </c>
      <c r="C1276" s="2">
        <v>8.3333333333333329E-2</v>
      </c>
      <c r="D1276">
        <v>9</v>
      </c>
      <c r="E1276">
        <f>IF($D1276 &gt; 16, 0, $J$3*(16 - $D1276))</f>
        <v>1454.2404989048789</v>
      </c>
      <c r="F1276">
        <f>IF($D1276 &gt; 16, 0,$E1276*$J$5)</f>
        <v>15806139.982597129</v>
      </c>
      <c r="G1276">
        <f t="shared" si="19"/>
        <v>7</v>
      </c>
    </row>
    <row r="1277" spans="2:7" x14ac:dyDescent="0.35">
      <c r="B1277" s="1">
        <v>45711</v>
      </c>
      <c r="C1277" s="2">
        <v>0.125</v>
      </c>
      <c r="D1277">
        <v>8.6</v>
      </c>
      <c r="E1277">
        <f>IF($D1277 &gt; 16, 0, $J$3*(16 - $D1277))</f>
        <v>1537.3399559851578</v>
      </c>
      <c r="F1277">
        <f>IF($D1277 &gt; 16, 0,$E1277*$J$5)</f>
        <v>16709347.98160268</v>
      </c>
      <c r="G1277">
        <f t="shared" si="19"/>
        <v>7.4</v>
      </c>
    </row>
    <row r="1278" spans="2:7" x14ac:dyDescent="0.35">
      <c r="B1278" s="1">
        <v>45711</v>
      </c>
      <c r="C1278" s="2">
        <v>0.16666666666666671</v>
      </c>
      <c r="D1278">
        <v>8.9</v>
      </c>
      <c r="E1278">
        <f>IF($D1278 &gt; 16, 0, $J$3*(16 - $D1278))</f>
        <v>1475.0153631749486</v>
      </c>
      <c r="F1278">
        <f>IF($D1278 &gt; 16, 0,$E1278*$J$5)</f>
        <v>16031941.982348517</v>
      </c>
      <c r="G1278">
        <f t="shared" si="19"/>
        <v>7.1</v>
      </c>
    </row>
    <row r="1279" spans="2:7" x14ac:dyDescent="0.35">
      <c r="B1279" s="1">
        <v>45711</v>
      </c>
      <c r="C1279" s="2">
        <v>0.20833333333333329</v>
      </c>
      <c r="D1279">
        <v>8.8000000000000007</v>
      </c>
      <c r="E1279">
        <f>IF($D1279 &gt; 16, 0, $J$3*(16 - $D1279))</f>
        <v>1495.7902274450182</v>
      </c>
      <c r="F1279">
        <f>IF($D1279 &gt; 16, 0,$E1279*$J$5)</f>
        <v>16257743.982099904</v>
      </c>
      <c r="G1279">
        <f t="shared" si="19"/>
        <v>7.1999999999999993</v>
      </c>
    </row>
    <row r="1280" spans="2:7" x14ac:dyDescent="0.35">
      <c r="B1280" s="1">
        <v>45711</v>
      </c>
      <c r="C1280" s="2">
        <v>0.25</v>
      </c>
      <c r="D1280">
        <v>8.5</v>
      </c>
      <c r="E1280">
        <f>IF($D1280 &gt; 16, 0, $J$3*(16 - $D1280))</f>
        <v>1558.1148202552274</v>
      </c>
      <c r="F1280">
        <f>IF($D1280 &gt; 16, 0,$E1280*$J$5)</f>
        <v>16935149.981354065</v>
      </c>
      <c r="G1280">
        <f t="shared" si="19"/>
        <v>7.5</v>
      </c>
    </row>
    <row r="1281" spans="2:7" x14ac:dyDescent="0.35">
      <c r="B1281" s="1">
        <v>45711</v>
      </c>
      <c r="C1281" s="2">
        <v>0.29166666666666669</v>
      </c>
      <c r="D1281">
        <v>8.1</v>
      </c>
      <c r="E1281">
        <f>IF($D1281 &gt; 16, 0, $J$3*(16 - $D1281))</f>
        <v>1641.2142773355063</v>
      </c>
      <c r="F1281">
        <f>IF($D1281 &gt; 16, 0,$E1281*$J$5)</f>
        <v>17838357.980359618</v>
      </c>
      <c r="G1281">
        <f t="shared" si="19"/>
        <v>7.9</v>
      </c>
    </row>
    <row r="1282" spans="2:7" x14ac:dyDescent="0.35">
      <c r="B1282" s="1">
        <v>45711</v>
      </c>
      <c r="C1282" s="2">
        <v>0.33333333333333331</v>
      </c>
      <c r="D1282">
        <v>8.1</v>
      </c>
      <c r="E1282">
        <f>IF($D1282 &gt; 16, 0, $J$3*(16 - $D1282))</f>
        <v>1641.2142773355063</v>
      </c>
      <c r="F1282">
        <f>IF($D1282 &gt; 16, 0,$E1282*$J$5)</f>
        <v>17838357.980359618</v>
      </c>
      <c r="G1282">
        <f t="shared" si="19"/>
        <v>7.9</v>
      </c>
    </row>
    <row r="1283" spans="2:7" x14ac:dyDescent="0.35">
      <c r="B1283" s="1">
        <v>45711</v>
      </c>
      <c r="C1283" s="2">
        <v>0.375</v>
      </c>
      <c r="D1283">
        <v>8.6</v>
      </c>
      <c r="E1283">
        <f>IF($D1283 &gt; 16, 0, $J$3*(16 - $D1283))</f>
        <v>1537.3399559851578</v>
      </c>
      <c r="F1283">
        <f>IF($D1283 &gt; 16, 0,$E1283*$J$5)</f>
        <v>16709347.98160268</v>
      </c>
      <c r="G1283">
        <f t="shared" ref="G1283:G1346" si="20">MAX(0, 16 - $D1283)</f>
        <v>7.4</v>
      </c>
    </row>
    <row r="1284" spans="2:7" x14ac:dyDescent="0.35">
      <c r="B1284" s="1">
        <v>45711</v>
      </c>
      <c r="C1284" s="2">
        <v>0.41666666666666669</v>
      </c>
      <c r="D1284">
        <v>9.1</v>
      </c>
      <c r="E1284">
        <f>IF($D1284 &gt; 16, 0, $J$3*(16 - $D1284))</f>
        <v>1433.4656346348092</v>
      </c>
      <c r="F1284">
        <f>IF($D1284 &gt; 16, 0,$E1284*$J$5)</f>
        <v>15580337.982845742</v>
      </c>
      <c r="G1284">
        <f t="shared" si="20"/>
        <v>6.9</v>
      </c>
    </row>
    <row r="1285" spans="2:7" x14ac:dyDescent="0.35">
      <c r="B1285" s="1">
        <v>45711</v>
      </c>
      <c r="C1285" s="2">
        <v>0.45833333333333331</v>
      </c>
      <c r="D1285">
        <v>9.9</v>
      </c>
      <c r="E1285">
        <f>IF($D1285 &gt; 16, 0, $J$3*(16 - $D1285))</f>
        <v>1267.2667204742515</v>
      </c>
      <c r="F1285">
        <f>IF($D1285 &gt; 16, 0,$E1285*$J$5)</f>
        <v>13773921.984834639</v>
      </c>
      <c r="G1285">
        <f t="shared" si="20"/>
        <v>6.1</v>
      </c>
    </row>
    <row r="1286" spans="2:7" x14ac:dyDescent="0.35">
      <c r="B1286" s="1">
        <v>45711</v>
      </c>
      <c r="C1286" s="2">
        <v>0.5</v>
      </c>
      <c r="D1286">
        <v>10.7</v>
      </c>
      <c r="E1286">
        <f>IF($D1286 &gt; 16, 0, $J$3*(16 - $D1286))</f>
        <v>1101.0678063136943</v>
      </c>
      <c r="F1286">
        <f>IF($D1286 &gt; 16, 0,$E1286*$J$5)</f>
        <v>11967505.986823544</v>
      </c>
      <c r="G1286">
        <f t="shared" si="20"/>
        <v>5.3000000000000007</v>
      </c>
    </row>
    <row r="1287" spans="2:7" x14ac:dyDescent="0.35">
      <c r="B1287" s="1">
        <v>45711</v>
      </c>
      <c r="C1287" s="2">
        <v>0.54166666666666663</v>
      </c>
      <c r="D1287">
        <v>11</v>
      </c>
      <c r="E1287">
        <f>IF($D1287 &gt; 16, 0, $J$3*(16 - $D1287))</f>
        <v>1038.7432135034849</v>
      </c>
      <c r="F1287">
        <f>IF($D1287 &gt; 16, 0,$E1287*$J$5)</f>
        <v>11290099.987569377</v>
      </c>
      <c r="G1287">
        <f t="shared" si="20"/>
        <v>5</v>
      </c>
    </row>
    <row r="1288" spans="2:7" x14ac:dyDescent="0.35">
      <c r="B1288" s="1">
        <v>45711</v>
      </c>
      <c r="C1288" s="2">
        <v>0.58333333333333337</v>
      </c>
      <c r="D1288">
        <v>11.1</v>
      </c>
      <c r="E1288">
        <f>IF($D1288 &gt; 16, 0, $J$3*(16 - $D1288))</f>
        <v>1017.9683492334153</v>
      </c>
      <c r="F1288">
        <f>IF($D1288 &gt; 16, 0,$E1288*$J$5)</f>
        <v>11064297.987817992</v>
      </c>
      <c r="G1288">
        <f t="shared" si="20"/>
        <v>4.9000000000000004</v>
      </c>
    </row>
    <row r="1289" spans="2:7" x14ac:dyDescent="0.35">
      <c r="B1289" s="1">
        <v>45711</v>
      </c>
      <c r="C1289" s="2">
        <v>0.625</v>
      </c>
      <c r="D1289">
        <v>11.3</v>
      </c>
      <c r="E1289">
        <f>IF($D1289 &gt; 16, 0, $J$3*(16 - $D1289))</f>
        <v>976.41862069327567</v>
      </c>
      <c r="F1289">
        <f>IF($D1289 &gt; 16, 0,$E1289*$J$5)</f>
        <v>10612693.988315213</v>
      </c>
      <c r="G1289">
        <f t="shared" si="20"/>
        <v>4.6999999999999993</v>
      </c>
    </row>
    <row r="1290" spans="2:7" x14ac:dyDescent="0.35">
      <c r="B1290" s="1">
        <v>45711</v>
      </c>
      <c r="C1290" s="2">
        <v>0.66666666666666663</v>
      </c>
      <c r="D1290">
        <v>10.5</v>
      </c>
      <c r="E1290">
        <f>IF($D1290 &gt; 16, 0, $J$3*(16 - $D1290))</f>
        <v>1142.6175348538334</v>
      </c>
      <c r="F1290">
        <f>IF($D1290 &gt; 16, 0,$E1290*$J$5)</f>
        <v>12419109.986326315</v>
      </c>
      <c r="G1290">
        <f t="shared" si="20"/>
        <v>5.5</v>
      </c>
    </row>
    <row r="1291" spans="2:7" x14ac:dyDescent="0.35">
      <c r="B1291" s="1">
        <v>45711</v>
      </c>
      <c r="C1291" s="2">
        <v>0.70833333333333337</v>
      </c>
      <c r="D1291">
        <v>8.3000000000000007</v>
      </c>
      <c r="E1291">
        <f>IF($D1291 &gt; 16, 0, $J$3*(16 - $D1291))</f>
        <v>1599.6645487953667</v>
      </c>
      <c r="F1291">
        <f>IF($D1291 &gt; 16, 0,$E1291*$J$5)</f>
        <v>17386753.98085684</v>
      </c>
      <c r="G1291">
        <f t="shared" si="20"/>
        <v>7.6999999999999993</v>
      </c>
    </row>
    <row r="1292" spans="2:7" x14ac:dyDescent="0.35">
      <c r="B1292" s="1">
        <v>45711</v>
      </c>
      <c r="C1292" s="2">
        <v>0.75</v>
      </c>
      <c r="D1292">
        <v>7.4</v>
      </c>
      <c r="E1292">
        <f>IF($D1292 &gt; 16, 0, $J$3*(16 - $D1292))</f>
        <v>1786.6383272259941</v>
      </c>
      <c r="F1292">
        <f>IF($D1292 &gt; 16, 0,$E1292*$J$5)</f>
        <v>19418971.97861933</v>
      </c>
      <c r="G1292">
        <f t="shared" si="20"/>
        <v>8.6</v>
      </c>
    </row>
    <row r="1293" spans="2:7" x14ac:dyDescent="0.35">
      <c r="B1293" s="1">
        <v>45711</v>
      </c>
      <c r="C1293" s="2">
        <v>0.79166666666666663</v>
      </c>
      <c r="D1293">
        <v>7.2</v>
      </c>
      <c r="E1293">
        <f>IF($D1293 &gt; 16, 0, $J$3*(16 - $D1293))</f>
        <v>1828.1880557661336</v>
      </c>
      <c r="F1293">
        <f>IF($D1293 &gt; 16, 0,$E1293*$J$5)</f>
        <v>19870575.978122108</v>
      </c>
      <c r="G1293">
        <f t="shared" si="20"/>
        <v>8.8000000000000007</v>
      </c>
    </row>
    <row r="1294" spans="2:7" x14ac:dyDescent="0.35">
      <c r="B1294" s="1">
        <v>45711</v>
      </c>
      <c r="C1294" s="2">
        <v>0.83333333333333337</v>
      </c>
      <c r="D1294">
        <v>5.7</v>
      </c>
      <c r="E1294">
        <f>IF($D1294 &gt; 16, 0, $J$3*(16 - $D1294))</f>
        <v>2139.8110198171789</v>
      </c>
      <c r="F1294">
        <f>IF($D1294 &gt; 16, 0,$E1294*$J$5)</f>
        <v>23257605.974392917</v>
      </c>
      <c r="G1294">
        <f t="shared" si="20"/>
        <v>10.3</v>
      </c>
    </row>
    <row r="1295" spans="2:7" x14ac:dyDescent="0.35">
      <c r="B1295" s="1">
        <v>45711</v>
      </c>
      <c r="C1295" s="2">
        <v>0.875</v>
      </c>
      <c r="D1295">
        <v>6.9</v>
      </c>
      <c r="E1295">
        <f>IF($D1295 &gt; 16, 0, $J$3*(16 - $D1295))</f>
        <v>1890.5126485763426</v>
      </c>
      <c r="F1295">
        <f>IF($D1295 &gt; 16, 0,$E1295*$J$5)</f>
        <v>20547981.977376267</v>
      </c>
      <c r="G1295">
        <f t="shared" si="20"/>
        <v>9.1</v>
      </c>
    </row>
    <row r="1296" spans="2:7" x14ac:dyDescent="0.35">
      <c r="B1296" s="1">
        <v>45711</v>
      </c>
      <c r="C1296" s="2">
        <v>0.91666666666666663</v>
      </c>
      <c r="D1296">
        <v>6.3</v>
      </c>
      <c r="E1296">
        <f>IF($D1296 &gt; 16, 0, $J$3*(16 - $D1296))</f>
        <v>2015.1618341967608</v>
      </c>
      <c r="F1296">
        <f>IF($D1296 &gt; 16, 0,$E1296*$J$5)</f>
        <v>21902793.975884594</v>
      </c>
      <c r="G1296">
        <f t="shared" si="20"/>
        <v>9.6999999999999993</v>
      </c>
    </row>
    <row r="1297" spans="2:7" x14ac:dyDescent="0.35">
      <c r="B1297" s="1">
        <v>45711</v>
      </c>
      <c r="C1297" s="2">
        <v>0.95833333333333337</v>
      </c>
      <c r="D1297">
        <v>6.7</v>
      </c>
      <c r="E1297">
        <f>IF($D1297 &gt; 16, 0, $J$3*(16 - $D1297))</f>
        <v>1932.0623771164821</v>
      </c>
      <c r="F1297">
        <f>IF($D1297 &gt; 16, 0,$E1297*$J$5)</f>
        <v>20999585.976879045</v>
      </c>
      <c r="G1297">
        <f t="shared" si="20"/>
        <v>9.3000000000000007</v>
      </c>
    </row>
    <row r="1298" spans="2:7" x14ac:dyDescent="0.35">
      <c r="B1298" s="1">
        <v>45712</v>
      </c>
      <c r="C1298" s="2">
        <v>0</v>
      </c>
      <c r="D1298">
        <v>6.1</v>
      </c>
      <c r="E1298">
        <f>IF($D1298 &gt; 16, 0, $J$3*(16 - $D1298))</f>
        <v>2056.7115627369003</v>
      </c>
      <c r="F1298">
        <f>IF($D1298 &gt; 16, 0,$E1298*$J$5)</f>
        <v>22354397.975387368</v>
      </c>
      <c r="G1298">
        <f t="shared" si="20"/>
        <v>9.9</v>
      </c>
    </row>
    <row r="1299" spans="2:7" x14ac:dyDescent="0.35">
      <c r="B1299" s="1">
        <v>45712</v>
      </c>
      <c r="C1299" s="2">
        <v>4.1666666666666657E-2</v>
      </c>
      <c r="D1299">
        <v>6.3</v>
      </c>
      <c r="E1299">
        <f>IF($D1299 &gt; 16, 0, $J$3*(16 - $D1299))</f>
        <v>2015.1618341967608</v>
      </c>
      <c r="F1299">
        <f>IF($D1299 &gt; 16, 0,$E1299*$J$5)</f>
        <v>21902793.975884594</v>
      </c>
      <c r="G1299">
        <f t="shared" si="20"/>
        <v>9.6999999999999993</v>
      </c>
    </row>
    <row r="1300" spans="2:7" x14ac:dyDescent="0.35">
      <c r="B1300" s="1">
        <v>45712</v>
      </c>
      <c r="C1300" s="2">
        <v>8.3333333333333329E-2</v>
      </c>
      <c r="D1300">
        <v>6.3</v>
      </c>
      <c r="E1300">
        <f>IF($D1300 &gt; 16, 0, $J$3*(16 - $D1300))</f>
        <v>2015.1618341967608</v>
      </c>
      <c r="F1300">
        <f>IF($D1300 &gt; 16, 0,$E1300*$J$5)</f>
        <v>21902793.975884594</v>
      </c>
      <c r="G1300">
        <f t="shared" si="20"/>
        <v>9.6999999999999993</v>
      </c>
    </row>
    <row r="1301" spans="2:7" x14ac:dyDescent="0.35">
      <c r="B1301" s="1">
        <v>45712</v>
      </c>
      <c r="C1301" s="2">
        <v>0.125</v>
      </c>
      <c r="D1301">
        <v>6</v>
      </c>
      <c r="E1301">
        <f>IF($D1301 &gt; 16, 0, $J$3*(16 - $D1301))</f>
        <v>2077.4864270069697</v>
      </c>
      <c r="F1301">
        <f>IF($D1301 &gt; 16, 0,$E1301*$J$5)</f>
        <v>22580199.975138754</v>
      </c>
      <c r="G1301">
        <f t="shared" si="20"/>
        <v>10</v>
      </c>
    </row>
    <row r="1302" spans="2:7" x14ac:dyDescent="0.35">
      <c r="B1302" s="1">
        <v>45712</v>
      </c>
      <c r="C1302" s="2">
        <v>0.16666666666666671</v>
      </c>
      <c r="D1302">
        <v>5.9</v>
      </c>
      <c r="E1302">
        <f>IF($D1302 &gt; 16, 0, $J$3*(16 - $D1302))</f>
        <v>2098.2612912770396</v>
      </c>
      <c r="F1302">
        <f>IF($D1302 &gt; 16, 0,$E1302*$J$5)</f>
        <v>22806001.974890143</v>
      </c>
      <c r="G1302">
        <f t="shared" si="20"/>
        <v>10.1</v>
      </c>
    </row>
    <row r="1303" spans="2:7" x14ac:dyDescent="0.35">
      <c r="B1303" s="1">
        <v>45712</v>
      </c>
      <c r="C1303" s="2">
        <v>0.20833333333333329</v>
      </c>
      <c r="D1303">
        <v>6.4</v>
      </c>
      <c r="E1303">
        <f>IF($D1303 &gt; 16, 0, $J$3*(16 - $D1303))</f>
        <v>1994.3869699266911</v>
      </c>
      <c r="F1303">
        <f>IF($D1303 &gt; 16, 0,$E1303*$J$5)</f>
        <v>21676991.976133205</v>
      </c>
      <c r="G1303">
        <f t="shared" si="20"/>
        <v>9.6</v>
      </c>
    </row>
    <row r="1304" spans="2:7" x14ac:dyDescent="0.35">
      <c r="B1304" s="1">
        <v>45712</v>
      </c>
      <c r="C1304" s="2">
        <v>0.25</v>
      </c>
      <c r="D1304">
        <v>6.2</v>
      </c>
      <c r="E1304">
        <f>IF($D1304 &gt; 16, 0, $J$3*(16 - $D1304))</f>
        <v>2035.9366984668306</v>
      </c>
      <c r="F1304">
        <f>IF($D1304 &gt; 16, 0,$E1304*$J$5)</f>
        <v>22128595.975635983</v>
      </c>
      <c r="G1304">
        <f t="shared" si="20"/>
        <v>9.8000000000000007</v>
      </c>
    </row>
    <row r="1305" spans="2:7" x14ac:dyDescent="0.35">
      <c r="B1305" s="1">
        <v>45712</v>
      </c>
      <c r="C1305" s="2">
        <v>0.29166666666666669</v>
      </c>
      <c r="D1305">
        <v>6.4</v>
      </c>
      <c r="E1305">
        <f>IF($D1305 &gt; 16, 0, $J$3*(16 - $D1305))</f>
        <v>1994.3869699266911</v>
      </c>
      <c r="F1305">
        <f>IF($D1305 &gt; 16, 0,$E1305*$J$5)</f>
        <v>21676991.976133205</v>
      </c>
      <c r="G1305">
        <f t="shared" si="20"/>
        <v>9.6</v>
      </c>
    </row>
    <row r="1306" spans="2:7" x14ac:dyDescent="0.35">
      <c r="B1306" s="1">
        <v>45712</v>
      </c>
      <c r="C1306" s="2">
        <v>0.33333333333333331</v>
      </c>
      <c r="D1306">
        <v>7.8</v>
      </c>
      <c r="E1306">
        <f>IF($D1306 &gt; 16, 0, $J$3*(16 - $D1306))</f>
        <v>1703.5388701457152</v>
      </c>
      <c r="F1306">
        <f>IF($D1306 &gt; 16, 0,$E1306*$J$5)</f>
        <v>18515763.979613777</v>
      </c>
      <c r="G1306">
        <f t="shared" si="20"/>
        <v>8.1999999999999993</v>
      </c>
    </row>
    <row r="1307" spans="2:7" x14ac:dyDescent="0.35">
      <c r="B1307" s="1">
        <v>45712</v>
      </c>
      <c r="C1307" s="2">
        <v>0.375</v>
      </c>
      <c r="D1307">
        <v>9.4</v>
      </c>
      <c r="E1307">
        <f>IF($D1307 &gt; 16, 0, $J$3*(16 - $D1307))</f>
        <v>1371.1410418246001</v>
      </c>
      <c r="F1307">
        <f>IF($D1307 &gt; 16, 0,$E1307*$J$5)</f>
        <v>14902931.983591577</v>
      </c>
      <c r="G1307">
        <f t="shared" si="20"/>
        <v>6.6</v>
      </c>
    </row>
    <row r="1308" spans="2:7" x14ac:dyDescent="0.35">
      <c r="B1308" s="1">
        <v>45712</v>
      </c>
      <c r="C1308" s="2">
        <v>0.41666666666666669</v>
      </c>
      <c r="D1308">
        <v>10.8</v>
      </c>
      <c r="E1308">
        <f>IF($D1308 &gt; 16, 0, $J$3*(16 - $D1308))</f>
        <v>1080.2929420436242</v>
      </c>
      <c r="F1308">
        <f>IF($D1308 &gt; 16, 0,$E1308*$J$5)</f>
        <v>11741703.987072151</v>
      </c>
      <c r="G1308">
        <f t="shared" si="20"/>
        <v>5.1999999999999993</v>
      </c>
    </row>
    <row r="1309" spans="2:7" x14ac:dyDescent="0.35">
      <c r="B1309" s="1">
        <v>45712</v>
      </c>
      <c r="C1309" s="2">
        <v>0.45833333333333331</v>
      </c>
      <c r="D1309">
        <v>11.9</v>
      </c>
      <c r="E1309">
        <f>IF($D1309 &gt; 16, 0, $J$3*(16 - $D1309))</f>
        <v>851.76943507285762</v>
      </c>
      <c r="F1309">
        <f>IF($D1309 &gt; 16, 0,$E1309*$J$5)</f>
        <v>9257881.9898068886</v>
      </c>
      <c r="G1309">
        <f t="shared" si="20"/>
        <v>4.0999999999999996</v>
      </c>
    </row>
    <row r="1310" spans="2:7" x14ac:dyDescent="0.35">
      <c r="B1310" s="1">
        <v>45712</v>
      </c>
      <c r="C1310" s="2">
        <v>0.5</v>
      </c>
      <c r="D1310">
        <v>12.4</v>
      </c>
      <c r="E1310">
        <f>IF($D1310 &gt; 16, 0, $J$3*(16 - $D1310))</f>
        <v>747.89511372250911</v>
      </c>
      <c r="F1310">
        <f>IF($D1310 &gt; 16, 0,$E1310*$J$5)</f>
        <v>8128871.9910499519</v>
      </c>
      <c r="G1310">
        <f t="shared" si="20"/>
        <v>3.5999999999999996</v>
      </c>
    </row>
    <row r="1311" spans="2:7" x14ac:dyDescent="0.35">
      <c r="B1311" s="1">
        <v>45712</v>
      </c>
      <c r="C1311" s="2">
        <v>0.54166666666666663</v>
      </c>
      <c r="D1311">
        <v>12.6</v>
      </c>
      <c r="E1311">
        <f>IF($D1311 &gt; 16, 0, $J$3*(16 - $D1311))</f>
        <v>706.3453851823698</v>
      </c>
      <c r="F1311">
        <f>IF($D1311 &gt; 16, 0,$E1311*$J$5)</f>
        <v>7677267.9915471775</v>
      </c>
      <c r="G1311">
        <f t="shared" si="20"/>
        <v>3.4000000000000004</v>
      </c>
    </row>
    <row r="1312" spans="2:7" x14ac:dyDescent="0.35">
      <c r="B1312" s="1">
        <v>45712</v>
      </c>
      <c r="C1312" s="2">
        <v>0.58333333333333337</v>
      </c>
      <c r="D1312">
        <v>12.4</v>
      </c>
      <c r="E1312">
        <f>IF($D1312 &gt; 16, 0, $J$3*(16 - $D1312))</f>
        <v>747.89511372250911</v>
      </c>
      <c r="F1312">
        <f>IF($D1312 &gt; 16, 0,$E1312*$J$5)</f>
        <v>8128871.9910499519</v>
      </c>
      <c r="G1312">
        <f t="shared" si="20"/>
        <v>3.5999999999999996</v>
      </c>
    </row>
    <row r="1313" spans="2:7" x14ac:dyDescent="0.35">
      <c r="B1313" s="1">
        <v>45712</v>
      </c>
      <c r="C1313" s="2">
        <v>0.625</v>
      </c>
      <c r="D1313">
        <v>12.1</v>
      </c>
      <c r="E1313">
        <f>IF($D1313 &gt; 16, 0, $J$3*(16 - $D1313))</f>
        <v>810.21970653271831</v>
      </c>
      <c r="F1313">
        <f>IF($D1313 &gt; 16, 0,$E1313*$J$5)</f>
        <v>8806277.9903041162</v>
      </c>
      <c r="G1313">
        <f t="shared" si="20"/>
        <v>3.9000000000000004</v>
      </c>
    </row>
    <row r="1314" spans="2:7" x14ac:dyDescent="0.35">
      <c r="B1314" s="1">
        <v>45712</v>
      </c>
      <c r="C1314" s="2">
        <v>0.66666666666666663</v>
      </c>
      <c r="D1314">
        <v>12</v>
      </c>
      <c r="E1314">
        <f>IF($D1314 &gt; 16, 0, $J$3*(16 - $D1314))</f>
        <v>830.99457080278796</v>
      </c>
      <c r="F1314">
        <f>IF($D1314 &gt; 16, 0,$E1314*$J$5)</f>
        <v>9032079.9900555015</v>
      </c>
      <c r="G1314">
        <f t="shared" si="20"/>
        <v>4</v>
      </c>
    </row>
    <row r="1315" spans="2:7" x14ac:dyDescent="0.35">
      <c r="B1315" s="1">
        <v>45712</v>
      </c>
      <c r="C1315" s="2">
        <v>0.70833333333333337</v>
      </c>
      <c r="D1315">
        <v>11.8</v>
      </c>
      <c r="E1315">
        <f>IF($D1315 &gt; 16, 0, $J$3*(16 - $D1315))</f>
        <v>872.54429934292716</v>
      </c>
      <c r="F1315">
        <f>IF($D1315 &gt; 16, 0,$E1315*$J$5)</f>
        <v>9483683.9895582758</v>
      </c>
      <c r="G1315">
        <f t="shared" si="20"/>
        <v>4.1999999999999993</v>
      </c>
    </row>
    <row r="1316" spans="2:7" x14ac:dyDescent="0.35">
      <c r="B1316" s="1">
        <v>45712</v>
      </c>
      <c r="C1316" s="2">
        <v>0.75</v>
      </c>
      <c r="D1316">
        <v>11.3</v>
      </c>
      <c r="E1316">
        <f>IF($D1316 &gt; 16, 0, $J$3*(16 - $D1316))</f>
        <v>976.41862069327567</v>
      </c>
      <c r="F1316">
        <f>IF($D1316 &gt; 16, 0,$E1316*$J$5)</f>
        <v>10612693.988315213</v>
      </c>
      <c r="G1316">
        <f t="shared" si="20"/>
        <v>4.6999999999999993</v>
      </c>
    </row>
    <row r="1317" spans="2:7" x14ac:dyDescent="0.35">
      <c r="B1317" s="1">
        <v>45712</v>
      </c>
      <c r="C1317" s="2">
        <v>0.79166666666666663</v>
      </c>
      <c r="D1317">
        <v>10.5</v>
      </c>
      <c r="E1317">
        <f>IF($D1317 &gt; 16, 0, $J$3*(16 - $D1317))</f>
        <v>1142.6175348538334</v>
      </c>
      <c r="F1317">
        <f>IF($D1317 &gt; 16, 0,$E1317*$J$5)</f>
        <v>12419109.986326315</v>
      </c>
      <c r="G1317">
        <f t="shared" si="20"/>
        <v>5.5</v>
      </c>
    </row>
    <row r="1318" spans="2:7" x14ac:dyDescent="0.35">
      <c r="B1318" s="1">
        <v>45712</v>
      </c>
      <c r="C1318" s="2">
        <v>0.83333333333333337</v>
      </c>
      <c r="D1318">
        <v>10.8</v>
      </c>
      <c r="E1318">
        <f>IF($D1318 &gt; 16, 0, $J$3*(16 - $D1318))</f>
        <v>1080.2929420436242</v>
      </c>
      <c r="F1318">
        <f>IF($D1318 &gt; 16, 0,$E1318*$J$5)</f>
        <v>11741703.987072151</v>
      </c>
      <c r="G1318">
        <f t="shared" si="20"/>
        <v>5.1999999999999993</v>
      </c>
    </row>
    <row r="1319" spans="2:7" x14ac:dyDescent="0.35">
      <c r="B1319" s="1">
        <v>45712</v>
      </c>
      <c r="C1319" s="2">
        <v>0.875</v>
      </c>
      <c r="D1319">
        <v>10.1</v>
      </c>
      <c r="E1319">
        <f>IF($D1319 &gt; 16, 0, $J$3*(16 - $D1319))</f>
        <v>1225.7169919341122</v>
      </c>
      <c r="F1319">
        <f>IF($D1319 &gt; 16, 0,$E1319*$J$5)</f>
        <v>13322317.985331865</v>
      </c>
      <c r="G1319">
        <f t="shared" si="20"/>
        <v>5.9</v>
      </c>
    </row>
    <row r="1320" spans="2:7" x14ac:dyDescent="0.35">
      <c r="B1320" s="1">
        <v>45712</v>
      </c>
      <c r="C1320" s="2">
        <v>0.91666666666666663</v>
      </c>
      <c r="D1320">
        <v>9.1999999999999993</v>
      </c>
      <c r="E1320">
        <f>IF($D1320 &gt; 16, 0, $J$3*(16 - $D1320))</f>
        <v>1412.6907703647396</v>
      </c>
      <c r="F1320">
        <f>IF($D1320 &gt; 16, 0,$E1320*$J$5)</f>
        <v>15354535.983094355</v>
      </c>
      <c r="G1320">
        <f t="shared" si="20"/>
        <v>6.8000000000000007</v>
      </c>
    </row>
    <row r="1321" spans="2:7" x14ac:dyDescent="0.35">
      <c r="B1321" s="1">
        <v>45712</v>
      </c>
      <c r="C1321" s="2">
        <v>0.95833333333333337</v>
      </c>
      <c r="D1321">
        <v>9.3000000000000007</v>
      </c>
      <c r="E1321">
        <f>IF($D1321 &gt; 16, 0, $J$3*(16 - $D1321))</f>
        <v>1391.9159060946697</v>
      </c>
      <c r="F1321">
        <f>IF($D1321 &gt; 16, 0,$E1321*$J$5)</f>
        <v>15128733.983342964</v>
      </c>
      <c r="G1321">
        <f t="shared" si="20"/>
        <v>6.6999999999999993</v>
      </c>
    </row>
    <row r="1322" spans="2:7" x14ac:dyDescent="0.35">
      <c r="B1322" s="1">
        <v>45713</v>
      </c>
      <c r="C1322" s="2">
        <v>0</v>
      </c>
      <c r="D1322">
        <v>9</v>
      </c>
      <c r="E1322">
        <f>IF($D1322 &gt; 16, 0, $J$3*(16 - $D1322))</f>
        <v>1454.2404989048789</v>
      </c>
      <c r="F1322">
        <f>IF($D1322 &gt; 16, 0,$E1322*$J$5)</f>
        <v>15806139.982597129</v>
      </c>
      <c r="G1322">
        <f t="shared" si="20"/>
        <v>7</v>
      </c>
    </row>
    <row r="1323" spans="2:7" x14ac:dyDescent="0.35">
      <c r="B1323" s="1">
        <v>45713</v>
      </c>
      <c r="C1323" s="2">
        <v>4.1666666666666657E-2</v>
      </c>
      <c r="D1323">
        <v>8.5</v>
      </c>
      <c r="E1323">
        <f>IF($D1323 &gt; 16, 0, $J$3*(16 - $D1323))</f>
        <v>1558.1148202552274</v>
      </c>
      <c r="F1323">
        <f>IF($D1323 &gt; 16, 0,$E1323*$J$5)</f>
        <v>16935149.981354065</v>
      </c>
      <c r="G1323">
        <f t="shared" si="20"/>
        <v>7.5</v>
      </c>
    </row>
    <row r="1324" spans="2:7" x14ac:dyDescent="0.35">
      <c r="B1324" s="1">
        <v>45713</v>
      </c>
      <c r="C1324" s="2">
        <v>8.3333333333333329E-2</v>
      </c>
      <c r="D1324">
        <v>8.3000000000000007</v>
      </c>
      <c r="E1324">
        <f>IF($D1324 &gt; 16, 0, $J$3*(16 - $D1324))</f>
        <v>1599.6645487953667</v>
      </c>
      <c r="F1324">
        <f>IF($D1324 &gt; 16, 0,$E1324*$J$5)</f>
        <v>17386753.98085684</v>
      </c>
      <c r="G1324">
        <f t="shared" si="20"/>
        <v>7.6999999999999993</v>
      </c>
    </row>
    <row r="1325" spans="2:7" x14ac:dyDescent="0.35">
      <c r="B1325" s="1">
        <v>45713</v>
      </c>
      <c r="C1325" s="2">
        <v>0.125</v>
      </c>
      <c r="D1325">
        <v>8.6</v>
      </c>
      <c r="E1325">
        <f>IF($D1325 &gt; 16, 0, $J$3*(16 - $D1325))</f>
        <v>1537.3399559851578</v>
      </c>
      <c r="F1325">
        <f>IF($D1325 &gt; 16, 0,$E1325*$J$5)</f>
        <v>16709347.98160268</v>
      </c>
      <c r="G1325">
        <f t="shared" si="20"/>
        <v>7.4</v>
      </c>
    </row>
    <row r="1326" spans="2:7" x14ac:dyDescent="0.35">
      <c r="B1326" s="1">
        <v>45713</v>
      </c>
      <c r="C1326" s="2">
        <v>0.16666666666666671</v>
      </c>
      <c r="D1326">
        <v>8.9</v>
      </c>
      <c r="E1326">
        <f>IF($D1326 &gt; 16, 0, $J$3*(16 - $D1326))</f>
        <v>1475.0153631749486</v>
      </c>
      <c r="F1326">
        <f>IF($D1326 &gt; 16, 0,$E1326*$J$5)</f>
        <v>16031941.982348517</v>
      </c>
      <c r="G1326">
        <f t="shared" si="20"/>
        <v>7.1</v>
      </c>
    </row>
    <row r="1327" spans="2:7" x14ac:dyDescent="0.35">
      <c r="B1327" s="1">
        <v>45713</v>
      </c>
      <c r="C1327" s="2">
        <v>0.20833333333333329</v>
      </c>
      <c r="D1327">
        <v>8.4</v>
      </c>
      <c r="E1327">
        <f>IF($D1327 &gt; 16, 0, $J$3*(16 - $D1327))</f>
        <v>1578.8896845252971</v>
      </c>
      <c r="F1327">
        <f>IF($D1327 &gt; 16, 0,$E1327*$J$5)</f>
        <v>17160951.981105454</v>
      </c>
      <c r="G1327">
        <f t="shared" si="20"/>
        <v>7.6</v>
      </c>
    </row>
    <row r="1328" spans="2:7" x14ac:dyDescent="0.35">
      <c r="B1328" s="1">
        <v>45713</v>
      </c>
      <c r="C1328" s="2">
        <v>0.25</v>
      </c>
      <c r="D1328">
        <v>8.8000000000000007</v>
      </c>
      <c r="E1328">
        <f>IF($D1328 &gt; 16, 0, $J$3*(16 - $D1328))</f>
        <v>1495.7902274450182</v>
      </c>
      <c r="F1328">
        <f>IF($D1328 &gt; 16, 0,$E1328*$J$5)</f>
        <v>16257743.982099904</v>
      </c>
      <c r="G1328">
        <f t="shared" si="20"/>
        <v>7.1999999999999993</v>
      </c>
    </row>
    <row r="1329" spans="2:7" x14ac:dyDescent="0.35">
      <c r="B1329" s="1">
        <v>45713</v>
      </c>
      <c r="C1329" s="2">
        <v>0.29166666666666669</v>
      </c>
      <c r="D1329">
        <v>8.6</v>
      </c>
      <c r="E1329">
        <f>IF($D1329 &gt; 16, 0, $J$3*(16 - $D1329))</f>
        <v>1537.3399559851578</v>
      </c>
      <c r="F1329">
        <f>IF($D1329 &gt; 16, 0,$E1329*$J$5)</f>
        <v>16709347.98160268</v>
      </c>
      <c r="G1329">
        <f t="shared" si="20"/>
        <v>7.4</v>
      </c>
    </row>
    <row r="1330" spans="2:7" x14ac:dyDescent="0.35">
      <c r="B1330" s="1">
        <v>45713</v>
      </c>
      <c r="C1330" s="2">
        <v>0.33333333333333331</v>
      </c>
      <c r="D1330">
        <v>8.6999999999999993</v>
      </c>
      <c r="E1330">
        <f>IF($D1330 &gt; 16, 0, $J$3*(16 - $D1330))</f>
        <v>1516.5650917150881</v>
      </c>
      <c r="F1330">
        <f>IF($D1330 &gt; 16, 0,$E1330*$J$5)</f>
        <v>16483545.981851293</v>
      </c>
      <c r="G1330">
        <f t="shared" si="20"/>
        <v>7.3000000000000007</v>
      </c>
    </row>
    <row r="1331" spans="2:7" x14ac:dyDescent="0.35">
      <c r="B1331" s="1">
        <v>45713</v>
      </c>
      <c r="C1331" s="2">
        <v>0.375</v>
      </c>
      <c r="D1331">
        <v>9.1999999999999993</v>
      </c>
      <c r="E1331">
        <f>IF($D1331 &gt; 16, 0, $J$3*(16 - $D1331))</f>
        <v>1412.6907703647396</v>
      </c>
      <c r="F1331">
        <f>IF($D1331 &gt; 16, 0,$E1331*$J$5)</f>
        <v>15354535.983094355</v>
      </c>
      <c r="G1331">
        <f t="shared" si="20"/>
        <v>6.8000000000000007</v>
      </c>
    </row>
    <row r="1332" spans="2:7" x14ac:dyDescent="0.35">
      <c r="B1332" s="1">
        <v>45713</v>
      </c>
      <c r="C1332" s="2">
        <v>0.41666666666666669</v>
      </c>
      <c r="D1332">
        <v>10</v>
      </c>
      <c r="E1332">
        <f>IF($D1332 &gt; 16, 0, $J$3*(16 - $D1332))</f>
        <v>1246.4918562041819</v>
      </c>
      <c r="F1332">
        <f>IF($D1332 &gt; 16, 0,$E1332*$J$5)</f>
        <v>13548119.985083252</v>
      </c>
      <c r="G1332">
        <f t="shared" si="20"/>
        <v>6</v>
      </c>
    </row>
    <row r="1333" spans="2:7" x14ac:dyDescent="0.35">
      <c r="B1333" s="1">
        <v>45713</v>
      </c>
      <c r="C1333" s="2">
        <v>0.45833333333333331</v>
      </c>
      <c r="D1333">
        <v>10.5</v>
      </c>
      <c r="E1333">
        <f>IF($D1333 &gt; 16, 0, $J$3*(16 - $D1333))</f>
        <v>1142.6175348538334</v>
      </c>
      <c r="F1333">
        <f>IF($D1333 &gt; 16, 0,$E1333*$J$5)</f>
        <v>12419109.986326315</v>
      </c>
      <c r="G1333">
        <f t="shared" si="20"/>
        <v>5.5</v>
      </c>
    </row>
    <row r="1334" spans="2:7" x14ac:dyDescent="0.35">
      <c r="B1334" s="1">
        <v>45713</v>
      </c>
      <c r="C1334" s="2">
        <v>0.5</v>
      </c>
      <c r="D1334">
        <v>10.8</v>
      </c>
      <c r="E1334">
        <f>IF($D1334 &gt; 16, 0, $J$3*(16 - $D1334))</f>
        <v>1080.2929420436242</v>
      </c>
      <c r="F1334">
        <f>IF($D1334 &gt; 16, 0,$E1334*$J$5)</f>
        <v>11741703.987072151</v>
      </c>
      <c r="G1334">
        <f t="shared" si="20"/>
        <v>5.1999999999999993</v>
      </c>
    </row>
    <row r="1335" spans="2:7" x14ac:dyDescent="0.35">
      <c r="B1335" s="1">
        <v>45713</v>
      </c>
      <c r="C1335" s="2">
        <v>0.54166666666666663</v>
      </c>
      <c r="D1335">
        <v>11.6</v>
      </c>
      <c r="E1335">
        <f>IF($D1335 &gt; 16, 0, $J$3*(16 - $D1335))</f>
        <v>914.09402788306681</v>
      </c>
      <c r="F1335">
        <f>IF($D1335 &gt; 16, 0,$E1335*$J$5)</f>
        <v>9935287.9890610538</v>
      </c>
      <c r="G1335">
        <f t="shared" si="20"/>
        <v>4.4000000000000004</v>
      </c>
    </row>
    <row r="1336" spans="2:7" x14ac:dyDescent="0.35">
      <c r="B1336" s="1">
        <v>45713</v>
      </c>
      <c r="C1336" s="2">
        <v>0.58333333333333337</v>
      </c>
      <c r="D1336">
        <v>11.9</v>
      </c>
      <c r="E1336">
        <f>IF($D1336 &gt; 16, 0, $J$3*(16 - $D1336))</f>
        <v>851.76943507285762</v>
      </c>
      <c r="F1336">
        <f>IF($D1336 &gt; 16, 0,$E1336*$J$5)</f>
        <v>9257881.9898068886</v>
      </c>
      <c r="G1336">
        <f t="shared" si="20"/>
        <v>4.0999999999999996</v>
      </c>
    </row>
    <row r="1337" spans="2:7" x14ac:dyDescent="0.35">
      <c r="B1337" s="1">
        <v>45713</v>
      </c>
      <c r="C1337" s="2">
        <v>0.625</v>
      </c>
      <c r="D1337">
        <v>11.3</v>
      </c>
      <c r="E1337">
        <f>IF($D1337 &gt; 16, 0, $J$3*(16 - $D1337))</f>
        <v>976.41862069327567</v>
      </c>
      <c r="F1337">
        <f>IF($D1337 &gt; 16, 0,$E1337*$J$5)</f>
        <v>10612693.988315213</v>
      </c>
      <c r="G1337">
        <f t="shared" si="20"/>
        <v>4.6999999999999993</v>
      </c>
    </row>
    <row r="1338" spans="2:7" x14ac:dyDescent="0.35">
      <c r="B1338" s="1">
        <v>45713</v>
      </c>
      <c r="C1338" s="2">
        <v>0.66666666666666663</v>
      </c>
      <c r="D1338">
        <v>11.1</v>
      </c>
      <c r="E1338">
        <f>IF($D1338 &gt; 16, 0, $J$3*(16 - $D1338))</f>
        <v>1017.9683492334153</v>
      </c>
      <c r="F1338">
        <f>IF($D1338 &gt; 16, 0,$E1338*$J$5)</f>
        <v>11064297.987817992</v>
      </c>
      <c r="G1338">
        <f t="shared" si="20"/>
        <v>4.9000000000000004</v>
      </c>
    </row>
    <row r="1339" spans="2:7" x14ac:dyDescent="0.35">
      <c r="B1339" s="1">
        <v>45713</v>
      </c>
      <c r="C1339" s="2">
        <v>0.70833333333333337</v>
      </c>
      <c r="D1339">
        <v>9.9</v>
      </c>
      <c r="E1339">
        <f>IF($D1339 &gt; 16, 0, $J$3*(16 - $D1339))</f>
        <v>1267.2667204742515</v>
      </c>
      <c r="F1339">
        <f>IF($D1339 &gt; 16, 0,$E1339*$J$5)</f>
        <v>13773921.984834639</v>
      </c>
      <c r="G1339">
        <f t="shared" si="20"/>
        <v>6.1</v>
      </c>
    </row>
    <row r="1340" spans="2:7" x14ac:dyDescent="0.35">
      <c r="B1340" s="1">
        <v>45713</v>
      </c>
      <c r="C1340" s="2">
        <v>0.75</v>
      </c>
      <c r="D1340">
        <v>7.1</v>
      </c>
      <c r="E1340">
        <f>IF($D1340 &gt; 16, 0, $J$3*(16 - $D1340))</f>
        <v>1848.9629200362033</v>
      </c>
      <c r="F1340">
        <f>IF($D1340 &gt; 16, 0,$E1340*$J$5)</f>
        <v>20096377.977873493</v>
      </c>
      <c r="G1340">
        <f t="shared" si="20"/>
        <v>8.9</v>
      </c>
    </row>
    <row r="1341" spans="2:7" x14ac:dyDescent="0.35">
      <c r="B1341" s="1">
        <v>45713</v>
      </c>
      <c r="C1341" s="2">
        <v>0.79166666666666663</v>
      </c>
      <c r="D1341">
        <v>5.3</v>
      </c>
      <c r="E1341">
        <f>IF($D1341 &gt; 16, 0, $J$3*(16 - $D1341))</f>
        <v>2222.9104768974576</v>
      </c>
      <c r="F1341">
        <f>IF($D1341 &gt; 16, 0,$E1341*$J$5)</f>
        <v>24160813.973398466</v>
      </c>
      <c r="G1341">
        <f t="shared" si="20"/>
        <v>10.7</v>
      </c>
    </row>
    <row r="1342" spans="2:7" x14ac:dyDescent="0.35">
      <c r="B1342" s="1">
        <v>45713</v>
      </c>
      <c r="C1342" s="2">
        <v>0.83333333333333337</v>
      </c>
      <c r="D1342">
        <v>4.3</v>
      </c>
      <c r="E1342">
        <f>IF($D1342 &gt; 16, 0, $J$3*(16 - $D1342))</f>
        <v>2430.6591195981546</v>
      </c>
      <c r="F1342">
        <f>IF($D1342 &gt; 16, 0,$E1342*$J$5)</f>
        <v>26418833.970912341</v>
      </c>
      <c r="G1342">
        <f t="shared" si="20"/>
        <v>11.7</v>
      </c>
    </row>
    <row r="1343" spans="2:7" x14ac:dyDescent="0.35">
      <c r="B1343" s="1">
        <v>45713</v>
      </c>
      <c r="C1343" s="2">
        <v>0.875</v>
      </c>
      <c r="D1343">
        <v>5.4</v>
      </c>
      <c r="E1343">
        <f>IF($D1343 &gt; 16, 0, $J$3*(16 - $D1343))</f>
        <v>2202.1356126273881</v>
      </c>
      <c r="F1343">
        <f>IF($D1343 &gt; 16, 0,$E1343*$J$5)</f>
        <v>23935011.97364708</v>
      </c>
      <c r="G1343">
        <f t="shared" si="20"/>
        <v>10.6</v>
      </c>
    </row>
    <row r="1344" spans="2:7" x14ac:dyDescent="0.35">
      <c r="B1344" s="1">
        <v>45713</v>
      </c>
      <c r="C1344" s="2">
        <v>0.91666666666666663</v>
      </c>
      <c r="D1344">
        <v>4.4000000000000004</v>
      </c>
      <c r="E1344">
        <f>IF($D1344 &gt; 16, 0, $J$3*(16 - $D1344))</f>
        <v>2409.8842553280851</v>
      </c>
      <c r="F1344">
        <f>IF($D1344 &gt; 16, 0,$E1344*$J$5)</f>
        <v>26193031.971160956</v>
      </c>
      <c r="G1344">
        <f t="shared" si="20"/>
        <v>11.6</v>
      </c>
    </row>
    <row r="1345" spans="2:7" x14ac:dyDescent="0.35">
      <c r="B1345" s="1">
        <v>45713</v>
      </c>
      <c r="C1345" s="2">
        <v>0.95833333333333337</v>
      </c>
      <c r="D1345">
        <v>3.8</v>
      </c>
      <c r="E1345">
        <f>IF($D1345 &gt; 16, 0, $J$3*(16 - $D1345))</f>
        <v>2534.5334409485031</v>
      </c>
      <c r="F1345">
        <f>IF($D1345 &gt; 16, 0,$E1345*$J$5)</f>
        <v>27547843.969669279</v>
      </c>
      <c r="G1345">
        <f t="shared" si="20"/>
        <v>12.2</v>
      </c>
    </row>
    <row r="1346" spans="2:7" x14ac:dyDescent="0.35">
      <c r="B1346" s="1">
        <v>45714</v>
      </c>
      <c r="C1346" s="2">
        <v>0</v>
      </c>
      <c r="D1346">
        <v>4.2</v>
      </c>
      <c r="E1346">
        <f>IF($D1346 &gt; 16, 0, $J$3*(16 - $D1346))</f>
        <v>2451.4339838682245</v>
      </c>
      <c r="F1346">
        <f>IF($D1346 &gt; 16, 0,$E1346*$J$5)</f>
        <v>26644635.97066373</v>
      </c>
      <c r="G1346">
        <f t="shared" si="20"/>
        <v>11.8</v>
      </c>
    </row>
    <row r="1347" spans="2:7" x14ac:dyDescent="0.35">
      <c r="B1347" s="1">
        <v>45714</v>
      </c>
      <c r="C1347" s="2">
        <v>4.1666666666666657E-2</v>
      </c>
      <c r="D1347">
        <v>4.3</v>
      </c>
      <c r="E1347">
        <f>IF($D1347 &gt; 16, 0, $J$3*(16 - $D1347))</f>
        <v>2430.6591195981546</v>
      </c>
      <c r="F1347">
        <f>IF($D1347 &gt; 16, 0,$E1347*$J$5)</f>
        <v>26418833.970912341</v>
      </c>
      <c r="G1347">
        <f t="shared" ref="G1347:G1410" si="21">MAX(0, 16 - $D1347)</f>
        <v>11.7</v>
      </c>
    </row>
    <row r="1348" spans="2:7" x14ac:dyDescent="0.35">
      <c r="B1348" s="1">
        <v>45714</v>
      </c>
      <c r="C1348" s="2">
        <v>8.3333333333333329E-2</v>
      </c>
      <c r="D1348">
        <v>4.2</v>
      </c>
      <c r="E1348">
        <f>IF($D1348 &gt; 16, 0, $J$3*(16 - $D1348))</f>
        <v>2451.4339838682245</v>
      </c>
      <c r="F1348">
        <f>IF($D1348 &gt; 16, 0,$E1348*$J$5)</f>
        <v>26644635.97066373</v>
      </c>
      <c r="G1348">
        <f t="shared" si="21"/>
        <v>11.8</v>
      </c>
    </row>
    <row r="1349" spans="2:7" x14ac:dyDescent="0.35">
      <c r="B1349" s="1">
        <v>45714</v>
      </c>
      <c r="C1349" s="2">
        <v>0.125</v>
      </c>
      <c r="D1349">
        <v>3.3</v>
      </c>
      <c r="E1349">
        <f>IF($D1349 &gt; 16, 0, $J$3*(16 - $D1349))</f>
        <v>2638.4077622988516</v>
      </c>
      <c r="F1349">
        <f>IF($D1349 &gt; 16, 0,$E1349*$J$5)</f>
        <v>28676853.968426216</v>
      </c>
      <c r="G1349">
        <f t="shared" si="21"/>
        <v>12.7</v>
      </c>
    </row>
    <row r="1350" spans="2:7" x14ac:dyDescent="0.35">
      <c r="B1350" s="1">
        <v>45714</v>
      </c>
      <c r="C1350" s="2">
        <v>0.16666666666666671</v>
      </c>
      <c r="D1350">
        <v>3.6</v>
      </c>
      <c r="E1350">
        <f>IF($D1350 &gt; 16, 0, $J$3*(16 - $D1350))</f>
        <v>2576.0831694886429</v>
      </c>
      <c r="F1350">
        <f>IF($D1350 &gt; 16, 0,$E1350*$J$5)</f>
        <v>27999447.96917206</v>
      </c>
      <c r="G1350">
        <f t="shared" si="21"/>
        <v>12.4</v>
      </c>
    </row>
    <row r="1351" spans="2:7" x14ac:dyDescent="0.35">
      <c r="B1351" s="1">
        <v>45714</v>
      </c>
      <c r="C1351" s="2">
        <v>0.20833333333333329</v>
      </c>
      <c r="D1351">
        <v>3</v>
      </c>
      <c r="E1351">
        <f>IF($D1351 &gt; 16, 0, $J$3*(16 - $D1351))</f>
        <v>2700.7323551090608</v>
      </c>
      <c r="F1351">
        <f>IF($D1351 &gt; 16, 0,$E1351*$J$5)</f>
        <v>29354259.967680383</v>
      </c>
      <c r="G1351">
        <f t="shared" si="21"/>
        <v>13</v>
      </c>
    </row>
    <row r="1352" spans="2:7" x14ac:dyDescent="0.35">
      <c r="B1352" s="1">
        <v>45714</v>
      </c>
      <c r="C1352" s="2">
        <v>0.25</v>
      </c>
      <c r="D1352">
        <v>4</v>
      </c>
      <c r="E1352">
        <f>IF($D1352 &gt; 16, 0, $J$3*(16 - $D1352))</f>
        <v>2492.9837124083638</v>
      </c>
      <c r="F1352">
        <f>IF($D1352 &gt; 16, 0,$E1352*$J$5)</f>
        <v>27096239.970166504</v>
      </c>
      <c r="G1352">
        <f t="shared" si="21"/>
        <v>12</v>
      </c>
    </row>
    <row r="1353" spans="2:7" x14ac:dyDescent="0.35">
      <c r="B1353" s="1">
        <v>45714</v>
      </c>
      <c r="C1353" s="2">
        <v>0.29166666666666669</v>
      </c>
      <c r="D1353">
        <v>4.9000000000000004</v>
      </c>
      <c r="E1353">
        <f>IF($D1353 &gt; 16, 0, $J$3*(16 - $D1353))</f>
        <v>2306.0099339777366</v>
      </c>
      <c r="F1353">
        <f>IF($D1353 &gt; 16, 0,$E1353*$J$5)</f>
        <v>25064021.972404018</v>
      </c>
      <c r="G1353">
        <f t="shared" si="21"/>
        <v>11.1</v>
      </c>
    </row>
    <row r="1354" spans="2:7" x14ac:dyDescent="0.35">
      <c r="B1354" s="1">
        <v>45714</v>
      </c>
      <c r="C1354" s="2">
        <v>0.33333333333333331</v>
      </c>
      <c r="D1354">
        <v>5.0999999999999996</v>
      </c>
      <c r="E1354">
        <f>IF($D1354 &gt; 16, 0, $J$3*(16 - $D1354))</f>
        <v>2264.4602054375973</v>
      </c>
      <c r="F1354">
        <f>IF($D1354 &gt; 16, 0,$E1354*$J$5)</f>
        <v>24612417.972901244</v>
      </c>
      <c r="G1354">
        <f t="shared" si="21"/>
        <v>10.9</v>
      </c>
    </row>
    <row r="1355" spans="2:7" x14ac:dyDescent="0.35">
      <c r="B1355" s="1">
        <v>45714</v>
      </c>
      <c r="C1355" s="2">
        <v>0.375</v>
      </c>
      <c r="D1355">
        <v>5.7</v>
      </c>
      <c r="E1355">
        <f>IF($D1355 &gt; 16, 0, $J$3*(16 - $D1355))</f>
        <v>2139.8110198171789</v>
      </c>
      <c r="F1355">
        <f>IF($D1355 &gt; 16, 0,$E1355*$J$5)</f>
        <v>23257605.974392917</v>
      </c>
      <c r="G1355">
        <f t="shared" si="21"/>
        <v>10.3</v>
      </c>
    </row>
    <row r="1356" spans="2:7" x14ac:dyDescent="0.35">
      <c r="B1356" s="1">
        <v>45714</v>
      </c>
      <c r="C1356" s="2">
        <v>0.41666666666666669</v>
      </c>
      <c r="D1356">
        <v>6.5</v>
      </c>
      <c r="E1356">
        <f>IF($D1356 &gt; 16, 0, $J$3*(16 - $D1356))</f>
        <v>1973.6121056566215</v>
      </c>
      <c r="F1356">
        <f>IF($D1356 &gt; 16, 0,$E1356*$J$5)</f>
        <v>21451189.97638182</v>
      </c>
      <c r="G1356">
        <f t="shared" si="21"/>
        <v>9.5</v>
      </c>
    </row>
    <row r="1357" spans="2:7" x14ac:dyDescent="0.35">
      <c r="B1357" s="1">
        <v>45714</v>
      </c>
      <c r="C1357" s="2">
        <v>0.45833333333333331</v>
      </c>
      <c r="D1357">
        <v>7.9</v>
      </c>
      <c r="E1357">
        <f>IF($D1357 &gt; 16, 0, $J$3*(16 - $D1357))</f>
        <v>1682.7640058756456</v>
      </c>
      <c r="F1357">
        <f>IF($D1357 &gt; 16, 0,$E1357*$J$5)</f>
        <v>18289961.979862392</v>
      </c>
      <c r="G1357">
        <f t="shared" si="21"/>
        <v>8.1</v>
      </c>
    </row>
    <row r="1358" spans="2:7" x14ac:dyDescent="0.35">
      <c r="B1358" s="1">
        <v>45714</v>
      </c>
      <c r="C1358" s="2">
        <v>0.5</v>
      </c>
      <c r="D1358">
        <v>7.9</v>
      </c>
      <c r="E1358">
        <f>IF($D1358 &gt; 16, 0, $J$3*(16 - $D1358))</f>
        <v>1682.7640058756456</v>
      </c>
      <c r="F1358">
        <f>IF($D1358 &gt; 16, 0,$E1358*$J$5)</f>
        <v>18289961.979862392</v>
      </c>
      <c r="G1358">
        <f t="shared" si="21"/>
        <v>8.1</v>
      </c>
    </row>
    <row r="1359" spans="2:7" x14ac:dyDescent="0.35">
      <c r="B1359" s="1">
        <v>45714</v>
      </c>
      <c r="C1359" s="2">
        <v>0.54166666666666663</v>
      </c>
      <c r="D1359">
        <v>7.9</v>
      </c>
      <c r="E1359">
        <f>IF($D1359 &gt; 16, 0, $J$3*(16 - $D1359))</f>
        <v>1682.7640058756456</v>
      </c>
      <c r="F1359">
        <f>IF($D1359 &gt; 16, 0,$E1359*$J$5)</f>
        <v>18289961.979862392</v>
      </c>
      <c r="G1359">
        <f t="shared" si="21"/>
        <v>8.1</v>
      </c>
    </row>
    <row r="1360" spans="2:7" x14ac:dyDescent="0.35">
      <c r="B1360" s="1">
        <v>45714</v>
      </c>
      <c r="C1360" s="2">
        <v>0.58333333333333337</v>
      </c>
      <c r="D1360">
        <v>7.9</v>
      </c>
      <c r="E1360">
        <f>IF($D1360 &gt; 16, 0, $J$3*(16 - $D1360))</f>
        <v>1682.7640058756456</v>
      </c>
      <c r="F1360">
        <f>IF($D1360 &gt; 16, 0,$E1360*$J$5)</f>
        <v>18289961.979862392</v>
      </c>
      <c r="G1360">
        <f t="shared" si="21"/>
        <v>8.1</v>
      </c>
    </row>
    <row r="1361" spans="2:7" x14ac:dyDescent="0.35">
      <c r="B1361" s="1">
        <v>45714</v>
      </c>
      <c r="C1361" s="2">
        <v>0.625</v>
      </c>
      <c r="D1361">
        <v>7.9</v>
      </c>
      <c r="E1361">
        <f>IF($D1361 &gt; 16, 0, $J$3*(16 - $D1361))</f>
        <v>1682.7640058756456</v>
      </c>
      <c r="F1361">
        <f>IF($D1361 &gt; 16, 0,$E1361*$J$5)</f>
        <v>18289961.979862392</v>
      </c>
      <c r="G1361">
        <f t="shared" si="21"/>
        <v>8.1</v>
      </c>
    </row>
    <row r="1362" spans="2:7" x14ac:dyDescent="0.35">
      <c r="B1362" s="1">
        <v>45714</v>
      </c>
      <c r="C1362" s="2">
        <v>0.66666666666666663</v>
      </c>
      <c r="D1362">
        <v>7.1</v>
      </c>
      <c r="E1362">
        <f>IF($D1362 &gt; 16, 0, $J$3*(16 - $D1362))</f>
        <v>1848.9629200362033</v>
      </c>
      <c r="F1362">
        <f>IF($D1362 &gt; 16, 0,$E1362*$J$5)</f>
        <v>20096377.977873493</v>
      </c>
      <c r="G1362">
        <f t="shared" si="21"/>
        <v>8.9</v>
      </c>
    </row>
    <row r="1363" spans="2:7" x14ac:dyDescent="0.35">
      <c r="B1363" s="1">
        <v>45714</v>
      </c>
      <c r="C1363" s="2">
        <v>0.70833333333333337</v>
      </c>
      <c r="D1363">
        <v>6.9</v>
      </c>
      <c r="E1363">
        <f>IF($D1363 &gt; 16, 0, $J$3*(16 - $D1363))</f>
        <v>1890.5126485763426</v>
      </c>
      <c r="F1363">
        <f>IF($D1363 &gt; 16, 0,$E1363*$J$5)</f>
        <v>20547981.977376267</v>
      </c>
      <c r="G1363">
        <f t="shared" si="21"/>
        <v>9.1</v>
      </c>
    </row>
    <row r="1364" spans="2:7" x14ac:dyDescent="0.35">
      <c r="B1364" s="1">
        <v>45714</v>
      </c>
      <c r="C1364" s="2">
        <v>0.75</v>
      </c>
      <c r="D1364">
        <v>5.2</v>
      </c>
      <c r="E1364">
        <f>IF($D1364 &gt; 16, 0, $J$3*(16 - $D1364))</f>
        <v>2243.6853411675274</v>
      </c>
      <c r="F1364">
        <f>IF($D1364 &gt; 16, 0,$E1364*$J$5)</f>
        <v>24386615.973149855</v>
      </c>
      <c r="G1364">
        <f t="shared" si="21"/>
        <v>10.8</v>
      </c>
    </row>
    <row r="1365" spans="2:7" x14ac:dyDescent="0.35">
      <c r="B1365" s="1">
        <v>45714</v>
      </c>
      <c r="C1365" s="2">
        <v>0.79166666666666663</v>
      </c>
      <c r="D1365">
        <v>3.1</v>
      </c>
      <c r="E1365">
        <f>IF($D1365 &gt; 16, 0, $J$3*(16 - $D1365))</f>
        <v>2679.9574908389914</v>
      </c>
      <c r="F1365">
        <f>IF($D1365 &gt; 16, 0,$E1365*$J$5)</f>
        <v>29128457.967928998</v>
      </c>
      <c r="G1365">
        <f t="shared" si="21"/>
        <v>12.9</v>
      </c>
    </row>
    <row r="1366" spans="2:7" x14ac:dyDescent="0.35">
      <c r="B1366" s="1">
        <v>45714</v>
      </c>
      <c r="C1366" s="2">
        <v>0.83333333333333337</v>
      </c>
      <c r="D1366">
        <v>1.9</v>
      </c>
      <c r="E1366">
        <f>IF($D1366 &gt; 16, 0, $J$3*(16 - $D1366))</f>
        <v>2929.2558620798277</v>
      </c>
      <c r="F1366">
        <f>IF($D1366 &gt; 16, 0,$E1366*$J$5)</f>
        <v>31838081.964945648</v>
      </c>
      <c r="G1366">
        <f t="shared" si="21"/>
        <v>14.1</v>
      </c>
    </row>
    <row r="1367" spans="2:7" x14ac:dyDescent="0.35">
      <c r="B1367" s="1">
        <v>45714</v>
      </c>
      <c r="C1367" s="2">
        <v>0.875</v>
      </c>
      <c r="D1367">
        <v>1.2</v>
      </c>
      <c r="E1367">
        <f>IF($D1367 &gt; 16, 0, $J$3*(16 - $D1367))</f>
        <v>3074.6799119703155</v>
      </c>
      <c r="F1367">
        <f>IF($D1367 &gt; 16, 0,$E1367*$J$5)</f>
        <v>33418695.96320536</v>
      </c>
      <c r="G1367">
        <f t="shared" si="21"/>
        <v>14.8</v>
      </c>
    </row>
    <row r="1368" spans="2:7" x14ac:dyDescent="0.35">
      <c r="B1368" s="1">
        <v>45714</v>
      </c>
      <c r="C1368" s="2">
        <v>0.91666666666666663</v>
      </c>
      <c r="D1368">
        <v>0.1</v>
      </c>
      <c r="E1368">
        <f>IF($D1368 &gt; 16, 0, $J$3*(16 - $D1368))</f>
        <v>3303.2034189410824</v>
      </c>
      <c r="F1368">
        <f>IF($D1368 &gt; 16, 0,$E1368*$J$5)</f>
        <v>35902517.960470624</v>
      </c>
      <c r="G1368">
        <f t="shared" si="21"/>
        <v>15.9</v>
      </c>
    </row>
    <row r="1369" spans="2:7" x14ac:dyDescent="0.35">
      <c r="B1369" s="1">
        <v>45714</v>
      </c>
      <c r="C1369" s="2">
        <v>0.95833333333333337</v>
      </c>
      <c r="D1369">
        <v>1.2</v>
      </c>
      <c r="E1369">
        <f>IF($D1369 &gt; 16, 0, $J$3*(16 - $D1369))</f>
        <v>3074.6799119703155</v>
      </c>
      <c r="F1369">
        <f>IF($D1369 &gt; 16, 0,$E1369*$J$5)</f>
        <v>33418695.96320536</v>
      </c>
      <c r="G1369">
        <f t="shared" si="21"/>
        <v>14.8</v>
      </c>
    </row>
    <row r="1370" spans="2:7" x14ac:dyDescent="0.35">
      <c r="B1370" s="1">
        <v>45715</v>
      </c>
      <c r="C1370" s="2">
        <v>0</v>
      </c>
      <c r="D1370">
        <v>2</v>
      </c>
      <c r="E1370">
        <f>IF($D1370 &gt; 16, 0, $J$3*(16 - $D1370))</f>
        <v>2908.4809978097578</v>
      </c>
      <c r="F1370">
        <f>IF($D1370 &gt; 16, 0,$E1370*$J$5)</f>
        <v>31612279.965194259</v>
      </c>
      <c r="G1370">
        <f t="shared" si="21"/>
        <v>14</v>
      </c>
    </row>
    <row r="1371" spans="2:7" x14ac:dyDescent="0.35">
      <c r="B1371" s="1">
        <v>45715</v>
      </c>
      <c r="C1371" s="2">
        <v>4.1666666666666657E-2</v>
      </c>
      <c r="D1371">
        <v>2.8</v>
      </c>
      <c r="E1371">
        <f>IF($D1371 &gt; 16, 0, $J$3*(16 - $D1371))</f>
        <v>2742.2820836492001</v>
      </c>
      <c r="F1371">
        <f>IF($D1371 &gt; 16, 0,$E1371*$J$5)</f>
        <v>29805863.967183154</v>
      </c>
      <c r="G1371">
        <f t="shared" si="21"/>
        <v>13.2</v>
      </c>
    </row>
    <row r="1372" spans="2:7" x14ac:dyDescent="0.35">
      <c r="B1372" s="1">
        <v>45715</v>
      </c>
      <c r="C1372" s="2">
        <v>8.3333333333333329E-2</v>
      </c>
      <c r="D1372">
        <v>3.5</v>
      </c>
      <c r="E1372">
        <f>IF($D1372 &gt; 16, 0, $J$3*(16 - $D1372))</f>
        <v>2596.8580337587123</v>
      </c>
      <c r="F1372">
        <f>IF($D1372 &gt; 16, 0,$E1372*$J$5)</f>
        <v>28225249.968923442</v>
      </c>
      <c r="G1372">
        <f t="shared" si="21"/>
        <v>12.5</v>
      </c>
    </row>
    <row r="1373" spans="2:7" x14ac:dyDescent="0.35">
      <c r="B1373" s="1">
        <v>45715</v>
      </c>
      <c r="C1373" s="2">
        <v>0.125</v>
      </c>
      <c r="D1373">
        <v>3</v>
      </c>
      <c r="E1373">
        <f>IF($D1373 &gt; 16, 0, $J$3*(16 - $D1373))</f>
        <v>2700.7323551090608</v>
      </c>
      <c r="F1373">
        <f>IF($D1373 &gt; 16, 0,$E1373*$J$5)</f>
        <v>29354259.967680383</v>
      </c>
      <c r="G1373">
        <f t="shared" si="21"/>
        <v>13</v>
      </c>
    </row>
    <row r="1374" spans="2:7" x14ac:dyDescent="0.35">
      <c r="B1374" s="1">
        <v>45715</v>
      </c>
      <c r="C1374" s="2">
        <v>0.16666666666666671</v>
      </c>
      <c r="D1374">
        <v>2.8</v>
      </c>
      <c r="E1374">
        <f>IF($D1374 &gt; 16, 0, $J$3*(16 - $D1374))</f>
        <v>2742.2820836492001</v>
      </c>
      <c r="F1374">
        <f>IF($D1374 &gt; 16, 0,$E1374*$J$5)</f>
        <v>29805863.967183154</v>
      </c>
      <c r="G1374">
        <f t="shared" si="21"/>
        <v>13.2</v>
      </c>
    </row>
    <row r="1375" spans="2:7" x14ac:dyDescent="0.35">
      <c r="B1375" s="1">
        <v>45715</v>
      </c>
      <c r="C1375" s="2">
        <v>0.20833333333333329</v>
      </c>
      <c r="D1375">
        <v>3.1</v>
      </c>
      <c r="E1375">
        <f>IF($D1375 &gt; 16, 0, $J$3*(16 - $D1375))</f>
        <v>2679.9574908389914</v>
      </c>
      <c r="F1375">
        <f>IF($D1375 &gt; 16, 0,$E1375*$J$5)</f>
        <v>29128457.967928998</v>
      </c>
      <c r="G1375">
        <f t="shared" si="21"/>
        <v>12.9</v>
      </c>
    </row>
    <row r="1376" spans="2:7" x14ac:dyDescent="0.35">
      <c r="B1376" s="1">
        <v>45715</v>
      </c>
      <c r="C1376" s="2">
        <v>0.25</v>
      </c>
      <c r="D1376">
        <v>4</v>
      </c>
      <c r="E1376">
        <f>IF($D1376 &gt; 16, 0, $J$3*(16 - $D1376))</f>
        <v>2492.9837124083638</v>
      </c>
      <c r="F1376">
        <f>IF($D1376 &gt; 16, 0,$E1376*$J$5)</f>
        <v>27096239.970166504</v>
      </c>
      <c r="G1376">
        <f t="shared" si="21"/>
        <v>12</v>
      </c>
    </row>
    <row r="1377" spans="2:7" x14ac:dyDescent="0.35">
      <c r="B1377" s="1">
        <v>45715</v>
      </c>
      <c r="C1377" s="2">
        <v>0.29166666666666669</v>
      </c>
      <c r="D1377">
        <v>3.9</v>
      </c>
      <c r="E1377">
        <f>IF($D1377 &gt; 16, 0, $J$3*(16 - $D1377))</f>
        <v>2513.7585766784337</v>
      </c>
      <c r="F1377">
        <f>IF($D1377 &gt; 16, 0,$E1377*$J$5)</f>
        <v>27322041.969917897</v>
      </c>
      <c r="G1377">
        <f t="shared" si="21"/>
        <v>12.1</v>
      </c>
    </row>
    <row r="1378" spans="2:7" x14ac:dyDescent="0.35">
      <c r="B1378" s="1">
        <v>45715</v>
      </c>
      <c r="C1378" s="2">
        <v>0.33333333333333331</v>
      </c>
      <c r="D1378">
        <v>4.0999999999999996</v>
      </c>
      <c r="E1378">
        <f>IF($D1378 &gt; 16, 0, $J$3*(16 - $D1378))</f>
        <v>2472.2088481382943</v>
      </c>
      <c r="F1378">
        <f>IF($D1378 &gt; 16, 0,$E1378*$J$5)</f>
        <v>26870437.970415123</v>
      </c>
      <c r="G1378">
        <f t="shared" si="21"/>
        <v>11.9</v>
      </c>
    </row>
    <row r="1379" spans="2:7" x14ac:dyDescent="0.35">
      <c r="B1379" s="1">
        <v>45715</v>
      </c>
      <c r="C1379" s="2">
        <v>0.375</v>
      </c>
      <c r="D1379">
        <v>4.3</v>
      </c>
      <c r="E1379">
        <f>IF($D1379 &gt; 16, 0, $J$3*(16 - $D1379))</f>
        <v>2430.6591195981546</v>
      </c>
      <c r="F1379">
        <f>IF($D1379 &gt; 16, 0,$E1379*$J$5)</f>
        <v>26418833.970912341</v>
      </c>
      <c r="G1379">
        <f t="shared" si="21"/>
        <v>11.7</v>
      </c>
    </row>
    <row r="1380" spans="2:7" x14ac:dyDescent="0.35">
      <c r="B1380" s="1">
        <v>45715</v>
      </c>
      <c r="C1380" s="2">
        <v>0.41666666666666669</v>
      </c>
      <c r="D1380">
        <v>4.5</v>
      </c>
      <c r="E1380">
        <f>IF($D1380 &gt; 16, 0, $J$3*(16 - $D1380))</f>
        <v>2389.1093910580153</v>
      </c>
      <c r="F1380">
        <f>IF($D1380 &gt; 16, 0,$E1380*$J$5)</f>
        <v>25967229.971409567</v>
      </c>
      <c r="G1380">
        <f t="shared" si="21"/>
        <v>11.5</v>
      </c>
    </row>
    <row r="1381" spans="2:7" x14ac:dyDescent="0.35">
      <c r="B1381" s="1">
        <v>45715</v>
      </c>
      <c r="C1381" s="2">
        <v>0.45833333333333331</v>
      </c>
      <c r="D1381">
        <v>5.3</v>
      </c>
      <c r="E1381">
        <f>IF($D1381 &gt; 16, 0, $J$3*(16 - $D1381))</f>
        <v>2222.9104768974576</v>
      </c>
      <c r="F1381">
        <f>IF($D1381 &gt; 16, 0,$E1381*$J$5)</f>
        <v>24160813.973398466</v>
      </c>
      <c r="G1381">
        <f t="shared" si="21"/>
        <v>10.7</v>
      </c>
    </row>
    <row r="1382" spans="2:7" x14ac:dyDescent="0.35">
      <c r="B1382" s="1">
        <v>45715</v>
      </c>
      <c r="C1382" s="2">
        <v>0.5</v>
      </c>
      <c r="D1382">
        <v>6.3</v>
      </c>
      <c r="E1382">
        <f>IF($D1382 &gt; 16, 0, $J$3*(16 - $D1382))</f>
        <v>2015.1618341967608</v>
      </c>
      <c r="F1382">
        <f>IF($D1382 &gt; 16, 0,$E1382*$J$5)</f>
        <v>21902793.975884594</v>
      </c>
      <c r="G1382">
        <f t="shared" si="21"/>
        <v>9.6999999999999993</v>
      </c>
    </row>
    <row r="1383" spans="2:7" x14ac:dyDescent="0.35">
      <c r="B1383" s="1">
        <v>45715</v>
      </c>
      <c r="C1383" s="2">
        <v>0.54166666666666663</v>
      </c>
      <c r="D1383">
        <v>7.2</v>
      </c>
      <c r="E1383">
        <f>IF($D1383 &gt; 16, 0, $J$3*(16 - $D1383))</f>
        <v>1828.1880557661336</v>
      </c>
      <c r="F1383">
        <f>IF($D1383 &gt; 16, 0,$E1383*$J$5)</f>
        <v>19870575.978122108</v>
      </c>
      <c r="G1383">
        <f t="shared" si="21"/>
        <v>8.8000000000000007</v>
      </c>
    </row>
    <row r="1384" spans="2:7" x14ac:dyDescent="0.35">
      <c r="B1384" s="1">
        <v>45715</v>
      </c>
      <c r="C1384" s="2">
        <v>0.58333333333333337</v>
      </c>
      <c r="D1384">
        <v>7.4</v>
      </c>
      <c r="E1384">
        <f>IF($D1384 &gt; 16, 0, $J$3*(16 - $D1384))</f>
        <v>1786.6383272259941</v>
      </c>
      <c r="F1384">
        <f>IF($D1384 &gt; 16, 0,$E1384*$J$5)</f>
        <v>19418971.97861933</v>
      </c>
      <c r="G1384">
        <f t="shared" si="21"/>
        <v>8.6</v>
      </c>
    </row>
    <row r="1385" spans="2:7" x14ac:dyDescent="0.35">
      <c r="B1385" s="1">
        <v>45715</v>
      </c>
      <c r="C1385" s="2">
        <v>0.625</v>
      </c>
      <c r="D1385">
        <v>6.6</v>
      </c>
      <c r="E1385">
        <f>IF($D1385 &gt; 16, 0, $J$3*(16 - $D1385))</f>
        <v>1952.8372413865518</v>
      </c>
      <c r="F1385">
        <f>IF($D1385 &gt; 16, 0,$E1385*$J$5)</f>
        <v>21225387.976630431</v>
      </c>
      <c r="G1385">
        <f t="shared" si="21"/>
        <v>9.4</v>
      </c>
    </row>
    <row r="1386" spans="2:7" x14ac:dyDescent="0.35">
      <c r="B1386" s="1">
        <v>45715</v>
      </c>
      <c r="C1386" s="2">
        <v>0.66666666666666663</v>
      </c>
      <c r="D1386">
        <v>6.4</v>
      </c>
      <c r="E1386">
        <f>IF($D1386 &gt; 16, 0, $J$3*(16 - $D1386))</f>
        <v>1994.3869699266911</v>
      </c>
      <c r="F1386">
        <f>IF($D1386 &gt; 16, 0,$E1386*$J$5)</f>
        <v>21676991.976133205</v>
      </c>
      <c r="G1386">
        <f t="shared" si="21"/>
        <v>9.6</v>
      </c>
    </row>
    <row r="1387" spans="2:7" x14ac:dyDescent="0.35">
      <c r="B1387" s="1">
        <v>45715</v>
      </c>
      <c r="C1387" s="2">
        <v>0.70833333333333337</v>
      </c>
      <c r="D1387">
        <v>5</v>
      </c>
      <c r="E1387">
        <f>IF($D1387 &gt; 16, 0, $J$3*(16 - $D1387))</f>
        <v>2285.2350697076668</v>
      </c>
      <c r="F1387">
        <f>IF($D1387 &gt; 16, 0,$E1387*$J$5)</f>
        <v>24838219.972652629</v>
      </c>
      <c r="G1387">
        <f t="shared" si="21"/>
        <v>11</v>
      </c>
    </row>
    <row r="1388" spans="2:7" x14ac:dyDescent="0.35">
      <c r="B1388" s="1">
        <v>45715</v>
      </c>
      <c r="C1388" s="2">
        <v>0.75</v>
      </c>
      <c r="D1388">
        <v>3.5</v>
      </c>
      <c r="E1388">
        <f>IF($D1388 &gt; 16, 0, $J$3*(16 - $D1388))</f>
        <v>2596.8580337587123</v>
      </c>
      <c r="F1388">
        <f>IF($D1388 &gt; 16, 0,$E1388*$J$5)</f>
        <v>28225249.968923442</v>
      </c>
      <c r="G1388">
        <f t="shared" si="21"/>
        <v>12.5</v>
      </c>
    </row>
    <row r="1389" spans="2:7" x14ac:dyDescent="0.35">
      <c r="B1389" s="1">
        <v>45715</v>
      </c>
      <c r="C1389" s="2">
        <v>0.79166666666666663</v>
      </c>
      <c r="D1389">
        <v>3.6</v>
      </c>
      <c r="E1389">
        <f>IF($D1389 &gt; 16, 0, $J$3*(16 - $D1389))</f>
        <v>2576.0831694886429</v>
      </c>
      <c r="F1389">
        <f>IF($D1389 &gt; 16, 0,$E1389*$J$5)</f>
        <v>27999447.96917206</v>
      </c>
      <c r="G1389">
        <f t="shared" si="21"/>
        <v>12.4</v>
      </c>
    </row>
    <row r="1390" spans="2:7" x14ac:dyDescent="0.35">
      <c r="B1390" s="1">
        <v>45715</v>
      </c>
      <c r="C1390" s="2">
        <v>0.83333333333333337</v>
      </c>
      <c r="D1390">
        <v>4.2</v>
      </c>
      <c r="E1390">
        <f>IF($D1390 &gt; 16, 0, $J$3*(16 - $D1390))</f>
        <v>2451.4339838682245</v>
      </c>
      <c r="F1390">
        <f>IF($D1390 &gt; 16, 0,$E1390*$J$5)</f>
        <v>26644635.97066373</v>
      </c>
      <c r="G1390">
        <f t="shared" si="21"/>
        <v>11.8</v>
      </c>
    </row>
    <row r="1391" spans="2:7" x14ac:dyDescent="0.35">
      <c r="B1391" s="1">
        <v>45715</v>
      </c>
      <c r="C1391" s="2">
        <v>0.875</v>
      </c>
      <c r="D1391">
        <v>4.2</v>
      </c>
      <c r="E1391">
        <f>IF($D1391 &gt; 16, 0, $J$3*(16 - $D1391))</f>
        <v>2451.4339838682245</v>
      </c>
      <c r="F1391">
        <f>IF($D1391 &gt; 16, 0,$E1391*$J$5)</f>
        <v>26644635.97066373</v>
      </c>
      <c r="G1391">
        <f t="shared" si="21"/>
        <v>11.8</v>
      </c>
    </row>
    <row r="1392" spans="2:7" x14ac:dyDescent="0.35">
      <c r="B1392" s="1">
        <v>45715</v>
      </c>
      <c r="C1392" s="2">
        <v>0.91666666666666663</v>
      </c>
      <c r="D1392">
        <v>3.9</v>
      </c>
      <c r="E1392">
        <f>IF($D1392 &gt; 16, 0, $J$3*(16 - $D1392))</f>
        <v>2513.7585766784337</v>
      </c>
      <c r="F1392">
        <f>IF($D1392 &gt; 16, 0,$E1392*$J$5)</f>
        <v>27322041.969917897</v>
      </c>
      <c r="G1392">
        <f t="shared" si="21"/>
        <v>12.1</v>
      </c>
    </row>
    <row r="1393" spans="2:7" x14ac:dyDescent="0.35">
      <c r="B1393" s="1">
        <v>45715</v>
      </c>
      <c r="C1393" s="2">
        <v>0.95833333333333337</v>
      </c>
      <c r="D1393">
        <v>3.4</v>
      </c>
      <c r="E1393">
        <f>IF($D1393 &gt; 16, 0, $J$3*(16 - $D1393))</f>
        <v>2617.6328980287822</v>
      </c>
      <c r="F1393">
        <f>IF($D1393 &gt; 16, 0,$E1393*$J$5)</f>
        <v>28451051.968674835</v>
      </c>
      <c r="G1393">
        <f t="shared" si="21"/>
        <v>12.6</v>
      </c>
    </row>
    <row r="1394" spans="2:7" x14ac:dyDescent="0.35">
      <c r="B1394" s="1">
        <v>45716</v>
      </c>
      <c r="C1394" s="2">
        <v>0</v>
      </c>
      <c r="D1394">
        <v>4.2</v>
      </c>
      <c r="E1394">
        <f>IF($D1394 &gt; 16, 0, $J$3*(16 - $D1394))</f>
        <v>2451.4339838682245</v>
      </c>
      <c r="F1394">
        <f>IF($D1394 &gt; 16, 0,$E1394*$J$5)</f>
        <v>26644635.97066373</v>
      </c>
      <c r="G1394">
        <f t="shared" si="21"/>
        <v>11.8</v>
      </c>
    </row>
    <row r="1395" spans="2:7" x14ac:dyDescent="0.35">
      <c r="B1395" s="1">
        <v>45716</v>
      </c>
      <c r="C1395" s="2">
        <v>4.1666666666666657E-2</v>
      </c>
      <c r="D1395">
        <v>3.9</v>
      </c>
      <c r="E1395">
        <f>IF($D1395 &gt; 16, 0, $J$3*(16 - $D1395))</f>
        <v>2513.7585766784337</v>
      </c>
      <c r="F1395">
        <f>IF($D1395 &gt; 16, 0,$E1395*$J$5)</f>
        <v>27322041.969917897</v>
      </c>
      <c r="G1395">
        <f t="shared" si="21"/>
        <v>12.1</v>
      </c>
    </row>
    <row r="1396" spans="2:7" x14ac:dyDescent="0.35">
      <c r="B1396" s="1">
        <v>45716</v>
      </c>
      <c r="C1396" s="2">
        <v>8.3333333333333329E-2</v>
      </c>
      <c r="D1396">
        <v>4</v>
      </c>
      <c r="E1396">
        <f>IF($D1396 &gt; 16, 0, $J$3*(16 - $D1396))</f>
        <v>2492.9837124083638</v>
      </c>
      <c r="F1396">
        <f>IF($D1396 &gt; 16, 0,$E1396*$J$5)</f>
        <v>27096239.970166504</v>
      </c>
      <c r="G1396">
        <f t="shared" si="21"/>
        <v>12</v>
      </c>
    </row>
    <row r="1397" spans="2:7" x14ac:dyDescent="0.35">
      <c r="B1397" s="1">
        <v>45716</v>
      </c>
      <c r="C1397" s="2">
        <v>0.125</v>
      </c>
      <c r="D1397">
        <v>3.7</v>
      </c>
      <c r="E1397">
        <f>IF($D1397 &gt; 16, 0, $J$3*(16 - $D1397))</f>
        <v>2555.308305218573</v>
      </c>
      <c r="F1397">
        <f>IF($D1397 &gt; 16, 0,$E1397*$J$5)</f>
        <v>27773645.969420668</v>
      </c>
      <c r="G1397">
        <f t="shared" si="21"/>
        <v>12.3</v>
      </c>
    </row>
    <row r="1398" spans="2:7" x14ac:dyDescent="0.35">
      <c r="B1398" s="1">
        <v>45716</v>
      </c>
      <c r="C1398" s="2">
        <v>0.16666666666666671</v>
      </c>
      <c r="D1398">
        <v>3.5</v>
      </c>
      <c r="E1398">
        <f>IF($D1398 &gt; 16, 0, $J$3*(16 - $D1398))</f>
        <v>2596.8580337587123</v>
      </c>
      <c r="F1398">
        <f>IF($D1398 &gt; 16, 0,$E1398*$J$5)</f>
        <v>28225249.968923442</v>
      </c>
      <c r="G1398">
        <f t="shared" si="21"/>
        <v>12.5</v>
      </c>
    </row>
    <row r="1399" spans="2:7" x14ac:dyDescent="0.35">
      <c r="B1399" s="1">
        <v>45716</v>
      </c>
      <c r="C1399" s="2">
        <v>0.20833333333333329</v>
      </c>
      <c r="D1399">
        <v>3.4</v>
      </c>
      <c r="E1399">
        <f>IF($D1399 &gt; 16, 0, $J$3*(16 - $D1399))</f>
        <v>2617.6328980287822</v>
      </c>
      <c r="F1399">
        <f>IF($D1399 &gt; 16, 0,$E1399*$J$5)</f>
        <v>28451051.968674835</v>
      </c>
      <c r="G1399">
        <f t="shared" si="21"/>
        <v>12.6</v>
      </c>
    </row>
    <row r="1400" spans="2:7" x14ac:dyDescent="0.35">
      <c r="B1400" s="1">
        <v>45716</v>
      </c>
      <c r="C1400" s="2">
        <v>0.25</v>
      </c>
      <c r="D1400">
        <v>3.5</v>
      </c>
      <c r="E1400">
        <f>IF($D1400 &gt; 16, 0, $J$3*(16 - $D1400))</f>
        <v>2596.8580337587123</v>
      </c>
      <c r="F1400">
        <f>IF($D1400 &gt; 16, 0,$E1400*$J$5)</f>
        <v>28225249.968923442</v>
      </c>
      <c r="G1400">
        <f t="shared" si="21"/>
        <v>12.5</v>
      </c>
    </row>
    <row r="1401" spans="2:7" x14ac:dyDescent="0.35">
      <c r="B1401" s="1">
        <v>45716</v>
      </c>
      <c r="C1401" s="2">
        <v>0.29166666666666669</v>
      </c>
      <c r="D1401">
        <v>3.7</v>
      </c>
      <c r="E1401">
        <f>IF($D1401 &gt; 16, 0, $J$3*(16 - $D1401))</f>
        <v>2555.308305218573</v>
      </c>
      <c r="F1401">
        <f>IF($D1401 &gt; 16, 0,$E1401*$J$5)</f>
        <v>27773645.969420668</v>
      </c>
      <c r="G1401">
        <f t="shared" si="21"/>
        <v>12.3</v>
      </c>
    </row>
    <row r="1402" spans="2:7" x14ac:dyDescent="0.35">
      <c r="B1402" s="1">
        <v>45716</v>
      </c>
      <c r="C1402" s="2">
        <v>0.33333333333333331</v>
      </c>
      <c r="D1402">
        <v>3.4</v>
      </c>
      <c r="E1402">
        <f>IF($D1402 &gt; 16, 0, $J$3*(16 - $D1402))</f>
        <v>2617.6328980287822</v>
      </c>
      <c r="F1402">
        <f>IF($D1402 &gt; 16, 0,$E1402*$J$5)</f>
        <v>28451051.968674835</v>
      </c>
      <c r="G1402">
        <f t="shared" si="21"/>
        <v>12.6</v>
      </c>
    </row>
    <row r="1403" spans="2:7" x14ac:dyDescent="0.35">
      <c r="B1403" s="1">
        <v>45716</v>
      </c>
      <c r="C1403" s="2">
        <v>0.375</v>
      </c>
      <c r="D1403">
        <v>3.5</v>
      </c>
      <c r="E1403">
        <f>IF($D1403 &gt; 16, 0, $J$3*(16 - $D1403))</f>
        <v>2596.8580337587123</v>
      </c>
      <c r="F1403">
        <f>IF($D1403 &gt; 16, 0,$E1403*$J$5)</f>
        <v>28225249.968923442</v>
      </c>
      <c r="G1403">
        <f t="shared" si="21"/>
        <v>12.5</v>
      </c>
    </row>
    <row r="1404" spans="2:7" x14ac:dyDescent="0.35">
      <c r="B1404" s="1">
        <v>45716</v>
      </c>
      <c r="C1404" s="2">
        <v>0.41666666666666669</v>
      </c>
      <c r="D1404">
        <v>3.9</v>
      </c>
      <c r="E1404">
        <f>IF($D1404 &gt; 16, 0, $J$3*(16 - $D1404))</f>
        <v>2513.7585766784337</v>
      </c>
      <c r="F1404">
        <f>IF($D1404 &gt; 16, 0,$E1404*$J$5)</f>
        <v>27322041.969917897</v>
      </c>
      <c r="G1404">
        <f t="shared" si="21"/>
        <v>12.1</v>
      </c>
    </row>
    <row r="1405" spans="2:7" x14ac:dyDescent="0.35">
      <c r="B1405" s="1">
        <v>45716</v>
      </c>
      <c r="C1405" s="2">
        <v>0.45833333333333331</v>
      </c>
      <c r="D1405">
        <v>4</v>
      </c>
      <c r="E1405">
        <f>IF($D1405 &gt; 16, 0, $J$3*(16 - $D1405))</f>
        <v>2492.9837124083638</v>
      </c>
      <c r="F1405">
        <f>IF($D1405 &gt; 16, 0,$E1405*$J$5)</f>
        <v>27096239.970166504</v>
      </c>
      <c r="G1405">
        <f t="shared" si="21"/>
        <v>12</v>
      </c>
    </row>
    <row r="1406" spans="2:7" x14ac:dyDescent="0.35">
      <c r="B1406" s="1">
        <v>45716</v>
      </c>
      <c r="C1406" s="2">
        <v>0.5</v>
      </c>
      <c r="D1406">
        <v>4.0999999999999996</v>
      </c>
      <c r="E1406">
        <f>IF($D1406 &gt; 16, 0, $J$3*(16 - $D1406))</f>
        <v>2472.2088481382943</v>
      </c>
      <c r="F1406">
        <f>IF($D1406 &gt; 16, 0,$E1406*$J$5)</f>
        <v>26870437.970415123</v>
      </c>
      <c r="G1406">
        <f t="shared" si="21"/>
        <v>11.9</v>
      </c>
    </row>
    <row r="1407" spans="2:7" x14ac:dyDescent="0.35">
      <c r="B1407" s="1">
        <v>45716</v>
      </c>
      <c r="C1407" s="2">
        <v>0.54166666666666663</v>
      </c>
      <c r="D1407">
        <v>3.9</v>
      </c>
      <c r="E1407">
        <f>IF($D1407 &gt; 16, 0, $J$3*(16 - $D1407))</f>
        <v>2513.7585766784337</v>
      </c>
      <c r="F1407">
        <f>IF($D1407 &gt; 16, 0,$E1407*$J$5)</f>
        <v>27322041.969917897</v>
      </c>
      <c r="G1407">
        <f t="shared" si="21"/>
        <v>12.1</v>
      </c>
    </row>
    <row r="1408" spans="2:7" x14ac:dyDescent="0.35">
      <c r="B1408" s="1">
        <v>45716</v>
      </c>
      <c r="C1408" s="2">
        <v>0.58333333333333337</v>
      </c>
      <c r="D1408">
        <v>4.0999999999999996</v>
      </c>
      <c r="E1408">
        <f>IF($D1408 &gt; 16, 0, $J$3*(16 - $D1408))</f>
        <v>2472.2088481382943</v>
      </c>
      <c r="F1408">
        <f>IF($D1408 &gt; 16, 0,$E1408*$J$5)</f>
        <v>26870437.970415123</v>
      </c>
      <c r="G1408">
        <f t="shared" si="21"/>
        <v>11.9</v>
      </c>
    </row>
    <row r="1409" spans="2:7" x14ac:dyDescent="0.35">
      <c r="B1409" s="1">
        <v>45716</v>
      </c>
      <c r="C1409" s="2">
        <v>0.625</v>
      </c>
      <c r="D1409">
        <v>4</v>
      </c>
      <c r="E1409">
        <f>IF($D1409 &gt; 16, 0, $J$3*(16 - $D1409))</f>
        <v>2492.9837124083638</v>
      </c>
      <c r="F1409">
        <f>IF($D1409 &gt; 16, 0,$E1409*$J$5)</f>
        <v>27096239.970166504</v>
      </c>
      <c r="G1409">
        <f t="shared" si="21"/>
        <v>12</v>
      </c>
    </row>
    <row r="1410" spans="2:7" x14ac:dyDescent="0.35">
      <c r="B1410" s="1">
        <v>45716</v>
      </c>
      <c r="C1410" s="2">
        <v>0.66666666666666663</v>
      </c>
      <c r="D1410">
        <v>3.7</v>
      </c>
      <c r="E1410">
        <f>IF($D1410 &gt; 16, 0, $J$3*(16 - $D1410))</f>
        <v>2555.308305218573</v>
      </c>
      <c r="F1410">
        <f>IF($D1410 &gt; 16, 0,$E1410*$J$5)</f>
        <v>27773645.969420668</v>
      </c>
      <c r="G1410">
        <f t="shared" si="21"/>
        <v>12.3</v>
      </c>
    </row>
    <row r="1411" spans="2:7" x14ac:dyDescent="0.35">
      <c r="B1411" s="1">
        <v>45716</v>
      </c>
      <c r="C1411" s="2">
        <v>0.70833333333333337</v>
      </c>
      <c r="D1411">
        <v>3.7</v>
      </c>
      <c r="E1411">
        <f>IF($D1411 &gt; 16, 0, $J$3*(16 - $D1411))</f>
        <v>2555.308305218573</v>
      </c>
      <c r="F1411">
        <f>IF($D1411 &gt; 16, 0,$E1411*$J$5)</f>
        <v>27773645.969420668</v>
      </c>
      <c r="G1411">
        <f t="shared" ref="G1411:G1474" si="22">MAX(0, 16 - $D1411)</f>
        <v>12.3</v>
      </c>
    </row>
    <row r="1412" spans="2:7" x14ac:dyDescent="0.35">
      <c r="B1412" s="1">
        <v>45716</v>
      </c>
      <c r="C1412" s="2">
        <v>0.75</v>
      </c>
      <c r="D1412">
        <v>3.8</v>
      </c>
      <c r="E1412">
        <f>IF($D1412 &gt; 16, 0, $J$3*(16 - $D1412))</f>
        <v>2534.5334409485031</v>
      </c>
      <c r="F1412">
        <f>IF($D1412 &gt; 16, 0,$E1412*$J$5)</f>
        <v>27547843.969669279</v>
      </c>
      <c r="G1412">
        <f t="shared" si="22"/>
        <v>12.2</v>
      </c>
    </row>
    <row r="1413" spans="2:7" x14ac:dyDescent="0.35">
      <c r="B1413" s="1">
        <v>45716</v>
      </c>
      <c r="C1413" s="2">
        <v>0.79166666666666663</v>
      </c>
      <c r="D1413">
        <v>3.7</v>
      </c>
      <c r="E1413">
        <f>IF($D1413 &gt; 16, 0, $J$3*(16 - $D1413))</f>
        <v>2555.308305218573</v>
      </c>
      <c r="F1413">
        <f>IF($D1413 &gt; 16, 0,$E1413*$J$5)</f>
        <v>27773645.969420668</v>
      </c>
      <c r="G1413">
        <f t="shared" si="22"/>
        <v>12.3</v>
      </c>
    </row>
    <row r="1414" spans="2:7" x14ac:dyDescent="0.35">
      <c r="B1414" s="1">
        <v>45716</v>
      </c>
      <c r="C1414" s="2">
        <v>0.83333333333333337</v>
      </c>
      <c r="D1414">
        <v>3.8</v>
      </c>
      <c r="E1414">
        <f>IF($D1414 &gt; 16, 0, $J$3*(16 - $D1414))</f>
        <v>2534.5334409485031</v>
      </c>
      <c r="F1414">
        <f>IF($D1414 &gt; 16, 0,$E1414*$J$5)</f>
        <v>27547843.969669279</v>
      </c>
      <c r="G1414">
        <f t="shared" si="22"/>
        <v>12.2</v>
      </c>
    </row>
    <row r="1415" spans="2:7" x14ac:dyDescent="0.35">
      <c r="B1415" s="1">
        <v>45716</v>
      </c>
      <c r="C1415" s="2">
        <v>0.875</v>
      </c>
      <c r="D1415">
        <v>3.7</v>
      </c>
      <c r="E1415">
        <f>IF($D1415 &gt; 16, 0, $J$3*(16 - $D1415))</f>
        <v>2555.308305218573</v>
      </c>
      <c r="F1415">
        <f>IF($D1415 &gt; 16, 0,$E1415*$J$5)</f>
        <v>27773645.969420668</v>
      </c>
      <c r="G1415">
        <f t="shared" si="22"/>
        <v>12.3</v>
      </c>
    </row>
    <row r="1416" spans="2:7" x14ac:dyDescent="0.35">
      <c r="B1416" s="1">
        <v>45716</v>
      </c>
      <c r="C1416" s="2">
        <v>0.91666666666666663</v>
      </c>
      <c r="D1416">
        <v>3.8</v>
      </c>
      <c r="E1416">
        <f>IF($D1416 &gt; 16, 0, $J$3*(16 - $D1416))</f>
        <v>2534.5334409485031</v>
      </c>
      <c r="F1416">
        <f>IF($D1416 &gt; 16, 0,$E1416*$J$5)</f>
        <v>27547843.969669279</v>
      </c>
      <c r="G1416">
        <f t="shared" si="22"/>
        <v>12.2</v>
      </c>
    </row>
    <row r="1417" spans="2:7" x14ac:dyDescent="0.35">
      <c r="B1417" s="1">
        <v>45716</v>
      </c>
      <c r="C1417" s="2">
        <v>0.95833333333333337</v>
      </c>
      <c r="D1417">
        <v>3.5</v>
      </c>
      <c r="E1417">
        <f>IF($D1417 &gt; 16, 0, $J$3*(16 - $D1417))</f>
        <v>2596.8580337587123</v>
      </c>
      <c r="F1417">
        <f>IF($D1417 &gt; 16, 0,$E1417*$J$5)</f>
        <v>28225249.968923442</v>
      </c>
      <c r="G1417">
        <f t="shared" si="22"/>
        <v>12.5</v>
      </c>
    </row>
    <row r="1418" spans="2:7" x14ac:dyDescent="0.35">
      <c r="B1418" s="1">
        <v>45717</v>
      </c>
      <c r="C1418" s="2">
        <v>0</v>
      </c>
      <c r="D1418">
        <v>3.3</v>
      </c>
      <c r="E1418">
        <f>IF($D1418 &gt; 16, 0, $J$3*(16 - $D1418))</f>
        <v>2638.4077622988516</v>
      </c>
      <c r="F1418">
        <f>IF($D1418 &gt; 16, 0,$E1418*$J$5)</f>
        <v>28676853.968426216</v>
      </c>
      <c r="G1418">
        <f t="shared" si="22"/>
        <v>12.7</v>
      </c>
    </row>
    <row r="1419" spans="2:7" x14ac:dyDescent="0.35">
      <c r="B1419" s="1">
        <v>45717</v>
      </c>
      <c r="C1419" s="2">
        <v>4.1666666666666657E-2</v>
      </c>
      <c r="D1419">
        <v>3.1</v>
      </c>
      <c r="E1419">
        <f>IF($D1419 &gt; 16, 0, $J$3*(16 - $D1419))</f>
        <v>2679.9574908389914</v>
      </c>
      <c r="F1419">
        <f>IF($D1419 &gt; 16, 0,$E1419*$J$5)</f>
        <v>29128457.967928998</v>
      </c>
      <c r="G1419">
        <f t="shared" si="22"/>
        <v>12.9</v>
      </c>
    </row>
    <row r="1420" spans="2:7" x14ac:dyDescent="0.35">
      <c r="B1420" s="1">
        <v>45717</v>
      </c>
      <c r="C1420" s="2">
        <v>8.3333333333333329E-2</v>
      </c>
      <c r="D1420">
        <v>3.1</v>
      </c>
      <c r="E1420">
        <f>IF($D1420 &gt; 16, 0, $J$3*(16 - $D1420))</f>
        <v>2679.9574908389914</v>
      </c>
      <c r="F1420">
        <f>IF($D1420 &gt; 16, 0,$E1420*$J$5)</f>
        <v>29128457.967928998</v>
      </c>
      <c r="G1420">
        <f t="shared" si="22"/>
        <v>12.9</v>
      </c>
    </row>
    <row r="1421" spans="2:7" x14ac:dyDescent="0.35">
      <c r="B1421" s="1">
        <v>45717</v>
      </c>
      <c r="C1421" s="2">
        <v>0.125</v>
      </c>
      <c r="D1421">
        <v>3.3</v>
      </c>
      <c r="E1421">
        <f>IF($D1421 &gt; 16, 0, $J$3*(16 - $D1421))</f>
        <v>2638.4077622988516</v>
      </c>
      <c r="F1421">
        <f>IF($D1421 &gt; 16, 0,$E1421*$J$5)</f>
        <v>28676853.968426216</v>
      </c>
      <c r="G1421">
        <f t="shared" si="22"/>
        <v>12.7</v>
      </c>
    </row>
    <row r="1422" spans="2:7" x14ac:dyDescent="0.35">
      <c r="B1422" s="1">
        <v>45717</v>
      </c>
      <c r="C1422" s="2">
        <v>0.16666666666666671</v>
      </c>
      <c r="D1422">
        <v>3.4</v>
      </c>
      <c r="E1422">
        <f>IF($D1422 &gt; 16, 0, $J$3*(16 - $D1422))</f>
        <v>2617.6328980287822</v>
      </c>
      <c r="F1422">
        <f>IF($D1422 &gt; 16, 0,$E1422*$J$5)</f>
        <v>28451051.968674835</v>
      </c>
      <c r="G1422">
        <f t="shared" si="22"/>
        <v>12.6</v>
      </c>
    </row>
    <row r="1423" spans="2:7" x14ac:dyDescent="0.35">
      <c r="B1423" s="1">
        <v>45717</v>
      </c>
      <c r="C1423" s="2">
        <v>0.20833333333333329</v>
      </c>
      <c r="D1423">
        <v>3.4</v>
      </c>
      <c r="E1423">
        <f>IF($D1423 &gt; 16, 0, $J$3*(16 - $D1423))</f>
        <v>2617.6328980287822</v>
      </c>
      <c r="F1423">
        <f>IF($D1423 &gt; 16, 0,$E1423*$J$5)</f>
        <v>28451051.968674835</v>
      </c>
      <c r="G1423">
        <f t="shared" si="22"/>
        <v>12.6</v>
      </c>
    </row>
    <row r="1424" spans="2:7" x14ac:dyDescent="0.35">
      <c r="B1424" s="1">
        <v>45717</v>
      </c>
      <c r="C1424" s="2">
        <v>0.25</v>
      </c>
      <c r="D1424">
        <v>3.1</v>
      </c>
      <c r="E1424">
        <f>IF($D1424 &gt; 16, 0, $J$3*(16 - $D1424))</f>
        <v>2679.9574908389914</v>
      </c>
      <c r="F1424">
        <f>IF($D1424 &gt; 16, 0,$E1424*$J$5)</f>
        <v>29128457.967928998</v>
      </c>
      <c r="G1424">
        <f t="shared" si="22"/>
        <v>12.9</v>
      </c>
    </row>
    <row r="1425" spans="2:7" x14ac:dyDescent="0.35">
      <c r="B1425" s="1">
        <v>45717</v>
      </c>
      <c r="C1425" s="2">
        <v>0.29166666666666669</v>
      </c>
      <c r="D1425">
        <v>3.1</v>
      </c>
      <c r="E1425">
        <f>IF($D1425 &gt; 16, 0, $J$3*(16 - $D1425))</f>
        <v>2679.9574908389914</v>
      </c>
      <c r="F1425">
        <f>IF($D1425 &gt; 16, 0,$E1425*$J$5)</f>
        <v>29128457.967928998</v>
      </c>
      <c r="G1425">
        <f t="shared" si="22"/>
        <v>12.9</v>
      </c>
    </row>
    <row r="1426" spans="2:7" x14ac:dyDescent="0.35">
      <c r="B1426" s="1">
        <v>45717</v>
      </c>
      <c r="C1426" s="2">
        <v>0.33333333333333331</v>
      </c>
      <c r="D1426">
        <v>3.4</v>
      </c>
      <c r="E1426">
        <f>IF($D1426 &gt; 16, 0, $J$3*(16 - $D1426))</f>
        <v>2617.6328980287822</v>
      </c>
      <c r="F1426">
        <f>IF($D1426 &gt; 16, 0,$E1426*$J$5)</f>
        <v>28451051.968674835</v>
      </c>
      <c r="G1426">
        <f t="shared" si="22"/>
        <v>12.6</v>
      </c>
    </row>
    <row r="1427" spans="2:7" x14ac:dyDescent="0.35">
      <c r="B1427" s="1">
        <v>45717</v>
      </c>
      <c r="C1427" s="2">
        <v>0.375</v>
      </c>
      <c r="D1427">
        <v>4.8</v>
      </c>
      <c r="E1427">
        <f>IF($D1427 &gt; 16, 0, $J$3*(16 - $D1427))</f>
        <v>2326.7847982478061</v>
      </c>
      <c r="F1427">
        <f>IF($D1427 &gt; 16, 0,$E1427*$J$5)</f>
        <v>25289823.972155403</v>
      </c>
      <c r="G1427">
        <f t="shared" si="22"/>
        <v>11.2</v>
      </c>
    </row>
    <row r="1428" spans="2:7" x14ac:dyDescent="0.35">
      <c r="B1428" s="1">
        <v>45717</v>
      </c>
      <c r="C1428" s="2">
        <v>0.41666666666666669</v>
      </c>
      <c r="D1428">
        <v>5.7</v>
      </c>
      <c r="E1428">
        <f>IF($D1428 &gt; 16, 0, $J$3*(16 - $D1428))</f>
        <v>2139.8110198171789</v>
      </c>
      <c r="F1428">
        <f>IF($D1428 &gt; 16, 0,$E1428*$J$5)</f>
        <v>23257605.974392917</v>
      </c>
      <c r="G1428">
        <f t="shared" si="22"/>
        <v>10.3</v>
      </c>
    </row>
    <row r="1429" spans="2:7" x14ac:dyDescent="0.35">
      <c r="B1429" s="1">
        <v>45717</v>
      </c>
      <c r="C1429" s="2">
        <v>0.45833333333333331</v>
      </c>
      <c r="D1429">
        <v>4.3</v>
      </c>
      <c r="E1429">
        <f>IF($D1429 &gt; 16, 0, $J$3*(16 - $D1429))</f>
        <v>2430.6591195981546</v>
      </c>
      <c r="F1429">
        <f>IF($D1429 &gt; 16, 0,$E1429*$J$5)</f>
        <v>26418833.970912341</v>
      </c>
      <c r="G1429">
        <f t="shared" si="22"/>
        <v>11.7</v>
      </c>
    </row>
    <row r="1430" spans="2:7" x14ac:dyDescent="0.35">
      <c r="B1430" s="1">
        <v>45717</v>
      </c>
      <c r="C1430" s="2">
        <v>0.5</v>
      </c>
      <c r="D1430">
        <v>4.2</v>
      </c>
      <c r="E1430">
        <f>IF($D1430 &gt; 16, 0, $J$3*(16 - $D1430))</f>
        <v>2451.4339838682245</v>
      </c>
      <c r="F1430">
        <f>IF($D1430 &gt; 16, 0,$E1430*$J$5)</f>
        <v>26644635.97066373</v>
      </c>
      <c r="G1430">
        <f t="shared" si="22"/>
        <v>11.8</v>
      </c>
    </row>
    <row r="1431" spans="2:7" x14ac:dyDescent="0.35">
      <c r="B1431" s="1">
        <v>45717</v>
      </c>
      <c r="C1431" s="2">
        <v>0.54166666666666663</v>
      </c>
      <c r="D1431">
        <v>4.2</v>
      </c>
      <c r="E1431">
        <f>IF($D1431 &gt; 16, 0, $J$3*(16 - $D1431))</f>
        <v>2451.4339838682245</v>
      </c>
      <c r="F1431">
        <f>IF($D1431 &gt; 16, 0,$E1431*$J$5)</f>
        <v>26644635.97066373</v>
      </c>
      <c r="G1431">
        <f t="shared" si="22"/>
        <v>11.8</v>
      </c>
    </row>
    <row r="1432" spans="2:7" x14ac:dyDescent="0.35">
      <c r="B1432" s="1">
        <v>45717</v>
      </c>
      <c r="C1432" s="2">
        <v>0.58333333333333337</v>
      </c>
      <c r="D1432">
        <v>4.8</v>
      </c>
      <c r="E1432">
        <f>IF($D1432 &gt; 16, 0, $J$3*(16 - $D1432))</f>
        <v>2326.7847982478061</v>
      </c>
      <c r="F1432">
        <f>IF($D1432 &gt; 16, 0,$E1432*$J$5)</f>
        <v>25289823.972155403</v>
      </c>
      <c r="G1432">
        <f t="shared" si="22"/>
        <v>11.2</v>
      </c>
    </row>
    <row r="1433" spans="2:7" x14ac:dyDescent="0.35">
      <c r="B1433" s="1">
        <v>45717</v>
      </c>
      <c r="C1433" s="2">
        <v>0.625</v>
      </c>
      <c r="D1433">
        <v>5.3</v>
      </c>
      <c r="E1433">
        <f>IF($D1433 &gt; 16, 0, $J$3*(16 - $D1433))</f>
        <v>2222.9104768974576</v>
      </c>
      <c r="F1433">
        <f>IF($D1433 &gt; 16, 0,$E1433*$J$5)</f>
        <v>24160813.973398466</v>
      </c>
      <c r="G1433">
        <f t="shared" si="22"/>
        <v>10.7</v>
      </c>
    </row>
    <row r="1434" spans="2:7" x14ac:dyDescent="0.35">
      <c r="B1434" s="1">
        <v>45717</v>
      </c>
      <c r="C1434" s="2">
        <v>0.66666666666666663</v>
      </c>
      <c r="D1434">
        <v>4.9000000000000004</v>
      </c>
      <c r="E1434">
        <f>IF($D1434 &gt; 16, 0, $J$3*(16 - $D1434))</f>
        <v>2306.0099339777366</v>
      </c>
      <c r="F1434">
        <f>IF($D1434 &gt; 16, 0,$E1434*$J$5)</f>
        <v>25064021.972404018</v>
      </c>
      <c r="G1434">
        <f t="shared" si="22"/>
        <v>11.1</v>
      </c>
    </row>
    <row r="1435" spans="2:7" x14ac:dyDescent="0.35">
      <c r="B1435" s="1">
        <v>45717</v>
      </c>
      <c r="C1435" s="2">
        <v>0.70833333333333337</v>
      </c>
      <c r="D1435">
        <v>3.7</v>
      </c>
      <c r="E1435">
        <f>IF($D1435 &gt; 16, 0, $J$3*(16 - $D1435))</f>
        <v>2555.308305218573</v>
      </c>
      <c r="F1435">
        <f>IF($D1435 &gt; 16, 0,$E1435*$J$5)</f>
        <v>27773645.969420668</v>
      </c>
      <c r="G1435">
        <f t="shared" si="22"/>
        <v>12.3</v>
      </c>
    </row>
    <row r="1436" spans="2:7" x14ac:dyDescent="0.35">
      <c r="B1436" s="1">
        <v>45717</v>
      </c>
      <c r="C1436" s="2">
        <v>0.75</v>
      </c>
      <c r="D1436">
        <v>3.5</v>
      </c>
      <c r="E1436">
        <f>IF($D1436 &gt; 16, 0, $J$3*(16 - $D1436))</f>
        <v>2596.8580337587123</v>
      </c>
      <c r="F1436">
        <f>IF($D1436 &gt; 16, 0,$E1436*$J$5)</f>
        <v>28225249.968923442</v>
      </c>
      <c r="G1436">
        <f t="shared" si="22"/>
        <v>12.5</v>
      </c>
    </row>
    <row r="1437" spans="2:7" x14ac:dyDescent="0.35">
      <c r="B1437" s="1">
        <v>45717</v>
      </c>
      <c r="C1437" s="2">
        <v>0.79166666666666663</v>
      </c>
      <c r="D1437">
        <v>2.7</v>
      </c>
      <c r="E1437">
        <f>IF($D1437 &gt; 16, 0, $J$3*(16 - $D1437))</f>
        <v>2763.05694791927</v>
      </c>
      <c r="F1437">
        <f>IF($D1437 &gt; 16, 0,$E1437*$J$5)</f>
        <v>30031665.966934547</v>
      </c>
      <c r="G1437">
        <f t="shared" si="22"/>
        <v>13.3</v>
      </c>
    </row>
    <row r="1438" spans="2:7" x14ac:dyDescent="0.35">
      <c r="B1438" s="1">
        <v>45717</v>
      </c>
      <c r="C1438" s="2">
        <v>0.83333333333333337</v>
      </c>
      <c r="D1438">
        <v>3</v>
      </c>
      <c r="E1438">
        <f>IF($D1438 &gt; 16, 0, $J$3*(16 - $D1438))</f>
        <v>2700.7323551090608</v>
      </c>
      <c r="F1438">
        <f>IF($D1438 &gt; 16, 0,$E1438*$J$5)</f>
        <v>29354259.967680383</v>
      </c>
      <c r="G1438">
        <f t="shared" si="22"/>
        <v>13</v>
      </c>
    </row>
    <row r="1439" spans="2:7" x14ac:dyDescent="0.35">
      <c r="B1439" s="1">
        <v>45717</v>
      </c>
      <c r="C1439" s="2">
        <v>0.875</v>
      </c>
      <c r="D1439">
        <v>2.8</v>
      </c>
      <c r="E1439">
        <f>IF($D1439 &gt; 16, 0, $J$3*(16 - $D1439))</f>
        <v>2742.2820836492001</v>
      </c>
      <c r="F1439">
        <f>IF($D1439 &gt; 16, 0,$E1439*$J$5)</f>
        <v>29805863.967183154</v>
      </c>
      <c r="G1439">
        <f t="shared" si="22"/>
        <v>13.2</v>
      </c>
    </row>
    <row r="1440" spans="2:7" x14ac:dyDescent="0.35">
      <c r="B1440" s="1">
        <v>45717</v>
      </c>
      <c r="C1440" s="2">
        <v>0.91666666666666663</v>
      </c>
      <c r="D1440">
        <v>2.8</v>
      </c>
      <c r="E1440">
        <f>IF($D1440 &gt; 16, 0, $J$3*(16 - $D1440))</f>
        <v>2742.2820836492001</v>
      </c>
      <c r="F1440">
        <f>IF($D1440 &gt; 16, 0,$E1440*$J$5)</f>
        <v>29805863.967183154</v>
      </c>
      <c r="G1440">
        <f t="shared" si="22"/>
        <v>13.2</v>
      </c>
    </row>
    <row r="1441" spans="2:7" x14ac:dyDescent="0.35">
      <c r="B1441" s="1">
        <v>45717</v>
      </c>
      <c r="C1441" s="2">
        <v>0.95833333333333337</v>
      </c>
      <c r="D1441">
        <v>2.9</v>
      </c>
      <c r="E1441">
        <f>IF($D1441 &gt; 16, 0, $J$3*(16 - $D1441))</f>
        <v>2721.5072193791307</v>
      </c>
      <c r="F1441">
        <f>IF($D1441 &gt; 16, 0,$E1441*$J$5)</f>
        <v>29580061.967431773</v>
      </c>
      <c r="G1441">
        <f t="shared" si="22"/>
        <v>13.1</v>
      </c>
    </row>
    <row r="1442" spans="2:7" x14ac:dyDescent="0.35">
      <c r="B1442" s="1">
        <v>45718</v>
      </c>
      <c r="C1442" s="2">
        <v>0</v>
      </c>
      <c r="D1442">
        <v>2.2999999999999998</v>
      </c>
      <c r="E1442">
        <f>IF($D1442 &gt; 16, 0, $J$3*(16 - $D1442))</f>
        <v>2846.1564049995486</v>
      </c>
      <c r="F1442">
        <f>IF($D1442 &gt; 16, 0,$E1442*$J$5)</f>
        <v>30934873.965940095</v>
      </c>
      <c r="G1442">
        <f t="shared" si="22"/>
        <v>13.7</v>
      </c>
    </row>
    <row r="1443" spans="2:7" x14ac:dyDescent="0.35">
      <c r="B1443" s="1">
        <v>45718</v>
      </c>
      <c r="C1443" s="2">
        <v>4.1666666666666657E-2</v>
      </c>
      <c r="D1443">
        <v>1.8</v>
      </c>
      <c r="E1443">
        <f>IF($D1443 &gt; 16, 0, $J$3*(16 - $D1443))</f>
        <v>2950.0307263498971</v>
      </c>
      <c r="F1443">
        <f>IF($D1443 &gt; 16, 0,$E1443*$J$5)</f>
        <v>32063883.964697033</v>
      </c>
      <c r="G1443">
        <f t="shared" si="22"/>
        <v>14.2</v>
      </c>
    </row>
    <row r="1444" spans="2:7" x14ac:dyDescent="0.35">
      <c r="B1444" s="1">
        <v>45718</v>
      </c>
      <c r="C1444" s="2">
        <v>8.3333333333333329E-2</v>
      </c>
      <c r="D1444">
        <v>1.4</v>
      </c>
      <c r="E1444">
        <f>IF($D1444 &gt; 16, 0, $J$3*(16 - $D1444))</f>
        <v>3033.1301834301762</v>
      </c>
      <c r="F1444">
        <f>IF($D1444 &gt; 16, 0,$E1444*$J$5)</f>
        <v>32967091.963702586</v>
      </c>
      <c r="G1444">
        <f t="shared" si="22"/>
        <v>14.6</v>
      </c>
    </row>
    <row r="1445" spans="2:7" x14ac:dyDescent="0.35">
      <c r="B1445" s="1">
        <v>45718</v>
      </c>
      <c r="C1445" s="2">
        <v>0.125</v>
      </c>
      <c r="D1445">
        <v>1.3</v>
      </c>
      <c r="E1445">
        <f>IF($D1445 &gt; 16, 0, $J$3*(16 - $D1445))</f>
        <v>3053.9050477002456</v>
      </c>
      <c r="F1445">
        <f>IF($D1445 &gt; 16, 0,$E1445*$J$5)</f>
        <v>33192893.963453971</v>
      </c>
      <c r="G1445">
        <f t="shared" si="22"/>
        <v>14.7</v>
      </c>
    </row>
    <row r="1446" spans="2:7" x14ac:dyDescent="0.35">
      <c r="B1446" s="1">
        <v>45718</v>
      </c>
      <c r="C1446" s="2">
        <v>0.16666666666666671</v>
      </c>
      <c r="D1446">
        <v>1.5</v>
      </c>
      <c r="E1446">
        <f>IF($D1446 &gt; 16, 0, $J$3*(16 - $D1446))</f>
        <v>3012.3553191601063</v>
      </c>
      <c r="F1446">
        <f>IF($D1446 &gt; 16, 0,$E1446*$J$5)</f>
        <v>32741289.963951197</v>
      </c>
      <c r="G1446">
        <f t="shared" si="22"/>
        <v>14.5</v>
      </c>
    </row>
    <row r="1447" spans="2:7" x14ac:dyDescent="0.35">
      <c r="B1447" s="1">
        <v>45718</v>
      </c>
      <c r="C1447" s="2">
        <v>0.20833333333333329</v>
      </c>
      <c r="D1447">
        <v>1.3</v>
      </c>
      <c r="E1447">
        <f>IF($D1447 &gt; 16, 0, $J$3*(16 - $D1447))</f>
        <v>3053.9050477002456</v>
      </c>
      <c r="F1447">
        <f>IF($D1447 &gt; 16, 0,$E1447*$J$5)</f>
        <v>33192893.963453971</v>
      </c>
      <c r="G1447">
        <f t="shared" si="22"/>
        <v>14.7</v>
      </c>
    </row>
    <row r="1448" spans="2:7" x14ac:dyDescent="0.35">
      <c r="B1448" s="1">
        <v>45718</v>
      </c>
      <c r="C1448" s="2">
        <v>0.25</v>
      </c>
      <c r="D1448">
        <v>1.1000000000000001</v>
      </c>
      <c r="E1448">
        <f>IF($D1448 &gt; 16, 0, $J$3*(16 - $D1448))</f>
        <v>3095.4547762403854</v>
      </c>
      <c r="F1448">
        <f>IF($D1448 &gt; 16, 0,$E1448*$J$5)</f>
        <v>33644497.962956749</v>
      </c>
      <c r="G1448">
        <f t="shared" si="22"/>
        <v>14.9</v>
      </c>
    </row>
    <row r="1449" spans="2:7" x14ac:dyDescent="0.35">
      <c r="B1449" s="1">
        <v>45718</v>
      </c>
      <c r="C1449" s="2">
        <v>0.29166666666666669</v>
      </c>
      <c r="D1449">
        <v>0.9</v>
      </c>
      <c r="E1449">
        <f>IF($D1449 &gt; 16, 0, $J$3*(16 - $D1449))</f>
        <v>3137.0045047805243</v>
      </c>
      <c r="F1449">
        <f>IF($D1449 &gt; 16, 0,$E1449*$J$5)</f>
        <v>34096101.96245952</v>
      </c>
      <c r="G1449">
        <f t="shared" si="22"/>
        <v>15.1</v>
      </c>
    </row>
    <row r="1450" spans="2:7" x14ac:dyDescent="0.35">
      <c r="B1450" s="1">
        <v>45718</v>
      </c>
      <c r="C1450" s="2">
        <v>0.33333333333333331</v>
      </c>
      <c r="D1450">
        <v>0.9</v>
      </c>
      <c r="E1450">
        <f>IF($D1450 &gt; 16, 0, $J$3*(16 - $D1450))</f>
        <v>3137.0045047805243</v>
      </c>
      <c r="F1450">
        <f>IF($D1450 &gt; 16, 0,$E1450*$J$5)</f>
        <v>34096101.96245952</v>
      </c>
      <c r="G1450">
        <f t="shared" si="22"/>
        <v>15.1</v>
      </c>
    </row>
    <row r="1451" spans="2:7" x14ac:dyDescent="0.35">
      <c r="B1451" s="1">
        <v>45718</v>
      </c>
      <c r="C1451" s="2">
        <v>0.375</v>
      </c>
      <c r="D1451">
        <v>2</v>
      </c>
      <c r="E1451">
        <f>IF($D1451 &gt; 16, 0, $J$3*(16 - $D1451))</f>
        <v>2908.4809978097578</v>
      </c>
      <c r="F1451">
        <f>IF($D1451 &gt; 16, 0,$E1451*$J$5)</f>
        <v>31612279.965194259</v>
      </c>
      <c r="G1451">
        <f t="shared" si="22"/>
        <v>14</v>
      </c>
    </row>
    <row r="1452" spans="2:7" x14ac:dyDescent="0.35">
      <c r="B1452" s="1">
        <v>45718</v>
      </c>
      <c r="C1452" s="2">
        <v>0.41666666666666669</v>
      </c>
      <c r="D1452">
        <v>3.2</v>
      </c>
      <c r="E1452">
        <f>IF($D1452 &gt; 16, 0, $J$3*(16 - $D1452))</f>
        <v>2659.1826265689215</v>
      </c>
      <c r="F1452">
        <f>IF($D1452 &gt; 16, 0,$E1452*$J$5)</f>
        <v>28902655.968177609</v>
      </c>
      <c r="G1452">
        <f t="shared" si="22"/>
        <v>12.8</v>
      </c>
    </row>
    <row r="1453" spans="2:7" x14ac:dyDescent="0.35">
      <c r="B1453" s="1">
        <v>45718</v>
      </c>
      <c r="C1453" s="2">
        <v>0.45833333333333331</v>
      </c>
      <c r="D1453">
        <v>4.4000000000000004</v>
      </c>
      <c r="E1453">
        <f>IF($D1453 &gt; 16, 0, $J$3*(16 - $D1453))</f>
        <v>2409.8842553280851</v>
      </c>
      <c r="F1453">
        <f>IF($D1453 &gt; 16, 0,$E1453*$J$5)</f>
        <v>26193031.971160956</v>
      </c>
      <c r="G1453">
        <f t="shared" si="22"/>
        <v>11.6</v>
      </c>
    </row>
    <row r="1454" spans="2:7" x14ac:dyDescent="0.35">
      <c r="B1454" s="1">
        <v>45718</v>
      </c>
      <c r="C1454" s="2">
        <v>0.5</v>
      </c>
      <c r="D1454">
        <v>5.3</v>
      </c>
      <c r="E1454">
        <f>IF($D1454 &gt; 16, 0, $J$3*(16 - $D1454))</f>
        <v>2222.9104768974576</v>
      </c>
      <c r="F1454">
        <f>IF($D1454 &gt; 16, 0,$E1454*$J$5)</f>
        <v>24160813.973398466</v>
      </c>
      <c r="G1454">
        <f t="shared" si="22"/>
        <v>10.7</v>
      </c>
    </row>
    <row r="1455" spans="2:7" x14ac:dyDescent="0.35">
      <c r="B1455" s="1">
        <v>45718</v>
      </c>
      <c r="C1455" s="2">
        <v>0.54166666666666663</v>
      </c>
      <c r="D1455">
        <v>5.7</v>
      </c>
      <c r="E1455">
        <f>IF($D1455 &gt; 16, 0, $J$3*(16 - $D1455))</f>
        <v>2139.8110198171789</v>
      </c>
      <c r="F1455">
        <f>IF($D1455 &gt; 16, 0,$E1455*$J$5)</f>
        <v>23257605.974392917</v>
      </c>
      <c r="G1455">
        <f t="shared" si="22"/>
        <v>10.3</v>
      </c>
    </row>
    <row r="1456" spans="2:7" x14ac:dyDescent="0.35">
      <c r="B1456" s="1">
        <v>45718</v>
      </c>
      <c r="C1456" s="2">
        <v>0.58333333333333337</v>
      </c>
      <c r="D1456">
        <v>6.1</v>
      </c>
      <c r="E1456">
        <f>IF($D1456 &gt; 16, 0, $J$3*(16 - $D1456))</f>
        <v>2056.7115627369003</v>
      </c>
      <c r="F1456">
        <f>IF($D1456 &gt; 16, 0,$E1456*$J$5)</f>
        <v>22354397.975387368</v>
      </c>
      <c r="G1456">
        <f t="shared" si="22"/>
        <v>9.9</v>
      </c>
    </row>
    <row r="1457" spans="2:7" x14ac:dyDescent="0.35">
      <c r="B1457" s="1">
        <v>45718</v>
      </c>
      <c r="C1457" s="2">
        <v>0.625</v>
      </c>
      <c r="D1457">
        <v>6.1</v>
      </c>
      <c r="E1457">
        <f>IF($D1457 &gt; 16, 0, $J$3*(16 - $D1457))</f>
        <v>2056.7115627369003</v>
      </c>
      <c r="F1457">
        <f>IF($D1457 &gt; 16, 0,$E1457*$J$5)</f>
        <v>22354397.975387368</v>
      </c>
      <c r="G1457">
        <f t="shared" si="22"/>
        <v>9.9</v>
      </c>
    </row>
    <row r="1458" spans="2:7" x14ac:dyDescent="0.35">
      <c r="B1458" s="1">
        <v>45718</v>
      </c>
      <c r="C1458" s="2">
        <v>0.66666666666666663</v>
      </c>
      <c r="D1458">
        <v>6.1</v>
      </c>
      <c r="E1458">
        <f>IF($D1458 &gt; 16, 0, $J$3*(16 - $D1458))</f>
        <v>2056.7115627369003</v>
      </c>
      <c r="F1458">
        <f>IF($D1458 &gt; 16, 0,$E1458*$J$5)</f>
        <v>22354397.975387368</v>
      </c>
      <c r="G1458">
        <f t="shared" si="22"/>
        <v>9.9</v>
      </c>
    </row>
    <row r="1459" spans="2:7" x14ac:dyDescent="0.35">
      <c r="B1459" s="1">
        <v>45718</v>
      </c>
      <c r="C1459" s="2">
        <v>0.70833333333333337</v>
      </c>
      <c r="D1459">
        <v>6.1</v>
      </c>
      <c r="E1459">
        <f>IF($D1459 &gt; 16, 0, $J$3*(16 - $D1459))</f>
        <v>2056.7115627369003</v>
      </c>
      <c r="F1459">
        <f>IF($D1459 &gt; 16, 0,$E1459*$J$5)</f>
        <v>22354397.975387368</v>
      </c>
      <c r="G1459">
        <f t="shared" si="22"/>
        <v>9.9</v>
      </c>
    </row>
    <row r="1460" spans="2:7" x14ac:dyDescent="0.35">
      <c r="B1460" s="1">
        <v>45718</v>
      </c>
      <c r="C1460" s="2">
        <v>0.75</v>
      </c>
      <c r="D1460">
        <v>6</v>
      </c>
      <c r="E1460">
        <f>IF($D1460 &gt; 16, 0, $J$3*(16 - $D1460))</f>
        <v>2077.4864270069697</v>
      </c>
      <c r="F1460">
        <f>IF($D1460 &gt; 16, 0,$E1460*$J$5)</f>
        <v>22580199.975138754</v>
      </c>
      <c r="G1460">
        <f t="shared" si="22"/>
        <v>10</v>
      </c>
    </row>
    <row r="1461" spans="2:7" x14ac:dyDescent="0.35">
      <c r="B1461" s="1">
        <v>45718</v>
      </c>
      <c r="C1461" s="2">
        <v>0.79166666666666663</v>
      </c>
      <c r="D1461">
        <v>5.9</v>
      </c>
      <c r="E1461">
        <f>IF($D1461 &gt; 16, 0, $J$3*(16 - $D1461))</f>
        <v>2098.2612912770396</v>
      </c>
      <c r="F1461">
        <f>IF($D1461 &gt; 16, 0,$E1461*$J$5)</f>
        <v>22806001.974890143</v>
      </c>
      <c r="G1461">
        <f t="shared" si="22"/>
        <v>10.1</v>
      </c>
    </row>
    <row r="1462" spans="2:7" x14ac:dyDescent="0.35">
      <c r="B1462" s="1">
        <v>45718</v>
      </c>
      <c r="C1462" s="2">
        <v>0.83333333333333337</v>
      </c>
      <c r="D1462">
        <v>6</v>
      </c>
      <c r="E1462">
        <f>IF($D1462 &gt; 16, 0, $J$3*(16 - $D1462))</f>
        <v>2077.4864270069697</v>
      </c>
      <c r="F1462">
        <f>IF($D1462 &gt; 16, 0,$E1462*$J$5)</f>
        <v>22580199.975138754</v>
      </c>
      <c r="G1462">
        <f t="shared" si="22"/>
        <v>10</v>
      </c>
    </row>
    <row r="1463" spans="2:7" x14ac:dyDescent="0.35">
      <c r="B1463" s="1">
        <v>45718</v>
      </c>
      <c r="C1463" s="2">
        <v>0.875</v>
      </c>
      <c r="D1463">
        <v>6.1</v>
      </c>
      <c r="E1463">
        <f>IF($D1463 &gt; 16, 0, $J$3*(16 - $D1463))</f>
        <v>2056.7115627369003</v>
      </c>
      <c r="F1463">
        <f>IF($D1463 &gt; 16, 0,$E1463*$J$5)</f>
        <v>22354397.975387368</v>
      </c>
      <c r="G1463">
        <f t="shared" si="22"/>
        <v>9.9</v>
      </c>
    </row>
    <row r="1464" spans="2:7" x14ac:dyDescent="0.35">
      <c r="B1464" s="1">
        <v>45718</v>
      </c>
      <c r="C1464" s="2">
        <v>0.91666666666666663</v>
      </c>
      <c r="D1464">
        <v>4.5999999999999996</v>
      </c>
      <c r="E1464">
        <f>IF($D1464 &gt; 16, 0, $J$3*(16 - $D1464))</f>
        <v>2368.3345267879458</v>
      </c>
      <c r="F1464">
        <f>IF($D1464 &gt; 16, 0,$E1464*$J$5)</f>
        <v>25741427.971658185</v>
      </c>
      <c r="G1464">
        <f t="shared" si="22"/>
        <v>11.4</v>
      </c>
    </row>
    <row r="1465" spans="2:7" x14ac:dyDescent="0.35">
      <c r="B1465" s="1">
        <v>45718</v>
      </c>
      <c r="C1465" s="2">
        <v>0.95833333333333337</v>
      </c>
      <c r="D1465">
        <v>3.8</v>
      </c>
      <c r="E1465">
        <f>IF($D1465 &gt; 16, 0, $J$3*(16 - $D1465))</f>
        <v>2534.5334409485031</v>
      </c>
      <c r="F1465">
        <f>IF($D1465 &gt; 16, 0,$E1465*$J$5)</f>
        <v>27547843.969669279</v>
      </c>
      <c r="G1465">
        <f t="shared" si="22"/>
        <v>12.2</v>
      </c>
    </row>
    <row r="1466" spans="2:7" x14ac:dyDescent="0.35">
      <c r="B1466" s="1">
        <v>45719</v>
      </c>
      <c r="C1466" s="2">
        <v>0</v>
      </c>
      <c r="D1466">
        <v>3.1</v>
      </c>
      <c r="E1466">
        <f>IF($D1466 &gt; 16, 0, $J$3*(16 - $D1466))</f>
        <v>2679.9574908389914</v>
      </c>
      <c r="F1466">
        <f>IF($D1466 &gt; 16, 0,$E1466*$J$5)</f>
        <v>29128457.967928998</v>
      </c>
      <c r="G1466">
        <f t="shared" si="22"/>
        <v>12.9</v>
      </c>
    </row>
    <row r="1467" spans="2:7" x14ac:dyDescent="0.35">
      <c r="B1467" s="1">
        <v>45719</v>
      </c>
      <c r="C1467" s="2">
        <v>4.1666666666666657E-2</v>
      </c>
      <c r="D1467">
        <v>2.4</v>
      </c>
      <c r="E1467">
        <f>IF($D1467 &gt; 16, 0, $J$3*(16 - $D1467))</f>
        <v>2825.3815407294792</v>
      </c>
      <c r="F1467">
        <f>IF($D1467 &gt; 16, 0,$E1467*$J$5)</f>
        <v>30709071.96618871</v>
      </c>
      <c r="G1467">
        <f t="shared" si="22"/>
        <v>13.6</v>
      </c>
    </row>
    <row r="1468" spans="2:7" x14ac:dyDescent="0.35">
      <c r="B1468" s="1">
        <v>45719</v>
      </c>
      <c r="C1468" s="2">
        <v>8.3333333333333329E-2</v>
      </c>
      <c r="D1468">
        <v>1.8</v>
      </c>
      <c r="E1468">
        <f>IF($D1468 &gt; 16, 0, $J$3*(16 - $D1468))</f>
        <v>2950.0307263498971</v>
      </c>
      <c r="F1468">
        <f>IF($D1468 &gt; 16, 0,$E1468*$J$5)</f>
        <v>32063883.964697033</v>
      </c>
      <c r="G1468">
        <f t="shared" si="22"/>
        <v>14.2</v>
      </c>
    </row>
    <row r="1469" spans="2:7" x14ac:dyDescent="0.35">
      <c r="B1469" s="1">
        <v>45719</v>
      </c>
      <c r="C1469" s="2">
        <v>0.125</v>
      </c>
      <c r="D1469">
        <v>0.8</v>
      </c>
      <c r="E1469">
        <f>IF($D1469 &gt; 16, 0, $J$3*(16 - $D1469))</f>
        <v>3157.7793690505941</v>
      </c>
      <c r="F1469">
        <f>IF($D1469 &gt; 16, 0,$E1469*$J$5)</f>
        <v>34321903.962210909</v>
      </c>
      <c r="G1469">
        <f t="shared" si="22"/>
        <v>15.2</v>
      </c>
    </row>
    <row r="1470" spans="2:7" x14ac:dyDescent="0.35">
      <c r="B1470" s="1">
        <v>45719</v>
      </c>
      <c r="C1470" s="2">
        <v>0.16666666666666671</v>
      </c>
      <c r="D1470">
        <v>0.4</v>
      </c>
      <c r="E1470">
        <f>IF($D1470 &gt; 16, 0, $J$3*(16 - $D1470))</f>
        <v>3240.8788261308728</v>
      </c>
      <c r="F1470">
        <f>IF($D1470 &gt; 16, 0,$E1470*$J$5)</f>
        <v>35225111.961216457</v>
      </c>
      <c r="G1470">
        <f t="shared" si="22"/>
        <v>15.6</v>
      </c>
    </row>
    <row r="1471" spans="2:7" x14ac:dyDescent="0.35">
      <c r="B1471" s="1">
        <v>45719</v>
      </c>
      <c r="C1471" s="2">
        <v>0.20833333333333329</v>
      </c>
      <c r="D1471">
        <v>-0.1</v>
      </c>
      <c r="E1471">
        <f>IF($D1471 &gt; 16, 0, $J$3*(16 - $D1471))</f>
        <v>3344.7531474812217</v>
      </c>
      <c r="F1471">
        <f>IF($D1471 &gt; 16, 0,$E1471*$J$5)</f>
        <v>36354121.959973402</v>
      </c>
      <c r="G1471">
        <f t="shared" si="22"/>
        <v>16.100000000000001</v>
      </c>
    </row>
    <row r="1472" spans="2:7" x14ac:dyDescent="0.35">
      <c r="B1472" s="1">
        <v>45719</v>
      </c>
      <c r="C1472" s="2">
        <v>0.25</v>
      </c>
      <c r="D1472">
        <v>-0.8</v>
      </c>
      <c r="E1472">
        <f>IF($D1472 &gt; 16, 0, $J$3*(16 - $D1472))</f>
        <v>3490.1771973717096</v>
      </c>
      <c r="F1472">
        <f>IF($D1472 &gt; 16, 0,$E1472*$J$5)</f>
        <v>37934735.958233111</v>
      </c>
      <c r="G1472">
        <f t="shared" si="22"/>
        <v>16.8</v>
      </c>
    </row>
    <row r="1473" spans="2:7" x14ac:dyDescent="0.35">
      <c r="B1473" s="1">
        <v>45719</v>
      </c>
      <c r="C1473" s="2">
        <v>0.29166666666666669</v>
      </c>
      <c r="D1473">
        <v>2.2999999999999998</v>
      </c>
      <c r="E1473">
        <f>IF($D1473 &gt; 16, 0, $J$3*(16 - $D1473))</f>
        <v>2846.1564049995486</v>
      </c>
      <c r="F1473">
        <f>IF($D1473 &gt; 16, 0,$E1473*$J$5)</f>
        <v>30934873.965940095</v>
      </c>
      <c r="G1473">
        <f t="shared" si="22"/>
        <v>13.7</v>
      </c>
    </row>
    <row r="1474" spans="2:7" x14ac:dyDescent="0.35">
      <c r="B1474" s="1">
        <v>45719</v>
      </c>
      <c r="C1474" s="2">
        <v>0.33333333333333331</v>
      </c>
      <c r="D1474">
        <v>3.4</v>
      </c>
      <c r="E1474">
        <f>IF($D1474 &gt; 16, 0, $J$3*(16 - $D1474))</f>
        <v>2617.6328980287822</v>
      </c>
      <c r="F1474">
        <f>IF($D1474 &gt; 16, 0,$E1474*$J$5)</f>
        <v>28451051.968674835</v>
      </c>
      <c r="G1474">
        <f t="shared" si="22"/>
        <v>12.6</v>
      </c>
    </row>
    <row r="1475" spans="2:7" x14ac:dyDescent="0.35">
      <c r="B1475" s="1">
        <v>45719</v>
      </c>
      <c r="C1475" s="2">
        <v>0.375</v>
      </c>
      <c r="D1475">
        <v>5.0999999999999996</v>
      </c>
      <c r="E1475">
        <f>IF($D1475 &gt; 16, 0, $J$3*(16 - $D1475))</f>
        <v>2264.4602054375973</v>
      </c>
      <c r="F1475">
        <f>IF($D1475 &gt; 16, 0,$E1475*$J$5)</f>
        <v>24612417.972901244</v>
      </c>
      <c r="G1475">
        <f t="shared" ref="G1475:G1538" si="23">MAX(0, 16 - $D1475)</f>
        <v>10.9</v>
      </c>
    </row>
    <row r="1476" spans="2:7" x14ac:dyDescent="0.35">
      <c r="B1476" s="1">
        <v>45719</v>
      </c>
      <c r="C1476" s="2">
        <v>0.41666666666666669</v>
      </c>
      <c r="D1476">
        <v>6.6</v>
      </c>
      <c r="E1476">
        <f>IF($D1476 &gt; 16, 0, $J$3*(16 - $D1476))</f>
        <v>1952.8372413865518</v>
      </c>
      <c r="F1476">
        <f>IF($D1476 &gt; 16, 0,$E1476*$J$5)</f>
        <v>21225387.976630431</v>
      </c>
      <c r="G1476">
        <f t="shared" si="23"/>
        <v>9.4</v>
      </c>
    </row>
    <row r="1477" spans="2:7" x14ac:dyDescent="0.35">
      <c r="B1477" s="1">
        <v>45719</v>
      </c>
      <c r="C1477" s="2">
        <v>0.45833333333333331</v>
      </c>
      <c r="D1477">
        <v>8.3000000000000007</v>
      </c>
      <c r="E1477">
        <f>IF($D1477 &gt; 16, 0, $J$3*(16 - $D1477))</f>
        <v>1599.6645487953667</v>
      </c>
      <c r="F1477">
        <f>IF($D1477 &gt; 16, 0,$E1477*$J$5)</f>
        <v>17386753.98085684</v>
      </c>
      <c r="G1477">
        <f t="shared" si="23"/>
        <v>7.6999999999999993</v>
      </c>
    </row>
    <row r="1478" spans="2:7" x14ac:dyDescent="0.35">
      <c r="B1478" s="1">
        <v>45719</v>
      </c>
      <c r="C1478" s="2">
        <v>0.5</v>
      </c>
      <c r="D1478">
        <v>8.5</v>
      </c>
      <c r="E1478">
        <f>IF($D1478 &gt; 16, 0, $J$3*(16 - $D1478))</f>
        <v>1558.1148202552274</v>
      </c>
      <c r="F1478">
        <f>IF($D1478 &gt; 16, 0,$E1478*$J$5)</f>
        <v>16935149.981354065</v>
      </c>
      <c r="G1478">
        <f t="shared" si="23"/>
        <v>7.5</v>
      </c>
    </row>
    <row r="1479" spans="2:7" x14ac:dyDescent="0.35">
      <c r="B1479" s="1">
        <v>45719</v>
      </c>
      <c r="C1479" s="2">
        <v>0.54166666666666663</v>
      </c>
      <c r="D1479">
        <v>8.9</v>
      </c>
      <c r="E1479">
        <f>IF($D1479 &gt; 16, 0, $J$3*(16 - $D1479))</f>
        <v>1475.0153631749486</v>
      </c>
      <c r="F1479">
        <f>IF($D1479 &gt; 16, 0,$E1479*$J$5)</f>
        <v>16031941.982348517</v>
      </c>
      <c r="G1479">
        <f t="shared" si="23"/>
        <v>7.1</v>
      </c>
    </row>
    <row r="1480" spans="2:7" x14ac:dyDescent="0.35">
      <c r="B1480" s="1">
        <v>45719</v>
      </c>
      <c r="C1480" s="2">
        <v>0.58333333333333337</v>
      </c>
      <c r="D1480">
        <v>8.9</v>
      </c>
      <c r="E1480">
        <f>IF($D1480 &gt; 16, 0, $J$3*(16 - $D1480))</f>
        <v>1475.0153631749486</v>
      </c>
      <c r="F1480">
        <f>IF($D1480 &gt; 16, 0,$E1480*$J$5)</f>
        <v>16031941.982348517</v>
      </c>
      <c r="G1480">
        <f t="shared" si="23"/>
        <v>7.1</v>
      </c>
    </row>
    <row r="1481" spans="2:7" x14ac:dyDescent="0.35">
      <c r="B1481" s="1">
        <v>45719</v>
      </c>
      <c r="C1481" s="2">
        <v>0.625</v>
      </c>
      <c r="D1481">
        <v>8.8000000000000007</v>
      </c>
      <c r="E1481">
        <f>IF($D1481 &gt; 16, 0, $J$3*(16 - $D1481))</f>
        <v>1495.7902274450182</v>
      </c>
      <c r="F1481">
        <f>IF($D1481 &gt; 16, 0,$E1481*$J$5)</f>
        <v>16257743.982099904</v>
      </c>
      <c r="G1481">
        <f t="shared" si="23"/>
        <v>7.1999999999999993</v>
      </c>
    </row>
    <row r="1482" spans="2:7" x14ac:dyDescent="0.35">
      <c r="B1482" s="1">
        <v>45719</v>
      </c>
      <c r="C1482" s="2">
        <v>0.66666666666666663</v>
      </c>
      <c r="D1482">
        <v>8.6</v>
      </c>
      <c r="E1482">
        <f>IF($D1482 &gt; 16, 0, $J$3*(16 - $D1482))</f>
        <v>1537.3399559851578</v>
      </c>
      <c r="F1482">
        <f>IF($D1482 &gt; 16, 0,$E1482*$J$5)</f>
        <v>16709347.98160268</v>
      </c>
      <c r="G1482">
        <f t="shared" si="23"/>
        <v>7.4</v>
      </c>
    </row>
    <row r="1483" spans="2:7" x14ac:dyDescent="0.35">
      <c r="B1483" s="1">
        <v>45719</v>
      </c>
      <c r="C1483" s="2">
        <v>0.70833333333333337</v>
      </c>
      <c r="D1483">
        <v>7.4</v>
      </c>
      <c r="E1483">
        <f>IF($D1483 &gt; 16, 0, $J$3*(16 - $D1483))</f>
        <v>1786.6383272259941</v>
      </c>
      <c r="F1483">
        <f>IF($D1483 &gt; 16, 0,$E1483*$J$5)</f>
        <v>19418971.97861933</v>
      </c>
      <c r="G1483">
        <f t="shared" si="23"/>
        <v>8.6</v>
      </c>
    </row>
    <row r="1484" spans="2:7" x14ac:dyDescent="0.35">
      <c r="B1484" s="1">
        <v>45719</v>
      </c>
      <c r="C1484" s="2">
        <v>0.75</v>
      </c>
      <c r="D1484">
        <v>6.5</v>
      </c>
      <c r="E1484">
        <f>IF($D1484 &gt; 16, 0, $J$3*(16 - $D1484))</f>
        <v>1973.6121056566215</v>
      </c>
      <c r="F1484">
        <f>IF($D1484 &gt; 16, 0,$E1484*$J$5)</f>
        <v>21451189.97638182</v>
      </c>
      <c r="G1484">
        <f t="shared" si="23"/>
        <v>9.5</v>
      </c>
    </row>
    <row r="1485" spans="2:7" x14ac:dyDescent="0.35">
      <c r="B1485" s="1">
        <v>45719</v>
      </c>
      <c r="C1485" s="2">
        <v>0.79166666666666663</v>
      </c>
      <c r="D1485">
        <v>4.3</v>
      </c>
      <c r="E1485">
        <f>IF($D1485 &gt; 16, 0, $J$3*(16 - $D1485))</f>
        <v>2430.6591195981546</v>
      </c>
      <c r="F1485">
        <f>IF($D1485 &gt; 16, 0,$E1485*$J$5)</f>
        <v>26418833.970912341</v>
      </c>
      <c r="G1485">
        <f t="shared" si="23"/>
        <v>11.7</v>
      </c>
    </row>
    <row r="1486" spans="2:7" x14ac:dyDescent="0.35">
      <c r="B1486" s="1">
        <v>45719</v>
      </c>
      <c r="C1486" s="2">
        <v>0.83333333333333337</v>
      </c>
      <c r="D1486">
        <v>2.9</v>
      </c>
      <c r="E1486">
        <f>IF($D1486 &gt; 16, 0, $J$3*(16 - $D1486))</f>
        <v>2721.5072193791307</v>
      </c>
      <c r="F1486">
        <f>IF($D1486 &gt; 16, 0,$E1486*$J$5)</f>
        <v>29580061.967431773</v>
      </c>
      <c r="G1486">
        <f t="shared" si="23"/>
        <v>13.1</v>
      </c>
    </row>
    <row r="1487" spans="2:7" x14ac:dyDescent="0.35">
      <c r="B1487" s="1">
        <v>45719</v>
      </c>
      <c r="C1487" s="2">
        <v>0.875</v>
      </c>
      <c r="D1487">
        <v>3.4</v>
      </c>
      <c r="E1487">
        <f>IF($D1487 &gt; 16, 0, $J$3*(16 - $D1487))</f>
        <v>2617.6328980287822</v>
      </c>
      <c r="F1487">
        <f>IF($D1487 &gt; 16, 0,$E1487*$J$5)</f>
        <v>28451051.968674835</v>
      </c>
      <c r="G1487">
        <f t="shared" si="23"/>
        <v>12.6</v>
      </c>
    </row>
    <row r="1488" spans="2:7" x14ac:dyDescent="0.35">
      <c r="B1488" s="1">
        <v>45719</v>
      </c>
      <c r="C1488" s="2">
        <v>0.91666666666666663</v>
      </c>
      <c r="D1488">
        <v>2.8</v>
      </c>
      <c r="E1488">
        <f>IF($D1488 &gt; 16, 0, $J$3*(16 - $D1488))</f>
        <v>2742.2820836492001</v>
      </c>
      <c r="F1488">
        <f>IF($D1488 &gt; 16, 0,$E1488*$J$5)</f>
        <v>29805863.967183154</v>
      </c>
      <c r="G1488">
        <f t="shared" si="23"/>
        <v>13.2</v>
      </c>
    </row>
    <row r="1489" spans="2:7" x14ac:dyDescent="0.35">
      <c r="B1489" s="1">
        <v>45719</v>
      </c>
      <c r="C1489" s="2">
        <v>0.95833333333333337</v>
      </c>
      <c r="D1489">
        <v>1.3</v>
      </c>
      <c r="E1489">
        <f>IF($D1489 &gt; 16, 0, $J$3*(16 - $D1489))</f>
        <v>3053.9050477002456</v>
      </c>
      <c r="F1489">
        <f>IF($D1489 &gt; 16, 0,$E1489*$J$5)</f>
        <v>33192893.963453971</v>
      </c>
      <c r="G1489">
        <f t="shared" si="23"/>
        <v>14.7</v>
      </c>
    </row>
    <row r="1490" spans="2:7" x14ac:dyDescent="0.35">
      <c r="B1490" s="1">
        <v>45720</v>
      </c>
      <c r="C1490" s="2">
        <v>0</v>
      </c>
      <c r="D1490">
        <v>1.1000000000000001</v>
      </c>
      <c r="E1490">
        <f>IF($D1490 &gt; 16, 0, $J$3*(16 - $D1490))</f>
        <v>3095.4547762403854</v>
      </c>
      <c r="F1490">
        <f>IF($D1490 &gt; 16, 0,$E1490*$J$5)</f>
        <v>33644497.962956749</v>
      </c>
      <c r="G1490">
        <f t="shared" si="23"/>
        <v>14.9</v>
      </c>
    </row>
    <row r="1491" spans="2:7" x14ac:dyDescent="0.35">
      <c r="B1491" s="1">
        <v>45720</v>
      </c>
      <c r="C1491" s="2">
        <v>4.1666666666666657E-2</v>
      </c>
      <c r="D1491">
        <v>1.9</v>
      </c>
      <c r="E1491">
        <f>IF($D1491 &gt; 16, 0, $J$3*(16 - $D1491))</f>
        <v>2929.2558620798277</v>
      </c>
      <c r="F1491">
        <f>IF($D1491 &gt; 16, 0,$E1491*$J$5)</f>
        <v>31838081.964945648</v>
      </c>
      <c r="G1491">
        <f t="shared" si="23"/>
        <v>14.1</v>
      </c>
    </row>
    <row r="1492" spans="2:7" x14ac:dyDescent="0.35">
      <c r="B1492" s="1">
        <v>45720</v>
      </c>
      <c r="C1492" s="2">
        <v>8.3333333333333329E-2</v>
      </c>
      <c r="D1492">
        <v>0.9</v>
      </c>
      <c r="E1492">
        <f>IF($D1492 &gt; 16, 0, $J$3*(16 - $D1492))</f>
        <v>3137.0045047805243</v>
      </c>
      <c r="F1492">
        <f>IF($D1492 &gt; 16, 0,$E1492*$J$5)</f>
        <v>34096101.96245952</v>
      </c>
      <c r="G1492">
        <f t="shared" si="23"/>
        <v>15.1</v>
      </c>
    </row>
    <row r="1493" spans="2:7" x14ac:dyDescent="0.35">
      <c r="B1493" s="1">
        <v>45720</v>
      </c>
      <c r="C1493" s="2">
        <v>0.125</v>
      </c>
      <c r="D1493">
        <v>2.5</v>
      </c>
      <c r="E1493">
        <f>IF($D1493 &gt; 16, 0, $J$3*(16 - $D1493))</f>
        <v>2804.6066764594093</v>
      </c>
      <c r="F1493">
        <f>IF($D1493 &gt; 16, 0,$E1493*$J$5)</f>
        <v>30483269.966437321</v>
      </c>
      <c r="G1493">
        <f t="shared" si="23"/>
        <v>13.5</v>
      </c>
    </row>
    <row r="1494" spans="2:7" x14ac:dyDescent="0.35">
      <c r="B1494" s="1">
        <v>45720</v>
      </c>
      <c r="C1494" s="2">
        <v>0.16666666666666671</v>
      </c>
      <c r="D1494">
        <v>1</v>
      </c>
      <c r="E1494">
        <f>IF($D1494 &gt; 16, 0, $J$3*(16 - $D1494))</f>
        <v>3116.2296405104548</v>
      </c>
      <c r="F1494">
        <f>IF($D1494 &gt; 16, 0,$E1494*$J$5)</f>
        <v>33870299.96270813</v>
      </c>
      <c r="G1494">
        <f t="shared" si="23"/>
        <v>15</v>
      </c>
    </row>
    <row r="1495" spans="2:7" x14ac:dyDescent="0.35">
      <c r="B1495" s="1">
        <v>45720</v>
      </c>
      <c r="C1495" s="2">
        <v>0.20833333333333329</v>
      </c>
      <c r="D1495">
        <v>-1.2</v>
      </c>
      <c r="E1495">
        <f>IF($D1495 &gt; 16, 0, $J$3*(16 - $D1495))</f>
        <v>3573.2766544519882</v>
      </c>
      <c r="F1495">
        <f>IF($D1495 &gt; 16, 0,$E1495*$J$5)</f>
        <v>38837943.957238659</v>
      </c>
      <c r="G1495">
        <f t="shared" si="23"/>
        <v>17.2</v>
      </c>
    </row>
    <row r="1496" spans="2:7" x14ac:dyDescent="0.35">
      <c r="B1496" s="1">
        <v>45720</v>
      </c>
      <c r="C1496" s="2">
        <v>0.25</v>
      </c>
      <c r="D1496">
        <v>0.4</v>
      </c>
      <c r="E1496">
        <f>IF($D1496 &gt; 16, 0, $J$3*(16 - $D1496))</f>
        <v>3240.8788261308728</v>
      </c>
      <c r="F1496">
        <f>IF($D1496 &gt; 16, 0,$E1496*$J$5)</f>
        <v>35225111.961216457</v>
      </c>
      <c r="G1496">
        <f t="shared" si="23"/>
        <v>15.6</v>
      </c>
    </row>
    <row r="1497" spans="2:7" x14ac:dyDescent="0.35">
      <c r="B1497" s="1">
        <v>45720</v>
      </c>
      <c r="C1497" s="2">
        <v>0.29166666666666669</v>
      </c>
      <c r="D1497">
        <v>0</v>
      </c>
      <c r="E1497">
        <f>IF($D1497 &gt; 16, 0, $J$3*(16 - $D1497))</f>
        <v>3323.9782832111518</v>
      </c>
      <c r="F1497">
        <f>IF($D1497 &gt; 16, 0,$E1497*$J$5)</f>
        <v>36128319.960222006</v>
      </c>
      <c r="G1497">
        <f t="shared" si="23"/>
        <v>16</v>
      </c>
    </row>
    <row r="1498" spans="2:7" x14ac:dyDescent="0.35">
      <c r="B1498" s="1">
        <v>45720</v>
      </c>
      <c r="C1498" s="2">
        <v>0.33333333333333331</v>
      </c>
      <c r="D1498">
        <v>4</v>
      </c>
      <c r="E1498">
        <f>IF($D1498 &gt; 16, 0, $J$3*(16 - $D1498))</f>
        <v>2492.9837124083638</v>
      </c>
      <c r="F1498">
        <f>IF($D1498 &gt; 16, 0,$E1498*$J$5)</f>
        <v>27096239.970166504</v>
      </c>
      <c r="G1498">
        <f t="shared" si="23"/>
        <v>12</v>
      </c>
    </row>
    <row r="1499" spans="2:7" x14ac:dyDescent="0.35">
      <c r="B1499" s="1">
        <v>45720</v>
      </c>
      <c r="C1499" s="2">
        <v>0.375</v>
      </c>
      <c r="D1499">
        <v>6</v>
      </c>
      <c r="E1499">
        <f>IF($D1499 &gt; 16, 0, $J$3*(16 - $D1499))</f>
        <v>2077.4864270069697</v>
      </c>
      <c r="F1499">
        <f>IF($D1499 &gt; 16, 0,$E1499*$J$5)</f>
        <v>22580199.975138754</v>
      </c>
      <c r="G1499">
        <f t="shared" si="23"/>
        <v>10</v>
      </c>
    </row>
    <row r="1500" spans="2:7" x14ac:dyDescent="0.35">
      <c r="B1500" s="1">
        <v>45720</v>
      </c>
      <c r="C1500" s="2">
        <v>0.41666666666666669</v>
      </c>
      <c r="D1500">
        <v>7.4</v>
      </c>
      <c r="E1500">
        <f>IF($D1500 &gt; 16, 0, $J$3*(16 - $D1500))</f>
        <v>1786.6383272259941</v>
      </c>
      <c r="F1500">
        <f>IF($D1500 &gt; 16, 0,$E1500*$J$5)</f>
        <v>19418971.97861933</v>
      </c>
      <c r="G1500">
        <f t="shared" si="23"/>
        <v>8.6</v>
      </c>
    </row>
    <row r="1501" spans="2:7" x14ac:dyDescent="0.35">
      <c r="B1501" s="1">
        <v>45720</v>
      </c>
      <c r="C1501" s="2">
        <v>0.45833333333333331</v>
      </c>
      <c r="D1501">
        <v>9</v>
      </c>
      <c r="E1501">
        <f>IF($D1501 &gt; 16, 0, $J$3*(16 - $D1501))</f>
        <v>1454.2404989048789</v>
      </c>
      <c r="F1501">
        <f>IF($D1501 &gt; 16, 0,$E1501*$J$5)</f>
        <v>15806139.982597129</v>
      </c>
      <c r="G1501">
        <f t="shared" si="23"/>
        <v>7</v>
      </c>
    </row>
    <row r="1502" spans="2:7" x14ac:dyDescent="0.35">
      <c r="B1502" s="1">
        <v>45720</v>
      </c>
      <c r="C1502" s="2">
        <v>0.5</v>
      </c>
      <c r="D1502">
        <v>8.6</v>
      </c>
      <c r="E1502">
        <f>IF($D1502 &gt; 16, 0, $J$3*(16 - $D1502))</f>
        <v>1537.3399559851578</v>
      </c>
      <c r="F1502">
        <f>IF($D1502 &gt; 16, 0,$E1502*$J$5)</f>
        <v>16709347.98160268</v>
      </c>
      <c r="G1502">
        <f t="shared" si="23"/>
        <v>7.4</v>
      </c>
    </row>
    <row r="1503" spans="2:7" x14ac:dyDescent="0.35">
      <c r="B1503" s="1">
        <v>45720</v>
      </c>
      <c r="C1503" s="2">
        <v>0.54166666666666663</v>
      </c>
      <c r="D1503">
        <v>8.3000000000000007</v>
      </c>
      <c r="E1503">
        <f>IF($D1503 &gt; 16, 0, $J$3*(16 - $D1503))</f>
        <v>1599.6645487953667</v>
      </c>
      <c r="F1503">
        <f>IF($D1503 &gt; 16, 0,$E1503*$J$5)</f>
        <v>17386753.98085684</v>
      </c>
      <c r="G1503">
        <f t="shared" si="23"/>
        <v>7.6999999999999993</v>
      </c>
    </row>
    <row r="1504" spans="2:7" x14ac:dyDescent="0.35">
      <c r="B1504" s="1">
        <v>45720</v>
      </c>
      <c r="C1504" s="2">
        <v>0.58333333333333337</v>
      </c>
      <c r="D1504">
        <v>9.3000000000000007</v>
      </c>
      <c r="E1504">
        <f>IF($D1504 &gt; 16, 0, $J$3*(16 - $D1504))</f>
        <v>1391.9159060946697</v>
      </c>
      <c r="F1504">
        <f>IF($D1504 &gt; 16, 0,$E1504*$J$5)</f>
        <v>15128733.983342964</v>
      </c>
      <c r="G1504">
        <f t="shared" si="23"/>
        <v>6.6999999999999993</v>
      </c>
    </row>
    <row r="1505" spans="2:7" x14ac:dyDescent="0.35">
      <c r="B1505" s="1">
        <v>45720</v>
      </c>
      <c r="C1505" s="2">
        <v>0.625</v>
      </c>
      <c r="D1505">
        <v>10</v>
      </c>
      <c r="E1505">
        <f>IF($D1505 &gt; 16, 0, $J$3*(16 - $D1505))</f>
        <v>1246.4918562041819</v>
      </c>
      <c r="F1505">
        <f>IF($D1505 &gt; 16, 0,$E1505*$J$5)</f>
        <v>13548119.985083252</v>
      </c>
      <c r="G1505">
        <f t="shared" si="23"/>
        <v>6</v>
      </c>
    </row>
    <row r="1506" spans="2:7" x14ac:dyDescent="0.35">
      <c r="B1506" s="1">
        <v>45720</v>
      </c>
      <c r="C1506" s="2">
        <v>0.66666666666666663</v>
      </c>
      <c r="D1506">
        <v>10</v>
      </c>
      <c r="E1506">
        <f>IF($D1506 &gt; 16, 0, $J$3*(16 - $D1506))</f>
        <v>1246.4918562041819</v>
      </c>
      <c r="F1506">
        <f>IF($D1506 &gt; 16, 0,$E1506*$J$5)</f>
        <v>13548119.985083252</v>
      </c>
      <c r="G1506">
        <f t="shared" si="23"/>
        <v>6</v>
      </c>
    </row>
    <row r="1507" spans="2:7" x14ac:dyDescent="0.35">
      <c r="B1507" s="1">
        <v>45720</v>
      </c>
      <c r="C1507" s="2">
        <v>0.70833333333333337</v>
      </c>
      <c r="D1507">
        <v>8.9</v>
      </c>
      <c r="E1507">
        <f>IF($D1507 &gt; 16, 0, $J$3*(16 - $D1507))</f>
        <v>1475.0153631749486</v>
      </c>
      <c r="F1507">
        <f>IF($D1507 &gt; 16, 0,$E1507*$J$5)</f>
        <v>16031941.982348517</v>
      </c>
      <c r="G1507">
        <f t="shared" si="23"/>
        <v>7.1</v>
      </c>
    </row>
    <row r="1508" spans="2:7" x14ac:dyDescent="0.35">
      <c r="B1508" s="1">
        <v>45720</v>
      </c>
      <c r="C1508" s="2">
        <v>0.75</v>
      </c>
      <c r="D1508">
        <v>6.7</v>
      </c>
      <c r="E1508">
        <f>IF($D1508 &gt; 16, 0, $J$3*(16 - $D1508))</f>
        <v>1932.0623771164821</v>
      </c>
      <c r="F1508">
        <f>IF($D1508 &gt; 16, 0,$E1508*$J$5)</f>
        <v>20999585.976879045</v>
      </c>
      <c r="G1508">
        <f t="shared" si="23"/>
        <v>9.3000000000000007</v>
      </c>
    </row>
    <row r="1509" spans="2:7" x14ac:dyDescent="0.35">
      <c r="B1509" s="1">
        <v>45720</v>
      </c>
      <c r="C1509" s="2">
        <v>0.79166666666666663</v>
      </c>
      <c r="D1509">
        <v>6.7</v>
      </c>
      <c r="E1509">
        <f>IF($D1509 &gt; 16, 0, $J$3*(16 - $D1509))</f>
        <v>1932.0623771164821</v>
      </c>
      <c r="F1509">
        <f>IF($D1509 &gt; 16, 0,$E1509*$J$5)</f>
        <v>20999585.976879045</v>
      </c>
      <c r="G1509">
        <f t="shared" si="23"/>
        <v>9.3000000000000007</v>
      </c>
    </row>
    <row r="1510" spans="2:7" x14ac:dyDescent="0.35">
      <c r="B1510" s="1">
        <v>45720</v>
      </c>
      <c r="C1510" s="2">
        <v>0.83333333333333337</v>
      </c>
      <c r="D1510">
        <v>6.3</v>
      </c>
      <c r="E1510">
        <f>IF($D1510 &gt; 16, 0, $J$3*(16 - $D1510))</f>
        <v>2015.1618341967608</v>
      </c>
      <c r="F1510">
        <f>IF($D1510 &gt; 16, 0,$E1510*$J$5)</f>
        <v>21902793.975884594</v>
      </c>
      <c r="G1510">
        <f t="shared" si="23"/>
        <v>9.6999999999999993</v>
      </c>
    </row>
    <row r="1511" spans="2:7" x14ac:dyDescent="0.35">
      <c r="B1511" s="1">
        <v>45720</v>
      </c>
      <c r="C1511" s="2">
        <v>0.875</v>
      </c>
      <c r="D1511">
        <v>4.0999999999999996</v>
      </c>
      <c r="E1511">
        <f>IF($D1511 &gt; 16, 0, $J$3*(16 - $D1511))</f>
        <v>2472.2088481382943</v>
      </c>
      <c r="F1511">
        <f>IF($D1511 &gt; 16, 0,$E1511*$J$5)</f>
        <v>26870437.970415123</v>
      </c>
      <c r="G1511">
        <f t="shared" si="23"/>
        <v>11.9</v>
      </c>
    </row>
    <row r="1512" spans="2:7" x14ac:dyDescent="0.35">
      <c r="B1512" s="1">
        <v>45720</v>
      </c>
      <c r="C1512" s="2">
        <v>0.91666666666666663</v>
      </c>
      <c r="D1512">
        <v>5.0999999999999996</v>
      </c>
      <c r="E1512">
        <f>IF($D1512 &gt; 16, 0, $J$3*(16 - $D1512))</f>
        <v>2264.4602054375973</v>
      </c>
      <c r="F1512">
        <f>IF($D1512 &gt; 16, 0,$E1512*$J$5)</f>
        <v>24612417.972901244</v>
      </c>
      <c r="G1512">
        <f t="shared" si="23"/>
        <v>10.9</v>
      </c>
    </row>
    <row r="1513" spans="2:7" x14ac:dyDescent="0.35">
      <c r="B1513" s="1">
        <v>45720</v>
      </c>
      <c r="C1513" s="2">
        <v>0.95833333333333337</v>
      </c>
      <c r="D1513">
        <v>4.5999999999999996</v>
      </c>
      <c r="E1513">
        <f>IF($D1513 &gt; 16, 0, $J$3*(16 - $D1513))</f>
        <v>2368.3345267879458</v>
      </c>
      <c r="F1513">
        <f>IF($D1513 &gt; 16, 0,$E1513*$J$5)</f>
        <v>25741427.971658185</v>
      </c>
      <c r="G1513">
        <f t="shared" si="23"/>
        <v>11.4</v>
      </c>
    </row>
    <row r="1514" spans="2:7" x14ac:dyDescent="0.35">
      <c r="B1514" s="1">
        <v>45721</v>
      </c>
      <c r="C1514" s="2">
        <v>0</v>
      </c>
      <c r="D1514">
        <v>2.9</v>
      </c>
      <c r="E1514">
        <f>IF($D1514 &gt; 16, 0, $J$3*(16 - $D1514))</f>
        <v>2721.5072193791307</v>
      </c>
      <c r="F1514">
        <f>IF($D1514 &gt; 16, 0,$E1514*$J$5)</f>
        <v>29580061.967431773</v>
      </c>
      <c r="G1514">
        <f t="shared" si="23"/>
        <v>13.1</v>
      </c>
    </row>
    <row r="1515" spans="2:7" x14ac:dyDescent="0.35">
      <c r="B1515" s="1">
        <v>45721</v>
      </c>
      <c r="C1515" s="2">
        <v>4.1666666666666657E-2</v>
      </c>
      <c r="D1515">
        <v>2.8</v>
      </c>
      <c r="E1515">
        <f>IF($D1515 &gt; 16, 0, $J$3*(16 - $D1515))</f>
        <v>2742.2820836492001</v>
      </c>
      <c r="F1515">
        <f>IF($D1515 &gt; 16, 0,$E1515*$J$5)</f>
        <v>29805863.967183154</v>
      </c>
      <c r="G1515">
        <f t="shared" si="23"/>
        <v>13.2</v>
      </c>
    </row>
    <row r="1516" spans="2:7" x14ac:dyDescent="0.35">
      <c r="B1516" s="1">
        <v>45721</v>
      </c>
      <c r="C1516" s="2">
        <v>8.3333333333333329E-2</v>
      </c>
      <c r="D1516">
        <v>3.4</v>
      </c>
      <c r="E1516">
        <f>IF($D1516 &gt; 16, 0, $J$3*(16 - $D1516))</f>
        <v>2617.6328980287822</v>
      </c>
      <c r="F1516">
        <f>IF($D1516 &gt; 16, 0,$E1516*$J$5)</f>
        <v>28451051.968674835</v>
      </c>
      <c r="G1516">
        <f t="shared" si="23"/>
        <v>12.6</v>
      </c>
    </row>
    <row r="1517" spans="2:7" x14ac:dyDescent="0.35">
      <c r="B1517" s="1">
        <v>45721</v>
      </c>
      <c r="C1517" s="2">
        <v>0.125</v>
      </c>
      <c r="D1517">
        <v>2.7</v>
      </c>
      <c r="E1517">
        <f>IF($D1517 &gt; 16, 0, $J$3*(16 - $D1517))</f>
        <v>2763.05694791927</v>
      </c>
      <c r="F1517">
        <f>IF($D1517 &gt; 16, 0,$E1517*$J$5)</f>
        <v>30031665.966934547</v>
      </c>
      <c r="G1517">
        <f t="shared" si="23"/>
        <v>13.3</v>
      </c>
    </row>
    <row r="1518" spans="2:7" x14ac:dyDescent="0.35">
      <c r="B1518" s="1">
        <v>45721</v>
      </c>
      <c r="C1518" s="2">
        <v>0.16666666666666671</v>
      </c>
      <c r="D1518">
        <v>1.9</v>
      </c>
      <c r="E1518">
        <f>IF($D1518 &gt; 16, 0, $J$3*(16 - $D1518))</f>
        <v>2929.2558620798277</v>
      </c>
      <c r="F1518">
        <f>IF($D1518 &gt; 16, 0,$E1518*$J$5)</f>
        <v>31838081.964945648</v>
      </c>
      <c r="G1518">
        <f t="shared" si="23"/>
        <v>14.1</v>
      </c>
    </row>
    <row r="1519" spans="2:7" x14ac:dyDescent="0.35">
      <c r="B1519" s="1">
        <v>45721</v>
      </c>
      <c r="C1519" s="2">
        <v>0.20833333333333329</v>
      </c>
      <c r="D1519">
        <v>2.4</v>
      </c>
      <c r="E1519">
        <f>IF($D1519 &gt; 16, 0, $J$3*(16 - $D1519))</f>
        <v>2825.3815407294792</v>
      </c>
      <c r="F1519">
        <f>IF($D1519 &gt; 16, 0,$E1519*$J$5)</f>
        <v>30709071.96618871</v>
      </c>
      <c r="G1519">
        <f t="shared" si="23"/>
        <v>13.6</v>
      </c>
    </row>
    <row r="1520" spans="2:7" x14ac:dyDescent="0.35">
      <c r="B1520" s="1">
        <v>45721</v>
      </c>
      <c r="C1520" s="2">
        <v>0.25</v>
      </c>
      <c r="D1520">
        <v>0.8</v>
      </c>
      <c r="E1520">
        <f>IF($D1520 &gt; 16, 0, $J$3*(16 - $D1520))</f>
        <v>3157.7793690505941</v>
      </c>
      <c r="F1520">
        <f>IF($D1520 &gt; 16, 0,$E1520*$J$5)</f>
        <v>34321903.962210909</v>
      </c>
      <c r="G1520">
        <f t="shared" si="23"/>
        <v>15.2</v>
      </c>
    </row>
    <row r="1521" spans="2:7" x14ac:dyDescent="0.35">
      <c r="B1521" s="1">
        <v>45721</v>
      </c>
      <c r="C1521" s="2">
        <v>0.29166666666666669</v>
      </c>
      <c r="D1521">
        <v>2.9</v>
      </c>
      <c r="E1521">
        <f>IF($D1521 &gt; 16, 0, $J$3*(16 - $D1521))</f>
        <v>2721.5072193791307</v>
      </c>
      <c r="F1521">
        <f>IF($D1521 &gt; 16, 0,$E1521*$J$5)</f>
        <v>29580061.967431773</v>
      </c>
      <c r="G1521">
        <f t="shared" si="23"/>
        <v>13.1</v>
      </c>
    </row>
    <row r="1522" spans="2:7" x14ac:dyDescent="0.35">
      <c r="B1522" s="1">
        <v>45721</v>
      </c>
      <c r="C1522" s="2">
        <v>0.33333333333333331</v>
      </c>
      <c r="D1522">
        <v>5.3</v>
      </c>
      <c r="E1522">
        <f>IF($D1522 &gt; 16, 0, $J$3*(16 - $D1522))</f>
        <v>2222.9104768974576</v>
      </c>
      <c r="F1522">
        <f>IF($D1522 &gt; 16, 0,$E1522*$J$5)</f>
        <v>24160813.973398466</v>
      </c>
      <c r="G1522">
        <f t="shared" si="23"/>
        <v>10.7</v>
      </c>
    </row>
    <row r="1523" spans="2:7" x14ac:dyDescent="0.35">
      <c r="B1523" s="1">
        <v>45721</v>
      </c>
      <c r="C1523" s="2">
        <v>0.375</v>
      </c>
      <c r="D1523">
        <v>7.3</v>
      </c>
      <c r="E1523">
        <f>IF($D1523 &gt; 16, 0, $J$3*(16 - $D1523))</f>
        <v>1807.4131914960637</v>
      </c>
      <c r="F1523">
        <f>IF($D1523 &gt; 16, 0,$E1523*$J$5)</f>
        <v>19644773.978370719</v>
      </c>
      <c r="G1523">
        <f t="shared" si="23"/>
        <v>8.6999999999999993</v>
      </c>
    </row>
    <row r="1524" spans="2:7" x14ac:dyDescent="0.35">
      <c r="B1524" s="1">
        <v>45721</v>
      </c>
      <c r="C1524" s="2">
        <v>0.41666666666666669</v>
      </c>
      <c r="D1524">
        <v>9.6</v>
      </c>
      <c r="E1524">
        <f>IF($D1524 &gt; 16, 0, $J$3*(16 - $D1524))</f>
        <v>1329.5913132844607</v>
      </c>
      <c r="F1524">
        <f>IF($D1524 &gt; 16, 0,$E1524*$J$5)</f>
        <v>14451327.984088805</v>
      </c>
      <c r="G1524">
        <f t="shared" si="23"/>
        <v>6.4</v>
      </c>
    </row>
    <row r="1525" spans="2:7" x14ac:dyDescent="0.35">
      <c r="B1525" s="1">
        <v>45721</v>
      </c>
      <c r="C1525" s="2">
        <v>0.45833333333333331</v>
      </c>
      <c r="D1525">
        <v>11.3</v>
      </c>
      <c r="E1525">
        <f>IF($D1525 &gt; 16, 0, $J$3*(16 - $D1525))</f>
        <v>976.41862069327567</v>
      </c>
      <c r="F1525">
        <f>IF($D1525 &gt; 16, 0,$E1525*$J$5)</f>
        <v>10612693.988315213</v>
      </c>
      <c r="G1525">
        <f t="shared" si="23"/>
        <v>4.6999999999999993</v>
      </c>
    </row>
    <row r="1526" spans="2:7" x14ac:dyDescent="0.35">
      <c r="B1526" s="1">
        <v>45721</v>
      </c>
      <c r="C1526" s="2">
        <v>0.5</v>
      </c>
      <c r="D1526">
        <v>12.5</v>
      </c>
      <c r="E1526">
        <f>IF($D1526 &gt; 16, 0, $J$3*(16 - $D1526))</f>
        <v>727.12024945243945</v>
      </c>
      <c r="F1526">
        <f>IF($D1526 &gt; 16, 0,$E1526*$J$5)</f>
        <v>7903069.9912985647</v>
      </c>
      <c r="G1526">
        <f t="shared" si="23"/>
        <v>3.5</v>
      </c>
    </row>
    <row r="1527" spans="2:7" x14ac:dyDescent="0.35">
      <c r="B1527" s="1">
        <v>45721</v>
      </c>
      <c r="C1527" s="2">
        <v>0.54166666666666663</v>
      </c>
      <c r="D1527">
        <v>13.7</v>
      </c>
      <c r="E1527">
        <f>IF($D1527 &gt; 16, 0, $J$3*(16 - $D1527))</f>
        <v>477.82187821160323</v>
      </c>
      <c r="F1527">
        <f>IF($D1527 &gt; 16, 0,$E1527*$J$5)</f>
        <v>5193445.9942819159</v>
      </c>
      <c r="G1527">
        <f t="shared" si="23"/>
        <v>2.3000000000000007</v>
      </c>
    </row>
    <row r="1528" spans="2:7" x14ac:dyDescent="0.35">
      <c r="B1528" s="1">
        <v>45721</v>
      </c>
      <c r="C1528" s="2">
        <v>0.58333333333333337</v>
      </c>
      <c r="D1528">
        <v>14</v>
      </c>
      <c r="E1528">
        <f>IF($D1528 &gt; 16, 0, $J$3*(16 - $D1528))</f>
        <v>415.49728540139398</v>
      </c>
      <c r="F1528">
        <f>IF($D1528 &gt; 16, 0,$E1528*$J$5)</f>
        <v>4516039.9950277507</v>
      </c>
      <c r="G1528">
        <f t="shared" si="23"/>
        <v>2</v>
      </c>
    </row>
    <row r="1529" spans="2:7" x14ac:dyDescent="0.35">
      <c r="B1529" s="1">
        <v>45721</v>
      </c>
      <c r="C1529" s="2">
        <v>0.625</v>
      </c>
      <c r="D1529">
        <v>13.8</v>
      </c>
      <c r="E1529">
        <f>IF($D1529 &gt; 16, 0, $J$3*(16 - $D1529))</f>
        <v>457.04701394153324</v>
      </c>
      <c r="F1529">
        <f>IF($D1529 &gt; 16, 0,$E1529*$J$5)</f>
        <v>4967643.9945305251</v>
      </c>
      <c r="G1529">
        <f t="shared" si="23"/>
        <v>2.1999999999999993</v>
      </c>
    </row>
    <row r="1530" spans="2:7" x14ac:dyDescent="0.35">
      <c r="B1530" s="1">
        <v>45721</v>
      </c>
      <c r="C1530" s="2">
        <v>0.66666666666666663</v>
      </c>
      <c r="D1530">
        <v>13.7</v>
      </c>
      <c r="E1530">
        <f>IF($D1530 &gt; 16, 0, $J$3*(16 - $D1530))</f>
        <v>477.82187821160323</v>
      </c>
      <c r="F1530">
        <f>IF($D1530 &gt; 16, 0,$E1530*$J$5)</f>
        <v>5193445.9942819159</v>
      </c>
      <c r="G1530">
        <f t="shared" si="23"/>
        <v>2.3000000000000007</v>
      </c>
    </row>
    <row r="1531" spans="2:7" x14ac:dyDescent="0.35">
      <c r="B1531" s="1">
        <v>45721</v>
      </c>
      <c r="C1531" s="2">
        <v>0.70833333333333337</v>
      </c>
      <c r="D1531">
        <v>10.9</v>
      </c>
      <c r="E1531">
        <f>IF($D1531 &gt; 16, 0, $J$3*(16 - $D1531))</f>
        <v>1059.5180777735545</v>
      </c>
      <c r="F1531">
        <f>IF($D1531 &gt; 16, 0,$E1531*$J$5)</f>
        <v>11515901.987320764</v>
      </c>
      <c r="G1531">
        <f t="shared" si="23"/>
        <v>5.0999999999999996</v>
      </c>
    </row>
    <row r="1532" spans="2:7" x14ac:dyDescent="0.35">
      <c r="B1532" s="1">
        <v>45721</v>
      </c>
      <c r="C1532" s="2">
        <v>0.75</v>
      </c>
      <c r="D1532">
        <v>9.6</v>
      </c>
      <c r="E1532">
        <f>IF($D1532 &gt; 16, 0, $J$3*(16 - $D1532))</f>
        <v>1329.5913132844607</v>
      </c>
      <c r="F1532">
        <f>IF($D1532 &gt; 16, 0,$E1532*$J$5)</f>
        <v>14451327.984088805</v>
      </c>
      <c r="G1532">
        <f t="shared" si="23"/>
        <v>6.4</v>
      </c>
    </row>
    <row r="1533" spans="2:7" x14ac:dyDescent="0.35">
      <c r="B1533" s="1">
        <v>45721</v>
      </c>
      <c r="C1533" s="2">
        <v>0.79166666666666663</v>
      </c>
      <c r="D1533">
        <v>6.3</v>
      </c>
      <c r="E1533">
        <f>IF($D1533 &gt; 16, 0, $J$3*(16 - $D1533))</f>
        <v>2015.1618341967608</v>
      </c>
      <c r="F1533">
        <f>IF($D1533 &gt; 16, 0,$E1533*$J$5)</f>
        <v>21902793.975884594</v>
      </c>
      <c r="G1533">
        <f t="shared" si="23"/>
        <v>9.6999999999999993</v>
      </c>
    </row>
    <row r="1534" spans="2:7" x14ac:dyDescent="0.35">
      <c r="B1534" s="1">
        <v>45721</v>
      </c>
      <c r="C1534" s="2">
        <v>0.83333333333333337</v>
      </c>
      <c r="D1534">
        <v>5.3</v>
      </c>
      <c r="E1534">
        <f>IF($D1534 &gt; 16, 0, $J$3*(16 - $D1534))</f>
        <v>2222.9104768974576</v>
      </c>
      <c r="F1534">
        <f>IF($D1534 &gt; 16, 0,$E1534*$J$5)</f>
        <v>24160813.973398466</v>
      </c>
      <c r="G1534">
        <f t="shared" si="23"/>
        <v>10.7</v>
      </c>
    </row>
    <row r="1535" spans="2:7" x14ac:dyDescent="0.35">
      <c r="B1535" s="1">
        <v>45721</v>
      </c>
      <c r="C1535" s="2">
        <v>0.875</v>
      </c>
      <c r="D1535">
        <v>4.3</v>
      </c>
      <c r="E1535">
        <f>IF($D1535 &gt; 16, 0, $J$3*(16 - $D1535))</f>
        <v>2430.6591195981546</v>
      </c>
      <c r="F1535">
        <f>IF($D1535 &gt; 16, 0,$E1535*$J$5)</f>
        <v>26418833.970912341</v>
      </c>
      <c r="G1535">
        <f t="shared" si="23"/>
        <v>11.7</v>
      </c>
    </row>
    <row r="1536" spans="2:7" x14ac:dyDescent="0.35">
      <c r="B1536" s="1">
        <v>45721</v>
      </c>
      <c r="C1536" s="2">
        <v>0.91666666666666663</v>
      </c>
      <c r="D1536">
        <v>4.5</v>
      </c>
      <c r="E1536">
        <f>IF($D1536 &gt; 16, 0, $J$3*(16 - $D1536))</f>
        <v>2389.1093910580153</v>
      </c>
      <c r="F1536">
        <f>IF($D1536 &gt; 16, 0,$E1536*$J$5)</f>
        <v>25967229.971409567</v>
      </c>
      <c r="G1536">
        <f t="shared" si="23"/>
        <v>11.5</v>
      </c>
    </row>
    <row r="1537" spans="2:7" x14ac:dyDescent="0.35">
      <c r="B1537" s="1">
        <v>45721</v>
      </c>
      <c r="C1537" s="2">
        <v>0.95833333333333337</v>
      </c>
      <c r="D1537">
        <v>3.6</v>
      </c>
      <c r="E1537">
        <f>IF($D1537 &gt; 16, 0, $J$3*(16 - $D1537))</f>
        <v>2576.0831694886429</v>
      </c>
      <c r="F1537">
        <f>IF($D1537 &gt; 16, 0,$E1537*$J$5)</f>
        <v>27999447.96917206</v>
      </c>
      <c r="G1537">
        <f t="shared" si="23"/>
        <v>12.4</v>
      </c>
    </row>
    <row r="1538" spans="2:7" x14ac:dyDescent="0.35">
      <c r="B1538" s="1">
        <v>45722</v>
      </c>
      <c r="C1538" s="2">
        <v>0</v>
      </c>
      <c r="D1538">
        <v>3.3</v>
      </c>
      <c r="E1538">
        <f>IF($D1538 &gt; 16, 0, $J$3*(16 - $D1538))</f>
        <v>2638.4077622988516</v>
      </c>
      <c r="F1538">
        <f>IF($D1538 &gt; 16, 0,$E1538*$J$5)</f>
        <v>28676853.968426216</v>
      </c>
      <c r="G1538">
        <f t="shared" si="23"/>
        <v>12.7</v>
      </c>
    </row>
    <row r="1539" spans="2:7" x14ac:dyDescent="0.35">
      <c r="B1539" s="1">
        <v>45722</v>
      </c>
      <c r="C1539" s="2">
        <v>4.1666666666666657E-2</v>
      </c>
      <c r="D1539">
        <v>2.7</v>
      </c>
      <c r="E1539">
        <f>IF($D1539 &gt; 16, 0, $J$3*(16 - $D1539))</f>
        <v>2763.05694791927</v>
      </c>
      <c r="F1539">
        <f>IF($D1539 &gt; 16, 0,$E1539*$J$5)</f>
        <v>30031665.966934547</v>
      </c>
      <c r="G1539">
        <f t="shared" ref="G1539:G1602" si="24">MAX(0, 16 - $D1539)</f>
        <v>13.3</v>
      </c>
    </row>
    <row r="1540" spans="2:7" x14ac:dyDescent="0.35">
      <c r="B1540" s="1">
        <v>45722</v>
      </c>
      <c r="C1540" s="2">
        <v>8.3333333333333329E-2</v>
      </c>
      <c r="D1540">
        <v>1.8</v>
      </c>
      <c r="E1540">
        <f>IF($D1540 &gt; 16, 0, $J$3*(16 - $D1540))</f>
        <v>2950.0307263498971</v>
      </c>
      <c r="F1540">
        <f>IF($D1540 &gt; 16, 0,$E1540*$J$5)</f>
        <v>32063883.964697033</v>
      </c>
      <c r="G1540">
        <f t="shared" si="24"/>
        <v>14.2</v>
      </c>
    </row>
    <row r="1541" spans="2:7" x14ac:dyDescent="0.35">
      <c r="B1541" s="1">
        <v>45722</v>
      </c>
      <c r="C1541" s="2">
        <v>0.125</v>
      </c>
      <c r="D1541">
        <v>0</v>
      </c>
      <c r="E1541">
        <f>IF($D1541 &gt; 16, 0, $J$3*(16 - $D1541))</f>
        <v>3323.9782832111518</v>
      </c>
      <c r="F1541">
        <f>IF($D1541 &gt; 16, 0,$E1541*$J$5)</f>
        <v>36128319.960222006</v>
      </c>
      <c r="G1541">
        <f t="shared" si="24"/>
        <v>16</v>
      </c>
    </row>
    <row r="1542" spans="2:7" x14ac:dyDescent="0.35">
      <c r="B1542" s="1">
        <v>45722</v>
      </c>
      <c r="C1542" s="2">
        <v>0.16666666666666671</v>
      </c>
      <c r="D1542">
        <v>-0.5</v>
      </c>
      <c r="E1542">
        <f>IF($D1542 &gt; 16, 0, $J$3*(16 - $D1542))</f>
        <v>3427.8526045615004</v>
      </c>
      <c r="F1542">
        <f>IF($D1542 &gt; 16, 0,$E1542*$J$5)</f>
        <v>37257329.958978951</v>
      </c>
      <c r="G1542">
        <f t="shared" si="24"/>
        <v>16.5</v>
      </c>
    </row>
    <row r="1543" spans="2:7" x14ac:dyDescent="0.35">
      <c r="B1543" s="1">
        <v>45722</v>
      </c>
      <c r="C1543" s="2">
        <v>0.20833333333333329</v>
      </c>
      <c r="D1543">
        <v>0.6</v>
      </c>
      <c r="E1543">
        <f>IF($D1543 &gt; 16, 0, $J$3*(16 - $D1543))</f>
        <v>3199.3290975907339</v>
      </c>
      <c r="F1543">
        <f>IF($D1543 &gt; 16, 0,$E1543*$J$5)</f>
        <v>34773507.961713687</v>
      </c>
      <c r="G1543">
        <f t="shared" si="24"/>
        <v>15.4</v>
      </c>
    </row>
    <row r="1544" spans="2:7" x14ac:dyDescent="0.35">
      <c r="B1544" s="1">
        <v>45722</v>
      </c>
      <c r="C1544" s="2">
        <v>0.25</v>
      </c>
      <c r="D1544">
        <v>0.8</v>
      </c>
      <c r="E1544">
        <f>IF($D1544 &gt; 16, 0, $J$3*(16 - $D1544))</f>
        <v>3157.7793690505941</v>
      </c>
      <c r="F1544">
        <f>IF($D1544 &gt; 16, 0,$E1544*$J$5)</f>
        <v>34321903.962210909</v>
      </c>
      <c r="G1544">
        <f t="shared" si="24"/>
        <v>15.2</v>
      </c>
    </row>
    <row r="1545" spans="2:7" x14ac:dyDescent="0.35">
      <c r="B1545" s="1">
        <v>45722</v>
      </c>
      <c r="C1545" s="2">
        <v>0.29166666666666669</v>
      </c>
      <c r="D1545">
        <v>2.2999999999999998</v>
      </c>
      <c r="E1545">
        <f>IF($D1545 &gt; 16, 0, $J$3*(16 - $D1545))</f>
        <v>2846.1564049995486</v>
      </c>
      <c r="F1545">
        <f>IF($D1545 &gt; 16, 0,$E1545*$J$5)</f>
        <v>30934873.965940095</v>
      </c>
      <c r="G1545">
        <f t="shared" si="24"/>
        <v>13.7</v>
      </c>
    </row>
    <row r="1546" spans="2:7" x14ac:dyDescent="0.35">
      <c r="B1546" s="1">
        <v>45722</v>
      </c>
      <c r="C1546" s="2">
        <v>0.33333333333333331</v>
      </c>
      <c r="D1546">
        <v>5.8</v>
      </c>
      <c r="E1546">
        <f>IF($D1546 &gt; 16, 0, $J$3*(16 - $D1546))</f>
        <v>2119.036155547109</v>
      </c>
      <c r="F1546">
        <f>IF($D1546 &gt; 16, 0,$E1546*$J$5)</f>
        <v>23031803.974641528</v>
      </c>
      <c r="G1546">
        <f t="shared" si="24"/>
        <v>10.199999999999999</v>
      </c>
    </row>
    <row r="1547" spans="2:7" x14ac:dyDescent="0.35">
      <c r="B1547" s="1">
        <v>45722</v>
      </c>
      <c r="C1547" s="2">
        <v>0.375</v>
      </c>
      <c r="D1547">
        <v>9.6</v>
      </c>
      <c r="E1547">
        <f>IF($D1547 &gt; 16, 0, $J$3*(16 - $D1547))</f>
        <v>1329.5913132844607</v>
      </c>
      <c r="F1547">
        <f>IF($D1547 &gt; 16, 0,$E1547*$J$5)</f>
        <v>14451327.984088805</v>
      </c>
      <c r="G1547">
        <f t="shared" si="24"/>
        <v>6.4</v>
      </c>
    </row>
    <row r="1548" spans="2:7" x14ac:dyDescent="0.35">
      <c r="B1548" s="1">
        <v>45722</v>
      </c>
      <c r="C1548" s="2">
        <v>0.41666666666666669</v>
      </c>
      <c r="D1548">
        <v>11.9</v>
      </c>
      <c r="E1548">
        <f>IF($D1548 &gt; 16, 0, $J$3*(16 - $D1548))</f>
        <v>851.76943507285762</v>
      </c>
      <c r="F1548">
        <f>IF($D1548 &gt; 16, 0,$E1548*$J$5)</f>
        <v>9257881.9898068886</v>
      </c>
      <c r="G1548">
        <f t="shared" si="24"/>
        <v>4.0999999999999996</v>
      </c>
    </row>
    <row r="1549" spans="2:7" x14ac:dyDescent="0.35">
      <c r="B1549" s="1">
        <v>45722</v>
      </c>
      <c r="C1549" s="2">
        <v>0.45833333333333331</v>
      </c>
      <c r="D1549">
        <v>14</v>
      </c>
      <c r="E1549">
        <f>IF($D1549 &gt; 16, 0, $J$3*(16 - $D1549))</f>
        <v>415.49728540139398</v>
      </c>
      <c r="F1549">
        <f>IF($D1549 &gt; 16, 0,$E1549*$J$5)</f>
        <v>4516039.9950277507</v>
      </c>
      <c r="G1549">
        <f t="shared" si="24"/>
        <v>2</v>
      </c>
    </row>
    <row r="1550" spans="2:7" x14ac:dyDescent="0.35">
      <c r="B1550" s="1">
        <v>45722</v>
      </c>
      <c r="C1550" s="2">
        <v>0.5</v>
      </c>
      <c r="D1550">
        <v>15.2</v>
      </c>
      <c r="E1550">
        <f>IF($D1550 &gt; 16, 0, $J$3*(16 - $D1550))</f>
        <v>166.19891416055773</v>
      </c>
      <c r="F1550">
        <f>IF($D1550 &gt; 16, 0,$E1550*$J$5)</f>
        <v>1806415.998011102</v>
      </c>
      <c r="G1550">
        <f t="shared" si="24"/>
        <v>0.80000000000000071</v>
      </c>
    </row>
    <row r="1551" spans="2:7" x14ac:dyDescent="0.35">
      <c r="B1551" s="1">
        <v>45722</v>
      </c>
      <c r="C1551" s="2">
        <v>0.54166666666666663</v>
      </c>
      <c r="D1551">
        <v>16</v>
      </c>
      <c r="E1551">
        <f>IF($D1551 &gt; 16, 0, $J$3*(16 - $D1551))</f>
        <v>0</v>
      </c>
      <c r="F1551">
        <f>IF($D1551 &gt; 16, 0,$E1551*$J$5)</f>
        <v>0</v>
      </c>
      <c r="G1551">
        <f t="shared" si="24"/>
        <v>0</v>
      </c>
    </row>
    <row r="1552" spans="2:7" x14ac:dyDescent="0.35">
      <c r="B1552" s="1">
        <v>45722</v>
      </c>
      <c r="C1552" s="2">
        <v>0.58333333333333337</v>
      </c>
      <c r="D1552">
        <v>15.9</v>
      </c>
      <c r="E1552">
        <f>IF($D1552 &gt; 16, 0, $J$3*(16 - $D1552))</f>
        <v>20.774864270069624</v>
      </c>
      <c r="F1552">
        <f>IF($D1552 &gt; 16, 0,$E1552*$J$5)</f>
        <v>225801.99975138676</v>
      </c>
      <c r="G1552">
        <f t="shared" si="24"/>
        <v>9.9999999999999645E-2</v>
      </c>
    </row>
    <row r="1553" spans="2:7" x14ac:dyDescent="0.35">
      <c r="B1553" s="1">
        <v>45722</v>
      </c>
      <c r="C1553" s="2">
        <v>0.625</v>
      </c>
      <c r="D1553">
        <v>15.8</v>
      </c>
      <c r="E1553">
        <f>IF($D1553 &gt; 16, 0, $J$3*(16 - $D1553))</f>
        <v>41.549728540139249</v>
      </c>
      <c r="F1553">
        <f>IF($D1553 &gt; 16, 0,$E1553*$J$5)</f>
        <v>451603.99950277351</v>
      </c>
      <c r="G1553">
        <f t="shared" si="24"/>
        <v>0.19999999999999929</v>
      </c>
    </row>
    <row r="1554" spans="2:7" x14ac:dyDescent="0.35">
      <c r="B1554" s="1">
        <v>45722</v>
      </c>
      <c r="C1554" s="2">
        <v>0.66666666666666663</v>
      </c>
      <c r="D1554">
        <v>14.9</v>
      </c>
      <c r="E1554">
        <f>IF($D1554 &gt; 16, 0, $J$3*(16 - $D1554))</f>
        <v>228.52350697076662</v>
      </c>
      <c r="F1554">
        <f>IF($D1554 &gt; 16, 0,$E1554*$J$5)</f>
        <v>2483821.9972652625</v>
      </c>
      <c r="G1554">
        <f t="shared" si="24"/>
        <v>1.0999999999999996</v>
      </c>
    </row>
    <row r="1555" spans="2:7" x14ac:dyDescent="0.35">
      <c r="B1555" s="1">
        <v>45722</v>
      </c>
      <c r="C1555" s="2">
        <v>0.70833333333333337</v>
      </c>
      <c r="D1555">
        <v>13.2</v>
      </c>
      <c r="E1555">
        <f>IF($D1555 &gt; 16, 0, $J$3*(16 - $D1555))</f>
        <v>581.69619956195174</v>
      </c>
      <c r="F1555">
        <f>IF($D1555 &gt; 16, 0,$E1555*$J$5)</f>
        <v>6322455.9930388536</v>
      </c>
      <c r="G1555">
        <f t="shared" si="24"/>
        <v>2.8000000000000007</v>
      </c>
    </row>
    <row r="1556" spans="2:7" x14ac:dyDescent="0.35">
      <c r="B1556" s="1">
        <v>45722</v>
      </c>
      <c r="C1556" s="2">
        <v>0.75</v>
      </c>
      <c r="D1556">
        <v>9.4</v>
      </c>
      <c r="E1556">
        <f>IF($D1556 &gt; 16, 0, $J$3*(16 - $D1556))</f>
        <v>1371.1410418246001</v>
      </c>
      <c r="F1556">
        <f>IF($D1556 &gt; 16, 0,$E1556*$J$5)</f>
        <v>14902931.983591577</v>
      </c>
      <c r="G1556">
        <f t="shared" si="24"/>
        <v>6.6</v>
      </c>
    </row>
    <row r="1557" spans="2:7" x14ac:dyDescent="0.35">
      <c r="B1557" s="1">
        <v>45722</v>
      </c>
      <c r="C1557" s="2">
        <v>0.79166666666666663</v>
      </c>
      <c r="D1557">
        <v>7.2</v>
      </c>
      <c r="E1557">
        <f>IF($D1557 &gt; 16, 0, $J$3*(16 - $D1557))</f>
        <v>1828.1880557661336</v>
      </c>
      <c r="F1557">
        <f>IF($D1557 &gt; 16, 0,$E1557*$J$5)</f>
        <v>19870575.978122108</v>
      </c>
      <c r="G1557">
        <f t="shared" si="24"/>
        <v>8.8000000000000007</v>
      </c>
    </row>
    <row r="1558" spans="2:7" x14ac:dyDescent="0.35">
      <c r="B1558" s="1">
        <v>45722</v>
      </c>
      <c r="C1558" s="2">
        <v>0.83333333333333337</v>
      </c>
      <c r="D1558">
        <v>5.5</v>
      </c>
      <c r="E1558">
        <f>IF($D1558 &gt; 16, 0, $J$3*(16 - $D1558))</f>
        <v>2181.3607483573182</v>
      </c>
      <c r="F1558">
        <f>IF($D1558 &gt; 16, 0,$E1558*$J$5)</f>
        <v>23709209.973895691</v>
      </c>
      <c r="G1558">
        <f t="shared" si="24"/>
        <v>10.5</v>
      </c>
    </row>
    <row r="1559" spans="2:7" x14ac:dyDescent="0.35">
      <c r="B1559" s="1">
        <v>45722</v>
      </c>
      <c r="C1559" s="2">
        <v>0.875</v>
      </c>
      <c r="D1559">
        <v>4.7</v>
      </c>
      <c r="E1559">
        <f>IF($D1559 &gt; 16, 0, $J$3*(16 - $D1559))</f>
        <v>2347.5596625178759</v>
      </c>
      <c r="F1559">
        <f>IF($D1559 &gt; 16, 0,$E1559*$J$5)</f>
        <v>25515625.971906792</v>
      </c>
      <c r="G1559">
        <f t="shared" si="24"/>
        <v>11.3</v>
      </c>
    </row>
    <row r="1560" spans="2:7" x14ac:dyDescent="0.35">
      <c r="B1560" s="1">
        <v>45722</v>
      </c>
      <c r="C1560" s="2">
        <v>0.91666666666666663</v>
      </c>
      <c r="D1560">
        <v>3.6</v>
      </c>
      <c r="E1560">
        <f>IF($D1560 &gt; 16, 0, $J$3*(16 - $D1560))</f>
        <v>2576.0831694886429</v>
      </c>
      <c r="F1560">
        <f>IF($D1560 &gt; 16, 0,$E1560*$J$5)</f>
        <v>27999447.96917206</v>
      </c>
      <c r="G1560">
        <f t="shared" si="24"/>
        <v>12.4</v>
      </c>
    </row>
    <row r="1561" spans="2:7" x14ac:dyDescent="0.35">
      <c r="B1561" s="1">
        <v>45722</v>
      </c>
      <c r="C1561" s="2">
        <v>0.95833333333333337</v>
      </c>
      <c r="D1561">
        <v>3.1</v>
      </c>
      <c r="E1561">
        <f>IF($D1561 &gt; 16, 0, $J$3*(16 - $D1561))</f>
        <v>2679.9574908389914</v>
      </c>
      <c r="F1561">
        <f>IF($D1561 &gt; 16, 0,$E1561*$J$5)</f>
        <v>29128457.967928998</v>
      </c>
      <c r="G1561">
        <f t="shared" si="24"/>
        <v>12.9</v>
      </c>
    </row>
    <row r="1562" spans="2:7" x14ac:dyDescent="0.35">
      <c r="B1562" s="1">
        <v>45723</v>
      </c>
      <c r="C1562" s="2">
        <v>0</v>
      </c>
      <c r="D1562">
        <v>4</v>
      </c>
      <c r="E1562">
        <f>IF($D1562 &gt; 16, 0, $J$3*(16 - $D1562))</f>
        <v>2492.9837124083638</v>
      </c>
      <c r="F1562">
        <f>IF($D1562 &gt; 16, 0,$E1562*$J$5)</f>
        <v>27096239.970166504</v>
      </c>
      <c r="G1562">
        <f t="shared" si="24"/>
        <v>12</v>
      </c>
    </row>
    <row r="1563" spans="2:7" x14ac:dyDescent="0.35">
      <c r="B1563" s="1">
        <v>45723</v>
      </c>
      <c r="C1563" s="2">
        <v>4.1666666666666657E-2</v>
      </c>
      <c r="D1563">
        <v>4.7</v>
      </c>
      <c r="E1563">
        <f>IF($D1563 &gt; 16, 0, $J$3*(16 - $D1563))</f>
        <v>2347.5596625178759</v>
      </c>
      <c r="F1563">
        <f>IF($D1563 &gt; 16, 0,$E1563*$J$5)</f>
        <v>25515625.971906792</v>
      </c>
      <c r="G1563">
        <f t="shared" si="24"/>
        <v>11.3</v>
      </c>
    </row>
    <row r="1564" spans="2:7" x14ac:dyDescent="0.35">
      <c r="B1564" s="1">
        <v>45723</v>
      </c>
      <c r="C1564" s="2">
        <v>8.3333333333333329E-2</v>
      </c>
      <c r="D1564">
        <v>4.5</v>
      </c>
      <c r="E1564">
        <f>IF($D1564 &gt; 16, 0, $J$3*(16 - $D1564))</f>
        <v>2389.1093910580153</v>
      </c>
      <c r="F1564">
        <f>IF($D1564 &gt; 16, 0,$E1564*$J$5)</f>
        <v>25967229.971409567</v>
      </c>
      <c r="G1564">
        <f t="shared" si="24"/>
        <v>11.5</v>
      </c>
    </row>
    <row r="1565" spans="2:7" x14ac:dyDescent="0.35">
      <c r="B1565" s="1">
        <v>45723</v>
      </c>
      <c r="C1565" s="2">
        <v>0.125</v>
      </c>
      <c r="D1565">
        <v>3.9</v>
      </c>
      <c r="E1565">
        <f>IF($D1565 &gt; 16, 0, $J$3*(16 - $D1565))</f>
        <v>2513.7585766784337</v>
      </c>
      <c r="F1565">
        <f>IF($D1565 &gt; 16, 0,$E1565*$J$5)</f>
        <v>27322041.969917897</v>
      </c>
      <c r="G1565">
        <f t="shared" si="24"/>
        <v>12.1</v>
      </c>
    </row>
    <row r="1566" spans="2:7" x14ac:dyDescent="0.35">
      <c r="B1566" s="1">
        <v>45723</v>
      </c>
      <c r="C1566" s="2">
        <v>0.16666666666666671</v>
      </c>
      <c r="D1566">
        <v>4.0999999999999996</v>
      </c>
      <c r="E1566">
        <f>IF($D1566 &gt; 16, 0, $J$3*(16 - $D1566))</f>
        <v>2472.2088481382943</v>
      </c>
      <c r="F1566">
        <f>IF($D1566 &gt; 16, 0,$E1566*$J$5)</f>
        <v>26870437.970415123</v>
      </c>
      <c r="G1566">
        <f t="shared" si="24"/>
        <v>11.9</v>
      </c>
    </row>
    <row r="1567" spans="2:7" x14ac:dyDescent="0.35">
      <c r="B1567" s="1">
        <v>45723</v>
      </c>
      <c r="C1567" s="2">
        <v>0.20833333333333329</v>
      </c>
      <c r="D1567">
        <v>3.9</v>
      </c>
      <c r="E1567">
        <f>IF($D1567 &gt; 16, 0, $J$3*(16 - $D1567))</f>
        <v>2513.7585766784337</v>
      </c>
      <c r="F1567">
        <f>IF($D1567 &gt; 16, 0,$E1567*$J$5)</f>
        <v>27322041.969917897</v>
      </c>
      <c r="G1567">
        <f t="shared" si="24"/>
        <v>12.1</v>
      </c>
    </row>
    <row r="1568" spans="2:7" x14ac:dyDescent="0.35">
      <c r="B1568" s="1">
        <v>45723</v>
      </c>
      <c r="C1568" s="2">
        <v>0.25</v>
      </c>
      <c r="D1568">
        <v>4.5</v>
      </c>
      <c r="E1568">
        <f>IF($D1568 &gt; 16, 0, $J$3*(16 - $D1568))</f>
        <v>2389.1093910580153</v>
      </c>
      <c r="F1568">
        <f>IF($D1568 &gt; 16, 0,$E1568*$J$5)</f>
        <v>25967229.971409567</v>
      </c>
      <c r="G1568">
        <f t="shared" si="24"/>
        <v>11.5</v>
      </c>
    </row>
    <row r="1569" spans="2:7" x14ac:dyDescent="0.35">
      <c r="B1569" s="1">
        <v>45723</v>
      </c>
      <c r="C1569" s="2">
        <v>0.29166666666666669</v>
      </c>
      <c r="D1569">
        <v>4.7</v>
      </c>
      <c r="E1569">
        <f>IF($D1569 &gt; 16, 0, $J$3*(16 - $D1569))</f>
        <v>2347.5596625178759</v>
      </c>
      <c r="F1569">
        <f>IF($D1569 &gt; 16, 0,$E1569*$J$5)</f>
        <v>25515625.971906792</v>
      </c>
      <c r="G1569">
        <f t="shared" si="24"/>
        <v>11.3</v>
      </c>
    </row>
    <row r="1570" spans="2:7" x14ac:dyDescent="0.35">
      <c r="B1570" s="1">
        <v>45723</v>
      </c>
      <c r="C1570" s="2">
        <v>0.33333333333333331</v>
      </c>
      <c r="D1570">
        <v>7.5</v>
      </c>
      <c r="E1570">
        <f>IF($D1570 &gt; 16, 0, $J$3*(16 - $D1570))</f>
        <v>1765.8634629559244</v>
      </c>
      <c r="F1570">
        <f>IF($D1570 &gt; 16, 0,$E1570*$J$5)</f>
        <v>19193169.978867944</v>
      </c>
      <c r="G1570">
        <f t="shared" si="24"/>
        <v>8.5</v>
      </c>
    </row>
    <row r="1571" spans="2:7" x14ac:dyDescent="0.35">
      <c r="B1571" s="1">
        <v>45723</v>
      </c>
      <c r="C1571" s="2">
        <v>0.375</v>
      </c>
      <c r="D1571">
        <v>10.7</v>
      </c>
      <c r="E1571">
        <f>IF($D1571 &gt; 16, 0, $J$3*(16 - $D1571))</f>
        <v>1101.0678063136943</v>
      </c>
      <c r="F1571">
        <f>IF($D1571 &gt; 16, 0,$E1571*$J$5)</f>
        <v>11967505.986823544</v>
      </c>
      <c r="G1571">
        <f t="shared" si="24"/>
        <v>5.3000000000000007</v>
      </c>
    </row>
    <row r="1572" spans="2:7" x14ac:dyDescent="0.35">
      <c r="B1572" s="1">
        <v>45723</v>
      </c>
      <c r="C1572" s="2">
        <v>0.41666666666666669</v>
      </c>
      <c r="D1572">
        <v>13.5</v>
      </c>
      <c r="E1572">
        <f>IF($D1572 &gt; 16, 0, $J$3*(16 - $D1572))</f>
        <v>519.37160675174243</v>
      </c>
      <c r="F1572">
        <f>IF($D1572 &gt; 16, 0,$E1572*$J$5)</f>
        <v>5645049.9937846884</v>
      </c>
      <c r="G1572">
        <f t="shared" si="24"/>
        <v>2.5</v>
      </c>
    </row>
    <row r="1573" spans="2:7" x14ac:dyDescent="0.35">
      <c r="B1573" s="1">
        <v>45723</v>
      </c>
      <c r="C1573" s="2">
        <v>0.45833333333333331</v>
      </c>
      <c r="D1573">
        <v>15</v>
      </c>
      <c r="E1573">
        <f>IF($D1573 &gt; 16, 0, $J$3*(16 - $D1573))</f>
        <v>207.74864270069699</v>
      </c>
      <c r="F1573">
        <f>IF($D1573 &gt; 16, 0,$E1573*$J$5)</f>
        <v>2258019.9975138754</v>
      </c>
      <c r="G1573">
        <f t="shared" si="24"/>
        <v>1</v>
      </c>
    </row>
    <row r="1574" spans="2:7" x14ac:dyDescent="0.35">
      <c r="B1574" s="1">
        <v>45723</v>
      </c>
      <c r="C1574" s="2">
        <v>0.5</v>
      </c>
      <c r="D1574">
        <v>16.7</v>
      </c>
      <c r="E1574">
        <f>IF($D1574 &gt; 16, 0, $J$3*(16 - $D1574))</f>
        <v>0</v>
      </c>
      <c r="F1574">
        <f>IF($D1574 &gt; 16, 0,$E1574*$J$5)</f>
        <v>0</v>
      </c>
      <c r="G1574">
        <f t="shared" si="24"/>
        <v>0</v>
      </c>
    </row>
    <row r="1575" spans="2:7" x14ac:dyDescent="0.35">
      <c r="B1575" s="1">
        <v>45723</v>
      </c>
      <c r="C1575" s="2">
        <v>0.54166666666666663</v>
      </c>
      <c r="D1575">
        <v>17.5</v>
      </c>
      <c r="E1575">
        <f>IF($D1575 &gt; 16, 0, $J$3*(16 - $D1575))</f>
        <v>0</v>
      </c>
      <c r="F1575">
        <f>IF($D1575 &gt; 16, 0,$E1575*$J$5)</f>
        <v>0</v>
      </c>
      <c r="G1575">
        <f t="shared" si="24"/>
        <v>0</v>
      </c>
    </row>
    <row r="1576" spans="2:7" x14ac:dyDescent="0.35">
      <c r="B1576" s="1">
        <v>45723</v>
      </c>
      <c r="C1576" s="2">
        <v>0.58333333333333337</v>
      </c>
      <c r="D1576">
        <v>17.7</v>
      </c>
      <c r="E1576">
        <f>IF($D1576 &gt; 16, 0, $J$3*(16 - $D1576))</f>
        <v>0</v>
      </c>
      <c r="F1576">
        <f>IF($D1576 &gt; 16, 0,$E1576*$J$5)</f>
        <v>0</v>
      </c>
      <c r="G1576">
        <f t="shared" si="24"/>
        <v>0</v>
      </c>
    </row>
    <row r="1577" spans="2:7" x14ac:dyDescent="0.35">
      <c r="B1577" s="1">
        <v>45723</v>
      </c>
      <c r="C1577" s="2">
        <v>0.625</v>
      </c>
      <c r="D1577">
        <v>17.5</v>
      </c>
      <c r="E1577">
        <f>IF($D1577 &gt; 16, 0, $J$3*(16 - $D1577))</f>
        <v>0</v>
      </c>
      <c r="F1577">
        <f>IF($D1577 &gt; 16, 0,$E1577*$J$5)</f>
        <v>0</v>
      </c>
      <c r="G1577">
        <f t="shared" si="24"/>
        <v>0</v>
      </c>
    </row>
    <row r="1578" spans="2:7" x14ac:dyDescent="0.35">
      <c r="B1578" s="1">
        <v>45723</v>
      </c>
      <c r="C1578" s="2">
        <v>0.66666666666666663</v>
      </c>
      <c r="D1578">
        <v>16.7</v>
      </c>
      <c r="E1578">
        <f>IF($D1578 &gt; 16, 0, $J$3*(16 - $D1578))</f>
        <v>0</v>
      </c>
      <c r="F1578">
        <f>IF($D1578 &gt; 16, 0,$E1578*$J$5)</f>
        <v>0</v>
      </c>
      <c r="G1578">
        <f t="shared" si="24"/>
        <v>0</v>
      </c>
    </row>
    <row r="1579" spans="2:7" x14ac:dyDescent="0.35">
      <c r="B1579" s="1">
        <v>45723</v>
      </c>
      <c r="C1579" s="2">
        <v>0.70833333333333337</v>
      </c>
      <c r="D1579">
        <v>14.4</v>
      </c>
      <c r="E1579">
        <f>IF($D1579 &gt; 16, 0, $J$3*(16 - $D1579))</f>
        <v>332.39782832111513</v>
      </c>
      <c r="F1579">
        <f>IF($D1579 &gt; 16, 0,$E1579*$J$5)</f>
        <v>3612831.9960222002</v>
      </c>
      <c r="G1579">
        <f t="shared" si="24"/>
        <v>1.5999999999999996</v>
      </c>
    </row>
    <row r="1580" spans="2:7" x14ac:dyDescent="0.35">
      <c r="B1580" s="1">
        <v>45723</v>
      </c>
      <c r="C1580" s="2">
        <v>0.75</v>
      </c>
      <c r="D1580">
        <v>11.3</v>
      </c>
      <c r="E1580">
        <f>IF($D1580 &gt; 16, 0, $J$3*(16 - $D1580))</f>
        <v>976.41862069327567</v>
      </c>
      <c r="F1580">
        <f>IF($D1580 &gt; 16, 0,$E1580*$J$5)</f>
        <v>10612693.988315213</v>
      </c>
      <c r="G1580">
        <f t="shared" si="24"/>
        <v>4.6999999999999993</v>
      </c>
    </row>
    <row r="1581" spans="2:7" x14ac:dyDescent="0.35">
      <c r="B1581" s="1">
        <v>45723</v>
      </c>
      <c r="C1581" s="2">
        <v>0.79166666666666663</v>
      </c>
      <c r="D1581">
        <v>9.1999999999999993</v>
      </c>
      <c r="E1581">
        <f>IF($D1581 &gt; 16, 0, $J$3*(16 - $D1581))</f>
        <v>1412.6907703647396</v>
      </c>
      <c r="F1581">
        <f>IF($D1581 &gt; 16, 0,$E1581*$J$5)</f>
        <v>15354535.983094355</v>
      </c>
      <c r="G1581">
        <f t="shared" si="24"/>
        <v>6.8000000000000007</v>
      </c>
    </row>
    <row r="1582" spans="2:7" x14ac:dyDescent="0.35">
      <c r="B1582" s="1">
        <v>45723</v>
      </c>
      <c r="C1582" s="2">
        <v>0.83333333333333337</v>
      </c>
      <c r="D1582">
        <v>7.4</v>
      </c>
      <c r="E1582">
        <f>IF($D1582 &gt; 16, 0, $J$3*(16 - $D1582))</f>
        <v>1786.6383272259941</v>
      </c>
      <c r="F1582">
        <f>IF($D1582 &gt; 16, 0,$E1582*$J$5)</f>
        <v>19418971.97861933</v>
      </c>
      <c r="G1582">
        <f t="shared" si="24"/>
        <v>8.6</v>
      </c>
    </row>
    <row r="1583" spans="2:7" x14ac:dyDescent="0.35">
      <c r="B1583" s="1">
        <v>45723</v>
      </c>
      <c r="C1583" s="2">
        <v>0.875</v>
      </c>
      <c r="D1583">
        <v>6.4</v>
      </c>
      <c r="E1583">
        <f>IF($D1583 &gt; 16, 0, $J$3*(16 - $D1583))</f>
        <v>1994.3869699266911</v>
      </c>
      <c r="F1583">
        <f>IF($D1583 &gt; 16, 0,$E1583*$J$5)</f>
        <v>21676991.976133205</v>
      </c>
      <c r="G1583">
        <f t="shared" si="24"/>
        <v>9.6</v>
      </c>
    </row>
    <row r="1584" spans="2:7" x14ac:dyDescent="0.35">
      <c r="B1584" s="1">
        <v>45723</v>
      </c>
      <c r="C1584" s="2">
        <v>0.91666666666666663</v>
      </c>
      <c r="D1584">
        <v>5.4</v>
      </c>
      <c r="E1584">
        <f>IF($D1584 &gt; 16, 0, $J$3*(16 - $D1584))</f>
        <v>2202.1356126273881</v>
      </c>
      <c r="F1584">
        <f>IF($D1584 &gt; 16, 0,$E1584*$J$5)</f>
        <v>23935011.97364708</v>
      </c>
      <c r="G1584">
        <f t="shared" si="24"/>
        <v>10.6</v>
      </c>
    </row>
    <row r="1585" spans="2:7" x14ac:dyDescent="0.35">
      <c r="B1585" s="1">
        <v>45723</v>
      </c>
      <c r="C1585" s="2">
        <v>0.95833333333333337</v>
      </c>
      <c r="D1585">
        <v>5.0999999999999996</v>
      </c>
      <c r="E1585">
        <f>IF($D1585 &gt; 16, 0, $J$3*(16 - $D1585))</f>
        <v>2264.4602054375973</v>
      </c>
      <c r="F1585">
        <f>IF($D1585 &gt; 16, 0,$E1585*$J$5)</f>
        <v>24612417.972901244</v>
      </c>
      <c r="G1585">
        <f t="shared" si="24"/>
        <v>10.9</v>
      </c>
    </row>
    <row r="1586" spans="2:7" x14ac:dyDescent="0.35">
      <c r="B1586" s="1">
        <v>45724</v>
      </c>
      <c r="C1586" s="2">
        <v>0</v>
      </c>
      <c r="D1586">
        <v>3.6</v>
      </c>
      <c r="E1586">
        <f>IF($D1586 &gt; 16, 0, $J$3*(16 - $D1586))</f>
        <v>2576.0831694886429</v>
      </c>
      <c r="F1586">
        <f>IF($D1586 &gt; 16, 0,$E1586*$J$5)</f>
        <v>27999447.96917206</v>
      </c>
      <c r="G1586">
        <f t="shared" si="24"/>
        <v>12.4</v>
      </c>
    </row>
    <row r="1587" spans="2:7" x14ac:dyDescent="0.35">
      <c r="B1587" s="1">
        <v>45724</v>
      </c>
      <c r="C1587" s="2">
        <v>4.1666666666666657E-2</v>
      </c>
      <c r="D1587">
        <v>3</v>
      </c>
      <c r="E1587">
        <f>IF($D1587 &gt; 16, 0, $J$3*(16 - $D1587))</f>
        <v>2700.7323551090608</v>
      </c>
      <c r="F1587">
        <f>IF($D1587 &gt; 16, 0,$E1587*$J$5)</f>
        <v>29354259.967680383</v>
      </c>
      <c r="G1587">
        <f t="shared" si="24"/>
        <v>13</v>
      </c>
    </row>
    <row r="1588" spans="2:7" x14ac:dyDescent="0.35">
      <c r="B1588" s="1">
        <v>45724</v>
      </c>
      <c r="C1588" s="2">
        <v>8.3333333333333329E-2</v>
      </c>
      <c r="D1588">
        <v>3.6</v>
      </c>
      <c r="E1588">
        <f>IF($D1588 &gt; 16, 0, $J$3*(16 - $D1588))</f>
        <v>2576.0831694886429</v>
      </c>
      <c r="F1588">
        <f>IF($D1588 &gt; 16, 0,$E1588*$J$5)</f>
        <v>27999447.96917206</v>
      </c>
      <c r="G1588">
        <f t="shared" si="24"/>
        <v>12.4</v>
      </c>
    </row>
    <row r="1589" spans="2:7" x14ac:dyDescent="0.35">
      <c r="B1589" s="1">
        <v>45724</v>
      </c>
      <c r="C1589" s="2">
        <v>0.125</v>
      </c>
      <c r="D1589">
        <v>3</v>
      </c>
      <c r="E1589">
        <f>IF($D1589 &gt; 16, 0, $J$3*(16 - $D1589))</f>
        <v>2700.7323551090608</v>
      </c>
      <c r="F1589">
        <f>IF($D1589 &gt; 16, 0,$E1589*$J$5)</f>
        <v>29354259.967680383</v>
      </c>
      <c r="G1589">
        <f t="shared" si="24"/>
        <v>13</v>
      </c>
    </row>
    <row r="1590" spans="2:7" x14ac:dyDescent="0.35">
      <c r="B1590" s="1">
        <v>45724</v>
      </c>
      <c r="C1590" s="2">
        <v>0.16666666666666671</v>
      </c>
      <c r="D1590">
        <v>2.1</v>
      </c>
      <c r="E1590">
        <f>IF($D1590 &gt; 16, 0, $J$3*(16 - $D1590))</f>
        <v>2887.7061335396884</v>
      </c>
      <c r="F1590">
        <f>IF($D1590 &gt; 16, 0,$E1590*$J$5)</f>
        <v>31386477.965442874</v>
      </c>
      <c r="G1590">
        <f t="shared" si="24"/>
        <v>13.9</v>
      </c>
    </row>
    <row r="1591" spans="2:7" x14ac:dyDescent="0.35">
      <c r="B1591" s="1">
        <v>45724</v>
      </c>
      <c r="C1591" s="2">
        <v>0.20833333333333329</v>
      </c>
      <c r="D1591">
        <v>2.1</v>
      </c>
      <c r="E1591">
        <f>IF($D1591 &gt; 16, 0, $J$3*(16 - $D1591))</f>
        <v>2887.7061335396884</v>
      </c>
      <c r="F1591">
        <f>IF($D1591 &gt; 16, 0,$E1591*$J$5)</f>
        <v>31386477.965442874</v>
      </c>
      <c r="G1591">
        <f t="shared" si="24"/>
        <v>13.9</v>
      </c>
    </row>
    <row r="1592" spans="2:7" x14ac:dyDescent="0.35">
      <c r="B1592" s="1">
        <v>45724</v>
      </c>
      <c r="C1592" s="2">
        <v>0.25</v>
      </c>
      <c r="D1592">
        <v>2.1</v>
      </c>
      <c r="E1592">
        <f>IF($D1592 &gt; 16, 0, $J$3*(16 - $D1592))</f>
        <v>2887.7061335396884</v>
      </c>
      <c r="F1592">
        <f>IF($D1592 &gt; 16, 0,$E1592*$J$5)</f>
        <v>31386477.965442874</v>
      </c>
      <c r="G1592">
        <f t="shared" si="24"/>
        <v>13.9</v>
      </c>
    </row>
    <row r="1593" spans="2:7" x14ac:dyDescent="0.35">
      <c r="B1593" s="1">
        <v>45724</v>
      </c>
      <c r="C1593" s="2">
        <v>0.29166666666666669</v>
      </c>
      <c r="D1593">
        <v>3.6</v>
      </c>
      <c r="E1593">
        <f>IF($D1593 &gt; 16, 0, $J$3*(16 - $D1593))</f>
        <v>2576.0831694886429</v>
      </c>
      <c r="F1593">
        <f>IF($D1593 &gt; 16, 0,$E1593*$J$5)</f>
        <v>27999447.96917206</v>
      </c>
      <c r="G1593">
        <f t="shared" si="24"/>
        <v>12.4</v>
      </c>
    </row>
    <row r="1594" spans="2:7" x14ac:dyDescent="0.35">
      <c r="B1594" s="1">
        <v>45724</v>
      </c>
      <c r="C1594" s="2">
        <v>0.33333333333333331</v>
      </c>
      <c r="D1594">
        <v>7.1</v>
      </c>
      <c r="E1594">
        <f>IF($D1594 &gt; 16, 0, $J$3*(16 - $D1594))</f>
        <v>1848.9629200362033</v>
      </c>
      <c r="F1594">
        <f>IF($D1594 &gt; 16, 0,$E1594*$J$5)</f>
        <v>20096377.977873493</v>
      </c>
      <c r="G1594">
        <f t="shared" si="24"/>
        <v>8.9</v>
      </c>
    </row>
    <row r="1595" spans="2:7" x14ac:dyDescent="0.35">
      <c r="B1595" s="1">
        <v>45724</v>
      </c>
      <c r="C1595" s="2">
        <v>0.375</v>
      </c>
      <c r="D1595">
        <v>10.8</v>
      </c>
      <c r="E1595">
        <f>IF($D1595 &gt; 16, 0, $J$3*(16 - $D1595))</f>
        <v>1080.2929420436242</v>
      </c>
      <c r="F1595">
        <f>IF($D1595 &gt; 16, 0,$E1595*$J$5)</f>
        <v>11741703.987072151</v>
      </c>
      <c r="G1595">
        <f t="shared" si="24"/>
        <v>5.1999999999999993</v>
      </c>
    </row>
    <row r="1596" spans="2:7" x14ac:dyDescent="0.35">
      <c r="B1596" s="1">
        <v>45724</v>
      </c>
      <c r="C1596" s="2">
        <v>0.41666666666666669</v>
      </c>
      <c r="D1596">
        <v>14</v>
      </c>
      <c r="E1596">
        <f>IF($D1596 &gt; 16, 0, $J$3*(16 - $D1596))</f>
        <v>415.49728540139398</v>
      </c>
      <c r="F1596">
        <f>IF($D1596 &gt; 16, 0,$E1596*$J$5)</f>
        <v>4516039.9950277507</v>
      </c>
      <c r="G1596">
        <f t="shared" si="24"/>
        <v>2</v>
      </c>
    </row>
    <row r="1597" spans="2:7" x14ac:dyDescent="0.35">
      <c r="B1597" s="1">
        <v>45724</v>
      </c>
      <c r="C1597" s="2">
        <v>0.45833333333333331</v>
      </c>
      <c r="D1597">
        <v>16.8</v>
      </c>
      <c r="E1597">
        <f>IF($D1597 &gt; 16, 0, $J$3*(16 - $D1597))</f>
        <v>0</v>
      </c>
      <c r="F1597">
        <f>IF($D1597 &gt; 16, 0,$E1597*$J$5)</f>
        <v>0</v>
      </c>
      <c r="G1597">
        <f t="shared" si="24"/>
        <v>0</v>
      </c>
    </row>
    <row r="1598" spans="2:7" x14ac:dyDescent="0.35">
      <c r="B1598" s="1">
        <v>45724</v>
      </c>
      <c r="C1598" s="2">
        <v>0.5</v>
      </c>
      <c r="D1598">
        <v>17.100000000000001</v>
      </c>
      <c r="E1598">
        <f>IF($D1598 &gt; 16, 0, $J$3*(16 - $D1598))</f>
        <v>0</v>
      </c>
      <c r="F1598">
        <f>IF($D1598 &gt; 16, 0,$E1598*$J$5)</f>
        <v>0</v>
      </c>
      <c r="G1598">
        <f t="shared" si="24"/>
        <v>0</v>
      </c>
    </row>
    <row r="1599" spans="2:7" x14ac:dyDescent="0.35">
      <c r="B1599" s="1">
        <v>45724</v>
      </c>
      <c r="C1599" s="2">
        <v>0.54166666666666663</v>
      </c>
      <c r="D1599">
        <v>17.600000000000001</v>
      </c>
      <c r="E1599">
        <f>IF($D1599 &gt; 16, 0, $J$3*(16 - $D1599))</f>
        <v>0</v>
      </c>
      <c r="F1599">
        <f>IF($D1599 &gt; 16, 0,$E1599*$J$5)</f>
        <v>0</v>
      </c>
      <c r="G1599">
        <f t="shared" si="24"/>
        <v>0</v>
      </c>
    </row>
    <row r="1600" spans="2:7" x14ac:dyDescent="0.35">
      <c r="B1600" s="1">
        <v>45724</v>
      </c>
      <c r="C1600" s="2">
        <v>0.58333333333333337</v>
      </c>
      <c r="D1600">
        <v>17.5</v>
      </c>
      <c r="E1600">
        <f>IF($D1600 &gt; 16, 0, $J$3*(16 - $D1600))</f>
        <v>0</v>
      </c>
      <c r="F1600">
        <f>IF($D1600 &gt; 16, 0,$E1600*$J$5)</f>
        <v>0</v>
      </c>
      <c r="G1600">
        <f t="shared" si="24"/>
        <v>0</v>
      </c>
    </row>
    <row r="1601" spans="2:7" x14ac:dyDescent="0.35">
      <c r="B1601" s="1">
        <v>45724</v>
      </c>
      <c r="C1601" s="2">
        <v>0.625</v>
      </c>
      <c r="D1601">
        <v>17.399999999999999</v>
      </c>
      <c r="E1601">
        <f>IF($D1601 &gt; 16, 0, $J$3*(16 - $D1601))</f>
        <v>0</v>
      </c>
      <c r="F1601">
        <f>IF($D1601 &gt; 16, 0,$E1601*$J$5)</f>
        <v>0</v>
      </c>
      <c r="G1601">
        <f t="shared" si="24"/>
        <v>0</v>
      </c>
    </row>
    <row r="1602" spans="2:7" x14ac:dyDescent="0.35">
      <c r="B1602" s="1">
        <v>45724</v>
      </c>
      <c r="C1602" s="2">
        <v>0.66666666666666663</v>
      </c>
      <c r="D1602">
        <v>16.899999999999999</v>
      </c>
      <c r="E1602">
        <f>IF($D1602 &gt; 16, 0, $J$3*(16 - $D1602))</f>
        <v>0</v>
      </c>
      <c r="F1602">
        <f>IF($D1602 &gt; 16, 0,$E1602*$J$5)</f>
        <v>0</v>
      </c>
      <c r="G1602">
        <f t="shared" si="24"/>
        <v>0</v>
      </c>
    </row>
    <row r="1603" spans="2:7" x14ac:dyDescent="0.35">
      <c r="B1603" s="1">
        <v>45724</v>
      </c>
      <c r="C1603" s="2">
        <v>0.70833333333333337</v>
      </c>
      <c r="D1603">
        <v>15.1</v>
      </c>
      <c r="E1603">
        <f>IF($D1603 &gt; 16, 0, $J$3*(16 - $D1603))</f>
        <v>186.97377843062736</v>
      </c>
      <c r="F1603">
        <f>IF($D1603 &gt; 16, 0,$E1603*$J$5)</f>
        <v>2032217.9977624889</v>
      </c>
      <c r="G1603">
        <f t="shared" ref="G1603:G1666" si="25">MAX(0, 16 - $D1603)</f>
        <v>0.90000000000000036</v>
      </c>
    </row>
    <row r="1604" spans="2:7" x14ac:dyDescent="0.35">
      <c r="B1604" s="1">
        <v>45724</v>
      </c>
      <c r="C1604" s="2">
        <v>0.75</v>
      </c>
      <c r="D1604">
        <v>12.9</v>
      </c>
      <c r="E1604">
        <f>IF($D1604 &gt; 16, 0, $J$3*(16 - $D1604))</f>
        <v>644.0207923721606</v>
      </c>
      <c r="F1604">
        <f>IF($D1604 &gt; 16, 0,$E1604*$J$5)</f>
        <v>6999861.9922930133</v>
      </c>
      <c r="G1604">
        <f t="shared" si="25"/>
        <v>3.0999999999999996</v>
      </c>
    </row>
    <row r="1605" spans="2:7" x14ac:dyDescent="0.35">
      <c r="B1605" s="1">
        <v>45724</v>
      </c>
      <c r="C1605" s="2">
        <v>0.79166666666666663</v>
      </c>
      <c r="D1605">
        <v>10.7</v>
      </c>
      <c r="E1605">
        <f>IF($D1605 &gt; 16, 0, $J$3*(16 - $D1605))</f>
        <v>1101.0678063136943</v>
      </c>
      <c r="F1605">
        <f>IF($D1605 &gt; 16, 0,$E1605*$J$5)</f>
        <v>11967505.986823544</v>
      </c>
      <c r="G1605">
        <f t="shared" si="25"/>
        <v>5.3000000000000007</v>
      </c>
    </row>
    <row r="1606" spans="2:7" x14ac:dyDescent="0.35">
      <c r="B1606" s="1">
        <v>45724</v>
      </c>
      <c r="C1606" s="2">
        <v>0.83333333333333337</v>
      </c>
      <c r="D1606">
        <v>9</v>
      </c>
      <c r="E1606">
        <f>IF($D1606 &gt; 16, 0, $J$3*(16 - $D1606))</f>
        <v>1454.2404989048789</v>
      </c>
      <c r="F1606">
        <f>IF($D1606 &gt; 16, 0,$E1606*$J$5)</f>
        <v>15806139.982597129</v>
      </c>
      <c r="G1606">
        <f t="shared" si="25"/>
        <v>7</v>
      </c>
    </row>
    <row r="1607" spans="2:7" x14ac:dyDescent="0.35">
      <c r="B1607" s="1">
        <v>45724</v>
      </c>
      <c r="C1607" s="2">
        <v>0.875</v>
      </c>
      <c r="D1607">
        <v>7.8</v>
      </c>
      <c r="E1607">
        <f>IF($D1607 &gt; 16, 0, $J$3*(16 - $D1607))</f>
        <v>1703.5388701457152</v>
      </c>
      <c r="F1607">
        <f>IF($D1607 &gt; 16, 0,$E1607*$J$5)</f>
        <v>18515763.979613777</v>
      </c>
      <c r="G1607">
        <f t="shared" si="25"/>
        <v>8.1999999999999993</v>
      </c>
    </row>
    <row r="1608" spans="2:7" x14ac:dyDescent="0.35">
      <c r="B1608" s="1">
        <v>45724</v>
      </c>
      <c r="C1608" s="2">
        <v>0.91666666666666663</v>
      </c>
      <c r="D1608">
        <v>6.7</v>
      </c>
      <c r="E1608">
        <f>IF($D1608 &gt; 16, 0, $J$3*(16 - $D1608))</f>
        <v>1932.0623771164821</v>
      </c>
      <c r="F1608">
        <f>IF($D1608 &gt; 16, 0,$E1608*$J$5)</f>
        <v>20999585.976879045</v>
      </c>
      <c r="G1608">
        <f t="shared" si="25"/>
        <v>9.3000000000000007</v>
      </c>
    </row>
    <row r="1609" spans="2:7" x14ac:dyDescent="0.35">
      <c r="B1609" s="1">
        <v>45724</v>
      </c>
      <c r="C1609" s="2">
        <v>0.95833333333333337</v>
      </c>
      <c r="D1609">
        <v>6.1</v>
      </c>
      <c r="E1609">
        <f>IF($D1609 &gt; 16, 0, $J$3*(16 - $D1609))</f>
        <v>2056.7115627369003</v>
      </c>
      <c r="F1609">
        <f>IF($D1609 &gt; 16, 0,$E1609*$J$5)</f>
        <v>22354397.975387368</v>
      </c>
      <c r="G1609">
        <f t="shared" si="25"/>
        <v>9.9</v>
      </c>
    </row>
    <row r="1610" spans="2:7" x14ac:dyDescent="0.35">
      <c r="B1610" s="1">
        <v>45725</v>
      </c>
      <c r="C1610" s="2">
        <v>0</v>
      </c>
      <c r="D1610">
        <v>5.7</v>
      </c>
      <c r="E1610">
        <f>IF($D1610 &gt; 16, 0, $J$3*(16 - $D1610))</f>
        <v>2139.8110198171789</v>
      </c>
      <c r="F1610">
        <f>IF($D1610 &gt; 16, 0,$E1610*$J$5)</f>
        <v>23257605.974392917</v>
      </c>
      <c r="G1610">
        <f t="shared" si="25"/>
        <v>10.3</v>
      </c>
    </row>
    <row r="1611" spans="2:7" x14ac:dyDescent="0.35">
      <c r="B1611" s="1">
        <v>45725</v>
      </c>
      <c r="C1611" s="2">
        <v>4.1666666666666657E-2</v>
      </c>
      <c r="D1611">
        <v>5.2</v>
      </c>
      <c r="E1611">
        <f>IF($D1611 &gt; 16, 0, $J$3*(16 - $D1611))</f>
        <v>2243.6853411675274</v>
      </c>
      <c r="F1611">
        <f>IF($D1611 &gt; 16, 0,$E1611*$J$5)</f>
        <v>24386615.973149855</v>
      </c>
      <c r="G1611">
        <f t="shared" si="25"/>
        <v>10.8</v>
      </c>
    </row>
    <row r="1612" spans="2:7" x14ac:dyDescent="0.35">
      <c r="B1612" s="1">
        <v>45725</v>
      </c>
      <c r="C1612" s="2">
        <v>8.3333333333333329E-2</v>
      </c>
      <c r="D1612">
        <v>5.7</v>
      </c>
      <c r="E1612">
        <f>IF($D1612 &gt; 16, 0, $J$3*(16 - $D1612))</f>
        <v>2139.8110198171789</v>
      </c>
      <c r="F1612">
        <f>IF($D1612 &gt; 16, 0,$E1612*$J$5)</f>
        <v>23257605.974392917</v>
      </c>
      <c r="G1612">
        <f t="shared" si="25"/>
        <v>10.3</v>
      </c>
    </row>
    <row r="1613" spans="2:7" x14ac:dyDescent="0.35">
      <c r="B1613" s="1">
        <v>45725</v>
      </c>
      <c r="C1613" s="2">
        <v>0.125</v>
      </c>
      <c r="D1613">
        <v>5.4</v>
      </c>
      <c r="E1613">
        <f>IF($D1613 &gt; 16, 0, $J$3*(16 - $D1613))</f>
        <v>2202.1356126273881</v>
      </c>
      <c r="F1613">
        <f>IF($D1613 &gt; 16, 0,$E1613*$J$5)</f>
        <v>23935011.97364708</v>
      </c>
      <c r="G1613">
        <f t="shared" si="25"/>
        <v>10.6</v>
      </c>
    </row>
    <row r="1614" spans="2:7" x14ac:dyDescent="0.35">
      <c r="B1614" s="1">
        <v>45725</v>
      </c>
      <c r="C1614" s="2">
        <v>0.16666666666666671</v>
      </c>
      <c r="D1614">
        <v>4.8</v>
      </c>
      <c r="E1614">
        <f>IF($D1614 &gt; 16, 0, $J$3*(16 - $D1614))</f>
        <v>2326.7847982478061</v>
      </c>
      <c r="F1614">
        <f>IF($D1614 &gt; 16, 0,$E1614*$J$5)</f>
        <v>25289823.972155403</v>
      </c>
      <c r="G1614">
        <f t="shared" si="25"/>
        <v>11.2</v>
      </c>
    </row>
    <row r="1615" spans="2:7" x14ac:dyDescent="0.35">
      <c r="B1615" s="1">
        <v>45725</v>
      </c>
      <c r="C1615" s="2">
        <v>0.20833333333333329</v>
      </c>
      <c r="D1615">
        <v>4.4000000000000004</v>
      </c>
      <c r="E1615">
        <f>IF($D1615 &gt; 16, 0, $J$3*(16 - $D1615))</f>
        <v>2409.8842553280851</v>
      </c>
      <c r="F1615">
        <f>IF($D1615 &gt; 16, 0,$E1615*$J$5)</f>
        <v>26193031.971160956</v>
      </c>
      <c r="G1615">
        <f t="shared" si="25"/>
        <v>11.6</v>
      </c>
    </row>
    <row r="1616" spans="2:7" x14ac:dyDescent="0.35">
      <c r="B1616" s="1">
        <v>45725</v>
      </c>
      <c r="C1616" s="2">
        <v>0.25</v>
      </c>
      <c r="D1616">
        <v>3.7</v>
      </c>
      <c r="E1616">
        <f>IF($D1616 &gt; 16, 0, $J$3*(16 - $D1616))</f>
        <v>2555.308305218573</v>
      </c>
      <c r="F1616">
        <f>IF($D1616 &gt; 16, 0,$E1616*$J$5)</f>
        <v>27773645.969420668</v>
      </c>
      <c r="G1616">
        <f t="shared" si="25"/>
        <v>12.3</v>
      </c>
    </row>
    <row r="1617" spans="2:7" x14ac:dyDescent="0.35">
      <c r="B1617" s="1">
        <v>45725</v>
      </c>
      <c r="C1617" s="2">
        <v>0.29166666666666669</v>
      </c>
      <c r="D1617">
        <v>4</v>
      </c>
      <c r="E1617">
        <f>IF($D1617 &gt; 16, 0, $J$3*(16 - $D1617))</f>
        <v>2492.9837124083638</v>
      </c>
      <c r="F1617">
        <f>IF($D1617 &gt; 16, 0,$E1617*$J$5)</f>
        <v>27096239.970166504</v>
      </c>
      <c r="G1617">
        <f t="shared" si="25"/>
        <v>12</v>
      </c>
    </row>
    <row r="1618" spans="2:7" x14ac:dyDescent="0.35">
      <c r="B1618" s="1">
        <v>45725</v>
      </c>
      <c r="C1618" s="2">
        <v>0.33333333333333331</v>
      </c>
      <c r="D1618">
        <v>6.4</v>
      </c>
      <c r="E1618">
        <f>IF($D1618 &gt; 16, 0, $J$3*(16 - $D1618))</f>
        <v>1994.3869699266911</v>
      </c>
      <c r="F1618">
        <f>IF($D1618 &gt; 16, 0,$E1618*$J$5)</f>
        <v>21676991.976133205</v>
      </c>
      <c r="G1618">
        <f t="shared" si="25"/>
        <v>9.6</v>
      </c>
    </row>
    <row r="1619" spans="2:7" x14ac:dyDescent="0.35">
      <c r="B1619" s="1">
        <v>45725</v>
      </c>
      <c r="C1619" s="2">
        <v>0.375</v>
      </c>
      <c r="D1619">
        <v>9.3000000000000007</v>
      </c>
      <c r="E1619">
        <f>IF($D1619 &gt; 16, 0, $J$3*(16 - $D1619))</f>
        <v>1391.9159060946697</v>
      </c>
      <c r="F1619">
        <f>IF($D1619 &gt; 16, 0,$E1619*$J$5)</f>
        <v>15128733.983342964</v>
      </c>
      <c r="G1619">
        <f t="shared" si="25"/>
        <v>6.6999999999999993</v>
      </c>
    </row>
    <row r="1620" spans="2:7" x14ac:dyDescent="0.35">
      <c r="B1620" s="1">
        <v>45725</v>
      </c>
      <c r="C1620" s="2">
        <v>0.41666666666666669</v>
      </c>
      <c r="D1620">
        <v>11.6</v>
      </c>
      <c r="E1620">
        <f>IF($D1620 &gt; 16, 0, $J$3*(16 - $D1620))</f>
        <v>914.09402788306681</v>
      </c>
      <c r="F1620">
        <f>IF($D1620 &gt; 16, 0,$E1620*$J$5)</f>
        <v>9935287.9890610538</v>
      </c>
      <c r="G1620">
        <f t="shared" si="25"/>
        <v>4.4000000000000004</v>
      </c>
    </row>
    <row r="1621" spans="2:7" x14ac:dyDescent="0.35">
      <c r="B1621" s="1">
        <v>45725</v>
      </c>
      <c r="C1621" s="2">
        <v>0.45833333333333331</v>
      </c>
      <c r="D1621">
        <v>14.4</v>
      </c>
      <c r="E1621">
        <f>IF($D1621 &gt; 16, 0, $J$3*(16 - $D1621))</f>
        <v>332.39782832111513</v>
      </c>
      <c r="F1621">
        <f>IF($D1621 &gt; 16, 0,$E1621*$J$5)</f>
        <v>3612831.9960222002</v>
      </c>
      <c r="G1621">
        <f t="shared" si="25"/>
        <v>1.5999999999999996</v>
      </c>
    </row>
    <row r="1622" spans="2:7" x14ac:dyDescent="0.35">
      <c r="B1622" s="1">
        <v>45725</v>
      </c>
      <c r="C1622" s="2">
        <v>0.5</v>
      </c>
      <c r="D1622">
        <v>15.2</v>
      </c>
      <c r="E1622">
        <f>IF($D1622 &gt; 16, 0, $J$3*(16 - $D1622))</f>
        <v>166.19891416055773</v>
      </c>
      <c r="F1622">
        <f>IF($D1622 &gt; 16, 0,$E1622*$J$5)</f>
        <v>1806415.998011102</v>
      </c>
      <c r="G1622">
        <f t="shared" si="25"/>
        <v>0.80000000000000071</v>
      </c>
    </row>
    <row r="1623" spans="2:7" x14ac:dyDescent="0.35">
      <c r="B1623" s="1">
        <v>45725</v>
      </c>
      <c r="C1623" s="2">
        <v>0.54166666666666663</v>
      </c>
      <c r="D1623">
        <v>15.9</v>
      </c>
      <c r="E1623">
        <f>IF($D1623 &gt; 16, 0, $J$3*(16 - $D1623))</f>
        <v>20.774864270069624</v>
      </c>
      <c r="F1623">
        <f>IF($D1623 &gt; 16, 0,$E1623*$J$5)</f>
        <v>225801.99975138676</v>
      </c>
      <c r="G1623">
        <f t="shared" si="25"/>
        <v>9.9999999999999645E-2</v>
      </c>
    </row>
    <row r="1624" spans="2:7" x14ac:dyDescent="0.35">
      <c r="B1624" s="1">
        <v>45725</v>
      </c>
      <c r="C1624" s="2">
        <v>0.58333333333333337</v>
      </c>
      <c r="D1624">
        <v>16.3</v>
      </c>
      <c r="E1624">
        <f>IF($D1624 &gt; 16, 0, $J$3*(16 - $D1624))</f>
        <v>0</v>
      </c>
      <c r="F1624">
        <f>IF($D1624 &gt; 16, 0,$E1624*$J$5)</f>
        <v>0</v>
      </c>
      <c r="G1624">
        <f t="shared" si="25"/>
        <v>0</v>
      </c>
    </row>
    <row r="1625" spans="2:7" x14ac:dyDescent="0.35">
      <c r="B1625" s="1">
        <v>45725</v>
      </c>
      <c r="C1625" s="2">
        <v>0.625</v>
      </c>
      <c r="D1625">
        <v>15.8</v>
      </c>
      <c r="E1625">
        <f>IF($D1625 &gt; 16, 0, $J$3*(16 - $D1625))</f>
        <v>41.549728540139249</v>
      </c>
      <c r="F1625">
        <f>IF($D1625 &gt; 16, 0,$E1625*$J$5)</f>
        <v>451603.99950277351</v>
      </c>
      <c r="G1625">
        <f t="shared" si="25"/>
        <v>0.19999999999999929</v>
      </c>
    </row>
    <row r="1626" spans="2:7" x14ac:dyDescent="0.35">
      <c r="B1626" s="1">
        <v>45725</v>
      </c>
      <c r="C1626" s="2">
        <v>0.66666666666666663</v>
      </c>
      <c r="D1626">
        <v>14.1</v>
      </c>
      <c r="E1626">
        <f>IF($D1626 &gt; 16, 0, $J$3*(16 - $D1626))</f>
        <v>394.72242113132438</v>
      </c>
      <c r="F1626">
        <f>IF($D1626 &gt; 16, 0,$E1626*$J$5)</f>
        <v>4290237.9952763645</v>
      </c>
      <c r="G1626">
        <f t="shared" si="25"/>
        <v>1.9000000000000004</v>
      </c>
    </row>
    <row r="1627" spans="2:7" x14ac:dyDescent="0.35">
      <c r="B1627" s="1">
        <v>45725</v>
      </c>
      <c r="C1627" s="2">
        <v>0.70833333333333337</v>
      </c>
      <c r="D1627">
        <v>11</v>
      </c>
      <c r="E1627">
        <f>IF($D1627 &gt; 16, 0, $J$3*(16 - $D1627))</f>
        <v>1038.7432135034849</v>
      </c>
      <c r="F1627">
        <f>IF($D1627 &gt; 16, 0,$E1627*$J$5)</f>
        <v>11290099.987569377</v>
      </c>
      <c r="G1627">
        <f t="shared" si="25"/>
        <v>5</v>
      </c>
    </row>
    <row r="1628" spans="2:7" x14ac:dyDescent="0.35">
      <c r="B1628" s="1">
        <v>45725</v>
      </c>
      <c r="C1628" s="2">
        <v>0.75</v>
      </c>
      <c r="D1628">
        <v>9.6</v>
      </c>
      <c r="E1628">
        <f>IF($D1628 &gt; 16, 0, $J$3*(16 - $D1628))</f>
        <v>1329.5913132844607</v>
      </c>
      <c r="F1628">
        <f>IF($D1628 &gt; 16, 0,$E1628*$J$5)</f>
        <v>14451327.984088805</v>
      </c>
      <c r="G1628">
        <f t="shared" si="25"/>
        <v>6.4</v>
      </c>
    </row>
    <row r="1629" spans="2:7" x14ac:dyDescent="0.35">
      <c r="B1629" s="1">
        <v>45725</v>
      </c>
      <c r="C1629" s="2">
        <v>0.79166666666666663</v>
      </c>
      <c r="D1629">
        <v>7.5</v>
      </c>
      <c r="E1629">
        <f>IF($D1629 &gt; 16, 0, $J$3*(16 - $D1629))</f>
        <v>1765.8634629559244</v>
      </c>
      <c r="F1629">
        <f>IF($D1629 &gt; 16, 0,$E1629*$J$5)</f>
        <v>19193169.978867944</v>
      </c>
      <c r="G1629">
        <f t="shared" si="25"/>
        <v>8.5</v>
      </c>
    </row>
    <row r="1630" spans="2:7" x14ac:dyDescent="0.35">
      <c r="B1630" s="1">
        <v>45725</v>
      </c>
      <c r="C1630" s="2">
        <v>0.83333333333333337</v>
      </c>
      <c r="D1630">
        <v>6.4</v>
      </c>
      <c r="E1630">
        <f>IF($D1630 &gt; 16, 0, $J$3*(16 - $D1630))</f>
        <v>1994.3869699266911</v>
      </c>
      <c r="F1630">
        <f>IF($D1630 &gt; 16, 0,$E1630*$J$5)</f>
        <v>21676991.976133205</v>
      </c>
      <c r="G1630">
        <f t="shared" si="25"/>
        <v>9.6</v>
      </c>
    </row>
    <row r="1631" spans="2:7" x14ac:dyDescent="0.35">
      <c r="B1631" s="1">
        <v>45725</v>
      </c>
      <c r="C1631" s="2">
        <v>0.875</v>
      </c>
      <c r="D1631">
        <v>3.5</v>
      </c>
      <c r="E1631">
        <f>IF($D1631 &gt; 16, 0, $J$3*(16 - $D1631))</f>
        <v>2596.8580337587123</v>
      </c>
      <c r="F1631">
        <f>IF($D1631 &gt; 16, 0,$E1631*$J$5)</f>
        <v>28225249.968923442</v>
      </c>
      <c r="G1631">
        <f t="shared" si="25"/>
        <v>12.5</v>
      </c>
    </row>
    <row r="1632" spans="2:7" x14ac:dyDescent="0.35">
      <c r="B1632" s="1">
        <v>45725</v>
      </c>
      <c r="C1632" s="2">
        <v>0.91666666666666663</v>
      </c>
      <c r="D1632">
        <v>2.4</v>
      </c>
      <c r="E1632">
        <f>IF($D1632 &gt; 16, 0, $J$3*(16 - $D1632))</f>
        <v>2825.3815407294792</v>
      </c>
      <c r="F1632">
        <f>IF($D1632 &gt; 16, 0,$E1632*$J$5)</f>
        <v>30709071.96618871</v>
      </c>
      <c r="G1632">
        <f t="shared" si="25"/>
        <v>13.6</v>
      </c>
    </row>
    <row r="1633" spans="2:7" x14ac:dyDescent="0.35">
      <c r="B1633" s="1">
        <v>45725</v>
      </c>
      <c r="C1633" s="2">
        <v>0.95833333333333337</v>
      </c>
      <c r="D1633">
        <v>1.6</v>
      </c>
      <c r="E1633">
        <f>IF($D1633 &gt; 16, 0, $J$3*(16 - $D1633))</f>
        <v>2991.5804548900369</v>
      </c>
      <c r="F1633">
        <f>IF($D1633 &gt; 16, 0,$E1633*$J$5)</f>
        <v>32515487.964199811</v>
      </c>
      <c r="G1633">
        <f t="shared" si="25"/>
        <v>14.4</v>
      </c>
    </row>
    <row r="1634" spans="2:7" x14ac:dyDescent="0.35">
      <c r="B1634" s="1">
        <v>45726</v>
      </c>
      <c r="C1634" s="2">
        <v>0</v>
      </c>
      <c r="D1634">
        <v>0.7</v>
      </c>
      <c r="E1634">
        <f>IF($D1634 &gt; 16, 0, $J$3*(16 - $D1634))</f>
        <v>3178.554233320664</v>
      </c>
      <c r="F1634">
        <f>IF($D1634 &gt; 16, 0,$E1634*$J$5)</f>
        <v>34547705.961962298</v>
      </c>
      <c r="G1634">
        <f t="shared" si="25"/>
        <v>15.3</v>
      </c>
    </row>
    <row r="1635" spans="2:7" x14ac:dyDescent="0.35">
      <c r="B1635" s="1">
        <v>45726</v>
      </c>
      <c r="C1635" s="2">
        <v>4.1666666666666657E-2</v>
      </c>
      <c r="D1635">
        <v>-0.1</v>
      </c>
      <c r="E1635">
        <f>IF($D1635 &gt; 16, 0, $J$3*(16 - $D1635))</f>
        <v>3344.7531474812217</v>
      </c>
      <c r="F1635">
        <f>IF($D1635 &gt; 16, 0,$E1635*$J$5)</f>
        <v>36354121.959973402</v>
      </c>
      <c r="G1635">
        <f t="shared" si="25"/>
        <v>16.100000000000001</v>
      </c>
    </row>
    <row r="1636" spans="2:7" x14ac:dyDescent="0.35">
      <c r="B1636" s="1">
        <v>45726</v>
      </c>
      <c r="C1636" s="2">
        <v>8.3333333333333329E-2</v>
      </c>
      <c r="D1636">
        <v>-0.2</v>
      </c>
      <c r="E1636">
        <f>IF($D1636 &gt; 16, 0, $J$3*(16 - $D1636))</f>
        <v>3365.5280117512912</v>
      </c>
      <c r="F1636">
        <f>IF($D1636 &gt; 16, 0,$E1636*$J$5)</f>
        <v>36579923.959724784</v>
      </c>
      <c r="G1636">
        <f t="shared" si="25"/>
        <v>16.2</v>
      </c>
    </row>
    <row r="1637" spans="2:7" x14ac:dyDescent="0.35">
      <c r="B1637" s="1">
        <v>45726</v>
      </c>
      <c r="C1637" s="2">
        <v>0.125</v>
      </c>
      <c r="D1637">
        <v>-1.7</v>
      </c>
      <c r="E1637">
        <f>IF($D1637 &gt; 16, 0, $J$3*(16 - $D1637))</f>
        <v>3677.1509758023367</v>
      </c>
      <c r="F1637">
        <f>IF($D1637 &gt; 16, 0,$E1637*$J$5)</f>
        <v>39966953.955995597</v>
      </c>
      <c r="G1637">
        <f t="shared" si="25"/>
        <v>17.7</v>
      </c>
    </row>
    <row r="1638" spans="2:7" x14ac:dyDescent="0.35">
      <c r="B1638" s="1">
        <v>45726</v>
      </c>
      <c r="C1638" s="2">
        <v>0.16666666666666671</v>
      </c>
      <c r="D1638">
        <v>-1.9</v>
      </c>
      <c r="E1638">
        <f>IF($D1638 &gt; 16, 0, $J$3*(16 - $D1638))</f>
        <v>3718.700704342476</v>
      </c>
      <c r="F1638">
        <f>IF($D1638 &gt; 16, 0,$E1638*$J$5)</f>
        <v>40418557.955498375</v>
      </c>
      <c r="G1638">
        <f t="shared" si="25"/>
        <v>17.899999999999999</v>
      </c>
    </row>
    <row r="1639" spans="2:7" x14ac:dyDescent="0.35">
      <c r="B1639" s="1">
        <v>45726</v>
      </c>
      <c r="C1639" s="2">
        <v>0.20833333333333329</v>
      </c>
      <c r="D1639">
        <v>-2.2000000000000002</v>
      </c>
      <c r="E1639">
        <f>IF($D1639 &gt; 16, 0, $J$3*(16 - $D1639))</f>
        <v>3781.0252971526852</v>
      </c>
      <c r="F1639">
        <f>IF($D1639 &gt; 16, 0,$E1639*$J$5)</f>
        <v>41095963.954752535</v>
      </c>
      <c r="G1639">
        <f t="shared" si="25"/>
        <v>18.2</v>
      </c>
    </row>
    <row r="1640" spans="2:7" x14ac:dyDescent="0.35">
      <c r="B1640" s="1">
        <v>45726</v>
      </c>
      <c r="C1640" s="2">
        <v>0.25</v>
      </c>
      <c r="D1640">
        <v>-0.8</v>
      </c>
      <c r="E1640">
        <f>IF($D1640 &gt; 16, 0, $J$3*(16 - $D1640))</f>
        <v>3490.1771973717096</v>
      </c>
      <c r="F1640">
        <f>IF($D1640 &gt; 16, 0,$E1640*$J$5)</f>
        <v>37934735.958233111</v>
      </c>
      <c r="G1640">
        <f t="shared" si="25"/>
        <v>16.8</v>
      </c>
    </row>
    <row r="1641" spans="2:7" x14ac:dyDescent="0.35">
      <c r="B1641" s="1">
        <v>45726</v>
      </c>
      <c r="C1641" s="2">
        <v>0.29166666666666669</v>
      </c>
      <c r="D1641">
        <v>-0.8</v>
      </c>
      <c r="E1641">
        <f>IF($D1641 &gt; 16, 0, $J$3*(16 - $D1641))</f>
        <v>3490.1771973717096</v>
      </c>
      <c r="F1641">
        <f>IF($D1641 &gt; 16, 0,$E1641*$J$5)</f>
        <v>37934735.958233111</v>
      </c>
      <c r="G1641">
        <f t="shared" si="25"/>
        <v>16.8</v>
      </c>
    </row>
    <row r="1642" spans="2:7" x14ac:dyDescent="0.35">
      <c r="B1642" s="1">
        <v>45726</v>
      </c>
      <c r="C1642" s="2">
        <v>0.33333333333333331</v>
      </c>
      <c r="D1642">
        <v>-0.2</v>
      </c>
      <c r="E1642">
        <f>IF($D1642 &gt; 16, 0, $J$3*(16 - $D1642))</f>
        <v>3365.5280117512912</v>
      </c>
      <c r="F1642">
        <f>IF($D1642 &gt; 16, 0,$E1642*$J$5)</f>
        <v>36579923.959724784</v>
      </c>
      <c r="G1642">
        <f t="shared" si="25"/>
        <v>16.2</v>
      </c>
    </row>
    <row r="1643" spans="2:7" x14ac:dyDescent="0.35">
      <c r="B1643" s="1">
        <v>45726</v>
      </c>
      <c r="C1643" s="2">
        <v>0.375</v>
      </c>
      <c r="D1643">
        <v>1</v>
      </c>
      <c r="E1643">
        <f>IF($D1643 &gt; 16, 0, $J$3*(16 - $D1643))</f>
        <v>3116.2296405104548</v>
      </c>
      <c r="F1643">
        <f>IF($D1643 &gt; 16, 0,$E1643*$J$5)</f>
        <v>33870299.96270813</v>
      </c>
      <c r="G1643">
        <f t="shared" si="25"/>
        <v>15</v>
      </c>
    </row>
    <row r="1644" spans="2:7" x14ac:dyDescent="0.35">
      <c r="B1644" s="1">
        <v>45726</v>
      </c>
      <c r="C1644" s="2">
        <v>0.41666666666666669</v>
      </c>
      <c r="D1644">
        <v>2.2999999999999998</v>
      </c>
      <c r="E1644">
        <f>IF($D1644 &gt; 16, 0, $J$3*(16 - $D1644))</f>
        <v>2846.1564049995486</v>
      </c>
      <c r="F1644">
        <f>IF($D1644 &gt; 16, 0,$E1644*$J$5)</f>
        <v>30934873.965940095</v>
      </c>
      <c r="G1644">
        <f t="shared" si="25"/>
        <v>13.7</v>
      </c>
    </row>
    <row r="1645" spans="2:7" x14ac:dyDescent="0.35">
      <c r="B1645" s="1">
        <v>45726</v>
      </c>
      <c r="C1645" s="2">
        <v>0.45833333333333331</v>
      </c>
      <c r="D1645">
        <v>3.4</v>
      </c>
      <c r="E1645">
        <f>IF($D1645 &gt; 16, 0, $J$3*(16 - $D1645))</f>
        <v>2617.6328980287822</v>
      </c>
      <c r="F1645">
        <f>IF($D1645 &gt; 16, 0,$E1645*$J$5)</f>
        <v>28451051.968674835</v>
      </c>
      <c r="G1645">
        <f t="shared" si="25"/>
        <v>12.6</v>
      </c>
    </row>
    <row r="1646" spans="2:7" x14ac:dyDescent="0.35">
      <c r="B1646" s="1">
        <v>45726</v>
      </c>
      <c r="C1646" s="2">
        <v>0.5</v>
      </c>
      <c r="D1646">
        <v>4.4000000000000004</v>
      </c>
      <c r="E1646">
        <f>IF($D1646 &gt; 16, 0, $J$3*(16 - $D1646))</f>
        <v>2409.8842553280851</v>
      </c>
      <c r="F1646">
        <f>IF($D1646 &gt; 16, 0,$E1646*$J$5)</f>
        <v>26193031.971160956</v>
      </c>
      <c r="G1646">
        <f t="shared" si="25"/>
        <v>11.6</v>
      </c>
    </row>
    <row r="1647" spans="2:7" x14ac:dyDescent="0.35">
      <c r="B1647" s="1">
        <v>45726</v>
      </c>
      <c r="C1647" s="2">
        <v>0.54166666666666663</v>
      </c>
      <c r="D1647">
        <v>4.9000000000000004</v>
      </c>
      <c r="E1647">
        <f>IF($D1647 &gt; 16, 0, $J$3*(16 - $D1647))</f>
        <v>2306.0099339777366</v>
      </c>
      <c r="F1647">
        <f>IF($D1647 &gt; 16, 0,$E1647*$J$5)</f>
        <v>25064021.972404018</v>
      </c>
      <c r="G1647">
        <f t="shared" si="25"/>
        <v>11.1</v>
      </c>
    </row>
    <row r="1648" spans="2:7" x14ac:dyDescent="0.35">
      <c r="B1648" s="1">
        <v>45726</v>
      </c>
      <c r="C1648" s="2">
        <v>0.58333333333333337</v>
      </c>
      <c r="D1648">
        <v>5.4</v>
      </c>
      <c r="E1648">
        <f>IF($D1648 &gt; 16, 0, $J$3*(16 - $D1648))</f>
        <v>2202.1356126273881</v>
      </c>
      <c r="F1648">
        <f>IF($D1648 &gt; 16, 0,$E1648*$J$5)</f>
        <v>23935011.97364708</v>
      </c>
      <c r="G1648">
        <f t="shared" si="25"/>
        <v>10.6</v>
      </c>
    </row>
    <row r="1649" spans="2:7" x14ac:dyDescent="0.35">
      <c r="B1649" s="1">
        <v>45726</v>
      </c>
      <c r="C1649" s="2">
        <v>0.625</v>
      </c>
      <c r="D1649">
        <v>7.1</v>
      </c>
      <c r="E1649">
        <f>IF($D1649 &gt; 16, 0, $J$3*(16 - $D1649))</f>
        <v>1848.9629200362033</v>
      </c>
      <c r="F1649">
        <f>IF($D1649 &gt; 16, 0,$E1649*$J$5)</f>
        <v>20096377.977873493</v>
      </c>
      <c r="G1649">
        <f t="shared" si="25"/>
        <v>8.9</v>
      </c>
    </row>
    <row r="1650" spans="2:7" x14ac:dyDescent="0.35">
      <c r="B1650" s="1">
        <v>45726</v>
      </c>
      <c r="C1650" s="2">
        <v>0.66666666666666663</v>
      </c>
      <c r="D1650">
        <v>7.6</v>
      </c>
      <c r="E1650">
        <f>IF($D1650 &gt; 16, 0, $J$3*(16 - $D1650))</f>
        <v>1745.0885986858548</v>
      </c>
      <c r="F1650">
        <f>IF($D1650 &gt; 16, 0,$E1650*$J$5)</f>
        <v>18967367.979116555</v>
      </c>
      <c r="G1650">
        <f t="shared" si="25"/>
        <v>8.4</v>
      </c>
    </row>
    <row r="1651" spans="2:7" x14ac:dyDescent="0.35">
      <c r="B1651" s="1">
        <v>45726</v>
      </c>
      <c r="C1651" s="2">
        <v>0.70833333333333337</v>
      </c>
      <c r="D1651">
        <v>6.6</v>
      </c>
      <c r="E1651">
        <f>IF($D1651 &gt; 16, 0, $J$3*(16 - $D1651))</f>
        <v>1952.8372413865518</v>
      </c>
      <c r="F1651">
        <f>IF($D1651 &gt; 16, 0,$E1651*$J$5)</f>
        <v>21225387.976630431</v>
      </c>
      <c r="G1651">
        <f t="shared" si="25"/>
        <v>9.4</v>
      </c>
    </row>
    <row r="1652" spans="2:7" x14ac:dyDescent="0.35">
      <c r="B1652" s="1">
        <v>45726</v>
      </c>
      <c r="C1652" s="2">
        <v>0.75</v>
      </c>
      <c r="D1652">
        <v>4.5999999999999996</v>
      </c>
      <c r="E1652">
        <f>IF($D1652 &gt; 16, 0, $J$3*(16 - $D1652))</f>
        <v>2368.3345267879458</v>
      </c>
      <c r="F1652">
        <f>IF($D1652 &gt; 16, 0,$E1652*$J$5)</f>
        <v>25741427.971658185</v>
      </c>
      <c r="G1652">
        <f t="shared" si="25"/>
        <v>11.4</v>
      </c>
    </row>
    <row r="1653" spans="2:7" x14ac:dyDescent="0.35">
      <c r="B1653" s="1">
        <v>45726</v>
      </c>
      <c r="C1653" s="2">
        <v>0.79166666666666663</v>
      </c>
      <c r="D1653">
        <v>3.2</v>
      </c>
      <c r="E1653">
        <f>IF($D1653 &gt; 16, 0, $J$3*(16 - $D1653))</f>
        <v>2659.1826265689215</v>
      </c>
      <c r="F1653">
        <f>IF($D1653 &gt; 16, 0,$E1653*$J$5)</f>
        <v>28902655.968177609</v>
      </c>
      <c r="G1653">
        <f t="shared" si="25"/>
        <v>12.8</v>
      </c>
    </row>
    <row r="1654" spans="2:7" x14ac:dyDescent="0.35">
      <c r="B1654" s="1">
        <v>45726</v>
      </c>
      <c r="C1654" s="2">
        <v>0.83333333333333337</v>
      </c>
      <c r="D1654">
        <v>1.6</v>
      </c>
      <c r="E1654">
        <f>IF($D1654 &gt; 16, 0, $J$3*(16 - $D1654))</f>
        <v>2991.5804548900369</v>
      </c>
      <c r="F1654">
        <f>IF($D1654 &gt; 16, 0,$E1654*$J$5)</f>
        <v>32515487.964199811</v>
      </c>
      <c r="G1654">
        <f t="shared" si="25"/>
        <v>14.4</v>
      </c>
    </row>
    <row r="1655" spans="2:7" x14ac:dyDescent="0.35">
      <c r="B1655" s="1">
        <v>45726</v>
      </c>
      <c r="C1655" s="2">
        <v>0.875</v>
      </c>
      <c r="D1655">
        <v>1</v>
      </c>
      <c r="E1655">
        <f>IF($D1655 &gt; 16, 0, $J$3*(16 - $D1655))</f>
        <v>3116.2296405104548</v>
      </c>
      <c r="F1655">
        <f>IF($D1655 &gt; 16, 0,$E1655*$J$5)</f>
        <v>33870299.96270813</v>
      </c>
      <c r="G1655">
        <f t="shared" si="25"/>
        <v>15</v>
      </c>
    </row>
    <row r="1656" spans="2:7" x14ac:dyDescent="0.35">
      <c r="B1656" s="1">
        <v>45726</v>
      </c>
      <c r="C1656" s="2">
        <v>0.91666666666666663</v>
      </c>
      <c r="D1656">
        <v>0.4</v>
      </c>
      <c r="E1656">
        <f>IF($D1656 &gt; 16, 0, $J$3*(16 - $D1656))</f>
        <v>3240.8788261308728</v>
      </c>
      <c r="F1656">
        <f>IF($D1656 &gt; 16, 0,$E1656*$J$5)</f>
        <v>35225111.961216457</v>
      </c>
      <c r="G1656">
        <f t="shared" si="25"/>
        <v>15.6</v>
      </c>
    </row>
    <row r="1657" spans="2:7" x14ac:dyDescent="0.35">
      <c r="B1657" s="1">
        <v>45726</v>
      </c>
      <c r="C1657" s="2">
        <v>0.95833333333333337</v>
      </c>
      <c r="D1657">
        <v>-1.3</v>
      </c>
      <c r="E1657">
        <f>IF($D1657 &gt; 16, 0, $J$3*(16 - $D1657))</f>
        <v>3594.0515187220581</v>
      </c>
      <c r="F1657">
        <f>IF($D1657 &gt; 16, 0,$E1657*$J$5)</f>
        <v>39063745.956990048</v>
      </c>
      <c r="G1657">
        <f t="shared" si="25"/>
        <v>17.3</v>
      </c>
    </row>
    <row r="1658" spans="2:7" x14ac:dyDescent="0.35">
      <c r="B1658" s="1">
        <v>45727</v>
      </c>
      <c r="C1658" s="2">
        <v>0</v>
      </c>
      <c r="D1658">
        <v>-1.7</v>
      </c>
      <c r="E1658">
        <f>IF($D1658 &gt; 16, 0, $J$3*(16 - $D1658))</f>
        <v>3677.1509758023367</v>
      </c>
      <c r="F1658">
        <f>IF($D1658 &gt; 16, 0,$E1658*$J$5)</f>
        <v>39966953.955995597</v>
      </c>
      <c r="G1658">
        <f t="shared" si="25"/>
        <v>17.7</v>
      </c>
    </row>
    <row r="1659" spans="2:7" x14ac:dyDescent="0.35">
      <c r="B1659" s="1">
        <v>45727</v>
      </c>
      <c r="C1659" s="2">
        <v>4.1666666666666657E-2</v>
      </c>
      <c r="D1659">
        <v>-1.1000000000000001</v>
      </c>
      <c r="E1659">
        <f>IF($D1659 &gt; 16, 0, $J$3*(16 - $D1659))</f>
        <v>3552.5017901819188</v>
      </c>
      <c r="F1659">
        <f>IF($D1659 &gt; 16, 0,$E1659*$J$5)</f>
        <v>38612141.957487278</v>
      </c>
      <c r="G1659">
        <f t="shared" si="25"/>
        <v>17.100000000000001</v>
      </c>
    </row>
    <row r="1660" spans="2:7" x14ac:dyDescent="0.35">
      <c r="B1660" s="1">
        <v>45727</v>
      </c>
      <c r="C1660" s="2">
        <v>8.3333333333333329E-2</v>
      </c>
      <c r="D1660">
        <v>-1</v>
      </c>
      <c r="E1660">
        <f>IF($D1660 &gt; 16, 0, $J$3*(16 - $D1660))</f>
        <v>3531.7269259118489</v>
      </c>
      <c r="F1660">
        <f>IF($D1660 &gt; 16, 0,$E1660*$J$5)</f>
        <v>38386339.957735889</v>
      </c>
      <c r="G1660">
        <f t="shared" si="25"/>
        <v>17</v>
      </c>
    </row>
    <row r="1661" spans="2:7" x14ac:dyDescent="0.35">
      <c r="B1661" s="1">
        <v>45727</v>
      </c>
      <c r="C1661" s="2">
        <v>0.125</v>
      </c>
      <c r="D1661">
        <v>-1.4</v>
      </c>
      <c r="E1661">
        <f>IF($D1661 &gt; 16, 0, $J$3*(16 - $D1661))</f>
        <v>3614.8263829921275</v>
      </c>
      <c r="F1661">
        <f>IF($D1661 &gt; 16, 0,$E1661*$J$5)</f>
        <v>39289547.956741437</v>
      </c>
      <c r="G1661">
        <f t="shared" si="25"/>
        <v>17.399999999999999</v>
      </c>
    </row>
    <row r="1662" spans="2:7" x14ac:dyDescent="0.35">
      <c r="B1662" s="1">
        <v>45727</v>
      </c>
      <c r="C1662" s="2">
        <v>0.16666666666666671</v>
      </c>
      <c r="D1662">
        <v>-1.8</v>
      </c>
      <c r="E1662">
        <f>IF($D1662 &gt; 16, 0, $J$3*(16 - $D1662))</f>
        <v>3697.9258400724066</v>
      </c>
      <c r="F1662">
        <f>IF($D1662 &gt; 16, 0,$E1662*$J$5)</f>
        <v>40192755.955746986</v>
      </c>
      <c r="G1662">
        <f t="shared" si="25"/>
        <v>17.8</v>
      </c>
    </row>
    <row r="1663" spans="2:7" x14ac:dyDescent="0.35">
      <c r="B1663" s="1">
        <v>45727</v>
      </c>
      <c r="C1663" s="2">
        <v>0.20833333333333329</v>
      </c>
      <c r="D1663">
        <v>-1.8</v>
      </c>
      <c r="E1663">
        <f>IF($D1663 &gt; 16, 0, $J$3*(16 - $D1663))</f>
        <v>3697.9258400724066</v>
      </c>
      <c r="F1663">
        <f>IF($D1663 &gt; 16, 0,$E1663*$J$5)</f>
        <v>40192755.955746986</v>
      </c>
      <c r="G1663">
        <f t="shared" si="25"/>
        <v>17.8</v>
      </c>
    </row>
    <row r="1664" spans="2:7" x14ac:dyDescent="0.35">
      <c r="B1664" s="1">
        <v>45727</v>
      </c>
      <c r="C1664" s="2">
        <v>0.25</v>
      </c>
      <c r="D1664">
        <v>-2</v>
      </c>
      <c r="E1664">
        <f>IF($D1664 &gt; 16, 0, $J$3*(16 - $D1664))</f>
        <v>3739.4755686125459</v>
      </c>
      <c r="F1664">
        <f>IF($D1664 &gt; 16, 0,$E1664*$J$5)</f>
        <v>40644359.955249764</v>
      </c>
      <c r="G1664">
        <f t="shared" si="25"/>
        <v>18</v>
      </c>
    </row>
    <row r="1665" spans="2:7" x14ac:dyDescent="0.35">
      <c r="B1665" s="1">
        <v>45727</v>
      </c>
      <c r="C1665" s="2">
        <v>0.29166666666666669</v>
      </c>
      <c r="D1665">
        <v>-0.4</v>
      </c>
      <c r="E1665">
        <f>IF($D1665 &gt; 16, 0, $J$3*(16 - $D1665))</f>
        <v>3407.0777402914305</v>
      </c>
      <c r="F1665">
        <f>IF($D1665 &gt; 16, 0,$E1665*$J$5)</f>
        <v>37031527.959227555</v>
      </c>
      <c r="G1665">
        <f t="shared" si="25"/>
        <v>16.399999999999999</v>
      </c>
    </row>
    <row r="1666" spans="2:7" x14ac:dyDescent="0.35">
      <c r="B1666" s="1">
        <v>45727</v>
      </c>
      <c r="C1666" s="2">
        <v>0.33333333333333331</v>
      </c>
      <c r="D1666">
        <v>0.9</v>
      </c>
      <c r="E1666">
        <f>IF($D1666 &gt; 16, 0, $J$3*(16 - $D1666))</f>
        <v>3137.0045047805243</v>
      </c>
      <c r="F1666">
        <f>IF($D1666 &gt; 16, 0,$E1666*$J$5)</f>
        <v>34096101.96245952</v>
      </c>
      <c r="G1666">
        <f t="shared" si="25"/>
        <v>15.1</v>
      </c>
    </row>
    <row r="1667" spans="2:7" x14ac:dyDescent="0.35">
      <c r="B1667" s="1">
        <v>45727</v>
      </c>
      <c r="C1667" s="2">
        <v>0.375</v>
      </c>
      <c r="D1667">
        <v>1.8</v>
      </c>
      <c r="E1667">
        <f>IF($D1667 &gt; 16, 0, $J$3*(16 - $D1667))</f>
        <v>2950.0307263498971</v>
      </c>
      <c r="F1667">
        <f>IF($D1667 &gt; 16, 0,$E1667*$J$5)</f>
        <v>32063883.964697033</v>
      </c>
      <c r="G1667">
        <f t="shared" ref="G1667:G1730" si="26">MAX(0, 16 - $D1667)</f>
        <v>14.2</v>
      </c>
    </row>
    <row r="1668" spans="2:7" x14ac:dyDescent="0.35">
      <c r="B1668" s="1">
        <v>45727</v>
      </c>
      <c r="C1668" s="2">
        <v>0.41666666666666669</v>
      </c>
      <c r="D1668">
        <v>2.5</v>
      </c>
      <c r="E1668">
        <f>IF($D1668 &gt; 16, 0, $J$3*(16 - $D1668))</f>
        <v>2804.6066764594093</v>
      </c>
      <c r="F1668">
        <f>IF($D1668 &gt; 16, 0,$E1668*$J$5)</f>
        <v>30483269.966437321</v>
      </c>
      <c r="G1668">
        <f t="shared" si="26"/>
        <v>13.5</v>
      </c>
    </row>
    <row r="1669" spans="2:7" x14ac:dyDescent="0.35">
      <c r="B1669" s="1">
        <v>45727</v>
      </c>
      <c r="C1669" s="2">
        <v>0.45833333333333331</v>
      </c>
      <c r="D1669">
        <v>3</v>
      </c>
      <c r="E1669">
        <f>IF($D1669 &gt; 16, 0, $J$3*(16 - $D1669))</f>
        <v>2700.7323551090608</v>
      </c>
      <c r="F1669">
        <f>IF($D1669 &gt; 16, 0,$E1669*$J$5)</f>
        <v>29354259.967680383</v>
      </c>
      <c r="G1669">
        <f t="shared" si="26"/>
        <v>13</v>
      </c>
    </row>
    <row r="1670" spans="2:7" x14ac:dyDescent="0.35">
      <c r="B1670" s="1">
        <v>45727</v>
      </c>
      <c r="C1670" s="2">
        <v>0.5</v>
      </c>
      <c r="D1670">
        <v>4.5</v>
      </c>
      <c r="E1670">
        <f>IF($D1670 &gt; 16, 0, $J$3*(16 - $D1670))</f>
        <v>2389.1093910580153</v>
      </c>
      <c r="F1670">
        <f>IF($D1670 &gt; 16, 0,$E1670*$J$5)</f>
        <v>25967229.971409567</v>
      </c>
      <c r="G1670">
        <f t="shared" si="26"/>
        <v>11.5</v>
      </c>
    </row>
    <row r="1671" spans="2:7" x14ac:dyDescent="0.35">
      <c r="B1671" s="1">
        <v>45727</v>
      </c>
      <c r="C1671" s="2">
        <v>0.54166666666666663</v>
      </c>
      <c r="D1671">
        <v>5.2</v>
      </c>
      <c r="E1671">
        <f>IF($D1671 &gt; 16, 0, $J$3*(16 - $D1671))</f>
        <v>2243.6853411675274</v>
      </c>
      <c r="F1671">
        <f>IF($D1671 &gt; 16, 0,$E1671*$J$5)</f>
        <v>24386615.973149855</v>
      </c>
      <c r="G1671">
        <f t="shared" si="26"/>
        <v>10.8</v>
      </c>
    </row>
    <row r="1672" spans="2:7" x14ac:dyDescent="0.35">
      <c r="B1672" s="1">
        <v>45727</v>
      </c>
      <c r="C1672" s="2">
        <v>0.58333333333333337</v>
      </c>
      <c r="D1672">
        <v>5.4</v>
      </c>
      <c r="E1672">
        <f>IF($D1672 &gt; 16, 0, $J$3*(16 - $D1672))</f>
        <v>2202.1356126273881</v>
      </c>
      <c r="F1672">
        <f>IF($D1672 &gt; 16, 0,$E1672*$J$5)</f>
        <v>23935011.97364708</v>
      </c>
      <c r="G1672">
        <f t="shared" si="26"/>
        <v>10.6</v>
      </c>
    </row>
    <row r="1673" spans="2:7" x14ac:dyDescent="0.35">
      <c r="B1673" s="1">
        <v>45727</v>
      </c>
      <c r="C1673" s="2">
        <v>0.625</v>
      </c>
      <c r="D1673">
        <v>6</v>
      </c>
      <c r="E1673">
        <f>IF($D1673 &gt; 16, 0, $J$3*(16 - $D1673))</f>
        <v>2077.4864270069697</v>
      </c>
      <c r="F1673">
        <f>IF($D1673 &gt; 16, 0,$E1673*$J$5)</f>
        <v>22580199.975138754</v>
      </c>
      <c r="G1673">
        <f t="shared" si="26"/>
        <v>10</v>
      </c>
    </row>
    <row r="1674" spans="2:7" x14ac:dyDescent="0.35">
      <c r="B1674" s="1">
        <v>45727</v>
      </c>
      <c r="C1674" s="2">
        <v>0.66666666666666663</v>
      </c>
      <c r="D1674">
        <v>6.1</v>
      </c>
      <c r="E1674">
        <f>IF($D1674 &gt; 16, 0, $J$3*(16 - $D1674))</f>
        <v>2056.7115627369003</v>
      </c>
      <c r="F1674">
        <f>IF($D1674 &gt; 16, 0,$E1674*$J$5)</f>
        <v>22354397.975387368</v>
      </c>
      <c r="G1674">
        <f t="shared" si="26"/>
        <v>9.9</v>
      </c>
    </row>
    <row r="1675" spans="2:7" x14ac:dyDescent="0.35">
      <c r="B1675" s="1">
        <v>45727</v>
      </c>
      <c r="C1675" s="2">
        <v>0.70833333333333337</v>
      </c>
      <c r="D1675">
        <v>5.7</v>
      </c>
      <c r="E1675">
        <f>IF($D1675 &gt; 16, 0, $J$3*(16 - $D1675))</f>
        <v>2139.8110198171789</v>
      </c>
      <c r="F1675">
        <f>IF($D1675 &gt; 16, 0,$E1675*$J$5)</f>
        <v>23257605.974392917</v>
      </c>
      <c r="G1675">
        <f t="shared" si="26"/>
        <v>10.3</v>
      </c>
    </row>
    <row r="1676" spans="2:7" x14ac:dyDescent="0.35">
      <c r="B1676" s="1">
        <v>45727</v>
      </c>
      <c r="C1676" s="2">
        <v>0.75</v>
      </c>
      <c r="D1676">
        <v>5.2</v>
      </c>
      <c r="E1676">
        <f>IF($D1676 &gt; 16, 0, $J$3*(16 - $D1676))</f>
        <v>2243.6853411675274</v>
      </c>
      <c r="F1676">
        <f>IF($D1676 &gt; 16, 0,$E1676*$J$5)</f>
        <v>24386615.973149855</v>
      </c>
      <c r="G1676">
        <f t="shared" si="26"/>
        <v>10.8</v>
      </c>
    </row>
    <row r="1677" spans="2:7" x14ac:dyDescent="0.35">
      <c r="B1677" s="1">
        <v>45727</v>
      </c>
      <c r="C1677" s="2">
        <v>0.79166666666666663</v>
      </c>
      <c r="D1677">
        <v>4.7</v>
      </c>
      <c r="E1677">
        <f>IF($D1677 &gt; 16, 0, $J$3*(16 - $D1677))</f>
        <v>2347.5596625178759</v>
      </c>
      <c r="F1677">
        <f>IF($D1677 &gt; 16, 0,$E1677*$J$5)</f>
        <v>25515625.971906792</v>
      </c>
      <c r="G1677">
        <f t="shared" si="26"/>
        <v>11.3</v>
      </c>
    </row>
    <row r="1678" spans="2:7" x14ac:dyDescent="0.35">
      <c r="B1678" s="1">
        <v>45727</v>
      </c>
      <c r="C1678" s="2">
        <v>0.83333333333333337</v>
      </c>
      <c r="D1678">
        <v>4.2</v>
      </c>
      <c r="E1678">
        <f>IF($D1678 &gt; 16, 0, $J$3*(16 - $D1678))</f>
        <v>2451.4339838682245</v>
      </c>
      <c r="F1678">
        <f>IF($D1678 &gt; 16, 0,$E1678*$J$5)</f>
        <v>26644635.97066373</v>
      </c>
      <c r="G1678">
        <f t="shared" si="26"/>
        <v>11.8</v>
      </c>
    </row>
    <row r="1679" spans="2:7" x14ac:dyDescent="0.35">
      <c r="B1679" s="1">
        <v>45727</v>
      </c>
      <c r="C1679" s="2">
        <v>0.875</v>
      </c>
      <c r="D1679">
        <v>3.2</v>
      </c>
      <c r="E1679">
        <f>IF($D1679 &gt; 16, 0, $J$3*(16 - $D1679))</f>
        <v>2659.1826265689215</v>
      </c>
      <c r="F1679">
        <f>IF($D1679 &gt; 16, 0,$E1679*$J$5)</f>
        <v>28902655.968177609</v>
      </c>
      <c r="G1679">
        <f t="shared" si="26"/>
        <v>12.8</v>
      </c>
    </row>
    <row r="1680" spans="2:7" x14ac:dyDescent="0.35">
      <c r="B1680" s="1">
        <v>45727</v>
      </c>
      <c r="C1680" s="2">
        <v>0.91666666666666663</v>
      </c>
      <c r="D1680">
        <v>2.6</v>
      </c>
      <c r="E1680">
        <f>IF($D1680 &gt; 16, 0, $J$3*(16 - $D1680))</f>
        <v>2783.8318121893399</v>
      </c>
      <c r="F1680">
        <f>IF($D1680 &gt; 16, 0,$E1680*$J$5)</f>
        <v>30257467.966685936</v>
      </c>
      <c r="G1680">
        <f t="shared" si="26"/>
        <v>13.4</v>
      </c>
    </row>
    <row r="1681" spans="2:7" x14ac:dyDescent="0.35">
      <c r="B1681" s="1">
        <v>45727</v>
      </c>
      <c r="C1681" s="2">
        <v>0.95833333333333337</v>
      </c>
      <c r="D1681">
        <v>3.8</v>
      </c>
      <c r="E1681">
        <f>IF($D1681 &gt; 16, 0, $J$3*(16 - $D1681))</f>
        <v>2534.5334409485031</v>
      </c>
      <c r="F1681">
        <f>IF($D1681 &gt; 16, 0,$E1681*$J$5)</f>
        <v>27547843.969669279</v>
      </c>
      <c r="G1681">
        <f t="shared" si="26"/>
        <v>12.2</v>
      </c>
    </row>
    <row r="1682" spans="2:7" x14ac:dyDescent="0.35">
      <c r="B1682" s="1">
        <v>45728</v>
      </c>
      <c r="C1682" s="2">
        <v>0</v>
      </c>
      <c r="D1682">
        <v>3.6</v>
      </c>
      <c r="E1682">
        <f>IF($D1682 &gt; 16, 0, $J$3*(16 - $D1682))</f>
        <v>2576.0831694886429</v>
      </c>
      <c r="F1682">
        <f>IF($D1682 &gt; 16, 0,$E1682*$J$5)</f>
        <v>27999447.96917206</v>
      </c>
      <c r="G1682">
        <f t="shared" si="26"/>
        <v>12.4</v>
      </c>
    </row>
    <row r="1683" spans="2:7" x14ac:dyDescent="0.35">
      <c r="B1683" s="1">
        <v>45728</v>
      </c>
      <c r="C1683" s="2">
        <v>4.1666666666666657E-2</v>
      </c>
      <c r="D1683">
        <v>3.1</v>
      </c>
      <c r="E1683">
        <f>IF($D1683 &gt; 16, 0, $J$3*(16 - $D1683))</f>
        <v>2679.9574908389914</v>
      </c>
      <c r="F1683">
        <f>IF($D1683 &gt; 16, 0,$E1683*$J$5)</f>
        <v>29128457.967928998</v>
      </c>
      <c r="G1683">
        <f t="shared" si="26"/>
        <v>12.9</v>
      </c>
    </row>
    <row r="1684" spans="2:7" x14ac:dyDescent="0.35">
      <c r="B1684" s="1">
        <v>45728</v>
      </c>
      <c r="C1684" s="2">
        <v>8.3333333333333329E-2</v>
      </c>
      <c r="D1684">
        <v>3.1</v>
      </c>
      <c r="E1684">
        <f>IF($D1684 &gt; 16, 0, $J$3*(16 - $D1684))</f>
        <v>2679.9574908389914</v>
      </c>
      <c r="F1684">
        <f>IF($D1684 &gt; 16, 0,$E1684*$J$5)</f>
        <v>29128457.967928998</v>
      </c>
      <c r="G1684">
        <f t="shared" si="26"/>
        <v>12.9</v>
      </c>
    </row>
    <row r="1685" spans="2:7" x14ac:dyDescent="0.35">
      <c r="B1685" s="1">
        <v>45728</v>
      </c>
      <c r="C1685" s="2">
        <v>0.125</v>
      </c>
      <c r="D1685">
        <v>3.4</v>
      </c>
      <c r="E1685">
        <f>IF($D1685 &gt; 16, 0, $J$3*(16 - $D1685))</f>
        <v>2617.6328980287822</v>
      </c>
      <c r="F1685">
        <f>IF($D1685 &gt; 16, 0,$E1685*$J$5)</f>
        <v>28451051.968674835</v>
      </c>
      <c r="G1685">
        <f t="shared" si="26"/>
        <v>12.6</v>
      </c>
    </row>
    <row r="1686" spans="2:7" x14ac:dyDescent="0.35">
      <c r="B1686" s="1">
        <v>45728</v>
      </c>
      <c r="C1686" s="2">
        <v>0.16666666666666671</v>
      </c>
      <c r="D1686">
        <v>3.5</v>
      </c>
      <c r="E1686">
        <f>IF($D1686 &gt; 16, 0, $J$3*(16 - $D1686))</f>
        <v>2596.8580337587123</v>
      </c>
      <c r="F1686">
        <f>IF($D1686 &gt; 16, 0,$E1686*$J$5)</f>
        <v>28225249.968923442</v>
      </c>
      <c r="G1686">
        <f t="shared" si="26"/>
        <v>12.5</v>
      </c>
    </row>
    <row r="1687" spans="2:7" x14ac:dyDescent="0.35">
      <c r="B1687" s="1">
        <v>45728</v>
      </c>
      <c r="C1687" s="2">
        <v>0.20833333333333329</v>
      </c>
      <c r="D1687">
        <v>3.2</v>
      </c>
      <c r="E1687">
        <f>IF($D1687 &gt; 16, 0, $J$3*(16 - $D1687))</f>
        <v>2659.1826265689215</v>
      </c>
      <c r="F1687">
        <f>IF($D1687 &gt; 16, 0,$E1687*$J$5)</f>
        <v>28902655.968177609</v>
      </c>
      <c r="G1687">
        <f t="shared" si="26"/>
        <v>12.8</v>
      </c>
    </row>
    <row r="1688" spans="2:7" x14ac:dyDescent="0.35">
      <c r="B1688" s="1">
        <v>45728</v>
      </c>
      <c r="C1688" s="2">
        <v>0.25</v>
      </c>
      <c r="D1688">
        <v>3.4</v>
      </c>
      <c r="E1688">
        <f>IF($D1688 &gt; 16, 0, $J$3*(16 - $D1688))</f>
        <v>2617.6328980287822</v>
      </c>
      <c r="F1688">
        <f>IF($D1688 &gt; 16, 0,$E1688*$J$5)</f>
        <v>28451051.968674835</v>
      </c>
      <c r="G1688">
        <f t="shared" si="26"/>
        <v>12.6</v>
      </c>
    </row>
    <row r="1689" spans="2:7" x14ac:dyDescent="0.35">
      <c r="B1689" s="1">
        <v>45728</v>
      </c>
      <c r="C1689" s="2">
        <v>0.29166666666666669</v>
      </c>
      <c r="D1689">
        <v>3.5</v>
      </c>
      <c r="E1689">
        <f>IF($D1689 &gt; 16, 0, $J$3*(16 - $D1689))</f>
        <v>2596.8580337587123</v>
      </c>
      <c r="F1689">
        <f>IF($D1689 &gt; 16, 0,$E1689*$J$5)</f>
        <v>28225249.968923442</v>
      </c>
      <c r="G1689">
        <f t="shared" si="26"/>
        <v>12.5</v>
      </c>
    </row>
    <row r="1690" spans="2:7" x14ac:dyDescent="0.35">
      <c r="B1690" s="1">
        <v>45728</v>
      </c>
      <c r="C1690" s="2">
        <v>0.33333333333333331</v>
      </c>
      <c r="D1690">
        <v>4.0999999999999996</v>
      </c>
      <c r="E1690">
        <f>IF($D1690 &gt; 16, 0, $J$3*(16 - $D1690))</f>
        <v>2472.2088481382943</v>
      </c>
      <c r="F1690">
        <f>IF($D1690 &gt; 16, 0,$E1690*$J$5)</f>
        <v>26870437.970415123</v>
      </c>
      <c r="G1690">
        <f t="shared" si="26"/>
        <v>11.9</v>
      </c>
    </row>
    <row r="1691" spans="2:7" x14ac:dyDescent="0.35">
      <c r="B1691" s="1">
        <v>45728</v>
      </c>
      <c r="C1691" s="2">
        <v>0.375</v>
      </c>
      <c r="D1691">
        <v>4.9000000000000004</v>
      </c>
      <c r="E1691">
        <f>IF($D1691 &gt; 16, 0, $J$3*(16 - $D1691))</f>
        <v>2306.0099339777366</v>
      </c>
      <c r="F1691">
        <f>IF($D1691 &gt; 16, 0,$E1691*$J$5)</f>
        <v>25064021.972404018</v>
      </c>
      <c r="G1691">
        <f t="shared" si="26"/>
        <v>11.1</v>
      </c>
    </row>
    <row r="1692" spans="2:7" x14ac:dyDescent="0.35">
      <c r="B1692" s="1">
        <v>45728</v>
      </c>
      <c r="C1692" s="2">
        <v>0.41666666666666669</v>
      </c>
      <c r="D1692">
        <v>5.4</v>
      </c>
      <c r="E1692">
        <f>IF($D1692 &gt; 16, 0, $J$3*(16 - $D1692))</f>
        <v>2202.1356126273881</v>
      </c>
      <c r="F1692">
        <f>IF($D1692 &gt; 16, 0,$E1692*$J$5)</f>
        <v>23935011.97364708</v>
      </c>
      <c r="G1692">
        <f t="shared" si="26"/>
        <v>10.6</v>
      </c>
    </row>
    <row r="1693" spans="2:7" x14ac:dyDescent="0.35">
      <c r="B1693" s="1">
        <v>45728</v>
      </c>
      <c r="C1693" s="2">
        <v>0.45833333333333331</v>
      </c>
      <c r="D1693">
        <v>6</v>
      </c>
      <c r="E1693">
        <f>IF($D1693 &gt; 16, 0, $J$3*(16 - $D1693))</f>
        <v>2077.4864270069697</v>
      </c>
      <c r="F1693">
        <f>IF($D1693 &gt; 16, 0,$E1693*$J$5)</f>
        <v>22580199.975138754</v>
      </c>
      <c r="G1693">
        <f t="shared" si="26"/>
        <v>10</v>
      </c>
    </row>
    <row r="1694" spans="2:7" x14ac:dyDescent="0.35">
      <c r="B1694" s="1">
        <v>45728</v>
      </c>
      <c r="C1694" s="2">
        <v>0.5</v>
      </c>
      <c r="D1694">
        <v>5.7</v>
      </c>
      <c r="E1694">
        <f>IF($D1694 &gt; 16, 0, $J$3*(16 - $D1694))</f>
        <v>2139.8110198171789</v>
      </c>
      <c r="F1694">
        <f>IF($D1694 &gt; 16, 0,$E1694*$J$5)</f>
        <v>23257605.974392917</v>
      </c>
      <c r="G1694">
        <f t="shared" si="26"/>
        <v>10.3</v>
      </c>
    </row>
    <row r="1695" spans="2:7" x14ac:dyDescent="0.35">
      <c r="B1695" s="1">
        <v>45728</v>
      </c>
      <c r="C1695" s="2">
        <v>0.54166666666666663</v>
      </c>
      <c r="D1695">
        <v>5.9</v>
      </c>
      <c r="E1695">
        <f>IF($D1695 &gt; 16, 0, $J$3*(16 - $D1695))</f>
        <v>2098.2612912770396</v>
      </c>
      <c r="F1695">
        <f>IF($D1695 &gt; 16, 0,$E1695*$J$5)</f>
        <v>22806001.974890143</v>
      </c>
      <c r="G1695">
        <f t="shared" si="26"/>
        <v>10.1</v>
      </c>
    </row>
    <row r="1696" spans="2:7" x14ac:dyDescent="0.35">
      <c r="B1696" s="1">
        <v>45728</v>
      </c>
      <c r="C1696" s="2">
        <v>0.58333333333333337</v>
      </c>
      <c r="D1696">
        <v>6.2</v>
      </c>
      <c r="E1696">
        <f>IF($D1696 &gt; 16, 0, $J$3*(16 - $D1696))</f>
        <v>2035.9366984668306</v>
      </c>
      <c r="F1696">
        <f>IF($D1696 &gt; 16, 0,$E1696*$J$5)</f>
        <v>22128595.975635983</v>
      </c>
      <c r="G1696">
        <f t="shared" si="26"/>
        <v>9.8000000000000007</v>
      </c>
    </row>
    <row r="1697" spans="2:7" x14ac:dyDescent="0.35">
      <c r="B1697" s="1">
        <v>45728</v>
      </c>
      <c r="C1697" s="2">
        <v>0.625</v>
      </c>
      <c r="D1697">
        <v>6.7</v>
      </c>
      <c r="E1697">
        <f>IF($D1697 &gt; 16, 0, $J$3*(16 - $D1697))</f>
        <v>1932.0623771164821</v>
      </c>
      <c r="F1697">
        <f>IF($D1697 &gt; 16, 0,$E1697*$J$5)</f>
        <v>20999585.976879045</v>
      </c>
      <c r="G1697">
        <f t="shared" si="26"/>
        <v>9.3000000000000007</v>
      </c>
    </row>
    <row r="1698" spans="2:7" x14ac:dyDescent="0.35">
      <c r="B1698" s="1">
        <v>45728</v>
      </c>
      <c r="C1698" s="2">
        <v>0.66666666666666663</v>
      </c>
      <c r="D1698">
        <v>6.4</v>
      </c>
      <c r="E1698">
        <f>IF($D1698 &gt; 16, 0, $J$3*(16 - $D1698))</f>
        <v>1994.3869699266911</v>
      </c>
      <c r="F1698">
        <f>IF($D1698 &gt; 16, 0,$E1698*$J$5)</f>
        <v>21676991.976133205</v>
      </c>
      <c r="G1698">
        <f t="shared" si="26"/>
        <v>9.6</v>
      </c>
    </row>
    <row r="1699" spans="2:7" x14ac:dyDescent="0.35">
      <c r="B1699" s="1">
        <v>45728</v>
      </c>
      <c r="C1699" s="2">
        <v>0.70833333333333337</v>
      </c>
      <c r="D1699">
        <v>6.1</v>
      </c>
      <c r="E1699">
        <f>IF($D1699 &gt; 16, 0, $J$3*(16 - $D1699))</f>
        <v>2056.7115627369003</v>
      </c>
      <c r="F1699">
        <f>IF($D1699 &gt; 16, 0,$E1699*$J$5)</f>
        <v>22354397.975387368</v>
      </c>
      <c r="G1699">
        <f t="shared" si="26"/>
        <v>9.9</v>
      </c>
    </row>
    <row r="1700" spans="2:7" x14ac:dyDescent="0.35">
      <c r="B1700" s="1">
        <v>45728</v>
      </c>
      <c r="C1700" s="2">
        <v>0.75</v>
      </c>
      <c r="D1700">
        <v>4.4000000000000004</v>
      </c>
      <c r="E1700">
        <f>IF($D1700 &gt; 16, 0, $J$3*(16 - $D1700))</f>
        <v>2409.8842553280851</v>
      </c>
      <c r="F1700">
        <f>IF($D1700 &gt; 16, 0,$E1700*$J$5)</f>
        <v>26193031.971160956</v>
      </c>
      <c r="G1700">
        <f t="shared" si="26"/>
        <v>11.6</v>
      </c>
    </row>
    <row r="1701" spans="2:7" x14ac:dyDescent="0.35">
      <c r="B1701" s="1">
        <v>45728</v>
      </c>
      <c r="C1701" s="2">
        <v>0.79166666666666663</v>
      </c>
      <c r="D1701">
        <v>3</v>
      </c>
      <c r="E1701">
        <f>IF($D1701 &gt; 16, 0, $J$3*(16 - $D1701))</f>
        <v>2700.7323551090608</v>
      </c>
      <c r="F1701">
        <f>IF($D1701 &gt; 16, 0,$E1701*$J$5)</f>
        <v>29354259.967680383</v>
      </c>
      <c r="G1701">
        <f t="shared" si="26"/>
        <v>13</v>
      </c>
    </row>
    <row r="1702" spans="2:7" x14ac:dyDescent="0.35">
      <c r="B1702" s="1">
        <v>45728</v>
      </c>
      <c r="C1702" s="2">
        <v>0.83333333333333337</v>
      </c>
      <c r="D1702">
        <v>2.2000000000000002</v>
      </c>
      <c r="E1702">
        <f>IF($D1702 &gt; 16, 0, $J$3*(16 - $D1702))</f>
        <v>2866.9312692696185</v>
      </c>
      <c r="F1702">
        <f>IF($D1702 &gt; 16, 0,$E1702*$J$5)</f>
        <v>31160675.965691485</v>
      </c>
      <c r="G1702">
        <f t="shared" si="26"/>
        <v>13.8</v>
      </c>
    </row>
    <row r="1703" spans="2:7" x14ac:dyDescent="0.35">
      <c r="B1703" s="1">
        <v>45728</v>
      </c>
      <c r="C1703" s="2">
        <v>0.875</v>
      </c>
      <c r="D1703">
        <v>1</v>
      </c>
      <c r="E1703">
        <f>IF($D1703 &gt; 16, 0, $J$3*(16 - $D1703))</f>
        <v>3116.2296405104548</v>
      </c>
      <c r="F1703">
        <f>IF($D1703 &gt; 16, 0,$E1703*$J$5)</f>
        <v>33870299.96270813</v>
      </c>
      <c r="G1703">
        <f t="shared" si="26"/>
        <v>15</v>
      </c>
    </row>
    <row r="1704" spans="2:7" x14ac:dyDescent="0.35">
      <c r="B1704" s="1">
        <v>45728</v>
      </c>
      <c r="C1704" s="2">
        <v>0.91666666666666663</v>
      </c>
      <c r="D1704">
        <v>-0.1</v>
      </c>
      <c r="E1704">
        <f>IF($D1704 &gt; 16, 0, $J$3*(16 - $D1704))</f>
        <v>3344.7531474812217</v>
      </c>
      <c r="F1704">
        <f>IF($D1704 &gt; 16, 0,$E1704*$J$5)</f>
        <v>36354121.959973402</v>
      </c>
      <c r="G1704">
        <f t="shared" si="26"/>
        <v>16.100000000000001</v>
      </c>
    </row>
    <row r="1705" spans="2:7" x14ac:dyDescent="0.35">
      <c r="B1705" s="1">
        <v>45728</v>
      </c>
      <c r="C1705" s="2">
        <v>0.95833333333333337</v>
      </c>
      <c r="D1705">
        <v>1.2</v>
      </c>
      <c r="E1705">
        <f>IF($D1705 &gt; 16, 0, $J$3*(16 - $D1705))</f>
        <v>3074.6799119703155</v>
      </c>
      <c r="F1705">
        <f>IF($D1705 &gt; 16, 0,$E1705*$J$5)</f>
        <v>33418695.96320536</v>
      </c>
      <c r="G1705">
        <f t="shared" si="26"/>
        <v>14.8</v>
      </c>
    </row>
    <row r="1706" spans="2:7" x14ac:dyDescent="0.35">
      <c r="B1706" s="1">
        <v>45729</v>
      </c>
      <c r="C1706" s="2">
        <v>0</v>
      </c>
      <c r="D1706">
        <v>-0.6</v>
      </c>
      <c r="E1706">
        <f>IF($D1706 &gt; 16, 0, $J$3*(16 - $D1706))</f>
        <v>3448.6274688315702</v>
      </c>
      <c r="F1706">
        <f>IF($D1706 &gt; 16, 0,$E1706*$J$5)</f>
        <v>37483131.95873034</v>
      </c>
      <c r="G1706">
        <f t="shared" si="26"/>
        <v>16.600000000000001</v>
      </c>
    </row>
    <row r="1707" spans="2:7" x14ac:dyDescent="0.35">
      <c r="B1707" s="1">
        <v>45729</v>
      </c>
      <c r="C1707" s="2">
        <v>4.1666666666666657E-2</v>
      </c>
      <c r="D1707">
        <v>-1.3</v>
      </c>
      <c r="E1707">
        <f>IF($D1707 &gt; 16, 0, $J$3*(16 - $D1707))</f>
        <v>3594.0515187220581</v>
      </c>
      <c r="F1707">
        <f>IF($D1707 &gt; 16, 0,$E1707*$J$5)</f>
        <v>39063745.956990048</v>
      </c>
      <c r="G1707">
        <f t="shared" si="26"/>
        <v>17.3</v>
      </c>
    </row>
    <row r="1708" spans="2:7" x14ac:dyDescent="0.35">
      <c r="B1708" s="1">
        <v>45729</v>
      </c>
      <c r="C1708" s="2">
        <v>8.3333333333333329E-2</v>
      </c>
      <c r="D1708">
        <v>-2.2999999999999998</v>
      </c>
      <c r="E1708">
        <f>IF($D1708 &gt; 16, 0, $J$3*(16 - $D1708))</f>
        <v>3801.8001614227551</v>
      </c>
      <c r="F1708">
        <f>IF($D1708 &gt; 16, 0,$E1708*$J$5)</f>
        <v>41321765.954503924</v>
      </c>
      <c r="G1708">
        <f t="shared" si="26"/>
        <v>18.3</v>
      </c>
    </row>
    <row r="1709" spans="2:7" x14ac:dyDescent="0.35">
      <c r="B1709" s="1">
        <v>45729</v>
      </c>
      <c r="C1709" s="2">
        <v>0.125</v>
      </c>
      <c r="D1709">
        <v>-2.5</v>
      </c>
      <c r="E1709">
        <f>IF($D1709 &gt; 16, 0, $J$3*(16 - $D1709))</f>
        <v>3843.3498899628944</v>
      </c>
      <c r="F1709">
        <f>IF($D1709 &gt; 16, 0,$E1709*$J$5)</f>
        <v>41773369.954006702</v>
      </c>
      <c r="G1709">
        <f t="shared" si="26"/>
        <v>18.5</v>
      </c>
    </row>
    <row r="1710" spans="2:7" x14ac:dyDescent="0.35">
      <c r="B1710" s="1">
        <v>45729</v>
      </c>
      <c r="C1710" s="2">
        <v>0.16666666666666671</v>
      </c>
      <c r="D1710">
        <v>-3.6</v>
      </c>
      <c r="E1710">
        <f>IF($D1710 &gt; 16, 0, $J$3*(16 - $D1710))</f>
        <v>4071.8733969336613</v>
      </c>
      <c r="F1710">
        <f>IF($D1710 &gt; 16, 0,$E1710*$J$5)</f>
        <v>44257191.951271966</v>
      </c>
      <c r="G1710">
        <f t="shared" si="26"/>
        <v>19.600000000000001</v>
      </c>
    </row>
    <row r="1711" spans="2:7" x14ac:dyDescent="0.35">
      <c r="B1711" s="1">
        <v>45729</v>
      </c>
      <c r="C1711" s="2">
        <v>0.20833333333333329</v>
      </c>
      <c r="D1711">
        <v>-3</v>
      </c>
      <c r="E1711">
        <f>IF($D1711 &gt; 16, 0, $J$3*(16 - $D1711))</f>
        <v>3947.2242113132429</v>
      </c>
      <c r="F1711">
        <f>IF($D1711 &gt; 16, 0,$E1711*$J$5)</f>
        <v>42902379.952763639</v>
      </c>
      <c r="G1711">
        <f t="shared" si="26"/>
        <v>19</v>
      </c>
    </row>
    <row r="1712" spans="2:7" x14ac:dyDescent="0.35">
      <c r="B1712" s="1">
        <v>45729</v>
      </c>
      <c r="C1712" s="2">
        <v>0.25</v>
      </c>
      <c r="D1712">
        <v>-1.3</v>
      </c>
      <c r="E1712">
        <f>IF($D1712 &gt; 16, 0, $J$3*(16 - $D1712))</f>
        <v>3594.0515187220581</v>
      </c>
      <c r="F1712">
        <f>IF($D1712 &gt; 16, 0,$E1712*$J$5)</f>
        <v>39063745.956990048</v>
      </c>
      <c r="G1712">
        <f t="shared" si="26"/>
        <v>17.3</v>
      </c>
    </row>
    <row r="1713" spans="2:7" x14ac:dyDescent="0.35">
      <c r="B1713" s="1">
        <v>45729</v>
      </c>
      <c r="C1713" s="2">
        <v>0.29166666666666669</v>
      </c>
      <c r="D1713">
        <v>0.2</v>
      </c>
      <c r="E1713">
        <f>IF($D1713 &gt; 16, 0, $J$3*(16 - $D1713))</f>
        <v>3282.4285546710125</v>
      </c>
      <c r="F1713">
        <f>IF($D1713 &gt; 16, 0,$E1713*$J$5)</f>
        <v>35676715.960719235</v>
      </c>
      <c r="G1713">
        <f t="shared" si="26"/>
        <v>15.8</v>
      </c>
    </row>
    <row r="1714" spans="2:7" x14ac:dyDescent="0.35">
      <c r="B1714" s="1">
        <v>45729</v>
      </c>
      <c r="C1714" s="2">
        <v>0.33333333333333331</v>
      </c>
      <c r="D1714">
        <v>2</v>
      </c>
      <c r="E1714">
        <f>IF($D1714 &gt; 16, 0, $J$3*(16 - $D1714))</f>
        <v>2908.4809978097578</v>
      </c>
      <c r="F1714">
        <f>IF($D1714 &gt; 16, 0,$E1714*$J$5)</f>
        <v>31612279.965194259</v>
      </c>
      <c r="G1714">
        <f t="shared" si="26"/>
        <v>14</v>
      </c>
    </row>
    <row r="1715" spans="2:7" x14ac:dyDescent="0.35">
      <c r="B1715" s="1">
        <v>45729</v>
      </c>
      <c r="C1715" s="2">
        <v>0.375</v>
      </c>
      <c r="D1715">
        <v>3.9</v>
      </c>
      <c r="E1715">
        <f>IF($D1715 &gt; 16, 0, $J$3*(16 - $D1715))</f>
        <v>2513.7585766784337</v>
      </c>
      <c r="F1715">
        <f>IF($D1715 &gt; 16, 0,$E1715*$J$5)</f>
        <v>27322041.969917897</v>
      </c>
      <c r="G1715">
        <f t="shared" si="26"/>
        <v>12.1</v>
      </c>
    </row>
    <row r="1716" spans="2:7" x14ac:dyDescent="0.35">
      <c r="B1716" s="1">
        <v>45729</v>
      </c>
      <c r="C1716" s="2">
        <v>0.41666666666666669</v>
      </c>
      <c r="D1716">
        <v>4.9000000000000004</v>
      </c>
      <c r="E1716">
        <f>IF($D1716 &gt; 16, 0, $J$3*(16 - $D1716))</f>
        <v>2306.0099339777366</v>
      </c>
      <c r="F1716">
        <f>IF($D1716 &gt; 16, 0,$E1716*$J$5)</f>
        <v>25064021.972404018</v>
      </c>
      <c r="G1716">
        <f t="shared" si="26"/>
        <v>11.1</v>
      </c>
    </row>
    <row r="1717" spans="2:7" x14ac:dyDescent="0.35">
      <c r="B1717" s="1">
        <v>45729</v>
      </c>
      <c r="C1717" s="2">
        <v>0.45833333333333331</v>
      </c>
      <c r="D1717">
        <v>6.5</v>
      </c>
      <c r="E1717">
        <f>IF($D1717 &gt; 16, 0, $J$3*(16 - $D1717))</f>
        <v>1973.6121056566215</v>
      </c>
      <c r="F1717">
        <f>IF($D1717 &gt; 16, 0,$E1717*$J$5)</f>
        <v>21451189.97638182</v>
      </c>
      <c r="G1717">
        <f t="shared" si="26"/>
        <v>9.5</v>
      </c>
    </row>
    <row r="1718" spans="2:7" x14ac:dyDescent="0.35">
      <c r="B1718" s="1">
        <v>45729</v>
      </c>
      <c r="C1718" s="2">
        <v>0.5</v>
      </c>
      <c r="D1718">
        <v>5.4</v>
      </c>
      <c r="E1718">
        <f>IF($D1718 &gt; 16, 0, $J$3*(16 - $D1718))</f>
        <v>2202.1356126273881</v>
      </c>
      <c r="F1718">
        <f>IF($D1718 &gt; 16, 0,$E1718*$J$5)</f>
        <v>23935011.97364708</v>
      </c>
      <c r="G1718">
        <f t="shared" si="26"/>
        <v>10.6</v>
      </c>
    </row>
    <row r="1719" spans="2:7" x14ac:dyDescent="0.35">
      <c r="B1719" s="1">
        <v>45729</v>
      </c>
      <c r="C1719" s="2">
        <v>0.54166666666666663</v>
      </c>
      <c r="D1719">
        <v>5.8</v>
      </c>
      <c r="E1719">
        <f>IF($D1719 &gt; 16, 0, $J$3*(16 - $D1719))</f>
        <v>2119.036155547109</v>
      </c>
      <c r="F1719">
        <f>IF($D1719 &gt; 16, 0,$E1719*$J$5)</f>
        <v>23031803.974641528</v>
      </c>
      <c r="G1719">
        <f t="shared" si="26"/>
        <v>10.199999999999999</v>
      </c>
    </row>
    <row r="1720" spans="2:7" x14ac:dyDescent="0.35">
      <c r="B1720" s="1">
        <v>45729</v>
      </c>
      <c r="C1720" s="2">
        <v>0.58333333333333337</v>
      </c>
      <c r="D1720">
        <v>5.9</v>
      </c>
      <c r="E1720">
        <f>IF($D1720 &gt; 16, 0, $J$3*(16 - $D1720))</f>
        <v>2098.2612912770396</v>
      </c>
      <c r="F1720">
        <f>IF($D1720 &gt; 16, 0,$E1720*$J$5)</f>
        <v>22806001.974890143</v>
      </c>
      <c r="G1720">
        <f t="shared" si="26"/>
        <v>10.1</v>
      </c>
    </row>
    <row r="1721" spans="2:7" x14ac:dyDescent="0.35">
      <c r="B1721" s="1">
        <v>45729</v>
      </c>
      <c r="C1721" s="2">
        <v>0.625</v>
      </c>
      <c r="D1721">
        <v>6</v>
      </c>
      <c r="E1721">
        <f>IF($D1721 &gt; 16, 0, $J$3*(16 - $D1721))</f>
        <v>2077.4864270069697</v>
      </c>
      <c r="F1721">
        <f>IF($D1721 &gt; 16, 0,$E1721*$J$5)</f>
        <v>22580199.975138754</v>
      </c>
      <c r="G1721">
        <f t="shared" si="26"/>
        <v>10</v>
      </c>
    </row>
    <row r="1722" spans="2:7" x14ac:dyDescent="0.35">
      <c r="B1722" s="1">
        <v>45729</v>
      </c>
      <c r="C1722" s="2">
        <v>0.66666666666666663</v>
      </c>
      <c r="D1722">
        <v>5.4</v>
      </c>
      <c r="E1722">
        <f>IF($D1722 &gt; 16, 0, $J$3*(16 - $D1722))</f>
        <v>2202.1356126273881</v>
      </c>
      <c r="F1722">
        <f>IF($D1722 &gt; 16, 0,$E1722*$J$5)</f>
        <v>23935011.97364708</v>
      </c>
      <c r="G1722">
        <f t="shared" si="26"/>
        <v>10.6</v>
      </c>
    </row>
    <row r="1723" spans="2:7" x14ac:dyDescent="0.35">
      <c r="B1723" s="1">
        <v>45729</v>
      </c>
      <c r="C1723" s="2">
        <v>0.70833333333333337</v>
      </c>
      <c r="D1723">
        <v>5</v>
      </c>
      <c r="E1723">
        <f>IF($D1723 &gt; 16, 0, $J$3*(16 - $D1723))</f>
        <v>2285.2350697076668</v>
      </c>
      <c r="F1723">
        <f>IF($D1723 &gt; 16, 0,$E1723*$J$5)</f>
        <v>24838219.972652629</v>
      </c>
      <c r="G1723">
        <f t="shared" si="26"/>
        <v>11</v>
      </c>
    </row>
    <row r="1724" spans="2:7" x14ac:dyDescent="0.35">
      <c r="B1724" s="1">
        <v>45729</v>
      </c>
      <c r="C1724" s="2">
        <v>0.75</v>
      </c>
      <c r="D1724">
        <v>4</v>
      </c>
      <c r="E1724">
        <f>IF($D1724 &gt; 16, 0, $J$3*(16 - $D1724))</f>
        <v>2492.9837124083638</v>
      </c>
      <c r="F1724">
        <f>IF($D1724 &gt; 16, 0,$E1724*$J$5)</f>
        <v>27096239.970166504</v>
      </c>
      <c r="G1724">
        <f t="shared" si="26"/>
        <v>12</v>
      </c>
    </row>
    <row r="1725" spans="2:7" x14ac:dyDescent="0.35">
      <c r="B1725" s="1">
        <v>45729</v>
      </c>
      <c r="C1725" s="2">
        <v>0.79166666666666663</v>
      </c>
      <c r="D1725">
        <v>3.7</v>
      </c>
      <c r="E1725">
        <f>IF($D1725 &gt; 16, 0, $J$3*(16 - $D1725))</f>
        <v>2555.308305218573</v>
      </c>
      <c r="F1725">
        <f>IF($D1725 &gt; 16, 0,$E1725*$J$5)</f>
        <v>27773645.969420668</v>
      </c>
      <c r="G1725">
        <f t="shared" si="26"/>
        <v>12.3</v>
      </c>
    </row>
    <row r="1726" spans="2:7" x14ac:dyDescent="0.35">
      <c r="B1726" s="1">
        <v>45729</v>
      </c>
      <c r="C1726" s="2">
        <v>0.83333333333333337</v>
      </c>
      <c r="D1726">
        <v>2.5</v>
      </c>
      <c r="E1726">
        <f>IF($D1726 &gt; 16, 0, $J$3*(16 - $D1726))</f>
        <v>2804.6066764594093</v>
      </c>
      <c r="F1726">
        <f>IF($D1726 &gt; 16, 0,$E1726*$J$5)</f>
        <v>30483269.966437321</v>
      </c>
      <c r="G1726">
        <f t="shared" si="26"/>
        <v>13.5</v>
      </c>
    </row>
    <row r="1727" spans="2:7" x14ac:dyDescent="0.35">
      <c r="B1727" s="1">
        <v>45729</v>
      </c>
      <c r="C1727" s="2">
        <v>0.875</v>
      </c>
      <c r="D1727">
        <v>2.5</v>
      </c>
      <c r="E1727">
        <f>IF($D1727 &gt; 16, 0, $J$3*(16 - $D1727))</f>
        <v>2804.6066764594093</v>
      </c>
      <c r="F1727">
        <f>IF($D1727 &gt; 16, 0,$E1727*$J$5)</f>
        <v>30483269.966437321</v>
      </c>
      <c r="G1727">
        <f t="shared" si="26"/>
        <v>13.5</v>
      </c>
    </row>
    <row r="1728" spans="2:7" x14ac:dyDescent="0.35">
      <c r="B1728" s="1">
        <v>45729</v>
      </c>
      <c r="C1728" s="2">
        <v>0.91666666666666663</v>
      </c>
      <c r="D1728">
        <v>1.7</v>
      </c>
      <c r="E1728">
        <f>IF($D1728 &gt; 16, 0, $J$3*(16 - $D1728))</f>
        <v>2970.805590619967</v>
      </c>
      <c r="F1728">
        <f>IF($D1728 &gt; 16, 0,$E1728*$J$5)</f>
        <v>32289685.964448422</v>
      </c>
      <c r="G1728">
        <f t="shared" si="26"/>
        <v>14.3</v>
      </c>
    </row>
    <row r="1729" spans="2:7" x14ac:dyDescent="0.35">
      <c r="B1729" s="1">
        <v>45729</v>
      </c>
      <c r="C1729" s="2">
        <v>0.95833333333333337</v>
      </c>
      <c r="D1729">
        <v>1.3</v>
      </c>
      <c r="E1729">
        <f>IF($D1729 &gt; 16, 0, $J$3*(16 - $D1729))</f>
        <v>3053.9050477002456</v>
      </c>
      <c r="F1729">
        <f>IF($D1729 &gt; 16, 0,$E1729*$J$5)</f>
        <v>33192893.963453971</v>
      </c>
      <c r="G1729">
        <f t="shared" si="26"/>
        <v>14.7</v>
      </c>
    </row>
    <row r="1730" spans="2:7" x14ac:dyDescent="0.35">
      <c r="B1730" s="1">
        <v>45730</v>
      </c>
      <c r="C1730" s="2">
        <v>0</v>
      </c>
      <c r="D1730">
        <v>0</v>
      </c>
      <c r="E1730">
        <f>IF($D1730 &gt; 16, 0, $J$3*(16 - $D1730))</f>
        <v>3323.9782832111518</v>
      </c>
      <c r="F1730">
        <f>IF($D1730 &gt; 16, 0,$E1730*$J$5)</f>
        <v>36128319.960222006</v>
      </c>
      <c r="G1730">
        <f t="shared" si="26"/>
        <v>16</v>
      </c>
    </row>
    <row r="1731" spans="2:7" x14ac:dyDescent="0.35">
      <c r="B1731" s="1">
        <v>45730</v>
      </c>
      <c r="C1731" s="2">
        <v>4.1666666666666657E-2</v>
      </c>
      <c r="D1731">
        <v>-1.3</v>
      </c>
      <c r="E1731">
        <f>IF($D1731 &gt; 16, 0, $J$3*(16 - $D1731))</f>
        <v>3594.0515187220581</v>
      </c>
      <c r="F1731">
        <f>IF($D1731 &gt; 16, 0,$E1731*$J$5)</f>
        <v>39063745.956990048</v>
      </c>
      <c r="G1731">
        <f t="shared" ref="G1731:G1794" si="27">MAX(0, 16 - $D1731)</f>
        <v>17.3</v>
      </c>
    </row>
    <row r="1732" spans="2:7" x14ac:dyDescent="0.35">
      <c r="B1732" s="1">
        <v>45730</v>
      </c>
      <c r="C1732" s="2">
        <v>8.3333333333333329E-2</v>
      </c>
      <c r="D1732">
        <v>-2.2000000000000002</v>
      </c>
      <c r="E1732">
        <f>IF($D1732 &gt; 16, 0, $J$3*(16 - $D1732))</f>
        <v>3781.0252971526852</v>
      </c>
      <c r="F1732">
        <f>IF($D1732 &gt; 16, 0,$E1732*$J$5)</f>
        <v>41095963.954752535</v>
      </c>
      <c r="G1732">
        <f t="shared" si="27"/>
        <v>18.2</v>
      </c>
    </row>
    <row r="1733" spans="2:7" x14ac:dyDescent="0.35">
      <c r="B1733" s="1">
        <v>45730</v>
      </c>
      <c r="C1733" s="2">
        <v>0.125</v>
      </c>
      <c r="D1733">
        <v>-1.4</v>
      </c>
      <c r="E1733">
        <f>IF($D1733 &gt; 16, 0, $J$3*(16 - $D1733))</f>
        <v>3614.8263829921275</v>
      </c>
      <c r="F1733">
        <f>IF($D1733 &gt; 16, 0,$E1733*$J$5)</f>
        <v>39289547.956741437</v>
      </c>
      <c r="G1733">
        <f t="shared" si="27"/>
        <v>17.399999999999999</v>
      </c>
    </row>
    <row r="1734" spans="2:7" x14ac:dyDescent="0.35">
      <c r="B1734" s="1">
        <v>45730</v>
      </c>
      <c r="C1734" s="2">
        <v>0.16666666666666671</v>
      </c>
      <c r="D1734">
        <v>-0.1</v>
      </c>
      <c r="E1734">
        <f>IF($D1734 &gt; 16, 0, $J$3*(16 - $D1734))</f>
        <v>3344.7531474812217</v>
      </c>
      <c r="F1734">
        <f>IF($D1734 &gt; 16, 0,$E1734*$J$5)</f>
        <v>36354121.959973402</v>
      </c>
      <c r="G1734">
        <f t="shared" si="27"/>
        <v>16.100000000000001</v>
      </c>
    </row>
    <row r="1735" spans="2:7" x14ac:dyDescent="0.35">
      <c r="B1735" s="1">
        <v>45730</v>
      </c>
      <c r="C1735" s="2">
        <v>0.20833333333333329</v>
      </c>
      <c r="D1735">
        <v>0.1</v>
      </c>
      <c r="E1735">
        <f>IF($D1735 &gt; 16, 0, $J$3*(16 - $D1735))</f>
        <v>3303.2034189410824</v>
      </c>
      <c r="F1735">
        <f>IF($D1735 &gt; 16, 0,$E1735*$J$5)</f>
        <v>35902517.960470624</v>
      </c>
      <c r="G1735">
        <f t="shared" si="27"/>
        <v>15.9</v>
      </c>
    </row>
    <row r="1736" spans="2:7" x14ac:dyDescent="0.35">
      <c r="B1736" s="1">
        <v>45730</v>
      </c>
      <c r="C1736" s="2">
        <v>0.25</v>
      </c>
      <c r="D1736">
        <v>0.5</v>
      </c>
      <c r="E1736">
        <f>IF($D1736 &gt; 16, 0, $J$3*(16 - $D1736))</f>
        <v>3220.1039618608033</v>
      </c>
      <c r="F1736">
        <f>IF($D1736 &gt; 16, 0,$E1736*$J$5)</f>
        <v>34999309.961465068</v>
      </c>
      <c r="G1736">
        <f t="shared" si="27"/>
        <v>15.5</v>
      </c>
    </row>
    <row r="1737" spans="2:7" x14ac:dyDescent="0.35">
      <c r="B1737" s="1">
        <v>45730</v>
      </c>
      <c r="C1737" s="2">
        <v>0.29166666666666669</v>
      </c>
      <c r="D1737">
        <v>0.9</v>
      </c>
      <c r="E1737">
        <f>IF($D1737 &gt; 16, 0, $J$3*(16 - $D1737))</f>
        <v>3137.0045047805243</v>
      </c>
      <c r="F1737">
        <f>IF($D1737 &gt; 16, 0,$E1737*$J$5)</f>
        <v>34096101.96245952</v>
      </c>
      <c r="G1737">
        <f t="shared" si="27"/>
        <v>15.1</v>
      </c>
    </row>
    <row r="1738" spans="2:7" x14ac:dyDescent="0.35">
      <c r="B1738" s="1">
        <v>45730</v>
      </c>
      <c r="C1738" s="2">
        <v>0.33333333333333331</v>
      </c>
      <c r="D1738">
        <v>2.2000000000000002</v>
      </c>
      <c r="E1738">
        <f>IF($D1738 &gt; 16, 0, $J$3*(16 - $D1738))</f>
        <v>2866.9312692696185</v>
      </c>
      <c r="F1738">
        <f>IF($D1738 &gt; 16, 0,$E1738*$J$5)</f>
        <v>31160675.965691485</v>
      </c>
      <c r="G1738">
        <f t="shared" si="27"/>
        <v>13.8</v>
      </c>
    </row>
    <row r="1739" spans="2:7" x14ac:dyDescent="0.35">
      <c r="B1739" s="1">
        <v>45730</v>
      </c>
      <c r="C1739" s="2">
        <v>0.375</v>
      </c>
      <c r="D1739">
        <v>3.3</v>
      </c>
      <c r="E1739">
        <f>IF($D1739 &gt; 16, 0, $J$3*(16 - $D1739))</f>
        <v>2638.4077622988516</v>
      </c>
      <c r="F1739">
        <f>IF($D1739 &gt; 16, 0,$E1739*$J$5)</f>
        <v>28676853.968426216</v>
      </c>
      <c r="G1739">
        <f t="shared" si="27"/>
        <v>12.7</v>
      </c>
    </row>
    <row r="1740" spans="2:7" x14ac:dyDescent="0.35">
      <c r="B1740" s="1">
        <v>45730</v>
      </c>
      <c r="C1740" s="2">
        <v>0.41666666666666669</v>
      </c>
      <c r="D1740">
        <v>4.5</v>
      </c>
      <c r="E1740">
        <f>IF($D1740 &gt; 16, 0, $J$3*(16 - $D1740))</f>
        <v>2389.1093910580153</v>
      </c>
      <c r="F1740">
        <f>IF($D1740 &gt; 16, 0,$E1740*$J$5)</f>
        <v>25967229.971409567</v>
      </c>
      <c r="G1740">
        <f t="shared" si="27"/>
        <v>11.5</v>
      </c>
    </row>
    <row r="1741" spans="2:7" x14ac:dyDescent="0.35">
      <c r="B1741" s="1">
        <v>45730</v>
      </c>
      <c r="C1741" s="2">
        <v>0.45833333333333331</v>
      </c>
      <c r="D1741">
        <v>4.7</v>
      </c>
      <c r="E1741">
        <f>IF($D1741 &gt; 16, 0, $J$3*(16 - $D1741))</f>
        <v>2347.5596625178759</v>
      </c>
      <c r="F1741">
        <f>IF($D1741 &gt; 16, 0,$E1741*$J$5)</f>
        <v>25515625.971906792</v>
      </c>
      <c r="G1741">
        <f t="shared" si="27"/>
        <v>11.3</v>
      </c>
    </row>
    <row r="1742" spans="2:7" x14ac:dyDescent="0.35">
      <c r="B1742" s="1">
        <v>45730</v>
      </c>
      <c r="C1742" s="2">
        <v>0.5</v>
      </c>
      <c r="D1742">
        <v>5.3</v>
      </c>
      <c r="E1742">
        <f>IF($D1742 &gt; 16, 0, $J$3*(16 - $D1742))</f>
        <v>2222.9104768974576</v>
      </c>
      <c r="F1742">
        <f>IF($D1742 &gt; 16, 0,$E1742*$J$5)</f>
        <v>24160813.973398466</v>
      </c>
      <c r="G1742">
        <f t="shared" si="27"/>
        <v>10.7</v>
      </c>
    </row>
    <row r="1743" spans="2:7" x14ac:dyDescent="0.35">
      <c r="B1743" s="1">
        <v>45730</v>
      </c>
      <c r="C1743" s="2">
        <v>0.54166666666666663</v>
      </c>
      <c r="D1743">
        <v>3</v>
      </c>
      <c r="E1743">
        <f>IF($D1743 &gt; 16, 0, $J$3*(16 - $D1743))</f>
        <v>2700.7323551090608</v>
      </c>
      <c r="F1743">
        <f>IF($D1743 &gt; 16, 0,$E1743*$J$5)</f>
        <v>29354259.967680383</v>
      </c>
      <c r="G1743">
        <f t="shared" si="27"/>
        <v>13</v>
      </c>
    </row>
    <row r="1744" spans="2:7" x14ac:dyDescent="0.35">
      <c r="B1744" s="1">
        <v>45730</v>
      </c>
      <c r="C1744" s="2">
        <v>0.58333333333333337</v>
      </c>
      <c r="D1744">
        <v>4.0999999999999996</v>
      </c>
      <c r="E1744">
        <f>IF($D1744 &gt; 16, 0, $J$3*(16 - $D1744))</f>
        <v>2472.2088481382943</v>
      </c>
      <c r="F1744">
        <f>IF($D1744 &gt; 16, 0,$E1744*$J$5)</f>
        <v>26870437.970415123</v>
      </c>
      <c r="G1744">
        <f t="shared" si="27"/>
        <v>11.9</v>
      </c>
    </row>
    <row r="1745" spans="2:7" x14ac:dyDescent="0.35">
      <c r="B1745" s="1">
        <v>45730</v>
      </c>
      <c r="C1745" s="2">
        <v>0.625</v>
      </c>
      <c r="D1745">
        <v>4.5999999999999996</v>
      </c>
      <c r="E1745">
        <f>IF($D1745 &gt; 16, 0, $J$3*(16 - $D1745))</f>
        <v>2368.3345267879458</v>
      </c>
      <c r="F1745">
        <f>IF($D1745 &gt; 16, 0,$E1745*$J$5)</f>
        <v>25741427.971658185</v>
      </c>
      <c r="G1745">
        <f t="shared" si="27"/>
        <v>11.4</v>
      </c>
    </row>
    <row r="1746" spans="2:7" x14ac:dyDescent="0.35">
      <c r="B1746" s="1">
        <v>45730</v>
      </c>
      <c r="C1746" s="2">
        <v>0.66666666666666663</v>
      </c>
      <c r="D1746">
        <v>4</v>
      </c>
      <c r="E1746">
        <f>IF($D1746 &gt; 16, 0, $J$3*(16 - $D1746))</f>
        <v>2492.9837124083638</v>
      </c>
      <c r="F1746">
        <f>IF($D1746 &gt; 16, 0,$E1746*$J$5)</f>
        <v>27096239.970166504</v>
      </c>
      <c r="G1746">
        <f t="shared" si="27"/>
        <v>12</v>
      </c>
    </row>
    <row r="1747" spans="2:7" x14ac:dyDescent="0.35">
      <c r="B1747" s="1">
        <v>45730</v>
      </c>
      <c r="C1747" s="2">
        <v>0.70833333333333337</v>
      </c>
      <c r="D1747">
        <v>3.3</v>
      </c>
      <c r="E1747">
        <f>IF($D1747 &gt; 16, 0, $J$3*(16 - $D1747))</f>
        <v>2638.4077622988516</v>
      </c>
      <c r="F1747">
        <f>IF($D1747 &gt; 16, 0,$E1747*$J$5)</f>
        <v>28676853.968426216</v>
      </c>
      <c r="G1747">
        <f t="shared" si="27"/>
        <v>12.7</v>
      </c>
    </row>
    <row r="1748" spans="2:7" x14ac:dyDescent="0.35">
      <c r="B1748" s="1">
        <v>45730</v>
      </c>
      <c r="C1748" s="2">
        <v>0.75</v>
      </c>
      <c r="D1748">
        <v>3.3</v>
      </c>
      <c r="E1748">
        <f>IF($D1748 &gt; 16, 0, $J$3*(16 - $D1748))</f>
        <v>2638.4077622988516</v>
      </c>
      <c r="F1748">
        <f>IF($D1748 &gt; 16, 0,$E1748*$J$5)</f>
        <v>28676853.968426216</v>
      </c>
      <c r="G1748">
        <f t="shared" si="27"/>
        <v>12.7</v>
      </c>
    </row>
    <row r="1749" spans="2:7" x14ac:dyDescent="0.35">
      <c r="B1749" s="1">
        <v>45730</v>
      </c>
      <c r="C1749" s="2">
        <v>0.79166666666666663</v>
      </c>
      <c r="D1749">
        <v>3.1</v>
      </c>
      <c r="E1749">
        <f>IF($D1749 &gt; 16, 0, $J$3*(16 - $D1749))</f>
        <v>2679.9574908389914</v>
      </c>
      <c r="F1749">
        <f>IF($D1749 &gt; 16, 0,$E1749*$J$5)</f>
        <v>29128457.967928998</v>
      </c>
      <c r="G1749">
        <f t="shared" si="27"/>
        <v>12.9</v>
      </c>
    </row>
    <row r="1750" spans="2:7" x14ac:dyDescent="0.35">
      <c r="B1750" s="1">
        <v>45730</v>
      </c>
      <c r="C1750" s="2">
        <v>0.83333333333333337</v>
      </c>
      <c r="D1750">
        <v>2.7</v>
      </c>
      <c r="E1750">
        <f>IF($D1750 &gt; 16, 0, $J$3*(16 - $D1750))</f>
        <v>2763.05694791927</v>
      </c>
      <c r="F1750">
        <f>IF($D1750 &gt; 16, 0,$E1750*$J$5)</f>
        <v>30031665.966934547</v>
      </c>
      <c r="G1750">
        <f t="shared" si="27"/>
        <v>13.3</v>
      </c>
    </row>
    <row r="1751" spans="2:7" x14ac:dyDescent="0.35">
      <c r="B1751" s="1">
        <v>45730</v>
      </c>
      <c r="C1751" s="2">
        <v>0.875</v>
      </c>
      <c r="D1751">
        <v>1.3</v>
      </c>
      <c r="E1751">
        <f>IF($D1751 &gt; 16, 0, $J$3*(16 - $D1751))</f>
        <v>3053.9050477002456</v>
      </c>
      <c r="F1751">
        <f>IF($D1751 &gt; 16, 0,$E1751*$J$5)</f>
        <v>33192893.963453971</v>
      </c>
      <c r="G1751">
        <f t="shared" si="27"/>
        <v>14.7</v>
      </c>
    </row>
    <row r="1752" spans="2:7" x14ac:dyDescent="0.35">
      <c r="B1752" s="1">
        <v>45730</v>
      </c>
      <c r="C1752" s="2">
        <v>0.91666666666666663</v>
      </c>
      <c r="D1752">
        <v>1.3</v>
      </c>
      <c r="E1752">
        <f>IF($D1752 &gt; 16, 0, $J$3*(16 - $D1752))</f>
        <v>3053.9050477002456</v>
      </c>
      <c r="F1752">
        <f>IF($D1752 &gt; 16, 0,$E1752*$J$5)</f>
        <v>33192893.963453971</v>
      </c>
      <c r="G1752">
        <f t="shared" si="27"/>
        <v>14.7</v>
      </c>
    </row>
    <row r="1753" spans="2:7" x14ac:dyDescent="0.35">
      <c r="B1753" s="1">
        <v>45730</v>
      </c>
      <c r="C1753" s="2">
        <v>0.95833333333333337</v>
      </c>
      <c r="D1753">
        <v>1.1000000000000001</v>
      </c>
      <c r="E1753">
        <f>IF($D1753 &gt; 16, 0, $J$3*(16 - $D1753))</f>
        <v>3095.4547762403854</v>
      </c>
      <c r="F1753">
        <f>IF($D1753 &gt; 16, 0,$E1753*$J$5)</f>
        <v>33644497.962956749</v>
      </c>
      <c r="G1753">
        <f t="shared" si="27"/>
        <v>14.9</v>
      </c>
    </row>
    <row r="1754" spans="2:7" x14ac:dyDescent="0.35">
      <c r="B1754" s="1">
        <v>45731</v>
      </c>
      <c r="C1754" s="2">
        <v>0</v>
      </c>
      <c r="D1754">
        <v>-0.2</v>
      </c>
      <c r="E1754">
        <f>IF($D1754 &gt; 16, 0, $J$3*(16 - $D1754))</f>
        <v>3365.5280117512912</v>
      </c>
      <c r="F1754">
        <f>IF($D1754 &gt; 16, 0,$E1754*$J$5)</f>
        <v>36579923.959724784</v>
      </c>
      <c r="G1754">
        <f t="shared" si="27"/>
        <v>16.2</v>
      </c>
    </row>
    <row r="1755" spans="2:7" x14ac:dyDescent="0.35">
      <c r="B1755" s="1">
        <v>45731</v>
      </c>
      <c r="C1755" s="2">
        <v>4.1666666666666657E-2</v>
      </c>
      <c r="D1755">
        <v>-0.6</v>
      </c>
      <c r="E1755">
        <f>IF($D1755 &gt; 16, 0, $J$3*(16 - $D1755))</f>
        <v>3448.6274688315702</v>
      </c>
      <c r="F1755">
        <f>IF($D1755 &gt; 16, 0,$E1755*$J$5)</f>
        <v>37483131.95873034</v>
      </c>
      <c r="G1755">
        <f t="shared" si="27"/>
        <v>16.600000000000001</v>
      </c>
    </row>
    <row r="1756" spans="2:7" x14ac:dyDescent="0.35">
      <c r="B1756" s="1">
        <v>45731</v>
      </c>
      <c r="C1756" s="2">
        <v>8.3333333333333329E-2</v>
      </c>
      <c r="D1756">
        <v>-0.3</v>
      </c>
      <c r="E1756">
        <f>IF($D1756 &gt; 16, 0, $J$3*(16 - $D1756))</f>
        <v>3386.302876021361</v>
      </c>
      <c r="F1756">
        <f>IF($D1756 &gt; 16, 0,$E1756*$J$5)</f>
        <v>36805725.959476173</v>
      </c>
      <c r="G1756">
        <f t="shared" si="27"/>
        <v>16.3</v>
      </c>
    </row>
    <row r="1757" spans="2:7" x14ac:dyDescent="0.35">
      <c r="B1757" s="1">
        <v>45731</v>
      </c>
      <c r="C1757" s="2">
        <v>0.125</v>
      </c>
      <c r="D1757">
        <v>-0.4</v>
      </c>
      <c r="E1757">
        <f>IF($D1757 &gt; 16, 0, $J$3*(16 - $D1757))</f>
        <v>3407.0777402914305</v>
      </c>
      <c r="F1757">
        <f>IF($D1757 &gt; 16, 0,$E1757*$J$5)</f>
        <v>37031527.959227555</v>
      </c>
      <c r="G1757">
        <f t="shared" si="27"/>
        <v>16.399999999999999</v>
      </c>
    </row>
    <row r="1758" spans="2:7" x14ac:dyDescent="0.35">
      <c r="B1758" s="1">
        <v>45731</v>
      </c>
      <c r="C1758" s="2">
        <v>0.16666666666666671</v>
      </c>
      <c r="D1758">
        <v>-0.2</v>
      </c>
      <c r="E1758">
        <f>IF($D1758 &gt; 16, 0, $J$3*(16 - $D1758))</f>
        <v>3365.5280117512912</v>
      </c>
      <c r="F1758">
        <f>IF($D1758 &gt; 16, 0,$E1758*$J$5)</f>
        <v>36579923.959724784</v>
      </c>
      <c r="G1758">
        <f t="shared" si="27"/>
        <v>16.2</v>
      </c>
    </row>
    <row r="1759" spans="2:7" x14ac:dyDescent="0.35">
      <c r="B1759" s="1">
        <v>45731</v>
      </c>
      <c r="C1759" s="2">
        <v>0.20833333333333329</v>
      </c>
      <c r="D1759">
        <v>-2</v>
      </c>
      <c r="E1759">
        <f>IF($D1759 &gt; 16, 0, $J$3*(16 - $D1759))</f>
        <v>3739.4755686125459</v>
      </c>
      <c r="F1759">
        <f>IF($D1759 &gt; 16, 0,$E1759*$J$5)</f>
        <v>40644359.955249764</v>
      </c>
      <c r="G1759">
        <f t="shared" si="27"/>
        <v>18</v>
      </c>
    </row>
    <row r="1760" spans="2:7" x14ac:dyDescent="0.35">
      <c r="B1760" s="1">
        <v>45731</v>
      </c>
      <c r="C1760" s="2">
        <v>0.25</v>
      </c>
      <c r="D1760">
        <v>-2.7</v>
      </c>
      <c r="E1760">
        <f>IF($D1760 &gt; 16, 0, $J$3*(16 - $D1760))</f>
        <v>3884.8996185030337</v>
      </c>
      <c r="F1760">
        <f>IF($D1760 &gt; 16, 0,$E1760*$J$5)</f>
        <v>42224973.953509472</v>
      </c>
      <c r="G1760">
        <f t="shared" si="27"/>
        <v>18.7</v>
      </c>
    </row>
    <row r="1761" spans="2:7" x14ac:dyDescent="0.35">
      <c r="B1761" s="1">
        <v>45731</v>
      </c>
      <c r="C1761" s="2">
        <v>0.29166666666666669</v>
      </c>
      <c r="D1761">
        <v>-0.9</v>
      </c>
      <c r="E1761">
        <f>IF($D1761 &gt; 16, 0, $J$3*(16 - $D1761))</f>
        <v>3510.952061641779</v>
      </c>
      <c r="F1761">
        <f>IF($D1761 &gt; 16, 0,$E1761*$J$5)</f>
        <v>38160537.957984492</v>
      </c>
      <c r="G1761">
        <f t="shared" si="27"/>
        <v>16.899999999999999</v>
      </c>
    </row>
    <row r="1762" spans="2:7" x14ac:dyDescent="0.35">
      <c r="B1762" s="1">
        <v>45731</v>
      </c>
      <c r="C1762" s="2">
        <v>0.33333333333333331</v>
      </c>
      <c r="D1762">
        <v>1.8</v>
      </c>
      <c r="E1762">
        <f>IF($D1762 &gt; 16, 0, $J$3*(16 - $D1762))</f>
        <v>2950.0307263498971</v>
      </c>
      <c r="F1762">
        <f>IF($D1762 &gt; 16, 0,$E1762*$J$5)</f>
        <v>32063883.964697033</v>
      </c>
      <c r="G1762">
        <f t="shared" si="27"/>
        <v>14.2</v>
      </c>
    </row>
    <row r="1763" spans="2:7" x14ac:dyDescent="0.35">
      <c r="B1763" s="1">
        <v>45731</v>
      </c>
      <c r="C1763" s="2">
        <v>0.375</v>
      </c>
      <c r="D1763">
        <v>3.1</v>
      </c>
      <c r="E1763">
        <f>IF($D1763 &gt; 16, 0, $J$3*(16 - $D1763))</f>
        <v>2679.9574908389914</v>
      </c>
      <c r="F1763">
        <f>IF($D1763 &gt; 16, 0,$E1763*$J$5)</f>
        <v>29128457.967928998</v>
      </c>
      <c r="G1763">
        <f t="shared" si="27"/>
        <v>12.9</v>
      </c>
    </row>
    <row r="1764" spans="2:7" x14ac:dyDescent="0.35">
      <c r="B1764" s="1">
        <v>45731</v>
      </c>
      <c r="C1764" s="2">
        <v>0.41666666666666669</v>
      </c>
      <c r="D1764">
        <v>5</v>
      </c>
      <c r="E1764">
        <f>IF($D1764 &gt; 16, 0, $J$3*(16 - $D1764))</f>
        <v>2285.2350697076668</v>
      </c>
      <c r="F1764">
        <f>IF($D1764 &gt; 16, 0,$E1764*$J$5)</f>
        <v>24838219.972652629</v>
      </c>
      <c r="G1764">
        <f t="shared" si="27"/>
        <v>11</v>
      </c>
    </row>
    <row r="1765" spans="2:7" x14ac:dyDescent="0.35">
      <c r="B1765" s="1">
        <v>45731</v>
      </c>
      <c r="C1765" s="2">
        <v>0.45833333333333331</v>
      </c>
      <c r="D1765">
        <v>4.8</v>
      </c>
      <c r="E1765">
        <f>IF($D1765 &gt; 16, 0, $J$3*(16 - $D1765))</f>
        <v>2326.7847982478061</v>
      </c>
      <c r="F1765">
        <f>IF($D1765 &gt; 16, 0,$E1765*$J$5)</f>
        <v>25289823.972155403</v>
      </c>
      <c r="G1765">
        <f t="shared" si="27"/>
        <v>11.2</v>
      </c>
    </row>
    <row r="1766" spans="2:7" x14ac:dyDescent="0.35">
      <c r="B1766" s="1">
        <v>45731</v>
      </c>
      <c r="C1766" s="2">
        <v>0.5</v>
      </c>
      <c r="D1766">
        <v>6.8</v>
      </c>
      <c r="E1766">
        <f>IF($D1766 &gt; 16, 0, $J$3*(16 - $D1766))</f>
        <v>1911.2875128464123</v>
      </c>
      <c r="F1766">
        <f>IF($D1766 &gt; 16, 0,$E1766*$J$5)</f>
        <v>20773783.977127656</v>
      </c>
      <c r="G1766">
        <f t="shared" si="27"/>
        <v>9.1999999999999993</v>
      </c>
    </row>
    <row r="1767" spans="2:7" x14ac:dyDescent="0.35">
      <c r="B1767" s="1">
        <v>45731</v>
      </c>
      <c r="C1767" s="2">
        <v>0.54166666666666663</v>
      </c>
      <c r="D1767">
        <v>7.1</v>
      </c>
      <c r="E1767">
        <f>IF($D1767 &gt; 16, 0, $J$3*(16 - $D1767))</f>
        <v>1848.9629200362033</v>
      </c>
      <c r="F1767">
        <f>IF($D1767 &gt; 16, 0,$E1767*$J$5)</f>
        <v>20096377.977873493</v>
      </c>
      <c r="G1767">
        <f t="shared" si="27"/>
        <v>8.9</v>
      </c>
    </row>
    <row r="1768" spans="2:7" x14ac:dyDescent="0.35">
      <c r="B1768" s="1">
        <v>45731</v>
      </c>
      <c r="C1768" s="2">
        <v>0.58333333333333337</v>
      </c>
      <c r="D1768">
        <v>7.2</v>
      </c>
      <c r="E1768">
        <f>IF($D1768 &gt; 16, 0, $J$3*(16 - $D1768))</f>
        <v>1828.1880557661336</v>
      </c>
      <c r="F1768">
        <f>IF($D1768 &gt; 16, 0,$E1768*$J$5)</f>
        <v>19870575.978122108</v>
      </c>
      <c r="G1768">
        <f t="shared" si="27"/>
        <v>8.8000000000000007</v>
      </c>
    </row>
    <row r="1769" spans="2:7" x14ac:dyDescent="0.35">
      <c r="B1769" s="1">
        <v>45731</v>
      </c>
      <c r="C1769" s="2">
        <v>0.625</v>
      </c>
      <c r="D1769">
        <v>7.2</v>
      </c>
      <c r="E1769">
        <f>IF($D1769 &gt; 16, 0, $J$3*(16 - $D1769))</f>
        <v>1828.1880557661336</v>
      </c>
      <c r="F1769">
        <f>IF($D1769 &gt; 16, 0,$E1769*$J$5)</f>
        <v>19870575.978122108</v>
      </c>
      <c r="G1769">
        <f t="shared" si="27"/>
        <v>8.8000000000000007</v>
      </c>
    </row>
    <row r="1770" spans="2:7" x14ac:dyDescent="0.35">
      <c r="B1770" s="1">
        <v>45731</v>
      </c>
      <c r="C1770" s="2">
        <v>0.66666666666666663</v>
      </c>
      <c r="D1770">
        <v>6.7</v>
      </c>
      <c r="E1770">
        <f>IF($D1770 &gt; 16, 0, $J$3*(16 - $D1770))</f>
        <v>1932.0623771164821</v>
      </c>
      <c r="F1770">
        <f>IF($D1770 &gt; 16, 0,$E1770*$J$5)</f>
        <v>20999585.976879045</v>
      </c>
      <c r="G1770">
        <f t="shared" si="27"/>
        <v>9.3000000000000007</v>
      </c>
    </row>
    <row r="1771" spans="2:7" x14ac:dyDescent="0.35">
      <c r="B1771" s="1">
        <v>45731</v>
      </c>
      <c r="C1771" s="2">
        <v>0.70833333333333337</v>
      </c>
      <c r="D1771">
        <v>5.7</v>
      </c>
      <c r="E1771">
        <f>IF($D1771 &gt; 16, 0, $J$3*(16 - $D1771))</f>
        <v>2139.8110198171789</v>
      </c>
      <c r="F1771">
        <f>IF($D1771 &gt; 16, 0,$E1771*$J$5)</f>
        <v>23257605.974392917</v>
      </c>
      <c r="G1771">
        <f t="shared" si="27"/>
        <v>10.3</v>
      </c>
    </row>
    <row r="1772" spans="2:7" x14ac:dyDescent="0.35">
      <c r="B1772" s="1">
        <v>45731</v>
      </c>
      <c r="C1772" s="2">
        <v>0.75</v>
      </c>
      <c r="D1772">
        <v>4.4000000000000004</v>
      </c>
      <c r="E1772">
        <f>IF($D1772 &gt; 16, 0, $J$3*(16 - $D1772))</f>
        <v>2409.8842553280851</v>
      </c>
      <c r="F1772">
        <f>IF($D1772 &gt; 16, 0,$E1772*$J$5)</f>
        <v>26193031.971160956</v>
      </c>
      <c r="G1772">
        <f t="shared" si="27"/>
        <v>11.6</v>
      </c>
    </row>
    <row r="1773" spans="2:7" x14ac:dyDescent="0.35">
      <c r="B1773" s="1">
        <v>45731</v>
      </c>
      <c r="C1773" s="2">
        <v>0.79166666666666663</v>
      </c>
      <c r="D1773">
        <v>3.2</v>
      </c>
      <c r="E1773">
        <f>IF($D1773 &gt; 16, 0, $J$3*(16 - $D1773))</f>
        <v>2659.1826265689215</v>
      </c>
      <c r="F1773">
        <f>IF($D1773 &gt; 16, 0,$E1773*$J$5)</f>
        <v>28902655.968177609</v>
      </c>
      <c r="G1773">
        <f t="shared" si="27"/>
        <v>12.8</v>
      </c>
    </row>
    <row r="1774" spans="2:7" x14ac:dyDescent="0.35">
      <c r="B1774" s="1">
        <v>45731</v>
      </c>
      <c r="C1774" s="2">
        <v>0.83333333333333337</v>
      </c>
      <c r="D1774">
        <v>1.4</v>
      </c>
      <c r="E1774">
        <f>IF($D1774 &gt; 16, 0, $J$3*(16 - $D1774))</f>
        <v>3033.1301834301762</v>
      </c>
      <c r="F1774">
        <f>IF($D1774 &gt; 16, 0,$E1774*$J$5)</f>
        <v>32967091.963702586</v>
      </c>
      <c r="G1774">
        <f t="shared" si="27"/>
        <v>14.6</v>
      </c>
    </row>
    <row r="1775" spans="2:7" x14ac:dyDescent="0.35">
      <c r="B1775" s="1">
        <v>45731</v>
      </c>
      <c r="C1775" s="2">
        <v>0.875</v>
      </c>
      <c r="D1775">
        <v>-0.4</v>
      </c>
      <c r="E1775">
        <f>IF($D1775 &gt; 16, 0, $J$3*(16 - $D1775))</f>
        <v>3407.0777402914305</v>
      </c>
      <c r="F1775">
        <f>IF($D1775 &gt; 16, 0,$E1775*$J$5)</f>
        <v>37031527.959227555</v>
      </c>
      <c r="G1775">
        <f t="shared" si="27"/>
        <v>16.399999999999999</v>
      </c>
    </row>
    <row r="1776" spans="2:7" x14ac:dyDescent="0.35">
      <c r="B1776" s="1">
        <v>45731</v>
      </c>
      <c r="C1776" s="2">
        <v>0.91666666666666663</v>
      </c>
      <c r="D1776">
        <v>-1.5</v>
      </c>
      <c r="E1776">
        <f>IF($D1776 &gt; 16, 0, $J$3*(16 - $D1776))</f>
        <v>3635.6012472621974</v>
      </c>
      <c r="F1776">
        <f>IF($D1776 &gt; 16, 0,$E1776*$J$5)</f>
        <v>39515349.956492826</v>
      </c>
      <c r="G1776">
        <f t="shared" si="27"/>
        <v>17.5</v>
      </c>
    </row>
    <row r="1777" spans="2:7" x14ac:dyDescent="0.35">
      <c r="B1777" s="1">
        <v>45731</v>
      </c>
      <c r="C1777" s="2">
        <v>0.95833333333333337</v>
      </c>
      <c r="D1777">
        <v>-2.5</v>
      </c>
      <c r="E1777">
        <f>IF($D1777 &gt; 16, 0, $J$3*(16 - $D1777))</f>
        <v>3843.3498899628944</v>
      </c>
      <c r="F1777">
        <f>IF($D1777 &gt; 16, 0,$E1777*$J$5)</f>
        <v>41773369.954006702</v>
      </c>
      <c r="G1777">
        <f t="shared" si="27"/>
        <v>18.5</v>
      </c>
    </row>
    <row r="1778" spans="2:7" x14ac:dyDescent="0.35">
      <c r="B1778" s="1">
        <v>45732</v>
      </c>
      <c r="C1778" s="2">
        <v>0</v>
      </c>
      <c r="D1778">
        <v>-3.5</v>
      </c>
      <c r="E1778">
        <f>IF($D1778 &gt; 16, 0, $J$3*(16 - $D1778))</f>
        <v>4051.0985326635914</v>
      </c>
      <c r="F1778">
        <f>IF($D1778 &gt; 16, 0,$E1778*$J$5)</f>
        <v>44031389.951520577</v>
      </c>
      <c r="G1778">
        <f t="shared" si="27"/>
        <v>19.5</v>
      </c>
    </row>
    <row r="1779" spans="2:7" x14ac:dyDescent="0.35">
      <c r="B1779" s="1">
        <v>45732</v>
      </c>
      <c r="C1779" s="2">
        <v>4.1666666666666657E-2</v>
      </c>
      <c r="D1779">
        <v>-3.9</v>
      </c>
      <c r="E1779">
        <f>IF($D1779 &gt; 16, 0, $J$3*(16 - $D1779))</f>
        <v>4134.1979897438696</v>
      </c>
      <c r="F1779">
        <f>IF($D1779 &gt; 16, 0,$E1779*$J$5)</f>
        <v>44934597.950526118</v>
      </c>
      <c r="G1779">
        <f t="shared" si="27"/>
        <v>19.899999999999999</v>
      </c>
    </row>
    <row r="1780" spans="2:7" x14ac:dyDescent="0.35">
      <c r="B1780" s="1">
        <v>45732</v>
      </c>
      <c r="C1780" s="2">
        <v>8.3333333333333329E-2</v>
      </c>
      <c r="D1780">
        <v>-4.0999999999999996</v>
      </c>
      <c r="E1780">
        <f>IF($D1780 &gt; 16, 0, $J$3*(16 - $D1780))</f>
        <v>4175.7477182840094</v>
      </c>
      <c r="F1780">
        <f>IF($D1780 &gt; 16, 0,$E1780*$J$5)</f>
        <v>45386201.950028896</v>
      </c>
      <c r="G1780">
        <f t="shared" si="27"/>
        <v>20.100000000000001</v>
      </c>
    </row>
    <row r="1781" spans="2:7" x14ac:dyDescent="0.35">
      <c r="B1781" s="1">
        <v>45732</v>
      </c>
      <c r="C1781" s="2">
        <v>0.125</v>
      </c>
      <c r="D1781">
        <v>-4.5</v>
      </c>
      <c r="E1781">
        <f>IF($D1781 &gt; 16, 0, $J$3*(16 - $D1781))</f>
        <v>4258.847175364288</v>
      </c>
      <c r="F1781">
        <f>IF($D1781 &gt; 16, 0,$E1781*$J$5)</f>
        <v>46289409.949034445</v>
      </c>
      <c r="G1781">
        <f t="shared" si="27"/>
        <v>20.5</v>
      </c>
    </row>
    <row r="1782" spans="2:7" x14ac:dyDescent="0.35">
      <c r="B1782" s="1">
        <v>45732</v>
      </c>
      <c r="C1782" s="2">
        <v>0.16666666666666671</v>
      </c>
      <c r="D1782">
        <v>-5</v>
      </c>
      <c r="E1782">
        <f>IF($D1782 &gt; 16, 0, $J$3*(16 - $D1782))</f>
        <v>4362.7214967146365</v>
      </c>
      <c r="F1782">
        <f>IF($D1782 &gt; 16, 0,$E1782*$J$5)</f>
        <v>47418419.947791383</v>
      </c>
      <c r="G1782">
        <f t="shared" si="27"/>
        <v>21</v>
      </c>
    </row>
    <row r="1783" spans="2:7" x14ac:dyDescent="0.35">
      <c r="B1783" s="1">
        <v>45732</v>
      </c>
      <c r="C1783" s="2">
        <v>0.20833333333333329</v>
      </c>
      <c r="D1783">
        <v>-4.9000000000000004</v>
      </c>
      <c r="E1783">
        <f>IF($D1783 &gt; 16, 0, $J$3*(16 - $D1783))</f>
        <v>4341.9466324445666</v>
      </c>
      <c r="F1783">
        <f>IF($D1783 &gt; 16, 0,$E1783*$J$5)</f>
        <v>47192617.948039994</v>
      </c>
      <c r="G1783">
        <f t="shared" si="27"/>
        <v>20.9</v>
      </c>
    </row>
    <row r="1784" spans="2:7" x14ac:dyDescent="0.35">
      <c r="B1784" s="1">
        <v>45732</v>
      </c>
      <c r="C1784" s="2">
        <v>0.25</v>
      </c>
      <c r="D1784">
        <v>-5</v>
      </c>
      <c r="E1784">
        <f>IF($D1784 &gt; 16, 0, $J$3*(16 - $D1784))</f>
        <v>4362.7214967146365</v>
      </c>
      <c r="F1784">
        <f>IF($D1784 &gt; 16, 0,$E1784*$J$5)</f>
        <v>47418419.947791383</v>
      </c>
      <c r="G1784">
        <f t="shared" si="27"/>
        <v>21</v>
      </c>
    </row>
    <row r="1785" spans="2:7" x14ac:dyDescent="0.35">
      <c r="B1785" s="1">
        <v>45732</v>
      </c>
      <c r="C1785" s="2">
        <v>0.29166666666666669</v>
      </c>
      <c r="D1785">
        <v>-1.9</v>
      </c>
      <c r="E1785">
        <f>IF($D1785 &gt; 16, 0, $J$3*(16 - $D1785))</f>
        <v>3718.700704342476</v>
      </c>
      <c r="F1785">
        <f>IF($D1785 &gt; 16, 0,$E1785*$J$5)</f>
        <v>40418557.955498375</v>
      </c>
      <c r="G1785">
        <f t="shared" si="27"/>
        <v>17.899999999999999</v>
      </c>
    </row>
    <row r="1786" spans="2:7" x14ac:dyDescent="0.35">
      <c r="B1786" s="1">
        <v>45732</v>
      </c>
      <c r="C1786" s="2">
        <v>0.33333333333333331</v>
      </c>
      <c r="D1786">
        <v>2</v>
      </c>
      <c r="E1786">
        <f>IF($D1786 &gt; 16, 0, $J$3*(16 - $D1786))</f>
        <v>2908.4809978097578</v>
      </c>
      <c r="F1786">
        <f>IF($D1786 &gt; 16, 0,$E1786*$J$5)</f>
        <v>31612279.965194259</v>
      </c>
      <c r="G1786">
        <f t="shared" si="27"/>
        <v>14</v>
      </c>
    </row>
    <row r="1787" spans="2:7" x14ac:dyDescent="0.35">
      <c r="B1787" s="1">
        <v>45732</v>
      </c>
      <c r="C1787" s="2">
        <v>0.375</v>
      </c>
      <c r="D1787">
        <v>3.5</v>
      </c>
      <c r="E1787">
        <f>IF($D1787 &gt; 16, 0, $J$3*(16 - $D1787))</f>
        <v>2596.8580337587123</v>
      </c>
      <c r="F1787">
        <f>IF($D1787 &gt; 16, 0,$E1787*$J$5)</f>
        <v>28225249.968923442</v>
      </c>
      <c r="G1787">
        <f t="shared" si="27"/>
        <v>12.5</v>
      </c>
    </row>
    <row r="1788" spans="2:7" x14ac:dyDescent="0.35">
      <c r="B1788" s="1">
        <v>45732</v>
      </c>
      <c r="C1788" s="2">
        <v>0.41666666666666669</v>
      </c>
      <c r="D1788">
        <v>5</v>
      </c>
      <c r="E1788">
        <f>IF($D1788 &gt; 16, 0, $J$3*(16 - $D1788))</f>
        <v>2285.2350697076668</v>
      </c>
      <c r="F1788">
        <f>IF($D1788 &gt; 16, 0,$E1788*$J$5)</f>
        <v>24838219.972652629</v>
      </c>
      <c r="G1788">
        <f t="shared" si="27"/>
        <v>11</v>
      </c>
    </row>
    <row r="1789" spans="2:7" x14ac:dyDescent="0.35">
      <c r="B1789" s="1">
        <v>45732</v>
      </c>
      <c r="C1789" s="2">
        <v>0.45833333333333331</v>
      </c>
      <c r="D1789">
        <v>6.1</v>
      </c>
      <c r="E1789">
        <f>IF($D1789 &gt; 16, 0, $J$3*(16 - $D1789))</f>
        <v>2056.7115627369003</v>
      </c>
      <c r="F1789">
        <f>IF($D1789 &gt; 16, 0,$E1789*$J$5)</f>
        <v>22354397.975387368</v>
      </c>
      <c r="G1789">
        <f t="shared" si="27"/>
        <v>9.9</v>
      </c>
    </row>
    <row r="1790" spans="2:7" x14ac:dyDescent="0.35">
      <c r="B1790" s="1">
        <v>45732</v>
      </c>
      <c r="C1790" s="2">
        <v>0.5</v>
      </c>
      <c r="D1790">
        <v>6.4</v>
      </c>
      <c r="E1790">
        <f>IF($D1790 &gt; 16, 0, $J$3*(16 - $D1790))</f>
        <v>1994.3869699266911</v>
      </c>
      <c r="F1790">
        <f>IF($D1790 &gt; 16, 0,$E1790*$J$5)</f>
        <v>21676991.976133205</v>
      </c>
      <c r="G1790">
        <f t="shared" si="27"/>
        <v>9.6</v>
      </c>
    </row>
    <row r="1791" spans="2:7" x14ac:dyDescent="0.35">
      <c r="B1791" s="1">
        <v>45732</v>
      </c>
      <c r="C1791" s="2">
        <v>0.54166666666666663</v>
      </c>
      <c r="D1791">
        <v>6.3</v>
      </c>
      <c r="E1791">
        <f>IF($D1791 &gt; 16, 0, $J$3*(16 - $D1791))</f>
        <v>2015.1618341967608</v>
      </c>
      <c r="F1791">
        <f>IF($D1791 &gt; 16, 0,$E1791*$J$5)</f>
        <v>21902793.975884594</v>
      </c>
      <c r="G1791">
        <f t="shared" si="27"/>
        <v>9.6999999999999993</v>
      </c>
    </row>
    <row r="1792" spans="2:7" x14ac:dyDescent="0.35">
      <c r="B1792" s="1">
        <v>45732</v>
      </c>
      <c r="C1792" s="2">
        <v>0.58333333333333337</v>
      </c>
      <c r="D1792">
        <v>6.7</v>
      </c>
      <c r="E1792">
        <f>IF($D1792 &gt; 16, 0, $J$3*(16 - $D1792))</f>
        <v>1932.0623771164821</v>
      </c>
      <c r="F1792">
        <f>IF($D1792 &gt; 16, 0,$E1792*$J$5)</f>
        <v>20999585.976879045</v>
      </c>
      <c r="G1792">
        <f t="shared" si="27"/>
        <v>9.3000000000000007</v>
      </c>
    </row>
    <row r="1793" spans="2:7" x14ac:dyDescent="0.35">
      <c r="B1793" s="1">
        <v>45732</v>
      </c>
      <c r="C1793" s="2">
        <v>0.625</v>
      </c>
      <c r="D1793">
        <v>6.5</v>
      </c>
      <c r="E1793">
        <f>IF($D1793 &gt; 16, 0, $J$3*(16 - $D1793))</f>
        <v>1973.6121056566215</v>
      </c>
      <c r="F1793">
        <f>IF($D1793 &gt; 16, 0,$E1793*$J$5)</f>
        <v>21451189.97638182</v>
      </c>
      <c r="G1793">
        <f t="shared" si="27"/>
        <v>9.5</v>
      </c>
    </row>
    <row r="1794" spans="2:7" x14ac:dyDescent="0.35">
      <c r="B1794" s="1">
        <v>45732</v>
      </c>
      <c r="C1794" s="2">
        <v>0.66666666666666663</v>
      </c>
      <c r="D1794">
        <v>6.3</v>
      </c>
      <c r="E1794">
        <f>IF($D1794 &gt; 16, 0, $J$3*(16 - $D1794))</f>
        <v>2015.1618341967608</v>
      </c>
      <c r="F1794">
        <f>IF($D1794 &gt; 16, 0,$E1794*$J$5)</f>
        <v>21902793.975884594</v>
      </c>
      <c r="G1794">
        <f t="shared" si="27"/>
        <v>9.6999999999999993</v>
      </c>
    </row>
    <row r="1795" spans="2:7" x14ac:dyDescent="0.35">
      <c r="B1795" s="1">
        <v>45732</v>
      </c>
      <c r="C1795" s="2">
        <v>0.70833333333333337</v>
      </c>
      <c r="D1795">
        <v>5.4</v>
      </c>
      <c r="E1795">
        <f>IF($D1795 &gt; 16, 0, $J$3*(16 - $D1795))</f>
        <v>2202.1356126273881</v>
      </c>
      <c r="F1795">
        <f>IF($D1795 &gt; 16, 0,$E1795*$J$5)</f>
        <v>23935011.97364708</v>
      </c>
      <c r="G1795">
        <f t="shared" ref="G1795:G1858" si="28">MAX(0, 16 - $D1795)</f>
        <v>10.6</v>
      </c>
    </row>
    <row r="1796" spans="2:7" x14ac:dyDescent="0.35">
      <c r="B1796" s="1">
        <v>45732</v>
      </c>
      <c r="C1796" s="2">
        <v>0.75</v>
      </c>
      <c r="D1796">
        <v>5.3</v>
      </c>
      <c r="E1796">
        <f>IF($D1796 &gt; 16, 0, $J$3*(16 - $D1796))</f>
        <v>2222.9104768974576</v>
      </c>
      <c r="F1796">
        <f>IF($D1796 &gt; 16, 0,$E1796*$J$5)</f>
        <v>24160813.973398466</v>
      </c>
      <c r="G1796">
        <f t="shared" si="28"/>
        <v>10.7</v>
      </c>
    </row>
    <row r="1797" spans="2:7" x14ac:dyDescent="0.35">
      <c r="B1797" s="1">
        <v>45732</v>
      </c>
      <c r="C1797" s="2">
        <v>0.79166666666666663</v>
      </c>
      <c r="D1797">
        <v>5.3</v>
      </c>
      <c r="E1797">
        <f>IF($D1797 &gt; 16, 0, $J$3*(16 - $D1797))</f>
        <v>2222.9104768974576</v>
      </c>
      <c r="F1797">
        <f>IF($D1797 &gt; 16, 0,$E1797*$J$5)</f>
        <v>24160813.973398466</v>
      </c>
      <c r="G1797">
        <f t="shared" si="28"/>
        <v>10.7</v>
      </c>
    </row>
    <row r="1798" spans="2:7" x14ac:dyDescent="0.35">
      <c r="B1798" s="1">
        <v>45732</v>
      </c>
      <c r="C1798" s="2">
        <v>0.83333333333333337</v>
      </c>
      <c r="D1798">
        <v>4.0999999999999996</v>
      </c>
      <c r="E1798">
        <f>IF($D1798 &gt; 16, 0, $J$3*(16 - $D1798))</f>
        <v>2472.2088481382943</v>
      </c>
      <c r="F1798">
        <f>IF($D1798 &gt; 16, 0,$E1798*$J$5)</f>
        <v>26870437.970415123</v>
      </c>
      <c r="G1798">
        <f t="shared" si="28"/>
        <v>11.9</v>
      </c>
    </row>
    <row r="1799" spans="2:7" x14ac:dyDescent="0.35">
      <c r="B1799" s="1">
        <v>45732</v>
      </c>
      <c r="C1799" s="2">
        <v>0.875</v>
      </c>
      <c r="D1799">
        <v>3.8</v>
      </c>
      <c r="E1799">
        <f>IF($D1799 &gt; 16, 0, $J$3*(16 - $D1799))</f>
        <v>2534.5334409485031</v>
      </c>
      <c r="F1799">
        <f>IF($D1799 &gt; 16, 0,$E1799*$J$5)</f>
        <v>27547843.969669279</v>
      </c>
      <c r="G1799">
        <f t="shared" si="28"/>
        <v>12.2</v>
      </c>
    </row>
    <row r="1800" spans="2:7" x14ac:dyDescent="0.35">
      <c r="B1800" s="1">
        <v>45732</v>
      </c>
      <c r="C1800" s="2">
        <v>0.91666666666666663</v>
      </c>
      <c r="D1800">
        <v>3</v>
      </c>
      <c r="E1800">
        <f>IF($D1800 &gt; 16, 0, $J$3*(16 - $D1800))</f>
        <v>2700.7323551090608</v>
      </c>
      <c r="F1800">
        <f>IF($D1800 &gt; 16, 0,$E1800*$J$5)</f>
        <v>29354259.967680383</v>
      </c>
      <c r="G1800">
        <f t="shared" si="28"/>
        <v>13</v>
      </c>
    </row>
    <row r="1801" spans="2:7" x14ac:dyDescent="0.35">
      <c r="B1801" s="1">
        <v>45732</v>
      </c>
      <c r="C1801" s="2">
        <v>0.95833333333333337</v>
      </c>
      <c r="D1801">
        <v>3.5</v>
      </c>
      <c r="E1801">
        <f>IF($D1801 &gt; 16, 0, $J$3*(16 - $D1801))</f>
        <v>2596.8580337587123</v>
      </c>
      <c r="F1801">
        <f>IF($D1801 &gt; 16, 0,$E1801*$J$5)</f>
        <v>28225249.968923442</v>
      </c>
      <c r="G1801">
        <f t="shared" si="28"/>
        <v>12.5</v>
      </c>
    </row>
    <row r="1802" spans="2:7" x14ac:dyDescent="0.35">
      <c r="B1802" s="1">
        <v>45733</v>
      </c>
      <c r="C1802" s="2">
        <v>0</v>
      </c>
      <c r="D1802">
        <v>3.2</v>
      </c>
      <c r="E1802">
        <f>IF($D1802 &gt; 16, 0, $J$3*(16 - $D1802))</f>
        <v>2659.1826265689215</v>
      </c>
      <c r="F1802">
        <f>IF($D1802 &gt; 16, 0,$E1802*$J$5)</f>
        <v>28902655.968177609</v>
      </c>
      <c r="G1802">
        <f t="shared" si="28"/>
        <v>12.8</v>
      </c>
    </row>
    <row r="1803" spans="2:7" x14ac:dyDescent="0.35">
      <c r="B1803" s="1">
        <v>45733</v>
      </c>
      <c r="C1803" s="2">
        <v>4.1666666666666657E-2</v>
      </c>
      <c r="D1803">
        <v>2.2000000000000002</v>
      </c>
      <c r="E1803">
        <f>IF($D1803 &gt; 16, 0, $J$3*(16 - $D1803))</f>
        <v>2866.9312692696185</v>
      </c>
      <c r="F1803">
        <f>IF($D1803 &gt; 16, 0,$E1803*$J$5)</f>
        <v>31160675.965691485</v>
      </c>
      <c r="G1803">
        <f t="shared" si="28"/>
        <v>13.8</v>
      </c>
    </row>
    <row r="1804" spans="2:7" x14ac:dyDescent="0.35">
      <c r="B1804" s="1">
        <v>45733</v>
      </c>
      <c r="C1804" s="2">
        <v>8.3333333333333329E-2</v>
      </c>
      <c r="D1804">
        <v>1.8</v>
      </c>
      <c r="E1804">
        <f>IF($D1804 &gt; 16, 0, $J$3*(16 - $D1804))</f>
        <v>2950.0307263498971</v>
      </c>
      <c r="F1804">
        <f>IF($D1804 &gt; 16, 0,$E1804*$J$5)</f>
        <v>32063883.964697033</v>
      </c>
      <c r="G1804">
        <f t="shared" si="28"/>
        <v>14.2</v>
      </c>
    </row>
    <row r="1805" spans="2:7" x14ac:dyDescent="0.35">
      <c r="B1805" s="1">
        <v>45733</v>
      </c>
      <c r="C1805" s="2">
        <v>0.125</v>
      </c>
      <c r="D1805">
        <v>0.3</v>
      </c>
      <c r="E1805">
        <f>IF($D1805 &gt; 16, 0, $J$3*(16 - $D1805))</f>
        <v>3261.6536904009427</v>
      </c>
      <c r="F1805">
        <f>IF($D1805 &gt; 16, 0,$E1805*$J$5)</f>
        <v>35450913.960967846</v>
      </c>
      <c r="G1805">
        <f t="shared" si="28"/>
        <v>15.7</v>
      </c>
    </row>
    <row r="1806" spans="2:7" x14ac:dyDescent="0.35">
      <c r="B1806" s="1">
        <v>45733</v>
      </c>
      <c r="C1806" s="2">
        <v>0.16666666666666671</v>
      </c>
      <c r="D1806">
        <v>-0.1</v>
      </c>
      <c r="E1806">
        <f>IF($D1806 &gt; 16, 0, $J$3*(16 - $D1806))</f>
        <v>3344.7531474812217</v>
      </c>
      <c r="F1806">
        <f>IF($D1806 &gt; 16, 0,$E1806*$J$5)</f>
        <v>36354121.959973402</v>
      </c>
      <c r="G1806">
        <f t="shared" si="28"/>
        <v>16.100000000000001</v>
      </c>
    </row>
    <row r="1807" spans="2:7" x14ac:dyDescent="0.35">
      <c r="B1807" s="1">
        <v>45733</v>
      </c>
      <c r="C1807" s="2">
        <v>0.20833333333333329</v>
      </c>
      <c r="D1807">
        <v>-0.6</v>
      </c>
      <c r="E1807">
        <f>IF($D1807 &gt; 16, 0, $J$3*(16 - $D1807))</f>
        <v>3448.6274688315702</v>
      </c>
      <c r="F1807">
        <f>IF($D1807 &gt; 16, 0,$E1807*$J$5)</f>
        <v>37483131.95873034</v>
      </c>
      <c r="G1807">
        <f t="shared" si="28"/>
        <v>16.600000000000001</v>
      </c>
    </row>
    <row r="1808" spans="2:7" x14ac:dyDescent="0.35">
      <c r="B1808" s="1">
        <v>45733</v>
      </c>
      <c r="C1808" s="2">
        <v>0.25</v>
      </c>
      <c r="D1808">
        <v>-0.5</v>
      </c>
      <c r="E1808">
        <f>IF($D1808 &gt; 16, 0, $J$3*(16 - $D1808))</f>
        <v>3427.8526045615004</v>
      </c>
      <c r="F1808">
        <f>IF($D1808 &gt; 16, 0,$E1808*$J$5)</f>
        <v>37257329.958978951</v>
      </c>
      <c r="G1808">
        <f t="shared" si="28"/>
        <v>16.5</v>
      </c>
    </row>
    <row r="1809" spans="2:7" x14ac:dyDescent="0.35">
      <c r="B1809" s="1">
        <v>45733</v>
      </c>
      <c r="C1809" s="2">
        <v>0.29166666666666669</v>
      </c>
      <c r="D1809">
        <v>1</v>
      </c>
      <c r="E1809">
        <f>IF($D1809 &gt; 16, 0, $J$3*(16 - $D1809))</f>
        <v>3116.2296405104548</v>
      </c>
      <c r="F1809">
        <f>IF($D1809 &gt; 16, 0,$E1809*$J$5)</f>
        <v>33870299.96270813</v>
      </c>
      <c r="G1809">
        <f t="shared" si="28"/>
        <v>15</v>
      </c>
    </row>
    <row r="1810" spans="2:7" x14ac:dyDescent="0.35">
      <c r="B1810" s="1">
        <v>45733</v>
      </c>
      <c r="C1810" s="2">
        <v>0.33333333333333331</v>
      </c>
      <c r="D1810">
        <v>2.5</v>
      </c>
      <c r="E1810">
        <f>IF($D1810 &gt; 16, 0, $J$3*(16 - $D1810))</f>
        <v>2804.6066764594093</v>
      </c>
      <c r="F1810">
        <f>IF($D1810 &gt; 16, 0,$E1810*$J$5)</f>
        <v>30483269.966437321</v>
      </c>
      <c r="G1810">
        <f t="shared" si="28"/>
        <v>13.5</v>
      </c>
    </row>
    <row r="1811" spans="2:7" x14ac:dyDescent="0.35">
      <c r="B1811" s="1">
        <v>45733</v>
      </c>
      <c r="C1811" s="2">
        <v>0.375</v>
      </c>
      <c r="D1811">
        <v>3.9</v>
      </c>
      <c r="E1811">
        <f>IF($D1811 &gt; 16, 0, $J$3*(16 - $D1811))</f>
        <v>2513.7585766784337</v>
      </c>
      <c r="F1811">
        <f>IF($D1811 &gt; 16, 0,$E1811*$J$5)</f>
        <v>27322041.969917897</v>
      </c>
      <c r="G1811">
        <f t="shared" si="28"/>
        <v>12.1</v>
      </c>
    </row>
    <row r="1812" spans="2:7" x14ac:dyDescent="0.35">
      <c r="B1812" s="1">
        <v>45733</v>
      </c>
      <c r="C1812" s="2">
        <v>0.41666666666666669</v>
      </c>
      <c r="D1812">
        <v>5.3</v>
      </c>
      <c r="E1812">
        <f>IF($D1812 &gt; 16, 0, $J$3*(16 - $D1812))</f>
        <v>2222.9104768974576</v>
      </c>
      <c r="F1812">
        <f>IF($D1812 &gt; 16, 0,$E1812*$J$5)</f>
        <v>24160813.973398466</v>
      </c>
      <c r="G1812">
        <f t="shared" si="28"/>
        <v>10.7</v>
      </c>
    </row>
    <row r="1813" spans="2:7" x14ac:dyDescent="0.35">
      <c r="B1813" s="1">
        <v>45733</v>
      </c>
      <c r="C1813" s="2">
        <v>0.45833333333333331</v>
      </c>
      <c r="D1813">
        <v>5.2</v>
      </c>
      <c r="E1813">
        <f>IF($D1813 &gt; 16, 0, $J$3*(16 - $D1813))</f>
        <v>2243.6853411675274</v>
      </c>
      <c r="F1813">
        <f>IF($D1813 &gt; 16, 0,$E1813*$J$5)</f>
        <v>24386615.973149855</v>
      </c>
      <c r="G1813">
        <f t="shared" si="28"/>
        <v>10.8</v>
      </c>
    </row>
    <row r="1814" spans="2:7" x14ac:dyDescent="0.35">
      <c r="B1814" s="1">
        <v>45733</v>
      </c>
      <c r="C1814" s="2">
        <v>0.5</v>
      </c>
      <c r="D1814">
        <v>6.3</v>
      </c>
      <c r="E1814">
        <f>IF($D1814 &gt; 16, 0, $J$3*(16 - $D1814))</f>
        <v>2015.1618341967608</v>
      </c>
      <c r="F1814">
        <f>IF($D1814 &gt; 16, 0,$E1814*$J$5)</f>
        <v>21902793.975884594</v>
      </c>
      <c r="G1814">
        <f t="shared" si="28"/>
        <v>9.6999999999999993</v>
      </c>
    </row>
    <row r="1815" spans="2:7" x14ac:dyDescent="0.35">
      <c r="B1815" s="1">
        <v>45733</v>
      </c>
      <c r="C1815" s="2">
        <v>0.54166666666666663</v>
      </c>
      <c r="D1815">
        <v>6</v>
      </c>
      <c r="E1815">
        <f>IF($D1815 &gt; 16, 0, $J$3*(16 - $D1815))</f>
        <v>2077.4864270069697</v>
      </c>
      <c r="F1815">
        <f>IF($D1815 &gt; 16, 0,$E1815*$J$5)</f>
        <v>22580199.975138754</v>
      </c>
      <c r="G1815">
        <f t="shared" si="28"/>
        <v>10</v>
      </c>
    </row>
    <row r="1816" spans="2:7" x14ac:dyDescent="0.35">
      <c r="B1816" s="1">
        <v>45733</v>
      </c>
      <c r="C1816" s="2">
        <v>0.58333333333333337</v>
      </c>
      <c r="D1816">
        <v>6.3</v>
      </c>
      <c r="E1816">
        <f>IF($D1816 &gt; 16, 0, $J$3*(16 - $D1816))</f>
        <v>2015.1618341967608</v>
      </c>
      <c r="F1816">
        <f>IF($D1816 &gt; 16, 0,$E1816*$J$5)</f>
        <v>21902793.975884594</v>
      </c>
      <c r="G1816">
        <f t="shared" si="28"/>
        <v>9.6999999999999993</v>
      </c>
    </row>
    <row r="1817" spans="2:7" x14ac:dyDescent="0.35">
      <c r="B1817" s="1">
        <v>45733</v>
      </c>
      <c r="C1817" s="2">
        <v>0.625</v>
      </c>
      <c r="D1817">
        <v>6.1</v>
      </c>
      <c r="E1817">
        <f>IF($D1817 &gt; 16, 0, $J$3*(16 - $D1817))</f>
        <v>2056.7115627369003</v>
      </c>
      <c r="F1817">
        <f>IF($D1817 &gt; 16, 0,$E1817*$J$5)</f>
        <v>22354397.975387368</v>
      </c>
      <c r="G1817">
        <f t="shared" si="28"/>
        <v>9.9</v>
      </c>
    </row>
    <row r="1818" spans="2:7" x14ac:dyDescent="0.35">
      <c r="B1818" s="1">
        <v>45733</v>
      </c>
      <c r="C1818" s="2">
        <v>0.66666666666666663</v>
      </c>
      <c r="D1818">
        <v>5.9</v>
      </c>
      <c r="E1818">
        <f>IF($D1818 &gt; 16, 0, $J$3*(16 - $D1818))</f>
        <v>2098.2612912770396</v>
      </c>
      <c r="F1818">
        <f>IF($D1818 &gt; 16, 0,$E1818*$J$5)</f>
        <v>22806001.974890143</v>
      </c>
      <c r="G1818">
        <f t="shared" si="28"/>
        <v>10.1</v>
      </c>
    </row>
    <row r="1819" spans="2:7" x14ac:dyDescent="0.35">
      <c r="B1819" s="1">
        <v>45733</v>
      </c>
      <c r="C1819" s="2">
        <v>0.70833333333333337</v>
      </c>
      <c r="D1819">
        <v>4.8</v>
      </c>
      <c r="E1819">
        <f>IF($D1819 &gt; 16, 0, $J$3*(16 - $D1819))</f>
        <v>2326.7847982478061</v>
      </c>
      <c r="F1819">
        <f>IF($D1819 &gt; 16, 0,$E1819*$J$5)</f>
        <v>25289823.972155403</v>
      </c>
      <c r="G1819">
        <f t="shared" si="28"/>
        <v>11.2</v>
      </c>
    </row>
    <row r="1820" spans="2:7" x14ac:dyDescent="0.35">
      <c r="B1820" s="1">
        <v>45733</v>
      </c>
      <c r="C1820" s="2">
        <v>0.75</v>
      </c>
      <c r="D1820">
        <v>3.5</v>
      </c>
      <c r="E1820">
        <f>IF($D1820 &gt; 16, 0, $J$3*(16 - $D1820))</f>
        <v>2596.8580337587123</v>
      </c>
      <c r="F1820">
        <f>IF($D1820 &gt; 16, 0,$E1820*$J$5)</f>
        <v>28225249.968923442</v>
      </c>
      <c r="G1820">
        <f t="shared" si="28"/>
        <v>12.5</v>
      </c>
    </row>
    <row r="1821" spans="2:7" x14ac:dyDescent="0.35">
      <c r="B1821" s="1">
        <v>45733</v>
      </c>
      <c r="C1821" s="2">
        <v>0.79166666666666663</v>
      </c>
      <c r="D1821">
        <v>1.4</v>
      </c>
      <c r="E1821">
        <f>IF($D1821 &gt; 16, 0, $J$3*(16 - $D1821))</f>
        <v>3033.1301834301762</v>
      </c>
      <c r="F1821">
        <f>IF($D1821 &gt; 16, 0,$E1821*$J$5)</f>
        <v>32967091.963702586</v>
      </c>
      <c r="G1821">
        <f t="shared" si="28"/>
        <v>14.6</v>
      </c>
    </row>
    <row r="1822" spans="2:7" x14ac:dyDescent="0.35">
      <c r="B1822" s="1">
        <v>45733</v>
      </c>
      <c r="C1822" s="2">
        <v>0.83333333333333337</v>
      </c>
      <c r="D1822">
        <v>-1.4</v>
      </c>
      <c r="E1822">
        <f>IF($D1822 &gt; 16, 0, $J$3*(16 - $D1822))</f>
        <v>3614.8263829921275</v>
      </c>
      <c r="F1822">
        <f>IF($D1822 &gt; 16, 0,$E1822*$J$5)</f>
        <v>39289547.956741437</v>
      </c>
      <c r="G1822">
        <f t="shared" si="28"/>
        <v>17.399999999999999</v>
      </c>
    </row>
    <row r="1823" spans="2:7" x14ac:dyDescent="0.35">
      <c r="B1823" s="1">
        <v>45733</v>
      </c>
      <c r="C1823" s="2">
        <v>0.875</v>
      </c>
      <c r="D1823">
        <v>-1.7</v>
      </c>
      <c r="E1823">
        <f>IF($D1823 &gt; 16, 0, $J$3*(16 - $D1823))</f>
        <v>3677.1509758023367</v>
      </c>
      <c r="F1823">
        <f>IF($D1823 &gt; 16, 0,$E1823*$J$5)</f>
        <v>39966953.955995597</v>
      </c>
      <c r="G1823">
        <f t="shared" si="28"/>
        <v>17.7</v>
      </c>
    </row>
    <row r="1824" spans="2:7" x14ac:dyDescent="0.35">
      <c r="B1824" s="1">
        <v>45733</v>
      </c>
      <c r="C1824" s="2">
        <v>0.91666666666666663</v>
      </c>
      <c r="D1824">
        <v>-2.5</v>
      </c>
      <c r="E1824">
        <f>IF($D1824 &gt; 16, 0, $J$3*(16 - $D1824))</f>
        <v>3843.3498899628944</v>
      </c>
      <c r="F1824">
        <f>IF($D1824 &gt; 16, 0,$E1824*$J$5)</f>
        <v>41773369.954006702</v>
      </c>
      <c r="G1824">
        <f t="shared" si="28"/>
        <v>18.5</v>
      </c>
    </row>
    <row r="1825" spans="2:7" x14ac:dyDescent="0.35">
      <c r="B1825" s="1">
        <v>45733</v>
      </c>
      <c r="C1825" s="2">
        <v>0.95833333333333337</v>
      </c>
      <c r="D1825">
        <v>-2.9</v>
      </c>
      <c r="E1825">
        <f>IF($D1825 &gt; 16, 0, $J$3*(16 - $D1825))</f>
        <v>3926.449347043173</v>
      </c>
      <c r="F1825">
        <f>IF($D1825 &gt; 16, 0,$E1825*$J$5)</f>
        <v>42676577.95301225</v>
      </c>
      <c r="G1825">
        <f t="shared" si="28"/>
        <v>18.899999999999999</v>
      </c>
    </row>
    <row r="1826" spans="2:7" x14ac:dyDescent="0.35">
      <c r="B1826" s="1">
        <v>45734</v>
      </c>
      <c r="C1826" s="2">
        <v>0</v>
      </c>
      <c r="D1826">
        <v>-4.2</v>
      </c>
      <c r="E1826">
        <f>IF($D1826 &gt; 16, 0, $J$3*(16 - $D1826))</f>
        <v>4196.5225825540792</v>
      </c>
      <c r="F1826">
        <f>IF($D1826 &gt; 16, 0,$E1826*$J$5)</f>
        <v>45612003.949780285</v>
      </c>
      <c r="G1826">
        <f t="shared" si="28"/>
        <v>20.2</v>
      </c>
    </row>
    <row r="1827" spans="2:7" x14ac:dyDescent="0.35">
      <c r="B1827" s="1">
        <v>45734</v>
      </c>
      <c r="C1827" s="2">
        <v>4.1666666666666657E-2</v>
      </c>
      <c r="D1827">
        <v>-4.0999999999999996</v>
      </c>
      <c r="E1827">
        <f>IF($D1827 &gt; 16, 0, $J$3*(16 - $D1827))</f>
        <v>4175.7477182840094</v>
      </c>
      <c r="F1827">
        <f>IF($D1827 &gt; 16, 0,$E1827*$J$5)</f>
        <v>45386201.950028896</v>
      </c>
      <c r="G1827">
        <f t="shared" si="28"/>
        <v>20.100000000000001</v>
      </c>
    </row>
    <row r="1828" spans="2:7" x14ac:dyDescent="0.35">
      <c r="B1828" s="1">
        <v>45734</v>
      </c>
      <c r="C1828" s="2">
        <v>8.3333333333333329E-2</v>
      </c>
      <c r="D1828">
        <v>-4.5</v>
      </c>
      <c r="E1828">
        <f>IF($D1828 &gt; 16, 0, $J$3*(16 - $D1828))</f>
        <v>4258.847175364288</v>
      </c>
      <c r="F1828">
        <f>IF($D1828 &gt; 16, 0,$E1828*$J$5)</f>
        <v>46289409.949034445</v>
      </c>
      <c r="G1828">
        <f t="shared" si="28"/>
        <v>20.5</v>
      </c>
    </row>
    <row r="1829" spans="2:7" x14ac:dyDescent="0.35">
      <c r="B1829" s="1">
        <v>45734</v>
      </c>
      <c r="C1829" s="2">
        <v>0.125</v>
      </c>
      <c r="D1829">
        <v>-5</v>
      </c>
      <c r="E1829">
        <f>IF($D1829 &gt; 16, 0, $J$3*(16 - $D1829))</f>
        <v>4362.7214967146365</v>
      </c>
      <c r="F1829">
        <f>IF($D1829 &gt; 16, 0,$E1829*$J$5)</f>
        <v>47418419.947791383</v>
      </c>
      <c r="G1829">
        <f t="shared" si="28"/>
        <v>21</v>
      </c>
    </row>
    <row r="1830" spans="2:7" x14ac:dyDescent="0.35">
      <c r="B1830" s="1">
        <v>45734</v>
      </c>
      <c r="C1830" s="2">
        <v>0.16666666666666671</v>
      </c>
      <c r="D1830">
        <v>-5.6</v>
      </c>
      <c r="E1830">
        <f>IF($D1830 &gt; 16, 0, $J$3*(16 - $D1830))</f>
        <v>4487.3706823350549</v>
      </c>
      <c r="F1830">
        <f>IF($D1830 &gt; 16, 0,$E1830*$J$5)</f>
        <v>48773231.946299709</v>
      </c>
      <c r="G1830">
        <f t="shared" si="28"/>
        <v>21.6</v>
      </c>
    </row>
    <row r="1831" spans="2:7" x14ac:dyDescent="0.35">
      <c r="B1831" s="1">
        <v>45734</v>
      </c>
      <c r="C1831" s="2">
        <v>0.20833333333333329</v>
      </c>
      <c r="D1831">
        <v>-5.9</v>
      </c>
      <c r="E1831">
        <f>IF($D1831 &gt; 16, 0, $J$3*(16 - $D1831))</f>
        <v>4549.6952751452636</v>
      </c>
      <c r="F1831">
        <f>IF($D1831 &gt; 16, 0,$E1831*$J$5)</f>
        <v>49450637.945553869</v>
      </c>
      <c r="G1831">
        <f t="shared" si="28"/>
        <v>21.9</v>
      </c>
    </row>
    <row r="1832" spans="2:7" x14ac:dyDescent="0.35">
      <c r="B1832" s="1">
        <v>45734</v>
      </c>
      <c r="C1832" s="2">
        <v>0.25</v>
      </c>
      <c r="D1832">
        <v>-6</v>
      </c>
      <c r="E1832">
        <f>IF($D1832 &gt; 16, 0, $J$3*(16 - $D1832))</f>
        <v>4570.4701394153335</v>
      </c>
      <c r="F1832">
        <f>IF($D1832 &gt; 16, 0,$E1832*$J$5)</f>
        <v>49676439.945305258</v>
      </c>
      <c r="G1832">
        <f t="shared" si="28"/>
        <v>22</v>
      </c>
    </row>
    <row r="1833" spans="2:7" x14ac:dyDescent="0.35">
      <c r="B1833" s="1">
        <v>45734</v>
      </c>
      <c r="C1833" s="2">
        <v>0.29166666666666669</v>
      </c>
      <c r="D1833">
        <v>-1.1000000000000001</v>
      </c>
      <c r="E1833">
        <f>IF($D1833 &gt; 16, 0, $J$3*(16 - $D1833))</f>
        <v>3552.5017901819188</v>
      </c>
      <c r="F1833">
        <f>IF($D1833 &gt; 16, 0,$E1833*$J$5)</f>
        <v>38612141.957487278</v>
      </c>
      <c r="G1833">
        <f t="shared" si="28"/>
        <v>17.100000000000001</v>
      </c>
    </row>
    <row r="1834" spans="2:7" x14ac:dyDescent="0.35">
      <c r="B1834" s="1">
        <v>45734</v>
      </c>
      <c r="C1834" s="2">
        <v>0.33333333333333331</v>
      </c>
      <c r="D1834">
        <v>2</v>
      </c>
      <c r="E1834">
        <f>IF($D1834 &gt; 16, 0, $J$3*(16 - $D1834))</f>
        <v>2908.4809978097578</v>
      </c>
      <c r="F1834">
        <f>IF($D1834 &gt; 16, 0,$E1834*$J$5)</f>
        <v>31612279.965194259</v>
      </c>
      <c r="G1834">
        <f t="shared" si="28"/>
        <v>14</v>
      </c>
    </row>
    <row r="1835" spans="2:7" x14ac:dyDescent="0.35">
      <c r="B1835" s="1">
        <v>45734</v>
      </c>
      <c r="C1835" s="2">
        <v>0.375</v>
      </c>
      <c r="D1835">
        <v>5.3</v>
      </c>
      <c r="E1835">
        <f>IF($D1835 &gt; 16, 0, $J$3*(16 - $D1835))</f>
        <v>2222.9104768974576</v>
      </c>
      <c r="F1835">
        <f>IF($D1835 &gt; 16, 0,$E1835*$J$5)</f>
        <v>24160813.973398466</v>
      </c>
      <c r="G1835">
        <f t="shared" si="28"/>
        <v>10.7</v>
      </c>
    </row>
    <row r="1836" spans="2:7" x14ac:dyDescent="0.35">
      <c r="B1836" s="1">
        <v>45734</v>
      </c>
      <c r="C1836" s="2">
        <v>0.41666666666666669</v>
      </c>
      <c r="D1836">
        <v>5.9</v>
      </c>
      <c r="E1836">
        <f>IF($D1836 &gt; 16, 0, $J$3*(16 - $D1836))</f>
        <v>2098.2612912770396</v>
      </c>
      <c r="F1836">
        <f>IF($D1836 &gt; 16, 0,$E1836*$J$5)</f>
        <v>22806001.974890143</v>
      </c>
      <c r="G1836">
        <f t="shared" si="28"/>
        <v>10.1</v>
      </c>
    </row>
    <row r="1837" spans="2:7" x14ac:dyDescent="0.35">
      <c r="B1837" s="1">
        <v>45734</v>
      </c>
      <c r="C1837" s="2">
        <v>0.45833333333333331</v>
      </c>
      <c r="D1837">
        <v>7.2</v>
      </c>
      <c r="E1837">
        <f>IF($D1837 &gt; 16, 0, $J$3*(16 - $D1837))</f>
        <v>1828.1880557661336</v>
      </c>
      <c r="F1837">
        <f>IF($D1837 &gt; 16, 0,$E1837*$J$5)</f>
        <v>19870575.978122108</v>
      </c>
      <c r="G1837">
        <f t="shared" si="28"/>
        <v>8.8000000000000007</v>
      </c>
    </row>
    <row r="1838" spans="2:7" x14ac:dyDescent="0.35">
      <c r="B1838" s="1">
        <v>45734</v>
      </c>
      <c r="C1838" s="2">
        <v>0.5</v>
      </c>
      <c r="D1838">
        <v>8.6999999999999993</v>
      </c>
      <c r="E1838">
        <f>IF($D1838 &gt; 16, 0, $J$3*(16 - $D1838))</f>
        <v>1516.5650917150881</v>
      </c>
      <c r="F1838">
        <f>IF($D1838 &gt; 16, 0,$E1838*$J$5)</f>
        <v>16483545.981851293</v>
      </c>
      <c r="G1838">
        <f t="shared" si="28"/>
        <v>7.3000000000000007</v>
      </c>
    </row>
    <row r="1839" spans="2:7" x14ac:dyDescent="0.35">
      <c r="B1839" s="1">
        <v>45734</v>
      </c>
      <c r="C1839" s="2">
        <v>0.54166666666666663</v>
      </c>
      <c r="D1839">
        <v>8.6</v>
      </c>
      <c r="E1839">
        <f>IF($D1839 &gt; 16, 0, $J$3*(16 - $D1839))</f>
        <v>1537.3399559851578</v>
      </c>
      <c r="F1839">
        <f>IF($D1839 &gt; 16, 0,$E1839*$J$5)</f>
        <v>16709347.98160268</v>
      </c>
      <c r="G1839">
        <f t="shared" si="28"/>
        <v>7.4</v>
      </c>
    </row>
    <row r="1840" spans="2:7" x14ac:dyDescent="0.35">
      <c r="B1840" s="1">
        <v>45734</v>
      </c>
      <c r="C1840" s="2">
        <v>0.58333333333333337</v>
      </c>
      <c r="D1840">
        <v>8.9</v>
      </c>
      <c r="E1840">
        <f>IF($D1840 &gt; 16, 0, $J$3*(16 - $D1840))</f>
        <v>1475.0153631749486</v>
      </c>
      <c r="F1840">
        <f>IF($D1840 &gt; 16, 0,$E1840*$J$5)</f>
        <v>16031941.982348517</v>
      </c>
      <c r="G1840">
        <f t="shared" si="28"/>
        <v>7.1</v>
      </c>
    </row>
    <row r="1841" spans="2:7" x14ac:dyDescent="0.35">
      <c r="B1841" s="1">
        <v>45734</v>
      </c>
      <c r="C1841" s="2">
        <v>0.625</v>
      </c>
      <c r="D1841">
        <v>8.9</v>
      </c>
      <c r="E1841">
        <f>IF($D1841 &gt; 16, 0, $J$3*(16 - $D1841))</f>
        <v>1475.0153631749486</v>
      </c>
      <c r="F1841">
        <f>IF($D1841 &gt; 16, 0,$E1841*$J$5)</f>
        <v>16031941.982348517</v>
      </c>
      <c r="G1841">
        <f t="shared" si="28"/>
        <v>7.1</v>
      </c>
    </row>
    <row r="1842" spans="2:7" x14ac:dyDescent="0.35">
      <c r="B1842" s="1">
        <v>45734</v>
      </c>
      <c r="C1842" s="2">
        <v>0.66666666666666663</v>
      </c>
      <c r="D1842">
        <v>8.8000000000000007</v>
      </c>
      <c r="E1842">
        <f>IF($D1842 &gt; 16, 0, $J$3*(16 - $D1842))</f>
        <v>1495.7902274450182</v>
      </c>
      <c r="F1842">
        <f>IF($D1842 &gt; 16, 0,$E1842*$J$5)</f>
        <v>16257743.982099904</v>
      </c>
      <c r="G1842">
        <f t="shared" si="28"/>
        <v>7.1999999999999993</v>
      </c>
    </row>
    <row r="1843" spans="2:7" x14ac:dyDescent="0.35">
      <c r="B1843" s="1">
        <v>45734</v>
      </c>
      <c r="C1843" s="2">
        <v>0.70833333333333337</v>
      </c>
      <c r="D1843">
        <v>6.9</v>
      </c>
      <c r="E1843">
        <f>IF($D1843 &gt; 16, 0, $J$3*(16 - $D1843))</f>
        <v>1890.5126485763426</v>
      </c>
      <c r="F1843">
        <f>IF($D1843 &gt; 16, 0,$E1843*$J$5)</f>
        <v>20547981.977376267</v>
      </c>
      <c r="G1843">
        <f t="shared" si="28"/>
        <v>9.1</v>
      </c>
    </row>
    <row r="1844" spans="2:7" x14ac:dyDescent="0.35">
      <c r="B1844" s="1">
        <v>45734</v>
      </c>
      <c r="C1844" s="2">
        <v>0.75</v>
      </c>
      <c r="D1844">
        <v>5</v>
      </c>
      <c r="E1844">
        <f>IF($D1844 &gt; 16, 0, $J$3*(16 - $D1844))</f>
        <v>2285.2350697076668</v>
      </c>
      <c r="F1844">
        <f>IF($D1844 &gt; 16, 0,$E1844*$J$5)</f>
        <v>24838219.972652629</v>
      </c>
      <c r="G1844">
        <f t="shared" si="28"/>
        <v>11</v>
      </c>
    </row>
    <row r="1845" spans="2:7" x14ac:dyDescent="0.35">
      <c r="B1845" s="1">
        <v>45734</v>
      </c>
      <c r="C1845" s="2">
        <v>0.79166666666666663</v>
      </c>
      <c r="D1845">
        <v>1.3</v>
      </c>
      <c r="E1845">
        <f>IF($D1845 &gt; 16, 0, $J$3*(16 - $D1845))</f>
        <v>3053.9050477002456</v>
      </c>
      <c r="F1845">
        <f>IF($D1845 &gt; 16, 0,$E1845*$J$5)</f>
        <v>33192893.963453971</v>
      </c>
      <c r="G1845">
        <f t="shared" si="28"/>
        <v>14.7</v>
      </c>
    </row>
    <row r="1846" spans="2:7" x14ac:dyDescent="0.35">
      <c r="B1846" s="1">
        <v>45734</v>
      </c>
      <c r="C1846" s="2">
        <v>0.83333333333333337</v>
      </c>
      <c r="D1846">
        <v>0.7</v>
      </c>
      <c r="E1846">
        <f>IF($D1846 &gt; 16, 0, $J$3*(16 - $D1846))</f>
        <v>3178.554233320664</v>
      </c>
      <c r="F1846">
        <f>IF($D1846 &gt; 16, 0,$E1846*$J$5)</f>
        <v>34547705.961962298</v>
      </c>
      <c r="G1846">
        <f t="shared" si="28"/>
        <v>15.3</v>
      </c>
    </row>
    <row r="1847" spans="2:7" x14ac:dyDescent="0.35">
      <c r="B1847" s="1">
        <v>45734</v>
      </c>
      <c r="C1847" s="2">
        <v>0.875</v>
      </c>
      <c r="D1847">
        <v>-0.6</v>
      </c>
      <c r="E1847">
        <f>IF($D1847 &gt; 16, 0, $J$3*(16 - $D1847))</f>
        <v>3448.6274688315702</v>
      </c>
      <c r="F1847">
        <f>IF($D1847 &gt; 16, 0,$E1847*$J$5)</f>
        <v>37483131.95873034</v>
      </c>
      <c r="G1847">
        <f t="shared" si="28"/>
        <v>16.600000000000001</v>
      </c>
    </row>
    <row r="1848" spans="2:7" x14ac:dyDescent="0.35">
      <c r="B1848" s="1">
        <v>45734</v>
      </c>
      <c r="C1848" s="2">
        <v>0.91666666666666663</v>
      </c>
      <c r="D1848">
        <v>-1.6</v>
      </c>
      <c r="E1848">
        <f>IF($D1848 &gt; 16, 0, $J$3*(16 - $D1848))</f>
        <v>3656.3761115322673</v>
      </c>
      <c r="F1848">
        <f>IF($D1848 &gt; 16, 0,$E1848*$J$5)</f>
        <v>39741151.956244215</v>
      </c>
      <c r="G1848">
        <f t="shared" si="28"/>
        <v>17.600000000000001</v>
      </c>
    </row>
    <row r="1849" spans="2:7" x14ac:dyDescent="0.35">
      <c r="B1849" s="1">
        <v>45734</v>
      </c>
      <c r="C1849" s="2">
        <v>0.95833333333333337</v>
      </c>
      <c r="D1849">
        <v>-1.6</v>
      </c>
      <c r="E1849">
        <f>IF($D1849 &gt; 16, 0, $J$3*(16 - $D1849))</f>
        <v>3656.3761115322673</v>
      </c>
      <c r="F1849">
        <f>IF($D1849 &gt; 16, 0,$E1849*$J$5)</f>
        <v>39741151.956244215</v>
      </c>
      <c r="G1849">
        <f t="shared" si="28"/>
        <v>17.600000000000001</v>
      </c>
    </row>
    <row r="1850" spans="2:7" x14ac:dyDescent="0.35">
      <c r="B1850" s="1">
        <v>45735</v>
      </c>
      <c r="C1850" s="2">
        <v>0</v>
      </c>
      <c r="D1850">
        <v>-3</v>
      </c>
      <c r="E1850">
        <f>IF($D1850 &gt; 16, 0, $J$3*(16 - $D1850))</f>
        <v>3947.2242113132429</v>
      </c>
      <c r="F1850">
        <f>IF($D1850 &gt; 16, 0,$E1850*$J$5)</f>
        <v>42902379.952763639</v>
      </c>
      <c r="G1850">
        <f t="shared" si="28"/>
        <v>19</v>
      </c>
    </row>
    <row r="1851" spans="2:7" x14ac:dyDescent="0.35">
      <c r="B1851" s="1">
        <v>45735</v>
      </c>
      <c r="C1851" s="2">
        <v>4.1666666666666657E-2</v>
      </c>
      <c r="D1851">
        <v>-2.7</v>
      </c>
      <c r="E1851">
        <f>IF($D1851 &gt; 16, 0, $J$3*(16 - $D1851))</f>
        <v>3884.8996185030337</v>
      </c>
      <c r="F1851">
        <f>IF($D1851 &gt; 16, 0,$E1851*$J$5)</f>
        <v>42224973.953509472</v>
      </c>
      <c r="G1851">
        <f t="shared" si="28"/>
        <v>18.7</v>
      </c>
    </row>
    <row r="1852" spans="2:7" x14ac:dyDescent="0.35">
      <c r="B1852" s="1">
        <v>45735</v>
      </c>
      <c r="C1852" s="2">
        <v>8.3333333333333329E-2</v>
      </c>
      <c r="D1852">
        <v>-3.2</v>
      </c>
      <c r="E1852">
        <f>IF($D1852 &gt; 16, 0, $J$3*(16 - $D1852))</f>
        <v>3988.7739398533822</v>
      </c>
      <c r="F1852">
        <f>IF($D1852 &gt; 16, 0,$E1852*$J$5)</f>
        <v>43353983.95226641</v>
      </c>
      <c r="G1852">
        <f t="shared" si="28"/>
        <v>19.2</v>
      </c>
    </row>
    <row r="1853" spans="2:7" x14ac:dyDescent="0.35">
      <c r="B1853" s="1">
        <v>45735</v>
      </c>
      <c r="C1853" s="2">
        <v>0.125</v>
      </c>
      <c r="D1853">
        <v>-3.9</v>
      </c>
      <c r="E1853">
        <f>IF($D1853 &gt; 16, 0, $J$3*(16 - $D1853))</f>
        <v>4134.1979897438696</v>
      </c>
      <c r="F1853">
        <f>IF($D1853 &gt; 16, 0,$E1853*$J$5)</f>
        <v>44934597.950526118</v>
      </c>
      <c r="G1853">
        <f t="shared" si="28"/>
        <v>19.899999999999999</v>
      </c>
    </row>
    <row r="1854" spans="2:7" x14ac:dyDescent="0.35">
      <c r="B1854" s="1">
        <v>45735</v>
      </c>
      <c r="C1854" s="2">
        <v>0.16666666666666671</v>
      </c>
      <c r="D1854">
        <v>-3.6</v>
      </c>
      <c r="E1854">
        <f>IF($D1854 &gt; 16, 0, $J$3*(16 - $D1854))</f>
        <v>4071.8733969336613</v>
      </c>
      <c r="F1854">
        <f>IF($D1854 &gt; 16, 0,$E1854*$J$5)</f>
        <v>44257191.951271966</v>
      </c>
      <c r="G1854">
        <f t="shared" si="28"/>
        <v>19.600000000000001</v>
      </c>
    </row>
    <row r="1855" spans="2:7" x14ac:dyDescent="0.35">
      <c r="B1855" s="1">
        <v>45735</v>
      </c>
      <c r="C1855" s="2">
        <v>0.20833333333333329</v>
      </c>
      <c r="D1855">
        <v>-3.1</v>
      </c>
      <c r="E1855">
        <f>IF($D1855 &gt; 16, 0, $J$3*(16 - $D1855))</f>
        <v>3967.9990755833128</v>
      </c>
      <c r="F1855">
        <f>IF($D1855 &gt; 16, 0,$E1855*$J$5)</f>
        <v>43128181.952515028</v>
      </c>
      <c r="G1855">
        <f t="shared" si="28"/>
        <v>19.100000000000001</v>
      </c>
    </row>
    <row r="1856" spans="2:7" x14ac:dyDescent="0.35">
      <c r="B1856" s="1">
        <v>45735</v>
      </c>
      <c r="C1856" s="2">
        <v>0.25</v>
      </c>
      <c r="D1856">
        <v>-2.2999999999999998</v>
      </c>
      <c r="E1856">
        <f>IF($D1856 &gt; 16, 0, $J$3*(16 - $D1856))</f>
        <v>3801.8001614227551</v>
      </c>
      <c r="F1856">
        <f>IF($D1856 &gt; 16, 0,$E1856*$J$5)</f>
        <v>41321765.954503924</v>
      </c>
      <c r="G1856">
        <f t="shared" si="28"/>
        <v>18.3</v>
      </c>
    </row>
    <row r="1857" spans="2:7" x14ac:dyDescent="0.35">
      <c r="B1857" s="1">
        <v>45735</v>
      </c>
      <c r="C1857" s="2">
        <v>0.29166666666666669</v>
      </c>
      <c r="D1857">
        <v>0.6</v>
      </c>
      <c r="E1857">
        <f>IF($D1857 &gt; 16, 0, $J$3*(16 - $D1857))</f>
        <v>3199.3290975907339</v>
      </c>
      <c r="F1857">
        <f>IF($D1857 &gt; 16, 0,$E1857*$J$5)</f>
        <v>34773507.961713687</v>
      </c>
      <c r="G1857">
        <f t="shared" si="28"/>
        <v>15.4</v>
      </c>
    </row>
    <row r="1858" spans="2:7" x14ac:dyDescent="0.35">
      <c r="B1858" s="1">
        <v>45735</v>
      </c>
      <c r="C1858" s="2">
        <v>0.33333333333333331</v>
      </c>
      <c r="D1858">
        <v>3.3</v>
      </c>
      <c r="E1858">
        <f>IF($D1858 &gt; 16, 0, $J$3*(16 - $D1858))</f>
        <v>2638.4077622988516</v>
      </c>
      <c r="F1858">
        <f>IF($D1858 &gt; 16, 0,$E1858*$J$5)</f>
        <v>28676853.968426216</v>
      </c>
      <c r="G1858">
        <f t="shared" si="28"/>
        <v>12.7</v>
      </c>
    </row>
    <row r="1859" spans="2:7" x14ac:dyDescent="0.35">
      <c r="B1859" s="1">
        <v>45735</v>
      </c>
      <c r="C1859" s="2">
        <v>0.375</v>
      </c>
      <c r="D1859">
        <v>6.2</v>
      </c>
      <c r="E1859">
        <f>IF($D1859 &gt; 16, 0, $J$3*(16 - $D1859))</f>
        <v>2035.9366984668306</v>
      </c>
      <c r="F1859">
        <f>IF($D1859 &gt; 16, 0,$E1859*$J$5)</f>
        <v>22128595.975635983</v>
      </c>
      <c r="G1859">
        <f t="shared" ref="G1859:G1922" si="29">MAX(0, 16 - $D1859)</f>
        <v>9.8000000000000007</v>
      </c>
    </row>
    <row r="1860" spans="2:7" x14ac:dyDescent="0.35">
      <c r="B1860" s="1">
        <v>45735</v>
      </c>
      <c r="C1860" s="2">
        <v>0.41666666666666669</v>
      </c>
      <c r="D1860">
        <v>8.5</v>
      </c>
      <c r="E1860">
        <f>IF($D1860 &gt; 16, 0, $J$3*(16 - $D1860))</f>
        <v>1558.1148202552274</v>
      </c>
      <c r="F1860">
        <f>IF($D1860 &gt; 16, 0,$E1860*$J$5)</f>
        <v>16935149.981354065</v>
      </c>
      <c r="G1860">
        <f t="shared" si="29"/>
        <v>7.5</v>
      </c>
    </row>
    <row r="1861" spans="2:7" x14ac:dyDescent="0.35">
      <c r="B1861" s="1">
        <v>45735</v>
      </c>
      <c r="C1861" s="2">
        <v>0.45833333333333331</v>
      </c>
      <c r="D1861">
        <v>10.3</v>
      </c>
      <c r="E1861">
        <f>IF($D1861 &gt; 16, 0, $J$3*(16 - $D1861))</f>
        <v>1184.1672633939727</v>
      </c>
      <c r="F1861">
        <f>IF($D1861 &gt; 16, 0,$E1861*$J$5)</f>
        <v>12870713.985829089</v>
      </c>
      <c r="G1861">
        <f t="shared" si="29"/>
        <v>5.6999999999999993</v>
      </c>
    </row>
    <row r="1862" spans="2:7" x14ac:dyDescent="0.35">
      <c r="B1862" s="1">
        <v>45735</v>
      </c>
      <c r="C1862" s="2">
        <v>0.5</v>
      </c>
      <c r="D1862">
        <v>11.6</v>
      </c>
      <c r="E1862">
        <f>IF($D1862 &gt; 16, 0, $J$3*(16 - $D1862))</f>
        <v>914.09402788306681</v>
      </c>
      <c r="F1862">
        <f>IF($D1862 &gt; 16, 0,$E1862*$J$5)</f>
        <v>9935287.9890610538</v>
      </c>
      <c r="G1862">
        <f t="shared" si="29"/>
        <v>4.4000000000000004</v>
      </c>
    </row>
    <row r="1863" spans="2:7" x14ac:dyDescent="0.35">
      <c r="B1863" s="1">
        <v>45735</v>
      </c>
      <c r="C1863" s="2">
        <v>0.54166666666666663</v>
      </c>
      <c r="D1863">
        <v>13</v>
      </c>
      <c r="E1863">
        <f>IF($D1863 &gt; 16, 0, $J$3*(16 - $D1863))</f>
        <v>623.24592810209094</v>
      </c>
      <c r="F1863">
        <f>IF($D1863 &gt; 16, 0,$E1863*$J$5)</f>
        <v>6774059.9925416261</v>
      </c>
      <c r="G1863">
        <f t="shared" si="29"/>
        <v>3</v>
      </c>
    </row>
    <row r="1864" spans="2:7" x14ac:dyDescent="0.35">
      <c r="B1864" s="1">
        <v>45735</v>
      </c>
      <c r="C1864" s="2">
        <v>0.58333333333333337</v>
      </c>
      <c r="D1864">
        <v>13.3</v>
      </c>
      <c r="E1864">
        <f>IF($D1864 &gt; 16, 0, $J$3*(16 - $D1864))</f>
        <v>560.92133529188175</v>
      </c>
      <c r="F1864">
        <f>IF($D1864 &gt; 16, 0,$E1864*$J$5)</f>
        <v>6096653.9932874627</v>
      </c>
      <c r="G1864">
        <f t="shared" si="29"/>
        <v>2.6999999999999993</v>
      </c>
    </row>
    <row r="1865" spans="2:7" x14ac:dyDescent="0.35">
      <c r="B1865" s="1">
        <v>45735</v>
      </c>
      <c r="C1865" s="2">
        <v>0.625</v>
      </c>
      <c r="D1865">
        <v>14.1</v>
      </c>
      <c r="E1865">
        <f>IF($D1865 &gt; 16, 0, $J$3*(16 - $D1865))</f>
        <v>394.72242113132438</v>
      </c>
      <c r="F1865">
        <f>IF($D1865 &gt; 16, 0,$E1865*$J$5)</f>
        <v>4290237.9952763645</v>
      </c>
      <c r="G1865">
        <f t="shared" si="29"/>
        <v>1.9000000000000004</v>
      </c>
    </row>
    <row r="1866" spans="2:7" x14ac:dyDescent="0.35">
      <c r="B1866" s="1">
        <v>45735</v>
      </c>
      <c r="C1866" s="2">
        <v>0.66666666666666663</v>
      </c>
      <c r="D1866">
        <v>14.3</v>
      </c>
      <c r="E1866">
        <f>IF($D1866 &gt; 16, 0, $J$3*(16 - $D1866))</f>
        <v>353.17269259118473</v>
      </c>
      <c r="F1866">
        <f>IF($D1866 &gt; 16, 0,$E1866*$J$5)</f>
        <v>3838633.9957735869</v>
      </c>
      <c r="G1866">
        <f t="shared" si="29"/>
        <v>1.6999999999999993</v>
      </c>
    </row>
    <row r="1867" spans="2:7" x14ac:dyDescent="0.35">
      <c r="B1867" s="1">
        <v>45735</v>
      </c>
      <c r="C1867" s="2">
        <v>0.70833333333333337</v>
      </c>
      <c r="D1867">
        <v>12.9</v>
      </c>
      <c r="E1867">
        <f>IF($D1867 &gt; 16, 0, $J$3*(16 - $D1867))</f>
        <v>644.0207923721606</v>
      </c>
      <c r="F1867">
        <f>IF($D1867 &gt; 16, 0,$E1867*$J$5)</f>
        <v>6999861.9922930133</v>
      </c>
      <c r="G1867">
        <f t="shared" si="29"/>
        <v>3.0999999999999996</v>
      </c>
    </row>
    <row r="1868" spans="2:7" x14ac:dyDescent="0.35">
      <c r="B1868" s="1">
        <v>45735</v>
      </c>
      <c r="C1868" s="2">
        <v>0.75</v>
      </c>
      <c r="D1868">
        <v>11.2</v>
      </c>
      <c r="E1868">
        <f>IF($D1868 &gt; 16, 0, $J$3*(16 - $D1868))</f>
        <v>997.19348496334567</v>
      </c>
      <c r="F1868">
        <f>IF($D1868 &gt; 16, 0,$E1868*$J$5)</f>
        <v>10838495.988066604</v>
      </c>
      <c r="G1868">
        <f t="shared" si="29"/>
        <v>4.8000000000000007</v>
      </c>
    </row>
    <row r="1869" spans="2:7" x14ac:dyDescent="0.35">
      <c r="B1869" s="1">
        <v>45735</v>
      </c>
      <c r="C1869" s="2">
        <v>0.79166666666666663</v>
      </c>
      <c r="D1869">
        <v>9.4</v>
      </c>
      <c r="E1869">
        <f>IF($D1869 &gt; 16, 0, $J$3*(16 - $D1869))</f>
        <v>1371.1410418246001</v>
      </c>
      <c r="F1869">
        <f>IF($D1869 &gt; 16, 0,$E1869*$J$5)</f>
        <v>14902931.983591577</v>
      </c>
      <c r="G1869">
        <f t="shared" si="29"/>
        <v>6.6</v>
      </c>
    </row>
    <row r="1870" spans="2:7" x14ac:dyDescent="0.35">
      <c r="B1870" s="1">
        <v>45735</v>
      </c>
      <c r="C1870" s="2">
        <v>0.83333333333333337</v>
      </c>
      <c r="D1870">
        <v>6.4</v>
      </c>
      <c r="E1870">
        <f>IF($D1870 &gt; 16, 0, $J$3*(16 - $D1870))</f>
        <v>1994.3869699266911</v>
      </c>
      <c r="F1870">
        <f>IF($D1870 &gt; 16, 0,$E1870*$J$5)</f>
        <v>21676991.976133205</v>
      </c>
      <c r="G1870">
        <f t="shared" si="29"/>
        <v>9.6</v>
      </c>
    </row>
    <row r="1871" spans="2:7" x14ac:dyDescent="0.35">
      <c r="B1871" s="1">
        <v>45735</v>
      </c>
      <c r="C1871" s="2">
        <v>0.875</v>
      </c>
      <c r="D1871">
        <v>6.6</v>
      </c>
      <c r="E1871">
        <f>IF($D1871 &gt; 16, 0, $J$3*(16 - $D1871))</f>
        <v>1952.8372413865518</v>
      </c>
      <c r="F1871">
        <f>IF($D1871 &gt; 16, 0,$E1871*$J$5)</f>
        <v>21225387.976630431</v>
      </c>
      <c r="G1871">
        <f t="shared" si="29"/>
        <v>9.4</v>
      </c>
    </row>
    <row r="1872" spans="2:7" x14ac:dyDescent="0.35">
      <c r="B1872" s="1">
        <v>45735</v>
      </c>
      <c r="C1872" s="2">
        <v>0.91666666666666663</v>
      </c>
      <c r="D1872">
        <v>4.5</v>
      </c>
      <c r="E1872">
        <f>IF($D1872 &gt; 16, 0, $J$3*(16 - $D1872))</f>
        <v>2389.1093910580153</v>
      </c>
      <c r="F1872">
        <f>IF($D1872 &gt; 16, 0,$E1872*$J$5)</f>
        <v>25967229.971409567</v>
      </c>
      <c r="G1872">
        <f t="shared" si="29"/>
        <v>11.5</v>
      </c>
    </row>
    <row r="1873" spans="2:7" x14ac:dyDescent="0.35">
      <c r="B1873" s="1">
        <v>45735</v>
      </c>
      <c r="C1873" s="2">
        <v>0.95833333333333337</v>
      </c>
      <c r="D1873">
        <v>3.6</v>
      </c>
      <c r="E1873">
        <f>IF($D1873 &gt; 16, 0, $J$3*(16 - $D1873))</f>
        <v>2576.0831694886429</v>
      </c>
      <c r="F1873">
        <f>IF($D1873 &gt; 16, 0,$E1873*$J$5)</f>
        <v>27999447.96917206</v>
      </c>
      <c r="G1873">
        <f t="shared" si="29"/>
        <v>12.4</v>
      </c>
    </row>
    <row r="1874" spans="2:7" x14ac:dyDescent="0.35">
      <c r="B1874" s="1">
        <v>45736</v>
      </c>
      <c r="C1874" s="2">
        <v>0</v>
      </c>
      <c r="D1874">
        <v>1</v>
      </c>
      <c r="E1874">
        <f>IF($D1874 &gt; 16, 0, $J$3*(16 - $D1874))</f>
        <v>3116.2296405104548</v>
      </c>
      <c r="F1874">
        <f>IF($D1874 &gt; 16, 0,$E1874*$J$5)</f>
        <v>33870299.96270813</v>
      </c>
      <c r="G1874">
        <f t="shared" si="29"/>
        <v>15</v>
      </c>
    </row>
    <row r="1875" spans="2:7" x14ac:dyDescent="0.35">
      <c r="B1875" s="1">
        <v>45736</v>
      </c>
      <c r="C1875" s="2">
        <v>4.1666666666666657E-2</v>
      </c>
      <c r="D1875">
        <v>0.2</v>
      </c>
      <c r="E1875">
        <f>IF($D1875 &gt; 16, 0, $J$3*(16 - $D1875))</f>
        <v>3282.4285546710125</v>
      </c>
      <c r="F1875">
        <f>IF($D1875 &gt; 16, 0,$E1875*$J$5)</f>
        <v>35676715.960719235</v>
      </c>
      <c r="G1875">
        <f t="shared" si="29"/>
        <v>15.8</v>
      </c>
    </row>
    <row r="1876" spans="2:7" x14ac:dyDescent="0.35">
      <c r="B1876" s="1">
        <v>45736</v>
      </c>
      <c r="C1876" s="2">
        <v>8.3333333333333329E-2</v>
      </c>
      <c r="D1876">
        <v>-0.5</v>
      </c>
      <c r="E1876">
        <f>IF($D1876 &gt; 16, 0, $J$3*(16 - $D1876))</f>
        <v>3427.8526045615004</v>
      </c>
      <c r="F1876">
        <f>IF($D1876 &gt; 16, 0,$E1876*$J$5)</f>
        <v>37257329.958978951</v>
      </c>
      <c r="G1876">
        <f t="shared" si="29"/>
        <v>16.5</v>
      </c>
    </row>
    <row r="1877" spans="2:7" x14ac:dyDescent="0.35">
      <c r="B1877" s="1">
        <v>45736</v>
      </c>
      <c r="C1877" s="2">
        <v>0.125</v>
      </c>
      <c r="D1877">
        <v>-1.4</v>
      </c>
      <c r="E1877">
        <f>IF($D1877 &gt; 16, 0, $J$3*(16 - $D1877))</f>
        <v>3614.8263829921275</v>
      </c>
      <c r="F1877">
        <f>IF($D1877 &gt; 16, 0,$E1877*$J$5)</f>
        <v>39289547.956741437</v>
      </c>
      <c r="G1877">
        <f t="shared" si="29"/>
        <v>17.399999999999999</v>
      </c>
    </row>
    <row r="1878" spans="2:7" x14ac:dyDescent="0.35">
      <c r="B1878" s="1">
        <v>45736</v>
      </c>
      <c r="C1878" s="2">
        <v>0.16666666666666671</v>
      </c>
      <c r="D1878">
        <v>0</v>
      </c>
      <c r="E1878">
        <f>IF($D1878 &gt; 16, 0, $J$3*(16 - $D1878))</f>
        <v>3323.9782832111518</v>
      </c>
      <c r="F1878">
        <f>IF($D1878 &gt; 16, 0,$E1878*$J$5)</f>
        <v>36128319.960222006</v>
      </c>
      <c r="G1878">
        <f t="shared" si="29"/>
        <v>16</v>
      </c>
    </row>
    <row r="1879" spans="2:7" x14ac:dyDescent="0.35">
      <c r="B1879" s="1">
        <v>45736</v>
      </c>
      <c r="C1879" s="2">
        <v>0.20833333333333329</v>
      </c>
      <c r="D1879">
        <v>0.4</v>
      </c>
      <c r="E1879">
        <f>IF($D1879 &gt; 16, 0, $J$3*(16 - $D1879))</f>
        <v>3240.8788261308728</v>
      </c>
      <c r="F1879">
        <f>IF($D1879 &gt; 16, 0,$E1879*$J$5)</f>
        <v>35225111.961216457</v>
      </c>
      <c r="G1879">
        <f t="shared" si="29"/>
        <v>15.6</v>
      </c>
    </row>
    <row r="1880" spans="2:7" x14ac:dyDescent="0.35">
      <c r="B1880" s="1">
        <v>45736</v>
      </c>
      <c r="C1880" s="2">
        <v>0.25</v>
      </c>
      <c r="D1880">
        <v>0.8</v>
      </c>
      <c r="E1880">
        <f>IF($D1880 &gt; 16, 0, $J$3*(16 - $D1880))</f>
        <v>3157.7793690505941</v>
      </c>
      <c r="F1880">
        <f>IF($D1880 &gt; 16, 0,$E1880*$J$5)</f>
        <v>34321903.962210909</v>
      </c>
      <c r="G1880">
        <f t="shared" si="29"/>
        <v>15.2</v>
      </c>
    </row>
    <row r="1881" spans="2:7" x14ac:dyDescent="0.35">
      <c r="B1881" s="1">
        <v>45736</v>
      </c>
      <c r="C1881" s="2">
        <v>0.29166666666666669</v>
      </c>
      <c r="D1881">
        <v>4</v>
      </c>
      <c r="E1881">
        <f>IF($D1881 &gt; 16, 0, $J$3*(16 - $D1881))</f>
        <v>2492.9837124083638</v>
      </c>
      <c r="F1881">
        <f>IF($D1881 &gt; 16, 0,$E1881*$J$5)</f>
        <v>27096239.970166504</v>
      </c>
      <c r="G1881">
        <f t="shared" si="29"/>
        <v>12</v>
      </c>
    </row>
    <row r="1882" spans="2:7" x14ac:dyDescent="0.35">
      <c r="B1882" s="1">
        <v>45736</v>
      </c>
      <c r="C1882" s="2">
        <v>0.33333333333333331</v>
      </c>
      <c r="D1882">
        <v>7.5</v>
      </c>
      <c r="E1882">
        <f>IF($D1882 &gt; 16, 0, $J$3*(16 - $D1882))</f>
        <v>1765.8634629559244</v>
      </c>
      <c r="F1882">
        <f>IF($D1882 &gt; 16, 0,$E1882*$J$5)</f>
        <v>19193169.978867944</v>
      </c>
      <c r="G1882">
        <f t="shared" si="29"/>
        <v>8.5</v>
      </c>
    </row>
    <row r="1883" spans="2:7" x14ac:dyDescent="0.35">
      <c r="B1883" s="1">
        <v>45736</v>
      </c>
      <c r="C1883" s="2">
        <v>0.375</v>
      </c>
      <c r="D1883">
        <v>10.5</v>
      </c>
      <c r="E1883">
        <f>IF($D1883 &gt; 16, 0, $J$3*(16 - $D1883))</f>
        <v>1142.6175348538334</v>
      </c>
      <c r="F1883">
        <f>IF($D1883 &gt; 16, 0,$E1883*$J$5)</f>
        <v>12419109.986326315</v>
      </c>
      <c r="G1883">
        <f t="shared" si="29"/>
        <v>5.5</v>
      </c>
    </row>
    <row r="1884" spans="2:7" x14ac:dyDescent="0.35">
      <c r="B1884" s="1">
        <v>45736</v>
      </c>
      <c r="C1884" s="2">
        <v>0.41666666666666669</v>
      </c>
      <c r="D1884">
        <v>13.2</v>
      </c>
      <c r="E1884">
        <f>IF($D1884 &gt; 16, 0, $J$3*(16 - $D1884))</f>
        <v>581.69619956195174</v>
      </c>
      <c r="F1884">
        <f>IF($D1884 &gt; 16, 0,$E1884*$J$5)</f>
        <v>6322455.9930388536</v>
      </c>
      <c r="G1884">
        <f t="shared" si="29"/>
        <v>2.8000000000000007</v>
      </c>
    </row>
    <row r="1885" spans="2:7" x14ac:dyDescent="0.35">
      <c r="B1885" s="1">
        <v>45736</v>
      </c>
      <c r="C1885" s="2">
        <v>0.45833333333333331</v>
      </c>
      <c r="D1885">
        <v>16.600000000000001</v>
      </c>
      <c r="E1885">
        <f>IF($D1885 &gt; 16, 0, $J$3*(16 - $D1885))</f>
        <v>0</v>
      </c>
      <c r="F1885">
        <f>IF($D1885 &gt; 16, 0,$E1885*$J$5)</f>
        <v>0</v>
      </c>
      <c r="G1885">
        <f t="shared" si="29"/>
        <v>0</v>
      </c>
    </row>
    <row r="1886" spans="2:7" x14ac:dyDescent="0.35">
      <c r="B1886" s="1">
        <v>45736</v>
      </c>
      <c r="C1886" s="2">
        <v>0.5</v>
      </c>
      <c r="D1886">
        <v>17.600000000000001</v>
      </c>
      <c r="E1886">
        <f>IF($D1886 &gt; 16, 0, $J$3*(16 - $D1886))</f>
        <v>0</v>
      </c>
      <c r="F1886">
        <f>IF($D1886 &gt; 16, 0,$E1886*$J$5)</f>
        <v>0</v>
      </c>
      <c r="G1886">
        <f t="shared" si="29"/>
        <v>0</v>
      </c>
    </row>
    <row r="1887" spans="2:7" x14ac:dyDescent="0.35">
      <c r="B1887" s="1">
        <v>45736</v>
      </c>
      <c r="C1887" s="2">
        <v>0.54166666666666663</v>
      </c>
      <c r="D1887">
        <v>17.899999999999999</v>
      </c>
      <c r="E1887">
        <f>IF($D1887 &gt; 16, 0, $J$3*(16 - $D1887))</f>
        <v>0</v>
      </c>
      <c r="F1887">
        <f>IF($D1887 &gt; 16, 0,$E1887*$J$5)</f>
        <v>0</v>
      </c>
      <c r="G1887">
        <f t="shared" si="29"/>
        <v>0</v>
      </c>
    </row>
    <row r="1888" spans="2:7" x14ac:dyDescent="0.35">
      <c r="B1888" s="1">
        <v>45736</v>
      </c>
      <c r="C1888" s="2">
        <v>0.58333333333333337</v>
      </c>
      <c r="D1888">
        <v>17.399999999999999</v>
      </c>
      <c r="E1888">
        <f>IF($D1888 &gt; 16, 0, $J$3*(16 - $D1888))</f>
        <v>0</v>
      </c>
      <c r="F1888">
        <f>IF($D1888 &gt; 16, 0,$E1888*$J$5)</f>
        <v>0</v>
      </c>
      <c r="G1888">
        <f t="shared" si="29"/>
        <v>0</v>
      </c>
    </row>
    <row r="1889" spans="2:7" x14ac:dyDescent="0.35">
      <c r="B1889" s="1">
        <v>45736</v>
      </c>
      <c r="C1889" s="2">
        <v>0.625</v>
      </c>
      <c r="D1889">
        <v>17.3</v>
      </c>
      <c r="E1889">
        <f>IF($D1889 &gt; 16, 0, $J$3*(16 - $D1889))</f>
        <v>0</v>
      </c>
      <c r="F1889">
        <f>IF($D1889 &gt; 16, 0,$E1889*$J$5)</f>
        <v>0</v>
      </c>
      <c r="G1889">
        <f t="shared" si="29"/>
        <v>0</v>
      </c>
    </row>
    <row r="1890" spans="2:7" x14ac:dyDescent="0.35">
      <c r="B1890" s="1">
        <v>45736</v>
      </c>
      <c r="C1890" s="2">
        <v>0.66666666666666663</v>
      </c>
      <c r="D1890">
        <v>17.399999999999999</v>
      </c>
      <c r="E1890">
        <f>IF($D1890 &gt; 16, 0, $J$3*(16 - $D1890))</f>
        <v>0</v>
      </c>
      <c r="F1890">
        <f>IF($D1890 &gt; 16, 0,$E1890*$J$5)</f>
        <v>0</v>
      </c>
      <c r="G1890">
        <f t="shared" si="29"/>
        <v>0</v>
      </c>
    </row>
    <row r="1891" spans="2:7" x14ac:dyDescent="0.35">
      <c r="B1891" s="1">
        <v>45736</v>
      </c>
      <c r="C1891" s="2">
        <v>0.70833333333333337</v>
      </c>
      <c r="D1891">
        <v>15.7</v>
      </c>
      <c r="E1891">
        <f>IF($D1891 &gt; 16, 0, $J$3*(16 - $D1891))</f>
        <v>62.324592810209246</v>
      </c>
      <c r="F1891">
        <f>IF($D1891 &gt; 16, 0,$E1891*$J$5)</f>
        <v>677405.99925416429</v>
      </c>
      <c r="G1891">
        <f t="shared" si="29"/>
        <v>0.30000000000000071</v>
      </c>
    </row>
    <row r="1892" spans="2:7" x14ac:dyDescent="0.35">
      <c r="B1892" s="1">
        <v>45736</v>
      </c>
      <c r="C1892" s="2">
        <v>0.75</v>
      </c>
      <c r="D1892">
        <v>13.8</v>
      </c>
      <c r="E1892">
        <f>IF($D1892 &gt; 16, 0, $J$3*(16 - $D1892))</f>
        <v>457.04701394153324</v>
      </c>
      <c r="F1892">
        <f>IF($D1892 &gt; 16, 0,$E1892*$J$5)</f>
        <v>4967643.9945305251</v>
      </c>
      <c r="G1892">
        <f t="shared" si="29"/>
        <v>2.1999999999999993</v>
      </c>
    </row>
    <row r="1893" spans="2:7" x14ac:dyDescent="0.35">
      <c r="B1893" s="1">
        <v>45736</v>
      </c>
      <c r="C1893" s="2">
        <v>0.79166666666666663</v>
      </c>
      <c r="D1893">
        <v>8.5</v>
      </c>
      <c r="E1893">
        <f>IF($D1893 &gt; 16, 0, $J$3*(16 - $D1893))</f>
        <v>1558.1148202552274</v>
      </c>
      <c r="F1893">
        <f>IF($D1893 &gt; 16, 0,$E1893*$J$5)</f>
        <v>16935149.981354065</v>
      </c>
      <c r="G1893">
        <f t="shared" si="29"/>
        <v>7.5</v>
      </c>
    </row>
    <row r="1894" spans="2:7" x14ac:dyDescent="0.35">
      <c r="B1894" s="1">
        <v>45736</v>
      </c>
      <c r="C1894" s="2">
        <v>0.83333333333333337</v>
      </c>
      <c r="D1894">
        <v>7.2</v>
      </c>
      <c r="E1894">
        <f>IF($D1894 &gt; 16, 0, $J$3*(16 - $D1894))</f>
        <v>1828.1880557661336</v>
      </c>
      <c r="F1894">
        <f>IF($D1894 &gt; 16, 0,$E1894*$J$5)</f>
        <v>19870575.978122108</v>
      </c>
      <c r="G1894">
        <f t="shared" si="29"/>
        <v>8.8000000000000007</v>
      </c>
    </row>
    <row r="1895" spans="2:7" x14ac:dyDescent="0.35">
      <c r="B1895" s="1">
        <v>45736</v>
      </c>
      <c r="C1895" s="2">
        <v>0.875</v>
      </c>
      <c r="D1895">
        <v>5.9</v>
      </c>
      <c r="E1895">
        <f>IF($D1895 &gt; 16, 0, $J$3*(16 - $D1895))</f>
        <v>2098.2612912770396</v>
      </c>
      <c r="F1895">
        <f>IF($D1895 &gt; 16, 0,$E1895*$J$5)</f>
        <v>22806001.974890143</v>
      </c>
      <c r="G1895">
        <f t="shared" si="29"/>
        <v>10.1</v>
      </c>
    </row>
    <row r="1896" spans="2:7" x14ac:dyDescent="0.35">
      <c r="B1896" s="1">
        <v>45736</v>
      </c>
      <c r="C1896" s="2">
        <v>0.91666666666666663</v>
      </c>
      <c r="D1896">
        <v>4.8</v>
      </c>
      <c r="E1896">
        <f>IF($D1896 &gt; 16, 0, $J$3*(16 - $D1896))</f>
        <v>2326.7847982478061</v>
      </c>
      <c r="F1896">
        <f>IF($D1896 &gt; 16, 0,$E1896*$J$5)</f>
        <v>25289823.972155403</v>
      </c>
      <c r="G1896">
        <f t="shared" si="29"/>
        <v>11.2</v>
      </c>
    </row>
    <row r="1897" spans="2:7" x14ac:dyDescent="0.35">
      <c r="B1897" s="1">
        <v>45736</v>
      </c>
      <c r="C1897" s="2">
        <v>0.95833333333333337</v>
      </c>
      <c r="D1897">
        <v>3.9</v>
      </c>
      <c r="E1897">
        <f>IF($D1897 &gt; 16, 0, $J$3*(16 - $D1897))</f>
        <v>2513.7585766784337</v>
      </c>
      <c r="F1897">
        <f>IF($D1897 &gt; 16, 0,$E1897*$J$5)</f>
        <v>27322041.969917897</v>
      </c>
      <c r="G1897">
        <f t="shared" si="29"/>
        <v>12.1</v>
      </c>
    </row>
    <row r="1898" spans="2:7" x14ac:dyDescent="0.35">
      <c r="B1898" s="1">
        <v>45737</v>
      </c>
      <c r="C1898" s="2">
        <v>0</v>
      </c>
      <c r="D1898">
        <v>2.9</v>
      </c>
      <c r="E1898">
        <f>IF($D1898 &gt; 16, 0, $J$3*(16 - $D1898))</f>
        <v>2721.5072193791307</v>
      </c>
      <c r="F1898">
        <f>IF($D1898 &gt; 16, 0,$E1898*$J$5)</f>
        <v>29580061.967431773</v>
      </c>
      <c r="G1898">
        <f t="shared" si="29"/>
        <v>13.1</v>
      </c>
    </row>
    <row r="1899" spans="2:7" x14ac:dyDescent="0.35">
      <c r="B1899" s="1">
        <v>45737</v>
      </c>
      <c r="C1899" s="2">
        <v>4.1666666666666657E-2</v>
      </c>
      <c r="D1899">
        <v>2.2000000000000002</v>
      </c>
      <c r="E1899">
        <f>IF($D1899 &gt; 16, 0, $J$3*(16 - $D1899))</f>
        <v>2866.9312692696185</v>
      </c>
      <c r="F1899">
        <f>IF($D1899 &gt; 16, 0,$E1899*$J$5)</f>
        <v>31160675.965691485</v>
      </c>
      <c r="G1899">
        <f t="shared" si="29"/>
        <v>13.8</v>
      </c>
    </row>
    <row r="1900" spans="2:7" x14ac:dyDescent="0.35">
      <c r="B1900" s="1">
        <v>45737</v>
      </c>
      <c r="C1900" s="2">
        <v>8.3333333333333329E-2</v>
      </c>
      <c r="D1900">
        <v>1.8</v>
      </c>
      <c r="E1900">
        <f>IF($D1900 &gt; 16, 0, $J$3*(16 - $D1900))</f>
        <v>2950.0307263498971</v>
      </c>
      <c r="F1900">
        <f>IF($D1900 &gt; 16, 0,$E1900*$J$5)</f>
        <v>32063883.964697033</v>
      </c>
      <c r="G1900">
        <f t="shared" si="29"/>
        <v>14.2</v>
      </c>
    </row>
    <row r="1901" spans="2:7" x14ac:dyDescent="0.35">
      <c r="B1901" s="1">
        <v>45737</v>
      </c>
      <c r="C1901" s="2">
        <v>0.125</v>
      </c>
      <c r="D1901">
        <v>0.6</v>
      </c>
      <c r="E1901">
        <f>IF($D1901 &gt; 16, 0, $J$3*(16 - $D1901))</f>
        <v>3199.3290975907339</v>
      </c>
      <c r="F1901">
        <f>IF($D1901 &gt; 16, 0,$E1901*$J$5)</f>
        <v>34773507.961713687</v>
      </c>
      <c r="G1901">
        <f t="shared" si="29"/>
        <v>15.4</v>
      </c>
    </row>
    <row r="1902" spans="2:7" x14ac:dyDescent="0.35">
      <c r="B1902" s="1">
        <v>45737</v>
      </c>
      <c r="C1902" s="2">
        <v>0.16666666666666671</v>
      </c>
      <c r="D1902">
        <v>1.1000000000000001</v>
      </c>
      <c r="E1902">
        <f>IF($D1902 &gt; 16, 0, $J$3*(16 - $D1902))</f>
        <v>3095.4547762403854</v>
      </c>
      <c r="F1902">
        <f>IF($D1902 &gt; 16, 0,$E1902*$J$5)</f>
        <v>33644497.962956749</v>
      </c>
      <c r="G1902">
        <f t="shared" si="29"/>
        <v>14.9</v>
      </c>
    </row>
    <row r="1903" spans="2:7" x14ac:dyDescent="0.35">
      <c r="B1903" s="1">
        <v>45737</v>
      </c>
      <c r="C1903" s="2">
        <v>0.20833333333333329</v>
      </c>
      <c r="D1903">
        <v>2.2999999999999998</v>
      </c>
      <c r="E1903">
        <f>IF($D1903 &gt; 16, 0, $J$3*(16 - $D1903))</f>
        <v>2846.1564049995486</v>
      </c>
      <c r="F1903">
        <f>IF($D1903 &gt; 16, 0,$E1903*$J$5)</f>
        <v>30934873.965940095</v>
      </c>
      <c r="G1903">
        <f t="shared" si="29"/>
        <v>13.7</v>
      </c>
    </row>
    <row r="1904" spans="2:7" x14ac:dyDescent="0.35">
      <c r="B1904" s="1">
        <v>45737</v>
      </c>
      <c r="C1904" s="2">
        <v>0.25</v>
      </c>
      <c r="D1904">
        <v>3.4</v>
      </c>
      <c r="E1904">
        <f>IF($D1904 &gt; 16, 0, $J$3*(16 - $D1904))</f>
        <v>2617.6328980287822</v>
      </c>
      <c r="F1904">
        <f>IF($D1904 &gt; 16, 0,$E1904*$J$5)</f>
        <v>28451051.968674835</v>
      </c>
      <c r="G1904">
        <f t="shared" si="29"/>
        <v>12.6</v>
      </c>
    </row>
    <row r="1905" spans="2:7" x14ac:dyDescent="0.35">
      <c r="B1905" s="1">
        <v>45737</v>
      </c>
      <c r="C1905" s="2">
        <v>0.29166666666666669</v>
      </c>
      <c r="D1905">
        <v>5.8</v>
      </c>
      <c r="E1905">
        <f>IF($D1905 &gt; 16, 0, $J$3*(16 - $D1905))</f>
        <v>2119.036155547109</v>
      </c>
      <c r="F1905">
        <f>IF($D1905 &gt; 16, 0,$E1905*$J$5)</f>
        <v>23031803.974641528</v>
      </c>
      <c r="G1905">
        <f t="shared" si="29"/>
        <v>10.199999999999999</v>
      </c>
    </row>
    <row r="1906" spans="2:7" x14ac:dyDescent="0.35">
      <c r="B1906" s="1">
        <v>45737</v>
      </c>
      <c r="C1906" s="2">
        <v>0.33333333333333331</v>
      </c>
      <c r="D1906">
        <v>9.6999999999999993</v>
      </c>
      <c r="E1906">
        <f>IF($D1906 &gt; 16, 0, $J$3*(16 - $D1906))</f>
        <v>1308.8164490143911</v>
      </c>
      <c r="F1906">
        <f>IF($D1906 &gt; 16, 0,$E1906*$J$5)</f>
        <v>14225525.984337417</v>
      </c>
      <c r="G1906">
        <f t="shared" si="29"/>
        <v>6.3000000000000007</v>
      </c>
    </row>
    <row r="1907" spans="2:7" x14ac:dyDescent="0.35">
      <c r="B1907" s="1">
        <v>45737</v>
      </c>
      <c r="C1907" s="2">
        <v>0.375</v>
      </c>
      <c r="D1907">
        <v>13.1</v>
      </c>
      <c r="E1907">
        <f>IF($D1907 &gt; 16, 0, $J$3*(16 - $D1907))</f>
        <v>602.4710638320214</v>
      </c>
      <c r="F1907">
        <f>IF($D1907 &gt; 16, 0,$E1907*$J$5)</f>
        <v>6548257.9927902408</v>
      </c>
      <c r="G1907">
        <f t="shared" si="29"/>
        <v>2.9000000000000004</v>
      </c>
    </row>
    <row r="1908" spans="2:7" x14ac:dyDescent="0.35">
      <c r="B1908" s="1">
        <v>45737</v>
      </c>
      <c r="C1908" s="2">
        <v>0.41666666666666669</v>
      </c>
      <c r="D1908">
        <v>16.399999999999999</v>
      </c>
      <c r="E1908">
        <f>IF($D1908 &gt; 16, 0, $J$3*(16 - $D1908))</f>
        <v>0</v>
      </c>
      <c r="F1908">
        <f>IF($D1908 &gt; 16, 0,$E1908*$J$5)</f>
        <v>0</v>
      </c>
      <c r="G1908">
        <f t="shared" si="29"/>
        <v>0</v>
      </c>
    </row>
    <row r="1909" spans="2:7" x14ac:dyDescent="0.35">
      <c r="B1909" s="1">
        <v>45737</v>
      </c>
      <c r="C1909" s="2">
        <v>0.45833333333333331</v>
      </c>
      <c r="D1909">
        <v>17.7</v>
      </c>
      <c r="E1909">
        <f>IF($D1909 &gt; 16, 0, $J$3*(16 - $D1909))</f>
        <v>0</v>
      </c>
      <c r="F1909">
        <f>IF($D1909 &gt; 16, 0,$E1909*$J$5)</f>
        <v>0</v>
      </c>
      <c r="G1909">
        <f t="shared" si="29"/>
        <v>0</v>
      </c>
    </row>
    <row r="1910" spans="2:7" x14ac:dyDescent="0.35">
      <c r="B1910" s="1">
        <v>45737</v>
      </c>
      <c r="C1910" s="2">
        <v>0.5</v>
      </c>
      <c r="D1910">
        <v>18.899999999999999</v>
      </c>
      <c r="E1910">
        <f>IF($D1910 &gt; 16, 0, $J$3*(16 - $D1910))</f>
        <v>0</v>
      </c>
      <c r="F1910">
        <f>IF($D1910 &gt; 16, 0,$E1910*$J$5)</f>
        <v>0</v>
      </c>
      <c r="G1910">
        <f t="shared" si="29"/>
        <v>0</v>
      </c>
    </row>
    <row r="1911" spans="2:7" x14ac:dyDescent="0.35">
      <c r="B1911" s="1">
        <v>45737</v>
      </c>
      <c r="C1911" s="2">
        <v>0.54166666666666663</v>
      </c>
      <c r="D1911">
        <v>18.5</v>
      </c>
      <c r="E1911">
        <f>IF($D1911 &gt; 16, 0, $J$3*(16 - $D1911))</f>
        <v>0</v>
      </c>
      <c r="F1911">
        <f>IF($D1911 &gt; 16, 0,$E1911*$J$5)</f>
        <v>0</v>
      </c>
      <c r="G1911">
        <f t="shared" si="29"/>
        <v>0</v>
      </c>
    </row>
    <row r="1912" spans="2:7" x14ac:dyDescent="0.35">
      <c r="B1912" s="1">
        <v>45737</v>
      </c>
      <c r="C1912" s="2">
        <v>0.58333333333333337</v>
      </c>
      <c r="D1912">
        <v>19</v>
      </c>
      <c r="E1912">
        <f>IF($D1912 &gt; 16, 0, $J$3*(16 - $D1912))</f>
        <v>0</v>
      </c>
      <c r="F1912">
        <f>IF($D1912 &gt; 16, 0,$E1912*$J$5)</f>
        <v>0</v>
      </c>
      <c r="G1912">
        <f t="shared" si="29"/>
        <v>0</v>
      </c>
    </row>
    <row r="1913" spans="2:7" x14ac:dyDescent="0.35">
      <c r="B1913" s="1">
        <v>45737</v>
      </c>
      <c r="C1913" s="2">
        <v>0.625</v>
      </c>
      <c r="D1913">
        <v>18.5</v>
      </c>
      <c r="E1913">
        <f>IF($D1913 &gt; 16, 0, $J$3*(16 - $D1913))</f>
        <v>0</v>
      </c>
      <c r="F1913">
        <f>IF($D1913 &gt; 16, 0,$E1913*$J$5)</f>
        <v>0</v>
      </c>
      <c r="G1913">
        <f t="shared" si="29"/>
        <v>0</v>
      </c>
    </row>
    <row r="1914" spans="2:7" x14ac:dyDescent="0.35">
      <c r="B1914" s="1">
        <v>45737</v>
      </c>
      <c r="C1914" s="2">
        <v>0.66666666666666663</v>
      </c>
      <c r="D1914">
        <v>18</v>
      </c>
      <c r="E1914">
        <f>IF($D1914 &gt; 16, 0, $J$3*(16 - $D1914))</f>
        <v>0</v>
      </c>
      <c r="F1914">
        <f>IF($D1914 &gt; 16, 0,$E1914*$J$5)</f>
        <v>0</v>
      </c>
      <c r="G1914">
        <f t="shared" si="29"/>
        <v>0</v>
      </c>
    </row>
    <row r="1915" spans="2:7" x14ac:dyDescent="0.35">
      <c r="B1915" s="1">
        <v>45737</v>
      </c>
      <c r="C1915" s="2">
        <v>0.70833333333333337</v>
      </c>
      <c r="D1915">
        <v>17</v>
      </c>
      <c r="E1915">
        <f>IF($D1915 &gt; 16, 0, $J$3*(16 - $D1915))</f>
        <v>0</v>
      </c>
      <c r="F1915">
        <f>IF($D1915 &gt; 16, 0,$E1915*$J$5)</f>
        <v>0</v>
      </c>
      <c r="G1915">
        <f t="shared" si="29"/>
        <v>0</v>
      </c>
    </row>
    <row r="1916" spans="2:7" x14ac:dyDescent="0.35">
      <c r="B1916" s="1">
        <v>45737</v>
      </c>
      <c r="C1916" s="2">
        <v>0.75</v>
      </c>
      <c r="D1916">
        <v>12</v>
      </c>
      <c r="E1916">
        <f>IF($D1916 &gt; 16, 0, $J$3*(16 - $D1916))</f>
        <v>830.99457080278796</v>
      </c>
      <c r="F1916">
        <f>IF($D1916 &gt; 16, 0,$E1916*$J$5)</f>
        <v>9032079.9900555015</v>
      </c>
      <c r="G1916">
        <f t="shared" si="29"/>
        <v>4</v>
      </c>
    </row>
    <row r="1917" spans="2:7" x14ac:dyDescent="0.35">
      <c r="B1917" s="1">
        <v>45737</v>
      </c>
      <c r="C1917" s="2">
        <v>0.79166666666666663</v>
      </c>
      <c r="D1917">
        <v>9.9</v>
      </c>
      <c r="E1917">
        <f>IF($D1917 &gt; 16, 0, $J$3*(16 - $D1917))</f>
        <v>1267.2667204742515</v>
      </c>
      <c r="F1917">
        <f>IF($D1917 &gt; 16, 0,$E1917*$J$5)</f>
        <v>13773921.984834639</v>
      </c>
      <c r="G1917">
        <f t="shared" si="29"/>
        <v>6.1</v>
      </c>
    </row>
    <row r="1918" spans="2:7" x14ac:dyDescent="0.35">
      <c r="B1918" s="1">
        <v>45737</v>
      </c>
      <c r="C1918" s="2">
        <v>0.83333333333333337</v>
      </c>
      <c r="D1918">
        <v>10</v>
      </c>
      <c r="E1918">
        <f>IF($D1918 &gt; 16, 0, $J$3*(16 - $D1918))</f>
        <v>1246.4918562041819</v>
      </c>
      <c r="F1918">
        <f>IF($D1918 &gt; 16, 0,$E1918*$J$5)</f>
        <v>13548119.985083252</v>
      </c>
      <c r="G1918">
        <f t="shared" si="29"/>
        <v>6</v>
      </c>
    </row>
    <row r="1919" spans="2:7" x14ac:dyDescent="0.35">
      <c r="B1919" s="1">
        <v>45737</v>
      </c>
      <c r="C1919" s="2">
        <v>0.875</v>
      </c>
      <c r="D1919">
        <v>11.3</v>
      </c>
      <c r="E1919">
        <f>IF($D1919 &gt; 16, 0, $J$3*(16 - $D1919))</f>
        <v>976.41862069327567</v>
      </c>
      <c r="F1919">
        <f>IF($D1919 &gt; 16, 0,$E1919*$J$5)</f>
        <v>10612693.988315213</v>
      </c>
      <c r="G1919">
        <f t="shared" si="29"/>
        <v>4.6999999999999993</v>
      </c>
    </row>
    <row r="1920" spans="2:7" x14ac:dyDescent="0.35">
      <c r="B1920" s="1">
        <v>45737</v>
      </c>
      <c r="C1920" s="2">
        <v>0.91666666666666663</v>
      </c>
      <c r="D1920">
        <v>10.199999999999999</v>
      </c>
      <c r="E1920">
        <f>IF($D1920 &gt; 16, 0, $J$3*(16 - $D1920))</f>
        <v>1204.9421276640428</v>
      </c>
      <c r="F1920">
        <f>IF($D1920 &gt; 16, 0,$E1920*$J$5)</f>
        <v>13096515.985580482</v>
      </c>
      <c r="G1920">
        <f t="shared" si="29"/>
        <v>5.8000000000000007</v>
      </c>
    </row>
    <row r="1921" spans="2:7" x14ac:dyDescent="0.35">
      <c r="B1921" s="1">
        <v>45737</v>
      </c>
      <c r="C1921" s="2">
        <v>0.95833333333333337</v>
      </c>
      <c r="D1921">
        <v>9.6</v>
      </c>
      <c r="E1921">
        <f>IF($D1921 &gt; 16, 0, $J$3*(16 - $D1921))</f>
        <v>1329.5913132844607</v>
      </c>
      <c r="F1921">
        <f>IF($D1921 &gt; 16, 0,$E1921*$J$5)</f>
        <v>14451327.984088805</v>
      </c>
      <c r="G1921">
        <f t="shared" si="29"/>
        <v>6.4</v>
      </c>
    </row>
    <row r="1922" spans="2:7" x14ac:dyDescent="0.35">
      <c r="B1922" s="1">
        <v>45738</v>
      </c>
      <c r="C1922" s="2">
        <v>0</v>
      </c>
      <c r="D1922">
        <v>8.6999999999999993</v>
      </c>
      <c r="E1922">
        <f>IF($D1922 &gt; 16, 0, $J$3*(16 - $D1922))</f>
        <v>1516.5650917150881</v>
      </c>
      <c r="F1922">
        <f>IF($D1922 &gt; 16, 0,$E1922*$J$5)</f>
        <v>16483545.981851293</v>
      </c>
      <c r="G1922">
        <f t="shared" si="29"/>
        <v>7.3000000000000007</v>
      </c>
    </row>
    <row r="1923" spans="2:7" x14ac:dyDescent="0.35">
      <c r="B1923" s="1">
        <v>45738</v>
      </c>
      <c r="C1923" s="2">
        <v>4.1666666666666657E-2</v>
      </c>
      <c r="D1923">
        <v>7.6</v>
      </c>
      <c r="E1923">
        <f>IF($D1923 &gt; 16, 0, $J$3*(16 - $D1923))</f>
        <v>1745.0885986858548</v>
      </c>
      <c r="F1923">
        <f>IF($D1923 &gt; 16, 0,$E1923*$J$5)</f>
        <v>18967367.979116555</v>
      </c>
      <c r="G1923">
        <f t="shared" ref="G1923:G1986" si="30">MAX(0, 16 - $D1923)</f>
        <v>8.4</v>
      </c>
    </row>
    <row r="1924" spans="2:7" x14ac:dyDescent="0.35">
      <c r="B1924" s="1">
        <v>45738</v>
      </c>
      <c r="C1924" s="2">
        <v>8.3333333333333329E-2</v>
      </c>
      <c r="D1924">
        <v>6.2</v>
      </c>
      <c r="E1924">
        <f>IF($D1924 &gt; 16, 0, $J$3*(16 - $D1924))</f>
        <v>2035.9366984668306</v>
      </c>
      <c r="F1924">
        <f>IF($D1924 &gt; 16, 0,$E1924*$J$5)</f>
        <v>22128595.975635983</v>
      </c>
      <c r="G1924">
        <f t="shared" si="30"/>
        <v>9.8000000000000007</v>
      </c>
    </row>
    <row r="1925" spans="2:7" x14ac:dyDescent="0.35">
      <c r="B1925" s="1">
        <v>45738</v>
      </c>
      <c r="C1925" s="2">
        <v>0.125</v>
      </c>
      <c r="D1925">
        <v>5.5</v>
      </c>
      <c r="E1925">
        <f>IF($D1925 &gt; 16, 0, $J$3*(16 - $D1925))</f>
        <v>2181.3607483573182</v>
      </c>
      <c r="F1925">
        <f>IF($D1925 &gt; 16, 0,$E1925*$J$5)</f>
        <v>23709209.973895691</v>
      </c>
      <c r="G1925">
        <f t="shared" si="30"/>
        <v>10.5</v>
      </c>
    </row>
    <row r="1926" spans="2:7" x14ac:dyDescent="0.35">
      <c r="B1926" s="1">
        <v>45738</v>
      </c>
      <c r="C1926" s="2">
        <v>0.16666666666666671</v>
      </c>
      <c r="D1926">
        <v>6.1</v>
      </c>
      <c r="E1926">
        <f>IF($D1926 &gt; 16, 0, $J$3*(16 - $D1926))</f>
        <v>2056.7115627369003</v>
      </c>
      <c r="F1926">
        <f>IF($D1926 &gt; 16, 0,$E1926*$J$5)</f>
        <v>22354397.975387368</v>
      </c>
      <c r="G1926">
        <f t="shared" si="30"/>
        <v>9.9</v>
      </c>
    </row>
    <row r="1927" spans="2:7" x14ac:dyDescent="0.35">
      <c r="B1927" s="1">
        <v>45738</v>
      </c>
      <c r="C1927" s="2">
        <v>0.20833333333333329</v>
      </c>
      <c r="D1927">
        <v>6.3</v>
      </c>
      <c r="E1927">
        <f>IF($D1927 &gt; 16, 0, $J$3*(16 - $D1927))</f>
        <v>2015.1618341967608</v>
      </c>
      <c r="F1927">
        <f>IF($D1927 &gt; 16, 0,$E1927*$J$5)</f>
        <v>21902793.975884594</v>
      </c>
      <c r="G1927">
        <f t="shared" si="30"/>
        <v>9.6999999999999993</v>
      </c>
    </row>
    <row r="1928" spans="2:7" x14ac:dyDescent="0.35">
      <c r="B1928" s="1">
        <v>45738</v>
      </c>
      <c r="C1928" s="2">
        <v>0.25</v>
      </c>
      <c r="D1928">
        <v>6.7</v>
      </c>
      <c r="E1928">
        <f>IF($D1928 &gt; 16, 0, $J$3*(16 - $D1928))</f>
        <v>1932.0623771164821</v>
      </c>
      <c r="F1928">
        <f>IF($D1928 &gt; 16, 0,$E1928*$J$5)</f>
        <v>20999585.976879045</v>
      </c>
      <c r="G1928">
        <f t="shared" si="30"/>
        <v>9.3000000000000007</v>
      </c>
    </row>
    <row r="1929" spans="2:7" x14ac:dyDescent="0.35">
      <c r="B1929" s="1">
        <v>45738</v>
      </c>
      <c r="C1929" s="2">
        <v>0.29166666666666669</v>
      </c>
      <c r="D1929">
        <v>8</v>
      </c>
      <c r="E1929">
        <f>IF($D1929 &gt; 16, 0, $J$3*(16 - $D1929))</f>
        <v>1661.9891416055759</v>
      </c>
      <c r="F1929">
        <f>IF($D1929 &gt; 16, 0,$E1929*$J$5)</f>
        <v>18064159.980111003</v>
      </c>
      <c r="G1929">
        <f t="shared" si="30"/>
        <v>8</v>
      </c>
    </row>
    <row r="1930" spans="2:7" x14ac:dyDescent="0.35">
      <c r="B1930" s="1">
        <v>45738</v>
      </c>
      <c r="C1930" s="2">
        <v>0.33333333333333331</v>
      </c>
      <c r="D1930">
        <v>10.1</v>
      </c>
      <c r="E1930">
        <f>IF($D1930 &gt; 16, 0, $J$3*(16 - $D1930))</f>
        <v>1225.7169919341122</v>
      </c>
      <c r="F1930">
        <f>IF($D1930 &gt; 16, 0,$E1930*$J$5)</f>
        <v>13322317.985331865</v>
      </c>
      <c r="G1930">
        <f t="shared" si="30"/>
        <v>5.9</v>
      </c>
    </row>
    <row r="1931" spans="2:7" x14ac:dyDescent="0.35">
      <c r="B1931" s="1">
        <v>45738</v>
      </c>
      <c r="C1931" s="2">
        <v>0.375</v>
      </c>
      <c r="D1931">
        <v>12.6</v>
      </c>
      <c r="E1931">
        <f>IF($D1931 &gt; 16, 0, $J$3*(16 - $D1931))</f>
        <v>706.3453851823698</v>
      </c>
      <c r="F1931">
        <f>IF($D1931 &gt; 16, 0,$E1931*$J$5)</f>
        <v>7677267.9915471775</v>
      </c>
      <c r="G1931">
        <f t="shared" si="30"/>
        <v>3.4000000000000004</v>
      </c>
    </row>
    <row r="1932" spans="2:7" x14ac:dyDescent="0.35">
      <c r="B1932" s="1">
        <v>45738</v>
      </c>
      <c r="C1932" s="2">
        <v>0.41666666666666669</v>
      </c>
      <c r="D1932">
        <v>14.2</v>
      </c>
      <c r="E1932">
        <f>IF($D1932 &gt; 16, 0, $J$3*(16 - $D1932))</f>
        <v>373.94755686125472</v>
      </c>
      <c r="F1932">
        <f>IF($D1932 &gt; 16, 0,$E1932*$J$5)</f>
        <v>4064435.9955249778</v>
      </c>
      <c r="G1932">
        <f t="shared" si="30"/>
        <v>1.8000000000000007</v>
      </c>
    </row>
    <row r="1933" spans="2:7" x14ac:dyDescent="0.35">
      <c r="B1933" s="1">
        <v>45738</v>
      </c>
      <c r="C1933" s="2">
        <v>0.45833333333333331</v>
      </c>
      <c r="D1933">
        <v>15.8</v>
      </c>
      <c r="E1933">
        <f>IF($D1933 &gt; 16, 0, $J$3*(16 - $D1933))</f>
        <v>41.549728540139249</v>
      </c>
      <c r="F1933">
        <f>IF($D1933 &gt; 16, 0,$E1933*$J$5)</f>
        <v>451603.99950277351</v>
      </c>
      <c r="G1933">
        <f t="shared" si="30"/>
        <v>0.19999999999999929</v>
      </c>
    </row>
    <row r="1934" spans="2:7" x14ac:dyDescent="0.35">
      <c r="B1934" s="1">
        <v>45738</v>
      </c>
      <c r="C1934" s="2">
        <v>0.5</v>
      </c>
      <c r="D1934">
        <v>16</v>
      </c>
      <c r="E1934">
        <f>IF($D1934 &gt; 16, 0, $J$3*(16 - $D1934))</f>
        <v>0</v>
      </c>
      <c r="F1934">
        <f>IF($D1934 &gt; 16, 0,$E1934*$J$5)</f>
        <v>0</v>
      </c>
      <c r="G1934">
        <f t="shared" si="30"/>
        <v>0</v>
      </c>
    </row>
    <row r="1935" spans="2:7" x14ac:dyDescent="0.35">
      <c r="B1935" s="1">
        <v>45738</v>
      </c>
      <c r="C1935" s="2">
        <v>0.54166666666666663</v>
      </c>
      <c r="D1935">
        <v>16.600000000000001</v>
      </c>
      <c r="E1935">
        <f>IF($D1935 &gt; 16, 0, $J$3*(16 - $D1935))</f>
        <v>0</v>
      </c>
      <c r="F1935">
        <f>IF($D1935 &gt; 16, 0,$E1935*$J$5)</f>
        <v>0</v>
      </c>
      <c r="G1935">
        <f t="shared" si="30"/>
        <v>0</v>
      </c>
    </row>
    <row r="1936" spans="2:7" x14ac:dyDescent="0.35">
      <c r="B1936" s="1">
        <v>45738</v>
      </c>
      <c r="C1936" s="2">
        <v>0.58333333333333337</v>
      </c>
      <c r="D1936">
        <v>16.3</v>
      </c>
      <c r="E1936">
        <f>IF($D1936 &gt; 16, 0, $J$3*(16 - $D1936))</f>
        <v>0</v>
      </c>
      <c r="F1936">
        <f>IF($D1936 &gt; 16, 0,$E1936*$J$5)</f>
        <v>0</v>
      </c>
      <c r="G1936">
        <f t="shared" si="30"/>
        <v>0</v>
      </c>
    </row>
    <row r="1937" spans="2:7" x14ac:dyDescent="0.35">
      <c r="B1937" s="1">
        <v>45738</v>
      </c>
      <c r="C1937" s="2">
        <v>0.625</v>
      </c>
      <c r="D1937">
        <v>15.7</v>
      </c>
      <c r="E1937">
        <f>IF($D1937 &gt; 16, 0, $J$3*(16 - $D1937))</f>
        <v>62.324592810209246</v>
      </c>
      <c r="F1937">
        <f>IF($D1937 &gt; 16, 0,$E1937*$J$5)</f>
        <v>677405.99925416429</v>
      </c>
      <c r="G1937">
        <f t="shared" si="30"/>
        <v>0.30000000000000071</v>
      </c>
    </row>
    <row r="1938" spans="2:7" x14ac:dyDescent="0.35">
      <c r="B1938" s="1">
        <v>45738</v>
      </c>
      <c r="C1938" s="2">
        <v>0.66666666666666663</v>
      </c>
      <c r="D1938">
        <v>14.8</v>
      </c>
      <c r="E1938">
        <f>IF($D1938 &gt; 16, 0, $J$3*(16 - $D1938))</f>
        <v>249.29837124083625</v>
      </c>
      <c r="F1938">
        <f>IF($D1938 &gt; 16, 0,$E1938*$J$5)</f>
        <v>2709623.9970166492</v>
      </c>
      <c r="G1938">
        <f t="shared" si="30"/>
        <v>1.1999999999999993</v>
      </c>
    </row>
    <row r="1939" spans="2:7" x14ac:dyDescent="0.35">
      <c r="B1939" s="1">
        <v>45738</v>
      </c>
      <c r="C1939" s="2">
        <v>0.70833333333333337</v>
      </c>
      <c r="D1939">
        <v>13.5</v>
      </c>
      <c r="E1939">
        <f>IF($D1939 &gt; 16, 0, $J$3*(16 - $D1939))</f>
        <v>519.37160675174243</v>
      </c>
      <c r="F1939">
        <f>IF($D1939 &gt; 16, 0,$E1939*$J$5)</f>
        <v>5645049.9937846884</v>
      </c>
      <c r="G1939">
        <f t="shared" si="30"/>
        <v>2.5</v>
      </c>
    </row>
    <row r="1940" spans="2:7" x14ac:dyDescent="0.35">
      <c r="B1940" s="1">
        <v>45738</v>
      </c>
      <c r="C1940" s="2">
        <v>0.75</v>
      </c>
      <c r="D1940">
        <v>10.8</v>
      </c>
      <c r="E1940">
        <f>IF($D1940 &gt; 16, 0, $J$3*(16 - $D1940))</f>
        <v>1080.2929420436242</v>
      </c>
      <c r="F1940">
        <f>IF($D1940 &gt; 16, 0,$E1940*$J$5)</f>
        <v>11741703.987072151</v>
      </c>
      <c r="G1940">
        <f t="shared" si="30"/>
        <v>5.1999999999999993</v>
      </c>
    </row>
    <row r="1941" spans="2:7" x14ac:dyDescent="0.35">
      <c r="B1941" s="1">
        <v>45738</v>
      </c>
      <c r="C1941" s="2">
        <v>0.79166666666666663</v>
      </c>
      <c r="D1941">
        <v>8.8000000000000007</v>
      </c>
      <c r="E1941">
        <f>IF($D1941 &gt; 16, 0, $J$3*(16 - $D1941))</f>
        <v>1495.7902274450182</v>
      </c>
      <c r="F1941">
        <f>IF($D1941 &gt; 16, 0,$E1941*$J$5)</f>
        <v>16257743.982099904</v>
      </c>
      <c r="G1941">
        <f t="shared" si="30"/>
        <v>7.1999999999999993</v>
      </c>
    </row>
    <row r="1942" spans="2:7" x14ac:dyDescent="0.35">
      <c r="B1942" s="1">
        <v>45738</v>
      </c>
      <c r="C1942" s="2">
        <v>0.83333333333333337</v>
      </c>
      <c r="D1942">
        <v>7.4</v>
      </c>
      <c r="E1942">
        <f>IF($D1942 &gt; 16, 0, $J$3*(16 - $D1942))</f>
        <v>1786.6383272259941</v>
      </c>
      <c r="F1942">
        <f>IF($D1942 &gt; 16, 0,$E1942*$J$5)</f>
        <v>19418971.97861933</v>
      </c>
      <c r="G1942">
        <f t="shared" si="30"/>
        <v>8.6</v>
      </c>
    </row>
    <row r="1943" spans="2:7" x14ac:dyDescent="0.35">
      <c r="B1943" s="1">
        <v>45738</v>
      </c>
      <c r="C1943" s="2">
        <v>0.875</v>
      </c>
      <c r="D1943">
        <v>6.9</v>
      </c>
      <c r="E1943">
        <f>IF($D1943 &gt; 16, 0, $J$3*(16 - $D1943))</f>
        <v>1890.5126485763426</v>
      </c>
      <c r="F1943">
        <f>IF($D1943 &gt; 16, 0,$E1943*$J$5)</f>
        <v>20547981.977376267</v>
      </c>
      <c r="G1943">
        <f t="shared" si="30"/>
        <v>9.1</v>
      </c>
    </row>
    <row r="1944" spans="2:7" x14ac:dyDescent="0.35">
      <c r="B1944" s="1">
        <v>45738</v>
      </c>
      <c r="C1944" s="2">
        <v>0.91666666666666663</v>
      </c>
      <c r="D1944">
        <v>6.6</v>
      </c>
      <c r="E1944">
        <f>IF($D1944 &gt; 16, 0, $J$3*(16 - $D1944))</f>
        <v>1952.8372413865518</v>
      </c>
      <c r="F1944">
        <f>IF($D1944 &gt; 16, 0,$E1944*$J$5)</f>
        <v>21225387.976630431</v>
      </c>
      <c r="G1944">
        <f t="shared" si="30"/>
        <v>9.4</v>
      </c>
    </row>
    <row r="1945" spans="2:7" x14ac:dyDescent="0.35">
      <c r="B1945" s="1">
        <v>45738</v>
      </c>
      <c r="C1945" s="2">
        <v>0.95833333333333337</v>
      </c>
      <c r="D1945">
        <v>5.7</v>
      </c>
      <c r="E1945">
        <f>IF($D1945 &gt; 16, 0, $J$3*(16 - $D1945))</f>
        <v>2139.8110198171789</v>
      </c>
      <c r="F1945">
        <f>IF($D1945 &gt; 16, 0,$E1945*$J$5)</f>
        <v>23257605.974392917</v>
      </c>
      <c r="G1945">
        <f t="shared" si="30"/>
        <v>10.3</v>
      </c>
    </row>
    <row r="1946" spans="2:7" x14ac:dyDescent="0.35">
      <c r="B1946" s="1">
        <v>45739</v>
      </c>
      <c r="C1946" s="2">
        <v>0</v>
      </c>
      <c r="D1946">
        <v>5.6</v>
      </c>
      <c r="E1946">
        <f>IF($D1946 &gt; 16, 0, $J$3*(16 - $D1946))</f>
        <v>2160.5858840872488</v>
      </c>
      <c r="F1946">
        <f>IF($D1946 &gt; 16, 0,$E1946*$J$5)</f>
        <v>23483407.974144306</v>
      </c>
      <c r="G1946">
        <f t="shared" si="30"/>
        <v>10.4</v>
      </c>
    </row>
    <row r="1947" spans="2:7" x14ac:dyDescent="0.35">
      <c r="B1947" s="1">
        <v>45739</v>
      </c>
      <c r="C1947" s="2">
        <v>4.1666666666666657E-2</v>
      </c>
      <c r="D1947">
        <v>5.2</v>
      </c>
      <c r="E1947">
        <f>IF($D1947 &gt; 16, 0, $J$3*(16 - $D1947))</f>
        <v>2243.6853411675274</v>
      </c>
      <c r="F1947">
        <f>IF($D1947 &gt; 16, 0,$E1947*$J$5)</f>
        <v>24386615.973149855</v>
      </c>
      <c r="G1947">
        <f t="shared" si="30"/>
        <v>10.8</v>
      </c>
    </row>
    <row r="1948" spans="2:7" x14ac:dyDescent="0.35">
      <c r="B1948" s="1">
        <v>45739</v>
      </c>
      <c r="C1948" s="2">
        <v>8.3333333333333329E-2</v>
      </c>
      <c r="D1948">
        <v>5.7</v>
      </c>
      <c r="E1948">
        <f>IF($D1948 &gt; 16, 0, $J$3*(16 - $D1948))</f>
        <v>2139.8110198171789</v>
      </c>
      <c r="F1948">
        <f>IF($D1948 &gt; 16, 0,$E1948*$J$5)</f>
        <v>23257605.974392917</v>
      </c>
      <c r="G1948">
        <f t="shared" si="30"/>
        <v>10.3</v>
      </c>
    </row>
    <row r="1949" spans="2:7" x14ac:dyDescent="0.35">
      <c r="B1949" s="1">
        <v>45739</v>
      </c>
      <c r="C1949" s="2">
        <v>0.125</v>
      </c>
      <c r="D1949">
        <v>6.1</v>
      </c>
      <c r="E1949">
        <f>IF($D1949 &gt; 16, 0, $J$3*(16 - $D1949))</f>
        <v>2056.7115627369003</v>
      </c>
      <c r="F1949">
        <f>IF($D1949 &gt; 16, 0,$E1949*$J$5)</f>
        <v>22354397.975387368</v>
      </c>
      <c r="G1949">
        <f t="shared" si="30"/>
        <v>9.9</v>
      </c>
    </row>
    <row r="1950" spans="2:7" x14ac:dyDescent="0.35">
      <c r="B1950" s="1">
        <v>45739</v>
      </c>
      <c r="C1950" s="2">
        <v>0.16666666666666671</v>
      </c>
      <c r="D1950">
        <v>7</v>
      </c>
      <c r="E1950">
        <f>IF($D1950 &gt; 16, 0, $J$3*(16 - $D1950))</f>
        <v>1869.7377843062729</v>
      </c>
      <c r="F1950">
        <f>IF($D1950 &gt; 16, 0,$E1950*$J$5)</f>
        <v>20322179.977624882</v>
      </c>
      <c r="G1950">
        <f t="shared" si="30"/>
        <v>9</v>
      </c>
    </row>
    <row r="1951" spans="2:7" x14ac:dyDescent="0.35">
      <c r="B1951" s="1">
        <v>45739</v>
      </c>
      <c r="C1951" s="2">
        <v>0.20833333333333329</v>
      </c>
      <c r="D1951">
        <v>7.4</v>
      </c>
      <c r="E1951">
        <f>IF($D1951 &gt; 16, 0, $J$3*(16 - $D1951))</f>
        <v>1786.6383272259941</v>
      </c>
      <c r="F1951">
        <f>IF($D1951 &gt; 16, 0,$E1951*$J$5)</f>
        <v>19418971.97861933</v>
      </c>
      <c r="G1951">
        <f t="shared" si="30"/>
        <v>8.6</v>
      </c>
    </row>
    <row r="1952" spans="2:7" x14ac:dyDescent="0.35">
      <c r="B1952" s="1">
        <v>45739</v>
      </c>
      <c r="C1952" s="2">
        <v>0.25</v>
      </c>
      <c r="D1952">
        <v>7.4</v>
      </c>
      <c r="E1952">
        <f>IF($D1952 &gt; 16, 0, $J$3*(16 - $D1952))</f>
        <v>1786.6383272259941</v>
      </c>
      <c r="F1952">
        <f>IF($D1952 &gt; 16, 0,$E1952*$J$5)</f>
        <v>19418971.97861933</v>
      </c>
      <c r="G1952">
        <f t="shared" si="30"/>
        <v>8.6</v>
      </c>
    </row>
    <row r="1953" spans="2:7" x14ac:dyDescent="0.35">
      <c r="B1953" s="1">
        <v>45739</v>
      </c>
      <c r="C1953" s="2">
        <v>0.29166666666666669</v>
      </c>
      <c r="D1953">
        <v>7.8</v>
      </c>
      <c r="E1953">
        <f>IF($D1953 &gt; 16, 0, $J$3*(16 - $D1953))</f>
        <v>1703.5388701457152</v>
      </c>
      <c r="F1953">
        <f>IF($D1953 &gt; 16, 0,$E1953*$J$5)</f>
        <v>18515763.979613777</v>
      </c>
      <c r="G1953">
        <f t="shared" si="30"/>
        <v>8.1999999999999993</v>
      </c>
    </row>
    <row r="1954" spans="2:7" x14ac:dyDescent="0.35">
      <c r="B1954" s="1">
        <v>45739</v>
      </c>
      <c r="C1954" s="2">
        <v>0.33333333333333331</v>
      </c>
      <c r="D1954">
        <v>8.5</v>
      </c>
      <c r="E1954">
        <f>IF($D1954 &gt; 16, 0, $J$3*(16 - $D1954))</f>
        <v>1558.1148202552274</v>
      </c>
      <c r="F1954">
        <f>IF($D1954 &gt; 16, 0,$E1954*$J$5)</f>
        <v>16935149.981354065</v>
      </c>
      <c r="G1954">
        <f t="shared" si="30"/>
        <v>7.5</v>
      </c>
    </row>
    <row r="1955" spans="2:7" x14ac:dyDescent="0.35">
      <c r="B1955" s="1">
        <v>45739</v>
      </c>
      <c r="C1955" s="2">
        <v>0.375</v>
      </c>
      <c r="D1955">
        <v>9.6</v>
      </c>
      <c r="E1955">
        <f>IF($D1955 &gt; 16, 0, $J$3*(16 - $D1955))</f>
        <v>1329.5913132844607</v>
      </c>
      <c r="F1955">
        <f>IF($D1955 &gt; 16, 0,$E1955*$J$5)</f>
        <v>14451327.984088805</v>
      </c>
      <c r="G1955">
        <f t="shared" si="30"/>
        <v>6.4</v>
      </c>
    </row>
    <row r="1956" spans="2:7" x14ac:dyDescent="0.35">
      <c r="B1956" s="1">
        <v>45739</v>
      </c>
      <c r="C1956" s="2">
        <v>0.41666666666666669</v>
      </c>
      <c r="D1956">
        <v>12.7</v>
      </c>
      <c r="E1956">
        <f>IF($D1956 &gt; 16, 0, $J$3*(16 - $D1956))</f>
        <v>685.57052091230025</v>
      </c>
      <c r="F1956">
        <f>IF($D1956 &gt; 16, 0,$E1956*$J$5)</f>
        <v>7451465.9917957913</v>
      </c>
      <c r="G1956">
        <f t="shared" si="30"/>
        <v>3.3000000000000007</v>
      </c>
    </row>
    <row r="1957" spans="2:7" x14ac:dyDescent="0.35">
      <c r="B1957" s="1">
        <v>45739</v>
      </c>
      <c r="C1957" s="2">
        <v>0.45833333333333331</v>
      </c>
      <c r="D1957">
        <v>13.8</v>
      </c>
      <c r="E1957">
        <f>IF($D1957 &gt; 16, 0, $J$3*(16 - $D1957))</f>
        <v>457.04701394153324</v>
      </c>
      <c r="F1957">
        <f>IF($D1957 &gt; 16, 0,$E1957*$J$5)</f>
        <v>4967643.9945305251</v>
      </c>
      <c r="G1957">
        <f t="shared" si="30"/>
        <v>2.1999999999999993</v>
      </c>
    </row>
    <row r="1958" spans="2:7" x14ac:dyDescent="0.35">
      <c r="B1958" s="1">
        <v>45739</v>
      </c>
      <c r="C1958" s="2">
        <v>0.5</v>
      </c>
      <c r="D1958">
        <v>15.2</v>
      </c>
      <c r="E1958">
        <f>IF($D1958 &gt; 16, 0, $J$3*(16 - $D1958))</f>
        <v>166.19891416055773</v>
      </c>
      <c r="F1958">
        <f>IF($D1958 &gt; 16, 0,$E1958*$J$5)</f>
        <v>1806415.998011102</v>
      </c>
      <c r="G1958">
        <f t="shared" si="30"/>
        <v>0.80000000000000071</v>
      </c>
    </row>
    <row r="1959" spans="2:7" x14ac:dyDescent="0.35">
      <c r="B1959" s="1">
        <v>45739</v>
      </c>
      <c r="C1959" s="2">
        <v>0.54166666666666663</v>
      </c>
      <c r="D1959">
        <v>15.3</v>
      </c>
      <c r="E1959">
        <f>IF($D1959 &gt; 16, 0, $J$3*(16 - $D1959))</f>
        <v>145.42404989048774</v>
      </c>
      <c r="F1959">
        <f>IF($D1959 &gt; 16, 0,$E1959*$J$5)</f>
        <v>1580613.9982597113</v>
      </c>
      <c r="G1959">
        <f t="shared" si="30"/>
        <v>0.69999999999999929</v>
      </c>
    </row>
    <row r="1960" spans="2:7" x14ac:dyDescent="0.35">
      <c r="B1960" s="1">
        <v>45739</v>
      </c>
      <c r="C1960" s="2">
        <v>0.58333333333333337</v>
      </c>
      <c r="D1960">
        <v>16.3</v>
      </c>
      <c r="E1960">
        <f>IF($D1960 &gt; 16, 0, $J$3*(16 - $D1960))</f>
        <v>0</v>
      </c>
      <c r="F1960">
        <f>IF($D1960 &gt; 16, 0,$E1960*$J$5)</f>
        <v>0</v>
      </c>
      <c r="G1960">
        <f t="shared" si="30"/>
        <v>0</v>
      </c>
    </row>
    <row r="1961" spans="2:7" x14ac:dyDescent="0.35">
      <c r="B1961" s="1">
        <v>45739</v>
      </c>
      <c r="C1961" s="2">
        <v>0.625</v>
      </c>
      <c r="D1961">
        <v>16.5</v>
      </c>
      <c r="E1961">
        <f>IF($D1961 &gt; 16, 0, $J$3*(16 - $D1961))</f>
        <v>0</v>
      </c>
      <c r="F1961">
        <f>IF($D1961 &gt; 16, 0,$E1961*$J$5)</f>
        <v>0</v>
      </c>
      <c r="G1961">
        <f t="shared" si="30"/>
        <v>0</v>
      </c>
    </row>
    <row r="1962" spans="2:7" x14ac:dyDescent="0.35">
      <c r="B1962" s="1">
        <v>45739</v>
      </c>
      <c r="C1962" s="2">
        <v>0.66666666666666663</v>
      </c>
      <c r="D1962">
        <v>15.7</v>
      </c>
      <c r="E1962">
        <f>IF($D1962 &gt; 16, 0, $J$3*(16 - $D1962))</f>
        <v>62.324592810209246</v>
      </c>
      <c r="F1962">
        <f>IF($D1962 &gt; 16, 0,$E1962*$J$5)</f>
        <v>677405.99925416429</v>
      </c>
      <c r="G1962">
        <f t="shared" si="30"/>
        <v>0.30000000000000071</v>
      </c>
    </row>
    <row r="1963" spans="2:7" x14ac:dyDescent="0.35">
      <c r="B1963" s="1">
        <v>45739</v>
      </c>
      <c r="C1963" s="2">
        <v>0.70833333333333337</v>
      </c>
      <c r="D1963">
        <v>13.7</v>
      </c>
      <c r="E1963">
        <f>IF($D1963 &gt; 16, 0, $J$3*(16 - $D1963))</f>
        <v>477.82187821160323</v>
      </c>
      <c r="F1963">
        <f>IF($D1963 &gt; 16, 0,$E1963*$J$5)</f>
        <v>5193445.9942819159</v>
      </c>
      <c r="G1963">
        <f t="shared" si="30"/>
        <v>2.3000000000000007</v>
      </c>
    </row>
    <row r="1964" spans="2:7" x14ac:dyDescent="0.35">
      <c r="B1964" s="1">
        <v>45739</v>
      </c>
      <c r="C1964" s="2">
        <v>0.75</v>
      </c>
      <c r="D1964">
        <v>10.9</v>
      </c>
      <c r="E1964">
        <f>IF($D1964 &gt; 16, 0, $J$3*(16 - $D1964))</f>
        <v>1059.5180777735545</v>
      </c>
      <c r="F1964">
        <f>IF($D1964 &gt; 16, 0,$E1964*$J$5)</f>
        <v>11515901.987320764</v>
      </c>
      <c r="G1964">
        <f t="shared" si="30"/>
        <v>5.0999999999999996</v>
      </c>
    </row>
    <row r="1965" spans="2:7" x14ac:dyDescent="0.35">
      <c r="B1965" s="1">
        <v>45739</v>
      </c>
      <c r="C1965" s="2">
        <v>0.79166666666666663</v>
      </c>
      <c r="D1965">
        <v>8.6999999999999993</v>
      </c>
      <c r="E1965">
        <f>IF($D1965 &gt; 16, 0, $J$3*(16 - $D1965))</f>
        <v>1516.5650917150881</v>
      </c>
      <c r="F1965">
        <f>IF($D1965 &gt; 16, 0,$E1965*$J$5)</f>
        <v>16483545.981851293</v>
      </c>
      <c r="G1965">
        <f t="shared" si="30"/>
        <v>7.3000000000000007</v>
      </c>
    </row>
    <row r="1966" spans="2:7" x14ac:dyDescent="0.35">
      <c r="B1966" s="1">
        <v>45739</v>
      </c>
      <c r="C1966" s="2">
        <v>0.83333333333333337</v>
      </c>
      <c r="D1966">
        <v>7</v>
      </c>
      <c r="E1966">
        <f>IF($D1966 &gt; 16, 0, $J$3*(16 - $D1966))</f>
        <v>1869.7377843062729</v>
      </c>
      <c r="F1966">
        <f>IF($D1966 &gt; 16, 0,$E1966*$J$5)</f>
        <v>20322179.977624882</v>
      </c>
      <c r="G1966">
        <f t="shared" si="30"/>
        <v>9</v>
      </c>
    </row>
    <row r="1967" spans="2:7" x14ac:dyDescent="0.35">
      <c r="B1967" s="1">
        <v>45739</v>
      </c>
      <c r="C1967" s="2">
        <v>0.875</v>
      </c>
      <c r="D1967">
        <v>5.7</v>
      </c>
      <c r="E1967">
        <f>IF($D1967 &gt; 16, 0, $J$3*(16 - $D1967))</f>
        <v>2139.8110198171789</v>
      </c>
      <c r="F1967">
        <f>IF($D1967 &gt; 16, 0,$E1967*$J$5)</f>
        <v>23257605.974392917</v>
      </c>
      <c r="G1967">
        <f t="shared" si="30"/>
        <v>10.3</v>
      </c>
    </row>
    <row r="1968" spans="2:7" x14ac:dyDescent="0.35">
      <c r="B1968" s="1">
        <v>45739</v>
      </c>
      <c r="C1968" s="2">
        <v>0.91666666666666663</v>
      </c>
      <c r="D1968">
        <v>5.4</v>
      </c>
      <c r="E1968">
        <f>IF($D1968 &gt; 16, 0, $J$3*(16 - $D1968))</f>
        <v>2202.1356126273881</v>
      </c>
      <c r="F1968">
        <f>IF($D1968 &gt; 16, 0,$E1968*$J$5)</f>
        <v>23935011.97364708</v>
      </c>
      <c r="G1968">
        <f t="shared" si="30"/>
        <v>10.6</v>
      </c>
    </row>
    <row r="1969" spans="2:7" x14ac:dyDescent="0.35">
      <c r="B1969" s="1">
        <v>45739</v>
      </c>
      <c r="C1969" s="2">
        <v>0.95833333333333337</v>
      </c>
      <c r="D1969">
        <v>4.8</v>
      </c>
      <c r="E1969">
        <f>IF($D1969 &gt; 16, 0, $J$3*(16 - $D1969))</f>
        <v>2326.7847982478061</v>
      </c>
      <c r="F1969">
        <f>IF($D1969 &gt; 16, 0,$E1969*$J$5)</f>
        <v>25289823.972155403</v>
      </c>
      <c r="G1969">
        <f t="shared" si="30"/>
        <v>11.2</v>
      </c>
    </row>
    <row r="1970" spans="2:7" x14ac:dyDescent="0.35">
      <c r="B1970" s="1">
        <v>45740</v>
      </c>
      <c r="C1970" s="2">
        <v>0</v>
      </c>
      <c r="D1970">
        <v>4.2</v>
      </c>
      <c r="E1970">
        <f>IF($D1970 &gt; 16, 0, $J$3*(16 - $D1970))</f>
        <v>2451.4339838682245</v>
      </c>
      <c r="F1970">
        <f>IF($D1970 &gt; 16, 0,$E1970*$J$5)</f>
        <v>26644635.97066373</v>
      </c>
      <c r="G1970">
        <f t="shared" si="30"/>
        <v>11.8</v>
      </c>
    </row>
    <row r="1971" spans="2:7" x14ac:dyDescent="0.35">
      <c r="B1971" s="1">
        <v>45740</v>
      </c>
      <c r="C1971" s="2">
        <v>4.1666666666666657E-2</v>
      </c>
      <c r="D1971">
        <v>4.3</v>
      </c>
      <c r="E1971">
        <f>IF($D1971 &gt; 16, 0, $J$3*(16 - $D1971))</f>
        <v>2430.6591195981546</v>
      </c>
      <c r="F1971">
        <f>IF($D1971 &gt; 16, 0,$E1971*$J$5)</f>
        <v>26418833.970912341</v>
      </c>
      <c r="G1971">
        <f t="shared" si="30"/>
        <v>11.7</v>
      </c>
    </row>
    <row r="1972" spans="2:7" x14ac:dyDescent="0.35">
      <c r="B1972" s="1">
        <v>45740</v>
      </c>
      <c r="C1972" s="2">
        <v>8.3333333333333329E-2</v>
      </c>
      <c r="D1972">
        <v>3.4</v>
      </c>
      <c r="E1972">
        <f>IF($D1972 &gt; 16, 0, $J$3*(16 - $D1972))</f>
        <v>2617.6328980287822</v>
      </c>
      <c r="F1972">
        <f>IF($D1972 &gt; 16, 0,$E1972*$J$5)</f>
        <v>28451051.968674835</v>
      </c>
      <c r="G1972">
        <f t="shared" si="30"/>
        <v>12.6</v>
      </c>
    </row>
    <row r="1973" spans="2:7" x14ac:dyDescent="0.35">
      <c r="B1973" s="1">
        <v>45740</v>
      </c>
      <c r="C1973" s="2">
        <v>0.125</v>
      </c>
      <c r="D1973">
        <v>4.0999999999999996</v>
      </c>
      <c r="E1973">
        <f>IF($D1973 &gt; 16, 0, $J$3*(16 - $D1973))</f>
        <v>2472.2088481382943</v>
      </c>
      <c r="F1973">
        <f>IF($D1973 &gt; 16, 0,$E1973*$J$5)</f>
        <v>26870437.970415123</v>
      </c>
      <c r="G1973">
        <f t="shared" si="30"/>
        <v>11.9</v>
      </c>
    </row>
    <row r="1974" spans="2:7" x14ac:dyDescent="0.35">
      <c r="B1974" s="1">
        <v>45740</v>
      </c>
      <c r="C1974" s="2">
        <v>0.16666666666666671</v>
      </c>
      <c r="D1974">
        <v>4.0999999999999996</v>
      </c>
      <c r="E1974">
        <f>IF($D1974 &gt; 16, 0, $J$3*(16 - $D1974))</f>
        <v>2472.2088481382943</v>
      </c>
      <c r="F1974">
        <f>IF($D1974 &gt; 16, 0,$E1974*$J$5)</f>
        <v>26870437.970415123</v>
      </c>
      <c r="G1974">
        <f t="shared" si="30"/>
        <v>11.9</v>
      </c>
    </row>
    <row r="1975" spans="2:7" x14ac:dyDescent="0.35">
      <c r="B1975" s="1">
        <v>45740</v>
      </c>
      <c r="C1975" s="2">
        <v>0.20833333333333329</v>
      </c>
      <c r="D1975">
        <v>3.8</v>
      </c>
      <c r="E1975">
        <f>IF($D1975 &gt; 16, 0, $J$3*(16 - $D1975))</f>
        <v>2534.5334409485031</v>
      </c>
      <c r="F1975">
        <f>IF($D1975 &gt; 16, 0,$E1975*$J$5)</f>
        <v>27547843.969669279</v>
      </c>
      <c r="G1975">
        <f t="shared" si="30"/>
        <v>12.2</v>
      </c>
    </row>
    <row r="1976" spans="2:7" x14ac:dyDescent="0.35">
      <c r="B1976" s="1">
        <v>45740</v>
      </c>
      <c r="C1976" s="2">
        <v>0.25</v>
      </c>
      <c r="D1976">
        <v>4.9000000000000004</v>
      </c>
      <c r="E1976">
        <f>IF($D1976 &gt; 16, 0, $J$3*(16 - $D1976))</f>
        <v>2306.0099339777366</v>
      </c>
      <c r="F1976">
        <f>IF($D1976 &gt; 16, 0,$E1976*$J$5)</f>
        <v>25064021.972404018</v>
      </c>
      <c r="G1976">
        <f t="shared" si="30"/>
        <v>11.1</v>
      </c>
    </row>
    <row r="1977" spans="2:7" x14ac:dyDescent="0.35">
      <c r="B1977" s="1">
        <v>45740</v>
      </c>
      <c r="C1977" s="2">
        <v>0.29166666666666669</v>
      </c>
      <c r="D1977">
        <v>6</v>
      </c>
      <c r="E1977">
        <f>IF($D1977 &gt; 16, 0, $J$3*(16 - $D1977))</f>
        <v>2077.4864270069697</v>
      </c>
      <c r="F1977">
        <f>IF($D1977 &gt; 16, 0,$E1977*$J$5)</f>
        <v>22580199.975138754</v>
      </c>
      <c r="G1977">
        <f t="shared" si="30"/>
        <v>10</v>
      </c>
    </row>
    <row r="1978" spans="2:7" x14ac:dyDescent="0.35">
      <c r="B1978" s="1">
        <v>45740</v>
      </c>
      <c r="C1978" s="2">
        <v>0.33333333333333331</v>
      </c>
      <c r="D1978">
        <v>7.4</v>
      </c>
      <c r="E1978">
        <f>IF($D1978 &gt; 16, 0, $J$3*(16 - $D1978))</f>
        <v>1786.6383272259941</v>
      </c>
      <c r="F1978">
        <f>IF($D1978 &gt; 16, 0,$E1978*$J$5)</f>
        <v>19418971.97861933</v>
      </c>
      <c r="G1978">
        <f t="shared" si="30"/>
        <v>8.6</v>
      </c>
    </row>
    <row r="1979" spans="2:7" x14ac:dyDescent="0.35">
      <c r="B1979" s="1">
        <v>45740</v>
      </c>
      <c r="C1979" s="2">
        <v>0.375</v>
      </c>
      <c r="D1979">
        <v>9.3000000000000007</v>
      </c>
      <c r="E1979">
        <f>IF($D1979 &gt; 16, 0, $J$3*(16 - $D1979))</f>
        <v>1391.9159060946697</v>
      </c>
      <c r="F1979">
        <f>IF($D1979 &gt; 16, 0,$E1979*$J$5)</f>
        <v>15128733.983342964</v>
      </c>
      <c r="G1979">
        <f t="shared" si="30"/>
        <v>6.6999999999999993</v>
      </c>
    </row>
    <row r="1980" spans="2:7" x14ac:dyDescent="0.35">
      <c r="B1980" s="1">
        <v>45740</v>
      </c>
      <c r="C1980" s="2">
        <v>0.41666666666666669</v>
      </c>
      <c r="D1980">
        <v>11.8</v>
      </c>
      <c r="E1980">
        <f>IF($D1980 &gt; 16, 0, $J$3*(16 - $D1980))</f>
        <v>872.54429934292716</v>
      </c>
      <c r="F1980">
        <f>IF($D1980 &gt; 16, 0,$E1980*$J$5)</f>
        <v>9483683.9895582758</v>
      </c>
      <c r="G1980">
        <f t="shared" si="30"/>
        <v>4.1999999999999993</v>
      </c>
    </row>
    <row r="1981" spans="2:7" x14ac:dyDescent="0.35">
      <c r="B1981" s="1">
        <v>45740</v>
      </c>
      <c r="C1981" s="2">
        <v>0.45833333333333331</v>
      </c>
      <c r="D1981">
        <v>13.2</v>
      </c>
      <c r="E1981">
        <f>IF($D1981 &gt; 16, 0, $J$3*(16 - $D1981))</f>
        <v>581.69619956195174</v>
      </c>
      <c r="F1981">
        <f>IF($D1981 &gt; 16, 0,$E1981*$J$5)</f>
        <v>6322455.9930388536</v>
      </c>
      <c r="G1981">
        <f t="shared" si="30"/>
        <v>2.8000000000000007</v>
      </c>
    </row>
    <row r="1982" spans="2:7" x14ac:dyDescent="0.35">
      <c r="B1982" s="1">
        <v>45740</v>
      </c>
      <c r="C1982" s="2">
        <v>0.5</v>
      </c>
      <c r="D1982">
        <v>14</v>
      </c>
      <c r="E1982">
        <f>IF($D1982 &gt; 16, 0, $J$3*(16 - $D1982))</f>
        <v>415.49728540139398</v>
      </c>
      <c r="F1982">
        <f>IF($D1982 &gt; 16, 0,$E1982*$J$5)</f>
        <v>4516039.9950277507</v>
      </c>
      <c r="G1982">
        <f t="shared" si="30"/>
        <v>2</v>
      </c>
    </row>
    <row r="1983" spans="2:7" x14ac:dyDescent="0.35">
      <c r="B1983" s="1">
        <v>45740</v>
      </c>
      <c r="C1983" s="2">
        <v>0.54166666666666663</v>
      </c>
      <c r="D1983">
        <v>15</v>
      </c>
      <c r="E1983">
        <f>IF($D1983 &gt; 16, 0, $J$3*(16 - $D1983))</f>
        <v>207.74864270069699</v>
      </c>
      <c r="F1983">
        <f>IF($D1983 &gt; 16, 0,$E1983*$J$5)</f>
        <v>2258019.9975138754</v>
      </c>
      <c r="G1983">
        <f t="shared" si="30"/>
        <v>1</v>
      </c>
    </row>
    <row r="1984" spans="2:7" x14ac:dyDescent="0.35">
      <c r="B1984" s="1">
        <v>45740</v>
      </c>
      <c r="C1984" s="2">
        <v>0.58333333333333337</v>
      </c>
      <c r="D1984">
        <v>15</v>
      </c>
      <c r="E1984">
        <f>IF($D1984 &gt; 16, 0, $J$3*(16 - $D1984))</f>
        <v>207.74864270069699</v>
      </c>
      <c r="F1984">
        <f>IF($D1984 &gt; 16, 0,$E1984*$J$5)</f>
        <v>2258019.9975138754</v>
      </c>
      <c r="G1984">
        <f t="shared" si="30"/>
        <v>1</v>
      </c>
    </row>
    <row r="1985" spans="2:7" x14ac:dyDescent="0.35">
      <c r="B1985" s="1">
        <v>45740</v>
      </c>
      <c r="C1985" s="2">
        <v>0.625</v>
      </c>
      <c r="D1985">
        <v>14.7</v>
      </c>
      <c r="E1985">
        <f>IF($D1985 &gt; 16, 0, $J$3*(16 - $D1985))</f>
        <v>270.07323551090622</v>
      </c>
      <c r="F1985">
        <f>IF($D1985 &gt; 16, 0,$E1985*$J$5)</f>
        <v>2935425.9967680397</v>
      </c>
      <c r="G1985">
        <f t="shared" si="30"/>
        <v>1.3000000000000007</v>
      </c>
    </row>
    <row r="1986" spans="2:7" x14ac:dyDescent="0.35">
      <c r="B1986" s="1">
        <v>45740</v>
      </c>
      <c r="C1986" s="2">
        <v>0.66666666666666663</v>
      </c>
      <c r="D1986">
        <v>14.3</v>
      </c>
      <c r="E1986">
        <f>IF($D1986 &gt; 16, 0, $J$3*(16 - $D1986))</f>
        <v>353.17269259118473</v>
      </c>
      <c r="F1986">
        <f>IF($D1986 &gt; 16, 0,$E1986*$J$5)</f>
        <v>3838633.9957735869</v>
      </c>
      <c r="G1986">
        <f t="shared" si="30"/>
        <v>1.6999999999999993</v>
      </c>
    </row>
    <row r="1987" spans="2:7" x14ac:dyDescent="0.35">
      <c r="B1987" s="1">
        <v>45740</v>
      </c>
      <c r="C1987" s="2">
        <v>0.70833333333333337</v>
      </c>
      <c r="D1987">
        <v>13.1</v>
      </c>
      <c r="E1987">
        <f>IF($D1987 &gt; 16, 0, $J$3*(16 - $D1987))</f>
        <v>602.4710638320214</v>
      </c>
      <c r="F1987">
        <f>IF($D1987 &gt; 16, 0,$E1987*$J$5)</f>
        <v>6548257.9927902408</v>
      </c>
      <c r="G1987">
        <f t="shared" ref="G1987:G2050" si="31">MAX(0, 16 - $D1987)</f>
        <v>2.9000000000000004</v>
      </c>
    </row>
    <row r="1988" spans="2:7" x14ac:dyDescent="0.35">
      <c r="B1988" s="1">
        <v>45740</v>
      </c>
      <c r="C1988" s="2">
        <v>0.75</v>
      </c>
      <c r="D1988">
        <v>11.4</v>
      </c>
      <c r="E1988">
        <f>IF($D1988 &gt; 16, 0, $J$3*(16 - $D1988))</f>
        <v>955.64375642320613</v>
      </c>
      <c r="F1988">
        <f>IF($D1988 &gt; 16, 0,$E1988*$J$5)</f>
        <v>10386891.988563828</v>
      </c>
      <c r="G1988">
        <f t="shared" si="31"/>
        <v>4.5999999999999996</v>
      </c>
    </row>
    <row r="1989" spans="2:7" x14ac:dyDescent="0.35">
      <c r="B1989" s="1">
        <v>45740</v>
      </c>
      <c r="C1989" s="2">
        <v>0.79166666666666663</v>
      </c>
      <c r="D1989">
        <v>9.6</v>
      </c>
      <c r="E1989">
        <f>IF($D1989 &gt; 16, 0, $J$3*(16 - $D1989))</f>
        <v>1329.5913132844607</v>
      </c>
      <c r="F1989">
        <f>IF($D1989 &gt; 16, 0,$E1989*$J$5)</f>
        <v>14451327.984088805</v>
      </c>
      <c r="G1989">
        <f t="shared" si="31"/>
        <v>6.4</v>
      </c>
    </row>
    <row r="1990" spans="2:7" x14ac:dyDescent="0.35">
      <c r="B1990" s="1">
        <v>45740</v>
      </c>
      <c r="C1990" s="2">
        <v>0.83333333333333337</v>
      </c>
      <c r="D1990">
        <v>7.2</v>
      </c>
      <c r="E1990">
        <f>IF($D1990 &gt; 16, 0, $J$3*(16 - $D1990))</f>
        <v>1828.1880557661336</v>
      </c>
      <c r="F1990">
        <f>IF($D1990 &gt; 16, 0,$E1990*$J$5)</f>
        <v>19870575.978122108</v>
      </c>
      <c r="G1990">
        <f t="shared" si="31"/>
        <v>8.8000000000000007</v>
      </c>
    </row>
    <row r="1991" spans="2:7" x14ac:dyDescent="0.35">
      <c r="B1991" s="1">
        <v>45740</v>
      </c>
      <c r="C1991" s="2">
        <v>0.875</v>
      </c>
      <c r="D1991">
        <v>6</v>
      </c>
      <c r="E1991">
        <f>IF($D1991 &gt; 16, 0, $J$3*(16 - $D1991))</f>
        <v>2077.4864270069697</v>
      </c>
      <c r="F1991">
        <f>IF($D1991 &gt; 16, 0,$E1991*$J$5)</f>
        <v>22580199.975138754</v>
      </c>
      <c r="G1991">
        <f t="shared" si="31"/>
        <v>10</v>
      </c>
    </row>
    <row r="1992" spans="2:7" x14ac:dyDescent="0.35">
      <c r="B1992" s="1">
        <v>45740</v>
      </c>
      <c r="C1992" s="2">
        <v>0.91666666666666663</v>
      </c>
      <c r="D1992">
        <v>5</v>
      </c>
      <c r="E1992">
        <f>IF($D1992 &gt; 16, 0, $J$3*(16 - $D1992))</f>
        <v>2285.2350697076668</v>
      </c>
      <c r="F1992">
        <f>IF($D1992 &gt; 16, 0,$E1992*$J$5)</f>
        <v>24838219.972652629</v>
      </c>
      <c r="G1992">
        <f t="shared" si="31"/>
        <v>11</v>
      </c>
    </row>
    <row r="1993" spans="2:7" x14ac:dyDescent="0.35">
      <c r="B1993" s="1">
        <v>45740</v>
      </c>
      <c r="C1993" s="2">
        <v>0.95833333333333337</v>
      </c>
      <c r="D1993">
        <v>4.3</v>
      </c>
      <c r="E1993">
        <f>IF($D1993 &gt; 16, 0, $J$3*(16 - $D1993))</f>
        <v>2430.6591195981546</v>
      </c>
      <c r="F1993">
        <f>IF($D1993 &gt; 16, 0,$E1993*$J$5)</f>
        <v>26418833.970912341</v>
      </c>
      <c r="G1993">
        <f t="shared" si="31"/>
        <v>11.7</v>
      </c>
    </row>
    <row r="1994" spans="2:7" x14ac:dyDescent="0.35">
      <c r="B1994" s="1">
        <v>45741</v>
      </c>
      <c r="C1994" s="2">
        <v>0</v>
      </c>
      <c r="D1994">
        <v>4.5999999999999996</v>
      </c>
      <c r="E1994">
        <f>IF($D1994 &gt; 16, 0, $J$3*(16 - $D1994))</f>
        <v>2368.3345267879458</v>
      </c>
      <c r="F1994">
        <f>IF($D1994 &gt; 16, 0,$E1994*$J$5)</f>
        <v>25741427.971658185</v>
      </c>
      <c r="G1994">
        <f t="shared" si="31"/>
        <v>11.4</v>
      </c>
    </row>
    <row r="1995" spans="2:7" x14ac:dyDescent="0.35">
      <c r="B1995" s="1">
        <v>45741</v>
      </c>
      <c r="C1995" s="2">
        <v>4.1666666666666657E-2</v>
      </c>
      <c r="D1995">
        <v>4.7</v>
      </c>
      <c r="E1995">
        <f>IF($D1995 &gt; 16, 0, $J$3*(16 - $D1995))</f>
        <v>2347.5596625178759</v>
      </c>
      <c r="F1995">
        <f>IF($D1995 &gt; 16, 0,$E1995*$J$5)</f>
        <v>25515625.971906792</v>
      </c>
      <c r="G1995">
        <f t="shared" si="31"/>
        <v>11.3</v>
      </c>
    </row>
    <row r="1996" spans="2:7" x14ac:dyDescent="0.35">
      <c r="B1996" s="1">
        <v>45741</v>
      </c>
      <c r="C1996" s="2">
        <v>8.3333333333333329E-2</v>
      </c>
      <c r="D1996">
        <v>4.9000000000000004</v>
      </c>
      <c r="E1996">
        <f>IF($D1996 &gt; 16, 0, $J$3*(16 - $D1996))</f>
        <v>2306.0099339777366</v>
      </c>
      <c r="F1996">
        <f>IF($D1996 &gt; 16, 0,$E1996*$J$5)</f>
        <v>25064021.972404018</v>
      </c>
      <c r="G1996">
        <f t="shared" si="31"/>
        <v>11.1</v>
      </c>
    </row>
    <row r="1997" spans="2:7" x14ac:dyDescent="0.35">
      <c r="B1997" s="1">
        <v>45741</v>
      </c>
      <c r="C1997" s="2">
        <v>0.125</v>
      </c>
      <c r="D1997">
        <v>5</v>
      </c>
      <c r="E1997">
        <f>IF($D1997 &gt; 16, 0, $J$3*(16 - $D1997))</f>
        <v>2285.2350697076668</v>
      </c>
      <c r="F1997">
        <f>IF($D1997 &gt; 16, 0,$E1997*$J$5)</f>
        <v>24838219.972652629</v>
      </c>
      <c r="G1997">
        <f t="shared" si="31"/>
        <v>11</v>
      </c>
    </row>
    <row r="1998" spans="2:7" x14ac:dyDescent="0.35">
      <c r="B1998" s="1">
        <v>45741</v>
      </c>
      <c r="C1998" s="2">
        <v>0.16666666666666671</v>
      </c>
      <c r="D1998">
        <v>4.9000000000000004</v>
      </c>
      <c r="E1998">
        <f>IF($D1998 &gt; 16, 0, $J$3*(16 - $D1998))</f>
        <v>2306.0099339777366</v>
      </c>
      <c r="F1998">
        <f>IF($D1998 &gt; 16, 0,$E1998*$J$5)</f>
        <v>25064021.972404018</v>
      </c>
      <c r="G1998">
        <f t="shared" si="31"/>
        <v>11.1</v>
      </c>
    </row>
    <row r="1999" spans="2:7" x14ac:dyDescent="0.35">
      <c r="B1999" s="1">
        <v>45741</v>
      </c>
      <c r="C1999" s="2">
        <v>0.20833333333333329</v>
      </c>
      <c r="D1999">
        <v>5.2</v>
      </c>
      <c r="E1999">
        <f>IF($D1999 &gt; 16, 0, $J$3*(16 - $D1999))</f>
        <v>2243.6853411675274</v>
      </c>
      <c r="F1999">
        <f>IF($D1999 &gt; 16, 0,$E1999*$J$5)</f>
        <v>24386615.973149855</v>
      </c>
      <c r="G1999">
        <f t="shared" si="31"/>
        <v>10.8</v>
      </c>
    </row>
    <row r="2000" spans="2:7" x14ac:dyDescent="0.35">
      <c r="B2000" s="1">
        <v>45741</v>
      </c>
      <c r="C2000" s="2">
        <v>0.25</v>
      </c>
      <c r="D2000">
        <v>5.2</v>
      </c>
      <c r="E2000">
        <f>IF($D2000 &gt; 16, 0, $J$3*(16 - $D2000))</f>
        <v>2243.6853411675274</v>
      </c>
      <c r="F2000">
        <f>IF($D2000 &gt; 16, 0,$E2000*$J$5)</f>
        <v>24386615.973149855</v>
      </c>
      <c r="G2000">
        <f t="shared" si="31"/>
        <v>10.8</v>
      </c>
    </row>
    <row r="2001" spans="2:7" x14ac:dyDescent="0.35">
      <c r="B2001" s="1">
        <v>45741</v>
      </c>
      <c r="C2001" s="2">
        <v>0.29166666666666669</v>
      </c>
      <c r="D2001">
        <v>5.0999999999999996</v>
      </c>
      <c r="E2001">
        <f>IF($D2001 &gt; 16, 0, $J$3*(16 - $D2001))</f>
        <v>2264.4602054375973</v>
      </c>
      <c r="F2001">
        <f>IF($D2001 &gt; 16, 0,$E2001*$J$5)</f>
        <v>24612417.972901244</v>
      </c>
      <c r="G2001">
        <f t="shared" si="31"/>
        <v>10.9</v>
      </c>
    </row>
    <row r="2002" spans="2:7" x14ac:dyDescent="0.35">
      <c r="B2002" s="1">
        <v>45741</v>
      </c>
      <c r="C2002" s="2">
        <v>0.33333333333333331</v>
      </c>
      <c r="D2002">
        <v>5.0999999999999996</v>
      </c>
      <c r="E2002">
        <f>IF($D2002 &gt; 16, 0, $J$3*(16 - $D2002))</f>
        <v>2264.4602054375973</v>
      </c>
      <c r="F2002">
        <f>IF($D2002 &gt; 16, 0,$E2002*$J$5)</f>
        <v>24612417.972901244</v>
      </c>
      <c r="G2002">
        <f t="shared" si="31"/>
        <v>10.9</v>
      </c>
    </row>
    <row r="2003" spans="2:7" x14ac:dyDescent="0.35">
      <c r="B2003" s="1">
        <v>45741</v>
      </c>
      <c r="C2003" s="2">
        <v>0.375</v>
      </c>
      <c r="D2003">
        <v>5.6</v>
      </c>
      <c r="E2003">
        <f>IF($D2003 &gt; 16, 0, $J$3*(16 - $D2003))</f>
        <v>2160.5858840872488</v>
      </c>
      <c r="F2003">
        <f>IF($D2003 &gt; 16, 0,$E2003*$J$5)</f>
        <v>23483407.974144306</v>
      </c>
      <c r="G2003">
        <f t="shared" si="31"/>
        <v>10.4</v>
      </c>
    </row>
    <row r="2004" spans="2:7" x14ac:dyDescent="0.35">
      <c r="B2004" s="1">
        <v>45741</v>
      </c>
      <c r="C2004" s="2">
        <v>0.41666666666666669</v>
      </c>
      <c r="D2004">
        <v>6.8</v>
      </c>
      <c r="E2004">
        <f>IF($D2004 &gt; 16, 0, $J$3*(16 - $D2004))</f>
        <v>1911.2875128464123</v>
      </c>
      <c r="F2004">
        <f>IF($D2004 &gt; 16, 0,$E2004*$J$5)</f>
        <v>20773783.977127656</v>
      </c>
      <c r="G2004">
        <f t="shared" si="31"/>
        <v>9.1999999999999993</v>
      </c>
    </row>
    <row r="2005" spans="2:7" x14ac:dyDescent="0.35">
      <c r="B2005" s="1">
        <v>45741</v>
      </c>
      <c r="C2005" s="2">
        <v>0.45833333333333331</v>
      </c>
      <c r="D2005">
        <v>8.3000000000000007</v>
      </c>
      <c r="E2005">
        <f>IF($D2005 &gt; 16, 0, $J$3*(16 - $D2005))</f>
        <v>1599.6645487953667</v>
      </c>
      <c r="F2005">
        <f>IF($D2005 &gt; 16, 0,$E2005*$J$5)</f>
        <v>17386753.98085684</v>
      </c>
      <c r="G2005">
        <f t="shared" si="31"/>
        <v>7.6999999999999993</v>
      </c>
    </row>
    <row r="2006" spans="2:7" x14ac:dyDescent="0.35">
      <c r="B2006" s="1">
        <v>45741</v>
      </c>
      <c r="C2006" s="2">
        <v>0.5</v>
      </c>
      <c r="D2006">
        <v>9.1</v>
      </c>
      <c r="E2006">
        <f>IF($D2006 &gt; 16, 0, $J$3*(16 - $D2006))</f>
        <v>1433.4656346348092</v>
      </c>
      <c r="F2006">
        <f>IF($D2006 &gt; 16, 0,$E2006*$J$5)</f>
        <v>15580337.982845742</v>
      </c>
      <c r="G2006">
        <f t="shared" si="31"/>
        <v>6.9</v>
      </c>
    </row>
    <row r="2007" spans="2:7" x14ac:dyDescent="0.35">
      <c r="B2007" s="1">
        <v>45741</v>
      </c>
      <c r="C2007" s="2">
        <v>0.54166666666666663</v>
      </c>
      <c r="D2007">
        <v>10.3</v>
      </c>
      <c r="E2007">
        <f>IF($D2007 &gt; 16, 0, $J$3*(16 - $D2007))</f>
        <v>1184.1672633939727</v>
      </c>
      <c r="F2007">
        <f>IF($D2007 &gt; 16, 0,$E2007*$J$5)</f>
        <v>12870713.985829089</v>
      </c>
      <c r="G2007">
        <f t="shared" si="31"/>
        <v>5.6999999999999993</v>
      </c>
    </row>
    <row r="2008" spans="2:7" x14ac:dyDescent="0.35">
      <c r="B2008" s="1">
        <v>45741</v>
      </c>
      <c r="C2008" s="2">
        <v>0.58333333333333337</v>
      </c>
      <c r="D2008">
        <v>10.7</v>
      </c>
      <c r="E2008">
        <f>IF($D2008 &gt; 16, 0, $J$3*(16 - $D2008))</f>
        <v>1101.0678063136943</v>
      </c>
      <c r="F2008">
        <f>IF($D2008 &gt; 16, 0,$E2008*$J$5)</f>
        <v>11967505.986823544</v>
      </c>
      <c r="G2008">
        <f t="shared" si="31"/>
        <v>5.3000000000000007</v>
      </c>
    </row>
    <row r="2009" spans="2:7" x14ac:dyDescent="0.35">
      <c r="B2009" s="1">
        <v>45741</v>
      </c>
      <c r="C2009" s="2">
        <v>0.625</v>
      </c>
      <c r="D2009">
        <v>11.3</v>
      </c>
      <c r="E2009">
        <f>IF($D2009 &gt; 16, 0, $J$3*(16 - $D2009))</f>
        <v>976.41862069327567</v>
      </c>
      <c r="F2009">
        <f>IF($D2009 &gt; 16, 0,$E2009*$J$5)</f>
        <v>10612693.988315213</v>
      </c>
      <c r="G2009">
        <f t="shared" si="31"/>
        <v>4.6999999999999993</v>
      </c>
    </row>
    <row r="2010" spans="2:7" x14ac:dyDescent="0.35">
      <c r="B2010" s="1">
        <v>45741</v>
      </c>
      <c r="C2010" s="2">
        <v>0.66666666666666663</v>
      </c>
      <c r="D2010">
        <v>11.5</v>
      </c>
      <c r="E2010">
        <f>IF($D2010 &gt; 16, 0, $J$3*(16 - $D2010))</f>
        <v>934.86889215313647</v>
      </c>
      <c r="F2010">
        <f>IF($D2010 &gt; 16, 0,$E2010*$J$5)</f>
        <v>10161089.988812441</v>
      </c>
      <c r="G2010">
        <f t="shared" si="31"/>
        <v>4.5</v>
      </c>
    </row>
    <row r="2011" spans="2:7" x14ac:dyDescent="0.35">
      <c r="B2011" s="1">
        <v>45741</v>
      </c>
      <c r="C2011" s="2">
        <v>0.70833333333333337</v>
      </c>
      <c r="D2011">
        <v>11.5</v>
      </c>
      <c r="E2011">
        <f>IF($D2011 &gt; 16, 0, $J$3*(16 - $D2011))</f>
        <v>934.86889215313647</v>
      </c>
      <c r="F2011">
        <f>IF($D2011 &gt; 16, 0,$E2011*$J$5)</f>
        <v>10161089.988812441</v>
      </c>
      <c r="G2011">
        <f t="shared" si="31"/>
        <v>4.5</v>
      </c>
    </row>
    <row r="2012" spans="2:7" x14ac:dyDescent="0.35">
      <c r="B2012" s="1">
        <v>45741</v>
      </c>
      <c r="C2012" s="2">
        <v>0.75</v>
      </c>
      <c r="D2012">
        <v>9.6</v>
      </c>
      <c r="E2012">
        <f>IF($D2012 &gt; 16, 0, $J$3*(16 - $D2012))</f>
        <v>1329.5913132844607</v>
      </c>
      <c r="F2012">
        <f>IF($D2012 &gt; 16, 0,$E2012*$J$5)</f>
        <v>14451327.984088805</v>
      </c>
      <c r="G2012">
        <f t="shared" si="31"/>
        <v>6.4</v>
      </c>
    </row>
    <row r="2013" spans="2:7" x14ac:dyDescent="0.35">
      <c r="B2013" s="1">
        <v>45741</v>
      </c>
      <c r="C2013" s="2">
        <v>0.79166666666666663</v>
      </c>
      <c r="D2013">
        <v>8.5</v>
      </c>
      <c r="E2013">
        <f>IF($D2013 &gt; 16, 0, $J$3*(16 - $D2013))</f>
        <v>1558.1148202552274</v>
      </c>
      <c r="F2013">
        <f>IF($D2013 &gt; 16, 0,$E2013*$J$5)</f>
        <v>16935149.981354065</v>
      </c>
      <c r="G2013">
        <f t="shared" si="31"/>
        <v>7.5</v>
      </c>
    </row>
    <row r="2014" spans="2:7" x14ac:dyDescent="0.35">
      <c r="B2014" s="1">
        <v>45741</v>
      </c>
      <c r="C2014" s="2">
        <v>0.83333333333333337</v>
      </c>
      <c r="D2014">
        <v>8.4</v>
      </c>
      <c r="E2014">
        <f>IF($D2014 &gt; 16, 0, $J$3*(16 - $D2014))</f>
        <v>1578.8896845252971</v>
      </c>
      <c r="F2014">
        <f>IF($D2014 &gt; 16, 0,$E2014*$J$5)</f>
        <v>17160951.981105454</v>
      </c>
      <c r="G2014">
        <f t="shared" si="31"/>
        <v>7.6</v>
      </c>
    </row>
    <row r="2015" spans="2:7" x14ac:dyDescent="0.35">
      <c r="B2015" s="1">
        <v>45741</v>
      </c>
      <c r="C2015" s="2">
        <v>0.875</v>
      </c>
      <c r="D2015">
        <v>7.8</v>
      </c>
      <c r="E2015">
        <f>IF($D2015 &gt; 16, 0, $J$3*(16 - $D2015))</f>
        <v>1703.5388701457152</v>
      </c>
      <c r="F2015">
        <f>IF($D2015 &gt; 16, 0,$E2015*$J$5)</f>
        <v>18515763.979613777</v>
      </c>
      <c r="G2015">
        <f t="shared" si="31"/>
        <v>8.1999999999999993</v>
      </c>
    </row>
    <row r="2016" spans="2:7" x14ac:dyDescent="0.35">
      <c r="B2016" s="1">
        <v>45741</v>
      </c>
      <c r="C2016" s="2">
        <v>0.91666666666666663</v>
      </c>
      <c r="D2016">
        <v>7.5</v>
      </c>
      <c r="E2016">
        <f>IF($D2016 &gt; 16, 0, $J$3*(16 - $D2016))</f>
        <v>1765.8634629559244</v>
      </c>
      <c r="F2016">
        <f>IF($D2016 &gt; 16, 0,$E2016*$J$5)</f>
        <v>19193169.978867944</v>
      </c>
      <c r="G2016">
        <f t="shared" si="31"/>
        <v>8.5</v>
      </c>
    </row>
    <row r="2017" spans="2:7" x14ac:dyDescent="0.35">
      <c r="B2017" s="1">
        <v>45741</v>
      </c>
      <c r="C2017" s="2">
        <v>0.95833333333333337</v>
      </c>
      <c r="D2017">
        <v>7.2</v>
      </c>
      <c r="E2017">
        <f>IF($D2017 &gt; 16, 0, $J$3*(16 - $D2017))</f>
        <v>1828.1880557661336</v>
      </c>
      <c r="F2017">
        <f>IF($D2017 &gt; 16, 0,$E2017*$J$5)</f>
        <v>19870575.978122108</v>
      </c>
      <c r="G2017">
        <f t="shared" si="31"/>
        <v>8.8000000000000007</v>
      </c>
    </row>
    <row r="2018" spans="2:7" x14ac:dyDescent="0.35">
      <c r="B2018" s="1">
        <v>45742</v>
      </c>
      <c r="C2018" s="2">
        <v>0</v>
      </c>
      <c r="D2018">
        <v>7</v>
      </c>
      <c r="E2018">
        <f>IF($D2018 &gt; 16, 0, $J$3*(16 - $D2018))</f>
        <v>1869.7377843062729</v>
      </c>
      <c r="F2018">
        <f>IF($D2018 &gt; 16, 0,$E2018*$J$5)</f>
        <v>20322179.977624882</v>
      </c>
      <c r="G2018">
        <f t="shared" si="31"/>
        <v>9</v>
      </c>
    </row>
    <row r="2019" spans="2:7" x14ac:dyDescent="0.35">
      <c r="B2019" s="1">
        <v>45742</v>
      </c>
      <c r="C2019" s="2">
        <v>4.1666666666666657E-2</v>
      </c>
      <c r="D2019">
        <v>6.9</v>
      </c>
      <c r="E2019">
        <f>IF($D2019 &gt; 16, 0, $J$3*(16 - $D2019))</f>
        <v>1890.5126485763426</v>
      </c>
      <c r="F2019">
        <f>IF($D2019 &gt; 16, 0,$E2019*$J$5)</f>
        <v>20547981.977376267</v>
      </c>
      <c r="G2019">
        <f t="shared" si="31"/>
        <v>9.1</v>
      </c>
    </row>
    <row r="2020" spans="2:7" x14ac:dyDescent="0.35">
      <c r="B2020" s="1">
        <v>45742</v>
      </c>
      <c r="C2020" s="2">
        <v>8.3333333333333329E-2</v>
      </c>
      <c r="D2020">
        <v>6.2</v>
      </c>
      <c r="E2020">
        <f>IF($D2020 &gt; 16, 0, $J$3*(16 - $D2020))</f>
        <v>2035.9366984668306</v>
      </c>
      <c r="F2020">
        <f>IF($D2020 &gt; 16, 0,$E2020*$J$5)</f>
        <v>22128595.975635983</v>
      </c>
      <c r="G2020">
        <f t="shared" si="31"/>
        <v>9.8000000000000007</v>
      </c>
    </row>
    <row r="2021" spans="2:7" x14ac:dyDescent="0.35">
      <c r="B2021" s="1">
        <v>45742</v>
      </c>
      <c r="C2021" s="2">
        <v>0.125</v>
      </c>
      <c r="D2021">
        <v>6.4</v>
      </c>
      <c r="E2021">
        <f>IF($D2021 &gt; 16, 0, $J$3*(16 - $D2021))</f>
        <v>1994.3869699266911</v>
      </c>
      <c r="F2021">
        <f>IF($D2021 &gt; 16, 0,$E2021*$J$5)</f>
        <v>21676991.976133205</v>
      </c>
      <c r="G2021">
        <f t="shared" si="31"/>
        <v>9.6</v>
      </c>
    </row>
    <row r="2022" spans="2:7" x14ac:dyDescent="0.35">
      <c r="B2022" s="1">
        <v>45742</v>
      </c>
      <c r="C2022" s="2">
        <v>0.16666666666666671</v>
      </c>
      <c r="D2022">
        <v>6.5</v>
      </c>
      <c r="E2022">
        <f>IF($D2022 &gt; 16, 0, $J$3*(16 - $D2022))</f>
        <v>1973.6121056566215</v>
      </c>
      <c r="F2022">
        <f>IF($D2022 &gt; 16, 0,$E2022*$J$5)</f>
        <v>21451189.97638182</v>
      </c>
      <c r="G2022">
        <f t="shared" si="31"/>
        <v>9.5</v>
      </c>
    </row>
    <row r="2023" spans="2:7" x14ac:dyDescent="0.35">
      <c r="B2023" s="1">
        <v>45742</v>
      </c>
      <c r="C2023" s="2">
        <v>0.20833333333333329</v>
      </c>
      <c r="D2023">
        <v>6.3</v>
      </c>
      <c r="E2023">
        <f>IF($D2023 &gt; 16, 0, $J$3*(16 - $D2023))</f>
        <v>2015.1618341967608</v>
      </c>
      <c r="F2023">
        <f>IF($D2023 &gt; 16, 0,$E2023*$J$5)</f>
        <v>21902793.975884594</v>
      </c>
      <c r="G2023">
        <f t="shared" si="31"/>
        <v>9.6999999999999993</v>
      </c>
    </row>
    <row r="2024" spans="2:7" x14ac:dyDescent="0.35">
      <c r="B2024" s="1">
        <v>45742</v>
      </c>
      <c r="C2024" s="2">
        <v>0.25</v>
      </c>
      <c r="D2024">
        <v>6.5</v>
      </c>
      <c r="E2024">
        <f>IF($D2024 &gt; 16, 0, $J$3*(16 - $D2024))</f>
        <v>1973.6121056566215</v>
      </c>
      <c r="F2024">
        <f>IF($D2024 &gt; 16, 0,$E2024*$J$5)</f>
        <v>21451189.97638182</v>
      </c>
      <c r="G2024">
        <f t="shared" si="31"/>
        <v>9.5</v>
      </c>
    </row>
    <row r="2025" spans="2:7" x14ac:dyDescent="0.35">
      <c r="B2025" s="1">
        <v>45742</v>
      </c>
      <c r="C2025" s="2">
        <v>0.29166666666666669</v>
      </c>
      <c r="D2025">
        <v>6.5</v>
      </c>
      <c r="E2025">
        <f>IF($D2025 &gt; 16, 0, $J$3*(16 - $D2025))</f>
        <v>1973.6121056566215</v>
      </c>
      <c r="F2025">
        <f>IF($D2025 &gt; 16, 0,$E2025*$J$5)</f>
        <v>21451189.97638182</v>
      </c>
      <c r="G2025">
        <f t="shared" si="31"/>
        <v>9.5</v>
      </c>
    </row>
    <row r="2026" spans="2:7" x14ac:dyDescent="0.35">
      <c r="B2026" s="1">
        <v>45742</v>
      </c>
      <c r="C2026" s="2">
        <v>0.33333333333333331</v>
      </c>
      <c r="D2026">
        <v>7</v>
      </c>
      <c r="E2026">
        <f>IF($D2026 &gt; 16, 0, $J$3*(16 - $D2026))</f>
        <v>1869.7377843062729</v>
      </c>
      <c r="F2026">
        <f>IF($D2026 &gt; 16, 0,$E2026*$J$5)</f>
        <v>20322179.977624882</v>
      </c>
      <c r="G2026">
        <f t="shared" si="31"/>
        <v>9</v>
      </c>
    </row>
    <row r="2027" spans="2:7" x14ac:dyDescent="0.35">
      <c r="B2027" s="1">
        <v>45742</v>
      </c>
      <c r="C2027" s="2">
        <v>0.375</v>
      </c>
      <c r="D2027">
        <v>7.9</v>
      </c>
      <c r="E2027">
        <f>IF($D2027 &gt; 16, 0, $J$3*(16 - $D2027))</f>
        <v>1682.7640058756456</v>
      </c>
      <c r="F2027">
        <f>IF($D2027 &gt; 16, 0,$E2027*$J$5)</f>
        <v>18289961.979862392</v>
      </c>
      <c r="G2027">
        <f t="shared" si="31"/>
        <v>8.1</v>
      </c>
    </row>
    <row r="2028" spans="2:7" x14ac:dyDescent="0.35">
      <c r="B2028" s="1">
        <v>45742</v>
      </c>
      <c r="C2028" s="2">
        <v>0.41666666666666669</v>
      </c>
      <c r="D2028">
        <v>8.6999999999999993</v>
      </c>
      <c r="E2028">
        <f>IF($D2028 &gt; 16, 0, $J$3*(16 - $D2028))</f>
        <v>1516.5650917150881</v>
      </c>
      <c r="F2028">
        <f>IF($D2028 &gt; 16, 0,$E2028*$J$5)</f>
        <v>16483545.981851293</v>
      </c>
      <c r="G2028">
        <f t="shared" si="31"/>
        <v>7.3000000000000007</v>
      </c>
    </row>
    <row r="2029" spans="2:7" x14ac:dyDescent="0.35">
      <c r="B2029" s="1">
        <v>45742</v>
      </c>
      <c r="C2029" s="2">
        <v>0.45833333333333331</v>
      </c>
      <c r="D2029">
        <v>9.6</v>
      </c>
      <c r="E2029">
        <f>IF($D2029 &gt; 16, 0, $J$3*(16 - $D2029))</f>
        <v>1329.5913132844607</v>
      </c>
      <c r="F2029">
        <f>IF($D2029 &gt; 16, 0,$E2029*$J$5)</f>
        <v>14451327.984088805</v>
      </c>
      <c r="G2029">
        <f t="shared" si="31"/>
        <v>6.4</v>
      </c>
    </row>
    <row r="2030" spans="2:7" x14ac:dyDescent="0.35">
      <c r="B2030" s="1">
        <v>45742</v>
      </c>
      <c r="C2030" s="2">
        <v>0.5</v>
      </c>
      <c r="D2030">
        <v>10</v>
      </c>
      <c r="E2030">
        <f>IF($D2030 &gt; 16, 0, $J$3*(16 - $D2030))</f>
        <v>1246.4918562041819</v>
      </c>
      <c r="F2030">
        <f>IF($D2030 &gt; 16, 0,$E2030*$J$5)</f>
        <v>13548119.985083252</v>
      </c>
      <c r="G2030">
        <f t="shared" si="31"/>
        <v>6</v>
      </c>
    </row>
    <row r="2031" spans="2:7" x14ac:dyDescent="0.35">
      <c r="B2031" s="1">
        <v>45742</v>
      </c>
      <c r="C2031" s="2">
        <v>0.54166666666666663</v>
      </c>
      <c r="D2031">
        <v>10</v>
      </c>
      <c r="E2031">
        <f>IF($D2031 &gt; 16, 0, $J$3*(16 - $D2031))</f>
        <v>1246.4918562041819</v>
      </c>
      <c r="F2031">
        <f>IF($D2031 &gt; 16, 0,$E2031*$J$5)</f>
        <v>13548119.985083252</v>
      </c>
      <c r="G2031">
        <f t="shared" si="31"/>
        <v>6</v>
      </c>
    </row>
    <row r="2032" spans="2:7" x14ac:dyDescent="0.35">
      <c r="B2032" s="1">
        <v>45742</v>
      </c>
      <c r="C2032" s="2">
        <v>0.58333333333333337</v>
      </c>
      <c r="D2032">
        <v>10.9</v>
      </c>
      <c r="E2032">
        <f>IF($D2032 &gt; 16, 0, $J$3*(16 - $D2032))</f>
        <v>1059.5180777735545</v>
      </c>
      <c r="F2032">
        <f>IF($D2032 &gt; 16, 0,$E2032*$J$5)</f>
        <v>11515901.987320764</v>
      </c>
      <c r="G2032">
        <f t="shared" si="31"/>
        <v>5.0999999999999996</v>
      </c>
    </row>
    <row r="2033" spans="2:7" x14ac:dyDescent="0.35">
      <c r="B2033" s="1">
        <v>45742</v>
      </c>
      <c r="C2033" s="2">
        <v>0.625</v>
      </c>
      <c r="D2033">
        <v>9.6999999999999993</v>
      </c>
      <c r="E2033">
        <f>IF($D2033 &gt; 16, 0, $J$3*(16 - $D2033))</f>
        <v>1308.8164490143911</v>
      </c>
      <c r="F2033">
        <f>IF($D2033 &gt; 16, 0,$E2033*$J$5)</f>
        <v>14225525.984337417</v>
      </c>
      <c r="G2033">
        <f t="shared" si="31"/>
        <v>6.3000000000000007</v>
      </c>
    </row>
    <row r="2034" spans="2:7" x14ac:dyDescent="0.35">
      <c r="B2034" s="1">
        <v>45742</v>
      </c>
      <c r="C2034" s="2">
        <v>0.66666666666666663</v>
      </c>
      <c r="D2034">
        <v>8.6999999999999993</v>
      </c>
      <c r="E2034">
        <f>IF($D2034 &gt; 16, 0, $J$3*(16 - $D2034))</f>
        <v>1516.5650917150881</v>
      </c>
      <c r="F2034">
        <f>IF($D2034 &gt; 16, 0,$E2034*$J$5)</f>
        <v>16483545.981851293</v>
      </c>
      <c r="G2034">
        <f t="shared" si="31"/>
        <v>7.3000000000000007</v>
      </c>
    </row>
    <row r="2035" spans="2:7" x14ac:dyDescent="0.35">
      <c r="B2035" s="1">
        <v>45742</v>
      </c>
      <c r="C2035" s="2">
        <v>0.70833333333333337</v>
      </c>
      <c r="D2035">
        <v>8.1999999999999993</v>
      </c>
      <c r="E2035">
        <f>IF($D2035 &gt; 16, 0, $J$3*(16 - $D2035))</f>
        <v>1620.4394130654366</v>
      </c>
      <c r="F2035">
        <f>IF($D2035 &gt; 16, 0,$E2035*$J$5)</f>
        <v>17612555.980608232</v>
      </c>
      <c r="G2035">
        <f t="shared" si="31"/>
        <v>7.8000000000000007</v>
      </c>
    </row>
    <row r="2036" spans="2:7" x14ac:dyDescent="0.35">
      <c r="B2036" s="1">
        <v>45742</v>
      </c>
      <c r="C2036" s="2">
        <v>0.75</v>
      </c>
      <c r="D2036">
        <v>7.4</v>
      </c>
      <c r="E2036">
        <f>IF($D2036 &gt; 16, 0, $J$3*(16 - $D2036))</f>
        <v>1786.6383272259941</v>
      </c>
      <c r="F2036">
        <f>IF($D2036 &gt; 16, 0,$E2036*$J$5)</f>
        <v>19418971.97861933</v>
      </c>
      <c r="G2036">
        <f t="shared" si="31"/>
        <v>8.6</v>
      </c>
    </row>
    <row r="2037" spans="2:7" x14ac:dyDescent="0.35">
      <c r="B2037" s="1">
        <v>45742</v>
      </c>
      <c r="C2037" s="2">
        <v>0.79166666666666663</v>
      </c>
      <c r="D2037">
        <v>7</v>
      </c>
      <c r="E2037">
        <f>IF($D2037 &gt; 16, 0, $J$3*(16 - $D2037))</f>
        <v>1869.7377843062729</v>
      </c>
      <c r="F2037">
        <f>IF($D2037 &gt; 16, 0,$E2037*$J$5)</f>
        <v>20322179.977624882</v>
      </c>
      <c r="G2037">
        <f t="shared" si="31"/>
        <v>9</v>
      </c>
    </row>
    <row r="2038" spans="2:7" x14ac:dyDescent="0.35">
      <c r="B2038" s="1">
        <v>45742</v>
      </c>
      <c r="C2038" s="2">
        <v>0.83333333333333337</v>
      </c>
      <c r="D2038">
        <v>6.8</v>
      </c>
      <c r="E2038">
        <f>IF($D2038 &gt; 16, 0, $J$3*(16 - $D2038))</f>
        <v>1911.2875128464123</v>
      </c>
      <c r="F2038">
        <f>IF($D2038 &gt; 16, 0,$E2038*$J$5)</f>
        <v>20773783.977127656</v>
      </c>
      <c r="G2038">
        <f t="shared" si="31"/>
        <v>9.1999999999999993</v>
      </c>
    </row>
    <row r="2039" spans="2:7" x14ac:dyDescent="0.35">
      <c r="B2039" s="1">
        <v>45742</v>
      </c>
      <c r="C2039" s="2">
        <v>0.875</v>
      </c>
      <c r="D2039">
        <v>6.8</v>
      </c>
      <c r="E2039">
        <f>IF($D2039 &gt; 16, 0, $J$3*(16 - $D2039))</f>
        <v>1911.2875128464123</v>
      </c>
      <c r="F2039">
        <f>IF($D2039 &gt; 16, 0,$E2039*$J$5)</f>
        <v>20773783.977127656</v>
      </c>
      <c r="G2039">
        <f t="shared" si="31"/>
        <v>9.1999999999999993</v>
      </c>
    </row>
    <row r="2040" spans="2:7" x14ac:dyDescent="0.35">
      <c r="B2040" s="1">
        <v>45742</v>
      </c>
      <c r="C2040" s="2">
        <v>0.91666666666666663</v>
      </c>
      <c r="D2040">
        <v>5.6</v>
      </c>
      <c r="E2040">
        <f>IF($D2040 &gt; 16, 0, $J$3*(16 - $D2040))</f>
        <v>2160.5858840872488</v>
      </c>
      <c r="F2040">
        <f>IF($D2040 &gt; 16, 0,$E2040*$J$5)</f>
        <v>23483407.974144306</v>
      </c>
      <c r="G2040">
        <f t="shared" si="31"/>
        <v>10.4</v>
      </c>
    </row>
    <row r="2041" spans="2:7" x14ac:dyDescent="0.35">
      <c r="B2041" s="1">
        <v>45742</v>
      </c>
      <c r="C2041" s="2">
        <v>0.95833333333333337</v>
      </c>
      <c r="D2041">
        <v>4.0999999999999996</v>
      </c>
      <c r="E2041">
        <f>IF($D2041 &gt; 16, 0, $J$3*(16 - $D2041))</f>
        <v>2472.2088481382943</v>
      </c>
      <c r="F2041">
        <f>IF($D2041 &gt; 16, 0,$E2041*$J$5)</f>
        <v>26870437.970415123</v>
      </c>
      <c r="G2041">
        <f t="shared" si="31"/>
        <v>11.9</v>
      </c>
    </row>
    <row r="2042" spans="2:7" x14ac:dyDescent="0.35">
      <c r="B2042" s="1">
        <v>45743</v>
      </c>
      <c r="C2042" s="2">
        <v>0</v>
      </c>
      <c r="D2042">
        <v>5.3</v>
      </c>
      <c r="E2042">
        <f>IF($D2042 &gt; 16, 0, $J$3*(16 - $D2042))</f>
        <v>2222.9104768974576</v>
      </c>
      <c r="F2042">
        <f>IF($D2042 &gt; 16, 0,$E2042*$J$5)</f>
        <v>24160813.973398466</v>
      </c>
      <c r="G2042">
        <f t="shared" si="31"/>
        <v>10.7</v>
      </c>
    </row>
    <row r="2043" spans="2:7" x14ac:dyDescent="0.35">
      <c r="B2043" s="1">
        <v>45743</v>
      </c>
      <c r="C2043" s="2">
        <v>4.1666666666666657E-2</v>
      </c>
      <c r="D2043">
        <v>4.9000000000000004</v>
      </c>
      <c r="E2043">
        <f>IF($D2043 &gt; 16, 0, $J$3*(16 - $D2043))</f>
        <v>2306.0099339777366</v>
      </c>
      <c r="F2043">
        <f>IF($D2043 &gt; 16, 0,$E2043*$J$5)</f>
        <v>25064021.972404018</v>
      </c>
      <c r="G2043">
        <f t="shared" si="31"/>
        <v>11.1</v>
      </c>
    </row>
    <row r="2044" spans="2:7" x14ac:dyDescent="0.35">
      <c r="B2044" s="1">
        <v>45743</v>
      </c>
      <c r="C2044" s="2">
        <v>8.3333333333333329E-2</v>
      </c>
      <c r="D2044">
        <v>4.0999999999999996</v>
      </c>
      <c r="E2044">
        <f>IF($D2044 &gt; 16, 0, $J$3*(16 - $D2044))</f>
        <v>2472.2088481382943</v>
      </c>
      <c r="F2044">
        <f>IF($D2044 &gt; 16, 0,$E2044*$J$5)</f>
        <v>26870437.970415123</v>
      </c>
      <c r="G2044">
        <f t="shared" si="31"/>
        <v>11.9</v>
      </c>
    </row>
    <row r="2045" spans="2:7" x14ac:dyDescent="0.35">
      <c r="B2045" s="1">
        <v>45743</v>
      </c>
      <c r="C2045" s="2">
        <v>0.125</v>
      </c>
      <c r="D2045">
        <v>4.0999999999999996</v>
      </c>
      <c r="E2045">
        <f>IF($D2045 &gt; 16, 0, $J$3*(16 - $D2045))</f>
        <v>2472.2088481382943</v>
      </c>
      <c r="F2045">
        <f>IF($D2045 &gt; 16, 0,$E2045*$J$5)</f>
        <v>26870437.970415123</v>
      </c>
      <c r="G2045">
        <f t="shared" si="31"/>
        <v>11.9</v>
      </c>
    </row>
    <row r="2046" spans="2:7" x14ac:dyDescent="0.35">
      <c r="B2046" s="1">
        <v>45743</v>
      </c>
      <c r="C2046" s="2">
        <v>0.16666666666666671</v>
      </c>
      <c r="D2046">
        <v>4.0999999999999996</v>
      </c>
      <c r="E2046">
        <f>IF($D2046 &gt; 16, 0, $J$3*(16 - $D2046))</f>
        <v>2472.2088481382943</v>
      </c>
      <c r="F2046">
        <f>IF($D2046 &gt; 16, 0,$E2046*$J$5)</f>
        <v>26870437.970415123</v>
      </c>
      <c r="G2046">
        <f t="shared" si="31"/>
        <v>11.9</v>
      </c>
    </row>
    <row r="2047" spans="2:7" x14ac:dyDescent="0.35">
      <c r="B2047" s="1">
        <v>45743</v>
      </c>
      <c r="C2047" s="2">
        <v>0.20833333333333329</v>
      </c>
      <c r="D2047">
        <v>3.9</v>
      </c>
      <c r="E2047">
        <f>IF($D2047 &gt; 16, 0, $J$3*(16 - $D2047))</f>
        <v>2513.7585766784337</v>
      </c>
      <c r="F2047">
        <f>IF($D2047 &gt; 16, 0,$E2047*$J$5)</f>
        <v>27322041.969917897</v>
      </c>
      <c r="G2047">
        <f t="shared" si="31"/>
        <v>12.1</v>
      </c>
    </row>
    <row r="2048" spans="2:7" x14ac:dyDescent="0.35">
      <c r="B2048" s="1">
        <v>45743</v>
      </c>
      <c r="C2048" s="2">
        <v>0.25</v>
      </c>
      <c r="D2048">
        <v>4.3</v>
      </c>
      <c r="E2048">
        <f>IF($D2048 &gt; 16, 0, $J$3*(16 - $D2048))</f>
        <v>2430.6591195981546</v>
      </c>
      <c r="F2048">
        <f>IF($D2048 &gt; 16, 0,$E2048*$J$5)</f>
        <v>26418833.970912341</v>
      </c>
      <c r="G2048">
        <f t="shared" si="31"/>
        <v>11.7</v>
      </c>
    </row>
    <row r="2049" spans="2:7" x14ac:dyDescent="0.35">
      <c r="B2049" s="1">
        <v>45743</v>
      </c>
      <c r="C2049" s="2">
        <v>0.29166666666666669</v>
      </c>
      <c r="D2049">
        <v>4.7</v>
      </c>
      <c r="E2049">
        <f>IF($D2049 &gt; 16, 0, $J$3*(16 - $D2049))</f>
        <v>2347.5596625178759</v>
      </c>
      <c r="F2049">
        <f>IF($D2049 &gt; 16, 0,$E2049*$J$5)</f>
        <v>25515625.971906792</v>
      </c>
      <c r="G2049">
        <f t="shared" si="31"/>
        <v>11.3</v>
      </c>
    </row>
    <row r="2050" spans="2:7" x14ac:dyDescent="0.35">
      <c r="B2050" s="1">
        <v>45743</v>
      </c>
      <c r="C2050" s="2">
        <v>0.33333333333333331</v>
      </c>
      <c r="D2050">
        <v>5.2</v>
      </c>
      <c r="E2050">
        <f>IF($D2050 &gt; 16, 0, $J$3*(16 - $D2050))</f>
        <v>2243.6853411675274</v>
      </c>
      <c r="F2050">
        <f>IF($D2050 &gt; 16, 0,$E2050*$J$5)</f>
        <v>24386615.973149855</v>
      </c>
      <c r="G2050">
        <f t="shared" si="31"/>
        <v>10.8</v>
      </c>
    </row>
    <row r="2051" spans="2:7" x14ac:dyDescent="0.35">
      <c r="B2051" s="1">
        <v>45743</v>
      </c>
      <c r="C2051" s="2">
        <v>0.375</v>
      </c>
      <c r="D2051">
        <v>6</v>
      </c>
      <c r="E2051">
        <f>IF($D2051 &gt; 16, 0, $J$3*(16 - $D2051))</f>
        <v>2077.4864270069697</v>
      </c>
      <c r="F2051">
        <f>IF($D2051 &gt; 16, 0,$E2051*$J$5)</f>
        <v>22580199.975138754</v>
      </c>
      <c r="G2051">
        <f t="shared" ref="G2051:G2114" si="32">MAX(0, 16 - $D2051)</f>
        <v>10</v>
      </c>
    </row>
    <row r="2052" spans="2:7" x14ac:dyDescent="0.35">
      <c r="B2052" s="1">
        <v>45743</v>
      </c>
      <c r="C2052" s="2">
        <v>0.41666666666666669</v>
      </c>
      <c r="D2052">
        <v>7.3</v>
      </c>
      <c r="E2052">
        <f>IF($D2052 &gt; 16, 0, $J$3*(16 - $D2052))</f>
        <v>1807.4131914960637</v>
      </c>
      <c r="F2052">
        <f>IF($D2052 &gt; 16, 0,$E2052*$J$5)</f>
        <v>19644773.978370719</v>
      </c>
      <c r="G2052">
        <f t="shared" si="32"/>
        <v>8.6999999999999993</v>
      </c>
    </row>
    <row r="2053" spans="2:7" x14ac:dyDescent="0.35">
      <c r="B2053" s="1">
        <v>45743</v>
      </c>
      <c r="C2053" s="2">
        <v>0.45833333333333331</v>
      </c>
      <c r="D2053">
        <v>9.4</v>
      </c>
      <c r="E2053">
        <f>IF($D2053 &gt; 16, 0, $J$3*(16 - $D2053))</f>
        <v>1371.1410418246001</v>
      </c>
      <c r="F2053">
        <f>IF($D2053 &gt; 16, 0,$E2053*$J$5)</f>
        <v>14902931.983591577</v>
      </c>
      <c r="G2053">
        <f t="shared" si="32"/>
        <v>6.6</v>
      </c>
    </row>
    <row r="2054" spans="2:7" x14ac:dyDescent="0.35">
      <c r="B2054" s="1">
        <v>45743</v>
      </c>
      <c r="C2054" s="2">
        <v>0.5</v>
      </c>
      <c r="D2054">
        <v>11.1</v>
      </c>
      <c r="E2054">
        <f>IF($D2054 &gt; 16, 0, $J$3*(16 - $D2054))</f>
        <v>1017.9683492334153</v>
      </c>
      <c r="F2054">
        <f>IF($D2054 &gt; 16, 0,$E2054*$J$5)</f>
        <v>11064297.987817992</v>
      </c>
      <c r="G2054">
        <f t="shared" si="32"/>
        <v>4.9000000000000004</v>
      </c>
    </row>
    <row r="2055" spans="2:7" x14ac:dyDescent="0.35">
      <c r="B2055" s="1">
        <v>45743</v>
      </c>
      <c r="C2055" s="2">
        <v>0.54166666666666663</v>
      </c>
      <c r="D2055">
        <v>11.6</v>
      </c>
      <c r="E2055">
        <f>IF($D2055 &gt; 16, 0, $J$3*(16 - $D2055))</f>
        <v>914.09402788306681</v>
      </c>
      <c r="F2055">
        <f>IF($D2055 &gt; 16, 0,$E2055*$J$5)</f>
        <v>9935287.9890610538</v>
      </c>
      <c r="G2055">
        <f t="shared" si="32"/>
        <v>4.4000000000000004</v>
      </c>
    </row>
    <row r="2056" spans="2:7" x14ac:dyDescent="0.35">
      <c r="B2056" s="1">
        <v>45743</v>
      </c>
      <c r="C2056" s="2">
        <v>0.58333333333333337</v>
      </c>
      <c r="D2056">
        <v>13.4</v>
      </c>
      <c r="E2056">
        <f>IF($D2056 &gt; 16, 0, $J$3*(16 - $D2056))</f>
        <v>540.14647102181209</v>
      </c>
      <c r="F2056">
        <f>IF($D2056 &gt; 16, 0,$E2056*$J$5)</f>
        <v>5870851.9935360756</v>
      </c>
      <c r="G2056">
        <f t="shared" si="32"/>
        <v>2.5999999999999996</v>
      </c>
    </row>
    <row r="2057" spans="2:7" x14ac:dyDescent="0.35">
      <c r="B2057" s="1">
        <v>45743</v>
      </c>
      <c r="C2057" s="2">
        <v>0.625</v>
      </c>
      <c r="D2057">
        <v>13.7</v>
      </c>
      <c r="E2057">
        <f>IF($D2057 &gt; 16, 0, $J$3*(16 - $D2057))</f>
        <v>477.82187821160323</v>
      </c>
      <c r="F2057">
        <f>IF($D2057 &gt; 16, 0,$E2057*$J$5)</f>
        <v>5193445.9942819159</v>
      </c>
      <c r="G2057">
        <f t="shared" si="32"/>
        <v>2.3000000000000007</v>
      </c>
    </row>
    <row r="2058" spans="2:7" x14ac:dyDescent="0.35">
      <c r="B2058" s="1">
        <v>45743</v>
      </c>
      <c r="C2058" s="2">
        <v>0.66666666666666663</v>
      </c>
      <c r="D2058">
        <v>13.8</v>
      </c>
      <c r="E2058">
        <f>IF($D2058 &gt; 16, 0, $J$3*(16 - $D2058))</f>
        <v>457.04701394153324</v>
      </c>
      <c r="F2058">
        <f>IF($D2058 &gt; 16, 0,$E2058*$J$5)</f>
        <v>4967643.9945305251</v>
      </c>
      <c r="G2058">
        <f t="shared" si="32"/>
        <v>2.1999999999999993</v>
      </c>
    </row>
    <row r="2059" spans="2:7" x14ac:dyDescent="0.35">
      <c r="B2059" s="1">
        <v>45743</v>
      </c>
      <c r="C2059" s="2">
        <v>0.70833333333333337</v>
      </c>
      <c r="D2059">
        <v>12.4</v>
      </c>
      <c r="E2059">
        <f>IF($D2059 &gt; 16, 0, $J$3*(16 - $D2059))</f>
        <v>747.89511372250911</v>
      </c>
      <c r="F2059">
        <f>IF($D2059 &gt; 16, 0,$E2059*$J$5)</f>
        <v>8128871.9910499519</v>
      </c>
      <c r="G2059">
        <f t="shared" si="32"/>
        <v>3.5999999999999996</v>
      </c>
    </row>
    <row r="2060" spans="2:7" x14ac:dyDescent="0.35">
      <c r="B2060" s="1">
        <v>45743</v>
      </c>
      <c r="C2060" s="2">
        <v>0.75</v>
      </c>
      <c r="D2060">
        <v>10.7</v>
      </c>
      <c r="E2060">
        <f>IF($D2060 &gt; 16, 0, $J$3*(16 - $D2060))</f>
        <v>1101.0678063136943</v>
      </c>
      <c r="F2060">
        <f>IF($D2060 &gt; 16, 0,$E2060*$J$5)</f>
        <v>11967505.986823544</v>
      </c>
      <c r="G2060">
        <f t="shared" si="32"/>
        <v>5.3000000000000007</v>
      </c>
    </row>
    <row r="2061" spans="2:7" x14ac:dyDescent="0.35">
      <c r="B2061" s="1">
        <v>45743</v>
      </c>
      <c r="C2061" s="2">
        <v>0.79166666666666663</v>
      </c>
      <c r="D2061">
        <v>9.1999999999999993</v>
      </c>
      <c r="E2061">
        <f>IF($D2061 &gt; 16, 0, $J$3*(16 - $D2061))</f>
        <v>1412.6907703647396</v>
      </c>
      <c r="F2061">
        <f>IF($D2061 &gt; 16, 0,$E2061*$J$5)</f>
        <v>15354535.983094355</v>
      </c>
      <c r="G2061">
        <f t="shared" si="32"/>
        <v>6.8000000000000007</v>
      </c>
    </row>
    <row r="2062" spans="2:7" x14ac:dyDescent="0.35">
      <c r="B2062" s="1">
        <v>45743</v>
      </c>
      <c r="C2062" s="2">
        <v>0.83333333333333337</v>
      </c>
      <c r="D2062">
        <v>7.3</v>
      </c>
      <c r="E2062">
        <f>IF($D2062 &gt; 16, 0, $J$3*(16 - $D2062))</f>
        <v>1807.4131914960637</v>
      </c>
      <c r="F2062">
        <f>IF($D2062 &gt; 16, 0,$E2062*$J$5)</f>
        <v>19644773.978370719</v>
      </c>
      <c r="G2062">
        <f t="shared" si="32"/>
        <v>8.6999999999999993</v>
      </c>
    </row>
    <row r="2063" spans="2:7" x14ac:dyDescent="0.35">
      <c r="B2063" s="1">
        <v>45743</v>
      </c>
      <c r="C2063" s="2">
        <v>0.875</v>
      </c>
      <c r="D2063">
        <v>6</v>
      </c>
      <c r="E2063">
        <f>IF($D2063 &gt; 16, 0, $J$3*(16 - $D2063))</f>
        <v>2077.4864270069697</v>
      </c>
      <c r="F2063">
        <f>IF($D2063 &gt; 16, 0,$E2063*$J$5)</f>
        <v>22580199.975138754</v>
      </c>
      <c r="G2063">
        <f t="shared" si="32"/>
        <v>10</v>
      </c>
    </row>
    <row r="2064" spans="2:7" x14ac:dyDescent="0.35">
      <c r="B2064" s="1">
        <v>45743</v>
      </c>
      <c r="C2064" s="2">
        <v>0.91666666666666663</v>
      </c>
      <c r="D2064">
        <v>4.8</v>
      </c>
      <c r="E2064">
        <f>IF($D2064 &gt; 16, 0, $J$3*(16 - $D2064))</f>
        <v>2326.7847982478061</v>
      </c>
      <c r="F2064">
        <f>IF($D2064 &gt; 16, 0,$E2064*$J$5)</f>
        <v>25289823.972155403</v>
      </c>
      <c r="G2064">
        <f t="shared" si="32"/>
        <v>11.2</v>
      </c>
    </row>
    <row r="2065" spans="2:7" x14ac:dyDescent="0.35">
      <c r="B2065" s="1">
        <v>45743</v>
      </c>
      <c r="C2065" s="2">
        <v>0.95833333333333337</v>
      </c>
      <c r="D2065">
        <v>5.0999999999999996</v>
      </c>
      <c r="E2065">
        <f>IF($D2065 &gt; 16, 0, $J$3*(16 - $D2065))</f>
        <v>2264.4602054375973</v>
      </c>
      <c r="F2065">
        <f>IF($D2065 &gt; 16, 0,$E2065*$J$5)</f>
        <v>24612417.972901244</v>
      </c>
      <c r="G2065">
        <f t="shared" si="32"/>
        <v>10.9</v>
      </c>
    </row>
    <row r="2066" spans="2:7" x14ac:dyDescent="0.35">
      <c r="B2066" s="1">
        <v>45744</v>
      </c>
      <c r="C2066" s="2">
        <v>0</v>
      </c>
      <c r="D2066">
        <v>5.6</v>
      </c>
      <c r="E2066">
        <f>IF($D2066 &gt; 16, 0, $J$3*(16 - $D2066))</f>
        <v>2160.5858840872488</v>
      </c>
      <c r="F2066">
        <f>IF($D2066 &gt; 16, 0,$E2066*$J$5)</f>
        <v>23483407.974144306</v>
      </c>
      <c r="G2066">
        <f t="shared" si="32"/>
        <v>10.4</v>
      </c>
    </row>
    <row r="2067" spans="2:7" x14ac:dyDescent="0.35">
      <c r="B2067" s="1">
        <v>45744</v>
      </c>
      <c r="C2067" s="2">
        <v>4.1666666666666657E-2</v>
      </c>
      <c r="D2067">
        <v>5.5</v>
      </c>
      <c r="E2067">
        <f>IF($D2067 &gt; 16, 0, $J$3*(16 - $D2067))</f>
        <v>2181.3607483573182</v>
      </c>
      <c r="F2067">
        <f>IF($D2067 &gt; 16, 0,$E2067*$J$5)</f>
        <v>23709209.973895691</v>
      </c>
      <c r="G2067">
        <f t="shared" si="32"/>
        <v>10.5</v>
      </c>
    </row>
    <row r="2068" spans="2:7" x14ac:dyDescent="0.35">
      <c r="B2068" s="1">
        <v>45744</v>
      </c>
      <c r="C2068" s="2">
        <v>8.3333333333333329E-2</v>
      </c>
      <c r="D2068">
        <v>5.5</v>
      </c>
      <c r="E2068">
        <f>IF($D2068 &gt; 16, 0, $J$3*(16 - $D2068))</f>
        <v>2181.3607483573182</v>
      </c>
      <c r="F2068">
        <f>IF($D2068 &gt; 16, 0,$E2068*$J$5)</f>
        <v>23709209.973895691</v>
      </c>
      <c r="G2068">
        <f t="shared" si="32"/>
        <v>10.5</v>
      </c>
    </row>
    <row r="2069" spans="2:7" x14ac:dyDescent="0.35">
      <c r="B2069" s="1">
        <v>45744</v>
      </c>
      <c r="C2069" s="2">
        <v>0.125</v>
      </c>
      <c r="D2069">
        <v>4.2</v>
      </c>
      <c r="E2069">
        <f>IF($D2069 &gt; 16, 0, $J$3*(16 - $D2069))</f>
        <v>2451.4339838682245</v>
      </c>
      <c r="F2069">
        <f>IF($D2069 &gt; 16, 0,$E2069*$J$5)</f>
        <v>26644635.97066373</v>
      </c>
      <c r="G2069">
        <f t="shared" si="32"/>
        <v>11.8</v>
      </c>
    </row>
    <row r="2070" spans="2:7" x14ac:dyDescent="0.35">
      <c r="B2070" s="1">
        <v>45744</v>
      </c>
      <c r="C2070" s="2">
        <v>0.16666666666666671</v>
      </c>
      <c r="D2070">
        <v>4.2</v>
      </c>
      <c r="E2070">
        <f>IF($D2070 &gt; 16, 0, $J$3*(16 - $D2070))</f>
        <v>2451.4339838682245</v>
      </c>
      <c r="F2070">
        <f>IF($D2070 &gt; 16, 0,$E2070*$J$5)</f>
        <v>26644635.97066373</v>
      </c>
      <c r="G2070">
        <f t="shared" si="32"/>
        <v>11.8</v>
      </c>
    </row>
    <row r="2071" spans="2:7" x14ac:dyDescent="0.35">
      <c r="B2071" s="1">
        <v>45744</v>
      </c>
      <c r="C2071" s="2">
        <v>0.20833333333333329</v>
      </c>
      <c r="D2071">
        <v>3.8</v>
      </c>
      <c r="E2071">
        <f>IF($D2071 &gt; 16, 0, $J$3*(16 - $D2071))</f>
        <v>2534.5334409485031</v>
      </c>
      <c r="F2071">
        <f>IF($D2071 &gt; 16, 0,$E2071*$J$5)</f>
        <v>27547843.969669279</v>
      </c>
      <c r="G2071">
        <f t="shared" si="32"/>
        <v>12.2</v>
      </c>
    </row>
    <row r="2072" spans="2:7" x14ac:dyDescent="0.35">
      <c r="B2072" s="1">
        <v>45744</v>
      </c>
      <c r="C2072" s="2">
        <v>0.25</v>
      </c>
      <c r="D2072">
        <v>3.5</v>
      </c>
      <c r="E2072">
        <f>IF($D2072 &gt; 16, 0, $J$3*(16 - $D2072))</f>
        <v>2596.8580337587123</v>
      </c>
      <c r="F2072">
        <f>IF($D2072 &gt; 16, 0,$E2072*$J$5)</f>
        <v>28225249.968923442</v>
      </c>
      <c r="G2072">
        <f t="shared" si="32"/>
        <v>12.5</v>
      </c>
    </row>
    <row r="2073" spans="2:7" x14ac:dyDescent="0.35">
      <c r="B2073" s="1">
        <v>45744</v>
      </c>
      <c r="C2073" s="2">
        <v>0.29166666666666669</v>
      </c>
      <c r="D2073">
        <v>6</v>
      </c>
      <c r="E2073">
        <f>IF($D2073 &gt; 16, 0, $J$3*(16 - $D2073))</f>
        <v>2077.4864270069697</v>
      </c>
      <c r="F2073">
        <f>IF($D2073 &gt; 16, 0,$E2073*$J$5)</f>
        <v>22580199.975138754</v>
      </c>
      <c r="G2073">
        <f t="shared" si="32"/>
        <v>10</v>
      </c>
    </row>
    <row r="2074" spans="2:7" x14ac:dyDescent="0.35">
      <c r="B2074" s="1">
        <v>45744</v>
      </c>
      <c r="C2074" s="2">
        <v>0.33333333333333331</v>
      </c>
      <c r="D2074">
        <v>8.9</v>
      </c>
      <c r="E2074">
        <f>IF($D2074 &gt; 16, 0, $J$3*(16 - $D2074))</f>
        <v>1475.0153631749486</v>
      </c>
      <c r="F2074">
        <f>IF($D2074 &gt; 16, 0,$E2074*$J$5)</f>
        <v>16031941.982348517</v>
      </c>
      <c r="G2074">
        <f t="shared" si="32"/>
        <v>7.1</v>
      </c>
    </row>
    <row r="2075" spans="2:7" x14ac:dyDescent="0.35">
      <c r="B2075" s="1">
        <v>45744</v>
      </c>
      <c r="C2075" s="2">
        <v>0.375</v>
      </c>
      <c r="D2075">
        <v>11.2</v>
      </c>
      <c r="E2075">
        <f>IF($D2075 &gt; 16, 0, $J$3*(16 - $D2075))</f>
        <v>997.19348496334567</v>
      </c>
      <c r="F2075">
        <f>IF($D2075 &gt; 16, 0,$E2075*$J$5)</f>
        <v>10838495.988066604</v>
      </c>
      <c r="G2075">
        <f t="shared" si="32"/>
        <v>4.8000000000000007</v>
      </c>
    </row>
    <row r="2076" spans="2:7" x14ac:dyDescent="0.35">
      <c r="B2076" s="1">
        <v>45744</v>
      </c>
      <c r="C2076" s="2">
        <v>0.41666666666666669</v>
      </c>
      <c r="D2076">
        <v>13.4</v>
      </c>
      <c r="E2076">
        <f>IF($D2076 &gt; 16, 0, $J$3*(16 - $D2076))</f>
        <v>540.14647102181209</v>
      </c>
      <c r="F2076">
        <f>IF($D2076 &gt; 16, 0,$E2076*$J$5)</f>
        <v>5870851.9935360756</v>
      </c>
      <c r="G2076">
        <f t="shared" si="32"/>
        <v>2.5999999999999996</v>
      </c>
    </row>
    <row r="2077" spans="2:7" x14ac:dyDescent="0.35">
      <c r="B2077" s="1">
        <v>45744</v>
      </c>
      <c r="C2077" s="2">
        <v>0.45833333333333331</v>
      </c>
      <c r="D2077">
        <v>14.9</v>
      </c>
      <c r="E2077">
        <f>IF($D2077 &gt; 16, 0, $J$3*(16 - $D2077))</f>
        <v>228.52350697076662</v>
      </c>
      <c r="F2077">
        <f>IF($D2077 &gt; 16, 0,$E2077*$J$5)</f>
        <v>2483821.9972652625</v>
      </c>
      <c r="G2077">
        <f t="shared" si="32"/>
        <v>1.0999999999999996</v>
      </c>
    </row>
    <row r="2078" spans="2:7" x14ac:dyDescent="0.35">
      <c r="B2078" s="1">
        <v>45744</v>
      </c>
      <c r="C2078" s="2">
        <v>0.5</v>
      </c>
      <c r="D2078">
        <v>16.399999999999999</v>
      </c>
      <c r="E2078">
        <f>IF($D2078 &gt; 16, 0, $J$3*(16 - $D2078))</f>
        <v>0</v>
      </c>
      <c r="F2078">
        <f>IF($D2078 &gt; 16, 0,$E2078*$J$5)</f>
        <v>0</v>
      </c>
      <c r="G2078">
        <f t="shared" si="32"/>
        <v>0</v>
      </c>
    </row>
    <row r="2079" spans="2:7" x14ac:dyDescent="0.35">
      <c r="B2079" s="1">
        <v>45744</v>
      </c>
      <c r="C2079" s="2">
        <v>0.54166666666666663</v>
      </c>
      <c r="D2079">
        <v>17.2</v>
      </c>
      <c r="E2079">
        <f>IF($D2079 &gt; 16, 0, $J$3*(16 - $D2079))</f>
        <v>0</v>
      </c>
      <c r="F2079">
        <f>IF($D2079 &gt; 16, 0,$E2079*$J$5)</f>
        <v>0</v>
      </c>
      <c r="G2079">
        <f t="shared" si="32"/>
        <v>0</v>
      </c>
    </row>
    <row r="2080" spans="2:7" x14ac:dyDescent="0.35">
      <c r="B2080" s="1">
        <v>45744</v>
      </c>
      <c r="C2080" s="2">
        <v>0.58333333333333337</v>
      </c>
      <c r="D2080">
        <v>17.600000000000001</v>
      </c>
      <c r="E2080">
        <f>IF($D2080 &gt; 16, 0, $J$3*(16 - $D2080))</f>
        <v>0</v>
      </c>
      <c r="F2080">
        <f>IF($D2080 &gt; 16, 0,$E2080*$J$5)</f>
        <v>0</v>
      </c>
      <c r="G2080">
        <f t="shared" si="32"/>
        <v>0</v>
      </c>
    </row>
    <row r="2081" spans="2:7" x14ac:dyDescent="0.35">
      <c r="B2081" s="1">
        <v>45744</v>
      </c>
      <c r="C2081" s="2">
        <v>0.625</v>
      </c>
      <c r="D2081">
        <v>17.8</v>
      </c>
      <c r="E2081">
        <f>IF($D2081 &gt; 16, 0, $J$3*(16 - $D2081))</f>
        <v>0</v>
      </c>
      <c r="F2081">
        <f>IF($D2081 &gt; 16, 0,$E2081*$J$5)</f>
        <v>0</v>
      </c>
      <c r="G2081">
        <f t="shared" si="32"/>
        <v>0</v>
      </c>
    </row>
    <row r="2082" spans="2:7" x14ac:dyDescent="0.35">
      <c r="B2082" s="1">
        <v>45744</v>
      </c>
      <c r="C2082" s="2">
        <v>0.66666666666666663</v>
      </c>
      <c r="D2082">
        <v>17.399999999999999</v>
      </c>
      <c r="E2082">
        <f>IF($D2082 &gt; 16, 0, $J$3*(16 - $D2082))</f>
        <v>0</v>
      </c>
      <c r="F2082">
        <f>IF($D2082 &gt; 16, 0,$E2082*$J$5)</f>
        <v>0</v>
      </c>
      <c r="G2082">
        <f t="shared" si="32"/>
        <v>0</v>
      </c>
    </row>
    <row r="2083" spans="2:7" x14ac:dyDescent="0.35">
      <c r="B2083" s="1">
        <v>45744</v>
      </c>
      <c r="C2083" s="2">
        <v>0.70833333333333337</v>
      </c>
      <c r="D2083">
        <v>16.3</v>
      </c>
      <c r="E2083">
        <f>IF($D2083 &gt; 16, 0, $J$3*(16 - $D2083))</f>
        <v>0</v>
      </c>
      <c r="F2083">
        <f>IF($D2083 &gt; 16, 0,$E2083*$J$5)</f>
        <v>0</v>
      </c>
      <c r="G2083">
        <f t="shared" si="32"/>
        <v>0</v>
      </c>
    </row>
    <row r="2084" spans="2:7" x14ac:dyDescent="0.35">
      <c r="B2084" s="1">
        <v>45744</v>
      </c>
      <c r="C2084" s="2">
        <v>0.75</v>
      </c>
      <c r="D2084">
        <v>14.3</v>
      </c>
      <c r="E2084">
        <f>IF($D2084 &gt; 16, 0, $J$3*(16 - $D2084))</f>
        <v>353.17269259118473</v>
      </c>
      <c r="F2084">
        <f>IF($D2084 &gt; 16, 0,$E2084*$J$5)</f>
        <v>3838633.9957735869</v>
      </c>
      <c r="G2084">
        <f t="shared" si="32"/>
        <v>1.6999999999999993</v>
      </c>
    </row>
    <row r="2085" spans="2:7" x14ac:dyDescent="0.35">
      <c r="B2085" s="1">
        <v>45744</v>
      </c>
      <c r="C2085" s="2">
        <v>0.79166666666666663</v>
      </c>
      <c r="D2085">
        <v>9.6999999999999993</v>
      </c>
      <c r="E2085">
        <f>IF($D2085 &gt; 16, 0, $J$3*(16 - $D2085))</f>
        <v>1308.8164490143911</v>
      </c>
      <c r="F2085">
        <f>IF($D2085 &gt; 16, 0,$E2085*$J$5)</f>
        <v>14225525.984337417</v>
      </c>
      <c r="G2085">
        <f t="shared" si="32"/>
        <v>6.3000000000000007</v>
      </c>
    </row>
    <row r="2086" spans="2:7" x14ac:dyDescent="0.35">
      <c r="B2086" s="1">
        <v>45744</v>
      </c>
      <c r="C2086" s="2">
        <v>0.83333333333333337</v>
      </c>
      <c r="D2086">
        <v>7.7</v>
      </c>
      <c r="E2086">
        <f>IF($D2086 &gt; 16, 0, $J$3*(16 - $D2086))</f>
        <v>1724.3137344157851</v>
      </c>
      <c r="F2086">
        <f>IF($D2086 &gt; 16, 0,$E2086*$J$5)</f>
        <v>18741565.97936517</v>
      </c>
      <c r="G2086">
        <f t="shared" si="32"/>
        <v>8.3000000000000007</v>
      </c>
    </row>
    <row r="2087" spans="2:7" x14ac:dyDescent="0.35">
      <c r="B2087" s="1">
        <v>45744</v>
      </c>
      <c r="C2087" s="2">
        <v>0.875</v>
      </c>
      <c r="D2087">
        <v>7</v>
      </c>
      <c r="E2087">
        <f>IF($D2087 &gt; 16, 0, $J$3*(16 - $D2087))</f>
        <v>1869.7377843062729</v>
      </c>
      <c r="F2087">
        <f>IF($D2087 &gt; 16, 0,$E2087*$J$5)</f>
        <v>20322179.977624882</v>
      </c>
      <c r="G2087">
        <f t="shared" si="32"/>
        <v>9</v>
      </c>
    </row>
    <row r="2088" spans="2:7" x14ac:dyDescent="0.35">
      <c r="B2088" s="1">
        <v>45744</v>
      </c>
      <c r="C2088" s="2">
        <v>0.91666666666666663</v>
      </c>
      <c r="D2088">
        <v>7.3</v>
      </c>
      <c r="E2088">
        <f>IF($D2088 &gt; 16, 0, $J$3*(16 - $D2088))</f>
        <v>1807.4131914960637</v>
      </c>
      <c r="F2088">
        <f>IF($D2088 &gt; 16, 0,$E2088*$J$5)</f>
        <v>19644773.978370719</v>
      </c>
      <c r="G2088">
        <f t="shared" si="32"/>
        <v>8.6999999999999993</v>
      </c>
    </row>
    <row r="2089" spans="2:7" x14ac:dyDescent="0.35">
      <c r="B2089" s="1">
        <v>45744</v>
      </c>
      <c r="C2089" s="2">
        <v>0.95833333333333337</v>
      </c>
      <c r="D2089">
        <v>7.6</v>
      </c>
      <c r="E2089">
        <f>IF($D2089 &gt; 16, 0, $J$3*(16 - $D2089))</f>
        <v>1745.0885986858548</v>
      </c>
      <c r="F2089">
        <f>IF($D2089 &gt; 16, 0,$E2089*$J$5)</f>
        <v>18967367.979116555</v>
      </c>
      <c r="G2089">
        <f t="shared" si="32"/>
        <v>8.4</v>
      </c>
    </row>
    <row r="2090" spans="2:7" x14ac:dyDescent="0.35">
      <c r="B2090" s="1">
        <v>45745</v>
      </c>
      <c r="C2090" s="2">
        <v>0</v>
      </c>
      <c r="D2090">
        <v>7.7</v>
      </c>
      <c r="E2090">
        <f>IF($D2090 &gt; 16, 0, $J$3*(16 - $D2090))</f>
        <v>1724.3137344157851</v>
      </c>
      <c r="F2090">
        <f>IF($D2090 &gt; 16, 0,$E2090*$J$5)</f>
        <v>18741565.97936517</v>
      </c>
      <c r="G2090">
        <f t="shared" si="32"/>
        <v>8.3000000000000007</v>
      </c>
    </row>
    <row r="2091" spans="2:7" x14ac:dyDescent="0.35">
      <c r="B2091" s="1">
        <v>45745</v>
      </c>
      <c r="C2091" s="2">
        <v>4.1666666666666657E-2</v>
      </c>
      <c r="D2091">
        <v>7.6</v>
      </c>
      <c r="E2091">
        <f>IF($D2091 &gt; 16, 0, $J$3*(16 - $D2091))</f>
        <v>1745.0885986858548</v>
      </c>
      <c r="F2091">
        <f>IF($D2091 &gt; 16, 0,$E2091*$J$5)</f>
        <v>18967367.979116555</v>
      </c>
      <c r="G2091">
        <f t="shared" si="32"/>
        <v>8.4</v>
      </c>
    </row>
    <row r="2092" spans="2:7" x14ac:dyDescent="0.35">
      <c r="B2092" s="1">
        <v>45745</v>
      </c>
      <c r="C2092" s="2">
        <v>8.3333333333333329E-2</v>
      </c>
      <c r="D2092">
        <v>7.7</v>
      </c>
      <c r="E2092">
        <f>IF($D2092 &gt; 16, 0, $J$3*(16 - $D2092))</f>
        <v>1724.3137344157851</v>
      </c>
      <c r="F2092">
        <f>IF($D2092 &gt; 16, 0,$E2092*$J$5)</f>
        <v>18741565.97936517</v>
      </c>
      <c r="G2092">
        <f t="shared" si="32"/>
        <v>8.3000000000000007</v>
      </c>
    </row>
    <row r="2093" spans="2:7" x14ac:dyDescent="0.35">
      <c r="B2093" s="1">
        <v>45745</v>
      </c>
      <c r="C2093" s="2">
        <v>0.125</v>
      </c>
      <c r="D2093">
        <v>7.7</v>
      </c>
      <c r="E2093">
        <f>IF($D2093 &gt; 16, 0, $J$3*(16 - $D2093))</f>
        <v>1724.3137344157851</v>
      </c>
      <c r="F2093">
        <f>IF($D2093 &gt; 16, 0,$E2093*$J$5)</f>
        <v>18741565.97936517</v>
      </c>
      <c r="G2093">
        <f t="shared" si="32"/>
        <v>8.3000000000000007</v>
      </c>
    </row>
    <row r="2094" spans="2:7" x14ac:dyDescent="0.35">
      <c r="B2094" s="1">
        <v>45745</v>
      </c>
      <c r="C2094" s="2">
        <v>0.16666666666666671</v>
      </c>
      <c r="D2094">
        <v>7.5</v>
      </c>
      <c r="E2094">
        <f>IF($D2094 &gt; 16, 0, $J$3*(16 - $D2094))</f>
        <v>1765.8634629559244</v>
      </c>
      <c r="F2094">
        <f>IF($D2094 &gt; 16, 0,$E2094*$J$5)</f>
        <v>19193169.978867944</v>
      </c>
      <c r="G2094">
        <f t="shared" si="32"/>
        <v>8.5</v>
      </c>
    </row>
    <row r="2095" spans="2:7" x14ac:dyDescent="0.35">
      <c r="B2095" s="1">
        <v>45745</v>
      </c>
      <c r="C2095" s="2">
        <v>0.20833333333333329</v>
      </c>
      <c r="D2095">
        <v>6.9</v>
      </c>
      <c r="E2095">
        <f>IF($D2095 &gt; 16, 0, $J$3*(16 - $D2095))</f>
        <v>1890.5126485763426</v>
      </c>
      <c r="F2095">
        <f>IF($D2095 &gt; 16, 0,$E2095*$J$5)</f>
        <v>20547981.977376267</v>
      </c>
      <c r="G2095">
        <f t="shared" si="32"/>
        <v>9.1</v>
      </c>
    </row>
    <row r="2096" spans="2:7" x14ac:dyDescent="0.35">
      <c r="B2096" s="1">
        <v>45745</v>
      </c>
      <c r="C2096" s="2">
        <v>0.25</v>
      </c>
      <c r="D2096">
        <v>6.9</v>
      </c>
      <c r="E2096">
        <f>IF($D2096 &gt; 16, 0, $J$3*(16 - $D2096))</f>
        <v>1890.5126485763426</v>
      </c>
      <c r="F2096">
        <f>IF($D2096 &gt; 16, 0,$E2096*$J$5)</f>
        <v>20547981.977376267</v>
      </c>
      <c r="G2096">
        <f t="shared" si="32"/>
        <v>9.1</v>
      </c>
    </row>
    <row r="2097" spans="2:7" x14ac:dyDescent="0.35">
      <c r="B2097" s="1">
        <v>45745</v>
      </c>
      <c r="C2097" s="2">
        <v>0.29166666666666669</v>
      </c>
      <c r="D2097">
        <v>7.6</v>
      </c>
      <c r="E2097">
        <f>IF($D2097 &gt; 16, 0, $J$3*(16 - $D2097))</f>
        <v>1745.0885986858548</v>
      </c>
      <c r="F2097">
        <f>IF($D2097 &gt; 16, 0,$E2097*$J$5)</f>
        <v>18967367.979116555</v>
      </c>
      <c r="G2097">
        <f t="shared" si="32"/>
        <v>8.4</v>
      </c>
    </row>
    <row r="2098" spans="2:7" x14ac:dyDescent="0.35">
      <c r="B2098" s="1">
        <v>45745</v>
      </c>
      <c r="C2098" s="2">
        <v>0.33333333333333331</v>
      </c>
      <c r="D2098">
        <v>8.5</v>
      </c>
      <c r="E2098">
        <f>IF($D2098 &gt; 16, 0, $J$3*(16 - $D2098))</f>
        <v>1558.1148202552274</v>
      </c>
      <c r="F2098">
        <f>IF($D2098 &gt; 16, 0,$E2098*$J$5)</f>
        <v>16935149.981354065</v>
      </c>
      <c r="G2098">
        <f t="shared" si="32"/>
        <v>7.5</v>
      </c>
    </row>
    <row r="2099" spans="2:7" x14ac:dyDescent="0.35">
      <c r="B2099" s="1">
        <v>45745</v>
      </c>
      <c r="C2099" s="2">
        <v>0.375</v>
      </c>
      <c r="D2099">
        <v>9.6</v>
      </c>
      <c r="E2099">
        <f>IF($D2099 &gt; 16, 0, $J$3*(16 - $D2099))</f>
        <v>1329.5913132844607</v>
      </c>
      <c r="F2099">
        <f>IF($D2099 &gt; 16, 0,$E2099*$J$5)</f>
        <v>14451327.984088805</v>
      </c>
      <c r="G2099">
        <f t="shared" si="32"/>
        <v>6.4</v>
      </c>
    </row>
    <row r="2100" spans="2:7" x14ac:dyDescent="0.35">
      <c r="B2100" s="1">
        <v>45745</v>
      </c>
      <c r="C2100" s="2">
        <v>0.41666666666666669</v>
      </c>
      <c r="D2100">
        <v>10.9</v>
      </c>
      <c r="E2100">
        <f>IF($D2100 &gt; 16, 0, $J$3*(16 - $D2100))</f>
        <v>1059.5180777735545</v>
      </c>
      <c r="F2100">
        <f>IF($D2100 &gt; 16, 0,$E2100*$J$5)</f>
        <v>11515901.987320764</v>
      </c>
      <c r="G2100">
        <f t="shared" si="32"/>
        <v>5.0999999999999996</v>
      </c>
    </row>
    <row r="2101" spans="2:7" x14ac:dyDescent="0.35">
      <c r="B2101" s="1">
        <v>45745</v>
      </c>
      <c r="C2101" s="2">
        <v>0.45833333333333331</v>
      </c>
      <c r="D2101">
        <v>11.9</v>
      </c>
      <c r="E2101">
        <f>IF($D2101 &gt; 16, 0, $J$3*(16 - $D2101))</f>
        <v>851.76943507285762</v>
      </c>
      <c r="F2101">
        <f>IF($D2101 &gt; 16, 0,$E2101*$J$5)</f>
        <v>9257881.9898068886</v>
      </c>
      <c r="G2101">
        <f t="shared" si="32"/>
        <v>4.0999999999999996</v>
      </c>
    </row>
    <row r="2102" spans="2:7" x14ac:dyDescent="0.35">
      <c r="B2102" s="1">
        <v>45745</v>
      </c>
      <c r="C2102" s="2">
        <v>0.5</v>
      </c>
      <c r="D2102">
        <v>11.7</v>
      </c>
      <c r="E2102">
        <f>IF($D2102 &gt; 16, 0, $J$3*(16 - $D2102))</f>
        <v>893.31916361299716</v>
      </c>
      <c r="F2102">
        <f>IF($D2102 &gt; 16, 0,$E2102*$J$5)</f>
        <v>9709485.9893096667</v>
      </c>
      <c r="G2102">
        <f t="shared" si="32"/>
        <v>4.3000000000000007</v>
      </c>
    </row>
    <row r="2103" spans="2:7" x14ac:dyDescent="0.35">
      <c r="B2103" s="1">
        <v>45745</v>
      </c>
      <c r="C2103" s="2">
        <v>0.54166666666666663</v>
      </c>
      <c r="D2103">
        <v>11.9</v>
      </c>
      <c r="E2103">
        <f>IF($D2103 &gt; 16, 0, $J$3*(16 - $D2103))</f>
        <v>851.76943507285762</v>
      </c>
      <c r="F2103">
        <f>IF($D2103 &gt; 16, 0,$E2103*$J$5)</f>
        <v>9257881.9898068886</v>
      </c>
      <c r="G2103">
        <f t="shared" si="32"/>
        <v>4.0999999999999996</v>
      </c>
    </row>
    <row r="2104" spans="2:7" x14ac:dyDescent="0.35">
      <c r="B2104" s="1">
        <v>45745</v>
      </c>
      <c r="C2104" s="2">
        <v>0.58333333333333337</v>
      </c>
      <c r="D2104">
        <v>12.5</v>
      </c>
      <c r="E2104">
        <f>IF($D2104 &gt; 16, 0, $J$3*(16 - $D2104))</f>
        <v>727.12024945243945</v>
      </c>
      <c r="F2104">
        <f>IF($D2104 &gt; 16, 0,$E2104*$J$5)</f>
        <v>7903069.9912985647</v>
      </c>
      <c r="G2104">
        <f t="shared" si="32"/>
        <v>3.5</v>
      </c>
    </row>
    <row r="2105" spans="2:7" x14ac:dyDescent="0.35">
      <c r="B2105" s="1">
        <v>45745</v>
      </c>
      <c r="C2105" s="2">
        <v>0.625</v>
      </c>
      <c r="D2105">
        <v>11.5</v>
      </c>
      <c r="E2105">
        <f>IF($D2105 &gt; 16, 0, $J$3*(16 - $D2105))</f>
        <v>934.86889215313647</v>
      </c>
      <c r="F2105">
        <f>IF($D2105 &gt; 16, 0,$E2105*$J$5)</f>
        <v>10161089.988812441</v>
      </c>
      <c r="G2105">
        <f t="shared" si="32"/>
        <v>4.5</v>
      </c>
    </row>
    <row r="2106" spans="2:7" x14ac:dyDescent="0.35">
      <c r="B2106" s="1">
        <v>45745</v>
      </c>
      <c r="C2106" s="2">
        <v>0.66666666666666663</v>
      </c>
      <c r="D2106">
        <v>11.2</v>
      </c>
      <c r="E2106">
        <f>IF($D2106 &gt; 16, 0, $J$3*(16 - $D2106))</f>
        <v>997.19348496334567</v>
      </c>
      <c r="F2106">
        <f>IF($D2106 &gt; 16, 0,$E2106*$J$5)</f>
        <v>10838495.988066604</v>
      </c>
      <c r="G2106">
        <f t="shared" si="32"/>
        <v>4.8000000000000007</v>
      </c>
    </row>
    <row r="2107" spans="2:7" x14ac:dyDescent="0.35">
      <c r="B2107" s="1">
        <v>45745</v>
      </c>
      <c r="C2107" s="2">
        <v>0.70833333333333337</v>
      </c>
      <c r="D2107">
        <v>10</v>
      </c>
      <c r="E2107">
        <f>IF($D2107 &gt; 16, 0, $J$3*(16 - $D2107))</f>
        <v>1246.4918562041819</v>
      </c>
      <c r="F2107">
        <f>IF($D2107 &gt; 16, 0,$E2107*$J$5)</f>
        <v>13548119.985083252</v>
      </c>
      <c r="G2107">
        <f t="shared" si="32"/>
        <v>6</v>
      </c>
    </row>
    <row r="2108" spans="2:7" x14ac:dyDescent="0.35">
      <c r="B2108" s="1">
        <v>45745</v>
      </c>
      <c r="C2108" s="2">
        <v>0.75</v>
      </c>
      <c r="D2108">
        <v>8.5</v>
      </c>
      <c r="E2108">
        <f>IF($D2108 &gt; 16, 0, $J$3*(16 - $D2108))</f>
        <v>1558.1148202552274</v>
      </c>
      <c r="F2108">
        <f>IF($D2108 &gt; 16, 0,$E2108*$J$5)</f>
        <v>16935149.981354065</v>
      </c>
      <c r="G2108">
        <f t="shared" si="32"/>
        <v>7.5</v>
      </c>
    </row>
    <row r="2109" spans="2:7" x14ac:dyDescent="0.35">
      <c r="B2109" s="1">
        <v>45745</v>
      </c>
      <c r="C2109" s="2">
        <v>0.79166666666666663</v>
      </c>
      <c r="D2109">
        <v>7.3</v>
      </c>
      <c r="E2109">
        <f>IF($D2109 &gt; 16, 0, $J$3*(16 - $D2109))</f>
        <v>1807.4131914960637</v>
      </c>
      <c r="F2109">
        <f>IF($D2109 &gt; 16, 0,$E2109*$J$5)</f>
        <v>19644773.978370719</v>
      </c>
      <c r="G2109">
        <f t="shared" si="32"/>
        <v>8.6999999999999993</v>
      </c>
    </row>
    <row r="2110" spans="2:7" x14ac:dyDescent="0.35">
      <c r="B2110" s="1">
        <v>45745</v>
      </c>
      <c r="C2110" s="2">
        <v>0.83333333333333337</v>
      </c>
      <c r="D2110">
        <v>6.1</v>
      </c>
      <c r="E2110">
        <f>IF($D2110 &gt; 16, 0, $J$3*(16 - $D2110))</f>
        <v>2056.7115627369003</v>
      </c>
      <c r="F2110">
        <f>IF($D2110 &gt; 16, 0,$E2110*$J$5)</f>
        <v>22354397.975387368</v>
      </c>
      <c r="G2110">
        <f t="shared" si="32"/>
        <v>9.9</v>
      </c>
    </row>
    <row r="2111" spans="2:7" x14ac:dyDescent="0.35">
      <c r="B2111" s="1">
        <v>45745</v>
      </c>
      <c r="C2111" s="2">
        <v>0.875</v>
      </c>
      <c r="D2111">
        <v>3.5</v>
      </c>
      <c r="E2111">
        <f>IF($D2111 &gt; 16, 0, $J$3*(16 - $D2111))</f>
        <v>2596.8580337587123</v>
      </c>
      <c r="F2111">
        <f>IF($D2111 &gt; 16, 0,$E2111*$J$5)</f>
        <v>28225249.968923442</v>
      </c>
      <c r="G2111">
        <f t="shared" si="32"/>
        <v>12.5</v>
      </c>
    </row>
    <row r="2112" spans="2:7" x14ac:dyDescent="0.35">
      <c r="B2112" s="1">
        <v>45745</v>
      </c>
      <c r="C2112" s="2">
        <v>0.91666666666666663</v>
      </c>
      <c r="D2112">
        <v>3.5</v>
      </c>
      <c r="E2112">
        <f>IF($D2112 &gt; 16, 0, $J$3*(16 - $D2112))</f>
        <v>2596.8580337587123</v>
      </c>
      <c r="F2112">
        <f>IF($D2112 &gt; 16, 0,$E2112*$J$5)</f>
        <v>28225249.968923442</v>
      </c>
      <c r="G2112">
        <f t="shared" si="32"/>
        <v>12.5</v>
      </c>
    </row>
    <row r="2113" spans="2:7" x14ac:dyDescent="0.35">
      <c r="B2113" s="1">
        <v>45745</v>
      </c>
      <c r="C2113" s="2">
        <v>0.95833333333333337</v>
      </c>
      <c r="D2113">
        <v>3.9</v>
      </c>
      <c r="E2113">
        <f>IF($D2113 &gt; 16, 0, $J$3*(16 - $D2113))</f>
        <v>2513.7585766784337</v>
      </c>
      <c r="F2113">
        <f>IF($D2113 &gt; 16, 0,$E2113*$J$5)</f>
        <v>27322041.969917897</v>
      </c>
      <c r="G2113">
        <f t="shared" si="32"/>
        <v>12.1</v>
      </c>
    </row>
    <row r="2114" spans="2:7" x14ac:dyDescent="0.35">
      <c r="B2114" s="1">
        <v>45746</v>
      </c>
      <c r="C2114" s="2">
        <v>0</v>
      </c>
      <c r="D2114">
        <v>3.9</v>
      </c>
      <c r="E2114">
        <f>IF($D2114 &gt; 16, 0, $J$3*(16 - $D2114))</f>
        <v>2513.7585766784337</v>
      </c>
      <c r="F2114">
        <f>IF($D2114 &gt; 16, 0,$E2114*$J$5)</f>
        <v>27322041.969917897</v>
      </c>
      <c r="G2114">
        <f t="shared" si="32"/>
        <v>12.1</v>
      </c>
    </row>
    <row r="2115" spans="2:7" x14ac:dyDescent="0.35">
      <c r="B2115" s="1">
        <v>45746</v>
      </c>
      <c r="C2115" s="2">
        <v>4.1666666666666657E-2</v>
      </c>
      <c r="D2115">
        <v>6.3</v>
      </c>
      <c r="E2115">
        <f>IF($D2115 &gt; 16, 0, $J$3*(16 - $D2115))</f>
        <v>2015.1618341967608</v>
      </c>
      <c r="F2115">
        <f>IF($D2115 &gt; 16, 0,$E2115*$J$5)</f>
        <v>21902793.975884594</v>
      </c>
      <c r="G2115">
        <f t="shared" ref="G2115:G2178" si="33">MAX(0, 16 - $D2115)</f>
        <v>9.6999999999999993</v>
      </c>
    </row>
    <row r="2116" spans="2:7" x14ac:dyDescent="0.35">
      <c r="B2116" s="1">
        <v>45746</v>
      </c>
      <c r="C2116" s="2">
        <v>8.3333333333333329E-2</v>
      </c>
      <c r="D2116">
        <v>6.4</v>
      </c>
      <c r="E2116">
        <f>IF($D2116 &gt; 16, 0, $J$3*(16 - $D2116))</f>
        <v>1994.3869699266911</v>
      </c>
      <c r="F2116">
        <f>IF($D2116 &gt; 16, 0,$E2116*$J$5)</f>
        <v>21676991.976133205</v>
      </c>
      <c r="G2116">
        <f t="shared" si="33"/>
        <v>9.6</v>
      </c>
    </row>
    <row r="2117" spans="2:7" x14ac:dyDescent="0.35">
      <c r="B2117" s="1">
        <v>45746</v>
      </c>
      <c r="C2117" s="2">
        <v>0.125</v>
      </c>
      <c r="D2117">
        <v>7</v>
      </c>
      <c r="E2117">
        <f>IF($D2117 &gt; 16, 0, $J$3*(16 - $D2117))</f>
        <v>1869.7377843062729</v>
      </c>
      <c r="F2117">
        <f>IF($D2117 &gt; 16, 0,$E2117*$J$5)</f>
        <v>20322179.977624882</v>
      </c>
      <c r="G2117">
        <f t="shared" si="33"/>
        <v>9</v>
      </c>
    </row>
    <row r="2118" spans="2:7" x14ac:dyDescent="0.35">
      <c r="B2118" s="1">
        <v>45746</v>
      </c>
      <c r="C2118" s="2">
        <v>0.16666666666666671</v>
      </c>
      <c r="D2118">
        <v>6.9</v>
      </c>
      <c r="E2118">
        <f>IF($D2118 &gt; 16, 0, $J$3*(16 - $D2118))</f>
        <v>1890.5126485763426</v>
      </c>
      <c r="F2118">
        <f>IF($D2118 &gt; 16, 0,$E2118*$J$5)</f>
        <v>20547981.977376267</v>
      </c>
      <c r="G2118">
        <f t="shared" si="33"/>
        <v>9.1</v>
      </c>
    </row>
    <row r="2119" spans="2:7" x14ac:dyDescent="0.35">
      <c r="B2119" s="1">
        <v>45746</v>
      </c>
      <c r="C2119" s="2">
        <v>0.20833333333333329</v>
      </c>
      <c r="D2119">
        <v>6</v>
      </c>
      <c r="E2119">
        <f>IF($D2119 &gt; 16, 0, $J$3*(16 - $D2119))</f>
        <v>2077.4864270069697</v>
      </c>
      <c r="F2119">
        <f>IF($D2119 &gt; 16, 0,$E2119*$J$5)</f>
        <v>22580199.975138754</v>
      </c>
      <c r="G2119">
        <f t="shared" si="33"/>
        <v>10</v>
      </c>
    </row>
    <row r="2120" spans="2:7" x14ac:dyDescent="0.35">
      <c r="B2120" s="1">
        <v>45746</v>
      </c>
      <c r="C2120" s="2">
        <v>0.25</v>
      </c>
      <c r="D2120">
        <v>5.6</v>
      </c>
      <c r="E2120">
        <f>IF($D2120 &gt; 16, 0, $J$3*(16 - $D2120))</f>
        <v>2160.5858840872488</v>
      </c>
      <c r="F2120">
        <f>IF($D2120 &gt; 16, 0,$E2120*$J$5)</f>
        <v>23483407.974144306</v>
      </c>
      <c r="G2120">
        <f t="shared" si="33"/>
        <v>10.4</v>
      </c>
    </row>
    <row r="2121" spans="2:7" x14ac:dyDescent="0.35">
      <c r="B2121" s="1">
        <v>45746</v>
      </c>
      <c r="C2121" s="2">
        <v>0.29166666666666669</v>
      </c>
      <c r="D2121">
        <v>6.1</v>
      </c>
      <c r="E2121">
        <f>IF($D2121 &gt; 16, 0, $J$3*(16 - $D2121))</f>
        <v>2056.7115627369003</v>
      </c>
      <c r="F2121">
        <f>IF($D2121 &gt; 16, 0,$E2121*$J$5)</f>
        <v>22354397.975387368</v>
      </c>
      <c r="G2121">
        <f t="shared" si="33"/>
        <v>9.9</v>
      </c>
    </row>
    <row r="2122" spans="2:7" x14ac:dyDescent="0.35">
      <c r="B2122" s="1">
        <v>45746</v>
      </c>
      <c r="C2122" s="2">
        <v>0.33333333333333331</v>
      </c>
      <c r="D2122">
        <v>7.3</v>
      </c>
      <c r="E2122">
        <f>IF($D2122 &gt; 16, 0, $J$3*(16 - $D2122))</f>
        <v>1807.4131914960637</v>
      </c>
      <c r="F2122">
        <f>IF($D2122 &gt; 16, 0,$E2122*$J$5)</f>
        <v>19644773.978370719</v>
      </c>
      <c r="G2122">
        <f t="shared" si="33"/>
        <v>8.6999999999999993</v>
      </c>
    </row>
    <row r="2123" spans="2:7" x14ac:dyDescent="0.35">
      <c r="B2123" s="1">
        <v>45746</v>
      </c>
      <c r="C2123" s="2">
        <v>0.375</v>
      </c>
      <c r="D2123">
        <v>8</v>
      </c>
      <c r="E2123">
        <f>IF($D2123 &gt; 16, 0, $J$3*(16 - $D2123))</f>
        <v>1661.9891416055759</v>
      </c>
      <c r="F2123">
        <f>IF($D2123 &gt; 16, 0,$E2123*$J$5)</f>
        <v>18064159.980111003</v>
      </c>
      <c r="G2123">
        <f t="shared" si="33"/>
        <v>8</v>
      </c>
    </row>
    <row r="2124" spans="2:7" x14ac:dyDescent="0.35">
      <c r="B2124" s="1">
        <v>45746</v>
      </c>
      <c r="C2124" s="2">
        <v>0.41666666666666669</v>
      </c>
      <c r="D2124">
        <v>8.6</v>
      </c>
      <c r="E2124">
        <f>IF($D2124 &gt; 16, 0, $J$3*(16 - $D2124))</f>
        <v>1537.3399559851578</v>
      </c>
      <c r="F2124">
        <f>IF($D2124 &gt; 16, 0,$E2124*$J$5)</f>
        <v>16709347.98160268</v>
      </c>
      <c r="G2124">
        <f t="shared" si="33"/>
        <v>7.4</v>
      </c>
    </row>
    <row r="2125" spans="2:7" x14ac:dyDescent="0.35">
      <c r="B2125" s="1">
        <v>45746</v>
      </c>
      <c r="C2125" s="2">
        <v>0.45833333333333331</v>
      </c>
      <c r="D2125">
        <v>8.6</v>
      </c>
      <c r="E2125">
        <f>IF($D2125 &gt; 16, 0, $J$3*(16 - $D2125))</f>
        <v>1537.3399559851578</v>
      </c>
      <c r="F2125">
        <f>IF($D2125 &gt; 16, 0,$E2125*$J$5)</f>
        <v>16709347.98160268</v>
      </c>
      <c r="G2125">
        <f t="shared" si="33"/>
        <v>7.4</v>
      </c>
    </row>
    <row r="2126" spans="2:7" x14ac:dyDescent="0.35">
      <c r="B2126" s="1">
        <v>45746</v>
      </c>
      <c r="C2126" s="2">
        <v>0.5</v>
      </c>
      <c r="D2126">
        <v>7.9</v>
      </c>
      <c r="E2126">
        <f>IF($D2126 &gt; 16, 0, $J$3*(16 - $D2126))</f>
        <v>1682.7640058756456</v>
      </c>
      <c r="F2126">
        <f>IF($D2126 &gt; 16, 0,$E2126*$J$5)</f>
        <v>18289961.979862392</v>
      </c>
      <c r="G2126">
        <f t="shared" si="33"/>
        <v>8.1</v>
      </c>
    </row>
    <row r="2127" spans="2:7" x14ac:dyDescent="0.35">
      <c r="B2127" s="1">
        <v>45746</v>
      </c>
      <c r="C2127" s="2">
        <v>0.54166666666666663</v>
      </c>
      <c r="D2127">
        <v>8.6</v>
      </c>
      <c r="E2127">
        <f>IF($D2127 &gt; 16, 0, $J$3*(16 - $D2127))</f>
        <v>1537.3399559851578</v>
      </c>
      <c r="F2127">
        <f>IF($D2127 &gt; 16, 0,$E2127*$J$5)</f>
        <v>16709347.98160268</v>
      </c>
      <c r="G2127">
        <f t="shared" si="33"/>
        <v>7.4</v>
      </c>
    </row>
    <row r="2128" spans="2:7" x14ac:dyDescent="0.35">
      <c r="B2128" s="1">
        <v>45746</v>
      </c>
      <c r="C2128" s="2">
        <v>0.58333333333333337</v>
      </c>
      <c r="D2128">
        <v>8.5</v>
      </c>
      <c r="E2128">
        <f>IF($D2128 &gt; 16, 0, $J$3*(16 - $D2128))</f>
        <v>1558.1148202552274</v>
      </c>
      <c r="F2128">
        <f>IF($D2128 &gt; 16, 0,$E2128*$J$5)</f>
        <v>16935149.981354065</v>
      </c>
      <c r="G2128">
        <f t="shared" si="33"/>
        <v>7.5</v>
      </c>
    </row>
    <row r="2129" spans="2:7" x14ac:dyDescent="0.35">
      <c r="B2129" s="1">
        <v>45746</v>
      </c>
      <c r="C2129" s="2">
        <v>0.625</v>
      </c>
      <c r="D2129">
        <v>9</v>
      </c>
      <c r="E2129">
        <f>IF($D2129 &gt; 16, 0, $J$3*(16 - $D2129))</f>
        <v>1454.2404989048789</v>
      </c>
      <c r="F2129">
        <f>IF($D2129 &gt; 16, 0,$E2129*$J$5)</f>
        <v>15806139.982597129</v>
      </c>
      <c r="G2129">
        <f t="shared" si="33"/>
        <v>7</v>
      </c>
    </row>
    <row r="2130" spans="2:7" x14ac:dyDescent="0.35">
      <c r="B2130" s="1">
        <v>45746</v>
      </c>
      <c r="C2130" s="2">
        <v>0.66666666666666663</v>
      </c>
      <c r="D2130">
        <v>8.9</v>
      </c>
      <c r="E2130">
        <f>IF($D2130 &gt; 16, 0, $J$3*(16 - $D2130))</f>
        <v>1475.0153631749486</v>
      </c>
      <c r="F2130">
        <f>IF($D2130 &gt; 16, 0,$E2130*$J$5)</f>
        <v>16031941.982348517</v>
      </c>
      <c r="G2130">
        <f t="shared" si="33"/>
        <v>7.1</v>
      </c>
    </row>
    <row r="2131" spans="2:7" x14ac:dyDescent="0.35">
      <c r="B2131" s="1">
        <v>45746</v>
      </c>
      <c r="C2131" s="2">
        <v>0.70833333333333337</v>
      </c>
      <c r="D2131">
        <v>8.6</v>
      </c>
      <c r="E2131">
        <f>IF($D2131 &gt; 16, 0, $J$3*(16 - $D2131))</f>
        <v>1537.3399559851578</v>
      </c>
      <c r="F2131">
        <f>IF($D2131 &gt; 16, 0,$E2131*$J$5)</f>
        <v>16709347.98160268</v>
      </c>
      <c r="G2131">
        <f t="shared" si="33"/>
        <v>7.4</v>
      </c>
    </row>
    <row r="2132" spans="2:7" x14ac:dyDescent="0.35">
      <c r="B2132" s="1">
        <v>45746</v>
      </c>
      <c r="C2132" s="2">
        <v>0.75</v>
      </c>
      <c r="D2132">
        <v>7.6</v>
      </c>
      <c r="E2132">
        <f>IF($D2132 &gt; 16, 0, $J$3*(16 - $D2132))</f>
        <v>1745.0885986858548</v>
      </c>
      <c r="F2132">
        <f>IF($D2132 &gt; 16, 0,$E2132*$J$5)</f>
        <v>18967367.979116555</v>
      </c>
      <c r="G2132">
        <f t="shared" si="33"/>
        <v>8.4</v>
      </c>
    </row>
    <row r="2133" spans="2:7" x14ac:dyDescent="0.35">
      <c r="B2133" s="1">
        <v>45746</v>
      </c>
      <c r="C2133" s="2">
        <v>0.79166666666666663</v>
      </c>
      <c r="D2133">
        <v>7.4</v>
      </c>
      <c r="E2133">
        <f>IF($D2133 &gt; 16, 0, $J$3*(16 - $D2133))</f>
        <v>1786.6383272259941</v>
      </c>
      <c r="F2133">
        <f>IF($D2133 &gt; 16, 0,$E2133*$J$5)</f>
        <v>19418971.97861933</v>
      </c>
      <c r="G2133">
        <f t="shared" si="33"/>
        <v>8.6</v>
      </c>
    </row>
    <row r="2134" spans="2:7" x14ac:dyDescent="0.35">
      <c r="B2134" s="1">
        <v>45746</v>
      </c>
      <c r="C2134" s="2">
        <v>0.83333333333333337</v>
      </c>
      <c r="D2134">
        <v>6.9</v>
      </c>
      <c r="E2134">
        <f>IF($D2134 &gt; 16, 0, $J$3*(16 - $D2134))</f>
        <v>1890.5126485763426</v>
      </c>
      <c r="F2134">
        <f>IF($D2134 &gt; 16, 0,$E2134*$J$5)</f>
        <v>20547981.977376267</v>
      </c>
      <c r="G2134">
        <f t="shared" si="33"/>
        <v>9.1</v>
      </c>
    </row>
    <row r="2135" spans="2:7" x14ac:dyDescent="0.35">
      <c r="B2135" s="1">
        <v>45746</v>
      </c>
      <c r="C2135" s="2">
        <v>0.875</v>
      </c>
      <c r="D2135">
        <v>7</v>
      </c>
      <c r="E2135">
        <f>IF($D2135 &gt; 16, 0, $J$3*(16 - $D2135))</f>
        <v>1869.7377843062729</v>
      </c>
      <c r="F2135">
        <f>IF($D2135 &gt; 16, 0,$E2135*$J$5)</f>
        <v>20322179.977624882</v>
      </c>
      <c r="G2135">
        <f t="shared" si="33"/>
        <v>9</v>
      </c>
    </row>
    <row r="2136" spans="2:7" x14ac:dyDescent="0.35">
      <c r="B2136" s="1">
        <v>45746</v>
      </c>
      <c r="C2136" s="2">
        <v>0.91666666666666663</v>
      </c>
      <c r="D2136">
        <v>7.1</v>
      </c>
      <c r="E2136">
        <f>IF($D2136 &gt; 16, 0, $J$3*(16 - $D2136))</f>
        <v>1848.9629200362033</v>
      </c>
      <c r="F2136">
        <f>IF($D2136 &gt; 16, 0,$E2136*$J$5)</f>
        <v>20096377.977873493</v>
      </c>
      <c r="G2136">
        <f t="shared" si="33"/>
        <v>8.9</v>
      </c>
    </row>
    <row r="2137" spans="2:7" x14ac:dyDescent="0.35">
      <c r="B2137" s="1">
        <v>45746</v>
      </c>
      <c r="C2137" s="2">
        <v>0.95833333333333337</v>
      </c>
      <c r="D2137">
        <v>7.2</v>
      </c>
      <c r="E2137">
        <f>IF($D2137 &gt; 16, 0, $J$3*(16 - $D2137))</f>
        <v>1828.1880557661336</v>
      </c>
      <c r="F2137">
        <f>IF($D2137 &gt; 16, 0,$E2137*$J$5)</f>
        <v>19870575.978122108</v>
      </c>
      <c r="G2137">
        <f t="shared" si="33"/>
        <v>8.8000000000000007</v>
      </c>
    </row>
    <row r="2138" spans="2:7" x14ac:dyDescent="0.35">
      <c r="B2138" s="1">
        <v>45747</v>
      </c>
      <c r="C2138" s="2">
        <v>0</v>
      </c>
      <c r="D2138">
        <v>7</v>
      </c>
      <c r="E2138">
        <f>IF($D2138 &gt; 16, 0, $J$3*(16 - $D2138))</f>
        <v>1869.7377843062729</v>
      </c>
      <c r="F2138">
        <f>IF($D2138 &gt; 16, 0,$E2138*$J$5)</f>
        <v>20322179.977624882</v>
      </c>
      <c r="G2138">
        <f t="shared" si="33"/>
        <v>9</v>
      </c>
    </row>
    <row r="2139" spans="2:7" x14ac:dyDescent="0.35">
      <c r="B2139" s="1">
        <v>45747</v>
      </c>
      <c r="C2139" s="2">
        <v>4.1666666666666657E-2</v>
      </c>
      <c r="D2139">
        <v>6.9</v>
      </c>
      <c r="E2139">
        <f>IF($D2139 &gt; 16, 0, $J$3*(16 - $D2139))</f>
        <v>1890.5126485763426</v>
      </c>
      <c r="F2139">
        <f>IF($D2139 &gt; 16, 0,$E2139*$J$5)</f>
        <v>20547981.977376267</v>
      </c>
      <c r="G2139">
        <f t="shared" si="33"/>
        <v>9.1</v>
      </c>
    </row>
    <row r="2140" spans="2:7" x14ac:dyDescent="0.35">
      <c r="B2140" s="1">
        <v>45747</v>
      </c>
      <c r="C2140" s="2">
        <v>8.3333333333333329E-2</v>
      </c>
      <c r="D2140">
        <v>6.6</v>
      </c>
      <c r="E2140">
        <f>IF($D2140 &gt; 16, 0, $J$3*(16 - $D2140))</f>
        <v>1952.8372413865518</v>
      </c>
      <c r="F2140">
        <f>IF($D2140 &gt; 16, 0,$E2140*$J$5)</f>
        <v>21225387.976630431</v>
      </c>
      <c r="G2140">
        <f t="shared" si="33"/>
        <v>9.4</v>
      </c>
    </row>
    <row r="2141" spans="2:7" x14ac:dyDescent="0.35">
      <c r="B2141" s="1">
        <v>45747</v>
      </c>
      <c r="C2141" s="2">
        <v>0.125</v>
      </c>
      <c r="D2141">
        <v>6.1</v>
      </c>
      <c r="E2141">
        <f>IF($D2141 &gt; 16, 0, $J$3*(16 - $D2141))</f>
        <v>2056.7115627369003</v>
      </c>
      <c r="F2141">
        <f>IF($D2141 &gt; 16, 0,$E2141*$J$5)</f>
        <v>22354397.975387368</v>
      </c>
      <c r="G2141">
        <f t="shared" si="33"/>
        <v>9.9</v>
      </c>
    </row>
    <row r="2142" spans="2:7" x14ac:dyDescent="0.35">
      <c r="B2142" s="1">
        <v>45747</v>
      </c>
      <c r="C2142" s="2">
        <v>0.16666666666666671</v>
      </c>
      <c r="D2142">
        <v>5.6</v>
      </c>
      <c r="E2142">
        <f>IF($D2142 &gt; 16, 0, $J$3*(16 - $D2142))</f>
        <v>2160.5858840872488</v>
      </c>
      <c r="F2142">
        <f>IF($D2142 &gt; 16, 0,$E2142*$J$5)</f>
        <v>23483407.974144306</v>
      </c>
      <c r="G2142">
        <f t="shared" si="33"/>
        <v>10.4</v>
      </c>
    </row>
    <row r="2143" spans="2:7" x14ac:dyDescent="0.35">
      <c r="B2143" s="1">
        <v>45747</v>
      </c>
      <c r="C2143" s="2">
        <v>0.20833333333333329</v>
      </c>
      <c r="D2143">
        <v>5.2</v>
      </c>
      <c r="E2143">
        <f>IF($D2143 &gt; 16, 0, $J$3*(16 - $D2143))</f>
        <v>2243.6853411675274</v>
      </c>
      <c r="F2143">
        <f>IF($D2143 &gt; 16, 0,$E2143*$J$5)</f>
        <v>24386615.973149855</v>
      </c>
      <c r="G2143">
        <f t="shared" si="33"/>
        <v>10.8</v>
      </c>
    </row>
    <row r="2144" spans="2:7" x14ac:dyDescent="0.35">
      <c r="B2144" s="1">
        <v>45747</v>
      </c>
      <c r="C2144" s="2">
        <v>0.25</v>
      </c>
      <c r="D2144">
        <v>4.9000000000000004</v>
      </c>
      <c r="E2144">
        <f>IF($D2144 &gt; 16, 0, $J$3*(16 - $D2144))</f>
        <v>2306.0099339777366</v>
      </c>
      <c r="F2144">
        <f>IF($D2144 &gt; 16, 0,$E2144*$J$5)</f>
        <v>25064021.972404018</v>
      </c>
      <c r="G2144">
        <f t="shared" si="33"/>
        <v>11.1</v>
      </c>
    </row>
    <row r="2145" spans="2:7" x14ac:dyDescent="0.35">
      <c r="B2145" s="1">
        <v>45747</v>
      </c>
      <c r="C2145" s="2">
        <v>0.29166666666666669</v>
      </c>
      <c r="D2145">
        <v>5</v>
      </c>
      <c r="E2145">
        <f>IF($D2145 &gt; 16, 0, $J$3*(16 - $D2145))</f>
        <v>2285.2350697076668</v>
      </c>
      <c r="F2145">
        <f>IF($D2145 &gt; 16, 0,$E2145*$J$5)</f>
        <v>24838219.972652629</v>
      </c>
      <c r="G2145">
        <f t="shared" si="33"/>
        <v>11</v>
      </c>
    </row>
    <row r="2146" spans="2:7" x14ac:dyDescent="0.35">
      <c r="B2146" s="1">
        <v>45747</v>
      </c>
      <c r="C2146" s="2">
        <v>0.33333333333333331</v>
      </c>
      <c r="D2146">
        <v>6</v>
      </c>
      <c r="E2146">
        <f>IF($D2146 &gt; 16, 0, $J$3*(16 - $D2146))</f>
        <v>2077.4864270069697</v>
      </c>
      <c r="F2146">
        <f>IF($D2146 &gt; 16, 0,$E2146*$J$5)</f>
        <v>22580199.975138754</v>
      </c>
      <c r="G2146">
        <f t="shared" si="33"/>
        <v>10</v>
      </c>
    </row>
    <row r="2147" spans="2:7" x14ac:dyDescent="0.35">
      <c r="B2147" s="1">
        <v>45747</v>
      </c>
      <c r="C2147" s="2">
        <v>0.375</v>
      </c>
      <c r="D2147">
        <v>7.5</v>
      </c>
      <c r="E2147">
        <f>IF($D2147 &gt; 16, 0, $J$3*(16 - $D2147))</f>
        <v>1765.8634629559244</v>
      </c>
      <c r="F2147">
        <f>IF($D2147 &gt; 16, 0,$E2147*$J$5)</f>
        <v>19193169.978867944</v>
      </c>
      <c r="G2147">
        <f t="shared" si="33"/>
        <v>8.5</v>
      </c>
    </row>
    <row r="2148" spans="2:7" x14ac:dyDescent="0.35">
      <c r="B2148" s="1">
        <v>45747</v>
      </c>
      <c r="C2148" s="2">
        <v>0.41666666666666669</v>
      </c>
      <c r="D2148">
        <v>8</v>
      </c>
      <c r="E2148">
        <f>IF($D2148 &gt; 16, 0, $J$3*(16 - $D2148))</f>
        <v>1661.9891416055759</v>
      </c>
      <c r="F2148">
        <f>IF($D2148 &gt; 16, 0,$E2148*$J$5)</f>
        <v>18064159.980111003</v>
      </c>
      <c r="G2148">
        <f t="shared" si="33"/>
        <v>8</v>
      </c>
    </row>
    <row r="2149" spans="2:7" x14ac:dyDescent="0.35">
      <c r="B2149" s="1">
        <v>45747</v>
      </c>
      <c r="C2149" s="2">
        <v>0.45833333333333331</v>
      </c>
      <c r="D2149">
        <v>9.8000000000000007</v>
      </c>
      <c r="E2149">
        <f>IF($D2149 &gt; 16, 0, $J$3*(16 - $D2149))</f>
        <v>1288.0415847443212</v>
      </c>
      <c r="F2149">
        <f>IF($D2149 &gt; 16, 0,$E2149*$J$5)</f>
        <v>13999723.984586027</v>
      </c>
      <c r="G2149">
        <f t="shared" si="33"/>
        <v>6.1999999999999993</v>
      </c>
    </row>
    <row r="2150" spans="2:7" x14ac:dyDescent="0.35">
      <c r="B2150" s="1">
        <v>45747</v>
      </c>
      <c r="C2150" s="2">
        <v>0.5</v>
      </c>
      <c r="D2150">
        <v>10.8</v>
      </c>
      <c r="E2150">
        <f>IF($D2150 &gt; 16, 0, $J$3*(16 - $D2150))</f>
        <v>1080.2929420436242</v>
      </c>
      <c r="F2150">
        <f>IF($D2150 &gt; 16, 0,$E2150*$J$5)</f>
        <v>11741703.987072151</v>
      </c>
      <c r="G2150">
        <f t="shared" si="33"/>
        <v>5.1999999999999993</v>
      </c>
    </row>
    <row r="2151" spans="2:7" x14ac:dyDescent="0.35">
      <c r="B2151" s="1">
        <v>45747</v>
      </c>
      <c r="C2151" s="2">
        <v>0.54166666666666663</v>
      </c>
      <c r="D2151">
        <v>11.4</v>
      </c>
      <c r="E2151">
        <f>IF($D2151 &gt; 16, 0, $J$3*(16 - $D2151))</f>
        <v>955.64375642320613</v>
      </c>
      <c r="F2151">
        <f>IF($D2151 &gt; 16, 0,$E2151*$J$5)</f>
        <v>10386891.988563828</v>
      </c>
      <c r="G2151">
        <f t="shared" si="33"/>
        <v>4.5999999999999996</v>
      </c>
    </row>
    <row r="2152" spans="2:7" x14ac:dyDescent="0.35">
      <c r="B2152" s="1">
        <v>45747</v>
      </c>
      <c r="C2152" s="2">
        <v>0.58333333333333337</v>
      </c>
      <c r="D2152">
        <v>12.6</v>
      </c>
      <c r="E2152">
        <f>IF($D2152 &gt; 16, 0, $J$3*(16 - $D2152))</f>
        <v>706.3453851823698</v>
      </c>
      <c r="F2152">
        <f>IF($D2152 &gt; 16, 0,$E2152*$J$5)</f>
        <v>7677267.9915471775</v>
      </c>
      <c r="G2152">
        <f t="shared" si="33"/>
        <v>3.4000000000000004</v>
      </c>
    </row>
    <row r="2153" spans="2:7" x14ac:dyDescent="0.35">
      <c r="B2153" s="1">
        <v>45747</v>
      </c>
      <c r="C2153" s="2">
        <v>0.625</v>
      </c>
      <c r="D2153">
        <v>12.3</v>
      </c>
      <c r="E2153">
        <f>IF($D2153 &gt; 16, 0, $J$3*(16 - $D2153))</f>
        <v>768.66997799257877</v>
      </c>
      <c r="F2153">
        <f>IF($D2153 &gt; 16, 0,$E2153*$J$5)</f>
        <v>8354673.990801339</v>
      </c>
      <c r="G2153">
        <f t="shared" si="33"/>
        <v>3.6999999999999993</v>
      </c>
    </row>
    <row r="2154" spans="2:7" x14ac:dyDescent="0.35">
      <c r="B2154" s="1">
        <v>45747</v>
      </c>
      <c r="C2154" s="2">
        <v>0.66666666666666663</v>
      </c>
      <c r="D2154">
        <v>12</v>
      </c>
      <c r="E2154">
        <f>IF($D2154 &gt; 16, 0, $J$3*(16 - $D2154))</f>
        <v>830.99457080278796</v>
      </c>
      <c r="F2154">
        <f>IF($D2154 &gt; 16, 0,$E2154*$J$5)</f>
        <v>9032079.9900555015</v>
      </c>
      <c r="G2154">
        <f t="shared" si="33"/>
        <v>4</v>
      </c>
    </row>
    <row r="2155" spans="2:7" x14ac:dyDescent="0.35">
      <c r="B2155" s="1">
        <v>45747</v>
      </c>
      <c r="C2155" s="2">
        <v>0.70833333333333337</v>
      </c>
      <c r="D2155">
        <v>10.9</v>
      </c>
      <c r="E2155">
        <f>IF($D2155 &gt; 16, 0, $J$3*(16 - $D2155))</f>
        <v>1059.5180777735545</v>
      </c>
      <c r="F2155">
        <f>IF($D2155 &gt; 16, 0,$E2155*$J$5)</f>
        <v>11515901.987320764</v>
      </c>
      <c r="G2155">
        <f t="shared" si="33"/>
        <v>5.0999999999999996</v>
      </c>
    </row>
    <row r="2156" spans="2:7" x14ac:dyDescent="0.35">
      <c r="B2156" s="1">
        <v>45747</v>
      </c>
      <c r="C2156" s="2">
        <v>0.75</v>
      </c>
      <c r="D2156">
        <v>9.5</v>
      </c>
      <c r="E2156">
        <f>IF($D2156 &gt; 16, 0, $J$3*(16 - $D2156))</f>
        <v>1350.3661775545304</v>
      </c>
      <c r="F2156">
        <f>IF($D2156 &gt; 16, 0,$E2156*$J$5)</f>
        <v>14677129.983840192</v>
      </c>
      <c r="G2156">
        <f t="shared" si="33"/>
        <v>6.5</v>
      </c>
    </row>
    <row r="2157" spans="2:7" x14ac:dyDescent="0.35">
      <c r="B2157" s="1">
        <v>45747</v>
      </c>
      <c r="C2157" s="2">
        <v>0.79166666666666663</v>
      </c>
      <c r="D2157">
        <v>6.4</v>
      </c>
      <c r="E2157">
        <f>IF($D2157 &gt; 16, 0, $J$3*(16 - $D2157))</f>
        <v>1994.3869699266911</v>
      </c>
      <c r="F2157">
        <f>IF($D2157 &gt; 16, 0,$E2157*$J$5)</f>
        <v>21676991.976133205</v>
      </c>
      <c r="G2157">
        <f t="shared" si="33"/>
        <v>9.6</v>
      </c>
    </row>
    <row r="2158" spans="2:7" x14ac:dyDescent="0.35">
      <c r="B2158" s="1">
        <v>45747</v>
      </c>
      <c r="C2158" s="2">
        <v>0.83333333333333337</v>
      </c>
      <c r="D2158">
        <v>4.9000000000000004</v>
      </c>
      <c r="E2158">
        <f>IF($D2158 &gt; 16, 0, $J$3*(16 - $D2158))</f>
        <v>2306.0099339777366</v>
      </c>
      <c r="F2158">
        <f>IF($D2158 &gt; 16, 0,$E2158*$J$5)</f>
        <v>25064021.972404018</v>
      </c>
      <c r="G2158">
        <f t="shared" si="33"/>
        <v>11.1</v>
      </c>
    </row>
    <row r="2159" spans="2:7" x14ac:dyDescent="0.35">
      <c r="B2159" s="1">
        <v>45747</v>
      </c>
      <c r="C2159" s="2">
        <v>0.875</v>
      </c>
      <c r="D2159">
        <v>3.7</v>
      </c>
      <c r="E2159">
        <f>IF($D2159 &gt; 16, 0, $J$3*(16 - $D2159))</f>
        <v>2555.308305218573</v>
      </c>
      <c r="F2159">
        <f>IF($D2159 &gt; 16, 0,$E2159*$J$5)</f>
        <v>27773645.969420668</v>
      </c>
      <c r="G2159">
        <f t="shared" si="33"/>
        <v>12.3</v>
      </c>
    </row>
    <row r="2160" spans="2:7" x14ac:dyDescent="0.35">
      <c r="B2160" s="1">
        <v>45747</v>
      </c>
      <c r="C2160" s="2">
        <v>0.91666666666666663</v>
      </c>
      <c r="D2160">
        <v>2.9</v>
      </c>
      <c r="E2160">
        <f>IF($D2160 &gt; 16, 0, $J$3*(16 - $D2160))</f>
        <v>2721.5072193791307</v>
      </c>
      <c r="F2160">
        <f>IF($D2160 &gt; 16, 0,$E2160*$J$5)</f>
        <v>29580061.967431773</v>
      </c>
      <c r="G2160">
        <f t="shared" si="33"/>
        <v>13.1</v>
      </c>
    </row>
    <row r="2161" spans="2:7" x14ac:dyDescent="0.35">
      <c r="B2161" s="1">
        <v>45747</v>
      </c>
      <c r="C2161" s="2">
        <v>0.95833333333333337</v>
      </c>
      <c r="D2161">
        <v>1.9</v>
      </c>
      <c r="E2161">
        <f>IF($D2161 &gt; 16, 0, $J$3*(16 - $D2161))</f>
        <v>2929.2558620798277</v>
      </c>
      <c r="F2161">
        <f>IF($D2161 &gt; 16, 0,$E2161*$J$5)</f>
        <v>31838081.964945648</v>
      </c>
      <c r="G2161">
        <f t="shared" si="33"/>
        <v>14.1</v>
      </c>
    </row>
    <row r="2162" spans="2:7" x14ac:dyDescent="0.35">
      <c r="B2162" s="1">
        <v>45748</v>
      </c>
      <c r="C2162" s="2">
        <v>0</v>
      </c>
      <c r="D2162">
        <v>1.6</v>
      </c>
      <c r="E2162">
        <f>IF($D2162 &gt; 16, 0, $J$3*(16 - $D2162))</f>
        <v>2991.5804548900369</v>
      </c>
      <c r="F2162">
        <f>IF($D2162 &gt; 16, 0,$E2162*$J$5)</f>
        <v>32515487.964199811</v>
      </c>
      <c r="G2162">
        <f t="shared" si="33"/>
        <v>14.4</v>
      </c>
    </row>
    <row r="2163" spans="2:7" x14ac:dyDescent="0.35">
      <c r="B2163" s="1">
        <v>45748</v>
      </c>
      <c r="C2163" s="2">
        <v>4.1666666666666657E-2</v>
      </c>
      <c r="D2163">
        <v>0.2</v>
      </c>
      <c r="E2163">
        <f>IF($D2163 &gt; 16, 0, $J$3*(16 - $D2163))</f>
        <v>3282.4285546710125</v>
      </c>
      <c r="F2163">
        <f>IF($D2163 &gt; 16, 0,$E2163*$J$5)</f>
        <v>35676715.960719235</v>
      </c>
      <c r="G2163">
        <f t="shared" si="33"/>
        <v>15.8</v>
      </c>
    </row>
    <row r="2164" spans="2:7" x14ac:dyDescent="0.35">
      <c r="B2164" s="1">
        <v>45748</v>
      </c>
      <c r="C2164" s="2">
        <v>8.3333333333333329E-2</v>
      </c>
      <c r="D2164">
        <v>0.1</v>
      </c>
      <c r="E2164">
        <f>IF($D2164 &gt; 16, 0, $J$3*(16 - $D2164))</f>
        <v>3303.2034189410824</v>
      </c>
      <c r="F2164">
        <f>IF($D2164 &gt; 16, 0,$E2164*$J$5)</f>
        <v>35902517.960470624</v>
      </c>
      <c r="G2164">
        <f t="shared" si="33"/>
        <v>15.9</v>
      </c>
    </row>
    <row r="2165" spans="2:7" x14ac:dyDescent="0.35">
      <c r="B2165" s="1">
        <v>45748</v>
      </c>
      <c r="C2165" s="2">
        <v>0.125</v>
      </c>
      <c r="D2165">
        <v>-0.6</v>
      </c>
      <c r="E2165">
        <f>IF($D2165 &gt; 16, 0, $J$3*(16 - $D2165))</f>
        <v>3448.6274688315702</v>
      </c>
      <c r="F2165">
        <f>IF($D2165 &gt; 16, 0,$E2165*$J$5)</f>
        <v>37483131.95873034</v>
      </c>
      <c r="G2165">
        <f t="shared" si="33"/>
        <v>16.600000000000001</v>
      </c>
    </row>
    <row r="2166" spans="2:7" x14ac:dyDescent="0.35">
      <c r="B2166" s="1">
        <v>45748</v>
      </c>
      <c r="C2166" s="2">
        <v>0.16666666666666671</v>
      </c>
      <c r="D2166">
        <v>-1</v>
      </c>
      <c r="E2166">
        <f>IF($D2166 &gt; 16, 0, $J$3*(16 - $D2166))</f>
        <v>3531.7269259118489</v>
      </c>
      <c r="F2166">
        <f>IF($D2166 &gt; 16, 0,$E2166*$J$5)</f>
        <v>38386339.957735889</v>
      </c>
      <c r="G2166">
        <f t="shared" si="33"/>
        <v>17</v>
      </c>
    </row>
    <row r="2167" spans="2:7" x14ac:dyDescent="0.35">
      <c r="B2167" s="1">
        <v>45748</v>
      </c>
      <c r="C2167" s="2">
        <v>0.20833333333333329</v>
      </c>
      <c r="D2167">
        <v>-1.8</v>
      </c>
      <c r="E2167">
        <f>IF($D2167 &gt; 16, 0, $J$3*(16 - $D2167))</f>
        <v>3697.9258400724066</v>
      </c>
      <c r="F2167">
        <f>IF($D2167 &gt; 16, 0,$E2167*$J$5)</f>
        <v>40192755.955746986</v>
      </c>
      <c r="G2167">
        <f t="shared" si="33"/>
        <v>17.8</v>
      </c>
    </row>
    <row r="2168" spans="2:7" x14ac:dyDescent="0.35">
      <c r="B2168" s="1">
        <v>45748</v>
      </c>
      <c r="C2168" s="2">
        <v>0.25</v>
      </c>
      <c r="D2168">
        <v>3.2</v>
      </c>
      <c r="E2168">
        <f>IF($D2168 &gt; 16, 0, $J$3*(16 - $D2168))</f>
        <v>2659.1826265689215</v>
      </c>
      <c r="F2168">
        <f>IF($D2168 &gt; 16, 0,$E2168*$J$5)</f>
        <v>28902655.968177609</v>
      </c>
      <c r="G2168">
        <f t="shared" si="33"/>
        <v>12.8</v>
      </c>
    </row>
    <row r="2169" spans="2:7" x14ac:dyDescent="0.35">
      <c r="B2169" s="1">
        <v>45748</v>
      </c>
      <c r="C2169" s="2">
        <v>0.29166666666666669</v>
      </c>
      <c r="D2169">
        <v>5.7</v>
      </c>
      <c r="E2169">
        <f>IF($D2169 &gt; 16, 0, $J$3*(16 - $D2169))</f>
        <v>2139.8110198171789</v>
      </c>
      <c r="F2169">
        <f>IF($D2169 &gt; 16, 0,$E2169*$J$5)</f>
        <v>23257605.974392917</v>
      </c>
      <c r="G2169">
        <f t="shared" si="33"/>
        <v>10.3</v>
      </c>
    </row>
    <row r="2170" spans="2:7" x14ac:dyDescent="0.35">
      <c r="B2170" s="1">
        <v>45748</v>
      </c>
      <c r="C2170" s="2">
        <v>0.33333333333333331</v>
      </c>
      <c r="D2170">
        <v>7.8</v>
      </c>
      <c r="E2170">
        <f>IF($D2170 &gt; 16, 0, $J$3*(16 - $D2170))</f>
        <v>1703.5388701457152</v>
      </c>
      <c r="F2170">
        <f>IF($D2170 &gt; 16, 0,$E2170*$J$5)</f>
        <v>18515763.979613777</v>
      </c>
      <c r="G2170">
        <f t="shared" si="33"/>
        <v>8.1999999999999993</v>
      </c>
    </row>
    <row r="2171" spans="2:7" x14ac:dyDescent="0.35">
      <c r="B2171" s="1">
        <v>45748</v>
      </c>
      <c r="C2171" s="2">
        <v>0.375</v>
      </c>
      <c r="D2171">
        <v>9.8000000000000007</v>
      </c>
      <c r="E2171">
        <f>IF($D2171 &gt; 16, 0, $J$3*(16 - $D2171))</f>
        <v>1288.0415847443212</v>
      </c>
      <c r="F2171">
        <f>IF($D2171 &gt; 16, 0,$E2171*$J$5)</f>
        <v>13999723.984586027</v>
      </c>
      <c r="G2171">
        <f t="shared" si="33"/>
        <v>6.1999999999999993</v>
      </c>
    </row>
    <row r="2172" spans="2:7" x14ac:dyDescent="0.35">
      <c r="B2172" s="1">
        <v>45748</v>
      </c>
      <c r="C2172" s="2">
        <v>0.41666666666666669</v>
      </c>
      <c r="D2172">
        <v>11.3</v>
      </c>
      <c r="E2172">
        <f>IF($D2172 &gt; 16, 0, $J$3*(16 - $D2172))</f>
        <v>976.41862069327567</v>
      </c>
      <c r="F2172">
        <f>IF($D2172 &gt; 16, 0,$E2172*$J$5)</f>
        <v>10612693.988315213</v>
      </c>
      <c r="G2172">
        <f t="shared" si="33"/>
        <v>4.6999999999999993</v>
      </c>
    </row>
    <row r="2173" spans="2:7" x14ac:dyDescent="0.35">
      <c r="B2173" s="1">
        <v>45748</v>
      </c>
      <c r="C2173" s="2">
        <v>0.45833333333333331</v>
      </c>
      <c r="D2173">
        <v>12.5</v>
      </c>
      <c r="E2173">
        <f>IF($D2173 &gt; 16, 0, $J$3*(16 - $D2173))</f>
        <v>727.12024945243945</v>
      </c>
      <c r="F2173">
        <f>IF($D2173 &gt; 16, 0,$E2173*$J$5)</f>
        <v>7903069.9912985647</v>
      </c>
      <c r="G2173">
        <f t="shared" si="33"/>
        <v>3.5</v>
      </c>
    </row>
    <row r="2174" spans="2:7" x14ac:dyDescent="0.35">
      <c r="B2174" s="1">
        <v>45748</v>
      </c>
      <c r="C2174" s="2">
        <v>0.5</v>
      </c>
      <c r="D2174">
        <v>13.7</v>
      </c>
      <c r="E2174">
        <f>IF($D2174 &gt; 16, 0, $J$3*(16 - $D2174))</f>
        <v>477.82187821160323</v>
      </c>
      <c r="F2174">
        <f>IF($D2174 &gt; 16, 0,$E2174*$J$5)</f>
        <v>5193445.9942819159</v>
      </c>
      <c r="G2174">
        <f t="shared" si="33"/>
        <v>2.3000000000000007</v>
      </c>
    </row>
    <row r="2175" spans="2:7" x14ac:dyDescent="0.35">
      <c r="B2175" s="1">
        <v>45748</v>
      </c>
      <c r="C2175" s="2">
        <v>0.54166666666666663</v>
      </c>
      <c r="D2175">
        <v>13.6</v>
      </c>
      <c r="E2175">
        <f>IF($D2175 &gt; 16, 0, $J$3*(16 - $D2175))</f>
        <v>498.59674248167283</v>
      </c>
      <c r="F2175">
        <f>IF($D2175 &gt; 16, 0,$E2175*$J$5)</f>
        <v>5419247.9940333022</v>
      </c>
      <c r="G2175">
        <f t="shared" si="33"/>
        <v>2.4000000000000004</v>
      </c>
    </row>
    <row r="2176" spans="2:7" x14ac:dyDescent="0.35">
      <c r="B2176" s="1">
        <v>45748</v>
      </c>
      <c r="C2176" s="2">
        <v>0.58333333333333337</v>
      </c>
      <c r="D2176">
        <v>14.4</v>
      </c>
      <c r="E2176">
        <f>IF($D2176 &gt; 16, 0, $J$3*(16 - $D2176))</f>
        <v>332.39782832111513</v>
      </c>
      <c r="F2176">
        <f>IF($D2176 &gt; 16, 0,$E2176*$J$5)</f>
        <v>3612831.9960222002</v>
      </c>
      <c r="G2176">
        <f t="shared" si="33"/>
        <v>1.5999999999999996</v>
      </c>
    </row>
    <row r="2177" spans="2:7" x14ac:dyDescent="0.35">
      <c r="B2177" s="1">
        <v>45748</v>
      </c>
      <c r="C2177" s="2">
        <v>0.625</v>
      </c>
      <c r="D2177">
        <v>13.8</v>
      </c>
      <c r="E2177">
        <f>IF($D2177 &gt; 16, 0, $J$3*(16 - $D2177))</f>
        <v>457.04701394153324</v>
      </c>
      <c r="F2177">
        <f>IF($D2177 &gt; 16, 0,$E2177*$J$5)</f>
        <v>4967643.9945305251</v>
      </c>
      <c r="G2177">
        <f t="shared" si="33"/>
        <v>2.1999999999999993</v>
      </c>
    </row>
    <row r="2178" spans="2:7" x14ac:dyDescent="0.35">
      <c r="B2178" s="1">
        <v>45748</v>
      </c>
      <c r="C2178" s="2">
        <v>0.66666666666666663</v>
      </c>
      <c r="D2178">
        <v>13.2</v>
      </c>
      <c r="E2178">
        <f>IF($D2178 &gt; 16, 0, $J$3*(16 - $D2178))</f>
        <v>581.69619956195174</v>
      </c>
      <c r="F2178">
        <f>IF($D2178 &gt; 16, 0,$E2178*$J$5)</f>
        <v>6322455.9930388536</v>
      </c>
      <c r="G2178">
        <f t="shared" si="33"/>
        <v>2.8000000000000007</v>
      </c>
    </row>
    <row r="2179" spans="2:7" x14ac:dyDescent="0.35">
      <c r="B2179" s="1">
        <v>45748</v>
      </c>
      <c r="C2179" s="2">
        <v>0.70833333333333337</v>
      </c>
      <c r="D2179">
        <v>11.8</v>
      </c>
      <c r="E2179">
        <f>IF($D2179 &gt; 16, 0, $J$3*(16 - $D2179))</f>
        <v>872.54429934292716</v>
      </c>
      <c r="F2179">
        <f>IF($D2179 &gt; 16, 0,$E2179*$J$5)</f>
        <v>9483683.9895582758</v>
      </c>
      <c r="G2179">
        <f t="shared" ref="G2179:G2242" si="34">MAX(0, 16 - $D2179)</f>
        <v>4.1999999999999993</v>
      </c>
    </row>
    <row r="2180" spans="2:7" x14ac:dyDescent="0.35">
      <c r="B2180" s="1">
        <v>45748</v>
      </c>
      <c r="C2180" s="2">
        <v>0.75</v>
      </c>
      <c r="D2180">
        <v>10.4</v>
      </c>
      <c r="E2180">
        <f>IF($D2180 &gt; 16, 0, $J$3*(16 - $D2180))</f>
        <v>1163.392399123903</v>
      </c>
      <c r="F2180">
        <f>IF($D2180 &gt; 16, 0,$E2180*$J$5)</f>
        <v>12644911.986077702</v>
      </c>
      <c r="G2180">
        <f t="shared" si="34"/>
        <v>5.6</v>
      </c>
    </row>
    <row r="2181" spans="2:7" x14ac:dyDescent="0.35">
      <c r="B2181" s="1">
        <v>45748</v>
      </c>
      <c r="C2181" s="2">
        <v>0.79166666666666663</v>
      </c>
      <c r="D2181">
        <v>9</v>
      </c>
      <c r="E2181">
        <f>IF($D2181 &gt; 16, 0, $J$3*(16 - $D2181))</f>
        <v>1454.2404989048789</v>
      </c>
      <c r="F2181">
        <f>IF($D2181 &gt; 16, 0,$E2181*$J$5)</f>
        <v>15806139.982597129</v>
      </c>
      <c r="G2181">
        <f t="shared" si="34"/>
        <v>7</v>
      </c>
    </row>
    <row r="2182" spans="2:7" x14ac:dyDescent="0.35">
      <c r="B2182" s="1">
        <v>45748</v>
      </c>
      <c r="C2182" s="2">
        <v>0.83333333333333337</v>
      </c>
      <c r="D2182">
        <v>8.1999999999999993</v>
      </c>
      <c r="E2182">
        <f>IF($D2182 &gt; 16, 0, $J$3*(16 - $D2182))</f>
        <v>1620.4394130654366</v>
      </c>
      <c r="F2182">
        <f>IF($D2182 &gt; 16, 0,$E2182*$J$5)</f>
        <v>17612555.980608232</v>
      </c>
      <c r="G2182">
        <f t="shared" si="34"/>
        <v>7.8000000000000007</v>
      </c>
    </row>
    <row r="2183" spans="2:7" x14ac:dyDescent="0.35">
      <c r="B2183" s="1">
        <v>45748</v>
      </c>
      <c r="C2183" s="2">
        <v>0.875</v>
      </c>
      <c r="D2183">
        <v>7.4</v>
      </c>
      <c r="E2183">
        <f>IF($D2183 &gt; 16, 0, $J$3*(16 - $D2183))</f>
        <v>1786.6383272259941</v>
      </c>
      <c r="F2183">
        <f>IF($D2183 &gt; 16, 0,$E2183*$J$5)</f>
        <v>19418971.97861933</v>
      </c>
      <c r="G2183">
        <f t="shared" si="34"/>
        <v>8.6</v>
      </c>
    </row>
    <row r="2184" spans="2:7" x14ac:dyDescent="0.35">
      <c r="B2184" s="1">
        <v>45748</v>
      </c>
      <c r="C2184" s="2">
        <v>0.91666666666666663</v>
      </c>
      <c r="D2184">
        <v>6.5</v>
      </c>
      <c r="E2184">
        <f>IF($D2184 &gt; 16, 0, $J$3*(16 - $D2184))</f>
        <v>1973.6121056566215</v>
      </c>
      <c r="F2184">
        <f>IF($D2184 &gt; 16, 0,$E2184*$J$5)</f>
        <v>21451189.97638182</v>
      </c>
      <c r="G2184">
        <f t="shared" si="34"/>
        <v>9.5</v>
      </c>
    </row>
    <row r="2185" spans="2:7" x14ac:dyDescent="0.35">
      <c r="B2185" s="1">
        <v>45748</v>
      </c>
      <c r="C2185" s="2">
        <v>0.95833333333333337</v>
      </c>
      <c r="D2185">
        <v>5.6</v>
      </c>
      <c r="E2185">
        <f>IF($D2185 &gt; 16, 0, $J$3*(16 - $D2185))</f>
        <v>2160.5858840872488</v>
      </c>
      <c r="F2185">
        <f>IF($D2185 &gt; 16, 0,$E2185*$J$5)</f>
        <v>23483407.974144306</v>
      </c>
      <c r="G2185">
        <f t="shared" si="34"/>
        <v>10.4</v>
      </c>
    </row>
    <row r="2186" spans="2:7" x14ac:dyDescent="0.35">
      <c r="B2186" s="1">
        <v>45749</v>
      </c>
      <c r="C2186" s="2">
        <v>0</v>
      </c>
      <c r="D2186">
        <v>3.6</v>
      </c>
      <c r="E2186">
        <f>IF($D2186 &gt; 16, 0, $J$3*(16 - $D2186))</f>
        <v>2576.0831694886429</v>
      </c>
      <c r="F2186">
        <f>IF($D2186 &gt; 16, 0,$E2186*$J$5)</f>
        <v>27999447.96917206</v>
      </c>
      <c r="G2186">
        <f t="shared" si="34"/>
        <v>12.4</v>
      </c>
    </row>
    <row r="2187" spans="2:7" x14ac:dyDescent="0.35">
      <c r="B2187" s="1">
        <v>45749</v>
      </c>
      <c r="C2187" s="2">
        <v>4.1666666666666657E-2</v>
      </c>
      <c r="D2187">
        <v>2.1</v>
      </c>
      <c r="E2187">
        <f>IF($D2187 &gt; 16, 0, $J$3*(16 - $D2187))</f>
        <v>2887.7061335396884</v>
      </c>
      <c r="F2187">
        <f>IF($D2187 &gt; 16, 0,$E2187*$J$5)</f>
        <v>31386477.965442874</v>
      </c>
      <c r="G2187">
        <f t="shared" si="34"/>
        <v>13.9</v>
      </c>
    </row>
    <row r="2188" spans="2:7" x14ac:dyDescent="0.35">
      <c r="B2188" s="1">
        <v>45749</v>
      </c>
      <c r="C2188" s="2">
        <v>8.3333333333333329E-2</v>
      </c>
      <c r="D2188">
        <v>0</v>
      </c>
      <c r="E2188">
        <f>IF($D2188 &gt; 16, 0, $J$3*(16 - $D2188))</f>
        <v>3323.9782832111518</v>
      </c>
      <c r="F2188">
        <f>IF($D2188 &gt; 16, 0,$E2188*$J$5)</f>
        <v>36128319.960222006</v>
      </c>
      <c r="G2188">
        <f t="shared" si="34"/>
        <v>16</v>
      </c>
    </row>
    <row r="2189" spans="2:7" x14ac:dyDescent="0.35">
      <c r="B2189" s="1">
        <v>45749</v>
      </c>
      <c r="C2189" s="2">
        <v>0.125</v>
      </c>
      <c r="D2189">
        <v>1.5</v>
      </c>
      <c r="E2189">
        <f>IF($D2189 &gt; 16, 0, $J$3*(16 - $D2189))</f>
        <v>3012.3553191601063</v>
      </c>
      <c r="F2189">
        <f>IF($D2189 &gt; 16, 0,$E2189*$J$5)</f>
        <v>32741289.963951197</v>
      </c>
      <c r="G2189">
        <f t="shared" si="34"/>
        <v>14.5</v>
      </c>
    </row>
    <row r="2190" spans="2:7" x14ac:dyDescent="0.35">
      <c r="B2190" s="1">
        <v>45749</v>
      </c>
      <c r="C2190" s="2">
        <v>0.16666666666666671</v>
      </c>
      <c r="D2190">
        <v>2.1</v>
      </c>
      <c r="E2190">
        <f>IF($D2190 &gt; 16, 0, $J$3*(16 - $D2190))</f>
        <v>2887.7061335396884</v>
      </c>
      <c r="F2190">
        <f>IF($D2190 &gt; 16, 0,$E2190*$J$5)</f>
        <v>31386477.965442874</v>
      </c>
      <c r="G2190">
        <f t="shared" si="34"/>
        <v>13.9</v>
      </c>
    </row>
    <row r="2191" spans="2:7" x14ac:dyDescent="0.35">
      <c r="B2191" s="1">
        <v>45749</v>
      </c>
      <c r="C2191" s="2">
        <v>0.20833333333333329</v>
      </c>
      <c r="D2191">
        <v>2.8</v>
      </c>
      <c r="E2191">
        <f>IF($D2191 &gt; 16, 0, $J$3*(16 - $D2191))</f>
        <v>2742.2820836492001</v>
      </c>
      <c r="F2191">
        <f>IF($D2191 &gt; 16, 0,$E2191*$J$5)</f>
        <v>29805863.967183154</v>
      </c>
      <c r="G2191">
        <f t="shared" si="34"/>
        <v>13.2</v>
      </c>
    </row>
    <row r="2192" spans="2:7" x14ac:dyDescent="0.35">
      <c r="B2192" s="1">
        <v>45749</v>
      </c>
      <c r="C2192" s="2">
        <v>0.25</v>
      </c>
      <c r="D2192">
        <v>3.6</v>
      </c>
      <c r="E2192">
        <f>IF($D2192 &gt; 16, 0, $J$3*(16 - $D2192))</f>
        <v>2576.0831694886429</v>
      </c>
      <c r="F2192">
        <f>IF($D2192 &gt; 16, 0,$E2192*$J$5)</f>
        <v>27999447.96917206</v>
      </c>
      <c r="G2192">
        <f t="shared" si="34"/>
        <v>12.4</v>
      </c>
    </row>
    <row r="2193" spans="2:7" x14ac:dyDescent="0.35">
      <c r="B2193" s="1">
        <v>45749</v>
      </c>
      <c r="C2193" s="2">
        <v>0.29166666666666669</v>
      </c>
      <c r="D2193">
        <v>5.0999999999999996</v>
      </c>
      <c r="E2193">
        <f>IF($D2193 &gt; 16, 0, $J$3*(16 - $D2193))</f>
        <v>2264.4602054375973</v>
      </c>
      <c r="F2193">
        <f>IF($D2193 &gt; 16, 0,$E2193*$J$5)</f>
        <v>24612417.972901244</v>
      </c>
      <c r="G2193">
        <f t="shared" si="34"/>
        <v>10.9</v>
      </c>
    </row>
    <row r="2194" spans="2:7" x14ac:dyDescent="0.35">
      <c r="B2194" s="1">
        <v>45749</v>
      </c>
      <c r="C2194" s="2">
        <v>0.33333333333333331</v>
      </c>
      <c r="D2194">
        <v>6.1</v>
      </c>
      <c r="E2194">
        <f>IF($D2194 &gt; 16, 0, $J$3*(16 - $D2194))</f>
        <v>2056.7115627369003</v>
      </c>
      <c r="F2194">
        <f>IF($D2194 &gt; 16, 0,$E2194*$J$5)</f>
        <v>22354397.975387368</v>
      </c>
      <c r="G2194">
        <f t="shared" si="34"/>
        <v>9.9</v>
      </c>
    </row>
    <row r="2195" spans="2:7" x14ac:dyDescent="0.35">
      <c r="B2195" s="1">
        <v>45749</v>
      </c>
      <c r="C2195" s="2">
        <v>0.375</v>
      </c>
      <c r="D2195">
        <v>6.9</v>
      </c>
      <c r="E2195">
        <f>IF($D2195 &gt; 16, 0, $J$3*(16 - $D2195))</f>
        <v>1890.5126485763426</v>
      </c>
      <c r="F2195">
        <f>IF($D2195 &gt; 16, 0,$E2195*$J$5)</f>
        <v>20547981.977376267</v>
      </c>
      <c r="G2195">
        <f t="shared" si="34"/>
        <v>9.1</v>
      </c>
    </row>
    <row r="2196" spans="2:7" x14ac:dyDescent="0.35">
      <c r="B2196" s="1">
        <v>45749</v>
      </c>
      <c r="C2196" s="2">
        <v>0.41666666666666669</v>
      </c>
      <c r="D2196">
        <v>9.9</v>
      </c>
      <c r="E2196">
        <f>IF($D2196 &gt; 16, 0, $J$3*(16 - $D2196))</f>
        <v>1267.2667204742515</v>
      </c>
      <c r="F2196">
        <f>IF($D2196 &gt; 16, 0,$E2196*$J$5)</f>
        <v>13773921.984834639</v>
      </c>
      <c r="G2196">
        <f t="shared" si="34"/>
        <v>6.1</v>
      </c>
    </row>
    <row r="2197" spans="2:7" x14ac:dyDescent="0.35">
      <c r="B2197" s="1">
        <v>45749</v>
      </c>
      <c r="C2197" s="2">
        <v>0.45833333333333331</v>
      </c>
      <c r="D2197">
        <v>12.1</v>
      </c>
      <c r="E2197">
        <f>IF($D2197 &gt; 16, 0, $J$3*(16 - $D2197))</f>
        <v>810.21970653271831</v>
      </c>
      <c r="F2197">
        <f>IF($D2197 &gt; 16, 0,$E2197*$J$5)</f>
        <v>8806277.9903041162</v>
      </c>
      <c r="G2197">
        <f t="shared" si="34"/>
        <v>3.9000000000000004</v>
      </c>
    </row>
    <row r="2198" spans="2:7" x14ac:dyDescent="0.35">
      <c r="B2198" s="1">
        <v>45749</v>
      </c>
      <c r="C2198" s="2">
        <v>0.5</v>
      </c>
      <c r="D2198">
        <v>14.2</v>
      </c>
      <c r="E2198">
        <f>IF($D2198 &gt; 16, 0, $J$3*(16 - $D2198))</f>
        <v>373.94755686125472</v>
      </c>
      <c r="F2198">
        <f>IF($D2198 &gt; 16, 0,$E2198*$J$5)</f>
        <v>4064435.9955249778</v>
      </c>
      <c r="G2198">
        <f t="shared" si="34"/>
        <v>1.8000000000000007</v>
      </c>
    </row>
    <row r="2199" spans="2:7" x14ac:dyDescent="0.35">
      <c r="B2199" s="1">
        <v>45749</v>
      </c>
      <c r="C2199" s="2">
        <v>0.54166666666666663</v>
      </c>
      <c r="D2199">
        <v>15.1</v>
      </c>
      <c r="E2199">
        <f>IF($D2199 &gt; 16, 0, $J$3*(16 - $D2199))</f>
        <v>186.97377843062736</v>
      </c>
      <c r="F2199">
        <f>IF($D2199 &gt; 16, 0,$E2199*$J$5)</f>
        <v>2032217.9977624889</v>
      </c>
      <c r="G2199">
        <f t="shared" si="34"/>
        <v>0.90000000000000036</v>
      </c>
    </row>
    <row r="2200" spans="2:7" x14ac:dyDescent="0.35">
      <c r="B2200" s="1">
        <v>45749</v>
      </c>
      <c r="C2200" s="2">
        <v>0.58333333333333337</v>
      </c>
      <c r="D2200">
        <v>15.4</v>
      </c>
      <c r="E2200">
        <f>IF($D2200 &gt; 16, 0, $J$3*(16 - $D2200))</f>
        <v>124.64918562041812</v>
      </c>
      <c r="F2200">
        <f>IF($D2200 &gt; 16, 0,$E2200*$J$5)</f>
        <v>1354811.9985083246</v>
      </c>
      <c r="G2200">
        <f t="shared" si="34"/>
        <v>0.59999999999999964</v>
      </c>
    </row>
    <row r="2201" spans="2:7" x14ac:dyDescent="0.35">
      <c r="B2201" s="1">
        <v>45749</v>
      </c>
      <c r="C2201" s="2">
        <v>0.625</v>
      </c>
      <c r="D2201">
        <v>15</v>
      </c>
      <c r="E2201">
        <f>IF($D2201 &gt; 16, 0, $J$3*(16 - $D2201))</f>
        <v>207.74864270069699</v>
      </c>
      <c r="F2201">
        <f>IF($D2201 &gt; 16, 0,$E2201*$J$5)</f>
        <v>2258019.9975138754</v>
      </c>
      <c r="G2201">
        <f t="shared" si="34"/>
        <v>1</v>
      </c>
    </row>
    <row r="2202" spans="2:7" x14ac:dyDescent="0.35">
      <c r="B2202" s="1">
        <v>45749</v>
      </c>
      <c r="C2202" s="2">
        <v>0.66666666666666663</v>
      </c>
      <c r="D2202">
        <v>13.2</v>
      </c>
      <c r="E2202">
        <f>IF($D2202 &gt; 16, 0, $J$3*(16 - $D2202))</f>
        <v>581.69619956195174</v>
      </c>
      <c r="F2202">
        <f>IF($D2202 &gt; 16, 0,$E2202*$J$5)</f>
        <v>6322455.9930388536</v>
      </c>
      <c r="G2202">
        <f t="shared" si="34"/>
        <v>2.8000000000000007</v>
      </c>
    </row>
    <row r="2203" spans="2:7" x14ac:dyDescent="0.35">
      <c r="B2203" s="1">
        <v>45749</v>
      </c>
      <c r="C2203" s="2">
        <v>0.70833333333333337</v>
      </c>
      <c r="D2203">
        <v>11.8</v>
      </c>
      <c r="E2203">
        <f>IF($D2203 &gt; 16, 0, $J$3*(16 - $D2203))</f>
        <v>872.54429934292716</v>
      </c>
      <c r="F2203">
        <f>IF($D2203 &gt; 16, 0,$E2203*$J$5)</f>
        <v>9483683.9895582758</v>
      </c>
      <c r="G2203">
        <f t="shared" si="34"/>
        <v>4.1999999999999993</v>
      </c>
    </row>
    <row r="2204" spans="2:7" x14ac:dyDescent="0.35">
      <c r="B2204" s="1">
        <v>45749</v>
      </c>
      <c r="C2204" s="2">
        <v>0.75</v>
      </c>
      <c r="D2204">
        <v>10.1</v>
      </c>
      <c r="E2204">
        <f>IF($D2204 &gt; 16, 0, $J$3*(16 - $D2204))</f>
        <v>1225.7169919341122</v>
      </c>
      <c r="F2204">
        <f>IF($D2204 &gt; 16, 0,$E2204*$J$5)</f>
        <v>13322317.985331865</v>
      </c>
      <c r="G2204">
        <f t="shared" si="34"/>
        <v>5.9</v>
      </c>
    </row>
    <row r="2205" spans="2:7" x14ac:dyDescent="0.35">
      <c r="B2205" s="1">
        <v>45749</v>
      </c>
      <c r="C2205" s="2">
        <v>0.79166666666666663</v>
      </c>
      <c r="D2205">
        <v>8.3000000000000007</v>
      </c>
      <c r="E2205">
        <f>IF($D2205 &gt; 16, 0, $J$3*(16 - $D2205))</f>
        <v>1599.6645487953667</v>
      </c>
      <c r="F2205">
        <f>IF($D2205 &gt; 16, 0,$E2205*$J$5)</f>
        <v>17386753.98085684</v>
      </c>
      <c r="G2205">
        <f t="shared" si="34"/>
        <v>7.6999999999999993</v>
      </c>
    </row>
    <row r="2206" spans="2:7" x14ac:dyDescent="0.35">
      <c r="B2206" s="1">
        <v>45749</v>
      </c>
      <c r="C2206" s="2">
        <v>0.83333333333333337</v>
      </c>
      <c r="D2206">
        <v>7.6</v>
      </c>
      <c r="E2206">
        <f>IF($D2206 &gt; 16, 0, $J$3*(16 - $D2206))</f>
        <v>1745.0885986858548</v>
      </c>
      <c r="F2206">
        <f>IF($D2206 &gt; 16, 0,$E2206*$J$5)</f>
        <v>18967367.979116555</v>
      </c>
      <c r="G2206">
        <f t="shared" si="34"/>
        <v>8.4</v>
      </c>
    </row>
    <row r="2207" spans="2:7" x14ac:dyDescent="0.35">
      <c r="B2207" s="1">
        <v>45749</v>
      </c>
      <c r="C2207" s="2">
        <v>0.875</v>
      </c>
      <c r="D2207">
        <v>6.9</v>
      </c>
      <c r="E2207">
        <f>IF($D2207 &gt; 16, 0, $J$3*(16 - $D2207))</f>
        <v>1890.5126485763426</v>
      </c>
      <c r="F2207">
        <f>IF($D2207 &gt; 16, 0,$E2207*$J$5)</f>
        <v>20547981.977376267</v>
      </c>
      <c r="G2207">
        <f t="shared" si="34"/>
        <v>9.1</v>
      </c>
    </row>
    <row r="2208" spans="2:7" x14ac:dyDescent="0.35">
      <c r="B2208" s="1">
        <v>45749</v>
      </c>
      <c r="C2208" s="2">
        <v>0.91666666666666663</v>
      </c>
      <c r="D2208">
        <v>6.4</v>
      </c>
      <c r="E2208">
        <f>IF($D2208 &gt; 16, 0, $J$3*(16 - $D2208))</f>
        <v>1994.3869699266911</v>
      </c>
      <c r="F2208">
        <f>IF($D2208 &gt; 16, 0,$E2208*$J$5)</f>
        <v>21676991.976133205</v>
      </c>
      <c r="G2208">
        <f t="shared" si="34"/>
        <v>9.6</v>
      </c>
    </row>
    <row r="2209" spans="2:7" x14ac:dyDescent="0.35">
      <c r="B2209" s="1">
        <v>45749</v>
      </c>
      <c r="C2209" s="2">
        <v>0.95833333333333337</v>
      </c>
      <c r="D2209">
        <v>5.5</v>
      </c>
      <c r="E2209">
        <f>IF($D2209 &gt; 16, 0, $J$3*(16 - $D2209))</f>
        <v>2181.3607483573182</v>
      </c>
      <c r="F2209">
        <f>IF($D2209 &gt; 16, 0,$E2209*$J$5)</f>
        <v>23709209.973895691</v>
      </c>
      <c r="G2209">
        <f t="shared" si="34"/>
        <v>10.5</v>
      </c>
    </row>
    <row r="2210" spans="2:7" x14ac:dyDescent="0.35">
      <c r="B2210" s="1">
        <v>45750</v>
      </c>
      <c r="C2210" s="2">
        <v>0</v>
      </c>
      <c r="D2210">
        <v>5.4</v>
      </c>
      <c r="E2210">
        <f>IF($D2210 &gt; 16, 0, $J$3*(16 - $D2210))</f>
        <v>2202.1356126273881</v>
      </c>
      <c r="F2210">
        <f>IF($D2210 &gt; 16, 0,$E2210*$J$5)</f>
        <v>23935011.97364708</v>
      </c>
      <c r="G2210">
        <f t="shared" si="34"/>
        <v>10.6</v>
      </c>
    </row>
    <row r="2211" spans="2:7" x14ac:dyDescent="0.35">
      <c r="B2211" s="1">
        <v>45750</v>
      </c>
      <c r="C2211" s="2">
        <v>4.1666666666666657E-2</v>
      </c>
      <c r="D2211">
        <v>4.2</v>
      </c>
      <c r="E2211">
        <f>IF($D2211 &gt; 16, 0, $J$3*(16 - $D2211))</f>
        <v>2451.4339838682245</v>
      </c>
      <c r="F2211">
        <f>IF($D2211 &gt; 16, 0,$E2211*$J$5)</f>
        <v>26644635.97066373</v>
      </c>
      <c r="G2211">
        <f t="shared" si="34"/>
        <v>11.8</v>
      </c>
    </row>
    <row r="2212" spans="2:7" x14ac:dyDescent="0.35">
      <c r="B2212" s="1">
        <v>45750</v>
      </c>
      <c r="C2212" s="2">
        <v>8.3333333333333329E-2</v>
      </c>
      <c r="D2212">
        <v>3.9</v>
      </c>
      <c r="E2212">
        <f>IF($D2212 &gt; 16, 0, $J$3*(16 - $D2212))</f>
        <v>2513.7585766784337</v>
      </c>
      <c r="F2212">
        <f>IF($D2212 &gt; 16, 0,$E2212*$J$5)</f>
        <v>27322041.969917897</v>
      </c>
      <c r="G2212">
        <f t="shared" si="34"/>
        <v>12.1</v>
      </c>
    </row>
    <row r="2213" spans="2:7" x14ac:dyDescent="0.35">
      <c r="B2213" s="1">
        <v>45750</v>
      </c>
      <c r="C2213" s="2">
        <v>0.125</v>
      </c>
      <c r="D2213">
        <v>3.7</v>
      </c>
      <c r="E2213">
        <f>IF($D2213 &gt; 16, 0, $J$3*(16 - $D2213))</f>
        <v>2555.308305218573</v>
      </c>
      <c r="F2213">
        <f>IF($D2213 &gt; 16, 0,$E2213*$J$5)</f>
        <v>27773645.969420668</v>
      </c>
      <c r="G2213">
        <f t="shared" si="34"/>
        <v>12.3</v>
      </c>
    </row>
    <row r="2214" spans="2:7" x14ac:dyDescent="0.35">
      <c r="B2214" s="1">
        <v>45750</v>
      </c>
      <c r="C2214" s="2">
        <v>0.16666666666666671</v>
      </c>
      <c r="D2214">
        <v>3</v>
      </c>
      <c r="E2214">
        <f>IF($D2214 &gt; 16, 0, $J$3*(16 - $D2214))</f>
        <v>2700.7323551090608</v>
      </c>
      <c r="F2214">
        <f>IF($D2214 &gt; 16, 0,$E2214*$J$5)</f>
        <v>29354259.967680383</v>
      </c>
      <c r="G2214">
        <f t="shared" si="34"/>
        <v>13</v>
      </c>
    </row>
    <row r="2215" spans="2:7" x14ac:dyDescent="0.35">
      <c r="B2215" s="1">
        <v>45750</v>
      </c>
      <c r="C2215" s="2">
        <v>0.20833333333333329</v>
      </c>
      <c r="D2215">
        <v>2.9</v>
      </c>
      <c r="E2215">
        <f>IF($D2215 &gt; 16, 0, $J$3*(16 - $D2215))</f>
        <v>2721.5072193791307</v>
      </c>
      <c r="F2215">
        <f>IF($D2215 &gt; 16, 0,$E2215*$J$5)</f>
        <v>29580061.967431773</v>
      </c>
      <c r="G2215">
        <f t="shared" si="34"/>
        <v>13.1</v>
      </c>
    </row>
    <row r="2216" spans="2:7" x14ac:dyDescent="0.35">
      <c r="B2216" s="1">
        <v>45750</v>
      </c>
      <c r="C2216" s="2">
        <v>0.25</v>
      </c>
      <c r="D2216">
        <v>4.4000000000000004</v>
      </c>
      <c r="E2216">
        <f>IF($D2216 &gt; 16, 0, $J$3*(16 - $D2216))</f>
        <v>2409.8842553280851</v>
      </c>
      <c r="F2216">
        <f>IF($D2216 &gt; 16, 0,$E2216*$J$5)</f>
        <v>26193031.971160956</v>
      </c>
      <c r="G2216">
        <f t="shared" si="34"/>
        <v>11.6</v>
      </c>
    </row>
    <row r="2217" spans="2:7" x14ac:dyDescent="0.35">
      <c r="B2217" s="1">
        <v>45750</v>
      </c>
      <c r="C2217" s="2">
        <v>0.29166666666666669</v>
      </c>
      <c r="D2217">
        <v>7.1</v>
      </c>
      <c r="E2217">
        <f>IF($D2217 &gt; 16, 0, $J$3*(16 - $D2217))</f>
        <v>1848.9629200362033</v>
      </c>
      <c r="F2217">
        <f>IF($D2217 &gt; 16, 0,$E2217*$J$5)</f>
        <v>20096377.977873493</v>
      </c>
      <c r="G2217">
        <f t="shared" si="34"/>
        <v>8.9</v>
      </c>
    </row>
    <row r="2218" spans="2:7" x14ac:dyDescent="0.35">
      <c r="B2218" s="1">
        <v>45750</v>
      </c>
      <c r="C2218" s="2">
        <v>0.33333333333333331</v>
      </c>
      <c r="D2218">
        <v>9.8000000000000007</v>
      </c>
      <c r="E2218">
        <f>IF($D2218 &gt; 16, 0, $J$3*(16 - $D2218))</f>
        <v>1288.0415847443212</v>
      </c>
      <c r="F2218">
        <f>IF($D2218 &gt; 16, 0,$E2218*$J$5)</f>
        <v>13999723.984586027</v>
      </c>
      <c r="G2218">
        <f t="shared" si="34"/>
        <v>6.1999999999999993</v>
      </c>
    </row>
    <row r="2219" spans="2:7" x14ac:dyDescent="0.35">
      <c r="B2219" s="1">
        <v>45750</v>
      </c>
      <c r="C2219" s="2">
        <v>0.375</v>
      </c>
      <c r="D2219">
        <v>12.3</v>
      </c>
      <c r="E2219">
        <f>IF($D2219 &gt; 16, 0, $J$3*(16 - $D2219))</f>
        <v>768.66997799257877</v>
      </c>
      <c r="F2219">
        <f>IF($D2219 &gt; 16, 0,$E2219*$J$5)</f>
        <v>8354673.990801339</v>
      </c>
      <c r="G2219">
        <f t="shared" si="34"/>
        <v>3.6999999999999993</v>
      </c>
    </row>
    <row r="2220" spans="2:7" x14ac:dyDescent="0.35">
      <c r="B2220" s="1">
        <v>45750</v>
      </c>
      <c r="C2220" s="2">
        <v>0.41666666666666669</v>
      </c>
      <c r="D2220">
        <v>14.6</v>
      </c>
      <c r="E2220">
        <f>IF($D2220 &gt; 16, 0, $J$3*(16 - $D2220))</f>
        <v>290.84809978097587</v>
      </c>
      <c r="F2220">
        <f>IF($D2220 &gt; 16, 0,$E2220*$J$5)</f>
        <v>3161227.9965194268</v>
      </c>
      <c r="G2220">
        <f t="shared" si="34"/>
        <v>1.4000000000000004</v>
      </c>
    </row>
    <row r="2221" spans="2:7" x14ac:dyDescent="0.35">
      <c r="B2221" s="1">
        <v>45750</v>
      </c>
      <c r="C2221" s="2">
        <v>0.45833333333333331</v>
      </c>
      <c r="D2221">
        <v>16.399999999999999</v>
      </c>
      <c r="E2221">
        <f>IF($D2221 &gt; 16, 0, $J$3*(16 - $D2221))</f>
        <v>0</v>
      </c>
      <c r="F2221">
        <f>IF($D2221 &gt; 16, 0,$E2221*$J$5)</f>
        <v>0</v>
      </c>
      <c r="G2221">
        <f t="shared" si="34"/>
        <v>0</v>
      </c>
    </row>
    <row r="2222" spans="2:7" x14ac:dyDescent="0.35">
      <c r="B2222" s="1">
        <v>45750</v>
      </c>
      <c r="C2222" s="2">
        <v>0.5</v>
      </c>
      <c r="D2222">
        <v>18</v>
      </c>
      <c r="E2222">
        <f>IF($D2222 &gt; 16, 0, $J$3*(16 - $D2222))</f>
        <v>0</v>
      </c>
      <c r="F2222">
        <f>IF($D2222 &gt; 16, 0,$E2222*$J$5)</f>
        <v>0</v>
      </c>
      <c r="G2222">
        <f t="shared" si="34"/>
        <v>0</v>
      </c>
    </row>
    <row r="2223" spans="2:7" x14ac:dyDescent="0.35">
      <c r="B2223" s="1">
        <v>45750</v>
      </c>
      <c r="C2223" s="2">
        <v>0.54166666666666663</v>
      </c>
      <c r="D2223">
        <v>18</v>
      </c>
      <c r="E2223">
        <f>IF($D2223 &gt; 16, 0, $J$3*(16 - $D2223))</f>
        <v>0</v>
      </c>
      <c r="F2223">
        <f>IF($D2223 &gt; 16, 0,$E2223*$J$5)</f>
        <v>0</v>
      </c>
      <c r="G2223">
        <f t="shared" si="34"/>
        <v>0</v>
      </c>
    </row>
    <row r="2224" spans="2:7" x14ac:dyDescent="0.35">
      <c r="B2224" s="1">
        <v>45750</v>
      </c>
      <c r="C2224" s="2">
        <v>0.58333333333333337</v>
      </c>
      <c r="D2224">
        <v>19.3</v>
      </c>
      <c r="E2224">
        <f>IF($D2224 &gt; 16, 0, $J$3*(16 - $D2224))</f>
        <v>0</v>
      </c>
      <c r="F2224">
        <f>IF($D2224 &gt; 16, 0,$E2224*$J$5)</f>
        <v>0</v>
      </c>
      <c r="G2224">
        <f t="shared" si="34"/>
        <v>0</v>
      </c>
    </row>
    <row r="2225" spans="2:7" x14ac:dyDescent="0.35">
      <c r="B2225" s="1">
        <v>45750</v>
      </c>
      <c r="C2225" s="2">
        <v>0.625</v>
      </c>
      <c r="D2225">
        <v>18.7</v>
      </c>
      <c r="E2225">
        <f>IF($D2225 &gt; 16, 0, $J$3*(16 - $D2225))</f>
        <v>0</v>
      </c>
      <c r="F2225">
        <f>IF($D2225 &gt; 16, 0,$E2225*$J$5)</f>
        <v>0</v>
      </c>
      <c r="G2225">
        <f t="shared" si="34"/>
        <v>0</v>
      </c>
    </row>
    <row r="2226" spans="2:7" x14ac:dyDescent="0.35">
      <c r="B2226" s="1">
        <v>45750</v>
      </c>
      <c r="C2226" s="2">
        <v>0.66666666666666663</v>
      </c>
      <c r="D2226">
        <v>18.399999999999999</v>
      </c>
      <c r="E2226">
        <f>IF($D2226 &gt; 16, 0, $J$3*(16 - $D2226))</f>
        <v>0</v>
      </c>
      <c r="F2226">
        <f>IF($D2226 &gt; 16, 0,$E2226*$J$5)</f>
        <v>0</v>
      </c>
      <c r="G2226">
        <f t="shared" si="34"/>
        <v>0</v>
      </c>
    </row>
    <row r="2227" spans="2:7" x14ac:dyDescent="0.35">
      <c r="B2227" s="1">
        <v>45750</v>
      </c>
      <c r="C2227" s="2">
        <v>0.70833333333333337</v>
      </c>
      <c r="D2227">
        <v>16.8</v>
      </c>
      <c r="E2227">
        <f>IF($D2227 &gt; 16, 0, $J$3*(16 - $D2227))</f>
        <v>0</v>
      </c>
      <c r="F2227">
        <f>IF($D2227 &gt; 16, 0,$E2227*$J$5)</f>
        <v>0</v>
      </c>
      <c r="G2227">
        <f t="shared" si="34"/>
        <v>0</v>
      </c>
    </row>
    <row r="2228" spans="2:7" x14ac:dyDescent="0.35">
      <c r="B2228" s="1">
        <v>45750</v>
      </c>
      <c r="C2228" s="2">
        <v>0.75</v>
      </c>
      <c r="D2228">
        <v>14.4</v>
      </c>
      <c r="E2228">
        <f>IF($D2228 &gt; 16, 0, $J$3*(16 - $D2228))</f>
        <v>332.39782832111513</v>
      </c>
      <c r="F2228">
        <f>IF($D2228 &gt; 16, 0,$E2228*$J$5)</f>
        <v>3612831.9960222002</v>
      </c>
      <c r="G2228">
        <f t="shared" si="34"/>
        <v>1.5999999999999996</v>
      </c>
    </row>
    <row r="2229" spans="2:7" x14ac:dyDescent="0.35">
      <c r="B2229" s="1">
        <v>45750</v>
      </c>
      <c r="C2229" s="2">
        <v>0.79166666666666663</v>
      </c>
      <c r="D2229">
        <v>12.1</v>
      </c>
      <c r="E2229">
        <f>IF($D2229 &gt; 16, 0, $J$3*(16 - $D2229))</f>
        <v>810.21970653271831</v>
      </c>
      <c r="F2229">
        <f>IF($D2229 &gt; 16, 0,$E2229*$J$5)</f>
        <v>8806277.9903041162</v>
      </c>
      <c r="G2229">
        <f t="shared" si="34"/>
        <v>3.9000000000000004</v>
      </c>
    </row>
    <row r="2230" spans="2:7" x14ac:dyDescent="0.35">
      <c r="B2230" s="1">
        <v>45750</v>
      </c>
      <c r="C2230" s="2">
        <v>0.83333333333333337</v>
      </c>
      <c r="D2230">
        <v>10.199999999999999</v>
      </c>
      <c r="E2230">
        <f>IF($D2230 &gt; 16, 0, $J$3*(16 - $D2230))</f>
        <v>1204.9421276640428</v>
      </c>
      <c r="F2230">
        <f>IF($D2230 &gt; 16, 0,$E2230*$J$5)</f>
        <v>13096515.985580482</v>
      </c>
      <c r="G2230">
        <f t="shared" si="34"/>
        <v>5.8000000000000007</v>
      </c>
    </row>
    <row r="2231" spans="2:7" x14ac:dyDescent="0.35">
      <c r="B2231" s="1">
        <v>45750</v>
      </c>
      <c r="C2231" s="2">
        <v>0.875</v>
      </c>
      <c r="D2231">
        <v>10.3</v>
      </c>
      <c r="E2231">
        <f>IF($D2231 &gt; 16, 0, $J$3*(16 - $D2231))</f>
        <v>1184.1672633939727</v>
      </c>
      <c r="F2231">
        <f>IF($D2231 &gt; 16, 0,$E2231*$J$5)</f>
        <v>12870713.985829089</v>
      </c>
      <c r="G2231">
        <f t="shared" si="34"/>
        <v>5.6999999999999993</v>
      </c>
    </row>
    <row r="2232" spans="2:7" x14ac:dyDescent="0.35">
      <c r="B2232" s="1">
        <v>45750</v>
      </c>
      <c r="C2232" s="2">
        <v>0.91666666666666663</v>
      </c>
      <c r="D2232">
        <v>8.6999999999999993</v>
      </c>
      <c r="E2232">
        <f>IF($D2232 &gt; 16, 0, $J$3*(16 - $D2232))</f>
        <v>1516.5650917150881</v>
      </c>
      <c r="F2232">
        <f>IF($D2232 &gt; 16, 0,$E2232*$J$5)</f>
        <v>16483545.981851293</v>
      </c>
      <c r="G2232">
        <f t="shared" si="34"/>
        <v>7.3000000000000007</v>
      </c>
    </row>
    <row r="2233" spans="2:7" x14ac:dyDescent="0.35">
      <c r="B2233" s="1">
        <v>45750</v>
      </c>
      <c r="C2233" s="2">
        <v>0.95833333333333337</v>
      </c>
      <c r="D2233">
        <v>6.2</v>
      </c>
      <c r="E2233">
        <f>IF($D2233 &gt; 16, 0, $J$3*(16 - $D2233))</f>
        <v>2035.9366984668306</v>
      </c>
      <c r="F2233">
        <f>IF($D2233 &gt; 16, 0,$E2233*$J$5)</f>
        <v>22128595.975635983</v>
      </c>
      <c r="G2233">
        <f t="shared" si="34"/>
        <v>9.8000000000000007</v>
      </c>
    </row>
    <row r="2234" spans="2:7" x14ac:dyDescent="0.35">
      <c r="B2234" s="1">
        <v>45751</v>
      </c>
      <c r="C2234" s="2">
        <v>0</v>
      </c>
      <c r="D2234">
        <v>4.7</v>
      </c>
      <c r="E2234">
        <f>IF($D2234 &gt; 16, 0, $J$3*(16 - $D2234))</f>
        <v>2347.5596625178759</v>
      </c>
      <c r="F2234">
        <f>IF($D2234 &gt; 16, 0,$E2234*$J$5)</f>
        <v>25515625.971906792</v>
      </c>
      <c r="G2234">
        <f t="shared" si="34"/>
        <v>11.3</v>
      </c>
    </row>
    <row r="2235" spans="2:7" x14ac:dyDescent="0.35">
      <c r="B2235" s="1">
        <v>45751</v>
      </c>
      <c r="C2235" s="2">
        <v>4.1666666666666657E-2</v>
      </c>
      <c r="D2235">
        <v>4.7</v>
      </c>
      <c r="E2235">
        <f>IF($D2235 &gt; 16, 0, $J$3*(16 - $D2235))</f>
        <v>2347.5596625178759</v>
      </c>
      <c r="F2235">
        <f>IF($D2235 &gt; 16, 0,$E2235*$J$5)</f>
        <v>25515625.971906792</v>
      </c>
      <c r="G2235">
        <f t="shared" si="34"/>
        <v>11.3</v>
      </c>
    </row>
    <row r="2236" spans="2:7" x14ac:dyDescent="0.35">
      <c r="B2236" s="1">
        <v>45751</v>
      </c>
      <c r="C2236" s="2">
        <v>8.3333333333333329E-2</v>
      </c>
      <c r="D2236">
        <v>4.7</v>
      </c>
      <c r="E2236">
        <f>IF($D2236 &gt; 16, 0, $J$3*(16 - $D2236))</f>
        <v>2347.5596625178759</v>
      </c>
      <c r="F2236">
        <f>IF($D2236 &gt; 16, 0,$E2236*$J$5)</f>
        <v>25515625.971906792</v>
      </c>
      <c r="G2236">
        <f t="shared" si="34"/>
        <v>11.3</v>
      </c>
    </row>
    <row r="2237" spans="2:7" x14ac:dyDescent="0.35">
      <c r="B2237" s="1">
        <v>45751</v>
      </c>
      <c r="C2237" s="2">
        <v>0.125</v>
      </c>
      <c r="D2237">
        <v>3.8</v>
      </c>
      <c r="E2237">
        <f>IF($D2237 &gt; 16, 0, $J$3*(16 - $D2237))</f>
        <v>2534.5334409485031</v>
      </c>
      <c r="F2237">
        <f>IF($D2237 &gt; 16, 0,$E2237*$J$5)</f>
        <v>27547843.969669279</v>
      </c>
      <c r="G2237">
        <f t="shared" si="34"/>
        <v>12.2</v>
      </c>
    </row>
    <row r="2238" spans="2:7" x14ac:dyDescent="0.35">
      <c r="B2238" s="1">
        <v>45751</v>
      </c>
      <c r="C2238" s="2">
        <v>0.16666666666666671</v>
      </c>
      <c r="D2238">
        <v>3.9</v>
      </c>
      <c r="E2238">
        <f>IF($D2238 &gt; 16, 0, $J$3*(16 - $D2238))</f>
        <v>2513.7585766784337</v>
      </c>
      <c r="F2238">
        <f>IF($D2238 &gt; 16, 0,$E2238*$J$5)</f>
        <v>27322041.969917897</v>
      </c>
      <c r="G2238">
        <f t="shared" si="34"/>
        <v>12.1</v>
      </c>
    </row>
    <row r="2239" spans="2:7" x14ac:dyDescent="0.35">
      <c r="B2239" s="1">
        <v>45751</v>
      </c>
      <c r="C2239" s="2">
        <v>0.20833333333333329</v>
      </c>
      <c r="D2239">
        <v>3.3</v>
      </c>
      <c r="E2239">
        <f>IF($D2239 &gt; 16, 0, $J$3*(16 - $D2239))</f>
        <v>2638.4077622988516</v>
      </c>
      <c r="F2239">
        <f>IF($D2239 &gt; 16, 0,$E2239*$J$5)</f>
        <v>28676853.968426216</v>
      </c>
      <c r="G2239">
        <f t="shared" si="34"/>
        <v>12.7</v>
      </c>
    </row>
    <row r="2240" spans="2:7" x14ac:dyDescent="0.35">
      <c r="B2240" s="1">
        <v>45751</v>
      </c>
      <c r="C2240" s="2">
        <v>0.25</v>
      </c>
      <c r="D2240">
        <v>4.9000000000000004</v>
      </c>
      <c r="E2240">
        <f>IF($D2240 &gt; 16, 0, $J$3*(16 - $D2240))</f>
        <v>2306.0099339777366</v>
      </c>
      <c r="F2240">
        <f>IF($D2240 &gt; 16, 0,$E2240*$J$5)</f>
        <v>25064021.972404018</v>
      </c>
      <c r="G2240">
        <f t="shared" si="34"/>
        <v>11.1</v>
      </c>
    </row>
    <row r="2241" spans="2:7" x14ac:dyDescent="0.35">
      <c r="B2241" s="1">
        <v>45751</v>
      </c>
      <c r="C2241" s="2">
        <v>0.29166666666666669</v>
      </c>
      <c r="D2241">
        <v>11</v>
      </c>
      <c r="E2241">
        <f>IF($D2241 &gt; 16, 0, $J$3*(16 - $D2241))</f>
        <v>1038.7432135034849</v>
      </c>
      <c r="F2241">
        <f>IF($D2241 &gt; 16, 0,$E2241*$J$5)</f>
        <v>11290099.987569377</v>
      </c>
      <c r="G2241">
        <f t="shared" si="34"/>
        <v>5</v>
      </c>
    </row>
    <row r="2242" spans="2:7" x14ac:dyDescent="0.35">
      <c r="B2242" s="1">
        <v>45751</v>
      </c>
      <c r="C2242" s="2">
        <v>0.33333333333333331</v>
      </c>
      <c r="D2242">
        <v>13.4</v>
      </c>
      <c r="E2242">
        <f>IF($D2242 &gt; 16, 0, $J$3*(16 - $D2242))</f>
        <v>540.14647102181209</v>
      </c>
      <c r="F2242">
        <f>IF($D2242 &gt; 16, 0,$E2242*$J$5)</f>
        <v>5870851.9935360756</v>
      </c>
      <c r="G2242">
        <f t="shared" si="34"/>
        <v>2.5999999999999996</v>
      </c>
    </row>
    <row r="2243" spans="2:7" x14ac:dyDescent="0.35">
      <c r="B2243" s="1">
        <v>45751</v>
      </c>
      <c r="C2243" s="2">
        <v>0.375</v>
      </c>
      <c r="D2243">
        <v>17.2</v>
      </c>
      <c r="E2243">
        <f>IF($D2243 &gt; 16, 0, $J$3*(16 - $D2243))</f>
        <v>0</v>
      </c>
      <c r="F2243">
        <f>IF($D2243 &gt; 16, 0,$E2243*$J$5)</f>
        <v>0</v>
      </c>
      <c r="G2243">
        <f t="shared" ref="G2243:G2306" si="35">MAX(0, 16 - $D2243)</f>
        <v>0</v>
      </c>
    </row>
    <row r="2244" spans="2:7" x14ac:dyDescent="0.35">
      <c r="B2244" s="1">
        <v>45751</v>
      </c>
      <c r="C2244" s="2">
        <v>0.41666666666666669</v>
      </c>
      <c r="D2244">
        <v>18.100000000000001</v>
      </c>
      <c r="E2244">
        <f>IF($D2244 &gt; 16, 0, $J$3*(16 - $D2244))</f>
        <v>0</v>
      </c>
      <c r="F2244">
        <f>IF($D2244 &gt; 16, 0,$E2244*$J$5)</f>
        <v>0</v>
      </c>
      <c r="G2244">
        <f t="shared" si="35"/>
        <v>0</v>
      </c>
    </row>
    <row r="2245" spans="2:7" x14ac:dyDescent="0.35">
      <c r="B2245" s="1">
        <v>45751</v>
      </c>
      <c r="C2245" s="2">
        <v>0.45833333333333331</v>
      </c>
      <c r="D2245">
        <v>18.8</v>
      </c>
      <c r="E2245">
        <f>IF($D2245 &gt; 16, 0, $J$3*(16 - $D2245))</f>
        <v>0</v>
      </c>
      <c r="F2245">
        <f>IF($D2245 &gt; 16, 0,$E2245*$J$5)</f>
        <v>0</v>
      </c>
      <c r="G2245">
        <f t="shared" si="35"/>
        <v>0</v>
      </c>
    </row>
    <row r="2246" spans="2:7" x14ac:dyDescent="0.35">
      <c r="B2246" s="1">
        <v>45751</v>
      </c>
      <c r="C2246" s="2">
        <v>0.5</v>
      </c>
      <c r="D2246">
        <v>19.7</v>
      </c>
      <c r="E2246">
        <f>IF($D2246 &gt; 16, 0, $J$3*(16 - $D2246))</f>
        <v>0</v>
      </c>
      <c r="F2246">
        <f>IF($D2246 &gt; 16, 0,$E2246*$J$5)</f>
        <v>0</v>
      </c>
      <c r="G2246">
        <f t="shared" si="35"/>
        <v>0</v>
      </c>
    </row>
    <row r="2247" spans="2:7" x14ac:dyDescent="0.35">
      <c r="B2247" s="1">
        <v>45751</v>
      </c>
      <c r="C2247" s="2">
        <v>0.54166666666666663</v>
      </c>
      <c r="D2247">
        <v>19.600000000000001</v>
      </c>
      <c r="E2247">
        <f>IF($D2247 &gt; 16, 0, $J$3*(16 - $D2247))</f>
        <v>0</v>
      </c>
      <c r="F2247">
        <f>IF($D2247 &gt; 16, 0,$E2247*$J$5)</f>
        <v>0</v>
      </c>
      <c r="G2247">
        <f t="shared" si="35"/>
        <v>0</v>
      </c>
    </row>
    <row r="2248" spans="2:7" x14ac:dyDescent="0.35">
      <c r="B2248" s="1">
        <v>45751</v>
      </c>
      <c r="C2248" s="2">
        <v>0.58333333333333337</v>
      </c>
      <c r="D2248">
        <v>19.899999999999999</v>
      </c>
      <c r="E2248">
        <f>IF($D2248 &gt; 16, 0, $J$3*(16 - $D2248))</f>
        <v>0</v>
      </c>
      <c r="F2248">
        <f>IF($D2248 &gt; 16, 0,$E2248*$J$5)</f>
        <v>0</v>
      </c>
      <c r="G2248">
        <f t="shared" si="35"/>
        <v>0</v>
      </c>
    </row>
    <row r="2249" spans="2:7" x14ac:dyDescent="0.35">
      <c r="B2249" s="1">
        <v>45751</v>
      </c>
      <c r="C2249" s="2">
        <v>0.625</v>
      </c>
      <c r="D2249">
        <v>19.600000000000001</v>
      </c>
      <c r="E2249">
        <f>IF($D2249 &gt; 16, 0, $J$3*(16 - $D2249))</f>
        <v>0</v>
      </c>
      <c r="F2249">
        <f>IF($D2249 &gt; 16, 0,$E2249*$J$5)</f>
        <v>0</v>
      </c>
      <c r="G2249">
        <f t="shared" si="35"/>
        <v>0</v>
      </c>
    </row>
    <row r="2250" spans="2:7" x14ac:dyDescent="0.35">
      <c r="B2250" s="1">
        <v>45751</v>
      </c>
      <c r="C2250" s="2">
        <v>0.66666666666666663</v>
      </c>
      <c r="D2250">
        <v>19.7</v>
      </c>
      <c r="E2250">
        <f>IF($D2250 &gt; 16, 0, $J$3*(16 - $D2250))</f>
        <v>0</v>
      </c>
      <c r="F2250">
        <f>IF($D2250 &gt; 16, 0,$E2250*$J$5)</f>
        <v>0</v>
      </c>
      <c r="G2250">
        <f t="shared" si="35"/>
        <v>0</v>
      </c>
    </row>
    <row r="2251" spans="2:7" x14ac:dyDescent="0.35">
      <c r="B2251" s="1">
        <v>45751</v>
      </c>
      <c r="C2251" s="2">
        <v>0.70833333333333337</v>
      </c>
      <c r="D2251">
        <v>18.3</v>
      </c>
      <c r="E2251">
        <f>IF($D2251 &gt; 16, 0, $J$3*(16 - $D2251))</f>
        <v>0</v>
      </c>
      <c r="F2251">
        <f>IF($D2251 &gt; 16, 0,$E2251*$J$5)</f>
        <v>0</v>
      </c>
      <c r="G2251">
        <f t="shared" si="35"/>
        <v>0</v>
      </c>
    </row>
    <row r="2252" spans="2:7" x14ac:dyDescent="0.35">
      <c r="B2252" s="1">
        <v>45751</v>
      </c>
      <c r="C2252" s="2">
        <v>0.75</v>
      </c>
      <c r="D2252">
        <v>15.6</v>
      </c>
      <c r="E2252">
        <f>IF($D2252 &gt; 16, 0, $J$3*(16 - $D2252))</f>
        <v>83.099457080278867</v>
      </c>
      <c r="F2252">
        <f>IF($D2252 &gt; 16, 0,$E2252*$J$5)</f>
        <v>903207.99900555098</v>
      </c>
      <c r="G2252">
        <f t="shared" si="35"/>
        <v>0.40000000000000036</v>
      </c>
    </row>
    <row r="2253" spans="2:7" x14ac:dyDescent="0.35">
      <c r="B2253" s="1">
        <v>45751</v>
      </c>
      <c r="C2253" s="2">
        <v>0.79166666666666663</v>
      </c>
      <c r="D2253">
        <v>11.5</v>
      </c>
      <c r="E2253">
        <f>IF($D2253 &gt; 16, 0, $J$3*(16 - $D2253))</f>
        <v>934.86889215313647</v>
      </c>
      <c r="F2253">
        <f>IF($D2253 &gt; 16, 0,$E2253*$J$5)</f>
        <v>10161089.988812441</v>
      </c>
      <c r="G2253">
        <f t="shared" si="35"/>
        <v>4.5</v>
      </c>
    </row>
    <row r="2254" spans="2:7" x14ac:dyDescent="0.35">
      <c r="B2254" s="1">
        <v>45751</v>
      </c>
      <c r="C2254" s="2">
        <v>0.83333333333333337</v>
      </c>
      <c r="D2254">
        <v>9.5</v>
      </c>
      <c r="E2254">
        <f>IF($D2254 &gt; 16, 0, $J$3*(16 - $D2254))</f>
        <v>1350.3661775545304</v>
      </c>
      <c r="F2254">
        <f>IF($D2254 &gt; 16, 0,$E2254*$J$5)</f>
        <v>14677129.983840192</v>
      </c>
      <c r="G2254">
        <f t="shared" si="35"/>
        <v>6.5</v>
      </c>
    </row>
    <row r="2255" spans="2:7" x14ac:dyDescent="0.35">
      <c r="B2255" s="1">
        <v>45751</v>
      </c>
      <c r="C2255" s="2">
        <v>0.875</v>
      </c>
      <c r="D2255">
        <v>7.7</v>
      </c>
      <c r="E2255">
        <f>IF($D2255 &gt; 16, 0, $J$3*(16 - $D2255))</f>
        <v>1724.3137344157851</v>
      </c>
      <c r="F2255">
        <f>IF($D2255 &gt; 16, 0,$E2255*$J$5)</f>
        <v>18741565.97936517</v>
      </c>
      <c r="G2255">
        <f t="shared" si="35"/>
        <v>8.3000000000000007</v>
      </c>
    </row>
    <row r="2256" spans="2:7" x14ac:dyDescent="0.35">
      <c r="B2256" s="1">
        <v>45751</v>
      </c>
      <c r="C2256" s="2">
        <v>0.91666666666666663</v>
      </c>
      <c r="D2256">
        <v>6.8</v>
      </c>
      <c r="E2256">
        <f>IF($D2256 &gt; 16, 0, $J$3*(16 - $D2256))</f>
        <v>1911.2875128464123</v>
      </c>
      <c r="F2256">
        <f>IF($D2256 &gt; 16, 0,$E2256*$J$5)</f>
        <v>20773783.977127656</v>
      </c>
      <c r="G2256">
        <f t="shared" si="35"/>
        <v>9.1999999999999993</v>
      </c>
    </row>
    <row r="2257" spans="2:7" x14ac:dyDescent="0.35">
      <c r="B2257" s="1">
        <v>45751</v>
      </c>
      <c r="C2257" s="2">
        <v>0.95833333333333337</v>
      </c>
      <c r="D2257">
        <v>5.7</v>
      </c>
      <c r="E2257">
        <f>IF($D2257 &gt; 16, 0, $J$3*(16 - $D2257))</f>
        <v>2139.8110198171789</v>
      </c>
      <c r="F2257">
        <f>IF($D2257 &gt; 16, 0,$E2257*$J$5)</f>
        <v>23257605.974392917</v>
      </c>
      <c r="G2257">
        <f t="shared" si="35"/>
        <v>10.3</v>
      </c>
    </row>
    <row r="2258" spans="2:7" x14ac:dyDescent="0.35">
      <c r="B2258" s="1">
        <v>45752</v>
      </c>
      <c r="C2258" s="2">
        <v>0</v>
      </c>
      <c r="D2258">
        <v>5.4</v>
      </c>
      <c r="E2258">
        <f>IF($D2258 &gt; 16, 0, $J$3*(16 - $D2258))</f>
        <v>2202.1356126273881</v>
      </c>
      <c r="F2258">
        <f>IF($D2258 &gt; 16, 0,$E2258*$J$5)</f>
        <v>23935011.97364708</v>
      </c>
      <c r="G2258">
        <f t="shared" si="35"/>
        <v>10.6</v>
      </c>
    </row>
    <row r="2259" spans="2:7" x14ac:dyDescent="0.35">
      <c r="B2259" s="1">
        <v>45752</v>
      </c>
      <c r="C2259" s="2">
        <v>4.1666666666666657E-2</v>
      </c>
      <c r="D2259">
        <v>5.4</v>
      </c>
      <c r="E2259">
        <f>IF($D2259 &gt; 16, 0, $J$3*(16 - $D2259))</f>
        <v>2202.1356126273881</v>
      </c>
      <c r="F2259">
        <f>IF($D2259 &gt; 16, 0,$E2259*$J$5)</f>
        <v>23935011.97364708</v>
      </c>
      <c r="G2259">
        <f t="shared" si="35"/>
        <v>10.6</v>
      </c>
    </row>
    <row r="2260" spans="2:7" x14ac:dyDescent="0.35">
      <c r="B2260" s="1">
        <v>45752</v>
      </c>
      <c r="C2260" s="2">
        <v>8.3333333333333329E-2</v>
      </c>
      <c r="D2260">
        <v>5.0999999999999996</v>
      </c>
      <c r="E2260">
        <f>IF($D2260 &gt; 16, 0, $J$3*(16 - $D2260))</f>
        <v>2264.4602054375973</v>
      </c>
      <c r="F2260">
        <f>IF($D2260 &gt; 16, 0,$E2260*$J$5)</f>
        <v>24612417.972901244</v>
      </c>
      <c r="G2260">
        <f t="shared" si="35"/>
        <v>10.9</v>
      </c>
    </row>
    <row r="2261" spans="2:7" x14ac:dyDescent="0.35">
      <c r="B2261" s="1">
        <v>45752</v>
      </c>
      <c r="C2261" s="2">
        <v>0.125</v>
      </c>
      <c r="D2261">
        <v>4.5</v>
      </c>
      <c r="E2261">
        <f>IF($D2261 &gt; 16, 0, $J$3*(16 - $D2261))</f>
        <v>2389.1093910580153</v>
      </c>
      <c r="F2261">
        <f>IF($D2261 &gt; 16, 0,$E2261*$J$5)</f>
        <v>25967229.971409567</v>
      </c>
      <c r="G2261">
        <f t="shared" si="35"/>
        <v>11.5</v>
      </c>
    </row>
    <row r="2262" spans="2:7" x14ac:dyDescent="0.35">
      <c r="B2262" s="1">
        <v>45752</v>
      </c>
      <c r="C2262" s="2">
        <v>0.16666666666666671</v>
      </c>
      <c r="D2262">
        <v>3.4</v>
      </c>
      <c r="E2262">
        <f>IF($D2262 &gt; 16, 0, $J$3*(16 - $D2262))</f>
        <v>2617.6328980287822</v>
      </c>
      <c r="F2262">
        <f>IF($D2262 &gt; 16, 0,$E2262*$J$5)</f>
        <v>28451051.968674835</v>
      </c>
      <c r="G2262">
        <f t="shared" si="35"/>
        <v>12.6</v>
      </c>
    </row>
    <row r="2263" spans="2:7" x14ac:dyDescent="0.35">
      <c r="B2263" s="1">
        <v>45752</v>
      </c>
      <c r="C2263" s="2">
        <v>0.20833333333333329</v>
      </c>
      <c r="D2263">
        <v>3.7</v>
      </c>
      <c r="E2263">
        <f>IF($D2263 &gt; 16, 0, $J$3*(16 - $D2263))</f>
        <v>2555.308305218573</v>
      </c>
      <c r="F2263">
        <f>IF($D2263 &gt; 16, 0,$E2263*$J$5)</f>
        <v>27773645.969420668</v>
      </c>
      <c r="G2263">
        <f t="shared" si="35"/>
        <v>12.3</v>
      </c>
    </row>
    <row r="2264" spans="2:7" x14ac:dyDescent="0.35">
      <c r="B2264" s="1">
        <v>45752</v>
      </c>
      <c r="C2264" s="2">
        <v>0.25</v>
      </c>
      <c r="D2264">
        <v>3.6</v>
      </c>
      <c r="E2264">
        <f>IF($D2264 &gt; 16, 0, $J$3*(16 - $D2264))</f>
        <v>2576.0831694886429</v>
      </c>
      <c r="F2264">
        <f>IF($D2264 &gt; 16, 0,$E2264*$J$5)</f>
        <v>27999447.96917206</v>
      </c>
      <c r="G2264">
        <f t="shared" si="35"/>
        <v>12.4</v>
      </c>
    </row>
    <row r="2265" spans="2:7" x14ac:dyDescent="0.35">
      <c r="B2265" s="1">
        <v>45752</v>
      </c>
      <c r="C2265" s="2">
        <v>0.29166666666666669</v>
      </c>
      <c r="D2265">
        <v>5.6</v>
      </c>
      <c r="E2265">
        <f>IF($D2265 &gt; 16, 0, $J$3*(16 - $D2265))</f>
        <v>2160.5858840872488</v>
      </c>
      <c r="F2265">
        <f>IF($D2265 &gt; 16, 0,$E2265*$J$5)</f>
        <v>23483407.974144306</v>
      </c>
      <c r="G2265">
        <f t="shared" si="35"/>
        <v>10.4</v>
      </c>
    </row>
    <row r="2266" spans="2:7" x14ac:dyDescent="0.35">
      <c r="B2266" s="1">
        <v>45752</v>
      </c>
      <c r="C2266" s="2">
        <v>0.33333333333333331</v>
      </c>
      <c r="D2266">
        <v>7.1</v>
      </c>
      <c r="E2266">
        <f>IF($D2266 &gt; 16, 0, $J$3*(16 - $D2266))</f>
        <v>1848.9629200362033</v>
      </c>
      <c r="F2266">
        <f>IF($D2266 &gt; 16, 0,$E2266*$J$5)</f>
        <v>20096377.977873493</v>
      </c>
      <c r="G2266">
        <f t="shared" si="35"/>
        <v>8.9</v>
      </c>
    </row>
    <row r="2267" spans="2:7" x14ac:dyDescent="0.35">
      <c r="B2267" s="1">
        <v>45752</v>
      </c>
      <c r="C2267" s="2">
        <v>0.375</v>
      </c>
      <c r="D2267">
        <v>8.6</v>
      </c>
      <c r="E2267">
        <f>IF($D2267 &gt; 16, 0, $J$3*(16 - $D2267))</f>
        <v>1537.3399559851578</v>
      </c>
      <c r="F2267">
        <f>IF($D2267 &gt; 16, 0,$E2267*$J$5)</f>
        <v>16709347.98160268</v>
      </c>
      <c r="G2267">
        <f t="shared" si="35"/>
        <v>7.4</v>
      </c>
    </row>
    <row r="2268" spans="2:7" x14ac:dyDescent="0.35">
      <c r="B2268" s="1">
        <v>45752</v>
      </c>
      <c r="C2268" s="2">
        <v>0.41666666666666669</v>
      </c>
      <c r="D2268">
        <v>9.1</v>
      </c>
      <c r="E2268">
        <f>IF($D2268 &gt; 16, 0, $J$3*(16 - $D2268))</f>
        <v>1433.4656346348092</v>
      </c>
      <c r="F2268">
        <f>IF($D2268 &gt; 16, 0,$E2268*$J$5)</f>
        <v>15580337.982845742</v>
      </c>
      <c r="G2268">
        <f t="shared" si="35"/>
        <v>6.9</v>
      </c>
    </row>
    <row r="2269" spans="2:7" x14ac:dyDescent="0.35">
      <c r="B2269" s="1">
        <v>45752</v>
      </c>
      <c r="C2269" s="2">
        <v>0.45833333333333331</v>
      </c>
      <c r="D2269">
        <v>10.6</v>
      </c>
      <c r="E2269">
        <f>IF($D2269 &gt; 16, 0, $J$3*(16 - $D2269))</f>
        <v>1121.8426705837637</v>
      </c>
      <c r="F2269">
        <f>IF($D2269 &gt; 16, 0,$E2269*$J$5)</f>
        <v>12193307.986574927</v>
      </c>
      <c r="G2269">
        <f t="shared" si="35"/>
        <v>5.4</v>
      </c>
    </row>
    <row r="2270" spans="2:7" x14ac:dyDescent="0.35">
      <c r="B2270" s="1">
        <v>45752</v>
      </c>
      <c r="C2270" s="2">
        <v>0.5</v>
      </c>
      <c r="D2270">
        <v>10.6</v>
      </c>
      <c r="E2270">
        <f>IF($D2270 &gt; 16, 0, $J$3*(16 - $D2270))</f>
        <v>1121.8426705837637</v>
      </c>
      <c r="F2270">
        <f>IF($D2270 &gt; 16, 0,$E2270*$J$5)</f>
        <v>12193307.986574927</v>
      </c>
      <c r="G2270">
        <f t="shared" si="35"/>
        <v>5.4</v>
      </c>
    </row>
    <row r="2271" spans="2:7" x14ac:dyDescent="0.35">
      <c r="B2271" s="1">
        <v>45752</v>
      </c>
      <c r="C2271" s="2">
        <v>0.54166666666666663</v>
      </c>
      <c r="D2271">
        <v>10.8</v>
      </c>
      <c r="E2271">
        <f>IF($D2271 &gt; 16, 0, $J$3*(16 - $D2271))</f>
        <v>1080.2929420436242</v>
      </c>
      <c r="F2271">
        <f>IF($D2271 &gt; 16, 0,$E2271*$J$5)</f>
        <v>11741703.987072151</v>
      </c>
      <c r="G2271">
        <f t="shared" si="35"/>
        <v>5.1999999999999993</v>
      </c>
    </row>
    <row r="2272" spans="2:7" x14ac:dyDescent="0.35">
      <c r="B2272" s="1">
        <v>45752</v>
      </c>
      <c r="C2272" s="2">
        <v>0.58333333333333337</v>
      </c>
      <c r="D2272">
        <v>10.6</v>
      </c>
      <c r="E2272">
        <f>IF($D2272 &gt; 16, 0, $J$3*(16 - $D2272))</f>
        <v>1121.8426705837637</v>
      </c>
      <c r="F2272">
        <f>IF($D2272 &gt; 16, 0,$E2272*$J$5)</f>
        <v>12193307.986574927</v>
      </c>
      <c r="G2272">
        <f t="shared" si="35"/>
        <v>5.4</v>
      </c>
    </row>
    <row r="2273" spans="2:7" x14ac:dyDescent="0.35">
      <c r="B2273" s="1">
        <v>45752</v>
      </c>
      <c r="C2273" s="2">
        <v>0.625</v>
      </c>
      <c r="D2273">
        <v>10.3</v>
      </c>
      <c r="E2273">
        <f>IF($D2273 &gt; 16, 0, $J$3*(16 - $D2273))</f>
        <v>1184.1672633939727</v>
      </c>
      <c r="F2273">
        <f>IF($D2273 &gt; 16, 0,$E2273*$J$5)</f>
        <v>12870713.985829089</v>
      </c>
      <c r="G2273">
        <f t="shared" si="35"/>
        <v>5.6999999999999993</v>
      </c>
    </row>
    <row r="2274" spans="2:7" x14ac:dyDescent="0.35">
      <c r="B2274" s="1">
        <v>45752</v>
      </c>
      <c r="C2274" s="2">
        <v>0.66666666666666663</v>
      </c>
      <c r="D2274">
        <v>9.8000000000000007</v>
      </c>
      <c r="E2274">
        <f>IF($D2274 &gt; 16, 0, $J$3*(16 - $D2274))</f>
        <v>1288.0415847443212</v>
      </c>
      <c r="F2274">
        <f>IF($D2274 &gt; 16, 0,$E2274*$J$5)</f>
        <v>13999723.984586027</v>
      </c>
      <c r="G2274">
        <f t="shared" si="35"/>
        <v>6.1999999999999993</v>
      </c>
    </row>
    <row r="2275" spans="2:7" x14ac:dyDescent="0.35">
      <c r="B2275" s="1">
        <v>45752</v>
      </c>
      <c r="C2275" s="2">
        <v>0.70833333333333337</v>
      </c>
      <c r="D2275">
        <v>8.5</v>
      </c>
      <c r="E2275">
        <f>IF($D2275 &gt; 16, 0, $J$3*(16 - $D2275))</f>
        <v>1558.1148202552274</v>
      </c>
      <c r="F2275">
        <f>IF($D2275 &gt; 16, 0,$E2275*$J$5)</f>
        <v>16935149.981354065</v>
      </c>
      <c r="G2275">
        <f t="shared" si="35"/>
        <v>7.5</v>
      </c>
    </row>
    <row r="2276" spans="2:7" x14ac:dyDescent="0.35">
      <c r="B2276" s="1">
        <v>45752</v>
      </c>
      <c r="C2276" s="2">
        <v>0.75</v>
      </c>
      <c r="D2276">
        <v>6.9</v>
      </c>
      <c r="E2276">
        <f>IF($D2276 &gt; 16, 0, $J$3*(16 - $D2276))</f>
        <v>1890.5126485763426</v>
      </c>
      <c r="F2276">
        <f>IF($D2276 &gt; 16, 0,$E2276*$J$5)</f>
        <v>20547981.977376267</v>
      </c>
      <c r="G2276">
        <f t="shared" si="35"/>
        <v>9.1</v>
      </c>
    </row>
    <row r="2277" spans="2:7" x14ac:dyDescent="0.35">
      <c r="B2277" s="1">
        <v>45752</v>
      </c>
      <c r="C2277" s="2">
        <v>0.79166666666666663</v>
      </c>
      <c r="D2277">
        <v>5.8</v>
      </c>
      <c r="E2277">
        <f>IF($D2277 &gt; 16, 0, $J$3*(16 - $D2277))</f>
        <v>2119.036155547109</v>
      </c>
      <c r="F2277">
        <f>IF($D2277 &gt; 16, 0,$E2277*$J$5)</f>
        <v>23031803.974641528</v>
      </c>
      <c r="G2277">
        <f t="shared" si="35"/>
        <v>10.199999999999999</v>
      </c>
    </row>
    <row r="2278" spans="2:7" x14ac:dyDescent="0.35">
      <c r="B2278" s="1">
        <v>45752</v>
      </c>
      <c r="C2278" s="2">
        <v>0.83333333333333337</v>
      </c>
      <c r="D2278">
        <v>5</v>
      </c>
      <c r="E2278">
        <f>IF($D2278 &gt; 16, 0, $J$3*(16 - $D2278))</f>
        <v>2285.2350697076668</v>
      </c>
      <c r="F2278">
        <f>IF($D2278 &gt; 16, 0,$E2278*$J$5)</f>
        <v>24838219.972652629</v>
      </c>
      <c r="G2278">
        <f t="shared" si="35"/>
        <v>11</v>
      </c>
    </row>
    <row r="2279" spans="2:7" x14ac:dyDescent="0.35">
      <c r="B2279" s="1">
        <v>45752</v>
      </c>
      <c r="C2279" s="2">
        <v>0.875</v>
      </c>
      <c r="D2279">
        <v>4.0999999999999996</v>
      </c>
      <c r="E2279">
        <f>IF($D2279 &gt; 16, 0, $J$3*(16 - $D2279))</f>
        <v>2472.2088481382943</v>
      </c>
      <c r="F2279">
        <f>IF($D2279 &gt; 16, 0,$E2279*$J$5)</f>
        <v>26870437.970415123</v>
      </c>
      <c r="G2279">
        <f t="shared" si="35"/>
        <v>11.9</v>
      </c>
    </row>
    <row r="2280" spans="2:7" x14ac:dyDescent="0.35">
      <c r="B2280" s="1">
        <v>45752</v>
      </c>
      <c r="C2280" s="2">
        <v>0.91666666666666663</v>
      </c>
      <c r="D2280">
        <v>2.9</v>
      </c>
      <c r="E2280">
        <f>IF($D2280 &gt; 16, 0, $J$3*(16 - $D2280))</f>
        <v>2721.5072193791307</v>
      </c>
      <c r="F2280">
        <f>IF($D2280 &gt; 16, 0,$E2280*$J$5)</f>
        <v>29580061.967431773</v>
      </c>
      <c r="G2280">
        <f t="shared" si="35"/>
        <v>13.1</v>
      </c>
    </row>
    <row r="2281" spans="2:7" x14ac:dyDescent="0.35">
      <c r="B2281" s="1">
        <v>45752</v>
      </c>
      <c r="C2281" s="2">
        <v>0.95833333333333337</v>
      </c>
      <c r="D2281">
        <v>1</v>
      </c>
      <c r="E2281">
        <f>IF($D2281 &gt; 16, 0, $J$3*(16 - $D2281))</f>
        <v>3116.2296405104548</v>
      </c>
      <c r="F2281">
        <f>IF($D2281 &gt; 16, 0,$E2281*$J$5)</f>
        <v>33870299.96270813</v>
      </c>
      <c r="G2281">
        <f t="shared" si="35"/>
        <v>15</v>
      </c>
    </row>
    <row r="2282" spans="2:7" x14ac:dyDescent="0.35">
      <c r="B2282" s="1">
        <v>45753</v>
      </c>
      <c r="C2282" s="2">
        <v>0</v>
      </c>
      <c r="D2282">
        <v>-0.7</v>
      </c>
      <c r="E2282">
        <f>IF($D2282 &gt; 16, 0, $J$3*(16 - $D2282))</f>
        <v>3469.4023331016397</v>
      </c>
      <c r="F2282">
        <f>IF($D2282 &gt; 16, 0,$E2282*$J$5)</f>
        <v>37708933.958481722</v>
      </c>
      <c r="G2282">
        <f t="shared" si="35"/>
        <v>16.7</v>
      </c>
    </row>
    <row r="2283" spans="2:7" x14ac:dyDescent="0.35">
      <c r="B2283" s="1">
        <v>45753</v>
      </c>
      <c r="C2283" s="2">
        <v>4.1666666666666657E-2</v>
      </c>
      <c r="D2283">
        <v>-0.1</v>
      </c>
      <c r="E2283">
        <f>IF($D2283 &gt; 16, 0, $J$3*(16 - $D2283))</f>
        <v>3344.7531474812217</v>
      </c>
      <c r="F2283">
        <f>IF($D2283 &gt; 16, 0,$E2283*$J$5)</f>
        <v>36354121.959973402</v>
      </c>
      <c r="G2283">
        <f t="shared" si="35"/>
        <v>16.100000000000001</v>
      </c>
    </row>
    <row r="2284" spans="2:7" x14ac:dyDescent="0.35">
      <c r="B2284" s="1">
        <v>45753</v>
      </c>
      <c r="C2284" s="2">
        <v>8.3333333333333329E-2</v>
      </c>
      <c r="D2284">
        <v>-1.9</v>
      </c>
      <c r="E2284">
        <f>IF($D2284 &gt; 16, 0, $J$3*(16 - $D2284))</f>
        <v>3718.700704342476</v>
      </c>
      <c r="F2284">
        <f>IF($D2284 &gt; 16, 0,$E2284*$J$5)</f>
        <v>40418557.955498375</v>
      </c>
      <c r="G2284">
        <f t="shared" si="35"/>
        <v>17.899999999999999</v>
      </c>
    </row>
    <row r="2285" spans="2:7" x14ac:dyDescent="0.35">
      <c r="B2285" s="1">
        <v>45753</v>
      </c>
      <c r="C2285" s="2">
        <v>0.125</v>
      </c>
      <c r="D2285">
        <v>-1.2</v>
      </c>
      <c r="E2285">
        <f>IF($D2285 &gt; 16, 0, $J$3*(16 - $D2285))</f>
        <v>3573.2766544519882</v>
      </c>
      <c r="F2285">
        <f>IF($D2285 &gt; 16, 0,$E2285*$J$5)</f>
        <v>38837943.957238659</v>
      </c>
      <c r="G2285">
        <f t="shared" si="35"/>
        <v>17.2</v>
      </c>
    </row>
    <row r="2286" spans="2:7" x14ac:dyDescent="0.35">
      <c r="B2286" s="1">
        <v>45753</v>
      </c>
      <c r="C2286" s="2">
        <v>0.16666666666666671</v>
      </c>
      <c r="D2286">
        <v>-1.7</v>
      </c>
      <c r="E2286">
        <f>IF($D2286 &gt; 16, 0, $J$3*(16 - $D2286))</f>
        <v>3677.1509758023367</v>
      </c>
      <c r="F2286">
        <f>IF($D2286 &gt; 16, 0,$E2286*$J$5)</f>
        <v>39966953.955995597</v>
      </c>
      <c r="G2286">
        <f t="shared" si="35"/>
        <v>17.7</v>
      </c>
    </row>
    <row r="2287" spans="2:7" x14ac:dyDescent="0.35">
      <c r="B2287" s="1">
        <v>45753</v>
      </c>
      <c r="C2287" s="2">
        <v>0.20833333333333329</v>
      </c>
      <c r="D2287">
        <v>-2.2999999999999998</v>
      </c>
      <c r="E2287">
        <f>IF($D2287 &gt; 16, 0, $J$3*(16 - $D2287))</f>
        <v>3801.8001614227551</v>
      </c>
      <c r="F2287">
        <f>IF($D2287 &gt; 16, 0,$E2287*$J$5)</f>
        <v>41321765.954503924</v>
      </c>
      <c r="G2287">
        <f t="shared" si="35"/>
        <v>18.3</v>
      </c>
    </row>
    <row r="2288" spans="2:7" x14ac:dyDescent="0.35">
      <c r="B2288" s="1">
        <v>45753</v>
      </c>
      <c r="C2288" s="2">
        <v>0.25</v>
      </c>
      <c r="D2288">
        <v>0.1</v>
      </c>
      <c r="E2288">
        <f>IF($D2288 &gt; 16, 0, $J$3*(16 - $D2288))</f>
        <v>3303.2034189410824</v>
      </c>
      <c r="F2288">
        <f>IF($D2288 &gt; 16, 0,$E2288*$J$5)</f>
        <v>35902517.960470624</v>
      </c>
      <c r="G2288">
        <f t="shared" si="35"/>
        <v>15.9</v>
      </c>
    </row>
    <row r="2289" spans="2:7" x14ac:dyDescent="0.35">
      <c r="B2289" s="1">
        <v>45753</v>
      </c>
      <c r="C2289" s="2">
        <v>0.29166666666666669</v>
      </c>
      <c r="D2289">
        <v>4</v>
      </c>
      <c r="E2289">
        <f>IF($D2289 &gt; 16, 0, $J$3*(16 - $D2289))</f>
        <v>2492.9837124083638</v>
      </c>
      <c r="F2289">
        <f>IF($D2289 &gt; 16, 0,$E2289*$J$5)</f>
        <v>27096239.970166504</v>
      </c>
      <c r="G2289">
        <f t="shared" si="35"/>
        <v>12</v>
      </c>
    </row>
    <row r="2290" spans="2:7" x14ac:dyDescent="0.35">
      <c r="B2290" s="1">
        <v>45753</v>
      </c>
      <c r="C2290" s="2">
        <v>0.33333333333333331</v>
      </c>
      <c r="D2290">
        <v>5.7</v>
      </c>
      <c r="E2290">
        <f>IF($D2290 &gt; 16, 0, $J$3*(16 - $D2290))</f>
        <v>2139.8110198171789</v>
      </c>
      <c r="F2290">
        <f>IF($D2290 &gt; 16, 0,$E2290*$J$5)</f>
        <v>23257605.974392917</v>
      </c>
      <c r="G2290">
        <f t="shared" si="35"/>
        <v>10.3</v>
      </c>
    </row>
    <row r="2291" spans="2:7" x14ac:dyDescent="0.35">
      <c r="B2291" s="1">
        <v>45753</v>
      </c>
      <c r="C2291" s="2">
        <v>0.375</v>
      </c>
      <c r="D2291">
        <v>6.7</v>
      </c>
      <c r="E2291">
        <f>IF($D2291 &gt; 16, 0, $J$3*(16 - $D2291))</f>
        <v>1932.0623771164821</v>
      </c>
      <c r="F2291">
        <f>IF($D2291 &gt; 16, 0,$E2291*$J$5)</f>
        <v>20999585.976879045</v>
      </c>
      <c r="G2291">
        <f t="shared" si="35"/>
        <v>9.3000000000000007</v>
      </c>
    </row>
    <row r="2292" spans="2:7" x14ac:dyDescent="0.35">
      <c r="B2292" s="1">
        <v>45753</v>
      </c>
      <c r="C2292" s="2">
        <v>0.41666666666666669</v>
      </c>
      <c r="D2292">
        <v>7.8</v>
      </c>
      <c r="E2292">
        <f>IF($D2292 &gt; 16, 0, $J$3*(16 - $D2292))</f>
        <v>1703.5388701457152</v>
      </c>
      <c r="F2292">
        <f>IF($D2292 &gt; 16, 0,$E2292*$J$5)</f>
        <v>18515763.979613777</v>
      </c>
      <c r="G2292">
        <f t="shared" si="35"/>
        <v>8.1999999999999993</v>
      </c>
    </row>
    <row r="2293" spans="2:7" x14ac:dyDescent="0.35">
      <c r="B2293" s="1">
        <v>45753</v>
      </c>
      <c r="C2293" s="2">
        <v>0.45833333333333331</v>
      </c>
      <c r="D2293">
        <v>7.6</v>
      </c>
      <c r="E2293">
        <f>IF($D2293 &gt; 16, 0, $J$3*(16 - $D2293))</f>
        <v>1745.0885986858548</v>
      </c>
      <c r="F2293">
        <f>IF($D2293 &gt; 16, 0,$E2293*$J$5)</f>
        <v>18967367.979116555</v>
      </c>
      <c r="G2293">
        <f t="shared" si="35"/>
        <v>8.4</v>
      </c>
    </row>
    <row r="2294" spans="2:7" x14ac:dyDescent="0.35">
      <c r="B2294" s="1">
        <v>45753</v>
      </c>
      <c r="C2294" s="2">
        <v>0.5</v>
      </c>
      <c r="D2294">
        <v>8.8000000000000007</v>
      </c>
      <c r="E2294">
        <f>IF($D2294 &gt; 16, 0, $J$3*(16 - $D2294))</f>
        <v>1495.7902274450182</v>
      </c>
      <c r="F2294">
        <f>IF($D2294 &gt; 16, 0,$E2294*$J$5)</f>
        <v>16257743.982099904</v>
      </c>
      <c r="G2294">
        <f t="shared" si="35"/>
        <v>7.1999999999999993</v>
      </c>
    </row>
    <row r="2295" spans="2:7" x14ac:dyDescent="0.35">
      <c r="B2295" s="1">
        <v>45753</v>
      </c>
      <c r="C2295" s="2">
        <v>0.54166666666666663</v>
      </c>
      <c r="D2295">
        <v>9.1999999999999993</v>
      </c>
      <c r="E2295">
        <f>IF($D2295 &gt; 16, 0, $J$3*(16 - $D2295))</f>
        <v>1412.6907703647396</v>
      </c>
      <c r="F2295">
        <f>IF($D2295 &gt; 16, 0,$E2295*$J$5)</f>
        <v>15354535.983094355</v>
      </c>
      <c r="G2295">
        <f t="shared" si="35"/>
        <v>6.8000000000000007</v>
      </c>
    </row>
    <row r="2296" spans="2:7" x14ac:dyDescent="0.35">
      <c r="B2296" s="1">
        <v>45753</v>
      </c>
      <c r="C2296" s="2">
        <v>0.58333333333333337</v>
      </c>
      <c r="D2296">
        <v>9.4</v>
      </c>
      <c r="E2296">
        <f>IF($D2296 &gt; 16, 0, $J$3*(16 - $D2296))</f>
        <v>1371.1410418246001</v>
      </c>
      <c r="F2296">
        <f>IF($D2296 &gt; 16, 0,$E2296*$J$5)</f>
        <v>14902931.983591577</v>
      </c>
      <c r="G2296">
        <f t="shared" si="35"/>
        <v>6.6</v>
      </c>
    </row>
    <row r="2297" spans="2:7" x14ac:dyDescent="0.35">
      <c r="B2297" s="1">
        <v>45753</v>
      </c>
      <c r="C2297" s="2">
        <v>0.625</v>
      </c>
      <c r="D2297">
        <v>9.9</v>
      </c>
      <c r="E2297">
        <f>IF($D2297 &gt; 16, 0, $J$3*(16 - $D2297))</f>
        <v>1267.2667204742515</v>
      </c>
      <c r="F2297">
        <f>IF($D2297 &gt; 16, 0,$E2297*$J$5)</f>
        <v>13773921.984834639</v>
      </c>
      <c r="G2297">
        <f t="shared" si="35"/>
        <v>6.1</v>
      </c>
    </row>
    <row r="2298" spans="2:7" x14ac:dyDescent="0.35">
      <c r="B2298" s="1">
        <v>45753</v>
      </c>
      <c r="C2298" s="2">
        <v>0.66666666666666663</v>
      </c>
      <c r="D2298">
        <v>9.5</v>
      </c>
      <c r="E2298">
        <f>IF($D2298 &gt; 16, 0, $J$3*(16 - $D2298))</f>
        <v>1350.3661775545304</v>
      </c>
      <c r="F2298">
        <f>IF($D2298 &gt; 16, 0,$E2298*$J$5)</f>
        <v>14677129.983840192</v>
      </c>
      <c r="G2298">
        <f t="shared" si="35"/>
        <v>6.5</v>
      </c>
    </row>
    <row r="2299" spans="2:7" x14ac:dyDescent="0.35">
      <c r="B2299" s="1">
        <v>45753</v>
      </c>
      <c r="C2299" s="2">
        <v>0.70833333333333337</v>
      </c>
      <c r="D2299">
        <v>8.3000000000000007</v>
      </c>
      <c r="E2299">
        <f>IF($D2299 &gt; 16, 0, $J$3*(16 - $D2299))</f>
        <v>1599.6645487953667</v>
      </c>
      <c r="F2299">
        <f>IF($D2299 &gt; 16, 0,$E2299*$J$5)</f>
        <v>17386753.98085684</v>
      </c>
      <c r="G2299">
        <f t="shared" si="35"/>
        <v>7.6999999999999993</v>
      </c>
    </row>
    <row r="2300" spans="2:7" x14ac:dyDescent="0.35">
      <c r="B2300" s="1">
        <v>45753</v>
      </c>
      <c r="C2300" s="2">
        <v>0.75</v>
      </c>
      <c r="D2300">
        <v>6.8</v>
      </c>
      <c r="E2300">
        <f>IF($D2300 &gt; 16, 0, $J$3*(16 - $D2300))</f>
        <v>1911.2875128464123</v>
      </c>
      <c r="F2300">
        <f>IF($D2300 &gt; 16, 0,$E2300*$J$5)</f>
        <v>20773783.977127656</v>
      </c>
      <c r="G2300">
        <f t="shared" si="35"/>
        <v>9.1999999999999993</v>
      </c>
    </row>
    <row r="2301" spans="2:7" x14ac:dyDescent="0.35">
      <c r="B2301" s="1">
        <v>45753</v>
      </c>
      <c r="C2301" s="2">
        <v>0.79166666666666663</v>
      </c>
      <c r="D2301">
        <v>6</v>
      </c>
      <c r="E2301">
        <f>IF($D2301 &gt; 16, 0, $J$3*(16 - $D2301))</f>
        <v>2077.4864270069697</v>
      </c>
      <c r="F2301">
        <f>IF($D2301 &gt; 16, 0,$E2301*$J$5)</f>
        <v>22580199.975138754</v>
      </c>
      <c r="G2301">
        <f t="shared" si="35"/>
        <v>10</v>
      </c>
    </row>
    <row r="2302" spans="2:7" x14ac:dyDescent="0.35">
      <c r="B2302" s="1">
        <v>45753</v>
      </c>
      <c r="C2302" s="2">
        <v>0.83333333333333337</v>
      </c>
      <c r="D2302">
        <v>4.5999999999999996</v>
      </c>
      <c r="E2302">
        <f>IF($D2302 &gt; 16, 0, $J$3*(16 - $D2302))</f>
        <v>2368.3345267879458</v>
      </c>
      <c r="F2302">
        <f>IF($D2302 &gt; 16, 0,$E2302*$J$5)</f>
        <v>25741427.971658185</v>
      </c>
      <c r="G2302">
        <f t="shared" si="35"/>
        <v>11.4</v>
      </c>
    </row>
    <row r="2303" spans="2:7" x14ac:dyDescent="0.35">
      <c r="B2303" s="1">
        <v>45753</v>
      </c>
      <c r="C2303" s="2">
        <v>0.875</v>
      </c>
      <c r="D2303">
        <v>3</v>
      </c>
      <c r="E2303">
        <f>IF($D2303 &gt; 16, 0, $J$3*(16 - $D2303))</f>
        <v>2700.7323551090608</v>
      </c>
      <c r="F2303">
        <f>IF($D2303 &gt; 16, 0,$E2303*$J$5)</f>
        <v>29354259.967680383</v>
      </c>
      <c r="G2303">
        <f t="shared" si="35"/>
        <v>13</v>
      </c>
    </row>
    <row r="2304" spans="2:7" x14ac:dyDescent="0.35">
      <c r="B2304" s="1">
        <v>45753</v>
      </c>
      <c r="C2304" s="2">
        <v>0.91666666666666663</v>
      </c>
      <c r="D2304">
        <v>1.1000000000000001</v>
      </c>
      <c r="E2304">
        <f>IF($D2304 &gt; 16, 0, $J$3*(16 - $D2304))</f>
        <v>3095.4547762403854</v>
      </c>
      <c r="F2304">
        <f>IF($D2304 &gt; 16, 0,$E2304*$J$5)</f>
        <v>33644497.962956749</v>
      </c>
      <c r="G2304">
        <f t="shared" si="35"/>
        <v>14.9</v>
      </c>
    </row>
    <row r="2305" spans="2:7" x14ac:dyDescent="0.35">
      <c r="B2305" s="1">
        <v>45753</v>
      </c>
      <c r="C2305" s="2">
        <v>0.95833333333333337</v>
      </c>
      <c r="D2305">
        <v>-0.1</v>
      </c>
      <c r="E2305">
        <f>IF($D2305 &gt; 16, 0, $J$3*(16 - $D2305))</f>
        <v>3344.7531474812217</v>
      </c>
      <c r="F2305">
        <f>IF($D2305 &gt; 16, 0,$E2305*$J$5)</f>
        <v>36354121.959973402</v>
      </c>
      <c r="G2305">
        <f t="shared" si="35"/>
        <v>16.100000000000001</v>
      </c>
    </row>
    <row r="2306" spans="2:7" x14ac:dyDescent="0.35">
      <c r="B2306" s="1">
        <v>45754</v>
      </c>
      <c r="C2306" s="2">
        <v>0</v>
      </c>
      <c r="D2306">
        <v>-0.9</v>
      </c>
      <c r="E2306">
        <f>IF($D2306 &gt; 16, 0, $J$3*(16 - $D2306))</f>
        <v>3510.952061641779</v>
      </c>
      <c r="F2306">
        <f>IF($D2306 &gt; 16, 0,$E2306*$J$5)</f>
        <v>38160537.957984492</v>
      </c>
      <c r="G2306">
        <f t="shared" si="35"/>
        <v>16.899999999999999</v>
      </c>
    </row>
    <row r="2307" spans="2:7" x14ac:dyDescent="0.35">
      <c r="B2307" s="1">
        <v>45754</v>
      </c>
      <c r="C2307" s="2">
        <v>4.1666666666666657E-2</v>
      </c>
      <c r="D2307">
        <v>-1.4</v>
      </c>
      <c r="E2307">
        <f>IF($D2307 &gt; 16, 0, $J$3*(16 - $D2307))</f>
        <v>3614.8263829921275</v>
      </c>
      <c r="F2307">
        <f>IF($D2307 &gt; 16, 0,$E2307*$J$5)</f>
        <v>39289547.956741437</v>
      </c>
      <c r="G2307">
        <f t="shared" ref="G2307:G2370" si="36">MAX(0, 16 - $D2307)</f>
        <v>17.399999999999999</v>
      </c>
    </row>
    <row r="2308" spans="2:7" x14ac:dyDescent="0.35">
      <c r="B2308" s="1">
        <v>45754</v>
      </c>
      <c r="C2308" s="2">
        <v>8.3333333333333329E-2</v>
      </c>
      <c r="D2308">
        <v>-1.8</v>
      </c>
      <c r="E2308">
        <f>IF($D2308 &gt; 16, 0, $J$3*(16 - $D2308))</f>
        <v>3697.9258400724066</v>
      </c>
      <c r="F2308">
        <f>IF($D2308 &gt; 16, 0,$E2308*$J$5)</f>
        <v>40192755.955746986</v>
      </c>
      <c r="G2308">
        <f t="shared" si="36"/>
        <v>17.8</v>
      </c>
    </row>
    <row r="2309" spans="2:7" x14ac:dyDescent="0.35">
      <c r="B2309" s="1">
        <v>45754</v>
      </c>
      <c r="C2309" s="2">
        <v>0.125</v>
      </c>
      <c r="D2309">
        <v>-1.7</v>
      </c>
      <c r="E2309">
        <f>IF($D2309 &gt; 16, 0, $J$3*(16 - $D2309))</f>
        <v>3677.1509758023367</v>
      </c>
      <c r="F2309">
        <f>IF($D2309 &gt; 16, 0,$E2309*$J$5)</f>
        <v>39966953.955995597</v>
      </c>
      <c r="G2309">
        <f t="shared" si="36"/>
        <v>17.7</v>
      </c>
    </row>
    <row r="2310" spans="2:7" x14ac:dyDescent="0.35">
      <c r="B2310" s="1">
        <v>45754</v>
      </c>
      <c r="C2310" s="2">
        <v>0.16666666666666671</v>
      </c>
      <c r="D2310">
        <v>-1.9</v>
      </c>
      <c r="E2310">
        <f>IF($D2310 &gt; 16, 0, $J$3*(16 - $D2310))</f>
        <v>3718.700704342476</v>
      </c>
      <c r="F2310">
        <f>IF($D2310 &gt; 16, 0,$E2310*$J$5)</f>
        <v>40418557.955498375</v>
      </c>
      <c r="G2310">
        <f t="shared" si="36"/>
        <v>17.899999999999999</v>
      </c>
    </row>
    <row r="2311" spans="2:7" x14ac:dyDescent="0.35">
      <c r="B2311" s="1">
        <v>45754</v>
      </c>
      <c r="C2311" s="2">
        <v>0.20833333333333329</v>
      </c>
      <c r="D2311">
        <v>-2.1</v>
      </c>
      <c r="E2311">
        <f>IF($D2311 &gt; 16, 0, $J$3*(16 - $D2311))</f>
        <v>3760.2504328826158</v>
      </c>
      <c r="F2311">
        <f>IF($D2311 &gt; 16, 0,$E2311*$J$5)</f>
        <v>40870161.955001153</v>
      </c>
      <c r="G2311">
        <f t="shared" si="36"/>
        <v>18.100000000000001</v>
      </c>
    </row>
    <row r="2312" spans="2:7" x14ac:dyDescent="0.35">
      <c r="B2312" s="1">
        <v>45754</v>
      </c>
      <c r="C2312" s="2">
        <v>0.25</v>
      </c>
      <c r="D2312">
        <v>1</v>
      </c>
      <c r="E2312">
        <f>IF($D2312 &gt; 16, 0, $J$3*(16 - $D2312))</f>
        <v>3116.2296405104548</v>
      </c>
      <c r="F2312">
        <f>IF($D2312 &gt; 16, 0,$E2312*$J$5)</f>
        <v>33870299.96270813</v>
      </c>
      <c r="G2312">
        <f t="shared" si="36"/>
        <v>15</v>
      </c>
    </row>
    <row r="2313" spans="2:7" x14ac:dyDescent="0.35">
      <c r="B2313" s="1">
        <v>45754</v>
      </c>
      <c r="C2313" s="2">
        <v>0.29166666666666669</v>
      </c>
      <c r="D2313">
        <v>4.0999999999999996</v>
      </c>
      <c r="E2313">
        <f>IF($D2313 &gt; 16, 0, $J$3*(16 - $D2313))</f>
        <v>2472.2088481382943</v>
      </c>
      <c r="F2313">
        <f>IF($D2313 &gt; 16, 0,$E2313*$J$5)</f>
        <v>26870437.970415123</v>
      </c>
      <c r="G2313">
        <f t="shared" si="36"/>
        <v>11.9</v>
      </c>
    </row>
    <row r="2314" spans="2:7" x14ac:dyDescent="0.35">
      <c r="B2314" s="1">
        <v>45754</v>
      </c>
      <c r="C2314" s="2">
        <v>0.33333333333333331</v>
      </c>
      <c r="D2314">
        <v>6.7</v>
      </c>
      <c r="E2314">
        <f>IF($D2314 &gt; 16, 0, $J$3*(16 - $D2314))</f>
        <v>1932.0623771164821</v>
      </c>
      <c r="F2314">
        <f>IF($D2314 &gt; 16, 0,$E2314*$J$5)</f>
        <v>20999585.976879045</v>
      </c>
      <c r="G2314">
        <f t="shared" si="36"/>
        <v>9.3000000000000007</v>
      </c>
    </row>
    <row r="2315" spans="2:7" x14ac:dyDescent="0.35">
      <c r="B2315" s="1">
        <v>45754</v>
      </c>
      <c r="C2315" s="2">
        <v>0.375</v>
      </c>
      <c r="D2315">
        <v>9.1</v>
      </c>
      <c r="E2315">
        <f>IF($D2315 &gt; 16, 0, $J$3*(16 - $D2315))</f>
        <v>1433.4656346348092</v>
      </c>
      <c r="F2315">
        <f>IF($D2315 &gt; 16, 0,$E2315*$J$5)</f>
        <v>15580337.982845742</v>
      </c>
      <c r="G2315">
        <f t="shared" si="36"/>
        <v>6.9</v>
      </c>
    </row>
    <row r="2316" spans="2:7" x14ac:dyDescent="0.35">
      <c r="B2316" s="1">
        <v>45754</v>
      </c>
      <c r="C2316" s="2">
        <v>0.41666666666666669</v>
      </c>
      <c r="D2316">
        <v>10.1</v>
      </c>
      <c r="E2316">
        <f>IF($D2316 &gt; 16, 0, $J$3*(16 - $D2316))</f>
        <v>1225.7169919341122</v>
      </c>
      <c r="F2316">
        <f>IF($D2316 &gt; 16, 0,$E2316*$J$5)</f>
        <v>13322317.985331865</v>
      </c>
      <c r="G2316">
        <f t="shared" si="36"/>
        <v>5.9</v>
      </c>
    </row>
    <row r="2317" spans="2:7" x14ac:dyDescent="0.35">
      <c r="B2317" s="1">
        <v>45754</v>
      </c>
      <c r="C2317" s="2">
        <v>0.45833333333333331</v>
      </c>
      <c r="D2317">
        <v>11</v>
      </c>
      <c r="E2317">
        <f>IF($D2317 &gt; 16, 0, $J$3*(16 - $D2317))</f>
        <v>1038.7432135034849</v>
      </c>
      <c r="F2317">
        <f>IF($D2317 &gt; 16, 0,$E2317*$J$5)</f>
        <v>11290099.987569377</v>
      </c>
      <c r="G2317">
        <f t="shared" si="36"/>
        <v>5</v>
      </c>
    </row>
    <row r="2318" spans="2:7" x14ac:dyDescent="0.35">
      <c r="B2318" s="1">
        <v>45754</v>
      </c>
      <c r="C2318" s="2">
        <v>0.5</v>
      </c>
      <c r="D2318">
        <v>11.6</v>
      </c>
      <c r="E2318">
        <f>IF($D2318 &gt; 16, 0, $J$3*(16 - $D2318))</f>
        <v>914.09402788306681</v>
      </c>
      <c r="F2318">
        <f>IF($D2318 &gt; 16, 0,$E2318*$J$5)</f>
        <v>9935287.9890610538</v>
      </c>
      <c r="G2318">
        <f t="shared" si="36"/>
        <v>4.4000000000000004</v>
      </c>
    </row>
    <row r="2319" spans="2:7" x14ac:dyDescent="0.35">
      <c r="B2319" s="1">
        <v>45754</v>
      </c>
      <c r="C2319" s="2">
        <v>0.54166666666666663</v>
      </c>
      <c r="D2319">
        <v>11.9</v>
      </c>
      <c r="E2319">
        <f>IF($D2319 &gt; 16, 0, $J$3*(16 - $D2319))</f>
        <v>851.76943507285762</v>
      </c>
      <c r="F2319">
        <f>IF($D2319 &gt; 16, 0,$E2319*$J$5)</f>
        <v>9257881.9898068886</v>
      </c>
      <c r="G2319">
        <f t="shared" si="36"/>
        <v>4.0999999999999996</v>
      </c>
    </row>
    <row r="2320" spans="2:7" x14ac:dyDescent="0.35">
      <c r="B2320" s="1">
        <v>45754</v>
      </c>
      <c r="C2320" s="2">
        <v>0.58333333333333337</v>
      </c>
      <c r="D2320">
        <v>12</v>
      </c>
      <c r="E2320">
        <f>IF($D2320 &gt; 16, 0, $J$3*(16 - $D2320))</f>
        <v>830.99457080278796</v>
      </c>
      <c r="F2320">
        <f>IF($D2320 &gt; 16, 0,$E2320*$J$5)</f>
        <v>9032079.9900555015</v>
      </c>
      <c r="G2320">
        <f t="shared" si="36"/>
        <v>4</v>
      </c>
    </row>
    <row r="2321" spans="2:7" x14ac:dyDescent="0.35">
      <c r="B2321" s="1">
        <v>45754</v>
      </c>
      <c r="C2321" s="2">
        <v>0.625</v>
      </c>
      <c r="D2321">
        <v>11.9</v>
      </c>
      <c r="E2321">
        <f>IF($D2321 &gt; 16, 0, $J$3*(16 - $D2321))</f>
        <v>851.76943507285762</v>
      </c>
      <c r="F2321">
        <f>IF($D2321 &gt; 16, 0,$E2321*$J$5)</f>
        <v>9257881.9898068886</v>
      </c>
      <c r="G2321">
        <f t="shared" si="36"/>
        <v>4.0999999999999996</v>
      </c>
    </row>
    <row r="2322" spans="2:7" x14ac:dyDescent="0.35">
      <c r="B2322" s="1">
        <v>45754</v>
      </c>
      <c r="C2322" s="2">
        <v>0.66666666666666663</v>
      </c>
      <c r="D2322">
        <v>11.4</v>
      </c>
      <c r="E2322">
        <f>IF($D2322 &gt; 16, 0, $J$3*(16 - $D2322))</f>
        <v>955.64375642320613</v>
      </c>
      <c r="F2322">
        <f>IF($D2322 &gt; 16, 0,$E2322*$J$5)</f>
        <v>10386891.988563828</v>
      </c>
      <c r="G2322">
        <f t="shared" si="36"/>
        <v>4.5999999999999996</v>
      </c>
    </row>
    <row r="2323" spans="2:7" x14ac:dyDescent="0.35">
      <c r="B2323" s="1">
        <v>45754</v>
      </c>
      <c r="C2323" s="2">
        <v>0.70833333333333337</v>
      </c>
      <c r="D2323">
        <v>10.5</v>
      </c>
      <c r="E2323">
        <f>IF($D2323 &gt; 16, 0, $J$3*(16 - $D2323))</f>
        <v>1142.6175348538334</v>
      </c>
      <c r="F2323">
        <f>IF($D2323 &gt; 16, 0,$E2323*$J$5)</f>
        <v>12419109.986326315</v>
      </c>
      <c r="G2323">
        <f t="shared" si="36"/>
        <v>5.5</v>
      </c>
    </row>
    <row r="2324" spans="2:7" x14ac:dyDescent="0.35">
      <c r="B2324" s="1">
        <v>45754</v>
      </c>
      <c r="C2324" s="2">
        <v>0.75</v>
      </c>
      <c r="D2324">
        <v>9</v>
      </c>
      <c r="E2324">
        <f>IF($D2324 &gt; 16, 0, $J$3*(16 - $D2324))</f>
        <v>1454.2404989048789</v>
      </c>
      <c r="F2324">
        <f>IF($D2324 &gt; 16, 0,$E2324*$J$5)</f>
        <v>15806139.982597129</v>
      </c>
      <c r="G2324">
        <f t="shared" si="36"/>
        <v>7</v>
      </c>
    </row>
    <row r="2325" spans="2:7" x14ac:dyDescent="0.35">
      <c r="B2325" s="1">
        <v>45754</v>
      </c>
      <c r="C2325" s="2">
        <v>0.79166666666666663</v>
      </c>
      <c r="D2325">
        <v>7.6</v>
      </c>
      <c r="E2325">
        <f>IF($D2325 &gt; 16, 0, $J$3*(16 - $D2325))</f>
        <v>1745.0885986858548</v>
      </c>
      <c r="F2325">
        <f>IF($D2325 &gt; 16, 0,$E2325*$J$5)</f>
        <v>18967367.979116555</v>
      </c>
      <c r="G2325">
        <f t="shared" si="36"/>
        <v>8.4</v>
      </c>
    </row>
    <row r="2326" spans="2:7" x14ac:dyDescent="0.35">
      <c r="B2326" s="1">
        <v>45754</v>
      </c>
      <c r="C2326" s="2">
        <v>0.83333333333333337</v>
      </c>
      <c r="D2326">
        <v>6.3</v>
      </c>
      <c r="E2326">
        <f>IF($D2326 &gt; 16, 0, $J$3*(16 - $D2326))</f>
        <v>2015.1618341967608</v>
      </c>
      <c r="F2326">
        <f>IF($D2326 &gt; 16, 0,$E2326*$J$5)</f>
        <v>21902793.975884594</v>
      </c>
      <c r="G2326">
        <f t="shared" si="36"/>
        <v>9.6999999999999993</v>
      </c>
    </row>
    <row r="2327" spans="2:7" x14ac:dyDescent="0.35">
      <c r="B2327" s="1">
        <v>45754</v>
      </c>
      <c r="C2327" s="2">
        <v>0.875</v>
      </c>
      <c r="D2327">
        <v>4.9000000000000004</v>
      </c>
      <c r="E2327">
        <f>IF($D2327 &gt; 16, 0, $J$3*(16 - $D2327))</f>
        <v>2306.0099339777366</v>
      </c>
      <c r="F2327">
        <f>IF($D2327 &gt; 16, 0,$E2327*$J$5)</f>
        <v>25064021.972404018</v>
      </c>
      <c r="G2327">
        <f t="shared" si="36"/>
        <v>11.1</v>
      </c>
    </row>
    <row r="2328" spans="2:7" x14ac:dyDescent="0.35">
      <c r="B2328" s="1">
        <v>45754</v>
      </c>
      <c r="C2328" s="2">
        <v>0.91666666666666663</v>
      </c>
      <c r="D2328">
        <v>2.7</v>
      </c>
      <c r="E2328">
        <f>IF($D2328 &gt; 16, 0, $J$3*(16 - $D2328))</f>
        <v>2763.05694791927</v>
      </c>
      <c r="F2328">
        <f>IF($D2328 &gt; 16, 0,$E2328*$J$5)</f>
        <v>30031665.966934547</v>
      </c>
      <c r="G2328">
        <f t="shared" si="36"/>
        <v>13.3</v>
      </c>
    </row>
    <row r="2329" spans="2:7" x14ac:dyDescent="0.35">
      <c r="B2329" s="1">
        <v>45754</v>
      </c>
      <c r="C2329" s="2">
        <v>0.95833333333333337</v>
      </c>
      <c r="D2329">
        <v>1.5</v>
      </c>
      <c r="E2329">
        <f>IF($D2329 &gt; 16, 0, $J$3*(16 - $D2329))</f>
        <v>3012.3553191601063</v>
      </c>
      <c r="F2329">
        <f>IF($D2329 &gt; 16, 0,$E2329*$J$5)</f>
        <v>32741289.963951197</v>
      </c>
      <c r="G2329">
        <f t="shared" si="36"/>
        <v>14.5</v>
      </c>
    </row>
    <row r="2330" spans="2:7" x14ac:dyDescent="0.35">
      <c r="B2330" s="1">
        <v>45755</v>
      </c>
      <c r="C2330" s="2">
        <v>0</v>
      </c>
      <c r="D2330">
        <v>1.3</v>
      </c>
      <c r="E2330">
        <f>IF($D2330 &gt; 16, 0, $J$3*(16 - $D2330))</f>
        <v>3053.9050477002456</v>
      </c>
      <c r="F2330">
        <f>IF($D2330 &gt; 16, 0,$E2330*$J$5)</f>
        <v>33192893.963453971</v>
      </c>
      <c r="G2330">
        <f t="shared" si="36"/>
        <v>14.7</v>
      </c>
    </row>
    <row r="2331" spans="2:7" x14ac:dyDescent="0.35">
      <c r="B2331" s="1">
        <v>45755</v>
      </c>
      <c r="C2331" s="2">
        <v>4.1666666666666657E-2</v>
      </c>
      <c r="D2331">
        <v>0.6</v>
      </c>
      <c r="E2331">
        <f>IF($D2331 &gt; 16, 0, $J$3*(16 - $D2331))</f>
        <v>3199.3290975907339</v>
      </c>
      <c r="F2331">
        <f>IF($D2331 &gt; 16, 0,$E2331*$J$5)</f>
        <v>34773507.961713687</v>
      </c>
      <c r="G2331">
        <f t="shared" si="36"/>
        <v>15.4</v>
      </c>
    </row>
    <row r="2332" spans="2:7" x14ac:dyDescent="0.35">
      <c r="B2332" s="1">
        <v>45755</v>
      </c>
      <c r="C2332" s="2">
        <v>8.3333333333333329E-2</v>
      </c>
      <c r="D2332">
        <v>0.1</v>
      </c>
      <c r="E2332">
        <f>IF($D2332 &gt; 16, 0, $J$3*(16 - $D2332))</f>
        <v>3303.2034189410824</v>
      </c>
      <c r="F2332">
        <f>IF($D2332 &gt; 16, 0,$E2332*$J$5)</f>
        <v>35902517.960470624</v>
      </c>
      <c r="G2332">
        <f t="shared" si="36"/>
        <v>15.9</v>
      </c>
    </row>
    <row r="2333" spans="2:7" x14ac:dyDescent="0.35">
      <c r="B2333" s="1">
        <v>45755</v>
      </c>
      <c r="C2333" s="2">
        <v>0.125</v>
      </c>
      <c r="D2333">
        <v>0.1</v>
      </c>
      <c r="E2333">
        <f>IF($D2333 &gt; 16, 0, $J$3*(16 - $D2333))</f>
        <v>3303.2034189410824</v>
      </c>
      <c r="F2333">
        <f>IF($D2333 &gt; 16, 0,$E2333*$J$5)</f>
        <v>35902517.960470624</v>
      </c>
      <c r="G2333">
        <f t="shared" si="36"/>
        <v>15.9</v>
      </c>
    </row>
    <row r="2334" spans="2:7" x14ac:dyDescent="0.35">
      <c r="B2334" s="1">
        <v>45755</v>
      </c>
      <c r="C2334" s="2">
        <v>0.16666666666666671</v>
      </c>
      <c r="D2334">
        <v>-0.4</v>
      </c>
      <c r="E2334">
        <f>IF($D2334 &gt; 16, 0, $J$3*(16 - $D2334))</f>
        <v>3407.0777402914305</v>
      </c>
      <c r="F2334">
        <f>IF($D2334 &gt; 16, 0,$E2334*$J$5)</f>
        <v>37031527.959227555</v>
      </c>
      <c r="G2334">
        <f t="shared" si="36"/>
        <v>16.399999999999999</v>
      </c>
    </row>
    <row r="2335" spans="2:7" x14ac:dyDescent="0.35">
      <c r="B2335" s="1">
        <v>45755</v>
      </c>
      <c r="C2335" s="2">
        <v>0.20833333333333329</v>
      </c>
      <c r="D2335">
        <v>-0.2</v>
      </c>
      <c r="E2335">
        <f>IF($D2335 &gt; 16, 0, $J$3*(16 - $D2335))</f>
        <v>3365.5280117512912</v>
      </c>
      <c r="F2335">
        <f>IF($D2335 &gt; 16, 0,$E2335*$J$5)</f>
        <v>36579923.959724784</v>
      </c>
      <c r="G2335">
        <f t="shared" si="36"/>
        <v>16.2</v>
      </c>
    </row>
    <row r="2336" spans="2:7" x14ac:dyDescent="0.35">
      <c r="B2336" s="1">
        <v>45755</v>
      </c>
      <c r="C2336" s="2">
        <v>0.25</v>
      </c>
      <c r="D2336">
        <v>1.4</v>
      </c>
      <c r="E2336">
        <f>IF($D2336 &gt; 16, 0, $J$3*(16 - $D2336))</f>
        <v>3033.1301834301762</v>
      </c>
      <c r="F2336">
        <f>IF($D2336 &gt; 16, 0,$E2336*$J$5)</f>
        <v>32967091.963702586</v>
      </c>
      <c r="G2336">
        <f t="shared" si="36"/>
        <v>14.6</v>
      </c>
    </row>
    <row r="2337" spans="2:7" x14ac:dyDescent="0.35">
      <c r="B2337" s="1">
        <v>45755</v>
      </c>
      <c r="C2337" s="2">
        <v>0.29166666666666669</v>
      </c>
      <c r="D2337">
        <v>3.2</v>
      </c>
      <c r="E2337">
        <f>IF($D2337 &gt; 16, 0, $J$3*(16 - $D2337))</f>
        <v>2659.1826265689215</v>
      </c>
      <c r="F2337">
        <f>IF($D2337 &gt; 16, 0,$E2337*$J$5)</f>
        <v>28902655.968177609</v>
      </c>
      <c r="G2337">
        <f t="shared" si="36"/>
        <v>12.8</v>
      </c>
    </row>
    <row r="2338" spans="2:7" x14ac:dyDescent="0.35">
      <c r="B2338" s="1">
        <v>45755</v>
      </c>
      <c r="C2338" s="2">
        <v>0.33333333333333331</v>
      </c>
      <c r="D2338">
        <v>5.5</v>
      </c>
      <c r="E2338">
        <f>IF($D2338 &gt; 16, 0, $J$3*(16 - $D2338))</f>
        <v>2181.3607483573182</v>
      </c>
      <c r="F2338">
        <f>IF($D2338 &gt; 16, 0,$E2338*$J$5)</f>
        <v>23709209.973895691</v>
      </c>
      <c r="G2338">
        <f t="shared" si="36"/>
        <v>10.5</v>
      </c>
    </row>
    <row r="2339" spans="2:7" x14ac:dyDescent="0.35">
      <c r="B2339" s="1">
        <v>45755</v>
      </c>
      <c r="C2339" s="2">
        <v>0.375</v>
      </c>
      <c r="D2339">
        <v>8.6999999999999993</v>
      </c>
      <c r="E2339">
        <f>IF($D2339 &gt; 16, 0, $J$3*(16 - $D2339))</f>
        <v>1516.5650917150881</v>
      </c>
      <c r="F2339">
        <f>IF($D2339 &gt; 16, 0,$E2339*$J$5)</f>
        <v>16483545.981851293</v>
      </c>
      <c r="G2339">
        <f t="shared" si="36"/>
        <v>7.3000000000000007</v>
      </c>
    </row>
    <row r="2340" spans="2:7" x14ac:dyDescent="0.35">
      <c r="B2340" s="1">
        <v>45755</v>
      </c>
      <c r="C2340" s="2">
        <v>0.41666666666666669</v>
      </c>
      <c r="D2340">
        <v>10.3</v>
      </c>
      <c r="E2340">
        <f>IF($D2340 &gt; 16, 0, $J$3*(16 - $D2340))</f>
        <v>1184.1672633939727</v>
      </c>
      <c r="F2340">
        <f>IF($D2340 &gt; 16, 0,$E2340*$J$5)</f>
        <v>12870713.985829089</v>
      </c>
      <c r="G2340">
        <f t="shared" si="36"/>
        <v>5.6999999999999993</v>
      </c>
    </row>
    <row r="2341" spans="2:7" x14ac:dyDescent="0.35">
      <c r="B2341" s="1">
        <v>45755</v>
      </c>
      <c r="C2341" s="2">
        <v>0.45833333333333331</v>
      </c>
      <c r="D2341">
        <v>11.4</v>
      </c>
      <c r="E2341">
        <f>IF($D2341 &gt; 16, 0, $J$3*(16 - $D2341))</f>
        <v>955.64375642320613</v>
      </c>
      <c r="F2341">
        <f>IF($D2341 &gt; 16, 0,$E2341*$J$5)</f>
        <v>10386891.988563828</v>
      </c>
      <c r="G2341">
        <f t="shared" si="36"/>
        <v>4.5999999999999996</v>
      </c>
    </row>
    <row r="2342" spans="2:7" x14ac:dyDescent="0.35">
      <c r="B2342" s="1">
        <v>45755</v>
      </c>
      <c r="C2342" s="2">
        <v>0.5</v>
      </c>
      <c r="D2342">
        <v>12.5</v>
      </c>
      <c r="E2342">
        <f>IF($D2342 &gt; 16, 0, $J$3*(16 - $D2342))</f>
        <v>727.12024945243945</v>
      </c>
      <c r="F2342">
        <f>IF($D2342 &gt; 16, 0,$E2342*$J$5)</f>
        <v>7903069.9912985647</v>
      </c>
      <c r="G2342">
        <f t="shared" si="36"/>
        <v>3.5</v>
      </c>
    </row>
    <row r="2343" spans="2:7" x14ac:dyDescent="0.35">
      <c r="B2343" s="1">
        <v>45755</v>
      </c>
      <c r="C2343" s="2">
        <v>0.54166666666666663</v>
      </c>
      <c r="D2343">
        <v>13.5</v>
      </c>
      <c r="E2343">
        <f>IF($D2343 &gt; 16, 0, $J$3*(16 - $D2343))</f>
        <v>519.37160675174243</v>
      </c>
      <c r="F2343">
        <f>IF($D2343 &gt; 16, 0,$E2343*$J$5)</f>
        <v>5645049.9937846884</v>
      </c>
      <c r="G2343">
        <f t="shared" si="36"/>
        <v>2.5</v>
      </c>
    </row>
    <row r="2344" spans="2:7" x14ac:dyDescent="0.35">
      <c r="B2344" s="1">
        <v>45755</v>
      </c>
      <c r="C2344" s="2">
        <v>0.58333333333333337</v>
      </c>
      <c r="D2344">
        <v>13.9</v>
      </c>
      <c r="E2344">
        <f>IF($D2344 &gt; 16, 0, $J$3*(16 - $D2344))</f>
        <v>436.27214967146358</v>
      </c>
      <c r="F2344">
        <f>IF($D2344 &gt; 16, 0,$E2344*$J$5)</f>
        <v>4741841.9947791379</v>
      </c>
      <c r="G2344">
        <f t="shared" si="36"/>
        <v>2.0999999999999996</v>
      </c>
    </row>
    <row r="2345" spans="2:7" x14ac:dyDescent="0.35">
      <c r="B2345" s="1">
        <v>45755</v>
      </c>
      <c r="C2345" s="2">
        <v>0.625</v>
      </c>
      <c r="D2345">
        <v>13.6</v>
      </c>
      <c r="E2345">
        <f>IF($D2345 &gt; 16, 0, $J$3*(16 - $D2345))</f>
        <v>498.59674248167283</v>
      </c>
      <c r="F2345">
        <f>IF($D2345 &gt; 16, 0,$E2345*$J$5)</f>
        <v>5419247.9940333022</v>
      </c>
      <c r="G2345">
        <f t="shared" si="36"/>
        <v>2.4000000000000004</v>
      </c>
    </row>
    <row r="2346" spans="2:7" x14ac:dyDescent="0.35">
      <c r="B2346" s="1">
        <v>45755</v>
      </c>
      <c r="C2346" s="2">
        <v>0.66666666666666663</v>
      </c>
      <c r="D2346">
        <v>13.3</v>
      </c>
      <c r="E2346">
        <f>IF($D2346 &gt; 16, 0, $J$3*(16 - $D2346))</f>
        <v>560.92133529188175</v>
      </c>
      <c r="F2346">
        <f>IF($D2346 &gt; 16, 0,$E2346*$J$5)</f>
        <v>6096653.9932874627</v>
      </c>
      <c r="G2346">
        <f t="shared" si="36"/>
        <v>2.6999999999999993</v>
      </c>
    </row>
    <row r="2347" spans="2:7" x14ac:dyDescent="0.35">
      <c r="B2347" s="1">
        <v>45755</v>
      </c>
      <c r="C2347" s="2">
        <v>0.70833333333333337</v>
      </c>
      <c r="D2347">
        <v>12.8</v>
      </c>
      <c r="E2347">
        <f>IF($D2347 &gt; 16, 0, $J$3*(16 - $D2347))</f>
        <v>664.79565664223026</v>
      </c>
      <c r="F2347">
        <f>IF($D2347 &gt; 16, 0,$E2347*$J$5)</f>
        <v>7225663.9920444004</v>
      </c>
      <c r="G2347">
        <f t="shared" si="36"/>
        <v>3.1999999999999993</v>
      </c>
    </row>
    <row r="2348" spans="2:7" x14ac:dyDescent="0.35">
      <c r="B2348" s="1">
        <v>45755</v>
      </c>
      <c r="C2348" s="2">
        <v>0.75</v>
      </c>
      <c r="D2348">
        <v>10.6</v>
      </c>
      <c r="E2348">
        <f>IF($D2348 &gt; 16, 0, $J$3*(16 - $D2348))</f>
        <v>1121.8426705837637</v>
      </c>
      <c r="F2348">
        <f>IF($D2348 &gt; 16, 0,$E2348*$J$5)</f>
        <v>12193307.986574927</v>
      </c>
      <c r="G2348">
        <f t="shared" si="36"/>
        <v>5.4</v>
      </c>
    </row>
    <row r="2349" spans="2:7" x14ac:dyDescent="0.35">
      <c r="B2349" s="1">
        <v>45755</v>
      </c>
      <c r="C2349" s="2">
        <v>0.79166666666666663</v>
      </c>
      <c r="D2349">
        <v>8.9</v>
      </c>
      <c r="E2349">
        <f>IF($D2349 &gt; 16, 0, $J$3*(16 - $D2349))</f>
        <v>1475.0153631749486</v>
      </c>
      <c r="F2349">
        <f>IF($D2349 &gt; 16, 0,$E2349*$J$5)</f>
        <v>16031941.982348517</v>
      </c>
      <c r="G2349">
        <f t="shared" si="36"/>
        <v>7.1</v>
      </c>
    </row>
    <row r="2350" spans="2:7" x14ac:dyDescent="0.35">
      <c r="B2350" s="1">
        <v>45755</v>
      </c>
      <c r="C2350" s="2">
        <v>0.83333333333333337</v>
      </c>
      <c r="D2350">
        <v>8.8000000000000007</v>
      </c>
      <c r="E2350">
        <f>IF($D2350 &gt; 16, 0, $J$3*(16 - $D2350))</f>
        <v>1495.7902274450182</v>
      </c>
      <c r="F2350">
        <f>IF($D2350 &gt; 16, 0,$E2350*$J$5)</f>
        <v>16257743.982099904</v>
      </c>
      <c r="G2350">
        <f t="shared" si="36"/>
        <v>7.1999999999999993</v>
      </c>
    </row>
    <row r="2351" spans="2:7" x14ac:dyDescent="0.35">
      <c r="B2351" s="1">
        <v>45755</v>
      </c>
      <c r="C2351" s="2">
        <v>0.875</v>
      </c>
      <c r="D2351">
        <v>7.9</v>
      </c>
      <c r="E2351">
        <f>IF($D2351 &gt; 16, 0, $J$3*(16 - $D2351))</f>
        <v>1682.7640058756456</v>
      </c>
      <c r="F2351">
        <f>IF($D2351 &gt; 16, 0,$E2351*$J$5)</f>
        <v>18289961.979862392</v>
      </c>
      <c r="G2351">
        <f t="shared" si="36"/>
        <v>8.1</v>
      </c>
    </row>
    <row r="2352" spans="2:7" x14ac:dyDescent="0.35">
      <c r="B2352" s="1">
        <v>45755</v>
      </c>
      <c r="C2352" s="2">
        <v>0.91666666666666663</v>
      </c>
      <c r="D2352">
        <v>5.8</v>
      </c>
      <c r="E2352">
        <f>IF($D2352 &gt; 16, 0, $J$3*(16 - $D2352))</f>
        <v>2119.036155547109</v>
      </c>
      <c r="F2352">
        <f>IF($D2352 &gt; 16, 0,$E2352*$J$5)</f>
        <v>23031803.974641528</v>
      </c>
      <c r="G2352">
        <f t="shared" si="36"/>
        <v>10.199999999999999</v>
      </c>
    </row>
    <row r="2353" spans="2:7" x14ac:dyDescent="0.35">
      <c r="B2353" s="1">
        <v>45755</v>
      </c>
      <c r="C2353" s="2">
        <v>0.95833333333333337</v>
      </c>
      <c r="D2353">
        <v>4.8</v>
      </c>
      <c r="E2353">
        <f>IF($D2353 &gt; 16, 0, $J$3*(16 - $D2353))</f>
        <v>2326.7847982478061</v>
      </c>
      <c r="F2353">
        <f>IF($D2353 &gt; 16, 0,$E2353*$J$5)</f>
        <v>25289823.972155403</v>
      </c>
      <c r="G2353">
        <f t="shared" si="36"/>
        <v>11.2</v>
      </c>
    </row>
    <row r="2354" spans="2:7" x14ac:dyDescent="0.35">
      <c r="B2354" s="1">
        <v>45756</v>
      </c>
      <c r="C2354" s="2">
        <v>0</v>
      </c>
      <c r="D2354">
        <v>4.3</v>
      </c>
      <c r="E2354">
        <f>IF($D2354 &gt; 16, 0, $J$3*(16 - $D2354))</f>
        <v>2430.6591195981546</v>
      </c>
      <c r="F2354">
        <f>IF($D2354 &gt; 16, 0,$E2354*$J$5)</f>
        <v>26418833.970912341</v>
      </c>
      <c r="G2354">
        <f t="shared" si="36"/>
        <v>11.7</v>
      </c>
    </row>
    <row r="2355" spans="2:7" x14ac:dyDescent="0.35">
      <c r="B2355" s="1">
        <v>45756</v>
      </c>
      <c r="C2355" s="2">
        <v>4.1666666666666657E-2</v>
      </c>
      <c r="D2355">
        <v>3.8</v>
      </c>
      <c r="E2355">
        <f>IF($D2355 &gt; 16, 0, $J$3*(16 - $D2355))</f>
        <v>2534.5334409485031</v>
      </c>
      <c r="F2355">
        <f>IF($D2355 &gt; 16, 0,$E2355*$J$5)</f>
        <v>27547843.969669279</v>
      </c>
      <c r="G2355">
        <f t="shared" si="36"/>
        <v>12.2</v>
      </c>
    </row>
    <row r="2356" spans="2:7" x14ac:dyDescent="0.35">
      <c r="B2356" s="1">
        <v>45756</v>
      </c>
      <c r="C2356" s="2">
        <v>8.3333333333333329E-2</v>
      </c>
      <c r="D2356">
        <v>3.3</v>
      </c>
      <c r="E2356">
        <f>IF($D2356 &gt; 16, 0, $J$3*(16 - $D2356))</f>
        <v>2638.4077622988516</v>
      </c>
      <c r="F2356">
        <f>IF($D2356 &gt; 16, 0,$E2356*$J$5)</f>
        <v>28676853.968426216</v>
      </c>
      <c r="G2356">
        <f t="shared" si="36"/>
        <v>12.7</v>
      </c>
    </row>
    <row r="2357" spans="2:7" x14ac:dyDescent="0.35">
      <c r="B2357" s="1">
        <v>45756</v>
      </c>
      <c r="C2357" s="2">
        <v>0.125</v>
      </c>
      <c r="D2357">
        <v>3.5</v>
      </c>
      <c r="E2357">
        <f>IF($D2357 &gt; 16, 0, $J$3*(16 - $D2357))</f>
        <v>2596.8580337587123</v>
      </c>
      <c r="F2357">
        <f>IF($D2357 &gt; 16, 0,$E2357*$J$5)</f>
        <v>28225249.968923442</v>
      </c>
      <c r="G2357">
        <f t="shared" si="36"/>
        <v>12.5</v>
      </c>
    </row>
    <row r="2358" spans="2:7" x14ac:dyDescent="0.35">
      <c r="B2358" s="1">
        <v>45756</v>
      </c>
      <c r="C2358" s="2">
        <v>0.16666666666666671</v>
      </c>
      <c r="D2358">
        <v>3.6</v>
      </c>
      <c r="E2358">
        <f>IF($D2358 &gt; 16, 0, $J$3*(16 - $D2358))</f>
        <v>2576.0831694886429</v>
      </c>
      <c r="F2358">
        <f>IF($D2358 &gt; 16, 0,$E2358*$J$5)</f>
        <v>27999447.96917206</v>
      </c>
      <c r="G2358">
        <f t="shared" si="36"/>
        <v>12.4</v>
      </c>
    </row>
    <row r="2359" spans="2:7" x14ac:dyDescent="0.35">
      <c r="B2359" s="1">
        <v>45756</v>
      </c>
      <c r="C2359" s="2">
        <v>0.20833333333333329</v>
      </c>
      <c r="D2359">
        <v>3.2</v>
      </c>
      <c r="E2359">
        <f>IF($D2359 &gt; 16, 0, $J$3*(16 - $D2359))</f>
        <v>2659.1826265689215</v>
      </c>
      <c r="F2359">
        <f>IF($D2359 &gt; 16, 0,$E2359*$J$5)</f>
        <v>28902655.968177609</v>
      </c>
      <c r="G2359">
        <f t="shared" si="36"/>
        <v>12.8</v>
      </c>
    </row>
    <row r="2360" spans="2:7" x14ac:dyDescent="0.35">
      <c r="B2360" s="1">
        <v>45756</v>
      </c>
      <c r="C2360" s="2">
        <v>0.25</v>
      </c>
      <c r="D2360">
        <v>3.3</v>
      </c>
      <c r="E2360">
        <f>IF($D2360 &gt; 16, 0, $J$3*(16 - $D2360))</f>
        <v>2638.4077622988516</v>
      </c>
      <c r="F2360">
        <f>IF($D2360 &gt; 16, 0,$E2360*$J$5)</f>
        <v>28676853.968426216</v>
      </c>
      <c r="G2360">
        <f t="shared" si="36"/>
        <v>12.7</v>
      </c>
    </row>
    <row r="2361" spans="2:7" x14ac:dyDescent="0.35">
      <c r="B2361" s="1">
        <v>45756</v>
      </c>
      <c r="C2361" s="2">
        <v>0.29166666666666669</v>
      </c>
      <c r="D2361">
        <v>3.5</v>
      </c>
      <c r="E2361">
        <f>IF($D2361 &gt; 16, 0, $J$3*(16 - $D2361))</f>
        <v>2596.8580337587123</v>
      </c>
      <c r="F2361">
        <f>IF($D2361 &gt; 16, 0,$E2361*$J$5)</f>
        <v>28225249.968923442</v>
      </c>
      <c r="G2361">
        <f t="shared" si="36"/>
        <v>12.5</v>
      </c>
    </row>
    <row r="2362" spans="2:7" x14ac:dyDescent="0.35">
      <c r="B2362" s="1">
        <v>45756</v>
      </c>
      <c r="C2362" s="2">
        <v>0.33333333333333331</v>
      </c>
      <c r="D2362">
        <v>4.0999999999999996</v>
      </c>
      <c r="E2362">
        <f>IF($D2362 &gt; 16, 0, $J$3*(16 - $D2362))</f>
        <v>2472.2088481382943</v>
      </c>
      <c r="F2362">
        <f>IF($D2362 &gt; 16, 0,$E2362*$J$5)</f>
        <v>26870437.970415123</v>
      </c>
      <c r="G2362">
        <f t="shared" si="36"/>
        <v>11.9</v>
      </c>
    </row>
    <row r="2363" spans="2:7" x14ac:dyDescent="0.35">
      <c r="B2363" s="1">
        <v>45756</v>
      </c>
      <c r="C2363" s="2">
        <v>0.375</v>
      </c>
      <c r="D2363">
        <v>5.5</v>
      </c>
      <c r="E2363">
        <f>IF($D2363 &gt; 16, 0, $J$3*(16 - $D2363))</f>
        <v>2181.3607483573182</v>
      </c>
      <c r="F2363">
        <f>IF($D2363 &gt; 16, 0,$E2363*$J$5)</f>
        <v>23709209.973895691</v>
      </c>
      <c r="G2363">
        <f t="shared" si="36"/>
        <v>10.5</v>
      </c>
    </row>
    <row r="2364" spans="2:7" x14ac:dyDescent="0.35">
      <c r="B2364" s="1">
        <v>45756</v>
      </c>
      <c r="C2364" s="2">
        <v>0.41666666666666669</v>
      </c>
      <c r="D2364">
        <v>7.6</v>
      </c>
      <c r="E2364">
        <f>IF($D2364 &gt; 16, 0, $J$3*(16 - $D2364))</f>
        <v>1745.0885986858548</v>
      </c>
      <c r="F2364">
        <f>IF($D2364 &gt; 16, 0,$E2364*$J$5)</f>
        <v>18967367.979116555</v>
      </c>
      <c r="G2364">
        <f t="shared" si="36"/>
        <v>8.4</v>
      </c>
    </row>
    <row r="2365" spans="2:7" x14ac:dyDescent="0.35">
      <c r="B2365" s="1">
        <v>45756</v>
      </c>
      <c r="C2365" s="2">
        <v>0.45833333333333331</v>
      </c>
      <c r="D2365">
        <v>8.8000000000000007</v>
      </c>
      <c r="E2365">
        <f>IF($D2365 &gt; 16, 0, $J$3*(16 - $D2365))</f>
        <v>1495.7902274450182</v>
      </c>
      <c r="F2365">
        <f>IF($D2365 &gt; 16, 0,$E2365*$J$5)</f>
        <v>16257743.982099904</v>
      </c>
      <c r="G2365">
        <f t="shared" si="36"/>
        <v>7.1999999999999993</v>
      </c>
    </row>
    <row r="2366" spans="2:7" x14ac:dyDescent="0.35">
      <c r="B2366" s="1">
        <v>45756</v>
      </c>
      <c r="C2366" s="2">
        <v>0.5</v>
      </c>
      <c r="D2366">
        <v>9.4</v>
      </c>
      <c r="E2366">
        <f>IF($D2366 &gt; 16, 0, $J$3*(16 - $D2366))</f>
        <v>1371.1410418246001</v>
      </c>
      <c r="F2366">
        <f>IF($D2366 &gt; 16, 0,$E2366*$J$5)</f>
        <v>14902931.983591577</v>
      </c>
      <c r="G2366">
        <f t="shared" si="36"/>
        <v>6.6</v>
      </c>
    </row>
    <row r="2367" spans="2:7" x14ac:dyDescent="0.35">
      <c r="B2367" s="1">
        <v>45756</v>
      </c>
      <c r="C2367" s="2">
        <v>0.54166666666666663</v>
      </c>
      <c r="D2367">
        <v>9.5</v>
      </c>
      <c r="E2367">
        <f>IF($D2367 &gt; 16, 0, $J$3*(16 - $D2367))</f>
        <v>1350.3661775545304</v>
      </c>
      <c r="F2367">
        <f>IF($D2367 &gt; 16, 0,$E2367*$J$5)</f>
        <v>14677129.983840192</v>
      </c>
      <c r="G2367">
        <f t="shared" si="36"/>
        <v>6.5</v>
      </c>
    </row>
    <row r="2368" spans="2:7" x14ac:dyDescent="0.35">
      <c r="B2368" s="1">
        <v>45756</v>
      </c>
      <c r="C2368" s="2">
        <v>0.58333333333333337</v>
      </c>
      <c r="D2368">
        <v>8.6</v>
      </c>
      <c r="E2368">
        <f>IF($D2368 &gt; 16, 0, $J$3*(16 - $D2368))</f>
        <v>1537.3399559851578</v>
      </c>
      <c r="F2368">
        <f>IF($D2368 &gt; 16, 0,$E2368*$J$5)</f>
        <v>16709347.98160268</v>
      </c>
      <c r="G2368">
        <f t="shared" si="36"/>
        <v>7.4</v>
      </c>
    </row>
    <row r="2369" spans="2:7" x14ac:dyDescent="0.35">
      <c r="B2369" s="1">
        <v>45756</v>
      </c>
      <c r="C2369" s="2">
        <v>0.625</v>
      </c>
      <c r="D2369">
        <v>8.1999999999999993</v>
      </c>
      <c r="E2369">
        <f>IF($D2369 &gt; 16, 0, $J$3*(16 - $D2369))</f>
        <v>1620.4394130654366</v>
      </c>
      <c r="F2369">
        <f>IF($D2369 &gt; 16, 0,$E2369*$J$5)</f>
        <v>17612555.980608232</v>
      </c>
      <c r="G2369">
        <f t="shared" si="36"/>
        <v>7.8000000000000007</v>
      </c>
    </row>
    <row r="2370" spans="2:7" x14ac:dyDescent="0.35">
      <c r="B2370" s="1">
        <v>45756</v>
      </c>
      <c r="C2370" s="2">
        <v>0.66666666666666663</v>
      </c>
      <c r="D2370">
        <v>7.8</v>
      </c>
      <c r="E2370">
        <f>IF($D2370 &gt; 16, 0, $J$3*(16 - $D2370))</f>
        <v>1703.5388701457152</v>
      </c>
      <c r="F2370">
        <f>IF($D2370 &gt; 16, 0,$E2370*$J$5)</f>
        <v>18515763.979613777</v>
      </c>
      <c r="G2370">
        <f t="shared" si="36"/>
        <v>8.1999999999999993</v>
      </c>
    </row>
    <row r="2371" spans="2:7" x14ac:dyDescent="0.35">
      <c r="B2371" s="1">
        <v>45756</v>
      </c>
      <c r="C2371" s="2">
        <v>0.70833333333333337</v>
      </c>
      <c r="D2371">
        <v>7.6</v>
      </c>
      <c r="E2371">
        <f>IF($D2371 &gt; 16, 0, $J$3*(16 - $D2371))</f>
        <v>1745.0885986858548</v>
      </c>
      <c r="F2371">
        <f>IF($D2371 &gt; 16, 0,$E2371*$J$5)</f>
        <v>18967367.979116555</v>
      </c>
      <c r="G2371">
        <f t="shared" ref="G2371:G2434" si="37">MAX(0, 16 - $D2371)</f>
        <v>8.4</v>
      </c>
    </row>
    <row r="2372" spans="2:7" x14ac:dyDescent="0.35">
      <c r="B2372" s="1">
        <v>45756</v>
      </c>
      <c r="C2372" s="2">
        <v>0.75</v>
      </c>
      <c r="D2372">
        <v>7.2</v>
      </c>
      <c r="E2372">
        <f>IF($D2372 &gt; 16, 0, $J$3*(16 - $D2372))</f>
        <v>1828.1880557661336</v>
      </c>
      <c r="F2372">
        <f>IF($D2372 &gt; 16, 0,$E2372*$J$5)</f>
        <v>19870575.978122108</v>
      </c>
      <c r="G2372">
        <f t="shared" si="37"/>
        <v>8.8000000000000007</v>
      </c>
    </row>
    <row r="2373" spans="2:7" x14ac:dyDescent="0.35">
      <c r="B2373" s="1">
        <v>45756</v>
      </c>
      <c r="C2373" s="2">
        <v>0.79166666666666663</v>
      </c>
      <c r="D2373">
        <v>7.2</v>
      </c>
      <c r="E2373">
        <f>IF($D2373 &gt; 16, 0, $J$3*(16 - $D2373))</f>
        <v>1828.1880557661336</v>
      </c>
      <c r="F2373">
        <f>IF($D2373 &gt; 16, 0,$E2373*$J$5)</f>
        <v>19870575.978122108</v>
      </c>
      <c r="G2373">
        <f t="shared" si="37"/>
        <v>8.8000000000000007</v>
      </c>
    </row>
    <row r="2374" spans="2:7" x14ac:dyDescent="0.35">
      <c r="B2374" s="1">
        <v>45756</v>
      </c>
      <c r="C2374" s="2">
        <v>0.83333333333333337</v>
      </c>
      <c r="D2374">
        <v>7</v>
      </c>
      <c r="E2374">
        <f>IF($D2374 &gt; 16, 0, $J$3*(16 - $D2374))</f>
        <v>1869.7377843062729</v>
      </c>
      <c r="F2374">
        <f>IF($D2374 &gt; 16, 0,$E2374*$J$5)</f>
        <v>20322179.977624882</v>
      </c>
      <c r="G2374">
        <f t="shared" si="37"/>
        <v>9</v>
      </c>
    </row>
    <row r="2375" spans="2:7" x14ac:dyDescent="0.35">
      <c r="B2375" s="1">
        <v>45756</v>
      </c>
      <c r="C2375" s="2">
        <v>0.875</v>
      </c>
      <c r="D2375">
        <v>6.7</v>
      </c>
      <c r="E2375">
        <f>IF($D2375 &gt; 16, 0, $J$3*(16 - $D2375))</f>
        <v>1932.0623771164821</v>
      </c>
      <c r="F2375">
        <f>IF($D2375 &gt; 16, 0,$E2375*$J$5)</f>
        <v>20999585.976879045</v>
      </c>
      <c r="G2375">
        <f t="shared" si="37"/>
        <v>9.3000000000000007</v>
      </c>
    </row>
    <row r="2376" spans="2:7" x14ac:dyDescent="0.35">
      <c r="B2376" s="1">
        <v>45756</v>
      </c>
      <c r="C2376" s="2">
        <v>0.91666666666666663</v>
      </c>
      <c r="D2376">
        <v>6.7</v>
      </c>
      <c r="E2376">
        <f>IF($D2376 &gt; 16, 0, $J$3*(16 - $D2376))</f>
        <v>1932.0623771164821</v>
      </c>
      <c r="F2376">
        <f>IF($D2376 &gt; 16, 0,$E2376*$J$5)</f>
        <v>20999585.976879045</v>
      </c>
      <c r="G2376">
        <f t="shared" si="37"/>
        <v>9.3000000000000007</v>
      </c>
    </row>
    <row r="2377" spans="2:7" x14ac:dyDescent="0.35">
      <c r="B2377" s="1">
        <v>45756</v>
      </c>
      <c r="C2377" s="2">
        <v>0.95833333333333337</v>
      </c>
      <c r="D2377">
        <v>6.7</v>
      </c>
      <c r="E2377">
        <f>IF($D2377 &gt; 16, 0, $J$3*(16 - $D2377))</f>
        <v>1932.0623771164821</v>
      </c>
      <c r="F2377">
        <f>IF($D2377 &gt; 16, 0,$E2377*$J$5)</f>
        <v>20999585.976879045</v>
      </c>
      <c r="G2377">
        <f t="shared" si="37"/>
        <v>9.3000000000000007</v>
      </c>
    </row>
    <row r="2378" spans="2:7" x14ac:dyDescent="0.35">
      <c r="B2378" s="1">
        <v>45757</v>
      </c>
      <c r="C2378" s="2">
        <v>0</v>
      </c>
      <c r="D2378">
        <v>6.6</v>
      </c>
      <c r="E2378">
        <f>IF($D2378 &gt; 16, 0, $J$3*(16 - $D2378))</f>
        <v>1952.8372413865518</v>
      </c>
      <c r="F2378">
        <f>IF($D2378 &gt; 16, 0,$E2378*$J$5)</f>
        <v>21225387.976630431</v>
      </c>
      <c r="G2378">
        <f t="shared" si="37"/>
        <v>9.4</v>
      </c>
    </row>
    <row r="2379" spans="2:7" x14ac:dyDescent="0.35">
      <c r="B2379" s="1">
        <v>45757</v>
      </c>
      <c r="C2379" s="2">
        <v>4.1666666666666657E-2</v>
      </c>
      <c r="D2379">
        <v>6.7</v>
      </c>
      <c r="E2379">
        <f>IF($D2379 &gt; 16, 0, $J$3*(16 - $D2379))</f>
        <v>1932.0623771164821</v>
      </c>
      <c r="F2379">
        <f>IF($D2379 &gt; 16, 0,$E2379*$J$5)</f>
        <v>20999585.976879045</v>
      </c>
      <c r="G2379">
        <f t="shared" si="37"/>
        <v>9.3000000000000007</v>
      </c>
    </row>
    <row r="2380" spans="2:7" x14ac:dyDescent="0.35">
      <c r="B2380" s="1">
        <v>45757</v>
      </c>
      <c r="C2380" s="2">
        <v>8.3333333333333329E-2</v>
      </c>
      <c r="D2380">
        <v>6.7</v>
      </c>
      <c r="E2380">
        <f>IF($D2380 &gt; 16, 0, $J$3*(16 - $D2380))</f>
        <v>1932.0623771164821</v>
      </c>
      <c r="F2380">
        <f>IF($D2380 &gt; 16, 0,$E2380*$J$5)</f>
        <v>20999585.976879045</v>
      </c>
      <c r="G2380">
        <f t="shared" si="37"/>
        <v>9.3000000000000007</v>
      </c>
    </row>
    <row r="2381" spans="2:7" x14ac:dyDescent="0.35">
      <c r="B2381" s="1">
        <v>45757</v>
      </c>
      <c r="C2381" s="2">
        <v>0.125</v>
      </c>
      <c r="D2381">
        <v>6.5</v>
      </c>
      <c r="E2381">
        <f>IF($D2381 &gt; 16, 0, $J$3*(16 - $D2381))</f>
        <v>1973.6121056566215</v>
      </c>
      <c r="F2381">
        <f>IF($D2381 &gt; 16, 0,$E2381*$J$5)</f>
        <v>21451189.97638182</v>
      </c>
      <c r="G2381">
        <f t="shared" si="37"/>
        <v>9.5</v>
      </c>
    </row>
    <row r="2382" spans="2:7" x14ac:dyDescent="0.35">
      <c r="B2382" s="1">
        <v>45757</v>
      </c>
      <c r="C2382" s="2">
        <v>0.16666666666666671</v>
      </c>
      <c r="D2382">
        <v>6.7</v>
      </c>
      <c r="E2382">
        <f>IF($D2382 &gt; 16, 0, $J$3*(16 - $D2382))</f>
        <v>1932.0623771164821</v>
      </c>
      <c r="F2382">
        <f>IF($D2382 &gt; 16, 0,$E2382*$J$5)</f>
        <v>20999585.976879045</v>
      </c>
      <c r="G2382">
        <f t="shared" si="37"/>
        <v>9.3000000000000007</v>
      </c>
    </row>
    <row r="2383" spans="2:7" x14ac:dyDescent="0.35">
      <c r="B2383" s="1">
        <v>45757</v>
      </c>
      <c r="C2383" s="2">
        <v>0.20833333333333329</v>
      </c>
      <c r="D2383">
        <v>6.5</v>
      </c>
      <c r="E2383">
        <f>IF($D2383 &gt; 16, 0, $J$3*(16 - $D2383))</f>
        <v>1973.6121056566215</v>
      </c>
      <c r="F2383">
        <f>IF($D2383 &gt; 16, 0,$E2383*$J$5)</f>
        <v>21451189.97638182</v>
      </c>
      <c r="G2383">
        <f t="shared" si="37"/>
        <v>9.5</v>
      </c>
    </row>
    <row r="2384" spans="2:7" x14ac:dyDescent="0.35">
      <c r="B2384" s="1">
        <v>45757</v>
      </c>
      <c r="C2384" s="2">
        <v>0.25</v>
      </c>
      <c r="D2384">
        <v>7</v>
      </c>
      <c r="E2384">
        <f>IF($D2384 &gt; 16, 0, $J$3*(16 - $D2384))</f>
        <v>1869.7377843062729</v>
      </c>
      <c r="F2384">
        <f>IF($D2384 &gt; 16, 0,$E2384*$J$5)</f>
        <v>20322179.977624882</v>
      </c>
      <c r="G2384">
        <f t="shared" si="37"/>
        <v>9</v>
      </c>
    </row>
    <row r="2385" spans="2:7" x14ac:dyDescent="0.35">
      <c r="B2385" s="1">
        <v>45757</v>
      </c>
      <c r="C2385" s="2">
        <v>0.29166666666666669</v>
      </c>
      <c r="D2385">
        <v>7.6</v>
      </c>
      <c r="E2385">
        <f>IF($D2385 &gt; 16, 0, $J$3*(16 - $D2385))</f>
        <v>1745.0885986858548</v>
      </c>
      <c r="F2385">
        <f>IF($D2385 &gt; 16, 0,$E2385*$J$5)</f>
        <v>18967367.979116555</v>
      </c>
      <c r="G2385">
        <f t="shared" si="37"/>
        <v>8.4</v>
      </c>
    </row>
    <row r="2386" spans="2:7" x14ac:dyDescent="0.35">
      <c r="B2386" s="1">
        <v>45757</v>
      </c>
      <c r="C2386" s="2">
        <v>0.33333333333333331</v>
      </c>
      <c r="D2386">
        <v>8</v>
      </c>
      <c r="E2386">
        <f>IF($D2386 &gt; 16, 0, $J$3*(16 - $D2386))</f>
        <v>1661.9891416055759</v>
      </c>
      <c r="F2386">
        <f>IF($D2386 &gt; 16, 0,$E2386*$J$5)</f>
        <v>18064159.980111003</v>
      </c>
      <c r="G2386">
        <f t="shared" si="37"/>
        <v>8</v>
      </c>
    </row>
    <row r="2387" spans="2:7" x14ac:dyDescent="0.35">
      <c r="B2387" s="1">
        <v>45757</v>
      </c>
      <c r="C2387" s="2">
        <v>0.375</v>
      </c>
      <c r="D2387">
        <v>10.4</v>
      </c>
      <c r="E2387">
        <f>IF($D2387 &gt; 16, 0, $J$3*(16 - $D2387))</f>
        <v>1163.392399123903</v>
      </c>
      <c r="F2387">
        <f>IF($D2387 &gt; 16, 0,$E2387*$J$5)</f>
        <v>12644911.986077702</v>
      </c>
      <c r="G2387">
        <f t="shared" si="37"/>
        <v>5.6</v>
      </c>
    </row>
    <row r="2388" spans="2:7" x14ac:dyDescent="0.35">
      <c r="B2388" s="1">
        <v>45757</v>
      </c>
      <c r="C2388" s="2">
        <v>0.41666666666666669</v>
      </c>
      <c r="D2388">
        <v>9.9</v>
      </c>
      <c r="E2388">
        <f>IF($D2388 &gt; 16, 0, $J$3*(16 - $D2388))</f>
        <v>1267.2667204742515</v>
      </c>
      <c r="F2388">
        <f>IF($D2388 &gt; 16, 0,$E2388*$J$5)</f>
        <v>13773921.984834639</v>
      </c>
      <c r="G2388">
        <f t="shared" si="37"/>
        <v>6.1</v>
      </c>
    </row>
    <row r="2389" spans="2:7" x14ac:dyDescent="0.35">
      <c r="B2389" s="1">
        <v>45757</v>
      </c>
      <c r="C2389" s="2">
        <v>0.45833333333333331</v>
      </c>
      <c r="D2389">
        <v>11.2</v>
      </c>
      <c r="E2389">
        <f>IF($D2389 &gt; 16, 0, $J$3*(16 - $D2389))</f>
        <v>997.19348496334567</v>
      </c>
      <c r="F2389">
        <f>IF($D2389 &gt; 16, 0,$E2389*$J$5)</f>
        <v>10838495.988066604</v>
      </c>
      <c r="G2389">
        <f t="shared" si="37"/>
        <v>4.8000000000000007</v>
      </c>
    </row>
    <row r="2390" spans="2:7" x14ac:dyDescent="0.35">
      <c r="B2390" s="1">
        <v>45757</v>
      </c>
      <c r="C2390" s="2">
        <v>0.5</v>
      </c>
      <c r="D2390">
        <v>11.8</v>
      </c>
      <c r="E2390">
        <f>IF($D2390 &gt; 16, 0, $J$3*(16 - $D2390))</f>
        <v>872.54429934292716</v>
      </c>
      <c r="F2390">
        <f>IF($D2390 &gt; 16, 0,$E2390*$J$5)</f>
        <v>9483683.9895582758</v>
      </c>
      <c r="G2390">
        <f t="shared" si="37"/>
        <v>4.1999999999999993</v>
      </c>
    </row>
    <row r="2391" spans="2:7" x14ac:dyDescent="0.35">
      <c r="B2391" s="1">
        <v>45757</v>
      </c>
      <c r="C2391" s="2">
        <v>0.54166666666666663</v>
      </c>
      <c r="D2391">
        <v>10.8</v>
      </c>
      <c r="E2391">
        <f>IF($D2391 &gt; 16, 0, $J$3*(16 - $D2391))</f>
        <v>1080.2929420436242</v>
      </c>
      <c r="F2391">
        <f>IF($D2391 &gt; 16, 0,$E2391*$J$5)</f>
        <v>11741703.987072151</v>
      </c>
      <c r="G2391">
        <f t="shared" si="37"/>
        <v>5.1999999999999993</v>
      </c>
    </row>
    <row r="2392" spans="2:7" x14ac:dyDescent="0.35">
      <c r="B2392" s="1">
        <v>45757</v>
      </c>
      <c r="C2392" s="2">
        <v>0.58333333333333337</v>
      </c>
      <c r="D2392">
        <v>12.2</v>
      </c>
      <c r="E2392">
        <f>IF($D2392 &gt; 16, 0, $J$3*(16 - $D2392))</f>
        <v>789.44484226264876</v>
      </c>
      <c r="F2392">
        <f>IF($D2392 &gt; 16, 0,$E2392*$J$5)</f>
        <v>8580475.990552729</v>
      </c>
      <c r="G2392">
        <f t="shared" si="37"/>
        <v>3.8000000000000007</v>
      </c>
    </row>
    <row r="2393" spans="2:7" x14ac:dyDescent="0.35">
      <c r="B2393" s="1">
        <v>45757</v>
      </c>
      <c r="C2393" s="2">
        <v>0.625</v>
      </c>
      <c r="D2393">
        <v>12.1</v>
      </c>
      <c r="E2393">
        <f>IF($D2393 &gt; 16, 0, $J$3*(16 - $D2393))</f>
        <v>810.21970653271831</v>
      </c>
      <c r="F2393">
        <f>IF($D2393 &gt; 16, 0,$E2393*$J$5)</f>
        <v>8806277.9903041162</v>
      </c>
      <c r="G2393">
        <f t="shared" si="37"/>
        <v>3.9000000000000004</v>
      </c>
    </row>
    <row r="2394" spans="2:7" x14ac:dyDescent="0.35">
      <c r="B2394" s="1">
        <v>45757</v>
      </c>
      <c r="C2394" s="2">
        <v>0.66666666666666663</v>
      </c>
      <c r="D2394">
        <v>12.3</v>
      </c>
      <c r="E2394">
        <f>IF($D2394 &gt; 16, 0, $J$3*(16 - $D2394))</f>
        <v>768.66997799257877</v>
      </c>
      <c r="F2394">
        <f>IF($D2394 &gt; 16, 0,$E2394*$J$5)</f>
        <v>8354673.990801339</v>
      </c>
      <c r="G2394">
        <f t="shared" si="37"/>
        <v>3.6999999999999993</v>
      </c>
    </row>
    <row r="2395" spans="2:7" x14ac:dyDescent="0.35">
      <c r="B2395" s="1">
        <v>45757</v>
      </c>
      <c r="C2395" s="2">
        <v>0.70833333333333337</v>
      </c>
      <c r="D2395">
        <v>11.2</v>
      </c>
      <c r="E2395">
        <f>IF($D2395 &gt; 16, 0, $J$3*(16 - $D2395))</f>
        <v>997.19348496334567</v>
      </c>
      <c r="F2395">
        <f>IF($D2395 &gt; 16, 0,$E2395*$J$5)</f>
        <v>10838495.988066604</v>
      </c>
      <c r="G2395">
        <f t="shared" si="37"/>
        <v>4.8000000000000007</v>
      </c>
    </row>
    <row r="2396" spans="2:7" x14ac:dyDescent="0.35">
      <c r="B2396" s="1">
        <v>45757</v>
      </c>
      <c r="C2396" s="2">
        <v>0.75</v>
      </c>
      <c r="D2396">
        <v>8.1</v>
      </c>
      <c r="E2396">
        <f>IF($D2396 &gt; 16, 0, $J$3*(16 - $D2396))</f>
        <v>1641.2142773355063</v>
      </c>
      <c r="F2396">
        <f>IF($D2396 &gt; 16, 0,$E2396*$J$5)</f>
        <v>17838357.980359618</v>
      </c>
      <c r="G2396">
        <f t="shared" si="37"/>
        <v>7.9</v>
      </c>
    </row>
    <row r="2397" spans="2:7" x14ac:dyDescent="0.35">
      <c r="B2397" s="1">
        <v>45757</v>
      </c>
      <c r="C2397" s="2">
        <v>0.79166666666666663</v>
      </c>
      <c r="D2397">
        <v>7.6</v>
      </c>
      <c r="E2397">
        <f>IF($D2397 &gt; 16, 0, $J$3*(16 - $D2397))</f>
        <v>1745.0885986858548</v>
      </c>
      <c r="F2397">
        <f>IF($D2397 &gt; 16, 0,$E2397*$J$5)</f>
        <v>18967367.979116555</v>
      </c>
      <c r="G2397">
        <f t="shared" si="37"/>
        <v>8.4</v>
      </c>
    </row>
    <row r="2398" spans="2:7" x14ac:dyDescent="0.35">
      <c r="B2398" s="1">
        <v>45757</v>
      </c>
      <c r="C2398" s="2">
        <v>0.83333333333333337</v>
      </c>
      <c r="D2398">
        <v>6.9</v>
      </c>
      <c r="E2398">
        <f>IF($D2398 &gt; 16, 0, $J$3*(16 - $D2398))</f>
        <v>1890.5126485763426</v>
      </c>
      <c r="F2398">
        <f>IF($D2398 &gt; 16, 0,$E2398*$J$5)</f>
        <v>20547981.977376267</v>
      </c>
      <c r="G2398">
        <f t="shared" si="37"/>
        <v>9.1</v>
      </c>
    </row>
    <row r="2399" spans="2:7" x14ac:dyDescent="0.35">
      <c r="B2399" s="1">
        <v>45757</v>
      </c>
      <c r="C2399" s="2">
        <v>0.875</v>
      </c>
      <c r="D2399">
        <v>6.9</v>
      </c>
      <c r="E2399">
        <f>IF($D2399 &gt; 16, 0, $J$3*(16 - $D2399))</f>
        <v>1890.5126485763426</v>
      </c>
      <c r="F2399">
        <f>IF($D2399 &gt; 16, 0,$E2399*$J$5)</f>
        <v>20547981.977376267</v>
      </c>
      <c r="G2399">
        <f t="shared" si="37"/>
        <v>9.1</v>
      </c>
    </row>
    <row r="2400" spans="2:7" x14ac:dyDescent="0.35">
      <c r="B2400" s="1">
        <v>45757</v>
      </c>
      <c r="C2400" s="2">
        <v>0.91666666666666663</v>
      </c>
      <c r="D2400">
        <v>7.1</v>
      </c>
      <c r="E2400">
        <f>IF($D2400 &gt; 16, 0, $J$3*(16 - $D2400))</f>
        <v>1848.9629200362033</v>
      </c>
      <c r="F2400">
        <f>IF($D2400 &gt; 16, 0,$E2400*$J$5)</f>
        <v>20096377.977873493</v>
      </c>
      <c r="G2400">
        <f t="shared" si="37"/>
        <v>8.9</v>
      </c>
    </row>
    <row r="2401" spans="2:7" x14ac:dyDescent="0.35">
      <c r="B2401" s="1">
        <v>45757</v>
      </c>
      <c r="C2401" s="2">
        <v>0.95833333333333337</v>
      </c>
      <c r="D2401">
        <v>7</v>
      </c>
      <c r="E2401">
        <f>IF($D2401 &gt; 16, 0, $J$3*(16 - $D2401))</f>
        <v>1869.7377843062729</v>
      </c>
      <c r="F2401">
        <f>IF($D2401 &gt; 16, 0,$E2401*$J$5)</f>
        <v>20322179.977624882</v>
      </c>
      <c r="G2401">
        <f t="shared" si="37"/>
        <v>9</v>
      </c>
    </row>
    <row r="2402" spans="2:7" x14ac:dyDescent="0.35">
      <c r="B2402" s="1">
        <v>45758</v>
      </c>
      <c r="C2402" s="2">
        <v>0</v>
      </c>
      <c r="D2402">
        <v>6.9</v>
      </c>
      <c r="E2402">
        <f>IF($D2402 &gt; 16, 0, $J$3*(16 - $D2402))</f>
        <v>1890.5126485763426</v>
      </c>
      <c r="F2402">
        <f>IF($D2402 &gt; 16, 0,$E2402*$J$5)</f>
        <v>20547981.977376267</v>
      </c>
      <c r="G2402">
        <f t="shared" si="37"/>
        <v>9.1</v>
      </c>
    </row>
    <row r="2403" spans="2:7" x14ac:dyDescent="0.35">
      <c r="B2403" s="1">
        <v>45758</v>
      </c>
      <c r="C2403" s="2">
        <v>4.1666666666666657E-2</v>
      </c>
      <c r="D2403">
        <v>7.2</v>
      </c>
      <c r="E2403">
        <f>IF($D2403 &gt; 16, 0, $J$3*(16 - $D2403))</f>
        <v>1828.1880557661336</v>
      </c>
      <c r="F2403">
        <f>IF($D2403 &gt; 16, 0,$E2403*$J$5)</f>
        <v>19870575.978122108</v>
      </c>
      <c r="G2403">
        <f t="shared" si="37"/>
        <v>8.8000000000000007</v>
      </c>
    </row>
    <row r="2404" spans="2:7" x14ac:dyDescent="0.35">
      <c r="B2404" s="1">
        <v>45758</v>
      </c>
      <c r="C2404" s="2">
        <v>8.3333333333333329E-2</v>
      </c>
      <c r="D2404">
        <v>7.3</v>
      </c>
      <c r="E2404">
        <f>IF($D2404 &gt; 16, 0, $J$3*(16 - $D2404))</f>
        <v>1807.4131914960637</v>
      </c>
      <c r="F2404">
        <f>IF($D2404 &gt; 16, 0,$E2404*$J$5)</f>
        <v>19644773.978370719</v>
      </c>
      <c r="G2404">
        <f t="shared" si="37"/>
        <v>8.6999999999999993</v>
      </c>
    </row>
    <row r="2405" spans="2:7" x14ac:dyDescent="0.35">
      <c r="B2405" s="1">
        <v>45758</v>
      </c>
      <c r="C2405" s="2">
        <v>0.125</v>
      </c>
      <c r="D2405">
        <v>7.3</v>
      </c>
      <c r="E2405">
        <f>IF($D2405 &gt; 16, 0, $J$3*(16 - $D2405))</f>
        <v>1807.4131914960637</v>
      </c>
      <c r="F2405">
        <f>IF($D2405 &gt; 16, 0,$E2405*$J$5)</f>
        <v>19644773.978370719</v>
      </c>
      <c r="G2405">
        <f t="shared" si="37"/>
        <v>8.6999999999999993</v>
      </c>
    </row>
    <row r="2406" spans="2:7" x14ac:dyDescent="0.35">
      <c r="B2406" s="1">
        <v>45758</v>
      </c>
      <c r="C2406" s="2">
        <v>0.16666666666666671</v>
      </c>
      <c r="D2406">
        <v>7.1</v>
      </c>
      <c r="E2406">
        <f>IF($D2406 &gt; 16, 0, $J$3*(16 - $D2406))</f>
        <v>1848.9629200362033</v>
      </c>
      <c r="F2406">
        <f>IF($D2406 &gt; 16, 0,$E2406*$J$5)</f>
        <v>20096377.977873493</v>
      </c>
      <c r="G2406">
        <f t="shared" si="37"/>
        <v>8.9</v>
      </c>
    </row>
    <row r="2407" spans="2:7" x14ac:dyDescent="0.35">
      <c r="B2407" s="1">
        <v>45758</v>
      </c>
      <c r="C2407" s="2">
        <v>0.20833333333333329</v>
      </c>
      <c r="D2407">
        <v>7.1</v>
      </c>
      <c r="E2407">
        <f>IF($D2407 &gt; 16, 0, $J$3*(16 - $D2407))</f>
        <v>1848.9629200362033</v>
      </c>
      <c r="F2407">
        <f>IF($D2407 &gt; 16, 0,$E2407*$J$5)</f>
        <v>20096377.977873493</v>
      </c>
      <c r="G2407">
        <f t="shared" si="37"/>
        <v>8.9</v>
      </c>
    </row>
    <row r="2408" spans="2:7" x14ac:dyDescent="0.35">
      <c r="B2408" s="1">
        <v>45758</v>
      </c>
      <c r="C2408" s="2">
        <v>0.25</v>
      </c>
      <c r="D2408">
        <v>7.4</v>
      </c>
      <c r="E2408">
        <f>IF($D2408 &gt; 16, 0, $J$3*(16 - $D2408))</f>
        <v>1786.6383272259941</v>
      </c>
      <c r="F2408">
        <f>IF($D2408 &gt; 16, 0,$E2408*$J$5)</f>
        <v>19418971.97861933</v>
      </c>
      <c r="G2408">
        <f t="shared" si="37"/>
        <v>8.6</v>
      </c>
    </row>
    <row r="2409" spans="2:7" x14ac:dyDescent="0.35">
      <c r="B2409" s="1">
        <v>45758</v>
      </c>
      <c r="C2409" s="2">
        <v>0.29166666666666669</v>
      </c>
      <c r="D2409">
        <v>8</v>
      </c>
      <c r="E2409">
        <f>IF($D2409 &gt; 16, 0, $J$3*(16 - $D2409))</f>
        <v>1661.9891416055759</v>
      </c>
      <c r="F2409">
        <f>IF($D2409 &gt; 16, 0,$E2409*$J$5)</f>
        <v>18064159.980111003</v>
      </c>
      <c r="G2409">
        <f t="shared" si="37"/>
        <v>8</v>
      </c>
    </row>
    <row r="2410" spans="2:7" x14ac:dyDescent="0.35">
      <c r="B2410" s="1">
        <v>45758</v>
      </c>
      <c r="C2410" s="2">
        <v>0.33333333333333331</v>
      </c>
      <c r="D2410">
        <v>8.4</v>
      </c>
      <c r="E2410">
        <f>IF($D2410 &gt; 16, 0, $J$3*(16 - $D2410))</f>
        <v>1578.8896845252971</v>
      </c>
      <c r="F2410">
        <f>IF($D2410 &gt; 16, 0,$E2410*$J$5)</f>
        <v>17160951.981105454</v>
      </c>
      <c r="G2410">
        <f t="shared" si="37"/>
        <v>7.6</v>
      </c>
    </row>
    <row r="2411" spans="2:7" x14ac:dyDescent="0.35">
      <c r="B2411" s="1">
        <v>45758</v>
      </c>
      <c r="C2411" s="2">
        <v>0.375</v>
      </c>
      <c r="D2411">
        <v>9.5</v>
      </c>
      <c r="E2411">
        <f>IF($D2411 &gt; 16, 0, $J$3*(16 - $D2411))</f>
        <v>1350.3661775545304</v>
      </c>
      <c r="F2411">
        <f>IF($D2411 &gt; 16, 0,$E2411*$J$5)</f>
        <v>14677129.983840192</v>
      </c>
      <c r="G2411">
        <f t="shared" si="37"/>
        <v>6.5</v>
      </c>
    </row>
    <row r="2412" spans="2:7" x14ac:dyDescent="0.35">
      <c r="B2412" s="1">
        <v>45758</v>
      </c>
      <c r="C2412" s="2">
        <v>0.41666666666666669</v>
      </c>
      <c r="D2412">
        <v>11.4</v>
      </c>
      <c r="E2412">
        <f>IF($D2412 &gt; 16, 0, $J$3*(16 - $D2412))</f>
        <v>955.64375642320613</v>
      </c>
      <c r="F2412">
        <f>IF($D2412 &gt; 16, 0,$E2412*$J$5)</f>
        <v>10386891.988563828</v>
      </c>
      <c r="G2412">
        <f t="shared" si="37"/>
        <v>4.5999999999999996</v>
      </c>
    </row>
    <row r="2413" spans="2:7" x14ac:dyDescent="0.35">
      <c r="B2413" s="1">
        <v>45758</v>
      </c>
      <c r="C2413" s="2">
        <v>0.45833333333333331</v>
      </c>
      <c r="D2413">
        <v>13.5</v>
      </c>
      <c r="E2413">
        <f>IF($D2413 &gt; 16, 0, $J$3*(16 - $D2413))</f>
        <v>519.37160675174243</v>
      </c>
      <c r="F2413">
        <f>IF($D2413 &gt; 16, 0,$E2413*$J$5)</f>
        <v>5645049.9937846884</v>
      </c>
      <c r="G2413">
        <f t="shared" si="37"/>
        <v>2.5</v>
      </c>
    </row>
    <row r="2414" spans="2:7" x14ac:dyDescent="0.35">
      <c r="B2414" s="1">
        <v>45758</v>
      </c>
      <c r="C2414" s="2">
        <v>0.5</v>
      </c>
      <c r="D2414">
        <v>13.5</v>
      </c>
      <c r="E2414">
        <f>IF($D2414 &gt; 16, 0, $J$3*(16 - $D2414))</f>
        <v>519.37160675174243</v>
      </c>
      <c r="F2414">
        <f>IF($D2414 &gt; 16, 0,$E2414*$J$5)</f>
        <v>5645049.9937846884</v>
      </c>
      <c r="G2414">
        <f t="shared" si="37"/>
        <v>2.5</v>
      </c>
    </row>
    <row r="2415" spans="2:7" x14ac:dyDescent="0.35">
      <c r="B2415" s="1">
        <v>45758</v>
      </c>
      <c r="C2415" s="2">
        <v>0.54166666666666663</v>
      </c>
      <c r="D2415">
        <v>14.3</v>
      </c>
      <c r="E2415">
        <f>IF($D2415 &gt; 16, 0, $J$3*(16 - $D2415))</f>
        <v>353.17269259118473</v>
      </c>
      <c r="F2415">
        <f>IF($D2415 &gt; 16, 0,$E2415*$J$5)</f>
        <v>3838633.9957735869</v>
      </c>
      <c r="G2415">
        <f t="shared" si="37"/>
        <v>1.6999999999999993</v>
      </c>
    </row>
    <row r="2416" spans="2:7" x14ac:dyDescent="0.35">
      <c r="B2416" s="1">
        <v>45758</v>
      </c>
      <c r="C2416" s="2">
        <v>0.58333333333333337</v>
      </c>
      <c r="D2416">
        <v>13.8</v>
      </c>
      <c r="E2416">
        <f>IF($D2416 &gt; 16, 0, $J$3*(16 - $D2416))</f>
        <v>457.04701394153324</v>
      </c>
      <c r="F2416">
        <f>IF($D2416 &gt; 16, 0,$E2416*$J$5)</f>
        <v>4967643.9945305251</v>
      </c>
      <c r="G2416">
        <f t="shared" si="37"/>
        <v>2.1999999999999993</v>
      </c>
    </row>
    <row r="2417" spans="2:7" x14ac:dyDescent="0.35">
      <c r="B2417" s="1">
        <v>45758</v>
      </c>
      <c r="C2417" s="2">
        <v>0.625</v>
      </c>
      <c r="D2417">
        <v>13.8</v>
      </c>
      <c r="E2417">
        <f>IF($D2417 &gt; 16, 0, $J$3*(16 - $D2417))</f>
        <v>457.04701394153324</v>
      </c>
      <c r="F2417">
        <f>IF($D2417 &gt; 16, 0,$E2417*$J$5)</f>
        <v>4967643.9945305251</v>
      </c>
      <c r="G2417">
        <f t="shared" si="37"/>
        <v>2.1999999999999993</v>
      </c>
    </row>
    <row r="2418" spans="2:7" x14ac:dyDescent="0.35">
      <c r="B2418" s="1">
        <v>45758</v>
      </c>
      <c r="C2418" s="2">
        <v>0.66666666666666663</v>
      </c>
      <c r="D2418">
        <v>12.6</v>
      </c>
      <c r="E2418">
        <f>IF($D2418 &gt; 16, 0, $J$3*(16 - $D2418))</f>
        <v>706.3453851823698</v>
      </c>
      <c r="F2418">
        <f>IF($D2418 &gt; 16, 0,$E2418*$J$5)</f>
        <v>7677267.9915471775</v>
      </c>
      <c r="G2418">
        <f t="shared" si="37"/>
        <v>3.4000000000000004</v>
      </c>
    </row>
    <row r="2419" spans="2:7" x14ac:dyDescent="0.35">
      <c r="B2419" s="1">
        <v>45758</v>
      </c>
      <c r="C2419" s="2">
        <v>0.70833333333333337</v>
      </c>
      <c r="D2419">
        <v>11</v>
      </c>
      <c r="E2419">
        <f>IF($D2419 &gt; 16, 0, $J$3*(16 - $D2419))</f>
        <v>1038.7432135034849</v>
      </c>
      <c r="F2419">
        <f>IF($D2419 &gt; 16, 0,$E2419*$J$5)</f>
        <v>11290099.987569377</v>
      </c>
      <c r="G2419">
        <f t="shared" si="37"/>
        <v>5</v>
      </c>
    </row>
    <row r="2420" spans="2:7" x14ac:dyDescent="0.35">
      <c r="B2420" s="1">
        <v>45758</v>
      </c>
      <c r="C2420" s="2">
        <v>0.75</v>
      </c>
      <c r="D2420">
        <v>9.9</v>
      </c>
      <c r="E2420">
        <f>IF($D2420 &gt; 16, 0, $J$3*(16 - $D2420))</f>
        <v>1267.2667204742515</v>
      </c>
      <c r="F2420">
        <f>IF($D2420 &gt; 16, 0,$E2420*$J$5)</f>
        <v>13773921.984834639</v>
      </c>
      <c r="G2420">
        <f t="shared" si="37"/>
        <v>6.1</v>
      </c>
    </row>
    <row r="2421" spans="2:7" x14ac:dyDescent="0.35">
      <c r="B2421" s="1">
        <v>45758</v>
      </c>
      <c r="C2421" s="2">
        <v>0.79166666666666663</v>
      </c>
      <c r="D2421">
        <v>9.4</v>
      </c>
      <c r="E2421">
        <f>IF($D2421 &gt; 16, 0, $J$3*(16 - $D2421))</f>
        <v>1371.1410418246001</v>
      </c>
      <c r="F2421">
        <f>IF($D2421 &gt; 16, 0,$E2421*$J$5)</f>
        <v>14902931.983591577</v>
      </c>
      <c r="G2421">
        <f t="shared" si="37"/>
        <v>6.6</v>
      </c>
    </row>
    <row r="2422" spans="2:7" x14ac:dyDescent="0.35">
      <c r="B2422" s="1">
        <v>45758</v>
      </c>
      <c r="C2422" s="2">
        <v>0.83333333333333337</v>
      </c>
      <c r="D2422">
        <v>9.1999999999999993</v>
      </c>
      <c r="E2422">
        <f>IF($D2422 &gt; 16, 0, $J$3*(16 - $D2422))</f>
        <v>1412.6907703647396</v>
      </c>
      <c r="F2422">
        <f>IF($D2422 &gt; 16, 0,$E2422*$J$5)</f>
        <v>15354535.983094355</v>
      </c>
      <c r="G2422">
        <f t="shared" si="37"/>
        <v>6.8000000000000007</v>
      </c>
    </row>
    <row r="2423" spans="2:7" x14ac:dyDescent="0.35">
      <c r="B2423" s="1">
        <v>45758</v>
      </c>
      <c r="C2423" s="2">
        <v>0.875</v>
      </c>
      <c r="D2423">
        <v>9.1</v>
      </c>
      <c r="E2423">
        <f>IF($D2423 &gt; 16, 0, $J$3*(16 - $D2423))</f>
        <v>1433.4656346348092</v>
      </c>
      <c r="F2423">
        <f>IF($D2423 &gt; 16, 0,$E2423*$J$5)</f>
        <v>15580337.982845742</v>
      </c>
      <c r="G2423">
        <f t="shared" si="37"/>
        <v>6.9</v>
      </c>
    </row>
    <row r="2424" spans="2:7" x14ac:dyDescent="0.35">
      <c r="B2424" s="1">
        <v>45758</v>
      </c>
      <c r="C2424" s="2">
        <v>0.91666666666666663</v>
      </c>
      <c r="D2424">
        <v>9.1</v>
      </c>
      <c r="E2424">
        <f>IF($D2424 &gt; 16, 0, $J$3*(16 - $D2424))</f>
        <v>1433.4656346348092</v>
      </c>
      <c r="F2424">
        <f>IF($D2424 &gt; 16, 0,$E2424*$J$5)</f>
        <v>15580337.982845742</v>
      </c>
      <c r="G2424">
        <f t="shared" si="37"/>
        <v>6.9</v>
      </c>
    </row>
    <row r="2425" spans="2:7" x14ac:dyDescent="0.35">
      <c r="B2425" s="1">
        <v>45758</v>
      </c>
      <c r="C2425" s="2">
        <v>0.95833333333333337</v>
      </c>
      <c r="D2425">
        <v>9</v>
      </c>
      <c r="E2425">
        <f>IF($D2425 &gt; 16, 0, $J$3*(16 - $D2425))</f>
        <v>1454.2404989048789</v>
      </c>
      <c r="F2425">
        <f>IF($D2425 &gt; 16, 0,$E2425*$J$5)</f>
        <v>15806139.982597129</v>
      </c>
      <c r="G2425">
        <f t="shared" si="37"/>
        <v>7</v>
      </c>
    </row>
    <row r="2426" spans="2:7" x14ac:dyDescent="0.35">
      <c r="B2426" s="1">
        <v>45759</v>
      </c>
      <c r="C2426" s="2">
        <v>0</v>
      </c>
      <c r="D2426">
        <v>9</v>
      </c>
      <c r="E2426">
        <f>IF($D2426 &gt; 16, 0, $J$3*(16 - $D2426))</f>
        <v>1454.2404989048789</v>
      </c>
      <c r="F2426">
        <f>IF($D2426 &gt; 16, 0,$E2426*$J$5)</f>
        <v>15806139.982597129</v>
      </c>
      <c r="G2426">
        <f t="shared" si="37"/>
        <v>7</v>
      </c>
    </row>
    <row r="2427" spans="2:7" x14ac:dyDescent="0.35">
      <c r="B2427" s="1">
        <v>45759</v>
      </c>
      <c r="C2427" s="2">
        <v>4.1666666666666657E-2</v>
      </c>
      <c r="D2427">
        <v>8.6999999999999993</v>
      </c>
      <c r="E2427">
        <f>IF($D2427 &gt; 16, 0, $J$3*(16 - $D2427))</f>
        <v>1516.5650917150881</v>
      </c>
      <c r="F2427">
        <f>IF($D2427 &gt; 16, 0,$E2427*$J$5)</f>
        <v>16483545.981851293</v>
      </c>
      <c r="G2427">
        <f t="shared" si="37"/>
        <v>7.3000000000000007</v>
      </c>
    </row>
    <row r="2428" spans="2:7" x14ac:dyDescent="0.35">
      <c r="B2428" s="1">
        <v>45759</v>
      </c>
      <c r="C2428" s="2">
        <v>8.3333333333333329E-2</v>
      </c>
      <c r="D2428">
        <v>8.1999999999999993</v>
      </c>
      <c r="E2428">
        <f>IF($D2428 &gt; 16, 0, $J$3*(16 - $D2428))</f>
        <v>1620.4394130654366</v>
      </c>
      <c r="F2428">
        <f>IF($D2428 &gt; 16, 0,$E2428*$J$5)</f>
        <v>17612555.980608232</v>
      </c>
      <c r="G2428">
        <f t="shared" si="37"/>
        <v>7.8000000000000007</v>
      </c>
    </row>
    <row r="2429" spans="2:7" x14ac:dyDescent="0.35">
      <c r="B2429" s="1">
        <v>45759</v>
      </c>
      <c r="C2429" s="2">
        <v>0.125</v>
      </c>
      <c r="D2429">
        <v>8</v>
      </c>
      <c r="E2429">
        <f>IF($D2429 &gt; 16, 0, $J$3*(16 - $D2429))</f>
        <v>1661.9891416055759</v>
      </c>
      <c r="F2429">
        <f>IF($D2429 &gt; 16, 0,$E2429*$J$5)</f>
        <v>18064159.980111003</v>
      </c>
      <c r="G2429">
        <f t="shared" si="37"/>
        <v>8</v>
      </c>
    </row>
    <row r="2430" spans="2:7" x14ac:dyDescent="0.35">
      <c r="B2430" s="1">
        <v>45759</v>
      </c>
      <c r="C2430" s="2">
        <v>0.16666666666666671</v>
      </c>
      <c r="D2430">
        <v>7.9</v>
      </c>
      <c r="E2430">
        <f>IF($D2430 &gt; 16, 0, $J$3*(16 - $D2430))</f>
        <v>1682.7640058756456</v>
      </c>
      <c r="F2430">
        <f>IF($D2430 &gt; 16, 0,$E2430*$J$5)</f>
        <v>18289961.979862392</v>
      </c>
      <c r="G2430">
        <f t="shared" si="37"/>
        <v>8.1</v>
      </c>
    </row>
    <row r="2431" spans="2:7" x14ac:dyDescent="0.35">
      <c r="B2431" s="1">
        <v>45759</v>
      </c>
      <c r="C2431" s="2">
        <v>0.20833333333333329</v>
      </c>
      <c r="D2431">
        <v>7.6</v>
      </c>
      <c r="E2431">
        <f>IF($D2431 &gt; 16, 0, $J$3*(16 - $D2431))</f>
        <v>1745.0885986858548</v>
      </c>
      <c r="F2431">
        <f>IF($D2431 &gt; 16, 0,$E2431*$J$5)</f>
        <v>18967367.979116555</v>
      </c>
      <c r="G2431">
        <f t="shared" si="37"/>
        <v>8.4</v>
      </c>
    </row>
    <row r="2432" spans="2:7" x14ac:dyDescent="0.35">
      <c r="B2432" s="1">
        <v>45759</v>
      </c>
      <c r="C2432" s="2">
        <v>0.25</v>
      </c>
      <c r="D2432">
        <v>7.7</v>
      </c>
      <c r="E2432">
        <f>IF($D2432 &gt; 16, 0, $J$3*(16 - $D2432))</f>
        <v>1724.3137344157851</v>
      </c>
      <c r="F2432">
        <f>IF($D2432 &gt; 16, 0,$E2432*$J$5)</f>
        <v>18741565.97936517</v>
      </c>
      <c r="G2432">
        <f t="shared" si="37"/>
        <v>8.3000000000000007</v>
      </c>
    </row>
    <row r="2433" spans="2:7" x14ac:dyDescent="0.35">
      <c r="B2433" s="1">
        <v>45759</v>
      </c>
      <c r="C2433" s="2">
        <v>0.29166666666666669</v>
      </c>
      <c r="D2433">
        <v>7.9</v>
      </c>
      <c r="E2433">
        <f>IF($D2433 &gt; 16, 0, $J$3*(16 - $D2433))</f>
        <v>1682.7640058756456</v>
      </c>
      <c r="F2433">
        <f>IF($D2433 &gt; 16, 0,$E2433*$J$5)</f>
        <v>18289961.979862392</v>
      </c>
      <c r="G2433">
        <f t="shared" si="37"/>
        <v>8.1</v>
      </c>
    </row>
    <row r="2434" spans="2:7" x14ac:dyDescent="0.35">
      <c r="B2434" s="1">
        <v>45759</v>
      </c>
      <c r="C2434" s="2">
        <v>0.33333333333333331</v>
      </c>
      <c r="D2434">
        <v>8.6999999999999993</v>
      </c>
      <c r="E2434">
        <f>IF($D2434 &gt; 16, 0, $J$3*(16 - $D2434))</f>
        <v>1516.5650917150881</v>
      </c>
      <c r="F2434">
        <f>IF($D2434 &gt; 16, 0,$E2434*$J$5)</f>
        <v>16483545.981851293</v>
      </c>
      <c r="G2434">
        <f t="shared" si="37"/>
        <v>7.3000000000000007</v>
      </c>
    </row>
    <row r="2435" spans="2:7" x14ac:dyDescent="0.35">
      <c r="B2435" s="1">
        <v>45759</v>
      </c>
      <c r="C2435" s="2">
        <v>0.375</v>
      </c>
      <c r="D2435">
        <v>10.8</v>
      </c>
      <c r="E2435">
        <f>IF($D2435 &gt; 16, 0, $J$3*(16 - $D2435))</f>
        <v>1080.2929420436242</v>
      </c>
      <c r="F2435">
        <f>IF($D2435 &gt; 16, 0,$E2435*$J$5)</f>
        <v>11741703.987072151</v>
      </c>
      <c r="G2435">
        <f t="shared" ref="G2435:G2498" si="38">MAX(0, 16 - $D2435)</f>
        <v>5.1999999999999993</v>
      </c>
    </row>
    <row r="2436" spans="2:7" x14ac:dyDescent="0.35">
      <c r="B2436" s="1">
        <v>45759</v>
      </c>
      <c r="C2436" s="2">
        <v>0.41666666666666669</v>
      </c>
      <c r="D2436">
        <v>12.2</v>
      </c>
      <c r="E2436">
        <f>IF($D2436 &gt; 16, 0, $J$3*(16 - $D2436))</f>
        <v>789.44484226264876</v>
      </c>
      <c r="F2436">
        <f>IF($D2436 &gt; 16, 0,$E2436*$J$5)</f>
        <v>8580475.990552729</v>
      </c>
      <c r="G2436">
        <f t="shared" si="38"/>
        <v>3.8000000000000007</v>
      </c>
    </row>
    <row r="2437" spans="2:7" x14ac:dyDescent="0.35">
      <c r="B2437" s="1">
        <v>45759</v>
      </c>
      <c r="C2437" s="2">
        <v>0.45833333333333331</v>
      </c>
      <c r="D2437">
        <v>14.9</v>
      </c>
      <c r="E2437">
        <f>IF($D2437 &gt; 16, 0, $J$3*(16 - $D2437))</f>
        <v>228.52350697076662</v>
      </c>
      <c r="F2437">
        <f>IF($D2437 &gt; 16, 0,$E2437*$J$5)</f>
        <v>2483821.9972652625</v>
      </c>
      <c r="G2437">
        <f t="shared" si="38"/>
        <v>1.0999999999999996</v>
      </c>
    </row>
    <row r="2438" spans="2:7" x14ac:dyDescent="0.35">
      <c r="B2438" s="1">
        <v>45759</v>
      </c>
      <c r="C2438" s="2">
        <v>0.5</v>
      </c>
      <c r="D2438">
        <v>16.100000000000001</v>
      </c>
      <c r="E2438">
        <f>IF($D2438 &gt; 16, 0, $J$3*(16 - $D2438))</f>
        <v>0</v>
      </c>
      <c r="F2438">
        <f>IF($D2438 &gt; 16, 0,$E2438*$J$5)</f>
        <v>0</v>
      </c>
      <c r="G2438">
        <f t="shared" si="38"/>
        <v>0</v>
      </c>
    </row>
    <row r="2439" spans="2:7" x14ac:dyDescent="0.35">
      <c r="B2439" s="1">
        <v>45759</v>
      </c>
      <c r="C2439" s="2">
        <v>0.54166666666666663</v>
      </c>
      <c r="D2439">
        <v>17.5</v>
      </c>
      <c r="E2439">
        <f>IF($D2439 &gt; 16, 0, $J$3*(16 - $D2439))</f>
        <v>0</v>
      </c>
      <c r="F2439">
        <f>IF($D2439 &gt; 16, 0,$E2439*$J$5)</f>
        <v>0</v>
      </c>
      <c r="G2439">
        <f t="shared" si="38"/>
        <v>0</v>
      </c>
    </row>
    <row r="2440" spans="2:7" x14ac:dyDescent="0.35">
      <c r="B2440" s="1">
        <v>45759</v>
      </c>
      <c r="C2440" s="2">
        <v>0.58333333333333337</v>
      </c>
      <c r="D2440">
        <v>18.3</v>
      </c>
      <c r="E2440">
        <f>IF($D2440 &gt; 16, 0, $J$3*(16 - $D2440))</f>
        <v>0</v>
      </c>
      <c r="F2440">
        <f>IF($D2440 &gt; 16, 0,$E2440*$J$5)</f>
        <v>0</v>
      </c>
      <c r="G2440">
        <f t="shared" si="38"/>
        <v>0</v>
      </c>
    </row>
    <row r="2441" spans="2:7" x14ac:dyDescent="0.35">
      <c r="B2441" s="1">
        <v>45759</v>
      </c>
      <c r="C2441" s="2">
        <v>0.625</v>
      </c>
      <c r="D2441">
        <v>18.8</v>
      </c>
      <c r="E2441">
        <f>IF($D2441 &gt; 16, 0, $J$3*(16 - $D2441))</f>
        <v>0</v>
      </c>
      <c r="F2441">
        <f>IF($D2441 &gt; 16, 0,$E2441*$J$5)</f>
        <v>0</v>
      </c>
      <c r="G2441">
        <f t="shared" si="38"/>
        <v>0</v>
      </c>
    </row>
    <row r="2442" spans="2:7" x14ac:dyDescent="0.35">
      <c r="B2442" s="1">
        <v>45759</v>
      </c>
      <c r="C2442" s="2">
        <v>0.66666666666666663</v>
      </c>
      <c r="D2442">
        <v>19.3</v>
      </c>
      <c r="E2442">
        <f>IF($D2442 &gt; 16, 0, $J$3*(16 - $D2442))</f>
        <v>0</v>
      </c>
      <c r="F2442">
        <f>IF($D2442 &gt; 16, 0,$E2442*$J$5)</f>
        <v>0</v>
      </c>
      <c r="G2442">
        <f t="shared" si="38"/>
        <v>0</v>
      </c>
    </row>
    <row r="2443" spans="2:7" x14ac:dyDescent="0.35">
      <c r="B2443" s="1">
        <v>45759</v>
      </c>
      <c r="C2443" s="2">
        <v>0.70833333333333337</v>
      </c>
      <c r="D2443">
        <v>18.7</v>
      </c>
      <c r="E2443">
        <f>IF($D2443 &gt; 16, 0, $J$3*(16 - $D2443))</f>
        <v>0</v>
      </c>
      <c r="F2443">
        <f>IF($D2443 &gt; 16, 0,$E2443*$J$5)</f>
        <v>0</v>
      </c>
      <c r="G2443">
        <f t="shared" si="38"/>
        <v>0</v>
      </c>
    </row>
    <row r="2444" spans="2:7" x14ac:dyDescent="0.35">
      <c r="B2444" s="1">
        <v>45759</v>
      </c>
      <c r="C2444" s="2">
        <v>0.75</v>
      </c>
      <c r="D2444">
        <v>17.399999999999999</v>
      </c>
      <c r="E2444">
        <f>IF($D2444 &gt; 16, 0, $J$3*(16 - $D2444))</f>
        <v>0</v>
      </c>
      <c r="F2444">
        <f>IF($D2444 &gt; 16, 0,$E2444*$J$5)</f>
        <v>0</v>
      </c>
      <c r="G2444">
        <f t="shared" si="38"/>
        <v>0</v>
      </c>
    </row>
    <row r="2445" spans="2:7" x14ac:dyDescent="0.35">
      <c r="B2445" s="1">
        <v>45759</v>
      </c>
      <c r="C2445" s="2">
        <v>0.79166666666666663</v>
      </c>
      <c r="D2445">
        <v>16</v>
      </c>
      <c r="E2445">
        <f>IF($D2445 &gt; 16, 0, $J$3*(16 - $D2445))</f>
        <v>0</v>
      </c>
      <c r="F2445">
        <f>IF($D2445 &gt; 16, 0,$E2445*$J$5)</f>
        <v>0</v>
      </c>
      <c r="G2445">
        <f t="shared" si="38"/>
        <v>0</v>
      </c>
    </row>
    <row r="2446" spans="2:7" x14ac:dyDescent="0.35">
      <c r="B2446" s="1">
        <v>45759</v>
      </c>
      <c r="C2446" s="2">
        <v>0.83333333333333337</v>
      </c>
      <c r="D2446">
        <v>14.6</v>
      </c>
      <c r="E2446">
        <f>IF($D2446 &gt; 16, 0, $J$3*(16 - $D2446))</f>
        <v>290.84809978097587</v>
      </c>
      <c r="F2446">
        <f>IF($D2446 &gt; 16, 0,$E2446*$J$5)</f>
        <v>3161227.9965194268</v>
      </c>
      <c r="G2446">
        <f t="shared" si="38"/>
        <v>1.4000000000000004</v>
      </c>
    </row>
    <row r="2447" spans="2:7" x14ac:dyDescent="0.35">
      <c r="B2447" s="1">
        <v>45759</v>
      </c>
      <c r="C2447" s="2">
        <v>0.875</v>
      </c>
      <c r="D2447">
        <v>13.6</v>
      </c>
      <c r="E2447">
        <f>IF($D2447 &gt; 16, 0, $J$3*(16 - $D2447))</f>
        <v>498.59674248167283</v>
      </c>
      <c r="F2447">
        <f>IF($D2447 &gt; 16, 0,$E2447*$J$5)</f>
        <v>5419247.9940333022</v>
      </c>
      <c r="G2447">
        <f t="shared" si="38"/>
        <v>2.4000000000000004</v>
      </c>
    </row>
    <row r="2448" spans="2:7" x14ac:dyDescent="0.35">
      <c r="B2448" s="1">
        <v>45759</v>
      </c>
      <c r="C2448" s="2">
        <v>0.91666666666666663</v>
      </c>
      <c r="D2448">
        <v>12.4</v>
      </c>
      <c r="E2448">
        <f>IF($D2448 &gt; 16, 0, $J$3*(16 - $D2448))</f>
        <v>747.89511372250911</v>
      </c>
      <c r="F2448">
        <f>IF($D2448 &gt; 16, 0,$E2448*$J$5)</f>
        <v>8128871.9910499519</v>
      </c>
      <c r="G2448">
        <f t="shared" si="38"/>
        <v>3.5999999999999996</v>
      </c>
    </row>
    <row r="2449" spans="2:7" x14ac:dyDescent="0.35">
      <c r="B2449" s="1">
        <v>45759</v>
      </c>
      <c r="C2449" s="2">
        <v>0.95833333333333337</v>
      </c>
      <c r="D2449">
        <v>11.4</v>
      </c>
      <c r="E2449">
        <f>IF($D2449 &gt; 16, 0, $J$3*(16 - $D2449))</f>
        <v>955.64375642320613</v>
      </c>
      <c r="F2449">
        <f>IF($D2449 &gt; 16, 0,$E2449*$J$5)</f>
        <v>10386891.988563828</v>
      </c>
      <c r="G2449">
        <f t="shared" si="38"/>
        <v>4.5999999999999996</v>
      </c>
    </row>
    <row r="2450" spans="2:7" x14ac:dyDescent="0.35">
      <c r="B2450" s="1">
        <v>45760</v>
      </c>
      <c r="C2450" s="2">
        <v>0</v>
      </c>
      <c r="D2450">
        <v>10.4</v>
      </c>
      <c r="E2450">
        <f>IF($D2450 &gt; 16, 0, $J$3*(16 - $D2450))</f>
        <v>1163.392399123903</v>
      </c>
      <c r="F2450">
        <f>IF($D2450 &gt; 16, 0,$E2450*$J$5)</f>
        <v>12644911.986077702</v>
      </c>
      <c r="G2450">
        <f t="shared" si="38"/>
        <v>5.6</v>
      </c>
    </row>
    <row r="2451" spans="2:7" x14ac:dyDescent="0.35">
      <c r="B2451" s="1">
        <v>45760</v>
      </c>
      <c r="C2451" s="2">
        <v>4.1666666666666657E-2</v>
      </c>
      <c r="D2451">
        <v>10.7</v>
      </c>
      <c r="E2451">
        <f>IF($D2451 &gt; 16, 0, $J$3*(16 - $D2451))</f>
        <v>1101.0678063136943</v>
      </c>
      <c r="F2451">
        <f>IF($D2451 &gt; 16, 0,$E2451*$J$5)</f>
        <v>11967505.986823544</v>
      </c>
      <c r="G2451">
        <f t="shared" si="38"/>
        <v>5.3000000000000007</v>
      </c>
    </row>
    <row r="2452" spans="2:7" x14ac:dyDescent="0.35">
      <c r="B2452" s="1">
        <v>45760</v>
      </c>
      <c r="C2452" s="2">
        <v>8.3333333333333329E-2</v>
      </c>
      <c r="D2452">
        <v>10.5</v>
      </c>
      <c r="E2452">
        <f>IF($D2452 &gt; 16, 0, $J$3*(16 - $D2452))</f>
        <v>1142.6175348538334</v>
      </c>
      <c r="F2452">
        <f>IF($D2452 &gt; 16, 0,$E2452*$J$5)</f>
        <v>12419109.986326315</v>
      </c>
      <c r="G2452">
        <f t="shared" si="38"/>
        <v>5.5</v>
      </c>
    </row>
    <row r="2453" spans="2:7" x14ac:dyDescent="0.35">
      <c r="B2453" s="1">
        <v>45760</v>
      </c>
      <c r="C2453" s="2">
        <v>0.125</v>
      </c>
      <c r="D2453">
        <v>10.1</v>
      </c>
      <c r="E2453">
        <f>IF($D2453 &gt; 16, 0, $J$3*(16 - $D2453))</f>
        <v>1225.7169919341122</v>
      </c>
      <c r="F2453">
        <f>IF($D2453 &gt; 16, 0,$E2453*$J$5)</f>
        <v>13322317.985331865</v>
      </c>
      <c r="G2453">
        <f t="shared" si="38"/>
        <v>5.9</v>
      </c>
    </row>
    <row r="2454" spans="2:7" x14ac:dyDescent="0.35">
      <c r="B2454" s="1">
        <v>45760</v>
      </c>
      <c r="C2454" s="2">
        <v>0.16666666666666671</v>
      </c>
      <c r="D2454">
        <v>9.5</v>
      </c>
      <c r="E2454">
        <f>IF($D2454 &gt; 16, 0, $J$3*(16 - $D2454))</f>
        <v>1350.3661775545304</v>
      </c>
      <c r="F2454">
        <f>IF($D2454 &gt; 16, 0,$E2454*$J$5)</f>
        <v>14677129.983840192</v>
      </c>
      <c r="G2454">
        <f t="shared" si="38"/>
        <v>6.5</v>
      </c>
    </row>
    <row r="2455" spans="2:7" x14ac:dyDescent="0.35">
      <c r="B2455" s="1">
        <v>45760</v>
      </c>
      <c r="C2455" s="2">
        <v>0.20833333333333329</v>
      </c>
      <c r="D2455">
        <v>9.5</v>
      </c>
      <c r="E2455">
        <f>IF($D2455 &gt; 16, 0, $J$3*(16 - $D2455))</f>
        <v>1350.3661775545304</v>
      </c>
      <c r="F2455">
        <f>IF($D2455 &gt; 16, 0,$E2455*$J$5)</f>
        <v>14677129.983840192</v>
      </c>
      <c r="G2455">
        <f t="shared" si="38"/>
        <v>6.5</v>
      </c>
    </row>
    <row r="2456" spans="2:7" x14ac:dyDescent="0.35">
      <c r="B2456" s="1">
        <v>45760</v>
      </c>
      <c r="C2456" s="2">
        <v>0.25</v>
      </c>
      <c r="D2456">
        <v>11.8</v>
      </c>
      <c r="E2456">
        <f>IF($D2456 &gt; 16, 0, $J$3*(16 - $D2456))</f>
        <v>872.54429934292716</v>
      </c>
      <c r="F2456">
        <f>IF($D2456 &gt; 16, 0,$E2456*$J$5)</f>
        <v>9483683.9895582758</v>
      </c>
      <c r="G2456">
        <f t="shared" si="38"/>
        <v>4.1999999999999993</v>
      </c>
    </row>
    <row r="2457" spans="2:7" x14ac:dyDescent="0.35">
      <c r="B2457" s="1">
        <v>45760</v>
      </c>
      <c r="C2457" s="2">
        <v>0.29166666666666669</v>
      </c>
      <c r="D2457">
        <v>12</v>
      </c>
      <c r="E2457">
        <f>IF($D2457 &gt; 16, 0, $J$3*(16 - $D2457))</f>
        <v>830.99457080278796</v>
      </c>
      <c r="F2457">
        <f>IF($D2457 &gt; 16, 0,$E2457*$J$5)</f>
        <v>9032079.9900555015</v>
      </c>
      <c r="G2457">
        <f t="shared" si="38"/>
        <v>4</v>
      </c>
    </row>
    <row r="2458" spans="2:7" x14ac:dyDescent="0.35">
      <c r="B2458" s="1">
        <v>45760</v>
      </c>
      <c r="C2458" s="2">
        <v>0.33333333333333331</v>
      </c>
      <c r="D2458">
        <v>12.7</v>
      </c>
      <c r="E2458">
        <f>IF($D2458 &gt; 16, 0, $J$3*(16 - $D2458))</f>
        <v>685.57052091230025</v>
      </c>
      <c r="F2458">
        <f>IF($D2458 &gt; 16, 0,$E2458*$J$5)</f>
        <v>7451465.9917957913</v>
      </c>
      <c r="G2458">
        <f t="shared" si="38"/>
        <v>3.3000000000000007</v>
      </c>
    </row>
    <row r="2459" spans="2:7" x14ac:dyDescent="0.35">
      <c r="B2459" s="1">
        <v>45760</v>
      </c>
      <c r="C2459" s="2">
        <v>0.375</v>
      </c>
      <c r="D2459">
        <v>15.3</v>
      </c>
      <c r="E2459">
        <f>IF($D2459 &gt; 16, 0, $J$3*(16 - $D2459))</f>
        <v>145.42404989048774</v>
      </c>
      <c r="F2459">
        <f>IF($D2459 &gt; 16, 0,$E2459*$J$5)</f>
        <v>1580613.9982597113</v>
      </c>
      <c r="G2459">
        <f t="shared" si="38"/>
        <v>0.69999999999999929</v>
      </c>
    </row>
    <row r="2460" spans="2:7" x14ac:dyDescent="0.35">
      <c r="B2460" s="1">
        <v>45760</v>
      </c>
      <c r="C2460" s="2">
        <v>0.41666666666666669</v>
      </c>
      <c r="D2460">
        <v>17.5</v>
      </c>
      <c r="E2460">
        <f>IF($D2460 &gt; 16, 0, $J$3*(16 - $D2460))</f>
        <v>0</v>
      </c>
      <c r="F2460">
        <f>IF($D2460 &gt; 16, 0,$E2460*$J$5)</f>
        <v>0</v>
      </c>
      <c r="G2460">
        <f t="shared" si="38"/>
        <v>0</v>
      </c>
    </row>
    <row r="2461" spans="2:7" x14ac:dyDescent="0.35">
      <c r="B2461" s="1">
        <v>45760</v>
      </c>
      <c r="C2461" s="2">
        <v>0.45833333333333331</v>
      </c>
      <c r="D2461">
        <v>15.1</v>
      </c>
      <c r="E2461">
        <f>IF($D2461 &gt; 16, 0, $J$3*(16 - $D2461))</f>
        <v>186.97377843062736</v>
      </c>
      <c r="F2461">
        <f>IF($D2461 &gt; 16, 0,$E2461*$J$5)</f>
        <v>2032217.9977624889</v>
      </c>
      <c r="G2461">
        <f t="shared" si="38"/>
        <v>0.90000000000000036</v>
      </c>
    </row>
    <row r="2462" spans="2:7" x14ac:dyDescent="0.35">
      <c r="B2462" s="1">
        <v>45760</v>
      </c>
      <c r="C2462" s="2">
        <v>0.5</v>
      </c>
      <c r="D2462">
        <v>15.9</v>
      </c>
      <c r="E2462">
        <f>IF($D2462 &gt; 16, 0, $J$3*(16 - $D2462))</f>
        <v>20.774864270069624</v>
      </c>
      <c r="F2462">
        <f>IF($D2462 &gt; 16, 0,$E2462*$J$5)</f>
        <v>225801.99975138676</v>
      </c>
      <c r="G2462">
        <f t="shared" si="38"/>
        <v>9.9999999999999645E-2</v>
      </c>
    </row>
    <row r="2463" spans="2:7" x14ac:dyDescent="0.35">
      <c r="B2463" s="1">
        <v>45760</v>
      </c>
      <c r="C2463" s="2">
        <v>0.54166666666666663</v>
      </c>
      <c r="D2463">
        <v>14.4</v>
      </c>
      <c r="E2463">
        <f>IF($D2463 &gt; 16, 0, $J$3*(16 - $D2463))</f>
        <v>332.39782832111513</v>
      </c>
      <c r="F2463">
        <f>IF($D2463 &gt; 16, 0,$E2463*$J$5)</f>
        <v>3612831.9960222002</v>
      </c>
      <c r="G2463">
        <f t="shared" si="38"/>
        <v>1.5999999999999996</v>
      </c>
    </row>
    <row r="2464" spans="2:7" x14ac:dyDescent="0.35">
      <c r="B2464" s="1">
        <v>45760</v>
      </c>
      <c r="C2464" s="2">
        <v>0.58333333333333337</v>
      </c>
      <c r="D2464">
        <v>17.7</v>
      </c>
      <c r="E2464">
        <f>IF($D2464 &gt; 16, 0, $J$3*(16 - $D2464))</f>
        <v>0</v>
      </c>
      <c r="F2464">
        <f>IF($D2464 &gt; 16, 0,$E2464*$J$5)</f>
        <v>0</v>
      </c>
      <c r="G2464">
        <f t="shared" si="38"/>
        <v>0</v>
      </c>
    </row>
    <row r="2465" spans="2:7" x14ac:dyDescent="0.35">
      <c r="B2465" s="1">
        <v>45760</v>
      </c>
      <c r="C2465" s="2">
        <v>0.625</v>
      </c>
      <c r="D2465">
        <v>17.3</v>
      </c>
      <c r="E2465">
        <f>IF($D2465 &gt; 16, 0, $J$3*(16 - $D2465))</f>
        <v>0</v>
      </c>
      <c r="F2465">
        <f>IF($D2465 &gt; 16, 0,$E2465*$J$5)</f>
        <v>0</v>
      </c>
      <c r="G2465">
        <f t="shared" si="38"/>
        <v>0</v>
      </c>
    </row>
    <row r="2466" spans="2:7" x14ac:dyDescent="0.35">
      <c r="B2466" s="1">
        <v>45760</v>
      </c>
      <c r="C2466" s="2">
        <v>0.66666666666666663</v>
      </c>
      <c r="D2466">
        <v>15.9</v>
      </c>
      <c r="E2466">
        <f>IF($D2466 &gt; 16, 0, $J$3*(16 - $D2466))</f>
        <v>20.774864270069624</v>
      </c>
      <c r="F2466">
        <f>IF($D2466 &gt; 16, 0,$E2466*$J$5)</f>
        <v>225801.99975138676</v>
      </c>
      <c r="G2466">
        <f t="shared" si="38"/>
        <v>9.9999999999999645E-2</v>
      </c>
    </row>
    <row r="2467" spans="2:7" x14ac:dyDescent="0.35">
      <c r="B2467" s="1">
        <v>45760</v>
      </c>
      <c r="C2467" s="2">
        <v>0.70833333333333337</v>
      </c>
      <c r="D2467">
        <v>14.1</v>
      </c>
      <c r="E2467">
        <f>IF($D2467 &gt; 16, 0, $J$3*(16 - $D2467))</f>
        <v>394.72242113132438</v>
      </c>
      <c r="F2467">
        <f>IF($D2467 &gt; 16, 0,$E2467*$J$5)</f>
        <v>4290237.9952763645</v>
      </c>
      <c r="G2467">
        <f t="shared" si="38"/>
        <v>1.9000000000000004</v>
      </c>
    </row>
    <row r="2468" spans="2:7" x14ac:dyDescent="0.35">
      <c r="B2468" s="1">
        <v>45760</v>
      </c>
      <c r="C2468" s="2">
        <v>0.75</v>
      </c>
      <c r="D2468">
        <v>13.7</v>
      </c>
      <c r="E2468">
        <f>IF($D2468 &gt; 16, 0, $J$3*(16 - $D2468))</f>
        <v>477.82187821160323</v>
      </c>
      <c r="F2468">
        <f>IF($D2468 &gt; 16, 0,$E2468*$J$5)</f>
        <v>5193445.9942819159</v>
      </c>
      <c r="G2468">
        <f t="shared" si="38"/>
        <v>2.3000000000000007</v>
      </c>
    </row>
    <row r="2469" spans="2:7" x14ac:dyDescent="0.35">
      <c r="B2469" s="1">
        <v>45760</v>
      </c>
      <c r="C2469" s="2">
        <v>0.79166666666666663</v>
      </c>
      <c r="D2469">
        <v>11.8</v>
      </c>
      <c r="E2469">
        <f>IF($D2469 &gt; 16, 0, $J$3*(16 - $D2469))</f>
        <v>872.54429934292716</v>
      </c>
      <c r="F2469">
        <f>IF($D2469 &gt; 16, 0,$E2469*$J$5)</f>
        <v>9483683.9895582758</v>
      </c>
      <c r="G2469">
        <f t="shared" si="38"/>
        <v>4.1999999999999993</v>
      </c>
    </row>
    <row r="2470" spans="2:7" x14ac:dyDescent="0.35">
      <c r="B2470" s="1">
        <v>45760</v>
      </c>
      <c r="C2470" s="2">
        <v>0.83333333333333337</v>
      </c>
      <c r="D2470">
        <v>10.6</v>
      </c>
      <c r="E2470">
        <f>IF($D2470 &gt; 16, 0, $J$3*(16 - $D2470))</f>
        <v>1121.8426705837637</v>
      </c>
      <c r="F2470">
        <f>IF($D2470 &gt; 16, 0,$E2470*$J$5)</f>
        <v>12193307.986574927</v>
      </c>
      <c r="G2470">
        <f t="shared" si="38"/>
        <v>5.4</v>
      </c>
    </row>
    <row r="2471" spans="2:7" x14ac:dyDescent="0.35">
      <c r="B2471" s="1">
        <v>45760</v>
      </c>
      <c r="C2471" s="2">
        <v>0.875</v>
      </c>
      <c r="D2471">
        <v>8.4</v>
      </c>
      <c r="E2471">
        <f>IF($D2471 &gt; 16, 0, $J$3*(16 - $D2471))</f>
        <v>1578.8896845252971</v>
      </c>
      <c r="F2471">
        <f>IF($D2471 &gt; 16, 0,$E2471*$J$5)</f>
        <v>17160951.981105454</v>
      </c>
      <c r="G2471">
        <f t="shared" si="38"/>
        <v>7.6</v>
      </c>
    </row>
    <row r="2472" spans="2:7" x14ac:dyDescent="0.35">
      <c r="B2472" s="1">
        <v>45760</v>
      </c>
      <c r="C2472" s="2">
        <v>0.91666666666666663</v>
      </c>
      <c r="D2472">
        <v>8.1999999999999993</v>
      </c>
      <c r="E2472">
        <f>IF($D2472 &gt; 16, 0, $J$3*(16 - $D2472))</f>
        <v>1620.4394130654366</v>
      </c>
      <c r="F2472">
        <f>IF($D2472 &gt; 16, 0,$E2472*$J$5)</f>
        <v>17612555.980608232</v>
      </c>
      <c r="G2472">
        <f t="shared" si="38"/>
        <v>7.8000000000000007</v>
      </c>
    </row>
    <row r="2473" spans="2:7" x14ac:dyDescent="0.35">
      <c r="B2473" s="1">
        <v>45760</v>
      </c>
      <c r="C2473" s="2">
        <v>0.95833333333333337</v>
      </c>
      <c r="D2473">
        <v>7</v>
      </c>
      <c r="E2473">
        <f>IF($D2473 &gt; 16, 0, $J$3*(16 - $D2473))</f>
        <v>1869.7377843062729</v>
      </c>
      <c r="F2473">
        <f>IF($D2473 &gt; 16, 0,$E2473*$J$5)</f>
        <v>20322179.977624882</v>
      </c>
      <c r="G2473">
        <f t="shared" si="38"/>
        <v>9</v>
      </c>
    </row>
    <row r="2474" spans="2:7" x14ac:dyDescent="0.35">
      <c r="B2474" s="1">
        <v>45761</v>
      </c>
      <c r="C2474" s="2">
        <v>0</v>
      </c>
      <c r="D2474">
        <v>5.8</v>
      </c>
      <c r="E2474">
        <f>IF($D2474 &gt; 16, 0, $J$3*(16 - $D2474))</f>
        <v>2119.036155547109</v>
      </c>
      <c r="F2474">
        <f>IF($D2474 &gt; 16, 0,$E2474*$J$5)</f>
        <v>23031803.974641528</v>
      </c>
      <c r="G2474">
        <f t="shared" si="38"/>
        <v>10.199999999999999</v>
      </c>
    </row>
    <row r="2475" spans="2:7" x14ac:dyDescent="0.35">
      <c r="B2475" s="1">
        <v>45761</v>
      </c>
      <c r="C2475" s="2">
        <v>4.1666666666666657E-2</v>
      </c>
      <c r="D2475">
        <v>7.3</v>
      </c>
      <c r="E2475">
        <f>IF($D2475 &gt; 16, 0, $J$3*(16 - $D2475))</f>
        <v>1807.4131914960637</v>
      </c>
      <c r="F2475">
        <f>IF($D2475 &gt; 16, 0,$E2475*$J$5)</f>
        <v>19644773.978370719</v>
      </c>
      <c r="G2475">
        <f t="shared" si="38"/>
        <v>8.6999999999999993</v>
      </c>
    </row>
    <row r="2476" spans="2:7" x14ac:dyDescent="0.35">
      <c r="B2476" s="1">
        <v>45761</v>
      </c>
      <c r="C2476" s="2">
        <v>8.3333333333333329E-2</v>
      </c>
      <c r="D2476">
        <v>8.4</v>
      </c>
      <c r="E2476">
        <f>IF($D2476 &gt; 16, 0, $J$3*(16 - $D2476))</f>
        <v>1578.8896845252971</v>
      </c>
      <c r="F2476">
        <f>IF($D2476 &gt; 16, 0,$E2476*$J$5)</f>
        <v>17160951.981105454</v>
      </c>
      <c r="G2476">
        <f t="shared" si="38"/>
        <v>7.6</v>
      </c>
    </row>
    <row r="2477" spans="2:7" x14ac:dyDescent="0.35">
      <c r="B2477" s="1">
        <v>45761</v>
      </c>
      <c r="C2477" s="2">
        <v>0.125</v>
      </c>
      <c r="D2477">
        <v>8.9</v>
      </c>
      <c r="E2477">
        <f>IF($D2477 &gt; 16, 0, $J$3*(16 - $D2477))</f>
        <v>1475.0153631749486</v>
      </c>
      <c r="F2477">
        <f>IF($D2477 &gt; 16, 0,$E2477*$J$5)</f>
        <v>16031941.982348517</v>
      </c>
      <c r="G2477">
        <f t="shared" si="38"/>
        <v>7.1</v>
      </c>
    </row>
    <row r="2478" spans="2:7" x14ac:dyDescent="0.35">
      <c r="B2478" s="1">
        <v>45761</v>
      </c>
      <c r="C2478" s="2">
        <v>0.16666666666666671</v>
      </c>
      <c r="D2478">
        <v>8.9</v>
      </c>
      <c r="E2478">
        <f>IF($D2478 &gt; 16, 0, $J$3*(16 - $D2478))</f>
        <v>1475.0153631749486</v>
      </c>
      <c r="F2478">
        <f>IF($D2478 &gt; 16, 0,$E2478*$J$5)</f>
        <v>16031941.982348517</v>
      </c>
      <c r="G2478">
        <f t="shared" si="38"/>
        <v>7.1</v>
      </c>
    </row>
    <row r="2479" spans="2:7" x14ac:dyDescent="0.35">
      <c r="B2479" s="1">
        <v>45761</v>
      </c>
      <c r="C2479" s="2">
        <v>0.20833333333333329</v>
      </c>
      <c r="D2479">
        <v>9.3000000000000007</v>
      </c>
      <c r="E2479">
        <f>IF($D2479 &gt; 16, 0, $J$3*(16 - $D2479))</f>
        <v>1391.9159060946697</v>
      </c>
      <c r="F2479">
        <f>IF($D2479 &gt; 16, 0,$E2479*$J$5)</f>
        <v>15128733.983342964</v>
      </c>
      <c r="G2479">
        <f t="shared" si="38"/>
        <v>6.6999999999999993</v>
      </c>
    </row>
    <row r="2480" spans="2:7" x14ac:dyDescent="0.35">
      <c r="B2480" s="1">
        <v>45761</v>
      </c>
      <c r="C2480" s="2">
        <v>0.25</v>
      </c>
      <c r="D2480">
        <v>9.6999999999999993</v>
      </c>
      <c r="E2480">
        <f>IF($D2480 &gt; 16, 0, $J$3*(16 - $D2480))</f>
        <v>1308.8164490143911</v>
      </c>
      <c r="F2480">
        <f>IF($D2480 &gt; 16, 0,$E2480*$J$5)</f>
        <v>14225525.984337417</v>
      </c>
      <c r="G2480">
        <f t="shared" si="38"/>
        <v>6.3000000000000007</v>
      </c>
    </row>
    <row r="2481" spans="2:7" x14ac:dyDescent="0.35">
      <c r="B2481" s="1">
        <v>45761</v>
      </c>
      <c r="C2481" s="2">
        <v>0.29166666666666669</v>
      </c>
      <c r="D2481">
        <v>10.8</v>
      </c>
      <c r="E2481">
        <f>IF($D2481 &gt; 16, 0, $J$3*(16 - $D2481))</f>
        <v>1080.2929420436242</v>
      </c>
      <c r="F2481">
        <f>IF($D2481 &gt; 16, 0,$E2481*$J$5)</f>
        <v>11741703.987072151</v>
      </c>
      <c r="G2481">
        <f t="shared" si="38"/>
        <v>5.1999999999999993</v>
      </c>
    </row>
    <row r="2482" spans="2:7" x14ac:dyDescent="0.35">
      <c r="B2482" s="1">
        <v>45761</v>
      </c>
      <c r="C2482" s="2">
        <v>0.33333333333333331</v>
      </c>
      <c r="D2482">
        <v>12.5</v>
      </c>
      <c r="E2482">
        <f>IF($D2482 &gt; 16, 0, $J$3*(16 - $D2482))</f>
        <v>727.12024945243945</v>
      </c>
      <c r="F2482">
        <f>IF($D2482 &gt; 16, 0,$E2482*$J$5)</f>
        <v>7903069.9912985647</v>
      </c>
      <c r="G2482">
        <f t="shared" si="38"/>
        <v>3.5</v>
      </c>
    </row>
    <row r="2483" spans="2:7" x14ac:dyDescent="0.35">
      <c r="B2483" s="1">
        <v>45761</v>
      </c>
      <c r="C2483" s="2">
        <v>0.375</v>
      </c>
      <c r="D2483">
        <v>13.7</v>
      </c>
      <c r="E2483">
        <f>IF($D2483 &gt; 16, 0, $J$3*(16 - $D2483))</f>
        <v>477.82187821160323</v>
      </c>
      <c r="F2483">
        <f>IF($D2483 &gt; 16, 0,$E2483*$J$5)</f>
        <v>5193445.9942819159</v>
      </c>
      <c r="G2483">
        <f t="shared" si="38"/>
        <v>2.3000000000000007</v>
      </c>
    </row>
    <row r="2484" spans="2:7" x14ac:dyDescent="0.35">
      <c r="B2484" s="1">
        <v>45761</v>
      </c>
      <c r="C2484" s="2">
        <v>0.41666666666666669</v>
      </c>
      <c r="D2484">
        <v>14.1</v>
      </c>
      <c r="E2484">
        <f>IF($D2484 &gt; 16, 0, $J$3*(16 - $D2484))</f>
        <v>394.72242113132438</v>
      </c>
      <c r="F2484">
        <f>IF($D2484 &gt; 16, 0,$E2484*$J$5)</f>
        <v>4290237.9952763645</v>
      </c>
      <c r="G2484">
        <f t="shared" si="38"/>
        <v>1.9000000000000004</v>
      </c>
    </row>
    <row r="2485" spans="2:7" x14ac:dyDescent="0.35">
      <c r="B2485" s="1">
        <v>45761</v>
      </c>
      <c r="C2485" s="2">
        <v>0.45833333333333331</v>
      </c>
      <c r="D2485">
        <v>15.4</v>
      </c>
      <c r="E2485">
        <f>IF($D2485 &gt; 16, 0, $J$3*(16 - $D2485))</f>
        <v>124.64918562041812</v>
      </c>
      <c r="F2485">
        <f>IF($D2485 &gt; 16, 0,$E2485*$J$5)</f>
        <v>1354811.9985083246</v>
      </c>
      <c r="G2485">
        <f t="shared" si="38"/>
        <v>0.59999999999999964</v>
      </c>
    </row>
    <row r="2486" spans="2:7" x14ac:dyDescent="0.35">
      <c r="B2486" s="1">
        <v>45761</v>
      </c>
      <c r="C2486" s="2">
        <v>0.5</v>
      </c>
      <c r="D2486">
        <v>15.4</v>
      </c>
      <c r="E2486">
        <f>IF($D2486 &gt; 16, 0, $J$3*(16 - $D2486))</f>
        <v>124.64918562041812</v>
      </c>
      <c r="F2486">
        <f>IF($D2486 &gt; 16, 0,$E2486*$J$5)</f>
        <v>1354811.9985083246</v>
      </c>
      <c r="G2486">
        <f t="shared" si="38"/>
        <v>0.59999999999999964</v>
      </c>
    </row>
    <row r="2487" spans="2:7" x14ac:dyDescent="0.35">
      <c r="B2487" s="1">
        <v>45761</v>
      </c>
      <c r="C2487" s="2">
        <v>0.54166666666666663</v>
      </c>
      <c r="D2487">
        <v>15</v>
      </c>
      <c r="E2487">
        <f>IF($D2487 &gt; 16, 0, $J$3*(16 - $D2487))</f>
        <v>207.74864270069699</v>
      </c>
      <c r="F2487">
        <f>IF($D2487 &gt; 16, 0,$E2487*$J$5)</f>
        <v>2258019.9975138754</v>
      </c>
      <c r="G2487">
        <f t="shared" si="38"/>
        <v>1</v>
      </c>
    </row>
    <row r="2488" spans="2:7" x14ac:dyDescent="0.35">
      <c r="B2488" s="1">
        <v>45761</v>
      </c>
      <c r="C2488" s="2">
        <v>0.58333333333333337</v>
      </c>
      <c r="D2488">
        <v>15.2</v>
      </c>
      <c r="E2488">
        <f>IF($D2488 &gt; 16, 0, $J$3*(16 - $D2488))</f>
        <v>166.19891416055773</v>
      </c>
      <c r="F2488">
        <f>IF($D2488 &gt; 16, 0,$E2488*$J$5)</f>
        <v>1806415.998011102</v>
      </c>
      <c r="G2488">
        <f t="shared" si="38"/>
        <v>0.80000000000000071</v>
      </c>
    </row>
    <row r="2489" spans="2:7" x14ac:dyDescent="0.35">
      <c r="B2489" s="1">
        <v>45761</v>
      </c>
      <c r="C2489" s="2">
        <v>0.625</v>
      </c>
      <c r="D2489">
        <v>16.2</v>
      </c>
      <c r="E2489">
        <f>IF($D2489 &gt; 16, 0, $J$3*(16 - $D2489))</f>
        <v>0</v>
      </c>
      <c r="F2489">
        <f>IF($D2489 &gt; 16, 0,$E2489*$J$5)</f>
        <v>0</v>
      </c>
      <c r="G2489">
        <f t="shared" si="38"/>
        <v>0</v>
      </c>
    </row>
    <row r="2490" spans="2:7" x14ac:dyDescent="0.35">
      <c r="B2490" s="1">
        <v>45761</v>
      </c>
      <c r="C2490" s="2">
        <v>0.66666666666666663</v>
      </c>
      <c r="D2490">
        <v>15.3</v>
      </c>
      <c r="E2490">
        <f>IF($D2490 &gt; 16, 0, $J$3*(16 - $D2490))</f>
        <v>145.42404989048774</v>
      </c>
      <c r="F2490">
        <f>IF($D2490 &gt; 16, 0,$E2490*$J$5)</f>
        <v>1580613.9982597113</v>
      </c>
      <c r="G2490">
        <f t="shared" si="38"/>
        <v>0.69999999999999929</v>
      </c>
    </row>
    <row r="2491" spans="2:7" x14ac:dyDescent="0.35">
      <c r="B2491" s="1">
        <v>45761</v>
      </c>
      <c r="C2491" s="2">
        <v>0.70833333333333337</v>
      </c>
      <c r="D2491">
        <v>14.5</v>
      </c>
      <c r="E2491">
        <f>IF($D2491 &gt; 16, 0, $J$3*(16 - $D2491))</f>
        <v>311.62296405104547</v>
      </c>
      <c r="F2491">
        <f>IF($D2491 &gt; 16, 0,$E2491*$J$5)</f>
        <v>3387029.996270813</v>
      </c>
      <c r="G2491">
        <f t="shared" si="38"/>
        <v>1.5</v>
      </c>
    </row>
    <row r="2492" spans="2:7" x14ac:dyDescent="0.35">
      <c r="B2492" s="1">
        <v>45761</v>
      </c>
      <c r="C2492" s="2">
        <v>0.75</v>
      </c>
      <c r="D2492">
        <v>13.7</v>
      </c>
      <c r="E2492">
        <f>IF($D2492 &gt; 16, 0, $J$3*(16 - $D2492))</f>
        <v>477.82187821160323</v>
      </c>
      <c r="F2492">
        <f>IF($D2492 &gt; 16, 0,$E2492*$J$5)</f>
        <v>5193445.9942819159</v>
      </c>
      <c r="G2492">
        <f t="shared" si="38"/>
        <v>2.3000000000000007</v>
      </c>
    </row>
    <row r="2493" spans="2:7" x14ac:dyDescent="0.35">
      <c r="B2493" s="1">
        <v>45761</v>
      </c>
      <c r="C2493" s="2">
        <v>0.79166666666666663</v>
      </c>
      <c r="D2493">
        <v>12.8</v>
      </c>
      <c r="E2493">
        <f>IF($D2493 &gt; 16, 0, $J$3*(16 - $D2493))</f>
        <v>664.79565664223026</v>
      </c>
      <c r="F2493">
        <f>IF($D2493 &gt; 16, 0,$E2493*$J$5)</f>
        <v>7225663.9920444004</v>
      </c>
      <c r="G2493">
        <f t="shared" si="38"/>
        <v>3.1999999999999993</v>
      </c>
    </row>
    <row r="2494" spans="2:7" x14ac:dyDescent="0.35">
      <c r="B2494" s="1">
        <v>45761</v>
      </c>
      <c r="C2494" s="2">
        <v>0.83333333333333337</v>
      </c>
      <c r="D2494">
        <v>11.6</v>
      </c>
      <c r="E2494">
        <f>IF($D2494 &gt; 16, 0, $J$3*(16 - $D2494))</f>
        <v>914.09402788306681</v>
      </c>
      <c r="F2494">
        <f>IF($D2494 &gt; 16, 0,$E2494*$J$5)</f>
        <v>9935287.9890610538</v>
      </c>
      <c r="G2494">
        <f t="shared" si="38"/>
        <v>4.4000000000000004</v>
      </c>
    </row>
    <row r="2495" spans="2:7" x14ac:dyDescent="0.35">
      <c r="B2495" s="1">
        <v>45761</v>
      </c>
      <c r="C2495" s="2">
        <v>0.875</v>
      </c>
      <c r="D2495">
        <v>10.7</v>
      </c>
      <c r="E2495">
        <f>IF($D2495 &gt; 16, 0, $J$3*(16 - $D2495))</f>
        <v>1101.0678063136943</v>
      </c>
      <c r="F2495">
        <f>IF($D2495 &gt; 16, 0,$E2495*$J$5)</f>
        <v>11967505.986823544</v>
      </c>
      <c r="G2495">
        <f t="shared" si="38"/>
        <v>5.3000000000000007</v>
      </c>
    </row>
    <row r="2496" spans="2:7" x14ac:dyDescent="0.35">
      <c r="B2496" s="1">
        <v>45761</v>
      </c>
      <c r="C2496" s="2">
        <v>0.91666666666666663</v>
      </c>
      <c r="D2496">
        <v>10</v>
      </c>
      <c r="E2496">
        <f>IF($D2496 &gt; 16, 0, $J$3*(16 - $D2496))</f>
        <v>1246.4918562041819</v>
      </c>
      <c r="F2496">
        <f>IF($D2496 &gt; 16, 0,$E2496*$J$5)</f>
        <v>13548119.985083252</v>
      </c>
      <c r="G2496">
        <f t="shared" si="38"/>
        <v>6</v>
      </c>
    </row>
    <row r="2497" spans="2:7" x14ac:dyDescent="0.35">
      <c r="B2497" s="1">
        <v>45761</v>
      </c>
      <c r="C2497" s="2">
        <v>0.95833333333333337</v>
      </c>
      <c r="D2497">
        <v>9.8000000000000007</v>
      </c>
      <c r="E2497">
        <f>IF($D2497 &gt; 16, 0, $J$3*(16 - $D2497))</f>
        <v>1288.0415847443212</v>
      </c>
      <c r="F2497">
        <f>IF($D2497 &gt; 16, 0,$E2497*$J$5)</f>
        <v>13999723.984586027</v>
      </c>
      <c r="G2497">
        <f t="shared" si="38"/>
        <v>6.1999999999999993</v>
      </c>
    </row>
    <row r="2498" spans="2:7" x14ac:dyDescent="0.35">
      <c r="B2498" s="1">
        <v>45762</v>
      </c>
      <c r="C2498" s="2">
        <v>0</v>
      </c>
      <c r="D2498">
        <v>10.1</v>
      </c>
      <c r="E2498">
        <f>IF($D2498 &gt; 16, 0, $J$3*(16 - $D2498))</f>
        <v>1225.7169919341122</v>
      </c>
      <c r="F2498">
        <f>IF($D2498 &gt; 16, 0,$E2498*$J$5)</f>
        <v>13322317.985331865</v>
      </c>
      <c r="G2498">
        <f t="shared" si="38"/>
        <v>5.9</v>
      </c>
    </row>
    <row r="2499" spans="2:7" x14ac:dyDescent="0.35">
      <c r="B2499" s="1">
        <v>45762</v>
      </c>
      <c r="C2499" s="2">
        <v>4.1666666666666657E-2</v>
      </c>
      <c r="D2499">
        <v>10.4</v>
      </c>
      <c r="E2499">
        <f>IF($D2499 &gt; 16, 0, $J$3*(16 - $D2499))</f>
        <v>1163.392399123903</v>
      </c>
      <c r="F2499">
        <f>IF($D2499 &gt; 16, 0,$E2499*$J$5)</f>
        <v>12644911.986077702</v>
      </c>
      <c r="G2499">
        <f t="shared" ref="G2499:G2562" si="39">MAX(0, 16 - $D2499)</f>
        <v>5.6</v>
      </c>
    </row>
    <row r="2500" spans="2:7" x14ac:dyDescent="0.35">
      <c r="B2500" s="1">
        <v>45762</v>
      </c>
      <c r="C2500" s="2">
        <v>8.3333333333333329E-2</v>
      </c>
      <c r="D2500">
        <v>10.1</v>
      </c>
      <c r="E2500">
        <f>IF($D2500 &gt; 16, 0, $J$3*(16 - $D2500))</f>
        <v>1225.7169919341122</v>
      </c>
      <c r="F2500">
        <f>IF($D2500 &gt; 16, 0,$E2500*$J$5)</f>
        <v>13322317.985331865</v>
      </c>
      <c r="G2500">
        <f t="shared" si="39"/>
        <v>5.9</v>
      </c>
    </row>
    <row r="2501" spans="2:7" x14ac:dyDescent="0.35">
      <c r="B2501" s="1">
        <v>45762</v>
      </c>
      <c r="C2501" s="2">
        <v>0.125</v>
      </c>
      <c r="D2501">
        <v>11.4</v>
      </c>
      <c r="E2501">
        <f>IF($D2501 &gt; 16, 0, $J$3*(16 - $D2501))</f>
        <v>955.64375642320613</v>
      </c>
      <c r="F2501">
        <f>IF($D2501 &gt; 16, 0,$E2501*$J$5)</f>
        <v>10386891.988563828</v>
      </c>
      <c r="G2501">
        <f t="shared" si="39"/>
        <v>4.5999999999999996</v>
      </c>
    </row>
    <row r="2502" spans="2:7" x14ac:dyDescent="0.35">
      <c r="B2502" s="1">
        <v>45762</v>
      </c>
      <c r="C2502" s="2">
        <v>0.16666666666666671</v>
      </c>
      <c r="D2502">
        <v>12.3</v>
      </c>
      <c r="E2502">
        <f>IF($D2502 &gt; 16, 0, $J$3*(16 - $D2502))</f>
        <v>768.66997799257877</v>
      </c>
      <c r="F2502">
        <f>IF($D2502 &gt; 16, 0,$E2502*$J$5)</f>
        <v>8354673.990801339</v>
      </c>
      <c r="G2502">
        <f t="shared" si="39"/>
        <v>3.6999999999999993</v>
      </c>
    </row>
    <row r="2503" spans="2:7" x14ac:dyDescent="0.35">
      <c r="B2503" s="1">
        <v>45762</v>
      </c>
      <c r="C2503" s="2">
        <v>0.20833333333333329</v>
      </c>
      <c r="D2503">
        <v>12.4</v>
      </c>
      <c r="E2503">
        <f>IF($D2503 &gt; 16, 0, $J$3*(16 - $D2503))</f>
        <v>747.89511372250911</v>
      </c>
      <c r="F2503">
        <f>IF($D2503 &gt; 16, 0,$E2503*$J$5)</f>
        <v>8128871.9910499519</v>
      </c>
      <c r="G2503">
        <f t="shared" si="39"/>
        <v>3.5999999999999996</v>
      </c>
    </row>
    <row r="2504" spans="2:7" x14ac:dyDescent="0.35">
      <c r="B2504" s="1">
        <v>45762</v>
      </c>
      <c r="C2504" s="2">
        <v>0.25</v>
      </c>
      <c r="D2504">
        <v>13.2</v>
      </c>
      <c r="E2504">
        <f>IF($D2504 &gt; 16, 0, $J$3*(16 - $D2504))</f>
        <v>581.69619956195174</v>
      </c>
      <c r="F2504">
        <f>IF($D2504 &gt; 16, 0,$E2504*$J$5)</f>
        <v>6322455.9930388536</v>
      </c>
      <c r="G2504">
        <f t="shared" si="39"/>
        <v>2.8000000000000007</v>
      </c>
    </row>
    <row r="2505" spans="2:7" x14ac:dyDescent="0.35">
      <c r="B2505" s="1">
        <v>45762</v>
      </c>
      <c r="C2505" s="2">
        <v>0.29166666666666669</v>
      </c>
      <c r="D2505">
        <v>14.7</v>
      </c>
      <c r="E2505">
        <f>IF($D2505 &gt; 16, 0, $J$3*(16 - $D2505))</f>
        <v>270.07323551090622</v>
      </c>
      <c r="F2505">
        <f>IF($D2505 &gt; 16, 0,$E2505*$J$5)</f>
        <v>2935425.9967680397</v>
      </c>
      <c r="G2505">
        <f t="shared" si="39"/>
        <v>1.3000000000000007</v>
      </c>
    </row>
    <row r="2506" spans="2:7" x14ac:dyDescent="0.35">
      <c r="B2506" s="1">
        <v>45762</v>
      </c>
      <c r="C2506" s="2">
        <v>0.33333333333333331</v>
      </c>
      <c r="D2506">
        <v>16.600000000000001</v>
      </c>
      <c r="E2506">
        <f>IF($D2506 &gt; 16, 0, $J$3*(16 - $D2506))</f>
        <v>0</v>
      </c>
      <c r="F2506">
        <f>IF($D2506 &gt; 16, 0,$E2506*$J$5)</f>
        <v>0</v>
      </c>
      <c r="G2506">
        <f t="shared" si="39"/>
        <v>0</v>
      </c>
    </row>
    <row r="2507" spans="2:7" x14ac:dyDescent="0.35">
      <c r="B2507" s="1">
        <v>45762</v>
      </c>
      <c r="C2507" s="2">
        <v>0.375</v>
      </c>
      <c r="D2507">
        <v>19.2</v>
      </c>
      <c r="E2507">
        <f>IF($D2507 &gt; 16, 0, $J$3*(16 - $D2507))</f>
        <v>0</v>
      </c>
      <c r="F2507">
        <f>IF($D2507 &gt; 16, 0,$E2507*$J$5)</f>
        <v>0</v>
      </c>
      <c r="G2507">
        <f t="shared" si="39"/>
        <v>0</v>
      </c>
    </row>
    <row r="2508" spans="2:7" x14ac:dyDescent="0.35">
      <c r="B2508" s="1">
        <v>45762</v>
      </c>
      <c r="C2508" s="2">
        <v>0.41666666666666669</v>
      </c>
      <c r="D2508">
        <v>20.9</v>
      </c>
      <c r="E2508">
        <f>IF($D2508 &gt; 16, 0, $J$3*(16 - $D2508))</f>
        <v>0</v>
      </c>
      <c r="F2508">
        <f>IF($D2508 &gt; 16, 0,$E2508*$J$5)</f>
        <v>0</v>
      </c>
      <c r="G2508">
        <f t="shared" si="39"/>
        <v>0</v>
      </c>
    </row>
    <row r="2509" spans="2:7" x14ac:dyDescent="0.35">
      <c r="B2509" s="1">
        <v>45762</v>
      </c>
      <c r="C2509" s="2">
        <v>0.45833333333333331</v>
      </c>
      <c r="D2509">
        <v>22.1</v>
      </c>
      <c r="E2509">
        <f>IF($D2509 &gt; 16, 0, $J$3*(16 - $D2509))</f>
        <v>0</v>
      </c>
      <c r="F2509">
        <f>IF($D2509 &gt; 16, 0,$E2509*$J$5)</f>
        <v>0</v>
      </c>
      <c r="G2509">
        <f t="shared" si="39"/>
        <v>0</v>
      </c>
    </row>
    <row r="2510" spans="2:7" x14ac:dyDescent="0.35">
      <c r="B2510" s="1">
        <v>45762</v>
      </c>
      <c r="C2510" s="2">
        <v>0.5</v>
      </c>
      <c r="D2510">
        <v>22.8</v>
      </c>
      <c r="E2510">
        <f>IF($D2510 &gt; 16, 0, $J$3*(16 - $D2510))</f>
        <v>0</v>
      </c>
      <c r="F2510">
        <f>IF($D2510 &gt; 16, 0,$E2510*$J$5)</f>
        <v>0</v>
      </c>
      <c r="G2510">
        <f t="shared" si="39"/>
        <v>0</v>
      </c>
    </row>
    <row r="2511" spans="2:7" x14ac:dyDescent="0.35">
      <c r="B2511" s="1">
        <v>45762</v>
      </c>
      <c r="C2511" s="2">
        <v>0.54166666666666663</v>
      </c>
      <c r="D2511">
        <v>23.8</v>
      </c>
      <c r="E2511">
        <f>IF($D2511 &gt; 16, 0, $J$3*(16 - $D2511))</f>
        <v>0</v>
      </c>
      <c r="F2511">
        <f>IF($D2511 &gt; 16, 0,$E2511*$J$5)</f>
        <v>0</v>
      </c>
      <c r="G2511">
        <f t="shared" si="39"/>
        <v>0</v>
      </c>
    </row>
    <row r="2512" spans="2:7" x14ac:dyDescent="0.35">
      <c r="B2512" s="1">
        <v>45762</v>
      </c>
      <c r="C2512" s="2">
        <v>0.58333333333333337</v>
      </c>
      <c r="D2512">
        <v>22.9</v>
      </c>
      <c r="E2512">
        <f>IF($D2512 &gt; 16, 0, $J$3*(16 - $D2512))</f>
        <v>0</v>
      </c>
      <c r="F2512">
        <f>IF($D2512 &gt; 16, 0,$E2512*$J$5)</f>
        <v>0</v>
      </c>
      <c r="G2512">
        <f t="shared" si="39"/>
        <v>0</v>
      </c>
    </row>
    <row r="2513" spans="2:7" x14ac:dyDescent="0.35">
      <c r="B2513" s="1">
        <v>45762</v>
      </c>
      <c r="C2513" s="2">
        <v>0.625</v>
      </c>
      <c r="D2513">
        <v>22.4</v>
      </c>
      <c r="E2513">
        <f>IF($D2513 &gt; 16, 0, $J$3*(16 - $D2513))</f>
        <v>0</v>
      </c>
      <c r="F2513">
        <f>IF($D2513 &gt; 16, 0,$E2513*$J$5)</f>
        <v>0</v>
      </c>
      <c r="G2513">
        <f t="shared" si="39"/>
        <v>0</v>
      </c>
    </row>
    <row r="2514" spans="2:7" x14ac:dyDescent="0.35">
      <c r="B2514" s="1">
        <v>45762</v>
      </c>
      <c r="C2514" s="2">
        <v>0.66666666666666663</v>
      </c>
      <c r="D2514">
        <v>22.2</v>
      </c>
      <c r="E2514">
        <f>IF($D2514 &gt; 16, 0, $J$3*(16 - $D2514))</f>
        <v>0</v>
      </c>
      <c r="F2514">
        <f>IF($D2514 &gt; 16, 0,$E2514*$J$5)</f>
        <v>0</v>
      </c>
      <c r="G2514">
        <f t="shared" si="39"/>
        <v>0</v>
      </c>
    </row>
    <row r="2515" spans="2:7" x14ac:dyDescent="0.35">
      <c r="B2515" s="1">
        <v>45762</v>
      </c>
      <c r="C2515" s="2">
        <v>0.70833333333333337</v>
      </c>
      <c r="D2515">
        <v>21.3</v>
      </c>
      <c r="E2515">
        <f>IF($D2515 &gt; 16, 0, $J$3*(16 - $D2515))</f>
        <v>0</v>
      </c>
      <c r="F2515">
        <f>IF($D2515 &gt; 16, 0,$E2515*$J$5)</f>
        <v>0</v>
      </c>
      <c r="G2515">
        <f t="shared" si="39"/>
        <v>0</v>
      </c>
    </row>
    <row r="2516" spans="2:7" x14ac:dyDescent="0.35">
      <c r="B2516" s="1">
        <v>45762</v>
      </c>
      <c r="C2516" s="2">
        <v>0.75</v>
      </c>
      <c r="D2516">
        <v>20.100000000000001</v>
      </c>
      <c r="E2516">
        <f>IF($D2516 &gt; 16, 0, $J$3*(16 - $D2516))</f>
        <v>0</v>
      </c>
      <c r="F2516">
        <f>IF($D2516 &gt; 16, 0,$E2516*$J$5)</f>
        <v>0</v>
      </c>
      <c r="G2516">
        <f t="shared" si="39"/>
        <v>0</v>
      </c>
    </row>
    <row r="2517" spans="2:7" x14ac:dyDescent="0.35">
      <c r="B2517" s="1">
        <v>45762</v>
      </c>
      <c r="C2517" s="2">
        <v>0.79166666666666663</v>
      </c>
      <c r="D2517">
        <v>18.5</v>
      </c>
      <c r="E2517">
        <f>IF($D2517 &gt; 16, 0, $J$3*(16 - $D2517))</f>
        <v>0</v>
      </c>
      <c r="F2517">
        <f>IF($D2517 &gt; 16, 0,$E2517*$J$5)</f>
        <v>0</v>
      </c>
      <c r="G2517">
        <f t="shared" si="39"/>
        <v>0</v>
      </c>
    </row>
    <row r="2518" spans="2:7" x14ac:dyDescent="0.35">
      <c r="B2518" s="1">
        <v>45762</v>
      </c>
      <c r="C2518" s="2">
        <v>0.83333333333333337</v>
      </c>
      <c r="D2518">
        <v>18.3</v>
      </c>
      <c r="E2518">
        <f>IF($D2518 &gt; 16, 0, $J$3*(16 - $D2518))</f>
        <v>0</v>
      </c>
      <c r="F2518">
        <f>IF($D2518 &gt; 16, 0,$E2518*$J$5)</f>
        <v>0</v>
      </c>
      <c r="G2518">
        <f t="shared" si="39"/>
        <v>0</v>
      </c>
    </row>
    <row r="2519" spans="2:7" x14ac:dyDescent="0.35">
      <c r="B2519" s="1">
        <v>45762</v>
      </c>
      <c r="C2519" s="2">
        <v>0.875</v>
      </c>
      <c r="D2519">
        <v>17.3</v>
      </c>
      <c r="E2519">
        <f>IF($D2519 &gt; 16, 0, $J$3*(16 - $D2519))</f>
        <v>0</v>
      </c>
      <c r="F2519">
        <f>IF($D2519 &gt; 16, 0,$E2519*$J$5)</f>
        <v>0</v>
      </c>
      <c r="G2519">
        <f t="shared" si="39"/>
        <v>0</v>
      </c>
    </row>
    <row r="2520" spans="2:7" x14ac:dyDescent="0.35">
      <c r="B2520" s="1">
        <v>45762</v>
      </c>
      <c r="C2520" s="2">
        <v>0.91666666666666663</v>
      </c>
      <c r="D2520">
        <v>17.3</v>
      </c>
      <c r="E2520">
        <f>IF($D2520 &gt; 16, 0, $J$3*(16 - $D2520))</f>
        <v>0</v>
      </c>
      <c r="F2520">
        <f>IF($D2520 &gt; 16, 0,$E2520*$J$5)</f>
        <v>0</v>
      </c>
      <c r="G2520">
        <f t="shared" si="39"/>
        <v>0</v>
      </c>
    </row>
    <row r="2521" spans="2:7" x14ac:dyDescent="0.35">
      <c r="B2521" s="1">
        <v>45762</v>
      </c>
      <c r="C2521" s="2">
        <v>0.95833333333333337</v>
      </c>
      <c r="D2521">
        <v>16.7</v>
      </c>
      <c r="E2521">
        <f>IF($D2521 &gt; 16, 0, $J$3*(16 - $D2521))</f>
        <v>0</v>
      </c>
      <c r="F2521">
        <f>IF($D2521 &gt; 16, 0,$E2521*$J$5)</f>
        <v>0</v>
      </c>
      <c r="G2521">
        <f t="shared" si="39"/>
        <v>0</v>
      </c>
    </row>
    <row r="2522" spans="2:7" x14ac:dyDescent="0.35">
      <c r="B2522" s="1">
        <v>45763</v>
      </c>
      <c r="C2522" s="2">
        <v>0</v>
      </c>
      <c r="D2522">
        <v>16</v>
      </c>
      <c r="E2522">
        <f>IF($D2522 &gt; 16, 0, $J$3*(16 - $D2522))</f>
        <v>0</v>
      </c>
      <c r="F2522">
        <f>IF($D2522 &gt; 16, 0,$E2522*$J$5)</f>
        <v>0</v>
      </c>
      <c r="G2522">
        <f t="shared" si="39"/>
        <v>0</v>
      </c>
    </row>
    <row r="2523" spans="2:7" x14ac:dyDescent="0.35">
      <c r="B2523" s="1">
        <v>45763</v>
      </c>
      <c r="C2523" s="2">
        <v>4.1666666666666657E-2</v>
      </c>
      <c r="D2523">
        <v>15.2</v>
      </c>
      <c r="E2523">
        <f>IF($D2523 &gt; 16, 0, $J$3*(16 - $D2523))</f>
        <v>166.19891416055773</v>
      </c>
      <c r="F2523">
        <f>IF($D2523 &gt; 16, 0,$E2523*$J$5)</f>
        <v>1806415.998011102</v>
      </c>
      <c r="G2523">
        <f t="shared" si="39"/>
        <v>0.80000000000000071</v>
      </c>
    </row>
    <row r="2524" spans="2:7" x14ac:dyDescent="0.35">
      <c r="B2524" s="1">
        <v>45763</v>
      </c>
      <c r="C2524" s="2">
        <v>8.3333333333333329E-2</v>
      </c>
      <c r="D2524">
        <v>14.1</v>
      </c>
      <c r="E2524">
        <f>IF($D2524 &gt; 16, 0, $J$3*(16 - $D2524))</f>
        <v>394.72242113132438</v>
      </c>
      <c r="F2524">
        <f>IF($D2524 &gt; 16, 0,$E2524*$J$5)</f>
        <v>4290237.9952763645</v>
      </c>
      <c r="G2524">
        <f t="shared" si="39"/>
        <v>1.9000000000000004</v>
      </c>
    </row>
    <row r="2525" spans="2:7" x14ac:dyDescent="0.35">
      <c r="B2525" s="1">
        <v>45763</v>
      </c>
      <c r="C2525" s="2">
        <v>0.125</v>
      </c>
      <c r="D2525">
        <v>14.4</v>
      </c>
      <c r="E2525">
        <f>IF($D2525 &gt; 16, 0, $J$3*(16 - $D2525))</f>
        <v>332.39782832111513</v>
      </c>
      <c r="F2525">
        <f>IF($D2525 &gt; 16, 0,$E2525*$J$5)</f>
        <v>3612831.9960222002</v>
      </c>
      <c r="G2525">
        <f t="shared" si="39"/>
        <v>1.5999999999999996</v>
      </c>
    </row>
    <row r="2526" spans="2:7" x14ac:dyDescent="0.35">
      <c r="B2526" s="1">
        <v>45763</v>
      </c>
      <c r="C2526" s="2">
        <v>0.16666666666666671</v>
      </c>
      <c r="D2526">
        <v>13.2</v>
      </c>
      <c r="E2526">
        <f>IF($D2526 &gt; 16, 0, $J$3*(16 - $D2526))</f>
        <v>581.69619956195174</v>
      </c>
      <c r="F2526">
        <f>IF($D2526 &gt; 16, 0,$E2526*$J$5)</f>
        <v>6322455.9930388536</v>
      </c>
      <c r="G2526">
        <f t="shared" si="39"/>
        <v>2.8000000000000007</v>
      </c>
    </row>
    <row r="2527" spans="2:7" x14ac:dyDescent="0.35">
      <c r="B2527" s="1">
        <v>45763</v>
      </c>
      <c r="C2527" s="2">
        <v>0.20833333333333329</v>
      </c>
      <c r="D2527">
        <v>13</v>
      </c>
      <c r="E2527">
        <f>IF($D2527 &gt; 16, 0, $J$3*(16 - $D2527))</f>
        <v>623.24592810209094</v>
      </c>
      <c r="F2527">
        <f>IF($D2527 &gt; 16, 0,$E2527*$J$5)</f>
        <v>6774059.9925416261</v>
      </c>
      <c r="G2527">
        <f t="shared" si="39"/>
        <v>3</v>
      </c>
    </row>
    <row r="2528" spans="2:7" x14ac:dyDescent="0.35">
      <c r="B2528" s="1">
        <v>45763</v>
      </c>
      <c r="C2528" s="2">
        <v>0.25</v>
      </c>
      <c r="D2528">
        <v>14.1</v>
      </c>
      <c r="E2528">
        <f>IF($D2528 &gt; 16, 0, $J$3*(16 - $D2528))</f>
        <v>394.72242113132438</v>
      </c>
      <c r="F2528">
        <f>IF($D2528 &gt; 16, 0,$E2528*$J$5)</f>
        <v>4290237.9952763645</v>
      </c>
      <c r="G2528">
        <f t="shared" si="39"/>
        <v>1.9000000000000004</v>
      </c>
    </row>
    <row r="2529" spans="2:7" x14ac:dyDescent="0.35">
      <c r="B2529" s="1">
        <v>45763</v>
      </c>
      <c r="C2529" s="2">
        <v>0.29166666666666669</v>
      </c>
      <c r="D2529">
        <v>15.8</v>
      </c>
      <c r="E2529">
        <f>IF($D2529 &gt; 16, 0, $J$3*(16 - $D2529))</f>
        <v>41.549728540139249</v>
      </c>
      <c r="F2529">
        <f>IF($D2529 &gt; 16, 0,$E2529*$J$5)</f>
        <v>451603.99950277351</v>
      </c>
      <c r="G2529">
        <f t="shared" si="39"/>
        <v>0.19999999999999929</v>
      </c>
    </row>
    <row r="2530" spans="2:7" x14ac:dyDescent="0.35">
      <c r="B2530" s="1">
        <v>45763</v>
      </c>
      <c r="C2530" s="2">
        <v>0.33333333333333331</v>
      </c>
      <c r="D2530">
        <v>16.7</v>
      </c>
      <c r="E2530">
        <f>IF($D2530 &gt; 16, 0, $J$3*(16 - $D2530))</f>
        <v>0</v>
      </c>
      <c r="F2530">
        <f>IF($D2530 &gt; 16, 0,$E2530*$J$5)</f>
        <v>0</v>
      </c>
      <c r="G2530">
        <f t="shared" si="39"/>
        <v>0</v>
      </c>
    </row>
    <row r="2531" spans="2:7" x14ac:dyDescent="0.35">
      <c r="B2531" s="1">
        <v>45763</v>
      </c>
      <c r="C2531" s="2">
        <v>0.375</v>
      </c>
      <c r="D2531">
        <v>18.8</v>
      </c>
      <c r="E2531">
        <f>IF($D2531 &gt; 16, 0, $J$3*(16 - $D2531))</f>
        <v>0</v>
      </c>
      <c r="F2531">
        <f>IF($D2531 &gt; 16, 0,$E2531*$J$5)</f>
        <v>0</v>
      </c>
      <c r="G2531">
        <f t="shared" si="39"/>
        <v>0</v>
      </c>
    </row>
    <row r="2532" spans="2:7" x14ac:dyDescent="0.35">
      <c r="B2532" s="1">
        <v>45763</v>
      </c>
      <c r="C2532" s="2">
        <v>0.41666666666666669</v>
      </c>
      <c r="D2532">
        <v>18.5</v>
      </c>
      <c r="E2532">
        <f>IF($D2532 &gt; 16, 0, $J$3*(16 - $D2532))</f>
        <v>0</v>
      </c>
      <c r="F2532">
        <f>IF($D2532 &gt; 16, 0,$E2532*$J$5)</f>
        <v>0</v>
      </c>
      <c r="G2532">
        <f t="shared" si="39"/>
        <v>0</v>
      </c>
    </row>
    <row r="2533" spans="2:7" x14ac:dyDescent="0.35">
      <c r="B2533" s="1">
        <v>45763</v>
      </c>
      <c r="C2533" s="2">
        <v>0.45833333333333331</v>
      </c>
      <c r="D2533">
        <v>20.3</v>
      </c>
      <c r="E2533">
        <f>IF($D2533 &gt; 16, 0, $J$3*(16 - $D2533))</f>
        <v>0</v>
      </c>
      <c r="F2533">
        <f>IF($D2533 &gt; 16, 0,$E2533*$J$5)</f>
        <v>0</v>
      </c>
      <c r="G2533">
        <f t="shared" si="39"/>
        <v>0</v>
      </c>
    </row>
    <row r="2534" spans="2:7" x14ac:dyDescent="0.35">
      <c r="B2534" s="1">
        <v>45763</v>
      </c>
      <c r="C2534" s="2">
        <v>0.5</v>
      </c>
      <c r="D2534">
        <v>20.9</v>
      </c>
      <c r="E2534">
        <f>IF($D2534 &gt; 16, 0, $J$3*(16 - $D2534))</f>
        <v>0</v>
      </c>
      <c r="F2534">
        <f>IF($D2534 &gt; 16, 0,$E2534*$J$5)</f>
        <v>0</v>
      </c>
      <c r="G2534">
        <f t="shared" si="39"/>
        <v>0</v>
      </c>
    </row>
    <row r="2535" spans="2:7" x14ac:dyDescent="0.35">
      <c r="B2535" s="1">
        <v>45763</v>
      </c>
      <c r="C2535" s="2">
        <v>0.54166666666666663</v>
      </c>
      <c r="D2535">
        <v>22.2</v>
      </c>
      <c r="E2535">
        <f>IF($D2535 &gt; 16, 0, $J$3*(16 - $D2535))</f>
        <v>0</v>
      </c>
      <c r="F2535">
        <f>IF($D2535 &gt; 16, 0,$E2535*$J$5)</f>
        <v>0</v>
      </c>
      <c r="G2535">
        <f t="shared" si="39"/>
        <v>0</v>
      </c>
    </row>
    <row r="2536" spans="2:7" x14ac:dyDescent="0.35">
      <c r="B2536" s="1">
        <v>45763</v>
      </c>
      <c r="C2536" s="2">
        <v>0.58333333333333337</v>
      </c>
      <c r="D2536">
        <v>22.5</v>
      </c>
      <c r="E2536">
        <f>IF($D2536 &gt; 16, 0, $J$3*(16 - $D2536))</f>
        <v>0</v>
      </c>
      <c r="F2536">
        <f>IF($D2536 &gt; 16, 0,$E2536*$J$5)</f>
        <v>0</v>
      </c>
      <c r="G2536">
        <f t="shared" si="39"/>
        <v>0</v>
      </c>
    </row>
    <row r="2537" spans="2:7" x14ac:dyDescent="0.35">
      <c r="B2537" s="1">
        <v>45763</v>
      </c>
      <c r="C2537" s="2">
        <v>0.625</v>
      </c>
      <c r="D2537">
        <v>22.9</v>
      </c>
      <c r="E2537">
        <f>IF($D2537 &gt; 16, 0, $J$3*(16 - $D2537))</f>
        <v>0</v>
      </c>
      <c r="F2537">
        <f>IF($D2537 &gt; 16, 0,$E2537*$J$5)</f>
        <v>0</v>
      </c>
      <c r="G2537">
        <f t="shared" si="39"/>
        <v>0</v>
      </c>
    </row>
    <row r="2538" spans="2:7" x14ac:dyDescent="0.35">
      <c r="B2538" s="1">
        <v>45763</v>
      </c>
      <c r="C2538" s="2">
        <v>0.66666666666666663</v>
      </c>
      <c r="D2538">
        <v>22.1</v>
      </c>
      <c r="E2538">
        <f>IF($D2538 &gt; 16, 0, $J$3*(16 - $D2538))</f>
        <v>0</v>
      </c>
      <c r="F2538">
        <f>IF($D2538 &gt; 16, 0,$E2538*$J$5)</f>
        <v>0</v>
      </c>
      <c r="G2538">
        <f t="shared" si="39"/>
        <v>0</v>
      </c>
    </row>
    <row r="2539" spans="2:7" x14ac:dyDescent="0.35">
      <c r="B2539" s="1">
        <v>45763</v>
      </c>
      <c r="C2539" s="2">
        <v>0.70833333333333337</v>
      </c>
      <c r="D2539">
        <v>21.8</v>
      </c>
      <c r="E2539">
        <f>IF($D2539 &gt; 16, 0, $J$3*(16 - $D2539))</f>
        <v>0</v>
      </c>
      <c r="F2539">
        <f>IF($D2539 &gt; 16, 0,$E2539*$J$5)</f>
        <v>0</v>
      </c>
      <c r="G2539">
        <f t="shared" si="39"/>
        <v>0</v>
      </c>
    </row>
    <row r="2540" spans="2:7" x14ac:dyDescent="0.35">
      <c r="B2540" s="1">
        <v>45763</v>
      </c>
      <c r="C2540" s="2">
        <v>0.75</v>
      </c>
      <c r="D2540">
        <v>17.5</v>
      </c>
      <c r="E2540">
        <f>IF($D2540 &gt; 16, 0, $J$3*(16 - $D2540))</f>
        <v>0</v>
      </c>
      <c r="F2540">
        <f>IF($D2540 &gt; 16, 0,$E2540*$J$5)</f>
        <v>0</v>
      </c>
      <c r="G2540">
        <f t="shared" si="39"/>
        <v>0</v>
      </c>
    </row>
    <row r="2541" spans="2:7" x14ac:dyDescent="0.35">
      <c r="B2541" s="1">
        <v>45763</v>
      </c>
      <c r="C2541" s="2">
        <v>0.79166666666666663</v>
      </c>
      <c r="D2541">
        <v>15.8</v>
      </c>
      <c r="E2541">
        <f>IF($D2541 &gt; 16, 0, $J$3*(16 - $D2541))</f>
        <v>41.549728540139249</v>
      </c>
      <c r="F2541">
        <f>IF($D2541 &gt; 16, 0,$E2541*$J$5)</f>
        <v>451603.99950277351</v>
      </c>
      <c r="G2541">
        <f t="shared" si="39"/>
        <v>0.19999999999999929</v>
      </c>
    </row>
    <row r="2542" spans="2:7" x14ac:dyDescent="0.35">
      <c r="B2542" s="1">
        <v>45763</v>
      </c>
      <c r="C2542" s="2">
        <v>0.83333333333333337</v>
      </c>
      <c r="D2542">
        <v>16.3</v>
      </c>
      <c r="E2542">
        <f>IF($D2542 &gt; 16, 0, $J$3*(16 - $D2542))</f>
        <v>0</v>
      </c>
      <c r="F2542">
        <f>IF($D2542 &gt; 16, 0,$E2542*$J$5)</f>
        <v>0</v>
      </c>
      <c r="G2542">
        <f t="shared" si="39"/>
        <v>0</v>
      </c>
    </row>
    <row r="2543" spans="2:7" x14ac:dyDescent="0.35">
      <c r="B2543" s="1">
        <v>45763</v>
      </c>
      <c r="C2543" s="2">
        <v>0.875</v>
      </c>
      <c r="D2543">
        <v>13</v>
      </c>
      <c r="E2543">
        <f>IF($D2543 &gt; 16, 0, $J$3*(16 - $D2543))</f>
        <v>623.24592810209094</v>
      </c>
      <c r="F2543">
        <f>IF($D2543 &gt; 16, 0,$E2543*$J$5)</f>
        <v>6774059.9925416261</v>
      </c>
      <c r="G2543">
        <f t="shared" si="39"/>
        <v>3</v>
      </c>
    </row>
    <row r="2544" spans="2:7" x14ac:dyDescent="0.35">
      <c r="B2544" s="1">
        <v>45763</v>
      </c>
      <c r="C2544" s="2">
        <v>0.91666666666666663</v>
      </c>
      <c r="D2544">
        <v>11.6</v>
      </c>
      <c r="E2544">
        <f>IF($D2544 &gt; 16, 0, $J$3*(16 - $D2544))</f>
        <v>914.09402788306681</v>
      </c>
      <c r="F2544">
        <f>IF($D2544 &gt; 16, 0,$E2544*$J$5)</f>
        <v>9935287.9890610538</v>
      </c>
      <c r="G2544">
        <f t="shared" si="39"/>
        <v>4.4000000000000004</v>
      </c>
    </row>
    <row r="2545" spans="2:7" x14ac:dyDescent="0.35">
      <c r="B2545" s="1">
        <v>45763</v>
      </c>
      <c r="C2545" s="2">
        <v>0.95833333333333337</v>
      </c>
      <c r="D2545">
        <v>9.6999999999999993</v>
      </c>
      <c r="E2545">
        <f>IF($D2545 &gt; 16, 0, $J$3*(16 - $D2545))</f>
        <v>1308.8164490143911</v>
      </c>
      <c r="F2545">
        <f>IF($D2545 &gt; 16, 0,$E2545*$J$5)</f>
        <v>14225525.984337417</v>
      </c>
      <c r="G2545">
        <f t="shared" si="39"/>
        <v>6.3000000000000007</v>
      </c>
    </row>
    <row r="2546" spans="2:7" x14ac:dyDescent="0.35">
      <c r="B2546" s="1">
        <v>45764</v>
      </c>
      <c r="C2546" s="2">
        <v>0</v>
      </c>
      <c r="D2546">
        <v>9.3000000000000007</v>
      </c>
      <c r="E2546">
        <f>IF($D2546 &gt; 16, 0, $J$3*(16 - $D2546))</f>
        <v>1391.9159060946697</v>
      </c>
      <c r="F2546">
        <f>IF($D2546 &gt; 16, 0,$E2546*$J$5)</f>
        <v>15128733.983342964</v>
      </c>
      <c r="G2546">
        <f t="shared" si="39"/>
        <v>6.6999999999999993</v>
      </c>
    </row>
    <row r="2547" spans="2:7" x14ac:dyDescent="0.35">
      <c r="B2547" s="1">
        <v>45764</v>
      </c>
      <c r="C2547" s="2">
        <v>4.1666666666666657E-2</v>
      </c>
      <c r="D2547">
        <v>9.6</v>
      </c>
      <c r="E2547">
        <f>IF($D2547 &gt; 16, 0, $J$3*(16 - $D2547))</f>
        <v>1329.5913132844607</v>
      </c>
      <c r="F2547">
        <f>IF($D2547 &gt; 16, 0,$E2547*$J$5)</f>
        <v>14451327.984088805</v>
      </c>
      <c r="G2547">
        <f t="shared" si="39"/>
        <v>6.4</v>
      </c>
    </row>
    <row r="2548" spans="2:7" x14ac:dyDescent="0.35">
      <c r="B2548" s="1">
        <v>45764</v>
      </c>
      <c r="C2548" s="2">
        <v>8.3333333333333329E-2</v>
      </c>
      <c r="D2548">
        <v>9.4</v>
      </c>
      <c r="E2548">
        <f>IF($D2548 &gt; 16, 0, $J$3*(16 - $D2548))</f>
        <v>1371.1410418246001</v>
      </c>
      <c r="F2548">
        <f>IF($D2548 &gt; 16, 0,$E2548*$J$5)</f>
        <v>14902931.983591577</v>
      </c>
      <c r="G2548">
        <f t="shared" si="39"/>
        <v>6.6</v>
      </c>
    </row>
    <row r="2549" spans="2:7" x14ac:dyDescent="0.35">
      <c r="B2549" s="1">
        <v>45764</v>
      </c>
      <c r="C2549" s="2">
        <v>0.125</v>
      </c>
      <c r="D2549">
        <v>9</v>
      </c>
      <c r="E2549">
        <f>IF($D2549 &gt; 16, 0, $J$3*(16 - $D2549))</f>
        <v>1454.2404989048789</v>
      </c>
      <c r="F2549">
        <f>IF($D2549 &gt; 16, 0,$E2549*$J$5)</f>
        <v>15806139.982597129</v>
      </c>
      <c r="G2549">
        <f t="shared" si="39"/>
        <v>7</v>
      </c>
    </row>
    <row r="2550" spans="2:7" x14ac:dyDescent="0.35">
      <c r="B2550" s="1">
        <v>45764</v>
      </c>
      <c r="C2550" s="2">
        <v>0.16666666666666671</v>
      </c>
      <c r="D2550">
        <v>8.6999999999999993</v>
      </c>
      <c r="E2550">
        <f>IF($D2550 &gt; 16, 0, $J$3*(16 - $D2550))</f>
        <v>1516.5650917150881</v>
      </c>
      <c r="F2550">
        <f>IF($D2550 &gt; 16, 0,$E2550*$J$5)</f>
        <v>16483545.981851293</v>
      </c>
      <c r="G2550">
        <f t="shared" si="39"/>
        <v>7.3000000000000007</v>
      </c>
    </row>
    <row r="2551" spans="2:7" x14ac:dyDescent="0.35">
      <c r="B2551" s="1">
        <v>45764</v>
      </c>
      <c r="C2551" s="2">
        <v>0.20833333333333329</v>
      </c>
      <c r="D2551">
        <v>8.6999999999999993</v>
      </c>
      <c r="E2551">
        <f>IF($D2551 &gt; 16, 0, $J$3*(16 - $D2551))</f>
        <v>1516.5650917150881</v>
      </c>
      <c r="F2551">
        <f>IF($D2551 &gt; 16, 0,$E2551*$J$5)</f>
        <v>16483545.981851293</v>
      </c>
      <c r="G2551">
        <f t="shared" si="39"/>
        <v>7.3000000000000007</v>
      </c>
    </row>
    <row r="2552" spans="2:7" x14ac:dyDescent="0.35">
      <c r="B2552" s="1">
        <v>45764</v>
      </c>
      <c r="C2552" s="2">
        <v>0.25</v>
      </c>
      <c r="D2552">
        <v>8.9</v>
      </c>
      <c r="E2552">
        <f>IF($D2552 &gt; 16, 0, $J$3*(16 - $D2552))</f>
        <v>1475.0153631749486</v>
      </c>
      <c r="F2552">
        <f>IF($D2552 &gt; 16, 0,$E2552*$J$5)</f>
        <v>16031941.982348517</v>
      </c>
      <c r="G2552">
        <f t="shared" si="39"/>
        <v>7.1</v>
      </c>
    </row>
    <row r="2553" spans="2:7" x14ac:dyDescent="0.35">
      <c r="B2553" s="1">
        <v>45764</v>
      </c>
      <c r="C2553" s="2">
        <v>0.29166666666666669</v>
      </c>
      <c r="D2553">
        <v>9.1999999999999993</v>
      </c>
      <c r="E2553">
        <f>IF($D2553 &gt; 16, 0, $J$3*(16 - $D2553))</f>
        <v>1412.6907703647396</v>
      </c>
      <c r="F2553">
        <f>IF($D2553 &gt; 16, 0,$E2553*$J$5)</f>
        <v>15354535.983094355</v>
      </c>
      <c r="G2553">
        <f t="shared" si="39"/>
        <v>6.8000000000000007</v>
      </c>
    </row>
    <row r="2554" spans="2:7" x14ac:dyDescent="0.35">
      <c r="B2554" s="1">
        <v>45764</v>
      </c>
      <c r="C2554" s="2">
        <v>0.33333333333333331</v>
      </c>
      <c r="D2554">
        <v>9.3000000000000007</v>
      </c>
      <c r="E2554">
        <f>IF($D2554 &gt; 16, 0, $J$3*(16 - $D2554))</f>
        <v>1391.9159060946697</v>
      </c>
      <c r="F2554">
        <f>IF($D2554 &gt; 16, 0,$E2554*$J$5)</f>
        <v>15128733.983342964</v>
      </c>
      <c r="G2554">
        <f t="shared" si="39"/>
        <v>6.6999999999999993</v>
      </c>
    </row>
    <row r="2555" spans="2:7" x14ac:dyDescent="0.35">
      <c r="B2555" s="1">
        <v>45764</v>
      </c>
      <c r="C2555" s="2">
        <v>0.375</v>
      </c>
      <c r="D2555">
        <v>10.5</v>
      </c>
      <c r="E2555">
        <f>IF($D2555 &gt; 16, 0, $J$3*(16 - $D2555))</f>
        <v>1142.6175348538334</v>
      </c>
      <c r="F2555">
        <f>IF($D2555 &gt; 16, 0,$E2555*$J$5)</f>
        <v>12419109.986326315</v>
      </c>
      <c r="G2555">
        <f t="shared" si="39"/>
        <v>5.5</v>
      </c>
    </row>
    <row r="2556" spans="2:7" x14ac:dyDescent="0.35">
      <c r="B2556" s="1">
        <v>45764</v>
      </c>
      <c r="C2556" s="2">
        <v>0.41666666666666669</v>
      </c>
      <c r="D2556">
        <v>10.5</v>
      </c>
      <c r="E2556">
        <f>IF($D2556 &gt; 16, 0, $J$3*(16 - $D2556))</f>
        <v>1142.6175348538334</v>
      </c>
      <c r="F2556">
        <f>IF($D2556 &gt; 16, 0,$E2556*$J$5)</f>
        <v>12419109.986326315</v>
      </c>
      <c r="G2556">
        <f t="shared" si="39"/>
        <v>5.5</v>
      </c>
    </row>
    <row r="2557" spans="2:7" x14ac:dyDescent="0.35">
      <c r="B2557" s="1">
        <v>45764</v>
      </c>
      <c r="C2557" s="2">
        <v>0.45833333333333331</v>
      </c>
      <c r="D2557">
        <v>10.6</v>
      </c>
      <c r="E2557">
        <f>IF($D2557 &gt; 16, 0, $J$3*(16 - $D2557))</f>
        <v>1121.8426705837637</v>
      </c>
      <c r="F2557">
        <f>IF($D2557 &gt; 16, 0,$E2557*$J$5)</f>
        <v>12193307.986574927</v>
      </c>
      <c r="G2557">
        <f t="shared" si="39"/>
        <v>5.4</v>
      </c>
    </row>
    <row r="2558" spans="2:7" x14ac:dyDescent="0.35">
      <c r="B2558" s="1">
        <v>45764</v>
      </c>
      <c r="C2558" s="2">
        <v>0.5</v>
      </c>
      <c r="D2558">
        <v>10.6</v>
      </c>
      <c r="E2558">
        <f>IF($D2558 &gt; 16, 0, $J$3*(16 - $D2558))</f>
        <v>1121.8426705837637</v>
      </c>
      <c r="F2558">
        <f>IF($D2558 &gt; 16, 0,$E2558*$J$5)</f>
        <v>12193307.986574927</v>
      </c>
      <c r="G2558">
        <f t="shared" si="39"/>
        <v>5.4</v>
      </c>
    </row>
    <row r="2559" spans="2:7" x14ac:dyDescent="0.35">
      <c r="B2559" s="1">
        <v>45764</v>
      </c>
      <c r="C2559" s="2">
        <v>0.54166666666666663</v>
      </c>
      <c r="D2559">
        <v>10.8</v>
      </c>
      <c r="E2559">
        <f>IF($D2559 &gt; 16, 0, $J$3*(16 - $D2559))</f>
        <v>1080.2929420436242</v>
      </c>
      <c r="F2559">
        <f>IF($D2559 &gt; 16, 0,$E2559*$J$5)</f>
        <v>11741703.987072151</v>
      </c>
      <c r="G2559">
        <f t="shared" si="39"/>
        <v>5.1999999999999993</v>
      </c>
    </row>
    <row r="2560" spans="2:7" x14ac:dyDescent="0.35">
      <c r="B2560" s="1">
        <v>45764</v>
      </c>
      <c r="C2560" s="2">
        <v>0.58333333333333337</v>
      </c>
      <c r="D2560">
        <v>10.6</v>
      </c>
      <c r="E2560">
        <f>IF($D2560 &gt; 16, 0, $J$3*(16 - $D2560))</f>
        <v>1121.8426705837637</v>
      </c>
      <c r="F2560">
        <f>IF($D2560 &gt; 16, 0,$E2560*$J$5)</f>
        <v>12193307.986574927</v>
      </c>
      <c r="G2560">
        <f t="shared" si="39"/>
        <v>5.4</v>
      </c>
    </row>
    <row r="2561" spans="2:7" x14ac:dyDescent="0.35">
      <c r="B2561" s="1">
        <v>45764</v>
      </c>
      <c r="C2561" s="2">
        <v>0.625</v>
      </c>
      <c r="D2561">
        <v>10.6</v>
      </c>
      <c r="E2561">
        <f>IF($D2561 &gt; 16, 0, $J$3*(16 - $D2561))</f>
        <v>1121.8426705837637</v>
      </c>
      <c r="F2561">
        <f>IF($D2561 &gt; 16, 0,$E2561*$J$5)</f>
        <v>12193307.986574927</v>
      </c>
      <c r="G2561">
        <f t="shared" si="39"/>
        <v>5.4</v>
      </c>
    </row>
    <row r="2562" spans="2:7" x14ac:dyDescent="0.35">
      <c r="B2562" s="1">
        <v>45764</v>
      </c>
      <c r="C2562" s="2">
        <v>0.66666666666666663</v>
      </c>
      <c r="D2562">
        <v>10.4</v>
      </c>
      <c r="E2562">
        <f>IF($D2562 &gt; 16, 0, $J$3*(16 - $D2562))</f>
        <v>1163.392399123903</v>
      </c>
      <c r="F2562">
        <f>IF($D2562 &gt; 16, 0,$E2562*$J$5)</f>
        <v>12644911.986077702</v>
      </c>
      <c r="G2562">
        <f t="shared" si="39"/>
        <v>5.6</v>
      </c>
    </row>
    <row r="2563" spans="2:7" x14ac:dyDescent="0.35">
      <c r="B2563" s="1">
        <v>45764</v>
      </c>
      <c r="C2563" s="2">
        <v>0.70833333333333337</v>
      </c>
      <c r="D2563">
        <v>10.5</v>
      </c>
      <c r="E2563">
        <f>IF($D2563 &gt; 16, 0, $J$3*(16 - $D2563))</f>
        <v>1142.6175348538334</v>
      </c>
      <c r="F2563">
        <f>IF($D2563 &gt; 16, 0,$E2563*$J$5)</f>
        <v>12419109.986326315</v>
      </c>
      <c r="G2563">
        <f t="shared" ref="G2563:G2626" si="40">MAX(0, 16 - $D2563)</f>
        <v>5.5</v>
      </c>
    </row>
    <row r="2564" spans="2:7" x14ac:dyDescent="0.35">
      <c r="B2564" s="1">
        <v>45764</v>
      </c>
      <c r="C2564" s="2">
        <v>0.75</v>
      </c>
      <c r="D2564">
        <v>9.9</v>
      </c>
      <c r="E2564">
        <f>IF($D2564 &gt; 16, 0, $J$3*(16 - $D2564))</f>
        <v>1267.2667204742515</v>
      </c>
      <c r="F2564">
        <f>IF($D2564 &gt; 16, 0,$E2564*$J$5)</f>
        <v>13773921.984834639</v>
      </c>
      <c r="G2564">
        <f t="shared" si="40"/>
        <v>6.1</v>
      </c>
    </row>
    <row r="2565" spans="2:7" x14ac:dyDescent="0.35">
      <c r="B2565" s="1">
        <v>45764</v>
      </c>
      <c r="C2565" s="2">
        <v>0.79166666666666663</v>
      </c>
      <c r="D2565">
        <v>9.6</v>
      </c>
      <c r="E2565">
        <f>IF($D2565 &gt; 16, 0, $J$3*(16 - $D2565))</f>
        <v>1329.5913132844607</v>
      </c>
      <c r="F2565">
        <f>IF($D2565 &gt; 16, 0,$E2565*$J$5)</f>
        <v>14451327.984088805</v>
      </c>
      <c r="G2565">
        <f t="shared" si="40"/>
        <v>6.4</v>
      </c>
    </row>
    <row r="2566" spans="2:7" x14ac:dyDescent="0.35">
      <c r="B2566" s="1">
        <v>45764</v>
      </c>
      <c r="C2566" s="2">
        <v>0.83333333333333337</v>
      </c>
      <c r="D2566">
        <v>9.1999999999999993</v>
      </c>
      <c r="E2566">
        <f>IF($D2566 &gt; 16, 0, $J$3*(16 - $D2566))</f>
        <v>1412.6907703647396</v>
      </c>
      <c r="F2566">
        <f>IF($D2566 &gt; 16, 0,$E2566*$J$5)</f>
        <v>15354535.983094355</v>
      </c>
      <c r="G2566">
        <f t="shared" si="40"/>
        <v>6.8000000000000007</v>
      </c>
    </row>
    <row r="2567" spans="2:7" x14ac:dyDescent="0.35">
      <c r="B2567" s="1">
        <v>45764</v>
      </c>
      <c r="C2567" s="2">
        <v>0.875</v>
      </c>
      <c r="D2567">
        <v>8.8000000000000007</v>
      </c>
      <c r="E2567">
        <f>IF($D2567 &gt; 16, 0, $J$3*(16 - $D2567))</f>
        <v>1495.7902274450182</v>
      </c>
      <c r="F2567">
        <f>IF($D2567 &gt; 16, 0,$E2567*$J$5)</f>
        <v>16257743.982099904</v>
      </c>
      <c r="G2567">
        <f t="shared" si="40"/>
        <v>7.1999999999999993</v>
      </c>
    </row>
    <row r="2568" spans="2:7" x14ac:dyDescent="0.35">
      <c r="B2568" s="1">
        <v>45764</v>
      </c>
      <c r="C2568" s="2">
        <v>0.91666666666666663</v>
      </c>
      <c r="D2568">
        <v>8.6999999999999993</v>
      </c>
      <c r="E2568">
        <f>IF($D2568 &gt; 16, 0, $J$3*(16 - $D2568))</f>
        <v>1516.5650917150881</v>
      </c>
      <c r="F2568">
        <f>IF($D2568 &gt; 16, 0,$E2568*$J$5)</f>
        <v>16483545.981851293</v>
      </c>
      <c r="G2568">
        <f t="shared" si="40"/>
        <v>7.3000000000000007</v>
      </c>
    </row>
    <row r="2569" spans="2:7" x14ac:dyDescent="0.35">
      <c r="B2569" s="1">
        <v>45764</v>
      </c>
      <c r="C2569" s="2">
        <v>0.95833333333333337</v>
      </c>
      <c r="D2569">
        <v>8.6</v>
      </c>
      <c r="E2569">
        <f>IF($D2569 &gt; 16, 0, $J$3*(16 - $D2569))</f>
        <v>1537.3399559851578</v>
      </c>
      <c r="F2569">
        <f>IF($D2569 &gt; 16, 0,$E2569*$J$5)</f>
        <v>16709347.98160268</v>
      </c>
      <c r="G2569">
        <f t="shared" si="40"/>
        <v>7.4</v>
      </c>
    </row>
    <row r="2570" spans="2:7" x14ac:dyDescent="0.35">
      <c r="B2570" s="1">
        <v>45765</v>
      </c>
      <c r="C2570" s="2">
        <v>0</v>
      </c>
      <c r="D2570">
        <v>8.3000000000000007</v>
      </c>
      <c r="E2570">
        <f>IF($D2570 &gt; 16, 0, $J$3*(16 - $D2570))</f>
        <v>1599.6645487953667</v>
      </c>
      <c r="F2570">
        <f>IF($D2570 &gt; 16, 0,$E2570*$J$5)</f>
        <v>17386753.98085684</v>
      </c>
      <c r="G2570">
        <f t="shared" si="40"/>
        <v>7.6999999999999993</v>
      </c>
    </row>
    <row r="2571" spans="2:7" x14ac:dyDescent="0.35">
      <c r="B2571" s="1">
        <v>45765</v>
      </c>
      <c r="C2571" s="2">
        <v>4.1666666666666657E-2</v>
      </c>
      <c r="D2571">
        <v>8.5</v>
      </c>
      <c r="E2571">
        <f>IF($D2571 &gt; 16, 0, $J$3*(16 - $D2571))</f>
        <v>1558.1148202552274</v>
      </c>
      <c r="F2571">
        <f>IF($D2571 &gt; 16, 0,$E2571*$J$5)</f>
        <v>16935149.981354065</v>
      </c>
      <c r="G2571">
        <f t="shared" si="40"/>
        <v>7.5</v>
      </c>
    </row>
    <row r="2572" spans="2:7" x14ac:dyDescent="0.35">
      <c r="B2572" s="1">
        <v>45765</v>
      </c>
      <c r="C2572" s="2">
        <v>8.3333333333333329E-2</v>
      </c>
      <c r="D2572">
        <v>8.5</v>
      </c>
      <c r="E2572">
        <f>IF($D2572 &gt; 16, 0, $J$3*(16 - $D2572))</f>
        <v>1558.1148202552274</v>
      </c>
      <c r="F2572">
        <f>IF($D2572 &gt; 16, 0,$E2572*$J$5)</f>
        <v>16935149.981354065</v>
      </c>
      <c r="G2572">
        <f t="shared" si="40"/>
        <v>7.5</v>
      </c>
    </row>
    <row r="2573" spans="2:7" x14ac:dyDescent="0.35">
      <c r="B2573" s="1">
        <v>45765</v>
      </c>
      <c r="C2573" s="2">
        <v>0.125</v>
      </c>
      <c r="D2573">
        <v>8.4</v>
      </c>
      <c r="E2573">
        <f>IF($D2573 &gt; 16, 0, $J$3*(16 - $D2573))</f>
        <v>1578.8896845252971</v>
      </c>
      <c r="F2573">
        <f>IF($D2573 &gt; 16, 0,$E2573*$J$5)</f>
        <v>17160951.981105454</v>
      </c>
      <c r="G2573">
        <f t="shared" si="40"/>
        <v>7.6</v>
      </c>
    </row>
    <row r="2574" spans="2:7" x14ac:dyDescent="0.35">
      <c r="B2574" s="1">
        <v>45765</v>
      </c>
      <c r="C2574" s="2">
        <v>0.16666666666666671</v>
      </c>
      <c r="D2574">
        <v>8.3000000000000007</v>
      </c>
      <c r="E2574">
        <f>IF($D2574 &gt; 16, 0, $J$3*(16 - $D2574))</f>
        <v>1599.6645487953667</v>
      </c>
      <c r="F2574">
        <f>IF($D2574 &gt; 16, 0,$E2574*$J$5)</f>
        <v>17386753.98085684</v>
      </c>
      <c r="G2574">
        <f t="shared" si="40"/>
        <v>7.6999999999999993</v>
      </c>
    </row>
    <row r="2575" spans="2:7" x14ac:dyDescent="0.35">
      <c r="B2575" s="1">
        <v>45765</v>
      </c>
      <c r="C2575" s="2">
        <v>0.20833333333333329</v>
      </c>
      <c r="D2575">
        <v>8.3000000000000007</v>
      </c>
      <c r="E2575">
        <f>IF($D2575 &gt; 16, 0, $J$3*(16 - $D2575))</f>
        <v>1599.6645487953667</v>
      </c>
      <c r="F2575">
        <f>IF($D2575 &gt; 16, 0,$E2575*$J$5)</f>
        <v>17386753.98085684</v>
      </c>
      <c r="G2575">
        <f t="shared" si="40"/>
        <v>7.6999999999999993</v>
      </c>
    </row>
    <row r="2576" spans="2:7" x14ac:dyDescent="0.35">
      <c r="B2576" s="1">
        <v>45765</v>
      </c>
      <c r="C2576" s="2">
        <v>0.25</v>
      </c>
      <c r="D2576">
        <v>8</v>
      </c>
      <c r="E2576">
        <f>IF($D2576 &gt; 16, 0, $J$3*(16 - $D2576))</f>
        <v>1661.9891416055759</v>
      </c>
      <c r="F2576">
        <f>IF($D2576 &gt; 16, 0,$E2576*$J$5)</f>
        <v>18064159.980111003</v>
      </c>
      <c r="G2576">
        <f t="shared" si="40"/>
        <v>8</v>
      </c>
    </row>
    <row r="2577" spans="2:7" x14ac:dyDescent="0.35">
      <c r="B2577" s="1">
        <v>45765</v>
      </c>
      <c r="C2577" s="2">
        <v>0.29166666666666669</v>
      </c>
      <c r="D2577">
        <v>8.1</v>
      </c>
      <c r="E2577">
        <f>IF($D2577 &gt; 16, 0, $J$3*(16 - $D2577))</f>
        <v>1641.2142773355063</v>
      </c>
      <c r="F2577">
        <f>IF($D2577 &gt; 16, 0,$E2577*$J$5)</f>
        <v>17838357.980359618</v>
      </c>
      <c r="G2577">
        <f t="shared" si="40"/>
        <v>7.9</v>
      </c>
    </row>
    <row r="2578" spans="2:7" x14ac:dyDescent="0.35">
      <c r="B2578" s="1">
        <v>45765</v>
      </c>
      <c r="C2578" s="2">
        <v>0.33333333333333331</v>
      </c>
      <c r="D2578">
        <v>8</v>
      </c>
      <c r="E2578">
        <f>IF($D2578 &gt; 16, 0, $J$3*(16 - $D2578))</f>
        <v>1661.9891416055759</v>
      </c>
      <c r="F2578">
        <f>IF($D2578 &gt; 16, 0,$E2578*$J$5)</f>
        <v>18064159.980111003</v>
      </c>
      <c r="G2578">
        <f t="shared" si="40"/>
        <v>8</v>
      </c>
    </row>
    <row r="2579" spans="2:7" x14ac:dyDescent="0.35">
      <c r="B2579" s="1">
        <v>45765</v>
      </c>
      <c r="C2579" s="2">
        <v>0.375</v>
      </c>
      <c r="D2579">
        <v>7.9</v>
      </c>
      <c r="E2579">
        <f>IF($D2579 &gt; 16, 0, $J$3*(16 - $D2579))</f>
        <v>1682.7640058756456</v>
      </c>
      <c r="F2579">
        <f>IF($D2579 &gt; 16, 0,$E2579*$J$5)</f>
        <v>18289961.979862392</v>
      </c>
      <c r="G2579">
        <f t="shared" si="40"/>
        <v>8.1</v>
      </c>
    </row>
    <row r="2580" spans="2:7" x14ac:dyDescent="0.35">
      <c r="B2580" s="1">
        <v>45765</v>
      </c>
      <c r="C2580" s="2">
        <v>0.41666666666666669</v>
      </c>
      <c r="D2580">
        <v>8.3000000000000007</v>
      </c>
      <c r="E2580">
        <f>IF($D2580 &gt; 16, 0, $J$3*(16 - $D2580))</f>
        <v>1599.6645487953667</v>
      </c>
      <c r="F2580">
        <f>IF($D2580 &gt; 16, 0,$E2580*$J$5)</f>
        <v>17386753.98085684</v>
      </c>
      <c r="G2580">
        <f t="shared" si="40"/>
        <v>7.6999999999999993</v>
      </c>
    </row>
    <row r="2581" spans="2:7" x14ac:dyDescent="0.35">
      <c r="B2581" s="1">
        <v>45765</v>
      </c>
      <c r="C2581" s="2">
        <v>0.45833333333333331</v>
      </c>
      <c r="D2581">
        <v>8.6</v>
      </c>
      <c r="E2581">
        <f>IF($D2581 &gt; 16, 0, $J$3*(16 - $D2581))</f>
        <v>1537.3399559851578</v>
      </c>
      <c r="F2581">
        <f>IF($D2581 &gt; 16, 0,$E2581*$J$5)</f>
        <v>16709347.98160268</v>
      </c>
      <c r="G2581">
        <f t="shared" si="40"/>
        <v>7.4</v>
      </c>
    </row>
    <row r="2582" spans="2:7" x14ac:dyDescent="0.35">
      <c r="B2582" s="1">
        <v>45765</v>
      </c>
      <c r="C2582" s="2">
        <v>0.5</v>
      </c>
      <c r="D2582">
        <v>8.6999999999999993</v>
      </c>
      <c r="E2582">
        <f>IF($D2582 &gt; 16, 0, $J$3*(16 - $D2582))</f>
        <v>1516.5650917150881</v>
      </c>
      <c r="F2582">
        <f>IF($D2582 &gt; 16, 0,$E2582*$J$5)</f>
        <v>16483545.981851293</v>
      </c>
      <c r="G2582">
        <f t="shared" si="40"/>
        <v>7.3000000000000007</v>
      </c>
    </row>
    <row r="2583" spans="2:7" x14ac:dyDescent="0.35">
      <c r="B2583" s="1">
        <v>45765</v>
      </c>
      <c r="C2583" s="2">
        <v>0.54166666666666663</v>
      </c>
      <c r="D2583">
        <v>9.1</v>
      </c>
      <c r="E2583">
        <f>IF($D2583 &gt; 16, 0, $J$3*(16 - $D2583))</f>
        <v>1433.4656346348092</v>
      </c>
      <c r="F2583">
        <f>IF($D2583 &gt; 16, 0,$E2583*$J$5)</f>
        <v>15580337.982845742</v>
      </c>
      <c r="G2583">
        <f t="shared" si="40"/>
        <v>6.9</v>
      </c>
    </row>
    <row r="2584" spans="2:7" x14ac:dyDescent="0.35">
      <c r="B2584" s="1">
        <v>45765</v>
      </c>
      <c r="C2584" s="2">
        <v>0.58333333333333337</v>
      </c>
      <c r="D2584">
        <v>9.1</v>
      </c>
      <c r="E2584">
        <f>IF($D2584 &gt; 16, 0, $J$3*(16 - $D2584))</f>
        <v>1433.4656346348092</v>
      </c>
      <c r="F2584">
        <f>IF($D2584 &gt; 16, 0,$E2584*$J$5)</f>
        <v>15580337.982845742</v>
      </c>
      <c r="G2584">
        <f t="shared" si="40"/>
        <v>6.9</v>
      </c>
    </row>
    <row r="2585" spans="2:7" x14ac:dyDescent="0.35">
      <c r="B2585" s="1">
        <v>45765</v>
      </c>
      <c r="C2585" s="2">
        <v>0.625</v>
      </c>
      <c r="D2585">
        <v>9.5</v>
      </c>
      <c r="E2585">
        <f>IF($D2585 &gt; 16, 0, $J$3*(16 - $D2585))</f>
        <v>1350.3661775545304</v>
      </c>
      <c r="F2585">
        <f>IF($D2585 &gt; 16, 0,$E2585*$J$5)</f>
        <v>14677129.983840192</v>
      </c>
      <c r="G2585">
        <f t="shared" si="40"/>
        <v>6.5</v>
      </c>
    </row>
    <row r="2586" spans="2:7" x14ac:dyDescent="0.35">
      <c r="B2586" s="1">
        <v>45765</v>
      </c>
      <c r="C2586" s="2">
        <v>0.66666666666666663</v>
      </c>
      <c r="D2586">
        <v>9.6</v>
      </c>
      <c r="E2586">
        <f>IF($D2586 &gt; 16, 0, $J$3*(16 - $D2586))</f>
        <v>1329.5913132844607</v>
      </c>
      <c r="F2586">
        <f>IF($D2586 &gt; 16, 0,$E2586*$J$5)</f>
        <v>14451327.984088805</v>
      </c>
      <c r="G2586">
        <f t="shared" si="40"/>
        <v>6.4</v>
      </c>
    </row>
    <row r="2587" spans="2:7" x14ac:dyDescent="0.35">
      <c r="B2587" s="1">
        <v>45765</v>
      </c>
      <c r="C2587" s="2">
        <v>0.70833333333333337</v>
      </c>
      <c r="D2587">
        <v>9.4</v>
      </c>
      <c r="E2587">
        <f>IF($D2587 &gt; 16, 0, $J$3*(16 - $D2587))</f>
        <v>1371.1410418246001</v>
      </c>
      <c r="F2587">
        <f>IF($D2587 &gt; 16, 0,$E2587*$J$5)</f>
        <v>14902931.983591577</v>
      </c>
      <c r="G2587">
        <f t="shared" si="40"/>
        <v>6.6</v>
      </c>
    </row>
    <row r="2588" spans="2:7" x14ac:dyDescent="0.35">
      <c r="B2588" s="1">
        <v>45765</v>
      </c>
      <c r="C2588" s="2">
        <v>0.75</v>
      </c>
      <c r="D2588">
        <v>9.3000000000000007</v>
      </c>
      <c r="E2588">
        <f>IF($D2588 &gt; 16, 0, $J$3*(16 - $D2588))</f>
        <v>1391.9159060946697</v>
      </c>
      <c r="F2588">
        <f>IF($D2588 &gt; 16, 0,$E2588*$J$5)</f>
        <v>15128733.983342964</v>
      </c>
      <c r="G2588">
        <f t="shared" si="40"/>
        <v>6.6999999999999993</v>
      </c>
    </row>
    <row r="2589" spans="2:7" x14ac:dyDescent="0.35">
      <c r="B2589" s="1">
        <v>45765</v>
      </c>
      <c r="C2589" s="2">
        <v>0.79166666666666663</v>
      </c>
      <c r="D2589">
        <v>8.9</v>
      </c>
      <c r="E2589">
        <f>IF($D2589 &gt; 16, 0, $J$3*(16 - $D2589))</f>
        <v>1475.0153631749486</v>
      </c>
      <c r="F2589">
        <f>IF($D2589 &gt; 16, 0,$E2589*$J$5)</f>
        <v>16031941.982348517</v>
      </c>
      <c r="G2589">
        <f t="shared" si="40"/>
        <v>7.1</v>
      </c>
    </row>
    <row r="2590" spans="2:7" x14ac:dyDescent="0.35">
      <c r="B2590" s="1">
        <v>45765</v>
      </c>
      <c r="C2590" s="2">
        <v>0.83333333333333337</v>
      </c>
      <c r="D2590">
        <v>8.6999999999999993</v>
      </c>
      <c r="E2590">
        <f>IF($D2590 &gt; 16, 0, $J$3*(16 - $D2590))</f>
        <v>1516.5650917150881</v>
      </c>
      <c r="F2590">
        <f>IF($D2590 &gt; 16, 0,$E2590*$J$5)</f>
        <v>16483545.981851293</v>
      </c>
      <c r="G2590">
        <f t="shared" si="40"/>
        <v>7.3000000000000007</v>
      </c>
    </row>
    <row r="2591" spans="2:7" x14ac:dyDescent="0.35">
      <c r="B2591" s="1">
        <v>45765</v>
      </c>
      <c r="C2591" s="2">
        <v>0.875</v>
      </c>
      <c r="D2591">
        <v>8.4</v>
      </c>
      <c r="E2591">
        <f>IF($D2591 &gt; 16, 0, $J$3*(16 - $D2591))</f>
        <v>1578.8896845252971</v>
      </c>
      <c r="F2591">
        <f>IF($D2591 &gt; 16, 0,$E2591*$J$5)</f>
        <v>17160951.981105454</v>
      </c>
      <c r="G2591">
        <f t="shared" si="40"/>
        <v>7.6</v>
      </c>
    </row>
    <row r="2592" spans="2:7" x14ac:dyDescent="0.35">
      <c r="B2592" s="1">
        <v>45765</v>
      </c>
      <c r="C2592" s="2">
        <v>0.91666666666666663</v>
      </c>
      <c r="D2592">
        <v>8.1</v>
      </c>
      <c r="E2592">
        <f>IF($D2592 &gt; 16, 0, $J$3*(16 - $D2592))</f>
        <v>1641.2142773355063</v>
      </c>
      <c r="F2592">
        <f>IF($D2592 &gt; 16, 0,$E2592*$J$5)</f>
        <v>17838357.980359618</v>
      </c>
      <c r="G2592">
        <f t="shared" si="40"/>
        <v>7.9</v>
      </c>
    </row>
    <row r="2593" spans="2:7" x14ac:dyDescent="0.35">
      <c r="B2593" s="1">
        <v>45765</v>
      </c>
      <c r="C2593" s="2">
        <v>0.95833333333333337</v>
      </c>
      <c r="D2593">
        <v>8</v>
      </c>
      <c r="E2593">
        <f>IF($D2593 &gt; 16, 0, $J$3*(16 - $D2593))</f>
        <v>1661.9891416055759</v>
      </c>
      <c r="F2593">
        <f>IF($D2593 &gt; 16, 0,$E2593*$J$5)</f>
        <v>18064159.980111003</v>
      </c>
      <c r="G2593">
        <f t="shared" si="40"/>
        <v>8</v>
      </c>
    </row>
    <row r="2594" spans="2:7" x14ac:dyDescent="0.35">
      <c r="B2594" s="1">
        <v>45766</v>
      </c>
      <c r="C2594" s="2">
        <v>0</v>
      </c>
      <c r="D2594">
        <v>7.9</v>
      </c>
      <c r="E2594">
        <f>IF($D2594 &gt; 16, 0, $J$3*(16 - $D2594))</f>
        <v>1682.7640058756456</v>
      </c>
      <c r="F2594">
        <f>IF($D2594 &gt; 16, 0,$E2594*$J$5)</f>
        <v>18289961.979862392</v>
      </c>
      <c r="G2594">
        <f t="shared" si="40"/>
        <v>8.1</v>
      </c>
    </row>
    <row r="2595" spans="2:7" x14ac:dyDescent="0.35">
      <c r="B2595" s="1">
        <v>45766</v>
      </c>
      <c r="C2595" s="2">
        <v>4.1666666666666657E-2</v>
      </c>
      <c r="D2595">
        <v>7.5</v>
      </c>
      <c r="E2595">
        <f>IF($D2595 &gt; 16, 0, $J$3*(16 - $D2595))</f>
        <v>1765.8634629559244</v>
      </c>
      <c r="F2595">
        <f>IF($D2595 &gt; 16, 0,$E2595*$J$5)</f>
        <v>19193169.978867944</v>
      </c>
      <c r="G2595">
        <f t="shared" si="40"/>
        <v>8.5</v>
      </c>
    </row>
    <row r="2596" spans="2:7" x14ac:dyDescent="0.35">
      <c r="B2596" s="1">
        <v>45766</v>
      </c>
      <c r="C2596" s="2">
        <v>8.3333333333333329E-2</v>
      </c>
      <c r="D2596">
        <v>7.2</v>
      </c>
      <c r="E2596">
        <f>IF($D2596 &gt; 16, 0, $J$3*(16 - $D2596))</f>
        <v>1828.1880557661336</v>
      </c>
      <c r="F2596">
        <f>IF($D2596 &gt; 16, 0,$E2596*$J$5)</f>
        <v>19870575.978122108</v>
      </c>
      <c r="G2596">
        <f t="shared" si="40"/>
        <v>8.8000000000000007</v>
      </c>
    </row>
    <row r="2597" spans="2:7" x14ac:dyDescent="0.35">
      <c r="B2597" s="1">
        <v>45766</v>
      </c>
      <c r="C2597" s="2">
        <v>0.125</v>
      </c>
      <c r="D2597">
        <v>7</v>
      </c>
      <c r="E2597">
        <f>IF($D2597 &gt; 16, 0, $J$3*(16 - $D2597))</f>
        <v>1869.7377843062729</v>
      </c>
      <c r="F2597">
        <f>IF($D2597 &gt; 16, 0,$E2597*$J$5)</f>
        <v>20322179.977624882</v>
      </c>
      <c r="G2597">
        <f t="shared" si="40"/>
        <v>9</v>
      </c>
    </row>
    <row r="2598" spans="2:7" x14ac:dyDescent="0.35">
      <c r="B2598" s="1">
        <v>45766</v>
      </c>
      <c r="C2598" s="2">
        <v>0.16666666666666671</v>
      </c>
      <c r="D2598">
        <v>6.7</v>
      </c>
      <c r="E2598">
        <f>IF($D2598 &gt; 16, 0, $J$3*(16 - $D2598))</f>
        <v>1932.0623771164821</v>
      </c>
      <c r="F2598">
        <f>IF($D2598 &gt; 16, 0,$E2598*$J$5)</f>
        <v>20999585.976879045</v>
      </c>
      <c r="G2598">
        <f t="shared" si="40"/>
        <v>9.3000000000000007</v>
      </c>
    </row>
    <row r="2599" spans="2:7" x14ac:dyDescent="0.35">
      <c r="B2599" s="1">
        <v>45766</v>
      </c>
      <c r="C2599" s="2">
        <v>0.20833333333333329</v>
      </c>
      <c r="D2599">
        <v>6.8</v>
      </c>
      <c r="E2599">
        <f>IF($D2599 &gt; 16, 0, $J$3*(16 - $D2599))</f>
        <v>1911.2875128464123</v>
      </c>
      <c r="F2599">
        <f>IF($D2599 &gt; 16, 0,$E2599*$J$5)</f>
        <v>20773783.977127656</v>
      </c>
      <c r="G2599">
        <f t="shared" si="40"/>
        <v>9.1999999999999993</v>
      </c>
    </row>
    <row r="2600" spans="2:7" x14ac:dyDescent="0.35">
      <c r="B2600" s="1">
        <v>45766</v>
      </c>
      <c r="C2600" s="2">
        <v>0.25</v>
      </c>
      <c r="D2600">
        <v>7.1</v>
      </c>
      <c r="E2600">
        <f>IF($D2600 &gt; 16, 0, $J$3*(16 - $D2600))</f>
        <v>1848.9629200362033</v>
      </c>
      <c r="F2600">
        <f>IF($D2600 &gt; 16, 0,$E2600*$J$5)</f>
        <v>20096377.977873493</v>
      </c>
      <c r="G2600">
        <f t="shared" si="40"/>
        <v>8.9</v>
      </c>
    </row>
    <row r="2601" spans="2:7" x14ac:dyDescent="0.35">
      <c r="B2601" s="1">
        <v>45766</v>
      </c>
      <c r="C2601" s="2">
        <v>0.29166666666666669</v>
      </c>
      <c r="D2601">
        <v>7.3</v>
      </c>
      <c r="E2601">
        <f>IF($D2601 &gt; 16, 0, $J$3*(16 - $D2601))</f>
        <v>1807.4131914960637</v>
      </c>
      <c r="F2601">
        <f>IF($D2601 &gt; 16, 0,$E2601*$J$5)</f>
        <v>19644773.978370719</v>
      </c>
      <c r="G2601">
        <f t="shared" si="40"/>
        <v>8.6999999999999993</v>
      </c>
    </row>
    <row r="2602" spans="2:7" x14ac:dyDescent="0.35">
      <c r="B2602" s="1">
        <v>45766</v>
      </c>
      <c r="C2602" s="2">
        <v>0.33333333333333331</v>
      </c>
      <c r="D2602">
        <v>7.7</v>
      </c>
      <c r="E2602">
        <f>IF($D2602 &gt; 16, 0, $J$3*(16 - $D2602))</f>
        <v>1724.3137344157851</v>
      </c>
      <c r="F2602">
        <f>IF($D2602 &gt; 16, 0,$E2602*$J$5)</f>
        <v>18741565.97936517</v>
      </c>
      <c r="G2602">
        <f t="shared" si="40"/>
        <v>8.3000000000000007</v>
      </c>
    </row>
    <row r="2603" spans="2:7" x14ac:dyDescent="0.35">
      <c r="B2603" s="1">
        <v>45766</v>
      </c>
      <c r="C2603" s="2">
        <v>0.375</v>
      </c>
      <c r="D2603">
        <v>7.9</v>
      </c>
      <c r="E2603">
        <f>IF($D2603 &gt; 16, 0, $J$3*(16 - $D2603))</f>
        <v>1682.7640058756456</v>
      </c>
      <c r="F2603">
        <f>IF($D2603 &gt; 16, 0,$E2603*$J$5)</f>
        <v>18289961.979862392</v>
      </c>
      <c r="G2603">
        <f t="shared" si="40"/>
        <v>8.1</v>
      </c>
    </row>
    <row r="2604" spans="2:7" x14ac:dyDescent="0.35">
      <c r="B2604" s="1">
        <v>45766</v>
      </c>
      <c r="C2604" s="2">
        <v>0.41666666666666669</v>
      </c>
      <c r="D2604">
        <v>8</v>
      </c>
      <c r="E2604">
        <f>IF($D2604 &gt; 16, 0, $J$3*(16 - $D2604))</f>
        <v>1661.9891416055759</v>
      </c>
      <c r="F2604">
        <f>IF($D2604 &gt; 16, 0,$E2604*$J$5)</f>
        <v>18064159.980111003</v>
      </c>
      <c r="G2604">
        <f t="shared" si="40"/>
        <v>8</v>
      </c>
    </row>
    <row r="2605" spans="2:7" x14ac:dyDescent="0.35">
      <c r="B2605" s="1">
        <v>45766</v>
      </c>
      <c r="C2605" s="2">
        <v>0.45833333333333331</v>
      </c>
      <c r="D2605">
        <v>8.6999999999999993</v>
      </c>
      <c r="E2605">
        <f>IF($D2605 &gt; 16, 0, $J$3*(16 - $D2605))</f>
        <v>1516.5650917150881</v>
      </c>
      <c r="F2605">
        <f>IF($D2605 &gt; 16, 0,$E2605*$J$5)</f>
        <v>16483545.981851293</v>
      </c>
      <c r="G2605">
        <f t="shared" si="40"/>
        <v>7.3000000000000007</v>
      </c>
    </row>
    <row r="2606" spans="2:7" x14ac:dyDescent="0.35">
      <c r="B2606" s="1">
        <v>45766</v>
      </c>
      <c r="C2606" s="2">
        <v>0.5</v>
      </c>
      <c r="D2606">
        <v>8.3000000000000007</v>
      </c>
      <c r="E2606">
        <f>IF($D2606 &gt; 16, 0, $J$3*(16 - $D2606))</f>
        <v>1599.6645487953667</v>
      </c>
      <c r="F2606">
        <f>IF($D2606 &gt; 16, 0,$E2606*$J$5)</f>
        <v>17386753.98085684</v>
      </c>
      <c r="G2606">
        <f t="shared" si="40"/>
        <v>7.6999999999999993</v>
      </c>
    </row>
    <row r="2607" spans="2:7" x14ac:dyDescent="0.35">
      <c r="B2607" s="1">
        <v>45766</v>
      </c>
      <c r="C2607" s="2">
        <v>0.54166666666666663</v>
      </c>
      <c r="D2607">
        <v>8.3000000000000007</v>
      </c>
      <c r="E2607">
        <f>IF($D2607 &gt; 16, 0, $J$3*(16 - $D2607))</f>
        <v>1599.6645487953667</v>
      </c>
      <c r="F2607">
        <f>IF($D2607 &gt; 16, 0,$E2607*$J$5)</f>
        <v>17386753.98085684</v>
      </c>
      <c r="G2607">
        <f t="shared" si="40"/>
        <v>7.6999999999999993</v>
      </c>
    </row>
    <row r="2608" spans="2:7" x14ac:dyDescent="0.35">
      <c r="B2608" s="1">
        <v>45766</v>
      </c>
      <c r="C2608" s="2">
        <v>0.58333333333333337</v>
      </c>
      <c r="D2608">
        <v>8.3000000000000007</v>
      </c>
      <c r="E2608">
        <f>IF($D2608 &gt; 16, 0, $J$3*(16 - $D2608))</f>
        <v>1599.6645487953667</v>
      </c>
      <c r="F2608">
        <f>IF($D2608 &gt; 16, 0,$E2608*$J$5)</f>
        <v>17386753.98085684</v>
      </c>
      <c r="G2608">
        <f t="shared" si="40"/>
        <v>7.6999999999999993</v>
      </c>
    </row>
    <row r="2609" spans="2:7" x14ac:dyDescent="0.35">
      <c r="B2609" s="1">
        <v>45766</v>
      </c>
      <c r="C2609" s="2">
        <v>0.625</v>
      </c>
      <c r="D2609">
        <v>8.3000000000000007</v>
      </c>
      <c r="E2609">
        <f>IF($D2609 &gt; 16, 0, $J$3*(16 - $D2609))</f>
        <v>1599.6645487953667</v>
      </c>
      <c r="F2609">
        <f>IF($D2609 &gt; 16, 0,$E2609*$J$5)</f>
        <v>17386753.98085684</v>
      </c>
      <c r="G2609">
        <f t="shared" si="40"/>
        <v>7.6999999999999993</v>
      </c>
    </row>
    <row r="2610" spans="2:7" x14ac:dyDescent="0.35">
      <c r="B2610" s="1">
        <v>45766</v>
      </c>
      <c r="C2610" s="2">
        <v>0.66666666666666663</v>
      </c>
      <c r="D2610">
        <v>8.5</v>
      </c>
      <c r="E2610">
        <f>IF($D2610 &gt; 16, 0, $J$3*(16 - $D2610))</f>
        <v>1558.1148202552274</v>
      </c>
      <c r="F2610">
        <f>IF($D2610 &gt; 16, 0,$E2610*$J$5)</f>
        <v>16935149.981354065</v>
      </c>
      <c r="G2610">
        <f t="shared" si="40"/>
        <v>7.5</v>
      </c>
    </row>
    <row r="2611" spans="2:7" x14ac:dyDescent="0.35">
      <c r="B2611" s="1">
        <v>45766</v>
      </c>
      <c r="C2611" s="2">
        <v>0.70833333333333337</v>
      </c>
      <c r="D2611">
        <v>8.5</v>
      </c>
      <c r="E2611">
        <f>IF($D2611 &gt; 16, 0, $J$3*(16 - $D2611))</f>
        <v>1558.1148202552274</v>
      </c>
      <c r="F2611">
        <f>IF($D2611 &gt; 16, 0,$E2611*$J$5)</f>
        <v>16935149.981354065</v>
      </c>
      <c r="G2611">
        <f t="shared" si="40"/>
        <v>7.5</v>
      </c>
    </row>
    <row r="2612" spans="2:7" x14ac:dyDescent="0.35">
      <c r="B2612" s="1">
        <v>45766</v>
      </c>
      <c r="C2612" s="2">
        <v>0.75</v>
      </c>
      <c r="D2612">
        <v>8.3000000000000007</v>
      </c>
      <c r="E2612">
        <f>IF($D2612 &gt; 16, 0, $J$3*(16 - $D2612))</f>
        <v>1599.6645487953667</v>
      </c>
      <c r="F2612">
        <f>IF($D2612 &gt; 16, 0,$E2612*$J$5)</f>
        <v>17386753.98085684</v>
      </c>
      <c r="G2612">
        <f t="shared" si="40"/>
        <v>7.6999999999999993</v>
      </c>
    </row>
    <row r="2613" spans="2:7" x14ac:dyDescent="0.35">
      <c r="B2613" s="1">
        <v>45766</v>
      </c>
      <c r="C2613" s="2">
        <v>0.79166666666666663</v>
      </c>
      <c r="D2613">
        <v>8</v>
      </c>
      <c r="E2613">
        <f>IF($D2613 &gt; 16, 0, $J$3*(16 - $D2613))</f>
        <v>1661.9891416055759</v>
      </c>
      <c r="F2613">
        <f>IF($D2613 &gt; 16, 0,$E2613*$J$5)</f>
        <v>18064159.980111003</v>
      </c>
      <c r="G2613">
        <f t="shared" si="40"/>
        <v>8</v>
      </c>
    </row>
    <row r="2614" spans="2:7" x14ac:dyDescent="0.35">
      <c r="B2614" s="1">
        <v>45766</v>
      </c>
      <c r="C2614" s="2">
        <v>0.83333333333333337</v>
      </c>
      <c r="D2614">
        <v>7.2</v>
      </c>
      <c r="E2614">
        <f>IF($D2614 &gt; 16, 0, $J$3*(16 - $D2614))</f>
        <v>1828.1880557661336</v>
      </c>
      <c r="F2614">
        <f>IF($D2614 &gt; 16, 0,$E2614*$J$5)</f>
        <v>19870575.978122108</v>
      </c>
      <c r="G2614">
        <f t="shared" si="40"/>
        <v>8.8000000000000007</v>
      </c>
    </row>
    <row r="2615" spans="2:7" x14ac:dyDescent="0.35">
      <c r="B2615" s="1">
        <v>45766</v>
      </c>
      <c r="C2615" s="2">
        <v>0.875</v>
      </c>
      <c r="D2615">
        <v>7.2</v>
      </c>
      <c r="E2615">
        <f>IF($D2615 &gt; 16, 0, $J$3*(16 - $D2615))</f>
        <v>1828.1880557661336</v>
      </c>
      <c r="F2615">
        <f>IF($D2615 &gt; 16, 0,$E2615*$J$5)</f>
        <v>19870575.978122108</v>
      </c>
      <c r="G2615">
        <f t="shared" si="40"/>
        <v>8.8000000000000007</v>
      </c>
    </row>
    <row r="2616" spans="2:7" x14ac:dyDescent="0.35">
      <c r="B2616" s="1">
        <v>45766</v>
      </c>
      <c r="C2616" s="2">
        <v>0.91666666666666663</v>
      </c>
      <c r="D2616">
        <v>7.3</v>
      </c>
      <c r="E2616">
        <f>IF($D2616 &gt; 16, 0, $J$3*(16 - $D2616))</f>
        <v>1807.4131914960637</v>
      </c>
      <c r="F2616">
        <f>IF($D2616 &gt; 16, 0,$E2616*$J$5)</f>
        <v>19644773.978370719</v>
      </c>
      <c r="G2616">
        <f t="shared" si="40"/>
        <v>8.6999999999999993</v>
      </c>
    </row>
    <row r="2617" spans="2:7" x14ac:dyDescent="0.35">
      <c r="B2617" s="1">
        <v>45766</v>
      </c>
      <c r="C2617" s="2">
        <v>0.95833333333333337</v>
      </c>
      <c r="D2617">
        <v>7.1</v>
      </c>
      <c r="E2617">
        <f>IF($D2617 &gt; 16, 0, $J$3*(16 - $D2617))</f>
        <v>1848.9629200362033</v>
      </c>
      <c r="F2617">
        <f>IF($D2617 &gt; 16, 0,$E2617*$J$5)</f>
        <v>20096377.977873493</v>
      </c>
      <c r="G2617">
        <f t="shared" si="40"/>
        <v>8.9</v>
      </c>
    </row>
    <row r="2618" spans="2:7" x14ac:dyDescent="0.35">
      <c r="B2618" s="1">
        <v>45767</v>
      </c>
      <c r="C2618" s="2">
        <v>0</v>
      </c>
      <c r="D2618">
        <v>5.4</v>
      </c>
      <c r="E2618">
        <f>IF($D2618 &gt; 16, 0, $J$3*(16 - $D2618))</f>
        <v>2202.1356126273881</v>
      </c>
      <c r="F2618">
        <f>IF($D2618 &gt; 16, 0,$E2618*$J$5)</f>
        <v>23935011.97364708</v>
      </c>
      <c r="G2618">
        <f t="shared" si="40"/>
        <v>10.6</v>
      </c>
    </row>
    <row r="2619" spans="2:7" x14ac:dyDescent="0.35">
      <c r="B2619" s="1">
        <v>45767</v>
      </c>
      <c r="C2619" s="2">
        <v>4.1666666666666657E-2</v>
      </c>
      <c r="D2619">
        <v>4.5</v>
      </c>
      <c r="E2619">
        <f>IF($D2619 &gt; 16, 0, $J$3*(16 - $D2619))</f>
        <v>2389.1093910580153</v>
      </c>
      <c r="F2619">
        <f>IF($D2619 &gt; 16, 0,$E2619*$J$5)</f>
        <v>25967229.971409567</v>
      </c>
      <c r="G2619">
        <f t="shared" si="40"/>
        <v>11.5</v>
      </c>
    </row>
    <row r="2620" spans="2:7" x14ac:dyDescent="0.35">
      <c r="B2620" s="1">
        <v>45767</v>
      </c>
      <c r="C2620" s="2">
        <v>8.3333333333333329E-2</v>
      </c>
      <c r="D2620">
        <v>3.8</v>
      </c>
      <c r="E2620">
        <f>IF($D2620 &gt; 16, 0, $J$3*(16 - $D2620))</f>
        <v>2534.5334409485031</v>
      </c>
      <c r="F2620">
        <f>IF($D2620 &gt; 16, 0,$E2620*$J$5)</f>
        <v>27547843.969669279</v>
      </c>
      <c r="G2620">
        <f t="shared" si="40"/>
        <v>12.2</v>
      </c>
    </row>
    <row r="2621" spans="2:7" x14ac:dyDescent="0.35">
      <c r="B2621" s="1">
        <v>45767</v>
      </c>
      <c r="C2621" s="2">
        <v>0.125</v>
      </c>
      <c r="D2621">
        <v>3.5</v>
      </c>
      <c r="E2621">
        <f>IF($D2621 &gt; 16, 0, $J$3*(16 - $D2621))</f>
        <v>2596.8580337587123</v>
      </c>
      <c r="F2621">
        <f>IF($D2621 &gt; 16, 0,$E2621*$J$5)</f>
        <v>28225249.968923442</v>
      </c>
      <c r="G2621">
        <f t="shared" si="40"/>
        <v>12.5</v>
      </c>
    </row>
    <row r="2622" spans="2:7" x14ac:dyDescent="0.35">
      <c r="B2622" s="1">
        <v>45767</v>
      </c>
      <c r="C2622" s="2">
        <v>0.16666666666666671</v>
      </c>
      <c r="D2622">
        <v>4.5999999999999996</v>
      </c>
      <c r="E2622">
        <f>IF($D2622 &gt; 16, 0, $J$3*(16 - $D2622))</f>
        <v>2368.3345267879458</v>
      </c>
      <c r="F2622">
        <f>IF($D2622 &gt; 16, 0,$E2622*$J$5)</f>
        <v>25741427.971658185</v>
      </c>
      <c r="G2622">
        <f t="shared" si="40"/>
        <v>11.4</v>
      </c>
    </row>
    <row r="2623" spans="2:7" x14ac:dyDescent="0.35">
      <c r="B2623" s="1">
        <v>45767</v>
      </c>
      <c r="C2623" s="2">
        <v>0.20833333333333329</v>
      </c>
      <c r="D2623">
        <v>5.7</v>
      </c>
      <c r="E2623">
        <f>IF($D2623 &gt; 16, 0, $J$3*(16 - $D2623))</f>
        <v>2139.8110198171789</v>
      </c>
      <c r="F2623">
        <f>IF($D2623 &gt; 16, 0,$E2623*$J$5)</f>
        <v>23257605.974392917</v>
      </c>
      <c r="G2623">
        <f t="shared" si="40"/>
        <v>10.3</v>
      </c>
    </row>
    <row r="2624" spans="2:7" x14ac:dyDescent="0.35">
      <c r="B2624" s="1">
        <v>45767</v>
      </c>
      <c r="C2624" s="2">
        <v>0.25</v>
      </c>
      <c r="D2624">
        <v>6.1</v>
      </c>
      <c r="E2624">
        <f>IF($D2624 &gt; 16, 0, $J$3*(16 - $D2624))</f>
        <v>2056.7115627369003</v>
      </c>
      <c r="F2624">
        <f>IF($D2624 &gt; 16, 0,$E2624*$J$5)</f>
        <v>22354397.975387368</v>
      </c>
      <c r="G2624">
        <f t="shared" si="40"/>
        <v>9.9</v>
      </c>
    </row>
    <row r="2625" spans="2:7" x14ac:dyDescent="0.35">
      <c r="B2625" s="1">
        <v>45767</v>
      </c>
      <c r="C2625" s="2">
        <v>0.29166666666666669</v>
      </c>
      <c r="D2625">
        <v>6.2</v>
      </c>
      <c r="E2625">
        <f>IF($D2625 &gt; 16, 0, $J$3*(16 - $D2625))</f>
        <v>2035.9366984668306</v>
      </c>
      <c r="F2625">
        <f>IF($D2625 &gt; 16, 0,$E2625*$J$5)</f>
        <v>22128595.975635983</v>
      </c>
      <c r="G2625">
        <f t="shared" si="40"/>
        <v>9.8000000000000007</v>
      </c>
    </row>
    <row r="2626" spans="2:7" x14ac:dyDescent="0.35">
      <c r="B2626" s="1">
        <v>45767</v>
      </c>
      <c r="C2626" s="2">
        <v>0.33333333333333331</v>
      </c>
      <c r="D2626">
        <v>6.5</v>
      </c>
      <c r="E2626">
        <f>IF($D2626 &gt; 16, 0, $J$3*(16 - $D2626))</f>
        <v>1973.6121056566215</v>
      </c>
      <c r="F2626">
        <f>IF($D2626 &gt; 16, 0,$E2626*$J$5)</f>
        <v>21451189.97638182</v>
      </c>
      <c r="G2626">
        <f t="shared" si="40"/>
        <v>9.5</v>
      </c>
    </row>
    <row r="2627" spans="2:7" x14ac:dyDescent="0.35">
      <c r="B2627" s="1">
        <v>45767</v>
      </c>
      <c r="C2627" s="2">
        <v>0.375</v>
      </c>
      <c r="D2627">
        <v>7.1</v>
      </c>
      <c r="E2627">
        <f>IF($D2627 &gt; 16, 0, $J$3*(16 - $D2627))</f>
        <v>1848.9629200362033</v>
      </c>
      <c r="F2627">
        <f>IF($D2627 &gt; 16, 0,$E2627*$J$5)</f>
        <v>20096377.977873493</v>
      </c>
      <c r="G2627">
        <f t="shared" ref="G2627:G2690" si="41">MAX(0, 16 - $D2627)</f>
        <v>8.9</v>
      </c>
    </row>
    <row r="2628" spans="2:7" x14ac:dyDescent="0.35">
      <c r="B2628" s="1">
        <v>45767</v>
      </c>
      <c r="C2628" s="2">
        <v>0.41666666666666669</v>
      </c>
      <c r="D2628">
        <v>7.6</v>
      </c>
      <c r="E2628">
        <f>IF($D2628 &gt; 16, 0, $J$3*(16 - $D2628))</f>
        <v>1745.0885986858548</v>
      </c>
      <c r="F2628">
        <f>IF($D2628 &gt; 16, 0,$E2628*$J$5)</f>
        <v>18967367.979116555</v>
      </c>
      <c r="G2628">
        <f t="shared" si="41"/>
        <v>8.4</v>
      </c>
    </row>
    <row r="2629" spans="2:7" x14ac:dyDescent="0.35">
      <c r="B2629" s="1">
        <v>45767</v>
      </c>
      <c r="C2629" s="2">
        <v>0.45833333333333331</v>
      </c>
      <c r="D2629">
        <v>8.3000000000000007</v>
      </c>
      <c r="E2629">
        <f>IF($D2629 &gt; 16, 0, $J$3*(16 - $D2629))</f>
        <v>1599.6645487953667</v>
      </c>
      <c r="F2629">
        <f>IF($D2629 &gt; 16, 0,$E2629*$J$5)</f>
        <v>17386753.98085684</v>
      </c>
      <c r="G2629">
        <f t="shared" si="41"/>
        <v>7.6999999999999993</v>
      </c>
    </row>
    <row r="2630" spans="2:7" x14ac:dyDescent="0.35">
      <c r="B2630" s="1">
        <v>45767</v>
      </c>
      <c r="C2630" s="2">
        <v>0.5</v>
      </c>
      <c r="D2630">
        <v>9.1</v>
      </c>
      <c r="E2630">
        <f>IF($D2630 &gt; 16, 0, $J$3*(16 - $D2630))</f>
        <v>1433.4656346348092</v>
      </c>
      <c r="F2630">
        <f>IF($D2630 &gt; 16, 0,$E2630*$J$5)</f>
        <v>15580337.982845742</v>
      </c>
      <c r="G2630">
        <f t="shared" si="41"/>
        <v>6.9</v>
      </c>
    </row>
    <row r="2631" spans="2:7" x14ac:dyDescent="0.35">
      <c r="B2631" s="1">
        <v>45767</v>
      </c>
      <c r="C2631" s="2">
        <v>0.54166666666666663</v>
      </c>
      <c r="D2631">
        <v>10.9</v>
      </c>
      <c r="E2631">
        <f>IF($D2631 &gt; 16, 0, $J$3*(16 - $D2631))</f>
        <v>1059.5180777735545</v>
      </c>
      <c r="F2631">
        <f>IF($D2631 &gt; 16, 0,$E2631*$J$5)</f>
        <v>11515901.987320764</v>
      </c>
      <c r="G2631">
        <f t="shared" si="41"/>
        <v>5.0999999999999996</v>
      </c>
    </row>
    <row r="2632" spans="2:7" x14ac:dyDescent="0.35">
      <c r="B2632" s="1">
        <v>45767</v>
      </c>
      <c r="C2632" s="2">
        <v>0.58333333333333337</v>
      </c>
      <c r="D2632">
        <v>11.2</v>
      </c>
      <c r="E2632">
        <f>IF($D2632 &gt; 16, 0, $J$3*(16 - $D2632))</f>
        <v>997.19348496334567</v>
      </c>
      <c r="F2632">
        <f>IF($D2632 &gt; 16, 0,$E2632*$J$5)</f>
        <v>10838495.988066604</v>
      </c>
      <c r="G2632">
        <f t="shared" si="41"/>
        <v>4.8000000000000007</v>
      </c>
    </row>
    <row r="2633" spans="2:7" x14ac:dyDescent="0.35">
      <c r="B2633" s="1">
        <v>45767</v>
      </c>
      <c r="C2633" s="2">
        <v>0.625</v>
      </c>
      <c r="D2633">
        <v>12.2</v>
      </c>
      <c r="E2633">
        <f>IF($D2633 &gt; 16, 0, $J$3*(16 - $D2633))</f>
        <v>789.44484226264876</v>
      </c>
      <c r="F2633">
        <f>IF($D2633 &gt; 16, 0,$E2633*$J$5)</f>
        <v>8580475.990552729</v>
      </c>
      <c r="G2633">
        <f t="shared" si="41"/>
        <v>3.8000000000000007</v>
      </c>
    </row>
    <row r="2634" spans="2:7" x14ac:dyDescent="0.35">
      <c r="B2634" s="1">
        <v>45767</v>
      </c>
      <c r="C2634" s="2">
        <v>0.66666666666666663</v>
      </c>
      <c r="D2634">
        <v>12.3</v>
      </c>
      <c r="E2634">
        <f>IF($D2634 &gt; 16, 0, $J$3*(16 - $D2634))</f>
        <v>768.66997799257877</v>
      </c>
      <c r="F2634">
        <f>IF($D2634 &gt; 16, 0,$E2634*$J$5)</f>
        <v>8354673.990801339</v>
      </c>
      <c r="G2634">
        <f t="shared" si="41"/>
        <v>3.6999999999999993</v>
      </c>
    </row>
    <row r="2635" spans="2:7" x14ac:dyDescent="0.35">
      <c r="B2635" s="1">
        <v>45767</v>
      </c>
      <c r="C2635" s="2">
        <v>0.70833333333333337</v>
      </c>
      <c r="D2635">
        <v>12.1</v>
      </c>
      <c r="E2635">
        <f>IF($D2635 &gt; 16, 0, $J$3*(16 - $D2635))</f>
        <v>810.21970653271831</v>
      </c>
      <c r="F2635">
        <f>IF($D2635 &gt; 16, 0,$E2635*$J$5)</f>
        <v>8806277.9903041162</v>
      </c>
      <c r="G2635">
        <f t="shared" si="41"/>
        <v>3.9000000000000004</v>
      </c>
    </row>
    <row r="2636" spans="2:7" x14ac:dyDescent="0.35">
      <c r="B2636" s="1">
        <v>45767</v>
      </c>
      <c r="C2636" s="2">
        <v>0.75</v>
      </c>
      <c r="D2636">
        <v>10.9</v>
      </c>
      <c r="E2636">
        <f>IF($D2636 &gt; 16, 0, $J$3*(16 - $D2636))</f>
        <v>1059.5180777735545</v>
      </c>
      <c r="F2636">
        <f>IF($D2636 &gt; 16, 0,$E2636*$J$5)</f>
        <v>11515901.987320764</v>
      </c>
      <c r="G2636">
        <f t="shared" si="41"/>
        <v>5.0999999999999996</v>
      </c>
    </row>
    <row r="2637" spans="2:7" x14ac:dyDescent="0.35">
      <c r="B2637" s="1">
        <v>45767</v>
      </c>
      <c r="C2637" s="2">
        <v>0.79166666666666663</v>
      </c>
      <c r="D2637">
        <v>8.1</v>
      </c>
      <c r="E2637">
        <f>IF($D2637 &gt; 16, 0, $J$3*(16 - $D2637))</f>
        <v>1641.2142773355063</v>
      </c>
      <c r="F2637">
        <f>IF($D2637 &gt; 16, 0,$E2637*$J$5)</f>
        <v>17838357.980359618</v>
      </c>
      <c r="G2637">
        <f t="shared" si="41"/>
        <v>7.9</v>
      </c>
    </row>
    <row r="2638" spans="2:7" x14ac:dyDescent="0.35">
      <c r="B2638" s="1">
        <v>45767</v>
      </c>
      <c r="C2638" s="2">
        <v>0.83333333333333337</v>
      </c>
      <c r="D2638">
        <v>6.8</v>
      </c>
      <c r="E2638">
        <f>IF($D2638 &gt; 16, 0, $J$3*(16 - $D2638))</f>
        <v>1911.2875128464123</v>
      </c>
      <c r="F2638">
        <f>IF($D2638 &gt; 16, 0,$E2638*$J$5)</f>
        <v>20773783.977127656</v>
      </c>
      <c r="G2638">
        <f t="shared" si="41"/>
        <v>9.1999999999999993</v>
      </c>
    </row>
    <row r="2639" spans="2:7" x14ac:dyDescent="0.35">
      <c r="B2639" s="1">
        <v>45767</v>
      </c>
      <c r="C2639" s="2">
        <v>0.875</v>
      </c>
      <c r="D2639">
        <v>7.5</v>
      </c>
      <c r="E2639">
        <f>IF($D2639 &gt; 16, 0, $J$3*(16 - $D2639))</f>
        <v>1765.8634629559244</v>
      </c>
      <c r="F2639">
        <f>IF($D2639 &gt; 16, 0,$E2639*$J$5)</f>
        <v>19193169.978867944</v>
      </c>
      <c r="G2639">
        <f t="shared" si="41"/>
        <v>8.5</v>
      </c>
    </row>
    <row r="2640" spans="2:7" x14ac:dyDescent="0.35">
      <c r="B2640" s="1">
        <v>45767</v>
      </c>
      <c r="C2640" s="2">
        <v>0.91666666666666663</v>
      </c>
      <c r="D2640">
        <v>4.5999999999999996</v>
      </c>
      <c r="E2640">
        <f>IF($D2640 &gt; 16, 0, $J$3*(16 - $D2640))</f>
        <v>2368.3345267879458</v>
      </c>
      <c r="F2640">
        <f>IF($D2640 &gt; 16, 0,$E2640*$J$5)</f>
        <v>25741427.971658185</v>
      </c>
      <c r="G2640">
        <f t="shared" si="41"/>
        <v>11.4</v>
      </c>
    </row>
    <row r="2641" spans="2:7" x14ac:dyDescent="0.35">
      <c r="B2641" s="1">
        <v>45767</v>
      </c>
      <c r="C2641" s="2">
        <v>0.95833333333333337</v>
      </c>
      <c r="D2641">
        <v>4.9000000000000004</v>
      </c>
      <c r="E2641">
        <f>IF($D2641 &gt; 16, 0, $J$3*(16 - $D2641))</f>
        <v>2306.0099339777366</v>
      </c>
      <c r="F2641">
        <f>IF($D2641 &gt; 16, 0,$E2641*$J$5)</f>
        <v>25064021.972404018</v>
      </c>
      <c r="G2641">
        <f t="shared" si="41"/>
        <v>11.1</v>
      </c>
    </row>
    <row r="2642" spans="2:7" x14ac:dyDescent="0.35">
      <c r="B2642" s="1">
        <v>45768</v>
      </c>
      <c r="C2642" s="2">
        <v>0</v>
      </c>
      <c r="D2642">
        <v>4</v>
      </c>
      <c r="E2642">
        <f>IF($D2642 &gt; 16, 0, $J$3*(16 - $D2642))</f>
        <v>2492.9837124083638</v>
      </c>
      <c r="F2642">
        <f>IF($D2642 &gt; 16, 0,$E2642*$J$5)</f>
        <v>27096239.970166504</v>
      </c>
      <c r="G2642">
        <f t="shared" si="41"/>
        <v>12</v>
      </c>
    </row>
    <row r="2643" spans="2:7" x14ac:dyDescent="0.35">
      <c r="B2643" s="1">
        <v>45768</v>
      </c>
      <c r="C2643" s="2">
        <v>4.1666666666666657E-2</v>
      </c>
      <c r="D2643">
        <v>3.3</v>
      </c>
      <c r="E2643">
        <f>IF($D2643 &gt; 16, 0, $J$3*(16 - $D2643))</f>
        <v>2638.4077622988516</v>
      </c>
      <c r="F2643">
        <f>IF($D2643 &gt; 16, 0,$E2643*$J$5)</f>
        <v>28676853.968426216</v>
      </c>
      <c r="G2643">
        <f t="shared" si="41"/>
        <v>12.7</v>
      </c>
    </row>
    <row r="2644" spans="2:7" x14ac:dyDescent="0.35">
      <c r="B2644" s="1">
        <v>45768</v>
      </c>
      <c r="C2644" s="2">
        <v>8.3333333333333329E-2</v>
      </c>
      <c r="D2644">
        <v>3.3</v>
      </c>
      <c r="E2644">
        <f>IF($D2644 &gt; 16, 0, $J$3*(16 - $D2644))</f>
        <v>2638.4077622988516</v>
      </c>
      <c r="F2644">
        <f>IF($D2644 &gt; 16, 0,$E2644*$J$5)</f>
        <v>28676853.968426216</v>
      </c>
      <c r="G2644">
        <f t="shared" si="41"/>
        <v>12.7</v>
      </c>
    </row>
    <row r="2645" spans="2:7" x14ac:dyDescent="0.35">
      <c r="B2645" s="1">
        <v>45768</v>
      </c>
      <c r="C2645" s="2">
        <v>0.125</v>
      </c>
      <c r="D2645">
        <v>4.5</v>
      </c>
      <c r="E2645">
        <f>IF($D2645 &gt; 16, 0, $J$3*(16 - $D2645))</f>
        <v>2389.1093910580153</v>
      </c>
      <c r="F2645">
        <f>IF($D2645 &gt; 16, 0,$E2645*$J$5)</f>
        <v>25967229.971409567</v>
      </c>
      <c r="G2645">
        <f t="shared" si="41"/>
        <v>11.5</v>
      </c>
    </row>
    <row r="2646" spans="2:7" x14ac:dyDescent="0.35">
      <c r="B2646" s="1">
        <v>45768</v>
      </c>
      <c r="C2646" s="2">
        <v>0.16666666666666671</v>
      </c>
      <c r="D2646">
        <v>5.6</v>
      </c>
      <c r="E2646">
        <f>IF($D2646 &gt; 16, 0, $J$3*(16 - $D2646))</f>
        <v>2160.5858840872488</v>
      </c>
      <c r="F2646">
        <f>IF($D2646 &gt; 16, 0,$E2646*$J$5)</f>
        <v>23483407.974144306</v>
      </c>
      <c r="G2646">
        <f t="shared" si="41"/>
        <v>10.4</v>
      </c>
    </row>
    <row r="2647" spans="2:7" x14ac:dyDescent="0.35">
      <c r="B2647" s="1">
        <v>45768</v>
      </c>
      <c r="C2647" s="2">
        <v>0.20833333333333329</v>
      </c>
      <c r="D2647">
        <v>6.4</v>
      </c>
      <c r="E2647">
        <f>IF($D2647 &gt; 16, 0, $J$3*(16 - $D2647))</f>
        <v>1994.3869699266911</v>
      </c>
      <c r="F2647">
        <f>IF($D2647 &gt; 16, 0,$E2647*$J$5)</f>
        <v>21676991.976133205</v>
      </c>
      <c r="G2647">
        <f t="shared" si="41"/>
        <v>9.6</v>
      </c>
    </row>
    <row r="2648" spans="2:7" x14ac:dyDescent="0.35">
      <c r="B2648" s="1">
        <v>45768</v>
      </c>
      <c r="C2648" s="2">
        <v>0.25</v>
      </c>
      <c r="D2648">
        <v>7.5</v>
      </c>
      <c r="E2648">
        <f>IF($D2648 &gt; 16, 0, $J$3*(16 - $D2648))</f>
        <v>1765.8634629559244</v>
      </c>
      <c r="F2648">
        <f>IF($D2648 &gt; 16, 0,$E2648*$J$5)</f>
        <v>19193169.978867944</v>
      </c>
      <c r="G2648">
        <f t="shared" si="41"/>
        <v>8.5</v>
      </c>
    </row>
    <row r="2649" spans="2:7" x14ac:dyDescent="0.35">
      <c r="B2649" s="1">
        <v>45768</v>
      </c>
      <c r="C2649" s="2">
        <v>0.29166666666666669</v>
      </c>
      <c r="D2649">
        <v>8.3000000000000007</v>
      </c>
      <c r="E2649">
        <f>IF($D2649 &gt; 16, 0, $J$3*(16 - $D2649))</f>
        <v>1599.6645487953667</v>
      </c>
      <c r="F2649">
        <f>IF($D2649 &gt; 16, 0,$E2649*$J$5)</f>
        <v>17386753.98085684</v>
      </c>
      <c r="G2649">
        <f t="shared" si="41"/>
        <v>7.6999999999999993</v>
      </c>
    </row>
    <row r="2650" spans="2:7" x14ac:dyDescent="0.35">
      <c r="B2650" s="1">
        <v>45768</v>
      </c>
      <c r="C2650" s="2">
        <v>0.33333333333333331</v>
      </c>
      <c r="D2650">
        <v>9.5</v>
      </c>
      <c r="E2650">
        <f>IF($D2650 &gt; 16, 0, $J$3*(16 - $D2650))</f>
        <v>1350.3661775545304</v>
      </c>
      <c r="F2650">
        <f>IF($D2650 &gt; 16, 0,$E2650*$J$5)</f>
        <v>14677129.983840192</v>
      </c>
      <c r="G2650">
        <f t="shared" si="41"/>
        <v>6.5</v>
      </c>
    </row>
    <row r="2651" spans="2:7" x14ac:dyDescent="0.35">
      <c r="B2651" s="1">
        <v>45768</v>
      </c>
      <c r="C2651" s="2">
        <v>0.375</v>
      </c>
      <c r="D2651">
        <v>11.6</v>
      </c>
      <c r="E2651">
        <f>IF($D2651 &gt; 16, 0, $J$3*(16 - $D2651))</f>
        <v>914.09402788306681</v>
      </c>
      <c r="F2651">
        <f>IF($D2651 &gt; 16, 0,$E2651*$J$5)</f>
        <v>9935287.9890610538</v>
      </c>
      <c r="G2651">
        <f t="shared" si="41"/>
        <v>4.4000000000000004</v>
      </c>
    </row>
    <row r="2652" spans="2:7" x14ac:dyDescent="0.35">
      <c r="B2652" s="1">
        <v>45768</v>
      </c>
      <c r="C2652" s="2">
        <v>0.41666666666666669</v>
      </c>
      <c r="D2652">
        <v>13.1</v>
      </c>
      <c r="E2652">
        <f>IF($D2652 &gt; 16, 0, $J$3*(16 - $D2652))</f>
        <v>602.4710638320214</v>
      </c>
      <c r="F2652">
        <f>IF($D2652 &gt; 16, 0,$E2652*$J$5)</f>
        <v>6548257.9927902408</v>
      </c>
      <c r="G2652">
        <f t="shared" si="41"/>
        <v>2.9000000000000004</v>
      </c>
    </row>
    <row r="2653" spans="2:7" x14ac:dyDescent="0.35">
      <c r="B2653" s="1">
        <v>45768</v>
      </c>
      <c r="C2653" s="2">
        <v>0.45833333333333331</v>
      </c>
      <c r="D2653">
        <v>13.5</v>
      </c>
      <c r="E2653">
        <f>IF($D2653 &gt; 16, 0, $J$3*(16 - $D2653))</f>
        <v>519.37160675174243</v>
      </c>
      <c r="F2653">
        <f>IF($D2653 &gt; 16, 0,$E2653*$J$5)</f>
        <v>5645049.9937846884</v>
      </c>
      <c r="G2653">
        <f t="shared" si="41"/>
        <v>2.5</v>
      </c>
    </row>
    <row r="2654" spans="2:7" x14ac:dyDescent="0.35">
      <c r="B2654" s="1">
        <v>45768</v>
      </c>
      <c r="C2654" s="2">
        <v>0.5</v>
      </c>
      <c r="D2654">
        <v>14.5</v>
      </c>
      <c r="E2654">
        <f>IF($D2654 &gt; 16, 0, $J$3*(16 - $D2654))</f>
        <v>311.62296405104547</v>
      </c>
      <c r="F2654">
        <f>IF($D2654 &gt; 16, 0,$E2654*$J$5)</f>
        <v>3387029.996270813</v>
      </c>
      <c r="G2654">
        <f t="shared" si="41"/>
        <v>1.5</v>
      </c>
    </row>
    <row r="2655" spans="2:7" x14ac:dyDescent="0.35">
      <c r="B2655" s="1">
        <v>45768</v>
      </c>
      <c r="C2655" s="2">
        <v>0.54166666666666663</v>
      </c>
      <c r="D2655">
        <v>15</v>
      </c>
      <c r="E2655">
        <f>IF($D2655 &gt; 16, 0, $J$3*(16 - $D2655))</f>
        <v>207.74864270069699</v>
      </c>
      <c r="F2655">
        <f>IF($D2655 &gt; 16, 0,$E2655*$J$5)</f>
        <v>2258019.9975138754</v>
      </c>
      <c r="G2655">
        <f t="shared" si="41"/>
        <v>1</v>
      </c>
    </row>
    <row r="2656" spans="2:7" x14ac:dyDescent="0.35">
      <c r="B2656" s="1">
        <v>45768</v>
      </c>
      <c r="C2656" s="2">
        <v>0.58333333333333337</v>
      </c>
      <c r="D2656">
        <v>15.4</v>
      </c>
      <c r="E2656">
        <f>IF($D2656 &gt; 16, 0, $J$3*(16 - $D2656))</f>
        <v>124.64918562041812</v>
      </c>
      <c r="F2656">
        <f>IF($D2656 &gt; 16, 0,$E2656*$J$5)</f>
        <v>1354811.9985083246</v>
      </c>
      <c r="G2656">
        <f t="shared" si="41"/>
        <v>0.59999999999999964</v>
      </c>
    </row>
    <row r="2657" spans="2:7" x14ac:dyDescent="0.35">
      <c r="B2657" s="1">
        <v>45768</v>
      </c>
      <c r="C2657" s="2">
        <v>0.625</v>
      </c>
      <c r="D2657">
        <v>15.8</v>
      </c>
      <c r="E2657">
        <f>IF($D2657 &gt; 16, 0, $J$3*(16 - $D2657))</f>
        <v>41.549728540139249</v>
      </c>
      <c r="F2657">
        <f>IF($D2657 &gt; 16, 0,$E2657*$J$5)</f>
        <v>451603.99950277351</v>
      </c>
      <c r="G2657">
        <f t="shared" si="41"/>
        <v>0.19999999999999929</v>
      </c>
    </row>
    <row r="2658" spans="2:7" x14ac:dyDescent="0.35">
      <c r="B2658" s="1">
        <v>45768</v>
      </c>
      <c r="C2658" s="2">
        <v>0.66666666666666663</v>
      </c>
      <c r="D2658">
        <v>16.5</v>
      </c>
      <c r="E2658">
        <f>IF($D2658 &gt; 16, 0, $J$3*(16 - $D2658))</f>
        <v>0</v>
      </c>
      <c r="F2658">
        <f>IF($D2658 &gt; 16, 0,$E2658*$J$5)</f>
        <v>0</v>
      </c>
      <c r="G2658">
        <f t="shared" si="41"/>
        <v>0</v>
      </c>
    </row>
    <row r="2659" spans="2:7" x14ac:dyDescent="0.35">
      <c r="B2659" s="1">
        <v>45768</v>
      </c>
      <c r="C2659" s="2">
        <v>0.70833333333333337</v>
      </c>
      <c r="D2659">
        <v>16.2</v>
      </c>
      <c r="E2659">
        <f>IF($D2659 &gt; 16, 0, $J$3*(16 - $D2659))</f>
        <v>0</v>
      </c>
      <c r="F2659">
        <f>IF($D2659 &gt; 16, 0,$E2659*$J$5)</f>
        <v>0</v>
      </c>
      <c r="G2659">
        <f t="shared" si="41"/>
        <v>0</v>
      </c>
    </row>
    <row r="2660" spans="2:7" x14ac:dyDescent="0.35">
      <c r="B2660" s="1">
        <v>45768</v>
      </c>
      <c r="C2660" s="2">
        <v>0.75</v>
      </c>
      <c r="D2660">
        <v>15</v>
      </c>
      <c r="E2660">
        <f>IF($D2660 &gt; 16, 0, $J$3*(16 - $D2660))</f>
        <v>207.74864270069699</v>
      </c>
      <c r="F2660">
        <f>IF($D2660 &gt; 16, 0,$E2660*$J$5)</f>
        <v>2258019.9975138754</v>
      </c>
      <c r="G2660">
        <f t="shared" si="41"/>
        <v>1</v>
      </c>
    </row>
    <row r="2661" spans="2:7" x14ac:dyDescent="0.35">
      <c r="B2661" s="1">
        <v>45768</v>
      </c>
      <c r="C2661" s="2">
        <v>0.79166666666666663</v>
      </c>
      <c r="D2661">
        <v>12.3</v>
      </c>
      <c r="E2661">
        <f>IF($D2661 &gt; 16, 0, $J$3*(16 - $D2661))</f>
        <v>768.66997799257877</v>
      </c>
      <c r="F2661">
        <f>IF($D2661 &gt; 16, 0,$E2661*$J$5)</f>
        <v>8354673.990801339</v>
      </c>
      <c r="G2661">
        <f t="shared" si="41"/>
        <v>3.6999999999999993</v>
      </c>
    </row>
    <row r="2662" spans="2:7" x14ac:dyDescent="0.35">
      <c r="B2662" s="1">
        <v>45768</v>
      </c>
      <c r="C2662" s="2">
        <v>0.83333333333333337</v>
      </c>
      <c r="D2662">
        <v>12</v>
      </c>
      <c r="E2662">
        <f>IF($D2662 &gt; 16, 0, $J$3*(16 - $D2662))</f>
        <v>830.99457080278796</v>
      </c>
      <c r="F2662">
        <f>IF($D2662 &gt; 16, 0,$E2662*$J$5)</f>
        <v>9032079.9900555015</v>
      </c>
      <c r="G2662">
        <f t="shared" si="41"/>
        <v>4</v>
      </c>
    </row>
    <row r="2663" spans="2:7" x14ac:dyDescent="0.35">
      <c r="B2663" s="1">
        <v>45768</v>
      </c>
      <c r="C2663" s="2">
        <v>0.875</v>
      </c>
      <c r="D2663">
        <v>12.3</v>
      </c>
      <c r="E2663">
        <f>IF($D2663 &gt; 16, 0, $J$3*(16 - $D2663))</f>
        <v>768.66997799257877</v>
      </c>
      <c r="F2663">
        <f>IF($D2663 &gt; 16, 0,$E2663*$J$5)</f>
        <v>8354673.990801339</v>
      </c>
      <c r="G2663">
        <f t="shared" si="41"/>
        <v>3.6999999999999993</v>
      </c>
    </row>
    <row r="2664" spans="2:7" x14ac:dyDescent="0.35">
      <c r="B2664" s="1">
        <v>45768</v>
      </c>
      <c r="C2664" s="2">
        <v>0.91666666666666663</v>
      </c>
      <c r="D2664">
        <v>11.8</v>
      </c>
      <c r="E2664">
        <f>IF($D2664 &gt; 16, 0, $J$3*(16 - $D2664))</f>
        <v>872.54429934292716</v>
      </c>
      <c r="F2664">
        <f>IF($D2664 &gt; 16, 0,$E2664*$J$5)</f>
        <v>9483683.9895582758</v>
      </c>
      <c r="G2664">
        <f t="shared" si="41"/>
        <v>4.1999999999999993</v>
      </c>
    </row>
    <row r="2665" spans="2:7" x14ac:dyDescent="0.35">
      <c r="B2665" s="1">
        <v>45768</v>
      </c>
      <c r="C2665" s="2">
        <v>0.95833333333333337</v>
      </c>
      <c r="D2665">
        <v>10</v>
      </c>
      <c r="E2665">
        <f>IF($D2665 &gt; 16, 0, $J$3*(16 - $D2665))</f>
        <v>1246.4918562041819</v>
      </c>
      <c r="F2665">
        <f>IF($D2665 &gt; 16, 0,$E2665*$J$5)</f>
        <v>13548119.985083252</v>
      </c>
      <c r="G2665">
        <f t="shared" si="41"/>
        <v>6</v>
      </c>
    </row>
    <row r="2666" spans="2:7" x14ac:dyDescent="0.35">
      <c r="B2666" s="1">
        <v>45769</v>
      </c>
      <c r="C2666" s="2">
        <v>0</v>
      </c>
      <c r="D2666">
        <v>9</v>
      </c>
      <c r="E2666">
        <f>IF($D2666 &gt; 16, 0, $J$3*(16 - $D2666))</f>
        <v>1454.2404989048789</v>
      </c>
      <c r="F2666">
        <f>IF($D2666 &gt; 16, 0,$E2666*$J$5)</f>
        <v>15806139.982597129</v>
      </c>
      <c r="G2666">
        <f t="shared" si="41"/>
        <v>7</v>
      </c>
    </row>
    <row r="2667" spans="2:7" x14ac:dyDescent="0.35">
      <c r="B2667" s="1">
        <v>45769</v>
      </c>
      <c r="C2667" s="2">
        <v>4.1666666666666657E-2</v>
      </c>
      <c r="D2667">
        <v>9.8000000000000007</v>
      </c>
      <c r="E2667">
        <f>IF($D2667 &gt; 16, 0, $J$3*(16 - $D2667))</f>
        <v>1288.0415847443212</v>
      </c>
      <c r="F2667">
        <f>IF($D2667 &gt; 16, 0,$E2667*$J$5)</f>
        <v>13999723.984586027</v>
      </c>
      <c r="G2667">
        <f t="shared" si="41"/>
        <v>6.1999999999999993</v>
      </c>
    </row>
    <row r="2668" spans="2:7" x14ac:dyDescent="0.35">
      <c r="B2668" s="1">
        <v>45769</v>
      </c>
      <c r="C2668" s="2">
        <v>8.3333333333333329E-2</v>
      </c>
      <c r="D2668">
        <v>9.1999999999999993</v>
      </c>
      <c r="E2668">
        <f>IF($D2668 &gt; 16, 0, $J$3*(16 - $D2668))</f>
        <v>1412.6907703647396</v>
      </c>
      <c r="F2668">
        <f>IF($D2668 &gt; 16, 0,$E2668*$J$5)</f>
        <v>15354535.983094355</v>
      </c>
      <c r="G2668">
        <f t="shared" si="41"/>
        <v>6.8000000000000007</v>
      </c>
    </row>
    <row r="2669" spans="2:7" x14ac:dyDescent="0.35">
      <c r="B2669" s="1">
        <v>45769</v>
      </c>
      <c r="C2669" s="2">
        <v>0.125</v>
      </c>
      <c r="D2669">
        <v>8.9</v>
      </c>
      <c r="E2669">
        <f>IF($D2669 &gt; 16, 0, $J$3*(16 - $D2669))</f>
        <v>1475.0153631749486</v>
      </c>
      <c r="F2669">
        <f>IF($D2669 &gt; 16, 0,$E2669*$J$5)</f>
        <v>16031941.982348517</v>
      </c>
      <c r="G2669">
        <f t="shared" si="41"/>
        <v>7.1</v>
      </c>
    </row>
    <row r="2670" spans="2:7" x14ac:dyDescent="0.35">
      <c r="B2670" s="1">
        <v>45769</v>
      </c>
      <c r="C2670" s="2">
        <v>0.16666666666666671</v>
      </c>
      <c r="D2670">
        <v>7.9</v>
      </c>
      <c r="E2670">
        <f>IF($D2670 &gt; 16, 0, $J$3*(16 - $D2670))</f>
        <v>1682.7640058756456</v>
      </c>
      <c r="F2670">
        <f>IF($D2670 &gt; 16, 0,$E2670*$J$5)</f>
        <v>18289961.979862392</v>
      </c>
      <c r="G2670">
        <f t="shared" si="41"/>
        <v>8.1</v>
      </c>
    </row>
    <row r="2671" spans="2:7" x14ac:dyDescent="0.35">
      <c r="B2671" s="1">
        <v>45769</v>
      </c>
      <c r="C2671" s="2">
        <v>0.20833333333333329</v>
      </c>
      <c r="D2671">
        <v>8.8000000000000007</v>
      </c>
      <c r="E2671">
        <f>IF($D2671 &gt; 16, 0, $J$3*(16 - $D2671))</f>
        <v>1495.7902274450182</v>
      </c>
      <c r="F2671">
        <f>IF($D2671 &gt; 16, 0,$E2671*$J$5)</f>
        <v>16257743.982099904</v>
      </c>
      <c r="G2671">
        <f t="shared" si="41"/>
        <v>7.1999999999999993</v>
      </c>
    </row>
    <row r="2672" spans="2:7" x14ac:dyDescent="0.35">
      <c r="B2672" s="1">
        <v>45769</v>
      </c>
      <c r="C2672" s="2">
        <v>0.25</v>
      </c>
      <c r="D2672">
        <v>11.9</v>
      </c>
      <c r="E2672">
        <f>IF($D2672 &gt; 16, 0, $J$3*(16 - $D2672))</f>
        <v>851.76943507285762</v>
      </c>
      <c r="F2672">
        <f>IF($D2672 &gt; 16, 0,$E2672*$J$5)</f>
        <v>9257881.9898068886</v>
      </c>
      <c r="G2672">
        <f t="shared" si="41"/>
        <v>4.0999999999999996</v>
      </c>
    </row>
    <row r="2673" spans="2:7" x14ac:dyDescent="0.35">
      <c r="B2673" s="1">
        <v>45769</v>
      </c>
      <c r="C2673" s="2">
        <v>0.29166666666666669</v>
      </c>
      <c r="D2673">
        <v>13.1</v>
      </c>
      <c r="E2673">
        <f>IF($D2673 &gt; 16, 0, $J$3*(16 - $D2673))</f>
        <v>602.4710638320214</v>
      </c>
      <c r="F2673">
        <f>IF($D2673 &gt; 16, 0,$E2673*$J$5)</f>
        <v>6548257.9927902408</v>
      </c>
      <c r="G2673">
        <f t="shared" si="41"/>
        <v>2.9000000000000004</v>
      </c>
    </row>
    <row r="2674" spans="2:7" x14ac:dyDescent="0.35">
      <c r="B2674" s="1">
        <v>45769</v>
      </c>
      <c r="C2674" s="2">
        <v>0.33333333333333331</v>
      </c>
      <c r="D2674">
        <v>14.9</v>
      </c>
      <c r="E2674">
        <f>IF($D2674 &gt; 16, 0, $J$3*(16 - $D2674))</f>
        <v>228.52350697076662</v>
      </c>
      <c r="F2674">
        <f>IF($D2674 &gt; 16, 0,$E2674*$J$5)</f>
        <v>2483821.9972652625</v>
      </c>
      <c r="G2674">
        <f t="shared" si="41"/>
        <v>1.0999999999999996</v>
      </c>
    </row>
    <row r="2675" spans="2:7" x14ac:dyDescent="0.35">
      <c r="B2675" s="1">
        <v>45769</v>
      </c>
      <c r="C2675" s="2">
        <v>0.375</v>
      </c>
      <c r="D2675">
        <v>15.6</v>
      </c>
      <c r="E2675">
        <f>IF($D2675 &gt; 16, 0, $J$3*(16 - $D2675))</f>
        <v>83.099457080278867</v>
      </c>
      <c r="F2675">
        <f>IF($D2675 &gt; 16, 0,$E2675*$J$5)</f>
        <v>903207.99900555098</v>
      </c>
      <c r="G2675">
        <f t="shared" si="41"/>
        <v>0.40000000000000036</v>
      </c>
    </row>
    <row r="2676" spans="2:7" x14ac:dyDescent="0.35">
      <c r="B2676" s="1">
        <v>45769</v>
      </c>
      <c r="C2676" s="2">
        <v>0.41666666666666669</v>
      </c>
      <c r="D2676">
        <v>15.7</v>
      </c>
      <c r="E2676">
        <f>IF($D2676 &gt; 16, 0, $J$3*(16 - $D2676))</f>
        <v>62.324592810209246</v>
      </c>
      <c r="F2676">
        <f>IF($D2676 &gt; 16, 0,$E2676*$J$5)</f>
        <v>677405.99925416429</v>
      </c>
      <c r="G2676">
        <f t="shared" si="41"/>
        <v>0.30000000000000071</v>
      </c>
    </row>
    <row r="2677" spans="2:7" x14ac:dyDescent="0.35">
      <c r="B2677" s="1">
        <v>45769</v>
      </c>
      <c r="C2677" s="2">
        <v>0.45833333333333331</v>
      </c>
      <c r="D2677">
        <v>14.3</v>
      </c>
      <c r="E2677">
        <f>IF($D2677 &gt; 16, 0, $J$3*(16 - $D2677))</f>
        <v>353.17269259118473</v>
      </c>
      <c r="F2677">
        <f>IF($D2677 &gt; 16, 0,$E2677*$J$5)</f>
        <v>3838633.9957735869</v>
      </c>
      <c r="G2677">
        <f t="shared" si="41"/>
        <v>1.6999999999999993</v>
      </c>
    </row>
    <row r="2678" spans="2:7" x14ac:dyDescent="0.35">
      <c r="B2678" s="1">
        <v>45769</v>
      </c>
      <c r="C2678" s="2">
        <v>0.5</v>
      </c>
      <c r="D2678">
        <v>13.9</v>
      </c>
      <c r="E2678">
        <f>IF($D2678 &gt; 16, 0, $J$3*(16 - $D2678))</f>
        <v>436.27214967146358</v>
      </c>
      <c r="F2678">
        <f>IF($D2678 &gt; 16, 0,$E2678*$J$5)</f>
        <v>4741841.9947791379</v>
      </c>
      <c r="G2678">
        <f t="shared" si="41"/>
        <v>2.0999999999999996</v>
      </c>
    </row>
    <row r="2679" spans="2:7" x14ac:dyDescent="0.35">
      <c r="B2679" s="1">
        <v>45769</v>
      </c>
      <c r="C2679" s="2">
        <v>0.54166666666666663</v>
      </c>
      <c r="D2679">
        <v>15.3</v>
      </c>
      <c r="E2679">
        <f>IF($D2679 &gt; 16, 0, $J$3*(16 - $D2679))</f>
        <v>145.42404989048774</v>
      </c>
      <c r="F2679">
        <f>IF($D2679 &gt; 16, 0,$E2679*$J$5)</f>
        <v>1580613.9982597113</v>
      </c>
      <c r="G2679">
        <f t="shared" si="41"/>
        <v>0.69999999999999929</v>
      </c>
    </row>
    <row r="2680" spans="2:7" x14ac:dyDescent="0.35">
      <c r="B2680" s="1">
        <v>45769</v>
      </c>
      <c r="C2680" s="2">
        <v>0.58333333333333337</v>
      </c>
      <c r="D2680">
        <v>14.8</v>
      </c>
      <c r="E2680">
        <f>IF($D2680 &gt; 16, 0, $J$3*(16 - $D2680))</f>
        <v>249.29837124083625</v>
      </c>
      <c r="F2680">
        <f>IF($D2680 &gt; 16, 0,$E2680*$J$5)</f>
        <v>2709623.9970166492</v>
      </c>
      <c r="G2680">
        <f t="shared" si="41"/>
        <v>1.1999999999999993</v>
      </c>
    </row>
    <row r="2681" spans="2:7" x14ac:dyDescent="0.35">
      <c r="B2681" s="1">
        <v>45769</v>
      </c>
      <c r="C2681" s="2">
        <v>0.625</v>
      </c>
      <c r="D2681">
        <v>14.3</v>
      </c>
      <c r="E2681">
        <f>IF($D2681 &gt; 16, 0, $J$3*(16 - $D2681))</f>
        <v>353.17269259118473</v>
      </c>
      <c r="F2681">
        <f>IF($D2681 &gt; 16, 0,$E2681*$J$5)</f>
        <v>3838633.9957735869</v>
      </c>
      <c r="G2681">
        <f t="shared" si="41"/>
        <v>1.6999999999999993</v>
      </c>
    </row>
    <row r="2682" spans="2:7" x14ac:dyDescent="0.35">
      <c r="B2682" s="1">
        <v>45769</v>
      </c>
      <c r="C2682" s="2">
        <v>0.66666666666666663</v>
      </c>
      <c r="D2682">
        <v>14.2</v>
      </c>
      <c r="E2682">
        <f>IF($D2682 &gt; 16, 0, $J$3*(16 - $D2682))</f>
        <v>373.94755686125472</v>
      </c>
      <c r="F2682">
        <f>IF($D2682 &gt; 16, 0,$E2682*$J$5)</f>
        <v>4064435.9955249778</v>
      </c>
      <c r="G2682">
        <f t="shared" si="41"/>
        <v>1.8000000000000007</v>
      </c>
    </row>
    <row r="2683" spans="2:7" x14ac:dyDescent="0.35">
      <c r="B2683" s="1">
        <v>45769</v>
      </c>
      <c r="C2683" s="2">
        <v>0.70833333333333337</v>
      </c>
      <c r="D2683">
        <v>13.8</v>
      </c>
      <c r="E2683">
        <f>IF($D2683 &gt; 16, 0, $J$3*(16 - $D2683))</f>
        <v>457.04701394153324</v>
      </c>
      <c r="F2683">
        <f>IF($D2683 &gt; 16, 0,$E2683*$J$5)</f>
        <v>4967643.9945305251</v>
      </c>
      <c r="G2683">
        <f t="shared" si="41"/>
        <v>2.1999999999999993</v>
      </c>
    </row>
    <row r="2684" spans="2:7" x14ac:dyDescent="0.35">
      <c r="B2684" s="1">
        <v>45769</v>
      </c>
      <c r="C2684" s="2">
        <v>0.75</v>
      </c>
      <c r="D2684">
        <v>13.4</v>
      </c>
      <c r="E2684">
        <f>IF($D2684 &gt; 16, 0, $J$3*(16 - $D2684))</f>
        <v>540.14647102181209</v>
      </c>
      <c r="F2684">
        <f>IF($D2684 &gt; 16, 0,$E2684*$J$5)</f>
        <v>5870851.9935360756</v>
      </c>
      <c r="G2684">
        <f t="shared" si="41"/>
        <v>2.5999999999999996</v>
      </c>
    </row>
    <row r="2685" spans="2:7" x14ac:dyDescent="0.35">
      <c r="B2685" s="1">
        <v>45769</v>
      </c>
      <c r="C2685" s="2">
        <v>0.79166666666666663</v>
      </c>
      <c r="D2685">
        <v>11.5</v>
      </c>
      <c r="E2685">
        <f>IF($D2685 &gt; 16, 0, $J$3*(16 - $D2685))</f>
        <v>934.86889215313647</v>
      </c>
      <c r="F2685">
        <f>IF($D2685 &gt; 16, 0,$E2685*$J$5)</f>
        <v>10161089.988812441</v>
      </c>
      <c r="G2685">
        <f t="shared" si="41"/>
        <v>4.5</v>
      </c>
    </row>
    <row r="2686" spans="2:7" x14ac:dyDescent="0.35">
      <c r="B2686" s="1">
        <v>45769</v>
      </c>
      <c r="C2686" s="2">
        <v>0.83333333333333337</v>
      </c>
      <c r="D2686">
        <v>9.6999999999999993</v>
      </c>
      <c r="E2686">
        <f>IF($D2686 &gt; 16, 0, $J$3*(16 - $D2686))</f>
        <v>1308.8164490143911</v>
      </c>
      <c r="F2686">
        <f>IF($D2686 &gt; 16, 0,$E2686*$J$5)</f>
        <v>14225525.984337417</v>
      </c>
      <c r="G2686">
        <f t="shared" si="41"/>
        <v>6.3000000000000007</v>
      </c>
    </row>
    <row r="2687" spans="2:7" x14ac:dyDescent="0.35">
      <c r="B2687" s="1">
        <v>45769</v>
      </c>
      <c r="C2687" s="2">
        <v>0.875</v>
      </c>
      <c r="D2687">
        <v>8.6999999999999993</v>
      </c>
      <c r="E2687">
        <f>IF($D2687 &gt; 16, 0, $J$3*(16 - $D2687))</f>
        <v>1516.5650917150881</v>
      </c>
      <c r="F2687">
        <f>IF($D2687 &gt; 16, 0,$E2687*$J$5)</f>
        <v>16483545.981851293</v>
      </c>
      <c r="G2687">
        <f t="shared" si="41"/>
        <v>7.3000000000000007</v>
      </c>
    </row>
    <row r="2688" spans="2:7" x14ac:dyDescent="0.35">
      <c r="B2688" s="1">
        <v>45769</v>
      </c>
      <c r="C2688" s="2">
        <v>0.91666666666666663</v>
      </c>
      <c r="D2688">
        <v>8.1</v>
      </c>
      <c r="E2688">
        <f>IF($D2688 &gt; 16, 0, $J$3*(16 - $D2688))</f>
        <v>1641.2142773355063</v>
      </c>
      <c r="F2688">
        <f>IF($D2688 &gt; 16, 0,$E2688*$J$5)</f>
        <v>17838357.980359618</v>
      </c>
      <c r="G2688">
        <f t="shared" si="41"/>
        <v>7.9</v>
      </c>
    </row>
    <row r="2689" spans="2:7" x14ac:dyDescent="0.35">
      <c r="B2689" s="1">
        <v>45769</v>
      </c>
      <c r="C2689" s="2">
        <v>0.95833333333333337</v>
      </c>
      <c r="D2689">
        <v>7.5</v>
      </c>
      <c r="E2689">
        <f>IF($D2689 &gt; 16, 0, $J$3*(16 - $D2689))</f>
        <v>1765.8634629559244</v>
      </c>
      <c r="F2689">
        <f>IF($D2689 &gt; 16, 0,$E2689*$J$5)</f>
        <v>19193169.978867944</v>
      </c>
      <c r="G2689">
        <f t="shared" si="41"/>
        <v>8.5</v>
      </c>
    </row>
    <row r="2690" spans="2:7" x14ac:dyDescent="0.35">
      <c r="B2690" s="1">
        <v>45770</v>
      </c>
      <c r="C2690" s="2">
        <v>0</v>
      </c>
      <c r="D2690">
        <v>7.1</v>
      </c>
      <c r="E2690">
        <f>IF($D2690 &gt; 16, 0, $J$3*(16 - $D2690))</f>
        <v>1848.9629200362033</v>
      </c>
      <c r="F2690">
        <f>IF($D2690 &gt; 16, 0,$E2690*$J$5)</f>
        <v>20096377.977873493</v>
      </c>
      <c r="G2690">
        <f t="shared" si="41"/>
        <v>8.9</v>
      </c>
    </row>
    <row r="2691" spans="2:7" x14ac:dyDescent="0.35">
      <c r="B2691" s="1">
        <v>45770</v>
      </c>
      <c r="C2691" s="2">
        <v>4.1666666666666657E-2</v>
      </c>
      <c r="D2691">
        <v>5.9</v>
      </c>
      <c r="E2691">
        <f>IF($D2691 &gt; 16, 0, $J$3*(16 - $D2691))</f>
        <v>2098.2612912770396</v>
      </c>
      <c r="F2691">
        <f>IF($D2691 &gt; 16, 0,$E2691*$J$5)</f>
        <v>22806001.974890143</v>
      </c>
      <c r="G2691">
        <f t="shared" ref="G2691:G2754" si="42">MAX(0, 16 - $D2691)</f>
        <v>10.1</v>
      </c>
    </row>
    <row r="2692" spans="2:7" x14ac:dyDescent="0.35">
      <c r="B2692" s="1">
        <v>45770</v>
      </c>
      <c r="C2692" s="2">
        <v>8.3333333333333329E-2</v>
      </c>
      <c r="D2692">
        <v>5.7</v>
      </c>
      <c r="E2692">
        <f>IF($D2692 &gt; 16, 0, $J$3*(16 - $D2692))</f>
        <v>2139.8110198171789</v>
      </c>
      <c r="F2692">
        <f>IF($D2692 &gt; 16, 0,$E2692*$J$5)</f>
        <v>23257605.974392917</v>
      </c>
      <c r="G2692">
        <f t="shared" si="42"/>
        <v>10.3</v>
      </c>
    </row>
    <row r="2693" spans="2:7" x14ac:dyDescent="0.35">
      <c r="B2693" s="1">
        <v>45770</v>
      </c>
      <c r="C2693" s="2">
        <v>0.125</v>
      </c>
      <c r="D2693">
        <v>5.5</v>
      </c>
      <c r="E2693">
        <f>IF($D2693 &gt; 16, 0, $J$3*(16 - $D2693))</f>
        <v>2181.3607483573182</v>
      </c>
      <c r="F2693">
        <f>IF($D2693 &gt; 16, 0,$E2693*$J$5)</f>
        <v>23709209.973895691</v>
      </c>
      <c r="G2693">
        <f t="shared" si="42"/>
        <v>10.5</v>
      </c>
    </row>
    <row r="2694" spans="2:7" x14ac:dyDescent="0.35">
      <c r="B2694" s="1">
        <v>45770</v>
      </c>
      <c r="C2694" s="2">
        <v>0.16666666666666671</v>
      </c>
      <c r="D2694">
        <v>5.4</v>
      </c>
      <c r="E2694">
        <f>IF($D2694 &gt; 16, 0, $J$3*(16 - $D2694))</f>
        <v>2202.1356126273881</v>
      </c>
      <c r="F2694">
        <f>IF($D2694 &gt; 16, 0,$E2694*$J$5)</f>
        <v>23935011.97364708</v>
      </c>
      <c r="G2694">
        <f t="shared" si="42"/>
        <v>10.6</v>
      </c>
    </row>
    <row r="2695" spans="2:7" x14ac:dyDescent="0.35">
      <c r="B2695" s="1">
        <v>45770</v>
      </c>
      <c r="C2695" s="2">
        <v>0.20833333333333329</v>
      </c>
      <c r="D2695">
        <v>5.9</v>
      </c>
      <c r="E2695">
        <f>IF($D2695 &gt; 16, 0, $J$3*(16 - $D2695))</f>
        <v>2098.2612912770396</v>
      </c>
      <c r="F2695">
        <f>IF($D2695 &gt; 16, 0,$E2695*$J$5)</f>
        <v>22806001.974890143</v>
      </c>
      <c r="G2695">
        <f t="shared" si="42"/>
        <v>10.1</v>
      </c>
    </row>
    <row r="2696" spans="2:7" x14ac:dyDescent="0.35">
      <c r="B2696" s="1">
        <v>45770</v>
      </c>
      <c r="C2696" s="2">
        <v>0.25</v>
      </c>
      <c r="D2696">
        <v>8.3000000000000007</v>
      </c>
      <c r="E2696">
        <f>IF($D2696 &gt; 16, 0, $J$3*(16 - $D2696))</f>
        <v>1599.6645487953667</v>
      </c>
      <c r="F2696">
        <f>IF($D2696 &gt; 16, 0,$E2696*$J$5)</f>
        <v>17386753.98085684</v>
      </c>
      <c r="G2696">
        <f t="shared" si="42"/>
        <v>7.6999999999999993</v>
      </c>
    </row>
    <row r="2697" spans="2:7" x14ac:dyDescent="0.35">
      <c r="B2697" s="1">
        <v>45770</v>
      </c>
      <c r="C2697" s="2">
        <v>0.29166666666666669</v>
      </c>
      <c r="D2697">
        <v>10.5</v>
      </c>
      <c r="E2697">
        <f>IF($D2697 &gt; 16, 0, $J$3*(16 - $D2697))</f>
        <v>1142.6175348538334</v>
      </c>
      <c r="F2697">
        <f>IF($D2697 &gt; 16, 0,$E2697*$J$5)</f>
        <v>12419109.986326315</v>
      </c>
      <c r="G2697">
        <f t="shared" si="42"/>
        <v>5.5</v>
      </c>
    </row>
    <row r="2698" spans="2:7" x14ac:dyDescent="0.35">
      <c r="B2698" s="1">
        <v>45770</v>
      </c>
      <c r="C2698" s="2">
        <v>0.33333333333333331</v>
      </c>
      <c r="D2698">
        <v>12.6</v>
      </c>
      <c r="E2698">
        <f>IF($D2698 &gt; 16, 0, $J$3*(16 - $D2698))</f>
        <v>706.3453851823698</v>
      </c>
      <c r="F2698">
        <f>IF($D2698 &gt; 16, 0,$E2698*$J$5)</f>
        <v>7677267.9915471775</v>
      </c>
      <c r="G2698">
        <f t="shared" si="42"/>
        <v>3.4000000000000004</v>
      </c>
    </row>
    <row r="2699" spans="2:7" x14ac:dyDescent="0.35">
      <c r="B2699" s="1">
        <v>45770</v>
      </c>
      <c r="C2699" s="2">
        <v>0.375</v>
      </c>
      <c r="D2699">
        <v>13.7</v>
      </c>
      <c r="E2699">
        <f>IF($D2699 &gt; 16, 0, $J$3*(16 - $D2699))</f>
        <v>477.82187821160323</v>
      </c>
      <c r="F2699">
        <f>IF($D2699 &gt; 16, 0,$E2699*$J$5)</f>
        <v>5193445.9942819159</v>
      </c>
      <c r="G2699">
        <f t="shared" si="42"/>
        <v>2.3000000000000007</v>
      </c>
    </row>
    <row r="2700" spans="2:7" x14ac:dyDescent="0.35">
      <c r="B2700" s="1">
        <v>45770</v>
      </c>
      <c r="C2700" s="2">
        <v>0.41666666666666669</v>
      </c>
      <c r="D2700">
        <v>14.1</v>
      </c>
      <c r="E2700">
        <f>IF($D2700 &gt; 16, 0, $J$3*(16 - $D2700))</f>
        <v>394.72242113132438</v>
      </c>
      <c r="F2700">
        <f>IF($D2700 &gt; 16, 0,$E2700*$J$5)</f>
        <v>4290237.9952763645</v>
      </c>
      <c r="G2700">
        <f t="shared" si="42"/>
        <v>1.9000000000000004</v>
      </c>
    </row>
    <row r="2701" spans="2:7" x14ac:dyDescent="0.35">
      <c r="B2701" s="1">
        <v>45770</v>
      </c>
      <c r="C2701" s="2">
        <v>0.45833333333333331</v>
      </c>
      <c r="D2701">
        <v>15.5</v>
      </c>
      <c r="E2701">
        <f>IF($D2701 &gt; 16, 0, $J$3*(16 - $D2701))</f>
        <v>103.8743213503485</v>
      </c>
      <c r="F2701">
        <f>IF($D2701 &gt; 16, 0,$E2701*$J$5)</f>
        <v>1129009.9987569377</v>
      </c>
      <c r="G2701">
        <f t="shared" si="42"/>
        <v>0.5</v>
      </c>
    </row>
    <row r="2702" spans="2:7" x14ac:dyDescent="0.35">
      <c r="B2702" s="1">
        <v>45770</v>
      </c>
      <c r="C2702" s="2">
        <v>0.5</v>
      </c>
      <c r="D2702">
        <v>15.6</v>
      </c>
      <c r="E2702">
        <f>IF($D2702 &gt; 16, 0, $J$3*(16 - $D2702))</f>
        <v>83.099457080278867</v>
      </c>
      <c r="F2702">
        <f>IF($D2702 &gt; 16, 0,$E2702*$J$5)</f>
        <v>903207.99900555098</v>
      </c>
      <c r="G2702">
        <f t="shared" si="42"/>
        <v>0.40000000000000036</v>
      </c>
    </row>
    <row r="2703" spans="2:7" x14ac:dyDescent="0.35">
      <c r="B2703" s="1">
        <v>45770</v>
      </c>
      <c r="C2703" s="2">
        <v>0.54166666666666663</v>
      </c>
      <c r="D2703">
        <v>16.3</v>
      </c>
      <c r="E2703">
        <f>IF($D2703 &gt; 16, 0, $J$3*(16 - $D2703))</f>
        <v>0</v>
      </c>
      <c r="F2703">
        <f>IF($D2703 &gt; 16, 0,$E2703*$J$5)</f>
        <v>0</v>
      </c>
      <c r="G2703">
        <f t="shared" si="42"/>
        <v>0</v>
      </c>
    </row>
    <row r="2704" spans="2:7" x14ac:dyDescent="0.35">
      <c r="B2704" s="1">
        <v>45770</v>
      </c>
      <c r="C2704" s="2">
        <v>0.58333333333333337</v>
      </c>
      <c r="D2704">
        <v>16.2</v>
      </c>
      <c r="E2704">
        <f>IF($D2704 &gt; 16, 0, $J$3*(16 - $D2704))</f>
        <v>0</v>
      </c>
      <c r="F2704">
        <f>IF($D2704 &gt; 16, 0,$E2704*$J$5)</f>
        <v>0</v>
      </c>
      <c r="G2704">
        <f t="shared" si="42"/>
        <v>0</v>
      </c>
    </row>
    <row r="2705" spans="2:7" x14ac:dyDescent="0.35">
      <c r="B2705" s="1">
        <v>45770</v>
      </c>
      <c r="C2705" s="2">
        <v>0.625</v>
      </c>
      <c r="D2705">
        <v>16.2</v>
      </c>
      <c r="E2705">
        <f>IF($D2705 &gt; 16, 0, $J$3*(16 - $D2705))</f>
        <v>0</v>
      </c>
      <c r="F2705">
        <f>IF($D2705 &gt; 16, 0,$E2705*$J$5)</f>
        <v>0</v>
      </c>
      <c r="G2705">
        <f t="shared" si="42"/>
        <v>0</v>
      </c>
    </row>
    <row r="2706" spans="2:7" x14ac:dyDescent="0.35">
      <c r="B2706" s="1">
        <v>45770</v>
      </c>
      <c r="C2706" s="2">
        <v>0.66666666666666663</v>
      </c>
      <c r="D2706">
        <v>15.2</v>
      </c>
      <c r="E2706">
        <f>IF($D2706 &gt; 16, 0, $J$3*(16 - $D2706))</f>
        <v>166.19891416055773</v>
      </c>
      <c r="F2706">
        <f>IF($D2706 &gt; 16, 0,$E2706*$J$5)</f>
        <v>1806415.998011102</v>
      </c>
      <c r="G2706">
        <f t="shared" si="42"/>
        <v>0.80000000000000071</v>
      </c>
    </row>
    <row r="2707" spans="2:7" x14ac:dyDescent="0.35">
      <c r="B2707" s="1">
        <v>45770</v>
      </c>
      <c r="C2707" s="2">
        <v>0.70833333333333337</v>
      </c>
      <c r="D2707">
        <v>14.4</v>
      </c>
      <c r="E2707">
        <f>IF($D2707 &gt; 16, 0, $J$3*(16 - $D2707))</f>
        <v>332.39782832111513</v>
      </c>
      <c r="F2707">
        <f>IF($D2707 &gt; 16, 0,$E2707*$J$5)</f>
        <v>3612831.9960222002</v>
      </c>
      <c r="G2707">
        <f t="shared" si="42"/>
        <v>1.5999999999999996</v>
      </c>
    </row>
    <row r="2708" spans="2:7" x14ac:dyDescent="0.35">
      <c r="B2708" s="1">
        <v>45770</v>
      </c>
      <c r="C2708" s="2">
        <v>0.75</v>
      </c>
      <c r="D2708">
        <v>13.3</v>
      </c>
      <c r="E2708">
        <f>IF($D2708 &gt; 16, 0, $J$3*(16 - $D2708))</f>
        <v>560.92133529188175</v>
      </c>
      <c r="F2708">
        <f>IF($D2708 &gt; 16, 0,$E2708*$J$5)</f>
        <v>6096653.9932874627</v>
      </c>
      <c r="G2708">
        <f t="shared" si="42"/>
        <v>2.6999999999999993</v>
      </c>
    </row>
    <row r="2709" spans="2:7" x14ac:dyDescent="0.35">
      <c r="B2709" s="1">
        <v>45770</v>
      </c>
      <c r="C2709" s="2">
        <v>0.79166666666666663</v>
      </c>
      <c r="D2709">
        <v>12.5</v>
      </c>
      <c r="E2709">
        <f>IF($D2709 &gt; 16, 0, $J$3*(16 - $D2709))</f>
        <v>727.12024945243945</v>
      </c>
      <c r="F2709">
        <f>IF($D2709 &gt; 16, 0,$E2709*$J$5)</f>
        <v>7903069.9912985647</v>
      </c>
      <c r="G2709">
        <f t="shared" si="42"/>
        <v>3.5</v>
      </c>
    </row>
    <row r="2710" spans="2:7" x14ac:dyDescent="0.35">
      <c r="B2710" s="1">
        <v>45770</v>
      </c>
      <c r="C2710" s="2">
        <v>0.83333333333333337</v>
      </c>
      <c r="D2710">
        <v>11.8</v>
      </c>
      <c r="E2710">
        <f>IF($D2710 &gt; 16, 0, $J$3*(16 - $D2710))</f>
        <v>872.54429934292716</v>
      </c>
      <c r="F2710">
        <f>IF($D2710 &gt; 16, 0,$E2710*$J$5)</f>
        <v>9483683.9895582758</v>
      </c>
      <c r="G2710">
        <f t="shared" si="42"/>
        <v>4.1999999999999993</v>
      </c>
    </row>
    <row r="2711" spans="2:7" x14ac:dyDescent="0.35">
      <c r="B2711" s="1">
        <v>45770</v>
      </c>
      <c r="C2711" s="2">
        <v>0.875</v>
      </c>
      <c r="D2711">
        <v>11.5</v>
      </c>
      <c r="E2711">
        <f>IF($D2711 &gt; 16, 0, $J$3*(16 - $D2711))</f>
        <v>934.86889215313647</v>
      </c>
      <c r="F2711">
        <f>IF($D2711 &gt; 16, 0,$E2711*$J$5)</f>
        <v>10161089.988812441</v>
      </c>
      <c r="G2711">
        <f t="shared" si="42"/>
        <v>4.5</v>
      </c>
    </row>
    <row r="2712" spans="2:7" x14ac:dyDescent="0.35">
      <c r="B2712" s="1">
        <v>45770</v>
      </c>
      <c r="C2712" s="2">
        <v>0.91666666666666663</v>
      </c>
      <c r="D2712">
        <v>11</v>
      </c>
      <c r="E2712">
        <f>IF($D2712 &gt; 16, 0, $J$3*(16 - $D2712))</f>
        <v>1038.7432135034849</v>
      </c>
      <c r="F2712">
        <f>IF($D2712 &gt; 16, 0,$E2712*$J$5)</f>
        <v>11290099.987569377</v>
      </c>
      <c r="G2712">
        <f t="shared" si="42"/>
        <v>5</v>
      </c>
    </row>
    <row r="2713" spans="2:7" x14ac:dyDescent="0.35">
      <c r="B2713" s="1">
        <v>45770</v>
      </c>
      <c r="C2713" s="2">
        <v>0.95833333333333337</v>
      </c>
      <c r="D2713">
        <v>10.9</v>
      </c>
      <c r="E2713">
        <f>IF($D2713 &gt; 16, 0, $J$3*(16 - $D2713))</f>
        <v>1059.5180777735545</v>
      </c>
      <c r="F2713">
        <f>IF($D2713 &gt; 16, 0,$E2713*$J$5)</f>
        <v>11515901.987320764</v>
      </c>
      <c r="G2713">
        <f t="shared" si="42"/>
        <v>5.0999999999999996</v>
      </c>
    </row>
    <row r="2714" spans="2:7" x14ac:dyDescent="0.35">
      <c r="B2714" s="1">
        <v>45771</v>
      </c>
      <c r="C2714" s="2">
        <v>0</v>
      </c>
      <c r="D2714">
        <v>10.9</v>
      </c>
      <c r="E2714">
        <f>IF($D2714 &gt; 16, 0, $J$3*(16 - $D2714))</f>
        <v>1059.5180777735545</v>
      </c>
      <c r="F2714">
        <f>IF($D2714 &gt; 16, 0,$E2714*$J$5)</f>
        <v>11515901.987320764</v>
      </c>
      <c r="G2714">
        <f t="shared" si="42"/>
        <v>5.0999999999999996</v>
      </c>
    </row>
    <row r="2715" spans="2:7" x14ac:dyDescent="0.35">
      <c r="B2715" s="1">
        <v>45771</v>
      </c>
      <c r="C2715" s="2">
        <v>4.1666666666666657E-2</v>
      </c>
      <c r="D2715">
        <v>10.7</v>
      </c>
      <c r="E2715">
        <f>IF($D2715 &gt; 16, 0, $J$3*(16 - $D2715))</f>
        <v>1101.0678063136943</v>
      </c>
      <c r="F2715">
        <f>IF($D2715 &gt; 16, 0,$E2715*$J$5)</f>
        <v>11967505.986823544</v>
      </c>
      <c r="G2715">
        <f t="shared" si="42"/>
        <v>5.3000000000000007</v>
      </c>
    </row>
    <row r="2716" spans="2:7" x14ac:dyDescent="0.35">
      <c r="B2716" s="1">
        <v>45771</v>
      </c>
      <c r="C2716" s="2">
        <v>8.3333333333333329E-2</v>
      </c>
      <c r="D2716">
        <v>10.5</v>
      </c>
      <c r="E2716">
        <f>IF($D2716 &gt; 16, 0, $J$3*(16 - $D2716))</f>
        <v>1142.6175348538334</v>
      </c>
      <c r="F2716">
        <f>IF($D2716 &gt; 16, 0,$E2716*$J$5)</f>
        <v>12419109.986326315</v>
      </c>
      <c r="G2716">
        <f t="shared" si="42"/>
        <v>5.5</v>
      </c>
    </row>
    <row r="2717" spans="2:7" x14ac:dyDescent="0.35">
      <c r="B2717" s="1">
        <v>45771</v>
      </c>
      <c r="C2717" s="2">
        <v>0.125</v>
      </c>
      <c r="D2717">
        <v>10.3</v>
      </c>
      <c r="E2717">
        <f>IF($D2717 &gt; 16, 0, $J$3*(16 - $D2717))</f>
        <v>1184.1672633939727</v>
      </c>
      <c r="F2717">
        <f>IF($D2717 &gt; 16, 0,$E2717*$J$5)</f>
        <v>12870713.985829089</v>
      </c>
      <c r="G2717">
        <f t="shared" si="42"/>
        <v>5.6999999999999993</v>
      </c>
    </row>
    <row r="2718" spans="2:7" x14ac:dyDescent="0.35">
      <c r="B2718" s="1">
        <v>45771</v>
      </c>
      <c r="C2718" s="2">
        <v>0.16666666666666671</v>
      </c>
      <c r="D2718">
        <v>10.1</v>
      </c>
      <c r="E2718">
        <f>IF($D2718 &gt; 16, 0, $J$3*(16 - $D2718))</f>
        <v>1225.7169919341122</v>
      </c>
      <c r="F2718">
        <f>IF($D2718 &gt; 16, 0,$E2718*$J$5)</f>
        <v>13322317.985331865</v>
      </c>
      <c r="G2718">
        <f t="shared" si="42"/>
        <v>5.9</v>
      </c>
    </row>
    <row r="2719" spans="2:7" x14ac:dyDescent="0.35">
      <c r="B2719" s="1">
        <v>45771</v>
      </c>
      <c r="C2719" s="2">
        <v>0.20833333333333329</v>
      </c>
      <c r="D2719">
        <v>9.9</v>
      </c>
      <c r="E2719">
        <f>IF($D2719 &gt; 16, 0, $J$3*(16 - $D2719))</f>
        <v>1267.2667204742515</v>
      </c>
      <c r="F2719">
        <f>IF($D2719 &gt; 16, 0,$E2719*$J$5)</f>
        <v>13773921.984834639</v>
      </c>
      <c r="G2719">
        <f t="shared" si="42"/>
        <v>6.1</v>
      </c>
    </row>
    <row r="2720" spans="2:7" x14ac:dyDescent="0.35">
      <c r="B2720" s="1">
        <v>45771</v>
      </c>
      <c r="C2720" s="2">
        <v>0.25</v>
      </c>
      <c r="D2720">
        <v>10.5</v>
      </c>
      <c r="E2720">
        <f>IF($D2720 &gt; 16, 0, $J$3*(16 - $D2720))</f>
        <v>1142.6175348538334</v>
      </c>
      <c r="F2720">
        <f>IF($D2720 &gt; 16, 0,$E2720*$J$5)</f>
        <v>12419109.986326315</v>
      </c>
      <c r="G2720">
        <f t="shared" si="42"/>
        <v>5.5</v>
      </c>
    </row>
    <row r="2721" spans="2:7" x14ac:dyDescent="0.35">
      <c r="B2721" s="1">
        <v>45771</v>
      </c>
      <c r="C2721" s="2">
        <v>0.29166666666666669</v>
      </c>
      <c r="D2721">
        <v>11.6</v>
      </c>
      <c r="E2721">
        <f>IF($D2721 &gt; 16, 0, $J$3*(16 - $D2721))</f>
        <v>914.09402788306681</v>
      </c>
      <c r="F2721">
        <f>IF($D2721 &gt; 16, 0,$E2721*$J$5)</f>
        <v>9935287.9890610538</v>
      </c>
      <c r="G2721">
        <f t="shared" si="42"/>
        <v>4.4000000000000004</v>
      </c>
    </row>
    <row r="2722" spans="2:7" x14ac:dyDescent="0.35">
      <c r="B2722" s="1">
        <v>45771</v>
      </c>
      <c r="C2722" s="2">
        <v>0.33333333333333331</v>
      </c>
      <c r="D2722">
        <v>11.9</v>
      </c>
      <c r="E2722">
        <f>IF($D2722 &gt; 16, 0, $J$3*(16 - $D2722))</f>
        <v>851.76943507285762</v>
      </c>
      <c r="F2722">
        <f>IF($D2722 &gt; 16, 0,$E2722*$J$5)</f>
        <v>9257881.9898068886</v>
      </c>
      <c r="G2722">
        <f t="shared" si="42"/>
        <v>4.0999999999999996</v>
      </c>
    </row>
    <row r="2723" spans="2:7" x14ac:dyDescent="0.35">
      <c r="B2723" s="1">
        <v>45771</v>
      </c>
      <c r="C2723" s="2">
        <v>0.375</v>
      </c>
      <c r="D2723">
        <v>13.4</v>
      </c>
      <c r="E2723">
        <f>IF($D2723 &gt; 16, 0, $J$3*(16 - $D2723))</f>
        <v>540.14647102181209</v>
      </c>
      <c r="F2723">
        <f>IF($D2723 &gt; 16, 0,$E2723*$J$5)</f>
        <v>5870851.9935360756</v>
      </c>
      <c r="G2723">
        <f t="shared" si="42"/>
        <v>2.5999999999999996</v>
      </c>
    </row>
    <row r="2724" spans="2:7" x14ac:dyDescent="0.35">
      <c r="B2724" s="1">
        <v>45771</v>
      </c>
      <c r="C2724" s="2">
        <v>0.41666666666666669</v>
      </c>
      <c r="D2724">
        <v>14.1</v>
      </c>
      <c r="E2724">
        <f>IF($D2724 &gt; 16, 0, $J$3*(16 - $D2724))</f>
        <v>394.72242113132438</v>
      </c>
      <c r="F2724">
        <f>IF($D2724 &gt; 16, 0,$E2724*$J$5)</f>
        <v>4290237.9952763645</v>
      </c>
      <c r="G2724">
        <f t="shared" si="42"/>
        <v>1.9000000000000004</v>
      </c>
    </row>
    <row r="2725" spans="2:7" x14ac:dyDescent="0.35">
      <c r="B2725" s="1">
        <v>45771</v>
      </c>
      <c r="C2725" s="2">
        <v>0.45833333333333331</v>
      </c>
      <c r="D2725">
        <v>15.5</v>
      </c>
      <c r="E2725">
        <f>IF($D2725 &gt; 16, 0, $J$3*(16 - $D2725))</f>
        <v>103.8743213503485</v>
      </c>
      <c r="F2725">
        <f>IF($D2725 &gt; 16, 0,$E2725*$J$5)</f>
        <v>1129009.9987569377</v>
      </c>
      <c r="G2725">
        <f t="shared" si="42"/>
        <v>0.5</v>
      </c>
    </row>
    <row r="2726" spans="2:7" x14ac:dyDescent="0.35">
      <c r="B2726" s="1">
        <v>45771</v>
      </c>
      <c r="C2726" s="2">
        <v>0.5</v>
      </c>
      <c r="D2726">
        <v>15.6</v>
      </c>
      <c r="E2726">
        <f>IF($D2726 &gt; 16, 0, $J$3*(16 - $D2726))</f>
        <v>83.099457080278867</v>
      </c>
      <c r="F2726">
        <f>IF($D2726 &gt; 16, 0,$E2726*$J$5)</f>
        <v>903207.99900555098</v>
      </c>
      <c r="G2726">
        <f t="shared" si="42"/>
        <v>0.40000000000000036</v>
      </c>
    </row>
    <row r="2727" spans="2:7" x14ac:dyDescent="0.35">
      <c r="B2727" s="1">
        <v>45771</v>
      </c>
      <c r="C2727" s="2">
        <v>0.54166666666666663</v>
      </c>
      <c r="D2727">
        <v>15.6</v>
      </c>
      <c r="E2727">
        <f>IF($D2727 &gt; 16, 0, $J$3*(16 - $D2727))</f>
        <v>83.099457080278867</v>
      </c>
      <c r="F2727">
        <f>IF($D2727 &gt; 16, 0,$E2727*$J$5)</f>
        <v>903207.99900555098</v>
      </c>
      <c r="G2727">
        <f t="shared" si="42"/>
        <v>0.40000000000000036</v>
      </c>
    </row>
    <row r="2728" spans="2:7" x14ac:dyDescent="0.35">
      <c r="B2728" s="1">
        <v>45771</v>
      </c>
      <c r="C2728" s="2">
        <v>0.58333333333333337</v>
      </c>
      <c r="D2728">
        <v>15.6</v>
      </c>
      <c r="E2728">
        <f>IF($D2728 &gt; 16, 0, $J$3*(16 - $D2728))</f>
        <v>83.099457080278867</v>
      </c>
      <c r="F2728">
        <f>IF($D2728 &gt; 16, 0,$E2728*$J$5)</f>
        <v>903207.99900555098</v>
      </c>
      <c r="G2728">
        <f t="shared" si="42"/>
        <v>0.40000000000000036</v>
      </c>
    </row>
    <row r="2729" spans="2:7" x14ac:dyDescent="0.35">
      <c r="B2729" s="1">
        <v>45771</v>
      </c>
      <c r="C2729" s="2">
        <v>0.625</v>
      </c>
      <c r="D2729">
        <v>15.4</v>
      </c>
      <c r="E2729">
        <f>IF($D2729 &gt; 16, 0, $J$3*(16 - $D2729))</f>
        <v>124.64918562041812</v>
      </c>
      <c r="F2729">
        <f>IF($D2729 &gt; 16, 0,$E2729*$J$5)</f>
        <v>1354811.9985083246</v>
      </c>
      <c r="G2729">
        <f t="shared" si="42"/>
        <v>0.59999999999999964</v>
      </c>
    </row>
    <row r="2730" spans="2:7" x14ac:dyDescent="0.35">
      <c r="B2730" s="1">
        <v>45771</v>
      </c>
      <c r="C2730" s="2">
        <v>0.66666666666666663</v>
      </c>
      <c r="D2730">
        <v>14.8</v>
      </c>
      <c r="E2730">
        <f>IF($D2730 &gt; 16, 0, $J$3*(16 - $D2730))</f>
        <v>249.29837124083625</v>
      </c>
      <c r="F2730">
        <f>IF($D2730 &gt; 16, 0,$E2730*$J$5)</f>
        <v>2709623.9970166492</v>
      </c>
      <c r="G2730">
        <f t="shared" si="42"/>
        <v>1.1999999999999993</v>
      </c>
    </row>
    <row r="2731" spans="2:7" x14ac:dyDescent="0.35">
      <c r="B2731" s="1">
        <v>45771</v>
      </c>
      <c r="C2731" s="2">
        <v>0.70833333333333337</v>
      </c>
      <c r="D2731">
        <v>14.2</v>
      </c>
      <c r="E2731">
        <f>IF($D2731 &gt; 16, 0, $J$3*(16 - $D2731))</f>
        <v>373.94755686125472</v>
      </c>
      <c r="F2731">
        <f>IF($D2731 &gt; 16, 0,$E2731*$J$5)</f>
        <v>4064435.9955249778</v>
      </c>
      <c r="G2731">
        <f t="shared" si="42"/>
        <v>1.8000000000000007</v>
      </c>
    </row>
    <row r="2732" spans="2:7" x14ac:dyDescent="0.35">
      <c r="B2732" s="1">
        <v>45771</v>
      </c>
      <c r="C2732" s="2">
        <v>0.75</v>
      </c>
      <c r="D2732">
        <v>13.3</v>
      </c>
      <c r="E2732">
        <f>IF($D2732 &gt; 16, 0, $J$3*(16 - $D2732))</f>
        <v>560.92133529188175</v>
      </c>
      <c r="F2732">
        <f>IF($D2732 &gt; 16, 0,$E2732*$J$5)</f>
        <v>6096653.9932874627</v>
      </c>
      <c r="G2732">
        <f t="shared" si="42"/>
        <v>2.6999999999999993</v>
      </c>
    </row>
    <row r="2733" spans="2:7" x14ac:dyDescent="0.35">
      <c r="B2733" s="1">
        <v>45771</v>
      </c>
      <c r="C2733" s="2">
        <v>0.79166666666666663</v>
      </c>
      <c r="D2733">
        <v>11.9</v>
      </c>
      <c r="E2733">
        <f>IF($D2733 &gt; 16, 0, $J$3*(16 - $D2733))</f>
        <v>851.76943507285762</v>
      </c>
      <c r="F2733">
        <f>IF($D2733 &gt; 16, 0,$E2733*$J$5)</f>
        <v>9257881.9898068886</v>
      </c>
      <c r="G2733">
        <f t="shared" si="42"/>
        <v>4.0999999999999996</v>
      </c>
    </row>
    <row r="2734" spans="2:7" x14ac:dyDescent="0.35">
      <c r="B2734" s="1">
        <v>45771</v>
      </c>
      <c r="C2734" s="2">
        <v>0.83333333333333337</v>
      </c>
      <c r="D2734">
        <v>10.5</v>
      </c>
      <c r="E2734">
        <f>IF($D2734 &gt; 16, 0, $J$3*(16 - $D2734))</f>
        <v>1142.6175348538334</v>
      </c>
      <c r="F2734">
        <f>IF($D2734 &gt; 16, 0,$E2734*$J$5)</f>
        <v>12419109.986326315</v>
      </c>
      <c r="G2734">
        <f t="shared" si="42"/>
        <v>5.5</v>
      </c>
    </row>
    <row r="2735" spans="2:7" x14ac:dyDescent="0.35">
      <c r="B2735" s="1">
        <v>45771</v>
      </c>
      <c r="C2735" s="2">
        <v>0.875</v>
      </c>
      <c r="D2735">
        <v>9.8000000000000007</v>
      </c>
      <c r="E2735">
        <f>IF($D2735 &gt; 16, 0, $J$3*(16 - $D2735))</f>
        <v>1288.0415847443212</v>
      </c>
      <c r="F2735">
        <f>IF($D2735 &gt; 16, 0,$E2735*$J$5)</f>
        <v>13999723.984586027</v>
      </c>
      <c r="G2735">
        <f t="shared" si="42"/>
        <v>6.1999999999999993</v>
      </c>
    </row>
    <row r="2736" spans="2:7" x14ac:dyDescent="0.35">
      <c r="B2736" s="1">
        <v>45771</v>
      </c>
      <c r="C2736" s="2">
        <v>0.91666666666666663</v>
      </c>
      <c r="D2736">
        <v>8.1</v>
      </c>
      <c r="E2736">
        <f>IF($D2736 &gt; 16, 0, $J$3*(16 - $D2736))</f>
        <v>1641.2142773355063</v>
      </c>
      <c r="F2736">
        <f>IF($D2736 &gt; 16, 0,$E2736*$J$5)</f>
        <v>17838357.980359618</v>
      </c>
      <c r="G2736">
        <f t="shared" si="42"/>
        <v>7.9</v>
      </c>
    </row>
    <row r="2737" spans="2:7" x14ac:dyDescent="0.35">
      <c r="B2737" s="1">
        <v>45771</v>
      </c>
      <c r="C2737" s="2">
        <v>0.95833333333333337</v>
      </c>
      <c r="D2737">
        <v>8.6999999999999993</v>
      </c>
      <c r="E2737">
        <f>IF($D2737 &gt; 16, 0, $J$3*(16 - $D2737))</f>
        <v>1516.5650917150881</v>
      </c>
      <c r="F2737">
        <f>IF($D2737 &gt; 16, 0,$E2737*$J$5)</f>
        <v>16483545.981851293</v>
      </c>
      <c r="G2737">
        <f t="shared" si="42"/>
        <v>7.3000000000000007</v>
      </c>
    </row>
    <row r="2738" spans="2:7" x14ac:dyDescent="0.35">
      <c r="B2738" s="1">
        <v>45772</v>
      </c>
      <c r="C2738" s="2">
        <v>0</v>
      </c>
      <c r="D2738">
        <v>8.3000000000000007</v>
      </c>
      <c r="E2738">
        <f>IF($D2738 &gt; 16, 0, $J$3*(16 - $D2738))</f>
        <v>1599.6645487953667</v>
      </c>
      <c r="F2738">
        <f>IF($D2738 &gt; 16, 0,$E2738*$J$5)</f>
        <v>17386753.98085684</v>
      </c>
      <c r="G2738">
        <f t="shared" si="42"/>
        <v>7.6999999999999993</v>
      </c>
    </row>
    <row r="2739" spans="2:7" x14ac:dyDescent="0.35">
      <c r="B2739" s="1">
        <v>45772</v>
      </c>
      <c r="C2739" s="2">
        <v>4.1666666666666657E-2</v>
      </c>
      <c r="D2739">
        <v>8</v>
      </c>
      <c r="E2739">
        <f>IF($D2739 &gt; 16, 0, $J$3*(16 - $D2739))</f>
        <v>1661.9891416055759</v>
      </c>
      <c r="F2739">
        <f>IF($D2739 &gt; 16, 0,$E2739*$J$5)</f>
        <v>18064159.980111003</v>
      </c>
      <c r="G2739">
        <f t="shared" si="42"/>
        <v>8</v>
      </c>
    </row>
    <row r="2740" spans="2:7" x14ac:dyDescent="0.35">
      <c r="B2740" s="1">
        <v>45772</v>
      </c>
      <c r="C2740" s="2">
        <v>8.3333333333333329E-2</v>
      </c>
      <c r="D2740">
        <v>8.3000000000000007</v>
      </c>
      <c r="E2740">
        <f>IF($D2740 &gt; 16, 0, $J$3*(16 - $D2740))</f>
        <v>1599.6645487953667</v>
      </c>
      <c r="F2740">
        <f>IF($D2740 &gt; 16, 0,$E2740*$J$5)</f>
        <v>17386753.98085684</v>
      </c>
      <c r="G2740">
        <f t="shared" si="42"/>
        <v>7.6999999999999993</v>
      </c>
    </row>
    <row r="2741" spans="2:7" x14ac:dyDescent="0.35">
      <c r="B2741" s="1">
        <v>45772</v>
      </c>
      <c r="C2741" s="2">
        <v>0.125</v>
      </c>
      <c r="D2741">
        <v>8.1999999999999993</v>
      </c>
      <c r="E2741">
        <f>IF($D2741 &gt; 16, 0, $J$3*(16 - $D2741))</f>
        <v>1620.4394130654366</v>
      </c>
      <c r="F2741">
        <f>IF($D2741 &gt; 16, 0,$E2741*$J$5)</f>
        <v>17612555.980608232</v>
      </c>
      <c r="G2741">
        <f t="shared" si="42"/>
        <v>7.8000000000000007</v>
      </c>
    </row>
    <row r="2742" spans="2:7" x14ac:dyDescent="0.35">
      <c r="B2742" s="1">
        <v>45772</v>
      </c>
      <c r="C2742" s="2">
        <v>0.16666666666666671</v>
      </c>
      <c r="D2742">
        <v>8.4</v>
      </c>
      <c r="E2742">
        <f>IF($D2742 &gt; 16, 0, $J$3*(16 - $D2742))</f>
        <v>1578.8896845252971</v>
      </c>
      <c r="F2742">
        <f>IF($D2742 &gt; 16, 0,$E2742*$J$5)</f>
        <v>17160951.981105454</v>
      </c>
      <c r="G2742">
        <f t="shared" si="42"/>
        <v>7.6</v>
      </c>
    </row>
    <row r="2743" spans="2:7" x14ac:dyDescent="0.35">
      <c r="B2743" s="1">
        <v>45772</v>
      </c>
      <c r="C2743" s="2">
        <v>0.20833333333333329</v>
      </c>
      <c r="D2743">
        <v>8.1</v>
      </c>
      <c r="E2743">
        <f>IF($D2743 &gt; 16, 0, $J$3*(16 - $D2743))</f>
        <v>1641.2142773355063</v>
      </c>
      <c r="F2743">
        <f>IF($D2743 &gt; 16, 0,$E2743*$J$5)</f>
        <v>17838357.980359618</v>
      </c>
      <c r="G2743">
        <f t="shared" si="42"/>
        <v>7.9</v>
      </c>
    </row>
    <row r="2744" spans="2:7" x14ac:dyDescent="0.35">
      <c r="B2744" s="1">
        <v>45772</v>
      </c>
      <c r="C2744" s="2">
        <v>0.25</v>
      </c>
      <c r="D2744">
        <v>8.1999999999999993</v>
      </c>
      <c r="E2744">
        <f>IF($D2744 &gt; 16, 0, $J$3*(16 - $D2744))</f>
        <v>1620.4394130654366</v>
      </c>
      <c r="F2744">
        <f>IF($D2744 &gt; 16, 0,$E2744*$J$5)</f>
        <v>17612555.980608232</v>
      </c>
      <c r="G2744">
        <f t="shared" si="42"/>
        <v>7.8000000000000007</v>
      </c>
    </row>
    <row r="2745" spans="2:7" x14ac:dyDescent="0.35">
      <c r="B2745" s="1">
        <v>45772</v>
      </c>
      <c r="C2745" s="2">
        <v>0.29166666666666669</v>
      </c>
      <c r="D2745">
        <v>8.8000000000000007</v>
      </c>
      <c r="E2745">
        <f>IF($D2745 &gt; 16, 0, $J$3*(16 - $D2745))</f>
        <v>1495.7902274450182</v>
      </c>
      <c r="F2745">
        <f>IF($D2745 &gt; 16, 0,$E2745*$J$5)</f>
        <v>16257743.982099904</v>
      </c>
      <c r="G2745">
        <f t="shared" si="42"/>
        <v>7.1999999999999993</v>
      </c>
    </row>
    <row r="2746" spans="2:7" x14ac:dyDescent="0.35">
      <c r="B2746" s="1">
        <v>45772</v>
      </c>
      <c r="C2746" s="2">
        <v>0.33333333333333331</v>
      </c>
      <c r="D2746">
        <v>9.1</v>
      </c>
      <c r="E2746">
        <f>IF($D2746 &gt; 16, 0, $J$3*(16 - $D2746))</f>
        <v>1433.4656346348092</v>
      </c>
      <c r="F2746">
        <f>IF($D2746 &gt; 16, 0,$E2746*$J$5)</f>
        <v>15580337.982845742</v>
      </c>
      <c r="G2746">
        <f t="shared" si="42"/>
        <v>6.9</v>
      </c>
    </row>
    <row r="2747" spans="2:7" x14ac:dyDescent="0.35">
      <c r="B2747" s="1">
        <v>45772</v>
      </c>
      <c r="C2747" s="2">
        <v>0.375</v>
      </c>
      <c r="D2747">
        <v>9.5</v>
      </c>
      <c r="E2747">
        <f>IF($D2747 &gt; 16, 0, $J$3*(16 - $D2747))</f>
        <v>1350.3661775545304</v>
      </c>
      <c r="F2747">
        <f>IF($D2747 &gt; 16, 0,$E2747*$J$5)</f>
        <v>14677129.983840192</v>
      </c>
      <c r="G2747">
        <f t="shared" si="42"/>
        <v>6.5</v>
      </c>
    </row>
    <row r="2748" spans="2:7" x14ac:dyDescent="0.35">
      <c r="B2748" s="1">
        <v>45772</v>
      </c>
      <c r="C2748" s="2">
        <v>0.41666666666666669</v>
      </c>
      <c r="D2748">
        <v>10.7</v>
      </c>
      <c r="E2748">
        <f>IF($D2748 &gt; 16, 0, $J$3*(16 - $D2748))</f>
        <v>1101.0678063136943</v>
      </c>
      <c r="F2748">
        <f>IF($D2748 &gt; 16, 0,$E2748*$J$5)</f>
        <v>11967505.986823544</v>
      </c>
      <c r="G2748">
        <f t="shared" si="42"/>
        <v>5.3000000000000007</v>
      </c>
    </row>
    <row r="2749" spans="2:7" x14ac:dyDescent="0.35">
      <c r="B2749" s="1">
        <v>45772</v>
      </c>
      <c r="C2749" s="2">
        <v>0.45833333333333331</v>
      </c>
      <c r="D2749">
        <v>12.6</v>
      </c>
      <c r="E2749">
        <f>IF($D2749 &gt; 16, 0, $J$3*(16 - $D2749))</f>
        <v>706.3453851823698</v>
      </c>
      <c r="F2749">
        <f>IF($D2749 &gt; 16, 0,$E2749*$J$5)</f>
        <v>7677267.9915471775</v>
      </c>
      <c r="G2749">
        <f t="shared" si="42"/>
        <v>3.4000000000000004</v>
      </c>
    </row>
    <row r="2750" spans="2:7" x14ac:dyDescent="0.35">
      <c r="B2750" s="1">
        <v>45772</v>
      </c>
      <c r="C2750" s="2">
        <v>0.5</v>
      </c>
      <c r="D2750">
        <v>14.1</v>
      </c>
      <c r="E2750">
        <f>IF($D2750 &gt; 16, 0, $J$3*(16 - $D2750))</f>
        <v>394.72242113132438</v>
      </c>
      <c r="F2750">
        <f>IF($D2750 &gt; 16, 0,$E2750*$J$5)</f>
        <v>4290237.9952763645</v>
      </c>
      <c r="G2750">
        <f t="shared" si="42"/>
        <v>1.9000000000000004</v>
      </c>
    </row>
    <row r="2751" spans="2:7" x14ac:dyDescent="0.35">
      <c r="B2751" s="1">
        <v>45772</v>
      </c>
      <c r="C2751" s="2">
        <v>0.54166666666666663</v>
      </c>
      <c r="D2751">
        <v>14.7</v>
      </c>
      <c r="E2751">
        <f>IF($D2751 &gt; 16, 0, $J$3*(16 - $D2751))</f>
        <v>270.07323551090622</v>
      </c>
      <c r="F2751">
        <f>IF($D2751 &gt; 16, 0,$E2751*$J$5)</f>
        <v>2935425.9967680397</v>
      </c>
      <c r="G2751">
        <f t="shared" si="42"/>
        <v>1.3000000000000007</v>
      </c>
    </row>
    <row r="2752" spans="2:7" x14ac:dyDescent="0.35">
      <c r="B2752" s="1">
        <v>45772</v>
      </c>
      <c r="C2752" s="2">
        <v>0.58333333333333337</v>
      </c>
      <c r="D2752">
        <v>15.7</v>
      </c>
      <c r="E2752">
        <f>IF($D2752 &gt; 16, 0, $J$3*(16 - $D2752))</f>
        <v>62.324592810209246</v>
      </c>
      <c r="F2752">
        <f>IF($D2752 &gt; 16, 0,$E2752*$J$5)</f>
        <v>677405.99925416429</v>
      </c>
      <c r="G2752">
        <f t="shared" si="42"/>
        <v>0.30000000000000071</v>
      </c>
    </row>
    <row r="2753" spans="2:7" x14ac:dyDescent="0.35">
      <c r="B2753" s="1">
        <v>45772</v>
      </c>
      <c r="C2753" s="2">
        <v>0.625</v>
      </c>
      <c r="D2753">
        <v>15.4</v>
      </c>
      <c r="E2753">
        <f>IF($D2753 &gt; 16, 0, $J$3*(16 - $D2753))</f>
        <v>124.64918562041812</v>
      </c>
      <c r="F2753">
        <f>IF($D2753 &gt; 16, 0,$E2753*$J$5)</f>
        <v>1354811.9985083246</v>
      </c>
      <c r="G2753">
        <f t="shared" si="42"/>
        <v>0.59999999999999964</v>
      </c>
    </row>
    <row r="2754" spans="2:7" x14ac:dyDescent="0.35">
      <c r="B2754" s="1">
        <v>45772</v>
      </c>
      <c r="C2754" s="2">
        <v>0.66666666666666663</v>
      </c>
      <c r="D2754">
        <v>15.1</v>
      </c>
      <c r="E2754">
        <f>IF($D2754 &gt; 16, 0, $J$3*(16 - $D2754))</f>
        <v>186.97377843062736</v>
      </c>
      <c r="F2754">
        <f>IF($D2754 &gt; 16, 0,$E2754*$J$5)</f>
        <v>2032217.9977624889</v>
      </c>
      <c r="G2754">
        <f t="shared" si="42"/>
        <v>0.90000000000000036</v>
      </c>
    </row>
    <row r="2755" spans="2:7" x14ac:dyDescent="0.35">
      <c r="B2755" s="1">
        <v>45772</v>
      </c>
      <c r="C2755" s="2">
        <v>0.70833333333333337</v>
      </c>
      <c r="D2755">
        <v>14.2</v>
      </c>
      <c r="E2755">
        <f>IF($D2755 &gt; 16, 0, $J$3*(16 - $D2755))</f>
        <v>373.94755686125472</v>
      </c>
      <c r="F2755">
        <f>IF($D2755 &gt; 16, 0,$E2755*$J$5)</f>
        <v>4064435.9955249778</v>
      </c>
      <c r="G2755">
        <f t="shared" ref="G2755:G2818" si="43">MAX(0, 16 - $D2755)</f>
        <v>1.8000000000000007</v>
      </c>
    </row>
    <row r="2756" spans="2:7" x14ac:dyDescent="0.35">
      <c r="B2756" s="1">
        <v>45772</v>
      </c>
      <c r="C2756" s="2">
        <v>0.75</v>
      </c>
      <c r="D2756">
        <v>13</v>
      </c>
      <c r="E2756">
        <f>IF($D2756 &gt; 16, 0, $J$3*(16 - $D2756))</f>
        <v>623.24592810209094</v>
      </c>
      <c r="F2756">
        <f>IF($D2756 &gt; 16, 0,$E2756*$J$5)</f>
        <v>6774059.9925416261</v>
      </c>
      <c r="G2756">
        <f t="shared" si="43"/>
        <v>3</v>
      </c>
    </row>
    <row r="2757" spans="2:7" x14ac:dyDescent="0.35">
      <c r="B2757" s="1">
        <v>45772</v>
      </c>
      <c r="C2757" s="2">
        <v>0.79166666666666663</v>
      </c>
      <c r="D2757">
        <v>10.4</v>
      </c>
      <c r="E2757">
        <f>IF($D2757 &gt; 16, 0, $J$3*(16 - $D2757))</f>
        <v>1163.392399123903</v>
      </c>
      <c r="F2757">
        <f>IF($D2757 &gt; 16, 0,$E2757*$J$5)</f>
        <v>12644911.986077702</v>
      </c>
      <c r="G2757">
        <f t="shared" si="43"/>
        <v>5.6</v>
      </c>
    </row>
    <row r="2758" spans="2:7" x14ac:dyDescent="0.35">
      <c r="B2758" s="1">
        <v>45772</v>
      </c>
      <c r="C2758" s="2">
        <v>0.83333333333333337</v>
      </c>
      <c r="D2758">
        <v>9.5</v>
      </c>
      <c r="E2758">
        <f>IF($D2758 &gt; 16, 0, $J$3*(16 - $D2758))</f>
        <v>1350.3661775545304</v>
      </c>
      <c r="F2758">
        <f>IF($D2758 &gt; 16, 0,$E2758*$J$5)</f>
        <v>14677129.983840192</v>
      </c>
      <c r="G2758">
        <f t="shared" si="43"/>
        <v>6.5</v>
      </c>
    </row>
    <row r="2759" spans="2:7" x14ac:dyDescent="0.35">
      <c r="B2759" s="1">
        <v>45772</v>
      </c>
      <c r="C2759" s="2">
        <v>0.875</v>
      </c>
      <c r="D2759">
        <v>8.1</v>
      </c>
      <c r="E2759">
        <f>IF($D2759 &gt; 16, 0, $J$3*(16 - $D2759))</f>
        <v>1641.2142773355063</v>
      </c>
      <c r="F2759">
        <f>IF($D2759 &gt; 16, 0,$E2759*$J$5)</f>
        <v>17838357.980359618</v>
      </c>
      <c r="G2759">
        <f t="shared" si="43"/>
        <v>7.9</v>
      </c>
    </row>
    <row r="2760" spans="2:7" x14ac:dyDescent="0.35">
      <c r="B2760" s="1">
        <v>45772</v>
      </c>
      <c r="C2760" s="2">
        <v>0.91666666666666663</v>
      </c>
      <c r="D2760">
        <v>7</v>
      </c>
      <c r="E2760">
        <f>IF($D2760 &gt; 16, 0, $J$3*(16 - $D2760))</f>
        <v>1869.7377843062729</v>
      </c>
      <c r="F2760">
        <f>IF($D2760 &gt; 16, 0,$E2760*$J$5)</f>
        <v>20322179.977624882</v>
      </c>
      <c r="G2760">
        <f t="shared" si="43"/>
        <v>9</v>
      </c>
    </row>
    <row r="2761" spans="2:7" x14ac:dyDescent="0.35">
      <c r="B2761" s="1">
        <v>45772</v>
      </c>
      <c r="C2761" s="2">
        <v>0.95833333333333337</v>
      </c>
      <c r="D2761">
        <v>5.3</v>
      </c>
      <c r="E2761">
        <f>IF($D2761 &gt; 16, 0, $J$3*(16 - $D2761))</f>
        <v>2222.9104768974576</v>
      </c>
      <c r="F2761">
        <f>IF($D2761 &gt; 16, 0,$E2761*$J$5)</f>
        <v>24160813.973398466</v>
      </c>
      <c r="G2761">
        <f t="shared" si="43"/>
        <v>10.7</v>
      </c>
    </row>
    <row r="2762" spans="2:7" x14ac:dyDescent="0.35">
      <c r="B2762" s="1">
        <v>45773</v>
      </c>
      <c r="C2762" s="2">
        <v>0</v>
      </c>
      <c r="D2762">
        <v>4.9000000000000004</v>
      </c>
      <c r="E2762">
        <f>IF($D2762 &gt; 16, 0, $J$3*(16 - $D2762))</f>
        <v>2306.0099339777366</v>
      </c>
      <c r="F2762">
        <f>IF($D2762 &gt; 16, 0,$E2762*$J$5)</f>
        <v>25064021.972404018</v>
      </c>
      <c r="G2762">
        <f t="shared" si="43"/>
        <v>11.1</v>
      </c>
    </row>
    <row r="2763" spans="2:7" x14ac:dyDescent="0.35">
      <c r="B2763" s="1">
        <v>45773</v>
      </c>
      <c r="C2763" s="2">
        <v>4.1666666666666657E-2</v>
      </c>
      <c r="D2763">
        <v>4.0999999999999996</v>
      </c>
      <c r="E2763">
        <f>IF($D2763 &gt; 16, 0, $J$3*(16 - $D2763))</f>
        <v>2472.2088481382943</v>
      </c>
      <c r="F2763">
        <f>IF($D2763 &gt; 16, 0,$E2763*$J$5)</f>
        <v>26870437.970415123</v>
      </c>
      <c r="G2763">
        <f t="shared" si="43"/>
        <v>11.9</v>
      </c>
    </row>
    <row r="2764" spans="2:7" x14ac:dyDescent="0.35">
      <c r="B2764" s="1">
        <v>45773</v>
      </c>
      <c r="C2764" s="2">
        <v>8.3333333333333329E-2</v>
      </c>
      <c r="D2764">
        <v>4.5</v>
      </c>
      <c r="E2764">
        <f>IF($D2764 &gt; 16, 0, $J$3*(16 - $D2764))</f>
        <v>2389.1093910580153</v>
      </c>
      <c r="F2764">
        <f>IF($D2764 &gt; 16, 0,$E2764*$J$5)</f>
        <v>25967229.971409567</v>
      </c>
      <c r="G2764">
        <f t="shared" si="43"/>
        <v>11.5</v>
      </c>
    </row>
    <row r="2765" spans="2:7" x14ac:dyDescent="0.35">
      <c r="B2765" s="1">
        <v>45773</v>
      </c>
      <c r="C2765" s="2">
        <v>0.125</v>
      </c>
      <c r="D2765">
        <v>3.8</v>
      </c>
      <c r="E2765">
        <f>IF($D2765 &gt; 16, 0, $J$3*(16 - $D2765))</f>
        <v>2534.5334409485031</v>
      </c>
      <c r="F2765">
        <f>IF($D2765 &gt; 16, 0,$E2765*$J$5)</f>
        <v>27547843.969669279</v>
      </c>
      <c r="G2765">
        <f t="shared" si="43"/>
        <v>12.2</v>
      </c>
    </row>
    <row r="2766" spans="2:7" x14ac:dyDescent="0.35">
      <c r="B2766" s="1">
        <v>45773</v>
      </c>
      <c r="C2766" s="2">
        <v>0.16666666666666671</v>
      </c>
      <c r="D2766">
        <v>3.8</v>
      </c>
      <c r="E2766">
        <f>IF($D2766 &gt; 16, 0, $J$3*(16 - $D2766))</f>
        <v>2534.5334409485031</v>
      </c>
      <c r="F2766">
        <f>IF($D2766 &gt; 16, 0,$E2766*$J$5)</f>
        <v>27547843.969669279</v>
      </c>
      <c r="G2766">
        <f t="shared" si="43"/>
        <v>12.2</v>
      </c>
    </row>
    <row r="2767" spans="2:7" x14ac:dyDescent="0.35">
      <c r="B2767" s="1">
        <v>45773</v>
      </c>
      <c r="C2767" s="2">
        <v>0.20833333333333329</v>
      </c>
      <c r="D2767">
        <v>4.0999999999999996</v>
      </c>
      <c r="E2767">
        <f>IF($D2767 &gt; 16, 0, $J$3*(16 - $D2767))</f>
        <v>2472.2088481382943</v>
      </c>
      <c r="F2767">
        <f>IF($D2767 &gt; 16, 0,$E2767*$J$5)</f>
        <v>26870437.970415123</v>
      </c>
      <c r="G2767">
        <f t="shared" si="43"/>
        <v>11.9</v>
      </c>
    </row>
    <row r="2768" spans="2:7" x14ac:dyDescent="0.35">
      <c r="B2768" s="1">
        <v>45773</v>
      </c>
      <c r="C2768" s="2">
        <v>0.25</v>
      </c>
      <c r="D2768">
        <v>6.7</v>
      </c>
      <c r="E2768">
        <f>IF($D2768 &gt; 16, 0, $J$3*(16 - $D2768))</f>
        <v>1932.0623771164821</v>
      </c>
      <c r="F2768">
        <f>IF($D2768 &gt; 16, 0,$E2768*$J$5)</f>
        <v>20999585.976879045</v>
      </c>
      <c r="G2768">
        <f t="shared" si="43"/>
        <v>9.3000000000000007</v>
      </c>
    </row>
    <row r="2769" spans="2:7" x14ac:dyDescent="0.35">
      <c r="B2769" s="1">
        <v>45773</v>
      </c>
      <c r="C2769" s="2">
        <v>0.29166666666666669</v>
      </c>
      <c r="D2769">
        <v>9.1999999999999993</v>
      </c>
      <c r="E2769">
        <f>IF($D2769 &gt; 16, 0, $J$3*(16 - $D2769))</f>
        <v>1412.6907703647396</v>
      </c>
      <c r="F2769">
        <f>IF($D2769 &gt; 16, 0,$E2769*$J$5)</f>
        <v>15354535.983094355</v>
      </c>
      <c r="G2769">
        <f t="shared" si="43"/>
        <v>6.8000000000000007</v>
      </c>
    </row>
    <row r="2770" spans="2:7" x14ac:dyDescent="0.35">
      <c r="B2770" s="1">
        <v>45773</v>
      </c>
      <c r="C2770" s="2">
        <v>0.33333333333333331</v>
      </c>
      <c r="D2770">
        <v>11.3</v>
      </c>
      <c r="E2770">
        <f>IF($D2770 &gt; 16, 0, $J$3*(16 - $D2770))</f>
        <v>976.41862069327567</v>
      </c>
      <c r="F2770">
        <f>IF($D2770 &gt; 16, 0,$E2770*$J$5)</f>
        <v>10612693.988315213</v>
      </c>
      <c r="G2770">
        <f t="shared" si="43"/>
        <v>4.6999999999999993</v>
      </c>
    </row>
    <row r="2771" spans="2:7" x14ac:dyDescent="0.35">
      <c r="B2771" s="1">
        <v>45773</v>
      </c>
      <c r="C2771" s="2">
        <v>0.375</v>
      </c>
      <c r="D2771">
        <v>13.1</v>
      </c>
      <c r="E2771">
        <f>IF($D2771 &gt; 16, 0, $J$3*(16 - $D2771))</f>
        <v>602.4710638320214</v>
      </c>
      <c r="F2771">
        <f>IF($D2771 &gt; 16, 0,$E2771*$J$5)</f>
        <v>6548257.9927902408</v>
      </c>
      <c r="G2771">
        <f t="shared" si="43"/>
        <v>2.9000000000000004</v>
      </c>
    </row>
    <row r="2772" spans="2:7" x14ac:dyDescent="0.35">
      <c r="B2772" s="1">
        <v>45773</v>
      </c>
      <c r="C2772" s="2">
        <v>0.41666666666666669</v>
      </c>
      <c r="D2772">
        <v>14.8</v>
      </c>
      <c r="E2772">
        <f>IF($D2772 &gt; 16, 0, $J$3*(16 - $D2772))</f>
        <v>249.29837124083625</v>
      </c>
      <c r="F2772">
        <f>IF($D2772 &gt; 16, 0,$E2772*$J$5)</f>
        <v>2709623.9970166492</v>
      </c>
      <c r="G2772">
        <f t="shared" si="43"/>
        <v>1.1999999999999993</v>
      </c>
    </row>
    <row r="2773" spans="2:7" x14ac:dyDescent="0.35">
      <c r="B2773" s="1">
        <v>45773</v>
      </c>
      <c r="C2773" s="2">
        <v>0.45833333333333331</v>
      </c>
      <c r="D2773">
        <v>15.6</v>
      </c>
      <c r="E2773">
        <f>IF($D2773 &gt; 16, 0, $J$3*(16 - $D2773))</f>
        <v>83.099457080278867</v>
      </c>
      <c r="F2773">
        <f>IF($D2773 &gt; 16, 0,$E2773*$J$5)</f>
        <v>903207.99900555098</v>
      </c>
      <c r="G2773">
        <f t="shared" si="43"/>
        <v>0.40000000000000036</v>
      </c>
    </row>
    <row r="2774" spans="2:7" x14ac:dyDescent="0.35">
      <c r="B2774" s="1">
        <v>45773</v>
      </c>
      <c r="C2774" s="2">
        <v>0.5</v>
      </c>
      <c r="D2774">
        <v>16.7</v>
      </c>
      <c r="E2774">
        <f>IF($D2774 &gt; 16, 0, $J$3*(16 - $D2774))</f>
        <v>0</v>
      </c>
      <c r="F2774">
        <f>IF($D2774 &gt; 16, 0,$E2774*$J$5)</f>
        <v>0</v>
      </c>
      <c r="G2774">
        <f t="shared" si="43"/>
        <v>0</v>
      </c>
    </row>
    <row r="2775" spans="2:7" x14ac:dyDescent="0.35">
      <c r="B2775" s="1">
        <v>45773</v>
      </c>
      <c r="C2775" s="2">
        <v>0.54166666666666663</v>
      </c>
      <c r="D2775">
        <v>16.7</v>
      </c>
      <c r="E2775">
        <f>IF($D2775 &gt; 16, 0, $J$3*(16 - $D2775))</f>
        <v>0</v>
      </c>
      <c r="F2775">
        <f>IF($D2775 &gt; 16, 0,$E2775*$J$5)</f>
        <v>0</v>
      </c>
      <c r="G2775">
        <f t="shared" si="43"/>
        <v>0</v>
      </c>
    </row>
    <row r="2776" spans="2:7" x14ac:dyDescent="0.35">
      <c r="B2776" s="1">
        <v>45773</v>
      </c>
      <c r="C2776" s="2">
        <v>0.58333333333333337</v>
      </c>
      <c r="D2776">
        <v>16.899999999999999</v>
      </c>
      <c r="E2776">
        <f>IF($D2776 &gt; 16, 0, $J$3*(16 - $D2776))</f>
        <v>0</v>
      </c>
      <c r="F2776">
        <f>IF($D2776 &gt; 16, 0,$E2776*$J$5)</f>
        <v>0</v>
      </c>
      <c r="G2776">
        <f t="shared" si="43"/>
        <v>0</v>
      </c>
    </row>
    <row r="2777" spans="2:7" x14ac:dyDescent="0.35">
      <c r="B2777" s="1">
        <v>45773</v>
      </c>
      <c r="C2777" s="2">
        <v>0.625</v>
      </c>
      <c r="D2777">
        <v>17.899999999999999</v>
      </c>
      <c r="E2777">
        <f>IF($D2777 &gt; 16, 0, $J$3*(16 - $D2777))</f>
        <v>0</v>
      </c>
      <c r="F2777">
        <f>IF($D2777 &gt; 16, 0,$E2777*$J$5)</f>
        <v>0</v>
      </c>
      <c r="G2777">
        <f t="shared" si="43"/>
        <v>0</v>
      </c>
    </row>
    <row r="2778" spans="2:7" x14ac:dyDescent="0.35">
      <c r="B2778" s="1">
        <v>45773</v>
      </c>
      <c r="C2778" s="2">
        <v>0.66666666666666663</v>
      </c>
      <c r="D2778">
        <v>17.5</v>
      </c>
      <c r="E2778">
        <f>IF($D2778 &gt; 16, 0, $J$3*(16 - $D2778))</f>
        <v>0</v>
      </c>
      <c r="F2778">
        <f>IF($D2778 &gt; 16, 0,$E2778*$J$5)</f>
        <v>0</v>
      </c>
      <c r="G2778">
        <f t="shared" si="43"/>
        <v>0</v>
      </c>
    </row>
    <row r="2779" spans="2:7" x14ac:dyDescent="0.35">
      <c r="B2779" s="1">
        <v>45773</v>
      </c>
      <c r="C2779" s="2">
        <v>0.70833333333333337</v>
      </c>
      <c r="D2779">
        <v>16</v>
      </c>
      <c r="E2779">
        <f>IF($D2779 &gt; 16, 0, $J$3*(16 - $D2779))</f>
        <v>0</v>
      </c>
      <c r="F2779">
        <f>IF($D2779 &gt; 16, 0,$E2779*$J$5)</f>
        <v>0</v>
      </c>
      <c r="G2779">
        <f t="shared" si="43"/>
        <v>0</v>
      </c>
    </row>
    <row r="2780" spans="2:7" x14ac:dyDescent="0.35">
      <c r="B2780" s="1">
        <v>45773</v>
      </c>
      <c r="C2780" s="2">
        <v>0.75</v>
      </c>
      <c r="D2780">
        <v>15.2</v>
      </c>
      <c r="E2780">
        <f>IF($D2780 &gt; 16, 0, $J$3*(16 - $D2780))</f>
        <v>166.19891416055773</v>
      </c>
      <c r="F2780">
        <f>IF($D2780 &gt; 16, 0,$E2780*$J$5)</f>
        <v>1806415.998011102</v>
      </c>
      <c r="G2780">
        <f t="shared" si="43"/>
        <v>0.80000000000000071</v>
      </c>
    </row>
    <row r="2781" spans="2:7" x14ac:dyDescent="0.35">
      <c r="B2781" s="1">
        <v>45773</v>
      </c>
      <c r="C2781" s="2">
        <v>0.79166666666666663</v>
      </c>
      <c r="D2781">
        <v>12.7</v>
      </c>
      <c r="E2781">
        <f>IF($D2781 &gt; 16, 0, $J$3*(16 - $D2781))</f>
        <v>685.57052091230025</v>
      </c>
      <c r="F2781">
        <f>IF($D2781 &gt; 16, 0,$E2781*$J$5)</f>
        <v>7451465.9917957913</v>
      </c>
      <c r="G2781">
        <f t="shared" si="43"/>
        <v>3.3000000000000007</v>
      </c>
    </row>
    <row r="2782" spans="2:7" x14ac:dyDescent="0.35">
      <c r="B2782" s="1">
        <v>45773</v>
      </c>
      <c r="C2782" s="2">
        <v>0.83333333333333337</v>
      </c>
      <c r="D2782">
        <v>11</v>
      </c>
      <c r="E2782">
        <f>IF($D2782 &gt; 16, 0, $J$3*(16 - $D2782))</f>
        <v>1038.7432135034849</v>
      </c>
      <c r="F2782">
        <f>IF($D2782 &gt; 16, 0,$E2782*$J$5)</f>
        <v>11290099.987569377</v>
      </c>
      <c r="G2782">
        <f t="shared" si="43"/>
        <v>5</v>
      </c>
    </row>
    <row r="2783" spans="2:7" x14ac:dyDescent="0.35">
      <c r="B2783" s="1">
        <v>45773</v>
      </c>
      <c r="C2783" s="2">
        <v>0.875</v>
      </c>
      <c r="D2783">
        <v>11.1</v>
      </c>
      <c r="E2783">
        <f>IF($D2783 &gt; 16, 0, $J$3*(16 - $D2783))</f>
        <v>1017.9683492334153</v>
      </c>
      <c r="F2783">
        <f>IF($D2783 &gt; 16, 0,$E2783*$J$5)</f>
        <v>11064297.987817992</v>
      </c>
      <c r="G2783">
        <f t="shared" si="43"/>
        <v>4.9000000000000004</v>
      </c>
    </row>
    <row r="2784" spans="2:7" x14ac:dyDescent="0.35">
      <c r="B2784" s="1">
        <v>45773</v>
      </c>
      <c r="C2784" s="2">
        <v>0.91666666666666663</v>
      </c>
      <c r="D2784">
        <v>10.3</v>
      </c>
      <c r="E2784">
        <f>IF($D2784 &gt; 16, 0, $J$3*(16 - $D2784))</f>
        <v>1184.1672633939727</v>
      </c>
      <c r="F2784">
        <f>IF($D2784 &gt; 16, 0,$E2784*$J$5)</f>
        <v>12870713.985829089</v>
      </c>
      <c r="G2784">
        <f t="shared" si="43"/>
        <v>5.6999999999999993</v>
      </c>
    </row>
    <row r="2785" spans="2:7" x14ac:dyDescent="0.35">
      <c r="B2785" s="1">
        <v>45773</v>
      </c>
      <c r="C2785" s="2">
        <v>0.95833333333333337</v>
      </c>
      <c r="D2785">
        <v>9.5</v>
      </c>
      <c r="E2785">
        <f>IF($D2785 &gt; 16, 0, $J$3*(16 - $D2785))</f>
        <v>1350.3661775545304</v>
      </c>
      <c r="F2785">
        <f>IF($D2785 &gt; 16, 0,$E2785*$J$5)</f>
        <v>14677129.983840192</v>
      </c>
      <c r="G2785">
        <f t="shared" si="43"/>
        <v>6.5</v>
      </c>
    </row>
    <row r="2786" spans="2:7" x14ac:dyDescent="0.35">
      <c r="B2786" s="1">
        <v>45774</v>
      </c>
      <c r="C2786" s="2">
        <v>0</v>
      </c>
      <c r="D2786">
        <v>8.5</v>
      </c>
      <c r="E2786">
        <f>IF($D2786 &gt; 16, 0, $J$3*(16 - $D2786))</f>
        <v>1558.1148202552274</v>
      </c>
      <c r="F2786">
        <f>IF($D2786 &gt; 16, 0,$E2786*$J$5)</f>
        <v>16935149.981354065</v>
      </c>
      <c r="G2786">
        <f t="shared" si="43"/>
        <v>7.5</v>
      </c>
    </row>
    <row r="2787" spans="2:7" x14ac:dyDescent="0.35">
      <c r="B2787" s="1">
        <v>45774</v>
      </c>
      <c r="C2787" s="2">
        <v>4.1666666666666657E-2</v>
      </c>
      <c r="D2787">
        <v>7.6</v>
      </c>
      <c r="E2787">
        <f>IF($D2787 &gt; 16, 0, $J$3*(16 - $D2787))</f>
        <v>1745.0885986858548</v>
      </c>
      <c r="F2787">
        <f>IF($D2787 &gt; 16, 0,$E2787*$J$5)</f>
        <v>18967367.979116555</v>
      </c>
      <c r="G2787">
        <f t="shared" si="43"/>
        <v>8.4</v>
      </c>
    </row>
    <row r="2788" spans="2:7" x14ac:dyDescent="0.35">
      <c r="B2788" s="1">
        <v>45774</v>
      </c>
      <c r="C2788" s="2">
        <v>8.3333333333333329E-2</v>
      </c>
      <c r="D2788">
        <v>6.6</v>
      </c>
      <c r="E2788">
        <f>IF($D2788 &gt; 16, 0, $J$3*(16 - $D2788))</f>
        <v>1952.8372413865518</v>
      </c>
      <c r="F2788">
        <f>IF($D2788 &gt; 16, 0,$E2788*$J$5)</f>
        <v>21225387.976630431</v>
      </c>
      <c r="G2788">
        <f t="shared" si="43"/>
        <v>9.4</v>
      </c>
    </row>
    <row r="2789" spans="2:7" x14ac:dyDescent="0.35">
      <c r="B2789" s="1">
        <v>45774</v>
      </c>
      <c r="C2789" s="2">
        <v>0.125</v>
      </c>
      <c r="D2789">
        <v>6</v>
      </c>
      <c r="E2789">
        <f>IF($D2789 &gt; 16, 0, $J$3*(16 - $D2789))</f>
        <v>2077.4864270069697</v>
      </c>
      <c r="F2789">
        <f>IF($D2789 &gt; 16, 0,$E2789*$J$5)</f>
        <v>22580199.975138754</v>
      </c>
      <c r="G2789">
        <f t="shared" si="43"/>
        <v>10</v>
      </c>
    </row>
    <row r="2790" spans="2:7" x14ac:dyDescent="0.35">
      <c r="B2790" s="1">
        <v>45774</v>
      </c>
      <c r="C2790" s="2">
        <v>0.16666666666666671</v>
      </c>
      <c r="D2790">
        <v>4.4000000000000004</v>
      </c>
      <c r="E2790">
        <f>IF($D2790 &gt; 16, 0, $J$3*(16 - $D2790))</f>
        <v>2409.8842553280851</v>
      </c>
      <c r="F2790">
        <f>IF($D2790 &gt; 16, 0,$E2790*$J$5)</f>
        <v>26193031.971160956</v>
      </c>
      <c r="G2790">
        <f t="shared" si="43"/>
        <v>11.6</v>
      </c>
    </row>
    <row r="2791" spans="2:7" x14ac:dyDescent="0.35">
      <c r="B2791" s="1">
        <v>45774</v>
      </c>
      <c r="C2791" s="2">
        <v>0.20833333333333329</v>
      </c>
      <c r="D2791">
        <v>5.6</v>
      </c>
      <c r="E2791">
        <f>IF($D2791 &gt; 16, 0, $J$3*(16 - $D2791))</f>
        <v>2160.5858840872488</v>
      </c>
      <c r="F2791">
        <f>IF($D2791 &gt; 16, 0,$E2791*$J$5)</f>
        <v>23483407.974144306</v>
      </c>
      <c r="G2791">
        <f t="shared" si="43"/>
        <v>10.4</v>
      </c>
    </row>
    <row r="2792" spans="2:7" x14ac:dyDescent="0.35">
      <c r="B2792" s="1">
        <v>45774</v>
      </c>
      <c r="C2792" s="2">
        <v>0.25</v>
      </c>
      <c r="D2792">
        <v>7</v>
      </c>
      <c r="E2792">
        <f>IF($D2792 &gt; 16, 0, $J$3*(16 - $D2792))</f>
        <v>1869.7377843062729</v>
      </c>
      <c r="F2792">
        <f>IF($D2792 &gt; 16, 0,$E2792*$J$5)</f>
        <v>20322179.977624882</v>
      </c>
      <c r="G2792">
        <f t="shared" si="43"/>
        <v>9</v>
      </c>
    </row>
    <row r="2793" spans="2:7" x14ac:dyDescent="0.35">
      <c r="B2793" s="1">
        <v>45774</v>
      </c>
      <c r="C2793" s="2">
        <v>0.29166666666666669</v>
      </c>
      <c r="D2793">
        <v>9.1</v>
      </c>
      <c r="E2793">
        <f>IF($D2793 &gt; 16, 0, $J$3*(16 - $D2793))</f>
        <v>1433.4656346348092</v>
      </c>
      <c r="F2793">
        <f>IF($D2793 &gt; 16, 0,$E2793*$J$5)</f>
        <v>15580337.982845742</v>
      </c>
      <c r="G2793">
        <f t="shared" si="43"/>
        <v>6.9</v>
      </c>
    </row>
    <row r="2794" spans="2:7" x14ac:dyDescent="0.35">
      <c r="B2794" s="1">
        <v>45774</v>
      </c>
      <c r="C2794" s="2">
        <v>0.33333333333333331</v>
      </c>
      <c r="D2794">
        <v>12.1</v>
      </c>
      <c r="E2794">
        <f>IF($D2794 &gt; 16, 0, $J$3*(16 - $D2794))</f>
        <v>810.21970653271831</v>
      </c>
      <c r="F2794">
        <f>IF($D2794 &gt; 16, 0,$E2794*$J$5)</f>
        <v>8806277.9903041162</v>
      </c>
      <c r="G2794">
        <f t="shared" si="43"/>
        <v>3.9000000000000004</v>
      </c>
    </row>
    <row r="2795" spans="2:7" x14ac:dyDescent="0.35">
      <c r="B2795" s="1">
        <v>45774</v>
      </c>
      <c r="C2795" s="2">
        <v>0.375</v>
      </c>
      <c r="D2795">
        <v>13.5</v>
      </c>
      <c r="E2795">
        <f>IF($D2795 &gt; 16, 0, $J$3*(16 - $D2795))</f>
        <v>519.37160675174243</v>
      </c>
      <c r="F2795">
        <f>IF($D2795 &gt; 16, 0,$E2795*$J$5)</f>
        <v>5645049.9937846884</v>
      </c>
      <c r="G2795">
        <f t="shared" si="43"/>
        <v>2.5</v>
      </c>
    </row>
    <row r="2796" spans="2:7" x14ac:dyDescent="0.35">
      <c r="B2796" s="1">
        <v>45774</v>
      </c>
      <c r="C2796" s="2">
        <v>0.41666666666666669</v>
      </c>
      <c r="D2796">
        <v>14.2</v>
      </c>
      <c r="E2796">
        <f>IF($D2796 &gt; 16, 0, $J$3*(16 - $D2796))</f>
        <v>373.94755686125472</v>
      </c>
      <c r="F2796">
        <f>IF($D2796 &gt; 16, 0,$E2796*$J$5)</f>
        <v>4064435.9955249778</v>
      </c>
      <c r="G2796">
        <f t="shared" si="43"/>
        <v>1.8000000000000007</v>
      </c>
    </row>
    <row r="2797" spans="2:7" x14ac:dyDescent="0.35">
      <c r="B2797" s="1">
        <v>45774</v>
      </c>
      <c r="C2797" s="2">
        <v>0.45833333333333331</v>
      </c>
      <c r="D2797">
        <v>15.4</v>
      </c>
      <c r="E2797">
        <f>IF($D2797 &gt; 16, 0, $J$3*(16 - $D2797))</f>
        <v>124.64918562041812</v>
      </c>
      <c r="F2797">
        <f>IF($D2797 &gt; 16, 0,$E2797*$J$5)</f>
        <v>1354811.9985083246</v>
      </c>
      <c r="G2797">
        <f t="shared" si="43"/>
        <v>0.59999999999999964</v>
      </c>
    </row>
    <row r="2798" spans="2:7" x14ac:dyDescent="0.35">
      <c r="B2798" s="1">
        <v>45774</v>
      </c>
      <c r="C2798" s="2">
        <v>0.5</v>
      </c>
      <c r="D2798">
        <v>15.7</v>
      </c>
      <c r="E2798">
        <f>IF($D2798 &gt; 16, 0, $J$3*(16 - $D2798))</f>
        <v>62.324592810209246</v>
      </c>
      <c r="F2798">
        <f>IF($D2798 &gt; 16, 0,$E2798*$J$5)</f>
        <v>677405.99925416429</v>
      </c>
      <c r="G2798">
        <f t="shared" si="43"/>
        <v>0.30000000000000071</v>
      </c>
    </row>
    <row r="2799" spans="2:7" x14ac:dyDescent="0.35">
      <c r="B2799" s="1">
        <v>45774</v>
      </c>
      <c r="C2799" s="2">
        <v>0.54166666666666663</v>
      </c>
      <c r="D2799">
        <v>16.600000000000001</v>
      </c>
      <c r="E2799">
        <f>IF($D2799 &gt; 16, 0, $J$3*(16 - $D2799))</f>
        <v>0</v>
      </c>
      <c r="F2799">
        <f>IF($D2799 &gt; 16, 0,$E2799*$J$5)</f>
        <v>0</v>
      </c>
      <c r="G2799">
        <f t="shared" si="43"/>
        <v>0</v>
      </c>
    </row>
    <row r="2800" spans="2:7" x14ac:dyDescent="0.35">
      <c r="B2800" s="1">
        <v>45774</v>
      </c>
      <c r="C2800" s="2">
        <v>0.58333333333333337</v>
      </c>
      <c r="D2800">
        <v>17.7</v>
      </c>
      <c r="E2800">
        <f>IF($D2800 &gt; 16, 0, $J$3*(16 - $D2800))</f>
        <v>0</v>
      </c>
      <c r="F2800">
        <f>IF($D2800 &gt; 16, 0,$E2800*$J$5)</f>
        <v>0</v>
      </c>
      <c r="G2800">
        <f t="shared" si="43"/>
        <v>0</v>
      </c>
    </row>
    <row r="2801" spans="2:7" x14ac:dyDescent="0.35">
      <c r="B2801" s="1">
        <v>45774</v>
      </c>
      <c r="C2801" s="2">
        <v>0.625</v>
      </c>
      <c r="D2801">
        <v>17.399999999999999</v>
      </c>
      <c r="E2801">
        <f>IF($D2801 &gt; 16, 0, $J$3*(16 - $D2801))</f>
        <v>0</v>
      </c>
      <c r="F2801">
        <f>IF($D2801 &gt; 16, 0,$E2801*$J$5)</f>
        <v>0</v>
      </c>
      <c r="G2801">
        <f t="shared" si="43"/>
        <v>0</v>
      </c>
    </row>
    <row r="2802" spans="2:7" x14ac:dyDescent="0.35">
      <c r="B2802" s="1">
        <v>45774</v>
      </c>
      <c r="C2802" s="2">
        <v>0.66666666666666663</v>
      </c>
      <c r="D2802">
        <v>18</v>
      </c>
      <c r="E2802">
        <f>IF($D2802 &gt; 16, 0, $J$3*(16 - $D2802))</f>
        <v>0</v>
      </c>
      <c r="F2802">
        <f>IF($D2802 &gt; 16, 0,$E2802*$J$5)</f>
        <v>0</v>
      </c>
      <c r="G2802">
        <f t="shared" si="43"/>
        <v>0</v>
      </c>
    </row>
    <row r="2803" spans="2:7" x14ac:dyDescent="0.35">
      <c r="B2803" s="1">
        <v>45774</v>
      </c>
      <c r="C2803" s="2">
        <v>0.70833333333333337</v>
      </c>
      <c r="D2803">
        <v>17</v>
      </c>
      <c r="E2803">
        <f>IF($D2803 &gt; 16, 0, $J$3*(16 - $D2803))</f>
        <v>0</v>
      </c>
      <c r="F2803">
        <f>IF($D2803 &gt; 16, 0,$E2803*$J$5)</f>
        <v>0</v>
      </c>
      <c r="G2803">
        <f t="shared" si="43"/>
        <v>0</v>
      </c>
    </row>
    <row r="2804" spans="2:7" x14ac:dyDescent="0.35">
      <c r="B2804" s="1">
        <v>45774</v>
      </c>
      <c r="C2804" s="2">
        <v>0.75</v>
      </c>
      <c r="D2804">
        <v>16.100000000000001</v>
      </c>
      <c r="E2804">
        <f>IF($D2804 &gt; 16, 0, $J$3*(16 - $D2804))</f>
        <v>0</v>
      </c>
      <c r="F2804">
        <f>IF($D2804 &gt; 16, 0,$E2804*$J$5)</f>
        <v>0</v>
      </c>
      <c r="G2804">
        <f t="shared" si="43"/>
        <v>0</v>
      </c>
    </row>
    <row r="2805" spans="2:7" x14ac:dyDescent="0.35">
      <c r="B2805" s="1">
        <v>45774</v>
      </c>
      <c r="C2805" s="2">
        <v>0.79166666666666663</v>
      </c>
      <c r="D2805">
        <v>14.9</v>
      </c>
      <c r="E2805">
        <f>IF($D2805 &gt; 16, 0, $J$3*(16 - $D2805))</f>
        <v>228.52350697076662</v>
      </c>
      <c r="F2805">
        <f>IF($D2805 &gt; 16, 0,$E2805*$J$5)</f>
        <v>2483821.9972652625</v>
      </c>
      <c r="G2805">
        <f t="shared" si="43"/>
        <v>1.0999999999999996</v>
      </c>
    </row>
    <row r="2806" spans="2:7" x14ac:dyDescent="0.35">
      <c r="B2806" s="1">
        <v>45774</v>
      </c>
      <c r="C2806" s="2">
        <v>0.83333333333333337</v>
      </c>
      <c r="D2806">
        <v>10.9</v>
      </c>
      <c r="E2806">
        <f>IF($D2806 &gt; 16, 0, $J$3*(16 - $D2806))</f>
        <v>1059.5180777735545</v>
      </c>
      <c r="F2806">
        <f>IF($D2806 &gt; 16, 0,$E2806*$J$5)</f>
        <v>11515901.987320764</v>
      </c>
      <c r="G2806">
        <f t="shared" si="43"/>
        <v>5.0999999999999996</v>
      </c>
    </row>
    <row r="2807" spans="2:7" x14ac:dyDescent="0.35">
      <c r="B2807" s="1">
        <v>45774</v>
      </c>
      <c r="C2807" s="2">
        <v>0.875</v>
      </c>
      <c r="D2807">
        <v>9.4</v>
      </c>
      <c r="E2807">
        <f>IF($D2807 &gt; 16, 0, $J$3*(16 - $D2807))</f>
        <v>1371.1410418246001</v>
      </c>
      <c r="F2807">
        <f>IF($D2807 &gt; 16, 0,$E2807*$J$5)</f>
        <v>14902931.983591577</v>
      </c>
      <c r="G2807">
        <f t="shared" si="43"/>
        <v>6.6</v>
      </c>
    </row>
    <row r="2808" spans="2:7" x14ac:dyDescent="0.35">
      <c r="B2808" s="1">
        <v>45774</v>
      </c>
      <c r="C2808" s="2">
        <v>0.91666666666666663</v>
      </c>
      <c r="D2808">
        <v>8.8000000000000007</v>
      </c>
      <c r="E2808">
        <f>IF($D2808 &gt; 16, 0, $J$3*(16 - $D2808))</f>
        <v>1495.7902274450182</v>
      </c>
      <c r="F2808">
        <f>IF($D2808 &gt; 16, 0,$E2808*$J$5)</f>
        <v>16257743.982099904</v>
      </c>
      <c r="G2808">
        <f t="shared" si="43"/>
        <v>7.1999999999999993</v>
      </c>
    </row>
    <row r="2809" spans="2:7" x14ac:dyDescent="0.35">
      <c r="B2809" s="1">
        <v>45774</v>
      </c>
      <c r="C2809" s="2">
        <v>0.95833333333333337</v>
      </c>
      <c r="D2809">
        <v>8.1</v>
      </c>
      <c r="E2809">
        <f>IF($D2809 &gt; 16, 0, $J$3*(16 - $D2809))</f>
        <v>1641.2142773355063</v>
      </c>
      <c r="F2809">
        <f>IF($D2809 &gt; 16, 0,$E2809*$J$5)</f>
        <v>17838357.980359618</v>
      </c>
      <c r="G2809">
        <f t="shared" si="43"/>
        <v>7.9</v>
      </c>
    </row>
    <row r="2810" spans="2:7" x14ac:dyDescent="0.35">
      <c r="B2810" s="1">
        <v>45775</v>
      </c>
      <c r="C2810" s="2">
        <v>0</v>
      </c>
      <c r="D2810">
        <v>5.9</v>
      </c>
      <c r="E2810">
        <f>IF($D2810 &gt; 16, 0, $J$3*(16 - $D2810))</f>
        <v>2098.2612912770396</v>
      </c>
      <c r="F2810">
        <f>IF($D2810 &gt; 16, 0,$E2810*$J$5)</f>
        <v>22806001.974890143</v>
      </c>
      <c r="G2810">
        <f t="shared" si="43"/>
        <v>10.1</v>
      </c>
    </row>
    <row r="2811" spans="2:7" x14ac:dyDescent="0.35">
      <c r="B2811" s="1">
        <v>45775</v>
      </c>
      <c r="C2811" s="2">
        <v>4.1666666666666657E-2</v>
      </c>
      <c r="D2811">
        <v>5.8</v>
      </c>
      <c r="E2811">
        <f>IF($D2811 &gt; 16, 0, $J$3*(16 - $D2811))</f>
        <v>2119.036155547109</v>
      </c>
      <c r="F2811">
        <f>IF($D2811 &gt; 16, 0,$E2811*$J$5)</f>
        <v>23031803.974641528</v>
      </c>
      <c r="G2811">
        <f t="shared" si="43"/>
        <v>10.199999999999999</v>
      </c>
    </row>
    <row r="2812" spans="2:7" x14ac:dyDescent="0.35">
      <c r="B2812" s="1">
        <v>45775</v>
      </c>
      <c r="C2812" s="2">
        <v>8.3333333333333329E-2</v>
      </c>
      <c r="D2812">
        <v>5.2</v>
      </c>
      <c r="E2812">
        <f>IF($D2812 &gt; 16, 0, $J$3*(16 - $D2812))</f>
        <v>2243.6853411675274</v>
      </c>
      <c r="F2812">
        <f>IF($D2812 &gt; 16, 0,$E2812*$J$5)</f>
        <v>24386615.973149855</v>
      </c>
      <c r="G2812">
        <f t="shared" si="43"/>
        <v>10.8</v>
      </c>
    </row>
    <row r="2813" spans="2:7" x14ac:dyDescent="0.35">
      <c r="B2813" s="1">
        <v>45775</v>
      </c>
      <c r="C2813" s="2">
        <v>0.125</v>
      </c>
      <c r="D2813">
        <v>4.3</v>
      </c>
      <c r="E2813">
        <f>IF($D2813 &gt; 16, 0, $J$3*(16 - $D2813))</f>
        <v>2430.6591195981546</v>
      </c>
      <c r="F2813">
        <f>IF($D2813 &gt; 16, 0,$E2813*$J$5)</f>
        <v>26418833.970912341</v>
      </c>
      <c r="G2813">
        <f t="shared" si="43"/>
        <v>11.7</v>
      </c>
    </row>
    <row r="2814" spans="2:7" x14ac:dyDescent="0.35">
      <c r="B2814" s="1">
        <v>45775</v>
      </c>
      <c r="C2814" s="2">
        <v>0.16666666666666671</v>
      </c>
      <c r="D2814">
        <v>3.8</v>
      </c>
      <c r="E2814">
        <f>IF($D2814 &gt; 16, 0, $J$3*(16 - $D2814))</f>
        <v>2534.5334409485031</v>
      </c>
      <c r="F2814">
        <f>IF($D2814 &gt; 16, 0,$E2814*$J$5)</f>
        <v>27547843.969669279</v>
      </c>
      <c r="G2814">
        <f t="shared" si="43"/>
        <v>12.2</v>
      </c>
    </row>
    <row r="2815" spans="2:7" x14ac:dyDescent="0.35">
      <c r="B2815" s="1">
        <v>45775</v>
      </c>
      <c r="C2815" s="2">
        <v>0.20833333333333329</v>
      </c>
      <c r="D2815">
        <v>6</v>
      </c>
      <c r="E2815">
        <f>IF($D2815 &gt; 16, 0, $J$3*(16 - $D2815))</f>
        <v>2077.4864270069697</v>
      </c>
      <c r="F2815">
        <f>IF($D2815 &gt; 16, 0,$E2815*$J$5)</f>
        <v>22580199.975138754</v>
      </c>
      <c r="G2815">
        <f t="shared" si="43"/>
        <v>10</v>
      </c>
    </row>
    <row r="2816" spans="2:7" x14ac:dyDescent="0.35">
      <c r="B2816" s="1">
        <v>45775</v>
      </c>
      <c r="C2816" s="2">
        <v>0.25</v>
      </c>
      <c r="D2816">
        <v>9.5</v>
      </c>
      <c r="E2816">
        <f>IF($D2816 &gt; 16, 0, $J$3*(16 - $D2816))</f>
        <v>1350.3661775545304</v>
      </c>
      <c r="F2816">
        <f>IF($D2816 &gt; 16, 0,$E2816*$J$5)</f>
        <v>14677129.983840192</v>
      </c>
      <c r="G2816">
        <f t="shared" si="43"/>
        <v>6.5</v>
      </c>
    </row>
    <row r="2817" spans="2:7" x14ac:dyDescent="0.35">
      <c r="B2817" s="1">
        <v>45775</v>
      </c>
      <c r="C2817" s="2">
        <v>0.29166666666666669</v>
      </c>
      <c r="D2817">
        <v>12.1</v>
      </c>
      <c r="E2817">
        <f>IF($D2817 &gt; 16, 0, $J$3*(16 - $D2817))</f>
        <v>810.21970653271831</v>
      </c>
      <c r="F2817">
        <f>IF($D2817 &gt; 16, 0,$E2817*$J$5)</f>
        <v>8806277.9903041162</v>
      </c>
      <c r="G2817">
        <f t="shared" si="43"/>
        <v>3.9000000000000004</v>
      </c>
    </row>
    <row r="2818" spans="2:7" x14ac:dyDescent="0.35">
      <c r="B2818" s="1">
        <v>45775</v>
      </c>
      <c r="C2818" s="2">
        <v>0.33333333333333331</v>
      </c>
      <c r="D2818">
        <v>15.7</v>
      </c>
      <c r="E2818">
        <f>IF($D2818 &gt; 16, 0, $J$3*(16 - $D2818))</f>
        <v>62.324592810209246</v>
      </c>
      <c r="F2818">
        <f>IF($D2818 &gt; 16, 0,$E2818*$J$5)</f>
        <v>677405.99925416429</v>
      </c>
      <c r="G2818">
        <f t="shared" si="43"/>
        <v>0.30000000000000071</v>
      </c>
    </row>
    <row r="2819" spans="2:7" x14ac:dyDescent="0.35">
      <c r="B2819" s="1">
        <v>45775</v>
      </c>
      <c r="C2819" s="2">
        <v>0.375</v>
      </c>
      <c r="D2819">
        <v>17.899999999999999</v>
      </c>
      <c r="E2819">
        <f>IF($D2819 &gt; 16, 0, $J$3*(16 - $D2819))</f>
        <v>0</v>
      </c>
      <c r="F2819">
        <f>IF($D2819 &gt; 16, 0,$E2819*$J$5)</f>
        <v>0</v>
      </c>
      <c r="G2819">
        <f t="shared" ref="G2819:G2882" si="44">MAX(0, 16 - $D2819)</f>
        <v>0</v>
      </c>
    </row>
    <row r="2820" spans="2:7" x14ac:dyDescent="0.35">
      <c r="B2820" s="1">
        <v>45775</v>
      </c>
      <c r="C2820" s="2">
        <v>0.41666666666666669</v>
      </c>
      <c r="D2820">
        <v>18.2</v>
      </c>
      <c r="E2820">
        <f>IF($D2820 &gt; 16, 0, $J$3*(16 - $D2820))</f>
        <v>0</v>
      </c>
      <c r="F2820">
        <f>IF($D2820 &gt; 16, 0,$E2820*$J$5)</f>
        <v>0</v>
      </c>
      <c r="G2820">
        <f t="shared" si="44"/>
        <v>0</v>
      </c>
    </row>
    <row r="2821" spans="2:7" x14ac:dyDescent="0.35">
      <c r="B2821" s="1">
        <v>45775</v>
      </c>
      <c r="C2821" s="2">
        <v>0.45833333333333331</v>
      </c>
      <c r="D2821">
        <v>19.2</v>
      </c>
      <c r="E2821">
        <f>IF($D2821 &gt; 16, 0, $J$3*(16 - $D2821))</f>
        <v>0</v>
      </c>
      <c r="F2821">
        <f>IF($D2821 &gt; 16, 0,$E2821*$J$5)</f>
        <v>0</v>
      </c>
      <c r="G2821">
        <f t="shared" si="44"/>
        <v>0</v>
      </c>
    </row>
    <row r="2822" spans="2:7" x14ac:dyDescent="0.35">
      <c r="B2822" s="1">
        <v>45775</v>
      </c>
      <c r="C2822" s="2">
        <v>0.5</v>
      </c>
      <c r="D2822">
        <v>19.600000000000001</v>
      </c>
      <c r="E2822">
        <f>IF($D2822 &gt; 16, 0, $J$3*(16 - $D2822))</f>
        <v>0</v>
      </c>
      <c r="F2822">
        <f>IF($D2822 &gt; 16, 0,$E2822*$J$5)</f>
        <v>0</v>
      </c>
      <c r="G2822">
        <f t="shared" si="44"/>
        <v>0</v>
      </c>
    </row>
    <row r="2823" spans="2:7" x14ac:dyDescent="0.35">
      <c r="B2823" s="1">
        <v>45775</v>
      </c>
      <c r="C2823" s="2">
        <v>0.54166666666666663</v>
      </c>
      <c r="D2823">
        <v>19.5</v>
      </c>
      <c r="E2823">
        <f>IF($D2823 &gt; 16, 0, $J$3*(16 - $D2823))</f>
        <v>0</v>
      </c>
      <c r="F2823">
        <f>IF($D2823 &gt; 16, 0,$E2823*$J$5)</f>
        <v>0</v>
      </c>
      <c r="G2823">
        <f t="shared" si="44"/>
        <v>0</v>
      </c>
    </row>
    <row r="2824" spans="2:7" x14ac:dyDescent="0.35">
      <c r="B2824" s="1">
        <v>45775</v>
      </c>
      <c r="C2824" s="2">
        <v>0.58333333333333337</v>
      </c>
      <c r="D2824">
        <v>20.100000000000001</v>
      </c>
      <c r="E2824">
        <f>IF($D2824 &gt; 16, 0, $J$3*(16 - $D2824))</f>
        <v>0</v>
      </c>
      <c r="F2824">
        <f>IF($D2824 &gt; 16, 0,$E2824*$J$5)</f>
        <v>0</v>
      </c>
      <c r="G2824">
        <f t="shared" si="44"/>
        <v>0</v>
      </c>
    </row>
    <row r="2825" spans="2:7" x14ac:dyDescent="0.35">
      <c r="B2825" s="1">
        <v>45775</v>
      </c>
      <c r="C2825" s="2">
        <v>0.625</v>
      </c>
      <c r="D2825">
        <v>19.5</v>
      </c>
      <c r="E2825">
        <f>IF($D2825 &gt; 16, 0, $J$3*(16 - $D2825))</f>
        <v>0</v>
      </c>
      <c r="F2825">
        <f>IF($D2825 &gt; 16, 0,$E2825*$J$5)</f>
        <v>0</v>
      </c>
      <c r="G2825">
        <f t="shared" si="44"/>
        <v>0</v>
      </c>
    </row>
    <row r="2826" spans="2:7" x14ac:dyDescent="0.35">
      <c r="B2826" s="1">
        <v>45775</v>
      </c>
      <c r="C2826" s="2">
        <v>0.66666666666666663</v>
      </c>
      <c r="D2826">
        <v>19</v>
      </c>
      <c r="E2826">
        <f>IF($D2826 &gt; 16, 0, $J$3*(16 - $D2826))</f>
        <v>0</v>
      </c>
      <c r="F2826">
        <f>IF($D2826 &gt; 16, 0,$E2826*$J$5)</f>
        <v>0</v>
      </c>
      <c r="G2826">
        <f t="shared" si="44"/>
        <v>0</v>
      </c>
    </row>
    <row r="2827" spans="2:7" x14ac:dyDescent="0.35">
      <c r="B2827" s="1">
        <v>45775</v>
      </c>
      <c r="C2827" s="2">
        <v>0.70833333333333337</v>
      </c>
      <c r="D2827">
        <v>17.8</v>
      </c>
      <c r="E2827">
        <f>IF($D2827 &gt; 16, 0, $J$3*(16 - $D2827))</f>
        <v>0</v>
      </c>
      <c r="F2827">
        <f>IF($D2827 &gt; 16, 0,$E2827*$J$5)</f>
        <v>0</v>
      </c>
      <c r="G2827">
        <f t="shared" si="44"/>
        <v>0</v>
      </c>
    </row>
    <row r="2828" spans="2:7" x14ac:dyDescent="0.35">
      <c r="B2828" s="1">
        <v>45775</v>
      </c>
      <c r="C2828" s="2">
        <v>0.75</v>
      </c>
      <c r="D2828">
        <v>16.8</v>
      </c>
      <c r="E2828">
        <f>IF($D2828 &gt; 16, 0, $J$3*(16 - $D2828))</f>
        <v>0</v>
      </c>
      <c r="F2828">
        <f>IF($D2828 &gt; 16, 0,$E2828*$J$5)</f>
        <v>0</v>
      </c>
      <c r="G2828">
        <f t="shared" si="44"/>
        <v>0</v>
      </c>
    </row>
    <row r="2829" spans="2:7" x14ac:dyDescent="0.35">
      <c r="B2829" s="1">
        <v>45775</v>
      </c>
      <c r="C2829" s="2">
        <v>0.79166666666666663</v>
      </c>
      <c r="D2829">
        <v>14.7</v>
      </c>
      <c r="E2829">
        <f>IF($D2829 &gt; 16, 0, $J$3*(16 - $D2829))</f>
        <v>270.07323551090622</v>
      </c>
      <c r="F2829">
        <f>IF($D2829 &gt; 16, 0,$E2829*$J$5)</f>
        <v>2935425.9967680397</v>
      </c>
      <c r="G2829">
        <f t="shared" si="44"/>
        <v>1.3000000000000007</v>
      </c>
    </row>
    <row r="2830" spans="2:7" x14ac:dyDescent="0.35">
      <c r="B2830" s="1">
        <v>45775</v>
      </c>
      <c r="C2830" s="2">
        <v>0.83333333333333337</v>
      </c>
      <c r="D2830">
        <v>13.2</v>
      </c>
      <c r="E2830">
        <f>IF($D2830 &gt; 16, 0, $J$3*(16 - $D2830))</f>
        <v>581.69619956195174</v>
      </c>
      <c r="F2830">
        <f>IF($D2830 &gt; 16, 0,$E2830*$J$5)</f>
        <v>6322455.9930388536</v>
      </c>
      <c r="G2830">
        <f t="shared" si="44"/>
        <v>2.8000000000000007</v>
      </c>
    </row>
    <row r="2831" spans="2:7" x14ac:dyDescent="0.35">
      <c r="B2831" s="1">
        <v>45775</v>
      </c>
      <c r="C2831" s="2">
        <v>0.875</v>
      </c>
      <c r="D2831">
        <v>11.8</v>
      </c>
      <c r="E2831">
        <f>IF($D2831 &gt; 16, 0, $J$3*(16 - $D2831))</f>
        <v>872.54429934292716</v>
      </c>
      <c r="F2831">
        <f>IF($D2831 &gt; 16, 0,$E2831*$J$5)</f>
        <v>9483683.9895582758</v>
      </c>
      <c r="G2831">
        <f t="shared" si="44"/>
        <v>4.1999999999999993</v>
      </c>
    </row>
    <row r="2832" spans="2:7" x14ac:dyDescent="0.35">
      <c r="B2832" s="1">
        <v>45775</v>
      </c>
      <c r="C2832" s="2">
        <v>0.91666666666666663</v>
      </c>
      <c r="D2832">
        <v>9</v>
      </c>
      <c r="E2832">
        <f>IF($D2832 &gt; 16, 0, $J$3*(16 - $D2832))</f>
        <v>1454.2404989048789</v>
      </c>
      <c r="F2832">
        <f>IF($D2832 &gt; 16, 0,$E2832*$J$5)</f>
        <v>15806139.982597129</v>
      </c>
      <c r="G2832">
        <f t="shared" si="44"/>
        <v>7</v>
      </c>
    </row>
    <row r="2833" spans="2:7" x14ac:dyDescent="0.35">
      <c r="B2833" s="1">
        <v>45775</v>
      </c>
      <c r="C2833" s="2">
        <v>0.95833333333333337</v>
      </c>
      <c r="D2833">
        <v>8.1999999999999993</v>
      </c>
      <c r="E2833">
        <f>IF($D2833 &gt; 16, 0, $J$3*(16 - $D2833))</f>
        <v>1620.4394130654366</v>
      </c>
      <c r="F2833">
        <f>IF($D2833 &gt; 16, 0,$E2833*$J$5)</f>
        <v>17612555.980608232</v>
      </c>
      <c r="G2833">
        <f t="shared" si="44"/>
        <v>7.8000000000000007</v>
      </c>
    </row>
    <row r="2834" spans="2:7" x14ac:dyDescent="0.35">
      <c r="B2834" s="1">
        <v>45776</v>
      </c>
      <c r="C2834" s="2">
        <v>0</v>
      </c>
      <c r="D2834">
        <v>7.8</v>
      </c>
      <c r="E2834">
        <f>IF($D2834 &gt; 16, 0, $J$3*(16 - $D2834))</f>
        <v>1703.5388701457152</v>
      </c>
      <c r="F2834">
        <f>IF($D2834 &gt; 16, 0,$E2834*$J$5)</f>
        <v>18515763.979613777</v>
      </c>
      <c r="G2834">
        <f t="shared" si="44"/>
        <v>8.1999999999999993</v>
      </c>
    </row>
    <row r="2835" spans="2:7" x14ac:dyDescent="0.35">
      <c r="B2835" s="1">
        <v>45776</v>
      </c>
      <c r="C2835" s="2">
        <v>4.1666666666666657E-2</v>
      </c>
      <c r="D2835">
        <v>7.3</v>
      </c>
      <c r="E2835">
        <f>IF($D2835 &gt; 16, 0, $J$3*(16 - $D2835))</f>
        <v>1807.4131914960637</v>
      </c>
      <c r="F2835">
        <f>IF($D2835 &gt; 16, 0,$E2835*$J$5)</f>
        <v>19644773.978370719</v>
      </c>
      <c r="G2835">
        <f t="shared" si="44"/>
        <v>8.6999999999999993</v>
      </c>
    </row>
    <row r="2836" spans="2:7" x14ac:dyDescent="0.35">
      <c r="B2836" s="1">
        <v>45776</v>
      </c>
      <c r="C2836" s="2">
        <v>8.3333333333333329E-2</v>
      </c>
      <c r="D2836">
        <v>7.1</v>
      </c>
      <c r="E2836">
        <f>IF($D2836 &gt; 16, 0, $J$3*(16 - $D2836))</f>
        <v>1848.9629200362033</v>
      </c>
      <c r="F2836">
        <f>IF($D2836 &gt; 16, 0,$E2836*$J$5)</f>
        <v>20096377.977873493</v>
      </c>
      <c r="G2836">
        <f t="shared" si="44"/>
        <v>8.9</v>
      </c>
    </row>
    <row r="2837" spans="2:7" x14ac:dyDescent="0.35">
      <c r="B2837" s="1">
        <v>45776</v>
      </c>
      <c r="C2837" s="2">
        <v>0.125</v>
      </c>
      <c r="D2837">
        <v>6.9</v>
      </c>
      <c r="E2837">
        <f>IF($D2837 &gt; 16, 0, $J$3*(16 - $D2837))</f>
        <v>1890.5126485763426</v>
      </c>
      <c r="F2837">
        <f>IF($D2837 &gt; 16, 0,$E2837*$J$5)</f>
        <v>20547981.977376267</v>
      </c>
      <c r="G2837">
        <f t="shared" si="44"/>
        <v>9.1</v>
      </c>
    </row>
    <row r="2838" spans="2:7" x14ac:dyDescent="0.35">
      <c r="B2838" s="1">
        <v>45776</v>
      </c>
      <c r="C2838" s="2">
        <v>0.16666666666666671</v>
      </c>
      <c r="D2838">
        <v>6.3</v>
      </c>
      <c r="E2838">
        <f>IF($D2838 &gt; 16, 0, $J$3*(16 - $D2838))</f>
        <v>2015.1618341967608</v>
      </c>
      <c r="F2838">
        <f>IF($D2838 &gt; 16, 0,$E2838*$J$5)</f>
        <v>21902793.975884594</v>
      </c>
      <c r="G2838">
        <f t="shared" si="44"/>
        <v>9.6999999999999993</v>
      </c>
    </row>
    <row r="2839" spans="2:7" x14ac:dyDescent="0.35">
      <c r="B2839" s="1">
        <v>45776</v>
      </c>
      <c r="C2839" s="2">
        <v>0.20833333333333329</v>
      </c>
      <c r="D2839">
        <v>8.6999999999999993</v>
      </c>
      <c r="E2839">
        <f>IF($D2839 &gt; 16, 0, $J$3*(16 - $D2839))</f>
        <v>1516.5650917150881</v>
      </c>
      <c r="F2839">
        <f>IF($D2839 &gt; 16, 0,$E2839*$J$5)</f>
        <v>16483545.981851293</v>
      </c>
      <c r="G2839">
        <f t="shared" si="44"/>
        <v>7.3000000000000007</v>
      </c>
    </row>
    <row r="2840" spans="2:7" x14ac:dyDescent="0.35">
      <c r="B2840" s="1">
        <v>45776</v>
      </c>
      <c r="C2840" s="2">
        <v>0.25</v>
      </c>
      <c r="D2840">
        <v>10.8</v>
      </c>
      <c r="E2840">
        <f>IF($D2840 &gt; 16, 0, $J$3*(16 - $D2840))</f>
        <v>1080.2929420436242</v>
      </c>
      <c r="F2840">
        <f>IF($D2840 &gt; 16, 0,$E2840*$J$5)</f>
        <v>11741703.987072151</v>
      </c>
      <c r="G2840">
        <f t="shared" si="44"/>
        <v>5.1999999999999993</v>
      </c>
    </row>
    <row r="2841" spans="2:7" x14ac:dyDescent="0.35">
      <c r="B2841" s="1">
        <v>45776</v>
      </c>
      <c r="C2841" s="2">
        <v>0.29166666666666669</v>
      </c>
      <c r="D2841">
        <v>12.6</v>
      </c>
      <c r="E2841">
        <f>IF($D2841 &gt; 16, 0, $J$3*(16 - $D2841))</f>
        <v>706.3453851823698</v>
      </c>
      <c r="F2841">
        <f>IF($D2841 &gt; 16, 0,$E2841*$J$5)</f>
        <v>7677267.9915471775</v>
      </c>
      <c r="G2841">
        <f t="shared" si="44"/>
        <v>3.4000000000000004</v>
      </c>
    </row>
    <row r="2842" spans="2:7" x14ac:dyDescent="0.35">
      <c r="B2842" s="1">
        <v>45776</v>
      </c>
      <c r="C2842" s="2">
        <v>0.33333333333333331</v>
      </c>
      <c r="D2842">
        <v>14.4</v>
      </c>
      <c r="E2842">
        <f>IF($D2842 &gt; 16, 0, $J$3*(16 - $D2842))</f>
        <v>332.39782832111513</v>
      </c>
      <c r="F2842">
        <f>IF($D2842 &gt; 16, 0,$E2842*$J$5)</f>
        <v>3612831.9960222002</v>
      </c>
      <c r="G2842">
        <f t="shared" si="44"/>
        <v>1.5999999999999996</v>
      </c>
    </row>
    <row r="2843" spans="2:7" x14ac:dyDescent="0.35">
      <c r="B2843" s="1">
        <v>45776</v>
      </c>
      <c r="C2843" s="2">
        <v>0.375</v>
      </c>
      <c r="D2843">
        <v>15.7</v>
      </c>
      <c r="E2843">
        <f>IF($D2843 &gt; 16, 0, $J$3*(16 - $D2843))</f>
        <v>62.324592810209246</v>
      </c>
      <c r="F2843">
        <f>IF($D2843 &gt; 16, 0,$E2843*$J$5)</f>
        <v>677405.99925416429</v>
      </c>
      <c r="G2843">
        <f t="shared" si="44"/>
        <v>0.30000000000000071</v>
      </c>
    </row>
    <row r="2844" spans="2:7" x14ac:dyDescent="0.35">
      <c r="B2844" s="1">
        <v>45776</v>
      </c>
      <c r="C2844" s="2">
        <v>0.41666666666666669</v>
      </c>
      <c r="D2844">
        <v>17</v>
      </c>
      <c r="E2844">
        <f>IF($D2844 &gt; 16, 0, $J$3*(16 - $D2844))</f>
        <v>0</v>
      </c>
      <c r="F2844">
        <f>IF($D2844 &gt; 16, 0,$E2844*$J$5)</f>
        <v>0</v>
      </c>
      <c r="G2844">
        <f t="shared" si="44"/>
        <v>0</v>
      </c>
    </row>
    <row r="2845" spans="2:7" x14ac:dyDescent="0.35">
      <c r="B2845" s="1">
        <v>45776</v>
      </c>
      <c r="C2845" s="2">
        <v>0.45833333333333331</v>
      </c>
      <c r="D2845">
        <v>17.100000000000001</v>
      </c>
      <c r="E2845">
        <f>IF($D2845 &gt; 16, 0, $J$3*(16 - $D2845))</f>
        <v>0</v>
      </c>
      <c r="F2845">
        <f>IF($D2845 &gt; 16, 0,$E2845*$J$5)</f>
        <v>0</v>
      </c>
      <c r="G2845">
        <f t="shared" si="44"/>
        <v>0</v>
      </c>
    </row>
    <row r="2846" spans="2:7" x14ac:dyDescent="0.35">
      <c r="B2846" s="1">
        <v>45776</v>
      </c>
      <c r="C2846" s="2">
        <v>0.5</v>
      </c>
      <c r="D2846">
        <v>18.3</v>
      </c>
      <c r="E2846">
        <f>IF($D2846 &gt; 16, 0, $J$3*(16 - $D2846))</f>
        <v>0</v>
      </c>
      <c r="F2846">
        <f>IF($D2846 &gt; 16, 0,$E2846*$J$5)</f>
        <v>0</v>
      </c>
      <c r="G2846">
        <f t="shared" si="44"/>
        <v>0</v>
      </c>
    </row>
    <row r="2847" spans="2:7" x14ac:dyDescent="0.35">
      <c r="B2847" s="1">
        <v>45776</v>
      </c>
      <c r="C2847" s="2">
        <v>0.54166666666666663</v>
      </c>
      <c r="D2847">
        <v>19.3</v>
      </c>
      <c r="E2847">
        <f>IF($D2847 &gt; 16, 0, $J$3*(16 - $D2847))</f>
        <v>0</v>
      </c>
      <c r="F2847">
        <f>IF($D2847 &gt; 16, 0,$E2847*$J$5)</f>
        <v>0</v>
      </c>
      <c r="G2847">
        <f t="shared" si="44"/>
        <v>0</v>
      </c>
    </row>
    <row r="2848" spans="2:7" x14ac:dyDescent="0.35">
      <c r="B2848" s="1">
        <v>45776</v>
      </c>
      <c r="C2848" s="2">
        <v>0.58333333333333337</v>
      </c>
      <c r="D2848">
        <v>19.2</v>
      </c>
      <c r="E2848">
        <f>IF($D2848 &gt; 16, 0, $J$3*(16 - $D2848))</f>
        <v>0</v>
      </c>
      <c r="F2848">
        <f>IF($D2848 &gt; 16, 0,$E2848*$J$5)</f>
        <v>0</v>
      </c>
      <c r="G2848">
        <f t="shared" si="44"/>
        <v>0</v>
      </c>
    </row>
    <row r="2849" spans="2:7" x14ac:dyDescent="0.35">
      <c r="B2849" s="1">
        <v>45776</v>
      </c>
      <c r="C2849" s="2">
        <v>0.625</v>
      </c>
      <c r="D2849">
        <v>18.8</v>
      </c>
      <c r="E2849">
        <f>IF($D2849 &gt; 16, 0, $J$3*(16 - $D2849))</f>
        <v>0</v>
      </c>
      <c r="F2849">
        <f>IF($D2849 &gt; 16, 0,$E2849*$J$5)</f>
        <v>0</v>
      </c>
      <c r="G2849">
        <f t="shared" si="44"/>
        <v>0</v>
      </c>
    </row>
    <row r="2850" spans="2:7" x14ac:dyDescent="0.35">
      <c r="B2850" s="1">
        <v>45776</v>
      </c>
      <c r="C2850" s="2">
        <v>0.66666666666666663</v>
      </c>
      <c r="D2850">
        <v>19.2</v>
      </c>
      <c r="E2850">
        <f>IF($D2850 &gt; 16, 0, $J$3*(16 - $D2850))</f>
        <v>0</v>
      </c>
      <c r="F2850">
        <f>IF($D2850 &gt; 16, 0,$E2850*$J$5)</f>
        <v>0</v>
      </c>
      <c r="G2850">
        <f t="shared" si="44"/>
        <v>0</v>
      </c>
    </row>
    <row r="2851" spans="2:7" x14ac:dyDescent="0.35">
      <c r="B2851" s="1">
        <v>45776</v>
      </c>
      <c r="C2851" s="2">
        <v>0.70833333333333337</v>
      </c>
      <c r="D2851">
        <v>18.600000000000001</v>
      </c>
      <c r="E2851">
        <f>IF($D2851 &gt; 16, 0, $J$3*(16 - $D2851))</f>
        <v>0</v>
      </c>
      <c r="F2851">
        <f>IF($D2851 &gt; 16, 0,$E2851*$J$5)</f>
        <v>0</v>
      </c>
      <c r="G2851">
        <f t="shared" si="44"/>
        <v>0</v>
      </c>
    </row>
    <row r="2852" spans="2:7" x14ac:dyDescent="0.35">
      <c r="B2852" s="1">
        <v>45776</v>
      </c>
      <c r="C2852" s="2">
        <v>0.75</v>
      </c>
      <c r="D2852">
        <v>17.3</v>
      </c>
      <c r="E2852">
        <f>IF($D2852 &gt; 16, 0, $J$3*(16 - $D2852))</f>
        <v>0</v>
      </c>
      <c r="F2852">
        <f>IF($D2852 &gt; 16, 0,$E2852*$J$5)</f>
        <v>0</v>
      </c>
      <c r="G2852">
        <f t="shared" si="44"/>
        <v>0</v>
      </c>
    </row>
    <row r="2853" spans="2:7" x14ac:dyDescent="0.35">
      <c r="B2853" s="1">
        <v>45776</v>
      </c>
      <c r="C2853" s="2">
        <v>0.79166666666666663</v>
      </c>
      <c r="D2853">
        <v>15.9</v>
      </c>
      <c r="E2853">
        <f>IF($D2853 &gt; 16, 0, $J$3*(16 - $D2853))</f>
        <v>20.774864270069624</v>
      </c>
      <c r="F2853">
        <f>IF($D2853 &gt; 16, 0,$E2853*$J$5)</f>
        <v>225801.99975138676</v>
      </c>
      <c r="G2853">
        <f t="shared" si="44"/>
        <v>9.9999999999999645E-2</v>
      </c>
    </row>
    <row r="2854" spans="2:7" x14ac:dyDescent="0.35">
      <c r="B2854" s="1">
        <v>45776</v>
      </c>
      <c r="C2854" s="2">
        <v>0.83333333333333337</v>
      </c>
      <c r="D2854">
        <v>14.2</v>
      </c>
      <c r="E2854">
        <f>IF($D2854 &gt; 16, 0, $J$3*(16 - $D2854))</f>
        <v>373.94755686125472</v>
      </c>
      <c r="F2854">
        <f>IF($D2854 &gt; 16, 0,$E2854*$J$5)</f>
        <v>4064435.9955249778</v>
      </c>
      <c r="G2854">
        <f t="shared" si="44"/>
        <v>1.8000000000000007</v>
      </c>
    </row>
    <row r="2855" spans="2:7" x14ac:dyDescent="0.35">
      <c r="B2855" s="1">
        <v>45776</v>
      </c>
      <c r="C2855" s="2">
        <v>0.875</v>
      </c>
      <c r="D2855">
        <v>12.8</v>
      </c>
      <c r="E2855">
        <f>IF($D2855 &gt; 16, 0, $J$3*(16 - $D2855))</f>
        <v>664.79565664223026</v>
      </c>
      <c r="F2855">
        <f>IF($D2855 &gt; 16, 0,$E2855*$J$5)</f>
        <v>7225663.9920444004</v>
      </c>
      <c r="G2855">
        <f t="shared" si="44"/>
        <v>3.1999999999999993</v>
      </c>
    </row>
    <row r="2856" spans="2:7" x14ac:dyDescent="0.35">
      <c r="B2856" s="1">
        <v>45776</v>
      </c>
      <c r="C2856" s="2">
        <v>0.91666666666666663</v>
      </c>
      <c r="D2856">
        <v>11.7</v>
      </c>
      <c r="E2856">
        <f>IF($D2856 &gt; 16, 0, $J$3*(16 - $D2856))</f>
        <v>893.31916361299716</v>
      </c>
      <c r="F2856">
        <f>IF($D2856 &gt; 16, 0,$E2856*$J$5)</f>
        <v>9709485.9893096667</v>
      </c>
      <c r="G2856">
        <f t="shared" si="44"/>
        <v>4.3000000000000007</v>
      </c>
    </row>
    <row r="2857" spans="2:7" x14ac:dyDescent="0.35">
      <c r="B2857" s="1">
        <v>45776</v>
      </c>
      <c r="C2857" s="2">
        <v>0.95833333333333337</v>
      </c>
      <c r="D2857">
        <v>10.199999999999999</v>
      </c>
      <c r="E2857">
        <f>IF($D2857 &gt; 16, 0, $J$3*(16 - $D2857))</f>
        <v>1204.9421276640428</v>
      </c>
      <c r="F2857">
        <f>IF($D2857 &gt; 16, 0,$E2857*$J$5)</f>
        <v>13096515.985580482</v>
      </c>
      <c r="G2857">
        <f t="shared" si="44"/>
        <v>5.8000000000000007</v>
      </c>
    </row>
    <row r="2858" spans="2:7" x14ac:dyDescent="0.35">
      <c r="B2858" s="1">
        <v>45777</v>
      </c>
      <c r="C2858" s="2">
        <v>0</v>
      </c>
      <c r="D2858">
        <v>8.1</v>
      </c>
      <c r="E2858">
        <f>IF($D2858 &gt; 16, 0, $J$3*(16 - $D2858))</f>
        <v>1641.2142773355063</v>
      </c>
      <c r="F2858">
        <f>IF($D2858 &gt; 16, 0,$E2858*$J$5)</f>
        <v>17838357.980359618</v>
      </c>
      <c r="G2858">
        <f t="shared" si="44"/>
        <v>7.9</v>
      </c>
    </row>
    <row r="2859" spans="2:7" x14ac:dyDescent="0.35">
      <c r="B2859" s="1">
        <v>45777</v>
      </c>
      <c r="C2859" s="2">
        <v>4.1666666666666657E-2</v>
      </c>
      <c r="D2859">
        <v>7.5</v>
      </c>
      <c r="E2859">
        <f>IF($D2859 &gt; 16, 0, $J$3*(16 - $D2859))</f>
        <v>1765.8634629559244</v>
      </c>
      <c r="F2859">
        <f>IF($D2859 &gt; 16, 0,$E2859*$J$5)</f>
        <v>19193169.978867944</v>
      </c>
      <c r="G2859">
        <f t="shared" si="44"/>
        <v>8.5</v>
      </c>
    </row>
    <row r="2860" spans="2:7" x14ac:dyDescent="0.35">
      <c r="B2860" s="1">
        <v>45777</v>
      </c>
      <c r="C2860" s="2">
        <v>8.3333333333333329E-2</v>
      </c>
      <c r="D2860">
        <v>7.6</v>
      </c>
      <c r="E2860">
        <f>IF($D2860 &gt; 16, 0, $J$3*(16 - $D2860))</f>
        <v>1745.0885986858548</v>
      </c>
      <c r="F2860">
        <f>IF($D2860 &gt; 16, 0,$E2860*$J$5)</f>
        <v>18967367.979116555</v>
      </c>
      <c r="G2860">
        <f t="shared" si="44"/>
        <v>8.4</v>
      </c>
    </row>
    <row r="2861" spans="2:7" x14ac:dyDescent="0.35">
      <c r="B2861" s="1">
        <v>45777</v>
      </c>
      <c r="C2861" s="2">
        <v>0.125</v>
      </c>
      <c r="D2861">
        <v>7.3</v>
      </c>
      <c r="E2861">
        <f>IF($D2861 &gt; 16, 0, $J$3*(16 - $D2861))</f>
        <v>1807.4131914960637</v>
      </c>
      <c r="F2861">
        <f>IF($D2861 &gt; 16, 0,$E2861*$J$5)</f>
        <v>19644773.978370719</v>
      </c>
      <c r="G2861">
        <f t="shared" si="44"/>
        <v>8.6999999999999993</v>
      </c>
    </row>
    <row r="2862" spans="2:7" x14ac:dyDescent="0.35">
      <c r="B2862" s="1">
        <v>45777</v>
      </c>
      <c r="C2862" s="2">
        <v>0.16666666666666671</v>
      </c>
      <c r="D2862">
        <v>7.2</v>
      </c>
      <c r="E2862">
        <f>IF($D2862 &gt; 16, 0, $J$3*(16 - $D2862))</f>
        <v>1828.1880557661336</v>
      </c>
      <c r="F2862">
        <f>IF($D2862 &gt; 16, 0,$E2862*$J$5)</f>
        <v>19870575.978122108</v>
      </c>
      <c r="G2862">
        <f t="shared" si="44"/>
        <v>8.8000000000000007</v>
      </c>
    </row>
    <row r="2863" spans="2:7" x14ac:dyDescent="0.35">
      <c r="B2863" s="1">
        <v>45777</v>
      </c>
      <c r="C2863" s="2">
        <v>0.20833333333333329</v>
      </c>
      <c r="D2863">
        <v>7.6</v>
      </c>
      <c r="E2863">
        <f>IF($D2863 &gt; 16, 0, $J$3*(16 - $D2863))</f>
        <v>1745.0885986858548</v>
      </c>
      <c r="F2863">
        <f>IF($D2863 &gt; 16, 0,$E2863*$J$5)</f>
        <v>18967367.979116555</v>
      </c>
      <c r="G2863">
        <f t="shared" si="44"/>
        <v>8.4</v>
      </c>
    </row>
    <row r="2864" spans="2:7" x14ac:dyDescent="0.35">
      <c r="B2864" s="1">
        <v>45777</v>
      </c>
      <c r="C2864" s="2">
        <v>0.25</v>
      </c>
      <c r="D2864">
        <v>8.4</v>
      </c>
      <c r="E2864">
        <f>IF($D2864 &gt; 16, 0, $J$3*(16 - $D2864))</f>
        <v>1578.8896845252971</v>
      </c>
      <c r="F2864">
        <f>IF($D2864 &gt; 16, 0,$E2864*$J$5)</f>
        <v>17160951.981105454</v>
      </c>
      <c r="G2864">
        <f t="shared" si="44"/>
        <v>7.6</v>
      </c>
    </row>
    <row r="2865" spans="2:7" x14ac:dyDescent="0.35">
      <c r="B2865" s="1">
        <v>45777</v>
      </c>
      <c r="C2865" s="2">
        <v>0.29166666666666669</v>
      </c>
      <c r="D2865">
        <v>9</v>
      </c>
      <c r="E2865">
        <f>IF($D2865 &gt; 16, 0, $J$3*(16 - $D2865))</f>
        <v>1454.2404989048789</v>
      </c>
      <c r="F2865">
        <f>IF($D2865 &gt; 16, 0,$E2865*$J$5)</f>
        <v>15806139.982597129</v>
      </c>
      <c r="G2865">
        <f t="shared" si="44"/>
        <v>7</v>
      </c>
    </row>
    <row r="2866" spans="2:7" x14ac:dyDescent="0.35">
      <c r="B2866" s="1">
        <v>45777</v>
      </c>
      <c r="C2866" s="2">
        <v>0.33333333333333331</v>
      </c>
      <c r="D2866">
        <v>12.3</v>
      </c>
      <c r="E2866">
        <f>IF($D2866 &gt; 16, 0, $J$3*(16 - $D2866))</f>
        <v>768.66997799257877</v>
      </c>
      <c r="F2866">
        <f>IF($D2866 &gt; 16, 0,$E2866*$J$5)</f>
        <v>8354673.990801339</v>
      </c>
      <c r="G2866">
        <f t="shared" si="44"/>
        <v>3.6999999999999993</v>
      </c>
    </row>
    <row r="2867" spans="2:7" x14ac:dyDescent="0.35">
      <c r="B2867" s="1">
        <v>45777</v>
      </c>
      <c r="C2867" s="2">
        <v>0.375</v>
      </c>
      <c r="D2867">
        <v>15.4</v>
      </c>
      <c r="E2867">
        <f>IF($D2867 &gt; 16, 0, $J$3*(16 - $D2867))</f>
        <v>124.64918562041812</v>
      </c>
      <c r="F2867">
        <f>IF($D2867 &gt; 16, 0,$E2867*$J$5)</f>
        <v>1354811.9985083246</v>
      </c>
      <c r="G2867">
        <f t="shared" si="44"/>
        <v>0.59999999999999964</v>
      </c>
    </row>
    <row r="2868" spans="2:7" x14ac:dyDescent="0.35">
      <c r="B2868" s="1">
        <v>45777</v>
      </c>
      <c r="C2868" s="2">
        <v>0.41666666666666669</v>
      </c>
      <c r="D2868">
        <v>16.8</v>
      </c>
      <c r="E2868">
        <f>IF($D2868 &gt; 16, 0, $J$3*(16 - $D2868))</f>
        <v>0</v>
      </c>
      <c r="F2868">
        <f>IF($D2868 &gt; 16, 0,$E2868*$J$5)</f>
        <v>0</v>
      </c>
      <c r="G2868">
        <f t="shared" si="44"/>
        <v>0</v>
      </c>
    </row>
    <row r="2869" spans="2:7" x14ac:dyDescent="0.35">
      <c r="B2869" s="1">
        <v>45777</v>
      </c>
      <c r="C2869" s="2">
        <v>0.45833333333333331</v>
      </c>
      <c r="D2869">
        <v>17.899999999999999</v>
      </c>
      <c r="E2869">
        <f>IF($D2869 &gt; 16, 0, $J$3*(16 - $D2869))</f>
        <v>0</v>
      </c>
      <c r="F2869">
        <f>IF($D2869 &gt; 16, 0,$E2869*$J$5)</f>
        <v>0</v>
      </c>
      <c r="G2869">
        <f t="shared" si="44"/>
        <v>0</v>
      </c>
    </row>
    <row r="2870" spans="2:7" x14ac:dyDescent="0.35">
      <c r="B2870" s="1">
        <v>45777</v>
      </c>
      <c r="C2870" s="2">
        <v>0.5</v>
      </c>
      <c r="D2870">
        <v>19</v>
      </c>
      <c r="E2870">
        <f>IF($D2870 &gt; 16, 0, $J$3*(16 - $D2870))</f>
        <v>0</v>
      </c>
      <c r="F2870">
        <f>IF($D2870 &gt; 16, 0,$E2870*$J$5)</f>
        <v>0</v>
      </c>
      <c r="G2870">
        <f t="shared" si="44"/>
        <v>0</v>
      </c>
    </row>
    <row r="2871" spans="2:7" x14ac:dyDescent="0.35">
      <c r="B2871" s="1">
        <v>45777</v>
      </c>
      <c r="C2871" s="2">
        <v>0.54166666666666663</v>
      </c>
      <c r="D2871">
        <v>19.7</v>
      </c>
      <c r="E2871">
        <f>IF($D2871 &gt; 16, 0, $J$3*(16 - $D2871))</f>
        <v>0</v>
      </c>
      <c r="F2871">
        <f>IF($D2871 &gt; 16, 0,$E2871*$J$5)</f>
        <v>0</v>
      </c>
      <c r="G2871">
        <f t="shared" si="44"/>
        <v>0</v>
      </c>
    </row>
    <row r="2872" spans="2:7" x14ac:dyDescent="0.35">
      <c r="B2872" s="1">
        <v>45777</v>
      </c>
      <c r="C2872" s="2">
        <v>0.58333333333333337</v>
      </c>
      <c r="D2872">
        <v>21</v>
      </c>
      <c r="E2872">
        <f>IF($D2872 &gt; 16, 0, $J$3*(16 - $D2872))</f>
        <v>0</v>
      </c>
      <c r="F2872">
        <f>IF($D2872 &gt; 16, 0,$E2872*$J$5)</f>
        <v>0</v>
      </c>
      <c r="G2872">
        <f t="shared" si="44"/>
        <v>0</v>
      </c>
    </row>
    <row r="2873" spans="2:7" x14ac:dyDescent="0.35">
      <c r="B2873" s="1">
        <v>45777</v>
      </c>
      <c r="C2873" s="2">
        <v>0.625</v>
      </c>
      <c r="D2873">
        <v>20.7</v>
      </c>
      <c r="E2873">
        <f>IF($D2873 &gt; 16, 0, $J$3*(16 - $D2873))</f>
        <v>0</v>
      </c>
      <c r="F2873">
        <f>IF($D2873 &gt; 16, 0,$E2873*$J$5)</f>
        <v>0</v>
      </c>
      <c r="G2873">
        <f t="shared" si="44"/>
        <v>0</v>
      </c>
    </row>
    <row r="2874" spans="2:7" x14ac:dyDescent="0.35">
      <c r="B2874" s="1">
        <v>45777</v>
      </c>
      <c r="C2874" s="2">
        <v>0.66666666666666663</v>
      </c>
      <c r="D2874">
        <v>20.8</v>
      </c>
      <c r="E2874">
        <f>IF($D2874 &gt; 16, 0, $J$3*(16 - $D2874))</f>
        <v>0</v>
      </c>
      <c r="F2874">
        <f>IF($D2874 &gt; 16, 0,$E2874*$J$5)</f>
        <v>0</v>
      </c>
      <c r="G2874">
        <f t="shared" si="44"/>
        <v>0</v>
      </c>
    </row>
    <row r="2875" spans="2:7" x14ac:dyDescent="0.35">
      <c r="B2875" s="1">
        <v>45777</v>
      </c>
      <c r="C2875" s="2">
        <v>0.70833333333333337</v>
      </c>
      <c r="D2875">
        <v>20.399999999999999</v>
      </c>
      <c r="E2875">
        <f>IF($D2875 &gt; 16, 0, $J$3*(16 - $D2875))</f>
        <v>0</v>
      </c>
      <c r="F2875">
        <f>IF($D2875 &gt; 16, 0,$E2875*$J$5)</f>
        <v>0</v>
      </c>
      <c r="G2875">
        <f t="shared" si="44"/>
        <v>0</v>
      </c>
    </row>
    <row r="2876" spans="2:7" x14ac:dyDescent="0.35">
      <c r="B2876" s="1">
        <v>45777</v>
      </c>
      <c r="C2876" s="2">
        <v>0.75</v>
      </c>
      <c r="D2876">
        <v>19.3</v>
      </c>
      <c r="E2876">
        <f>IF($D2876 &gt; 16, 0, $J$3*(16 - $D2876))</f>
        <v>0</v>
      </c>
      <c r="F2876">
        <f>IF($D2876 &gt; 16, 0,$E2876*$J$5)</f>
        <v>0</v>
      </c>
      <c r="G2876">
        <f t="shared" si="44"/>
        <v>0</v>
      </c>
    </row>
    <row r="2877" spans="2:7" x14ac:dyDescent="0.35">
      <c r="B2877" s="1">
        <v>45777</v>
      </c>
      <c r="C2877" s="2">
        <v>0.79166666666666663</v>
      </c>
      <c r="D2877">
        <v>17.100000000000001</v>
      </c>
      <c r="E2877">
        <f>IF($D2877 &gt; 16, 0, $J$3*(16 - $D2877))</f>
        <v>0</v>
      </c>
      <c r="F2877">
        <f>IF($D2877 &gt; 16, 0,$E2877*$J$5)</f>
        <v>0</v>
      </c>
      <c r="G2877">
        <f t="shared" si="44"/>
        <v>0</v>
      </c>
    </row>
    <row r="2878" spans="2:7" x14ac:dyDescent="0.35">
      <c r="B2878" s="1">
        <v>45777</v>
      </c>
      <c r="C2878" s="2">
        <v>0.83333333333333337</v>
      </c>
      <c r="D2878">
        <v>14.3</v>
      </c>
      <c r="E2878">
        <f>IF($D2878 &gt; 16, 0, $J$3*(16 - $D2878))</f>
        <v>353.17269259118473</v>
      </c>
      <c r="F2878">
        <f>IF($D2878 &gt; 16, 0,$E2878*$J$5)</f>
        <v>3838633.9957735869</v>
      </c>
      <c r="G2878">
        <f t="shared" si="44"/>
        <v>1.6999999999999993</v>
      </c>
    </row>
    <row r="2879" spans="2:7" x14ac:dyDescent="0.35">
      <c r="B2879" s="1">
        <v>45777</v>
      </c>
      <c r="C2879" s="2">
        <v>0.875</v>
      </c>
      <c r="D2879">
        <v>12</v>
      </c>
      <c r="E2879">
        <f>IF($D2879 &gt; 16, 0, $J$3*(16 - $D2879))</f>
        <v>830.99457080278796</v>
      </c>
      <c r="F2879">
        <f>IF($D2879 &gt; 16, 0,$E2879*$J$5)</f>
        <v>9032079.9900555015</v>
      </c>
      <c r="G2879">
        <f t="shared" si="44"/>
        <v>4</v>
      </c>
    </row>
    <row r="2880" spans="2:7" x14ac:dyDescent="0.35">
      <c r="B2880" s="1">
        <v>45777</v>
      </c>
      <c r="C2880" s="2">
        <v>0.91666666666666663</v>
      </c>
      <c r="D2880">
        <v>11.5</v>
      </c>
      <c r="E2880">
        <f>IF($D2880 &gt; 16, 0, $J$3*(16 - $D2880))</f>
        <v>934.86889215313647</v>
      </c>
      <c r="F2880">
        <f>IF($D2880 &gt; 16, 0,$E2880*$J$5)</f>
        <v>10161089.988812441</v>
      </c>
      <c r="G2880">
        <f t="shared" si="44"/>
        <v>4.5</v>
      </c>
    </row>
    <row r="2881" spans="2:7" x14ac:dyDescent="0.35">
      <c r="B2881" s="1">
        <v>45777</v>
      </c>
      <c r="C2881" s="2">
        <v>0.95833333333333337</v>
      </c>
      <c r="D2881">
        <v>9.9</v>
      </c>
      <c r="E2881">
        <f>IF($D2881 &gt; 16, 0, $J$3*(16 - $D2881))</f>
        <v>1267.2667204742515</v>
      </c>
      <c r="F2881">
        <f>IF($D2881 &gt; 16, 0,$E2881*$J$5)</f>
        <v>13773921.984834639</v>
      </c>
      <c r="G2881">
        <f t="shared" si="44"/>
        <v>6.1</v>
      </c>
    </row>
    <row r="2882" spans="2:7" x14ac:dyDescent="0.35">
      <c r="B2882" s="1">
        <v>45778</v>
      </c>
      <c r="C2882" s="2">
        <v>0</v>
      </c>
      <c r="D2882">
        <v>8.9</v>
      </c>
      <c r="E2882">
        <f>IF($D2882 &gt; 16, 0, $J$3*(16 - $D2882))</f>
        <v>1475.0153631749486</v>
      </c>
      <c r="F2882">
        <f>IF($D2882 &gt; 16, 0,$E2882*$J$5)</f>
        <v>16031941.982348517</v>
      </c>
      <c r="G2882">
        <f t="shared" si="44"/>
        <v>7.1</v>
      </c>
    </row>
    <row r="2883" spans="2:7" x14ac:dyDescent="0.35">
      <c r="B2883" s="1">
        <v>45778</v>
      </c>
      <c r="C2883" s="2">
        <v>4.1666666666666657E-2</v>
      </c>
      <c r="D2883">
        <v>8.9</v>
      </c>
      <c r="E2883">
        <f>IF($D2883 &gt; 16, 0, $J$3*(16 - $D2883))</f>
        <v>1475.0153631749486</v>
      </c>
      <c r="F2883">
        <f>IF($D2883 &gt; 16, 0,$E2883*$J$5)</f>
        <v>16031941.982348517</v>
      </c>
      <c r="G2883">
        <f t="shared" ref="G2883:G2946" si="45">MAX(0, 16 - $D2883)</f>
        <v>7.1</v>
      </c>
    </row>
    <row r="2884" spans="2:7" x14ac:dyDescent="0.35">
      <c r="B2884" s="1">
        <v>45778</v>
      </c>
      <c r="C2884" s="2">
        <v>8.3333333333333329E-2</v>
      </c>
      <c r="D2884">
        <v>8.5</v>
      </c>
      <c r="E2884">
        <f>IF($D2884 &gt; 16, 0, $J$3*(16 - $D2884))</f>
        <v>1558.1148202552274</v>
      </c>
      <c r="F2884">
        <f>IF($D2884 &gt; 16, 0,$E2884*$J$5)</f>
        <v>16935149.981354065</v>
      </c>
      <c r="G2884">
        <f t="shared" si="45"/>
        <v>7.5</v>
      </c>
    </row>
    <row r="2885" spans="2:7" x14ac:dyDescent="0.35">
      <c r="B2885" s="1">
        <v>45778</v>
      </c>
      <c r="C2885" s="2">
        <v>0.125</v>
      </c>
      <c r="D2885">
        <v>8.3000000000000007</v>
      </c>
      <c r="E2885">
        <f>IF($D2885 &gt; 16, 0, $J$3*(16 - $D2885))</f>
        <v>1599.6645487953667</v>
      </c>
      <c r="F2885">
        <f>IF($D2885 &gt; 16, 0,$E2885*$J$5)</f>
        <v>17386753.98085684</v>
      </c>
      <c r="G2885">
        <f t="shared" si="45"/>
        <v>7.6999999999999993</v>
      </c>
    </row>
    <row r="2886" spans="2:7" x14ac:dyDescent="0.35">
      <c r="B2886" s="1">
        <v>45778</v>
      </c>
      <c r="C2886" s="2">
        <v>0.16666666666666671</v>
      </c>
      <c r="D2886">
        <v>7.9</v>
      </c>
      <c r="E2886">
        <f>IF($D2886 &gt; 16, 0, $J$3*(16 - $D2886))</f>
        <v>1682.7640058756456</v>
      </c>
      <c r="F2886">
        <f>IF($D2886 &gt; 16, 0,$E2886*$J$5)</f>
        <v>18289961.979862392</v>
      </c>
      <c r="G2886">
        <f t="shared" si="45"/>
        <v>8.1</v>
      </c>
    </row>
    <row r="2887" spans="2:7" x14ac:dyDescent="0.35">
      <c r="B2887" s="1">
        <v>45778</v>
      </c>
      <c r="C2887" s="2">
        <v>0.20833333333333329</v>
      </c>
      <c r="D2887">
        <v>10.9</v>
      </c>
      <c r="E2887">
        <f>IF($D2887 &gt; 16, 0, $J$3*(16 - $D2887))</f>
        <v>1059.5180777735545</v>
      </c>
      <c r="F2887">
        <f>IF($D2887 &gt; 16, 0,$E2887*$J$5)</f>
        <v>11515901.987320764</v>
      </c>
      <c r="G2887">
        <f t="shared" si="45"/>
        <v>5.0999999999999996</v>
      </c>
    </row>
    <row r="2888" spans="2:7" x14ac:dyDescent="0.35">
      <c r="B2888" s="1">
        <v>45778</v>
      </c>
      <c r="C2888" s="2">
        <v>0.25</v>
      </c>
      <c r="D2888">
        <v>13.8</v>
      </c>
      <c r="E2888">
        <f>IF($D2888 &gt; 16, 0, $J$3*(16 - $D2888))</f>
        <v>457.04701394153324</v>
      </c>
      <c r="F2888">
        <f>IF($D2888 &gt; 16, 0,$E2888*$J$5)</f>
        <v>4967643.9945305251</v>
      </c>
      <c r="G2888">
        <f t="shared" si="45"/>
        <v>2.1999999999999993</v>
      </c>
    </row>
    <row r="2889" spans="2:7" x14ac:dyDescent="0.35">
      <c r="B2889" s="1">
        <v>45778</v>
      </c>
      <c r="C2889" s="2">
        <v>0.29166666666666669</v>
      </c>
      <c r="D2889">
        <v>15.9</v>
      </c>
      <c r="E2889">
        <f>IF($D2889 &gt; 16, 0, $J$3*(16 - $D2889))</f>
        <v>20.774864270069624</v>
      </c>
      <c r="F2889">
        <f>IF($D2889 &gt; 16, 0,$E2889*$J$5)</f>
        <v>225801.99975138676</v>
      </c>
      <c r="G2889">
        <f t="shared" si="45"/>
        <v>9.9999999999999645E-2</v>
      </c>
    </row>
    <row r="2890" spans="2:7" x14ac:dyDescent="0.35">
      <c r="B2890" s="1">
        <v>45778</v>
      </c>
      <c r="C2890" s="2">
        <v>0.33333333333333331</v>
      </c>
      <c r="D2890">
        <v>19</v>
      </c>
      <c r="E2890">
        <f>IF($D2890 &gt; 16, 0, $J$3*(16 - $D2890))</f>
        <v>0</v>
      </c>
      <c r="F2890">
        <f>IF($D2890 &gt; 16, 0,$E2890*$J$5)</f>
        <v>0</v>
      </c>
      <c r="G2890">
        <f t="shared" si="45"/>
        <v>0</v>
      </c>
    </row>
    <row r="2891" spans="2:7" x14ac:dyDescent="0.35">
      <c r="B2891" s="1">
        <v>45778</v>
      </c>
      <c r="C2891" s="2">
        <v>0.375</v>
      </c>
      <c r="D2891">
        <v>20</v>
      </c>
      <c r="E2891">
        <f>IF($D2891 &gt; 16, 0, $J$3*(16 - $D2891))</f>
        <v>0</v>
      </c>
      <c r="F2891">
        <f>IF($D2891 &gt; 16, 0,$E2891*$J$5)</f>
        <v>0</v>
      </c>
      <c r="G2891">
        <f t="shared" si="45"/>
        <v>0</v>
      </c>
    </row>
    <row r="2892" spans="2:7" x14ac:dyDescent="0.35">
      <c r="B2892" s="1">
        <v>45778</v>
      </c>
      <c r="C2892" s="2">
        <v>0.41666666666666669</v>
      </c>
      <c r="D2892">
        <v>22.2</v>
      </c>
      <c r="E2892">
        <f>IF($D2892 &gt; 16, 0, $J$3*(16 - $D2892))</f>
        <v>0</v>
      </c>
      <c r="F2892">
        <f>IF($D2892 &gt; 16, 0,$E2892*$J$5)</f>
        <v>0</v>
      </c>
      <c r="G2892">
        <f t="shared" si="45"/>
        <v>0</v>
      </c>
    </row>
    <row r="2893" spans="2:7" x14ac:dyDescent="0.35">
      <c r="B2893" s="1">
        <v>45778</v>
      </c>
      <c r="C2893" s="2">
        <v>0.45833333333333331</v>
      </c>
      <c r="D2893">
        <v>22.6</v>
      </c>
      <c r="E2893">
        <f>IF($D2893 &gt; 16, 0, $J$3*(16 - $D2893))</f>
        <v>0</v>
      </c>
      <c r="F2893">
        <f>IF($D2893 &gt; 16, 0,$E2893*$J$5)</f>
        <v>0</v>
      </c>
      <c r="G2893">
        <f t="shared" si="45"/>
        <v>0</v>
      </c>
    </row>
    <row r="2894" spans="2:7" x14ac:dyDescent="0.35">
      <c r="B2894" s="1">
        <v>45778</v>
      </c>
      <c r="C2894" s="2">
        <v>0.5</v>
      </c>
      <c r="D2894">
        <v>24.2</v>
      </c>
      <c r="E2894">
        <f>IF($D2894 &gt; 16, 0, $J$3*(16 - $D2894))</f>
        <v>0</v>
      </c>
      <c r="F2894">
        <f>IF($D2894 &gt; 16, 0,$E2894*$J$5)</f>
        <v>0</v>
      </c>
      <c r="G2894">
        <f t="shared" si="45"/>
        <v>0</v>
      </c>
    </row>
    <row r="2895" spans="2:7" x14ac:dyDescent="0.35">
      <c r="B2895" s="1">
        <v>45778</v>
      </c>
      <c r="C2895" s="2">
        <v>0.54166666666666663</v>
      </c>
      <c r="D2895">
        <v>25.5</v>
      </c>
      <c r="E2895">
        <f>IF($D2895 &gt; 16, 0, $J$3*(16 - $D2895))</f>
        <v>0</v>
      </c>
      <c r="F2895">
        <f>IF($D2895 &gt; 16, 0,$E2895*$J$5)</f>
        <v>0</v>
      </c>
      <c r="G2895">
        <f t="shared" si="45"/>
        <v>0</v>
      </c>
    </row>
    <row r="2896" spans="2:7" x14ac:dyDescent="0.35">
      <c r="B2896" s="1">
        <v>45778</v>
      </c>
      <c r="C2896" s="2">
        <v>0.58333333333333337</v>
      </c>
      <c r="D2896">
        <v>25.6</v>
      </c>
      <c r="E2896">
        <f>IF($D2896 &gt; 16, 0, $J$3*(16 - $D2896))</f>
        <v>0</v>
      </c>
      <c r="F2896">
        <f>IF($D2896 &gt; 16, 0,$E2896*$J$5)</f>
        <v>0</v>
      </c>
      <c r="G2896">
        <f t="shared" si="45"/>
        <v>0</v>
      </c>
    </row>
    <row r="2897" spans="2:7" x14ac:dyDescent="0.35">
      <c r="B2897" s="1">
        <v>45778</v>
      </c>
      <c r="C2897" s="2">
        <v>0.625</v>
      </c>
      <c r="D2897">
        <v>25.7</v>
      </c>
      <c r="E2897">
        <f>IF($D2897 &gt; 16, 0, $J$3*(16 - $D2897))</f>
        <v>0</v>
      </c>
      <c r="F2897">
        <f>IF($D2897 &gt; 16, 0,$E2897*$J$5)</f>
        <v>0</v>
      </c>
      <c r="G2897">
        <f t="shared" si="45"/>
        <v>0</v>
      </c>
    </row>
    <row r="2898" spans="2:7" x14ac:dyDescent="0.35">
      <c r="B2898" s="1">
        <v>45778</v>
      </c>
      <c r="C2898" s="2">
        <v>0.66666666666666663</v>
      </c>
      <c r="D2898">
        <v>25.6</v>
      </c>
      <c r="E2898">
        <f>IF($D2898 &gt; 16, 0, $J$3*(16 - $D2898))</f>
        <v>0</v>
      </c>
      <c r="F2898">
        <f>IF($D2898 &gt; 16, 0,$E2898*$J$5)</f>
        <v>0</v>
      </c>
      <c r="G2898">
        <f t="shared" si="45"/>
        <v>0</v>
      </c>
    </row>
    <row r="2899" spans="2:7" x14ac:dyDescent="0.35">
      <c r="B2899" s="1">
        <v>45778</v>
      </c>
      <c r="C2899" s="2">
        <v>0.70833333333333337</v>
      </c>
      <c r="D2899">
        <v>24.8</v>
      </c>
      <c r="E2899">
        <f>IF($D2899 &gt; 16, 0, $J$3*(16 - $D2899))</f>
        <v>0</v>
      </c>
      <c r="F2899">
        <f>IF($D2899 &gt; 16, 0,$E2899*$J$5)</f>
        <v>0</v>
      </c>
      <c r="G2899">
        <f t="shared" si="45"/>
        <v>0</v>
      </c>
    </row>
    <row r="2900" spans="2:7" x14ac:dyDescent="0.35">
      <c r="B2900" s="1">
        <v>45778</v>
      </c>
      <c r="C2900" s="2">
        <v>0.75</v>
      </c>
      <c r="D2900">
        <v>22.9</v>
      </c>
      <c r="E2900">
        <f>IF($D2900 &gt; 16, 0, $J$3*(16 - $D2900))</f>
        <v>0</v>
      </c>
      <c r="F2900">
        <f>IF($D2900 &gt; 16, 0,$E2900*$J$5)</f>
        <v>0</v>
      </c>
      <c r="G2900">
        <f t="shared" si="45"/>
        <v>0</v>
      </c>
    </row>
    <row r="2901" spans="2:7" x14ac:dyDescent="0.35">
      <c r="B2901" s="1">
        <v>45778</v>
      </c>
      <c r="C2901" s="2">
        <v>0.79166666666666663</v>
      </c>
      <c r="D2901">
        <v>19.8</v>
      </c>
      <c r="E2901">
        <f>IF($D2901 &gt; 16, 0, $J$3*(16 - $D2901))</f>
        <v>0</v>
      </c>
      <c r="F2901">
        <f>IF($D2901 &gt; 16, 0,$E2901*$J$5)</f>
        <v>0</v>
      </c>
      <c r="G2901">
        <f t="shared" si="45"/>
        <v>0</v>
      </c>
    </row>
    <row r="2902" spans="2:7" x14ac:dyDescent="0.35">
      <c r="B2902" s="1">
        <v>45778</v>
      </c>
      <c r="C2902" s="2">
        <v>0.83333333333333337</v>
      </c>
      <c r="D2902">
        <v>20.100000000000001</v>
      </c>
      <c r="E2902">
        <f>IF($D2902 &gt; 16, 0, $J$3*(16 - $D2902))</f>
        <v>0</v>
      </c>
      <c r="F2902">
        <f>IF($D2902 &gt; 16, 0,$E2902*$J$5)</f>
        <v>0</v>
      </c>
      <c r="G2902">
        <f t="shared" si="45"/>
        <v>0</v>
      </c>
    </row>
    <row r="2903" spans="2:7" x14ac:dyDescent="0.35">
      <c r="B2903" s="1">
        <v>45778</v>
      </c>
      <c r="C2903" s="2">
        <v>0.875</v>
      </c>
      <c r="D2903">
        <v>19.7</v>
      </c>
      <c r="E2903">
        <f>IF($D2903 &gt; 16, 0, $J$3*(16 - $D2903))</f>
        <v>0</v>
      </c>
      <c r="F2903">
        <f>IF($D2903 &gt; 16, 0,$E2903*$J$5)</f>
        <v>0</v>
      </c>
      <c r="G2903">
        <f t="shared" si="45"/>
        <v>0</v>
      </c>
    </row>
    <row r="2904" spans="2:7" x14ac:dyDescent="0.35">
      <c r="B2904" s="1">
        <v>45778</v>
      </c>
      <c r="C2904" s="2">
        <v>0.91666666666666663</v>
      </c>
      <c r="D2904">
        <v>19.2</v>
      </c>
      <c r="E2904">
        <f>IF($D2904 &gt; 16, 0, $J$3*(16 - $D2904))</f>
        <v>0</v>
      </c>
      <c r="F2904">
        <f>IF($D2904 &gt; 16, 0,$E2904*$J$5)</f>
        <v>0</v>
      </c>
      <c r="G2904">
        <f t="shared" si="45"/>
        <v>0</v>
      </c>
    </row>
    <row r="2905" spans="2:7" x14ac:dyDescent="0.35">
      <c r="B2905" s="1">
        <v>45778</v>
      </c>
      <c r="C2905" s="2">
        <v>0.95833333333333337</v>
      </c>
      <c r="D2905">
        <v>17.3</v>
      </c>
      <c r="E2905">
        <f>IF($D2905 &gt; 16, 0, $J$3*(16 - $D2905))</f>
        <v>0</v>
      </c>
      <c r="F2905">
        <f>IF($D2905 &gt; 16, 0,$E2905*$J$5)</f>
        <v>0</v>
      </c>
      <c r="G2905">
        <f t="shared" si="45"/>
        <v>0</v>
      </c>
    </row>
    <row r="2906" spans="2:7" x14ac:dyDescent="0.35">
      <c r="B2906" s="1">
        <v>45779</v>
      </c>
      <c r="C2906" s="2">
        <v>0</v>
      </c>
      <c r="D2906">
        <v>16.2</v>
      </c>
      <c r="E2906">
        <f>IF($D2906 &gt; 16, 0, $J$3*(16 - $D2906))</f>
        <v>0</v>
      </c>
      <c r="F2906">
        <f>IF($D2906 &gt; 16, 0,$E2906*$J$5)</f>
        <v>0</v>
      </c>
      <c r="G2906">
        <f t="shared" si="45"/>
        <v>0</v>
      </c>
    </row>
    <row r="2907" spans="2:7" x14ac:dyDescent="0.35">
      <c r="B2907" s="1">
        <v>45779</v>
      </c>
      <c r="C2907" s="2">
        <v>4.1666666666666657E-2</v>
      </c>
      <c r="D2907">
        <v>16.3</v>
      </c>
      <c r="E2907">
        <f>IF($D2907 &gt; 16, 0, $J$3*(16 - $D2907))</f>
        <v>0</v>
      </c>
      <c r="F2907">
        <f>IF($D2907 &gt; 16, 0,$E2907*$J$5)</f>
        <v>0</v>
      </c>
      <c r="G2907">
        <f t="shared" si="45"/>
        <v>0</v>
      </c>
    </row>
    <row r="2908" spans="2:7" x14ac:dyDescent="0.35">
      <c r="B2908" s="1">
        <v>45779</v>
      </c>
      <c r="C2908" s="2">
        <v>8.3333333333333329E-2</v>
      </c>
      <c r="D2908">
        <v>13.8</v>
      </c>
      <c r="E2908">
        <f>IF($D2908 &gt; 16, 0, $J$3*(16 - $D2908))</f>
        <v>457.04701394153324</v>
      </c>
      <c r="F2908">
        <f>IF($D2908 &gt; 16, 0,$E2908*$J$5)</f>
        <v>4967643.9945305251</v>
      </c>
      <c r="G2908">
        <f t="shared" si="45"/>
        <v>2.1999999999999993</v>
      </c>
    </row>
    <row r="2909" spans="2:7" x14ac:dyDescent="0.35">
      <c r="B2909" s="1">
        <v>45779</v>
      </c>
      <c r="C2909" s="2">
        <v>0.125</v>
      </c>
      <c r="D2909">
        <v>12.4</v>
      </c>
      <c r="E2909">
        <f>IF($D2909 &gt; 16, 0, $J$3*(16 - $D2909))</f>
        <v>747.89511372250911</v>
      </c>
      <c r="F2909">
        <f>IF($D2909 &gt; 16, 0,$E2909*$J$5)</f>
        <v>8128871.9910499519</v>
      </c>
      <c r="G2909">
        <f t="shared" si="45"/>
        <v>3.5999999999999996</v>
      </c>
    </row>
    <row r="2910" spans="2:7" x14ac:dyDescent="0.35">
      <c r="B2910" s="1">
        <v>45779</v>
      </c>
      <c r="C2910" s="2">
        <v>0.16666666666666671</v>
      </c>
      <c r="D2910">
        <v>11.9</v>
      </c>
      <c r="E2910">
        <f>IF($D2910 &gt; 16, 0, $J$3*(16 - $D2910))</f>
        <v>851.76943507285762</v>
      </c>
      <c r="F2910">
        <f>IF($D2910 &gt; 16, 0,$E2910*$J$5)</f>
        <v>9257881.9898068886</v>
      </c>
      <c r="G2910">
        <f t="shared" si="45"/>
        <v>4.0999999999999996</v>
      </c>
    </row>
    <row r="2911" spans="2:7" x14ac:dyDescent="0.35">
      <c r="B2911" s="1">
        <v>45779</v>
      </c>
      <c r="C2911" s="2">
        <v>0.20833333333333329</v>
      </c>
      <c r="D2911">
        <v>13.3</v>
      </c>
      <c r="E2911">
        <f>IF($D2911 &gt; 16, 0, $J$3*(16 - $D2911))</f>
        <v>560.92133529188175</v>
      </c>
      <c r="F2911">
        <f>IF($D2911 &gt; 16, 0,$E2911*$J$5)</f>
        <v>6096653.9932874627</v>
      </c>
      <c r="G2911">
        <f t="shared" si="45"/>
        <v>2.6999999999999993</v>
      </c>
    </row>
    <row r="2912" spans="2:7" x14ac:dyDescent="0.35">
      <c r="B2912" s="1">
        <v>45779</v>
      </c>
      <c r="C2912" s="2">
        <v>0.25</v>
      </c>
      <c r="D2912">
        <v>15.7</v>
      </c>
      <c r="E2912">
        <f>IF($D2912 &gt; 16, 0, $J$3*(16 - $D2912))</f>
        <v>62.324592810209246</v>
      </c>
      <c r="F2912">
        <f>IF($D2912 &gt; 16, 0,$E2912*$J$5)</f>
        <v>677405.99925416429</v>
      </c>
      <c r="G2912">
        <f t="shared" si="45"/>
        <v>0.30000000000000071</v>
      </c>
    </row>
    <row r="2913" spans="2:7" x14ac:dyDescent="0.35">
      <c r="B2913" s="1">
        <v>45779</v>
      </c>
      <c r="C2913" s="2">
        <v>0.29166666666666669</v>
      </c>
      <c r="D2913">
        <v>17.600000000000001</v>
      </c>
      <c r="E2913">
        <f>IF($D2913 &gt; 16, 0, $J$3*(16 - $D2913))</f>
        <v>0</v>
      </c>
      <c r="F2913">
        <f>IF($D2913 &gt; 16, 0,$E2913*$J$5)</f>
        <v>0</v>
      </c>
      <c r="G2913">
        <f t="shared" si="45"/>
        <v>0</v>
      </c>
    </row>
    <row r="2914" spans="2:7" x14ac:dyDescent="0.35">
      <c r="B2914" s="1">
        <v>45779</v>
      </c>
      <c r="C2914" s="2">
        <v>0.33333333333333331</v>
      </c>
      <c r="D2914">
        <v>19.399999999999999</v>
      </c>
      <c r="E2914">
        <f>IF($D2914 &gt; 16, 0, $J$3*(16 - $D2914))</f>
        <v>0</v>
      </c>
      <c r="F2914">
        <f>IF($D2914 &gt; 16, 0,$E2914*$J$5)</f>
        <v>0</v>
      </c>
      <c r="G2914">
        <f t="shared" si="45"/>
        <v>0</v>
      </c>
    </row>
    <row r="2915" spans="2:7" x14ac:dyDescent="0.35">
      <c r="B2915" s="1">
        <v>45779</v>
      </c>
      <c r="C2915" s="2">
        <v>0.375</v>
      </c>
      <c r="D2915">
        <v>20.7</v>
      </c>
      <c r="E2915">
        <f>IF($D2915 &gt; 16, 0, $J$3*(16 - $D2915))</f>
        <v>0</v>
      </c>
      <c r="F2915">
        <f>IF($D2915 &gt; 16, 0,$E2915*$J$5)</f>
        <v>0</v>
      </c>
      <c r="G2915">
        <f t="shared" si="45"/>
        <v>0</v>
      </c>
    </row>
    <row r="2916" spans="2:7" x14ac:dyDescent="0.35">
      <c r="B2916" s="1">
        <v>45779</v>
      </c>
      <c r="C2916" s="2">
        <v>0.41666666666666669</v>
      </c>
      <c r="D2916">
        <v>21</v>
      </c>
      <c r="E2916">
        <f>IF($D2916 &gt; 16, 0, $J$3*(16 - $D2916))</f>
        <v>0</v>
      </c>
      <c r="F2916">
        <f>IF($D2916 &gt; 16, 0,$E2916*$J$5)</f>
        <v>0</v>
      </c>
      <c r="G2916">
        <f t="shared" si="45"/>
        <v>0</v>
      </c>
    </row>
    <row r="2917" spans="2:7" x14ac:dyDescent="0.35">
      <c r="B2917" s="1">
        <v>45779</v>
      </c>
      <c r="C2917" s="2">
        <v>0.45833333333333331</v>
      </c>
      <c r="D2917">
        <v>21.8</v>
      </c>
      <c r="E2917">
        <f>IF($D2917 &gt; 16, 0, $J$3*(16 - $D2917))</f>
        <v>0</v>
      </c>
      <c r="F2917">
        <f>IF($D2917 &gt; 16, 0,$E2917*$J$5)</f>
        <v>0</v>
      </c>
      <c r="G2917">
        <f t="shared" si="45"/>
        <v>0</v>
      </c>
    </row>
    <row r="2918" spans="2:7" x14ac:dyDescent="0.35">
      <c r="B2918" s="1">
        <v>45779</v>
      </c>
      <c r="C2918" s="2">
        <v>0.5</v>
      </c>
      <c r="D2918">
        <v>23</v>
      </c>
      <c r="E2918">
        <f>IF($D2918 &gt; 16, 0, $J$3*(16 - $D2918))</f>
        <v>0</v>
      </c>
      <c r="F2918">
        <f>IF($D2918 &gt; 16, 0,$E2918*$J$5)</f>
        <v>0</v>
      </c>
      <c r="G2918">
        <f t="shared" si="45"/>
        <v>0</v>
      </c>
    </row>
    <row r="2919" spans="2:7" x14ac:dyDescent="0.35">
      <c r="B2919" s="1">
        <v>45779</v>
      </c>
      <c r="C2919" s="2">
        <v>0.54166666666666663</v>
      </c>
      <c r="D2919">
        <v>20.100000000000001</v>
      </c>
      <c r="E2919">
        <f>IF($D2919 &gt; 16, 0, $J$3*(16 - $D2919))</f>
        <v>0</v>
      </c>
      <c r="F2919">
        <f>IF($D2919 &gt; 16, 0,$E2919*$J$5)</f>
        <v>0</v>
      </c>
      <c r="G2919">
        <f t="shared" si="45"/>
        <v>0</v>
      </c>
    </row>
    <row r="2920" spans="2:7" x14ac:dyDescent="0.35">
      <c r="B2920" s="1">
        <v>45779</v>
      </c>
      <c r="C2920" s="2">
        <v>0.58333333333333337</v>
      </c>
      <c r="D2920">
        <v>17.8</v>
      </c>
      <c r="E2920">
        <f>IF($D2920 &gt; 16, 0, $J$3*(16 - $D2920))</f>
        <v>0</v>
      </c>
      <c r="F2920">
        <f>IF($D2920 &gt; 16, 0,$E2920*$J$5)</f>
        <v>0</v>
      </c>
      <c r="G2920">
        <f t="shared" si="45"/>
        <v>0</v>
      </c>
    </row>
    <row r="2921" spans="2:7" x14ac:dyDescent="0.35">
      <c r="B2921" s="1">
        <v>45779</v>
      </c>
      <c r="C2921" s="2">
        <v>0.625</v>
      </c>
      <c r="D2921">
        <v>17.100000000000001</v>
      </c>
      <c r="E2921">
        <f>IF($D2921 &gt; 16, 0, $J$3*(16 - $D2921))</f>
        <v>0</v>
      </c>
      <c r="F2921">
        <f>IF($D2921 &gt; 16, 0,$E2921*$J$5)</f>
        <v>0</v>
      </c>
      <c r="G2921">
        <f t="shared" si="45"/>
        <v>0</v>
      </c>
    </row>
    <row r="2922" spans="2:7" x14ac:dyDescent="0.35">
      <c r="B2922" s="1">
        <v>45779</v>
      </c>
      <c r="C2922" s="2">
        <v>0.66666666666666663</v>
      </c>
      <c r="D2922">
        <v>17.3</v>
      </c>
      <c r="E2922">
        <f>IF($D2922 &gt; 16, 0, $J$3*(16 - $D2922))</f>
        <v>0</v>
      </c>
      <c r="F2922">
        <f>IF($D2922 &gt; 16, 0,$E2922*$J$5)</f>
        <v>0</v>
      </c>
      <c r="G2922">
        <f t="shared" si="45"/>
        <v>0</v>
      </c>
    </row>
    <row r="2923" spans="2:7" x14ac:dyDescent="0.35">
      <c r="B2923" s="1">
        <v>45779</v>
      </c>
      <c r="C2923" s="2">
        <v>0.70833333333333337</v>
      </c>
      <c r="D2923">
        <v>16.600000000000001</v>
      </c>
      <c r="E2923">
        <f>IF($D2923 &gt; 16, 0, $J$3*(16 - $D2923))</f>
        <v>0</v>
      </c>
      <c r="F2923">
        <f>IF($D2923 &gt; 16, 0,$E2923*$J$5)</f>
        <v>0</v>
      </c>
      <c r="G2923">
        <f t="shared" si="45"/>
        <v>0</v>
      </c>
    </row>
    <row r="2924" spans="2:7" x14ac:dyDescent="0.35">
      <c r="B2924" s="1">
        <v>45779</v>
      </c>
      <c r="C2924" s="2">
        <v>0.75</v>
      </c>
      <c r="D2924">
        <v>15.9</v>
      </c>
      <c r="E2924">
        <f>IF($D2924 &gt; 16, 0, $J$3*(16 - $D2924))</f>
        <v>20.774864270069624</v>
      </c>
      <c r="F2924">
        <f>IF($D2924 &gt; 16, 0,$E2924*$J$5)</f>
        <v>225801.99975138676</v>
      </c>
      <c r="G2924">
        <f t="shared" si="45"/>
        <v>9.9999999999999645E-2</v>
      </c>
    </row>
    <row r="2925" spans="2:7" x14ac:dyDescent="0.35">
      <c r="B2925" s="1">
        <v>45779</v>
      </c>
      <c r="C2925" s="2">
        <v>0.79166666666666663</v>
      </c>
      <c r="D2925">
        <v>14</v>
      </c>
      <c r="E2925">
        <f>IF($D2925 &gt; 16, 0, $J$3*(16 - $D2925))</f>
        <v>415.49728540139398</v>
      </c>
      <c r="F2925">
        <f>IF($D2925 &gt; 16, 0,$E2925*$J$5)</f>
        <v>4516039.9950277507</v>
      </c>
      <c r="G2925">
        <f t="shared" si="45"/>
        <v>2</v>
      </c>
    </row>
    <row r="2926" spans="2:7" x14ac:dyDescent="0.35">
      <c r="B2926" s="1">
        <v>45779</v>
      </c>
      <c r="C2926" s="2">
        <v>0.83333333333333337</v>
      </c>
      <c r="D2926">
        <v>12.2</v>
      </c>
      <c r="E2926">
        <f>IF($D2926 &gt; 16, 0, $J$3*(16 - $D2926))</f>
        <v>789.44484226264876</v>
      </c>
      <c r="F2926">
        <f>IF($D2926 &gt; 16, 0,$E2926*$J$5)</f>
        <v>8580475.990552729</v>
      </c>
      <c r="G2926">
        <f t="shared" si="45"/>
        <v>3.8000000000000007</v>
      </c>
    </row>
    <row r="2927" spans="2:7" x14ac:dyDescent="0.35">
      <c r="B2927" s="1">
        <v>45779</v>
      </c>
      <c r="C2927" s="2">
        <v>0.875</v>
      </c>
      <c r="D2927">
        <v>10.5</v>
      </c>
      <c r="E2927">
        <f>IF($D2927 &gt; 16, 0, $J$3*(16 - $D2927))</f>
        <v>1142.6175348538334</v>
      </c>
      <c r="F2927">
        <f>IF($D2927 &gt; 16, 0,$E2927*$J$5)</f>
        <v>12419109.986326315</v>
      </c>
      <c r="G2927">
        <f t="shared" si="45"/>
        <v>5.5</v>
      </c>
    </row>
    <row r="2928" spans="2:7" x14ac:dyDescent="0.35">
      <c r="B2928" s="1">
        <v>45779</v>
      </c>
      <c r="C2928" s="2">
        <v>0.91666666666666663</v>
      </c>
      <c r="D2928">
        <v>9.5</v>
      </c>
      <c r="E2928">
        <f>IF($D2928 &gt; 16, 0, $J$3*(16 - $D2928))</f>
        <v>1350.3661775545304</v>
      </c>
      <c r="F2928">
        <f>IF($D2928 &gt; 16, 0,$E2928*$J$5)</f>
        <v>14677129.983840192</v>
      </c>
      <c r="G2928">
        <f t="shared" si="45"/>
        <v>6.5</v>
      </c>
    </row>
    <row r="2929" spans="2:7" x14ac:dyDescent="0.35">
      <c r="B2929" s="1">
        <v>45779</v>
      </c>
      <c r="C2929" s="2">
        <v>0.95833333333333337</v>
      </c>
      <c r="D2929">
        <v>8.6999999999999993</v>
      </c>
      <c r="E2929">
        <f>IF($D2929 &gt; 16, 0, $J$3*(16 - $D2929))</f>
        <v>1516.5650917150881</v>
      </c>
      <c r="F2929">
        <f>IF($D2929 &gt; 16, 0,$E2929*$J$5)</f>
        <v>16483545.981851293</v>
      </c>
      <c r="G2929">
        <f t="shared" si="45"/>
        <v>7.3000000000000007</v>
      </c>
    </row>
    <row r="2930" spans="2:7" x14ac:dyDescent="0.35">
      <c r="B2930" s="1">
        <v>45780</v>
      </c>
      <c r="C2930" s="2">
        <v>0</v>
      </c>
      <c r="D2930">
        <v>6.5</v>
      </c>
      <c r="E2930">
        <f>IF($D2930 &gt; 16, 0, $J$3*(16 - $D2930))</f>
        <v>1973.6121056566215</v>
      </c>
      <c r="F2930">
        <f>IF($D2930 &gt; 16, 0,$E2930*$J$5)</f>
        <v>21451189.97638182</v>
      </c>
      <c r="G2930">
        <f t="shared" si="45"/>
        <v>9.5</v>
      </c>
    </row>
    <row r="2931" spans="2:7" x14ac:dyDescent="0.35">
      <c r="B2931" s="1">
        <v>45780</v>
      </c>
      <c r="C2931" s="2">
        <v>4.1666666666666657E-2</v>
      </c>
      <c r="D2931">
        <v>6.1</v>
      </c>
      <c r="E2931">
        <f>IF($D2931 &gt; 16, 0, $J$3*(16 - $D2931))</f>
        <v>2056.7115627369003</v>
      </c>
      <c r="F2931">
        <f>IF($D2931 &gt; 16, 0,$E2931*$J$5)</f>
        <v>22354397.975387368</v>
      </c>
      <c r="G2931">
        <f t="shared" si="45"/>
        <v>9.9</v>
      </c>
    </row>
    <row r="2932" spans="2:7" x14ac:dyDescent="0.35">
      <c r="B2932" s="1">
        <v>45780</v>
      </c>
      <c r="C2932" s="2">
        <v>8.3333333333333329E-2</v>
      </c>
      <c r="D2932">
        <v>5.5</v>
      </c>
      <c r="E2932">
        <f>IF($D2932 &gt; 16, 0, $J$3*(16 - $D2932))</f>
        <v>2181.3607483573182</v>
      </c>
      <c r="F2932">
        <f>IF($D2932 &gt; 16, 0,$E2932*$J$5)</f>
        <v>23709209.973895691</v>
      </c>
      <c r="G2932">
        <f t="shared" si="45"/>
        <v>10.5</v>
      </c>
    </row>
    <row r="2933" spans="2:7" x14ac:dyDescent="0.35">
      <c r="B2933" s="1">
        <v>45780</v>
      </c>
      <c r="C2933" s="2">
        <v>0.125</v>
      </c>
      <c r="D2933">
        <v>5.7</v>
      </c>
      <c r="E2933">
        <f>IF($D2933 &gt; 16, 0, $J$3*(16 - $D2933))</f>
        <v>2139.8110198171789</v>
      </c>
      <c r="F2933">
        <f>IF($D2933 &gt; 16, 0,$E2933*$J$5)</f>
        <v>23257605.974392917</v>
      </c>
      <c r="G2933">
        <f t="shared" si="45"/>
        <v>10.3</v>
      </c>
    </row>
    <row r="2934" spans="2:7" x14ac:dyDescent="0.35">
      <c r="B2934" s="1">
        <v>45780</v>
      </c>
      <c r="C2934" s="2">
        <v>0.16666666666666671</v>
      </c>
      <c r="D2934">
        <v>4.5999999999999996</v>
      </c>
      <c r="E2934">
        <f>IF($D2934 &gt; 16, 0, $J$3*(16 - $D2934))</f>
        <v>2368.3345267879458</v>
      </c>
      <c r="F2934">
        <f>IF($D2934 &gt; 16, 0,$E2934*$J$5)</f>
        <v>25741427.971658185</v>
      </c>
      <c r="G2934">
        <f t="shared" si="45"/>
        <v>11.4</v>
      </c>
    </row>
    <row r="2935" spans="2:7" x14ac:dyDescent="0.35">
      <c r="B2935" s="1">
        <v>45780</v>
      </c>
      <c r="C2935" s="2">
        <v>0.20833333333333329</v>
      </c>
      <c r="D2935">
        <v>7</v>
      </c>
      <c r="E2935">
        <f>IF($D2935 &gt; 16, 0, $J$3*(16 - $D2935))</f>
        <v>1869.7377843062729</v>
      </c>
      <c r="F2935">
        <f>IF($D2935 &gt; 16, 0,$E2935*$J$5)</f>
        <v>20322179.977624882</v>
      </c>
      <c r="G2935">
        <f t="shared" si="45"/>
        <v>9</v>
      </c>
    </row>
    <row r="2936" spans="2:7" x14ac:dyDescent="0.35">
      <c r="B2936" s="1">
        <v>45780</v>
      </c>
      <c r="C2936" s="2">
        <v>0.25</v>
      </c>
      <c r="D2936">
        <v>9.1999999999999993</v>
      </c>
      <c r="E2936">
        <f>IF($D2936 &gt; 16, 0, $J$3*(16 - $D2936))</f>
        <v>1412.6907703647396</v>
      </c>
      <c r="F2936">
        <f>IF($D2936 &gt; 16, 0,$E2936*$J$5)</f>
        <v>15354535.983094355</v>
      </c>
      <c r="G2936">
        <f t="shared" si="45"/>
        <v>6.8000000000000007</v>
      </c>
    </row>
    <row r="2937" spans="2:7" x14ac:dyDescent="0.35">
      <c r="B2937" s="1">
        <v>45780</v>
      </c>
      <c r="C2937" s="2">
        <v>0.29166666666666669</v>
      </c>
      <c r="D2937">
        <v>11.2</v>
      </c>
      <c r="E2937">
        <f>IF($D2937 &gt; 16, 0, $J$3*(16 - $D2937))</f>
        <v>997.19348496334567</v>
      </c>
      <c r="F2937">
        <f>IF($D2937 &gt; 16, 0,$E2937*$J$5)</f>
        <v>10838495.988066604</v>
      </c>
      <c r="G2937">
        <f t="shared" si="45"/>
        <v>4.8000000000000007</v>
      </c>
    </row>
    <row r="2938" spans="2:7" x14ac:dyDescent="0.35">
      <c r="B2938" s="1">
        <v>45780</v>
      </c>
      <c r="C2938" s="2">
        <v>0.33333333333333331</v>
      </c>
      <c r="D2938">
        <v>12.2</v>
      </c>
      <c r="E2938">
        <f>IF($D2938 &gt; 16, 0, $J$3*(16 - $D2938))</f>
        <v>789.44484226264876</v>
      </c>
      <c r="F2938">
        <f>IF($D2938 &gt; 16, 0,$E2938*$J$5)</f>
        <v>8580475.990552729</v>
      </c>
      <c r="G2938">
        <f t="shared" si="45"/>
        <v>3.8000000000000007</v>
      </c>
    </row>
    <row r="2939" spans="2:7" x14ac:dyDescent="0.35">
      <c r="B2939" s="1">
        <v>45780</v>
      </c>
      <c r="C2939" s="2">
        <v>0.375</v>
      </c>
      <c r="D2939">
        <v>13.2</v>
      </c>
      <c r="E2939">
        <f>IF($D2939 &gt; 16, 0, $J$3*(16 - $D2939))</f>
        <v>581.69619956195174</v>
      </c>
      <c r="F2939">
        <f>IF($D2939 &gt; 16, 0,$E2939*$J$5)</f>
        <v>6322455.9930388536</v>
      </c>
      <c r="G2939">
        <f t="shared" si="45"/>
        <v>2.8000000000000007</v>
      </c>
    </row>
    <row r="2940" spans="2:7" x14ac:dyDescent="0.35">
      <c r="B2940" s="1">
        <v>45780</v>
      </c>
      <c r="C2940" s="2">
        <v>0.41666666666666669</v>
      </c>
      <c r="D2940">
        <v>13.5</v>
      </c>
      <c r="E2940">
        <f>IF($D2940 &gt; 16, 0, $J$3*(16 - $D2940))</f>
        <v>519.37160675174243</v>
      </c>
      <c r="F2940">
        <f>IF($D2940 &gt; 16, 0,$E2940*$J$5)</f>
        <v>5645049.9937846884</v>
      </c>
      <c r="G2940">
        <f t="shared" si="45"/>
        <v>2.5</v>
      </c>
    </row>
    <row r="2941" spans="2:7" x14ac:dyDescent="0.35">
      <c r="B2941" s="1">
        <v>45780</v>
      </c>
      <c r="C2941" s="2">
        <v>0.45833333333333331</v>
      </c>
      <c r="D2941">
        <v>15.7</v>
      </c>
      <c r="E2941">
        <f>IF($D2941 &gt; 16, 0, $J$3*(16 - $D2941))</f>
        <v>62.324592810209246</v>
      </c>
      <c r="F2941">
        <f>IF($D2941 &gt; 16, 0,$E2941*$J$5)</f>
        <v>677405.99925416429</v>
      </c>
      <c r="G2941">
        <f t="shared" si="45"/>
        <v>0.30000000000000071</v>
      </c>
    </row>
    <row r="2942" spans="2:7" x14ac:dyDescent="0.35">
      <c r="B2942" s="1">
        <v>45780</v>
      </c>
      <c r="C2942" s="2">
        <v>0.5</v>
      </c>
      <c r="D2942">
        <v>15.4</v>
      </c>
      <c r="E2942">
        <f>IF($D2942 &gt; 16, 0, $J$3*(16 - $D2942))</f>
        <v>124.64918562041812</v>
      </c>
      <c r="F2942">
        <f>IF($D2942 &gt; 16, 0,$E2942*$J$5)</f>
        <v>1354811.9985083246</v>
      </c>
      <c r="G2942">
        <f t="shared" si="45"/>
        <v>0.59999999999999964</v>
      </c>
    </row>
    <row r="2943" spans="2:7" x14ac:dyDescent="0.35">
      <c r="B2943" s="1">
        <v>45780</v>
      </c>
      <c r="C2943" s="2">
        <v>0.54166666666666663</v>
      </c>
      <c r="D2943">
        <v>15.2</v>
      </c>
      <c r="E2943">
        <f>IF($D2943 &gt; 16, 0, $J$3*(16 - $D2943))</f>
        <v>166.19891416055773</v>
      </c>
      <c r="F2943">
        <f>IF($D2943 &gt; 16, 0,$E2943*$J$5)</f>
        <v>1806415.998011102</v>
      </c>
      <c r="G2943">
        <f t="shared" si="45"/>
        <v>0.80000000000000071</v>
      </c>
    </row>
    <row r="2944" spans="2:7" x14ac:dyDescent="0.35">
      <c r="B2944" s="1">
        <v>45780</v>
      </c>
      <c r="C2944" s="2">
        <v>0.58333333333333337</v>
      </c>
      <c r="D2944">
        <v>16</v>
      </c>
      <c r="E2944">
        <f>IF($D2944 &gt; 16, 0, $J$3*(16 - $D2944))</f>
        <v>0</v>
      </c>
      <c r="F2944">
        <f>IF($D2944 &gt; 16, 0,$E2944*$J$5)</f>
        <v>0</v>
      </c>
      <c r="G2944">
        <f t="shared" si="45"/>
        <v>0</v>
      </c>
    </row>
    <row r="2945" spans="2:7" x14ac:dyDescent="0.35">
      <c r="B2945" s="1">
        <v>45780</v>
      </c>
      <c r="C2945" s="2">
        <v>0.625</v>
      </c>
      <c r="D2945">
        <v>15.1</v>
      </c>
      <c r="E2945">
        <f>IF($D2945 &gt; 16, 0, $J$3*(16 - $D2945))</f>
        <v>186.97377843062736</v>
      </c>
      <c r="F2945">
        <f>IF($D2945 &gt; 16, 0,$E2945*$J$5)</f>
        <v>2032217.9977624889</v>
      </c>
      <c r="G2945">
        <f t="shared" si="45"/>
        <v>0.90000000000000036</v>
      </c>
    </row>
    <row r="2946" spans="2:7" x14ac:dyDescent="0.35">
      <c r="B2946" s="1">
        <v>45780</v>
      </c>
      <c r="C2946" s="2">
        <v>0.66666666666666663</v>
      </c>
      <c r="D2946">
        <v>14.5</v>
      </c>
      <c r="E2946">
        <f>IF($D2946 &gt; 16, 0, $J$3*(16 - $D2946))</f>
        <v>311.62296405104547</v>
      </c>
      <c r="F2946">
        <f>IF($D2946 &gt; 16, 0,$E2946*$J$5)</f>
        <v>3387029.996270813</v>
      </c>
      <c r="G2946">
        <f t="shared" si="45"/>
        <v>1.5</v>
      </c>
    </row>
    <row r="2947" spans="2:7" x14ac:dyDescent="0.35">
      <c r="B2947" s="1">
        <v>45780</v>
      </c>
      <c r="C2947" s="2">
        <v>0.70833333333333337</v>
      </c>
      <c r="D2947">
        <v>13.3</v>
      </c>
      <c r="E2947">
        <f>IF($D2947 &gt; 16, 0, $J$3*(16 - $D2947))</f>
        <v>560.92133529188175</v>
      </c>
      <c r="F2947">
        <f>IF($D2947 &gt; 16, 0,$E2947*$J$5)</f>
        <v>6096653.9932874627</v>
      </c>
      <c r="G2947">
        <f t="shared" ref="G2947:G3010" si="46">MAX(0, 16 - $D2947)</f>
        <v>2.6999999999999993</v>
      </c>
    </row>
    <row r="2948" spans="2:7" x14ac:dyDescent="0.35">
      <c r="B2948" s="1">
        <v>45780</v>
      </c>
      <c r="C2948" s="2">
        <v>0.75</v>
      </c>
      <c r="D2948">
        <v>12.5</v>
      </c>
      <c r="E2948">
        <f>IF($D2948 &gt; 16, 0, $J$3*(16 - $D2948))</f>
        <v>727.12024945243945</v>
      </c>
      <c r="F2948">
        <f>IF($D2948 &gt; 16, 0,$E2948*$J$5)</f>
        <v>7903069.9912985647</v>
      </c>
      <c r="G2948">
        <f t="shared" si="46"/>
        <v>3.5</v>
      </c>
    </row>
    <row r="2949" spans="2:7" x14ac:dyDescent="0.35">
      <c r="B2949" s="1">
        <v>45780</v>
      </c>
      <c r="C2949" s="2">
        <v>0.79166666666666663</v>
      </c>
      <c r="D2949">
        <v>11</v>
      </c>
      <c r="E2949">
        <f>IF($D2949 &gt; 16, 0, $J$3*(16 - $D2949))</f>
        <v>1038.7432135034849</v>
      </c>
      <c r="F2949">
        <f>IF($D2949 &gt; 16, 0,$E2949*$J$5)</f>
        <v>11290099.987569377</v>
      </c>
      <c r="G2949">
        <f t="shared" si="46"/>
        <v>5</v>
      </c>
    </row>
    <row r="2950" spans="2:7" x14ac:dyDescent="0.35">
      <c r="B2950" s="1">
        <v>45780</v>
      </c>
      <c r="C2950" s="2">
        <v>0.83333333333333337</v>
      </c>
      <c r="D2950">
        <v>8.6999999999999993</v>
      </c>
      <c r="E2950">
        <f>IF($D2950 &gt; 16, 0, $J$3*(16 - $D2950))</f>
        <v>1516.5650917150881</v>
      </c>
      <c r="F2950">
        <f>IF($D2950 &gt; 16, 0,$E2950*$J$5)</f>
        <v>16483545.981851293</v>
      </c>
      <c r="G2950">
        <f t="shared" si="46"/>
        <v>7.3000000000000007</v>
      </c>
    </row>
    <row r="2951" spans="2:7" x14ac:dyDescent="0.35">
      <c r="B2951" s="1">
        <v>45780</v>
      </c>
      <c r="C2951" s="2">
        <v>0.875</v>
      </c>
      <c r="D2951">
        <v>7.5</v>
      </c>
      <c r="E2951">
        <f>IF($D2951 &gt; 16, 0, $J$3*(16 - $D2951))</f>
        <v>1765.8634629559244</v>
      </c>
      <c r="F2951">
        <f>IF($D2951 &gt; 16, 0,$E2951*$J$5)</f>
        <v>19193169.978867944</v>
      </c>
      <c r="G2951">
        <f t="shared" si="46"/>
        <v>8.5</v>
      </c>
    </row>
    <row r="2952" spans="2:7" x14ac:dyDescent="0.35">
      <c r="B2952" s="1">
        <v>45780</v>
      </c>
      <c r="C2952" s="2">
        <v>0.91666666666666663</v>
      </c>
      <c r="D2952">
        <v>8</v>
      </c>
      <c r="E2952">
        <f>IF($D2952 &gt; 16, 0, $J$3*(16 - $D2952))</f>
        <v>1661.9891416055759</v>
      </c>
      <c r="F2952">
        <f>IF($D2952 &gt; 16, 0,$E2952*$J$5)</f>
        <v>18064159.980111003</v>
      </c>
      <c r="G2952">
        <f t="shared" si="46"/>
        <v>8</v>
      </c>
    </row>
    <row r="2953" spans="2:7" x14ac:dyDescent="0.35">
      <c r="B2953" s="1">
        <v>45780</v>
      </c>
      <c r="C2953" s="2">
        <v>0.95833333333333337</v>
      </c>
      <c r="D2953">
        <v>7.7</v>
      </c>
      <c r="E2953">
        <f>IF($D2953 &gt; 16, 0, $J$3*(16 - $D2953))</f>
        <v>1724.3137344157851</v>
      </c>
      <c r="F2953">
        <f>IF($D2953 &gt; 16, 0,$E2953*$J$5)</f>
        <v>18741565.97936517</v>
      </c>
      <c r="G2953">
        <f t="shared" si="46"/>
        <v>8.3000000000000007</v>
      </c>
    </row>
    <row r="2954" spans="2:7" x14ac:dyDescent="0.35">
      <c r="B2954" s="1">
        <v>45781</v>
      </c>
      <c r="C2954" s="2">
        <v>0</v>
      </c>
      <c r="D2954">
        <v>7.5</v>
      </c>
      <c r="E2954">
        <f>IF($D2954 &gt; 16, 0, $J$3*(16 - $D2954))</f>
        <v>1765.8634629559244</v>
      </c>
      <c r="F2954">
        <f>IF($D2954 &gt; 16, 0,$E2954*$J$5)</f>
        <v>19193169.978867944</v>
      </c>
      <c r="G2954">
        <f t="shared" si="46"/>
        <v>8.5</v>
      </c>
    </row>
    <row r="2955" spans="2:7" x14ac:dyDescent="0.35">
      <c r="B2955" s="1">
        <v>45781</v>
      </c>
      <c r="C2955" s="2">
        <v>4.1666666666666657E-2</v>
      </c>
      <c r="D2955">
        <v>7.5</v>
      </c>
      <c r="E2955">
        <f>IF($D2955 &gt; 16, 0, $J$3*(16 - $D2955))</f>
        <v>1765.8634629559244</v>
      </c>
      <c r="F2955">
        <f>IF($D2955 &gt; 16, 0,$E2955*$J$5)</f>
        <v>19193169.978867944</v>
      </c>
      <c r="G2955">
        <f t="shared" si="46"/>
        <v>8.5</v>
      </c>
    </row>
    <row r="2956" spans="2:7" x14ac:dyDescent="0.35">
      <c r="B2956" s="1">
        <v>45781</v>
      </c>
      <c r="C2956" s="2">
        <v>8.3333333333333329E-2</v>
      </c>
      <c r="D2956">
        <v>7.6</v>
      </c>
      <c r="E2956">
        <f>IF($D2956 &gt; 16, 0, $J$3*(16 - $D2956))</f>
        <v>1745.0885986858548</v>
      </c>
      <c r="F2956">
        <f>IF($D2956 &gt; 16, 0,$E2956*$J$5)</f>
        <v>18967367.979116555</v>
      </c>
      <c r="G2956">
        <f t="shared" si="46"/>
        <v>8.4</v>
      </c>
    </row>
    <row r="2957" spans="2:7" x14ac:dyDescent="0.35">
      <c r="B2957" s="1">
        <v>45781</v>
      </c>
      <c r="C2957" s="2">
        <v>0.125</v>
      </c>
      <c r="D2957">
        <v>7.7</v>
      </c>
      <c r="E2957">
        <f>IF($D2957 &gt; 16, 0, $J$3*(16 - $D2957))</f>
        <v>1724.3137344157851</v>
      </c>
      <c r="F2957">
        <f>IF($D2957 &gt; 16, 0,$E2957*$J$5)</f>
        <v>18741565.97936517</v>
      </c>
      <c r="G2957">
        <f t="shared" si="46"/>
        <v>8.3000000000000007</v>
      </c>
    </row>
    <row r="2958" spans="2:7" x14ac:dyDescent="0.35">
      <c r="B2958" s="1">
        <v>45781</v>
      </c>
      <c r="C2958" s="2">
        <v>0.16666666666666671</v>
      </c>
      <c r="D2958">
        <v>7.9</v>
      </c>
      <c r="E2958">
        <f>IF($D2958 &gt; 16, 0, $J$3*(16 - $D2958))</f>
        <v>1682.7640058756456</v>
      </c>
      <c r="F2958">
        <f>IF($D2958 &gt; 16, 0,$E2958*$J$5)</f>
        <v>18289961.979862392</v>
      </c>
      <c r="G2958">
        <f t="shared" si="46"/>
        <v>8.1</v>
      </c>
    </row>
    <row r="2959" spans="2:7" x14ac:dyDescent="0.35">
      <c r="B2959" s="1">
        <v>45781</v>
      </c>
      <c r="C2959" s="2">
        <v>0.20833333333333329</v>
      </c>
      <c r="D2959">
        <v>8</v>
      </c>
      <c r="E2959">
        <f>IF($D2959 &gt; 16, 0, $J$3*(16 - $D2959))</f>
        <v>1661.9891416055759</v>
      </c>
      <c r="F2959">
        <f>IF($D2959 &gt; 16, 0,$E2959*$J$5)</f>
        <v>18064159.980111003</v>
      </c>
      <c r="G2959">
        <f t="shared" si="46"/>
        <v>8</v>
      </c>
    </row>
    <row r="2960" spans="2:7" x14ac:dyDescent="0.35">
      <c r="B2960" s="1">
        <v>45781</v>
      </c>
      <c r="C2960" s="2">
        <v>0.25</v>
      </c>
      <c r="D2960">
        <v>8.3000000000000007</v>
      </c>
      <c r="E2960">
        <f>IF($D2960 &gt; 16, 0, $J$3*(16 - $D2960))</f>
        <v>1599.6645487953667</v>
      </c>
      <c r="F2960">
        <f>IF($D2960 &gt; 16, 0,$E2960*$J$5)</f>
        <v>17386753.98085684</v>
      </c>
      <c r="G2960">
        <f t="shared" si="46"/>
        <v>7.6999999999999993</v>
      </c>
    </row>
    <row r="2961" spans="2:7" x14ac:dyDescent="0.35">
      <c r="B2961" s="1">
        <v>45781</v>
      </c>
      <c r="C2961" s="2">
        <v>0.29166666666666669</v>
      </c>
      <c r="D2961">
        <v>8.6</v>
      </c>
      <c r="E2961">
        <f>IF($D2961 &gt; 16, 0, $J$3*(16 - $D2961))</f>
        <v>1537.3399559851578</v>
      </c>
      <c r="F2961">
        <f>IF($D2961 &gt; 16, 0,$E2961*$J$5)</f>
        <v>16709347.98160268</v>
      </c>
      <c r="G2961">
        <f t="shared" si="46"/>
        <v>7.4</v>
      </c>
    </row>
    <row r="2962" spans="2:7" x14ac:dyDescent="0.35">
      <c r="B2962" s="1">
        <v>45781</v>
      </c>
      <c r="C2962" s="2">
        <v>0.33333333333333331</v>
      </c>
      <c r="D2962">
        <v>9.9</v>
      </c>
      <c r="E2962">
        <f>IF($D2962 &gt; 16, 0, $J$3*(16 - $D2962))</f>
        <v>1267.2667204742515</v>
      </c>
      <c r="F2962">
        <f>IF($D2962 &gt; 16, 0,$E2962*$J$5)</f>
        <v>13773921.984834639</v>
      </c>
      <c r="G2962">
        <f t="shared" si="46"/>
        <v>6.1</v>
      </c>
    </row>
    <row r="2963" spans="2:7" x14ac:dyDescent="0.35">
      <c r="B2963" s="1">
        <v>45781</v>
      </c>
      <c r="C2963" s="2">
        <v>0.375</v>
      </c>
      <c r="D2963">
        <v>9.6</v>
      </c>
      <c r="E2963">
        <f>IF($D2963 &gt; 16, 0, $J$3*(16 - $D2963))</f>
        <v>1329.5913132844607</v>
      </c>
      <c r="F2963">
        <f>IF($D2963 &gt; 16, 0,$E2963*$J$5)</f>
        <v>14451327.984088805</v>
      </c>
      <c r="G2963">
        <f t="shared" si="46"/>
        <v>6.4</v>
      </c>
    </row>
    <row r="2964" spans="2:7" x14ac:dyDescent="0.35">
      <c r="B2964" s="1">
        <v>45781</v>
      </c>
      <c r="C2964" s="2">
        <v>0.41666666666666669</v>
      </c>
      <c r="D2964">
        <v>10</v>
      </c>
      <c r="E2964">
        <f>IF($D2964 &gt; 16, 0, $J$3*(16 - $D2964))</f>
        <v>1246.4918562041819</v>
      </c>
      <c r="F2964">
        <f>IF($D2964 &gt; 16, 0,$E2964*$J$5)</f>
        <v>13548119.985083252</v>
      </c>
      <c r="G2964">
        <f t="shared" si="46"/>
        <v>6</v>
      </c>
    </row>
    <row r="2965" spans="2:7" x14ac:dyDescent="0.35">
      <c r="B2965" s="1">
        <v>45781</v>
      </c>
      <c r="C2965" s="2">
        <v>0.45833333333333331</v>
      </c>
      <c r="D2965">
        <v>11.8</v>
      </c>
      <c r="E2965">
        <f>IF($D2965 &gt; 16, 0, $J$3*(16 - $D2965))</f>
        <v>872.54429934292716</v>
      </c>
      <c r="F2965">
        <f>IF($D2965 &gt; 16, 0,$E2965*$J$5)</f>
        <v>9483683.9895582758</v>
      </c>
      <c r="G2965">
        <f t="shared" si="46"/>
        <v>4.1999999999999993</v>
      </c>
    </row>
    <row r="2966" spans="2:7" x14ac:dyDescent="0.35">
      <c r="B2966" s="1">
        <v>45781</v>
      </c>
      <c r="C2966" s="2">
        <v>0.5</v>
      </c>
      <c r="D2966">
        <v>11.2</v>
      </c>
      <c r="E2966">
        <f>IF($D2966 &gt; 16, 0, $J$3*(16 - $D2966))</f>
        <v>997.19348496334567</v>
      </c>
      <c r="F2966">
        <f>IF($D2966 &gt; 16, 0,$E2966*$J$5)</f>
        <v>10838495.988066604</v>
      </c>
      <c r="G2966">
        <f t="shared" si="46"/>
        <v>4.8000000000000007</v>
      </c>
    </row>
    <row r="2967" spans="2:7" x14ac:dyDescent="0.35">
      <c r="B2967" s="1">
        <v>45781</v>
      </c>
      <c r="C2967" s="2">
        <v>0.54166666666666663</v>
      </c>
      <c r="D2967">
        <v>11.5</v>
      </c>
      <c r="E2967">
        <f>IF($D2967 &gt; 16, 0, $J$3*(16 - $D2967))</f>
        <v>934.86889215313647</v>
      </c>
      <c r="F2967">
        <f>IF($D2967 &gt; 16, 0,$E2967*$J$5)</f>
        <v>10161089.988812441</v>
      </c>
      <c r="G2967">
        <f t="shared" si="46"/>
        <v>4.5</v>
      </c>
    </row>
    <row r="2968" spans="2:7" x14ac:dyDescent="0.35">
      <c r="B2968" s="1">
        <v>45781</v>
      </c>
      <c r="C2968" s="2">
        <v>0.58333333333333337</v>
      </c>
      <c r="D2968">
        <v>11</v>
      </c>
      <c r="E2968">
        <f>IF($D2968 &gt; 16, 0, $J$3*(16 - $D2968))</f>
        <v>1038.7432135034849</v>
      </c>
      <c r="F2968">
        <f>IF($D2968 &gt; 16, 0,$E2968*$J$5)</f>
        <v>11290099.987569377</v>
      </c>
      <c r="G2968">
        <f t="shared" si="46"/>
        <v>5</v>
      </c>
    </row>
    <row r="2969" spans="2:7" x14ac:dyDescent="0.35">
      <c r="B2969" s="1">
        <v>45781</v>
      </c>
      <c r="C2969" s="2">
        <v>0.625</v>
      </c>
      <c r="D2969">
        <v>10.7</v>
      </c>
      <c r="E2969">
        <f>IF($D2969 &gt; 16, 0, $J$3*(16 - $D2969))</f>
        <v>1101.0678063136943</v>
      </c>
      <c r="F2969">
        <f>IF($D2969 &gt; 16, 0,$E2969*$J$5)</f>
        <v>11967505.986823544</v>
      </c>
      <c r="G2969">
        <f t="shared" si="46"/>
        <v>5.3000000000000007</v>
      </c>
    </row>
    <row r="2970" spans="2:7" x14ac:dyDescent="0.35">
      <c r="B2970" s="1">
        <v>45781</v>
      </c>
      <c r="C2970" s="2">
        <v>0.66666666666666663</v>
      </c>
      <c r="D2970">
        <v>8.5</v>
      </c>
      <c r="E2970">
        <f>IF($D2970 &gt; 16, 0, $J$3*(16 - $D2970))</f>
        <v>1558.1148202552274</v>
      </c>
      <c r="F2970">
        <f>IF($D2970 &gt; 16, 0,$E2970*$J$5)</f>
        <v>16935149.981354065</v>
      </c>
      <c r="G2970">
        <f t="shared" si="46"/>
        <v>7.5</v>
      </c>
    </row>
    <row r="2971" spans="2:7" x14ac:dyDescent="0.35">
      <c r="B2971" s="1">
        <v>45781</v>
      </c>
      <c r="C2971" s="2">
        <v>0.70833333333333337</v>
      </c>
      <c r="D2971">
        <v>8.9</v>
      </c>
      <c r="E2971">
        <f>IF($D2971 &gt; 16, 0, $J$3*(16 - $D2971))</f>
        <v>1475.0153631749486</v>
      </c>
      <c r="F2971">
        <f>IF($D2971 &gt; 16, 0,$E2971*$J$5)</f>
        <v>16031941.982348517</v>
      </c>
      <c r="G2971">
        <f t="shared" si="46"/>
        <v>7.1</v>
      </c>
    </row>
    <row r="2972" spans="2:7" x14ac:dyDescent="0.35">
      <c r="B2972" s="1">
        <v>45781</v>
      </c>
      <c r="C2972" s="2">
        <v>0.75</v>
      </c>
      <c r="D2972">
        <v>8.6999999999999993</v>
      </c>
      <c r="E2972">
        <f>IF($D2972 &gt; 16, 0, $J$3*(16 - $D2972))</f>
        <v>1516.5650917150881</v>
      </c>
      <c r="F2972">
        <f>IF($D2972 &gt; 16, 0,$E2972*$J$5)</f>
        <v>16483545.981851293</v>
      </c>
      <c r="G2972">
        <f t="shared" si="46"/>
        <v>7.3000000000000007</v>
      </c>
    </row>
    <row r="2973" spans="2:7" x14ac:dyDescent="0.35">
      <c r="B2973" s="1">
        <v>45781</v>
      </c>
      <c r="C2973" s="2">
        <v>0.79166666666666663</v>
      </c>
      <c r="D2973">
        <v>8.6</v>
      </c>
      <c r="E2973">
        <f>IF($D2973 &gt; 16, 0, $J$3*(16 - $D2973))</f>
        <v>1537.3399559851578</v>
      </c>
      <c r="F2973">
        <f>IF($D2973 &gt; 16, 0,$E2973*$J$5)</f>
        <v>16709347.98160268</v>
      </c>
      <c r="G2973">
        <f t="shared" si="46"/>
        <v>7.4</v>
      </c>
    </row>
    <row r="2974" spans="2:7" x14ac:dyDescent="0.35">
      <c r="B2974" s="1">
        <v>45781</v>
      </c>
      <c r="C2974" s="2">
        <v>0.83333333333333337</v>
      </c>
      <c r="D2974">
        <v>8.1</v>
      </c>
      <c r="E2974">
        <f>IF($D2974 &gt; 16, 0, $J$3*(16 - $D2974))</f>
        <v>1641.2142773355063</v>
      </c>
      <c r="F2974">
        <f>IF($D2974 &gt; 16, 0,$E2974*$J$5)</f>
        <v>17838357.980359618</v>
      </c>
      <c r="G2974">
        <f t="shared" si="46"/>
        <v>7.9</v>
      </c>
    </row>
    <row r="2975" spans="2:7" x14ac:dyDescent="0.35">
      <c r="B2975" s="1">
        <v>45781</v>
      </c>
      <c r="C2975" s="2">
        <v>0.875</v>
      </c>
      <c r="D2975">
        <v>7.6</v>
      </c>
      <c r="E2975">
        <f>IF($D2975 &gt; 16, 0, $J$3*(16 - $D2975))</f>
        <v>1745.0885986858548</v>
      </c>
      <c r="F2975">
        <f>IF($D2975 &gt; 16, 0,$E2975*$J$5)</f>
        <v>18967367.979116555</v>
      </c>
      <c r="G2975">
        <f t="shared" si="46"/>
        <v>8.4</v>
      </c>
    </row>
    <row r="2976" spans="2:7" x14ac:dyDescent="0.35">
      <c r="B2976" s="1">
        <v>45781</v>
      </c>
      <c r="C2976" s="2">
        <v>0.91666666666666663</v>
      </c>
      <c r="D2976">
        <v>7.6</v>
      </c>
      <c r="E2976">
        <f>IF($D2976 &gt; 16, 0, $J$3*(16 - $D2976))</f>
        <v>1745.0885986858548</v>
      </c>
      <c r="F2976">
        <f>IF($D2976 &gt; 16, 0,$E2976*$J$5)</f>
        <v>18967367.979116555</v>
      </c>
      <c r="G2976">
        <f t="shared" si="46"/>
        <v>8.4</v>
      </c>
    </row>
    <row r="2977" spans="2:7" x14ac:dyDescent="0.35">
      <c r="B2977" s="1">
        <v>45781</v>
      </c>
      <c r="C2977" s="2">
        <v>0.95833333333333337</v>
      </c>
      <c r="D2977">
        <v>7.1</v>
      </c>
      <c r="E2977">
        <f>IF($D2977 &gt; 16, 0, $J$3*(16 - $D2977))</f>
        <v>1848.9629200362033</v>
      </c>
      <c r="F2977">
        <f>IF($D2977 &gt; 16, 0,$E2977*$J$5)</f>
        <v>20096377.977873493</v>
      </c>
      <c r="G2977">
        <f t="shared" si="46"/>
        <v>8.9</v>
      </c>
    </row>
    <row r="2978" spans="2:7" x14ac:dyDescent="0.35">
      <c r="B2978" s="1">
        <v>45782</v>
      </c>
      <c r="C2978" s="2">
        <v>0</v>
      </c>
      <c r="D2978">
        <v>6.4</v>
      </c>
      <c r="E2978">
        <f>IF($D2978 &gt; 16, 0, $J$3*(16 - $D2978))</f>
        <v>1994.3869699266911</v>
      </c>
      <c r="F2978">
        <f>IF($D2978 &gt; 16, 0,$E2978*$J$5)</f>
        <v>21676991.976133205</v>
      </c>
      <c r="G2978">
        <f t="shared" si="46"/>
        <v>9.6</v>
      </c>
    </row>
    <row r="2979" spans="2:7" x14ac:dyDescent="0.35">
      <c r="B2979" s="1">
        <v>45782</v>
      </c>
      <c r="C2979" s="2">
        <v>4.1666666666666657E-2</v>
      </c>
      <c r="D2979">
        <v>6</v>
      </c>
      <c r="E2979">
        <f>IF($D2979 &gt; 16, 0, $J$3*(16 - $D2979))</f>
        <v>2077.4864270069697</v>
      </c>
      <c r="F2979">
        <f>IF($D2979 &gt; 16, 0,$E2979*$J$5)</f>
        <v>22580199.975138754</v>
      </c>
      <c r="G2979">
        <f t="shared" si="46"/>
        <v>10</v>
      </c>
    </row>
    <row r="2980" spans="2:7" x14ac:dyDescent="0.35">
      <c r="B2980" s="1">
        <v>45782</v>
      </c>
      <c r="C2980" s="2">
        <v>8.3333333333333329E-2</v>
      </c>
      <c r="D2980">
        <v>4.5</v>
      </c>
      <c r="E2980">
        <f>IF($D2980 &gt; 16, 0, $J$3*(16 - $D2980))</f>
        <v>2389.1093910580153</v>
      </c>
      <c r="F2980">
        <f>IF($D2980 &gt; 16, 0,$E2980*$J$5)</f>
        <v>25967229.971409567</v>
      </c>
      <c r="G2980">
        <f t="shared" si="46"/>
        <v>11.5</v>
      </c>
    </row>
    <row r="2981" spans="2:7" x14ac:dyDescent="0.35">
      <c r="B2981" s="1">
        <v>45782</v>
      </c>
      <c r="C2981" s="2">
        <v>0.125</v>
      </c>
      <c r="D2981">
        <v>4.0999999999999996</v>
      </c>
      <c r="E2981">
        <f>IF($D2981 &gt; 16, 0, $J$3*(16 - $D2981))</f>
        <v>2472.2088481382943</v>
      </c>
      <c r="F2981">
        <f>IF($D2981 &gt; 16, 0,$E2981*$J$5)</f>
        <v>26870437.970415123</v>
      </c>
      <c r="G2981">
        <f t="shared" si="46"/>
        <v>11.9</v>
      </c>
    </row>
    <row r="2982" spans="2:7" x14ac:dyDescent="0.35">
      <c r="B2982" s="1">
        <v>45782</v>
      </c>
      <c r="C2982" s="2">
        <v>0.16666666666666671</v>
      </c>
      <c r="D2982">
        <v>2.2000000000000002</v>
      </c>
      <c r="E2982">
        <f>IF($D2982 &gt; 16, 0, $J$3*(16 - $D2982))</f>
        <v>2866.9312692696185</v>
      </c>
      <c r="F2982">
        <f>IF($D2982 &gt; 16, 0,$E2982*$J$5)</f>
        <v>31160675.965691485</v>
      </c>
      <c r="G2982">
        <f t="shared" si="46"/>
        <v>13.8</v>
      </c>
    </row>
    <row r="2983" spans="2:7" x14ac:dyDescent="0.35">
      <c r="B2983" s="1">
        <v>45782</v>
      </c>
      <c r="C2983" s="2">
        <v>0.20833333333333329</v>
      </c>
      <c r="D2983">
        <v>4.3</v>
      </c>
      <c r="E2983">
        <f>IF($D2983 &gt; 16, 0, $J$3*(16 - $D2983))</f>
        <v>2430.6591195981546</v>
      </c>
      <c r="F2983">
        <f>IF($D2983 &gt; 16, 0,$E2983*$J$5)</f>
        <v>26418833.970912341</v>
      </c>
      <c r="G2983">
        <f t="shared" si="46"/>
        <v>11.7</v>
      </c>
    </row>
    <row r="2984" spans="2:7" x14ac:dyDescent="0.35">
      <c r="B2984" s="1">
        <v>45782</v>
      </c>
      <c r="C2984" s="2">
        <v>0.25</v>
      </c>
      <c r="D2984">
        <v>6.9</v>
      </c>
      <c r="E2984">
        <f>IF($D2984 &gt; 16, 0, $J$3*(16 - $D2984))</f>
        <v>1890.5126485763426</v>
      </c>
      <c r="F2984">
        <f>IF($D2984 &gt; 16, 0,$E2984*$J$5)</f>
        <v>20547981.977376267</v>
      </c>
      <c r="G2984">
        <f t="shared" si="46"/>
        <v>9.1</v>
      </c>
    </row>
    <row r="2985" spans="2:7" x14ac:dyDescent="0.35">
      <c r="B2985" s="1">
        <v>45782</v>
      </c>
      <c r="C2985" s="2">
        <v>0.29166666666666669</v>
      </c>
      <c r="D2985">
        <v>8.8000000000000007</v>
      </c>
      <c r="E2985">
        <f>IF($D2985 &gt; 16, 0, $J$3*(16 - $D2985))</f>
        <v>1495.7902274450182</v>
      </c>
      <c r="F2985">
        <f>IF($D2985 &gt; 16, 0,$E2985*$J$5)</f>
        <v>16257743.982099904</v>
      </c>
      <c r="G2985">
        <f t="shared" si="46"/>
        <v>7.1999999999999993</v>
      </c>
    </row>
    <row r="2986" spans="2:7" x14ac:dyDescent="0.35">
      <c r="B2986" s="1">
        <v>45782</v>
      </c>
      <c r="C2986" s="2">
        <v>0.33333333333333331</v>
      </c>
      <c r="D2986">
        <v>10</v>
      </c>
      <c r="E2986">
        <f>IF($D2986 &gt; 16, 0, $J$3*(16 - $D2986))</f>
        <v>1246.4918562041819</v>
      </c>
      <c r="F2986">
        <f>IF($D2986 &gt; 16, 0,$E2986*$J$5)</f>
        <v>13548119.985083252</v>
      </c>
      <c r="G2986">
        <f t="shared" si="46"/>
        <v>6</v>
      </c>
    </row>
    <row r="2987" spans="2:7" x14ac:dyDescent="0.35">
      <c r="B2987" s="1">
        <v>45782</v>
      </c>
      <c r="C2987" s="2">
        <v>0.375</v>
      </c>
      <c r="D2987">
        <v>9.6</v>
      </c>
      <c r="E2987">
        <f>IF($D2987 &gt; 16, 0, $J$3*(16 - $D2987))</f>
        <v>1329.5913132844607</v>
      </c>
      <c r="F2987">
        <f>IF($D2987 &gt; 16, 0,$E2987*$J$5)</f>
        <v>14451327.984088805</v>
      </c>
      <c r="G2987">
        <f t="shared" si="46"/>
        <v>6.4</v>
      </c>
    </row>
    <row r="2988" spans="2:7" x14ac:dyDescent="0.35">
      <c r="B2988" s="1">
        <v>45782</v>
      </c>
      <c r="C2988" s="2">
        <v>0.41666666666666669</v>
      </c>
      <c r="D2988">
        <v>10.199999999999999</v>
      </c>
      <c r="E2988">
        <f>IF($D2988 &gt; 16, 0, $J$3*(16 - $D2988))</f>
        <v>1204.9421276640428</v>
      </c>
      <c r="F2988">
        <f>IF($D2988 &gt; 16, 0,$E2988*$J$5)</f>
        <v>13096515.985580482</v>
      </c>
      <c r="G2988">
        <f t="shared" si="46"/>
        <v>5.8000000000000007</v>
      </c>
    </row>
    <row r="2989" spans="2:7" x14ac:dyDescent="0.35">
      <c r="B2989" s="1">
        <v>45782</v>
      </c>
      <c r="C2989" s="2">
        <v>0.45833333333333331</v>
      </c>
      <c r="D2989">
        <v>11.7</v>
      </c>
      <c r="E2989">
        <f>IF($D2989 &gt; 16, 0, $J$3*(16 - $D2989))</f>
        <v>893.31916361299716</v>
      </c>
      <c r="F2989">
        <f>IF($D2989 &gt; 16, 0,$E2989*$J$5)</f>
        <v>9709485.9893096667</v>
      </c>
      <c r="G2989">
        <f t="shared" si="46"/>
        <v>4.3000000000000007</v>
      </c>
    </row>
    <row r="2990" spans="2:7" x14ac:dyDescent="0.35">
      <c r="B2990" s="1">
        <v>45782</v>
      </c>
      <c r="C2990" s="2">
        <v>0.5</v>
      </c>
      <c r="D2990">
        <v>11.7</v>
      </c>
      <c r="E2990">
        <f>IF($D2990 &gt; 16, 0, $J$3*(16 - $D2990))</f>
        <v>893.31916361299716</v>
      </c>
      <c r="F2990">
        <f>IF($D2990 &gt; 16, 0,$E2990*$J$5)</f>
        <v>9709485.9893096667</v>
      </c>
      <c r="G2990">
        <f t="shared" si="46"/>
        <v>4.3000000000000007</v>
      </c>
    </row>
    <row r="2991" spans="2:7" x14ac:dyDescent="0.35">
      <c r="B2991" s="1">
        <v>45782</v>
      </c>
      <c r="C2991" s="2">
        <v>0.54166666666666663</v>
      </c>
      <c r="D2991">
        <v>11.5</v>
      </c>
      <c r="E2991">
        <f>IF($D2991 &gt; 16, 0, $J$3*(16 - $D2991))</f>
        <v>934.86889215313647</v>
      </c>
      <c r="F2991">
        <f>IF($D2991 &gt; 16, 0,$E2991*$J$5)</f>
        <v>10161089.988812441</v>
      </c>
      <c r="G2991">
        <f t="shared" si="46"/>
        <v>4.5</v>
      </c>
    </row>
    <row r="2992" spans="2:7" x14ac:dyDescent="0.35">
      <c r="B2992" s="1">
        <v>45782</v>
      </c>
      <c r="C2992" s="2">
        <v>0.58333333333333337</v>
      </c>
      <c r="D2992">
        <v>11.1</v>
      </c>
      <c r="E2992">
        <f>IF($D2992 &gt; 16, 0, $J$3*(16 - $D2992))</f>
        <v>1017.9683492334153</v>
      </c>
      <c r="F2992">
        <f>IF($D2992 &gt; 16, 0,$E2992*$J$5)</f>
        <v>11064297.987817992</v>
      </c>
      <c r="G2992">
        <f t="shared" si="46"/>
        <v>4.9000000000000004</v>
      </c>
    </row>
    <row r="2993" spans="2:7" x14ac:dyDescent="0.35">
      <c r="B2993" s="1">
        <v>45782</v>
      </c>
      <c r="C2993" s="2">
        <v>0.625</v>
      </c>
      <c r="D2993">
        <v>11.7</v>
      </c>
      <c r="E2993">
        <f>IF($D2993 &gt; 16, 0, $J$3*(16 - $D2993))</f>
        <v>893.31916361299716</v>
      </c>
      <c r="F2993">
        <f>IF($D2993 &gt; 16, 0,$E2993*$J$5)</f>
        <v>9709485.9893096667</v>
      </c>
      <c r="G2993">
        <f t="shared" si="46"/>
        <v>4.3000000000000007</v>
      </c>
    </row>
    <row r="2994" spans="2:7" x14ac:dyDescent="0.35">
      <c r="B2994" s="1">
        <v>45782</v>
      </c>
      <c r="C2994" s="2">
        <v>0.66666666666666663</v>
      </c>
      <c r="D2994">
        <v>11.7</v>
      </c>
      <c r="E2994">
        <f>IF($D2994 &gt; 16, 0, $J$3*(16 - $D2994))</f>
        <v>893.31916361299716</v>
      </c>
      <c r="F2994">
        <f>IF($D2994 &gt; 16, 0,$E2994*$J$5)</f>
        <v>9709485.9893096667</v>
      </c>
      <c r="G2994">
        <f t="shared" si="46"/>
        <v>4.3000000000000007</v>
      </c>
    </row>
    <row r="2995" spans="2:7" x14ac:dyDescent="0.35">
      <c r="B2995" s="1">
        <v>45782</v>
      </c>
      <c r="C2995" s="2">
        <v>0.70833333333333337</v>
      </c>
      <c r="D2995">
        <v>11.7</v>
      </c>
      <c r="E2995">
        <f>IF($D2995 &gt; 16, 0, $J$3*(16 - $D2995))</f>
        <v>893.31916361299716</v>
      </c>
      <c r="F2995">
        <f>IF($D2995 &gt; 16, 0,$E2995*$J$5)</f>
        <v>9709485.9893096667</v>
      </c>
      <c r="G2995">
        <f t="shared" si="46"/>
        <v>4.3000000000000007</v>
      </c>
    </row>
    <row r="2996" spans="2:7" x14ac:dyDescent="0.35">
      <c r="B2996" s="1">
        <v>45782</v>
      </c>
      <c r="C2996" s="2">
        <v>0.75</v>
      </c>
      <c r="D2996">
        <v>11.3</v>
      </c>
      <c r="E2996">
        <f>IF($D2996 &gt; 16, 0, $J$3*(16 - $D2996))</f>
        <v>976.41862069327567</v>
      </c>
      <c r="F2996">
        <f>IF($D2996 &gt; 16, 0,$E2996*$J$5)</f>
        <v>10612693.988315213</v>
      </c>
      <c r="G2996">
        <f t="shared" si="46"/>
        <v>4.6999999999999993</v>
      </c>
    </row>
    <row r="2997" spans="2:7" x14ac:dyDescent="0.35">
      <c r="B2997" s="1">
        <v>45782</v>
      </c>
      <c r="C2997" s="2">
        <v>0.79166666666666663</v>
      </c>
      <c r="D2997">
        <v>8.1</v>
      </c>
      <c r="E2997">
        <f>IF($D2997 &gt; 16, 0, $J$3*(16 - $D2997))</f>
        <v>1641.2142773355063</v>
      </c>
      <c r="F2997">
        <f>IF($D2997 &gt; 16, 0,$E2997*$J$5)</f>
        <v>17838357.980359618</v>
      </c>
      <c r="G2997">
        <f t="shared" si="46"/>
        <v>7.9</v>
      </c>
    </row>
    <row r="2998" spans="2:7" x14ac:dyDescent="0.35">
      <c r="B2998" s="1">
        <v>45782</v>
      </c>
      <c r="C2998" s="2">
        <v>0.83333333333333337</v>
      </c>
      <c r="D2998">
        <v>6.3</v>
      </c>
      <c r="E2998">
        <f>IF($D2998 &gt; 16, 0, $J$3*(16 - $D2998))</f>
        <v>2015.1618341967608</v>
      </c>
      <c r="F2998">
        <f>IF($D2998 &gt; 16, 0,$E2998*$J$5)</f>
        <v>21902793.975884594</v>
      </c>
      <c r="G2998">
        <f t="shared" si="46"/>
        <v>9.6999999999999993</v>
      </c>
    </row>
    <row r="2999" spans="2:7" x14ac:dyDescent="0.35">
      <c r="B2999" s="1">
        <v>45782</v>
      </c>
      <c r="C2999" s="2">
        <v>0.875</v>
      </c>
      <c r="D2999">
        <v>4.5999999999999996</v>
      </c>
      <c r="E2999">
        <f>IF($D2999 &gt; 16, 0, $J$3*(16 - $D2999))</f>
        <v>2368.3345267879458</v>
      </c>
      <c r="F2999">
        <f>IF($D2999 &gt; 16, 0,$E2999*$J$5)</f>
        <v>25741427.971658185</v>
      </c>
      <c r="G2999">
        <f t="shared" si="46"/>
        <v>11.4</v>
      </c>
    </row>
    <row r="3000" spans="2:7" x14ac:dyDescent="0.35">
      <c r="B3000" s="1">
        <v>45782</v>
      </c>
      <c r="C3000" s="2">
        <v>0.91666666666666663</v>
      </c>
      <c r="D3000">
        <v>3.5</v>
      </c>
      <c r="E3000">
        <f>IF($D3000 &gt; 16, 0, $J$3*(16 - $D3000))</f>
        <v>2596.8580337587123</v>
      </c>
      <c r="F3000">
        <f>IF($D3000 &gt; 16, 0,$E3000*$J$5)</f>
        <v>28225249.968923442</v>
      </c>
      <c r="G3000">
        <f t="shared" si="46"/>
        <v>12.5</v>
      </c>
    </row>
    <row r="3001" spans="2:7" x14ac:dyDescent="0.35">
      <c r="B3001" s="1">
        <v>45782</v>
      </c>
      <c r="C3001" s="2">
        <v>0.95833333333333337</v>
      </c>
      <c r="D3001">
        <v>3</v>
      </c>
      <c r="E3001">
        <f>IF($D3001 &gt; 16, 0, $J$3*(16 - $D3001))</f>
        <v>2700.7323551090608</v>
      </c>
      <c r="F3001">
        <f>IF($D3001 &gt; 16, 0,$E3001*$J$5)</f>
        <v>29354259.967680383</v>
      </c>
      <c r="G3001">
        <f t="shared" si="46"/>
        <v>13</v>
      </c>
    </row>
    <row r="3002" spans="2:7" x14ac:dyDescent="0.35">
      <c r="B3002" s="1">
        <v>45783</v>
      </c>
      <c r="C3002" s="2">
        <v>0</v>
      </c>
      <c r="D3002">
        <v>1.8</v>
      </c>
      <c r="E3002">
        <f>IF($D3002 &gt; 16, 0, $J$3*(16 - $D3002))</f>
        <v>2950.0307263498971</v>
      </c>
      <c r="F3002">
        <f>IF($D3002 &gt; 16, 0,$E3002*$J$5)</f>
        <v>32063883.964697033</v>
      </c>
      <c r="G3002">
        <f t="shared" si="46"/>
        <v>14.2</v>
      </c>
    </row>
    <row r="3003" spans="2:7" x14ac:dyDescent="0.35">
      <c r="B3003" s="1">
        <v>45783</v>
      </c>
      <c r="C3003" s="2">
        <v>4.1666666666666657E-2</v>
      </c>
      <c r="D3003">
        <v>1.9</v>
      </c>
      <c r="E3003">
        <f>IF($D3003 &gt; 16, 0, $J$3*(16 - $D3003))</f>
        <v>2929.2558620798277</v>
      </c>
      <c r="F3003">
        <f>IF($D3003 &gt; 16, 0,$E3003*$J$5)</f>
        <v>31838081.964945648</v>
      </c>
      <c r="G3003">
        <f t="shared" si="46"/>
        <v>14.1</v>
      </c>
    </row>
    <row r="3004" spans="2:7" x14ac:dyDescent="0.35">
      <c r="B3004" s="1">
        <v>45783</v>
      </c>
      <c r="C3004" s="2">
        <v>8.3333333333333329E-2</v>
      </c>
      <c r="D3004">
        <v>1.2</v>
      </c>
      <c r="E3004">
        <f>IF($D3004 &gt; 16, 0, $J$3*(16 - $D3004))</f>
        <v>3074.6799119703155</v>
      </c>
      <c r="F3004">
        <f>IF($D3004 &gt; 16, 0,$E3004*$J$5)</f>
        <v>33418695.96320536</v>
      </c>
      <c r="G3004">
        <f t="shared" si="46"/>
        <v>14.8</v>
      </c>
    </row>
    <row r="3005" spans="2:7" x14ac:dyDescent="0.35">
      <c r="B3005" s="1">
        <v>45783</v>
      </c>
      <c r="C3005" s="2">
        <v>0.125</v>
      </c>
      <c r="D3005">
        <v>1</v>
      </c>
      <c r="E3005">
        <f>IF($D3005 &gt; 16, 0, $J$3*(16 - $D3005))</f>
        <v>3116.2296405104548</v>
      </c>
      <c r="F3005">
        <f>IF($D3005 &gt; 16, 0,$E3005*$J$5)</f>
        <v>33870299.96270813</v>
      </c>
      <c r="G3005">
        <f t="shared" si="46"/>
        <v>15</v>
      </c>
    </row>
    <row r="3006" spans="2:7" x14ac:dyDescent="0.35">
      <c r="B3006" s="1">
        <v>45783</v>
      </c>
      <c r="C3006" s="2">
        <v>0.16666666666666671</v>
      </c>
      <c r="D3006">
        <v>0.8</v>
      </c>
      <c r="E3006">
        <f>IF($D3006 &gt; 16, 0, $J$3*(16 - $D3006))</f>
        <v>3157.7793690505941</v>
      </c>
      <c r="F3006">
        <f>IF($D3006 &gt; 16, 0,$E3006*$J$5)</f>
        <v>34321903.962210909</v>
      </c>
      <c r="G3006">
        <f t="shared" si="46"/>
        <v>15.2</v>
      </c>
    </row>
    <row r="3007" spans="2:7" x14ac:dyDescent="0.35">
      <c r="B3007" s="1">
        <v>45783</v>
      </c>
      <c r="C3007" s="2">
        <v>0.20833333333333329</v>
      </c>
      <c r="D3007">
        <v>3.5</v>
      </c>
      <c r="E3007">
        <f>IF($D3007 &gt; 16, 0, $J$3*(16 - $D3007))</f>
        <v>2596.8580337587123</v>
      </c>
      <c r="F3007">
        <f>IF($D3007 &gt; 16, 0,$E3007*$J$5)</f>
        <v>28225249.968923442</v>
      </c>
      <c r="G3007">
        <f t="shared" si="46"/>
        <v>12.5</v>
      </c>
    </row>
    <row r="3008" spans="2:7" x14ac:dyDescent="0.35">
      <c r="B3008" s="1">
        <v>45783</v>
      </c>
      <c r="C3008" s="2">
        <v>0.25</v>
      </c>
      <c r="D3008">
        <v>7</v>
      </c>
      <c r="E3008">
        <f>IF($D3008 &gt; 16, 0, $J$3*(16 - $D3008))</f>
        <v>1869.7377843062729</v>
      </c>
      <c r="F3008">
        <f>IF($D3008 &gt; 16, 0,$E3008*$J$5)</f>
        <v>20322179.977624882</v>
      </c>
      <c r="G3008">
        <f t="shared" si="46"/>
        <v>9</v>
      </c>
    </row>
    <row r="3009" spans="2:7" x14ac:dyDescent="0.35">
      <c r="B3009" s="1">
        <v>45783</v>
      </c>
      <c r="C3009" s="2">
        <v>0.29166666666666669</v>
      </c>
      <c r="D3009">
        <v>7.3</v>
      </c>
      <c r="E3009">
        <f>IF($D3009 &gt; 16, 0, $J$3*(16 - $D3009))</f>
        <v>1807.4131914960637</v>
      </c>
      <c r="F3009">
        <f>IF($D3009 &gt; 16, 0,$E3009*$J$5)</f>
        <v>19644773.978370719</v>
      </c>
      <c r="G3009">
        <f t="shared" si="46"/>
        <v>8.6999999999999993</v>
      </c>
    </row>
    <row r="3010" spans="2:7" x14ac:dyDescent="0.35">
      <c r="B3010" s="1">
        <v>45783</v>
      </c>
      <c r="C3010" s="2">
        <v>0.33333333333333331</v>
      </c>
      <c r="D3010">
        <v>9.6999999999999993</v>
      </c>
      <c r="E3010">
        <f>IF($D3010 &gt; 16, 0, $J$3*(16 - $D3010))</f>
        <v>1308.8164490143911</v>
      </c>
      <c r="F3010">
        <f>IF($D3010 &gt; 16, 0,$E3010*$J$5)</f>
        <v>14225525.984337417</v>
      </c>
      <c r="G3010">
        <f t="shared" si="46"/>
        <v>6.3000000000000007</v>
      </c>
    </row>
    <row r="3011" spans="2:7" x14ac:dyDescent="0.35">
      <c r="B3011" s="1">
        <v>45783</v>
      </c>
      <c r="C3011" s="2">
        <v>0.375</v>
      </c>
      <c r="D3011">
        <v>12.2</v>
      </c>
      <c r="E3011">
        <f>IF($D3011 &gt; 16, 0, $J$3*(16 - $D3011))</f>
        <v>789.44484226264876</v>
      </c>
      <c r="F3011">
        <f>IF($D3011 &gt; 16, 0,$E3011*$J$5)</f>
        <v>8580475.990552729</v>
      </c>
      <c r="G3011">
        <f t="shared" ref="G3011:G3074" si="47">MAX(0, 16 - $D3011)</f>
        <v>3.8000000000000007</v>
      </c>
    </row>
    <row r="3012" spans="2:7" x14ac:dyDescent="0.35">
      <c r="B3012" s="1">
        <v>45783</v>
      </c>
      <c r="C3012" s="2">
        <v>0.41666666666666669</v>
      </c>
      <c r="D3012">
        <v>12.8</v>
      </c>
      <c r="E3012">
        <f>IF($D3012 &gt; 16, 0, $J$3*(16 - $D3012))</f>
        <v>664.79565664223026</v>
      </c>
      <c r="F3012">
        <f>IF($D3012 &gt; 16, 0,$E3012*$J$5)</f>
        <v>7225663.9920444004</v>
      </c>
      <c r="G3012">
        <f t="shared" si="47"/>
        <v>3.1999999999999993</v>
      </c>
    </row>
    <row r="3013" spans="2:7" x14ac:dyDescent="0.35">
      <c r="B3013" s="1">
        <v>45783</v>
      </c>
      <c r="C3013" s="2">
        <v>0.45833333333333331</v>
      </c>
      <c r="D3013">
        <v>13.6</v>
      </c>
      <c r="E3013">
        <f>IF($D3013 &gt; 16, 0, $J$3*(16 - $D3013))</f>
        <v>498.59674248167283</v>
      </c>
      <c r="F3013">
        <f>IF($D3013 &gt; 16, 0,$E3013*$J$5)</f>
        <v>5419247.9940333022</v>
      </c>
      <c r="G3013">
        <f t="shared" si="47"/>
        <v>2.4000000000000004</v>
      </c>
    </row>
    <row r="3014" spans="2:7" x14ac:dyDescent="0.35">
      <c r="B3014" s="1">
        <v>45783</v>
      </c>
      <c r="C3014" s="2">
        <v>0.5</v>
      </c>
      <c r="D3014">
        <v>13.3</v>
      </c>
      <c r="E3014">
        <f>IF($D3014 &gt; 16, 0, $J$3*(16 - $D3014))</f>
        <v>560.92133529188175</v>
      </c>
      <c r="F3014">
        <f>IF($D3014 &gt; 16, 0,$E3014*$J$5)</f>
        <v>6096653.9932874627</v>
      </c>
      <c r="G3014">
        <f t="shared" si="47"/>
        <v>2.6999999999999993</v>
      </c>
    </row>
    <row r="3015" spans="2:7" x14ac:dyDescent="0.35">
      <c r="B3015" s="1">
        <v>45783</v>
      </c>
      <c r="C3015" s="2">
        <v>0.54166666666666663</v>
      </c>
      <c r="D3015">
        <v>13.2</v>
      </c>
      <c r="E3015">
        <f>IF($D3015 &gt; 16, 0, $J$3*(16 - $D3015))</f>
        <v>581.69619956195174</v>
      </c>
      <c r="F3015">
        <f>IF($D3015 &gt; 16, 0,$E3015*$J$5)</f>
        <v>6322455.9930388536</v>
      </c>
      <c r="G3015">
        <f t="shared" si="47"/>
        <v>2.8000000000000007</v>
      </c>
    </row>
    <row r="3016" spans="2:7" x14ac:dyDescent="0.35">
      <c r="B3016" s="1">
        <v>45783</v>
      </c>
      <c r="C3016" s="2">
        <v>0.58333333333333337</v>
      </c>
      <c r="D3016">
        <v>15.1</v>
      </c>
      <c r="E3016">
        <f>IF($D3016 &gt; 16, 0, $J$3*(16 - $D3016))</f>
        <v>186.97377843062736</v>
      </c>
      <c r="F3016">
        <f>IF($D3016 &gt; 16, 0,$E3016*$J$5)</f>
        <v>2032217.9977624889</v>
      </c>
      <c r="G3016">
        <f t="shared" si="47"/>
        <v>0.90000000000000036</v>
      </c>
    </row>
    <row r="3017" spans="2:7" x14ac:dyDescent="0.35">
      <c r="B3017" s="1">
        <v>45783</v>
      </c>
      <c r="C3017" s="2">
        <v>0.625</v>
      </c>
      <c r="D3017">
        <v>14.5</v>
      </c>
      <c r="E3017">
        <f>IF($D3017 &gt; 16, 0, $J$3*(16 - $D3017))</f>
        <v>311.62296405104547</v>
      </c>
      <c r="F3017">
        <f>IF($D3017 &gt; 16, 0,$E3017*$J$5)</f>
        <v>3387029.996270813</v>
      </c>
      <c r="G3017">
        <f t="shared" si="47"/>
        <v>1.5</v>
      </c>
    </row>
    <row r="3018" spans="2:7" x14ac:dyDescent="0.35">
      <c r="B3018" s="1">
        <v>45783</v>
      </c>
      <c r="C3018" s="2">
        <v>0.66666666666666663</v>
      </c>
      <c r="D3018">
        <v>15.1</v>
      </c>
      <c r="E3018">
        <f>IF($D3018 &gt; 16, 0, $J$3*(16 - $D3018))</f>
        <v>186.97377843062736</v>
      </c>
      <c r="F3018">
        <f>IF($D3018 &gt; 16, 0,$E3018*$J$5)</f>
        <v>2032217.9977624889</v>
      </c>
      <c r="G3018">
        <f t="shared" si="47"/>
        <v>0.90000000000000036</v>
      </c>
    </row>
    <row r="3019" spans="2:7" x14ac:dyDescent="0.35">
      <c r="B3019" s="1">
        <v>45783</v>
      </c>
      <c r="C3019" s="2">
        <v>0.70833333333333337</v>
      </c>
      <c r="D3019">
        <v>15</v>
      </c>
      <c r="E3019">
        <f>IF($D3019 &gt; 16, 0, $J$3*(16 - $D3019))</f>
        <v>207.74864270069699</v>
      </c>
      <c r="F3019">
        <f>IF($D3019 &gt; 16, 0,$E3019*$J$5)</f>
        <v>2258019.9975138754</v>
      </c>
      <c r="G3019">
        <f t="shared" si="47"/>
        <v>1</v>
      </c>
    </row>
    <row r="3020" spans="2:7" x14ac:dyDescent="0.35">
      <c r="B3020" s="1">
        <v>45783</v>
      </c>
      <c r="C3020" s="2">
        <v>0.75</v>
      </c>
      <c r="D3020">
        <v>14.2</v>
      </c>
      <c r="E3020">
        <f>IF($D3020 &gt; 16, 0, $J$3*(16 - $D3020))</f>
        <v>373.94755686125472</v>
      </c>
      <c r="F3020">
        <f>IF($D3020 &gt; 16, 0,$E3020*$J$5)</f>
        <v>4064435.9955249778</v>
      </c>
      <c r="G3020">
        <f t="shared" si="47"/>
        <v>1.8000000000000007</v>
      </c>
    </row>
    <row r="3021" spans="2:7" x14ac:dyDescent="0.35">
      <c r="B3021" s="1">
        <v>45783</v>
      </c>
      <c r="C3021" s="2">
        <v>0.79166666666666663</v>
      </c>
      <c r="D3021">
        <v>11.9</v>
      </c>
      <c r="E3021">
        <f>IF($D3021 &gt; 16, 0, $J$3*(16 - $D3021))</f>
        <v>851.76943507285762</v>
      </c>
      <c r="F3021">
        <f>IF($D3021 &gt; 16, 0,$E3021*$J$5)</f>
        <v>9257881.9898068886</v>
      </c>
      <c r="G3021">
        <f t="shared" si="47"/>
        <v>4.0999999999999996</v>
      </c>
    </row>
    <row r="3022" spans="2:7" x14ac:dyDescent="0.35">
      <c r="B3022" s="1">
        <v>45783</v>
      </c>
      <c r="C3022" s="2">
        <v>0.83333333333333337</v>
      </c>
      <c r="D3022">
        <v>9.9</v>
      </c>
      <c r="E3022">
        <f>IF($D3022 &gt; 16, 0, $J$3*(16 - $D3022))</f>
        <v>1267.2667204742515</v>
      </c>
      <c r="F3022">
        <f>IF($D3022 &gt; 16, 0,$E3022*$J$5)</f>
        <v>13773921.984834639</v>
      </c>
      <c r="G3022">
        <f t="shared" si="47"/>
        <v>6.1</v>
      </c>
    </row>
    <row r="3023" spans="2:7" x14ac:dyDescent="0.35">
      <c r="B3023" s="1">
        <v>45783</v>
      </c>
      <c r="C3023" s="2">
        <v>0.875</v>
      </c>
      <c r="D3023">
        <v>6.9</v>
      </c>
      <c r="E3023">
        <f>IF($D3023 &gt; 16, 0, $J$3*(16 - $D3023))</f>
        <v>1890.5126485763426</v>
      </c>
      <c r="F3023">
        <f>IF($D3023 &gt; 16, 0,$E3023*$J$5)</f>
        <v>20547981.977376267</v>
      </c>
      <c r="G3023">
        <f t="shared" si="47"/>
        <v>9.1</v>
      </c>
    </row>
    <row r="3024" spans="2:7" x14ac:dyDescent="0.35">
      <c r="B3024" s="1">
        <v>45783</v>
      </c>
      <c r="C3024" s="2">
        <v>0.91666666666666663</v>
      </c>
      <c r="D3024">
        <v>5.3</v>
      </c>
      <c r="E3024">
        <f>IF($D3024 &gt; 16, 0, $J$3*(16 - $D3024))</f>
        <v>2222.9104768974576</v>
      </c>
      <c r="F3024">
        <f>IF($D3024 &gt; 16, 0,$E3024*$J$5)</f>
        <v>24160813.973398466</v>
      </c>
      <c r="G3024">
        <f t="shared" si="47"/>
        <v>10.7</v>
      </c>
    </row>
    <row r="3025" spans="2:7" x14ac:dyDescent="0.35">
      <c r="B3025" s="1">
        <v>45783</v>
      </c>
      <c r="C3025" s="2">
        <v>0.95833333333333337</v>
      </c>
      <c r="D3025">
        <v>4.5</v>
      </c>
      <c r="E3025">
        <f>IF($D3025 &gt; 16, 0, $J$3*(16 - $D3025))</f>
        <v>2389.1093910580153</v>
      </c>
      <c r="F3025">
        <f>IF($D3025 &gt; 16, 0,$E3025*$J$5)</f>
        <v>25967229.971409567</v>
      </c>
      <c r="G3025">
        <f t="shared" si="47"/>
        <v>11.5</v>
      </c>
    </row>
    <row r="3026" spans="2:7" x14ac:dyDescent="0.35">
      <c r="B3026" s="1">
        <v>45784</v>
      </c>
      <c r="C3026" s="2">
        <v>0</v>
      </c>
      <c r="D3026">
        <v>2.8</v>
      </c>
      <c r="E3026">
        <f>IF($D3026 &gt; 16, 0, $J$3*(16 - $D3026))</f>
        <v>2742.2820836492001</v>
      </c>
      <c r="F3026">
        <f>IF($D3026 &gt; 16, 0,$E3026*$J$5)</f>
        <v>29805863.967183154</v>
      </c>
      <c r="G3026">
        <f t="shared" si="47"/>
        <v>13.2</v>
      </c>
    </row>
    <row r="3027" spans="2:7" x14ac:dyDescent="0.35">
      <c r="B3027" s="1">
        <v>45784</v>
      </c>
      <c r="C3027" s="2">
        <v>4.1666666666666657E-2</v>
      </c>
      <c r="D3027">
        <v>2.9</v>
      </c>
      <c r="E3027">
        <f>IF($D3027 &gt; 16, 0, $J$3*(16 - $D3027))</f>
        <v>2721.5072193791307</v>
      </c>
      <c r="F3027">
        <f>IF($D3027 &gt; 16, 0,$E3027*$J$5)</f>
        <v>29580061.967431773</v>
      </c>
      <c r="G3027">
        <f t="shared" si="47"/>
        <v>13.1</v>
      </c>
    </row>
    <row r="3028" spans="2:7" x14ac:dyDescent="0.35">
      <c r="B3028" s="1">
        <v>45784</v>
      </c>
      <c r="C3028" s="2">
        <v>8.3333333333333329E-2</v>
      </c>
      <c r="D3028">
        <v>2.1</v>
      </c>
      <c r="E3028">
        <f>IF($D3028 &gt; 16, 0, $J$3*(16 - $D3028))</f>
        <v>2887.7061335396884</v>
      </c>
      <c r="F3028">
        <f>IF($D3028 &gt; 16, 0,$E3028*$J$5)</f>
        <v>31386477.965442874</v>
      </c>
      <c r="G3028">
        <f t="shared" si="47"/>
        <v>13.9</v>
      </c>
    </row>
    <row r="3029" spans="2:7" x14ac:dyDescent="0.35">
      <c r="B3029" s="1">
        <v>45784</v>
      </c>
      <c r="C3029" s="2">
        <v>0.125</v>
      </c>
      <c r="D3029">
        <v>1.8</v>
      </c>
      <c r="E3029">
        <f>IF($D3029 &gt; 16, 0, $J$3*(16 - $D3029))</f>
        <v>2950.0307263498971</v>
      </c>
      <c r="F3029">
        <f>IF($D3029 &gt; 16, 0,$E3029*$J$5)</f>
        <v>32063883.964697033</v>
      </c>
      <c r="G3029">
        <f t="shared" si="47"/>
        <v>14.2</v>
      </c>
    </row>
    <row r="3030" spans="2:7" x14ac:dyDescent="0.35">
      <c r="B3030" s="1">
        <v>45784</v>
      </c>
      <c r="C3030" s="2">
        <v>0.16666666666666671</v>
      </c>
      <c r="D3030">
        <v>1.4</v>
      </c>
      <c r="E3030">
        <f>IF($D3030 &gt; 16, 0, $J$3*(16 - $D3030))</f>
        <v>3033.1301834301762</v>
      </c>
      <c r="F3030">
        <f>IF($D3030 &gt; 16, 0,$E3030*$J$5)</f>
        <v>32967091.963702586</v>
      </c>
      <c r="G3030">
        <f t="shared" si="47"/>
        <v>14.6</v>
      </c>
    </row>
    <row r="3031" spans="2:7" x14ac:dyDescent="0.35">
      <c r="B3031" s="1">
        <v>45784</v>
      </c>
      <c r="C3031" s="2">
        <v>0.20833333333333329</v>
      </c>
      <c r="D3031">
        <v>4.0999999999999996</v>
      </c>
      <c r="E3031">
        <f>IF($D3031 &gt; 16, 0, $J$3*(16 - $D3031))</f>
        <v>2472.2088481382943</v>
      </c>
      <c r="F3031">
        <f>IF($D3031 &gt; 16, 0,$E3031*$J$5)</f>
        <v>26870437.970415123</v>
      </c>
      <c r="G3031">
        <f t="shared" si="47"/>
        <v>11.9</v>
      </c>
    </row>
    <row r="3032" spans="2:7" x14ac:dyDescent="0.35">
      <c r="B3032" s="1">
        <v>45784</v>
      </c>
      <c r="C3032" s="2">
        <v>0.25</v>
      </c>
      <c r="D3032">
        <v>9.4</v>
      </c>
      <c r="E3032">
        <f>IF($D3032 &gt; 16, 0, $J$3*(16 - $D3032))</f>
        <v>1371.1410418246001</v>
      </c>
      <c r="F3032">
        <f>IF($D3032 &gt; 16, 0,$E3032*$J$5)</f>
        <v>14902931.983591577</v>
      </c>
      <c r="G3032">
        <f t="shared" si="47"/>
        <v>6.6</v>
      </c>
    </row>
    <row r="3033" spans="2:7" x14ac:dyDescent="0.35">
      <c r="B3033" s="1">
        <v>45784</v>
      </c>
      <c r="C3033" s="2">
        <v>0.29166666666666669</v>
      </c>
      <c r="D3033">
        <v>11.5</v>
      </c>
      <c r="E3033">
        <f>IF($D3033 &gt; 16, 0, $J$3*(16 - $D3033))</f>
        <v>934.86889215313647</v>
      </c>
      <c r="F3033">
        <f>IF($D3033 &gt; 16, 0,$E3033*$J$5)</f>
        <v>10161089.988812441</v>
      </c>
      <c r="G3033">
        <f t="shared" si="47"/>
        <v>4.5</v>
      </c>
    </row>
    <row r="3034" spans="2:7" x14ac:dyDescent="0.35">
      <c r="B3034" s="1">
        <v>45784</v>
      </c>
      <c r="C3034" s="2">
        <v>0.33333333333333331</v>
      </c>
      <c r="D3034">
        <v>13.5</v>
      </c>
      <c r="E3034">
        <f>IF($D3034 &gt; 16, 0, $J$3*(16 - $D3034))</f>
        <v>519.37160675174243</v>
      </c>
      <c r="F3034">
        <f>IF($D3034 &gt; 16, 0,$E3034*$J$5)</f>
        <v>5645049.9937846884</v>
      </c>
      <c r="G3034">
        <f t="shared" si="47"/>
        <v>2.5</v>
      </c>
    </row>
    <row r="3035" spans="2:7" x14ac:dyDescent="0.35">
      <c r="B3035" s="1">
        <v>45784</v>
      </c>
      <c r="C3035" s="2">
        <v>0.375</v>
      </c>
      <c r="D3035">
        <v>13.7</v>
      </c>
      <c r="E3035">
        <f>IF($D3035 &gt; 16, 0, $J$3*(16 - $D3035))</f>
        <v>477.82187821160323</v>
      </c>
      <c r="F3035">
        <f>IF($D3035 &gt; 16, 0,$E3035*$J$5)</f>
        <v>5193445.9942819159</v>
      </c>
      <c r="G3035">
        <f t="shared" si="47"/>
        <v>2.3000000000000007</v>
      </c>
    </row>
    <row r="3036" spans="2:7" x14ac:dyDescent="0.35">
      <c r="B3036" s="1">
        <v>45784</v>
      </c>
      <c r="C3036" s="2">
        <v>0.41666666666666669</v>
      </c>
      <c r="D3036">
        <v>13.8</v>
      </c>
      <c r="E3036">
        <f>IF($D3036 &gt; 16, 0, $J$3*(16 - $D3036))</f>
        <v>457.04701394153324</v>
      </c>
      <c r="F3036">
        <f>IF($D3036 &gt; 16, 0,$E3036*$J$5)</f>
        <v>4967643.9945305251</v>
      </c>
      <c r="G3036">
        <f t="shared" si="47"/>
        <v>2.1999999999999993</v>
      </c>
    </row>
    <row r="3037" spans="2:7" x14ac:dyDescent="0.35">
      <c r="B3037" s="1">
        <v>45784</v>
      </c>
      <c r="C3037" s="2">
        <v>0.45833333333333331</v>
      </c>
      <c r="D3037">
        <v>14.9</v>
      </c>
      <c r="E3037">
        <f>IF($D3037 &gt; 16, 0, $J$3*(16 - $D3037))</f>
        <v>228.52350697076662</v>
      </c>
      <c r="F3037">
        <f>IF($D3037 &gt; 16, 0,$E3037*$J$5)</f>
        <v>2483821.9972652625</v>
      </c>
      <c r="G3037">
        <f t="shared" si="47"/>
        <v>1.0999999999999996</v>
      </c>
    </row>
    <row r="3038" spans="2:7" x14ac:dyDescent="0.35">
      <c r="B3038" s="1">
        <v>45784</v>
      </c>
      <c r="C3038" s="2">
        <v>0.5</v>
      </c>
      <c r="D3038">
        <v>15.4</v>
      </c>
      <c r="E3038">
        <f>IF($D3038 &gt; 16, 0, $J$3*(16 - $D3038))</f>
        <v>124.64918562041812</v>
      </c>
      <c r="F3038">
        <f>IF($D3038 &gt; 16, 0,$E3038*$J$5)</f>
        <v>1354811.9985083246</v>
      </c>
      <c r="G3038">
        <f t="shared" si="47"/>
        <v>0.59999999999999964</v>
      </c>
    </row>
    <row r="3039" spans="2:7" x14ac:dyDescent="0.35">
      <c r="B3039" s="1">
        <v>45784</v>
      </c>
      <c r="C3039" s="2">
        <v>0.54166666666666663</v>
      </c>
      <c r="D3039">
        <v>17.2</v>
      </c>
      <c r="E3039">
        <f>IF($D3039 &gt; 16, 0, $J$3*(16 - $D3039))</f>
        <v>0</v>
      </c>
      <c r="F3039">
        <f>IF($D3039 &gt; 16, 0,$E3039*$J$5)</f>
        <v>0</v>
      </c>
      <c r="G3039">
        <f t="shared" si="47"/>
        <v>0</v>
      </c>
    </row>
    <row r="3040" spans="2:7" x14ac:dyDescent="0.35">
      <c r="B3040" s="1">
        <v>45784</v>
      </c>
      <c r="C3040" s="2">
        <v>0.58333333333333337</v>
      </c>
      <c r="D3040">
        <v>16.5</v>
      </c>
      <c r="E3040">
        <f>IF($D3040 &gt; 16, 0, $J$3*(16 - $D3040))</f>
        <v>0</v>
      </c>
      <c r="F3040">
        <f>IF($D3040 &gt; 16, 0,$E3040*$J$5)</f>
        <v>0</v>
      </c>
      <c r="G3040">
        <f t="shared" si="47"/>
        <v>0</v>
      </c>
    </row>
    <row r="3041" spans="2:7" x14ac:dyDescent="0.35">
      <c r="B3041" s="1">
        <v>45784</v>
      </c>
      <c r="C3041" s="2">
        <v>0.625</v>
      </c>
      <c r="D3041">
        <v>16</v>
      </c>
      <c r="E3041">
        <f>IF($D3041 &gt; 16, 0, $J$3*(16 - $D3041))</f>
        <v>0</v>
      </c>
      <c r="F3041">
        <f>IF($D3041 &gt; 16, 0,$E3041*$J$5)</f>
        <v>0</v>
      </c>
      <c r="G3041">
        <f t="shared" si="47"/>
        <v>0</v>
      </c>
    </row>
    <row r="3042" spans="2:7" x14ac:dyDescent="0.35">
      <c r="B3042" s="1">
        <v>45784</v>
      </c>
      <c r="C3042" s="2">
        <v>0.66666666666666663</v>
      </c>
      <c r="D3042">
        <v>15.9</v>
      </c>
      <c r="E3042">
        <f>IF($D3042 &gt; 16, 0, $J$3*(16 - $D3042))</f>
        <v>20.774864270069624</v>
      </c>
      <c r="F3042">
        <f>IF($D3042 &gt; 16, 0,$E3042*$J$5)</f>
        <v>225801.99975138676</v>
      </c>
      <c r="G3042">
        <f t="shared" si="47"/>
        <v>9.9999999999999645E-2</v>
      </c>
    </row>
    <row r="3043" spans="2:7" x14ac:dyDescent="0.35">
      <c r="B3043" s="1">
        <v>45784</v>
      </c>
      <c r="C3043" s="2">
        <v>0.70833333333333337</v>
      </c>
      <c r="D3043">
        <v>15.3</v>
      </c>
      <c r="E3043">
        <f>IF($D3043 &gt; 16, 0, $J$3*(16 - $D3043))</f>
        <v>145.42404989048774</v>
      </c>
      <c r="F3043">
        <f>IF($D3043 &gt; 16, 0,$E3043*$J$5)</f>
        <v>1580613.9982597113</v>
      </c>
      <c r="G3043">
        <f t="shared" si="47"/>
        <v>0.69999999999999929</v>
      </c>
    </row>
    <row r="3044" spans="2:7" x14ac:dyDescent="0.35">
      <c r="B3044" s="1">
        <v>45784</v>
      </c>
      <c r="C3044" s="2">
        <v>0.75</v>
      </c>
      <c r="D3044">
        <v>14.7</v>
      </c>
      <c r="E3044">
        <f>IF($D3044 &gt; 16, 0, $J$3*(16 - $D3044))</f>
        <v>270.07323551090622</v>
      </c>
      <c r="F3044">
        <f>IF($D3044 &gt; 16, 0,$E3044*$J$5)</f>
        <v>2935425.9967680397</v>
      </c>
      <c r="G3044">
        <f t="shared" si="47"/>
        <v>1.3000000000000007</v>
      </c>
    </row>
    <row r="3045" spans="2:7" x14ac:dyDescent="0.35">
      <c r="B3045" s="1">
        <v>45784</v>
      </c>
      <c r="C3045" s="2">
        <v>0.79166666666666663</v>
      </c>
      <c r="D3045">
        <v>12.2</v>
      </c>
      <c r="E3045">
        <f>IF($D3045 &gt; 16, 0, $J$3*(16 - $D3045))</f>
        <v>789.44484226264876</v>
      </c>
      <c r="F3045">
        <f>IF($D3045 &gt; 16, 0,$E3045*$J$5)</f>
        <v>8580475.990552729</v>
      </c>
      <c r="G3045">
        <f t="shared" si="47"/>
        <v>3.8000000000000007</v>
      </c>
    </row>
    <row r="3046" spans="2:7" x14ac:dyDescent="0.35">
      <c r="B3046" s="1">
        <v>45784</v>
      </c>
      <c r="C3046" s="2">
        <v>0.83333333333333337</v>
      </c>
      <c r="D3046">
        <v>11.6</v>
      </c>
      <c r="E3046">
        <f>IF($D3046 &gt; 16, 0, $J$3*(16 - $D3046))</f>
        <v>914.09402788306681</v>
      </c>
      <c r="F3046">
        <f>IF($D3046 &gt; 16, 0,$E3046*$J$5)</f>
        <v>9935287.9890610538</v>
      </c>
      <c r="G3046">
        <f t="shared" si="47"/>
        <v>4.4000000000000004</v>
      </c>
    </row>
    <row r="3047" spans="2:7" x14ac:dyDescent="0.35">
      <c r="B3047" s="1">
        <v>45784</v>
      </c>
      <c r="C3047" s="2">
        <v>0.875</v>
      </c>
      <c r="D3047">
        <v>11</v>
      </c>
      <c r="E3047">
        <f>IF($D3047 &gt; 16, 0, $J$3*(16 - $D3047))</f>
        <v>1038.7432135034849</v>
      </c>
      <c r="F3047">
        <f>IF($D3047 &gt; 16, 0,$E3047*$J$5)</f>
        <v>11290099.987569377</v>
      </c>
      <c r="G3047">
        <f t="shared" si="47"/>
        <v>5</v>
      </c>
    </row>
    <row r="3048" spans="2:7" x14ac:dyDescent="0.35">
      <c r="B3048" s="1">
        <v>45784</v>
      </c>
      <c r="C3048" s="2">
        <v>0.91666666666666663</v>
      </c>
      <c r="D3048">
        <v>9.1999999999999993</v>
      </c>
      <c r="E3048">
        <f>IF($D3048 &gt; 16, 0, $J$3*(16 - $D3048))</f>
        <v>1412.6907703647396</v>
      </c>
      <c r="F3048">
        <f>IF($D3048 &gt; 16, 0,$E3048*$J$5)</f>
        <v>15354535.983094355</v>
      </c>
      <c r="G3048">
        <f t="shared" si="47"/>
        <v>6.8000000000000007</v>
      </c>
    </row>
    <row r="3049" spans="2:7" x14ac:dyDescent="0.35">
      <c r="B3049" s="1">
        <v>45784</v>
      </c>
      <c r="C3049" s="2">
        <v>0.95833333333333337</v>
      </c>
      <c r="D3049">
        <v>8.4</v>
      </c>
      <c r="E3049">
        <f>IF($D3049 &gt; 16, 0, $J$3*(16 - $D3049))</f>
        <v>1578.8896845252971</v>
      </c>
      <c r="F3049">
        <f>IF($D3049 &gt; 16, 0,$E3049*$J$5)</f>
        <v>17160951.981105454</v>
      </c>
      <c r="G3049">
        <f t="shared" si="47"/>
        <v>7.6</v>
      </c>
    </row>
    <row r="3050" spans="2:7" x14ac:dyDescent="0.35">
      <c r="B3050" s="1">
        <v>45785</v>
      </c>
      <c r="C3050" s="2">
        <v>0</v>
      </c>
      <c r="D3050">
        <v>6.8</v>
      </c>
      <c r="E3050">
        <f>IF($D3050 &gt; 16, 0, $J$3*(16 - $D3050))</f>
        <v>1911.2875128464123</v>
      </c>
      <c r="F3050">
        <f>IF($D3050 &gt; 16, 0,$E3050*$J$5)</f>
        <v>20773783.977127656</v>
      </c>
      <c r="G3050">
        <f t="shared" si="47"/>
        <v>9.1999999999999993</v>
      </c>
    </row>
    <row r="3051" spans="2:7" x14ac:dyDescent="0.35">
      <c r="B3051" s="1">
        <v>45785</v>
      </c>
      <c r="C3051" s="2">
        <v>4.1666666666666657E-2</v>
      </c>
      <c r="D3051">
        <v>5.9</v>
      </c>
      <c r="E3051">
        <f>IF($D3051 &gt; 16, 0, $J$3*(16 - $D3051))</f>
        <v>2098.2612912770396</v>
      </c>
      <c r="F3051">
        <f>IF($D3051 &gt; 16, 0,$E3051*$J$5)</f>
        <v>22806001.974890143</v>
      </c>
      <c r="G3051">
        <f t="shared" si="47"/>
        <v>10.1</v>
      </c>
    </row>
    <row r="3052" spans="2:7" x14ac:dyDescent="0.35">
      <c r="B3052" s="1">
        <v>45785</v>
      </c>
      <c r="C3052" s="2">
        <v>8.3333333333333329E-2</v>
      </c>
      <c r="D3052">
        <v>5.7</v>
      </c>
      <c r="E3052">
        <f>IF($D3052 &gt; 16, 0, $J$3*(16 - $D3052))</f>
        <v>2139.8110198171789</v>
      </c>
      <c r="F3052">
        <f>IF($D3052 &gt; 16, 0,$E3052*$J$5)</f>
        <v>23257605.974392917</v>
      </c>
      <c r="G3052">
        <f t="shared" si="47"/>
        <v>10.3</v>
      </c>
    </row>
    <row r="3053" spans="2:7" x14ac:dyDescent="0.35">
      <c r="B3053" s="1">
        <v>45785</v>
      </c>
      <c r="C3053" s="2">
        <v>0.125</v>
      </c>
      <c r="D3053">
        <v>4.4000000000000004</v>
      </c>
      <c r="E3053">
        <f>IF($D3053 &gt; 16, 0, $J$3*(16 - $D3053))</f>
        <v>2409.8842553280851</v>
      </c>
      <c r="F3053">
        <f>IF($D3053 &gt; 16, 0,$E3053*$J$5)</f>
        <v>26193031.971160956</v>
      </c>
      <c r="G3053">
        <f t="shared" si="47"/>
        <v>11.6</v>
      </c>
    </row>
    <row r="3054" spans="2:7" x14ac:dyDescent="0.35">
      <c r="B3054" s="1">
        <v>45785</v>
      </c>
      <c r="C3054" s="2">
        <v>0.16666666666666671</v>
      </c>
      <c r="D3054">
        <v>5.3</v>
      </c>
      <c r="E3054">
        <f>IF($D3054 &gt; 16, 0, $J$3*(16 - $D3054))</f>
        <v>2222.9104768974576</v>
      </c>
      <c r="F3054">
        <f>IF($D3054 &gt; 16, 0,$E3054*$J$5)</f>
        <v>24160813.973398466</v>
      </c>
      <c r="G3054">
        <f t="shared" si="47"/>
        <v>10.7</v>
      </c>
    </row>
    <row r="3055" spans="2:7" x14ac:dyDescent="0.35">
      <c r="B3055" s="1">
        <v>45785</v>
      </c>
      <c r="C3055" s="2">
        <v>0.20833333333333329</v>
      </c>
      <c r="D3055">
        <v>6.5</v>
      </c>
      <c r="E3055">
        <f>IF($D3055 &gt; 16, 0, $J$3*(16 - $D3055))</f>
        <v>1973.6121056566215</v>
      </c>
      <c r="F3055">
        <f>IF($D3055 &gt; 16, 0,$E3055*$J$5)</f>
        <v>21451189.97638182</v>
      </c>
      <c r="G3055">
        <f t="shared" si="47"/>
        <v>9.5</v>
      </c>
    </row>
    <row r="3056" spans="2:7" x14ac:dyDescent="0.35">
      <c r="B3056" s="1">
        <v>45785</v>
      </c>
      <c r="C3056" s="2">
        <v>0.25</v>
      </c>
      <c r="D3056">
        <v>9.8000000000000007</v>
      </c>
      <c r="E3056">
        <f>IF($D3056 &gt; 16, 0, $J$3*(16 - $D3056))</f>
        <v>1288.0415847443212</v>
      </c>
      <c r="F3056">
        <f>IF($D3056 &gt; 16, 0,$E3056*$J$5)</f>
        <v>13999723.984586027</v>
      </c>
      <c r="G3056">
        <f t="shared" si="47"/>
        <v>6.1999999999999993</v>
      </c>
    </row>
    <row r="3057" spans="2:7" x14ac:dyDescent="0.35">
      <c r="B3057" s="1">
        <v>45785</v>
      </c>
      <c r="C3057" s="2">
        <v>0.29166666666666669</v>
      </c>
      <c r="D3057">
        <v>11.4</v>
      </c>
      <c r="E3057">
        <f>IF($D3057 &gt; 16, 0, $J$3*(16 - $D3057))</f>
        <v>955.64375642320613</v>
      </c>
      <c r="F3057">
        <f>IF($D3057 &gt; 16, 0,$E3057*$J$5)</f>
        <v>10386891.988563828</v>
      </c>
      <c r="G3057">
        <f t="shared" si="47"/>
        <v>4.5999999999999996</v>
      </c>
    </row>
    <row r="3058" spans="2:7" x14ac:dyDescent="0.35">
      <c r="B3058" s="1">
        <v>45785</v>
      </c>
      <c r="C3058" s="2">
        <v>0.33333333333333331</v>
      </c>
      <c r="D3058">
        <v>12.6</v>
      </c>
      <c r="E3058">
        <f>IF($D3058 &gt; 16, 0, $J$3*(16 - $D3058))</f>
        <v>706.3453851823698</v>
      </c>
      <c r="F3058">
        <f>IF($D3058 &gt; 16, 0,$E3058*$J$5)</f>
        <v>7677267.9915471775</v>
      </c>
      <c r="G3058">
        <f t="shared" si="47"/>
        <v>3.4000000000000004</v>
      </c>
    </row>
    <row r="3059" spans="2:7" x14ac:dyDescent="0.35">
      <c r="B3059" s="1">
        <v>45785</v>
      </c>
      <c r="C3059" s="2">
        <v>0.375</v>
      </c>
      <c r="D3059">
        <v>14.4</v>
      </c>
      <c r="E3059">
        <f>IF($D3059 &gt; 16, 0, $J$3*(16 - $D3059))</f>
        <v>332.39782832111513</v>
      </c>
      <c r="F3059">
        <f>IF($D3059 &gt; 16, 0,$E3059*$J$5)</f>
        <v>3612831.9960222002</v>
      </c>
      <c r="G3059">
        <f t="shared" si="47"/>
        <v>1.5999999999999996</v>
      </c>
    </row>
    <row r="3060" spans="2:7" x14ac:dyDescent="0.35">
      <c r="B3060" s="1">
        <v>45785</v>
      </c>
      <c r="C3060" s="2">
        <v>0.41666666666666669</v>
      </c>
      <c r="D3060">
        <v>15.1</v>
      </c>
      <c r="E3060">
        <f>IF($D3060 &gt; 16, 0, $J$3*(16 - $D3060))</f>
        <v>186.97377843062736</v>
      </c>
      <c r="F3060">
        <f>IF($D3060 &gt; 16, 0,$E3060*$J$5)</f>
        <v>2032217.9977624889</v>
      </c>
      <c r="G3060">
        <f t="shared" si="47"/>
        <v>0.90000000000000036</v>
      </c>
    </row>
    <row r="3061" spans="2:7" x14ac:dyDescent="0.35">
      <c r="B3061" s="1">
        <v>45785</v>
      </c>
      <c r="C3061" s="2">
        <v>0.45833333333333331</v>
      </c>
      <c r="D3061">
        <v>16</v>
      </c>
      <c r="E3061">
        <f>IF($D3061 &gt; 16, 0, $J$3*(16 - $D3061))</f>
        <v>0</v>
      </c>
      <c r="F3061">
        <f>IF($D3061 &gt; 16, 0,$E3061*$J$5)</f>
        <v>0</v>
      </c>
      <c r="G3061">
        <f t="shared" si="47"/>
        <v>0</v>
      </c>
    </row>
    <row r="3062" spans="2:7" x14ac:dyDescent="0.35">
      <c r="B3062" s="1">
        <v>45785</v>
      </c>
      <c r="C3062" s="2">
        <v>0.5</v>
      </c>
      <c r="D3062">
        <v>17.100000000000001</v>
      </c>
      <c r="E3062">
        <f>IF($D3062 &gt; 16, 0, $J$3*(16 - $D3062))</f>
        <v>0</v>
      </c>
      <c r="F3062">
        <f>IF($D3062 &gt; 16, 0,$E3062*$J$5)</f>
        <v>0</v>
      </c>
      <c r="G3062">
        <f t="shared" si="47"/>
        <v>0</v>
      </c>
    </row>
    <row r="3063" spans="2:7" x14ac:dyDescent="0.35">
      <c r="B3063" s="1">
        <v>45785</v>
      </c>
      <c r="C3063" s="2">
        <v>0.54166666666666663</v>
      </c>
      <c r="D3063">
        <v>15.8</v>
      </c>
      <c r="E3063">
        <f>IF($D3063 &gt; 16, 0, $J$3*(16 - $D3063))</f>
        <v>41.549728540139249</v>
      </c>
      <c r="F3063">
        <f>IF($D3063 &gt; 16, 0,$E3063*$J$5)</f>
        <v>451603.99950277351</v>
      </c>
      <c r="G3063">
        <f t="shared" si="47"/>
        <v>0.19999999999999929</v>
      </c>
    </row>
    <row r="3064" spans="2:7" x14ac:dyDescent="0.35">
      <c r="B3064" s="1">
        <v>45785</v>
      </c>
      <c r="C3064" s="2">
        <v>0.58333333333333337</v>
      </c>
      <c r="D3064">
        <v>16.3</v>
      </c>
      <c r="E3064">
        <f>IF($D3064 &gt; 16, 0, $J$3*(16 - $D3064))</f>
        <v>0</v>
      </c>
      <c r="F3064">
        <f>IF($D3064 &gt; 16, 0,$E3064*$J$5)</f>
        <v>0</v>
      </c>
      <c r="G3064">
        <f t="shared" si="47"/>
        <v>0</v>
      </c>
    </row>
    <row r="3065" spans="2:7" x14ac:dyDescent="0.35">
      <c r="B3065" s="1">
        <v>45785</v>
      </c>
      <c r="C3065" s="2">
        <v>0.625</v>
      </c>
      <c r="D3065">
        <v>17.100000000000001</v>
      </c>
      <c r="E3065">
        <f>IF($D3065 &gt; 16, 0, $J$3*(16 - $D3065))</f>
        <v>0</v>
      </c>
      <c r="F3065">
        <f>IF($D3065 &gt; 16, 0,$E3065*$J$5)</f>
        <v>0</v>
      </c>
      <c r="G3065">
        <f t="shared" si="47"/>
        <v>0</v>
      </c>
    </row>
    <row r="3066" spans="2:7" x14ac:dyDescent="0.35">
      <c r="B3066" s="1">
        <v>45785</v>
      </c>
      <c r="C3066" s="2">
        <v>0.66666666666666663</v>
      </c>
      <c r="D3066">
        <v>16.3</v>
      </c>
      <c r="E3066">
        <f>IF($D3066 &gt; 16, 0, $J$3*(16 - $D3066))</f>
        <v>0</v>
      </c>
      <c r="F3066">
        <f>IF($D3066 &gt; 16, 0,$E3066*$J$5)</f>
        <v>0</v>
      </c>
      <c r="G3066">
        <f t="shared" si="47"/>
        <v>0</v>
      </c>
    </row>
    <row r="3067" spans="2:7" x14ac:dyDescent="0.35">
      <c r="B3067" s="1">
        <v>45785</v>
      </c>
      <c r="C3067" s="2">
        <v>0.70833333333333337</v>
      </c>
      <c r="D3067">
        <v>16.100000000000001</v>
      </c>
      <c r="E3067">
        <f>IF($D3067 &gt; 16, 0, $J$3*(16 - $D3067))</f>
        <v>0</v>
      </c>
      <c r="F3067">
        <f>IF($D3067 &gt; 16, 0,$E3067*$J$5)</f>
        <v>0</v>
      </c>
      <c r="G3067">
        <f t="shared" si="47"/>
        <v>0</v>
      </c>
    </row>
    <row r="3068" spans="2:7" x14ac:dyDescent="0.35">
      <c r="B3068" s="1">
        <v>45785</v>
      </c>
      <c r="C3068" s="2">
        <v>0.75</v>
      </c>
      <c r="D3068">
        <v>14.7</v>
      </c>
      <c r="E3068">
        <f>IF($D3068 &gt; 16, 0, $J$3*(16 - $D3068))</f>
        <v>270.07323551090622</v>
      </c>
      <c r="F3068">
        <f>IF($D3068 &gt; 16, 0,$E3068*$J$5)</f>
        <v>2935425.9967680397</v>
      </c>
      <c r="G3068">
        <f t="shared" si="47"/>
        <v>1.3000000000000007</v>
      </c>
    </row>
    <row r="3069" spans="2:7" x14ac:dyDescent="0.35">
      <c r="B3069" s="1">
        <v>45785</v>
      </c>
      <c r="C3069" s="2">
        <v>0.79166666666666663</v>
      </c>
      <c r="D3069">
        <v>11.2</v>
      </c>
      <c r="E3069">
        <f>IF($D3069 &gt; 16, 0, $J$3*(16 - $D3069))</f>
        <v>997.19348496334567</v>
      </c>
      <c r="F3069">
        <f>IF($D3069 &gt; 16, 0,$E3069*$J$5)</f>
        <v>10838495.988066604</v>
      </c>
      <c r="G3069">
        <f t="shared" si="47"/>
        <v>4.8000000000000007</v>
      </c>
    </row>
    <row r="3070" spans="2:7" x14ac:dyDescent="0.35">
      <c r="B3070" s="1">
        <v>45785</v>
      </c>
      <c r="C3070" s="2">
        <v>0.83333333333333337</v>
      </c>
      <c r="D3070">
        <v>9</v>
      </c>
      <c r="E3070">
        <f>IF($D3070 &gt; 16, 0, $J$3*(16 - $D3070))</f>
        <v>1454.2404989048789</v>
      </c>
      <c r="F3070">
        <f>IF($D3070 &gt; 16, 0,$E3070*$J$5)</f>
        <v>15806139.982597129</v>
      </c>
      <c r="G3070">
        <f t="shared" si="47"/>
        <v>7</v>
      </c>
    </row>
    <row r="3071" spans="2:7" x14ac:dyDescent="0.35">
      <c r="B3071" s="1">
        <v>45785</v>
      </c>
      <c r="C3071" s="2">
        <v>0.875</v>
      </c>
      <c r="D3071">
        <v>7.6</v>
      </c>
      <c r="E3071">
        <f>IF($D3071 &gt; 16, 0, $J$3*(16 - $D3071))</f>
        <v>1745.0885986858548</v>
      </c>
      <c r="F3071">
        <f>IF($D3071 &gt; 16, 0,$E3071*$J$5)</f>
        <v>18967367.979116555</v>
      </c>
      <c r="G3071">
        <f t="shared" si="47"/>
        <v>8.4</v>
      </c>
    </row>
    <row r="3072" spans="2:7" x14ac:dyDescent="0.35">
      <c r="B3072" s="1">
        <v>45785</v>
      </c>
      <c r="C3072" s="2">
        <v>0.91666666666666663</v>
      </c>
      <c r="D3072">
        <v>5.9</v>
      </c>
      <c r="E3072">
        <f>IF($D3072 &gt; 16, 0, $J$3*(16 - $D3072))</f>
        <v>2098.2612912770396</v>
      </c>
      <c r="F3072">
        <f>IF($D3072 &gt; 16, 0,$E3072*$J$5)</f>
        <v>22806001.974890143</v>
      </c>
      <c r="G3072">
        <f t="shared" si="47"/>
        <v>10.1</v>
      </c>
    </row>
    <row r="3073" spans="2:7" x14ac:dyDescent="0.35">
      <c r="B3073" s="1">
        <v>45785</v>
      </c>
      <c r="C3073" s="2">
        <v>0.95833333333333337</v>
      </c>
      <c r="D3073">
        <v>5.7</v>
      </c>
      <c r="E3073">
        <f>IF($D3073 &gt; 16, 0, $J$3*(16 - $D3073))</f>
        <v>2139.8110198171789</v>
      </c>
      <c r="F3073">
        <f>IF($D3073 &gt; 16, 0,$E3073*$J$5)</f>
        <v>23257605.974392917</v>
      </c>
      <c r="G3073">
        <f t="shared" si="47"/>
        <v>10.3</v>
      </c>
    </row>
    <row r="3074" spans="2:7" x14ac:dyDescent="0.35">
      <c r="B3074" s="1">
        <v>45786</v>
      </c>
      <c r="C3074" s="2">
        <v>0</v>
      </c>
      <c r="D3074">
        <v>4.7</v>
      </c>
      <c r="E3074">
        <f>IF($D3074 &gt; 16, 0, $J$3*(16 - $D3074))</f>
        <v>2347.5596625178759</v>
      </c>
      <c r="F3074">
        <f>IF($D3074 &gt; 16, 0,$E3074*$J$5)</f>
        <v>25515625.971906792</v>
      </c>
      <c r="G3074">
        <f t="shared" si="47"/>
        <v>11.3</v>
      </c>
    </row>
    <row r="3075" spans="2:7" x14ac:dyDescent="0.35">
      <c r="B3075" s="1">
        <v>45786</v>
      </c>
      <c r="C3075" s="2">
        <v>4.1666666666666657E-2</v>
      </c>
      <c r="D3075">
        <v>3.4</v>
      </c>
      <c r="E3075">
        <f>IF($D3075 &gt; 16, 0, $J$3*(16 - $D3075))</f>
        <v>2617.6328980287822</v>
      </c>
      <c r="F3075">
        <f>IF($D3075 &gt; 16, 0,$E3075*$J$5)</f>
        <v>28451051.968674835</v>
      </c>
      <c r="G3075">
        <f t="shared" ref="G3075:G3138" si="48">MAX(0, 16 - $D3075)</f>
        <v>12.6</v>
      </c>
    </row>
    <row r="3076" spans="2:7" x14ac:dyDescent="0.35">
      <c r="B3076" s="1">
        <v>45786</v>
      </c>
      <c r="C3076" s="2">
        <v>8.3333333333333329E-2</v>
      </c>
      <c r="D3076">
        <v>3.3</v>
      </c>
      <c r="E3076">
        <f>IF($D3076 &gt; 16, 0, $J$3*(16 - $D3076))</f>
        <v>2638.4077622988516</v>
      </c>
      <c r="F3076">
        <f>IF($D3076 &gt; 16, 0,$E3076*$J$5)</f>
        <v>28676853.968426216</v>
      </c>
      <c r="G3076">
        <f t="shared" si="48"/>
        <v>12.7</v>
      </c>
    </row>
    <row r="3077" spans="2:7" x14ac:dyDescent="0.35">
      <c r="B3077" s="1">
        <v>45786</v>
      </c>
      <c r="C3077" s="2">
        <v>0.125</v>
      </c>
      <c r="D3077">
        <v>2.5</v>
      </c>
      <c r="E3077">
        <f>IF($D3077 &gt; 16, 0, $J$3*(16 - $D3077))</f>
        <v>2804.6066764594093</v>
      </c>
      <c r="F3077">
        <f>IF($D3077 &gt; 16, 0,$E3077*$J$5)</f>
        <v>30483269.966437321</v>
      </c>
      <c r="G3077">
        <f t="shared" si="48"/>
        <v>13.5</v>
      </c>
    </row>
    <row r="3078" spans="2:7" x14ac:dyDescent="0.35">
      <c r="B3078" s="1">
        <v>45786</v>
      </c>
      <c r="C3078" s="2">
        <v>0.16666666666666671</v>
      </c>
      <c r="D3078">
        <v>2</v>
      </c>
      <c r="E3078">
        <f>IF($D3078 &gt; 16, 0, $J$3*(16 - $D3078))</f>
        <v>2908.4809978097578</v>
      </c>
      <c r="F3078">
        <f>IF($D3078 &gt; 16, 0,$E3078*$J$5)</f>
        <v>31612279.965194259</v>
      </c>
      <c r="G3078">
        <f t="shared" si="48"/>
        <v>14</v>
      </c>
    </row>
    <row r="3079" spans="2:7" x14ac:dyDescent="0.35">
      <c r="B3079" s="1">
        <v>45786</v>
      </c>
      <c r="C3079" s="2">
        <v>0.20833333333333329</v>
      </c>
      <c r="D3079">
        <v>5</v>
      </c>
      <c r="E3079">
        <f>IF($D3079 &gt; 16, 0, $J$3*(16 - $D3079))</f>
        <v>2285.2350697076668</v>
      </c>
      <c r="F3079">
        <f>IF($D3079 &gt; 16, 0,$E3079*$J$5)</f>
        <v>24838219.972652629</v>
      </c>
      <c r="G3079">
        <f t="shared" si="48"/>
        <v>11</v>
      </c>
    </row>
    <row r="3080" spans="2:7" x14ac:dyDescent="0.35">
      <c r="B3080" s="1">
        <v>45786</v>
      </c>
      <c r="C3080" s="2">
        <v>0.25</v>
      </c>
      <c r="D3080">
        <v>9.6999999999999993</v>
      </c>
      <c r="E3080">
        <f>IF($D3080 &gt; 16, 0, $J$3*(16 - $D3080))</f>
        <v>1308.8164490143911</v>
      </c>
      <c r="F3080">
        <f>IF($D3080 &gt; 16, 0,$E3080*$J$5)</f>
        <v>14225525.984337417</v>
      </c>
      <c r="G3080">
        <f t="shared" si="48"/>
        <v>6.3000000000000007</v>
      </c>
    </row>
    <row r="3081" spans="2:7" x14ac:dyDescent="0.35">
      <c r="B3081" s="1">
        <v>45786</v>
      </c>
      <c r="C3081" s="2">
        <v>0.29166666666666669</v>
      </c>
      <c r="D3081">
        <v>12.1</v>
      </c>
      <c r="E3081">
        <f>IF($D3081 &gt; 16, 0, $J$3*(16 - $D3081))</f>
        <v>810.21970653271831</v>
      </c>
      <c r="F3081">
        <f>IF($D3081 &gt; 16, 0,$E3081*$J$5)</f>
        <v>8806277.9903041162</v>
      </c>
      <c r="G3081">
        <f t="shared" si="48"/>
        <v>3.9000000000000004</v>
      </c>
    </row>
    <row r="3082" spans="2:7" x14ac:dyDescent="0.35">
      <c r="B3082" s="1">
        <v>45786</v>
      </c>
      <c r="C3082" s="2">
        <v>0.33333333333333331</v>
      </c>
      <c r="D3082">
        <v>14.4</v>
      </c>
      <c r="E3082">
        <f>IF($D3082 &gt; 16, 0, $J$3*(16 - $D3082))</f>
        <v>332.39782832111513</v>
      </c>
      <c r="F3082">
        <f>IF($D3082 &gt; 16, 0,$E3082*$J$5)</f>
        <v>3612831.9960222002</v>
      </c>
      <c r="G3082">
        <f t="shared" si="48"/>
        <v>1.5999999999999996</v>
      </c>
    </row>
    <row r="3083" spans="2:7" x14ac:dyDescent="0.35">
      <c r="B3083" s="1">
        <v>45786</v>
      </c>
      <c r="C3083" s="2">
        <v>0.375</v>
      </c>
      <c r="D3083">
        <v>14.7</v>
      </c>
      <c r="E3083">
        <f>IF($D3083 &gt; 16, 0, $J$3*(16 - $D3083))</f>
        <v>270.07323551090622</v>
      </c>
      <c r="F3083">
        <f>IF($D3083 &gt; 16, 0,$E3083*$J$5)</f>
        <v>2935425.9967680397</v>
      </c>
      <c r="G3083">
        <f t="shared" si="48"/>
        <v>1.3000000000000007</v>
      </c>
    </row>
    <row r="3084" spans="2:7" x14ac:dyDescent="0.35">
      <c r="B3084" s="1">
        <v>45786</v>
      </c>
      <c r="C3084" s="2">
        <v>0.41666666666666669</v>
      </c>
      <c r="D3084">
        <v>14.9</v>
      </c>
      <c r="E3084">
        <f>IF($D3084 &gt; 16, 0, $J$3*(16 - $D3084))</f>
        <v>228.52350697076662</v>
      </c>
      <c r="F3084">
        <f>IF($D3084 &gt; 16, 0,$E3084*$J$5)</f>
        <v>2483821.9972652625</v>
      </c>
      <c r="G3084">
        <f t="shared" si="48"/>
        <v>1.0999999999999996</v>
      </c>
    </row>
    <row r="3085" spans="2:7" x14ac:dyDescent="0.35">
      <c r="B3085" s="1">
        <v>45786</v>
      </c>
      <c r="C3085" s="2">
        <v>0.45833333333333331</v>
      </c>
      <c r="D3085">
        <v>15.1</v>
      </c>
      <c r="E3085">
        <f>IF($D3085 &gt; 16, 0, $J$3*(16 - $D3085))</f>
        <v>186.97377843062736</v>
      </c>
      <c r="F3085">
        <f>IF($D3085 &gt; 16, 0,$E3085*$J$5)</f>
        <v>2032217.9977624889</v>
      </c>
      <c r="G3085">
        <f t="shared" si="48"/>
        <v>0.90000000000000036</v>
      </c>
    </row>
    <row r="3086" spans="2:7" x14ac:dyDescent="0.35">
      <c r="B3086" s="1">
        <v>45786</v>
      </c>
      <c r="C3086" s="2">
        <v>0.5</v>
      </c>
      <c r="D3086">
        <v>15.2</v>
      </c>
      <c r="E3086">
        <f>IF($D3086 &gt; 16, 0, $J$3*(16 - $D3086))</f>
        <v>166.19891416055773</v>
      </c>
      <c r="F3086">
        <f>IF($D3086 &gt; 16, 0,$E3086*$J$5)</f>
        <v>1806415.998011102</v>
      </c>
      <c r="G3086">
        <f t="shared" si="48"/>
        <v>0.80000000000000071</v>
      </c>
    </row>
    <row r="3087" spans="2:7" x14ac:dyDescent="0.35">
      <c r="B3087" s="1">
        <v>45786</v>
      </c>
      <c r="C3087" s="2">
        <v>0.54166666666666663</v>
      </c>
      <c r="D3087">
        <v>15.4</v>
      </c>
      <c r="E3087">
        <f>IF($D3087 &gt; 16, 0, $J$3*(16 - $D3087))</f>
        <v>124.64918562041812</v>
      </c>
      <c r="F3087">
        <f>IF($D3087 &gt; 16, 0,$E3087*$J$5)</f>
        <v>1354811.9985083246</v>
      </c>
      <c r="G3087">
        <f t="shared" si="48"/>
        <v>0.59999999999999964</v>
      </c>
    </row>
    <row r="3088" spans="2:7" x14ac:dyDescent="0.35">
      <c r="B3088" s="1">
        <v>45786</v>
      </c>
      <c r="C3088" s="2">
        <v>0.58333333333333337</v>
      </c>
      <c r="D3088">
        <v>15.7</v>
      </c>
      <c r="E3088">
        <f>IF($D3088 &gt; 16, 0, $J$3*(16 - $D3088))</f>
        <v>62.324592810209246</v>
      </c>
      <c r="F3088">
        <f>IF($D3088 &gt; 16, 0,$E3088*$J$5)</f>
        <v>677405.99925416429</v>
      </c>
      <c r="G3088">
        <f t="shared" si="48"/>
        <v>0.30000000000000071</v>
      </c>
    </row>
    <row r="3089" spans="2:7" x14ac:dyDescent="0.35">
      <c r="B3089" s="1">
        <v>45786</v>
      </c>
      <c r="C3089" s="2">
        <v>0.625</v>
      </c>
      <c r="D3089">
        <v>16.100000000000001</v>
      </c>
      <c r="E3089">
        <f>IF($D3089 &gt; 16, 0, $J$3*(16 - $D3089))</f>
        <v>0</v>
      </c>
      <c r="F3089">
        <f>IF($D3089 &gt; 16, 0,$E3089*$J$5)</f>
        <v>0</v>
      </c>
      <c r="G3089">
        <f t="shared" si="48"/>
        <v>0</v>
      </c>
    </row>
    <row r="3090" spans="2:7" x14ac:dyDescent="0.35">
      <c r="B3090" s="1">
        <v>45786</v>
      </c>
      <c r="C3090" s="2">
        <v>0.66666666666666663</v>
      </c>
      <c r="D3090">
        <v>16</v>
      </c>
      <c r="E3090">
        <f>IF($D3090 &gt; 16, 0, $J$3*(16 - $D3090))</f>
        <v>0</v>
      </c>
      <c r="F3090">
        <f>IF($D3090 &gt; 16, 0,$E3090*$J$5)</f>
        <v>0</v>
      </c>
      <c r="G3090">
        <f t="shared" si="48"/>
        <v>0</v>
      </c>
    </row>
    <row r="3091" spans="2:7" x14ac:dyDescent="0.35">
      <c r="B3091" s="1">
        <v>45786</v>
      </c>
      <c r="C3091" s="2">
        <v>0.70833333333333337</v>
      </c>
      <c r="D3091">
        <v>15.9</v>
      </c>
      <c r="E3091">
        <f>IF($D3091 &gt; 16, 0, $J$3*(16 - $D3091))</f>
        <v>20.774864270069624</v>
      </c>
      <c r="F3091">
        <f>IF($D3091 &gt; 16, 0,$E3091*$J$5)</f>
        <v>225801.99975138676</v>
      </c>
      <c r="G3091">
        <f t="shared" si="48"/>
        <v>9.9999999999999645E-2</v>
      </c>
    </row>
    <row r="3092" spans="2:7" x14ac:dyDescent="0.35">
      <c r="B3092" s="1">
        <v>45786</v>
      </c>
      <c r="C3092" s="2">
        <v>0.75</v>
      </c>
      <c r="D3092">
        <v>15.6</v>
      </c>
      <c r="E3092">
        <f>IF($D3092 &gt; 16, 0, $J$3*(16 - $D3092))</f>
        <v>83.099457080278867</v>
      </c>
      <c r="F3092">
        <f>IF($D3092 &gt; 16, 0,$E3092*$J$5)</f>
        <v>903207.99900555098</v>
      </c>
      <c r="G3092">
        <f t="shared" si="48"/>
        <v>0.40000000000000036</v>
      </c>
    </row>
    <row r="3093" spans="2:7" x14ac:dyDescent="0.35">
      <c r="B3093" s="1">
        <v>45786</v>
      </c>
      <c r="C3093" s="2">
        <v>0.79166666666666663</v>
      </c>
      <c r="D3093">
        <v>14</v>
      </c>
      <c r="E3093">
        <f>IF($D3093 &gt; 16, 0, $J$3*(16 - $D3093))</f>
        <v>415.49728540139398</v>
      </c>
      <c r="F3093">
        <f>IF($D3093 &gt; 16, 0,$E3093*$J$5)</f>
        <v>4516039.9950277507</v>
      </c>
      <c r="G3093">
        <f t="shared" si="48"/>
        <v>2</v>
      </c>
    </row>
    <row r="3094" spans="2:7" x14ac:dyDescent="0.35">
      <c r="B3094" s="1">
        <v>45786</v>
      </c>
      <c r="C3094" s="2">
        <v>0.83333333333333337</v>
      </c>
      <c r="D3094">
        <v>12</v>
      </c>
      <c r="E3094">
        <f>IF($D3094 &gt; 16, 0, $J$3*(16 - $D3094))</f>
        <v>830.99457080278796</v>
      </c>
      <c r="F3094">
        <f>IF($D3094 &gt; 16, 0,$E3094*$J$5)</f>
        <v>9032079.9900555015</v>
      </c>
      <c r="G3094">
        <f t="shared" si="48"/>
        <v>4</v>
      </c>
    </row>
    <row r="3095" spans="2:7" x14ac:dyDescent="0.35">
      <c r="B3095" s="1">
        <v>45786</v>
      </c>
      <c r="C3095" s="2">
        <v>0.875</v>
      </c>
      <c r="D3095">
        <v>11.4</v>
      </c>
      <c r="E3095">
        <f>IF($D3095 &gt; 16, 0, $J$3*(16 - $D3095))</f>
        <v>955.64375642320613</v>
      </c>
      <c r="F3095">
        <f>IF($D3095 &gt; 16, 0,$E3095*$J$5)</f>
        <v>10386891.988563828</v>
      </c>
      <c r="G3095">
        <f t="shared" si="48"/>
        <v>4.5999999999999996</v>
      </c>
    </row>
    <row r="3096" spans="2:7" x14ac:dyDescent="0.35">
      <c r="B3096" s="1">
        <v>45786</v>
      </c>
      <c r="C3096" s="2">
        <v>0.91666666666666663</v>
      </c>
      <c r="D3096">
        <v>9.6</v>
      </c>
      <c r="E3096">
        <f>IF($D3096 &gt; 16, 0, $J$3*(16 - $D3096))</f>
        <v>1329.5913132844607</v>
      </c>
      <c r="F3096">
        <f>IF($D3096 &gt; 16, 0,$E3096*$J$5)</f>
        <v>14451327.984088805</v>
      </c>
      <c r="G3096">
        <f t="shared" si="48"/>
        <v>6.4</v>
      </c>
    </row>
    <row r="3097" spans="2:7" x14ac:dyDescent="0.35">
      <c r="B3097" s="1">
        <v>45786</v>
      </c>
      <c r="C3097" s="2">
        <v>0.95833333333333337</v>
      </c>
      <c r="D3097">
        <v>8.4</v>
      </c>
      <c r="E3097">
        <f>IF($D3097 &gt; 16, 0, $J$3*(16 - $D3097))</f>
        <v>1578.8896845252971</v>
      </c>
      <c r="F3097">
        <f>IF($D3097 &gt; 16, 0,$E3097*$J$5)</f>
        <v>17160951.981105454</v>
      </c>
      <c r="G3097">
        <f t="shared" si="48"/>
        <v>7.6</v>
      </c>
    </row>
    <row r="3098" spans="2:7" x14ac:dyDescent="0.35">
      <c r="B3098" s="1">
        <v>45787</v>
      </c>
      <c r="C3098" s="2">
        <v>0</v>
      </c>
      <c r="D3098">
        <v>6.9</v>
      </c>
      <c r="E3098">
        <f>IF($D3098 &gt; 16, 0, $J$3*(16 - $D3098))</f>
        <v>1890.5126485763426</v>
      </c>
      <c r="F3098">
        <f>IF($D3098 &gt; 16, 0,$E3098*$J$5)</f>
        <v>20547981.977376267</v>
      </c>
      <c r="G3098">
        <f t="shared" si="48"/>
        <v>9.1</v>
      </c>
    </row>
    <row r="3099" spans="2:7" x14ac:dyDescent="0.35">
      <c r="B3099" s="1">
        <v>45787</v>
      </c>
      <c r="C3099" s="2">
        <v>4.1666666666666657E-2</v>
      </c>
      <c r="D3099">
        <v>5.0999999999999996</v>
      </c>
      <c r="E3099">
        <f>IF($D3099 &gt; 16, 0, $J$3*(16 - $D3099))</f>
        <v>2264.4602054375973</v>
      </c>
      <c r="F3099">
        <f>IF($D3099 &gt; 16, 0,$E3099*$J$5)</f>
        <v>24612417.972901244</v>
      </c>
      <c r="G3099">
        <f t="shared" si="48"/>
        <v>10.9</v>
      </c>
    </row>
    <row r="3100" spans="2:7" x14ac:dyDescent="0.35">
      <c r="B3100" s="1">
        <v>45787</v>
      </c>
      <c r="C3100" s="2">
        <v>8.3333333333333329E-2</v>
      </c>
      <c r="D3100">
        <v>5.4</v>
      </c>
      <c r="E3100">
        <f>IF($D3100 &gt; 16, 0, $J$3*(16 - $D3100))</f>
        <v>2202.1356126273881</v>
      </c>
      <c r="F3100">
        <f>IF($D3100 &gt; 16, 0,$E3100*$J$5)</f>
        <v>23935011.97364708</v>
      </c>
      <c r="G3100">
        <f t="shared" si="48"/>
        <v>10.6</v>
      </c>
    </row>
    <row r="3101" spans="2:7" x14ac:dyDescent="0.35">
      <c r="B3101" s="1">
        <v>45787</v>
      </c>
      <c r="C3101" s="2">
        <v>0.125</v>
      </c>
      <c r="D3101">
        <v>5.4</v>
      </c>
      <c r="E3101">
        <f>IF($D3101 &gt; 16, 0, $J$3*(16 - $D3101))</f>
        <v>2202.1356126273881</v>
      </c>
      <c r="F3101">
        <f>IF($D3101 &gt; 16, 0,$E3101*$J$5)</f>
        <v>23935011.97364708</v>
      </c>
      <c r="G3101">
        <f t="shared" si="48"/>
        <v>10.6</v>
      </c>
    </row>
    <row r="3102" spans="2:7" x14ac:dyDescent="0.35">
      <c r="B3102" s="1">
        <v>45787</v>
      </c>
      <c r="C3102" s="2">
        <v>0.16666666666666671</v>
      </c>
      <c r="D3102">
        <v>5.7</v>
      </c>
      <c r="E3102">
        <f>IF($D3102 &gt; 16, 0, $J$3*(16 - $D3102))</f>
        <v>2139.8110198171789</v>
      </c>
      <c r="F3102">
        <f>IF($D3102 &gt; 16, 0,$E3102*$J$5)</f>
        <v>23257605.974392917</v>
      </c>
      <c r="G3102">
        <f t="shared" si="48"/>
        <v>10.3</v>
      </c>
    </row>
    <row r="3103" spans="2:7" x14ac:dyDescent="0.35">
      <c r="B3103" s="1">
        <v>45787</v>
      </c>
      <c r="C3103" s="2">
        <v>0.20833333333333329</v>
      </c>
      <c r="D3103">
        <v>7.5</v>
      </c>
      <c r="E3103">
        <f>IF($D3103 &gt; 16, 0, $J$3*(16 - $D3103))</f>
        <v>1765.8634629559244</v>
      </c>
      <c r="F3103">
        <f>IF($D3103 &gt; 16, 0,$E3103*$J$5)</f>
        <v>19193169.978867944</v>
      </c>
      <c r="G3103">
        <f t="shared" si="48"/>
        <v>8.5</v>
      </c>
    </row>
    <row r="3104" spans="2:7" x14ac:dyDescent="0.35">
      <c r="B3104" s="1">
        <v>45787</v>
      </c>
      <c r="C3104" s="2">
        <v>0.25</v>
      </c>
      <c r="D3104">
        <v>9</v>
      </c>
      <c r="E3104">
        <f>IF($D3104 &gt; 16, 0, $J$3*(16 - $D3104))</f>
        <v>1454.2404989048789</v>
      </c>
      <c r="F3104">
        <f>IF($D3104 &gt; 16, 0,$E3104*$J$5)</f>
        <v>15806139.982597129</v>
      </c>
      <c r="G3104">
        <f t="shared" si="48"/>
        <v>7</v>
      </c>
    </row>
    <row r="3105" spans="2:7" x14ac:dyDescent="0.35">
      <c r="B3105" s="1">
        <v>45787</v>
      </c>
      <c r="C3105" s="2">
        <v>0.29166666666666669</v>
      </c>
      <c r="D3105">
        <v>10.5</v>
      </c>
      <c r="E3105">
        <f>IF($D3105 &gt; 16, 0, $J$3*(16 - $D3105))</f>
        <v>1142.6175348538334</v>
      </c>
      <c r="F3105">
        <f>IF($D3105 &gt; 16, 0,$E3105*$J$5)</f>
        <v>12419109.986326315</v>
      </c>
      <c r="G3105">
        <f t="shared" si="48"/>
        <v>5.5</v>
      </c>
    </row>
    <row r="3106" spans="2:7" x14ac:dyDescent="0.35">
      <c r="B3106" s="1">
        <v>45787</v>
      </c>
      <c r="C3106" s="2">
        <v>0.33333333333333331</v>
      </c>
      <c r="D3106">
        <v>12.5</v>
      </c>
      <c r="E3106">
        <f>IF($D3106 &gt; 16, 0, $J$3*(16 - $D3106))</f>
        <v>727.12024945243945</v>
      </c>
      <c r="F3106">
        <f>IF($D3106 &gt; 16, 0,$E3106*$J$5)</f>
        <v>7903069.9912985647</v>
      </c>
      <c r="G3106">
        <f t="shared" si="48"/>
        <v>3.5</v>
      </c>
    </row>
    <row r="3107" spans="2:7" x14ac:dyDescent="0.35">
      <c r="B3107" s="1">
        <v>45787</v>
      </c>
      <c r="C3107" s="2">
        <v>0.375</v>
      </c>
      <c r="D3107">
        <v>13.5</v>
      </c>
      <c r="E3107">
        <f>IF($D3107 &gt; 16, 0, $J$3*(16 - $D3107))</f>
        <v>519.37160675174243</v>
      </c>
      <c r="F3107">
        <f>IF($D3107 &gt; 16, 0,$E3107*$J$5)</f>
        <v>5645049.9937846884</v>
      </c>
      <c r="G3107">
        <f t="shared" si="48"/>
        <v>2.5</v>
      </c>
    </row>
    <row r="3108" spans="2:7" x14ac:dyDescent="0.35">
      <c r="B3108" s="1">
        <v>45787</v>
      </c>
      <c r="C3108" s="2">
        <v>0.41666666666666669</v>
      </c>
      <c r="D3108">
        <v>14.1</v>
      </c>
      <c r="E3108">
        <f>IF($D3108 &gt; 16, 0, $J$3*(16 - $D3108))</f>
        <v>394.72242113132438</v>
      </c>
      <c r="F3108">
        <f>IF($D3108 &gt; 16, 0,$E3108*$J$5)</f>
        <v>4290237.9952763645</v>
      </c>
      <c r="G3108">
        <f t="shared" si="48"/>
        <v>1.9000000000000004</v>
      </c>
    </row>
    <row r="3109" spans="2:7" x14ac:dyDescent="0.35">
      <c r="B3109" s="1">
        <v>45787</v>
      </c>
      <c r="C3109" s="2">
        <v>0.45833333333333331</v>
      </c>
      <c r="D3109">
        <v>14.6</v>
      </c>
      <c r="E3109">
        <f>IF($D3109 &gt; 16, 0, $J$3*(16 - $D3109))</f>
        <v>290.84809978097587</v>
      </c>
      <c r="F3109">
        <f>IF($D3109 &gt; 16, 0,$E3109*$J$5)</f>
        <v>3161227.9965194268</v>
      </c>
      <c r="G3109">
        <f t="shared" si="48"/>
        <v>1.4000000000000004</v>
      </c>
    </row>
    <row r="3110" spans="2:7" x14ac:dyDescent="0.35">
      <c r="B3110" s="1">
        <v>45787</v>
      </c>
      <c r="C3110" s="2">
        <v>0.5</v>
      </c>
      <c r="D3110">
        <v>15.4</v>
      </c>
      <c r="E3110">
        <f>IF($D3110 &gt; 16, 0, $J$3*(16 - $D3110))</f>
        <v>124.64918562041812</v>
      </c>
      <c r="F3110">
        <f>IF($D3110 &gt; 16, 0,$E3110*$J$5)</f>
        <v>1354811.9985083246</v>
      </c>
      <c r="G3110">
        <f t="shared" si="48"/>
        <v>0.59999999999999964</v>
      </c>
    </row>
    <row r="3111" spans="2:7" x14ac:dyDescent="0.35">
      <c r="B3111" s="1">
        <v>45787</v>
      </c>
      <c r="C3111" s="2">
        <v>0.54166666666666663</v>
      </c>
      <c r="D3111">
        <v>15.9</v>
      </c>
      <c r="E3111">
        <f>IF($D3111 &gt; 16, 0, $J$3*(16 - $D3111))</f>
        <v>20.774864270069624</v>
      </c>
      <c r="F3111">
        <f>IF($D3111 &gt; 16, 0,$E3111*$J$5)</f>
        <v>225801.99975138676</v>
      </c>
      <c r="G3111">
        <f t="shared" si="48"/>
        <v>9.9999999999999645E-2</v>
      </c>
    </row>
    <row r="3112" spans="2:7" x14ac:dyDescent="0.35">
      <c r="B3112" s="1">
        <v>45787</v>
      </c>
      <c r="C3112" s="2">
        <v>0.58333333333333337</v>
      </c>
      <c r="D3112">
        <v>16.399999999999999</v>
      </c>
      <c r="E3112">
        <f>IF($D3112 &gt; 16, 0, $J$3*(16 - $D3112))</f>
        <v>0</v>
      </c>
      <c r="F3112">
        <f>IF($D3112 &gt; 16, 0,$E3112*$J$5)</f>
        <v>0</v>
      </c>
      <c r="G3112">
        <f t="shared" si="48"/>
        <v>0</v>
      </c>
    </row>
    <row r="3113" spans="2:7" x14ac:dyDescent="0.35">
      <c r="B3113" s="1">
        <v>45787</v>
      </c>
      <c r="C3113" s="2">
        <v>0.625</v>
      </c>
      <c r="D3113">
        <v>16.600000000000001</v>
      </c>
      <c r="E3113">
        <f>IF($D3113 &gt; 16, 0, $J$3*(16 - $D3113))</f>
        <v>0</v>
      </c>
      <c r="F3113">
        <f>IF($D3113 &gt; 16, 0,$E3113*$J$5)</f>
        <v>0</v>
      </c>
      <c r="G3113">
        <f t="shared" si="48"/>
        <v>0</v>
      </c>
    </row>
    <row r="3114" spans="2:7" x14ac:dyDescent="0.35">
      <c r="B3114" s="1">
        <v>45787</v>
      </c>
      <c r="C3114" s="2">
        <v>0.66666666666666663</v>
      </c>
      <c r="D3114">
        <v>16.2</v>
      </c>
      <c r="E3114">
        <f>IF($D3114 &gt; 16, 0, $J$3*(16 - $D3114))</f>
        <v>0</v>
      </c>
      <c r="F3114">
        <f>IF($D3114 &gt; 16, 0,$E3114*$J$5)</f>
        <v>0</v>
      </c>
      <c r="G3114">
        <f t="shared" si="48"/>
        <v>0</v>
      </c>
    </row>
    <row r="3115" spans="2:7" x14ac:dyDescent="0.35">
      <c r="B3115" s="1">
        <v>45787</v>
      </c>
      <c r="C3115" s="2">
        <v>0.70833333333333337</v>
      </c>
      <c r="D3115">
        <v>16</v>
      </c>
      <c r="E3115">
        <f>IF($D3115 &gt; 16, 0, $J$3*(16 - $D3115))</f>
        <v>0</v>
      </c>
      <c r="F3115">
        <f>IF($D3115 &gt; 16, 0,$E3115*$J$5)</f>
        <v>0</v>
      </c>
      <c r="G3115">
        <f t="shared" si="48"/>
        <v>0</v>
      </c>
    </row>
    <row r="3116" spans="2:7" x14ac:dyDescent="0.35">
      <c r="B3116" s="1">
        <v>45787</v>
      </c>
      <c r="C3116" s="2">
        <v>0.75</v>
      </c>
      <c r="D3116">
        <v>15.7</v>
      </c>
      <c r="E3116">
        <f>IF($D3116 &gt; 16, 0, $J$3*(16 - $D3116))</f>
        <v>62.324592810209246</v>
      </c>
      <c r="F3116">
        <f>IF($D3116 &gt; 16, 0,$E3116*$J$5)</f>
        <v>677405.99925416429</v>
      </c>
      <c r="G3116">
        <f t="shared" si="48"/>
        <v>0.30000000000000071</v>
      </c>
    </row>
    <row r="3117" spans="2:7" x14ac:dyDescent="0.35">
      <c r="B3117" s="1">
        <v>45787</v>
      </c>
      <c r="C3117" s="2">
        <v>0.79166666666666663</v>
      </c>
      <c r="D3117">
        <v>15.2</v>
      </c>
      <c r="E3117">
        <f>IF($D3117 &gt; 16, 0, $J$3*(16 - $D3117))</f>
        <v>166.19891416055773</v>
      </c>
      <c r="F3117">
        <f>IF($D3117 &gt; 16, 0,$E3117*$J$5)</f>
        <v>1806415.998011102</v>
      </c>
      <c r="G3117">
        <f t="shared" si="48"/>
        <v>0.80000000000000071</v>
      </c>
    </row>
    <row r="3118" spans="2:7" x14ac:dyDescent="0.35">
      <c r="B3118" s="1">
        <v>45787</v>
      </c>
      <c r="C3118" s="2">
        <v>0.83333333333333337</v>
      </c>
      <c r="D3118">
        <v>13.9</v>
      </c>
      <c r="E3118">
        <f>IF($D3118 &gt; 16, 0, $J$3*(16 - $D3118))</f>
        <v>436.27214967146358</v>
      </c>
      <c r="F3118">
        <f>IF($D3118 &gt; 16, 0,$E3118*$J$5)</f>
        <v>4741841.9947791379</v>
      </c>
      <c r="G3118">
        <f t="shared" si="48"/>
        <v>2.0999999999999996</v>
      </c>
    </row>
    <row r="3119" spans="2:7" x14ac:dyDescent="0.35">
      <c r="B3119" s="1">
        <v>45787</v>
      </c>
      <c r="C3119" s="2">
        <v>0.875</v>
      </c>
      <c r="D3119">
        <v>12.2</v>
      </c>
      <c r="E3119">
        <f>IF($D3119 &gt; 16, 0, $J$3*(16 - $D3119))</f>
        <v>789.44484226264876</v>
      </c>
      <c r="F3119">
        <f>IF($D3119 &gt; 16, 0,$E3119*$J$5)</f>
        <v>8580475.990552729</v>
      </c>
      <c r="G3119">
        <f t="shared" si="48"/>
        <v>3.8000000000000007</v>
      </c>
    </row>
    <row r="3120" spans="2:7" x14ac:dyDescent="0.35">
      <c r="B3120" s="1">
        <v>45787</v>
      </c>
      <c r="C3120" s="2">
        <v>0.91666666666666663</v>
      </c>
      <c r="D3120">
        <v>11.1</v>
      </c>
      <c r="E3120">
        <f>IF($D3120 &gt; 16, 0, $J$3*(16 - $D3120))</f>
        <v>1017.9683492334153</v>
      </c>
      <c r="F3120">
        <f>IF($D3120 &gt; 16, 0,$E3120*$J$5)</f>
        <v>11064297.987817992</v>
      </c>
      <c r="G3120">
        <f t="shared" si="48"/>
        <v>4.9000000000000004</v>
      </c>
    </row>
    <row r="3121" spans="2:7" x14ac:dyDescent="0.35">
      <c r="B3121" s="1">
        <v>45787</v>
      </c>
      <c r="C3121" s="2">
        <v>0.95833333333333337</v>
      </c>
      <c r="D3121">
        <v>9.6999999999999993</v>
      </c>
      <c r="E3121">
        <f>IF($D3121 &gt; 16, 0, $J$3*(16 - $D3121))</f>
        <v>1308.8164490143911</v>
      </c>
      <c r="F3121">
        <f>IF($D3121 &gt; 16, 0,$E3121*$J$5)</f>
        <v>14225525.984337417</v>
      </c>
      <c r="G3121">
        <f t="shared" si="48"/>
        <v>6.3000000000000007</v>
      </c>
    </row>
    <row r="3122" spans="2:7" x14ac:dyDescent="0.35">
      <c r="B3122" s="1">
        <v>45788</v>
      </c>
      <c r="C3122" s="2">
        <v>0</v>
      </c>
      <c r="D3122">
        <v>8.9</v>
      </c>
      <c r="E3122">
        <f>IF($D3122 &gt; 16, 0, $J$3*(16 - $D3122))</f>
        <v>1475.0153631749486</v>
      </c>
      <c r="F3122">
        <f>IF($D3122 &gt; 16, 0,$E3122*$J$5)</f>
        <v>16031941.982348517</v>
      </c>
      <c r="G3122">
        <f t="shared" si="48"/>
        <v>7.1</v>
      </c>
    </row>
    <row r="3123" spans="2:7" x14ac:dyDescent="0.35">
      <c r="B3123" s="1">
        <v>45788</v>
      </c>
      <c r="C3123" s="2">
        <v>4.1666666666666657E-2</v>
      </c>
      <c r="D3123">
        <v>9.1999999999999993</v>
      </c>
      <c r="E3123">
        <f>IF($D3123 &gt; 16, 0, $J$3*(16 - $D3123))</f>
        <v>1412.6907703647396</v>
      </c>
      <c r="F3123">
        <f>IF($D3123 &gt; 16, 0,$E3123*$J$5)</f>
        <v>15354535.983094355</v>
      </c>
      <c r="G3123">
        <f t="shared" si="48"/>
        <v>6.8000000000000007</v>
      </c>
    </row>
    <row r="3124" spans="2:7" x14ac:dyDescent="0.35">
      <c r="B3124" s="1">
        <v>45788</v>
      </c>
      <c r="C3124" s="2">
        <v>8.3333333333333329E-2</v>
      </c>
      <c r="D3124">
        <v>8.9</v>
      </c>
      <c r="E3124">
        <f>IF($D3124 &gt; 16, 0, $J$3*(16 - $D3124))</f>
        <v>1475.0153631749486</v>
      </c>
      <c r="F3124">
        <f>IF($D3124 &gt; 16, 0,$E3124*$J$5)</f>
        <v>16031941.982348517</v>
      </c>
      <c r="G3124">
        <f t="shared" si="48"/>
        <v>7.1</v>
      </c>
    </row>
    <row r="3125" spans="2:7" x14ac:dyDescent="0.35">
      <c r="B3125" s="1">
        <v>45788</v>
      </c>
      <c r="C3125" s="2">
        <v>0.125</v>
      </c>
      <c r="D3125">
        <v>8.1999999999999993</v>
      </c>
      <c r="E3125">
        <f>IF($D3125 &gt; 16, 0, $J$3*(16 - $D3125))</f>
        <v>1620.4394130654366</v>
      </c>
      <c r="F3125">
        <f>IF($D3125 &gt; 16, 0,$E3125*$J$5)</f>
        <v>17612555.980608232</v>
      </c>
      <c r="G3125">
        <f t="shared" si="48"/>
        <v>7.8000000000000007</v>
      </c>
    </row>
    <row r="3126" spans="2:7" x14ac:dyDescent="0.35">
      <c r="B3126" s="1">
        <v>45788</v>
      </c>
      <c r="C3126" s="2">
        <v>0.16666666666666671</v>
      </c>
      <c r="D3126">
        <v>8.1</v>
      </c>
      <c r="E3126">
        <f>IF($D3126 &gt; 16, 0, $J$3*(16 - $D3126))</f>
        <v>1641.2142773355063</v>
      </c>
      <c r="F3126">
        <f>IF($D3126 &gt; 16, 0,$E3126*$J$5)</f>
        <v>17838357.980359618</v>
      </c>
      <c r="G3126">
        <f t="shared" si="48"/>
        <v>7.9</v>
      </c>
    </row>
    <row r="3127" spans="2:7" x14ac:dyDescent="0.35">
      <c r="B3127" s="1">
        <v>45788</v>
      </c>
      <c r="C3127" s="2">
        <v>0.20833333333333329</v>
      </c>
      <c r="D3127">
        <v>8.6999999999999993</v>
      </c>
      <c r="E3127">
        <f>IF($D3127 &gt; 16, 0, $J$3*(16 - $D3127))</f>
        <v>1516.5650917150881</v>
      </c>
      <c r="F3127">
        <f>IF($D3127 &gt; 16, 0,$E3127*$J$5)</f>
        <v>16483545.981851293</v>
      </c>
      <c r="G3127">
        <f t="shared" si="48"/>
        <v>7.3000000000000007</v>
      </c>
    </row>
    <row r="3128" spans="2:7" x14ac:dyDescent="0.35">
      <c r="B3128" s="1">
        <v>45788</v>
      </c>
      <c r="C3128" s="2">
        <v>0.25</v>
      </c>
      <c r="D3128">
        <v>9.9</v>
      </c>
      <c r="E3128">
        <f>IF($D3128 &gt; 16, 0, $J$3*(16 - $D3128))</f>
        <v>1267.2667204742515</v>
      </c>
      <c r="F3128">
        <f>IF($D3128 &gt; 16, 0,$E3128*$J$5)</f>
        <v>13773921.984834639</v>
      </c>
      <c r="G3128">
        <f t="shared" si="48"/>
        <v>6.1</v>
      </c>
    </row>
    <row r="3129" spans="2:7" x14ac:dyDescent="0.35">
      <c r="B3129" s="1">
        <v>45788</v>
      </c>
      <c r="C3129" s="2">
        <v>0.29166666666666669</v>
      </c>
      <c r="D3129">
        <v>11.7</v>
      </c>
      <c r="E3129">
        <f>IF($D3129 &gt; 16, 0, $J$3*(16 - $D3129))</f>
        <v>893.31916361299716</v>
      </c>
      <c r="F3129">
        <f>IF($D3129 &gt; 16, 0,$E3129*$J$5)</f>
        <v>9709485.9893096667</v>
      </c>
      <c r="G3129">
        <f t="shared" si="48"/>
        <v>4.3000000000000007</v>
      </c>
    </row>
    <row r="3130" spans="2:7" x14ac:dyDescent="0.35">
      <c r="B3130" s="1">
        <v>45788</v>
      </c>
      <c r="C3130" s="2">
        <v>0.33333333333333331</v>
      </c>
      <c r="D3130">
        <v>13.7</v>
      </c>
      <c r="E3130">
        <f>IF($D3130 &gt; 16, 0, $J$3*(16 - $D3130))</f>
        <v>477.82187821160323</v>
      </c>
      <c r="F3130">
        <f>IF($D3130 &gt; 16, 0,$E3130*$J$5)</f>
        <v>5193445.9942819159</v>
      </c>
      <c r="G3130">
        <f t="shared" si="48"/>
        <v>2.3000000000000007</v>
      </c>
    </row>
    <row r="3131" spans="2:7" x14ac:dyDescent="0.35">
      <c r="B3131" s="1">
        <v>45788</v>
      </c>
      <c r="C3131" s="2">
        <v>0.375</v>
      </c>
      <c r="D3131">
        <v>14.3</v>
      </c>
      <c r="E3131">
        <f>IF($D3131 &gt; 16, 0, $J$3*(16 - $D3131))</f>
        <v>353.17269259118473</v>
      </c>
      <c r="F3131">
        <f>IF($D3131 &gt; 16, 0,$E3131*$J$5)</f>
        <v>3838633.9957735869</v>
      </c>
      <c r="G3131">
        <f t="shared" si="48"/>
        <v>1.6999999999999993</v>
      </c>
    </row>
    <row r="3132" spans="2:7" x14ac:dyDescent="0.35">
      <c r="B3132" s="1">
        <v>45788</v>
      </c>
      <c r="C3132" s="2">
        <v>0.41666666666666669</v>
      </c>
      <c r="D3132">
        <v>14.6</v>
      </c>
      <c r="E3132">
        <f>IF($D3132 &gt; 16, 0, $J$3*(16 - $D3132))</f>
        <v>290.84809978097587</v>
      </c>
      <c r="F3132">
        <f>IF($D3132 &gt; 16, 0,$E3132*$J$5)</f>
        <v>3161227.9965194268</v>
      </c>
      <c r="G3132">
        <f t="shared" si="48"/>
        <v>1.4000000000000004</v>
      </c>
    </row>
    <row r="3133" spans="2:7" x14ac:dyDescent="0.35">
      <c r="B3133" s="1">
        <v>45788</v>
      </c>
      <c r="C3133" s="2">
        <v>0.45833333333333331</v>
      </c>
      <c r="D3133">
        <v>14.8</v>
      </c>
      <c r="E3133">
        <f>IF($D3133 &gt; 16, 0, $J$3*(16 - $D3133))</f>
        <v>249.29837124083625</v>
      </c>
      <c r="F3133">
        <f>IF($D3133 &gt; 16, 0,$E3133*$J$5)</f>
        <v>2709623.9970166492</v>
      </c>
      <c r="G3133">
        <f t="shared" si="48"/>
        <v>1.1999999999999993</v>
      </c>
    </row>
    <row r="3134" spans="2:7" x14ac:dyDescent="0.35">
      <c r="B3134" s="1">
        <v>45788</v>
      </c>
      <c r="C3134" s="2">
        <v>0.5</v>
      </c>
      <c r="D3134">
        <v>15.1</v>
      </c>
      <c r="E3134">
        <f>IF($D3134 &gt; 16, 0, $J$3*(16 - $D3134))</f>
        <v>186.97377843062736</v>
      </c>
      <c r="F3134">
        <f>IF($D3134 &gt; 16, 0,$E3134*$J$5)</f>
        <v>2032217.9977624889</v>
      </c>
      <c r="G3134">
        <f t="shared" si="48"/>
        <v>0.90000000000000036</v>
      </c>
    </row>
    <row r="3135" spans="2:7" x14ac:dyDescent="0.35">
      <c r="B3135" s="1">
        <v>45788</v>
      </c>
      <c r="C3135" s="2">
        <v>0.54166666666666663</v>
      </c>
      <c r="D3135">
        <v>15.2</v>
      </c>
      <c r="E3135">
        <f>IF($D3135 &gt; 16, 0, $J$3*(16 - $D3135))</f>
        <v>166.19891416055773</v>
      </c>
      <c r="F3135">
        <f>IF($D3135 &gt; 16, 0,$E3135*$J$5)</f>
        <v>1806415.998011102</v>
      </c>
      <c r="G3135">
        <f t="shared" si="48"/>
        <v>0.80000000000000071</v>
      </c>
    </row>
    <row r="3136" spans="2:7" x14ac:dyDescent="0.35">
      <c r="B3136" s="1">
        <v>45788</v>
      </c>
      <c r="C3136" s="2">
        <v>0.58333333333333337</v>
      </c>
      <c r="D3136">
        <v>15.6</v>
      </c>
      <c r="E3136">
        <f>IF($D3136 &gt; 16, 0, $J$3*(16 - $D3136))</f>
        <v>83.099457080278867</v>
      </c>
      <c r="F3136">
        <f>IF($D3136 &gt; 16, 0,$E3136*$J$5)</f>
        <v>903207.99900555098</v>
      </c>
      <c r="G3136">
        <f t="shared" si="48"/>
        <v>0.40000000000000036</v>
      </c>
    </row>
    <row r="3137" spans="2:7" x14ac:dyDescent="0.35">
      <c r="B3137" s="1">
        <v>45788</v>
      </c>
      <c r="C3137" s="2">
        <v>0.625</v>
      </c>
      <c r="D3137">
        <v>15.4</v>
      </c>
      <c r="E3137">
        <f>IF($D3137 &gt; 16, 0, $J$3*(16 - $D3137))</f>
        <v>124.64918562041812</v>
      </c>
      <c r="F3137">
        <f>IF($D3137 &gt; 16, 0,$E3137*$J$5)</f>
        <v>1354811.9985083246</v>
      </c>
      <c r="G3137">
        <f t="shared" si="48"/>
        <v>0.59999999999999964</v>
      </c>
    </row>
    <row r="3138" spans="2:7" x14ac:dyDescent="0.35">
      <c r="B3138" s="1">
        <v>45788</v>
      </c>
      <c r="C3138" s="2">
        <v>0.66666666666666663</v>
      </c>
      <c r="D3138">
        <v>15.7</v>
      </c>
      <c r="E3138">
        <f>IF($D3138 &gt; 16, 0, $J$3*(16 - $D3138))</f>
        <v>62.324592810209246</v>
      </c>
      <c r="F3138">
        <f>IF($D3138 &gt; 16, 0,$E3138*$J$5)</f>
        <v>677405.99925416429</v>
      </c>
      <c r="G3138">
        <f t="shared" si="48"/>
        <v>0.30000000000000071</v>
      </c>
    </row>
    <row r="3139" spans="2:7" x14ac:dyDescent="0.35">
      <c r="B3139" s="1">
        <v>45788</v>
      </c>
      <c r="C3139" s="2">
        <v>0.70833333333333337</v>
      </c>
      <c r="D3139">
        <v>15.2</v>
      </c>
      <c r="E3139">
        <f>IF($D3139 &gt; 16, 0, $J$3*(16 - $D3139))</f>
        <v>166.19891416055773</v>
      </c>
      <c r="F3139">
        <f>IF($D3139 &gt; 16, 0,$E3139*$J$5)</f>
        <v>1806415.998011102</v>
      </c>
      <c r="G3139">
        <f t="shared" ref="G3139:G3202" si="49">MAX(0, 16 - $D3139)</f>
        <v>0.80000000000000071</v>
      </c>
    </row>
    <row r="3140" spans="2:7" x14ac:dyDescent="0.35">
      <c r="B3140" s="1">
        <v>45788</v>
      </c>
      <c r="C3140" s="2">
        <v>0.75</v>
      </c>
      <c r="D3140">
        <v>14.8</v>
      </c>
      <c r="E3140">
        <f>IF($D3140 &gt; 16, 0, $J$3*(16 - $D3140))</f>
        <v>249.29837124083625</v>
      </c>
      <c r="F3140">
        <f>IF($D3140 &gt; 16, 0,$E3140*$J$5)</f>
        <v>2709623.9970166492</v>
      </c>
      <c r="G3140">
        <f t="shared" si="49"/>
        <v>1.1999999999999993</v>
      </c>
    </row>
    <row r="3141" spans="2:7" x14ac:dyDescent="0.35">
      <c r="B3141" s="1">
        <v>45788</v>
      </c>
      <c r="C3141" s="2">
        <v>0.79166666666666663</v>
      </c>
      <c r="D3141">
        <v>14.5</v>
      </c>
      <c r="E3141">
        <f>IF($D3141 &gt; 16, 0, $J$3*(16 - $D3141))</f>
        <v>311.62296405104547</v>
      </c>
      <c r="F3141">
        <f>IF($D3141 &gt; 16, 0,$E3141*$J$5)</f>
        <v>3387029.996270813</v>
      </c>
      <c r="G3141">
        <f t="shared" si="49"/>
        <v>1.5</v>
      </c>
    </row>
    <row r="3142" spans="2:7" x14ac:dyDescent="0.35">
      <c r="B3142" s="1">
        <v>45788</v>
      </c>
      <c r="C3142" s="2">
        <v>0.83333333333333337</v>
      </c>
      <c r="D3142">
        <v>12.5</v>
      </c>
      <c r="E3142">
        <f>IF($D3142 &gt; 16, 0, $J$3*(16 - $D3142))</f>
        <v>727.12024945243945</v>
      </c>
      <c r="F3142">
        <f>IF($D3142 &gt; 16, 0,$E3142*$J$5)</f>
        <v>7903069.9912985647</v>
      </c>
      <c r="G3142">
        <f t="shared" si="49"/>
        <v>3.5</v>
      </c>
    </row>
    <row r="3143" spans="2:7" x14ac:dyDescent="0.35">
      <c r="B3143" s="1">
        <v>45788</v>
      </c>
      <c r="C3143" s="2">
        <v>0.875</v>
      </c>
      <c r="D3143">
        <v>11.3</v>
      </c>
      <c r="E3143">
        <f>IF($D3143 &gt; 16, 0, $J$3*(16 - $D3143))</f>
        <v>976.41862069327567</v>
      </c>
      <c r="F3143">
        <f>IF($D3143 &gt; 16, 0,$E3143*$J$5)</f>
        <v>10612693.988315213</v>
      </c>
      <c r="G3143">
        <f t="shared" si="49"/>
        <v>4.6999999999999993</v>
      </c>
    </row>
    <row r="3144" spans="2:7" x14ac:dyDescent="0.35">
      <c r="B3144" s="1">
        <v>45788</v>
      </c>
      <c r="C3144" s="2">
        <v>0.91666666666666663</v>
      </c>
      <c r="D3144">
        <v>11.4</v>
      </c>
      <c r="E3144">
        <f>IF($D3144 &gt; 16, 0, $J$3*(16 - $D3144))</f>
        <v>955.64375642320613</v>
      </c>
      <c r="F3144">
        <f>IF($D3144 &gt; 16, 0,$E3144*$J$5)</f>
        <v>10386891.988563828</v>
      </c>
      <c r="G3144">
        <f t="shared" si="49"/>
        <v>4.5999999999999996</v>
      </c>
    </row>
    <row r="3145" spans="2:7" x14ac:dyDescent="0.35">
      <c r="B3145" s="1">
        <v>45788</v>
      </c>
      <c r="C3145" s="2">
        <v>0.95833333333333337</v>
      </c>
      <c r="D3145">
        <v>9.9</v>
      </c>
      <c r="E3145">
        <f>IF($D3145 &gt; 16, 0, $J$3*(16 - $D3145))</f>
        <v>1267.2667204742515</v>
      </c>
      <c r="F3145">
        <f>IF($D3145 &gt; 16, 0,$E3145*$J$5)</f>
        <v>13773921.984834639</v>
      </c>
      <c r="G3145">
        <f t="shared" si="49"/>
        <v>6.1</v>
      </c>
    </row>
    <row r="3146" spans="2:7" x14ac:dyDescent="0.35">
      <c r="B3146" s="1">
        <v>45789</v>
      </c>
      <c r="C3146" s="2">
        <v>0</v>
      </c>
      <c r="D3146">
        <v>9</v>
      </c>
      <c r="E3146">
        <f>IF($D3146 &gt; 16, 0, $J$3*(16 - $D3146))</f>
        <v>1454.2404989048789</v>
      </c>
      <c r="F3146">
        <f>IF($D3146 &gt; 16, 0,$E3146*$J$5)</f>
        <v>15806139.982597129</v>
      </c>
      <c r="G3146">
        <f t="shared" si="49"/>
        <v>7</v>
      </c>
    </row>
    <row r="3147" spans="2:7" x14ac:dyDescent="0.35">
      <c r="B3147" s="1">
        <v>45789</v>
      </c>
      <c r="C3147" s="2">
        <v>4.1666666666666657E-2</v>
      </c>
      <c r="D3147">
        <v>8.1</v>
      </c>
      <c r="E3147">
        <f>IF($D3147 &gt; 16, 0, $J$3*(16 - $D3147))</f>
        <v>1641.2142773355063</v>
      </c>
      <c r="F3147">
        <f>IF($D3147 &gt; 16, 0,$E3147*$J$5)</f>
        <v>17838357.980359618</v>
      </c>
      <c r="G3147">
        <f t="shared" si="49"/>
        <v>7.9</v>
      </c>
    </row>
    <row r="3148" spans="2:7" x14ac:dyDescent="0.35">
      <c r="B3148" s="1">
        <v>45789</v>
      </c>
      <c r="C3148" s="2">
        <v>8.3333333333333329E-2</v>
      </c>
      <c r="D3148">
        <v>7.2</v>
      </c>
      <c r="E3148">
        <f>IF($D3148 &gt; 16, 0, $J$3*(16 - $D3148))</f>
        <v>1828.1880557661336</v>
      </c>
      <c r="F3148">
        <f>IF($D3148 &gt; 16, 0,$E3148*$J$5)</f>
        <v>19870575.978122108</v>
      </c>
      <c r="G3148">
        <f t="shared" si="49"/>
        <v>8.8000000000000007</v>
      </c>
    </row>
    <row r="3149" spans="2:7" x14ac:dyDescent="0.35">
      <c r="B3149" s="1">
        <v>45789</v>
      </c>
      <c r="C3149" s="2">
        <v>0.125</v>
      </c>
      <c r="D3149">
        <v>5.9</v>
      </c>
      <c r="E3149">
        <f>IF($D3149 &gt; 16, 0, $J$3*(16 - $D3149))</f>
        <v>2098.2612912770396</v>
      </c>
      <c r="F3149">
        <f>IF($D3149 &gt; 16, 0,$E3149*$J$5)</f>
        <v>22806001.974890143</v>
      </c>
      <c r="G3149">
        <f t="shared" si="49"/>
        <v>10.1</v>
      </c>
    </row>
    <row r="3150" spans="2:7" x14ac:dyDescent="0.35">
      <c r="B3150" s="1">
        <v>45789</v>
      </c>
      <c r="C3150" s="2">
        <v>0.16666666666666671</v>
      </c>
      <c r="D3150">
        <v>5.6</v>
      </c>
      <c r="E3150">
        <f>IF($D3150 &gt; 16, 0, $J$3*(16 - $D3150))</f>
        <v>2160.5858840872488</v>
      </c>
      <c r="F3150">
        <f>IF($D3150 &gt; 16, 0,$E3150*$J$5)</f>
        <v>23483407.974144306</v>
      </c>
      <c r="G3150">
        <f t="shared" si="49"/>
        <v>10.4</v>
      </c>
    </row>
    <row r="3151" spans="2:7" x14ac:dyDescent="0.35">
      <c r="B3151" s="1">
        <v>45789</v>
      </c>
      <c r="C3151" s="2">
        <v>0.20833333333333329</v>
      </c>
      <c r="D3151">
        <v>6.7</v>
      </c>
      <c r="E3151">
        <f>IF($D3151 &gt; 16, 0, $J$3*(16 - $D3151))</f>
        <v>1932.0623771164821</v>
      </c>
      <c r="F3151">
        <f>IF($D3151 &gt; 16, 0,$E3151*$J$5)</f>
        <v>20999585.976879045</v>
      </c>
      <c r="G3151">
        <f t="shared" si="49"/>
        <v>9.3000000000000007</v>
      </c>
    </row>
    <row r="3152" spans="2:7" x14ac:dyDescent="0.35">
      <c r="B3152" s="1">
        <v>45789</v>
      </c>
      <c r="C3152" s="2">
        <v>0.25</v>
      </c>
      <c r="D3152">
        <v>8.5</v>
      </c>
      <c r="E3152">
        <f>IF($D3152 &gt; 16, 0, $J$3*(16 - $D3152))</f>
        <v>1558.1148202552274</v>
      </c>
      <c r="F3152">
        <f>IF($D3152 &gt; 16, 0,$E3152*$J$5)</f>
        <v>16935149.981354065</v>
      </c>
      <c r="G3152">
        <f t="shared" si="49"/>
        <v>7.5</v>
      </c>
    </row>
    <row r="3153" spans="2:7" x14ac:dyDescent="0.35">
      <c r="B3153" s="1">
        <v>45789</v>
      </c>
      <c r="C3153" s="2">
        <v>0.29166666666666669</v>
      </c>
      <c r="D3153">
        <v>10</v>
      </c>
      <c r="E3153">
        <f>IF($D3153 &gt; 16, 0, $J$3*(16 - $D3153))</f>
        <v>1246.4918562041819</v>
      </c>
      <c r="F3153">
        <f>IF($D3153 &gt; 16, 0,$E3153*$J$5)</f>
        <v>13548119.985083252</v>
      </c>
      <c r="G3153">
        <f t="shared" si="49"/>
        <v>6</v>
      </c>
    </row>
    <row r="3154" spans="2:7" x14ac:dyDescent="0.35">
      <c r="B3154" s="1">
        <v>45789</v>
      </c>
      <c r="C3154" s="2">
        <v>0.33333333333333331</v>
      </c>
      <c r="D3154">
        <v>12.1</v>
      </c>
      <c r="E3154">
        <f>IF($D3154 &gt; 16, 0, $J$3*(16 - $D3154))</f>
        <v>810.21970653271831</v>
      </c>
      <c r="F3154">
        <f>IF($D3154 &gt; 16, 0,$E3154*$J$5)</f>
        <v>8806277.9903041162</v>
      </c>
      <c r="G3154">
        <f t="shared" si="49"/>
        <v>3.9000000000000004</v>
      </c>
    </row>
    <row r="3155" spans="2:7" x14ac:dyDescent="0.35">
      <c r="B3155" s="1">
        <v>45789</v>
      </c>
      <c r="C3155" s="2">
        <v>0.375</v>
      </c>
      <c r="D3155">
        <v>13.1</v>
      </c>
      <c r="E3155">
        <f>IF($D3155 &gt; 16, 0, $J$3*(16 - $D3155))</f>
        <v>602.4710638320214</v>
      </c>
      <c r="F3155">
        <f>IF($D3155 &gt; 16, 0,$E3155*$J$5)</f>
        <v>6548257.9927902408</v>
      </c>
      <c r="G3155">
        <f t="shared" si="49"/>
        <v>2.9000000000000004</v>
      </c>
    </row>
    <row r="3156" spans="2:7" x14ac:dyDescent="0.35">
      <c r="B3156" s="1">
        <v>45789</v>
      </c>
      <c r="C3156" s="2">
        <v>0.41666666666666669</v>
      </c>
      <c r="D3156">
        <v>13.9</v>
      </c>
      <c r="E3156">
        <f>IF($D3156 &gt; 16, 0, $J$3*(16 - $D3156))</f>
        <v>436.27214967146358</v>
      </c>
      <c r="F3156">
        <f>IF($D3156 &gt; 16, 0,$E3156*$J$5)</f>
        <v>4741841.9947791379</v>
      </c>
      <c r="G3156">
        <f t="shared" si="49"/>
        <v>2.0999999999999996</v>
      </c>
    </row>
    <row r="3157" spans="2:7" x14ac:dyDescent="0.35">
      <c r="B3157" s="1">
        <v>45789</v>
      </c>
      <c r="C3157" s="2">
        <v>0.45833333333333331</v>
      </c>
      <c r="D3157">
        <v>14.7</v>
      </c>
      <c r="E3157">
        <f>IF($D3157 &gt; 16, 0, $J$3*(16 - $D3157))</f>
        <v>270.07323551090622</v>
      </c>
      <c r="F3157">
        <f>IF($D3157 &gt; 16, 0,$E3157*$J$5)</f>
        <v>2935425.9967680397</v>
      </c>
      <c r="G3157">
        <f t="shared" si="49"/>
        <v>1.3000000000000007</v>
      </c>
    </row>
    <row r="3158" spans="2:7" x14ac:dyDescent="0.35">
      <c r="B3158" s="1">
        <v>45789</v>
      </c>
      <c r="C3158" s="2">
        <v>0.5</v>
      </c>
      <c r="D3158">
        <v>15.4</v>
      </c>
      <c r="E3158">
        <f>IF($D3158 &gt; 16, 0, $J$3*(16 - $D3158))</f>
        <v>124.64918562041812</v>
      </c>
      <c r="F3158">
        <f>IF($D3158 &gt; 16, 0,$E3158*$J$5)</f>
        <v>1354811.9985083246</v>
      </c>
      <c r="G3158">
        <f t="shared" si="49"/>
        <v>0.59999999999999964</v>
      </c>
    </row>
    <row r="3159" spans="2:7" x14ac:dyDescent="0.35">
      <c r="B3159" s="1">
        <v>45789</v>
      </c>
      <c r="C3159" s="2">
        <v>0.54166666666666663</v>
      </c>
      <c r="D3159">
        <v>16.2</v>
      </c>
      <c r="E3159">
        <f>IF($D3159 &gt; 16, 0, $J$3*(16 - $D3159))</f>
        <v>0</v>
      </c>
      <c r="F3159">
        <f>IF($D3159 &gt; 16, 0,$E3159*$J$5)</f>
        <v>0</v>
      </c>
      <c r="G3159">
        <f t="shared" si="49"/>
        <v>0</v>
      </c>
    </row>
    <row r="3160" spans="2:7" x14ac:dyDescent="0.35">
      <c r="B3160" s="1">
        <v>45789</v>
      </c>
      <c r="C3160" s="2">
        <v>0.58333333333333337</v>
      </c>
      <c r="D3160">
        <v>16.399999999999999</v>
      </c>
      <c r="E3160">
        <f>IF($D3160 &gt; 16, 0, $J$3*(16 - $D3160))</f>
        <v>0</v>
      </c>
      <c r="F3160">
        <f>IF($D3160 &gt; 16, 0,$E3160*$J$5)</f>
        <v>0</v>
      </c>
      <c r="G3160">
        <f t="shared" si="49"/>
        <v>0</v>
      </c>
    </row>
    <row r="3161" spans="2:7" x14ac:dyDescent="0.35">
      <c r="B3161" s="1">
        <v>45789</v>
      </c>
      <c r="C3161" s="2">
        <v>0.625</v>
      </c>
      <c r="D3161">
        <v>15.8</v>
      </c>
      <c r="E3161">
        <f>IF($D3161 &gt; 16, 0, $J$3*(16 - $D3161))</f>
        <v>41.549728540139249</v>
      </c>
      <c r="F3161">
        <f>IF($D3161 &gt; 16, 0,$E3161*$J$5)</f>
        <v>451603.99950277351</v>
      </c>
      <c r="G3161">
        <f t="shared" si="49"/>
        <v>0.19999999999999929</v>
      </c>
    </row>
    <row r="3162" spans="2:7" x14ac:dyDescent="0.35">
      <c r="B3162" s="1">
        <v>45789</v>
      </c>
      <c r="C3162" s="2">
        <v>0.66666666666666663</v>
      </c>
      <c r="D3162">
        <v>15.2</v>
      </c>
      <c r="E3162">
        <f>IF($D3162 &gt; 16, 0, $J$3*(16 - $D3162))</f>
        <v>166.19891416055773</v>
      </c>
      <c r="F3162">
        <f>IF($D3162 &gt; 16, 0,$E3162*$J$5)</f>
        <v>1806415.998011102</v>
      </c>
      <c r="G3162">
        <f t="shared" si="49"/>
        <v>0.80000000000000071</v>
      </c>
    </row>
    <row r="3163" spans="2:7" x14ac:dyDescent="0.35">
      <c r="B3163" s="1">
        <v>45789</v>
      </c>
      <c r="C3163" s="2">
        <v>0.70833333333333337</v>
      </c>
      <c r="D3163">
        <v>14.6</v>
      </c>
      <c r="E3163">
        <f>IF($D3163 &gt; 16, 0, $J$3*(16 - $D3163))</f>
        <v>290.84809978097587</v>
      </c>
      <c r="F3163">
        <f>IF($D3163 &gt; 16, 0,$E3163*$J$5)</f>
        <v>3161227.9965194268</v>
      </c>
      <c r="G3163">
        <f t="shared" si="49"/>
        <v>1.4000000000000004</v>
      </c>
    </row>
    <row r="3164" spans="2:7" x14ac:dyDescent="0.35">
      <c r="B3164" s="1">
        <v>45789</v>
      </c>
      <c r="C3164" s="2">
        <v>0.75</v>
      </c>
      <c r="D3164">
        <v>13.7</v>
      </c>
      <c r="E3164">
        <f>IF($D3164 &gt; 16, 0, $J$3*(16 - $D3164))</f>
        <v>477.82187821160323</v>
      </c>
      <c r="F3164">
        <f>IF($D3164 &gt; 16, 0,$E3164*$J$5)</f>
        <v>5193445.9942819159</v>
      </c>
      <c r="G3164">
        <f t="shared" si="49"/>
        <v>2.3000000000000007</v>
      </c>
    </row>
    <row r="3165" spans="2:7" x14ac:dyDescent="0.35">
      <c r="B3165" s="1">
        <v>45789</v>
      </c>
      <c r="C3165" s="2">
        <v>0.79166666666666663</v>
      </c>
      <c r="D3165">
        <v>11.9</v>
      </c>
      <c r="E3165">
        <f>IF($D3165 &gt; 16, 0, $J$3*(16 - $D3165))</f>
        <v>851.76943507285762</v>
      </c>
      <c r="F3165">
        <f>IF($D3165 &gt; 16, 0,$E3165*$J$5)</f>
        <v>9257881.9898068886</v>
      </c>
      <c r="G3165">
        <f t="shared" si="49"/>
        <v>4.0999999999999996</v>
      </c>
    </row>
    <row r="3166" spans="2:7" x14ac:dyDescent="0.35">
      <c r="B3166" s="1">
        <v>45789</v>
      </c>
      <c r="C3166" s="2">
        <v>0.83333333333333337</v>
      </c>
      <c r="D3166">
        <v>10.3</v>
      </c>
      <c r="E3166">
        <f>IF($D3166 &gt; 16, 0, $J$3*(16 - $D3166))</f>
        <v>1184.1672633939727</v>
      </c>
      <c r="F3166">
        <f>IF($D3166 &gt; 16, 0,$E3166*$J$5)</f>
        <v>12870713.985829089</v>
      </c>
      <c r="G3166">
        <f t="shared" si="49"/>
        <v>5.6999999999999993</v>
      </c>
    </row>
    <row r="3167" spans="2:7" x14ac:dyDescent="0.35">
      <c r="B3167" s="1">
        <v>45789</v>
      </c>
      <c r="C3167" s="2">
        <v>0.875</v>
      </c>
      <c r="D3167">
        <v>9.1</v>
      </c>
      <c r="E3167">
        <f>IF($D3167 &gt; 16, 0, $J$3*(16 - $D3167))</f>
        <v>1433.4656346348092</v>
      </c>
      <c r="F3167">
        <f>IF($D3167 &gt; 16, 0,$E3167*$J$5)</f>
        <v>15580337.982845742</v>
      </c>
      <c r="G3167">
        <f t="shared" si="49"/>
        <v>6.9</v>
      </c>
    </row>
    <row r="3168" spans="2:7" x14ac:dyDescent="0.35">
      <c r="B3168" s="1">
        <v>45789</v>
      </c>
      <c r="C3168" s="2">
        <v>0.91666666666666663</v>
      </c>
      <c r="D3168">
        <v>7.9</v>
      </c>
      <c r="E3168">
        <f>IF($D3168 &gt; 16, 0, $J$3*(16 - $D3168))</f>
        <v>1682.7640058756456</v>
      </c>
      <c r="F3168">
        <f>IF($D3168 &gt; 16, 0,$E3168*$J$5)</f>
        <v>18289961.979862392</v>
      </c>
      <c r="G3168">
        <f t="shared" si="49"/>
        <v>8.1</v>
      </c>
    </row>
    <row r="3169" spans="2:7" x14ac:dyDescent="0.35">
      <c r="B3169" s="1">
        <v>45789</v>
      </c>
      <c r="C3169" s="2">
        <v>0.95833333333333337</v>
      </c>
      <c r="D3169">
        <v>7.1</v>
      </c>
      <c r="E3169">
        <f>IF($D3169 &gt; 16, 0, $J$3*(16 - $D3169))</f>
        <v>1848.9629200362033</v>
      </c>
      <c r="F3169">
        <f>IF($D3169 &gt; 16, 0,$E3169*$J$5)</f>
        <v>20096377.977873493</v>
      </c>
      <c r="G3169">
        <f t="shared" si="49"/>
        <v>8.9</v>
      </c>
    </row>
    <row r="3170" spans="2:7" x14ac:dyDescent="0.35">
      <c r="B3170" s="1">
        <v>45790</v>
      </c>
      <c r="C3170" s="2">
        <v>0</v>
      </c>
      <c r="D3170">
        <v>6.1</v>
      </c>
      <c r="E3170">
        <f>IF($D3170 &gt; 16, 0, $J$3*(16 - $D3170))</f>
        <v>2056.7115627369003</v>
      </c>
      <c r="F3170">
        <f>IF($D3170 &gt; 16, 0,$E3170*$J$5)</f>
        <v>22354397.975387368</v>
      </c>
      <c r="G3170">
        <f t="shared" si="49"/>
        <v>9.9</v>
      </c>
    </row>
    <row r="3171" spans="2:7" x14ac:dyDescent="0.35">
      <c r="B3171" s="1">
        <v>45790</v>
      </c>
      <c r="C3171" s="2">
        <v>4.1666666666666657E-2</v>
      </c>
      <c r="D3171">
        <v>4</v>
      </c>
      <c r="E3171">
        <f>IF($D3171 &gt; 16, 0, $J$3*(16 - $D3171))</f>
        <v>2492.9837124083638</v>
      </c>
      <c r="F3171">
        <f>IF($D3171 &gt; 16, 0,$E3171*$J$5)</f>
        <v>27096239.970166504</v>
      </c>
      <c r="G3171">
        <f t="shared" si="49"/>
        <v>12</v>
      </c>
    </row>
    <row r="3172" spans="2:7" x14ac:dyDescent="0.35">
      <c r="B3172" s="1">
        <v>45790</v>
      </c>
      <c r="C3172" s="2">
        <v>8.3333333333333329E-2</v>
      </c>
      <c r="D3172">
        <v>4.2</v>
      </c>
      <c r="E3172">
        <f>IF($D3172 &gt; 16, 0, $J$3*(16 - $D3172))</f>
        <v>2451.4339838682245</v>
      </c>
      <c r="F3172">
        <f>IF($D3172 &gt; 16, 0,$E3172*$J$5)</f>
        <v>26644635.97066373</v>
      </c>
      <c r="G3172">
        <f t="shared" si="49"/>
        <v>11.8</v>
      </c>
    </row>
    <row r="3173" spans="2:7" x14ac:dyDescent="0.35">
      <c r="B3173" s="1">
        <v>45790</v>
      </c>
      <c r="C3173" s="2">
        <v>0.125</v>
      </c>
      <c r="D3173">
        <v>3.9</v>
      </c>
      <c r="E3173">
        <f>IF($D3173 &gt; 16, 0, $J$3*(16 - $D3173))</f>
        <v>2513.7585766784337</v>
      </c>
      <c r="F3173">
        <f>IF($D3173 &gt; 16, 0,$E3173*$J$5)</f>
        <v>27322041.969917897</v>
      </c>
      <c r="G3173">
        <f t="shared" si="49"/>
        <v>12.1</v>
      </c>
    </row>
    <row r="3174" spans="2:7" x14ac:dyDescent="0.35">
      <c r="B3174" s="1">
        <v>45790</v>
      </c>
      <c r="C3174" s="2">
        <v>0.16666666666666671</v>
      </c>
      <c r="D3174">
        <v>4</v>
      </c>
      <c r="E3174">
        <f>IF($D3174 &gt; 16, 0, $J$3*(16 - $D3174))</f>
        <v>2492.9837124083638</v>
      </c>
      <c r="F3174">
        <f>IF($D3174 &gt; 16, 0,$E3174*$J$5)</f>
        <v>27096239.970166504</v>
      </c>
      <c r="G3174">
        <f t="shared" si="49"/>
        <v>12</v>
      </c>
    </row>
    <row r="3175" spans="2:7" x14ac:dyDescent="0.35">
      <c r="B3175" s="1">
        <v>45790</v>
      </c>
      <c r="C3175" s="2">
        <v>0.20833333333333329</v>
      </c>
      <c r="D3175">
        <v>6.1</v>
      </c>
      <c r="E3175">
        <f>IF($D3175 &gt; 16, 0, $J$3*(16 - $D3175))</f>
        <v>2056.7115627369003</v>
      </c>
      <c r="F3175">
        <f>IF($D3175 &gt; 16, 0,$E3175*$J$5)</f>
        <v>22354397.975387368</v>
      </c>
      <c r="G3175">
        <f t="shared" si="49"/>
        <v>9.9</v>
      </c>
    </row>
    <row r="3176" spans="2:7" x14ac:dyDescent="0.35">
      <c r="B3176" s="1">
        <v>45790</v>
      </c>
      <c r="C3176" s="2">
        <v>0.25</v>
      </c>
      <c r="D3176">
        <v>9.5</v>
      </c>
      <c r="E3176">
        <f>IF($D3176 &gt; 16, 0, $J$3*(16 - $D3176))</f>
        <v>1350.3661775545304</v>
      </c>
      <c r="F3176">
        <f>IF($D3176 &gt; 16, 0,$E3176*$J$5)</f>
        <v>14677129.983840192</v>
      </c>
      <c r="G3176">
        <f t="shared" si="49"/>
        <v>6.5</v>
      </c>
    </row>
    <row r="3177" spans="2:7" x14ac:dyDescent="0.35">
      <c r="B3177" s="1">
        <v>45790</v>
      </c>
      <c r="C3177" s="2">
        <v>0.29166666666666669</v>
      </c>
      <c r="D3177">
        <v>12.4</v>
      </c>
      <c r="E3177">
        <f>IF($D3177 &gt; 16, 0, $J$3*(16 - $D3177))</f>
        <v>747.89511372250911</v>
      </c>
      <c r="F3177">
        <f>IF($D3177 &gt; 16, 0,$E3177*$J$5)</f>
        <v>8128871.9910499519</v>
      </c>
      <c r="G3177">
        <f t="shared" si="49"/>
        <v>3.5999999999999996</v>
      </c>
    </row>
    <row r="3178" spans="2:7" x14ac:dyDescent="0.35">
      <c r="B3178" s="1">
        <v>45790</v>
      </c>
      <c r="C3178" s="2">
        <v>0.33333333333333331</v>
      </c>
      <c r="D3178">
        <v>13.3</v>
      </c>
      <c r="E3178">
        <f>IF($D3178 &gt; 16, 0, $J$3*(16 - $D3178))</f>
        <v>560.92133529188175</v>
      </c>
      <c r="F3178">
        <f>IF($D3178 &gt; 16, 0,$E3178*$J$5)</f>
        <v>6096653.9932874627</v>
      </c>
      <c r="G3178">
        <f t="shared" si="49"/>
        <v>2.6999999999999993</v>
      </c>
    </row>
    <row r="3179" spans="2:7" x14ac:dyDescent="0.35">
      <c r="B3179" s="1">
        <v>45790</v>
      </c>
      <c r="C3179" s="2">
        <v>0.375</v>
      </c>
      <c r="D3179">
        <v>14</v>
      </c>
      <c r="E3179">
        <f>IF($D3179 &gt; 16, 0, $J$3*(16 - $D3179))</f>
        <v>415.49728540139398</v>
      </c>
      <c r="F3179">
        <f>IF($D3179 &gt; 16, 0,$E3179*$J$5)</f>
        <v>4516039.9950277507</v>
      </c>
      <c r="G3179">
        <f t="shared" si="49"/>
        <v>2</v>
      </c>
    </row>
    <row r="3180" spans="2:7" x14ac:dyDescent="0.35">
      <c r="B3180" s="1">
        <v>45790</v>
      </c>
      <c r="C3180" s="2">
        <v>0.41666666666666669</v>
      </c>
      <c r="D3180">
        <v>14.7</v>
      </c>
      <c r="E3180">
        <f>IF($D3180 &gt; 16, 0, $J$3*(16 - $D3180))</f>
        <v>270.07323551090622</v>
      </c>
      <c r="F3180">
        <f>IF($D3180 &gt; 16, 0,$E3180*$J$5)</f>
        <v>2935425.9967680397</v>
      </c>
      <c r="G3180">
        <f t="shared" si="49"/>
        <v>1.3000000000000007</v>
      </c>
    </row>
    <row r="3181" spans="2:7" x14ac:dyDescent="0.35">
      <c r="B3181" s="1">
        <v>45790</v>
      </c>
      <c r="C3181" s="2">
        <v>0.45833333333333331</v>
      </c>
      <c r="D3181">
        <v>15.2</v>
      </c>
      <c r="E3181">
        <f>IF($D3181 &gt; 16, 0, $J$3*(16 - $D3181))</f>
        <v>166.19891416055773</v>
      </c>
      <c r="F3181">
        <f>IF($D3181 &gt; 16, 0,$E3181*$J$5)</f>
        <v>1806415.998011102</v>
      </c>
      <c r="G3181">
        <f t="shared" si="49"/>
        <v>0.80000000000000071</v>
      </c>
    </row>
    <row r="3182" spans="2:7" x14ac:dyDescent="0.35">
      <c r="B3182" s="1">
        <v>45790</v>
      </c>
      <c r="C3182" s="2">
        <v>0.5</v>
      </c>
      <c r="D3182">
        <v>15.7</v>
      </c>
      <c r="E3182">
        <f>IF($D3182 &gt; 16, 0, $J$3*(16 - $D3182))</f>
        <v>62.324592810209246</v>
      </c>
      <c r="F3182">
        <f>IF($D3182 &gt; 16, 0,$E3182*$J$5)</f>
        <v>677405.99925416429</v>
      </c>
      <c r="G3182">
        <f t="shared" si="49"/>
        <v>0.30000000000000071</v>
      </c>
    </row>
    <row r="3183" spans="2:7" x14ac:dyDescent="0.35">
      <c r="B3183" s="1">
        <v>45790</v>
      </c>
      <c r="C3183" s="2">
        <v>0.54166666666666663</v>
      </c>
      <c r="D3183">
        <v>16.399999999999999</v>
      </c>
      <c r="E3183">
        <f>IF($D3183 &gt; 16, 0, $J$3*(16 - $D3183))</f>
        <v>0</v>
      </c>
      <c r="F3183">
        <f>IF($D3183 &gt; 16, 0,$E3183*$J$5)</f>
        <v>0</v>
      </c>
      <c r="G3183">
        <f t="shared" si="49"/>
        <v>0</v>
      </c>
    </row>
    <row r="3184" spans="2:7" x14ac:dyDescent="0.35">
      <c r="B3184" s="1">
        <v>45790</v>
      </c>
      <c r="C3184" s="2">
        <v>0.58333333333333337</v>
      </c>
      <c r="D3184">
        <v>16.3</v>
      </c>
      <c r="E3184">
        <f>IF($D3184 &gt; 16, 0, $J$3*(16 - $D3184))</f>
        <v>0</v>
      </c>
      <c r="F3184">
        <f>IF($D3184 &gt; 16, 0,$E3184*$J$5)</f>
        <v>0</v>
      </c>
      <c r="G3184">
        <f t="shared" si="49"/>
        <v>0</v>
      </c>
    </row>
    <row r="3185" spans="2:7" x14ac:dyDescent="0.35">
      <c r="B3185" s="1">
        <v>45790</v>
      </c>
      <c r="C3185" s="2">
        <v>0.625</v>
      </c>
      <c r="D3185">
        <v>15.9</v>
      </c>
      <c r="E3185">
        <f>IF($D3185 &gt; 16, 0, $J$3*(16 - $D3185))</f>
        <v>20.774864270069624</v>
      </c>
      <c r="F3185">
        <f>IF($D3185 &gt; 16, 0,$E3185*$J$5)</f>
        <v>225801.99975138676</v>
      </c>
      <c r="G3185">
        <f t="shared" si="49"/>
        <v>9.9999999999999645E-2</v>
      </c>
    </row>
    <row r="3186" spans="2:7" x14ac:dyDescent="0.35">
      <c r="B3186" s="1">
        <v>45790</v>
      </c>
      <c r="C3186" s="2">
        <v>0.66666666666666663</v>
      </c>
      <c r="D3186">
        <v>15.3</v>
      </c>
      <c r="E3186">
        <f>IF($D3186 &gt; 16, 0, $J$3*(16 - $D3186))</f>
        <v>145.42404989048774</v>
      </c>
      <c r="F3186">
        <f>IF($D3186 &gt; 16, 0,$E3186*$J$5)</f>
        <v>1580613.9982597113</v>
      </c>
      <c r="G3186">
        <f t="shared" si="49"/>
        <v>0.69999999999999929</v>
      </c>
    </row>
    <row r="3187" spans="2:7" x14ac:dyDescent="0.35">
      <c r="B3187" s="1">
        <v>45790</v>
      </c>
      <c r="C3187" s="2">
        <v>0.70833333333333337</v>
      </c>
      <c r="D3187">
        <v>15.1</v>
      </c>
      <c r="E3187">
        <f>IF($D3187 &gt; 16, 0, $J$3*(16 - $D3187))</f>
        <v>186.97377843062736</v>
      </c>
      <c r="F3187">
        <f>IF($D3187 &gt; 16, 0,$E3187*$J$5)</f>
        <v>2032217.9977624889</v>
      </c>
      <c r="G3187">
        <f t="shared" si="49"/>
        <v>0.90000000000000036</v>
      </c>
    </row>
    <row r="3188" spans="2:7" x14ac:dyDescent="0.35">
      <c r="B3188" s="1">
        <v>45790</v>
      </c>
      <c r="C3188" s="2">
        <v>0.75</v>
      </c>
      <c r="D3188">
        <v>14.7</v>
      </c>
      <c r="E3188">
        <f>IF($D3188 &gt; 16, 0, $J$3*(16 - $D3188))</f>
        <v>270.07323551090622</v>
      </c>
      <c r="F3188">
        <f>IF($D3188 &gt; 16, 0,$E3188*$J$5)</f>
        <v>2935425.9967680397</v>
      </c>
      <c r="G3188">
        <f t="shared" si="49"/>
        <v>1.3000000000000007</v>
      </c>
    </row>
    <row r="3189" spans="2:7" x14ac:dyDescent="0.35">
      <c r="B3189" s="1">
        <v>45790</v>
      </c>
      <c r="C3189" s="2">
        <v>0.79166666666666663</v>
      </c>
      <c r="D3189">
        <v>13.8</v>
      </c>
      <c r="E3189">
        <f>IF($D3189 &gt; 16, 0, $J$3*(16 - $D3189))</f>
        <v>457.04701394153324</v>
      </c>
      <c r="F3189">
        <f>IF($D3189 &gt; 16, 0,$E3189*$J$5)</f>
        <v>4967643.9945305251</v>
      </c>
      <c r="G3189">
        <f t="shared" si="49"/>
        <v>2.1999999999999993</v>
      </c>
    </row>
    <row r="3190" spans="2:7" x14ac:dyDescent="0.35">
      <c r="B3190" s="1">
        <v>45790</v>
      </c>
      <c r="C3190" s="2">
        <v>0.83333333333333337</v>
      </c>
      <c r="D3190">
        <v>13</v>
      </c>
      <c r="E3190">
        <f>IF($D3190 &gt; 16, 0, $J$3*(16 - $D3190))</f>
        <v>623.24592810209094</v>
      </c>
      <c r="F3190">
        <f>IF($D3190 &gt; 16, 0,$E3190*$J$5)</f>
        <v>6774059.9925416261</v>
      </c>
      <c r="G3190">
        <f t="shared" si="49"/>
        <v>3</v>
      </c>
    </row>
    <row r="3191" spans="2:7" x14ac:dyDescent="0.35">
      <c r="B3191" s="1">
        <v>45790</v>
      </c>
      <c r="C3191" s="2">
        <v>0.875</v>
      </c>
      <c r="D3191">
        <v>12.6</v>
      </c>
      <c r="E3191">
        <f>IF($D3191 &gt; 16, 0, $J$3*(16 - $D3191))</f>
        <v>706.3453851823698</v>
      </c>
      <c r="F3191">
        <f>IF($D3191 &gt; 16, 0,$E3191*$J$5)</f>
        <v>7677267.9915471775</v>
      </c>
      <c r="G3191">
        <f t="shared" si="49"/>
        <v>3.4000000000000004</v>
      </c>
    </row>
    <row r="3192" spans="2:7" x14ac:dyDescent="0.35">
      <c r="B3192" s="1">
        <v>45790</v>
      </c>
      <c r="C3192" s="2">
        <v>0.91666666666666663</v>
      </c>
      <c r="D3192">
        <v>12.3</v>
      </c>
      <c r="E3192">
        <f>IF($D3192 &gt; 16, 0, $J$3*(16 - $D3192))</f>
        <v>768.66997799257877</v>
      </c>
      <c r="F3192">
        <f>IF($D3192 &gt; 16, 0,$E3192*$J$5)</f>
        <v>8354673.990801339</v>
      </c>
      <c r="G3192">
        <f t="shared" si="49"/>
        <v>3.6999999999999993</v>
      </c>
    </row>
    <row r="3193" spans="2:7" x14ac:dyDescent="0.35">
      <c r="B3193" s="1">
        <v>45790</v>
      </c>
      <c r="C3193" s="2">
        <v>0.95833333333333337</v>
      </c>
      <c r="D3193">
        <v>9.8000000000000007</v>
      </c>
      <c r="E3193">
        <f>IF($D3193 &gt; 16, 0, $J$3*(16 - $D3193))</f>
        <v>1288.0415847443212</v>
      </c>
      <c r="F3193">
        <f>IF($D3193 &gt; 16, 0,$E3193*$J$5)</f>
        <v>13999723.984586027</v>
      </c>
      <c r="G3193">
        <f t="shared" si="49"/>
        <v>6.1999999999999993</v>
      </c>
    </row>
    <row r="3194" spans="2:7" x14ac:dyDescent="0.35">
      <c r="B3194" s="1">
        <v>45791</v>
      </c>
      <c r="C3194" s="2">
        <v>0</v>
      </c>
      <c r="D3194">
        <v>8.1999999999999993</v>
      </c>
      <c r="E3194">
        <f>IF($D3194 &gt; 16, 0, $J$3*(16 - $D3194))</f>
        <v>1620.4394130654366</v>
      </c>
      <c r="F3194">
        <f>IF($D3194 &gt; 16, 0,$E3194*$J$5)</f>
        <v>17612555.980608232</v>
      </c>
      <c r="G3194">
        <f t="shared" si="49"/>
        <v>7.8000000000000007</v>
      </c>
    </row>
    <row r="3195" spans="2:7" x14ac:dyDescent="0.35">
      <c r="B3195" s="1">
        <v>45791</v>
      </c>
      <c r="C3195" s="2">
        <v>4.1666666666666657E-2</v>
      </c>
      <c r="D3195">
        <v>8</v>
      </c>
      <c r="E3195">
        <f>IF($D3195 &gt; 16, 0, $J$3*(16 - $D3195))</f>
        <v>1661.9891416055759</v>
      </c>
      <c r="F3195">
        <f>IF($D3195 &gt; 16, 0,$E3195*$J$5)</f>
        <v>18064159.980111003</v>
      </c>
      <c r="G3195">
        <f t="shared" si="49"/>
        <v>8</v>
      </c>
    </row>
    <row r="3196" spans="2:7" x14ac:dyDescent="0.35">
      <c r="B3196" s="1">
        <v>45791</v>
      </c>
      <c r="C3196" s="2">
        <v>8.3333333333333329E-2</v>
      </c>
      <c r="D3196">
        <v>7.9</v>
      </c>
      <c r="E3196">
        <f>IF($D3196 &gt; 16, 0, $J$3*(16 - $D3196))</f>
        <v>1682.7640058756456</v>
      </c>
      <c r="F3196">
        <f>IF($D3196 &gt; 16, 0,$E3196*$J$5)</f>
        <v>18289961.979862392</v>
      </c>
      <c r="G3196">
        <f t="shared" si="49"/>
        <v>8.1</v>
      </c>
    </row>
    <row r="3197" spans="2:7" x14ac:dyDescent="0.35">
      <c r="B3197" s="1">
        <v>45791</v>
      </c>
      <c r="C3197" s="2">
        <v>0.125</v>
      </c>
      <c r="D3197">
        <v>7.3</v>
      </c>
      <c r="E3197">
        <f>IF($D3197 &gt; 16, 0, $J$3*(16 - $D3197))</f>
        <v>1807.4131914960637</v>
      </c>
      <c r="F3197">
        <f>IF($D3197 &gt; 16, 0,$E3197*$J$5)</f>
        <v>19644773.978370719</v>
      </c>
      <c r="G3197">
        <f t="shared" si="49"/>
        <v>8.6999999999999993</v>
      </c>
    </row>
    <row r="3198" spans="2:7" x14ac:dyDescent="0.35">
      <c r="B3198" s="1">
        <v>45791</v>
      </c>
      <c r="C3198" s="2">
        <v>0.16666666666666671</v>
      </c>
      <c r="D3198">
        <v>8.3000000000000007</v>
      </c>
      <c r="E3198">
        <f>IF($D3198 &gt; 16, 0, $J$3*(16 - $D3198))</f>
        <v>1599.6645487953667</v>
      </c>
      <c r="F3198">
        <f>IF($D3198 &gt; 16, 0,$E3198*$J$5)</f>
        <v>17386753.98085684</v>
      </c>
      <c r="G3198">
        <f t="shared" si="49"/>
        <v>7.6999999999999993</v>
      </c>
    </row>
    <row r="3199" spans="2:7" x14ac:dyDescent="0.35">
      <c r="B3199" s="1">
        <v>45791</v>
      </c>
      <c r="C3199" s="2">
        <v>0.20833333333333329</v>
      </c>
      <c r="D3199">
        <v>10.4</v>
      </c>
      <c r="E3199">
        <f>IF($D3199 &gt; 16, 0, $J$3*(16 - $D3199))</f>
        <v>1163.392399123903</v>
      </c>
      <c r="F3199">
        <f>IF($D3199 &gt; 16, 0,$E3199*$J$5)</f>
        <v>12644911.986077702</v>
      </c>
      <c r="G3199">
        <f t="shared" si="49"/>
        <v>5.6</v>
      </c>
    </row>
    <row r="3200" spans="2:7" x14ac:dyDescent="0.35">
      <c r="B3200" s="1">
        <v>45791</v>
      </c>
      <c r="C3200" s="2">
        <v>0.25</v>
      </c>
      <c r="D3200">
        <v>12.4</v>
      </c>
      <c r="E3200">
        <f>IF($D3200 &gt; 16, 0, $J$3*(16 - $D3200))</f>
        <v>747.89511372250911</v>
      </c>
      <c r="F3200">
        <f>IF($D3200 &gt; 16, 0,$E3200*$J$5)</f>
        <v>8128871.9910499519</v>
      </c>
      <c r="G3200">
        <f t="shared" si="49"/>
        <v>3.5999999999999996</v>
      </c>
    </row>
    <row r="3201" spans="2:7" x14ac:dyDescent="0.35">
      <c r="B3201" s="1">
        <v>45791</v>
      </c>
      <c r="C3201" s="2">
        <v>0.29166666666666669</v>
      </c>
      <c r="D3201">
        <v>12.9</v>
      </c>
      <c r="E3201">
        <f>IF($D3201 &gt; 16, 0, $J$3*(16 - $D3201))</f>
        <v>644.0207923721606</v>
      </c>
      <c r="F3201">
        <f>IF($D3201 &gt; 16, 0,$E3201*$J$5)</f>
        <v>6999861.9922930133</v>
      </c>
      <c r="G3201">
        <f t="shared" si="49"/>
        <v>3.0999999999999996</v>
      </c>
    </row>
    <row r="3202" spans="2:7" x14ac:dyDescent="0.35">
      <c r="B3202" s="1">
        <v>45791</v>
      </c>
      <c r="C3202" s="2">
        <v>0.33333333333333331</v>
      </c>
      <c r="D3202">
        <v>13.5</v>
      </c>
      <c r="E3202">
        <f>IF($D3202 &gt; 16, 0, $J$3*(16 - $D3202))</f>
        <v>519.37160675174243</v>
      </c>
      <c r="F3202">
        <f>IF($D3202 &gt; 16, 0,$E3202*$J$5)</f>
        <v>5645049.9937846884</v>
      </c>
      <c r="G3202">
        <f t="shared" si="49"/>
        <v>2.5</v>
      </c>
    </row>
    <row r="3203" spans="2:7" x14ac:dyDescent="0.35">
      <c r="B3203" s="1">
        <v>45791</v>
      </c>
      <c r="C3203" s="2">
        <v>0.375</v>
      </c>
      <c r="D3203">
        <v>14.3</v>
      </c>
      <c r="E3203">
        <f>IF($D3203 &gt; 16, 0, $J$3*(16 - $D3203))</f>
        <v>353.17269259118473</v>
      </c>
      <c r="F3203">
        <f>IF($D3203 &gt; 16, 0,$E3203*$J$5)</f>
        <v>3838633.9957735869</v>
      </c>
      <c r="G3203">
        <f t="shared" ref="G3203:G3266" si="50">MAX(0, 16 - $D3203)</f>
        <v>1.6999999999999993</v>
      </c>
    </row>
    <row r="3204" spans="2:7" x14ac:dyDescent="0.35">
      <c r="B3204" s="1">
        <v>45791</v>
      </c>
      <c r="C3204" s="2">
        <v>0.41666666666666669</v>
      </c>
      <c r="D3204">
        <v>14.9</v>
      </c>
      <c r="E3204">
        <f>IF($D3204 &gt; 16, 0, $J$3*(16 - $D3204))</f>
        <v>228.52350697076662</v>
      </c>
      <c r="F3204">
        <f>IF($D3204 &gt; 16, 0,$E3204*$J$5)</f>
        <v>2483821.9972652625</v>
      </c>
      <c r="G3204">
        <f t="shared" si="50"/>
        <v>1.0999999999999996</v>
      </c>
    </row>
    <row r="3205" spans="2:7" x14ac:dyDescent="0.35">
      <c r="B3205" s="1">
        <v>45791</v>
      </c>
      <c r="C3205" s="2">
        <v>0.45833333333333331</v>
      </c>
      <c r="D3205">
        <v>15.6</v>
      </c>
      <c r="E3205">
        <f>IF($D3205 &gt; 16, 0, $J$3*(16 - $D3205))</f>
        <v>83.099457080278867</v>
      </c>
      <c r="F3205">
        <f>IF($D3205 &gt; 16, 0,$E3205*$J$5)</f>
        <v>903207.99900555098</v>
      </c>
      <c r="G3205">
        <f t="shared" si="50"/>
        <v>0.40000000000000036</v>
      </c>
    </row>
    <row r="3206" spans="2:7" x14ac:dyDescent="0.35">
      <c r="B3206" s="1">
        <v>45791</v>
      </c>
      <c r="C3206" s="2">
        <v>0.5</v>
      </c>
      <c r="D3206">
        <v>16.3</v>
      </c>
      <c r="E3206">
        <f>IF($D3206 &gt; 16, 0, $J$3*(16 - $D3206))</f>
        <v>0</v>
      </c>
      <c r="F3206">
        <f>IF($D3206 &gt; 16, 0,$E3206*$J$5)</f>
        <v>0</v>
      </c>
      <c r="G3206">
        <f t="shared" si="50"/>
        <v>0</v>
      </c>
    </row>
    <row r="3207" spans="2:7" x14ac:dyDescent="0.35">
      <c r="B3207" s="1">
        <v>45791</v>
      </c>
      <c r="C3207" s="2">
        <v>0.54166666666666663</v>
      </c>
      <c r="D3207">
        <v>16.100000000000001</v>
      </c>
      <c r="E3207">
        <f>IF($D3207 &gt; 16, 0, $J$3*(16 - $D3207))</f>
        <v>0</v>
      </c>
      <c r="F3207">
        <f>IF($D3207 &gt; 16, 0,$E3207*$J$5)</f>
        <v>0</v>
      </c>
      <c r="G3207">
        <f t="shared" si="50"/>
        <v>0</v>
      </c>
    </row>
    <row r="3208" spans="2:7" x14ac:dyDescent="0.35">
      <c r="B3208" s="1">
        <v>45791</v>
      </c>
      <c r="C3208" s="2">
        <v>0.58333333333333337</v>
      </c>
      <c r="D3208">
        <v>15.6</v>
      </c>
      <c r="E3208">
        <f>IF($D3208 &gt; 16, 0, $J$3*(16 - $D3208))</f>
        <v>83.099457080278867</v>
      </c>
      <c r="F3208">
        <f>IF($D3208 &gt; 16, 0,$E3208*$J$5)</f>
        <v>903207.99900555098</v>
      </c>
      <c r="G3208">
        <f t="shared" si="50"/>
        <v>0.40000000000000036</v>
      </c>
    </row>
    <row r="3209" spans="2:7" x14ac:dyDescent="0.35">
      <c r="B3209" s="1">
        <v>45791</v>
      </c>
      <c r="C3209" s="2">
        <v>0.625</v>
      </c>
      <c r="D3209">
        <v>14.7</v>
      </c>
      <c r="E3209">
        <f>IF($D3209 &gt; 16, 0, $J$3*(16 - $D3209))</f>
        <v>270.07323551090622</v>
      </c>
      <c r="F3209">
        <f>IF($D3209 &gt; 16, 0,$E3209*$J$5)</f>
        <v>2935425.9967680397</v>
      </c>
      <c r="G3209">
        <f t="shared" si="50"/>
        <v>1.3000000000000007</v>
      </c>
    </row>
    <row r="3210" spans="2:7" x14ac:dyDescent="0.35">
      <c r="B3210" s="1">
        <v>45791</v>
      </c>
      <c r="C3210" s="2">
        <v>0.66666666666666663</v>
      </c>
      <c r="D3210">
        <v>13.9</v>
      </c>
      <c r="E3210">
        <f>IF($D3210 &gt; 16, 0, $J$3*(16 - $D3210))</f>
        <v>436.27214967146358</v>
      </c>
      <c r="F3210">
        <f>IF($D3210 &gt; 16, 0,$E3210*$J$5)</f>
        <v>4741841.9947791379</v>
      </c>
      <c r="G3210">
        <f t="shared" si="50"/>
        <v>2.0999999999999996</v>
      </c>
    </row>
    <row r="3211" spans="2:7" x14ac:dyDescent="0.35">
      <c r="B3211" s="1">
        <v>45791</v>
      </c>
      <c r="C3211" s="2">
        <v>0.70833333333333337</v>
      </c>
      <c r="D3211">
        <v>12.9</v>
      </c>
      <c r="E3211">
        <f>IF($D3211 &gt; 16, 0, $J$3*(16 - $D3211))</f>
        <v>644.0207923721606</v>
      </c>
      <c r="F3211">
        <f>IF($D3211 &gt; 16, 0,$E3211*$J$5)</f>
        <v>6999861.9922930133</v>
      </c>
      <c r="G3211">
        <f t="shared" si="50"/>
        <v>3.0999999999999996</v>
      </c>
    </row>
    <row r="3212" spans="2:7" x14ac:dyDescent="0.35">
      <c r="B3212" s="1">
        <v>45791</v>
      </c>
      <c r="C3212" s="2">
        <v>0.75</v>
      </c>
      <c r="D3212">
        <v>12.4</v>
      </c>
      <c r="E3212">
        <f>IF($D3212 &gt; 16, 0, $J$3*(16 - $D3212))</f>
        <v>747.89511372250911</v>
      </c>
      <c r="F3212">
        <f>IF($D3212 &gt; 16, 0,$E3212*$J$5)</f>
        <v>8128871.9910499519</v>
      </c>
      <c r="G3212">
        <f t="shared" si="50"/>
        <v>3.5999999999999996</v>
      </c>
    </row>
    <row r="3213" spans="2:7" x14ac:dyDescent="0.35">
      <c r="B3213" s="1">
        <v>45791</v>
      </c>
      <c r="C3213" s="2">
        <v>0.79166666666666663</v>
      </c>
      <c r="D3213">
        <v>12.2</v>
      </c>
      <c r="E3213">
        <f>IF($D3213 &gt; 16, 0, $J$3*(16 - $D3213))</f>
        <v>789.44484226264876</v>
      </c>
      <c r="F3213">
        <f>IF($D3213 &gt; 16, 0,$E3213*$J$5)</f>
        <v>8580475.990552729</v>
      </c>
      <c r="G3213">
        <f t="shared" si="50"/>
        <v>3.8000000000000007</v>
      </c>
    </row>
    <row r="3214" spans="2:7" x14ac:dyDescent="0.35">
      <c r="B3214" s="1">
        <v>45791</v>
      </c>
      <c r="C3214" s="2">
        <v>0.83333333333333337</v>
      </c>
      <c r="D3214">
        <v>12.1</v>
      </c>
      <c r="E3214">
        <f>IF($D3214 &gt; 16, 0, $J$3*(16 - $D3214))</f>
        <v>810.21970653271831</v>
      </c>
      <c r="F3214">
        <f>IF($D3214 &gt; 16, 0,$E3214*$J$5)</f>
        <v>8806277.9903041162</v>
      </c>
      <c r="G3214">
        <f t="shared" si="50"/>
        <v>3.9000000000000004</v>
      </c>
    </row>
    <row r="3215" spans="2:7" x14ac:dyDescent="0.35">
      <c r="B3215" s="1">
        <v>45791</v>
      </c>
      <c r="C3215" s="2">
        <v>0.875</v>
      </c>
      <c r="D3215">
        <v>11.6</v>
      </c>
      <c r="E3215">
        <f>IF($D3215 &gt; 16, 0, $J$3*(16 - $D3215))</f>
        <v>914.09402788306681</v>
      </c>
      <c r="F3215">
        <f>IF($D3215 &gt; 16, 0,$E3215*$J$5)</f>
        <v>9935287.9890610538</v>
      </c>
      <c r="G3215">
        <f t="shared" si="50"/>
        <v>4.4000000000000004</v>
      </c>
    </row>
    <row r="3216" spans="2:7" x14ac:dyDescent="0.35">
      <c r="B3216" s="1">
        <v>45791</v>
      </c>
      <c r="C3216" s="2">
        <v>0.91666666666666663</v>
      </c>
      <c r="D3216">
        <v>10.8</v>
      </c>
      <c r="E3216">
        <f>IF($D3216 &gt; 16, 0, $J$3*(16 - $D3216))</f>
        <v>1080.2929420436242</v>
      </c>
      <c r="F3216">
        <f>IF($D3216 &gt; 16, 0,$E3216*$J$5)</f>
        <v>11741703.987072151</v>
      </c>
      <c r="G3216">
        <f t="shared" si="50"/>
        <v>5.1999999999999993</v>
      </c>
    </row>
    <row r="3217" spans="2:7" x14ac:dyDescent="0.35">
      <c r="B3217" s="1">
        <v>45791</v>
      </c>
      <c r="C3217" s="2">
        <v>0.95833333333333337</v>
      </c>
      <c r="D3217">
        <v>10.1</v>
      </c>
      <c r="E3217">
        <f>IF($D3217 &gt; 16, 0, $J$3*(16 - $D3217))</f>
        <v>1225.7169919341122</v>
      </c>
      <c r="F3217">
        <f>IF($D3217 &gt; 16, 0,$E3217*$J$5)</f>
        <v>13322317.985331865</v>
      </c>
      <c r="G3217">
        <f t="shared" si="50"/>
        <v>5.9</v>
      </c>
    </row>
    <row r="3218" spans="2:7" x14ac:dyDescent="0.35">
      <c r="B3218" s="1">
        <v>45792</v>
      </c>
      <c r="C3218" s="2">
        <v>0</v>
      </c>
      <c r="D3218">
        <v>9</v>
      </c>
      <c r="E3218">
        <f>IF($D3218 &gt; 16, 0, $J$3*(16 - $D3218))</f>
        <v>1454.2404989048789</v>
      </c>
      <c r="F3218">
        <f>IF($D3218 &gt; 16, 0,$E3218*$J$5)</f>
        <v>15806139.982597129</v>
      </c>
      <c r="G3218">
        <f t="shared" si="50"/>
        <v>7</v>
      </c>
    </row>
    <row r="3219" spans="2:7" x14ac:dyDescent="0.35">
      <c r="B3219" s="1">
        <v>45792</v>
      </c>
      <c r="C3219" s="2">
        <v>4.1666666666666657E-2</v>
      </c>
      <c r="D3219">
        <v>7.1</v>
      </c>
      <c r="E3219">
        <f>IF($D3219 &gt; 16, 0, $J$3*(16 - $D3219))</f>
        <v>1848.9629200362033</v>
      </c>
      <c r="F3219">
        <f>IF($D3219 &gt; 16, 0,$E3219*$J$5)</f>
        <v>20096377.977873493</v>
      </c>
      <c r="G3219">
        <f t="shared" si="50"/>
        <v>8.9</v>
      </c>
    </row>
    <row r="3220" spans="2:7" x14ac:dyDescent="0.35">
      <c r="B3220" s="1">
        <v>45792</v>
      </c>
      <c r="C3220" s="2">
        <v>8.3333333333333329E-2</v>
      </c>
      <c r="D3220">
        <v>7</v>
      </c>
      <c r="E3220">
        <f>IF($D3220 &gt; 16, 0, $J$3*(16 - $D3220))</f>
        <v>1869.7377843062729</v>
      </c>
      <c r="F3220">
        <f>IF($D3220 &gt; 16, 0,$E3220*$J$5)</f>
        <v>20322179.977624882</v>
      </c>
      <c r="G3220">
        <f t="shared" si="50"/>
        <v>9</v>
      </c>
    </row>
    <row r="3221" spans="2:7" x14ac:dyDescent="0.35">
      <c r="B3221" s="1">
        <v>45792</v>
      </c>
      <c r="C3221" s="2">
        <v>0.125</v>
      </c>
      <c r="D3221">
        <v>6.2</v>
      </c>
      <c r="E3221">
        <f>IF($D3221 &gt; 16, 0, $J$3*(16 - $D3221))</f>
        <v>2035.9366984668306</v>
      </c>
      <c r="F3221">
        <f>IF($D3221 &gt; 16, 0,$E3221*$J$5)</f>
        <v>22128595.975635983</v>
      </c>
      <c r="G3221">
        <f t="shared" si="50"/>
        <v>9.8000000000000007</v>
      </c>
    </row>
    <row r="3222" spans="2:7" x14ac:dyDescent="0.35">
      <c r="B3222" s="1">
        <v>45792</v>
      </c>
      <c r="C3222" s="2">
        <v>0.16666666666666671</v>
      </c>
      <c r="D3222">
        <v>4.8</v>
      </c>
      <c r="E3222">
        <f>IF($D3222 &gt; 16, 0, $J$3*(16 - $D3222))</f>
        <v>2326.7847982478061</v>
      </c>
      <c r="F3222">
        <f>IF($D3222 &gt; 16, 0,$E3222*$J$5)</f>
        <v>25289823.972155403</v>
      </c>
      <c r="G3222">
        <f t="shared" si="50"/>
        <v>11.2</v>
      </c>
    </row>
    <row r="3223" spans="2:7" x14ac:dyDescent="0.35">
      <c r="B3223" s="1">
        <v>45792</v>
      </c>
      <c r="C3223" s="2">
        <v>0.20833333333333329</v>
      </c>
      <c r="D3223">
        <v>7.2</v>
      </c>
      <c r="E3223">
        <f>IF($D3223 &gt; 16, 0, $J$3*(16 - $D3223))</f>
        <v>1828.1880557661336</v>
      </c>
      <c r="F3223">
        <f>IF($D3223 &gt; 16, 0,$E3223*$J$5)</f>
        <v>19870575.978122108</v>
      </c>
      <c r="G3223">
        <f t="shared" si="50"/>
        <v>8.8000000000000007</v>
      </c>
    </row>
    <row r="3224" spans="2:7" x14ac:dyDescent="0.35">
      <c r="B3224" s="1">
        <v>45792</v>
      </c>
      <c r="C3224" s="2">
        <v>0.25</v>
      </c>
      <c r="D3224">
        <v>9.6999999999999993</v>
      </c>
      <c r="E3224">
        <f>IF($D3224 &gt; 16, 0, $J$3*(16 - $D3224))</f>
        <v>1308.8164490143911</v>
      </c>
      <c r="F3224">
        <f>IF($D3224 &gt; 16, 0,$E3224*$J$5)</f>
        <v>14225525.984337417</v>
      </c>
      <c r="G3224">
        <f t="shared" si="50"/>
        <v>6.3000000000000007</v>
      </c>
    </row>
    <row r="3225" spans="2:7" x14ac:dyDescent="0.35">
      <c r="B3225" s="1">
        <v>45792</v>
      </c>
      <c r="C3225" s="2">
        <v>0.29166666666666669</v>
      </c>
      <c r="D3225">
        <v>12.1</v>
      </c>
      <c r="E3225">
        <f>IF($D3225 &gt; 16, 0, $J$3*(16 - $D3225))</f>
        <v>810.21970653271831</v>
      </c>
      <c r="F3225">
        <f>IF($D3225 &gt; 16, 0,$E3225*$J$5)</f>
        <v>8806277.9903041162</v>
      </c>
      <c r="G3225">
        <f t="shared" si="50"/>
        <v>3.9000000000000004</v>
      </c>
    </row>
    <row r="3226" spans="2:7" x14ac:dyDescent="0.35">
      <c r="B3226" s="1">
        <v>45792</v>
      </c>
      <c r="C3226" s="2">
        <v>0.33333333333333331</v>
      </c>
      <c r="D3226">
        <v>13.4</v>
      </c>
      <c r="E3226">
        <f>IF($D3226 &gt; 16, 0, $J$3*(16 - $D3226))</f>
        <v>540.14647102181209</v>
      </c>
      <c r="F3226">
        <f>IF($D3226 &gt; 16, 0,$E3226*$J$5)</f>
        <v>5870851.9935360756</v>
      </c>
      <c r="G3226">
        <f t="shared" si="50"/>
        <v>2.5999999999999996</v>
      </c>
    </row>
    <row r="3227" spans="2:7" x14ac:dyDescent="0.35">
      <c r="B3227" s="1">
        <v>45792</v>
      </c>
      <c r="C3227" s="2">
        <v>0.375</v>
      </c>
      <c r="D3227">
        <v>14.3</v>
      </c>
      <c r="E3227">
        <f>IF($D3227 &gt; 16, 0, $J$3*(16 - $D3227))</f>
        <v>353.17269259118473</v>
      </c>
      <c r="F3227">
        <f>IF($D3227 &gt; 16, 0,$E3227*$J$5)</f>
        <v>3838633.9957735869</v>
      </c>
      <c r="G3227">
        <f t="shared" si="50"/>
        <v>1.6999999999999993</v>
      </c>
    </row>
    <row r="3228" spans="2:7" x14ac:dyDescent="0.35">
      <c r="B3228" s="1">
        <v>45792</v>
      </c>
      <c r="C3228" s="2">
        <v>0.41666666666666669</v>
      </c>
      <c r="D3228">
        <v>14.7</v>
      </c>
      <c r="E3228">
        <f>IF($D3228 &gt; 16, 0, $J$3*(16 - $D3228))</f>
        <v>270.07323551090622</v>
      </c>
      <c r="F3228">
        <f>IF($D3228 &gt; 16, 0,$E3228*$J$5)</f>
        <v>2935425.9967680397</v>
      </c>
      <c r="G3228">
        <f t="shared" si="50"/>
        <v>1.3000000000000007</v>
      </c>
    </row>
    <row r="3229" spans="2:7" x14ac:dyDescent="0.35">
      <c r="B3229" s="1">
        <v>45792</v>
      </c>
      <c r="C3229" s="2">
        <v>0.45833333333333331</v>
      </c>
      <c r="D3229">
        <v>16</v>
      </c>
      <c r="E3229">
        <f>IF($D3229 &gt; 16, 0, $J$3*(16 - $D3229))</f>
        <v>0</v>
      </c>
      <c r="F3229">
        <f>IF($D3229 &gt; 16, 0,$E3229*$J$5)</f>
        <v>0</v>
      </c>
      <c r="G3229">
        <f t="shared" si="50"/>
        <v>0</v>
      </c>
    </row>
    <row r="3230" spans="2:7" x14ac:dyDescent="0.35">
      <c r="B3230" s="1">
        <v>45792</v>
      </c>
      <c r="C3230" s="2">
        <v>0.5</v>
      </c>
      <c r="D3230">
        <v>16.5</v>
      </c>
      <c r="E3230">
        <f>IF($D3230 &gt; 16, 0, $J$3*(16 - $D3230))</f>
        <v>0</v>
      </c>
      <c r="F3230">
        <f>IF($D3230 &gt; 16, 0,$E3230*$J$5)</f>
        <v>0</v>
      </c>
      <c r="G3230">
        <f t="shared" si="50"/>
        <v>0</v>
      </c>
    </row>
    <row r="3231" spans="2:7" x14ac:dyDescent="0.35">
      <c r="B3231" s="1">
        <v>45792</v>
      </c>
      <c r="C3231" s="2">
        <v>0.54166666666666663</v>
      </c>
      <c r="D3231">
        <v>18.100000000000001</v>
      </c>
      <c r="E3231">
        <f>IF($D3231 &gt; 16, 0, $J$3*(16 - $D3231))</f>
        <v>0</v>
      </c>
      <c r="F3231">
        <f>IF($D3231 &gt; 16, 0,$E3231*$J$5)</f>
        <v>0</v>
      </c>
      <c r="G3231">
        <f t="shared" si="50"/>
        <v>0</v>
      </c>
    </row>
    <row r="3232" spans="2:7" x14ac:dyDescent="0.35">
      <c r="B3232" s="1">
        <v>45792</v>
      </c>
      <c r="C3232" s="2">
        <v>0.58333333333333337</v>
      </c>
      <c r="D3232">
        <v>17.8</v>
      </c>
      <c r="E3232">
        <f>IF($D3232 &gt; 16, 0, $J$3*(16 - $D3232))</f>
        <v>0</v>
      </c>
      <c r="F3232">
        <f>IF($D3232 &gt; 16, 0,$E3232*$J$5)</f>
        <v>0</v>
      </c>
      <c r="G3232">
        <f t="shared" si="50"/>
        <v>0</v>
      </c>
    </row>
    <row r="3233" spans="2:7" x14ac:dyDescent="0.35">
      <c r="B3233" s="1">
        <v>45792</v>
      </c>
      <c r="C3233" s="2">
        <v>0.625</v>
      </c>
      <c r="D3233">
        <v>17</v>
      </c>
      <c r="E3233">
        <f>IF($D3233 &gt; 16, 0, $J$3*(16 - $D3233))</f>
        <v>0</v>
      </c>
      <c r="F3233">
        <f>IF($D3233 &gt; 16, 0,$E3233*$J$5)</f>
        <v>0</v>
      </c>
      <c r="G3233">
        <f t="shared" si="50"/>
        <v>0</v>
      </c>
    </row>
    <row r="3234" spans="2:7" x14ac:dyDescent="0.35">
      <c r="B3234" s="1">
        <v>45792</v>
      </c>
      <c r="C3234" s="2">
        <v>0.66666666666666663</v>
      </c>
      <c r="D3234">
        <v>16.8</v>
      </c>
      <c r="E3234">
        <f>IF($D3234 &gt; 16, 0, $J$3*(16 - $D3234))</f>
        <v>0</v>
      </c>
      <c r="F3234">
        <f>IF($D3234 &gt; 16, 0,$E3234*$J$5)</f>
        <v>0</v>
      </c>
      <c r="G3234">
        <f t="shared" si="50"/>
        <v>0</v>
      </c>
    </row>
    <row r="3235" spans="2:7" x14ac:dyDescent="0.35">
      <c r="B3235" s="1">
        <v>45792</v>
      </c>
      <c r="C3235" s="2">
        <v>0.70833333333333337</v>
      </c>
      <c r="D3235">
        <v>16.399999999999999</v>
      </c>
      <c r="E3235">
        <f>IF($D3235 &gt; 16, 0, $J$3*(16 - $D3235))</f>
        <v>0</v>
      </c>
      <c r="F3235">
        <f>IF($D3235 &gt; 16, 0,$E3235*$J$5)</f>
        <v>0</v>
      </c>
      <c r="G3235">
        <f t="shared" si="50"/>
        <v>0</v>
      </c>
    </row>
    <row r="3236" spans="2:7" x14ac:dyDescent="0.35">
      <c r="B3236" s="1">
        <v>45792</v>
      </c>
      <c r="C3236" s="2">
        <v>0.75</v>
      </c>
      <c r="D3236">
        <v>15.6</v>
      </c>
      <c r="E3236">
        <f>IF($D3236 &gt; 16, 0, $J$3*(16 - $D3236))</f>
        <v>83.099457080278867</v>
      </c>
      <c r="F3236">
        <f>IF($D3236 &gt; 16, 0,$E3236*$J$5)</f>
        <v>903207.99900555098</v>
      </c>
      <c r="G3236">
        <f t="shared" si="50"/>
        <v>0.40000000000000036</v>
      </c>
    </row>
    <row r="3237" spans="2:7" x14ac:dyDescent="0.35">
      <c r="B3237" s="1">
        <v>45792</v>
      </c>
      <c r="C3237" s="2">
        <v>0.79166666666666663</v>
      </c>
      <c r="D3237">
        <v>14.4</v>
      </c>
      <c r="E3237">
        <f>IF($D3237 &gt; 16, 0, $J$3*(16 - $D3237))</f>
        <v>332.39782832111513</v>
      </c>
      <c r="F3237">
        <f>IF($D3237 &gt; 16, 0,$E3237*$J$5)</f>
        <v>3612831.9960222002</v>
      </c>
      <c r="G3237">
        <f t="shared" si="50"/>
        <v>1.5999999999999996</v>
      </c>
    </row>
    <row r="3238" spans="2:7" x14ac:dyDescent="0.35">
      <c r="B3238" s="1">
        <v>45792</v>
      </c>
      <c r="C3238" s="2">
        <v>0.83333333333333337</v>
      </c>
      <c r="D3238">
        <v>10.6</v>
      </c>
      <c r="E3238">
        <f>IF($D3238 &gt; 16, 0, $J$3*(16 - $D3238))</f>
        <v>1121.8426705837637</v>
      </c>
      <c r="F3238">
        <f>IF($D3238 &gt; 16, 0,$E3238*$J$5)</f>
        <v>12193307.986574927</v>
      </c>
      <c r="G3238">
        <f t="shared" si="50"/>
        <v>5.4</v>
      </c>
    </row>
    <row r="3239" spans="2:7" x14ac:dyDescent="0.35">
      <c r="B3239" s="1">
        <v>45792</v>
      </c>
      <c r="C3239" s="2">
        <v>0.875</v>
      </c>
      <c r="D3239">
        <v>9</v>
      </c>
      <c r="E3239">
        <f>IF($D3239 &gt; 16, 0, $J$3*(16 - $D3239))</f>
        <v>1454.2404989048789</v>
      </c>
      <c r="F3239">
        <f>IF($D3239 &gt; 16, 0,$E3239*$J$5)</f>
        <v>15806139.982597129</v>
      </c>
      <c r="G3239">
        <f t="shared" si="50"/>
        <v>7</v>
      </c>
    </row>
    <row r="3240" spans="2:7" x14ac:dyDescent="0.35">
      <c r="B3240" s="1">
        <v>45792</v>
      </c>
      <c r="C3240" s="2">
        <v>0.91666666666666663</v>
      </c>
      <c r="D3240">
        <v>7.5</v>
      </c>
      <c r="E3240">
        <f>IF($D3240 &gt; 16, 0, $J$3*(16 - $D3240))</f>
        <v>1765.8634629559244</v>
      </c>
      <c r="F3240">
        <f>IF($D3240 &gt; 16, 0,$E3240*$J$5)</f>
        <v>19193169.978867944</v>
      </c>
      <c r="G3240">
        <f t="shared" si="50"/>
        <v>8.5</v>
      </c>
    </row>
    <row r="3241" spans="2:7" x14ac:dyDescent="0.35">
      <c r="B3241" s="1">
        <v>45792</v>
      </c>
      <c r="C3241" s="2">
        <v>0.95833333333333337</v>
      </c>
      <c r="D3241">
        <v>6.5</v>
      </c>
      <c r="E3241">
        <f>IF($D3241 &gt; 16, 0, $J$3*(16 - $D3241))</f>
        <v>1973.6121056566215</v>
      </c>
      <c r="F3241">
        <f>IF($D3241 &gt; 16, 0,$E3241*$J$5)</f>
        <v>21451189.97638182</v>
      </c>
      <c r="G3241">
        <f t="shared" si="50"/>
        <v>9.5</v>
      </c>
    </row>
    <row r="3242" spans="2:7" x14ac:dyDescent="0.35">
      <c r="B3242" s="1">
        <v>45793</v>
      </c>
      <c r="C3242" s="2">
        <v>0</v>
      </c>
      <c r="D3242">
        <v>6</v>
      </c>
      <c r="E3242">
        <f>IF($D3242 &gt; 16, 0, $J$3*(16 - $D3242))</f>
        <v>2077.4864270069697</v>
      </c>
      <c r="F3242">
        <f>IF($D3242 &gt; 16, 0,$E3242*$J$5)</f>
        <v>22580199.975138754</v>
      </c>
      <c r="G3242">
        <f t="shared" si="50"/>
        <v>10</v>
      </c>
    </row>
    <row r="3243" spans="2:7" x14ac:dyDescent="0.35">
      <c r="B3243" s="1">
        <v>45793</v>
      </c>
      <c r="C3243" s="2">
        <v>4.1666666666666657E-2</v>
      </c>
      <c r="D3243">
        <v>6.5</v>
      </c>
      <c r="E3243">
        <f>IF($D3243 &gt; 16, 0, $J$3*(16 - $D3243))</f>
        <v>1973.6121056566215</v>
      </c>
      <c r="F3243">
        <f>IF($D3243 &gt; 16, 0,$E3243*$J$5)</f>
        <v>21451189.97638182</v>
      </c>
      <c r="G3243">
        <f t="shared" si="50"/>
        <v>9.5</v>
      </c>
    </row>
    <row r="3244" spans="2:7" x14ac:dyDescent="0.35">
      <c r="B3244" s="1">
        <v>45793</v>
      </c>
      <c r="C3244" s="2">
        <v>8.3333333333333329E-2</v>
      </c>
      <c r="D3244">
        <v>6.6</v>
      </c>
      <c r="E3244">
        <f>IF($D3244 &gt; 16, 0, $J$3*(16 - $D3244))</f>
        <v>1952.8372413865518</v>
      </c>
      <c r="F3244">
        <f>IF($D3244 &gt; 16, 0,$E3244*$J$5)</f>
        <v>21225387.976630431</v>
      </c>
      <c r="G3244">
        <f t="shared" si="50"/>
        <v>9.4</v>
      </c>
    </row>
    <row r="3245" spans="2:7" x14ac:dyDescent="0.35">
      <c r="B3245" s="1">
        <v>45793</v>
      </c>
      <c r="C3245" s="2">
        <v>0.125</v>
      </c>
      <c r="D3245">
        <v>6.3</v>
      </c>
      <c r="E3245">
        <f>IF($D3245 &gt; 16, 0, $J$3*(16 - $D3245))</f>
        <v>2015.1618341967608</v>
      </c>
      <c r="F3245">
        <f>IF($D3245 &gt; 16, 0,$E3245*$J$5)</f>
        <v>21902793.975884594</v>
      </c>
      <c r="G3245">
        <f t="shared" si="50"/>
        <v>9.6999999999999993</v>
      </c>
    </row>
    <row r="3246" spans="2:7" x14ac:dyDescent="0.35">
      <c r="B3246" s="1">
        <v>45793</v>
      </c>
      <c r="C3246" s="2">
        <v>0.16666666666666671</v>
      </c>
      <c r="D3246">
        <v>5.0999999999999996</v>
      </c>
      <c r="E3246">
        <f>IF($D3246 &gt; 16, 0, $J$3*(16 - $D3246))</f>
        <v>2264.4602054375973</v>
      </c>
      <c r="F3246">
        <f>IF($D3246 &gt; 16, 0,$E3246*$J$5)</f>
        <v>24612417.972901244</v>
      </c>
      <c r="G3246">
        <f t="shared" si="50"/>
        <v>10.9</v>
      </c>
    </row>
    <row r="3247" spans="2:7" x14ac:dyDescent="0.35">
      <c r="B3247" s="1">
        <v>45793</v>
      </c>
      <c r="C3247" s="2">
        <v>0.20833333333333329</v>
      </c>
      <c r="D3247">
        <v>7.9</v>
      </c>
      <c r="E3247">
        <f>IF($D3247 &gt; 16, 0, $J$3*(16 - $D3247))</f>
        <v>1682.7640058756456</v>
      </c>
      <c r="F3247">
        <f>IF($D3247 &gt; 16, 0,$E3247*$J$5)</f>
        <v>18289961.979862392</v>
      </c>
      <c r="G3247">
        <f t="shared" si="50"/>
        <v>8.1</v>
      </c>
    </row>
    <row r="3248" spans="2:7" x14ac:dyDescent="0.35">
      <c r="B3248" s="1">
        <v>45793</v>
      </c>
      <c r="C3248" s="2">
        <v>0.25</v>
      </c>
      <c r="D3248">
        <v>9.9</v>
      </c>
      <c r="E3248">
        <f>IF($D3248 &gt; 16, 0, $J$3*(16 - $D3248))</f>
        <v>1267.2667204742515</v>
      </c>
      <c r="F3248">
        <f>IF($D3248 &gt; 16, 0,$E3248*$J$5)</f>
        <v>13773921.984834639</v>
      </c>
      <c r="G3248">
        <f t="shared" si="50"/>
        <v>6.1</v>
      </c>
    </row>
    <row r="3249" spans="2:7" x14ac:dyDescent="0.35">
      <c r="B3249" s="1">
        <v>45793</v>
      </c>
      <c r="C3249" s="2">
        <v>0.29166666666666669</v>
      </c>
      <c r="D3249">
        <v>11.9</v>
      </c>
      <c r="E3249">
        <f>IF($D3249 &gt; 16, 0, $J$3*(16 - $D3249))</f>
        <v>851.76943507285762</v>
      </c>
      <c r="F3249">
        <f>IF($D3249 &gt; 16, 0,$E3249*$J$5)</f>
        <v>9257881.9898068886</v>
      </c>
      <c r="G3249">
        <f t="shared" si="50"/>
        <v>4.0999999999999996</v>
      </c>
    </row>
    <row r="3250" spans="2:7" x14ac:dyDescent="0.35">
      <c r="B3250" s="1">
        <v>45793</v>
      </c>
      <c r="C3250" s="2">
        <v>0.33333333333333331</v>
      </c>
      <c r="D3250">
        <v>13.6</v>
      </c>
      <c r="E3250">
        <f>IF($D3250 &gt; 16, 0, $J$3*(16 - $D3250))</f>
        <v>498.59674248167283</v>
      </c>
      <c r="F3250">
        <f>IF($D3250 &gt; 16, 0,$E3250*$J$5)</f>
        <v>5419247.9940333022</v>
      </c>
      <c r="G3250">
        <f t="shared" si="50"/>
        <v>2.4000000000000004</v>
      </c>
    </row>
    <row r="3251" spans="2:7" x14ac:dyDescent="0.35">
      <c r="B3251" s="1">
        <v>45793</v>
      </c>
      <c r="C3251" s="2">
        <v>0.375</v>
      </c>
      <c r="D3251">
        <v>15.6</v>
      </c>
      <c r="E3251">
        <f>IF($D3251 &gt; 16, 0, $J$3*(16 - $D3251))</f>
        <v>83.099457080278867</v>
      </c>
      <c r="F3251">
        <f>IF($D3251 &gt; 16, 0,$E3251*$J$5)</f>
        <v>903207.99900555098</v>
      </c>
      <c r="G3251">
        <f t="shared" si="50"/>
        <v>0.40000000000000036</v>
      </c>
    </row>
    <row r="3252" spans="2:7" x14ac:dyDescent="0.35">
      <c r="B3252" s="1">
        <v>45793</v>
      </c>
      <c r="C3252" s="2">
        <v>0.41666666666666669</v>
      </c>
      <c r="D3252">
        <v>15.7</v>
      </c>
      <c r="E3252">
        <f>IF($D3252 &gt; 16, 0, $J$3*(16 - $D3252))</f>
        <v>62.324592810209246</v>
      </c>
      <c r="F3252">
        <f>IF($D3252 &gt; 16, 0,$E3252*$J$5)</f>
        <v>677405.99925416429</v>
      </c>
      <c r="G3252">
        <f t="shared" si="50"/>
        <v>0.30000000000000071</v>
      </c>
    </row>
    <row r="3253" spans="2:7" x14ac:dyDescent="0.35">
      <c r="B3253" s="1">
        <v>45793</v>
      </c>
      <c r="C3253" s="2">
        <v>0.45833333333333331</v>
      </c>
      <c r="D3253">
        <v>16.2</v>
      </c>
      <c r="E3253">
        <f>IF($D3253 &gt; 16, 0, $J$3*(16 - $D3253))</f>
        <v>0</v>
      </c>
      <c r="F3253">
        <f>IF($D3253 &gt; 16, 0,$E3253*$J$5)</f>
        <v>0</v>
      </c>
      <c r="G3253">
        <f t="shared" si="50"/>
        <v>0</v>
      </c>
    </row>
    <row r="3254" spans="2:7" x14ac:dyDescent="0.35">
      <c r="B3254" s="1">
        <v>45793</v>
      </c>
      <c r="C3254" s="2">
        <v>0.5</v>
      </c>
      <c r="D3254">
        <v>17.3</v>
      </c>
      <c r="E3254">
        <f>IF($D3254 &gt; 16, 0, $J$3*(16 - $D3254))</f>
        <v>0</v>
      </c>
      <c r="F3254">
        <f>IF($D3254 &gt; 16, 0,$E3254*$J$5)</f>
        <v>0</v>
      </c>
      <c r="G3254">
        <f t="shared" si="50"/>
        <v>0</v>
      </c>
    </row>
    <row r="3255" spans="2:7" x14ac:dyDescent="0.35">
      <c r="B3255" s="1">
        <v>45793</v>
      </c>
      <c r="C3255" s="2">
        <v>0.54166666666666663</v>
      </c>
      <c r="D3255">
        <v>14.5</v>
      </c>
      <c r="E3255">
        <f>IF($D3255 &gt; 16, 0, $J$3*(16 - $D3255))</f>
        <v>311.62296405104547</v>
      </c>
      <c r="F3255">
        <f>IF($D3255 &gt; 16, 0,$E3255*$J$5)</f>
        <v>3387029.996270813</v>
      </c>
      <c r="G3255">
        <f t="shared" si="50"/>
        <v>1.5</v>
      </c>
    </row>
    <row r="3256" spans="2:7" x14ac:dyDescent="0.35">
      <c r="B3256" s="1">
        <v>45793</v>
      </c>
      <c r="C3256" s="2">
        <v>0.58333333333333337</v>
      </c>
      <c r="D3256">
        <v>16.2</v>
      </c>
      <c r="E3256">
        <f>IF($D3256 &gt; 16, 0, $J$3*(16 - $D3256))</f>
        <v>0</v>
      </c>
      <c r="F3256">
        <f>IF($D3256 &gt; 16, 0,$E3256*$J$5)</f>
        <v>0</v>
      </c>
      <c r="G3256">
        <f t="shared" si="50"/>
        <v>0</v>
      </c>
    </row>
    <row r="3257" spans="2:7" x14ac:dyDescent="0.35">
      <c r="B3257" s="1">
        <v>45793</v>
      </c>
      <c r="C3257" s="2">
        <v>0.625</v>
      </c>
      <c r="D3257">
        <v>16.7</v>
      </c>
      <c r="E3257">
        <f>IF($D3257 &gt; 16, 0, $J$3*(16 - $D3257))</f>
        <v>0</v>
      </c>
      <c r="F3257">
        <f>IF($D3257 &gt; 16, 0,$E3257*$J$5)</f>
        <v>0</v>
      </c>
      <c r="G3257">
        <f t="shared" si="50"/>
        <v>0</v>
      </c>
    </row>
    <row r="3258" spans="2:7" x14ac:dyDescent="0.35">
      <c r="B3258" s="1">
        <v>45793</v>
      </c>
      <c r="C3258" s="2">
        <v>0.66666666666666663</v>
      </c>
      <c r="D3258">
        <v>16.5</v>
      </c>
      <c r="E3258">
        <f>IF($D3258 &gt; 16, 0, $J$3*(16 - $D3258))</f>
        <v>0</v>
      </c>
      <c r="F3258">
        <f>IF($D3258 &gt; 16, 0,$E3258*$J$5)</f>
        <v>0</v>
      </c>
      <c r="G3258">
        <f t="shared" si="50"/>
        <v>0</v>
      </c>
    </row>
    <row r="3259" spans="2:7" x14ac:dyDescent="0.35">
      <c r="B3259" s="1">
        <v>45793</v>
      </c>
      <c r="C3259" s="2">
        <v>0.70833333333333337</v>
      </c>
      <c r="D3259">
        <v>16.100000000000001</v>
      </c>
      <c r="E3259">
        <f>IF($D3259 &gt; 16, 0, $J$3*(16 - $D3259))</f>
        <v>0</v>
      </c>
      <c r="F3259">
        <f>IF($D3259 &gt; 16, 0,$E3259*$J$5)</f>
        <v>0</v>
      </c>
      <c r="G3259">
        <f t="shared" si="50"/>
        <v>0</v>
      </c>
    </row>
    <row r="3260" spans="2:7" x14ac:dyDescent="0.35">
      <c r="B3260" s="1">
        <v>45793</v>
      </c>
      <c r="C3260" s="2">
        <v>0.75</v>
      </c>
      <c r="D3260">
        <v>15.3</v>
      </c>
      <c r="E3260">
        <f>IF($D3260 &gt; 16, 0, $J$3*(16 - $D3260))</f>
        <v>145.42404989048774</v>
      </c>
      <c r="F3260">
        <f>IF($D3260 &gt; 16, 0,$E3260*$J$5)</f>
        <v>1580613.9982597113</v>
      </c>
      <c r="G3260">
        <f t="shared" si="50"/>
        <v>0.69999999999999929</v>
      </c>
    </row>
    <row r="3261" spans="2:7" x14ac:dyDescent="0.35">
      <c r="B3261" s="1">
        <v>45793</v>
      </c>
      <c r="C3261" s="2">
        <v>0.79166666666666663</v>
      </c>
      <c r="D3261">
        <v>14.1</v>
      </c>
      <c r="E3261">
        <f>IF($D3261 &gt; 16, 0, $J$3*(16 - $D3261))</f>
        <v>394.72242113132438</v>
      </c>
      <c r="F3261">
        <f>IF($D3261 &gt; 16, 0,$E3261*$J$5)</f>
        <v>4290237.9952763645</v>
      </c>
      <c r="G3261">
        <f t="shared" si="50"/>
        <v>1.9000000000000004</v>
      </c>
    </row>
    <row r="3262" spans="2:7" x14ac:dyDescent="0.35">
      <c r="B3262" s="1">
        <v>45793</v>
      </c>
      <c r="C3262" s="2">
        <v>0.83333333333333337</v>
      </c>
      <c r="D3262">
        <v>11.7</v>
      </c>
      <c r="E3262">
        <f>IF($D3262 &gt; 16, 0, $J$3*(16 - $D3262))</f>
        <v>893.31916361299716</v>
      </c>
      <c r="F3262">
        <f>IF($D3262 &gt; 16, 0,$E3262*$J$5)</f>
        <v>9709485.9893096667</v>
      </c>
      <c r="G3262">
        <f t="shared" si="50"/>
        <v>4.3000000000000007</v>
      </c>
    </row>
    <row r="3263" spans="2:7" x14ac:dyDescent="0.35">
      <c r="B3263" s="1">
        <v>45793</v>
      </c>
      <c r="C3263" s="2">
        <v>0.875</v>
      </c>
      <c r="D3263">
        <v>10.5</v>
      </c>
      <c r="E3263">
        <f>IF($D3263 &gt; 16, 0, $J$3*(16 - $D3263))</f>
        <v>1142.6175348538334</v>
      </c>
      <c r="F3263">
        <f>IF($D3263 &gt; 16, 0,$E3263*$J$5)</f>
        <v>12419109.986326315</v>
      </c>
      <c r="G3263">
        <f t="shared" si="50"/>
        <v>5.5</v>
      </c>
    </row>
    <row r="3264" spans="2:7" x14ac:dyDescent="0.35">
      <c r="B3264" s="1">
        <v>45793</v>
      </c>
      <c r="C3264" s="2">
        <v>0.91666666666666663</v>
      </c>
      <c r="D3264">
        <v>8.3000000000000007</v>
      </c>
      <c r="E3264">
        <f>IF($D3264 &gt; 16, 0, $J$3*(16 - $D3264))</f>
        <v>1599.6645487953667</v>
      </c>
      <c r="F3264">
        <f>IF($D3264 &gt; 16, 0,$E3264*$J$5)</f>
        <v>17386753.98085684</v>
      </c>
      <c r="G3264">
        <f t="shared" si="50"/>
        <v>7.6999999999999993</v>
      </c>
    </row>
    <row r="3265" spans="2:7" x14ac:dyDescent="0.35">
      <c r="B3265" s="1">
        <v>45793</v>
      </c>
      <c r="C3265" s="2">
        <v>0.95833333333333337</v>
      </c>
      <c r="D3265">
        <v>6.2</v>
      </c>
      <c r="E3265">
        <f>IF($D3265 &gt; 16, 0, $J$3*(16 - $D3265))</f>
        <v>2035.9366984668306</v>
      </c>
      <c r="F3265">
        <f>IF($D3265 &gt; 16, 0,$E3265*$J$5)</f>
        <v>22128595.975635983</v>
      </c>
      <c r="G3265">
        <f t="shared" si="50"/>
        <v>9.8000000000000007</v>
      </c>
    </row>
    <row r="3266" spans="2:7" x14ac:dyDescent="0.35">
      <c r="B3266" s="1">
        <v>45794</v>
      </c>
      <c r="C3266" s="2">
        <v>0</v>
      </c>
      <c r="D3266">
        <v>6.4</v>
      </c>
      <c r="E3266">
        <f>IF($D3266 &gt; 16, 0, $J$3*(16 - $D3266))</f>
        <v>1994.3869699266911</v>
      </c>
      <c r="F3266">
        <f>IF($D3266 &gt; 16, 0,$E3266*$J$5)</f>
        <v>21676991.976133205</v>
      </c>
      <c r="G3266">
        <f t="shared" si="50"/>
        <v>9.6</v>
      </c>
    </row>
    <row r="3267" spans="2:7" x14ac:dyDescent="0.35">
      <c r="B3267" s="1">
        <v>45794</v>
      </c>
      <c r="C3267" s="2">
        <v>4.1666666666666657E-2</v>
      </c>
      <c r="D3267">
        <v>4.8</v>
      </c>
      <c r="E3267">
        <f>IF($D3267 &gt; 16, 0, $J$3*(16 - $D3267))</f>
        <v>2326.7847982478061</v>
      </c>
      <c r="F3267">
        <f>IF($D3267 &gt; 16, 0,$E3267*$J$5)</f>
        <v>25289823.972155403</v>
      </c>
      <c r="G3267">
        <f t="shared" ref="G3267:G3330" si="51">MAX(0, 16 - $D3267)</f>
        <v>11.2</v>
      </c>
    </row>
    <row r="3268" spans="2:7" x14ac:dyDescent="0.35">
      <c r="B3268" s="1">
        <v>45794</v>
      </c>
      <c r="C3268" s="2">
        <v>8.3333333333333329E-2</v>
      </c>
      <c r="D3268">
        <v>4.4000000000000004</v>
      </c>
      <c r="E3268">
        <f>IF($D3268 &gt; 16, 0, $J$3*(16 - $D3268))</f>
        <v>2409.8842553280851</v>
      </c>
      <c r="F3268">
        <f>IF($D3268 &gt; 16, 0,$E3268*$J$5)</f>
        <v>26193031.971160956</v>
      </c>
      <c r="G3268">
        <f t="shared" si="51"/>
        <v>11.6</v>
      </c>
    </row>
    <row r="3269" spans="2:7" x14ac:dyDescent="0.35">
      <c r="B3269" s="1">
        <v>45794</v>
      </c>
      <c r="C3269" s="2">
        <v>0.125</v>
      </c>
      <c r="D3269">
        <v>4.9000000000000004</v>
      </c>
      <c r="E3269">
        <f>IF($D3269 &gt; 16, 0, $J$3*(16 - $D3269))</f>
        <v>2306.0099339777366</v>
      </c>
      <c r="F3269">
        <f>IF($D3269 &gt; 16, 0,$E3269*$J$5)</f>
        <v>25064021.972404018</v>
      </c>
      <c r="G3269">
        <f t="shared" si="51"/>
        <v>11.1</v>
      </c>
    </row>
    <row r="3270" spans="2:7" x14ac:dyDescent="0.35">
      <c r="B3270" s="1">
        <v>45794</v>
      </c>
      <c r="C3270" s="2">
        <v>0.16666666666666671</v>
      </c>
      <c r="D3270">
        <v>5.5</v>
      </c>
      <c r="E3270">
        <f>IF($D3270 &gt; 16, 0, $J$3*(16 - $D3270))</f>
        <v>2181.3607483573182</v>
      </c>
      <c r="F3270">
        <f>IF($D3270 &gt; 16, 0,$E3270*$J$5)</f>
        <v>23709209.973895691</v>
      </c>
      <c r="G3270">
        <f t="shared" si="51"/>
        <v>10.5</v>
      </c>
    </row>
    <row r="3271" spans="2:7" x14ac:dyDescent="0.35">
      <c r="B3271" s="1">
        <v>45794</v>
      </c>
      <c r="C3271" s="2">
        <v>0.20833333333333329</v>
      </c>
      <c r="D3271">
        <v>8.3000000000000007</v>
      </c>
      <c r="E3271">
        <f>IF($D3271 &gt; 16, 0, $J$3*(16 - $D3271))</f>
        <v>1599.6645487953667</v>
      </c>
      <c r="F3271">
        <f>IF($D3271 &gt; 16, 0,$E3271*$J$5)</f>
        <v>17386753.98085684</v>
      </c>
      <c r="G3271">
        <f t="shared" si="51"/>
        <v>7.6999999999999993</v>
      </c>
    </row>
    <row r="3272" spans="2:7" x14ac:dyDescent="0.35">
      <c r="B3272" s="1">
        <v>45794</v>
      </c>
      <c r="C3272" s="2">
        <v>0.25</v>
      </c>
      <c r="D3272">
        <v>10.1</v>
      </c>
      <c r="E3272">
        <f>IF($D3272 &gt; 16, 0, $J$3*(16 - $D3272))</f>
        <v>1225.7169919341122</v>
      </c>
      <c r="F3272">
        <f>IF($D3272 &gt; 16, 0,$E3272*$J$5)</f>
        <v>13322317.985331865</v>
      </c>
      <c r="G3272">
        <f t="shared" si="51"/>
        <v>5.9</v>
      </c>
    </row>
    <row r="3273" spans="2:7" x14ac:dyDescent="0.35">
      <c r="B3273" s="1">
        <v>45794</v>
      </c>
      <c r="C3273" s="2">
        <v>0.29166666666666669</v>
      </c>
      <c r="D3273">
        <v>12.1</v>
      </c>
      <c r="E3273">
        <f>IF($D3273 &gt; 16, 0, $J$3*(16 - $D3273))</f>
        <v>810.21970653271831</v>
      </c>
      <c r="F3273">
        <f>IF($D3273 &gt; 16, 0,$E3273*$J$5)</f>
        <v>8806277.9903041162</v>
      </c>
      <c r="G3273">
        <f t="shared" si="51"/>
        <v>3.9000000000000004</v>
      </c>
    </row>
    <row r="3274" spans="2:7" x14ac:dyDescent="0.35">
      <c r="B3274" s="1">
        <v>45794</v>
      </c>
      <c r="C3274" s="2">
        <v>0.33333333333333331</v>
      </c>
      <c r="D3274">
        <v>12.9</v>
      </c>
      <c r="E3274">
        <f>IF($D3274 &gt; 16, 0, $J$3*(16 - $D3274))</f>
        <v>644.0207923721606</v>
      </c>
      <c r="F3274">
        <f>IF($D3274 &gt; 16, 0,$E3274*$J$5)</f>
        <v>6999861.9922930133</v>
      </c>
      <c r="G3274">
        <f t="shared" si="51"/>
        <v>3.0999999999999996</v>
      </c>
    </row>
    <row r="3275" spans="2:7" x14ac:dyDescent="0.35">
      <c r="B3275" s="1">
        <v>45794</v>
      </c>
      <c r="C3275" s="2">
        <v>0.375</v>
      </c>
      <c r="D3275">
        <v>13.5</v>
      </c>
      <c r="E3275">
        <f>IF($D3275 &gt; 16, 0, $J$3*(16 - $D3275))</f>
        <v>519.37160675174243</v>
      </c>
      <c r="F3275">
        <f>IF($D3275 &gt; 16, 0,$E3275*$J$5)</f>
        <v>5645049.9937846884</v>
      </c>
      <c r="G3275">
        <f t="shared" si="51"/>
        <v>2.5</v>
      </c>
    </row>
    <row r="3276" spans="2:7" x14ac:dyDescent="0.35">
      <c r="B3276" s="1">
        <v>45794</v>
      </c>
      <c r="C3276" s="2">
        <v>0.41666666666666669</v>
      </c>
      <c r="D3276">
        <v>15.8</v>
      </c>
      <c r="E3276">
        <f>IF($D3276 &gt; 16, 0, $J$3*(16 - $D3276))</f>
        <v>41.549728540139249</v>
      </c>
      <c r="F3276">
        <f>IF($D3276 &gt; 16, 0,$E3276*$J$5)</f>
        <v>451603.99950277351</v>
      </c>
      <c r="G3276">
        <f t="shared" si="51"/>
        <v>0.19999999999999929</v>
      </c>
    </row>
    <row r="3277" spans="2:7" x14ac:dyDescent="0.35">
      <c r="B3277" s="1">
        <v>45794</v>
      </c>
      <c r="C3277" s="2">
        <v>0.45833333333333331</v>
      </c>
      <c r="D3277">
        <v>16.899999999999999</v>
      </c>
      <c r="E3277">
        <f>IF($D3277 &gt; 16, 0, $J$3*(16 - $D3277))</f>
        <v>0</v>
      </c>
      <c r="F3277">
        <f>IF($D3277 &gt; 16, 0,$E3277*$J$5)</f>
        <v>0</v>
      </c>
      <c r="G3277">
        <f t="shared" si="51"/>
        <v>0</v>
      </c>
    </row>
    <row r="3278" spans="2:7" x14ac:dyDescent="0.35">
      <c r="B3278" s="1">
        <v>45794</v>
      </c>
      <c r="C3278" s="2">
        <v>0.5</v>
      </c>
      <c r="D3278">
        <v>18.8</v>
      </c>
      <c r="E3278">
        <f>IF($D3278 &gt; 16, 0, $J$3*(16 - $D3278))</f>
        <v>0</v>
      </c>
      <c r="F3278">
        <f>IF($D3278 &gt; 16, 0,$E3278*$J$5)</f>
        <v>0</v>
      </c>
      <c r="G3278">
        <f t="shared" si="51"/>
        <v>0</v>
      </c>
    </row>
    <row r="3279" spans="2:7" x14ac:dyDescent="0.35">
      <c r="B3279" s="1">
        <v>45794</v>
      </c>
      <c r="C3279" s="2">
        <v>0.54166666666666663</v>
      </c>
      <c r="D3279">
        <v>19.100000000000001</v>
      </c>
      <c r="E3279">
        <f>IF($D3279 &gt; 16, 0, $J$3*(16 - $D3279))</f>
        <v>0</v>
      </c>
      <c r="F3279">
        <f>IF($D3279 &gt; 16, 0,$E3279*$J$5)</f>
        <v>0</v>
      </c>
      <c r="G3279">
        <f t="shared" si="51"/>
        <v>0</v>
      </c>
    </row>
    <row r="3280" spans="2:7" x14ac:dyDescent="0.35">
      <c r="B3280" s="1">
        <v>45794</v>
      </c>
      <c r="C3280" s="2">
        <v>0.58333333333333337</v>
      </c>
      <c r="D3280">
        <v>18.399999999999999</v>
      </c>
      <c r="E3280">
        <f>IF($D3280 &gt; 16, 0, $J$3*(16 - $D3280))</f>
        <v>0</v>
      </c>
      <c r="F3280">
        <f>IF($D3280 &gt; 16, 0,$E3280*$J$5)</f>
        <v>0</v>
      </c>
      <c r="G3280">
        <f t="shared" si="51"/>
        <v>0</v>
      </c>
    </row>
    <row r="3281" spans="2:7" x14ac:dyDescent="0.35">
      <c r="B3281" s="1">
        <v>45794</v>
      </c>
      <c r="C3281" s="2">
        <v>0.625</v>
      </c>
      <c r="D3281">
        <v>18.2</v>
      </c>
      <c r="E3281">
        <f>IF($D3281 &gt; 16, 0, $J$3*(16 - $D3281))</f>
        <v>0</v>
      </c>
      <c r="F3281">
        <f>IF($D3281 &gt; 16, 0,$E3281*$J$5)</f>
        <v>0</v>
      </c>
      <c r="G3281">
        <f t="shared" si="51"/>
        <v>0</v>
      </c>
    </row>
    <row r="3282" spans="2:7" x14ac:dyDescent="0.35">
      <c r="B3282" s="1">
        <v>45794</v>
      </c>
      <c r="C3282" s="2">
        <v>0.66666666666666663</v>
      </c>
      <c r="D3282">
        <v>18.399999999999999</v>
      </c>
      <c r="E3282">
        <f>IF($D3282 &gt; 16, 0, $J$3*(16 - $D3282))</f>
        <v>0</v>
      </c>
      <c r="F3282">
        <f>IF($D3282 &gt; 16, 0,$E3282*$J$5)</f>
        <v>0</v>
      </c>
      <c r="G3282">
        <f t="shared" si="51"/>
        <v>0</v>
      </c>
    </row>
    <row r="3283" spans="2:7" x14ac:dyDescent="0.35">
      <c r="B3283" s="1">
        <v>45794</v>
      </c>
      <c r="C3283" s="2">
        <v>0.70833333333333337</v>
      </c>
      <c r="D3283">
        <v>16.899999999999999</v>
      </c>
      <c r="E3283">
        <f>IF($D3283 &gt; 16, 0, $J$3*(16 - $D3283))</f>
        <v>0</v>
      </c>
      <c r="F3283">
        <f>IF($D3283 &gt; 16, 0,$E3283*$J$5)</f>
        <v>0</v>
      </c>
      <c r="G3283">
        <f t="shared" si="51"/>
        <v>0</v>
      </c>
    </row>
    <row r="3284" spans="2:7" x14ac:dyDescent="0.35">
      <c r="B3284" s="1">
        <v>45794</v>
      </c>
      <c r="C3284" s="2">
        <v>0.75</v>
      </c>
      <c r="D3284">
        <v>14.2</v>
      </c>
      <c r="E3284">
        <f>IF($D3284 &gt; 16, 0, $J$3*(16 - $D3284))</f>
        <v>373.94755686125472</v>
      </c>
      <c r="F3284">
        <f>IF($D3284 &gt; 16, 0,$E3284*$J$5)</f>
        <v>4064435.9955249778</v>
      </c>
      <c r="G3284">
        <f t="shared" si="51"/>
        <v>1.8000000000000007</v>
      </c>
    </row>
    <row r="3285" spans="2:7" x14ac:dyDescent="0.35">
      <c r="B3285" s="1">
        <v>45794</v>
      </c>
      <c r="C3285" s="2">
        <v>0.79166666666666663</v>
      </c>
      <c r="D3285">
        <v>13.3</v>
      </c>
      <c r="E3285">
        <f>IF($D3285 &gt; 16, 0, $J$3*(16 - $D3285))</f>
        <v>560.92133529188175</v>
      </c>
      <c r="F3285">
        <f>IF($D3285 &gt; 16, 0,$E3285*$J$5)</f>
        <v>6096653.9932874627</v>
      </c>
      <c r="G3285">
        <f t="shared" si="51"/>
        <v>2.6999999999999993</v>
      </c>
    </row>
    <row r="3286" spans="2:7" x14ac:dyDescent="0.35">
      <c r="B3286" s="1">
        <v>45794</v>
      </c>
      <c r="C3286" s="2">
        <v>0.83333333333333337</v>
      </c>
      <c r="D3286">
        <v>13.2</v>
      </c>
      <c r="E3286">
        <f>IF($D3286 &gt; 16, 0, $J$3*(16 - $D3286))</f>
        <v>581.69619956195174</v>
      </c>
      <c r="F3286">
        <f>IF($D3286 &gt; 16, 0,$E3286*$J$5)</f>
        <v>6322455.9930388536</v>
      </c>
      <c r="G3286">
        <f t="shared" si="51"/>
        <v>2.8000000000000007</v>
      </c>
    </row>
    <row r="3287" spans="2:7" x14ac:dyDescent="0.35">
      <c r="B3287" s="1">
        <v>45794</v>
      </c>
      <c r="C3287" s="2">
        <v>0.875</v>
      </c>
      <c r="D3287">
        <v>12.5</v>
      </c>
      <c r="E3287">
        <f>IF($D3287 &gt; 16, 0, $J$3*(16 - $D3287))</f>
        <v>727.12024945243945</v>
      </c>
      <c r="F3287">
        <f>IF($D3287 &gt; 16, 0,$E3287*$J$5)</f>
        <v>7903069.9912985647</v>
      </c>
      <c r="G3287">
        <f t="shared" si="51"/>
        <v>3.5</v>
      </c>
    </row>
    <row r="3288" spans="2:7" x14ac:dyDescent="0.35">
      <c r="B3288" s="1">
        <v>45794</v>
      </c>
      <c r="C3288" s="2">
        <v>0.91666666666666663</v>
      </c>
      <c r="D3288">
        <v>9.5</v>
      </c>
      <c r="E3288">
        <f>IF($D3288 &gt; 16, 0, $J$3*(16 - $D3288))</f>
        <v>1350.3661775545304</v>
      </c>
      <c r="F3288">
        <f>IF($D3288 &gt; 16, 0,$E3288*$J$5)</f>
        <v>14677129.983840192</v>
      </c>
      <c r="G3288">
        <f t="shared" si="51"/>
        <v>6.5</v>
      </c>
    </row>
    <row r="3289" spans="2:7" x14ac:dyDescent="0.35">
      <c r="B3289" s="1">
        <v>45794</v>
      </c>
      <c r="C3289" s="2">
        <v>0.95833333333333337</v>
      </c>
      <c r="D3289">
        <v>8.6999999999999993</v>
      </c>
      <c r="E3289">
        <f>IF($D3289 &gt; 16, 0, $J$3*(16 - $D3289))</f>
        <v>1516.5650917150881</v>
      </c>
      <c r="F3289">
        <f>IF($D3289 &gt; 16, 0,$E3289*$J$5)</f>
        <v>16483545.981851293</v>
      </c>
      <c r="G3289">
        <f t="shared" si="51"/>
        <v>7.3000000000000007</v>
      </c>
    </row>
    <row r="3290" spans="2:7" x14ac:dyDescent="0.35">
      <c r="B3290" s="1">
        <v>45795</v>
      </c>
      <c r="C3290" s="2">
        <v>0</v>
      </c>
      <c r="D3290">
        <v>9.6</v>
      </c>
      <c r="E3290">
        <f>IF($D3290 &gt; 16, 0, $J$3*(16 - $D3290))</f>
        <v>1329.5913132844607</v>
      </c>
      <c r="F3290">
        <f>IF($D3290 &gt; 16, 0,$E3290*$J$5)</f>
        <v>14451327.984088805</v>
      </c>
      <c r="G3290">
        <f t="shared" si="51"/>
        <v>6.4</v>
      </c>
    </row>
    <row r="3291" spans="2:7" x14ac:dyDescent="0.35">
      <c r="B3291" s="1">
        <v>45795</v>
      </c>
      <c r="C3291" s="2">
        <v>4.1666666666666657E-2</v>
      </c>
      <c r="D3291">
        <v>8.6999999999999993</v>
      </c>
      <c r="E3291">
        <f>IF($D3291 &gt; 16, 0, $J$3*(16 - $D3291))</f>
        <v>1516.5650917150881</v>
      </c>
      <c r="F3291">
        <f>IF($D3291 &gt; 16, 0,$E3291*$J$5)</f>
        <v>16483545.981851293</v>
      </c>
      <c r="G3291">
        <f t="shared" si="51"/>
        <v>7.3000000000000007</v>
      </c>
    </row>
    <row r="3292" spans="2:7" x14ac:dyDescent="0.35">
      <c r="B3292" s="1">
        <v>45795</v>
      </c>
      <c r="C3292" s="2">
        <v>8.3333333333333329E-2</v>
      </c>
      <c r="D3292">
        <v>6.8</v>
      </c>
      <c r="E3292">
        <f>IF($D3292 &gt; 16, 0, $J$3*(16 - $D3292))</f>
        <v>1911.2875128464123</v>
      </c>
      <c r="F3292">
        <f>IF($D3292 &gt; 16, 0,$E3292*$J$5)</f>
        <v>20773783.977127656</v>
      </c>
      <c r="G3292">
        <f t="shared" si="51"/>
        <v>9.1999999999999993</v>
      </c>
    </row>
    <row r="3293" spans="2:7" x14ac:dyDescent="0.35">
      <c r="B3293" s="1">
        <v>45795</v>
      </c>
      <c r="C3293" s="2">
        <v>0.125</v>
      </c>
      <c r="D3293">
        <v>8.4</v>
      </c>
      <c r="E3293">
        <f>IF($D3293 &gt; 16, 0, $J$3*(16 - $D3293))</f>
        <v>1578.8896845252971</v>
      </c>
      <c r="F3293">
        <f>IF($D3293 &gt; 16, 0,$E3293*$J$5)</f>
        <v>17160951.981105454</v>
      </c>
      <c r="G3293">
        <f t="shared" si="51"/>
        <v>7.6</v>
      </c>
    </row>
    <row r="3294" spans="2:7" x14ac:dyDescent="0.35">
      <c r="B3294" s="1">
        <v>45795</v>
      </c>
      <c r="C3294" s="2">
        <v>0.16666666666666671</v>
      </c>
      <c r="D3294">
        <v>8.1999999999999993</v>
      </c>
      <c r="E3294">
        <f>IF($D3294 &gt; 16, 0, $J$3*(16 - $D3294))</f>
        <v>1620.4394130654366</v>
      </c>
      <c r="F3294">
        <f>IF($D3294 &gt; 16, 0,$E3294*$J$5)</f>
        <v>17612555.980608232</v>
      </c>
      <c r="G3294">
        <f t="shared" si="51"/>
        <v>7.8000000000000007</v>
      </c>
    </row>
    <row r="3295" spans="2:7" x14ac:dyDescent="0.35">
      <c r="B3295" s="1">
        <v>45795</v>
      </c>
      <c r="C3295" s="2">
        <v>0.20833333333333329</v>
      </c>
      <c r="D3295">
        <v>8.8000000000000007</v>
      </c>
      <c r="E3295">
        <f>IF($D3295 &gt; 16, 0, $J$3*(16 - $D3295))</f>
        <v>1495.7902274450182</v>
      </c>
      <c r="F3295">
        <f>IF($D3295 &gt; 16, 0,$E3295*$J$5)</f>
        <v>16257743.982099904</v>
      </c>
      <c r="G3295">
        <f t="shared" si="51"/>
        <v>7.1999999999999993</v>
      </c>
    </row>
    <row r="3296" spans="2:7" x14ac:dyDescent="0.35">
      <c r="B3296" s="1">
        <v>45795</v>
      </c>
      <c r="C3296" s="2">
        <v>0.25</v>
      </c>
      <c r="D3296">
        <v>10.1</v>
      </c>
      <c r="E3296">
        <f>IF($D3296 &gt; 16, 0, $J$3*(16 - $D3296))</f>
        <v>1225.7169919341122</v>
      </c>
      <c r="F3296">
        <f>IF($D3296 &gt; 16, 0,$E3296*$J$5)</f>
        <v>13322317.985331865</v>
      </c>
      <c r="G3296">
        <f t="shared" si="51"/>
        <v>5.9</v>
      </c>
    </row>
    <row r="3297" spans="2:7" x14ac:dyDescent="0.35">
      <c r="B3297" s="1">
        <v>45795</v>
      </c>
      <c r="C3297" s="2">
        <v>0.29166666666666669</v>
      </c>
      <c r="D3297">
        <v>11</v>
      </c>
      <c r="E3297">
        <f>IF($D3297 &gt; 16, 0, $J$3*(16 - $D3297))</f>
        <v>1038.7432135034849</v>
      </c>
      <c r="F3297">
        <f>IF($D3297 &gt; 16, 0,$E3297*$J$5)</f>
        <v>11290099.987569377</v>
      </c>
      <c r="G3297">
        <f t="shared" si="51"/>
        <v>5</v>
      </c>
    </row>
    <row r="3298" spans="2:7" x14ac:dyDescent="0.35">
      <c r="B3298" s="1">
        <v>45795</v>
      </c>
      <c r="C3298" s="2">
        <v>0.33333333333333331</v>
      </c>
      <c r="D3298">
        <v>13.4</v>
      </c>
      <c r="E3298">
        <f>IF($D3298 &gt; 16, 0, $J$3*(16 - $D3298))</f>
        <v>540.14647102181209</v>
      </c>
      <c r="F3298">
        <f>IF($D3298 &gt; 16, 0,$E3298*$J$5)</f>
        <v>5870851.9935360756</v>
      </c>
      <c r="G3298">
        <f t="shared" si="51"/>
        <v>2.5999999999999996</v>
      </c>
    </row>
    <row r="3299" spans="2:7" x14ac:dyDescent="0.35">
      <c r="B3299" s="1">
        <v>45795</v>
      </c>
      <c r="C3299" s="2">
        <v>0.375</v>
      </c>
      <c r="D3299">
        <v>15.5</v>
      </c>
      <c r="E3299">
        <f>IF($D3299 &gt; 16, 0, $J$3*(16 - $D3299))</f>
        <v>103.8743213503485</v>
      </c>
      <c r="F3299">
        <f>IF($D3299 &gt; 16, 0,$E3299*$J$5)</f>
        <v>1129009.9987569377</v>
      </c>
      <c r="G3299">
        <f t="shared" si="51"/>
        <v>0.5</v>
      </c>
    </row>
    <row r="3300" spans="2:7" x14ac:dyDescent="0.35">
      <c r="B3300" s="1">
        <v>45795</v>
      </c>
      <c r="C3300" s="2">
        <v>0.41666666666666669</v>
      </c>
      <c r="D3300">
        <v>16.3</v>
      </c>
      <c r="E3300">
        <f>IF($D3300 &gt; 16, 0, $J$3*(16 - $D3300))</f>
        <v>0</v>
      </c>
      <c r="F3300">
        <f>IF($D3300 &gt; 16, 0,$E3300*$J$5)</f>
        <v>0</v>
      </c>
      <c r="G3300">
        <f t="shared" si="51"/>
        <v>0</v>
      </c>
    </row>
    <row r="3301" spans="2:7" x14ac:dyDescent="0.35">
      <c r="B3301" s="1">
        <v>45795</v>
      </c>
      <c r="C3301" s="2">
        <v>0.45833333333333331</v>
      </c>
      <c r="D3301">
        <v>17.399999999999999</v>
      </c>
      <c r="E3301">
        <f>IF($D3301 &gt; 16, 0, $J$3*(16 - $D3301))</f>
        <v>0</v>
      </c>
      <c r="F3301">
        <f>IF($D3301 &gt; 16, 0,$E3301*$J$5)</f>
        <v>0</v>
      </c>
      <c r="G3301">
        <f t="shared" si="51"/>
        <v>0</v>
      </c>
    </row>
    <row r="3302" spans="2:7" x14ac:dyDescent="0.35">
      <c r="B3302" s="1">
        <v>45795</v>
      </c>
      <c r="C3302" s="2">
        <v>0.5</v>
      </c>
      <c r="D3302">
        <v>18.3</v>
      </c>
      <c r="E3302">
        <f>IF($D3302 &gt; 16, 0, $J$3*(16 - $D3302))</f>
        <v>0</v>
      </c>
      <c r="F3302">
        <f>IF($D3302 &gt; 16, 0,$E3302*$J$5)</f>
        <v>0</v>
      </c>
      <c r="G3302">
        <f t="shared" si="51"/>
        <v>0</v>
      </c>
    </row>
    <row r="3303" spans="2:7" x14ac:dyDescent="0.35">
      <c r="B3303" s="1">
        <v>45795</v>
      </c>
      <c r="C3303" s="2">
        <v>0.54166666666666663</v>
      </c>
      <c r="D3303">
        <v>17</v>
      </c>
      <c r="E3303">
        <f>IF($D3303 &gt; 16, 0, $J$3*(16 - $D3303))</f>
        <v>0</v>
      </c>
      <c r="F3303">
        <f>IF($D3303 &gt; 16, 0,$E3303*$J$5)</f>
        <v>0</v>
      </c>
      <c r="G3303">
        <f t="shared" si="51"/>
        <v>0</v>
      </c>
    </row>
    <row r="3304" spans="2:7" x14ac:dyDescent="0.35">
      <c r="B3304" s="1">
        <v>45795</v>
      </c>
      <c r="C3304" s="2">
        <v>0.58333333333333337</v>
      </c>
      <c r="D3304">
        <v>17.7</v>
      </c>
      <c r="E3304">
        <f>IF($D3304 &gt; 16, 0, $J$3*(16 - $D3304))</f>
        <v>0</v>
      </c>
      <c r="F3304">
        <f>IF($D3304 &gt; 16, 0,$E3304*$J$5)</f>
        <v>0</v>
      </c>
      <c r="G3304">
        <f t="shared" si="51"/>
        <v>0</v>
      </c>
    </row>
    <row r="3305" spans="2:7" x14ac:dyDescent="0.35">
      <c r="B3305" s="1">
        <v>45795</v>
      </c>
      <c r="C3305" s="2">
        <v>0.625</v>
      </c>
      <c r="D3305">
        <v>16.899999999999999</v>
      </c>
      <c r="E3305">
        <f>IF($D3305 &gt; 16, 0, $J$3*(16 - $D3305))</f>
        <v>0</v>
      </c>
      <c r="F3305">
        <f>IF($D3305 &gt; 16, 0,$E3305*$J$5)</f>
        <v>0</v>
      </c>
      <c r="G3305">
        <f t="shared" si="51"/>
        <v>0</v>
      </c>
    </row>
    <row r="3306" spans="2:7" x14ac:dyDescent="0.35">
      <c r="B3306" s="1">
        <v>45795</v>
      </c>
      <c r="C3306" s="2">
        <v>0.66666666666666663</v>
      </c>
      <c r="D3306">
        <v>16.899999999999999</v>
      </c>
      <c r="E3306">
        <f>IF($D3306 &gt; 16, 0, $J$3*(16 - $D3306))</f>
        <v>0</v>
      </c>
      <c r="F3306">
        <f>IF($D3306 &gt; 16, 0,$E3306*$J$5)</f>
        <v>0</v>
      </c>
      <c r="G3306">
        <f t="shared" si="51"/>
        <v>0</v>
      </c>
    </row>
    <row r="3307" spans="2:7" x14ac:dyDescent="0.35">
      <c r="B3307" s="1">
        <v>45795</v>
      </c>
      <c r="C3307" s="2">
        <v>0.70833333333333337</v>
      </c>
      <c r="D3307">
        <v>17.399999999999999</v>
      </c>
      <c r="E3307">
        <f>IF($D3307 &gt; 16, 0, $J$3*(16 - $D3307))</f>
        <v>0</v>
      </c>
      <c r="F3307">
        <f>IF($D3307 &gt; 16, 0,$E3307*$J$5)</f>
        <v>0</v>
      </c>
      <c r="G3307">
        <f t="shared" si="51"/>
        <v>0</v>
      </c>
    </row>
    <row r="3308" spans="2:7" x14ac:dyDescent="0.35">
      <c r="B3308" s="1">
        <v>45795</v>
      </c>
      <c r="C3308" s="2">
        <v>0.75</v>
      </c>
      <c r="D3308">
        <v>16</v>
      </c>
      <c r="E3308">
        <f>IF($D3308 &gt; 16, 0, $J$3*(16 - $D3308))</f>
        <v>0</v>
      </c>
      <c r="F3308">
        <f>IF($D3308 &gt; 16, 0,$E3308*$J$5)</f>
        <v>0</v>
      </c>
      <c r="G3308">
        <f t="shared" si="51"/>
        <v>0</v>
      </c>
    </row>
    <row r="3309" spans="2:7" x14ac:dyDescent="0.35">
      <c r="B3309" s="1">
        <v>45795</v>
      </c>
      <c r="C3309" s="2">
        <v>0.79166666666666663</v>
      </c>
      <c r="D3309">
        <v>14.7</v>
      </c>
      <c r="E3309">
        <f>IF($D3309 &gt; 16, 0, $J$3*(16 - $D3309))</f>
        <v>270.07323551090622</v>
      </c>
      <c r="F3309">
        <f>IF($D3309 &gt; 16, 0,$E3309*$J$5)</f>
        <v>2935425.9967680397</v>
      </c>
      <c r="G3309">
        <f t="shared" si="51"/>
        <v>1.3000000000000007</v>
      </c>
    </row>
    <row r="3310" spans="2:7" x14ac:dyDescent="0.35">
      <c r="B3310" s="1">
        <v>45795</v>
      </c>
      <c r="C3310" s="2">
        <v>0.83333333333333337</v>
      </c>
      <c r="D3310">
        <v>14</v>
      </c>
      <c r="E3310">
        <f>IF($D3310 &gt; 16, 0, $J$3*(16 - $D3310))</f>
        <v>415.49728540139398</v>
      </c>
      <c r="F3310">
        <f>IF($D3310 &gt; 16, 0,$E3310*$J$5)</f>
        <v>4516039.9950277507</v>
      </c>
      <c r="G3310">
        <f t="shared" si="51"/>
        <v>2</v>
      </c>
    </row>
    <row r="3311" spans="2:7" x14ac:dyDescent="0.35">
      <c r="B3311" s="1">
        <v>45795</v>
      </c>
      <c r="C3311" s="2">
        <v>0.875</v>
      </c>
      <c r="D3311">
        <v>13.6</v>
      </c>
      <c r="E3311">
        <f>IF($D3311 &gt; 16, 0, $J$3*(16 - $D3311))</f>
        <v>498.59674248167283</v>
      </c>
      <c r="F3311">
        <f>IF($D3311 &gt; 16, 0,$E3311*$J$5)</f>
        <v>5419247.9940333022</v>
      </c>
      <c r="G3311">
        <f t="shared" si="51"/>
        <v>2.4000000000000004</v>
      </c>
    </row>
    <row r="3312" spans="2:7" x14ac:dyDescent="0.35">
      <c r="B3312" s="1">
        <v>45795</v>
      </c>
      <c r="C3312" s="2">
        <v>0.91666666666666663</v>
      </c>
      <c r="D3312">
        <v>12.9</v>
      </c>
      <c r="E3312">
        <f>IF($D3312 &gt; 16, 0, $J$3*(16 - $D3312))</f>
        <v>644.0207923721606</v>
      </c>
      <c r="F3312">
        <f>IF($D3312 &gt; 16, 0,$E3312*$J$5)</f>
        <v>6999861.9922930133</v>
      </c>
      <c r="G3312">
        <f t="shared" si="51"/>
        <v>3.0999999999999996</v>
      </c>
    </row>
    <row r="3313" spans="2:7" x14ac:dyDescent="0.35">
      <c r="B3313" s="1">
        <v>45795</v>
      </c>
      <c r="C3313" s="2">
        <v>0.95833333333333337</v>
      </c>
      <c r="D3313">
        <v>12.6</v>
      </c>
      <c r="E3313">
        <f>IF($D3313 &gt; 16, 0, $J$3*(16 - $D3313))</f>
        <v>706.3453851823698</v>
      </c>
      <c r="F3313">
        <f>IF($D3313 &gt; 16, 0,$E3313*$J$5)</f>
        <v>7677267.9915471775</v>
      </c>
      <c r="G3313">
        <f t="shared" si="51"/>
        <v>3.4000000000000004</v>
      </c>
    </row>
    <row r="3314" spans="2:7" x14ac:dyDescent="0.35">
      <c r="B3314" s="1">
        <v>45796</v>
      </c>
      <c r="C3314" s="2">
        <v>0</v>
      </c>
      <c r="D3314">
        <v>11.9</v>
      </c>
      <c r="E3314">
        <f>IF($D3314 &gt; 16, 0, $J$3*(16 - $D3314))</f>
        <v>851.76943507285762</v>
      </c>
      <c r="F3314">
        <f>IF($D3314 &gt; 16, 0,$E3314*$J$5)</f>
        <v>9257881.9898068886</v>
      </c>
      <c r="G3314">
        <f t="shared" si="51"/>
        <v>4.0999999999999996</v>
      </c>
    </row>
    <row r="3315" spans="2:7" x14ac:dyDescent="0.35">
      <c r="B3315" s="1">
        <v>45796</v>
      </c>
      <c r="C3315" s="2">
        <v>4.1666666666666657E-2</v>
      </c>
      <c r="D3315">
        <v>10.8</v>
      </c>
      <c r="E3315">
        <f>IF($D3315 &gt; 16, 0, $J$3*(16 - $D3315))</f>
        <v>1080.2929420436242</v>
      </c>
      <c r="F3315">
        <f>IF($D3315 &gt; 16, 0,$E3315*$J$5)</f>
        <v>11741703.987072151</v>
      </c>
      <c r="G3315">
        <f t="shared" si="51"/>
        <v>5.1999999999999993</v>
      </c>
    </row>
    <row r="3316" spans="2:7" x14ac:dyDescent="0.35">
      <c r="B3316" s="1">
        <v>45796</v>
      </c>
      <c r="C3316" s="2">
        <v>8.3333333333333329E-2</v>
      </c>
      <c r="D3316">
        <v>10.199999999999999</v>
      </c>
      <c r="E3316">
        <f>IF($D3316 &gt; 16, 0, $J$3*(16 - $D3316))</f>
        <v>1204.9421276640428</v>
      </c>
      <c r="F3316">
        <f>IF($D3316 &gt; 16, 0,$E3316*$J$5)</f>
        <v>13096515.985580482</v>
      </c>
      <c r="G3316">
        <f t="shared" si="51"/>
        <v>5.8000000000000007</v>
      </c>
    </row>
    <row r="3317" spans="2:7" x14ac:dyDescent="0.35">
      <c r="B3317" s="1">
        <v>45796</v>
      </c>
      <c r="C3317" s="2">
        <v>0.125</v>
      </c>
      <c r="D3317">
        <v>10.6</v>
      </c>
      <c r="E3317">
        <f>IF($D3317 &gt; 16, 0, $J$3*(16 - $D3317))</f>
        <v>1121.8426705837637</v>
      </c>
      <c r="F3317">
        <f>IF($D3317 &gt; 16, 0,$E3317*$J$5)</f>
        <v>12193307.986574927</v>
      </c>
      <c r="G3317">
        <f t="shared" si="51"/>
        <v>5.4</v>
      </c>
    </row>
    <row r="3318" spans="2:7" x14ac:dyDescent="0.35">
      <c r="B3318" s="1">
        <v>45796</v>
      </c>
      <c r="C3318" s="2">
        <v>0.16666666666666671</v>
      </c>
      <c r="D3318">
        <v>10.9</v>
      </c>
      <c r="E3318">
        <f>IF($D3318 &gt; 16, 0, $J$3*(16 - $D3318))</f>
        <v>1059.5180777735545</v>
      </c>
      <c r="F3318">
        <f>IF($D3318 &gt; 16, 0,$E3318*$J$5)</f>
        <v>11515901.987320764</v>
      </c>
      <c r="G3318">
        <f t="shared" si="51"/>
        <v>5.0999999999999996</v>
      </c>
    </row>
    <row r="3319" spans="2:7" x14ac:dyDescent="0.35">
      <c r="B3319" s="1">
        <v>45796</v>
      </c>
      <c r="C3319" s="2">
        <v>0.20833333333333329</v>
      </c>
      <c r="D3319">
        <v>11</v>
      </c>
      <c r="E3319">
        <f>IF($D3319 &gt; 16, 0, $J$3*(16 - $D3319))</f>
        <v>1038.7432135034849</v>
      </c>
      <c r="F3319">
        <f>IF($D3319 &gt; 16, 0,$E3319*$J$5)</f>
        <v>11290099.987569377</v>
      </c>
      <c r="G3319">
        <f t="shared" si="51"/>
        <v>5</v>
      </c>
    </row>
    <row r="3320" spans="2:7" x14ac:dyDescent="0.35">
      <c r="B3320" s="1">
        <v>45796</v>
      </c>
      <c r="C3320" s="2">
        <v>0.25</v>
      </c>
      <c r="D3320">
        <v>12.1</v>
      </c>
      <c r="E3320">
        <f>IF($D3320 &gt; 16, 0, $J$3*(16 - $D3320))</f>
        <v>810.21970653271831</v>
      </c>
      <c r="F3320">
        <f>IF($D3320 &gt; 16, 0,$E3320*$J$5)</f>
        <v>8806277.9903041162</v>
      </c>
      <c r="G3320">
        <f t="shared" si="51"/>
        <v>3.9000000000000004</v>
      </c>
    </row>
    <row r="3321" spans="2:7" x14ac:dyDescent="0.35">
      <c r="B3321" s="1">
        <v>45796</v>
      </c>
      <c r="C3321" s="2">
        <v>0.29166666666666669</v>
      </c>
      <c r="D3321">
        <v>14.5</v>
      </c>
      <c r="E3321">
        <f>IF($D3321 &gt; 16, 0, $J$3*(16 - $D3321))</f>
        <v>311.62296405104547</v>
      </c>
      <c r="F3321">
        <f>IF($D3321 &gt; 16, 0,$E3321*$J$5)</f>
        <v>3387029.996270813</v>
      </c>
      <c r="G3321">
        <f t="shared" si="51"/>
        <v>1.5</v>
      </c>
    </row>
    <row r="3322" spans="2:7" x14ac:dyDescent="0.35">
      <c r="B3322" s="1">
        <v>45796</v>
      </c>
      <c r="C3322" s="2">
        <v>0.33333333333333331</v>
      </c>
      <c r="D3322">
        <v>15.1</v>
      </c>
      <c r="E3322">
        <f>IF($D3322 &gt; 16, 0, $J$3*(16 - $D3322))</f>
        <v>186.97377843062736</v>
      </c>
      <c r="F3322">
        <f>IF($D3322 &gt; 16, 0,$E3322*$J$5)</f>
        <v>2032217.9977624889</v>
      </c>
      <c r="G3322">
        <f t="shared" si="51"/>
        <v>0.90000000000000036</v>
      </c>
    </row>
    <row r="3323" spans="2:7" x14ac:dyDescent="0.35">
      <c r="B3323" s="1">
        <v>45796</v>
      </c>
      <c r="C3323" s="2">
        <v>0.375</v>
      </c>
      <c r="D3323">
        <v>16.5</v>
      </c>
      <c r="E3323">
        <f>IF($D3323 &gt; 16, 0, $J$3*(16 - $D3323))</f>
        <v>0</v>
      </c>
      <c r="F3323">
        <f>IF($D3323 &gt; 16, 0,$E3323*$J$5)</f>
        <v>0</v>
      </c>
      <c r="G3323">
        <f t="shared" si="51"/>
        <v>0</v>
      </c>
    </row>
    <row r="3324" spans="2:7" x14ac:dyDescent="0.35">
      <c r="B3324" s="1">
        <v>45796</v>
      </c>
      <c r="C3324" s="2">
        <v>0.41666666666666669</v>
      </c>
      <c r="D3324">
        <v>17.100000000000001</v>
      </c>
      <c r="E3324">
        <f>IF($D3324 &gt; 16, 0, $J$3*(16 - $D3324))</f>
        <v>0</v>
      </c>
      <c r="F3324">
        <f>IF($D3324 &gt; 16, 0,$E3324*$J$5)</f>
        <v>0</v>
      </c>
      <c r="G3324">
        <f t="shared" si="51"/>
        <v>0</v>
      </c>
    </row>
    <row r="3325" spans="2:7" x14ac:dyDescent="0.35">
      <c r="B3325" s="1">
        <v>45796</v>
      </c>
      <c r="C3325" s="2">
        <v>0.45833333333333331</v>
      </c>
      <c r="D3325">
        <v>17.899999999999999</v>
      </c>
      <c r="E3325">
        <f>IF($D3325 &gt; 16, 0, $J$3*(16 - $D3325))</f>
        <v>0</v>
      </c>
      <c r="F3325">
        <f>IF($D3325 &gt; 16, 0,$E3325*$J$5)</f>
        <v>0</v>
      </c>
      <c r="G3325">
        <f t="shared" si="51"/>
        <v>0</v>
      </c>
    </row>
    <row r="3326" spans="2:7" x14ac:dyDescent="0.35">
      <c r="B3326" s="1">
        <v>45796</v>
      </c>
      <c r="C3326" s="2">
        <v>0.5</v>
      </c>
      <c r="D3326">
        <v>20</v>
      </c>
      <c r="E3326">
        <f>IF($D3326 &gt; 16, 0, $J$3*(16 - $D3326))</f>
        <v>0</v>
      </c>
      <c r="F3326">
        <f>IF($D3326 &gt; 16, 0,$E3326*$J$5)</f>
        <v>0</v>
      </c>
      <c r="G3326">
        <f t="shared" si="51"/>
        <v>0</v>
      </c>
    </row>
    <row r="3327" spans="2:7" x14ac:dyDescent="0.35">
      <c r="B3327" s="1">
        <v>45796</v>
      </c>
      <c r="C3327" s="2">
        <v>0.54166666666666663</v>
      </c>
      <c r="D3327">
        <v>19.399999999999999</v>
      </c>
      <c r="E3327">
        <f>IF($D3327 &gt; 16, 0, $J$3*(16 - $D3327))</f>
        <v>0</v>
      </c>
      <c r="F3327">
        <f>IF($D3327 &gt; 16, 0,$E3327*$J$5)</f>
        <v>0</v>
      </c>
      <c r="G3327">
        <f t="shared" si="51"/>
        <v>0</v>
      </c>
    </row>
    <row r="3328" spans="2:7" x14ac:dyDescent="0.35">
      <c r="B3328" s="1">
        <v>45796</v>
      </c>
      <c r="C3328" s="2">
        <v>0.58333333333333337</v>
      </c>
      <c r="D3328">
        <v>20.5</v>
      </c>
      <c r="E3328">
        <f>IF($D3328 &gt; 16, 0, $J$3*(16 - $D3328))</f>
        <v>0</v>
      </c>
      <c r="F3328">
        <f>IF($D3328 &gt; 16, 0,$E3328*$J$5)</f>
        <v>0</v>
      </c>
      <c r="G3328">
        <f t="shared" si="51"/>
        <v>0</v>
      </c>
    </row>
    <row r="3329" spans="2:7" x14ac:dyDescent="0.35">
      <c r="B3329" s="1">
        <v>45796</v>
      </c>
      <c r="C3329" s="2">
        <v>0.625</v>
      </c>
      <c r="D3329">
        <v>20.5</v>
      </c>
      <c r="E3329">
        <f>IF($D3329 &gt; 16, 0, $J$3*(16 - $D3329))</f>
        <v>0</v>
      </c>
      <c r="F3329">
        <f>IF($D3329 &gt; 16, 0,$E3329*$J$5)</f>
        <v>0</v>
      </c>
      <c r="G3329">
        <f t="shared" si="51"/>
        <v>0</v>
      </c>
    </row>
    <row r="3330" spans="2:7" x14ac:dyDescent="0.35">
      <c r="B3330" s="1">
        <v>45796</v>
      </c>
      <c r="C3330" s="2">
        <v>0.66666666666666663</v>
      </c>
      <c r="D3330">
        <v>20.9</v>
      </c>
      <c r="E3330">
        <f>IF($D3330 &gt; 16, 0, $J$3*(16 - $D3330))</f>
        <v>0</v>
      </c>
      <c r="F3330">
        <f>IF($D3330 &gt; 16, 0,$E3330*$J$5)</f>
        <v>0</v>
      </c>
      <c r="G3330">
        <f t="shared" si="51"/>
        <v>0</v>
      </c>
    </row>
    <row r="3331" spans="2:7" x14ac:dyDescent="0.35">
      <c r="B3331" s="1">
        <v>45796</v>
      </c>
      <c r="C3331" s="2">
        <v>0.70833333333333337</v>
      </c>
      <c r="D3331">
        <v>19.7</v>
      </c>
      <c r="E3331">
        <f>IF($D3331 &gt; 16, 0, $J$3*(16 - $D3331))</f>
        <v>0</v>
      </c>
      <c r="F3331">
        <f>IF($D3331 &gt; 16, 0,$E3331*$J$5)</f>
        <v>0</v>
      </c>
      <c r="G3331">
        <f t="shared" ref="G3331:G3394" si="52">MAX(0, 16 - $D3331)</f>
        <v>0</v>
      </c>
    </row>
    <row r="3332" spans="2:7" x14ac:dyDescent="0.35">
      <c r="B3332" s="1">
        <v>45796</v>
      </c>
      <c r="C3332" s="2">
        <v>0.75</v>
      </c>
      <c r="D3332">
        <v>19.100000000000001</v>
      </c>
      <c r="E3332">
        <f>IF($D3332 &gt; 16, 0, $J$3*(16 - $D3332))</f>
        <v>0</v>
      </c>
      <c r="F3332">
        <f>IF($D3332 &gt; 16, 0,$E3332*$J$5)</f>
        <v>0</v>
      </c>
      <c r="G3332">
        <f t="shared" si="52"/>
        <v>0</v>
      </c>
    </row>
    <row r="3333" spans="2:7" x14ac:dyDescent="0.35">
      <c r="B3333" s="1">
        <v>45796</v>
      </c>
      <c r="C3333" s="2">
        <v>0.79166666666666663</v>
      </c>
      <c r="D3333">
        <v>18.399999999999999</v>
      </c>
      <c r="E3333">
        <f>IF($D3333 &gt; 16, 0, $J$3*(16 - $D3333))</f>
        <v>0</v>
      </c>
      <c r="F3333">
        <f>IF($D3333 &gt; 16, 0,$E3333*$J$5)</f>
        <v>0</v>
      </c>
      <c r="G3333">
        <f t="shared" si="52"/>
        <v>0</v>
      </c>
    </row>
    <row r="3334" spans="2:7" x14ac:dyDescent="0.35">
      <c r="B3334" s="1">
        <v>45796</v>
      </c>
      <c r="C3334" s="2">
        <v>0.83333333333333337</v>
      </c>
      <c r="D3334">
        <v>16.2</v>
      </c>
      <c r="E3334">
        <f>IF($D3334 &gt; 16, 0, $J$3*(16 - $D3334))</f>
        <v>0</v>
      </c>
      <c r="F3334">
        <f>IF($D3334 &gt; 16, 0,$E3334*$J$5)</f>
        <v>0</v>
      </c>
      <c r="G3334">
        <f t="shared" si="52"/>
        <v>0</v>
      </c>
    </row>
    <row r="3335" spans="2:7" x14ac:dyDescent="0.35">
      <c r="B3335" s="1">
        <v>45796</v>
      </c>
      <c r="C3335" s="2">
        <v>0.875</v>
      </c>
      <c r="D3335">
        <v>13.1</v>
      </c>
      <c r="E3335">
        <f>IF($D3335 &gt; 16, 0, $J$3*(16 - $D3335))</f>
        <v>602.4710638320214</v>
      </c>
      <c r="F3335">
        <f>IF($D3335 &gt; 16, 0,$E3335*$J$5)</f>
        <v>6548257.9927902408</v>
      </c>
      <c r="G3335">
        <f t="shared" si="52"/>
        <v>2.9000000000000004</v>
      </c>
    </row>
    <row r="3336" spans="2:7" x14ac:dyDescent="0.35">
      <c r="B3336" s="1">
        <v>45796</v>
      </c>
      <c r="C3336" s="2">
        <v>0.91666666666666663</v>
      </c>
      <c r="D3336">
        <v>10.6</v>
      </c>
      <c r="E3336">
        <f>IF($D3336 &gt; 16, 0, $J$3*(16 - $D3336))</f>
        <v>1121.8426705837637</v>
      </c>
      <c r="F3336">
        <f>IF($D3336 &gt; 16, 0,$E3336*$J$5)</f>
        <v>12193307.986574927</v>
      </c>
      <c r="G3336">
        <f t="shared" si="52"/>
        <v>5.4</v>
      </c>
    </row>
    <row r="3337" spans="2:7" x14ac:dyDescent="0.35">
      <c r="B3337" s="1">
        <v>45796</v>
      </c>
      <c r="C3337" s="2">
        <v>0.95833333333333337</v>
      </c>
      <c r="D3337">
        <v>10.3</v>
      </c>
      <c r="E3337">
        <f>IF($D3337 &gt; 16, 0, $J$3*(16 - $D3337))</f>
        <v>1184.1672633939727</v>
      </c>
      <c r="F3337">
        <f>IF($D3337 &gt; 16, 0,$E3337*$J$5)</f>
        <v>12870713.985829089</v>
      </c>
      <c r="G3337">
        <f t="shared" si="52"/>
        <v>5.6999999999999993</v>
      </c>
    </row>
    <row r="3338" spans="2:7" x14ac:dyDescent="0.35">
      <c r="B3338" s="1">
        <v>45797</v>
      </c>
      <c r="C3338" s="2">
        <v>0</v>
      </c>
      <c r="D3338">
        <v>9.1999999999999993</v>
      </c>
      <c r="E3338">
        <f>IF($D3338 &gt; 16, 0, $J$3*(16 - $D3338))</f>
        <v>1412.6907703647396</v>
      </c>
      <c r="F3338">
        <f>IF($D3338 &gt; 16, 0,$E3338*$J$5)</f>
        <v>15354535.983094355</v>
      </c>
      <c r="G3338">
        <f t="shared" si="52"/>
        <v>6.8000000000000007</v>
      </c>
    </row>
    <row r="3339" spans="2:7" x14ac:dyDescent="0.35">
      <c r="B3339" s="1">
        <v>45797</v>
      </c>
      <c r="C3339" s="2">
        <v>4.1666666666666657E-2</v>
      </c>
      <c r="D3339">
        <v>8.1999999999999993</v>
      </c>
      <c r="E3339">
        <f>IF($D3339 &gt; 16, 0, $J$3*(16 - $D3339))</f>
        <v>1620.4394130654366</v>
      </c>
      <c r="F3339">
        <f>IF($D3339 &gt; 16, 0,$E3339*$J$5)</f>
        <v>17612555.980608232</v>
      </c>
      <c r="G3339">
        <f t="shared" si="52"/>
        <v>7.8000000000000007</v>
      </c>
    </row>
    <row r="3340" spans="2:7" x14ac:dyDescent="0.35">
      <c r="B3340" s="1">
        <v>45797</v>
      </c>
      <c r="C3340" s="2">
        <v>8.3333333333333329E-2</v>
      </c>
      <c r="D3340">
        <v>7.4</v>
      </c>
      <c r="E3340">
        <f>IF($D3340 &gt; 16, 0, $J$3*(16 - $D3340))</f>
        <v>1786.6383272259941</v>
      </c>
      <c r="F3340">
        <f>IF($D3340 &gt; 16, 0,$E3340*$J$5)</f>
        <v>19418971.97861933</v>
      </c>
      <c r="G3340">
        <f t="shared" si="52"/>
        <v>8.6</v>
      </c>
    </row>
    <row r="3341" spans="2:7" x14ac:dyDescent="0.35">
      <c r="B3341" s="1">
        <v>45797</v>
      </c>
      <c r="C3341" s="2">
        <v>0.125</v>
      </c>
      <c r="D3341">
        <v>7.3</v>
      </c>
      <c r="E3341">
        <f>IF($D3341 &gt; 16, 0, $J$3*(16 - $D3341))</f>
        <v>1807.4131914960637</v>
      </c>
      <c r="F3341">
        <f>IF($D3341 &gt; 16, 0,$E3341*$J$5)</f>
        <v>19644773.978370719</v>
      </c>
      <c r="G3341">
        <f t="shared" si="52"/>
        <v>8.6999999999999993</v>
      </c>
    </row>
    <row r="3342" spans="2:7" x14ac:dyDescent="0.35">
      <c r="B3342" s="1">
        <v>45797</v>
      </c>
      <c r="C3342" s="2">
        <v>0.16666666666666671</v>
      </c>
      <c r="D3342">
        <v>7.5</v>
      </c>
      <c r="E3342">
        <f>IF($D3342 &gt; 16, 0, $J$3*(16 - $D3342))</f>
        <v>1765.8634629559244</v>
      </c>
      <c r="F3342">
        <f>IF($D3342 &gt; 16, 0,$E3342*$J$5)</f>
        <v>19193169.978867944</v>
      </c>
      <c r="G3342">
        <f t="shared" si="52"/>
        <v>8.5</v>
      </c>
    </row>
    <row r="3343" spans="2:7" x14ac:dyDescent="0.35">
      <c r="B3343" s="1">
        <v>45797</v>
      </c>
      <c r="C3343" s="2">
        <v>0.20833333333333329</v>
      </c>
      <c r="D3343">
        <v>10.5</v>
      </c>
      <c r="E3343">
        <f>IF($D3343 &gt; 16, 0, $J$3*(16 - $D3343))</f>
        <v>1142.6175348538334</v>
      </c>
      <c r="F3343">
        <f>IF($D3343 &gt; 16, 0,$E3343*$J$5)</f>
        <v>12419109.986326315</v>
      </c>
      <c r="G3343">
        <f t="shared" si="52"/>
        <v>5.5</v>
      </c>
    </row>
    <row r="3344" spans="2:7" x14ac:dyDescent="0.35">
      <c r="B3344" s="1">
        <v>45797</v>
      </c>
      <c r="C3344" s="2">
        <v>0.25</v>
      </c>
      <c r="D3344">
        <v>14.4</v>
      </c>
      <c r="E3344">
        <f>IF($D3344 &gt; 16, 0, $J$3*(16 - $D3344))</f>
        <v>332.39782832111513</v>
      </c>
      <c r="F3344">
        <f>IF($D3344 &gt; 16, 0,$E3344*$J$5)</f>
        <v>3612831.9960222002</v>
      </c>
      <c r="G3344">
        <f t="shared" si="52"/>
        <v>1.5999999999999996</v>
      </c>
    </row>
    <row r="3345" spans="2:7" x14ac:dyDescent="0.35">
      <c r="B3345" s="1">
        <v>45797</v>
      </c>
      <c r="C3345" s="2">
        <v>0.29166666666666669</v>
      </c>
      <c r="D3345">
        <v>17.100000000000001</v>
      </c>
      <c r="E3345">
        <f>IF($D3345 &gt; 16, 0, $J$3*(16 - $D3345))</f>
        <v>0</v>
      </c>
      <c r="F3345">
        <f>IF($D3345 &gt; 16, 0,$E3345*$J$5)</f>
        <v>0</v>
      </c>
      <c r="G3345">
        <f t="shared" si="52"/>
        <v>0</v>
      </c>
    </row>
    <row r="3346" spans="2:7" x14ac:dyDescent="0.35">
      <c r="B3346" s="1">
        <v>45797</v>
      </c>
      <c r="C3346" s="2">
        <v>0.33333333333333331</v>
      </c>
      <c r="D3346">
        <v>18.7</v>
      </c>
      <c r="E3346">
        <f>IF($D3346 &gt; 16, 0, $J$3*(16 - $D3346))</f>
        <v>0</v>
      </c>
      <c r="F3346">
        <f>IF($D3346 &gt; 16, 0,$E3346*$J$5)</f>
        <v>0</v>
      </c>
      <c r="G3346">
        <f t="shared" si="52"/>
        <v>0</v>
      </c>
    </row>
    <row r="3347" spans="2:7" x14ac:dyDescent="0.35">
      <c r="B3347" s="1">
        <v>45797</v>
      </c>
      <c r="C3347" s="2">
        <v>0.375</v>
      </c>
      <c r="D3347">
        <v>20.3</v>
      </c>
      <c r="E3347">
        <f>IF($D3347 &gt; 16, 0, $J$3*(16 - $D3347))</f>
        <v>0</v>
      </c>
      <c r="F3347">
        <f>IF($D3347 &gt; 16, 0,$E3347*$J$5)</f>
        <v>0</v>
      </c>
      <c r="G3347">
        <f t="shared" si="52"/>
        <v>0</v>
      </c>
    </row>
    <row r="3348" spans="2:7" x14ac:dyDescent="0.35">
      <c r="B3348" s="1">
        <v>45797</v>
      </c>
      <c r="C3348" s="2">
        <v>0.41666666666666669</v>
      </c>
      <c r="D3348">
        <v>19.899999999999999</v>
      </c>
      <c r="E3348">
        <f>IF($D3348 &gt; 16, 0, $J$3*(16 - $D3348))</f>
        <v>0</v>
      </c>
      <c r="F3348">
        <f>IF($D3348 &gt; 16, 0,$E3348*$J$5)</f>
        <v>0</v>
      </c>
      <c r="G3348">
        <f t="shared" si="52"/>
        <v>0</v>
      </c>
    </row>
    <row r="3349" spans="2:7" x14ac:dyDescent="0.35">
      <c r="B3349" s="1">
        <v>45797</v>
      </c>
      <c r="C3349" s="2">
        <v>0.45833333333333331</v>
      </c>
      <c r="D3349">
        <v>21.5</v>
      </c>
      <c r="E3349">
        <f>IF($D3349 &gt; 16, 0, $J$3*(16 - $D3349))</f>
        <v>0</v>
      </c>
      <c r="F3349">
        <f>IF($D3349 &gt; 16, 0,$E3349*$J$5)</f>
        <v>0</v>
      </c>
      <c r="G3349">
        <f t="shared" si="52"/>
        <v>0</v>
      </c>
    </row>
    <row r="3350" spans="2:7" x14ac:dyDescent="0.35">
      <c r="B3350" s="1">
        <v>45797</v>
      </c>
      <c r="C3350" s="2">
        <v>0.5</v>
      </c>
      <c r="D3350">
        <v>20.3</v>
      </c>
      <c r="E3350">
        <f>IF($D3350 &gt; 16, 0, $J$3*(16 - $D3350))</f>
        <v>0</v>
      </c>
      <c r="F3350">
        <f>IF($D3350 &gt; 16, 0,$E3350*$J$5)</f>
        <v>0</v>
      </c>
      <c r="G3350">
        <f t="shared" si="52"/>
        <v>0</v>
      </c>
    </row>
    <row r="3351" spans="2:7" x14ac:dyDescent="0.35">
      <c r="B3351" s="1">
        <v>45797</v>
      </c>
      <c r="C3351" s="2">
        <v>0.54166666666666663</v>
      </c>
      <c r="D3351">
        <v>22.3</v>
      </c>
      <c r="E3351">
        <f>IF($D3351 &gt; 16, 0, $J$3*(16 - $D3351))</f>
        <v>0</v>
      </c>
      <c r="F3351">
        <f>IF($D3351 &gt; 16, 0,$E3351*$J$5)</f>
        <v>0</v>
      </c>
      <c r="G3351">
        <f t="shared" si="52"/>
        <v>0</v>
      </c>
    </row>
    <row r="3352" spans="2:7" x14ac:dyDescent="0.35">
      <c r="B3352" s="1">
        <v>45797</v>
      </c>
      <c r="C3352" s="2">
        <v>0.58333333333333337</v>
      </c>
      <c r="D3352">
        <v>22.1</v>
      </c>
      <c r="E3352">
        <f>IF($D3352 &gt; 16, 0, $J$3*(16 - $D3352))</f>
        <v>0</v>
      </c>
      <c r="F3352">
        <f>IF($D3352 &gt; 16, 0,$E3352*$J$5)</f>
        <v>0</v>
      </c>
      <c r="G3352">
        <f t="shared" si="52"/>
        <v>0</v>
      </c>
    </row>
    <row r="3353" spans="2:7" x14ac:dyDescent="0.35">
      <c r="B3353" s="1">
        <v>45797</v>
      </c>
      <c r="C3353" s="2">
        <v>0.625</v>
      </c>
      <c r="D3353">
        <v>21.5</v>
      </c>
      <c r="E3353">
        <f>IF($D3353 &gt; 16, 0, $J$3*(16 - $D3353))</f>
        <v>0</v>
      </c>
      <c r="F3353">
        <f>IF($D3353 &gt; 16, 0,$E3353*$J$5)</f>
        <v>0</v>
      </c>
      <c r="G3353">
        <f t="shared" si="52"/>
        <v>0</v>
      </c>
    </row>
    <row r="3354" spans="2:7" x14ac:dyDescent="0.35">
      <c r="B3354" s="1">
        <v>45797</v>
      </c>
      <c r="C3354" s="2">
        <v>0.66666666666666663</v>
      </c>
      <c r="D3354">
        <v>20.9</v>
      </c>
      <c r="E3354">
        <f>IF($D3354 &gt; 16, 0, $J$3*(16 - $D3354))</f>
        <v>0</v>
      </c>
      <c r="F3354">
        <f>IF($D3354 &gt; 16, 0,$E3354*$J$5)</f>
        <v>0</v>
      </c>
      <c r="G3354">
        <f t="shared" si="52"/>
        <v>0</v>
      </c>
    </row>
    <row r="3355" spans="2:7" x14ac:dyDescent="0.35">
      <c r="B3355" s="1">
        <v>45797</v>
      </c>
      <c r="C3355" s="2">
        <v>0.70833333333333337</v>
      </c>
      <c r="D3355">
        <v>19.5</v>
      </c>
      <c r="E3355">
        <f>IF($D3355 &gt; 16, 0, $J$3*(16 - $D3355))</f>
        <v>0</v>
      </c>
      <c r="F3355">
        <f>IF($D3355 &gt; 16, 0,$E3355*$J$5)</f>
        <v>0</v>
      </c>
      <c r="G3355">
        <f t="shared" si="52"/>
        <v>0</v>
      </c>
    </row>
    <row r="3356" spans="2:7" x14ac:dyDescent="0.35">
      <c r="B3356" s="1">
        <v>45797</v>
      </c>
      <c r="C3356" s="2">
        <v>0.75</v>
      </c>
      <c r="D3356">
        <v>17.8</v>
      </c>
      <c r="E3356">
        <f>IF($D3356 &gt; 16, 0, $J$3*(16 - $D3356))</f>
        <v>0</v>
      </c>
      <c r="F3356">
        <f>IF($D3356 &gt; 16, 0,$E3356*$J$5)</f>
        <v>0</v>
      </c>
      <c r="G3356">
        <f t="shared" si="52"/>
        <v>0</v>
      </c>
    </row>
    <row r="3357" spans="2:7" x14ac:dyDescent="0.35">
      <c r="B3357" s="1">
        <v>45797</v>
      </c>
      <c r="C3357" s="2">
        <v>0.79166666666666663</v>
      </c>
      <c r="D3357">
        <v>16</v>
      </c>
      <c r="E3357">
        <f>IF($D3357 &gt; 16, 0, $J$3*(16 - $D3357))</f>
        <v>0</v>
      </c>
      <c r="F3357">
        <f>IF($D3357 &gt; 16, 0,$E3357*$J$5)</f>
        <v>0</v>
      </c>
      <c r="G3357">
        <f t="shared" si="52"/>
        <v>0</v>
      </c>
    </row>
    <row r="3358" spans="2:7" x14ac:dyDescent="0.35">
      <c r="B3358" s="1">
        <v>45797</v>
      </c>
      <c r="C3358" s="2">
        <v>0.83333333333333337</v>
      </c>
      <c r="D3358">
        <v>12.6</v>
      </c>
      <c r="E3358">
        <f>IF($D3358 &gt; 16, 0, $J$3*(16 - $D3358))</f>
        <v>706.3453851823698</v>
      </c>
      <c r="F3358">
        <f>IF($D3358 &gt; 16, 0,$E3358*$J$5)</f>
        <v>7677267.9915471775</v>
      </c>
      <c r="G3358">
        <f t="shared" si="52"/>
        <v>3.4000000000000004</v>
      </c>
    </row>
    <row r="3359" spans="2:7" x14ac:dyDescent="0.35">
      <c r="B3359" s="1">
        <v>45797</v>
      </c>
      <c r="C3359" s="2">
        <v>0.875</v>
      </c>
      <c r="D3359">
        <v>11.2</v>
      </c>
      <c r="E3359">
        <f>IF($D3359 &gt; 16, 0, $J$3*(16 - $D3359))</f>
        <v>997.19348496334567</v>
      </c>
      <c r="F3359">
        <f>IF($D3359 &gt; 16, 0,$E3359*$J$5)</f>
        <v>10838495.988066604</v>
      </c>
      <c r="G3359">
        <f t="shared" si="52"/>
        <v>4.8000000000000007</v>
      </c>
    </row>
    <row r="3360" spans="2:7" x14ac:dyDescent="0.35">
      <c r="B3360" s="1">
        <v>45797</v>
      </c>
      <c r="C3360" s="2">
        <v>0.91666666666666663</v>
      </c>
      <c r="D3360">
        <v>11.5</v>
      </c>
      <c r="E3360">
        <f>IF($D3360 &gt; 16, 0, $J$3*(16 - $D3360))</f>
        <v>934.86889215313647</v>
      </c>
      <c r="F3360">
        <f>IF($D3360 &gt; 16, 0,$E3360*$J$5)</f>
        <v>10161089.988812441</v>
      </c>
      <c r="G3360">
        <f t="shared" si="52"/>
        <v>4.5</v>
      </c>
    </row>
    <row r="3361" spans="2:7" x14ac:dyDescent="0.35">
      <c r="B3361" s="1">
        <v>45797</v>
      </c>
      <c r="C3361" s="2">
        <v>0.95833333333333337</v>
      </c>
      <c r="D3361">
        <v>10.8</v>
      </c>
      <c r="E3361">
        <f>IF($D3361 &gt; 16, 0, $J$3*(16 - $D3361))</f>
        <v>1080.2929420436242</v>
      </c>
      <c r="F3361">
        <f>IF($D3361 &gt; 16, 0,$E3361*$J$5)</f>
        <v>11741703.987072151</v>
      </c>
      <c r="G3361">
        <f t="shared" si="52"/>
        <v>5.1999999999999993</v>
      </c>
    </row>
    <row r="3362" spans="2:7" x14ac:dyDescent="0.35">
      <c r="B3362" s="1">
        <v>45798</v>
      </c>
      <c r="C3362" s="2">
        <v>0</v>
      </c>
      <c r="D3362">
        <v>11.4</v>
      </c>
      <c r="E3362">
        <f>IF($D3362 &gt; 16, 0, $J$3*(16 - $D3362))</f>
        <v>955.64375642320613</v>
      </c>
      <c r="F3362">
        <f>IF($D3362 &gt; 16, 0,$E3362*$J$5)</f>
        <v>10386891.988563828</v>
      </c>
      <c r="G3362">
        <f t="shared" si="52"/>
        <v>4.5999999999999996</v>
      </c>
    </row>
    <row r="3363" spans="2:7" x14ac:dyDescent="0.35">
      <c r="B3363" s="1">
        <v>45798</v>
      </c>
      <c r="C3363" s="2">
        <v>4.1666666666666657E-2</v>
      </c>
      <c r="D3363">
        <v>11.5</v>
      </c>
      <c r="E3363">
        <f>IF($D3363 &gt; 16, 0, $J$3*(16 - $D3363))</f>
        <v>934.86889215313647</v>
      </c>
      <c r="F3363">
        <f>IF($D3363 &gt; 16, 0,$E3363*$J$5)</f>
        <v>10161089.988812441</v>
      </c>
      <c r="G3363">
        <f t="shared" si="52"/>
        <v>4.5</v>
      </c>
    </row>
    <row r="3364" spans="2:7" x14ac:dyDescent="0.35">
      <c r="B3364" s="1">
        <v>45798</v>
      </c>
      <c r="C3364" s="2">
        <v>8.3333333333333329E-2</v>
      </c>
      <c r="D3364">
        <v>11.3</v>
      </c>
      <c r="E3364">
        <f>IF($D3364 &gt; 16, 0, $J$3*(16 - $D3364))</f>
        <v>976.41862069327567</v>
      </c>
      <c r="F3364">
        <f>IF($D3364 &gt; 16, 0,$E3364*$J$5)</f>
        <v>10612693.988315213</v>
      </c>
      <c r="G3364">
        <f t="shared" si="52"/>
        <v>4.6999999999999993</v>
      </c>
    </row>
    <row r="3365" spans="2:7" x14ac:dyDescent="0.35">
      <c r="B3365" s="1">
        <v>45798</v>
      </c>
      <c r="C3365" s="2">
        <v>0.125</v>
      </c>
      <c r="D3365">
        <v>11.2</v>
      </c>
      <c r="E3365">
        <f>IF($D3365 &gt; 16, 0, $J$3*(16 - $D3365))</f>
        <v>997.19348496334567</v>
      </c>
      <c r="F3365">
        <f>IF($D3365 &gt; 16, 0,$E3365*$J$5)</f>
        <v>10838495.988066604</v>
      </c>
      <c r="G3365">
        <f t="shared" si="52"/>
        <v>4.8000000000000007</v>
      </c>
    </row>
    <row r="3366" spans="2:7" x14ac:dyDescent="0.35">
      <c r="B3366" s="1">
        <v>45798</v>
      </c>
      <c r="C3366" s="2">
        <v>0.16666666666666671</v>
      </c>
      <c r="D3366">
        <v>11.3</v>
      </c>
      <c r="E3366">
        <f>IF($D3366 &gt; 16, 0, $J$3*(16 - $D3366))</f>
        <v>976.41862069327567</v>
      </c>
      <c r="F3366">
        <f>IF($D3366 &gt; 16, 0,$E3366*$J$5)</f>
        <v>10612693.988315213</v>
      </c>
      <c r="G3366">
        <f t="shared" si="52"/>
        <v>4.6999999999999993</v>
      </c>
    </row>
    <row r="3367" spans="2:7" x14ac:dyDescent="0.35">
      <c r="B3367" s="1">
        <v>45798</v>
      </c>
      <c r="C3367" s="2">
        <v>0.20833333333333329</v>
      </c>
      <c r="D3367">
        <v>11.4</v>
      </c>
      <c r="E3367">
        <f>IF($D3367 &gt; 16, 0, $J$3*(16 - $D3367))</f>
        <v>955.64375642320613</v>
      </c>
      <c r="F3367">
        <f>IF($D3367 &gt; 16, 0,$E3367*$J$5)</f>
        <v>10386891.988563828</v>
      </c>
      <c r="G3367">
        <f t="shared" si="52"/>
        <v>4.5999999999999996</v>
      </c>
    </row>
    <row r="3368" spans="2:7" x14ac:dyDescent="0.35">
      <c r="B3368" s="1">
        <v>45798</v>
      </c>
      <c r="C3368" s="2">
        <v>0.25</v>
      </c>
      <c r="D3368">
        <v>11.6</v>
      </c>
      <c r="E3368">
        <f>IF($D3368 &gt; 16, 0, $J$3*(16 - $D3368))</f>
        <v>914.09402788306681</v>
      </c>
      <c r="F3368">
        <f>IF($D3368 &gt; 16, 0,$E3368*$J$5)</f>
        <v>9935287.9890610538</v>
      </c>
      <c r="G3368">
        <f t="shared" si="52"/>
        <v>4.4000000000000004</v>
      </c>
    </row>
    <row r="3369" spans="2:7" x14ac:dyDescent="0.35">
      <c r="B3369" s="1">
        <v>45798</v>
      </c>
      <c r="C3369" s="2">
        <v>0.29166666666666669</v>
      </c>
      <c r="D3369">
        <v>12</v>
      </c>
      <c r="E3369">
        <f>IF($D3369 &gt; 16, 0, $J$3*(16 - $D3369))</f>
        <v>830.99457080278796</v>
      </c>
      <c r="F3369">
        <f>IF($D3369 &gt; 16, 0,$E3369*$J$5)</f>
        <v>9032079.9900555015</v>
      </c>
      <c r="G3369">
        <f t="shared" si="52"/>
        <v>4</v>
      </c>
    </row>
    <row r="3370" spans="2:7" x14ac:dyDescent="0.35">
      <c r="B3370" s="1">
        <v>45798</v>
      </c>
      <c r="C3370" s="2">
        <v>0.33333333333333331</v>
      </c>
      <c r="D3370">
        <v>12</v>
      </c>
      <c r="E3370">
        <f>IF($D3370 &gt; 16, 0, $J$3*(16 - $D3370))</f>
        <v>830.99457080278796</v>
      </c>
      <c r="F3370">
        <f>IF($D3370 &gt; 16, 0,$E3370*$J$5)</f>
        <v>9032079.9900555015</v>
      </c>
      <c r="G3370">
        <f t="shared" si="52"/>
        <v>4</v>
      </c>
    </row>
    <row r="3371" spans="2:7" x14ac:dyDescent="0.35">
      <c r="B3371" s="1">
        <v>45798</v>
      </c>
      <c r="C3371" s="2">
        <v>0.375</v>
      </c>
      <c r="D3371">
        <v>12.6</v>
      </c>
      <c r="E3371">
        <f>IF($D3371 &gt; 16, 0, $J$3*(16 - $D3371))</f>
        <v>706.3453851823698</v>
      </c>
      <c r="F3371">
        <f>IF($D3371 &gt; 16, 0,$E3371*$J$5)</f>
        <v>7677267.9915471775</v>
      </c>
      <c r="G3371">
        <f t="shared" si="52"/>
        <v>3.4000000000000004</v>
      </c>
    </row>
    <row r="3372" spans="2:7" x14ac:dyDescent="0.35">
      <c r="B3372" s="1">
        <v>45798</v>
      </c>
      <c r="C3372" s="2">
        <v>0.41666666666666669</v>
      </c>
      <c r="D3372">
        <v>13.7</v>
      </c>
      <c r="E3372">
        <f>IF($D3372 &gt; 16, 0, $J$3*(16 - $D3372))</f>
        <v>477.82187821160323</v>
      </c>
      <c r="F3372">
        <f>IF($D3372 &gt; 16, 0,$E3372*$J$5)</f>
        <v>5193445.9942819159</v>
      </c>
      <c r="G3372">
        <f t="shared" si="52"/>
        <v>2.3000000000000007</v>
      </c>
    </row>
    <row r="3373" spans="2:7" x14ac:dyDescent="0.35">
      <c r="B3373" s="1">
        <v>45798</v>
      </c>
      <c r="C3373" s="2">
        <v>0.45833333333333331</v>
      </c>
      <c r="D3373">
        <v>15.3</v>
      </c>
      <c r="E3373">
        <f>IF($D3373 &gt; 16, 0, $J$3*(16 - $D3373))</f>
        <v>145.42404989048774</v>
      </c>
      <c r="F3373">
        <f>IF($D3373 &gt; 16, 0,$E3373*$J$5)</f>
        <v>1580613.9982597113</v>
      </c>
      <c r="G3373">
        <f t="shared" si="52"/>
        <v>0.69999999999999929</v>
      </c>
    </row>
    <row r="3374" spans="2:7" x14ac:dyDescent="0.35">
      <c r="B3374" s="1">
        <v>45798</v>
      </c>
      <c r="C3374" s="2">
        <v>0.5</v>
      </c>
      <c r="D3374">
        <v>15.4</v>
      </c>
      <c r="E3374">
        <f>IF($D3374 &gt; 16, 0, $J$3*(16 - $D3374))</f>
        <v>124.64918562041812</v>
      </c>
      <c r="F3374">
        <f>IF($D3374 &gt; 16, 0,$E3374*$J$5)</f>
        <v>1354811.9985083246</v>
      </c>
      <c r="G3374">
        <f t="shared" si="52"/>
        <v>0.59999999999999964</v>
      </c>
    </row>
    <row r="3375" spans="2:7" x14ac:dyDescent="0.35">
      <c r="B3375" s="1">
        <v>45798</v>
      </c>
      <c r="C3375" s="2">
        <v>0.54166666666666663</v>
      </c>
      <c r="D3375">
        <v>15.3</v>
      </c>
      <c r="E3375">
        <f>IF($D3375 &gt; 16, 0, $J$3*(16 - $D3375))</f>
        <v>145.42404989048774</v>
      </c>
      <c r="F3375">
        <f>IF($D3375 &gt; 16, 0,$E3375*$J$5)</f>
        <v>1580613.9982597113</v>
      </c>
      <c r="G3375">
        <f t="shared" si="52"/>
        <v>0.69999999999999929</v>
      </c>
    </row>
    <row r="3376" spans="2:7" x14ac:dyDescent="0.35">
      <c r="B3376" s="1">
        <v>45798</v>
      </c>
      <c r="C3376" s="2">
        <v>0.58333333333333337</v>
      </c>
      <c r="D3376">
        <v>15</v>
      </c>
      <c r="E3376">
        <f>IF($D3376 &gt; 16, 0, $J$3*(16 - $D3376))</f>
        <v>207.74864270069699</v>
      </c>
      <c r="F3376">
        <f>IF($D3376 &gt; 16, 0,$E3376*$J$5)</f>
        <v>2258019.9975138754</v>
      </c>
      <c r="G3376">
        <f t="shared" si="52"/>
        <v>1</v>
      </c>
    </row>
    <row r="3377" spans="2:7" x14ac:dyDescent="0.35">
      <c r="B3377" s="1">
        <v>45798</v>
      </c>
      <c r="C3377" s="2">
        <v>0.625</v>
      </c>
      <c r="D3377">
        <v>15</v>
      </c>
      <c r="E3377">
        <f>IF($D3377 &gt; 16, 0, $J$3*(16 - $D3377))</f>
        <v>207.74864270069699</v>
      </c>
      <c r="F3377">
        <f>IF($D3377 &gt; 16, 0,$E3377*$J$5)</f>
        <v>2258019.9975138754</v>
      </c>
      <c r="G3377">
        <f t="shared" si="52"/>
        <v>1</v>
      </c>
    </row>
    <row r="3378" spans="2:7" x14ac:dyDescent="0.35">
      <c r="B3378" s="1">
        <v>45798</v>
      </c>
      <c r="C3378" s="2">
        <v>0.66666666666666663</v>
      </c>
      <c r="D3378">
        <v>14.4</v>
      </c>
      <c r="E3378">
        <f>IF($D3378 &gt; 16, 0, $J$3*(16 - $D3378))</f>
        <v>332.39782832111513</v>
      </c>
      <c r="F3378">
        <f>IF($D3378 &gt; 16, 0,$E3378*$J$5)</f>
        <v>3612831.9960222002</v>
      </c>
      <c r="G3378">
        <f t="shared" si="52"/>
        <v>1.5999999999999996</v>
      </c>
    </row>
    <row r="3379" spans="2:7" x14ac:dyDescent="0.35">
      <c r="B3379" s="1">
        <v>45798</v>
      </c>
      <c r="C3379" s="2">
        <v>0.70833333333333337</v>
      </c>
      <c r="D3379">
        <v>12.8</v>
      </c>
      <c r="E3379">
        <f>IF($D3379 &gt; 16, 0, $J$3*(16 - $D3379))</f>
        <v>664.79565664223026</v>
      </c>
      <c r="F3379">
        <f>IF($D3379 &gt; 16, 0,$E3379*$J$5)</f>
        <v>7225663.9920444004</v>
      </c>
      <c r="G3379">
        <f t="shared" si="52"/>
        <v>3.1999999999999993</v>
      </c>
    </row>
    <row r="3380" spans="2:7" x14ac:dyDescent="0.35">
      <c r="B3380" s="1">
        <v>45798</v>
      </c>
      <c r="C3380" s="2">
        <v>0.75</v>
      </c>
      <c r="D3380">
        <v>12.3</v>
      </c>
      <c r="E3380">
        <f>IF($D3380 &gt; 16, 0, $J$3*(16 - $D3380))</f>
        <v>768.66997799257877</v>
      </c>
      <c r="F3380">
        <f>IF($D3380 &gt; 16, 0,$E3380*$J$5)</f>
        <v>8354673.990801339</v>
      </c>
      <c r="G3380">
        <f t="shared" si="52"/>
        <v>3.6999999999999993</v>
      </c>
    </row>
    <row r="3381" spans="2:7" x14ac:dyDescent="0.35">
      <c r="B3381" s="1">
        <v>45798</v>
      </c>
      <c r="C3381" s="2">
        <v>0.79166666666666663</v>
      </c>
      <c r="D3381">
        <v>11.7</v>
      </c>
      <c r="E3381">
        <f>IF($D3381 &gt; 16, 0, $J$3*(16 - $D3381))</f>
        <v>893.31916361299716</v>
      </c>
      <c r="F3381">
        <f>IF($D3381 &gt; 16, 0,$E3381*$J$5)</f>
        <v>9709485.9893096667</v>
      </c>
      <c r="G3381">
        <f t="shared" si="52"/>
        <v>4.3000000000000007</v>
      </c>
    </row>
    <row r="3382" spans="2:7" x14ac:dyDescent="0.35">
      <c r="B3382" s="1">
        <v>45798</v>
      </c>
      <c r="C3382" s="2">
        <v>0.83333333333333337</v>
      </c>
      <c r="D3382">
        <v>11.4</v>
      </c>
      <c r="E3382">
        <f>IF($D3382 &gt; 16, 0, $J$3*(16 - $D3382))</f>
        <v>955.64375642320613</v>
      </c>
      <c r="F3382">
        <f>IF($D3382 &gt; 16, 0,$E3382*$J$5)</f>
        <v>10386891.988563828</v>
      </c>
      <c r="G3382">
        <f t="shared" si="52"/>
        <v>4.5999999999999996</v>
      </c>
    </row>
    <row r="3383" spans="2:7" x14ac:dyDescent="0.35">
      <c r="B3383" s="1">
        <v>45798</v>
      </c>
      <c r="C3383" s="2">
        <v>0.875</v>
      </c>
      <c r="D3383">
        <v>11</v>
      </c>
      <c r="E3383">
        <f>IF($D3383 &gt; 16, 0, $J$3*(16 - $D3383))</f>
        <v>1038.7432135034849</v>
      </c>
      <c r="F3383">
        <f>IF($D3383 &gt; 16, 0,$E3383*$J$5)</f>
        <v>11290099.987569377</v>
      </c>
      <c r="G3383">
        <f t="shared" si="52"/>
        <v>5</v>
      </c>
    </row>
    <row r="3384" spans="2:7" x14ac:dyDescent="0.35">
      <c r="B3384" s="1">
        <v>45798</v>
      </c>
      <c r="C3384" s="2">
        <v>0.91666666666666663</v>
      </c>
      <c r="D3384">
        <v>9.6</v>
      </c>
      <c r="E3384">
        <f>IF($D3384 &gt; 16, 0, $J$3*(16 - $D3384))</f>
        <v>1329.5913132844607</v>
      </c>
      <c r="F3384">
        <f>IF($D3384 &gt; 16, 0,$E3384*$J$5)</f>
        <v>14451327.984088805</v>
      </c>
      <c r="G3384">
        <f t="shared" si="52"/>
        <v>6.4</v>
      </c>
    </row>
    <row r="3385" spans="2:7" x14ac:dyDescent="0.35">
      <c r="B3385" s="1">
        <v>45798</v>
      </c>
      <c r="C3385" s="2">
        <v>0.95833333333333337</v>
      </c>
      <c r="D3385">
        <v>8.6</v>
      </c>
      <c r="E3385">
        <f>IF($D3385 &gt; 16, 0, $J$3*(16 - $D3385))</f>
        <v>1537.3399559851578</v>
      </c>
      <c r="F3385">
        <f>IF($D3385 &gt; 16, 0,$E3385*$J$5)</f>
        <v>16709347.98160268</v>
      </c>
      <c r="G3385">
        <f t="shared" si="52"/>
        <v>7.4</v>
      </c>
    </row>
    <row r="3386" spans="2:7" x14ac:dyDescent="0.35">
      <c r="B3386" s="1">
        <v>45799</v>
      </c>
      <c r="C3386" s="2">
        <v>0</v>
      </c>
      <c r="D3386">
        <v>8.8000000000000007</v>
      </c>
      <c r="E3386">
        <f>IF($D3386 &gt; 16, 0, $J$3*(16 - $D3386))</f>
        <v>1495.7902274450182</v>
      </c>
      <c r="F3386">
        <f>IF($D3386 &gt; 16, 0,$E3386*$J$5)</f>
        <v>16257743.982099904</v>
      </c>
      <c r="G3386">
        <f t="shared" si="52"/>
        <v>7.1999999999999993</v>
      </c>
    </row>
    <row r="3387" spans="2:7" x14ac:dyDescent="0.35">
      <c r="B3387" s="1">
        <v>45799</v>
      </c>
      <c r="C3387" s="2">
        <v>4.1666666666666657E-2</v>
      </c>
      <c r="D3387">
        <v>9.4</v>
      </c>
      <c r="E3387">
        <f>IF($D3387 &gt; 16, 0, $J$3*(16 - $D3387))</f>
        <v>1371.1410418246001</v>
      </c>
      <c r="F3387">
        <f>IF($D3387 &gt; 16, 0,$E3387*$J$5)</f>
        <v>14902931.983591577</v>
      </c>
      <c r="G3387">
        <f t="shared" si="52"/>
        <v>6.6</v>
      </c>
    </row>
    <row r="3388" spans="2:7" x14ac:dyDescent="0.35">
      <c r="B3388" s="1">
        <v>45799</v>
      </c>
      <c r="C3388" s="2">
        <v>8.3333333333333329E-2</v>
      </c>
      <c r="D3388">
        <v>9.1999999999999993</v>
      </c>
      <c r="E3388">
        <f>IF($D3388 &gt; 16, 0, $J$3*(16 - $D3388))</f>
        <v>1412.6907703647396</v>
      </c>
      <c r="F3388">
        <f>IF($D3388 &gt; 16, 0,$E3388*$J$5)</f>
        <v>15354535.983094355</v>
      </c>
      <c r="G3388">
        <f t="shared" si="52"/>
        <v>6.8000000000000007</v>
      </c>
    </row>
    <row r="3389" spans="2:7" x14ac:dyDescent="0.35">
      <c r="B3389" s="1">
        <v>45799</v>
      </c>
      <c r="C3389" s="2">
        <v>0.125</v>
      </c>
      <c r="D3389">
        <v>8.6999999999999993</v>
      </c>
      <c r="E3389">
        <f>IF($D3389 &gt; 16, 0, $J$3*(16 - $D3389))</f>
        <v>1516.5650917150881</v>
      </c>
      <c r="F3389">
        <f>IF($D3389 &gt; 16, 0,$E3389*$J$5)</f>
        <v>16483545.981851293</v>
      </c>
      <c r="G3389">
        <f t="shared" si="52"/>
        <v>7.3000000000000007</v>
      </c>
    </row>
    <row r="3390" spans="2:7" x14ac:dyDescent="0.35">
      <c r="B3390" s="1">
        <v>45799</v>
      </c>
      <c r="C3390" s="2">
        <v>0.16666666666666671</v>
      </c>
      <c r="D3390">
        <v>8.1999999999999993</v>
      </c>
      <c r="E3390">
        <f>IF($D3390 &gt; 16, 0, $J$3*(16 - $D3390))</f>
        <v>1620.4394130654366</v>
      </c>
      <c r="F3390">
        <f>IF($D3390 &gt; 16, 0,$E3390*$J$5)</f>
        <v>17612555.980608232</v>
      </c>
      <c r="G3390">
        <f t="shared" si="52"/>
        <v>7.8000000000000007</v>
      </c>
    </row>
    <row r="3391" spans="2:7" x14ac:dyDescent="0.35">
      <c r="B3391" s="1">
        <v>45799</v>
      </c>
      <c r="C3391" s="2">
        <v>0.20833333333333329</v>
      </c>
      <c r="D3391">
        <v>8.1999999999999993</v>
      </c>
      <c r="E3391">
        <f>IF($D3391 &gt; 16, 0, $J$3*(16 - $D3391))</f>
        <v>1620.4394130654366</v>
      </c>
      <c r="F3391">
        <f>IF($D3391 &gt; 16, 0,$E3391*$J$5)</f>
        <v>17612555.980608232</v>
      </c>
      <c r="G3391">
        <f t="shared" si="52"/>
        <v>7.8000000000000007</v>
      </c>
    </row>
    <row r="3392" spans="2:7" x14ac:dyDescent="0.35">
      <c r="B3392" s="1">
        <v>45799</v>
      </c>
      <c r="C3392" s="2">
        <v>0.25</v>
      </c>
      <c r="D3392">
        <v>9.5</v>
      </c>
      <c r="E3392">
        <f>IF($D3392 &gt; 16, 0, $J$3*(16 - $D3392))</f>
        <v>1350.3661775545304</v>
      </c>
      <c r="F3392">
        <f>IF($D3392 &gt; 16, 0,$E3392*$J$5)</f>
        <v>14677129.983840192</v>
      </c>
      <c r="G3392">
        <f t="shared" si="52"/>
        <v>6.5</v>
      </c>
    </row>
    <row r="3393" spans="2:7" x14ac:dyDescent="0.35">
      <c r="B3393" s="1">
        <v>45799</v>
      </c>
      <c r="C3393" s="2">
        <v>0.29166666666666669</v>
      </c>
      <c r="D3393">
        <v>11.1</v>
      </c>
      <c r="E3393">
        <f>IF($D3393 &gt; 16, 0, $J$3*(16 - $D3393))</f>
        <v>1017.9683492334153</v>
      </c>
      <c r="F3393">
        <f>IF($D3393 &gt; 16, 0,$E3393*$J$5)</f>
        <v>11064297.987817992</v>
      </c>
      <c r="G3393">
        <f t="shared" si="52"/>
        <v>4.9000000000000004</v>
      </c>
    </row>
    <row r="3394" spans="2:7" x14ac:dyDescent="0.35">
      <c r="B3394" s="1">
        <v>45799</v>
      </c>
      <c r="C3394" s="2">
        <v>0.33333333333333331</v>
      </c>
      <c r="D3394">
        <v>9.4</v>
      </c>
      <c r="E3394">
        <f>IF($D3394 &gt; 16, 0, $J$3*(16 - $D3394))</f>
        <v>1371.1410418246001</v>
      </c>
      <c r="F3394">
        <f>IF($D3394 &gt; 16, 0,$E3394*$J$5)</f>
        <v>14902931.983591577</v>
      </c>
      <c r="G3394">
        <f t="shared" si="52"/>
        <v>6.6</v>
      </c>
    </row>
    <row r="3395" spans="2:7" x14ac:dyDescent="0.35">
      <c r="B3395" s="1">
        <v>45799</v>
      </c>
      <c r="C3395" s="2">
        <v>0.375</v>
      </c>
      <c r="D3395">
        <v>11.6</v>
      </c>
      <c r="E3395">
        <f>IF($D3395 &gt; 16, 0, $J$3*(16 - $D3395))</f>
        <v>914.09402788306681</v>
      </c>
      <c r="F3395">
        <f>IF($D3395 &gt; 16, 0,$E3395*$J$5)</f>
        <v>9935287.9890610538</v>
      </c>
      <c r="G3395">
        <f t="shared" ref="G3395:G3458" si="53">MAX(0, 16 - $D3395)</f>
        <v>4.4000000000000004</v>
      </c>
    </row>
    <row r="3396" spans="2:7" x14ac:dyDescent="0.35">
      <c r="B3396" s="1">
        <v>45799</v>
      </c>
      <c r="C3396" s="2">
        <v>0.41666666666666669</v>
      </c>
      <c r="D3396">
        <v>10.8</v>
      </c>
      <c r="E3396">
        <f>IF($D3396 &gt; 16, 0, $J$3*(16 - $D3396))</f>
        <v>1080.2929420436242</v>
      </c>
      <c r="F3396">
        <f>IF($D3396 &gt; 16, 0,$E3396*$J$5)</f>
        <v>11741703.987072151</v>
      </c>
      <c r="G3396">
        <f t="shared" si="53"/>
        <v>5.1999999999999993</v>
      </c>
    </row>
    <row r="3397" spans="2:7" x14ac:dyDescent="0.35">
      <c r="B3397" s="1">
        <v>45799</v>
      </c>
      <c r="C3397" s="2">
        <v>0.45833333333333331</v>
      </c>
      <c r="D3397">
        <v>9.5</v>
      </c>
      <c r="E3397">
        <f>IF($D3397 &gt; 16, 0, $J$3*(16 - $D3397))</f>
        <v>1350.3661775545304</v>
      </c>
      <c r="F3397">
        <f>IF($D3397 &gt; 16, 0,$E3397*$J$5)</f>
        <v>14677129.983840192</v>
      </c>
      <c r="G3397">
        <f t="shared" si="53"/>
        <v>6.5</v>
      </c>
    </row>
    <row r="3398" spans="2:7" x14ac:dyDescent="0.35">
      <c r="B3398" s="1">
        <v>45799</v>
      </c>
      <c r="C3398" s="2">
        <v>0.5</v>
      </c>
      <c r="D3398">
        <v>6.8</v>
      </c>
      <c r="E3398">
        <f>IF($D3398 &gt; 16, 0, $J$3*(16 - $D3398))</f>
        <v>1911.2875128464123</v>
      </c>
      <c r="F3398">
        <f>IF($D3398 &gt; 16, 0,$E3398*$J$5)</f>
        <v>20773783.977127656</v>
      </c>
      <c r="G3398">
        <f t="shared" si="53"/>
        <v>9.1999999999999993</v>
      </c>
    </row>
    <row r="3399" spans="2:7" x14ac:dyDescent="0.35">
      <c r="B3399" s="1">
        <v>45799</v>
      </c>
      <c r="C3399" s="2">
        <v>0.54166666666666663</v>
      </c>
      <c r="D3399">
        <v>6.8</v>
      </c>
      <c r="E3399">
        <f>IF($D3399 &gt; 16, 0, $J$3*(16 - $D3399))</f>
        <v>1911.2875128464123</v>
      </c>
      <c r="F3399">
        <f>IF($D3399 &gt; 16, 0,$E3399*$J$5)</f>
        <v>20773783.977127656</v>
      </c>
      <c r="G3399">
        <f t="shared" si="53"/>
        <v>9.1999999999999993</v>
      </c>
    </row>
    <row r="3400" spans="2:7" x14ac:dyDescent="0.35">
      <c r="B3400" s="1">
        <v>45799</v>
      </c>
      <c r="C3400" s="2">
        <v>0.58333333333333337</v>
      </c>
      <c r="D3400">
        <v>5.4</v>
      </c>
      <c r="E3400">
        <f>IF($D3400 &gt; 16, 0, $J$3*(16 - $D3400))</f>
        <v>2202.1356126273881</v>
      </c>
      <c r="F3400">
        <f>IF($D3400 &gt; 16, 0,$E3400*$J$5)</f>
        <v>23935011.97364708</v>
      </c>
      <c r="G3400">
        <f t="shared" si="53"/>
        <v>10.6</v>
      </c>
    </row>
    <row r="3401" spans="2:7" x14ac:dyDescent="0.35">
      <c r="B3401" s="1">
        <v>45799</v>
      </c>
      <c r="C3401" s="2">
        <v>0.625</v>
      </c>
      <c r="D3401">
        <v>8.6</v>
      </c>
      <c r="E3401">
        <f>IF($D3401 &gt; 16, 0, $J$3*(16 - $D3401))</f>
        <v>1537.3399559851578</v>
      </c>
      <c r="F3401">
        <f>IF($D3401 &gt; 16, 0,$E3401*$J$5)</f>
        <v>16709347.98160268</v>
      </c>
      <c r="G3401">
        <f t="shared" si="53"/>
        <v>7.4</v>
      </c>
    </row>
    <row r="3402" spans="2:7" x14ac:dyDescent="0.35">
      <c r="B3402" s="1">
        <v>45799</v>
      </c>
      <c r="C3402" s="2">
        <v>0.66666666666666663</v>
      </c>
      <c r="D3402">
        <v>10.3</v>
      </c>
      <c r="E3402">
        <f>IF($D3402 &gt; 16, 0, $J$3*(16 - $D3402))</f>
        <v>1184.1672633939727</v>
      </c>
      <c r="F3402">
        <f>IF($D3402 &gt; 16, 0,$E3402*$J$5)</f>
        <v>12870713.985829089</v>
      </c>
      <c r="G3402">
        <f t="shared" si="53"/>
        <v>5.6999999999999993</v>
      </c>
    </row>
    <row r="3403" spans="2:7" x14ac:dyDescent="0.35">
      <c r="B3403" s="1">
        <v>45799</v>
      </c>
      <c r="C3403" s="2">
        <v>0.70833333333333337</v>
      </c>
      <c r="D3403">
        <v>9.6</v>
      </c>
      <c r="E3403">
        <f>IF($D3403 &gt; 16, 0, $J$3*(16 - $D3403))</f>
        <v>1329.5913132844607</v>
      </c>
      <c r="F3403">
        <f>IF($D3403 &gt; 16, 0,$E3403*$J$5)</f>
        <v>14451327.984088805</v>
      </c>
      <c r="G3403">
        <f t="shared" si="53"/>
        <v>6.4</v>
      </c>
    </row>
    <row r="3404" spans="2:7" x14ac:dyDescent="0.35">
      <c r="B3404" s="1">
        <v>45799</v>
      </c>
      <c r="C3404" s="2">
        <v>0.75</v>
      </c>
      <c r="D3404">
        <v>6.1</v>
      </c>
      <c r="E3404">
        <f>IF($D3404 &gt; 16, 0, $J$3*(16 - $D3404))</f>
        <v>2056.7115627369003</v>
      </c>
      <c r="F3404">
        <f>IF($D3404 &gt; 16, 0,$E3404*$J$5)</f>
        <v>22354397.975387368</v>
      </c>
      <c r="G3404">
        <f t="shared" si="53"/>
        <v>9.9</v>
      </c>
    </row>
    <row r="3405" spans="2:7" x14ac:dyDescent="0.35">
      <c r="B3405" s="1">
        <v>45799</v>
      </c>
      <c r="C3405" s="2">
        <v>0.79166666666666663</v>
      </c>
      <c r="D3405">
        <v>7.6</v>
      </c>
      <c r="E3405">
        <f>IF($D3405 &gt; 16, 0, $J$3*(16 - $D3405))</f>
        <v>1745.0885986858548</v>
      </c>
      <c r="F3405">
        <f>IF($D3405 &gt; 16, 0,$E3405*$J$5)</f>
        <v>18967367.979116555</v>
      </c>
      <c r="G3405">
        <f t="shared" si="53"/>
        <v>8.4</v>
      </c>
    </row>
    <row r="3406" spans="2:7" x14ac:dyDescent="0.35">
      <c r="B3406" s="1">
        <v>45799</v>
      </c>
      <c r="C3406" s="2">
        <v>0.83333333333333337</v>
      </c>
      <c r="D3406">
        <v>7.6</v>
      </c>
      <c r="E3406">
        <f>IF($D3406 &gt; 16, 0, $J$3*(16 - $D3406))</f>
        <v>1745.0885986858548</v>
      </c>
      <c r="F3406">
        <f>IF($D3406 &gt; 16, 0,$E3406*$J$5)</f>
        <v>18967367.979116555</v>
      </c>
      <c r="G3406">
        <f t="shared" si="53"/>
        <v>8.4</v>
      </c>
    </row>
    <row r="3407" spans="2:7" x14ac:dyDescent="0.35">
      <c r="B3407" s="1">
        <v>45799</v>
      </c>
      <c r="C3407" s="2">
        <v>0.875</v>
      </c>
      <c r="D3407">
        <v>5.3</v>
      </c>
      <c r="E3407">
        <f>IF($D3407 &gt; 16, 0, $J$3*(16 - $D3407))</f>
        <v>2222.9104768974576</v>
      </c>
      <c r="F3407">
        <f>IF($D3407 &gt; 16, 0,$E3407*$J$5)</f>
        <v>24160813.973398466</v>
      </c>
      <c r="G3407">
        <f t="shared" si="53"/>
        <v>10.7</v>
      </c>
    </row>
    <row r="3408" spans="2:7" x14ac:dyDescent="0.35">
      <c r="B3408" s="1">
        <v>45799</v>
      </c>
      <c r="C3408" s="2">
        <v>0.91666666666666663</v>
      </c>
      <c r="D3408">
        <v>5.7</v>
      </c>
      <c r="E3408">
        <f>IF($D3408 &gt; 16, 0, $J$3*(16 - $D3408))</f>
        <v>2139.8110198171789</v>
      </c>
      <c r="F3408">
        <f>IF($D3408 &gt; 16, 0,$E3408*$J$5)</f>
        <v>23257605.974392917</v>
      </c>
      <c r="G3408">
        <f t="shared" si="53"/>
        <v>10.3</v>
      </c>
    </row>
    <row r="3409" spans="2:7" x14ac:dyDescent="0.35">
      <c r="B3409" s="1">
        <v>45799</v>
      </c>
      <c r="C3409" s="2">
        <v>0.95833333333333337</v>
      </c>
      <c r="D3409">
        <v>5.8</v>
      </c>
      <c r="E3409">
        <f>IF($D3409 &gt; 16, 0, $J$3*(16 - $D3409))</f>
        <v>2119.036155547109</v>
      </c>
      <c r="F3409">
        <f>IF($D3409 &gt; 16, 0,$E3409*$J$5)</f>
        <v>23031803.974641528</v>
      </c>
      <c r="G3409">
        <f t="shared" si="53"/>
        <v>10.199999999999999</v>
      </c>
    </row>
    <row r="3410" spans="2:7" x14ac:dyDescent="0.35">
      <c r="B3410" s="1">
        <v>45800</v>
      </c>
      <c r="C3410" s="2">
        <v>0</v>
      </c>
      <c r="D3410">
        <v>5.7</v>
      </c>
      <c r="E3410">
        <f>IF($D3410 &gt; 16, 0, $J$3*(16 - $D3410))</f>
        <v>2139.8110198171789</v>
      </c>
      <c r="F3410">
        <f>IF($D3410 &gt; 16, 0,$E3410*$J$5)</f>
        <v>23257605.974392917</v>
      </c>
      <c r="G3410">
        <f t="shared" si="53"/>
        <v>10.3</v>
      </c>
    </row>
    <row r="3411" spans="2:7" x14ac:dyDescent="0.35">
      <c r="B3411" s="1">
        <v>45800</v>
      </c>
      <c r="C3411" s="2">
        <v>4.1666666666666657E-2</v>
      </c>
      <c r="D3411">
        <v>5</v>
      </c>
      <c r="E3411">
        <f>IF($D3411 &gt; 16, 0, $J$3*(16 - $D3411))</f>
        <v>2285.2350697076668</v>
      </c>
      <c r="F3411">
        <f>IF($D3411 &gt; 16, 0,$E3411*$J$5)</f>
        <v>24838219.972652629</v>
      </c>
      <c r="G3411">
        <f t="shared" si="53"/>
        <v>11</v>
      </c>
    </row>
    <row r="3412" spans="2:7" x14ac:dyDescent="0.35">
      <c r="B3412" s="1">
        <v>45800</v>
      </c>
      <c r="C3412" s="2">
        <v>8.3333333333333329E-2</v>
      </c>
      <c r="D3412">
        <v>5</v>
      </c>
      <c r="E3412">
        <f>IF($D3412 &gt; 16, 0, $J$3*(16 - $D3412))</f>
        <v>2285.2350697076668</v>
      </c>
      <c r="F3412">
        <f>IF($D3412 &gt; 16, 0,$E3412*$J$5)</f>
        <v>24838219.972652629</v>
      </c>
      <c r="G3412">
        <f t="shared" si="53"/>
        <v>11</v>
      </c>
    </row>
    <row r="3413" spans="2:7" x14ac:dyDescent="0.35">
      <c r="B3413" s="1">
        <v>45800</v>
      </c>
      <c r="C3413" s="2">
        <v>0.125</v>
      </c>
      <c r="D3413">
        <v>4.5</v>
      </c>
      <c r="E3413">
        <f>IF($D3413 &gt; 16, 0, $J$3*(16 - $D3413))</f>
        <v>2389.1093910580153</v>
      </c>
      <c r="F3413">
        <f>IF($D3413 &gt; 16, 0,$E3413*$J$5)</f>
        <v>25967229.971409567</v>
      </c>
      <c r="G3413">
        <f t="shared" si="53"/>
        <v>11.5</v>
      </c>
    </row>
    <row r="3414" spans="2:7" x14ac:dyDescent="0.35">
      <c r="B3414" s="1">
        <v>45800</v>
      </c>
      <c r="C3414" s="2">
        <v>0.16666666666666671</v>
      </c>
      <c r="D3414">
        <v>4.5</v>
      </c>
      <c r="E3414">
        <f>IF($D3414 &gt; 16, 0, $J$3*(16 - $D3414))</f>
        <v>2389.1093910580153</v>
      </c>
      <c r="F3414">
        <f>IF($D3414 &gt; 16, 0,$E3414*$J$5)</f>
        <v>25967229.971409567</v>
      </c>
      <c r="G3414">
        <f t="shared" si="53"/>
        <v>11.5</v>
      </c>
    </row>
    <row r="3415" spans="2:7" x14ac:dyDescent="0.35">
      <c r="B3415" s="1">
        <v>45800</v>
      </c>
      <c r="C3415" s="2">
        <v>0.20833333333333329</v>
      </c>
      <c r="D3415">
        <v>6.1</v>
      </c>
      <c r="E3415">
        <f>IF($D3415 &gt; 16, 0, $J$3*(16 - $D3415))</f>
        <v>2056.7115627369003</v>
      </c>
      <c r="F3415">
        <f>IF($D3415 &gt; 16, 0,$E3415*$J$5)</f>
        <v>22354397.975387368</v>
      </c>
      <c r="G3415">
        <f t="shared" si="53"/>
        <v>9.9</v>
      </c>
    </row>
    <row r="3416" spans="2:7" x14ac:dyDescent="0.35">
      <c r="B3416" s="1">
        <v>45800</v>
      </c>
      <c r="C3416" s="2">
        <v>0.25</v>
      </c>
      <c r="D3416">
        <v>7.6</v>
      </c>
      <c r="E3416">
        <f>IF($D3416 &gt; 16, 0, $J$3*(16 - $D3416))</f>
        <v>1745.0885986858548</v>
      </c>
      <c r="F3416">
        <f>IF($D3416 &gt; 16, 0,$E3416*$J$5)</f>
        <v>18967367.979116555</v>
      </c>
      <c r="G3416">
        <f t="shared" si="53"/>
        <v>8.4</v>
      </c>
    </row>
    <row r="3417" spans="2:7" x14ac:dyDescent="0.35">
      <c r="B3417" s="1">
        <v>45800</v>
      </c>
      <c r="C3417" s="2">
        <v>0.29166666666666669</v>
      </c>
      <c r="D3417">
        <v>8.1999999999999993</v>
      </c>
      <c r="E3417">
        <f>IF($D3417 &gt; 16, 0, $J$3*(16 - $D3417))</f>
        <v>1620.4394130654366</v>
      </c>
      <c r="F3417">
        <f>IF($D3417 &gt; 16, 0,$E3417*$J$5)</f>
        <v>17612555.980608232</v>
      </c>
      <c r="G3417">
        <f t="shared" si="53"/>
        <v>7.8000000000000007</v>
      </c>
    </row>
    <row r="3418" spans="2:7" x14ac:dyDescent="0.35">
      <c r="B3418" s="1">
        <v>45800</v>
      </c>
      <c r="C3418" s="2">
        <v>0.33333333333333331</v>
      </c>
      <c r="D3418">
        <v>9.6</v>
      </c>
      <c r="E3418">
        <f>IF($D3418 &gt; 16, 0, $J$3*(16 - $D3418))</f>
        <v>1329.5913132844607</v>
      </c>
      <c r="F3418">
        <f>IF($D3418 &gt; 16, 0,$E3418*$J$5)</f>
        <v>14451327.984088805</v>
      </c>
      <c r="G3418">
        <f t="shared" si="53"/>
        <v>6.4</v>
      </c>
    </row>
    <row r="3419" spans="2:7" x14ac:dyDescent="0.35">
      <c r="B3419" s="1">
        <v>45800</v>
      </c>
      <c r="C3419" s="2">
        <v>0.375</v>
      </c>
      <c r="D3419">
        <v>10.7</v>
      </c>
      <c r="E3419">
        <f>IF($D3419 &gt; 16, 0, $J$3*(16 - $D3419))</f>
        <v>1101.0678063136943</v>
      </c>
      <c r="F3419">
        <f>IF($D3419 &gt; 16, 0,$E3419*$J$5)</f>
        <v>11967505.986823544</v>
      </c>
      <c r="G3419">
        <f t="shared" si="53"/>
        <v>5.3000000000000007</v>
      </c>
    </row>
    <row r="3420" spans="2:7" x14ac:dyDescent="0.35">
      <c r="B3420" s="1">
        <v>45800</v>
      </c>
      <c r="C3420" s="2">
        <v>0.41666666666666669</v>
      </c>
      <c r="D3420">
        <v>12</v>
      </c>
      <c r="E3420">
        <f>IF($D3420 &gt; 16, 0, $J$3*(16 - $D3420))</f>
        <v>830.99457080278796</v>
      </c>
      <c r="F3420">
        <f>IF($D3420 &gt; 16, 0,$E3420*$J$5)</f>
        <v>9032079.9900555015</v>
      </c>
      <c r="G3420">
        <f t="shared" si="53"/>
        <v>4</v>
      </c>
    </row>
    <row r="3421" spans="2:7" x14ac:dyDescent="0.35">
      <c r="B3421" s="1">
        <v>45800</v>
      </c>
      <c r="C3421" s="2">
        <v>0.45833333333333331</v>
      </c>
      <c r="D3421">
        <v>13</v>
      </c>
      <c r="E3421">
        <f>IF($D3421 &gt; 16, 0, $J$3*(16 - $D3421))</f>
        <v>623.24592810209094</v>
      </c>
      <c r="F3421">
        <f>IF($D3421 &gt; 16, 0,$E3421*$J$5)</f>
        <v>6774059.9925416261</v>
      </c>
      <c r="G3421">
        <f t="shared" si="53"/>
        <v>3</v>
      </c>
    </row>
    <row r="3422" spans="2:7" x14ac:dyDescent="0.35">
      <c r="B3422" s="1">
        <v>45800</v>
      </c>
      <c r="C3422" s="2">
        <v>0.5</v>
      </c>
      <c r="D3422">
        <v>13.8</v>
      </c>
      <c r="E3422">
        <f>IF($D3422 &gt; 16, 0, $J$3*(16 - $D3422))</f>
        <v>457.04701394153324</v>
      </c>
      <c r="F3422">
        <f>IF($D3422 &gt; 16, 0,$E3422*$J$5)</f>
        <v>4967643.9945305251</v>
      </c>
      <c r="G3422">
        <f t="shared" si="53"/>
        <v>2.1999999999999993</v>
      </c>
    </row>
    <row r="3423" spans="2:7" x14ac:dyDescent="0.35">
      <c r="B3423" s="1">
        <v>45800</v>
      </c>
      <c r="C3423" s="2">
        <v>0.54166666666666663</v>
      </c>
      <c r="D3423">
        <v>12.8</v>
      </c>
      <c r="E3423">
        <f>IF($D3423 &gt; 16, 0, $J$3*(16 - $D3423))</f>
        <v>664.79565664223026</v>
      </c>
      <c r="F3423">
        <f>IF($D3423 &gt; 16, 0,$E3423*$J$5)</f>
        <v>7225663.9920444004</v>
      </c>
      <c r="G3423">
        <f t="shared" si="53"/>
        <v>3.1999999999999993</v>
      </c>
    </row>
    <row r="3424" spans="2:7" x14ac:dyDescent="0.35">
      <c r="B3424" s="1">
        <v>45800</v>
      </c>
      <c r="C3424" s="2">
        <v>0.58333333333333337</v>
      </c>
      <c r="D3424">
        <v>13.6</v>
      </c>
      <c r="E3424">
        <f>IF($D3424 &gt; 16, 0, $J$3*(16 - $D3424))</f>
        <v>498.59674248167283</v>
      </c>
      <c r="F3424">
        <f>IF($D3424 &gt; 16, 0,$E3424*$J$5)</f>
        <v>5419247.9940333022</v>
      </c>
      <c r="G3424">
        <f t="shared" si="53"/>
        <v>2.4000000000000004</v>
      </c>
    </row>
    <row r="3425" spans="2:7" x14ac:dyDescent="0.35">
      <c r="B3425" s="1">
        <v>45800</v>
      </c>
      <c r="C3425" s="2">
        <v>0.625</v>
      </c>
      <c r="D3425">
        <v>13.5</v>
      </c>
      <c r="E3425">
        <f>IF($D3425 &gt; 16, 0, $J$3*(16 - $D3425))</f>
        <v>519.37160675174243</v>
      </c>
      <c r="F3425">
        <f>IF($D3425 &gt; 16, 0,$E3425*$J$5)</f>
        <v>5645049.9937846884</v>
      </c>
      <c r="G3425">
        <f t="shared" si="53"/>
        <v>2.5</v>
      </c>
    </row>
    <row r="3426" spans="2:7" x14ac:dyDescent="0.35">
      <c r="B3426" s="1">
        <v>45800</v>
      </c>
      <c r="C3426" s="2">
        <v>0.66666666666666663</v>
      </c>
      <c r="D3426">
        <v>13.2</v>
      </c>
      <c r="E3426">
        <f>IF($D3426 &gt; 16, 0, $J$3*(16 - $D3426))</f>
        <v>581.69619956195174</v>
      </c>
      <c r="F3426">
        <f>IF($D3426 &gt; 16, 0,$E3426*$J$5)</f>
        <v>6322455.9930388536</v>
      </c>
      <c r="G3426">
        <f t="shared" si="53"/>
        <v>2.8000000000000007</v>
      </c>
    </row>
    <row r="3427" spans="2:7" x14ac:dyDescent="0.35">
      <c r="B3427" s="1">
        <v>45800</v>
      </c>
      <c r="C3427" s="2">
        <v>0.70833333333333337</v>
      </c>
      <c r="D3427">
        <v>12.9</v>
      </c>
      <c r="E3427">
        <f>IF($D3427 &gt; 16, 0, $J$3*(16 - $D3427))</f>
        <v>644.0207923721606</v>
      </c>
      <c r="F3427">
        <f>IF($D3427 &gt; 16, 0,$E3427*$J$5)</f>
        <v>6999861.9922930133</v>
      </c>
      <c r="G3427">
        <f t="shared" si="53"/>
        <v>3.0999999999999996</v>
      </c>
    </row>
    <row r="3428" spans="2:7" x14ac:dyDescent="0.35">
      <c r="B3428" s="1">
        <v>45800</v>
      </c>
      <c r="C3428" s="2">
        <v>0.75</v>
      </c>
      <c r="D3428">
        <v>11.4</v>
      </c>
      <c r="E3428">
        <f>IF($D3428 &gt; 16, 0, $J$3*(16 - $D3428))</f>
        <v>955.64375642320613</v>
      </c>
      <c r="F3428">
        <f>IF($D3428 &gt; 16, 0,$E3428*$J$5)</f>
        <v>10386891.988563828</v>
      </c>
      <c r="G3428">
        <f t="shared" si="53"/>
        <v>4.5999999999999996</v>
      </c>
    </row>
    <row r="3429" spans="2:7" x14ac:dyDescent="0.35">
      <c r="B3429" s="1">
        <v>45800</v>
      </c>
      <c r="C3429" s="2">
        <v>0.79166666666666663</v>
      </c>
      <c r="D3429">
        <v>10.9</v>
      </c>
      <c r="E3429">
        <f>IF($D3429 &gt; 16, 0, $J$3*(16 - $D3429))</f>
        <v>1059.5180777735545</v>
      </c>
      <c r="F3429">
        <f>IF($D3429 &gt; 16, 0,$E3429*$J$5)</f>
        <v>11515901.987320764</v>
      </c>
      <c r="G3429">
        <f t="shared" si="53"/>
        <v>5.0999999999999996</v>
      </c>
    </row>
    <row r="3430" spans="2:7" x14ac:dyDescent="0.35">
      <c r="B3430" s="1">
        <v>45800</v>
      </c>
      <c r="C3430" s="2">
        <v>0.83333333333333337</v>
      </c>
      <c r="D3430">
        <v>10.3</v>
      </c>
      <c r="E3430">
        <f>IF($D3430 &gt; 16, 0, $J$3*(16 - $D3430))</f>
        <v>1184.1672633939727</v>
      </c>
      <c r="F3430">
        <f>IF($D3430 &gt; 16, 0,$E3430*$J$5)</f>
        <v>12870713.985829089</v>
      </c>
      <c r="G3430">
        <f t="shared" si="53"/>
        <v>5.6999999999999993</v>
      </c>
    </row>
    <row r="3431" spans="2:7" x14ac:dyDescent="0.35">
      <c r="B3431" s="1">
        <v>45800</v>
      </c>
      <c r="C3431" s="2">
        <v>0.875</v>
      </c>
      <c r="D3431">
        <v>9.8000000000000007</v>
      </c>
      <c r="E3431">
        <f>IF($D3431 &gt; 16, 0, $J$3*(16 - $D3431))</f>
        <v>1288.0415847443212</v>
      </c>
      <c r="F3431">
        <f>IF($D3431 &gt; 16, 0,$E3431*$J$5)</f>
        <v>13999723.984586027</v>
      </c>
      <c r="G3431">
        <f t="shared" si="53"/>
        <v>6.1999999999999993</v>
      </c>
    </row>
    <row r="3432" spans="2:7" x14ac:dyDescent="0.35">
      <c r="B3432" s="1">
        <v>45800</v>
      </c>
      <c r="C3432" s="2">
        <v>0.91666666666666663</v>
      </c>
      <c r="D3432">
        <v>9.1999999999999993</v>
      </c>
      <c r="E3432">
        <f>IF($D3432 &gt; 16, 0, $J$3*(16 - $D3432))</f>
        <v>1412.6907703647396</v>
      </c>
      <c r="F3432">
        <f>IF($D3432 &gt; 16, 0,$E3432*$J$5)</f>
        <v>15354535.983094355</v>
      </c>
      <c r="G3432">
        <f t="shared" si="53"/>
        <v>6.8000000000000007</v>
      </c>
    </row>
    <row r="3433" spans="2:7" x14ac:dyDescent="0.35">
      <c r="B3433" s="1">
        <v>45800</v>
      </c>
      <c r="C3433" s="2">
        <v>0.95833333333333337</v>
      </c>
      <c r="D3433">
        <v>8.5</v>
      </c>
      <c r="E3433">
        <f>IF($D3433 &gt; 16, 0, $J$3*(16 - $D3433))</f>
        <v>1558.1148202552274</v>
      </c>
      <c r="F3433">
        <f>IF($D3433 &gt; 16, 0,$E3433*$J$5)</f>
        <v>16935149.981354065</v>
      </c>
      <c r="G3433">
        <f t="shared" si="53"/>
        <v>7.5</v>
      </c>
    </row>
    <row r="3434" spans="2:7" x14ac:dyDescent="0.35">
      <c r="B3434" s="1">
        <v>45801</v>
      </c>
      <c r="C3434" s="2">
        <v>0</v>
      </c>
      <c r="D3434">
        <v>8</v>
      </c>
      <c r="E3434">
        <f>IF($D3434 &gt; 16, 0, $J$3*(16 - $D3434))</f>
        <v>1661.9891416055759</v>
      </c>
      <c r="F3434">
        <f>IF($D3434 &gt; 16, 0,$E3434*$J$5)</f>
        <v>18064159.980111003</v>
      </c>
      <c r="G3434">
        <f t="shared" si="53"/>
        <v>8</v>
      </c>
    </row>
    <row r="3435" spans="2:7" x14ac:dyDescent="0.35">
      <c r="B3435" s="1">
        <v>45801</v>
      </c>
      <c r="C3435" s="2">
        <v>4.1666666666666657E-2</v>
      </c>
      <c r="D3435">
        <v>8</v>
      </c>
      <c r="E3435">
        <f>IF($D3435 &gt; 16, 0, $J$3*(16 - $D3435))</f>
        <v>1661.9891416055759</v>
      </c>
      <c r="F3435">
        <f>IF($D3435 &gt; 16, 0,$E3435*$J$5)</f>
        <v>18064159.980111003</v>
      </c>
      <c r="G3435">
        <f t="shared" si="53"/>
        <v>8</v>
      </c>
    </row>
    <row r="3436" spans="2:7" x14ac:dyDescent="0.35">
      <c r="B3436" s="1">
        <v>45801</v>
      </c>
      <c r="C3436" s="2">
        <v>8.3333333333333329E-2</v>
      </c>
      <c r="D3436">
        <v>7.5</v>
      </c>
      <c r="E3436">
        <f>IF($D3436 &gt; 16, 0, $J$3*(16 - $D3436))</f>
        <v>1765.8634629559244</v>
      </c>
      <c r="F3436">
        <f>IF($D3436 &gt; 16, 0,$E3436*$J$5)</f>
        <v>19193169.978867944</v>
      </c>
      <c r="G3436">
        <f t="shared" si="53"/>
        <v>8.5</v>
      </c>
    </row>
    <row r="3437" spans="2:7" x14ac:dyDescent="0.35">
      <c r="B3437" s="1">
        <v>45801</v>
      </c>
      <c r="C3437" s="2">
        <v>0.125</v>
      </c>
      <c r="D3437">
        <v>7.6</v>
      </c>
      <c r="E3437">
        <f>IF($D3437 &gt; 16, 0, $J$3*(16 - $D3437))</f>
        <v>1745.0885986858548</v>
      </c>
      <c r="F3437">
        <f>IF($D3437 &gt; 16, 0,$E3437*$J$5)</f>
        <v>18967367.979116555</v>
      </c>
      <c r="G3437">
        <f t="shared" si="53"/>
        <v>8.4</v>
      </c>
    </row>
    <row r="3438" spans="2:7" x14ac:dyDescent="0.35">
      <c r="B3438" s="1">
        <v>45801</v>
      </c>
      <c r="C3438" s="2">
        <v>0.16666666666666671</v>
      </c>
      <c r="D3438">
        <v>7.2</v>
      </c>
      <c r="E3438">
        <f>IF($D3438 &gt; 16, 0, $J$3*(16 - $D3438))</f>
        <v>1828.1880557661336</v>
      </c>
      <c r="F3438">
        <f>IF($D3438 &gt; 16, 0,$E3438*$J$5)</f>
        <v>19870575.978122108</v>
      </c>
      <c r="G3438">
        <f t="shared" si="53"/>
        <v>8.8000000000000007</v>
      </c>
    </row>
    <row r="3439" spans="2:7" x14ac:dyDescent="0.35">
      <c r="B3439" s="1">
        <v>45801</v>
      </c>
      <c r="C3439" s="2">
        <v>0.20833333333333329</v>
      </c>
      <c r="D3439">
        <v>8.1</v>
      </c>
      <c r="E3439">
        <f>IF($D3439 &gt; 16, 0, $J$3*(16 - $D3439))</f>
        <v>1641.2142773355063</v>
      </c>
      <c r="F3439">
        <f>IF($D3439 &gt; 16, 0,$E3439*$J$5)</f>
        <v>17838357.980359618</v>
      </c>
      <c r="G3439">
        <f t="shared" si="53"/>
        <v>7.9</v>
      </c>
    </row>
    <row r="3440" spans="2:7" x14ac:dyDescent="0.35">
      <c r="B3440" s="1">
        <v>45801</v>
      </c>
      <c r="C3440" s="2">
        <v>0.25</v>
      </c>
      <c r="D3440">
        <v>9.5</v>
      </c>
      <c r="E3440">
        <f>IF($D3440 &gt; 16, 0, $J$3*(16 - $D3440))</f>
        <v>1350.3661775545304</v>
      </c>
      <c r="F3440">
        <f>IF($D3440 &gt; 16, 0,$E3440*$J$5)</f>
        <v>14677129.983840192</v>
      </c>
      <c r="G3440">
        <f t="shared" si="53"/>
        <v>6.5</v>
      </c>
    </row>
    <row r="3441" spans="2:7" x14ac:dyDescent="0.35">
      <c r="B3441" s="1">
        <v>45801</v>
      </c>
      <c r="C3441" s="2">
        <v>0.29166666666666669</v>
      </c>
      <c r="D3441">
        <v>11.5</v>
      </c>
      <c r="E3441">
        <f>IF($D3441 &gt; 16, 0, $J$3*(16 - $D3441))</f>
        <v>934.86889215313647</v>
      </c>
      <c r="F3441">
        <f>IF($D3441 &gt; 16, 0,$E3441*$J$5)</f>
        <v>10161089.988812441</v>
      </c>
      <c r="G3441">
        <f t="shared" si="53"/>
        <v>4.5</v>
      </c>
    </row>
    <row r="3442" spans="2:7" x14ac:dyDescent="0.35">
      <c r="B3442" s="1">
        <v>45801</v>
      </c>
      <c r="C3442" s="2">
        <v>0.33333333333333331</v>
      </c>
      <c r="D3442">
        <v>11.5</v>
      </c>
      <c r="E3442">
        <f>IF($D3442 &gt; 16, 0, $J$3*(16 - $D3442))</f>
        <v>934.86889215313647</v>
      </c>
      <c r="F3442">
        <f>IF($D3442 &gt; 16, 0,$E3442*$J$5)</f>
        <v>10161089.988812441</v>
      </c>
      <c r="G3442">
        <f t="shared" si="53"/>
        <v>4.5</v>
      </c>
    </row>
    <row r="3443" spans="2:7" x14ac:dyDescent="0.35">
      <c r="B3443" s="1">
        <v>45801</v>
      </c>
      <c r="C3443" s="2">
        <v>0.375</v>
      </c>
      <c r="D3443">
        <v>12.6</v>
      </c>
      <c r="E3443">
        <f>IF($D3443 &gt; 16, 0, $J$3*(16 - $D3443))</f>
        <v>706.3453851823698</v>
      </c>
      <c r="F3443">
        <f>IF($D3443 &gt; 16, 0,$E3443*$J$5)</f>
        <v>7677267.9915471775</v>
      </c>
      <c r="G3443">
        <f t="shared" si="53"/>
        <v>3.4000000000000004</v>
      </c>
    </row>
    <row r="3444" spans="2:7" x14ac:dyDescent="0.35">
      <c r="B3444" s="1">
        <v>45801</v>
      </c>
      <c r="C3444" s="2">
        <v>0.41666666666666669</v>
      </c>
      <c r="D3444">
        <v>14.4</v>
      </c>
      <c r="E3444">
        <f>IF($D3444 &gt; 16, 0, $J$3*(16 - $D3444))</f>
        <v>332.39782832111513</v>
      </c>
      <c r="F3444">
        <f>IF($D3444 &gt; 16, 0,$E3444*$J$5)</f>
        <v>3612831.9960222002</v>
      </c>
      <c r="G3444">
        <f t="shared" si="53"/>
        <v>1.5999999999999996</v>
      </c>
    </row>
    <row r="3445" spans="2:7" x14ac:dyDescent="0.35">
      <c r="B3445" s="1">
        <v>45801</v>
      </c>
      <c r="C3445" s="2">
        <v>0.45833333333333331</v>
      </c>
      <c r="D3445">
        <v>15.8</v>
      </c>
      <c r="E3445">
        <f>IF($D3445 &gt; 16, 0, $J$3*(16 - $D3445))</f>
        <v>41.549728540139249</v>
      </c>
      <c r="F3445">
        <f>IF($D3445 &gt; 16, 0,$E3445*$J$5)</f>
        <v>451603.99950277351</v>
      </c>
      <c r="G3445">
        <f t="shared" si="53"/>
        <v>0.19999999999999929</v>
      </c>
    </row>
    <row r="3446" spans="2:7" x14ac:dyDescent="0.35">
      <c r="B3446" s="1">
        <v>45801</v>
      </c>
      <c r="C3446" s="2">
        <v>0.5</v>
      </c>
      <c r="D3446">
        <v>18.3</v>
      </c>
      <c r="E3446">
        <f>IF($D3446 &gt; 16, 0, $J$3*(16 - $D3446))</f>
        <v>0</v>
      </c>
      <c r="F3446">
        <f>IF($D3446 &gt; 16, 0,$E3446*$J$5)</f>
        <v>0</v>
      </c>
      <c r="G3446">
        <f t="shared" si="53"/>
        <v>0</v>
      </c>
    </row>
    <row r="3447" spans="2:7" x14ac:dyDescent="0.35">
      <c r="B3447" s="1">
        <v>45801</v>
      </c>
      <c r="C3447" s="2">
        <v>0.54166666666666663</v>
      </c>
      <c r="D3447">
        <v>18.7</v>
      </c>
      <c r="E3447">
        <f>IF($D3447 &gt; 16, 0, $J$3*(16 - $D3447))</f>
        <v>0</v>
      </c>
      <c r="F3447">
        <f>IF($D3447 &gt; 16, 0,$E3447*$J$5)</f>
        <v>0</v>
      </c>
      <c r="G3447">
        <f t="shared" si="53"/>
        <v>0</v>
      </c>
    </row>
    <row r="3448" spans="2:7" x14ac:dyDescent="0.35">
      <c r="B3448" s="1">
        <v>45801</v>
      </c>
      <c r="C3448" s="2">
        <v>0.58333333333333337</v>
      </c>
      <c r="D3448">
        <v>18.399999999999999</v>
      </c>
      <c r="E3448">
        <f>IF($D3448 &gt; 16, 0, $J$3*(16 - $D3448))</f>
        <v>0</v>
      </c>
      <c r="F3448">
        <f>IF($D3448 &gt; 16, 0,$E3448*$J$5)</f>
        <v>0</v>
      </c>
      <c r="G3448">
        <f t="shared" si="53"/>
        <v>0</v>
      </c>
    </row>
    <row r="3449" spans="2:7" x14ac:dyDescent="0.35">
      <c r="B3449" s="1">
        <v>45801</v>
      </c>
      <c r="C3449" s="2">
        <v>0.625</v>
      </c>
      <c r="D3449">
        <v>18.2</v>
      </c>
      <c r="E3449">
        <f>IF($D3449 &gt; 16, 0, $J$3*(16 - $D3449))</f>
        <v>0</v>
      </c>
      <c r="F3449">
        <f>IF($D3449 &gt; 16, 0,$E3449*$J$5)</f>
        <v>0</v>
      </c>
      <c r="G3449">
        <f t="shared" si="53"/>
        <v>0</v>
      </c>
    </row>
    <row r="3450" spans="2:7" x14ac:dyDescent="0.35">
      <c r="B3450" s="1">
        <v>45801</v>
      </c>
      <c r="C3450" s="2">
        <v>0.66666666666666663</v>
      </c>
      <c r="D3450">
        <v>16.8</v>
      </c>
      <c r="E3450">
        <f>IF($D3450 &gt; 16, 0, $J$3*(16 - $D3450))</f>
        <v>0</v>
      </c>
      <c r="F3450">
        <f>IF($D3450 &gt; 16, 0,$E3450*$J$5)</f>
        <v>0</v>
      </c>
      <c r="G3450">
        <f t="shared" si="53"/>
        <v>0</v>
      </c>
    </row>
    <row r="3451" spans="2:7" x14ac:dyDescent="0.35">
      <c r="B3451" s="1">
        <v>45801</v>
      </c>
      <c r="C3451" s="2">
        <v>0.70833333333333337</v>
      </c>
      <c r="D3451">
        <v>17</v>
      </c>
      <c r="E3451">
        <f>IF($D3451 &gt; 16, 0, $J$3*(16 - $D3451))</f>
        <v>0</v>
      </c>
      <c r="F3451">
        <f>IF($D3451 &gt; 16, 0,$E3451*$J$5)</f>
        <v>0</v>
      </c>
      <c r="G3451">
        <f t="shared" si="53"/>
        <v>0</v>
      </c>
    </row>
    <row r="3452" spans="2:7" x14ac:dyDescent="0.35">
      <c r="B3452" s="1">
        <v>45801</v>
      </c>
      <c r="C3452" s="2">
        <v>0.75</v>
      </c>
      <c r="D3452">
        <v>15.7</v>
      </c>
      <c r="E3452">
        <f>IF($D3452 &gt; 16, 0, $J$3*(16 - $D3452))</f>
        <v>62.324592810209246</v>
      </c>
      <c r="F3452">
        <f>IF($D3452 &gt; 16, 0,$E3452*$J$5)</f>
        <v>677405.99925416429</v>
      </c>
      <c r="G3452">
        <f t="shared" si="53"/>
        <v>0.30000000000000071</v>
      </c>
    </row>
    <row r="3453" spans="2:7" x14ac:dyDescent="0.35">
      <c r="B3453" s="1">
        <v>45801</v>
      </c>
      <c r="C3453" s="2">
        <v>0.79166666666666663</v>
      </c>
      <c r="D3453">
        <v>15</v>
      </c>
      <c r="E3453">
        <f>IF($D3453 &gt; 16, 0, $J$3*(16 - $D3453))</f>
        <v>207.74864270069699</v>
      </c>
      <c r="F3453">
        <f>IF($D3453 &gt; 16, 0,$E3453*$J$5)</f>
        <v>2258019.9975138754</v>
      </c>
      <c r="G3453">
        <f t="shared" si="53"/>
        <v>1</v>
      </c>
    </row>
    <row r="3454" spans="2:7" x14ac:dyDescent="0.35">
      <c r="B3454" s="1">
        <v>45801</v>
      </c>
      <c r="C3454" s="2">
        <v>0.83333333333333337</v>
      </c>
      <c r="D3454">
        <v>14.5</v>
      </c>
      <c r="E3454">
        <f>IF($D3454 &gt; 16, 0, $J$3*(16 - $D3454))</f>
        <v>311.62296405104547</v>
      </c>
      <c r="F3454">
        <f>IF($D3454 &gt; 16, 0,$E3454*$J$5)</f>
        <v>3387029.996270813</v>
      </c>
      <c r="G3454">
        <f t="shared" si="53"/>
        <v>1.5</v>
      </c>
    </row>
    <row r="3455" spans="2:7" x14ac:dyDescent="0.35">
      <c r="B3455" s="1">
        <v>45801</v>
      </c>
      <c r="C3455" s="2">
        <v>0.875</v>
      </c>
      <c r="D3455">
        <v>12.6</v>
      </c>
      <c r="E3455">
        <f>IF($D3455 &gt; 16, 0, $J$3*(16 - $D3455))</f>
        <v>706.3453851823698</v>
      </c>
      <c r="F3455">
        <f>IF($D3455 &gt; 16, 0,$E3455*$J$5)</f>
        <v>7677267.9915471775</v>
      </c>
      <c r="G3455">
        <f t="shared" si="53"/>
        <v>3.4000000000000004</v>
      </c>
    </row>
    <row r="3456" spans="2:7" x14ac:dyDescent="0.35">
      <c r="B3456" s="1">
        <v>45801</v>
      </c>
      <c r="C3456" s="2">
        <v>0.91666666666666663</v>
      </c>
      <c r="D3456">
        <v>12.8</v>
      </c>
      <c r="E3456">
        <f>IF($D3456 &gt; 16, 0, $J$3*(16 - $D3456))</f>
        <v>664.79565664223026</v>
      </c>
      <c r="F3456">
        <f>IF($D3456 &gt; 16, 0,$E3456*$J$5)</f>
        <v>7225663.9920444004</v>
      </c>
      <c r="G3456">
        <f t="shared" si="53"/>
        <v>3.1999999999999993</v>
      </c>
    </row>
    <row r="3457" spans="2:7" x14ac:dyDescent="0.35">
      <c r="B3457" s="1">
        <v>45801</v>
      </c>
      <c r="C3457" s="2">
        <v>0.95833333333333337</v>
      </c>
      <c r="D3457">
        <v>11.5</v>
      </c>
      <c r="E3457">
        <f>IF($D3457 &gt; 16, 0, $J$3*(16 - $D3457))</f>
        <v>934.86889215313647</v>
      </c>
      <c r="F3457">
        <f>IF($D3457 &gt; 16, 0,$E3457*$J$5)</f>
        <v>10161089.988812441</v>
      </c>
      <c r="G3457">
        <f t="shared" si="53"/>
        <v>4.5</v>
      </c>
    </row>
    <row r="3458" spans="2:7" x14ac:dyDescent="0.35">
      <c r="B3458" s="1">
        <v>45802</v>
      </c>
      <c r="C3458" s="2">
        <v>0</v>
      </c>
      <c r="D3458">
        <v>11.4</v>
      </c>
      <c r="E3458">
        <f>IF($D3458 &gt; 16, 0, $J$3*(16 - $D3458))</f>
        <v>955.64375642320613</v>
      </c>
      <c r="F3458">
        <f>IF($D3458 &gt; 16, 0,$E3458*$J$5)</f>
        <v>10386891.988563828</v>
      </c>
      <c r="G3458">
        <f t="shared" si="53"/>
        <v>4.5999999999999996</v>
      </c>
    </row>
    <row r="3459" spans="2:7" x14ac:dyDescent="0.35">
      <c r="B3459" s="1">
        <v>45802</v>
      </c>
      <c r="C3459" s="2">
        <v>4.1666666666666657E-2</v>
      </c>
      <c r="D3459">
        <v>11.2</v>
      </c>
      <c r="E3459">
        <f>IF($D3459 &gt; 16, 0, $J$3*(16 - $D3459))</f>
        <v>997.19348496334567</v>
      </c>
      <c r="F3459">
        <f>IF($D3459 &gt; 16, 0,$E3459*$J$5)</f>
        <v>10838495.988066604</v>
      </c>
      <c r="G3459">
        <f t="shared" ref="G3459:G3522" si="54">MAX(0, 16 - $D3459)</f>
        <v>4.8000000000000007</v>
      </c>
    </row>
    <row r="3460" spans="2:7" x14ac:dyDescent="0.35">
      <c r="B3460" s="1">
        <v>45802</v>
      </c>
      <c r="C3460" s="2">
        <v>8.3333333333333329E-2</v>
      </c>
      <c r="D3460">
        <v>11.4</v>
      </c>
      <c r="E3460">
        <f>IF($D3460 &gt; 16, 0, $J$3*(16 - $D3460))</f>
        <v>955.64375642320613</v>
      </c>
      <c r="F3460">
        <f>IF($D3460 &gt; 16, 0,$E3460*$J$5)</f>
        <v>10386891.988563828</v>
      </c>
      <c r="G3460">
        <f t="shared" si="54"/>
        <v>4.5999999999999996</v>
      </c>
    </row>
    <row r="3461" spans="2:7" x14ac:dyDescent="0.35">
      <c r="B3461" s="1">
        <v>45802</v>
      </c>
      <c r="C3461" s="2">
        <v>0.125</v>
      </c>
      <c r="D3461">
        <v>11.5</v>
      </c>
      <c r="E3461">
        <f>IF($D3461 &gt; 16, 0, $J$3*(16 - $D3461))</f>
        <v>934.86889215313647</v>
      </c>
      <c r="F3461">
        <f>IF($D3461 &gt; 16, 0,$E3461*$J$5)</f>
        <v>10161089.988812441</v>
      </c>
      <c r="G3461">
        <f t="shared" si="54"/>
        <v>4.5</v>
      </c>
    </row>
    <row r="3462" spans="2:7" x14ac:dyDescent="0.35">
      <c r="B3462" s="1">
        <v>45802</v>
      </c>
      <c r="C3462" s="2">
        <v>0.16666666666666671</v>
      </c>
      <c r="D3462">
        <v>12</v>
      </c>
      <c r="E3462">
        <f>IF($D3462 &gt; 16, 0, $J$3*(16 - $D3462))</f>
        <v>830.99457080278796</v>
      </c>
      <c r="F3462">
        <f>IF($D3462 &gt; 16, 0,$E3462*$J$5)</f>
        <v>9032079.9900555015</v>
      </c>
      <c r="G3462">
        <f t="shared" si="54"/>
        <v>4</v>
      </c>
    </row>
    <row r="3463" spans="2:7" x14ac:dyDescent="0.35">
      <c r="B3463" s="1">
        <v>45802</v>
      </c>
      <c r="C3463" s="2">
        <v>0.20833333333333329</v>
      </c>
      <c r="D3463">
        <v>12.6</v>
      </c>
      <c r="E3463">
        <f>IF($D3463 &gt; 16, 0, $J$3*(16 - $D3463))</f>
        <v>706.3453851823698</v>
      </c>
      <c r="F3463">
        <f>IF($D3463 &gt; 16, 0,$E3463*$J$5)</f>
        <v>7677267.9915471775</v>
      </c>
      <c r="G3463">
        <f t="shared" si="54"/>
        <v>3.4000000000000004</v>
      </c>
    </row>
    <row r="3464" spans="2:7" x14ac:dyDescent="0.35">
      <c r="B3464" s="1">
        <v>45802</v>
      </c>
      <c r="C3464" s="2">
        <v>0.25</v>
      </c>
      <c r="D3464">
        <v>12.9</v>
      </c>
      <c r="E3464">
        <f>IF($D3464 &gt; 16, 0, $J$3*(16 - $D3464))</f>
        <v>644.0207923721606</v>
      </c>
      <c r="F3464">
        <f>IF($D3464 &gt; 16, 0,$E3464*$J$5)</f>
        <v>6999861.9922930133</v>
      </c>
      <c r="G3464">
        <f t="shared" si="54"/>
        <v>3.0999999999999996</v>
      </c>
    </row>
    <row r="3465" spans="2:7" x14ac:dyDescent="0.35">
      <c r="B3465" s="1">
        <v>45802</v>
      </c>
      <c r="C3465" s="2">
        <v>0.29166666666666669</v>
      </c>
      <c r="D3465">
        <v>13.5</v>
      </c>
      <c r="E3465">
        <f>IF($D3465 &gt; 16, 0, $J$3*(16 - $D3465))</f>
        <v>519.37160675174243</v>
      </c>
      <c r="F3465">
        <f>IF($D3465 &gt; 16, 0,$E3465*$J$5)</f>
        <v>5645049.9937846884</v>
      </c>
      <c r="G3465">
        <f t="shared" si="54"/>
        <v>2.5</v>
      </c>
    </row>
    <row r="3466" spans="2:7" x14ac:dyDescent="0.35">
      <c r="B3466" s="1">
        <v>45802</v>
      </c>
      <c r="C3466" s="2">
        <v>0.33333333333333331</v>
      </c>
      <c r="D3466">
        <v>14</v>
      </c>
      <c r="E3466">
        <f>IF($D3466 &gt; 16, 0, $J$3*(16 - $D3466))</f>
        <v>415.49728540139398</v>
      </c>
      <c r="F3466">
        <f>IF($D3466 &gt; 16, 0,$E3466*$J$5)</f>
        <v>4516039.9950277507</v>
      </c>
      <c r="G3466">
        <f t="shared" si="54"/>
        <v>2</v>
      </c>
    </row>
    <row r="3467" spans="2:7" x14ac:dyDescent="0.35">
      <c r="B3467" s="1">
        <v>45802</v>
      </c>
      <c r="C3467" s="2">
        <v>0.375</v>
      </c>
      <c r="D3467">
        <v>14.8</v>
      </c>
      <c r="E3467">
        <f>IF($D3467 &gt; 16, 0, $J$3*(16 - $D3467))</f>
        <v>249.29837124083625</v>
      </c>
      <c r="F3467">
        <f>IF($D3467 &gt; 16, 0,$E3467*$J$5)</f>
        <v>2709623.9970166492</v>
      </c>
      <c r="G3467">
        <f t="shared" si="54"/>
        <v>1.1999999999999993</v>
      </c>
    </row>
    <row r="3468" spans="2:7" x14ac:dyDescent="0.35">
      <c r="B3468" s="1">
        <v>45802</v>
      </c>
      <c r="C3468" s="2">
        <v>0.41666666666666669</v>
      </c>
      <c r="D3468">
        <v>15.7</v>
      </c>
      <c r="E3468">
        <f>IF($D3468 &gt; 16, 0, $J$3*(16 - $D3468))</f>
        <v>62.324592810209246</v>
      </c>
      <c r="F3468">
        <f>IF($D3468 &gt; 16, 0,$E3468*$J$5)</f>
        <v>677405.99925416429</v>
      </c>
      <c r="G3468">
        <f t="shared" si="54"/>
        <v>0.30000000000000071</v>
      </c>
    </row>
    <row r="3469" spans="2:7" x14ac:dyDescent="0.35">
      <c r="B3469" s="1">
        <v>45802</v>
      </c>
      <c r="C3469" s="2">
        <v>0.45833333333333331</v>
      </c>
      <c r="D3469">
        <v>15.4</v>
      </c>
      <c r="E3469">
        <f>IF($D3469 &gt; 16, 0, $J$3*(16 - $D3469))</f>
        <v>124.64918562041812</v>
      </c>
      <c r="F3469">
        <f>IF($D3469 &gt; 16, 0,$E3469*$J$5)</f>
        <v>1354811.9985083246</v>
      </c>
      <c r="G3469">
        <f t="shared" si="54"/>
        <v>0.59999999999999964</v>
      </c>
    </row>
    <row r="3470" spans="2:7" x14ac:dyDescent="0.35">
      <c r="B3470" s="1">
        <v>45802</v>
      </c>
      <c r="C3470" s="2">
        <v>0.5</v>
      </c>
      <c r="D3470">
        <v>16</v>
      </c>
      <c r="E3470">
        <f>IF($D3470 &gt; 16, 0, $J$3*(16 - $D3470))</f>
        <v>0</v>
      </c>
      <c r="F3470">
        <f>IF($D3470 &gt; 16, 0,$E3470*$J$5)</f>
        <v>0</v>
      </c>
      <c r="G3470">
        <f t="shared" si="54"/>
        <v>0</v>
      </c>
    </row>
    <row r="3471" spans="2:7" x14ac:dyDescent="0.35">
      <c r="B3471" s="1">
        <v>45802</v>
      </c>
      <c r="C3471" s="2">
        <v>0.54166666666666663</v>
      </c>
      <c r="D3471">
        <v>17.7</v>
      </c>
      <c r="E3471">
        <f>IF($D3471 &gt; 16, 0, $J$3*(16 - $D3471))</f>
        <v>0</v>
      </c>
      <c r="F3471">
        <f>IF($D3471 &gt; 16, 0,$E3471*$J$5)</f>
        <v>0</v>
      </c>
      <c r="G3471">
        <f t="shared" si="54"/>
        <v>0</v>
      </c>
    </row>
    <row r="3472" spans="2:7" x14ac:dyDescent="0.35">
      <c r="B3472" s="1">
        <v>45802</v>
      </c>
      <c r="C3472" s="2">
        <v>0.58333333333333337</v>
      </c>
      <c r="D3472">
        <v>18</v>
      </c>
      <c r="E3472">
        <f>IF($D3472 &gt; 16, 0, $J$3*(16 - $D3472))</f>
        <v>0</v>
      </c>
      <c r="F3472">
        <f>IF($D3472 &gt; 16, 0,$E3472*$J$5)</f>
        <v>0</v>
      </c>
      <c r="G3472">
        <f t="shared" si="54"/>
        <v>0</v>
      </c>
    </row>
    <row r="3473" spans="2:7" x14ac:dyDescent="0.35">
      <c r="B3473" s="1">
        <v>45802</v>
      </c>
      <c r="C3473" s="2">
        <v>0.625</v>
      </c>
      <c r="D3473">
        <v>14.4</v>
      </c>
      <c r="E3473">
        <f>IF($D3473 &gt; 16, 0, $J$3*(16 - $D3473))</f>
        <v>332.39782832111513</v>
      </c>
      <c r="F3473">
        <f>IF($D3473 &gt; 16, 0,$E3473*$J$5)</f>
        <v>3612831.9960222002</v>
      </c>
      <c r="G3473">
        <f t="shared" si="54"/>
        <v>1.5999999999999996</v>
      </c>
    </row>
    <row r="3474" spans="2:7" x14ac:dyDescent="0.35">
      <c r="B3474" s="1">
        <v>45802</v>
      </c>
      <c r="C3474" s="2">
        <v>0.66666666666666663</v>
      </c>
      <c r="D3474">
        <v>15.4</v>
      </c>
      <c r="E3474">
        <f>IF($D3474 &gt; 16, 0, $J$3*(16 - $D3474))</f>
        <v>124.64918562041812</v>
      </c>
      <c r="F3474">
        <f>IF($D3474 &gt; 16, 0,$E3474*$J$5)</f>
        <v>1354811.9985083246</v>
      </c>
      <c r="G3474">
        <f t="shared" si="54"/>
        <v>0.59999999999999964</v>
      </c>
    </row>
    <row r="3475" spans="2:7" x14ac:dyDescent="0.35">
      <c r="B3475" s="1">
        <v>45802</v>
      </c>
      <c r="C3475" s="2">
        <v>0.70833333333333337</v>
      </c>
      <c r="D3475">
        <v>16</v>
      </c>
      <c r="E3475">
        <f>IF($D3475 &gt; 16, 0, $J$3*(16 - $D3475))</f>
        <v>0</v>
      </c>
      <c r="F3475">
        <f>IF($D3475 &gt; 16, 0,$E3475*$J$5)</f>
        <v>0</v>
      </c>
      <c r="G3475">
        <f t="shared" si="54"/>
        <v>0</v>
      </c>
    </row>
    <row r="3476" spans="2:7" x14ac:dyDescent="0.35">
      <c r="B3476" s="1">
        <v>45802</v>
      </c>
      <c r="C3476" s="2">
        <v>0.75</v>
      </c>
      <c r="D3476">
        <v>15.8</v>
      </c>
      <c r="E3476">
        <f>IF($D3476 &gt; 16, 0, $J$3*(16 - $D3476))</f>
        <v>41.549728540139249</v>
      </c>
      <c r="F3476">
        <f>IF($D3476 &gt; 16, 0,$E3476*$J$5)</f>
        <v>451603.99950277351</v>
      </c>
      <c r="G3476">
        <f t="shared" si="54"/>
        <v>0.19999999999999929</v>
      </c>
    </row>
    <row r="3477" spans="2:7" x14ac:dyDescent="0.35">
      <c r="B3477" s="1">
        <v>45802</v>
      </c>
      <c r="C3477" s="2">
        <v>0.79166666666666663</v>
      </c>
      <c r="D3477">
        <v>15.3</v>
      </c>
      <c r="E3477">
        <f>IF($D3477 &gt; 16, 0, $J$3*(16 - $D3477))</f>
        <v>145.42404989048774</v>
      </c>
      <c r="F3477">
        <f>IF($D3477 &gt; 16, 0,$E3477*$J$5)</f>
        <v>1580613.9982597113</v>
      </c>
      <c r="G3477">
        <f t="shared" si="54"/>
        <v>0.69999999999999929</v>
      </c>
    </row>
    <row r="3478" spans="2:7" x14ac:dyDescent="0.35">
      <c r="B3478" s="1">
        <v>45802</v>
      </c>
      <c r="C3478" s="2">
        <v>0.83333333333333337</v>
      </c>
      <c r="D3478">
        <v>14.5</v>
      </c>
      <c r="E3478">
        <f>IF($D3478 &gt; 16, 0, $J$3*(16 - $D3478))</f>
        <v>311.62296405104547</v>
      </c>
      <c r="F3478">
        <f>IF($D3478 &gt; 16, 0,$E3478*$J$5)</f>
        <v>3387029.996270813</v>
      </c>
      <c r="G3478">
        <f t="shared" si="54"/>
        <v>1.5</v>
      </c>
    </row>
    <row r="3479" spans="2:7" x14ac:dyDescent="0.35">
      <c r="B3479" s="1">
        <v>45802</v>
      </c>
      <c r="C3479" s="2">
        <v>0.875</v>
      </c>
      <c r="D3479">
        <v>14</v>
      </c>
      <c r="E3479">
        <f>IF($D3479 &gt; 16, 0, $J$3*(16 - $D3479))</f>
        <v>415.49728540139398</v>
      </c>
      <c r="F3479">
        <f>IF($D3479 &gt; 16, 0,$E3479*$J$5)</f>
        <v>4516039.9950277507</v>
      </c>
      <c r="G3479">
        <f t="shared" si="54"/>
        <v>2</v>
      </c>
    </row>
    <row r="3480" spans="2:7" x14ac:dyDescent="0.35">
      <c r="B3480" s="1">
        <v>45802</v>
      </c>
      <c r="C3480" s="2">
        <v>0.91666666666666663</v>
      </c>
      <c r="D3480">
        <v>13.2</v>
      </c>
      <c r="E3480">
        <f>IF($D3480 &gt; 16, 0, $J$3*(16 - $D3480))</f>
        <v>581.69619956195174</v>
      </c>
      <c r="F3480">
        <f>IF($D3480 &gt; 16, 0,$E3480*$J$5)</f>
        <v>6322455.9930388536</v>
      </c>
      <c r="G3480">
        <f t="shared" si="54"/>
        <v>2.8000000000000007</v>
      </c>
    </row>
    <row r="3481" spans="2:7" x14ac:dyDescent="0.35">
      <c r="B3481" s="1">
        <v>45802</v>
      </c>
      <c r="C3481" s="2">
        <v>0.95833333333333337</v>
      </c>
      <c r="D3481">
        <v>11.9</v>
      </c>
      <c r="E3481">
        <f>IF($D3481 &gt; 16, 0, $J$3*(16 - $D3481))</f>
        <v>851.76943507285762</v>
      </c>
      <c r="F3481">
        <f>IF($D3481 &gt; 16, 0,$E3481*$J$5)</f>
        <v>9257881.9898068886</v>
      </c>
      <c r="G3481">
        <f t="shared" si="54"/>
        <v>4.0999999999999996</v>
      </c>
    </row>
    <row r="3482" spans="2:7" x14ac:dyDescent="0.35">
      <c r="B3482" s="1">
        <v>45803</v>
      </c>
      <c r="C3482" s="2">
        <v>0</v>
      </c>
      <c r="D3482">
        <v>10.199999999999999</v>
      </c>
      <c r="E3482">
        <f>IF($D3482 &gt; 16, 0, $J$3*(16 - $D3482))</f>
        <v>1204.9421276640428</v>
      </c>
      <c r="F3482">
        <f>IF($D3482 &gt; 16, 0,$E3482*$J$5)</f>
        <v>13096515.985580482</v>
      </c>
      <c r="G3482">
        <f t="shared" si="54"/>
        <v>5.8000000000000007</v>
      </c>
    </row>
    <row r="3483" spans="2:7" x14ac:dyDescent="0.35">
      <c r="B3483" s="1">
        <v>45803</v>
      </c>
      <c r="C3483" s="2">
        <v>4.1666666666666657E-2</v>
      </c>
      <c r="D3483">
        <v>9.4</v>
      </c>
      <c r="E3483">
        <f>IF($D3483 &gt; 16, 0, $J$3*(16 - $D3483))</f>
        <v>1371.1410418246001</v>
      </c>
      <c r="F3483">
        <f>IF($D3483 &gt; 16, 0,$E3483*$J$5)</f>
        <v>14902931.983591577</v>
      </c>
      <c r="G3483">
        <f t="shared" si="54"/>
        <v>6.6</v>
      </c>
    </row>
    <row r="3484" spans="2:7" x14ac:dyDescent="0.35">
      <c r="B3484" s="1">
        <v>45803</v>
      </c>
      <c r="C3484" s="2">
        <v>8.3333333333333329E-2</v>
      </c>
      <c r="D3484">
        <v>9.6999999999999993</v>
      </c>
      <c r="E3484">
        <f>IF($D3484 &gt; 16, 0, $J$3*(16 - $D3484))</f>
        <v>1308.8164490143911</v>
      </c>
      <c r="F3484">
        <f>IF($D3484 &gt; 16, 0,$E3484*$J$5)</f>
        <v>14225525.984337417</v>
      </c>
      <c r="G3484">
        <f t="shared" si="54"/>
        <v>6.3000000000000007</v>
      </c>
    </row>
    <row r="3485" spans="2:7" x14ac:dyDescent="0.35">
      <c r="B3485" s="1">
        <v>45803</v>
      </c>
      <c r="C3485" s="2">
        <v>0.125</v>
      </c>
      <c r="D3485">
        <v>9.6</v>
      </c>
      <c r="E3485">
        <f>IF($D3485 &gt; 16, 0, $J$3*(16 - $D3485))</f>
        <v>1329.5913132844607</v>
      </c>
      <c r="F3485">
        <f>IF($D3485 &gt; 16, 0,$E3485*$J$5)</f>
        <v>14451327.984088805</v>
      </c>
      <c r="G3485">
        <f t="shared" si="54"/>
        <v>6.4</v>
      </c>
    </row>
    <row r="3486" spans="2:7" x14ac:dyDescent="0.35">
      <c r="B3486" s="1">
        <v>45803</v>
      </c>
      <c r="C3486" s="2">
        <v>0.16666666666666671</v>
      </c>
      <c r="D3486">
        <v>9.6999999999999993</v>
      </c>
      <c r="E3486">
        <f>IF($D3486 &gt; 16, 0, $J$3*(16 - $D3486))</f>
        <v>1308.8164490143911</v>
      </c>
      <c r="F3486">
        <f>IF($D3486 &gt; 16, 0,$E3486*$J$5)</f>
        <v>14225525.984337417</v>
      </c>
      <c r="G3486">
        <f t="shared" si="54"/>
        <v>6.3000000000000007</v>
      </c>
    </row>
    <row r="3487" spans="2:7" x14ac:dyDescent="0.35">
      <c r="B3487" s="1">
        <v>45803</v>
      </c>
      <c r="C3487" s="2">
        <v>0.20833333333333329</v>
      </c>
      <c r="D3487">
        <v>10.9</v>
      </c>
      <c r="E3487">
        <f>IF($D3487 &gt; 16, 0, $J$3*(16 - $D3487))</f>
        <v>1059.5180777735545</v>
      </c>
      <c r="F3487">
        <f>IF($D3487 &gt; 16, 0,$E3487*$J$5)</f>
        <v>11515901.987320764</v>
      </c>
      <c r="G3487">
        <f t="shared" si="54"/>
        <v>5.0999999999999996</v>
      </c>
    </row>
    <row r="3488" spans="2:7" x14ac:dyDescent="0.35">
      <c r="B3488" s="1">
        <v>45803</v>
      </c>
      <c r="C3488" s="2">
        <v>0.25</v>
      </c>
      <c r="D3488">
        <v>12.7</v>
      </c>
      <c r="E3488">
        <f>IF($D3488 &gt; 16, 0, $J$3*(16 - $D3488))</f>
        <v>685.57052091230025</v>
      </c>
      <c r="F3488">
        <f>IF($D3488 &gt; 16, 0,$E3488*$J$5)</f>
        <v>7451465.9917957913</v>
      </c>
      <c r="G3488">
        <f t="shared" si="54"/>
        <v>3.3000000000000007</v>
      </c>
    </row>
    <row r="3489" spans="2:7" x14ac:dyDescent="0.35">
      <c r="B3489" s="1">
        <v>45803</v>
      </c>
      <c r="C3489" s="2">
        <v>0.29166666666666669</v>
      </c>
      <c r="D3489">
        <v>14.4</v>
      </c>
      <c r="E3489">
        <f>IF($D3489 &gt; 16, 0, $J$3*(16 - $D3489))</f>
        <v>332.39782832111513</v>
      </c>
      <c r="F3489">
        <f>IF($D3489 &gt; 16, 0,$E3489*$J$5)</f>
        <v>3612831.9960222002</v>
      </c>
      <c r="G3489">
        <f t="shared" si="54"/>
        <v>1.5999999999999996</v>
      </c>
    </row>
    <row r="3490" spans="2:7" x14ac:dyDescent="0.35">
      <c r="B3490" s="1">
        <v>45803</v>
      </c>
      <c r="C3490" s="2">
        <v>0.33333333333333331</v>
      </c>
      <c r="D3490">
        <v>16</v>
      </c>
      <c r="E3490">
        <f>IF($D3490 &gt; 16, 0, $J$3*(16 - $D3490))</f>
        <v>0</v>
      </c>
      <c r="F3490">
        <f>IF($D3490 &gt; 16, 0,$E3490*$J$5)</f>
        <v>0</v>
      </c>
      <c r="G3490">
        <f t="shared" si="54"/>
        <v>0</v>
      </c>
    </row>
    <row r="3491" spans="2:7" x14ac:dyDescent="0.35">
      <c r="B3491" s="1">
        <v>45803</v>
      </c>
      <c r="C3491" s="2">
        <v>0.375</v>
      </c>
      <c r="D3491">
        <v>17.899999999999999</v>
      </c>
      <c r="E3491">
        <f>IF($D3491 &gt; 16, 0, $J$3*(16 - $D3491))</f>
        <v>0</v>
      </c>
      <c r="F3491">
        <f>IF($D3491 &gt; 16, 0,$E3491*$J$5)</f>
        <v>0</v>
      </c>
      <c r="G3491">
        <f t="shared" si="54"/>
        <v>0</v>
      </c>
    </row>
    <row r="3492" spans="2:7" x14ac:dyDescent="0.35">
      <c r="B3492" s="1">
        <v>45803</v>
      </c>
      <c r="C3492" s="2">
        <v>0.41666666666666669</v>
      </c>
      <c r="D3492">
        <v>17.5</v>
      </c>
      <c r="E3492">
        <f>IF($D3492 &gt; 16, 0, $J$3*(16 - $D3492))</f>
        <v>0</v>
      </c>
      <c r="F3492">
        <f>IF($D3492 &gt; 16, 0,$E3492*$J$5)</f>
        <v>0</v>
      </c>
      <c r="G3492">
        <f t="shared" si="54"/>
        <v>0</v>
      </c>
    </row>
    <row r="3493" spans="2:7" x14ac:dyDescent="0.35">
      <c r="B3493" s="1">
        <v>45803</v>
      </c>
      <c r="C3493" s="2">
        <v>0.45833333333333331</v>
      </c>
      <c r="D3493">
        <v>17.7</v>
      </c>
      <c r="E3493">
        <f>IF($D3493 &gt; 16, 0, $J$3*(16 - $D3493))</f>
        <v>0</v>
      </c>
      <c r="F3493">
        <f>IF($D3493 &gt; 16, 0,$E3493*$J$5)</f>
        <v>0</v>
      </c>
      <c r="G3493">
        <f t="shared" si="54"/>
        <v>0</v>
      </c>
    </row>
    <row r="3494" spans="2:7" x14ac:dyDescent="0.35">
      <c r="B3494" s="1">
        <v>45803</v>
      </c>
      <c r="C3494" s="2">
        <v>0.5</v>
      </c>
      <c r="D3494">
        <v>15.9</v>
      </c>
      <c r="E3494">
        <f>IF($D3494 &gt; 16, 0, $J$3*(16 - $D3494))</f>
        <v>20.774864270069624</v>
      </c>
      <c r="F3494">
        <f>IF($D3494 &gt; 16, 0,$E3494*$J$5)</f>
        <v>225801.99975138676</v>
      </c>
      <c r="G3494">
        <f t="shared" si="54"/>
        <v>9.9999999999999645E-2</v>
      </c>
    </row>
    <row r="3495" spans="2:7" x14ac:dyDescent="0.35">
      <c r="B3495" s="1">
        <v>45803</v>
      </c>
      <c r="C3495" s="2">
        <v>0.54166666666666663</v>
      </c>
      <c r="D3495">
        <v>13</v>
      </c>
      <c r="E3495">
        <f>IF($D3495 &gt; 16, 0, $J$3*(16 - $D3495))</f>
        <v>623.24592810209094</v>
      </c>
      <c r="F3495">
        <f>IF($D3495 &gt; 16, 0,$E3495*$J$5)</f>
        <v>6774059.9925416261</v>
      </c>
      <c r="G3495">
        <f t="shared" si="54"/>
        <v>3</v>
      </c>
    </row>
    <row r="3496" spans="2:7" x14ac:dyDescent="0.35">
      <c r="B3496" s="1">
        <v>45803</v>
      </c>
      <c r="C3496" s="2">
        <v>0.58333333333333337</v>
      </c>
      <c r="D3496">
        <v>14.1</v>
      </c>
      <c r="E3496">
        <f>IF($D3496 &gt; 16, 0, $J$3*(16 - $D3496))</f>
        <v>394.72242113132438</v>
      </c>
      <c r="F3496">
        <f>IF($D3496 &gt; 16, 0,$E3496*$J$5)</f>
        <v>4290237.9952763645</v>
      </c>
      <c r="G3496">
        <f t="shared" si="54"/>
        <v>1.9000000000000004</v>
      </c>
    </row>
    <row r="3497" spans="2:7" x14ac:dyDescent="0.35">
      <c r="B3497" s="1">
        <v>45803</v>
      </c>
      <c r="C3497" s="2">
        <v>0.625</v>
      </c>
      <c r="D3497">
        <v>12.5</v>
      </c>
      <c r="E3497">
        <f>IF($D3497 &gt; 16, 0, $J$3*(16 - $D3497))</f>
        <v>727.12024945243945</v>
      </c>
      <c r="F3497">
        <f>IF($D3497 &gt; 16, 0,$E3497*$J$5)</f>
        <v>7903069.9912985647</v>
      </c>
      <c r="G3497">
        <f t="shared" si="54"/>
        <v>3.5</v>
      </c>
    </row>
    <row r="3498" spans="2:7" x14ac:dyDescent="0.35">
      <c r="B3498" s="1">
        <v>45803</v>
      </c>
      <c r="C3498" s="2">
        <v>0.66666666666666663</v>
      </c>
      <c r="D3498">
        <v>15.3</v>
      </c>
      <c r="E3498">
        <f>IF($D3498 &gt; 16, 0, $J$3*(16 - $D3498))</f>
        <v>145.42404989048774</v>
      </c>
      <c r="F3498">
        <f>IF($D3498 &gt; 16, 0,$E3498*$J$5)</f>
        <v>1580613.9982597113</v>
      </c>
      <c r="G3498">
        <f t="shared" si="54"/>
        <v>0.69999999999999929</v>
      </c>
    </row>
    <row r="3499" spans="2:7" x14ac:dyDescent="0.35">
      <c r="B3499" s="1">
        <v>45803</v>
      </c>
      <c r="C3499" s="2">
        <v>0.70833333333333337</v>
      </c>
      <c r="D3499">
        <v>14</v>
      </c>
      <c r="E3499">
        <f>IF($D3499 &gt; 16, 0, $J$3*(16 - $D3499))</f>
        <v>415.49728540139398</v>
      </c>
      <c r="F3499">
        <f>IF($D3499 &gt; 16, 0,$E3499*$J$5)</f>
        <v>4516039.9950277507</v>
      </c>
      <c r="G3499">
        <f t="shared" si="54"/>
        <v>2</v>
      </c>
    </row>
    <row r="3500" spans="2:7" x14ac:dyDescent="0.35">
      <c r="B3500" s="1">
        <v>45803</v>
      </c>
      <c r="C3500" s="2">
        <v>0.75</v>
      </c>
      <c r="D3500">
        <v>14.7</v>
      </c>
      <c r="E3500">
        <f>IF($D3500 &gt; 16, 0, $J$3*(16 - $D3500))</f>
        <v>270.07323551090622</v>
      </c>
      <c r="F3500">
        <f>IF($D3500 &gt; 16, 0,$E3500*$J$5)</f>
        <v>2935425.9967680397</v>
      </c>
      <c r="G3500">
        <f t="shared" si="54"/>
        <v>1.3000000000000007</v>
      </c>
    </row>
    <row r="3501" spans="2:7" x14ac:dyDescent="0.35">
      <c r="B3501" s="1">
        <v>45803</v>
      </c>
      <c r="C3501" s="2">
        <v>0.79166666666666663</v>
      </c>
      <c r="D3501">
        <v>13.2</v>
      </c>
      <c r="E3501">
        <f>IF($D3501 &gt; 16, 0, $J$3*(16 - $D3501))</f>
        <v>581.69619956195174</v>
      </c>
      <c r="F3501">
        <f>IF($D3501 &gt; 16, 0,$E3501*$J$5)</f>
        <v>6322455.9930388536</v>
      </c>
      <c r="G3501">
        <f t="shared" si="54"/>
        <v>2.8000000000000007</v>
      </c>
    </row>
    <row r="3502" spans="2:7" x14ac:dyDescent="0.35">
      <c r="B3502" s="1">
        <v>45803</v>
      </c>
      <c r="C3502" s="2">
        <v>0.83333333333333337</v>
      </c>
      <c r="D3502">
        <v>10.7</v>
      </c>
      <c r="E3502">
        <f>IF($D3502 &gt; 16, 0, $J$3*(16 - $D3502))</f>
        <v>1101.0678063136943</v>
      </c>
      <c r="F3502">
        <f>IF($D3502 &gt; 16, 0,$E3502*$J$5)</f>
        <v>11967505.986823544</v>
      </c>
      <c r="G3502">
        <f t="shared" si="54"/>
        <v>5.3000000000000007</v>
      </c>
    </row>
    <row r="3503" spans="2:7" x14ac:dyDescent="0.35">
      <c r="B3503" s="1">
        <v>45803</v>
      </c>
      <c r="C3503" s="2">
        <v>0.875</v>
      </c>
      <c r="D3503">
        <v>10.7</v>
      </c>
      <c r="E3503">
        <f>IF($D3503 &gt; 16, 0, $J$3*(16 - $D3503))</f>
        <v>1101.0678063136943</v>
      </c>
      <c r="F3503">
        <f>IF($D3503 &gt; 16, 0,$E3503*$J$5)</f>
        <v>11967505.986823544</v>
      </c>
      <c r="G3503">
        <f t="shared" si="54"/>
        <v>5.3000000000000007</v>
      </c>
    </row>
    <row r="3504" spans="2:7" x14ac:dyDescent="0.35">
      <c r="B3504" s="1">
        <v>45803</v>
      </c>
      <c r="C3504" s="2">
        <v>0.91666666666666663</v>
      </c>
      <c r="D3504">
        <v>12.1</v>
      </c>
      <c r="E3504">
        <f>IF($D3504 &gt; 16, 0, $J$3*(16 - $D3504))</f>
        <v>810.21970653271831</v>
      </c>
      <c r="F3504">
        <f>IF($D3504 &gt; 16, 0,$E3504*$J$5)</f>
        <v>8806277.9903041162</v>
      </c>
      <c r="G3504">
        <f t="shared" si="54"/>
        <v>3.9000000000000004</v>
      </c>
    </row>
    <row r="3505" spans="2:7" x14ac:dyDescent="0.35">
      <c r="B3505" s="1">
        <v>45803</v>
      </c>
      <c r="C3505" s="2">
        <v>0.95833333333333337</v>
      </c>
      <c r="D3505">
        <v>12.1</v>
      </c>
      <c r="E3505">
        <f>IF($D3505 &gt; 16, 0, $J$3*(16 - $D3505))</f>
        <v>810.21970653271831</v>
      </c>
      <c r="F3505">
        <f>IF($D3505 &gt; 16, 0,$E3505*$J$5)</f>
        <v>8806277.9903041162</v>
      </c>
      <c r="G3505">
        <f t="shared" si="54"/>
        <v>3.9000000000000004</v>
      </c>
    </row>
    <row r="3506" spans="2:7" x14ac:dyDescent="0.35">
      <c r="B3506" s="1">
        <v>45804</v>
      </c>
      <c r="C3506" s="2">
        <v>0</v>
      </c>
      <c r="D3506">
        <v>11.4</v>
      </c>
      <c r="E3506">
        <f>IF($D3506 &gt; 16, 0, $J$3*(16 - $D3506))</f>
        <v>955.64375642320613</v>
      </c>
      <c r="F3506">
        <f>IF($D3506 &gt; 16, 0,$E3506*$J$5)</f>
        <v>10386891.988563828</v>
      </c>
      <c r="G3506">
        <f t="shared" si="54"/>
        <v>4.5999999999999996</v>
      </c>
    </row>
    <row r="3507" spans="2:7" x14ac:dyDescent="0.35">
      <c r="B3507" s="1">
        <v>45804</v>
      </c>
      <c r="C3507" s="2">
        <v>4.1666666666666657E-2</v>
      </c>
      <c r="D3507">
        <v>11.7</v>
      </c>
      <c r="E3507">
        <f>IF($D3507 &gt; 16, 0, $J$3*(16 - $D3507))</f>
        <v>893.31916361299716</v>
      </c>
      <c r="F3507">
        <f>IF($D3507 &gt; 16, 0,$E3507*$J$5)</f>
        <v>9709485.9893096667</v>
      </c>
      <c r="G3507">
        <f t="shared" si="54"/>
        <v>4.3000000000000007</v>
      </c>
    </row>
    <row r="3508" spans="2:7" x14ac:dyDescent="0.35">
      <c r="B3508" s="1">
        <v>45804</v>
      </c>
      <c r="C3508" s="2">
        <v>8.3333333333333329E-2</v>
      </c>
      <c r="D3508">
        <v>11.7</v>
      </c>
      <c r="E3508">
        <f>IF($D3508 &gt; 16, 0, $J$3*(16 - $D3508))</f>
        <v>893.31916361299716</v>
      </c>
      <c r="F3508">
        <f>IF($D3508 &gt; 16, 0,$E3508*$J$5)</f>
        <v>9709485.9893096667</v>
      </c>
      <c r="G3508">
        <f t="shared" si="54"/>
        <v>4.3000000000000007</v>
      </c>
    </row>
    <row r="3509" spans="2:7" x14ac:dyDescent="0.35">
      <c r="B3509" s="1">
        <v>45804</v>
      </c>
      <c r="C3509" s="2">
        <v>0.125</v>
      </c>
      <c r="D3509">
        <v>11.4</v>
      </c>
      <c r="E3509">
        <f>IF($D3509 &gt; 16, 0, $J$3*(16 - $D3509))</f>
        <v>955.64375642320613</v>
      </c>
      <c r="F3509">
        <f>IF($D3509 &gt; 16, 0,$E3509*$J$5)</f>
        <v>10386891.988563828</v>
      </c>
      <c r="G3509">
        <f t="shared" si="54"/>
        <v>4.5999999999999996</v>
      </c>
    </row>
    <row r="3510" spans="2:7" x14ac:dyDescent="0.35">
      <c r="B3510" s="1">
        <v>45804</v>
      </c>
      <c r="C3510" s="2">
        <v>0.16666666666666671</v>
      </c>
      <c r="D3510">
        <v>12.6</v>
      </c>
      <c r="E3510">
        <f>IF($D3510 &gt; 16, 0, $J$3*(16 - $D3510))</f>
        <v>706.3453851823698</v>
      </c>
      <c r="F3510">
        <f>IF($D3510 &gt; 16, 0,$E3510*$J$5)</f>
        <v>7677267.9915471775</v>
      </c>
      <c r="G3510">
        <f t="shared" si="54"/>
        <v>3.4000000000000004</v>
      </c>
    </row>
    <row r="3511" spans="2:7" x14ac:dyDescent="0.35">
      <c r="B3511" s="1">
        <v>45804</v>
      </c>
      <c r="C3511" s="2">
        <v>0.20833333333333329</v>
      </c>
      <c r="D3511">
        <v>13.4</v>
      </c>
      <c r="E3511">
        <f>IF($D3511 &gt; 16, 0, $J$3*(16 - $D3511))</f>
        <v>540.14647102181209</v>
      </c>
      <c r="F3511">
        <f>IF($D3511 &gt; 16, 0,$E3511*$J$5)</f>
        <v>5870851.9935360756</v>
      </c>
      <c r="G3511">
        <f t="shared" si="54"/>
        <v>2.5999999999999996</v>
      </c>
    </row>
    <row r="3512" spans="2:7" x14ac:dyDescent="0.35">
      <c r="B3512" s="1">
        <v>45804</v>
      </c>
      <c r="C3512" s="2">
        <v>0.25</v>
      </c>
      <c r="D3512">
        <v>13.7</v>
      </c>
      <c r="E3512">
        <f>IF($D3512 &gt; 16, 0, $J$3*(16 - $D3512))</f>
        <v>477.82187821160323</v>
      </c>
      <c r="F3512">
        <f>IF($D3512 &gt; 16, 0,$E3512*$J$5)</f>
        <v>5193445.9942819159</v>
      </c>
      <c r="G3512">
        <f t="shared" si="54"/>
        <v>2.3000000000000007</v>
      </c>
    </row>
    <row r="3513" spans="2:7" x14ac:dyDescent="0.35">
      <c r="B3513" s="1">
        <v>45804</v>
      </c>
      <c r="C3513" s="2">
        <v>0.29166666666666669</v>
      </c>
      <c r="D3513">
        <v>14.5</v>
      </c>
      <c r="E3513">
        <f>IF($D3513 &gt; 16, 0, $J$3*(16 - $D3513))</f>
        <v>311.62296405104547</v>
      </c>
      <c r="F3513">
        <f>IF($D3513 &gt; 16, 0,$E3513*$J$5)</f>
        <v>3387029.996270813</v>
      </c>
      <c r="G3513">
        <f t="shared" si="54"/>
        <v>1.5</v>
      </c>
    </row>
    <row r="3514" spans="2:7" x14ac:dyDescent="0.35">
      <c r="B3514" s="1">
        <v>45804</v>
      </c>
      <c r="C3514" s="2">
        <v>0.33333333333333331</v>
      </c>
      <c r="D3514">
        <v>15.1</v>
      </c>
      <c r="E3514">
        <f>IF($D3514 &gt; 16, 0, $J$3*(16 - $D3514))</f>
        <v>186.97377843062736</v>
      </c>
      <c r="F3514">
        <f>IF($D3514 &gt; 16, 0,$E3514*$J$5)</f>
        <v>2032217.9977624889</v>
      </c>
      <c r="G3514">
        <f t="shared" si="54"/>
        <v>0.90000000000000036</v>
      </c>
    </row>
    <row r="3515" spans="2:7" x14ac:dyDescent="0.35">
      <c r="B3515" s="1">
        <v>45804</v>
      </c>
      <c r="C3515" s="2">
        <v>0.375</v>
      </c>
      <c r="D3515">
        <v>15.3</v>
      </c>
      <c r="E3515">
        <f>IF($D3515 &gt; 16, 0, $J$3*(16 - $D3515))</f>
        <v>145.42404989048774</v>
      </c>
      <c r="F3515">
        <f>IF($D3515 &gt; 16, 0,$E3515*$J$5)</f>
        <v>1580613.9982597113</v>
      </c>
      <c r="G3515">
        <f t="shared" si="54"/>
        <v>0.69999999999999929</v>
      </c>
    </row>
    <row r="3516" spans="2:7" x14ac:dyDescent="0.35">
      <c r="B3516" s="1">
        <v>45804</v>
      </c>
      <c r="C3516" s="2">
        <v>0.41666666666666669</v>
      </c>
      <c r="D3516">
        <v>16.3</v>
      </c>
      <c r="E3516">
        <f>IF($D3516 &gt; 16, 0, $J$3*(16 - $D3516))</f>
        <v>0</v>
      </c>
      <c r="F3516">
        <f>IF($D3516 &gt; 16, 0,$E3516*$J$5)</f>
        <v>0</v>
      </c>
      <c r="G3516">
        <f t="shared" si="54"/>
        <v>0</v>
      </c>
    </row>
    <row r="3517" spans="2:7" x14ac:dyDescent="0.35">
      <c r="B3517" s="1">
        <v>45804</v>
      </c>
      <c r="C3517" s="2">
        <v>0.45833333333333331</v>
      </c>
      <c r="D3517">
        <v>13.9</v>
      </c>
      <c r="E3517">
        <f>IF($D3517 &gt; 16, 0, $J$3*(16 - $D3517))</f>
        <v>436.27214967146358</v>
      </c>
      <c r="F3517">
        <f>IF($D3517 &gt; 16, 0,$E3517*$J$5)</f>
        <v>4741841.9947791379</v>
      </c>
      <c r="G3517">
        <f t="shared" si="54"/>
        <v>2.0999999999999996</v>
      </c>
    </row>
    <row r="3518" spans="2:7" x14ac:dyDescent="0.35">
      <c r="B3518" s="1">
        <v>45804</v>
      </c>
      <c r="C3518" s="2">
        <v>0.5</v>
      </c>
      <c r="D3518">
        <v>14.5</v>
      </c>
      <c r="E3518">
        <f>IF($D3518 &gt; 16, 0, $J$3*(16 - $D3518))</f>
        <v>311.62296405104547</v>
      </c>
      <c r="F3518">
        <f>IF($D3518 &gt; 16, 0,$E3518*$J$5)</f>
        <v>3387029.996270813</v>
      </c>
      <c r="G3518">
        <f t="shared" si="54"/>
        <v>1.5</v>
      </c>
    </row>
    <row r="3519" spans="2:7" x14ac:dyDescent="0.35">
      <c r="B3519" s="1">
        <v>45804</v>
      </c>
      <c r="C3519" s="2">
        <v>0.54166666666666663</v>
      </c>
      <c r="D3519">
        <v>15.8</v>
      </c>
      <c r="E3519">
        <f>IF($D3519 &gt; 16, 0, $J$3*(16 - $D3519))</f>
        <v>41.549728540139249</v>
      </c>
      <c r="F3519">
        <f>IF($D3519 &gt; 16, 0,$E3519*$J$5)</f>
        <v>451603.99950277351</v>
      </c>
      <c r="G3519">
        <f t="shared" si="54"/>
        <v>0.19999999999999929</v>
      </c>
    </row>
    <row r="3520" spans="2:7" x14ac:dyDescent="0.35">
      <c r="B3520" s="1">
        <v>45804</v>
      </c>
      <c r="C3520" s="2">
        <v>0.58333333333333337</v>
      </c>
      <c r="D3520">
        <v>15.4</v>
      </c>
      <c r="E3520">
        <f>IF($D3520 &gt; 16, 0, $J$3*(16 - $D3520))</f>
        <v>124.64918562041812</v>
      </c>
      <c r="F3520">
        <f>IF($D3520 &gt; 16, 0,$E3520*$J$5)</f>
        <v>1354811.9985083246</v>
      </c>
      <c r="G3520">
        <f t="shared" si="54"/>
        <v>0.59999999999999964</v>
      </c>
    </row>
    <row r="3521" spans="2:7" x14ac:dyDescent="0.35">
      <c r="B3521" s="1">
        <v>45804</v>
      </c>
      <c r="C3521" s="2">
        <v>0.625</v>
      </c>
      <c r="D3521">
        <v>14.9</v>
      </c>
      <c r="E3521">
        <f>IF($D3521 &gt; 16, 0, $J$3*(16 - $D3521))</f>
        <v>228.52350697076662</v>
      </c>
      <c r="F3521">
        <f>IF($D3521 &gt; 16, 0,$E3521*$J$5)</f>
        <v>2483821.9972652625</v>
      </c>
      <c r="G3521">
        <f t="shared" si="54"/>
        <v>1.0999999999999996</v>
      </c>
    </row>
    <row r="3522" spans="2:7" x14ac:dyDescent="0.35">
      <c r="B3522" s="1">
        <v>45804</v>
      </c>
      <c r="C3522" s="2">
        <v>0.66666666666666663</v>
      </c>
      <c r="D3522">
        <v>16.100000000000001</v>
      </c>
      <c r="E3522">
        <f>IF($D3522 &gt; 16, 0, $J$3*(16 - $D3522))</f>
        <v>0</v>
      </c>
      <c r="F3522">
        <f>IF($D3522 &gt; 16, 0,$E3522*$J$5)</f>
        <v>0</v>
      </c>
      <c r="G3522">
        <f t="shared" si="54"/>
        <v>0</v>
      </c>
    </row>
    <row r="3523" spans="2:7" x14ac:dyDescent="0.35">
      <c r="B3523" s="1">
        <v>45804</v>
      </c>
      <c r="C3523" s="2">
        <v>0.70833333333333337</v>
      </c>
      <c r="D3523">
        <v>16.7</v>
      </c>
      <c r="E3523">
        <f>IF($D3523 &gt; 16, 0, $J$3*(16 - $D3523))</f>
        <v>0</v>
      </c>
      <c r="F3523">
        <f>IF($D3523 &gt; 16, 0,$E3523*$J$5)</f>
        <v>0</v>
      </c>
      <c r="G3523">
        <f t="shared" ref="G3523:G3586" si="55">MAX(0, 16 - $D3523)</f>
        <v>0</v>
      </c>
    </row>
    <row r="3524" spans="2:7" x14ac:dyDescent="0.35">
      <c r="B3524" s="1">
        <v>45804</v>
      </c>
      <c r="C3524" s="2">
        <v>0.75</v>
      </c>
      <c r="D3524">
        <v>14</v>
      </c>
      <c r="E3524">
        <f>IF($D3524 &gt; 16, 0, $J$3*(16 - $D3524))</f>
        <v>415.49728540139398</v>
      </c>
      <c r="F3524">
        <f>IF($D3524 &gt; 16, 0,$E3524*$J$5)</f>
        <v>4516039.9950277507</v>
      </c>
      <c r="G3524">
        <f t="shared" si="55"/>
        <v>2</v>
      </c>
    </row>
    <row r="3525" spans="2:7" x14ac:dyDescent="0.35">
      <c r="B3525" s="1">
        <v>45804</v>
      </c>
      <c r="C3525" s="2">
        <v>0.79166666666666663</v>
      </c>
      <c r="D3525">
        <v>14.4</v>
      </c>
      <c r="E3525">
        <f>IF($D3525 &gt; 16, 0, $J$3*(16 - $D3525))</f>
        <v>332.39782832111513</v>
      </c>
      <c r="F3525">
        <f>IF($D3525 &gt; 16, 0,$E3525*$J$5)</f>
        <v>3612831.9960222002</v>
      </c>
      <c r="G3525">
        <f t="shared" si="55"/>
        <v>1.5999999999999996</v>
      </c>
    </row>
    <row r="3526" spans="2:7" x14ac:dyDescent="0.35">
      <c r="B3526" s="1">
        <v>45804</v>
      </c>
      <c r="C3526" s="2">
        <v>0.83333333333333337</v>
      </c>
      <c r="D3526">
        <v>14</v>
      </c>
      <c r="E3526">
        <f>IF($D3526 &gt; 16, 0, $J$3*(16 - $D3526))</f>
        <v>415.49728540139398</v>
      </c>
      <c r="F3526">
        <f>IF($D3526 &gt; 16, 0,$E3526*$J$5)</f>
        <v>4516039.9950277507</v>
      </c>
      <c r="G3526">
        <f t="shared" si="55"/>
        <v>2</v>
      </c>
    </row>
    <row r="3527" spans="2:7" x14ac:dyDescent="0.35">
      <c r="B3527" s="1">
        <v>45804</v>
      </c>
      <c r="C3527" s="2">
        <v>0.875</v>
      </c>
      <c r="D3527">
        <v>13.3</v>
      </c>
      <c r="E3527">
        <f>IF($D3527 &gt; 16, 0, $J$3*(16 - $D3527))</f>
        <v>560.92133529188175</v>
      </c>
      <c r="F3527">
        <f>IF($D3527 &gt; 16, 0,$E3527*$J$5)</f>
        <v>6096653.9932874627</v>
      </c>
      <c r="G3527">
        <f t="shared" si="55"/>
        <v>2.6999999999999993</v>
      </c>
    </row>
    <row r="3528" spans="2:7" x14ac:dyDescent="0.35">
      <c r="B3528" s="1">
        <v>45804</v>
      </c>
      <c r="C3528" s="2">
        <v>0.91666666666666663</v>
      </c>
      <c r="D3528">
        <v>13</v>
      </c>
      <c r="E3528">
        <f>IF($D3528 &gt; 16, 0, $J$3*(16 - $D3528))</f>
        <v>623.24592810209094</v>
      </c>
      <c r="F3528">
        <f>IF($D3528 &gt; 16, 0,$E3528*$J$5)</f>
        <v>6774059.9925416261</v>
      </c>
      <c r="G3528">
        <f t="shared" si="55"/>
        <v>3</v>
      </c>
    </row>
    <row r="3529" spans="2:7" x14ac:dyDescent="0.35">
      <c r="B3529" s="1">
        <v>45804</v>
      </c>
      <c r="C3529" s="2">
        <v>0.95833333333333337</v>
      </c>
      <c r="D3529">
        <v>14.2</v>
      </c>
      <c r="E3529">
        <f>IF($D3529 &gt; 16, 0, $J$3*(16 - $D3529))</f>
        <v>373.94755686125472</v>
      </c>
      <c r="F3529">
        <f>IF($D3529 &gt; 16, 0,$E3529*$J$5)</f>
        <v>4064435.9955249778</v>
      </c>
      <c r="G3529">
        <f t="shared" si="55"/>
        <v>1.8000000000000007</v>
      </c>
    </row>
    <row r="3530" spans="2:7" x14ac:dyDescent="0.35">
      <c r="B3530" s="1">
        <v>45805</v>
      </c>
      <c r="C3530" s="2">
        <v>0</v>
      </c>
      <c r="D3530">
        <v>14.3</v>
      </c>
      <c r="E3530">
        <f>IF($D3530 &gt; 16, 0, $J$3*(16 - $D3530))</f>
        <v>353.17269259118473</v>
      </c>
      <c r="F3530">
        <f>IF($D3530 &gt; 16, 0,$E3530*$J$5)</f>
        <v>3838633.9957735869</v>
      </c>
      <c r="G3530">
        <f t="shared" si="55"/>
        <v>1.6999999999999993</v>
      </c>
    </row>
    <row r="3531" spans="2:7" x14ac:dyDescent="0.35">
      <c r="B3531" s="1">
        <v>45805</v>
      </c>
      <c r="C3531" s="2">
        <v>4.1666666666666657E-2</v>
      </c>
      <c r="D3531">
        <v>14.2</v>
      </c>
      <c r="E3531">
        <f>IF($D3531 &gt; 16, 0, $J$3*(16 - $D3531))</f>
        <v>373.94755686125472</v>
      </c>
      <c r="F3531">
        <f>IF($D3531 &gt; 16, 0,$E3531*$J$5)</f>
        <v>4064435.9955249778</v>
      </c>
      <c r="G3531">
        <f t="shared" si="55"/>
        <v>1.8000000000000007</v>
      </c>
    </row>
    <row r="3532" spans="2:7" x14ac:dyDescent="0.35">
      <c r="B3532" s="1">
        <v>45805</v>
      </c>
      <c r="C3532" s="2">
        <v>8.3333333333333329E-2</v>
      </c>
      <c r="D3532">
        <v>14.3</v>
      </c>
      <c r="E3532">
        <f>IF($D3532 &gt; 16, 0, $J$3*(16 - $D3532))</f>
        <v>353.17269259118473</v>
      </c>
      <c r="F3532">
        <f>IF($D3532 &gt; 16, 0,$E3532*$J$5)</f>
        <v>3838633.9957735869</v>
      </c>
      <c r="G3532">
        <f t="shared" si="55"/>
        <v>1.6999999999999993</v>
      </c>
    </row>
    <row r="3533" spans="2:7" x14ac:dyDescent="0.35">
      <c r="B3533" s="1">
        <v>45805</v>
      </c>
      <c r="C3533" s="2">
        <v>0.125</v>
      </c>
      <c r="D3533">
        <v>14.3</v>
      </c>
      <c r="E3533">
        <f>IF($D3533 &gt; 16, 0, $J$3*(16 - $D3533))</f>
        <v>353.17269259118473</v>
      </c>
      <c r="F3533">
        <f>IF($D3533 &gt; 16, 0,$E3533*$J$5)</f>
        <v>3838633.9957735869</v>
      </c>
      <c r="G3533">
        <f t="shared" si="55"/>
        <v>1.6999999999999993</v>
      </c>
    </row>
    <row r="3534" spans="2:7" x14ac:dyDescent="0.35">
      <c r="B3534" s="1">
        <v>45805</v>
      </c>
      <c r="C3534" s="2">
        <v>0.16666666666666671</v>
      </c>
      <c r="D3534">
        <v>14.3</v>
      </c>
      <c r="E3534">
        <f>IF($D3534 &gt; 16, 0, $J$3*(16 - $D3534))</f>
        <v>353.17269259118473</v>
      </c>
      <c r="F3534">
        <f>IF($D3534 &gt; 16, 0,$E3534*$J$5)</f>
        <v>3838633.9957735869</v>
      </c>
      <c r="G3534">
        <f t="shared" si="55"/>
        <v>1.6999999999999993</v>
      </c>
    </row>
    <row r="3535" spans="2:7" x14ac:dyDescent="0.35">
      <c r="B3535" s="1">
        <v>45805</v>
      </c>
      <c r="C3535" s="2">
        <v>0.20833333333333329</v>
      </c>
      <c r="D3535">
        <v>14.5</v>
      </c>
      <c r="E3535">
        <f>IF($D3535 &gt; 16, 0, $J$3*(16 - $D3535))</f>
        <v>311.62296405104547</v>
      </c>
      <c r="F3535">
        <f>IF($D3535 &gt; 16, 0,$E3535*$J$5)</f>
        <v>3387029.996270813</v>
      </c>
      <c r="G3535">
        <f t="shared" si="55"/>
        <v>1.5</v>
      </c>
    </row>
    <row r="3536" spans="2:7" x14ac:dyDescent="0.35">
      <c r="B3536" s="1">
        <v>45805</v>
      </c>
      <c r="C3536" s="2">
        <v>0.25</v>
      </c>
      <c r="D3536">
        <v>14.5</v>
      </c>
      <c r="E3536">
        <f>IF($D3536 &gt; 16, 0, $J$3*(16 - $D3536))</f>
        <v>311.62296405104547</v>
      </c>
      <c r="F3536">
        <f>IF($D3536 &gt; 16, 0,$E3536*$J$5)</f>
        <v>3387029.996270813</v>
      </c>
      <c r="G3536">
        <f t="shared" si="55"/>
        <v>1.5</v>
      </c>
    </row>
    <row r="3537" spans="2:7" x14ac:dyDescent="0.35">
      <c r="B3537" s="1">
        <v>45805</v>
      </c>
      <c r="C3537" s="2">
        <v>0.29166666666666669</v>
      </c>
      <c r="D3537">
        <v>15</v>
      </c>
      <c r="E3537">
        <f>IF($D3537 &gt; 16, 0, $J$3*(16 - $D3537))</f>
        <v>207.74864270069699</v>
      </c>
      <c r="F3537">
        <f>IF($D3537 &gt; 16, 0,$E3537*$J$5)</f>
        <v>2258019.9975138754</v>
      </c>
      <c r="G3537">
        <f t="shared" si="55"/>
        <v>1</v>
      </c>
    </row>
    <row r="3538" spans="2:7" x14ac:dyDescent="0.35">
      <c r="B3538" s="1">
        <v>45805</v>
      </c>
      <c r="C3538" s="2">
        <v>0.33333333333333331</v>
      </c>
      <c r="D3538">
        <v>15.7</v>
      </c>
      <c r="E3538">
        <f>IF($D3538 &gt; 16, 0, $J$3*(16 - $D3538))</f>
        <v>62.324592810209246</v>
      </c>
      <c r="F3538">
        <f>IF($D3538 &gt; 16, 0,$E3538*$J$5)</f>
        <v>677405.99925416429</v>
      </c>
      <c r="G3538">
        <f t="shared" si="55"/>
        <v>0.30000000000000071</v>
      </c>
    </row>
    <row r="3539" spans="2:7" x14ac:dyDescent="0.35">
      <c r="B3539" s="1">
        <v>45805</v>
      </c>
      <c r="C3539" s="2">
        <v>0.375</v>
      </c>
      <c r="D3539">
        <v>15.4</v>
      </c>
      <c r="E3539">
        <f>IF($D3539 &gt; 16, 0, $J$3*(16 - $D3539))</f>
        <v>124.64918562041812</v>
      </c>
      <c r="F3539">
        <f>IF($D3539 &gt; 16, 0,$E3539*$J$5)</f>
        <v>1354811.9985083246</v>
      </c>
      <c r="G3539">
        <f t="shared" si="55"/>
        <v>0.59999999999999964</v>
      </c>
    </row>
    <row r="3540" spans="2:7" x14ac:dyDescent="0.35">
      <c r="B3540" s="1">
        <v>45805</v>
      </c>
      <c r="C3540" s="2">
        <v>0.41666666666666669</v>
      </c>
      <c r="D3540">
        <v>15.7</v>
      </c>
      <c r="E3540">
        <f>IF($D3540 &gt; 16, 0, $J$3*(16 - $D3540))</f>
        <v>62.324592810209246</v>
      </c>
      <c r="F3540">
        <f>IF($D3540 &gt; 16, 0,$E3540*$J$5)</f>
        <v>677405.99925416429</v>
      </c>
      <c r="G3540">
        <f t="shared" si="55"/>
        <v>0.30000000000000071</v>
      </c>
    </row>
    <row r="3541" spans="2:7" x14ac:dyDescent="0.35">
      <c r="B3541" s="1">
        <v>45805</v>
      </c>
      <c r="C3541" s="2">
        <v>0.45833333333333331</v>
      </c>
      <c r="D3541">
        <v>15.8</v>
      </c>
      <c r="E3541">
        <f>IF($D3541 &gt; 16, 0, $J$3*(16 - $D3541))</f>
        <v>41.549728540139249</v>
      </c>
      <c r="F3541">
        <f>IF($D3541 &gt; 16, 0,$E3541*$J$5)</f>
        <v>451603.99950277351</v>
      </c>
      <c r="G3541">
        <f t="shared" si="55"/>
        <v>0.19999999999999929</v>
      </c>
    </row>
    <row r="3542" spans="2:7" x14ac:dyDescent="0.35">
      <c r="B3542" s="1">
        <v>45805</v>
      </c>
      <c r="C3542" s="2">
        <v>0.5</v>
      </c>
      <c r="D3542">
        <v>16.7</v>
      </c>
      <c r="E3542">
        <f>IF($D3542 &gt; 16, 0, $J$3*(16 - $D3542))</f>
        <v>0</v>
      </c>
      <c r="F3542">
        <f>IF($D3542 &gt; 16, 0,$E3542*$J$5)</f>
        <v>0</v>
      </c>
      <c r="G3542">
        <f t="shared" si="55"/>
        <v>0</v>
      </c>
    </row>
    <row r="3543" spans="2:7" x14ac:dyDescent="0.35">
      <c r="B3543" s="1">
        <v>45805</v>
      </c>
      <c r="C3543" s="2">
        <v>0.54166666666666663</v>
      </c>
      <c r="D3543">
        <v>16.2</v>
      </c>
      <c r="E3543">
        <f>IF($D3543 &gt; 16, 0, $J$3*(16 - $D3543))</f>
        <v>0</v>
      </c>
      <c r="F3543">
        <f>IF($D3543 &gt; 16, 0,$E3543*$J$5)</f>
        <v>0</v>
      </c>
      <c r="G3543">
        <f t="shared" si="55"/>
        <v>0</v>
      </c>
    </row>
    <row r="3544" spans="2:7" x14ac:dyDescent="0.35">
      <c r="B3544" s="1">
        <v>45805</v>
      </c>
      <c r="C3544" s="2">
        <v>0.58333333333333337</v>
      </c>
      <c r="D3544">
        <v>17.399999999999999</v>
      </c>
      <c r="E3544">
        <f>IF($D3544 &gt; 16, 0, $J$3*(16 - $D3544))</f>
        <v>0</v>
      </c>
      <c r="F3544">
        <f>IF($D3544 &gt; 16, 0,$E3544*$J$5)</f>
        <v>0</v>
      </c>
      <c r="G3544">
        <f t="shared" si="55"/>
        <v>0</v>
      </c>
    </row>
    <row r="3545" spans="2:7" x14ac:dyDescent="0.35">
      <c r="B3545" s="1">
        <v>45805</v>
      </c>
      <c r="C3545" s="2">
        <v>0.625</v>
      </c>
      <c r="D3545">
        <v>16.899999999999999</v>
      </c>
      <c r="E3545">
        <f>IF($D3545 &gt; 16, 0, $J$3*(16 - $D3545))</f>
        <v>0</v>
      </c>
      <c r="F3545">
        <f>IF($D3545 &gt; 16, 0,$E3545*$J$5)</f>
        <v>0</v>
      </c>
      <c r="G3545">
        <f t="shared" si="55"/>
        <v>0</v>
      </c>
    </row>
    <row r="3546" spans="2:7" x14ac:dyDescent="0.35">
      <c r="B3546" s="1">
        <v>45805</v>
      </c>
      <c r="C3546" s="2">
        <v>0.66666666666666663</v>
      </c>
      <c r="D3546">
        <v>15.4</v>
      </c>
      <c r="E3546">
        <f>IF($D3546 &gt; 16, 0, $J$3*(16 - $D3546))</f>
        <v>124.64918562041812</v>
      </c>
      <c r="F3546">
        <f>IF($D3546 &gt; 16, 0,$E3546*$J$5)</f>
        <v>1354811.9985083246</v>
      </c>
      <c r="G3546">
        <f t="shared" si="55"/>
        <v>0.59999999999999964</v>
      </c>
    </row>
    <row r="3547" spans="2:7" x14ac:dyDescent="0.35">
      <c r="B3547" s="1">
        <v>45805</v>
      </c>
      <c r="C3547" s="2">
        <v>0.70833333333333337</v>
      </c>
      <c r="D3547">
        <v>14.2</v>
      </c>
      <c r="E3547">
        <f>IF($D3547 &gt; 16, 0, $J$3*(16 - $D3547))</f>
        <v>373.94755686125472</v>
      </c>
      <c r="F3547">
        <f>IF($D3547 &gt; 16, 0,$E3547*$J$5)</f>
        <v>4064435.9955249778</v>
      </c>
      <c r="G3547">
        <f t="shared" si="55"/>
        <v>1.8000000000000007</v>
      </c>
    </row>
    <row r="3548" spans="2:7" x14ac:dyDescent="0.35">
      <c r="B3548" s="1">
        <v>45805</v>
      </c>
      <c r="C3548" s="2">
        <v>0.75</v>
      </c>
      <c r="D3548">
        <v>13.9</v>
      </c>
      <c r="E3548">
        <f>IF($D3548 &gt; 16, 0, $J$3*(16 - $D3548))</f>
        <v>436.27214967146358</v>
      </c>
      <c r="F3548">
        <f>IF($D3548 &gt; 16, 0,$E3548*$J$5)</f>
        <v>4741841.9947791379</v>
      </c>
      <c r="G3548">
        <f t="shared" si="55"/>
        <v>2.0999999999999996</v>
      </c>
    </row>
    <row r="3549" spans="2:7" x14ac:dyDescent="0.35">
      <c r="B3549" s="1">
        <v>45805</v>
      </c>
      <c r="C3549" s="2">
        <v>0.79166666666666663</v>
      </c>
      <c r="D3549">
        <v>13.7</v>
      </c>
      <c r="E3549">
        <f>IF($D3549 &gt; 16, 0, $J$3*(16 - $D3549))</f>
        <v>477.82187821160323</v>
      </c>
      <c r="F3549">
        <f>IF($D3549 &gt; 16, 0,$E3549*$J$5)</f>
        <v>5193445.9942819159</v>
      </c>
      <c r="G3549">
        <f t="shared" si="55"/>
        <v>2.3000000000000007</v>
      </c>
    </row>
    <row r="3550" spans="2:7" x14ac:dyDescent="0.35">
      <c r="B3550" s="1">
        <v>45805</v>
      </c>
      <c r="C3550" s="2">
        <v>0.83333333333333337</v>
      </c>
      <c r="D3550">
        <v>13.1</v>
      </c>
      <c r="E3550">
        <f>IF($D3550 &gt; 16, 0, $J$3*(16 - $D3550))</f>
        <v>602.4710638320214</v>
      </c>
      <c r="F3550">
        <f>IF($D3550 &gt; 16, 0,$E3550*$J$5)</f>
        <v>6548257.9927902408</v>
      </c>
      <c r="G3550">
        <f t="shared" si="55"/>
        <v>2.9000000000000004</v>
      </c>
    </row>
    <row r="3551" spans="2:7" x14ac:dyDescent="0.35">
      <c r="B3551" s="1">
        <v>45805</v>
      </c>
      <c r="C3551" s="2">
        <v>0.875</v>
      </c>
      <c r="D3551">
        <v>11.8</v>
      </c>
      <c r="E3551">
        <f>IF($D3551 &gt; 16, 0, $J$3*(16 - $D3551))</f>
        <v>872.54429934292716</v>
      </c>
      <c r="F3551">
        <f>IF($D3551 &gt; 16, 0,$E3551*$J$5)</f>
        <v>9483683.9895582758</v>
      </c>
      <c r="G3551">
        <f t="shared" si="55"/>
        <v>4.1999999999999993</v>
      </c>
    </row>
    <row r="3552" spans="2:7" x14ac:dyDescent="0.35">
      <c r="B3552" s="1">
        <v>45805</v>
      </c>
      <c r="C3552" s="2">
        <v>0.91666666666666663</v>
      </c>
      <c r="D3552">
        <v>10.8</v>
      </c>
      <c r="E3552">
        <f>IF($D3552 &gt; 16, 0, $J$3*(16 - $D3552))</f>
        <v>1080.2929420436242</v>
      </c>
      <c r="F3552">
        <f>IF($D3552 &gt; 16, 0,$E3552*$J$5)</f>
        <v>11741703.987072151</v>
      </c>
      <c r="G3552">
        <f t="shared" si="55"/>
        <v>5.1999999999999993</v>
      </c>
    </row>
    <row r="3553" spans="2:7" x14ac:dyDescent="0.35">
      <c r="B3553" s="1">
        <v>45805</v>
      </c>
      <c r="C3553" s="2">
        <v>0.95833333333333337</v>
      </c>
      <c r="D3553">
        <v>10</v>
      </c>
      <c r="E3553">
        <f>IF($D3553 &gt; 16, 0, $J$3*(16 - $D3553))</f>
        <v>1246.4918562041819</v>
      </c>
      <c r="F3553">
        <f>IF($D3553 &gt; 16, 0,$E3553*$J$5)</f>
        <v>13548119.985083252</v>
      </c>
      <c r="G3553">
        <f t="shared" si="55"/>
        <v>6</v>
      </c>
    </row>
    <row r="3554" spans="2:7" x14ac:dyDescent="0.35">
      <c r="B3554" s="1">
        <v>45806</v>
      </c>
      <c r="C3554" s="2">
        <v>0</v>
      </c>
      <c r="D3554">
        <v>9.6</v>
      </c>
      <c r="E3554">
        <f>IF($D3554 &gt; 16, 0, $J$3*(16 - $D3554))</f>
        <v>1329.5913132844607</v>
      </c>
      <c r="F3554">
        <f>IF($D3554 &gt; 16, 0,$E3554*$J$5)</f>
        <v>14451327.984088805</v>
      </c>
      <c r="G3554">
        <f t="shared" si="55"/>
        <v>6.4</v>
      </c>
    </row>
    <row r="3555" spans="2:7" x14ac:dyDescent="0.35">
      <c r="B3555" s="1">
        <v>45806</v>
      </c>
      <c r="C3555" s="2">
        <v>4.1666666666666657E-2</v>
      </c>
      <c r="D3555">
        <v>9.5</v>
      </c>
      <c r="E3555">
        <f>IF($D3555 &gt; 16, 0, $J$3*(16 - $D3555))</f>
        <v>1350.3661775545304</v>
      </c>
      <c r="F3555">
        <f>IF($D3555 &gt; 16, 0,$E3555*$J$5)</f>
        <v>14677129.983840192</v>
      </c>
      <c r="G3555">
        <f t="shared" si="55"/>
        <v>6.5</v>
      </c>
    </row>
    <row r="3556" spans="2:7" x14ac:dyDescent="0.35">
      <c r="B3556" s="1">
        <v>45806</v>
      </c>
      <c r="C3556" s="2">
        <v>8.3333333333333329E-2</v>
      </c>
      <c r="D3556">
        <v>8.8000000000000007</v>
      </c>
      <c r="E3556">
        <f>IF($D3556 &gt; 16, 0, $J$3*(16 - $D3556))</f>
        <v>1495.7902274450182</v>
      </c>
      <c r="F3556">
        <f>IF($D3556 &gt; 16, 0,$E3556*$J$5)</f>
        <v>16257743.982099904</v>
      </c>
      <c r="G3556">
        <f t="shared" si="55"/>
        <v>7.1999999999999993</v>
      </c>
    </row>
    <row r="3557" spans="2:7" x14ac:dyDescent="0.35">
      <c r="B3557" s="1">
        <v>45806</v>
      </c>
      <c r="C3557" s="2">
        <v>0.125</v>
      </c>
      <c r="D3557">
        <v>8.5</v>
      </c>
      <c r="E3557">
        <f>IF($D3557 &gt; 16, 0, $J$3*(16 - $D3557))</f>
        <v>1558.1148202552274</v>
      </c>
      <c r="F3557">
        <f>IF($D3557 &gt; 16, 0,$E3557*$J$5)</f>
        <v>16935149.981354065</v>
      </c>
      <c r="G3557">
        <f t="shared" si="55"/>
        <v>7.5</v>
      </c>
    </row>
    <row r="3558" spans="2:7" x14ac:dyDescent="0.35">
      <c r="B3558" s="1">
        <v>45806</v>
      </c>
      <c r="C3558" s="2">
        <v>0.16666666666666671</v>
      </c>
      <c r="D3558">
        <v>9.1999999999999993</v>
      </c>
      <c r="E3558">
        <f>IF($D3558 &gt; 16, 0, $J$3*(16 - $D3558))</f>
        <v>1412.6907703647396</v>
      </c>
      <c r="F3558">
        <f>IF($D3558 &gt; 16, 0,$E3558*$J$5)</f>
        <v>15354535.983094355</v>
      </c>
      <c r="G3558">
        <f t="shared" si="55"/>
        <v>6.8000000000000007</v>
      </c>
    </row>
    <row r="3559" spans="2:7" x14ac:dyDescent="0.35">
      <c r="B3559" s="1">
        <v>45806</v>
      </c>
      <c r="C3559" s="2">
        <v>0.20833333333333329</v>
      </c>
      <c r="D3559">
        <v>10.6</v>
      </c>
      <c r="E3559">
        <f>IF($D3559 &gt; 16, 0, $J$3*(16 - $D3559))</f>
        <v>1121.8426705837637</v>
      </c>
      <c r="F3559">
        <f>IF($D3559 &gt; 16, 0,$E3559*$J$5)</f>
        <v>12193307.986574927</v>
      </c>
      <c r="G3559">
        <f t="shared" si="55"/>
        <v>5.4</v>
      </c>
    </row>
    <row r="3560" spans="2:7" x14ac:dyDescent="0.35">
      <c r="B3560" s="1">
        <v>45806</v>
      </c>
      <c r="C3560" s="2">
        <v>0.25</v>
      </c>
      <c r="D3560">
        <v>12.3</v>
      </c>
      <c r="E3560">
        <f>IF($D3560 &gt; 16, 0, $J$3*(16 - $D3560))</f>
        <v>768.66997799257877</v>
      </c>
      <c r="F3560">
        <f>IF($D3560 &gt; 16, 0,$E3560*$J$5)</f>
        <v>8354673.990801339</v>
      </c>
      <c r="G3560">
        <f t="shared" si="55"/>
        <v>3.6999999999999993</v>
      </c>
    </row>
    <row r="3561" spans="2:7" x14ac:dyDescent="0.35">
      <c r="B3561" s="1">
        <v>45806</v>
      </c>
      <c r="C3561" s="2">
        <v>0.29166666666666669</v>
      </c>
      <c r="D3561">
        <v>12.4</v>
      </c>
      <c r="E3561">
        <f>IF($D3561 &gt; 16, 0, $J$3*(16 - $D3561))</f>
        <v>747.89511372250911</v>
      </c>
      <c r="F3561">
        <f>IF($D3561 &gt; 16, 0,$E3561*$J$5)</f>
        <v>8128871.9910499519</v>
      </c>
      <c r="G3561">
        <f t="shared" si="55"/>
        <v>3.5999999999999996</v>
      </c>
    </row>
    <row r="3562" spans="2:7" x14ac:dyDescent="0.35">
      <c r="B3562" s="1">
        <v>45806</v>
      </c>
      <c r="C3562" s="2">
        <v>0.33333333333333331</v>
      </c>
      <c r="D3562">
        <v>13.6</v>
      </c>
      <c r="E3562">
        <f>IF($D3562 &gt; 16, 0, $J$3*(16 - $D3562))</f>
        <v>498.59674248167283</v>
      </c>
      <c r="F3562">
        <f>IF($D3562 &gt; 16, 0,$E3562*$J$5)</f>
        <v>5419247.9940333022</v>
      </c>
      <c r="G3562">
        <f t="shared" si="55"/>
        <v>2.4000000000000004</v>
      </c>
    </row>
    <row r="3563" spans="2:7" x14ac:dyDescent="0.35">
      <c r="B3563" s="1">
        <v>45806</v>
      </c>
      <c r="C3563" s="2">
        <v>0.375</v>
      </c>
      <c r="D3563">
        <v>15.1</v>
      </c>
      <c r="E3563">
        <f>IF($D3563 &gt; 16, 0, $J$3*(16 - $D3563))</f>
        <v>186.97377843062736</v>
      </c>
      <c r="F3563">
        <f>IF($D3563 &gt; 16, 0,$E3563*$J$5)</f>
        <v>2032217.9977624889</v>
      </c>
      <c r="G3563">
        <f t="shared" si="55"/>
        <v>0.90000000000000036</v>
      </c>
    </row>
    <row r="3564" spans="2:7" x14ac:dyDescent="0.35">
      <c r="B3564" s="1">
        <v>45806</v>
      </c>
      <c r="C3564" s="2">
        <v>0.41666666666666669</v>
      </c>
      <c r="D3564">
        <v>16.399999999999999</v>
      </c>
      <c r="E3564">
        <f>IF($D3564 &gt; 16, 0, $J$3*(16 - $D3564))</f>
        <v>0</v>
      </c>
      <c r="F3564">
        <f>IF($D3564 &gt; 16, 0,$E3564*$J$5)</f>
        <v>0</v>
      </c>
      <c r="G3564">
        <f t="shared" si="55"/>
        <v>0</v>
      </c>
    </row>
    <row r="3565" spans="2:7" x14ac:dyDescent="0.35">
      <c r="B3565" s="1">
        <v>45806</v>
      </c>
      <c r="C3565" s="2">
        <v>0.45833333333333331</v>
      </c>
      <c r="D3565">
        <v>16.899999999999999</v>
      </c>
      <c r="E3565">
        <f>IF($D3565 &gt; 16, 0, $J$3*(16 - $D3565))</f>
        <v>0</v>
      </c>
      <c r="F3565">
        <f>IF($D3565 &gt; 16, 0,$E3565*$J$5)</f>
        <v>0</v>
      </c>
      <c r="G3565">
        <f t="shared" si="55"/>
        <v>0</v>
      </c>
    </row>
    <row r="3566" spans="2:7" x14ac:dyDescent="0.35">
      <c r="B3566" s="1">
        <v>45806</v>
      </c>
      <c r="C3566" s="2">
        <v>0.5</v>
      </c>
      <c r="D3566">
        <v>17.2</v>
      </c>
      <c r="E3566">
        <f>IF($D3566 &gt; 16, 0, $J$3*(16 - $D3566))</f>
        <v>0</v>
      </c>
      <c r="F3566">
        <f>IF($D3566 &gt; 16, 0,$E3566*$J$5)</f>
        <v>0</v>
      </c>
      <c r="G3566">
        <f t="shared" si="55"/>
        <v>0</v>
      </c>
    </row>
    <row r="3567" spans="2:7" x14ac:dyDescent="0.35">
      <c r="B3567" s="1">
        <v>45806</v>
      </c>
      <c r="C3567" s="2">
        <v>0.54166666666666663</v>
      </c>
      <c r="D3567">
        <v>17.3</v>
      </c>
      <c r="E3567">
        <f>IF($D3567 &gt; 16, 0, $J$3*(16 - $D3567))</f>
        <v>0</v>
      </c>
      <c r="F3567">
        <f>IF($D3567 &gt; 16, 0,$E3567*$J$5)</f>
        <v>0</v>
      </c>
      <c r="G3567">
        <f t="shared" si="55"/>
        <v>0</v>
      </c>
    </row>
    <row r="3568" spans="2:7" x14ac:dyDescent="0.35">
      <c r="B3568" s="1">
        <v>45806</v>
      </c>
      <c r="C3568" s="2">
        <v>0.58333333333333337</v>
      </c>
      <c r="D3568">
        <v>17.600000000000001</v>
      </c>
      <c r="E3568">
        <f>IF($D3568 &gt; 16, 0, $J$3*(16 - $D3568))</f>
        <v>0</v>
      </c>
      <c r="F3568">
        <f>IF($D3568 &gt; 16, 0,$E3568*$J$5)</f>
        <v>0</v>
      </c>
      <c r="G3568">
        <f t="shared" si="55"/>
        <v>0</v>
      </c>
    </row>
    <row r="3569" spans="2:7" x14ac:dyDescent="0.35">
      <c r="B3569" s="1">
        <v>45806</v>
      </c>
      <c r="C3569" s="2">
        <v>0.625</v>
      </c>
      <c r="D3569">
        <v>16.2</v>
      </c>
      <c r="E3569">
        <f>IF($D3569 &gt; 16, 0, $J$3*(16 - $D3569))</f>
        <v>0</v>
      </c>
      <c r="F3569">
        <f>IF($D3569 &gt; 16, 0,$E3569*$J$5)</f>
        <v>0</v>
      </c>
      <c r="G3569">
        <f t="shared" si="55"/>
        <v>0</v>
      </c>
    </row>
    <row r="3570" spans="2:7" x14ac:dyDescent="0.35">
      <c r="B3570" s="1">
        <v>45806</v>
      </c>
      <c r="C3570" s="2">
        <v>0.66666666666666663</v>
      </c>
      <c r="D3570">
        <v>15.2</v>
      </c>
      <c r="E3570">
        <f>IF($D3570 &gt; 16, 0, $J$3*(16 - $D3570))</f>
        <v>166.19891416055773</v>
      </c>
      <c r="F3570">
        <f>IF($D3570 &gt; 16, 0,$E3570*$J$5)</f>
        <v>1806415.998011102</v>
      </c>
      <c r="G3570">
        <f t="shared" si="55"/>
        <v>0.80000000000000071</v>
      </c>
    </row>
    <row r="3571" spans="2:7" x14ac:dyDescent="0.35">
      <c r="B3571" s="1">
        <v>45806</v>
      </c>
      <c r="C3571" s="2">
        <v>0.70833333333333337</v>
      </c>
      <c r="D3571">
        <v>14.4</v>
      </c>
      <c r="E3571">
        <f>IF($D3571 &gt; 16, 0, $J$3*(16 - $D3571))</f>
        <v>332.39782832111513</v>
      </c>
      <c r="F3571">
        <f>IF($D3571 &gt; 16, 0,$E3571*$J$5)</f>
        <v>3612831.9960222002</v>
      </c>
      <c r="G3571">
        <f t="shared" si="55"/>
        <v>1.5999999999999996</v>
      </c>
    </row>
    <row r="3572" spans="2:7" x14ac:dyDescent="0.35">
      <c r="B3572" s="1">
        <v>45806</v>
      </c>
      <c r="C3572" s="2">
        <v>0.75</v>
      </c>
      <c r="D3572">
        <v>13.6</v>
      </c>
      <c r="E3572">
        <f>IF($D3572 &gt; 16, 0, $J$3*(16 - $D3572))</f>
        <v>498.59674248167283</v>
      </c>
      <c r="F3572">
        <f>IF($D3572 &gt; 16, 0,$E3572*$J$5)</f>
        <v>5419247.9940333022</v>
      </c>
      <c r="G3572">
        <f t="shared" si="55"/>
        <v>2.4000000000000004</v>
      </c>
    </row>
    <row r="3573" spans="2:7" x14ac:dyDescent="0.35">
      <c r="B3573" s="1">
        <v>45806</v>
      </c>
      <c r="C3573" s="2">
        <v>0.79166666666666663</v>
      </c>
      <c r="D3573">
        <v>13.2</v>
      </c>
      <c r="E3573">
        <f>IF($D3573 &gt; 16, 0, $J$3*(16 - $D3573))</f>
        <v>581.69619956195174</v>
      </c>
      <c r="F3573">
        <f>IF($D3573 &gt; 16, 0,$E3573*$J$5)</f>
        <v>6322455.9930388536</v>
      </c>
      <c r="G3573">
        <f t="shared" si="55"/>
        <v>2.8000000000000007</v>
      </c>
    </row>
    <row r="3574" spans="2:7" x14ac:dyDescent="0.35">
      <c r="B3574" s="1">
        <v>45806</v>
      </c>
      <c r="C3574" s="2">
        <v>0.83333333333333337</v>
      </c>
      <c r="D3574">
        <v>13.3</v>
      </c>
      <c r="E3574">
        <f>IF($D3574 &gt; 16, 0, $J$3*(16 - $D3574))</f>
        <v>560.92133529188175</v>
      </c>
      <c r="F3574">
        <f>IF($D3574 &gt; 16, 0,$E3574*$J$5)</f>
        <v>6096653.9932874627</v>
      </c>
      <c r="G3574">
        <f t="shared" si="55"/>
        <v>2.6999999999999993</v>
      </c>
    </row>
    <row r="3575" spans="2:7" x14ac:dyDescent="0.35">
      <c r="B3575" s="1">
        <v>45806</v>
      </c>
      <c r="C3575" s="2">
        <v>0.875</v>
      </c>
      <c r="D3575">
        <v>13.5</v>
      </c>
      <c r="E3575">
        <f>IF($D3575 &gt; 16, 0, $J$3*(16 - $D3575))</f>
        <v>519.37160675174243</v>
      </c>
      <c r="F3575">
        <f>IF($D3575 &gt; 16, 0,$E3575*$J$5)</f>
        <v>5645049.9937846884</v>
      </c>
      <c r="G3575">
        <f t="shared" si="55"/>
        <v>2.5</v>
      </c>
    </row>
    <row r="3576" spans="2:7" x14ac:dyDescent="0.35">
      <c r="B3576" s="1">
        <v>45806</v>
      </c>
      <c r="C3576" s="2">
        <v>0.91666666666666663</v>
      </c>
      <c r="D3576">
        <v>14.2</v>
      </c>
      <c r="E3576">
        <f>IF($D3576 &gt; 16, 0, $J$3*(16 - $D3576))</f>
        <v>373.94755686125472</v>
      </c>
      <c r="F3576">
        <f>IF($D3576 &gt; 16, 0,$E3576*$J$5)</f>
        <v>4064435.9955249778</v>
      </c>
      <c r="G3576">
        <f t="shared" si="55"/>
        <v>1.8000000000000007</v>
      </c>
    </row>
    <row r="3577" spans="2:7" x14ac:dyDescent="0.35">
      <c r="B3577" s="1">
        <v>45806</v>
      </c>
      <c r="C3577" s="2">
        <v>0.95833333333333337</v>
      </c>
      <c r="D3577">
        <v>14.8</v>
      </c>
      <c r="E3577">
        <f>IF($D3577 &gt; 16, 0, $J$3*(16 - $D3577))</f>
        <v>249.29837124083625</v>
      </c>
      <c r="F3577">
        <f>IF($D3577 &gt; 16, 0,$E3577*$J$5)</f>
        <v>2709623.9970166492</v>
      </c>
      <c r="G3577">
        <f t="shared" si="55"/>
        <v>1.1999999999999993</v>
      </c>
    </row>
    <row r="3578" spans="2:7" x14ac:dyDescent="0.35">
      <c r="B3578" s="1">
        <v>45807</v>
      </c>
      <c r="C3578" s="2">
        <v>0</v>
      </c>
      <c r="D3578">
        <v>15.2</v>
      </c>
      <c r="E3578">
        <f>IF($D3578 &gt; 16, 0, $J$3*(16 - $D3578))</f>
        <v>166.19891416055773</v>
      </c>
      <c r="F3578">
        <f>IF($D3578 &gt; 16, 0,$E3578*$J$5)</f>
        <v>1806415.998011102</v>
      </c>
      <c r="G3578">
        <f t="shared" si="55"/>
        <v>0.80000000000000071</v>
      </c>
    </row>
    <row r="3579" spans="2:7" x14ac:dyDescent="0.35">
      <c r="B3579" s="1">
        <v>45807</v>
      </c>
      <c r="C3579" s="2">
        <v>4.1666666666666657E-2</v>
      </c>
      <c r="D3579">
        <v>15.5</v>
      </c>
      <c r="E3579">
        <f>IF($D3579 &gt; 16, 0, $J$3*(16 - $D3579))</f>
        <v>103.8743213503485</v>
      </c>
      <c r="F3579">
        <f>IF($D3579 &gt; 16, 0,$E3579*$J$5)</f>
        <v>1129009.9987569377</v>
      </c>
      <c r="G3579">
        <f t="shared" si="55"/>
        <v>0.5</v>
      </c>
    </row>
    <row r="3580" spans="2:7" x14ac:dyDescent="0.35">
      <c r="B3580" s="1">
        <v>45807</v>
      </c>
      <c r="C3580" s="2">
        <v>8.3333333333333329E-2</v>
      </c>
      <c r="D3580">
        <v>15.6</v>
      </c>
      <c r="E3580">
        <f>IF($D3580 &gt; 16, 0, $J$3*(16 - $D3580))</f>
        <v>83.099457080278867</v>
      </c>
      <c r="F3580">
        <f>IF($D3580 &gt; 16, 0,$E3580*$J$5)</f>
        <v>903207.99900555098</v>
      </c>
      <c r="G3580">
        <f t="shared" si="55"/>
        <v>0.40000000000000036</v>
      </c>
    </row>
    <row r="3581" spans="2:7" x14ac:dyDescent="0.35">
      <c r="B3581" s="1">
        <v>45807</v>
      </c>
      <c r="C3581" s="2">
        <v>0.125</v>
      </c>
      <c r="D3581">
        <v>15.7</v>
      </c>
      <c r="E3581">
        <f>IF($D3581 &gt; 16, 0, $J$3*(16 - $D3581))</f>
        <v>62.324592810209246</v>
      </c>
      <c r="F3581">
        <f>IF($D3581 &gt; 16, 0,$E3581*$J$5)</f>
        <v>677405.99925416429</v>
      </c>
      <c r="G3581">
        <f t="shared" si="55"/>
        <v>0.30000000000000071</v>
      </c>
    </row>
    <row r="3582" spans="2:7" x14ac:dyDescent="0.35">
      <c r="B3582" s="1">
        <v>45807</v>
      </c>
      <c r="C3582" s="2">
        <v>0.16666666666666671</v>
      </c>
      <c r="D3582">
        <v>15.7</v>
      </c>
      <c r="E3582">
        <f>IF($D3582 &gt; 16, 0, $J$3*(16 - $D3582))</f>
        <v>62.324592810209246</v>
      </c>
      <c r="F3582">
        <f>IF($D3582 &gt; 16, 0,$E3582*$J$5)</f>
        <v>677405.99925416429</v>
      </c>
      <c r="G3582">
        <f t="shared" si="55"/>
        <v>0.30000000000000071</v>
      </c>
    </row>
    <row r="3583" spans="2:7" x14ac:dyDescent="0.35">
      <c r="B3583" s="1">
        <v>45807</v>
      </c>
      <c r="C3583" s="2">
        <v>0.20833333333333329</v>
      </c>
      <c r="D3583">
        <v>15.9</v>
      </c>
      <c r="E3583">
        <f>IF($D3583 &gt; 16, 0, $J$3*(16 - $D3583))</f>
        <v>20.774864270069624</v>
      </c>
      <c r="F3583">
        <f>IF($D3583 &gt; 16, 0,$E3583*$J$5)</f>
        <v>225801.99975138676</v>
      </c>
      <c r="G3583">
        <f t="shared" si="55"/>
        <v>9.9999999999999645E-2</v>
      </c>
    </row>
    <row r="3584" spans="2:7" x14ac:dyDescent="0.35">
      <c r="B3584" s="1">
        <v>45807</v>
      </c>
      <c r="C3584" s="2">
        <v>0.25</v>
      </c>
      <c r="D3584">
        <v>16.399999999999999</v>
      </c>
      <c r="E3584">
        <f>IF($D3584 &gt; 16, 0, $J$3*(16 - $D3584))</f>
        <v>0</v>
      </c>
      <c r="F3584">
        <f>IF($D3584 &gt; 16, 0,$E3584*$J$5)</f>
        <v>0</v>
      </c>
      <c r="G3584">
        <f t="shared" si="55"/>
        <v>0</v>
      </c>
    </row>
    <row r="3585" spans="2:7" x14ac:dyDescent="0.35">
      <c r="B3585" s="1">
        <v>45807</v>
      </c>
      <c r="C3585" s="2">
        <v>0.29166666666666669</v>
      </c>
      <c r="D3585">
        <v>16.899999999999999</v>
      </c>
      <c r="E3585">
        <f>IF($D3585 &gt; 16, 0, $J$3*(16 - $D3585))</f>
        <v>0</v>
      </c>
      <c r="F3585">
        <f>IF($D3585 &gt; 16, 0,$E3585*$J$5)</f>
        <v>0</v>
      </c>
      <c r="G3585">
        <f t="shared" si="55"/>
        <v>0</v>
      </c>
    </row>
    <row r="3586" spans="2:7" x14ac:dyDescent="0.35">
      <c r="B3586" s="1">
        <v>45807</v>
      </c>
      <c r="C3586" s="2">
        <v>0.33333333333333331</v>
      </c>
      <c r="D3586">
        <v>17.5</v>
      </c>
      <c r="E3586">
        <f>IF($D3586 &gt; 16, 0, $J$3*(16 - $D3586))</f>
        <v>0</v>
      </c>
      <c r="F3586">
        <f>IF($D3586 &gt; 16, 0,$E3586*$J$5)</f>
        <v>0</v>
      </c>
      <c r="G3586">
        <f t="shared" si="55"/>
        <v>0</v>
      </c>
    </row>
    <row r="3587" spans="2:7" x14ac:dyDescent="0.35">
      <c r="B3587" s="1">
        <v>45807</v>
      </c>
      <c r="C3587" s="2">
        <v>0.375</v>
      </c>
      <c r="D3587">
        <v>18.7</v>
      </c>
      <c r="E3587">
        <f>IF($D3587 &gt; 16, 0, $J$3*(16 - $D3587))</f>
        <v>0</v>
      </c>
      <c r="F3587">
        <f>IF($D3587 &gt; 16, 0,$E3587*$J$5)</f>
        <v>0</v>
      </c>
      <c r="G3587">
        <f t="shared" ref="G3587:G3650" si="56">MAX(0, 16 - $D3587)</f>
        <v>0</v>
      </c>
    </row>
    <row r="3588" spans="2:7" x14ac:dyDescent="0.35">
      <c r="B3588" s="1">
        <v>45807</v>
      </c>
      <c r="C3588" s="2">
        <v>0.41666666666666669</v>
      </c>
      <c r="D3588">
        <v>19.399999999999999</v>
      </c>
      <c r="E3588">
        <f>IF($D3588 &gt; 16, 0, $J$3*(16 - $D3588))</f>
        <v>0</v>
      </c>
      <c r="F3588">
        <f>IF($D3588 &gt; 16, 0,$E3588*$J$5)</f>
        <v>0</v>
      </c>
      <c r="G3588">
        <f t="shared" si="56"/>
        <v>0</v>
      </c>
    </row>
    <row r="3589" spans="2:7" x14ac:dyDescent="0.35">
      <c r="B3589" s="1">
        <v>45807</v>
      </c>
      <c r="C3589" s="2">
        <v>0.45833333333333331</v>
      </c>
      <c r="D3589">
        <v>20.6</v>
      </c>
      <c r="E3589">
        <f>IF($D3589 &gt; 16, 0, $J$3*(16 - $D3589))</f>
        <v>0</v>
      </c>
      <c r="F3589">
        <f>IF($D3589 &gt; 16, 0,$E3589*$J$5)</f>
        <v>0</v>
      </c>
      <c r="G3589">
        <f t="shared" si="56"/>
        <v>0</v>
      </c>
    </row>
    <row r="3590" spans="2:7" x14ac:dyDescent="0.35">
      <c r="B3590" s="1">
        <v>45807</v>
      </c>
      <c r="C3590" s="2">
        <v>0.5</v>
      </c>
      <c r="D3590">
        <v>20.399999999999999</v>
      </c>
      <c r="E3590">
        <f>IF($D3590 &gt; 16, 0, $J$3*(16 - $D3590))</f>
        <v>0</v>
      </c>
      <c r="F3590">
        <f>IF($D3590 &gt; 16, 0,$E3590*$J$5)</f>
        <v>0</v>
      </c>
      <c r="G3590">
        <f t="shared" si="56"/>
        <v>0</v>
      </c>
    </row>
    <row r="3591" spans="2:7" x14ac:dyDescent="0.35">
      <c r="B3591" s="1">
        <v>45807</v>
      </c>
      <c r="C3591" s="2">
        <v>0.54166666666666663</v>
      </c>
      <c r="D3591">
        <v>20.7</v>
      </c>
      <c r="E3591">
        <f>IF($D3591 &gt; 16, 0, $J$3*(16 - $D3591))</f>
        <v>0</v>
      </c>
      <c r="F3591">
        <f>IF($D3591 &gt; 16, 0,$E3591*$J$5)</f>
        <v>0</v>
      </c>
      <c r="G3591">
        <f t="shared" si="56"/>
        <v>0</v>
      </c>
    </row>
    <row r="3592" spans="2:7" x14ac:dyDescent="0.35">
      <c r="B3592" s="1">
        <v>45807</v>
      </c>
      <c r="C3592" s="2">
        <v>0.58333333333333337</v>
      </c>
      <c r="D3592">
        <v>21.4</v>
      </c>
      <c r="E3592">
        <f>IF($D3592 &gt; 16, 0, $J$3*(16 - $D3592))</f>
        <v>0</v>
      </c>
      <c r="F3592">
        <f>IF($D3592 &gt; 16, 0,$E3592*$J$5)</f>
        <v>0</v>
      </c>
      <c r="G3592">
        <f t="shared" si="56"/>
        <v>0</v>
      </c>
    </row>
    <row r="3593" spans="2:7" x14ac:dyDescent="0.35">
      <c r="B3593" s="1">
        <v>45807</v>
      </c>
      <c r="C3593" s="2">
        <v>0.625</v>
      </c>
      <c r="D3593">
        <v>21.4</v>
      </c>
      <c r="E3593">
        <f>IF($D3593 &gt; 16, 0, $J$3*(16 - $D3593))</f>
        <v>0</v>
      </c>
      <c r="F3593">
        <f>IF($D3593 &gt; 16, 0,$E3593*$J$5)</f>
        <v>0</v>
      </c>
      <c r="G3593">
        <f t="shared" si="56"/>
        <v>0</v>
      </c>
    </row>
    <row r="3594" spans="2:7" x14ac:dyDescent="0.35">
      <c r="B3594" s="1">
        <v>45807</v>
      </c>
      <c r="C3594" s="2">
        <v>0.66666666666666663</v>
      </c>
      <c r="D3594">
        <v>20.5</v>
      </c>
      <c r="E3594">
        <f>IF($D3594 &gt; 16, 0, $J$3*(16 - $D3594))</f>
        <v>0</v>
      </c>
      <c r="F3594">
        <f>IF($D3594 &gt; 16, 0,$E3594*$J$5)</f>
        <v>0</v>
      </c>
      <c r="G3594">
        <f t="shared" si="56"/>
        <v>0</v>
      </c>
    </row>
    <row r="3595" spans="2:7" x14ac:dyDescent="0.35">
      <c r="B3595" s="1">
        <v>45807</v>
      </c>
      <c r="C3595" s="2">
        <v>0.70833333333333337</v>
      </c>
      <c r="D3595">
        <v>18.5</v>
      </c>
      <c r="E3595">
        <f>IF($D3595 &gt; 16, 0, $J$3*(16 - $D3595))</f>
        <v>0</v>
      </c>
      <c r="F3595">
        <f>IF($D3595 &gt; 16, 0,$E3595*$J$5)</f>
        <v>0</v>
      </c>
      <c r="G3595">
        <f t="shared" si="56"/>
        <v>0</v>
      </c>
    </row>
    <row r="3596" spans="2:7" x14ac:dyDescent="0.35">
      <c r="B3596" s="1">
        <v>45807</v>
      </c>
      <c r="C3596" s="2">
        <v>0.75</v>
      </c>
      <c r="D3596">
        <v>17.399999999999999</v>
      </c>
      <c r="E3596">
        <f>IF($D3596 &gt; 16, 0, $J$3*(16 - $D3596))</f>
        <v>0</v>
      </c>
      <c r="F3596">
        <f>IF($D3596 &gt; 16, 0,$E3596*$J$5)</f>
        <v>0</v>
      </c>
      <c r="G3596">
        <f t="shared" si="56"/>
        <v>0</v>
      </c>
    </row>
    <row r="3597" spans="2:7" x14ac:dyDescent="0.35">
      <c r="B3597" s="1">
        <v>45807</v>
      </c>
      <c r="C3597" s="2">
        <v>0.79166666666666663</v>
      </c>
      <c r="D3597">
        <v>17.100000000000001</v>
      </c>
      <c r="E3597">
        <f>IF($D3597 &gt; 16, 0, $J$3*(16 - $D3597))</f>
        <v>0</v>
      </c>
      <c r="F3597">
        <f>IF($D3597 &gt; 16, 0,$E3597*$J$5)</f>
        <v>0</v>
      </c>
      <c r="G3597">
        <f t="shared" si="56"/>
        <v>0</v>
      </c>
    </row>
    <row r="3598" spans="2:7" x14ac:dyDescent="0.35">
      <c r="B3598" s="1">
        <v>45807</v>
      </c>
      <c r="C3598" s="2">
        <v>0.83333333333333337</v>
      </c>
      <c r="D3598">
        <v>15.1</v>
      </c>
      <c r="E3598">
        <f>IF($D3598 &gt; 16, 0, $J$3*(16 - $D3598))</f>
        <v>186.97377843062736</v>
      </c>
      <c r="F3598">
        <f>IF($D3598 &gt; 16, 0,$E3598*$J$5)</f>
        <v>2032217.9977624889</v>
      </c>
      <c r="G3598">
        <f t="shared" si="56"/>
        <v>0.90000000000000036</v>
      </c>
    </row>
    <row r="3599" spans="2:7" x14ac:dyDescent="0.35">
      <c r="B3599" s="1">
        <v>45807</v>
      </c>
      <c r="C3599" s="2">
        <v>0.875</v>
      </c>
      <c r="D3599">
        <v>13.9</v>
      </c>
      <c r="E3599">
        <f>IF($D3599 &gt; 16, 0, $J$3*(16 - $D3599))</f>
        <v>436.27214967146358</v>
      </c>
      <c r="F3599">
        <f>IF($D3599 &gt; 16, 0,$E3599*$J$5)</f>
        <v>4741841.9947791379</v>
      </c>
      <c r="G3599">
        <f t="shared" si="56"/>
        <v>2.0999999999999996</v>
      </c>
    </row>
    <row r="3600" spans="2:7" x14ac:dyDescent="0.35">
      <c r="B3600" s="1">
        <v>45807</v>
      </c>
      <c r="C3600" s="2">
        <v>0.91666666666666663</v>
      </c>
      <c r="D3600">
        <v>14</v>
      </c>
      <c r="E3600">
        <f>IF($D3600 &gt; 16, 0, $J$3*(16 - $D3600))</f>
        <v>415.49728540139398</v>
      </c>
      <c r="F3600">
        <f>IF($D3600 &gt; 16, 0,$E3600*$J$5)</f>
        <v>4516039.9950277507</v>
      </c>
      <c r="G3600">
        <f t="shared" si="56"/>
        <v>2</v>
      </c>
    </row>
    <row r="3601" spans="2:7" x14ac:dyDescent="0.35">
      <c r="B3601" s="1">
        <v>45807</v>
      </c>
      <c r="C3601" s="2">
        <v>0.95833333333333337</v>
      </c>
      <c r="D3601">
        <v>13.1</v>
      </c>
      <c r="E3601">
        <f>IF($D3601 &gt; 16, 0, $J$3*(16 - $D3601))</f>
        <v>602.4710638320214</v>
      </c>
      <c r="F3601">
        <f>IF($D3601 &gt; 16, 0,$E3601*$J$5)</f>
        <v>6548257.9927902408</v>
      </c>
      <c r="G3601">
        <f t="shared" si="56"/>
        <v>2.9000000000000004</v>
      </c>
    </row>
    <row r="3602" spans="2:7" x14ac:dyDescent="0.35">
      <c r="B3602" s="1">
        <v>45808</v>
      </c>
      <c r="C3602" s="2">
        <v>0</v>
      </c>
      <c r="D3602">
        <v>12.3</v>
      </c>
      <c r="E3602">
        <f>IF($D3602 &gt; 16, 0, $J$3*(16 - $D3602))</f>
        <v>768.66997799257877</v>
      </c>
      <c r="F3602">
        <f>IF($D3602 &gt; 16, 0,$E3602*$J$5)</f>
        <v>8354673.990801339</v>
      </c>
      <c r="G3602">
        <f t="shared" si="56"/>
        <v>3.6999999999999993</v>
      </c>
    </row>
    <row r="3603" spans="2:7" x14ac:dyDescent="0.35">
      <c r="B3603" s="1">
        <v>45808</v>
      </c>
      <c r="C3603" s="2">
        <v>4.1666666666666657E-2</v>
      </c>
      <c r="D3603">
        <v>12.1</v>
      </c>
      <c r="E3603">
        <f>IF($D3603 &gt; 16, 0, $J$3*(16 - $D3603))</f>
        <v>810.21970653271831</v>
      </c>
      <c r="F3603">
        <f>IF($D3603 &gt; 16, 0,$E3603*$J$5)</f>
        <v>8806277.9903041162</v>
      </c>
      <c r="G3603">
        <f t="shared" si="56"/>
        <v>3.9000000000000004</v>
      </c>
    </row>
    <row r="3604" spans="2:7" x14ac:dyDescent="0.35">
      <c r="B3604" s="1">
        <v>45808</v>
      </c>
      <c r="C3604" s="2">
        <v>8.3333333333333329E-2</v>
      </c>
      <c r="D3604">
        <v>11.4</v>
      </c>
      <c r="E3604">
        <f>IF($D3604 &gt; 16, 0, $J$3*(16 - $D3604))</f>
        <v>955.64375642320613</v>
      </c>
      <c r="F3604">
        <f>IF($D3604 &gt; 16, 0,$E3604*$J$5)</f>
        <v>10386891.988563828</v>
      </c>
      <c r="G3604">
        <f t="shared" si="56"/>
        <v>4.5999999999999996</v>
      </c>
    </row>
    <row r="3605" spans="2:7" x14ac:dyDescent="0.35">
      <c r="B3605" s="1">
        <v>45808</v>
      </c>
      <c r="C3605" s="2">
        <v>0.125</v>
      </c>
      <c r="D3605">
        <v>12.4</v>
      </c>
      <c r="E3605">
        <f>IF($D3605 &gt; 16, 0, $J$3*(16 - $D3605))</f>
        <v>747.89511372250911</v>
      </c>
      <c r="F3605">
        <f>IF($D3605 &gt; 16, 0,$E3605*$J$5)</f>
        <v>8128871.9910499519</v>
      </c>
      <c r="G3605">
        <f t="shared" si="56"/>
        <v>3.5999999999999996</v>
      </c>
    </row>
    <row r="3606" spans="2:7" x14ac:dyDescent="0.35">
      <c r="B3606" s="1">
        <v>45808</v>
      </c>
      <c r="C3606" s="2">
        <v>0.16666666666666671</v>
      </c>
      <c r="D3606">
        <v>13.6</v>
      </c>
      <c r="E3606">
        <f>IF($D3606 &gt; 16, 0, $J$3*(16 - $D3606))</f>
        <v>498.59674248167283</v>
      </c>
      <c r="F3606">
        <f>IF($D3606 &gt; 16, 0,$E3606*$J$5)</f>
        <v>5419247.9940333022</v>
      </c>
      <c r="G3606">
        <f t="shared" si="56"/>
        <v>2.4000000000000004</v>
      </c>
    </row>
    <row r="3607" spans="2:7" x14ac:dyDescent="0.35">
      <c r="B3607" s="1">
        <v>45808</v>
      </c>
      <c r="C3607" s="2">
        <v>0.20833333333333329</v>
      </c>
      <c r="D3607">
        <v>14.1</v>
      </c>
      <c r="E3607">
        <f>IF($D3607 &gt; 16, 0, $J$3*(16 - $D3607))</f>
        <v>394.72242113132438</v>
      </c>
      <c r="F3607">
        <f>IF($D3607 &gt; 16, 0,$E3607*$J$5)</f>
        <v>4290237.9952763645</v>
      </c>
      <c r="G3607">
        <f t="shared" si="56"/>
        <v>1.9000000000000004</v>
      </c>
    </row>
    <row r="3608" spans="2:7" x14ac:dyDescent="0.35">
      <c r="B3608" s="1">
        <v>45808</v>
      </c>
      <c r="C3608" s="2">
        <v>0.25</v>
      </c>
      <c r="D3608">
        <v>15</v>
      </c>
      <c r="E3608">
        <f>IF($D3608 &gt; 16, 0, $J$3*(16 - $D3608))</f>
        <v>207.74864270069699</v>
      </c>
      <c r="F3608">
        <f>IF($D3608 &gt; 16, 0,$E3608*$J$5)</f>
        <v>2258019.9975138754</v>
      </c>
      <c r="G3608">
        <f t="shared" si="56"/>
        <v>1</v>
      </c>
    </row>
    <row r="3609" spans="2:7" x14ac:dyDescent="0.35">
      <c r="B3609" s="1">
        <v>45808</v>
      </c>
      <c r="C3609" s="2">
        <v>0.29166666666666669</v>
      </c>
      <c r="D3609">
        <v>16.7</v>
      </c>
      <c r="E3609">
        <f>IF($D3609 &gt; 16, 0, $J$3*(16 - $D3609))</f>
        <v>0</v>
      </c>
      <c r="F3609">
        <f>IF($D3609 &gt; 16, 0,$E3609*$J$5)</f>
        <v>0</v>
      </c>
      <c r="G3609">
        <f t="shared" si="56"/>
        <v>0</v>
      </c>
    </row>
    <row r="3610" spans="2:7" x14ac:dyDescent="0.35">
      <c r="B3610" s="1">
        <v>45808</v>
      </c>
      <c r="C3610" s="2">
        <v>0.33333333333333331</v>
      </c>
      <c r="D3610">
        <v>19</v>
      </c>
      <c r="E3610">
        <f>IF($D3610 &gt; 16, 0, $J$3*(16 - $D3610))</f>
        <v>0</v>
      </c>
      <c r="F3610">
        <f>IF($D3610 &gt; 16, 0,$E3610*$J$5)</f>
        <v>0</v>
      </c>
      <c r="G3610">
        <f t="shared" si="56"/>
        <v>0</v>
      </c>
    </row>
    <row r="3611" spans="2:7" x14ac:dyDescent="0.35">
      <c r="B3611" s="1">
        <v>45808</v>
      </c>
      <c r="C3611" s="2">
        <v>0.375</v>
      </c>
      <c r="D3611">
        <v>19.899999999999999</v>
      </c>
      <c r="E3611">
        <f>IF($D3611 &gt; 16, 0, $J$3*(16 - $D3611))</f>
        <v>0</v>
      </c>
      <c r="F3611">
        <f>IF($D3611 &gt; 16, 0,$E3611*$J$5)</f>
        <v>0</v>
      </c>
      <c r="G3611">
        <f t="shared" si="56"/>
        <v>0</v>
      </c>
    </row>
    <row r="3612" spans="2:7" x14ac:dyDescent="0.35">
      <c r="B3612" s="1">
        <v>45808</v>
      </c>
      <c r="C3612" s="2">
        <v>0.41666666666666669</v>
      </c>
      <c r="D3612">
        <v>20.2</v>
      </c>
      <c r="E3612">
        <f>IF($D3612 &gt; 16, 0, $J$3*(16 - $D3612))</f>
        <v>0</v>
      </c>
      <c r="F3612">
        <f>IF($D3612 &gt; 16, 0,$E3612*$J$5)</f>
        <v>0</v>
      </c>
      <c r="G3612">
        <f t="shared" si="56"/>
        <v>0</v>
      </c>
    </row>
    <row r="3613" spans="2:7" x14ac:dyDescent="0.35">
      <c r="B3613" s="1">
        <v>45808</v>
      </c>
      <c r="C3613" s="2">
        <v>0.45833333333333331</v>
      </c>
      <c r="D3613">
        <v>21.7</v>
      </c>
      <c r="E3613">
        <f>IF($D3613 &gt; 16, 0, $J$3*(16 - $D3613))</f>
        <v>0</v>
      </c>
      <c r="F3613">
        <f>IF($D3613 &gt; 16, 0,$E3613*$J$5)</f>
        <v>0</v>
      </c>
      <c r="G3613">
        <f t="shared" si="56"/>
        <v>0</v>
      </c>
    </row>
    <row r="3614" spans="2:7" x14ac:dyDescent="0.35">
      <c r="B3614" s="1">
        <v>45808</v>
      </c>
      <c r="C3614" s="2">
        <v>0.5</v>
      </c>
      <c r="D3614">
        <v>21.4</v>
      </c>
      <c r="E3614">
        <f>IF($D3614 &gt; 16, 0, $J$3*(16 - $D3614))</f>
        <v>0</v>
      </c>
      <c r="F3614">
        <f>IF($D3614 &gt; 16, 0,$E3614*$J$5)</f>
        <v>0</v>
      </c>
      <c r="G3614">
        <f t="shared" si="56"/>
        <v>0</v>
      </c>
    </row>
    <row r="3615" spans="2:7" x14ac:dyDescent="0.35">
      <c r="B3615" s="1">
        <v>45808</v>
      </c>
      <c r="C3615" s="2">
        <v>0.54166666666666663</v>
      </c>
      <c r="D3615">
        <v>23.2</v>
      </c>
      <c r="E3615">
        <f>IF($D3615 &gt; 16, 0, $J$3*(16 - $D3615))</f>
        <v>0</v>
      </c>
      <c r="F3615">
        <f>IF($D3615 &gt; 16, 0,$E3615*$J$5)</f>
        <v>0</v>
      </c>
      <c r="G3615">
        <f t="shared" si="56"/>
        <v>0</v>
      </c>
    </row>
    <row r="3616" spans="2:7" x14ac:dyDescent="0.35">
      <c r="B3616" s="1">
        <v>45808</v>
      </c>
      <c r="C3616" s="2">
        <v>0.58333333333333337</v>
      </c>
      <c r="D3616">
        <v>24.1</v>
      </c>
      <c r="E3616">
        <f>IF($D3616 &gt; 16, 0, $J$3*(16 - $D3616))</f>
        <v>0</v>
      </c>
      <c r="F3616">
        <f>IF($D3616 &gt; 16, 0,$E3616*$J$5)</f>
        <v>0</v>
      </c>
      <c r="G3616">
        <f t="shared" si="56"/>
        <v>0</v>
      </c>
    </row>
    <row r="3617" spans="2:7" x14ac:dyDescent="0.35">
      <c r="B3617" s="1">
        <v>45808</v>
      </c>
      <c r="C3617" s="2">
        <v>0.625</v>
      </c>
      <c r="D3617">
        <v>24</v>
      </c>
      <c r="E3617">
        <f>IF($D3617 &gt; 16, 0, $J$3*(16 - $D3617))</f>
        <v>0</v>
      </c>
      <c r="F3617">
        <f>IF($D3617 &gt; 16, 0,$E3617*$J$5)</f>
        <v>0</v>
      </c>
      <c r="G3617">
        <f t="shared" si="56"/>
        <v>0</v>
      </c>
    </row>
    <row r="3618" spans="2:7" x14ac:dyDescent="0.35">
      <c r="B3618" s="1">
        <v>45808</v>
      </c>
      <c r="C3618" s="2">
        <v>0.66666666666666663</v>
      </c>
      <c r="D3618">
        <v>22.8</v>
      </c>
      <c r="E3618">
        <f>IF($D3618 &gt; 16, 0, $J$3*(16 - $D3618))</f>
        <v>0</v>
      </c>
      <c r="F3618">
        <f>IF($D3618 &gt; 16, 0,$E3618*$J$5)</f>
        <v>0</v>
      </c>
      <c r="G3618">
        <f t="shared" si="56"/>
        <v>0</v>
      </c>
    </row>
    <row r="3619" spans="2:7" x14ac:dyDescent="0.35">
      <c r="B3619" s="1">
        <v>45808</v>
      </c>
      <c r="C3619" s="2">
        <v>0.70833333333333337</v>
      </c>
      <c r="D3619">
        <v>22.2</v>
      </c>
      <c r="E3619">
        <f>IF($D3619 &gt; 16, 0, $J$3*(16 - $D3619))</f>
        <v>0</v>
      </c>
      <c r="F3619">
        <f>IF($D3619 &gt; 16, 0,$E3619*$J$5)</f>
        <v>0</v>
      </c>
      <c r="G3619">
        <f t="shared" si="56"/>
        <v>0</v>
      </c>
    </row>
    <row r="3620" spans="2:7" x14ac:dyDescent="0.35">
      <c r="B3620" s="1">
        <v>45808</v>
      </c>
      <c r="C3620" s="2">
        <v>0.75</v>
      </c>
      <c r="D3620">
        <v>21.5</v>
      </c>
      <c r="E3620">
        <f>IF($D3620 &gt; 16, 0, $J$3*(16 - $D3620))</f>
        <v>0</v>
      </c>
      <c r="F3620">
        <f>IF($D3620 &gt; 16, 0,$E3620*$J$5)</f>
        <v>0</v>
      </c>
      <c r="G3620">
        <f t="shared" si="56"/>
        <v>0</v>
      </c>
    </row>
    <row r="3621" spans="2:7" x14ac:dyDescent="0.35">
      <c r="B3621" s="1">
        <v>45808</v>
      </c>
      <c r="C3621" s="2">
        <v>0.79166666666666663</v>
      </c>
      <c r="D3621">
        <v>20.8</v>
      </c>
      <c r="E3621">
        <f>IF($D3621 &gt; 16, 0, $J$3*(16 - $D3621))</f>
        <v>0</v>
      </c>
      <c r="F3621">
        <f>IF($D3621 &gt; 16, 0,$E3621*$J$5)</f>
        <v>0</v>
      </c>
      <c r="G3621">
        <f t="shared" si="56"/>
        <v>0</v>
      </c>
    </row>
    <row r="3622" spans="2:7" x14ac:dyDescent="0.35">
      <c r="B3622" s="1">
        <v>45808</v>
      </c>
      <c r="C3622" s="2">
        <v>0.83333333333333337</v>
      </c>
      <c r="D3622">
        <v>18.3</v>
      </c>
      <c r="E3622">
        <f>IF($D3622 &gt; 16, 0, $J$3*(16 - $D3622))</f>
        <v>0</v>
      </c>
      <c r="F3622">
        <f>IF($D3622 &gt; 16, 0,$E3622*$J$5)</f>
        <v>0</v>
      </c>
      <c r="G3622">
        <f t="shared" si="56"/>
        <v>0</v>
      </c>
    </row>
    <row r="3623" spans="2:7" x14ac:dyDescent="0.35">
      <c r="B3623" s="1">
        <v>45808</v>
      </c>
      <c r="C3623" s="2">
        <v>0.875</v>
      </c>
      <c r="D3623">
        <v>18</v>
      </c>
      <c r="E3623">
        <f>IF($D3623 &gt; 16, 0, $J$3*(16 - $D3623))</f>
        <v>0</v>
      </c>
      <c r="F3623">
        <f>IF($D3623 &gt; 16, 0,$E3623*$J$5)</f>
        <v>0</v>
      </c>
      <c r="G3623">
        <f t="shared" si="56"/>
        <v>0</v>
      </c>
    </row>
    <row r="3624" spans="2:7" x14ac:dyDescent="0.35">
      <c r="B3624" s="1">
        <v>45808</v>
      </c>
      <c r="C3624" s="2">
        <v>0.91666666666666663</v>
      </c>
      <c r="D3624">
        <v>16.600000000000001</v>
      </c>
      <c r="E3624">
        <f>IF($D3624 &gt; 16, 0, $J$3*(16 - $D3624))</f>
        <v>0</v>
      </c>
      <c r="F3624">
        <f>IF($D3624 &gt; 16, 0,$E3624*$J$5)</f>
        <v>0</v>
      </c>
      <c r="G3624">
        <f t="shared" si="56"/>
        <v>0</v>
      </c>
    </row>
    <row r="3625" spans="2:7" x14ac:dyDescent="0.35">
      <c r="B3625" s="1">
        <v>45808</v>
      </c>
      <c r="C3625" s="2">
        <v>0.95833333333333337</v>
      </c>
      <c r="D3625">
        <v>16.5</v>
      </c>
      <c r="E3625">
        <f>IF($D3625 &gt; 16, 0, $J$3*(16 - $D3625))</f>
        <v>0</v>
      </c>
      <c r="F3625">
        <f>IF($D3625 &gt; 16, 0,$E3625*$J$5)</f>
        <v>0</v>
      </c>
      <c r="G3625">
        <f t="shared" si="56"/>
        <v>0</v>
      </c>
    </row>
    <row r="3626" spans="2:7" x14ac:dyDescent="0.35">
      <c r="B3626" s="1">
        <v>45809</v>
      </c>
      <c r="C3626" s="2">
        <v>0</v>
      </c>
      <c r="D3626">
        <v>15.4</v>
      </c>
      <c r="E3626">
        <f>IF($D3626 &gt; 16, 0, $J$3*(16 - $D3626))</f>
        <v>124.64918562041812</v>
      </c>
      <c r="F3626">
        <f>IF($D3626 &gt; 16, 0,$E3626*$J$5)</f>
        <v>1354811.9985083246</v>
      </c>
      <c r="G3626">
        <f t="shared" si="56"/>
        <v>0.59999999999999964</v>
      </c>
    </row>
    <row r="3627" spans="2:7" x14ac:dyDescent="0.35">
      <c r="B3627" s="1">
        <v>45809</v>
      </c>
      <c r="C3627" s="2">
        <v>4.1666666666666657E-2</v>
      </c>
      <c r="D3627">
        <v>15.2</v>
      </c>
      <c r="E3627">
        <f>IF($D3627 &gt; 16, 0, $J$3*(16 - $D3627))</f>
        <v>166.19891416055773</v>
      </c>
      <c r="F3627">
        <f>IF($D3627 &gt; 16, 0,$E3627*$J$5)</f>
        <v>1806415.998011102</v>
      </c>
      <c r="G3627">
        <f t="shared" si="56"/>
        <v>0.80000000000000071</v>
      </c>
    </row>
    <row r="3628" spans="2:7" x14ac:dyDescent="0.35">
      <c r="B3628" s="1">
        <v>45809</v>
      </c>
      <c r="C3628" s="2">
        <v>8.3333333333333329E-2</v>
      </c>
      <c r="D3628">
        <v>15.5</v>
      </c>
      <c r="E3628">
        <f>IF($D3628 &gt; 16, 0, $J$3*(16 - $D3628))</f>
        <v>103.8743213503485</v>
      </c>
      <c r="F3628">
        <f>IF($D3628 &gt; 16, 0,$E3628*$J$5)</f>
        <v>1129009.9987569377</v>
      </c>
      <c r="G3628">
        <f t="shared" si="56"/>
        <v>0.5</v>
      </c>
    </row>
    <row r="3629" spans="2:7" x14ac:dyDescent="0.35">
      <c r="B3629" s="1">
        <v>45809</v>
      </c>
      <c r="C3629" s="2">
        <v>0.125</v>
      </c>
      <c r="D3629">
        <v>15.9</v>
      </c>
      <c r="E3629">
        <f>IF($D3629 &gt; 16, 0, $J$3*(16 - $D3629))</f>
        <v>20.774864270069624</v>
      </c>
      <c r="F3629">
        <f>IF($D3629 &gt; 16, 0,$E3629*$J$5)</f>
        <v>225801.99975138676</v>
      </c>
      <c r="G3629">
        <f t="shared" si="56"/>
        <v>9.9999999999999645E-2</v>
      </c>
    </row>
    <row r="3630" spans="2:7" x14ac:dyDescent="0.35">
      <c r="B3630" s="1">
        <v>45809</v>
      </c>
      <c r="C3630" s="2">
        <v>0.16666666666666671</v>
      </c>
      <c r="D3630">
        <v>17</v>
      </c>
      <c r="E3630">
        <f>IF($D3630 &gt; 16, 0, $J$3*(16 - $D3630))</f>
        <v>0</v>
      </c>
      <c r="F3630">
        <f>IF($D3630 &gt; 16, 0,$E3630*$J$5)</f>
        <v>0</v>
      </c>
      <c r="G3630">
        <f t="shared" si="56"/>
        <v>0</v>
      </c>
    </row>
    <row r="3631" spans="2:7" x14ac:dyDescent="0.35">
      <c r="B3631" s="1">
        <v>45809</v>
      </c>
      <c r="C3631" s="2">
        <v>0.20833333333333329</v>
      </c>
      <c r="D3631">
        <v>16.8</v>
      </c>
      <c r="E3631">
        <f>IF($D3631 &gt; 16, 0, $J$3*(16 - $D3631))</f>
        <v>0</v>
      </c>
      <c r="F3631">
        <f>IF($D3631 &gt; 16, 0,$E3631*$J$5)</f>
        <v>0</v>
      </c>
      <c r="G3631">
        <f t="shared" si="56"/>
        <v>0</v>
      </c>
    </row>
    <row r="3632" spans="2:7" x14ac:dyDescent="0.35">
      <c r="B3632" s="1">
        <v>45809</v>
      </c>
      <c r="C3632" s="2">
        <v>0.25</v>
      </c>
      <c r="D3632">
        <v>17.399999999999999</v>
      </c>
      <c r="E3632">
        <f>IF($D3632 &gt; 16, 0, $J$3*(16 - $D3632))</f>
        <v>0</v>
      </c>
      <c r="F3632">
        <f>IF($D3632 &gt; 16, 0,$E3632*$J$5)</f>
        <v>0</v>
      </c>
      <c r="G3632">
        <f t="shared" si="56"/>
        <v>0</v>
      </c>
    </row>
    <row r="3633" spans="2:7" x14ac:dyDescent="0.35">
      <c r="B3633" s="1">
        <v>45809</v>
      </c>
      <c r="C3633" s="2">
        <v>0.29166666666666669</v>
      </c>
      <c r="D3633">
        <v>19.100000000000001</v>
      </c>
      <c r="E3633">
        <f>IF($D3633 &gt; 16, 0, $J$3*(16 - $D3633))</f>
        <v>0</v>
      </c>
      <c r="F3633">
        <f>IF($D3633 &gt; 16, 0,$E3633*$J$5)</f>
        <v>0</v>
      </c>
      <c r="G3633">
        <f t="shared" si="56"/>
        <v>0</v>
      </c>
    </row>
    <row r="3634" spans="2:7" x14ac:dyDescent="0.35">
      <c r="B3634" s="1">
        <v>45809</v>
      </c>
      <c r="C3634" s="2">
        <v>0.33333333333333331</v>
      </c>
      <c r="D3634">
        <v>20.9</v>
      </c>
      <c r="E3634">
        <f>IF($D3634 &gt; 16, 0, $J$3*(16 - $D3634))</f>
        <v>0</v>
      </c>
      <c r="F3634">
        <f>IF($D3634 &gt; 16, 0,$E3634*$J$5)</f>
        <v>0</v>
      </c>
      <c r="G3634">
        <f t="shared" si="56"/>
        <v>0</v>
      </c>
    </row>
    <row r="3635" spans="2:7" x14ac:dyDescent="0.35">
      <c r="B3635" s="1">
        <v>45809</v>
      </c>
      <c r="C3635" s="2">
        <v>0.375</v>
      </c>
      <c r="D3635">
        <v>22.2</v>
      </c>
      <c r="E3635">
        <f>IF($D3635 &gt; 16, 0, $J$3*(16 - $D3635))</f>
        <v>0</v>
      </c>
      <c r="F3635">
        <f>IF($D3635 &gt; 16, 0,$E3635*$J$5)</f>
        <v>0</v>
      </c>
      <c r="G3635">
        <f t="shared" si="56"/>
        <v>0</v>
      </c>
    </row>
    <row r="3636" spans="2:7" x14ac:dyDescent="0.35">
      <c r="B3636" s="1">
        <v>45809</v>
      </c>
      <c r="C3636" s="2">
        <v>0.41666666666666669</v>
      </c>
      <c r="D3636">
        <v>20.2</v>
      </c>
      <c r="E3636">
        <f>IF($D3636 &gt; 16, 0, $J$3*(16 - $D3636))</f>
        <v>0</v>
      </c>
      <c r="F3636">
        <f>IF($D3636 &gt; 16, 0,$E3636*$J$5)</f>
        <v>0</v>
      </c>
      <c r="G3636">
        <f t="shared" si="56"/>
        <v>0</v>
      </c>
    </row>
    <row r="3637" spans="2:7" x14ac:dyDescent="0.35">
      <c r="B3637" s="1">
        <v>45809</v>
      </c>
      <c r="C3637" s="2">
        <v>0.45833333333333331</v>
      </c>
      <c r="D3637">
        <v>21.3</v>
      </c>
      <c r="E3637">
        <f>IF($D3637 &gt; 16, 0, $J$3*(16 - $D3637))</f>
        <v>0</v>
      </c>
      <c r="F3637">
        <f>IF($D3637 &gt; 16, 0,$E3637*$J$5)</f>
        <v>0</v>
      </c>
      <c r="G3637">
        <f t="shared" si="56"/>
        <v>0</v>
      </c>
    </row>
    <row r="3638" spans="2:7" x14ac:dyDescent="0.35">
      <c r="B3638" s="1">
        <v>45809</v>
      </c>
      <c r="C3638" s="2">
        <v>0.5</v>
      </c>
      <c r="D3638">
        <v>22.6</v>
      </c>
      <c r="E3638">
        <f>IF($D3638 &gt; 16, 0, $J$3*(16 - $D3638))</f>
        <v>0</v>
      </c>
      <c r="F3638">
        <f>IF($D3638 &gt; 16, 0,$E3638*$J$5)</f>
        <v>0</v>
      </c>
      <c r="G3638">
        <f t="shared" si="56"/>
        <v>0</v>
      </c>
    </row>
    <row r="3639" spans="2:7" x14ac:dyDescent="0.35">
      <c r="B3639" s="1">
        <v>45809</v>
      </c>
      <c r="C3639" s="2">
        <v>0.54166666666666663</v>
      </c>
      <c r="D3639">
        <v>23</v>
      </c>
      <c r="E3639">
        <f>IF($D3639 &gt; 16, 0, $J$3*(16 - $D3639))</f>
        <v>0</v>
      </c>
      <c r="F3639">
        <f>IF($D3639 &gt; 16, 0,$E3639*$J$5)</f>
        <v>0</v>
      </c>
      <c r="G3639">
        <f t="shared" si="56"/>
        <v>0</v>
      </c>
    </row>
    <row r="3640" spans="2:7" x14ac:dyDescent="0.35">
      <c r="B3640" s="1">
        <v>45809</v>
      </c>
      <c r="C3640" s="2">
        <v>0.58333333333333337</v>
      </c>
      <c r="D3640">
        <v>23.2</v>
      </c>
      <c r="E3640">
        <f>IF($D3640 &gt; 16, 0, $J$3*(16 - $D3640))</f>
        <v>0</v>
      </c>
      <c r="F3640">
        <f>IF($D3640 &gt; 16, 0,$E3640*$J$5)</f>
        <v>0</v>
      </c>
      <c r="G3640">
        <f t="shared" si="56"/>
        <v>0</v>
      </c>
    </row>
    <row r="3641" spans="2:7" x14ac:dyDescent="0.35">
      <c r="B3641" s="1">
        <v>45809</v>
      </c>
      <c r="C3641" s="2">
        <v>0.625</v>
      </c>
      <c r="D3641">
        <v>21.8</v>
      </c>
      <c r="E3641">
        <f>IF($D3641 &gt; 16, 0, $J$3*(16 - $D3641))</f>
        <v>0</v>
      </c>
      <c r="F3641">
        <f>IF($D3641 &gt; 16, 0,$E3641*$J$5)</f>
        <v>0</v>
      </c>
      <c r="G3641">
        <f t="shared" si="56"/>
        <v>0</v>
      </c>
    </row>
    <row r="3642" spans="2:7" x14ac:dyDescent="0.35">
      <c r="B3642" s="1">
        <v>45809</v>
      </c>
      <c r="C3642" s="2">
        <v>0.66666666666666663</v>
      </c>
      <c r="D3642">
        <v>19.100000000000001</v>
      </c>
      <c r="E3642">
        <f>IF($D3642 &gt; 16, 0, $J$3*(16 - $D3642))</f>
        <v>0</v>
      </c>
      <c r="F3642">
        <f>IF($D3642 &gt; 16, 0,$E3642*$J$5)</f>
        <v>0</v>
      </c>
      <c r="G3642">
        <f t="shared" si="56"/>
        <v>0</v>
      </c>
    </row>
    <row r="3643" spans="2:7" x14ac:dyDescent="0.35">
      <c r="B3643" s="1">
        <v>45809</v>
      </c>
      <c r="C3643" s="2">
        <v>0.70833333333333337</v>
      </c>
      <c r="D3643">
        <v>17.3</v>
      </c>
      <c r="E3643">
        <f>IF($D3643 &gt; 16, 0, $J$3*(16 - $D3643))</f>
        <v>0</v>
      </c>
      <c r="F3643">
        <f>IF($D3643 &gt; 16, 0,$E3643*$J$5)</f>
        <v>0</v>
      </c>
      <c r="G3643">
        <f t="shared" si="56"/>
        <v>0</v>
      </c>
    </row>
    <row r="3644" spans="2:7" x14ac:dyDescent="0.35">
      <c r="B3644" s="1">
        <v>45809</v>
      </c>
      <c r="C3644" s="2">
        <v>0.75</v>
      </c>
      <c r="D3644">
        <v>16.399999999999999</v>
      </c>
      <c r="E3644">
        <f>IF($D3644 &gt; 16, 0, $J$3*(16 - $D3644))</f>
        <v>0</v>
      </c>
      <c r="F3644">
        <f>IF($D3644 &gt; 16, 0,$E3644*$J$5)</f>
        <v>0</v>
      </c>
      <c r="G3644">
        <f t="shared" si="56"/>
        <v>0</v>
      </c>
    </row>
    <row r="3645" spans="2:7" x14ac:dyDescent="0.35">
      <c r="B3645" s="1">
        <v>45809</v>
      </c>
      <c r="C3645" s="2">
        <v>0.79166666666666663</v>
      </c>
      <c r="D3645">
        <v>15.4</v>
      </c>
      <c r="E3645">
        <f>IF($D3645 &gt; 16, 0, $J$3*(16 - $D3645))</f>
        <v>124.64918562041812</v>
      </c>
      <c r="F3645">
        <f>IF($D3645 &gt; 16, 0,$E3645*$J$5)</f>
        <v>1354811.9985083246</v>
      </c>
      <c r="G3645">
        <f t="shared" si="56"/>
        <v>0.59999999999999964</v>
      </c>
    </row>
    <row r="3646" spans="2:7" x14ac:dyDescent="0.35">
      <c r="B3646" s="1">
        <v>45809</v>
      </c>
      <c r="C3646" s="2">
        <v>0.83333333333333337</v>
      </c>
      <c r="D3646">
        <v>14.8</v>
      </c>
      <c r="E3646">
        <f>IF($D3646 &gt; 16, 0, $J$3*(16 - $D3646))</f>
        <v>249.29837124083625</v>
      </c>
      <c r="F3646">
        <f>IF($D3646 &gt; 16, 0,$E3646*$J$5)</f>
        <v>2709623.9970166492</v>
      </c>
      <c r="G3646">
        <f t="shared" si="56"/>
        <v>1.1999999999999993</v>
      </c>
    </row>
    <row r="3647" spans="2:7" x14ac:dyDescent="0.35">
      <c r="B3647" s="1">
        <v>45809</v>
      </c>
      <c r="C3647" s="2">
        <v>0.875</v>
      </c>
      <c r="D3647">
        <v>14.3</v>
      </c>
      <c r="E3647">
        <f>IF($D3647 &gt; 16, 0, $J$3*(16 - $D3647))</f>
        <v>353.17269259118473</v>
      </c>
      <c r="F3647">
        <f>IF($D3647 &gt; 16, 0,$E3647*$J$5)</f>
        <v>3838633.9957735869</v>
      </c>
      <c r="G3647">
        <f t="shared" si="56"/>
        <v>1.6999999999999993</v>
      </c>
    </row>
    <row r="3648" spans="2:7" x14ac:dyDescent="0.35">
      <c r="B3648" s="1">
        <v>45809</v>
      </c>
      <c r="C3648" s="2">
        <v>0.91666666666666663</v>
      </c>
      <c r="D3648">
        <v>12.6</v>
      </c>
      <c r="E3648">
        <f>IF($D3648 &gt; 16, 0, $J$3*(16 - $D3648))</f>
        <v>706.3453851823698</v>
      </c>
      <c r="F3648">
        <f>IF($D3648 &gt; 16, 0,$E3648*$J$5)</f>
        <v>7677267.9915471775</v>
      </c>
      <c r="G3648">
        <f t="shared" si="56"/>
        <v>3.4000000000000004</v>
      </c>
    </row>
    <row r="3649" spans="2:7" x14ac:dyDescent="0.35">
      <c r="B3649" s="1">
        <v>45809</v>
      </c>
      <c r="C3649" s="2">
        <v>0.95833333333333337</v>
      </c>
      <c r="D3649">
        <v>11.3</v>
      </c>
      <c r="E3649">
        <f>IF($D3649 &gt; 16, 0, $J$3*(16 - $D3649))</f>
        <v>976.41862069327567</v>
      </c>
      <c r="F3649">
        <f>IF($D3649 &gt; 16, 0,$E3649*$J$5)</f>
        <v>10612693.988315213</v>
      </c>
      <c r="G3649">
        <f t="shared" si="56"/>
        <v>4.6999999999999993</v>
      </c>
    </row>
    <row r="3650" spans="2:7" x14ac:dyDescent="0.35">
      <c r="B3650" s="1">
        <v>45810</v>
      </c>
      <c r="C3650" s="2">
        <v>0</v>
      </c>
      <c r="D3650">
        <v>11</v>
      </c>
      <c r="E3650">
        <f>IF($D3650 &gt; 16, 0, $J$3*(16 - $D3650))</f>
        <v>1038.7432135034849</v>
      </c>
      <c r="F3650">
        <f>IF($D3650 &gt; 16, 0,$E3650*$J$5)</f>
        <v>11290099.987569377</v>
      </c>
      <c r="G3650">
        <f t="shared" si="56"/>
        <v>5</v>
      </c>
    </row>
    <row r="3651" spans="2:7" x14ac:dyDescent="0.35">
      <c r="B3651" s="1">
        <v>45810</v>
      </c>
      <c r="C3651" s="2">
        <v>4.1666666666666657E-2</v>
      </c>
      <c r="D3651">
        <v>10.9</v>
      </c>
      <c r="E3651">
        <f>IF($D3651 &gt; 16, 0, $J$3*(16 - $D3651))</f>
        <v>1059.5180777735545</v>
      </c>
      <c r="F3651">
        <f>IF($D3651 &gt; 16, 0,$E3651*$J$5)</f>
        <v>11515901.987320764</v>
      </c>
      <c r="G3651">
        <f t="shared" ref="G3651:G3714" si="57">MAX(0, 16 - $D3651)</f>
        <v>5.0999999999999996</v>
      </c>
    </row>
    <row r="3652" spans="2:7" x14ac:dyDescent="0.35">
      <c r="B3652" s="1">
        <v>45810</v>
      </c>
      <c r="C3652" s="2">
        <v>8.3333333333333329E-2</v>
      </c>
      <c r="D3652">
        <v>10.6</v>
      </c>
      <c r="E3652">
        <f>IF($D3652 &gt; 16, 0, $J$3*(16 - $D3652))</f>
        <v>1121.8426705837637</v>
      </c>
      <c r="F3652">
        <f>IF($D3652 &gt; 16, 0,$E3652*$J$5)</f>
        <v>12193307.986574927</v>
      </c>
      <c r="G3652">
        <f t="shared" si="57"/>
        <v>5.4</v>
      </c>
    </row>
    <row r="3653" spans="2:7" x14ac:dyDescent="0.35">
      <c r="B3653" s="1">
        <v>45810</v>
      </c>
      <c r="C3653" s="2">
        <v>0.125</v>
      </c>
      <c r="D3653">
        <v>10.8</v>
      </c>
      <c r="E3653">
        <f>IF($D3653 &gt; 16, 0, $J$3*(16 - $D3653))</f>
        <v>1080.2929420436242</v>
      </c>
      <c r="F3653">
        <f>IF($D3653 &gt; 16, 0,$E3653*$J$5)</f>
        <v>11741703.987072151</v>
      </c>
      <c r="G3653">
        <f t="shared" si="57"/>
        <v>5.1999999999999993</v>
      </c>
    </row>
    <row r="3654" spans="2:7" x14ac:dyDescent="0.35">
      <c r="B3654" s="1">
        <v>45810</v>
      </c>
      <c r="C3654" s="2">
        <v>0.16666666666666671</v>
      </c>
      <c r="D3654">
        <v>10.7</v>
      </c>
      <c r="E3654">
        <f>IF($D3654 &gt; 16, 0, $J$3*(16 - $D3654))</f>
        <v>1101.0678063136943</v>
      </c>
      <c r="F3654">
        <f>IF($D3654 &gt; 16, 0,$E3654*$J$5)</f>
        <v>11967505.986823544</v>
      </c>
      <c r="G3654">
        <f t="shared" si="57"/>
        <v>5.3000000000000007</v>
      </c>
    </row>
    <row r="3655" spans="2:7" x14ac:dyDescent="0.35">
      <c r="B3655" s="1">
        <v>45810</v>
      </c>
      <c r="C3655" s="2">
        <v>0.20833333333333329</v>
      </c>
      <c r="D3655">
        <v>12.4</v>
      </c>
      <c r="E3655">
        <f>IF($D3655 &gt; 16, 0, $J$3*(16 - $D3655))</f>
        <v>747.89511372250911</v>
      </c>
      <c r="F3655">
        <f>IF($D3655 &gt; 16, 0,$E3655*$J$5)</f>
        <v>8128871.9910499519</v>
      </c>
      <c r="G3655">
        <f t="shared" si="57"/>
        <v>3.5999999999999996</v>
      </c>
    </row>
    <row r="3656" spans="2:7" x14ac:dyDescent="0.35">
      <c r="B3656" s="1">
        <v>45810</v>
      </c>
      <c r="C3656" s="2">
        <v>0.25</v>
      </c>
      <c r="D3656">
        <v>14.6</v>
      </c>
      <c r="E3656">
        <f>IF($D3656 &gt; 16, 0, $J$3*(16 - $D3656))</f>
        <v>290.84809978097587</v>
      </c>
      <c r="F3656">
        <f>IF($D3656 &gt; 16, 0,$E3656*$J$5)</f>
        <v>3161227.9965194268</v>
      </c>
      <c r="G3656">
        <f t="shared" si="57"/>
        <v>1.4000000000000004</v>
      </c>
    </row>
    <row r="3657" spans="2:7" x14ac:dyDescent="0.35">
      <c r="B3657" s="1">
        <v>45810</v>
      </c>
      <c r="C3657" s="2">
        <v>0.29166666666666669</v>
      </c>
      <c r="D3657">
        <v>16.399999999999999</v>
      </c>
      <c r="E3657">
        <f>IF($D3657 &gt; 16, 0, $J$3*(16 - $D3657))</f>
        <v>0</v>
      </c>
      <c r="F3657">
        <f>IF($D3657 &gt; 16, 0,$E3657*$J$5)</f>
        <v>0</v>
      </c>
      <c r="G3657">
        <f t="shared" si="57"/>
        <v>0</v>
      </c>
    </row>
    <row r="3658" spans="2:7" x14ac:dyDescent="0.35">
      <c r="B3658" s="1">
        <v>45810</v>
      </c>
      <c r="C3658" s="2">
        <v>0.33333333333333331</v>
      </c>
      <c r="D3658">
        <v>17</v>
      </c>
      <c r="E3658">
        <f>IF($D3658 &gt; 16, 0, $J$3*(16 - $D3658))</f>
        <v>0</v>
      </c>
      <c r="F3658">
        <f>IF($D3658 &gt; 16, 0,$E3658*$J$5)</f>
        <v>0</v>
      </c>
      <c r="G3658">
        <f t="shared" si="57"/>
        <v>0</v>
      </c>
    </row>
    <row r="3659" spans="2:7" x14ac:dyDescent="0.35">
      <c r="B3659" s="1">
        <v>45810</v>
      </c>
      <c r="C3659" s="2">
        <v>0.375</v>
      </c>
      <c r="D3659">
        <v>18.5</v>
      </c>
      <c r="E3659">
        <f>IF($D3659 &gt; 16, 0, $J$3*(16 - $D3659))</f>
        <v>0</v>
      </c>
      <c r="F3659">
        <f>IF($D3659 &gt; 16, 0,$E3659*$J$5)</f>
        <v>0</v>
      </c>
      <c r="G3659">
        <f t="shared" si="57"/>
        <v>0</v>
      </c>
    </row>
    <row r="3660" spans="2:7" x14ac:dyDescent="0.35">
      <c r="B3660" s="1">
        <v>45810</v>
      </c>
      <c r="C3660" s="2">
        <v>0.41666666666666669</v>
      </c>
      <c r="D3660">
        <v>19.399999999999999</v>
      </c>
      <c r="E3660">
        <f>IF($D3660 &gt; 16, 0, $J$3*(16 - $D3660))</f>
        <v>0</v>
      </c>
      <c r="F3660">
        <f>IF($D3660 &gt; 16, 0,$E3660*$J$5)</f>
        <v>0</v>
      </c>
      <c r="G3660">
        <f t="shared" si="57"/>
        <v>0</v>
      </c>
    </row>
    <row r="3661" spans="2:7" x14ac:dyDescent="0.35">
      <c r="B3661" s="1">
        <v>45810</v>
      </c>
      <c r="C3661" s="2">
        <v>0.45833333333333331</v>
      </c>
      <c r="D3661">
        <v>19.2</v>
      </c>
      <c r="E3661">
        <f>IF($D3661 &gt; 16, 0, $J$3*(16 - $D3661))</f>
        <v>0</v>
      </c>
      <c r="F3661">
        <f>IF($D3661 &gt; 16, 0,$E3661*$J$5)</f>
        <v>0</v>
      </c>
      <c r="G3661">
        <f t="shared" si="57"/>
        <v>0</v>
      </c>
    </row>
    <row r="3662" spans="2:7" x14ac:dyDescent="0.35">
      <c r="B3662" s="1">
        <v>45810</v>
      </c>
      <c r="C3662" s="2">
        <v>0.5</v>
      </c>
      <c r="D3662">
        <v>19.5</v>
      </c>
      <c r="E3662">
        <f>IF($D3662 &gt; 16, 0, $J$3*(16 - $D3662))</f>
        <v>0</v>
      </c>
      <c r="F3662">
        <f>IF($D3662 &gt; 16, 0,$E3662*$J$5)</f>
        <v>0</v>
      </c>
      <c r="G3662">
        <f t="shared" si="57"/>
        <v>0</v>
      </c>
    </row>
    <row r="3663" spans="2:7" x14ac:dyDescent="0.35">
      <c r="B3663" s="1">
        <v>45810</v>
      </c>
      <c r="C3663" s="2">
        <v>0.54166666666666663</v>
      </c>
      <c r="D3663">
        <v>13.7</v>
      </c>
      <c r="E3663">
        <f>IF($D3663 &gt; 16, 0, $J$3*(16 - $D3663))</f>
        <v>477.82187821160323</v>
      </c>
      <c r="F3663">
        <f>IF($D3663 &gt; 16, 0,$E3663*$J$5)</f>
        <v>5193445.9942819159</v>
      </c>
      <c r="G3663">
        <f t="shared" si="57"/>
        <v>2.3000000000000007</v>
      </c>
    </row>
    <row r="3664" spans="2:7" x14ac:dyDescent="0.35">
      <c r="B3664" s="1">
        <v>45810</v>
      </c>
      <c r="C3664" s="2">
        <v>0.58333333333333337</v>
      </c>
      <c r="D3664">
        <v>15.1</v>
      </c>
      <c r="E3664">
        <f>IF($D3664 &gt; 16, 0, $J$3*(16 - $D3664))</f>
        <v>186.97377843062736</v>
      </c>
      <c r="F3664">
        <f>IF($D3664 &gt; 16, 0,$E3664*$J$5)</f>
        <v>2032217.9977624889</v>
      </c>
      <c r="G3664">
        <f t="shared" si="57"/>
        <v>0.90000000000000036</v>
      </c>
    </row>
    <row r="3665" spans="2:7" x14ac:dyDescent="0.35">
      <c r="B3665" s="1">
        <v>45810</v>
      </c>
      <c r="C3665" s="2">
        <v>0.625</v>
      </c>
      <c r="D3665">
        <v>17.2</v>
      </c>
      <c r="E3665">
        <f>IF($D3665 &gt; 16, 0, $J$3*(16 - $D3665))</f>
        <v>0</v>
      </c>
      <c r="F3665">
        <f>IF($D3665 &gt; 16, 0,$E3665*$J$5)</f>
        <v>0</v>
      </c>
      <c r="G3665">
        <f t="shared" si="57"/>
        <v>0</v>
      </c>
    </row>
    <row r="3666" spans="2:7" x14ac:dyDescent="0.35">
      <c r="B3666" s="1">
        <v>45810</v>
      </c>
      <c r="C3666" s="2">
        <v>0.66666666666666663</v>
      </c>
      <c r="D3666">
        <v>17.100000000000001</v>
      </c>
      <c r="E3666">
        <f>IF($D3666 &gt; 16, 0, $J$3*(16 - $D3666))</f>
        <v>0</v>
      </c>
      <c r="F3666">
        <f>IF($D3666 &gt; 16, 0,$E3666*$J$5)</f>
        <v>0</v>
      </c>
      <c r="G3666">
        <f t="shared" si="57"/>
        <v>0</v>
      </c>
    </row>
    <row r="3667" spans="2:7" x14ac:dyDescent="0.35">
      <c r="B3667" s="1">
        <v>45810</v>
      </c>
      <c r="C3667" s="2">
        <v>0.70833333333333337</v>
      </c>
      <c r="D3667">
        <v>16.399999999999999</v>
      </c>
      <c r="E3667">
        <f>IF($D3667 &gt; 16, 0, $J$3*(16 - $D3667))</f>
        <v>0</v>
      </c>
      <c r="F3667">
        <f>IF($D3667 &gt; 16, 0,$E3667*$J$5)</f>
        <v>0</v>
      </c>
      <c r="G3667">
        <f t="shared" si="57"/>
        <v>0</v>
      </c>
    </row>
    <row r="3668" spans="2:7" x14ac:dyDescent="0.35">
      <c r="B3668" s="1">
        <v>45810</v>
      </c>
      <c r="C3668" s="2">
        <v>0.75</v>
      </c>
      <c r="D3668">
        <v>16.7</v>
      </c>
      <c r="E3668">
        <f>IF($D3668 &gt; 16, 0, $J$3*(16 - $D3668))</f>
        <v>0</v>
      </c>
      <c r="F3668">
        <f>IF($D3668 &gt; 16, 0,$E3668*$J$5)</f>
        <v>0</v>
      </c>
      <c r="G3668">
        <f t="shared" si="57"/>
        <v>0</v>
      </c>
    </row>
    <row r="3669" spans="2:7" x14ac:dyDescent="0.35">
      <c r="B3669" s="1">
        <v>45810</v>
      </c>
      <c r="C3669" s="2">
        <v>0.79166666666666663</v>
      </c>
      <c r="D3669">
        <v>15.2</v>
      </c>
      <c r="E3669">
        <f>IF($D3669 &gt; 16, 0, $J$3*(16 - $D3669))</f>
        <v>166.19891416055773</v>
      </c>
      <c r="F3669">
        <f>IF($D3669 &gt; 16, 0,$E3669*$J$5)</f>
        <v>1806415.998011102</v>
      </c>
      <c r="G3669">
        <f t="shared" si="57"/>
        <v>0.80000000000000071</v>
      </c>
    </row>
    <row r="3670" spans="2:7" x14ac:dyDescent="0.35">
      <c r="B3670" s="1">
        <v>45810</v>
      </c>
      <c r="C3670" s="2">
        <v>0.83333333333333337</v>
      </c>
      <c r="D3670">
        <v>13.9</v>
      </c>
      <c r="E3670">
        <f>IF($D3670 &gt; 16, 0, $J$3*(16 - $D3670))</f>
        <v>436.27214967146358</v>
      </c>
      <c r="F3670">
        <f>IF($D3670 &gt; 16, 0,$E3670*$J$5)</f>
        <v>4741841.9947791379</v>
      </c>
      <c r="G3670">
        <f t="shared" si="57"/>
        <v>2.0999999999999996</v>
      </c>
    </row>
    <row r="3671" spans="2:7" x14ac:dyDescent="0.35">
      <c r="B3671" s="1">
        <v>45810</v>
      </c>
      <c r="C3671" s="2">
        <v>0.875</v>
      </c>
      <c r="D3671">
        <v>12.4</v>
      </c>
      <c r="E3671">
        <f>IF($D3671 &gt; 16, 0, $J$3*(16 - $D3671))</f>
        <v>747.89511372250911</v>
      </c>
      <c r="F3671">
        <f>IF($D3671 &gt; 16, 0,$E3671*$J$5)</f>
        <v>8128871.9910499519</v>
      </c>
      <c r="G3671">
        <f t="shared" si="57"/>
        <v>3.5999999999999996</v>
      </c>
    </row>
    <row r="3672" spans="2:7" x14ac:dyDescent="0.35">
      <c r="B3672" s="1">
        <v>45810</v>
      </c>
      <c r="C3672" s="2">
        <v>0.91666666666666663</v>
      </c>
      <c r="D3672">
        <v>11.4</v>
      </c>
      <c r="E3672">
        <f>IF($D3672 &gt; 16, 0, $J$3*(16 - $D3672))</f>
        <v>955.64375642320613</v>
      </c>
      <c r="F3672">
        <f>IF($D3672 &gt; 16, 0,$E3672*$J$5)</f>
        <v>10386891.988563828</v>
      </c>
      <c r="G3672">
        <f t="shared" si="57"/>
        <v>4.5999999999999996</v>
      </c>
    </row>
    <row r="3673" spans="2:7" x14ac:dyDescent="0.35">
      <c r="B3673" s="1">
        <v>45810</v>
      </c>
      <c r="C3673" s="2">
        <v>0.95833333333333337</v>
      </c>
      <c r="D3673">
        <v>10.3</v>
      </c>
      <c r="E3673">
        <f>IF($D3673 &gt; 16, 0, $J$3*(16 - $D3673))</f>
        <v>1184.1672633939727</v>
      </c>
      <c r="F3673">
        <f>IF($D3673 &gt; 16, 0,$E3673*$J$5)</f>
        <v>12870713.985829089</v>
      </c>
      <c r="G3673">
        <f t="shared" si="57"/>
        <v>5.6999999999999993</v>
      </c>
    </row>
    <row r="3674" spans="2:7" x14ac:dyDescent="0.35">
      <c r="B3674" s="1">
        <v>45811</v>
      </c>
      <c r="C3674" s="2">
        <v>0</v>
      </c>
      <c r="D3674">
        <v>9.9</v>
      </c>
      <c r="E3674">
        <f>IF($D3674 &gt; 16, 0, $J$3*(16 - $D3674))</f>
        <v>1267.2667204742515</v>
      </c>
      <c r="F3674">
        <f>IF($D3674 &gt; 16, 0,$E3674*$J$5)</f>
        <v>13773921.984834639</v>
      </c>
      <c r="G3674">
        <f t="shared" si="57"/>
        <v>6.1</v>
      </c>
    </row>
    <row r="3675" spans="2:7" x14ac:dyDescent="0.35">
      <c r="B3675" s="1">
        <v>45811</v>
      </c>
      <c r="C3675" s="2">
        <v>4.1666666666666657E-2</v>
      </c>
      <c r="D3675">
        <v>9.3000000000000007</v>
      </c>
      <c r="E3675">
        <f>IF($D3675 &gt; 16, 0, $J$3*(16 - $D3675))</f>
        <v>1391.9159060946697</v>
      </c>
      <c r="F3675">
        <f>IF($D3675 &gt; 16, 0,$E3675*$J$5)</f>
        <v>15128733.983342964</v>
      </c>
      <c r="G3675">
        <f t="shared" si="57"/>
        <v>6.6999999999999993</v>
      </c>
    </row>
    <row r="3676" spans="2:7" x14ac:dyDescent="0.35">
      <c r="B3676" s="1">
        <v>45811</v>
      </c>
      <c r="C3676" s="2">
        <v>8.3333333333333329E-2</v>
      </c>
      <c r="D3676">
        <v>8.8000000000000007</v>
      </c>
      <c r="E3676">
        <f>IF($D3676 &gt; 16, 0, $J$3*(16 - $D3676))</f>
        <v>1495.7902274450182</v>
      </c>
      <c r="F3676">
        <f>IF($D3676 &gt; 16, 0,$E3676*$J$5)</f>
        <v>16257743.982099904</v>
      </c>
      <c r="G3676">
        <f t="shared" si="57"/>
        <v>7.1999999999999993</v>
      </c>
    </row>
    <row r="3677" spans="2:7" x14ac:dyDescent="0.35">
      <c r="B3677" s="1">
        <v>45811</v>
      </c>
      <c r="C3677" s="2">
        <v>0.125</v>
      </c>
      <c r="D3677">
        <v>7.6</v>
      </c>
      <c r="E3677">
        <f>IF($D3677 &gt; 16, 0, $J$3*(16 - $D3677))</f>
        <v>1745.0885986858548</v>
      </c>
      <c r="F3677">
        <f>IF($D3677 &gt; 16, 0,$E3677*$J$5)</f>
        <v>18967367.979116555</v>
      </c>
      <c r="G3677">
        <f t="shared" si="57"/>
        <v>8.4</v>
      </c>
    </row>
    <row r="3678" spans="2:7" x14ac:dyDescent="0.35">
      <c r="B3678" s="1">
        <v>45811</v>
      </c>
      <c r="C3678" s="2">
        <v>0.16666666666666671</v>
      </c>
      <c r="D3678">
        <v>8.3000000000000007</v>
      </c>
      <c r="E3678">
        <f>IF($D3678 &gt; 16, 0, $J$3*(16 - $D3678))</f>
        <v>1599.6645487953667</v>
      </c>
      <c r="F3678">
        <f>IF($D3678 &gt; 16, 0,$E3678*$J$5)</f>
        <v>17386753.98085684</v>
      </c>
      <c r="G3678">
        <f t="shared" si="57"/>
        <v>7.6999999999999993</v>
      </c>
    </row>
    <row r="3679" spans="2:7" x14ac:dyDescent="0.35">
      <c r="B3679" s="1">
        <v>45811</v>
      </c>
      <c r="C3679" s="2">
        <v>0.20833333333333329</v>
      </c>
      <c r="D3679">
        <v>11.1</v>
      </c>
      <c r="E3679">
        <f>IF($D3679 &gt; 16, 0, $J$3*(16 - $D3679))</f>
        <v>1017.9683492334153</v>
      </c>
      <c r="F3679">
        <f>IF($D3679 &gt; 16, 0,$E3679*$J$5)</f>
        <v>11064297.987817992</v>
      </c>
      <c r="G3679">
        <f t="shared" si="57"/>
        <v>4.9000000000000004</v>
      </c>
    </row>
    <row r="3680" spans="2:7" x14ac:dyDescent="0.35">
      <c r="B3680" s="1">
        <v>45811</v>
      </c>
      <c r="C3680" s="2">
        <v>0.25</v>
      </c>
      <c r="D3680">
        <v>13</v>
      </c>
      <c r="E3680">
        <f>IF($D3680 &gt; 16, 0, $J$3*(16 - $D3680))</f>
        <v>623.24592810209094</v>
      </c>
      <c r="F3680">
        <f>IF($D3680 &gt; 16, 0,$E3680*$J$5)</f>
        <v>6774059.9925416261</v>
      </c>
      <c r="G3680">
        <f t="shared" si="57"/>
        <v>3</v>
      </c>
    </row>
    <row r="3681" spans="2:7" x14ac:dyDescent="0.35">
      <c r="B3681" s="1">
        <v>45811</v>
      </c>
      <c r="C3681" s="2">
        <v>0.29166666666666669</v>
      </c>
      <c r="D3681">
        <v>14.4</v>
      </c>
      <c r="E3681">
        <f>IF($D3681 &gt; 16, 0, $J$3*(16 - $D3681))</f>
        <v>332.39782832111513</v>
      </c>
      <c r="F3681">
        <f>IF($D3681 &gt; 16, 0,$E3681*$J$5)</f>
        <v>3612831.9960222002</v>
      </c>
      <c r="G3681">
        <f t="shared" si="57"/>
        <v>1.5999999999999996</v>
      </c>
    </row>
    <row r="3682" spans="2:7" x14ac:dyDescent="0.35">
      <c r="B3682" s="1">
        <v>45811</v>
      </c>
      <c r="C3682" s="2">
        <v>0.33333333333333331</v>
      </c>
      <c r="D3682">
        <v>16</v>
      </c>
      <c r="E3682">
        <f>IF($D3682 &gt; 16, 0, $J$3*(16 - $D3682))</f>
        <v>0</v>
      </c>
      <c r="F3682">
        <f>IF($D3682 &gt; 16, 0,$E3682*$J$5)</f>
        <v>0</v>
      </c>
      <c r="G3682">
        <f t="shared" si="57"/>
        <v>0</v>
      </c>
    </row>
    <row r="3683" spans="2:7" x14ac:dyDescent="0.35">
      <c r="B3683" s="1">
        <v>45811</v>
      </c>
      <c r="C3683" s="2">
        <v>0.375</v>
      </c>
      <c r="D3683">
        <v>17.8</v>
      </c>
      <c r="E3683">
        <f>IF($D3683 &gt; 16, 0, $J$3*(16 - $D3683))</f>
        <v>0</v>
      </c>
      <c r="F3683">
        <f>IF($D3683 &gt; 16, 0,$E3683*$J$5)</f>
        <v>0</v>
      </c>
      <c r="G3683">
        <f t="shared" si="57"/>
        <v>0</v>
      </c>
    </row>
    <row r="3684" spans="2:7" x14ac:dyDescent="0.35">
      <c r="B3684" s="1">
        <v>45811</v>
      </c>
      <c r="C3684" s="2">
        <v>0.41666666666666669</v>
      </c>
      <c r="D3684">
        <v>18.899999999999999</v>
      </c>
      <c r="E3684">
        <f>IF($D3684 &gt; 16, 0, $J$3*(16 - $D3684))</f>
        <v>0</v>
      </c>
      <c r="F3684">
        <f>IF($D3684 &gt; 16, 0,$E3684*$J$5)</f>
        <v>0</v>
      </c>
      <c r="G3684">
        <f t="shared" si="57"/>
        <v>0</v>
      </c>
    </row>
    <row r="3685" spans="2:7" x14ac:dyDescent="0.35">
      <c r="B3685" s="1">
        <v>45811</v>
      </c>
      <c r="C3685" s="2">
        <v>0.45833333333333331</v>
      </c>
      <c r="D3685">
        <v>19.899999999999999</v>
      </c>
      <c r="E3685">
        <f>IF($D3685 &gt; 16, 0, $J$3*(16 - $D3685))</f>
        <v>0</v>
      </c>
      <c r="F3685">
        <f>IF($D3685 &gt; 16, 0,$E3685*$J$5)</f>
        <v>0</v>
      </c>
      <c r="G3685">
        <f t="shared" si="57"/>
        <v>0</v>
      </c>
    </row>
    <row r="3686" spans="2:7" x14ac:dyDescent="0.35">
      <c r="B3686" s="1">
        <v>45811</v>
      </c>
      <c r="C3686" s="2">
        <v>0.5</v>
      </c>
      <c r="D3686">
        <v>21.1</v>
      </c>
      <c r="E3686">
        <f>IF($D3686 &gt; 16, 0, $J$3*(16 - $D3686))</f>
        <v>0</v>
      </c>
      <c r="F3686">
        <f>IF($D3686 &gt; 16, 0,$E3686*$J$5)</f>
        <v>0</v>
      </c>
      <c r="G3686">
        <f t="shared" si="57"/>
        <v>0</v>
      </c>
    </row>
    <row r="3687" spans="2:7" x14ac:dyDescent="0.35">
      <c r="B3687" s="1">
        <v>45811</v>
      </c>
      <c r="C3687" s="2">
        <v>0.54166666666666663</v>
      </c>
      <c r="D3687">
        <v>21.5</v>
      </c>
      <c r="E3687">
        <f>IF($D3687 &gt; 16, 0, $J$3*(16 - $D3687))</f>
        <v>0</v>
      </c>
      <c r="F3687">
        <f>IF($D3687 &gt; 16, 0,$E3687*$J$5)</f>
        <v>0</v>
      </c>
      <c r="G3687">
        <f t="shared" si="57"/>
        <v>0</v>
      </c>
    </row>
    <row r="3688" spans="2:7" x14ac:dyDescent="0.35">
      <c r="B3688" s="1">
        <v>45811</v>
      </c>
      <c r="C3688" s="2">
        <v>0.58333333333333337</v>
      </c>
      <c r="D3688">
        <v>21.5</v>
      </c>
      <c r="E3688">
        <f>IF($D3688 &gt; 16, 0, $J$3*(16 - $D3688))</f>
        <v>0</v>
      </c>
      <c r="F3688">
        <f>IF($D3688 &gt; 16, 0,$E3688*$J$5)</f>
        <v>0</v>
      </c>
      <c r="G3688">
        <f t="shared" si="57"/>
        <v>0</v>
      </c>
    </row>
    <row r="3689" spans="2:7" x14ac:dyDescent="0.35">
      <c r="B3689" s="1">
        <v>45811</v>
      </c>
      <c r="C3689" s="2">
        <v>0.625</v>
      </c>
      <c r="D3689">
        <v>21.5</v>
      </c>
      <c r="E3689">
        <f>IF($D3689 &gt; 16, 0, $J$3*(16 - $D3689))</f>
        <v>0</v>
      </c>
      <c r="F3689">
        <f>IF($D3689 &gt; 16, 0,$E3689*$J$5)</f>
        <v>0</v>
      </c>
      <c r="G3689">
        <f t="shared" si="57"/>
        <v>0</v>
      </c>
    </row>
    <row r="3690" spans="2:7" x14ac:dyDescent="0.35">
      <c r="B3690" s="1">
        <v>45811</v>
      </c>
      <c r="C3690" s="2">
        <v>0.66666666666666663</v>
      </c>
      <c r="D3690">
        <v>22.2</v>
      </c>
      <c r="E3690">
        <f>IF($D3690 &gt; 16, 0, $J$3*(16 - $D3690))</f>
        <v>0</v>
      </c>
      <c r="F3690">
        <f>IF($D3690 &gt; 16, 0,$E3690*$J$5)</f>
        <v>0</v>
      </c>
      <c r="G3690">
        <f t="shared" si="57"/>
        <v>0</v>
      </c>
    </row>
    <row r="3691" spans="2:7" x14ac:dyDescent="0.35">
      <c r="B3691" s="1">
        <v>45811</v>
      </c>
      <c r="C3691" s="2">
        <v>0.70833333333333337</v>
      </c>
      <c r="D3691">
        <v>21.8</v>
      </c>
      <c r="E3691">
        <f>IF($D3691 &gt; 16, 0, $J$3*(16 - $D3691))</f>
        <v>0</v>
      </c>
      <c r="F3691">
        <f>IF($D3691 &gt; 16, 0,$E3691*$J$5)</f>
        <v>0</v>
      </c>
      <c r="G3691">
        <f t="shared" si="57"/>
        <v>0</v>
      </c>
    </row>
    <row r="3692" spans="2:7" x14ac:dyDescent="0.35">
      <c r="B3692" s="1">
        <v>45811</v>
      </c>
      <c r="C3692" s="2">
        <v>0.75</v>
      </c>
      <c r="D3692">
        <v>21.1</v>
      </c>
      <c r="E3692">
        <f>IF($D3692 &gt; 16, 0, $J$3*(16 - $D3692))</f>
        <v>0</v>
      </c>
      <c r="F3692">
        <f>IF($D3692 &gt; 16, 0,$E3692*$J$5)</f>
        <v>0</v>
      </c>
      <c r="G3692">
        <f t="shared" si="57"/>
        <v>0</v>
      </c>
    </row>
    <row r="3693" spans="2:7" x14ac:dyDescent="0.35">
      <c r="B3693" s="1">
        <v>45811</v>
      </c>
      <c r="C3693" s="2">
        <v>0.79166666666666663</v>
      </c>
      <c r="D3693">
        <v>19.5</v>
      </c>
      <c r="E3693">
        <f>IF($D3693 &gt; 16, 0, $J$3*(16 - $D3693))</f>
        <v>0</v>
      </c>
      <c r="F3693">
        <f>IF($D3693 &gt; 16, 0,$E3693*$J$5)</f>
        <v>0</v>
      </c>
      <c r="G3693">
        <f t="shared" si="57"/>
        <v>0</v>
      </c>
    </row>
    <row r="3694" spans="2:7" x14ac:dyDescent="0.35">
      <c r="B3694" s="1">
        <v>45811</v>
      </c>
      <c r="C3694" s="2">
        <v>0.83333333333333337</v>
      </c>
      <c r="D3694">
        <v>18.100000000000001</v>
      </c>
      <c r="E3694">
        <f>IF($D3694 &gt; 16, 0, $J$3*(16 - $D3694))</f>
        <v>0</v>
      </c>
      <c r="F3694">
        <f>IF($D3694 &gt; 16, 0,$E3694*$J$5)</f>
        <v>0</v>
      </c>
      <c r="G3694">
        <f t="shared" si="57"/>
        <v>0</v>
      </c>
    </row>
    <row r="3695" spans="2:7" x14ac:dyDescent="0.35">
      <c r="B3695" s="1">
        <v>45811</v>
      </c>
      <c r="C3695" s="2">
        <v>0.875</v>
      </c>
      <c r="D3695">
        <v>18.3</v>
      </c>
      <c r="E3695">
        <f>IF($D3695 &gt; 16, 0, $J$3*(16 - $D3695))</f>
        <v>0</v>
      </c>
      <c r="F3695">
        <f>IF($D3695 &gt; 16, 0,$E3695*$J$5)</f>
        <v>0</v>
      </c>
      <c r="G3695">
        <f t="shared" si="57"/>
        <v>0</v>
      </c>
    </row>
    <row r="3696" spans="2:7" x14ac:dyDescent="0.35">
      <c r="B3696" s="1">
        <v>45811</v>
      </c>
      <c r="C3696" s="2">
        <v>0.91666666666666663</v>
      </c>
      <c r="D3696">
        <v>18.7</v>
      </c>
      <c r="E3696">
        <f>IF($D3696 &gt; 16, 0, $J$3*(16 - $D3696))</f>
        <v>0</v>
      </c>
      <c r="F3696">
        <f>IF($D3696 &gt; 16, 0,$E3696*$J$5)</f>
        <v>0</v>
      </c>
      <c r="G3696">
        <f t="shared" si="57"/>
        <v>0</v>
      </c>
    </row>
    <row r="3697" spans="2:7" x14ac:dyDescent="0.35">
      <c r="B3697" s="1">
        <v>45811</v>
      </c>
      <c r="C3697" s="2">
        <v>0.95833333333333337</v>
      </c>
      <c r="D3697">
        <v>17.8</v>
      </c>
      <c r="E3697">
        <f>IF($D3697 &gt; 16, 0, $J$3*(16 - $D3697))</f>
        <v>0</v>
      </c>
      <c r="F3697">
        <f>IF($D3697 &gt; 16, 0,$E3697*$J$5)</f>
        <v>0</v>
      </c>
      <c r="G3697">
        <f t="shared" si="57"/>
        <v>0</v>
      </c>
    </row>
    <row r="3698" spans="2:7" x14ac:dyDescent="0.35">
      <c r="B3698" s="1">
        <v>45812</v>
      </c>
      <c r="C3698" s="2">
        <v>0</v>
      </c>
      <c r="D3698">
        <v>17.2</v>
      </c>
      <c r="E3698">
        <f>IF($D3698 &gt; 16, 0, $J$3*(16 - $D3698))</f>
        <v>0</v>
      </c>
      <c r="F3698">
        <f>IF($D3698 &gt; 16, 0,$E3698*$J$5)</f>
        <v>0</v>
      </c>
      <c r="G3698">
        <f t="shared" si="57"/>
        <v>0</v>
      </c>
    </row>
    <row r="3699" spans="2:7" x14ac:dyDescent="0.35">
      <c r="B3699" s="1">
        <v>45812</v>
      </c>
      <c r="C3699" s="2">
        <v>4.1666666666666657E-2</v>
      </c>
      <c r="D3699">
        <v>15.7</v>
      </c>
      <c r="E3699">
        <f>IF($D3699 &gt; 16, 0, $J$3*(16 - $D3699))</f>
        <v>62.324592810209246</v>
      </c>
      <c r="F3699">
        <f>IF($D3699 &gt; 16, 0,$E3699*$J$5)</f>
        <v>677405.99925416429</v>
      </c>
      <c r="G3699">
        <f t="shared" si="57"/>
        <v>0.30000000000000071</v>
      </c>
    </row>
    <row r="3700" spans="2:7" x14ac:dyDescent="0.35">
      <c r="B3700" s="1">
        <v>45812</v>
      </c>
      <c r="C3700" s="2">
        <v>8.3333333333333329E-2</v>
      </c>
      <c r="D3700">
        <v>15.6</v>
      </c>
      <c r="E3700">
        <f>IF($D3700 &gt; 16, 0, $J$3*(16 - $D3700))</f>
        <v>83.099457080278867</v>
      </c>
      <c r="F3700">
        <f>IF($D3700 &gt; 16, 0,$E3700*$J$5)</f>
        <v>903207.99900555098</v>
      </c>
      <c r="G3700">
        <f t="shared" si="57"/>
        <v>0.40000000000000036</v>
      </c>
    </row>
    <row r="3701" spans="2:7" x14ac:dyDescent="0.35">
      <c r="B3701" s="1">
        <v>45812</v>
      </c>
      <c r="C3701" s="2">
        <v>0.125</v>
      </c>
      <c r="D3701">
        <v>14.5</v>
      </c>
      <c r="E3701">
        <f>IF($D3701 &gt; 16, 0, $J$3*(16 - $D3701))</f>
        <v>311.62296405104547</v>
      </c>
      <c r="F3701">
        <f>IF($D3701 &gt; 16, 0,$E3701*$J$5)</f>
        <v>3387029.996270813</v>
      </c>
      <c r="G3701">
        <f t="shared" si="57"/>
        <v>1.5</v>
      </c>
    </row>
    <row r="3702" spans="2:7" x14ac:dyDescent="0.35">
      <c r="B3702" s="1">
        <v>45812</v>
      </c>
      <c r="C3702" s="2">
        <v>0.16666666666666671</v>
      </c>
      <c r="D3702">
        <v>13.9</v>
      </c>
      <c r="E3702">
        <f>IF($D3702 &gt; 16, 0, $J$3*(16 - $D3702))</f>
        <v>436.27214967146358</v>
      </c>
      <c r="F3702">
        <f>IF($D3702 &gt; 16, 0,$E3702*$J$5)</f>
        <v>4741841.9947791379</v>
      </c>
      <c r="G3702">
        <f t="shared" si="57"/>
        <v>2.0999999999999996</v>
      </c>
    </row>
    <row r="3703" spans="2:7" x14ac:dyDescent="0.35">
      <c r="B3703" s="1">
        <v>45812</v>
      </c>
      <c r="C3703" s="2">
        <v>0.20833333333333329</v>
      </c>
      <c r="D3703">
        <v>14.7</v>
      </c>
      <c r="E3703">
        <f>IF($D3703 &gt; 16, 0, $J$3*(16 - $D3703))</f>
        <v>270.07323551090622</v>
      </c>
      <c r="F3703">
        <f>IF($D3703 &gt; 16, 0,$E3703*$J$5)</f>
        <v>2935425.9967680397</v>
      </c>
      <c r="G3703">
        <f t="shared" si="57"/>
        <v>1.3000000000000007</v>
      </c>
    </row>
    <row r="3704" spans="2:7" x14ac:dyDescent="0.35">
      <c r="B3704" s="1">
        <v>45812</v>
      </c>
      <c r="C3704" s="2">
        <v>0.25</v>
      </c>
      <c r="D3704">
        <v>16.600000000000001</v>
      </c>
      <c r="E3704">
        <f>IF($D3704 &gt; 16, 0, $J$3*(16 - $D3704))</f>
        <v>0</v>
      </c>
      <c r="F3704">
        <f>IF($D3704 &gt; 16, 0,$E3704*$J$5)</f>
        <v>0</v>
      </c>
      <c r="G3704">
        <f t="shared" si="57"/>
        <v>0</v>
      </c>
    </row>
    <row r="3705" spans="2:7" x14ac:dyDescent="0.35">
      <c r="B3705" s="1">
        <v>45812</v>
      </c>
      <c r="C3705" s="2">
        <v>0.29166666666666669</v>
      </c>
      <c r="D3705">
        <v>18.7</v>
      </c>
      <c r="E3705">
        <f>IF($D3705 &gt; 16, 0, $J$3*(16 - $D3705))</f>
        <v>0</v>
      </c>
      <c r="F3705">
        <f>IF($D3705 &gt; 16, 0,$E3705*$J$5)</f>
        <v>0</v>
      </c>
      <c r="G3705">
        <f t="shared" si="57"/>
        <v>0</v>
      </c>
    </row>
    <row r="3706" spans="2:7" x14ac:dyDescent="0.35">
      <c r="B3706" s="1">
        <v>45812</v>
      </c>
      <c r="C3706" s="2">
        <v>0.33333333333333331</v>
      </c>
      <c r="D3706">
        <v>19.600000000000001</v>
      </c>
      <c r="E3706">
        <f>IF($D3706 &gt; 16, 0, $J$3*(16 - $D3706))</f>
        <v>0</v>
      </c>
      <c r="F3706">
        <f>IF($D3706 &gt; 16, 0,$E3706*$J$5)</f>
        <v>0</v>
      </c>
      <c r="G3706">
        <f t="shared" si="57"/>
        <v>0</v>
      </c>
    </row>
    <row r="3707" spans="2:7" x14ac:dyDescent="0.35">
      <c r="B3707" s="1">
        <v>45812</v>
      </c>
      <c r="C3707" s="2">
        <v>0.375</v>
      </c>
      <c r="D3707">
        <v>20.3</v>
      </c>
      <c r="E3707">
        <f>IF($D3707 &gt; 16, 0, $J$3*(16 - $D3707))</f>
        <v>0</v>
      </c>
      <c r="F3707">
        <f>IF($D3707 &gt; 16, 0,$E3707*$J$5)</f>
        <v>0</v>
      </c>
      <c r="G3707">
        <f t="shared" si="57"/>
        <v>0</v>
      </c>
    </row>
    <row r="3708" spans="2:7" x14ac:dyDescent="0.35">
      <c r="B3708" s="1">
        <v>45812</v>
      </c>
      <c r="C3708" s="2">
        <v>0.41666666666666669</v>
      </c>
      <c r="D3708">
        <v>20.7</v>
      </c>
      <c r="E3708">
        <f>IF($D3708 &gt; 16, 0, $J$3*(16 - $D3708))</f>
        <v>0</v>
      </c>
      <c r="F3708">
        <f>IF($D3708 &gt; 16, 0,$E3708*$J$5)</f>
        <v>0</v>
      </c>
      <c r="G3708">
        <f t="shared" si="57"/>
        <v>0</v>
      </c>
    </row>
    <row r="3709" spans="2:7" x14ac:dyDescent="0.35">
      <c r="B3709" s="1">
        <v>45812</v>
      </c>
      <c r="C3709" s="2">
        <v>0.45833333333333331</v>
      </c>
      <c r="D3709">
        <v>22.2</v>
      </c>
      <c r="E3709">
        <f>IF($D3709 &gt; 16, 0, $J$3*(16 - $D3709))</f>
        <v>0</v>
      </c>
      <c r="F3709">
        <f>IF($D3709 &gt; 16, 0,$E3709*$J$5)</f>
        <v>0</v>
      </c>
      <c r="G3709">
        <f t="shared" si="57"/>
        <v>0</v>
      </c>
    </row>
    <row r="3710" spans="2:7" x14ac:dyDescent="0.35">
      <c r="B3710" s="1">
        <v>45812</v>
      </c>
      <c r="C3710" s="2">
        <v>0.5</v>
      </c>
      <c r="D3710">
        <v>22.9</v>
      </c>
      <c r="E3710">
        <f>IF($D3710 &gt; 16, 0, $J$3*(16 - $D3710))</f>
        <v>0</v>
      </c>
      <c r="F3710">
        <f>IF($D3710 &gt; 16, 0,$E3710*$J$5)</f>
        <v>0</v>
      </c>
      <c r="G3710">
        <f t="shared" si="57"/>
        <v>0</v>
      </c>
    </row>
    <row r="3711" spans="2:7" x14ac:dyDescent="0.35">
      <c r="B3711" s="1">
        <v>45812</v>
      </c>
      <c r="C3711" s="2">
        <v>0.54166666666666663</v>
      </c>
      <c r="D3711">
        <v>21.8</v>
      </c>
      <c r="E3711">
        <f>IF($D3711 &gt; 16, 0, $J$3*(16 - $D3711))</f>
        <v>0</v>
      </c>
      <c r="F3711">
        <f>IF($D3711 &gt; 16, 0,$E3711*$J$5)</f>
        <v>0</v>
      </c>
      <c r="G3711">
        <f t="shared" si="57"/>
        <v>0</v>
      </c>
    </row>
    <row r="3712" spans="2:7" x14ac:dyDescent="0.35">
      <c r="B3712" s="1">
        <v>45812</v>
      </c>
      <c r="C3712" s="2">
        <v>0.58333333333333337</v>
      </c>
      <c r="D3712">
        <v>19.600000000000001</v>
      </c>
      <c r="E3712">
        <f>IF($D3712 &gt; 16, 0, $J$3*(16 - $D3712))</f>
        <v>0</v>
      </c>
      <c r="F3712">
        <f>IF($D3712 &gt; 16, 0,$E3712*$J$5)</f>
        <v>0</v>
      </c>
      <c r="G3712">
        <f t="shared" si="57"/>
        <v>0</v>
      </c>
    </row>
    <row r="3713" spans="2:7" x14ac:dyDescent="0.35">
      <c r="B3713" s="1">
        <v>45812</v>
      </c>
      <c r="C3713" s="2">
        <v>0.625</v>
      </c>
      <c r="D3713">
        <v>19.100000000000001</v>
      </c>
      <c r="E3713">
        <f>IF($D3713 &gt; 16, 0, $J$3*(16 - $D3713))</f>
        <v>0</v>
      </c>
      <c r="F3713">
        <f>IF($D3713 &gt; 16, 0,$E3713*$J$5)</f>
        <v>0</v>
      </c>
      <c r="G3713">
        <f t="shared" si="57"/>
        <v>0</v>
      </c>
    </row>
    <row r="3714" spans="2:7" x14ac:dyDescent="0.35">
      <c r="B3714" s="1">
        <v>45812</v>
      </c>
      <c r="C3714" s="2">
        <v>0.66666666666666663</v>
      </c>
      <c r="D3714">
        <v>16.600000000000001</v>
      </c>
      <c r="E3714">
        <f>IF($D3714 &gt; 16, 0, $J$3*(16 - $D3714))</f>
        <v>0</v>
      </c>
      <c r="F3714">
        <f>IF($D3714 &gt; 16, 0,$E3714*$J$5)</f>
        <v>0</v>
      </c>
      <c r="G3714">
        <f t="shared" si="57"/>
        <v>0</v>
      </c>
    </row>
    <row r="3715" spans="2:7" x14ac:dyDescent="0.35">
      <c r="B3715" s="1">
        <v>45812</v>
      </c>
      <c r="C3715" s="2">
        <v>0.70833333333333337</v>
      </c>
      <c r="D3715">
        <v>15.5</v>
      </c>
      <c r="E3715">
        <f>IF($D3715 &gt; 16, 0, $J$3*(16 - $D3715))</f>
        <v>103.8743213503485</v>
      </c>
      <c r="F3715">
        <f>IF($D3715 &gt; 16, 0,$E3715*$J$5)</f>
        <v>1129009.9987569377</v>
      </c>
      <c r="G3715">
        <f t="shared" ref="G3715:G3778" si="58">MAX(0, 16 - $D3715)</f>
        <v>0.5</v>
      </c>
    </row>
    <row r="3716" spans="2:7" x14ac:dyDescent="0.35">
      <c r="B3716" s="1">
        <v>45812</v>
      </c>
      <c r="C3716" s="2">
        <v>0.75</v>
      </c>
      <c r="D3716">
        <v>16.100000000000001</v>
      </c>
      <c r="E3716">
        <f>IF($D3716 &gt; 16, 0, $J$3*(16 - $D3716))</f>
        <v>0</v>
      </c>
      <c r="F3716">
        <f>IF($D3716 &gt; 16, 0,$E3716*$J$5)</f>
        <v>0</v>
      </c>
      <c r="G3716">
        <f t="shared" si="58"/>
        <v>0</v>
      </c>
    </row>
    <row r="3717" spans="2:7" x14ac:dyDescent="0.35">
      <c r="B3717" s="1">
        <v>45812</v>
      </c>
      <c r="C3717" s="2">
        <v>0.79166666666666663</v>
      </c>
      <c r="D3717">
        <v>15.7</v>
      </c>
      <c r="E3717">
        <f>IF($D3717 &gt; 16, 0, $J$3*(16 - $D3717))</f>
        <v>62.324592810209246</v>
      </c>
      <c r="F3717">
        <f>IF($D3717 &gt; 16, 0,$E3717*$J$5)</f>
        <v>677405.99925416429</v>
      </c>
      <c r="G3717">
        <f t="shared" si="58"/>
        <v>0.30000000000000071</v>
      </c>
    </row>
    <row r="3718" spans="2:7" x14ac:dyDescent="0.35">
      <c r="B3718" s="1">
        <v>45812</v>
      </c>
      <c r="C3718" s="2">
        <v>0.83333333333333337</v>
      </c>
      <c r="D3718">
        <v>14.3</v>
      </c>
      <c r="E3718">
        <f>IF($D3718 &gt; 16, 0, $J$3*(16 - $D3718))</f>
        <v>353.17269259118473</v>
      </c>
      <c r="F3718">
        <f>IF($D3718 &gt; 16, 0,$E3718*$J$5)</f>
        <v>3838633.9957735869</v>
      </c>
      <c r="G3718">
        <f t="shared" si="58"/>
        <v>1.6999999999999993</v>
      </c>
    </row>
    <row r="3719" spans="2:7" x14ac:dyDescent="0.35">
      <c r="B3719" s="1">
        <v>45812</v>
      </c>
      <c r="C3719" s="2">
        <v>0.875</v>
      </c>
      <c r="D3719">
        <v>13.8</v>
      </c>
      <c r="E3719">
        <f>IF($D3719 &gt; 16, 0, $J$3*(16 - $D3719))</f>
        <v>457.04701394153324</v>
      </c>
      <c r="F3719">
        <f>IF($D3719 &gt; 16, 0,$E3719*$J$5)</f>
        <v>4967643.9945305251</v>
      </c>
      <c r="G3719">
        <f t="shared" si="58"/>
        <v>2.1999999999999993</v>
      </c>
    </row>
    <row r="3720" spans="2:7" x14ac:dyDescent="0.35">
      <c r="B3720" s="1">
        <v>45812</v>
      </c>
      <c r="C3720" s="2">
        <v>0.91666666666666663</v>
      </c>
      <c r="D3720">
        <v>12</v>
      </c>
      <c r="E3720">
        <f>IF($D3720 &gt; 16, 0, $J$3*(16 - $D3720))</f>
        <v>830.99457080278796</v>
      </c>
      <c r="F3720">
        <f>IF($D3720 &gt; 16, 0,$E3720*$J$5)</f>
        <v>9032079.9900555015</v>
      </c>
      <c r="G3720">
        <f t="shared" si="58"/>
        <v>4</v>
      </c>
    </row>
    <row r="3721" spans="2:7" x14ac:dyDescent="0.35">
      <c r="B3721" s="1">
        <v>45812</v>
      </c>
      <c r="C3721" s="2">
        <v>0.95833333333333337</v>
      </c>
      <c r="D3721">
        <v>10.6</v>
      </c>
      <c r="E3721">
        <f>IF($D3721 &gt; 16, 0, $J$3*(16 - $D3721))</f>
        <v>1121.8426705837637</v>
      </c>
      <c r="F3721">
        <f>IF($D3721 &gt; 16, 0,$E3721*$J$5)</f>
        <v>12193307.986574927</v>
      </c>
      <c r="G3721">
        <f t="shared" si="58"/>
        <v>5.4</v>
      </c>
    </row>
    <row r="3722" spans="2:7" x14ac:dyDescent="0.35">
      <c r="B3722" s="1">
        <v>45813</v>
      </c>
      <c r="C3722" s="2">
        <v>0</v>
      </c>
      <c r="D3722">
        <v>11</v>
      </c>
      <c r="E3722">
        <f>IF($D3722 &gt; 16, 0, $J$3*(16 - $D3722))</f>
        <v>1038.7432135034849</v>
      </c>
      <c r="F3722">
        <f>IF($D3722 &gt; 16, 0,$E3722*$J$5)</f>
        <v>11290099.987569377</v>
      </c>
      <c r="G3722">
        <f t="shared" si="58"/>
        <v>5</v>
      </c>
    </row>
    <row r="3723" spans="2:7" x14ac:dyDescent="0.35">
      <c r="B3723" s="1">
        <v>45813</v>
      </c>
      <c r="C3723" s="2">
        <v>4.1666666666666657E-2</v>
      </c>
      <c r="D3723">
        <v>10.199999999999999</v>
      </c>
      <c r="E3723">
        <f>IF($D3723 &gt; 16, 0, $J$3*(16 - $D3723))</f>
        <v>1204.9421276640428</v>
      </c>
      <c r="F3723">
        <f>IF($D3723 &gt; 16, 0,$E3723*$J$5)</f>
        <v>13096515.985580482</v>
      </c>
      <c r="G3723">
        <f t="shared" si="58"/>
        <v>5.8000000000000007</v>
      </c>
    </row>
    <row r="3724" spans="2:7" x14ac:dyDescent="0.35">
      <c r="B3724" s="1">
        <v>45813</v>
      </c>
      <c r="C3724" s="2">
        <v>8.3333333333333329E-2</v>
      </c>
      <c r="D3724">
        <v>10.3</v>
      </c>
      <c r="E3724">
        <f>IF($D3724 &gt; 16, 0, $J$3*(16 - $D3724))</f>
        <v>1184.1672633939727</v>
      </c>
      <c r="F3724">
        <f>IF($D3724 &gt; 16, 0,$E3724*$J$5)</f>
        <v>12870713.985829089</v>
      </c>
      <c r="G3724">
        <f t="shared" si="58"/>
        <v>5.6999999999999993</v>
      </c>
    </row>
    <row r="3725" spans="2:7" x14ac:dyDescent="0.35">
      <c r="B3725" s="1">
        <v>45813</v>
      </c>
      <c r="C3725" s="2">
        <v>0.125</v>
      </c>
      <c r="D3725">
        <v>11.9</v>
      </c>
      <c r="E3725">
        <f>IF($D3725 &gt; 16, 0, $J$3*(16 - $D3725))</f>
        <v>851.76943507285762</v>
      </c>
      <c r="F3725">
        <f>IF($D3725 &gt; 16, 0,$E3725*$J$5)</f>
        <v>9257881.9898068886</v>
      </c>
      <c r="G3725">
        <f t="shared" si="58"/>
        <v>4.0999999999999996</v>
      </c>
    </row>
    <row r="3726" spans="2:7" x14ac:dyDescent="0.35">
      <c r="B3726" s="1">
        <v>45813</v>
      </c>
      <c r="C3726" s="2">
        <v>0.16666666666666671</v>
      </c>
      <c r="D3726">
        <v>12.9</v>
      </c>
      <c r="E3726">
        <f>IF($D3726 &gt; 16, 0, $J$3*(16 - $D3726))</f>
        <v>644.0207923721606</v>
      </c>
      <c r="F3726">
        <f>IF($D3726 &gt; 16, 0,$E3726*$J$5)</f>
        <v>6999861.9922930133</v>
      </c>
      <c r="G3726">
        <f t="shared" si="58"/>
        <v>3.0999999999999996</v>
      </c>
    </row>
    <row r="3727" spans="2:7" x14ac:dyDescent="0.35">
      <c r="B3727" s="1">
        <v>45813</v>
      </c>
      <c r="C3727" s="2">
        <v>0.20833333333333329</v>
      </c>
      <c r="D3727">
        <v>13.4</v>
      </c>
      <c r="E3727">
        <f>IF($D3727 &gt; 16, 0, $J$3*(16 - $D3727))</f>
        <v>540.14647102181209</v>
      </c>
      <c r="F3727">
        <f>IF($D3727 &gt; 16, 0,$E3727*$J$5)</f>
        <v>5870851.9935360756</v>
      </c>
      <c r="G3727">
        <f t="shared" si="58"/>
        <v>2.5999999999999996</v>
      </c>
    </row>
    <row r="3728" spans="2:7" x14ac:dyDescent="0.35">
      <c r="B3728" s="1">
        <v>45813</v>
      </c>
      <c r="C3728" s="2">
        <v>0.25</v>
      </c>
      <c r="D3728">
        <v>14.5</v>
      </c>
      <c r="E3728">
        <f>IF($D3728 &gt; 16, 0, $J$3*(16 - $D3728))</f>
        <v>311.62296405104547</v>
      </c>
      <c r="F3728">
        <f>IF($D3728 &gt; 16, 0,$E3728*$J$5)</f>
        <v>3387029.996270813</v>
      </c>
      <c r="G3728">
        <f t="shared" si="58"/>
        <v>1.5</v>
      </c>
    </row>
    <row r="3729" spans="2:7" x14ac:dyDescent="0.35">
      <c r="B3729" s="1">
        <v>45813</v>
      </c>
      <c r="C3729" s="2">
        <v>0.29166666666666669</v>
      </c>
      <c r="D3729">
        <v>16.5</v>
      </c>
      <c r="E3729">
        <f>IF($D3729 &gt; 16, 0, $J$3*(16 - $D3729))</f>
        <v>0</v>
      </c>
      <c r="F3729">
        <f>IF($D3729 &gt; 16, 0,$E3729*$J$5)</f>
        <v>0</v>
      </c>
      <c r="G3729">
        <f t="shared" si="58"/>
        <v>0</v>
      </c>
    </row>
    <row r="3730" spans="2:7" x14ac:dyDescent="0.35">
      <c r="B3730" s="1">
        <v>45813</v>
      </c>
      <c r="C3730" s="2">
        <v>0.33333333333333331</v>
      </c>
      <c r="D3730">
        <v>17.3</v>
      </c>
      <c r="E3730">
        <f>IF($D3730 &gt; 16, 0, $J$3*(16 - $D3730))</f>
        <v>0</v>
      </c>
      <c r="F3730">
        <f>IF($D3730 &gt; 16, 0,$E3730*$J$5)</f>
        <v>0</v>
      </c>
      <c r="G3730">
        <f t="shared" si="58"/>
        <v>0</v>
      </c>
    </row>
    <row r="3731" spans="2:7" x14ac:dyDescent="0.35">
      <c r="B3731" s="1">
        <v>45813</v>
      </c>
      <c r="C3731" s="2">
        <v>0.375</v>
      </c>
      <c r="D3731">
        <v>18.7</v>
      </c>
      <c r="E3731">
        <f>IF($D3731 &gt; 16, 0, $J$3*(16 - $D3731))</f>
        <v>0</v>
      </c>
      <c r="F3731">
        <f>IF($D3731 &gt; 16, 0,$E3731*$J$5)</f>
        <v>0</v>
      </c>
      <c r="G3731">
        <f t="shared" si="58"/>
        <v>0</v>
      </c>
    </row>
    <row r="3732" spans="2:7" x14ac:dyDescent="0.35">
      <c r="B3732" s="1">
        <v>45813</v>
      </c>
      <c r="C3732" s="2">
        <v>0.41666666666666669</v>
      </c>
      <c r="D3732">
        <v>18.399999999999999</v>
      </c>
      <c r="E3732">
        <f>IF($D3732 &gt; 16, 0, $J$3*(16 - $D3732))</f>
        <v>0</v>
      </c>
      <c r="F3732">
        <f>IF($D3732 &gt; 16, 0,$E3732*$J$5)</f>
        <v>0</v>
      </c>
      <c r="G3732">
        <f t="shared" si="58"/>
        <v>0</v>
      </c>
    </row>
    <row r="3733" spans="2:7" x14ac:dyDescent="0.35">
      <c r="B3733" s="1">
        <v>45813</v>
      </c>
      <c r="C3733" s="2">
        <v>0.45833333333333331</v>
      </c>
      <c r="D3733">
        <v>18.5</v>
      </c>
      <c r="E3733">
        <f>IF($D3733 &gt; 16, 0, $J$3*(16 - $D3733))</f>
        <v>0</v>
      </c>
      <c r="F3733">
        <f>IF($D3733 &gt; 16, 0,$E3733*$J$5)</f>
        <v>0</v>
      </c>
      <c r="G3733">
        <f t="shared" si="58"/>
        <v>0</v>
      </c>
    </row>
    <row r="3734" spans="2:7" x14ac:dyDescent="0.35">
      <c r="B3734" s="1">
        <v>45813</v>
      </c>
      <c r="C3734" s="2">
        <v>0.5</v>
      </c>
      <c r="D3734">
        <v>18.899999999999999</v>
      </c>
      <c r="E3734">
        <f>IF($D3734 &gt; 16, 0, $J$3*(16 - $D3734))</f>
        <v>0</v>
      </c>
      <c r="F3734">
        <f>IF($D3734 &gt; 16, 0,$E3734*$J$5)</f>
        <v>0</v>
      </c>
      <c r="G3734">
        <f t="shared" si="58"/>
        <v>0</v>
      </c>
    </row>
    <row r="3735" spans="2:7" x14ac:dyDescent="0.35">
      <c r="B3735" s="1">
        <v>45813</v>
      </c>
      <c r="C3735" s="2">
        <v>0.54166666666666663</v>
      </c>
      <c r="D3735">
        <v>18.899999999999999</v>
      </c>
      <c r="E3735">
        <f>IF($D3735 &gt; 16, 0, $J$3*(16 - $D3735))</f>
        <v>0</v>
      </c>
      <c r="F3735">
        <f>IF($D3735 &gt; 16, 0,$E3735*$J$5)</f>
        <v>0</v>
      </c>
      <c r="G3735">
        <f t="shared" si="58"/>
        <v>0</v>
      </c>
    </row>
    <row r="3736" spans="2:7" x14ac:dyDescent="0.35">
      <c r="B3736" s="1">
        <v>45813</v>
      </c>
      <c r="C3736" s="2">
        <v>0.58333333333333337</v>
      </c>
      <c r="D3736">
        <v>19.399999999999999</v>
      </c>
      <c r="E3736">
        <f>IF($D3736 &gt; 16, 0, $J$3*(16 - $D3736))</f>
        <v>0</v>
      </c>
      <c r="F3736">
        <f>IF($D3736 &gt; 16, 0,$E3736*$J$5)</f>
        <v>0</v>
      </c>
      <c r="G3736">
        <f t="shared" si="58"/>
        <v>0</v>
      </c>
    </row>
    <row r="3737" spans="2:7" x14ac:dyDescent="0.35">
      <c r="B3737" s="1">
        <v>45813</v>
      </c>
      <c r="C3737" s="2">
        <v>0.625</v>
      </c>
      <c r="D3737">
        <v>15.9</v>
      </c>
      <c r="E3737">
        <f>IF($D3737 &gt; 16, 0, $J$3*(16 - $D3737))</f>
        <v>20.774864270069624</v>
      </c>
      <c r="F3737">
        <f>IF($D3737 &gt; 16, 0,$E3737*$J$5)</f>
        <v>225801.99975138676</v>
      </c>
      <c r="G3737">
        <f t="shared" si="58"/>
        <v>9.9999999999999645E-2</v>
      </c>
    </row>
    <row r="3738" spans="2:7" x14ac:dyDescent="0.35">
      <c r="B3738" s="1">
        <v>45813</v>
      </c>
      <c r="C3738" s="2">
        <v>0.66666666666666663</v>
      </c>
      <c r="D3738">
        <v>14.2</v>
      </c>
      <c r="E3738">
        <f>IF($D3738 &gt; 16, 0, $J$3*(16 - $D3738))</f>
        <v>373.94755686125472</v>
      </c>
      <c r="F3738">
        <f>IF($D3738 &gt; 16, 0,$E3738*$J$5)</f>
        <v>4064435.9955249778</v>
      </c>
      <c r="G3738">
        <f t="shared" si="58"/>
        <v>1.8000000000000007</v>
      </c>
    </row>
    <row r="3739" spans="2:7" x14ac:dyDescent="0.35">
      <c r="B3739" s="1">
        <v>45813</v>
      </c>
      <c r="C3739" s="2">
        <v>0.70833333333333337</v>
      </c>
      <c r="D3739">
        <v>15.6</v>
      </c>
      <c r="E3739">
        <f>IF($D3739 &gt; 16, 0, $J$3*(16 - $D3739))</f>
        <v>83.099457080278867</v>
      </c>
      <c r="F3739">
        <f>IF($D3739 &gt; 16, 0,$E3739*$J$5)</f>
        <v>903207.99900555098</v>
      </c>
      <c r="G3739">
        <f t="shared" si="58"/>
        <v>0.40000000000000036</v>
      </c>
    </row>
    <row r="3740" spans="2:7" x14ac:dyDescent="0.35">
      <c r="B3740" s="1">
        <v>45813</v>
      </c>
      <c r="C3740" s="2">
        <v>0.75</v>
      </c>
      <c r="D3740">
        <v>14.3</v>
      </c>
      <c r="E3740">
        <f>IF($D3740 &gt; 16, 0, $J$3*(16 - $D3740))</f>
        <v>353.17269259118473</v>
      </c>
      <c r="F3740">
        <f>IF($D3740 &gt; 16, 0,$E3740*$J$5)</f>
        <v>3838633.9957735869</v>
      </c>
      <c r="G3740">
        <f t="shared" si="58"/>
        <v>1.6999999999999993</v>
      </c>
    </row>
    <row r="3741" spans="2:7" x14ac:dyDescent="0.35">
      <c r="B3741" s="1">
        <v>45813</v>
      </c>
      <c r="C3741" s="2">
        <v>0.79166666666666663</v>
      </c>
      <c r="D3741">
        <v>13.6</v>
      </c>
      <c r="E3741">
        <f>IF($D3741 &gt; 16, 0, $J$3*(16 - $D3741))</f>
        <v>498.59674248167283</v>
      </c>
      <c r="F3741">
        <f>IF($D3741 &gt; 16, 0,$E3741*$J$5)</f>
        <v>5419247.9940333022</v>
      </c>
      <c r="G3741">
        <f t="shared" si="58"/>
        <v>2.4000000000000004</v>
      </c>
    </row>
    <row r="3742" spans="2:7" x14ac:dyDescent="0.35">
      <c r="B3742" s="1">
        <v>45813</v>
      </c>
      <c r="C3742" s="2">
        <v>0.83333333333333337</v>
      </c>
      <c r="D3742">
        <v>13.5</v>
      </c>
      <c r="E3742">
        <f>IF($D3742 &gt; 16, 0, $J$3*(16 - $D3742))</f>
        <v>519.37160675174243</v>
      </c>
      <c r="F3742">
        <f>IF($D3742 &gt; 16, 0,$E3742*$J$5)</f>
        <v>5645049.9937846884</v>
      </c>
      <c r="G3742">
        <f t="shared" si="58"/>
        <v>2.5</v>
      </c>
    </row>
    <row r="3743" spans="2:7" x14ac:dyDescent="0.35">
      <c r="B3743" s="1">
        <v>45813</v>
      </c>
      <c r="C3743" s="2">
        <v>0.875</v>
      </c>
      <c r="D3743">
        <v>13.4</v>
      </c>
      <c r="E3743">
        <f>IF($D3743 &gt; 16, 0, $J$3*(16 - $D3743))</f>
        <v>540.14647102181209</v>
      </c>
      <c r="F3743">
        <f>IF($D3743 &gt; 16, 0,$E3743*$J$5)</f>
        <v>5870851.9935360756</v>
      </c>
      <c r="G3743">
        <f t="shared" si="58"/>
        <v>2.5999999999999996</v>
      </c>
    </row>
    <row r="3744" spans="2:7" x14ac:dyDescent="0.35">
      <c r="B3744" s="1">
        <v>45813</v>
      </c>
      <c r="C3744" s="2">
        <v>0.91666666666666663</v>
      </c>
      <c r="D3744">
        <v>12.4</v>
      </c>
      <c r="E3744">
        <f>IF($D3744 &gt; 16, 0, $J$3*(16 - $D3744))</f>
        <v>747.89511372250911</v>
      </c>
      <c r="F3744">
        <f>IF($D3744 &gt; 16, 0,$E3744*$J$5)</f>
        <v>8128871.9910499519</v>
      </c>
      <c r="G3744">
        <f t="shared" si="58"/>
        <v>3.5999999999999996</v>
      </c>
    </row>
    <row r="3745" spans="2:7" x14ac:dyDescent="0.35">
      <c r="B3745" s="1">
        <v>45813</v>
      </c>
      <c r="C3745" s="2">
        <v>0.95833333333333337</v>
      </c>
      <c r="D3745">
        <v>13.2</v>
      </c>
      <c r="E3745">
        <f>IF($D3745 &gt; 16, 0, $J$3*(16 - $D3745))</f>
        <v>581.69619956195174</v>
      </c>
      <c r="F3745">
        <f>IF($D3745 &gt; 16, 0,$E3745*$J$5)</f>
        <v>6322455.9930388536</v>
      </c>
      <c r="G3745">
        <f t="shared" si="58"/>
        <v>2.8000000000000007</v>
      </c>
    </row>
    <row r="3746" spans="2:7" x14ac:dyDescent="0.35">
      <c r="B3746" s="1">
        <v>45814</v>
      </c>
      <c r="C3746" s="2">
        <v>0</v>
      </c>
      <c r="D3746">
        <v>13.4</v>
      </c>
      <c r="E3746">
        <f>IF($D3746 &gt; 16, 0, $J$3*(16 - $D3746))</f>
        <v>540.14647102181209</v>
      </c>
      <c r="F3746">
        <f>IF($D3746 &gt; 16, 0,$E3746*$J$5)</f>
        <v>5870851.9935360756</v>
      </c>
      <c r="G3746">
        <f t="shared" si="58"/>
        <v>2.5999999999999996</v>
      </c>
    </row>
    <row r="3747" spans="2:7" x14ac:dyDescent="0.35">
      <c r="B3747" s="1">
        <v>45814</v>
      </c>
      <c r="C3747" s="2">
        <v>4.1666666666666657E-2</v>
      </c>
      <c r="D3747">
        <v>13.7</v>
      </c>
      <c r="E3747">
        <f>IF($D3747 &gt; 16, 0, $J$3*(16 - $D3747))</f>
        <v>477.82187821160323</v>
      </c>
      <c r="F3747">
        <f>IF($D3747 &gt; 16, 0,$E3747*$J$5)</f>
        <v>5193445.9942819159</v>
      </c>
      <c r="G3747">
        <f t="shared" si="58"/>
        <v>2.3000000000000007</v>
      </c>
    </row>
    <row r="3748" spans="2:7" x14ac:dyDescent="0.35">
      <c r="B3748" s="1">
        <v>45814</v>
      </c>
      <c r="C3748" s="2">
        <v>8.3333333333333329E-2</v>
      </c>
      <c r="D3748">
        <v>13.8</v>
      </c>
      <c r="E3748">
        <f>IF($D3748 &gt; 16, 0, $J$3*(16 - $D3748))</f>
        <v>457.04701394153324</v>
      </c>
      <c r="F3748">
        <f>IF($D3748 &gt; 16, 0,$E3748*$J$5)</f>
        <v>4967643.9945305251</v>
      </c>
      <c r="G3748">
        <f t="shared" si="58"/>
        <v>2.1999999999999993</v>
      </c>
    </row>
    <row r="3749" spans="2:7" x14ac:dyDescent="0.35">
      <c r="B3749" s="1">
        <v>45814</v>
      </c>
      <c r="C3749" s="2">
        <v>0.125</v>
      </c>
      <c r="D3749">
        <v>13.9</v>
      </c>
      <c r="E3749">
        <f>IF($D3749 &gt; 16, 0, $J$3*(16 - $D3749))</f>
        <v>436.27214967146358</v>
      </c>
      <c r="F3749">
        <f>IF($D3749 &gt; 16, 0,$E3749*$J$5)</f>
        <v>4741841.9947791379</v>
      </c>
      <c r="G3749">
        <f t="shared" si="58"/>
        <v>2.0999999999999996</v>
      </c>
    </row>
    <row r="3750" spans="2:7" x14ac:dyDescent="0.35">
      <c r="B3750" s="1">
        <v>45814</v>
      </c>
      <c r="C3750" s="2">
        <v>0.16666666666666671</v>
      </c>
      <c r="D3750">
        <v>14.2</v>
      </c>
      <c r="E3750">
        <f>IF($D3750 &gt; 16, 0, $J$3*(16 - $D3750))</f>
        <v>373.94755686125472</v>
      </c>
      <c r="F3750">
        <f>IF($D3750 &gt; 16, 0,$E3750*$J$5)</f>
        <v>4064435.9955249778</v>
      </c>
      <c r="G3750">
        <f t="shared" si="58"/>
        <v>1.8000000000000007</v>
      </c>
    </row>
    <row r="3751" spans="2:7" x14ac:dyDescent="0.35">
      <c r="B3751" s="1">
        <v>45814</v>
      </c>
      <c r="C3751" s="2">
        <v>0.20833333333333329</v>
      </c>
      <c r="D3751">
        <v>14.3</v>
      </c>
      <c r="E3751">
        <f>IF($D3751 &gt; 16, 0, $J$3*(16 - $D3751))</f>
        <v>353.17269259118473</v>
      </c>
      <c r="F3751">
        <f>IF($D3751 &gt; 16, 0,$E3751*$J$5)</f>
        <v>3838633.9957735869</v>
      </c>
      <c r="G3751">
        <f t="shared" si="58"/>
        <v>1.6999999999999993</v>
      </c>
    </row>
    <row r="3752" spans="2:7" x14ac:dyDescent="0.35">
      <c r="B3752" s="1">
        <v>45814</v>
      </c>
      <c r="C3752" s="2">
        <v>0.25</v>
      </c>
      <c r="D3752">
        <v>14.9</v>
      </c>
      <c r="E3752">
        <f>IF($D3752 &gt; 16, 0, $J$3*(16 - $D3752))</f>
        <v>228.52350697076662</v>
      </c>
      <c r="F3752">
        <f>IF($D3752 &gt; 16, 0,$E3752*$J$5)</f>
        <v>2483821.9972652625</v>
      </c>
      <c r="G3752">
        <f t="shared" si="58"/>
        <v>1.0999999999999996</v>
      </c>
    </row>
    <row r="3753" spans="2:7" x14ac:dyDescent="0.35">
      <c r="B3753" s="1">
        <v>45814</v>
      </c>
      <c r="C3753" s="2">
        <v>0.29166666666666669</v>
      </c>
      <c r="D3753">
        <v>15</v>
      </c>
      <c r="E3753">
        <f>IF($D3753 &gt; 16, 0, $J$3*(16 - $D3753))</f>
        <v>207.74864270069699</v>
      </c>
      <c r="F3753">
        <f>IF($D3753 &gt; 16, 0,$E3753*$J$5)</f>
        <v>2258019.9975138754</v>
      </c>
      <c r="G3753">
        <f t="shared" si="58"/>
        <v>1</v>
      </c>
    </row>
    <row r="3754" spans="2:7" x14ac:dyDescent="0.35">
      <c r="B3754" s="1">
        <v>45814</v>
      </c>
      <c r="C3754" s="2">
        <v>0.33333333333333331</v>
      </c>
      <c r="D3754">
        <v>15.9</v>
      </c>
      <c r="E3754">
        <f>IF($D3754 &gt; 16, 0, $J$3*(16 - $D3754))</f>
        <v>20.774864270069624</v>
      </c>
      <c r="F3754">
        <f>IF($D3754 &gt; 16, 0,$E3754*$J$5)</f>
        <v>225801.99975138676</v>
      </c>
      <c r="G3754">
        <f t="shared" si="58"/>
        <v>9.9999999999999645E-2</v>
      </c>
    </row>
    <row r="3755" spans="2:7" x14ac:dyDescent="0.35">
      <c r="B3755" s="1">
        <v>45814</v>
      </c>
      <c r="C3755" s="2">
        <v>0.375</v>
      </c>
      <c r="D3755">
        <v>16.8</v>
      </c>
      <c r="E3755">
        <f>IF($D3755 &gt; 16, 0, $J$3*(16 - $D3755))</f>
        <v>0</v>
      </c>
      <c r="F3755">
        <f>IF($D3755 &gt; 16, 0,$E3755*$J$5)</f>
        <v>0</v>
      </c>
      <c r="G3755">
        <f t="shared" si="58"/>
        <v>0</v>
      </c>
    </row>
    <row r="3756" spans="2:7" x14ac:dyDescent="0.35">
      <c r="B3756" s="1">
        <v>45814</v>
      </c>
      <c r="C3756" s="2">
        <v>0.41666666666666669</v>
      </c>
      <c r="D3756">
        <v>17.100000000000001</v>
      </c>
      <c r="E3756">
        <f>IF($D3756 &gt; 16, 0, $J$3*(16 - $D3756))</f>
        <v>0</v>
      </c>
      <c r="F3756">
        <f>IF($D3756 &gt; 16, 0,$E3756*$J$5)</f>
        <v>0</v>
      </c>
      <c r="G3756">
        <f t="shared" si="58"/>
        <v>0</v>
      </c>
    </row>
    <row r="3757" spans="2:7" x14ac:dyDescent="0.35">
      <c r="B3757" s="1">
        <v>45814</v>
      </c>
      <c r="C3757" s="2">
        <v>0.45833333333333331</v>
      </c>
      <c r="D3757">
        <v>15.7</v>
      </c>
      <c r="E3757">
        <f>IF($D3757 &gt; 16, 0, $J$3*(16 - $D3757))</f>
        <v>62.324592810209246</v>
      </c>
      <c r="F3757">
        <f>IF($D3757 &gt; 16, 0,$E3757*$J$5)</f>
        <v>677405.99925416429</v>
      </c>
      <c r="G3757">
        <f t="shared" si="58"/>
        <v>0.30000000000000071</v>
      </c>
    </row>
    <row r="3758" spans="2:7" x14ac:dyDescent="0.35">
      <c r="B3758" s="1">
        <v>45814</v>
      </c>
      <c r="C3758" s="2">
        <v>0.5</v>
      </c>
      <c r="D3758">
        <v>16.899999999999999</v>
      </c>
      <c r="E3758">
        <f>IF($D3758 &gt; 16, 0, $J$3*(16 - $D3758))</f>
        <v>0</v>
      </c>
      <c r="F3758">
        <f>IF($D3758 &gt; 16, 0,$E3758*$J$5)</f>
        <v>0</v>
      </c>
      <c r="G3758">
        <f t="shared" si="58"/>
        <v>0</v>
      </c>
    </row>
    <row r="3759" spans="2:7" x14ac:dyDescent="0.35">
      <c r="B3759" s="1">
        <v>45814</v>
      </c>
      <c r="C3759" s="2">
        <v>0.54166666666666663</v>
      </c>
      <c r="D3759">
        <v>16.100000000000001</v>
      </c>
      <c r="E3759">
        <f>IF($D3759 &gt; 16, 0, $J$3*(16 - $D3759))</f>
        <v>0</v>
      </c>
      <c r="F3759">
        <f>IF($D3759 &gt; 16, 0,$E3759*$J$5)</f>
        <v>0</v>
      </c>
      <c r="G3759">
        <f t="shared" si="58"/>
        <v>0</v>
      </c>
    </row>
    <row r="3760" spans="2:7" x14ac:dyDescent="0.35">
      <c r="B3760" s="1">
        <v>45814</v>
      </c>
      <c r="C3760" s="2">
        <v>0.58333333333333337</v>
      </c>
      <c r="D3760">
        <v>19.100000000000001</v>
      </c>
      <c r="E3760">
        <f>IF($D3760 &gt; 16, 0, $J$3*(16 - $D3760))</f>
        <v>0</v>
      </c>
      <c r="F3760">
        <f>IF($D3760 &gt; 16, 0,$E3760*$J$5)</f>
        <v>0</v>
      </c>
      <c r="G3760">
        <f t="shared" si="58"/>
        <v>0</v>
      </c>
    </row>
    <row r="3761" spans="2:7" x14ac:dyDescent="0.35">
      <c r="B3761" s="1">
        <v>45814</v>
      </c>
      <c r="C3761" s="2">
        <v>0.625</v>
      </c>
      <c r="D3761">
        <v>19.7</v>
      </c>
      <c r="E3761">
        <f>IF($D3761 &gt; 16, 0, $J$3*(16 - $D3761))</f>
        <v>0</v>
      </c>
      <c r="F3761">
        <f>IF($D3761 &gt; 16, 0,$E3761*$J$5)</f>
        <v>0</v>
      </c>
      <c r="G3761">
        <f t="shared" si="58"/>
        <v>0</v>
      </c>
    </row>
    <row r="3762" spans="2:7" x14ac:dyDescent="0.35">
      <c r="B3762" s="1">
        <v>45814</v>
      </c>
      <c r="C3762" s="2">
        <v>0.66666666666666663</v>
      </c>
      <c r="D3762">
        <v>17.3</v>
      </c>
      <c r="E3762">
        <f>IF($D3762 &gt; 16, 0, $J$3*(16 - $D3762))</f>
        <v>0</v>
      </c>
      <c r="F3762">
        <f>IF($D3762 &gt; 16, 0,$E3762*$J$5)</f>
        <v>0</v>
      </c>
      <c r="G3762">
        <f t="shared" si="58"/>
        <v>0</v>
      </c>
    </row>
    <row r="3763" spans="2:7" x14ac:dyDescent="0.35">
      <c r="B3763" s="1">
        <v>45814</v>
      </c>
      <c r="C3763" s="2">
        <v>0.70833333333333337</v>
      </c>
      <c r="D3763">
        <v>16.399999999999999</v>
      </c>
      <c r="E3763">
        <f>IF($D3763 &gt; 16, 0, $J$3*(16 - $D3763))</f>
        <v>0</v>
      </c>
      <c r="F3763">
        <f>IF($D3763 &gt; 16, 0,$E3763*$J$5)</f>
        <v>0</v>
      </c>
      <c r="G3763">
        <f t="shared" si="58"/>
        <v>0</v>
      </c>
    </row>
    <row r="3764" spans="2:7" x14ac:dyDescent="0.35">
      <c r="B3764" s="1">
        <v>45814</v>
      </c>
      <c r="C3764" s="2">
        <v>0.75</v>
      </c>
      <c r="D3764">
        <v>15</v>
      </c>
      <c r="E3764">
        <f>IF($D3764 &gt; 16, 0, $J$3*(16 - $D3764))</f>
        <v>207.74864270069699</v>
      </c>
      <c r="F3764">
        <f>IF($D3764 &gt; 16, 0,$E3764*$J$5)</f>
        <v>2258019.9975138754</v>
      </c>
      <c r="G3764">
        <f t="shared" si="58"/>
        <v>1</v>
      </c>
    </row>
    <row r="3765" spans="2:7" x14ac:dyDescent="0.35">
      <c r="B3765" s="1">
        <v>45814</v>
      </c>
      <c r="C3765" s="2">
        <v>0.79166666666666663</v>
      </c>
      <c r="D3765">
        <v>14.7</v>
      </c>
      <c r="E3765">
        <f>IF($D3765 &gt; 16, 0, $J$3*(16 - $D3765))</f>
        <v>270.07323551090622</v>
      </c>
      <c r="F3765">
        <f>IF($D3765 &gt; 16, 0,$E3765*$J$5)</f>
        <v>2935425.9967680397</v>
      </c>
      <c r="G3765">
        <f t="shared" si="58"/>
        <v>1.3000000000000007</v>
      </c>
    </row>
    <row r="3766" spans="2:7" x14ac:dyDescent="0.35">
      <c r="B3766" s="1">
        <v>45814</v>
      </c>
      <c r="C3766" s="2">
        <v>0.83333333333333337</v>
      </c>
      <c r="D3766">
        <v>13.8</v>
      </c>
      <c r="E3766">
        <f>IF($D3766 &gt; 16, 0, $J$3*(16 - $D3766))</f>
        <v>457.04701394153324</v>
      </c>
      <c r="F3766">
        <f>IF($D3766 &gt; 16, 0,$E3766*$J$5)</f>
        <v>4967643.9945305251</v>
      </c>
      <c r="G3766">
        <f t="shared" si="58"/>
        <v>2.1999999999999993</v>
      </c>
    </row>
    <row r="3767" spans="2:7" x14ac:dyDescent="0.35">
      <c r="B3767" s="1">
        <v>45814</v>
      </c>
      <c r="C3767" s="2">
        <v>0.875</v>
      </c>
      <c r="D3767">
        <v>13</v>
      </c>
      <c r="E3767">
        <f>IF($D3767 &gt; 16, 0, $J$3*(16 - $D3767))</f>
        <v>623.24592810209094</v>
      </c>
      <c r="F3767">
        <f>IF($D3767 &gt; 16, 0,$E3767*$J$5)</f>
        <v>6774059.9925416261</v>
      </c>
      <c r="G3767">
        <f t="shared" si="58"/>
        <v>3</v>
      </c>
    </row>
    <row r="3768" spans="2:7" x14ac:dyDescent="0.35">
      <c r="B3768" s="1">
        <v>45814</v>
      </c>
      <c r="C3768" s="2">
        <v>0.91666666666666663</v>
      </c>
      <c r="D3768">
        <v>12.4</v>
      </c>
      <c r="E3768">
        <f>IF($D3768 &gt; 16, 0, $J$3*(16 - $D3768))</f>
        <v>747.89511372250911</v>
      </c>
      <c r="F3768">
        <f>IF($D3768 &gt; 16, 0,$E3768*$J$5)</f>
        <v>8128871.9910499519</v>
      </c>
      <c r="G3768">
        <f t="shared" si="58"/>
        <v>3.5999999999999996</v>
      </c>
    </row>
    <row r="3769" spans="2:7" x14ac:dyDescent="0.35">
      <c r="B3769" s="1">
        <v>45814</v>
      </c>
      <c r="C3769" s="2">
        <v>0.95833333333333337</v>
      </c>
      <c r="D3769">
        <v>12.1</v>
      </c>
      <c r="E3769">
        <f>IF($D3769 &gt; 16, 0, $J$3*(16 - $D3769))</f>
        <v>810.21970653271831</v>
      </c>
      <c r="F3769">
        <f>IF($D3769 &gt; 16, 0,$E3769*$J$5)</f>
        <v>8806277.9903041162</v>
      </c>
      <c r="G3769">
        <f t="shared" si="58"/>
        <v>3.9000000000000004</v>
      </c>
    </row>
    <row r="3770" spans="2:7" x14ac:dyDescent="0.35">
      <c r="B3770" s="1">
        <v>45815</v>
      </c>
      <c r="C3770" s="2">
        <v>0</v>
      </c>
      <c r="D3770">
        <v>11.1</v>
      </c>
      <c r="E3770">
        <f>IF($D3770 &gt; 16, 0, $J$3*(16 - $D3770))</f>
        <v>1017.9683492334153</v>
      </c>
      <c r="F3770">
        <f>IF($D3770 &gt; 16, 0,$E3770*$J$5)</f>
        <v>11064297.987817992</v>
      </c>
      <c r="G3770">
        <f t="shared" si="58"/>
        <v>4.9000000000000004</v>
      </c>
    </row>
    <row r="3771" spans="2:7" x14ac:dyDescent="0.35">
      <c r="B3771" s="1">
        <v>45815</v>
      </c>
      <c r="C3771" s="2">
        <v>4.1666666666666657E-2</v>
      </c>
      <c r="D3771">
        <v>11.4</v>
      </c>
      <c r="E3771">
        <f>IF($D3771 &gt; 16, 0, $J$3*(16 - $D3771))</f>
        <v>955.64375642320613</v>
      </c>
      <c r="F3771">
        <f>IF($D3771 &gt; 16, 0,$E3771*$J$5)</f>
        <v>10386891.988563828</v>
      </c>
      <c r="G3771">
        <f t="shared" si="58"/>
        <v>4.5999999999999996</v>
      </c>
    </row>
    <row r="3772" spans="2:7" x14ac:dyDescent="0.35">
      <c r="B3772" s="1">
        <v>45815</v>
      </c>
      <c r="C3772" s="2">
        <v>8.3333333333333329E-2</v>
      </c>
      <c r="D3772">
        <v>12.1</v>
      </c>
      <c r="E3772">
        <f>IF($D3772 &gt; 16, 0, $J$3*(16 - $D3772))</f>
        <v>810.21970653271831</v>
      </c>
      <c r="F3772">
        <f>IF($D3772 &gt; 16, 0,$E3772*$J$5)</f>
        <v>8806277.9903041162</v>
      </c>
      <c r="G3772">
        <f t="shared" si="58"/>
        <v>3.9000000000000004</v>
      </c>
    </row>
    <row r="3773" spans="2:7" x14ac:dyDescent="0.35">
      <c r="B3773" s="1">
        <v>45815</v>
      </c>
      <c r="C3773" s="2">
        <v>0.125</v>
      </c>
      <c r="D3773">
        <v>12.2</v>
      </c>
      <c r="E3773">
        <f>IF($D3773 &gt; 16, 0, $J$3*(16 - $D3773))</f>
        <v>789.44484226264876</v>
      </c>
      <c r="F3773">
        <f>IF($D3773 &gt; 16, 0,$E3773*$J$5)</f>
        <v>8580475.990552729</v>
      </c>
      <c r="G3773">
        <f t="shared" si="58"/>
        <v>3.8000000000000007</v>
      </c>
    </row>
    <row r="3774" spans="2:7" x14ac:dyDescent="0.35">
      <c r="B3774" s="1">
        <v>45815</v>
      </c>
      <c r="C3774" s="2">
        <v>0.16666666666666671</v>
      </c>
      <c r="D3774">
        <v>12.6</v>
      </c>
      <c r="E3774">
        <f>IF($D3774 &gt; 16, 0, $J$3*(16 - $D3774))</f>
        <v>706.3453851823698</v>
      </c>
      <c r="F3774">
        <f>IF($D3774 &gt; 16, 0,$E3774*$J$5)</f>
        <v>7677267.9915471775</v>
      </c>
      <c r="G3774">
        <f t="shared" si="58"/>
        <v>3.4000000000000004</v>
      </c>
    </row>
    <row r="3775" spans="2:7" x14ac:dyDescent="0.35">
      <c r="B3775" s="1">
        <v>45815</v>
      </c>
      <c r="C3775" s="2">
        <v>0.20833333333333329</v>
      </c>
      <c r="D3775">
        <v>13.3</v>
      </c>
      <c r="E3775">
        <f>IF($D3775 &gt; 16, 0, $J$3*(16 - $D3775))</f>
        <v>560.92133529188175</v>
      </c>
      <c r="F3775">
        <f>IF($D3775 &gt; 16, 0,$E3775*$J$5)</f>
        <v>6096653.9932874627</v>
      </c>
      <c r="G3775">
        <f t="shared" si="58"/>
        <v>2.6999999999999993</v>
      </c>
    </row>
    <row r="3776" spans="2:7" x14ac:dyDescent="0.35">
      <c r="B3776" s="1">
        <v>45815</v>
      </c>
      <c r="C3776" s="2">
        <v>0.25</v>
      </c>
      <c r="D3776">
        <v>14.1</v>
      </c>
      <c r="E3776">
        <f>IF($D3776 &gt; 16, 0, $J$3*(16 - $D3776))</f>
        <v>394.72242113132438</v>
      </c>
      <c r="F3776">
        <f>IF($D3776 &gt; 16, 0,$E3776*$J$5)</f>
        <v>4290237.9952763645</v>
      </c>
      <c r="G3776">
        <f t="shared" si="58"/>
        <v>1.9000000000000004</v>
      </c>
    </row>
    <row r="3777" spans="2:7" x14ac:dyDescent="0.35">
      <c r="B3777" s="1">
        <v>45815</v>
      </c>
      <c r="C3777" s="2">
        <v>0.29166666666666669</v>
      </c>
      <c r="D3777">
        <v>14.9</v>
      </c>
      <c r="E3777">
        <f>IF($D3777 &gt; 16, 0, $J$3*(16 - $D3777))</f>
        <v>228.52350697076662</v>
      </c>
      <c r="F3777">
        <f>IF($D3777 &gt; 16, 0,$E3777*$J$5)</f>
        <v>2483821.9972652625</v>
      </c>
      <c r="G3777">
        <f t="shared" si="58"/>
        <v>1.0999999999999996</v>
      </c>
    </row>
    <row r="3778" spans="2:7" x14ac:dyDescent="0.35">
      <c r="B3778" s="1">
        <v>45815</v>
      </c>
      <c r="C3778" s="2">
        <v>0.33333333333333331</v>
      </c>
      <c r="D3778">
        <v>15.2</v>
      </c>
      <c r="E3778">
        <f>IF($D3778 &gt; 16, 0, $J$3*(16 - $D3778))</f>
        <v>166.19891416055773</v>
      </c>
      <c r="F3778">
        <f>IF($D3778 &gt; 16, 0,$E3778*$J$5)</f>
        <v>1806415.998011102</v>
      </c>
      <c r="G3778">
        <f t="shared" si="58"/>
        <v>0.80000000000000071</v>
      </c>
    </row>
    <row r="3779" spans="2:7" x14ac:dyDescent="0.35">
      <c r="B3779" s="1">
        <v>45815</v>
      </c>
      <c r="C3779" s="2">
        <v>0.375</v>
      </c>
      <c r="D3779">
        <v>15.7</v>
      </c>
      <c r="E3779">
        <f>IF($D3779 &gt; 16, 0, $J$3*(16 - $D3779))</f>
        <v>62.324592810209246</v>
      </c>
      <c r="F3779">
        <f>IF($D3779 &gt; 16, 0,$E3779*$J$5)</f>
        <v>677405.99925416429</v>
      </c>
      <c r="G3779">
        <f t="shared" ref="G3779:G3842" si="59">MAX(0, 16 - $D3779)</f>
        <v>0.30000000000000071</v>
      </c>
    </row>
    <row r="3780" spans="2:7" x14ac:dyDescent="0.35">
      <c r="B3780" s="1">
        <v>45815</v>
      </c>
      <c r="C3780" s="2">
        <v>0.41666666666666669</v>
      </c>
      <c r="D3780">
        <v>15.5</v>
      </c>
      <c r="E3780">
        <f>IF($D3780 &gt; 16, 0, $J$3*(16 - $D3780))</f>
        <v>103.8743213503485</v>
      </c>
      <c r="F3780">
        <f>IF($D3780 &gt; 16, 0,$E3780*$J$5)</f>
        <v>1129009.9987569377</v>
      </c>
      <c r="G3780">
        <f t="shared" si="59"/>
        <v>0.5</v>
      </c>
    </row>
    <row r="3781" spans="2:7" x14ac:dyDescent="0.35">
      <c r="B3781" s="1">
        <v>45815</v>
      </c>
      <c r="C3781" s="2">
        <v>0.45833333333333331</v>
      </c>
      <c r="D3781">
        <v>16.399999999999999</v>
      </c>
      <c r="E3781">
        <f>IF($D3781 &gt; 16, 0, $J$3*(16 - $D3781))</f>
        <v>0</v>
      </c>
      <c r="F3781">
        <f>IF($D3781 &gt; 16, 0,$E3781*$J$5)</f>
        <v>0</v>
      </c>
      <c r="G3781">
        <f t="shared" si="59"/>
        <v>0</v>
      </c>
    </row>
    <row r="3782" spans="2:7" x14ac:dyDescent="0.35">
      <c r="B3782" s="1">
        <v>45815</v>
      </c>
      <c r="C3782" s="2">
        <v>0.5</v>
      </c>
      <c r="D3782">
        <v>16.3</v>
      </c>
      <c r="E3782">
        <f>IF($D3782 &gt; 16, 0, $J$3*(16 - $D3782))</f>
        <v>0</v>
      </c>
      <c r="F3782">
        <f>IF($D3782 &gt; 16, 0,$E3782*$J$5)</f>
        <v>0</v>
      </c>
      <c r="G3782">
        <f t="shared" si="59"/>
        <v>0</v>
      </c>
    </row>
    <row r="3783" spans="2:7" x14ac:dyDescent="0.35">
      <c r="B3783" s="1">
        <v>45815</v>
      </c>
      <c r="C3783" s="2">
        <v>0.54166666666666663</v>
      </c>
      <c r="D3783">
        <v>16.7</v>
      </c>
      <c r="E3783">
        <f>IF($D3783 &gt; 16, 0, $J$3*(16 - $D3783))</f>
        <v>0</v>
      </c>
      <c r="F3783">
        <f>IF($D3783 &gt; 16, 0,$E3783*$J$5)</f>
        <v>0</v>
      </c>
      <c r="G3783">
        <f t="shared" si="59"/>
        <v>0</v>
      </c>
    </row>
    <row r="3784" spans="2:7" x14ac:dyDescent="0.35">
      <c r="B3784" s="1">
        <v>45815</v>
      </c>
      <c r="C3784" s="2">
        <v>0.58333333333333337</v>
      </c>
      <c r="D3784">
        <v>16.5</v>
      </c>
      <c r="E3784">
        <f>IF($D3784 &gt; 16, 0, $J$3*(16 - $D3784))</f>
        <v>0</v>
      </c>
      <c r="F3784">
        <f>IF($D3784 &gt; 16, 0,$E3784*$J$5)</f>
        <v>0</v>
      </c>
      <c r="G3784">
        <f t="shared" si="59"/>
        <v>0</v>
      </c>
    </row>
    <row r="3785" spans="2:7" x14ac:dyDescent="0.35">
      <c r="B3785" s="1">
        <v>45815</v>
      </c>
      <c r="C3785" s="2">
        <v>0.625</v>
      </c>
      <c r="D3785">
        <v>15.4</v>
      </c>
      <c r="E3785">
        <f>IF($D3785 &gt; 16, 0, $J$3*(16 - $D3785))</f>
        <v>124.64918562041812</v>
      </c>
      <c r="F3785">
        <f>IF($D3785 &gt; 16, 0,$E3785*$J$5)</f>
        <v>1354811.9985083246</v>
      </c>
      <c r="G3785">
        <f t="shared" si="59"/>
        <v>0.59999999999999964</v>
      </c>
    </row>
    <row r="3786" spans="2:7" x14ac:dyDescent="0.35">
      <c r="B3786" s="1">
        <v>45815</v>
      </c>
      <c r="C3786" s="2">
        <v>0.66666666666666663</v>
      </c>
      <c r="D3786">
        <v>16.100000000000001</v>
      </c>
      <c r="E3786">
        <f>IF($D3786 &gt; 16, 0, $J$3*(16 - $D3786))</f>
        <v>0</v>
      </c>
      <c r="F3786">
        <f>IF($D3786 &gt; 16, 0,$E3786*$J$5)</f>
        <v>0</v>
      </c>
      <c r="G3786">
        <f t="shared" si="59"/>
        <v>0</v>
      </c>
    </row>
    <row r="3787" spans="2:7" x14ac:dyDescent="0.35">
      <c r="B3787" s="1">
        <v>45815</v>
      </c>
      <c r="C3787" s="2">
        <v>0.70833333333333337</v>
      </c>
      <c r="D3787">
        <v>15.2</v>
      </c>
      <c r="E3787">
        <f>IF($D3787 &gt; 16, 0, $J$3*(16 - $D3787))</f>
        <v>166.19891416055773</v>
      </c>
      <c r="F3787">
        <f>IF($D3787 &gt; 16, 0,$E3787*$J$5)</f>
        <v>1806415.998011102</v>
      </c>
      <c r="G3787">
        <f t="shared" si="59"/>
        <v>0.80000000000000071</v>
      </c>
    </row>
    <row r="3788" spans="2:7" x14ac:dyDescent="0.35">
      <c r="B3788" s="1">
        <v>45815</v>
      </c>
      <c r="C3788" s="2">
        <v>0.75</v>
      </c>
      <c r="D3788">
        <v>14.9</v>
      </c>
      <c r="E3788">
        <f>IF($D3788 &gt; 16, 0, $J$3*(16 - $D3788))</f>
        <v>228.52350697076662</v>
      </c>
      <c r="F3788">
        <f>IF($D3788 &gt; 16, 0,$E3788*$J$5)</f>
        <v>2483821.9972652625</v>
      </c>
      <c r="G3788">
        <f t="shared" si="59"/>
        <v>1.0999999999999996</v>
      </c>
    </row>
    <row r="3789" spans="2:7" x14ac:dyDescent="0.35">
      <c r="B3789" s="1">
        <v>45815</v>
      </c>
      <c r="C3789" s="2">
        <v>0.79166666666666663</v>
      </c>
      <c r="D3789">
        <v>13.1</v>
      </c>
      <c r="E3789">
        <f>IF($D3789 &gt; 16, 0, $J$3*(16 - $D3789))</f>
        <v>602.4710638320214</v>
      </c>
      <c r="F3789">
        <f>IF($D3789 &gt; 16, 0,$E3789*$J$5)</f>
        <v>6548257.9927902408</v>
      </c>
      <c r="G3789">
        <f t="shared" si="59"/>
        <v>2.9000000000000004</v>
      </c>
    </row>
    <row r="3790" spans="2:7" x14ac:dyDescent="0.35">
      <c r="B3790" s="1">
        <v>45815</v>
      </c>
      <c r="C3790" s="2">
        <v>0.83333333333333337</v>
      </c>
      <c r="D3790">
        <v>12.3</v>
      </c>
      <c r="E3790">
        <f>IF($D3790 &gt; 16, 0, $J$3*(16 - $D3790))</f>
        <v>768.66997799257877</v>
      </c>
      <c r="F3790">
        <f>IF($D3790 &gt; 16, 0,$E3790*$J$5)</f>
        <v>8354673.990801339</v>
      </c>
      <c r="G3790">
        <f t="shared" si="59"/>
        <v>3.6999999999999993</v>
      </c>
    </row>
    <row r="3791" spans="2:7" x14ac:dyDescent="0.35">
      <c r="B3791" s="1">
        <v>45815</v>
      </c>
      <c r="C3791" s="2">
        <v>0.875</v>
      </c>
      <c r="D3791">
        <v>11.7</v>
      </c>
      <c r="E3791">
        <f>IF($D3791 &gt; 16, 0, $J$3*(16 - $D3791))</f>
        <v>893.31916361299716</v>
      </c>
      <c r="F3791">
        <f>IF($D3791 &gt; 16, 0,$E3791*$J$5)</f>
        <v>9709485.9893096667</v>
      </c>
      <c r="G3791">
        <f t="shared" si="59"/>
        <v>4.3000000000000007</v>
      </c>
    </row>
    <row r="3792" spans="2:7" x14ac:dyDescent="0.35">
      <c r="B3792" s="1">
        <v>45815</v>
      </c>
      <c r="C3792" s="2">
        <v>0.91666666666666663</v>
      </c>
      <c r="D3792">
        <v>11.2</v>
      </c>
      <c r="E3792">
        <f>IF($D3792 &gt; 16, 0, $J$3*(16 - $D3792))</f>
        <v>997.19348496334567</v>
      </c>
      <c r="F3792">
        <f>IF($D3792 &gt; 16, 0,$E3792*$J$5)</f>
        <v>10838495.988066604</v>
      </c>
      <c r="G3792">
        <f t="shared" si="59"/>
        <v>4.8000000000000007</v>
      </c>
    </row>
    <row r="3793" spans="2:7" x14ac:dyDescent="0.35">
      <c r="B3793" s="1">
        <v>45815</v>
      </c>
      <c r="C3793" s="2">
        <v>0.95833333333333337</v>
      </c>
      <c r="D3793">
        <v>10.4</v>
      </c>
      <c r="E3793">
        <f>IF($D3793 &gt; 16, 0, $J$3*(16 - $D3793))</f>
        <v>1163.392399123903</v>
      </c>
      <c r="F3793">
        <f>IF($D3793 &gt; 16, 0,$E3793*$J$5)</f>
        <v>12644911.986077702</v>
      </c>
      <c r="G3793">
        <f t="shared" si="59"/>
        <v>5.6</v>
      </c>
    </row>
    <row r="3794" spans="2:7" x14ac:dyDescent="0.35">
      <c r="B3794" s="1">
        <v>45816</v>
      </c>
      <c r="C3794" s="2">
        <v>0</v>
      </c>
      <c r="D3794">
        <v>10.5</v>
      </c>
      <c r="E3794">
        <f>IF($D3794 &gt; 16, 0, $J$3*(16 - $D3794))</f>
        <v>1142.6175348538334</v>
      </c>
      <c r="F3794">
        <f>IF($D3794 &gt; 16, 0,$E3794*$J$5)</f>
        <v>12419109.986326315</v>
      </c>
      <c r="G3794">
        <f t="shared" si="59"/>
        <v>5.5</v>
      </c>
    </row>
    <row r="3795" spans="2:7" x14ac:dyDescent="0.35">
      <c r="B3795" s="1">
        <v>45816</v>
      </c>
      <c r="C3795" s="2">
        <v>4.1666666666666657E-2</v>
      </c>
      <c r="D3795">
        <v>10.199999999999999</v>
      </c>
      <c r="E3795">
        <f>IF($D3795 &gt; 16, 0, $J$3*(16 - $D3795))</f>
        <v>1204.9421276640428</v>
      </c>
      <c r="F3795">
        <f>IF($D3795 &gt; 16, 0,$E3795*$J$5)</f>
        <v>13096515.985580482</v>
      </c>
      <c r="G3795">
        <f t="shared" si="59"/>
        <v>5.8000000000000007</v>
      </c>
    </row>
    <row r="3796" spans="2:7" x14ac:dyDescent="0.35">
      <c r="B3796" s="1">
        <v>45816</v>
      </c>
      <c r="C3796" s="2">
        <v>8.3333333333333329E-2</v>
      </c>
      <c r="D3796">
        <v>10.1</v>
      </c>
      <c r="E3796">
        <f>IF($D3796 &gt; 16, 0, $J$3*(16 - $D3796))</f>
        <v>1225.7169919341122</v>
      </c>
      <c r="F3796">
        <f>IF($D3796 &gt; 16, 0,$E3796*$J$5)</f>
        <v>13322317.985331865</v>
      </c>
      <c r="G3796">
        <f t="shared" si="59"/>
        <v>5.9</v>
      </c>
    </row>
    <row r="3797" spans="2:7" x14ac:dyDescent="0.35">
      <c r="B3797" s="1">
        <v>45816</v>
      </c>
      <c r="C3797" s="2">
        <v>0.125</v>
      </c>
      <c r="D3797">
        <v>10.9</v>
      </c>
      <c r="E3797">
        <f>IF($D3797 &gt; 16, 0, $J$3*(16 - $D3797))</f>
        <v>1059.5180777735545</v>
      </c>
      <c r="F3797">
        <f>IF($D3797 &gt; 16, 0,$E3797*$J$5)</f>
        <v>11515901.987320764</v>
      </c>
      <c r="G3797">
        <f t="shared" si="59"/>
        <v>5.0999999999999996</v>
      </c>
    </row>
    <row r="3798" spans="2:7" x14ac:dyDescent="0.35">
      <c r="B3798" s="1">
        <v>45816</v>
      </c>
      <c r="C3798" s="2">
        <v>0.16666666666666671</v>
      </c>
      <c r="D3798">
        <v>11.2</v>
      </c>
      <c r="E3798">
        <f>IF($D3798 &gt; 16, 0, $J$3*(16 - $D3798))</f>
        <v>997.19348496334567</v>
      </c>
      <c r="F3798">
        <f>IF($D3798 &gt; 16, 0,$E3798*$J$5)</f>
        <v>10838495.988066604</v>
      </c>
      <c r="G3798">
        <f t="shared" si="59"/>
        <v>4.8000000000000007</v>
      </c>
    </row>
    <row r="3799" spans="2:7" x14ac:dyDescent="0.35">
      <c r="B3799" s="1">
        <v>45816</v>
      </c>
      <c r="C3799" s="2">
        <v>0.20833333333333329</v>
      </c>
      <c r="D3799">
        <v>11.4</v>
      </c>
      <c r="E3799">
        <f>IF($D3799 &gt; 16, 0, $J$3*(16 - $D3799))</f>
        <v>955.64375642320613</v>
      </c>
      <c r="F3799">
        <f>IF($D3799 &gt; 16, 0,$E3799*$J$5)</f>
        <v>10386891.988563828</v>
      </c>
      <c r="G3799">
        <f t="shared" si="59"/>
        <v>4.5999999999999996</v>
      </c>
    </row>
    <row r="3800" spans="2:7" x14ac:dyDescent="0.35">
      <c r="B3800" s="1">
        <v>45816</v>
      </c>
      <c r="C3800" s="2">
        <v>0.25</v>
      </c>
      <c r="D3800">
        <v>11.9</v>
      </c>
      <c r="E3800">
        <f>IF($D3800 &gt; 16, 0, $J$3*(16 - $D3800))</f>
        <v>851.76943507285762</v>
      </c>
      <c r="F3800">
        <f>IF($D3800 &gt; 16, 0,$E3800*$J$5)</f>
        <v>9257881.9898068886</v>
      </c>
      <c r="G3800">
        <f t="shared" si="59"/>
        <v>4.0999999999999996</v>
      </c>
    </row>
    <row r="3801" spans="2:7" x14ac:dyDescent="0.35">
      <c r="B3801" s="1">
        <v>45816</v>
      </c>
      <c r="C3801" s="2">
        <v>0.29166666666666669</v>
      </c>
      <c r="D3801">
        <v>12.4</v>
      </c>
      <c r="E3801">
        <f>IF($D3801 &gt; 16, 0, $J$3*(16 - $D3801))</f>
        <v>747.89511372250911</v>
      </c>
      <c r="F3801">
        <f>IF($D3801 &gt; 16, 0,$E3801*$J$5)</f>
        <v>8128871.9910499519</v>
      </c>
      <c r="G3801">
        <f t="shared" si="59"/>
        <v>3.5999999999999996</v>
      </c>
    </row>
    <row r="3802" spans="2:7" x14ac:dyDescent="0.35">
      <c r="B3802" s="1">
        <v>45816</v>
      </c>
      <c r="C3802" s="2">
        <v>0.33333333333333331</v>
      </c>
      <c r="D3802">
        <v>13.2</v>
      </c>
      <c r="E3802">
        <f>IF($D3802 &gt; 16, 0, $J$3*(16 - $D3802))</f>
        <v>581.69619956195174</v>
      </c>
      <c r="F3802">
        <f>IF($D3802 &gt; 16, 0,$E3802*$J$5)</f>
        <v>6322455.9930388536</v>
      </c>
      <c r="G3802">
        <f t="shared" si="59"/>
        <v>2.8000000000000007</v>
      </c>
    </row>
    <row r="3803" spans="2:7" x14ac:dyDescent="0.35">
      <c r="B3803" s="1">
        <v>45816</v>
      </c>
      <c r="C3803" s="2">
        <v>0.375</v>
      </c>
      <c r="D3803">
        <v>12.8</v>
      </c>
      <c r="E3803">
        <f>IF($D3803 &gt; 16, 0, $J$3*(16 - $D3803))</f>
        <v>664.79565664223026</v>
      </c>
      <c r="F3803">
        <f>IF($D3803 &gt; 16, 0,$E3803*$J$5)</f>
        <v>7225663.9920444004</v>
      </c>
      <c r="G3803">
        <f t="shared" si="59"/>
        <v>3.1999999999999993</v>
      </c>
    </row>
    <row r="3804" spans="2:7" x14ac:dyDescent="0.35">
      <c r="B3804" s="1">
        <v>45816</v>
      </c>
      <c r="C3804" s="2">
        <v>0.41666666666666669</v>
      </c>
      <c r="D3804">
        <v>13.6</v>
      </c>
      <c r="E3804">
        <f>IF($D3804 &gt; 16, 0, $J$3*(16 - $D3804))</f>
        <v>498.59674248167283</v>
      </c>
      <c r="F3804">
        <f>IF($D3804 &gt; 16, 0,$E3804*$J$5)</f>
        <v>5419247.9940333022</v>
      </c>
      <c r="G3804">
        <f t="shared" si="59"/>
        <v>2.4000000000000004</v>
      </c>
    </row>
    <row r="3805" spans="2:7" x14ac:dyDescent="0.35">
      <c r="B3805" s="1">
        <v>45816</v>
      </c>
      <c r="C3805" s="2">
        <v>0.45833333333333331</v>
      </c>
      <c r="D3805">
        <v>13</v>
      </c>
      <c r="E3805">
        <f>IF($D3805 &gt; 16, 0, $J$3*(16 - $D3805))</f>
        <v>623.24592810209094</v>
      </c>
      <c r="F3805">
        <f>IF($D3805 &gt; 16, 0,$E3805*$J$5)</f>
        <v>6774059.9925416261</v>
      </c>
      <c r="G3805">
        <f t="shared" si="59"/>
        <v>3</v>
      </c>
    </row>
    <row r="3806" spans="2:7" x14ac:dyDescent="0.35">
      <c r="B3806" s="1">
        <v>45816</v>
      </c>
      <c r="C3806" s="2">
        <v>0.5</v>
      </c>
      <c r="D3806">
        <v>13.1</v>
      </c>
      <c r="E3806">
        <f>IF($D3806 &gt; 16, 0, $J$3*(16 - $D3806))</f>
        <v>602.4710638320214</v>
      </c>
      <c r="F3806">
        <f>IF($D3806 &gt; 16, 0,$E3806*$J$5)</f>
        <v>6548257.9927902408</v>
      </c>
      <c r="G3806">
        <f t="shared" si="59"/>
        <v>2.9000000000000004</v>
      </c>
    </row>
    <row r="3807" spans="2:7" x14ac:dyDescent="0.35">
      <c r="B3807" s="1">
        <v>45816</v>
      </c>
      <c r="C3807" s="2">
        <v>0.54166666666666663</v>
      </c>
      <c r="D3807">
        <v>13.1</v>
      </c>
      <c r="E3807">
        <f>IF($D3807 &gt; 16, 0, $J$3*(16 - $D3807))</f>
        <v>602.4710638320214</v>
      </c>
      <c r="F3807">
        <f>IF($D3807 &gt; 16, 0,$E3807*$J$5)</f>
        <v>6548257.9927902408</v>
      </c>
      <c r="G3807">
        <f t="shared" si="59"/>
        <v>2.9000000000000004</v>
      </c>
    </row>
    <row r="3808" spans="2:7" x14ac:dyDescent="0.35">
      <c r="B3808" s="1">
        <v>45816</v>
      </c>
      <c r="C3808" s="2">
        <v>0.58333333333333337</v>
      </c>
      <c r="D3808">
        <v>13.4</v>
      </c>
      <c r="E3808">
        <f>IF($D3808 &gt; 16, 0, $J$3*(16 - $D3808))</f>
        <v>540.14647102181209</v>
      </c>
      <c r="F3808">
        <f>IF($D3808 &gt; 16, 0,$E3808*$J$5)</f>
        <v>5870851.9935360756</v>
      </c>
      <c r="G3808">
        <f t="shared" si="59"/>
        <v>2.5999999999999996</v>
      </c>
    </row>
    <row r="3809" spans="2:7" x14ac:dyDescent="0.35">
      <c r="B3809" s="1">
        <v>45816</v>
      </c>
      <c r="C3809" s="2">
        <v>0.625</v>
      </c>
      <c r="D3809">
        <v>14.3</v>
      </c>
      <c r="E3809">
        <f>IF($D3809 &gt; 16, 0, $J$3*(16 - $D3809))</f>
        <v>353.17269259118473</v>
      </c>
      <c r="F3809">
        <f>IF($D3809 &gt; 16, 0,$E3809*$J$5)</f>
        <v>3838633.9957735869</v>
      </c>
      <c r="G3809">
        <f t="shared" si="59"/>
        <v>1.6999999999999993</v>
      </c>
    </row>
    <row r="3810" spans="2:7" x14ac:dyDescent="0.35">
      <c r="B3810" s="1">
        <v>45816</v>
      </c>
      <c r="C3810" s="2">
        <v>0.66666666666666663</v>
      </c>
      <c r="D3810">
        <v>13.7</v>
      </c>
      <c r="E3810">
        <f>IF($D3810 &gt; 16, 0, $J$3*(16 - $D3810))</f>
        <v>477.82187821160323</v>
      </c>
      <c r="F3810">
        <f>IF($D3810 &gt; 16, 0,$E3810*$J$5)</f>
        <v>5193445.9942819159</v>
      </c>
      <c r="G3810">
        <f t="shared" si="59"/>
        <v>2.3000000000000007</v>
      </c>
    </row>
    <row r="3811" spans="2:7" x14ac:dyDescent="0.35">
      <c r="B3811" s="1">
        <v>45816</v>
      </c>
      <c r="C3811" s="2">
        <v>0.70833333333333337</v>
      </c>
      <c r="D3811">
        <v>13.8</v>
      </c>
      <c r="E3811">
        <f>IF($D3811 &gt; 16, 0, $J$3*(16 - $D3811))</f>
        <v>457.04701394153324</v>
      </c>
      <c r="F3811">
        <f>IF($D3811 &gt; 16, 0,$E3811*$J$5)</f>
        <v>4967643.9945305251</v>
      </c>
      <c r="G3811">
        <f t="shared" si="59"/>
        <v>2.1999999999999993</v>
      </c>
    </row>
    <row r="3812" spans="2:7" x14ac:dyDescent="0.35">
      <c r="B3812" s="1">
        <v>45816</v>
      </c>
      <c r="C3812" s="2">
        <v>0.75</v>
      </c>
      <c r="D3812">
        <v>13.6</v>
      </c>
      <c r="E3812">
        <f>IF($D3812 &gt; 16, 0, $J$3*(16 - $D3812))</f>
        <v>498.59674248167283</v>
      </c>
      <c r="F3812">
        <f>IF($D3812 &gt; 16, 0,$E3812*$J$5)</f>
        <v>5419247.9940333022</v>
      </c>
      <c r="G3812">
        <f t="shared" si="59"/>
        <v>2.4000000000000004</v>
      </c>
    </row>
    <row r="3813" spans="2:7" x14ac:dyDescent="0.35">
      <c r="B3813" s="1">
        <v>45816</v>
      </c>
      <c r="C3813" s="2">
        <v>0.79166666666666663</v>
      </c>
      <c r="D3813">
        <v>12.9</v>
      </c>
      <c r="E3813">
        <f>IF($D3813 &gt; 16, 0, $J$3*(16 - $D3813))</f>
        <v>644.0207923721606</v>
      </c>
      <c r="F3813">
        <f>IF($D3813 &gt; 16, 0,$E3813*$J$5)</f>
        <v>6999861.9922930133</v>
      </c>
      <c r="G3813">
        <f t="shared" si="59"/>
        <v>3.0999999999999996</v>
      </c>
    </row>
    <row r="3814" spans="2:7" x14ac:dyDescent="0.35">
      <c r="B3814" s="1">
        <v>45816</v>
      </c>
      <c r="C3814" s="2">
        <v>0.83333333333333337</v>
      </c>
      <c r="D3814">
        <v>11.3</v>
      </c>
      <c r="E3814">
        <f>IF($D3814 &gt; 16, 0, $J$3*(16 - $D3814))</f>
        <v>976.41862069327567</v>
      </c>
      <c r="F3814">
        <f>IF($D3814 &gt; 16, 0,$E3814*$J$5)</f>
        <v>10612693.988315213</v>
      </c>
      <c r="G3814">
        <f t="shared" si="59"/>
        <v>4.6999999999999993</v>
      </c>
    </row>
    <row r="3815" spans="2:7" x14ac:dyDescent="0.35">
      <c r="B3815" s="1">
        <v>45816</v>
      </c>
      <c r="C3815" s="2">
        <v>0.875</v>
      </c>
      <c r="D3815">
        <v>11.6</v>
      </c>
      <c r="E3815">
        <f>IF($D3815 &gt; 16, 0, $J$3*(16 - $D3815))</f>
        <v>914.09402788306681</v>
      </c>
      <c r="F3815">
        <f>IF($D3815 &gt; 16, 0,$E3815*$J$5)</f>
        <v>9935287.9890610538</v>
      </c>
      <c r="G3815">
        <f t="shared" si="59"/>
        <v>4.4000000000000004</v>
      </c>
    </row>
    <row r="3816" spans="2:7" x14ac:dyDescent="0.35">
      <c r="B3816" s="1">
        <v>45816</v>
      </c>
      <c r="C3816" s="2">
        <v>0.91666666666666663</v>
      </c>
      <c r="D3816">
        <v>11.4</v>
      </c>
      <c r="E3816">
        <f>IF($D3816 &gt; 16, 0, $J$3*(16 - $D3816))</f>
        <v>955.64375642320613</v>
      </c>
      <c r="F3816">
        <f>IF($D3816 &gt; 16, 0,$E3816*$J$5)</f>
        <v>10386891.988563828</v>
      </c>
      <c r="G3816">
        <f t="shared" si="59"/>
        <v>4.5999999999999996</v>
      </c>
    </row>
    <row r="3817" spans="2:7" x14ac:dyDescent="0.35">
      <c r="B3817" s="1">
        <v>45816</v>
      </c>
      <c r="C3817" s="2">
        <v>0.95833333333333337</v>
      </c>
      <c r="D3817">
        <v>10.7</v>
      </c>
      <c r="E3817">
        <f>IF($D3817 &gt; 16, 0, $J$3*(16 - $D3817))</f>
        <v>1101.0678063136943</v>
      </c>
      <c r="F3817">
        <f>IF($D3817 &gt; 16, 0,$E3817*$J$5)</f>
        <v>11967505.986823544</v>
      </c>
      <c r="G3817">
        <f t="shared" si="59"/>
        <v>5.3000000000000007</v>
      </c>
    </row>
    <row r="3818" spans="2:7" x14ac:dyDescent="0.35">
      <c r="B3818" s="1">
        <v>45817</v>
      </c>
      <c r="C3818" s="2">
        <v>0</v>
      </c>
      <c r="D3818">
        <v>10.6</v>
      </c>
      <c r="E3818">
        <f>IF($D3818 &gt; 16, 0, $J$3*(16 - $D3818))</f>
        <v>1121.8426705837637</v>
      </c>
      <c r="F3818">
        <f>IF($D3818 &gt; 16, 0,$E3818*$J$5)</f>
        <v>12193307.986574927</v>
      </c>
      <c r="G3818">
        <f t="shared" si="59"/>
        <v>5.4</v>
      </c>
    </row>
    <row r="3819" spans="2:7" x14ac:dyDescent="0.35">
      <c r="B3819" s="1">
        <v>45817</v>
      </c>
      <c r="C3819" s="2">
        <v>4.1666666666666657E-2</v>
      </c>
      <c r="D3819">
        <v>10.7</v>
      </c>
      <c r="E3819">
        <f>IF($D3819 &gt; 16, 0, $J$3*(16 - $D3819))</f>
        <v>1101.0678063136943</v>
      </c>
      <c r="F3819">
        <f>IF($D3819 &gt; 16, 0,$E3819*$J$5)</f>
        <v>11967505.986823544</v>
      </c>
      <c r="G3819">
        <f t="shared" si="59"/>
        <v>5.3000000000000007</v>
      </c>
    </row>
    <row r="3820" spans="2:7" x14ac:dyDescent="0.35">
      <c r="B3820" s="1">
        <v>45817</v>
      </c>
      <c r="C3820" s="2">
        <v>8.3333333333333329E-2</v>
      </c>
      <c r="D3820">
        <v>10.4</v>
      </c>
      <c r="E3820">
        <f>IF($D3820 &gt; 16, 0, $J$3*(16 - $D3820))</f>
        <v>1163.392399123903</v>
      </c>
      <c r="F3820">
        <f>IF($D3820 &gt; 16, 0,$E3820*$J$5)</f>
        <v>12644911.986077702</v>
      </c>
      <c r="G3820">
        <f t="shared" si="59"/>
        <v>5.6</v>
      </c>
    </row>
    <row r="3821" spans="2:7" x14ac:dyDescent="0.35">
      <c r="B3821" s="1">
        <v>45817</v>
      </c>
      <c r="C3821" s="2">
        <v>0.125</v>
      </c>
      <c r="D3821">
        <v>9.6999999999999993</v>
      </c>
      <c r="E3821">
        <f>IF($D3821 &gt; 16, 0, $J$3*(16 - $D3821))</f>
        <v>1308.8164490143911</v>
      </c>
      <c r="F3821">
        <f>IF($D3821 &gt; 16, 0,$E3821*$J$5)</f>
        <v>14225525.984337417</v>
      </c>
      <c r="G3821">
        <f t="shared" si="59"/>
        <v>6.3000000000000007</v>
      </c>
    </row>
    <row r="3822" spans="2:7" x14ac:dyDescent="0.35">
      <c r="B3822" s="1">
        <v>45817</v>
      </c>
      <c r="C3822" s="2">
        <v>0.16666666666666671</v>
      </c>
      <c r="D3822">
        <v>9.5</v>
      </c>
      <c r="E3822">
        <f>IF($D3822 &gt; 16, 0, $J$3*(16 - $D3822))</f>
        <v>1350.3661775545304</v>
      </c>
      <c r="F3822">
        <f>IF($D3822 &gt; 16, 0,$E3822*$J$5)</f>
        <v>14677129.983840192</v>
      </c>
      <c r="G3822">
        <f t="shared" si="59"/>
        <v>6.5</v>
      </c>
    </row>
    <row r="3823" spans="2:7" x14ac:dyDescent="0.35">
      <c r="B3823" s="1">
        <v>45817</v>
      </c>
      <c r="C3823" s="2">
        <v>0.20833333333333329</v>
      </c>
      <c r="D3823">
        <v>9.4</v>
      </c>
      <c r="E3823">
        <f>IF($D3823 &gt; 16, 0, $J$3*(16 - $D3823))</f>
        <v>1371.1410418246001</v>
      </c>
      <c r="F3823">
        <f>IF($D3823 &gt; 16, 0,$E3823*$J$5)</f>
        <v>14902931.983591577</v>
      </c>
      <c r="G3823">
        <f t="shared" si="59"/>
        <v>6.6</v>
      </c>
    </row>
    <row r="3824" spans="2:7" x14ac:dyDescent="0.35">
      <c r="B3824" s="1">
        <v>45817</v>
      </c>
      <c r="C3824" s="2">
        <v>0.25</v>
      </c>
      <c r="D3824">
        <v>10.3</v>
      </c>
      <c r="E3824">
        <f>IF($D3824 &gt; 16, 0, $J$3*(16 - $D3824))</f>
        <v>1184.1672633939727</v>
      </c>
      <c r="F3824">
        <f>IF($D3824 &gt; 16, 0,$E3824*$J$5)</f>
        <v>12870713.985829089</v>
      </c>
      <c r="G3824">
        <f t="shared" si="59"/>
        <v>5.6999999999999993</v>
      </c>
    </row>
    <row r="3825" spans="2:7" x14ac:dyDescent="0.35">
      <c r="B3825" s="1">
        <v>45817</v>
      </c>
      <c r="C3825" s="2">
        <v>0.29166666666666669</v>
      </c>
      <c r="D3825">
        <v>11.8</v>
      </c>
      <c r="E3825">
        <f>IF($D3825 &gt; 16, 0, $J$3*(16 - $D3825))</f>
        <v>872.54429934292716</v>
      </c>
      <c r="F3825">
        <f>IF($D3825 &gt; 16, 0,$E3825*$J$5)</f>
        <v>9483683.9895582758</v>
      </c>
      <c r="G3825">
        <f t="shared" si="59"/>
        <v>4.1999999999999993</v>
      </c>
    </row>
    <row r="3826" spans="2:7" x14ac:dyDescent="0.35">
      <c r="B3826" s="1">
        <v>45817</v>
      </c>
      <c r="C3826" s="2">
        <v>0.33333333333333331</v>
      </c>
      <c r="D3826">
        <v>12.8</v>
      </c>
      <c r="E3826">
        <f>IF($D3826 &gt; 16, 0, $J$3*(16 - $D3826))</f>
        <v>664.79565664223026</v>
      </c>
      <c r="F3826">
        <f>IF($D3826 &gt; 16, 0,$E3826*$J$5)</f>
        <v>7225663.9920444004</v>
      </c>
      <c r="G3826">
        <f t="shared" si="59"/>
        <v>3.1999999999999993</v>
      </c>
    </row>
    <row r="3827" spans="2:7" x14ac:dyDescent="0.35">
      <c r="B3827" s="1">
        <v>45817</v>
      </c>
      <c r="C3827" s="2">
        <v>0.375</v>
      </c>
      <c r="D3827">
        <v>13.7</v>
      </c>
      <c r="E3827">
        <f>IF($D3827 &gt; 16, 0, $J$3*(16 - $D3827))</f>
        <v>477.82187821160323</v>
      </c>
      <c r="F3827">
        <f>IF($D3827 &gt; 16, 0,$E3827*$J$5)</f>
        <v>5193445.9942819159</v>
      </c>
      <c r="G3827">
        <f t="shared" si="59"/>
        <v>2.3000000000000007</v>
      </c>
    </row>
    <row r="3828" spans="2:7" x14ac:dyDescent="0.35">
      <c r="B3828" s="1">
        <v>45817</v>
      </c>
      <c r="C3828" s="2">
        <v>0.41666666666666669</v>
      </c>
      <c r="D3828">
        <v>15</v>
      </c>
      <c r="E3828">
        <f>IF($D3828 &gt; 16, 0, $J$3*(16 - $D3828))</f>
        <v>207.74864270069699</v>
      </c>
      <c r="F3828">
        <f>IF($D3828 &gt; 16, 0,$E3828*$J$5)</f>
        <v>2258019.9975138754</v>
      </c>
      <c r="G3828">
        <f t="shared" si="59"/>
        <v>1</v>
      </c>
    </row>
    <row r="3829" spans="2:7" x14ac:dyDescent="0.35">
      <c r="B3829" s="1">
        <v>45817</v>
      </c>
      <c r="C3829" s="2">
        <v>0.45833333333333331</v>
      </c>
      <c r="D3829">
        <v>15.5</v>
      </c>
      <c r="E3829">
        <f>IF($D3829 &gt; 16, 0, $J$3*(16 - $D3829))</f>
        <v>103.8743213503485</v>
      </c>
      <c r="F3829">
        <f>IF($D3829 &gt; 16, 0,$E3829*$J$5)</f>
        <v>1129009.9987569377</v>
      </c>
      <c r="G3829">
        <f t="shared" si="59"/>
        <v>0.5</v>
      </c>
    </row>
    <row r="3830" spans="2:7" x14ac:dyDescent="0.35">
      <c r="B3830" s="1">
        <v>45817</v>
      </c>
      <c r="C3830" s="2">
        <v>0.5</v>
      </c>
      <c r="D3830">
        <v>16.2</v>
      </c>
      <c r="E3830">
        <f>IF($D3830 &gt; 16, 0, $J$3*(16 - $D3830))</f>
        <v>0</v>
      </c>
      <c r="F3830">
        <f>IF($D3830 &gt; 16, 0,$E3830*$J$5)</f>
        <v>0</v>
      </c>
      <c r="G3830">
        <f t="shared" si="59"/>
        <v>0</v>
      </c>
    </row>
    <row r="3831" spans="2:7" x14ac:dyDescent="0.35">
      <c r="B3831" s="1">
        <v>45817</v>
      </c>
      <c r="C3831" s="2">
        <v>0.54166666666666663</v>
      </c>
      <c r="D3831">
        <v>16.8</v>
      </c>
      <c r="E3831">
        <f>IF($D3831 &gt; 16, 0, $J$3*(16 - $D3831))</f>
        <v>0</v>
      </c>
      <c r="F3831">
        <f>IF($D3831 &gt; 16, 0,$E3831*$J$5)</f>
        <v>0</v>
      </c>
      <c r="G3831">
        <f t="shared" si="59"/>
        <v>0</v>
      </c>
    </row>
    <row r="3832" spans="2:7" x14ac:dyDescent="0.35">
      <c r="B3832" s="1">
        <v>45817</v>
      </c>
      <c r="C3832" s="2">
        <v>0.58333333333333337</v>
      </c>
      <c r="D3832">
        <v>15.8</v>
      </c>
      <c r="E3832">
        <f>IF($D3832 &gt; 16, 0, $J$3*(16 - $D3832))</f>
        <v>41.549728540139249</v>
      </c>
      <c r="F3832">
        <f>IF($D3832 &gt; 16, 0,$E3832*$J$5)</f>
        <v>451603.99950277351</v>
      </c>
      <c r="G3832">
        <f t="shared" si="59"/>
        <v>0.19999999999999929</v>
      </c>
    </row>
    <row r="3833" spans="2:7" x14ac:dyDescent="0.35">
      <c r="B3833" s="1">
        <v>45817</v>
      </c>
      <c r="C3833" s="2">
        <v>0.625</v>
      </c>
      <c r="D3833">
        <v>15.9</v>
      </c>
      <c r="E3833">
        <f>IF($D3833 &gt; 16, 0, $J$3*(16 - $D3833))</f>
        <v>20.774864270069624</v>
      </c>
      <c r="F3833">
        <f>IF($D3833 &gt; 16, 0,$E3833*$J$5)</f>
        <v>225801.99975138676</v>
      </c>
      <c r="G3833">
        <f t="shared" si="59"/>
        <v>9.9999999999999645E-2</v>
      </c>
    </row>
    <row r="3834" spans="2:7" x14ac:dyDescent="0.35">
      <c r="B3834" s="1">
        <v>45817</v>
      </c>
      <c r="C3834" s="2">
        <v>0.66666666666666663</v>
      </c>
      <c r="D3834">
        <v>15.3</v>
      </c>
      <c r="E3834">
        <f>IF($D3834 &gt; 16, 0, $J$3*(16 - $D3834))</f>
        <v>145.42404989048774</v>
      </c>
      <c r="F3834">
        <f>IF($D3834 &gt; 16, 0,$E3834*$J$5)</f>
        <v>1580613.9982597113</v>
      </c>
      <c r="G3834">
        <f t="shared" si="59"/>
        <v>0.69999999999999929</v>
      </c>
    </row>
    <row r="3835" spans="2:7" x14ac:dyDescent="0.35">
      <c r="B3835" s="1">
        <v>45817</v>
      </c>
      <c r="C3835" s="2">
        <v>0.70833333333333337</v>
      </c>
      <c r="D3835">
        <v>15.5</v>
      </c>
      <c r="E3835">
        <f>IF($D3835 &gt; 16, 0, $J$3*(16 - $D3835))</f>
        <v>103.8743213503485</v>
      </c>
      <c r="F3835">
        <f>IF($D3835 &gt; 16, 0,$E3835*$J$5)</f>
        <v>1129009.9987569377</v>
      </c>
      <c r="G3835">
        <f t="shared" si="59"/>
        <v>0.5</v>
      </c>
    </row>
    <row r="3836" spans="2:7" x14ac:dyDescent="0.35">
      <c r="B3836" s="1">
        <v>45817</v>
      </c>
      <c r="C3836" s="2">
        <v>0.75</v>
      </c>
      <c r="D3836">
        <v>13.9</v>
      </c>
      <c r="E3836">
        <f>IF($D3836 &gt; 16, 0, $J$3*(16 - $D3836))</f>
        <v>436.27214967146358</v>
      </c>
      <c r="F3836">
        <f>IF($D3836 &gt; 16, 0,$E3836*$J$5)</f>
        <v>4741841.9947791379</v>
      </c>
      <c r="G3836">
        <f t="shared" si="59"/>
        <v>2.0999999999999996</v>
      </c>
    </row>
    <row r="3837" spans="2:7" x14ac:dyDescent="0.35">
      <c r="B3837" s="1">
        <v>45817</v>
      </c>
      <c r="C3837" s="2">
        <v>0.79166666666666663</v>
      </c>
      <c r="D3837">
        <v>13.6</v>
      </c>
      <c r="E3837">
        <f>IF($D3837 &gt; 16, 0, $J$3*(16 - $D3837))</f>
        <v>498.59674248167283</v>
      </c>
      <c r="F3837">
        <f>IF($D3837 &gt; 16, 0,$E3837*$J$5)</f>
        <v>5419247.9940333022</v>
      </c>
      <c r="G3837">
        <f t="shared" si="59"/>
        <v>2.4000000000000004</v>
      </c>
    </row>
    <row r="3838" spans="2:7" x14ac:dyDescent="0.35">
      <c r="B3838" s="1">
        <v>45817</v>
      </c>
      <c r="C3838" s="2">
        <v>0.83333333333333337</v>
      </c>
      <c r="D3838">
        <v>12.8</v>
      </c>
      <c r="E3838">
        <f>IF($D3838 &gt; 16, 0, $J$3*(16 - $D3838))</f>
        <v>664.79565664223026</v>
      </c>
      <c r="F3838">
        <f>IF($D3838 &gt; 16, 0,$E3838*$J$5)</f>
        <v>7225663.9920444004</v>
      </c>
      <c r="G3838">
        <f t="shared" si="59"/>
        <v>3.1999999999999993</v>
      </c>
    </row>
    <row r="3839" spans="2:7" x14ac:dyDescent="0.35">
      <c r="B3839" s="1">
        <v>45817</v>
      </c>
      <c r="C3839" s="2">
        <v>0.875</v>
      </c>
      <c r="D3839">
        <v>12.2</v>
      </c>
      <c r="E3839">
        <f>IF($D3839 &gt; 16, 0, $J$3*(16 - $D3839))</f>
        <v>789.44484226264876</v>
      </c>
      <c r="F3839">
        <f>IF($D3839 &gt; 16, 0,$E3839*$J$5)</f>
        <v>8580475.990552729</v>
      </c>
      <c r="G3839">
        <f t="shared" si="59"/>
        <v>3.8000000000000007</v>
      </c>
    </row>
    <row r="3840" spans="2:7" x14ac:dyDescent="0.35">
      <c r="B3840" s="1">
        <v>45817</v>
      </c>
      <c r="C3840" s="2">
        <v>0.91666666666666663</v>
      </c>
      <c r="D3840">
        <v>12.2</v>
      </c>
      <c r="E3840">
        <f>IF($D3840 &gt; 16, 0, $J$3*(16 - $D3840))</f>
        <v>789.44484226264876</v>
      </c>
      <c r="F3840">
        <f>IF($D3840 &gt; 16, 0,$E3840*$J$5)</f>
        <v>8580475.990552729</v>
      </c>
      <c r="G3840">
        <f t="shared" si="59"/>
        <v>3.8000000000000007</v>
      </c>
    </row>
    <row r="3841" spans="2:7" x14ac:dyDescent="0.35">
      <c r="B3841" s="1">
        <v>45817</v>
      </c>
      <c r="C3841" s="2">
        <v>0.95833333333333337</v>
      </c>
      <c r="D3841">
        <v>12.8</v>
      </c>
      <c r="E3841">
        <f>IF($D3841 &gt; 16, 0, $J$3*(16 - $D3841))</f>
        <v>664.79565664223026</v>
      </c>
      <c r="F3841">
        <f>IF($D3841 &gt; 16, 0,$E3841*$J$5)</f>
        <v>7225663.9920444004</v>
      </c>
      <c r="G3841">
        <f t="shared" si="59"/>
        <v>3.1999999999999993</v>
      </c>
    </row>
    <row r="3842" spans="2:7" x14ac:dyDescent="0.35">
      <c r="B3842" s="1">
        <v>45818</v>
      </c>
      <c r="C3842" s="2">
        <v>0</v>
      </c>
      <c r="D3842">
        <v>12.2</v>
      </c>
      <c r="E3842">
        <f>IF($D3842 &gt; 16, 0, $J$3*(16 - $D3842))</f>
        <v>789.44484226264876</v>
      </c>
      <c r="F3842">
        <f>IF($D3842 &gt; 16, 0,$E3842*$J$5)</f>
        <v>8580475.990552729</v>
      </c>
      <c r="G3842">
        <f t="shared" si="59"/>
        <v>3.8000000000000007</v>
      </c>
    </row>
    <row r="3843" spans="2:7" x14ac:dyDescent="0.35">
      <c r="B3843" s="1">
        <v>45818</v>
      </c>
      <c r="C3843" s="2">
        <v>4.1666666666666657E-2</v>
      </c>
      <c r="D3843">
        <v>12.6</v>
      </c>
      <c r="E3843">
        <f>IF($D3843 &gt; 16, 0, $J$3*(16 - $D3843))</f>
        <v>706.3453851823698</v>
      </c>
      <c r="F3843">
        <f>IF($D3843 &gt; 16, 0,$E3843*$J$5)</f>
        <v>7677267.9915471775</v>
      </c>
      <c r="G3843">
        <f t="shared" ref="G3843:G3906" si="60">MAX(0, 16 - $D3843)</f>
        <v>3.4000000000000004</v>
      </c>
    </row>
    <row r="3844" spans="2:7" x14ac:dyDescent="0.35">
      <c r="B3844" s="1">
        <v>45818</v>
      </c>
      <c r="C3844" s="2">
        <v>8.3333333333333329E-2</v>
      </c>
      <c r="D3844">
        <v>12.5</v>
      </c>
      <c r="E3844">
        <f>IF($D3844 &gt; 16, 0, $J$3*(16 - $D3844))</f>
        <v>727.12024945243945</v>
      </c>
      <c r="F3844">
        <f>IF($D3844 &gt; 16, 0,$E3844*$J$5)</f>
        <v>7903069.9912985647</v>
      </c>
      <c r="G3844">
        <f t="shared" si="60"/>
        <v>3.5</v>
      </c>
    </row>
    <row r="3845" spans="2:7" x14ac:dyDescent="0.35">
      <c r="B3845" s="1">
        <v>45818</v>
      </c>
      <c r="C3845" s="2">
        <v>0.125</v>
      </c>
      <c r="D3845">
        <v>12.5</v>
      </c>
      <c r="E3845">
        <f>IF($D3845 &gt; 16, 0, $J$3*(16 - $D3845))</f>
        <v>727.12024945243945</v>
      </c>
      <c r="F3845">
        <f>IF($D3845 &gt; 16, 0,$E3845*$J$5)</f>
        <v>7903069.9912985647</v>
      </c>
      <c r="G3845">
        <f t="shared" si="60"/>
        <v>3.5</v>
      </c>
    </row>
    <row r="3846" spans="2:7" x14ac:dyDescent="0.35">
      <c r="B3846" s="1">
        <v>45818</v>
      </c>
      <c r="C3846" s="2">
        <v>0.16666666666666671</v>
      </c>
      <c r="D3846">
        <v>12.2</v>
      </c>
      <c r="E3846">
        <f>IF($D3846 &gt; 16, 0, $J$3*(16 - $D3846))</f>
        <v>789.44484226264876</v>
      </c>
      <c r="F3846">
        <f>IF($D3846 &gt; 16, 0,$E3846*$J$5)</f>
        <v>8580475.990552729</v>
      </c>
      <c r="G3846">
        <f t="shared" si="60"/>
        <v>3.8000000000000007</v>
      </c>
    </row>
    <row r="3847" spans="2:7" x14ac:dyDescent="0.35">
      <c r="B3847" s="1">
        <v>45818</v>
      </c>
      <c r="C3847" s="2">
        <v>0.20833333333333329</v>
      </c>
      <c r="D3847">
        <v>12.4</v>
      </c>
      <c r="E3847">
        <f>IF($D3847 &gt; 16, 0, $J$3*(16 - $D3847))</f>
        <v>747.89511372250911</v>
      </c>
      <c r="F3847">
        <f>IF($D3847 &gt; 16, 0,$E3847*$J$5)</f>
        <v>8128871.9910499519</v>
      </c>
      <c r="G3847">
        <f t="shared" si="60"/>
        <v>3.5999999999999996</v>
      </c>
    </row>
    <row r="3848" spans="2:7" x14ac:dyDescent="0.35">
      <c r="B3848" s="1">
        <v>45818</v>
      </c>
      <c r="C3848" s="2">
        <v>0.25</v>
      </c>
      <c r="D3848">
        <v>12.6</v>
      </c>
      <c r="E3848">
        <f>IF($D3848 &gt; 16, 0, $J$3*(16 - $D3848))</f>
        <v>706.3453851823698</v>
      </c>
      <c r="F3848">
        <f>IF($D3848 &gt; 16, 0,$E3848*$J$5)</f>
        <v>7677267.9915471775</v>
      </c>
      <c r="G3848">
        <f t="shared" si="60"/>
        <v>3.4000000000000004</v>
      </c>
    </row>
    <row r="3849" spans="2:7" x14ac:dyDescent="0.35">
      <c r="B3849" s="1">
        <v>45818</v>
      </c>
      <c r="C3849" s="2">
        <v>0.29166666666666669</v>
      </c>
      <c r="D3849">
        <v>13.2</v>
      </c>
      <c r="E3849">
        <f>IF($D3849 &gt; 16, 0, $J$3*(16 - $D3849))</f>
        <v>581.69619956195174</v>
      </c>
      <c r="F3849">
        <f>IF($D3849 &gt; 16, 0,$E3849*$J$5)</f>
        <v>6322455.9930388536</v>
      </c>
      <c r="G3849">
        <f t="shared" si="60"/>
        <v>2.8000000000000007</v>
      </c>
    </row>
    <row r="3850" spans="2:7" x14ac:dyDescent="0.35">
      <c r="B3850" s="1">
        <v>45818</v>
      </c>
      <c r="C3850" s="2">
        <v>0.33333333333333331</v>
      </c>
      <c r="D3850">
        <v>13.6</v>
      </c>
      <c r="E3850">
        <f>IF($D3850 &gt; 16, 0, $J$3*(16 - $D3850))</f>
        <v>498.59674248167283</v>
      </c>
      <c r="F3850">
        <f>IF($D3850 &gt; 16, 0,$E3850*$J$5)</f>
        <v>5419247.9940333022</v>
      </c>
      <c r="G3850">
        <f t="shared" si="60"/>
        <v>2.4000000000000004</v>
      </c>
    </row>
    <row r="3851" spans="2:7" x14ac:dyDescent="0.35">
      <c r="B3851" s="1">
        <v>45818</v>
      </c>
      <c r="C3851" s="2">
        <v>0.375</v>
      </c>
      <c r="D3851">
        <v>13.7</v>
      </c>
      <c r="E3851">
        <f>IF($D3851 &gt; 16, 0, $J$3*(16 - $D3851))</f>
        <v>477.82187821160323</v>
      </c>
      <c r="F3851">
        <f>IF($D3851 &gt; 16, 0,$E3851*$J$5)</f>
        <v>5193445.9942819159</v>
      </c>
      <c r="G3851">
        <f t="shared" si="60"/>
        <v>2.3000000000000007</v>
      </c>
    </row>
    <row r="3852" spans="2:7" x14ac:dyDescent="0.35">
      <c r="B3852" s="1">
        <v>45818</v>
      </c>
      <c r="C3852" s="2">
        <v>0.41666666666666669</v>
      </c>
      <c r="D3852">
        <v>14</v>
      </c>
      <c r="E3852">
        <f>IF($D3852 &gt; 16, 0, $J$3*(16 - $D3852))</f>
        <v>415.49728540139398</v>
      </c>
      <c r="F3852">
        <f>IF($D3852 &gt; 16, 0,$E3852*$J$5)</f>
        <v>4516039.9950277507</v>
      </c>
      <c r="G3852">
        <f t="shared" si="60"/>
        <v>2</v>
      </c>
    </row>
    <row r="3853" spans="2:7" x14ac:dyDescent="0.35">
      <c r="B3853" s="1">
        <v>45818</v>
      </c>
      <c r="C3853" s="2">
        <v>0.45833333333333331</v>
      </c>
      <c r="D3853">
        <v>14.7</v>
      </c>
      <c r="E3853">
        <f>IF($D3853 &gt; 16, 0, $J$3*(16 - $D3853))</f>
        <v>270.07323551090622</v>
      </c>
      <c r="F3853">
        <f>IF($D3853 &gt; 16, 0,$E3853*$J$5)</f>
        <v>2935425.9967680397</v>
      </c>
      <c r="G3853">
        <f t="shared" si="60"/>
        <v>1.3000000000000007</v>
      </c>
    </row>
    <row r="3854" spans="2:7" x14ac:dyDescent="0.35">
      <c r="B3854" s="1">
        <v>45818</v>
      </c>
      <c r="C3854" s="2">
        <v>0.5</v>
      </c>
      <c r="D3854">
        <v>14.9</v>
      </c>
      <c r="E3854">
        <f>IF($D3854 &gt; 16, 0, $J$3*(16 - $D3854))</f>
        <v>228.52350697076662</v>
      </c>
      <c r="F3854">
        <f>IF($D3854 &gt; 16, 0,$E3854*$J$5)</f>
        <v>2483821.9972652625</v>
      </c>
      <c r="G3854">
        <f t="shared" si="60"/>
        <v>1.0999999999999996</v>
      </c>
    </row>
    <row r="3855" spans="2:7" x14ac:dyDescent="0.35">
      <c r="B3855" s="1">
        <v>45818</v>
      </c>
      <c r="C3855" s="2">
        <v>0.54166666666666663</v>
      </c>
      <c r="D3855">
        <v>13.8</v>
      </c>
      <c r="E3855">
        <f>IF($D3855 &gt; 16, 0, $J$3*(16 - $D3855))</f>
        <v>457.04701394153324</v>
      </c>
      <c r="F3855">
        <f>IF($D3855 &gt; 16, 0,$E3855*$J$5)</f>
        <v>4967643.9945305251</v>
      </c>
      <c r="G3855">
        <f t="shared" si="60"/>
        <v>2.1999999999999993</v>
      </c>
    </row>
    <row r="3856" spans="2:7" x14ac:dyDescent="0.35">
      <c r="B3856" s="1">
        <v>45818</v>
      </c>
      <c r="C3856" s="2">
        <v>0.58333333333333337</v>
      </c>
      <c r="D3856">
        <v>14</v>
      </c>
      <c r="E3856">
        <f>IF($D3856 &gt; 16, 0, $J$3*(16 - $D3856))</f>
        <v>415.49728540139398</v>
      </c>
      <c r="F3856">
        <f>IF($D3856 &gt; 16, 0,$E3856*$J$5)</f>
        <v>4516039.9950277507</v>
      </c>
      <c r="G3856">
        <f t="shared" si="60"/>
        <v>2</v>
      </c>
    </row>
    <row r="3857" spans="2:7" x14ac:dyDescent="0.35">
      <c r="B3857" s="1">
        <v>45818</v>
      </c>
      <c r="C3857" s="2">
        <v>0.625</v>
      </c>
      <c r="D3857">
        <v>14.6</v>
      </c>
      <c r="E3857">
        <f>IF($D3857 &gt; 16, 0, $J$3*(16 - $D3857))</f>
        <v>290.84809978097587</v>
      </c>
      <c r="F3857">
        <f>IF($D3857 &gt; 16, 0,$E3857*$J$5)</f>
        <v>3161227.9965194268</v>
      </c>
      <c r="G3857">
        <f t="shared" si="60"/>
        <v>1.4000000000000004</v>
      </c>
    </row>
    <row r="3858" spans="2:7" x14ac:dyDescent="0.35">
      <c r="B3858" s="1">
        <v>45818</v>
      </c>
      <c r="C3858" s="2">
        <v>0.66666666666666663</v>
      </c>
      <c r="D3858">
        <v>14.9</v>
      </c>
      <c r="E3858">
        <f>IF($D3858 &gt; 16, 0, $J$3*(16 - $D3858))</f>
        <v>228.52350697076662</v>
      </c>
      <c r="F3858">
        <f>IF($D3858 &gt; 16, 0,$E3858*$J$5)</f>
        <v>2483821.9972652625</v>
      </c>
      <c r="G3858">
        <f t="shared" si="60"/>
        <v>1.0999999999999996</v>
      </c>
    </row>
    <row r="3859" spans="2:7" x14ac:dyDescent="0.35">
      <c r="B3859" s="1">
        <v>45818</v>
      </c>
      <c r="C3859" s="2">
        <v>0.70833333333333337</v>
      </c>
      <c r="D3859">
        <v>15.3</v>
      </c>
      <c r="E3859">
        <f>IF($D3859 &gt; 16, 0, $J$3*(16 - $D3859))</f>
        <v>145.42404989048774</v>
      </c>
      <c r="F3859">
        <f>IF($D3859 &gt; 16, 0,$E3859*$J$5)</f>
        <v>1580613.9982597113</v>
      </c>
      <c r="G3859">
        <f t="shared" si="60"/>
        <v>0.69999999999999929</v>
      </c>
    </row>
    <row r="3860" spans="2:7" x14ac:dyDescent="0.35">
      <c r="B3860" s="1">
        <v>45818</v>
      </c>
      <c r="C3860" s="2">
        <v>0.75</v>
      </c>
      <c r="D3860">
        <v>15.1</v>
      </c>
      <c r="E3860">
        <f>IF($D3860 &gt; 16, 0, $J$3*(16 - $D3860))</f>
        <v>186.97377843062736</v>
      </c>
      <c r="F3860">
        <f>IF($D3860 &gt; 16, 0,$E3860*$J$5)</f>
        <v>2032217.9977624889</v>
      </c>
      <c r="G3860">
        <f t="shared" si="60"/>
        <v>0.90000000000000036</v>
      </c>
    </row>
    <row r="3861" spans="2:7" x14ac:dyDescent="0.35">
      <c r="B3861" s="1">
        <v>45818</v>
      </c>
      <c r="C3861" s="2">
        <v>0.79166666666666663</v>
      </c>
      <c r="D3861">
        <v>13.7</v>
      </c>
      <c r="E3861">
        <f>IF($D3861 &gt; 16, 0, $J$3*(16 - $D3861))</f>
        <v>477.82187821160323</v>
      </c>
      <c r="F3861">
        <f>IF($D3861 &gt; 16, 0,$E3861*$J$5)</f>
        <v>5193445.9942819159</v>
      </c>
      <c r="G3861">
        <f t="shared" si="60"/>
        <v>2.3000000000000007</v>
      </c>
    </row>
    <row r="3862" spans="2:7" x14ac:dyDescent="0.35">
      <c r="B3862" s="1">
        <v>45818</v>
      </c>
      <c r="C3862" s="2">
        <v>0.83333333333333337</v>
      </c>
      <c r="D3862">
        <v>13.3</v>
      </c>
      <c r="E3862">
        <f>IF($D3862 &gt; 16, 0, $J$3*(16 - $D3862))</f>
        <v>560.92133529188175</v>
      </c>
      <c r="F3862">
        <f>IF($D3862 &gt; 16, 0,$E3862*$J$5)</f>
        <v>6096653.9932874627</v>
      </c>
      <c r="G3862">
        <f t="shared" si="60"/>
        <v>2.6999999999999993</v>
      </c>
    </row>
    <row r="3863" spans="2:7" x14ac:dyDescent="0.35">
      <c r="B3863" s="1">
        <v>45818</v>
      </c>
      <c r="C3863" s="2">
        <v>0.875</v>
      </c>
      <c r="D3863">
        <v>12.7</v>
      </c>
      <c r="E3863">
        <f>IF($D3863 &gt; 16, 0, $J$3*(16 - $D3863))</f>
        <v>685.57052091230025</v>
      </c>
      <c r="F3863">
        <f>IF($D3863 &gt; 16, 0,$E3863*$J$5)</f>
        <v>7451465.9917957913</v>
      </c>
      <c r="G3863">
        <f t="shared" si="60"/>
        <v>3.3000000000000007</v>
      </c>
    </row>
    <row r="3864" spans="2:7" x14ac:dyDescent="0.35">
      <c r="B3864" s="1">
        <v>45818</v>
      </c>
      <c r="C3864" s="2">
        <v>0.91666666666666663</v>
      </c>
      <c r="D3864">
        <v>12.7</v>
      </c>
      <c r="E3864">
        <f>IF($D3864 &gt; 16, 0, $J$3*(16 - $D3864))</f>
        <v>685.57052091230025</v>
      </c>
      <c r="F3864">
        <f>IF($D3864 &gt; 16, 0,$E3864*$J$5)</f>
        <v>7451465.9917957913</v>
      </c>
      <c r="G3864">
        <f t="shared" si="60"/>
        <v>3.3000000000000007</v>
      </c>
    </row>
    <row r="3865" spans="2:7" x14ac:dyDescent="0.35">
      <c r="B3865" s="1">
        <v>45818</v>
      </c>
      <c r="C3865" s="2">
        <v>0.95833333333333337</v>
      </c>
      <c r="D3865">
        <v>12.5</v>
      </c>
      <c r="E3865">
        <f>IF($D3865 &gt; 16, 0, $J$3*(16 - $D3865))</f>
        <v>727.12024945243945</v>
      </c>
      <c r="F3865">
        <f>IF($D3865 &gt; 16, 0,$E3865*$J$5)</f>
        <v>7903069.9912985647</v>
      </c>
      <c r="G3865">
        <f t="shared" si="60"/>
        <v>3.5</v>
      </c>
    </row>
    <row r="3866" spans="2:7" x14ac:dyDescent="0.35">
      <c r="B3866" s="1">
        <v>45819</v>
      </c>
      <c r="C3866" s="2">
        <v>0</v>
      </c>
      <c r="D3866">
        <v>12</v>
      </c>
      <c r="E3866">
        <f>IF($D3866 &gt; 16, 0, $J$3*(16 - $D3866))</f>
        <v>830.99457080278796</v>
      </c>
      <c r="F3866">
        <f>IF($D3866 &gt; 16, 0,$E3866*$J$5)</f>
        <v>9032079.9900555015</v>
      </c>
      <c r="G3866">
        <f t="shared" si="60"/>
        <v>4</v>
      </c>
    </row>
    <row r="3867" spans="2:7" x14ac:dyDescent="0.35">
      <c r="B3867" s="1">
        <v>45819</v>
      </c>
      <c r="C3867" s="2">
        <v>4.1666666666666657E-2</v>
      </c>
      <c r="D3867">
        <v>12</v>
      </c>
      <c r="E3867">
        <f>IF($D3867 &gt; 16, 0, $J$3*(16 - $D3867))</f>
        <v>830.99457080278796</v>
      </c>
      <c r="F3867">
        <f>IF($D3867 &gt; 16, 0,$E3867*$J$5)</f>
        <v>9032079.9900555015</v>
      </c>
      <c r="G3867">
        <f t="shared" si="60"/>
        <v>4</v>
      </c>
    </row>
    <row r="3868" spans="2:7" x14ac:dyDescent="0.35">
      <c r="B3868" s="1">
        <v>45819</v>
      </c>
      <c r="C3868" s="2">
        <v>8.3333333333333329E-2</v>
      </c>
      <c r="D3868">
        <v>11.7</v>
      </c>
      <c r="E3868">
        <f>IF($D3868 &gt; 16, 0, $J$3*(16 - $D3868))</f>
        <v>893.31916361299716</v>
      </c>
      <c r="F3868">
        <f>IF($D3868 &gt; 16, 0,$E3868*$J$5)</f>
        <v>9709485.9893096667</v>
      </c>
      <c r="G3868">
        <f t="shared" si="60"/>
        <v>4.3000000000000007</v>
      </c>
    </row>
    <row r="3869" spans="2:7" x14ac:dyDescent="0.35">
      <c r="B3869" s="1">
        <v>45819</v>
      </c>
      <c r="C3869" s="2">
        <v>0.125</v>
      </c>
      <c r="D3869">
        <v>11.2</v>
      </c>
      <c r="E3869">
        <f>IF($D3869 &gt; 16, 0, $J$3*(16 - $D3869))</f>
        <v>997.19348496334567</v>
      </c>
      <c r="F3869">
        <f>IF($D3869 &gt; 16, 0,$E3869*$J$5)</f>
        <v>10838495.988066604</v>
      </c>
      <c r="G3869">
        <f t="shared" si="60"/>
        <v>4.8000000000000007</v>
      </c>
    </row>
    <row r="3870" spans="2:7" x14ac:dyDescent="0.35">
      <c r="B3870" s="1">
        <v>45819</v>
      </c>
      <c r="C3870" s="2">
        <v>0.16666666666666671</v>
      </c>
      <c r="D3870">
        <v>11</v>
      </c>
      <c r="E3870">
        <f>IF($D3870 &gt; 16, 0, $J$3*(16 - $D3870))</f>
        <v>1038.7432135034849</v>
      </c>
      <c r="F3870">
        <f>IF($D3870 &gt; 16, 0,$E3870*$J$5)</f>
        <v>11290099.987569377</v>
      </c>
      <c r="G3870">
        <f t="shared" si="60"/>
        <v>5</v>
      </c>
    </row>
    <row r="3871" spans="2:7" x14ac:dyDescent="0.35">
      <c r="B3871" s="1">
        <v>45819</v>
      </c>
      <c r="C3871" s="2">
        <v>0.20833333333333329</v>
      </c>
      <c r="D3871">
        <v>11.9</v>
      </c>
      <c r="E3871">
        <f>IF($D3871 &gt; 16, 0, $J$3*(16 - $D3871))</f>
        <v>851.76943507285762</v>
      </c>
      <c r="F3871">
        <f>IF($D3871 &gt; 16, 0,$E3871*$J$5)</f>
        <v>9257881.9898068886</v>
      </c>
      <c r="G3871">
        <f t="shared" si="60"/>
        <v>4.0999999999999996</v>
      </c>
    </row>
    <row r="3872" spans="2:7" x14ac:dyDescent="0.35">
      <c r="B3872" s="1">
        <v>45819</v>
      </c>
      <c r="C3872" s="2">
        <v>0.25</v>
      </c>
      <c r="D3872">
        <v>13</v>
      </c>
      <c r="E3872">
        <f>IF($D3872 &gt; 16, 0, $J$3*(16 - $D3872))</f>
        <v>623.24592810209094</v>
      </c>
      <c r="F3872">
        <f>IF($D3872 &gt; 16, 0,$E3872*$J$5)</f>
        <v>6774059.9925416261</v>
      </c>
      <c r="G3872">
        <f t="shared" si="60"/>
        <v>3</v>
      </c>
    </row>
    <row r="3873" spans="2:7" x14ac:dyDescent="0.35">
      <c r="B3873" s="1">
        <v>45819</v>
      </c>
      <c r="C3873" s="2">
        <v>0.29166666666666669</v>
      </c>
      <c r="D3873">
        <v>14</v>
      </c>
      <c r="E3873">
        <f>IF($D3873 &gt; 16, 0, $J$3*(16 - $D3873))</f>
        <v>415.49728540139398</v>
      </c>
      <c r="F3873">
        <f>IF($D3873 &gt; 16, 0,$E3873*$J$5)</f>
        <v>4516039.9950277507</v>
      </c>
      <c r="G3873">
        <f t="shared" si="60"/>
        <v>2</v>
      </c>
    </row>
    <row r="3874" spans="2:7" x14ac:dyDescent="0.35">
      <c r="B3874" s="1">
        <v>45819</v>
      </c>
      <c r="C3874" s="2">
        <v>0.33333333333333331</v>
      </c>
      <c r="D3874">
        <v>14.6</v>
      </c>
      <c r="E3874">
        <f>IF($D3874 &gt; 16, 0, $J$3*(16 - $D3874))</f>
        <v>290.84809978097587</v>
      </c>
      <c r="F3874">
        <f>IF($D3874 &gt; 16, 0,$E3874*$J$5)</f>
        <v>3161227.9965194268</v>
      </c>
      <c r="G3874">
        <f t="shared" si="60"/>
        <v>1.4000000000000004</v>
      </c>
    </row>
    <row r="3875" spans="2:7" x14ac:dyDescent="0.35">
      <c r="B3875" s="1">
        <v>45819</v>
      </c>
      <c r="C3875" s="2">
        <v>0.375</v>
      </c>
      <c r="D3875">
        <v>15.7</v>
      </c>
      <c r="E3875">
        <f>IF($D3875 &gt; 16, 0, $J$3*(16 - $D3875))</f>
        <v>62.324592810209246</v>
      </c>
      <c r="F3875">
        <f>IF($D3875 &gt; 16, 0,$E3875*$J$5)</f>
        <v>677405.99925416429</v>
      </c>
      <c r="G3875">
        <f t="shared" si="60"/>
        <v>0.30000000000000071</v>
      </c>
    </row>
    <row r="3876" spans="2:7" x14ac:dyDescent="0.35">
      <c r="B3876" s="1">
        <v>45819</v>
      </c>
      <c r="C3876" s="2">
        <v>0.41666666666666669</v>
      </c>
      <c r="D3876">
        <v>15.6</v>
      </c>
      <c r="E3876">
        <f>IF($D3876 &gt; 16, 0, $J$3*(16 - $D3876))</f>
        <v>83.099457080278867</v>
      </c>
      <c r="F3876">
        <f>IF($D3876 &gt; 16, 0,$E3876*$J$5)</f>
        <v>903207.99900555098</v>
      </c>
      <c r="G3876">
        <f t="shared" si="60"/>
        <v>0.40000000000000036</v>
      </c>
    </row>
    <row r="3877" spans="2:7" x14ac:dyDescent="0.35">
      <c r="B3877" s="1">
        <v>45819</v>
      </c>
      <c r="C3877" s="2">
        <v>0.45833333333333331</v>
      </c>
      <c r="D3877">
        <v>16.3</v>
      </c>
      <c r="E3877">
        <f>IF($D3877 &gt; 16, 0, $J$3*(16 - $D3877))</f>
        <v>0</v>
      </c>
      <c r="F3877">
        <f>IF($D3877 &gt; 16, 0,$E3877*$J$5)</f>
        <v>0</v>
      </c>
      <c r="G3877">
        <f t="shared" si="60"/>
        <v>0</v>
      </c>
    </row>
    <row r="3878" spans="2:7" x14ac:dyDescent="0.35">
      <c r="B3878" s="1">
        <v>45819</v>
      </c>
      <c r="C3878" s="2">
        <v>0.5</v>
      </c>
      <c r="D3878">
        <v>16.7</v>
      </c>
      <c r="E3878">
        <f>IF($D3878 &gt; 16, 0, $J$3*(16 - $D3878))</f>
        <v>0</v>
      </c>
      <c r="F3878">
        <f>IF($D3878 &gt; 16, 0,$E3878*$J$5)</f>
        <v>0</v>
      </c>
      <c r="G3878">
        <f t="shared" si="60"/>
        <v>0</v>
      </c>
    </row>
    <row r="3879" spans="2:7" x14ac:dyDescent="0.35">
      <c r="B3879" s="1">
        <v>45819</v>
      </c>
      <c r="C3879" s="2">
        <v>0.54166666666666663</v>
      </c>
      <c r="D3879">
        <v>16.600000000000001</v>
      </c>
      <c r="E3879">
        <f>IF($D3879 &gt; 16, 0, $J$3*(16 - $D3879))</f>
        <v>0</v>
      </c>
      <c r="F3879">
        <f>IF($D3879 &gt; 16, 0,$E3879*$J$5)</f>
        <v>0</v>
      </c>
      <c r="G3879">
        <f t="shared" si="60"/>
        <v>0</v>
      </c>
    </row>
    <row r="3880" spans="2:7" x14ac:dyDescent="0.35">
      <c r="B3880" s="1">
        <v>45819</v>
      </c>
      <c r="C3880" s="2">
        <v>0.58333333333333337</v>
      </c>
      <c r="D3880">
        <v>16.399999999999999</v>
      </c>
      <c r="E3880">
        <f>IF($D3880 &gt; 16, 0, $J$3*(16 - $D3880))</f>
        <v>0</v>
      </c>
      <c r="F3880">
        <f>IF($D3880 &gt; 16, 0,$E3880*$J$5)</f>
        <v>0</v>
      </c>
      <c r="G3880">
        <f t="shared" si="60"/>
        <v>0</v>
      </c>
    </row>
    <row r="3881" spans="2:7" x14ac:dyDescent="0.35">
      <c r="B3881" s="1">
        <v>45819</v>
      </c>
      <c r="C3881" s="2">
        <v>0.625</v>
      </c>
      <c r="D3881">
        <v>16.399999999999999</v>
      </c>
      <c r="E3881">
        <f>IF($D3881 &gt; 16, 0, $J$3*(16 - $D3881))</f>
        <v>0</v>
      </c>
      <c r="F3881">
        <f>IF($D3881 &gt; 16, 0,$E3881*$J$5)</f>
        <v>0</v>
      </c>
      <c r="G3881">
        <f t="shared" si="60"/>
        <v>0</v>
      </c>
    </row>
    <row r="3882" spans="2:7" x14ac:dyDescent="0.35">
      <c r="B3882" s="1">
        <v>45819</v>
      </c>
      <c r="C3882" s="2">
        <v>0.66666666666666663</v>
      </c>
      <c r="D3882">
        <v>16.5</v>
      </c>
      <c r="E3882">
        <f>IF($D3882 &gt; 16, 0, $J$3*(16 - $D3882))</f>
        <v>0</v>
      </c>
      <c r="F3882">
        <f>IF($D3882 &gt; 16, 0,$E3882*$J$5)</f>
        <v>0</v>
      </c>
      <c r="G3882">
        <f t="shared" si="60"/>
        <v>0</v>
      </c>
    </row>
    <row r="3883" spans="2:7" x14ac:dyDescent="0.35">
      <c r="B3883" s="1">
        <v>45819</v>
      </c>
      <c r="C3883" s="2">
        <v>0.70833333333333337</v>
      </c>
      <c r="D3883">
        <v>15.9</v>
      </c>
      <c r="E3883">
        <f>IF($D3883 &gt; 16, 0, $J$3*(16 - $D3883))</f>
        <v>20.774864270069624</v>
      </c>
      <c r="F3883">
        <f>IF($D3883 &gt; 16, 0,$E3883*$J$5)</f>
        <v>225801.99975138676</v>
      </c>
      <c r="G3883">
        <f t="shared" si="60"/>
        <v>9.9999999999999645E-2</v>
      </c>
    </row>
    <row r="3884" spans="2:7" x14ac:dyDescent="0.35">
      <c r="B3884" s="1">
        <v>45819</v>
      </c>
      <c r="C3884" s="2">
        <v>0.75</v>
      </c>
      <c r="D3884">
        <v>15.2</v>
      </c>
      <c r="E3884">
        <f>IF($D3884 &gt; 16, 0, $J$3*(16 - $D3884))</f>
        <v>166.19891416055773</v>
      </c>
      <c r="F3884">
        <f>IF($D3884 &gt; 16, 0,$E3884*$J$5)</f>
        <v>1806415.998011102</v>
      </c>
      <c r="G3884">
        <f t="shared" si="60"/>
        <v>0.80000000000000071</v>
      </c>
    </row>
    <row r="3885" spans="2:7" x14ac:dyDescent="0.35">
      <c r="B3885" s="1">
        <v>45819</v>
      </c>
      <c r="C3885" s="2">
        <v>0.79166666666666663</v>
      </c>
      <c r="D3885">
        <v>14.5</v>
      </c>
      <c r="E3885">
        <f>IF($D3885 &gt; 16, 0, $J$3*(16 - $D3885))</f>
        <v>311.62296405104547</v>
      </c>
      <c r="F3885">
        <f>IF($D3885 &gt; 16, 0,$E3885*$J$5)</f>
        <v>3387029.996270813</v>
      </c>
      <c r="G3885">
        <f t="shared" si="60"/>
        <v>1.5</v>
      </c>
    </row>
    <row r="3886" spans="2:7" x14ac:dyDescent="0.35">
      <c r="B3886" s="1">
        <v>45819</v>
      </c>
      <c r="C3886" s="2">
        <v>0.83333333333333337</v>
      </c>
      <c r="D3886">
        <v>13.2</v>
      </c>
      <c r="E3886">
        <f>IF($D3886 &gt; 16, 0, $J$3*(16 - $D3886))</f>
        <v>581.69619956195174</v>
      </c>
      <c r="F3886">
        <f>IF($D3886 &gt; 16, 0,$E3886*$J$5)</f>
        <v>6322455.9930388536</v>
      </c>
      <c r="G3886">
        <f t="shared" si="60"/>
        <v>2.8000000000000007</v>
      </c>
    </row>
    <row r="3887" spans="2:7" x14ac:dyDescent="0.35">
      <c r="B3887" s="1">
        <v>45819</v>
      </c>
      <c r="C3887" s="2">
        <v>0.875</v>
      </c>
      <c r="D3887">
        <v>11.8</v>
      </c>
      <c r="E3887">
        <f>IF($D3887 &gt; 16, 0, $J$3*(16 - $D3887))</f>
        <v>872.54429934292716</v>
      </c>
      <c r="F3887">
        <f>IF($D3887 &gt; 16, 0,$E3887*$J$5)</f>
        <v>9483683.9895582758</v>
      </c>
      <c r="G3887">
        <f t="shared" si="60"/>
        <v>4.1999999999999993</v>
      </c>
    </row>
    <row r="3888" spans="2:7" x14ac:dyDescent="0.35">
      <c r="B3888" s="1">
        <v>45819</v>
      </c>
      <c r="C3888" s="2">
        <v>0.91666666666666663</v>
      </c>
      <c r="D3888">
        <v>9.1</v>
      </c>
      <c r="E3888">
        <f>IF($D3888 &gt; 16, 0, $J$3*(16 - $D3888))</f>
        <v>1433.4656346348092</v>
      </c>
      <c r="F3888">
        <f>IF($D3888 &gt; 16, 0,$E3888*$J$5)</f>
        <v>15580337.982845742</v>
      </c>
      <c r="G3888">
        <f t="shared" si="60"/>
        <v>6.9</v>
      </c>
    </row>
    <row r="3889" spans="2:7" x14ac:dyDescent="0.35">
      <c r="B3889" s="1">
        <v>45819</v>
      </c>
      <c r="C3889" s="2">
        <v>0.95833333333333337</v>
      </c>
      <c r="D3889">
        <v>8.9</v>
      </c>
      <c r="E3889">
        <f>IF($D3889 &gt; 16, 0, $J$3*(16 - $D3889))</f>
        <v>1475.0153631749486</v>
      </c>
      <c r="F3889">
        <f>IF($D3889 &gt; 16, 0,$E3889*$J$5)</f>
        <v>16031941.982348517</v>
      </c>
      <c r="G3889">
        <f t="shared" si="60"/>
        <v>7.1</v>
      </c>
    </row>
    <row r="3890" spans="2:7" x14ac:dyDescent="0.35">
      <c r="B3890" s="1">
        <v>45820</v>
      </c>
      <c r="C3890" s="2">
        <v>0</v>
      </c>
      <c r="D3890">
        <v>8</v>
      </c>
      <c r="E3890">
        <f>IF($D3890 &gt; 16, 0, $J$3*(16 - $D3890))</f>
        <v>1661.9891416055759</v>
      </c>
      <c r="F3890">
        <f>IF($D3890 &gt; 16, 0,$E3890*$J$5)</f>
        <v>18064159.980111003</v>
      </c>
      <c r="G3890">
        <f t="shared" si="60"/>
        <v>8</v>
      </c>
    </row>
    <row r="3891" spans="2:7" x14ac:dyDescent="0.35">
      <c r="B3891" s="1">
        <v>45820</v>
      </c>
      <c r="C3891" s="2">
        <v>4.1666666666666657E-2</v>
      </c>
      <c r="D3891">
        <v>7.5</v>
      </c>
      <c r="E3891">
        <f>IF($D3891 &gt; 16, 0, $J$3*(16 - $D3891))</f>
        <v>1765.8634629559244</v>
      </c>
      <c r="F3891">
        <f>IF($D3891 &gt; 16, 0,$E3891*$J$5)</f>
        <v>19193169.978867944</v>
      </c>
      <c r="G3891">
        <f t="shared" si="60"/>
        <v>8.5</v>
      </c>
    </row>
    <row r="3892" spans="2:7" x14ac:dyDescent="0.35">
      <c r="B3892" s="1">
        <v>45820</v>
      </c>
      <c r="C3892" s="2">
        <v>8.3333333333333329E-2</v>
      </c>
      <c r="D3892">
        <v>6.3</v>
      </c>
      <c r="E3892">
        <f>IF($D3892 &gt; 16, 0, $J$3*(16 - $D3892))</f>
        <v>2015.1618341967608</v>
      </c>
      <c r="F3892">
        <f>IF($D3892 &gt; 16, 0,$E3892*$J$5)</f>
        <v>21902793.975884594</v>
      </c>
      <c r="G3892">
        <f t="shared" si="60"/>
        <v>9.6999999999999993</v>
      </c>
    </row>
    <row r="3893" spans="2:7" x14ac:dyDescent="0.35">
      <c r="B3893" s="1">
        <v>45820</v>
      </c>
      <c r="C3893" s="2">
        <v>0.125</v>
      </c>
      <c r="D3893">
        <v>6.2</v>
      </c>
      <c r="E3893">
        <f>IF($D3893 &gt; 16, 0, $J$3*(16 - $D3893))</f>
        <v>2035.9366984668306</v>
      </c>
      <c r="F3893">
        <f>IF($D3893 &gt; 16, 0,$E3893*$J$5)</f>
        <v>22128595.975635983</v>
      </c>
      <c r="G3893">
        <f t="shared" si="60"/>
        <v>9.8000000000000007</v>
      </c>
    </row>
    <row r="3894" spans="2:7" x14ac:dyDescent="0.35">
      <c r="B3894" s="1">
        <v>45820</v>
      </c>
      <c r="C3894" s="2">
        <v>0.16666666666666671</v>
      </c>
      <c r="D3894">
        <v>6.3</v>
      </c>
      <c r="E3894">
        <f>IF($D3894 &gt; 16, 0, $J$3*(16 - $D3894))</f>
        <v>2015.1618341967608</v>
      </c>
      <c r="F3894">
        <f>IF($D3894 &gt; 16, 0,$E3894*$J$5)</f>
        <v>21902793.975884594</v>
      </c>
      <c r="G3894">
        <f t="shared" si="60"/>
        <v>9.6999999999999993</v>
      </c>
    </row>
    <row r="3895" spans="2:7" x14ac:dyDescent="0.35">
      <c r="B3895" s="1">
        <v>45820</v>
      </c>
      <c r="C3895" s="2">
        <v>0.20833333333333329</v>
      </c>
      <c r="D3895">
        <v>10.7</v>
      </c>
      <c r="E3895">
        <f>IF($D3895 &gt; 16, 0, $J$3*(16 - $D3895))</f>
        <v>1101.0678063136943</v>
      </c>
      <c r="F3895">
        <f>IF($D3895 &gt; 16, 0,$E3895*$J$5)</f>
        <v>11967505.986823544</v>
      </c>
      <c r="G3895">
        <f t="shared" si="60"/>
        <v>5.3000000000000007</v>
      </c>
    </row>
    <row r="3896" spans="2:7" x14ac:dyDescent="0.35">
      <c r="B3896" s="1">
        <v>45820</v>
      </c>
      <c r="C3896" s="2">
        <v>0.25</v>
      </c>
      <c r="D3896">
        <v>13.5</v>
      </c>
      <c r="E3896">
        <f>IF($D3896 &gt; 16, 0, $J$3*(16 - $D3896))</f>
        <v>519.37160675174243</v>
      </c>
      <c r="F3896">
        <f>IF($D3896 &gt; 16, 0,$E3896*$J$5)</f>
        <v>5645049.9937846884</v>
      </c>
      <c r="G3896">
        <f t="shared" si="60"/>
        <v>2.5</v>
      </c>
    </row>
    <row r="3897" spans="2:7" x14ac:dyDescent="0.35">
      <c r="B3897" s="1">
        <v>45820</v>
      </c>
      <c r="C3897" s="2">
        <v>0.29166666666666669</v>
      </c>
      <c r="D3897">
        <v>15.3</v>
      </c>
      <c r="E3897">
        <f>IF($D3897 &gt; 16, 0, $J$3*(16 - $D3897))</f>
        <v>145.42404989048774</v>
      </c>
      <c r="F3897">
        <f>IF($D3897 &gt; 16, 0,$E3897*$J$5)</f>
        <v>1580613.9982597113</v>
      </c>
      <c r="G3897">
        <f t="shared" si="60"/>
        <v>0.69999999999999929</v>
      </c>
    </row>
    <row r="3898" spans="2:7" x14ac:dyDescent="0.35">
      <c r="B3898" s="1">
        <v>45820</v>
      </c>
      <c r="C3898" s="2">
        <v>0.33333333333333331</v>
      </c>
      <c r="D3898">
        <v>16.3</v>
      </c>
      <c r="E3898">
        <f>IF($D3898 &gt; 16, 0, $J$3*(16 - $D3898))</f>
        <v>0</v>
      </c>
      <c r="F3898">
        <f>IF($D3898 &gt; 16, 0,$E3898*$J$5)</f>
        <v>0</v>
      </c>
      <c r="G3898">
        <f t="shared" si="60"/>
        <v>0</v>
      </c>
    </row>
    <row r="3899" spans="2:7" x14ac:dyDescent="0.35">
      <c r="B3899" s="1">
        <v>45820</v>
      </c>
      <c r="C3899" s="2">
        <v>0.375</v>
      </c>
      <c r="D3899">
        <v>17.600000000000001</v>
      </c>
      <c r="E3899">
        <f>IF($D3899 &gt; 16, 0, $J$3*(16 - $D3899))</f>
        <v>0</v>
      </c>
      <c r="F3899">
        <f>IF($D3899 &gt; 16, 0,$E3899*$J$5)</f>
        <v>0</v>
      </c>
      <c r="G3899">
        <f t="shared" si="60"/>
        <v>0</v>
      </c>
    </row>
    <row r="3900" spans="2:7" x14ac:dyDescent="0.35">
      <c r="B3900" s="1">
        <v>45820</v>
      </c>
      <c r="C3900" s="2">
        <v>0.41666666666666669</v>
      </c>
      <c r="D3900">
        <v>19</v>
      </c>
      <c r="E3900">
        <f>IF($D3900 &gt; 16, 0, $J$3*(16 - $D3900))</f>
        <v>0</v>
      </c>
      <c r="F3900">
        <f>IF($D3900 &gt; 16, 0,$E3900*$J$5)</f>
        <v>0</v>
      </c>
      <c r="G3900">
        <f t="shared" si="60"/>
        <v>0</v>
      </c>
    </row>
    <row r="3901" spans="2:7" x14ac:dyDescent="0.35">
      <c r="B3901" s="1">
        <v>45820</v>
      </c>
      <c r="C3901" s="2">
        <v>0.45833333333333331</v>
      </c>
      <c r="D3901">
        <v>19.399999999999999</v>
      </c>
      <c r="E3901">
        <f>IF($D3901 &gt; 16, 0, $J$3*(16 - $D3901))</f>
        <v>0</v>
      </c>
      <c r="F3901">
        <f>IF($D3901 &gt; 16, 0,$E3901*$J$5)</f>
        <v>0</v>
      </c>
      <c r="G3901">
        <f t="shared" si="60"/>
        <v>0</v>
      </c>
    </row>
    <row r="3902" spans="2:7" x14ac:dyDescent="0.35">
      <c r="B3902" s="1">
        <v>45820</v>
      </c>
      <c r="C3902" s="2">
        <v>0.5</v>
      </c>
      <c r="D3902">
        <v>20.5</v>
      </c>
      <c r="E3902">
        <f>IF($D3902 &gt; 16, 0, $J$3*(16 - $D3902))</f>
        <v>0</v>
      </c>
      <c r="F3902">
        <f>IF($D3902 &gt; 16, 0,$E3902*$J$5)</f>
        <v>0</v>
      </c>
      <c r="G3902">
        <f t="shared" si="60"/>
        <v>0</v>
      </c>
    </row>
    <row r="3903" spans="2:7" x14ac:dyDescent="0.35">
      <c r="B3903" s="1">
        <v>45820</v>
      </c>
      <c r="C3903" s="2">
        <v>0.54166666666666663</v>
      </c>
      <c r="D3903">
        <v>21.1</v>
      </c>
      <c r="E3903">
        <f>IF($D3903 &gt; 16, 0, $J$3*(16 - $D3903))</f>
        <v>0</v>
      </c>
      <c r="F3903">
        <f>IF($D3903 &gt; 16, 0,$E3903*$J$5)</f>
        <v>0</v>
      </c>
      <c r="G3903">
        <f t="shared" si="60"/>
        <v>0</v>
      </c>
    </row>
    <row r="3904" spans="2:7" x14ac:dyDescent="0.35">
      <c r="B3904" s="1">
        <v>45820</v>
      </c>
      <c r="C3904" s="2">
        <v>0.58333333333333337</v>
      </c>
      <c r="D3904">
        <v>22.4</v>
      </c>
      <c r="E3904">
        <f>IF($D3904 &gt; 16, 0, $J$3*(16 - $D3904))</f>
        <v>0</v>
      </c>
      <c r="F3904">
        <f>IF($D3904 &gt; 16, 0,$E3904*$J$5)</f>
        <v>0</v>
      </c>
      <c r="G3904">
        <f t="shared" si="60"/>
        <v>0</v>
      </c>
    </row>
    <row r="3905" spans="2:7" x14ac:dyDescent="0.35">
      <c r="B3905" s="1">
        <v>45820</v>
      </c>
      <c r="C3905" s="2">
        <v>0.625</v>
      </c>
      <c r="D3905">
        <v>22.8</v>
      </c>
      <c r="E3905">
        <f>IF($D3905 &gt; 16, 0, $J$3*(16 - $D3905))</f>
        <v>0</v>
      </c>
      <c r="F3905">
        <f>IF($D3905 &gt; 16, 0,$E3905*$J$5)</f>
        <v>0</v>
      </c>
      <c r="G3905">
        <f t="shared" si="60"/>
        <v>0</v>
      </c>
    </row>
    <row r="3906" spans="2:7" x14ac:dyDescent="0.35">
      <c r="B3906" s="1">
        <v>45820</v>
      </c>
      <c r="C3906" s="2">
        <v>0.66666666666666663</v>
      </c>
      <c r="D3906">
        <v>23</v>
      </c>
      <c r="E3906">
        <f>IF($D3906 &gt; 16, 0, $J$3*(16 - $D3906))</f>
        <v>0</v>
      </c>
      <c r="F3906">
        <f>IF($D3906 &gt; 16, 0,$E3906*$J$5)</f>
        <v>0</v>
      </c>
      <c r="G3906">
        <f t="shared" si="60"/>
        <v>0</v>
      </c>
    </row>
    <row r="3907" spans="2:7" x14ac:dyDescent="0.35">
      <c r="B3907" s="1">
        <v>45820</v>
      </c>
      <c r="C3907" s="2">
        <v>0.70833333333333337</v>
      </c>
      <c r="D3907">
        <v>22.7</v>
      </c>
      <c r="E3907">
        <f>IF($D3907 &gt; 16, 0, $J$3*(16 - $D3907))</f>
        <v>0</v>
      </c>
      <c r="F3907">
        <f>IF($D3907 &gt; 16, 0,$E3907*$J$5)</f>
        <v>0</v>
      </c>
      <c r="G3907">
        <f t="shared" ref="G3907:G3970" si="61">MAX(0, 16 - $D3907)</f>
        <v>0</v>
      </c>
    </row>
    <row r="3908" spans="2:7" x14ac:dyDescent="0.35">
      <c r="B3908" s="1">
        <v>45820</v>
      </c>
      <c r="C3908" s="2">
        <v>0.75</v>
      </c>
      <c r="D3908">
        <v>21.9</v>
      </c>
      <c r="E3908">
        <f>IF($D3908 &gt; 16, 0, $J$3*(16 - $D3908))</f>
        <v>0</v>
      </c>
      <c r="F3908">
        <f>IF($D3908 &gt; 16, 0,$E3908*$J$5)</f>
        <v>0</v>
      </c>
      <c r="G3908">
        <f t="shared" si="61"/>
        <v>0</v>
      </c>
    </row>
    <row r="3909" spans="2:7" x14ac:dyDescent="0.35">
      <c r="B3909" s="1">
        <v>45820</v>
      </c>
      <c r="C3909" s="2">
        <v>0.79166666666666663</v>
      </c>
      <c r="D3909">
        <v>20.7</v>
      </c>
      <c r="E3909">
        <f>IF($D3909 &gt; 16, 0, $J$3*(16 - $D3909))</f>
        <v>0</v>
      </c>
      <c r="F3909">
        <f>IF($D3909 &gt; 16, 0,$E3909*$J$5)</f>
        <v>0</v>
      </c>
      <c r="G3909">
        <f t="shared" si="61"/>
        <v>0</v>
      </c>
    </row>
    <row r="3910" spans="2:7" x14ac:dyDescent="0.35">
      <c r="B3910" s="1">
        <v>45820</v>
      </c>
      <c r="C3910" s="2">
        <v>0.83333333333333337</v>
      </c>
      <c r="D3910">
        <v>19.100000000000001</v>
      </c>
      <c r="E3910">
        <f>IF($D3910 &gt; 16, 0, $J$3*(16 - $D3910))</f>
        <v>0</v>
      </c>
      <c r="F3910">
        <f>IF($D3910 &gt; 16, 0,$E3910*$J$5)</f>
        <v>0</v>
      </c>
      <c r="G3910">
        <f t="shared" si="61"/>
        <v>0</v>
      </c>
    </row>
    <row r="3911" spans="2:7" x14ac:dyDescent="0.35">
      <c r="B3911" s="1">
        <v>45820</v>
      </c>
      <c r="C3911" s="2">
        <v>0.875</v>
      </c>
      <c r="D3911">
        <v>18.3</v>
      </c>
      <c r="E3911">
        <f>IF($D3911 &gt; 16, 0, $J$3*(16 - $D3911))</f>
        <v>0</v>
      </c>
      <c r="F3911">
        <f>IF($D3911 &gt; 16, 0,$E3911*$J$5)</f>
        <v>0</v>
      </c>
      <c r="G3911">
        <f t="shared" si="61"/>
        <v>0</v>
      </c>
    </row>
    <row r="3912" spans="2:7" x14ac:dyDescent="0.35">
      <c r="B3912" s="1">
        <v>45820</v>
      </c>
      <c r="C3912" s="2">
        <v>0.91666666666666663</v>
      </c>
      <c r="D3912">
        <v>17.100000000000001</v>
      </c>
      <c r="E3912">
        <f>IF($D3912 &gt; 16, 0, $J$3*(16 - $D3912))</f>
        <v>0</v>
      </c>
      <c r="F3912">
        <f>IF($D3912 &gt; 16, 0,$E3912*$J$5)</f>
        <v>0</v>
      </c>
      <c r="G3912">
        <f t="shared" si="61"/>
        <v>0</v>
      </c>
    </row>
    <row r="3913" spans="2:7" x14ac:dyDescent="0.35">
      <c r="B3913" s="1">
        <v>45820</v>
      </c>
      <c r="C3913" s="2">
        <v>0.95833333333333337</v>
      </c>
      <c r="D3913">
        <v>15.9</v>
      </c>
      <c r="E3913">
        <f>IF($D3913 &gt; 16, 0, $J$3*(16 - $D3913))</f>
        <v>20.774864270069624</v>
      </c>
      <c r="F3913">
        <f>IF($D3913 &gt; 16, 0,$E3913*$J$5)</f>
        <v>225801.99975138676</v>
      </c>
      <c r="G3913">
        <f t="shared" si="61"/>
        <v>9.9999999999999645E-2</v>
      </c>
    </row>
    <row r="3914" spans="2:7" x14ac:dyDescent="0.35">
      <c r="B3914" s="1">
        <v>45821</v>
      </c>
      <c r="C3914" s="2">
        <v>0</v>
      </c>
      <c r="D3914">
        <v>15.2</v>
      </c>
      <c r="E3914">
        <f>IF($D3914 &gt; 16, 0, $J$3*(16 - $D3914))</f>
        <v>166.19891416055773</v>
      </c>
      <c r="F3914">
        <f>IF($D3914 &gt; 16, 0,$E3914*$J$5)</f>
        <v>1806415.998011102</v>
      </c>
      <c r="G3914">
        <f t="shared" si="61"/>
        <v>0.80000000000000071</v>
      </c>
    </row>
    <row r="3915" spans="2:7" x14ac:dyDescent="0.35">
      <c r="B3915" s="1">
        <v>45821</v>
      </c>
      <c r="C3915" s="2">
        <v>4.1666666666666657E-2</v>
      </c>
      <c r="D3915">
        <v>14.2</v>
      </c>
      <c r="E3915">
        <f>IF($D3915 &gt; 16, 0, $J$3*(16 - $D3915))</f>
        <v>373.94755686125472</v>
      </c>
      <c r="F3915">
        <f>IF($D3915 &gt; 16, 0,$E3915*$J$5)</f>
        <v>4064435.9955249778</v>
      </c>
      <c r="G3915">
        <f t="shared" si="61"/>
        <v>1.8000000000000007</v>
      </c>
    </row>
    <row r="3916" spans="2:7" x14ac:dyDescent="0.35">
      <c r="B3916" s="1">
        <v>45821</v>
      </c>
      <c r="C3916" s="2">
        <v>8.3333333333333329E-2</v>
      </c>
      <c r="D3916">
        <v>13.6</v>
      </c>
      <c r="E3916">
        <f>IF($D3916 &gt; 16, 0, $J$3*(16 - $D3916))</f>
        <v>498.59674248167283</v>
      </c>
      <c r="F3916">
        <f>IF($D3916 &gt; 16, 0,$E3916*$J$5)</f>
        <v>5419247.9940333022</v>
      </c>
      <c r="G3916">
        <f t="shared" si="61"/>
        <v>2.4000000000000004</v>
      </c>
    </row>
    <row r="3917" spans="2:7" x14ac:dyDescent="0.35">
      <c r="B3917" s="1">
        <v>45821</v>
      </c>
      <c r="C3917" s="2">
        <v>0.125</v>
      </c>
      <c r="D3917">
        <v>13</v>
      </c>
      <c r="E3917">
        <f>IF($D3917 &gt; 16, 0, $J$3*(16 - $D3917))</f>
        <v>623.24592810209094</v>
      </c>
      <c r="F3917">
        <f>IF($D3917 &gt; 16, 0,$E3917*$J$5)</f>
        <v>6774059.9925416261</v>
      </c>
      <c r="G3917">
        <f t="shared" si="61"/>
        <v>3</v>
      </c>
    </row>
    <row r="3918" spans="2:7" x14ac:dyDescent="0.35">
      <c r="B3918" s="1">
        <v>45821</v>
      </c>
      <c r="C3918" s="2">
        <v>0.16666666666666671</v>
      </c>
      <c r="D3918">
        <v>13.4</v>
      </c>
      <c r="E3918">
        <f>IF($D3918 &gt; 16, 0, $J$3*(16 - $D3918))</f>
        <v>540.14647102181209</v>
      </c>
      <c r="F3918">
        <f>IF($D3918 &gt; 16, 0,$E3918*$J$5)</f>
        <v>5870851.9935360756</v>
      </c>
      <c r="G3918">
        <f t="shared" si="61"/>
        <v>2.5999999999999996</v>
      </c>
    </row>
    <row r="3919" spans="2:7" x14ac:dyDescent="0.35">
      <c r="B3919" s="1">
        <v>45821</v>
      </c>
      <c r="C3919" s="2">
        <v>0.20833333333333329</v>
      </c>
      <c r="D3919">
        <v>14.2</v>
      </c>
      <c r="E3919">
        <f>IF($D3919 &gt; 16, 0, $J$3*(16 - $D3919))</f>
        <v>373.94755686125472</v>
      </c>
      <c r="F3919">
        <f>IF($D3919 &gt; 16, 0,$E3919*$J$5)</f>
        <v>4064435.9955249778</v>
      </c>
      <c r="G3919">
        <f t="shared" si="61"/>
        <v>1.8000000000000007</v>
      </c>
    </row>
    <row r="3920" spans="2:7" x14ac:dyDescent="0.35">
      <c r="B3920" s="1">
        <v>45821</v>
      </c>
      <c r="C3920" s="2">
        <v>0.25</v>
      </c>
      <c r="D3920">
        <v>15.6</v>
      </c>
      <c r="E3920">
        <f>IF($D3920 &gt; 16, 0, $J$3*(16 - $D3920))</f>
        <v>83.099457080278867</v>
      </c>
      <c r="F3920">
        <f>IF($D3920 &gt; 16, 0,$E3920*$J$5)</f>
        <v>903207.99900555098</v>
      </c>
      <c r="G3920">
        <f t="shared" si="61"/>
        <v>0.40000000000000036</v>
      </c>
    </row>
    <row r="3921" spans="2:7" x14ac:dyDescent="0.35">
      <c r="B3921" s="1">
        <v>45821</v>
      </c>
      <c r="C3921" s="2">
        <v>0.29166666666666669</v>
      </c>
      <c r="D3921">
        <v>16.7</v>
      </c>
      <c r="E3921">
        <f>IF($D3921 &gt; 16, 0, $J$3*(16 - $D3921))</f>
        <v>0</v>
      </c>
      <c r="F3921">
        <f>IF($D3921 &gt; 16, 0,$E3921*$J$5)</f>
        <v>0</v>
      </c>
      <c r="G3921">
        <f t="shared" si="61"/>
        <v>0</v>
      </c>
    </row>
    <row r="3922" spans="2:7" x14ac:dyDescent="0.35">
      <c r="B3922" s="1">
        <v>45821</v>
      </c>
      <c r="C3922" s="2">
        <v>0.33333333333333331</v>
      </c>
      <c r="D3922">
        <v>18.7</v>
      </c>
      <c r="E3922">
        <f>IF($D3922 &gt; 16, 0, $J$3*(16 - $D3922))</f>
        <v>0</v>
      </c>
      <c r="F3922">
        <f>IF($D3922 &gt; 16, 0,$E3922*$J$5)</f>
        <v>0</v>
      </c>
      <c r="G3922">
        <f t="shared" si="61"/>
        <v>0</v>
      </c>
    </row>
    <row r="3923" spans="2:7" x14ac:dyDescent="0.35">
      <c r="B3923" s="1">
        <v>45821</v>
      </c>
      <c r="C3923" s="2">
        <v>0.375</v>
      </c>
      <c r="D3923">
        <v>20.399999999999999</v>
      </c>
      <c r="E3923">
        <f>IF($D3923 &gt; 16, 0, $J$3*(16 - $D3923))</f>
        <v>0</v>
      </c>
      <c r="F3923">
        <f>IF($D3923 &gt; 16, 0,$E3923*$J$5)</f>
        <v>0</v>
      </c>
      <c r="G3923">
        <f t="shared" si="61"/>
        <v>0</v>
      </c>
    </row>
    <row r="3924" spans="2:7" x14ac:dyDescent="0.35">
      <c r="B3924" s="1">
        <v>45821</v>
      </c>
      <c r="C3924" s="2">
        <v>0.41666666666666669</v>
      </c>
      <c r="D3924">
        <v>21.8</v>
      </c>
      <c r="E3924">
        <f>IF($D3924 &gt; 16, 0, $J$3*(16 - $D3924))</f>
        <v>0</v>
      </c>
      <c r="F3924">
        <f>IF($D3924 &gt; 16, 0,$E3924*$J$5)</f>
        <v>0</v>
      </c>
      <c r="G3924">
        <f t="shared" si="61"/>
        <v>0</v>
      </c>
    </row>
    <row r="3925" spans="2:7" x14ac:dyDescent="0.35">
      <c r="B3925" s="1">
        <v>45821</v>
      </c>
      <c r="C3925" s="2">
        <v>0.45833333333333331</v>
      </c>
      <c r="D3925">
        <v>23.3</v>
      </c>
      <c r="E3925">
        <f>IF($D3925 &gt; 16, 0, $J$3*(16 - $D3925))</f>
        <v>0</v>
      </c>
      <c r="F3925">
        <f>IF($D3925 &gt; 16, 0,$E3925*$J$5)</f>
        <v>0</v>
      </c>
      <c r="G3925">
        <f t="shared" si="61"/>
        <v>0</v>
      </c>
    </row>
    <row r="3926" spans="2:7" x14ac:dyDescent="0.35">
      <c r="B3926" s="1">
        <v>45821</v>
      </c>
      <c r="C3926" s="2">
        <v>0.5</v>
      </c>
      <c r="D3926">
        <v>24</v>
      </c>
      <c r="E3926">
        <f>IF($D3926 &gt; 16, 0, $J$3*(16 - $D3926))</f>
        <v>0</v>
      </c>
      <c r="F3926">
        <f>IF($D3926 &gt; 16, 0,$E3926*$J$5)</f>
        <v>0</v>
      </c>
      <c r="G3926">
        <f t="shared" si="61"/>
        <v>0</v>
      </c>
    </row>
    <row r="3927" spans="2:7" x14ac:dyDescent="0.35">
      <c r="B3927" s="1">
        <v>45821</v>
      </c>
      <c r="C3927" s="2">
        <v>0.54166666666666663</v>
      </c>
      <c r="D3927">
        <v>25</v>
      </c>
      <c r="E3927">
        <f>IF($D3927 &gt; 16, 0, $J$3*(16 - $D3927))</f>
        <v>0</v>
      </c>
      <c r="F3927">
        <f>IF($D3927 &gt; 16, 0,$E3927*$J$5)</f>
        <v>0</v>
      </c>
      <c r="G3927">
        <f t="shared" si="61"/>
        <v>0</v>
      </c>
    </row>
    <row r="3928" spans="2:7" x14ac:dyDescent="0.35">
      <c r="B3928" s="1">
        <v>45821</v>
      </c>
      <c r="C3928" s="2">
        <v>0.58333333333333337</v>
      </c>
      <c r="D3928">
        <v>25.4</v>
      </c>
      <c r="E3928">
        <f>IF($D3928 &gt; 16, 0, $J$3*(16 - $D3928))</f>
        <v>0</v>
      </c>
      <c r="F3928">
        <f>IF($D3928 &gt; 16, 0,$E3928*$J$5)</f>
        <v>0</v>
      </c>
      <c r="G3928">
        <f t="shared" si="61"/>
        <v>0</v>
      </c>
    </row>
    <row r="3929" spans="2:7" x14ac:dyDescent="0.35">
      <c r="B3929" s="1">
        <v>45821</v>
      </c>
      <c r="C3929" s="2">
        <v>0.625</v>
      </c>
      <c r="D3929">
        <v>25.4</v>
      </c>
      <c r="E3929">
        <f>IF($D3929 &gt; 16, 0, $J$3*(16 - $D3929))</f>
        <v>0</v>
      </c>
      <c r="F3929">
        <f>IF($D3929 &gt; 16, 0,$E3929*$J$5)</f>
        <v>0</v>
      </c>
      <c r="G3929">
        <f t="shared" si="61"/>
        <v>0</v>
      </c>
    </row>
    <row r="3930" spans="2:7" x14ac:dyDescent="0.35">
      <c r="B3930" s="1">
        <v>45821</v>
      </c>
      <c r="C3930" s="2">
        <v>0.66666666666666663</v>
      </c>
      <c r="D3930">
        <v>25.7</v>
      </c>
      <c r="E3930">
        <f>IF($D3930 &gt; 16, 0, $J$3*(16 - $D3930))</f>
        <v>0</v>
      </c>
      <c r="F3930">
        <f>IF($D3930 &gt; 16, 0,$E3930*$J$5)</f>
        <v>0</v>
      </c>
      <c r="G3930">
        <f t="shared" si="61"/>
        <v>0</v>
      </c>
    </row>
    <row r="3931" spans="2:7" x14ac:dyDescent="0.35">
      <c r="B3931" s="1">
        <v>45821</v>
      </c>
      <c r="C3931" s="2">
        <v>0.70833333333333337</v>
      </c>
      <c r="D3931">
        <v>25</v>
      </c>
      <c r="E3931">
        <f>IF($D3931 &gt; 16, 0, $J$3*(16 - $D3931))</f>
        <v>0</v>
      </c>
      <c r="F3931">
        <f>IF($D3931 &gt; 16, 0,$E3931*$J$5)</f>
        <v>0</v>
      </c>
      <c r="G3931">
        <f t="shared" si="61"/>
        <v>0</v>
      </c>
    </row>
    <row r="3932" spans="2:7" x14ac:dyDescent="0.35">
      <c r="B3932" s="1">
        <v>45821</v>
      </c>
      <c r="C3932" s="2">
        <v>0.75</v>
      </c>
      <c r="D3932">
        <v>24.4</v>
      </c>
      <c r="E3932">
        <f>IF($D3932 &gt; 16, 0, $J$3*(16 - $D3932))</f>
        <v>0</v>
      </c>
      <c r="F3932">
        <f>IF($D3932 &gt; 16, 0,$E3932*$J$5)</f>
        <v>0</v>
      </c>
      <c r="G3932">
        <f t="shared" si="61"/>
        <v>0</v>
      </c>
    </row>
    <row r="3933" spans="2:7" x14ac:dyDescent="0.35">
      <c r="B3933" s="1">
        <v>45821</v>
      </c>
      <c r="C3933" s="2">
        <v>0.79166666666666663</v>
      </c>
      <c r="D3933">
        <v>23.1</v>
      </c>
      <c r="E3933">
        <f>IF($D3933 &gt; 16, 0, $J$3*(16 - $D3933))</f>
        <v>0</v>
      </c>
      <c r="F3933">
        <f>IF($D3933 &gt; 16, 0,$E3933*$J$5)</f>
        <v>0</v>
      </c>
      <c r="G3933">
        <f t="shared" si="61"/>
        <v>0</v>
      </c>
    </row>
    <row r="3934" spans="2:7" x14ac:dyDescent="0.35">
      <c r="B3934" s="1">
        <v>45821</v>
      </c>
      <c r="C3934" s="2">
        <v>0.83333333333333337</v>
      </c>
      <c r="D3934">
        <v>21.7</v>
      </c>
      <c r="E3934">
        <f>IF($D3934 &gt; 16, 0, $J$3*(16 - $D3934))</f>
        <v>0</v>
      </c>
      <c r="F3934">
        <f>IF($D3934 &gt; 16, 0,$E3934*$J$5)</f>
        <v>0</v>
      </c>
      <c r="G3934">
        <f t="shared" si="61"/>
        <v>0</v>
      </c>
    </row>
    <row r="3935" spans="2:7" x14ac:dyDescent="0.35">
      <c r="B3935" s="1">
        <v>45821</v>
      </c>
      <c r="C3935" s="2">
        <v>0.875</v>
      </c>
      <c r="D3935">
        <v>19</v>
      </c>
      <c r="E3935">
        <f>IF($D3935 &gt; 16, 0, $J$3*(16 - $D3935))</f>
        <v>0</v>
      </c>
      <c r="F3935">
        <f>IF($D3935 &gt; 16, 0,$E3935*$J$5)</f>
        <v>0</v>
      </c>
      <c r="G3935">
        <f t="shared" si="61"/>
        <v>0</v>
      </c>
    </row>
    <row r="3936" spans="2:7" x14ac:dyDescent="0.35">
      <c r="B3936" s="1">
        <v>45821</v>
      </c>
      <c r="C3936" s="2">
        <v>0.91666666666666663</v>
      </c>
      <c r="D3936">
        <v>16.899999999999999</v>
      </c>
      <c r="E3936">
        <f>IF($D3936 &gt; 16, 0, $J$3*(16 - $D3936))</f>
        <v>0</v>
      </c>
      <c r="F3936">
        <f>IF($D3936 &gt; 16, 0,$E3936*$J$5)</f>
        <v>0</v>
      </c>
      <c r="G3936">
        <f t="shared" si="61"/>
        <v>0</v>
      </c>
    </row>
    <row r="3937" spans="2:7" x14ac:dyDescent="0.35">
      <c r="B3937" s="1">
        <v>45821</v>
      </c>
      <c r="C3937" s="2">
        <v>0.95833333333333337</v>
      </c>
      <c r="D3937">
        <v>17.600000000000001</v>
      </c>
      <c r="E3937">
        <f>IF($D3937 &gt; 16, 0, $J$3*(16 - $D3937))</f>
        <v>0</v>
      </c>
      <c r="F3937">
        <f>IF($D3937 &gt; 16, 0,$E3937*$J$5)</f>
        <v>0</v>
      </c>
      <c r="G3937">
        <f t="shared" si="61"/>
        <v>0</v>
      </c>
    </row>
    <row r="3938" spans="2:7" x14ac:dyDescent="0.35">
      <c r="B3938" s="1">
        <v>45822</v>
      </c>
      <c r="C3938" s="2">
        <v>0</v>
      </c>
      <c r="D3938">
        <v>16.899999999999999</v>
      </c>
      <c r="E3938">
        <f>IF($D3938 &gt; 16, 0, $J$3*(16 - $D3938))</f>
        <v>0</v>
      </c>
      <c r="F3938">
        <f>IF($D3938 &gt; 16, 0,$E3938*$J$5)</f>
        <v>0</v>
      </c>
      <c r="G3938">
        <f t="shared" si="61"/>
        <v>0</v>
      </c>
    </row>
    <row r="3939" spans="2:7" x14ac:dyDescent="0.35">
      <c r="B3939" s="1">
        <v>45822</v>
      </c>
      <c r="C3939" s="2">
        <v>4.1666666666666657E-2</v>
      </c>
      <c r="D3939">
        <v>16</v>
      </c>
      <c r="E3939">
        <f>IF($D3939 &gt; 16, 0, $J$3*(16 - $D3939))</f>
        <v>0</v>
      </c>
      <c r="F3939">
        <f>IF($D3939 &gt; 16, 0,$E3939*$J$5)</f>
        <v>0</v>
      </c>
      <c r="G3939">
        <f t="shared" si="61"/>
        <v>0</v>
      </c>
    </row>
    <row r="3940" spans="2:7" x14ac:dyDescent="0.35">
      <c r="B3940" s="1">
        <v>45822</v>
      </c>
      <c r="C3940" s="2">
        <v>8.3333333333333329E-2</v>
      </c>
      <c r="D3940">
        <v>15.3</v>
      </c>
      <c r="E3940">
        <f>IF($D3940 &gt; 16, 0, $J$3*(16 - $D3940))</f>
        <v>145.42404989048774</v>
      </c>
      <c r="F3940">
        <f>IF($D3940 &gt; 16, 0,$E3940*$J$5)</f>
        <v>1580613.9982597113</v>
      </c>
      <c r="G3940">
        <f t="shared" si="61"/>
        <v>0.69999999999999929</v>
      </c>
    </row>
    <row r="3941" spans="2:7" x14ac:dyDescent="0.35">
      <c r="B3941" s="1">
        <v>45822</v>
      </c>
      <c r="C3941" s="2">
        <v>0.125</v>
      </c>
      <c r="D3941">
        <v>15.3</v>
      </c>
      <c r="E3941">
        <f>IF($D3941 &gt; 16, 0, $J$3*(16 - $D3941))</f>
        <v>145.42404989048774</v>
      </c>
      <c r="F3941">
        <f>IF($D3941 &gt; 16, 0,$E3941*$J$5)</f>
        <v>1580613.9982597113</v>
      </c>
      <c r="G3941">
        <f t="shared" si="61"/>
        <v>0.69999999999999929</v>
      </c>
    </row>
    <row r="3942" spans="2:7" x14ac:dyDescent="0.35">
      <c r="B3942" s="1">
        <v>45822</v>
      </c>
      <c r="C3942" s="2">
        <v>0.16666666666666671</v>
      </c>
      <c r="D3942">
        <v>15.5</v>
      </c>
      <c r="E3942">
        <f>IF($D3942 &gt; 16, 0, $J$3*(16 - $D3942))</f>
        <v>103.8743213503485</v>
      </c>
      <c r="F3942">
        <f>IF($D3942 &gt; 16, 0,$E3942*$J$5)</f>
        <v>1129009.9987569377</v>
      </c>
      <c r="G3942">
        <f t="shared" si="61"/>
        <v>0.5</v>
      </c>
    </row>
    <row r="3943" spans="2:7" x14ac:dyDescent="0.35">
      <c r="B3943" s="1">
        <v>45822</v>
      </c>
      <c r="C3943" s="2">
        <v>0.20833333333333329</v>
      </c>
      <c r="D3943">
        <v>16.7</v>
      </c>
      <c r="E3943">
        <f>IF($D3943 &gt; 16, 0, $J$3*(16 - $D3943))</f>
        <v>0</v>
      </c>
      <c r="F3943">
        <f>IF($D3943 &gt; 16, 0,$E3943*$J$5)</f>
        <v>0</v>
      </c>
      <c r="G3943">
        <f t="shared" si="61"/>
        <v>0</v>
      </c>
    </row>
    <row r="3944" spans="2:7" x14ac:dyDescent="0.35">
      <c r="B3944" s="1">
        <v>45822</v>
      </c>
      <c r="C3944" s="2">
        <v>0.25</v>
      </c>
      <c r="D3944">
        <v>18.100000000000001</v>
      </c>
      <c r="E3944">
        <f>IF($D3944 &gt; 16, 0, $J$3*(16 - $D3944))</f>
        <v>0</v>
      </c>
      <c r="F3944">
        <f>IF($D3944 &gt; 16, 0,$E3944*$J$5)</f>
        <v>0</v>
      </c>
      <c r="G3944">
        <f t="shared" si="61"/>
        <v>0</v>
      </c>
    </row>
    <row r="3945" spans="2:7" x14ac:dyDescent="0.35">
      <c r="B3945" s="1">
        <v>45822</v>
      </c>
      <c r="C3945" s="2">
        <v>0.29166666666666669</v>
      </c>
      <c r="D3945">
        <v>19.399999999999999</v>
      </c>
      <c r="E3945">
        <f>IF($D3945 &gt; 16, 0, $J$3*(16 - $D3945))</f>
        <v>0</v>
      </c>
      <c r="F3945">
        <f>IF($D3945 &gt; 16, 0,$E3945*$J$5)</f>
        <v>0</v>
      </c>
      <c r="G3945">
        <f t="shared" si="61"/>
        <v>0</v>
      </c>
    </row>
    <row r="3946" spans="2:7" x14ac:dyDescent="0.35">
      <c r="B3946" s="1">
        <v>45822</v>
      </c>
      <c r="C3946" s="2">
        <v>0.33333333333333331</v>
      </c>
      <c r="D3946">
        <v>21.3</v>
      </c>
      <c r="E3946">
        <f>IF($D3946 &gt; 16, 0, $J$3*(16 - $D3946))</f>
        <v>0</v>
      </c>
      <c r="F3946">
        <f>IF($D3946 &gt; 16, 0,$E3946*$J$5)</f>
        <v>0</v>
      </c>
      <c r="G3946">
        <f t="shared" si="61"/>
        <v>0</v>
      </c>
    </row>
    <row r="3947" spans="2:7" x14ac:dyDescent="0.35">
      <c r="B3947" s="1">
        <v>45822</v>
      </c>
      <c r="C3947" s="2">
        <v>0.375</v>
      </c>
      <c r="D3947">
        <v>23.4</v>
      </c>
      <c r="E3947">
        <f>IF($D3947 &gt; 16, 0, $J$3*(16 - $D3947))</f>
        <v>0</v>
      </c>
      <c r="F3947">
        <f>IF($D3947 &gt; 16, 0,$E3947*$J$5)</f>
        <v>0</v>
      </c>
      <c r="G3947">
        <f t="shared" si="61"/>
        <v>0</v>
      </c>
    </row>
    <row r="3948" spans="2:7" x14ac:dyDescent="0.35">
      <c r="B3948" s="1">
        <v>45822</v>
      </c>
      <c r="C3948" s="2">
        <v>0.41666666666666669</v>
      </c>
      <c r="D3948">
        <v>25</v>
      </c>
      <c r="E3948">
        <f>IF($D3948 &gt; 16, 0, $J$3*(16 - $D3948))</f>
        <v>0</v>
      </c>
      <c r="F3948">
        <f>IF($D3948 &gt; 16, 0,$E3948*$J$5)</f>
        <v>0</v>
      </c>
      <c r="G3948">
        <f t="shared" si="61"/>
        <v>0</v>
      </c>
    </row>
    <row r="3949" spans="2:7" x14ac:dyDescent="0.35">
      <c r="B3949" s="1">
        <v>45822</v>
      </c>
      <c r="C3949" s="2">
        <v>0.45833333333333331</v>
      </c>
      <c r="D3949">
        <v>26.4</v>
      </c>
      <c r="E3949">
        <f>IF($D3949 &gt; 16, 0, $J$3*(16 - $D3949))</f>
        <v>0</v>
      </c>
      <c r="F3949">
        <f>IF($D3949 &gt; 16, 0,$E3949*$J$5)</f>
        <v>0</v>
      </c>
      <c r="G3949">
        <f t="shared" si="61"/>
        <v>0</v>
      </c>
    </row>
    <row r="3950" spans="2:7" x14ac:dyDescent="0.35">
      <c r="B3950" s="1">
        <v>45822</v>
      </c>
      <c r="C3950" s="2">
        <v>0.5</v>
      </c>
      <c r="D3950">
        <v>27.6</v>
      </c>
      <c r="E3950">
        <f>IF($D3950 &gt; 16, 0, $J$3*(16 - $D3950))</f>
        <v>0</v>
      </c>
      <c r="F3950">
        <f>IF($D3950 &gt; 16, 0,$E3950*$J$5)</f>
        <v>0</v>
      </c>
      <c r="G3950">
        <f t="shared" si="61"/>
        <v>0</v>
      </c>
    </row>
    <row r="3951" spans="2:7" x14ac:dyDescent="0.35">
      <c r="B3951" s="1">
        <v>45822</v>
      </c>
      <c r="C3951" s="2">
        <v>0.54166666666666663</v>
      </c>
      <c r="D3951">
        <v>28.6</v>
      </c>
      <c r="E3951">
        <f>IF($D3951 &gt; 16, 0, $J$3*(16 - $D3951))</f>
        <v>0</v>
      </c>
      <c r="F3951">
        <f>IF($D3951 &gt; 16, 0,$E3951*$J$5)</f>
        <v>0</v>
      </c>
      <c r="G3951">
        <f t="shared" si="61"/>
        <v>0</v>
      </c>
    </row>
    <row r="3952" spans="2:7" x14ac:dyDescent="0.35">
      <c r="B3952" s="1">
        <v>45822</v>
      </c>
      <c r="C3952" s="2">
        <v>0.58333333333333337</v>
      </c>
      <c r="D3952">
        <v>29.2</v>
      </c>
      <c r="E3952">
        <f>IF($D3952 &gt; 16, 0, $J$3*(16 - $D3952))</f>
        <v>0</v>
      </c>
      <c r="F3952">
        <f>IF($D3952 &gt; 16, 0,$E3952*$J$5)</f>
        <v>0</v>
      </c>
      <c r="G3952">
        <f t="shared" si="61"/>
        <v>0</v>
      </c>
    </row>
    <row r="3953" spans="2:7" x14ac:dyDescent="0.35">
      <c r="B3953" s="1">
        <v>45822</v>
      </c>
      <c r="C3953" s="2">
        <v>0.625</v>
      </c>
      <c r="D3953">
        <v>29.3</v>
      </c>
      <c r="E3953">
        <f>IF($D3953 &gt; 16, 0, $J$3*(16 - $D3953))</f>
        <v>0</v>
      </c>
      <c r="F3953">
        <f>IF($D3953 &gt; 16, 0,$E3953*$J$5)</f>
        <v>0</v>
      </c>
      <c r="G3953">
        <f t="shared" si="61"/>
        <v>0</v>
      </c>
    </row>
    <row r="3954" spans="2:7" x14ac:dyDescent="0.35">
      <c r="B3954" s="1">
        <v>45822</v>
      </c>
      <c r="C3954" s="2">
        <v>0.66666666666666663</v>
      </c>
      <c r="D3954">
        <v>29.2</v>
      </c>
      <c r="E3954">
        <f>IF($D3954 &gt; 16, 0, $J$3*(16 - $D3954))</f>
        <v>0</v>
      </c>
      <c r="F3954">
        <f>IF($D3954 &gt; 16, 0,$E3954*$J$5)</f>
        <v>0</v>
      </c>
      <c r="G3954">
        <f t="shared" si="61"/>
        <v>0</v>
      </c>
    </row>
    <row r="3955" spans="2:7" x14ac:dyDescent="0.35">
      <c r="B3955" s="1">
        <v>45822</v>
      </c>
      <c r="C3955" s="2">
        <v>0.70833333333333337</v>
      </c>
      <c r="D3955">
        <v>28.9</v>
      </c>
      <c r="E3955">
        <f>IF($D3955 &gt; 16, 0, $J$3*(16 - $D3955))</f>
        <v>0</v>
      </c>
      <c r="F3955">
        <f>IF($D3955 &gt; 16, 0,$E3955*$J$5)</f>
        <v>0</v>
      </c>
      <c r="G3955">
        <f t="shared" si="61"/>
        <v>0</v>
      </c>
    </row>
    <row r="3956" spans="2:7" x14ac:dyDescent="0.35">
      <c r="B3956" s="1">
        <v>45822</v>
      </c>
      <c r="C3956" s="2">
        <v>0.75</v>
      </c>
      <c r="D3956">
        <v>28.4</v>
      </c>
      <c r="E3956">
        <f>IF($D3956 &gt; 16, 0, $J$3*(16 - $D3956))</f>
        <v>0</v>
      </c>
      <c r="F3956">
        <f>IF($D3956 &gt; 16, 0,$E3956*$J$5)</f>
        <v>0</v>
      </c>
      <c r="G3956">
        <f t="shared" si="61"/>
        <v>0</v>
      </c>
    </row>
    <row r="3957" spans="2:7" x14ac:dyDescent="0.35">
      <c r="B3957" s="1">
        <v>45822</v>
      </c>
      <c r="C3957" s="2">
        <v>0.79166666666666663</v>
      </c>
      <c r="D3957">
        <v>26.6</v>
      </c>
      <c r="E3957">
        <f>IF($D3957 &gt; 16, 0, $J$3*(16 - $D3957))</f>
        <v>0</v>
      </c>
      <c r="F3957">
        <f>IF($D3957 &gt; 16, 0,$E3957*$J$5)</f>
        <v>0</v>
      </c>
      <c r="G3957">
        <f t="shared" si="61"/>
        <v>0</v>
      </c>
    </row>
    <row r="3958" spans="2:7" x14ac:dyDescent="0.35">
      <c r="B3958" s="1">
        <v>45822</v>
      </c>
      <c r="C3958" s="2">
        <v>0.83333333333333337</v>
      </c>
      <c r="D3958">
        <v>25.9</v>
      </c>
      <c r="E3958">
        <f>IF($D3958 &gt; 16, 0, $J$3*(16 - $D3958))</f>
        <v>0</v>
      </c>
      <c r="F3958">
        <f>IF($D3958 &gt; 16, 0,$E3958*$J$5)</f>
        <v>0</v>
      </c>
      <c r="G3958">
        <f t="shared" si="61"/>
        <v>0</v>
      </c>
    </row>
    <row r="3959" spans="2:7" x14ac:dyDescent="0.35">
      <c r="B3959" s="1">
        <v>45822</v>
      </c>
      <c r="C3959" s="2">
        <v>0.875</v>
      </c>
      <c r="D3959">
        <v>23.8</v>
      </c>
      <c r="E3959">
        <f>IF($D3959 &gt; 16, 0, $J$3*(16 - $D3959))</f>
        <v>0</v>
      </c>
      <c r="F3959">
        <f>IF($D3959 &gt; 16, 0,$E3959*$J$5)</f>
        <v>0</v>
      </c>
      <c r="G3959">
        <f t="shared" si="61"/>
        <v>0</v>
      </c>
    </row>
    <row r="3960" spans="2:7" x14ac:dyDescent="0.35">
      <c r="B3960" s="1">
        <v>45822</v>
      </c>
      <c r="C3960" s="2">
        <v>0.91666666666666663</v>
      </c>
      <c r="D3960">
        <v>23.4</v>
      </c>
      <c r="E3960">
        <f>IF($D3960 &gt; 16, 0, $J$3*(16 - $D3960))</f>
        <v>0</v>
      </c>
      <c r="F3960">
        <f>IF($D3960 &gt; 16, 0,$E3960*$J$5)</f>
        <v>0</v>
      </c>
      <c r="G3960">
        <f t="shared" si="61"/>
        <v>0</v>
      </c>
    </row>
    <row r="3961" spans="2:7" x14ac:dyDescent="0.35">
      <c r="B3961" s="1">
        <v>45822</v>
      </c>
      <c r="C3961" s="2">
        <v>0.95833333333333337</v>
      </c>
      <c r="D3961">
        <v>23.2</v>
      </c>
      <c r="E3961">
        <f>IF($D3961 &gt; 16, 0, $J$3*(16 - $D3961))</f>
        <v>0</v>
      </c>
      <c r="F3961">
        <f>IF($D3961 &gt; 16, 0,$E3961*$J$5)</f>
        <v>0</v>
      </c>
      <c r="G3961">
        <f t="shared" si="61"/>
        <v>0</v>
      </c>
    </row>
    <row r="3962" spans="2:7" x14ac:dyDescent="0.35">
      <c r="B3962" s="1">
        <v>45823</v>
      </c>
      <c r="C3962" s="2">
        <v>0</v>
      </c>
      <c r="D3962">
        <v>22.7</v>
      </c>
      <c r="E3962">
        <f>IF($D3962 &gt; 16, 0, $J$3*(16 - $D3962))</f>
        <v>0</v>
      </c>
      <c r="F3962">
        <f>IF($D3962 &gt; 16, 0,$E3962*$J$5)</f>
        <v>0</v>
      </c>
      <c r="G3962">
        <f t="shared" si="61"/>
        <v>0</v>
      </c>
    </row>
    <row r="3963" spans="2:7" x14ac:dyDescent="0.35">
      <c r="B3963" s="1">
        <v>45823</v>
      </c>
      <c r="C3963" s="2">
        <v>4.1666666666666657E-2</v>
      </c>
      <c r="D3963">
        <v>22.1</v>
      </c>
      <c r="E3963">
        <f>IF($D3963 &gt; 16, 0, $J$3*(16 - $D3963))</f>
        <v>0</v>
      </c>
      <c r="F3963">
        <f>IF($D3963 &gt; 16, 0,$E3963*$J$5)</f>
        <v>0</v>
      </c>
      <c r="G3963">
        <f t="shared" si="61"/>
        <v>0</v>
      </c>
    </row>
    <row r="3964" spans="2:7" x14ac:dyDescent="0.35">
      <c r="B3964" s="1">
        <v>45823</v>
      </c>
      <c r="C3964" s="2">
        <v>8.3333333333333329E-2</v>
      </c>
      <c r="D3964">
        <v>20.3</v>
      </c>
      <c r="E3964">
        <f>IF($D3964 &gt; 16, 0, $J$3*(16 - $D3964))</f>
        <v>0</v>
      </c>
      <c r="F3964">
        <f>IF($D3964 &gt; 16, 0,$E3964*$J$5)</f>
        <v>0</v>
      </c>
      <c r="G3964">
        <f t="shared" si="61"/>
        <v>0</v>
      </c>
    </row>
    <row r="3965" spans="2:7" x14ac:dyDescent="0.35">
      <c r="B3965" s="1">
        <v>45823</v>
      </c>
      <c r="C3965" s="2">
        <v>0.125</v>
      </c>
      <c r="D3965">
        <v>19.5</v>
      </c>
      <c r="E3965">
        <f>IF($D3965 &gt; 16, 0, $J$3*(16 - $D3965))</f>
        <v>0</v>
      </c>
      <c r="F3965">
        <f>IF($D3965 &gt; 16, 0,$E3965*$J$5)</f>
        <v>0</v>
      </c>
      <c r="G3965">
        <f t="shared" si="61"/>
        <v>0</v>
      </c>
    </row>
    <row r="3966" spans="2:7" x14ac:dyDescent="0.35">
      <c r="B3966" s="1">
        <v>45823</v>
      </c>
      <c r="C3966" s="2">
        <v>0.16666666666666671</v>
      </c>
      <c r="D3966">
        <v>18.600000000000001</v>
      </c>
      <c r="E3966">
        <f>IF($D3966 &gt; 16, 0, $J$3*(16 - $D3966))</f>
        <v>0</v>
      </c>
      <c r="F3966">
        <f>IF($D3966 &gt; 16, 0,$E3966*$J$5)</f>
        <v>0</v>
      </c>
      <c r="G3966">
        <f t="shared" si="61"/>
        <v>0</v>
      </c>
    </row>
    <row r="3967" spans="2:7" x14ac:dyDescent="0.35">
      <c r="B3967" s="1">
        <v>45823</v>
      </c>
      <c r="C3967" s="2">
        <v>0.20833333333333329</v>
      </c>
      <c r="D3967">
        <v>19.399999999999999</v>
      </c>
      <c r="E3967">
        <f>IF($D3967 &gt; 16, 0, $J$3*(16 - $D3967))</f>
        <v>0</v>
      </c>
      <c r="F3967">
        <f>IF($D3967 &gt; 16, 0,$E3967*$J$5)</f>
        <v>0</v>
      </c>
      <c r="G3967">
        <f t="shared" si="61"/>
        <v>0</v>
      </c>
    </row>
    <row r="3968" spans="2:7" x14ac:dyDescent="0.35">
      <c r="B3968" s="1">
        <v>45823</v>
      </c>
      <c r="C3968" s="2">
        <v>0.25</v>
      </c>
      <c r="D3968">
        <v>20.8</v>
      </c>
      <c r="E3968">
        <f>IF($D3968 &gt; 16, 0, $J$3*(16 - $D3968))</f>
        <v>0</v>
      </c>
      <c r="F3968">
        <f>IF($D3968 &gt; 16, 0,$E3968*$J$5)</f>
        <v>0</v>
      </c>
      <c r="G3968">
        <f t="shared" si="61"/>
        <v>0</v>
      </c>
    </row>
    <row r="3969" spans="2:7" x14ac:dyDescent="0.35">
      <c r="B3969" s="1">
        <v>45823</v>
      </c>
      <c r="C3969" s="2">
        <v>0.29166666666666669</v>
      </c>
      <c r="D3969">
        <v>22.1</v>
      </c>
      <c r="E3969">
        <f>IF($D3969 &gt; 16, 0, $J$3*(16 - $D3969))</f>
        <v>0</v>
      </c>
      <c r="F3969">
        <f>IF($D3969 &gt; 16, 0,$E3969*$J$5)</f>
        <v>0</v>
      </c>
      <c r="G3969">
        <f t="shared" si="61"/>
        <v>0</v>
      </c>
    </row>
    <row r="3970" spans="2:7" x14ac:dyDescent="0.35">
      <c r="B3970" s="1">
        <v>45823</v>
      </c>
      <c r="C3970" s="2">
        <v>0.33333333333333331</v>
      </c>
      <c r="D3970">
        <v>21.5</v>
      </c>
      <c r="E3970">
        <f>IF($D3970 &gt; 16, 0, $J$3*(16 - $D3970))</f>
        <v>0</v>
      </c>
      <c r="F3970">
        <f>IF($D3970 &gt; 16, 0,$E3970*$J$5)</f>
        <v>0</v>
      </c>
      <c r="G3970">
        <f t="shared" si="61"/>
        <v>0</v>
      </c>
    </row>
    <row r="3971" spans="2:7" x14ac:dyDescent="0.35">
      <c r="B3971" s="1">
        <v>45823</v>
      </c>
      <c r="C3971" s="2">
        <v>0.375</v>
      </c>
      <c r="D3971">
        <v>21.7</v>
      </c>
      <c r="E3971">
        <f>IF($D3971 &gt; 16, 0, $J$3*(16 - $D3971))</f>
        <v>0</v>
      </c>
      <c r="F3971">
        <f>IF($D3971 &gt; 16, 0,$E3971*$J$5)</f>
        <v>0</v>
      </c>
      <c r="G3971">
        <f t="shared" ref="G3971:G4034" si="62">MAX(0, 16 - $D3971)</f>
        <v>0</v>
      </c>
    </row>
    <row r="3972" spans="2:7" x14ac:dyDescent="0.35">
      <c r="B3972" s="1">
        <v>45823</v>
      </c>
      <c r="C3972" s="2">
        <v>0.41666666666666669</v>
      </c>
      <c r="D3972">
        <v>22.5</v>
      </c>
      <c r="E3972">
        <f>IF($D3972 &gt; 16, 0, $J$3*(16 - $D3972))</f>
        <v>0</v>
      </c>
      <c r="F3972">
        <f>IF($D3972 &gt; 16, 0,$E3972*$J$5)</f>
        <v>0</v>
      </c>
      <c r="G3972">
        <f t="shared" si="62"/>
        <v>0</v>
      </c>
    </row>
    <row r="3973" spans="2:7" x14ac:dyDescent="0.35">
      <c r="B3973" s="1">
        <v>45823</v>
      </c>
      <c r="C3973" s="2">
        <v>0.45833333333333331</v>
      </c>
      <c r="D3973">
        <v>22.2</v>
      </c>
      <c r="E3973">
        <f>IF($D3973 &gt; 16, 0, $J$3*(16 - $D3973))</f>
        <v>0</v>
      </c>
      <c r="F3973">
        <f>IF($D3973 &gt; 16, 0,$E3973*$J$5)</f>
        <v>0</v>
      </c>
      <c r="G3973">
        <f t="shared" si="62"/>
        <v>0</v>
      </c>
    </row>
    <row r="3974" spans="2:7" x14ac:dyDescent="0.35">
      <c r="B3974" s="1">
        <v>45823</v>
      </c>
      <c r="C3974" s="2">
        <v>0.5</v>
      </c>
      <c r="D3974">
        <v>16</v>
      </c>
      <c r="E3974">
        <f>IF($D3974 &gt; 16, 0, $J$3*(16 - $D3974))</f>
        <v>0</v>
      </c>
      <c r="F3974">
        <f>IF($D3974 &gt; 16, 0,$E3974*$J$5)</f>
        <v>0</v>
      </c>
      <c r="G3974">
        <f t="shared" si="62"/>
        <v>0</v>
      </c>
    </row>
    <row r="3975" spans="2:7" x14ac:dyDescent="0.35">
      <c r="B3975" s="1">
        <v>45823</v>
      </c>
      <c r="C3975" s="2">
        <v>0.54166666666666663</v>
      </c>
      <c r="D3975">
        <v>14.9</v>
      </c>
      <c r="E3975">
        <f>IF($D3975 &gt; 16, 0, $J$3*(16 - $D3975))</f>
        <v>228.52350697076662</v>
      </c>
      <c r="F3975">
        <f>IF($D3975 &gt; 16, 0,$E3975*$J$5)</f>
        <v>2483821.9972652625</v>
      </c>
      <c r="G3975">
        <f t="shared" si="62"/>
        <v>1.0999999999999996</v>
      </c>
    </row>
    <row r="3976" spans="2:7" x14ac:dyDescent="0.35">
      <c r="B3976" s="1">
        <v>45823</v>
      </c>
      <c r="C3976" s="2">
        <v>0.58333333333333337</v>
      </c>
      <c r="D3976">
        <v>16.2</v>
      </c>
      <c r="E3976">
        <f>IF($D3976 &gt; 16, 0, $J$3*(16 - $D3976))</f>
        <v>0</v>
      </c>
      <c r="F3976">
        <f>IF($D3976 &gt; 16, 0,$E3976*$J$5)</f>
        <v>0</v>
      </c>
      <c r="G3976">
        <f t="shared" si="62"/>
        <v>0</v>
      </c>
    </row>
    <row r="3977" spans="2:7" x14ac:dyDescent="0.35">
      <c r="B3977" s="1">
        <v>45823</v>
      </c>
      <c r="C3977" s="2">
        <v>0.625</v>
      </c>
      <c r="D3977">
        <v>16.399999999999999</v>
      </c>
      <c r="E3977">
        <f>IF($D3977 &gt; 16, 0, $J$3*(16 - $D3977))</f>
        <v>0</v>
      </c>
      <c r="F3977">
        <f>IF($D3977 &gt; 16, 0,$E3977*$J$5)</f>
        <v>0</v>
      </c>
      <c r="G3977">
        <f t="shared" si="62"/>
        <v>0</v>
      </c>
    </row>
    <row r="3978" spans="2:7" x14ac:dyDescent="0.35">
      <c r="B3978" s="1">
        <v>45823</v>
      </c>
      <c r="C3978" s="2">
        <v>0.66666666666666663</v>
      </c>
      <c r="D3978">
        <v>16.8</v>
      </c>
      <c r="E3978">
        <f>IF($D3978 &gt; 16, 0, $J$3*(16 - $D3978))</f>
        <v>0</v>
      </c>
      <c r="F3978">
        <f>IF($D3978 &gt; 16, 0,$E3978*$J$5)</f>
        <v>0</v>
      </c>
      <c r="G3978">
        <f t="shared" si="62"/>
        <v>0</v>
      </c>
    </row>
    <row r="3979" spans="2:7" x14ac:dyDescent="0.35">
      <c r="B3979" s="1">
        <v>45823</v>
      </c>
      <c r="C3979" s="2">
        <v>0.70833333333333337</v>
      </c>
      <c r="D3979">
        <v>17.399999999999999</v>
      </c>
      <c r="E3979">
        <f>IF($D3979 &gt; 16, 0, $J$3*(16 - $D3979))</f>
        <v>0</v>
      </c>
      <c r="F3979">
        <f>IF($D3979 &gt; 16, 0,$E3979*$J$5)</f>
        <v>0</v>
      </c>
      <c r="G3979">
        <f t="shared" si="62"/>
        <v>0</v>
      </c>
    </row>
    <row r="3980" spans="2:7" x14ac:dyDescent="0.35">
      <c r="B3980" s="1">
        <v>45823</v>
      </c>
      <c r="C3980" s="2">
        <v>0.75</v>
      </c>
      <c r="D3980">
        <v>17.7</v>
      </c>
      <c r="E3980">
        <f>IF($D3980 &gt; 16, 0, $J$3*(16 - $D3980))</f>
        <v>0</v>
      </c>
      <c r="F3980">
        <f>IF($D3980 &gt; 16, 0,$E3980*$J$5)</f>
        <v>0</v>
      </c>
      <c r="G3980">
        <f t="shared" si="62"/>
        <v>0</v>
      </c>
    </row>
    <row r="3981" spans="2:7" x14ac:dyDescent="0.35">
      <c r="B3981" s="1">
        <v>45823</v>
      </c>
      <c r="C3981" s="2">
        <v>0.79166666666666663</v>
      </c>
      <c r="D3981">
        <v>17.2</v>
      </c>
      <c r="E3981">
        <f>IF($D3981 &gt; 16, 0, $J$3*(16 - $D3981))</f>
        <v>0</v>
      </c>
      <c r="F3981">
        <f>IF($D3981 &gt; 16, 0,$E3981*$J$5)</f>
        <v>0</v>
      </c>
      <c r="G3981">
        <f t="shared" si="62"/>
        <v>0</v>
      </c>
    </row>
    <row r="3982" spans="2:7" x14ac:dyDescent="0.35">
      <c r="B3982" s="1">
        <v>45823</v>
      </c>
      <c r="C3982" s="2">
        <v>0.83333333333333337</v>
      </c>
      <c r="D3982">
        <v>16.5</v>
      </c>
      <c r="E3982">
        <f>IF($D3982 &gt; 16, 0, $J$3*(16 - $D3982))</f>
        <v>0</v>
      </c>
      <c r="F3982">
        <f>IF($D3982 &gt; 16, 0,$E3982*$J$5)</f>
        <v>0</v>
      </c>
      <c r="G3982">
        <f t="shared" si="62"/>
        <v>0</v>
      </c>
    </row>
    <row r="3983" spans="2:7" x14ac:dyDescent="0.35">
      <c r="B3983" s="1">
        <v>45823</v>
      </c>
      <c r="C3983" s="2">
        <v>0.875</v>
      </c>
      <c r="D3983">
        <v>16</v>
      </c>
      <c r="E3983">
        <f>IF($D3983 &gt; 16, 0, $J$3*(16 - $D3983))</f>
        <v>0</v>
      </c>
      <c r="F3983">
        <f>IF($D3983 &gt; 16, 0,$E3983*$J$5)</f>
        <v>0</v>
      </c>
      <c r="G3983">
        <f t="shared" si="62"/>
        <v>0</v>
      </c>
    </row>
    <row r="3984" spans="2:7" x14ac:dyDescent="0.35">
      <c r="B3984" s="1">
        <v>45823</v>
      </c>
      <c r="C3984" s="2">
        <v>0.91666666666666663</v>
      </c>
      <c r="D3984">
        <v>15.8</v>
      </c>
      <c r="E3984">
        <f>IF($D3984 &gt; 16, 0, $J$3*(16 - $D3984))</f>
        <v>41.549728540139249</v>
      </c>
      <c r="F3984">
        <f>IF($D3984 &gt; 16, 0,$E3984*$J$5)</f>
        <v>451603.99950277351</v>
      </c>
      <c r="G3984">
        <f t="shared" si="62"/>
        <v>0.19999999999999929</v>
      </c>
    </row>
    <row r="3985" spans="2:7" x14ac:dyDescent="0.35">
      <c r="B3985" s="1">
        <v>45823</v>
      </c>
      <c r="C3985" s="2">
        <v>0.95833333333333337</v>
      </c>
      <c r="D3985">
        <v>14.8</v>
      </c>
      <c r="E3985">
        <f>IF($D3985 &gt; 16, 0, $J$3*(16 - $D3985))</f>
        <v>249.29837124083625</v>
      </c>
      <c r="F3985">
        <f>IF($D3985 &gt; 16, 0,$E3985*$J$5)</f>
        <v>2709623.9970166492</v>
      </c>
      <c r="G3985">
        <f t="shared" si="62"/>
        <v>1.1999999999999993</v>
      </c>
    </row>
    <row r="3986" spans="2:7" x14ac:dyDescent="0.35">
      <c r="B3986" s="1">
        <v>45824</v>
      </c>
      <c r="C3986" s="2">
        <v>0</v>
      </c>
      <c r="D3986">
        <v>14.1</v>
      </c>
      <c r="E3986">
        <f>IF($D3986 &gt; 16, 0, $J$3*(16 - $D3986))</f>
        <v>394.72242113132438</v>
      </c>
      <c r="F3986">
        <f>IF($D3986 &gt; 16, 0,$E3986*$J$5)</f>
        <v>4290237.9952763645</v>
      </c>
      <c r="G3986">
        <f t="shared" si="62"/>
        <v>1.9000000000000004</v>
      </c>
    </row>
    <row r="3987" spans="2:7" x14ac:dyDescent="0.35">
      <c r="B3987" s="1">
        <v>45824</v>
      </c>
      <c r="C3987" s="2">
        <v>4.1666666666666657E-2</v>
      </c>
      <c r="D3987">
        <v>14.3</v>
      </c>
      <c r="E3987">
        <f>IF($D3987 &gt; 16, 0, $J$3*(16 - $D3987))</f>
        <v>353.17269259118473</v>
      </c>
      <c r="F3987">
        <f>IF($D3987 &gt; 16, 0,$E3987*$J$5)</f>
        <v>3838633.9957735869</v>
      </c>
      <c r="G3987">
        <f t="shared" si="62"/>
        <v>1.6999999999999993</v>
      </c>
    </row>
    <row r="3988" spans="2:7" x14ac:dyDescent="0.35">
      <c r="B3988" s="1">
        <v>45824</v>
      </c>
      <c r="C3988" s="2">
        <v>8.3333333333333329E-2</v>
      </c>
      <c r="D3988">
        <v>14.6</v>
      </c>
      <c r="E3988">
        <f>IF($D3988 &gt; 16, 0, $J$3*(16 - $D3988))</f>
        <v>290.84809978097587</v>
      </c>
      <c r="F3988">
        <f>IF($D3988 &gt; 16, 0,$E3988*$J$5)</f>
        <v>3161227.9965194268</v>
      </c>
      <c r="G3988">
        <f t="shared" si="62"/>
        <v>1.4000000000000004</v>
      </c>
    </row>
    <row r="3989" spans="2:7" x14ac:dyDescent="0.35">
      <c r="B3989" s="1">
        <v>45824</v>
      </c>
      <c r="C3989" s="2">
        <v>0.125</v>
      </c>
      <c r="D3989">
        <v>14.3</v>
      </c>
      <c r="E3989">
        <f>IF($D3989 &gt; 16, 0, $J$3*(16 - $D3989))</f>
        <v>353.17269259118473</v>
      </c>
      <c r="F3989">
        <f>IF($D3989 &gt; 16, 0,$E3989*$J$5)</f>
        <v>3838633.9957735869</v>
      </c>
      <c r="G3989">
        <f t="shared" si="62"/>
        <v>1.6999999999999993</v>
      </c>
    </row>
    <row r="3990" spans="2:7" x14ac:dyDescent="0.35">
      <c r="B3990" s="1">
        <v>45824</v>
      </c>
      <c r="C3990" s="2">
        <v>0.16666666666666671</v>
      </c>
      <c r="D3990">
        <v>14.6</v>
      </c>
      <c r="E3990">
        <f>IF($D3990 &gt; 16, 0, $J$3*(16 - $D3990))</f>
        <v>290.84809978097587</v>
      </c>
      <c r="F3990">
        <f>IF($D3990 &gt; 16, 0,$E3990*$J$5)</f>
        <v>3161227.9965194268</v>
      </c>
      <c r="G3990">
        <f t="shared" si="62"/>
        <v>1.4000000000000004</v>
      </c>
    </row>
    <row r="3991" spans="2:7" x14ac:dyDescent="0.35">
      <c r="B3991" s="1">
        <v>45824</v>
      </c>
      <c r="C3991" s="2">
        <v>0.20833333333333329</v>
      </c>
      <c r="D3991">
        <v>14.8</v>
      </c>
      <c r="E3991">
        <f>IF($D3991 &gt; 16, 0, $J$3*(16 - $D3991))</f>
        <v>249.29837124083625</v>
      </c>
      <c r="F3991">
        <f>IF($D3991 &gt; 16, 0,$E3991*$J$5)</f>
        <v>2709623.9970166492</v>
      </c>
      <c r="G3991">
        <f t="shared" si="62"/>
        <v>1.1999999999999993</v>
      </c>
    </row>
    <row r="3992" spans="2:7" x14ac:dyDescent="0.35">
      <c r="B3992" s="1">
        <v>45824</v>
      </c>
      <c r="C3992" s="2">
        <v>0.25</v>
      </c>
      <c r="D3992">
        <v>15.6</v>
      </c>
      <c r="E3992">
        <f>IF($D3992 &gt; 16, 0, $J$3*(16 - $D3992))</f>
        <v>83.099457080278867</v>
      </c>
      <c r="F3992">
        <f>IF($D3992 &gt; 16, 0,$E3992*$J$5)</f>
        <v>903207.99900555098</v>
      </c>
      <c r="G3992">
        <f t="shared" si="62"/>
        <v>0.40000000000000036</v>
      </c>
    </row>
    <row r="3993" spans="2:7" x14ac:dyDescent="0.35">
      <c r="B3993" s="1">
        <v>45824</v>
      </c>
      <c r="C3993" s="2">
        <v>0.29166666666666669</v>
      </c>
      <c r="D3993">
        <v>16.2</v>
      </c>
      <c r="E3993">
        <f>IF($D3993 &gt; 16, 0, $J$3*(16 - $D3993))</f>
        <v>0</v>
      </c>
      <c r="F3993">
        <f>IF($D3993 &gt; 16, 0,$E3993*$J$5)</f>
        <v>0</v>
      </c>
      <c r="G3993">
        <f t="shared" si="62"/>
        <v>0</v>
      </c>
    </row>
    <row r="3994" spans="2:7" x14ac:dyDescent="0.35">
      <c r="B3994" s="1">
        <v>45824</v>
      </c>
      <c r="C3994" s="2">
        <v>0.33333333333333331</v>
      </c>
      <c r="D3994">
        <v>17.5</v>
      </c>
      <c r="E3994">
        <f>IF($D3994 &gt; 16, 0, $J$3*(16 - $D3994))</f>
        <v>0</v>
      </c>
      <c r="F3994">
        <f>IF($D3994 &gt; 16, 0,$E3994*$J$5)</f>
        <v>0</v>
      </c>
      <c r="G3994">
        <f t="shared" si="62"/>
        <v>0</v>
      </c>
    </row>
    <row r="3995" spans="2:7" x14ac:dyDescent="0.35">
      <c r="B3995" s="1">
        <v>45824</v>
      </c>
      <c r="C3995" s="2">
        <v>0.375</v>
      </c>
      <c r="D3995">
        <v>18.2</v>
      </c>
      <c r="E3995">
        <f>IF($D3995 &gt; 16, 0, $J$3*(16 - $D3995))</f>
        <v>0</v>
      </c>
      <c r="F3995">
        <f>IF($D3995 &gt; 16, 0,$E3995*$J$5)</f>
        <v>0</v>
      </c>
      <c r="G3995">
        <f t="shared" si="62"/>
        <v>0</v>
      </c>
    </row>
    <row r="3996" spans="2:7" x14ac:dyDescent="0.35">
      <c r="B3996" s="1">
        <v>45824</v>
      </c>
      <c r="C3996" s="2">
        <v>0.41666666666666669</v>
      </c>
      <c r="D3996">
        <v>19.2</v>
      </c>
      <c r="E3996">
        <f>IF($D3996 &gt; 16, 0, $J$3*(16 - $D3996))</f>
        <v>0</v>
      </c>
      <c r="F3996">
        <f>IF($D3996 &gt; 16, 0,$E3996*$J$5)</f>
        <v>0</v>
      </c>
      <c r="G3996">
        <f t="shared" si="62"/>
        <v>0</v>
      </c>
    </row>
    <row r="3997" spans="2:7" x14ac:dyDescent="0.35">
      <c r="B3997" s="1">
        <v>45824</v>
      </c>
      <c r="C3997" s="2">
        <v>0.45833333333333331</v>
      </c>
      <c r="D3997">
        <v>19.600000000000001</v>
      </c>
      <c r="E3997">
        <f>IF($D3997 &gt; 16, 0, $J$3*(16 - $D3997))</f>
        <v>0</v>
      </c>
      <c r="F3997">
        <f>IF($D3997 &gt; 16, 0,$E3997*$J$5)</f>
        <v>0</v>
      </c>
      <c r="G3997">
        <f t="shared" si="62"/>
        <v>0</v>
      </c>
    </row>
    <row r="3998" spans="2:7" x14ac:dyDescent="0.35">
      <c r="B3998" s="1">
        <v>45824</v>
      </c>
      <c r="C3998" s="2">
        <v>0.5</v>
      </c>
      <c r="D3998">
        <v>19.899999999999999</v>
      </c>
      <c r="E3998">
        <f>IF($D3998 &gt; 16, 0, $J$3*(16 - $D3998))</f>
        <v>0</v>
      </c>
      <c r="F3998">
        <f>IF($D3998 &gt; 16, 0,$E3998*$J$5)</f>
        <v>0</v>
      </c>
      <c r="G3998">
        <f t="shared" si="62"/>
        <v>0</v>
      </c>
    </row>
    <row r="3999" spans="2:7" x14ac:dyDescent="0.35">
      <c r="B3999" s="1">
        <v>45824</v>
      </c>
      <c r="C3999" s="2">
        <v>0.54166666666666663</v>
      </c>
      <c r="D3999">
        <v>19.8</v>
      </c>
      <c r="E3999">
        <f>IF($D3999 &gt; 16, 0, $J$3*(16 - $D3999))</f>
        <v>0</v>
      </c>
      <c r="F3999">
        <f>IF($D3999 &gt; 16, 0,$E3999*$J$5)</f>
        <v>0</v>
      </c>
      <c r="G3999">
        <f t="shared" si="62"/>
        <v>0</v>
      </c>
    </row>
    <row r="4000" spans="2:7" x14ac:dyDescent="0.35">
      <c r="B4000" s="1">
        <v>45824</v>
      </c>
      <c r="C4000" s="2">
        <v>0.58333333333333337</v>
      </c>
      <c r="D4000">
        <v>20.8</v>
      </c>
      <c r="E4000">
        <f>IF($D4000 &gt; 16, 0, $J$3*(16 - $D4000))</f>
        <v>0</v>
      </c>
      <c r="F4000">
        <f>IF($D4000 &gt; 16, 0,$E4000*$J$5)</f>
        <v>0</v>
      </c>
      <c r="G4000">
        <f t="shared" si="62"/>
        <v>0</v>
      </c>
    </row>
    <row r="4001" spans="2:7" x14ac:dyDescent="0.35">
      <c r="B4001" s="1">
        <v>45824</v>
      </c>
      <c r="C4001" s="2">
        <v>0.625</v>
      </c>
      <c r="D4001">
        <v>20.5</v>
      </c>
      <c r="E4001">
        <f>IF($D4001 &gt; 16, 0, $J$3*(16 - $D4001))</f>
        <v>0</v>
      </c>
      <c r="F4001">
        <f>IF($D4001 &gt; 16, 0,$E4001*$J$5)</f>
        <v>0</v>
      </c>
      <c r="G4001">
        <f t="shared" si="62"/>
        <v>0</v>
      </c>
    </row>
    <row r="4002" spans="2:7" x14ac:dyDescent="0.35">
      <c r="B4002" s="1">
        <v>45824</v>
      </c>
      <c r="C4002" s="2">
        <v>0.66666666666666663</v>
      </c>
      <c r="D4002">
        <v>20.2</v>
      </c>
      <c r="E4002">
        <f>IF($D4002 &gt; 16, 0, $J$3*(16 - $D4002))</f>
        <v>0</v>
      </c>
      <c r="F4002">
        <f>IF($D4002 &gt; 16, 0,$E4002*$J$5)</f>
        <v>0</v>
      </c>
      <c r="G4002">
        <f t="shared" si="62"/>
        <v>0</v>
      </c>
    </row>
    <row r="4003" spans="2:7" x14ac:dyDescent="0.35">
      <c r="B4003" s="1">
        <v>45824</v>
      </c>
      <c r="C4003" s="2">
        <v>0.70833333333333337</v>
      </c>
      <c r="D4003">
        <v>19.5</v>
      </c>
      <c r="E4003">
        <f>IF($D4003 &gt; 16, 0, $J$3*(16 - $D4003))</f>
        <v>0</v>
      </c>
      <c r="F4003">
        <f>IF($D4003 &gt; 16, 0,$E4003*$J$5)</f>
        <v>0</v>
      </c>
      <c r="G4003">
        <f t="shared" si="62"/>
        <v>0</v>
      </c>
    </row>
    <row r="4004" spans="2:7" x14ac:dyDescent="0.35">
      <c r="B4004" s="1">
        <v>45824</v>
      </c>
      <c r="C4004" s="2">
        <v>0.75</v>
      </c>
      <c r="D4004">
        <v>18.5</v>
      </c>
      <c r="E4004">
        <f>IF($D4004 &gt; 16, 0, $J$3*(16 - $D4004))</f>
        <v>0</v>
      </c>
      <c r="F4004">
        <f>IF($D4004 &gt; 16, 0,$E4004*$J$5)</f>
        <v>0</v>
      </c>
      <c r="G4004">
        <f t="shared" si="62"/>
        <v>0</v>
      </c>
    </row>
    <row r="4005" spans="2:7" x14ac:dyDescent="0.35">
      <c r="B4005" s="1">
        <v>45824</v>
      </c>
      <c r="C4005" s="2">
        <v>0.79166666666666663</v>
      </c>
      <c r="D4005">
        <v>17.100000000000001</v>
      </c>
      <c r="E4005">
        <f>IF($D4005 &gt; 16, 0, $J$3*(16 - $D4005))</f>
        <v>0</v>
      </c>
      <c r="F4005">
        <f>IF($D4005 &gt; 16, 0,$E4005*$J$5)</f>
        <v>0</v>
      </c>
      <c r="G4005">
        <f t="shared" si="62"/>
        <v>0</v>
      </c>
    </row>
    <row r="4006" spans="2:7" x14ac:dyDescent="0.35">
      <c r="B4006" s="1">
        <v>45824</v>
      </c>
      <c r="C4006" s="2">
        <v>0.83333333333333337</v>
      </c>
      <c r="D4006">
        <v>15.6</v>
      </c>
      <c r="E4006">
        <f>IF($D4006 &gt; 16, 0, $J$3*(16 - $D4006))</f>
        <v>83.099457080278867</v>
      </c>
      <c r="F4006">
        <f>IF($D4006 &gt; 16, 0,$E4006*$J$5)</f>
        <v>903207.99900555098</v>
      </c>
      <c r="G4006">
        <f t="shared" si="62"/>
        <v>0.40000000000000036</v>
      </c>
    </row>
    <row r="4007" spans="2:7" x14ac:dyDescent="0.35">
      <c r="B4007" s="1">
        <v>45824</v>
      </c>
      <c r="C4007" s="2">
        <v>0.875</v>
      </c>
      <c r="D4007">
        <v>14.8</v>
      </c>
      <c r="E4007">
        <f>IF($D4007 &gt; 16, 0, $J$3*(16 - $D4007))</f>
        <v>249.29837124083625</v>
      </c>
      <c r="F4007">
        <f>IF($D4007 &gt; 16, 0,$E4007*$J$5)</f>
        <v>2709623.9970166492</v>
      </c>
      <c r="G4007">
        <f t="shared" si="62"/>
        <v>1.1999999999999993</v>
      </c>
    </row>
    <row r="4008" spans="2:7" x14ac:dyDescent="0.35">
      <c r="B4008" s="1">
        <v>45824</v>
      </c>
      <c r="C4008" s="2">
        <v>0.91666666666666663</v>
      </c>
      <c r="D4008">
        <v>14.1</v>
      </c>
      <c r="E4008">
        <f>IF($D4008 &gt; 16, 0, $J$3*(16 - $D4008))</f>
        <v>394.72242113132438</v>
      </c>
      <c r="F4008">
        <f>IF($D4008 &gt; 16, 0,$E4008*$J$5)</f>
        <v>4290237.9952763645</v>
      </c>
      <c r="G4008">
        <f t="shared" si="62"/>
        <v>1.9000000000000004</v>
      </c>
    </row>
    <row r="4009" spans="2:7" x14ac:dyDescent="0.35">
      <c r="B4009" s="1">
        <v>45824</v>
      </c>
      <c r="C4009" s="2">
        <v>0.95833333333333337</v>
      </c>
      <c r="D4009">
        <v>14.2</v>
      </c>
      <c r="E4009">
        <f>IF($D4009 &gt; 16, 0, $J$3*(16 - $D4009))</f>
        <v>373.94755686125472</v>
      </c>
      <c r="F4009">
        <f>IF($D4009 &gt; 16, 0,$E4009*$J$5)</f>
        <v>4064435.9955249778</v>
      </c>
      <c r="G4009">
        <f t="shared" si="62"/>
        <v>1.8000000000000007</v>
      </c>
    </row>
    <row r="4010" spans="2:7" x14ac:dyDescent="0.35">
      <c r="B4010" s="1">
        <v>45825</v>
      </c>
      <c r="C4010" s="2">
        <v>0</v>
      </c>
      <c r="D4010">
        <v>14.4</v>
      </c>
      <c r="E4010">
        <f>IF($D4010 &gt; 16, 0, $J$3*(16 - $D4010))</f>
        <v>332.39782832111513</v>
      </c>
      <c r="F4010">
        <f>IF($D4010 &gt; 16, 0,$E4010*$J$5)</f>
        <v>3612831.9960222002</v>
      </c>
      <c r="G4010">
        <f t="shared" si="62"/>
        <v>1.5999999999999996</v>
      </c>
    </row>
    <row r="4011" spans="2:7" x14ac:dyDescent="0.35">
      <c r="B4011" s="1">
        <v>45825</v>
      </c>
      <c r="C4011" s="2">
        <v>4.1666666666666657E-2</v>
      </c>
      <c r="D4011">
        <v>14.4</v>
      </c>
      <c r="E4011">
        <f>IF($D4011 &gt; 16, 0, $J$3*(16 - $D4011))</f>
        <v>332.39782832111513</v>
      </c>
      <c r="F4011">
        <f>IF($D4011 &gt; 16, 0,$E4011*$J$5)</f>
        <v>3612831.9960222002</v>
      </c>
      <c r="G4011">
        <f t="shared" si="62"/>
        <v>1.5999999999999996</v>
      </c>
    </row>
    <row r="4012" spans="2:7" x14ac:dyDescent="0.35">
      <c r="B4012" s="1">
        <v>45825</v>
      </c>
      <c r="C4012" s="2">
        <v>8.3333333333333329E-2</v>
      </c>
      <c r="D4012">
        <v>14.3</v>
      </c>
      <c r="E4012">
        <f>IF($D4012 &gt; 16, 0, $J$3*(16 - $D4012))</f>
        <v>353.17269259118473</v>
      </c>
      <c r="F4012">
        <f>IF($D4012 &gt; 16, 0,$E4012*$J$5)</f>
        <v>3838633.9957735869</v>
      </c>
      <c r="G4012">
        <f t="shared" si="62"/>
        <v>1.6999999999999993</v>
      </c>
    </row>
    <row r="4013" spans="2:7" x14ac:dyDescent="0.35">
      <c r="B4013" s="1">
        <v>45825</v>
      </c>
      <c r="C4013" s="2">
        <v>0.125</v>
      </c>
      <c r="D4013">
        <v>14</v>
      </c>
      <c r="E4013">
        <f>IF($D4013 &gt; 16, 0, $J$3*(16 - $D4013))</f>
        <v>415.49728540139398</v>
      </c>
      <c r="F4013">
        <f>IF($D4013 &gt; 16, 0,$E4013*$J$5)</f>
        <v>4516039.9950277507</v>
      </c>
      <c r="G4013">
        <f t="shared" si="62"/>
        <v>2</v>
      </c>
    </row>
    <row r="4014" spans="2:7" x14ac:dyDescent="0.35">
      <c r="B4014" s="1">
        <v>45825</v>
      </c>
      <c r="C4014" s="2">
        <v>0.16666666666666671</v>
      </c>
      <c r="D4014">
        <v>12.9</v>
      </c>
      <c r="E4014">
        <f>IF($D4014 &gt; 16, 0, $J$3*(16 - $D4014))</f>
        <v>644.0207923721606</v>
      </c>
      <c r="F4014">
        <f>IF($D4014 &gt; 16, 0,$E4014*$J$5)</f>
        <v>6999861.9922930133</v>
      </c>
      <c r="G4014">
        <f t="shared" si="62"/>
        <v>3.0999999999999996</v>
      </c>
    </row>
    <row r="4015" spans="2:7" x14ac:dyDescent="0.35">
      <c r="B4015" s="1">
        <v>45825</v>
      </c>
      <c r="C4015" s="2">
        <v>0.20833333333333329</v>
      </c>
      <c r="D4015">
        <v>14</v>
      </c>
      <c r="E4015">
        <f>IF($D4015 &gt; 16, 0, $J$3*(16 - $D4015))</f>
        <v>415.49728540139398</v>
      </c>
      <c r="F4015">
        <f>IF($D4015 &gt; 16, 0,$E4015*$J$5)</f>
        <v>4516039.9950277507</v>
      </c>
      <c r="G4015">
        <f t="shared" si="62"/>
        <v>2</v>
      </c>
    </row>
    <row r="4016" spans="2:7" x14ac:dyDescent="0.35">
      <c r="B4016" s="1">
        <v>45825</v>
      </c>
      <c r="C4016" s="2">
        <v>0.25</v>
      </c>
      <c r="D4016">
        <v>15.4</v>
      </c>
      <c r="E4016">
        <f>IF($D4016 &gt; 16, 0, $J$3*(16 - $D4016))</f>
        <v>124.64918562041812</v>
      </c>
      <c r="F4016">
        <f>IF($D4016 &gt; 16, 0,$E4016*$J$5)</f>
        <v>1354811.9985083246</v>
      </c>
      <c r="G4016">
        <f t="shared" si="62"/>
        <v>0.59999999999999964</v>
      </c>
    </row>
    <row r="4017" spans="2:7" x14ac:dyDescent="0.35">
      <c r="B4017" s="1">
        <v>45825</v>
      </c>
      <c r="C4017" s="2">
        <v>0.29166666666666669</v>
      </c>
      <c r="D4017">
        <v>16.600000000000001</v>
      </c>
      <c r="E4017">
        <f>IF($D4017 &gt; 16, 0, $J$3*(16 - $D4017))</f>
        <v>0</v>
      </c>
      <c r="F4017">
        <f>IF($D4017 &gt; 16, 0,$E4017*$J$5)</f>
        <v>0</v>
      </c>
      <c r="G4017">
        <f t="shared" si="62"/>
        <v>0</v>
      </c>
    </row>
    <row r="4018" spans="2:7" x14ac:dyDescent="0.35">
      <c r="B4018" s="1">
        <v>45825</v>
      </c>
      <c r="C4018" s="2">
        <v>0.33333333333333331</v>
      </c>
      <c r="D4018">
        <v>17.7</v>
      </c>
      <c r="E4018">
        <f>IF($D4018 &gt; 16, 0, $J$3*(16 - $D4018))</f>
        <v>0</v>
      </c>
      <c r="F4018">
        <f>IF($D4018 &gt; 16, 0,$E4018*$J$5)</f>
        <v>0</v>
      </c>
      <c r="G4018">
        <f t="shared" si="62"/>
        <v>0</v>
      </c>
    </row>
    <row r="4019" spans="2:7" x14ac:dyDescent="0.35">
      <c r="B4019" s="1">
        <v>45825</v>
      </c>
      <c r="C4019" s="2">
        <v>0.375</v>
      </c>
      <c r="D4019">
        <v>19</v>
      </c>
      <c r="E4019">
        <f>IF($D4019 &gt; 16, 0, $J$3*(16 - $D4019))</f>
        <v>0</v>
      </c>
      <c r="F4019">
        <f>IF($D4019 &gt; 16, 0,$E4019*$J$5)</f>
        <v>0</v>
      </c>
      <c r="G4019">
        <f t="shared" si="62"/>
        <v>0</v>
      </c>
    </row>
    <row r="4020" spans="2:7" x14ac:dyDescent="0.35">
      <c r="B4020" s="1">
        <v>45825</v>
      </c>
      <c r="C4020" s="2">
        <v>0.41666666666666669</v>
      </c>
      <c r="D4020">
        <v>20.6</v>
      </c>
      <c r="E4020">
        <f>IF($D4020 &gt; 16, 0, $J$3*(16 - $D4020))</f>
        <v>0</v>
      </c>
      <c r="F4020">
        <f>IF($D4020 &gt; 16, 0,$E4020*$J$5)</f>
        <v>0</v>
      </c>
      <c r="G4020">
        <f t="shared" si="62"/>
        <v>0</v>
      </c>
    </row>
    <row r="4021" spans="2:7" x14ac:dyDescent="0.35">
      <c r="B4021" s="1">
        <v>45825</v>
      </c>
      <c r="C4021" s="2">
        <v>0.45833333333333331</v>
      </c>
      <c r="D4021">
        <v>20.7</v>
      </c>
      <c r="E4021">
        <f>IF($D4021 &gt; 16, 0, $J$3*(16 - $D4021))</f>
        <v>0</v>
      </c>
      <c r="F4021">
        <f>IF($D4021 &gt; 16, 0,$E4021*$J$5)</f>
        <v>0</v>
      </c>
      <c r="G4021">
        <f t="shared" si="62"/>
        <v>0</v>
      </c>
    </row>
    <row r="4022" spans="2:7" x14ac:dyDescent="0.35">
      <c r="B4022" s="1">
        <v>45825</v>
      </c>
      <c r="C4022" s="2">
        <v>0.5</v>
      </c>
      <c r="D4022">
        <v>22.3</v>
      </c>
      <c r="E4022">
        <f>IF($D4022 &gt; 16, 0, $J$3*(16 - $D4022))</f>
        <v>0</v>
      </c>
      <c r="F4022">
        <f>IF($D4022 &gt; 16, 0,$E4022*$J$5)</f>
        <v>0</v>
      </c>
      <c r="G4022">
        <f t="shared" si="62"/>
        <v>0</v>
      </c>
    </row>
    <row r="4023" spans="2:7" x14ac:dyDescent="0.35">
      <c r="B4023" s="1">
        <v>45825</v>
      </c>
      <c r="C4023" s="2">
        <v>0.54166666666666663</v>
      </c>
      <c r="D4023">
        <v>23.5</v>
      </c>
      <c r="E4023">
        <f>IF($D4023 &gt; 16, 0, $J$3*(16 - $D4023))</f>
        <v>0</v>
      </c>
      <c r="F4023">
        <f>IF($D4023 &gt; 16, 0,$E4023*$J$5)</f>
        <v>0</v>
      </c>
      <c r="G4023">
        <f t="shared" si="62"/>
        <v>0</v>
      </c>
    </row>
    <row r="4024" spans="2:7" x14ac:dyDescent="0.35">
      <c r="B4024" s="1">
        <v>45825</v>
      </c>
      <c r="C4024" s="2">
        <v>0.58333333333333337</v>
      </c>
      <c r="D4024">
        <v>23.5</v>
      </c>
      <c r="E4024">
        <f>IF($D4024 &gt; 16, 0, $J$3*(16 - $D4024))</f>
        <v>0</v>
      </c>
      <c r="F4024">
        <f>IF($D4024 &gt; 16, 0,$E4024*$J$5)</f>
        <v>0</v>
      </c>
      <c r="G4024">
        <f t="shared" si="62"/>
        <v>0</v>
      </c>
    </row>
    <row r="4025" spans="2:7" x14ac:dyDescent="0.35">
      <c r="B4025" s="1">
        <v>45825</v>
      </c>
      <c r="C4025" s="2">
        <v>0.625</v>
      </c>
      <c r="D4025">
        <v>23.6</v>
      </c>
      <c r="E4025">
        <f>IF($D4025 &gt; 16, 0, $J$3*(16 - $D4025))</f>
        <v>0</v>
      </c>
      <c r="F4025">
        <f>IF($D4025 &gt; 16, 0,$E4025*$J$5)</f>
        <v>0</v>
      </c>
      <c r="G4025">
        <f t="shared" si="62"/>
        <v>0</v>
      </c>
    </row>
    <row r="4026" spans="2:7" x14ac:dyDescent="0.35">
      <c r="B4026" s="1">
        <v>45825</v>
      </c>
      <c r="C4026" s="2">
        <v>0.66666666666666663</v>
      </c>
      <c r="D4026">
        <v>23.6</v>
      </c>
      <c r="E4026">
        <f>IF($D4026 &gt; 16, 0, $J$3*(16 - $D4026))</f>
        <v>0</v>
      </c>
      <c r="F4026">
        <f>IF($D4026 &gt; 16, 0,$E4026*$J$5)</f>
        <v>0</v>
      </c>
      <c r="G4026">
        <f t="shared" si="62"/>
        <v>0</v>
      </c>
    </row>
    <row r="4027" spans="2:7" x14ac:dyDescent="0.35">
      <c r="B4027" s="1">
        <v>45825</v>
      </c>
      <c r="C4027" s="2">
        <v>0.70833333333333337</v>
      </c>
      <c r="D4027">
        <v>23.4</v>
      </c>
      <c r="E4027">
        <f>IF($D4027 &gt; 16, 0, $J$3*(16 - $D4027))</f>
        <v>0</v>
      </c>
      <c r="F4027">
        <f>IF($D4027 &gt; 16, 0,$E4027*$J$5)</f>
        <v>0</v>
      </c>
      <c r="G4027">
        <f t="shared" si="62"/>
        <v>0</v>
      </c>
    </row>
    <row r="4028" spans="2:7" x14ac:dyDescent="0.35">
      <c r="B4028" s="1">
        <v>45825</v>
      </c>
      <c r="C4028" s="2">
        <v>0.75</v>
      </c>
      <c r="D4028">
        <v>23.1</v>
      </c>
      <c r="E4028">
        <f>IF($D4028 &gt; 16, 0, $J$3*(16 - $D4028))</f>
        <v>0</v>
      </c>
      <c r="F4028">
        <f>IF($D4028 &gt; 16, 0,$E4028*$J$5)</f>
        <v>0</v>
      </c>
      <c r="G4028">
        <f t="shared" si="62"/>
        <v>0</v>
      </c>
    </row>
    <row r="4029" spans="2:7" x14ac:dyDescent="0.35">
      <c r="B4029" s="1">
        <v>45825</v>
      </c>
      <c r="C4029" s="2">
        <v>0.79166666666666663</v>
      </c>
      <c r="D4029">
        <v>22.6</v>
      </c>
      <c r="E4029">
        <f>IF($D4029 &gt; 16, 0, $J$3*(16 - $D4029))</f>
        <v>0</v>
      </c>
      <c r="F4029">
        <f>IF($D4029 &gt; 16, 0,$E4029*$J$5)</f>
        <v>0</v>
      </c>
      <c r="G4029">
        <f t="shared" si="62"/>
        <v>0</v>
      </c>
    </row>
    <row r="4030" spans="2:7" x14ac:dyDescent="0.35">
      <c r="B4030" s="1">
        <v>45825</v>
      </c>
      <c r="C4030" s="2">
        <v>0.83333333333333337</v>
      </c>
      <c r="D4030">
        <v>20.399999999999999</v>
      </c>
      <c r="E4030">
        <f>IF($D4030 &gt; 16, 0, $J$3*(16 - $D4030))</f>
        <v>0</v>
      </c>
      <c r="F4030">
        <f>IF($D4030 &gt; 16, 0,$E4030*$J$5)</f>
        <v>0</v>
      </c>
      <c r="G4030">
        <f t="shared" si="62"/>
        <v>0</v>
      </c>
    </row>
    <row r="4031" spans="2:7" x14ac:dyDescent="0.35">
      <c r="B4031" s="1">
        <v>45825</v>
      </c>
      <c r="C4031" s="2">
        <v>0.875</v>
      </c>
      <c r="D4031">
        <v>18.7</v>
      </c>
      <c r="E4031">
        <f>IF($D4031 &gt; 16, 0, $J$3*(16 - $D4031))</f>
        <v>0</v>
      </c>
      <c r="F4031">
        <f>IF($D4031 &gt; 16, 0,$E4031*$J$5)</f>
        <v>0</v>
      </c>
      <c r="G4031">
        <f t="shared" si="62"/>
        <v>0</v>
      </c>
    </row>
    <row r="4032" spans="2:7" x14ac:dyDescent="0.35">
      <c r="B4032" s="1">
        <v>45825</v>
      </c>
      <c r="C4032" s="2">
        <v>0.91666666666666663</v>
      </c>
      <c r="D4032">
        <v>17.3</v>
      </c>
      <c r="E4032">
        <f>IF($D4032 &gt; 16, 0, $J$3*(16 - $D4032))</f>
        <v>0</v>
      </c>
      <c r="F4032">
        <f>IF($D4032 &gt; 16, 0,$E4032*$J$5)</f>
        <v>0</v>
      </c>
      <c r="G4032">
        <f t="shared" si="62"/>
        <v>0</v>
      </c>
    </row>
    <row r="4033" spans="2:7" x14ac:dyDescent="0.35">
      <c r="B4033" s="1">
        <v>45825</v>
      </c>
      <c r="C4033" s="2">
        <v>0.95833333333333337</v>
      </c>
      <c r="D4033">
        <v>16.3</v>
      </c>
      <c r="E4033">
        <f>IF($D4033 &gt; 16, 0, $J$3*(16 - $D4033))</f>
        <v>0</v>
      </c>
      <c r="F4033">
        <f>IF($D4033 &gt; 16, 0,$E4033*$J$5)</f>
        <v>0</v>
      </c>
      <c r="G4033">
        <f t="shared" si="62"/>
        <v>0</v>
      </c>
    </row>
    <row r="4034" spans="2:7" x14ac:dyDescent="0.35">
      <c r="B4034" s="1">
        <v>45826</v>
      </c>
      <c r="C4034" s="2">
        <v>0</v>
      </c>
      <c r="D4034">
        <v>14.9</v>
      </c>
      <c r="E4034">
        <f>IF($D4034 &gt; 16, 0, $J$3*(16 - $D4034))</f>
        <v>228.52350697076662</v>
      </c>
      <c r="F4034">
        <f>IF($D4034 &gt; 16, 0,$E4034*$J$5)</f>
        <v>2483821.9972652625</v>
      </c>
      <c r="G4034">
        <f t="shared" si="62"/>
        <v>1.0999999999999996</v>
      </c>
    </row>
    <row r="4035" spans="2:7" x14ac:dyDescent="0.35">
      <c r="B4035" s="1">
        <v>45826</v>
      </c>
      <c r="C4035" s="2">
        <v>4.1666666666666657E-2</v>
      </c>
      <c r="D4035">
        <v>14.6</v>
      </c>
      <c r="E4035">
        <f>IF($D4035 &gt; 16, 0, $J$3*(16 - $D4035))</f>
        <v>290.84809978097587</v>
      </c>
      <c r="F4035">
        <f>IF($D4035 &gt; 16, 0,$E4035*$J$5)</f>
        <v>3161227.9965194268</v>
      </c>
      <c r="G4035">
        <f t="shared" ref="G4035:G4098" si="63">MAX(0, 16 - $D4035)</f>
        <v>1.4000000000000004</v>
      </c>
    </row>
    <row r="4036" spans="2:7" x14ac:dyDescent="0.35">
      <c r="B4036" s="1">
        <v>45826</v>
      </c>
      <c r="C4036" s="2">
        <v>8.3333333333333329E-2</v>
      </c>
      <c r="D4036">
        <v>13.9</v>
      </c>
      <c r="E4036">
        <f>IF($D4036 &gt; 16, 0, $J$3*(16 - $D4036))</f>
        <v>436.27214967146358</v>
      </c>
      <c r="F4036">
        <f>IF($D4036 &gt; 16, 0,$E4036*$J$5)</f>
        <v>4741841.9947791379</v>
      </c>
      <c r="G4036">
        <f t="shared" si="63"/>
        <v>2.0999999999999996</v>
      </c>
    </row>
    <row r="4037" spans="2:7" x14ac:dyDescent="0.35">
      <c r="B4037" s="1">
        <v>45826</v>
      </c>
      <c r="C4037" s="2">
        <v>0.125</v>
      </c>
      <c r="D4037">
        <v>13.2</v>
      </c>
      <c r="E4037">
        <f>IF($D4037 &gt; 16, 0, $J$3*(16 - $D4037))</f>
        <v>581.69619956195174</v>
      </c>
      <c r="F4037">
        <f>IF($D4037 &gt; 16, 0,$E4037*$J$5)</f>
        <v>6322455.9930388536</v>
      </c>
      <c r="G4037">
        <f t="shared" si="63"/>
        <v>2.8000000000000007</v>
      </c>
    </row>
    <row r="4038" spans="2:7" x14ac:dyDescent="0.35">
      <c r="B4038" s="1">
        <v>45826</v>
      </c>
      <c r="C4038" s="2">
        <v>0.16666666666666671</v>
      </c>
      <c r="D4038">
        <v>14.2</v>
      </c>
      <c r="E4038">
        <f>IF($D4038 &gt; 16, 0, $J$3*(16 - $D4038))</f>
        <v>373.94755686125472</v>
      </c>
      <c r="F4038">
        <f>IF($D4038 &gt; 16, 0,$E4038*$J$5)</f>
        <v>4064435.9955249778</v>
      </c>
      <c r="G4038">
        <f t="shared" si="63"/>
        <v>1.8000000000000007</v>
      </c>
    </row>
    <row r="4039" spans="2:7" x14ac:dyDescent="0.35">
      <c r="B4039" s="1">
        <v>45826</v>
      </c>
      <c r="C4039" s="2">
        <v>0.20833333333333329</v>
      </c>
      <c r="D4039">
        <v>15.3</v>
      </c>
      <c r="E4039">
        <f>IF($D4039 &gt; 16, 0, $J$3*(16 - $D4039))</f>
        <v>145.42404989048774</v>
      </c>
      <c r="F4039">
        <f>IF($D4039 &gt; 16, 0,$E4039*$J$5)</f>
        <v>1580613.9982597113</v>
      </c>
      <c r="G4039">
        <f t="shared" si="63"/>
        <v>0.69999999999999929</v>
      </c>
    </row>
    <row r="4040" spans="2:7" x14ac:dyDescent="0.35">
      <c r="B4040" s="1">
        <v>45826</v>
      </c>
      <c r="C4040" s="2">
        <v>0.25</v>
      </c>
      <c r="D4040">
        <v>16.399999999999999</v>
      </c>
      <c r="E4040">
        <f>IF($D4040 &gt; 16, 0, $J$3*(16 - $D4040))</f>
        <v>0</v>
      </c>
      <c r="F4040">
        <f>IF($D4040 &gt; 16, 0,$E4040*$J$5)</f>
        <v>0</v>
      </c>
      <c r="G4040">
        <f t="shared" si="63"/>
        <v>0</v>
      </c>
    </row>
    <row r="4041" spans="2:7" x14ac:dyDescent="0.35">
      <c r="B4041" s="1">
        <v>45826</v>
      </c>
      <c r="C4041" s="2">
        <v>0.29166666666666669</v>
      </c>
      <c r="D4041">
        <v>17.5</v>
      </c>
      <c r="E4041">
        <f>IF($D4041 &gt; 16, 0, $J$3*(16 - $D4041))</f>
        <v>0</v>
      </c>
      <c r="F4041">
        <f>IF($D4041 &gt; 16, 0,$E4041*$J$5)</f>
        <v>0</v>
      </c>
      <c r="G4041">
        <f t="shared" si="63"/>
        <v>0</v>
      </c>
    </row>
    <row r="4042" spans="2:7" x14ac:dyDescent="0.35">
      <c r="B4042" s="1">
        <v>45826</v>
      </c>
      <c r="C4042" s="2">
        <v>0.33333333333333331</v>
      </c>
      <c r="D4042">
        <v>18.5</v>
      </c>
      <c r="E4042">
        <f>IF($D4042 &gt; 16, 0, $J$3*(16 - $D4042))</f>
        <v>0</v>
      </c>
      <c r="F4042">
        <f>IF($D4042 &gt; 16, 0,$E4042*$J$5)</f>
        <v>0</v>
      </c>
      <c r="G4042">
        <f t="shared" si="63"/>
        <v>0</v>
      </c>
    </row>
    <row r="4043" spans="2:7" x14ac:dyDescent="0.35">
      <c r="B4043" s="1">
        <v>45826</v>
      </c>
      <c r="C4043" s="2">
        <v>0.375</v>
      </c>
      <c r="D4043">
        <v>19.600000000000001</v>
      </c>
      <c r="E4043">
        <f>IF($D4043 &gt; 16, 0, $J$3*(16 - $D4043))</f>
        <v>0</v>
      </c>
      <c r="F4043">
        <f>IF($D4043 &gt; 16, 0,$E4043*$J$5)</f>
        <v>0</v>
      </c>
      <c r="G4043">
        <f t="shared" si="63"/>
        <v>0</v>
      </c>
    </row>
    <row r="4044" spans="2:7" x14ac:dyDescent="0.35">
      <c r="B4044" s="1">
        <v>45826</v>
      </c>
      <c r="C4044" s="2">
        <v>0.41666666666666669</v>
      </c>
      <c r="D4044">
        <v>20.3</v>
      </c>
      <c r="E4044">
        <f>IF($D4044 &gt; 16, 0, $J$3*(16 - $D4044))</f>
        <v>0</v>
      </c>
      <c r="F4044">
        <f>IF($D4044 &gt; 16, 0,$E4044*$J$5)</f>
        <v>0</v>
      </c>
      <c r="G4044">
        <f t="shared" si="63"/>
        <v>0</v>
      </c>
    </row>
    <row r="4045" spans="2:7" x14ac:dyDescent="0.35">
      <c r="B4045" s="1">
        <v>45826</v>
      </c>
      <c r="C4045" s="2">
        <v>0.45833333333333331</v>
      </c>
      <c r="D4045">
        <v>21.7</v>
      </c>
      <c r="E4045">
        <f>IF($D4045 &gt; 16, 0, $J$3*(16 - $D4045))</f>
        <v>0</v>
      </c>
      <c r="F4045">
        <f>IF($D4045 &gt; 16, 0,$E4045*$J$5)</f>
        <v>0</v>
      </c>
      <c r="G4045">
        <f t="shared" si="63"/>
        <v>0</v>
      </c>
    </row>
    <row r="4046" spans="2:7" x14ac:dyDescent="0.35">
      <c r="B4046" s="1">
        <v>45826</v>
      </c>
      <c r="C4046" s="2">
        <v>0.5</v>
      </c>
      <c r="D4046">
        <v>21.9</v>
      </c>
      <c r="E4046">
        <f>IF($D4046 &gt; 16, 0, $J$3*(16 - $D4046))</f>
        <v>0</v>
      </c>
      <c r="F4046">
        <f>IF($D4046 &gt; 16, 0,$E4046*$J$5)</f>
        <v>0</v>
      </c>
      <c r="G4046">
        <f t="shared" si="63"/>
        <v>0</v>
      </c>
    </row>
    <row r="4047" spans="2:7" x14ac:dyDescent="0.35">
      <c r="B4047" s="1">
        <v>45826</v>
      </c>
      <c r="C4047" s="2">
        <v>0.54166666666666663</v>
      </c>
      <c r="D4047">
        <v>21.7</v>
      </c>
      <c r="E4047">
        <f>IF($D4047 &gt; 16, 0, $J$3*(16 - $D4047))</f>
        <v>0</v>
      </c>
      <c r="F4047">
        <f>IF($D4047 &gt; 16, 0,$E4047*$J$5)</f>
        <v>0</v>
      </c>
      <c r="G4047">
        <f t="shared" si="63"/>
        <v>0</v>
      </c>
    </row>
    <row r="4048" spans="2:7" x14ac:dyDescent="0.35">
      <c r="B4048" s="1">
        <v>45826</v>
      </c>
      <c r="C4048" s="2">
        <v>0.58333333333333337</v>
      </c>
      <c r="D4048">
        <v>22.6</v>
      </c>
      <c r="E4048">
        <f>IF($D4048 &gt; 16, 0, $J$3*(16 - $D4048))</f>
        <v>0</v>
      </c>
      <c r="F4048">
        <f>IF($D4048 &gt; 16, 0,$E4048*$J$5)</f>
        <v>0</v>
      </c>
      <c r="G4048">
        <f t="shared" si="63"/>
        <v>0</v>
      </c>
    </row>
    <row r="4049" spans="2:7" x14ac:dyDescent="0.35">
      <c r="B4049" s="1">
        <v>45826</v>
      </c>
      <c r="C4049" s="2">
        <v>0.625</v>
      </c>
      <c r="D4049">
        <v>22.2</v>
      </c>
      <c r="E4049">
        <f>IF($D4049 &gt; 16, 0, $J$3*(16 - $D4049))</f>
        <v>0</v>
      </c>
      <c r="F4049">
        <f>IF($D4049 &gt; 16, 0,$E4049*$J$5)</f>
        <v>0</v>
      </c>
      <c r="G4049">
        <f t="shared" si="63"/>
        <v>0</v>
      </c>
    </row>
    <row r="4050" spans="2:7" x14ac:dyDescent="0.35">
      <c r="B4050" s="1">
        <v>45826</v>
      </c>
      <c r="C4050" s="2">
        <v>0.66666666666666663</v>
      </c>
      <c r="D4050">
        <v>21.9</v>
      </c>
      <c r="E4050">
        <f>IF($D4050 &gt; 16, 0, $J$3*(16 - $D4050))</f>
        <v>0</v>
      </c>
      <c r="F4050">
        <f>IF($D4050 &gt; 16, 0,$E4050*$J$5)</f>
        <v>0</v>
      </c>
      <c r="G4050">
        <f t="shared" si="63"/>
        <v>0</v>
      </c>
    </row>
    <row r="4051" spans="2:7" x14ac:dyDescent="0.35">
      <c r="B4051" s="1">
        <v>45826</v>
      </c>
      <c r="C4051" s="2">
        <v>0.70833333333333337</v>
      </c>
      <c r="D4051">
        <v>20.9</v>
      </c>
      <c r="E4051">
        <f>IF($D4051 &gt; 16, 0, $J$3*(16 - $D4051))</f>
        <v>0</v>
      </c>
      <c r="F4051">
        <f>IF($D4051 &gt; 16, 0,$E4051*$J$5)</f>
        <v>0</v>
      </c>
      <c r="G4051">
        <f t="shared" si="63"/>
        <v>0</v>
      </c>
    </row>
    <row r="4052" spans="2:7" x14ac:dyDescent="0.35">
      <c r="B4052" s="1">
        <v>45826</v>
      </c>
      <c r="C4052" s="2">
        <v>0.75</v>
      </c>
      <c r="D4052">
        <v>19.899999999999999</v>
      </c>
      <c r="E4052">
        <f>IF($D4052 &gt; 16, 0, $J$3*(16 - $D4052))</f>
        <v>0</v>
      </c>
      <c r="F4052">
        <f>IF($D4052 &gt; 16, 0,$E4052*$J$5)</f>
        <v>0</v>
      </c>
      <c r="G4052">
        <f t="shared" si="63"/>
        <v>0</v>
      </c>
    </row>
    <row r="4053" spans="2:7" x14ac:dyDescent="0.35">
      <c r="B4053" s="1">
        <v>45826</v>
      </c>
      <c r="C4053" s="2">
        <v>0.79166666666666663</v>
      </c>
      <c r="D4053">
        <v>18.399999999999999</v>
      </c>
      <c r="E4053">
        <f>IF($D4053 &gt; 16, 0, $J$3*(16 - $D4053))</f>
        <v>0</v>
      </c>
      <c r="F4053">
        <f>IF($D4053 &gt; 16, 0,$E4053*$J$5)</f>
        <v>0</v>
      </c>
      <c r="G4053">
        <f t="shared" si="63"/>
        <v>0</v>
      </c>
    </row>
    <row r="4054" spans="2:7" x14ac:dyDescent="0.35">
      <c r="B4054" s="1">
        <v>45826</v>
      </c>
      <c r="C4054" s="2">
        <v>0.83333333333333337</v>
      </c>
      <c r="D4054">
        <v>16.8</v>
      </c>
      <c r="E4054">
        <f>IF($D4054 &gt; 16, 0, $J$3*(16 - $D4054))</f>
        <v>0</v>
      </c>
      <c r="F4054">
        <f>IF($D4054 &gt; 16, 0,$E4054*$J$5)</f>
        <v>0</v>
      </c>
      <c r="G4054">
        <f t="shared" si="63"/>
        <v>0</v>
      </c>
    </row>
    <row r="4055" spans="2:7" x14ac:dyDescent="0.35">
      <c r="B4055" s="1">
        <v>45826</v>
      </c>
      <c r="C4055" s="2">
        <v>0.875</v>
      </c>
      <c r="D4055">
        <v>15.3</v>
      </c>
      <c r="E4055">
        <f>IF($D4055 &gt; 16, 0, $J$3*(16 - $D4055))</f>
        <v>145.42404989048774</v>
      </c>
      <c r="F4055">
        <f>IF($D4055 &gt; 16, 0,$E4055*$J$5)</f>
        <v>1580613.9982597113</v>
      </c>
      <c r="G4055">
        <f t="shared" si="63"/>
        <v>0.69999999999999929</v>
      </c>
    </row>
    <row r="4056" spans="2:7" x14ac:dyDescent="0.35">
      <c r="B4056" s="1">
        <v>45826</v>
      </c>
      <c r="C4056" s="2">
        <v>0.91666666666666663</v>
      </c>
      <c r="D4056">
        <v>14.4</v>
      </c>
      <c r="E4056">
        <f>IF($D4056 &gt; 16, 0, $J$3*(16 - $D4056))</f>
        <v>332.39782832111513</v>
      </c>
      <c r="F4056">
        <f>IF($D4056 &gt; 16, 0,$E4056*$J$5)</f>
        <v>3612831.9960222002</v>
      </c>
      <c r="G4056">
        <f t="shared" si="63"/>
        <v>1.5999999999999996</v>
      </c>
    </row>
    <row r="4057" spans="2:7" x14ac:dyDescent="0.35">
      <c r="B4057" s="1">
        <v>45826</v>
      </c>
      <c r="C4057" s="2">
        <v>0.95833333333333337</v>
      </c>
      <c r="D4057">
        <v>13.5</v>
      </c>
      <c r="E4057">
        <f>IF($D4057 &gt; 16, 0, $J$3*(16 - $D4057))</f>
        <v>519.37160675174243</v>
      </c>
      <c r="F4057">
        <f>IF($D4057 &gt; 16, 0,$E4057*$J$5)</f>
        <v>5645049.9937846884</v>
      </c>
      <c r="G4057">
        <f t="shared" si="63"/>
        <v>2.5</v>
      </c>
    </row>
    <row r="4058" spans="2:7" x14ac:dyDescent="0.35">
      <c r="B4058" s="1">
        <v>45827</v>
      </c>
      <c r="C4058" s="2">
        <v>0</v>
      </c>
      <c r="D4058">
        <v>12.8</v>
      </c>
      <c r="E4058">
        <f>IF($D4058 &gt; 16, 0, $J$3*(16 - $D4058))</f>
        <v>664.79565664223026</v>
      </c>
      <c r="F4058">
        <f>IF($D4058 &gt; 16, 0,$E4058*$J$5)</f>
        <v>7225663.9920444004</v>
      </c>
      <c r="G4058">
        <f t="shared" si="63"/>
        <v>3.1999999999999993</v>
      </c>
    </row>
    <row r="4059" spans="2:7" x14ac:dyDescent="0.35">
      <c r="B4059" s="1">
        <v>45827</v>
      </c>
      <c r="C4059" s="2">
        <v>4.1666666666666657E-2</v>
      </c>
      <c r="D4059">
        <v>12.3</v>
      </c>
      <c r="E4059">
        <f>IF($D4059 &gt; 16, 0, $J$3*(16 - $D4059))</f>
        <v>768.66997799257877</v>
      </c>
      <c r="F4059">
        <f>IF($D4059 &gt; 16, 0,$E4059*$J$5)</f>
        <v>8354673.990801339</v>
      </c>
      <c r="G4059">
        <f t="shared" si="63"/>
        <v>3.6999999999999993</v>
      </c>
    </row>
    <row r="4060" spans="2:7" x14ac:dyDescent="0.35">
      <c r="B4060" s="1">
        <v>45827</v>
      </c>
      <c r="C4060" s="2">
        <v>8.3333333333333329E-2</v>
      </c>
      <c r="D4060">
        <v>12.2</v>
      </c>
      <c r="E4060">
        <f>IF($D4060 &gt; 16, 0, $J$3*(16 - $D4060))</f>
        <v>789.44484226264876</v>
      </c>
      <c r="F4060">
        <f>IF($D4060 &gt; 16, 0,$E4060*$J$5)</f>
        <v>8580475.990552729</v>
      </c>
      <c r="G4060">
        <f t="shared" si="63"/>
        <v>3.8000000000000007</v>
      </c>
    </row>
    <row r="4061" spans="2:7" x14ac:dyDescent="0.35">
      <c r="B4061" s="1">
        <v>45827</v>
      </c>
      <c r="C4061" s="2">
        <v>0.125</v>
      </c>
      <c r="D4061">
        <v>12.4</v>
      </c>
      <c r="E4061">
        <f>IF($D4061 &gt; 16, 0, $J$3*(16 - $D4061))</f>
        <v>747.89511372250911</v>
      </c>
      <c r="F4061">
        <f>IF($D4061 &gt; 16, 0,$E4061*$J$5)</f>
        <v>8128871.9910499519</v>
      </c>
      <c r="G4061">
        <f t="shared" si="63"/>
        <v>3.5999999999999996</v>
      </c>
    </row>
    <row r="4062" spans="2:7" x14ac:dyDescent="0.35">
      <c r="B4062" s="1">
        <v>45827</v>
      </c>
      <c r="C4062" s="2">
        <v>0.16666666666666671</v>
      </c>
      <c r="D4062">
        <v>12.5</v>
      </c>
      <c r="E4062">
        <f>IF($D4062 &gt; 16, 0, $J$3*(16 - $D4062))</f>
        <v>727.12024945243945</v>
      </c>
      <c r="F4062">
        <f>IF($D4062 &gt; 16, 0,$E4062*$J$5)</f>
        <v>7903069.9912985647</v>
      </c>
      <c r="G4062">
        <f t="shared" si="63"/>
        <v>3.5</v>
      </c>
    </row>
    <row r="4063" spans="2:7" x14ac:dyDescent="0.35">
      <c r="B4063" s="1">
        <v>45827</v>
      </c>
      <c r="C4063" s="2">
        <v>0.20833333333333329</v>
      </c>
      <c r="D4063">
        <v>14</v>
      </c>
      <c r="E4063">
        <f>IF($D4063 &gt; 16, 0, $J$3*(16 - $D4063))</f>
        <v>415.49728540139398</v>
      </c>
      <c r="F4063">
        <f>IF($D4063 &gt; 16, 0,$E4063*$J$5)</f>
        <v>4516039.9950277507</v>
      </c>
      <c r="G4063">
        <f t="shared" si="63"/>
        <v>2</v>
      </c>
    </row>
    <row r="4064" spans="2:7" x14ac:dyDescent="0.35">
      <c r="B4064" s="1">
        <v>45827</v>
      </c>
      <c r="C4064" s="2">
        <v>0.25</v>
      </c>
      <c r="D4064">
        <v>15.2</v>
      </c>
      <c r="E4064">
        <f>IF($D4064 &gt; 16, 0, $J$3*(16 - $D4064))</f>
        <v>166.19891416055773</v>
      </c>
      <c r="F4064">
        <f>IF($D4064 &gt; 16, 0,$E4064*$J$5)</f>
        <v>1806415.998011102</v>
      </c>
      <c r="G4064">
        <f t="shared" si="63"/>
        <v>0.80000000000000071</v>
      </c>
    </row>
    <row r="4065" spans="2:7" x14ac:dyDescent="0.35">
      <c r="B4065" s="1">
        <v>45827</v>
      </c>
      <c r="C4065" s="2">
        <v>0.29166666666666669</v>
      </c>
      <c r="D4065">
        <v>14.9</v>
      </c>
      <c r="E4065">
        <f>IF($D4065 &gt; 16, 0, $J$3*(16 - $D4065))</f>
        <v>228.52350697076662</v>
      </c>
      <c r="F4065">
        <f>IF($D4065 &gt; 16, 0,$E4065*$J$5)</f>
        <v>2483821.9972652625</v>
      </c>
      <c r="G4065">
        <f t="shared" si="63"/>
        <v>1.0999999999999996</v>
      </c>
    </row>
    <row r="4066" spans="2:7" x14ac:dyDescent="0.35">
      <c r="B4066" s="1">
        <v>45827</v>
      </c>
      <c r="C4066" s="2">
        <v>0.33333333333333331</v>
      </c>
      <c r="D4066">
        <v>16.2</v>
      </c>
      <c r="E4066">
        <f>IF($D4066 &gt; 16, 0, $J$3*(16 - $D4066))</f>
        <v>0</v>
      </c>
      <c r="F4066">
        <f>IF($D4066 &gt; 16, 0,$E4066*$J$5)</f>
        <v>0</v>
      </c>
      <c r="G4066">
        <f t="shared" si="63"/>
        <v>0</v>
      </c>
    </row>
    <row r="4067" spans="2:7" x14ac:dyDescent="0.35">
      <c r="B4067" s="1">
        <v>45827</v>
      </c>
      <c r="C4067" s="2">
        <v>0.375</v>
      </c>
      <c r="D4067">
        <v>17.399999999999999</v>
      </c>
      <c r="E4067">
        <f>IF($D4067 &gt; 16, 0, $J$3*(16 - $D4067))</f>
        <v>0</v>
      </c>
      <c r="F4067">
        <f>IF($D4067 &gt; 16, 0,$E4067*$J$5)</f>
        <v>0</v>
      </c>
      <c r="G4067">
        <f t="shared" si="63"/>
        <v>0</v>
      </c>
    </row>
    <row r="4068" spans="2:7" x14ac:dyDescent="0.35">
      <c r="B4068" s="1">
        <v>45827</v>
      </c>
      <c r="C4068" s="2">
        <v>0.41666666666666669</v>
      </c>
      <c r="D4068">
        <v>17.3</v>
      </c>
      <c r="E4068">
        <f>IF($D4068 &gt; 16, 0, $J$3*(16 - $D4068))</f>
        <v>0</v>
      </c>
      <c r="F4068">
        <f>IF($D4068 &gt; 16, 0,$E4068*$J$5)</f>
        <v>0</v>
      </c>
      <c r="G4068">
        <f t="shared" si="63"/>
        <v>0</v>
      </c>
    </row>
    <row r="4069" spans="2:7" x14ac:dyDescent="0.35">
      <c r="B4069" s="1">
        <v>45827</v>
      </c>
      <c r="C4069" s="2">
        <v>0.45833333333333331</v>
      </c>
      <c r="D4069">
        <v>17.600000000000001</v>
      </c>
      <c r="E4069">
        <f>IF($D4069 &gt; 16, 0, $J$3*(16 - $D4069))</f>
        <v>0</v>
      </c>
      <c r="F4069">
        <f>IF($D4069 &gt; 16, 0,$E4069*$J$5)</f>
        <v>0</v>
      </c>
      <c r="G4069">
        <f t="shared" si="63"/>
        <v>0</v>
      </c>
    </row>
    <row r="4070" spans="2:7" x14ac:dyDescent="0.35">
      <c r="B4070" s="1">
        <v>45827</v>
      </c>
      <c r="C4070" s="2">
        <v>0.5</v>
      </c>
      <c r="D4070">
        <v>17.100000000000001</v>
      </c>
      <c r="E4070">
        <f>IF($D4070 &gt; 16, 0, $J$3*(16 - $D4070))</f>
        <v>0</v>
      </c>
      <c r="F4070">
        <f>IF($D4070 &gt; 16, 0,$E4070*$J$5)</f>
        <v>0</v>
      </c>
      <c r="G4070">
        <f t="shared" si="63"/>
        <v>0</v>
      </c>
    </row>
    <row r="4071" spans="2:7" x14ac:dyDescent="0.35">
      <c r="B4071" s="1">
        <v>45827</v>
      </c>
      <c r="C4071" s="2">
        <v>0.54166666666666663</v>
      </c>
      <c r="D4071">
        <v>18.8</v>
      </c>
      <c r="E4071">
        <f>IF($D4071 &gt; 16, 0, $J$3*(16 - $D4071))</f>
        <v>0</v>
      </c>
      <c r="F4071">
        <f>IF($D4071 &gt; 16, 0,$E4071*$J$5)</f>
        <v>0</v>
      </c>
      <c r="G4071">
        <f t="shared" si="63"/>
        <v>0</v>
      </c>
    </row>
    <row r="4072" spans="2:7" x14ac:dyDescent="0.35">
      <c r="B4072" s="1">
        <v>45827</v>
      </c>
      <c r="C4072" s="2">
        <v>0.58333333333333337</v>
      </c>
      <c r="D4072">
        <v>18.5</v>
      </c>
      <c r="E4072">
        <f>IF($D4072 &gt; 16, 0, $J$3*(16 - $D4072))</f>
        <v>0</v>
      </c>
      <c r="F4072">
        <f>IF($D4072 &gt; 16, 0,$E4072*$J$5)</f>
        <v>0</v>
      </c>
      <c r="G4072">
        <f t="shared" si="63"/>
        <v>0</v>
      </c>
    </row>
    <row r="4073" spans="2:7" x14ac:dyDescent="0.35">
      <c r="B4073" s="1">
        <v>45827</v>
      </c>
      <c r="C4073" s="2">
        <v>0.625</v>
      </c>
      <c r="D4073">
        <v>18.600000000000001</v>
      </c>
      <c r="E4073">
        <f>IF($D4073 &gt; 16, 0, $J$3*(16 - $D4073))</f>
        <v>0</v>
      </c>
      <c r="F4073">
        <f>IF($D4073 &gt; 16, 0,$E4073*$J$5)</f>
        <v>0</v>
      </c>
      <c r="G4073">
        <f t="shared" si="63"/>
        <v>0</v>
      </c>
    </row>
    <row r="4074" spans="2:7" x14ac:dyDescent="0.35">
      <c r="B4074" s="1">
        <v>45827</v>
      </c>
      <c r="C4074" s="2">
        <v>0.66666666666666663</v>
      </c>
      <c r="D4074">
        <v>18.3</v>
      </c>
      <c r="E4074">
        <f>IF($D4074 &gt; 16, 0, $J$3*(16 - $D4074))</f>
        <v>0</v>
      </c>
      <c r="F4074">
        <f>IF($D4074 &gt; 16, 0,$E4074*$J$5)</f>
        <v>0</v>
      </c>
      <c r="G4074">
        <f t="shared" si="63"/>
        <v>0</v>
      </c>
    </row>
    <row r="4075" spans="2:7" x14ac:dyDescent="0.35">
      <c r="B4075" s="1">
        <v>45827</v>
      </c>
      <c r="C4075" s="2">
        <v>0.70833333333333337</v>
      </c>
      <c r="D4075">
        <v>17.399999999999999</v>
      </c>
      <c r="E4075">
        <f>IF($D4075 &gt; 16, 0, $J$3*(16 - $D4075))</f>
        <v>0</v>
      </c>
      <c r="F4075">
        <f>IF($D4075 &gt; 16, 0,$E4075*$J$5)</f>
        <v>0</v>
      </c>
      <c r="G4075">
        <f t="shared" si="63"/>
        <v>0</v>
      </c>
    </row>
    <row r="4076" spans="2:7" x14ac:dyDescent="0.35">
      <c r="B4076" s="1">
        <v>45827</v>
      </c>
      <c r="C4076" s="2">
        <v>0.75</v>
      </c>
      <c r="D4076">
        <v>16.8</v>
      </c>
      <c r="E4076">
        <f>IF($D4076 &gt; 16, 0, $J$3*(16 - $D4076))</f>
        <v>0</v>
      </c>
      <c r="F4076">
        <f>IF($D4076 &gt; 16, 0,$E4076*$J$5)</f>
        <v>0</v>
      </c>
      <c r="G4076">
        <f t="shared" si="63"/>
        <v>0</v>
      </c>
    </row>
    <row r="4077" spans="2:7" x14ac:dyDescent="0.35">
      <c r="B4077" s="1">
        <v>45827</v>
      </c>
      <c r="C4077" s="2">
        <v>0.79166666666666663</v>
      </c>
      <c r="D4077">
        <v>15.5</v>
      </c>
      <c r="E4077">
        <f>IF($D4077 &gt; 16, 0, $J$3*(16 - $D4077))</f>
        <v>103.8743213503485</v>
      </c>
      <c r="F4077">
        <f>IF($D4077 &gt; 16, 0,$E4077*$J$5)</f>
        <v>1129009.9987569377</v>
      </c>
      <c r="G4077">
        <f t="shared" si="63"/>
        <v>0.5</v>
      </c>
    </row>
    <row r="4078" spans="2:7" x14ac:dyDescent="0.35">
      <c r="B4078" s="1">
        <v>45827</v>
      </c>
      <c r="C4078" s="2">
        <v>0.83333333333333337</v>
      </c>
      <c r="D4078">
        <v>14.2</v>
      </c>
      <c r="E4078">
        <f>IF($D4078 &gt; 16, 0, $J$3*(16 - $D4078))</f>
        <v>373.94755686125472</v>
      </c>
      <c r="F4078">
        <f>IF($D4078 &gt; 16, 0,$E4078*$J$5)</f>
        <v>4064435.9955249778</v>
      </c>
      <c r="G4078">
        <f t="shared" si="63"/>
        <v>1.8000000000000007</v>
      </c>
    </row>
    <row r="4079" spans="2:7" x14ac:dyDescent="0.35">
      <c r="B4079" s="1">
        <v>45827</v>
      </c>
      <c r="C4079" s="2">
        <v>0.875</v>
      </c>
      <c r="D4079">
        <v>12.6</v>
      </c>
      <c r="E4079">
        <f>IF($D4079 &gt; 16, 0, $J$3*(16 - $D4079))</f>
        <v>706.3453851823698</v>
      </c>
      <c r="F4079">
        <f>IF($D4079 &gt; 16, 0,$E4079*$J$5)</f>
        <v>7677267.9915471775</v>
      </c>
      <c r="G4079">
        <f t="shared" si="63"/>
        <v>3.4000000000000004</v>
      </c>
    </row>
    <row r="4080" spans="2:7" x14ac:dyDescent="0.35">
      <c r="B4080" s="1">
        <v>45827</v>
      </c>
      <c r="C4080" s="2">
        <v>0.91666666666666663</v>
      </c>
      <c r="D4080">
        <v>11.4</v>
      </c>
      <c r="E4080">
        <f>IF($D4080 &gt; 16, 0, $J$3*(16 - $D4080))</f>
        <v>955.64375642320613</v>
      </c>
      <c r="F4080">
        <f>IF($D4080 &gt; 16, 0,$E4080*$J$5)</f>
        <v>10386891.988563828</v>
      </c>
      <c r="G4080">
        <f t="shared" si="63"/>
        <v>4.5999999999999996</v>
      </c>
    </row>
    <row r="4081" spans="2:7" x14ac:dyDescent="0.35">
      <c r="B4081" s="1">
        <v>45827</v>
      </c>
      <c r="C4081" s="2">
        <v>0.95833333333333337</v>
      </c>
      <c r="D4081">
        <v>10.6</v>
      </c>
      <c r="E4081">
        <f>IF($D4081 &gt; 16, 0, $J$3*(16 - $D4081))</f>
        <v>1121.8426705837637</v>
      </c>
      <c r="F4081">
        <f>IF($D4081 &gt; 16, 0,$E4081*$J$5)</f>
        <v>12193307.986574927</v>
      </c>
      <c r="G4081">
        <f t="shared" si="63"/>
        <v>5.4</v>
      </c>
    </row>
    <row r="4082" spans="2:7" x14ac:dyDescent="0.35">
      <c r="B4082" s="1">
        <v>45828</v>
      </c>
      <c r="C4082" s="2">
        <v>0</v>
      </c>
      <c r="D4082">
        <v>10.199999999999999</v>
      </c>
      <c r="E4082">
        <f>IF($D4082 &gt; 16, 0, $J$3*(16 - $D4082))</f>
        <v>1204.9421276640428</v>
      </c>
      <c r="F4082">
        <f>IF($D4082 &gt; 16, 0,$E4082*$J$5)</f>
        <v>13096515.985580482</v>
      </c>
      <c r="G4082">
        <f t="shared" si="63"/>
        <v>5.8000000000000007</v>
      </c>
    </row>
    <row r="4083" spans="2:7" x14ac:dyDescent="0.35">
      <c r="B4083" s="1">
        <v>45828</v>
      </c>
      <c r="C4083" s="2">
        <v>4.1666666666666657E-2</v>
      </c>
      <c r="D4083">
        <v>8.3000000000000007</v>
      </c>
      <c r="E4083">
        <f>IF($D4083 &gt; 16, 0, $J$3*(16 - $D4083))</f>
        <v>1599.6645487953667</v>
      </c>
      <c r="F4083">
        <f>IF($D4083 &gt; 16, 0,$E4083*$J$5)</f>
        <v>17386753.98085684</v>
      </c>
      <c r="G4083">
        <f t="shared" si="63"/>
        <v>7.6999999999999993</v>
      </c>
    </row>
    <row r="4084" spans="2:7" x14ac:dyDescent="0.35">
      <c r="B4084" s="1">
        <v>45828</v>
      </c>
      <c r="C4084" s="2">
        <v>8.3333333333333329E-2</v>
      </c>
      <c r="D4084">
        <v>7.5</v>
      </c>
      <c r="E4084">
        <f>IF($D4084 &gt; 16, 0, $J$3*(16 - $D4084))</f>
        <v>1765.8634629559244</v>
      </c>
      <c r="F4084">
        <f>IF($D4084 &gt; 16, 0,$E4084*$J$5)</f>
        <v>19193169.978867944</v>
      </c>
      <c r="G4084">
        <f t="shared" si="63"/>
        <v>8.5</v>
      </c>
    </row>
    <row r="4085" spans="2:7" x14ac:dyDescent="0.35">
      <c r="B4085" s="1">
        <v>45828</v>
      </c>
      <c r="C4085" s="2">
        <v>0.125</v>
      </c>
      <c r="D4085">
        <v>7.6</v>
      </c>
      <c r="E4085">
        <f>IF($D4085 &gt; 16, 0, $J$3*(16 - $D4085))</f>
        <v>1745.0885986858548</v>
      </c>
      <c r="F4085">
        <f>IF($D4085 &gt; 16, 0,$E4085*$J$5)</f>
        <v>18967367.979116555</v>
      </c>
      <c r="G4085">
        <f t="shared" si="63"/>
        <v>8.4</v>
      </c>
    </row>
    <row r="4086" spans="2:7" x14ac:dyDescent="0.35">
      <c r="B4086" s="1">
        <v>45828</v>
      </c>
      <c r="C4086" s="2">
        <v>0.16666666666666671</v>
      </c>
      <c r="D4086">
        <v>7.7</v>
      </c>
      <c r="E4086">
        <f>IF($D4086 &gt; 16, 0, $J$3*(16 - $D4086))</f>
        <v>1724.3137344157851</v>
      </c>
      <c r="F4086">
        <f>IF($D4086 &gt; 16, 0,$E4086*$J$5)</f>
        <v>18741565.97936517</v>
      </c>
      <c r="G4086">
        <f t="shared" si="63"/>
        <v>8.3000000000000007</v>
      </c>
    </row>
    <row r="4087" spans="2:7" x14ac:dyDescent="0.35">
      <c r="B4087" s="1">
        <v>45828</v>
      </c>
      <c r="C4087" s="2">
        <v>0.20833333333333329</v>
      </c>
      <c r="D4087">
        <v>12.2</v>
      </c>
      <c r="E4087">
        <f>IF($D4087 &gt; 16, 0, $J$3*(16 - $D4087))</f>
        <v>789.44484226264876</v>
      </c>
      <c r="F4087">
        <f>IF($D4087 &gt; 16, 0,$E4087*$J$5)</f>
        <v>8580475.990552729</v>
      </c>
      <c r="G4087">
        <f t="shared" si="63"/>
        <v>3.8000000000000007</v>
      </c>
    </row>
    <row r="4088" spans="2:7" x14ac:dyDescent="0.35">
      <c r="B4088" s="1">
        <v>45828</v>
      </c>
      <c r="C4088" s="2">
        <v>0.25</v>
      </c>
      <c r="D4088">
        <v>13.3</v>
      </c>
      <c r="E4088">
        <f>IF($D4088 &gt; 16, 0, $J$3*(16 - $D4088))</f>
        <v>560.92133529188175</v>
      </c>
      <c r="F4088">
        <f>IF($D4088 &gt; 16, 0,$E4088*$J$5)</f>
        <v>6096653.9932874627</v>
      </c>
      <c r="G4088">
        <f t="shared" si="63"/>
        <v>2.6999999999999993</v>
      </c>
    </row>
    <row r="4089" spans="2:7" x14ac:dyDescent="0.35">
      <c r="B4089" s="1">
        <v>45828</v>
      </c>
      <c r="C4089" s="2">
        <v>0.29166666666666669</v>
      </c>
      <c r="D4089">
        <v>14.5</v>
      </c>
      <c r="E4089">
        <f>IF($D4089 &gt; 16, 0, $J$3*(16 - $D4089))</f>
        <v>311.62296405104547</v>
      </c>
      <c r="F4089">
        <f>IF($D4089 &gt; 16, 0,$E4089*$J$5)</f>
        <v>3387029.996270813</v>
      </c>
      <c r="G4089">
        <f t="shared" si="63"/>
        <v>1.5</v>
      </c>
    </row>
    <row r="4090" spans="2:7" x14ac:dyDescent="0.35">
      <c r="B4090" s="1">
        <v>45828</v>
      </c>
      <c r="C4090" s="2">
        <v>0.33333333333333331</v>
      </c>
      <c r="D4090">
        <v>16</v>
      </c>
      <c r="E4090">
        <f>IF($D4090 &gt; 16, 0, $J$3*(16 - $D4090))</f>
        <v>0</v>
      </c>
      <c r="F4090">
        <f>IF($D4090 &gt; 16, 0,$E4090*$J$5)</f>
        <v>0</v>
      </c>
      <c r="G4090">
        <f t="shared" si="63"/>
        <v>0</v>
      </c>
    </row>
    <row r="4091" spans="2:7" x14ac:dyDescent="0.35">
      <c r="B4091" s="1">
        <v>45828</v>
      </c>
      <c r="C4091" s="2">
        <v>0.375</v>
      </c>
      <c r="D4091">
        <v>16.7</v>
      </c>
      <c r="E4091">
        <f>IF($D4091 &gt; 16, 0, $J$3*(16 - $D4091))</f>
        <v>0</v>
      </c>
      <c r="F4091">
        <f>IF($D4091 &gt; 16, 0,$E4091*$J$5)</f>
        <v>0</v>
      </c>
      <c r="G4091">
        <f t="shared" si="63"/>
        <v>0</v>
      </c>
    </row>
    <row r="4092" spans="2:7" x14ac:dyDescent="0.35">
      <c r="B4092" s="1">
        <v>45828</v>
      </c>
      <c r="C4092" s="2">
        <v>0.41666666666666669</v>
      </c>
      <c r="D4092">
        <v>18.100000000000001</v>
      </c>
      <c r="E4092">
        <f>IF($D4092 &gt; 16, 0, $J$3*(16 - $D4092))</f>
        <v>0</v>
      </c>
      <c r="F4092">
        <f>IF($D4092 &gt; 16, 0,$E4092*$J$5)</f>
        <v>0</v>
      </c>
      <c r="G4092">
        <f t="shared" si="63"/>
        <v>0</v>
      </c>
    </row>
    <row r="4093" spans="2:7" x14ac:dyDescent="0.35">
      <c r="B4093" s="1">
        <v>45828</v>
      </c>
      <c r="C4093" s="2">
        <v>0.45833333333333331</v>
      </c>
      <c r="D4093">
        <v>19.100000000000001</v>
      </c>
      <c r="E4093">
        <f>IF($D4093 &gt; 16, 0, $J$3*(16 - $D4093))</f>
        <v>0</v>
      </c>
      <c r="F4093">
        <f>IF($D4093 &gt; 16, 0,$E4093*$J$5)</f>
        <v>0</v>
      </c>
      <c r="G4093">
        <f t="shared" si="63"/>
        <v>0</v>
      </c>
    </row>
    <row r="4094" spans="2:7" x14ac:dyDescent="0.35">
      <c r="B4094" s="1">
        <v>45828</v>
      </c>
      <c r="C4094" s="2">
        <v>0.5</v>
      </c>
      <c r="D4094">
        <v>19.600000000000001</v>
      </c>
      <c r="E4094">
        <f>IF($D4094 &gt; 16, 0, $J$3*(16 - $D4094))</f>
        <v>0</v>
      </c>
      <c r="F4094">
        <f>IF($D4094 &gt; 16, 0,$E4094*$J$5)</f>
        <v>0</v>
      </c>
      <c r="G4094">
        <f t="shared" si="63"/>
        <v>0</v>
      </c>
    </row>
    <row r="4095" spans="2:7" x14ac:dyDescent="0.35">
      <c r="B4095" s="1">
        <v>45828</v>
      </c>
      <c r="C4095" s="2">
        <v>0.54166666666666663</v>
      </c>
      <c r="D4095">
        <v>20.5</v>
      </c>
      <c r="E4095">
        <f>IF($D4095 &gt; 16, 0, $J$3*(16 - $D4095))</f>
        <v>0</v>
      </c>
      <c r="F4095">
        <f>IF($D4095 &gt; 16, 0,$E4095*$J$5)</f>
        <v>0</v>
      </c>
      <c r="G4095">
        <f t="shared" si="63"/>
        <v>0</v>
      </c>
    </row>
    <row r="4096" spans="2:7" x14ac:dyDescent="0.35">
      <c r="B4096" s="1">
        <v>45828</v>
      </c>
      <c r="C4096" s="2">
        <v>0.58333333333333337</v>
      </c>
      <c r="D4096">
        <v>20.9</v>
      </c>
      <c r="E4096">
        <f>IF($D4096 &gt; 16, 0, $J$3*(16 - $D4096))</f>
        <v>0</v>
      </c>
      <c r="F4096">
        <f>IF($D4096 &gt; 16, 0,$E4096*$J$5)</f>
        <v>0</v>
      </c>
      <c r="G4096">
        <f t="shared" si="63"/>
        <v>0</v>
      </c>
    </row>
    <row r="4097" spans="2:7" x14ac:dyDescent="0.35">
      <c r="B4097" s="1">
        <v>45828</v>
      </c>
      <c r="C4097" s="2">
        <v>0.625</v>
      </c>
      <c r="D4097">
        <v>21</v>
      </c>
      <c r="E4097">
        <f>IF($D4097 &gt; 16, 0, $J$3*(16 - $D4097))</f>
        <v>0</v>
      </c>
      <c r="F4097">
        <f>IF($D4097 &gt; 16, 0,$E4097*$J$5)</f>
        <v>0</v>
      </c>
      <c r="G4097">
        <f t="shared" si="63"/>
        <v>0</v>
      </c>
    </row>
    <row r="4098" spans="2:7" x14ac:dyDescent="0.35">
      <c r="B4098" s="1">
        <v>45828</v>
      </c>
      <c r="C4098" s="2">
        <v>0.66666666666666663</v>
      </c>
      <c r="D4098">
        <v>21.7</v>
      </c>
      <c r="E4098">
        <f>IF($D4098 &gt; 16, 0, $J$3*(16 - $D4098))</f>
        <v>0</v>
      </c>
      <c r="F4098">
        <f>IF($D4098 &gt; 16, 0,$E4098*$J$5)</f>
        <v>0</v>
      </c>
      <c r="G4098">
        <f t="shared" si="63"/>
        <v>0</v>
      </c>
    </row>
    <row r="4099" spans="2:7" x14ac:dyDescent="0.35">
      <c r="B4099" s="1">
        <v>45828</v>
      </c>
      <c r="C4099" s="2">
        <v>0.70833333333333337</v>
      </c>
      <c r="D4099">
        <v>21</v>
      </c>
      <c r="E4099">
        <f>IF($D4099 &gt; 16, 0, $J$3*(16 - $D4099))</f>
        <v>0</v>
      </c>
      <c r="F4099">
        <f>IF($D4099 &gt; 16, 0,$E4099*$J$5)</f>
        <v>0</v>
      </c>
      <c r="G4099">
        <f t="shared" ref="G4099:G4162" si="64">MAX(0, 16 - $D4099)</f>
        <v>0</v>
      </c>
    </row>
    <row r="4100" spans="2:7" x14ac:dyDescent="0.35">
      <c r="B4100" s="1">
        <v>45828</v>
      </c>
      <c r="C4100" s="2">
        <v>0.75</v>
      </c>
      <c r="D4100">
        <v>20.399999999999999</v>
      </c>
      <c r="E4100">
        <f>IF($D4100 &gt; 16, 0, $J$3*(16 - $D4100))</f>
        <v>0</v>
      </c>
      <c r="F4100">
        <f>IF($D4100 &gt; 16, 0,$E4100*$J$5)</f>
        <v>0</v>
      </c>
      <c r="G4100">
        <f t="shared" si="64"/>
        <v>0</v>
      </c>
    </row>
    <row r="4101" spans="2:7" x14ac:dyDescent="0.35">
      <c r="B4101" s="1">
        <v>45828</v>
      </c>
      <c r="C4101" s="2">
        <v>0.79166666666666663</v>
      </c>
      <c r="D4101">
        <v>19.600000000000001</v>
      </c>
      <c r="E4101">
        <f>IF($D4101 &gt; 16, 0, $J$3*(16 - $D4101))</f>
        <v>0</v>
      </c>
      <c r="F4101">
        <f>IF($D4101 &gt; 16, 0,$E4101*$J$5)</f>
        <v>0</v>
      </c>
      <c r="G4101">
        <f t="shared" si="64"/>
        <v>0</v>
      </c>
    </row>
    <row r="4102" spans="2:7" x14ac:dyDescent="0.35">
      <c r="B4102" s="1">
        <v>45828</v>
      </c>
      <c r="C4102" s="2">
        <v>0.83333333333333337</v>
      </c>
      <c r="D4102">
        <v>17.399999999999999</v>
      </c>
      <c r="E4102">
        <f>IF($D4102 &gt; 16, 0, $J$3*(16 - $D4102))</f>
        <v>0</v>
      </c>
      <c r="F4102">
        <f>IF($D4102 &gt; 16, 0,$E4102*$J$5)</f>
        <v>0</v>
      </c>
      <c r="G4102">
        <f t="shared" si="64"/>
        <v>0</v>
      </c>
    </row>
    <row r="4103" spans="2:7" x14ac:dyDescent="0.35">
      <c r="B4103" s="1">
        <v>45828</v>
      </c>
      <c r="C4103" s="2">
        <v>0.875</v>
      </c>
      <c r="D4103">
        <v>14.7</v>
      </c>
      <c r="E4103">
        <f>IF($D4103 &gt; 16, 0, $J$3*(16 - $D4103))</f>
        <v>270.07323551090622</v>
      </c>
      <c r="F4103">
        <f>IF($D4103 &gt; 16, 0,$E4103*$J$5)</f>
        <v>2935425.9967680397</v>
      </c>
      <c r="G4103">
        <f t="shared" si="64"/>
        <v>1.3000000000000007</v>
      </c>
    </row>
    <row r="4104" spans="2:7" x14ac:dyDescent="0.35">
      <c r="B4104" s="1">
        <v>45828</v>
      </c>
      <c r="C4104" s="2">
        <v>0.91666666666666663</v>
      </c>
      <c r="D4104">
        <v>13.5</v>
      </c>
      <c r="E4104">
        <f>IF($D4104 &gt; 16, 0, $J$3*(16 - $D4104))</f>
        <v>519.37160675174243</v>
      </c>
      <c r="F4104">
        <f>IF($D4104 &gt; 16, 0,$E4104*$J$5)</f>
        <v>5645049.9937846884</v>
      </c>
      <c r="G4104">
        <f t="shared" si="64"/>
        <v>2.5</v>
      </c>
    </row>
    <row r="4105" spans="2:7" x14ac:dyDescent="0.35">
      <c r="B4105" s="1">
        <v>45828</v>
      </c>
      <c r="C4105" s="2">
        <v>0.95833333333333337</v>
      </c>
      <c r="D4105">
        <v>12.9</v>
      </c>
      <c r="E4105">
        <f>IF($D4105 &gt; 16, 0, $J$3*(16 - $D4105))</f>
        <v>644.0207923721606</v>
      </c>
      <c r="F4105">
        <f>IF($D4105 &gt; 16, 0,$E4105*$J$5)</f>
        <v>6999861.9922930133</v>
      </c>
      <c r="G4105">
        <f t="shared" si="64"/>
        <v>3.0999999999999996</v>
      </c>
    </row>
    <row r="4106" spans="2:7" x14ac:dyDescent="0.35">
      <c r="B4106" s="1">
        <v>45829</v>
      </c>
      <c r="C4106" s="2">
        <v>0</v>
      </c>
      <c r="D4106">
        <v>11.1</v>
      </c>
      <c r="E4106">
        <f>IF($D4106 &gt; 16, 0, $J$3*(16 - $D4106))</f>
        <v>1017.9683492334153</v>
      </c>
      <c r="F4106">
        <f>IF($D4106 &gt; 16, 0,$E4106*$J$5)</f>
        <v>11064297.987817992</v>
      </c>
      <c r="G4106">
        <f t="shared" si="64"/>
        <v>4.9000000000000004</v>
      </c>
    </row>
    <row r="4107" spans="2:7" x14ac:dyDescent="0.35">
      <c r="B4107" s="1">
        <v>45829</v>
      </c>
      <c r="C4107" s="2">
        <v>4.1666666666666657E-2</v>
      </c>
      <c r="D4107">
        <v>11</v>
      </c>
      <c r="E4107">
        <f>IF($D4107 &gt; 16, 0, $J$3*(16 - $D4107))</f>
        <v>1038.7432135034849</v>
      </c>
      <c r="F4107">
        <f>IF($D4107 &gt; 16, 0,$E4107*$J$5)</f>
        <v>11290099.987569377</v>
      </c>
      <c r="G4107">
        <f t="shared" si="64"/>
        <v>5</v>
      </c>
    </row>
    <row r="4108" spans="2:7" x14ac:dyDescent="0.35">
      <c r="B4108" s="1">
        <v>45829</v>
      </c>
      <c r="C4108" s="2">
        <v>8.3333333333333329E-2</v>
      </c>
      <c r="D4108">
        <v>10.4</v>
      </c>
      <c r="E4108">
        <f>IF($D4108 &gt; 16, 0, $J$3*(16 - $D4108))</f>
        <v>1163.392399123903</v>
      </c>
      <c r="F4108">
        <f>IF($D4108 &gt; 16, 0,$E4108*$J$5)</f>
        <v>12644911.986077702</v>
      </c>
      <c r="G4108">
        <f t="shared" si="64"/>
        <v>5.6</v>
      </c>
    </row>
    <row r="4109" spans="2:7" x14ac:dyDescent="0.35">
      <c r="B4109" s="1">
        <v>45829</v>
      </c>
      <c r="C4109" s="2">
        <v>0.125</v>
      </c>
      <c r="D4109">
        <v>10.6</v>
      </c>
      <c r="E4109">
        <f>IF($D4109 &gt; 16, 0, $J$3*(16 - $D4109))</f>
        <v>1121.8426705837637</v>
      </c>
      <c r="F4109">
        <f>IF($D4109 &gt; 16, 0,$E4109*$J$5)</f>
        <v>12193307.986574927</v>
      </c>
      <c r="G4109">
        <f t="shared" si="64"/>
        <v>5.4</v>
      </c>
    </row>
    <row r="4110" spans="2:7" x14ac:dyDescent="0.35">
      <c r="B4110" s="1">
        <v>45829</v>
      </c>
      <c r="C4110" s="2">
        <v>0.16666666666666671</v>
      </c>
      <c r="D4110">
        <v>11</v>
      </c>
      <c r="E4110">
        <f>IF($D4110 &gt; 16, 0, $J$3*(16 - $D4110))</f>
        <v>1038.7432135034849</v>
      </c>
      <c r="F4110">
        <f>IF($D4110 &gt; 16, 0,$E4110*$J$5)</f>
        <v>11290099.987569377</v>
      </c>
      <c r="G4110">
        <f t="shared" si="64"/>
        <v>5</v>
      </c>
    </row>
    <row r="4111" spans="2:7" x14ac:dyDescent="0.35">
      <c r="B4111" s="1">
        <v>45829</v>
      </c>
      <c r="C4111" s="2">
        <v>0.20833333333333329</v>
      </c>
      <c r="D4111">
        <v>13.7</v>
      </c>
      <c r="E4111">
        <f>IF($D4111 &gt; 16, 0, $J$3*(16 - $D4111))</f>
        <v>477.82187821160323</v>
      </c>
      <c r="F4111">
        <f>IF($D4111 &gt; 16, 0,$E4111*$J$5)</f>
        <v>5193445.9942819159</v>
      </c>
      <c r="G4111">
        <f t="shared" si="64"/>
        <v>2.3000000000000007</v>
      </c>
    </row>
    <row r="4112" spans="2:7" x14ac:dyDescent="0.35">
      <c r="B4112" s="1">
        <v>45829</v>
      </c>
      <c r="C4112" s="2">
        <v>0.25</v>
      </c>
      <c r="D4112">
        <v>17.5</v>
      </c>
      <c r="E4112">
        <f>IF($D4112 &gt; 16, 0, $J$3*(16 - $D4112))</f>
        <v>0</v>
      </c>
      <c r="F4112">
        <f>IF($D4112 &gt; 16, 0,$E4112*$J$5)</f>
        <v>0</v>
      </c>
      <c r="G4112">
        <f t="shared" si="64"/>
        <v>0</v>
      </c>
    </row>
    <row r="4113" spans="2:7" x14ac:dyDescent="0.35">
      <c r="B4113" s="1">
        <v>45829</v>
      </c>
      <c r="C4113" s="2">
        <v>0.29166666666666669</v>
      </c>
      <c r="D4113">
        <v>20</v>
      </c>
      <c r="E4113">
        <f>IF($D4113 &gt; 16, 0, $J$3*(16 - $D4113))</f>
        <v>0</v>
      </c>
      <c r="F4113">
        <f>IF($D4113 &gt; 16, 0,$E4113*$J$5)</f>
        <v>0</v>
      </c>
      <c r="G4113">
        <f t="shared" si="64"/>
        <v>0</v>
      </c>
    </row>
    <row r="4114" spans="2:7" x14ac:dyDescent="0.35">
      <c r="B4114" s="1">
        <v>45829</v>
      </c>
      <c r="C4114" s="2">
        <v>0.33333333333333331</v>
      </c>
      <c r="D4114">
        <v>21.4</v>
      </c>
      <c r="E4114">
        <f>IF($D4114 &gt; 16, 0, $J$3*(16 - $D4114))</f>
        <v>0</v>
      </c>
      <c r="F4114">
        <f>IF($D4114 &gt; 16, 0,$E4114*$J$5)</f>
        <v>0</v>
      </c>
      <c r="G4114">
        <f t="shared" si="64"/>
        <v>0</v>
      </c>
    </row>
    <row r="4115" spans="2:7" x14ac:dyDescent="0.35">
      <c r="B4115" s="1">
        <v>45829</v>
      </c>
      <c r="C4115" s="2">
        <v>0.375</v>
      </c>
      <c r="D4115">
        <v>23.2</v>
      </c>
      <c r="E4115">
        <f>IF($D4115 &gt; 16, 0, $J$3*(16 - $D4115))</f>
        <v>0</v>
      </c>
      <c r="F4115">
        <f>IF($D4115 &gt; 16, 0,$E4115*$J$5)</f>
        <v>0</v>
      </c>
      <c r="G4115">
        <f t="shared" si="64"/>
        <v>0</v>
      </c>
    </row>
    <row r="4116" spans="2:7" x14ac:dyDescent="0.35">
      <c r="B4116" s="1">
        <v>45829</v>
      </c>
      <c r="C4116" s="2">
        <v>0.41666666666666669</v>
      </c>
      <c r="D4116">
        <v>24.3</v>
      </c>
      <c r="E4116">
        <f>IF($D4116 &gt; 16, 0, $J$3*(16 - $D4116))</f>
        <v>0</v>
      </c>
      <c r="F4116">
        <f>IF($D4116 &gt; 16, 0,$E4116*$J$5)</f>
        <v>0</v>
      </c>
      <c r="G4116">
        <f t="shared" si="64"/>
        <v>0</v>
      </c>
    </row>
    <row r="4117" spans="2:7" x14ac:dyDescent="0.35">
      <c r="B4117" s="1">
        <v>45829</v>
      </c>
      <c r="C4117" s="2">
        <v>0.45833333333333331</v>
      </c>
      <c r="D4117">
        <v>25</v>
      </c>
      <c r="E4117">
        <f>IF($D4117 &gt; 16, 0, $J$3*(16 - $D4117))</f>
        <v>0</v>
      </c>
      <c r="F4117">
        <f>IF($D4117 &gt; 16, 0,$E4117*$J$5)</f>
        <v>0</v>
      </c>
      <c r="G4117">
        <f t="shared" si="64"/>
        <v>0</v>
      </c>
    </row>
    <row r="4118" spans="2:7" x14ac:dyDescent="0.35">
      <c r="B4118" s="1">
        <v>45829</v>
      </c>
      <c r="C4118" s="2">
        <v>0.5</v>
      </c>
      <c r="D4118">
        <v>25.9</v>
      </c>
      <c r="E4118">
        <f>IF($D4118 &gt; 16, 0, $J$3*(16 - $D4118))</f>
        <v>0</v>
      </c>
      <c r="F4118">
        <f>IF($D4118 &gt; 16, 0,$E4118*$J$5)</f>
        <v>0</v>
      </c>
      <c r="G4118">
        <f t="shared" si="64"/>
        <v>0</v>
      </c>
    </row>
    <row r="4119" spans="2:7" x14ac:dyDescent="0.35">
      <c r="B4119" s="1">
        <v>45829</v>
      </c>
      <c r="C4119" s="2">
        <v>0.54166666666666663</v>
      </c>
      <c r="D4119">
        <v>26.7</v>
      </c>
      <c r="E4119">
        <f>IF($D4119 &gt; 16, 0, $J$3*(16 - $D4119))</f>
        <v>0</v>
      </c>
      <c r="F4119">
        <f>IF($D4119 &gt; 16, 0,$E4119*$J$5)</f>
        <v>0</v>
      </c>
      <c r="G4119">
        <f t="shared" si="64"/>
        <v>0</v>
      </c>
    </row>
    <row r="4120" spans="2:7" x14ac:dyDescent="0.35">
      <c r="B4120" s="1">
        <v>45829</v>
      </c>
      <c r="C4120" s="2">
        <v>0.58333333333333337</v>
      </c>
      <c r="D4120">
        <v>27.2</v>
      </c>
      <c r="E4120">
        <f>IF($D4120 &gt; 16, 0, $J$3*(16 - $D4120))</f>
        <v>0</v>
      </c>
      <c r="F4120">
        <f>IF($D4120 &gt; 16, 0,$E4120*$J$5)</f>
        <v>0</v>
      </c>
      <c r="G4120">
        <f t="shared" si="64"/>
        <v>0</v>
      </c>
    </row>
    <row r="4121" spans="2:7" x14ac:dyDescent="0.35">
      <c r="B4121" s="1">
        <v>45829</v>
      </c>
      <c r="C4121" s="2">
        <v>0.625</v>
      </c>
      <c r="D4121">
        <v>27.5</v>
      </c>
      <c r="E4121">
        <f>IF($D4121 &gt; 16, 0, $J$3*(16 - $D4121))</f>
        <v>0</v>
      </c>
      <c r="F4121">
        <f>IF($D4121 &gt; 16, 0,$E4121*$J$5)</f>
        <v>0</v>
      </c>
      <c r="G4121">
        <f t="shared" si="64"/>
        <v>0</v>
      </c>
    </row>
    <row r="4122" spans="2:7" x14ac:dyDescent="0.35">
      <c r="B4122" s="1">
        <v>45829</v>
      </c>
      <c r="C4122" s="2">
        <v>0.66666666666666663</v>
      </c>
      <c r="D4122">
        <v>27.8</v>
      </c>
      <c r="E4122">
        <f>IF($D4122 &gt; 16, 0, $J$3*(16 - $D4122))</f>
        <v>0</v>
      </c>
      <c r="F4122">
        <f>IF($D4122 &gt; 16, 0,$E4122*$J$5)</f>
        <v>0</v>
      </c>
      <c r="G4122">
        <f t="shared" si="64"/>
        <v>0</v>
      </c>
    </row>
    <row r="4123" spans="2:7" x14ac:dyDescent="0.35">
      <c r="B4123" s="1">
        <v>45829</v>
      </c>
      <c r="C4123" s="2">
        <v>0.70833333333333337</v>
      </c>
      <c r="D4123">
        <v>28.5</v>
      </c>
      <c r="E4123">
        <f>IF($D4123 &gt; 16, 0, $J$3*(16 - $D4123))</f>
        <v>0</v>
      </c>
      <c r="F4123">
        <f>IF($D4123 &gt; 16, 0,$E4123*$J$5)</f>
        <v>0</v>
      </c>
      <c r="G4123">
        <f t="shared" si="64"/>
        <v>0</v>
      </c>
    </row>
    <row r="4124" spans="2:7" x14ac:dyDescent="0.35">
      <c r="B4124" s="1">
        <v>45829</v>
      </c>
      <c r="C4124" s="2">
        <v>0.75</v>
      </c>
      <c r="D4124">
        <v>26.4</v>
      </c>
      <c r="E4124">
        <f>IF($D4124 &gt; 16, 0, $J$3*(16 - $D4124))</f>
        <v>0</v>
      </c>
      <c r="F4124">
        <f>IF($D4124 &gt; 16, 0,$E4124*$J$5)</f>
        <v>0</v>
      </c>
      <c r="G4124">
        <f t="shared" si="64"/>
        <v>0</v>
      </c>
    </row>
    <row r="4125" spans="2:7" x14ac:dyDescent="0.35">
      <c r="B4125" s="1">
        <v>45829</v>
      </c>
      <c r="C4125" s="2">
        <v>0.79166666666666663</v>
      </c>
      <c r="D4125">
        <v>24.4</v>
      </c>
      <c r="E4125">
        <f>IF($D4125 &gt; 16, 0, $J$3*(16 - $D4125))</f>
        <v>0</v>
      </c>
      <c r="F4125">
        <f>IF($D4125 &gt; 16, 0,$E4125*$J$5)</f>
        <v>0</v>
      </c>
      <c r="G4125">
        <f t="shared" si="64"/>
        <v>0</v>
      </c>
    </row>
    <row r="4126" spans="2:7" x14ac:dyDescent="0.35">
      <c r="B4126" s="1">
        <v>45829</v>
      </c>
      <c r="C4126" s="2">
        <v>0.83333333333333337</v>
      </c>
      <c r="D4126">
        <v>21.8</v>
      </c>
      <c r="E4126">
        <f>IF($D4126 &gt; 16, 0, $J$3*(16 - $D4126))</f>
        <v>0</v>
      </c>
      <c r="F4126">
        <f>IF($D4126 &gt; 16, 0,$E4126*$J$5)</f>
        <v>0</v>
      </c>
      <c r="G4126">
        <f t="shared" si="64"/>
        <v>0</v>
      </c>
    </row>
    <row r="4127" spans="2:7" x14ac:dyDescent="0.35">
      <c r="B4127" s="1">
        <v>45829</v>
      </c>
      <c r="C4127" s="2">
        <v>0.875</v>
      </c>
      <c r="D4127">
        <v>19.3</v>
      </c>
      <c r="E4127">
        <f>IF($D4127 &gt; 16, 0, $J$3*(16 - $D4127))</f>
        <v>0</v>
      </c>
      <c r="F4127">
        <f>IF($D4127 &gt; 16, 0,$E4127*$J$5)</f>
        <v>0</v>
      </c>
      <c r="G4127">
        <f t="shared" si="64"/>
        <v>0</v>
      </c>
    </row>
    <row r="4128" spans="2:7" x14ac:dyDescent="0.35">
      <c r="B4128" s="1">
        <v>45829</v>
      </c>
      <c r="C4128" s="2">
        <v>0.91666666666666663</v>
      </c>
      <c r="D4128">
        <v>17.8</v>
      </c>
      <c r="E4128">
        <f>IF($D4128 &gt; 16, 0, $J$3*(16 - $D4128))</f>
        <v>0</v>
      </c>
      <c r="F4128">
        <f>IF($D4128 &gt; 16, 0,$E4128*$J$5)</f>
        <v>0</v>
      </c>
      <c r="G4128">
        <f t="shared" si="64"/>
        <v>0</v>
      </c>
    </row>
    <row r="4129" spans="2:7" x14ac:dyDescent="0.35">
      <c r="B4129" s="1">
        <v>45829</v>
      </c>
      <c r="C4129" s="2">
        <v>0.95833333333333337</v>
      </c>
      <c r="D4129">
        <v>16.899999999999999</v>
      </c>
      <c r="E4129">
        <f>IF($D4129 &gt; 16, 0, $J$3*(16 - $D4129))</f>
        <v>0</v>
      </c>
      <c r="F4129">
        <f>IF($D4129 &gt; 16, 0,$E4129*$J$5)</f>
        <v>0</v>
      </c>
      <c r="G4129">
        <f t="shared" si="64"/>
        <v>0</v>
      </c>
    </row>
    <row r="4130" spans="2:7" x14ac:dyDescent="0.35">
      <c r="B4130" s="1">
        <v>45830</v>
      </c>
      <c r="C4130" s="2">
        <v>0</v>
      </c>
      <c r="D4130">
        <v>16.5</v>
      </c>
      <c r="E4130">
        <f>IF($D4130 &gt; 16, 0, $J$3*(16 - $D4130))</f>
        <v>0</v>
      </c>
      <c r="F4130">
        <f>IF($D4130 &gt; 16, 0,$E4130*$J$5)</f>
        <v>0</v>
      </c>
      <c r="G4130">
        <f t="shared" si="64"/>
        <v>0</v>
      </c>
    </row>
    <row r="4131" spans="2:7" x14ac:dyDescent="0.35">
      <c r="B4131" s="1">
        <v>45830</v>
      </c>
      <c r="C4131" s="2">
        <v>4.1666666666666657E-2</v>
      </c>
      <c r="D4131">
        <v>15.7</v>
      </c>
      <c r="E4131">
        <f>IF($D4131 &gt; 16, 0, $J$3*(16 - $D4131))</f>
        <v>62.324592810209246</v>
      </c>
      <c r="F4131">
        <f>IF($D4131 &gt; 16, 0,$E4131*$J$5)</f>
        <v>677405.99925416429</v>
      </c>
      <c r="G4131">
        <f t="shared" si="64"/>
        <v>0.30000000000000071</v>
      </c>
    </row>
    <row r="4132" spans="2:7" x14ac:dyDescent="0.35">
      <c r="B4132" s="1">
        <v>45830</v>
      </c>
      <c r="C4132" s="2">
        <v>8.3333333333333329E-2</v>
      </c>
      <c r="D4132">
        <v>16.100000000000001</v>
      </c>
      <c r="E4132">
        <f>IF($D4132 &gt; 16, 0, $J$3*(16 - $D4132))</f>
        <v>0</v>
      </c>
      <c r="F4132">
        <f>IF($D4132 &gt; 16, 0,$E4132*$J$5)</f>
        <v>0</v>
      </c>
      <c r="G4132">
        <f t="shared" si="64"/>
        <v>0</v>
      </c>
    </row>
    <row r="4133" spans="2:7" x14ac:dyDescent="0.35">
      <c r="B4133" s="1">
        <v>45830</v>
      </c>
      <c r="C4133" s="2">
        <v>0.125</v>
      </c>
      <c r="D4133">
        <v>17.399999999999999</v>
      </c>
      <c r="E4133">
        <f>IF($D4133 &gt; 16, 0, $J$3*(16 - $D4133))</f>
        <v>0</v>
      </c>
      <c r="F4133">
        <f>IF($D4133 &gt; 16, 0,$E4133*$J$5)</f>
        <v>0</v>
      </c>
      <c r="G4133">
        <f t="shared" si="64"/>
        <v>0</v>
      </c>
    </row>
    <row r="4134" spans="2:7" x14ac:dyDescent="0.35">
      <c r="B4134" s="1">
        <v>45830</v>
      </c>
      <c r="C4134" s="2">
        <v>0.16666666666666671</v>
      </c>
      <c r="D4134">
        <v>16.5</v>
      </c>
      <c r="E4134">
        <f>IF($D4134 &gt; 16, 0, $J$3*(16 - $D4134))</f>
        <v>0</v>
      </c>
      <c r="F4134">
        <f>IF($D4134 &gt; 16, 0,$E4134*$J$5)</f>
        <v>0</v>
      </c>
      <c r="G4134">
        <f t="shared" si="64"/>
        <v>0</v>
      </c>
    </row>
    <row r="4135" spans="2:7" x14ac:dyDescent="0.35">
      <c r="B4135" s="1">
        <v>45830</v>
      </c>
      <c r="C4135" s="2">
        <v>0.20833333333333329</v>
      </c>
      <c r="D4135">
        <v>18.3</v>
      </c>
      <c r="E4135">
        <f>IF($D4135 &gt; 16, 0, $J$3*(16 - $D4135))</f>
        <v>0</v>
      </c>
      <c r="F4135">
        <f>IF($D4135 &gt; 16, 0,$E4135*$J$5)</f>
        <v>0</v>
      </c>
      <c r="G4135">
        <f t="shared" si="64"/>
        <v>0</v>
      </c>
    </row>
    <row r="4136" spans="2:7" x14ac:dyDescent="0.35">
      <c r="B4136" s="1">
        <v>45830</v>
      </c>
      <c r="C4136" s="2">
        <v>0.25</v>
      </c>
      <c r="D4136">
        <v>20.7</v>
      </c>
      <c r="E4136">
        <f>IF($D4136 &gt; 16, 0, $J$3*(16 - $D4136))</f>
        <v>0</v>
      </c>
      <c r="F4136">
        <f>IF($D4136 &gt; 16, 0,$E4136*$J$5)</f>
        <v>0</v>
      </c>
      <c r="G4136">
        <f t="shared" si="64"/>
        <v>0</v>
      </c>
    </row>
    <row r="4137" spans="2:7" x14ac:dyDescent="0.35">
      <c r="B4137" s="1">
        <v>45830</v>
      </c>
      <c r="C4137" s="2">
        <v>0.29166666666666669</v>
      </c>
      <c r="D4137">
        <v>23.1</v>
      </c>
      <c r="E4137">
        <f>IF($D4137 &gt; 16, 0, $J$3*(16 - $D4137))</f>
        <v>0</v>
      </c>
      <c r="F4137">
        <f>IF($D4137 &gt; 16, 0,$E4137*$J$5)</f>
        <v>0</v>
      </c>
      <c r="G4137">
        <f t="shared" si="64"/>
        <v>0</v>
      </c>
    </row>
    <row r="4138" spans="2:7" x14ac:dyDescent="0.35">
      <c r="B4138" s="1">
        <v>45830</v>
      </c>
      <c r="C4138" s="2">
        <v>0.33333333333333331</v>
      </c>
      <c r="D4138">
        <v>25.3</v>
      </c>
      <c r="E4138">
        <f>IF($D4138 &gt; 16, 0, $J$3*(16 - $D4138))</f>
        <v>0</v>
      </c>
      <c r="F4138">
        <f>IF($D4138 &gt; 16, 0,$E4138*$J$5)</f>
        <v>0</v>
      </c>
      <c r="G4138">
        <f t="shared" si="64"/>
        <v>0</v>
      </c>
    </row>
    <row r="4139" spans="2:7" x14ac:dyDescent="0.35">
      <c r="B4139" s="1">
        <v>45830</v>
      </c>
      <c r="C4139" s="2">
        <v>0.375</v>
      </c>
      <c r="D4139">
        <v>26.9</v>
      </c>
      <c r="E4139">
        <f>IF($D4139 &gt; 16, 0, $J$3*(16 - $D4139))</f>
        <v>0</v>
      </c>
      <c r="F4139">
        <f>IF($D4139 &gt; 16, 0,$E4139*$J$5)</f>
        <v>0</v>
      </c>
      <c r="G4139">
        <f t="shared" si="64"/>
        <v>0</v>
      </c>
    </row>
    <row r="4140" spans="2:7" x14ac:dyDescent="0.35">
      <c r="B4140" s="1">
        <v>45830</v>
      </c>
      <c r="C4140" s="2">
        <v>0.41666666666666669</v>
      </c>
      <c r="D4140">
        <v>28.7</v>
      </c>
      <c r="E4140">
        <f>IF($D4140 &gt; 16, 0, $J$3*(16 - $D4140))</f>
        <v>0</v>
      </c>
      <c r="F4140">
        <f>IF($D4140 &gt; 16, 0,$E4140*$J$5)</f>
        <v>0</v>
      </c>
      <c r="G4140">
        <f t="shared" si="64"/>
        <v>0</v>
      </c>
    </row>
    <row r="4141" spans="2:7" x14ac:dyDescent="0.35">
      <c r="B4141" s="1">
        <v>45830</v>
      </c>
      <c r="C4141" s="2">
        <v>0.45833333333333331</v>
      </c>
      <c r="D4141">
        <v>30.1</v>
      </c>
      <c r="E4141">
        <f>IF($D4141 &gt; 16, 0, $J$3*(16 - $D4141))</f>
        <v>0</v>
      </c>
      <c r="F4141">
        <f>IF($D4141 &gt; 16, 0,$E4141*$J$5)</f>
        <v>0</v>
      </c>
      <c r="G4141">
        <f t="shared" si="64"/>
        <v>0</v>
      </c>
    </row>
    <row r="4142" spans="2:7" x14ac:dyDescent="0.35">
      <c r="B4142" s="1">
        <v>45830</v>
      </c>
      <c r="C4142" s="2">
        <v>0.5</v>
      </c>
      <c r="D4142">
        <v>30.9</v>
      </c>
      <c r="E4142">
        <f>IF($D4142 &gt; 16, 0, $J$3*(16 - $D4142))</f>
        <v>0</v>
      </c>
      <c r="F4142">
        <f>IF($D4142 &gt; 16, 0,$E4142*$J$5)</f>
        <v>0</v>
      </c>
      <c r="G4142">
        <f t="shared" si="64"/>
        <v>0</v>
      </c>
    </row>
    <row r="4143" spans="2:7" x14ac:dyDescent="0.35">
      <c r="B4143" s="1">
        <v>45830</v>
      </c>
      <c r="C4143" s="2">
        <v>0.54166666666666663</v>
      </c>
      <c r="D4143">
        <v>31.1</v>
      </c>
      <c r="E4143">
        <f>IF($D4143 &gt; 16, 0, $J$3*(16 - $D4143))</f>
        <v>0</v>
      </c>
      <c r="F4143">
        <f>IF($D4143 &gt; 16, 0,$E4143*$J$5)</f>
        <v>0</v>
      </c>
      <c r="G4143">
        <f t="shared" si="64"/>
        <v>0</v>
      </c>
    </row>
    <row r="4144" spans="2:7" x14ac:dyDescent="0.35">
      <c r="B4144" s="1">
        <v>45830</v>
      </c>
      <c r="C4144" s="2">
        <v>0.58333333333333337</v>
      </c>
      <c r="D4144">
        <v>30.5</v>
      </c>
      <c r="E4144">
        <f>IF($D4144 &gt; 16, 0, $J$3*(16 - $D4144))</f>
        <v>0</v>
      </c>
      <c r="F4144">
        <f>IF($D4144 &gt; 16, 0,$E4144*$J$5)</f>
        <v>0</v>
      </c>
      <c r="G4144">
        <f t="shared" si="64"/>
        <v>0</v>
      </c>
    </row>
    <row r="4145" spans="2:7" x14ac:dyDescent="0.35">
      <c r="B4145" s="1">
        <v>45830</v>
      </c>
      <c r="C4145" s="2">
        <v>0.625</v>
      </c>
      <c r="D4145">
        <v>29.7</v>
      </c>
      <c r="E4145">
        <f>IF($D4145 &gt; 16, 0, $J$3*(16 - $D4145))</f>
        <v>0</v>
      </c>
      <c r="F4145">
        <f>IF($D4145 &gt; 16, 0,$E4145*$J$5)</f>
        <v>0</v>
      </c>
      <c r="G4145">
        <f t="shared" si="64"/>
        <v>0</v>
      </c>
    </row>
    <row r="4146" spans="2:7" x14ac:dyDescent="0.35">
      <c r="B4146" s="1">
        <v>45830</v>
      </c>
      <c r="C4146" s="2">
        <v>0.66666666666666663</v>
      </c>
      <c r="D4146">
        <v>28.4</v>
      </c>
      <c r="E4146">
        <f>IF($D4146 &gt; 16, 0, $J$3*(16 - $D4146))</f>
        <v>0</v>
      </c>
      <c r="F4146">
        <f>IF($D4146 &gt; 16, 0,$E4146*$J$5)</f>
        <v>0</v>
      </c>
      <c r="G4146">
        <f t="shared" si="64"/>
        <v>0</v>
      </c>
    </row>
    <row r="4147" spans="2:7" x14ac:dyDescent="0.35">
      <c r="B4147" s="1">
        <v>45830</v>
      </c>
      <c r="C4147" s="2">
        <v>0.70833333333333337</v>
      </c>
      <c r="D4147">
        <v>26.4</v>
      </c>
      <c r="E4147">
        <f>IF($D4147 &gt; 16, 0, $J$3*(16 - $D4147))</f>
        <v>0</v>
      </c>
      <c r="F4147">
        <f>IF($D4147 &gt; 16, 0,$E4147*$J$5)</f>
        <v>0</v>
      </c>
      <c r="G4147">
        <f t="shared" si="64"/>
        <v>0</v>
      </c>
    </row>
    <row r="4148" spans="2:7" x14ac:dyDescent="0.35">
      <c r="B4148" s="1">
        <v>45830</v>
      </c>
      <c r="C4148" s="2">
        <v>0.75</v>
      </c>
      <c r="D4148">
        <v>25.6</v>
      </c>
      <c r="E4148">
        <f>IF($D4148 &gt; 16, 0, $J$3*(16 - $D4148))</f>
        <v>0</v>
      </c>
      <c r="F4148">
        <f>IF($D4148 &gt; 16, 0,$E4148*$J$5)</f>
        <v>0</v>
      </c>
      <c r="G4148">
        <f t="shared" si="64"/>
        <v>0</v>
      </c>
    </row>
    <row r="4149" spans="2:7" x14ac:dyDescent="0.35">
      <c r="B4149" s="1">
        <v>45830</v>
      </c>
      <c r="C4149" s="2">
        <v>0.79166666666666663</v>
      </c>
      <c r="D4149">
        <v>23.7</v>
      </c>
      <c r="E4149">
        <f>IF($D4149 &gt; 16, 0, $J$3*(16 - $D4149))</f>
        <v>0</v>
      </c>
      <c r="F4149">
        <f>IF($D4149 &gt; 16, 0,$E4149*$J$5)</f>
        <v>0</v>
      </c>
      <c r="G4149">
        <f t="shared" si="64"/>
        <v>0</v>
      </c>
    </row>
    <row r="4150" spans="2:7" x14ac:dyDescent="0.35">
      <c r="B4150" s="1">
        <v>45830</v>
      </c>
      <c r="C4150" s="2">
        <v>0.83333333333333337</v>
      </c>
      <c r="D4150">
        <v>20.7</v>
      </c>
      <c r="E4150">
        <f>IF($D4150 &gt; 16, 0, $J$3*(16 - $D4150))</f>
        <v>0</v>
      </c>
      <c r="F4150">
        <f>IF($D4150 &gt; 16, 0,$E4150*$J$5)</f>
        <v>0</v>
      </c>
      <c r="G4150">
        <f t="shared" si="64"/>
        <v>0</v>
      </c>
    </row>
    <row r="4151" spans="2:7" x14ac:dyDescent="0.35">
      <c r="B4151" s="1">
        <v>45830</v>
      </c>
      <c r="C4151" s="2">
        <v>0.875</v>
      </c>
      <c r="D4151">
        <v>19</v>
      </c>
      <c r="E4151">
        <f>IF($D4151 &gt; 16, 0, $J$3*(16 - $D4151))</f>
        <v>0</v>
      </c>
      <c r="F4151">
        <f>IF($D4151 &gt; 16, 0,$E4151*$J$5)</f>
        <v>0</v>
      </c>
      <c r="G4151">
        <f t="shared" si="64"/>
        <v>0</v>
      </c>
    </row>
    <row r="4152" spans="2:7" x14ac:dyDescent="0.35">
      <c r="B4152" s="1">
        <v>45830</v>
      </c>
      <c r="C4152" s="2">
        <v>0.91666666666666663</v>
      </c>
      <c r="D4152">
        <v>18.3</v>
      </c>
      <c r="E4152">
        <f>IF($D4152 &gt; 16, 0, $J$3*(16 - $D4152))</f>
        <v>0</v>
      </c>
      <c r="F4152">
        <f>IF($D4152 &gt; 16, 0,$E4152*$J$5)</f>
        <v>0</v>
      </c>
      <c r="G4152">
        <f t="shared" si="64"/>
        <v>0</v>
      </c>
    </row>
    <row r="4153" spans="2:7" x14ac:dyDescent="0.35">
      <c r="B4153" s="1">
        <v>45830</v>
      </c>
      <c r="C4153" s="2">
        <v>0.95833333333333337</v>
      </c>
      <c r="D4153">
        <v>17.399999999999999</v>
      </c>
      <c r="E4153">
        <f>IF($D4153 &gt; 16, 0, $J$3*(16 - $D4153))</f>
        <v>0</v>
      </c>
      <c r="F4153">
        <f>IF($D4153 &gt; 16, 0,$E4153*$J$5)</f>
        <v>0</v>
      </c>
      <c r="G4153">
        <f t="shared" si="64"/>
        <v>0</v>
      </c>
    </row>
    <row r="4154" spans="2:7" x14ac:dyDescent="0.35">
      <c r="B4154" s="1">
        <v>45831</v>
      </c>
      <c r="C4154" s="2">
        <v>0</v>
      </c>
      <c r="D4154">
        <v>17.100000000000001</v>
      </c>
      <c r="E4154">
        <f>IF($D4154 &gt; 16, 0, $J$3*(16 - $D4154))</f>
        <v>0</v>
      </c>
      <c r="F4154">
        <f>IF($D4154 &gt; 16, 0,$E4154*$J$5)</f>
        <v>0</v>
      </c>
      <c r="G4154">
        <f t="shared" si="64"/>
        <v>0</v>
      </c>
    </row>
    <row r="4155" spans="2:7" x14ac:dyDescent="0.35">
      <c r="B4155" s="1">
        <v>45831</v>
      </c>
      <c r="C4155" s="2">
        <v>4.1666666666666657E-2</v>
      </c>
      <c r="D4155">
        <v>16.2</v>
      </c>
      <c r="E4155">
        <f>IF($D4155 &gt; 16, 0, $J$3*(16 - $D4155))</f>
        <v>0</v>
      </c>
      <c r="F4155">
        <f>IF($D4155 &gt; 16, 0,$E4155*$J$5)</f>
        <v>0</v>
      </c>
      <c r="G4155">
        <f t="shared" si="64"/>
        <v>0</v>
      </c>
    </row>
    <row r="4156" spans="2:7" x14ac:dyDescent="0.35">
      <c r="B4156" s="1">
        <v>45831</v>
      </c>
      <c r="C4156" s="2">
        <v>8.3333333333333329E-2</v>
      </c>
      <c r="D4156">
        <v>15.6</v>
      </c>
      <c r="E4156">
        <f>IF($D4156 &gt; 16, 0, $J$3*(16 - $D4156))</f>
        <v>83.099457080278867</v>
      </c>
      <c r="F4156">
        <f>IF($D4156 &gt; 16, 0,$E4156*$J$5)</f>
        <v>903207.99900555098</v>
      </c>
      <c r="G4156">
        <f t="shared" si="64"/>
        <v>0.40000000000000036</v>
      </c>
    </row>
    <row r="4157" spans="2:7" x14ac:dyDescent="0.35">
      <c r="B4157" s="1">
        <v>45831</v>
      </c>
      <c r="C4157" s="2">
        <v>0.125</v>
      </c>
      <c r="D4157">
        <v>16.100000000000001</v>
      </c>
      <c r="E4157">
        <f>IF($D4157 &gt; 16, 0, $J$3*(16 - $D4157))</f>
        <v>0</v>
      </c>
      <c r="F4157">
        <f>IF($D4157 &gt; 16, 0,$E4157*$J$5)</f>
        <v>0</v>
      </c>
      <c r="G4157">
        <f t="shared" si="64"/>
        <v>0</v>
      </c>
    </row>
    <row r="4158" spans="2:7" x14ac:dyDescent="0.35">
      <c r="B4158" s="1">
        <v>45831</v>
      </c>
      <c r="C4158" s="2">
        <v>0.16666666666666671</v>
      </c>
      <c r="D4158">
        <v>16.3</v>
      </c>
      <c r="E4158">
        <f>IF($D4158 &gt; 16, 0, $J$3*(16 - $D4158))</f>
        <v>0</v>
      </c>
      <c r="F4158">
        <f>IF($D4158 &gt; 16, 0,$E4158*$J$5)</f>
        <v>0</v>
      </c>
      <c r="G4158">
        <f t="shared" si="64"/>
        <v>0</v>
      </c>
    </row>
    <row r="4159" spans="2:7" x14ac:dyDescent="0.35">
      <c r="B4159" s="1">
        <v>45831</v>
      </c>
      <c r="C4159" s="2">
        <v>0.20833333333333329</v>
      </c>
      <c r="D4159">
        <v>17.100000000000001</v>
      </c>
      <c r="E4159">
        <f>IF($D4159 &gt; 16, 0, $J$3*(16 - $D4159))</f>
        <v>0</v>
      </c>
      <c r="F4159">
        <f>IF($D4159 &gt; 16, 0,$E4159*$J$5)</f>
        <v>0</v>
      </c>
      <c r="G4159">
        <f t="shared" si="64"/>
        <v>0</v>
      </c>
    </row>
    <row r="4160" spans="2:7" x14ac:dyDescent="0.35">
      <c r="B4160" s="1">
        <v>45831</v>
      </c>
      <c r="C4160" s="2">
        <v>0.25</v>
      </c>
      <c r="D4160">
        <v>18.3</v>
      </c>
      <c r="E4160">
        <f>IF($D4160 &gt; 16, 0, $J$3*(16 - $D4160))</f>
        <v>0</v>
      </c>
      <c r="F4160">
        <f>IF($D4160 &gt; 16, 0,$E4160*$J$5)</f>
        <v>0</v>
      </c>
      <c r="G4160">
        <f t="shared" si="64"/>
        <v>0</v>
      </c>
    </row>
    <row r="4161" spans="2:7" x14ac:dyDescent="0.35">
      <c r="B4161" s="1">
        <v>45831</v>
      </c>
      <c r="C4161" s="2">
        <v>0.29166666666666669</v>
      </c>
      <c r="D4161">
        <v>18.600000000000001</v>
      </c>
      <c r="E4161">
        <f>IF($D4161 &gt; 16, 0, $J$3*(16 - $D4161))</f>
        <v>0</v>
      </c>
      <c r="F4161">
        <f>IF($D4161 &gt; 16, 0,$E4161*$J$5)</f>
        <v>0</v>
      </c>
      <c r="G4161">
        <f t="shared" si="64"/>
        <v>0</v>
      </c>
    </row>
    <row r="4162" spans="2:7" x14ac:dyDescent="0.35">
      <c r="B4162" s="1">
        <v>45831</v>
      </c>
      <c r="C4162" s="2">
        <v>0.33333333333333331</v>
      </c>
      <c r="D4162">
        <v>19.7</v>
      </c>
      <c r="E4162">
        <f>IF($D4162 &gt; 16, 0, $J$3*(16 - $D4162))</f>
        <v>0</v>
      </c>
      <c r="F4162">
        <f>IF($D4162 &gt; 16, 0,$E4162*$J$5)</f>
        <v>0</v>
      </c>
      <c r="G4162">
        <f t="shared" si="64"/>
        <v>0</v>
      </c>
    </row>
    <row r="4163" spans="2:7" x14ac:dyDescent="0.35">
      <c r="B4163" s="1">
        <v>45831</v>
      </c>
      <c r="C4163" s="2">
        <v>0.375</v>
      </c>
      <c r="D4163">
        <v>19.8</v>
      </c>
      <c r="E4163">
        <f>IF($D4163 &gt; 16, 0, $J$3*(16 - $D4163))</f>
        <v>0</v>
      </c>
      <c r="F4163">
        <f>IF($D4163 &gt; 16, 0,$E4163*$J$5)</f>
        <v>0</v>
      </c>
      <c r="G4163">
        <f t="shared" ref="G4163:G4226" si="65">MAX(0, 16 - $D4163)</f>
        <v>0</v>
      </c>
    </row>
    <row r="4164" spans="2:7" x14ac:dyDescent="0.35">
      <c r="B4164" s="1">
        <v>45831</v>
      </c>
      <c r="C4164" s="2">
        <v>0.41666666666666669</v>
      </c>
      <c r="D4164">
        <v>20.9</v>
      </c>
      <c r="E4164">
        <f>IF($D4164 &gt; 16, 0, $J$3*(16 - $D4164))</f>
        <v>0</v>
      </c>
      <c r="F4164">
        <f>IF($D4164 &gt; 16, 0,$E4164*$J$5)</f>
        <v>0</v>
      </c>
      <c r="G4164">
        <f t="shared" si="65"/>
        <v>0</v>
      </c>
    </row>
    <row r="4165" spans="2:7" x14ac:dyDescent="0.35">
      <c r="B4165" s="1">
        <v>45831</v>
      </c>
      <c r="C4165" s="2">
        <v>0.45833333333333331</v>
      </c>
      <c r="D4165">
        <v>14.6</v>
      </c>
      <c r="E4165">
        <f>IF($D4165 &gt; 16, 0, $J$3*(16 - $D4165))</f>
        <v>290.84809978097587</v>
      </c>
      <c r="F4165">
        <f>IF($D4165 &gt; 16, 0,$E4165*$J$5)</f>
        <v>3161227.9965194268</v>
      </c>
      <c r="G4165">
        <f t="shared" si="65"/>
        <v>1.4000000000000004</v>
      </c>
    </row>
    <row r="4166" spans="2:7" x14ac:dyDescent="0.35">
      <c r="B4166" s="1">
        <v>45831</v>
      </c>
      <c r="C4166" s="2">
        <v>0.5</v>
      </c>
      <c r="D4166">
        <v>16</v>
      </c>
      <c r="E4166">
        <f>IF($D4166 &gt; 16, 0, $J$3*(16 - $D4166))</f>
        <v>0</v>
      </c>
      <c r="F4166">
        <f>IF($D4166 &gt; 16, 0,$E4166*$J$5)</f>
        <v>0</v>
      </c>
      <c r="G4166">
        <f t="shared" si="65"/>
        <v>0</v>
      </c>
    </row>
    <row r="4167" spans="2:7" x14ac:dyDescent="0.35">
      <c r="B4167" s="1">
        <v>45831</v>
      </c>
      <c r="C4167" s="2">
        <v>0.54166666666666663</v>
      </c>
      <c r="D4167">
        <v>13.3</v>
      </c>
      <c r="E4167">
        <f>IF($D4167 &gt; 16, 0, $J$3*(16 - $D4167))</f>
        <v>560.92133529188175</v>
      </c>
      <c r="F4167">
        <f>IF($D4167 &gt; 16, 0,$E4167*$J$5)</f>
        <v>6096653.9932874627</v>
      </c>
      <c r="G4167">
        <f t="shared" si="65"/>
        <v>2.6999999999999993</v>
      </c>
    </row>
    <row r="4168" spans="2:7" x14ac:dyDescent="0.35">
      <c r="B4168" s="1">
        <v>45831</v>
      </c>
      <c r="C4168" s="2">
        <v>0.58333333333333337</v>
      </c>
      <c r="D4168">
        <v>15.2</v>
      </c>
      <c r="E4168">
        <f>IF($D4168 &gt; 16, 0, $J$3*(16 - $D4168))</f>
        <v>166.19891416055773</v>
      </c>
      <c r="F4168">
        <f>IF($D4168 &gt; 16, 0,$E4168*$J$5)</f>
        <v>1806415.998011102</v>
      </c>
      <c r="G4168">
        <f t="shared" si="65"/>
        <v>0.80000000000000071</v>
      </c>
    </row>
    <row r="4169" spans="2:7" x14ac:dyDescent="0.35">
      <c r="B4169" s="1">
        <v>45831</v>
      </c>
      <c r="C4169" s="2">
        <v>0.625</v>
      </c>
      <c r="D4169">
        <v>14.7</v>
      </c>
      <c r="E4169">
        <f>IF($D4169 &gt; 16, 0, $J$3*(16 - $D4169))</f>
        <v>270.07323551090622</v>
      </c>
      <c r="F4169">
        <f>IF($D4169 &gt; 16, 0,$E4169*$J$5)</f>
        <v>2935425.9967680397</v>
      </c>
      <c r="G4169">
        <f t="shared" si="65"/>
        <v>1.3000000000000007</v>
      </c>
    </row>
    <row r="4170" spans="2:7" x14ac:dyDescent="0.35">
      <c r="B4170" s="1">
        <v>45831</v>
      </c>
      <c r="C4170" s="2">
        <v>0.66666666666666663</v>
      </c>
      <c r="D4170">
        <v>16.8</v>
      </c>
      <c r="E4170">
        <f>IF($D4170 &gt; 16, 0, $J$3*(16 - $D4170))</f>
        <v>0</v>
      </c>
      <c r="F4170">
        <f>IF($D4170 &gt; 16, 0,$E4170*$J$5)</f>
        <v>0</v>
      </c>
      <c r="G4170">
        <f t="shared" si="65"/>
        <v>0</v>
      </c>
    </row>
    <row r="4171" spans="2:7" x14ac:dyDescent="0.35">
      <c r="B4171" s="1">
        <v>45831</v>
      </c>
      <c r="C4171" s="2">
        <v>0.70833333333333337</v>
      </c>
      <c r="D4171">
        <v>16.399999999999999</v>
      </c>
      <c r="E4171">
        <f>IF($D4171 &gt; 16, 0, $J$3*(16 - $D4171))</f>
        <v>0</v>
      </c>
      <c r="F4171">
        <f>IF($D4171 &gt; 16, 0,$E4171*$J$5)</f>
        <v>0</v>
      </c>
      <c r="G4171">
        <f t="shared" si="65"/>
        <v>0</v>
      </c>
    </row>
    <row r="4172" spans="2:7" x14ac:dyDescent="0.35">
      <c r="B4172" s="1">
        <v>45831</v>
      </c>
      <c r="C4172" s="2">
        <v>0.75</v>
      </c>
      <c r="D4172">
        <v>14.9</v>
      </c>
      <c r="E4172">
        <f>IF($D4172 &gt; 16, 0, $J$3*(16 - $D4172))</f>
        <v>228.52350697076662</v>
      </c>
      <c r="F4172">
        <f>IF($D4172 &gt; 16, 0,$E4172*$J$5)</f>
        <v>2483821.9972652625</v>
      </c>
      <c r="G4172">
        <f t="shared" si="65"/>
        <v>1.0999999999999996</v>
      </c>
    </row>
    <row r="4173" spans="2:7" x14ac:dyDescent="0.35">
      <c r="B4173" s="1">
        <v>45831</v>
      </c>
      <c r="C4173" s="2">
        <v>0.79166666666666663</v>
      </c>
      <c r="D4173">
        <v>15.8</v>
      </c>
      <c r="E4173">
        <f>IF($D4173 &gt; 16, 0, $J$3*(16 - $D4173))</f>
        <v>41.549728540139249</v>
      </c>
      <c r="F4173">
        <f>IF($D4173 &gt; 16, 0,$E4173*$J$5)</f>
        <v>451603.99950277351</v>
      </c>
      <c r="G4173">
        <f t="shared" si="65"/>
        <v>0.19999999999999929</v>
      </c>
    </row>
    <row r="4174" spans="2:7" x14ac:dyDescent="0.35">
      <c r="B4174" s="1">
        <v>45831</v>
      </c>
      <c r="C4174" s="2">
        <v>0.83333333333333337</v>
      </c>
      <c r="D4174">
        <v>15.4</v>
      </c>
      <c r="E4174">
        <f>IF($D4174 &gt; 16, 0, $J$3*(16 - $D4174))</f>
        <v>124.64918562041812</v>
      </c>
      <c r="F4174">
        <f>IF($D4174 &gt; 16, 0,$E4174*$J$5)</f>
        <v>1354811.9985083246</v>
      </c>
      <c r="G4174">
        <f t="shared" si="65"/>
        <v>0.59999999999999964</v>
      </c>
    </row>
    <row r="4175" spans="2:7" x14ac:dyDescent="0.35">
      <c r="B4175" s="1">
        <v>45831</v>
      </c>
      <c r="C4175" s="2">
        <v>0.875</v>
      </c>
      <c r="D4175">
        <v>13.8</v>
      </c>
      <c r="E4175">
        <f>IF($D4175 &gt; 16, 0, $J$3*(16 - $D4175))</f>
        <v>457.04701394153324</v>
      </c>
      <c r="F4175">
        <f>IF($D4175 &gt; 16, 0,$E4175*$J$5)</f>
        <v>4967643.9945305251</v>
      </c>
      <c r="G4175">
        <f t="shared" si="65"/>
        <v>2.1999999999999993</v>
      </c>
    </row>
    <row r="4176" spans="2:7" x14ac:dyDescent="0.35">
      <c r="B4176" s="1">
        <v>45831</v>
      </c>
      <c r="C4176" s="2">
        <v>0.91666666666666663</v>
      </c>
      <c r="D4176">
        <v>14.6</v>
      </c>
      <c r="E4176">
        <f>IF($D4176 &gt; 16, 0, $J$3*(16 - $D4176))</f>
        <v>290.84809978097587</v>
      </c>
      <c r="F4176">
        <f>IF($D4176 &gt; 16, 0,$E4176*$J$5)</f>
        <v>3161227.9965194268</v>
      </c>
      <c r="G4176">
        <f t="shared" si="65"/>
        <v>1.4000000000000004</v>
      </c>
    </row>
    <row r="4177" spans="2:7" x14ac:dyDescent="0.35">
      <c r="B4177" s="1">
        <v>45831</v>
      </c>
      <c r="C4177" s="2">
        <v>0.95833333333333337</v>
      </c>
      <c r="D4177">
        <v>14.9</v>
      </c>
      <c r="E4177">
        <f>IF($D4177 &gt; 16, 0, $J$3*(16 - $D4177))</f>
        <v>228.52350697076662</v>
      </c>
      <c r="F4177">
        <f>IF($D4177 &gt; 16, 0,$E4177*$J$5)</f>
        <v>2483821.9972652625</v>
      </c>
      <c r="G4177">
        <f t="shared" si="65"/>
        <v>1.0999999999999996</v>
      </c>
    </row>
    <row r="4178" spans="2:7" x14ac:dyDescent="0.35">
      <c r="B4178" s="1">
        <v>45832</v>
      </c>
      <c r="C4178" s="2">
        <v>0</v>
      </c>
      <c r="D4178">
        <v>14.3</v>
      </c>
      <c r="E4178">
        <f>IF($D4178 &gt; 16, 0, $J$3*(16 - $D4178))</f>
        <v>353.17269259118473</v>
      </c>
      <c r="F4178">
        <f>IF($D4178 &gt; 16, 0,$E4178*$J$5)</f>
        <v>3838633.9957735869</v>
      </c>
      <c r="G4178">
        <f t="shared" si="65"/>
        <v>1.6999999999999993</v>
      </c>
    </row>
    <row r="4179" spans="2:7" x14ac:dyDescent="0.35">
      <c r="B4179" s="1">
        <v>45832</v>
      </c>
      <c r="C4179" s="2">
        <v>4.1666666666666657E-2</v>
      </c>
      <c r="D4179">
        <v>15</v>
      </c>
      <c r="E4179">
        <f>IF($D4179 &gt; 16, 0, $J$3*(16 - $D4179))</f>
        <v>207.74864270069699</v>
      </c>
      <c r="F4179">
        <f>IF($D4179 &gt; 16, 0,$E4179*$J$5)</f>
        <v>2258019.9975138754</v>
      </c>
      <c r="G4179">
        <f t="shared" si="65"/>
        <v>1</v>
      </c>
    </row>
    <row r="4180" spans="2:7" x14ac:dyDescent="0.35">
      <c r="B4180" s="1">
        <v>45832</v>
      </c>
      <c r="C4180" s="2">
        <v>8.3333333333333329E-2</v>
      </c>
      <c r="D4180">
        <v>14.7</v>
      </c>
      <c r="E4180">
        <f>IF($D4180 &gt; 16, 0, $J$3*(16 - $D4180))</f>
        <v>270.07323551090622</v>
      </c>
      <c r="F4180">
        <f>IF($D4180 &gt; 16, 0,$E4180*$J$5)</f>
        <v>2935425.9967680397</v>
      </c>
      <c r="G4180">
        <f t="shared" si="65"/>
        <v>1.3000000000000007</v>
      </c>
    </row>
    <row r="4181" spans="2:7" x14ac:dyDescent="0.35">
      <c r="B4181" s="1">
        <v>45832</v>
      </c>
      <c r="C4181" s="2">
        <v>0.125</v>
      </c>
      <c r="D4181">
        <v>14.9</v>
      </c>
      <c r="E4181">
        <f>IF($D4181 &gt; 16, 0, $J$3*(16 - $D4181))</f>
        <v>228.52350697076662</v>
      </c>
      <c r="F4181">
        <f>IF($D4181 &gt; 16, 0,$E4181*$J$5)</f>
        <v>2483821.9972652625</v>
      </c>
      <c r="G4181">
        <f t="shared" si="65"/>
        <v>1.0999999999999996</v>
      </c>
    </row>
    <row r="4182" spans="2:7" x14ac:dyDescent="0.35">
      <c r="B4182" s="1">
        <v>45832</v>
      </c>
      <c r="C4182" s="2">
        <v>0.16666666666666671</v>
      </c>
      <c r="D4182">
        <v>15</v>
      </c>
      <c r="E4182">
        <f>IF($D4182 &gt; 16, 0, $J$3*(16 - $D4182))</f>
        <v>207.74864270069699</v>
      </c>
      <c r="F4182">
        <f>IF($D4182 &gt; 16, 0,$E4182*$J$5)</f>
        <v>2258019.9975138754</v>
      </c>
      <c r="G4182">
        <f t="shared" si="65"/>
        <v>1</v>
      </c>
    </row>
    <row r="4183" spans="2:7" x14ac:dyDescent="0.35">
      <c r="B4183" s="1">
        <v>45832</v>
      </c>
      <c r="C4183" s="2">
        <v>0.20833333333333329</v>
      </c>
      <c r="D4183">
        <v>15.2</v>
      </c>
      <c r="E4183">
        <f>IF($D4183 &gt; 16, 0, $J$3*(16 - $D4183))</f>
        <v>166.19891416055773</v>
      </c>
      <c r="F4183">
        <f>IF($D4183 &gt; 16, 0,$E4183*$J$5)</f>
        <v>1806415.998011102</v>
      </c>
      <c r="G4183">
        <f t="shared" si="65"/>
        <v>0.80000000000000071</v>
      </c>
    </row>
    <row r="4184" spans="2:7" x14ac:dyDescent="0.35">
      <c r="B4184" s="1">
        <v>45832</v>
      </c>
      <c r="C4184" s="2">
        <v>0.25</v>
      </c>
      <c r="D4184">
        <v>15.8</v>
      </c>
      <c r="E4184">
        <f>IF($D4184 &gt; 16, 0, $J$3*(16 - $D4184))</f>
        <v>41.549728540139249</v>
      </c>
      <c r="F4184">
        <f>IF($D4184 &gt; 16, 0,$E4184*$J$5)</f>
        <v>451603.99950277351</v>
      </c>
      <c r="G4184">
        <f t="shared" si="65"/>
        <v>0.19999999999999929</v>
      </c>
    </row>
    <row r="4185" spans="2:7" x14ac:dyDescent="0.35">
      <c r="B4185" s="1">
        <v>45832</v>
      </c>
      <c r="C4185" s="2">
        <v>0.29166666666666669</v>
      </c>
      <c r="D4185">
        <v>16.2</v>
      </c>
      <c r="E4185">
        <f>IF($D4185 &gt; 16, 0, $J$3*(16 - $D4185))</f>
        <v>0</v>
      </c>
      <c r="F4185">
        <f>IF($D4185 &gt; 16, 0,$E4185*$J$5)</f>
        <v>0</v>
      </c>
      <c r="G4185">
        <f t="shared" si="65"/>
        <v>0</v>
      </c>
    </row>
    <row r="4186" spans="2:7" x14ac:dyDescent="0.35">
      <c r="B4186" s="1">
        <v>45832</v>
      </c>
      <c r="C4186" s="2">
        <v>0.33333333333333331</v>
      </c>
      <c r="D4186">
        <v>16.2</v>
      </c>
      <c r="E4186">
        <f>IF($D4186 &gt; 16, 0, $J$3*(16 - $D4186))</f>
        <v>0</v>
      </c>
      <c r="F4186">
        <f>IF($D4186 &gt; 16, 0,$E4186*$J$5)</f>
        <v>0</v>
      </c>
      <c r="G4186">
        <f t="shared" si="65"/>
        <v>0</v>
      </c>
    </row>
    <row r="4187" spans="2:7" x14ac:dyDescent="0.35">
      <c r="B4187" s="1">
        <v>45832</v>
      </c>
      <c r="C4187" s="2">
        <v>0.375</v>
      </c>
      <c r="D4187">
        <v>16.600000000000001</v>
      </c>
      <c r="E4187">
        <f>IF($D4187 &gt; 16, 0, $J$3*(16 - $D4187))</f>
        <v>0</v>
      </c>
      <c r="F4187">
        <f>IF($D4187 &gt; 16, 0,$E4187*$J$5)</f>
        <v>0</v>
      </c>
      <c r="G4187">
        <f t="shared" si="65"/>
        <v>0</v>
      </c>
    </row>
    <row r="4188" spans="2:7" x14ac:dyDescent="0.35">
      <c r="B4188" s="1">
        <v>45832</v>
      </c>
      <c r="C4188" s="2">
        <v>0.41666666666666669</v>
      </c>
      <c r="D4188">
        <v>17.8</v>
      </c>
      <c r="E4188">
        <f>IF($D4188 &gt; 16, 0, $J$3*(16 - $D4188))</f>
        <v>0</v>
      </c>
      <c r="F4188">
        <f>IF($D4188 &gt; 16, 0,$E4188*$J$5)</f>
        <v>0</v>
      </c>
      <c r="G4188">
        <f t="shared" si="65"/>
        <v>0</v>
      </c>
    </row>
    <row r="4189" spans="2:7" x14ac:dyDescent="0.35">
      <c r="B4189" s="1">
        <v>45832</v>
      </c>
      <c r="C4189" s="2">
        <v>0.45833333333333331</v>
      </c>
      <c r="D4189">
        <v>17.399999999999999</v>
      </c>
      <c r="E4189">
        <f>IF($D4189 &gt; 16, 0, $J$3*(16 - $D4189))</f>
        <v>0</v>
      </c>
      <c r="F4189">
        <f>IF($D4189 &gt; 16, 0,$E4189*$J$5)</f>
        <v>0</v>
      </c>
      <c r="G4189">
        <f t="shared" si="65"/>
        <v>0</v>
      </c>
    </row>
    <row r="4190" spans="2:7" x14ac:dyDescent="0.35">
      <c r="B4190" s="1">
        <v>45832</v>
      </c>
      <c r="C4190" s="2">
        <v>0.5</v>
      </c>
      <c r="D4190">
        <v>18.100000000000001</v>
      </c>
      <c r="E4190">
        <f>IF($D4190 &gt; 16, 0, $J$3*(16 - $D4190))</f>
        <v>0</v>
      </c>
      <c r="F4190">
        <f>IF($D4190 &gt; 16, 0,$E4190*$J$5)</f>
        <v>0</v>
      </c>
      <c r="G4190">
        <f t="shared" si="65"/>
        <v>0</v>
      </c>
    </row>
    <row r="4191" spans="2:7" x14ac:dyDescent="0.35">
      <c r="B4191" s="1">
        <v>45832</v>
      </c>
      <c r="C4191" s="2">
        <v>0.54166666666666663</v>
      </c>
      <c r="D4191">
        <v>18</v>
      </c>
      <c r="E4191">
        <f>IF($D4191 &gt; 16, 0, $J$3*(16 - $D4191))</f>
        <v>0</v>
      </c>
      <c r="F4191">
        <f>IF($D4191 &gt; 16, 0,$E4191*$J$5)</f>
        <v>0</v>
      </c>
      <c r="G4191">
        <f t="shared" si="65"/>
        <v>0</v>
      </c>
    </row>
    <row r="4192" spans="2:7" x14ac:dyDescent="0.35">
      <c r="B4192" s="1">
        <v>45832</v>
      </c>
      <c r="C4192" s="2">
        <v>0.58333333333333337</v>
      </c>
      <c r="D4192">
        <v>17.899999999999999</v>
      </c>
      <c r="E4192">
        <f>IF($D4192 &gt; 16, 0, $J$3*(16 - $D4192))</f>
        <v>0</v>
      </c>
      <c r="F4192">
        <f>IF($D4192 &gt; 16, 0,$E4192*$J$5)</f>
        <v>0</v>
      </c>
      <c r="G4192">
        <f t="shared" si="65"/>
        <v>0</v>
      </c>
    </row>
    <row r="4193" spans="2:7" x14ac:dyDescent="0.35">
      <c r="B4193" s="1">
        <v>45832</v>
      </c>
      <c r="C4193" s="2">
        <v>0.625</v>
      </c>
      <c r="D4193">
        <v>17.899999999999999</v>
      </c>
      <c r="E4193">
        <f>IF($D4193 &gt; 16, 0, $J$3*(16 - $D4193))</f>
        <v>0</v>
      </c>
      <c r="F4193">
        <f>IF($D4193 &gt; 16, 0,$E4193*$J$5)</f>
        <v>0</v>
      </c>
      <c r="G4193">
        <f t="shared" si="65"/>
        <v>0</v>
      </c>
    </row>
    <row r="4194" spans="2:7" x14ac:dyDescent="0.35">
      <c r="B4194" s="1">
        <v>45832</v>
      </c>
      <c r="C4194" s="2">
        <v>0.66666666666666663</v>
      </c>
      <c r="D4194">
        <v>17.100000000000001</v>
      </c>
      <c r="E4194">
        <f>IF($D4194 &gt; 16, 0, $J$3*(16 - $D4194))</f>
        <v>0</v>
      </c>
      <c r="F4194">
        <f>IF($D4194 &gt; 16, 0,$E4194*$J$5)</f>
        <v>0</v>
      </c>
      <c r="G4194">
        <f t="shared" si="65"/>
        <v>0</v>
      </c>
    </row>
    <row r="4195" spans="2:7" x14ac:dyDescent="0.35">
      <c r="B4195" s="1">
        <v>45832</v>
      </c>
      <c r="C4195" s="2">
        <v>0.70833333333333337</v>
      </c>
      <c r="D4195">
        <v>16.7</v>
      </c>
      <c r="E4195">
        <f>IF($D4195 &gt; 16, 0, $J$3*(16 - $D4195))</f>
        <v>0</v>
      </c>
      <c r="F4195">
        <f>IF($D4195 &gt; 16, 0,$E4195*$J$5)</f>
        <v>0</v>
      </c>
      <c r="G4195">
        <f t="shared" si="65"/>
        <v>0</v>
      </c>
    </row>
    <row r="4196" spans="2:7" x14ac:dyDescent="0.35">
      <c r="B4196" s="1">
        <v>45832</v>
      </c>
      <c r="C4196" s="2">
        <v>0.75</v>
      </c>
      <c r="D4196">
        <v>15.5</v>
      </c>
      <c r="E4196">
        <f>IF($D4196 &gt; 16, 0, $J$3*(16 - $D4196))</f>
        <v>103.8743213503485</v>
      </c>
      <c r="F4196">
        <f>IF($D4196 &gt; 16, 0,$E4196*$J$5)</f>
        <v>1129009.9987569377</v>
      </c>
      <c r="G4196">
        <f t="shared" si="65"/>
        <v>0.5</v>
      </c>
    </row>
    <row r="4197" spans="2:7" x14ac:dyDescent="0.35">
      <c r="B4197" s="1">
        <v>45832</v>
      </c>
      <c r="C4197" s="2">
        <v>0.79166666666666663</v>
      </c>
      <c r="D4197">
        <v>15.6</v>
      </c>
      <c r="E4197">
        <f>IF($D4197 &gt; 16, 0, $J$3*(16 - $D4197))</f>
        <v>83.099457080278867</v>
      </c>
      <c r="F4197">
        <f>IF($D4197 &gt; 16, 0,$E4197*$J$5)</f>
        <v>903207.99900555098</v>
      </c>
      <c r="G4197">
        <f t="shared" si="65"/>
        <v>0.40000000000000036</v>
      </c>
    </row>
    <row r="4198" spans="2:7" x14ac:dyDescent="0.35">
      <c r="B4198" s="1">
        <v>45832</v>
      </c>
      <c r="C4198" s="2">
        <v>0.83333333333333337</v>
      </c>
      <c r="D4198">
        <v>15.9</v>
      </c>
      <c r="E4198">
        <f>IF($D4198 &gt; 16, 0, $J$3*(16 - $D4198))</f>
        <v>20.774864270069624</v>
      </c>
      <c r="F4198">
        <f>IF($D4198 &gt; 16, 0,$E4198*$J$5)</f>
        <v>225801.99975138676</v>
      </c>
      <c r="G4198">
        <f t="shared" si="65"/>
        <v>9.9999999999999645E-2</v>
      </c>
    </row>
    <row r="4199" spans="2:7" x14ac:dyDescent="0.35">
      <c r="B4199" s="1">
        <v>45832</v>
      </c>
      <c r="C4199" s="2">
        <v>0.875</v>
      </c>
      <c r="D4199">
        <v>16.399999999999999</v>
      </c>
      <c r="E4199">
        <f>IF($D4199 &gt; 16, 0, $J$3*(16 - $D4199))</f>
        <v>0</v>
      </c>
      <c r="F4199">
        <f>IF($D4199 &gt; 16, 0,$E4199*$J$5)</f>
        <v>0</v>
      </c>
      <c r="G4199">
        <f t="shared" si="65"/>
        <v>0</v>
      </c>
    </row>
    <row r="4200" spans="2:7" x14ac:dyDescent="0.35">
      <c r="B4200" s="1">
        <v>45832</v>
      </c>
      <c r="C4200" s="2">
        <v>0.91666666666666663</v>
      </c>
      <c r="D4200">
        <v>16.899999999999999</v>
      </c>
      <c r="E4200">
        <f>IF($D4200 &gt; 16, 0, $J$3*(16 - $D4200))</f>
        <v>0</v>
      </c>
      <c r="F4200">
        <f>IF($D4200 &gt; 16, 0,$E4200*$J$5)</f>
        <v>0</v>
      </c>
      <c r="G4200">
        <f t="shared" si="65"/>
        <v>0</v>
      </c>
    </row>
    <row r="4201" spans="2:7" x14ac:dyDescent="0.35">
      <c r="B4201" s="1">
        <v>45832</v>
      </c>
      <c r="C4201" s="2">
        <v>0.95833333333333337</v>
      </c>
      <c r="D4201">
        <v>17.100000000000001</v>
      </c>
      <c r="E4201">
        <f>IF($D4201 &gt; 16, 0, $J$3*(16 - $D4201))</f>
        <v>0</v>
      </c>
      <c r="F4201">
        <f>IF($D4201 &gt; 16, 0,$E4201*$J$5)</f>
        <v>0</v>
      </c>
      <c r="G4201">
        <f t="shared" si="65"/>
        <v>0</v>
      </c>
    </row>
    <row r="4202" spans="2:7" x14ac:dyDescent="0.35">
      <c r="B4202" s="1">
        <v>45833</v>
      </c>
      <c r="C4202" s="2">
        <v>0</v>
      </c>
      <c r="D4202">
        <v>16.8</v>
      </c>
      <c r="E4202">
        <f>IF($D4202 &gt; 16, 0, $J$3*(16 - $D4202))</f>
        <v>0</v>
      </c>
      <c r="F4202">
        <f>IF($D4202 &gt; 16, 0,$E4202*$J$5)</f>
        <v>0</v>
      </c>
      <c r="G4202">
        <f t="shared" si="65"/>
        <v>0</v>
      </c>
    </row>
    <row r="4203" spans="2:7" x14ac:dyDescent="0.35">
      <c r="B4203" s="1">
        <v>45833</v>
      </c>
      <c r="C4203" s="2">
        <v>4.1666666666666657E-2</v>
      </c>
      <c r="D4203">
        <v>16.7</v>
      </c>
      <c r="E4203">
        <f>IF($D4203 &gt; 16, 0, $J$3*(16 - $D4203))</f>
        <v>0</v>
      </c>
      <c r="F4203">
        <f>IF($D4203 &gt; 16, 0,$E4203*$J$5)</f>
        <v>0</v>
      </c>
      <c r="G4203">
        <f t="shared" si="65"/>
        <v>0</v>
      </c>
    </row>
    <row r="4204" spans="2:7" x14ac:dyDescent="0.35">
      <c r="B4204" s="1">
        <v>45833</v>
      </c>
      <c r="C4204" s="2">
        <v>8.3333333333333329E-2</v>
      </c>
      <c r="D4204">
        <v>17</v>
      </c>
      <c r="E4204">
        <f>IF($D4204 &gt; 16, 0, $J$3*(16 - $D4204))</f>
        <v>0</v>
      </c>
      <c r="F4204">
        <f>IF($D4204 &gt; 16, 0,$E4204*$J$5)</f>
        <v>0</v>
      </c>
      <c r="G4204">
        <f t="shared" si="65"/>
        <v>0</v>
      </c>
    </row>
    <row r="4205" spans="2:7" x14ac:dyDescent="0.35">
      <c r="B4205" s="1">
        <v>45833</v>
      </c>
      <c r="C4205" s="2">
        <v>0.125</v>
      </c>
      <c r="D4205">
        <v>17.2</v>
      </c>
      <c r="E4205">
        <f>IF($D4205 &gt; 16, 0, $J$3*(16 - $D4205))</f>
        <v>0</v>
      </c>
      <c r="F4205">
        <f>IF($D4205 &gt; 16, 0,$E4205*$J$5)</f>
        <v>0</v>
      </c>
      <c r="G4205">
        <f t="shared" si="65"/>
        <v>0</v>
      </c>
    </row>
    <row r="4206" spans="2:7" x14ac:dyDescent="0.35">
      <c r="B4206" s="1">
        <v>45833</v>
      </c>
      <c r="C4206" s="2">
        <v>0.16666666666666671</v>
      </c>
      <c r="D4206">
        <v>17.5</v>
      </c>
      <c r="E4206">
        <f>IF($D4206 &gt; 16, 0, $J$3*(16 - $D4206))</f>
        <v>0</v>
      </c>
      <c r="F4206">
        <f>IF($D4206 &gt; 16, 0,$E4206*$J$5)</f>
        <v>0</v>
      </c>
      <c r="G4206">
        <f t="shared" si="65"/>
        <v>0</v>
      </c>
    </row>
    <row r="4207" spans="2:7" x14ac:dyDescent="0.35">
      <c r="B4207" s="1">
        <v>45833</v>
      </c>
      <c r="C4207" s="2">
        <v>0.20833333333333329</v>
      </c>
      <c r="D4207">
        <v>17.8</v>
      </c>
      <c r="E4207">
        <f>IF($D4207 &gt; 16, 0, $J$3*(16 - $D4207))</f>
        <v>0</v>
      </c>
      <c r="F4207">
        <f>IF($D4207 &gt; 16, 0,$E4207*$J$5)</f>
        <v>0</v>
      </c>
      <c r="G4207">
        <f t="shared" si="65"/>
        <v>0</v>
      </c>
    </row>
    <row r="4208" spans="2:7" x14ac:dyDescent="0.35">
      <c r="B4208" s="1">
        <v>45833</v>
      </c>
      <c r="C4208" s="2">
        <v>0.25</v>
      </c>
      <c r="D4208">
        <v>18.5</v>
      </c>
      <c r="E4208">
        <f>IF($D4208 &gt; 16, 0, $J$3*(16 - $D4208))</f>
        <v>0</v>
      </c>
      <c r="F4208">
        <f>IF($D4208 &gt; 16, 0,$E4208*$J$5)</f>
        <v>0</v>
      </c>
      <c r="G4208">
        <f t="shared" si="65"/>
        <v>0</v>
      </c>
    </row>
    <row r="4209" spans="2:7" x14ac:dyDescent="0.35">
      <c r="B4209" s="1">
        <v>45833</v>
      </c>
      <c r="C4209" s="2">
        <v>0.29166666666666669</v>
      </c>
      <c r="D4209">
        <v>19</v>
      </c>
      <c r="E4209">
        <f>IF($D4209 &gt; 16, 0, $J$3*(16 - $D4209))</f>
        <v>0</v>
      </c>
      <c r="F4209">
        <f>IF($D4209 &gt; 16, 0,$E4209*$J$5)</f>
        <v>0</v>
      </c>
      <c r="G4209">
        <f t="shared" si="65"/>
        <v>0</v>
      </c>
    </row>
    <row r="4210" spans="2:7" x14ac:dyDescent="0.35">
      <c r="B4210" s="1">
        <v>45833</v>
      </c>
      <c r="C4210" s="2">
        <v>0.33333333333333331</v>
      </c>
      <c r="D4210">
        <v>19.5</v>
      </c>
      <c r="E4210">
        <f>IF($D4210 &gt; 16, 0, $J$3*(16 - $D4210))</f>
        <v>0</v>
      </c>
      <c r="F4210">
        <f>IF($D4210 &gt; 16, 0,$E4210*$J$5)</f>
        <v>0</v>
      </c>
      <c r="G4210">
        <f t="shared" si="65"/>
        <v>0</v>
      </c>
    </row>
    <row r="4211" spans="2:7" x14ac:dyDescent="0.35">
      <c r="B4211" s="1">
        <v>45833</v>
      </c>
      <c r="C4211" s="2">
        <v>0.375</v>
      </c>
      <c r="D4211">
        <v>19.3</v>
      </c>
      <c r="E4211">
        <f>IF($D4211 &gt; 16, 0, $J$3*(16 - $D4211))</f>
        <v>0</v>
      </c>
      <c r="F4211">
        <f>IF($D4211 &gt; 16, 0,$E4211*$J$5)</f>
        <v>0</v>
      </c>
      <c r="G4211">
        <f t="shared" si="65"/>
        <v>0</v>
      </c>
    </row>
    <row r="4212" spans="2:7" x14ac:dyDescent="0.35">
      <c r="B4212" s="1">
        <v>45833</v>
      </c>
      <c r="C4212" s="2">
        <v>0.41666666666666669</v>
      </c>
      <c r="D4212">
        <v>19.600000000000001</v>
      </c>
      <c r="E4212">
        <f>IF($D4212 &gt; 16, 0, $J$3*(16 - $D4212))</f>
        <v>0</v>
      </c>
      <c r="F4212">
        <f>IF($D4212 &gt; 16, 0,$E4212*$J$5)</f>
        <v>0</v>
      </c>
      <c r="G4212">
        <f t="shared" si="65"/>
        <v>0</v>
      </c>
    </row>
    <row r="4213" spans="2:7" x14ac:dyDescent="0.35">
      <c r="B4213" s="1">
        <v>45833</v>
      </c>
      <c r="C4213" s="2">
        <v>0.45833333333333331</v>
      </c>
      <c r="D4213">
        <v>19.899999999999999</v>
      </c>
      <c r="E4213">
        <f>IF($D4213 &gt; 16, 0, $J$3*(16 - $D4213))</f>
        <v>0</v>
      </c>
      <c r="F4213">
        <f>IF($D4213 &gt; 16, 0,$E4213*$J$5)</f>
        <v>0</v>
      </c>
      <c r="G4213">
        <f t="shared" si="65"/>
        <v>0</v>
      </c>
    </row>
    <row r="4214" spans="2:7" x14ac:dyDescent="0.35">
      <c r="B4214" s="1">
        <v>45833</v>
      </c>
      <c r="C4214" s="2">
        <v>0.5</v>
      </c>
      <c r="D4214">
        <v>20</v>
      </c>
      <c r="E4214">
        <f>IF($D4214 &gt; 16, 0, $J$3*(16 - $D4214))</f>
        <v>0</v>
      </c>
      <c r="F4214">
        <f>IF($D4214 &gt; 16, 0,$E4214*$J$5)</f>
        <v>0</v>
      </c>
      <c r="G4214">
        <f t="shared" si="65"/>
        <v>0</v>
      </c>
    </row>
    <row r="4215" spans="2:7" x14ac:dyDescent="0.35">
      <c r="B4215" s="1">
        <v>45833</v>
      </c>
      <c r="C4215" s="2">
        <v>0.54166666666666663</v>
      </c>
      <c r="D4215">
        <v>20.7</v>
      </c>
      <c r="E4215">
        <f>IF($D4215 &gt; 16, 0, $J$3*(16 - $D4215))</f>
        <v>0</v>
      </c>
      <c r="F4215">
        <f>IF($D4215 &gt; 16, 0,$E4215*$J$5)</f>
        <v>0</v>
      </c>
      <c r="G4215">
        <f t="shared" si="65"/>
        <v>0</v>
      </c>
    </row>
    <row r="4216" spans="2:7" x14ac:dyDescent="0.35">
      <c r="B4216" s="1">
        <v>45833</v>
      </c>
      <c r="C4216" s="2">
        <v>0.58333333333333337</v>
      </c>
      <c r="D4216">
        <v>20.9</v>
      </c>
      <c r="E4216">
        <f>IF($D4216 &gt; 16, 0, $J$3*(16 - $D4216))</f>
        <v>0</v>
      </c>
      <c r="F4216">
        <f>IF($D4216 &gt; 16, 0,$E4216*$J$5)</f>
        <v>0</v>
      </c>
      <c r="G4216">
        <f t="shared" si="65"/>
        <v>0</v>
      </c>
    </row>
    <row r="4217" spans="2:7" x14ac:dyDescent="0.35">
      <c r="B4217" s="1">
        <v>45833</v>
      </c>
      <c r="C4217" s="2">
        <v>0.625</v>
      </c>
      <c r="D4217">
        <v>20</v>
      </c>
      <c r="E4217">
        <f>IF($D4217 &gt; 16, 0, $J$3*(16 - $D4217))</f>
        <v>0</v>
      </c>
      <c r="F4217">
        <f>IF($D4217 &gt; 16, 0,$E4217*$J$5)</f>
        <v>0</v>
      </c>
      <c r="G4217">
        <f t="shared" si="65"/>
        <v>0</v>
      </c>
    </row>
    <row r="4218" spans="2:7" x14ac:dyDescent="0.35">
      <c r="B4218" s="1">
        <v>45833</v>
      </c>
      <c r="C4218" s="2">
        <v>0.66666666666666663</v>
      </c>
      <c r="D4218">
        <v>20.7</v>
      </c>
      <c r="E4218">
        <f>IF($D4218 &gt; 16, 0, $J$3*(16 - $D4218))</f>
        <v>0</v>
      </c>
      <c r="F4218">
        <f>IF($D4218 &gt; 16, 0,$E4218*$J$5)</f>
        <v>0</v>
      </c>
      <c r="G4218">
        <f t="shared" si="65"/>
        <v>0</v>
      </c>
    </row>
    <row r="4219" spans="2:7" x14ac:dyDescent="0.35">
      <c r="B4219" s="1">
        <v>45833</v>
      </c>
      <c r="C4219" s="2">
        <v>0.70833333333333337</v>
      </c>
      <c r="D4219">
        <v>19.899999999999999</v>
      </c>
      <c r="E4219">
        <f>IF($D4219 &gt; 16, 0, $J$3*(16 - $D4219))</f>
        <v>0</v>
      </c>
      <c r="F4219">
        <f>IF($D4219 &gt; 16, 0,$E4219*$J$5)</f>
        <v>0</v>
      </c>
      <c r="G4219">
        <f t="shared" si="65"/>
        <v>0</v>
      </c>
    </row>
    <row r="4220" spans="2:7" x14ac:dyDescent="0.35">
      <c r="B4220" s="1">
        <v>45833</v>
      </c>
      <c r="C4220" s="2">
        <v>0.75</v>
      </c>
      <c r="D4220">
        <v>19.8</v>
      </c>
      <c r="E4220">
        <f>IF($D4220 &gt; 16, 0, $J$3*(16 - $D4220))</f>
        <v>0</v>
      </c>
      <c r="F4220">
        <f>IF($D4220 &gt; 16, 0,$E4220*$J$5)</f>
        <v>0</v>
      </c>
      <c r="G4220">
        <f t="shared" si="65"/>
        <v>0</v>
      </c>
    </row>
    <row r="4221" spans="2:7" x14ac:dyDescent="0.35">
      <c r="B4221" s="1">
        <v>45833</v>
      </c>
      <c r="C4221" s="2">
        <v>0.79166666666666663</v>
      </c>
      <c r="D4221">
        <v>18.5</v>
      </c>
      <c r="E4221">
        <f>IF($D4221 &gt; 16, 0, $J$3*(16 - $D4221))</f>
        <v>0</v>
      </c>
      <c r="F4221">
        <f>IF($D4221 &gt; 16, 0,$E4221*$J$5)</f>
        <v>0</v>
      </c>
      <c r="G4221">
        <f t="shared" si="65"/>
        <v>0</v>
      </c>
    </row>
    <row r="4222" spans="2:7" x14ac:dyDescent="0.35">
      <c r="B4222" s="1">
        <v>45833</v>
      </c>
      <c r="C4222" s="2">
        <v>0.83333333333333337</v>
      </c>
      <c r="D4222">
        <v>16.3</v>
      </c>
      <c r="E4222">
        <f>IF($D4222 &gt; 16, 0, $J$3*(16 - $D4222))</f>
        <v>0</v>
      </c>
      <c r="F4222">
        <f>IF($D4222 &gt; 16, 0,$E4222*$J$5)</f>
        <v>0</v>
      </c>
      <c r="G4222">
        <f t="shared" si="65"/>
        <v>0</v>
      </c>
    </row>
    <row r="4223" spans="2:7" x14ac:dyDescent="0.35">
      <c r="B4223" s="1">
        <v>45833</v>
      </c>
      <c r="C4223" s="2">
        <v>0.875</v>
      </c>
      <c r="D4223">
        <v>14</v>
      </c>
      <c r="E4223">
        <f>IF($D4223 &gt; 16, 0, $J$3*(16 - $D4223))</f>
        <v>415.49728540139398</v>
      </c>
      <c r="F4223">
        <f>IF($D4223 &gt; 16, 0,$E4223*$J$5)</f>
        <v>4516039.9950277507</v>
      </c>
      <c r="G4223">
        <f t="shared" si="65"/>
        <v>2</v>
      </c>
    </row>
    <row r="4224" spans="2:7" x14ac:dyDescent="0.35">
      <c r="B4224" s="1">
        <v>45833</v>
      </c>
      <c r="C4224" s="2">
        <v>0.91666666666666663</v>
      </c>
      <c r="D4224">
        <v>13.2</v>
      </c>
      <c r="E4224">
        <f>IF($D4224 &gt; 16, 0, $J$3*(16 - $D4224))</f>
        <v>581.69619956195174</v>
      </c>
      <c r="F4224">
        <f>IF($D4224 &gt; 16, 0,$E4224*$J$5)</f>
        <v>6322455.9930388536</v>
      </c>
      <c r="G4224">
        <f t="shared" si="65"/>
        <v>2.8000000000000007</v>
      </c>
    </row>
    <row r="4225" spans="2:7" x14ac:dyDescent="0.35">
      <c r="B4225" s="1">
        <v>45833</v>
      </c>
      <c r="C4225" s="2">
        <v>0.95833333333333337</v>
      </c>
      <c r="D4225">
        <v>12.4</v>
      </c>
      <c r="E4225">
        <f>IF($D4225 &gt; 16, 0, $J$3*(16 - $D4225))</f>
        <v>747.89511372250911</v>
      </c>
      <c r="F4225">
        <f>IF($D4225 &gt; 16, 0,$E4225*$J$5)</f>
        <v>8128871.9910499519</v>
      </c>
      <c r="G4225">
        <f t="shared" si="65"/>
        <v>3.5999999999999996</v>
      </c>
    </row>
    <row r="4226" spans="2:7" x14ac:dyDescent="0.35">
      <c r="B4226" s="1">
        <v>45834</v>
      </c>
      <c r="C4226" s="2">
        <v>0</v>
      </c>
      <c r="D4226">
        <v>11.6</v>
      </c>
      <c r="E4226">
        <f>IF($D4226 &gt; 16, 0, $J$3*(16 - $D4226))</f>
        <v>914.09402788306681</v>
      </c>
      <c r="F4226">
        <f>IF($D4226 &gt; 16, 0,$E4226*$J$5)</f>
        <v>9935287.9890610538</v>
      </c>
      <c r="G4226">
        <f t="shared" si="65"/>
        <v>4.4000000000000004</v>
      </c>
    </row>
    <row r="4227" spans="2:7" x14ac:dyDescent="0.35">
      <c r="B4227" s="1">
        <v>45834</v>
      </c>
      <c r="C4227" s="2">
        <v>4.1666666666666657E-2</v>
      </c>
      <c r="D4227">
        <v>11.6</v>
      </c>
      <c r="E4227">
        <f>IF($D4227 &gt; 16, 0, $J$3*(16 - $D4227))</f>
        <v>914.09402788306681</v>
      </c>
      <c r="F4227">
        <f>IF($D4227 &gt; 16, 0,$E4227*$J$5)</f>
        <v>9935287.9890610538</v>
      </c>
      <c r="G4227">
        <f t="shared" ref="G4227:G4290" si="66">MAX(0, 16 - $D4227)</f>
        <v>4.4000000000000004</v>
      </c>
    </row>
    <row r="4228" spans="2:7" x14ac:dyDescent="0.35">
      <c r="B4228" s="1">
        <v>45834</v>
      </c>
      <c r="C4228" s="2">
        <v>8.3333333333333329E-2</v>
      </c>
      <c r="D4228">
        <v>11.5</v>
      </c>
      <c r="E4228">
        <f>IF($D4228 &gt; 16, 0, $J$3*(16 - $D4228))</f>
        <v>934.86889215313647</v>
      </c>
      <c r="F4228">
        <f>IF($D4228 &gt; 16, 0,$E4228*$J$5)</f>
        <v>10161089.988812441</v>
      </c>
      <c r="G4228">
        <f t="shared" si="66"/>
        <v>4.5</v>
      </c>
    </row>
    <row r="4229" spans="2:7" x14ac:dyDescent="0.35">
      <c r="B4229" s="1">
        <v>45834</v>
      </c>
      <c r="C4229" s="2">
        <v>0.125</v>
      </c>
      <c r="D4229">
        <v>12.1</v>
      </c>
      <c r="E4229">
        <f>IF($D4229 &gt; 16, 0, $J$3*(16 - $D4229))</f>
        <v>810.21970653271831</v>
      </c>
      <c r="F4229">
        <f>IF($D4229 &gt; 16, 0,$E4229*$J$5)</f>
        <v>8806277.9903041162</v>
      </c>
      <c r="G4229">
        <f t="shared" si="66"/>
        <v>3.9000000000000004</v>
      </c>
    </row>
    <row r="4230" spans="2:7" x14ac:dyDescent="0.35">
      <c r="B4230" s="1">
        <v>45834</v>
      </c>
      <c r="C4230" s="2">
        <v>0.16666666666666671</v>
      </c>
      <c r="D4230">
        <v>12.5</v>
      </c>
      <c r="E4230">
        <f>IF($D4230 &gt; 16, 0, $J$3*(16 - $D4230))</f>
        <v>727.12024945243945</v>
      </c>
      <c r="F4230">
        <f>IF($D4230 &gt; 16, 0,$E4230*$J$5)</f>
        <v>7903069.9912985647</v>
      </c>
      <c r="G4230">
        <f t="shared" si="66"/>
        <v>3.5</v>
      </c>
    </row>
    <row r="4231" spans="2:7" x14ac:dyDescent="0.35">
      <c r="B4231" s="1">
        <v>45834</v>
      </c>
      <c r="C4231" s="2">
        <v>0.20833333333333329</v>
      </c>
      <c r="D4231">
        <v>14.6</v>
      </c>
      <c r="E4231">
        <f>IF($D4231 &gt; 16, 0, $J$3*(16 - $D4231))</f>
        <v>290.84809978097587</v>
      </c>
      <c r="F4231">
        <f>IF($D4231 &gt; 16, 0,$E4231*$J$5)</f>
        <v>3161227.9965194268</v>
      </c>
      <c r="G4231">
        <f t="shared" si="66"/>
        <v>1.4000000000000004</v>
      </c>
    </row>
    <row r="4232" spans="2:7" x14ac:dyDescent="0.35">
      <c r="B4232" s="1">
        <v>45834</v>
      </c>
      <c r="C4232" s="2">
        <v>0.25</v>
      </c>
      <c r="D4232">
        <v>17.100000000000001</v>
      </c>
      <c r="E4232">
        <f>IF($D4232 &gt; 16, 0, $J$3*(16 - $D4232))</f>
        <v>0</v>
      </c>
      <c r="F4232">
        <f>IF($D4232 &gt; 16, 0,$E4232*$J$5)</f>
        <v>0</v>
      </c>
      <c r="G4232">
        <f t="shared" si="66"/>
        <v>0</v>
      </c>
    </row>
    <row r="4233" spans="2:7" x14ac:dyDescent="0.35">
      <c r="B4233" s="1">
        <v>45834</v>
      </c>
      <c r="C4233" s="2">
        <v>0.29166666666666669</v>
      </c>
      <c r="D4233">
        <v>18.399999999999999</v>
      </c>
      <c r="E4233">
        <f>IF($D4233 &gt; 16, 0, $J$3*(16 - $D4233))</f>
        <v>0</v>
      </c>
      <c r="F4233">
        <f>IF($D4233 &gt; 16, 0,$E4233*$J$5)</f>
        <v>0</v>
      </c>
      <c r="G4233">
        <f t="shared" si="66"/>
        <v>0</v>
      </c>
    </row>
    <row r="4234" spans="2:7" x14ac:dyDescent="0.35">
      <c r="B4234" s="1">
        <v>45834</v>
      </c>
      <c r="C4234" s="2">
        <v>0.33333333333333331</v>
      </c>
      <c r="D4234">
        <v>19</v>
      </c>
      <c r="E4234">
        <f>IF($D4234 &gt; 16, 0, $J$3*(16 - $D4234))</f>
        <v>0</v>
      </c>
      <c r="F4234">
        <f>IF($D4234 &gt; 16, 0,$E4234*$J$5)</f>
        <v>0</v>
      </c>
      <c r="G4234">
        <f t="shared" si="66"/>
        <v>0</v>
      </c>
    </row>
    <row r="4235" spans="2:7" x14ac:dyDescent="0.35">
      <c r="B4235" s="1">
        <v>45834</v>
      </c>
      <c r="C4235" s="2">
        <v>0.375</v>
      </c>
      <c r="D4235">
        <v>19.600000000000001</v>
      </c>
      <c r="E4235">
        <f>IF($D4235 &gt; 16, 0, $J$3*(16 - $D4235))</f>
        <v>0</v>
      </c>
      <c r="F4235">
        <f>IF($D4235 &gt; 16, 0,$E4235*$J$5)</f>
        <v>0</v>
      </c>
      <c r="G4235">
        <f t="shared" si="66"/>
        <v>0</v>
      </c>
    </row>
    <row r="4236" spans="2:7" x14ac:dyDescent="0.35">
      <c r="B4236" s="1">
        <v>45834</v>
      </c>
      <c r="C4236" s="2">
        <v>0.41666666666666669</v>
      </c>
      <c r="D4236">
        <v>19.600000000000001</v>
      </c>
      <c r="E4236">
        <f>IF($D4236 &gt; 16, 0, $J$3*(16 - $D4236))</f>
        <v>0</v>
      </c>
      <c r="F4236">
        <f>IF($D4236 &gt; 16, 0,$E4236*$J$5)</f>
        <v>0</v>
      </c>
      <c r="G4236">
        <f t="shared" si="66"/>
        <v>0</v>
      </c>
    </row>
    <row r="4237" spans="2:7" x14ac:dyDescent="0.35">
      <c r="B4237" s="1">
        <v>45834</v>
      </c>
      <c r="C4237" s="2">
        <v>0.45833333333333331</v>
      </c>
      <c r="D4237">
        <v>20.100000000000001</v>
      </c>
      <c r="E4237">
        <f>IF($D4237 &gt; 16, 0, $J$3*(16 - $D4237))</f>
        <v>0</v>
      </c>
      <c r="F4237">
        <f>IF($D4237 &gt; 16, 0,$E4237*$J$5)</f>
        <v>0</v>
      </c>
      <c r="G4237">
        <f t="shared" si="66"/>
        <v>0</v>
      </c>
    </row>
    <row r="4238" spans="2:7" x14ac:dyDescent="0.35">
      <c r="B4238" s="1">
        <v>45834</v>
      </c>
      <c r="C4238" s="2">
        <v>0.5</v>
      </c>
      <c r="D4238">
        <v>20.399999999999999</v>
      </c>
      <c r="E4238">
        <f>IF($D4238 &gt; 16, 0, $J$3*(16 - $D4238))</f>
        <v>0</v>
      </c>
      <c r="F4238">
        <f>IF($D4238 &gt; 16, 0,$E4238*$J$5)</f>
        <v>0</v>
      </c>
      <c r="G4238">
        <f t="shared" si="66"/>
        <v>0</v>
      </c>
    </row>
    <row r="4239" spans="2:7" x14ac:dyDescent="0.35">
      <c r="B4239" s="1">
        <v>45834</v>
      </c>
      <c r="C4239" s="2">
        <v>0.54166666666666663</v>
      </c>
      <c r="D4239">
        <v>21.7</v>
      </c>
      <c r="E4239">
        <f>IF($D4239 &gt; 16, 0, $J$3*(16 - $D4239))</f>
        <v>0</v>
      </c>
      <c r="F4239">
        <f>IF($D4239 &gt; 16, 0,$E4239*$J$5)</f>
        <v>0</v>
      </c>
      <c r="G4239">
        <f t="shared" si="66"/>
        <v>0</v>
      </c>
    </row>
    <row r="4240" spans="2:7" x14ac:dyDescent="0.35">
      <c r="B4240" s="1">
        <v>45834</v>
      </c>
      <c r="C4240" s="2">
        <v>0.58333333333333337</v>
      </c>
      <c r="D4240">
        <v>23.4</v>
      </c>
      <c r="E4240">
        <f>IF($D4240 &gt; 16, 0, $J$3*(16 - $D4240))</f>
        <v>0</v>
      </c>
      <c r="F4240">
        <f>IF($D4240 &gt; 16, 0,$E4240*$J$5)</f>
        <v>0</v>
      </c>
      <c r="G4240">
        <f t="shared" si="66"/>
        <v>0</v>
      </c>
    </row>
    <row r="4241" spans="2:7" x14ac:dyDescent="0.35">
      <c r="B4241" s="1">
        <v>45834</v>
      </c>
      <c r="C4241" s="2">
        <v>0.625</v>
      </c>
      <c r="D4241">
        <v>23.7</v>
      </c>
      <c r="E4241">
        <f>IF($D4241 &gt; 16, 0, $J$3*(16 - $D4241))</f>
        <v>0</v>
      </c>
      <c r="F4241">
        <f>IF($D4241 &gt; 16, 0,$E4241*$J$5)</f>
        <v>0</v>
      </c>
      <c r="G4241">
        <f t="shared" si="66"/>
        <v>0</v>
      </c>
    </row>
    <row r="4242" spans="2:7" x14ac:dyDescent="0.35">
      <c r="B4242" s="1">
        <v>45834</v>
      </c>
      <c r="C4242" s="2">
        <v>0.66666666666666663</v>
      </c>
      <c r="D4242">
        <v>23</v>
      </c>
      <c r="E4242">
        <f>IF($D4242 &gt; 16, 0, $J$3*(16 - $D4242))</f>
        <v>0</v>
      </c>
      <c r="F4242">
        <f>IF($D4242 &gt; 16, 0,$E4242*$J$5)</f>
        <v>0</v>
      </c>
      <c r="G4242">
        <f t="shared" si="66"/>
        <v>0</v>
      </c>
    </row>
    <row r="4243" spans="2:7" x14ac:dyDescent="0.35">
      <c r="B4243" s="1">
        <v>45834</v>
      </c>
      <c r="C4243" s="2">
        <v>0.70833333333333337</v>
      </c>
      <c r="D4243">
        <v>22.7</v>
      </c>
      <c r="E4243">
        <f>IF($D4243 &gt; 16, 0, $J$3*(16 - $D4243))</f>
        <v>0</v>
      </c>
      <c r="F4243">
        <f>IF($D4243 &gt; 16, 0,$E4243*$J$5)</f>
        <v>0</v>
      </c>
      <c r="G4243">
        <f t="shared" si="66"/>
        <v>0</v>
      </c>
    </row>
    <row r="4244" spans="2:7" x14ac:dyDescent="0.35">
      <c r="B4244" s="1">
        <v>45834</v>
      </c>
      <c r="C4244" s="2">
        <v>0.75</v>
      </c>
      <c r="D4244">
        <v>18.899999999999999</v>
      </c>
      <c r="E4244">
        <f>IF($D4244 &gt; 16, 0, $J$3*(16 - $D4244))</f>
        <v>0</v>
      </c>
      <c r="F4244">
        <f>IF($D4244 &gt; 16, 0,$E4244*$J$5)</f>
        <v>0</v>
      </c>
      <c r="G4244">
        <f t="shared" si="66"/>
        <v>0</v>
      </c>
    </row>
    <row r="4245" spans="2:7" x14ac:dyDescent="0.35">
      <c r="B4245" s="1">
        <v>45834</v>
      </c>
      <c r="C4245" s="2">
        <v>0.79166666666666663</v>
      </c>
      <c r="D4245">
        <v>19</v>
      </c>
      <c r="E4245">
        <f>IF($D4245 &gt; 16, 0, $J$3*(16 - $D4245))</f>
        <v>0</v>
      </c>
      <c r="F4245">
        <f>IF($D4245 &gt; 16, 0,$E4245*$J$5)</f>
        <v>0</v>
      </c>
      <c r="G4245">
        <f t="shared" si="66"/>
        <v>0</v>
      </c>
    </row>
    <row r="4246" spans="2:7" x14ac:dyDescent="0.35">
      <c r="B4246" s="1">
        <v>45834</v>
      </c>
      <c r="C4246" s="2">
        <v>0.83333333333333337</v>
      </c>
      <c r="D4246">
        <v>18</v>
      </c>
      <c r="E4246">
        <f>IF($D4246 &gt; 16, 0, $J$3*(16 - $D4246))</f>
        <v>0</v>
      </c>
      <c r="F4246">
        <f>IF($D4246 &gt; 16, 0,$E4246*$J$5)</f>
        <v>0</v>
      </c>
      <c r="G4246">
        <f t="shared" si="66"/>
        <v>0</v>
      </c>
    </row>
    <row r="4247" spans="2:7" x14ac:dyDescent="0.35">
      <c r="B4247" s="1">
        <v>45834</v>
      </c>
      <c r="C4247" s="2">
        <v>0.875</v>
      </c>
      <c r="D4247">
        <v>17.7</v>
      </c>
      <c r="E4247">
        <f>IF($D4247 &gt; 16, 0, $J$3*(16 - $D4247))</f>
        <v>0</v>
      </c>
      <c r="F4247">
        <f>IF($D4247 &gt; 16, 0,$E4247*$J$5)</f>
        <v>0</v>
      </c>
      <c r="G4247">
        <f t="shared" si="66"/>
        <v>0</v>
      </c>
    </row>
    <row r="4248" spans="2:7" x14ac:dyDescent="0.35">
      <c r="B4248" s="1">
        <v>45834</v>
      </c>
      <c r="C4248" s="2">
        <v>0.91666666666666663</v>
      </c>
      <c r="D4248">
        <v>17.7</v>
      </c>
      <c r="E4248">
        <f>IF($D4248 &gt; 16, 0, $J$3*(16 - $D4248))</f>
        <v>0</v>
      </c>
      <c r="F4248">
        <f>IF($D4248 &gt; 16, 0,$E4248*$J$5)</f>
        <v>0</v>
      </c>
      <c r="G4248">
        <f t="shared" si="66"/>
        <v>0</v>
      </c>
    </row>
    <row r="4249" spans="2:7" x14ac:dyDescent="0.35">
      <c r="B4249" s="1">
        <v>45834</v>
      </c>
      <c r="C4249" s="2">
        <v>0.95833333333333337</v>
      </c>
      <c r="D4249">
        <v>17.5</v>
      </c>
      <c r="E4249">
        <f>IF($D4249 &gt; 16, 0, $J$3*(16 - $D4249))</f>
        <v>0</v>
      </c>
      <c r="F4249">
        <f>IF($D4249 &gt; 16, 0,$E4249*$J$5)</f>
        <v>0</v>
      </c>
      <c r="G4249">
        <f t="shared" si="66"/>
        <v>0</v>
      </c>
    </row>
    <row r="4250" spans="2:7" x14ac:dyDescent="0.35">
      <c r="B4250" s="1">
        <v>45835</v>
      </c>
      <c r="C4250" s="2">
        <v>0</v>
      </c>
      <c r="D4250">
        <v>17.399999999999999</v>
      </c>
      <c r="E4250">
        <f>IF($D4250 &gt; 16, 0, $J$3*(16 - $D4250))</f>
        <v>0</v>
      </c>
      <c r="F4250">
        <f>IF($D4250 &gt; 16, 0,$E4250*$J$5)</f>
        <v>0</v>
      </c>
      <c r="G4250">
        <f t="shared" si="66"/>
        <v>0</v>
      </c>
    </row>
    <row r="4251" spans="2:7" x14ac:dyDescent="0.35">
      <c r="B4251" s="1">
        <v>45835</v>
      </c>
      <c r="C4251" s="2">
        <v>4.1666666666666657E-2</v>
      </c>
      <c r="D4251">
        <v>17.899999999999999</v>
      </c>
      <c r="E4251">
        <f>IF($D4251 &gt; 16, 0, $J$3*(16 - $D4251))</f>
        <v>0</v>
      </c>
      <c r="F4251">
        <f>IF($D4251 &gt; 16, 0,$E4251*$J$5)</f>
        <v>0</v>
      </c>
      <c r="G4251">
        <f t="shared" si="66"/>
        <v>0</v>
      </c>
    </row>
    <row r="4252" spans="2:7" x14ac:dyDescent="0.35">
      <c r="B4252" s="1">
        <v>45835</v>
      </c>
      <c r="C4252" s="2">
        <v>8.3333333333333329E-2</v>
      </c>
      <c r="D4252">
        <v>17.7</v>
      </c>
      <c r="E4252">
        <f>IF($D4252 &gt; 16, 0, $J$3*(16 - $D4252))</f>
        <v>0</v>
      </c>
      <c r="F4252">
        <f>IF($D4252 &gt; 16, 0,$E4252*$J$5)</f>
        <v>0</v>
      </c>
      <c r="G4252">
        <f t="shared" si="66"/>
        <v>0</v>
      </c>
    </row>
    <row r="4253" spans="2:7" x14ac:dyDescent="0.35">
      <c r="B4253" s="1">
        <v>45835</v>
      </c>
      <c r="C4253" s="2">
        <v>0.125</v>
      </c>
      <c r="D4253">
        <v>17.2</v>
      </c>
      <c r="E4253">
        <f>IF($D4253 &gt; 16, 0, $J$3*(16 - $D4253))</f>
        <v>0</v>
      </c>
      <c r="F4253">
        <f>IF($D4253 &gt; 16, 0,$E4253*$J$5)</f>
        <v>0</v>
      </c>
      <c r="G4253">
        <f t="shared" si="66"/>
        <v>0</v>
      </c>
    </row>
    <row r="4254" spans="2:7" x14ac:dyDescent="0.35">
      <c r="B4254" s="1">
        <v>45835</v>
      </c>
      <c r="C4254" s="2">
        <v>0.16666666666666671</v>
      </c>
      <c r="D4254">
        <v>16.3</v>
      </c>
      <c r="E4254">
        <f>IF($D4254 &gt; 16, 0, $J$3*(16 - $D4254))</f>
        <v>0</v>
      </c>
      <c r="F4254">
        <f>IF($D4254 &gt; 16, 0,$E4254*$J$5)</f>
        <v>0</v>
      </c>
      <c r="G4254">
        <f t="shared" si="66"/>
        <v>0</v>
      </c>
    </row>
    <row r="4255" spans="2:7" x14ac:dyDescent="0.35">
      <c r="B4255" s="1">
        <v>45835</v>
      </c>
      <c r="C4255" s="2">
        <v>0.20833333333333329</v>
      </c>
      <c r="D4255">
        <v>16.2</v>
      </c>
      <c r="E4255">
        <f>IF($D4255 &gt; 16, 0, $J$3*(16 - $D4255))</f>
        <v>0</v>
      </c>
      <c r="F4255">
        <f>IF($D4255 &gt; 16, 0,$E4255*$J$5)</f>
        <v>0</v>
      </c>
      <c r="G4255">
        <f t="shared" si="66"/>
        <v>0</v>
      </c>
    </row>
    <row r="4256" spans="2:7" x14ac:dyDescent="0.35">
      <c r="B4256" s="1">
        <v>45835</v>
      </c>
      <c r="C4256" s="2">
        <v>0.25</v>
      </c>
      <c r="D4256">
        <v>16.5</v>
      </c>
      <c r="E4256">
        <f>IF($D4256 &gt; 16, 0, $J$3*(16 - $D4256))</f>
        <v>0</v>
      </c>
      <c r="F4256">
        <f>IF($D4256 &gt; 16, 0,$E4256*$J$5)</f>
        <v>0</v>
      </c>
      <c r="G4256">
        <f t="shared" si="66"/>
        <v>0</v>
      </c>
    </row>
    <row r="4257" spans="2:7" x14ac:dyDescent="0.35">
      <c r="B4257" s="1">
        <v>45835</v>
      </c>
      <c r="C4257" s="2">
        <v>0.29166666666666669</v>
      </c>
      <c r="D4257">
        <v>16.2</v>
      </c>
      <c r="E4257">
        <f>IF($D4257 &gt; 16, 0, $J$3*(16 - $D4257))</f>
        <v>0</v>
      </c>
      <c r="F4257">
        <f>IF($D4257 &gt; 16, 0,$E4257*$J$5)</f>
        <v>0</v>
      </c>
      <c r="G4257">
        <f t="shared" si="66"/>
        <v>0</v>
      </c>
    </row>
    <row r="4258" spans="2:7" x14ac:dyDescent="0.35">
      <c r="B4258" s="1">
        <v>45835</v>
      </c>
      <c r="C4258" s="2">
        <v>0.33333333333333331</v>
      </c>
      <c r="D4258">
        <v>15.3</v>
      </c>
      <c r="E4258">
        <f>IF($D4258 &gt; 16, 0, $J$3*(16 - $D4258))</f>
        <v>145.42404989048774</v>
      </c>
      <c r="F4258">
        <f>IF($D4258 &gt; 16, 0,$E4258*$J$5)</f>
        <v>1580613.9982597113</v>
      </c>
      <c r="G4258">
        <f t="shared" si="66"/>
        <v>0.69999999999999929</v>
      </c>
    </row>
    <row r="4259" spans="2:7" x14ac:dyDescent="0.35">
      <c r="B4259" s="1">
        <v>45835</v>
      </c>
      <c r="C4259" s="2">
        <v>0.375</v>
      </c>
      <c r="D4259">
        <v>14.9</v>
      </c>
      <c r="E4259">
        <f>IF($D4259 &gt; 16, 0, $J$3*(16 - $D4259))</f>
        <v>228.52350697076662</v>
      </c>
      <c r="F4259">
        <f>IF($D4259 &gt; 16, 0,$E4259*$J$5)</f>
        <v>2483821.9972652625</v>
      </c>
      <c r="G4259">
        <f t="shared" si="66"/>
        <v>1.0999999999999996</v>
      </c>
    </row>
    <row r="4260" spans="2:7" x14ac:dyDescent="0.35">
      <c r="B4260" s="1">
        <v>45835</v>
      </c>
      <c r="C4260" s="2">
        <v>0.41666666666666669</v>
      </c>
      <c r="D4260">
        <v>15.6</v>
      </c>
      <c r="E4260">
        <f>IF($D4260 &gt; 16, 0, $J$3*(16 - $D4260))</f>
        <v>83.099457080278867</v>
      </c>
      <c r="F4260">
        <f>IF($D4260 &gt; 16, 0,$E4260*$J$5)</f>
        <v>903207.99900555098</v>
      </c>
      <c r="G4260">
        <f t="shared" si="66"/>
        <v>0.40000000000000036</v>
      </c>
    </row>
    <row r="4261" spans="2:7" x14ac:dyDescent="0.35">
      <c r="B4261" s="1">
        <v>45835</v>
      </c>
      <c r="C4261" s="2">
        <v>0.45833333333333331</v>
      </c>
      <c r="D4261">
        <v>17.2</v>
      </c>
      <c r="E4261">
        <f>IF($D4261 &gt; 16, 0, $J$3*(16 - $D4261))</f>
        <v>0</v>
      </c>
      <c r="F4261">
        <f>IF($D4261 &gt; 16, 0,$E4261*$J$5)</f>
        <v>0</v>
      </c>
      <c r="G4261">
        <f t="shared" si="66"/>
        <v>0</v>
      </c>
    </row>
    <row r="4262" spans="2:7" x14ac:dyDescent="0.35">
      <c r="B4262" s="1">
        <v>45835</v>
      </c>
      <c r="C4262" s="2">
        <v>0.5</v>
      </c>
      <c r="D4262">
        <v>17.2</v>
      </c>
      <c r="E4262">
        <f>IF($D4262 &gt; 16, 0, $J$3*(16 - $D4262))</f>
        <v>0</v>
      </c>
      <c r="F4262">
        <f>IF($D4262 &gt; 16, 0,$E4262*$J$5)</f>
        <v>0</v>
      </c>
      <c r="G4262">
        <f t="shared" si="66"/>
        <v>0</v>
      </c>
    </row>
    <row r="4263" spans="2:7" x14ac:dyDescent="0.35">
      <c r="B4263" s="1">
        <v>45835</v>
      </c>
      <c r="C4263" s="2">
        <v>0.54166666666666663</v>
      </c>
      <c r="D4263">
        <v>19</v>
      </c>
      <c r="E4263">
        <f>IF($D4263 &gt; 16, 0, $J$3*(16 - $D4263))</f>
        <v>0</v>
      </c>
      <c r="F4263">
        <f>IF($D4263 &gt; 16, 0,$E4263*$J$5)</f>
        <v>0</v>
      </c>
      <c r="G4263">
        <f t="shared" si="66"/>
        <v>0</v>
      </c>
    </row>
    <row r="4264" spans="2:7" x14ac:dyDescent="0.35">
      <c r="B4264" s="1">
        <v>45835</v>
      </c>
      <c r="C4264" s="2">
        <v>0.58333333333333337</v>
      </c>
      <c r="D4264">
        <v>19.2</v>
      </c>
      <c r="E4264">
        <f>IF($D4264 &gt; 16, 0, $J$3*(16 - $D4264))</f>
        <v>0</v>
      </c>
      <c r="F4264">
        <f>IF($D4264 &gt; 16, 0,$E4264*$J$5)</f>
        <v>0</v>
      </c>
      <c r="G4264">
        <f t="shared" si="66"/>
        <v>0</v>
      </c>
    </row>
    <row r="4265" spans="2:7" x14ac:dyDescent="0.35">
      <c r="B4265" s="1">
        <v>45835</v>
      </c>
      <c r="C4265" s="2">
        <v>0.625</v>
      </c>
      <c r="D4265">
        <v>19.100000000000001</v>
      </c>
      <c r="E4265">
        <f>IF($D4265 &gt; 16, 0, $J$3*(16 - $D4265))</f>
        <v>0</v>
      </c>
      <c r="F4265">
        <f>IF($D4265 &gt; 16, 0,$E4265*$J$5)</f>
        <v>0</v>
      </c>
      <c r="G4265">
        <f t="shared" si="66"/>
        <v>0</v>
      </c>
    </row>
    <row r="4266" spans="2:7" x14ac:dyDescent="0.35">
      <c r="B4266" s="1">
        <v>45835</v>
      </c>
      <c r="C4266" s="2">
        <v>0.66666666666666663</v>
      </c>
      <c r="D4266">
        <v>18.7</v>
      </c>
      <c r="E4266">
        <f>IF($D4266 &gt; 16, 0, $J$3*(16 - $D4266))</f>
        <v>0</v>
      </c>
      <c r="F4266">
        <f>IF($D4266 &gt; 16, 0,$E4266*$J$5)</f>
        <v>0</v>
      </c>
      <c r="G4266">
        <f t="shared" si="66"/>
        <v>0</v>
      </c>
    </row>
    <row r="4267" spans="2:7" x14ac:dyDescent="0.35">
      <c r="B4267" s="1">
        <v>45835</v>
      </c>
      <c r="C4267" s="2">
        <v>0.70833333333333337</v>
      </c>
      <c r="D4267">
        <v>19.3</v>
      </c>
      <c r="E4267">
        <f>IF($D4267 &gt; 16, 0, $J$3*(16 - $D4267))</f>
        <v>0</v>
      </c>
      <c r="F4267">
        <f>IF($D4267 &gt; 16, 0,$E4267*$J$5)</f>
        <v>0</v>
      </c>
      <c r="G4267">
        <f t="shared" si="66"/>
        <v>0</v>
      </c>
    </row>
    <row r="4268" spans="2:7" x14ac:dyDescent="0.35">
      <c r="B4268" s="1">
        <v>45835</v>
      </c>
      <c r="C4268" s="2">
        <v>0.75</v>
      </c>
      <c r="D4268">
        <v>18.5</v>
      </c>
      <c r="E4268">
        <f>IF($D4268 &gt; 16, 0, $J$3*(16 - $D4268))</f>
        <v>0</v>
      </c>
      <c r="F4268">
        <f>IF($D4268 &gt; 16, 0,$E4268*$J$5)</f>
        <v>0</v>
      </c>
      <c r="G4268">
        <f t="shared" si="66"/>
        <v>0</v>
      </c>
    </row>
    <row r="4269" spans="2:7" x14ac:dyDescent="0.35">
      <c r="B4269" s="1">
        <v>45835</v>
      </c>
      <c r="C4269" s="2">
        <v>0.79166666666666663</v>
      </c>
      <c r="D4269">
        <v>18</v>
      </c>
      <c r="E4269">
        <f>IF($D4269 &gt; 16, 0, $J$3*(16 - $D4269))</f>
        <v>0</v>
      </c>
      <c r="F4269">
        <f>IF($D4269 &gt; 16, 0,$E4269*$J$5)</f>
        <v>0</v>
      </c>
      <c r="G4269">
        <f t="shared" si="66"/>
        <v>0</v>
      </c>
    </row>
    <row r="4270" spans="2:7" x14ac:dyDescent="0.35">
      <c r="B4270" s="1">
        <v>45835</v>
      </c>
      <c r="C4270" s="2">
        <v>0.83333333333333337</v>
      </c>
      <c r="D4270">
        <v>17.5</v>
      </c>
      <c r="E4270">
        <f>IF($D4270 &gt; 16, 0, $J$3*(16 - $D4270))</f>
        <v>0</v>
      </c>
      <c r="F4270">
        <f>IF($D4270 &gt; 16, 0,$E4270*$J$5)</f>
        <v>0</v>
      </c>
      <c r="G4270">
        <f t="shared" si="66"/>
        <v>0</v>
      </c>
    </row>
    <row r="4271" spans="2:7" x14ac:dyDescent="0.35">
      <c r="B4271" s="1">
        <v>45835</v>
      </c>
      <c r="C4271" s="2">
        <v>0.875</v>
      </c>
      <c r="D4271">
        <v>16.399999999999999</v>
      </c>
      <c r="E4271">
        <f>IF($D4271 &gt; 16, 0, $J$3*(16 - $D4271))</f>
        <v>0</v>
      </c>
      <c r="F4271">
        <f>IF($D4271 &gt; 16, 0,$E4271*$J$5)</f>
        <v>0</v>
      </c>
      <c r="G4271">
        <f t="shared" si="66"/>
        <v>0</v>
      </c>
    </row>
    <row r="4272" spans="2:7" x14ac:dyDescent="0.35">
      <c r="B4272" s="1">
        <v>45835</v>
      </c>
      <c r="C4272" s="2">
        <v>0.91666666666666663</v>
      </c>
      <c r="D4272">
        <v>15.8</v>
      </c>
      <c r="E4272">
        <f>IF($D4272 &gt; 16, 0, $J$3*(16 - $D4272))</f>
        <v>41.549728540139249</v>
      </c>
      <c r="F4272">
        <f>IF($D4272 &gt; 16, 0,$E4272*$J$5)</f>
        <v>451603.99950277351</v>
      </c>
      <c r="G4272">
        <f t="shared" si="66"/>
        <v>0.19999999999999929</v>
      </c>
    </row>
    <row r="4273" spans="2:7" x14ac:dyDescent="0.35">
      <c r="B4273" s="1">
        <v>45835</v>
      </c>
      <c r="C4273" s="2">
        <v>0.95833333333333337</v>
      </c>
      <c r="D4273">
        <v>16</v>
      </c>
      <c r="E4273">
        <f>IF($D4273 &gt; 16, 0, $J$3*(16 - $D4273))</f>
        <v>0</v>
      </c>
      <c r="F4273">
        <f>IF($D4273 &gt; 16, 0,$E4273*$J$5)</f>
        <v>0</v>
      </c>
      <c r="G4273">
        <f t="shared" si="66"/>
        <v>0</v>
      </c>
    </row>
    <row r="4274" spans="2:7" x14ac:dyDescent="0.35">
      <c r="B4274" s="1">
        <v>45836</v>
      </c>
      <c r="C4274" s="2">
        <v>0</v>
      </c>
      <c r="D4274">
        <v>16</v>
      </c>
      <c r="E4274">
        <f>IF($D4274 &gt; 16, 0, $J$3*(16 - $D4274))</f>
        <v>0</v>
      </c>
      <c r="F4274">
        <f>IF($D4274 &gt; 16, 0,$E4274*$J$5)</f>
        <v>0</v>
      </c>
      <c r="G4274">
        <f t="shared" si="66"/>
        <v>0</v>
      </c>
    </row>
    <row r="4275" spans="2:7" x14ac:dyDescent="0.35">
      <c r="B4275" s="1">
        <v>45836</v>
      </c>
      <c r="C4275" s="2">
        <v>4.1666666666666657E-2</v>
      </c>
      <c r="D4275">
        <v>16</v>
      </c>
      <c r="E4275">
        <f>IF($D4275 &gt; 16, 0, $J$3*(16 - $D4275))</f>
        <v>0</v>
      </c>
      <c r="F4275">
        <f>IF($D4275 &gt; 16, 0,$E4275*$J$5)</f>
        <v>0</v>
      </c>
      <c r="G4275">
        <f t="shared" si="66"/>
        <v>0</v>
      </c>
    </row>
    <row r="4276" spans="2:7" x14ac:dyDescent="0.35">
      <c r="B4276" s="1">
        <v>45836</v>
      </c>
      <c r="C4276" s="2">
        <v>8.3333333333333329E-2</v>
      </c>
      <c r="D4276">
        <v>15.1</v>
      </c>
      <c r="E4276">
        <f>IF($D4276 &gt; 16, 0, $J$3*(16 - $D4276))</f>
        <v>186.97377843062736</v>
      </c>
      <c r="F4276">
        <f>IF($D4276 &gt; 16, 0,$E4276*$J$5)</f>
        <v>2032217.9977624889</v>
      </c>
      <c r="G4276">
        <f t="shared" si="66"/>
        <v>0.90000000000000036</v>
      </c>
    </row>
    <row r="4277" spans="2:7" x14ac:dyDescent="0.35">
      <c r="B4277" s="1">
        <v>45836</v>
      </c>
      <c r="C4277" s="2">
        <v>0.125</v>
      </c>
      <c r="D4277">
        <v>14.8</v>
      </c>
      <c r="E4277">
        <f>IF($D4277 &gt; 16, 0, $J$3*(16 - $D4277))</f>
        <v>249.29837124083625</v>
      </c>
      <c r="F4277">
        <f>IF($D4277 &gt; 16, 0,$E4277*$J$5)</f>
        <v>2709623.9970166492</v>
      </c>
      <c r="G4277">
        <f t="shared" si="66"/>
        <v>1.1999999999999993</v>
      </c>
    </row>
    <row r="4278" spans="2:7" x14ac:dyDescent="0.35">
      <c r="B4278" s="1">
        <v>45836</v>
      </c>
      <c r="C4278" s="2">
        <v>0.16666666666666671</v>
      </c>
      <c r="D4278">
        <v>15.2</v>
      </c>
      <c r="E4278">
        <f>IF($D4278 &gt; 16, 0, $J$3*(16 - $D4278))</f>
        <v>166.19891416055773</v>
      </c>
      <c r="F4278">
        <f>IF($D4278 &gt; 16, 0,$E4278*$J$5)</f>
        <v>1806415.998011102</v>
      </c>
      <c r="G4278">
        <f t="shared" si="66"/>
        <v>0.80000000000000071</v>
      </c>
    </row>
    <row r="4279" spans="2:7" x14ac:dyDescent="0.35">
      <c r="B4279" s="1">
        <v>45836</v>
      </c>
      <c r="C4279" s="2">
        <v>0.20833333333333329</v>
      </c>
      <c r="D4279">
        <v>17.100000000000001</v>
      </c>
      <c r="E4279">
        <f>IF($D4279 &gt; 16, 0, $J$3*(16 - $D4279))</f>
        <v>0</v>
      </c>
      <c r="F4279">
        <f>IF($D4279 &gt; 16, 0,$E4279*$J$5)</f>
        <v>0</v>
      </c>
      <c r="G4279">
        <f t="shared" si="66"/>
        <v>0</v>
      </c>
    </row>
    <row r="4280" spans="2:7" x14ac:dyDescent="0.35">
      <c r="B4280" s="1">
        <v>45836</v>
      </c>
      <c r="C4280" s="2">
        <v>0.25</v>
      </c>
      <c r="D4280">
        <v>18.399999999999999</v>
      </c>
      <c r="E4280">
        <f>IF($D4280 &gt; 16, 0, $J$3*(16 - $D4280))</f>
        <v>0</v>
      </c>
      <c r="F4280">
        <f>IF($D4280 &gt; 16, 0,$E4280*$J$5)</f>
        <v>0</v>
      </c>
      <c r="G4280">
        <f t="shared" si="66"/>
        <v>0</v>
      </c>
    </row>
    <row r="4281" spans="2:7" x14ac:dyDescent="0.35">
      <c r="B4281" s="1">
        <v>45836</v>
      </c>
      <c r="C4281" s="2">
        <v>0.29166666666666669</v>
      </c>
      <c r="D4281">
        <v>20.2</v>
      </c>
      <c r="E4281">
        <f>IF($D4281 &gt; 16, 0, $J$3*(16 - $D4281))</f>
        <v>0</v>
      </c>
      <c r="F4281">
        <f>IF($D4281 &gt; 16, 0,$E4281*$J$5)</f>
        <v>0</v>
      </c>
      <c r="G4281">
        <f t="shared" si="66"/>
        <v>0</v>
      </c>
    </row>
    <row r="4282" spans="2:7" x14ac:dyDescent="0.35">
      <c r="B4282" s="1">
        <v>45836</v>
      </c>
      <c r="C4282" s="2">
        <v>0.33333333333333331</v>
      </c>
      <c r="D4282">
        <v>21.4</v>
      </c>
      <c r="E4282">
        <f>IF($D4282 &gt; 16, 0, $J$3*(16 - $D4282))</f>
        <v>0</v>
      </c>
      <c r="F4282">
        <f>IF($D4282 &gt; 16, 0,$E4282*$J$5)</f>
        <v>0</v>
      </c>
      <c r="G4282">
        <f t="shared" si="66"/>
        <v>0</v>
      </c>
    </row>
    <row r="4283" spans="2:7" x14ac:dyDescent="0.35">
      <c r="B4283" s="1">
        <v>45836</v>
      </c>
      <c r="C4283" s="2">
        <v>0.375</v>
      </c>
      <c r="D4283">
        <v>22.8</v>
      </c>
      <c r="E4283">
        <f>IF($D4283 &gt; 16, 0, $J$3*(16 - $D4283))</f>
        <v>0</v>
      </c>
      <c r="F4283">
        <f>IF($D4283 &gt; 16, 0,$E4283*$J$5)</f>
        <v>0</v>
      </c>
      <c r="G4283">
        <f t="shared" si="66"/>
        <v>0</v>
      </c>
    </row>
    <row r="4284" spans="2:7" x14ac:dyDescent="0.35">
      <c r="B4284" s="1">
        <v>45836</v>
      </c>
      <c r="C4284" s="2">
        <v>0.41666666666666669</v>
      </c>
      <c r="D4284">
        <v>23.8</v>
      </c>
      <c r="E4284">
        <f>IF($D4284 &gt; 16, 0, $J$3*(16 - $D4284))</f>
        <v>0</v>
      </c>
      <c r="F4284">
        <f>IF($D4284 &gt; 16, 0,$E4284*$J$5)</f>
        <v>0</v>
      </c>
      <c r="G4284">
        <f t="shared" si="66"/>
        <v>0</v>
      </c>
    </row>
    <row r="4285" spans="2:7" x14ac:dyDescent="0.35">
      <c r="B4285" s="1">
        <v>45836</v>
      </c>
      <c r="C4285" s="2">
        <v>0.45833333333333331</v>
      </c>
      <c r="D4285">
        <v>24.2</v>
      </c>
      <c r="E4285">
        <f>IF($D4285 &gt; 16, 0, $J$3*(16 - $D4285))</f>
        <v>0</v>
      </c>
      <c r="F4285">
        <f>IF($D4285 &gt; 16, 0,$E4285*$J$5)</f>
        <v>0</v>
      </c>
      <c r="G4285">
        <f t="shared" si="66"/>
        <v>0</v>
      </c>
    </row>
    <row r="4286" spans="2:7" x14ac:dyDescent="0.35">
      <c r="B4286" s="1">
        <v>45836</v>
      </c>
      <c r="C4286" s="2">
        <v>0.5</v>
      </c>
      <c r="D4286">
        <v>23.7</v>
      </c>
      <c r="E4286">
        <f>IF($D4286 &gt; 16, 0, $J$3*(16 - $D4286))</f>
        <v>0</v>
      </c>
      <c r="F4286">
        <f>IF($D4286 &gt; 16, 0,$E4286*$J$5)</f>
        <v>0</v>
      </c>
      <c r="G4286">
        <f t="shared" si="66"/>
        <v>0</v>
      </c>
    </row>
    <row r="4287" spans="2:7" x14ac:dyDescent="0.35">
      <c r="B4287" s="1">
        <v>45836</v>
      </c>
      <c r="C4287" s="2">
        <v>0.54166666666666663</v>
      </c>
      <c r="D4287">
        <v>23.7</v>
      </c>
      <c r="E4287">
        <f>IF($D4287 &gt; 16, 0, $J$3*(16 - $D4287))</f>
        <v>0</v>
      </c>
      <c r="F4287">
        <f>IF($D4287 &gt; 16, 0,$E4287*$J$5)</f>
        <v>0</v>
      </c>
      <c r="G4287">
        <f t="shared" si="66"/>
        <v>0</v>
      </c>
    </row>
    <row r="4288" spans="2:7" x14ac:dyDescent="0.35">
      <c r="B4288" s="1">
        <v>45836</v>
      </c>
      <c r="C4288" s="2">
        <v>0.58333333333333337</v>
      </c>
      <c r="D4288">
        <v>22.8</v>
      </c>
      <c r="E4288">
        <f>IF($D4288 &gt; 16, 0, $J$3*(16 - $D4288))</f>
        <v>0</v>
      </c>
      <c r="F4288">
        <f>IF($D4288 &gt; 16, 0,$E4288*$J$5)</f>
        <v>0</v>
      </c>
      <c r="G4288">
        <f t="shared" si="66"/>
        <v>0</v>
      </c>
    </row>
    <row r="4289" spans="2:7" x14ac:dyDescent="0.35">
      <c r="B4289" s="1">
        <v>45836</v>
      </c>
      <c r="C4289" s="2">
        <v>0.625</v>
      </c>
      <c r="D4289">
        <v>22.7</v>
      </c>
      <c r="E4289">
        <f>IF($D4289 &gt; 16, 0, $J$3*(16 - $D4289))</f>
        <v>0</v>
      </c>
      <c r="F4289">
        <f>IF($D4289 &gt; 16, 0,$E4289*$J$5)</f>
        <v>0</v>
      </c>
      <c r="G4289">
        <f t="shared" si="66"/>
        <v>0</v>
      </c>
    </row>
    <row r="4290" spans="2:7" x14ac:dyDescent="0.35">
      <c r="B4290" s="1">
        <v>45836</v>
      </c>
      <c r="C4290" s="2">
        <v>0.66666666666666663</v>
      </c>
      <c r="D4290">
        <v>22.7</v>
      </c>
      <c r="E4290">
        <f>IF($D4290 &gt; 16, 0, $J$3*(16 - $D4290))</f>
        <v>0</v>
      </c>
      <c r="F4290">
        <f>IF($D4290 &gt; 16, 0,$E4290*$J$5)</f>
        <v>0</v>
      </c>
      <c r="G4290">
        <f t="shared" si="66"/>
        <v>0</v>
      </c>
    </row>
    <row r="4291" spans="2:7" x14ac:dyDescent="0.35">
      <c r="B4291" s="1">
        <v>45836</v>
      </c>
      <c r="C4291" s="2">
        <v>0.70833333333333337</v>
      </c>
      <c r="D4291">
        <v>21.3</v>
      </c>
      <c r="E4291">
        <f>IF($D4291 &gt; 16, 0, $J$3*(16 - $D4291))</f>
        <v>0</v>
      </c>
      <c r="F4291">
        <f>IF($D4291 &gt; 16, 0,$E4291*$J$5)</f>
        <v>0</v>
      </c>
      <c r="G4291">
        <f t="shared" ref="G4291:G4354" si="67">MAX(0, 16 - $D4291)</f>
        <v>0</v>
      </c>
    </row>
    <row r="4292" spans="2:7" x14ac:dyDescent="0.35">
      <c r="B4292" s="1">
        <v>45836</v>
      </c>
      <c r="C4292" s="2">
        <v>0.75</v>
      </c>
      <c r="D4292">
        <v>20.9</v>
      </c>
      <c r="E4292">
        <f>IF($D4292 &gt; 16, 0, $J$3*(16 - $D4292))</f>
        <v>0</v>
      </c>
      <c r="F4292">
        <f>IF($D4292 &gt; 16, 0,$E4292*$J$5)</f>
        <v>0</v>
      </c>
      <c r="G4292">
        <f t="shared" si="67"/>
        <v>0</v>
      </c>
    </row>
    <row r="4293" spans="2:7" x14ac:dyDescent="0.35">
      <c r="B4293" s="1">
        <v>45836</v>
      </c>
      <c r="C4293" s="2">
        <v>0.79166666666666663</v>
      </c>
      <c r="D4293">
        <v>19.899999999999999</v>
      </c>
      <c r="E4293">
        <f>IF($D4293 &gt; 16, 0, $J$3*(16 - $D4293))</f>
        <v>0</v>
      </c>
      <c r="F4293">
        <f>IF($D4293 &gt; 16, 0,$E4293*$J$5)</f>
        <v>0</v>
      </c>
      <c r="G4293">
        <f t="shared" si="67"/>
        <v>0</v>
      </c>
    </row>
    <row r="4294" spans="2:7" x14ac:dyDescent="0.35">
      <c r="B4294" s="1">
        <v>45836</v>
      </c>
      <c r="C4294" s="2">
        <v>0.83333333333333337</v>
      </c>
      <c r="D4294">
        <v>20</v>
      </c>
      <c r="E4294">
        <f>IF($D4294 &gt; 16, 0, $J$3*(16 - $D4294))</f>
        <v>0</v>
      </c>
      <c r="F4294">
        <f>IF($D4294 &gt; 16, 0,$E4294*$J$5)</f>
        <v>0</v>
      </c>
      <c r="G4294">
        <f t="shared" si="67"/>
        <v>0</v>
      </c>
    </row>
    <row r="4295" spans="2:7" x14ac:dyDescent="0.35">
      <c r="B4295" s="1">
        <v>45836</v>
      </c>
      <c r="C4295" s="2">
        <v>0.875</v>
      </c>
      <c r="D4295">
        <v>20.100000000000001</v>
      </c>
      <c r="E4295">
        <f>IF($D4295 &gt; 16, 0, $J$3*(16 - $D4295))</f>
        <v>0</v>
      </c>
      <c r="F4295">
        <f>IF($D4295 &gt; 16, 0,$E4295*$J$5)</f>
        <v>0</v>
      </c>
      <c r="G4295">
        <f t="shared" si="67"/>
        <v>0</v>
      </c>
    </row>
    <row r="4296" spans="2:7" x14ac:dyDescent="0.35">
      <c r="B4296" s="1">
        <v>45836</v>
      </c>
      <c r="C4296" s="2">
        <v>0.91666666666666663</v>
      </c>
      <c r="D4296">
        <v>20.100000000000001</v>
      </c>
      <c r="E4296">
        <f>IF($D4296 &gt; 16, 0, $J$3*(16 - $D4296))</f>
        <v>0</v>
      </c>
      <c r="F4296">
        <f>IF($D4296 &gt; 16, 0,$E4296*$J$5)</f>
        <v>0</v>
      </c>
      <c r="G4296">
        <f t="shared" si="67"/>
        <v>0</v>
      </c>
    </row>
    <row r="4297" spans="2:7" x14ac:dyDescent="0.35">
      <c r="B4297" s="1">
        <v>45836</v>
      </c>
      <c r="C4297" s="2">
        <v>0.95833333333333337</v>
      </c>
      <c r="D4297">
        <v>20.6</v>
      </c>
      <c r="E4297">
        <f>IF($D4297 &gt; 16, 0, $J$3*(16 - $D4297))</f>
        <v>0</v>
      </c>
      <c r="F4297">
        <f>IF($D4297 &gt; 16, 0,$E4297*$J$5)</f>
        <v>0</v>
      </c>
      <c r="G4297">
        <f t="shared" si="67"/>
        <v>0</v>
      </c>
    </row>
    <row r="4298" spans="2:7" x14ac:dyDescent="0.35">
      <c r="B4298" s="1">
        <v>45837</v>
      </c>
      <c r="C4298" s="2">
        <v>0</v>
      </c>
      <c r="D4298">
        <v>20.2</v>
      </c>
      <c r="E4298">
        <f>IF($D4298 &gt; 16, 0, $J$3*(16 - $D4298))</f>
        <v>0</v>
      </c>
      <c r="F4298">
        <f>IF($D4298 &gt; 16, 0,$E4298*$J$5)</f>
        <v>0</v>
      </c>
      <c r="G4298">
        <f t="shared" si="67"/>
        <v>0</v>
      </c>
    </row>
    <row r="4299" spans="2:7" x14ac:dyDescent="0.35">
      <c r="B4299" s="1">
        <v>45837</v>
      </c>
      <c r="C4299" s="2">
        <v>4.1666666666666657E-2</v>
      </c>
      <c r="D4299">
        <v>19.8</v>
      </c>
      <c r="E4299">
        <f>IF($D4299 &gt; 16, 0, $J$3*(16 - $D4299))</f>
        <v>0</v>
      </c>
      <c r="F4299">
        <f>IF($D4299 &gt; 16, 0,$E4299*$J$5)</f>
        <v>0</v>
      </c>
      <c r="G4299">
        <f t="shared" si="67"/>
        <v>0</v>
      </c>
    </row>
    <row r="4300" spans="2:7" x14ac:dyDescent="0.35">
      <c r="B4300" s="1">
        <v>45837</v>
      </c>
      <c r="C4300" s="2">
        <v>8.3333333333333329E-2</v>
      </c>
      <c r="D4300">
        <v>19.7</v>
      </c>
      <c r="E4300">
        <f>IF($D4300 &gt; 16, 0, $J$3*(16 - $D4300))</f>
        <v>0</v>
      </c>
      <c r="F4300">
        <f>IF($D4300 &gt; 16, 0,$E4300*$J$5)</f>
        <v>0</v>
      </c>
      <c r="G4300">
        <f t="shared" si="67"/>
        <v>0</v>
      </c>
    </row>
    <row r="4301" spans="2:7" x14ac:dyDescent="0.35">
      <c r="B4301" s="1">
        <v>45837</v>
      </c>
      <c r="C4301" s="2">
        <v>0.125</v>
      </c>
      <c r="D4301">
        <v>19.600000000000001</v>
      </c>
      <c r="E4301">
        <f>IF($D4301 &gt; 16, 0, $J$3*(16 - $D4301))</f>
        <v>0</v>
      </c>
      <c r="F4301">
        <f>IF($D4301 &gt; 16, 0,$E4301*$J$5)</f>
        <v>0</v>
      </c>
      <c r="G4301">
        <f t="shared" si="67"/>
        <v>0</v>
      </c>
    </row>
    <row r="4302" spans="2:7" x14ac:dyDescent="0.35">
      <c r="B4302" s="1">
        <v>45837</v>
      </c>
      <c r="C4302" s="2">
        <v>0.16666666666666671</v>
      </c>
      <c r="D4302">
        <v>19.7</v>
      </c>
      <c r="E4302">
        <f>IF($D4302 &gt; 16, 0, $J$3*(16 - $D4302))</f>
        <v>0</v>
      </c>
      <c r="F4302">
        <f>IF($D4302 &gt; 16, 0,$E4302*$J$5)</f>
        <v>0</v>
      </c>
      <c r="G4302">
        <f t="shared" si="67"/>
        <v>0</v>
      </c>
    </row>
    <row r="4303" spans="2:7" x14ac:dyDescent="0.35">
      <c r="B4303" s="1">
        <v>45837</v>
      </c>
      <c r="C4303" s="2">
        <v>0.20833333333333329</v>
      </c>
      <c r="D4303">
        <v>20.100000000000001</v>
      </c>
      <c r="E4303">
        <f>IF($D4303 &gt; 16, 0, $J$3*(16 - $D4303))</f>
        <v>0</v>
      </c>
      <c r="F4303">
        <f>IF($D4303 &gt; 16, 0,$E4303*$J$5)</f>
        <v>0</v>
      </c>
      <c r="G4303">
        <f t="shared" si="67"/>
        <v>0</v>
      </c>
    </row>
    <row r="4304" spans="2:7" x14ac:dyDescent="0.35">
      <c r="B4304" s="1">
        <v>45837</v>
      </c>
      <c r="C4304" s="2">
        <v>0.25</v>
      </c>
      <c r="D4304">
        <v>20.2</v>
      </c>
      <c r="E4304">
        <f>IF($D4304 &gt; 16, 0, $J$3*(16 - $D4304))</f>
        <v>0</v>
      </c>
      <c r="F4304">
        <f>IF($D4304 &gt; 16, 0,$E4304*$J$5)</f>
        <v>0</v>
      </c>
      <c r="G4304">
        <f t="shared" si="67"/>
        <v>0</v>
      </c>
    </row>
    <row r="4305" spans="2:7" x14ac:dyDescent="0.35">
      <c r="B4305" s="1">
        <v>45837</v>
      </c>
      <c r="C4305" s="2">
        <v>0.29166666666666669</v>
      </c>
      <c r="D4305">
        <v>21.4</v>
      </c>
      <c r="E4305">
        <f>IF($D4305 &gt; 16, 0, $J$3*(16 - $D4305))</f>
        <v>0</v>
      </c>
      <c r="F4305">
        <f>IF($D4305 &gt; 16, 0,$E4305*$J$5)</f>
        <v>0</v>
      </c>
      <c r="G4305">
        <f t="shared" si="67"/>
        <v>0</v>
      </c>
    </row>
    <row r="4306" spans="2:7" x14ac:dyDescent="0.35">
      <c r="B4306" s="1">
        <v>45837</v>
      </c>
      <c r="C4306" s="2">
        <v>0.33333333333333331</v>
      </c>
      <c r="D4306">
        <v>22</v>
      </c>
      <c r="E4306">
        <f>IF($D4306 &gt; 16, 0, $J$3*(16 - $D4306))</f>
        <v>0</v>
      </c>
      <c r="F4306">
        <f>IF($D4306 &gt; 16, 0,$E4306*$J$5)</f>
        <v>0</v>
      </c>
      <c r="G4306">
        <f t="shared" si="67"/>
        <v>0</v>
      </c>
    </row>
    <row r="4307" spans="2:7" x14ac:dyDescent="0.35">
      <c r="B4307" s="1">
        <v>45837</v>
      </c>
      <c r="C4307" s="2">
        <v>0.375</v>
      </c>
      <c r="D4307">
        <v>21.1</v>
      </c>
      <c r="E4307">
        <f>IF($D4307 &gt; 16, 0, $J$3*(16 - $D4307))</f>
        <v>0</v>
      </c>
      <c r="F4307">
        <f>IF($D4307 &gt; 16, 0,$E4307*$J$5)</f>
        <v>0</v>
      </c>
      <c r="G4307">
        <f t="shared" si="67"/>
        <v>0</v>
      </c>
    </row>
    <row r="4308" spans="2:7" x14ac:dyDescent="0.35">
      <c r="B4308" s="1">
        <v>45837</v>
      </c>
      <c r="C4308" s="2">
        <v>0.41666666666666669</v>
      </c>
      <c r="D4308">
        <v>21.4</v>
      </c>
      <c r="E4308">
        <f>IF($D4308 &gt; 16, 0, $J$3*(16 - $D4308))</f>
        <v>0</v>
      </c>
      <c r="F4308">
        <f>IF($D4308 &gt; 16, 0,$E4308*$J$5)</f>
        <v>0</v>
      </c>
      <c r="G4308">
        <f t="shared" si="67"/>
        <v>0</v>
      </c>
    </row>
    <row r="4309" spans="2:7" x14ac:dyDescent="0.35">
      <c r="B4309" s="1">
        <v>45837</v>
      </c>
      <c r="C4309" s="2">
        <v>0.45833333333333331</v>
      </c>
      <c r="D4309">
        <v>22.2</v>
      </c>
      <c r="E4309">
        <f>IF($D4309 &gt; 16, 0, $J$3*(16 - $D4309))</f>
        <v>0</v>
      </c>
      <c r="F4309">
        <f>IF($D4309 &gt; 16, 0,$E4309*$J$5)</f>
        <v>0</v>
      </c>
      <c r="G4309">
        <f t="shared" si="67"/>
        <v>0</v>
      </c>
    </row>
    <row r="4310" spans="2:7" x14ac:dyDescent="0.35">
      <c r="B4310" s="1">
        <v>45837</v>
      </c>
      <c r="C4310" s="2">
        <v>0.5</v>
      </c>
      <c r="D4310">
        <v>22.5</v>
      </c>
      <c r="E4310">
        <f>IF($D4310 &gt; 16, 0, $J$3*(16 - $D4310))</f>
        <v>0</v>
      </c>
      <c r="F4310">
        <f>IF($D4310 &gt; 16, 0,$E4310*$J$5)</f>
        <v>0</v>
      </c>
      <c r="G4310">
        <f t="shared" si="67"/>
        <v>0</v>
      </c>
    </row>
    <row r="4311" spans="2:7" x14ac:dyDescent="0.35">
      <c r="B4311" s="1">
        <v>45837</v>
      </c>
      <c r="C4311" s="2">
        <v>0.54166666666666663</v>
      </c>
      <c r="D4311">
        <v>22.1</v>
      </c>
      <c r="E4311">
        <f>IF($D4311 &gt; 16, 0, $J$3*(16 - $D4311))</f>
        <v>0</v>
      </c>
      <c r="F4311">
        <f>IF($D4311 &gt; 16, 0,$E4311*$J$5)</f>
        <v>0</v>
      </c>
      <c r="G4311">
        <f t="shared" si="67"/>
        <v>0</v>
      </c>
    </row>
    <row r="4312" spans="2:7" x14ac:dyDescent="0.35">
      <c r="B4312" s="1">
        <v>45837</v>
      </c>
      <c r="C4312" s="2">
        <v>0.58333333333333337</v>
      </c>
      <c r="D4312">
        <v>21.6</v>
      </c>
      <c r="E4312">
        <f>IF($D4312 &gt; 16, 0, $J$3*(16 - $D4312))</f>
        <v>0</v>
      </c>
      <c r="F4312">
        <f>IF($D4312 &gt; 16, 0,$E4312*$J$5)</f>
        <v>0</v>
      </c>
      <c r="G4312">
        <f t="shared" si="67"/>
        <v>0</v>
      </c>
    </row>
    <row r="4313" spans="2:7" x14ac:dyDescent="0.35">
      <c r="B4313" s="1">
        <v>45837</v>
      </c>
      <c r="C4313" s="2">
        <v>0.625</v>
      </c>
      <c r="D4313">
        <v>21.1</v>
      </c>
      <c r="E4313">
        <f>IF($D4313 &gt; 16, 0, $J$3*(16 - $D4313))</f>
        <v>0</v>
      </c>
      <c r="F4313">
        <f>IF($D4313 &gt; 16, 0,$E4313*$J$5)</f>
        <v>0</v>
      </c>
      <c r="G4313">
        <f t="shared" si="67"/>
        <v>0</v>
      </c>
    </row>
    <row r="4314" spans="2:7" x14ac:dyDescent="0.35">
      <c r="B4314" s="1">
        <v>45837</v>
      </c>
      <c r="C4314" s="2">
        <v>0.66666666666666663</v>
      </c>
      <c r="D4314">
        <v>20</v>
      </c>
      <c r="E4314">
        <f>IF($D4314 &gt; 16, 0, $J$3*(16 - $D4314))</f>
        <v>0</v>
      </c>
      <c r="F4314">
        <f>IF($D4314 &gt; 16, 0,$E4314*$J$5)</f>
        <v>0</v>
      </c>
      <c r="G4314">
        <f t="shared" si="67"/>
        <v>0</v>
      </c>
    </row>
    <row r="4315" spans="2:7" x14ac:dyDescent="0.35">
      <c r="B4315" s="1">
        <v>45837</v>
      </c>
      <c r="C4315" s="2">
        <v>0.70833333333333337</v>
      </c>
      <c r="D4315">
        <v>19.5</v>
      </c>
      <c r="E4315">
        <f>IF($D4315 &gt; 16, 0, $J$3*(16 - $D4315))</f>
        <v>0</v>
      </c>
      <c r="F4315">
        <f>IF($D4315 &gt; 16, 0,$E4315*$J$5)</f>
        <v>0</v>
      </c>
      <c r="G4315">
        <f t="shared" si="67"/>
        <v>0</v>
      </c>
    </row>
    <row r="4316" spans="2:7" x14ac:dyDescent="0.35">
      <c r="B4316" s="1">
        <v>45837</v>
      </c>
      <c r="C4316" s="2">
        <v>0.75</v>
      </c>
      <c r="D4316">
        <v>18.100000000000001</v>
      </c>
      <c r="E4316">
        <f>IF($D4316 &gt; 16, 0, $J$3*(16 - $D4316))</f>
        <v>0</v>
      </c>
      <c r="F4316">
        <f>IF($D4316 &gt; 16, 0,$E4316*$J$5)</f>
        <v>0</v>
      </c>
      <c r="G4316">
        <f t="shared" si="67"/>
        <v>0</v>
      </c>
    </row>
    <row r="4317" spans="2:7" x14ac:dyDescent="0.35">
      <c r="B4317" s="1">
        <v>45837</v>
      </c>
      <c r="C4317" s="2">
        <v>0.79166666666666663</v>
      </c>
      <c r="D4317">
        <v>17.2</v>
      </c>
      <c r="E4317">
        <f>IF($D4317 &gt; 16, 0, $J$3*(16 - $D4317))</f>
        <v>0</v>
      </c>
      <c r="F4317">
        <f>IF($D4317 &gt; 16, 0,$E4317*$J$5)</f>
        <v>0</v>
      </c>
      <c r="G4317">
        <f t="shared" si="67"/>
        <v>0</v>
      </c>
    </row>
    <row r="4318" spans="2:7" x14ac:dyDescent="0.35">
      <c r="B4318" s="1">
        <v>45837</v>
      </c>
      <c r="C4318" s="2">
        <v>0.83333333333333337</v>
      </c>
      <c r="D4318">
        <v>15.9</v>
      </c>
      <c r="E4318">
        <f>IF($D4318 &gt; 16, 0, $J$3*(16 - $D4318))</f>
        <v>20.774864270069624</v>
      </c>
      <c r="F4318">
        <f>IF($D4318 &gt; 16, 0,$E4318*$J$5)</f>
        <v>225801.99975138676</v>
      </c>
      <c r="G4318">
        <f t="shared" si="67"/>
        <v>9.9999999999999645E-2</v>
      </c>
    </row>
    <row r="4319" spans="2:7" x14ac:dyDescent="0.35">
      <c r="B4319" s="1">
        <v>45837</v>
      </c>
      <c r="C4319" s="2">
        <v>0.875</v>
      </c>
      <c r="D4319">
        <v>14.7</v>
      </c>
      <c r="E4319">
        <f>IF($D4319 &gt; 16, 0, $J$3*(16 - $D4319))</f>
        <v>270.07323551090622</v>
      </c>
      <c r="F4319">
        <f>IF($D4319 &gt; 16, 0,$E4319*$J$5)</f>
        <v>2935425.9967680397</v>
      </c>
      <c r="G4319">
        <f t="shared" si="67"/>
        <v>1.3000000000000007</v>
      </c>
    </row>
    <row r="4320" spans="2:7" x14ac:dyDescent="0.35">
      <c r="B4320" s="1">
        <v>45837</v>
      </c>
      <c r="C4320" s="2">
        <v>0.91666666666666663</v>
      </c>
      <c r="D4320">
        <v>13.9</v>
      </c>
      <c r="E4320">
        <f>IF($D4320 &gt; 16, 0, $J$3*(16 - $D4320))</f>
        <v>436.27214967146358</v>
      </c>
      <c r="F4320">
        <f>IF($D4320 &gt; 16, 0,$E4320*$J$5)</f>
        <v>4741841.9947791379</v>
      </c>
      <c r="G4320">
        <f t="shared" si="67"/>
        <v>2.0999999999999996</v>
      </c>
    </row>
    <row r="4321" spans="2:7" x14ac:dyDescent="0.35">
      <c r="B4321" s="1">
        <v>45837</v>
      </c>
      <c r="C4321" s="2">
        <v>0.95833333333333337</v>
      </c>
      <c r="D4321">
        <v>12.8</v>
      </c>
      <c r="E4321">
        <f>IF($D4321 &gt; 16, 0, $J$3*(16 - $D4321))</f>
        <v>664.79565664223026</v>
      </c>
      <c r="F4321">
        <f>IF($D4321 &gt; 16, 0,$E4321*$J$5)</f>
        <v>7225663.9920444004</v>
      </c>
      <c r="G4321">
        <f t="shared" si="67"/>
        <v>3.1999999999999993</v>
      </c>
    </row>
    <row r="4322" spans="2:7" x14ac:dyDescent="0.35">
      <c r="B4322" s="1">
        <v>45838</v>
      </c>
      <c r="C4322" s="2">
        <v>0</v>
      </c>
      <c r="D4322">
        <v>11.3</v>
      </c>
      <c r="E4322">
        <f>IF($D4322 &gt; 16, 0, $J$3*(16 - $D4322))</f>
        <v>976.41862069327567</v>
      </c>
      <c r="F4322">
        <f>IF($D4322 &gt; 16, 0,$E4322*$J$5)</f>
        <v>10612693.988315213</v>
      </c>
      <c r="G4322">
        <f t="shared" si="67"/>
        <v>4.6999999999999993</v>
      </c>
    </row>
    <row r="4323" spans="2:7" x14ac:dyDescent="0.35">
      <c r="B4323" s="1">
        <v>45838</v>
      </c>
      <c r="C4323" s="2">
        <v>4.1666666666666657E-2</v>
      </c>
      <c r="D4323">
        <v>10.9</v>
      </c>
      <c r="E4323">
        <f>IF($D4323 &gt; 16, 0, $J$3*(16 - $D4323))</f>
        <v>1059.5180777735545</v>
      </c>
      <c r="F4323">
        <f>IF($D4323 &gt; 16, 0,$E4323*$J$5)</f>
        <v>11515901.987320764</v>
      </c>
      <c r="G4323">
        <f t="shared" si="67"/>
        <v>5.0999999999999996</v>
      </c>
    </row>
    <row r="4324" spans="2:7" x14ac:dyDescent="0.35">
      <c r="B4324" s="1">
        <v>45838</v>
      </c>
      <c r="C4324" s="2">
        <v>8.3333333333333329E-2</v>
      </c>
      <c r="D4324">
        <v>10</v>
      </c>
      <c r="E4324">
        <f>IF($D4324 &gt; 16, 0, $J$3*(16 - $D4324))</f>
        <v>1246.4918562041819</v>
      </c>
      <c r="F4324">
        <f>IF($D4324 &gt; 16, 0,$E4324*$J$5)</f>
        <v>13548119.985083252</v>
      </c>
      <c r="G4324">
        <f t="shared" si="67"/>
        <v>6</v>
      </c>
    </row>
    <row r="4325" spans="2:7" x14ac:dyDescent="0.35">
      <c r="B4325" s="1">
        <v>45838</v>
      </c>
      <c r="C4325" s="2">
        <v>0.125</v>
      </c>
      <c r="D4325">
        <v>9.9</v>
      </c>
      <c r="E4325">
        <f>IF($D4325 &gt; 16, 0, $J$3*(16 - $D4325))</f>
        <v>1267.2667204742515</v>
      </c>
      <c r="F4325">
        <f>IF($D4325 &gt; 16, 0,$E4325*$J$5)</f>
        <v>13773921.984834639</v>
      </c>
      <c r="G4325">
        <f t="shared" si="67"/>
        <v>6.1</v>
      </c>
    </row>
    <row r="4326" spans="2:7" x14ac:dyDescent="0.35">
      <c r="B4326" s="1">
        <v>45838</v>
      </c>
      <c r="C4326" s="2">
        <v>0.16666666666666671</v>
      </c>
      <c r="D4326">
        <v>10.4</v>
      </c>
      <c r="E4326">
        <f>IF($D4326 &gt; 16, 0, $J$3*(16 - $D4326))</f>
        <v>1163.392399123903</v>
      </c>
      <c r="F4326">
        <f>IF($D4326 &gt; 16, 0,$E4326*$J$5)</f>
        <v>12644911.986077702</v>
      </c>
      <c r="G4326">
        <f t="shared" si="67"/>
        <v>5.6</v>
      </c>
    </row>
    <row r="4327" spans="2:7" x14ac:dyDescent="0.35">
      <c r="B4327" s="1">
        <v>45838</v>
      </c>
      <c r="C4327" s="2">
        <v>0.20833333333333329</v>
      </c>
      <c r="D4327">
        <v>14</v>
      </c>
      <c r="E4327">
        <f>IF($D4327 &gt; 16, 0, $J$3*(16 - $D4327))</f>
        <v>415.49728540139398</v>
      </c>
      <c r="F4327">
        <f>IF($D4327 &gt; 16, 0,$E4327*$J$5)</f>
        <v>4516039.9950277507</v>
      </c>
      <c r="G4327">
        <f t="shared" si="67"/>
        <v>2</v>
      </c>
    </row>
    <row r="4328" spans="2:7" x14ac:dyDescent="0.35">
      <c r="B4328" s="1">
        <v>45838</v>
      </c>
      <c r="C4328" s="2">
        <v>0.25</v>
      </c>
      <c r="D4328">
        <v>15.1</v>
      </c>
      <c r="E4328">
        <f>IF($D4328 &gt; 16, 0, $J$3*(16 - $D4328))</f>
        <v>186.97377843062736</v>
      </c>
      <c r="F4328">
        <f>IF($D4328 &gt; 16, 0,$E4328*$J$5)</f>
        <v>2032217.9977624889</v>
      </c>
      <c r="G4328">
        <f t="shared" si="67"/>
        <v>0.90000000000000036</v>
      </c>
    </row>
    <row r="4329" spans="2:7" x14ac:dyDescent="0.35">
      <c r="B4329" s="1">
        <v>45838</v>
      </c>
      <c r="C4329" s="2">
        <v>0.29166666666666669</v>
      </c>
      <c r="D4329">
        <v>16.3</v>
      </c>
      <c r="E4329">
        <f>IF($D4329 &gt; 16, 0, $J$3*(16 - $D4329))</f>
        <v>0</v>
      </c>
      <c r="F4329">
        <f>IF($D4329 &gt; 16, 0,$E4329*$J$5)</f>
        <v>0</v>
      </c>
      <c r="G4329">
        <f t="shared" si="67"/>
        <v>0</v>
      </c>
    </row>
    <row r="4330" spans="2:7" x14ac:dyDescent="0.35">
      <c r="B4330" s="1">
        <v>45838</v>
      </c>
      <c r="C4330" s="2">
        <v>0.33333333333333331</v>
      </c>
      <c r="D4330">
        <v>17.5</v>
      </c>
      <c r="E4330">
        <f>IF($D4330 &gt; 16, 0, $J$3*(16 - $D4330))</f>
        <v>0</v>
      </c>
      <c r="F4330">
        <f>IF($D4330 &gt; 16, 0,$E4330*$J$5)</f>
        <v>0</v>
      </c>
      <c r="G4330">
        <f t="shared" si="67"/>
        <v>0</v>
      </c>
    </row>
    <row r="4331" spans="2:7" x14ac:dyDescent="0.35">
      <c r="B4331" s="1">
        <v>45838</v>
      </c>
      <c r="C4331" s="2">
        <v>0.375</v>
      </c>
      <c r="D4331">
        <v>18.600000000000001</v>
      </c>
      <c r="E4331">
        <f>IF($D4331 &gt; 16, 0, $J$3*(16 - $D4331))</f>
        <v>0</v>
      </c>
      <c r="F4331">
        <f>IF($D4331 &gt; 16, 0,$E4331*$J$5)</f>
        <v>0</v>
      </c>
      <c r="G4331">
        <f t="shared" si="67"/>
        <v>0</v>
      </c>
    </row>
    <row r="4332" spans="2:7" x14ac:dyDescent="0.35">
      <c r="B4332" s="1">
        <v>45838</v>
      </c>
      <c r="C4332" s="2">
        <v>0.41666666666666669</v>
      </c>
      <c r="D4332">
        <v>20.2</v>
      </c>
      <c r="E4332">
        <f>IF($D4332 &gt; 16, 0, $J$3*(16 - $D4332))</f>
        <v>0</v>
      </c>
      <c r="F4332">
        <f>IF($D4332 &gt; 16, 0,$E4332*$J$5)</f>
        <v>0</v>
      </c>
      <c r="G4332">
        <f t="shared" si="67"/>
        <v>0</v>
      </c>
    </row>
    <row r="4333" spans="2:7" x14ac:dyDescent="0.35">
      <c r="B4333" s="1">
        <v>45838</v>
      </c>
      <c r="C4333" s="2">
        <v>0.45833333333333331</v>
      </c>
      <c r="D4333">
        <v>21.5</v>
      </c>
      <c r="E4333">
        <f>IF($D4333 &gt; 16, 0, $J$3*(16 - $D4333))</f>
        <v>0</v>
      </c>
      <c r="F4333">
        <f>IF($D4333 &gt; 16, 0,$E4333*$J$5)</f>
        <v>0</v>
      </c>
      <c r="G4333">
        <f t="shared" si="67"/>
        <v>0</v>
      </c>
    </row>
    <row r="4334" spans="2:7" x14ac:dyDescent="0.35">
      <c r="B4334" s="1">
        <v>45838</v>
      </c>
      <c r="C4334" s="2">
        <v>0.5</v>
      </c>
      <c r="D4334">
        <v>22.1</v>
      </c>
      <c r="E4334">
        <f>IF($D4334 &gt; 16, 0, $J$3*(16 - $D4334))</f>
        <v>0</v>
      </c>
      <c r="F4334">
        <f>IF($D4334 &gt; 16, 0,$E4334*$J$5)</f>
        <v>0</v>
      </c>
      <c r="G4334">
        <f t="shared" si="67"/>
        <v>0</v>
      </c>
    </row>
    <row r="4335" spans="2:7" x14ac:dyDescent="0.35">
      <c r="B4335" s="1">
        <v>45838</v>
      </c>
      <c r="C4335" s="2">
        <v>0.54166666666666663</v>
      </c>
      <c r="D4335">
        <v>22.6</v>
      </c>
      <c r="E4335">
        <f>IF($D4335 &gt; 16, 0, $J$3*(16 - $D4335))</f>
        <v>0</v>
      </c>
      <c r="F4335">
        <f>IF($D4335 &gt; 16, 0,$E4335*$J$5)</f>
        <v>0</v>
      </c>
      <c r="G4335">
        <f t="shared" si="67"/>
        <v>0</v>
      </c>
    </row>
    <row r="4336" spans="2:7" x14ac:dyDescent="0.35">
      <c r="B4336" s="1">
        <v>45838</v>
      </c>
      <c r="C4336" s="2">
        <v>0.58333333333333337</v>
      </c>
      <c r="D4336">
        <v>24.5</v>
      </c>
      <c r="E4336">
        <f>IF($D4336 &gt; 16, 0, $J$3*(16 - $D4336))</f>
        <v>0</v>
      </c>
      <c r="F4336">
        <f>IF($D4336 &gt; 16, 0,$E4336*$J$5)</f>
        <v>0</v>
      </c>
      <c r="G4336">
        <f t="shared" si="67"/>
        <v>0</v>
      </c>
    </row>
    <row r="4337" spans="2:7" x14ac:dyDescent="0.35">
      <c r="B4337" s="1">
        <v>45838</v>
      </c>
      <c r="C4337" s="2">
        <v>0.625</v>
      </c>
      <c r="D4337">
        <v>24.4</v>
      </c>
      <c r="E4337">
        <f>IF($D4337 &gt; 16, 0, $J$3*(16 - $D4337))</f>
        <v>0</v>
      </c>
      <c r="F4337">
        <f>IF($D4337 &gt; 16, 0,$E4337*$J$5)</f>
        <v>0</v>
      </c>
      <c r="G4337">
        <f t="shared" si="67"/>
        <v>0</v>
      </c>
    </row>
    <row r="4338" spans="2:7" x14ac:dyDescent="0.35">
      <c r="B4338" s="1">
        <v>45838</v>
      </c>
      <c r="C4338" s="2">
        <v>0.66666666666666663</v>
      </c>
      <c r="D4338">
        <v>24.3</v>
      </c>
      <c r="E4338">
        <f>IF($D4338 &gt; 16, 0, $J$3*(16 - $D4338))</f>
        <v>0</v>
      </c>
      <c r="F4338">
        <f>IF($D4338 &gt; 16, 0,$E4338*$J$5)</f>
        <v>0</v>
      </c>
      <c r="G4338">
        <f t="shared" si="67"/>
        <v>0</v>
      </c>
    </row>
    <row r="4339" spans="2:7" x14ac:dyDescent="0.35">
      <c r="B4339" s="1">
        <v>45838</v>
      </c>
      <c r="C4339" s="2">
        <v>0.70833333333333337</v>
      </c>
      <c r="D4339">
        <v>24.8</v>
      </c>
      <c r="E4339">
        <f>IF($D4339 &gt; 16, 0, $J$3*(16 - $D4339))</f>
        <v>0</v>
      </c>
      <c r="F4339">
        <f>IF($D4339 &gt; 16, 0,$E4339*$J$5)</f>
        <v>0</v>
      </c>
      <c r="G4339">
        <f t="shared" si="67"/>
        <v>0</v>
      </c>
    </row>
    <row r="4340" spans="2:7" x14ac:dyDescent="0.35">
      <c r="B4340" s="1">
        <v>45838</v>
      </c>
      <c r="C4340" s="2">
        <v>0.75</v>
      </c>
      <c r="D4340">
        <v>24.3</v>
      </c>
      <c r="E4340">
        <f>IF($D4340 &gt; 16, 0, $J$3*(16 - $D4340))</f>
        <v>0</v>
      </c>
      <c r="F4340">
        <f>IF($D4340 &gt; 16, 0,$E4340*$J$5)</f>
        <v>0</v>
      </c>
      <c r="G4340">
        <f t="shared" si="67"/>
        <v>0</v>
      </c>
    </row>
    <row r="4341" spans="2:7" x14ac:dyDescent="0.35">
      <c r="B4341" s="1">
        <v>45838</v>
      </c>
      <c r="C4341" s="2">
        <v>0.79166666666666663</v>
      </c>
      <c r="D4341">
        <v>22.9</v>
      </c>
      <c r="E4341">
        <f>IF($D4341 &gt; 16, 0, $J$3*(16 - $D4341))</f>
        <v>0</v>
      </c>
      <c r="F4341">
        <f>IF($D4341 &gt; 16, 0,$E4341*$J$5)</f>
        <v>0</v>
      </c>
      <c r="G4341">
        <f t="shared" si="67"/>
        <v>0</v>
      </c>
    </row>
    <row r="4342" spans="2:7" x14ac:dyDescent="0.35">
      <c r="B4342" s="1">
        <v>45838</v>
      </c>
      <c r="C4342" s="2">
        <v>0.83333333333333337</v>
      </c>
      <c r="D4342">
        <v>20.100000000000001</v>
      </c>
      <c r="E4342">
        <f>IF($D4342 &gt; 16, 0, $J$3*(16 - $D4342))</f>
        <v>0</v>
      </c>
      <c r="F4342">
        <f>IF($D4342 &gt; 16, 0,$E4342*$J$5)</f>
        <v>0</v>
      </c>
      <c r="G4342">
        <f t="shared" si="67"/>
        <v>0</v>
      </c>
    </row>
    <row r="4343" spans="2:7" x14ac:dyDescent="0.35">
      <c r="B4343" s="1">
        <v>45838</v>
      </c>
      <c r="C4343" s="2">
        <v>0.875</v>
      </c>
      <c r="D4343">
        <v>18.7</v>
      </c>
      <c r="E4343">
        <f>IF($D4343 &gt; 16, 0, $J$3*(16 - $D4343))</f>
        <v>0</v>
      </c>
      <c r="F4343">
        <f>IF($D4343 &gt; 16, 0,$E4343*$J$5)</f>
        <v>0</v>
      </c>
      <c r="G4343">
        <f t="shared" si="67"/>
        <v>0</v>
      </c>
    </row>
    <row r="4344" spans="2:7" x14ac:dyDescent="0.35">
      <c r="B4344" s="1">
        <v>45838</v>
      </c>
      <c r="C4344" s="2">
        <v>0.91666666666666663</v>
      </c>
      <c r="D4344">
        <v>17.7</v>
      </c>
      <c r="E4344">
        <f>IF($D4344 &gt; 16, 0, $J$3*(16 - $D4344))</f>
        <v>0</v>
      </c>
      <c r="F4344">
        <f>IF($D4344 &gt; 16, 0,$E4344*$J$5)</f>
        <v>0</v>
      </c>
      <c r="G4344">
        <f t="shared" si="67"/>
        <v>0</v>
      </c>
    </row>
    <row r="4345" spans="2:7" x14ac:dyDescent="0.35">
      <c r="B4345" s="1">
        <v>45838</v>
      </c>
      <c r="C4345" s="2">
        <v>0.95833333333333337</v>
      </c>
      <c r="D4345">
        <v>16.8</v>
      </c>
      <c r="E4345">
        <f>IF($D4345 &gt; 16, 0, $J$3*(16 - $D4345))</f>
        <v>0</v>
      </c>
      <c r="F4345">
        <f>IF($D4345 &gt; 16, 0,$E4345*$J$5)</f>
        <v>0</v>
      </c>
      <c r="G4345">
        <f t="shared" si="67"/>
        <v>0</v>
      </c>
    </row>
    <row r="4346" spans="2:7" x14ac:dyDescent="0.35">
      <c r="B4346" s="1">
        <v>45839</v>
      </c>
      <c r="C4346" s="2">
        <v>0</v>
      </c>
      <c r="D4346">
        <v>15.8</v>
      </c>
      <c r="E4346">
        <f>IF($D4346 &gt; 16, 0, $J$3*(16 - $D4346))</f>
        <v>41.549728540139249</v>
      </c>
      <c r="F4346">
        <f>IF($D4346 &gt; 16, 0,$E4346*$J$5)</f>
        <v>451603.99950277351</v>
      </c>
      <c r="G4346">
        <f t="shared" si="67"/>
        <v>0.19999999999999929</v>
      </c>
    </row>
    <row r="4347" spans="2:7" x14ac:dyDescent="0.35">
      <c r="B4347" s="1">
        <v>45839</v>
      </c>
      <c r="C4347" s="2">
        <v>4.1666666666666657E-2</v>
      </c>
      <c r="D4347">
        <v>14.9</v>
      </c>
      <c r="E4347">
        <f>IF($D4347 &gt; 16, 0, $J$3*(16 - $D4347))</f>
        <v>228.52350697076662</v>
      </c>
      <c r="F4347">
        <f>IF($D4347 &gt; 16, 0,$E4347*$J$5)</f>
        <v>2483821.9972652625</v>
      </c>
      <c r="G4347">
        <f t="shared" si="67"/>
        <v>1.0999999999999996</v>
      </c>
    </row>
    <row r="4348" spans="2:7" x14ac:dyDescent="0.35">
      <c r="B4348" s="1">
        <v>45839</v>
      </c>
      <c r="C4348" s="2">
        <v>8.3333333333333329E-2</v>
      </c>
      <c r="D4348">
        <v>14.5</v>
      </c>
      <c r="E4348">
        <f>IF($D4348 &gt; 16, 0, $J$3*(16 - $D4348))</f>
        <v>311.62296405104547</v>
      </c>
      <c r="F4348">
        <f>IF($D4348 &gt; 16, 0,$E4348*$J$5)</f>
        <v>3387029.996270813</v>
      </c>
      <c r="G4348">
        <f t="shared" si="67"/>
        <v>1.5</v>
      </c>
    </row>
    <row r="4349" spans="2:7" x14ac:dyDescent="0.35">
      <c r="B4349" s="1">
        <v>45839</v>
      </c>
      <c r="C4349" s="2">
        <v>0.125</v>
      </c>
      <c r="D4349">
        <v>13.7</v>
      </c>
      <c r="E4349">
        <f>IF($D4349 &gt; 16, 0, $J$3*(16 - $D4349))</f>
        <v>477.82187821160323</v>
      </c>
      <c r="F4349">
        <f>IF($D4349 &gt; 16, 0,$E4349*$J$5)</f>
        <v>5193445.9942819159</v>
      </c>
      <c r="G4349">
        <f t="shared" si="67"/>
        <v>2.3000000000000007</v>
      </c>
    </row>
    <row r="4350" spans="2:7" x14ac:dyDescent="0.35">
      <c r="B4350" s="1">
        <v>45839</v>
      </c>
      <c r="C4350" s="2">
        <v>0.16666666666666671</v>
      </c>
      <c r="D4350">
        <v>14.5</v>
      </c>
      <c r="E4350">
        <f>IF($D4350 &gt; 16, 0, $J$3*(16 - $D4350))</f>
        <v>311.62296405104547</v>
      </c>
      <c r="F4350">
        <f>IF($D4350 &gt; 16, 0,$E4350*$J$5)</f>
        <v>3387029.996270813</v>
      </c>
      <c r="G4350">
        <f t="shared" si="67"/>
        <v>1.5</v>
      </c>
    </row>
    <row r="4351" spans="2:7" x14ac:dyDescent="0.35">
      <c r="B4351" s="1">
        <v>45839</v>
      </c>
      <c r="C4351" s="2">
        <v>0.20833333333333329</v>
      </c>
      <c r="D4351">
        <v>16.399999999999999</v>
      </c>
      <c r="E4351">
        <f>IF($D4351 &gt; 16, 0, $J$3*(16 - $D4351))</f>
        <v>0</v>
      </c>
      <c r="F4351">
        <f>IF($D4351 &gt; 16, 0,$E4351*$J$5)</f>
        <v>0</v>
      </c>
      <c r="G4351">
        <f t="shared" si="67"/>
        <v>0</v>
      </c>
    </row>
    <row r="4352" spans="2:7" x14ac:dyDescent="0.35">
      <c r="B4352" s="1">
        <v>45839</v>
      </c>
      <c r="C4352" s="2">
        <v>0.25</v>
      </c>
      <c r="D4352">
        <v>19.100000000000001</v>
      </c>
      <c r="E4352">
        <f>IF($D4352 &gt; 16, 0, $J$3*(16 - $D4352))</f>
        <v>0</v>
      </c>
      <c r="F4352">
        <f>IF($D4352 &gt; 16, 0,$E4352*$J$5)</f>
        <v>0</v>
      </c>
      <c r="G4352">
        <f t="shared" si="67"/>
        <v>0</v>
      </c>
    </row>
    <row r="4353" spans="2:7" x14ac:dyDescent="0.35">
      <c r="B4353" s="1">
        <v>45839</v>
      </c>
      <c r="C4353" s="2">
        <v>0.29166666666666669</v>
      </c>
      <c r="D4353">
        <v>21.4</v>
      </c>
      <c r="E4353">
        <f>IF($D4353 &gt; 16, 0, $J$3*(16 - $D4353))</f>
        <v>0</v>
      </c>
      <c r="F4353">
        <f>IF($D4353 &gt; 16, 0,$E4353*$J$5)</f>
        <v>0</v>
      </c>
      <c r="G4353">
        <f t="shared" si="67"/>
        <v>0</v>
      </c>
    </row>
    <row r="4354" spans="2:7" x14ac:dyDescent="0.35">
      <c r="B4354" s="1">
        <v>45839</v>
      </c>
      <c r="C4354" s="2">
        <v>0.33333333333333331</v>
      </c>
      <c r="D4354">
        <v>23.8</v>
      </c>
      <c r="E4354">
        <f>IF($D4354 &gt; 16, 0, $J$3*(16 - $D4354))</f>
        <v>0</v>
      </c>
      <c r="F4354">
        <f>IF($D4354 &gt; 16, 0,$E4354*$J$5)</f>
        <v>0</v>
      </c>
      <c r="G4354">
        <f t="shared" si="67"/>
        <v>0</v>
      </c>
    </row>
    <row r="4355" spans="2:7" x14ac:dyDescent="0.35">
      <c r="B4355" s="1">
        <v>45839</v>
      </c>
      <c r="C4355" s="2">
        <v>0.375</v>
      </c>
      <c r="D4355">
        <v>25.7</v>
      </c>
      <c r="E4355">
        <f>IF($D4355 &gt; 16, 0, $J$3*(16 - $D4355))</f>
        <v>0</v>
      </c>
      <c r="F4355">
        <f>IF($D4355 &gt; 16, 0,$E4355*$J$5)</f>
        <v>0</v>
      </c>
      <c r="G4355">
        <f t="shared" ref="G4355:G4418" si="68">MAX(0, 16 - $D4355)</f>
        <v>0</v>
      </c>
    </row>
    <row r="4356" spans="2:7" x14ac:dyDescent="0.35">
      <c r="B4356" s="1">
        <v>45839</v>
      </c>
      <c r="C4356" s="2">
        <v>0.41666666666666669</v>
      </c>
      <c r="D4356">
        <v>27</v>
      </c>
      <c r="E4356">
        <f>IF($D4356 &gt; 16, 0, $J$3*(16 - $D4356))</f>
        <v>0</v>
      </c>
      <c r="F4356">
        <f>IF($D4356 &gt; 16, 0,$E4356*$J$5)</f>
        <v>0</v>
      </c>
      <c r="G4356">
        <f t="shared" si="68"/>
        <v>0</v>
      </c>
    </row>
    <row r="4357" spans="2:7" x14ac:dyDescent="0.35">
      <c r="B4357" s="1">
        <v>45839</v>
      </c>
      <c r="C4357" s="2">
        <v>0.45833333333333331</v>
      </c>
      <c r="D4357">
        <v>28.3</v>
      </c>
      <c r="E4357">
        <f>IF($D4357 &gt; 16, 0, $J$3*(16 - $D4357))</f>
        <v>0</v>
      </c>
      <c r="F4357">
        <f>IF($D4357 &gt; 16, 0,$E4357*$J$5)</f>
        <v>0</v>
      </c>
      <c r="G4357">
        <f t="shared" si="68"/>
        <v>0</v>
      </c>
    </row>
    <row r="4358" spans="2:7" x14ac:dyDescent="0.35">
      <c r="B4358" s="1">
        <v>45839</v>
      </c>
      <c r="C4358" s="2">
        <v>0.5</v>
      </c>
      <c r="D4358">
        <v>29.4</v>
      </c>
      <c r="E4358">
        <f>IF($D4358 &gt; 16, 0, $J$3*(16 - $D4358))</f>
        <v>0</v>
      </c>
      <c r="F4358">
        <f>IF($D4358 &gt; 16, 0,$E4358*$J$5)</f>
        <v>0</v>
      </c>
      <c r="G4358">
        <f t="shared" si="68"/>
        <v>0</v>
      </c>
    </row>
    <row r="4359" spans="2:7" x14ac:dyDescent="0.35">
      <c r="B4359" s="1">
        <v>45839</v>
      </c>
      <c r="C4359" s="2">
        <v>0.54166666666666663</v>
      </c>
      <c r="D4359">
        <v>30.1</v>
      </c>
      <c r="E4359">
        <f>IF($D4359 &gt; 16, 0, $J$3*(16 - $D4359))</f>
        <v>0</v>
      </c>
      <c r="F4359">
        <f>IF($D4359 &gt; 16, 0,$E4359*$J$5)</f>
        <v>0</v>
      </c>
      <c r="G4359">
        <f t="shared" si="68"/>
        <v>0</v>
      </c>
    </row>
    <row r="4360" spans="2:7" x14ac:dyDescent="0.35">
      <c r="B4360" s="1">
        <v>45839</v>
      </c>
      <c r="C4360" s="2">
        <v>0.58333333333333337</v>
      </c>
      <c r="D4360">
        <v>30.7</v>
      </c>
      <c r="E4360">
        <f>IF($D4360 &gt; 16, 0, $J$3*(16 - $D4360))</f>
        <v>0</v>
      </c>
      <c r="F4360">
        <f>IF($D4360 &gt; 16, 0,$E4360*$J$5)</f>
        <v>0</v>
      </c>
      <c r="G4360">
        <f t="shared" si="68"/>
        <v>0</v>
      </c>
    </row>
    <row r="4361" spans="2:7" x14ac:dyDescent="0.35">
      <c r="B4361" s="1">
        <v>45839</v>
      </c>
      <c r="C4361" s="2">
        <v>0.625</v>
      </c>
      <c r="D4361">
        <v>31.4</v>
      </c>
      <c r="E4361">
        <f>IF($D4361 &gt; 16, 0, $J$3*(16 - $D4361))</f>
        <v>0</v>
      </c>
      <c r="F4361">
        <f>IF($D4361 &gt; 16, 0,$E4361*$J$5)</f>
        <v>0</v>
      </c>
      <c r="G4361">
        <f t="shared" si="68"/>
        <v>0</v>
      </c>
    </row>
    <row r="4362" spans="2:7" x14ac:dyDescent="0.35">
      <c r="B4362" s="1">
        <v>45839</v>
      </c>
      <c r="C4362" s="2">
        <v>0.66666666666666663</v>
      </c>
      <c r="D4362">
        <v>32.1</v>
      </c>
      <c r="E4362">
        <f>IF($D4362 &gt; 16, 0, $J$3*(16 - $D4362))</f>
        <v>0</v>
      </c>
      <c r="F4362">
        <f>IF($D4362 &gt; 16, 0,$E4362*$J$5)</f>
        <v>0</v>
      </c>
      <c r="G4362">
        <f t="shared" si="68"/>
        <v>0</v>
      </c>
    </row>
    <row r="4363" spans="2:7" x14ac:dyDescent="0.35">
      <c r="B4363" s="1">
        <v>45839</v>
      </c>
      <c r="C4363" s="2">
        <v>0.70833333333333337</v>
      </c>
      <c r="D4363">
        <v>32.4</v>
      </c>
      <c r="E4363">
        <f>IF($D4363 &gt; 16, 0, $J$3*(16 - $D4363))</f>
        <v>0</v>
      </c>
      <c r="F4363">
        <f>IF($D4363 &gt; 16, 0,$E4363*$J$5)</f>
        <v>0</v>
      </c>
      <c r="G4363">
        <f t="shared" si="68"/>
        <v>0</v>
      </c>
    </row>
    <row r="4364" spans="2:7" x14ac:dyDescent="0.35">
      <c r="B4364" s="1">
        <v>45839</v>
      </c>
      <c r="C4364" s="2">
        <v>0.75</v>
      </c>
      <c r="D4364">
        <v>30.8</v>
      </c>
      <c r="E4364">
        <f>IF($D4364 &gt; 16, 0, $J$3*(16 - $D4364))</f>
        <v>0</v>
      </c>
      <c r="F4364">
        <f>IF($D4364 &gt; 16, 0,$E4364*$J$5)</f>
        <v>0</v>
      </c>
      <c r="G4364">
        <f t="shared" si="68"/>
        <v>0</v>
      </c>
    </row>
    <row r="4365" spans="2:7" x14ac:dyDescent="0.35">
      <c r="B4365" s="1">
        <v>45839</v>
      </c>
      <c r="C4365" s="2">
        <v>0.79166666666666663</v>
      </c>
      <c r="D4365">
        <v>28</v>
      </c>
      <c r="E4365">
        <f>IF($D4365 &gt; 16, 0, $J$3*(16 - $D4365))</f>
        <v>0</v>
      </c>
      <c r="F4365">
        <f>IF($D4365 &gt; 16, 0,$E4365*$J$5)</f>
        <v>0</v>
      </c>
      <c r="G4365">
        <f t="shared" si="68"/>
        <v>0</v>
      </c>
    </row>
    <row r="4366" spans="2:7" x14ac:dyDescent="0.35">
      <c r="B4366" s="1">
        <v>45839</v>
      </c>
      <c r="C4366" s="2">
        <v>0.83333333333333337</v>
      </c>
      <c r="D4366">
        <v>25.3</v>
      </c>
      <c r="E4366">
        <f>IF($D4366 &gt; 16, 0, $J$3*(16 - $D4366))</f>
        <v>0</v>
      </c>
      <c r="F4366">
        <f>IF($D4366 &gt; 16, 0,$E4366*$J$5)</f>
        <v>0</v>
      </c>
      <c r="G4366">
        <f t="shared" si="68"/>
        <v>0</v>
      </c>
    </row>
    <row r="4367" spans="2:7" x14ac:dyDescent="0.35">
      <c r="B4367" s="1">
        <v>45839</v>
      </c>
      <c r="C4367" s="2">
        <v>0.875</v>
      </c>
      <c r="D4367">
        <v>22.7</v>
      </c>
      <c r="E4367">
        <f>IF($D4367 &gt; 16, 0, $J$3*(16 - $D4367))</f>
        <v>0</v>
      </c>
      <c r="F4367">
        <f>IF($D4367 &gt; 16, 0,$E4367*$J$5)</f>
        <v>0</v>
      </c>
      <c r="G4367">
        <f t="shared" si="68"/>
        <v>0</v>
      </c>
    </row>
    <row r="4368" spans="2:7" x14ac:dyDescent="0.35">
      <c r="B4368" s="1">
        <v>45839</v>
      </c>
      <c r="C4368" s="2">
        <v>0.91666666666666663</v>
      </c>
      <c r="D4368">
        <v>21.9</v>
      </c>
      <c r="E4368">
        <f>IF($D4368 &gt; 16, 0, $J$3*(16 - $D4368))</f>
        <v>0</v>
      </c>
      <c r="F4368">
        <f>IF($D4368 &gt; 16, 0,$E4368*$J$5)</f>
        <v>0</v>
      </c>
      <c r="G4368">
        <f t="shared" si="68"/>
        <v>0</v>
      </c>
    </row>
    <row r="4369" spans="2:7" x14ac:dyDescent="0.35">
      <c r="B4369" s="1">
        <v>45839</v>
      </c>
      <c r="C4369" s="2">
        <v>0.95833333333333337</v>
      </c>
      <c r="D4369">
        <v>20.2</v>
      </c>
      <c r="E4369">
        <f>IF($D4369 &gt; 16, 0, $J$3*(16 - $D4369))</f>
        <v>0</v>
      </c>
      <c r="F4369">
        <f>IF($D4369 &gt; 16, 0,$E4369*$J$5)</f>
        <v>0</v>
      </c>
      <c r="G4369">
        <f t="shared" si="68"/>
        <v>0</v>
      </c>
    </row>
    <row r="4370" spans="2:7" x14ac:dyDescent="0.35">
      <c r="B4370" s="1">
        <v>45840</v>
      </c>
      <c r="C4370" s="2">
        <v>0</v>
      </c>
      <c r="D4370">
        <v>19.8</v>
      </c>
      <c r="E4370">
        <f>IF($D4370 &gt; 16, 0, $J$3*(16 - $D4370))</f>
        <v>0</v>
      </c>
      <c r="F4370">
        <f>IF($D4370 &gt; 16, 0,$E4370*$J$5)</f>
        <v>0</v>
      </c>
      <c r="G4370">
        <f t="shared" si="68"/>
        <v>0</v>
      </c>
    </row>
    <row r="4371" spans="2:7" x14ac:dyDescent="0.35">
      <c r="B4371" s="1">
        <v>45840</v>
      </c>
      <c r="C4371" s="2">
        <v>4.1666666666666657E-2</v>
      </c>
      <c r="D4371">
        <v>19.2</v>
      </c>
      <c r="E4371">
        <f>IF($D4371 &gt; 16, 0, $J$3*(16 - $D4371))</f>
        <v>0</v>
      </c>
      <c r="F4371">
        <f>IF($D4371 &gt; 16, 0,$E4371*$J$5)</f>
        <v>0</v>
      </c>
      <c r="G4371">
        <f t="shared" si="68"/>
        <v>0</v>
      </c>
    </row>
    <row r="4372" spans="2:7" x14ac:dyDescent="0.35">
      <c r="B4372" s="1">
        <v>45840</v>
      </c>
      <c r="C4372" s="2">
        <v>8.3333333333333329E-2</v>
      </c>
      <c r="D4372">
        <v>19.600000000000001</v>
      </c>
      <c r="E4372">
        <f>IF($D4372 &gt; 16, 0, $J$3*(16 - $D4372))</f>
        <v>0</v>
      </c>
      <c r="F4372">
        <f>IF($D4372 &gt; 16, 0,$E4372*$J$5)</f>
        <v>0</v>
      </c>
      <c r="G4372">
        <f t="shared" si="68"/>
        <v>0</v>
      </c>
    </row>
    <row r="4373" spans="2:7" x14ac:dyDescent="0.35">
      <c r="B4373" s="1">
        <v>45840</v>
      </c>
      <c r="C4373" s="2">
        <v>0.125</v>
      </c>
      <c r="D4373">
        <v>20.3</v>
      </c>
      <c r="E4373">
        <f>IF($D4373 &gt; 16, 0, $J$3*(16 - $D4373))</f>
        <v>0</v>
      </c>
      <c r="F4373">
        <f>IF($D4373 &gt; 16, 0,$E4373*$J$5)</f>
        <v>0</v>
      </c>
      <c r="G4373">
        <f t="shared" si="68"/>
        <v>0</v>
      </c>
    </row>
    <row r="4374" spans="2:7" x14ac:dyDescent="0.35">
      <c r="B4374" s="1">
        <v>45840</v>
      </c>
      <c r="C4374" s="2">
        <v>0.16666666666666671</v>
      </c>
      <c r="D4374">
        <v>19.7</v>
      </c>
      <c r="E4374">
        <f>IF($D4374 &gt; 16, 0, $J$3*(16 - $D4374))</f>
        <v>0</v>
      </c>
      <c r="F4374">
        <f>IF($D4374 &gt; 16, 0,$E4374*$J$5)</f>
        <v>0</v>
      </c>
      <c r="G4374">
        <f t="shared" si="68"/>
        <v>0</v>
      </c>
    </row>
    <row r="4375" spans="2:7" x14ac:dyDescent="0.35">
      <c r="B4375" s="1">
        <v>45840</v>
      </c>
      <c r="C4375" s="2">
        <v>0.20833333333333329</v>
      </c>
      <c r="D4375">
        <v>22.1</v>
      </c>
      <c r="E4375">
        <f>IF($D4375 &gt; 16, 0, $J$3*(16 - $D4375))</f>
        <v>0</v>
      </c>
      <c r="F4375">
        <f>IF($D4375 &gt; 16, 0,$E4375*$J$5)</f>
        <v>0</v>
      </c>
      <c r="G4375">
        <f t="shared" si="68"/>
        <v>0</v>
      </c>
    </row>
    <row r="4376" spans="2:7" x14ac:dyDescent="0.35">
      <c r="B4376" s="1">
        <v>45840</v>
      </c>
      <c r="C4376" s="2">
        <v>0.25</v>
      </c>
      <c r="D4376">
        <v>24</v>
      </c>
      <c r="E4376">
        <f>IF($D4376 &gt; 16, 0, $J$3*(16 - $D4376))</f>
        <v>0</v>
      </c>
      <c r="F4376">
        <f>IF($D4376 &gt; 16, 0,$E4376*$J$5)</f>
        <v>0</v>
      </c>
      <c r="G4376">
        <f t="shared" si="68"/>
        <v>0</v>
      </c>
    </row>
    <row r="4377" spans="2:7" x14ac:dyDescent="0.35">
      <c r="B4377" s="1">
        <v>45840</v>
      </c>
      <c r="C4377" s="2">
        <v>0.29166666666666669</v>
      </c>
      <c r="D4377">
        <v>26.6</v>
      </c>
      <c r="E4377">
        <f>IF($D4377 &gt; 16, 0, $J$3*(16 - $D4377))</f>
        <v>0</v>
      </c>
      <c r="F4377">
        <f>IF($D4377 &gt; 16, 0,$E4377*$J$5)</f>
        <v>0</v>
      </c>
      <c r="G4377">
        <f t="shared" si="68"/>
        <v>0</v>
      </c>
    </row>
    <row r="4378" spans="2:7" x14ac:dyDescent="0.35">
      <c r="B4378" s="1">
        <v>45840</v>
      </c>
      <c r="C4378" s="2">
        <v>0.33333333333333331</v>
      </c>
      <c r="D4378">
        <v>29.4</v>
      </c>
      <c r="E4378">
        <f>IF($D4378 &gt; 16, 0, $J$3*(16 - $D4378))</f>
        <v>0</v>
      </c>
      <c r="F4378">
        <f>IF($D4378 &gt; 16, 0,$E4378*$J$5)</f>
        <v>0</v>
      </c>
      <c r="G4378">
        <f t="shared" si="68"/>
        <v>0</v>
      </c>
    </row>
    <row r="4379" spans="2:7" x14ac:dyDescent="0.35">
      <c r="B4379" s="1">
        <v>45840</v>
      </c>
      <c r="C4379" s="2">
        <v>0.375</v>
      </c>
      <c r="D4379">
        <v>31.8</v>
      </c>
      <c r="E4379">
        <f>IF($D4379 &gt; 16, 0, $J$3*(16 - $D4379))</f>
        <v>0</v>
      </c>
      <c r="F4379">
        <f>IF($D4379 &gt; 16, 0,$E4379*$J$5)</f>
        <v>0</v>
      </c>
      <c r="G4379">
        <f t="shared" si="68"/>
        <v>0</v>
      </c>
    </row>
    <row r="4380" spans="2:7" x14ac:dyDescent="0.35">
      <c r="B4380" s="1">
        <v>45840</v>
      </c>
      <c r="C4380" s="2">
        <v>0.41666666666666669</v>
      </c>
      <c r="D4380">
        <v>33</v>
      </c>
      <c r="E4380">
        <f>IF($D4380 &gt; 16, 0, $J$3*(16 - $D4380))</f>
        <v>0</v>
      </c>
      <c r="F4380">
        <f>IF($D4380 &gt; 16, 0,$E4380*$J$5)</f>
        <v>0</v>
      </c>
      <c r="G4380">
        <f t="shared" si="68"/>
        <v>0</v>
      </c>
    </row>
    <row r="4381" spans="2:7" x14ac:dyDescent="0.35">
      <c r="B4381" s="1">
        <v>45840</v>
      </c>
      <c r="C4381" s="2">
        <v>0.45833333333333331</v>
      </c>
      <c r="D4381">
        <v>33.9</v>
      </c>
      <c r="E4381">
        <f>IF($D4381 &gt; 16, 0, $J$3*(16 - $D4381))</f>
        <v>0</v>
      </c>
      <c r="F4381">
        <f>IF($D4381 &gt; 16, 0,$E4381*$J$5)</f>
        <v>0</v>
      </c>
      <c r="G4381">
        <f t="shared" si="68"/>
        <v>0</v>
      </c>
    </row>
    <row r="4382" spans="2:7" x14ac:dyDescent="0.35">
      <c r="B4382" s="1">
        <v>45840</v>
      </c>
      <c r="C4382" s="2">
        <v>0.5</v>
      </c>
      <c r="D4382">
        <v>33.9</v>
      </c>
      <c r="E4382">
        <f>IF($D4382 &gt; 16, 0, $J$3*(16 - $D4382))</f>
        <v>0</v>
      </c>
      <c r="F4382">
        <f>IF($D4382 &gt; 16, 0,$E4382*$J$5)</f>
        <v>0</v>
      </c>
      <c r="G4382">
        <f t="shared" si="68"/>
        <v>0</v>
      </c>
    </row>
    <row r="4383" spans="2:7" x14ac:dyDescent="0.35">
      <c r="B4383" s="1">
        <v>45840</v>
      </c>
      <c r="C4383" s="2">
        <v>0.54166666666666663</v>
      </c>
      <c r="D4383">
        <v>33.4</v>
      </c>
      <c r="E4383">
        <f>IF($D4383 &gt; 16, 0, $J$3*(16 - $D4383))</f>
        <v>0</v>
      </c>
      <c r="F4383">
        <f>IF($D4383 &gt; 16, 0,$E4383*$J$5)</f>
        <v>0</v>
      </c>
      <c r="G4383">
        <f t="shared" si="68"/>
        <v>0</v>
      </c>
    </row>
    <row r="4384" spans="2:7" x14ac:dyDescent="0.35">
      <c r="B4384" s="1">
        <v>45840</v>
      </c>
      <c r="C4384" s="2">
        <v>0.58333333333333337</v>
      </c>
      <c r="D4384">
        <v>33.700000000000003</v>
      </c>
      <c r="E4384">
        <f>IF($D4384 &gt; 16, 0, $J$3*(16 - $D4384))</f>
        <v>0</v>
      </c>
      <c r="F4384">
        <f>IF($D4384 &gt; 16, 0,$E4384*$J$5)</f>
        <v>0</v>
      </c>
      <c r="G4384">
        <f t="shared" si="68"/>
        <v>0</v>
      </c>
    </row>
    <row r="4385" spans="2:7" x14ac:dyDescent="0.35">
      <c r="B4385" s="1">
        <v>45840</v>
      </c>
      <c r="C4385" s="2">
        <v>0.625</v>
      </c>
      <c r="D4385">
        <v>34.700000000000003</v>
      </c>
      <c r="E4385">
        <f>IF($D4385 &gt; 16, 0, $J$3*(16 - $D4385))</f>
        <v>0</v>
      </c>
      <c r="F4385">
        <f>IF($D4385 &gt; 16, 0,$E4385*$J$5)</f>
        <v>0</v>
      </c>
      <c r="G4385">
        <f t="shared" si="68"/>
        <v>0</v>
      </c>
    </row>
    <row r="4386" spans="2:7" x14ac:dyDescent="0.35">
      <c r="B4386" s="1">
        <v>45840</v>
      </c>
      <c r="C4386" s="2">
        <v>0.66666666666666663</v>
      </c>
      <c r="D4386">
        <v>34.299999999999997</v>
      </c>
      <c r="E4386">
        <f>IF($D4386 &gt; 16, 0, $J$3*(16 - $D4386))</f>
        <v>0</v>
      </c>
      <c r="F4386">
        <f>IF($D4386 &gt; 16, 0,$E4386*$J$5)</f>
        <v>0</v>
      </c>
      <c r="G4386">
        <f t="shared" si="68"/>
        <v>0</v>
      </c>
    </row>
    <row r="4387" spans="2:7" x14ac:dyDescent="0.35">
      <c r="B4387" s="1">
        <v>45840</v>
      </c>
      <c r="C4387" s="2">
        <v>0.70833333333333337</v>
      </c>
      <c r="D4387">
        <v>32.5</v>
      </c>
      <c r="E4387">
        <f>IF($D4387 &gt; 16, 0, $J$3*(16 - $D4387))</f>
        <v>0</v>
      </c>
      <c r="F4387">
        <f>IF($D4387 &gt; 16, 0,$E4387*$J$5)</f>
        <v>0</v>
      </c>
      <c r="G4387">
        <f t="shared" si="68"/>
        <v>0</v>
      </c>
    </row>
    <row r="4388" spans="2:7" x14ac:dyDescent="0.35">
      <c r="B4388" s="1">
        <v>45840</v>
      </c>
      <c r="C4388" s="2">
        <v>0.75</v>
      </c>
      <c r="D4388">
        <v>30.1</v>
      </c>
      <c r="E4388">
        <f>IF($D4388 &gt; 16, 0, $J$3*(16 - $D4388))</f>
        <v>0</v>
      </c>
      <c r="F4388">
        <f>IF($D4388 &gt; 16, 0,$E4388*$J$5)</f>
        <v>0</v>
      </c>
      <c r="G4388">
        <f t="shared" si="68"/>
        <v>0</v>
      </c>
    </row>
    <row r="4389" spans="2:7" x14ac:dyDescent="0.35">
      <c r="B4389" s="1">
        <v>45840</v>
      </c>
      <c r="C4389" s="2">
        <v>0.79166666666666663</v>
      </c>
      <c r="D4389">
        <v>24.3</v>
      </c>
      <c r="E4389">
        <f>IF($D4389 &gt; 16, 0, $J$3*(16 - $D4389))</f>
        <v>0</v>
      </c>
      <c r="F4389">
        <f>IF($D4389 &gt; 16, 0,$E4389*$J$5)</f>
        <v>0</v>
      </c>
      <c r="G4389">
        <f t="shared" si="68"/>
        <v>0</v>
      </c>
    </row>
    <row r="4390" spans="2:7" x14ac:dyDescent="0.35">
      <c r="B4390" s="1">
        <v>45840</v>
      </c>
      <c r="C4390" s="2">
        <v>0.83333333333333337</v>
      </c>
      <c r="D4390">
        <v>19</v>
      </c>
      <c r="E4390">
        <f>IF($D4390 &gt; 16, 0, $J$3*(16 - $D4390))</f>
        <v>0</v>
      </c>
      <c r="F4390">
        <f>IF($D4390 &gt; 16, 0,$E4390*$J$5)</f>
        <v>0</v>
      </c>
      <c r="G4390">
        <f t="shared" si="68"/>
        <v>0</v>
      </c>
    </row>
    <row r="4391" spans="2:7" x14ac:dyDescent="0.35">
      <c r="B4391" s="1">
        <v>45840</v>
      </c>
      <c r="C4391" s="2">
        <v>0.875</v>
      </c>
      <c r="D4391">
        <v>18.399999999999999</v>
      </c>
      <c r="E4391">
        <f>IF($D4391 &gt; 16, 0, $J$3*(16 - $D4391))</f>
        <v>0</v>
      </c>
      <c r="F4391">
        <f>IF($D4391 &gt; 16, 0,$E4391*$J$5)</f>
        <v>0</v>
      </c>
      <c r="G4391">
        <f t="shared" si="68"/>
        <v>0</v>
      </c>
    </row>
    <row r="4392" spans="2:7" x14ac:dyDescent="0.35">
      <c r="B4392" s="1">
        <v>45840</v>
      </c>
      <c r="C4392" s="2">
        <v>0.91666666666666663</v>
      </c>
      <c r="D4392">
        <v>18.399999999999999</v>
      </c>
      <c r="E4392">
        <f>IF($D4392 &gt; 16, 0, $J$3*(16 - $D4392))</f>
        <v>0</v>
      </c>
      <c r="F4392">
        <f>IF($D4392 &gt; 16, 0,$E4392*$J$5)</f>
        <v>0</v>
      </c>
      <c r="G4392">
        <f t="shared" si="68"/>
        <v>0</v>
      </c>
    </row>
    <row r="4393" spans="2:7" x14ac:dyDescent="0.35">
      <c r="B4393" s="1">
        <v>45840</v>
      </c>
      <c r="C4393" s="2">
        <v>0.95833333333333337</v>
      </c>
      <c r="D4393">
        <v>18.5</v>
      </c>
      <c r="E4393">
        <f>IF($D4393 &gt; 16, 0, $J$3*(16 - $D4393))</f>
        <v>0</v>
      </c>
      <c r="F4393">
        <f>IF($D4393 &gt; 16, 0,$E4393*$J$5)</f>
        <v>0</v>
      </c>
      <c r="G4393">
        <f t="shared" si="68"/>
        <v>0</v>
      </c>
    </row>
    <row r="4394" spans="2:7" x14ac:dyDescent="0.35">
      <c r="B4394" s="1">
        <v>45841</v>
      </c>
      <c r="C4394" s="2">
        <v>0</v>
      </c>
      <c r="D4394">
        <v>18.7</v>
      </c>
      <c r="E4394">
        <f>IF($D4394 &gt; 16, 0, $J$3*(16 - $D4394))</f>
        <v>0</v>
      </c>
      <c r="F4394">
        <f>IF($D4394 &gt; 16, 0,$E4394*$J$5)</f>
        <v>0</v>
      </c>
      <c r="G4394">
        <f t="shared" si="68"/>
        <v>0</v>
      </c>
    </row>
    <row r="4395" spans="2:7" x14ac:dyDescent="0.35">
      <c r="B4395" s="1">
        <v>45841</v>
      </c>
      <c r="C4395" s="2">
        <v>4.1666666666666657E-2</v>
      </c>
      <c r="D4395">
        <v>18.7</v>
      </c>
      <c r="E4395">
        <f>IF($D4395 &gt; 16, 0, $J$3*(16 - $D4395))</f>
        <v>0</v>
      </c>
      <c r="F4395">
        <f>IF($D4395 &gt; 16, 0,$E4395*$J$5)</f>
        <v>0</v>
      </c>
      <c r="G4395">
        <f t="shared" si="68"/>
        <v>0</v>
      </c>
    </row>
    <row r="4396" spans="2:7" x14ac:dyDescent="0.35">
      <c r="B4396" s="1">
        <v>45841</v>
      </c>
      <c r="C4396" s="2">
        <v>8.3333333333333329E-2</v>
      </c>
      <c r="D4396">
        <v>18.100000000000001</v>
      </c>
      <c r="E4396">
        <f>IF($D4396 &gt; 16, 0, $J$3*(16 - $D4396))</f>
        <v>0</v>
      </c>
      <c r="F4396">
        <f>IF($D4396 &gt; 16, 0,$E4396*$J$5)</f>
        <v>0</v>
      </c>
      <c r="G4396">
        <f t="shared" si="68"/>
        <v>0</v>
      </c>
    </row>
    <row r="4397" spans="2:7" x14ac:dyDescent="0.35">
      <c r="B4397" s="1">
        <v>45841</v>
      </c>
      <c r="C4397" s="2">
        <v>0.125</v>
      </c>
      <c r="D4397">
        <v>17.7</v>
      </c>
      <c r="E4397">
        <f>IF($D4397 &gt; 16, 0, $J$3*(16 - $D4397))</f>
        <v>0</v>
      </c>
      <c r="F4397">
        <f>IF($D4397 &gt; 16, 0,$E4397*$J$5)</f>
        <v>0</v>
      </c>
      <c r="G4397">
        <f t="shared" si="68"/>
        <v>0</v>
      </c>
    </row>
    <row r="4398" spans="2:7" x14ac:dyDescent="0.35">
      <c r="B4398" s="1">
        <v>45841</v>
      </c>
      <c r="C4398" s="2">
        <v>0.16666666666666671</v>
      </c>
      <c r="D4398">
        <v>17.100000000000001</v>
      </c>
      <c r="E4398">
        <f>IF($D4398 &gt; 16, 0, $J$3*(16 - $D4398))</f>
        <v>0</v>
      </c>
      <c r="F4398">
        <f>IF($D4398 &gt; 16, 0,$E4398*$J$5)</f>
        <v>0</v>
      </c>
      <c r="G4398">
        <f t="shared" si="68"/>
        <v>0</v>
      </c>
    </row>
    <row r="4399" spans="2:7" x14ac:dyDescent="0.35">
      <c r="B4399" s="1">
        <v>45841</v>
      </c>
      <c r="C4399" s="2">
        <v>0.20833333333333329</v>
      </c>
      <c r="D4399">
        <v>16.2</v>
      </c>
      <c r="E4399">
        <f>IF($D4399 &gt; 16, 0, $J$3*(16 - $D4399))</f>
        <v>0</v>
      </c>
      <c r="F4399">
        <f>IF($D4399 &gt; 16, 0,$E4399*$J$5)</f>
        <v>0</v>
      </c>
      <c r="G4399">
        <f t="shared" si="68"/>
        <v>0</v>
      </c>
    </row>
    <row r="4400" spans="2:7" x14ac:dyDescent="0.35">
      <c r="B4400" s="1">
        <v>45841</v>
      </c>
      <c r="C4400" s="2">
        <v>0.25</v>
      </c>
      <c r="D4400">
        <v>15.5</v>
      </c>
      <c r="E4400">
        <f>IF($D4400 &gt; 16, 0, $J$3*(16 - $D4400))</f>
        <v>103.8743213503485</v>
      </c>
      <c r="F4400">
        <f>IF($D4400 &gt; 16, 0,$E4400*$J$5)</f>
        <v>1129009.9987569377</v>
      </c>
      <c r="G4400">
        <f t="shared" si="68"/>
        <v>0.5</v>
      </c>
    </row>
    <row r="4401" spans="2:7" x14ac:dyDescent="0.35">
      <c r="B4401" s="1">
        <v>45841</v>
      </c>
      <c r="C4401" s="2">
        <v>0.29166666666666669</v>
      </c>
      <c r="D4401">
        <v>15.8</v>
      </c>
      <c r="E4401">
        <f>IF($D4401 &gt; 16, 0, $J$3*(16 - $D4401))</f>
        <v>41.549728540139249</v>
      </c>
      <c r="F4401">
        <f>IF($D4401 &gt; 16, 0,$E4401*$J$5)</f>
        <v>451603.99950277351</v>
      </c>
      <c r="G4401">
        <f t="shared" si="68"/>
        <v>0.19999999999999929</v>
      </c>
    </row>
    <row r="4402" spans="2:7" x14ac:dyDescent="0.35">
      <c r="B4402" s="1">
        <v>45841</v>
      </c>
      <c r="C4402" s="2">
        <v>0.33333333333333331</v>
      </c>
      <c r="D4402">
        <v>16.8</v>
      </c>
      <c r="E4402">
        <f>IF($D4402 &gt; 16, 0, $J$3*(16 - $D4402))</f>
        <v>0</v>
      </c>
      <c r="F4402">
        <f>IF($D4402 &gt; 16, 0,$E4402*$J$5)</f>
        <v>0</v>
      </c>
      <c r="G4402">
        <f t="shared" si="68"/>
        <v>0</v>
      </c>
    </row>
    <row r="4403" spans="2:7" x14ac:dyDescent="0.35">
      <c r="B4403" s="1">
        <v>45841</v>
      </c>
      <c r="C4403" s="2">
        <v>0.375</v>
      </c>
      <c r="D4403">
        <v>17.3</v>
      </c>
      <c r="E4403">
        <f>IF($D4403 &gt; 16, 0, $J$3*(16 - $D4403))</f>
        <v>0</v>
      </c>
      <c r="F4403">
        <f>IF($D4403 &gt; 16, 0,$E4403*$J$5)</f>
        <v>0</v>
      </c>
      <c r="G4403">
        <f t="shared" si="68"/>
        <v>0</v>
      </c>
    </row>
    <row r="4404" spans="2:7" x14ac:dyDescent="0.35">
      <c r="B4404" s="1">
        <v>45841</v>
      </c>
      <c r="C4404" s="2">
        <v>0.41666666666666669</v>
      </c>
      <c r="D4404">
        <v>18.100000000000001</v>
      </c>
      <c r="E4404">
        <f>IF($D4404 &gt; 16, 0, $J$3*(16 - $D4404))</f>
        <v>0</v>
      </c>
      <c r="F4404">
        <f>IF($D4404 &gt; 16, 0,$E4404*$J$5)</f>
        <v>0</v>
      </c>
      <c r="G4404">
        <f t="shared" si="68"/>
        <v>0</v>
      </c>
    </row>
    <row r="4405" spans="2:7" x14ac:dyDescent="0.35">
      <c r="B4405" s="1">
        <v>45841</v>
      </c>
      <c r="C4405" s="2">
        <v>0.45833333333333331</v>
      </c>
      <c r="D4405">
        <v>18.7</v>
      </c>
      <c r="E4405">
        <f>IF($D4405 &gt; 16, 0, $J$3*(16 - $D4405))</f>
        <v>0</v>
      </c>
      <c r="F4405">
        <f>IF($D4405 &gt; 16, 0,$E4405*$J$5)</f>
        <v>0</v>
      </c>
      <c r="G4405">
        <f t="shared" si="68"/>
        <v>0</v>
      </c>
    </row>
    <row r="4406" spans="2:7" x14ac:dyDescent="0.35">
      <c r="B4406" s="1">
        <v>45841</v>
      </c>
      <c r="C4406" s="2">
        <v>0.5</v>
      </c>
      <c r="D4406">
        <v>19.399999999999999</v>
      </c>
      <c r="E4406">
        <f>IF($D4406 &gt; 16, 0, $J$3*(16 - $D4406))</f>
        <v>0</v>
      </c>
      <c r="F4406">
        <f>IF($D4406 &gt; 16, 0,$E4406*$J$5)</f>
        <v>0</v>
      </c>
      <c r="G4406">
        <f t="shared" si="68"/>
        <v>0</v>
      </c>
    </row>
    <row r="4407" spans="2:7" x14ac:dyDescent="0.35">
      <c r="B4407" s="1">
        <v>45841</v>
      </c>
      <c r="C4407" s="2">
        <v>0.54166666666666663</v>
      </c>
      <c r="D4407">
        <v>18.7</v>
      </c>
      <c r="E4407">
        <f>IF($D4407 &gt; 16, 0, $J$3*(16 - $D4407))</f>
        <v>0</v>
      </c>
      <c r="F4407">
        <f>IF($D4407 &gt; 16, 0,$E4407*$J$5)</f>
        <v>0</v>
      </c>
      <c r="G4407">
        <f t="shared" si="68"/>
        <v>0</v>
      </c>
    </row>
    <row r="4408" spans="2:7" x14ac:dyDescent="0.35">
      <c r="B4408" s="1">
        <v>45841</v>
      </c>
      <c r="C4408" s="2">
        <v>0.58333333333333337</v>
      </c>
      <c r="D4408">
        <v>17.399999999999999</v>
      </c>
      <c r="E4408">
        <f>IF($D4408 &gt; 16, 0, $J$3*(16 - $D4408))</f>
        <v>0</v>
      </c>
      <c r="F4408">
        <f>IF($D4408 &gt; 16, 0,$E4408*$J$5)</f>
        <v>0</v>
      </c>
      <c r="G4408">
        <f t="shared" si="68"/>
        <v>0</v>
      </c>
    </row>
    <row r="4409" spans="2:7" x14ac:dyDescent="0.35">
      <c r="B4409" s="1">
        <v>45841</v>
      </c>
      <c r="C4409" s="2">
        <v>0.625</v>
      </c>
      <c r="D4409">
        <v>18.3</v>
      </c>
      <c r="E4409">
        <f>IF($D4409 &gt; 16, 0, $J$3*(16 - $D4409))</f>
        <v>0</v>
      </c>
      <c r="F4409">
        <f>IF($D4409 &gt; 16, 0,$E4409*$J$5)</f>
        <v>0</v>
      </c>
      <c r="G4409">
        <f t="shared" si="68"/>
        <v>0</v>
      </c>
    </row>
    <row r="4410" spans="2:7" x14ac:dyDescent="0.35">
      <c r="B4410" s="1">
        <v>45841</v>
      </c>
      <c r="C4410" s="2">
        <v>0.66666666666666663</v>
      </c>
      <c r="D4410">
        <v>19.100000000000001</v>
      </c>
      <c r="E4410">
        <f>IF($D4410 &gt; 16, 0, $J$3*(16 - $D4410))</f>
        <v>0</v>
      </c>
      <c r="F4410">
        <f>IF($D4410 &gt; 16, 0,$E4410*$J$5)</f>
        <v>0</v>
      </c>
      <c r="G4410">
        <f t="shared" si="68"/>
        <v>0</v>
      </c>
    </row>
    <row r="4411" spans="2:7" x14ac:dyDescent="0.35">
      <c r="B4411" s="1">
        <v>45841</v>
      </c>
      <c r="C4411" s="2">
        <v>0.70833333333333337</v>
      </c>
      <c r="D4411">
        <v>19.2</v>
      </c>
      <c r="E4411">
        <f>IF($D4411 &gt; 16, 0, $J$3*(16 - $D4411))</f>
        <v>0</v>
      </c>
      <c r="F4411">
        <f>IF($D4411 &gt; 16, 0,$E4411*$J$5)</f>
        <v>0</v>
      </c>
      <c r="G4411">
        <f t="shared" si="68"/>
        <v>0</v>
      </c>
    </row>
    <row r="4412" spans="2:7" x14ac:dyDescent="0.35">
      <c r="B4412" s="1">
        <v>45841</v>
      </c>
      <c r="C4412" s="2">
        <v>0.75</v>
      </c>
      <c r="D4412">
        <v>18</v>
      </c>
      <c r="E4412">
        <f>IF($D4412 &gt; 16, 0, $J$3*(16 - $D4412))</f>
        <v>0</v>
      </c>
      <c r="F4412">
        <f>IF($D4412 &gt; 16, 0,$E4412*$J$5)</f>
        <v>0</v>
      </c>
      <c r="G4412">
        <f t="shared" si="68"/>
        <v>0</v>
      </c>
    </row>
    <row r="4413" spans="2:7" x14ac:dyDescent="0.35">
      <c r="B4413" s="1">
        <v>45841</v>
      </c>
      <c r="C4413" s="2">
        <v>0.79166666666666663</v>
      </c>
      <c r="D4413">
        <v>16.5</v>
      </c>
      <c r="E4413">
        <f>IF($D4413 &gt; 16, 0, $J$3*(16 - $D4413))</f>
        <v>0</v>
      </c>
      <c r="F4413">
        <f>IF($D4413 &gt; 16, 0,$E4413*$J$5)</f>
        <v>0</v>
      </c>
      <c r="G4413">
        <f t="shared" si="68"/>
        <v>0</v>
      </c>
    </row>
    <row r="4414" spans="2:7" x14ac:dyDescent="0.35">
      <c r="B4414" s="1">
        <v>45841</v>
      </c>
      <c r="C4414" s="2">
        <v>0.83333333333333337</v>
      </c>
      <c r="D4414">
        <v>15.2</v>
      </c>
      <c r="E4414">
        <f>IF($D4414 &gt; 16, 0, $J$3*(16 - $D4414))</f>
        <v>166.19891416055773</v>
      </c>
      <c r="F4414">
        <f>IF($D4414 &gt; 16, 0,$E4414*$J$5)</f>
        <v>1806415.998011102</v>
      </c>
      <c r="G4414">
        <f t="shared" si="68"/>
        <v>0.80000000000000071</v>
      </c>
    </row>
    <row r="4415" spans="2:7" x14ac:dyDescent="0.35">
      <c r="B4415" s="1">
        <v>45841</v>
      </c>
      <c r="C4415" s="2">
        <v>0.875</v>
      </c>
      <c r="D4415">
        <v>13.9</v>
      </c>
      <c r="E4415">
        <f>IF($D4415 &gt; 16, 0, $J$3*(16 - $D4415))</f>
        <v>436.27214967146358</v>
      </c>
      <c r="F4415">
        <f>IF($D4415 &gt; 16, 0,$E4415*$J$5)</f>
        <v>4741841.9947791379</v>
      </c>
      <c r="G4415">
        <f t="shared" si="68"/>
        <v>2.0999999999999996</v>
      </c>
    </row>
    <row r="4416" spans="2:7" x14ac:dyDescent="0.35">
      <c r="B4416" s="1">
        <v>45841</v>
      </c>
      <c r="C4416" s="2">
        <v>0.91666666666666663</v>
      </c>
      <c r="D4416">
        <v>12.2</v>
      </c>
      <c r="E4416">
        <f>IF($D4416 &gt; 16, 0, $J$3*(16 - $D4416))</f>
        <v>789.44484226264876</v>
      </c>
      <c r="F4416">
        <f>IF($D4416 &gt; 16, 0,$E4416*$J$5)</f>
        <v>8580475.990552729</v>
      </c>
      <c r="G4416">
        <f t="shared" si="68"/>
        <v>3.8000000000000007</v>
      </c>
    </row>
    <row r="4417" spans="2:7" x14ac:dyDescent="0.35">
      <c r="B4417" s="1">
        <v>45841</v>
      </c>
      <c r="C4417" s="2">
        <v>0.95833333333333337</v>
      </c>
      <c r="D4417">
        <v>11</v>
      </c>
      <c r="E4417">
        <f>IF($D4417 &gt; 16, 0, $J$3*(16 - $D4417))</f>
        <v>1038.7432135034849</v>
      </c>
      <c r="F4417">
        <f>IF($D4417 &gt; 16, 0,$E4417*$J$5)</f>
        <v>11290099.987569377</v>
      </c>
      <c r="G4417">
        <f t="shared" si="68"/>
        <v>5</v>
      </c>
    </row>
    <row r="4418" spans="2:7" x14ac:dyDescent="0.35">
      <c r="B4418" s="1">
        <v>45842</v>
      </c>
      <c r="C4418" s="2">
        <v>0</v>
      </c>
      <c r="D4418">
        <v>10.6</v>
      </c>
      <c r="E4418">
        <f>IF($D4418 &gt; 16, 0, $J$3*(16 - $D4418))</f>
        <v>1121.8426705837637</v>
      </c>
      <c r="F4418">
        <f>IF($D4418 &gt; 16, 0,$E4418*$J$5)</f>
        <v>12193307.986574927</v>
      </c>
      <c r="G4418">
        <f t="shared" si="68"/>
        <v>5.4</v>
      </c>
    </row>
    <row r="4419" spans="2:7" x14ac:dyDescent="0.35">
      <c r="B4419" s="1">
        <v>45842</v>
      </c>
      <c r="C4419" s="2">
        <v>4.1666666666666657E-2</v>
      </c>
      <c r="D4419">
        <v>10.4</v>
      </c>
      <c r="E4419">
        <f>IF($D4419 &gt; 16, 0, $J$3*(16 - $D4419))</f>
        <v>1163.392399123903</v>
      </c>
      <c r="F4419">
        <f>IF($D4419 &gt; 16, 0,$E4419*$J$5)</f>
        <v>12644911.986077702</v>
      </c>
      <c r="G4419">
        <f t="shared" ref="G4419:G4482" si="69">MAX(0, 16 - $D4419)</f>
        <v>5.6</v>
      </c>
    </row>
    <row r="4420" spans="2:7" x14ac:dyDescent="0.35">
      <c r="B4420" s="1">
        <v>45842</v>
      </c>
      <c r="C4420" s="2">
        <v>8.3333333333333329E-2</v>
      </c>
      <c r="D4420">
        <v>10.4</v>
      </c>
      <c r="E4420">
        <f>IF($D4420 &gt; 16, 0, $J$3*(16 - $D4420))</f>
        <v>1163.392399123903</v>
      </c>
      <c r="F4420">
        <f>IF($D4420 &gt; 16, 0,$E4420*$J$5)</f>
        <v>12644911.986077702</v>
      </c>
      <c r="G4420">
        <f t="shared" si="69"/>
        <v>5.6</v>
      </c>
    </row>
    <row r="4421" spans="2:7" x14ac:dyDescent="0.35">
      <c r="B4421" s="1">
        <v>45842</v>
      </c>
      <c r="C4421" s="2">
        <v>0.125</v>
      </c>
      <c r="D4421">
        <v>11.5</v>
      </c>
      <c r="E4421">
        <f>IF($D4421 &gt; 16, 0, $J$3*(16 - $D4421))</f>
        <v>934.86889215313647</v>
      </c>
      <c r="F4421">
        <f>IF($D4421 &gt; 16, 0,$E4421*$J$5)</f>
        <v>10161089.988812441</v>
      </c>
      <c r="G4421">
        <f t="shared" si="69"/>
        <v>4.5</v>
      </c>
    </row>
    <row r="4422" spans="2:7" x14ac:dyDescent="0.35">
      <c r="B4422" s="1">
        <v>45842</v>
      </c>
      <c r="C4422" s="2">
        <v>0.16666666666666671</v>
      </c>
      <c r="D4422">
        <v>12.3</v>
      </c>
      <c r="E4422">
        <f>IF($D4422 &gt; 16, 0, $J$3*(16 - $D4422))</f>
        <v>768.66997799257877</v>
      </c>
      <c r="F4422">
        <f>IF($D4422 &gt; 16, 0,$E4422*$J$5)</f>
        <v>8354673.990801339</v>
      </c>
      <c r="G4422">
        <f t="shared" si="69"/>
        <v>3.6999999999999993</v>
      </c>
    </row>
    <row r="4423" spans="2:7" x14ac:dyDescent="0.35">
      <c r="B4423" s="1">
        <v>45842</v>
      </c>
      <c r="C4423" s="2">
        <v>0.20833333333333329</v>
      </c>
      <c r="D4423">
        <v>13.5</v>
      </c>
      <c r="E4423">
        <f>IF($D4423 &gt; 16, 0, $J$3*(16 - $D4423))</f>
        <v>519.37160675174243</v>
      </c>
      <c r="F4423">
        <f>IF($D4423 &gt; 16, 0,$E4423*$J$5)</f>
        <v>5645049.9937846884</v>
      </c>
      <c r="G4423">
        <f t="shared" si="69"/>
        <v>2.5</v>
      </c>
    </row>
    <row r="4424" spans="2:7" x14ac:dyDescent="0.35">
      <c r="B4424" s="1">
        <v>45842</v>
      </c>
      <c r="C4424" s="2">
        <v>0.25</v>
      </c>
      <c r="D4424">
        <v>15.4</v>
      </c>
      <c r="E4424">
        <f>IF($D4424 &gt; 16, 0, $J$3*(16 - $D4424))</f>
        <v>124.64918562041812</v>
      </c>
      <c r="F4424">
        <f>IF($D4424 &gt; 16, 0,$E4424*$J$5)</f>
        <v>1354811.9985083246</v>
      </c>
      <c r="G4424">
        <f t="shared" si="69"/>
        <v>0.59999999999999964</v>
      </c>
    </row>
    <row r="4425" spans="2:7" x14ac:dyDescent="0.35">
      <c r="B4425" s="1">
        <v>45842</v>
      </c>
      <c r="C4425" s="2">
        <v>0.29166666666666669</v>
      </c>
      <c r="D4425">
        <v>16.3</v>
      </c>
      <c r="E4425">
        <f>IF($D4425 &gt; 16, 0, $J$3*(16 - $D4425))</f>
        <v>0</v>
      </c>
      <c r="F4425">
        <f>IF($D4425 &gt; 16, 0,$E4425*$J$5)</f>
        <v>0</v>
      </c>
      <c r="G4425">
        <f t="shared" si="69"/>
        <v>0</v>
      </c>
    </row>
    <row r="4426" spans="2:7" x14ac:dyDescent="0.35">
      <c r="B4426" s="1">
        <v>45842</v>
      </c>
      <c r="C4426" s="2">
        <v>0.33333333333333331</v>
      </c>
      <c r="D4426">
        <v>18</v>
      </c>
      <c r="E4426">
        <f>IF($D4426 &gt; 16, 0, $J$3*(16 - $D4426))</f>
        <v>0</v>
      </c>
      <c r="F4426">
        <f>IF($D4426 &gt; 16, 0,$E4426*$J$5)</f>
        <v>0</v>
      </c>
      <c r="G4426">
        <f t="shared" si="69"/>
        <v>0</v>
      </c>
    </row>
    <row r="4427" spans="2:7" x14ac:dyDescent="0.35">
      <c r="B4427" s="1">
        <v>45842</v>
      </c>
      <c r="C4427" s="2">
        <v>0.375</v>
      </c>
      <c r="D4427">
        <v>17.600000000000001</v>
      </c>
      <c r="E4427">
        <f>IF($D4427 &gt; 16, 0, $J$3*(16 - $D4427))</f>
        <v>0</v>
      </c>
      <c r="F4427">
        <f>IF($D4427 &gt; 16, 0,$E4427*$J$5)</f>
        <v>0</v>
      </c>
      <c r="G4427">
        <f t="shared" si="69"/>
        <v>0</v>
      </c>
    </row>
    <row r="4428" spans="2:7" x14ac:dyDescent="0.35">
      <c r="B4428" s="1">
        <v>45842</v>
      </c>
      <c r="C4428" s="2">
        <v>0.41666666666666669</v>
      </c>
      <c r="D4428">
        <v>19.3</v>
      </c>
      <c r="E4428">
        <f>IF($D4428 &gt; 16, 0, $J$3*(16 - $D4428))</f>
        <v>0</v>
      </c>
      <c r="F4428">
        <f>IF($D4428 &gt; 16, 0,$E4428*$J$5)</f>
        <v>0</v>
      </c>
      <c r="G4428">
        <f t="shared" si="69"/>
        <v>0</v>
      </c>
    </row>
    <row r="4429" spans="2:7" x14ac:dyDescent="0.35">
      <c r="B4429" s="1">
        <v>45842</v>
      </c>
      <c r="C4429" s="2">
        <v>0.45833333333333331</v>
      </c>
      <c r="D4429">
        <v>19.7</v>
      </c>
      <c r="E4429">
        <f>IF($D4429 &gt; 16, 0, $J$3*(16 - $D4429))</f>
        <v>0</v>
      </c>
      <c r="F4429">
        <f>IF($D4429 &gt; 16, 0,$E4429*$J$5)</f>
        <v>0</v>
      </c>
      <c r="G4429">
        <f t="shared" si="69"/>
        <v>0</v>
      </c>
    </row>
    <row r="4430" spans="2:7" x14ac:dyDescent="0.35">
      <c r="B4430" s="1">
        <v>45842</v>
      </c>
      <c r="C4430" s="2">
        <v>0.5</v>
      </c>
      <c r="D4430">
        <v>20.3</v>
      </c>
      <c r="E4430">
        <f>IF($D4430 &gt; 16, 0, $J$3*(16 - $D4430))</f>
        <v>0</v>
      </c>
      <c r="F4430">
        <f>IF($D4430 &gt; 16, 0,$E4430*$J$5)</f>
        <v>0</v>
      </c>
      <c r="G4430">
        <f t="shared" si="69"/>
        <v>0</v>
      </c>
    </row>
    <row r="4431" spans="2:7" x14ac:dyDescent="0.35">
      <c r="B4431" s="1">
        <v>45842</v>
      </c>
      <c r="C4431" s="2">
        <v>0.54166666666666663</v>
      </c>
      <c r="D4431">
        <v>21.2</v>
      </c>
      <c r="E4431">
        <f>IF($D4431 &gt; 16, 0, $J$3*(16 - $D4431))</f>
        <v>0</v>
      </c>
      <c r="F4431">
        <f>IF($D4431 &gt; 16, 0,$E4431*$J$5)</f>
        <v>0</v>
      </c>
      <c r="G4431">
        <f t="shared" si="69"/>
        <v>0</v>
      </c>
    </row>
    <row r="4432" spans="2:7" x14ac:dyDescent="0.35">
      <c r="B4432" s="1">
        <v>45842</v>
      </c>
      <c r="C4432" s="2">
        <v>0.58333333333333337</v>
      </c>
      <c r="D4432">
        <v>21.8</v>
      </c>
      <c r="E4432">
        <f>IF($D4432 &gt; 16, 0, $J$3*(16 - $D4432))</f>
        <v>0</v>
      </c>
      <c r="F4432">
        <f>IF($D4432 &gt; 16, 0,$E4432*$J$5)</f>
        <v>0</v>
      </c>
      <c r="G4432">
        <f t="shared" si="69"/>
        <v>0</v>
      </c>
    </row>
    <row r="4433" spans="2:7" x14ac:dyDescent="0.35">
      <c r="B4433" s="1">
        <v>45842</v>
      </c>
      <c r="C4433" s="2">
        <v>0.625</v>
      </c>
      <c r="D4433">
        <v>22.2</v>
      </c>
      <c r="E4433">
        <f>IF($D4433 &gt; 16, 0, $J$3*(16 - $D4433))</f>
        <v>0</v>
      </c>
      <c r="F4433">
        <f>IF($D4433 &gt; 16, 0,$E4433*$J$5)</f>
        <v>0</v>
      </c>
      <c r="G4433">
        <f t="shared" si="69"/>
        <v>0</v>
      </c>
    </row>
    <row r="4434" spans="2:7" x14ac:dyDescent="0.35">
      <c r="B4434" s="1">
        <v>45842</v>
      </c>
      <c r="C4434" s="2">
        <v>0.66666666666666663</v>
      </c>
      <c r="D4434">
        <v>21.8</v>
      </c>
      <c r="E4434">
        <f>IF($D4434 &gt; 16, 0, $J$3*(16 - $D4434))</f>
        <v>0</v>
      </c>
      <c r="F4434">
        <f>IF($D4434 &gt; 16, 0,$E4434*$J$5)</f>
        <v>0</v>
      </c>
      <c r="G4434">
        <f t="shared" si="69"/>
        <v>0</v>
      </c>
    </row>
    <row r="4435" spans="2:7" x14ac:dyDescent="0.35">
      <c r="B4435" s="1">
        <v>45842</v>
      </c>
      <c r="C4435" s="2">
        <v>0.70833333333333337</v>
      </c>
      <c r="D4435">
        <v>21.5</v>
      </c>
      <c r="E4435">
        <f>IF($D4435 &gt; 16, 0, $J$3*(16 - $D4435))</f>
        <v>0</v>
      </c>
      <c r="F4435">
        <f>IF($D4435 &gt; 16, 0,$E4435*$J$5)</f>
        <v>0</v>
      </c>
      <c r="G4435">
        <f t="shared" si="69"/>
        <v>0</v>
      </c>
    </row>
    <row r="4436" spans="2:7" x14ac:dyDescent="0.35">
      <c r="B4436" s="1">
        <v>45842</v>
      </c>
      <c r="C4436" s="2">
        <v>0.75</v>
      </c>
      <c r="D4436">
        <v>21.6</v>
      </c>
      <c r="E4436">
        <f>IF($D4436 &gt; 16, 0, $J$3*(16 - $D4436))</f>
        <v>0</v>
      </c>
      <c r="F4436">
        <f>IF($D4436 &gt; 16, 0,$E4436*$J$5)</f>
        <v>0</v>
      </c>
      <c r="G4436">
        <f t="shared" si="69"/>
        <v>0</v>
      </c>
    </row>
    <row r="4437" spans="2:7" x14ac:dyDescent="0.35">
      <c r="B4437" s="1">
        <v>45842</v>
      </c>
      <c r="C4437" s="2">
        <v>0.79166666666666663</v>
      </c>
      <c r="D4437">
        <v>19.399999999999999</v>
      </c>
      <c r="E4437">
        <f>IF($D4437 &gt; 16, 0, $J$3*(16 - $D4437))</f>
        <v>0</v>
      </c>
      <c r="F4437">
        <f>IF($D4437 &gt; 16, 0,$E4437*$J$5)</f>
        <v>0</v>
      </c>
      <c r="G4437">
        <f t="shared" si="69"/>
        <v>0</v>
      </c>
    </row>
    <row r="4438" spans="2:7" x14ac:dyDescent="0.35">
      <c r="B4438" s="1">
        <v>45842</v>
      </c>
      <c r="C4438" s="2">
        <v>0.83333333333333337</v>
      </c>
      <c r="D4438">
        <v>17.899999999999999</v>
      </c>
      <c r="E4438">
        <f>IF($D4438 &gt; 16, 0, $J$3*(16 - $D4438))</f>
        <v>0</v>
      </c>
      <c r="F4438">
        <f>IF($D4438 &gt; 16, 0,$E4438*$J$5)</f>
        <v>0</v>
      </c>
      <c r="G4438">
        <f t="shared" si="69"/>
        <v>0</v>
      </c>
    </row>
    <row r="4439" spans="2:7" x14ac:dyDescent="0.35">
      <c r="B4439" s="1">
        <v>45842</v>
      </c>
      <c r="C4439" s="2">
        <v>0.875</v>
      </c>
      <c r="D4439">
        <v>15.3</v>
      </c>
      <c r="E4439">
        <f>IF($D4439 &gt; 16, 0, $J$3*(16 - $D4439))</f>
        <v>145.42404989048774</v>
      </c>
      <c r="F4439">
        <f>IF($D4439 &gt; 16, 0,$E4439*$J$5)</f>
        <v>1580613.9982597113</v>
      </c>
      <c r="G4439">
        <f t="shared" si="69"/>
        <v>0.69999999999999929</v>
      </c>
    </row>
    <row r="4440" spans="2:7" x14ac:dyDescent="0.35">
      <c r="B4440" s="1">
        <v>45842</v>
      </c>
      <c r="C4440" s="2">
        <v>0.91666666666666663</v>
      </c>
      <c r="D4440">
        <v>14.5</v>
      </c>
      <c r="E4440">
        <f>IF($D4440 &gt; 16, 0, $J$3*(16 - $D4440))</f>
        <v>311.62296405104547</v>
      </c>
      <c r="F4440">
        <f>IF($D4440 &gt; 16, 0,$E4440*$J$5)</f>
        <v>3387029.996270813</v>
      </c>
      <c r="G4440">
        <f t="shared" si="69"/>
        <v>1.5</v>
      </c>
    </row>
    <row r="4441" spans="2:7" x14ac:dyDescent="0.35">
      <c r="B4441" s="1">
        <v>45842</v>
      </c>
      <c r="C4441" s="2">
        <v>0.95833333333333337</v>
      </c>
      <c r="D4441">
        <v>13.9</v>
      </c>
      <c r="E4441">
        <f>IF($D4441 &gt; 16, 0, $J$3*(16 - $D4441))</f>
        <v>436.27214967146358</v>
      </c>
      <c r="F4441">
        <f>IF($D4441 &gt; 16, 0,$E4441*$J$5)</f>
        <v>4741841.9947791379</v>
      </c>
      <c r="G4441">
        <f t="shared" si="69"/>
        <v>2.0999999999999996</v>
      </c>
    </row>
    <row r="4442" spans="2:7" x14ac:dyDescent="0.35">
      <c r="B4442" s="1">
        <v>45843</v>
      </c>
      <c r="C4442" s="2">
        <v>0</v>
      </c>
      <c r="D4442">
        <v>15.9</v>
      </c>
      <c r="E4442">
        <f>IF($D4442 &gt; 16, 0, $J$3*(16 - $D4442))</f>
        <v>20.774864270069624</v>
      </c>
      <c r="F4442">
        <f>IF($D4442 &gt; 16, 0,$E4442*$J$5)</f>
        <v>225801.99975138676</v>
      </c>
      <c r="G4442">
        <f t="shared" si="69"/>
        <v>9.9999999999999645E-2</v>
      </c>
    </row>
    <row r="4443" spans="2:7" x14ac:dyDescent="0.35">
      <c r="B4443" s="1">
        <v>45843</v>
      </c>
      <c r="C4443" s="2">
        <v>4.1666666666666657E-2</v>
      </c>
      <c r="D4443">
        <v>16.2</v>
      </c>
      <c r="E4443">
        <f>IF($D4443 &gt; 16, 0, $J$3*(16 - $D4443))</f>
        <v>0</v>
      </c>
      <c r="F4443">
        <f>IF($D4443 &gt; 16, 0,$E4443*$J$5)</f>
        <v>0</v>
      </c>
      <c r="G4443">
        <f t="shared" si="69"/>
        <v>0</v>
      </c>
    </row>
    <row r="4444" spans="2:7" x14ac:dyDescent="0.35">
      <c r="B4444" s="1">
        <v>45843</v>
      </c>
      <c r="C4444" s="2">
        <v>8.3333333333333329E-2</v>
      </c>
      <c r="D4444">
        <v>16.600000000000001</v>
      </c>
      <c r="E4444">
        <f>IF($D4444 &gt; 16, 0, $J$3*(16 - $D4444))</f>
        <v>0</v>
      </c>
      <c r="F4444">
        <f>IF($D4444 &gt; 16, 0,$E4444*$J$5)</f>
        <v>0</v>
      </c>
      <c r="G4444">
        <f t="shared" si="69"/>
        <v>0</v>
      </c>
    </row>
    <row r="4445" spans="2:7" x14ac:dyDescent="0.35">
      <c r="B4445" s="1">
        <v>45843</v>
      </c>
      <c r="C4445" s="2">
        <v>0.125</v>
      </c>
      <c r="D4445">
        <v>15.5</v>
      </c>
      <c r="E4445">
        <f>IF($D4445 &gt; 16, 0, $J$3*(16 - $D4445))</f>
        <v>103.8743213503485</v>
      </c>
      <c r="F4445">
        <f>IF($D4445 &gt; 16, 0,$E4445*$J$5)</f>
        <v>1129009.9987569377</v>
      </c>
      <c r="G4445">
        <f t="shared" si="69"/>
        <v>0.5</v>
      </c>
    </row>
    <row r="4446" spans="2:7" x14ac:dyDescent="0.35">
      <c r="B4446" s="1">
        <v>45843</v>
      </c>
      <c r="C4446" s="2">
        <v>0.16666666666666671</v>
      </c>
      <c r="D4446">
        <v>17.2</v>
      </c>
      <c r="E4446">
        <f>IF($D4446 &gt; 16, 0, $J$3*(16 - $D4446))</f>
        <v>0</v>
      </c>
      <c r="F4446">
        <f>IF($D4446 &gt; 16, 0,$E4446*$J$5)</f>
        <v>0</v>
      </c>
      <c r="G4446">
        <f t="shared" si="69"/>
        <v>0</v>
      </c>
    </row>
    <row r="4447" spans="2:7" x14ac:dyDescent="0.35">
      <c r="B4447" s="1">
        <v>45843</v>
      </c>
      <c r="C4447" s="2">
        <v>0.20833333333333329</v>
      </c>
      <c r="D4447">
        <v>18.100000000000001</v>
      </c>
      <c r="E4447">
        <f>IF($D4447 &gt; 16, 0, $J$3*(16 - $D4447))</f>
        <v>0</v>
      </c>
      <c r="F4447">
        <f>IF($D4447 &gt; 16, 0,$E4447*$J$5)</f>
        <v>0</v>
      </c>
      <c r="G4447">
        <f t="shared" si="69"/>
        <v>0</v>
      </c>
    </row>
    <row r="4448" spans="2:7" x14ac:dyDescent="0.35">
      <c r="B4448" s="1">
        <v>45843</v>
      </c>
      <c r="C4448" s="2">
        <v>0.25</v>
      </c>
      <c r="D4448">
        <v>17.8</v>
      </c>
      <c r="E4448">
        <f>IF($D4448 &gt; 16, 0, $J$3*(16 - $D4448))</f>
        <v>0</v>
      </c>
      <c r="F4448">
        <f>IF($D4448 &gt; 16, 0,$E4448*$J$5)</f>
        <v>0</v>
      </c>
      <c r="G4448">
        <f t="shared" si="69"/>
        <v>0</v>
      </c>
    </row>
    <row r="4449" spans="2:7" x14ac:dyDescent="0.35">
      <c r="B4449" s="1">
        <v>45843</v>
      </c>
      <c r="C4449" s="2">
        <v>0.29166666666666669</v>
      </c>
      <c r="D4449">
        <v>17.5</v>
      </c>
      <c r="E4449">
        <f>IF($D4449 &gt; 16, 0, $J$3*(16 - $D4449))</f>
        <v>0</v>
      </c>
      <c r="F4449">
        <f>IF($D4449 &gt; 16, 0,$E4449*$J$5)</f>
        <v>0</v>
      </c>
      <c r="G4449">
        <f t="shared" si="69"/>
        <v>0</v>
      </c>
    </row>
    <row r="4450" spans="2:7" x14ac:dyDescent="0.35">
      <c r="B4450" s="1">
        <v>45843</v>
      </c>
      <c r="C4450" s="2">
        <v>0.33333333333333331</v>
      </c>
      <c r="D4450">
        <v>18.8</v>
      </c>
      <c r="E4450">
        <f>IF($D4450 &gt; 16, 0, $J$3*(16 - $D4450))</f>
        <v>0</v>
      </c>
      <c r="F4450">
        <f>IF($D4450 &gt; 16, 0,$E4450*$J$5)</f>
        <v>0</v>
      </c>
      <c r="G4450">
        <f t="shared" si="69"/>
        <v>0</v>
      </c>
    </row>
    <row r="4451" spans="2:7" x14ac:dyDescent="0.35">
      <c r="B4451" s="1">
        <v>45843</v>
      </c>
      <c r="C4451" s="2">
        <v>0.375</v>
      </c>
      <c r="D4451">
        <v>20.3</v>
      </c>
      <c r="E4451">
        <f>IF($D4451 &gt; 16, 0, $J$3*(16 - $D4451))</f>
        <v>0</v>
      </c>
      <c r="F4451">
        <f>IF($D4451 &gt; 16, 0,$E4451*$J$5)</f>
        <v>0</v>
      </c>
      <c r="G4451">
        <f t="shared" si="69"/>
        <v>0</v>
      </c>
    </row>
    <row r="4452" spans="2:7" x14ac:dyDescent="0.35">
      <c r="B4452" s="1">
        <v>45843</v>
      </c>
      <c r="C4452" s="2">
        <v>0.41666666666666669</v>
      </c>
      <c r="D4452">
        <v>20</v>
      </c>
      <c r="E4452">
        <f>IF($D4452 &gt; 16, 0, $J$3*(16 - $D4452))</f>
        <v>0</v>
      </c>
      <c r="F4452">
        <f>IF($D4452 &gt; 16, 0,$E4452*$J$5)</f>
        <v>0</v>
      </c>
      <c r="G4452">
        <f t="shared" si="69"/>
        <v>0</v>
      </c>
    </row>
    <row r="4453" spans="2:7" x14ac:dyDescent="0.35">
      <c r="B4453" s="1">
        <v>45843</v>
      </c>
      <c r="C4453" s="2">
        <v>0.45833333333333331</v>
      </c>
      <c r="D4453">
        <v>20.5</v>
      </c>
      <c r="E4453">
        <f>IF($D4453 &gt; 16, 0, $J$3*(16 - $D4453))</f>
        <v>0</v>
      </c>
      <c r="F4453">
        <f>IF($D4453 &gt; 16, 0,$E4453*$J$5)</f>
        <v>0</v>
      </c>
      <c r="G4453">
        <f t="shared" si="69"/>
        <v>0</v>
      </c>
    </row>
    <row r="4454" spans="2:7" x14ac:dyDescent="0.35">
      <c r="B4454" s="1">
        <v>45843</v>
      </c>
      <c r="C4454" s="2">
        <v>0.5</v>
      </c>
      <c r="D4454">
        <v>20</v>
      </c>
      <c r="E4454">
        <f>IF($D4454 &gt; 16, 0, $J$3*(16 - $D4454))</f>
        <v>0</v>
      </c>
      <c r="F4454">
        <f>IF($D4454 &gt; 16, 0,$E4454*$J$5)</f>
        <v>0</v>
      </c>
      <c r="G4454">
        <f t="shared" si="69"/>
        <v>0</v>
      </c>
    </row>
    <row r="4455" spans="2:7" x14ac:dyDescent="0.35">
      <c r="B4455" s="1">
        <v>45843</v>
      </c>
      <c r="C4455" s="2">
        <v>0.54166666666666663</v>
      </c>
      <c r="D4455">
        <v>21.2</v>
      </c>
      <c r="E4455">
        <f>IF($D4455 &gt; 16, 0, $J$3*(16 - $D4455))</f>
        <v>0</v>
      </c>
      <c r="F4455">
        <f>IF($D4455 &gt; 16, 0,$E4455*$J$5)</f>
        <v>0</v>
      </c>
      <c r="G4455">
        <f t="shared" si="69"/>
        <v>0</v>
      </c>
    </row>
    <row r="4456" spans="2:7" x14ac:dyDescent="0.35">
      <c r="B4456" s="1">
        <v>45843</v>
      </c>
      <c r="C4456" s="2">
        <v>0.58333333333333337</v>
      </c>
      <c r="D4456">
        <v>21.9</v>
      </c>
      <c r="E4456">
        <f>IF($D4456 &gt; 16, 0, $J$3*(16 - $D4456))</f>
        <v>0</v>
      </c>
      <c r="F4456">
        <f>IF($D4456 &gt; 16, 0,$E4456*$J$5)</f>
        <v>0</v>
      </c>
      <c r="G4456">
        <f t="shared" si="69"/>
        <v>0</v>
      </c>
    </row>
    <row r="4457" spans="2:7" x14ac:dyDescent="0.35">
      <c r="B4457" s="1">
        <v>45843</v>
      </c>
      <c r="C4457" s="2">
        <v>0.625</v>
      </c>
      <c r="D4457">
        <v>20.2</v>
      </c>
      <c r="E4457">
        <f>IF($D4457 &gt; 16, 0, $J$3*(16 - $D4457))</f>
        <v>0</v>
      </c>
      <c r="F4457">
        <f>IF($D4457 &gt; 16, 0,$E4457*$J$5)</f>
        <v>0</v>
      </c>
      <c r="G4457">
        <f t="shared" si="69"/>
        <v>0</v>
      </c>
    </row>
    <row r="4458" spans="2:7" x14ac:dyDescent="0.35">
      <c r="B4458" s="1">
        <v>45843</v>
      </c>
      <c r="C4458" s="2">
        <v>0.66666666666666663</v>
      </c>
      <c r="D4458">
        <v>20.3</v>
      </c>
      <c r="E4458">
        <f>IF($D4458 &gt; 16, 0, $J$3*(16 - $D4458))</f>
        <v>0</v>
      </c>
      <c r="F4458">
        <f>IF($D4458 &gt; 16, 0,$E4458*$J$5)</f>
        <v>0</v>
      </c>
      <c r="G4458">
        <f t="shared" si="69"/>
        <v>0</v>
      </c>
    </row>
    <row r="4459" spans="2:7" x14ac:dyDescent="0.35">
      <c r="B4459" s="1">
        <v>45843</v>
      </c>
      <c r="C4459" s="2">
        <v>0.70833333333333337</v>
      </c>
      <c r="D4459">
        <v>20.2</v>
      </c>
      <c r="E4459">
        <f>IF($D4459 &gt; 16, 0, $J$3*(16 - $D4459))</f>
        <v>0</v>
      </c>
      <c r="F4459">
        <f>IF($D4459 &gt; 16, 0,$E4459*$J$5)</f>
        <v>0</v>
      </c>
      <c r="G4459">
        <f t="shared" si="69"/>
        <v>0</v>
      </c>
    </row>
    <row r="4460" spans="2:7" x14ac:dyDescent="0.35">
      <c r="B4460" s="1">
        <v>45843</v>
      </c>
      <c r="C4460" s="2">
        <v>0.75</v>
      </c>
      <c r="D4460">
        <v>19.7</v>
      </c>
      <c r="E4460">
        <f>IF($D4460 &gt; 16, 0, $J$3*(16 - $D4460))</f>
        <v>0</v>
      </c>
      <c r="F4460">
        <f>IF($D4460 &gt; 16, 0,$E4460*$J$5)</f>
        <v>0</v>
      </c>
      <c r="G4460">
        <f t="shared" si="69"/>
        <v>0</v>
      </c>
    </row>
    <row r="4461" spans="2:7" x14ac:dyDescent="0.35">
      <c r="B4461" s="1">
        <v>45843</v>
      </c>
      <c r="C4461" s="2">
        <v>0.79166666666666663</v>
      </c>
      <c r="D4461">
        <v>19.5</v>
      </c>
      <c r="E4461">
        <f>IF($D4461 &gt; 16, 0, $J$3*(16 - $D4461))</f>
        <v>0</v>
      </c>
      <c r="F4461">
        <f>IF($D4461 &gt; 16, 0,$E4461*$J$5)</f>
        <v>0</v>
      </c>
      <c r="G4461">
        <f t="shared" si="69"/>
        <v>0</v>
      </c>
    </row>
    <row r="4462" spans="2:7" x14ac:dyDescent="0.35">
      <c r="B4462" s="1">
        <v>45843</v>
      </c>
      <c r="C4462" s="2">
        <v>0.83333333333333337</v>
      </c>
      <c r="D4462">
        <v>19.2</v>
      </c>
      <c r="E4462">
        <f>IF($D4462 &gt; 16, 0, $J$3*(16 - $D4462))</f>
        <v>0</v>
      </c>
      <c r="F4462">
        <f>IF($D4462 &gt; 16, 0,$E4462*$J$5)</f>
        <v>0</v>
      </c>
      <c r="G4462">
        <f t="shared" si="69"/>
        <v>0</v>
      </c>
    </row>
    <row r="4463" spans="2:7" x14ac:dyDescent="0.35">
      <c r="B4463" s="1">
        <v>45843</v>
      </c>
      <c r="C4463" s="2">
        <v>0.875</v>
      </c>
      <c r="D4463">
        <v>18.600000000000001</v>
      </c>
      <c r="E4463">
        <f>IF($D4463 &gt; 16, 0, $J$3*(16 - $D4463))</f>
        <v>0</v>
      </c>
      <c r="F4463">
        <f>IF($D4463 &gt; 16, 0,$E4463*$J$5)</f>
        <v>0</v>
      </c>
      <c r="G4463">
        <f t="shared" si="69"/>
        <v>0</v>
      </c>
    </row>
    <row r="4464" spans="2:7" x14ac:dyDescent="0.35">
      <c r="B4464" s="1">
        <v>45843</v>
      </c>
      <c r="C4464" s="2">
        <v>0.91666666666666663</v>
      </c>
      <c r="D4464">
        <v>18.100000000000001</v>
      </c>
      <c r="E4464">
        <f>IF($D4464 &gt; 16, 0, $J$3*(16 - $D4464))</f>
        <v>0</v>
      </c>
      <c r="F4464">
        <f>IF($D4464 &gt; 16, 0,$E4464*$J$5)</f>
        <v>0</v>
      </c>
      <c r="G4464">
        <f t="shared" si="69"/>
        <v>0</v>
      </c>
    </row>
    <row r="4465" spans="2:7" x14ac:dyDescent="0.35">
      <c r="B4465" s="1">
        <v>45843</v>
      </c>
      <c r="C4465" s="2">
        <v>0.95833333333333337</v>
      </c>
      <c r="D4465">
        <v>17.5</v>
      </c>
      <c r="E4465">
        <f>IF($D4465 &gt; 16, 0, $J$3*(16 - $D4465))</f>
        <v>0</v>
      </c>
      <c r="F4465">
        <f>IF($D4465 &gt; 16, 0,$E4465*$J$5)</f>
        <v>0</v>
      </c>
      <c r="G4465">
        <f t="shared" si="69"/>
        <v>0</v>
      </c>
    </row>
    <row r="4466" spans="2:7" x14ac:dyDescent="0.35">
      <c r="B4466" s="1">
        <v>45844</v>
      </c>
      <c r="C4466" s="2">
        <v>0</v>
      </c>
      <c r="D4466">
        <v>18.399999999999999</v>
      </c>
      <c r="E4466">
        <f>IF($D4466 &gt; 16, 0, $J$3*(16 - $D4466))</f>
        <v>0</v>
      </c>
      <c r="F4466">
        <f>IF($D4466 &gt; 16, 0,$E4466*$J$5)</f>
        <v>0</v>
      </c>
      <c r="G4466">
        <f t="shared" si="69"/>
        <v>0</v>
      </c>
    </row>
    <row r="4467" spans="2:7" x14ac:dyDescent="0.35">
      <c r="B4467" s="1">
        <v>45844</v>
      </c>
      <c r="C4467" s="2">
        <v>4.1666666666666657E-2</v>
      </c>
      <c r="D4467">
        <v>18.2</v>
      </c>
      <c r="E4467">
        <f>IF($D4467 &gt; 16, 0, $J$3*(16 - $D4467))</f>
        <v>0</v>
      </c>
      <c r="F4467">
        <f>IF($D4467 &gt; 16, 0,$E4467*$J$5)</f>
        <v>0</v>
      </c>
      <c r="G4467">
        <f t="shared" si="69"/>
        <v>0</v>
      </c>
    </row>
    <row r="4468" spans="2:7" x14ac:dyDescent="0.35">
      <c r="B4468" s="1">
        <v>45844</v>
      </c>
      <c r="C4468" s="2">
        <v>8.3333333333333329E-2</v>
      </c>
      <c r="D4468">
        <v>16.399999999999999</v>
      </c>
      <c r="E4468">
        <f>IF($D4468 &gt; 16, 0, $J$3*(16 - $D4468))</f>
        <v>0</v>
      </c>
      <c r="F4468">
        <f>IF($D4468 &gt; 16, 0,$E4468*$J$5)</f>
        <v>0</v>
      </c>
      <c r="G4468">
        <f t="shared" si="69"/>
        <v>0</v>
      </c>
    </row>
    <row r="4469" spans="2:7" x14ac:dyDescent="0.35">
      <c r="B4469" s="1">
        <v>45844</v>
      </c>
      <c r="C4469" s="2">
        <v>0.125</v>
      </c>
      <c r="D4469">
        <v>16.5</v>
      </c>
      <c r="E4469">
        <f>IF($D4469 &gt; 16, 0, $J$3*(16 - $D4469))</f>
        <v>0</v>
      </c>
      <c r="F4469">
        <f>IF($D4469 &gt; 16, 0,$E4469*$J$5)</f>
        <v>0</v>
      </c>
      <c r="G4469">
        <f t="shared" si="69"/>
        <v>0</v>
      </c>
    </row>
    <row r="4470" spans="2:7" x14ac:dyDescent="0.35">
      <c r="B4470" s="1">
        <v>45844</v>
      </c>
      <c r="C4470" s="2">
        <v>0.16666666666666671</v>
      </c>
      <c r="D4470">
        <v>16</v>
      </c>
      <c r="E4470">
        <f>IF($D4470 &gt; 16, 0, $J$3*(16 - $D4470))</f>
        <v>0</v>
      </c>
      <c r="F4470">
        <f>IF($D4470 &gt; 16, 0,$E4470*$J$5)</f>
        <v>0</v>
      </c>
      <c r="G4470">
        <f t="shared" si="69"/>
        <v>0</v>
      </c>
    </row>
    <row r="4471" spans="2:7" x14ac:dyDescent="0.35">
      <c r="B4471" s="1">
        <v>45844</v>
      </c>
      <c r="C4471" s="2">
        <v>0.20833333333333329</v>
      </c>
      <c r="D4471">
        <v>16.3</v>
      </c>
      <c r="E4471">
        <f>IF($D4471 &gt; 16, 0, $J$3*(16 - $D4471))</f>
        <v>0</v>
      </c>
      <c r="F4471">
        <f>IF($D4471 &gt; 16, 0,$E4471*$J$5)</f>
        <v>0</v>
      </c>
      <c r="G4471">
        <f t="shared" si="69"/>
        <v>0</v>
      </c>
    </row>
    <row r="4472" spans="2:7" x14ac:dyDescent="0.35">
      <c r="B4472" s="1">
        <v>45844</v>
      </c>
      <c r="C4472" s="2">
        <v>0.25</v>
      </c>
      <c r="D4472">
        <v>16.5</v>
      </c>
      <c r="E4472">
        <f>IF($D4472 &gt; 16, 0, $J$3*(16 - $D4472))</f>
        <v>0</v>
      </c>
      <c r="F4472">
        <f>IF($D4472 &gt; 16, 0,$E4472*$J$5)</f>
        <v>0</v>
      </c>
      <c r="G4472">
        <f t="shared" si="69"/>
        <v>0</v>
      </c>
    </row>
    <row r="4473" spans="2:7" x14ac:dyDescent="0.35">
      <c r="B4473" s="1">
        <v>45844</v>
      </c>
      <c r="C4473" s="2">
        <v>0.29166666666666669</v>
      </c>
      <c r="D4473">
        <v>16.899999999999999</v>
      </c>
      <c r="E4473">
        <f>IF($D4473 &gt; 16, 0, $J$3*(16 - $D4473))</f>
        <v>0</v>
      </c>
      <c r="F4473">
        <f>IF($D4473 &gt; 16, 0,$E4473*$J$5)</f>
        <v>0</v>
      </c>
      <c r="G4473">
        <f t="shared" si="69"/>
        <v>0</v>
      </c>
    </row>
    <row r="4474" spans="2:7" x14ac:dyDescent="0.35">
      <c r="B4474" s="1">
        <v>45844</v>
      </c>
      <c r="C4474" s="2">
        <v>0.33333333333333331</v>
      </c>
      <c r="D4474">
        <v>17.5</v>
      </c>
      <c r="E4474">
        <f>IF($D4474 &gt; 16, 0, $J$3*(16 - $D4474))</f>
        <v>0</v>
      </c>
      <c r="F4474">
        <f>IF($D4474 &gt; 16, 0,$E4474*$J$5)</f>
        <v>0</v>
      </c>
      <c r="G4474">
        <f t="shared" si="69"/>
        <v>0</v>
      </c>
    </row>
    <row r="4475" spans="2:7" x14ac:dyDescent="0.35">
      <c r="B4475" s="1">
        <v>45844</v>
      </c>
      <c r="C4475" s="2">
        <v>0.375</v>
      </c>
      <c r="D4475">
        <v>18.899999999999999</v>
      </c>
      <c r="E4475">
        <f>IF($D4475 &gt; 16, 0, $J$3*(16 - $D4475))</f>
        <v>0</v>
      </c>
      <c r="F4475">
        <f>IF($D4475 &gt; 16, 0,$E4475*$J$5)</f>
        <v>0</v>
      </c>
      <c r="G4475">
        <f t="shared" si="69"/>
        <v>0</v>
      </c>
    </row>
    <row r="4476" spans="2:7" x14ac:dyDescent="0.35">
      <c r="B4476" s="1">
        <v>45844</v>
      </c>
      <c r="C4476" s="2">
        <v>0.41666666666666669</v>
      </c>
      <c r="D4476">
        <v>20.6</v>
      </c>
      <c r="E4476">
        <f>IF($D4476 &gt; 16, 0, $J$3*(16 - $D4476))</f>
        <v>0</v>
      </c>
      <c r="F4476">
        <f>IF($D4476 &gt; 16, 0,$E4476*$J$5)</f>
        <v>0</v>
      </c>
      <c r="G4476">
        <f t="shared" si="69"/>
        <v>0</v>
      </c>
    </row>
    <row r="4477" spans="2:7" x14ac:dyDescent="0.35">
      <c r="B4477" s="1">
        <v>45844</v>
      </c>
      <c r="C4477" s="2">
        <v>0.45833333333333331</v>
      </c>
      <c r="D4477">
        <v>22.6</v>
      </c>
      <c r="E4477">
        <f>IF($D4477 &gt; 16, 0, $J$3*(16 - $D4477))</f>
        <v>0</v>
      </c>
      <c r="F4477">
        <f>IF($D4477 &gt; 16, 0,$E4477*$J$5)</f>
        <v>0</v>
      </c>
      <c r="G4477">
        <f t="shared" si="69"/>
        <v>0</v>
      </c>
    </row>
    <row r="4478" spans="2:7" x14ac:dyDescent="0.35">
      <c r="B4478" s="1">
        <v>45844</v>
      </c>
      <c r="C4478" s="2">
        <v>0.5</v>
      </c>
      <c r="D4478">
        <v>23.1</v>
      </c>
      <c r="E4478">
        <f>IF($D4478 &gt; 16, 0, $J$3*(16 - $D4478))</f>
        <v>0</v>
      </c>
      <c r="F4478">
        <f>IF($D4478 &gt; 16, 0,$E4478*$J$5)</f>
        <v>0</v>
      </c>
      <c r="G4478">
        <f t="shared" si="69"/>
        <v>0</v>
      </c>
    </row>
    <row r="4479" spans="2:7" x14ac:dyDescent="0.35">
      <c r="B4479" s="1">
        <v>45844</v>
      </c>
      <c r="C4479" s="2">
        <v>0.54166666666666663</v>
      </c>
      <c r="D4479">
        <v>24.3</v>
      </c>
      <c r="E4479">
        <f>IF($D4479 &gt; 16, 0, $J$3*(16 - $D4479))</f>
        <v>0</v>
      </c>
      <c r="F4479">
        <f>IF($D4479 &gt; 16, 0,$E4479*$J$5)</f>
        <v>0</v>
      </c>
      <c r="G4479">
        <f t="shared" si="69"/>
        <v>0</v>
      </c>
    </row>
    <row r="4480" spans="2:7" x14ac:dyDescent="0.35">
      <c r="B4480" s="1">
        <v>45844</v>
      </c>
      <c r="C4480" s="2">
        <v>0.58333333333333337</v>
      </c>
      <c r="D4480">
        <v>23.2</v>
      </c>
      <c r="E4480">
        <f>IF($D4480 &gt; 16, 0, $J$3*(16 - $D4480))</f>
        <v>0</v>
      </c>
      <c r="F4480">
        <f>IF($D4480 &gt; 16, 0,$E4480*$J$5)</f>
        <v>0</v>
      </c>
      <c r="G4480">
        <f t="shared" si="69"/>
        <v>0</v>
      </c>
    </row>
    <row r="4481" spans="2:7" x14ac:dyDescent="0.35">
      <c r="B4481" s="1">
        <v>45844</v>
      </c>
      <c r="C4481" s="2">
        <v>0.625</v>
      </c>
      <c r="D4481">
        <v>20</v>
      </c>
      <c r="E4481">
        <f>IF($D4481 &gt; 16, 0, $J$3*(16 - $D4481))</f>
        <v>0</v>
      </c>
      <c r="F4481">
        <f>IF($D4481 &gt; 16, 0,$E4481*$J$5)</f>
        <v>0</v>
      </c>
      <c r="G4481">
        <f t="shared" si="69"/>
        <v>0</v>
      </c>
    </row>
    <row r="4482" spans="2:7" x14ac:dyDescent="0.35">
      <c r="B4482" s="1">
        <v>45844</v>
      </c>
      <c r="C4482" s="2">
        <v>0.66666666666666663</v>
      </c>
      <c r="D4482">
        <v>21.8</v>
      </c>
      <c r="E4482">
        <f>IF($D4482 &gt; 16, 0, $J$3*(16 - $D4482))</f>
        <v>0</v>
      </c>
      <c r="F4482">
        <f>IF($D4482 &gt; 16, 0,$E4482*$J$5)</f>
        <v>0</v>
      </c>
      <c r="G4482">
        <f t="shared" si="69"/>
        <v>0</v>
      </c>
    </row>
    <row r="4483" spans="2:7" x14ac:dyDescent="0.35">
      <c r="B4483" s="1">
        <v>45844</v>
      </c>
      <c r="C4483" s="2">
        <v>0.70833333333333337</v>
      </c>
      <c r="D4483">
        <v>21.1</v>
      </c>
      <c r="E4483">
        <f>IF($D4483 &gt; 16, 0, $J$3*(16 - $D4483))</f>
        <v>0</v>
      </c>
      <c r="F4483">
        <f>IF($D4483 &gt; 16, 0,$E4483*$J$5)</f>
        <v>0</v>
      </c>
      <c r="G4483">
        <f t="shared" ref="G4483:G4546" si="70">MAX(0, 16 - $D4483)</f>
        <v>0</v>
      </c>
    </row>
    <row r="4484" spans="2:7" x14ac:dyDescent="0.35">
      <c r="B4484" s="1">
        <v>45844</v>
      </c>
      <c r="C4484" s="2">
        <v>0.75</v>
      </c>
      <c r="D4484">
        <v>17.8</v>
      </c>
      <c r="E4484">
        <f>IF($D4484 &gt; 16, 0, $J$3*(16 - $D4484))</f>
        <v>0</v>
      </c>
      <c r="F4484">
        <f>IF($D4484 &gt; 16, 0,$E4484*$J$5)</f>
        <v>0</v>
      </c>
      <c r="G4484">
        <f t="shared" si="70"/>
        <v>0</v>
      </c>
    </row>
    <row r="4485" spans="2:7" x14ac:dyDescent="0.35">
      <c r="B4485" s="1">
        <v>45844</v>
      </c>
      <c r="C4485" s="2">
        <v>0.79166666666666663</v>
      </c>
      <c r="D4485">
        <v>17.3</v>
      </c>
      <c r="E4485">
        <f>IF($D4485 &gt; 16, 0, $J$3*(16 - $D4485))</f>
        <v>0</v>
      </c>
      <c r="F4485">
        <f>IF($D4485 &gt; 16, 0,$E4485*$J$5)</f>
        <v>0</v>
      </c>
      <c r="G4485">
        <f t="shared" si="70"/>
        <v>0</v>
      </c>
    </row>
    <row r="4486" spans="2:7" x14ac:dyDescent="0.35">
      <c r="B4486" s="1">
        <v>45844</v>
      </c>
      <c r="C4486" s="2">
        <v>0.83333333333333337</v>
      </c>
      <c r="D4486">
        <v>16.5</v>
      </c>
      <c r="E4486">
        <f>IF($D4486 &gt; 16, 0, $J$3*(16 - $D4486))</f>
        <v>0</v>
      </c>
      <c r="F4486">
        <f>IF($D4486 &gt; 16, 0,$E4486*$J$5)</f>
        <v>0</v>
      </c>
      <c r="G4486">
        <f t="shared" si="70"/>
        <v>0</v>
      </c>
    </row>
    <row r="4487" spans="2:7" x14ac:dyDescent="0.35">
      <c r="B4487" s="1">
        <v>45844</v>
      </c>
      <c r="C4487" s="2">
        <v>0.875</v>
      </c>
      <c r="D4487">
        <v>16.2</v>
      </c>
      <c r="E4487">
        <f>IF($D4487 &gt; 16, 0, $J$3*(16 - $D4487))</f>
        <v>0</v>
      </c>
      <c r="F4487">
        <f>IF($D4487 &gt; 16, 0,$E4487*$J$5)</f>
        <v>0</v>
      </c>
      <c r="G4487">
        <f t="shared" si="70"/>
        <v>0</v>
      </c>
    </row>
    <row r="4488" spans="2:7" x14ac:dyDescent="0.35">
      <c r="B4488" s="1">
        <v>45844</v>
      </c>
      <c r="C4488" s="2">
        <v>0.91666666666666663</v>
      </c>
      <c r="D4488">
        <v>15.4</v>
      </c>
      <c r="E4488">
        <f>IF($D4488 &gt; 16, 0, $J$3*(16 - $D4488))</f>
        <v>124.64918562041812</v>
      </c>
      <c r="F4488">
        <f>IF($D4488 &gt; 16, 0,$E4488*$J$5)</f>
        <v>1354811.9985083246</v>
      </c>
      <c r="G4488">
        <f t="shared" si="70"/>
        <v>0.59999999999999964</v>
      </c>
    </row>
    <row r="4489" spans="2:7" x14ac:dyDescent="0.35">
      <c r="B4489" s="1">
        <v>45844</v>
      </c>
      <c r="C4489" s="2">
        <v>0.95833333333333337</v>
      </c>
      <c r="D4489">
        <v>15.2</v>
      </c>
      <c r="E4489">
        <f>IF($D4489 &gt; 16, 0, $J$3*(16 - $D4489))</f>
        <v>166.19891416055773</v>
      </c>
      <c r="F4489">
        <f>IF($D4489 &gt; 16, 0,$E4489*$J$5)</f>
        <v>1806415.998011102</v>
      </c>
      <c r="G4489">
        <f t="shared" si="70"/>
        <v>0.80000000000000071</v>
      </c>
    </row>
    <row r="4490" spans="2:7" x14ac:dyDescent="0.35">
      <c r="B4490" s="1">
        <v>45845</v>
      </c>
      <c r="C4490" s="2">
        <v>0</v>
      </c>
      <c r="D4490">
        <v>14.6</v>
      </c>
      <c r="E4490">
        <f>IF($D4490 &gt; 16, 0, $J$3*(16 - $D4490))</f>
        <v>290.84809978097587</v>
      </c>
      <c r="F4490">
        <f>IF($D4490 &gt; 16, 0,$E4490*$J$5)</f>
        <v>3161227.9965194268</v>
      </c>
      <c r="G4490">
        <f t="shared" si="70"/>
        <v>1.4000000000000004</v>
      </c>
    </row>
    <row r="4491" spans="2:7" x14ac:dyDescent="0.35">
      <c r="B4491" s="1">
        <v>45845</v>
      </c>
      <c r="C4491" s="2">
        <v>4.1666666666666657E-2</v>
      </c>
      <c r="D4491">
        <v>14.4</v>
      </c>
      <c r="E4491">
        <f>IF($D4491 &gt; 16, 0, $J$3*(16 - $D4491))</f>
        <v>332.39782832111513</v>
      </c>
      <c r="F4491">
        <f>IF($D4491 &gt; 16, 0,$E4491*$J$5)</f>
        <v>3612831.9960222002</v>
      </c>
      <c r="G4491">
        <f t="shared" si="70"/>
        <v>1.5999999999999996</v>
      </c>
    </row>
    <row r="4492" spans="2:7" x14ac:dyDescent="0.35">
      <c r="B4492" s="1">
        <v>45845</v>
      </c>
      <c r="C4492" s="2">
        <v>8.3333333333333329E-2</v>
      </c>
      <c r="D4492">
        <v>14.6</v>
      </c>
      <c r="E4492">
        <f>IF($D4492 &gt; 16, 0, $J$3*(16 - $D4492))</f>
        <v>290.84809978097587</v>
      </c>
      <c r="F4492">
        <f>IF($D4492 &gt; 16, 0,$E4492*$J$5)</f>
        <v>3161227.9965194268</v>
      </c>
      <c r="G4492">
        <f t="shared" si="70"/>
        <v>1.4000000000000004</v>
      </c>
    </row>
    <row r="4493" spans="2:7" x14ac:dyDescent="0.35">
      <c r="B4493" s="1">
        <v>45845</v>
      </c>
      <c r="C4493" s="2">
        <v>0.125</v>
      </c>
      <c r="D4493">
        <v>14.2</v>
      </c>
      <c r="E4493">
        <f>IF($D4493 &gt; 16, 0, $J$3*(16 - $D4493))</f>
        <v>373.94755686125472</v>
      </c>
      <c r="F4493">
        <f>IF($D4493 &gt; 16, 0,$E4493*$J$5)</f>
        <v>4064435.9955249778</v>
      </c>
      <c r="G4493">
        <f t="shared" si="70"/>
        <v>1.8000000000000007</v>
      </c>
    </row>
    <row r="4494" spans="2:7" x14ac:dyDescent="0.35">
      <c r="B4494" s="1">
        <v>45845</v>
      </c>
      <c r="C4494" s="2">
        <v>0.16666666666666671</v>
      </c>
      <c r="D4494">
        <v>14.1</v>
      </c>
      <c r="E4494">
        <f>IF($D4494 &gt; 16, 0, $J$3*(16 - $D4494))</f>
        <v>394.72242113132438</v>
      </c>
      <c r="F4494">
        <f>IF($D4494 &gt; 16, 0,$E4494*$J$5)</f>
        <v>4290237.9952763645</v>
      </c>
      <c r="G4494">
        <f t="shared" si="70"/>
        <v>1.9000000000000004</v>
      </c>
    </row>
    <row r="4495" spans="2:7" x14ac:dyDescent="0.35">
      <c r="B4495" s="1">
        <v>45845</v>
      </c>
      <c r="C4495" s="2">
        <v>0.20833333333333329</v>
      </c>
      <c r="D4495">
        <v>14.3</v>
      </c>
      <c r="E4495">
        <f>IF($D4495 &gt; 16, 0, $J$3*(16 - $D4495))</f>
        <v>353.17269259118473</v>
      </c>
      <c r="F4495">
        <f>IF($D4495 &gt; 16, 0,$E4495*$J$5)</f>
        <v>3838633.9957735869</v>
      </c>
      <c r="G4495">
        <f t="shared" si="70"/>
        <v>1.6999999999999993</v>
      </c>
    </row>
    <row r="4496" spans="2:7" x14ac:dyDescent="0.35">
      <c r="B4496" s="1">
        <v>45845</v>
      </c>
      <c r="C4496" s="2">
        <v>0.25</v>
      </c>
      <c r="D4496">
        <v>15.6</v>
      </c>
      <c r="E4496">
        <f>IF($D4496 &gt; 16, 0, $J$3*(16 - $D4496))</f>
        <v>83.099457080278867</v>
      </c>
      <c r="F4496">
        <f>IF($D4496 &gt; 16, 0,$E4496*$J$5)</f>
        <v>903207.99900555098</v>
      </c>
      <c r="G4496">
        <f t="shared" si="70"/>
        <v>0.40000000000000036</v>
      </c>
    </row>
    <row r="4497" spans="2:7" x14ac:dyDescent="0.35">
      <c r="B4497" s="1">
        <v>45845</v>
      </c>
      <c r="C4497" s="2">
        <v>0.29166666666666669</v>
      </c>
      <c r="D4497">
        <v>16.100000000000001</v>
      </c>
      <c r="E4497">
        <f>IF($D4497 &gt; 16, 0, $J$3*(16 - $D4497))</f>
        <v>0</v>
      </c>
      <c r="F4497">
        <f>IF($D4497 &gt; 16, 0,$E4497*$J$5)</f>
        <v>0</v>
      </c>
      <c r="G4497">
        <f t="shared" si="70"/>
        <v>0</v>
      </c>
    </row>
    <row r="4498" spans="2:7" x14ac:dyDescent="0.35">
      <c r="B4498" s="1">
        <v>45845</v>
      </c>
      <c r="C4498" s="2">
        <v>0.33333333333333331</v>
      </c>
      <c r="D4498">
        <v>16.899999999999999</v>
      </c>
      <c r="E4498">
        <f>IF($D4498 &gt; 16, 0, $J$3*(16 - $D4498))</f>
        <v>0</v>
      </c>
      <c r="F4498">
        <f>IF($D4498 &gt; 16, 0,$E4498*$J$5)</f>
        <v>0</v>
      </c>
      <c r="G4498">
        <f t="shared" si="70"/>
        <v>0</v>
      </c>
    </row>
    <row r="4499" spans="2:7" x14ac:dyDescent="0.35">
      <c r="B4499" s="1">
        <v>45845</v>
      </c>
      <c r="C4499" s="2">
        <v>0.375</v>
      </c>
      <c r="D4499">
        <v>17.899999999999999</v>
      </c>
      <c r="E4499">
        <f>IF($D4499 &gt; 16, 0, $J$3*(16 - $D4499))</f>
        <v>0</v>
      </c>
      <c r="F4499">
        <f>IF($D4499 &gt; 16, 0,$E4499*$J$5)</f>
        <v>0</v>
      </c>
      <c r="G4499">
        <f t="shared" si="70"/>
        <v>0</v>
      </c>
    </row>
    <row r="4500" spans="2:7" x14ac:dyDescent="0.35">
      <c r="B4500" s="1">
        <v>45845</v>
      </c>
      <c r="C4500" s="2">
        <v>0.41666666666666669</v>
      </c>
      <c r="D4500">
        <v>18.5</v>
      </c>
      <c r="E4500">
        <f>IF($D4500 &gt; 16, 0, $J$3*(16 - $D4500))</f>
        <v>0</v>
      </c>
      <c r="F4500">
        <f>IF($D4500 &gt; 16, 0,$E4500*$J$5)</f>
        <v>0</v>
      </c>
      <c r="G4500">
        <f t="shared" si="70"/>
        <v>0</v>
      </c>
    </row>
    <row r="4501" spans="2:7" x14ac:dyDescent="0.35">
      <c r="B4501" s="1">
        <v>45845</v>
      </c>
      <c r="C4501" s="2">
        <v>0.45833333333333331</v>
      </c>
      <c r="D4501">
        <v>18.899999999999999</v>
      </c>
      <c r="E4501">
        <f>IF($D4501 &gt; 16, 0, $J$3*(16 - $D4501))</f>
        <v>0</v>
      </c>
      <c r="F4501">
        <f>IF($D4501 &gt; 16, 0,$E4501*$J$5)</f>
        <v>0</v>
      </c>
      <c r="G4501">
        <f t="shared" si="70"/>
        <v>0</v>
      </c>
    </row>
    <row r="4502" spans="2:7" x14ac:dyDescent="0.35">
      <c r="B4502" s="1">
        <v>45845</v>
      </c>
      <c r="C4502" s="2">
        <v>0.5</v>
      </c>
      <c r="D4502">
        <v>19.600000000000001</v>
      </c>
      <c r="E4502">
        <f>IF($D4502 &gt; 16, 0, $J$3*(16 - $D4502))</f>
        <v>0</v>
      </c>
      <c r="F4502">
        <f>IF($D4502 &gt; 16, 0,$E4502*$J$5)</f>
        <v>0</v>
      </c>
      <c r="G4502">
        <f t="shared" si="70"/>
        <v>0</v>
      </c>
    </row>
    <row r="4503" spans="2:7" x14ac:dyDescent="0.35">
      <c r="B4503" s="1">
        <v>45845</v>
      </c>
      <c r="C4503" s="2">
        <v>0.54166666666666663</v>
      </c>
      <c r="D4503">
        <v>15</v>
      </c>
      <c r="E4503">
        <f>IF($D4503 &gt; 16, 0, $J$3*(16 - $D4503))</f>
        <v>207.74864270069699</v>
      </c>
      <c r="F4503">
        <f>IF($D4503 &gt; 16, 0,$E4503*$J$5)</f>
        <v>2258019.9975138754</v>
      </c>
      <c r="G4503">
        <f t="shared" si="70"/>
        <v>1</v>
      </c>
    </row>
    <row r="4504" spans="2:7" x14ac:dyDescent="0.35">
      <c r="B4504" s="1">
        <v>45845</v>
      </c>
      <c r="C4504" s="2">
        <v>0.58333333333333337</v>
      </c>
      <c r="D4504">
        <v>15.9</v>
      </c>
      <c r="E4504">
        <f>IF($D4504 &gt; 16, 0, $J$3*(16 - $D4504))</f>
        <v>20.774864270069624</v>
      </c>
      <c r="F4504">
        <f>IF($D4504 &gt; 16, 0,$E4504*$J$5)</f>
        <v>225801.99975138676</v>
      </c>
      <c r="G4504">
        <f t="shared" si="70"/>
        <v>9.9999999999999645E-2</v>
      </c>
    </row>
    <row r="4505" spans="2:7" x14ac:dyDescent="0.35">
      <c r="B4505" s="1">
        <v>45845</v>
      </c>
      <c r="C4505" s="2">
        <v>0.625</v>
      </c>
      <c r="D4505">
        <v>16.3</v>
      </c>
      <c r="E4505">
        <f>IF($D4505 &gt; 16, 0, $J$3*(16 - $D4505))</f>
        <v>0</v>
      </c>
      <c r="F4505">
        <f>IF($D4505 &gt; 16, 0,$E4505*$J$5)</f>
        <v>0</v>
      </c>
      <c r="G4505">
        <f t="shared" si="70"/>
        <v>0</v>
      </c>
    </row>
    <row r="4506" spans="2:7" x14ac:dyDescent="0.35">
      <c r="B4506" s="1">
        <v>45845</v>
      </c>
      <c r="C4506" s="2">
        <v>0.66666666666666663</v>
      </c>
      <c r="D4506">
        <v>15.7</v>
      </c>
      <c r="E4506">
        <f>IF($D4506 &gt; 16, 0, $J$3*(16 - $D4506))</f>
        <v>62.324592810209246</v>
      </c>
      <c r="F4506">
        <f>IF($D4506 &gt; 16, 0,$E4506*$J$5)</f>
        <v>677405.99925416429</v>
      </c>
      <c r="G4506">
        <f t="shared" si="70"/>
        <v>0.30000000000000071</v>
      </c>
    </row>
    <row r="4507" spans="2:7" x14ac:dyDescent="0.35">
      <c r="B4507" s="1">
        <v>45845</v>
      </c>
      <c r="C4507" s="2">
        <v>0.70833333333333337</v>
      </c>
      <c r="D4507">
        <v>15.8</v>
      </c>
      <c r="E4507">
        <f>IF($D4507 &gt; 16, 0, $J$3*(16 - $D4507))</f>
        <v>41.549728540139249</v>
      </c>
      <c r="F4507">
        <f>IF($D4507 &gt; 16, 0,$E4507*$J$5)</f>
        <v>451603.99950277351</v>
      </c>
      <c r="G4507">
        <f t="shared" si="70"/>
        <v>0.19999999999999929</v>
      </c>
    </row>
    <row r="4508" spans="2:7" x14ac:dyDescent="0.35">
      <c r="B4508" s="1">
        <v>45845</v>
      </c>
      <c r="C4508" s="2">
        <v>0.75</v>
      </c>
      <c r="D4508">
        <v>15.9</v>
      </c>
      <c r="E4508">
        <f>IF($D4508 &gt; 16, 0, $J$3*(16 - $D4508))</f>
        <v>20.774864270069624</v>
      </c>
      <c r="F4508">
        <f>IF($D4508 &gt; 16, 0,$E4508*$J$5)</f>
        <v>225801.99975138676</v>
      </c>
      <c r="G4508">
        <f t="shared" si="70"/>
        <v>9.9999999999999645E-2</v>
      </c>
    </row>
    <row r="4509" spans="2:7" x14ac:dyDescent="0.35">
      <c r="B4509" s="1">
        <v>45845</v>
      </c>
      <c r="C4509" s="2">
        <v>0.79166666666666663</v>
      </c>
      <c r="D4509">
        <v>15.9</v>
      </c>
      <c r="E4509">
        <f>IF($D4509 &gt; 16, 0, $J$3*(16 - $D4509))</f>
        <v>20.774864270069624</v>
      </c>
      <c r="F4509">
        <f>IF($D4509 &gt; 16, 0,$E4509*$J$5)</f>
        <v>225801.99975138676</v>
      </c>
      <c r="G4509">
        <f t="shared" si="70"/>
        <v>9.9999999999999645E-2</v>
      </c>
    </row>
    <row r="4510" spans="2:7" x14ac:dyDescent="0.35">
      <c r="B4510" s="1">
        <v>45845</v>
      </c>
      <c r="C4510" s="2">
        <v>0.83333333333333337</v>
      </c>
      <c r="D4510">
        <v>14.7</v>
      </c>
      <c r="E4510">
        <f>IF($D4510 &gt; 16, 0, $J$3*(16 - $D4510))</f>
        <v>270.07323551090622</v>
      </c>
      <c r="F4510">
        <f>IF($D4510 &gt; 16, 0,$E4510*$J$5)</f>
        <v>2935425.9967680397</v>
      </c>
      <c r="G4510">
        <f t="shared" si="70"/>
        <v>1.3000000000000007</v>
      </c>
    </row>
    <row r="4511" spans="2:7" x14ac:dyDescent="0.35">
      <c r="B4511" s="1">
        <v>45845</v>
      </c>
      <c r="C4511" s="2">
        <v>0.875</v>
      </c>
      <c r="D4511">
        <v>13.8</v>
      </c>
      <c r="E4511">
        <f>IF($D4511 &gt; 16, 0, $J$3*(16 - $D4511))</f>
        <v>457.04701394153324</v>
      </c>
      <c r="F4511">
        <f>IF($D4511 &gt; 16, 0,$E4511*$J$5)</f>
        <v>4967643.9945305251</v>
      </c>
      <c r="G4511">
        <f t="shared" si="70"/>
        <v>2.1999999999999993</v>
      </c>
    </row>
    <row r="4512" spans="2:7" x14ac:dyDescent="0.35">
      <c r="B4512" s="1">
        <v>45845</v>
      </c>
      <c r="C4512" s="2">
        <v>0.91666666666666663</v>
      </c>
      <c r="D4512">
        <v>13.9</v>
      </c>
      <c r="E4512">
        <f>IF($D4512 &gt; 16, 0, $J$3*(16 - $D4512))</f>
        <v>436.27214967146358</v>
      </c>
      <c r="F4512">
        <f>IF($D4512 &gt; 16, 0,$E4512*$J$5)</f>
        <v>4741841.9947791379</v>
      </c>
      <c r="G4512">
        <f t="shared" si="70"/>
        <v>2.0999999999999996</v>
      </c>
    </row>
    <row r="4513" spans="2:7" x14ac:dyDescent="0.35">
      <c r="B4513" s="1">
        <v>45845</v>
      </c>
      <c r="C4513" s="2">
        <v>0.95833333333333337</v>
      </c>
      <c r="D4513">
        <v>13.3</v>
      </c>
      <c r="E4513">
        <f>IF($D4513 &gt; 16, 0, $J$3*(16 - $D4513))</f>
        <v>560.92133529188175</v>
      </c>
      <c r="F4513">
        <f>IF($D4513 &gt; 16, 0,$E4513*$J$5)</f>
        <v>6096653.9932874627</v>
      </c>
      <c r="G4513">
        <f t="shared" si="70"/>
        <v>2.6999999999999993</v>
      </c>
    </row>
    <row r="4514" spans="2:7" x14ac:dyDescent="0.35">
      <c r="B4514" s="1">
        <v>45846</v>
      </c>
      <c r="C4514" s="2">
        <v>0</v>
      </c>
      <c r="D4514">
        <v>12.8</v>
      </c>
      <c r="E4514">
        <f>IF($D4514 &gt; 16, 0, $J$3*(16 - $D4514))</f>
        <v>664.79565664223026</v>
      </c>
      <c r="F4514">
        <f>IF($D4514 &gt; 16, 0,$E4514*$J$5)</f>
        <v>7225663.9920444004</v>
      </c>
      <c r="G4514">
        <f t="shared" si="70"/>
        <v>3.1999999999999993</v>
      </c>
    </row>
    <row r="4515" spans="2:7" x14ac:dyDescent="0.35">
      <c r="B4515" s="1">
        <v>45846</v>
      </c>
      <c r="C4515" s="2">
        <v>4.1666666666666657E-2</v>
      </c>
      <c r="D4515">
        <v>12.3</v>
      </c>
      <c r="E4515">
        <f>IF($D4515 &gt; 16, 0, $J$3*(16 - $D4515))</f>
        <v>768.66997799257877</v>
      </c>
      <c r="F4515">
        <f>IF($D4515 &gt; 16, 0,$E4515*$J$5)</f>
        <v>8354673.990801339</v>
      </c>
      <c r="G4515">
        <f t="shared" si="70"/>
        <v>3.6999999999999993</v>
      </c>
    </row>
    <row r="4516" spans="2:7" x14ac:dyDescent="0.35">
      <c r="B4516" s="1">
        <v>45846</v>
      </c>
      <c r="C4516" s="2">
        <v>8.3333333333333329E-2</v>
      </c>
      <c r="D4516">
        <v>12.6</v>
      </c>
      <c r="E4516">
        <f>IF($D4516 &gt; 16, 0, $J$3*(16 - $D4516))</f>
        <v>706.3453851823698</v>
      </c>
      <c r="F4516">
        <f>IF($D4516 &gt; 16, 0,$E4516*$J$5)</f>
        <v>7677267.9915471775</v>
      </c>
      <c r="G4516">
        <f t="shared" si="70"/>
        <v>3.4000000000000004</v>
      </c>
    </row>
    <row r="4517" spans="2:7" x14ac:dyDescent="0.35">
      <c r="B4517" s="1">
        <v>45846</v>
      </c>
      <c r="C4517" s="2">
        <v>0.125</v>
      </c>
      <c r="D4517">
        <v>12.1</v>
      </c>
      <c r="E4517">
        <f>IF($D4517 &gt; 16, 0, $J$3*(16 - $D4517))</f>
        <v>810.21970653271831</v>
      </c>
      <c r="F4517">
        <f>IF($D4517 &gt; 16, 0,$E4517*$J$5)</f>
        <v>8806277.9903041162</v>
      </c>
      <c r="G4517">
        <f t="shared" si="70"/>
        <v>3.9000000000000004</v>
      </c>
    </row>
    <row r="4518" spans="2:7" x14ac:dyDescent="0.35">
      <c r="B4518" s="1">
        <v>45846</v>
      </c>
      <c r="C4518" s="2">
        <v>0.16666666666666671</v>
      </c>
      <c r="D4518">
        <v>12.1</v>
      </c>
      <c r="E4518">
        <f>IF($D4518 &gt; 16, 0, $J$3*(16 - $D4518))</f>
        <v>810.21970653271831</v>
      </c>
      <c r="F4518">
        <f>IF($D4518 &gt; 16, 0,$E4518*$J$5)</f>
        <v>8806277.9903041162</v>
      </c>
      <c r="G4518">
        <f t="shared" si="70"/>
        <v>3.9000000000000004</v>
      </c>
    </row>
    <row r="4519" spans="2:7" x14ac:dyDescent="0.35">
      <c r="B4519" s="1">
        <v>45846</v>
      </c>
      <c r="C4519" s="2">
        <v>0.20833333333333329</v>
      </c>
      <c r="D4519">
        <v>12.9</v>
      </c>
      <c r="E4519">
        <f>IF($D4519 &gt; 16, 0, $J$3*(16 - $D4519))</f>
        <v>644.0207923721606</v>
      </c>
      <c r="F4519">
        <f>IF($D4519 &gt; 16, 0,$E4519*$J$5)</f>
        <v>6999861.9922930133</v>
      </c>
      <c r="G4519">
        <f t="shared" si="70"/>
        <v>3.0999999999999996</v>
      </c>
    </row>
    <row r="4520" spans="2:7" x14ac:dyDescent="0.35">
      <c r="B4520" s="1">
        <v>45846</v>
      </c>
      <c r="C4520" s="2">
        <v>0.25</v>
      </c>
      <c r="D4520">
        <v>13.5</v>
      </c>
      <c r="E4520">
        <f>IF($D4520 &gt; 16, 0, $J$3*(16 - $D4520))</f>
        <v>519.37160675174243</v>
      </c>
      <c r="F4520">
        <f>IF($D4520 &gt; 16, 0,$E4520*$J$5)</f>
        <v>5645049.9937846884</v>
      </c>
      <c r="G4520">
        <f t="shared" si="70"/>
        <v>2.5</v>
      </c>
    </row>
    <row r="4521" spans="2:7" x14ac:dyDescent="0.35">
      <c r="B4521" s="1">
        <v>45846</v>
      </c>
      <c r="C4521" s="2">
        <v>0.29166666666666669</v>
      </c>
      <c r="D4521">
        <v>14.8</v>
      </c>
      <c r="E4521">
        <f>IF($D4521 &gt; 16, 0, $J$3*(16 - $D4521))</f>
        <v>249.29837124083625</v>
      </c>
      <c r="F4521">
        <f>IF($D4521 &gt; 16, 0,$E4521*$J$5)</f>
        <v>2709623.9970166492</v>
      </c>
      <c r="G4521">
        <f t="shared" si="70"/>
        <v>1.1999999999999993</v>
      </c>
    </row>
    <row r="4522" spans="2:7" x14ac:dyDescent="0.35">
      <c r="B4522" s="1">
        <v>45846</v>
      </c>
      <c r="C4522" s="2">
        <v>0.33333333333333331</v>
      </c>
      <c r="D4522">
        <v>14.8</v>
      </c>
      <c r="E4522">
        <f>IF($D4522 &gt; 16, 0, $J$3*(16 - $D4522))</f>
        <v>249.29837124083625</v>
      </c>
      <c r="F4522">
        <f>IF($D4522 &gt; 16, 0,$E4522*$J$5)</f>
        <v>2709623.9970166492</v>
      </c>
      <c r="G4522">
        <f t="shared" si="70"/>
        <v>1.1999999999999993</v>
      </c>
    </row>
    <row r="4523" spans="2:7" x14ac:dyDescent="0.35">
      <c r="B4523" s="1">
        <v>45846</v>
      </c>
      <c r="C4523" s="2">
        <v>0.375</v>
      </c>
      <c r="D4523">
        <v>16.2</v>
      </c>
      <c r="E4523">
        <f>IF($D4523 &gt; 16, 0, $J$3*(16 - $D4523))</f>
        <v>0</v>
      </c>
      <c r="F4523">
        <f>IF($D4523 &gt; 16, 0,$E4523*$J$5)</f>
        <v>0</v>
      </c>
      <c r="G4523">
        <f t="shared" si="70"/>
        <v>0</v>
      </c>
    </row>
    <row r="4524" spans="2:7" x14ac:dyDescent="0.35">
      <c r="B4524" s="1">
        <v>45846</v>
      </c>
      <c r="C4524" s="2">
        <v>0.41666666666666669</v>
      </c>
      <c r="D4524">
        <v>16.5</v>
      </c>
      <c r="E4524">
        <f>IF($D4524 &gt; 16, 0, $J$3*(16 - $D4524))</f>
        <v>0</v>
      </c>
      <c r="F4524">
        <f>IF($D4524 &gt; 16, 0,$E4524*$J$5)</f>
        <v>0</v>
      </c>
      <c r="G4524">
        <f t="shared" si="70"/>
        <v>0</v>
      </c>
    </row>
    <row r="4525" spans="2:7" x14ac:dyDescent="0.35">
      <c r="B4525" s="1">
        <v>45846</v>
      </c>
      <c r="C4525" s="2">
        <v>0.45833333333333331</v>
      </c>
      <c r="D4525">
        <v>17</v>
      </c>
      <c r="E4525">
        <f>IF($D4525 &gt; 16, 0, $J$3*(16 - $D4525))</f>
        <v>0</v>
      </c>
      <c r="F4525">
        <f>IF($D4525 &gt; 16, 0,$E4525*$J$5)</f>
        <v>0</v>
      </c>
      <c r="G4525">
        <f t="shared" si="70"/>
        <v>0</v>
      </c>
    </row>
    <row r="4526" spans="2:7" x14ac:dyDescent="0.35">
      <c r="B4526" s="1">
        <v>45846</v>
      </c>
      <c r="C4526" s="2">
        <v>0.5</v>
      </c>
      <c r="D4526">
        <v>16.600000000000001</v>
      </c>
      <c r="E4526">
        <f>IF($D4526 &gt; 16, 0, $J$3*(16 - $D4526))</f>
        <v>0</v>
      </c>
      <c r="F4526">
        <f>IF($D4526 &gt; 16, 0,$E4526*$J$5)</f>
        <v>0</v>
      </c>
      <c r="G4526">
        <f t="shared" si="70"/>
        <v>0</v>
      </c>
    </row>
    <row r="4527" spans="2:7" x14ac:dyDescent="0.35">
      <c r="B4527" s="1">
        <v>45846</v>
      </c>
      <c r="C4527" s="2">
        <v>0.54166666666666663</v>
      </c>
      <c r="D4527">
        <v>16.7</v>
      </c>
      <c r="E4527">
        <f>IF($D4527 &gt; 16, 0, $J$3*(16 - $D4527))</f>
        <v>0</v>
      </c>
      <c r="F4527">
        <f>IF($D4527 &gt; 16, 0,$E4527*$J$5)</f>
        <v>0</v>
      </c>
      <c r="G4527">
        <f t="shared" si="70"/>
        <v>0</v>
      </c>
    </row>
    <row r="4528" spans="2:7" x14ac:dyDescent="0.35">
      <c r="B4528" s="1">
        <v>45846</v>
      </c>
      <c r="C4528" s="2">
        <v>0.58333333333333337</v>
      </c>
      <c r="D4528">
        <v>16.5</v>
      </c>
      <c r="E4528">
        <f>IF($D4528 &gt; 16, 0, $J$3*(16 - $D4528))</f>
        <v>0</v>
      </c>
      <c r="F4528">
        <f>IF($D4528 &gt; 16, 0,$E4528*$J$5)</f>
        <v>0</v>
      </c>
      <c r="G4528">
        <f t="shared" si="70"/>
        <v>0</v>
      </c>
    </row>
    <row r="4529" spans="2:7" x14ac:dyDescent="0.35">
      <c r="B4529" s="1">
        <v>45846</v>
      </c>
      <c r="C4529" s="2">
        <v>0.625</v>
      </c>
      <c r="D4529">
        <v>18.100000000000001</v>
      </c>
      <c r="E4529">
        <f>IF($D4529 &gt; 16, 0, $J$3*(16 - $D4529))</f>
        <v>0</v>
      </c>
      <c r="F4529">
        <f>IF($D4529 &gt; 16, 0,$E4529*$J$5)</f>
        <v>0</v>
      </c>
      <c r="G4529">
        <f t="shared" si="70"/>
        <v>0</v>
      </c>
    </row>
    <row r="4530" spans="2:7" x14ac:dyDescent="0.35">
      <c r="B4530" s="1">
        <v>45846</v>
      </c>
      <c r="C4530" s="2">
        <v>0.66666666666666663</v>
      </c>
      <c r="D4530">
        <v>17.7</v>
      </c>
      <c r="E4530">
        <f>IF($D4530 &gt; 16, 0, $J$3*(16 - $D4530))</f>
        <v>0</v>
      </c>
      <c r="F4530">
        <f>IF($D4530 &gt; 16, 0,$E4530*$J$5)</f>
        <v>0</v>
      </c>
      <c r="G4530">
        <f t="shared" si="70"/>
        <v>0</v>
      </c>
    </row>
    <row r="4531" spans="2:7" x14ac:dyDescent="0.35">
      <c r="B4531" s="1">
        <v>45846</v>
      </c>
      <c r="C4531" s="2">
        <v>0.70833333333333337</v>
      </c>
      <c r="D4531">
        <v>17.399999999999999</v>
      </c>
      <c r="E4531">
        <f>IF($D4531 &gt; 16, 0, $J$3*(16 - $D4531))</f>
        <v>0</v>
      </c>
      <c r="F4531">
        <f>IF($D4531 &gt; 16, 0,$E4531*$J$5)</f>
        <v>0</v>
      </c>
      <c r="G4531">
        <f t="shared" si="70"/>
        <v>0</v>
      </c>
    </row>
    <row r="4532" spans="2:7" x14ac:dyDescent="0.35">
      <c r="B4532" s="1">
        <v>45846</v>
      </c>
      <c r="C4532" s="2">
        <v>0.75</v>
      </c>
      <c r="D4532">
        <v>17.2</v>
      </c>
      <c r="E4532">
        <f>IF($D4532 &gt; 16, 0, $J$3*(16 - $D4532))</f>
        <v>0</v>
      </c>
      <c r="F4532">
        <f>IF($D4532 &gt; 16, 0,$E4532*$J$5)</f>
        <v>0</v>
      </c>
      <c r="G4532">
        <f t="shared" si="70"/>
        <v>0</v>
      </c>
    </row>
    <row r="4533" spans="2:7" x14ac:dyDescent="0.35">
      <c r="B4533" s="1">
        <v>45846</v>
      </c>
      <c r="C4533" s="2">
        <v>0.79166666666666663</v>
      </c>
      <c r="D4533">
        <v>16.8</v>
      </c>
      <c r="E4533">
        <f>IF($D4533 &gt; 16, 0, $J$3*(16 - $D4533))</f>
        <v>0</v>
      </c>
      <c r="F4533">
        <f>IF($D4533 &gt; 16, 0,$E4533*$J$5)</f>
        <v>0</v>
      </c>
      <c r="G4533">
        <f t="shared" si="70"/>
        <v>0</v>
      </c>
    </row>
    <row r="4534" spans="2:7" x14ac:dyDescent="0.35">
      <c r="B4534" s="1">
        <v>45846</v>
      </c>
      <c r="C4534" s="2">
        <v>0.83333333333333337</v>
      </c>
      <c r="D4534">
        <v>15.7</v>
      </c>
      <c r="E4534">
        <f>IF($D4534 &gt; 16, 0, $J$3*(16 - $D4534))</f>
        <v>62.324592810209246</v>
      </c>
      <c r="F4534">
        <f>IF($D4534 &gt; 16, 0,$E4534*$J$5)</f>
        <v>677405.99925416429</v>
      </c>
      <c r="G4534">
        <f t="shared" si="70"/>
        <v>0.30000000000000071</v>
      </c>
    </row>
    <row r="4535" spans="2:7" x14ac:dyDescent="0.35">
      <c r="B4535" s="1">
        <v>45846</v>
      </c>
      <c r="C4535" s="2">
        <v>0.875</v>
      </c>
      <c r="D4535">
        <v>15.7</v>
      </c>
      <c r="E4535">
        <f>IF($D4535 &gt; 16, 0, $J$3*(16 - $D4535))</f>
        <v>62.324592810209246</v>
      </c>
      <c r="F4535">
        <f>IF($D4535 &gt; 16, 0,$E4535*$J$5)</f>
        <v>677405.99925416429</v>
      </c>
      <c r="G4535">
        <f t="shared" si="70"/>
        <v>0.30000000000000071</v>
      </c>
    </row>
    <row r="4536" spans="2:7" x14ac:dyDescent="0.35">
      <c r="B4536" s="1">
        <v>45846</v>
      </c>
      <c r="C4536" s="2">
        <v>0.91666666666666663</v>
      </c>
      <c r="D4536">
        <v>15.5</v>
      </c>
      <c r="E4536">
        <f>IF($D4536 &gt; 16, 0, $J$3*(16 - $D4536))</f>
        <v>103.8743213503485</v>
      </c>
      <c r="F4536">
        <f>IF($D4536 &gt; 16, 0,$E4536*$J$5)</f>
        <v>1129009.9987569377</v>
      </c>
      <c r="G4536">
        <f t="shared" si="70"/>
        <v>0.5</v>
      </c>
    </row>
    <row r="4537" spans="2:7" x14ac:dyDescent="0.35">
      <c r="B4537" s="1">
        <v>45846</v>
      </c>
      <c r="C4537" s="2">
        <v>0.95833333333333337</v>
      </c>
      <c r="D4537">
        <v>15.3</v>
      </c>
      <c r="E4537">
        <f>IF($D4537 &gt; 16, 0, $J$3*(16 - $D4537))</f>
        <v>145.42404989048774</v>
      </c>
      <c r="F4537">
        <f>IF($D4537 &gt; 16, 0,$E4537*$J$5)</f>
        <v>1580613.9982597113</v>
      </c>
      <c r="G4537">
        <f t="shared" si="70"/>
        <v>0.69999999999999929</v>
      </c>
    </row>
    <row r="4538" spans="2:7" x14ac:dyDescent="0.35">
      <c r="B4538" s="1">
        <v>45847</v>
      </c>
      <c r="C4538" s="2">
        <v>0</v>
      </c>
      <c r="D4538">
        <v>14.7</v>
      </c>
      <c r="E4538">
        <f>IF($D4538 &gt; 16, 0, $J$3*(16 - $D4538))</f>
        <v>270.07323551090622</v>
      </c>
      <c r="F4538">
        <f>IF($D4538 &gt; 16, 0,$E4538*$J$5)</f>
        <v>2935425.9967680397</v>
      </c>
      <c r="G4538">
        <f t="shared" si="70"/>
        <v>1.3000000000000007</v>
      </c>
    </row>
    <row r="4539" spans="2:7" x14ac:dyDescent="0.35">
      <c r="B4539" s="1">
        <v>45847</v>
      </c>
      <c r="C4539" s="2">
        <v>4.1666666666666657E-2</v>
      </c>
      <c r="D4539">
        <v>14.4</v>
      </c>
      <c r="E4539">
        <f>IF($D4539 &gt; 16, 0, $J$3*(16 - $D4539))</f>
        <v>332.39782832111513</v>
      </c>
      <c r="F4539">
        <f>IF($D4539 &gt; 16, 0,$E4539*$J$5)</f>
        <v>3612831.9960222002</v>
      </c>
      <c r="G4539">
        <f t="shared" si="70"/>
        <v>1.5999999999999996</v>
      </c>
    </row>
    <row r="4540" spans="2:7" x14ac:dyDescent="0.35">
      <c r="B4540" s="1">
        <v>45847</v>
      </c>
      <c r="C4540" s="2">
        <v>8.3333333333333329E-2</v>
      </c>
      <c r="D4540">
        <v>14.4</v>
      </c>
      <c r="E4540">
        <f>IF($D4540 &gt; 16, 0, $J$3*(16 - $D4540))</f>
        <v>332.39782832111513</v>
      </c>
      <c r="F4540">
        <f>IF($D4540 &gt; 16, 0,$E4540*$J$5)</f>
        <v>3612831.9960222002</v>
      </c>
      <c r="G4540">
        <f t="shared" si="70"/>
        <v>1.5999999999999996</v>
      </c>
    </row>
    <row r="4541" spans="2:7" x14ac:dyDescent="0.35">
      <c r="B4541" s="1">
        <v>45847</v>
      </c>
      <c r="C4541" s="2">
        <v>0.125</v>
      </c>
      <c r="D4541">
        <v>14</v>
      </c>
      <c r="E4541">
        <f>IF($D4541 &gt; 16, 0, $J$3*(16 - $D4541))</f>
        <v>415.49728540139398</v>
      </c>
      <c r="F4541">
        <f>IF($D4541 &gt; 16, 0,$E4541*$J$5)</f>
        <v>4516039.9950277507</v>
      </c>
      <c r="G4541">
        <f t="shared" si="70"/>
        <v>2</v>
      </c>
    </row>
    <row r="4542" spans="2:7" x14ac:dyDescent="0.35">
      <c r="B4542" s="1">
        <v>45847</v>
      </c>
      <c r="C4542" s="2">
        <v>0.16666666666666671</v>
      </c>
      <c r="D4542">
        <v>14</v>
      </c>
      <c r="E4542">
        <f>IF($D4542 &gt; 16, 0, $J$3*(16 - $D4542))</f>
        <v>415.49728540139398</v>
      </c>
      <c r="F4542">
        <f>IF($D4542 &gt; 16, 0,$E4542*$J$5)</f>
        <v>4516039.9950277507</v>
      </c>
      <c r="G4542">
        <f t="shared" si="70"/>
        <v>2</v>
      </c>
    </row>
    <row r="4543" spans="2:7" x14ac:dyDescent="0.35">
      <c r="B4543" s="1">
        <v>45847</v>
      </c>
      <c r="C4543" s="2">
        <v>0.20833333333333329</v>
      </c>
      <c r="D4543">
        <v>14.8</v>
      </c>
      <c r="E4543">
        <f>IF($D4543 &gt; 16, 0, $J$3*(16 - $D4543))</f>
        <v>249.29837124083625</v>
      </c>
      <c r="F4543">
        <f>IF($D4543 &gt; 16, 0,$E4543*$J$5)</f>
        <v>2709623.9970166492</v>
      </c>
      <c r="G4543">
        <f t="shared" si="70"/>
        <v>1.1999999999999993</v>
      </c>
    </row>
    <row r="4544" spans="2:7" x14ac:dyDescent="0.35">
      <c r="B4544" s="1">
        <v>45847</v>
      </c>
      <c r="C4544" s="2">
        <v>0.25</v>
      </c>
      <c r="D4544">
        <v>16</v>
      </c>
      <c r="E4544">
        <f>IF($D4544 &gt; 16, 0, $J$3*(16 - $D4544))</f>
        <v>0</v>
      </c>
      <c r="F4544">
        <f>IF($D4544 &gt; 16, 0,$E4544*$J$5)</f>
        <v>0</v>
      </c>
      <c r="G4544">
        <f t="shared" si="70"/>
        <v>0</v>
      </c>
    </row>
    <row r="4545" spans="2:7" x14ac:dyDescent="0.35">
      <c r="B4545" s="1">
        <v>45847</v>
      </c>
      <c r="C4545" s="2">
        <v>0.29166666666666669</v>
      </c>
      <c r="D4545">
        <v>16.899999999999999</v>
      </c>
      <c r="E4545">
        <f>IF($D4545 &gt; 16, 0, $J$3*(16 - $D4545))</f>
        <v>0</v>
      </c>
      <c r="F4545">
        <f>IF($D4545 &gt; 16, 0,$E4545*$J$5)</f>
        <v>0</v>
      </c>
      <c r="G4545">
        <f t="shared" si="70"/>
        <v>0</v>
      </c>
    </row>
    <row r="4546" spans="2:7" x14ac:dyDescent="0.35">
      <c r="B4546" s="1">
        <v>45847</v>
      </c>
      <c r="C4546" s="2">
        <v>0.33333333333333331</v>
      </c>
      <c r="D4546">
        <v>17.600000000000001</v>
      </c>
      <c r="E4546">
        <f>IF($D4546 &gt; 16, 0, $J$3*(16 - $D4546))</f>
        <v>0</v>
      </c>
      <c r="F4546">
        <f>IF($D4546 &gt; 16, 0,$E4546*$J$5)</f>
        <v>0</v>
      </c>
      <c r="G4546">
        <f t="shared" si="70"/>
        <v>0</v>
      </c>
    </row>
    <row r="4547" spans="2:7" x14ac:dyDescent="0.35">
      <c r="B4547" s="1">
        <v>45847</v>
      </c>
      <c r="C4547" s="2">
        <v>0.375</v>
      </c>
      <c r="D4547">
        <v>18.899999999999999</v>
      </c>
      <c r="E4547">
        <f>IF($D4547 &gt; 16, 0, $J$3*(16 - $D4547))</f>
        <v>0</v>
      </c>
      <c r="F4547">
        <f>IF($D4547 &gt; 16, 0,$E4547*$J$5)</f>
        <v>0</v>
      </c>
      <c r="G4547">
        <f t="shared" ref="G4547:G4610" si="71">MAX(0, 16 - $D4547)</f>
        <v>0</v>
      </c>
    </row>
    <row r="4548" spans="2:7" x14ac:dyDescent="0.35">
      <c r="B4548" s="1">
        <v>45847</v>
      </c>
      <c r="C4548" s="2">
        <v>0.41666666666666669</v>
      </c>
      <c r="D4548">
        <v>19</v>
      </c>
      <c r="E4548">
        <f>IF($D4548 &gt; 16, 0, $J$3*(16 - $D4548))</f>
        <v>0</v>
      </c>
      <c r="F4548">
        <f>IF($D4548 &gt; 16, 0,$E4548*$J$5)</f>
        <v>0</v>
      </c>
      <c r="G4548">
        <f t="shared" si="71"/>
        <v>0</v>
      </c>
    </row>
    <row r="4549" spans="2:7" x14ac:dyDescent="0.35">
      <c r="B4549" s="1">
        <v>45847</v>
      </c>
      <c r="C4549" s="2">
        <v>0.45833333333333331</v>
      </c>
      <c r="D4549">
        <v>20</v>
      </c>
      <c r="E4549">
        <f>IF($D4549 &gt; 16, 0, $J$3*(16 - $D4549))</f>
        <v>0</v>
      </c>
      <c r="F4549">
        <f>IF($D4549 &gt; 16, 0,$E4549*$J$5)</f>
        <v>0</v>
      </c>
      <c r="G4549">
        <f t="shared" si="71"/>
        <v>0</v>
      </c>
    </row>
    <row r="4550" spans="2:7" x14ac:dyDescent="0.35">
      <c r="B4550" s="1">
        <v>45847</v>
      </c>
      <c r="C4550" s="2">
        <v>0.5</v>
      </c>
      <c r="D4550">
        <v>19.8</v>
      </c>
      <c r="E4550">
        <f>IF($D4550 &gt; 16, 0, $J$3*(16 - $D4550))</f>
        <v>0</v>
      </c>
      <c r="F4550">
        <f>IF($D4550 &gt; 16, 0,$E4550*$J$5)</f>
        <v>0</v>
      </c>
      <c r="G4550">
        <f t="shared" si="71"/>
        <v>0</v>
      </c>
    </row>
    <row r="4551" spans="2:7" x14ac:dyDescent="0.35">
      <c r="B4551" s="1">
        <v>45847</v>
      </c>
      <c r="C4551" s="2">
        <v>0.54166666666666663</v>
      </c>
      <c r="D4551">
        <v>20.399999999999999</v>
      </c>
      <c r="E4551">
        <f>IF($D4551 &gt; 16, 0, $J$3*(16 - $D4551))</f>
        <v>0</v>
      </c>
      <c r="F4551">
        <f>IF($D4551 &gt; 16, 0,$E4551*$J$5)</f>
        <v>0</v>
      </c>
      <c r="G4551">
        <f t="shared" si="71"/>
        <v>0</v>
      </c>
    </row>
    <row r="4552" spans="2:7" x14ac:dyDescent="0.35">
      <c r="B4552" s="1">
        <v>45847</v>
      </c>
      <c r="C4552" s="2">
        <v>0.58333333333333337</v>
      </c>
      <c r="D4552">
        <v>19.899999999999999</v>
      </c>
      <c r="E4552">
        <f>IF($D4552 &gt; 16, 0, $J$3*(16 - $D4552))</f>
        <v>0</v>
      </c>
      <c r="F4552">
        <f>IF($D4552 &gt; 16, 0,$E4552*$J$5)</f>
        <v>0</v>
      </c>
      <c r="G4552">
        <f t="shared" si="71"/>
        <v>0</v>
      </c>
    </row>
    <row r="4553" spans="2:7" x14ac:dyDescent="0.35">
      <c r="B4553" s="1">
        <v>45847</v>
      </c>
      <c r="C4553" s="2">
        <v>0.625</v>
      </c>
      <c r="D4553">
        <v>19.3</v>
      </c>
      <c r="E4553">
        <f>IF($D4553 &gt; 16, 0, $J$3*(16 - $D4553))</f>
        <v>0</v>
      </c>
      <c r="F4553">
        <f>IF($D4553 &gt; 16, 0,$E4553*$J$5)</f>
        <v>0</v>
      </c>
      <c r="G4553">
        <f t="shared" si="71"/>
        <v>0</v>
      </c>
    </row>
    <row r="4554" spans="2:7" x14ac:dyDescent="0.35">
      <c r="B4554" s="1">
        <v>45847</v>
      </c>
      <c r="C4554" s="2">
        <v>0.66666666666666663</v>
      </c>
      <c r="D4554">
        <v>20.100000000000001</v>
      </c>
      <c r="E4554">
        <f>IF($D4554 &gt; 16, 0, $J$3*(16 - $D4554))</f>
        <v>0</v>
      </c>
      <c r="F4554">
        <f>IF($D4554 &gt; 16, 0,$E4554*$J$5)</f>
        <v>0</v>
      </c>
      <c r="G4554">
        <f t="shared" si="71"/>
        <v>0</v>
      </c>
    </row>
    <row r="4555" spans="2:7" x14ac:dyDescent="0.35">
      <c r="B4555" s="1">
        <v>45847</v>
      </c>
      <c r="C4555" s="2">
        <v>0.70833333333333337</v>
      </c>
      <c r="D4555">
        <v>19</v>
      </c>
      <c r="E4555">
        <f>IF($D4555 &gt; 16, 0, $J$3*(16 - $D4555))</f>
        <v>0</v>
      </c>
      <c r="F4555">
        <f>IF($D4555 &gt; 16, 0,$E4555*$J$5)</f>
        <v>0</v>
      </c>
      <c r="G4555">
        <f t="shared" si="71"/>
        <v>0</v>
      </c>
    </row>
    <row r="4556" spans="2:7" x14ac:dyDescent="0.35">
      <c r="B4556" s="1">
        <v>45847</v>
      </c>
      <c r="C4556" s="2">
        <v>0.75</v>
      </c>
      <c r="D4556">
        <v>18</v>
      </c>
      <c r="E4556">
        <f>IF($D4556 &gt; 16, 0, $J$3*(16 - $D4556))</f>
        <v>0</v>
      </c>
      <c r="F4556">
        <f>IF($D4556 &gt; 16, 0,$E4556*$J$5)</f>
        <v>0</v>
      </c>
      <c r="G4556">
        <f t="shared" si="71"/>
        <v>0</v>
      </c>
    </row>
    <row r="4557" spans="2:7" x14ac:dyDescent="0.35">
      <c r="B4557" s="1">
        <v>45847</v>
      </c>
      <c r="C4557" s="2">
        <v>0.79166666666666663</v>
      </c>
      <c r="D4557">
        <v>16.600000000000001</v>
      </c>
      <c r="E4557">
        <f>IF($D4557 &gt; 16, 0, $J$3*(16 - $D4557))</f>
        <v>0</v>
      </c>
      <c r="F4557">
        <f>IF($D4557 &gt; 16, 0,$E4557*$J$5)</f>
        <v>0</v>
      </c>
      <c r="G4557">
        <f t="shared" si="71"/>
        <v>0</v>
      </c>
    </row>
    <row r="4558" spans="2:7" x14ac:dyDescent="0.35">
      <c r="B4558" s="1">
        <v>45847</v>
      </c>
      <c r="C4558" s="2">
        <v>0.83333333333333337</v>
      </c>
      <c r="D4558">
        <v>16.3</v>
      </c>
      <c r="E4558">
        <f>IF($D4558 &gt; 16, 0, $J$3*(16 - $D4558))</f>
        <v>0</v>
      </c>
      <c r="F4558">
        <f>IF($D4558 &gt; 16, 0,$E4558*$J$5)</f>
        <v>0</v>
      </c>
      <c r="G4558">
        <f t="shared" si="71"/>
        <v>0</v>
      </c>
    </row>
    <row r="4559" spans="2:7" x14ac:dyDescent="0.35">
      <c r="B4559" s="1">
        <v>45847</v>
      </c>
      <c r="C4559" s="2">
        <v>0.875</v>
      </c>
      <c r="D4559">
        <v>15.8</v>
      </c>
      <c r="E4559">
        <f>IF($D4559 &gt; 16, 0, $J$3*(16 - $D4559))</f>
        <v>41.549728540139249</v>
      </c>
      <c r="F4559">
        <f>IF($D4559 &gt; 16, 0,$E4559*$J$5)</f>
        <v>451603.99950277351</v>
      </c>
      <c r="G4559">
        <f t="shared" si="71"/>
        <v>0.19999999999999929</v>
      </c>
    </row>
    <row r="4560" spans="2:7" x14ac:dyDescent="0.35">
      <c r="B4560" s="1">
        <v>45847</v>
      </c>
      <c r="C4560" s="2">
        <v>0.91666666666666663</v>
      </c>
      <c r="D4560">
        <v>15</v>
      </c>
      <c r="E4560">
        <f>IF($D4560 &gt; 16, 0, $J$3*(16 - $D4560))</f>
        <v>207.74864270069699</v>
      </c>
      <c r="F4560">
        <f>IF($D4560 &gt; 16, 0,$E4560*$J$5)</f>
        <v>2258019.9975138754</v>
      </c>
      <c r="G4560">
        <f t="shared" si="71"/>
        <v>1</v>
      </c>
    </row>
    <row r="4561" spans="2:7" x14ac:dyDescent="0.35">
      <c r="B4561" s="1">
        <v>45847</v>
      </c>
      <c r="C4561" s="2">
        <v>0.95833333333333337</v>
      </c>
      <c r="D4561">
        <v>14.7</v>
      </c>
      <c r="E4561">
        <f>IF($D4561 &gt; 16, 0, $J$3*(16 - $D4561))</f>
        <v>270.07323551090622</v>
      </c>
      <c r="F4561">
        <f>IF($D4561 &gt; 16, 0,$E4561*$J$5)</f>
        <v>2935425.9967680397</v>
      </c>
      <c r="G4561">
        <f t="shared" si="71"/>
        <v>1.3000000000000007</v>
      </c>
    </row>
    <row r="4562" spans="2:7" x14ac:dyDescent="0.35">
      <c r="B4562" s="1">
        <v>45848</v>
      </c>
      <c r="C4562" s="2">
        <v>0</v>
      </c>
      <c r="D4562">
        <v>13.7</v>
      </c>
      <c r="E4562">
        <f>IF($D4562 &gt; 16, 0, $J$3*(16 - $D4562))</f>
        <v>477.82187821160323</v>
      </c>
      <c r="F4562">
        <f>IF($D4562 &gt; 16, 0,$E4562*$J$5)</f>
        <v>5193445.9942819159</v>
      </c>
      <c r="G4562">
        <f t="shared" si="71"/>
        <v>2.3000000000000007</v>
      </c>
    </row>
    <row r="4563" spans="2:7" x14ac:dyDescent="0.35">
      <c r="B4563" s="1">
        <v>45848</v>
      </c>
      <c r="C4563" s="2">
        <v>4.1666666666666657E-2</v>
      </c>
      <c r="D4563">
        <v>12.9</v>
      </c>
      <c r="E4563">
        <f>IF($D4563 &gt; 16, 0, $J$3*(16 - $D4563))</f>
        <v>644.0207923721606</v>
      </c>
      <c r="F4563">
        <f>IF($D4563 &gt; 16, 0,$E4563*$J$5)</f>
        <v>6999861.9922930133</v>
      </c>
      <c r="G4563">
        <f t="shared" si="71"/>
        <v>3.0999999999999996</v>
      </c>
    </row>
    <row r="4564" spans="2:7" x14ac:dyDescent="0.35">
      <c r="B4564" s="1">
        <v>45848</v>
      </c>
      <c r="C4564" s="2">
        <v>8.3333333333333329E-2</v>
      </c>
      <c r="D4564">
        <v>12.5</v>
      </c>
      <c r="E4564">
        <f>IF($D4564 &gt; 16, 0, $J$3*(16 - $D4564))</f>
        <v>727.12024945243945</v>
      </c>
      <c r="F4564">
        <f>IF($D4564 &gt; 16, 0,$E4564*$J$5)</f>
        <v>7903069.9912985647</v>
      </c>
      <c r="G4564">
        <f t="shared" si="71"/>
        <v>3.5</v>
      </c>
    </row>
    <row r="4565" spans="2:7" x14ac:dyDescent="0.35">
      <c r="B4565" s="1">
        <v>45848</v>
      </c>
      <c r="C4565" s="2">
        <v>0.125</v>
      </c>
      <c r="D4565">
        <v>12.3</v>
      </c>
      <c r="E4565">
        <f>IF($D4565 &gt; 16, 0, $J$3*(16 - $D4565))</f>
        <v>768.66997799257877</v>
      </c>
      <c r="F4565">
        <f>IF($D4565 &gt; 16, 0,$E4565*$J$5)</f>
        <v>8354673.990801339</v>
      </c>
      <c r="G4565">
        <f t="shared" si="71"/>
        <v>3.6999999999999993</v>
      </c>
    </row>
    <row r="4566" spans="2:7" x14ac:dyDescent="0.35">
      <c r="B4566" s="1">
        <v>45848</v>
      </c>
      <c r="C4566" s="2">
        <v>0.16666666666666671</v>
      </c>
      <c r="D4566">
        <v>13</v>
      </c>
      <c r="E4566">
        <f>IF($D4566 &gt; 16, 0, $J$3*(16 - $D4566))</f>
        <v>623.24592810209094</v>
      </c>
      <c r="F4566">
        <f>IF($D4566 &gt; 16, 0,$E4566*$J$5)</f>
        <v>6774059.9925416261</v>
      </c>
      <c r="G4566">
        <f t="shared" si="71"/>
        <v>3</v>
      </c>
    </row>
    <row r="4567" spans="2:7" x14ac:dyDescent="0.35">
      <c r="B4567" s="1">
        <v>45848</v>
      </c>
      <c r="C4567" s="2">
        <v>0.20833333333333329</v>
      </c>
      <c r="D4567">
        <v>14.3</v>
      </c>
      <c r="E4567">
        <f>IF($D4567 &gt; 16, 0, $J$3*(16 - $D4567))</f>
        <v>353.17269259118473</v>
      </c>
      <c r="F4567">
        <f>IF($D4567 &gt; 16, 0,$E4567*$J$5)</f>
        <v>3838633.9957735869</v>
      </c>
      <c r="G4567">
        <f t="shared" si="71"/>
        <v>1.6999999999999993</v>
      </c>
    </row>
    <row r="4568" spans="2:7" x14ac:dyDescent="0.35">
      <c r="B4568" s="1">
        <v>45848</v>
      </c>
      <c r="C4568" s="2">
        <v>0.25</v>
      </c>
      <c r="D4568">
        <v>15.6</v>
      </c>
      <c r="E4568">
        <f>IF($D4568 &gt; 16, 0, $J$3*(16 - $D4568))</f>
        <v>83.099457080278867</v>
      </c>
      <c r="F4568">
        <f>IF($D4568 &gt; 16, 0,$E4568*$J$5)</f>
        <v>903207.99900555098</v>
      </c>
      <c r="G4568">
        <f t="shared" si="71"/>
        <v>0.40000000000000036</v>
      </c>
    </row>
    <row r="4569" spans="2:7" x14ac:dyDescent="0.35">
      <c r="B4569" s="1">
        <v>45848</v>
      </c>
      <c r="C4569" s="2">
        <v>0.29166666666666669</v>
      </c>
      <c r="D4569">
        <v>16.899999999999999</v>
      </c>
      <c r="E4569">
        <f>IF($D4569 &gt; 16, 0, $J$3*(16 - $D4569))</f>
        <v>0</v>
      </c>
      <c r="F4569">
        <f>IF($D4569 &gt; 16, 0,$E4569*$J$5)</f>
        <v>0</v>
      </c>
      <c r="G4569">
        <f t="shared" si="71"/>
        <v>0</v>
      </c>
    </row>
    <row r="4570" spans="2:7" x14ac:dyDescent="0.35">
      <c r="B4570" s="1">
        <v>45848</v>
      </c>
      <c r="C4570" s="2">
        <v>0.33333333333333331</v>
      </c>
      <c r="D4570">
        <v>18.3</v>
      </c>
      <c r="E4570">
        <f>IF($D4570 &gt; 16, 0, $J$3*(16 - $D4570))</f>
        <v>0</v>
      </c>
      <c r="F4570">
        <f>IF($D4570 &gt; 16, 0,$E4570*$J$5)</f>
        <v>0</v>
      </c>
      <c r="G4570">
        <f t="shared" si="71"/>
        <v>0</v>
      </c>
    </row>
    <row r="4571" spans="2:7" x14ac:dyDescent="0.35">
      <c r="B4571" s="1">
        <v>45848</v>
      </c>
      <c r="C4571" s="2">
        <v>0.375</v>
      </c>
      <c r="D4571">
        <v>20.3</v>
      </c>
      <c r="E4571">
        <f>IF($D4571 &gt; 16, 0, $J$3*(16 - $D4571))</f>
        <v>0</v>
      </c>
      <c r="F4571">
        <f>IF($D4571 &gt; 16, 0,$E4571*$J$5)</f>
        <v>0</v>
      </c>
      <c r="G4571">
        <f t="shared" si="71"/>
        <v>0</v>
      </c>
    </row>
    <row r="4572" spans="2:7" x14ac:dyDescent="0.35">
      <c r="B4572" s="1">
        <v>45848</v>
      </c>
      <c r="C4572" s="2">
        <v>0.41666666666666669</v>
      </c>
      <c r="D4572">
        <v>20.9</v>
      </c>
      <c r="E4572">
        <f>IF($D4572 &gt; 16, 0, $J$3*(16 - $D4572))</f>
        <v>0</v>
      </c>
      <c r="F4572">
        <f>IF($D4572 &gt; 16, 0,$E4572*$J$5)</f>
        <v>0</v>
      </c>
      <c r="G4572">
        <f t="shared" si="71"/>
        <v>0</v>
      </c>
    </row>
    <row r="4573" spans="2:7" x14ac:dyDescent="0.35">
      <c r="B4573" s="1">
        <v>45848</v>
      </c>
      <c r="C4573" s="2">
        <v>0.45833333333333331</v>
      </c>
      <c r="D4573">
        <v>21.9</v>
      </c>
      <c r="E4573">
        <f>IF($D4573 &gt; 16, 0, $J$3*(16 - $D4573))</f>
        <v>0</v>
      </c>
      <c r="F4573">
        <f>IF($D4573 &gt; 16, 0,$E4573*$J$5)</f>
        <v>0</v>
      </c>
      <c r="G4573">
        <f t="shared" si="71"/>
        <v>0</v>
      </c>
    </row>
    <row r="4574" spans="2:7" x14ac:dyDescent="0.35">
      <c r="B4574" s="1">
        <v>45848</v>
      </c>
      <c r="C4574" s="2">
        <v>0.5</v>
      </c>
      <c r="D4574">
        <v>20.399999999999999</v>
      </c>
      <c r="E4574">
        <f>IF($D4574 &gt; 16, 0, $J$3*(16 - $D4574))</f>
        <v>0</v>
      </c>
      <c r="F4574">
        <f>IF($D4574 &gt; 16, 0,$E4574*$J$5)</f>
        <v>0</v>
      </c>
      <c r="G4574">
        <f t="shared" si="71"/>
        <v>0</v>
      </c>
    </row>
    <row r="4575" spans="2:7" x14ac:dyDescent="0.35">
      <c r="B4575" s="1">
        <v>45848</v>
      </c>
      <c r="C4575" s="2">
        <v>0.54166666666666663</v>
      </c>
      <c r="D4575">
        <v>21.2</v>
      </c>
      <c r="E4575">
        <f>IF($D4575 &gt; 16, 0, $J$3*(16 - $D4575))</f>
        <v>0</v>
      </c>
      <c r="F4575">
        <f>IF($D4575 &gt; 16, 0,$E4575*$J$5)</f>
        <v>0</v>
      </c>
      <c r="G4575">
        <f t="shared" si="71"/>
        <v>0</v>
      </c>
    </row>
    <row r="4576" spans="2:7" x14ac:dyDescent="0.35">
      <c r="B4576" s="1">
        <v>45848</v>
      </c>
      <c r="C4576" s="2">
        <v>0.58333333333333337</v>
      </c>
      <c r="D4576">
        <v>20.3</v>
      </c>
      <c r="E4576">
        <f>IF($D4576 &gt; 16, 0, $J$3*(16 - $D4576))</f>
        <v>0</v>
      </c>
      <c r="F4576">
        <f>IF($D4576 &gt; 16, 0,$E4576*$J$5)</f>
        <v>0</v>
      </c>
      <c r="G4576">
        <f t="shared" si="71"/>
        <v>0</v>
      </c>
    </row>
    <row r="4577" spans="2:7" x14ac:dyDescent="0.35">
      <c r="B4577" s="1">
        <v>45848</v>
      </c>
      <c r="C4577" s="2">
        <v>0.625</v>
      </c>
      <c r="D4577">
        <v>20.6</v>
      </c>
      <c r="E4577">
        <f>IF($D4577 &gt; 16, 0, $J$3*(16 - $D4577))</f>
        <v>0</v>
      </c>
      <c r="F4577">
        <f>IF($D4577 &gt; 16, 0,$E4577*$J$5)</f>
        <v>0</v>
      </c>
      <c r="G4577">
        <f t="shared" si="71"/>
        <v>0</v>
      </c>
    </row>
    <row r="4578" spans="2:7" x14ac:dyDescent="0.35">
      <c r="B4578" s="1">
        <v>45848</v>
      </c>
      <c r="C4578" s="2">
        <v>0.66666666666666663</v>
      </c>
      <c r="D4578">
        <v>20.399999999999999</v>
      </c>
      <c r="E4578">
        <f>IF($D4578 &gt; 16, 0, $J$3*(16 - $D4578))</f>
        <v>0</v>
      </c>
      <c r="F4578">
        <f>IF($D4578 &gt; 16, 0,$E4578*$J$5)</f>
        <v>0</v>
      </c>
      <c r="G4578">
        <f t="shared" si="71"/>
        <v>0</v>
      </c>
    </row>
    <row r="4579" spans="2:7" x14ac:dyDescent="0.35">
      <c r="B4579" s="1">
        <v>45848</v>
      </c>
      <c r="C4579" s="2">
        <v>0.70833333333333337</v>
      </c>
      <c r="D4579">
        <v>20.399999999999999</v>
      </c>
      <c r="E4579">
        <f>IF($D4579 &gt; 16, 0, $J$3*(16 - $D4579))</f>
        <v>0</v>
      </c>
      <c r="F4579">
        <f>IF($D4579 &gt; 16, 0,$E4579*$J$5)</f>
        <v>0</v>
      </c>
      <c r="G4579">
        <f t="shared" si="71"/>
        <v>0</v>
      </c>
    </row>
    <row r="4580" spans="2:7" x14ac:dyDescent="0.35">
      <c r="B4580" s="1">
        <v>45848</v>
      </c>
      <c r="C4580" s="2">
        <v>0.75</v>
      </c>
      <c r="D4580">
        <v>19.8</v>
      </c>
      <c r="E4580">
        <f>IF($D4580 &gt; 16, 0, $J$3*(16 - $D4580))</f>
        <v>0</v>
      </c>
      <c r="F4580">
        <f>IF($D4580 &gt; 16, 0,$E4580*$J$5)</f>
        <v>0</v>
      </c>
      <c r="G4580">
        <f t="shared" si="71"/>
        <v>0</v>
      </c>
    </row>
    <row r="4581" spans="2:7" x14ac:dyDescent="0.35">
      <c r="B4581" s="1">
        <v>45848</v>
      </c>
      <c r="C4581" s="2">
        <v>0.79166666666666663</v>
      </c>
      <c r="D4581">
        <v>19</v>
      </c>
      <c r="E4581">
        <f>IF($D4581 &gt; 16, 0, $J$3*(16 - $D4581))</f>
        <v>0</v>
      </c>
      <c r="F4581">
        <f>IF($D4581 &gt; 16, 0,$E4581*$J$5)</f>
        <v>0</v>
      </c>
      <c r="G4581">
        <f t="shared" si="71"/>
        <v>0</v>
      </c>
    </row>
    <row r="4582" spans="2:7" x14ac:dyDescent="0.35">
      <c r="B4582" s="1">
        <v>45848</v>
      </c>
      <c r="C4582" s="2">
        <v>0.83333333333333337</v>
      </c>
      <c r="D4582">
        <v>18</v>
      </c>
      <c r="E4582">
        <f>IF($D4582 &gt; 16, 0, $J$3*(16 - $D4582))</f>
        <v>0</v>
      </c>
      <c r="F4582">
        <f>IF($D4582 &gt; 16, 0,$E4582*$J$5)</f>
        <v>0</v>
      </c>
      <c r="G4582">
        <f t="shared" si="71"/>
        <v>0</v>
      </c>
    </row>
    <row r="4583" spans="2:7" x14ac:dyDescent="0.35">
      <c r="B4583" s="1">
        <v>45848</v>
      </c>
      <c r="C4583" s="2">
        <v>0.875</v>
      </c>
      <c r="D4583">
        <v>16.7</v>
      </c>
      <c r="E4583">
        <f>IF($D4583 &gt; 16, 0, $J$3*(16 - $D4583))</f>
        <v>0</v>
      </c>
      <c r="F4583">
        <f>IF($D4583 &gt; 16, 0,$E4583*$J$5)</f>
        <v>0</v>
      </c>
      <c r="G4583">
        <f t="shared" si="71"/>
        <v>0</v>
      </c>
    </row>
    <row r="4584" spans="2:7" x14ac:dyDescent="0.35">
      <c r="B4584" s="1">
        <v>45848</v>
      </c>
      <c r="C4584" s="2">
        <v>0.91666666666666663</v>
      </c>
      <c r="D4584">
        <v>15.6</v>
      </c>
      <c r="E4584">
        <f>IF($D4584 &gt; 16, 0, $J$3*(16 - $D4584))</f>
        <v>83.099457080278867</v>
      </c>
      <c r="F4584">
        <f>IF($D4584 &gt; 16, 0,$E4584*$J$5)</f>
        <v>903207.99900555098</v>
      </c>
      <c r="G4584">
        <f t="shared" si="71"/>
        <v>0.40000000000000036</v>
      </c>
    </row>
    <row r="4585" spans="2:7" x14ac:dyDescent="0.35">
      <c r="B4585" s="1">
        <v>45848</v>
      </c>
      <c r="C4585" s="2">
        <v>0.95833333333333337</v>
      </c>
      <c r="D4585">
        <v>14.6</v>
      </c>
      <c r="E4585">
        <f>IF($D4585 &gt; 16, 0, $J$3*(16 - $D4585))</f>
        <v>290.84809978097587</v>
      </c>
      <c r="F4585">
        <f>IF($D4585 &gt; 16, 0,$E4585*$J$5)</f>
        <v>3161227.9965194268</v>
      </c>
      <c r="G4585">
        <f t="shared" si="71"/>
        <v>1.4000000000000004</v>
      </c>
    </row>
    <row r="4586" spans="2:7" x14ac:dyDescent="0.35">
      <c r="B4586" s="1">
        <v>45849</v>
      </c>
      <c r="C4586" s="2">
        <v>0</v>
      </c>
      <c r="D4586">
        <v>13.8</v>
      </c>
      <c r="E4586">
        <f>IF($D4586 &gt; 16, 0, $J$3*(16 - $D4586))</f>
        <v>457.04701394153324</v>
      </c>
      <c r="F4586">
        <f>IF($D4586 &gt; 16, 0,$E4586*$J$5)</f>
        <v>4967643.9945305251</v>
      </c>
      <c r="G4586">
        <f t="shared" si="71"/>
        <v>2.1999999999999993</v>
      </c>
    </row>
    <row r="4587" spans="2:7" x14ac:dyDescent="0.35">
      <c r="B4587" s="1">
        <v>45849</v>
      </c>
      <c r="C4587" s="2">
        <v>4.1666666666666657E-2</v>
      </c>
      <c r="D4587">
        <v>13.5</v>
      </c>
      <c r="E4587">
        <f>IF($D4587 &gt; 16, 0, $J$3*(16 - $D4587))</f>
        <v>519.37160675174243</v>
      </c>
      <c r="F4587">
        <f>IF($D4587 &gt; 16, 0,$E4587*$J$5)</f>
        <v>5645049.9937846884</v>
      </c>
      <c r="G4587">
        <f t="shared" si="71"/>
        <v>2.5</v>
      </c>
    </row>
    <row r="4588" spans="2:7" x14ac:dyDescent="0.35">
      <c r="B4588" s="1">
        <v>45849</v>
      </c>
      <c r="C4588" s="2">
        <v>8.3333333333333329E-2</v>
      </c>
      <c r="D4588">
        <v>13.1</v>
      </c>
      <c r="E4588">
        <f>IF($D4588 &gt; 16, 0, $J$3*(16 - $D4588))</f>
        <v>602.4710638320214</v>
      </c>
      <c r="F4588">
        <f>IF($D4588 &gt; 16, 0,$E4588*$J$5)</f>
        <v>6548257.9927902408</v>
      </c>
      <c r="G4588">
        <f t="shared" si="71"/>
        <v>2.9000000000000004</v>
      </c>
    </row>
    <row r="4589" spans="2:7" x14ac:dyDescent="0.35">
      <c r="B4589" s="1">
        <v>45849</v>
      </c>
      <c r="C4589" s="2">
        <v>0.125</v>
      </c>
      <c r="D4589">
        <v>12.7</v>
      </c>
      <c r="E4589">
        <f>IF($D4589 &gt; 16, 0, $J$3*(16 - $D4589))</f>
        <v>685.57052091230025</v>
      </c>
      <c r="F4589">
        <f>IF($D4589 &gt; 16, 0,$E4589*$J$5)</f>
        <v>7451465.9917957913</v>
      </c>
      <c r="G4589">
        <f t="shared" si="71"/>
        <v>3.3000000000000007</v>
      </c>
    </row>
    <row r="4590" spans="2:7" x14ac:dyDescent="0.35">
      <c r="B4590" s="1">
        <v>45849</v>
      </c>
      <c r="C4590" s="2">
        <v>0.16666666666666671</v>
      </c>
      <c r="D4590">
        <v>12.4</v>
      </c>
      <c r="E4590">
        <f>IF($D4590 &gt; 16, 0, $J$3*(16 - $D4590))</f>
        <v>747.89511372250911</v>
      </c>
      <c r="F4590">
        <f>IF($D4590 &gt; 16, 0,$E4590*$J$5)</f>
        <v>8128871.9910499519</v>
      </c>
      <c r="G4590">
        <f t="shared" si="71"/>
        <v>3.5999999999999996</v>
      </c>
    </row>
    <row r="4591" spans="2:7" x14ac:dyDescent="0.35">
      <c r="B4591" s="1">
        <v>45849</v>
      </c>
      <c r="C4591" s="2">
        <v>0.20833333333333329</v>
      </c>
      <c r="D4591">
        <v>13.7</v>
      </c>
      <c r="E4591">
        <f>IF($D4591 &gt; 16, 0, $J$3*(16 - $D4591))</f>
        <v>477.82187821160323</v>
      </c>
      <c r="F4591">
        <f>IF($D4591 &gt; 16, 0,$E4591*$J$5)</f>
        <v>5193445.9942819159</v>
      </c>
      <c r="G4591">
        <f t="shared" si="71"/>
        <v>2.3000000000000007</v>
      </c>
    </row>
    <row r="4592" spans="2:7" x14ac:dyDescent="0.35">
      <c r="B4592" s="1">
        <v>45849</v>
      </c>
      <c r="C4592" s="2">
        <v>0.25</v>
      </c>
      <c r="D4592">
        <v>15</v>
      </c>
      <c r="E4592">
        <f>IF($D4592 &gt; 16, 0, $J$3*(16 - $D4592))</f>
        <v>207.74864270069699</v>
      </c>
      <c r="F4592">
        <f>IF($D4592 &gt; 16, 0,$E4592*$J$5)</f>
        <v>2258019.9975138754</v>
      </c>
      <c r="G4592">
        <f t="shared" si="71"/>
        <v>1</v>
      </c>
    </row>
    <row r="4593" spans="2:7" x14ac:dyDescent="0.35">
      <c r="B4593" s="1">
        <v>45849</v>
      </c>
      <c r="C4593" s="2">
        <v>0.29166666666666669</v>
      </c>
      <c r="D4593">
        <v>16.600000000000001</v>
      </c>
      <c r="E4593">
        <f>IF($D4593 &gt; 16, 0, $J$3*(16 - $D4593))</f>
        <v>0</v>
      </c>
      <c r="F4593">
        <f>IF($D4593 &gt; 16, 0,$E4593*$J$5)</f>
        <v>0</v>
      </c>
      <c r="G4593">
        <f t="shared" si="71"/>
        <v>0</v>
      </c>
    </row>
    <row r="4594" spans="2:7" x14ac:dyDescent="0.35">
      <c r="B4594" s="1">
        <v>45849</v>
      </c>
      <c r="C4594" s="2">
        <v>0.33333333333333331</v>
      </c>
      <c r="D4594">
        <v>17.899999999999999</v>
      </c>
      <c r="E4594">
        <f>IF($D4594 &gt; 16, 0, $J$3*(16 - $D4594))</f>
        <v>0</v>
      </c>
      <c r="F4594">
        <f>IF($D4594 &gt; 16, 0,$E4594*$J$5)</f>
        <v>0</v>
      </c>
      <c r="G4594">
        <f t="shared" si="71"/>
        <v>0</v>
      </c>
    </row>
    <row r="4595" spans="2:7" x14ac:dyDescent="0.35">
      <c r="B4595" s="1">
        <v>45849</v>
      </c>
      <c r="C4595" s="2">
        <v>0.375</v>
      </c>
      <c r="D4595">
        <v>19.100000000000001</v>
      </c>
      <c r="E4595">
        <f>IF($D4595 &gt; 16, 0, $J$3*(16 - $D4595))</f>
        <v>0</v>
      </c>
      <c r="F4595">
        <f>IF($D4595 &gt; 16, 0,$E4595*$J$5)</f>
        <v>0</v>
      </c>
      <c r="G4595">
        <f t="shared" si="71"/>
        <v>0</v>
      </c>
    </row>
    <row r="4596" spans="2:7" x14ac:dyDescent="0.35">
      <c r="B4596" s="1">
        <v>45849</v>
      </c>
      <c r="C4596" s="2">
        <v>0.41666666666666669</v>
      </c>
      <c r="D4596">
        <v>20.3</v>
      </c>
      <c r="E4596">
        <f>IF($D4596 &gt; 16, 0, $J$3*(16 - $D4596))</f>
        <v>0</v>
      </c>
      <c r="F4596">
        <f>IF($D4596 &gt; 16, 0,$E4596*$J$5)</f>
        <v>0</v>
      </c>
      <c r="G4596">
        <f t="shared" si="71"/>
        <v>0</v>
      </c>
    </row>
    <row r="4597" spans="2:7" x14ac:dyDescent="0.35">
      <c r="B4597" s="1">
        <v>45849</v>
      </c>
      <c r="C4597" s="2">
        <v>0.45833333333333331</v>
      </c>
      <c r="D4597">
        <v>21.2</v>
      </c>
      <c r="E4597">
        <f>IF($D4597 &gt; 16, 0, $J$3*(16 - $D4597))</f>
        <v>0</v>
      </c>
      <c r="F4597">
        <f>IF($D4597 &gt; 16, 0,$E4597*$J$5)</f>
        <v>0</v>
      </c>
      <c r="G4597">
        <f t="shared" si="71"/>
        <v>0</v>
      </c>
    </row>
    <row r="4598" spans="2:7" x14ac:dyDescent="0.35">
      <c r="B4598" s="1">
        <v>45849</v>
      </c>
      <c r="C4598" s="2">
        <v>0.5</v>
      </c>
      <c r="D4598">
        <v>21.3</v>
      </c>
      <c r="E4598">
        <f>IF($D4598 &gt; 16, 0, $J$3*(16 - $D4598))</f>
        <v>0</v>
      </c>
      <c r="F4598">
        <f>IF($D4598 &gt; 16, 0,$E4598*$J$5)</f>
        <v>0</v>
      </c>
      <c r="G4598">
        <f t="shared" si="71"/>
        <v>0</v>
      </c>
    </row>
    <row r="4599" spans="2:7" x14ac:dyDescent="0.35">
      <c r="B4599" s="1">
        <v>45849</v>
      </c>
      <c r="C4599" s="2">
        <v>0.54166666666666663</v>
      </c>
      <c r="D4599">
        <v>21.8</v>
      </c>
      <c r="E4599">
        <f>IF($D4599 &gt; 16, 0, $J$3*(16 - $D4599))</f>
        <v>0</v>
      </c>
      <c r="F4599">
        <f>IF($D4599 &gt; 16, 0,$E4599*$J$5)</f>
        <v>0</v>
      </c>
      <c r="G4599">
        <f t="shared" si="71"/>
        <v>0</v>
      </c>
    </row>
    <row r="4600" spans="2:7" x14ac:dyDescent="0.35">
      <c r="B4600" s="1">
        <v>45849</v>
      </c>
      <c r="C4600" s="2">
        <v>0.58333333333333337</v>
      </c>
      <c r="D4600">
        <v>22.6</v>
      </c>
      <c r="E4600">
        <f>IF($D4600 &gt; 16, 0, $J$3*(16 - $D4600))</f>
        <v>0</v>
      </c>
      <c r="F4600">
        <f>IF($D4600 &gt; 16, 0,$E4600*$J$5)</f>
        <v>0</v>
      </c>
      <c r="G4600">
        <f t="shared" si="71"/>
        <v>0</v>
      </c>
    </row>
    <row r="4601" spans="2:7" x14ac:dyDescent="0.35">
      <c r="B4601" s="1">
        <v>45849</v>
      </c>
      <c r="C4601" s="2">
        <v>0.625</v>
      </c>
      <c r="D4601">
        <v>22.7</v>
      </c>
      <c r="E4601">
        <f>IF($D4601 &gt; 16, 0, $J$3*(16 - $D4601))</f>
        <v>0</v>
      </c>
      <c r="F4601">
        <f>IF($D4601 &gt; 16, 0,$E4601*$J$5)</f>
        <v>0</v>
      </c>
      <c r="G4601">
        <f t="shared" si="71"/>
        <v>0</v>
      </c>
    </row>
    <row r="4602" spans="2:7" x14ac:dyDescent="0.35">
      <c r="B4602" s="1">
        <v>45849</v>
      </c>
      <c r="C4602" s="2">
        <v>0.66666666666666663</v>
      </c>
      <c r="D4602">
        <v>22.5</v>
      </c>
      <c r="E4602">
        <f>IF($D4602 &gt; 16, 0, $J$3*(16 - $D4602))</f>
        <v>0</v>
      </c>
      <c r="F4602">
        <f>IF($D4602 &gt; 16, 0,$E4602*$J$5)</f>
        <v>0</v>
      </c>
      <c r="G4602">
        <f t="shared" si="71"/>
        <v>0</v>
      </c>
    </row>
    <row r="4603" spans="2:7" x14ac:dyDescent="0.35">
      <c r="B4603" s="1">
        <v>45849</v>
      </c>
      <c r="C4603" s="2">
        <v>0.70833333333333337</v>
      </c>
      <c r="D4603">
        <v>21.8</v>
      </c>
      <c r="E4603">
        <f>IF($D4603 &gt; 16, 0, $J$3*(16 - $D4603))</f>
        <v>0</v>
      </c>
      <c r="F4603">
        <f>IF($D4603 &gt; 16, 0,$E4603*$J$5)</f>
        <v>0</v>
      </c>
      <c r="G4603">
        <f t="shared" si="71"/>
        <v>0</v>
      </c>
    </row>
    <row r="4604" spans="2:7" x14ac:dyDescent="0.35">
      <c r="B4604" s="1">
        <v>45849</v>
      </c>
      <c r="C4604" s="2">
        <v>0.75</v>
      </c>
      <c r="D4604">
        <v>20.100000000000001</v>
      </c>
      <c r="E4604">
        <f>IF($D4604 &gt; 16, 0, $J$3*(16 - $D4604))</f>
        <v>0</v>
      </c>
      <c r="F4604">
        <f>IF($D4604 &gt; 16, 0,$E4604*$J$5)</f>
        <v>0</v>
      </c>
      <c r="G4604">
        <f t="shared" si="71"/>
        <v>0</v>
      </c>
    </row>
    <row r="4605" spans="2:7" x14ac:dyDescent="0.35">
      <c r="B4605" s="1">
        <v>45849</v>
      </c>
      <c r="C4605" s="2">
        <v>0.79166666666666663</v>
      </c>
      <c r="D4605">
        <v>18.899999999999999</v>
      </c>
      <c r="E4605">
        <f>IF($D4605 &gt; 16, 0, $J$3*(16 - $D4605))</f>
        <v>0</v>
      </c>
      <c r="F4605">
        <f>IF($D4605 &gt; 16, 0,$E4605*$J$5)</f>
        <v>0</v>
      </c>
      <c r="G4605">
        <f t="shared" si="71"/>
        <v>0</v>
      </c>
    </row>
    <row r="4606" spans="2:7" x14ac:dyDescent="0.35">
      <c r="B4606" s="1">
        <v>45849</v>
      </c>
      <c r="C4606" s="2">
        <v>0.83333333333333337</v>
      </c>
      <c r="D4606">
        <v>17.3</v>
      </c>
      <c r="E4606">
        <f>IF($D4606 &gt; 16, 0, $J$3*(16 - $D4606))</f>
        <v>0</v>
      </c>
      <c r="F4606">
        <f>IF($D4606 &gt; 16, 0,$E4606*$J$5)</f>
        <v>0</v>
      </c>
      <c r="G4606">
        <f t="shared" si="71"/>
        <v>0</v>
      </c>
    </row>
    <row r="4607" spans="2:7" x14ac:dyDescent="0.35">
      <c r="B4607" s="1">
        <v>45849</v>
      </c>
      <c r="C4607" s="2">
        <v>0.875</v>
      </c>
      <c r="D4607">
        <v>16.899999999999999</v>
      </c>
      <c r="E4607">
        <f>IF($D4607 &gt; 16, 0, $J$3*(16 - $D4607))</f>
        <v>0</v>
      </c>
      <c r="F4607">
        <f>IF($D4607 &gt; 16, 0,$E4607*$J$5)</f>
        <v>0</v>
      </c>
      <c r="G4607">
        <f t="shared" si="71"/>
        <v>0</v>
      </c>
    </row>
    <row r="4608" spans="2:7" x14ac:dyDescent="0.35">
      <c r="B4608" s="1">
        <v>45849</v>
      </c>
      <c r="C4608" s="2">
        <v>0.91666666666666663</v>
      </c>
      <c r="D4608">
        <v>16.7</v>
      </c>
      <c r="E4608">
        <f>IF($D4608 &gt; 16, 0, $J$3*(16 - $D4608))</f>
        <v>0</v>
      </c>
      <c r="F4608">
        <f>IF($D4608 &gt; 16, 0,$E4608*$J$5)</f>
        <v>0</v>
      </c>
      <c r="G4608">
        <f t="shared" si="71"/>
        <v>0</v>
      </c>
    </row>
    <row r="4609" spans="2:7" x14ac:dyDescent="0.35">
      <c r="B4609" s="1">
        <v>45849</v>
      </c>
      <c r="C4609" s="2">
        <v>0.95833333333333337</v>
      </c>
      <c r="D4609">
        <v>16.5</v>
      </c>
      <c r="E4609">
        <f>IF($D4609 &gt; 16, 0, $J$3*(16 - $D4609))</f>
        <v>0</v>
      </c>
      <c r="F4609">
        <f>IF($D4609 &gt; 16, 0,$E4609*$J$5)</f>
        <v>0</v>
      </c>
      <c r="G4609">
        <f t="shared" si="71"/>
        <v>0</v>
      </c>
    </row>
    <row r="4610" spans="2:7" x14ac:dyDescent="0.35">
      <c r="B4610" s="1">
        <v>45850</v>
      </c>
      <c r="C4610" s="2">
        <v>0</v>
      </c>
      <c r="D4610">
        <v>16.5</v>
      </c>
      <c r="E4610">
        <f>IF($D4610 &gt; 16, 0, $J$3*(16 - $D4610))</f>
        <v>0</v>
      </c>
      <c r="F4610">
        <f>IF($D4610 &gt; 16, 0,$E4610*$J$5)</f>
        <v>0</v>
      </c>
      <c r="G4610">
        <f t="shared" si="71"/>
        <v>0</v>
      </c>
    </row>
    <row r="4611" spans="2:7" x14ac:dyDescent="0.35">
      <c r="B4611" s="1">
        <v>45850</v>
      </c>
      <c r="C4611" s="2">
        <v>4.1666666666666657E-2</v>
      </c>
      <c r="D4611">
        <v>16.5</v>
      </c>
      <c r="E4611">
        <f>IF($D4611 &gt; 16, 0, $J$3*(16 - $D4611))</f>
        <v>0</v>
      </c>
      <c r="F4611">
        <f>IF($D4611 &gt; 16, 0,$E4611*$J$5)</f>
        <v>0</v>
      </c>
      <c r="G4611">
        <f t="shared" ref="G4611:G4674" si="72">MAX(0, 16 - $D4611)</f>
        <v>0</v>
      </c>
    </row>
    <row r="4612" spans="2:7" x14ac:dyDescent="0.35">
      <c r="B4612" s="1">
        <v>45850</v>
      </c>
      <c r="C4612" s="2">
        <v>8.3333333333333329E-2</v>
      </c>
      <c r="D4612">
        <v>16.2</v>
      </c>
      <c r="E4612">
        <f>IF($D4612 &gt; 16, 0, $J$3*(16 - $D4612))</f>
        <v>0</v>
      </c>
      <c r="F4612">
        <f>IF($D4612 &gt; 16, 0,$E4612*$J$5)</f>
        <v>0</v>
      </c>
      <c r="G4612">
        <f t="shared" si="72"/>
        <v>0</v>
      </c>
    </row>
    <row r="4613" spans="2:7" x14ac:dyDescent="0.35">
      <c r="B4613" s="1">
        <v>45850</v>
      </c>
      <c r="C4613" s="2">
        <v>0.125</v>
      </c>
      <c r="D4613">
        <v>15.9</v>
      </c>
      <c r="E4613">
        <f>IF($D4613 &gt; 16, 0, $J$3*(16 - $D4613))</f>
        <v>20.774864270069624</v>
      </c>
      <c r="F4613">
        <f>IF($D4613 &gt; 16, 0,$E4613*$J$5)</f>
        <v>225801.99975138676</v>
      </c>
      <c r="G4613">
        <f t="shared" si="72"/>
        <v>9.9999999999999645E-2</v>
      </c>
    </row>
    <row r="4614" spans="2:7" x14ac:dyDescent="0.35">
      <c r="B4614" s="1">
        <v>45850</v>
      </c>
      <c r="C4614" s="2">
        <v>0.16666666666666671</v>
      </c>
      <c r="D4614">
        <v>16.5</v>
      </c>
      <c r="E4614">
        <f>IF($D4614 &gt; 16, 0, $J$3*(16 - $D4614))</f>
        <v>0</v>
      </c>
      <c r="F4614">
        <f>IF($D4614 &gt; 16, 0,$E4614*$J$5)</f>
        <v>0</v>
      </c>
      <c r="G4614">
        <f t="shared" si="72"/>
        <v>0</v>
      </c>
    </row>
    <row r="4615" spans="2:7" x14ac:dyDescent="0.35">
      <c r="B4615" s="1">
        <v>45850</v>
      </c>
      <c r="C4615" s="2">
        <v>0.20833333333333329</v>
      </c>
      <c r="D4615">
        <v>16.8</v>
      </c>
      <c r="E4615">
        <f>IF($D4615 &gt; 16, 0, $J$3*(16 - $D4615))</f>
        <v>0</v>
      </c>
      <c r="F4615">
        <f>IF($D4615 &gt; 16, 0,$E4615*$J$5)</f>
        <v>0</v>
      </c>
      <c r="G4615">
        <f t="shared" si="72"/>
        <v>0</v>
      </c>
    </row>
    <row r="4616" spans="2:7" x14ac:dyDescent="0.35">
      <c r="B4616" s="1">
        <v>45850</v>
      </c>
      <c r="C4616" s="2">
        <v>0.25</v>
      </c>
      <c r="D4616">
        <v>17</v>
      </c>
      <c r="E4616">
        <f>IF($D4616 &gt; 16, 0, $J$3*(16 - $D4616))</f>
        <v>0</v>
      </c>
      <c r="F4616">
        <f>IF($D4616 &gt; 16, 0,$E4616*$J$5)</f>
        <v>0</v>
      </c>
      <c r="G4616">
        <f t="shared" si="72"/>
        <v>0</v>
      </c>
    </row>
    <row r="4617" spans="2:7" x14ac:dyDescent="0.35">
      <c r="B4617" s="1">
        <v>45850</v>
      </c>
      <c r="C4617" s="2">
        <v>0.29166666666666669</v>
      </c>
      <c r="D4617">
        <v>17.3</v>
      </c>
      <c r="E4617">
        <f>IF($D4617 &gt; 16, 0, $J$3*(16 - $D4617))</f>
        <v>0</v>
      </c>
      <c r="F4617">
        <f>IF($D4617 &gt; 16, 0,$E4617*$J$5)</f>
        <v>0</v>
      </c>
      <c r="G4617">
        <f t="shared" si="72"/>
        <v>0</v>
      </c>
    </row>
    <row r="4618" spans="2:7" x14ac:dyDescent="0.35">
      <c r="B4618" s="1">
        <v>45850</v>
      </c>
      <c r="C4618" s="2">
        <v>0.33333333333333331</v>
      </c>
      <c r="D4618">
        <v>17.899999999999999</v>
      </c>
      <c r="E4618">
        <f>IF($D4618 &gt; 16, 0, $J$3*(16 - $D4618))</f>
        <v>0</v>
      </c>
      <c r="F4618">
        <f>IF($D4618 &gt; 16, 0,$E4618*$J$5)</f>
        <v>0</v>
      </c>
      <c r="G4618">
        <f t="shared" si="72"/>
        <v>0</v>
      </c>
    </row>
    <row r="4619" spans="2:7" x14ac:dyDescent="0.35">
      <c r="B4619" s="1">
        <v>45850</v>
      </c>
      <c r="C4619" s="2">
        <v>0.375</v>
      </c>
      <c r="D4619">
        <v>18.600000000000001</v>
      </c>
      <c r="E4619">
        <f>IF($D4619 &gt; 16, 0, $J$3*(16 - $D4619))</f>
        <v>0</v>
      </c>
      <c r="F4619">
        <f>IF($D4619 &gt; 16, 0,$E4619*$J$5)</f>
        <v>0</v>
      </c>
      <c r="G4619">
        <f t="shared" si="72"/>
        <v>0</v>
      </c>
    </row>
    <row r="4620" spans="2:7" x14ac:dyDescent="0.35">
      <c r="B4620" s="1">
        <v>45850</v>
      </c>
      <c r="C4620" s="2">
        <v>0.41666666666666669</v>
      </c>
      <c r="D4620">
        <v>19.8</v>
      </c>
      <c r="E4620">
        <f>IF($D4620 &gt; 16, 0, $J$3*(16 - $D4620))</f>
        <v>0</v>
      </c>
      <c r="F4620">
        <f>IF($D4620 &gt; 16, 0,$E4620*$J$5)</f>
        <v>0</v>
      </c>
      <c r="G4620">
        <f t="shared" si="72"/>
        <v>0</v>
      </c>
    </row>
    <row r="4621" spans="2:7" x14ac:dyDescent="0.35">
      <c r="B4621" s="1">
        <v>45850</v>
      </c>
      <c r="C4621" s="2">
        <v>0.45833333333333331</v>
      </c>
      <c r="D4621">
        <v>20.5</v>
      </c>
      <c r="E4621">
        <f>IF($D4621 &gt; 16, 0, $J$3*(16 - $D4621))</f>
        <v>0</v>
      </c>
      <c r="F4621">
        <f>IF($D4621 &gt; 16, 0,$E4621*$J$5)</f>
        <v>0</v>
      </c>
      <c r="G4621">
        <f t="shared" si="72"/>
        <v>0</v>
      </c>
    </row>
    <row r="4622" spans="2:7" x14ac:dyDescent="0.35">
      <c r="B4622" s="1">
        <v>45850</v>
      </c>
      <c r="C4622" s="2">
        <v>0.5</v>
      </c>
      <c r="D4622">
        <v>20.3</v>
      </c>
      <c r="E4622">
        <f>IF($D4622 &gt; 16, 0, $J$3*(16 - $D4622))</f>
        <v>0</v>
      </c>
      <c r="F4622">
        <f>IF($D4622 &gt; 16, 0,$E4622*$J$5)</f>
        <v>0</v>
      </c>
      <c r="G4622">
        <f t="shared" si="72"/>
        <v>0</v>
      </c>
    </row>
    <row r="4623" spans="2:7" x14ac:dyDescent="0.35">
      <c r="B4623" s="1">
        <v>45850</v>
      </c>
      <c r="C4623" s="2">
        <v>0.54166666666666663</v>
      </c>
      <c r="D4623">
        <v>21.3</v>
      </c>
      <c r="E4623">
        <f>IF($D4623 &gt; 16, 0, $J$3*(16 - $D4623))</f>
        <v>0</v>
      </c>
      <c r="F4623">
        <f>IF($D4623 &gt; 16, 0,$E4623*$J$5)</f>
        <v>0</v>
      </c>
      <c r="G4623">
        <f t="shared" si="72"/>
        <v>0</v>
      </c>
    </row>
    <row r="4624" spans="2:7" x14ac:dyDescent="0.35">
      <c r="B4624" s="1">
        <v>45850</v>
      </c>
      <c r="C4624" s="2">
        <v>0.58333333333333337</v>
      </c>
      <c r="D4624">
        <v>19.100000000000001</v>
      </c>
      <c r="E4624">
        <f>IF($D4624 &gt; 16, 0, $J$3*(16 - $D4624))</f>
        <v>0</v>
      </c>
      <c r="F4624">
        <f>IF($D4624 &gt; 16, 0,$E4624*$J$5)</f>
        <v>0</v>
      </c>
      <c r="G4624">
        <f t="shared" si="72"/>
        <v>0</v>
      </c>
    </row>
    <row r="4625" spans="2:7" x14ac:dyDescent="0.35">
      <c r="B4625" s="1">
        <v>45850</v>
      </c>
      <c r="C4625" s="2">
        <v>0.625</v>
      </c>
      <c r="D4625">
        <v>17.399999999999999</v>
      </c>
      <c r="E4625">
        <f>IF($D4625 &gt; 16, 0, $J$3*(16 - $D4625))</f>
        <v>0</v>
      </c>
      <c r="F4625">
        <f>IF($D4625 &gt; 16, 0,$E4625*$J$5)</f>
        <v>0</v>
      </c>
      <c r="G4625">
        <f t="shared" si="72"/>
        <v>0</v>
      </c>
    </row>
    <row r="4626" spans="2:7" x14ac:dyDescent="0.35">
      <c r="B4626" s="1">
        <v>45850</v>
      </c>
      <c r="C4626" s="2">
        <v>0.66666666666666663</v>
      </c>
      <c r="D4626">
        <v>18.600000000000001</v>
      </c>
      <c r="E4626">
        <f>IF($D4626 &gt; 16, 0, $J$3*(16 - $D4626))</f>
        <v>0</v>
      </c>
      <c r="F4626">
        <f>IF($D4626 &gt; 16, 0,$E4626*$J$5)</f>
        <v>0</v>
      </c>
      <c r="G4626">
        <f t="shared" si="72"/>
        <v>0</v>
      </c>
    </row>
    <row r="4627" spans="2:7" x14ac:dyDescent="0.35">
      <c r="B4627" s="1">
        <v>45850</v>
      </c>
      <c r="C4627" s="2">
        <v>0.70833333333333337</v>
      </c>
      <c r="D4627">
        <v>19.399999999999999</v>
      </c>
      <c r="E4627">
        <f>IF($D4627 &gt; 16, 0, $J$3*(16 - $D4627))</f>
        <v>0</v>
      </c>
      <c r="F4627">
        <f>IF($D4627 &gt; 16, 0,$E4627*$J$5)</f>
        <v>0</v>
      </c>
      <c r="G4627">
        <f t="shared" si="72"/>
        <v>0</v>
      </c>
    </row>
    <row r="4628" spans="2:7" x14ac:dyDescent="0.35">
      <c r="B4628" s="1">
        <v>45850</v>
      </c>
      <c r="C4628" s="2">
        <v>0.75</v>
      </c>
      <c r="D4628">
        <v>18.399999999999999</v>
      </c>
      <c r="E4628">
        <f>IF($D4628 &gt; 16, 0, $J$3*(16 - $D4628))</f>
        <v>0</v>
      </c>
      <c r="F4628">
        <f>IF($D4628 &gt; 16, 0,$E4628*$J$5)</f>
        <v>0</v>
      </c>
      <c r="G4628">
        <f t="shared" si="72"/>
        <v>0</v>
      </c>
    </row>
    <row r="4629" spans="2:7" x14ac:dyDescent="0.35">
      <c r="B4629" s="1">
        <v>45850</v>
      </c>
      <c r="C4629" s="2">
        <v>0.79166666666666663</v>
      </c>
      <c r="D4629">
        <v>17.899999999999999</v>
      </c>
      <c r="E4629">
        <f>IF($D4629 &gt; 16, 0, $J$3*(16 - $D4629))</f>
        <v>0</v>
      </c>
      <c r="F4629">
        <f>IF($D4629 &gt; 16, 0,$E4629*$J$5)</f>
        <v>0</v>
      </c>
      <c r="G4629">
        <f t="shared" si="72"/>
        <v>0</v>
      </c>
    </row>
    <row r="4630" spans="2:7" x14ac:dyDescent="0.35">
      <c r="B4630" s="1">
        <v>45850</v>
      </c>
      <c r="C4630" s="2">
        <v>0.83333333333333337</v>
      </c>
      <c r="D4630">
        <v>17.399999999999999</v>
      </c>
      <c r="E4630">
        <f>IF($D4630 &gt; 16, 0, $J$3*(16 - $D4630))</f>
        <v>0</v>
      </c>
      <c r="F4630">
        <f>IF($D4630 &gt; 16, 0,$E4630*$J$5)</f>
        <v>0</v>
      </c>
      <c r="G4630">
        <f t="shared" si="72"/>
        <v>0</v>
      </c>
    </row>
    <row r="4631" spans="2:7" x14ac:dyDescent="0.35">
      <c r="B4631" s="1">
        <v>45850</v>
      </c>
      <c r="C4631" s="2">
        <v>0.875</v>
      </c>
      <c r="D4631">
        <v>16.899999999999999</v>
      </c>
      <c r="E4631">
        <f>IF($D4631 &gt; 16, 0, $J$3*(16 - $D4631))</f>
        <v>0</v>
      </c>
      <c r="F4631">
        <f>IF($D4631 &gt; 16, 0,$E4631*$J$5)</f>
        <v>0</v>
      </c>
      <c r="G4631">
        <f t="shared" si="72"/>
        <v>0</v>
      </c>
    </row>
    <row r="4632" spans="2:7" x14ac:dyDescent="0.35">
      <c r="B4632" s="1">
        <v>45850</v>
      </c>
      <c r="C4632" s="2">
        <v>0.91666666666666663</v>
      </c>
      <c r="D4632">
        <v>16</v>
      </c>
      <c r="E4632">
        <f>IF($D4632 &gt; 16, 0, $J$3*(16 - $D4632))</f>
        <v>0</v>
      </c>
      <c r="F4632">
        <f>IF($D4632 &gt; 16, 0,$E4632*$J$5)</f>
        <v>0</v>
      </c>
      <c r="G4632">
        <f t="shared" si="72"/>
        <v>0</v>
      </c>
    </row>
    <row r="4633" spans="2:7" x14ac:dyDescent="0.35">
      <c r="B4633" s="1">
        <v>45850</v>
      </c>
      <c r="C4633" s="2">
        <v>0.95833333333333337</v>
      </c>
      <c r="D4633">
        <v>14.6</v>
      </c>
      <c r="E4633">
        <f>IF($D4633 &gt; 16, 0, $J$3*(16 - $D4633))</f>
        <v>290.84809978097587</v>
      </c>
      <c r="F4633">
        <f>IF($D4633 &gt; 16, 0,$E4633*$J$5)</f>
        <v>3161227.9965194268</v>
      </c>
      <c r="G4633">
        <f t="shared" si="72"/>
        <v>1.4000000000000004</v>
      </c>
    </row>
    <row r="4634" spans="2:7" x14ac:dyDescent="0.35">
      <c r="B4634" s="1">
        <v>45851</v>
      </c>
      <c r="C4634" s="2">
        <v>0</v>
      </c>
      <c r="D4634">
        <v>14.2</v>
      </c>
      <c r="E4634">
        <f>IF($D4634 &gt; 16, 0, $J$3*(16 - $D4634))</f>
        <v>373.94755686125472</v>
      </c>
      <c r="F4634">
        <f>IF($D4634 &gt; 16, 0,$E4634*$J$5)</f>
        <v>4064435.9955249778</v>
      </c>
      <c r="G4634">
        <f t="shared" si="72"/>
        <v>1.8000000000000007</v>
      </c>
    </row>
    <row r="4635" spans="2:7" x14ac:dyDescent="0.35">
      <c r="B4635" s="1">
        <v>45851</v>
      </c>
      <c r="C4635" s="2">
        <v>4.1666666666666657E-2</v>
      </c>
      <c r="D4635">
        <v>14.9</v>
      </c>
      <c r="E4635">
        <f>IF($D4635 &gt; 16, 0, $J$3*(16 - $D4635))</f>
        <v>228.52350697076662</v>
      </c>
      <c r="F4635">
        <f>IF($D4635 &gt; 16, 0,$E4635*$J$5)</f>
        <v>2483821.9972652625</v>
      </c>
      <c r="G4635">
        <f t="shared" si="72"/>
        <v>1.0999999999999996</v>
      </c>
    </row>
    <row r="4636" spans="2:7" x14ac:dyDescent="0.35">
      <c r="B4636" s="1">
        <v>45851</v>
      </c>
      <c r="C4636" s="2">
        <v>8.3333333333333329E-2</v>
      </c>
      <c r="D4636">
        <v>15.4</v>
      </c>
      <c r="E4636">
        <f>IF($D4636 &gt; 16, 0, $J$3*(16 - $D4636))</f>
        <v>124.64918562041812</v>
      </c>
      <c r="F4636">
        <f>IF($D4636 &gt; 16, 0,$E4636*$J$5)</f>
        <v>1354811.9985083246</v>
      </c>
      <c r="G4636">
        <f t="shared" si="72"/>
        <v>0.59999999999999964</v>
      </c>
    </row>
    <row r="4637" spans="2:7" x14ac:dyDescent="0.35">
      <c r="B4637" s="1">
        <v>45851</v>
      </c>
      <c r="C4637" s="2">
        <v>0.125</v>
      </c>
      <c r="D4637">
        <v>14.6</v>
      </c>
      <c r="E4637">
        <f>IF($D4637 &gt; 16, 0, $J$3*(16 - $D4637))</f>
        <v>290.84809978097587</v>
      </c>
      <c r="F4637">
        <f>IF($D4637 &gt; 16, 0,$E4637*$J$5)</f>
        <v>3161227.9965194268</v>
      </c>
      <c r="G4637">
        <f t="shared" si="72"/>
        <v>1.4000000000000004</v>
      </c>
    </row>
    <row r="4638" spans="2:7" x14ac:dyDescent="0.35">
      <c r="B4638" s="1">
        <v>45851</v>
      </c>
      <c r="C4638" s="2">
        <v>0.16666666666666671</v>
      </c>
      <c r="D4638">
        <v>15.1</v>
      </c>
      <c r="E4638">
        <f>IF($D4638 &gt; 16, 0, $J$3*(16 - $D4638))</f>
        <v>186.97377843062736</v>
      </c>
      <c r="F4638">
        <f>IF($D4638 &gt; 16, 0,$E4638*$J$5)</f>
        <v>2032217.9977624889</v>
      </c>
      <c r="G4638">
        <f t="shared" si="72"/>
        <v>0.90000000000000036</v>
      </c>
    </row>
    <row r="4639" spans="2:7" x14ac:dyDescent="0.35">
      <c r="B4639" s="1">
        <v>45851</v>
      </c>
      <c r="C4639" s="2">
        <v>0.20833333333333329</v>
      </c>
      <c r="D4639">
        <v>15.5</v>
      </c>
      <c r="E4639">
        <f>IF($D4639 &gt; 16, 0, $J$3*(16 - $D4639))</f>
        <v>103.8743213503485</v>
      </c>
      <c r="F4639">
        <f>IF($D4639 &gt; 16, 0,$E4639*$J$5)</f>
        <v>1129009.9987569377</v>
      </c>
      <c r="G4639">
        <f t="shared" si="72"/>
        <v>0.5</v>
      </c>
    </row>
    <row r="4640" spans="2:7" x14ac:dyDescent="0.35">
      <c r="B4640" s="1">
        <v>45851</v>
      </c>
      <c r="C4640" s="2">
        <v>0.25</v>
      </c>
      <c r="D4640">
        <v>16.100000000000001</v>
      </c>
      <c r="E4640">
        <f>IF($D4640 &gt; 16, 0, $J$3*(16 - $D4640))</f>
        <v>0</v>
      </c>
      <c r="F4640">
        <f>IF($D4640 &gt; 16, 0,$E4640*$J$5)</f>
        <v>0</v>
      </c>
      <c r="G4640">
        <f t="shared" si="72"/>
        <v>0</v>
      </c>
    </row>
    <row r="4641" spans="2:7" x14ac:dyDescent="0.35">
      <c r="B4641" s="1">
        <v>45851</v>
      </c>
      <c r="C4641" s="2">
        <v>0.29166666666666669</v>
      </c>
      <c r="D4641">
        <v>17</v>
      </c>
      <c r="E4641">
        <f>IF($D4641 &gt; 16, 0, $J$3*(16 - $D4641))</f>
        <v>0</v>
      </c>
      <c r="F4641">
        <f>IF($D4641 &gt; 16, 0,$E4641*$J$5)</f>
        <v>0</v>
      </c>
      <c r="G4641">
        <f t="shared" si="72"/>
        <v>0</v>
      </c>
    </row>
    <row r="4642" spans="2:7" x14ac:dyDescent="0.35">
      <c r="B4642" s="1">
        <v>45851</v>
      </c>
      <c r="C4642" s="2">
        <v>0.33333333333333331</v>
      </c>
      <c r="D4642">
        <v>17.3</v>
      </c>
      <c r="E4642">
        <f>IF($D4642 &gt; 16, 0, $J$3*(16 - $D4642))</f>
        <v>0</v>
      </c>
      <c r="F4642">
        <f>IF($D4642 &gt; 16, 0,$E4642*$J$5)</f>
        <v>0</v>
      </c>
      <c r="G4642">
        <f t="shared" si="72"/>
        <v>0</v>
      </c>
    </row>
    <row r="4643" spans="2:7" x14ac:dyDescent="0.35">
      <c r="B4643" s="1">
        <v>45851</v>
      </c>
      <c r="C4643" s="2">
        <v>0.375</v>
      </c>
      <c r="D4643">
        <v>18.100000000000001</v>
      </c>
      <c r="E4643">
        <f>IF($D4643 &gt; 16, 0, $J$3*(16 - $D4643))</f>
        <v>0</v>
      </c>
      <c r="F4643">
        <f>IF($D4643 &gt; 16, 0,$E4643*$J$5)</f>
        <v>0</v>
      </c>
      <c r="G4643">
        <f t="shared" si="72"/>
        <v>0</v>
      </c>
    </row>
    <row r="4644" spans="2:7" x14ac:dyDescent="0.35">
      <c r="B4644" s="1">
        <v>45851</v>
      </c>
      <c r="C4644" s="2">
        <v>0.41666666666666669</v>
      </c>
      <c r="D4644">
        <v>18.2</v>
      </c>
      <c r="E4644">
        <f>IF($D4644 &gt; 16, 0, $J$3*(16 - $D4644))</f>
        <v>0</v>
      </c>
      <c r="F4644">
        <f>IF($D4644 &gt; 16, 0,$E4644*$J$5)</f>
        <v>0</v>
      </c>
      <c r="G4644">
        <f t="shared" si="72"/>
        <v>0</v>
      </c>
    </row>
    <row r="4645" spans="2:7" x14ac:dyDescent="0.35">
      <c r="B4645" s="1">
        <v>45851</v>
      </c>
      <c r="C4645" s="2">
        <v>0.45833333333333331</v>
      </c>
      <c r="D4645">
        <v>18.2</v>
      </c>
      <c r="E4645">
        <f>IF($D4645 &gt; 16, 0, $J$3*(16 - $D4645))</f>
        <v>0</v>
      </c>
      <c r="F4645">
        <f>IF($D4645 &gt; 16, 0,$E4645*$J$5)</f>
        <v>0</v>
      </c>
      <c r="G4645">
        <f t="shared" si="72"/>
        <v>0</v>
      </c>
    </row>
    <row r="4646" spans="2:7" x14ac:dyDescent="0.35">
      <c r="B4646" s="1">
        <v>45851</v>
      </c>
      <c r="C4646" s="2">
        <v>0.5</v>
      </c>
      <c r="D4646">
        <v>19.7</v>
      </c>
      <c r="E4646">
        <f>IF($D4646 &gt; 16, 0, $J$3*(16 - $D4646))</f>
        <v>0</v>
      </c>
      <c r="F4646">
        <f>IF($D4646 &gt; 16, 0,$E4646*$J$5)</f>
        <v>0</v>
      </c>
      <c r="G4646">
        <f t="shared" si="72"/>
        <v>0</v>
      </c>
    </row>
    <row r="4647" spans="2:7" x14ac:dyDescent="0.35">
      <c r="B4647" s="1">
        <v>45851</v>
      </c>
      <c r="C4647" s="2">
        <v>0.54166666666666663</v>
      </c>
      <c r="D4647">
        <v>19.600000000000001</v>
      </c>
      <c r="E4647">
        <f>IF($D4647 &gt; 16, 0, $J$3*(16 - $D4647))</f>
        <v>0</v>
      </c>
      <c r="F4647">
        <f>IF($D4647 &gt; 16, 0,$E4647*$J$5)</f>
        <v>0</v>
      </c>
      <c r="G4647">
        <f t="shared" si="72"/>
        <v>0</v>
      </c>
    </row>
    <row r="4648" spans="2:7" x14ac:dyDescent="0.35">
      <c r="B4648" s="1">
        <v>45851</v>
      </c>
      <c r="C4648" s="2">
        <v>0.58333333333333337</v>
      </c>
      <c r="D4648">
        <v>21.2</v>
      </c>
      <c r="E4648">
        <f>IF($D4648 &gt; 16, 0, $J$3*(16 - $D4648))</f>
        <v>0</v>
      </c>
      <c r="F4648">
        <f>IF($D4648 &gt; 16, 0,$E4648*$J$5)</f>
        <v>0</v>
      </c>
      <c r="G4648">
        <f t="shared" si="72"/>
        <v>0</v>
      </c>
    </row>
    <row r="4649" spans="2:7" x14ac:dyDescent="0.35">
      <c r="B4649" s="1">
        <v>45851</v>
      </c>
      <c r="C4649" s="2">
        <v>0.625</v>
      </c>
      <c r="D4649">
        <v>21</v>
      </c>
      <c r="E4649">
        <f>IF($D4649 &gt; 16, 0, $J$3*(16 - $D4649))</f>
        <v>0</v>
      </c>
      <c r="F4649">
        <f>IF($D4649 &gt; 16, 0,$E4649*$J$5)</f>
        <v>0</v>
      </c>
      <c r="G4649">
        <f t="shared" si="72"/>
        <v>0</v>
      </c>
    </row>
    <row r="4650" spans="2:7" x14ac:dyDescent="0.35">
      <c r="B4650" s="1">
        <v>45851</v>
      </c>
      <c r="C4650" s="2">
        <v>0.66666666666666663</v>
      </c>
      <c r="D4650">
        <v>21</v>
      </c>
      <c r="E4650">
        <f>IF($D4650 &gt; 16, 0, $J$3*(16 - $D4650))</f>
        <v>0</v>
      </c>
      <c r="F4650">
        <f>IF($D4650 &gt; 16, 0,$E4650*$J$5)</f>
        <v>0</v>
      </c>
      <c r="G4650">
        <f t="shared" si="72"/>
        <v>0</v>
      </c>
    </row>
    <row r="4651" spans="2:7" x14ac:dyDescent="0.35">
      <c r="B4651" s="1">
        <v>45851</v>
      </c>
      <c r="C4651" s="2">
        <v>0.70833333333333337</v>
      </c>
      <c r="D4651">
        <v>19.7</v>
      </c>
      <c r="E4651">
        <f>IF($D4651 &gt; 16, 0, $J$3*(16 - $D4651))</f>
        <v>0</v>
      </c>
      <c r="F4651">
        <f>IF($D4651 &gt; 16, 0,$E4651*$J$5)</f>
        <v>0</v>
      </c>
      <c r="G4651">
        <f t="shared" si="72"/>
        <v>0</v>
      </c>
    </row>
    <row r="4652" spans="2:7" x14ac:dyDescent="0.35">
      <c r="B4652" s="1">
        <v>45851</v>
      </c>
      <c r="C4652" s="2">
        <v>0.75</v>
      </c>
      <c r="D4652">
        <v>19.600000000000001</v>
      </c>
      <c r="E4652">
        <f>IF($D4652 &gt; 16, 0, $J$3*(16 - $D4652))</f>
        <v>0</v>
      </c>
      <c r="F4652">
        <f>IF($D4652 &gt; 16, 0,$E4652*$J$5)</f>
        <v>0</v>
      </c>
      <c r="G4652">
        <f t="shared" si="72"/>
        <v>0</v>
      </c>
    </row>
    <row r="4653" spans="2:7" x14ac:dyDescent="0.35">
      <c r="B4653" s="1">
        <v>45851</v>
      </c>
      <c r="C4653" s="2">
        <v>0.79166666666666663</v>
      </c>
      <c r="D4653">
        <v>19.5</v>
      </c>
      <c r="E4653">
        <f>IF($D4653 &gt; 16, 0, $J$3*(16 - $D4653))</f>
        <v>0</v>
      </c>
      <c r="F4653">
        <f>IF($D4653 &gt; 16, 0,$E4653*$J$5)</f>
        <v>0</v>
      </c>
      <c r="G4653">
        <f t="shared" si="72"/>
        <v>0</v>
      </c>
    </row>
    <row r="4654" spans="2:7" x14ac:dyDescent="0.35">
      <c r="B4654" s="1">
        <v>45851</v>
      </c>
      <c r="C4654" s="2">
        <v>0.83333333333333337</v>
      </c>
      <c r="D4654">
        <v>18.899999999999999</v>
      </c>
      <c r="E4654">
        <f>IF($D4654 &gt; 16, 0, $J$3*(16 - $D4654))</f>
        <v>0</v>
      </c>
      <c r="F4654">
        <f>IF($D4654 &gt; 16, 0,$E4654*$J$5)</f>
        <v>0</v>
      </c>
      <c r="G4654">
        <f t="shared" si="72"/>
        <v>0</v>
      </c>
    </row>
    <row r="4655" spans="2:7" x14ac:dyDescent="0.35">
      <c r="B4655" s="1">
        <v>45851</v>
      </c>
      <c r="C4655" s="2">
        <v>0.875</v>
      </c>
      <c r="D4655">
        <v>18.100000000000001</v>
      </c>
      <c r="E4655">
        <f>IF($D4655 &gt; 16, 0, $J$3*(16 - $D4655))</f>
        <v>0</v>
      </c>
      <c r="F4655">
        <f>IF($D4655 &gt; 16, 0,$E4655*$J$5)</f>
        <v>0</v>
      </c>
      <c r="G4655">
        <f t="shared" si="72"/>
        <v>0</v>
      </c>
    </row>
    <row r="4656" spans="2:7" x14ac:dyDescent="0.35">
      <c r="B4656" s="1">
        <v>45851</v>
      </c>
      <c r="C4656" s="2">
        <v>0.91666666666666663</v>
      </c>
      <c r="D4656">
        <v>17.600000000000001</v>
      </c>
      <c r="E4656">
        <f>IF($D4656 &gt; 16, 0, $J$3*(16 - $D4656))</f>
        <v>0</v>
      </c>
      <c r="F4656">
        <f>IF($D4656 &gt; 16, 0,$E4656*$J$5)</f>
        <v>0</v>
      </c>
      <c r="G4656">
        <f t="shared" si="72"/>
        <v>0</v>
      </c>
    </row>
    <row r="4657" spans="2:7" x14ac:dyDescent="0.35">
      <c r="B4657" s="1">
        <v>45851</v>
      </c>
      <c r="C4657" s="2">
        <v>0.95833333333333337</v>
      </c>
      <c r="D4657">
        <v>16.2</v>
      </c>
      <c r="E4657">
        <f>IF($D4657 &gt; 16, 0, $J$3*(16 - $D4657))</f>
        <v>0</v>
      </c>
      <c r="F4657">
        <f>IF($D4657 &gt; 16, 0,$E4657*$J$5)</f>
        <v>0</v>
      </c>
      <c r="G4657">
        <f t="shared" si="72"/>
        <v>0</v>
      </c>
    </row>
    <row r="4658" spans="2:7" x14ac:dyDescent="0.35">
      <c r="B4658" s="1">
        <v>45852</v>
      </c>
      <c r="C4658" s="2">
        <v>0</v>
      </c>
      <c r="D4658">
        <v>14.9</v>
      </c>
      <c r="E4658">
        <f>IF($D4658 &gt; 16, 0, $J$3*(16 - $D4658))</f>
        <v>228.52350697076662</v>
      </c>
      <c r="F4658">
        <f>IF($D4658 &gt; 16, 0,$E4658*$J$5)</f>
        <v>2483821.9972652625</v>
      </c>
      <c r="G4658">
        <f t="shared" si="72"/>
        <v>1.0999999999999996</v>
      </c>
    </row>
    <row r="4659" spans="2:7" x14ac:dyDescent="0.35">
      <c r="B4659" s="1">
        <v>45852</v>
      </c>
      <c r="C4659" s="2">
        <v>4.1666666666666657E-2</v>
      </c>
      <c r="D4659">
        <v>15.2</v>
      </c>
      <c r="E4659">
        <f>IF($D4659 &gt; 16, 0, $J$3*(16 - $D4659))</f>
        <v>166.19891416055773</v>
      </c>
      <c r="F4659">
        <f>IF($D4659 &gt; 16, 0,$E4659*$J$5)</f>
        <v>1806415.998011102</v>
      </c>
      <c r="G4659">
        <f t="shared" si="72"/>
        <v>0.80000000000000071</v>
      </c>
    </row>
    <row r="4660" spans="2:7" x14ac:dyDescent="0.35">
      <c r="B4660" s="1">
        <v>45852</v>
      </c>
      <c r="C4660" s="2">
        <v>8.3333333333333329E-2</v>
      </c>
      <c r="D4660">
        <v>14.7</v>
      </c>
      <c r="E4660">
        <f>IF($D4660 &gt; 16, 0, $J$3*(16 - $D4660))</f>
        <v>270.07323551090622</v>
      </c>
      <c r="F4660">
        <f>IF($D4660 &gt; 16, 0,$E4660*$J$5)</f>
        <v>2935425.9967680397</v>
      </c>
      <c r="G4660">
        <f t="shared" si="72"/>
        <v>1.3000000000000007</v>
      </c>
    </row>
    <row r="4661" spans="2:7" x14ac:dyDescent="0.35">
      <c r="B4661" s="1">
        <v>45852</v>
      </c>
      <c r="C4661" s="2">
        <v>0.125</v>
      </c>
      <c r="D4661">
        <v>15.6</v>
      </c>
      <c r="E4661">
        <f>IF($D4661 &gt; 16, 0, $J$3*(16 - $D4661))</f>
        <v>83.099457080278867</v>
      </c>
      <c r="F4661">
        <f>IF($D4661 &gt; 16, 0,$E4661*$J$5)</f>
        <v>903207.99900555098</v>
      </c>
      <c r="G4661">
        <f t="shared" si="72"/>
        <v>0.40000000000000036</v>
      </c>
    </row>
    <row r="4662" spans="2:7" x14ac:dyDescent="0.35">
      <c r="B4662" s="1">
        <v>45852</v>
      </c>
      <c r="C4662" s="2">
        <v>0.16666666666666671</v>
      </c>
      <c r="D4662">
        <v>16</v>
      </c>
      <c r="E4662">
        <f>IF($D4662 &gt; 16, 0, $J$3*(16 - $D4662))</f>
        <v>0</v>
      </c>
      <c r="F4662">
        <f>IF($D4662 &gt; 16, 0,$E4662*$J$5)</f>
        <v>0</v>
      </c>
      <c r="G4662">
        <f t="shared" si="72"/>
        <v>0</v>
      </c>
    </row>
    <row r="4663" spans="2:7" x14ac:dyDescent="0.35">
      <c r="B4663" s="1">
        <v>45852</v>
      </c>
      <c r="C4663" s="2">
        <v>0.20833333333333329</v>
      </c>
      <c r="D4663">
        <v>16.8</v>
      </c>
      <c r="E4663">
        <f>IF($D4663 &gt; 16, 0, $J$3*(16 - $D4663))</f>
        <v>0</v>
      </c>
      <c r="F4663">
        <f>IF($D4663 &gt; 16, 0,$E4663*$J$5)</f>
        <v>0</v>
      </c>
      <c r="G4663">
        <f t="shared" si="72"/>
        <v>0</v>
      </c>
    </row>
    <row r="4664" spans="2:7" x14ac:dyDescent="0.35">
      <c r="B4664" s="1">
        <v>45852</v>
      </c>
      <c r="C4664" s="2">
        <v>0.25</v>
      </c>
      <c r="D4664">
        <v>17.3</v>
      </c>
      <c r="E4664">
        <f>IF($D4664 &gt; 16, 0, $J$3*(16 - $D4664))</f>
        <v>0</v>
      </c>
      <c r="F4664">
        <f>IF($D4664 &gt; 16, 0,$E4664*$J$5)</f>
        <v>0</v>
      </c>
      <c r="G4664">
        <f t="shared" si="72"/>
        <v>0</v>
      </c>
    </row>
    <row r="4665" spans="2:7" x14ac:dyDescent="0.35">
      <c r="B4665" s="1">
        <v>45852</v>
      </c>
      <c r="C4665" s="2">
        <v>0.29166666666666669</v>
      </c>
      <c r="D4665">
        <v>17.8</v>
      </c>
      <c r="E4665">
        <f>IF($D4665 &gt; 16, 0, $J$3*(16 - $D4665))</f>
        <v>0</v>
      </c>
      <c r="F4665">
        <f>IF($D4665 &gt; 16, 0,$E4665*$J$5)</f>
        <v>0</v>
      </c>
      <c r="G4665">
        <f t="shared" si="72"/>
        <v>0</v>
      </c>
    </row>
    <row r="4666" spans="2:7" x14ac:dyDescent="0.35">
      <c r="B4666" s="1">
        <v>45852</v>
      </c>
      <c r="C4666" s="2">
        <v>0.33333333333333331</v>
      </c>
      <c r="D4666">
        <v>18.100000000000001</v>
      </c>
      <c r="E4666">
        <f>IF($D4666 &gt; 16, 0, $J$3*(16 - $D4666))</f>
        <v>0</v>
      </c>
      <c r="F4666">
        <f>IF($D4666 &gt; 16, 0,$E4666*$J$5)</f>
        <v>0</v>
      </c>
      <c r="G4666">
        <f t="shared" si="72"/>
        <v>0</v>
      </c>
    </row>
    <row r="4667" spans="2:7" x14ac:dyDescent="0.35">
      <c r="B4667" s="1">
        <v>45852</v>
      </c>
      <c r="C4667" s="2">
        <v>0.375</v>
      </c>
      <c r="D4667">
        <v>18.7</v>
      </c>
      <c r="E4667">
        <f>IF($D4667 &gt; 16, 0, $J$3*(16 - $D4667))</f>
        <v>0</v>
      </c>
      <c r="F4667">
        <f>IF($D4667 &gt; 16, 0,$E4667*$J$5)</f>
        <v>0</v>
      </c>
      <c r="G4667">
        <f t="shared" si="72"/>
        <v>0</v>
      </c>
    </row>
    <row r="4668" spans="2:7" x14ac:dyDescent="0.35">
      <c r="B4668" s="1">
        <v>45852</v>
      </c>
      <c r="C4668" s="2">
        <v>0.41666666666666669</v>
      </c>
      <c r="D4668">
        <v>21.4</v>
      </c>
      <c r="E4668">
        <f>IF($D4668 &gt; 16, 0, $J$3*(16 - $D4668))</f>
        <v>0</v>
      </c>
      <c r="F4668">
        <f>IF($D4668 &gt; 16, 0,$E4668*$J$5)</f>
        <v>0</v>
      </c>
      <c r="G4668">
        <f t="shared" si="72"/>
        <v>0</v>
      </c>
    </row>
    <row r="4669" spans="2:7" x14ac:dyDescent="0.35">
      <c r="B4669" s="1">
        <v>45852</v>
      </c>
      <c r="C4669" s="2">
        <v>0.45833333333333331</v>
      </c>
      <c r="D4669">
        <v>21.5</v>
      </c>
      <c r="E4669">
        <f>IF($D4669 &gt; 16, 0, $J$3*(16 - $D4669))</f>
        <v>0</v>
      </c>
      <c r="F4669">
        <f>IF($D4669 &gt; 16, 0,$E4669*$J$5)</f>
        <v>0</v>
      </c>
      <c r="G4669">
        <f t="shared" si="72"/>
        <v>0</v>
      </c>
    </row>
    <row r="4670" spans="2:7" x14ac:dyDescent="0.35">
      <c r="B4670" s="1">
        <v>45852</v>
      </c>
      <c r="C4670" s="2">
        <v>0.5</v>
      </c>
      <c r="D4670">
        <v>23.8</v>
      </c>
      <c r="E4670">
        <f>IF($D4670 &gt; 16, 0, $J$3*(16 - $D4670))</f>
        <v>0</v>
      </c>
      <c r="F4670">
        <f>IF($D4670 &gt; 16, 0,$E4670*$J$5)</f>
        <v>0</v>
      </c>
      <c r="G4670">
        <f t="shared" si="72"/>
        <v>0</v>
      </c>
    </row>
    <row r="4671" spans="2:7" x14ac:dyDescent="0.35">
      <c r="B4671" s="1">
        <v>45852</v>
      </c>
      <c r="C4671" s="2">
        <v>0.54166666666666663</v>
      </c>
      <c r="D4671">
        <v>24.1</v>
      </c>
      <c r="E4671">
        <f>IF($D4671 &gt; 16, 0, $J$3*(16 - $D4671))</f>
        <v>0</v>
      </c>
      <c r="F4671">
        <f>IF($D4671 &gt; 16, 0,$E4671*$J$5)</f>
        <v>0</v>
      </c>
      <c r="G4671">
        <f t="shared" si="72"/>
        <v>0</v>
      </c>
    </row>
    <row r="4672" spans="2:7" x14ac:dyDescent="0.35">
      <c r="B4672" s="1">
        <v>45852</v>
      </c>
      <c r="C4672" s="2">
        <v>0.58333333333333337</v>
      </c>
      <c r="D4672">
        <v>25.3</v>
      </c>
      <c r="E4672">
        <f>IF($D4672 &gt; 16, 0, $J$3*(16 - $D4672))</f>
        <v>0</v>
      </c>
      <c r="F4672">
        <f>IF($D4672 &gt; 16, 0,$E4672*$J$5)</f>
        <v>0</v>
      </c>
      <c r="G4672">
        <f t="shared" si="72"/>
        <v>0</v>
      </c>
    </row>
    <row r="4673" spans="2:7" x14ac:dyDescent="0.35">
      <c r="B4673" s="1">
        <v>45852</v>
      </c>
      <c r="C4673" s="2">
        <v>0.625</v>
      </c>
      <c r="D4673">
        <v>24.5</v>
      </c>
      <c r="E4673">
        <f>IF($D4673 &gt; 16, 0, $J$3*(16 - $D4673))</f>
        <v>0</v>
      </c>
      <c r="F4673">
        <f>IF($D4673 &gt; 16, 0,$E4673*$J$5)</f>
        <v>0</v>
      </c>
      <c r="G4673">
        <f t="shared" si="72"/>
        <v>0</v>
      </c>
    </row>
    <row r="4674" spans="2:7" x14ac:dyDescent="0.35">
      <c r="B4674" s="1">
        <v>45852</v>
      </c>
      <c r="C4674" s="2">
        <v>0.66666666666666663</v>
      </c>
      <c r="D4674">
        <v>24.1</v>
      </c>
      <c r="E4674">
        <f>IF($D4674 &gt; 16, 0, $J$3*(16 - $D4674))</f>
        <v>0</v>
      </c>
      <c r="F4674">
        <f>IF($D4674 &gt; 16, 0,$E4674*$J$5)</f>
        <v>0</v>
      </c>
      <c r="G4674">
        <f t="shared" si="72"/>
        <v>0</v>
      </c>
    </row>
    <row r="4675" spans="2:7" x14ac:dyDescent="0.35">
      <c r="B4675" s="1">
        <v>45852</v>
      </c>
      <c r="C4675" s="2">
        <v>0.70833333333333337</v>
      </c>
      <c r="D4675">
        <v>23.9</v>
      </c>
      <c r="E4675">
        <f>IF($D4675 &gt; 16, 0, $J$3*(16 - $D4675))</f>
        <v>0</v>
      </c>
      <c r="F4675">
        <f>IF($D4675 &gt; 16, 0,$E4675*$J$5)</f>
        <v>0</v>
      </c>
      <c r="G4675">
        <f t="shared" ref="G4675:G4738" si="73">MAX(0, 16 - $D4675)</f>
        <v>0</v>
      </c>
    </row>
    <row r="4676" spans="2:7" x14ac:dyDescent="0.35">
      <c r="B4676" s="1">
        <v>45852</v>
      </c>
      <c r="C4676" s="2">
        <v>0.75</v>
      </c>
      <c r="D4676">
        <v>23.2</v>
      </c>
      <c r="E4676">
        <f>IF($D4676 &gt; 16, 0, $J$3*(16 - $D4676))</f>
        <v>0</v>
      </c>
      <c r="F4676">
        <f>IF($D4676 &gt; 16, 0,$E4676*$J$5)</f>
        <v>0</v>
      </c>
      <c r="G4676">
        <f t="shared" si="73"/>
        <v>0</v>
      </c>
    </row>
    <row r="4677" spans="2:7" x14ac:dyDescent="0.35">
      <c r="B4677" s="1">
        <v>45852</v>
      </c>
      <c r="C4677" s="2">
        <v>0.79166666666666663</v>
      </c>
      <c r="D4677">
        <v>21.8</v>
      </c>
      <c r="E4677">
        <f>IF($D4677 &gt; 16, 0, $J$3*(16 - $D4677))</f>
        <v>0</v>
      </c>
      <c r="F4677">
        <f>IF($D4677 &gt; 16, 0,$E4677*$J$5)</f>
        <v>0</v>
      </c>
      <c r="G4677">
        <f t="shared" si="73"/>
        <v>0</v>
      </c>
    </row>
    <row r="4678" spans="2:7" x14ac:dyDescent="0.35">
      <c r="B4678" s="1">
        <v>45852</v>
      </c>
      <c r="C4678" s="2">
        <v>0.83333333333333337</v>
      </c>
      <c r="D4678">
        <v>19.8</v>
      </c>
      <c r="E4678">
        <f>IF($D4678 &gt; 16, 0, $J$3*(16 - $D4678))</f>
        <v>0</v>
      </c>
      <c r="F4678">
        <f>IF($D4678 &gt; 16, 0,$E4678*$J$5)</f>
        <v>0</v>
      </c>
      <c r="G4678">
        <f t="shared" si="73"/>
        <v>0</v>
      </c>
    </row>
    <row r="4679" spans="2:7" x14ac:dyDescent="0.35">
      <c r="B4679" s="1">
        <v>45852</v>
      </c>
      <c r="C4679" s="2">
        <v>0.875</v>
      </c>
      <c r="D4679">
        <v>18.3</v>
      </c>
      <c r="E4679">
        <f>IF($D4679 &gt; 16, 0, $J$3*(16 - $D4679))</f>
        <v>0</v>
      </c>
      <c r="F4679">
        <f>IF($D4679 &gt; 16, 0,$E4679*$J$5)</f>
        <v>0</v>
      </c>
      <c r="G4679">
        <f t="shared" si="73"/>
        <v>0</v>
      </c>
    </row>
    <row r="4680" spans="2:7" x14ac:dyDescent="0.35">
      <c r="B4680" s="1">
        <v>45852</v>
      </c>
      <c r="C4680" s="2">
        <v>0.91666666666666663</v>
      </c>
      <c r="D4680">
        <v>16.600000000000001</v>
      </c>
      <c r="E4680">
        <f>IF($D4680 &gt; 16, 0, $J$3*(16 - $D4680))</f>
        <v>0</v>
      </c>
      <c r="F4680">
        <f>IF($D4680 &gt; 16, 0,$E4680*$J$5)</f>
        <v>0</v>
      </c>
      <c r="G4680">
        <f t="shared" si="73"/>
        <v>0</v>
      </c>
    </row>
    <row r="4681" spans="2:7" x14ac:dyDescent="0.35">
      <c r="B4681" s="1">
        <v>45852</v>
      </c>
      <c r="C4681" s="2">
        <v>0.95833333333333337</v>
      </c>
      <c r="D4681">
        <v>16.100000000000001</v>
      </c>
      <c r="E4681">
        <f>IF($D4681 &gt; 16, 0, $J$3*(16 - $D4681))</f>
        <v>0</v>
      </c>
      <c r="F4681">
        <f>IF($D4681 &gt; 16, 0,$E4681*$J$5)</f>
        <v>0</v>
      </c>
      <c r="G4681">
        <f t="shared" si="73"/>
        <v>0</v>
      </c>
    </row>
    <row r="4682" spans="2:7" x14ac:dyDescent="0.35">
      <c r="B4682" s="1">
        <v>45853</v>
      </c>
      <c r="C4682" s="2">
        <v>0</v>
      </c>
      <c r="D4682">
        <v>16.399999999999999</v>
      </c>
      <c r="E4682">
        <f>IF($D4682 &gt; 16, 0, $J$3*(16 - $D4682))</f>
        <v>0</v>
      </c>
      <c r="F4682">
        <f>IF($D4682 &gt; 16, 0,$E4682*$J$5)</f>
        <v>0</v>
      </c>
      <c r="G4682">
        <f t="shared" si="73"/>
        <v>0</v>
      </c>
    </row>
    <row r="4683" spans="2:7" x14ac:dyDescent="0.35">
      <c r="B4683" s="1">
        <v>45853</v>
      </c>
      <c r="C4683" s="2">
        <v>4.1666666666666657E-2</v>
      </c>
      <c r="D4683">
        <v>17.2</v>
      </c>
      <c r="E4683">
        <f>IF($D4683 &gt; 16, 0, $J$3*(16 - $D4683))</f>
        <v>0</v>
      </c>
      <c r="F4683">
        <f>IF($D4683 &gt; 16, 0,$E4683*$J$5)</f>
        <v>0</v>
      </c>
      <c r="G4683">
        <f t="shared" si="73"/>
        <v>0</v>
      </c>
    </row>
    <row r="4684" spans="2:7" x14ac:dyDescent="0.35">
      <c r="B4684" s="1">
        <v>45853</v>
      </c>
      <c r="C4684" s="2">
        <v>8.3333333333333329E-2</v>
      </c>
      <c r="D4684">
        <v>18</v>
      </c>
      <c r="E4684">
        <f>IF($D4684 &gt; 16, 0, $J$3*(16 - $D4684))</f>
        <v>0</v>
      </c>
      <c r="F4684">
        <f>IF($D4684 &gt; 16, 0,$E4684*$J$5)</f>
        <v>0</v>
      </c>
      <c r="G4684">
        <f t="shared" si="73"/>
        <v>0</v>
      </c>
    </row>
    <row r="4685" spans="2:7" x14ac:dyDescent="0.35">
      <c r="B4685" s="1">
        <v>45853</v>
      </c>
      <c r="C4685" s="2">
        <v>0.125</v>
      </c>
      <c r="D4685">
        <v>17.5</v>
      </c>
      <c r="E4685">
        <f>IF($D4685 &gt; 16, 0, $J$3*(16 - $D4685))</f>
        <v>0</v>
      </c>
      <c r="F4685">
        <f>IF($D4685 &gt; 16, 0,$E4685*$J$5)</f>
        <v>0</v>
      </c>
      <c r="G4685">
        <f t="shared" si="73"/>
        <v>0</v>
      </c>
    </row>
    <row r="4686" spans="2:7" x14ac:dyDescent="0.35">
      <c r="B4686" s="1">
        <v>45853</v>
      </c>
      <c r="C4686" s="2">
        <v>0.16666666666666671</v>
      </c>
      <c r="D4686">
        <v>17.600000000000001</v>
      </c>
      <c r="E4686">
        <f>IF($D4686 &gt; 16, 0, $J$3*(16 - $D4686))</f>
        <v>0</v>
      </c>
      <c r="F4686">
        <f>IF($D4686 &gt; 16, 0,$E4686*$J$5)</f>
        <v>0</v>
      </c>
      <c r="G4686">
        <f t="shared" si="73"/>
        <v>0</v>
      </c>
    </row>
    <row r="4687" spans="2:7" x14ac:dyDescent="0.35">
      <c r="B4687" s="1">
        <v>45853</v>
      </c>
      <c r="C4687" s="2">
        <v>0.20833333333333329</v>
      </c>
      <c r="D4687">
        <v>17.8</v>
      </c>
      <c r="E4687">
        <f>IF($D4687 &gt; 16, 0, $J$3*(16 - $D4687))</f>
        <v>0</v>
      </c>
      <c r="F4687">
        <f>IF($D4687 &gt; 16, 0,$E4687*$J$5)</f>
        <v>0</v>
      </c>
      <c r="G4687">
        <f t="shared" si="73"/>
        <v>0</v>
      </c>
    </row>
    <row r="4688" spans="2:7" x14ac:dyDescent="0.35">
      <c r="B4688" s="1">
        <v>45853</v>
      </c>
      <c r="C4688" s="2">
        <v>0.25</v>
      </c>
      <c r="D4688">
        <v>18.5</v>
      </c>
      <c r="E4688">
        <f>IF($D4688 &gt; 16, 0, $J$3*(16 - $D4688))</f>
        <v>0</v>
      </c>
      <c r="F4688">
        <f>IF($D4688 &gt; 16, 0,$E4688*$J$5)</f>
        <v>0</v>
      </c>
      <c r="G4688">
        <f t="shared" si="73"/>
        <v>0</v>
      </c>
    </row>
    <row r="4689" spans="2:7" x14ac:dyDescent="0.35">
      <c r="B4689" s="1">
        <v>45853</v>
      </c>
      <c r="C4689" s="2">
        <v>0.29166666666666669</v>
      </c>
      <c r="D4689">
        <v>18.899999999999999</v>
      </c>
      <c r="E4689">
        <f>IF($D4689 &gt; 16, 0, $J$3*(16 - $D4689))</f>
        <v>0</v>
      </c>
      <c r="F4689">
        <f>IF($D4689 &gt; 16, 0,$E4689*$J$5)</f>
        <v>0</v>
      </c>
      <c r="G4689">
        <f t="shared" si="73"/>
        <v>0</v>
      </c>
    </row>
    <row r="4690" spans="2:7" x14ac:dyDescent="0.35">
      <c r="B4690" s="1">
        <v>45853</v>
      </c>
      <c r="C4690" s="2">
        <v>0.33333333333333331</v>
      </c>
      <c r="D4690">
        <v>19.2</v>
      </c>
      <c r="E4690">
        <f>IF($D4690 &gt; 16, 0, $J$3*(16 - $D4690))</f>
        <v>0</v>
      </c>
      <c r="F4690">
        <f>IF($D4690 &gt; 16, 0,$E4690*$J$5)</f>
        <v>0</v>
      </c>
      <c r="G4690">
        <f t="shared" si="73"/>
        <v>0</v>
      </c>
    </row>
    <row r="4691" spans="2:7" x14ac:dyDescent="0.35">
      <c r="B4691" s="1">
        <v>45853</v>
      </c>
      <c r="C4691" s="2">
        <v>0.375</v>
      </c>
      <c r="D4691">
        <v>17.8</v>
      </c>
      <c r="E4691">
        <f>IF($D4691 &gt; 16, 0, $J$3*(16 - $D4691))</f>
        <v>0</v>
      </c>
      <c r="F4691">
        <f>IF($D4691 &gt; 16, 0,$E4691*$J$5)</f>
        <v>0</v>
      </c>
      <c r="G4691">
        <f t="shared" si="73"/>
        <v>0</v>
      </c>
    </row>
    <row r="4692" spans="2:7" x14ac:dyDescent="0.35">
      <c r="B4692" s="1">
        <v>45853</v>
      </c>
      <c r="C4692" s="2">
        <v>0.41666666666666669</v>
      </c>
      <c r="D4692">
        <v>16.8</v>
      </c>
      <c r="E4692">
        <f>IF($D4692 &gt; 16, 0, $J$3*(16 - $D4692))</f>
        <v>0</v>
      </c>
      <c r="F4692">
        <f>IF($D4692 &gt; 16, 0,$E4692*$J$5)</f>
        <v>0</v>
      </c>
      <c r="G4692">
        <f t="shared" si="73"/>
        <v>0</v>
      </c>
    </row>
    <row r="4693" spans="2:7" x14ac:dyDescent="0.35">
      <c r="B4693" s="1">
        <v>45853</v>
      </c>
      <c r="C4693" s="2">
        <v>0.45833333333333331</v>
      </c>
      <c r="D4693">
        <v>16.399999999999999</v>
      </c>
      <c r="E4693">
        <f>IF($D4693 &gt; 16, 0, $J$3*(16 - $D4693))</f>
        <v>0</v>
      </c>
      <c r="F4693">
        <f>IF($D4693 &gt; 16, 0,$E4693*$J$5)</f>
        <v>0</v>
      </c>
      <c r="G4693">
        <f t="shared" si="73"/>
        <v>0</v>
      </c>
    </row>
    <row r="4694" spans="2:7" x14ac:dyDescent="0.35">
      <c r="B4694" s="1">
        <v>45853</v>
      </c>
      <c r="C4694" s="2">
        <v>0.5</v>
      </c>
      <c r="D4694">
        <v>18.2</v>
      </c>
      <c r="E4694">
        <f>IF($D4694 &gt; 16, 0, $J$3*(16 - $D4694))</f>
        <v>0</v>
      </c>
      <c r="F4694">
        <f>IF($D4694 &gt; 16, 0,$E4694*$J$5)</f>
        <v>0</v>
      </c>
      <c r="G4694">
        <f t="shared" si="73"/>
        <v>0</v>
      </c>
    </row>
    <row r="4695" spans="2:7" x14ac:dyDescent="0.35">
      <c r="B4695" s="1">
        <v>45853</v>
      </c>
      <c r="C4695" s="2">
        <v>0.54166666666666663</v>
      </c>
      <c r="D4695">
        <v>19.3</v>
      </c>
      <c r="E4695">
        <f>IF($D4695 &gt; 16, 0, $J$3*(16 - $D4695))</f>
        <v>0</v>
      </c>
      <c r="F4695">
        <f>IF($D4695 &gt; 16, 0,$E4695*$J$5)</f>
        <v>0</v>
      </c>
      <c r="G4695">
        <f t="shared" si="73"/>
        <v>0</v>
      </c>
    </row>
    <row r="4696" spans="2:7" x14ac:dyDescent="0.35">
      <c r="B4696" s="1">
        <v>45853</v>
      </c>
      <c r="C4696" s="2">
        <v>0.58333333333333337</v>
      </c>
      <c r="D4696">
        <v>20.8</v>
      </c>
      <c r="E4696">
        <f>IF($D4696 &gt; 16, 0, $J$3*(16 - $D4696))</f>
        <v>0</v>
      </c>
      <c r="F4696">
        <f>IF($D4696 &gt; 16, 0,$E4696*$J$5)</f>
        <v>0</v>
      </c>
      <c r="G4696">
        <f t="shared" si="73"/>
        <v>0</v>
      </c>
    </row>
    <row r="4697" spans="2:7" x14ac:dyDescent="0.35">
      <c r="B4697" s="1">
        <v>45853</v>
      </c>
      <c r="C4697" s="2">
        <v>0.625</v>
      </c>
      <c r="D4697">
        <v>20.5</v>
      </c>
      <c r="E4697">
        <f>IF($D4697 &gt; 16, 0, $J$3*(16 - $D4697))</f>
        <v>0</v>
      </c>
      <c r="F4697">
        <f>IF($D4697 &gt; 16, 0,$E4697*$J$5)</f>
        <v>0</v>
      </c>
      <c r="G4697">
        <f t="shared" si="73"/>
        <v>0</v>
      </c>
    </row>
    <row r="4698" spans="2:7" x14ac:dyDescent="0.35">
      <c r="B4698" s="1">
        <v>45853</v>
      </c>
      <c r="C4698" s="2">
        <v>0.66666666666666663</v>
      </c>
      <c r="D4698">
        <v>20.3</v>
      </c>
      <c r="E4698">
        <f>IF($D4698 &gt; 16, 0, $J$3*(16 - $D4698))</f>
        <v>0</v>
      </c>
      <c r="F4698">
        <f>IF($D4698 &gt; 16, 0,$E4698*$J$5)</f>
        <v>0</v>
      </c>
      <c r="G4698">
        <f t="shared" si="73"/>
        <v>0</v>
      </c>
    </row>
    <row r="4699" spans="2:7" x14ac:dyDescent="0.35">
      <c r="B4699" s="1">
        <v>45853</v>
      </c>
      <c r="C4699" s="2">
        <v>0.70833333333333337</v>
      </c>
      <c r="D4699">
        <v>19.3</v>
      </c>
      <c r="E4699">
        <f>IF($D4699 &gt; 16, 0, $J$3*(16 - $D4699))</f>
        <v>0</v>
      </c>
      <c r="F4699">
        <f>IF($D4699 &gt; 16, 0,$E4699*$J$5)</f>
        <v>0</v>
      </c>
      <c r="G4699">
        <f t="shared" si="73"/>
        <v>0</v>
      </c>
    </row>
    <row r="4700" spans="2:7" x14ac:dyDescent="0.35">
      <c r="B4700" s="1">
        <v>45853</v>
      </c>
      <c r="C4700" s="2">
        <v>0.75</v>
      </c>
      <c r="D4700">
        <v>18.899999999999999</v>
      </c>
      <c r="E4700">
        <f>IF($D4700 &gt; 16, 0, $J$3*(16 - $D4700))</f>
        <v>0</v>
      </c>
      <c r="F4700">
        <f>IF($D4700 &gt; 16, 0,$E4700*$J$5)</f>
        <v>0</v>
      </c>
      <c r="G4700">
        <f t="shared" si="73"/>
        <v>0</v>
      </c>
    </row>
    <row r="4701" spans="2:7" x14ac:dyDescent="0.35">
      <c r="B4701" s="1">
        <v>45853</v>
      </c>
      <c r="C4701" s="2">
        <v>0.79166666666666663</v>
      </c>
      <c r="D4701">
        <v>17.5</v>
      </c>
      <c r="E4701">
        <f>IF($D4701 &gt; 16, 0, $J$3*(16 - $D4701))</f>
        <v>0</v>
      </c>
      <c r="F4701">
        <f>IF($D4701 &gt; 16, 0,$E4701*$J$5)</f>
        <v>0</v>
      </c>
      <c r="G4701">
        <f t="shared" si="73"/>
        <v>0</v>
      </c>
    </row>
    <row r="4702" spans="2:7" x14ac:dyDescent="0.35">
      <c r="B4702" s="1">
        <v>45853</v>
      </c>
      <c r="C4702" s="2">
        <v>0.83333333333333337</v>
      </c>
      <c r="D4702">
        <v>16.399999999999999</v>
      </c>
      <c r="E4702">
        <f>IF($D4702 &gt; 16, 0, $J$3*(16 - $D4702))</f>
        <v>0</v>
      </c>
      <c r="F4702">
        <f>IF($D4702 &gt; 16, 0,$E4702*$J$5)</f>
        <v>0</v>
      </c>
      <c r="G4702">
        <f t="shared" si="73"/>
        <v>0</v>
      </c>
    </row>
    <row r="4703" spans="2:7" x14ac:dyDescent="0.35">
      <c r="B4703" s="1">
        <v>45853</v>
      </c>
      <c r="C4703" s="2">
        <v>0.875</v>
      </c>
      <c r="D4703">
        <v>14.8</v>
      </c>
      <c r="E4703">
        <f>IF($D4703 &gt; 16, 0, $J$3*(16 - $D4703))</f>
        <v>249.29837124083625</v>
      </c>
      <c r="F4703">
        <f>IF($D4703 &gt; 16, 0,$E4703*$J$5)</f>
        <v>2709623.9970166492</v>
      </c>
      <c r="G4703">
        <f t="shared" si="73"/>
        <v>1.1999999999999993</v>
      </c>
    </row>
    <row r="4704" spans="2:7" x14ac:dyDescent="0.35">
      <c r="B4704" s="1">
        <v>45853</v>
      </c>
      <c r="C4704" s="2">
        <v>0.91666666666666663</v>
      </c>
      <c r="D4704">
        <v>13.1</v>
      </c>
      <c r="E4704">
        <f>IF($D4704 &gt; 16, 0, $J$3*(16 - $D4704))</f>
        <v>602.4710638320214</v>
      </c>
      <c r="F4704">
        <f>IF($D4704 &gt; 16, 0,$E4704*$J$5)</f>
        <v>6548257.9927902408</v>
      </c>
      <c r="G4704">
        <f t="shared" si="73"/>
        <v>2.9000000000000004</v>
      </c>
    </row>
    <row r="4705" spans="2:7" x14ac:dyDescent="0.35">
      <c r="B4705" s="1">
        <v>45853</v>
      </c>
      <c r="C4705" s="2">
        <v>0.95833333333333337</v>
      </c>
      <c r="D4705">
        <v>12.3</v>
      </c>
      <c r="E4705">
        <f>IF($D4705 &gt; 16, 0, $J$3*(16 - $D4705))</f>
        <v>768.66997799257877</v>
      </c>
      <c r="F4705">
        <f>IF($D4705 &gt; 16, 0,$E4705*$J$5)</f>
        <v>8354673.990801339</v>
      </c>
      <c r="G4705">
        <f t="shared" si="73"/>
        <v>3.6999999999999993</v>
      </c>
    </row>
    <row r="4706" spans="2:7" x14ac:dyDescent="0.35">
      <c r="B4706" s="1">
        <v>45854</v>
      </c>
      <c r="C4706" s="2">
        <v>0</v>
      </c>
      <c r="D4706">
        <v>13.1</v>
      </c>
      <c r="E4706">
        <f>IF($D4706 &gt; 16, 0, $J$3*(16 - $D4706))</f>
        <v>602.4710638320214</v>
      </c>
      <c r="F4706">
        <f>IF($D4706 &gt; 16, 0,$E4706*$J$5)</f>
        <v>6548257.9927902408</v>
      </c>
      <c r="G4706">
        <f t="shared" si="73"/>
        <v>2.9000000000000004</v>
      </c>
    </row>
    <row r="4707" spans="2:7" x14ac:dyDescent="0.35">
      <c r="B4707" s="1">
        <v>45854</v>
      </c>
      <c r="C4707" s="2">
        <v>4.1666666666666657E-2</v>
      </c>
      <c r="D4707">
        <v>13</v>
      </c>
      <c r="E4707">
        <f>IF($D4707 &gt; 16, 0, $J$3*(16 - $D4707))</f>
        <v>623.24592810209094</v>
      </c>
      <c r="F4707">
        <f>IF($D4707 &gt; 16, 0,$E4707*$J$5)</f>
        <v>6774059.9925416261</v>
      </c>
      <c r="G4707">
        <f t="shared" si="73"/>
        <v>3</v>
      </c>
    </row>
    <row r="4708" spans="2:7" x14ac:dyDescent="0.35">
      <c r="B4708" s="1">
        <v>45854</v>
      </c>
      <c r="C4708" s="2">
        <v>8.3333333333333329E-2</v>
      </c>
      <c r="D4708">
        <v>11.8</v>
      </c>
      <c r="E4708">
        <f>IF($D4708 &gt; 16, 0, $J$3*(16 - $D4708))</f>
        <v>872.54429934292716</v>
      </c>
      <c r="F4708">
        <f>IF($D4708 &gt; 16, 0,$E4708*$J$5)</f>
        <v>9483683.9895582758</v>
      </c>
      <c r="G4708">
        <f t="shared" si="73"/>
        <v>4.1999999999999993</v>
      </c>
    </row>
    <row r="4709" spans="2:7" x14ac:dyDescent="0.35">
      <c r="B4709" s="1">
        <v>45854</v>
      </c>
      <c r="C4709" s="2">
        <v>0.125</v>
      </c>
      <c r="D4709">
        <v>12.3</v>
      </c>
      <c r="E4709">
        <f>IF($D4709 &gt; 16, 0, $J$3*(16 - $D4709))</f>
        <v>768.66997799257877</v>
      </c>
      <c r="F4709">
        <f>IF($D4709 &gt; 16, 0,$E4709*$J$5)</f>
        <v>8354673.990801339</v>
      </c>
      <c r="G4709">
        <f t="shared" si="73"/>
        <v>3.6999999999999993</v>
      </c>
    </row>
    <row r="4710" spans="2:7" x14ac:dyDescent="0.35">
      <c r="B4710" s="1">
        <v>45854</v>
      </c>
      <c r="C4710" s="2">
        <v>0.16666666666666671</v>
      </c>
      <c r="D4710">
        <v>12.9</v>
      </c>
      <c r="E4710">
        <f>IF($D4710 &gt; 16, 0, $J$3*(16 - $D4710))</f>
        <v>644.0207923721606</v>
      </c>
      <c r="F4710">
        <f>IF($D4710 &gt; 16, 0,$E4710*$J$5)</f>
        <v>6999861.9922930133</v>
      </c>
      <c r="G4710">
        <f t="shared" si="73"/>
        <v>3.0999999999999996</v>
      </c>
    </row>
    <row r="4711" spans="2:7" x14ac:dyDescent="0.35">
      <c r="B4711" s="1">
        <v>45854</v>
      </c>
      <c r="C4711" s="2">
        <v>0.20833333333333329</v>
      </c>
      <c r="D4711">
        <v>14.4</v>
      </c>
      <c r="E4711">
        <f>IF($D4711 &gt; 16, 0, $J$3*(16 - $D4711))</f>
        <v>332.39782832111513</v>
      </c>
      <c r="F4711">
        <f>IF($D4711 &gt; 16, 0,$E4711*$J$5)</f>
        <v>3612831.9960222002</v>
      </c>
      <c r="G4711">
        <f t="shared" si="73"/>
        <v>1.5999999999999996</v>
      </c>
    </row>
    <row r="4712" spans="2:7" x14ac:dyDescent="0.35">
      <c r="B4712" s="1">
        <v>45854</v>
      </c>
      <c r="C4712" s="2">
        <v>0.25</v>
      </c>
      <c r="D4712">
        <v>14.7</v>
      </c>
      <c r="E4712">
        <f>IF($D4712 &gt; 16, 0, $J$3*(16 - $D4712))</f>
        <v>270.07323551090622</v>
      </c>
      <c r="F4712">
        <f>IF($D4712 &gt; 16, 0,$E4712*$J$5)</f>
        <v>2935425.9967680397</v>
      </c>
      <c r="G4712">
        <f t="shared" si="73"/>
        <v>1.3000000000000007</v>
      </c>
    </row>
    <row r="4713" spans="2:7" x14ac:dyDescent="0.35">
      <c r="B4713" s="1">
        <v>45854</v>
      </c>
      <c r="C4713" s="2">
        <v>0.29166666666666669</v>
      </c>
      <c r="D4713">
        <v>14.3</v>
      </c>
      <c r="E4713">
        <f>IF($D4713 &gt; 16, 0, $J$3*(16 - $D4713))</f>
        <v>353.17269259118473</v>
      </c>
      <c r="F4713">
        <f>IF($D4713 &gt; 16, 0,$E4713*$J$5)</f>
        <v>3838633.9957735869</v>
      </c>
      <c r="G4713">
        <f t="shared" si="73"/>
        <v>1.6999999999999993</v>
      </c>
    </row>
    <row r="4714" spans="2:7" x14ac:dyDescent="0.35">
      <c r="B4714" s="1">
        <v>45854</v>
      </c>
      <c r="C4714" s="2">
        <v>0.33333333333333331</v>
      </c>
      <c r="D4714">
        <v>14.7</v>
      </c>
      <c r="E4714">
        <f>IF($D4714 &gt; 16, 0, $J$3*(16 - $D4714))</f>
        <v>270.07323551090622</v>
      </c>
      <c r="F4714">
        <f>IF($D4714 &gt; 16, 0,$E4714*$J$5)</f>
        <v>2935425.9967680397</v>
      </c>
      <c r="G4714">
        <f t="shared" si="73"/>
        <v>1.3000000000000007</v>
      </c>
    </row>
    <row r="4715" spans="2:7" x14ac:dyDescent="0.35">
      <c r="B4715" s="1">
        <v>45854</v>
      </c>
      <c r="C4715" s="2">
        <v>0.375</v>
      </c>
      <c r="D4715">
        <v>16.3</v>
      </c>
      <c r="E4715">
        <f>IF($D4715 &gt; 16, 0, $J$3*(16 - $D4715))</f>
        <v>0</v>
      </c>
      <c r="F4715">
        <f>IF($D4715 &gt; 16, 0,$E4715*$J$5)</f>
        <v>0</v>
      </c>
      <c r="G4715">
        <f t="shared" si="73"/>
        <v>0</v>
      </c>
    </row>
    <row r="4716" spans="2:7" x14ac:dyDescent="0.35">
      <c r="B4716" s="1">
        <v>45854</v>
      </c>
      <c r="C4716" s="2">
        <v>0.41666666666666669</v>
      </c>
      <c r="D4716">
        <v>18.899999999999999</v>
      </c>
      <c r="E4716">
        <f>IF($D4716 &gt; 16, 0, $J$3*(16 - $D4716))</f>
        <v>0</v>
      </c>
      <c r="F4716">
        <f>IF($D4716 &gt; 16, 0,$E4716*$J$5)</f>
        <v>0</v>
      </c>
      <c r="G4716">
        <f t="shared" si="73"/>
        <v>0</v>
      </c>
    </row>
    <row r="4717" spans="2:7" x14ac:dyDescent="0.35">
      <c r="B4717" s="1">
        <v>45854</v>
      </c>
      <c r="C4717" s="2">
        <v>0.45833333333333331</v>
      </c>
      <c r="D4717">
        <v>19.3</v>
      </c>
      <c r="E4717">
        <f>IF($D4717 &gt; 16, 0, $J$3*(16 - $D4717))</f>
        <v>0</v>
      </c>
      <c r="F4717">
        <f>IF($D4717 &gt; 16, 0,$E4717*$J$5)</f>
        <v>0</v>
      </c>
      <c r="G4717">
        <f t="shared" si="73"/>
        <v>0</v>
      </c>
    </row>
    <row r="4718" spans="2:7" x14ac:dyDescent="0.35">
      <c r="B4718" s="1">
        <v>45854</v>
      </c>
      <c r="C4718" s="2">
        <v>0.5</v>
      </c>
      <c r="D4718">
        <v>19</v>
      </c>
      <c r="E4718">
        <f>IF($D4718 &gt; 16, 0, $J$3*(16 - $D4718))</f>
        <v>0</v>
      </c>
      <c r="F4718">
        <f>IF($D4718 &gt; 16, 0,$E4718*$J$5)</f>
        <v>0</v>
      </c>
      <c r="G4718">
        <f t="shared" si="73"/>
        <v>0</v>
      </c>
    </row>
    <row r="4719" spans="2:7" x14ac:dyDescent="0.35">
      <c r="B4719" s="1">
        <v>45854</v>
      </c>
      <c r="C4719" s="2">
        <v>0.54166666666666663</v>
      </c>
      <c r="D4719">
        <v>19.399999999999999</v>
      </c>
      <c r="E4719">
        <f>IF($D4719 &gt; 16, 0, $J$3*(16 - $D4719))</f>
        <v>0</v>
      </c>
      <c r="F4719">
        <f>IF($D4719 &gt; 16, 0,$E4719*$J$5)</f>
        <v>0</v>
      </c>
      <c r="G4719">
        <f t="shared" si="73"/>
        <v>0</v>
      </c>
    </row>
    <row r="4720" spans="2:7" x14ac:dyDescent="0.35">
      <c r="B4720" s="1">
        <v>45854</v>
      </c>
      <c r="C4720" s="2">
        <v>0.58333333333333337</v>
      </c>
      <c r="D4720">
        <v>20.3</v>
      </c>
      <c r="E4720">
        <f>IF($D4720 &gt; 16, 0, $J$3*(16 - $D4720))</f>
        <v>0</v>
      </c>
      <c r="F4720">
        <f>IF($D4720 &gt; 16, 0,$E4720*$J$5)</f>
        <v>0</v>
      </c>
      <c r="G4720">
        <f t="shared" si="73"/>
        <v>0</v>
      </c>
    </row>
    <row r="4721" spans="2:7" x14ac:dyDescent="0.35">
      <c r="B4721" s="1">
        <v>45854</v>
      </c>
      <c r="C4721" s="2">
        <v>0.625</v>
      </c>
      <c r="D4721">
        <v>21.4</v>
      </c>
      <c r="E4721">
        <f>IF($D4721 &gt; 16, 0, $J$3*(16 - $D4721))</f>
        <v>0</v>
      </c>
      <c r="F4721">
        <f>IF($D4721 &gt; 16, 0,$E4721*$J$5)</f>
        <v>0</v>
      </c>
      <c r="G4721">
        <f t="shared" si="73"/>
        <v>0</v>
      </c>
    </row>
    <row r="4722" spans="2:7" x14ac:dyDescent="0.35">
      <c r="B4722" s="1">
        <v>45854</v>
      </c>
      <c r="C4722" s="2">
        <v>0.66666666666666663</v>
      </c>
      <c r="D4722">
        <v>21.7</v>
      </c>
      <c r="E4722">
        <f>IF($D4722 &gt; 16, 0, $J$3*(16 - $D4722))</f>
        <v>0</v>
      </c>
      <c r="F4722">
        <f>IF($D4722 &gt; 16, 0,$E4722*$J$5)</f>
        <v>0</v>
      </c>
      <c r="G4722">
        <f t="shared" si="73"/>
        <v>0</v>
      </c>
    </row>
    <row r="4723" spans="2:7" x14ac:dyDescent="0.35">
      <c r="B4723" s="1">
        <v>45854</v>
      </c>
      <c r="C4723" s="2">
        <v>0.70833333333333337</v>
      </c>
      <c r="D4723">
        <v>21.2</v>
      </c>
      <c r="E4723">
        <f>IF($D4723 &gt; 16, 0, $J$3*(16 - $D4723))</f>
        <v>0</v>
      </c>
      <c r="F4723">
        <f>IF($D4723 &gt; 16, 0,$E4723*$J$5)</f>
        <v>0</v>
      </c>
      <c r="G4723">
        <f t="shared" si="73"/>
        <v>0</v>
      </c>
    </row>
    <row r="4724" spans="2:7" x14ac:dyDescent="0.35">
      <c r="B4724" s="1">
        <v>45854</v>
      </c>
      <c r="C4724" s="2">
        <v>0.75</v>
      </c>
      <c r="D4724">
        <v>20.6</v>
      </c>
      <c r="E4724">
        <f>IF($D4724 &gt; 16, 0, $J$3*(16 - $D4724))</f>
        <v>0</v>
      </c>
      <c r="F4724">
        <f>IF($D4724 &gt; 16, 0,$E4724*$J$5)</f>
        <v>0</v>
      </c>
      <c r="G4724">
        <f t="shared" si="73"/>
        <v>0</v>
      </c>
    </row>
    <row r="4725" spans="2:7" x14ac:dyDescent="0.35">
      <c r="B4725" s="1">
        <v>45854</v>
      </c>
      <c r="C4725" s="2">
        <v>0.79166666666666663</v>
      </c>
      <c r="D4725">
        <v>18.8</v>
      </c>
      <c r="E4725">
        <f>IF($D4725 &gt; 16, 0, $J$3*(16 - $D4725))</f>
        <v>0</v>
      </c>
      <c r="F4725">
        <f>IF($D4725 &gt; 16, 0,$E4725*$J$5)</f>
        <v>0</v>
      </c>
      <c r="G4725">
        <f t="shared" si="73"/>
        <v>0</v>
      </c>
    </row>
    <row r="4726" spans="2:7" x14ac:dyDescent="0.35">
      <c r="B4726" s="1">
        <v>45854</v>
      </c>
      <c r="C4726" s="2">
        <v>0.83333333333333337</v>
      </c>
      <c r="D4726">
        <v>17.600000000000001</v>
      </c>
      <c r="E4726">
        <f>IF($D4726 &gt; 16, 0, $J$3*(16 - $D4726))</f>
        <v>0</v>
      </c>
      <c r="F4726">
        <f>IF($D4726 &gt; 16, 0,$E4726*$J$5)</f>
        <v>0</v>
      </c>
      <c r="G4726">
        <f t="shared" si="73"/>
        <v>0</v>
      </c>
    </row>
    <row r="4727" spans="2:7" x14ac:dyDescent="0.35">
      <c r="B4727" s="1">
        <v>45854</v>
      </c>
      <c r="C4727" s="2">
        <v>0.875</v>
      </c>
      <c r="D4727">
        <v>16.7</v>
      </c>
      <c r="E4727">
        <f>IF($D4727 &gt; 16, 0, $J$3*(16 - $D4727))</f>
        <v>0</v>
      </c>
      <c r="F4727">
        <f>IF($D4727 &gt; 16, 0,$E4727*$J$5)</f>
        <v>0</v>
      </c>
      <c r="G4727">
        <f t="shared" si="73"/>
        <v>0</v>
      </c>
    </row>
    <row r="4728" spans="2:7" x14ac:dyDescent="0.35">
      <c r="B4728" s="1">
        <v>45854</v>
      </c>
      <c r="C4728" s="2">
        <v>0.91666666666666663</v>
      </c>
      <c r="D4728">
        <v>15.9</v>
      </c>
      <c r="E4728">
        <f>IF($D4728 &gt; 16, 0, $J$3*(16 - $D4728))</f>
        <v>20.774864270069624</v>
      </c>
      <c r="F4728">
        <f>IF($D4728 &gt; 16, 0,$E4728*$J$5)</f>
        <v>225801.99975138676</v>
      </c>
      <c r="G4728">
        <f t="shared" si="73"/>
        <v>9.9999999999999645E-2</v>
      </c>
    </row>
    <row r="4729" spans="2:7" x14ac:dyDescent="0.35">
      <c r="B4729" s="1">
        <v>45854</v>
      </c>
      <c r="C4729" s="2">
        <v>0.95833333333333337</v>
      </c>
      <c r="D4729">
        <v>14.8</v>
      </c>
      <c r="E4729">
        <f>IF($D4729 &gt; 16, 0, $J$3*(16 - $D4729))</f>
        <v>249.29837124083625</v>
      </c>
      <c r="F4729">
        <f>IF($D4729 &gt; 16, 0,$E4729*$J$5)</f>
        <v>2709623.9970166492</v>
      </c>
      <c r="G4729">
        <f t="shared" si="73"/>
        <v>1.1999999999999993</v>
      </c>
    </row>
    <row r="4730" spans="2:7" x14ac:dyDescent="0.35">
      <c r="B4730" s="1">
        <v>45855</v>
      </c>
      <c r="C4730" s="2">
        <v>0</v>
      </c>
      <c r="D4730">
        <v>13.6</v>
      </c>
      <c r="E4730">
        <f>IF($D4730 &gt; 16, 0, $J$3*(16 - $D4730))</f>
        <v>498.59674248167283</v>
      </c>
      <c r="F4730">
        <f>IF($D4730 &gt; 16, 0,$E4730*$J$5)</f>
        <v>5419247.9940333022</v>
      </c>
      <c r="G4730">
        <f t="shared" si="73"/>
        <v>2.4000000000000004</v>
      </c>
    </row>
    <row r="4731" spans="2:7" x14ac:dyDescent="0.35">
      <c r="B4731" s="1">
        <v>45855</v>
      </c>
      <c r="C4731" s="2">
        <v>4.1666666666666657E-2</v>
      </c>
      <c r="D4731">
        <v>13.7</v>
      </c>
      <c r="E4731">
        <f>IF($D4731 &gt; 16, 0, $J$3*(16 - $D4731))</f>
        <v>477.82187821160323</v>
      </c>
      <c r="F4731">
        <f>IF($D4731 &gt; 16, 0,$E4731*$J$5)</f>
        <v>5193445.9942819159</v>
      </c>
      <c r="G4731">
        <f t="shared" si="73"/>
        <v>2.3000000000000007</v>
      </c>
    </row>
    <row r="4732" spans="2:7" x14ac:dyDescent="0.35">
      <c r="B4732" s="1">
        <v>45855</v>
      </c>
      <c r="C4732" s="2">
        <v>8.3333333333333329E-2</v>
      </c>
      <c r="D4732">
        <v>14</v>
      </c>
      <c r="E4732">
        <f>IF($D4732 &gt; 16, 0, $J$3*(16 - $D4732))</f>
        <v>415.49728540139398</v>
      </c>
      <c r="F4732">
        <f>IF($D4732 &gt; 16, 0,$E4732*$J$5)</f>
        <v>4516039.9950277507</v>
      </c>
      <c r="G4732">
        <f t="shared" si="73"/>
        <v>2</v>
      </c>
    </row>
    <row r="4733" spans="2:7" x14ac:dyDescent="0.35">
      <c r="B4733" s="1">
        <v>45855</v>
      </c>
      <c r="C4733" s="2">
        <v>0.125</v>
      </c>
      <c r="D4733">
        <v>14.8</v>
      </c>
      <c r="E4733">
        <f>IF($D4733 &gt; 16, 0, $J$3*(16 - $D4733))</f>
        <v>249.29837124083625</v>
      </c>
      <c r="F4733">
        <f>IF($D4733 &gt; 16, 0,$E4733*$J$5)</f>
        <v>2709623.9970166492</v>
      </c>
      <c r="G4733">
        <f t="shared" si="73"/>
        <v>1.1999999999999993</v>
      </c>
    </row>
    <row r="4734" spans="2:7" x14ac:dyDescent="0.35">
      <c r="B4734" s="1">
        <v>45855</v>
      </c>
      <c r="C4734" s="2">
        <v>0.16666666666666671</v>
      </c>
      <c r="D4734">
        <v>15.4</v>
      </c>
      <c r="E4734">
        <f>IF($D4734 &gt; 16, 0, $J$3*(16 - $D4734))</f>
        <v>124.64918562041812</v>
      </c>
      <c r="F4734">
        <f>IF($D4734 &gt; 16, 0,$E4734*$J$5)</f>
        <v>1354811.9985083246</v>
      </c>
      <c r="G4734">
        <f t="shared" si="73"/>
        <v>0.59999999999999964</v>
      </c>
    </row>
    <row r="4735" spans="2:7" x14ac:dyDescent="0.35">
      <c r="B4735" s="1">
        <v>45855</v>
      </c>
      <c r="C4735" s="2">
        <v>0.20833333333333329</v>
      </c>
      <c r="D4735">
        <v>15.7</v>
      </c>
      <c r="E4735">
        <f>IF($D4735 &gt; 16, 0, $J$3*(16 - $D4735))</f>
        <v>62.324592810209246</v>
      </c>
      <c r="F4735">
        <f>IF($D4735 &gt; 16, 0,$E4735*$J$5)</f>
        <v>677405.99925416429</v>
      </c>
      <c r="G4735">
        <f t="shared" si="73"/>
        <v>0.30000000000000071</v>
      </c>
    </row>
    <row r="4736" spans="2:7" x14ac:dyDescent="0.35">
      <c r="B4736" s="1">
        <v>45855</v>
      </c>
      <c r="C4736" s="2">
        <v>0.25</v>
      </c>
      <c r="D4736">
        <v>16.399999999999999</v>
      </c>
      <c r="E4736">
        <f>IF($D4736 &gt; 16, 0, $J$3*(16 - $D4736))</f>
        <v>0</v>
      </c>
      <c r="F4736">
        <f>IF($D4736 &gt; 16, 0,$E4736*$J$5)</f>
        <v>0</v>
      </c>
      <c r="G4736">
        <f t="shared" si="73"/>
        <v>0</v>
      </c>
    </row>
    <row r="4737" spans="2:7" x14ac:dyDescent="0.35">
      <c r="B4737" s="1">
        <v>45855</v>
      </c>
      <c r="C4737" s="2">
        <v>0.29166666666666669</v>
      </c>
      <c r="D4737">
        <v>16.399999999999999</v>
      </c>
      <c r="E4737">
        <f>IF($D4737 &gt; 16, 0, $J$3*(16 - $D4737))</f>
        <v>0</v>
      </c>
      <c r="F4737">
        <f>IF($D4737 &gt; 16, 0,$E4737*$J$5)</f>
        <v>0</v>
      </c>
      <c r="G4737">
        <f t="shared" si="73"/>
        <v>0</v>
      </c>
    </row>
    <row r="4738" spans="2:7" x14ac:dyDescent="0.35">
      <c r="B4738" s="1">
        <v>45855</v>
      </c>
      <c r="C4738" s="2">
        <v>0.33333333333333331</v>
      </c>
      <c r="D4738">
        <v>16.7</v>
      </c>
      <c r="E4738">
        <f>IF($D4738 &gt; 16, 0, $J$3*(16 - $D4738))</f>
        <v>0</v>
      </c>
      <c r="F4738">
        <f>IF($D4738 &gt; 16, 0,$E4738*$J$5)</f>
        <v>0</v>
      </c>
      <c r="G4738">
        <f t="shared" si="73"/>
        <v>0</v>
      </c>
    </row>
    <row r="4739" spans="2:7" x14ac:dyDescent="0.35">
      <c r="B4739" s="1">
        <v>45855</v>
      </c>
      <c r="C4739" s="2">
        <v>0.375</v>
      </c>
      <c r="D4739">
        <v>17.5</v>
      </c>
      <c r="E4739">
        <f>IF($D4739 &gt; 16, 0, $J$3*(16 - $D4739))</f>
        <v>0</v>
      </c>
      <c r="F4739">
        <f>IF($D4739 &gt; 16, 0,$E4739*$J$5)</f>
        <v>0</v>
      </c>
      <c r="G4739">
        <f t="shared" ref="G4739:G4802" si="74">MAX(0, 16 - $D4739)</f>
        <v>0</v>
      </c>
    </row>
    <row r="4740" spans="2:7" x14ac:dyDescent="0.35">
      <c r="B4740" s="1">
        <v>45855</v>
      </c>
      <c r="C4740" s="2">
        <v>0.41666666666666669</v>
      </c>
      <c r="D4740">
        <v>19.7</v>
      </c>
      <c r="E4740">
        <f>IF($D4740 &gt; 16, 0, $J$3*(16 - $D4740))</f>
        <v>0</v>
      </c>
      <c r="F4740">
        <f>IF($D4740 &gt; 16, 0,$E4740*$J$5)</f>
        <v>0</v>
      </c>
      <c r="G4740">
        <f t="shared" si="74"/>
        <v>0</v>
      </c>
    </row>
    <row r="4741" spans="2:7" x14ac:dyDescent="0.35">
      <c r="B4741" s="1">
        <v>45855</v>
      </c>
      <c r="C4741" s="2">
        <v>0.45833333333333331</v>
      </c>
      <c r="D4741">
        <v>19.5</v>
      </c>
      <c r="E4741">
        <f>IF($D4741 &gt; 16, 0, $J$3*(16 - $D4741))</f>
        <v>0</v>
      </c>
      <c r="F4741">
        <f>IF($D4741 &gt; 16, 0,$E4741*$J$5)</f>
        <v>0</v>
      </c>
      <c r="G4741">
        <f t="shared" si="74"/>
        <v>0</v>
      </c>
    </row>
    <row r="4742" spans="2:7" x14ac:dyDescent="0.35">
      <c r="B4742" s="1">
        <v>45855</v>
      </c>
      <c r="C4742" s="2">
        <v>0.5</v>
      </c>
      <c r="D4742">
        <v>19.899999999999999</v>
      </c>
      <c r="E4742">
        <f>IF($D4742 &gt; 16, 0, $J$3*(16 - $D4742))</f>
        <v>0</v>
      </c>
      <c r="F4742">
        <f>IF($D4742 &gt; 16, 0,$E4742*$J$5)</f>
        <v>0</v>
      </c>
      <c r="G4742">
        <f t="shared" si="74"/>
        <v>0</v>
      </c>
    </row>
    <row r="4743" spans="2:7" x14ac:dyDescent="0.35">
      <c r="B4743" s="1">
        <v>45855</v>
      </c>
      <c r="C4743" s="2">
        <v>0.54166666666666663</v>
      </c>
      <c r="D4743">
        <v>20.3</v>
      </c>
      <c r="E4743">
        <f>IF($D4743 &gt; 16, 0, $J$3*(16 - $D4743))</f>
        <v>0</v>
      </c>
      <c r="F4743">
        <f>IF($D4743 &gt; 16, 0,$E4743*$J$5)</f>
        <v>0</v>
      </c>
      <c r="G4743">
        <f t="shared" si="74"/>
        <v>0</v>
      </c>
    </row>
    <row r="4744" spans="2:7" x14ac:dyDescent="0.35">
      <c r="B4744" s="1">
        <v>45855</v>
      </c>
      <c r="C4744" s="2">
        <v>0.58333333333333337</v>
      </c>
      <c r="D4744">
        <v>20.8</v>
      </c>
      <c r="E4744">
        <f>IF($D4744 &gt; 16, 0, $J$3*(16 - $D4744))</f>
        <v>0</v>
      </c>
      <c r="F4744">
        <f>IF($D4744 &gt; 16, 0,$E4744*$J$5)</f>
        <v>0</v>
      </c>
      <c r="G4744">
        <f t="shared" si="74"/>
        <v>0</v>
      </c>
    </row>
    <row r="4745" spans="2:7" x14ac:dyDescent="0.35">
      <c r="B4745" s="1">
        <v>45855</v>
      </c>
      <c r="C4745" s="2">
        <v>0.625</v>
      </c>
      <c r="D4745">
        <v>20.399999999999999</v>
      </c>
      <c r="E4745">
        <f>IF($D4745 &gt; 16, 0, $J$3*(16 - $D4745))</f>
        <v>0</v>
      </c>
      <c r="F4745">
        <f>IF($D4745 &gt; 16, 0,$E4745*$J$5)</f>
        <v>0</v>
      </c>
      <c r="G4745">
        <f t="shared" si="74"/>
        <v>0</v>
      </c>
    </row>
    <row r="4746" spans="2:7" x14ac:dyDescent="0.35">
      <c r="B4746" s="1">
        <v>45855</v>
      </c>
      <c r="C4746" s="2">
        <v>0.66666666666666663</v>
      </c>
      <c r="D4746">
        <v>20.6</v>
      </c>
      <c r="E4746">
        <f>IF($D4746 &gt; 16, 0, $J$3*(16 - $D4746))</f>
        <v>0</v>
      </c>
      <c r="F4746">
        <f>IF($D4746 &gt; 16, 0,$E4746*$J$5)</f>
        <v>0</v>
      </c>
      <c r="G4746">
        <f t="shared" si="74"/>
        <v>0</v>
      </c>
    </row>
    <row r="4747" spans="2:7" x14ac:dyDescent="0.35">
      <c r="B4747" s="1">
        <v>45855</v>
      </c>
      <c r="C4747" s="2">
        <v>0.70833333333333337</v>
      </c>
      <c r="D4747">
        <v>20</v>
      </c>
      <c r="E4747">
        <f>IF($D4747 &gt; 16, 0, $J$3*(16 - $D4747))</f>
        <v>0</v>
      </c>
      <c r="F4747">
        <f>IF($D4747 &gt; 16, 0,$E4747*$J$5)</f>
        <v>0</v>
      </c>
      <c r="G4747">
        <f t="shared" si="74"/>
        <v>0</v>
      </c>
    </row>
    <row r="4748" spans="2:7" x14ac:dyDescent="0.35">
      <c r="B4748" s="1">
        <v>45855</v>
      </c>
      <c r="C4748" s="2">
        <v>0.75</v>
      </c>
      <c r="D4748">
        <v>18.7</v>
      </c>
      <c r="E4748">
        <f>IF($D4748 &gt; 16, 0, $J$3*(16 - $D4748))</f>
        <v>0</v>
      </c>
      <c r="F4748">
        <f>IF($D4748 &gt; 16, 0,$E4748*$J$5)</f>
        <v>0</v>
      </c>
      <c r="G4748">
        <f t="shared" si="74"/>
        <v>0</v>
      </c>
    </row>
    <row r="4749" spans="2:7" x14ac:dyDescent="0.35">
      <c r="B4749" s="1">
        <v>45855</v>
      </c>
      <c r="C4749" s="2">
        <v>0.79166666666666663</v>
      </c>
      <c r="D4749">
        <v>18.3</v>
      </c>
      <c r="E4749">
        <f>IF($D4749 &gt; 16, 0, $J$3*(16 - $D4749))</f>
        <v>0</v>
      </c>
      <c r="F4749">
        <f>IF($D4749 &gt; 16, 0,$E4749*$J$5)</f>
        <v>0</v>
      </c>
      <c r="G4749">
        <f t="shared" si="74"/>
        <v>0</v>
      </c>
    </row>
    <row r="4750" spans="2:7" x14ac:dyDescent="0.35">
      <c r="B4750" s="1">
        <v>45855</v>
      </c>
      <c r="C4750" s="2">
        <v>0.83333333333333337</v>
      </c>
      <c r="D4750">
        <v>18.3</v>
      </c>
      <c r="E4750">
        <f>IF($D4750 &gt; 16, 0, $J$3*(16 - $D4750))</f>
        <v>0</v>
      </c>
      <c r="F4750">
        <f>IF($D4750 &gt; 16, 0,$E4750*$J$5)</f>
        <v>0</v>
      </c>
      <c r="G4750">
        <f t="shared" si="74"/>
        <v>0</v>
      </c>
    </row>
    <row r="4751" spans="2:7" x14ac:dyDescent="0.35">
      <c r="B4751" s="1">
        <v>45855</v>
      </c>
      <c r="C4751" s="2">
        <v>0.875</v>
      </c>
      <c r="D4751">
        <v>18.100000000000001</v>
      </c>
      <c r="E4751">
        <f>IF($D4751 &gt; 16, 0, $J$3*(16 - $D4751))</f>
        <v>0</v>
      </c>
      <c r="F4751">
        <f>IF($D4751 &gt; 16, 0,$E4751*$J$5)</f>
        <v>0</v>
      </c>
      <c r="G4751">
        <f t="shared" si="74"/>
        <v>0</v>
      </c>
    </row>
    <row r="4752" spans="2:7" x14ac:dyDescent="0.35">
      <c r="B4752" s="1">
        <v>45855</v>
      </c>
      <c r="C4752" s="2">
        <v>0.91666666666666663</v>
      </c>
      <c r="D4752">
        <v>18.100000000000001</v>
      </c>
      <c r="E4752">
        <f>IF($D4752 &gt; 16, 0, $J$3*(16 - $D4752))</f>
        <v>0</v>
      </c>
      <c r="F4752">
        <f>IF($D4752 &gt; 16, 0,$E4752*$J$5)</f>
        <v>0</v>
      </c>
      <c r="G4752">
        <f t="shared" si="74"/>
        <v>0</v>
      </c>
    </row>
    <row r="4753" spans="2:7" x14ac:dyDescent="0.35">
      <c r="B4753" s="1">
        <v>45855</v>
      </c>
      <c r="C4753" s="2">
        <v>0.95833333333333337</v>
      </c>
      <c r="D4753">
        <v>17.899999999999999</v>
      </c>
      <c r="E4753">
        <f>IF($D4753 &gt; 16, 0, $J$3*(16 - $D4753))</f>
        <v>0</v>
      </c>
      <c r="F4753">
        <f>IF($D4753 &gt; 16, 0,$E4753*$J$5)</f>
        <v>0</v>
      </c>
      <c r="G4753">
        <f t="shared" si="74"/>
        <v>0</v>
      </c>
    </row>
    <row r="4754" spans="2:7" x14ac:dyDescent="0.35">
      <c r="B4754" s="1">
        <v>45856</v>
      </c>
      <c r="C4754" s="2">
        <v>0</v>
      </c>
      <c r="D4754">
        <v>17.899999999999999</v>
      </c>
      <c r="E4754">
        <f>IF($D4754 &gt; 16, 0, $J$3*(16 - $D4754))</f>
        <v>0</v>
      </c>
      <c r="F4754">
        <f>IF($D4754 &gt; 16, 0,$E4754*$J$5)</f>
        <v>0</v>
      </c>
      <c r="G4754">
        <f t="shared" si="74"/>
        <v>0</v>
      </c>
    </row>
    <row r="4755" spans="2:7" x14ac:dyDescent="0.35">
      <c r="B4755" s="1">
        <v>45856</v>
      </c>
      <c r="C4755" s="2">
        <v>4.1666666666666657E-2</v>
      </c>
      <c r="D4755">
        <v>17.8</v>
      </c>
      <c r="E4755">
        <f>IF($D4755 &gt; 16, 0, $J$3*(16 - $D4755))</f>
        <v>0</v>
      </c>
      <c r="F4755">
        <f>IF($D4755 &gt; 16, 0,$E4755*$J$5)</f>
        <v>0</v>
      </c>
      <c r="G4755">
        <f t="shared" si="74"/>
        <v>0</v>
      </c>
    </row>
    <row r="4756" spans="2:7" x14ac:dyDescent="0.35">
      <c r="B4756" s="1">
        <v>45856</v>
      </c>
      <c r="C4756" s="2">
        <v>8.3333333333333329E-2</v>
      </c>
      <c r="D4756">
        <v>17.600000000000001</v>
      </c>
      <c r="E4756">
        <f>IF($D4756 &gt; 16, 0, $J$3*(16 - $D4756))</f>
        <v>0</v>
      </c>
      <c r="F4756">
        <f>IF($D4756 &gt; 16, 0,$E4756*$J$5)</f>
        <v>0</v>
      </c>
      <c r="G4756">
        <f t="shared" si="74"/>
        <v>0</v>
      </c>
    </row>
    <row r="4757" spans="2:7" x14ac:dyDescent="0.35">
      <c r="B4757" s="1">
        <v>45856</v>
      </c>
      <c r="C4757" s="2">
        <v>0.125</v>
      </c>
      <c r="D4757">
        <v>17.399999999999999</v>
      </c>
      <c r="E4757">
        <f>IF($D4757 &gt; 16, 0, $J$3*(16 - $D4757))</f>
        <v>0</v>
      </c>
      <c r="F4757">
        <f>IF($D4757 &gt; 16, 0,$E4757*$J$5)</f>
        <v>0</v>
      </c>
      <c r="G4757">
        <f t="shared" si="74"/>
        <v>0</v>
      </c>
    </row>
    <row r="4758" spans="2:7" x14ac:dyDescent="0.35">
      <c r="B4758" s="1">
        <v>45856</v>
      </c>
      <c r="C4758" s="2">
        <v>0.16666666666666671</v>
      </c>
      <c r="D4758">
        <v>17.3</v>
      </c>
      <c r="E4758">
        <f>IF($D4758 &gt; 16, 0, $J$3*(16 - $D4758))</f>
        <v>0</v>
      </c>
      <c r="F4758">
        <f>IF($D4758 &gt; 16, 0,$E4758*$J$5)</f>
        <v>0</v>
      </c>
      <c r="G4758">
        <f t="shared" si="74"/>
        <v>0</v>
      </c>
    </row>
    <row r="4759" spans="2:7" x14ac:dyDescent="0.35">
      <c r="B4759" s="1">
        <v>45856</v>
      </c>
      <c r="C4759" s="2">
        <v>0.20833333333333329</v>
      </c>
      <c r="D4759">
        <v>17.600000000000001</v>
      </c>
      <c r="E4759">
        <f>IF($D4759 &gt; 16, 0, $J$3*(16 - $D4759))</f>
        <v>0</v>
      </c>
      <c r="F4759">
        <f>IF($D4759 &gt; 16, 0,$E4759*$J$5)</f>
        <v>0</v>
      </c>
      <c r="G4759">
        <f t="shared" si="74"/>
        <v>0</v>
      </c>
    </row>
    <row r="4760" spans="2:7" x14ac:dyDescent="0.35">
      <c r="B4760" s="1">
        <v>45856</v>
      </c>
      <c r="C4760" s="2">
        <v>0.25</v>
      </c>
      <c r="D4760">
        <v>17.899999999999999</v>
      </c>
      <c r="E4760">
        <f>IF($D4760 &gt; 16, 0, $J$3*(16 - $D4760))</f>
        <v>0</v>
      </c>
      <c r="F4760">
        <f>IF($D4760 &gt; 16, 0,$E4760*$J$5)</f>
        <v>0</v>
      </c>
      <c r="G4760">
        <f t="shared" si="74"/>
        <v>0</v>
      </c>
    </row>
    <row r="4761" spans="2:7" x14ac:dyDescent="0.35">
      <c r="B4761" s="1">
        <v>45856</v>
      </c>
      <c r="C4761" s="2">
        <v>0.29166666666666669</v>
      </c>
      <c r="D4761">
        <v>18.7</v>
      </c>
      <c r="E4761">
        <f>IF($D4761 &gt; 16, 0, $J$3*(16 - $D4761))</f>
        <v>0</v>
      </c>
      <c r="F4761">
        <f>IF($D4761 &gt; 16, 0,$E4761*$J$5)</f>
        <v>0</v>
      </c>
      <c r="G4761">
        <f t="shared" si="74"/>
        <v>0</v>
      </c>
    </row>
    <row r="4762" spans="2:7" x14ac:dyDescent="0.35">
      <c r="B4762" s="1">
        <v>45856</v>
      </c>
      <c r="C4762" s="2">
        <v>0.33333333333333331</v>
      </c>
      <c r="D4762">
        <v>18.8</v>
      </c>
      <c r="E4762">
        <f>IF($D4762 &gt; 16, 0, $J$3*(16 - $D4762))</f>
        <v>0</v>
      </c>
      <c r="F4762">
        <f>IF($D4762 &gt; 16, 0,$E4762*$J$5)</f>
        <v>0</v>
      </c>
      <c r="G4762">
        <f t="shared" si="74"/>
        <v>0</v>
      </c>
    </row>
    <row r="4763" spans="2:7" x14ac:dyDescent="0.35">
      <c r="B4763" s="1">
        <v>45856</v>
      </c>
      <c r="C4763" s="2">
        <v>0.375</v>
      </c>
      <c r="D4763">
        <v>18.600000000000001</v>
      </c>
      <c r="E4763">
        <f>IF($D4763 &gt; 16, 0, $J$3*(16 - $D4763))</f>
        <v>0</v>
      </c>
      <c r="F4763">
        <f>IF($D4763 &gt; 16, 0,$E4763*$J$5)</f>
        <v>0</v>
      </c>
      <c r="G4763">
        <f t="shared" si="74"/>
        <v>0</v>
      </c>
    </row>
    <row r="4764" spans="2:7" x14ac:dyDescent="0.35">
      <c r="B4764" s="1">
        <v>45856</v>
      </c>
      <c r="C4764" s="2">
        <v>0.41666666666666669</v>
      </c>
      <c r="D4764">
        <v>18.100000000000001</v>
      </c>
      <c r="E4764">
        <f>IF($D4764 &gt; 16, 0, $J$3*(16 - $D4764))</f>
        <v>0</v>
      </c>
      <c r="F4764">
        <f>IF($D4764 &gt; 16, 0,$E4764*$J$5)</f>
        <v>0</v>
      </c>
      <c r="G4764">
        <f t="shared" si="74"/>
        <v>0</v>
      </c>
    </row>
    <row r="4765" spans="2:7" x14ac:dyDescent="0.35">
      <c r="B4765" s="1">
        <v>45856</v>
      </c>
      <c r="C4765" s="2">
        <v>0.45833333333333331</v>
      </c>
      <c r="D4765">
        <v>19.8</v>
      </c>
      <c r="E4765">
        <f>IF($D4765 &gt; 16, 0, $J$3*(16 - $D4765))</f>
        <v>0</v>
      </c>
      <c r="F4765">
        <f>IF($D4765 &gt; 16, 0,$E4765*$J$5)</f>
        <v>0</v>
      </c>
      <c r="G4765">
        <f t="shared" si="74"/>
        <v>0</v>
      </c>
    </row>
    <row r="4766" spans="2:7" x14ac:dyDescent="0.35">
      <c r="B4766" s="1">
        <v>45856</v>
      </c>
      <c r="C4766" s="2">
        <v>0.5</v>
      </c>
      <c r="D4766">
        <v>21.4</v>
      </c>
      <c r="E4766">
        <f>IF($D4766 &gt; 16, 0, $J$3*(16 - $D4766))</f>
        <v>0</v>
      </c>
      <c r="F4766">
        <f>IF($D4766 &gt; 16, 0,$E4766*$J$5)</f>
        <v>0</v>
      </c>
      <c r="G4766">
        <f t="shared" si="74"/>
        <v>0</v>
      </c>
    </row>
    <row r="4767" spans="2:7" x14ac:dyDescent="0.35">
      <c r="B4767" s="1">
        <v>45856</v>
      </c>
      <c r="C4767" s="2">
        <v>0.54166666666666663</v>
      </c>
      <c r="D4767">
        <v>23.1</v>
      </c>
      <c r="E4767">
        <f>IF($D4767 &gt; 16, 0, $J$3*(16 - $D4767))</f>
        <v>0</v>
      </c>
      <c r="F4767">
        <f>IF($D4767 &gt; 16, 0,$E4767*$J$5)</f>
        <v>0</v>
      </c>
      <c r="G4767">
        <f t="shared" si="74"/>
        <v>0</v>
      </c>
    </row>
    <row r="4768" spans="2:7" x14ac:dyDescent="0.35">
      <c r="B4768" s="1">
        <v>45856</v>
      </c>
      <c r="C4768" s="2">
        <v>0.58333333333333337</v>
      </c>
      <c r="D4768">
        <v>24</v>
      </c>
      <c r="E4768">
        <f>IF($D4768 &gt; 16, 0, $J$3*(16 - $D4768))</f>
        <v>0</v>
      </c>
      <c r="F4768">
        <f>IF($D4768 &gt; 16, 0,$E4768*$J$5)</f>
        <v>0</v>
      </c>
      <c r="G4768">
        <f t="shared" si="74"/>
        <v>0</v>
      </c>
    </row>
    <row r="4769" spans="2:7" x14ac:dyDescent="0.35">
      <c r="B4769" s="1">
        <v>45856</v>
      </c>
      <c r="C4769" s="2">
        <v>0.625</v>
      </c>
      <c r="D4769">
        <v>21.2</v>
      </c>
      <c r="E4769">
        <f>IF($D4769 &gt; 16, 0, $J$3*(16 - $D4769))</f>
        <v>0</v>
      </c>
      <c r="F4769">
        <f>IF($D4769 &gt; 16, 0,$E4769*$J$5)</f>
        <v>0</v>
      </c>
      <c r="G4769">
        <f t="shared" si="74"/>
        <v>0</v>
      </c>
    </row>
    <row r="4770" spans="2:7" x14ac:dyDescent="0.35">
      <c r="B4770" s="1">
        <v>45856</v>
      </c>
      <c r="C4770" s="2">
        <v>0.66666666666666663</v>
      </c>
      <c r="D4770">
        <v>19.899999999999999</v>
      </c>
      <c r="E4770">
        <f>IF($D4770 &gt; 16, 0, $J$3*(16 - $D4770))</f>
        <v>0</v>
      </c>
      <c r="F4770">
        <f>IF($D4770 &gt; 16, 0,$E4770*$J$5)</f>
        <v>0</v>
      </c>
      <c r="G4770">
        <f t="shared" si="74"/>
        <v>0</v>
      </c>
    </row>
    <row r="4771" spans="2:7" x14ac:dyDescent="0.35">
      <c r="B4771" s="1">
        <v>45856</v>
      </c>
      <c r="C4771" s="2">
        <v>0.70833333333333337</v>
      </c>
      <c r="D4771">
        <v>21.8</v>
      </c>
      <c r="E4771">
        <f>IF($D4771 &gt; 16, 0, $J$3*(16 - $D4771))</f>
        <v>0</v>
      </c>
      <c r="F4771">
        <f>IF($D4771 &gt; 16, 0,$E4771*$J$5)</f>
        <v>0</v>
      </c>
      <c r="G4771">
        <f t="shared" si="74"/>
        <v>0</v>
      </c>
    </row>
    <row r="4772" spans="2:7" x14ac:dyDescent="0.35">
      <c r="B4772" s="1">
        <v>45856</v>
      </c>
      <c r="C4772" s="2">
        <v>0.75</v>
      </c>
      <c r="D4772">
        <v>23</v>
      </c>
      <c r="E4772">
        <f>IF($D4772 &gt; 16, 0, $J$3*(16 - $D4772))</f>
        <v>0</v>
      </c>
      <c r="F4772">
        <f>IF($D4772 &gt; 16, 0,$E4772*$J$5)</f>
        <v>0</v>
      </c>
      <c r="G4772">
        <f t="shared" si="74"/>
        <v>0</v>
      </c>
    </row>
    <row r="4773" spans="2:7" x14ac:dyDescent="0.35">
      <c r="B4773" s="1">
        <v>45856</v>
      </c>
      <c r="C4773" s="2">
        <v>0.79166666666666663</v>
      </c>
      <c r="D4773">
        <v>21</v>
      </c>
      <c r="E4773">
        <f>IF($D4773 &gt; 16, 0, $J$3*(16 - $D4773))</f>
        <v>0</v>
      </c>
      <c r="F4773">
        <f>IF($D4773 &gt; 16, 0,$E4773*$J$5)</f>
        <v>0</v>
      </c>
      <c r="G4773">
        <f t="shared" si="74"/>
        <v>0</v>
      </c>
    </row>
    <row r="4774" spans="2:7" x14ac:dyDescent="0.35">
      <c r="B4774" s="1">
        <v>45856</v>
      </c>
      <c r="C4774" s="2">
        <v>0.83333333333333337</v>
      </c>
      <c r="D4774">
        <v>19.399999999999999</v>
      </c>
      <c r="E4774">
        <f>IF($D4774 &gt; 16, 0, $J$3*(16 - $D4774))</f>
        <v>0</v>
      </c>
      <c r="F4774">
        <f>IF($D4774 &gt; 16, 0,$E4774*$J$5)</f>
        <v>0</v>
      </c>
      <c r="G4774">
        <f t="shared" si="74"/>
        <v>0</v>
      </c>
    </row>
    <row r="4775" spans="2:7" x14ac:dyDescent="0.35">
      <c r="B4775" s="1">
        <v>45856</v>
      </c>
      <c r="C4775" s="2">
        <v>0.875</v>
      </c>
      <c r="D4775">
        <v>19.2</v>
      </c>
      <c r="E4775">
        <f>IF($D4775 &gt; 16, 0, $J$3*(16 - $D4775))</f>
        <v>0</v>
      </c>
      <c r="F4775">
        <f>IF($D4775 &gt; 16, 0,$E4775*$J$5)</f>
        <v>0</v>
      </c>
      <c r="G4775">
        <f t="shared" si="74"/>
        <v>0</v>
      </c>
    </row>
    <row r="4776" spans="2:7" x14ac:dyDescent="0.35">
      <c r="B4776" s="1">
        <v>45856</v>
      </c>
      <c r="C4776" s="2">
        <v>0.91666666666666663</v>
      </c>
      <c r="D4776">
        <v>18.7</v>
      </c>
      <c r="E4776">
        <f>IF($D4776 &gt; 16, 0, $J$3*(16 - $D4776))</f>
        <v>0</v>
      </c>
      <c r="F4776">
        <f>IF($D4776 &gt; 16, 0,$E4776*$J$5)</f>
        <v>0</v>
      </c>
      <c r="G4776">
        <f t="shared" si="74"/>
        <v>0</v>
      </c>
    </row>
    <row r="4777" spans="2:7" x14ac:dyDescent="0.35">
      <c r="B4777" s="1">
        <v>45856</v>
      </c>
      <c r="C4777" s="2">
        <v>0.95833333333333337</v>
      </c>
      <c r="D4777">
        <v>17.100000000000001</v>
      </c>
      <c r="E4777">
        <f>IF($D4777 &gt; 16, 0, $J$3*(16 - $D4777))</f>
        <v>0</v>
      </c>
      <c r="F4777">
        <f>IF($D4777 &gt; 16, 0,$E4777*$J$5)</f>
        <v>0</v>
      </c>
      <c r="G4777">
        <f t="shared" si="74"/>
        <v>0</v>
      </c>
    </row>
    <row r="4778" spans="2:7" x14ac:dyDescent="0.35">
      <c r="B4778" s="1">
        <v>45857</v>
      </c>
      <c r="C4778" s="2">
        <v>0</v>
      </c>
      <c r="D4778">
        <v>16.3</v>
      </c>
      <c r="E4778">
        <f>IF($D4778 &gt; 16, 0, $J$3*(16 - $D4778))</f>
        <v>0</v>
      </c>
      <c r="F4778">
        <f>IF($D4778 &gt; 16, 0,$E4778*$J$5)</f>
        <v>0</v>
      </c>
      <c r="G4778">
        <f t="shared" si="74"/>
        <v>0</v>
      </c>
    </row>
    <row r="4779" spans="2:7" x14ac:dyDescent="0.35">
      <c r="B4779" s="1">
        <v>45857</v>
      </c>
      <c r="C4779" s="2">
        <v>4.1666666666666657E-2</v>
      </c>
      <c r="D4779">
        <v>17.100000000000001</v>
      </c>
      <c r="E4779">
        <f>IF($D4779 &gt; 16, 0, $J$3*(16 - $D4779))</f>
        <v>0</v>
      </c>
      <c r="F4779">
        <f>IF($D4779 &gt; 16, 0,$E4779*$J$5)</f>
        <v>0</v>
      </c>
      <c r="G4779">
        <f t="shared" si="74"/>
        <v>0</v>
      </c>
    </row>
    <row r="4780" spans="2:7" x14ac:dyDescent="0.35">
      <c r="B4780" s="1">
        <v>45857</v>
      </c>
      <c r="C4780" s="2">
        <v>8.3333333333333329E-2</v>
      </c>
      <c r="D4780">
        <v>17.3</v>
      </c>
      <c r="E4780">
        <f>IF($D4780 &gt; 16, 0, $J$3*(16 - $D4780))</f>
        <v>0</v>
      </c>
      <c r="F4780">
        <f>IF($D4780 &gt; 16, 0,$E4780*$J$5)</f>
        <v>0</v>
      </c>
      <c r="G4780">
        <f t="shared" si="74"/>
        <v>0</v>
      </c>
    </row>
    <row r="4781" spans="2:7" x14ac:dyDescent="0.35">
      <c r="B4781" s="1">
        <v>45857</v>
      </c>
      <c r="C4781" s="2">
        <v>0.125</v>
      </c>
      <c r="D4781">
        <v>16.399999999999999</v>
      </c>
      <c r="E4781">
        <f>IF($D4781 &gt; 16, 0, $J$3*(16 - $D4781))</f>
        <v>0</v>
      </c>
      <c r="F4781">
        <f>IF($D4781 &gt; 16, 0,$E4781*$J$5)</f>
        <v>0</v>
      </c>
      <c r="G4781">
        <f t="shared" si="74"/>
        <v>0</v>
      </c>
    </row>
    <row r="4782" spans="2:7" x14ac:dyDescent="0.35">
      <c r="B4782" s="1">
        <v>45857</v>
      </c>
      <c r="C4782" s="2">
        <v>0.16666666666666671</v>
      </c>
      <c r="D4782">
        <v>16.3</v>
      </c>
      <c r="E4782">
        <f>IF($D4782 &gt; 16, 0, $J$3*(16 - $D4782))</f>
        <v>0</v>
      </c>
      <c r="F4782">
        <f>IF($D4782 &gt; 16, 0,$E4782*$J$5)</f>
        <v>0</v>
      </c>
      <c r="G4782">
        <f t="shared" si="74"/>
        <v>0</v>
      </c>
    </row>
    <row r="4783" spans="2:7" x14ac:dyDescent="0.35">
      <c r="B4783" s="1">
        <v>45857</v>
      </c>
      <c r="C4783" s="2">
        <v>0.20833333333333329</v>
      </c>
      <c r="D4783">
        <v>16.7</v>
      </c>
      <c r="E4783">
        <f>IF($D4783 &gt; 16, 0, $J$3*(16 - $D4783))</f>
        <v>0</v>
      </c>
      <c r="F4783">
        <f>IF($D4783 &gt; 16, 0,$E4783*$J$5)</f>
        <v>0</v>
      </c>
      <c r="G4783">
        <f t="shared" si="74"/>
        <v>0</v>
      </c>
    </row>
    <row r="4784" spans="2:7" x14ac:dyDescent="0.35">
      <c r="B4784" s="1">
        <v>45857</v>
      </c>
      <c r="C4784" s="2">
        <v>0.25</v>
      </c>
      <c r="D4784">
        <v>18.3</v>
      </c>
      <c r="E4784">
        <f>IF($D4784 &gt; 16, 0, $J$3*(16 - $D4784))</f>
        <v>0</v>
      </c>
      <c r="F4784">
        <f>IF($D4784 &gt; 16, 0,$E4784*$J$5)</f>
        <v>0</v>
      </c>
      <c r="G4784">
        <f t="shared" si="74"/>
        <v>0</v>
      </c>
    </row>
    <row r="4785" spans="2:7" x14ac:dyDescent="0.35">
      <c r="B4785" s="1">
        <v>45857</v>
      </c>
      <c r="C4785" s="2">
        <v>0.29166666666666669</v>
      </c>
      <c r="D4785">
        <v>20.100000000000001</v>
      </c>
      <c r="E4785">
        <f>IF($D4785 &gt; 16, 0, $J$3*(16 - $D4785))</f>
        <v>0</v>
      </c>
      <c r="F4785">
        <f>IF($D4785 &gt; 16, 0,$E4785*$J$5)</f>
        <v>0</v>
      </c>
      <c r="G4785">
        <f t="shared" si="74"/>
        <v>0</v>
      </c>
    </row>
    <row r="4786" spans="2:7" x14ac:dyDescent="0.35">
      <c r="B4786" s="1">
        <v>45857</v>
      </c>
      <c r="C4786" s="2">
        <v>0.33333333333333331</v>
      </c>
      <c r="D4786">
        <v>22</v>
      </c>
      <c r="E4786">
        <f>IF($D4786 &gt; 16, 0, $J$3*(16 - $D4786))</f>
        <v>0</v>
      </c>
      <c r="F4786">
        <f>IF($D4786 &gt; 16, 0,$E4786*$J$5)</f>
        <v>0</v>
      </c>
      <c r="G4786">
        <f t="shared" si="74"/>
        <v>0</v>
      </c>
    </row>
    <row r="4787" spans="2:7" x14ac:dyDescent="0.35">
      <c r="B4787" s="1">
        <v>45857</v>
      </c>
      <c r="C4787" s="2">
        <v>0.375</v>
      </c>
      <c r="D4787">
        <v>23.7</v>
      </c>
      <c r="E4787">
        <f>IF($D4787 &gt; 16, 0, $J$3*(16 - $D4787))</f>
        <v>0</v>
      </c>
      <c r="F4787">
        <f>IF($D4787 &gt; 16, 0,$E4787*$J$5)</f>
        <v>0</v>
      </c>
      <c r="G4787">
        <f t="shared" si="74"/>
        <v>0</v>
      </c>
    </row>
    <row r="4788" spans="2:7" x14ac:dyDescent="0.35">
      <c r="B4788" s="1">
        <v>45857</v>
      </c>
      <c r="C4788" s="2">
        <v>0.41666666666666669</v>
      </c>
      <c r="D4788">
        <v>24.4</v>
      </c>
      <c r="E4788">
        <f>IF($D4788 &gt; 16, 0, $J$3*(16 - $D4788))</f>
        <v>0</v>
      </c>
      <c r="F4788">
        <f>IF($D4788 &gt; 16, 0,$E4788*$J$5)</f>
        <v>0</v>
      </c>
      <c r="G4788">
        <f t="shared" si="74"/>
        <v>0</v>
      </c>
    </row>
    <row r="4789" spans="2:7" x14ac:dyDescent="0.35">
      <c r="B4789" s="1">
        <v>45857</v>
      </c>
      <c r="C4789" s="2">
        <v>0.45833333333333331</v>
      </c>
      <c r="D4789">
        <v>25.6</v>
      </c>
      <c r="E4789">
        <f>IF($D4789 &gt; 16, 0, $J$3*(16 - $D4789))</f>
        <v>0</v>
      </c>
      <c r="F4789">
        <f>IF($D4789 &gt; 16, 0,$E4789*$J$5)</f>
        <v>0</v>
      </c>
      <c r="G4789">
        <f t="shared" si="74"/>
        <v>0</v>
      </c>
    </row>
    <row r="4790" spans="2:7" x14ac:dyDescent="0.35">
      <c r="B4790" s="1">
        <v>45857</v>
      </c>
      <c r="C4790" s="2">
        <v>0.5</v>
      </c>
      <c r="D4790">
        <v>25.4</v>
      </c>
      <c r="E4790">
        <f>IF($D4790 &gt; 16, 0, $J$3*(16 - $D4790))</f>
        <v>0</v>
      </c>
      <c r="F4790">
        <f>IF($D4790 &gt; 16, 0,$E4790*$J$5)</f>
        <v>0</v>
      </c>
      <c r="G4790">
        <f t="shared" si="74"/>
        <v>0</v>
      </c>
    </row>
    <row r="4791" spans="2:7" x14ac:dyDescent="0.35">
      <c r="B4791" s="1">
        <v>45857</v>
      </c>
      <c r="C4791" s="2">
        <v>0.54166666666666663</v>
      </c>
      <c r="D4791">
        <v>27</v>
      </c>
      <c r="E4791">
        <f>IF($D4791 &gt; 16, 0, $J$3*(16 - $D4791))</f>
        <v>0</v>
      </c>
      <c r="F4791">
        <f>IF($D4791 &gt; 16, 0,$E4791*$J$5)</f>
        <v>0</v>
      </c>
      <c r="G4791">
        <f t="shared" si="74"/>
        <v>0</v>
      </c>
    </row>
    <row r="4792" spans="2:7" x14ac:dyDescent="0.35">
      <c r="B4792" s="1">
        <v>45857</v>
      </c>
      <c r="C4792" s="2">
        <v>0.58333333333333337</v>
      </c>
      <c r="D4792">
        <v>27</v>
      </c>
      <c r="E4792">
        <f>IF($D4792 &gt; 16, 0, $J$3*(16 - $D4792))</f>
        <v>0</v>
      </c>
      <c r="F4792">
        <f>IF($D4792 &gt; 16, 0,$E4792*$J$5)</f>
        <v>0</v>
      </c>
      <c r="G4792">
        <f t="shared" si="74"/>
        <v>0</v>
      </c>
    </row>
    <row r="4793" spans="2:7" x14ac:dyDescent="0.35">
      <c r="B4793" s="1">
        <v>45857</v>
      </c>
      <c r="C4793" s="2">
        <v>0.625</v>
      </c>
      <c r="D4793">
        <v>27.3</v>
      </c>
      <c r="E4793">
        <f>IF($D4793 &gt; 16, 0, $J$3*(16 - $D4793))</f>
        <v>0</v>
      </c>
      <c r="F4793">
        <f>IF($D4793 &gt; 16, 0,$E4793*$J$5)</f>
        <v>0</v>
      </c>
      <c r="G4793">
        <f t="shared" si="74"/>
        <v>0</v>
      </c>
    </row>
    <row r="4794" spans="2:7" x14ac:dyDescent="0.35">
      <c r="B4794" s="1">
        <v>45857</v>
      </c>
      <c r="C4794" s="2">
        <v>0.66666666666666663</v>
      </c>
      <c r="D4794">
        <v>27.3</v>
      </c>
      <c r="E4794">
        <f>IF($D4794 &gt; 16, 0, $J$3*(16 - $D4794))</f>
        <v>0</v>
      </c>
      <c r="F4794">
        <f>IF($D4794 &gt; 16, 0,$E4794*$J$5)</f>
        <v>0</v>
      </c>
      <c r="G4794">
        <f t="shared" si="74"/>
        <v>0</v>
      </c>
    </row>
    <row r="4795" spans="2:7" x14ac:dyDescent="0.35">
      <c r="B4795" s="1">
        <v>45857</v>
      </c>
      <c r="C4795" s="2">
        <v>0.70833333333333337</v>
      </c>
      <c r="D4795">
        <v>26.9</v>
      </c>
      <c r="E4795">
        <f>IF($D4795 &gt; 16, 0, $J$3*(16 - $D4795))</f>
        <v>0</v>
      </c>
      <c r="F4795">
        <f>IF($D4795 &gt; 16, 0,$E4795*$J$5)</f>
        <v>0</v>
      </c>
      <c r="G4795">
        <f t="shared" si="74"/>
        <v>0</v>
      </c>
    </row>
    <row r="4796" spans="2:7" x14ac:dyDescent="0.35">
      <c r="B4796" s="1">
        <v>45857</v>
      </c>
      <c r="C4796" s="2">
        <v>0.75</v>
      </c>
      <c r="D4796">
        <v>26.2</v>
      </c>
      <c r="E4796">
        <f>IF($D4796 &gt; 16, 0, $J$3*(16 - $D4796))</f>
        <v>0</v>
      </c>
      <c r="F4796">
        <f>IF($D4796 &gt; 16, 0,$E4796*$J$5)</f>
        <v>0</v>
      </c>
      <c r="G4796">
        <f t="shared" si="74"/>
        <v>0</v>
      </c>
    </row>
    <row r="4797" spans="2:7" x14ac:dyDescent="0.35">
      <c r="B4797" s="1">
        <v>45857</v>
      </c>
      <c r="C4797" s="2">
        <v>0.79166666666666663</v>
      </c>
      <c r="D4797">
        <v>24.8</v>
      </c>
      <c r="E4797">
        <f>IF($D4797 &gt; 16, 0, $J$3*(16 - $D4797))</f>
        <v>0</v>
      </c>
      <c r="F4797">
        <f>IF($D4797 &gt; 16, 0,$E4797*$J$5)</f>
        <v>0</v>
      </c>
      <c r="G4797">
        <f t="shared" si="74"/>
        <v>0</v>
      </c>
    </row>
    <row r="4798" spans="2:7" x14ac:dyDescent="0.35">
      <c r="B4798" s="1">
        <v>45857</v>
      </c>
      <c r="C4798" s="2">
        <v>0.83333333333333337</v>
      </c>
      <c r="D4798">
        <v>21.7</v>
      </c>
      <c r="E4798">
        <f>IF($D4798 &gt; 16, 0, $J$3*(16 - $D4798))</f>
        <v>0</v>
      </c>
      <c r="F4798">
        <f>IF($D4798 &gt; 16, 0,$E4798*$J$5)</f>
        <v>0</v>
      </c>
      <c r="G4798">
        <f t="shared" si="74"/>
        <v>0</v>
      </c>
    </row>
    <row r="4799" spans="2:7" x14ac:dyDescent="0.35">
      <c r="B4799" s="1">
        <v>45857</v>
      </c>
      <c r="C4799" s="2">
        <v>0.875</v>
      </c>
      <c r="D4799">
        <v>20.5</v>
      </c>
      <c r="E4799">
        <f>IF($D4799 &gt; 16, 0, $J$3*(16 - $D4799))</f>
        <v>0</v>
      </c>
      <c r="F4799">
        <f>IF($D4799 &gt; 16, 0,$E4799*$J$5)</f>
        <v>0</v>
      </c>
      <c r="G4799">
        <f t="shared" si="74"/>
        <v>0</v>
      </c>
    </row>
    <row r="4800" spans="2:7" x14ac:dyDescent="0.35">
      <c r="B4800" s="1">
        <v>45857</v>
      </c>
      <c r="C4800" s="2">
        <v>0.91666666666666663</v>
      </c>
      <c r="D4800">
        <v>19.7</v>
      </c>
      <c r="E4800">
        <f>IF($D4800 &gt; 16, 0, $J$3*(16 - $D4800))</f>
        <v>0</v>
      </c>
      <c r="F4800">
        <f>IF($D4800 &gt; 16, 0,$E4800*$J$5)</f>
        <v>0</v>
      </c>
      <c r="G4800">
        <f t="shared" si="74"/>
        <v>0</v>
      </c>
    </row>
    <row r="4801" spans="2:7" x14ac:dyDescent="0.35">
      <c r="B4801" s="1">
        <v>45857</v>
      </c>
      <c r="C4801" s="2">
        <v>0.95833333333333337</v>
      </c>
      <c r="D4801">
        <v>19</v>
      </c>
      <c r="E4801">
        <f>IF($D4801 &gt; 16, 0, $J$3*(16 - $D4801))</f>
        <v>0</v>
      </c>
      <c r="F4801">
        <f>IF($D4801 &gt; 16, 0,$E4801*$J$5)</f>
        <v>0</v>
      </c>
      <c r="G4801">
        <f t="shared" si="74"/>
        <v>0</v>
      </c>
    </row>
    <row r="4802" spans="2:7" x14ac:dyDescent="0.35">
      <c r="B4802" s="1">
        <v>45858</v>
      </c>
      <c r="C4802" s="2">
        <v>0</v>
      </c>
      <c r="D4802">
        <v>20.3</v>
      </c>
      <c r="E4802">
        <f>IF($D4802 &gt; 16, 0, $J$3*(16 - $D4802))</f>
        <v>0</v>
      </c>
      <c r="F4802">
        <f>IF($D4802 &gt; 16, 0,$E4802*$J$5)</f>
        <v>0</v>
      </c>
      <c r="G4802">
        <f t="shared" si="74"/>
        <v>0</v>
      </c>
    </row>
    <row r="4803" spans="2:7" x14ac:dyDescent="0.35">
      <c r="B4803" s="1">
        <v>45858</v>
      </c>
      <c r="C4803" s="2">
        <v>4.1666666666666657E-2</v>
      </c>
      <c r="D4803">
        <v>20.3</v>
      </c>
      <c r="E4803">
        <f>IF($D4803 &gt; 16, 0, $J$3*(16 - $D4803))</f>
        <v>0</v>
      </c>
      <c r="F4803">
        <f>IF($D4803 &gt; 16, 0,$E4803*$J$5)</f>
        <v>0</v>
      </c>
      <c r="G4803">
        <f t="shared" ref="G4803:G4866" si="75">MAX(0, 16 - $D4803)</f>
        <v>0</v>
      </c>
    </row>
    <row r="4804" spans="2:7" x14ac:dyDescent="0.35">
      <c r="B4804" s="1">
        <v>45858</v>
      </c>
      <c r="C4804" s="2">
        <v>8.3333333333333329E-2</v>
      </c>
      <c r="D4804">
        <v>19.7</v>
      </c>
      <c r="E4804">
        <f>IF($D4804 &gt; 16, 0, $J$3*(16 - $D4804))</f>
        <v>0</v>
      </c>
      <c r="F4804">
        <f>IF($D4804 &gt; 16, 0,$E4804*$J$5)</f>
        <v>0</v>
      </c>
      <c r="G4804">
        <f t="shared" si="75"/>
        <v>0</v>
      </c>
    </row>
    <row r="4805" spans="2:7" x14ac:dyDescent="0.35">
      <c r="B4805" s="1">
        <v>45858</v>
      </c>
      <c r="C4805" s="2">
        <v>0.125</v>
      </c>
      <c r="D4805">
        <v>19.3</v>
      </c>
      <c r="E4805">
        <f>IF($D4805 &gt; 16, 0, $J$3*(16 - $D4805))</f>
        <v>0</v>
      </c>
      <c r="F4805">
        <f>IF($D4805 &gt; 16, 0,$E4805*$J$5)</f>
        <v>0</v>
      </c>
      <c r="G4805">
        <f t="shared" si="75"/>
        <v>0</v>
      </c>
    </row>
    <row r="4806" spans="2:7" x14ac:dyDescent="0.35">
      <c r="B4806" s="1">
        <v>45858</v>
      </c>
      <c r="C4806" s="2">
        <v>0.16666666666666671</v>
      </c>
      <c r="D4806">
        <v>19</v>
      </c>
      <c r="E4806">
        <f>IF($D4806 &gt; 16, 0, $J$3*(16 - $D4806))</f>
        <v>0</v>
      </c>
      <c r="F4806">
        <f>IF($D4806 &gt; 16, 0,$E4806*$J$5)</f>
        <v>0</v>
      </c>
      <c r="G4806">
        <f t="shared" si="75"/>
        <v>0</v>
      </c>
    </row>
    <row r="4807" spans="2:7" x14ac:dyDescent="0.35">
      <c r="B4807" s="1">
        <v>45858</v>
      </c>
      <c r="C4807" s="2">
        <v>0.20833333333333329</v>
      </c>
      <c r="D4807">
        <v>19.7</v>
      </c>
      <c r="E4807">
        <f>IF($D4807 &gt; 16, 0, $J$3*(16 - $D4807))</f>
        <v>0</v>
      </c>
      <c r="F4807">
        <f>IF($D4807 &gt; 16, 0,$E4807*$J$5)</f>
        <v>0</v>
      </c>
      <c r="G4807">
        <f t="shared" si="75"/>
        <v>0</v>
      </c>
    </row>
    <row r="4808" spans="2:7" x14ac:dyDescent="0.35">
      <c r="B4808" s="1">
        <v>45858</v>
      </c>
      <c r="C4808" s="2">
        <v>0.25</v>
      </c>
      <c r="D4808">
        <v>20.8</v>
      </c>
      <c r="E4808">
        <f>IF($D4808 &gt; 16, 0, $J$3*(16 - $D4808))</f>
        <v>0</v>
      </c>
      <c r="F4808">
        <f>IF($D4808 &gt; 16, 0,$E4808*$J$5)</f>
        <v>0</v>
      </c>
      <c r="G4808">
        <f t="shared" si="75"/>
        <v>0</v>
      </c>
    </row>
    <row r="4809" spans="2:7" x14ac:dyDescent="0.35">
      <c r="B4809" s="1">
        <v>45858</v>
      </c>
      <c r="C4809" s="2">
        <v>0.29166666666666669</v>
      </c>
      <c r="D4809">
        <v>22.8</v>
      </c>
      <c r="E4809">
        <f>IF($D4809 &gt; 16, 0, $J$3*(16 - $D4809))</f>
        <v>0</v>
      </c>
      <c r="F4809">
        <f>IF($D4809 &gt; 16, 0,$E4809*$J$5)</f>
        <v>0</v>
      </c>
      <c r="G4809">
        <f t="shared" si="75"/>
        <v>0</v>
      </c>
    </row>
    <row r="4810" spans="2:7" x14ac:dyDescent="0.35">
      <c r="B4810" s="1">
        <v>45858</v>
      </c>
      <c r="C4810" s="2">
        <v>0.33333333333333331</v>
      </c>
      <c r="D4810">
        <v>23.3</v>
      </c>
      <c r="E4810">
        <f>IF($D4810 &gt; 16, 0, $J$3*(16 - $D4810))</f>
        <v>0</v>
      </c>
      <c r="F4810">
        <f>IF($D4810 &gt; 16, 0,$E4810*$J$5)</f>
        <v>0</v>
      </c>
      <c r="G4810">
        <f t="shared" si="75"/>
        <v>0</v>
      </c>
    </row>
    <row r="4811" spans="2:7" x14ac:dyDescent="0.35">
      <c r="B4811" s="1">
        <v>45858</v>
      </c>
      <c r="C4811" s="2">
        <v>0.375</v>
      </c>
      <c r="D4811">
        <v>25.4</v>
      </c>
      <c r="E4811">
        <f>IF($D4811 &gt; 16, 0, $J$3*(16 - $D4811))</f>
        <v>0</v>
      </c>
      <c r="F4811">
        <f>IF($D4811 &gt; 16, 0,$E4811*$J$5)</f>
        <v>0</v>
      </c>
      <c r="G4811">
        <f t="shared" si="75"/>
        <v>0</v>
      </c>
    </row>
    <row r="4812" spans="2:7" x14ac:dyDescent="0.35">
      <c r="B4812" s="1">
        <v>45858</v>
      </c>
      <c r="C4812" s="2">
        <v>0.41666666666666669</v>
      </c>
      <c r="D4812">
        <v>26.4</v>
      </c>
      <c r="E4812">
        <f>IF($D4812 &gt; 16, 0, $J$3*(16 - $D4812))</f>
        <v>0</v>
      </c>
      <c r="F4812">
        <f>IF($D4812 &gt; 16, 0,$E4812*$J$5)</f>
        <v>0</v>
      </c>
      <c r="G4812">
        <f t="shared" si="75"/>
        <v>0</v>
      </c>
    </row>
    <row r="4813" spans="2:7" x14ac:dyDescent="0.35">
      <c r="B4813" s="1">
        <v>45858</v>
      </c>
      <c r="C4813" s="2">
        <v>0.45833333333333331</v>
      </c>
      <c r="D4813">
        <v>27</v>
      </c>
      <c r="E4813">
        <f>IF($D4813 &gt; 16, 0, $J$3*(16 - $D4813))</f>
        <v>0</v>
      </c>
      <c r="F4813">
        <f>IF($D4813 &gt; 16, 0,$E4813*$J$5)</f>
        <v>0</v>
      </c>
      <c r="G4813">
        <f t="shared" si="75"/>
        <v>0</v>
      </c>
    </row>
    <row r="4814" spans="2:7" x14ac:dyDescent="0.35">
      <c r="B4814" s="1">
        <v>45858</v>
      </c>
      <c r="C4814" s="2">
        <v>0.5</v>
      </c>
      <c r="D4814">
        <v>27.1</v>
      </c>
      <c r="E4814">
        <f>IF($D4814 &gt; 16, 0, $J$3*(16 - $D4814))</f>
        <v>0</v>
      </c>
      <c r="F4814">
        <f>IF($D4814 &gt; 16, 0,$E4814*$J$5)</f>
        <v>0</v>
      </c>
      <c r="G4814">
        <f t="shared" si="75"/>
        <v>0</v>
      </c>
    </row>
    <row r="4815" spans="2:7" x14ac:dyDescent="0.35">
      <c r="B4815" s="1">
        <v>45858</v>
      </c>
      <c r="C4815" s="2">
        <v>0.54166666666666663</v>
      </c>
      <c r="D4815">
        <v>27.2</v>
      </c>
      <c r="E4815">
        <f>IF($D4815 &gt; 16, 0, $J$3*(16 - $D4815))</f>
        <v>0</v>
      </c>
      <c r="F4815">
        <f>IF($D4815 &gt; 16, 0,$E4815*$J$5)</f>
        <v>0</v>
      </c>
      <c r="G4815">
        <f t="shared" si="75"/>
        <v>0</v>
      </c>
    </row>
    <row r="4816" spans="2:7" x14ac:dyDescent="0.35">
      <c r="B4816" s="1">
        <v>45858</v>
      </c>
      <c r="C4816" s="2">
        <v>0.58333333333333337</v>
      </c>
      <c r="D4816">
        <v>27.5</v>
      </c>
      <c r="E4816">
        <f>IF($D4816 &gt; 16, 0, $J$3*(16 - $D4816))</f>
        <v>0</v>
      </c>
      <c r="F4816">
        <f>IF($D4816 &gt; 16, 0,$E4816*$J$5)</f>
        <v>0</v>
      </c>
      <c r="G4816">
        <f t="shared" si="75"/>
        <v>0</v>
      </c>
    </row>
    <row r="4817" spans="2:7" x14ac:dyDescent="0.35">
      <c r="B4817" s="1">
        <v>45858</v>
      </c>
      <c r="C4817" s="2">
        <v>0.625</v>
      </c>
      <c r="D4817">
        <v>27.9</v>
      </c>
      <c r="E4817">
        <f>IF($D4817 &gt; 16, 0, $J$3*(16 - $D4817))</f>
        <v>0</v>
      </c>
      <c r="F4817">
        <f>IF($D4817 &gt; 16, 0,$E4817*$J$5)</f>
        <v>0</v>
      </c>
      <c r="G4817">
        <f t="shared" si="75"/>
        <v>0</v>
      </c>
    </row>
    <row r="4818" spans="2:7" x14ac:dyDescent="0.35">
      <c r="B4818" s="1">
        <v>45858</v>
      </c>
      <c r="C4818" s="2">
        <v>0.66666666666666663</v>
      </c>
      <c r="D4818">
        <v>28.6</v>
      </c>
      <c r="E4818">
        <f>IF($D4818 &gt; 16, 0, $J$3*(16 - $D4818))</f>
        <v>0</v>
      </c>
      <c r="F4818">
        <f>IF($D4818 &gt; 16, 0,$E4818*$J$5)</f>
        <v>0</v>
      </c>
      <c r="G4818">
        <f t="shared" si="75"/>
        <v>0</v>
      </c>
    </row>
    <row r="4819" spans="2:7" x14ac:dyDescent="0.35">
      <c r="B4819" s="1">
        <v>45858</v>
      </c>
      <c r="C4819" s="2">
        <v>0.70833333333333337</v>
      </c>
      <c r="D4819">
        <v>28.1</v>
      </c>
      <c r="E4819">
        <f>IF($D4819 &gt; 16, 0, $J$3*(16 - $D4819))</f>
        <v>0</v>
      </c>
      <c r="F4819">
        <f>IF($D4819 &gt; 16, 0,$E4819*$J$5)</f>
        <v>0</v>
      </c>
      <c r="G4819">
        <f t="shared" si="75"/>
        <v>0</v>
      </c>
    </row>
    <row r="4820" spans="2:7" x14ac:dyDescent="0.35">
      <c r="B4820" s="1">
        <v>45858</v>
      </c>
      <c r="C4820" s="2">
        <v>0.75</v>
      </c>
      <c r="D4820">
        <v>27.7</v>
      </c>
      <c r="E4820">
        <f>IF($D4820 &gt; 16, 0, $J$3*(16 - $D4820))</f>
        <v>0</v>
      </c>
      <c r="F4820">
        <f>IF($D4820 &gt; 16, 0,$E4820*$J$5)</f>
        <v>0</v>
      </c>
      <c r="G4820">
        <f t="shared" si="75"/>
        <v>0</v>
      </c>
    </row>
    <row r="4821" spans="2:7" x14ac:dyDescent="0.35">
      <c r="B4821" s="1">
        <v>45858</v>
      </c>
      <c r="C4821" s="2">
        <v>0.79166666666666663</v>
      </c>
      <c r="D4821">
        <v>26.9</v>
      </c>
      <c r="E4821">
        <f>IF($D4821 &gt; 16, 0, $J$3*(16 - $D4821))</f>
        <v>0</v>
      </c>
      <c r="F4821">
        <f>IF($D4821 &gt; 16, 0,$E4821*$J$5)</f>
        <v>0</v>
      </c>
      <c r="G4821">
        <f t="shared" si="75"/>
        <v>0</v>
      </c>
    </row>
    <row r="4822" spans="2:7" x14ac:dyDescent="0.35">
      <c r="B4822" s="1">
        <v>45858</v>
      </c>
      <c r="C4822" s="2">
        <v>0.83333333333333337</v>
      </c>
      <c r="D4822">
        <v>26.2</v>
      </c>
      <c r="E4822">
        <f>IF($D4822 &gt; 16, 0, $J$3*(16 - $D4822))</f>
        <v>0</v>
      </c>
      <c r="F4822">
        <f>IF($D4822 &gt; 16, 0,$E4822*$J$5)</f>
        <v>0</v>
      </c>
      <c r="G4822">
        <f t="shared" si="75"/>
        <v>0</v>
      </c>
    </row>
    <row r="4823" spans="2:7" x14ac:dyDescent="0.35">
      <c r="B4823" s="1">
        <v>45858</v>
      </c>
      <c r="C4823" s="2">
        <v>0.875</v>
      </c>
      <c r="D4823">
        <v>23</v>
      </c>
      <c r="E4823">
        <f>IF($D4823 &gt; 16, 0, $J$3*(16 - $D4823))</f>
        <v>0</v>
      </c>
      <c r="F4823">
        <f>IF($D4823 &gt; 16, 0,$E4823*$J$5)</f>
        <v>0</v>
      </c>
      <c r="G4823">
        <f t="shared" si="75"/>
        <v>0</v>
      </c>
    </row>
    <row r="4824" spans="2:7" x14ac:dyDescent="0.35">
      <c r="B4824" s="1">
        <v>45858</v>
      </c>
      <c r="C4824" s="2">
        <v>0.91666666666666663</v>
      </c>
      <c r="D4824">
        <v>23.2</v>
      </c>
      <c r="E4824">
        <f>IF($D4824 &gt; 16, 0, $J$3*(16 - $D4824))</f>
        <v>0</v>
      </c>
      <c r="F4824">
        <f>IF($D4824 &gt; 16, 0,$E4824*$J$5)</f>
        <v>0</v>
      </c>
      <c r="G4824">
        <f t="shared" si="75"/>
        <v>0</v>
      </c>
    </row>
    <row r="4825" spans="2:7" x14ac:dyDescent="0.35">
      <c r="B4825" s="1">
        <v>45858</v>
      </c>
      <c r="C4825" s="2">
        <v>0.95833333333333337</v>
      </c>
      <c r="D4825">
        <v>19.3</v>
      </c>
      <c r="E4825">
        <f>IF($D4825 &gt; 16, 0, $J$3*(16 - $D4825))</f>
        <v>0</v>
      </c>
      <c r="F4825">
        <f>IF($D4825 &gt; 16, 0,$E4825*$J$5)</f>
        <v>0</v>
      </c>
      <c r="G4825">
        <f t="shared" si="75"/>
        <v>0</v>
      </c>
    </row>
    <row r="4826" spans="2:7" x14ac:dyDescent="0.35">
      <c r="B4826" s="1">
        <v>45859</v>
      </c>
      <c r="C4826" s="2">
        <v>0</v>
      </c>
      <c r="D4826">
        <v>19.5</v>
      </c>
      <c r="E4826">
        <f>IF($D4826 &gt; 16, 0, $J$3*(16 - $D4826))</f>
        <v>0</v>
      </c>
      <c r="F4826">
        <f>IF($D4826 &gt; 16, 0,$E4826*$J$5)</f>
        <v>0</v>
      </c>
      <c r="G4826">
        <f t="shared" si="75"/>
        <v>0</v>
      </c>
    </row>
    <row r="4827" spans="2:7" x14ac:dyDescent="0.35">
      <c r="B4827" s="1">
        <v>45859</v>
      </c>
      <c r="C4827" s="2">
        <v>4.1666666666666657E-2</v>
      </c>
      <c r="D4827">
        <v>18.600000000000001</v>
      </c>
      <c r="E4827">
        <f>IF($D4827 &gt; 16, 0, $J$3*(16 - $D4827))</f>
        <v>0</v>
      </c>
      <c r="F4827">
        <f>IF($D4827 &gt; 16, 0,$E4827*$J$5)</f>
        <v>0</v>
      </c>
      <c r="G4827">
        <f t="shared" si="75"/>
        <v>0</v>
      </c>
    </row>
    <row r="4828" spans="2:7" x14ac:dyDescent="0.35">
      <c r="B4828" s="1">
        <v>45859</v>
      </c>
      <c r="C4828" s="2">
        <v>8.3333333333333329E-2</v>
      </c>
      <c r="D4828">
        <v>19.2</v>
      </c>
      <c r="E4828">
        <f>IF($D4828 &gt; 16, 0, $J$3*(16 - $D4828))</f>
        <v>0</v>
      </c>
      <c r="F4828">
        <f>IF($D4828 &gt; 16, 0,$E4828*$J$5)</f>
        <v>0</v>
      </c>
      <c r="G4828">
        <f t="shared" si="75"/>
        <v>0</v>
      </c>
    </row>
    <row r="4829" spans="2:7" x14ac:dyDescent="0.35">
      <c r="B4829" s="1">
        <v>45859</v>
      </c>
      <c r="C4829" s="2">
        <v>0.125</v>
      </c>
      <c r="D4829">
        <v>19.399999999999999</v>
      </c>
      <c r="E4829">
        <f>IF($D4829 &gt; 16, 0, $J$3*(16 - $D4829))</f>
        <v>0</v>
      </c>
      <c r="F4829">
        <f>IF($D4829 &gt; 16, 0,$E4829*$J$5)</f>
        <v>0</v>
      </c>
      <c r="G4829">
        <f t="shared" si="75"/>
        <v>0</v>
      </c>
    </row>
    <row r="4830" spans="2:7" x14ac:dyDescent="0.35">
      <c r="B4830" s="1">
        <v>45859</v>
      </c>
      <c r="C4830" s="2">
        <v>0.16666666666666671</v>
      </c>
      <c r="D4830">
        <v>18.8</v>
      </c>
      <c r="E4830">
        <f>IF($D4830 &gt; 16, 0, $J$3*(16 - $D4830))</f>
        <v>0</v>
      </c>
      <c r="F4830">
        <f>IF($D4830 &gt; 16, 0,$E4830*$J$5)</f>
        <v>0</v>
      </c>
      <c r="G4830">
        <f t="shared" si="75"/>
        <v>0</v>
      </c>
    </row>
    <row r="4831" spans="2:7" x14ac:dyDescent="0.35">
      <c r="B4831" s="1">
        <v>45859</v>
      </c>
      <c r="C4831" s="2">
        <v>0.20833333333333329</v>
      </c>
      <c r="D4831">
        <v>18.8</v>
      </c>
      <c r="E4831">
        <f>IF($D4831 &gt; 16, 0, $J$3*(16 - $D4831))</f>
        <v>0</v>
      </c>
      <c r="F4831">
        <f>IF($D4831 &gt; 16, 0,$E4831*$J$5)</f>
        <v>0</v>
      </c>
      <c r="G4831">
        <f t="shared" si="75"/>
        <v>0</v>
      </c>
    </row>
    <row r="4832" spans="2:7" x14ac:dyDescent="0.35">
      <c r="B4832" s="1">
        <v>45859</v>
      </c>
      <c r="C4832" s="2">
        <v>0.25</v>
      </c>
      <c r="D4832">
        <v>18.399999999999999</v>
      </c>
      <c r="E4832">
        <f>IF($D4832 &gt; 16, 0, $J$3*(16 - $D4832))</f>
        <v>0</v>
      </c>
      <c r="F4832">
        <f>IF($D4832 &gt; 16, 0,$E4832*$J$5)</f>
        <v>0</v>
      </c>
      <c r="G4832">
        <f t="shared" si="75"/>
        <v>0</v>
      </c>
    </row>
    <row r="4833" spans="2:7" x14ac:dyDescent="0.35">
      <c r="B4833" s="1">
        <v>45859</v>
      </c>
      <c r="C4833" s="2">
        <v>0.29166666666666669</v>
      </c>
      <c r="D4833">
        <v>18.5</v>
      </c>
      <c r="E4833">
        <f>IF($D4833 &gt; 16, 0, $J$3*(16 - $D4833))</f>
        <v>0</v>
      </c>
      <c r="F4833">
        <f>IF($D4833 &gt; 16, 0,$E4833*$J$5)</f>
        <v>0</v>
      </c>
      <c r="G4833">
        <f t="shared" si="75"/>
        <v>0</v>
      </c>
    </row>
    <row r="4834" spans="2:7" x14ac:dyDescent="0.35">
      <c r="B4834" s="1">
        <v>45859</v>
      </c>
      <c r="C4834" s="2">
        <v>0.33333333333333331</v>
      </c>
      <c r="D4834">
        <v>19.100000000000001</v>
      </c>
      <c r="E4834">
        <f>IF($D4834 &gt; 16, 0, $J$3*(16 - $D4834))</f>
        <v>0</v>
      </c>
      <c r="F4834">
        <f>IF($D4834 &gt; 16, 0,$E4834*$J$5)</f>
        <v>0</v>
      </c>
      <c r="G4834">
        <f t="shared" si="75"/>
        <v>0</v>
      </c>
    </row>
    <row r="4835" spans="2:7" x14ac:dyDescent="0.35">
      <c r="B4835" s="1">
        <v>45859</v>
      </c>
      <c r="C4835" s="2">
        <v>0.375</v>
      </c>
      <c r="D4835">
        <v>19.2</v>
      </c>
      <c r="E4835">
        <f>IF($D4835 &gt; 16, 0, $J$3*(16 - $D4835))</f>
        <v>0</v>
      </c>
      <c r="F4835">
        <f>IF($D4835 &gt; 16, 0,$E4835*$J$5)</f>
        <v>0</v>
      </c>
      <c r="G4835">
        <f t="shared" si="75"/>
        <v>0</v>
      </c>
    </row>
    <row r="4836" spans="2:7" x14ac:dyDescent="0.35">
      <c r="B4836" s="1">
        <v>45859</v>
      </c>
      <c r="C4836" s="2">
        <v>0.41666666666666669</v>
      </c>
      <c r="D4836">
        <v>20.399999999999999</v>
      </c>
      <c r="E4836">
        <f>IF($D4836 &gt; 16, 0, $J$3*(16 - $D4836))</f>
        <v>0</v>
      </c>
      <c r="F4836">
        <f>IF($D4836 &gt; 16, 0,$E4836*$J$5)</f>
        <v>0</v>
      </c>
      <c r="G4836">
        <f t="shared" si="75"/>
        <v>0</v>
      </c>
    </row>
    <row r="4837" spans="2:7" x14ac:dyDescent="0.35">
      <c r="B4837" s="1">
        <v>45859</v>
      </c>
      <c r="C4837" s="2">
        <v>0.45833333333333331</v>
      </c>
      <c r="D4837">
        <v>21.1</v>
      </c>
      <c r="E4837">
        <f>IF($D4837 &gt; 16, 0, $J$3*(16 - $D4837))</f>
        <v>0</v>
      </c>
      <c r="F4837">
        <f>IF($D4837 &gt; 16, 0,$E4837*$J$5)</f>
        <v>0</v>
      </c>
      <c r="G4837">
        <f t="shared" si="75"/>
        <v>0</v>
      </c>
    </row>
    <row r="4838" spans="2:7" x14ac:dyDescent="0.35">
      <c r="B4838" s="1">
        <v>45859</v>
      </c>
      <c r="C4838" s="2">
        <v>0.5</v>
      </c>
      <c r="D4838">
        <v>21.2</v>
      </c>
      <c r="E4838">
        <f>IF($D4838 &gt; 16, 0, $J$3*(16 - $D4838))</f>
        <v>0</v>
      </c>
      <c r="F4838">
        <f>IF($D4838 &gt; 16, 0,$E4838*$J$5)</f>
        <v>0</v>
      </c>
      <c r="G4838">
        <f t="shared" si="75"/>
        <v>0</v>
      </c>
    </row>
    <row r="4839" spans="2:7" x14ac:dyDescent="0.35">
      <c r="B4839" s="1">
        <v>45859</v>
      </c>
      <c r="C4839" s="2">
        <v>0.54166666666666663</v>
      </c>
      <c r="D4839">
        <v>21.1</v>
      </c>
      <c r="E4839">
        <f>IF($D4839 &gt; 16, 0, $J$3*(16 - $D4839))</f>
        <v>0</v>
      </c>
      <c r="F4839">
        <f>IF($D4839 &gt; 16, 0,$E4839*$J$5)</f>
        <v>0</v>
      </c>
      <c r="G4839">
        <f t="shared" si="75"/>
        <v>0</v>
      </c>
    </row>
    <row r="4840" spans="2:7" x14ac:dyDescent="0.35">
      <c r="B4840" s="1">
        <v>45859</v>
      </c>
      <c r="C4840" s="2">
        <v>0.58333333333333337</v>
      </c>
      <c r="D4840">
        <v>21</v>
      </c>
      <c r="E4840">
        <f>IF($D4840 &gt; 16, 0, $J$3*(16 - $D4840))</f>
        <v>0</v>
      </c>
      <c r="F4840">
        <f>IF($D4840 &gt; 16, 0,$E4840*$J$5)</f>
        <v>0</v>
      </c>
      <c r="G4840">
        <f t="shared" si="75"/>
        <v>0</v>
      </c>
    </row>
    <row r="4841" spans="2:7" x14ac:dyDescent="0.35">
      <c r="B4841" s="1">
        <v>45859</v>
      </c>
      <c r="C4841" s="2">
        <v>0.625</v>
      </c>
      <c r="D4841">
        <v>20.6</v>
      </c>
      <c r="E4841">
        <f>IF($D4841 &gt; 16, 0, $J$3*(16 - $D4841))</f>
        <v>0</v>
      </c>
      <c r="F4841">
        <f>IF($D4841 &gt; 16, 0,$E4841*$J$5)</f>
        <v>0</v>
      </c>
      <c r="G4841">
        <f t="shared" si="75"/>
        <v>0</v>
      </c>
    </row>
    <row r="4842" spans="2:7" x14ac:dyDescent="0.35">
      <c r="B4842" s="1">
        <v>45859</v>
      </c>
      <c r="C4842" s="2">
        <v>0.66666666666666663</v>
      </c>
      <c r="D4842">
        <v>20.399999999999999</v>
      </c>
      <c r="E4842">
        <f>IF($D4842 &gt; 16, 0, $J$3*(16 - $D4842))</f>
        <v>0</v>
      </c>
      <c r="F4842">
        <f>IF($D4842 &gt; 16, 0,$E4842*$J$5)</f>
        <v>0</v>
      </c>
      <c r="G4842">
        <f t="shared" si="75"/>
        <v>0</v>
      </c>
    </row>
    <row r="4843" spans="2:7" x14ac:dyDescent="0.35">
      <c r="B4843" s="1">
        <v>45859</v>
      </c>
      <c r="C4843" s="2">
        <v>0.70833333333333337</v>
      </c>
      <c r="D4843">
        <v>20.2</v>
      </c>
      <c r="E4843">
        <f>IF($D4843 &gt; 16, 0, $J$3*(16 - $D4843))</f>
        <v>0</v>
      </c>
      <c r="F4843">
        <f>IF($D4843 &gt; 16, 0,$E4843*$J$5)</f>
        <v>0</v>
      </c>
      <c r="G4843">
        <f t="shared" si="75"/>
        <v>0</v>
      </c>
    </row>
    <row r="4844" spans="2:7" x14ac:dyDescent="0.35">
      <c r="B4844" s="1">
        <v>45859</v>
      </c>
      <c r="C4844" s="2">
        <v>0.75</v>
      </c>
      <c r="D4844">
        <v>19.600000000000001</v>
      </c>
      <c r="E4844">
        <f>IF($D4844 &gt; 16, 0, $J$3*(16 - $D4844))</f>
        <v>0</v>
      </c>
      <c r="F4844">
        <f>IF($D4844 &gt; 16, 0,$E4844*$J$5)</f>
        <v>0</v>
      </c>
      <c r="G4844">
        <f t="shared" si="75"/>
        <v>0</v>
      </c>
    </row>
    <row r="4845" spans="2:7" x14ac:dyDescent="0.35">
      <c r="B4845" s="1">
        <v>45859</v>
      </c>
      <c r="C4845" s="2">
        <v>0.79166666666666663</v>
      </c>
      <c r="D4845">
        <v>19</v>
      </c>
      <c r="E4845">
        <f>IF($D4845 &gt; 16, 0, $J$3*(16 - $D4845))</f>
        <v>0</v>
      </c>
      <c r="F4845">
        <f>IF($D4845 &gt; 16, 0,$E4845*$J$5)</f>
        <v>0</v>
      </c>
      <c r="G4845">
        <f t="shared" si="75"/>
        <v>0</v>
      </c>
    </row>
    <row r="4846" spans="2:7" x14ac:dyDescent="0.35">
      <c r="B4846" s="1">
        <v>45859</v>
      </c>
      <c r="C4846" s="2">
        <v>0.83333333333333337</v>
      </c>
      <c r="D4846">
        <v>18</v>
      </c>
      <c r="E4846">
        <f>IF($D4846 &gt; 16, 0, $J$3*(16 - $D4846))</f>
        <v>0</v>
      </c>
      <c r="F4846">
        <f>IF($D4846 &gt; 16, 0,$E4846*$J$5)</f>
        <v>0</v>
      </c>
      <c r="G4846">
        <f t="shared" si="75"/>
        <v>0</v>
      </c>
    </row>
    <row r="4847" spans="2:7" x14ac:dyDescent="0.35">
      <c r="B4847" s="1">
        <v>45859</v>
      </c>
      <c r="C4847" s="2">
        <v>0.875</v>
      </c>
      <c r="D4847">
        <v>16.600000000000001</v>
      </c>
      <c r="E4847">
        <f>IF($D4847 &gt; 16, 0, $J$3*(16 - $D4847))</f>
        <v>0</v>
      </c>
      <c r="F4847">
        <f>IF($D4847 &gt; 16, 0,$E4847*$J$5)</f>
        <v>0</v>
      </c>
      <c r="G4847">
        <f t="shared" si="75"/>
        <v>0</v>
      </c>
    </row>
    <row r="4848" spans="2:7" x14ac:dyDescent="0.35">
      <c r="B4848" s="1">
        <v>45859</v>
      </c>
      <c r="C4848" s="2">
        <v>0.91666666666666663</v>
      </c>
      <c r="D4848">
        <v>16.3</v>
      </c>
      <c r="E4848">
        <f>IF($D4848 &gt; 16, 0, $J$3*(16 - $D4848))</f>
        <v>0</v>
      </c>
      <c r="F4848">
        <f>IF($D4848 &gt; 16, 0,$E4848*$J$5)</f>
        <v>0</v>
      </c>
      <c r="G4848">
        <f t="shared" si="75"/>
        <v>0</v>
      </c>
    </row>
    <row r="4849" spans="2:7" x14ac:dyDescent="0.35">
      <c r="B4849" s="1">
        <v>45859</v>
      </c>
      <c r="C4849" s="2">
        <v>0.95833333333333337</v>
      </c>
      <c r="D4849">
        <v>16</v>
      </c>
      <c r="E4849">
        <f>IF($D4849 &gt; 16, 0, $J$3*(16 - $D4849))</f>
        <v>0</v>
      </c>
      <c r="F4849">
        <f>IF($D4849 &gt; 16, 0,$E4849*$J$5)</f>
        <v>0</v>
      </c>
      <c r="G4849">
        <f t="shared" si="75"/>
        <v>0</v>
      </c>
    </row>
    <row r="4850" spans="2:7" x14ac:dyDescent="0.35">
      <c r="B4850" s="1">
        <v>45860</v>
      </c>
      <c r="C4850" s="2">
        <v>0</v>
      </c>
      <c r="D4850">
        <v>16.600000000000001</v>
      </c>
      <c r="E4850">
        <f>IF($D4850 &gt; 16, 0, $J$3*(16 - $D4850))</f>
        <v>0</v>
      </c>
      <c r="F4850">
        <f>IF($D4850 &gt; 16, 0,$E4850*$J$5)</f>
        <v>0</v>
      </c>
      <c r="G4850">
        <f t="shared" si="75"/>
        <v>0</v>
      </c>
    </row>
    <row r="4851" spans="2:7" x14ac:dyDescent="0.35">
      <c r="B4851" s="1">
        <v>45860</v>
      </c>
      <c r="C4851" s="2">
        <v>4.1666666666666657E-2</v>
      </c>
      <c r="D4851">
        <v>16.5</v>
      </c>
      <c r="E4851">
        <f>IF($D4851 &gt; 16, 0, $J$3*(16 - $D4851))</f>
        <v>0</v>
      </c>
      <c r="F4851">
        <f>IF($D4851 &gt; 16, 0,$E4851*$J$5)</f>
        <v>0</v>
      </c>
      <c r="G4851">
        <f t="shared" si="75"/>
        <v>0</v>
      </c>
    </row>
    <row r="4852" spans="2:7" x14ac:dyDescent="0.35">
      <c r="B4852" s="1">
        <v>45860</v>
      </c>
      <c r="C4852" s="2">
        <v>8.3333333333333329E-2</v>
      </c>
      <c r="D4852">
        <v>16.2</v>
      </c>
      <c r="E4852">
        <f>IF($D4852 &gt; 16, 0, $J$3*(16 - $D4852))</f>
        <v>0</v>
      </c>
      <c r="F4852">
        <f>IF($D4852 &gt; 16, 0,$E4852*$J$5)</f>
        <v>0</v>
      </c>
      <c r="G4852">
        <f t="shared" si="75"/>
        <v>0</v>
      </c>
    </row>
    <row r="4853" spans="2:7" x14ac:dyDescent="0.35">
      <c r="B4853" s="1">
        <v>45860</v>
      </c>
      <c r="C4853" s="2">
        <v>0.125</v>
      </c>
      <c r="D4853">
        <v>16.2</v>
      </c>
      <c r="E4853">
        <f>IF($D4853 &gt; 16, 0, $J$3*(16 - $D4853))</f>
        <v>0</v>
      </c>
      <c r="F4853">
        <f>IF($D4853 &gt; 16, 0,$E4853*$J$5)</f>
        <v>0</v>
      </c>
      <c r="G4853">
        <f t="shared" si="75"/>
        <v>0</v>
      </c>
    </row>
    <row r="4854" spans="2:7" x14ac:dyDescent="0.35">
      <c r="B4854" s="1">
        <v>45860</v>
      </c>
      <c r="C4854" s="2">
        <v>0.16666666666666671</v>
      </c>
      <c r="D4854">
        <v>16.2</v>
      </c>
      <c r="E4854">
        <f>IF($D4854 &gt; 16, 0, $J$3*(16 - $D4854))</f>
        <v>0</v>
      </c>
      <c r="F4854">
        <f>IF($D4854 &gt; 16, 0,$E4854*$J$5)</f>
        <v>0</v>
      </c>
      <c r="G4854">
        <f t="shared" si="75"/>
        <v>0</v>
      </c>
    </row>
    <row r="4855" spans="2:7" x14ac:dyDescent="0.35">
      <c r="B4855" s="1">
        <v>45860</v>
      </c>
      <c r="C4855" s="2">
        <v>0.20833333333333329</v>
      </c>
      <c r="D4855">
        <v>16.5</v>
      </c>
      <c r="E4855">
        <f>IF($D4855 &gt; 16, 0, $J$3*(16 - $D4855))</f>
        <v>0</v>
      </c>
      <c r="F4855">
        <f>IF($D4855 &gt; 16, 0,$E4855*$J$5)</f>
        <v>0</v>
      </c>
      <c r="G4855">
        <f t="shared" si="75"/>
        <v>0</v>
      </c>
    </row>
    <row r="4856" spans="2:7" x14ac:dyDescent="0.35">
      <c r="B4856" s="1">
        <v>45860</v>
      </c>
      <c r="C4856" s="2">
        <v>0.25</v>
      </c>
      <c r="D4856">
        <v>16.8</v>
      </c>
      <c r="E4856">
        <f>IF($D4856 &gt; 16, 0, $J$3*(16 - $D4856))</f>
        <v>0</v>
      </c>
      <c r="F4856">
        <f>IF($D4856 &gt; 16, 0,$E4856*$J$5)</f>
        <v>0</v>
      </c>
      <c r="G4856">
        <f t="shared" si="75"/>
        <v>0</v>
      </c>
    </row>
    <row r="4857" spans="2:7" x14ac:dyDescent="0.35">
      <c r="B4857" s="1">
        <v>45860</v>
      </c>
      <c r="C4857" s="2">
        <v>0.29166666666666669</v>
      </c>
      <c r="D4857">
        <v>17.5</v>
      </c>
      <c r="E4857">
        <f>IF($D4857 &gt; 16, 0, $J$3*(16 - $D4857))</f>
        <v>0</v>
      </c>
      <c r="F4857">
        <f>IF($D4857 &gt; 16, 0,$E4857*$J$5)</f>
        <v>0</v>
      </c>
      <c r="G4857">
        <f t="shared" si="75"/>
        <v>0</v>
      </c>
    </row>
    <row r="4858" spans="2:7" x14ac:dyDescent="0.35">
      <c r="B4858" s="1">
        <v>45860</v>
      </c>
      <c r="C4858" s="2">
        <v>0.33333333333333331</v>
      </c>
      <c r="D4858">
        <v>18.3</v>
      </c>
      <c r="E4858">
        <f>IF($D4858 &gt; 16, 0, $J$3*(16 - $D4858))</f>
        <v>0</v>
      </c>
      <c r="F4858">
        <f>IF($D4858 &gt; 16, 0,$E4858*$J$5)</f>
        <v>0</v>
      </c>
      <c r="G4858">
        <f t="shared" si="75"/>
        <v>0</v>
      </c>
    </row>
    <row r="4859" spans="2:7" x14ac:dyDescent="0.35">
      <c r="B4859" s="1">
        <v>45860</v>
      </c>
      <c r="C4859" s="2">
        <v>0.375</v>
      </c>
      <c r="D4859">
        <v>17.8</v>
      </c>
      <c r="E4859">
        <f>IF($D4859 &gt; 16, 0, $J$3*(16 - $D4859))</f>
        <v>0</v>
      </c>
      <c r="F4859">
        <f>IF($D4859 &gt; 16, 0,$E4859*$J$5)</f>
        <v>0</v>
      </c>
      <c r="G4859">
        <f t="shared" si="75"/>
        <v>0</v>
      </c>
    </row>
    <row r="4860" spans="2:7" x14ac:dyDescent="0.35">
      <c r="B4860" s="1">
        <v>45860</v>
      </c>
      <c r="C4860" s="2">
        <v>0.41666666666666669</v>
      </c>
      <c r="D4860">
        <v>18.2</v>
      </c>
      <c r="E4860">
        <f>IF($D4860 &gt; 16, 0, $J$3*(16 - $D4860))</f>
        <v>0</v>
      </c>
      <c r="F4860">
        <f>IF($D4860 &gt; 16, 0,$E4860*$J$5)</f>
        <v>0</v>
      </c>
      <c r="G4860">
        <f t="shared" si="75"/>
        <v>0</v>
      </c>
    </row>
    <row r="4861" spans="2:7" x14ac:dyDescent="0.35">
      <c r="B4861" s="1">
        <v>45860</v>
      </c>
      <c r="C4861" s="2">
        <v>0.45833333333333331</v>
      </c>
      <c r="D4861">
        <v>18.899999999999999</v>
      </c>
      <c r="E4861">
        <f>IF($D4861 &gt; 16, 0, $J$3*(16 - $D4861))</f>
        <v>0</v>
      </c>
      <c r="F4861">
        <f>IF($D4861 &gt; 16, 0,$E4861*$J$5)</f>
        <v>0</v>
      </c>
      <c r="G4861">
        <f t="shared" si="75"/>
        <v>0</v>
      </c>
    </row>
    <row r="4862" spans="2:7" x14ac:dyDescent="0.35">
      <c r="B4862" s="1">
        <v>45860</v>
      </c>
      <c r="C4862" s="2">
        <v>0.5</v>
      </c>
      <c r="D4862">
        <v>19.5</v>
      </c>
      <c r="E4862">
        <f>IF($D4862 &gt; 16, 0, $J$3*(16 - $D4862))</f>
        <v>0</v>
      </c>
      <c r="F4862">
        <f>IF($D4862 &gt; 16, 0,$E4862*$J$5)</f>
        <v>0</v>
      </c>
      <c r="G4862">
        <f t="shared" si="75"/>
        <v>0</v>
      </c>
    </row>
    <row r="4863" spans="2:7" x14ac:dyDescent="0.35">
      <c r="B4863" s="1">
        <v>45860</v>
      </c>
      <c r="C4863" s="2">
        <v>0.54166666666666663</v>
      </c>
      <c r="D4863">
        <v>19.8</v>
      </c>
      <c r="E4863">
        <f>IF($D4863 &gt; 16, 0, $J$3*(16 - $D4863))</f>
        <v>0</v>
      </c>
      <c r="F4863">
        <f>IF($D4863 &gt; 16, 0,$E4863*$J$5)</f>
        <v>0</v>
      </c>
      <c r="G4863">
        <f t="shared" si="75"/>
        <v>0</v>
      </c>
    </row>
    <row r="4864" spans="2:7" x14ac:dyDescent="0.35">
      <c r="B4864" s="1">
        <v>45860</v>
      </c>
      <c r="C4864" s="2">
        <v>0.58333333333333337</v>
      </c>
      <c r="D4864">
        <v>19.899999999999999</v>
      </c>
      <c r="E4864">
        <f>IF($D4864 &gt; 16, 0, $J$3*(16 - $D4864))</f>
        <v>0</v>
      </c>
      <c r="F4864">
        <f>IF($D4864 &gt; 16, 0,$E4864*$J$5)</f>
        <v>0</v>
      </c>
      <c r="G4864">
        <f t="shared" si="75"/>
        <v>0</v>
      </c>
    </row>
    <row r="4865" spans="2:7" x14ac:dyDescent="0.35">
      <c r="B4865" s="1">
        <v>45860</v>
      </c>
      <c r="C4865" s="2">
        <v>0.625</v>
      </c>
      <c r="D4865">
        <v>19.8</v>
      </c>
      <c r="E4865">
        <f>IF($D4865 &gt; 16, 0, $J$3*(16 - $D4865))</f>
        <v>0</v>
      </c>
      <c r="F4865">
        <f>IF($D4865 &gt; 16, 0,$E4865*$J$5)</f>
        <v>0</v>
      </c>
      <c r="G4865">
        <f t="shared" si="75"/>
        <v>0</v>
      </c>
    </row>
    <row r="4866" spans="2:7" x14ac:dyDescent="0.35">
      <c r="B4866" s="1">
        <v>45860</v>
      </c>
      <c r="C4866" s="2">
        <v>0.66666666666666663</v>
      </c>
      <c r="D4866">
        <v>19.399999999999999</v>
      </c>
      <c r="E4866">
        <f>IF($D4866 &gt; 16, 0, $J$3*(16 - $D4866))</f>
        <v>0</v>
      </c>
      <c r="F4866">
        <f>IF($D4866 &gt; 16, 0,$E4866*$J$5)</f>
        <v>0</v>
      </c>
      <c r="G4866">
        <f t="shared" si="75"/>
        <v>0</v>
      </c>
    </row>
    <row r="4867" spans="2:7" x14ac:dyDescent="0.35">
      <c r="B4867" s="1">
        <v>45860</v>
      </c>
      <c r="C4867" s="2">
        <v>0.70833333333333337</v>
      </c>
      <c r="D4867">
        <v>16.899999999999999</v>
      </c>
      <c r="E4867">
        <f>IF($D4867 &gt; 16, 0, $J$3*(16 - $D4867))</f>
        <v>0</v>
      </c>
      <c r="F4867">
        <f>IF($D4867 &gt; 16, 0,$E4867*$J$5)</f>
        <v>0</v>
      </c>
      <c r="G4867">
        <f t="shared" ref="G4867:G4930" si="76">MAX(0, 16 - $D4867)</f>
        <v>0</v>
      </c>
    </row>
    <row r="4868" spans="2:7" x14ac:dyDescent="0.35">
      <c r="B4868" s="1">
        <v>45860</v>
      </c>
      <c r="C4868" s="2">
        <v>0.75</v>
      </c>
      <c r="D4868">
        <v>16.3</v>
      </c>
      <c r="E4868">
        <f>IF($D4868 &gt; 16, 0, $J$3*(16 - $D4868))</f>
        <v>0</v>
      </c>
      <c r="F4868">
        <f>IF($D4868 &gt; 16, 0,$E4868*$J$5)</f>
        <v>0</v>
      </c>
      <c r="G4868">
        <f t="shared" si="76"/>
        <v>0</v>
      </c>
    </row>
    <row r="4869" spans="2:7" x14ac:dyDescent="0.35">
      <c r="B4869" s="1">
        <v>45860</v>
      </c>
      <c r="C4869" s="2">
        <v>0.79166666666666663</v>
      </c>
      <c r="D4869">
        <v>16.3</v>
      </c>
      <c r="E4869">
        <f>IF($D4869 &gt; 16, 0, $J$3*(16 - $D4869))</f>
        <v>0</v>
      </c>
      <c r="F4869">
        <f>IF($D4869 &gt; 16, 0,$E4869*$J$5)</f>
        <v>0</v>
      </c>
      <c r="G4869">
        <f t="shared" si="76"/>
        <v>0</v>
      </c>
    </row>
    <row r="4870" spans="2:7" x14ac:dyDescent="0.35">
      <c r="B4870" s="1">
        <v>45860</v>
      </c>
      <c r="C4870" s="2">
        <v>0.83333333333333337</v>
      </c>
      <c r="D4870">
        <v>16.399999999999999</v>
      </c>
      <c r="E4870">
        <f>IF($D4870 &gt; 16, 0, $J$3*(16 - $D4870))</f>
        <v>0</v>
      </c>
      <c r="F4870">
        <f>IF($D4870 &gt; 16, 0,$E4870*$J$5)</f>
        <v>0</v>
      </c>
      <c r="G4870">
        <f t="shared" si="76"/>
        <v>0</v>
      </c>
    </row>
    <row r="4871" spans="2:7" x14ac:dyDescent="0.35">
      <c r="B4871" s="1">
        <v>45860</v>
      </c>
      <c r="C4871" s="2">
        <v>0.875</v>
      </c>
      <c r="D4871">
        <v>16.5</v>
      </c>
      <c r="E4871">
        <f>IF($D4871 &gt; 16, 0, $J$3*(16 - $D4871))</f>
        <v>0</v>
      </c>
      <c r="F4871">
        <f>IF($D4871 &gt; 16, 0,$E4871*$J$5)</f>
        <v>0</v>
      </c>
      <c r="G4871">
        <f t="shared" si="76"/>
        <v>0</v>
      </c>
    </row>
    <row r="4872" spans="2:7" x14ac:dyDescent="0.35">
      <c r="B4872" s="1">
        <v>45860</v>
      </c>
      <c r="C4872" s="2">
        <v>0.91666666666666663</v>
      </c>
      <c r="D4872">
        <v>16.8</v>
      </c>
      <c r="E4872">
        <f>IF($D4872 &gt; 16, 0, $J$3*(16 - $D4872))</f>
        <v>0</v>
      </c>
      <c r="F4872">
        <f>IF($D4872 &gt; 16, 0,$E4872*$J$5)</f>
        <v>0</v>
      </c>
      <c r="G4872">
        <f t="shared" si="76"/>
        <v>0</v>
      </c>
    </row>
    <row r="4873" spans="2:7" x14ac:dyDescent="0.35">
      <c r="B4873" s="1">
        <v>45860</v>
      </c>
      <c r="C4873" s="2">
        <v>0.95833333333333337</v>
      </c>
      <c r="D4873">
        <v>17.2</v>
      </c>
      <c r="E4873">
        <f>IF($D4873 &gt; 16, 0, $J$3*(16 - $D4873))</f>
        <v>0</v>
      </c>
      <c r="F4873">
        <f>IF($D4873 &gt; 16, 0,$E4873*$J$5)</f>
        <v>0</v>
      </c>
      <c r="G4873">
        <f t="shared" si="76"/>
        <v>0</v>
      </c>
    </row>
    <row r="4874" spans="2:7" x14ac:dyDescent="0.35">
      <c r="B4874" s="1">
        <v>45861</v>
      </c>
      <c r="C4874" s="2">
        <v>0</v>
      </c>
      <c r="D4874">
        <v>17.2</v>
      </c>
      <c r="E4874">
        <f>IF($D4874 &gt; 16, 0, $J$3*(16 - $D4874))</f>
        <v>0</v>
      </c>
      <c r="F4874">
        <f>IF($D4874 &gt; 16, 0,$E4874*$J$5)</f>
        <v>0</v>
      </c>
      <c r="G4874">
        <f t="shared" si="76"/>
        <v>0</v>
      </c>
    </row>
    <row r="4875" spans="2:7" x14ac:dyDescent="0.35">
      <c r="B4875" s="1">
        <v>45861</v>
      </c>
      <c r="C4875" s="2">
        <v>4.1666666666666657E-2</v>
      </c>
      <c r="D4875">
        <v>17.2</v>
      </c>
      <c r="E4875">
        <f>IF($D4875 &gt; 16, 0, $J$3*(16 - $D4875))</f>
        <v>0</v>
      </c>
      <c r="F4875">
        <f>IF($D4875 &gt; 16, 0,$E4875*$J$5)</f>
        <v>0</v>
      </c>
      <c r="G4875">
        <f t="shared" si="76"/>
        <v>0</v>
      </c>
    </row>
    <row r="4876" spans="2:7" x14ac:dyDescent="0.35">
      <c r="B4876" s="1">
        <v>45861</v>
      </c>
      <c r="C4876" s="2">
        <v>8.3333333333333329E-2</v>
      </c>
      <c r="D4876">
        <v>16.600000000000001</v>
      </c>
      <c r="E4876">
        <f>IF($D4876 &gt; 16, 0, $J$3*(16 - $D4876))</f>
        <v>0</v>
      </c>
      <c r="F4876">
        <f>IF($D4876 &gt; 16, 0,$E4876*$J$5)</f>
        <v>0</v>
      </c>
      <c r="G4876">
        <f t="shared" si="76"/>
        <v>0</v>
      </c>
    </row>
    <row r="4877" spans="2:7" x14ac:dyDescent="0.35">
      <c r="B4877" s="1">
        <v>45861</v>
      </c>
      <c r="C4877" s="2">
        <v>0.125</v>
      </c>
      <c r="D4877">
        <v>16.8</v>
      </c>
      <c r="E4877">
        <f>IF($D4877 &gt; 16, 0, $J$3*(16 - $D4877))</f>
        <v>0</v>
      </c>
      <c r="F4877">
        <f>IF($D4877 &gt; 16, 0,$E4877*$J$5)</f>
        <v>0</v>
      </c>
      <c r="G4877">
        <f t="shared" si="76"/>
        <v>0</v>
      </c>
    </row>
    <row r="4878" spans="2:7" x14ac:dyDescent="0.35">
      <c r="B4878" s="1">
        <v>45861</v>
      </c>
      <c r="C4878" s="2">
        <v>0.16666666666666671</v>
      </c>
      <c r="D4878">
        <v>16.7</v>
      </c>
      <c r="E4878">
        <f>IF($D4878 &gt; 16, 0, $J$3*(16 - $D4878))</f>
        <v>0</v>
      </c>
      <c r="F4878">
        <f>IF($D4878 &gt; 16, 0,$E4878*$J$5)</f>
        <v>0</v>
      </c>
      <c r="G4878">
        <f t="shared" si="76"/>
        <v>0</v>
      </c>
    </row>
    <row r="4879" spans="2:7" x14ac:dyDescent="0.35">
      <c r="B4879" s="1">
        <v>45861</v>
      </c>
      <c r="C4879" s="2">
        <v>0.20833333333333329</v>
      </c>
      <c r="D4879">
        <v>17.100000000000001</v>
      </c>
      <c r="E4879">
        <f>IF($D4879 &gt; 16, 0, $J$3*(16 - $D4879))</f>
        <v>0</v>
      </c>
      <c r="F4879">
        <f>IF($D4879 &gt; 16, 0,$E4879*$J$5)</f>
        <v>0</v>
      </c>
      <c r="G4879">
        <f t="shared" si="76"/>
        <v>0</v>
      </c>
    </row>
    <row r="4880" spans="2:7" x14ac:dyDescent="0.35">
      <c r="B4880" s="1">
        <v>45861</v>
      </c>
      <c r="C4880" s="2">
        <v>0.25</v>
      </c>
      <c r="D4880">
        <v>16.600000000000001</v>
      </c>
      <c r="E4880">
        <f>IF($D4880 &gt; 16, 0, $J$3*(16 - $D4880))</f>
        <v>0</v>
      </c>
      <c r="F4880">
        <f>IF($D4880 &gt; 16, 0,$E4880*$J$5)</f>
        <v>0</v>
      </c>
      <c r="G4880">
        <f t="shared" si="76"/>
        <v>0</v>
      </c>
    </row>
    <row r="4881" spans="2:7" x14ac:dyDescent="0.35">
      <c r="B4881" s="1">
        <v>45861</v>
      </c>
      <c r="C4881" s="2">
        <v>0.29166666666666669</v>
      </c>
      <c r="D4881">
        <v>16.899999999999999</v>
      </c>
      <c r="E4881">
        <f>IF($D4881 &gt; 16, 0, $J$3*(16 - $D4881))</f>
        <v>0</v>
      </c>
      <c r="F4881">
        <f>IF($D4881 &gt; 16, 0,$E4881*$J$5)</f>
        <v>0</v>
      </c>
      <c r="G4881">
        <f t="shared" si="76"/>
        <v>0</v>
      </c>
    </row>
    <row r="4882" spans="2:7" x14ac:dyDescent="0.35">
      <c r="B4882" s="1">
        <v>45861</v>
      </c>
      <c r="C4882" s="2">
        <v>0.33333333333333331</v>
      </c>
      <c r="D4882">
        <v>17</v>
      </c>
      <c r="E4882">
        <f>IF($D4882 &gt; 16, 0, $J$3*(16 - $D4882))</f>
        <v>0</v>
      </c>
      <c r="F4882">
        <f>IF($D4882 &gt; 16, 0,$E4882*$J$5)</f>
        <v>0</v>
      </c>
      <c r="G4882">
        <f t="shared" si="76"/>
        <v>0</v>
      </c>
    </row>
    <row r="4883" spans="2:7" x14ac:dyDescent="0.35">
      <c r="B4883" s="1">
        <v>45861</v>
      </c>
      <c r="C4883" s="2">
        <v>0.375</v>
      </c>
      <c r="D4883">
        <v>17.2</v>
      </c>
      <c r="E4883">
        <f>IF($D4883 &gt; 16, 0, $J$3*(16 - $D4883))</f>
        <v>0</v>
      </c>
      <c r="F4883">
        <f>IF($D4883 &gt; 16, 0,$E4883*$J$5)</f>
        <v>0</v>
      </c>
      <c r="G4883">
        <f t="shared" si="76"/>
        <v>0</v>
      </c>
    </row>
    <row r="4884" spans="2:7" x14ac:dyDescent="0.35">
      <c r="B4884" s="1">
        <v>45861</v>
      </c>
      <c r="C4884" s="2">
        <v>0.41666666666666669</v>
      </c>
      <c r="D4884">
        <v>17.5</v>
      </c>
      <c r="E4884">
        <f>IF($D4884 &gt; 16, 0, $J$3*(16 - $D4884))</f>
        <v>0</v>
      </c>
      <c r="F4884">
        <f>IF($D4884 &gt; 16, 0,$E4884*$J$5)</f>
        <v>0</v>
      </c>
      <c r="G4884">
        <f t="shared" si="76"/>
        <v>0</v>
      </c>
    </row>
    <row r="4885" spans="2:7" x14ac:dyDescent="0.35">
      <c r="B4885" s="1">
        <v>45861</v>
      </c>
      <c r="C4885" s="2">
        <v>0.45833333333333331</v>
      </c>
      <c r="D4885">
        <v>17.5</v>
      </c>
      <c r="E4885">
        <f>IF($D4885 &gt; 16, 0, $J$3*(16 - $D4885))</f>
        <v>0</v>
      </c>
      <c r="F4885">
        <f>IF($D4885 &gt; 16, 0,$E4885*$J$5)</f>
        <v>0</v>
      </c>
      <c r="G4885">
        <f t="shared" si="76"/>
        <v>0</v>
      </c>
    </row>
    <row r="4886" spans="2:7" x14ac:dyDescent="0.35">
      <c r="B4886" s="1">
        <v>45861</v>
      </c>
      <c r="C4886" s="2">
        <v>0.5</v>
      </c>
      <c r="D4886">
        <v>17.7</v>
      </c>
      <c r="E4886">
        <f>IF($D4886 &gt; 16, 0, $J$3*(16 - $D4886))</f>
        <v>0</v>
      </c>
      <c r="F4886">
        <f>IF($D4886 &gt; 16, 0,$E4886*$J$5)</f>
        <v>0</v>
      </c>
      <c r="G4886">
        <f t="shared" si="76"/>
        <v>0</v>
      </c>
    </row>
    <row r="4887" spans="2:7" x14ac:dyDescent="0.35">
      <c r="B4887" s="1">
        <v>45861</v>
      </c>
      <c r="C4887" s="2">
        <v>0.54166666666666663</v>
      </c>
      <c r="D4887">
        <v>17.899999999999999</v>
      </c>
      <c r="E4887">
        <f>IF($D4887 &gt; 16, 0, $J$3*(16 - $D4887))</f>
        <v>0</v>
      </c>
      <c r="F4887">
        <f>IF($D4887 &gt; 16, 0,$E4887*$J$5)</f>
        <v>0</v>
      </c>
      <c r="G4887">
        <f t="shared" si="76"/>
        <v>0</v>
      </c>
    </row>
    <row r="4888" spans="2:7" x14ac:dyDescent="0.35">
      <c r="B4888" s="1">
        <v>45861</v>
      </c>
      <c r="C4888" s="2">
        <v>0.58333333333333337</v>
      </c>
      <c r="D4888">
        <v>18</v>
      </c>
      <c r="E4888">
        <f>IF($D4888 &gt; 16, 0, $J$3*(16 - $D4888))</f>
        <v>0</v>
      </c>
      <c r="F4888">
        <f>IF($D4888 &gt; 16, 0,$E4888*$J$5)</f>
        <v>0</v>
      </c>
      <c r="G4888">
        <f t="shared" si="76"/>
        <v>0</v>
      </c>
    </row>
    <row r="4889" spans="2:7" x14ac:dyDescent="0.35">
      <c r="B4889" s="1">
        <v>45861</v>
      </c>
      <c r="C4889" s="2">
        <v>0.625</v>
      </c>
      <c r="D4889">
        <v>18.3</v>
      </c>
      <c r="E4889">
        <f>IF($D4889 &gt; 16, 0, $J$3*(16 - $D4889))</f>
        <v>0</v>
      </c>
      <c r="F4889">
        <f>IF($D4889 &gt; 16, 0,$E4889*$J$5)</f>
        <v>0</v>
      </c>
      <c r="G4889">
        <f t="shared" si="76"/>
        <v>0</v>
      </c>
    </row>
    <row r="4890" spans="2:7" x14ac:dyDescent="0.35">
      <c r="B4890" s="1">
        <v>45861</v>
      </c>
      <c r="C4890" s="2">
        <v>0.66666666666666663</v>
      </c>
      <c r="D4890">
        <v>18.2</v>
      </c>
      <c r="E4890">
        <f>IF($D4890 &gt; 16, 0, $J$3*(16 - $D4890))</f>
        <v>0</v>
      </c>
      <c r="F4890">
        <f>IF($D4890 &gt; 16, 0,$E4890*$J$5)</f>
        <v>0</v>
      </c>
      <c r="G4890">
        <f t="shared" si="76"/>
        <v>0</v>
      </c>
    </row>
    <row r="4891" spans="2:7" x14ac:dyDescent="0.35">
      <c r="B4891" s="1">
        <v>45861</v>
      </c>
      <c r="C4891" s="2">
        <v>0.70833333333333337</v>
      </c>
      <c r="D4891">
        <v>17.899999999999999</v>
      </c>
      <c r="E4891">
        <f>IF($D4891 &gt; 16, 0, $J$3*(16 - $D4891))</f>
        <v>0</v>
      </c>
      <c r="F4891">
        <f>IF($D4891 &gt; 16, 0,$E4891*$J$5)</f>
        <v>0</v>
      </c>
      <c r="G4891">
        <f t="shared" si="76"/>
        <v>0</v>
      </c>
    </row>
    <row r="4892" spans="2:7" x14ac:dyDescent="0.35">
      <c r="B4892" s="1">
        <v>45861</v>
      </c>
      <c r="C4892" s="2">
        <v>0.75</v>
      </c>
      <c r="D4892">
        <v>17.8</v>
      </c>
      <c r="E4892">
        <f>IF($D4892 &gt; 16, 0, $J$3*(16 - $D4892))</f>
        <v>0</v>
      </c>
      <c r="F4892">
        <f>IF($D4892 &gt; 16, 0,$E4892*$J$5)</f>
        <v>0</v>
      </c>
      <c r="G4892">
        <f t="shared" si="76"/>
        <v>0</v>
      </c>
    </row>
    <row r="4893" spans="2:7" x14ac:dyDescent="0.35">
      <c r="B4893" s="1">
        <v>45861</v>
      </c>
      <c r="C4893" s="2">
        <v>0.79166666666666663</v>
      </c>
      <c r="D4893">
        <v>17.8</v>
      </c>
      <c r="E4893">
        <f>IF($D4893 &gt; 16, 0, $J$3*(16 - $D4893))</f>
        <v>0</v>
      </c>
      <c r="F4893">
        <f>IF($D4893 &gt; 16, 0,$E4893*$J$5)</f>
        <v>0</v>
      </c>
      <c r="G4893">
        <f t="shared" si="76"/>
        <v>0</v>
      </c>
    </row>
    <row r="4894" spans="2:7" x14ac:dyDescent="0.35">
      <c r="B4894" s="1">
        <v>45861</v>
      </c>
      <c r="C4894" s="2">
        <v>0.83333333333333337</v>
      </c>
      <c r="D4894">
        <v>17.8</v>
      </c>
      <c r="E4894">
        <f>IF($D4894 &gt; 16, 0, $J$3*(16 - $D4894))</f>
        <v>0</v>
      </c>
      <c r="F4894">
        <f>IF($D4894 &gt; 16, 0,$E4894*$J$5)</f>
        <v>0</v>
      </c>
      <c r="G4894">
        <f t="shared" si="76"/>
        <v>0</v>
      </c>
    </row>
    <row r="4895" spans="2:7" x14ac:dyDescent="0.35">
      <c r="B4895" s="1">
        <v>45861</v>
      </c>
      <c r="C4895" s="2">
        <v>0.875</v>
      </c>
      <c r="D4895">
        <v>17.8</v>
      </c>
      <c r="E4895">
        <f>IF($D4895 &gt; 16, 0, $J$3*(16 - $D4895))</f>
        <v>0</v>
      </c>
      <c r="F4895">
        <f>IF($D4895 &gt; 16, 0,$E4895*$J$5)</f>
        <v>0</v>
      </c>
      <c r="G4895">
        <f t="shared" si="76"/>
        <v>0</v>
      </c>
    </row>
    <row r="4896" spans="2:7" x14ac:dyDescent="0.35">
      <c r="B4896" s="1">
        <v>45861</v>
      </c>
      <c r="C4896" s="2">
        <v>0.91666666666666663</v>
      </c>
      <c r="D4896">
        <v>17.7</v>
      </c>
      <c r="E4896">
        <f>IF($D4896 &gt; 16, 0, $J$3*(16 - $D4896))</f>
        <v>0</v>
      </c>
      <c r="F4896">
        <f>IF($D4896 &gt; 16, 0,$E4896*$J$5)</f>
        <v>0</v>
      </c>
      <c r="G4896">
        <f t="shared" si="76"/>
        <v>0</v>
      </c>
    </row>
    <row r="4897" spans="2:7" x14ac:dyDescent="0.35">
      <c r="B4897" s="1">
        <v>45861</v>
      </c>
      <c r="C4897" s="2">
        <v>0.95833333333333337</v>
      </c>
      <c r="D4897">
        <v>17.7</v>
      </c>
      <c r="E4897">
        <f>IF($D4897 &gt; 16, 0, $J$3*(16 - $D4897))</f>
        <v>0</v>
      </c>
      <c r="F4897">
        <f>IF($D4897 &gt; 16, 0,$E4897*$J$5)</f>
        <v>0</v>
      </c>
      <c r="G4897">
        <f t="shared" si="76"/>
        <v>0</v>
      </c>
    </row>
    <row r="4898" spans="2:7" x14ac:dyDescent="0.35">
      <c r="B4898" s="1">
        <v>45862</v>
      </c>
      <c r="C4898" s="2">
        <v>0</v>
      </c>
      <c r="D4898">
        <v>17.600000000000001</v>
      </c>
      <c r="E4898">
        <f>IF($D4898 &gt; 16, 0, $J$3*(16 - $D4898))</f>
        <v>0</v>
      </c>
      <c r="F4898">
        <f>IF($D4898 &gt; 16, 0,$E4898*$J$5)</f>
        <v>0</v>
      </c>
      <c r="G4898">
        <f t="shared" si="76"/>
        <v>0</v>
      </c>
    </row>
    <row r="4899" spans="2:7" x14ac:dyDescent="0.35">
      <c r="B4899" s="1">
        <v>45862</v>
      </c>
      <c r="C4899" s="2">
        <v>4.1666666666666657E-2</v>
      </c>
      <c r="D4899">
        <v>17.7</v>
      </c>
      <c r="E4899">
        <f>IF($D4899 &gt; 16, 0, $J$3*(16 - $D4899))</f>
        <v>0</v>
      </c>
      <c r="F4899">
        <f>IF($D4899 &gt; 16, 0,$E4899*$J$5)</f>
        <v>0</v>
      </c>
      <c r="G4899">
        <f t="shared" si="76"/>
        <v>0</v>
      </c>
    </row>
    <row r="4900" spans="2:7" x14ac:dyDescent="0.35">
      <c r="B4900" s="1">
        <v>45862</v>
      </c>
      <c r="C4900" s="2">
        <v>8.3333333333333329E-2</v>
      </c>
      <c r="D4900">
        <v>17.5</v>
      </c>
      <c r="E4900">
        <f>IF($D4900 &gt; 16, 0, $J$3*(16 - $D4900))</f>
        <v>0</v>
      </c>
      <c r="F4900">
        <f>IF($D4900 &gt; 16, 0,$E4900*$J$5)</f>
        <v>0</v>
      </c>
      <c r="G4900">
        <f t="shared" si="76"/>
        <v>0</v>
      </c>
    </row>
    <row r="4901" spans="2:7" x14ac:dyDescent="0.35">
      <c r="B4901" s="1">
        <v>45862</v>
      </c>
      <c r="C4901" s="2">
        <v>0.125</v>
      </c>
      <c r="D4901">
        <v>17.7</v>
      </c>
      <c r="E4901">
        <f>IF($D4901 &gt; 16, 0, $J$3*(16 - $D4901))</f>
        <v>0</v>
      </c>
      <c r="F4901">
        <f>IF($D4901 &gt; 16, 0,$E4901*$J$5)</f>
        <v>0</v>
      </c>
      <c r="G4901">
        <f t="shared" si="76"/>
        <v>0</v>
      </c>
    </row>
    <row r="4902" spans="2:7" x14ac:dyDescent="0.35">
      <c r="B4902" s="1">
        <v>45862</v>
      </c>
      <c r="C4902" s="2">
        <v>0.16666666666666671</v>
      </c>
      <c r="D4902">
        <v>17.600000000000001</v>
      </c>
      <c r="E4902">
        <f>IF($D4902 &gt; 16, 0, $J$3*(16 - $D4902))</f>
        <v>0</v>
      </c>
      <c r="F4902">
        <f>IF($D4902 &gt; 16, 0,$E4902*$J$5)</f>
        <v>0</v>
      </c>
      <c r="G4902">
        <f t="shared" si="76"/>
        <v>0</v>
      </c>
    </row>
    <row r="4903" spans="2:7" x14ac:dyDescent="0.35">
      <c r="B4903" s="1">
        <v>45862</v>
      </c>
      <c r="C4903" s="2">
        <v>0.20833333333333329</v>
      </c>
      <c r="D4903">
        <v>17.8</v>
      </c>
      <c r="E4903">
        <f>IF($D4903 &gt; 16, 0, $J$3*(16 - $D4903))</f>
        <v>0</v>
      </c>
      <c r="F4903">
        <f>IF($D4903 &gt; 16, 0,$E4903*$J$5)</f>
        <v>0</v>
      </c>
      <c r="G4903">
        <f t="shared" si="76"/>
        <v>0</v>
      </c>
    </row>
    <row r="4904" spans="2:7" x14ac:dyDescent="0.35">
      <c r="B4904" s="1">
        <v>45862</v>
      </c>
      <c r="C4904" s="2">
        <v>0.25</v>
      </c>
      <c r="D4904">
        <v>18</v>
      </c>
      <c r="E4904">
        <f>IF($D4904 &gt; 16, 0, $J$3*(16 - $D4904))</f>
        <v>0</v>
      </c>
      <c r="F4904">
        <f>IF($D4904 &gt; 16, 0,$E4904*$J$5)</f>
        <v>0</v>
      </c>
      <c r="G4904">
        <f t="shared" si="76"/>
        <v>0</v>
      </c>
    </row>
    <row r="4905" spans="2:7" x14ac:dyDescent="0.35">
      <c r="B4905" s="1">
        <v>45862</v>
      </c>
      <c r="C4905" s="2">
        <v>0.29166666666666669</v>
      </c>
      <c r="D4905">
        <v>18.8</v>
      </c>
      <c r="E4905">
        <f>IF($D4905 &gt; 16, 0, $J$3*(16 - $D4905))</f>
        <v>0</v>
      </c>
      <c r="F4905">
        <f>IF($D4905 &gt; 16, 0,$E4905*$J$5)</f>
        <v>0</v>
      </c>
      <c r="G4905">
        <f t="shared" si="76"/>
        <v>0</v>
      </c>
    </row>
    <row r="4906" spans="2:7" x14ac:dyDescent="0.35">
      <c r="B4906" s="1">
        <v>45862</v>
      </c>
      <c r="C4906" s="2">
        <v>0.33333333333333331</v>
      </c>
      <c r="D4906">
        <v>19.100000000000001</v>
      </c>
      <c r="E4906">
        <f>IF($D4906 &gt; 16, 0, $J$3*(16 - $D4906))</f>
        <v>0</v>
      </c>
      <c r="F4906">
        <f>IF($D4906 &gt; 16, 0,$E4906*$J$5)</f>
        <v>0</v>
      </c>
      <c r="G4906">
        <f t="shared" si="76"/>
        <v>0</v>
      </c>
    </row>
    <row r="4907" spans="2:7" x14ac:dyDescent="0.35">
      <c r="B4907" s="1">
        <v>45862</v>
      </c>
      <c r="C4907" s="2">
        <v>0.375</v>
      </c>
      <c r="D4907">
        <v>18.7</v>
      </c>
      <c r="E4907">
        <f>IF($D4907 &gt; 16, 0, $J$3*(16 - $D4907))</f>
        <v>0</v>
      </c>
      <c r="F4907">
        <f>IF($D4907 &gt; 16, 0,$E4907*$J$5)</f>
        <v>0</v>
      </c>
      <c r="G4907">
        <f t="shared" si="76"/>
        <v>0</v>
      </c>
    </row>
    <row r="4908" spans="2:7" x14ac:dyDescent="0.35">
      <c r="B4908" s="1">
        <v>45862</v>
      </c>
      <c r="C4908" s="2">
        <v>0.41666666666666669</v>
      </c>
      <c r="D4908">
        <v>19.399999999999999</v>
      </c>
      <c r="E4908">
        <f>IF($D4908 &gt; 16, 0, $J$3*(16 - $D4908))</f>
        <v>0</v>
      </c>
      <c r="F4908">
        <f>IF($D4908 &gt; 16, 0,$E4908*$J$5)</f>
        <v>0</v>
      </c>
      <c r="G4908">
        <f t="shared" si="76"/>
        <v>0</v>
      </c>
    </row>
    <row r="4909" spans="2:7" x14ac:dyDescent="0.35">
      <c r="B4909" s="1">
        <v>45862</v>
      </c>
      <c r="C4909" s="2">
        <v>0.45833333333333331</v>
      </c>
      <c r="D4909">
        <v>20.399999999999999</v>
      </c>
      <c r="E4909">
        <f>IF($D4909 &gt; 16, 0, $J$3*(16 - $D4909))</f>
        <v>0</v>
      </c>
      <c r="F4909">
        <f>IF($D4909 &gt; 16, 0,$E4909*$J$5)</f>
        <v>0</v>
      </c>
      <c r="G4909">
        <f t="shared" si="76"/>
        <v>0</v>
      </c>
    </row>
    <row r="4910" spans="2:7" x14ac:dyDescent="0.35">
      <c r="B4910" s="1">
        <v>45862</v>
      </c>
      <c r="C4910" s="2">
        <v>0.5</v>
      </c>
      <c r="D4910">
        <v>20.100000000000001</v>
      </c>
      <c r="E4910">
        <f>IF($D4910 &gt; 16, 0, $J$3*(16 - $D4910))</f>
        <v>0</v>
      </c>
      <c r="F4910">
        <f>IF($D4910 &gt; 16, 0,$E4910*$J$5)</f>
        <v>0</v>
      </c>
      <c r="G4910">
        <f t="shared" si="76"/>
        <v>0</v>
      </c>
    </row>
    <row r="4911" spans="2:7" x14ac:dyDescent="0.35">
      <c r="B4911" s="1">
        <v>45862</v>
      </c>
      <c r="C4911" s="2">
        <v>0.54166666666666663</v>
      </c>
      <c r="D4911">
        <v>21.3</v>
      </c>
      <c r="E4911">
        <f>IF($D4911 &gt; 16, 0, $J$3*(16 - $D4911))</f>
        <v>0</v>
      </c>
      <c r="F4911">
        <f>IF($D4911 &gt; 16, 0,$E4911*$J$5)</f>
        <v>0</v>
      </c>
      <c r="G4911">
        <f t="shared" si="76"/>
        <v>0</v>
      </c>
    </row>
    <row r="4912" spans="2:7" x14ac:dyDescent="0.35">
      <c r="B4912" s="1">
        <v>45862</v>
      </c>
      <c r="C4912" s="2">
        <v>0.58333333333333337</v>
      </c>
      <c r="D4912">
        <v>21.7</v>
      </c>
      <c r="E4912">
        <f>IF($D4912 &gt; 16, 0, $J$3*(16 - $D4912))</f>
        <v>0</v>
      </c>
      <c r="F4912">
        <f>IF($D4912 &gt; 16, 0,$E4912*$J$5)</f>
        <v>0</v>
      </c>
      <c r="G4912">
        <f t="shared" si="76"/>
        <v>0</v>
      </c>
    </row>
    <row r="4913" spans="2:7" x14ac:dyDescent="0.35">
      <c r="B4913" s="1">
        <v>45862</v>
      </c>
      <c r="C4913" s="2">
        <v>0.625</v>
      </c>
      <c r="D4913">
        <v>21.9</v>
      </c>
      <c r="E4913">
        <f>IF($D4913 &gt; 16, 0, $J$3*(16 - $D4913))</f>
        <v>0</v>
      </c>
      <c r="F4913">
        <f>IF($D4913 &gt; 16, 0,$E4913*$J$5)</f>
        <v>0</v>
      </c>
      <c r="G4913">
        <f t="shared" si="76"/>
        <v>0</v>
      </c>
    </row>
    <row r="4914" spans="2:7" x14ac:dyDescent="0.35">
      <c r="B4914" s="1">
        <v>45862</v>
      </c>
      <c r="C4914" s="2">
        <v>0.66666666666666663</v>
      </c>
      <c r="D4914">
        <v>22</v>
      </c>
      <c r="E4914">
        <f>IF($D4914 &gt; 16, 0, $J$3*(16 - $D4914))</f>
        <v>0</v>
      </c>
      <c r="F4914">
        <f>IF($D4914 &gt; 16, 0,$E4914*$J$5)</f>
        <v>0</v>
      </c>
      <c r="G4914">
        <f t="shared" si="76"/>
        <v>0</v>
      </c>
    </row>
    <row r="4915" spans="2:7" x14ac:dyDescent="0.35">
      <c r="B4915" s="1">
        <v>45862</v>
      </c>
      <c r="C4915" s="2">
        <v>0.70833333333333337</v>
      </c>
      <c r="D4915">
        <v>22</v>
      </c>
      <c r="E4915">
        <f>IF($D4915 &gt; 16, 0, $J$3*(16 - $D4915))</f>
        <v>0</v>
      </c>
      <c r="F4915">
        <f>IF($D4915 &gt; 16, 0,$E4915*$J$5)</f>
        <v>0</v>
      </c>
      <c r="G4915">
        <f t="shared" si="76"/>
        <v>0</v>
      </c>
    </row>
    <row r="4916" spans="2:7" x14ac:dyDescent="0.35">
      <c r="B4916" s="1">
        <v>45862</v>
      </c>
      <c r="C4916" s="2">
        <v>0.75</v>
      </c>
      <c r="D4916">
        <v>21.6</v>
      </c>
      <c r="E4916">
        <f>IF($D4916 &gt; 16, 0, $J$3*(16 - $D4916))</f>
        <v>0</v>
      </c>
      <c r="F4916">
        <f>IF($D4916 &gt; 16, 0,$E4916*$J$5)</f>
        <v>0</v>
      </c>
      <c r="G4916">
        <f t="shared" si="76"/>
        <v>0</v>
      </c>
    </row>
    <row r="4917" spans="2:7" x14ac:dyDescent="0.35">
      <c r="B4917" s="1">
        <v>45862</v>
      </c>
      <c r="C4917" s="2">
        <v>0.79166666666666663</v>
      </c>
      <c r="D4917">
        <v>20.7</v>
      </c>
      <c r="E4917">
        <f>IF($D4917 &gt; 16, 0, $J$3*(16 - $D4917))</f>
        <v>0</v>
      </c>
      <c r="F4917">
        <f>IF($D4917 &gt; 16, 0,$E4917*$J$5)</f>
        <v>0</v>
      </c>
      <c r="G4917">
        <f t="shared" si="76"/>
        <v>0</v>
      </c>
    </row>
    <row r="4918" spans="2:7" x14ac:dyDescent="0.35">
      <c r="B4918" s="1">
        <v>45862</v>
      </c>
      <c r="C4918" s="2">
        <v>0.83333333333333337</v>
      </c>
      <c r="D4918">
        <v>19.7</v>
      </c>
      <c r="E4918">
        <f>IF($D4918 &gt; 16, 0, $J$3*(16 - $D4918))</f>
        <v>0</v>
      </c>
      <c r="F4918">
        <f>IF($D4918 &gt; 16, 0,$E4918*$J$5)</f>
        <v>0</v>
      </c>
      <c r="G4918">
        <f t="shared" si="76"/>
        <v>0</v>
      </c>
    </row>
    <row r="4919" spans="2:7" x14ac:dyDescent="0.35">
      <c r="B4919" s="1">
        <v>45862</v>
      </c>
      <c r="C4919" s="2">
        <v>0.875</v>
      </c>
      <c r="D4919">
        <v>18.8</v>
      </c>
      <c r="E4919">
        <f>IF($D4919 &gt; 16, 0, $J$3*(16 - $D4919))</f>
        <v>0</v>
      </c>
      <c r="F4919">
        <f>IF($D4919 &gt; 16, 0,$E4919*$J$5)</f>
        <v>0</v>
      </c>
      <c r="G4919">
        <f t="shared" si="76"/>
        <v>0</v>
      </c>
    </row>
    <row r="4920" spans="2:7" x14ac:dyDescent="0.35">
      <c r="B4920" s="1">
        <v>45862</v>
      </c>
      <c r="C4920" s="2">
        <v>0.91666666666666663</v>
      </c>
      <c r="D4920">
        <v>18.899999999999999</v>
      </c>
      <c r="E4920">
        <f>IF($D4920 &gt; 16, 0, $J$3*(16 - $D4920))</f>
        <v>0</v>
      </c>
      <c r="F4920">
        <f>IF($D4920 &gt; 16, 0,$E4920*$J$5)</f>
        <v>0</v>
      </c>
      <c r="G4920">
        <f t="shared" si="76"/>
        <v>0</v>
      </c>
    </row>
    <row r="4921" spans="2:7" x14ac:dyDescent="0.35">
      <c r="B4921" s="1">
        <v>45862</v>
      </c>
      <c r="C4921" s="2">
        <v>0.95833333333333337</v>
      </c>
      <c r="D4921">
        <v>18.899999999999999</v>
      </c>
      <c r="E4921">
        <f>IF($D4921 &gt; 16, 0, $J$3*(16 - $D4921))</f>
        <v>0</v>
      </c>
      <c r="F4921">
        <f>IF($D4921 &gt; 16, 0,$E4921*$J$5)</f>
        <v>0</v>
      </c>
      <c r="G4921">
        <f t="shared" si="76"/>
        <v>0</v>
      </c>
    </row>
    <row r="4922" spans="2:7" x14ac:dyDescent="0.35">
      <c r="B4922" s="1">
        <v>45863</v>
      </c>
      <c r="C4922" s="2">
        <v>0</v>
      </c>
      <c r="D4922">
        <v>18.8</v>
      </c>
      <c r="E4922">
        <f>IF($D4922 &gt; 16, 0, $J$3*(16 - $D4922))</f>
        <v>0</v>
      </c>
      <c r="F4922">
        <f>IF($D4922 &gt; 16, 0,$E4922*$J$5)</f>
        <v>0</v>
      </c>
      <c r="G4922">
        <f t="shared" si="76"/>
        <v>0</v>
      </c>
    </row>
    <row r="4923" spans="2:7" x14ac:dyDescent="0.35">
      <c r="B4923" s="1">
        <v>45863</v>
      </c>
      <c r="C4923" s="2">
        <v>4.1666666666666657E-2</v>
      </c>
      <c r="D4923">
        <v>18.600000000000001</v>
      </c>
      <c r="E4923">
        <f>IF($D4923 &gt; 16, 0, $J$3*(16 - $D4923))</f>
        <v>0</v>
      </c>
      <c r="F4923">
        <f>IF($D4923 &gt; 16, 0,$E4923*$J$5)</f>
        <v>0</v>
      </c>
      <c r="G4923">
        <f t="shared" si="76"/>
        <v>0</v>
      </c>
    </row>
    <row r="4924" spans="2:7" x14ac:dyDescent="0.35">
      <c r="B4924" s="1">
        <v>45863</v>
      </c>
      <c r="C4924" s="2">
        <v>8.3333333333333329E-2</v>
      </c>
      <c r="D4924">
        <v>18.5</v>
      </c>
      <c r="E4924">
        <f>IF($D4924 &gt; 16, 0, $J$3*(16 - $D4924))</f>
        <v>0</v>
      </c>
      <c r="F4924">
        <f>IF($D4924 &gt; 16, 0,$E4924*$J$5)</f>
        <v>0</v>
      </c>
      <c r="G4924">
        <f t="shared" si="76"/>
        <v>0</v>
      </c>
    </row>
    <row r="4925" spans="2:7" x14ac:dyDescent="0.35">
      <c r="B4925" s="1">
        <v>45863</v>
      </c>
      <c r="C4925" s="2">
        <v>0.125</v>
      </c>
      <c r="D4925">
        <v>18.600000000000001</v>
      </c>
      <c r="E4925">
        <f>IF($D4925 &gt; 16, 0, $J$3*(16 - $D4925))</f>
        <v>0</v>
      </c>
      <c r="F4925">
        <f>IF($D4925 &gt; 16, 0,$E4925*$J$5)</f>
        <v>0</v>
      </c>
      <c r="G4925">
        <f t="shared" si="76"/>
        <v>0</v>
      </c>
    </row>
    <row r="4926" spans="2:7" x14ac:dyDescent="0.35">
      <c r="B4926" s="1">
        <v>45863</v>
      </c>
      <c r="C4926" s="2">
        <v>0.16666666666666671</v>
      </c>
      <c r="D4926">
        <v>18.600000000000001</v>
      </c>
      <c r="E4926">
        <f>IF($D4926 &gt; 16, 0, $J$3*(16 - $D4926))</f>
        <v>0</v>
      </c>
      <c r="F4926">
        <f>IF($D4926 &gt; 16, 0,$E4926*$J$5)</f>
        <v>0</v>
      </c>
      <c r="G4926">
        <f t="shared" si="76"/>
        <v>0</v>
      </c>
    </row>
    <row r="4927" spans="2:7" x14ac:dyDescent="0.35">
      <c r="B4927" s="1">
        <v>45863</v>
      </c>
      <c r="C4927" s="2">
        <v>0.20833333333333329</v>
      </c>
      <c r="D4927">
        <v>18.7</v>
      </c>
      <c r="E4927">
        <f>IF($D4927 &gt; 16, 0, $J$3*(16 - $D4927))</f>
        <v>0</v>
      </c>
      <c r="F4927">
        <f>IF($D4927 &gt; 16, 0,$E4927*$J$5)</f>
        <v>0</v>
      </c>
      <c r="G4927">
        <f t="shared" si="76"/>
        <v>0</v>
      </c>
    </row>
    <row r="4928" spans="2:7" x14ac:dyDescent="0.35">
      <c r="B4928" s="1">
        <v>45863</v>
      </c>
      <c r="C4928" s="2">
        <v>0.25</v>
      </c>
      <c r="D4928">
        <v>18.8</v>
      </c>
      <c r="E4928">
        <f>IF($D4928 &gt; 16, 0, $J$3*(16 - $D4928))</f>
        <v>0</v>
      </c>
      <c r="F4928">
        <f>IF($D4928 &gt; 16, 0,$E4928*$J$5)</f>
        <v>0</v>
      </c>
      <c r="G4928">
        <f t="shared" si="76"/>
        <v>0</v>
      </c>
    </row>
    <row r="4929" spans="2:7" x14ac:dyDescent="0.35">
      <c r="B4929" s="1">
        <v>45863</v>
      </c>
      <c r="C4929" s="2">
        <v>0.29166666666666669</v>
      </c>
      <c r="D4929">
        <v>19.7</v>
      </c>
      <c r="E4929">
        <f>IF($D4929 &gt; 16, 0, $J$3*(16 - $D4929))</f>
        <v>0</v>
      </c>
      <c r="F4929">
        <f>IF($D4929 &gt; 16, 0,$E4929*$J$5)</f>
        <v>0</v>
      </c>
      <c r="G4929">
        <f t="shared" si="76"/>
        <v>0</v>
      </c>
    </row>
    <row r="4930" spans="2:7" x14ac:dyDescent="0.35">
      <c r="B4930" s="1">
        <v>45863</v>
      </c>
      <c r="C4930" s="2">
        <v>0.33333333333333331</v>
      </c>
      <c r="D4930">
        <v>19.600000000000001</v>
      </c>
      <c r="E4930">
        <f>IF($D4930 &gt; 16, 0, $J$3*(16 - $D4930))</f>
        <v>0</v>
      </c>
      <c r="F4930">
        <f>IF($D4930 &gt; 16, 0,$E4930*$J$5)</f>
        <v>0</v>
      </c>
      <c r="G4930">
        <f t="shared" si="76"/>
        <v>0</v>
      </c>
    </row>
    <row r="4931" spans="2:7" x14ac:dyDescent="0.35">
      <c r="B4931" s="1">
        <v>45863</v>
      </c>
      <c r="C4931" s="2">
        <v>0.375</v>
      </c>
      <c r="D4931">
        <v>20.2</v>
      </c>
      <c r="E4931">
        <f>IF($D4931 &gt; 16, 0, $J$3*(16 - $D4931))</f>
        <v>0</v>
      </c>
      <c r="F4931">
        <f>IF($D4931 &gt; 16, 0,$E4931*$J$5)</f>
        <v>0</v>
      </c>
      <c r="G4931">
        <f t="shared" ref="G4931:G4994" si="77">MAX(0, 16 - $D4931)</f>
        <v>0</v>
      </c>
    </row>
    <row r="4932" spans="2:7" x14ac:dyDescent="0.35">
      <c r="B4932" s="1">
        <v>45863</v>
      </c>
      <c r="C4932" s="2">
        <v>0.41666666666666669</v>
      </c>
      <c r="D4932">
        <v>21.1</v>
      </c>
      <c r="E4932">
        <f>IF($D4932 &gt; 16, 0, $J$3*(16 - $D4932))</f>
        <v>0</v>
      </c>
      <c r="F4932">
        <f>IF($D4932 &gt; 16, 0,$E4932*$J$5)</f>
        <v>0</v>
      </c>
      <c r="G4932">
        <f t="shared" si="77"/>
        <v>0</v>
      </c>
    </row>
    <row r="4933" spans="2:7" x14ac:dyDescent="0.35">
      <c r="B4933" s="1">
        <v>45863</v>
      </c>
      <c r="C4933" s="2">
        <v>0.45833333333333331</v>
      </c>
      <c r="D4933">
        <v>21.7</v>
      </c>
      <c r="E4933">
        <f>IF($D4933 &gt; 16, 0, $J$3*(16 - $D4933))</f>
        <v>0</v>
      </c>
      <c r="F4933">
        <f>IF($D4933 &gt; 16, 0,$E4933*$J$5)</f>
        <v>0</v>
      </c>
      <c r="G4933">
        <f t="shared" si="77"/>
        <v>0</v>
      </c>
    </row>
    <row r="4934" spans="2:7" x14ac:dyDescent="0.35">
      <c r="B4934" s="1">
        <v>45863</v>
      </c>
      <c r="C4934" s="2">
        <v>0.5</v>
      </c>
      <c r="D4934">
        <v>20.5</v>
      </c>
      <c r="E4934">
        <f>IF($D4934 &gt; 16, 0, $J$3*(16 - $D4934))</f>
        <v>0</v>
      </c>
      <c r="F4934">
        <f>IF($D4934 &gt; 16, 0,$E4934*$J$5)</f>
        <v>0</v>
      </c>
      <c r="G4934">
        <f t="shared" si="77"/>
        <v>0</v>
      </c>
    </row>
    <row r="4935" spans="2:7" x14ac:dyDescent="0.35">
      <c r="B4935" s="1">
        <v>45863</v>
      </c>
      <c r="C4935" s="2">
        <v>0.54166666666666663</v>
      </c>
      <c r="D4935">
        <v>20.6</v>
      </c>
      <c r="E4935">
        <f>IF($D4935 &gt; 16, 0, $J$3*(16 - $D4935))</f>
        <v>0</v>
      </c>
      <c r="F4935">
        <f>IF($D4935 &gt; 16, 0,$E4935*$J$5)</f>
        <v>0</v>
      </c>
      <c r="G4935">
        <f t="shared" si="77"/>
        <v>0</v>
      </c>
    </row>
    <row r="4936" spans="2:7" x14ac:dyDescent="0.35">
      <c r="B4936" s="1">
        <v>45863</v>
      </c>
      <c r="C4936" s="2">
        <v>0.58333333333333337</v>
      </c>
      <c r="D4936">
        <v>19.5</v>
      </c>
      <c r="E4936">
        <f>IF($D4936 &gt; 16, 0, $J$3*(16 - $D4936))</f>
        <v>0</v>
      </c>
      <c r="F4936">
        <f>IF($D4936 &gt; 16, 0,$E4936*$J$5)</f>
        <v>0</v>
      </c>
      <c r="G4936">
        <f t="shared" si="77"/>
        <v>0</v>
      </c>
    </row>
    <row r="4937" spans="2:7" x14ac:dyDescent="0.35">
      <c r="B4937" s="1">
        <v>45863</v>
      </c>
      <c r="C4937" s="2">
        <v>0.625</v>
      </c>
      <c r="D4937">
        <v>19</v>
      </c>
      <c r="E4937">
        <f>IF($D4937 &gt; 16, 0, $J$3*(16 - $D4937))</f>
        <v>0</v>
      </c>
      <c r="F4937">
        <f>IF($D4937 &gt; 16, 0,$E4937*$J$5)</f>
        <v>0</v>
      </c>
      <c r="G4937">
        <f t="shared" si="77"/>
        <v>0</v>
      </c>
    </row>
    <row r="4938" spans="2:7" x14ac:dyDescent="0.35">
      <c r="B4938" s="1">
        <v>45863</v>
      </c>
      <c r="C4938" s="2">
        <v>0.66666666666666663</v>
      </c>
      <c r="D4938">
        <v>18.7</v>
      </c>
      <c r="E4938">
        <f>IF($D4938 &gt; 16, 0, $J$3*(16 - $D4938))</f>
        <v>0</v>
      </c>
      <c r="F4938">
        <f>IF($D4938 &gt; 16, 0,$E4938*$J$5)</f>
        <v>0</v>
      </c>
      <c r="G4938">
        <f t="shared" si="77"/>
        <v>0</v>
      </c>
    </row>
    <row r="4939" spans="2:7" x14ac:dyDescent="0.35">
      <c r="B4939" s="1">
        <v>45863</v>
      </c>
      <c r="C4939" s="2">
        <v>0.70833333333333337</v>
      </c>
      <c r="D4939">
        <v>18.600000000000001</v>
      </c>
      <c r="E4939">
        <f>IF($D4939 &gt; 16, 0, $J$3*(16 - $D4939))</f>
        <v>0</v>
      </c>
      <c r="F4939">
        <f>IF($D4939 &gt; 16, 0,$E4939*$J$5)</f>
        <v>0</v>
      </c>
      <c r="G4939">
        <f t="shared" si="77"/>
        <v>0</v>
      </c>
    </row>
    <row r="4940" spans="2:7" x14ac:dyDescent="0.35">
      <c r="B4940" s="1">
        <v>45863</v>
      </c>
      <c r="C4940" s="2">
        <v>0.75</v>
      </c>
      <c r="D4940">
        <v>18.5</v>
      </c>
      <c r="E4940">
        <f>IF($D4940 &gt; 16, 0, $J$3*(16 - $D4940))</f>
        <v>0</v>
      </c>
      <c r="F4940">
        <f>IF($D4940 &gt; 16, 0,$E4940*$J$5)</f>
        <v>0</v>
      </c>
      <c r="G4940">
        <f t="shared" si="77"/>
        <v>0</v>
      </c>
    </row>
    <row r="4941" spans="2:7" x14ac:dyDescent="0.35">
      <c r="B4941" s="1">
        <v>45863</v>
      </c>
      <c r="C4941" s="2">
        <v>0.79166666666666663</v>
      </c>
      <c r="D4941">
        <v>18.2</v>
      </c>
      <c r="E4941">
        <f>IF($D4941 &gt; 16, 0, $J$3*(16 - $D4941))</f>
        <v>0</v>
      </c>
      <c r="F4941">
        <f>IF($D4941 &gt; 16, 0,$E4941*$J$5)</f>
        <v>0</v>
      </c>
      <c r="G4941">
        <f t="shared" si="77"/>
        <v>0</v>
      </c>
    </row>
    <row r="4942" spans="2:7" x14ac:dyDescent="0.35">
      <c r="B4942" s="1">
        <v>45863</v>
      </c>
      <c r="C4942" s="2">
        <v>0.83333333333333337</v>
      </c>
      <c r="D4942">
        <v>17.600000000000001</v>
      </c>
      <c r="E4942">
        <f>IF($D4942 &gt; 16, 0, $J$3*(16 - $D4942))</f>
        <v>0</v>
      </c>
      <c r="F4942">
        <f>IF($D4942 &gt; 16, 0,$E4942*$J$5)</f>
        <v>0</v>
      </c>
      <c r="G4942">
        <f t="shared" si="77"/>
        <v>0</v>
      </c>
    </row>
    <row r="4943" spans="2:7" x14ac:dyDescent="0.35">
      <c r="B4943" s="1">
        <v>45863</v>
      </c>
      <c r="C4943" s="2">
        <v>0.875</v>
      </c>
      <c r="D4943">
        <v>17.399999999999999</v>
      </c>
      <c r="E4943">
        <f>IF($D4943 &gt; 16, 0, $J$3*(16 - $D4943))</f>
        <v>0</v>
      </c>
      <c r="F4943">
        <f>IF($D4943 &gt; 16, 0,$E4943*$J$5)</f>
        <v>0</v>
      </c>
      <c r="G4943">
        <f t="shared" si="77"/>
        <v>0</v>
      </c>
    </row>
    <row r="4944" spans="2:7" x14ac:dyDescent="0.35">
      <c r="B4944" s="1">
        <v>45863</v>
      </c>
      <c r="C4944" s="2">
        <v>0.91666666666666663</v>
      </c>
      <c r="D4944">
        <v>17.2</v>
      </c>
      <c r="E4944">
        <f>IF($D4944 &gt; 16, 0, $J$3*(16 - $D4944))</f>
        <v>0</v>
      </c>
      <c r="F4944">
        <f>IF($D4944 &gt; 16, 0,$E4944*$J$5)</f>
        <v>0</v>
      </c>
      <c r="G4944">
        <f t="shared" si="77"/>
        <v>0</v>
      </c>
    </row>
    <row r="4945" spans="2:7" x14ac:dyDescent="0.35">
      <c r="B4945" s="1">
        <v>45863</v>
      </c>
      <c r="C4945" s="2">
        <v>0.95833333333333337</v>
      </c>
      <c r="D4945">
        <v>17.2</v>
      </c>
      <c r="E4945">
        <f>IF($D4945 &gt; 16, 0, $J$3*(16 - $D4945))</f>
        <v>0</v>
      </c>
      <c r="F4945">
        <f>IF($D4945 &gt; 16, 0,$E4945*$J$5)</f>
        <v>0</v>
      </c>
      <c r="G4945">
        <f t="shared" si="77"/>
        <v>0</v>
      </c>
    </row>
    <row r="4946" spans="2:7" x14ac:dyDescent="0.35">
      <c r="B4946" s="1">
        <v>45864</v>
      </c>
      <c r="C4946" s="2">
        <v>0</v>
      </c>
      <c r="D4946">
        <v>16.899999999999999</v>
      </c>
      <c r="E4946">
        <f>IF($D4946 &gt; 16, 0, $J$3*(16 - $D4946))</f>
        <v>0</v>
      </c>
      <c r="F4946">
        <f>IF($D4946 &gt; 16, 0,$E4946*$J$5)</f>
        <v>0</v>
      </c>
      <c r="G4946">
        <f t="shared" si="77"/>
        <v>0</v>
      </c>
    </row>
    <row r="4947" spans="2:7" x14ac:dyDescent="0.35">
      <c r="B4947" s="1">
        <v>45864</v>
      </c>
      <c r="C4947" s="2">
        <v>4.1666666666666657E-2</v>
      </c>
      <c r="D4947">
        <v>16.8</v>
      </c>
      <c r="E4947">
        <f>IF($D4947 &gt; 16, 0, $J$3*(16 - $D4947))</f>
        <v>0</v>
      </c>
      <c r="F4947">
        <f>IF($D4947 &gt; 16, 0,$E4947*$J$5)</f>
        <v>0</v>
      </c>
      <c r="G4947">
        <f t="shared" si="77"/>
        <v>0</v>
      </c>
    </row>
    <row r="4948" spans="2:7" x14ac:dyDescent="0.35">
      <c r="B4948" s="1">
        <v>45864</v>
      </c>
      <c r="C4948" s="2">
        <v>8.3333333333333329E-2</v>
      </c>
      <c r="D4948">
        <v>16.600000000000001</v>
      </c>
      <c r="E4948">
        <f>IF($D4948 &gt; 16, 0, $J$3*(16 - $D4948))</f>
        <v>0</v>
      </c>
      <c r="F4948">
        <f>IF($D4948 &gt; 16, 0,$E4948*$J$5)</f>
        <v>0</v>
      </c>
      <c r="G4948">
        <f t="shared" si="77"/>
        <v>0</v>
      </c>
    </row>
    <row r="4949" spans="2:7" x14ac:dyDescent="0.35">
      <c r="B4949" s="1">
        <v>45864</v>
      </c>
      <c r="C4949" s="2">
        <v>0.125</v>
      </c>
      <c r="D4949">
        <v>16.5</v>
      </c>
      <c r="E4949">
        <f>IF($D4949 &gt; 16, 0, $J$3*(16 - $D4949))</f>
        <v>0</v>
      </c>
      <c r="F4949">
        <f>IF($D4949 &gt; 16, 0,$E4949*$J$5)</f>
        <v>0</v>
      </c>
      <c r="G4949">
        <f t="shared" si="77"/>
        <v>0</v>
      </c>
    </row>
    <row r="4950" spans="2:7" x14ac:dyDescent="0.35">
      <c r="B4950" s="1">
        <v>45864</v>
      </c>
      <c r="C4950" s="2">
        <v>0.16666666666666671</v>
      </c>
      <c r="D4950">
        <v>16</v>
      </c>
      <c r="E4950">
        <f>IF($D4950 &gt; 16, 0, $J$3*(16 - $D4950))</f>
        <v>0</v>
      </c>
      <c r="F4950">
        <f>IF($D4950 &gt; 16, 0,$E4950*$J$5)</f>
        <v>0</v>
      </c>
      <c r="G4950">
        <f t="shared" si="77"/>
        <v>0</v>
      </c>
    </row>
    <row r="4951" spans="2:7" x14ac:dyDescent="0.35">
      <c r="B4951" s="1">
        <v>45864</v>
      </c>
      <c r="C4951" s="2">
        <v>0.20833333333333329</v>
      </c>
      <c r="D4951">
        <v>16</v>
      </c>
      <c r="E4951">
        <f>IF($D4951 &gt; 16, 0, $J$3*(16 - $D4951))</f>
        <v>0</v>
      </c>
      <c r="F4951">
        <f>IF($D4951 &gt; 16, 0,$E4951*$J$5)</f>
        <v>0</v>
      </c>
      <c r="G4951">
        <f t="shared" si="77"/>
        <v>0</v>
      </c>
    </row>
    <row r="4952" spans="2:7" x14ac:dyDescent="0.35">
      <c r="B4952" s="1">
        <v>45864</v>
      </c>
      <c r="C4952" s="2">
        <v>0.25</v>
      </c>
      <c r="D4952">
        <v>17</v>
      </c>
      <c r="E4952">
        <f>IF($D4952 &gt; 16, 0, $J$3*(16 - $D4952))</f>
        <v>0</v>
      </c>
      <c r="F4952">
        <f>IF($D4952 &gt; 16, 0,$E4952*$J$5)</f>
        <v>0</v>
      </c>
      <c r="G4952">
        <f t="shared" si="77"/>
        <v>0</v>
      </c>
    </row>
    <row r="4953" spans="2:7" x14ac:dyDescent="0.35">
      <c r="B4953" s="1">
        <v>45864</v>
      </c>
      <c r="C4953" s="2">
        <v>0.29166666666666669</v>
      </c>
      <c r="D4953">
        <v>17.8</v>
      </c>
      <c r="E4953">
        <f>IF($D4953 &gt; 16, 0, $J$3*(16 - $D4953))</f>
        <v>0</v>
      </c>
      <c r="F4953">
        <f>IF($D4953 &gt; 16, 0,$E4953*$J$5)</f>
        <v>0</v>
      </c>
      <c r="G4953">
        <f t="shared" si="77"/>
        <v>0</v>
      </c>
    </row>
    <row r="4954" spans="2:7" x14ac:dyDescent="0.35">
      <c r="B4954" s="1">
        <v>45864</v>
      </c>
      <c r="C4954" s="2">
        <v>0.33333333333333331</v>
      </c>
      <c r="D4954">
        <v>18.899999999999999</v>
      </c>
      <c r="E4954">
        <f>IF($D4954 &gt; 16, 0, $J$3*(16 - $D4954))</f>
        <v>0</v>
      </c>
      <c r="F4954">
        <f>IF($D4954 &gt; 16, 0,$E4954*$J$5)</f>
        <v>0</v>
      </c>
      <c r="G4954">
        <f t="shared" si="77"/>
        <v>0</v>
      </c>
    </row>
    <row r="4955" spans="2:7" x14ac:dyDescent="0.35">
      <c r="B4955" s="1">
        <v>45864</v>
      </c>
      <c r="C4955" s="2">
        <v>0.375</v>
      </c>
      <c r="D4955">
        <v>20</v>
      </c>
      <c r="E4955">
        <f>IF($D4955 &gt; 16, 0, $J$3*(16 - $D4955))</f>
        <v>0</v>
      </c>
      <c r="F4955">
        <f>IF($D4955 &gt; 16, 0,$E4955*$J$5)</f>
        <v>0</v>
      </c>
      <c r="G4955">
        <f t="shared" si="77"/>
        <v>0</v>
      </c>
    </row>
    <row r="4956" spans="2:7" x14ac:dyDescent="0.35">
      <c r="B4956" s="1">
        <v>45864</v>
      </c>
      <c r="C4956" s="2">
        <v>0.41666666666666669</v>
      </c>
      <c r="D4956">
        <v>20.399999999999999</v>
      </c>
      <c r="E4956">
        <f>IF($D4956 &gt; 16, 0, $J$3*(16 - $D4956))</f>
        <v>0</v>
      </c>
      <c r="F4956">
        <f>IF($D4956 &gt; 16, 0,$E4956*$J$5)</f>
        <v>0</v>
      </c>
      <c r="G4956">
        <f t="shared" si="77"/>
        <v>0</v>
      </c>
    </row>
    <row r="4957" spans="2:7" x14ac:dyDescent="0.35">
      <c r="B4957" s="1">
        <v>45864</v>
      </c>
      <c r="C4957" s="2">
        <v>0.45833333333333331</v>
      </c>
      <c r="D4957">
        <v>20.8</v>
      </c>
      <c r="E4957">
        <f>IF($D4957 &gt; 16, 0, $J$3*(16 - $D4957))</f>
        <v>0</v>
      </c>
      <c r="F4957">
        <f>IF($D4957 &gt; 16, 0,$E4957*$J$5)</f>
        <v>0</v>
      </c>
      <c r="G4957">
        <f t="shared" si="77"/>
        <v>0</v>
      </c>
    </row>
    <row r="4958" spans="2:7" x14ac:dyDescent="0.35">
      <c r="B4958" s="1">
        <v>45864</v>
      </c>
      <c r="C4958" s="2">
        <v>0.5</v>
      </c>
      <c r="D4958">
        <v>21.4</v>
      </c>
      <c r="E4958">
        <f>IF($D4958 &gt; 16, 0, $J$3*(16 - $D4958))</f>
        <v>0</v>
      </c>
      <c r="F4958">
        <f>IF($D4958 &gt; 16, 0,$E4958*$J$5)</f>
        <v>0</v>
      </c>
      <c r="G4958">
        <f t="shared" si="77"/>
        <v>0</v>
      </c>
    </row>
    <row r="4959" spans="2:7" x14ac:dyDescent="0.35">
      <c r="B4959" s="1">
        <v>45864</v>
      </c>
      <c r="C4959" s="2">
        <v>0.54166666666666663</v>
      </c>
      <c r="D4959">
        <v>21.7</v>
      </c>
      <c r="E4959">
        <f>IF($D4959 &gt; 16, 0, $J$3*(16 - $D4959))</f>
        <v>0</v>
      </c>
      <c r="F4959">
        <f>IF($D4959 &gt; 16, 0,$E4959*$J$5)</f>
        <v>0</v>
      </c>
      <c r="G4959">
        <f t="shared" si="77"/>
        <v>0</v>
      </c>
    </row>
    <row r="4960" spans="2:7" x14ac:dyDescent="0.35">
      <c r="B4960" s="1">
        <v>45864</v>
      </c>
      <c r="C4960" s="2">
        <v>0.58333333333333337</v>
      </c>
      <c r="D4960">
        <v>22.3</v>
      </c>
      <c r="E4960">
        <f>IF($D4960 &gt; 16, 0, $J$3*(16 - $D4960))</f>
        <v>0</v>
      </c>
      <c r="F4960">
        <f>IF($D4960 &gt; 16, 0,$E4960*$J$5)</f>
        <v>0</v>
      </c>
      <c r="G4960">
        <f t="shared" si="77"/>
        <v>0</v>
      </c>
    </row>
    <row r="4961" spans="2:7" x14ac:dyDescent="0.35">
      <c r="B4961" s="1">
        <v>45864</v>
      </c>
      <c r="C4961" s="2">
        <v>0.625</v>
      </c>
      <c r="D4961">
        <v>22.6</v>
      </c>
      <c r="E4961">
        <f>IF($D4961 &gt; 16, 0, $J$3*(16 - $D4961))</f>
        <v>0</v>
      </c>
      <c r="F4961">
        <f>IF($D4961 &gt; 16, 0,$E4961*$J$5)</f>
        <v>0</v>
      </c>
      <c r="G4961">
        <f t="shared" si="77"/>
        <v>0</v>
      </c>
    </row>
    <row r="4962" spans="2:7" x14ac:dyDescent="0.35">
      <c r="B4962" s="1">
        <v>45864</v>
      </c>
      <c r="C4962" s="2">
        <v>0.66666666666666663</v>
      </c>
      <c r="D4962">
        <v>23.8</v>
      </c>
      <c r="E4962">
        <f>IF($D4962 &gt; 16, 0, $J$3*(16 - $D4962))</f>
        <v>0</v>
      </c>
      <c r="F4962">
        <f>IF($D4962 &gt; 16, 0,$E4962*$J$5)</f>
        <v>0</v>
      </c>
      <c r="G4962">
        <f t="shared" si="77"/>
        <v>0</v>
      </c>
    </row>
    <row r="4963" spans="2:7" x14ac:dyDescent="0.35">
      <c r="B4963" s="1">
        <v>45864</v>
      </c>
      <c r="C4963" s="2">
        <v>0.70833333333333337</v>
      </c>
      <c r="D4963">
        <v>21.5</v>
      </c>
      <c r="E4963">
        <f>IF($D4963 &gt; 16, 0, $J$3*(16 - $D4963))</f>
        <v>0</v>
      </c>
      <c r="F4963">
        <f>IF($D4963 &gt; 16, 0,$E4963*$J$5)</f>
        <v>0</v>
      </c>
      <c r="G4963">
        <f t="shared" si="77"/>
        <v>0</v>
      </c>
    </row>
    <row r="4964" spans="2:7" x14ac:dyDescent="0.35">
      <c r="B4964" s="1">
        <v>45864</v>
      </c>
      <c r="C4964" s="2">
        <v>0.75</v>
      </c>
      <c r="D4964">
        <v>20</v>
      </c>
      <c r="E4964">
        <f>IF($D4964 &gt; 16, 0, $J$3*(16 - $D4964))</f>
        <v>0</v>
      </c>
      <c r="F4964">
        <f>IF($D4964 &gt; 16, 0,$E4964*$J$5)</f>
        <v>0</v>
      </c>
      <c r="G4964">
        <f t="shared" si="77"/>
        <v>0</v>
      </c>
    </row>
    <row r="4965" spans="2:7" x14ac:dyDescent="0.35">
      <c r="B4965" s="1">
        <v>45864</v>
      </c>
      <c r="C4965" s="2">
        <v>0.79166666666666663</v>
      </c>
      <c r="D4965">
        <v>17.899999999999999</v>
      </c>
      <c r="E4965">
        <f>IF($D4965 &gt; 16, 0, $J$3*(16 - $D4965))</f>
        <v>0</v>
      </c>
      <c r="F4965">
        <f>IF($D4965 &gt; 16, 0,$E4965*$J$5)</f>
        <v>0</v>
      </c>
      <c r="G4965">
        <f t="shared" si="77"/>
        <v>0</v>
      </c>
    </row>
    <row r="4966" spans="2:7" x14ac:dyDescent="0.35">
      <c r="B4966" s="1">
        <v>45864</v>
      </c>
      <c r="C4966" s="2">
        <v>0.83333333333333337</v>
      </c>
      <c r="D4966">
        <v>18.3</v>
      </c>
      <c r="E4966">
        <f>IF($D4966 &gt; 16, 0, $J$3*(16 - $D4966))</f>
        <v>0</v>
      </c>
      <c r="F4966">
        <f>IF($D4966 &gt; 16, 0,$E4966*$J$5)</f>
        <v>0</v>
      </c>
      <c r="G4966">
        <f t="shared" si="77"/>
        <v>0</v>
      </c>
    </row>
    <row r="4967" spans="2:7" x14ac:dyDescent="0.35">
      <c r="B4967" s="1">
        <v>45864</v>
      </c>
      <c r="C4967" s="2">
        <v>0.875</v>
      </c>
      <c r="D4967">
        <v>18.899999999999999</v>
      </c>
      <c r="E4967">
        <f>IF($D4967 &gt; 16, 0, $J$3*(16 - $D4967))</f>
        <v>0</v>
      </c>
      <c r="F4967">
        <f>IF($D4967 &gt; 16, 0,$E4967*$J$5)</f>
        <v>0</v>
      </c>
      <c r="G4967">
        <f t="shared" si="77"/>
        <v>0</v>
      </c>
    </row>
    <row r="4968" spans="2:7" x14ac:dyDescent="0.35">
      <c r="B4968" s="1">
        <v>45864</v>
      </c>
      <c r="C4968" s="2">
        <v>0.91666666666666663</v>
      </c>
      <c r="D4968">
        <v>17.399999999999999</v>
      </c>
      <c r="E4968">
        <f>IF($D4968 &gt; 16, 0, $J$3*(16 - $D4968))</f>
        <v>0</v>
      </c>
      <c r="F4968">
        <f>IF($D4968 &gt; 16, 0,$E4968*$J$5)</f>
        <v>0</v>
      </c>
      <c r="G4968">
        <f t="shared" si="77"/>
        <v>0</v>
      </c>
    </row>
    <row r="4969" spans="2:7" x14ac:dyDescent="0.35">
      <c r="B4969" s="1">
        <v>45864</v>
      </c>
      <c r="C4969" s="2">
        <v>0.95833333333333337</v>
      </c>
      <c r="D4969">
        <v>16.399999999999999</v>
      </c>
      <c r="E4969">
        <f>IF($D4969 &gt; 16, 0, $J$3*(16 - $D4969))</f>
        <v>0</v>
      </c>
      <c r="F4969">
        <f>IF($D4969 &gt; 16, 0,$E4969*$J$5)</f>
        <v>0</v>
      </c>
      <c r="G4969">
        <f t="shared" si="77"/>
        <v>0</v>
      </c>
    </row>
    <row r="4970" spans="2:7" x14ac:dyDescent="0.35">
      <c r="B4970" s="1">
        <v>45865</v>
      </c>
      <c r="C4970" s="2">
        <v>0</v>
      </c>
      <c r="D4970">
        <v>15.3</v>
      </c>
      <c r="E4970">
        <f>IF($D4970 &gt; 16, 0, $J$3*(16 - $D4970))</f>
        <v>145.42404989048774</v>
      </c>
      <c r="F4970">
        <f>IF($D4970 &gt; 16, 0,$E4970*$J$5)</f>
        <v>1580613.9982597113</v>
      </c>
      <c r="G4970">
        <f t="shared" si="77"/>
        <v>0.69999999999999929</v>
      </c>
    </row>
    <row r="4971" spans="2:7" x14ac:dyDescent="0.35">
      <c r="B4971" s="1">
        <v>45865</v>
      </c>
      <c r="C4971" s="2">
        <v>4.1666666666666657E-2</v>
      </c>
      <c r="D4971">
        <v>15.3</v>
      </c>
      <c r="E4971">
        <f>IF($D4971 &gt; 16, 0, $J$3*(16 - $D4971))</f>
        <v>145.42404989048774</v>
      </c>
      <c r="F4971">
        <f>IF($D4971 &gt; 16, 0,$E4971*$J$5)</f>
        <v>1580613.9982597113</v>
      </c>
      <c r="G4971">
        <f t="shared" si="77"/>
        <v>0.69999999999999929</v>
      </c>
    </row>
    <row r="4972" spans="2:7" x14ac:dyDescent="0.35">
      <c r="B4972" s="1">
        <v>45865</v>
      </c>
      <c r="C4972" s="2">
        <v>8.3333333333333329E-2</v>
      </c>
      <c r="D4972">
        <v>15.5</v>
      </c>
      <c r="E4972">
        <f>IF($D4972 &gt; 16, 0, $J$3*(16 - $D4972))</f>
        <v>103.8743213503485</v>
      </c>
      <c r="F4972">
        <f>IF($D4972 &gt; 16, 0,$E4972*$J$5)</f>
        <v>1129009.9987569377</v>
      </c>
      <c r="G4972">
        <f t="shared" si="77"/>
        <v>0.5</v>
      </c>
    </row>
    <row r="4973" spans="2:7" x14ac:dyDescent="0.35">
      <c r="B4973" s="1">
        <v>45865</v>
      </c>
      <c r="C4973" s="2">
        <v>0.125</v>
      </c>
      <c r="D4973">
        <v>15.9</v>
      </c>
      <c r="E4973">
        <f>IF($D4973 &gt; 16, 0, $J$3*(16 - $D4973))</f>
        <v>20.774864270069624</v>
      </c>
      <c r="F4973">
        <f>IF($D4973 &gt; 16, 0,$E4973*$J$5)</f>
        <v>225801.99975138676</v>
      </c>
      <c r="G4973">
        <f t="shared" si="77"/>
        <v>9.9999999999999645E-2</v>
      </c>
    </row>
    <row r="4974" spans="2:7" x14ac:dyDescent="0.35">
      <c r="B4974" s="1">
        <v>45865</v>
      </c>
      <c r="C4974" s="2">
        <v>0.16666666666666671</v>
      </c>
      <c r="D4974">
        <v>16</v>
      </c>
      <c r="E4974">
        <f>IF($D4974 &gt; 16, 0, $J$3*(16 - $D4974))</f>
        <v>0</v>
      </c>
      <c r="F4974">
        <f>IF($D4974 &gt; 16, 0,$E4974*$J$5)</f>
        <v>0</v>
      </c>
      <c r="G4974">
        <f t="shared" si="77"/>
        <v>0</v>
      </c>
    </row>
    <row r="4975" spans="2:7" x14ac:dyDescent="0.35">
      <c r="B4975" s="1">
        <v>45865</v>
      </c>
      <c r="C4975" s="2">
        <v>0.20833333333333329</v>
      </c>
      <c r="D4975">
        <v>16.2</v>
      </c>
      <c r="E4975">
        <f>IF($D4975 &gt; 16, 0, $J$3*(16 - $D4975))</f>
        <v>0</v>
      </c>
      <c r="F4975">
        <f>IF($D4975 &gt; 16, 0,$E4975*$J$5)</f>
        <v>0</v>
      </c>
      <c r="G4975">
        <f t="shared" si="77"/>
        <v>0</v>
      </c>
    </row>
    <row r="4976" spans="2:7" x14ac:dyDescent="0.35">
      <c r="B4976" s="1">
        <v>45865</v>
      </c>
      <c r="C4976" s="2">
        <v>0.25</v>
      </c>
      <c r="D4976">
        <v>17.3</v>
      </c>
      <c r="E4976">
        <f>IF($D4976 &gt; 16, 0, $J$3*(16 - $D4976))</f>
        <v>0</v>
      </c>
      <c r="F4976">
        <f>IF($D4976 &gt; 16, 0,$E4976*$J$5)</f>
        <v>0</v>
      </c>
      <c r="G4976">
        <f t="shared" si="77"/>
        <v>0</v>
      </c>
    </row>
    <row r="4977" spans="2:7" x14ac:dyDescent="0.35">
      <c r="B4977" s="1">
        <v>45865</v>
      </c>
      <c r="C4977" s="2">
        <v>0.29166666666666669</v>
      </c>
      <c r="D4977">
        <v>17.3</v>
      </c>
      <c r="E4977">
        <f>IF($D4977 &gt; 16, 0, $J$3*(16 - $D4977))</f>
        <v>0</v>
      </c>
      <c r="F4977">
        <f>IF($D4977 &gt; 16, 0,$E4977*$J$5)</f>
        <v>0</v>
      </c>
      <c r="G4977">
        <f t="shared" si="77"/>
        <v>0</v>
      </c>
    </row>
    <row r="4978" spans="2:7" x14ac:dyDescent="0.35">
      <c r="B4978" s="1">
        <v>45865</v>
      </c>
      <c r="C4978" s="2">
        <v>0.33333333333333331</v>
      </c>
      <c r="D4978">
        <v>17.600000000000001</v>
      </c>
      <c r="E4978">
        <f>IF($D4978 &gt; 16, 0, $J$3*(16 - $D4978))</f>
        <v>0</v>
      </c>
      <c r="F4978">
        <f>IF($D4978 &gt; 16, 0,$E4978*$J$5)</f>
        <v>0</v>
      </c>
      <c r="G4978">
        <f t="shared" si="77"/>
        <v>0</v>
      </c>
    </row>
    <row r="4979" spans="2:7" x14ac:dyDescent="0.35">
      <c r="B4979" s="1">
        <v>45865</v>
      </c>
      <c r="C4979" s="2">
        <v>0.375</v>
      </c>
      <c r="D4979">
        <v>17.3</v>
      </c>
      <c r="E4979">
        <f>IF($D4979 &gt; 16, 0, $J$3*(16 - $D4979))</f>
        <v>0</v>
      </c>
      <c r="F4979">
        <f>IF($D4979 &gt; 16, 0,$E4979*$J$5)</f>
        <v>0</v>
      </c>
      <c r="G4979">
        <f t="shared" si="77"/>
        <v>0</v>
      </c>
    </row>
    <row r="4980" spans="2:7" x14ac:dyDescent="0.35">
      <c r="B4980" s="1">
        <v>45865</v>
      </c>
      <c r="C4980" s="2">
        <v>0.41666666666666669</v>
      </c>
      <c r="D4980">
        <v>16.7</v>
      </c>
      <c r="E4980">
        <f>IF($D4980 &gt; 16, 0, $J$3*(16 - $D4980))</f>
        <v>0</v>
      </c>
      <c r="F4980">
        <f>IF($D4980 &gt; 16, 0,$E4980*$J$5)</f>
        <v>0</v>
      </c>
      <c r="G4980">
        <f t="shared" si="77"/>
        <v>0</v>
      </c>
    </row>
    <row r="4981" spans="2:7" x14ac:dyDescent="0.35">
      <c r="B4981" s="1">
        <v>45865</v>
      </c>
      <c r="C4981" s="2">
        <v>0.45833333333333331</v>
      </c>
      <c r="D4981">
        <v>18.8</v>
      </c>
      <c r="E4981">
        <f>IF($D4981 &gt; 16, 0, $J$3*(16 - $D4981))</f>
        <v>0</v>
      </c>
      <c r="F4981">
        <f>IF($D4981 &gt; 16, 0,$E4981*$J$5)</f>
        <v>0</v>
      </c>
      <c r="G4981">
        <f t="shared" si="77"/>
        <v>0</v>
      </c>
    </row>
    <row r="4982" spans="2:7" x14ac:dyDescent="0.35">
      <c r="B4982" s="1">
        <v>45865</v>
      </c>
      <c r="C4982" s="2">
        <v>0.5</v>
      </c>
      <c r="D4982">
        <v>18.5</v>
      </c>
      <c r="E4982">
        <f>IF($D4982 &gt; 16, 0, $J$3*(16 - $D4982))</f>
        <v>0</v>
      </c>
      <c r="F4982">
        <f>IF($D4982 &gt; 16, 0,$E4982*$J$5)</f>
        <v>0</v>
      </c>
      <c r="G4982">
        <f t="shared" si="77"/>
        <v>0</v>
      </c>
    </row>
    <row r="4983" spans="2:7" x14ac:dyDescent="0.35">
      <c r="B4983" s="1">
        <v>45865</v>
      </c>
      <c r="C4983" s="2">
        <v>0.54166666666666663</v>
      </c>
      <c r="D4983">
        <v>19.7</v>
      </c>
      <c r="E4983">
        <f>IF($D4983 &gt; 16, 0, $J$3*(16 - $D4983))</f>
        <v>0</v>
      </c>
      <c r="F4983">
        <f>IF($D4983 &gt; 16, 0,$E4983*$J$5)</f>
        <v>0</v>
      </c>
      <c r="G4983">
        <f t="shared" si="77"/>
        <v>0</v>
      </c>
    </row>
    <row r="4984" spans="2:7" x14ac:dyDescent="0.35">
      <c r="B4984" s="1">
        <v>45865</v>
      </c>
      <c r="C4984" s="2">
        <v>0.58333333333333337</v>
      </c>
      <c r="D4984">
        <v>18.8</v>
      </c>
      <c r="E4984">
        <f>IF($D4984 &gt; 16, 0, $J$3*(16 - $D4984))</f>
        <v>0</v>
      </c>
      <c r="F4984">
        <f>IF($D4984 &gt; 16, 0,$E4984*$J$5)</f>
        <v>0</v>
      </c>
      <c r="G4984">
        <f t="shared" si="77"/>
        <v>0</v>
      </c>
    </row>
    <row r="4985" spans="2:7" x14ac:dyDescent="0.35">
      <c r="B4985" s="1">
        <v>45865</v>
      </c>
      <c r="C4985" s="2">
        <v>0.625</v>
      </c>
      <c r="D4985">
        <v>19.5</v>
      </c>
      <c r="E4985">
        <f>IF($D4985 &gt; 16, 0, $J$3*(16 - $D4985))</f>
        <v>0</v>
      </c>
      <c r="F4985">
        <f>IF($D4985 &gt; 16, 0,$E4985*$J$5)</f>
        <v>0</v>
      </c>
      <c r="G4985">
        <f t="shared" si="77"/>
        <v>0</v>
      </c>
    </row>
    <row r="4986" spans="2:7" x14ac:dyDescent="0.35">
      <c r="B4986" s="1">
        <v>45865</v>
      </c>
      <c r="C4986" s="2">
        <v>0.66666666666666663</v>
      </c>
      <c r="D4986">
        <v>20.100000000000001</v>
      </c>
      <c r="E4986">
        <f>IF($D4986 &gt; 16, 0, $J$3*(16 - $D4986))</f>
        <v>0</v>
      </c>
      <c r="F4986">
        <f>IF($D4986 &gt; 16, 0,$E4986*$J$5)</f>
        <v>0</v>
      </c>
      <c r="G4986">
        <f t="shared" si="77"/>
        <v>0</v>
      </c>
    </row>
    <row r="4987" spans="2:7" x14ac:dyDescent="0.35">
      <c r="B4987" s="1">
        <v>45865</v>
      </c>
      <c r="C4987" s="2">
        <v>0.70833333333333337</v>
      </c>
      <c r="D4987">
        <v>19.7</v>
      </c>
      <c r="E4987">
        <f>IF($D4987 &gt; 16, 0, $J$3*(16 - $D4987))</f>
        <v>0</v>
      </c>
      <c r="F4987">
        <f>IF($D4987 &gt; 16, 0,$E4987*$J$5)</f>
        <v>0</v>
      </c>
      <c r="G4987">
        <f t="shared" si="77"/>
        <v>0</v>
      </c>
    </row>
    <row r="4988" spans="2:7" x14ac:dyDescent="0.35">
      <c r="B4988" s="1">
        <v>45865</v>
      </c>
      <c r="C4988" s="2">
        <v>0.75</v>
      </c>
      <c r="D4988">
        <v>19.899999999999999</v>
      </c>
      <c r="E4988">
        <f>IF($D4988 &gt; 16, 0, $J$3*(16 - $D4988))</f>
        <v>0</v>
      </c>
      <c r="F4988">
        <f>IF($D4988 &gt; 16, 0,$E4988*$J$5)</f>
        <v>0</v>
      </c>
      <c r="G4988">
        <f t="shared" si="77"/>
        <v>0</v>
      </c>
    </row>
    <row r="4989" spans="2:7" x14ac:dyDescent="0.35">
      <c r="B4989" s="1">
        <v>45865</v>
      </c>
      <c r="C4989" s="2">
        <v>0.79166666666666663</v>
      </c>
      <c r="D4989">
        <v>18.399999999999999</v>
      </c>
      <c r="E4989">
        <f>IF($D4989 &gt; 16, 0, $J$3*(16 - $D4989))</f>
        <v>0</v>
      </c>
      <c r="F4989">
        <f>IF($D4989 &gt; 16, 0,$E4989*$J$5)</f>
        <v>0</v>
      </c>
      <c r="G4989">
        <f t="shared" si="77"/>
        <v>0</v>
      </c>
    </row>
    <row r="4990" spans="2:7" x14ac:dyDescent="0.35">
      <c r="B4990" s="1">
        <v>45865</v>
      </c>
      <c r="C4990" s="2">
        <v>0.83333333333333337</v>
      </c>
      <c r="D4990">
        <v>17.600000000000001</v>
      </c>
      <c r="E4990">
        <f>IF($D4990 &gt; 16, 0, $J$3*(16 - $D4990))</f>
        <v>0</v>
      </c>
      <c r="F4990">
        <f>IF($D4990 &gt; 16, 0,$E4990*$J$5)</f>
        <v>0</v>
      </c>
      <c r="G4990">
        <f t="shared" si="77"/>
        <v>0</v>
      </c>
    </row>
    <row r="4991" spans="2:7" x14ac:dyDescent="0.35">
      <c r="B4991" s="1">
        <v>45865</v>
      </c>
      <c r="C4991" s="2">
        <v>0.875</v>
      </c>
      <c r="D4991">
        <v>17.2</v>
      </c>
      <c r="E4991">
        <f>IF($D4991 &gt; 16, 0, $J$3*(16 - $D4991))</f>
        <v>0</v>
      </c>
      <c r="F4991">
        <f>IF($D4991 &gt; 16, 0,$E4991*$J$5)</f>
        <v>0</v>
      </c>
      <c r="G4991">
        <f t="shared" si="77"/>
        <v>0</v>
      </c>
    </row>
    <row r="4992" spans="2:7" x14ac:dyDescent="0.35">
      <c r="B4992" s="1">
        <v>45865</v>
      </c>
      <c r="C4992" s="2">
        <v>0.91666666666666663</v>
      </c>
      <c r="D4992">
        <v>17</v>
      </c>
      <c r="E4992">
        <f>IF($D4992 &gt; 16, 0, $J$3*(16 - $D4992))</f>
        <v>0</v>
      </c>
      <c r="F4992">
        <f>IF($D4992 &gt; 16, 0,$E4992*$J$5)</f>
        <v>0</v>
      </c>
      <c r="G4992">
        <f t="shared" si="77"/>
        <v>0</v>
      </c>
    </row>
    <row r="4993" spans="2:7" x14ac:dyDescent="0.35">
      <c r="B4993" s="1">
        <v>45865</v>
      </c>
      <c r="C4993" s="2">
        <v>0.95833333333333337</v>
      </c>
      <c r="D4993">
        <v>16.8</v>
      </c>
      <c r="E4993">
        <f>IF($D4993 &gt; 16, 0, $J$3*(16 - $D4993))</f>
        <v>0</v>
      </c>
      <c r="F4993">
        <f>IF($D4993 &gt; 16, 0,$E4993*$J$5)</f>
        <v>0</v>
      </c>
      <c r="G4993">
        <f t="shared" si="77"/>
        <v>0</v>
      </c>
    </row>
    <row r="4994" spans="2:7" x14ac:dyDescent="0.35">
      <c r="B4994" s="1">
        <v>45866</v>
      </c>
      <c r="C4994" s="2">
        <v>0</v>
      </c>
      <c r="D4994">
        <v>16.600000000000001</v>
      </c>
      <c r="E4994">
        <f>IF($D4994 &gt; 16, 0, $J$3*(16 - $D4994))</f>
        <v>0</v>
      </c>
      <c r="F4994">
        <f>IF($D4994 &gt; 16, 0,$E4994*$J$5)</f>
        <v>0</v>
      </c>
      <c r="G4994">
        <f t="shared" si="77"/>
        <v>0</v>
      </c>
    </row>
    <row r="4995" spans="2:7" x14ac:dyDescent="0.35">
      <c r="B4995" s="1">
        <v>45866</v>
      </c>
      <c r="C4995" s="2">
        <v>4.1666666666666657E-2</v>
      </c>
      <c r="D4995">
        <v>16.3</v>
      </c>
      <c r="E4995">
        <f>IF($D4995 &gt; 16, 0, $J$3*(16 - $D4995))</f>
        <v>0</v>
      </c>
      <c r="F4995">
        <f>IF($D4995 &gt; 16, 0,$E4995*$J$5)</f>
        <v>0</v>
      </c>
      <c r="G4995">
        <f t="shared" ref="G4995:G5058" si="78">MAX(0, 16 - $D4995)</f>
        <v>0</v>
      </c>
    </row>
    <row r="4996" spans="2:7" x14ac:dyDescent="0.35">
      <c r="B4996" s="1">
        <v>45866</v>
      </c>
      <c r="C4996" s="2">
        <v>8.3333333333333329E-2</v>
      </c>
      <c r="D4996">
        <v>16.100000000000001</v>
      </c>
      <c r="E4996">
        <f>IF($D4996 &gt; 16, 0, $J$3*(16 - $D4996))</f>
        <v>0</v>
      </c>
      <c r="F4996">
        <f>IF($D4996 &gt; 16, 0,$E4996*$J$5)</f>
        <v>0</v>
      </c>
      <c r="G4996">
        <f t="shared" si="78"/>
        <v>0</v>
      </c>
    </row>
    <row r="4997" spans="2:7" x14ac:dyDescent="0.35">
      <c r="B4997" s="1">
        <v>45866</v>
      </c>
      <c r="C4997" s="2">
        <v>0.125</v>
      </c>
      <c r="D4997">
        <v>15.7</v>
      </c>
      <c r="E4997">
        <f>IF($D4997 &gt; 16, 0, $J$3*(16 - $D4997))</f>
        <v>62.324592810209246</v>
      </c>
      <c r="F4997">
        <f>IF($D4997 &gt; 16, 0,$E4997*$J$5)</f>
        <v>677405.99925416429</v>
      </c>
      <c r="G4997">
        <f t="shared" si="78"/>
        <v>0.30000000000000071</v>
      </c>
    </row>
    <row r="4998" spans="2:7" x14ac:dyDescent="0.35">
      <c r="B4998" s="1">
        <v>45866</v>
      </c>
      <c r="C4998" s="2">
        <v>0.16666666666666671</v>
      </c>
      <c r="D4998">
        <v>15.6</v>
      </c>
      <c r="E4998">
        <f>IF($D4998 &gt; 16, 0, $J$3*(16 - $D4998))</f>
        <v>83.099457080278867</v>
      </c>
      <c r="F4998">
        <f>IF($D4998 &gt; 16, 0,$E4998*$J$5)</f>
        <v>903207.99900555098</v>
      </c>
      <c r="G4998">
        <f t="shared" si="78"/>
        <v>0.40000000000000036</v>
      </c>
    </row>
    <row r="4999" spans="2:7" x14ac:dyDescent="0.35">
      <c r="B4999" s="1">
        <v>45866</v>
      </c>
      <c r="C4999" s="2">
        <v>0.20833333333333329</v>
      </c>
      <c r="D4999">
        <v>15.8</v>
      </c>
      <c r="E4999">
        <f>IF($D4999 &gt; 16, 0, $J$3*(16 - $D4999))</f>
        <v>41.549728540139249</v>
      </c>
      <c r="F4999">
        <f>IF($D4999 &gt; 16, 0,$E4999*$J$5)</f>
        <v>451603.99950277351</v>
      </c>
      <c r="G4999">
        <f t="shared" si="78"/>
        <v>0.19999999999999929</v>
      </c>
    </row>
    <row r="5000" spans="2:7" x14ac:dyDescent="0.35">
      <c r="B5000" s="1">
        <v>45866</v>
      </c>
      <c r="C5000" s="2">
        <v>0.25</v>
      </c>
      <c r="D5000">
        <v>16.3</v>
      </c>
      <c r="E5000">
        <f>IF($D5000 &gt; 16, 0, $J$3*(16 - $D5000))</f>
        <v>0</v>
      </c>
      <c r="F5000">
        <f>IF($D5000 &gt; 16, 0,$E5000*$J$5)</f>
        <v>0</v>
      </c>
      <c r="G5000">
        <f t="shared" si="78"/>
        <v>0</v>
      </c>
    </row>
    <row r="5001" spans="2:7" x14ac:dyDescent="0.35">
      <c r="B5001" s="1">
        <v>45866</v>
      </c>
      <c r="C5001" s="2">
        <v>0.29166666666666669</v>
      </c>
      <c r="D5001">
        <v>17.399999999999999</v>
      </c>
      <c r="E5001">
        <f>IF($D5001 &gt; 16, 0, $J$3*(16 - $D5001))</f>
        <v>0</v>
      </c>
      <c r="F5001">
        <f>IF($D5001 &gt; 16, 0,$E5001*$J$5)</f>
        <v>0</v>
      </c>
      <c r="G5001">
        <f t="shared" si="78"/>
        <v>0</v>
      </c>
    </row>
    <row r="5002" spans="2:7" x14ac:dyDescent="0.35">
      <c r="B5002" s="1">
        <v>45866</v>
      </c>
      <c r="C5002" s="2">
        <v>0.33333333333333331</v>
      </c>
      <c r="D5002">
        <v>18.600000000000001</v>
      </c>
      <c r="E5002">
        <f>IF($D5002 &gt; 16, 0, $J$3*(16 - $D5002))</f>
        <v>0</v>
      </c>
      <c r="F5002">
        <f>IF($D5002 &gt; 16, 0,$E5002*$J$5)</f>
        <v>0</v>
      </c>
      <c r="G5002">
        <f t="shared" si="78"/>
        <v>0</v>
      </c>
    </row>
    <row r="5003" spans="2:7" x14ac:dyDescent="0.35">
      <c r="B5003" s="1">
        <v>45866</v>
      </c>
      <c r="C5003" s="2">
        <v>0.375</v>
      </c>
      <c r="D5003">
        <v>19.5</v>
      </c>
      <c r="E5003">
        <f>IF($D5003 &gt; 16, 0, $J$3*(16 - $D5003))</f>
        <v>0</v>
      </c>
      <c r="F5003">
        <f>IF($D5003 &gt; 16, 0,$E5003*$J$5)</f>
        <v>0</v>
      </c>
      <c r="G5003">
        <f t="shared" si="78"/>
        <v>0</v>
      </c>
    </row>
    <row r="5004" spans="2:7" x14ac:dyDescent="0.35">
      <c r="B5004" s="1">
        <v>45866</v>
      </c>
      <c r="C5004" s="2">
        <v>0.41666666666666669</v>
      </c>
      <c r="D5004">
        <v>20.3</v>
      </c>
      <c r="E5004">
        <f>IF($D5004 &gt; 16, 0, $J$3*(16 - $D5004))</f>
        <v>0</v>
      </c>
      <c r="F5004">
        <f>IF($D5004 &gt; 16, 0,$E5004*$J$5)</f>
        <v>0</v>
      </c>
      <c r="G5004">
        <f t="shared" si="78"/>
        <v>0</v>
      </c>
    </row>
    <row r="5005" spans="2:7" x14ac:dyDescent="0.35">
      <c r="B5005" s="1">
        <v>45866</v>
      </c>
      <c r="C5005" s="2">
        <v>0.45833333333333331</v>
      </c>
      <c r="D5005">
        <v>21</v>
      </c>
      <c r="E5005">
        <f>IF($D5005 &gt; 16, 0, $J$3*(16 - $D5005))</f>
        <v>0</v>
      </c>
      <c r="F5005">
        <f>IF($D5005 &gt; 16, 0,$E5005*$J$5)</f>
        <v>0</v>
      </c>
      <c r="G5005">
        <f t="shared" si="78"/>
        <v>0</v>
      </c>
    </row>
    <row r="5006" spans="2:7" x14ac:dyDescent="0.35">
      <c r="B5006" s="1">
        <v>45866</v>
      </c>
      <c r="C5006" s="2">
        <v>0.5</v>
      </c>
      <c r="D5006">
        <v>18.7</v>
      </c>
      <c r="E5006">
        <f>IF($D5006 &gt; 16, 0, $J$3*(16 - $D5006))</f>
        <v>0</v>
      </c>
      <c r="F5006">
        <f>IF($D5006 &gt; 16, 0,$E5006*$J$5)</f>
        <v>0</v>
      </c>
      <c r="G5006">
        <f t="shared" si="78"/>
        <v>0</v>
      </c>
    </row>
    <row r="5007" spans="2:7" x14ac:dyDescent="0.35">
      <c r="B5007" s="1">
        <v>45866</v>
      </c>
      <c r="C5007" s="2">
        <v>0.54166666666666663</v>
      </c>
      <c r="D5007">
        <v>21.4</v>
      </c>
      <c r="E5007">
        <f>IF($D5007 &gt; 16, 0, $J$3*(16 - $D5007))</f>
        <v>0</v>
      </c>
      <c r="F5007">
        <f>IF($D5007 &gt; 16, 0,$E5007*$J$5)</f>
        <v>0</v>
      </c>
      <c r="G5007">
        <f t="shared" si="78"/>
        <v>0</v>
      </c>
    </row>
    <row r="5008" spans="2:7" x14ac:dyDescent="0.35">
      <c r="B5008" s="1">
        <v>45866</v>
      </c>
      <c r="C5008" s="2">
        <v>0.58333333333333337</v>
      </c>
      <c r="D5008">
        <v>20.100000000000001</v>
      </c>
      <c r="E5008">
        <f>IF($D5008 &gt; 16, 0, $J$3*(16 - $D5008))</f>
        <v>0</v>
      </c>
      <c r="F5008">
        <f>IF($D5008 &gt; 16, 0,$E5008*$J$5)</f>
        <v>0</v>
      </c>
      <c r="G5008">
        <f t="shared" si="78"/>
        <v>0</v>
      </c>
    </row>
    <row r="5009" spans="2:7" x14ac:dyDescent="0.35">
      <c r="B5009" s="1">
        <v>45866</v>
      </c>
      <c r="C5009" s="2">
        <v>0.625</v>
      </c>
      <c r="D5009">
        <v>21.6</v>
      </c>
      <c r="E5009">
        <f>IF($D5009 &gt; 16, 0, $J$3*(16 - $D5009))</f>
        <v>0</v>
      </c>
      <c r="F5009">
        <f>IF($D5009 &gt; 16, 0,$E5009*$J$5)</f>
        <v>0</v>
      </c>
      <c r="G5009">
        <f t="shared" si="78"/>
        <v>0</v>
      </c>
    </row>
    <row r="5010" spans="2:7" x14ac:dyDescent="0.35">
      <c r="B5010" s="1">
        <v>45866</v>
      </c>
      <c r="C5010" s="2">
        <v>0.66666666666666663</v>
      </c>
      <c r="D5010">
        <v>21.5</v>
      </c>
      <c r="E5010">
        <f>IF($D5010 &gt; 16, 0, $J$3*(16 - $D5010))</f>
        <v>0</v>
      </c>
      <c r="F5010">
        <f>IF($D5010 &gt; 16, 0,$E5010*$J$5)</f>
        <v>0</v>
      </c>
      <c r="G5010">
        <f t="shared" si="78"/>
        <v>0</v>
      </c>
    </row>
    <row r="5011" spans="2:7" x14ac:dyDescent="0.35">
      <c r="B5011" s="1">
        <v>45866</v>
      </c>
      <c r="C5011" s="2">
        <v>0.70833333333333337</v>
      </c>
      <c r="D5011">
        <v>19.3</v>
      </c>
      <c r="E5011">
        <f>IF($D5011 &gt; 16, 0, $J$3*(16 - $D5011))</f>
        <v>0</v>
      </c>
      <c r="F5011">
        <f>IF($D5011 &gt; 16, 0,$E5011*$J$5)</f>
        <v>0</v>
      </c>
      <c r="G5011">
        <f t="shared" si="78"/>
        <v>0</v>
      </c>
    </row>
    <row r="5012" spans="2:7" x14ac:dyDescent="0.35">
      <c r="B5012" s="1">
        <v>45866</v>
      </c>
      <c r="C5012" s="2">
        <v>0.75</v>
      </c>
      <c r="D5012">
        <v>19.2</v>
      </c>
      <c r="E5012">
        <f>IF($D5012 &gt; 16, 0, $J$3*(16 - $D5012))</f>
        <v>0</v>
      </c>
      <c r="F5012">
        <f>IF($D5012 &gt; 16, 0,$E5012*$J$5)</f>
        <v>0</v>
      </c>
      <c r="G5012">
        <f t="shared" si="78"/>
        <v>0</v>
      </c>
    </row>
    <row r="5013" spans="2:7" x14ac:dyDescent="0.35">
      <c r="B5013" s="1">
        <v>45866</v>
      </c>
      <c r="C5013" s="2">
        <v>0.79166666666666663</v>
      </c>
      <c r="D5013">
        <v>18</v>
      </c>
      <c r="E5013">
        <f>IF($D5013 &gt; 16, 0, $J$3*(16 - $D5013))</f>
        <v>0</v>
      </c>
      <c r="F5013">
        <f>IF($D5013 &gt; 16, 0,$E5013*$J$5)</f>
        <v>0</v>
      </c>
      <c r="G5013">
        <f t="shared" si="78"/>
        <v>0</v>
      </c>
    </row>
    <row r="5014" spans="2:7" x14ac:dyDescent="0.35">
      <c r="B5014" s="1">
        <v>45866</v>
      </c>
      <c r="C5014" s="2">
        <v>0.83333333333333337</v>
      </c>
      <c r="D5014">
        <v>16.899999999999999</v>
      </c>
      <c r="E5014">
        <f>IF($D5014 &gt; 16, 0, $J$3*(16 - $D5014))</f>
        <v>0</v>
      </c>
      <c r="F5014">
        <f>IF($D5014 &gt; 16, 0,$E5014*$J$5)</f>
        <v>0</v>
      </c>
      <c r="G5014">
        <f t="shared" si="78"/>
        <v>0</v>
      </c>
    </row>
    <row r="5015" spans="2:7" x14ac:dyDescent="0.35">
      <c r="B5015" s="1">
        <v>45866</v>
      </c>
      <c r="C5015" s="2">
        <v>0.875</v>
      </c>
      <c r="D5015">
        <v>16</v>
      </c>
      <c r="E5015">
        <f>IF($D5015 &gt; 16, 0, $J$3*(16 - $D5015))</f>
        <v>0</v>
      </c>
      <c r="F5015">
        <f>IF($D5015 &gt; 16, 0,$E5015*$J$5)</f>
        <v>0</v>
      </c>
      <c r="G5015">
        <f t="shared" si="78"/>
        <v>0</v>
      </c>
    </row>
    <row r="5016" spans="2:7" x14ac:dyDescent="0.35">
      <c r="B5016" s="1">
        <v>45866</v>
      </c>
      <c r="C5016" s="2">
        <v>0.91666666666666663</v>
      </c>
      <c r="D5016">
        <v>15.4</v>
      </c>
      <c r="E5016">
        <f>IF($D5016 &gt; 16, 0, $J$3*(16 - $D5016))</f>
        <v>124.64918562041812</v>
      </c>
      <c r="F5016">
        <f>IF($D5016 &gt; 16, 0,$E5016*$J$5)</f>
        <v>1354811.9985083246</v>
      </c>
      <c r="G5016">
        <f t="shared" si="78"/>
        <v>0.59999999999999964</v>
      </c>
    </row>
    <row r="5017" spans="2:7" x14ac:dyDescent="0.35">
      <c r="B5017" s="1">
        <v>45866</v>
      </c>
      <c r="C5017" s="2">
        <v>0.95833333333333337</v>
      </c>
      <c r="D5017">
        <v>15.4</v>
      </c>
      <c r="E5017">
        <f>IF($D5017 &gt; 16, 0, $J$3*(16 - $D5017))</f>
        <v>124.64918562041812</v>
      </c>
      <c r="F5017">
        <f>IF($D5017 &gt; 16, 0,$E5017*$J$5)</f>
        <v>1354811.9985083246</v>
      </c>
      <c r="G5017">
        <f t="shared" si="78"/>
        <v>0.59999999999999964</v>
      </c>
    </row>
    <row r="5018" spans="2:7" x14ac:dyDescent="0.35">
      <c r="B5018" s="1">
        <v>45867</v>
      </c>
      <c r="C5018" s="2">
        <v>0</v>
      </c>
      <c r="D5018">
        <v>14.8</v>
      </c>
      <c r="E5018">
        <f>IF($D5018 &gt; 16, 0, $J$3*(16 - $D5018))</f>
        <v>249.29837124083625</v>
      </c>
      <c r="F5018">
        <f>IF($D5018 &gt; 16, 0,$E5018*$J$5)</f>
        <v>2709623.9970166492</v>
      </c>
      <c r="G5018">
        <f t="shared" si="78"/>
        <v>1.1999999999999993</v>
      </c>
    </row>
    <row r="5019" spans="2:7" x14ac:dyDescent="0.35">
      <c r="B5019" s="1">
        <v>45867</v>
      </c>
      <c r="C5019" s="2">
        <v>4.1666666666666657E-2</v>
      </c>
      <c r="D5019">
        <v>14.2</v>
      </c>
      <c r="E5019">
        <f>IF($D5019 &gt; 16, 0, $J$3*(16 - $D5019))</f>
        <v>373.94755686125472</v>
      </c>
      <c r="F5019">
        <f>IF($D5019 &gt; 16, 0,$E5019*$J$5)</f>
        <v>4064435.9955249778</v>
      </c>
      <c r="G5019">
        <f t="shared" si="78"/>
        <v>1.8000000000000007</v>
      </c>
    </row>
    <row r="5020" spans="2:7" x14ac:dyDescent="0.35">
      <c r="B5020" s="1">
        <v>45867</v>
      </c>
      <c r="C5020" s="2">
        <v>8.3333333333333329E-2</v>
      </c>
      <c r="D5020">
        <v>14.1</v>
      </c>
      <c r="E5020">
        <f>IF($D5020 &gt; 16, 0, $J$3*(16 - $D5020))</f>
        <v>394.72242113132438</v>
      </c>
      <c r="F5020">
        <f>IF($D5020 &gt; 16, 0,$E5020*$J$5)</f>
        <v>4290237.9952763645</v>
      </c>
      <c r="G5020">
        <f t="shared" si="78"/>
        <v>1.9000000000000004</v>
      </c>
    </row>
    <row r="5021" spans="2:7" x14ac:dyDescent="0.35">
      <c r="B5021" s="1">
        <v>45867</v>
      </c>
      <c r="C5021" s="2">
        <v>0.125</v>
      </c>
      <c r="D5021">
        <v>13.8</v>
      </c>
      <c r="E5021">
        <f>IF($D5021 &gt; 16, 0, $J$3*(16 - $D5021))</f>
        <v>457.04701394153324</v>
      </c>
      <c r="F5021">
        <f>IF($D5021 &gt; 16, 0,$E5021*$J$5)</f>
        <v>4967643.9945305251</v>
      </c>
      <c r="G5021">
        <f t="shared" si="78"/>
        <v>2.1999999999999993</v>
      </c>
    </row>
    <row r="5022" spans="2:7" x14ac:dyDescent="0.35">
      <c r="B5022" s="1">
        <v>45867</v>
      </c>
      <c r="C5022" s="2">
        <v>0.16666666666666671</v>
      </c>
      <c r="D5022">
        <v>14.4</v>
      </c>
      <c r="E5022">
        <f>IF($D5022 &gt; 16, 0, $J$3*(16 - $D5022))</f>
        <v>332.39782832111513</v>
      </c>
      <c r="F5022">
        <f>IF($D5022 &gt; 16, 0,$E5022*$J$5)</f>
        <v>3612831.9960222002</v>
      </c>
      <c r="G5022">
        <f t="shared" si="78"/>
        <v>1.5999999999999996</v>
      </c>
    </row>
    <row r="5023" spans="2:7" x14ac:dyDescent="0.35">
      <c r="B5023" s="1">
        <v>45867</v>
      </c>
      <c r="C5023" s="2">
        <v>0.20833333333333329</v>
      </c>
      <c r="D5023">
        <v>15</v>
      </c>
      <c r="E5023">
        <f>IF($D5023 &gt; 16, 0, $J$3*(16 - $D5023))</f>
        <v>207.74864270069699</v>
      </c>
      <c r="F5023">
        <f>IF($D5023 &gt; 16, 0,$E5023*$J$5)</f>
        <v>2258019.9975138754</v>
      </c>
      <c r="G5023">
        <f t="shared" si="78"/>
        <v>1</v>
      </c>
    </row>
    <row r="5024" spans="2:7" x14ac:dyDescent="0.35">
      <c r="B5024" s="1">
        <v>45867</v>
      </c>
      <c r="C5024" s="2">
        <v>0.25</v>
      </c>
      <c r="D5024">
        <v>15.4</v>
      </c>
      <c r="E5024">
        <f>IF($D5024 &gt; 16, 0, $J$3*(16 - $D5024))</f>
        <v>124.64918562041812</v>
      </c>
      <c r="F5024">
        <f>IF($D5024 &gt; 16, 0,$E5024*$J$5)</f>
        <v>1354811.9985083246</v>
      </c>
      <c r="G5024">
        <f t="shared" si="78"/>
        <v>0.59999999999999964</v>
      </c>
    </row>
    <row r="5025" spans="2:7" x14ac:dyDescent="0.35">
      <c r="B5025" s="1">
        <v>45867</v>
      </c>
      <c r="C5025" s="2">
        <v>0.29166666666666669</v>
      </c>
      <c r="D5025">
        <v>16.899999999999999</v>
      </c>
      <c r="E5025">
        <f>IF($D5025 &gt; 16, 0, $J$3*(16 - $D5025))</f>
        <v>0</v>
      </c>
      <c r="F5025">
        <f>IF($D5025 &gt; 16, 0,$E5025*$J$5)</f>
        <v>0</v>
      </c>
      <c r="G5025">
        <f t="shared" si="78"/>
        <v>0</v>
      </c>
    </row>
    <row r="5026" spans="2:7" x14ac:dyDescent="0.35">
      <c r="B5026" s="1">
        <v>45867</v>
      </c>
      <c r="C5026" s="2">
        <v>0.33333333333333331</v>
      </c>
      <c r="D5026">
        <v>17.7</v>
      </c>
      <c r="E5026">
        <f>IF($D5026 &gt; 16, 0, $J$3*(16 - $D5026))</f>
        <v>0</v>
      </c>
      <c r="F5026">
        <f>IF($D5026 &gt; 16, 0,$E5026*$J$5)</f>
        <v>0</v>
      </c>
      <c r="G5026">
        <f t="shared" si="78"/>
        <v>0</v>
      </c>
    </row>
    <row r="5027" spans="2:7" x14ac:dyDescent="0.35">
      <c r="B5027" s="1">
        <v>45867</v>
      </c>
      <c r="C5027" s="2">
        <v>0.375</v>
      </c>
      <c r="D5027">
        <v>17.100000000000001</v>
      </c>
      <c r="E5027">
        <f>IF($D5027 &gt; 16, 0, $J$3*(16 - $D5027))</f>
        <v>0</v>
      </c>
      <c r="F5027">
        <f>IF($D5027 &gt; 16, 0,$E5027*$J$5)</f>
        <v>0</v>
      </c>
      <c r="G5027">
        <f t="shared" si="78"/>
        <v>0</v>
      </c>
    </row>
    <row r="5028" spans="2:7" x14ac:dyDescent="0.35">
      <c r="B5028" s="1">
        <v>45867</v>
      </c>
      <c r="C5028" s="2">
        <v>0.41666666666666669</v>
      </c>
      <c r="D5028">
        <v>16.8</v>
      </c>
      <c r="E5028">
        <f>IF($D5028 &gt; 16, 0, $J$3*(16 - $D5028))</f>
        <v>0</v>
      </c>
      <c r="F5028">
        <f>IF($D5028 &gt; 16, 0,$E5028*$J$5)</f>
        <v>0</v>
      </c>
      <c r="G5028">
        <f t="shared" si="78"/>
        <v>0</v>
      </c>
    </row>
    <row r="5029" spans="2:7" x14ac:dyDescent="0.35">
      <c r="B5029" s="1">
        <v>45867</v>
      </c>
      <c r="C5029" s="2">
        <v>0.45833333333333331</v>
      </c>
      <c r="D5029">
        <v>19.100000000000001</v>
      </c>
      <c r="E5029">
        <f>IF($D5029 &gt; 16, 0, $J$3*(16 - $D5029))</f>
        <v>0</v>
      </c>
      <c r="F5029">
        <f>IF($D5029 &gt; 16, 0,$E5029*$J$5)</f>
        <v>0</v>
      </c>
      <c r="G5029">
        <f t="shared" si="78"/>
        <v>0</v>
      </c>
    </row>
    <row r="5030" spans="2:7" x14ac:dyDescent="0.35">
      <c r="B5030" s="1">
        <v>45867</v>
      </c>
      <c r="C5030" s="2">
        <v>0.5</v>
      </c>
      <c r="D5030">
        <v>16.8</v>
      </c>
      <c r="E5030">
        <f>IF($D5030 &gt; 16, 0, $J$3*(16 - $D5030))</f>
        <v>0</v>
      </c>
      <c r="F5030">
        <f>IF($D5030 &gt; 16, 0,$E5030*$J$5)</f>
        <v>0</v>
      </c>
      <c r="G5030">
        <f t="shared" si="78"/>
        <v>0</v>
      </c>
    </row>
    <row r="5031" spans="2:7" x14ac:dyDescent="0.35">
      <c r="B5031" s="1">
        <v>45867</v>
      </c>
      <c r="C5031" s="2">
        <v>0.54166666666666663</v>
      </c>
      <c r="D5031">
        <v>20.6</v>
      </c>
      <c r="E5031">
        <f>IF($D5031 &gt; 16, 0, $J$3*(16 - $D5031))</f>
        <v>0</v>
      </c>
      <c r="F5031">
        <f>IF($D5031 &gt; 16, 0,$E5031*$J$5)</f>
        <v>0</v>
      </c>
      <c r="G5031">
        <f t="shared" si="78"/>
        <v>0</v>
      </c>
    </row>
    <row r="5032" spans="2:7" x14ac:dyDescent="0.35">
      <c r="B5032" s="1">
        <v>45867</v>
      </c>
      <c r="C5032" s="2">
        <v>0.58333333333333337</v>
      </c>
      <c r="D5032">
        <v>17.8</v>
      </c>
      <c r="E5032">
        <f>IF($D5032 &gt; 16, 0, $J$3*(16 - $D5032))</f>
        <v>0</v>
      </c>
      <c r="F5032">
        <f>IF($D5032 &gt; 16, 0,$E5032*$J$5)</f>
        <v>0</v>
      </c>
      <c r="G5032">
        <f t="shared" si="78"/>
        <v>0</v>
      </c>
    </row>
    <row r="5033" spans="2:7" x14ac:dyDescent="0.35">
      <c r="B5033" s="1">
        <v>45867</v>
      </c>
      <c r="C5033" s="2">
        <v>0.625</v>
      </c>
      <c r="D5033">
        <v>18.8</v>
      </c>
      <c r="E5033">
        <f>IF($D5033 &gt; 16, 0, $J$3*(16 - $D5033))</f>
        <v>0</v>
      </c>
      <c r="F5033">
        <f>IF($D5033 &gt; 16, 0,$E5033*$J$5)</f>
        <v>0</v>
      </c>
      <c r="G5033">
        <f t="shared" si="78"/>
        <v>0</v>
      </c>
    </row>
    <row r="5034" spans="2:7" x14ac:dyDescent="0.35">
      <c r="B5034" s="1">
        <v>45867</v>
      </c>
      <c r="C5034" s="2">
        <v>0.66666666666666663</v>
      </c>
      <c r="D5034">
        <v>19</v>
      </c>
      <c r="E5034">
        <f>IF($D5034 &gt; 16, 0, $J$3*(16 - $D5034))</f>
        <v>0</v>
      </c>
      <c r="F5034">
        <f>IF($D5034 &gt; 16, 0,$E5034*$J$5)</f>
        <v>0</v>
      </c>
      <c r="G5034">
        <f t="shared" si="78"/>
        <v>0</v>
      </c>
    </row>
    <row r="5035" spans="2:7" x14ac:dyDescent="0.35">
      <c r="B5035" s="1">
        <v>45867</v>
      </c>
      <c r="C5035" s="2">
        <v>0.70833333333333337</v>
      </c>
      <c r="D5035">
        <v>18.5</v>
      </c>
      <c r="E5035">
        <f>IF($D5035 &gt; 16, 0, $J$3*(16 - $D5035))</f>
        <v>0</v>
      </c>
      <c r="F5035">
        <f>IF($D5035 &gt; 16, 0,$E5035*$J$5)</f>
        <v>0</v>
      </c>
      <c r="G5035">
        <f t="shared" si="78"/>
        <v>0</v>
      </c>
    </row>
    <row r="5036" spans="2:7" x14ac:dyDescent="0.35">
      <c r="B5036" s="1">
        <v>45867</v>
      </c>
      <c r="C5036" s="2">
        <v>0.75</v>
      </c>
      <c r="D5036">
        <v>17.7</v>
      </c>
      <c r="E5036">
        <f>IF($D5036 &gt; 16, 0, $J$3*(16 - $D5036))</f>
        <v>0</v>
      </c>
      <c r="F5036">
        <f>IF($D5036 &gt; 16, 0,$E5036*$J$5)</f>
        <v>0</v>
      </c>
      <c r="G5036">
        <f t="shared" si="78"/>
        <v>0</v>
      </c>
    </row>
    <row r="5037" spans="2:7" x14ac:dyDescent="0.35">
      <c r="B5037" s="1">
        <v>45867</v>
      </c>
      <c r="C5037" s="2">
        <v>0.79166666666666663</v>
      </c>
      <c r="D5037">
        <v>16.600000000000001</v>
      </c>
      <c r="E5037">
        <f>IF($D5037 &gt; 16, 0, $J$3*(16 - $D5037))</f>
        <v>0</v>
      </c>
      <c r="F5037">
        <f>IF($D5037 &gt; 16, 0,$E5037*$J$5)</f>
        <v>0</v>
      </c>
      <c r="G5037">
        <f t="shared" si="78"/>
        <v>0</v>
      </c>
    </row>
    <row r="5038" spans="2:7" x14ac:dyDescent="0.35">
      <c r="B5038" s="1">
        <v>45867</v>
      </c>
      <c r="C5038" s="2">
        <v>0.83333333333333337</v>
      </c>
      <c r="D5038">
        <v>15.6</v>
      </c>
      <c r="E5038">
        <f>IF($D5038 &gt; 16, 0, $J$3*(16 - $D5038))</f>
        <v>83.099457080278867</v>
      </c>
      <c r="F5038">
        <f>IF($D5038 &gt; 16, 0,$E5038*$J$5)</f>
        <v>903207.99900555098</v>
      </c>
      <c r="G5038">
        <f t="shared" si="78"/>
        <v>0.40000000000000036</v>
      </c>
    </row>
    <row r="5039" spans="2:7" x14ac:dyDescent="0.35">
      <c r="B5039" s="1">
        <v>45867</v>
      </c>
      <c r="C5039" s="2">
        <v>0.875</v>
      </c>
      <c r="D5039">
        <v>15.4</v>
      </c>
      <c r="E5039">
        <f>IF($D5039 &gt; 16, 0, $J$3*(16 - $D5039))</f>
        <v>124.64918562041812</v>
      </c>
      <c r="F5039">
        <f>IF($D5039 &gt; 16, 0,$E5039*$J$5)</f>
        <v>1354811.9985083246</v>
      </c>
      <c r="G5039">
        <f t="shared" si="78"/>
        <v>0.59999999999999964</v>
      </c>
    </row>
    <row r="5040" spans="2:7" x14ac:dyDescent="0.35">
      <c r="B5040" s="1">
        <v>45867</v>
      </c>
      <c r="C5040" s="2">
        <v>0.91666666666666663</v>
      </c>
      <c r="D5040">
        <v>14</v>
      </c>
      <c r="E5040">
        <f>IF($D5040 &gt; 16, 0, $J$3*(16 - $D5040))</f>
        <v>415.49728540139398</v>
      </c>
      <c r="F5040">
        <f>IF($D5040 &gt; 16, 0,$E5040*$J$5)</f>
        <v>4516039.9950277507</v>
      </c>
      <c r="G5040">
        <f t="shared" si="78"/>
        <v>2</v>
      </c>
    </row>
    <row r="5041" spans="2:7" x14ac:dyDescent="0.35">
      <c r="B5041" s="1">
        <v>45867</v>
      </c>
      <c r="C5041" s="2">
        <v>0.95833333333333337</v>
      </c>
      <c r="D5041">
        <v>14.2</v>
      </c>
      <c r="E5041">
        <f>IF($D5041 &gt; 16, 0, $J$3*(16 - $D5041))</f>
        <v>373.94755686125472</v>
      </c>
      <c r="F5041">
        <f>IF($D5041 &gt; 16, 0,$E5041*$J$5)</f>
        <v>4064435.9955249778</v>
      </c>
      <c r="G5041">
        <f t="shared" si="78"/>
        <v>1.8000000000000007</v>
      </c>
    </row>
    <row r="5042" spans="2:7" x14ac:dyDescent="0.35">
      <c r="B5042" s="1">
        <v>45868</v>
      </c>
      <c r="C5042" s="2">
        <v>0</v>
      </c>
      <c r="D5042">
        <v>12.9</v>
      </c>
      <c r="E5042">
        <f>IF($D5042 &gt; 16, 0, $J$3*(16 - $D5042))</f>
        <v>644.0207923721606</v>
      </c>
      <c r="F5042">
        <f>IF($D5042 &gt; 16, 0,$E5042*$J$5)</f>
        <v>6999861.9922930133</v>
      </c>
      <c r="G5042">
        <f t="shared" si="78"/>
        <v>3.0999999999999996</v>
      </c>
    </row>
    <row r="5043" spans="2:7" x14ac:dyDescent="0.35">
      <c r="B5043" s="1">
        <v>45868</v>
      </c>
      <c r="C5043" s="2">
        <v>4.1666666666666657E-2</v>
      </c>
      <c r="D5043">
        <v>13.3</v>
      </c>
      <c r="E5043">
        <f>IF($D5043 &gt; 16, 0, $J$3*(16 - $D5043))</f>
        <v>560.92133529188175</v>
      </c>
      <c r="F5043">
        <f>IF($D5043 &gt; 16, 0,$E5043*$J$5)</f>
        <v>6096653.9932874627</v>
      </c>
      <c r="G5043">
        <f t="shared" si="78"/>
        <v>2.6999999999999993</v>
      </c>
    </row>
    <row r="5044" spans="2:7" x14ac:dyDescent="0.35">
      <c r="B5044" s="1">
        <v>45868</v>
      </c>
      <c r="C5044" s="2">
        <v>8.3333333333333329E-2</v>
      </c>
      <c r="D5044">
        <v>13.2</v>
      </c>
      <c r="E5044">
        <f>IF($D5044 &gt; 16, 0, $J$3*(16 - $D5044))</f>
        <v>581.69619956195174</v>
      </c>
      <c r="F5044">
        <f>IF($D5044 &gt; 16, 0,$E5044*$J$5)</f>
        <v>6322455.9930388536</v>
      </c>
      <c r="G5044">
        <f t="shared" si="78"/>
        <v>2.8000000000000007</v>
      </c>
    </row>
    <row r="5045" spans="2:7" x14ac:dyDescent="0.35">
      <c r="B5045" s="1">
        <v>45868</v>
      </c>
      <c r="C5045" s="2">
        <v>0.125</v>
      </c>
      <c r="D5045">
        <v>12.8</v>
      </c>
      <c r="E5045">
        <f>IF($D5045 &gt; 16, 0, $J$3*(16 - $D5045))</f>
        <v>664.79565664223026</v>
      </c>
      <c r="F5045">
        <f>IF($D5045 &gt; 16, 0,$E5045*$J$5)</f>
        <v>7225663.9920444004</v>
      </c>
      <c r="G5045">
        <f t="shared" si="78"/>
        <v>3.1999999999999993</v>
      </c>
    </row>
    <row r="5046" spans="2:7" x14ac:dyDescent="0.35">
      <c r="B5046" s="1">
        <v>45868</v>
      </c>
      <c r="C5046" s="2">
        <v>0.16666666666666671</v>
      </c>
      <c r="D5046">
        <v>13</v>
      </c>
      <c r="E5046">
        <f>IF($D5046 &gt; 16, 0, $J$3*(16 - $D5046))</f>
        <v>623.24592810209094</v>
      </c>
      <c r="F5046">
        <f>IF($D5046 &gt; 16, 0,$E5046*$J$5)</f>
        <v>6774059.9925416261</v>
      </c>
      <c r="G5046">
        <f t="shared" si="78"/>
        <v>3</v>
      </c>
    </row>
    <row r="5047" spans="2:7" x14ac:dyDescent="0.35">
      <c r="B5047" s="1">
        <v>45868</v>
      </c>
      <c r="C5047" s="2">
        <v>0.20833333333333329</v>
      </c>
      <c r="D5047">
        <v>13.6</v>
      </c>
      <c r="E5047">
        <f>IF($D5047 &gt; 16, 0, $J$3*(16 - $D5047))</f>
        <v>498.59674248167283</v>
      </c>
      <c r="F5047">
        <f>IF($D5047 &gt; 16, 0,$E5047*$J$5)</f>
        <v>5419247.9940333022</v>
      </c>
      <c r="G5047">
        <f t="shared" si="78"/>
        <v>2.4000000000000004</v>
      </c>
    </row>
    <row r="5048" spans="2:7" x14ac:dyDescent="0.35">
      <c r="B5048" s="1">
        <v>45868</v>
      </c>
      <c r="C5048" s="2">
        <v>0.25</v>
      </c>
      <c r="D5048">
        <v>14.7</v>
      </c>
      <c r="E5048">
        <f>IF($D5048 &gt; 16, 0, $J$3*(16 - $D5048))</f>
        <v>270.07323551090622</v>
      </c>
      <c r="F5048">
        <f>IF($D5048 &gt; 16, 0,$E5048*$J$5)</f>
        <v>2935425.9967680397</v>
      </c>
      <c r="G5048">
        <f t="shared" si="78"/>
        <v>1.3000000000000007</v>
      </c>
    </row>
    <row r="5049" spans="2:7" x14ac:dyDescent="0.35">
      <c r="B5049" s="1">
        <v>45868</v>
      </c>
      <c r="C5049" s="2">
        <v>0.29166666666666669</v>
      </c>
      <c r="D5049">
        <v>15.6</v>
      </c>
      <c r="E5049">
        <f>IF($D5049 &gt; 16, 0, $J$3*(16 - $D5049))</f>
        <v>83.099457080278867</v>
      </c>
      <c r="F5049">
        <f>IF($D5049 &gt; 16, 0,$E5049*$J$5)</f>
        <v>903207.99900555098</v>
      </c>
      <c r="G5049">
        <f t="shared" si="78"/>
        <v>0.40000000000000036</v>
      </c>
    </row>
    <row r="5050" spans="2:7" x14ac:dyDescent="0.35">
      <c r="B5050" s="1">
        <v>45868</v>
      </c>
      <c r="C5050" s="2">
        <v>0.33333333333333331</v>
      </c>
      <c r="D5050">
        <v>15.7</v>
      </c>
      <c r="E5050">
        <f>IF($D5050 &gt; 16, 0, $J$3*(16 - $D5050))</f>
        <v>62.324592810209246</v>
      </c>
      <c r="F5050">
        <f>IF($D5050 &gt; 16, 0,$E5050*$J$5)</f>
        <v>677405.99925416429</v>
      </c>
      <c r="G5050">
        <f t="shared" si="78"/>
        <v>0.30000000000000071</v>
      </c>
    </row>
    <row r="5051" spans="2:7" x14ac:dyDescent="0.35">
      <c r="B5051" s="1">
        <v>45868</v>
      </c>
      <c r="C5051" s="2">
        <v>0.375</v>
      </c>
      <c r="D5051">
        <v>17.7</v>
      </c>
      <c r="E5051">
        <f>IF($D5051 &gt; 16, 0, $J$3*(16 - $D5051))</f>
        <v>0</v>
      </c>
      <c r="F5051">
        <f>IF($D5051 &gt; 16, 0,$E5051*$J$5)</f>
        <v>0</v>
      </c>
      <c r="G5051">
        <f t="shared" si="78"/>
        <v>0</v>
      </c>
    </row>
    <row r="5052" spans="2:7" x14ac:dyDescent="0.35">
      <c r="B5052" s="1">
        <v>45868</v>
      </c>
      <c r="C5052" s="2">
        <v>0.41666666666666669</v>
      </c>
      <c r="D5052">
        <v>17.899999999999999</v>
      </c>
      <c r="E5052">
        <f>IF($D5052 &gt; 16, 0, $J$3*(16 - $D5052))</f>
        <v>0</v>
      </c>
      <c r="F5052">
        <f>IF($D5052 &gt; 16, 0,$E5052*$J$5)</f>
        <v>0</v>
      </c>
      <c r="G5052">
        <f t="shared" si="78"/>
        <v>0</v>
      </c>
    </row>
    <row r="5053" spans="2:7" x14ac:dyDescent="0.35">
      <c r="B5053" s="1">
        <v>45868</v>
      </c>
      <c r="C5053" s="2">
        <v>0.45833333333333331</v>
      </c>
      <c r="D5053">
        <v>18.5</v>
      </c>
      <c r="E5053">
        <f>IF($D5053 &gt; 16, 0, $J$3*(16 - $D5053))</f>
        <v>0</v>
      </c>
      <c r="F5053">
        <f>IF($D5053 &gt; 16, 0,$E5053*$J$5)</f>
        <v>0</v>
      </c>
      <c r="G5053">
        <f t="shared" si="78"/>
        <v>0</v>
      </c>
    </row>
    <row r="5054" spans="2:7" x14ac:dyDescent="0.35">
      <c r="B5054" s="1">
        <v>45868</v>
      </c>
      <c r="C5054" s="2">
        <v>0.5</v>
      </c>
      <c r="D5054">
        <v>19.100000000000001</v>
      </c>
      <c r="E5054">
        <f>IF($D5054 &gt; 16, 0, $J$3*(16 - $D5054))</f>
        <v>0</v>
      </c>
      <c r="F5054">
        <f>IF($D5054 &gt; 16, 0,$E5054*$J$5)</f>
        <v>0</v>
      </c>
      <c r="G5054">
        <f t="shared" si="78"/>
        <v>0</v>
      </c>
    </row>
    <row r="5055" spans="2:7" x14ac:dyDescent="0.35">
      <c r="B5055" s="1">
        <v>45868</v>
      </c>
      <c r="C5055" s="2">
        <v>0.54166666666666663</v>
      </c>
      <c r="D5055">
        <v>16.7</v>
      </c>
      <c r="E5055">
        <f>IF($D5055 &gt; 16, 0, $J$3*(16 - $D5055))</f>
        <v>0</v>
      </c>
      <c r="F5055">
        <f>IF($D5055 &gt; 16, 0,$E5055*$J$5)</f>
        <v>0</v>
      </c>
      <c r="G5055">
        <f t="shared" si="78"/>
        <v>0</v>
      </c>
    </row>
    <row r="5056" spans="2:7" x14ac:dyDescent="0.35">
      <c r="B5056" s="1">
        <v>45868</v>
      </c>
      <c r="C5056" s="2">
        <v>0.58333333333333337</v>
      </c>
      <c r="D5056">
        <v>17</v>
      </c>
      <c r="E5056">
        <f>IF($D5056 &gt; 16, 0, $J$3*(16 - $D5056))</f>
        <v>0</v>
      </c>
      <c r="F5056">
        <f>IF($D5056 &gt; 16, 0,$E5056*$J$5)</f>
        <v>0</v>
      </c>
      <c r="G5056">
        <f t="shared" si="78"/>
        <v>0</v>
      </c>
    </row>
    <row r="5057" spans="2:7" x14ac:dyDescent="0.35">
      <c r="B5057" s="1">
        <v>45868</v>
      </c>
      <c r="C5057" s="2">
        <v>0.625</v>
      </c>
      <c r="D5057">
        <v>16.3</v>
      </c>
      <c r="E5057">
        <f>IF($D5057 &gt; 16, 0, $J$3*(16 - $D5057))</f>
        <v>0</v>
      </c>
      <c r="F5057">
        <f>IF($D5057 &gt; 16, 0,$E5057*$J$5)</f>
        <v>0</v>
      </c>
      <c r="G5057">
        <f t="shared" si="78"/>
        <v>0</v>
      </c>
    </row>
    <row r="5058" spans="2:7" x14ac:dyDescent="0.35">
      <c r="B5058" s="1">
        <v>45868</v>
      </c>
      <c r="C5058" s="2">
        <v>0.66666666666666663</v>
      </c>
      <c r="D5058">
        <v>16.600000000000001</v>
      </c>
      <c r="E5058">
        <f>IF($D5058 &gt; 16, 0, $J$3*(16 - $D5058))</f>
        <v>0</v>
      </c>
      <c r="F5058">
        <f>IF($D5058 &gt; 16, 0,$E5058*$J$5)</f>
        <v>0</v>
      </c>
      <c r="G5058">
        <f t="shared" si="78"/>
        <v>0</v>
      </c>
    </row>
    <row r="5059" spans="2:7" x14ac:dyDescent="0.35">
      <c r="B5059" s="1">
        <v>45868</v>
      </c>
      <c r="C5059" s="2">
        <v>0.70833333333333337</v>
      </c>
      <c r="D5059">
        <v>16.100000000000001</v>
      </c>
      <c r="E5059">
        <f>IF($D5059 &gt; 16, 0, $J$3*(16 - $D5059))</f>
        <v>0</v>
      </c>
      <c r="F5059">
        <f>IF($D5059 &gt; 16, 0,$E5059*$J$5)</f>
        <v>0</v>
      </c>
      <c r="G5059">
        <f t="shared" ref="G5059:G5122" si="79">MAX(0, 16 - $D5059)</f>
        <v>0</v>
      </c>
    </row>
    <row r="5060" spans="2:7" x14ac:dyDescent="0.35">
      <c r="B5060" s="1">
        <v>45868</v>
      </c>
      <c r="C5060" s="2">
        <v>0.75</v>
      </c>
      <c r="D5060">
        <v>15.4</v>
      </c>
      <c r="E5060">
        <f>IF($D5060 &gt; 16, 0, $J$3*(16 - $D5060))</f>
        <v>124.64918562041812</v>
      </c>
      <c r="F5060">
        <f>IF($D5060 &gt; 16, 0,$E5060*$J$5)</f>
        <v>1354811.9985083246</v>
      </c>
      <c r="G5060">
        <f t="shared" si="79"/>
        <v>0.59999999999999964</v>
      </c>
    </row>
    <row r="5061" spans="2:7" x14ac:dyDescent="0.35">
      <c r="B5061" s="1">
        <v>45868</v>
      </c>
      <c r="C5061" s="2">
        <v>0.79166666666666663</v>
      </c>
      <c r="D5061">
        <v>15</v>
      </c>
      <c r="E5061">
        <f>IF($D5061 &gt; 16, 0, $J$3*(16 - $D5061))</f>
        <v>207.74864270069699</v>
      </c>
      <c r="F5061">
        <f>IF($D5061 &gt; 16, 0,$E5061*$J$5)</f>
        <v>2258019.9975138754</v>
      </c>
      <c r="G5061">
        <f t="shared" si="79"/>
        <v>1</v>
      </c>
    </row>
    <row r="5062" spans="2:7" x14ac:dyDescent="0.35">
      <c r="B5062" s="1">
        <v>45868</v>
      </c>
      <c r="C5062" s="2">
        <v>0.83333333333333337</v>
      </c>
      <c r="D5062">
        <v>14.9</v>
      </c>
      <c r="E5062">
        <f>IF($D5062 &gt; 16, 0, $J$3*(16 - $D5062))</f>
        <v>228.52350697076662</v>
      </c>
      <c r="F5062">
        <f>IF($D5062 &gt; 16, 0,$E5062*$J$5)</f>
        <v>2483821.9972652625</v>
      </c>
      <c r="G5062">
        <f t="shared" si="79"/>
        <v>1.0999999999999996</v>
      </c>
    </row>
    <row r="5063" spans="2:7" x14ac:dyDescent="0.35">
      <c r="B5063" s="1">
        <v>45868</v>
      </c>
      <c r="C5063" s="2">
        <v>0.875</v>
      </c>
      <c r="D5063">
        <v>15.1</v>
      </c>
      <c r="E5063">
        <f>IF($D5063 &gt; 16, 0, $J$3*(16 - $D5063))</f>
        <v>186.97377843062736</v>
      </c>
      <c r="F5063">
        <f>IF($D5063 &gt; 16, 0,$E5063*$J$5)</f>
        <v>2032217.9977624889</v>
      </c>
      <c r="G5063">
        <f t="shared" si="79"/>
        <v>0.90000000000000036</v>
      </c>
    </row>
    <row r="5064" spans="2:7" x14ac:dyDescent="0.35">
      <c r="B5064" s="1">
        <v>45868</v>
      </c>
      <c r="C5064" s="2">
        <v>0.91666666666666663</v>
      </c>
      <c r="D5064">
        <v>14.7</v>
      </c>
      <c r="E5064">
        <f>IF($D5064 &gt; 16, 0, $J$3*(16 - $D5064))</f>
        <v>270.07323551090622</v>
      </c>
      <c r="F5064">
        <f>IF($D5064 &gt; 16, 0,$E5064*$J$5)</f>
        <v>2935425.9967680397</v>
      </c>
      <c r="G5064">
        <f t="shared" si="79"/>
        <v>1.3000000000000007</v>
      </c>
    </row>
    <row r="5065" spans="2:7" x14ac:dyDescent="0.35">
      <c r="B5065" s="1">
        <v>45868</v>
      </c>
      <c r="C5065" s="2">
        <v>0.95833333333333337</v>
      </c>
      <c r="D5065">
        <v>14.4</v>
      </c>
      <c r="E5065">
        <f>IF($D5065 &gt; 16, 0, $J$3*(16 - $D5065))</f>
        <v>332.39782832111513</v>
      </c>
      <c r="F5065">
        <f>IF($D5065 &gt; 16, 0,$E5065*$J$5)</f>
        <v>3612831.9960222002</v>
      </c>
      <c r="G5065">
        <f t="shared" si="79"/>
        <v>1.5999999999999996</v>
      </c>
    </row>
    <row r="5066" spans="2:7" x14ac:dyDescent="0.35">
      <c r="B5066" s="1">
        <v>45869</v>
      </c>
      <c r="C5066" s="2">
        <v>0</v>
      </c>
      <c r="D5066">
        <v>14.5</v>
      </c>
      <c r="E5066">
        <f>IF($D5066 &gt; 16, 0, $J$3*(16 - $D5066))</f>
        <v>311.62296405104547</v>
      </c>
      <c r="F5066">
        <f>IF($D5066 &gt; 16, 0,$E5066*$J$5)</f>
        <v>3387029.996270813</v>
      </c>
      <c r="G5066">
        <f t="shared" si="79"/>
        <v>1.5</v>
      </c>
    </row>
    <row r="5067" spans="2:7" x14ac:dyDescent="0.35">
      <c r="B5067" s="1">
        <v>45869</v>
      </c>
      <c r="C5067" s="2">
        <v>4.1666666666666657E-2</v>
      </c>
      <c r="D5067">
        <v>14.1</v>
      </c>
      <c r="E5067">
        <f>IF($D5067 &gt; 16, 0, $J$3*(16 - $D5067))</f>
        <v>394.72242113132438</v>
      </c>
      <c r="F5067">
        <f>IF($D5067 &gt; 16, 0,$E5067*$J$5)</f>
        <v>4290237.9952763645</v>
      </c>
      <c r="G5067">
        <f t="shared" si="79"/>
        <v>1.9000000000000004</v>
      </c>
    </row>
    <row r="5068" spans="2:7" x14ac:dyDescent="0.35">
      <c r="B5068" s="1">
        <v>45869</v>
      </c>
      <c r="C5068" s="2">
        <v>8.3333333333333329E-2</v>
      </c>
      <c r="D5068">
        <v>13.9</v>
      </c>
      <c r="E5068">
        <f>IF($D5068 &gt; 16, 0, $J$3*(16 - $D5068))</f>
        <v>436.27214967146358</v>
      </c>
      <c r="F5068">
        <f>IF($D5068 &gt; 16, 0,$E5068*$J$5)</f>
        <v>4741841.9947791379</v>
      </c>
      <c r="G5068">
        <f t="shared" si="79"/>
        <v>2.0999999999999996</v>
      </c>
    </row>
    <row r="5069" spans="2:7" x14ac:dyDescent="0.35">
      <c r="B5069" s="1">
        <v>45869</v>
      </c>
      <c r="C5069" s="2">
        <v>0.125</v>
      </c>
      <c r="D5069">
        <v>14.3</v>
      </c>
      <c r="E5069">
        <f>IF($D5069 &gt; 16, 0, $J$3*(16 - $D5069))</f>
        <v>353.17269259118473</v>
      </c>
      <c r="F5069">
        <f>IF($D5069 &gt; 16, 0,$E5069*$J$5)</f>
        <v>3838633.9957735869</v>
      </c>
      <c r="G5069">
        <f t="shared" si="79"/>
        <v>1.6999999999999993</v>
      </c>
    </row>
    <row r="5070" spans="2:7" x14ac:dyDescent="0.35">
      <c r="B5070" s="1">
        <v>45869</v>
      </c>
      <c r="C5070" s="2">
        <v>0.16666666666666671</v>
      </c>
      <c r="D5070">
        <v>14.3</v>
      </c>
      <c r="E5070">
        <f>IF($D5070 &gt; 16, 0, $J$3*(16 - $D5070))</f>
        <v>353.17269259118473</v>
      </c>
      <c r="F5070">
        <f>IF($D5070 &gt; 16, 0,$E5070*$J$5)</f>
        <v>3838633.9957735869</v>
      </c>
      <c r="G5070">
        <f t="shared" si="79"/>
        <v>1.6999999999999993</v>
      </c>
    </row>
    <row r="5071" spans="2:7" x14ac:dyDescent="0.35">
      <c r="B5071" s="1">
        <v>45869</v>
      </c>
      <c r="C5071" s="2">
        <v>0.20833333333333329</v>
      </c>
      <c r="D5071">
        <v>14.5</v>
      </c>
      <c r="E5071">
        <f>IF($D5071 &gt; 16, 0, $J$3*(16 - $D5071))</f>
        <v>311.62296405104547</v>
      </c>
      <c r="F5071">
        <f>IF($D5071 &gt; 16, 0,$E5071*$J$5)</f>
        <v>3387029.996270813</v>
      </c>
      <c r="G5071">
        <f t="shared" si="79"/>
        <v>1.5</v>
      </c>
    </row>
    <row r="5072" spans="2:7" x14ac:dyDescent="0.35">
      <c r="B5072" s="1">
        <v>45869</v>
      </c>
      <c r="C5072" s="2">
        <v>0.25</v>
      </c>
      <c r="D5072">
        <v>14.7</v>
      </c>
      <c r="E5072">
        <f>IF($D5072 &gt; 16, 0, $J$3*(16 - $D5072))</f>
        <v>270.07323551090622</v>
      </c>
      <c r="F5072">
        <f>IF($D5072 &gt; 16, 0,$E5072*$J$5)</f>
        <v>2935425.9967680397</v>
      </c>
      <c r="G5072">
        <f t="shared" si="79"/>
        <v>1.3000000000000007</v>
      </c>
    </row>
    <row r="5073" spans="2:7" x14ac:dyDescent="0.35">
      <c r="B5073" s="1">
        <v>45869</v>
      </c>
      <c r="C5073" s="2">
        <v>0.29166666666666669</v>
      </c>
      <c r="D5073">
        <v>15.5</v>
      </c>
      <c r="E5073">
        <f>IF($D5073 &gt; 16, 0, $J$3*(16 - $D5073))</f>
        <v>103.8743213503485</v>
      </c>
      <c r="F5073">
        <f>IF($D5073 &gt; 16, 0,$E5073*$J$5)</f>
        <v>1129009.9987569377</v>
      </c>
      <c r="G5073">
        <f t="shared" si="79"/>
        <v>0.5</v>
      </c>
    </row>
    <row r="5074" spans="2:7" x14ac:dyDescent="0.35">
      <c r="B5074" s="1">
        <v>45869</v>
      </c>
      <c r="C5074" s="2">
        <v>0.33333333333333331</v>
      </c>
      <c r="D5074">
        <v>16.7</v>
      </c>
      <c r="E5074">
        <f>IF($D5074 &gt; 16, 0, $J$3*(16 - $D5074))</f>
        <v>0</v>
      </c>
      <c r="F5074">
        <f>IF($D5074 &gt; 16, 0,$E5074*$J$5)</f>
        <v>0</v>
      </c>
      <c r="G5074">
        <f t="shared" si="79"/>
        <v>0</v>
      </c>
    </row>
    <row r="5075" spans="2:7" x14ac:dyDescent="0.35">
      <c r="B5075" s="1">
        <v>45869</v>
      </c>
      <c r="C5075" s="2">
        <v>0.375</v>
      </c>
      <c r="D5075">
        <v>17.2</v>
      </c>
      <c r="E5075">
        <f>IF($D5075 &gt; 16, 0, $J$3*(16 - $D5075))</f>
        <v>0</v>
      </c>
      <c r="F5075">
        <f>IF($D5075 &gt; 16, 0,$E5075*$J$5)</f>
        <v>0</v>
      </c>
      <c r="G5075">
        <f t="shared" si="79"/>
        <v>0</v>
      </c>
    </row>
    <row r="5076" spans="2:7" x14ac:dyDescent="0.35">
      <c r="B5076" s="1">
        <v>45869</v>
      </c>
      <c r="C5076" s="2">
        <v>0.41666666666666669</v>
      </c>
      <c r="D5076">
        <v>18.100000000000001</v>
      </c>
      <c r="E5076">
        <f>IF($D5076 &gt; 16, 0, $J$3*(16 - $D5076))</f>
        <v>0</v>
      </c>
      <c r="F5076">
        <f>IF($D5076 &gt; 16, 0,$E5076*$J$5)</f>
        <v>0</v>
      </c>
      <c r="G5076">
        <f t="shared" si="79"/>
        <v>0</v>
      </c>
    </row>
    <row r="5077" spans="2:7" x14ac:dyDescent="0.35">
      <c r="B5077" s="1">
        <v>45869</v>
      </c>
      <c r="C5077" s="2">
        <v>0.45833333333333331</v>
      </c>
      <c r="D5077">
        <v>18.8</v>
      </c>
      <c r="E5077">
        <f>IF($D5077 &gt; 16, 0, $J$3*(16 - $D5077))</f>
        <v>0</v>
      </c>
      <c r="F5077">
        <f>IF($D5077 &gt; 16, 0,$E5077*$J$5)</f>
        <v>0</v>
      </c>
      <c r="G5077">
        <f t="shared" si="79"/>
        <v>0</v>
      </c>
    </row>
    <row r="5078" spans="2:7" x14ac:dyDescent="0.35">
      <c r="B5078" s="1">
        <v>45869</v>
      </c>
      <c r="C5078" s="2">
        <v>0.5</v>
      </c>
      <c r="D5078">
        <v>19</v>
      </c>
      <c r="E5078">
        <f>IF($D5078 &gt; 16, 0, $J$3*(16 - $D5078))</f>
        <v>0</v>
      </c>
      <c r="F5078">
        <f>IF($D5078 &gt; 16, 0,$E5078*$J$5)</f>
        <v>0</v>
      </c>
      <c r="G5078">
        <f t="shared" si="79"/>
        <v>0</v>
      </c>
    </row>
    <row r="5079" spans="2:7" x14ac:dyDescent="0.35">
      <c r="B5079" s="1">
        <v>45869</v>
      </c>
      <c r="C5079" s="2">
        <v>0.54166666666666663</v>
      </c>
      <c r="D5079">
        <v>19.100000000000001</v>
      </c>
      <c r="E5079">
        <f>IF($D5079 &gt; 16, 0, $J$3*(16 - $D5079))</f>
        <v>0</v>
      </c>
      <c r="F5079">
        <f>IF($D5079 &gt; 16, 0,$E5079*$J$5)</f>
        <v>0</v>
      </c>
      <c r="G5079">
        <f t="shared" si="79"/>
        <v>0</v>
      </c>
    </row>
    <row r="5080" spans="2:7" x14ac:dyDescent="0.35">
      <c r="B5080" s="1">
        <v>45869</v>
      </c>
      <c r="C5080" s="2">
        <v>0.58333333333333337</v>
      </c>
      <c r="D5080">
        <v>17.899999999999999</v>
      </c>
      <c r="E5080">
        <f>IF($D5080 &gt; 16, 0, $J$3*(16 - $D5080))</f>
        <v>0</v>
      </c>
      <c r="F5080">
        <f>IF($D5080 &gt; 16, 0,$E5080*$J$5)</f>
        <v>0</v>
      </c>
      <c r="G5080">
        <f t="shared" si="79"/>
        <v>0</v>
      </c>
    </row>
    <row r="5081" spans="2:7" x14ac:dyDescent="0.35">
      <c r="B5081" s="1">
        <v>45869</v>
      </c>
      <c r="C5081" s="2">
        <v>0.625</v>
      </c>
      <c r="D5081">
        <v>17.899999999999999</v>
      </c>
      <c r="E5081">
        <f>IF($D5081 &gt; 16, 0, $J$3*(16 - $D5081))</f>
        <v>0</v>
      </c>
      <c r="F5081">
        <f>IF($D5081 &gt; 16, 0,$E5081*$J$5)</f>
        <v>0</v>
      </c>
      <c r="G5081">
        <f t="shared" si="79"/>
        <v>0</v>
      </c>
    </row>
    <row r="5082" spans="2:7" x14ac:dyDescent="0.35">
      <c r="B5082" s="1">
        <v>45869</v>
      </c>
      <c r="C5082" s="2">
        <v>0.66666666666666663</v>
      </c>
      <c r="D5082">
        <v>17.5</v>
      </c>
      <c r="E5082">
        <f>IF($D5082 &gt; 16, 0, $J$3*(16 - $D5082))</f>
        <v>0</v>
      </c>
      <c r="F5082">
        <f>IF($D5082 &gt; 16, 0,$E5082*$J$5)</f>
        <v>0</v>
      </c>
      <c r="G5082">
        <f t="shared" si="79"/>
        <v>0</v>
      </c>
    </row>
    <row r="5083" spans="2:7" x14ac:dyDescent="0.35">
      <c r="B5083" s="1">
        <v>45869</v>
      </c>
      <c r="C5083" s="2">
        <v>0.70833333333333337</v>
      </c>
      <c r="D5083">
        <v>16.899999999999999</v>
      </c>
      <c r="E5083">
        <f>IF($D5083 &gt; 16, 0, $J$3*(16 - $D5083))</f>
        <v>0</v>
      </c>
      <c r="F5083">
        <f>IF($D5083 &gt; 16, 0,$E5083*$J$5)</f>
        <v>0</v>
      </c>
      <c r="G5083">
        <f t="shared" si="79"/>
        <v>0</v>
      </c>
    </row>
    <row r="5084" spans="2:7" x14ac:dyDescent="0.35">
      <c r="B5084" s="1">
        <v>45869</v>
      </c>
      <c r="C5084" s="2">
        <v>0.75</v>
      </c>
      <c r="D5084">
        <v>17.2</v>
      </c>
      <c r="E5084">
        <f>IF($D5084 &gt; 16, 0, $J$3*(16 - $D5084))</f>
        <v>0</v>
      </c>
      <c r="F5084">
        <f>IF($D5084 &gt; 16, 0,$E5084*$J$5)</f>
        <v>0</v>
      </c>
      <c r="G5084">
        <f t="shared" si="79"/>
        <v>0</v>
      </c>
    </row>
    <row r="5085" spans="2:7" x14ac:dyDescent="0.35">
      <c r="B5085" s="1">
        <v>45869</v>
      </c>
      <c r="C5085" s="2">
        <v>0.79166666666666663</v>
      </c>
      <c r="D5085">
        <v>16.7</v>
      </c>
      <c r="E5085">
        <f>IF($D5085 &gt; 16, 0, $J$3*(16 - $D5085))</f>
        <v>0</v>
      </c>
      <c r="F5085">
        <f>IF($D5085 &gt; 16, 0,$E5085*$J$5)</f>
        <v>0</v>
      </c>
      <c r="G5085">
        <f t="shared" si="79"/>
        <v>0</v>
      </c>
    </row>
    <row r="5086" spans="2:7" x14ac:dyDescent="0.35">
      <c r="B5086" s="1">
        <v>45869</v>
      </c>
      <c r="C5086" s="2">
        <v>0.83333333333333337</v>
      </c>
      <c r="D5086">
        <v>16.3</v>
      </c>
      <c r="E5086">
        <f>IF($D5086 &gt; 16, 0, $J$3*(16 - $D5086))</f>
        <v>0</v>
      </c>
      <c r="F5086">
        <f>IF($D5086 &gt; 16, 0,$E5086*$J$5)</f>
        <v>0</v>
      </c>
      <c r="G5086">
        <f t="shared" si="79"/>
        <v>0</v>
      </c>
    </row>
    <row r="5087" spans="2:7" x14ac:dyDescent="0.35">
      <c r="B5087" s="1">
        <v>45869</v>
      </c>
      <c r="C5087" s="2">
        <v>0.875</v>
      </c>
      <c r="D5087">
        <v>15.8</v>
      </c>
      <c r="E5087">
        <f>IF($D5087 &gt; 16, 0, $J$3*(16 - $D5087))</f>
        <v>41.549728540139249</v>
      </c>
      <c r="F5087">
        <f>IF($D5087 &gt; 16, 0,$E5087*$J$5)</f>
        <v>451603.99950277351</v>
      </c>
      <c r="G5087">
        <f t="shared" si="79"/>
        <v>0.19999999999999929</v>
      </c>
    </row>
    <row r="5088" spans="2:7" x14ac:dyDescent="0.35">
      <c r="B5088" s="1">
        <v>45869</v>
      </c>
      <c r="C5088" s="2">
        <v>0.91666666666666663</v>
      </c>
      <c r="D5088">
        <v>15.5</v>
      </c>
      <c r="E5088">
        <f>IF($D5088 &gt; 16, 0, $J$3*(16 - $D5088))</f>
        <v>103.8743213503485</v>
      </c>
      <c r="F5088">
        <f>IF($D5088 &gt; 16, 0,$E5088*$J$5)</f>
        <v>1129009.9987569377</v>
      </c>
      <c r="G5088">
        <f t="shared" si="79"/>
        <v>0.5</v>
      </c>
    </row>
    <row r="5089" spans="2:7" x14ac:dyDescent="0.35">
      <c r="B5089" s="1">
        <v>45869</v>
      </c>
      <c r="C5089" s="2">
        <v>0.95833333333333337</v>
      </c>
      <c r="D5089">
        <v>15.3</v>
      </c>
      <c r="E5089">
        <f>IF($D5089 &gt; 16, 0, $J$3*(16 - $D5089))</f>
        <v>145.42404989048774</v>
      </c>
      <c r="F5089">
        <f>IF($D5089 &gt; 16, 0,$E5089*$J$5)</f>
        <v>1580613.9982597113</v>
      </c>
      <c r="G5089">
        <f t="shared" si="79"/>
        <v>0.69999999999999929</v>
      </c>
    </row>
    <row r="5090" spans="2:7" x14ac:dyDescent="0.35">
      <c r="B5090" s="1">
        <v>45870</v>
      </c>
      <c r="C5090" s="2">
        <v>0</v>
      </c>
      <c r="D5090">
        <v>15.4</v>
      </c>
      <c r="E5090">
        <f>IF($D5090 &gt; 16, 0, $J$3*(16 - $D5090))</f>
        <v>124.64918562041812</v>
      </c>
      <c r="F5090">
        <f>IF($D5090 &gt; 16, 0,$E5090*$J$5)</f>
        <v>1354811.9985083246</v>
      </c>
      <c r="G5090">
        <f t="shared" si="79"/>
        <v>0.59999999999999964</v>
      </c>
    </row>
    <row r="5091" spans="2:7" x14ac:dyDescent="0.35">
      <c r="B5091" s="1">
        <v>45870</v>
      </c>
      <c r="C5091" s="2">
        <v>4.1666666666666657E-2</v>
      </c>
      <c r="D5091">
        <v>15.4</v>
      </c>
      <c r="E5091">
        <f>IF($D5091 &gt; 16, 0, $J$3*(16 - $D5091))</f>
        <v>124.64918562041812</v>
      </c>
      <c r="F5091">
        <f>IF($D5091 &gt; 16, 0,$E5091*$J$5)</f>
        <v>1354811.9985083246</v>
      </c>
      <c r="G5091">
        <f t="shared" si="79"/>
        <v>0.59999999999999964</v>
      </c>
    </row>
    <row r="5092" spans="2:7" x14ac:dyDescent="0.35">
      <c r="B5092" s="1">
        <v>45870</v>
      </c>
      <c r="C5092" s="2">
        <v>8.3333333333333329E-2</v>
      </c>
      <c r="D5092">
        <v>15.1</v>
      </c>
      <c r="E5092">
        <f>IF($D5092 &gt; 16, 0, $J$3*(16 - $D5092))</f>
        <v>186.97377843062736</v>
      </c>
      <c r="F5092">
        <f>IF($D5092 &gt; 16, 0,$E5092*$J$5)</f>
        <v>2032217.9977624889</v>
      </c>
      <c r="G5092">
        <f t="shared" si="79"/>
        <v>0.90000000000000036</v>
      </c>
    </row>
    <row r="5093" spans="2:7" x14ac:dyDescent="0.35">
      <c r="B5093" s="1">
        <v>45870</v>
      </c>
      <c r="C5093" s="2">
        <v>0.125</v>
      </c>
      <c r="D5093">
        <v>15.1</v>
      </c>
      <c r="E5093">
        <f>IF($D5093 &gt; 16, 0, $J$3*(16 - $D5093))</f>
        <v>186.97377843062736</v>
      </c>
      <c r="F5093">
        <f>IF($D5093 &gt; 16, 0,$E5093*$J$5)</f>
        <v>2032217.9977624889</v>
      </c>
      <c r="G5093">
        <f t="shared" si="79"/>
        <v>0.90000000000000036</v>
      </c>
    </row>
    <row r="5094" spans="2:7" x14ac:dyDescent="0.35">
      <c r="B5094" s="1">
        <v>45870</v>
      </c>
      <c r="C5094" s="2">
        <v>0.16666666666666671</v>
      </c>
      <c r="D5094">
        <v>15.1</v>
      </c>
      <c r="E5094">
        <f>IF($D5094 &gt; 16, 0, $J$3*(16 - $D5094))</f>
        <v>186.97377843062736</v>
      </c>
      <c r="F5094">
        <f>IF($D5094 &gt; 16, 0,$E5094*$J$5)</f>
        <v>2032217.9977624889</v>
      </c>
      <c r="G5094">
        <f t="shared" si="79"/>
        <v>0.90000000000000036</v>
      </c>
    </row>
    <row r="5095" spans="2:7" x14ac:dyDescent="0.35">
      <c r="B5095" s="1">
        <v>45870</v>
      </c>
      <c r="C5095" s="2">
        <v>0.20833333333333329</v>
      </c>
      <c r="D5095">
        <v>15.3</v>
      </c>
      <c r="E5095">
        <f>IF($D5095 &gt; 16, 0, $J$3*(16 - $D5095))</f>
        <v>145.42404989048774</v>
      </c>
      <c r="F5095">
        <f>IF($D5095 &gt; 16, 0,$E5095*$J$5)</f>
        <v>1580613.9982597113</v>
      </c>
      <c r="G5095">
        <f t="shared" si="79"/>
        <v>0.69999999999999929</v>
      </c>
    </row>
    <row r="5096" spans="2:7" x14ac:dyDescent="0.35">
      <c r="B5096" s="1">
        <v>45870</v>
      </c>
      <c r="C5096" s="2">
        <v>0.25</v>
      </c>
      <c r="D5096">
        <v>15.6</v>
      </c>
      <c r="E5096">
        <f>IF($D5096 &gt; 16, 0, $J$3*(16 - $D5096))</f>
        <v>83.099457080278867</v>
      </c>
      <c r="F5096">
        <f>IF($D5096 &gt; 16, 0,$E5096*$J$5)</f>
        <v>903207.99900555098</v>
      </c>
      <c r="G5096">
        <f t="shared" si="79"/>
        <v>0.40000000000000036</v>
      </c>
    </row>
    <row r="5097" spans="2:7" x14ac:dyDescent="0.35">
      <c r="B5097" s="1">
        <v>45870</v>
      </c>
      <c r="C5097" s="2">
        <v>0.29166666666666669</v>
      </c>
      <c r="D5097">
        <v>15.9</v>
      </c>
      <c r="E5097">
        <f>IF($D5097 &gt; 16, 0, $J$3*(16 - $D5097))</f>
        <v>20.774864270069624</v>
      </c>
      <c r="F5097">
        <f>IF($D5097 &gt; 16, 0,$E5097*$J$5)</f>
        <v>225801.99975138676</v>
      </c>
      <c r="G5097">
        <f t="shared" si="79"/>
        <v>9.9999999999999645E-2</v>
      </c>
    </row>
    <row r="5098" spans="2:7" x14ac:dyDescent="0.35">
      <c r="B5098" s="1">
        <v>45870</v>
      </c>
      <c r="C5098" s="2">
        <v>0.33333333333333331</v>
      </c>
      <c r="D5098">
        <v>15.6</v>
      </c>
      <c r="E5098">
        <f>IF($D5098 &gt; 16, 0, $J$3*(16 - $D5098))</f>
        <v>83.099457080278867</v>
      </c>
      <c r="F5098">
        <f>IF($D5098 &gt; 16, 0,$E5098*$J$5)</f>
        <v>903207.99900555098</v>
      </c>
      <c r="G5098">
        <f t="shared" si="79"/>
        <v>0.40000000000000036</v>
      </c>
    </row>
    <row r="5099" spans="2:7" x14ac:dyDescent="0.35">
      <c r="B5099" s="1">
        <v>45870</v>
      </c>
      <c r="C5099" s="2">
        <v>0.375</v>
      </c>
      <c r="D5099">
        <v>17.5</v>
      </c>
      <c r="E5099">
        <f>IF($D5099 &gt; 16, 0, $J$3*(16 - $D5099))</f>
        <v>0</v>
      </c>
      <c r="F5099">
        <f>IF($D5099 &gt; 16, 0,$E5099*$J$5)</f>
        <v>0</v>
      </c>
      <c r="G5099">
        <f t="shared" si="79"/>
        <v>0</v>
      </c>
    </row>
    <row r="5100" spans="2:7" x14ac:dyDescent="0.35">
      <c r="B5100" s="1">
        <v>45870</v>
      </c>
      <c r="C5100" s="2">
        <v>0.41666666666666669</v>
      </c>
      <c r="D5100">
        <v>18.5</v>
      </c>
      <c r="E5100">
        <f>IF($D5100 &gt; 16, 0, $J$3*(16 - $D5100))</f>
        <v>0</v>
      </c>
      <c r="F5100">
        <f>IF($D5100 &gt; 16, 0,$E5100*$J$5)</f>
        <v>0</v>
      </c>
      <c r="G5100">
        <f t="shared" si="79"/>
        <v>0</v>
      </c>
    </row>
    <row r="5101" spans="2:7" x14ac:dyDescent="0.35">
      <c r="B5101" s="1">
        <v>45870</v>
      </c>
      <c r="C5101" s="2">
        <v>0.45833333333333331</v>
      </c>
      <c r="D5101">
        <v>16.100000000000001</v>
      </c>
      <c r="E5101">
        <f>IF($D5101 &gt; 16, 0, $J$3*(16 - $D5101))</f>
        <v>0</v>
      </c>
      <c r="F5101">
        <f>IF($D5101 &gt; 16, 0,$E5101*$J$5)</f>
        <v>0</v>
      </c>
      <c r="G5101">
        <f t="shared" si="79"/>
        <v>0</v>
      </c>
    </row>
    <row r="5102" spans="2:7" x14ac:dyDescent="0.35">
      <c r="B5102" s="1">
        <v>45870</v>
      </c>
      <c r="C5102" s="2">
        <v>0.5</v>
      </c>
      <c r="D5102">
        <v>18.3</v>
      </c>
      <c r="E5102">
        <f>IF($D5102 &gt; 16, 0, $J$3*(16 - $D5102))</f>
        <v>0</v>
      </c>
      <c r="F5102">
        <f>IF($D5102 &gt; 16, 0,$E5102*$J$5)</f>
        <v>0</v>
      </c>
      <c r="G5102">
        <f t="shared" si="79"/>
        <v>0</v>
      </c>
    </row>
    <row r="5103" spans="2:7" x14ac:dyDescent="0.35">
      <c r="B5103" s="1">
        <v>45870</v>
      </c>
      <c r="C5103" s="2">
        <v>0.54166666666666663</v>
      </c>
      <c r="D5103">
        <v>17.5</v>
      </c>
      <c r="E5103">
        <f>IF($D5103 &gt; 16, 0, $J$3*(16 - $D5103))</f>
        <v>0</v>
      </c>
      <c r="F5103">
        <f>IF($D5103 &gt; 16, 0,$E5103*$J$5)</f>
        <v>0</v>
      </c>
      <c r="G5103">
        <f t="shared" si="79"/>
        <v>0</v>
      </c>
    </row>
    <row r="5104" spans="2:7" x14ac:dyDescent="0.35">
      <c r="B5104" s="1">
        <v>45870</v>
      </c>
      <c r="C5104" s="2">
        <v>0.58333333333333337</v>
      </c>
      <c r="D5104">
        <v>17.100000000000001</v>
      </c>
      <c r="E5104">
        <f>IF($D5104 &gt; 16, 0, $J$3*(16 - $D5104))</f>
        <v>0</v>
      </c>
      <c r="F5104">
        <f>IF($D5104 &gt; 16, 0,$E5104*$J$5)</f>
        <v>0</v>
      </c>
      <c r="G5104">
        <f t="shared" si="79"/>
        <v>0</v>
      </c>
    </row>
    <row r="5105" spans="2:7" x14ac:dyDescent="0.35">
      <c r="B5105" s="1">
        <v>45870</v>
      </c>
      <c r="C5105" s="2">
        <v>0.625</v>
      </c>
      <c r="D5105">
        <v>19.8</v>
      </c>
      <c r="E5105">
        <f>IF($D5105 &gt; 16, 0, $J$3*(16 - $D5105))</f>
        <v>0</v>
      </c>
      <c r="F5105">
        <f>IF($D5105 &gt; 16, 0,$E5105*$J$5)</f>
        <v>0</v>
      </c>
      <c r="G5105">
        <f t="shared" si="79"/>
        <v>0</v>
      </c>
    </row>
    <row r="5106" spans="2:7" x14ac:dyDescent="0.35">
      <c r="B5106" s="1">
        <v>45870</v>
      </c>
      <c r="C5106" s="2">
        <v>0.66666666666666663</v>
      </c>
      <c r="D5106">
        <v>18.100000000000001</v>
      </c>
      <c r="E5106">
        <f>IF($D5106 &gt; 16, 0, $J$3*(16 - $D5106))</f>
        <v>0</v>
      </c>
      <c r="F5106">
        <f>IF($D5106 &gt; 16, 0,$E5106*$J$5)</f>
        <v>0</v>
      </c>
      <c r="G5106">
        <f t="shared" si="79"/>
        <v>0</v>
      </c>
    </row>
    <row r="5107" spans="2:7" x14ac:dyDescent="0.35">
      <c r="B5107" s="1">
        <v>45870</v>
      </c>
      <c r="C5107" s="2">
        <v>0.70833333333333337</v>
      </c>
      <c r="D5107">
        <v>18.2</v>
      </c>
      <c r="E5107">
        <f>IF($D5107 &gt; 16, 0, $J$3*(16 - $D5107))</f>
        <v>0</v>
      </c>
      <c r="F5107">
        <f>IF($D5107 &gt; 16, 0,$E5107*$J$5)</f>
        <v>0</v>
      </c>
      <c r="G5107">
        <f t="shared" si="79"/>
        <v>0</v>
      </c>
    </row>
    <row r="5108" spans="2:7" x14ac:dyDescent="0.35">
      <c r="B5108" s="1">
        <v>45870</v>
      </c>
      <c r="C5108" s="2">
        <v>0.75</v>
      </c>
      <c r="D5108">
        <v>17.600000000000001</v>
      </c>
      <c r="E5108">
        <f>IF($D5108 &gt; 16, 0, $J$3*(16 - $D5108))</f>
        <v>0</v>
      </c>
      <c r="F5108">
        <f>IF($D5108 &gt; 16, 0,$E5108*$J$5)</f>
        <v>0</v>
      </c>
      <c r="G5108">
        <f t="shared" si="79"/>
        <v>0</v>
      </c>
    </row>
    <row r="5109" spans="2:7" x14ac:dyDescent="0.35">
      <c r="B5109" s="1">
        <v>45870</v>
      </c>
      <c r="C5109" s="2">
        <v>0.79166666666666663</v>
      </c>
      <c r="D5109">
        <v>17.100000000000001</v>
      </c>
      <c r="E5109">
        <f>IF($D5109 &gt; 16, 0, $J$3*(16 - $D5109))</f>
        <v>0</v>
      </c>
      <c r="F5109">
        <f>IF($D5109 &gt; 16, 0,$E5109*$J$5)</f>
        <v>0</v>
      </c>
      <c r="G5109">
        <f t="shared" si="79"/>
        <v>0</v>
      </c>
    </row>
    <row r="5110" spans="2:7" x14ac:dyDescent="0.35">
      <c r="B5110" s="1">
        <v>45870</v>
      </c>
      <c r="C5110" s="2">
        <v>0.83333333333333337</v>
      </c>
      <c r="D5110">
        <v>16.100000000000001</v>
      </c>
      <c r="E5110">
        <f>IF($D5110 &gt; 16, 0, $J$3*(16 - $D5110))</f>
        <v>0</v>
      </c>
      <c r="F5110">
        <f>IF($D5110 &gt; 16, 0,$E5110*$J$5)</f>
        <v>0</v>
      </c>
      <c r="G5110">
        <f t="shared" si="79"/>
        <v>0</v>
      </c>
    </row>
    <row r="5111" spans="2:7" x14ac:dyDescent="0.35">
      <c r="B5111" s="1">
        <v>45870</v>
      </c>
      <c r="C5111" s="2">
        <v>0.875</v>
      </c>
      <c r="D5111">
        <v>15.8</v>
      </c>
      <c r="E5111">
        <f>IF($D5111 &gt; 16, 0, $J$3*(16 - $D5111))</f>
        <v>41.549728540139249</v>
      </c>
      <c r="F5111">
        <f>IF($D5111 &gt; 16, 0,$E5111*$J$5)</f>
        <v>451603.99950277351</v>
      </c>
      <c r="G5111">
        <f t="shared" si="79"/>
        <v>0.19999999999999929</v>
      </c>
    </row>
    <row r="5112" spans="2:7" x14ac:dyDescent="0.35">
      <c r="B5112" s="1">
        <v>45870</v>
      </c>
      <c r="C5112" s="2">
        <v>0.91666666666666663</v>
      </c>
      <c r="D5112">
        <v>15.4</v>
      </c>
      <c r="E5112">
        <f>IF($D5112 &gt; 16, 0, $J$3*(16 - $D5112))</f>
        <v>124.64918562041812</v>
      </c>
      <c r="F5112">
        <f>IF($D5112 &gt; 16, 0,$E5112*$J$5)</f>
        <v>1354811.9985083246</v>
      </c>
      <c r="G5112">
        <f t="shared" si="79"/>
        <v>0.59999999999999964</v>
      </c>
    </row>
    <row r="5113" spans="2:7" x14ac:dyDescent="0.35">
      <c r="B5113" s="1">
        <v>45870</v>
      </c>
      <c r="C5113" s="2">
        <v>0.95833333333333337</v>
      </c>
      <c r="D5113">
        <v>15</v>
      </c>
      <c r="E5113">
        <f>IF($D5113 &gt; 16, 0, $J$3*(16 - $D5113))</f>
        <v>207.74864270069699</v>
      </c>
      <c r="F5113">
        <f>IF($D5113 &gt; 16, 0,$E5113*$J$5)</f>
        <v>2258019.9975138754</v>
      </c>
      <c r="G5113">
        <f t="shared" si="79"/>
        <v>1</v>
      </c>
    </row>
    <row r="5114" spans="2:7" x14ac:dyDescent="0.35">
      <c r="B5114" s="1">
        <v>45871</v>
      </c>
      <c r="C5114" s="2">
        <v>0</v>
      </c>
      <c r="D5114">
        <v>14.6</v>
      </c>
      <c r="E5114">
        <f>IF($D5114 &gt; 16, 0, $J$3*(16 - $D5114))</f>
        <v>290.84809978097587</v>
      </c>
      <c r="F5114">
        <f>IF($D5114 &gt; 16, 0,$E5114*$J$5)</f>
        <v>3161227.9965194268</v>
      </c>
      <c r="G5114">
        <f t="shared" si="79"/>
        <v>1.4000000000000004</v>
      </c>
    </row>
    <row r="5115" spans="2:7" x14ac:dyDescent="0.35">
      <c r="B5115" s="1">
        <v>45871</v>
      </c>
      <c r="C5115" s="2">
        <v>4.1666666666666657E-2</v>
      </c>
      <c r="D5115">
        <v>14.7</v>
      </c>
      <c r="E5115">
        <f>IF($D5115 &gt; 16, 0, $J$3*(16 - $D5115))</f>
        <v>270.07323551090622</v>
      </c>
      <c r="F5115">
        <f>IF($D5115 &gt; 16, 0,$E5115*$J$5)</f>
        <v>2935425.9967680397</v>
      </c>
      <c r="G5115">
        <f t="shared" si="79"/>
        <v>1.3000000000000007</v>
      </c>
    </row>
    <row r="5116" spans="2:7" x14ac:dyDescent="0.35">
      <c r="B5116" s="1">
        <v>45871</v>
      </c>
      <c r="C5116" s="2">
        <v>8.3333333333333329E-2</v>
      </c>
      <c r="D5116">
        <v>14.4</v>
      </c>
      <c r="E5116">
        <f>IF($D5116 &gt; 16, 0, $J$3*(16 - $D5116))</f>
        <v>332.39782832111513</v>
      </c>
      <c r="F5116">
        <f>IF($D5116 &gt; 16, 0,$E5116*$J$5)</f>
        <v>3612831.9960222002</v>
      </c>
      <c r="G5116">
        <f t="shared" si="79"/>
        <v>1.5999999999999996</v>
      </c>
    </row>
    <row r="5117" spans="2:7" x14ac:dyDescent="0.35">
      <c r="B5117" s="1">
        <v>45871</v>
      </c>
      <c r="C5117" s="2">
        <v>0.125</v>
      </c>
      <c r="D5117">
        <v>14.6</v>
      </c>
      <c r="E5117">
        <f>IF($D5117 &gt; 16, 0, $J$3*(16 - $D5117))</f>
        <v>290.84809978097587</v>
      </c>
      <c r="F5117">
        <f>IF($D5117 &gt; 16, 0,$E5117*$J$5)</f>
        <v>3161227.9965194268</v>
      </c>
      <c r="G5117">
        <f t="shared" si="79"/>
        <v>1.4000000000000004</v>
      </c>
    </row>
    <row r="5118" spans="2:7" x14ac:dyDescent="0.35">
      <c r="B5118" s="1">
        <v>45871</v>
      </c>
      <c r="C5118" s="2">
        <v>0.16666666666666671</v>
      </c>
      <c r="D5118">
        <v>14.9</v>
      </c>
      <c r="E5118">
        <f>IF($D5118 &gt; 16, 0, $J$3*(16 - $D5118))</f>
        <v>228.52350697076662</v>
      </c>
      <c r="F5118">
        <f>IF($D5118 &gt; 16, 0,$E5118*$J$5)</f>
        <v>2483821.9972652625</v>
      </c>
      <c r="G5118">
        <f t="shared" si="79"/>
        <v>1.0999999999999996</v>
      </c>
    </row>
    <row r="5119" spans="2:7" x14ac:dyDescent="0.35">
      <c r="B5119" s="1">
        <v>45871</v>
      </c>
      <c r="C5119" s="2">
        <v>0.20833333333333329</v>
      </c>
      <c r="D5119">
        <v>15.1</v>
      </c>
      <c r="E5119">
        <f>IF($D5119 &gt; 16, 0, $J$3*(16 - $D5119))</f>
        <v>186.97377843062736</v>
      </c>
      <c r="F5119">
        <f>IF($D5119 &gt; 16, 0,$E5119*$J$5)</f>
        <v>2032217.9977624889</v>
      </c>
      <c r="G5119">
        <f t="shared" si="79"/>
        <v>0.90000000000000036</v>
      </c>
    </row>
    <row r="5120" spans="2:7" x14ac:dyDescent="0.35">
      <c r="B5120" s="1">
        <v>45871</v>
      </c>
      <c r="C5120" s="2">
        <v>0.25</v>
      </c>
      <c r="D5120">
        <v>15.5</v>
      </c>
      <c r="E5120">
        <f>IF($D5120 &gt; 16, 0, $J$3*(16 - $D5120))</f>
        <v>103.8743213503485</v>
      </c>
      <c r="F5120">
        <f>IF($D5120 &gt; 16, 0,$E5120*$J$5)</f>
        <v>1129009.9987569377</v>
      </c>
      <c r="G5120">
        <f t="shared" si="79"/>
        <v>0.5</v>
      </c>
    </row>
    <row r="5121" spans="2:7" x14ac:dyDescent="0.35">
      <c r="B5121" s="1">
        <v>45871</v>
      </c>
      <c r="C5121" s="2">
        <v>0.29166666666666669</v>
      </c>
      <c r="D5121">
        <v>15.8</v>
      </c>
      <c r="E5121">
        <f>IF($D5121 &gt; 16, 0, $J$3*(16 - $D5121))</f>
        <v>41.549728540139249</v>
      </c>
      <c r="F5121">
        <f>IF($D5121 &gt; 16, 0,$E5121*$J$5)</f>
        <v>451603.99950277351</v>
      </c>
      <c r="G5121">
        <f t="shared" si="79"/>
        <v>0.19999999999999929</v>
      </c>
    </row>
    <row r="5122" spans="2:7" x14ac:dyDescent="0.35">
      <c r="B5122" s="1">
        <v>45871</v>
      </c>
      <c r="C5122" s="2">
        <v>0.33333333333333331</v>
      </c>
      <c r="D5122">
        <v>15.8</v>
      </c>
      <c r="E5122">
        <f>IF($D5122 &gt; 16, 0, $J$3*(16 - $D5122))</f>
        <v>41.549728540139249</v>
      </c>
      <c r="F5122">
        <f>IF($D5122 &gt; 16, 0,$E5122*$J$5)</f>
        <v>451603.99950277351</v>
      </c>
      <c r="G5122">
        <f t="shared" si="79"/>
        <v>0.19999999999999929</v>
      </c>
    </row>
    <row r="5123" spans="2:7" x14ac:dyDescent="0.35">
      <c r="B5123" s="1">
        <v>45871</v>
      </c>
      <c r="C5123" s="2">
        <v>0.375</v>
      </c>
      <c r="D5123">
        <v>16.899999999999999</v>
      </c>
      <c r="E5123">
        <f>IF($D5123 &gt; 16, 0, $J$3*(16 - $D5123))</f>
        <v>0</v>
      </c>
      <c r="F5123">
        <f>IF($D5123 &gt; 16, 0,$E5123*$J$5)</f>
        <v>0</v>
      </c>
      <c r="G5123">
        <f t="shared" ref="G5123:G5186" si="80">MAX(0, 16 - $D5123)</f>
        <v>0</v>
      </c>
    </row>
    <row r="5124" spans="2:7" x14ac:dyDescent="0.35">
      <c r="B5124" s="1">
        <v>45871</v>
      </c>
      <c r="C5124" s="2">
        <v>0.41666666666666669</v>
      </c>
      <c r="D5124">
        <v>18.7</v>
      </c>
      <c r="E5124">
        <f>IF($D5124 &gt; 16, 0, $J$3*(16 - $D5124))</f>
        <v>0</v>
      </c>
      <c r="F5124">
        <f>IF($D5124 &gt; 16, 0,$E5124*$J$5)</f>
        <v>0</v>
      </c>
      <c r="G5124">
        <f t="shared" si="80"/>
        <v>0</v>
      </c>
    </row>
    <row r="5125" spans="2:7" x14ac:dyDescent="0.35">
      <c r="B5125" s="1">
        <v>45871</v>
      </c>
      <c r="C5125" s="2">
        <v>0.45833333333333331</v>
      </c>
      <c r="D5125">
        <v>19.7</v>
      </c>
      <c r="E5125">
        <f>IF($D5125 &gt; 16, 0, $J$3*(16 - $D5125))</f>
        <v>0</v>
      </c>
      <c r="F5125">
        <f>IF($D5125 &gt; 16, 0,$E5125*$J$5)</f>
        <v>0</v>
      </c>
      <c r="G5125">
        <f t="shared" si="80"/>
        <v>0</v>
      </c>
    </row>
    <row r="5126" spans="2:7" x14ac:dyDescent="0.35">
      <c r="B5126" s="1">
        <v>45871</v>
      </c>
      <c r="C5126" s="2">
        <v>0.5</v>
      </c>
      <c r="D5126">
        <v>20.3</v>
      </c>
      <c r="E5126">
        <f>IF($D5126 &gt; 16, 0, $J$3*(16 - $D5126))</f>
        <v>0</v>
      </c>
      <c r="F5126">
        <f>IF($D5126 &gt; 16, 0,$E5126*$J$5)</f>
        <v>0</v>
      </c>
      <c r="G5126">
        <f t="shared" si="80"/>
        <v>0</v>
      </c>
    </row>
    <row r="5127" spans="2:7" x14ac:dyDescent="0.35">
      <c r="B5127" s="1">
        <v>45871</v>
      </c>
      <c r="C5127" s="2">
        <v>0.54166666666666663</v>
      </c>
      <c r="D5127">
        <v>19</v>
      </c>
      <c r="E5127">
        <f>IF($D5127 &gt; 16, 0, $J$3*(16 - $D5127))</f>
        <v>0</v>
      </c>
      <c r="F5127">
        <f>IF($D5127 &gt; 16, 0,$E5127*$J$5)</f>
        <v>0</v>
      </c>
      <c r="G5127">
        <f t="shared" si="80"/>
        <v>0</v>
      </c>
    </row>
    <row r="5128" spans="2:7" x14ac:dyDescent="0.35">
      <c r="B5128" s="1">
        <v>45871</v>
      </c>
      <c r="C5128" s="2">
        <v>0.58333333333333337</v>
      </c>
      <c r="D5128">
        <v>20.5</v>
      </c>
      <c r="E5128">
        <f>IF($D5128 &gt; 16, 0, $J$3*(16 - $D5128))</f>
        <v>0</v>
      </c>
      <c r="F5128">
        <f>IF($D5128 &gt; 16, 0,$E5128*$J$5)</f>
        <v>0</v>
      </c>
      <c r="G5128">
        <f t="shared" si="80"/>
        <v>0</v>
      </c>
    </row>
    <row r="5129" spans="2:7" x14ac:dyDescent="0.35">
      <c r="B5129" s="1">
        <v>45871</v>
      </c>
      <c r="C5129" s="2">
        <v>0.625</v>
      </c>
      <c r="D5129">
        <v>20.5</v>
      </c>
      <c r="E5129">
        <f>IF($D5129 &gt; 16, 0, $J$3*(16 - $D5129))</f>
        <v>0</v>
      </c>
      <c r="F5129">
        <f>IF($D5129 &gt; 16, 0,$E5129*$J$5)</f>
        <v>0</v>
      </c>
      <c r="G5129">
        <f t="shared" si="80"/>
        <v>0</v>
      </c>
    </row>
    <row r="5130" spans="2:7" x14ac:dyDescent="0.35">
      <c r="B5130" s="1">
        <v>45871</v>
      </c>
      <c r="C5130" s="2">
        <v>0.66666666666666663</v>
      </c>
      <c r="D5130">
        <v>19.600000000000001</v>
      </c>
      <c r="E5130">
        <f>IF($D5130 &gt; 16, 0, $J$3*(16 - $D5130))</f>
        <v>0</v>
      </c>
      <c r="F5130">
        <f>IF($D5130 &gt; 16, 0,$E5130*$J$5)</f>
        <v>0</v>
      </c>
      <c r="G5130">
        <f t="shared" si="80"/>
        <v>0</v>
      </c>
    </row>
    <row r="5131" spans="2:7" x14ac:dyDescent="0.35">
      <c r="B5131" s="1">
        <v>45871</v>
      </c>
      <c r="C5131" s="2">
        <v>0.70833333333333337</v>
      </c>
      <c r="D5131">
        <v>19.8</v>
      </c>
      <c r="E5131">
        <f>IF($D5131 &gt; 16, 0, $J$3*(16 - $D5131))</f>
        <v>0</v>
      </c>
      <c r="F5131">
        <f>IF($D5131 &gt; 16, 0,$E5131*$J$5)</f>
        <v>0</v>
      </c>
      <c r="G5131">
        <f t="shared" si="80"/>
        <v>0</v>
      </c>
    </row>
    <row r="5132" spans="2:7" x14ac:dyDescent="0.35">
      <c r="B5132" s="1">
        <v>45871</v>
      </c>
      <c r="C5132" s="2">
        <v>0.75</v>
      </c>
      <c r="D5132">
        <v>18.2</v>
      </c>
      <c r="E5132">
        <f>IF($D5132 &gt; 16, 0, $J$3*(16 - $D5132))</f>
        <v>0</v>
      </c>
      <c r="F5132">
        <f>IF($D5132 &gt; 16, 0,$E5132*$J$5)</f>
        <v>0</v>
      </c>
      <c r="G5132">
        <f t="shared" si="80"/>
        <v>0</v>
      </c>
    </row>
    <row r="5133" spans="2:7" x14ac:dyDescent="0.35">
      <c r="B5133" s="1">
        <v>45871</v>
      </c>
      <c r="C5133" s="2">
        <v>0.79166666666666663</v>
      </c>
      <c r="D5133">
        <v>17</v>
      </c>
      <c r="E5133">
        <f>IF($D5133 &gt; 16, 0, $J$3*(16 - $D5133))</f>
        <v>0</v>
      </c>
      <c r="F5133">
        <f>IF($D5133 &gt; 16, 0,$E5133*$J$5)</f>
        <v>0</v>
      </c>
      <c r="G5133">
        <f t="shared" si="80"/>
        <v>0</v>
      </c>
    </row>
    <row r="5134" spans="2:7" x14ac:dyDescent="0.35">
      <c r="B5134" s="1">
        <v>45871</v>
      </c>
      <c r="C5134" s="2">
        <v>0.83333333333333337</v>
      </c>
      <c r="D5134">
        <v>16.3</v>
      </c>
      <c r="E5134">
        <f>IF($D5134 &gt; 16, 0, $J$3*(16 - $D5134))</f>
        <v>0</v>
      </c>
      <c r="F5134">
        <f>IF($D5134 &gt; 16, 0,$E5134*$J$5)</f>
        <v>0</v>
      </c>
      <c r="G5134">
        <f t="shared" si="80"/>
        <v>0</v>
      </c>
    </row>
    <row r="5135" spans="2:7" x14ac:dyDescent="0.35">
      <c r="B5135" s="1">
        <v>45871</v>
      </c>
      <c r="C5135" s="2">
        <v>0.875</v>
      </c>
      <c r="D5135">
        <v>15.7</v>
      </c>
      <c r="E5135">
        <f>IF($D5135 &gt; 16, 0, $J$3*(16 - $D5135))</f>
        <v>62.324592810209246</v>
      </c>
      <c r="F5135">
        <f>IF($D5135 &gt; 16, 0,$E5135*$J$5)</f>
        <v>677405.99925416429</v>
      </c>
      <c r="G5135">
        <f t="shared" si="80"/>
        <v>0.30000000000000071</v>
      </c>
    </row>
    <row r="5136" spans="2:7" x14ac:dyDescent="0.35">
      <c r="B5136" s="1">
        <v>45871</v>
      </c>
      <c r="C5136" s="2">
        <v>0.91666666666666663</v>
      </c>
      <c r="D5136">
        <v>15.6</v>
      </c>
      <c r="E5136">
        <f>IF($D5136 &gt; 16, 0, $J$3*(16 - $D5136))</f>
        <v>83.099457080278867</v>
      </c>
      <c r="F5136">
        <f>IF($D5136 &gt; 16, 0,$E5136*$J$5)</f>
        <v>903207.99900555098</v>
      </c>
      <c r="G5136">
        <f t="shared" si="80"/>
        <v>0.40000000000000036</v>
      </c>
    </row>
    <row r="5137" spans="2:7" x14ac:dyDescent="0.35">
      <c r="B5137" s="1">
        <v>45871</v>
      </c>
      <c r="C5137" s="2">
        <v>0.95833333333333337</v>
      </c>
      <c r="D5137">
        <v>15.6</v>
      </c>
      <c r="E5137">
        <f>IF($D5137 &gt; 16, 0, $J$3*(16 - $D5137))</f>
        <v>83.099457080278867</v>
      </c>
      <c r="F5137">
        <f>IF($D5137 &gt; 16, 0,$E5137*$J$5)</f>
        <v>903207.99900555098</v>
      </c>
      <c r="G5137">
        <f t="shared" si="80"/>
        <v>0.40000000000000036</v>
      </c>
    </row>
    <row r="5138" spans="2:7" x14ac:dyDescent="0.35">
      <c r="B5138" s="1">
        <v>45872</v>
      </c>
      <c r="C5138" s="2">
        <v>0</v>
      </c>
      <c r="D5138">
        <v>15.6</v>
      </c>
      <c r="E5138">
        <f>IF($D5138 &gt; 16, 0, $J$3*(16 - $D5138))</f>
        <v>83.099457080278867</v>
      </c>
      <c r="F5138">
        <f>IF($D5138 &gt; 16, 0,$E5138*$J$5)</f>
        <v>903207.99900555098</v>
      </c>
      <c r="G5138">
        <f t="shared" si="80"/>
        <v>0.40000000000000036</v>
      </c>
    </row>
    <row r="5139" spans="2:7" x14ac:dyDescent="0.35">
      <c r="B5139" s="1">
        <v>45872</v>
      </c>
      <c r="C5139" s="2">
        <v>4.1666666666666657E-2</v>
      </c>
      <c r="D5139">
        <v>15.4</v>
      </c>
      <c r="E5139">
        <f>IF($D5139 &gt; 16, 0, $J$3*(16 - $D5139))</f>
        <v>124.64918562041812</v>
      </c>
      <c r="F5139">
        <f>IF($D5139 &gt; 16, 0,$E5139*$J$5)</f>
        <v>1354811.9985083246</v>
      </c>
      <c r="G5139">
        <f t="shared" si="80"/>
        <v>0.59999999999999964</v>
      </c>
    </row>
    <row r="5140" spans="2:7" x14ac:dyDescent="0.35">
      <c r="B5140" s="1">
        <v>45872</v>
      </c>
      <c r="C5140" s="2">
        <v>8.3333333333333329E-2</v>
      </c>
      <c r="D5140">
        <v>15.2</v>
      </c>
      <c r="E5140">
        <f>IF($D5140 &gt; 16, 0, $J$3*(16 - $D5140))</f>
        <v>166.19891416055773</v>
      </c>
      <c r="F5140">
        <f>IF($D5140 &gt; 16, 0,$E5140*$J$5)</f>
        <v>1806415.998011102</v>
      </c>
      <c r="G5140">
        <f t="shared" si="80"/>
        <v>0.80000000000000071</v>
      </c>
    </row>
    <row r="5141" spans="2:7" x14ac:dyDescent="0.35">
      <c r="B5141" s="1">
        <v>45872</v>
      </c>
      <c r="C5141" s="2">
        <v>0.125</v>
      </c>
      <c r="D5141">
        <v>14.8</v>
      </c>
      <c r="E5141">
        <f>IF($D5141 &gt; 16, 0, $J$3*(16 - $D5141))</f>
        <v>249.29837124083625</v>
      </c>
      <c r="F5141">
        <f>IF($D5141 &gt; 16, 0,$E5141*$J$5)</f>
        <v>2709623.9970166492</v>
      </c>
      <c r="G5141">
        <f t="shared" si="80"/>
        <v>1.1999999999999993</v>
      </c>
    </row>
    <row r="5142" spans="2:7" x14ac:dyDescent="0.35">
      <c r="B5142" s="1">
        <v>45872</v>
      </c>
      <c r="C5142" s="2">
        <v>0.16666666666666671</v>
      </c>
      <c r="D5142">
        <v>14.3</v>
      </c>
      <c r="E5142">
        <f>IF($D5142 &gt; 16, 0, $J$3*(16 - $D5142))</f>
        <v>353.17269259118473</v>
      </c>
      <c r="F5142">
        <f>IF($D5142 &gt; 16, 0,$E5142*$J$5)</f>
        <v>3838633.9957735869</v>
      </c>
      <c r="G5142">
        <f t="shared" si="80"/>
        <v>1.6999999999999993</v>
      </c>
    </row>
    <row r="5143" spans="2:7" x14ac:dyDescent="0.35">
      <c r="B5143" s="1">
        <v>45872</v>
      </c>
      <c r="C5143" s="2">
        <v>0.20833333333333329</v>
      </c>
      <c r="D5143">
        <v>14.4</v>
      </c>
      <c r="E5143">
        <f>IF($D5143 &gt; 16, 0, $J$3*(16 - $D5143))</f>
        <v>332.39782832111513</v>
      </c>
      <c r="F5143">
        <f>IF($D5143 &gt; 16, 0,$E5143*$J$5)</f>
        <v>3612831.9960222002</v>
      </c>
      <c r="G5143">
        <f t="shared" si="80"/>
        <v>1.5999999999999996</v>
      </c>
    </row>
    <row r="5144" spans="2:7" x14ac:dyDescent="0.35">
      <c r="B5144" s="1">
        <v>45872</v>
      </c>
      <c r="C5144" s="2">
        <v>0.25</v>
      </c>
      <c r="D5144">
        <v>14.3</v>
      </c>
      <c r="E5144">
        <f>IF($D5144 &gt; 16, 0, $J$3*(16 - $D5144))</f>
        <v>353.17269259118473</v>
      </c>
      <c r="F5144">
        <f>IF($D5144 &gt; 16, 0,$E5144*$J$5)</f>
        <v>3838633.9957735869</v>
      </c>
      <c r="G5144">
        <f t="shared" si="80"/>
        <v>1.6999999999999993</v>
      </c>
    </row>
    <row r="5145" spans="2:7" x14ac:dyDescent="0.35">
      <c r="B5145" s="1">
        <v>45872</v>
      </c>
      <c r="C5145" s="2">
        <v>0.29166666666666669</v>
      </c>
      <c r="D5145">
        <v>14.4</v>
      </c>
      <c r="E5145">
        <f>IF($D5145 &gt; 16, 0, $J$3*(16 - $D5145))</f>
        <v>332.39782832111513</v>
      </c>
      <c r="F5145">
        <f>IF($D5145 &gt; 16, 0,$E5145*$J$5)</f>
        <v>3612831.9960222002</v>
      </c>
      <c r="G5145">
        <f t="shared" si="80"/>
        <v>1.5999999999999996</v>
      </c>
    </row>
    <row r="5146" spans="2:7" x14ac:dyDescent="0.35">
      <c r="B5146" s="1">
        <v>45872</v>
      </c>
      <c r="C5146" s="2">
        <v>0.33333333333333331</v>
      </c>
      <c r="D5146">
        <v>14.3</v>
      </c>
      <c r="E5146">
        <f>IF($D5146 &gt; 16, 0, $J$3*(16 - $D5146))</f>
        <v>353.17269259118473</v>
      </c>
      <c r="F5146">
        <f>IF($D5146 &gt; 16, 0,$E5146*$J$5)</f>
        <v>3838633.9957735869</v>
      </c>
      <c r="G5146">
        <f t="shared" si="80"/>
        <v>1.6999999999999993</v>
      </c>
    </row>
    <row r="5147" spans="2:7" x14ac:dyDescent="0.35">
      <c r="B5147" s="1">
        <v>45872</v>
      </c>
      <c r="C5147" s="2">
        <v>0.375</v>
      </c>
      <c r="D5147">
        <v>15.1</v>
      </c>
      <c r="E5147">
        <f>IF($D5147 &gt; 16, 0, $J$3*(16 - $D5147))</f>
        <v>186.97377843062736</v>
      </c>
      <c r="F5147">
        <f>IF($D5147 &gt; 16, 0,$E5147*$J$5)</f>
        <v>2032217.9977624889</v>
      </c>
      <c r="G5147">
        <f t="shared" si="80"/>
        <v>0.90000000000000036</v>
      </c>
    </row>
    <row r="5148" spans="2:7" x14ac:dyDescent="0.35">
      <c r="B5148" s="1">
        <v>45872</v>
      </c>
      <c r="C5148" s="2">
        <v>0.41666666666666669</v>
      </c>
      <c r="D5148">
        <v>15.2</v>
      </c>
      <c r="E5148">
        <f>IF($D5148 &gt; 16, 0, $J$3*(16 - $D5148))</f>
        <v>166.19891416055773</v>
      </c>
      <c r="F5148">
        <f>IF($D5148 &gt; 16, 0,$E5148*$J$5)</f>
        <v>1806415.998011102</v>
      </c>
      <c r="G5148">
        <f t="shared" si="80"/>
        <v>0.80000000000000071</v>
      </c>
    </row>
    <row r="5149" spans="2:7" x14ac:dyDescent="0.35">
      <c r="B5149" s="1">
        <v>45872</v>
      </c>
      <c r="C5149" s="2">
        <v>0.45833333333333331</v>
      </c>
      <c r="D5149">
        <v>15.3</v>
      </c>
      <c r="E5149">
        <f>IF($D5149 &gt; 16, 0, $J$3*(16 - $D5149))</f>
        <v>145.42404989048774</v>
      </c>
      <c r="F5149">
        <f>IF($D5149 &gt; 16, 0,$E5149*$J$5)</f>
        <v>1580613.9982597113</v>
      </c>
      <c r="G5149">
        <f t="shared" si="80"/>
        <v>0.69999999999999929</v>
      </c>
    </row>
    <row r="5150" spans="2:7" x14ac:dyDescent="0.35">
      <c r="B5150" s="1">
        <v>45872</v>
      </c>
      <c r="C5150" s="2">
        <v>0.5</v>
      </c>
      <c r="D5150">
        <v>15.7</v>
      </c>
      <c r="E5150">
        <f>IF($D5150 &gt; 16, 0, $J$3*(16 - $D5150))</f>
        <v>62.324592810209246</v>
      </c>
      <c r="F5150">
        <f>IF($D5150 &gt; 16, 0,$E5150*$J$5)</f>
        <v>677405.99925416429</v>
      </c>
      <c r="G5150">
        <f t="shared" si="80"/>
        <v>0.30000000000000071</v>
      </c>
    </row>
    <row r="5151" spans="2:7" x14ac:dyDescent="0.35">
      <c r="B5151" s="1">
        <v>45872</v>
      </c>
      <c r="C5151" s="2">
        <v>0.54166666666666663</v>
      </c>
      <c r="D5151">
        <v>15.8</v>
      </c>
      <c r="E5151">
        <f>IF($D5151 &gt; 16, 0, $J$3*(16 - $D5151))</f>
        <v>41.549728540139249</v>
      </c>
      <c r="F5151">
        <f>IF($D5151 &gt; 16, 0,$E5151*$J$5)</f>
        <v>451603.99950277351</v>
      </c>
      <c r="G5151">
        <f t="shared" si="80"/>
        <v>0.19999999999999929</v>
      </c>
    </row>
    <row r="5152" spans="2:7" x14ac:dyDescent="0.35">
      <c r="B5152" s="1">
        <v>45872</v>
      </c>
      <c r="C5152" s="2">
        <v>0.58333333333333337</v>
      </c>
      <c r="D5152">
        <v>16.100000000000001</v>
      </c>
      <c r="E5152">
        <f>IF($D5152 &gt; 16, 0, $J$3*(16 - $D5152))</f>
        <v>0</v>
      </c>
      <c r="F5152">
        <f>IF($D5152 &gt; 16, 0,$E5152*$J$5)</f>
        <v>0</v>
      </c>
      <c r="G5152">
        <f t="shared" si="80"/>
        <v>0</v>
      </c>
    </row>
    <row r="5153" spans="2:7" x14ac:dyDescent="0.35">
      <c r="B5153" s="1">
        <v>45872</v>
      </c>
      <c r="C5153" s="2">
        <v>0.625</v>
      </c>
      <c r="D5153">
        <v>16.3</v>
      </c>
      <c r="E5153">
        <f>IF($D5153 &gt; 16, 0, $J$3*(16 - $D5153))</f>
        <v>0</v>
      </c>
      <c r="F5153">
        <f>IF($D5153 &gt; 16, 0,$E5153*$J$5)</f>
        <v>0</v>
      </c>
      <c r="G5153">
        <f t="shared" si="80"/>
        <v>0</v>
      </c>
    </row>
    <row r="5154" spans="2:7" x14ac:dyDescent="0.35">
      <c r="B5154" s="1">
        <v>45872</v>
      </c>
      <c r="C5154" s="2">
        <v>0.66666666666666663</v>
      </c>
      <c r="D5154">
        <v>16.3</v>
      </c>
      <c r="E5154">
        <f>IF($D5154 &gt; 16, 0, $J$3*(16 - $D5154))</f>
        <v>0</v>
      </c>
      <c r="F5154">
        <f>IF($D5154 &gt; 16, 0,$E5154*$J$5)</f>
        <v>0</v>
      </c>
      <c r="G5154">
        <f t="shared" si="80"/>
        <v>0</v>
      </c>
    </row>
    <row r="5155" spans="2:7" x14ac:dyDescent="0.35">
      <c r="B5155" s="1">
        <v>45872</v>
      </c>
      <c r="C5155" s="2">
        <v>0.70833333333333337</v>
      </c>
      <c r="D5155">
        <v>16.399999999999999</v>
      </c>
      <c r="E5155">
        <f>IF($D5155 &gt; 16, 0, $J$3*(16 - $D5155))</f>
        <v>0</v>
      </c>
      <c r="F5155">
        <f>IF($D5155 &gt; 16, 0,$E5155*$J$5)</f>
        <v>0</v>
      </c>
      <c r="G5155">
        <f t="shared" si="80"/>
        <v>0</v>
      </c>
    </row>
    <row r="5156" spans="2:7" x14ac:dyDescent="0.35">
      <c r="B5156" s="1">
        <v>45872</v>
      </c>
      <c r="C5156" s="2">
        <v>0.75</v>
      </c>
      <c r="D5156">
        <v>16.399999999999999</v>
      </c>
      <c r="E5156">
        <f>IF($D5156 &gt; 16, 0, $J$3*(16 - $D5156))</f>
        <v>0</v>
      </c>
      <c r="F5156">
        <f>IF($D5156 &gt; 16, 0,$E5156*$J$5)</f>
        <v>0</v>
      </c>
      <c r="G5156">
        <f t="shared" si="80"/>
        <v>0</v>
      </c>
    </row>
    <row r="5157" spans="2:7" x14ac:dyDescent="0.35">
      <c r="B5157" s="1">
        <v>45872</v>
      </c>
      <c r="C5157" s="2">
        <v>0.79166666666666663</v>
      </c>
      <c r="D5157">
        <v>16.100000000000001</v>
      </c>
      <c r="E5157">
        <f>IF($D5157 &gt; 16, 0, $J$3*(16 - $D5157))</f>
        <v>0</v>
      </c>
      <c r="F5157">
        <f>IF($D5157 &gt; 16, 0,$E5157*$J$5)</f>
        <v>0</v>
      </c>
      <c r="G5157">
        <f t="shared" si="80"/>
        <v>0</v>
      </c>
    </row>
    <row r="5158" spans="2:7" x14ac:dyDescent="0.35">
      <c r="B5158" s="1">
        <v>45872</v>
      </c>
      <c r="C5158" s="2">
        <v>0.83333333333333337</v>
      </c>
      <c r="D5158">
        <v>15.5</v>
      </c>
      <c r="E5158">
        <f>IF($D5158 &gt; 16, 0, $J$3*(16 - $D5158))</f>
        <v>103.8743213503485</v>
      </c>
      <c r="F5158">
        <f>IF($D5158 &gt; 16, 0,$E5158*$J$5)</f>
        <v>1129009.9987569377</v>
      </c>
      <c r="G5158">
        <f t="shared" si="80"/>
        <v>0.5</v>
      </c>
    </row>
    <row r="5159" spans="2:7" x14ac:dyDescent="0.35">
      <c r="B5159" s="1">
        <v>45872</v>
      </c>
      <c r="C5159" s="2">
        <v>0.875</v>
      </c>
      <c r="D5159">
        <v>15.8</v>
      </c>
      <c r="E5159">
        <f>IF($D5159 &gt; 16, 0, $J$3*(16 - $D5159))</f>
        <v>41.549728540139249</v>
      </c>
      <c r="F5159">
        <f>IF($D5159 &gt; 16, 0,$E5159*$J$5)</f>
        <v>451603.99950277351</v>
      </c>
      <c r="G5159">
        <f t="shared" si="80"/>
        <v>0.19999999999999929</v>
      </c>
    </row>
    <row r="5160" spans="2:7" x14ac:dyDescent="0.35">
      <c r="B5160" s="1">
        <v>45872</v>
      </c>
      <c r="C5160" s="2">
        <v>0.91666666666666663</v>
      </c>
      <c r="D5160">
        <v>15.6</v>
      </c>
      <c r="E5160">
        <f>IF($D5160 &gt; 16, 0, $J$3*(16 - $D5160))</f>
        <v>83.099457080278867</v>
      </c>
      <c r="F5160">
        <f>IF($D5160 &gt; 16, 0,$E5160*$J$5)</f>
        <v>903207.99900555098</v>
      </c>
      <c r="G5160">
        <f t="shared" si="80"/>
        <v>0.40000000000000036</v>
      </c>
    </row>
    <row r="5161" spans="2:7" x14ac:dyDescent="0.35">
      <c r="B5161" s="1">
        <v>45872</v>
      </c>
      <c r="C5161" s="2">
        <v>0.95833333333333337</v>
      </c>
      <c r="D5161">
        <v>15.6</v>
      </c>
      <c r="E5161">
        <f>IF($D5161 &gt; 16, 0, $J$3*(16 - $D5161))</f>
        <v>83.099457080278867</v>
      </c>
      <c r="F5161">
        <f>IF($D5161 &gt; 16, 0,$E5161*$J$5)</f>
        <v>903207.99900555098</v>
      </c>
      <c r="G5161">
        <f t="shared" si="80"/>
        <v>0.40000000000000036</v>
      </c>
    </row>
    <row r="5162" spans="2:7" x14ac:dyDescent="0.35">
      <c r="B5162" s="1">
        <v>45873</v>
      </c>
      <c r="C5162" s="2">
        <v>0</v>
      </c>
      <c r="D5162">
        <v>14.2</v>
      </c>
      <c r="E5162">
        <f>IF($D5162 &gt; 16, 0, $J$3*(16 - $D5162))</f>
        <v>373.94755686125472</v>
      </c>
      <c r="F5162">
        <f>IF($D5162 &gt; 16, 0,$E5162*$J$5)</f>
        <v>4064435.9955249778</v>
      </c>
      <c r="G5162">
        <f t="shared" si="80"/>
        <v>1.8000000000000007</v>
      </c>
    </row>
    <row r="5163" spans="2:7" x14ac:dyDescent="0.35">
      <c r="B5163" s="1">
        <v>45873</v>
      </c>
      <c r="C5163" s="2">
        <v>4.1666666666666657E-2</v>
      </c>
      <c r="D5163">
        <v>14.4</v>
      </c>
      <c r="E5163">
        <f>IF($D5163 &gt; 16, 0, $J$3*(16 - $D5163))</f>
        <v>332.39782832111513</v>
      </c>
      <c r="F5163">
        <f>IF($D5163 &gt; 16, 0,$E5163*$J$5)</f>
        <v>3612831.9960222002</v>
      </c>
      <c r="G5163">
        <f t="shared" si="80"/>
        <v>1.5999999999999996</v>
      </c>
    </row>
    <row r="5164" spans="2:7" x14ac:dyDescent="0.35">
      <c r="B5164" s="1">
        <v>45873</v>
      </c>
      <c r="C5164" s="2">
        <v>8.3333333333333329E-2</v>
      </c>
      <c r="D5164">
        <v>15.2</v>
      </c>
      <c r="E5164">
        <f>IF($D5164 &gt; 16, 0, $J$3*(16 - $D5164))</f>
        <v>166.19891416055773</v>
      </c>
      <c r="F5164">
        <f>IF($D5164 &gt; 16, 0,$E5164*$J$5)</f>
        <v>1806415.998011102</v>
      </c>
      <c r="G5164">
        <f t="shared" si="80"/>
        <v>0.80000000000000071</v>
      </c>
    </row>
    <row r="5165" spans="2:7" x14ac:dyDescent="0.35">
      <c r="B5165" s="1">
        <v>45873</v>
      </c>
      <c r="C5165" s="2">
        <v>0.125</v>
      </c>
      <c r="D5165">
        <v>15.6</v>
      </c>
      <c r="E5165">
        <f>IF($D5165 &gt; 16, 0, $J$3*(16 - $D5165))</f>
        <v>83.099457080278867</v>
      </c>
      <c r="F5165">
        <f>IF($D5165 &gt; 16, 0,$E5165*$J$5)</f>
        <v>903207.99900555098</v>
      </c>
      <c r="G5165">
        <f t="shared" si="80"/>
        <v>0.40000000000000036</v>
      </c>
    </row>
    <row r="5166" spans="2:7" x14ac:dyDescent="0.35">
      <c r="B5166" s="1">
        <v>45873</v>
      </c>
      <c r="C5166" s="2">
        <v>0.16666666666666671</v>
      </c>
      <c r="D5166">
        <v>15.8</v>
      </c>
      <c r="E5166">
        <f>IF($D5166 &gt; 16, 0, $J$3*(16 - $D5166))</f>
        <v>41.549728540139249</v>
      </c>
      <c r="F5166">
        <f>IF($D5166 &gt; 16, 0,$E5166*$J$5)</f>
        <v>451603.99950277351</v>
      </c>
      <c r="G5166">
        <f t="shared" si="80"/>
        <v>0.19999999999999929</v>
      </c>
    </row>
    <row r="5167" spans="2:7" x14ac:dyDescent="0.35">
      <c r="B5167" s="1">
        <v>45873</v>
      </c>
      <c r="C5167" s="2">
        <v>0.20833333333333329</v>
      </c>
      <c r="D5167">
        <v>16.100000000000001</v>
      </c>
      <c r="E5167">
        <f>IF($D5167 &gt; 16, 0, $J$3*(16 - $D5167))</f>
        <v>0</v>
      </c>
      <c r="F5167">
        <f>IF($D5167 &gt; 16, 0,$E5167*$J$5)</f>
        <v>0</v>
      </c>
      <c r="G5167">
        <f t="shared" si="80"/>
        <v>0</v>
      </c>
    </row>
    <row r="5168" spans="2:7" x14ac:dyDescent="0.35">
      <c r="B5168" s="1">
        <v>45873</v>
      </c>
      <c r="C5168" s="2">
        <v>0.25</v>
      </c>
      <c r="D5168">
        <v>16.8</v>
      </c>
      <c r="E5168">
        <f>IF($D5168 &gt; 16, 0, $J$3*(16 - $D5168))</f>
        <v>0</v>
      </c>
      <c r="F5168">
        <f>IF($D5168 &gt; 16, 0,$E5168*$J$5)</f>
        <v>0</v>
      </c>
      <c r="G5168">
        <f t="shared" si="80"/>
        <v>0</v>
      </c>
    </row>
    <row r="5169" spans="2:7" x14ac:dyDescent="0.35">
      <c r="B5169" s="1">
        <v>45873</v>
      </c>
      <c r="C5169" s="2">
        <v>0.29166666666666669</v>
      </c>
      <c r="D5169">
        <v>17.3</v>
      </c>
      <c r="E5169">
        <f>IF($D5169 &gt; 16, 0, $J$3*(16 - $D5169))</f>
        <v>0</v>
      </c>
      <c r="F5169">
        <f>IF($D5169 &gt; 16, 0,$E5169*$J$5)</f>
        <v>0</v>
      </c>
      <c r="G5169">
        <f t="shared" si="80"/>
        <v>0</v>
      </c>
    </row>
    <row r="5170" spans="2:7" x14ac:dyDescent="0.35">
      <c r="B5170" s="1">
        <v>45873</v>
      </c>
      <c r="C5170" s="2">
        <v>0.33333333333333331</v>
      </c>
      <c r="D5170">
        <v>18.600000000000001</v>
      </c>
      <c r="E5170">
        <f>IF($D5170 &gt; 16, 0, $J$3*(16 - $D5170))</f>
        <v>0</v>
      </c>
      <c r="F5170">
        <f>IF($D5170 &gt; 16, 0,$E5170*$J$5)</f>
        <v>0</v>
      </c>
      <c r="G5170">
        <f t="shared" si="80"/>
        <v>0</v>
      </c>
    </row>
    <row r="5171" spans="2:7" x14ac:dyDescent="0.35">
      <c r="B5171" s="1">
        <v>45873</v>
      </c>
      <c r="C5171" s="2">
        <v>0.375</v>
      </c>
      <c r="D5171">
        <v>18.8</v>
      </c>
      <c r="E5171">
        <f>IF($D5171 &gt; 16, 0, $J$3*(16 - $D5171))</f>
        <v>0</v>
      </c>
      <c r="F5171">
        <f>IF($D5171 &gt; 16, 0,$E5171*$J$5)</f>
        <v>0</v>
      </c>
      <c r="G5171">
        <f t="shared" si="80"/>
        <v>0</v>
      </c>
    </row>
    <row r="5172" spans="2:7" x14ac:dyDescent="0.35">
      <c r="B5172" s="1">
        <v>45873</v>
      </c>
      <c r="C5172" s="2">
        <v>0.41666666666666669</v>
      </c>
      <c r="D5172">
        <v>19.8</v>
      </c>
      <c r="E5172">
        <f>IF($D5172 &gt; 16, 0, $J$3*(16 - $D5172))</f>
        <v>0</v>
      </c>
      <c r="F5172">
        <f>IF($D5172 &gt; 16, 0,$E5172*$J$5)</f>
        <v>0</v>
      </c>
      <c r="G5172">
        <f t="shared" si="80"/>
        <v>0</v>
      </c>
    </row>
    <row r="5173" spans="2:7" x14ac:dyDescent="0.35">
      <c r="B5173" s="1">
        <v>45873</v>
      </c>
      <c r="C5173" s="2">
        <v>0.45833333333333331</v>
      </c>
      <c r="D5173">
        <v>21.1</v>
      </c>
      <c r="E5173">
        <f>IF($D5173 &gt; 16, 0, $J$3*(16 - $D5173))</f>
        <v>0</v>
      </c>
      <c r="F5173">
        <f>IF($D5173 &gt; 16, 0,$E5173*$J$5)</f>
        <v>0</v>
      </c>
      <c r="G5173">
        <f t="shared" si="80"/>
        <v>0</v>
      </c>
    </row>
    <row r="5174" spans="2:7" x14ac:dyDescent="0.35">
      <c r="B5174" s="1">
        <v>45873</v>
      </c>
      <c r="C5174" s="2">
        <v>0.5</v>
      </c>
      <c r="D5174">
        <v>21.5</v>
      </c>
      <c r="E5174">
        <f>IF($D5174 &gt; 16, 0, $J$3*(16 - $D5174))</f>
        <v>0</v>
      </c>
      <c r="F5174">
        <f>IF($D5174 &gt; 16, 0,$E5174*$J$5)</f>
        <v>0</v>
      </c>
      <c r="G5174">
        <f t="shared" si="80"/>
        <v>0</v>
      </c>
    </row>
    <row r="5175" spans="2:7" x14ac:dyDescent="0.35">
      <c r="B5175" s="1">
        <v>45873</v>
      </c>
      <c r="C5175" s="2">
        <v>0.54166666666666663</v>
      </c>
      <c r="D5175">
        <v>22.2</v>
      </c>
      <c r="E5175">
        <f>IF($D5175 &gt; 16, 0, $J$3*(16 - $D5175))</f>
        <v>0</v>
      </c>
      <c r="F5175">
        <f>IF($D5175 &gt; 16, 0,$E5175*$J$5)</f>
        <v>0</v>
      </c>
      <c r="G5175">
        <f t="shared" si="80"/>
        <v>0</v>
      </c>
    </row>
    <row r="5176" spans="2:7" x14ac:dyDescent="0.35">
      <c r="B5176" s="1">
        <v>45873</v>
      </c>
      <c r="C5176" s="2">
        <v>0.58333333333333337</v>
      </c>
      <c r="D5176">
        <v>21.7</v>
      </c>
      <c r="E5176">
        <f>IF($D5176 &gt; 16, 0, $J$3*(16 - $D5176))</f>
        <v>0</v>
      </c>
      <c r="F5176">
        <f>IF($D5176 &gt; 16, 0,$E5176*$J$5)</f>
        <v>0</v>
      </c>
      <c r="G5176">
        <f t="shared" si="80"/>
        <v>0</v>
      </c>
    </row>
    <row r="5177" spans="2:7" x14ac:dyDescent="0.35">
      <c r="B5177" s="1">
        <v>45873</v>
      </c>
      <c r="C5177" s="2">
        <v>0.625</v>
      </c>
      <c r="D5177">
        <v>21.7</v>
      </c>
      <c r="E5177">
        <f>IF($D5177 &gt; 16, 0, $J$3*(16 - $D5177))</f>
        <v>0</v>
      </c>
      <c r="F5177">
        <f>IF($D5177 &gt; 16, 0,$E5177*$J$5)</f>
        <v>0</v>
      </c>
      <c r="G5177">
        <f t="shared" si="80"/>
        <v>0</v>
      </c>
    </row>
    <row r="5178" spans="2:7" x14ac:dyDescent="0.35">
      <c r="B5178" s="1">
        <v>45873</v>
      </c>
      <c r="C5178" s="2">
        <v>0.66666666666666663</v>
      </c>
      <c r="D5178">
        <v>21.1</v>
      </c>
      <c r="E5178">
        <f>IF($D5178 &gt; 16, 0, $J$3*(16 - $D5178))</f>
        <v>0</v>
      </c>
      <c r="F5178">
        <f>IF($D5178 &gt; 16, 0,$E5178*$J$5)</f>
        <v>0</v>
      </c>
      <c r="G5178">
        <f t="shared" si="80"/>
        <v>0</v>
      </c>
    </row>
    <row r="5179" spans="2:7" x14ac:dyDescent="0.35">
      <c r="B5179" s="1">
        <v>45873</v>
      </c>
      <c r="C5179" s="2">
        <v>0.70833333333333337</v>
      </c>
      <c r="D5179">
        <v>21.3</v>
      </c>
      <c r="E5179">
        <f>IF($D5179 &gt; 16, 0, $J$3*(16 - $D5179))</f>
        <v>0</v>
      </c>
      <c r="F5179">
        <f>IF($D5179 &gt; 16, 0,$E5179*$J$5)</f>
        <v>0</v>
      </c>
      <c r="G5179">
        <f t="shared" si="80"/>
        <v>0</v>
      </c>
    </row>
    <row r="5180" spans="2:7" x14ac:dyDescent="0.35">
      <c r="B5180" s="1">
        <v>45873</v>
      </c>
      <c r="C5180" s="2">
        <v>0.75</v>
      </c>
      <c r="D5180">
        <v>19.8</v>
      </c>
      <c r="E5180">
        <f>IF($D5180 &gt; 16, 0, $J$3*(16 - $D5180))</f>
        <v>0</v>
      </c>
      <c r="F5180">
        <f>IF($D5180 &gt; 16, 0,$E5180*$J$5)</f>
        <v>0</v>
      </c>
      <c r="G5180">
        <f t="shared" si="80"/>
        <v>0</v>
      </c>
    </row>
    <row r="5181" spans="2:7" x14ac:dyDescent="0.35">
      <c r="B5181" s="1">
        <v>45873</v>
      </c>
      <c r="C5181" s="2">
        <v>0.79166666666666663</v>
      </c>
      <c r="D5181">
        <v>19.399999999999999</v>
      </c>
      <c r="E5181">
        <f>IF($D5181 &gt; 16, 0, $J$3*(16 - $D5181))</f>
        <v>0</v>
      </c>
      <c r="F5181">
        <f>IF($D5181 &gt; 16, 0,$E5181*$J$5)</f>
        <v>0</v>
      </c>
      <c r="G5181">
        <f t="shared" si="80"/>
        <v>0</v>
      </c>
    </row>
    <row r="5182" spans="2:7" x14ac:dyDescent="0.35">
      <c r="B5182" s="1">
        <v>45873</v>
      </c>
      <c r="C5182" s="2">
        <v>0.83333333333333337</v>
      </c>
      <c r="D5182">
        <v>18.8</v>
      </c>
      <c r="E5182">
        <f>IF($D5182 &gt; 16, 0, $J$3*(16 - $D5182))</f>
        <v>0</v>
      </c>
      <c r="F5182">
        <f>IF($D5182 &gt; 16, 0,$E5182*$J$5)</f>
        <v>0</v>
      </c>
      <c r="G5182">
        <f t="shared" si="80"/>
        <v>0</v>
      </c>
    </row>
    <row r="5183" spans="2:7" x14ac:dyDescent="0.35">
      <c r="B5183" s="1">
        <v>45873</v>
      </c>
      <c r="C5183" s="2">
        <v>0.875</v>
      </c>
      <c r="D5183">
        <v>18.7</v>
      </c>
      <c r="E5183">
        <f>IF($D5183 &gt; 16, 0, $J$3*(16 - $D5183))</f>
        <v>0</v>
      </c>
      <c r="F5183">
        <f>IF($D5183 &gt; 16, 0,$E5183*$J$5)</f>
        <v>0</v>
      </c>
      <c r="G5183">
        <f t="shared" si="80"/>
        <v>0</v>
      </c>
    </row>
    <row r="5184" spans="2:7" x14ac:dyDescent="0.35">
      <c r="B5184" s="1">
        <v>45873</v>
      </c>
      <c r="C5184" s="2">
        <v>0.91666666666666663</v>
      </c>
      <c r="D5184">
        <v>19.600000000000001</v>
      </c>
      <c r="E5184">
        <f>IF($D5184 &gt; 16, 0, $J$3*(16 - $D5184))</f>
        <v>0</v>
      </c>
      <c r="F5184">
        <f>IF($D5184 &gt; 16, 0,$E5184*$J$5)</f>
        <v>0</v>
      </c>
      <c r="G5184">
        <f t="shared" si="80"/>
        <v>0</v>
      </c>
    </row>
    <row r="5185" spans="2:7" x14ac:dyDescent="0.35">
      <c r="B5185" s="1">
        <v>45873</v>
      </c>
      <c r="C5185" s="2">
        <v>0.95833333333333337</v>
      </c>
      <c r="D5185">
        <v>18.2</v>
      </c>
      <c r="E5185">
        <f>IF($D5185 &gt; 16, 0, $J$3*(16 - $D5185))</f>
        <v>0</v>
      </c>
      <c r="F5185">
        <f>IF($D5185 &gt; 16, 0,$E5185*$J$5)</f>
        <v>0</v>
      </c>
      <c r="G5185">
        <f t="shared" si="80"/>
        <v>0</v>
      </c>
    </row>
    <row r="5186" spans="2:7" x14ac:dyDescent="0.35">
      <c r="B5186" s="1">
        <v>45874</v>
      </c>
      <c r="C5186" s="2">
        <v>0</v>
      </c>
      <c r="D5186">
        <v>17.7</v>
      </c>
      <c r="E5186">
        <f>IF($D5186 &gt; 16, 0, $J$3*(16 - $D5186))</f>
        <v>0</v>
      </c>
      <c r="F5186">
        <f>IF($D5186 &gt; 16, 0,$E5186*$J$5)</f>
        <v>0</v>
      </c>
      <c r="G5186">
        <f t="shared" si="80"/>
        <v>0</v>
      </c>
    </row>
    <row r="5187" spans="2:7" x14ac:dyDescent="0.35">
      <c r="B5187" s="1">
        <v>45874</v>
      </c>
      <c r="C5187" s="2">
        <v>4.1666666666666657E-2</v>
      </c>
      <c r="D5187">
        <v>16.7</v>
      </c>
      <c r="E5187">
        <f>IF($D5187 &gt; 16, 0, $J$3*(16 - $D5187))</f>
        <v>0</v>
      </c>
      <c r="F5187">
        <f>IF($D5187 &gt; 16, 0,$E5187*$J$5)</f>
        <v>0</v>
      </c>
      <c r="G5187">
        <f t="shared" ref="G5187:G5250" si="81">MAX(0, 16 - $D5187)</f>
        <v>0</v>
      </c>
    </row>
    <row r="5188" spans="2:7" x14ac:dyDescent="0.35">
      <c r="B5188" s="1">
        <v>45874</v>
      </c>
      <c r="C5188" s="2">
        <v>8.3333333333333329E-2</v>
      </c>
      <c r="D5188">
        <v>16.5</v>
      </c>
      <c r="E5188">
        <f>IF($D5188 &gt; 16, 0, $J$3*(16 - $D5188))</f>
        <v>0</v>
      </c>
      <c r="F5188">
        <f>IF($D5188 &gt; 16, 0,$E5188*$J$5)</f>
        <v>0</v>
      </c>
      <c r="G5188">
        <f t="shared" si="81"/>
        <v>0</v>
      </c>
    </row>
    <row r="5189" spans="2:7" x14ac:dyDescent="0.35">
      <c r="B5189" s="1">
        <v>45874</v>
      </c>
      <c r="C5189" s="2">
        <v>0.125</v>
      </c>
      <c r="D5189">
        <v>16.3</v>
      </c>
      <c r="E5189">
        <f>IF($D5189 &gt; 16, 0, $J$3*(16 - $D5189))</f>
        <v>0</v>
      </c>
      <c r="F5189">
        <f>IF($D5189 &gt; 16, 0,$E5189*$J$5)</f>
        <v>0</v>
      </c>
      <c r="G5189">
        <f t="shared" si="81"/>
        <v>0</v>
      </c>
    </row>
    <row r="5190" spans="2:7" x14ac:dyDescent="0.35">
      <c r="B5190" s="1">
        <v>45874</v>
      </c>
      <c r="C5190" s="2">
        <v>0.16666666666666671</v>
      </c>
      <c r="D5190">
        <v>15.6</v>
      </c>
      <c r="E5190">
        <f>IF($D5190 &gt; 16, 0, $J$3*(16 - $D5190))</f>
        <v>83.099457080278867</v>
      </c>
      <c r="F5190">
        <f>IF($D5190 &gt; 16, 0,$E5190*$J$5)</f>
        <v>903207.99900555098</v>
      </c>
      <c r="G5190">
        <f t="shared" si="81"/>
        <v>0.40000000000000036</v>
      </c>
    </row>
    <row r="5191" spans="2:7" x14ac:dyDescent="0.35">
      <c r="B5191" s="1">
        <v>45874</v>
      </c>
      <c r="C5191" s="2">
        <v>0.20833333333333329</v>
      </c>
      <c r="D5191">
        <v>15.3</v>
      </c>
      <c r="E5191">
        <f>IF($D5191 &gt; 16, 0, $J$3*(16 - $D5191))</f>
        <v>145.42404989048774</v>
      </c>
      <c r="F5191">
        <f>IF($D5191 &gt; 16, 0,$E5191*$J$5)</f>
        <v>1580613.9982597113</v>
      </c>
      <c r="G5191">
        <f t="shared" si="81"/>
        <v>0.69999999999999929</v>
      </c>
    </row>
    <row r="5192" spans="2:7" x14ac:dyDescent="0.35">
      <c r="B5192" s="1">
        <v>45874</v>
      </c>
      <c r="C5192" s="2">
        <v>0.25</v>
      </c>
      <c r="D5192">
        <v>15.4</v>
      </c>
      <c r="E5192">
        <f>IF($D5192 &gt; 16, 0, $J$3*(16 - $D5192))</f>
        <v>124.64918562041812</v>
      </c>
      <c r="F5192">
        <f>IF($D5192 &gt; 16, 0,$E5192*$J$5)</f>
        <v>1354811.9985083246</v>
      </c>
      <c r="G5192">
        <f t="shared" si="81"/>
        <v>0.59999999999999964</v>
      </c>
    </row>
    <row r="5193" spans="2:7" x14ac:dyDescent="0.35">
      <c r="B5193" s="1">
        <v>45874</v>
      </c>
      <c r="C5193" s="2">
        <v>0.29166666666666669</v>
      </c>
      <c r="D5193">
        <v>15.8</v>
      </c>
      <c r="E5193">
        <f>IF($D5193 &gt; 16, 0, $J$3*(16 - $D5193))</f>
        <v>41.549728540139249</v>
      </c>
      <c r="F5193">
        <f>IF($D5193 &gt; 16, 0,$E5193*$J$5)</f>
        <v>451603.99950277351</v>
      </c>
      <c r="G5193">
        <f t="shared" si="81"/>
        <v>0.19999999999999929</v>
      </c>
    </row>
    <row r="5194" spans="2:7" x14ac:dyDescent="0.35">
      <c r="B5194" s="1">
        <v>45874</v>
      </c>
      <c r="C5194" s="2">
        <v>0.33333333333333331</v>
      </c>
      <c r="D5194">
        <v>17.600000000000001</v>
      </c>
      <c r="E5194">
        <f>IF($D5194 &gt; 16, 0, $J$3*(16 - $D5194))</f>
        <v>0</v>
      </c>
      <c r="F5194">
        <f>IF($D5194 &gt; 16, 0,$E5194*$J$5)</f>
        <v>0</v>
      </c>
      <c r="G5194">
        <f t="shared" si="81"/>
        <v>0</v>
      </c>
    </row>
    <row r="5195" spans="2:7" x14ac:dyDescent="0.35">
      <c r="B5195" s="1">
        <v>45874</v>
      </c>
      <c r="C5195" s="2">
        <v>0.375</v>
      </c>
      <c r="D5195">
        <v>18.2</v>
      </c>
      <c r="E5195">
        <f>IF($D5195 &gt; 16, 0, $J$3*(16 - $D5195))</f>
        <v>0</v>
      </c>
      <c r="F5195">
        <f>IF($D5195 &gt; 16, 0,$E5195*$J$5)</f>
        <v>0</v>
      </c>
      <c r="G5195">
        <f t="shared" si="81"/>
        <v>0</v>
      </c>
    </row>
    <row r="5196" spans="2:7" x14ac:dyDescent="0.35">
      <c r="B5196" s="1">
        <v>45874</v>
      </c>
      <c r="C5196" s="2">
        <v>0.41666666666666669</v>
      </c>
      <c r="D5196">
        <v>18.600000000000001</v>
      </c>
      <c r="E5196">
        <f>IF($D5196 &gt; 16, 0, $J$3*(16 - $D5196))</f>
        <v>0</v>
      </c>
      <c r="F5196">
        <f>IF($D5196 &gt; 16, 0,$E5196*$J$5)</f>
        <v>0</v>
      </c>
      <c r="G5196">
        <f t="shared" si="81"/>
        <v>0</v>
      </c>
    </row>
    <row r="5197" spans="2:7" x14ac:dyDescent="0.35">
      <c r="B5197" s="1">
        <v>45874</v>
      </c>
      <c r="C5197" s="2">
        <v>0.45833333333333331</v>
      </c>
      <c r="D5197">
        <v>18.899999999999999</v>
      </c>
      <c r="E5197">
        <f>IF($D5197 &gt; 16, 0, $J$3*(16 - $D5197))</f>
        <v>0</v>
      </c>
      <c r="F5197">
        <f>IF($D5197 &gt; 16, 0,$E5197*$J$5)</f>
        <v>0</v>
      </c>
      <c r="G5197">
        <f t="shared" si="81"/>
        <v>0</v>
      </c>
    </row>
    <row r="5198" spans="2:7" x14ac:dyDescent="0.35">
      <c r="B5198" s="1">
        <v>45874</v>
      </c>
      <c r="C5198" s="2">
        <v>0.5</v>
      </c>
      <c r="D5198">
        <v>18.899999999999999</v>
      </c>
      <c r="E5198">
        <f>IF($D5198 &gt; 16, 0, $J$3*(16 - $D5198))</f>
        <v>0</v>
      </c>
      <c r="F5198">
        <f>IF($D5198 &gt; 16, 0,$E5198*$J$5)</f>
        <v>0</v>
      </c>
      <c r="G5198">
        <f t="shared" si="81"/>
        <v>0</v>
      </c>
    </row>
    <row r="5199" spans="2:7" x14ac:dyDescent="0.35">
      <c r="B5199" s="1">
        <v>45874</v>
      </c>
      <c r="C5199" s="2">
        <v>0.54166666666666663</v>
      </c>
      <c r="D5199">
        <v>19.8</v>
      </c>
      <c r="E5199">
        <f>IF($D5199 &gt; 16, 0, $J$3*(16 - $D5199))</f>
        <v>0</v>
      </c>
      <c r="F5199">
        <f>IF($D5199 &gt; 16, 0,$E5199*$J$5)</f>
        <v>0</v>
      </c>
      <c r="G5199">
        <f t="shared" si="81"/>
        <v>0</v>
      </c>
    </row>
    <row r="5200" spans="2:7" x14ac:dyDescent="0.35">
      <c r="B5200" s="1">
        <v>45874</v>
      </c>
      <c r="C5200" s="2">
        <v>0.58333333333333337</v>
      </c>
      <c r="D5200">
        <v>19.5</v>
      </c>
      <c r="E5200">
        <f>IF($D5200 &gt; 16, 0, $J$3*(16 - $D5200))</f>
        <v>0</v>
      </c>
      <c r="F5200">
        <f>IF($D5200 &gt; 16, 0,$E5200*$J$5)</f>
        <v>0</v>
      </c>
      <c r="G5200">
        <f t="shared" si="81"/>
        <v>0</v>
      </c>
    </row>
    <row r="5201" spans="2:7" x14ac:dyDescent="0.35">
      <c r="B5201" s="1">
        <v>45874</v>
      </c>
      <c r="C5201" s="2">
        <v>0.625</v>
      </c>
      <c r="D5201">
        <v>19</v>
      </c>
      <c r="E5201">
        <f>IF($D5201 &gt; 16, 0, $J$3*(16 - $D5201))</f>
        <v>0</v>
      </c>
      <c r="F5201">
        <f>IF($D5201 &gt; 16, 0,$E5201*$J$5)</f>
        <v>0</v>
      </c>
      <c r="G5201">
        <f t="shared" si="81"/>
        <v>0</v>
      </c>
    </row>
    <row r="5202" spans="2:7" x14ac:dyDescent="0.35">
      <c r="B5202" s="1">
        <v>45874</v>
      </c>
      <c r="C5202" s="2">
        <v>0.66666666666666663</v>
      </c>
      <c r="D5202">
        <v>15</v>
      </c>
      <c r="E5202">
        <f>IF($D5202 &gt; 16, 0, $J$3*(16 - $D5202))</f>
        <v>207.74864270069699</v>
      </c>
      <c r="F5202">
        <f>IF($D5202 &gt; 16, 0,$E5202*$J$5)</f>
        <v>2258019.9975138754</v>
      </c>
      <c r="G5202">
        <f t="shared" si="81"/>
        <v>1</v>
      </c>
    </row>
    <row r="5203" spans="2:7" x14ac:dyDescent="0.35">
      <c r="B5203" s="1">
        <v>45874</v>
      </c>
      <c r="C5203" s="2">
        <v>0.70833333333333337</v>
      </c>
      <c r="D5203">
        <v>14</v>
      </c>
      <c r="E5203">
        <f>IF($D5203 &gt; 16, 0, $J$3*(16 - $D5203))</f>
        <v>415.49728540139398</v>
      </c>
      <c r="F5203">
        <f>IF($D5203 &gt; 16, 0,$E5203*$J$5)</f>
        <v>4516039.9950277507</v>
      </c>
      <c r="G5203">
        <f t="shared" si="81"/>
        <v>2</v>
      </c>
    </row>
    <row r="5204" spans="2:7" x14ac:dyDescent="0.35">
      <c r="B5204" s="1">
        <v>45874</v>
      </c>
      <c r="C5204" s="2">
        <v>0.75</v>
      </c>
      <c r="D5204">
        <v>14.7</v>
      </c>
      <c r="E5204">
        <f>IF($D5204 &gt; 16, 0, $J$3*(16 - $D5204))</f>
        <v>270.07323551090622</v>
      </c>
      <c r="F5204">
        <f>IF($D5204 &gt; 16, 0,$E5204*$J$5)</f>
        <v>2935425.9967680397</v>
      </c>
      <c r="G5204">
        <f t="shared" si="81"/>
        <v>1.3000000000000007</v>
      </c>
    </row>
    <row r="5205" spans="2:7" x14ac:dyDescent="0.35">
      <c r="B5205" s="1">
        <v>45874</v>
      </c>
      <c r="C5205" s="2">
        <v>0.79166666666666663</v>
      </c>
      <c r="D5205">
        <v>13.5</v>
      </c>
      <c r="E5205">
        <f>IF($D5205 &gt; 16, 0, $J$3*(16 - $D5205))</f>
        <v>519.37160675174243</v>
      </c>
      <c r="F5205">
        <f>IF($D5205 &gt; 16, 0,$E5205*$J$5)</f>
        <v>5645049.9937846884</v>
      </c>
      <c r="G5205">
        <f t="shared" si="81"/>
        <v>2.5</v>
      </c>
    </row>
    <row r="5206" spans="2:7" x14ac:dyDescent="0.35">
      <c r="B5206" s="1">
        <v>45874</v>
      </c>
      <c r="C5206" s="2">
        <v>0.83333333333333337</v>
      </c>
      <c r="D5206">
        <v>13.4</v>
      </c>
      <c r="E5206">
        <f>IF($D5206 &gt; 16, 0, $J$3*(16 - $D5206))</f>
        <v>540.14647102181209</v>
      </c>
      <c r="F5206">
        <f>IF($D5206 &gt; 16, 0,$E5206*$J$5)</f>
        <v>5870851.9935360756</v>
      </c>
      <c r="G5206">
        <f t="shared" si="81"/>
        <v>2.5999999999999996</v>
      </c>
    </row>
    <row r="5207" spans="2:7" x14ac:dyDescent="0.35">
      <c r="B5207" s="1">
        <v>45874</v>
      </c>
      <c r="C5207" s="2">
        <v>0.875</v>
      </c>
      <c r="D5207">
        <v>12.1</v>
      </c>
      <c r="E5207">
        <f>IF($D5207 &gt; 16, 0, $J$3*(16 - $D5207))</f>
        <v>810.21970653271831</v>
      </c>
      <c r="F5207">
        <f>IF($D5207 &gt; 16, 0,$E5207*$J$5)</f>
        <v>8806277.9903041162</v>
      </c>
      <c r="G5207">
        <f t="shared" si="81"/>
        <v>3.9000000000000004</v>
      </c>
    </row>
    <row r="5208" spans="2:7" x14ac:dyDescent="0.35">
      <c r="B5208" s="1">
        <v>45874</v>
      </c>
      <c r="C5208" s="2">
        <v>0.91666666666666663</v>
      </c>
      <c r="D5208">
        <v>12.7</v>
      </c>
      <c r="E5208">
        <f>IF($D5208 &gt; 16, 0, $J$3*(16 - $D5208))</f>
        <v>685.57052091230025</v>
      </c>
      <c r="F5208">
        <f>IF($D5208 &gt; 16, 0,$E5208*$J$5)</f>
        <v>7451465.9917957913</v>
      </c>
      <c r="G5208">
        <f t="shared" si="81"/>
        <v>3.3000000000000007</v>
      </c>
    </row>
    <row r="5209" spans="2:7" x14ac:dyDescent="0.35">
      <c r="B5209" s="1">
        <v>45874</v>
      </c>
      <c r="C5209" s="2">
        <v>0.95833333333333337</v>
      </c>
      <c r="D5209">
        <v>12.7</v>
      </c>
      <c r="E5209">
        <f>IF($D5209 &gt; 16, 0, $J$3*(16 - $D5209))</f>
        <v>685.57052091230025</v>
      </c>
      <c r="F5209">
        <f>IF($D5209 &gt; 16, 0,$E5209*$J$5)</f>
        <v>7451465.9917957913</v>
      </c>
      <c r="G5209">
        <f t="shared" si="81"/>
        <v>3.3000000000000007</v>
      </c>
    </row>
    <row r="5210" spans="2:7" x14ac:dyDescent="0.35">
      <c r="B5210" s="1">
        <v>45875</v>
      </c>
      <c r="C5210" s="2">
        <v>0</v>
      </c>
      <c r="D5210">
        <v>12.4</v>
      </c>
      <c r="E5210">
        <f>IF($D5210 &gt; 16, 0, $J$3*(16 - $D5210))</f>
        <v>747.89511372250911</v>
      </c>
      <c r="F5210">
        <f>IF($D5210 &gt; 16, 0,$E5210*$J$5)</f>
        <v>8128871.9910499519</v>
      </c>
      <c r="G5210">
        <f t="shared" si="81"/>
        <v>3.5999999999999996</v>
      </c>
    </row>
    <row r="5211" spans="2:7" x14ac:dyDescent="0.35">
      <c r="B5211" s="1">
        <v>45875</v>
      </c>
      <c r="C5211" s="2">
        <v>4.1666666666666657E-2</v>
      </c>
      <c r="D5211">
        <v>12</v>
      </c>
      <c r="E5211">
        <f>IF($D5211 &gt; 16, 0, $J$3*(16 - $D5211))</f>
        <v>830.99457080278796</v>
      </c>
      <c r="F5211">
        <f>IF($D5211 &gt; 16, 0,$E5211*$J$5)</f>
        <v>9032079.9900555015</v>
      </c>
      <c r="G5211">
        <f t="shared" si="81"/>
        <v>4</v>
      </c>
    </row>
    <row r="5212" spans="2:7" x14ac:dyDescent="0.35">
      <c r="B5212" s="1">
        <v>45875</v>
      </c>
      <c r="C5212" s="2">
        <v>8.3333333333333329E-2</v>
      </c>
      <c r="D5212">
        <v>12</v>
      </c>
      <c r="E5212">
        <f>IF($D5212 &gt; 16, 0, $J$3*(16 - $D5212))</f>
        <v>830.99457080278796</v>
      </c>
      <c r="F5212">
        <f>IF($D5212 &gt; 16, 0,$E5212*$J$5)</f>
        <v>9032079.9900555015</v>
      </c>
      <c r="G5212">
        <f t="shared" si="81"/>
        <v>4</v>
      </c>
    </row>
    <row r="5213" spans="2:7" x14ac:dyDescent="0.35">
      <c r="B5213" s="1">
        <v>45875</v>
      </c>
      <c r="C5213" s="2">
        <v>0.125</v>
      </c>
      <c r="D5213">
        <v>12.3</v>
      </c>
      <c r="E5213">
        <f>IF($D5213 &gt; 16, 0, $J$3*(16 - $D5213))</f>
        <v>768.66997799257877</v>
      </c>
      <c r="F5213">
        <f>IF($D5213 &gt; 16, 0,$E5213*$J$5)</f>
        <v>8354673.990801339</v>
      </c>
      <c r="G5213">
        <f t="shared" si="81"/>
        <v>3.6999999999999993</v>
      </c>
    </row>
    <row r="5214" spans="2:7" x14ac:dyDescent="0.35">
      <c r="B5214" s="1">
        <v>45875</v>
      </c>
      <c r="C5214" s="2">
        <v>0.16666666666666671</v>
      </c>
      <c r="D5214">
        <v>12.3</v>
      </c>
      <c r="E5214">
        <f>IF($D5214 &gt; 16, 0, $J$3*(16 - $D5214))</f>
        <v>768.66997799257877</v>
      </c>
      <c r="F5214">
        <f>IF($D5214 &gt; 16, 0,$E5214*$J$5)</f>
        <v>8354673.990801339</v>
      </c>
      <c r="G5214">
        <f t="shared" si="81"/>
        <v>3.6999999999999993</v>
      </c>
    </row>
    <row r="5215" spans="2:7" x14ac:dyDescent="0.35">
      <c r="B5215" s="1">
        <v>45875</v>
      </c>
      <c r="C5215" s="2">
        <v>0.20833333333333329</v>
      </c>
      <c r="D5215">
        <v>12.2</v>
      </c>
      <c r="E5215">
        <f>IF($D5215 &gt; 16, 0, $J$3*(16 - $D5215))</f>
        <v>789.44484226264876</v>
      </c>
      <c r="F5215">
        <f>IF($D5215 &gt; 16, 0,$E5215*$J$5)</f>
        <v>8580475.990552729</v>
      </c>
      <c r="G5215">
        <f t="shared" si="81"/>
        <v>3.8000000000000007</v>
      </c>
    </row>
    <row r="5216" spans="2:7" x14ac:dyDescent="0.35">
      <c r="B5216" s="1">
        <v>45875</v>
      </c>
      <c r="C5216" s="2">
        <v>0.25</v>
      </c>
      <c r="D5216">
        <v>13.1</v>
      </c>
      <c r="E5216">
        <f>IF($D5216 &gt; 16, 0, $J$3*(16 - $D5216))</f>
        <v>602.4710638320214</v>
      </c>
      <c r="F5216">
        <f>IF($D5216 &gt; 16, 0,$E5216*$J$5)</f>
        <v>6548257.9927902408</v>
      </c>
      <c r="G5216">
        <f t="shared" si="81"/>
        <v>2.9000000000000004</v>
      </c>
    </row>
    <row r="5217" spans="2:7" x14ac:dyDescent="0.35">
      <c r="B5217" s="1">
        <v>45875</v>
      </c>
      <c r="C5217" s="2">
        <v>0.29166666666666669</v>
      </c>
      <c r="D5217">
        <v>14.6</v>
      </c>
      <c r="E5217">
        <f>IF($D5217 &gt; 16, 0, $J$3*(16 - $D5217))</f>
        <v>290.84809978097587</v>
      </c>
      <c r="F5217">
        <f>IF($D5217 &gt; 16, 0,$E5217*$J$5)</f>
        <v>3161227.9965194268</v>
      </c>
      <c r="G5217">
        <f t="shared" si="81"/>
        <v>1.4000000000000004</v>
      </c>
    </row>
    <row r="5218" spans="2:7" x14ac:dyDescent="0.35">
      <c r="B5218" s="1">
        <v>45875</v>
      </c>
      <c r="C5218" s="2">
        <v>0.33333333333333331</v>
      </c>
      <c r="D5218">
        <v>15.5</v>
      </c>
      <c r="E5218">
        <f>IF($D5218 &gt; 16, 0, $J$3*(16 - $D5218))</f>
        <v>103.8743213503485</v>
      </c>
      <c r="F5218">
        <f>IF($D5218 &gt; 16, 0,$E5218*$J$5)</f>
        <v>1129009.9987569377</v>
      </c>
      <c r="G5218">
        <f t="shared" si="81"/>
        <v>0.5</v>
      </c>
    </row>
    <row r="5219" spans="2:7" x14ac:dyDescent="0.35">
      <c r="B5219" s="1">
        <v>45875</v>
      </c>
      <c r="C5219" s="2">
        <v>0.375</v>
      </c>
      <c r="D5219">
        <v>18.100000000000001</v>
      </c>
      <c r="E5219">
        <f>IF($D5219 &gt; 16, 0, $J$3*(16 - $D5219))</f>
        <v>0</v>
      </c>
      <c r="F5219">
        <f>IF($D5219 &gt; 16, 0,$E5219*$J$5)</f>
        <v>0</v>
      </c>
      <c r="G5219">
        <f t="shared" si="81"/>
        <v>0</v>
      </c>
    </row>
    <row r="5220" spans="2:7" x14ac:dyDescent="0.35">
      <c r="B5220" s="1">
        <v>45875</v>
      </c>
      <c r="C5220" s="2">
        <v>0.41666666666666669</v>
      </c>
      <c r="D5220">
        <v>18.7</v>
      </c>
      <c r="E5220">
        <f>IF($D5220 &gt; 16, 0, $J$3*(16 - $D5220))</f>
        <v>0</v>
      </c>
      <c r="F5220">
        <f>IF($D5220 &gt; 16, 0,$E5220*$J$5)</f>
        <v>0</v>
      </c>
      <c r="G5220">
        <f t="shared" si="81"/>
        <v>0</v>
      </c>
    </row>
    <row r="5221" spans="2:7" x14ac:dyDescent="0.35">
      <c r="B5221" s="1">
        <v>45875</v>
      </c>
      <c r="C5221" s="2">
        <v>0.45833333333333331</v>
      </c>
      <c r="D5221">
        <v>19.3</v>
      </c>
      <c r="E5221">
        <f>IF($D5221 &gt; 16, 0, $J$3*(16 - $D5221))</f>
        <v>0</v>
      </c>
      <c r="F5221">
        <f>IF($D5221 &gt; 16, 0,$E5221*$J$5)</f>
        <v>0</v>
      </c>
      <c r="G5221">
        <f t="shared" si="81"/>
        <v>0</v>
      </c>
    </row>
    <row r="5222" spans="2:7" x14ac:dyDescent="0.35">
      <c r="B5222" s="1">
        <v>45875</v>
      </c>
      <c r="C5222" s="2">
        <v>0.5</v>
      </c>
      <c r="D5222">
        <v>19.8</v>
      </c>
      <c r="E5222">
        <f>IF($D5222 &gt; 16, 0, $J$3*(16 - $D5222))</f>
        <v>0</v>
      </c>
      <c r="F5222">
        <f>IF($D5222 &gt; 16, 0,$E5222*$J$5)</f>
        <v>0</v>
      </c>
      <c r="G5222">
        <f t="shared" si="81"/>
        <v>0</v>
      </c>
    </row>
    <row r="5223" spans="2:7" x14ac:dyDescent="0.35">
      <c r="B5223" s="1">
        <v>45875</v>
      </c>
      <c r="C5223" s="2">
        <v>0.54166666666666663</v>
      </c>
      <c r="D5223">
        <v>18.399999999999999</v>
      </c>
      <c r="E5223">
        <f>IF($D5223 &gt; 16, 0, $J$3*(16 - $D5223))</f>
        <v>0</v>
      </c>
      <c r="F5223">
        <f>IF($D5223 &gt; 16, 0,$E5223*$J$5)</f>
        <v>0</v>
      </c>
      <c r="G5223">
        <f t="shared" si="81"/>
        <v>0</v>
      </c>
    </row>
    <row r="5224" spans="2:7" x14ac:dyDescent="0.35">
      <c r="B5224" s="1">
        <v>45875</v>
      </c>
      <c r="C5224" s="2">
        <v>0.58333333333333337</v>
      </c>
      <c r="D5224">
        <v>18.2</v>
      </c>
      <c r="E5224">
        <f>IF($D5224 &gt; 16, 0, $J$3*(16 - $D5224))</f>
        <v>0</v>
      </c>
      <c r="F5224">
        <f>IF($D5224 &gt; 16, 0,$E5224*$J$5)</f>
        <v>0</v>
      </c>
      <c r="G5224">
        <f t="shared" si="81"/>
        <v>0</v>
      </c>
    </row>
    <row r="5225" spans="2:7" x14ac:dyDescent="0.35">
      <c r="B5225" s="1">
        <v>45875</v>
      </c>
      <c r="C5225" s="2">
        <v>0.625</v>
      </c>
      <c r="D5225">
        <v>18.7</v>
      </c>
      <c r="E5225">
        <f>IF($D5225 &gt; 16, 0, $J$3*(16 - $D5225))</f>
        <v>0</v>
      </c>
      <c r="F5225">
        <f>IF($D5225 &gt; 16, 0,$E5225*$J$5)</f>
        <v>0</v>
      </c>
      <c r="G5225">
        <f t="shared" si="81"/>
        <v>0</v>
      </c>
    </row>
    <row r="5226" spans="2:7" x14ac:dyDescent="0.35">
      <c r="B5226" s="1">
        <v>45875</v>
      </c>
      <c r="C5226" s="2">
        <v>0.66666666666666663</v>
      </c>
      <c r="D5226">
        <v>18.399999999999999</v>
      </c>
      <c r="E5226">
        <f>IF($D5226 &gt; 16, 0, $J$3*(16 - $D5226))</f>
        <v>0</v>
      </c>
      <c r="F5226">
        <f>IF($D5226 &gt; 16, 0,$E5226*$J$5)</f>
        <v>0</v>
      </c>
      <c r="G5226">
        <f t="shared" si="81"/>
        <v>0</v>
      </c>
    </row>
    <row r="5227" spans="2:7" x14ac:dyDescent="0.35">
      <c r="B5227" s="1">
        <v>45875</v>
      </c>
      <c r="C5227" s="2">
        <v>0.70833333333333337</v>
      </c>
      <c r="D5227">
        <v>17.8</v>
      </c>
      <c r="E5227">
        <f>IF($D5227 &gt; 16, 0, $J$3*(16 - $D5227))</f>
        <v>0</v>
      </c>
      <c r="F5227">
        <f>IF($D5227 &gt; 16, 0,$E5227*$J$5)</f>
        <v>0</v>
      </c>
      <c r="G5227">
        <f t="shared" si="81"/>
        <v>0</v>
      </c>
    </row>
    <row r="5228" spans="2:7" x14ac:dyDescent="0.35">
      <c r="B5228" s="1">
        <v>45875</v>
      </c>
      <c r="C5228" s="2">
        <v>0.75</v>
      </c>
      <c r="D5228">
        <v>16.399999999999999</v>
      </c>
      <c r="E5228">
        <f>IF($D5228 &gt; 16, 0, $J$3*(16 - $D5228))</f>
        <v>0</v>
      </c>
      <c r="F5228">
        <f>IF($D5228 &gt; 16, 0,$E5228*$J$5)</f>
        <v>0</v>
      </c>
      <c r="G5228">
        <f t="shared" si="81"/>
        <v>0</v>
      </c>
    </row>
    <row r="5229" spans="2:7" x14ac:dyDescent="0.35">
      <c r="B5229" s="1">
        <v>45875</v>
      </c>
      <c r="C5229" s="2">
        <v>0.79166666666666663</v>
      </c>
      <c r="D5229">
        <v>16.2</v>
      </c>
      <c r="E5229">
        <f>IF($D5229 &gt; 16, 0, $J$3*(16 - $D5229))</f>
        <v>0</v>
      </c>
      <c r="F5229">
        <f>IF($D5229 &gt; 16, 0,$E5229*$J$5)</f>
        <v>0</v>
      </c>
      <c r="G5229">
        <f t="shared" si="81"/>
        <v>0</v>
      </c>
    </row>
    <row r="5230" spans="2:7" x14ac:dyDescent="0.35">
      <c r="B5230" s="1">
        <v>45875</v>
      </c>
      <c r="C5230" s="2">
        <v>0.83333333333333337</v>
      </c>
      <c r="D5230">
        <v>15.7</v>
      </c>
      <c r="E5230">
        <f>IF($D5230 &gt; 16, 0, $J$3*(16 - $D5230))</f>
        <v>62.324592810209246</v>
      </c>
      <c r="F5230">
        <f>IF($D5230 &gt; 16, 0,$E5230*$J$5)</f>
        <v>677405.99925416429</v>
      </c>
      <c r="G5230">
        <f t="shared" si="81"/>
        <v>0.30000000000000071</v>
      </c>
    </row>
    <row r="5231" spans="2:7" x14ac:dyDescent="0.35">
      <c r="B5231" s="1">
        <v>45875</v>
      </c>
      <c r="C5231" s="2">
        <v>0.875</v>
      </c>
      <c r="D5231">
        <v>15.3</v>
      </c>
      <c r="E5231">
        <f>IF($D5231 &gt; 16, 0, $J$3*(16 - $D5231))</f>
        <v>145.42404989048774</v>
      </c>
      <c r="F5231">
        <f>IF($D5231 &gt; 16, 0,$E5231*$J$5)</f>
        <v>1580613.9982597113</v>
      </c>
      <c r="G5231">
        <f t="shared" si="81"/>
        <v>0.69999999999999929</v>
      </c>
    </row>
    <row r="5232" spans="2:7" x14ac:dyDescent="0.35">
      <c r="B5232" s="1">
        <v>45875</v>
      </c>
      <c r="C5232" s="2">
        <v>0.91666666666666663</v>
      </c>
      <c r="D5232">
        <v>15</v>
      </c>
      <c r="E5232">
        <f>IF($D5232 &gt; 16, 0, $J$3*(16 - $D5232))</f>
        <v>207.74864270069699</v>
      </c>
      <c r="F5232">
        <f>IF($D5232 &gt; 16, 0,$E5232*$J$5)</f>
        <v>2258019.9975138754</v>
      </c>
      <c r="G5232">
        <f t="shared" si="81"/>
        <v>1</v>
      </c>
    </row>
    <row r="5233" spans="2:7" x14ac:dyDescent="0.35">
      <c r="B5233" s="1">
        <v>45875</v>
      </c>
      <c r="C5233" s="2">
        <v>0.95833333333333337</v>
      </c>
      <c r="D5233">
        <v>13.9</v>
      </c>
      <c r="E5233">
        <f>IF($D5233 &gt; 16, 0, $J$3*(16 - $D5233))</f>
        <v>436.27214967146358</v>
      </c>
      <c r="F5233">
        <f>IF($D5233 &gt; 16, 0,$E5233*$J$5)</f>
        <v>4741841.9947791379</v>
      </c>
      <c r="G5233">
        <f t="shared" si="81"/>
        <v>2.0999999999999996</v>
      </c>
    </row>
    <row r="5234" spans="2:7" x14ac:dyDescent="0.35">
      <c r="B5234" s="1">
        <v>45876</v>
      </c>
      <c r="C5234" s="2">
        <v>0</v>
      </c>
      <c r="D5234">
        <v>14.2</v>
      </c>
      <c r="E5234">
        <f>IF($D5234 &gt; 16, 0, $J$3*(16 - $D5234))</f>
        <v>373.94755686125472</v>
      </c>
      <c r="F5234">
        <f>IF($D5234 &gt; 16, 0,$E5234*$J$5)</f>
        <v>4064435.9955249778</v>
      </c>
      <c r="G5234">
        <f t="shared" si="81"/>
        <v>1.8000000000000007</v>
      </c>
    </row>
    <row r="5235" spans="2:7" x14ac:dyDescent="0.35">
      <c r="B5235" s="1">
        <v>45876</v>
      </c>
      <c r="C5235" s="2">
        <v>4.1666666666666657E-2</v>
      </c>
      <c r="D5235">
        <v>13.3</v>
      </c>
      <c r="E5235">
        <f>IF($D5235 &gt; 16, 0, $J$3*(16 - $D5235))</f>
        <v>560.92133529188175</v>
      </c>
      <c r="F5235">
        <f>IF($D5235 &gt; 16, 0,$E5235*$J$5)</f>
        <v>6096653.9932874627</v>
      </c>
      <c r="G5235">
        <f t="shared" si="81"/>
        <v>2.6999999999999993</v>
      </c>
    </row>
    <row r="5236" spans="2:7" x14ac:dyDescent="0.35">
      <c r="B5236" s="1">
        <v>45876</v>
      </c>
      <c r="C5236" s="2">
        <v>8.3333333333333329E-2</v>
      </c>
      <c r="D5236">
        <v>12.5</v>
      </c>
      <c r="E5236">
        <f>IF($D5236 &gt; 16, 0, $J$3*(16 - $D5236))</f>
        <v>727.12024945243945</v>
      </c>
      <c r="F5236">
        <f>IF($D5236 &gt; 16, 0,$E5236*$J$5)</f>
        <v>7903069.9912985647</v>
      </c>
      <c r="G5236">
        <f t="shared" si="81"/>
        <v>3.5</v>
      </c>
    </row>
    <row r="5237" spans="2:7" x14ac:dyDescent="0.35">
      <c r="B5237" s="1">
        <v>45876</v>
      </c>
      <c r="C5237" s="2">
        <v>0.125</v>
      </c>
      <c r="D5237">
        <v>12.6</v>
      </c>
      <c r="E5237">
        <f>IF($D5237 &gt; 16, 0, $J$3*(16 - $D5237))</f>
        <v>706.3453851823698</v>
      </c>
      <c r="F5237">
        <f>IF($D5237 &gt; 16, 0,$E5237*$J$5)</f>
        <v>7677267.9915471775</v>
      </c>
      <c r="G5237">
        <f t="shared" si="81"/>
        <v>3.4000000000000004</v>
      </c>
    </row>
    <row r="5238" spans="2:7" x14ac:dyDescent="0.35">
      <c r="B5238" s="1">
        <v>45876</v>
      </c>
      <c r="C5238" s="2">
        <v>0.16666666666666671</v>
      </c>
      <c r="D5238">
        <v>12.9</v>
      </c>
      <c r="E5238">
        <f>IF($D5238 &gt; 16, 0, $J$3*(16 - $D5238))</f>
        <v>644.0207923721606</v>
      </c>
      <c r="F5238">
        <f>IF($D5238 &gt; 16, 0,$E5238*$J$5)</f>
        <v>6999861.9922930133</v>
      </c>
      <c r="G5238">
        <f t="shared" si="81"/>
        <v>3.0999999999999996</v>
      </c>
    </row>
    <row r="5239" spans="2:7" x14ac:dyDescent="0.35">
      <c r="B5239" s="1">
        <v>45876</v>
      </c>
      <c r="C5239" s="2">
        <v>0.20833333333333329</v>
      </c>
      <c r="D5239">
        <v>14.1</v>
      </c>
      <c r="E5239">
        <f>IF($D5239 &gt; 16, 0, $J$3*(16 - $D5239))</f>
        <v>394.72242113132438</v>
      </c>
      <c r="F5239">
        <f>IF($D5239 &gt; 16, 0,$E5239*$J$5)</f>
        <v>4290237.9952763645</v>
      </c>
      <c r="G5239">
        <f t="shared" si="81"/>
        <v>1.9000000000000004</v>
      </c>
    </row>
    <row r="5240" spans="2:7" x14ac:dyDescent="0.35">
      <c r="B5240" s="1">
        <v>45876</v>
      </c>
      <c r="C5240" s="2">
        <v>0.25</v>
      </c>
      <c r="D5240">
        <v>14.6</v>
      </c>
      <c r="E5240">
        <f>IF($D5240 &gt; 16, 0, $J$3*(16 - $D5240))</f>
        <v>290.84809978097587</v>
      </c>
      <c r="F5240">
        <f>IF($D5240 &gt; 16, 0,$E5240*$J$5)</f>
        <v>3161227.9965194268</v>
      </c>
      <c r="G5240">
        <f t="shared" si="81"/>
        <v>1.4000000000000004</v>
      </c>
    </row>
    <row r="5241" spans="2:7" x14ac:dyDescent="0.35">
      <c r="B5241" s="1">
        <v>45876</v>
      </c>
      <c r="C5241" s="2">
        <v>0.29166666666666669</v>
      </c>
      <c r="D5241">
        <v>16.5</v>
      </c>
      <c r="E5241">
        <f>IF($D5241 &gt; 16, 0, $J$3*(16 - $D5241))</f>
        <v>0</v>
      </c>
      <c r="F5241">
        <f>IF($D5241 &gt; 16, 0,$E5241*$J$5)</f>
        <v>0</v>
      </c>
      <c r="G5241">
        <f t="shared" si="81"/>
        <v>0</v>
      </c>
    </row>
    <row r="5242" spans="2:7" x14ac:dyDescent="0.35">
      <c r="B5242" s="1">
        <v>45876</v>
      </c>
      <c r="C5242" s="2">
        <v>0.33333333333333331</v>
      </c>
      <c r="D5242">
        <v>18.399999999999999</v>
      </c>
      <c r="E5242">
        <f>IF($D5242 &gt; 16, 0, $J$3*(16 - $D5242))</f>
        <v>0</v>
      </c>
      <c r="F5242">
        <f>IF($D5242 &gt; 16, 0,$E5242*$J$5)</f>
        <v>0</v>
      </c>
      <c r="G5242">
        <f t="shared" si="81"/>
        <v>0</v>
      </c>
    </row>
    <row r="5243" spans="2:7" x14ac:dyDescent="0.35">
      <c r="B5243" s="1">
        <v>45876</v>
      </c>
      <c r="C5243" s="2">
        <v>0.375</v>
      </c>
      <c r="D5243">
        <v>19.7</v>
      </c>
      <c r="E5243">
        <f>IF($D5243 &gt; 16, 0, $J$3*(16 - $D5243))</f>
        <v>0</v>
      </c>
      <c r="F5243">
        <f>IF($D5243 &gt; 16, 0,$E5243*$J$5)</f>
        <v>0</v>
      </c>
      <c r="G5243">
        <f t="shared" si="81"/>
        <v>0</v>
      </c>
    </row>
    <row r="5244" spans="2:7" x14ac:dyDescent="0.35">
      <c r="B5244" s="1">
        <v>45876</v>
      </c>
      <c r="C5244" s="2">
        <v>0.41666666666666669</v>
      </c>
      <c r="D5244">
        <v>21.1</v>
      </c>
      <c r="E5244">
        <f>IF($D5244 &gt; 16, 0, $J$3*(16 - $D5244))</f>
        <v>0</v>
      </c>
      <c r="F5244">
        <f>IF($D5244 &gt; 16, 0,$E5244*$J$5)</f>
        <v>0</v>
      </c>
      <c r="G5244">
        <f t="shared" si="81"/>
        <v>0</v>
      </c>
    </row>
    <row r="5245" spans="2:7" x14ac:dyDescent="0.35">
      <c r="B5245" s="1">
        <v>45876</v>
      </c>
      <c r="C5245" s="2">
        <v>0.45833333333333331</v>
      </c>
      <c r="D5245">
        <v>21.3</v>
      </c>
      <c r="E5245">
        <f>IF($D5245 &gt; 16, 0, $J$3*(16 - $D5245))</f>
        <v>0</v>
      </c>
      <c r="F5245">
        <f>IF($D5245 &gt; 16, 0,$E5245*$J$5)</f>
        <v>0</v>
      </c>
      <c r="G5245">
        <f t="shared" si="81"/>
        <v>0</v>
      </c>
    </row>
    <row r="5246" spans="2:7" x14ac:dyDescent="0.35">
      <c r="B5246" s="1">
        <v>45876</v>
      </c>
      <c r="C5246" s="2">
        <v>0.5</v>
      </c>
      <c r="D5246">
        <v>22.1</v>
      </c>
      <c r="E5246">
        <f>IF($D5246 &gt; 16, 0, $J$3*(16 - $D5246))</f>
        <v>0</v>
      </c>
      <c r="F5246">
        <f>IF($D5246 &gt; 16, 0,$E5246*$J$5)</f>
        <v>0</v>
      </c>
      <c r="G5246">
        <f t="shared" si="81"/>
        <v>0</v>
      </c>
    </row>
    <row r="5247" spans="2:7" x14ac:dyDescent="0.35">
      <c r="B5247" s="1">
        <v>45876</v>
      </c>
      <c r="C5247" s="2">
        <v>0.54166666666666663</v>
      </c>
      <c r="D5247">
        <v>21.7</v>
      </c>
      <c r="E5247">
        <f>IF($D5247 &gt; 16, 0, $J$3*(16 - $D5247))</f>
        <v>0</v>
      </c>
      <c r="F5247">
        <f>IF($D5247 &gt; 16, 0,$E5247*$J$5)</f>
        <v>0</v>
      </c>
      <c r="G5247">
        <f t="shared" si="81"/>
        <v>0</v>
      </c>
    </row>
    <row r="5248" spans="2:7" x14ac:dyDescent="0.35">
      <c r="B5248" s="1">
        <v>45876</v>
      </c>
      <c r="C5248" s="2">
        <v>0.58333333333333337</v>
      </c>
      <c r="D5248">
        <v>22.3</v>
      </c>
      <c r="E5248">
        <f>IF($D5248 &gt; 16, 0, $J$3*(16 - $D5248))</f>
        <v>0</v>
      </c>
      <c r="F5248">
        <f>IF($D5248 &gt; 16, 0,$E5248*$J$5)</f>
        <v>0</v>
      </c>
      <c r="G5248">
        <f t="shared" si="81"/>
        <v>0</v>
      </c>
    </row>
    <row r="5249" spans="2:7" x14ac:dyDescent="0.35">
      <c r="B5249" s="1">
        <v>45876</v>
      </c>
      <c r="C5249" s="2">
        <v>0.625</v>
      </c>
      <c r="D5249">
        <v>23.3</v>
      </c>
      <c r="E5249">
        <f>IF($D5249 &gt; 16, 0, $J$3*(16 - $D5249))</f>
        <v>0</v>
      </c>
      <c r="F5249">
        <f>IF($D5249 &gt; 16, 0,$E5249*$J$5)</f>
        <v>0</v>
      </c>
      <c r="G5249">
        <f t="shared" si="81"/>
        <v>0</v>
      </c>
    </row>
    <row r="5250" spans="2:7" x14ac:dyDescent="0.35">
      <c r="B5250" s="1">
        <v>45876</v>
      </c>
      <c r="C5250" s="2">
        <v>0.66666666666666663</v>
      </c>
      <c r="D5250">
        <v>23</v>
      </c>
      <c r="E5250">
        <f>IF($D5250 &gt; 16, 0, $J$3*(16 - $D5250))</f>
        <v>0</v>
      </c>
      <c r="F5250">
        <f>IF($D5250 &gt; 16, 0,$E5250*$J$5)</f>
        <v>0</v>
      </c>
      <c r="G5250">
        <f t="shared" si="81"/>
        <v>0</v>
      </c>
    </row>
    <row r="5251" spans="2:7" x14ac:dyDescent="0.35">
      <c r="B5251" s="1">
        <v>45876</v>
      </c>
      <c r="C5251" s="2">
        <v>0.70833333333333337</v>
      </c>
      <c r="D5251">
        <v>22.6</v>
      </c>
      <c r="E5251">
        <f>IF($D5251 &gt; 16, 0, $J$3*(16 - $D5251))</f>
        <v>0</v>
      </c>
      <c r="F5251">
        <f>IF($D5251 &gt; 16, 0,$E5251*$J$5)</f>
        <v>0</v>
      </c>
      <c r="G5251">
        <f t="shared" ref="G5251:G5314" si="82">MAX(0, 16 - $D5251)</f>
        <v>0</v>
      </c>
    </row>
    <row r="5252" spans="2:7" x14ac:dyDescent="0.35">
      <c r="B5252" s="1">
        <v>45876</v>
      </c>
      <c r="C5252" s="2">
        <v>0.75</v>
      </c>
      <c r="D5252">
        <v>21.8</v>
      </c>
      <c r="E5252">
        <f>IF($D5252 &gt; 16, 0, $J$3*(16 - $D5252))</f>
        <v>0</v>
      </c>
      <c r="F5252">
        <f>IF($D5252 &gt; 16, 0,$E5252*$J$5)</f>
        <v>0</v>
      </c>
      <c r="G5252">
        <f t="shared" si="82"/>
        <v>0</v>
      </c>
    </row>
    <row r="5253" spans="2:7" x14ac:dyDescent="0.35">
      <c r="B5253" s="1">
        <v>45876</v>
      </c>
      <c r="C5253" s="2">
        <v>0.79166666666666663</v>
      </c>
      <c r="D5253">
        <v>20.2</v>
      </c>
      <c r="E5253">
        <f>IF($D5253 &gt; 16, 0, $J$3*(16 - $D5253))</f>
        <v>0</v>
      </c>
      <c r="F5253">
        <f>IF($D5253 &gt; 16, 0,$E5253*$J$5)</f>
        <v>0</v>
      </c>
      <c r="G5253">
        <f t="shared" si="82"/>
        <v>0</v>
      </c>
    </row>
    <row r="5254" spans="2:7" x14ac:dyDescent="0.35">
      <c r="B5254" s="1">
        <v>45876</v>
      </c>
      <c r="C5254" s="2">
        <v>0.83333333333333337</v>
      </c>
      <c r="D5254">
        <v>20.100000000000001</v>
      </c>
      <c r="E5254">
        <f>IF($D5254 &gt; 16, 0, $J$3*(16 - $D5254))</f>
        <v>0</v>
      </c>
      <c r="F5254">
        <f>IF($D5254 &gt; 16, 0,$E5254*$J$5)</f>
        <v>0</v>
      </c>
      <c r="G5254">
        <f t="shared" si="82"/>
        <v>0</v>
      </c>
    </row>
    <row r="5255" spans="2:7" x14ac:dyDescent="0.35">
      <c r="B5255" s="1">
        <v>45876</v>
      </c>
      <c r="C5255" s="2">
        <v>0.875</v>
      </c>
      <c r="D5255">
        <v>19.3</v>
      </c>
      <c r="E5255">
        <f>IF($D5255 &gt; 16, 0, $J$3*(16 - $D5255))</f>
        <v>0</v>
      </c>
      <c r="F5255">
        <f>IF($D5255 &gt; 16, 0,$E5255*$J$5)</f>
        <v>0</v>
      </c>
      <c r="G5255">
        <f t="shared" si="82"/>
        <v>0</v>
      </c>
    </row>
    <row r="5256" spans="2:7" x14ac:dyDescent="0.35">
      <c r="B5256" s="1">
        <v>45876</v>
      </c>
      <c r="C5256" s="2">
        <v>0.91666666666666663</v>
      </c>
      <c r="D5256">
        <v>18.600000000000001</v>
      </c>
      <c r="E5256">
        <f>IF($D5256 &gt; 16, 0, $J$3*(16 - $D5256))</f>
        <v>0</v>
      </c>
      <c r="F5256">
        <f>IF($D5256 &gt; 16, 0,$E5256*$J$5)</f>
        <v>0</v>
      </c>
      <c r="G5256">
        <f t="shared" si="82"/>
        <v>0</v>
      </c>
    </row>
    <row r="5257" spans="2:7" x14ac:dyDescent="0.35">
      <c r="B5257" s="1">
        <v>45876</v>
      </c>
      <c r="C5257" s="2">
        <v>0.95833333333333337</v>
      </c>
      <c r="D5257">
        <v>18.100000000000001</v>
      </c>
      <c r="E5257">
        <f>IF($D5257 &gt; 16, 0, $J$3*(16 - $D5257))</f>
        <v>0</v>
      </c>
      <c r="F5257">
        <f>IF($D5257 &gt; 16, 0,$E5257*$J$5)</f>
        <v>0</v>
      </c>
      <c r="G5257">
        <f t="shared" si="82"/>
        <v>0</v>
      </c>
    </row>
    <row r="5258" spans="2:7" x14ac:dyDescent="0.35">
      <c r="B5258" s="1">
        <v>45877</v>
      </c>
      <c r="C5258" s="2">
        <v>0</v>
      </c>
      <c r="D5258">
        <v>18.7</v>
      </c>
      <c r="E5258">
        <f>IF($D5258 &gt; 16, 0, $J$3*(16 - $D5258))</f>
        <v>0</v>
      </c>
      <c r="F5258">
        <f>IF($D5258 &gt; 16, 0,$E5258*$J$5)</f>
        <v>0</v>
      </c>
      <c r="G5258">
        <f t="shared" si="82"/>
        <v>0</v>
      </c>
    </row>
    <row r="5259" spans="2:7" x14ac:dyDescent="0.35">
      <c r="B5259" s="1">
        <v>45877</v>
      </c>
      <c r="C5259" s="2">
        <v>4.1666666666666657E-2</v>
      </c>
      <c r="D5259">
        <v>16.899999999999999</v>
      </c>
      <c r="E5259">
        <f>IF($D5259 &gt; 16, 0, $J$3*(16 - $D5259))</f>
        <v>0</v>
      </c>
      <c r="F5259">
        <f>IF($D5259 &gt; 16, 0,$E5259*$J$5)</f>
        <v>0</v>
      </c>
      <c r="G5259">
        <f t="shared" si="82"/>
        <v>0</v>
      </c>
    </row>
    <row r="5260" spans="2:7" x14ac:dyDescent="0.35">
      <c r="B5260" s="1">
        <v>45877</v>
      </c>
      <c r="C5260" s="2">
        <v>8.3333333333333329E-2</v>
      </c>
      <c r="D5260">
        <v>15.5</v>
      </c>
      <c r="E5260">
        <f>IF($D5260 &gt; 16, 0, $J$3*(16 - $D5260))</f>
        <v>103.8743213503485</v>
      </c>
      <c r="F5260">
        <f>IF($D5260 &gt; 16, 0,$E5260*$J$5)</f>
        <v>1129009.9987569377</v>
      </c>
      <c r="G5260">
        <f t="shared" si="82"/>
        <v>0.5</v>
      </c>
    </row>
    <row r="5261" spans="2:7" x14ac:dyDescent="0.35">
      <c r="B5261" s="1">
        <v>45877</v>
      </c>
      <c r="C5261" s="2">
        <v>0.125</v>
      </c>
      <c r="D5261">
        <v>16</v>
      </c>
      <c r="E5261">
        <f>IF($D5261 &gt; 16, 0, $J$3*(16 - $D5261))</f>
        <v>0</v>
      </c>
      <c r="F5261">
        <f>IF($D5261 &gt; 16, 0,$E5261*$J$5)</f>
        <v>0</v>
      </c>
      <c r="G5261">
        <f t="shared" si="82"/>
        <v>0</v>
      </c>
    </row>
    <row r="5262" spans="2:7" x14ac:dyDescent="0.35">
      <c r="B5262" s="1">
        <v>45877</v>
      </c>
      <c r="C5262" s="2">
        <v>0.16666666666666671</v>
      </c>
      <c r="D5262">
        <v>15.8</v>
      </c>
      <c r="E5262">
        <f>IF($D5262 &gt; 16, 0, $J$3*(16 - $D5262))</f>
        <v>41.549728540139249</v>
      </c>
      <c r="F5262">
        <f>IF($D5262 &gt; 16, 0,$E5262*$J$5)</f>
        <v>451603.99950277351</v>
      </c>
      <c r="G5262">
        <f t="shared" si="82"/>
        <v>0.19999999999999929</v>
      </c>
    </row>
    <row r="5263" spans="2:7" x14ac:dyDescent="0.35">
      <c r="B5263" s="1">
        <v>45877</v>
      </c>
      <c r="C5263" s="2">
        <v>0.20833333333333329</v>
      </c>
      <c r="D5263">
        <v>16.8</v>
      </c>
      <c r="E5263">
        <f>IF($D5263 &gt; 16, 0, $J$3*(16 - $D5263))</f>
        <v>0</v>
      </c>
      <c r="F5263">
        <f>IF($D5263 &gt; 16, 0,$E5263*$J$5)</f>
        <v>0</v>
      </c>
      <c r="G5263">
        <f t="shared" si="82"/>
        <v>0</v>
      </c>
    </row>
    <row r="5264" spans="2:7" x14ac:dyDescent="0.35">
      <c r="B5264" s="1">
        <v>45877</v>
      </c>
      <c r="C5264" s="2">
        <v>0.25</v>
      </c>
      <c r="D5264">
        <v>18.100000000000001</v>
      </c>
      <c r="E5264">
        <f>IF($D5264 &gt; 16, 0, $J$3*(16 - $D5264))</f>
        <v>0</v>
      </c>
      <c r="F5264">
        <f>IF($D5264 &gt; 16, 0,$E5264*$J$5)</f>
        <v>0</v>
      </c>
      <c r="G5264">
        <f t="shared" si="82"/>
        <v>0</v>
      </c>
    </row>
    <row r="5265" spans="2:7" x14ac:dyDescent="0.35">
      <c r="B5265" s="1">
        <v>45877</v>
      </c>
      <c r="C5265" s="2">
        <v>0.29166666666666669</v>
      </c>
      <c r="D5265">
        <v>19.600000000000001</v>
      </c>
      <c r="E5265">
        <f>IF($D5265 &gt; 16, 0, $J$3*(16 - $D5265))</f>
        <v>0</v>
      </c>
      <c r="F5265">
        <f>IF($D5265 &gt; 16, 0,$E5265*$J$5)</f>
        <v>0</v>
      </c>
      <c r="G5265">
        <f t="shared" si="82"/>
        <v>0</v>
      </c>
    </row>
    <row r="5266" spans="2:7" x14ac:dyDescent="0.35">
      <c r="B5266" s="1">
        <v>45877</v>
      </c>
      <c r="C5266" s="2">
        <v>0.33333333333333331</v>
      </c>
      <c r="D5266">
        <v>20.100000000000001</v>
      </c>
      <c r="E5266">
        <f>IF($D5266 &gt; 16, 0, $J$3*(16 - $D5266))</f>
        <v>0</v>
      </c>
      <c r="F5266">
        <f>IF($D5266 &gt; 16, 0,$E5266*$J$5)</f>
        <v>0</v>
      </c>
      <c r="G5266">
        <f t="shared" si="82"/>
        <v>0</v>
      </c>
    </row>
    <row r="5267" spans="2:7" x14ac:dyDescent="0.35">
      <c r="B5267" s="1">
        <v>45877</v>
      </c>
      <c r="C5267" s="2">
        <v>0.375</v>
      </c>
      <c r="D5267">
        <v>21.1</v>
      </c>
      <c r="E5267">
        <f>IF($D5267 &gt; 16, 0, $J$3*(16 - $D5267))</f>
        <v>0</v>
      </c>
      <c r="F5267">
        <f>IF($D5267 &gt; 16, 0,$E5267*$J$5)</f>
        <v>0</v>
      </c>
      <c r="G5267">
        <f t="shared" si="82"/>
        <v>0</v>
      </c>
    </row>
    <row r="5268" spans="2:7" x14ac:dyDescent="0.35">
      <c r="B5268" s="1">
        <v>45877</v>
      </c>
      <c r="C5268" s="2">
        <v>0.41666666666666669</v>
      </c>
      <c r="D5268">
        <v>21.9</v>
      </c>
      <c r="E5268">
        <f>IF($D5268 &gt; 16, 0, $J$3*(16 - $D5268))</f>
        <v>0</v>
      </c>
      <c r="F5268">
        <f>IF($D5268 &gt; 16, 0,$E5268*$J$5)</f>
        <v>0</v>
      </c>
      <c r="G5268">
        <f t="shared" si="82"/>
        <v>0</v>
      </c>
    </row>
    <row r="5269" spans="2:7" x14ac:dyDescent="0.35">
      <c r="B5269" s="1">
        <v>45877</v>
      </c>
      <c r="C5269" s="2">
        <v>0.45833333333333331</v>
      </c>
      <c r="D5269">
        <v>22.6</v>
      </c>
      <c r="E5269">
        <f>IF($D5269 &gt; 16, 0, $J$3*(16 - $D5269))</f>
        <v>0</v>
      </c>
      <c r="F5269">
        <f>IF($D5269 &gt; 16, 0,$E5269*$J$5)</f>
        <v>0</v>
      </c>
      <c r="G5269">
        <f t="shared" si="82"/>
        <v>0</v>
      </c>
    </row>
    <row r="5270" spans="2:7" x14ac:dyDescent="0.35">
      <c r="B5270" s="1">
        <v>45877</v>
      </c>
      <c r="C5270" s="2">
        <v>0.5</v>
      </c>
      <c r="D5270">
        <v>23.6</v>
      </c>
      <c r="E5270">
        <f>IF($D5270 &gt; 16, 0, $J$3*(16 - $D5270))</f>
        <v>0</v>
      </c>
      <c r="F5270">
        <f>IF($D5270 &gt; 16, 0,$E5270*$J$5)</f>
        <v>0</v>
      </c>
      <c r="G5270">
        <f t="shared" si="82"/>
        <v>0</v>
      </c>
    </row>
    <row r="5271" spans="2:7" x14ac:dyDescent="0.35">
      <c r="B5271" s="1">
        <v>45877</v>
      </c>
      <c r="C5271" s="2">
        <v>0.54166666666666663</v>
      </c>
      <c r="D5271">
        <v>23.3</v>
      </c>
      <c r="E5271">
        <f>IF($D5271 &gt; 16, 0, $J$3*(16 - $D5271))</f>
        <v>0</v>
      </c>
      <c r="F5271">
        <f>IF($D5271 &gt; 16, 0,$E5271*$J$5)</f>
        <v>0</v>
      </c>
      <c r="G5271">
        <f t="shared" si="82"/>
        <v>0</v>
      </c>
    </row>
    <row r="5272" spans="2:7" x14ac:dyDescent="0.35">
      <c r="B5272" s="1">
        <v>45877</v>
      </c>
      <c r="C5272" s="2">
        <v>0.58333333333333337</v>
      </c>
      <c r="D5272">
        <v>23.5</v>
      </c>
      <c r="E5272">
        <f>IF($D5272 &gt; 16, 0, $J$3*(16 - $D5272))</f>
        <v>0</v>
      </c>
      <c r="F5272">
        <f>IF($D5272 &gt; 16, 0,$E5272*$J$5)</f>
        <v>0</v>
      </c>
      <c r="G5272">
        <f t="shared" si="82"/>
        <v>0</v>
      </c>
    </row>
    <row r="5273" spans="2:7" x14ac:dyDescent="0.35">
      <c r="B5273" s="1">
        <v>45877</v>
      </c>
      <c r="C5273" s="2">
        <v>0.625</v>
      </c>
      <c r="D5273">
        <v>22.3</v>
      </c>
      <c r="E5273">
        <f>IF($D5273 &gt; 16, 0, $J$3*(16 - $D5273))</f>
        <v>0</v>
      </c>
      <c r="F5273">
        <f>IF($D5273 &gt; 16, 0,$E5273*$J$5)</f>
        <v>0</v>
      </c>
      <c r="G5273">
        <f t="shared" si="82"/>
        <v>0</v>
      </c>
    </row>
    <row r="5274" spans="2:7" x14ac:dyDescent="0.35">
      <c r="B5274" s="1">
        <v>45877</v>
      </c>
      <c r="C5274" s="2">
        <v>0.66666666666666663</v>
      </c>
      <c r="D5274">
        <v>22</v>
      </c>
      <c r="E5274">
        <f>IF($D5274 &gt; 16, 0, $J$3*(16 - $D5274))</f>
        <v>0</v>
      </c>
      <c r="F5274">
        <f>IF($D5274 &gt; 16, 0,$E5274*$J$5)</f>
        <v>0</v>
      </c>
      <c r="G5274">
        <f t="shared" si="82"/>
        <v>0</v>
      </c>
    </row>
    <row r="5275" spans="2:7" x14ac:dyDescent="0.35">
      <c r="B5275" s="1">
        <v>45877</v>
      </c>
      <c r="C5275" s="2">
        <v>0.70833333333333337</v>
      </c>
      <c r="D5275">
        <v>20.7</v>
      </c>
      <c r="E5275">
        <f>IF($D5275 &gt; 16, 0, $J$3*(16 - $D5275))</f>
        <v>0</v>
      </c>
      <c r="F5275">
        <f>IF($D5275 &gt; 16, 0,$E5275*$J$5)</f>
        <v>0</v>
      </c>
      <c r="G5275">
        <f t="shared" si="82"/>
        <v>0</v>
      </c>
    </row>
    <row r="5276" spans="2:7" x14ac:dyDescent="0.35">
      <c r="B5276" s="1">
        <v>45877</v>
      </c>
      <c r="C5276" s="2">
        <v>0.75</v>
      </c>
      <c r="D5276">
        <v>20.100000000000001</v>
      </c>
      <c r="E5276">
        <f>IF($D5276 &gt; 16, 0, $J$3*(16 - $D5276))</f>
        <v>0</v>
      </c>
      <c r="F5276">
        <f>IF($D5276 &gt; 16, 0,$E5276*$J$5)</f>
        <v>0</v>
      </c>
      <c r="G5276">
        <f t="shared" si="82"/>
        <v>0</v>
      </c>
    </row>
    <row r="5277" spans="2:7" x14ac:dyDescent="0.35">
      <c r="B5277" s="1">
        <v>45877</v>
      </c>
      <c r="C5277" s="2">
        <v>0.79166666666666663</v>
      </c>
      <c r="D5277">
        <v>18.5</v>
      </c>
      <c r="E5277">
        <f>IF($D5277 &gt; 16, 0, $J$3*(16 - $D5277))</f>
        <v>0</v>
      </c>
      <c r="F5277">
        <f>IF($D5277 &gt; 16, 0,$E5277*$J$5)</f>
        <v>0</v>
      </c>
      <c r="G5277">
        <f t="shared" si="82"/>
        <v>0</v>
      </c>
    </row>
    <row r="5278" spans="2:7" x14ac:dyDescent="0.35">
      <c r="B5278" s="1">
        <v>45877</v>
      </c>
      <c r="C5278" s="2">
        <v>0.83333333333333337</v>
      </c>
      <c r="D5278">
        <v>15.9</v>
      </c>
      <c r="E5278">
        <f>IF($D5278 &gt; 16, 0, $J$3*(16 - $D5278))</f>
        <v>20.774864270069624</v>
      </c>
      <c r="F5278">
        <f>IF($D5278 &gt; 16, 0,$E5278*$J$5)</f>
        <v>225801.99975138676</v>
      </c>
      <c r="G5278">
        <f t="shared" si="82"/>
        <v>9.9999999999999645E-2</v>
      </c>
    </row>
    <row r="5279" spans="2:7" x14ac:dyDescent="0.35">
      <c r="B5279" s="1">
        <v>45877</v>
      </c>
      <c r="C5279" s="2">
        <v>0.875</v>
      </c>
      <c r="D5279">
        <v>14.3</v>
      </c>
      <c r="E5279">
        <f>IF($D5279 &gt; 16, 0, $J$3*(16 - $D5279))</f>
        <v>353.17269259118473</v>
      </c>
      <c r="F5279">
        <f>IF($D5279 &gt; 16, 0,$E5279*$J$5)</f>
        <v>3838633.9957735869</v>
      </c>
      <c r="G5279">
        <f t="shared" si="82"/>
        <v>1.6999999999999993</v>
      </c>
    </row>
    <row r="5280" spans="2:7" x14ac:dyDescent="0.35">
      <c r="B5280" s="1">
        <v>45877</v>
      </c>
      <c r="C5280" s="2">
        <v>0.91666666666666663</v>
      </c>
      <c r="D5280">
        <v>13.5</v>
      </c>
      <c r="E5280">
        <f>IF($D5280 &gt; 16, 0, $J$3*(16 - $D5280))</f>
        <v>519.37160675174243</v>
      </c>
      <c r="F5280">
        <f>IF($D5280 &gt; 16, 0,$E5280*$J$5)</f>
        <v>5645049.9937846884</v>
      </c>
      <c r="G5280">
        <f t="shared" si="82"/>
        <v>2.5</v>
      </c>
    </row>
    <row r="5281" spans="2:7" x14ac:dyDescent="0.35">
      <c r="B5281" s="1">
        <v>45877</v>
      </c>
      <c r="C5281" s="2">
        <v>0.95833333333333337</v>
      </c>
      <c r="D5281">
        <v>12.9</v>
      </c>
      <c r="E5281">
        <f>IF($D5281 &gt; 16, 0, $J$3*(16 - $D5281))</f>
        <v>644.0207923721606</v>
      </c>
      <c r="F5281">
        <f>IF($D5281 &gt; 16, 0,$E5281*$J$5)</f>
        <v>6999861.9922930133</v>
      </c>
      <c r="G5281">
        <f t="shared" si="82"/>
        <v>3.0999999999999996</v>
      </c>
    </row>
    <row r="5282" spans="2:7" x14ac:dyDescent="0.35">
      <c r="B5282" s="1">
        <v>45878</v>
      </c>
      <c r="C5282" s="2">
        <v>0</v>
      </c>
      <c r="D5282">
        <v>12.4</v>
      </c>
      <c r="E5282">
        <f>IF($D5282 &gt; 16, 0, $J$3*(16 - $D5282))</f>
        <v>747.89511372250911</v>
      </c>
      <c r="F5282">
        <f>IF($D5282 &gt; 16, 0,$E5282*$J$5)</f>
        <v>8128871.9910499519</v>
      </c>
      <c r="G5282">
        <f t="shared" si="82"/>
        <v>3.5999999999999996</v>
      </c>
    </row>
    <row r="5283" spans="2:7" x14ac:dyDescent="0.35">
      <c r="B5283" s="1">
        <v>45878</v>
      </c>
      <c r="C5283" s="2">
        <v>4.1666666666666657E-2</v>
      </c>
      <c r="D5283">
        <v>11.9</v>
      </c>
      <c r="E5283">
        <f>IF($D5283 &gt; 16, 0, $J$3*(16 - $D5283))</f>
        <v>851.76943507285762</v>
      </c>
      <c r="F5283">
        <f>IF($D5283 &gt; 16, 0,$E5283*$J$5)</f>
        <v>9257881.9898068886</v>
      </c>
      <c r="G5283">
        <f t="shared" si="82"/>
        <v>4.0999999999999996</v>
      </c>
    </row>
    <row r="5284" spans="2:7" x14ac:dyDescent="0.35">
      <c r="B5284" s="1">
        <v>45878</v>
      </c>
      <c r="C5284" s="2">
        <v>8.3333333333333329E-2</v>
      </c>
      <c r="D5284">
        <v>11.4</v>
      </c>
      <c r="E5284">
        <f>IF($D5284 &gt; 16, 0, $J$3*(16 - $D5284))</f>
        <v>955.64375642320613</v>
      </c>
      <c r="F5284">
        <f>IF($D5284 &gt; 16, 0,$E5284*$J$5)</f>
        <v>10386891.988563828</v>
      </c>
      <c r="G5284">
        <f t="shared" si="82"/>
        <v>4.5999999999999996</v>
      </c>
    </row>
    <row r="5285" spans="2:7" x14ac:dyDescent="0.35">
      <c r="B5285" s="1">
        <v>45878</v>
      </c>
      <c r="C5285" s="2">
        <v>0.125</v>
      </c>
      <c r="D5285">
        <v>11.3</v>
      </c>
      <c r="E5285">
        <f>IF($D5285 &gt; 16, 0, $J$3*(16 - $D5285))</f>
        <v>976.41862069327567</v>
      </c>
      <c r="F5285">
        <f>IF($D5285 &gt; 16, 0,$E5285*$J$5)</f>
        <v>10612693.988315213</v>
      </c>
      <c r="G5285">
        <f t="shared" si="82"/>
        <v>4.6999999999999993</v>
      </c>
    </row>
    <row r="5286" spans="2:7" x14ac:dyDescent="0.35">
      <c r="B5286" s="1">
        <v>45878</v>
      </c>
      <c r="C5286" s="2">
        <v>0.16666666666666671</v>
      </c>
      <c r="D5286">
        <v>11.2</v>
      </c>
      <c r="E5286">
        <f>IF($D5286 &gt; 16, 0, $J$3*(16 - $D5286))</f>
        <v>997.19348496334567</v>
      </c>
      <c r="F5286">
        <f>IF($D5286 &gt; 16, 0,$E5286*$J$5)</f>
        <v>10838495.988066604</v>
      </c>
      <c r="G5286">
        <f t="shared" si="82"/>
        <v>4.8000000000000007</v>
      </c>
    </row>
    <row r="5287" spans="2:7" x14ac:dyDescent="0.35">
      <c r="B5287" s="1">
        <v>45878</v>
      </c>
      <c r="C5287" s="2">
        <v>0.20833333333333329</v>
      </c>
      <c r="D5287">
        <v>11.8</v>
      </c>
      <c r="E5287">
        <f>IF($D5287 &gt; 16, 0, $J$3*(16 - $D5287))</f>
        <v>872.54429934292716</v>
      </c>
      <c r="F5287">
        <f>IF($D5287 &gt; 16, 0,$E5287*$J$5)</f>
        <v>9483683.9895582758</v>
      </c>
      <c r="G5287">
        <f t="shared" si="82"/>
        <v>4.1999999999999993</v>
      </c>
    </row>
    <row r="5288" spans="2:7" x14ac:dyDescent="0.35">
      <c r="B5288" s="1">
        <v>45878</v>
      </c>
      <c r="C5288" s="2">
        <v>0.25</v>
      </c>
      <c r="D5288">
        <v>15</v>
      </c>
      <c r="E5288">
        <f>IF($D5288 &gt; 16, 0, $J$3*(16 - $D5288))</f>
        <v>207.74864270069699</v>
      </c>
      <c r="F5288">
        <f>IF($D5288 &gt; 16, 0,$E5288*$J$5)</f>
        <v>2258019.9975138754</v>
      </c>
      <c r="G5288">
        <f t="shared" si="82"/>
        <v>1</v>
      </c>
    </row>
    <row r="5289" spans="2:7" x14ac:dyDescent="0.35">
      <c r="B5289" s="1">
        <v>45878</v>
      </c>
      <c r="C5289" s="2">
        <v>0.29166666666666669</v>
      </c>
      <c r="D5289">
        <v>17.399999999999999</v>
      </c>
      <c r="E5289">
        <f>IF($D5289 &gt; 16, 0, $J$3*(16 - $D5289))</f>
        <v>0</v>
      </c>
      <c r="F5289">
        <f>IF($D5289 &gt; 16, 0,$E5289*$J$5)</f>
        <v>0</v>
      </c>
      <c r="G5289">
        <f t="shared" si="82"/>
        <v>0</v>
      </c>
    </row>
    <row r="5290" spans="2:7" x14ac:dyDescent="0.35">
      <c r="B5290" s="1">
        <v>45878</v>
      </c>
      <c r="C5290" s="2">
        <v>0.33333333333333331</v>
      </c>
      <c r="D5290">
        <v>19.100000000000001</v>
      </c>
      <c r="E5290">
        <f>IF($D5290 &gt; 16, 0, $J$3*(16 - $D5290))</f>
        <v>0</v>
      </c>
      <c r="F5290">
        <f>IF($D5290 &gt; 16, 0,$E5290*$J$5)</f>
        <v>0</v>
      </c>
      <c r="G5290">
        <f t="shared" si="82"/>
        <v>0</v>
      </c>
    </row>
    <row r="5291" spans="2:7" x14ac:dyDescent="0.35">
      <c r="B5291" s="1">
        <v>45878</v>
      </c>
      <c r="C5291" s="2">
        <v>0.375</v>
      </c>
      <c r="D5291">
        <v>20.6</v>
      </c>
      <c r="E5291">
        <f>IF($D5291 &gt; 16, 0, $J$3*(16 - $D5291))</f>
        <v>0</v>
      </c>
      <c r="F5291">
        <f>IF($D5291 &gt; 16, 0,$E5291*$J$5)</f>
        <v>0</v>
      </c>
      <c r="G5291">
        <f t="shared" si="82"/>
        <v>0</v>
      </c>
    </row>
    <row r="5292" spans="2:7" x14ac:dyDescent="0.35">
      <c r="B5292" s="1">
        <v>45878</v>
      </c>
      <c r="C5292" s="2">
        <v>0.41666666666666669</v>
      </c>
      <c r="D5292">
        <v>21.5</v>
      </c>
      <c r="E5292">
        <f>IF($D5292 &gt; 16, 0, $J$3*(16 - $D5292))</f>
        <v>0</v>
      </c>
      <c r="F5292">
        <f>IF($D5292 &gt; 16, 0,$E5292*$J$5)</f>
        <v>0</v>
      </c>
      <c r="G5292">
        <f t="shared" si="82"/>
        <v>0</v>
      </c>
    </row>
    <row r="5293" spans="2:7" x14ac:dyDescent="0.35">
      <c r="B5293" s="1">
        <v>45878</v>
      </c>
      <c r="C5293" s="2">
        <v>0.45833333333333331</v>
      </c>
      <c r="D5293">
        <v>23.1</v>
      </c>
      <c r="E5293">
        <f>IF($D5293 &gt; 16, 0, $J$3*(16 - $D5293))</f>
        <v>0</v>
      </c>
      <c r="F5293">
        <f>IF($D5293 &gt; 16, 0,$E5293*$J$5)</f>
        <v>0</v>
      </c>
      <c r="G5293">
        <f t="shared" si="82"/>
        <v>0</v>
      </c>
    </row>
    <row r="5294" spans="2:7" x14ac:dyDescent="0.35">
      <c r="B5294" s="1">
        <v>45878</v>
      </c>
      <c r="C5294" s="2">
        <v>0.5</v>
      </c>
      <c r="D5294">
        <v>24</v>
      </c>
      <c r="E5294">
        <f>IF($D5294 &gt; 16, 0, $J$3*(16 - $D5294))</f>
        <v>0</v>
      </c>
      <c r="F5294">
        <f>IF($D5294 &gt; 16, 0,$E5294*$J$5)</f>
        <v>0</v>
      </c>
      <c r="G5294">
        <f t="shared" si="82"/>
        <v>0</v>
      </c>
    </row>
    <row r="5295" spans="2:7" x14ac:dyDescent="0.35">
      <c r="B5295" s="1">
        <v>45878</v>
      </c>
      <c r="C5295" s="2">
        <v>0.54166666666666663</v>
      </c>
      <c r="D5295">
        <v>24.8</v>
      </c>
      <c r="E5295">
        <f>IF($D5295 &gt; 16, 0, $J$3*(16 - $D5295))</f>
        <v>0</v>
      </c>
      <c r="F5295">
        <f>IF($D5295 &gt; 16, 0,$E5295*$J$5)</f>
        <v>0</v>
      </c>
      <c r="G5295">
        <f t="shared" si="82"/>
        <v>0</v>
      </c>
    </row>
    <row r="5296" spans="2:7" x14ac:dyDescent="0.35">
      <c r="B5296" s="1">
        <v>45878</v>
      </c>
      <c r="C5296" s="2">
        <v>0.58333333333333337</v>
      </c>
      <c r="D5296">
        <v>24.7</v>
      </c>
      <c r="E5296">
        <f>IF($D5296 &gt; 16, 0, $J$3*(16 - $D5296))</f>
        <v>0</v>
      </c>
      <c r="F5296">
        <f>IF($D5296 &gt; 16, 0,$E5296*$J$5)</f>
        <v>0</v>
      </c>
      <c r="G5296">
        <f t="shared" si="82"/>
        <v>0</v>
      </c>
    </row>
    <row r="5297" spans="2:7" x14ac:dyDescent="0.35">
      <c r="B5297" s="1">
        <v>45878</v>
      </c>
      <c r="C5297" s="2">
        <v>0.625</v>
      </c>
      <c r="D5297">
        <v>25</v>
      </c>
      <c r="E5297">
        <f>IF($D5297 &gt; 16, 0, $J$3*(16 - $D5297))</f>
        <v>0</v>
      </c>
      <c r="F5297">
        <f>IF($D5297 &gt; 16, 0,$E5297*$J$5)</f>
        <v>0</v>
      </c>
      <c r="G5297">
        <f t="shared" si="82"/>
        <v>0</v>
      </c>
    </row>
    <row r="5298" spans="2:7" x14ac:dyDescent="0.35">
      <c r="B5298" s="1">
        <v>45878</v>
      </c>
      <c r="C5298" s="2">
        <v>0.66666666666666663</v>
      </c>
      <c r="D5298">
        <v>25.2</v>
      </c>
      <c r="E5298">
        <f>IF($D5298 &gt; 16, 0, $J$3*(16 - $D5298))</f>
        <v>0</v>
      </c>
      <c r="F5298">
        <f>IF($D5298 &gt; 16, 0,$E5298*$J$5)</f>
        <v>0</v>
      </c>
      <c r="G5298">
        <f t="shared" si="82"/>
        <v>0</v>
      </c>
    </row>
    <row r="5299" spans="2:7" x14ac:dyDescent="0.35">
      <c r="B5299" s="1">
        <v>45878</v>
      </c>
      <c r="C5299" s="2">
        <v>0.70833333333333337</v>
      </c>
      <c r="D5299">
        <v>24.8</v>
      </c>
      <c r="E5299">
        <f>IF($D5299 &gt; 16, 0, $J$3*(16 - $D5299))</f>
        <v>0</v>
      </c>
      <c r="F5299">
        <f>IF($D5299 &gt; 16, 0,$E5299*$J$5)</f>
        <v>0</v>
      </c>
      <c r="G5299">
        <f t="shared" si="82"/>
        <v>0</v>
      </c>
    </row>
    <row r="5300" spans="2:7" x14ac:dyDescent="0.35">
      <c r="B5300" s="1">
        <v>45878</v>
      </c>
      <c r="C5300" s="2">
        <v>0.75</v>
      </c>
      <c r="D5300">
        <v>24</v>
      </c>
      <c r="E5300">
        <f>IF($D5300 &gt; 16, 0, $J$3*(16 - $D5300))</f>
        <v>0</v>
      </c>
      <c r="F5300">
        <f>IF($D5300 &gt; 16, 0,$E5300*$J$5)</f>
        <v>0</v>
      </c>
      <c r="G5300">
        <f t="shared" si="82"/>
        <v>0</v>
      </c>
    </row>
    <row r="5301" spans="2:7" x14ac:dyDescent="0.35">
      <c r="B5301" s="1">
        <v>45878</v>
      </c>
      <c r="C5301" s="2">
        <v>0.79166666666666663</v>
      </c>
      <c r="D5301">
        <v>20.9</v>
      </c>
      <c r="E5301">
        <f>IF($D5301 &gt; 16, 0, $J$3*(16 - $D5301))</f>
        <v>0</v>
      </c>
      <c r="F5301">
        <f>IF($D5301 &gt; 16, 0,$E5301*$J$5)</f>
        <v>0</v>
      </c>
      <c r="G5301">
        <f t="shared" si="82"/>
        <v>0</v>
      </c>
    </row>
    <row r="5302" spans="2:7" x14ac:dyDescent="0.35">
      <c r="B5302" s="1">
        <v>45878</v>
      </c>
      <c r="C5302" s="2">
        <v>0.83333333333333337</v>
      </c>
      <c r="D5302">
        <v>18.8</v>
      </c>
      <c r="E5302">
        <f>IF($D5302 &gt; 16, 0, $J$3*(16 - $D5302))</f>
        <v>0</v>
      </c>
      <c r="F5302">
        <f>IF($D5302 &gt; 16, 0,$E5302*$J$5)</f>
        <v>0</v>
      </c>
      <c r="G5302">
        <f t="shared" si="82"/>
        <v>0</v>
      </c>
    </row>
    <row r="5303" spans="2:7" x14ac:dyDescent="0.35">
      <c r="B5303" s="1">
        <v>45878</v>
      </c>
      <c r="C5303" s="2">
        <v>0.875</v>
      </c>
      <c r="D5303">
        <v>17.7</v>
      </c>
      <c r="E5303">
        <f>IF($D5303 &gt; 16, 0, $J$3*(16 - $D5303))</f>
        <v>0</v>
      </c>
      <c r="F5303">
        <f>IF($D5303 &gt; 16, 0,$E5303*$J$5)</f>
        <v>0</v>
      </c>
      <c r="G5303">
        <f t="shared" si="82"/>
        <v>0</v>
      </c>
    </row>
    <row r="5304" spans="2:7" x14ac:dyDescent="0.35">
      <c r="B5304" s="1">
        <v>45878</v>
      </c>
      <c r="C5304" s="2">
        <v>0.91666666666666663</v>
      </c>
      <c r="D5304">
        <v>16.899999999999999</v>
      </c>
      <c r="E5304">
        <f>IF($D5304 &gt; 16, 0, $J$3*(16 - $D5304))</f>
        <v>0</v>
      </c>
      <c r="F5304">
        <f>IF($D5304 &gt; 16, 0,$E5304*$J$5)</f>
        <v>0</v>
      </c>
      <c r="G5304">
        <f t="shared" si="82"/>
        <v>0</v>
      </c>
    </row>
    <row r="5305" spans="2:7" x14ac:dyDescent="0.35">
      <c r="B5305" s="1">
        <v>45878</v>
      </c>
      <c r="C5305" s="2">
        <v>0.95833333333333337</v>
      </c>
      <c r="D5305">
        <v>16</v>
      </c>
      <c r="E5305">
        <f>IF($D5305 &gt; 16, 0, $J$3*(16 - $D5305))</f>
        <v>0</v>
      </c>
      <c r="F5305">
        <f>IF($D5305 &gt; 16, 0,$E5305*$J$5)</f>
        <v>0</v>
      </c>
      <c r="G5305">
        <f t="shared" si="82"/>
        <v>0</v>
      </c>
    </row>
    <row r="5306" spans="2:7" x14ac:dyDescent="0.35">
      <c r="B5306" s="1">
        <v>45879</v>
      </c>
      <c r="C5306" s="2">
        <v>0</v>
      </c>
      <c r="D5306">
        <v>15.4</v>
      </c>
      <c r="E5306">
        <f>IF($D5306 &gt; 16, 0, $J$3*(16 - $D5306))</f>
        <v>124.64918562041812</v>
      </c>
      <c r="F5306">
        <f>IF($D5306 &gt; 16, 0,$E5306*$J$5)</f>
        <v>1354811.9985083246</v>
      </c>
      <c r="G5306">
        <f t="shared" si="82"/>
        <v>0.59999999999999964</v>
      </c>
    </row>
    <row r="5307" spans="2:7" x14ac:dyDescent="0.35">
      <c r="B5307" s="1">
        <v>45879</v>
      </c>
      <c r="C5307" s="2">
        <v>4.1666666666666657E-2</v>
      </c>
      <c r="D5307">
        <v>14.5</v>
      </c>
      <c r="E5307">
        <f>IF($D5307 &gt; 16, 0, $J$3*(16 - $D5307))</f>
        <v>311.62296405104547</v>
      </c>
      <c r="F5307">
        <f>IF($D5307 &gt; 16, 0,$E5307*$J$5)</f>
        <v>3387029.996270813</v>
      </c>
      <c r="G5307">
        <f t="shared" si="82"/>
        <v>1.5</v>
      </c>
    </row>
    <row r="5308" spans="2:7" x14ac:dyDescent="0.35">
      <c r="B5308" s="1">
        <v>45879</v>
      </c>
      <c r="C5308" s="2">
        <v>8.3333333333333329E-2</v>
      </c>
      <c r="D5308">
        <v>14.4</v>
      </c>
      <c r="E5308">
        <f>IF($D5308 &gt; 16, 0, $J$3*(16 - $D5308))</f>
        <v>332.39782832111513</v>
      </c>
      <c r="F5308">
        <f>IF($D5308 &gt; 16, 0,$E5308*$J$5)</f>
        <v>3612831.9960222002</v>
      </c>
      <c r="G5308">
        <f t="shared" si="82"/>
        <v>1.5999999999999996</v>
      </c>
    </row>
    <row r="5309" spans="2:7" x14ac:dyDescent="0.35">
      <c r="B5309" s="1">
        <v>45879</v>
      </c>
      <c r="C5309" s="2">
        <v>0.125</v>
      </c>
      <c r="D5309">
        <v>13.7</v>
      </c>
      <c r="E5309">
        <f>IF($D5309 &gt; 16, 0, $J$3*(16 - $D5309))</f>
        <v>477.82187821160323</v>
      </c>
      <c r="F5309">
        <f>IF($D5309 &gt; 16, 0,$E5309*$J$5)</f>
        <v>5193445.9942819159</v>
      </c>
      <c r="G5309">
        <f t="shared" si="82"/>
        <v>2.3000000000000007</v>
      </c>
    </row>
    <row r="5310" spans="2:7" x14ac:dyDescent="0.35">
      <c r="B5310" s="1">
        <v>45879</v>
      </c>
      <c r="C5310" s="2">
        <v>0.16666666666666671</v>
      </c>
      <c r="D5310">
        <v>13.5</v>
      </c>
      <c r="E5310">
        <f>IF($D5310 &gt; 16, 0, $J$3*(16 - $D5310))</f>
        <v>519.37160675174243</v>
      </c>
      <c r="F5310">
        <f>IF($D5310 &gt; 16, 0,$E5310*$J$5)</f>
        <v>5645049.9937846884</v>
      </c>
      <c r="G5310">
        <f t="shared" si="82"/>
        <v>2.5</v>
      </c>
    </row>
    <row r="5311" spans="2:7" x14ac:dyDescent="0.35">
      <c r="B5311" s="1">
        <v>45879</v>
      </c>
      <c r="C5311" s="2">
        <v>0.20833333333333329</v>
      </c>
      <c r="D5311">
        <v>14.3</v>
      </c>
      <c r="E5311">
        <f>IF($D5311 &gt; 16, 0, $J$3*(16 - $D5311))</f>
        <v>353.17269259118473</v>
      </c>
      <c r="F5311">
        <f>IF($D5311 &gt; 16, 0,$E5311*$J$5)</f>
        <v>3838633.9957735869</v>
      </c>
      <c r="G5311">
        <f t="shared" si="82"/>
        <v>1.6999999999999993</v>
      </c>
    </row>
    <row r="5312" spans="2:7" x14ac:dyDescent="0.35">
      <c r="B5312" s="1">
        <v>45879</v>
      </c>
      <c r="C5312" s="2">
        <v>0.25</v>
      </c>
      <c r="D5312">
        <v>16</v>
      </c>
      <c r="E5312">
        <f>IF($D5312 &gt; 16, 0, $J$3*(16 - $D5312))</f>
        <v>0</v>
      </c>
      <c r="F5312">
        <f>IF($D5312 &gt; 16, 0,$E5312*$J$5)</f>
        <v>0</v>
      </c>
      <c r="G5312">
        <f t="shared" si="82"/>
        <v>0</v>
      </c>
    </row>
    <row r="5313" spans="2:7" x14ac:dyDescent="0.35">
      <c r="B5313" s="1">
        <v>45879</v>
      </c>
      <c r="C5313" s="2">
        <v>0.29166666666666669</v>
      </c>
      <c r="D5313">
        <v>16.7</v>
      </c>
      <c r="E5313">
        <f>IF($D5313 &gt; 16, 0, $J$3*(16 - $D5313))</f>
        <v>0</v>
      </c>
      <c r="F5313">
        <f>IF($D5313 &gt; 16, 0,$E5313*$J$5)</f>
        <v>0</v>
      </c>
      <c r="G5313">
        <f t="shared" si="82"/>
        <v>0</v>
      </c>
    </row>
    <row r="5314" spans="2:7" x14ac:dyDescent="0.35">
      <c r="B5314" s="1">
        <v>45879</v>
      </c>
      <c r="C5314" s="2">
        <v>0.33333333333333331</v>
      </c>
      <c r="D5314">
        <v>18.600000000000001</v>
      </c>
      <c r="E5314">
        <f>IF($D5314 &gt; 16, 0, $J$3*(16 - $D5314))</f>
        <v>0</v>
      </c>
      <c r="F5314">
        <f>IF($D5314 &gt; 16, 0,$E5314*$J$5)</f>
        <v>0</v>
      </c>
      <c r="G5314">
        <f t="shared" si="82"/>
        <v>0</v>
      </c>
    </row>
    <row r="5315" spans="2:7" x14ac:dyDescent="0.35">
      <c r="B5315" s="1">
        <v>45879</v>
      </c>
      <c r="C5315" s="2">
        <v>0.375</v>
      </c>
      <c r="D5315">
        <v>19.5</v>
      </c>
      <c r="E5315">
        <f>IF($D5315 &gt; 16, 0, $J$3*(16 - $D5315))</f>
        <v>0</v>
      </c>
      <c r="F5315">
        <f>IF($D5315 &gt; 16, 0,$E5315*$J$5)</f>
        <v>0</v>
      </c>
      <c r="G5315">
        <f t="shared" ref="G5315:G5378" si="83">MAX(0, 16 - $D5315)</f>
        <v>0</v>
      </c>
    </row>
    <row r="5316" spans="2:7" x14ac:dyDescent="0.35">
      <c r="B5316" s="1">
        <v>45879</v>
      </c>
      <c r="C5316" s="2">
        <v>0.41666666666666669</v>
      </c>
      <c r="D5316">
        <v>20.399999999999999</v>
      </c>
      <c r="E5316">
        <f>IF($D5316 &gt; 16, 0, $J$3*(16 - $D5316))</f>
        <v>0</v>
      </c>
      <c r="F5316">
        <f>IF($D5316 &gt; 16, 0,$E5316*$J$5)</f>
        <v>0</v>
      </c>
      <c r="G5316">
        <f t="shared" si="83"/>
        <v>0</v>
      </c>
    </row>
    <row r="5317" spans="2:7" x14ac:dyDescent="0.35">
      <c r="B5317" s="1">
        <v>45879</v>
      </c>
      <c r="C5317" s="2">
        <v>0.45833333333333331</v>
      </c>
      <c r="D5317">
        <v>20.9</v>
      </c>
      <c r="E5317">
        <f>IF($D5317 &gt; 16, 0, $J$3*(16 - $D5317))</f>
        <v>0</v>
      </c>
      <c r="F5317">
        <f>IF($D5317 &gt; 16, 0,$E5317*$J$5)</f>
        <v>0</v>
      </c>
      <c r="G5317">
        <f t="shared" si="83"/>
        <v>0</v>
      </c>
    </row>
    <row r="5318" spans="2:7" x14ac:dyDescent="0.35">
      <c r="B5318" s="1">
        <v>45879</v>
      </c>
      <c r="C5318" s="2">
        <v>0.5</v>
      </c>
      <c r="D5318">
        <v>20.7</v>
      </c>
      <c r="E5318">
        <f>IF($D5318 &gt; 16, 0, $J$3*(16 - $D5318))</f>
        <v>0</v>
      </c>
      <c r="F5318">
        <f>IF($D5318 &gt; 16, 0,$E5318*$J$5)</f>
        <v>0</v>
      </c>
      <c r="G5318">
        <f t="shared" si="83"/>
        <v>0</v>
      </c>
    </row>
    <row r="5319" spans="2:7" x14ac:dyDescent="0.35">
      <c r="B5319" s="1">
        <v>45879</v>
      </c>
      <c r="C5319" s="2">
        <v>0.54166666666666663</v>
      </c>
      <c r="D5319">
        <v>21.2</v>
      </c>
      <c r="E5319">
        <f>IF($D5319 &gt; 16, 0, $J$3*(16 - $D5319))</f>
        <v>0</v>
      </c>
      <c r="F5319">
        <f>IF($D5319 &gt; 16, 0,$E5319*$J$5)</f>
        <v>0</v>
      </c>
      <c r="G5319">
        <f t="shared" si="83"/>
        <v>0</v>
      </c>
    </row>
    <row r="5320" spans="2:7" x14ac:dyDescent="0.35">
      <c r="B5320" s="1">
        <v>45879</v>
      </c>
      <c r="C5320" s="2">
        <v>0.58333333333333337</v>
      </c>
      <c r="D5320">
        <v>20.7</v>
      </c>
      <c r="E5320">
        <f>IF($D5320 &gt; 16, 0, $J$3*(16 - $D5320))</f>
        <v>0</v>
      </c>
      <c r="F5320">
        <f>IF($D5320 &gt; 16, 0,$E5320*$J$5)</f>
        <v>0</v>
      </c>
      <c r="G5320">
        <f t="shared" si="83"/>
        <v>0</v>
      </c>
    </row>
    <row r="5321" spans="2:7" x14ac:dyDescent="0.35">
      <c r="B5321" s="1">
        <v>45879</v>
      </c>
      <c r="C5321" s="2">
        <v>0.625</v>
      </c>
      <c r="D5321">
        <v>21.1</v>
      </c>
      <c r="E5321">
        <f>IF($D5321 &gt; 16, 0, $J$3*(16 - $D5321))</f>
        <v>0</v>
      </c>
      <c r="F5321">
        <f>IF($D5321 &gt; 16, 0,$E5321*$J$5)</f>
        <v>0</v>
      </c>
      <c r="G5321">
        <f t="shared" si="83"/>
        <v>0</v>
      </c>
    </row>
    <row r="5322" spans="2:7" x14ac:dyDescent="0.35">
      <c r="B5322" s="1">
        <v>45879</v>
      </c>
      <c r="C5322" s="2">
        <v>0.66666666666666663</v>
      </c>
      <c r="D5322">
        <v>20.6</v>
      </c>
      <c r="E5322">
        <f>IF($D5322 &gt; 16, 0, $J$3*(16 - $D5322))</f>
        <v>0</v>
      </c>
      <c r="F5322">
        <f>IF($D5322 &gt; 16, 0,$E5322*$J$5)</f>
        <v>0</v>
      </c>
      <c r="G5322">
        <f t="shared" si="83"/>
        <v>0</v>
      </c>
    </row>
    <row r="5323" spans="2:7" x14ac:dyDescent="0.35">
      <c r="B5323" s="1">
        <v>45879</v>
      </c>
      <c r="C5323" s="2">
        <v>0.70833333333333337</v>
      </c>
      <c r="D5323">
        <v>19.5</v>
      </c>
      <c r="E5323">
        <f>IF($D5323 &gt; 16, 0, $J$3*(16 - $D5323))</f>
        <v>0</v>
      </c>
      <c r="F5323">
        <f>IF($D5323 &gt; 16, 0,$E5323*$J$5)</f>
        <v>0</v>
      </c>
      <c r="G5323">
        <f t="shared" si="83"/>
        <v>0</v>
      </c>
    </row>
    <row r="5324" spans="2:7" x14ac:dyDescent="0.35">
      <c r="B5324" s="1">
        <v>45879</v>
      </c>
      <c r="C5324" s="2">
        <v>0.75</v>
      </c>
      <c r="D5324">
        <v>18.600000000000001</v>
      </c>
      <c r="E5324">
        <f>IF($D5324 &gt; 16, 0, $J$3*(16 - $D5324))</f>
        <v>0</v>
      </c>
      <c r="F5324">
        <f>IF($D5324 &gt; 16, 0,$E5324*$J$5)</f>
        <v>0</v>
      </c>
      <c r="G5324">
        <f t="shared" si="83"/>
        <v>0</v>
      </c>
    </row>
    <row r="5325" spans="2:7" x14ac:dyDescent="0.35">
      <c r="B5325" s="1">
        <v>45879</v>
      </c>
      <c r="C5325" s="2">
        <v>0.79166666666666663</v>
      </c>
      <c r="D5325">
        <v>16.2</v>
      </c>
      <c r="E5325">
        <f>IF($D5325 &gt; 16, 0, $J$3*(16 - $D5325))</f>
        <v>0</v>
      </c>
      <c r="F5325">
        <f>IF($D5325 &gt; 16, 0,$E5325*$J$5)</f>
        <v>0</v>
      </c>
      <c r="G5325">
        <f t="shared" si="83"/>
        <v>0</v>
      </c>
    </row>
    <row r="5326" spans="2:7" x14ac:dyDescent="0.35">
      <c r="B5326" s="1">
        <v>45879</v>
      </c>
      <c r="C5326" s="2">
        <v>0.83333333333333337</v>
      </c>
      <c r="D5326">
        <v>14.6</v>
      </c>
      <c r="E5326">
        <f>IF($D5326 &gt; 16, 0, $J$3*(16 - $D5326))</f>
        <v>290.84809978097587</v>
      </c>
      <c r="F5326">
        <f>IF($D5326 &gt; 16, 0,$E5326*$J$5)</f>
        <v>3161227.9965194268</v>
      </c>
      <c r="G5326">
        <f t="shared" si="83"/>
        <v>1.4000000000000004</v>
      </c>
    </row>
    <row r="5327" spans="2:7" x14ac:dyDescent="0.35">
      <c r="B5327" s="1">
        <v>45879</v>
      </c>
      <c r="C5327" s="2">
        <v>0.875</v>
      </c>
      <c r="D5327">
        <v>13.4</v>
      </c>
      <c r="E5327">
        <f>IF($D5327 &gt; 16, 0, $J$3*(16 - $D5327))</f>
        <v>540.14647102181209</v>
      </c>
      <c r="F5327">
        <f>IF($D5327 &gt; 16, 0,$E5327*$J$5)</f>
        <v>5870851.9935360756</v>
      </c>
      <c r="G5327">
        <f t="shared" si="83"/>
        <v>2.5999999999999996</v>
      </c>
    </row>
    <row r="5328" spans="2:7" x14ac:dyDescent="0.35">
      <c r="B5328" s="1">
        <v>45879</v>
      </c>
      <c r="C5328" s="2">
        <v>0.91666666666666663</v>
      </c>
      <c r="D5328">
        <v>12.3</v>
      </c>
      <c r="E5328">
        <f>IF($D5328 &gt; 16, 0, $J$3*(16 - $D5328))</f>
        <v>768.66997799257877</v>
      </c>
      <c r="F5328">
        <f>IF($D5328 &gt; 16, 0,$E5328*$J$5)</f>
        <v>8354673.990801339</v>
      </c>
      <c r="G5328">
        <f t="shared" si="83"/>
        <v>3.6999999999999993</v>
      </c>
    </row>
    <row r="5329" spans="2:7" x14ac:dyDescent="0.35">
      <c r="B5329" s="1">
        <v>45879</v>
      </c>
      <c r="C5329" s="2">
        <v>0.95833333333333337</v>
      </c>
      <c r="D5329">
        <v>11.3</v>
      </c>
      <c r="E5329">
        <f>IF($D5329 &gt; 16, 0, $J$3*(16 - $D5329))</f>
        <v>976.41862069327567</v>
      </c>
      <c r="F5329">
        <f>IF($D5329 &gt; 16, 0,$E5329*$J$5)</f>
        <v>10612693.988315213</v>
      </c>
      <c r="G5329">
        <f t="shared" si="83"/>
        <v>4.6999999999999993</v>
      </c>
    </row>
    <row r="5330" spans="2:7" x14ac:dyDescent="0.35">
      <c r="B5330" s="1">
        <v>45880</v>
      </c>
      <c r="C5330" s="2">
        <v>0</v>
      </c>
      <c r="D5330">
        <v>10.4</v>
      </c>
      <c r="E5330">
        <f>IF($D5330 &gt; 16, 0, $J$3*(16 - $D5330))</f>
        <v>1163.392399123903</v>
      </c>
      <c r="F5330">
        <f>IF($D5330 &gt; 16, 0,$E5330*$J$5)</f>
        <v>12644911.986077702</v>
      </c>
      <c r="G5330">
        <f t="shared" si="83"/>
        <v>5.6</v>
      </c>
    </row>
    <row r="5331" spans="2:7" x14ac:dyDescent="0.35">
      <c r="B5331" s="1">
        <v>45880</v>
      </c>
      <c r="C5331" s="2">
        <v>4.1666666666666657E-2</v>
      </c>
      <c r="D5331">
        <v>10.1</v>
      </c>
      <c r="E5331">
        <f>IF($D5331 &gt; 16, 0, $J$3*(16 - $D5331))</f>
        <v>1225.7169919341122</v>
      </c>
      <c r="F5331">
        <f>IF($D5331 &gt; 16, 0,$E5331*$J$5)</f>
        <v>13322317.985331865</v>
      </c>
      <c r="G5331">
        <f t="shared" si="83"/>
        <v>5.9</v>
      </c>
    </row>
    <row r="5332" spans="2:7" x14ac:dyDescent="0.35">
      <c r="B5332" s="1">
        <v>45880</v>
      </c>
      <c r="C5332" s="2">
        <v>8.3333333333333329E-2</v>
      </c>
      <c r="D5332">
        <v>9.5</v>
      </c>
      <c r="E5332">
        <f>IF($D5332 &gt; 16, 0, $J$3*(16 - $D5332))</f>
        <v>1350.3661775545304</v>
      </c>
      <c r="F5332">
        <f>IF($D5332 &gt; 16, 0,$E5332*$J$5)</f>
        <v>14677129.983840192</v>
      </c>
      <c r="G5332">
        <f t="shared" si="83"/>
        <v>6.5</v>
      </c>
    </row>
    <row r="5333" spans="2:7" x14ac:dyDescent="0.35">
      <c r="B5333" s="1">
        <v>45880</v>
      </c>
      <c r="C5333" s="2">
        <v>0.125</v>
      </c>
      <c r="D5333">
        <v>9</v>
      </c>
      <c r="E5333">
        <f>IF($D5333 &gt; 16, 0, $J$3*(16 - $D5333))</f>
        <v>1454.2404989048789</v>
      </c>
      <c r="F5333">
        <f>IF($D5333 &gt; 16, 0,$E5333*$J$5)</f>
        <v>15806139.982597129</v>
      </c>
      <c r="G5333">
        <f t="shared" si="83"/>
        <v>7</v>
      </c>
    </row>
    <row r="5334" spans="2:7" x14ac:dyDescent="0.35">
      <c r="B5334" s="1">
        <v>45880</v>
      </c>
      <c r="C5334" s="2">
        <v>0.16666666666666671</v>
      </c>
      <c r="D5334">
        <v>8.5</v>
      </c>
      <c r="E5334">
        <f>IF($D5334 &gt; 16, 0, $J$3*(16 - $D5334))</f>
        <v>1558.1148202552274</v>
      </c>
      <c r="F5334">
        <f>IF($D5334 &gt; 16, 0,$E5334*$J$5)</f>
        <v>16935149.981354065</v>
      </c>
      <c r="G5334">
        <f t="shared" si="83"/>
        <v>7.5</v>
      </c>
    </row>
    <row r="5335" spans="2:7" x14ac:dyDescent="0.35">
      <c r="B5335" s="1">
        <v>45880</v>
      </c>
      <c r="C5335" s="2">
        <v>0.20833333333333329</v>
      </c>
      <c r="D5335">
        <v>9.6999999999999993</v>
      </c>
      <c r="E5335">
        <f>IF($D5335 &gt; 16, 0, $J$3*(16 - $D5335))</f>
        <v>1308.8164490143911</v>
      </c>
      <c r="F5335">
        <f>IF($D5335 &gt; 16, 0,$E5335*$J$5)</f>
        <v>14225525.984337417</v>
      </c>
      <c r="G5335">
        <f t="shared" si="83"/>
        <v>6.3000000000000007</v>
      </c>
    </row>
    <row r="5336" spans="2:7" x14ac:dyDescent="0.35">
      <c r="B5336" s="1">
        <v>45880</v>
      </c>
      <c r="C5336" s="2">
        <v>0.25</v>
      </c>
      <c r="D5336">
        <v>13.4</v>
      </c>
      <c r="E5336">
        <f>IF($D5336 &gt; 16, 0, $J$3*(16 - $D5336))</f>
        <v>540.14647102181209</v>
      </c>
      <c r="F5336">
        <f>IF($D5336 &gt; 16, 0,$E5336*$J$5)</f>
        <v>5870851.9935360756</v>
      </c>
      <c r="G5336">
        <f t="shared" si="83"/>
        <v>2.5999999999999996</v>
      </c>
    </row>
    <row r="5337" spans="2:7" x14ac:dyDescent="0.35">
      <c r="B5337" s="1">
        <v>45880</v>
      </c>
      <c r="C5337" s="2">
        <v>0.29166666666666669</v>
      </c>
      <c r="D5337">
        <v>17</v>
      </c>
      <c r="E5337">
        <f>IF($D5337 &gt; 16, 0, $J$3*(16 - $D5337))</f>
        <v>0</v>
      </c>
      <c r="F5337">
        <f>IF($D5337 &gt; 16, 0,$E5337*$J$5)</f>
        <v>0</v>
      </c>
      <c r="G5337">
        <f t="shared" si="83"/>
        <v>0</v>
      </c>
    </row>
    <row r="5338" spans="2:7" x14ac:dyDescent="0.35">
      <c r="B5338" s="1">
        <v>45880</v>
      </c>
      <c r="C5338" s="2">
        <v>0.33333333333333331</v>
      </c>
      <c r="D5338">
        <v>17.899999999999999</v>
      </c>
      <c r="E5338">
        <f>IF($D5338 &gt; 16, 0, $J$3*(16 - $D5338))</f>
        <v>0</v>
      </c>
      <c r="F5338">
        <f>IF($D5338 &gt; 16, 0,$E5338*$J$5)</f>
        <v>0</v>
      </c>
      <c r="G5338">
        <f t="shared" si="83"/>
        <v>0</v>
      </c>
    </row>
    <row r="5339" spans="2:7" x14ac:dyDescent="0.35">
      <c r="B5339" s="1">
        <v>45880</v>
      </c>
      <c r="C5339" s="2">
        <v>0.375</v>
      </c>
      <c r="D5339">
        <v>19.2</v>
      </c>
      <c r="E5339">
        <f>IF($D5339 &gt; 16, 0, $J$3*(16 - $D5339))</f>
        <v>0</v>
      </c>
      <c r="F5339">
        <f>IF($D5339 &gt; 16, 0,$E5339*$J$5)</f>
        <v>0</v>
      </c>
      <c r="G5339">
        <f t="shared" si="83"/>
        <v>0</v>
      </c>
    </row>
    <row r="5340" spans="2:7" x14ac:dyDescent="0.35">
      <c r="B5340" s="1">
        <v>45880</v>
      </c>
      <c r="C5340" s="2">
        <v>0.41666666666666669</v>
      </c>
      <c r="D5340">
        <v>19.7</v>
      </c>
      <c r="E5340">
        <f>IF($D5340 &gt; 16, 0, $J$3*(16 - $D5340))</f>
        <v>0</v>
      </c>
      <c r="F5340">
        <f>IF($D5340 &gt; 16, 0,$E5340*$J$5)</f>
        <v>0</v>
      </c>
      <c r="G5340">
        <f t="shared" si="83"/>
        <v>0</v>
      </c>
    </row>
    <row r="5341" spans="2:7" x14ac:dyDescent="0.35">
      <c r="B5341" s="1">
        <v>45880</v>
      </c>
      <c r="C5341" s="2">
        <v>0.45833333333333331</v>
      </c>
      <c r="D5341">
        <v>20.8</v>
      </c>
      <c r="E5341">
        <f>IF($D5341 &gt; 16, 0, $J$3*(16 - $D5341))</f>
        <v>0</v>
      </c>
      <c r="F5341">
        <f>IF($D5341 &gt; 16, 0,$E5341*$J$5)</f>
        <v>0</v>
      </c>
      <c r="G5341">
        <f t="shared" si="83"/>
        <v>0</v>
      </c>
    </row>
    <row r="5342" spans="2:7" x14ac:dyDescent="0.35">
      <c r="B5342" s="1">
        <v>45880</v>
      </c>
      <c r="C5342" s="2">
        <v>0.5</v>
      </c>
      <c r="D5342">
        <v>22</v>
      </c>
      <c r="E5342">
        <f>IF($D5342 &gt; 16, 0, $J$3*(16 - $D5342))</f>
        <v>0</v>
      </c>
      <c r="F5342">
        <f>IF($D5342 &gt; 16, 0,$E5342*$J$5)</f>
        <v>0</v>
      </c>
      <c r="G5342">
        <f t="shared" si="83"/>
        <v>0</v>
      </c>
    </row>
    <row r="5343" spans="2:7" x14ac:dyDescent="0.35">
      <c r="B5343" s="1">
        <v>45880</v>
      </c>
      <c r="C5343" s="2">
        <v>0.54166666666666663</v>
      </c>
      <c r="D5343">
        <v>22.8</v>
      </c>
      <c r="E5343">
        <f>IF($D5343 &gt; 16, 0, $J$3*(16 - $D5343))</f>
        <v>0</v>
      </c>
      <c r="F5343">
        <f>IF($D5343 &gt; 16, 0,$E5343*$J$5)</f>
        <v>0</v>
      </c>
      <c r="G5343">
        <f t="shared" si="83"/>
        <v>0</v>
      </c>
    </row>
    <row r="5344" spans="2:7" x14ac:dyDescent="0.35">
      <c r="B5344" s="1">
        <v>45880</v>
      </c>
      <c r="C5344" s="2">
        <v>0.58333333333333337</v>
      </c>
      <c r="D5344">
        <v>22.5</v>
      </c>
      <c r="E5344">
        <f>IF($D5344 &gt; 16, 0, $J$3*(16 - $D5344))</f>
        <v>0</v>
      </c>
      <c r="F5344">
        <f>IF($D5344 &gt; 16, 0,$E5344*$J$5)</f>
        <v>0</v>
      </c>
      <c r="G5344">
        <f t="shared" si="83"/>
        <v>0</v>
      </c>
    </row>
    <row r="5345" spans="2:7" x14ac:dyDescent="0.35">
      <c r="B5345" s="1">
        <v>45880</v>
      </c>
      <c r="C5345" s="2">
        <v>0.625</v>
      </c>
      <c r="D5345">
        <v>23</v>
      </c>
      <c r="E5345">
        <f>IF($D5345 &gt; 16, 0, $J$3*(16 - $D5345))</f>
        <v>0</v>
      </c>
      <c r="F5345">
        <f>IF($D5345 &gt; 16, 0,$E5345*$J$5)</f>
        <v>0</v>
      </c>
      <c r="G5345">
        <f t="shared" si="83"/>
        <v>0</v>
      </c>
    </row>
    <row r="5346" spans="2:7" x14ac:dyDescent="0.35">
      <c r="B5346" s="1">
        <v>45880</v>
      </c>
      <c r="C5346" s="2">
        <v>0.66666666666666663</v>
      </c>
      <c r="D5346">
        <v>22.7</v>
      </c>
      <c r="E5346">
        <f>IF($D5346 &gt; 16, 0, $J$3*(16 - $D5346))</f>
        <v>0</v>
      </c>
      <c r="F5346">
        <f>IF($D5346 &gt; 16, 0,$E5346*$J$5)</f>
        <v>0</v>
      </c>
      <c r="G5346">
        <f t="shared" si="83"/>
        <v>0</v>
      </c>
    </row>
    <row r="5347" spans="2:7" x14ac:dyDescent="0.35">
      <c r="B5347" s="1">
        <v>45880</v>
      </c>
      <c r="C5347" s="2">
        <v>0.70833333333333337</v>
      </c>
      <c r="D5347">
        <v>21.5</v>
      </c>
      <c r="E5347">
        <f>IF($D5347 &gt; 16, 0, $J$3*(16 - $D5347))</f>
        <v>0</v>
      </c>
      <c r="F5347">
        <f>IF($D5347 &gt; 16, 0,$E5347*$J$5)</f>
        <v>0</v>
      </c>
      <c r="G5347">
        <f t="shared" si="83"/>
        <v>0</v>
      </c>
    </row>
    <row r="5348" spans="2:7" x14ac:dyDescent="0.35">
      <c r="B5348" s="1">
        <v>45880</v>
      </c>
      <c r="C5348" s="2">
        <v>0.75</v>
      </c>
      <c r="D5348">
        <v>20.8</v>
      </c>
      <c r="E5348">
        <f>IF($D5348 &gt; 16, 0, $J$3*(16 - $D5348))</f>
        <v>0</v>
      </c>
      <c r="F5348">
        <f>IF($D5348 &gt; 16, 0,$E5348*$J$5)</f>
        <v>0</v>
      </c>
      <c r="G5348">
        <f t="shared" si="83"/>
        <v>0</v>
      </c>
    </row>
    <row r="5349" spans="2:7" x14ac:dyDescent="0.35">
      <c r="B5349" s="1">
        <v>45880</v>
      </c>
      <c r="C5349" s="2">
        <v>0.79166666666666663</v>
      </c>
      <c r="D5349">
        <v>18</v>
      </c>
      <c r="E5349">
        <f>IF($D5349 &gt; 16, 0, $J$3*(16 - $D5349))</f>
        <v>0</v>
      </c>
      <c r="F5349">
        <f>IF($D5349 &gt; 16, 0,$E5349*$J$5)</f>
        <v>0</v>
      </c>
      <c r="G5349">
        <f t="shared" si="83"/>
        <v>0</v>
      </c>
    </row>
    <row r="5350" spans="2:7" x14ac:dyDescent="0.35">
      <c r="B5350" s="1">
        <v>45880</v>
      </c>
      <c r="C5350" s="2">
        <v>0.83333333333333337</v>
      </c>
      <c r="D5350">
        <v>16.399999999999999</v>
      </c>
      <c r="E5350">
        <f>IF($D5350 &gt; 16, 0, $J$3*(16 - $D5350))</f>
        <v>0</v>
      </c>
      <c r="F5350">
        <f>IF($D5350 &gt; 16, 0,$E5350*$J$5)</f>
        <v>0</v>
      </c>
      <c r="G5350">
        <f t="shared" si="83"/>
        <v>0</v>
      </c>
    </row>
    <row r="5351" spans="2:7" x14ac:dyDescent="0.35">
      <c r="B5351" s="1">
        <v>45880</v>
      </c>
      <c r="C5351" s="2">
        <v>0.875</v>
      </c>
      <c r="D5351">
        <v>15.1</v>
      </c>
      <c r="E5351">
        <f>IF($D5351 &gt; 16, 0, $J$3*(16 - $D5351))</f>
        <v>186.97377843062736</v>
      </c>
      <c r="F5351">
        <f>IF($D5351 &gt; 16, 0,$E5351*$J$5)</f>
        <v>2032217.9977624889</v>
      </c>
      <c r="G5351">
        <f t="shared" si="83"/>
        <v>0.90000000000000036</v>
      </c>
    </row>
    <row r="5352" spans="2:7" x14ac:dyDescent="0.35">
      <c r="B5352" s="1">
        <v>45880</v>
      </c>
      <c r="C5352" s="2">
        <v>0.91666666666666663</v>
      </c>
      <c r="D5352">
        <v>14.5</v>
      </c>
      <c r="E5352">
        <f>IF($D5352 &gt; 16, 0, $J$3*(16 - $D5352))</f>
        <v>311.62296405104547</v>
      </c>
      <c r="F5352">
        <f>IF($D5352 &gt; 16, 0,$E5352*$J$5)</f>
        <v>3387029.996270813</v>
      </c>
      <c r="G5352">
        <f t="shared" si="83"/>
        <v>1.5</v>
      </c>
    </row>
    <row r="5353" spans="2:7" x14ac:dyDescent="0.35">
      <c r="B5353" s="1">
        <v>45880</v>
      </c>
      <c r="C5353" s="2">
        <v>0.95833333333333337</v>
      </c>
      <c r="D5353">
        <v>14.2</v>
      </c>
      <c r="E5353">
        <f>IF($D5353 &gt; 16, 0, $J$3*(16 - $D5353))</f>
        <v>373.94755686125472</v>
      </c>
      <c r="F5353">
        <f>IF($D5353 &gt; 16, 0,$E5353*$J$5)</f>
        <v>4064435.9955249778</v>
      </c>
      <c r="G5353">
        <f t="shared" si="83"/>
        <v>1.8000000000000007</v>
      </c>
    </row>
    <row r="5354" spans="2:7" x14ac:dyDescent="0.35">
      <c r="B5354" s="1">
        <v>45881</v>
      </c>
      <c r="C5354" s="2">
        <v>0</v>
      </c>
      <c r="D5354">
        <v>13.6</v>
      </c>
      <c r="E5354">
        <f>IF($D5354 &gt; 16, 0, $J$3*(16 - $D5354))</f>
        <v>498.59674248167283</v>
      </c>
      <c r="F5354">
        <f>IF($D5354 &gt; 16, 0,$E5354*$J$5)</f>
        <v>5419247.9940333022</v>
      </c>
      <c r="G5354">
        <f t="shared" si="83"/>
        <v>2.4000000000000004</v>
      </c>
    </row>
    <row r="5355" spans="2:7" x14ac:dyDescent="0.35">
      <c r="B5355" s="1">
        <v>45881</v>
      </c>
      <c r="C5355" s="2">
        <v>4.1666666666666657E-2</v>
      </c>
      <c r="D5355">
        <v>13.7</v>
      </c>
      <c r="E5355">
        <f>IF($D5355 &gt; 16, 0, $J$3*(16 - $D5355))</f>
        <v>477.82187821160323</v>
      </c>
      <c r="F5355">
        <f>IF($D5355 &gt; 16, 0,$E5355*$J$5)</f>
        <v>5193445.9942819159</v>
      </c>
      <c r="G5355">
        <f t="shared" si="83"/>
        <v>2.3000000000000007</v>
      </c>
    </row>
    <row r="5356" spans="2:7" x14ac:dyDescent="0.35">
      <c r="B5356" s="1">
        <v>45881</v>
      </c>
      <c r="C5356" s="2">
        <v>8.3333333333333329E-2</v>
      </c>
      <c r="D5356">
        <v>13.1</v>
      </c>
      <c r="E5356">
        <f>IF($D5356 &gt; 16, 0, $J$3*(16 - $D5356))</f>
        <v>602.4710638320214</v>
      </c>
      <c r="F5356">
        <f>IF($D5356 &gt; 16, 0,$E5356*$J$5)</f>
        <v>6548257.9927902408</v>
      </c>
      <c r="G5356">
        <f t="shared" si="83"/>
        <v>2.9000000000000004</v>
      </c>
    </row>
    <row r="5357" spans="2:7" x14ac:dyDescent="0.35">
      <c r="B5357" s="1">
        <v>45881</v>
      </c>
      <c r="C5357" s="2">
        <v>0.125</v>
      </c>
      <c r="D5357">
        <v>13</v>
      </c>
      <c r="E5357">
        <f>IF($D5357 &gt; 16, 0, $J$3*(16 - $D5357))</f>
        <v>623.24592810209094</v>
      </c>
      <c r="F5357">
        <f>IF($D5357 &gt; 16, 0,$E5357*$J$5)</f>
        <v>6774059.9925416261</v>
      </c>
      <c r="G5357">
        <f t="shared" si="83"/>
        <v>3</v>
      </c>
    </row>
    <row r="5358" spans="2:7" x14ac:dyDescent="0.35">
      <c r="B5358" s="1">
        <v>45881</v>
      </c>
      <c r="C5358" s="2">
        <v>0.16666666666666671</v>
      </c>
      <c r="D5358">
        <v>13.4</v>
      </c>
      <c r="E5358">
        <f>IF($D5358 &gt; 16, 0, $J$3*(16 - $D5358))</f>
        <v>540.14647102181209</v>
      </c>
      <c r="F5358">
        <f>IF($D5358 &gt; 16, 0,$E5358*$J$5)</f>
        <v>5870851.9935360756</v>
      </c>
      <c r="G5358">
        <f t="shared" si="83"/>
        <v>2.5999999999999996</v>
      </c>
    </row>
    <row r="5359" spans="2:7" x14ac:dyDescent="0.35">
      <c r="B5359" s="1">
        <v>45881</v>
      </c>
      <c r="C5359" s="2">
        <v>0.20833333333333329</v>
      </c>
      <c r="D5359">
        <v>13.8</v>
      </c>
      <c r="E5359">
        <f>IF($D5359 &gt; 16, 0, $J$3*(16 - $D5359))</f>
        <v>457.04701394153324</v>
      </c>
      <c r="F5359">
        <f>IF($D5359 &gt; 16, 0,$E5359*$J$5)</f>
        <v>4967643.9945305251</v>
      </c>
      <c r="G5359">
        <f t="shared" si="83"/>
        <v>2.1999999999999993</v>
      </c>
    </row>
    <row r="5360" spans="2:7" x14ac:dyDescent="0.35">
      <c r="B5360" s="1">
        <v>45881</v>
      </c>
      <c r="C5360" s="2">
        <v>0.25</v>
      </c>
      <c r="D5360">
        <v>15.8</v>
      </c>
      <c r="E5360">
        <f>IF($D5360 &gt; 16, 0, $J$3*(16 - $D5360))</f>
        <v>41.549728540139249</v>
      </c>
      <c r="F5360">
        <f>IF($D5360 &gt; 16, 0,$E5360*$J$5)</f>
        <v>451603.99950277351</v>
      </c>
      <c r="G5360">
        <f t="shared" si="83"/>
        <v>0.19999999999999929</v>
      </c>
    </row>
    <row r="5361" spans="2:7" x14ac:dyDescent="0.35">
      <c r="B5361" s="1">
        <v>45881</v>
      </c>
      <c r="C5361" s="2">
        <v>0.29166666666666669</v>
      </c>
      <c r="D5361">
        <v>18.3</v>
      </c>
      <c r="E5361">
        <f>IF($D5361 &gt; 16, 0, $J$3*(16 - $D5361))</f>
        <v>0</v>
      </c>
      <c r="F5361">
        <f>IF($D5361 &gt; 16, 0,$E5361*$J$5)</f>
        <v>0</v>
      </c>
      <c r="G5361">
        <f t="shared" si="83"/>
        <v>0</v>
      </c>
    </row>
    <row r="5362" spans="2:7" x14ac:dyDescent="0.35">
      <c r="B5362" s="1">
        <v>45881</v>
      </c>
      <c r="C5362" s="2">
        <v>0.33333333333333331</v>
      </c>
      <c r="D5362">
        <v>19.399999999999999</v>
      </c>
      <c r="E5362">
        <f>IF($D5362 &gt; 16, 0, $J$3*(16 - $D5362))</f>
        <v>0</v>
      </c>
      <c r="F5362">
        <f>IF($D5362 &gt; 16, 0,$E5362*$J$5)</f>
        <v>0</v>
      </c>
      <c r="G5362">
        <f t="shared" si="83"/>
        <v>0</v>
      </c>
    </row>
    <row r="5363" spans="2:7" x14ac:dyDescent="0.35">
      <c r="B5363" s="1">
        <v>45881</v>
      </c>
      <c r="C5363" s="2">
        <v>0.375</v>
      </c>
      <c r="D5363">
        <v>21.7</v>
      </c>
      <c r="E5363">
        <f>IF($D5363 &gt; 16, 0, $J$3*(16 - $D5363))</f>
        <v>0</v>
      </c>
      <c r="F5363">
        <f>IF($D5363 &gt; 16, 0,$E5363*$J$5)</f>
        <v>0</v>
      </c>
      <c r="G5363">
        <f t="shared" si="83"/>
        <v>0</v>
      </c>
    </row>
    <row r="5364" spans="2:7" x14ac:dyDescent="0.35">
      <c r="B5364" s="1">
        <v>45881</v>
      </c>
      <c r="C5364" s="2">
        <v>0.41666666666666669</v>
      </c>
      <c r="D5364">
        <v>23.5</v>
      </c>
      <c r="E5364">
        <f>IF($D5364 &gt; 16, 0, $J$3*(16 - $D5364))</f>
        <v>0</v>
      </c>
      <c r="F5364">
        <f>IF($D5364 &gt; 16, 0,$E5364*$J$5)</f>
        <v>0</v>
      </c>
      <c r="G5364">
        <f t="shared" si="83"/>
        <v>0</v>
      </c>
    </row>
    <row r="5365" spans="2:7" x14ac:dyDescent="0.35">
      <c r="B5365" s="1">
        <v>45881</v>
      </c>
      <c r="C5365" s="2">
        <v>0.45833333333333331</v>
      </c>
      <c r="D5365">
        <v>25</v>
      </c>
      <c r="E5365">
        <f>IF($D5365 &gt; 16, 0, $J$3*(16 - $D5365))</f>
        <v>0</v>
      </c>
      <c r="F5365">
        <f>IF($D5365 &gt; 16, 0,$E5365*$J$5)</f>
        <v>0</v>
      </c>
      <c r="G5365">
        <f t="shared" si="83"/>
        <v>0</v>
      </c>
    </row>
    <row r="5366" spans="2:7" x14ac:dyDescent="0.35">
      <c r="B5366" s="1">
        <v>45881</v>
      </c>
      <c r="C5366" s="2">
        <v>0.5</v>
      </c>
      <c r="D5366">
        <v>25.2</v>
      </c>
      <c r="E5366">
        <f>IF($D5366 &gt; 16, 0, $J$3*(16 - $D5366))</f>
        <v>0</v>
      </c>
      <c r="F5366">
        <f>IF($D5366 &gt; 16, 0,$E5366*$J$5)</f>
        <v>0</v>
      </c>
      <c r="G5366">
        <f t="shared" si="83"/>
        <v>0</v>
      </c>
    </row>
    <row r="5367" spans="2:7" x14ac:dyDescent="0.35">
      <c r="B5367" s="1">
        <v>45881</v>
      </c>
      <c r="C5367" s="2">
        <v>0.54166666666666663</v>
      </c>
      <c r="D5367">
        <v>26</v>
      </c>
      <c r="E5367">
        <f>IF($D5367 &gt; 16, 0, $J$3*(16 - $D5367))</f>
        <v>0</v>
      </c>
      <c r="F5367">
        <f>IF($D5367 &gt; 16, 0,$E5367*$J$5)</f>
        <v>0</v>
      </c>
      <c r="G5367">
        <f t="shared" si="83"/>
        <v>0</v>
      </c>
    </row>
    <row r="5368" spans="2:7" x14ac:dyDescent="0.35">
      <c r="B5368" s="1">
        <v>45881</v>
      </c>
      <c r="C5368" s="2">
        <v>0.58333333333333337</v>
      </c>
      <c r="D5368">
        <v>25.7</v>
      </c>
      <c r="E5368">
        <f>IF($D5368 &gt; 16, 0, $J$3*(16 - $D5368))</f>
        <v>0</v>
      </c>
      <c r="F5368">
        <f>IF($D5368 &gt; 16, 0,$E5368*$J$5)</f>
        <v>0</v>
      </c>
      <c r="G5368">
        <f t="shared" si="83"/>
        <v>0</v>
      </c>
    </row>
    <row r="5369" spans="2:7" x14ac:dyDescent="0.35">
      <c r="B5369" s="1">
        <v>45881</v>
      </c>
      <c r="C5369" s="2">
        <v>0.625</v>
      </c>
      <c r="D5369">
        <v>27</v>
      </c>
      <c r="E5369">
        <f>IF($D5369 &gt; 16, 0, $J$3*(16 - $D5369))</f>
        <v>0</v>
      </c>
      <c r="F5369">
        <f>IF($D5369 &gt; 16, 0,$E5369*$J$5)</f>
        <v>0</v>
      </c>
      <c r="G5369">
        <f t="shared" si="83"/>
        <v>0</v>
      </c>
    </row>
    <row r="5370" spans="2:7" x14ac:dyDescent="0.35">
      <c r="B5370" s="1">
        <v>45881</v>
      </c>
      <c r="C5370" s="2">
        <v>0.66666666666666663</v>
      </c>
      <c r="D5370">
        <v>26.7</v>
      </c>
      <c r="E5370">
        <f>IF($D5370 &gt; 16, 0, $J$3*(16 - $D5370))</f>
        <v>0</v>
      </c>
      <c r="F5370">
        <f>IF($D5370 &gt; 16, 0,$E5370*$J$5)</f>
        <v>0</v>
      </c>
      <c r="G5370">
        <f t="shared" si="83"/>
        <v>0</v>
      </c>
    </row>
    <row r="5371" spans="2:7" x14ac:dyDescent="0.35">
      <c r="B5371" s="1">
        <v>45881</v>
      </c>
      <c r="C5371" s="2">
        <v>0.70833333333333337</v>
      </c>
      <c r="D5371">
        <v>25.3</v>
      </c>
      <c r="E5371">
        <f>IF($D5371 &gt; 16, 0, $J$3*(16 - $D5371))</f>
        <v>0</v>
      </c>
      <c r="F5371">
        <f>IF($D5371 &gt; 16, 0,$E5371*$J$5)</f>
        <v>0</v>
      </c>
      <c r="G5371">
        <f t="shared" si="83"/>
        <v>0</v>
      </c>
    </row>
    <row r="5372" spans="2:7" x14ac:dyDescent="0.35">
      <c r="B5372" s="1">
        <v>45881</v>
      </c>
      <c r="C5372" s="2">
        <v>0.75</v>
      </c>
      <c r="D5372">
        <v>23.4</v>
      </c>
      <c r="E5372">
        <f>IF($D5372 &gt; 16, 0, $J$3*(16 - $D5372))</f>
        <v>0</v>
      </c>
      <c r="F5372">
        <f>IF($D5372 &gt; 16, 0,$E5372*$J$5)</f>
        <v>0</v>
      </c>
      <c r="G5372">
        <f t="shared" si="83"/>
        <v>0</v>
      </c>
    </row>
    <row r="5373" spans="2:7" x14ac:dyDescent="0.35">
      <c r="B5373" s="1">
        <v>45881</v>
      </c>
      <c r="C5373" s="2">
        <v>0.79166666666666663</v>
      </c>
      <c r="D5373">
        <v>21.3</v>
      </c>
      <c r="E5373">
        <f>IF($D5373 &gt; 16, 0, $J$3*(16 - $D5373))</f>
        <v>0</v>
      </c>
      <c r="F5373">
        <f>IF($D5373 &gt; 16, 0,$E5373*$J$5)</f>
        <v>0</v>
      </c>
      <c r="G5373">
        <f t="shared" si="83"/>
        <v>0</v>
      </c>
    </row>
    <row r="5374" spans="2:7" x14ac:dyDescent="0.35">
      <c r="B5374" s="1">
        <v>45881</v>
      </c>
      <c r="C5374" s="2">
        <v>0.83333333333333337</v>
      </c>
      <c r="D5374">
        <v>19.5</v>
      </c>
      <c r="E5374">
        <f>IF($D5374 &gt; 16, 0, $J$3*(16 - $D5374))</f>
        <v>0</v>
      </c>
      <c r="F5374">
        <f>IF($D5374 &gt; 16, 0,$E5374*$J$5)</f>
        <v>0</v>
      </c>
      <c r="G5374">
        <f t="shared" si="83"/>
        <v>0</v>
      </c>
    </row>
    <row r="5375" spans="2:7" x14ac:dyDescent="0.35">
      <c r="B5375" s="1">
        <v>45881</v>
      </c>
      <c r="C5375" s="2">
        <v>0.875</v>
      </c>
      <c r="D5375">
        <v>19</v>
      </c>
      <c r="E5375">
        <f>IF($D5375 &gt; 16, 0, $J$3*(16 - $D5375))</f>
        <v>0</v>
      </c>
      <c r="F5375">
        <f>IF($D5375 &gt; 16, 0,$E5375*$J$5)</f>
        <v>0</v>
      </c>
      <c r="G5375">
        <f t="shared" si="83"/>
        <v>0</v>
      </c>
    </row>
    <row r="5376" spans="2:7" x14ac:dyDescent="0.35">
      <c r="B5376" s="1">
        <v>45881</v>
      </c>
      <c r="C5376" s="2">
        <v>0.91666666666666663</v>
      </c>
      <c r="D5376">
        <v>18.399999999999999</v>
      </c>
      <c r="E5376">
        <f>IF($D5376 &gt; 16, 0, $J$3*(16 - $D5376))</f>
        <v>0</v>
      </c>
      <c r="F5376">
        <f>IF($D5376 &gt; 16, 0,$E5376*$J$5)</f>
        <v>0</v>
      </c>
      <c r="G5376">
        <f t="shared" si="83"/>
        <v>0</v>
      </c>
    </row>
    <row r="5377" spans="2:7" x14ac:dyDescent="0.35">
      <c r="B5377" s="1">
        <v>45881</v>
      </c>
      <c r="C5377" s="2">
        <v>0.95833333333333337</v>
      </c>
      <c r="D5377">
        <v>17.899999999999999</v>
      </c>
      <c r="E5377">
        <f>IF($D5377 &gt; 16, 0, $J$3*(16 - $D5377))</f>
        <v>0</v>
      </c>
      <c r="F5377">
        <f>IF($D5377 &gt; 16, 0,$E5377*$J$5)</f>
        <v>0</v>
      </c>
      <c r="G5377">
        <f t="shared" si="83"/>
        <v>0</v>
      </c>
    </row>
    <row r="5378" spans="2:7" x14ac:dyDescent="0.35">
      <c r="B5378" s="1">
        <v>45882</v>
      </c>
      <c r="C5378" s="2">
        <v>0</v>
      </c>
      <c r="D5378">
        <v>17.899999999999999</v>
      </c>
      <c r="E5378">
        <f>IF($D5378 &gt; 16, 0, $J$3*(16 - $D5378))</f>
        <v>0</v>
      </c>
      <c r="F5378">
        <f>IF($D5378 &gt; 16, 0,$E5378*$J$5)</f>
        <v>0</v>
      </c>
      <c r="G5378">
        <f t="shared" si="83"/>
        <v>0</v>
      </c>
    </row>
    <row r="5379" spans="2:7" x14ac:dyDescent="0.35">
      <c r="B5379" s="1">
        <v>45882</v>
      </c>
      <c r="C5379" s="2">
        <v>4.1666666666666657E-2</v>
      </c>
      <c r="D5379">
        <v>17.2</v>
      </c>
      <c r="E5379">
        <f>IF($D5379 &gt; 16, 0, $J$3*(16 - $D5379))</f>
        <v>0</v>
      </c>
      <c r="F5379">
        <f>IF($D5379 &gt; 16, 0,$E5379*$J$5)</f>
        <v>0</v>
      </c>
      <c r="G5379">
        <f t="shared" ref="G5379:G5442" si="84">MAX(0, 16 - $D5379)</f>
        <v>0</v>
      </c>
    </row>
    <row r="5380" spans="2:7" x14ac:dyDescent="0.35">
      <c r="B5380" s="1">
        <v>45882</v>
      </c>
      <c r="C5380" s="2">
        <v>8.3333333333333329E-2</v>
      </c>
      <c r="D5380">
        <v>17.5</v>
      </c>
      <c r="E5380">
        <f>IF($D5380 &gt; 16, 0, $J$3*(16 - $D5380))</f>
        <v>0</v>
      </c>
      <c r="F5380">
        <f>IF($D5380 &gt; 16, 0,$E5380*$J$5)</f>
        <v>0</v>
      </c>
      <c r="G5380">
        <f t="shared" si="84"/>
        <v>0</v>
      </c>
    </row>
    <row r="5381" spans="2:7" x14ac:dyDescent="0.35">
      <c r="B5381" s="1">
        <v>45882</v>
      </c>
      <c r="C5381" s="2">
        <v>0.125</v>
      </c>
      <c r="D5381">
        <v>17.7</v>
      </c>
      <c r="E5381">
        <f>IF($D5381 &gt; 16, 0, $J$3*(16 - $D5381))</f>
        <v>0</v>
      </c>
      <c r="F5381">
        <f>IF($D5381 &gt; 16, 0,$E5381*$J$5)</f>
        <v>0</v>
      </c>
      <c r="G5381">
        <f t="shared" si="84"/>
        <v>0</v>
      </c>
    </row>
    <row r="5382" spans="2:7" x14ac:dyDescent="0.35">
      <c r="B5382" s="1">
        <v>45882</v>
      </c>
      <c r="C5382" s="2">
        <v>0.16666666666666671</v>
      </c>
      <c r="D5382">
        <v>17.100000000000001</v>
      </c>
      <c r="E5382">
        <f>IF($D5382 &gt; 16, 0, $J$3*(16 - $D5382))</f>
        <v>0</v>
      </c>
      <c r="F5382">
        <f>IF($D5382 &gt; 16, 0,$E5382*$J$5)</f>
        <v>0</v>
      </c>
      <c r="G5382">
        <f t="shared" si="84"/>
        <v>0</v>
      </c>
    </row>
    <row r="5383" spans="2:7" x14ac:dyDescent="0.35">
      <c r="B5383" s="1">
        <v>45882</v>
      </c>
      <c r="C5383" s="2">
        <v>0.20833333333333329</v>
      </c>
      <c r="D5383">
        <v>17.3</v>
      </c>
      <c r="E5383">
        <f>IF($D5383 &gt; 16, 0, $J$3*(16 - $D5383))</f>
        <v>0</v>
      </c>
      <c r="F5383">
        <f>IF($D5383 &gt; 16, 0,$E5383*$J$5)</f>
        <v>0</v>
      </c>
      <c r="G5383">
        <f t="shared" si="84"/>
        <v>0</v>
      </c>
    </row>
    <row r="5384" spans="2:7" x14ac:dyDescent="0.35">
      <c r="B5384" s="1">
        <v>45882</v>
      </c>
      <c r="C5384" s="2">
        <v>0.25</v>
      </c>
      <c r="D5384">
        <v>18.899999999999999</v>
      </c>
      <c r="E5384">
        <f>IF($D5384 &gt; 16, 0, $J$3*(16 - $D5384))</f>
        <v>0</v>
      </c>
      <c r="F5384">
        <f>IF($D5384 &gt; 16, 0,$E5384*$J$5)</f>
        <v>0</v>
      </c>
      <c r="G5384">
        <f t="shared" si="84"/>
        <v>0</v>
      </c>
    </row>
    <row r="5385" spans="2:7" x14ac:dyDescent="0.35">
      <c r="B5385" s="1">
        <v>45882</v>
      </c>
      <c r="C5385" s="2">
        <v>0.29166666666666669</v>
      </c>
      <c r="D5385">
        <v>21.1</v>
      </c>
      <c r="E5385">
        <f>IF($D5385 &gt; 16, 0, $J$3*(16 - $D5385))</f>
        <v>0</v>
      </c>
      <c r="F5385">
        <f>IF($D5385 &gt; 16, 0,$E5385*$J$5)</f>
        <v>0</v>
      </c>
      <c r="G5385">
        <f t="shared" si="84"/>
        <v>0</v>
      </c>
    </row>
    <row r="5386" spans="2:7" x14ac:dyDescent="0.35">
      <c r="B5386" s="1">
        <v>45882</v>
      </c>
      <c r="C5386" s="2">
        <v>0.33333333333333331</v>
      </c>
      <c r="D5386">
        <v>22.8</v>
      </c>
      <c r="E5386">
        <f>IF($D5386 &gt; 16, 0, $J$3*(16 - $D5386))</f>
        <v>0</v>
      </c>
      <c r="F5386">
        <f>IF($D5386 &gt; 16, 0,$E5386*$J$5)</f>
        <v>0</v>
      </c>
      <c r="G5386">
        <f t="shared" si="84"/>
        <v>0</v>
      </c>
    </row>
    <row r="5387" spans="2:7" x14ac:dyDescent="0.35">
      <c r="B5387" s="1">
        <v>45882</v>
      </c>
      <c r="C5387" s="2">
        <v>0.375</v>
      </c>
      <c r="D5387">
        <v>24.4</v>
      </c>
      <c r="E5387">
        <f>IF($D5387 &gt; 16, 0, $J$3*(16 - $D5387))</f>
        <v>0</v>
      </c>
      <c r="F5387">
        <f>IF($D5387 &gt; 16, 0,$E5387*$J$5)</f>
        <v>0</v>
      </c>
      <c r="G5387">
        <f t="shared" si="84"/>
        <v>0</v>
      </c>
    </row>
    <row r="5388" spans="2:7" x14ac:dyDescent="0.35">
      <c r="B5388" s="1">
        <v>45882</v>
      </c>
      <c r="C5388" s="2">
        <v>0.41666666666666669</v>
      </c>
      <c r="D5388">
        <v>26.8</v>
      </c>
      <c r="E5388">
        <f>IF($D5388 &gt; 16, 0, $J$3*(16 - $D5388))</f>
        <v>0</v>
      </c>
      <c r="F5388">
        <f>IF($D5388 &gt; 16, 0,$E5388*$J$5)</f>
        <v>0</v>
      </c>
      <c r="G5388">
        <f t="shared" si="84"/>
        <v>0</v>
      </c>
    </row>
    <row r="5389" spans="2:7" x14ac:dyDescent="0.35">
      <c r="B5389" s="1">
        <v>45882</v>
      </c>
      <c r="C5389" s="2">
        <v>0.45833333333333331</v>
      </c>
      <c r="D5389">
        <v>28.3</v>
      </c>
      <c r="E5389">
        <f>IF($D5389 &gt; 16, 0, $J$3*(16 - $D5389))</f>
        <v>0</v>
      </c>
      <c r="F5389">
        <f>IF($D5389 &gt; 16, 0,$E5389*$J$5)</f>
        <v>0</v>
      </c>
      <c r="G5389">
        <f t="shared" si="84"/>
        <v>0</v>
      </c>
    </row>
    <row r="5390" spans="2:7" x14ac:dyDescent="0.35">
      <c r="B5390" s="1">
        <v>45882</v>
      </c>
      <c r="C5390" s="2">
        <v>0.5</v>
      </c>
      <c r="D5390">
        <v>29.1</v>
      </c>
      <c r="E5390">
        <f>IF($D5390 &gt; 16, 0, $J$3*(16 - $D5390))</f>
        <v>0</v>
      </c>
      <c r="F5390">
        <f>IF($D5390 &gt; 16, 0,$E5390*$J$5)</f>
        <v>0</v>
      </c>
      <c r="G5390">
        <f t="shared" si="84"/>
        <v>0</v>
      </c>
    </row>
    <row r="5391" spans="2:7" x14ac:dyDescent="0.35">
      <c r="B5391" s="1">
        <v>45882</v>
      </c>
      <c r="C5391" s="2">
        <v>0.54166666666666663</v>
      </c>
      <c r="D5391">
        <v>29.7</v>
      </c>
      <c r="E5391">
        <f>IF($D5391 &gt; 16, 0, $J$3*(16 - $D5391))</f>
        <v>0</v>
      </c>
      <c r="F5391">
        <f>IF($D5391 &gt; 16, 0,$E5391*$J$5)</f>
        <v>0</v>
      </c>
      <c r="G5391">
        <f t="shared" si="84"/>
        <v>0</v>
      </c>
    </row>
    <row r="5392" spans="2:7" x14ac:dyDescent="0.35">
      <c r="B5392" s="1">
        <v>45882</v>
      </c>
      <c r="C5392" s="2">
        <v>0.58333333333333337</v>
      </c>
      <c r="D5392">
        <v>30.1</v>
      </c>
      <c r="E5392">
        <f>IF($D5392 &gt; 16, 0, $J$3*(16 - $D5392))</f>
        <v>0</v>
      </c>
      <c r="F5392">
        <f>IF($D5392 &gt; 16, 0,$E5392*$J$5)</f>
        <v>0</v>
      </c>
      <c r="G5392">
        <f t="shared" si="84"/>
        <v>0</v>
      </c>
    </row>
    <row r="5393" spans="2:7" x14ac:dyDescent="0.35">
      <c r="B5393" s="1">
        <v>45882</v>
      </c>
      <c r="C5393" s="2">
        <v>0.625</v>
      </c>
      <c r="D5393">
        <v>30.4</v>
      </c>
      <c r="E5393">
        <f>IF($D5393 &gt; 16, 0, $J$3*(16 - $D5393))</f>
        <v>0</v>
      </c>
      <c r="F5393">
        <f>IF($D5393 &gt; 16, 0,$E5393*$J$5)</f>
        <v>0</v>
      </c>
      <c r="G5393">
        <f t="shared" si="84"/>
        <v>0</v>
      </c>
    </row>
    <row r="5394" spans="2:7" x14ac:dyDescent="0.35">
      <c r="B5394" s="1">
        <v>45882</v>
      </c>
      <c r="C5394" s="2">
        <v>0.66666666666666663</v>
      </c>
      <c r="D5394">
        <v>29.8</v>
      </c>
      <c r="E5394">
        <f>IF($D5394 &gt; 16, 0, $J$3*(16 - $D5394))</f>
        <v>0</v>
      </c>
      <c r="F5394">
        <f>IF($D5394 &gt; 16, 0,$E5394*$J$5)</f>
        <v>0</v>
      </c>
      <c r="G5394">
        <f t="shared" si="84"/>
        <v>0</v>
      </c>
    </row>
    <row r="5395" spans="2:7" x14ac:dyDescent="0.35">
      <c r="B5395" s="1">
        <v>45882</v>
      </c>
      <c r="C5395" s="2">
        <v>0.70833333333333337</v>
      </c>
      <c r="D5395">
        <v>27.8</v>
      </c>
      <c r="E5395">
        <f>IF($D5395 &gt; 16, 0, $J$3*(16 - $D5395))</f>
        <v>0</v>
      </c>
      <c r="F5395">
        <f>IF($D5395 &gt; 16, 0,$E5395*$J$5)</f>
        <v>0</v>
      </c>
      <c r="G5395">
        <f t="shared" si="84"/>
        <v>0</v>
      </c>
    </row>
    <row r="5396" spans="2:7" x14ac:dyDescent="0.35">
      <c r="B5396" s="1">
        <v>45882</v>
      </c>
      <c r="C5396" s="2">
        <v>0.75</v>
      </c>
      <c r="D5396">
        <v>25.9</v>
      </c>
      <c r="E5396">
        <f>IF($D5396 &gt; 16, 0, $J$3*(16 - $D5396))</f>
        <v>0</v>
      </c>
      <c r="F5396">
        <f>IF($D5396 &gt; 16, 0,$E5396*$J$5)</f>
        <v>0</v>
      </c>
      <c r="G5396">
        <f t="shared" si="84"/>
        <v>0</v>
      </c>
    </row>
    <row r="5397" spans="2:7" x14ac:dyDescent="0.35">
      <c r="B5397" s="1">
        <v>45882</v>
      </c>
      <c r="C5397" s="2">
        <v>0.79166666666666663</v>
      </c>
      <c r="D5397">
        <v>23.9</v>
      </c>
      <c r="E5397">
        <f>IF($D5397 &gt; 16, 0, $J$3*(16 - $D5397))</f>
        <v>0</v>
      </c>
      <c r="F5397">
        <f>IF($D5397 &gt; 16, 0,$E5397*$J$5)</f>
        <v>0</v>
      </c>
      <c r="G5397">
        <f t="shared" si="84"/>
        <v>0</v>
      </c>
    </row>
    <row r="5398" spans="2:7" x14ac:dyDescent="0.35">
      <c r="B5398" s="1">
        <v>45882</v>
      </c>
      <c r="C5398" s="2">
        <v>0.83333333333333337</v>
      </c>
      <c r="D5398">
        <v>22.1</v>
      </c>
      <c r="E5398">
        <f>IF($D5398 &gt; 16, 0, $J$3*(16 - $D5398))</f>
        <v>0</v>
      </c>
      <c r="F5398">
        <f>IF($D5398 &gt; 16, 0,$E5398*$J$5)</f>
        <v>0</v>
      </c>
      <c r="G5398">
        <f t="shared" si="84"/>
        <v>0</v>
      </c>
    </row>
    <row r="5399" spans="2:7" x14ac:dyDescent="0.35">
      <c r="B5399" s="1">
        <v>45882</v>
      </c>
      <c r="C5399" s="2">
        <v>0.875</v>
      </c>
      <c r="D5399">
        <v>20.8</v>
      </c>
      <c r="E5399">
        <f>IF($D5399 &gt; 16, 0, $J$3*(16 - $D5399))</f>
        <v>0</v>
      </c>
      <c r="F5399">
        <f>IF($D5399 &gt; 16, 0,$E5399*$J$5)</f>
        <v>0</v>
      </c>
      <c r="G5399">
        <f t="shared" si="84"/>
        <v>0</v>
      </c>
    </row>
    <row r="5400" spans="2:7" x14ac:dyDescent="0.35">
      <c r="B5400" s="1">
        <v>45882</v>
      </c>
      <c r="C5400" s="2">
        <v>0.91666666666666663</v>
      </c>
      <c r="D5400">
        <v>19.7</v>
      </c>
      <c r="E5400">
        <f>IF($D5400 &gt; 16, 0, $J$3*(16 - $D5400))</f>
        <v>0</v>
      </c>
      <c r="F5400">
        <f>IF($D5400 &gt; 16, 0,$E5400*$J$5)</f>
        <v>0</v>
      </c>
      <c r="G5400">
        <f t="shared" si="84"/>
        <v>0</v>
      </c>
    </row>
    <row r="5401" spans="2:7" x14ac:dyDescent="0.35">
      <c r="B5401" s="1">
        <v>45882</v>
      </c>
      <c r="C5401" s="2">
        <v>0.95833333333333337</v>
      </c>
      <c r="D5401">
        <v>19.7</v>
      </c>
      <c r="E5401">
        <f>IF($D5401 &gt; 16, 0, $J$3*(16 - $D5401))</f>
        <v>0</v>
      </c>
      <c r="F5401">
        <f>IF($D5401 &gt; 16, 0,$E5401*$J$5)</f>
        <v>0</v>
      </c>
      <c r="G5401">
        <f t="shared" si="84"/>
        <v>0</v>
      </c>
    </row>
    <row r="5402" spans="2:7" x14ac:dyDescent="0.35">
      <c r="B5402" s="1">
        <v>45883</v>
      </c>
      <c r="C5402" s="2">
        <v>0</v>
      </c>
      <c r="D5402">
        <v>18.899999999999999</v>
      </c>
      <c r="E5402">
        <f>IF($D5402 &gt; 16, 0, $J$3*(16 - $D5402))</f>
        <v>0</v>
      </c>
      <c r="F5402">
        <f>IF($D5402 &gt; 16, 0,$E5402*$J$5)</f>
        <v>0</v>
      </c>
      <c r="G5402">
        <f t="shared" si="84"/>
        <v>0</v>
      </c>
    </row>
    <row r="5403" spans="2:7" x14ac:dyDescent="0.35">
      <c r="B5403" s="1">
        <v>45883</v>
      </c>
      <c r="C5403" s="2">
        <v>4.1666666666666657E-2</v>
      </c>
      <c r="D5403">
        <v>17.8</v>
      </c>
      <c r="E5403">
        <f>IF($D5403 &gt; 16, 0, $J$3*(16 - $D5403))</f>
        <v>0</v>
      </c>
      <c r="F5403">
        <f>IF($D5403 &gt; 16, 0,$E5403*$J$5)</f>
        <v>0</v>
      </c>
      <c r="G5403">
        <f t="shared" si="84"/>
        <v>0</v>
      </c>
    </row>
    <row r="5404" spans="2:7" x14ac:dyDescent="0.35">
      <c r="B5404" s="1">
        <v>45883</v>
      </c>
      <c r="C5404" s="2">
        <v>8.3333333333333329E-2</v>
      </c>
      <c r="D5404">
        <v>17.7</v>
      </c>
      <c r="E5404">
        <f>IF($D5404 &gt; 16, 0, $J$3*(16 - $D5404))</f>
        <v>0</v>
      </c>
      <c r="F5404">
        <f>IF($D5404 &gt; 16, 0,$E5404*$J$5)</f>
        <v>0</v>
      </c>
      <c r="G5404">
        <f t="shared" si="84"/>
        <v>0</v>
      </c>
    </row>
    <row r="5405" spans="2:7" x14ac:dyDescent="0.35">
      <c r="B5405" s="1">
        <v>45883</v>
      </c>
      <c r="C5405" s="2">
        <v>0.125</v>
      </c>
      <c r="D5405">
        <v>17.399999999999999</v>
      </c>
      <c r="E5405">
        <f>IF($D5405 &gt; 16, 0, $J$3*(16 - $D5405))</f>
        <v>0</v>
      </c>
      <c r="F5405">
        <f>IF($D5405 &gt; 16, 0,$E5405*$J$5)</f>
        <v>0</v>
      </c>
      <c r="G5405">
        <f t="shared" si="84"/>
        <v>0</v>
      </c>
    </row>
    <row r="5406" spans="2:7" x14ac:dyDescent="0.35">
      <c r="B5406" s="1">
        <v>45883</v>
      </c>
      <c r="C5406" s="2">
        <v>0.16666666666666671</v>
      </c>
      <c r="D5406">
        <v>17.399999999999999</v>
      </c>
      <c r="E5406">
        <f>IF($D5406 &gt; 16, 0, $J$3*(16 - $D5406))</f>
        <v>0</v>
      </c>
      <c r="F5406">
        <f>IF($D5406 &gt; 16, 0,$E5406*$J$5)</f>
        <v>0</v>
      </c>
      <c r="G5406">
        <f t="shared" si="84"/>
        <v>0</v>
      </c>
    </row>
    <row r="5407" spans="2:7" x14ac:dyDescent="0.35">
      <c r="B5407" s="1">
        <v>45883</v>
      </c>
      <c r="C5407" s="2">
        <v>0.20833333333333329</v>
      </c>
      <c r="D5407">
        <v>18.5</v>
      </c>
      <c r="E5407">
        <f>IF($D5407 &gt; 16, 0, $J$3*(16 - $D5407))</f>
        <v>0</v>
      </c>
      <c r="F5407">
        <f>IF($D5407 &gt; 16, 0,$E5407*$J$5)</f>
        <v>0</v>
      </c>
      <c r="G5407">
        <f t="shared" si="84"/>
        <v>0</v>
      </c>
    </row>
    <row r="5408" spans="2:7" x14ac:dyDescent="0.35">
      <c r="B5408" s="1">
        <v>45883</v>
      </c>
      <c r="C5408" s="2">
        <v>0.25</v>
      </c>
      <c r="D5408">
        <v>20.5</v>
      </c>
      <c r="E5408">
        <f>IF($D5408 &gt; 16, 0, $J$3*(16 - $D5408))</f>
        <v>0</v>
      </c>
      <c r="F5408">
        <f>IF($D5408 &gt; 16, 0,$E5408*$J$5)</f>
        <v>0</v>
      </c>
      <c r="G5408">
        <f t="shared" si="84"/>
        <v>0</v>
      </c>
    </row>
    <row r="5409" spans="2:7" x14ac:dyDescent="0.35">
      <c r="B5409" s="1">
        <v>45883</v>
      </c>
      <c r="C5409" s="2">
        <v>0.29166666666666669</v>
      </c>
      <c r="D5409">
        <v>22.2</v>
      </c>
      <c r="E5409">
        <f>IF($D5409 &gt; 16, 0, $J$3*(16 - $D5409))</f>
        <v>0</v>
      </c>
      <c r="F5409">
        <f>IF($D5409 &gt; 16, 0,$E5409*$J$5)</f>
        <v>0</v>
      </c>
      <c r="G5409">
        <f t="shared" si="84"/>
        <v>0</v>
      </c>
    </row>
    <row r="5410" spans="2:7" x14ac:dyDescent="0.35">
      <c r="B5410" s="1">
        <v>45883</v>
      </c>
      <c r="C5410" s="2">
        <v>0.33333333333333331</v>
      </c>
      <c r="D5410">
        <v>24.7</v>
      </c>
      <c r="E5410">
        <f>IF($D5410 &gt; 16, 0, $J$3*(16 - $D5410))</f>
        <v>0</v>
      </c>
      <c r="F5410">
        <f>IF($D5410 &gt; 16, 0,$E5410*$J$5)</f>
        <v>0</v>
      </c>
      <c r="G5410">
        <f t="shared" si="84"/>
        <v>0</v>
      </c>
    </row>
    <row r="5411" spans="2:7" x14ac:dyDescent="0.35">
      <c r="B5411" s="1">
        <v>45883</v>
      </c>
      <c r="C5411" s="2">
        <v>0.375</v>
      </c>
      <c r="D5411">
        <v>26.9</v>
      </c>
      <c r="E5411">
        <f>IF($D5411 &gt; 16, 0, $J$3*(16 - $D5411))</f>
        <v>0</v>
      </c>
      <c r="F5411">
        <f>IF($D5411 &gt; 16, 0,$E5411*$J$5)</f>
        <v>0</v>
      </c>
      <c r="G5411">
        <f t="shared" si="84"/>
        <v>0</v>
      </c>
    </row>
    <row r="5412" spans="2:7" x14ac:dyDescent="0.35">
      <c r="B5412" s="1">
        <v>45883</v>
      </c>
      <c r="C5412" s="2">
        <v>0.41666666666666669</v>
      </c>
      <c r="D5412">
        <v>28.8</v>
      </c>
      <c r="E5412">
        <f>IF($D5412 &gt; 16, 0, $J$3*(16 - $D5412))</f>
        <v>0</v>
      </c>
      <c r="F5412">
        <f>IF($D5412 &gt; 16, 0,$E5412*$J$5)</f>
        <v>0</v>
      </c>
      <c r="G5412">
        <f t="shared" si="84"/>
        <v>0</v>
      </c>
    </row>
    <row r="5413" spans="2:7" x14ac:dyDescent="0.35">
      <c r="B5413" s="1">
        <v>45883</v>
      </c>
      <c r="C5413" s="2">
        <v>0.45833333333333331</v>
      </c>
      <c r="D5413">
        <v>30.7</v>
      </c>
      <c r="E5413">
        <f>IF($D5413 &gt; 16, 0, $J$3*(16 - $D5413))</f>
        <v>0</v>
      </c>
      <c r="F5413">
        <f>IF($D5413 &gt; 16, 0,$E5413*$J$5)</f>
        <v>0</v>
      </c>
      <c r="G5413">
        <f t="shared" si="84"/>
        <v>0</v>
      </c>
    </row>
    <row r="5414" spans="2:7" x14ac:dyDescent="0.35">
      <c r="B5414" s="1">
        <v>45883</v>
      </c>
      <c r="C5414" s="2">
        <v>0.5</v>
      </c>
      <c r="D5414">
        <v>31</v>
      </c>
      <c r="E5414">
        <f>IF($D5414 &gt; 16, 0, $J$3*(16 - $D5414))</f>
        <v>0</v>
      </c>
      <c r="F5414">
        <f>IF($D5414 &gt; 16, 0,$E5414*$J$5)</f>
        <v>0</v>
      </c>
      <c r="G5414">
        <f t="shared" si="84"/>
        <v>0</v>
      </c>
    </row>
    <row r="5415" spans="2:7" x14ac:dyDescent="0.35">
      <c r="B5415" s="1">
        <v>45883</v>
      </c>
      <c r="C5415" s="2">
        <v>0.54166666666666663</v>
      </c>
      <c r="D5415">
        <v>31.4</v>
      </c>
      <c r="E5415">
        <f>IF($D5415 &gt; 16, 0, $J$3*(16 - $D5415))</f>
        <v>0</v>
      </c>
      <c r="F5415">
        <f>IF($D5415 &gt; 16, 0,$E5415*$J$5)</f>
        <v>0</v>
      </c>
      <c r="G5415">
        <f t="shared" si="84"/>
        <v>0</v>
      </c>
    </row>
    <row r="5416" spans="2:7" x14ac:dyDescent="0.35">
      <c r="B5416" s="1">
        <v>45883</v>
      </c>
      <c r="C5416" s="2">
        <v>0.58333333333333337</v>
      </c>
      <c r="D5416">
        <v>29.7</v>
      </c>
      <c r="E5416">
        <f>IF($D5416 &gt; 16, 0, $J$3*(16 - $D5416))</f>
        <v>0</v>
      </c>
      <c r="F5416">
        <f>IF($D5416 &gt; 16, 0,$E5416*$J$5)</f>
        <v>0</v>
      </c>
      <c r="G5416">
        <f t="shared" si="84"/>
        <v>0</v>
      </c>
    </row>
    <row r="5417" spans="2:7" x14ac:dyDescent="0.35">
      <c r="B5417" s="1">
        <v>45883</v>
      </c>
      <c r="C5417" s="2">
        <v>0.625</v>
      </c>
      <c r="D5417">
        <v>33.200000000000003</v>
      </c>
      <c r="E5417">
        <f>IF($D5417 &gt; 16, 0, $J$3*(16 - $D5417))</f>
        <v>0</v>
      </c>
      <c r="F5417">
        <f>IF($D5417 &gt; 16, 0,$E5417*$J$5)</f>
        <v>0</v>
      </c>
      <c r="G5417">
        <f t="shared" si="84"/>
        <v>0</v>
      </c>
    </row>
    <row r="5418" spans="2:7" x14ac:dyDescent="0.35">
      <c r="B5418" s="1">
        <v>45883</v>
      </c>
      <c r="C5418" s="2">
        <v>0.66666666666666663</v>
      </c>
      <c r="D5418">
        <v>32.299999999999997</v>
      </c>
      <c r="E5418">
        <f>IF($D5418 &gt; 16, 0, $J$3*(16 - $D5418))</f>
        <v>0</v>
      </c>
      <c r="F5418">
        <f>IF($D5418 &gt; 16, 0,$E5418*$J$5)</f>
        <v>0</v>
      </c>
      <c r="G5418">
        <f t="shared" si="84"/>
        <v>0</v>
      </c>
    </row>
    <row r="5419" spans="2:7" x14ac:dyDescent="0.35">
      <c r="B5419" s="1">
        <v>45883</v>
      </c>
      <c r="C5419" s="2">
        <v>0.70833333333333337</v>
      </c>
      <c r="D5419">
        <v>29.2</v>
      </c>
      <c r="E5419">
        <f>IF($D5419 &gt; 16, 0, $J$3*(16 - $D5419))</f>
        <v>0</v>
      </c>
      <c r="F5419">
        <f>IF($D5419 &gt; 16, 0,$E5419*$J$5)</f>
        <v>0</v>
      </c>
      <c r="G5419">
        <f t="shared" si="84"/>
        <v>0</v>
      </c>
    </row>
    <row r="5420" spans="2:7" x14ac:dyDescent="0.35">
      <c r="B5420" s="1">
        <v>45883</v>
      </c>
      <c r="C5420" s="2">
        <v>0.75</v>
      </c>
      <c r="D5420">
        <v>26.9</v>
      </c>
      <c r="E5420">
        <f>IF($D5420 &gt; 16, 0, $J$3*(16 - $D5420))</f>
        <v>0</v>
      </c>
      <c r="F5420">
        <f>IF($D5420 &gt; 16, 0,$E5420*$J$5)</f>
        <v>0</v>
      </c>
      <c r="G5420">
        <f t="shared" si="84"/>
        <v>0</v>
      </c>
    </row>
    <row r="5421" spans="2:7" x14ac:dyDescent="0.35">
      <c r="B5421" s="1">
        <v>45883</v>
      </c>
      <c r="C5421" s="2">
        <v>0.79166666666666663</v>
      </c>
      <c r="D5421">
        <v>24.5</v>
      </c>
      <c r="E5421">
        <f>IF($D5421 &gt; 16, 0, $J$3*(16 - $D5421))</f>
        <v>0</v>
      </c>
      <c r="F5421">
        <f>IF($D5421 &gt; 16, 0,$E5421*$J$5)</f>
        <v>0</v>
      </c>
      <c r="G5421">
        <f t="shared" si="84"/>
        <v>0</v>
      </c>
    </row>
    <row r="5422" spans="2:7" x14ac:dyDescent="0.35">
      <c r="B5422" s="1">
        <v>45883</v>
      </c>
      <c r="C5422" s="2">
        <v>0.83333333333333337</v>
      </c>
      <c r="D5422">
        <v>24.2</v>
      </c>
      <c r="E5422">
        <f>IF($D5422 &gt; 16, 0, $J$3*(16 - $D5422))</f>
        <v>0</v>
      </c>
      <c r="F5422">
        <f>IF($D5422 &gt; 16, 0,$E5422*$J$5)</f>
        <v>0</v>
      </c>
      <c r="G5422">
        <f t="shared" si="84"/>
        <v>0</v>
      </c>
    </row>
    <row r="5423" spans="2:7" x14ac:dyDescent="0.35">
      <c r="B5423" s="1">
        <v>45883</v>
      </c>
      <c r="C5423" s="2">
        <v>0.875</v>
      </c>
      <c r="D5423">
        <v>23.9</v>
      </c>
      <c r="E5423">
        <f>IF($D5423 &gt; 16, 0, $J$3*(16 - $D5423))</f>
        <v>0</v>
      </c>
      <c r="F5423">
        <f>IF($D5423 &gt; 16, 0,$E5423*$J$5)</f>
        <v>0</v>
      </c>
      <c r="G5423">
        <f t="shared" si="84"/>
        <v>0</v>
      </c>
    </row>
    <row r="5424" spans="2:7" x14ac:dyDescent="0.35">
      <c r="B5424" s="1">
        <v>45883</v>
      </c>
      <c r="C5424" s="2">
        <v>0.91666666666666663</v>
      </c>
      <c r="D5424">
        <v>23.8</v>
      </c>
      <c r="E5424">
        <f>IF($D5424 &gt; 16, 0, $J$3*(16 - $D5424))</f>
        <v>0</v>
      </c>
      <c r="F5424">
        <f>IF($D5424 &gt; 16, 0,$E5424*$J$5)</f>
        <v>0</v>
      </c>
      <c r="G5424">
        <f t="shared" si="84"/>
        <v>0</v>
      </c>
    </row>
    <row r="5425" spans="2:7" x14ac:dyDescent="0.35">
      <c r="B5425" s="1">
        <v>45883</v>
      </c>
      <c r="C5425" s="2">
        <v>0.95833333333333337</v>
      </c>
      <c r="D5425">
        <v>22.8</v>
      </c>
      <c r="E5425">
        <f>IF($D5425 &gt; 16, 0, $J$3*(16 - $D5425))</f>
        <v>0</v>
      </c>
      <c r="F5425">
        <f>IF($D5425 &gt; 16, 0,$E5425*$J$5)</f>
        <v>0</v>
      </c>
      <c r="G5425">
        <f t="shared" si="84"/>
        <v>0</v>
      </c>
    </row>
    <row r="5426" spans="2:7" x14ac:dyDescent="0.35">
      <c r="B5426" s="1">
        <v>45884</v>
      </c>
      <c r="C5426" s="2">
        <v>0</v>
      </c>
      <c r="D5426">
        <v>22.4</v>
      </c>
      <c r="E5426">
        <f>IF($D5426 &gt; 16, 0, $J$3*(16 - $D5426))</f>
        <v>0</v>
      </c>
      <c r="F5426">
        <f>IF($D5426 &gt; 16, 0,$E5426*$J$5)</f>
        <v>0</v>
      </c>
      <c r="G5426">
        <f t="shared" si="84"/>
        <v>0</v>
      </c>
    </row>
    <row r="5427" spans="2:7" x14ac:dyDescent="0.35">
      <c r="B5427" s="1">
        <v>45884</v>
      </c>
      <c r="C5427" s="2">
        <v>4.1666666666666657E-2</v>
      </c>
      <c r="D5427">
        <v>22.2</v>
      </c>
      <c r="E5427">
        <f>IF($D5427 &gt; 16, 0, $J$3*(16 - $D5427))</f>
        <v>0</v>
      </c>
      <c r="F5427">
        <f>IF($D5427 &gt; 16, 0,$E5427*$J$5)</f>
        <v>0</v>
      </c>
      <c r="G5427">
        <f t="shared" si="84"/>
        <v>0</v>
      </c>
    </row>
    <row r="5428" spans="2:7" x14ac:dyDescent="0.35">
      <c r="B5428" s="1">
        <v>45884</v>
      </c>
      <c r="C5428" s="2">
        <v>8.3333333333333329E-2</v>
      </c>
      <c r="D5428">
        <v>21</v>
      </c>
      <c r="E5428">
        <f>IF($D5428 &gt; 16, 0, $J$3*(16 - $D5428))</f>
        <v>0</v>
      </c>
      <c r="F5428">
        <f>IF($D5428 &gt; 16, 0,$E5428*$J$5)</f>
        <v>0</v>
      </c>
      <c r="G5428">
        <f t="shared" si="84"/>
        <v>0</v>
      </c>
    </row>
    <row r="5429" spans="2:7" x14ac:dyDescent="0.35">
      <c r="B5429" s="1">
        <v>45884</v>
      </c>
      <c r="C5429" s="2">
        <v>0.125</v>
      </c>
      <c r="D5429">
        <v>21.4</v>
      </c>
      <c r="E5429">
        <f>IF($D5429 &gt; 16, 0, $J$3*(16 - $D5429))</f>
        <v>0</v>
      </c>
      <c r="F5429">
        <f>IF($D5429 &gt; 16, 0,$E5429*$J$5)</f>
        <v>0</v>
      </c>
      <c r="G5429">
        <f t="shared" si="84"/>
        <v>0</v>
      </c>
    </row>
    <row r="5430" spans="2:7" x14ac:dyDescent="0.35">
      <c r="B5430" s="1">
        <v>45884</v>
      </c>
      <c r="C5430" s="2">
        <v>0.16666666666666671</v>
      </c>
      <c r="D5430">
        <v>20.9</v>
      </c>
      <c r="E5430">
        <f>IF($D5430 &gt; 16, 0, $J$3*(16 - $D5430))</f>
        <v>0</v>
      </c>
      <c r="F5430">
        <f>IF($D5430 &gt; 16, 0,$E5430*$J$5)</f>
        <v>0</v>
      </c>
      <c r="G5430">
        <f t="shared" si="84"/>
        <v>0</v>
      </c>
    </row>
    <row r="5431" spans="2:7" x14ac:dyDescent="0.35">
      <c r="B5431" s="1">
        <v>45884</v>
      </c>
      <c r="C5431" s="2">
        <v>0.20833333333333329</v>
      </c>
      <c r="D5431">
        <v>20</v>
      </c>
      <c r="E5431">
        <f>IF($D5431 &gt; 16, 0, $J$3*(16 - $D5431))</f>
        <v>0</v>
      </c>
      <c r="F5431">
        <f>IF($D5431 &gt; 16, 0,$E5431*$J$5)</f>
        <v>0</v>
      </c>
      <c r="G5431">
        <f t="shared" si="84"/>
        <v>0</v>
      </c>
    </row>
    <row r="5432" spans="2:7" x14ac:dyDescent="0.35">
      <c r="B5432" s="1">
        <v>45884</v>
      </c>
      <c r="C5432" s="2">
        <v>0.25</v>
      </c>
      <c r="D5432">
        <v>20.2</v>
      </c>
      <c r="E5432">
        <f>IF($D5432 &gt; 16, 0, $J$3*(16 - $D5432))</f>
        <v>0</v>
      </c>
      <c r="F5432">
        <f>IF($D5432 &gt; 16, 0,$E5432*$J$5)</f>
        <v>0</v>
      </c>
      <c r="G5432">
        <f t="shared" si="84"/>
        <v>0</v>
      </c>
    </row>
    <row r="5433" spans="2:7" x14ac:dyDescent="0.35">
      <c r="B5433" s="1">
        <v>45884</v>
      </c>
      <c r="C5433" s="2">
        <v>0.29166666666666669</v>
      </c>
      <c r="D5433">
        <v>21</v>
      </c>
      <c r="E5433">
        <f>IF($D5433 &gt; 16, 0, $J$3*(16 - $D5433))</f>
        <v>0</v>
      </c>
      <c r="F5433">
        <f>IF($D5433 &gt; 16, 0,$E5433*$J$5)</f>
        <v>0</v>
      </c>
      <c r="G5433">
        <f t="shared" si="84"/>
        <v>0</v>
      </c>
    </row>
    <row r="5434" spans="2:7" x14ac:dyDescent="0.35">
      <c r="B5434" s="1">
        <v>45884</v>
      </c>
      <c r="C5434" s="2">
        <v>0.33333333333333331</v>
      </c>
      <c r="D5434">
        <v>21.4</v>
      </c>
      <c r="E5434">
        <f>IF($D5434 &gt; 16, 0, $J$3*(16 - $D5434))</f>
        <v>0</v>
      </c>
      <c r="F5434">
        <f>IF($D5434 &gt; 16, 0,$E5434*$J$5)</f>
        <v>0</v>
      </c>
      <c r="G5434">
        <f t="shared" si="84"/>
        <v>0</v>
      </c>
    </row>
    <row r="5435" spans="2:7" x14ac:dyDescent="0.35">
      <c r="B5435" s="1">
        <v>45884</v>
      </c>
      <c r="C5435" s="2">
        <v>0.375</v>
      </c>
      <c r="D5435">
        <v>22.7</v>
      </c>
      <c r="E5435">
        <f>IF($D5435 &gt; 16, 0, $J$3*(16 - $D5435))</f>
        <v>0</v>
      </c>
      <c r="F5435">
        <f>IF($D5435 &gt; 16, 0,$E5435*$J$5)</f>
        <v>0</v>
      </c>
      <c r="G5435">
        <f t="shared" si="84"/>
        <v>0</v>
      </c>
    </row>
    <row r="5436" spans="2:7" x14ac:dyDescent="0.35">
      <c r="B5436" s="1">
        <v>45884</v>
      </c>
      <c r="C5436" s="2">
        <v>0.41666666666666669</v>
      </c>
      <c r="D5436">
        <v>23.7</v>
      </c>
      <c r="E5436">
        <f>IF($D5436 &gt; 16, 0, $J$3*(16 - $D5436))</f>
        <v>0</v>
      </c>
      <c r="F5436">
        <f>IF($D5436 &gt; 16, 0,$E5436*$J$5)</f>
        <v>0</v>
      </c>
      <c r="G5436">
        <f t="shared" si="84"/>
        <v>0</v>
      </c>
    </row>
    <row r="5437" spans="2:7" x14ac:dyDescent="0.35">
      <c r="B5437" s="1">
        <v>45884</v>
      </c>
      <c r="C5437" s="2">
        <v>0.45833333333333331</v>
      </c>
      <c r="D5437">
        <v>24.5</v>
      </c>
      <c r="E5437">
        <f>IF($D5437 &gt; 16, 0, $J$3*(16 - $D5437))</f>
        <v>0</v>
      </c>
      <c r="F5437">
        <f>IF($D5437 &gt; 16, 0,$E5437*$J$5)</f>
        <v>0</v>
      </c>
      <c r="G5437">
        <f t="shared" si="84"/>
        <v>0</v>
      </c>
    </row>
    <row r="5438" spans="2:7" x14ac:dyDescent="0.35">
      <c r="B5438" s="1">
        <v>45884</v>
      </c>
      <c r="C5438" s="2">
        <v>0.5</v>
      </c>
      <c r="D5438">
        <v>25.2</v>
      </c>
      <c r="E5438">
        <f>IF($D5438 &gt; 16, 0, $J$3*(16 - $D5438))</f>
        <v>0</v>
      </c>
      <c r="F5438">
        <f>IF($D5438 &gt; 16, 0,$E5438*$J$5)</f>
        <v>0</v>
      </c>
      <c r="G5438">
        <f t="shared" si="84"/>
        <v>0</v>
      </c>
    </row>
    <row r="5439" spans="2:7" x14ac:dyDescent="0.35">
      <c r="B5439" s="1">
        <v>45884</v>
      </c>
      <c r="C5439" s="2">
        <v>0.54166666666666663</v>
      </c>
      <c r="D5439">
        <v>25.4</v>
      </c>
      <c r="E5439">
        <f>IF($D5439 &gt; 16, 0, $J$3*(16 - $D5439))</f>
        <v>0</v>
      </c>
      <c r="F5439">
        <f>IF($D5439 &gt; 16, 0,$E5439*$J$5)</f>
        <v>0</v>
      </c>
      <c r="G5439">
        <f t="shared" si="84"/>
        <v>0</v>
      </c>
    </row>
    <row r="5440" spans="2:7" x14ac:dyDescent="0.35">
      <c r="B5440" s="1">
        <v>45884</v>
      </c>
      <c r="C5440" s="2">
        <v>0.58333333333333337</v>
      </c>
      <c r="D5440">
        <v>25.6</v>
      </c>
      <c r="E5440">
        <f>IF($D5440 &gt; 16, 0, $J$3*(16 - $D5440))</f>
        <v>0</v>
      </c>
      <c r="F5440">
        <f>IF($D5440 &gt; 16, 0,$E5440*$J$5)</f>
        <v>0</v>
      </c>
      <c r="G5440">
        <f t="shared" si="84"/>
        <v>0</v>
      </c>
    </row>
    <row r="5441" spans="2:7" x14ac:dyDescent="0.35">
      <c r="B5441" s="1">
        <v>45884</v>
      </c>
      <c r="C5441" s="2">
        <v>0.625</v>
      </c>
      <c r="D5441">
        <v>25.1</v>
      </c>
      <c r="E5441">
        <f>IF($D5441 &gt; 16, 0, $J$3*(16 - $D5441))</f>
        <v>0</v>
      </c>
      <c r="F5441">
        <f>IF($D5441 &gt; 16, 0,$E5441*$J$5)</f>
        <v>0</v>
      </c>
      <c r="G5441">
        <f t="shared" si="84"/>
        <v>0</v>
      </c>
    </row>
    <row r="5442" spans="2:7" x14ac:dyDescent="0.35">
      <c r="B5442" s="1">
        <v>45884</v>
      </c>
      <c r="C5442" s="2">
        <v>0.66666666666666663</v>
      </c>
      <c r="D5442">
        <v>24.5</v>
      </c>
      <c r="E5442">
        <f>IF($D5442 &gt; 16, 0, $J$3*(16 - $D5442))</f>
        <v>0</v>
      </c>
      <c r="F5442">
        <f>IF($D5442 &gt; 16, 0,$E5442*$J$5)</f>
        <v>0</v>
      </c>
      <c r="G5442">
        <f t="shared" si="84"/>
        <v>0</v>
      </c>
    </row>
    <row r="5443" spans="2:7" x14ac:dyDescent="0.35">
      <c r="B5443" s="1">
        <v>45884</v>
      </c>
      <c r="C5443" s="2">
        <v>0.70833333333333337</v>
      </c>
      <c r="D5443">
        <v>23.8</v>
      </c>
      <c r="E5443">
        <f>IF($D5443 &gt; 16, 0, $J$3*(16 - $D5443))</f>
        <v>0</v>
      </c>
      <c r="F5443">
        <f>IF($D5443 &gt; 16, 0,$E5443*$J$5)</f>
        <v>0</v>
      </c>
      <c r="G5443">
        <f t="shared" ref="G5443:G5506" si="85">MAX(0, 16 - $D5443)</f>
        <v>0</v>
      </c>
    </row>
    <row r="5444" spans="2:7" x14ac:dyDescent="0.35">
      <c r="B5444" s="1">
        <v>45884</v>
      </c>
      <c r="C5444" s="2">
        <v>0.75</v>
      </c>
      <c r="D5444">
        <v>21.7</v>
      </c>
      <c r="E5444">
        <f>IF($D5444 &gt; 16, 0, $J$3*(16 - $D5444))</f>
        <v>0</v>
      </c>
      <c r="F5444">
        <f>IF($D5444 &gt; 16, 0,$E5444*$J$5)</f>
        <v>0</v>
      </c>
      <c r="G5444">
        <f t="shared" si="85"/>
        <v>0</v>
      </c>
    </row>
    <row r="5445" spans="2:7" x14ac:dyDescent="0.35">
      <c r="B5445" s="1">
        <v>45884</v>
      </c>
      <c r="C5445" s="2">
        <v>0.79166666666666663</v>
      </c>
      <c r="D5445">
        <v>20.2</v>
      </c>
      <c r="E5445">
        <f>IF($D5445 &gt; 16, 0, $J$3*(16 - $D5445))</f>
        <v>0</v>
      </c>
      <c r="F5445">
        <f>IF($D5445 &gt; 16, 0,$E5445*$J$5)</f>
        <v>0</v>
      </c>
      <c r="G5445">
        <f t="shared" si="85"/>
        <v>0</v>
      </c>
    </row>
    <row r="5446" spans="2:7" x14ac:dyDescent="0.35">
      <c r="B5446" s="1">
        <v>45884</v>
      </c>
      <c r="C5446" s="2">
        <v>0.83333333333333337</v>
      </c>
      <c r="D5446">
        <v>19.5</v>
      </c>
      <c r="E5446">
        <f>IF($D5446 &gt; 16, 0, $J$3*(16 - $D5446))</f>
        <v>0</v>
      </c>
      <c r="F5446">
        <f>IF($D5446 &gt; 16, 0,$E5446*$J$5)</f>
        <v>0</v>
      </c>
      <c r="G5446">
        <f t="shared" si="85"/>
        <v>0</v>
      </c>
    </row>
    <row r="5447" spans="2:7" x14ac:dyDescent="0.35">
      <c r="B5447" s="1">
        <v>45884</v>
      </c>
      <c r="C5447" s="2">
        <v>0.875</v>
      </c>
      <c r="D5447">
        <v>19</v>
      </c>
      <c r="E5447">
        <f>IF($D5447 &gt; 16, 0, $J$3*(16 - $D5447))</f>
        <v>0</v>
      </c>
      <c r="F5447">
        <f>IF($D5447 &gt; 16, 0,$E5447*$J$5)</f>
        <v>0</v>
      </c>
      <c r="G5447">
        <f t="shared" si="85"/>
        <v>0</v>
      </c>
    </row>
    <row r="5448" spans="2:7" x14ac:dyDescent="0.35">
      <c r="B5448" s="1">
        <v>45884</v>
      </c>
      <c r="C5448" s="2">
        <v>0.91666666666666663</v>
      </c>
      <c r="D5448">
        <v>18.100000000000001</v>
      </c>
      <c r="E5448">
        <f>IF($D5448 &gt; 16, 0, $J$3*(16 - $D5448))</f>
        <v>0</v>
      </c>
      <c r="F5448">
        <f>IF($D5448 &gt; 16, 0,$E5448*$J$5)</f>
        <v>0</v>
      </c>
      <c r="G5448">
        <f t="shared" si="85"/>
        <v>0</v>
      </c>
    </row>
    <row r="5449" spans="2:7" x14ac:dyDescent="0.35">
      <c r="B5449" s="1">
        <v>45884</v>
      </c>
      <c r="C5449" s="2">
        <v>0.95833333333333337</v>
      </c>
      <c r="D5449">
        <v>18</v>
      </c>
      <c r="E5449">
        <f>IF($D5449 &gt; 16, 0, $J$3*(16 - $D5449))</f>
        <v>0</v>
      </c>
      <c r="F5449">
        <f>IF($D5449 &gt; 16, 0,$E5449*$J$5)</f>
        <v>0</v>
      </c>
      <c r="G5449">
        <f t="shared" si="85"/>
        <v>0</v>
      </c>
    </row>
    <row r="5450" spans="2:7" x14ac:dyDescent="0.35">
      <c r="B5450" s="1">
        <v>45885</v>
      </c>
      <c r="C5450" s="2">
        <v>0</v>
      </c>
      <c r="D5450">
        <v>18.100000000000001</v>
      </c>
      <c r="E5450">
        <f>IF($D5450 &gt; 16, 0, $J$3*(16 - $D5450))</f>
        <v>0</v>
      </c>
      <c r="F5450">
        <f>IF($D5450 &gt; 16, 0,$E5450*$J$5)</f>
        <v>0</v>
      </c>
      <c r="G5450">
        <f t="shared" si="85"/>
        <v>0</v>
      </c>
    </row>
    <row r="5451" spans="2:7" x14ac:dyDescent="0.35">
      <c r="B5451" s="1">
        <v>45885</v>
      </c>
      <c r="C5451" s="2">
        <v>4.1666666666666657E-2</v>
      </c>
      <c r="D5451">
        <v>18</v>
      </c>
      <c r="E5451">
        <f>IF($D5451 &gt; 16, 0, $J$3*(16 - $D5451))</f>
        <v>0</v>
      </c>
      <c r="F5451">
        <f>IF($D5451 &gt; 16, 0,$E5451*$J$5)</f>
        <v>0</v>
      </c>
      <c r="G5451">
        <f t="shared" si="85"/>
        <v>0</v>
      </c>
    </row>
    <row r="5452" spans="2:7" x14ac:dyDescent="0.35">
      <c r="B5452" s="1">
        <v>45885</v>
      </c>
      <c r="C5452" s="2">
        <v>8.3333333333333329E-2</v>
      </c>
      <c r="D5452">
        <v>17.5</v>
      </c>
      <c r="E5452">
        <f>IF($D5452 &gt; 16, 0, $J$3*(16 - $D5452))</f>
        <v>0</v>
      </c>
      <c r="F5452">
        <f>IF($D5452 &gt; 16, 0,$E5452*$J$5)</f>
        <v>0</v>
      </c>
      <c r="G5452">
        <f t="shared" si="85"/>
        <v>0</v>
      </c>
    </row>
    <row r="5453" spans="2:7" x14ac:dyDescent="0.35">
      <c r="B5453" s="1">
        <v>45885</v>
      </c>
      <c r="C5453" s="2">
        <v>0.125</v>
      </c>
      <c r="D5453">
        <v>16.899999999999999</v>
      </c>
      <c r="E5453">
        <f>IF($D5453 &gt; 16, 0, $J$3*(16 - $D5453))</f>
        <v>0</v>
      </c>
      <c r="F5453">
        <f>IF($D5453 &gt; 16, 0,$E5453*$J$5)</f>
        <v>0</v>
      </c>
      <c r="G5453">
        <f t="shared" si="85"/>
        <v>0</v>
      </c>
    </row>
    <row r="5454" spans="2:7" x14ac:dyDescent="0.35">
      <c r="B5454" s="1">
        <v>45885</v>
      </c>
      <c r="C5454" s="2">
        <v>0.16666666666666671</v>
      </c>
      <c r="D5454">
        <v>16.600000000000001</v>
      </c>
      <c r="E5454">
        <f>IF($D5454 &gt; 16, 0, $J$3*(16 - $D5454))</f>
        <v>0</v>
      </c>
      <c r="F5454">
        <f>IF($D5454 &gt; 16, 0,$E5454*$J$5)</f>
        <v>0</v>
      </c>
      <c r="G5454">
        <f t="shared" si="85"/>
        <v>0</v>
      </c>
    </row>
    <row r="5455" spans="2:7" x14ac:dyDescent="0.35">
      <c r="B5455" s="1">
        <v>45885</v>
      </c>
      <c r="C5455" s="2">
        <v>0.20833333333333329</v>
      </c>
      <c r="D5455">
        <v>16.399999999999999</v>
      </c>
      <c r="E5455">
        <f>IF($D5455 &gt; 16, 0, $J$3*(16 - $D5455))</f>
        <v>0</v>
      </c>
      <c r="F5455">
        <f>IF($D5455 &gt; 16, 0,$E5455*$J$5)</f>
        <v>0</v>
      </c>
      <c r="G5455">
        <f t="shared" si="85"/>
        <v>0</v>
      </c>
    </row>
    <row r="5456" spans="2:7" x14ac:dyDescent="0.35">
      <c r="B5456" s="1">
        <v>45885</v>
      </c>
      <c r="C5456" s="2">
        <v>0.25</v>
      </c>
      <c r="D5456">
        <v>16.2</v>
      </c>
      <c r="E5456">
        <f>IF($D5456 &gt; 16, 0, $J$3*(16 - $D5456))</f>
        <v>0</v>
      </c>
      <c r="F5456">
        <f>IF($D5456 &gt; 16, 0,$E5456*$J$5)</f>
        <v>0</v>
      </c>
      <c r="G5456">
        <f t="shared" si="85"/>
        <v>0</v>
      </c>
    </row>
    <row r="5457" spans="2:7" x14ac:dyDescent="0.35">
      <c r="B5457" s="1">
        <v>45885</v>
      </c>
      <c r="C5457" s="2">
        <v>0.29166666666666669</v>
      </c>
      <c r="D5457">
        <v>16.5</v>
      </c>
      <c r="E5457">
        <f>IF($D5457 &gt; 16, 0, $J$3*(16 - $D5457))</f>
        <v>0</v>
      </c>
      <c r="F5457">
        <f>IF($D5457 &gt; 16, 0,$E5457*$J$5)</f>
        <v>0</v>
      </c>
      <c r="G5457">
        <f t="shared" si="85"/>
        <v>0</v>
      </c>
    </row>
    <row r="5458" spans="2:7" x14ac:dyDescent="0.35">
      <c r="B5458" s="1">
        <v>45885</v>
      </c>
      <c r="C5458" s="2">
        <v>0.33333333333333331</v>
      </c>
      <c r="D5458">
        <v>17.600000000000001</v>
      </c>
      <c r="E5458">
        <f>IF($D5458 &gt; 16, 0, $J$3*(16 - $D5458))</f>
        <v>0</v>
      </c>
      <c r="F5458">
        <f>IF($D5458 &gt; 16, 0,$E5458*$J$5)</f>
        <v>0</v>
      </c>
      <c r="G5458">
        <f t="shared" si="85"/>
        <v>0</v>
      </c>
    </row>
    <row r="5459" spans="2:7" x14ac:dyDescent="0.35">
      <c r="B5459" s="1">
        <v>45885</v>
      </c>
      <c r="C5459" s="2">
        <v>0.375</v>
      </c>
      <c r="D5459">
        <v>18.7</v>
      </c>
      <c r="E5459">
        <f>IF($D5459 &gt; 16, 0, $J$3*(16 - $D5459))</f>
        <v>0</v>
      </c>
      <c r="F5459">
        <f>IF($D5459 &gt; 16, 0,$E5459*$J$5)</f>
        <v>0</v>
      </c>
      <c r="G5459">
        <f t="shared" si="85"/>
        <v>0</v>
      </c>
    </row>
    <row r="5460" spans="2:7" x14ac:dyDescent="0.35">
      <c r="B5460" s="1">
        <v>45885</v>
      </c>
      <c r="C5460" s="2">
        <v>0.41666666666666669</v>
      </c>
      <c r="D5460">
        <v>19.2</v>
      </c>
      <c r="E5460">
        <f>IF($D5460 &gt; 16, 0, $J$3*(16 - $D5460))</f>
        <v>0</v>
      </c>
      <c r="F5460">
        <f>IF($D5460 &gt; 16, 0,$E5460*$J$5)</f>
        <v>0</v>
      </c>
      <c r="G5460">
        <f t="shared" si="85"/>
        <v>0</v>
      </c>
    </row>
    <row r="5461" spans="2:7" x14ac:dyDescent="0.35">
      <c r="B5461" s="1">
        <v>45885</v>
      </c>
      <c r="C5461" s="2">
        <v>0.45833333333333331</v>
      </c>
      <c r="D5461">
        <v>19.5</v>
      </c>
      <c r="E5461">
        <f>IF($D5461 &gt; 16, 0, $J$3*(16 - $D5461))</f>
        <v>0</v>
      </c>
      <c r="F5461">
        <f>IF($D5461 &gt; 16, 0,$E5461*$J$5)</f>
        <v>0</v>
      </c>
      <c r="G5461">
        <f t="shared" si="85"/>
        <v>0</v>
      </c>
    </row>
    <row r="5462" spans="2:7" x14ac:dyDescent="0.35">
      <c r="B5462" s="1">
        <v>45885</v>
      </c>
      <c r="C5462" s="2">
        <v>0.5</v>
      </c>
      <c r="D5462">
        <v>19.5</v>
      </c>
      <c r="E5462">
        <f>IF($D5462 &gt; 16, 0, $J$3*(16 - $D5462))</f>
        <v>0</v>
      </c>
      <c r="F5462">
        <f>IF($D5462 &gt; 16, 0,$E5462*$J$5)</f>
        <v>0</v>
      </c>
      <c r="G5462">
        <f t="shared" si="85"/>
        <v>0</v>
      </c>
    </row>
    <row r="5463" spans="2:7" x14ac:dyDescent="0.35">
      <c r="B5463" s="1">
        <v>45885</v>
      </c>
      <c r="C5463" s="2">
        <v>0.54166666666666663</v>
      </c>
      <c r="D5463">
        <v>20.2</v>
      </c>
      <c r="E5463">
        <f>IF($D5463 &gt; 16, 0, $J$3*(16 - $D5463))</f>
        <v>0</v>
      </c>
      <c r="F5463">
        <f>IF($D5463 &gt; 16, 0,$E5463*$J$5)</f>
        <v>0</v>
      </c>
      <c r="G5463">
        <f t="shared" si="85"/>
        <v>0</v>
      </c>
    </row>
    <row r="5464" spans="2:7" x14ac:dyDescent="0.35">
      <c r="B5464" s="1">
        <v>45885</v>
      </c>
      <c r="C5464" s="2">
        <v>0.58333333333333337</v>
      </c>
      <c r="D5464">
        <v>19.600000000000001</v>
      </c>
      <c r="E5464">
        <f>IF($D5464 &gt; 16, 0, $J$3*(16 - $D5464))</f>
        <v>0</v>
      </c>
      <c r="F5464">
        <f>IF($D5464 &gt; 16, 0,$E5464*$J$5)</f>
        <v>0</v>
      </c>
      <c r="G5464">
        <f t="shared" si="85"/>
        <v>0</v>
      </c>
    </row>
    <row r="5465" spans="2:7" x14ac:dyDescent="0.35">
      <c r="B5465" s="1">
        <v>45885</v>
      </c>
      <c r="C5465" s="2">
        <v>0.625</v>
      </c>
      <c r="D5465">
        <v>19.8</v>
      </c>
      <c r="E5465">
        <f>IF($D5465 &gt; 16, 0, $J$3*(16 - $D5465))</f>
        <v>0</v>
      </c>
      <c r="F5465">
        <f>IF($D5465 &gt; 16, 0,$E5465*$J$5)</f>
        <v>0</v>
      </c>
      <c r="G5465">
        <f t="shared" si="85"/>
        <v>0</v>
      </c>
    </row>
    <row r="5466" spans="2:7" x14ac:dyDescent="0.35">
      <c r="B5466" s="1">
        <v>45885</v>
      </c>
      <c r="C5466" s="2">
        <v>0.66666666666666663</v>
      </c>
      <c r="D5466">
        <v>19</v>
      </c>
      <c r="E5466">
        <f>IF($D5466 &gt; 16, 0, $J$3*(16 - $D5466))</f>
        <v>0</v>
      </c>
      <c r="F5466">
        <f>IF($D5466 &gt; 16, 0,$E5466*$J$5)</f>
        <v>0</v>
      </c>
      <c r="G5466">
        <f t="shared" si="85"/>
        <v>0</v>
      </c>
    </row>
    <row r="5467" spans="2:7" x14ac:dyDescent="0.35">
      <c r="B5467" s="1">
        <v>45885</v>
      </c>
      <c r="C5467" s="2">
        <v>0.70833333333333337</v>
      </c>
      <c r="D5467">
        <v>18.2</v>
      </c>
      <c r="E5467">
        <f>IF($D5467 &gt; 16, 0, $J$3*(16 - $D5467))</f>
        <v>0</v>
      </c>
      <c r="F5467">
        <f>IF($D5467 &gt; 16, 0,$E5467*$J$5)</f>
        <v>0</v>
      </c>
      <c r="G5467">
        <f t="shared" si="85"/>
        <v>0</v>
      </c>
    </row>
    <row r="5468" spans="2:7" x14ac:dyDescent="0.35">
      <c r="B5468" s="1">
        <v>45885</v>
      </c>
      <c r="C5468" s="2">
        <v>0.75</v>
      </c>
      <c r="D5468">
        <v>17.2</v>
      </c>
      <c r="E5468">
        <f>IF($D5468 &gt; 16, 0, $J$3*(16 - $D5468))</f>
        <v>0</v>
      </c>
      <c r="F5468">
        <f>IF($D5468 &gt; 16, 0,$E5468*$J$5)</f>
        <v>0</v>
      </c>
      <c r="G5468">
        <f t="shared" si="85"/>
        <v>0</v>
      </c>
    </row>
    <row r="5469" spans="2:7" x14ac:dyDescent="0.35">
      <c r="B5469" s="1">
        <v>45885</v>
      </c>
      <c r="C5469" s="2">
        <v>0.79166666666666663</v>
      </c>
      <c r="D5469">
        <v>15.8</v>
      </c>
      <c r="E5469">
        <f>IF($D5469 &gt; 16, 0, $J$3*(16 - $D5469))</f>
        <v>41.549728540139249</v>
      </c>
      <c r="F5469">
        <f>IF($D5469 &gt; 16, 0,$E5469*$J$5)</f>
        <v>451603.99950277351</v>
      </c>
      <c r="G5469">
        <f t="shared" si="85"/>
        <v>0.19999999999999929</v>
      </c>
    </row>
    <row r="5470" spans="2:7" x14ac:dyDescent="0.35">
      <c r="B5470" s="1">
        <v>45885</v>
      </c>
      <c r="C5470" s="2">
        <v>0.83333333333333337</v>
      </c>
      <c r="D5470">
        <v>14.6</v>
      </c>
      <c r="E5470">
        <f>IF($D5470 &gt; 16, 0, $J$3*(16 - $D5470))</f>
        <v>290.84809978097587</v>
      </c>
      <c r="F5470">
        <f>IF($D5470 &gt; 16, 0,$E5470*$J$5)</f>
        <v>3161227.9965194268</v>
      </c>
      <c r="G5470">
        <f t="shared" si="85"/>
        <v>1.4000000000000004</v>
      </c>
    </row>
    <row r="5471" spans="2:7" x14ac:dyDescent="0.35">
      <c r="B5471" s="1">
        <v>45885</v>
      </c>
      <c r="C5471" s="2">
        <v>0.875</v>
      </c>
      <c r="D5471">
        <v>14.1</v>
      </c>
      <c r="E5471">
        <f>IF($D5471 &gt; 16, 0, $J$3*(16 - $D5471))</f>
        <v>394.72242113132438</v>
      </c>
      <c r="F5471">
        <f>IF($D5471 &gt; 16, 0,$E5471*$J$5)</f>
        <v>4290237.9952763645</v>
      </c>
      <c r="G5471">
        <f t="shared" si="85"/>
        <v>1.9000000000000004</v>
      </c>
    </row>
    <row r="5472" spans="2:7" x14ac:dyDescent="0.35">
      <c r="B5472" s="1">
        <v>45885</v>
      </c>
      <c r="C5472" s="2">
        <v>0.91666666666666663</v>
      </c>
      <c r="D5472">
        <v>13.8</v>
      </c>
      <c r="E5472">
        <f>IF($D5472 &gt; 16, 0, $J$3*(16 - $D5472))</f>
        <v>457.04701394153324</v>
      </c>
      <c r="F5472">
        <f>IF($D5472 &gt; 16, 0,$E5472*$J$5)</f>
        <v>4967643.9945305251</v>
      </c>
      <c r="G5472">
        <f t="shared" si="85"/>
        <v>2.1999999999999993</v>
      </c>
    </row>
    <row r="5473" spans="2:7" x14ac:dyDescent="0.35">
      <c r="B5473" s="1">
        <v>45885</v>
      </c>
      <c r="C5473" s="2">
        <v>0.95833333333333337</v>
      </c>
      <c r="D5473">
        <v>13.6</v>
      </c>
      <c r="E5473">
        <f>IF($D5473 &gt; 16, 0, $J$3*(16 - $D5473))</f>
        <v>498.59674248167283</v>
      </c>
      <c r="F5473">
        <f>IF($D5473 &gt; 16, 0,$E5473*$J$5)</f>
        <v>5419247.9940333022</v>
      </c>
      <c r="G5473">
        <f t="shared" si="85"/>
        <v>2.4000000000000004</v>
      </c>
    </row>
    <row r="5474" spans="2:7" x14ac:dyDescent="0.35">
      <c r="B5474" s="1">
        <v>45886</v>
      </c>
      <c r="C5474" s="2">
        <v>0</v>
      </c>
      <c r="D5474">
        <v>14.3</v>
      </c>
      <c r="E5474">
        <f>IF($D5474 &gt; 16, 0, $J$3*(16 - $D5474))</f>
        <v>353.17269259118473</v>
      </c>
      <c r="F5474">
        <f>IF($D5474 &gt; 16, 0,$E5474*$J$5)</f>
        <v>3838633.9957735869</v>
      </c>
      <c r="G5474">
        <f t="shared" si="85"/>
        <v>1.6999999999999993</v>
      </c>
    </row>
    <row r="5475" spans="2:7" x14ac:dyDescent="0.35">
      <c r="B5475" s="1">
        <v>45886</v>
      </c>
      <c r="C5475" s="2">
        <v>4.1666666666666657E-2</v>
      </c>
      <c r="D5475">
        <v>14.7</v>
      </c>
      <c r="E5475">
        <f>IF($D5475 &gt; 16, 0, $J$3*(16 - $D5475))</f>
        <v>270.07323551090622</v>
      </c>
      <c r="F5475">
        <f>IF($D5475 &gt; 16, 0,$E5475*$J$5)</f>
        <v>2935425.9967680397</v>
      </c>
      <c r="G5475">
        <f t="shared" si="85"/>
        <v>1.3000000000000007</v>
      </c>
    </row>
    <row r="5476" spans="2:7" x14ac:dyDescent="0.35">
      <c r="B5476" s="1">
        <v>45886</v>
      </c>
      <c r="C5476" s="2">
        <v>8.3333333333333329E-2</v>
      </c>
      <c r="D5476">
        <v>14.8</v>
      </c>
      <c r="E5476">
        <f>IF($D5476 &gt; 16, 0, $J$3*(16 - $D5476))</f>
        <v>249.29837124083625</v>
      </c>
      <c r="F5476">
        <f>IF($D5476 &gt; 16, 0,$E5476*$J$5)</f>
        <v>2709623.9970166492</v>
      </c>
      <c r="G5476">
        <f t="shared" si="85"/>
        <v>1.1999999999999993</v>
      </c>
    </row>
    <row r="5477" spans="2:7" x14ac:dyDescent="0.35">
      <c r="B5477" s="1">
        <v>45886</v>
      </c>
      <c r="C5477" s="2">
        <v>0.125</v>
      </c>
      <c r="D5477">
        <v>14.9</v>
      </c>
      <c r="E5477">
        <f>IF($D5477 &gt; 16, 0, $J$3*(16 - $D5477))</f>
        <v>228.52350697076662</v>
      </c>
      <c r="F5477">
        <f>IF($D5477 &gt; 16, 0,$E5477*$J$5)</f>
        <v>2483821.9972652625</v>
      </c>
      <c r="G5477">
        <f t="shared" si="85"/>
        <v>1.0999999999999996</v>
      </c>
    </row>
    <row r="5478" spans="2:7" x14ac:dyDescent="0.35">
      <c r="B5478" s="1">
        <v>45886</v>
      </c>
      <c r="C5478" s="2">
        <v>0.16666666666666671</v>
      </c>
      <c r="D5478">
        <v>14.3</v>
      </c>
      <c r="E5478">
        <f>IF($D5478 &gt; 16, 0, $J$3*(16 - $D5478))</f>
        <v>353.17269259118473</v>
      </c>
      <c r="F5478">
        <f>IF($D5478 &gt; 16, 0,$E5478*$J$5)</f>
        <v>3838633.9957735869</v>
      </c>
      <c r="G5478">
        <f t="shared" si="85"/>
        <v>1.6999999999999993</v>
      </c>
    </row>
    <row r="5479" spans="2:7" x14ac:dyDescent="0.35">
      <c r="B5479" s="1">
        <v>45886</v>
      </c>
      <c r="C5479" s="2">
        <v>0.20833333333333329</v>
      </c>
      <c r="D5479">
        <v>14.1</v>
      </c>
      <c r="E5479">
        <f>IF($D5479 &gt; 16, 0, $J$3*(16 - $D5479))</f>
        <v>394.72242113132438</v>
      </c>
      <c r="F5479">
        <f>IF($D5479 &gt; 16, 0,$E5479*$J$5)</f>
        <v>4290237.9952763645</v>
      </c>
      <c r="G5479">
        <f t="shared" si="85"/>
        <v>1.9000000000000004</v>
      </c>
    </row>
    <row r="5480" spans="2:7" x14ac:dyDescent="0.35">
      <c r="B5480" s="1">
        <v>45886</v>
      </c>
      <c r="C5480" s="2">
        <v>0.25</v>
      </c>
      <c r="D5480">
        <v>15.2</v>
      </c>
      <c r="E5480">
        <f>IF($D5480 &gt; 16, 0, $J$3*(16 - $D5480))</f>
        <v>166.19891416055773</v>
      </c>
      <c r="F5480">
        <f>IF($D5480 &gt; 16, 0,$E5480*$J$5)</f>
        <v>1806415.998011102</v>
      </c>
      <c r="G5480">
        <f t="shared" si="85"/>
        <v>0.80000000000000071</v>
      </c>
    </row>
    <row r="5481" spans="2:7" x14ac:dyDescent="0.35">
      <c r="B5481" s="1">
        <v>45886</v>
      </c>
      <c r="C5481" s="2">
        <v>0.29166666666666669</v>
      </c>
      <c r="D5481">
        <v>16.100000000000001</v>
      </c>
      <c r="E5481">
        <f>IF($D5481 &gt; 16, 0, $J$3*(16 - $D5481))</f>
        <v>0</v>
      </c>
      <c r="F5481">
        <f>IF($D5481 &gt; 16, 0,$E5481*$J$5)</f>
        <v>0</v>
      </c>
      <c r="G5481">
        <f t="shared" si="85"/>
        <v>0</v>
      </c>
    </row>
    <row r="5482" spans="2:7" x14ac:dyDescent="0.35">
      <c r="B5482" s="1">
        <v>45886</v>
      </c>
      <c r="C5482" s="2">
        <v>0.33333333333333331</v>
      </c>
      <c r="D5482">
        <v>17</v>
      </c>
      <c r="E5482">
        <f>IF($D5482 &gt; 16, 0, $J$3*(16 - $D5482))</f>
        <v>0</v>
      </c>
      <c r="F5482">
        <f>IF($D5482 &gt; 16, 0,$E5482*$J$5)</f>
        <v>0</v>
      </c>
      <c r="G5482">
        <f t="shared" si="85"/>
        <v>0</v>
      </c>
    </row>
    <row r="5483" spans="2:7" x14ac:dyDescent="0.35">
      <c r="B5483" s="1">
        <v>45886</v>
      </c>
      <c r="C5483" s="2">
        <v>0.375</v>
      </c>
      <c r="D5483">
        <v>18.2</v>
      </c>
      <c r="E5483">
        <f>IF($D5483 &gt; 16, 0, $J$3*(16 - $D5483))</f>
        <v>0</v>
      </c>
      <c r="F5483">
        <f>IF($D5483 &gt; 16, 0,$E5483*$J$5)</f>
        <v>0</v>
      </c>
      <c r="G5483">
        <f t="shared" si="85"/>
        <v>0</v>
      </c>
    </row>
    <row r="5484" spans="2:7" x14ac:dyDescent="0.35">
      <c r="B5484" s="1">
        <v>45886</v>
      </c>
      <c r="C5484" s="2">
        <v>0.41666666666666669</v>
      </c>
      <c r="D5484">
        <v>19.5</v>
      </c>
      <c r="E5484">
        <f>IF($D5484 &gt; 16, 0, $J$3*(16 - $D5484))</f>
        <v>0</v>
      </c>
      <c r="F5484">
        <f>IF($D5484 &gt; 16, 0,$E5484*$J$5)</f>
        <v>0</v>
      </c>
      <c r="G5484">
        <f t="shared" si="85"/>
        <v>0</v>
      </c>
    </row>
    <row r="5485" spans="2:7" x14ac:dyDescent="0.35">
      <c r="B5485" s="1">
        <v>45886</v>
      </c>
      <c r="C5485" s="2">
        <v>0.45833333333333331</v>
      </c>
      <c r="D5485">
        <v>20.7</v>
      </c>
      <c r="E5485">
        <f>IF($D5485 &gt; 16, 0, $J$3*(16 - $D5485))</f>
        <v>0</v>
      </c>
      <c r="F5485">
        <f>IF($D5485 &gt; 16, 0,$E5485*$J$5)</f>
        <v>0</v>
      </c>
      <c r="G5485">
        <f t="shared" si="85"/>
        <v>0</v>
      </c>
    </row>
    <row r="5486" spans="2:7" x14ac:dyDescent="0.35">
      <c r="B5486" s="1">
        <v>45886</v>
      </c>
      <c r="C5486" s="2">
        <v>0.5</v>
      </c>
      <c r="D5486">
        <v>20.3</v>
      </c>
      <c r="E5486">
        <f>IF($D5486 &gt; 16, 0, $J$3*(16 - $D5486))</f>
        <v>0</v>
      </c>
      <c r="F5486">
        <f>IF($D5486 &gt; 16, 0,$E5486*$J$5)</f>
        <v>0</v>
      </c>
      <c r="G5486">
        <f t="shared" si="85"/>
        <v>0</v>
      </c>
    </row>
    <row r="5487" spans="2:7" x14ac:dyDescent="0.35">
      <c r="B5487" s="1">
        <v>45886</v>
      </c>
      <c r="C5487" s="2">
        <v>0.54166666666666663</v>
      </c>
      <c r="D5487">
        <v>21.7</v>
      </c>
      <c r="E5487">
        <f>IF($D5487 &gt; 16, 0, $J$3*(16 - $D5487))</f>
        <v>0</v>
      </c>
      <c r="F5487">
        <f>IF($D5487 &gt; 16, 0,$E5487*$J$5)</f>
        <v>0</v>
      </c>
      <c r="G5487">
        <f t="shared" si="85"/>
        <v>0</v>
      </c>
    </row>
    <row r="5488" spans="2:7" x14ac:dyDescent="0.35">
      <c r="B5488" s="1">
        <v>45886</v>
      </c>
      <c r="C5488" s="2">
        <v>0.58333333333333337</v>
      </c>
      <c r="D5488">
        <v>22.2</v>
      </c>
      <c r="E5488">
        <f>IF($D5488 &gt; 16, 0, $J$3*(16 - $D5488))</f>
        <v>0</v>
      </c>
      <c r="F5488">
        <f>IF($D5488 &gt; 16, 0,$E5488*$J$5)</f>
        <v>0</v>
      </c>
      <c r="G5488">
        <f t="shared" si="85"/>
        <v>0</v>
      </c>
    </row>
    <row r="5489" spans="2:7" x14ac:dyDescent="0.35">
      <c r="B5489" s="1">
        <v>45886</v>
      </c>
      <c r="C5489" s="2">
        <v>0.625</v>
      </c>
      <c r="D5489">
        <v>23</v>
      </c>
      <c r="E5489">
        <f>IF($D5489 &gt; 16, 0, $J$3*(16 - $D5489))</f>
        <v>0</v>
      </c>
      <c r="F5489">
        <f>IF($D5489 &gt; 16, 0,$E5489*$J$5)</f>
        <v>0</v>
      </c>
      <c r="G5489">
        <f t="shared" si="85"/>
        <v>0</v>
      </c>
    </row>
    <row r="5490" spans="2:7" x14ac:dyDescent="0.35">
      <c r="B5490" s="1">
        <v>45886</v>
      </c>
      <c r="C5490" s="2">
        <v>0.66666666666666663</v>
      </c>
      <c r="D5490">
        <v>22.5</v>
      </c>
      <c r="E5490">
        <f>IF($D5490 &gt; 16, 0, $J$3*(16 - $D5490))</f>
        <v>0</v>
      </c>
      <c r="F5490">
        <f>IF($D5490 &gt; 16, 0,$E5490*$J$5)</f>
        <v>0</v>
      </c>
      <c r="G5490">
        <f t="shared" si="85"/>
        <v>0</v>
      </c>
    </row>
    <row r="5491" spans="2:7" x14ac:dyDescent="0.35">
      <c r="B5491" s="1">
        <v>45886</v>
      </c>
      <c r="C5491" s="2">
        <v>0.70833333333333337</v>
      </c>
      <c r="D5491">
        <v>22.2</v>
      </c>
      <c r="E5491">
        <f>IF($D5491 &gt; 16, 0, $J$3*(16 - $D5491))</f>
        <v>0</v>
      </c>
      <c r="F5491">
        <f>IF($D5491 &gt; 16, 0,$E5491*$J$5)</f>
        <v>0</v>
      </c>
      <c r="G5491">
        <f t="shared" si="85"/>
        <v>0</v>
      </c>
    </row>
    <row r="5492" spans="2:7" x14ac:dyDescent="0.35">
      <c r="B5492" s="1">
        <v>45886</v>
      </c>
      <c r="C5492" s="2">
        <v>0.75</v>
      </c>
      <c r="D5492">
        <v>21.2</v>
      </c>
      <c r="E5492">
        <f>IF($D5492 &gt; 16, 0, $J$3*(16 - $D5492))</f>
        <v>0</v>
      </c>
      <c r="F5492">
        <f>IF($D5492 &gt; 16, 0,$E5492*$J$5)</f>
        <v>0</v>
      </c>
      <c r="G5492">
        <f t="shared" si="85"/>
        <v>0</v>
      </c>
    </row>
    <row r="5493" spans="2:7" x14ac:dyDescent="0.35">
      <c r="B5493" s="1">
        <v>45886</v>
      </c>
      <c r="C5493" s="2">
        <v>0.79166666666666663</v>
      </c>
      <c r="D5493">
        <v>17</v>
      </c>
      <c r="E5493">
        <f>IF($D5493 &gt; 16, 0, $J$3*(16 - $D5493))</f>
        <v>0</v>
      </c>
      <c r="F5493">
        <f>IF($D5493 &gt; 16, 0,$E5493*$J$5)</f>
        <v>0</v>
      </c>
      <c r="G5493">
        <f t="shared" si="85"/>
        <v>0</v>
      </c>
    </row>
    <row r="5494" spans="2:7" x14ac:dyDescent="0.35">
      <c r="B5494" s="1">
        <v>45886</v>
      </c>
      <c r="C5494" s="2">
        <v>0.83333333333333337</v>
      </c>
      <c r="D5494">
        <v>15.3</v>
      </c>
      <c r="E5494">
        <f>IF($D5494 &gt; 16, 0, $J$3*(16 - $D5494))</f>
        <v>145.42404989048774</v>
      </c>
      <c r="F5494">
        <f>IF($D5494 &gt; 16, 0,$E5494*$J$5)</f>
        <v>1580613.9982597113</v>
      </c>
      <c r="G5494">
        <f t="shared" si="85"/>
        <v>0.69999999999999929</v>
      </c>
    </row>
    <row r="5495" spans="2:7" x14ac:dyDescent="0.35">
      <c r="B5495" s="1">
        <v>45886</v>
      </c>
      <c r="C5495" s="2">
        <v>0.875</v>
      </c>
      <c r="D5495">
        <v>14.2</v>
      </c>
      <c r="E5495">
        <f>IF($D5495 &gt; 16, 0, $J$3*(16 - $D5495))</f>
        <v>373.94755686125472</v>
      </c>
      <c r="F5495">
        <f>IF($D5495 &gt; 16, 0,$E5495*$J$5)</f>
        <v>4064435.9955249778</v>
      </c>
      <c r="G5495">
        <f t="shared" si="85"/>
        <v>1.8000000000000007</v>
      </c>
    </row>
    <row r="5496" spans="2:7" x14ac:dyDescent="0.35">
      <c r="B5496" s="1">
        <v>45886</v>
      </c>
      <c r="C5496" s="2">
        <v>0.91666666666666663</v>
      </c>
      <c r="D5496">
        <v>13.6</v>
      </c>
      <c r="E5496">
        <f>IF($D5496 &gt; 16, 0, $J$3*(16 - $D5496))</f>
        <v>498.59674248167283</v>
      </c>
      <c r="F5496">
        <f>IF($D5496 &gt; 16, 0,$E5496*$J$5)</f>
        <v>5419247.9940333022</v>
      </c>
      <c r="G5496">
        <f t="shared" si="85"/>
        <v>2.4000000000000004</v>
      </c>
    </row>
    <row r="5497" spans="2:7" x14ac:dyDescent="0.35">
      <c r="B5497" s="1">
        <v>45886</v>
      </c>
      <c r="C5497" s="2">
        <v>0.95833333333333337</v>
      </c>
      <c r="D5497">
        <v>12.6</v>
      </c>
      <c r="E5497">
        <f>IF($D5497 &gt; 16, 0, $J$3*(16 - $D5497))</f>
        <v>706.3453851823698</v>
      </c>
      <c r="F5497">
        <f>IF($D5497 &gt; 16, 0,$E5497*$J$5)</f>
        <v>7677267.9915471775</v>
      </c>
      <c r="G5497">
        <f t="shared" si="85"/>
        <v>3.4000000000000004</v>
      </c>
    </row>
    <row r="5498" spans="2:7" x14ac:dyDescent="0.35">
      <c r="B5498" s="1">
        <v>45887</v>
      </c>
      <c r="C5498" s="2">
        <v>0</v>
      </c>
      <c r="D5498">
        <v>11.9</v>
      </c>
      <c r="E5498">
        <f>IF($D5498 &gt; 16, 0, $J$3*(16 - $D5498))</f>
        <v>851.76943507285762</v>
      </c>
      <c r="F5498">
        <f>IF($D5498 &gt; 16, 0,$E5498*$J$5)</f>
        <v>9257881.9898068886</v>
      </c>
      <c r="G5498">
        <f t="shared" si="85"/>
        <v>4.0999999999999996</v>
      </c>
    </row>
    <row r="5499" spans="2:7" x14ac:dyDescent="0.35">
      <c r="B5499" s="1">
        <v>45887</v>
      </c>
      <c r="C5499" s="2">
        <v>4.1666666666666657E-2</v>
      </c>
      <c r="D5499">
        <v>11.4</v>
      </c>
      <c r="E5499">
        <f>IF($D5499 &gt; 16, 0, $J$3*(16 - $D5499))</f>
        <v>955.64375642320613</v>
      </c>
      <c r="F5499">
        <f>IF($D5499 &gt; 16, 0,$E5499*$J$5)</f>
        <v>10386891.988563828</v>
      </c>
      <c r="G5499">
        <f t="shared" si="85"/>
        <v>4.5999999999999996</v>
      </c>
    </row>
    <row r="5500" spans="2:7" x14ac:dyDescent="0.35">
      <c r="B5500" s="1">
        <v>45887</v>
      </c>
      <c r="C5500" s="2">
        <v>8.3333333333333329E-2</v>
      </c>
      <c r="D5500">
        <v>11.3</v>
      </c>
      <c r="E5500">
        <f>IF($D5500 &gt; 16, 0, $J$3*(16 - $D5500))</f>
        <v>976.41862069327567</v>
      </c>
      <c r="F5500">
        <f>IF($D5500 &gt; 16, 0,$E5500*$J$5)</f>
        <v>10612693.988315213</v>
      </c>
      <c r="G5500">
        <f t="shared" si="85"/>
        <v>4.6999999999999993</v>
      </c>
    </row>
    <row r="5501" spans="2:7" x14ac:dyDescent="0.35">
      <c r="B5501" s="1">
        <v>45887</v>
      </c>
      <c r="C5501" s="2">
        <v>0.125</v>
      </c>
      <c r="D5501">
        <v>10.6</v>
      </c>
      <c r="E5501">
        <f>IF($D5501 &gt; 16, 0, $J$3*(16 - $D5501))</f>
        <v>1121.8426705837637</v>
      </c>
      <c r="F5501">
        <f>IF($D5501 &gt; 16, 0,$E5501*$J$5)</f>
        <v>12193307.986574927</v>
      </c>
      <c r="G5501">
        <f t="shared" si="85"/>
        <v>5.4</v>
      </c>
    </row>
    <row r="5502" spans="2:7" x14ac:dyDescent="0.35">
      <c r="B5502" s="1">
        <v>45887</v>
      </c>
      <c r="C5502" s="2">
        <v>0.16666666666666671</v>
      </c>
      <c r="D5502">
        <v>10.199999999999999</v>
      </c>
      <c r="E5502">
        <f>IF($D5502 &gt; 16, 0, $J$3*(16 - $D5502))</f>
        <v>1204.9421276640428</v>
      </c>
      <c r="F5502">
        <f>IF($D5502 &gt; 16, 0,$E5502*$J$5)</f>
        <v>13096515.985580482</v>
      </c>
      <c r="G5502">
        <f t="shared" si="85"/>
        <v>5.8000000000000007</v>
      </c>
    </row>
    <row r="5503" spans="2:7" x14ac:dyDescent="0.35">
      <c r="B5503" s="1">
        <v>45887</v>
      </c>
      <c r="C5503" s="2">
        <v>0.20833333333333329</v>
      </c>
      <c r="D5503">
        <v>10.5</v>
      </c>
      <c r="E5503">
        <f>IF($D5503 &gt; 16, 0, $J$3*(16 - $D5503))</f>
        <v>1142.6175348538334</v>
      </c>
      <c r="F5503">
        <f>IF($D5503 &gt; 16, 0,$E5503*$J$5)</f>
        <v>12419109.986326315</v>
      </c>
      <c r="G5503">
        <f t="shared" si="85"/>
        <v>5.5</v>
      </c>
    </row>
    <row r="5504" spans="2:7" x14ac:dyDescent="0.35">
      <c r="B5504" s="1">
        <v>45887</v>
      </c>
      <c r="C5504" s="2">
        <v>0.25</v>
      </c>
      <c r="D5504">
        <v>15.2</v>
      </c>
      <c r="E5504">
        <f>IF($D5504 &gt; 16, 0, $J$3*(16 - $D5504))</f>
        <v>166.19891416055773</v>
      </c>
      <c r="F5504">
        <f>IF($D5504 &gt; 16, 0,$E5504*$J$5)</f>
        <v>1806415.998011102</v>
      </c>
      <c r="G5504">
        <f t="shared" si="85"/>
        <v>0.80000000000000071</v>
      </c>
    </row>
    <row r="5505" spans="2:7" x14ac:dyDescent="0.35">
      <c r="B5505" s="1">
        <v>45887</v>
      </c>
      <c r="C5505" s="2">
        <v>0.29166666666666669</v>
      </c>
      <c r="D5505">
        <v>18.399999999999999</v>
      </c>
      <c r="E5505">
        <f>IF($D5505 &gt; 16, 0, $J$3*(16 - $D5505))</f>
        <v>0</v>
      </c>
      <c r="F5505">
        <f>IF($D5505 &gt; 16, 0,$E5505*$J$5)</f>
        <v>0</v>
      </c>
      <c r="G5505">
        <f t="shared" si="85"/>
        <v>0</v>
      </c>
    </row>
    <row r="5506" spans="2:7" x14ac:dyDescent="0.35">
      <c r="B5506" s="1">
        <v>45887</v>
      </c>
      <c r="C5506" s="2">
        <v>0.33333333333333331</v>
      </c>
      <c r="D5506">
        <v>19.3</v>
      </c>
      <c r="E5506">
        <f>IF($D5506 &gt; 16, 0, $J$3*(16 - $D5506))</f>
        <v>0</v>
      </c>
      <c r="F5506">
        <f>IF($D5506 &gt; 16, 0,$E5506*$J$5)</f>
        <v>0</v>
      </c>
      <c r="G5506">
        <f t="shared" si="85"/>
        <v>0</v>
      </c>
    </row>
    <row r="5507" spans="2:7" x14ac:dyDescent="0.35">
      <c r="B5507" s="1">
        <v>45887</v>
      </c>
      <c r="C5507" s="2">
        <v>0.375</v>
      </c>
      <c r="D5507">
        <v>20.2</v>
      </c>
      <c r="E5507">
        <f>IF($D5507 &gt; 16, 0, $J$3*(16 - $D5507))</f>
        <v>0</v>
      </c>
      <c r="F5507">
        <f>IF($D5507 &gt; 16, 0,$E5507*$J$5)</f>
        <v>0</v>
      </c>
      <c r="G5507">
        <f t="shared" ref="G5507:G5570" si="86">MAX(0, 16 - $D5507)</f>
        <v>0</v>
      </c>
    </row>
    <row r="5508" spans="2:7" x14ac:dyDescent="0.35">
      <c r="B5508" s="1">
        <v>45887</v>
      </c>
      <c r="C5508" s="2">
        <v>0.41666666666666669</v>
      </c>
      <c r="D5508">
        <v>21.2</v>
      </c>
      <c r="E5508">
        <f>IF($D5508 &gt; 16, 0, $J$3*(16 - $D5508))</f>
        <v>0</v>
      </c>
      <c r="F5508">
        <f>IF($D5508 &gt; 16, 0,$E5508*$J$5)</f>
        <v>0</v>
      </c>
      <c r="G5508">
        <f t="shared" si="86"/>
        <v>0</v>
      </c>
    </row>
    <row r="5509" spans="2:7" x14ac:dyDescent="0.35">
      <c r="B5509" s="1">
        <v>45887</v>
      </c>
      <c r="C5509" s="2">
        <v>0.45833333333333331</v>
      </c>
      <c r="D5509">
        <v>22.2</v>
      </c>
      <c r="E5509">
        <f>IF($D5509 &gt; 16, 0, $J$3*(16 - $D5509))</f>
        <v>0</v>
      </c>
      <c r="F5509">
        <f>IF($D5509 &gt; 16, 0,$E5509*$J$5)</f>
        <v>0</v>
      </c>
      <c r="G5509">
        <f t="shared" si="86"/>
        <v>0</v>
      </c>
    </row>
    <row r="5510" spans="2:7" x14ac:dyDescent="0.35">
      <c r="B5510" s="1">
        <v>45887</v>
      </c>
      <c r="C5510" s="2">
        <v>0.5</v>
      </c>
      <c r="D5510">
        <v>22.9</v>
      </c>
      <c r="E5510">
        <f>IF($D5510 &gt; 16, 0, $J$3*(16 - $D5510))</f>
        <v>0</v>
      </c>
      <c r="F5510">
        <f>IF($D5510 &gt; 16, 0,$E5510*$J$5)</f>
        <v>0</v>
      </c>
      <c r="G5510">
        <f t="shared" si="86"/>
        <v>0</v>
      </c>
    </row>
    <row r="5511" spans="2:7" x14ac:dyDescent="0.35">
      <c r="B5511" s="1">
        <v>45887</v>
      </c>
      <c r="C5511" s="2">
        <v>0.54166666666666663</v>
      </c>
      <c r="D5511">
        <v>23.5</v>
      </c>
      <c r="E5511">
        <f>IF($D5511 &gt; 16, 0, $J$3*(16 - $D5511))</f>
        <v>0</v>
      </c>
      <c r="F5511">
        <f>IF($D5511 &gt; 16, 0,$E5511*$J$5)</f>
        <v>0</v>
      </c>
      <c r="G5511">
        <f t="shared" si="86"/>
        <v>0</v>
      </c>
    </row>
    <row r="5512" spans="2:7" x14ac:dyDescent="0.35">
      <c r="B5512" s="1">
        <v>45887</v>
      </c>
      <c r="C5512" s="2">
        <v>0.58333333333333337</v>
      </c>
      <c r="D5512">
        <v>23.8</v>
      </c>
      <c r="E5512">
        <f>IF($D5512 &gt; 16, 0, $J$3*(16 - $D5512))</f>
        <v>0</v>
      </c>
      <c r="F5512">
        <f>IF($D5512 &gt; 16, 0,$E5512*$J$5)</f>
        <v>0</v>
      </c>
      <c r="G5512">
        <f t="shared" si="86"/>
        <v>0</v>
      </c>
    </row>
    <row r="5513" spans="2:7" x14ac:dyDescent="0.35">
      <c r="B5513" s="1">
        <v>45887</v>
      </c>
      <c r="C5513" s="2">
        <v>0.625</v>
      </c>
      <c r="D5513">
        <v>24</v>
      </c>
      <c r="E5513">
        <f>IF($D5513 &gt; 16, 0, $J$3*(16 - $D5513))</f>
        <v>0</v>
      </c>
      <c r="F5513">
        <f>IF($D5513 &gt; 16, 0,$E5513*$J$5)</f>
        <v>0</v>
      </c>
      <c r="G5513">
        <f t="shared" si="86"/>
        <v>0</v>
      </c>
    </row>
    <row r="5514" spans="2:7" x14ac:dyDescent="0.35">
      <c r="B5514" s="1">
        <v>45887</v>
      </c>
      <c r="C5514" s="2">
        <v>0.66666666666666663</v>
      </c>
      <c r="D5514">
        <v>24</v>
      </c>
      <c r="E5514">
        <f>IF($D5514 &gt; 16, 0, $J$3*(16 - $D5514))</f>
        <v>0</v>
      </c>
      <c r="F5514">
        <f>IF($D5514 &gt; 16, 0,$E5514*$J$5)</f>
        <v>0</v>
      </c>
      <c r="G5514">
        <f t="shared" si="86"/>
        <v>0</v>
      </c>
    </row>
    <row r="5515" spans="2:7" x14ac:dyDescent="0.35">
      <c r="B5515" s="1">
        <v>45887</v>
      </c>
      <c r="C5515" s="2">
        <v>0.70833333333333337</v>
      </c>
      <c r="D5515">
        <v>23.7</v>
      </c>
      <c r="E5515">
        <f>IF($D5515 &gt; 16, 0, $J$3*(16 - $D5515))</f>
        <v>0</v>
      </c>
      <c r="F5515">
        <f>IF($D5515 &gt; 16, 0,$E5515*$J$5)</f>
        <v>0</v>
      </c>
      <c r="G5515">
        <f t="shared" si="86"/>
        <v>0</v>
      </c>
    </row>
    <row r="5516" spans="2:7" x14ac:dyDescent="0.35">
      <c r="B5516" s="1">
        <v>45887</v>
      </c>
      <c r="C5516" s="2">
        <v>0.75</v>
      </c>
      <c r="D5516">
        <v>20.9</v>
      </c>
      <c r="E5516">
        <f>IF($D5516 &gt; 16, 0, $J$3*(16 - $D5516))</f>
        <v>0</v>
      </c>
      <c r="F5516">
        <f>IF($D5516 &gt; 16, 0,$E5516*$J$5)</f>
        <v>0</v>
      </c>
      <c r="G5516">
        <f t="shared" si="86"/>
        <v>0</v>
      </c>
    </row>
    <row r="5517" spans="2:7" x14ac:dyDescent="0.35">
      <c r="B5517" s="1">
        <v>45887</v>
      </c>
      <c r="C5517" s="2">
        <v>0.79166666666666663</v>
      </c>
      <c r="D5517">
        <v>18.3</v>
      </c>
      <c r="E5517">
        <f>IF($D5517 &gt; 16, 0, $J$3*(16 - $D5517))</f>
        <v>0</v>
      </c>
      <c r="F5517">
        <f>IF($D5517 &gt; 16, 0,$E5517*$J$5)</f>
        <v>0</v>
      </c>
      <c r="G5517">
        <f t="shared" si="86"/>
        <v>0</v>
      </c>
    </row>
    <row r="5518" spans="2:7" x14ac:dyDescent="0.35">
      <c r="B5518" s="1">
        <v>45887</v>
      </c>
      <c r="C5518" s="2">
        <v>0.83333333333333337</v>
      </c>
      <c r="D5518">
        <v>16.7</v>
      </c>
      <c r="E5518">
        <f>IF($D5518 &gt; 16, 0, $J$3*(16 - $D5518))</f>
        <v>0</v>
      </c>
      <c r="F5518">
        <f>IF($D5518 &gt; 16, 0,$E5518*$J$5)</f>
        <v>0</v>
      </c>
      <c r="G5518">
        <f t="shared" si="86"/>
        <v>0</v>
      </c>
    </row>
    <row r="5519" spans="2:7" x14ac:dyDescent="0.35">
      <c r="B5519" s="1">
        <v>45887</v>
      </c>
      <c r="C5519" s="2">
        <v>0.875</v>
      </c>
      <c r="D5519">
        <v>15.8</v>
      </c>
      <c r="E5519">
        <f>IF($D5519 &gt; 16, 0, $J$3*(16 - $D5519))</f>
        <v>41.549728540139249</v>
      </c>
      <c r="F5519">
        <f>IF($D5519 &gt; 16, 0,$E5519*$J$5)</f>
        <v>451603.99950277351</v>
      </c>
      <c r="G5519">
        <f t="shared" si="86"/>
        <v>0.19999999999999929</v>
      </c>
    </row>
    <row r="5520" spans="2:7" x14ac:dyDescent="0.35">
      <c r="B5520" s="1">
        <v>45887</v>
      </c>
      <c r="C5520" s="2">
        <v>0.91666666666666663</v>
      </c>
      <c r="D5520">
        <v>14.6</v>
      </c>
      <c r="E5520">
        <f>IF($D5520 &gt; 16, 0, $J$3*(16 - $D5520))</f>
        <v>290.84809978097587</v>
      </c>
      <c r="F5520">
        <f>IF($D5520 &gt; 16, 0,$E5520*$J$5)</f>
        <v>3161227.9965194268</v>
      </c>
      <c r="G5520">
        <f t="shared" si="86"/>
        <v>1.4000000000000004</v>
      </c>
    </row>
    <row r="5521" spans="2:7" x14ac:dyDescent="0.35">
      <c r="B5521" s="1">
        <v>45887</v>
      </c>
      <c r="C5521" s="2">
        <v>0.95833333333333337</v>
      </c>
      <c r="D5521">
        <v>13.9</v>
      </c>
      <c r="E5521">
        <f>IF($D5521 &gt; 16, 0, $J$3*(16 - $D5521))</f>
        <v>436.27214967146358</v>
      </c>
      <c r="F5521">
        <f>IF($D5521 &gt; 16, 0,$E5521*$J$5)</f>
        <v>4741841.9947791379</v>
      </c>
      <c r="G5521">
        <f t="shared" si="86"/>
        <v>2.0999999999999996</v>
      </c>
    </row>
    <row r="5522" spans="2:7" x14ac:dyDescent="0.35">
      <c r="B5522" s="1">
        <v>45888</v>
      </c>
      <c r="C5522" s="2">
        <v>0</v>
      </c>
      <c r="D5522">
        <v>13.2</v>
      </c>
      <c r="E5522">
        <f>IF($D5522 &gt; 16, 0, $J$3*(16 - $D5522))</f>
        <v>581.69619956195174</v>
      </c>
      <c r="F5522">
        <f>IF($D5522 &gt; 16, 0,$E5522*$J$5)</f>
        <v>6322455.9930388536</v>
      </c>
      <c r="G5522">
        <f t="shared" si="86"/>
        <v>2.8000000000000007</v>
      </c>
    </row>
    <row r="5523" spans="2:7" x14ac:dyDescent="0.35">
      <c r="B5523" s="1">
        <v>45888</v>
      </c>
      <c r="C5523" s="2">
        <v>4.1666666666666657E-2</v>
      </c>
      <c r="D5523">
        <v>12.5</v>
      </c>
      <c r="E5523">
        <f>IF($D5523 &gt; 16, 0, $J$3*(16 - $D5523))</f>
        <v>727.12024945243945</v>
      </c>
      <c r="F5523">
        <f>IF($D5523 &gt; 16, 0,$E5523*$J$5)</f>
        <v>7903069.9912985647</v>
      </c>
      <c r="G5523">
        <f t="shared" si="86"/>
        <v>3.5</v>
      </c>
    </row>
    <row r="5524" spans="2:7" x14ac:dyDescent="0.35">
      <c r="B5524" s="1">
        <v>45888</v>
      </c>
      <c r="C5524" s="2">
        <v>8.3333333333333329E-2</v>
      </c>
      <c r="D5524">
        <v>12.3</v>
      </c>
      <c r="E5524">
        <f>IF($D5524 &gt; 16, 0, $J$3*(16 - $D5524))</f>
        <v>768.66997799257877</v>
      </c>
      <c r="F5524">
        <f>IF($D5524 &gt; 16, 0,$E5524*$J$5)</f>
        <v>8354673.990801339</v>
      </c>
      <c r="G5524">
        <f t="shared" si="86"/>
        <v>3.6999999999999993</v>
      </c>
    </row>
    <row r="5525" spans="2:7" x14ac:dyDescent="0.35">
      <c r="B5525" s="1">
        <v>45888</v>
      </c>
      <c r="C5525" s="2">
        <v>0.125</v>
      </c>
      <c r="D5525">
        <v>11.8</v>
      </c>
      <c r="E5525">
        <f>IF($D5525 &gt; 16, 0, $J$3*(16 - $D5525))</f>
        <v>872.54429934292716</v>
      </c>
      <c r="F5525">
        <f>IF($D5525 &gt; 16, 0,$E5525*$J$5)</f>
        <v>9483683.9895582758</v>
      </c>
      <c r="G5525">
        <f t="shared" si="86"/>
        <v>4.1999999999999993</v>
      </c>
    </row>
    <row r="5526" spans="2:7" x14ac:dyDescent="0.35">
      <c r="B5526" s="1">
        <v>45888</v>
      </c>
      <c r="C5526" s="2">
        <v>0.16666666666666671</v>
      </c>
      <c r="D5526">
        <v>11.1</v>
      </c>
      <c r="E5526">
        <f>IF($D5526 &gt; 16, 0, $J$3*(16 - $D5526))</f>
        <v>1017.9683492334153</v>
      </c>
      <c r="F5526">
        <f>IF($D5526 &gt; 16, 0,$E5526*$J$5)</f>
        <v>11064297.987817992</v>
      </c>
      <c r="G5526">
        <f t="shared" si="86"/>
        <v>4.9000000000000004</v>
      </c>
    </row>
    <row r="5527" spans="2:7" x14ac:dyDescent="0.35">
      <c r="B5527" s="1">
        <v>45888</v>
      </c>
      <c r="C5527" s="2">
        <v>0.20833333333333329</v>
      </c>
      <c r="D5527">
        <v>11.6</v>
      </c>
      <c r="E5527">
        <f>IF($D5527 &gt; 16, 0, $J$3*(16 - $D5527))</f>
        <v>914.09402788306681</v>
      </c>
      <c r="F5527">
        <f>IF($D5527 &gt; 16, 0,$E5527*$J$5)</f>
        <v>9935287.9890610538</v>
      </c>
      <c r="G5527">
        <f t="shared" si="86"/>
        <v>4.4000000000000004</v>
      </c>
    </row>
    <row r="5528" spans="2:7" x14ac:dyDescent="0.35">
      <c r="B5528" s="1">
        <v>45888</v>
      </c>
      <c r="C5528" s="2">
        <v>0.25</v>
      </c>
      <c r="D5528">
        <v>15</v>
      </c>
      <c r="E5528">
        <f>IF($D5528 &gt; 16, 0, $J$3*(16 - $D5528))</f>
        <v>207.74864270069699</v>
      </c>
      <c r="F5528">
        <f>IF($D5528 &gt; 16, 0,$E5528*$J$5)</f>
        <v>2258019.9975138754</v>
      </c>
      <c r="G5528">
        <f t="shared" si="86"/>
        <v>1</v>
      </c>
    </row>
    <row r="5529" spans="2:7" x14ac:dyDescent="0.35">
      <c r="B5529" s="1">
        <v>45888</v>
      </c>
      <c r="C5529" s="2">
        <v>0.29166666666666669</v>
      </c>
      <c r="D5529">
        <v>18.5</v>
      </c>
      <c r="E5529">
        <f>IF($D5529 &gt; 16, 0, $J$3*(16 - $D5529))</f>
        <v>0</v>
      </c>
      <c r="F5529">
        <f>IF($D5529 &gt; 16, 0,$E5529*$J$5)</f>
        <v>0</v>
      </c>
      <c r="G5529">
        <f t="shared" si="86"/>
        <v>0</v>
      </c>
    </row>
    <row r="5530" spans="2:7" x14ac:dyDescent="0.35">
      <c r="B5530" s="1">
        <v>45888</v>
      </c>
      <c r="C5530" s="2">
        <v>0.33333333333333331</v>
      </c>
      <c r="D5530">
        <v>20.100000000000001</v>
      </c>
      <c r="E5530">
        <f>IF($D5530 &gt; 16, 0, $J$3*(16 - $D5530))</f>
        <v>0</v>
      </c>
      <c r="F5530">
        <f>IF($D5530 &gt; 16, 0,$E5530*$J$5)</f>
        <v>0</v>
      </c>
      <c r="G5530">
        <f t="shared" si="86"/>
        <v>0</v>
      </c>
    </row>
    <row r="5531" spans="2:7" x14ac:dyDescent="0.35">
      <c r="B5531" s="1">
        <v>45888</v>
      </c>
      <c r="C5531" s="2">
        <v>0.375</v>
      </c>
      <c r="D5531">
        <v>21.1</v>
      </c>
      <c r="E5531">
        <f>IF($D5531 &gt; 16, 0, $J$3*(16 - $D5531))</f>
        <v>0</v>
      </c>
      <c r="F5531">
        <f>IF($D5531 &gt; 16, 0,$E5531*$J$5)</f>
        <v>0</v>
      </c>
      <c r="G5531">
        <f t="shared" si="86"/>
        <v>0</v>
      </c>
    </row>
    <row r="5532" spans="2:7" x14ac:dyDescent="0.35">
      <c r="B5532" s="1">
        <v>45888</v>
      </c>
      <c r="C5532" s="2">
        <v>0.41666666666666669</v>
      </c>
      <c r="D5532">
        <v>21.9</v>
      </c>
      <c r="E5532">
        <f>IF($D5532 &gt; 16, 0, $J$3*(16 - $D5532))</f>
        <v>0</v>
      </c>
      <c r="F5532">
        <f>IF($D5532 &gt; 16, 0,$E5532*$J$5)</f>
        <v>0</v>
      </c>
      <c r="G5532">
        <f t="shared" si="86"/>
        <v>0</v>
      </c>
    </row>
    <row r="5533" spans="2:7" x14ac:dyDescent="0.35">
      <c r="B5533" s="1">
        <v>45888</v>
      </c>
      <c r="C5533" s="2">
        <v>0.45833333333333331</v>
      </c>
      <c r="D5533">
        <v>22.9</v>
      </c>
      <c r="E5533">
        <f>IF($D5533 &gt; 16, 0, $J$3*(16 - $D5533))</f>
        <v>0</v>
      </c>
      <c r="F5533">
        <f>IF($D5533 &gt; 16, 0,$E5533*$J$5)</f>
        <v>0</v>
      </c>
      <c r="G5533">
        <f t="shared" si="86"/>
        <v>0</v>
      </c>
    </row>
    <row r="5534" spans="2:7" x14ac:dyDescent="0.35">
      <c r="B5534" s="1">
        <v>45888</v>
      </c>
      <c r="C5534" s="2">
        <v>0.5</v>
      </c>
      <c r="D5534">
        <v>23.1</v>
      </c>
      <c r="E5534">
        <f>IF($D5534 &gt; 16, 0, $J$3*(16 - $D5534))</f>
        <v>0</v>
      </c>
      <c r="F5534">
        <f>IF($D5534 &gt; 16, 0,$E5534*$J$5)</f>
        <v>0</v>
      </c>
      <c r="G5534">
        <f t="shared" si="86"/>
        <v>0</v>
      </c>
    </row>
    <row r="5535" spans="2:7" x14ac:dyDescent="0.35">
      <c r="B5535" s="1">
        <v>45888</v>
      </c>
      <c r="C5535" s="2">
        <v>0.54166666666666663</v>
      </c>
      <c r="D5535">
        <v>23.1</v>
      </c>
      <c r="E5535">
        <f>IF($D5535 &gt; 16, 0, $J$3*(16 - $D5535))</f>
        <v>0</v>
      </c>
      <c r="F5535">
        <f>IF($D5535 &gt; 16, 0,$E5535*$J$5)</f>
        <v>0</v>
      </c>
      <c r="G5535">
        <f t="shared" si="86"/>
        <v>0</v>
      </c>
    </row>
    <row r="5536" spans="2:7" x14ac:dyDescent="0.35">
      <c r="B5536" s="1">
        <v>45888</v>
      </c>
      <c r="C5536" s="2">
        <v>0.58333333333333337</v>
      </c>
      <c r="D5536">
        <v>22.8</v>
      </c>
      <c r="E5536">
        <f>IF($D5536 &gt; 16, 0, $J$3*(16 - $D5536))</f>
        <v>0</v>
      </c>
      <c r="F5536">
        <f>IF($D5536 &gt; 16, 0,$E5536*$J$5)</f>
        <v>0</v>
      </c>
      <c r="G5536">
        <f t="shared" si="86"/>
        <v>0</v>
      </c>
    </row>
    <row r="5537" spans="2:7" x14ac:dyDescent="0.35">
      <c r="B5537" s="1">
        <v>45888</v>
      </c>
      <c r="C5537" s="2">
        <v>0.625</v>
      </c>
      <c r="D5537">
        <v>21.7</v>
      </c>
      <c r="E5537">
        <f>IF($D5537 &gt; 16, 0, $J$3*(16 - $D5537))</f>
        <v>0</v>
      </c>
      <c r="F5537">
        <f>IF($D5537 &gt; 16, 0,$E5537*$J$5)</f>
        <v>0</v>
      </c>
      <c r="G5537">
        <f t="shared" si="86"/>
        <v>0</v>
      </c>
    </row>
    <row r="5538" spans="2:7" x14ac:dyDescent="0.35">
      <c r="B5538" s="1">
        <v>45888</v>
      </c>
      <c r="C5538" s="2">
        <v>0.66666666666666663</v>
      </c>
      <c r="D5538">
        <v>20.8</v>
      </c>
      <c r="E5538">
        <f>IF($D5538 &gt; 16, 0, $J$3*(16 - $D5538))</f>
        <v>0</v>
      </c>
      <c r="F5538">
        <f>IF($D5538 &gt; 16, 0,$E5538*$J$5)</f>
        <v>0</v>
      </c>
      <c r="G5538">
        <f t="shared" si="86"/>
        <v>0</v>
      </c>
    </row>
    <row r="5539" spans="2:7" x14ac:dyDescent="0.35">
      <c r="B5539" s="1">
        <v>45888</v>
      </c>
      <c r="C5539" s="2">
        <v>0.70833333333333337</v>
      </c>
      <c r="D5539">
        <v>19.7</v>
      </c>
      <c r="E5539">
        <f>IF($D5539 &gt; 16, 0, $J$3*(16 - $D5539))</f>
        <v>0</v>
      </c>
      <c r="F5539">
        <f>IF($D5539 &gt; 16, 0,$E5539*$J$5)</f>
        <v>0</v>
      </c>
      <c r="G5539">
        <f t="shared" si="86"/>
        <v>0</v>
      </c>
    </row>
    <row r="5540" spans="2:7" x14ac:dyDescent="0.35">
      <c r="B5540" s="1">
        <v>45888</v>
      </c>
      <c r="C5540" s="2">
        <v>0.75</v>
      </c>
      <c r="D5540">
        <v>18.2</v>
      </c>
      <c r="E5540">
        <f>IF($D5540 &gt; 16, 0, $J$3*(16 - $D5540))</f>
        <v>0</v>
      </c>
      <c r="F5540">
        <f>IF($D5540 &gt; 16, 0,$E5540*$J$5)</f>
        <v>0</v>
      </c>
      <c r="G5540">
        <f t="shared" si="86"/>
        <v>0</v>
      </c>
    </row>
    <row r="5541" spans="2:7" x14ac:dyDescent="0.35">
      <c r="B5541" s="1">
        <v>45888</v>
      </c>
      <c r="C5541" s="2">
        <v>0.79166666666666663</v>
      </c>
      <c r="D5541">
        <v>16.399999999999999</v>
      </c>
      <c r="E5541">
        <f>IF($D5541 &gt; 16, 0, $J$3*(16 - $D5541))</f>
        <v>0</v>
      </c>
      <c r="F5541">
        <f>IF($D5541 &gt; 16, 0,$E5541*$J$5)</f>
        <v>0</v>
      </c>
      <c r="G5541">
        <f t="shared" si="86"/>
        <v>0</v>
      </c>
    </row>
    <row r="5542" spans="2:7" x14ac:dyDescent="0.35">
      <c r="B5542" s="1">
        <v>45888</v>
      </c>
      <c r="C5542" s="2">
        <v>0.83333333333333337</v>
      </c>
      <c r="D5542">
        <v>15.2</v>
      </c>
      <c r="E5542">
        <f>IF($D5542 &gt; 16, 0, $J$3*(16 - $D5542))</f>
        <v>166.19891416055773</v>
      </c>
      <c r="F5542">
        <f>IF($D5542 &gt; 16, 0,$E5542*$J$5)</f>
        <v>1806415.998011102</v>
      </c>
      <c r="G5542">
        <f t="shared" si="86"/>
        <v>0.80000000000000071</v>
      </c>
    </row>
    <row r="5543" spans="2:7" x14ac:dyDescent="0.35">
      <c r="B5543" s="1">
        <v>45888</v>
      </c>
      <c r="C5543" s="2">
        <v>0.875</v>
      </c>
      <c r="D5543">
        <v>15.7</v>
      </c>
      <c r="E5543">
        <f>IF($D5543 &gt; 16, 0, $J$3*(16 - $D5543))</f>
        <v>62.324592810209246</v>
      </c>
      <c r="F5543">
        <f>IF($D5543 &gt; 16, 0,$E5543*$J$5)</f>
        <v>677405.99925416429</v>
      </c>
      <c r="G5543">
        <f t="shared" si="86"/>
        <v>0.30000000000000071</v>
      </c>
    </row>
    <row r="5544" spans="2:7" x14ac:dyDescent="0.35">
      <c r="B5544" s="1">
        <v>45888</v>
      </c>
      <c r="C5544" s="2">
        <v>0.91666666666666663</v>
      </c>
      <c r="D5544">
        <v>15.8</v>
      </c>
      <c r="E5544">
        <f>IF($D5544 &gt; 16, 0, $J$3*(16 - $D5544))</f>
        <v>41.549728540139249</v>
      </c>
      <c r="F5544">
        <f>IF($D5544 &gt; 16, 0,$E5544*$J$5)</f>
        <v>451603.99950277351</v>
      </c>
      <c r="G5544">
        <f t="shared" si="86"/>
        <v>0.19999999999999929</v>
      </c>
    </row>
    <row r="5545" spans="2:7" x14ac:dyDescent="0.35">
      <c r="B5545" s="1">
        <v>45888</v>
      </c>
      <c r="C5545" s="2">
        <v>0.95833333333333337</v>
      </c>
      <c r="D5545">
        <v>15.6</v>
      </c>
      <c r="E5545">
        <f>IF($D5545 &gt; 16, 0, $J$3*(16 - $D5545))</f>
        <v>83.099457080278867</v>
      </c>
      <c r="F5545">
        <f>IF($D5545 &gt; 16, 0,$E5545*$J$5)</f>
        <v>903207.99900555098</v>
      </c>
      <c r="G5545">
        <f t="shared" si="86"/>
        <v>0.40000000000000036</v>
      </c>
    </row>
    <row r="5546" spans="2:7" x14ac:dyDescent="0.35">
      <c r="B5546" s="1">
        <v>45889</v>
      </c>
      <c r="C5546" s="2">
        <v>0</v>
      </c>
      <c r="D5546">
        <v>15.4</v>
      </c>
      <c r="E5546">
        <f>IF($D5546 &gt; 16, 0, $J$3*(16 - $D5546))</f>
        <v>124.64918562041812</v>
      </c>
      <c r="F5546">
        <f>IF($D5546 &gt; 16, 0,$E5546*$J$5)</f>
        <v>1354811.9985083246</v>
      </c>
      <c r="G5546">
        <f t="shared" si="86"/>
        <v>0.59999999999999964</v>
      </c>
    </row>
    <row r="5547" spans="2:7" x14ac:dyDescent="0.35">
      <c r="B5547" s="1">
        <v>45889</v>
      </c>
      <c r="C5547" s="2">
        <v>4.1666666666666657E-2</v>
      </c>
      <c r="D5547">
        <v>14.6</v>
      </c>
      <c r="E5547">
        <f>IF($D5547 &gt; 16, 0, $J$3*(16 - $D5547))</f>
        <v>290.84809978097587</v>
      </c>
      <c r="F5547">
        <f>IF($D5547 &gt; 16, 0,$E5547*$J$5)</f>
        <v>3161227.9965194268</v>
      </c>
      <c r="G5547">
        <f t="shared" si="86"/>
        <v>1.4000000000000004</v>
      </c>
    </row>
    <row r="5548" spans="2:7" x14ac:dyDescent="0.35">
      <c r="B5548" s="1">
        <v>45889</v>
      </c>
      <c r="C5548" s="2">
        <v>8.3333333333333329E-2</v>
      </c>
      <c r="D5548">
        <v>14.2</v>
      </c>
      <c r="E5548">
        <f>IF($D5548 &gt; 16, 0, $J$3*(16 - $D5548))</f>
        <v>373.94755686125472</v>
      </c>
      <c r="F5548">
        <f>IF($D5548 &gt; 16, 0,$E5548*$J$5)</f>
        <v>4064435.9955249778</v>
      </c>
      <c r="G5548">
        <f t="shared" si="86"/>
        <v>1.8000000000000007</v>
      </c>
    </row>
    <row r="5549" spans="2:7" x14ac:dyDescent="0.35">
      <c r="B5549" s="1">
        <v>45889</v>
      </c>
      <c r="C5549" s="2">
        <v>0.125</v>
      </c>
      <c r="D5549">
        <v>14.8</v>
      </c>
      <c r="E5549">
        <f>IF($D5549 &gt; 16, 0, $J$3*(16 - $D5549))</f>
        <v>249.29837124083625</v>
      </c>
      <c r="F5549">
        <f>IF($D5549 &gt; 16, 0,$E5549*$J$5)</f>
        <v>2709623.9970166492</v>
      </c>
      <c r="G5549">
        <f t="shared" si="86"/>
        <v>1.1999999999999993</v>
      </c>
    </row>
    <row r="5550" spans="2:7" x14ac:dyDescent="0.35">
      <c r="B5550" s="1">
        <v>45889</v>
      </c>
      <c r="C5550" s="2">
        <v>0.16666666666666671</v>
      </c>
      <c r="D5550">
        <v>14.8</v>
      </c>
      <c r="E5550">
        <f>IF($D5550 &gt; 16, 0, $J$3*(16 - $D5550))</f>
        <v>249.29837124083625</v>
      </c>
      <c r="F5550">
        <f>IF($D5550 &gt; 16, 0,$E5550*$J$5)</f>
        <v>2709623.9970166492</v>
      </c>
      <c r="G5550">
        <f t="shared" si="86"/>
        <v>1.1999999999999993</v>
      </c>
    </row>
    <row r="5551" spans="2:7" x14ac:dyDescent="0.35">
      <c r="B5551" s="1">
        <v>45889</v>
      </c>
      <c r="C5551" s="2">
        <v>0.20833333333333329</v>
      </c>
      <c r="D5551">
        <v>14.2</v>
      </c>
      <c r="E5551">
        <f>IF($D5551 &gt; 16, 0, $J$3*(16 - $D5551))</f>
        <v>373.94755686125472</v>
      </c>
      <c r="F5551">
        <f>IF($D5551 &gt; 16, 0,$E5551*$J$5)</f>
        <v>4064435.9955249778</v>
      </c>
      <c r="G5551">
        <f t="shared" si="86"/>
        <v>1.8000000000000007</v>
      </c>
    </row>
    <row r="5552" spans="2:7" x14ac:dyDescent="0.35">
      <c r="B5552" s="1">
        <v>45889</v>
      </c>
      <c r="C5552" s="2">
        <v>0.25</v>
      </c>
      <c r="D5552">
        <v>15.4</v>
      </c>
      <c r="E5552">
        <f>IF($D5552 &gt; 16, 0, $J$3*(16 - $D5552))</f>
        <v>124.64918562041812</v>
      </c>
      <c r="F5552">
        <f>IF($D5552 &gt; 16, 0,$E5552*$J$5)</f>
        <v>1354811.9985083246</v>
      </c>
      <c r="G5552">
        <f t="shared" si="86"/>
        <v>0.59999999999999964</v>
      </c>
    </row>
    <row r="5553" spans="2:7" x14ac:dyDescent="0.35">
      <c r="B5553" s="1">
        <v>45889</v>
      </c>
      <c r="C5553" s="2">
        <v>0.29166666666666669</v>
      </c>
      <c r="D5553">
        <v>17.399999999999999</v>
      </c>
      <c r="E5553">
        <f>IF($D5553 &gt; 16, 0, $J$3*(16 - $D5553))</f>
        <v>0</v>
      </c>
      <c r="F5553">
        <f>IF($D5553 &gt; 16, 0,$E5553*$J$5)</f>
        <v>0</v>
      </c>
      <c r="G5553">
        <f t="shared" si="86"/>
        <v>0</v>
      </c>
    </row>
    <row r="5554" spans="2:7" x14ac:dyDescent="0.35">
      <c r="B5554" s="1">
        <v>45889</v>
      </c>
      <c r="C5554" s="2">
        <v>0.33333333333333331</v>
      </c>
      <c r="D5554">
        <v>18.100000000000001</v>
      </c>
      <c r="E5554">
        <f>IF($D5554 &gt; 16, 0, $J$3*(16 - $D5554))</f>
        <v>0</v>
      </c>
      <c r="F5554">
        <f>IF($D5554 &gt; 16, 0,$E5554*$J$5)</f>
        <v>0</v>
      </c>
      <c r="G5554">
        <f t="shared" si="86"/>
        <v>0</v>
      </c>
    </row>
    <row r="5555" spans="2:7" x14ac:dyDescent="0.35">
      <c r="B5555" s="1">
        <v>45889</v>
      </c>
      <c r="C5555" s="2">
        <v>0.375</v>
      </c>
      <c r="D5555">
        <v>18.399999999999999</v>
      </c>
      <c r="E5555">
        <f>IF($D5555 &gt; 16, 0, $J$3*(16 - $D5555))</f>
        <v>0</v>
      </c>
      <c r="F5555">
        <f>IF($D5555 &gt; 16, 0,$E5555*$J$5)</f>
        <v>0</v>
      </c>
      <c r="G5555">
        <f t="shared" si="86"/>
        <v>0</v>
      </c>
    </row>
    <row r="5556" spans="2:7" x14ac:dyDescent="0.35">
      <c r="B5556" s="1">
        <v>45889</v>
      </c>
      <c r="C5556" s="2">
        <v>0.41666666666666669</v>
      </c>
      <c r="D5556">
        <v>19.7</v>
      </c>
      <c r="E5556">
        <f>IF($D5556 &gt; 16, 0, $J$3*(16 - $D5556))</f>
        <v>0</v>
      </c>
      <c r="F5556">
        <f>IF($D5556 &gt; 16, 0,$E5556*$J$5)</f>
        <v>0</v>
      </c>
      <c r="G5556">
        <f t="shared" si="86"/>
        <v>0</v>
      </c>
    </row>
    <row r="5557" spans="2:7" x14ac:dyDescent="0.35">
      <c r="B5557" s="1">
        <v>45889</v>
      </c>
      <c r="C5557" s="2">
        <v>0.45833333333333331</v>
      </c>
      <c r="D5557">
        <v>20.9</v>
      </c>
      <c r="E5557">
        <f>IF($D5557 &gt; 16, 0, $J$3*(16 - $D5557))</f>
        <v>0</v>
      </c>
      <c r="F5557">
        <f>IF($D5557 &gt; 16, 0,$E5557*$J$5)</f>
        <v>0</v>
      </c>
      <c r="G5557">
        <f t="shared" si="86"/>
        <v>0</v>
      </c>
    </row>
    <row r="5558" spans="2:7" x14ac:dyDescent="0.35">
      <c r="B5558" s="1">
        <v>45889</v>
      </c>
      <c r="C5558" s="2">
        <v>0.5</v>
      </c>
      <c r="D5558">
        <v>20.8</v>
      </c>
      <c r="E5558">
        <f>IF($D5558 &gt; 16, 0, $J$3*(16 - $D5558))</f>
        <v>0</v>
      </c>
      <c r="F5558">
        <f>IF($D5558 &gt; 16, 0,$E5558*$J$5)</f>
        <v>0</v>
      </c>
      <c r="G5558">
        <f t="shared" si="86"/>
        <v>0</v>
      </c>
    </row>
    <row r="5559" spans="2:7" x14ac:dyDescent="0.35">
      <c r="B5559" s="1">
        <v>45889</v>
      </c>
      <c r="C5559" s="2">
        <v>0.54166666666666663</v>
      </c>
      <c r="D5559">
        <v>21.7</v>
      </c>
      <c r="E5559">
        <f>IF($D5559 &gt; 16, 0, $J$3*(16 - $D5559))</f>
        <v>0</v>
      </c>
      <c r="F5559">
        <f>IF($D5559 &gt; 16, 0,$E5559*$J$5)</f>
        <v>0</v>
      </c>
      <c r="G5559">
        <f t="shared" si="86"/>
        <v>0</v>
      </c>
    </row>
    <row r="5560" spans="2:7" x14ac:dyDescent="0.35">
      <c r="B5560" s="1">
        <v>45889</v>
      </c>
      <c r="C5560" s="2">
        <v>0.58333333333333337</v>
      </c>
      <c r="D5560">
        <v>22</v>
      </c>
      <c r="E5560">
        <f>IF($D5560 &gt; 16, 0, $J$3*(16 - $D5560))</f>
        <v>0</v>
      </c>
      <c r="F5560">
        <f>IF($D5560 &gt; 16, 0,$E5560*$J$5)</f>
        <v>0</v>
      </c>
      <c r="G5560">
        <f t="shared" si="86"/>
        <v>0</v>
      </c>
    </row>
    <row r="5561" spans="2:7" x14ac:dyDescent="0.35">
      <c r="B5561" s="1">
        <v>45889</v>
      </c>
      <c r="C5561" s="2">
        <v>0.625</v>
      </c>
      <c r="D5561">
        <v>20.7</v>
      </c>
      <c r="E5561">
        <f>IF($D5561 &gt; 16, 0, $J$3*(16 - $D5561))</f>
        <v>0</v>
      </c>
      <c r="F5561">
        <f>IF($D5561 &gt; 16, 0,$E5561*$J$5)</f>
        <v>0</v>
      </c>
      <c r="G5561">
        <f t="shared" si="86"/>
        <v>0</v>
      </c>
    </row>
    <row r="5562" spans="2:7" x14ac:dyDescent="0.35">
      <c r="B5562" s="1">
        <v>45889</v>
      </c>
      <c r="C5562" s="2">
        <v>0.66666666666666663</v>
      </c>
      <c r="D5562">
        <v>20.5</v>
      </c>
      <c r="E5562">
        <f>IF($D5562 &gt; 16, 0, $J$3*(16 - $D5562))</f>
        <v>0</v>
      </c>
      <c r="F5562">
        <f>IF($D5562 &gt; 16, 0,$E5562*$J$5)</f>
        <v>0</v>
      </c>
      <c r="G5562">
        <f t="shared" si="86"/>
        <v>0</v>
      </c>
    </row>
    <row r="5563" spans="2:7" x14ac:dyDescent="0.35">
      <c r="B5563" s="1">
        <v>45889</v>
      </c>
      <c r="C5563" s="2">
        <v>0.70833333333333337</v>
      </c>
      <c r="D5563">
        <v>19.899999999999999</v>
      </c>
      <c r="E5563">
        <f>IF($D5563 &gt; 16, 0, $J$3*(16 - $D5563))</f>
        <v>0</v>
      </c>
      <c r="F5563">
        <f>IF($D5563 &gt; 16, 0,$E5563*$J$5)</f>
        <v>0</v>
      </c>
      <c r="G5563">
        <f t="shared" si="86"/>
        <v>0</v>
      </c>
    </row>
    <row r="5564" spans="2:7" x14ac:dyDescent="0.35">
      <c r="B5564" s="1">
        <v>45889</v>
      </c>
      <c r="C5564" s="2">
        <v>0.75</v>
      </c>
      <c r="D5564">
        <v>18.7</v>
      </c>
      <c r="E5564">
        <f>IF($D5564 &gt; 16, 0, $J$3*(16 - $D5564))</f>
        <v>0</v>
      </c>
      <c r="F5564">
        <f>IF($D5564 &gt; 16, 0,$E5564*$J$5)</f>
        <v>0</v>
      </c>
      <c r="G5564">
        <f t="shared" si="86"/>
        <v>0</v>
      </c>
    </row>
    <row r="5565" spans="2:7" x14ac:dyDescent="0.35">
      <c r="B5565" s="1">
        <v>45889</v>
      </c>
      <c r="C5565" s="2">
        <v>0.79166666666666663</v>
      </c>
      <c r="D5565">
        <v>17.399999999999999</v>
      </c>
      <c r="E5565">
        <f>IF($D5565 &gt; 16, 0, $J$3*(16 - $D5565))</f>
        <v>0</v>
      </c>
      <c r="F5565">
        <f>IF($D5565 &gt; 16, 0,$E5565*$J$5)</f>
        <v>0</v>
      </c>
      <c r="G5565">
        <f t="shared" si="86"/>
        <v>0</v>
      </c>
    </row>
    <row r="5566" spans="2:7" x14ac:dyDescent="0.35">
      <c r="B5566" s="1">
        <v>45889</v>
      </c>
      <c r="C5566" s="2">
        <v>0.83333333333333337</v>
      </c>
      <c r="D5566">
        <v>15.9</v>
      </c>
      <c r="E5566">
        <f>IF($D5566 &gt; 16, 0, $J$3*(16 - $D5566))</f>
        <v>20.774864270069624</v>
      </c>
      <c r="F5566">
        <f>IF($D5566 &gt; 16, 0,$E5566*$J$5)</f>
        <v>225801.99975138676</v>
      </c>
      <c r="G5566">
        <f t="shared" si="86"/>
        <v>9.9999999999999645E-2</v>
      </c>
    </row>
    <row r="5567" spans="2:7" x14ac:dyDescent="0.35">
      <c r="B5567" s="1">
        <v>45889</v>
      </c>
      <c r="C5567" s="2">
        <v>0.875</v>
      </c>
      <c r="D5567">
        <v>13.4</v>
      </c>
      <c r="E5567">
        <f>IF($D5567 &gt; 16, 0, $J$3*(16 - $D5567))</f>
        <v>540.14647102181209</v>
      </c>
      <c r="F5567">
        <f>IF($D5567 &gt; 16, 0,$E5567*$J$5)</f>
        <v>5870851.9935360756</v>
      </c>
      <c r="G5567">
        <f t="shared" si="86"/>
        <v>2.5999999999999996</v>
      </c>
    </row>
    <row r="5568" spans="2:7" x14ac:dyDescent="0.35">
      <c r="B5568" s="1">
        <v>45889</v>
      </c>
      <c r="C5568" s="2">
        <v>0.91666666666666663</v>
      </c>
      <c r="D5568">
        <v>13.2</v>
      </c>
      <c r="E5568">
        <f>IF($D5568 &gt; 16, 0, $J$3*(16 - $D5568))</f>
        <v>581.69619956195174</v>
      </c>
      <c r="F5568">
        <f>IF($D5568 &gt; 16, 0,$E5568*$J$5)</f>
        <v>6322455.9930388536</v>
      </c>
      <c r="G5568">
        <f t="shared" si="86"/>
        <v>2.8000000000000007</v>
      </c>
    </row>
    <row r="5569" spans="2:7" x14ac:dyDescent="0.35">
      <c r="B5569" s="1">
        <v>45889</v>
      </c>
      <c r="C5569" s="2">
        <v>0.95833333333333337</v>
      </c>
      <c r="D5569">
        <v>12.5</v>
      </c>
      <c r="E5569">
        <f>IF($D5569 &gt; 16, 0, $J$3*(16 - $D5569))</f>
        <v>727.12024945243945</v>
      </c>
      <c r="F5569">
        <f>IF($D5569 &gt; 16, 0,$E5569*$J$5)</f>
        <v>7903069.9912985647</v>
      </c>
      <c r="G5569">
        <f t="shared" si="86"/>
        <v>3.5</v>
      </c>
    </row>
    <row r="5570" spans="2:7" x14ac:dyDescent="0.35">
      <c r="B5570" s="1">
        <v>45890</v>
      </c>
      <c r="C5570" s="2">
        <v>0</v>
      </c>
      <c r="D5570">
        <v>11.1</v>
      </c>
      <c r="E5570">
        <f>IF($D5570 &gt; 16, 0, $J$3*(16 - $D5570))</f>
        <v>1017.9683492334153</v>
      </c>
      <c r="F5570">
        <f>IF($D5570 &gt; 16, 0,$E5570*$J$5)</f>
        <v>11064297.987817992</v>
      </c>
      <c r="G5570">
        <f t="shared" si="86"/>
        <v>4.9000000000000004</v>
      </c>
    </row>
    <row r="5571" spans="2:7" x14ac:dyDescent="0.35">
      <c r="B5571" s="1">
        <v>45890</v>
      </c>
      <c r="C5571" s="2">
        <v>4.1666666666666657E-2</v>
      </c>
      <c r="D5571">
        <v>9.9</v>
      </c>
      <c r="E5571">
        <f>IF($D5571 &gt; 16, 0, $J$3*(16 - $D5571))</f>
        <v>1267.2667204742515</v>
      </c>
      <c r="F5571">
        <f>IF($D5571 &gt; 16, 0,$E5571*$J$5)</f>
        <v>13773921.984834639</v>
      </c>
      <c r="G5571">
        <f t="shared" ref="G5571:G5634" si="87">MAX(0, 16 - $D5571)</f>
        <v>6.1</v>
      </c>
    </row>
    <row r="5572" spans="2:7" x14ac:dyDescent="0.35">
      <c r="B5572" s="1">
        <v>45890</v>
      </c>
      <c r="C5572" s="2">
        <v>8.3333333333333329E-2</v>
      </c>
      <c r="D5572">
        <v>8.9</v>
      </c>
      <c r="E5572">
        <f>IF($D5572 &gt; 16, 0, $J$3*(16 - $D5572))</f>
        <v>1475.0153631749486</v>
      </c>
      <c r="F5572">
        <f>IF($D5572 &gt; 16, 0,$E5572*$J$5)</f>
        <v>16031941.982348517</v>
      </c>
      <c r="G5572">
        <f t="shared" si="87"/>
        <v>7.1</v>
      </c>
    </row>
    <row r="5573" spans="2:7" x14ac:dyDescent="0.35">
      <c r="B5573" s="1">
        <v>45890</v>
      </c>
      <c r="C5573" s="2">
        <v>0.125</v>
      </c>
      <c r="D5573">
        <v>8.1</v>
      </c>
      <c r="E5573">
        <f>IF($D5573 &gt; 16, 0, $J$3*(16 - $D5573))</f>
        <v>1641.2142773355063</v>
      </c>
      <c r="F5573">
        <f>IF($D5573 &gt; 16, 0,$E5573*$J$5)</f>
        <v>17838357.980359618</v>
      </c>
      <c r="G5573">
        <f t="shared" si="87"/>
        <v>7.9</v>
      </c>
    </row>
    <row r="5574" spans="2:7" x14ac:dyDescent="0.35">
      <c r="B5574" s="1">
        <v>45890</v>
      </c>
      <c r="C5574" s="2">
        <v>0.16666666666666671</v>
      </c>
      <c r="D5574">
        <v>6.9</v>
      </c>
      <c r="E5574">
        <f>IF($D5574 &gt; 16, 0, $J$3*(16 - $D5574))</f>
        <v>1890.5126485763426</v>
      </c>
      <c r="F5574">
        <f>IF($D5574 &gt; 16, 0,$E5574*$J$5)</f>
        <v>20547981.977376267</v>
      </c>
      <c r="G5574">
        <f t="shared" si="87"/>
        <v>9.1</v>
      </c>
    </row>
    <row r="5575" spans="2:7" x14ac:dyDescent="0.35">
      <c r="B5575" s="1">
        <v>45890</v>
      </c>
      <c r="C5575" s="2">
        <v>0.20833333333333329</v>
      </c>
      <c r="D5575">
        <v>8.1999999999999993</v>
      </c>
      <c r="E5575">
        <f>IF($D5575 &gt; 16, 0, $J$3*(16 - $D5575))</f>
        <v>1620.4394130654366</v>
      </c>
      <c r="F5575">
        <f>IF($D5575 &gt; 16, 0,$E5575*$J$5)</f>
        <v>17612555.980608232</v>
      </c>
      <c r="G5575">
        <f t="shared" si="87"/>
        <v>7.8000000000000007</v>
      </c>
    </row>
    <row r="5576" spans="2:7" x14ac:dyDescent="0.35">
      <c r="B5576" s="1">
        <v>45890</v>
      </c>
      <c r="C5576" s="2">
        <v>0.25</v>
      </c>
      <c r="D5576">
        <v>12</v>
      </c>
      <c r="E5576">
        <f>IF($D5576 &gt; 16, 0, $J$3*(16 - $D5576))</f>
        <v>830.99457080278796</v>
      </c>
      <c r="F5576">
        <f>IF($D5576 &gt; 16, 0,$E5576*$J$5)</f>
        <v>9032079.9900555015</v>
      </c>
      <c r="G5576">
        <f t="shared" si="87"/>
        <v>4</v>
      </c>
    </row>
    <row r="5577" spans="2:7" x14ac:dyDescent="0.35">
      <c r="B5577" s="1">
        <v>45890</v>
      </c>
      <c r="C5577" s="2">
        <v>0.29166666666666669</v>
      </c>
      <c r="D5577">
        <v>14.8</v>
      </c>
      <c r="E5577">
        <f>IF($D5577 &gt; 16, 0, $J$3*(16 - $D5577))</f>
        <v>249.29837124083625</v>
      </c>
      <c r="F5577">
        <f>IF($D5577 &gt; 16, 0,$E5577*$J$5)</f>
        <v>2709623.9970166492</v>
      </c>
      <c r="G5577">
        <f t="shared" si="87"/>
        <v>1.1999999999999993</v>
      </c>
    </row>
    <row r="5578" spans="2:7" x14ac:dyDescent="0.35">
      <c r="B5578" s="1">
        <v>45890</v>
      </c>
      <c r="C5578" s="2">
        <v>0.33333333333333331</v>
      </c>
      <c r="D5578">
        <v>16.600000000000001</v>
      </c>
      <c r="E5578">
        <f>IF($D5578 &gt; 16, 0, $J$3*(16 - $D5578))</f>
        <v>0</v>
      </c>
      <c r="F5578">
        <f>IF($D5578 &gt; 16, 0,$E5578*$J$5)</f>
        <v>0</v>
      </c>
      <c r="G5578">
        <f t="shared" si="87"/>
        <v>0</v>
      </c>
    </row>
    <row r="5579" spans="2:7" x14ac:dyDescent="0.35">
      <c r="B5579" s="1">
        <v>45890</v>
      </c>
      <c r="C5579" s="2">
        <v>0.375</v>
      </c>
      <c r="D5579">
        <v>17.399999999999999</v>
      </c>
      <c r="E5579">
        <f>IF($D5579 &gt; 16, 0, $J$3*(16 - $D5579))</f>
        <v>0</v>
      </c>
      <c r="F5579">
        <f>IF($D5579 &gt; 16, 0,$E5579*$J$5)</f>
        <v>0</v>
      </c>
      <c r="G5579">
        <f t="shared" si="87"/>
        <v>0</v>
      </c>
    </row>
    <row r="5580" spans="2:7" x14ac:dyDescent="0.35">
      <c r="B5580" s="1">
        <v>45890</v>
      </c>
      <c r="C5580" s="2">
        <v>0.41666666666666669</v>
      </c>
      <c r="D5580">
        <v>18.600000000000001</v>
      </c>
      <c r="E5580">
        <f>IF($D5580 &gt; 16, 0, $J$3*(16 - $D5580))</f>
        <v>0</v>
      </c>
      <c r="F5580">
        <f>IF($D5580 &gt; 16, 0,$E5580*$J$5)</f>
        <v>0</v>
      </c>
      <c r="G5580">
        <f t="shared" si="87"/>
        <v>0</v>
      </c>
    </row>
    <row r="5581" spans="2:7" x14ac:dyDescent="0.35">
      <c r="B5581" s="1">
        <v>45890</v>
      </c>
      <c r="C5581" s="2">
        <v>0.45833333333333331</v>
      </c>
      <c r="D5581">
        <v>19.5</v>
      </c>
      <c r="E5581">
        <f>IF($D5581 &gt; 16, 0, $J$3*(16 - $D5581))</f>
        <v>0</v>
      </c>
      <c r="F5581">
        <f>IF($D5581 &gt; 16, 0,$E5581*$J$5)</f>
        <v>0</v>
      </c>
      <c r="G5581">
        <f t="shared" si="87"/>
        <v>0</v>
      </c>
    </row>
    <row r="5582" spans="2:7" x14ac:dyDescent="0.35">
      <c r="B5582" s="1">
        <v>45890</v>
      </c>
      <c r="C5582" s="2">
        <v>0.5</v>
      </c>
      <c r="D5582">
        <v>18.600000000000001</v>
      </c>
      <c r="E5582">
        <f>IF($D5582 &gt; 16, 0, $J$3*(16 - $D5582))</f>
        <v>0</v>
      </c>
      <c r="F5582">
        <f>IF($D5582 &gt; 16, 0,$E5582*$J$5)</f>
        <v>0</v>
      </c>
      <c r="G5582">
        <f t="shared" si="87"/>
        <v>0</v>
      </c>
    </row>
    <row r="5583" spans="2:7" x14ac:dyDescent="0.35">
      <c r="B5583" s="1">
        <v>45890</v>
      </c>
      <c r="C5583" s="2">
        <v>0.54166666666666663</v>
      </c>
      <c r="D5583">
        <v>18.3</v>
      </c>
      <c r="E5583">
        <f>IF($D5583 &gt; 16, 0, $J$3*(16 - $D5583))</f>
        <v>0</v>
      </c>
      <c r="F5583">
        <f>IF($D5583 &gt; 16, 0,$E5583*$J$5)</f>
        <v>0</v>
      </c>
      <c r="G5583">
        <f t="shared" si="87"/>
        <v>0</v>
      </c>
    </row>
    <row r="5584" spans="2:7" x14ac:dyDescent="0.35">
      <c r="B5584" s="1">
        <v>45890</v>
      </c>
      <c r="C5584" s="2">
        <v>0.58333333333333337</v>
      </c>
      <c r="D5584">
        <v>18.3</v>
      </c>
      <c r="E5584">
        <f>IF($D5584 &gt; 16, 0, $J$3*(16 - $D5584))</f>
        <v>0</v>
      </c>
      <c r="F5584">
        <f>IF($D5584 &gt; 16, 0,$E5584*$J$5)</f>
        <v>0</v>
      </c>
      <c r="G5584">
        <f t="shared" si="87"/>
        <v>0</v>
      </c>
    </row>
    <row r="5585" spans="2:7" x14ac:dyDescent="0.35">
      <c r="B5585" s="1">
        <v>45890</v>
      </c>
      <c r="C5585" s="2">
        <v>0.625</v>
      </c>
      <c r="D5585">
        <v>17.899999999999999</v>
      </c>
      <c r="E5585">
        <f>IF($D5585 &gt; 16, 0, $J$3*(16 - $D5585))</f>
        <v>0</v>
      </c>
      <c r="F5585">
        <f>IF($D5585 &gt; 16, 0,$E5585*$J$5)</f>
        <v>0</v>
      </c>
      <c r="G5585">
        <f t="shared" si="87"/>
        <v>0</v>
      </c>
    </row>
    <row r="5586" spans="2:7" x14ac:dyDescent="0.35">
      <c r="B5586" s="1">
        <v>45890</v>
      </c>
      <c r="C5586" s="2">
        <v>0.66666666666666663</v>
      </c>
      <c r="D5586">
        <v>17.2</v>
      </c>
      <c r="E5586">
        <f>IF($D5586 &gt; 16, 0, $J$3*(16 - $D5586))</f>
        <v>0</v>
      </c>
      <c r="F5586">
        <f>IF($D5586 &gt; 16, 0,$E5586*$J$5)</f>
        <v>0</v>
      </c>
      <c r="G5586">
        <f t="shared" si="87"/>
        <v>0</v>
      </c>
    </row>
    <row r="5587" spans="2:7" x14ac:dyDescent="0.35">
      <c r="B5587" s="1">
        <v>45890</v>
      </c>
      <c r="C5587" s="2">
        <v>0.70833333333333337</v>
      </c>
      <c r="D5587">
        <v>16.899999999999999</v>
      </c>
      <c r="E5587">
        <f>IF($D5587 &gt; 16, 0, $J$3*(16 - $D5587))</f>
        <v>0</v>
      </c>
      <c r="F5587">
        <f>IF($D5587 &gt; 16, 0,$E5587*$J$5)</f>
        <v>0</v>
      </c>
      <c r="G5587">
        <f t="shared" si="87"/>
        <v>0</v>
      </c>
    </row>
    <row r="5588" spans="2:7" x14ac:dyDescent="0.35">
      <c r="B5588" s="1">
        <v>45890</v>
      </c>
      <c r="C5588" s="2">
        <v>0.75</v>
      </c>
      <c r="D5588">
        <v>15.5</v>
      </c>
      <c r="E5588">
        <f>IF($D5588 &gt; 16, 0, $J$3*(16 - $D5588))</f>
        <v>103.8743213503485</v>
      </c>
      <c r="F5588">
        <f>IF($D5588 &gt; 16, 0,$E5588*$J$5)</f>
        <v>1129009.9987569377</v>
      </c>
      <c r="G5588">
        <f t="shared" si="87"/>
        <v>0.5</v>
      </c>
    </row>
    <row r="5589" spans="2:7" x14ac:dyDescent="0.35">
      <c r="B5589" s="1">
        <v>45890</v>
      </c>
      <c r="C5589" s="2">
        <v>0.79166666666666663</v>
      </c>
      <c r="D5589">
        <v>14.2</v>
      </c>
      <c r="E5589">
        <f>IF($D5589 &gt; 16, 0, $J$3*(16 - $D5589))</f>
        <v>373.94755686125472</v>
      </c>
      <c r="F5589">
        <f>IF($D5589 &gt; 16, 0,$E5589*$J$5)</f>
        <v>4064435.9955249778</v>
      </c>
      <c r="G5589">
        <f t="shared" si="87"/>
        <v>1.8000000000000007</v>
      </c>
    </row>
    <row r="5590" spans="2:7" x14ac:dyDescent="0.35">
      <c r="B5590" s="1">
        <v>45890</v>
      </c>
      <c r="C5590" s="2">
        <v>0.83333333333333337</v>
      </c>
      <c r="D5590">
        <v>13.5</v>
      </c>
      <c r="E5590">
        <f>IF($D5590 &gt; 16, 0, $J$3*(16 - $D5590))</f>
        <v>519.37160675174243</v>
      </c>
      <c r="F5590">
        <f>IF($D5590 &gt; 16, 0,$E5590*$J$5)</f>
        <v>5645049.9937846884</v>
      </c>
      <c r="G5590">
        <f t="shared" si="87"/>
        <v>2.5</v>
      </c>
    </row>
    <row r="5591" spans="2:7" x14ac:dyDescent="0.35">
      <c r="B5591" s="1">
        <v>45890</v>
      </c>
      <c r="C5591" s="2">
        <v>0.875</v>
      </c>
      <c r="D5591">
        <v>12.8</v>
      </c>
      <c r="E5591">
        <f>IF($D5591 &gt; 16, 0, $J$3*(16 - $D5591))</f>
        <v>664.79565664223026</v>
      </c>
      <c r="F5591">
        <f>IF($D5591 &gt; 16, 0,$E5591*$J$5)</f>
        <v>7225663.9920444004</v>
      </c>
      <c r="G5591">
        <f t="shared" si="87"/>
        <v>3.1999999999999993</v>
      </c>
    </row>
    <row r="5592" spans="2:7" x14ac:dyDescent="0.35">
      <c r="B5592" s="1">
        <v>45890</v>
      </c>
      <c r="C5592" s="2">
        <v>0.91666666666666663</v>
      </c>
      <c r="D5592">
        <v>12.4</v>
      </c>
      <c r="E5592">
        <f>IF($D5592 &gt; 16, 0, $J$3*(16 - $D5592))</f>
        <v>747.89511372250911</v>
      </c>
      <c r="F5592">
        <f>IF($D5592 &gt; 16, 0,$E5592*$J$5)</f>
        <v>8128871.9910499519</v>
      </c>
      <c r="G5592">
        <f t="shared" si="87"/>
        <v>3.5999999999999996</v>
      </c>
    </row>
    <row r="5593" spans="2:7" x14ac:dyDescent="0.35">
      <c r="B5593" s="1">
        <v>45890</v>
      </c>
      <c r="C5593" s="2">
        <v>0.95833333333333337</v>
      </c>
      <c r="D5593">
        <v>11.7</v>
      </c>
      <c r="E5593">
        <f>IF($D5593 &gt; 16, 0, $J$3*(16 - $D5593))</f>
        <v>893.31916361299716</v>
      </c>
      <c r="F5593">
        <f>IF($D5593 &gt; 16, 0,$E5593*$J$5)</f>
        <v>9709485.9893096667</v>
      </c>
      <c r="G5593">
        <f t="shared" si="87"/>
        <v>4.3000000000000007</v>
      </c>
    </row>
    <row r="5594" spans="2:7" x14ac:dyDescent="0.35">
      <c r="B5594" s="1">
        <v>45891</v>
      </c>
      <c r="C5594" s="2">
        <v>0</v>
      </c>
      <c r="D5594">
        <v>11.2</v>
      </c>
      <c r="E5594">
        <f>IF($D5594 &gt; 16, 0, $J$3*(16 - $D5594))</f>
        <v>997.19348496334567</v>
      </c>
      <c r="F5594">
        <f>IF($D5594 &gt; 16, 0,$E5594*$J$5)</f>
        <v>10838495.988066604</v>
      </c>
      <c r="G5594">
        <f t="shared" si="87"/>
        <v>4.8000000000000007</v>
      </c>
    </row>
    <row r="5595" spans="2:7" x14ac:dyDescent="0.35">
      <c r="B5595" s="1">
        <v>45891</v>
      </c>
      <c r="C5595" s="2">
        <v>4.1666666666666657E-2</v>
      </c>
      <c r="D5595">
        <v>10.9</v>
      </c>
      <c r="E5595">
        <f>IF($D5595 &gt; 16, 0, $J$3*(16 - $D5595))</f>
        <v>1059.5180777735545</v>
      </c>
      <c r="F5595">
        <f>IF($D5595 &gt; 16, 0,$E5595*$J$5)</f>
        <v>11515901.987320764</v>
      </c>
      <c r="G5595">
        <f t="shared" si="87"/>
        <v>5.0999999999999996</v>
      </c>
    </row>
    <row r="5596" spans="2:7" x14ac:dyDescent="0.35">
      <c r="B5596" s="1">
        <v>45891</v>
      </c>
      <c r="C5596" s="2">
        <v>8.3333333333333329E-2</v>
      </c>
      <c r="D5596">
        <v>9.4</v>
      </c>
      <c r="E5596">
        <f>IF($D5596 &gt; 16, 0, $J$3*(16 - $D5596))</f>
        <v>1371.1410418246001</v>
      </c>
      <c r="F5596">
        <f>IF($D5596 &gt; 16, 0,$E5596*$J$5)</f>
        <v>14902931.983591577</v>
      </c>
      <c r="G5596">
        <f t="shared" si="87"/>
        <v>6.6</v>
      </c>
    </row>
    <row r="5597" spans="2:7" x14ac:dyDescent="0.35">
      <c r="B5597" s="1">
        <v>45891</v>
      </c>
      <c r="C5597" s="2">
        <v>0.125</v>
      </c>
      <c r="D5597">
        <v>8.4</v>
      </c>
      <c r="E5597">
        <f>IF($D5597 &gt; 16, 0, $J$3*(16 - $D5597))</f>
        <v>1578.8896845252971</v>
      </c>
      <c r="F5597">
        <f>IF($D5597 &gt; 16, 0,$E5597*$J$5)</f>
        <v>17160951.981105454</v>
      </c>
      <c r="G5597">
        <f t="shared" si="87"/>
        <v>7.6</v>
      </c>
    </row>
    <row r="5598" spans="2:7" x14ac:dyDescent="0.35">
      <c r="B5598" s="1">
        <v>45891</v>
      </c>
      <c r="C5598" s="2">
        <v>0.16666666666666671</v>
      </c>
      <c r="D5598">
        <v>8.1999999999999993</v>
      </c>
      <c r="E5598">
        <f>IF($D5598 &gt; 16, 0, $J$3*(16 - $D5598))</f>
        <v>1620.4394130654366</v>
      </c>
      <c r="F5598">
        <f>IF($D5598 &gt; 16, 0,$E5598*$J$5)</f>
        <v>17612555.980608232</v>
      </c>
      <c r="G5598">
        <f t="shared" si="87"/>
        <v>7.8000000000000007</v>
      </c>
    </row>
    <row r="5599" spans="2:7" x14ac:dyDescent="0.35">
      <c r="B5599" s="1">
        <v>45891</v>
      </c>
      <c r="C5599" s="2">
        <v>0.20833333333333329</v>
      </c>
      <c r="D5599">
        <v>9.6</v>
      </c>
      <c r="E5599">
        <f>IF($D5599 &gt; 16, 0, $J$3*(16 - $D5599))</f>
        <v>1329.5913132844607</v>
      </c>
      <c r="F5599">
        <f>IF($D5599 &gt; 16, 0,$E5599*$J$5)</f>
        <v>14451327.984088805</v>
      </c>
      <c r="G5599">
        <f t="shared" si="87"/>
        <v>6.4</v>
      </c>
    </row>
    <row r="5600" spans="2:7" x14ac:dyDescent="0.35">
      <c r="B5600" s="1">
        <v>45891</v>
      </c>
      <c r="C5600" s="2">
        <v>0.25</v>
      </c>
      <c r="D5600">
        <v>12.2</v>
      </c>
      <c r="E5600">
        <f>IF($D5600 &gt; 16, 0, $J$3*(16 - $D5600))</f>
        <v>789.44484226264876</v>
      </c>
      <c r="F5600">
        <f>IF($D5600 &gt; 16, 0,$E5600*$J$5)</f>
        <v>8580475.990552729</v>
      </c>
      <c r="G5600">
        <f t="shared" si="87"/>
        <v>3.8000000000000007</v>
      </c>
    </row>
    <row r="5601" spans="2:7" x14ac:dyDescent="0.35">
      <c r="B5601" s="1">
        <v>45891</v>
      </c>
      <c r="C5601" s="2">
        <v>0.29166666666666669</v>
      </c>
      <c r="D5601">
        <v>13.5</v>
      </c>
      <c r="E5601">
        <f>IF($D5601 &gt; 16, 0, $J$3*(16 - $D5601))</f>
        <v>519.37160675174243</v>
      </c>
      <c r="F5601">
        <f>IF($D5601 &gt; 16, 0,$E5601*$J$5)</f>
        <v>5645049.9937846884</v>
      </c>
      <c r="G5601">
        <f t="shared" si="87"/>
        <v>2.5</v>
      </c>
    </row>
    <row r="5602" spans="2:7" x14ac:dyDescent="0.35">
      <c r="B5602" s="1">
        <v>45891</v>
      </c>
      <c r="C5602" s="2">
        <v>0.33333333333333331</v>
      </c>
      <c r="D5602">
        <v>14.8</v>
      </c>
      <c r="E5602">
        <f>IF($D5602 &gt; 16, 0, $J$3*(16 - $D5602))</f>
        <v>249.29837124083625</v>
      </c>
      <c r="F5602">
        <f>IF($D5602 &gt; 16, 0,$E5602*$J$5)</f>
        <v>2709623.9970166492</v>
      </c>
      <c r="G5602">
        <f t="shared" si="87"/>
        <v>1.1999999999999993</v>
      </c>
    </row>
    <row r="5603" spans="2:7" x14ac:dyDescent="0.35">
      <c r="B5603" s="1">
        <v>45891</v>
      </c>
      <c r="C5603" s="2">
        <v>0.375</v>
      </c>
      <c r="D5603">
        <v>14.4</v>
      </c>
      <c r="E5603">
        <f>IF($D5603 &gt; 16, 0, $J$3*(16 - $D5603))</f>
        <v>332.39782832111513</v>
      </c>
      <c r="F5603">
        <f>IF($D5603 &gt; 16, 0,$E5603*$J$5)</f>
        <v>3612831.9960222002</v>
      </c>
      <c r="G5603">
        <f t="shared" si="87"/>
        <v>1.5999999999999996</v>
      </c>
    </row>
    <row r="5604" spans="2:7" x14ac:dyDescent="0.35">
      <c r="B5604" s="1">
        <v>45891</v>
      </c>
      <c r="C5604" s="2">
        <v>0.41666666666666669</v>
      </c>
      <c r="D5604">
        <v>15</v>
      </c>
      <c r="E5604">
        <f>IF($D5604 &gt; 16, 0, $J$3*(16 - $D5604))</f>
        <v>207.74864270069699</v>
      </c>
      <c r="F5604">
        <f>IF($D5604 &gt; 16, 0,$E5604*$J$5)</f>
        <v>2258019.9975138754</v>
      </c>
      <c r="G5604">
        <f t="shared" si="87"/>
        <v>1</v>
      </c>
    </row>
    <row r="5605" spans="2:7" x14ac:dyDescent="0.35">
      <c r="B5605" s="1">
        <v>45891</v>
      </c>
      <c r="C5605" s="2">
        <v>0.45833333333333331</v>
      </c>
      <c r="D5605">
        <v>15.1</v>
      </c>
      <c r="E5605">
        <f>IF($D5605 &gt; 16, 0, $J$3*(16 - $D5605))</f>
        <v>186.97377843062736</v>
      </c>
      <c r="F5605">
        <f>IF($D5605 &gt; 16, 0,$E5605*$J$5)</f>
        <v>2032217.9977624889</v>
      </c>
      <c r="G5605">
        <f t="shared" si="87"/>
        <v>0.90000000000000036</v>
      </c>
    </row>
    <row r="5606" spans="2:7" x14ac:dyDescent="0.35">
      <c r="B5606" s="1">
        <v>45891</v>
      </c>
      <c r="C5606" s="2">
        <v>0.5</v>
      </c>
      <c r="D5606">
        <v>15.5</v>
      </c>
      <c r="E5606">
        <f>IF($D5606 &gt; 16, 0, $J$3*(16 - $D5606))</f>
        <v>103.8743213503485</v>
      </c>
      <c r="F5606">
        <f>IF($D5606 &gt; 16, 0,$E5606*$J$5)</f>
        <v>1129009.9987569377</v>
      </c>
      <c r="G5606">
        <f t="shared" si="87"/>
        <v>0.5</v>
      </c>
    </row>
    <row r="5607" spans="2:7" x14ac:dyDescent="0.35">
      <c r="B5607" s="1">
        <v>45891</v>
      </c>
      <c r="C5607" s="2">
        <v>0.54166666666666663</v>
      </c>
      <c r="D5607">
        <v>14.2</v>
      </c>
      <c r="E5607">
        <f>IF($D5607 &gt; 16, 0, $J$3*(16 - $D5607))</f>
        <v>373.94755686125472</v>
      </c>
      <c r="F5607">
        <f>IF($D5607 &gt; 16, 0,$E5607*$J$5)</f>
        <v>4064435.9955249778</v>
      </c>
      <c r="G5607">
        <f t="shared" si="87"/>
        <v>1.8000000000000007</v>
      </c>
    </row>
    <row r="5608" spans="2:7" x14ac:dyDescent="0.35">
      <c r="B5608" s="1">
        <v>45891</v>
      </c>
      <c r="C5608" s="2">
        <v>0.58333333333333337</v>
      </c>
      <c r="D5608">
        <v>15.8</v>
      </c>
      <c r="E5608">
        <f>IF($D5608 &gt; 16, 0, $J$3*(16 - $D5608))</f>
        <v>41.549728540139249</v>
      </c>
      <c r="F5608">
        <f>IF($D5608 &gt; 16, 0,$E5608*$J$5)</f>
        <v>451603.99950277351</v>
      </c>
      <c r="G5608">
        <f t="shared" si="87"/>
        <v>0.19999999999999929</v>
      </c>
    </row>
    <row r="5609" spans="2:7" x14ac:dyDescent="0.35">
      <c r="B5609" s="1">
        <v>45891</v>
      </c>
      <c r="C5609" s="2">
        <v>0.625</v>
      </c>
      <c r="D5609">
        <v>16.399999999999999</v>
      </c>
      <c r="E5609">
        <f>IF($D5609 &gt; 16, 0, $J$3*(16 - $D5609))</f>
        <v>0</v>
      </c>
      <c r="F5609">
        <f>IF($D5609 &gt; 16, 0,$E5609*$J$5)</f>
        <v>0</v>
      </c>
      <c r="G5609">
        <f t="shared" si="87"/>
        <v>0</v>
      </c>
    </row>
    <row r="5610" spans="2:7" x14ac:dyDescent="0.35">
      <c r="B5610" s="1">
        <v>45891</v>
      </c>
      <c r="C5610" s="2">
        <v>0.66666666666666663</v>
      </c>
      <c r="D5610">
        <v>15.8</v>
      </c>
      <c r="E5610">
        <f>IF($D5610 &gt; 16, 0, $J$3*(16 - $D5610))</f>
        <v>41.549728540139249</v>
      </c>
      <c r="F5610">
        <f>IF($D5610 &gt; 16, 0,$E5610*$J$5)</f>
        <v>451603.99950277351</v>
      </c>
      <c r="G5610">
        <f t="shared" si="87"/>
        <v>0.19999999999999929</v>
      </c>
    </row>
    <row r="5611" spans="2:7" x14ac:dyDescent="0.35">
      <c r="B5611" s="1">
        <v>45891</v>
      </c>
      <c r="C5611" s="2">
        <v>0.70833333333333337</v>
      </c>
      <c r="D5611">
        <v>15.8</v>
      </c>
      <c r="E5611">
        <f>IF($D5611 &gt; 16, 0, $J$3*(16 - $D5611))</f>
        <v>41.549728540139249</v>
      </c>
      <c r="F5611">
        <f>IF($D5611 &gt; 16, 0,$E5611*$J$5)</f>
        <v>451603.99950277351</v>
      </c>
      <c r="G5611">
        <f t="shared" si="87"/>
        <v>0.19999999999999929</v>
      </c>
    </row>
    <row r="5612" spans="2:7" x14ac:dyDescent="0.35">
      <c r="B5612" s="1">
        <v>45891</v>
      </c>
      <c r="C5612" s="2">
        <v>0.75</v>
      </c>
      <c r="D5612">
        <v>15</v>
      </c>
      <c r="E5612">
        <f>IF($D5612 &gt; 16, 0, $J$3*(16 - $D5612))</f>
        <v>207.74864270069699</v>
      </c>
      <c r="F5612">
        <f>IF($D5612 &gt; 16, 0,$E5612*$J$5)</f>
        <v>2258019.9975138754</v>
      </c>
      <c r="G5612">
        <f t="shared" si="87"/>
        <v>1</v>
      </c>
    </row>
    <row r="5613" spans="2:7" x14ac:dyDescent="0.35">
      <c r="B5613" s="1">
        <v>45891</v>
      </c>
      <c r="C5613" s="2">
        <v>0.79166666666666663</v>
      </c>
      <c r="D5613">
        <v>14.2</v>
      </c>
      <c r="E5613">
        <f>IF($D5613 &gt; 16, 0, $J$3*(16 - $D5613))</f>
        <v>373.94755686125472</v>
      </c>
      <c r="F5613">
        <f>IF($D5613 &gt; 16, 0,$E5613*$J$5)</f>
        <v>4064435.9955249778</v>
      </c>
      <c r="G5613">
        <f t="shared" si="87"/>
        <v>1.8000000000000007</v>
      </c>
    </row>
    <row r="5614" spans="2:7" x14ac:dyDescent="0.35">
      <c r="B5614" s="1">
        <v>45891</v>
      </c>
      <c r="C5614" s="2">
        <v>0.83333333333333337</v>
      </c>
      <c r="D5614">
        <v>13.4</v>
      </c>
      <c r="E5614">
        <f>IF($D5614 &gt; 16, 0, $J$3*(16 - $D5614))</f>
        <v>540.14647102181209</v>
      </c>
      <c r="F5614">
        <f>IF($D5614 &gt; 16, 0,$E5614*$J$5)</f>
        <v>5870851.9935360756</v>
      </c>
      <c r="G5614">
        <f t="shared" si="87"/>
        <v>2.5999999999999996</v>
      </c>
    </row>
    <row r="5615" spans="2:7" x14ac:dyDescent="0.35">
      <c r="B5615" s="1">
        <v>45891</v>
      </c>
      <c r="C5615" s="2">
        <v>0.875</v>
      </c>
      <c r="D5615">
        <v>13</v>
      </c>
      <c r="E5615">
        <f>IF($D5615 &gt; 16, 0, $J$3*(16 - $D5615))</f>
        <v>623.24592810209094</v>
      </c>
      <c r="F5615">
        <f>IF($D5615 &gt; 16, 0,$E5615*$J$5)</f>
        <v>6774059.9925416261</v>
      </c>
      <c r="G5615">
        <f t="shared" si="87"/>
        <v>3</v>
      </c>
    </row>
    <row r="5616" spans="2:7" x14ac:dyDescent="0.35">
      <c r="B5616" s="1">
        <v>45891</v>
      </c>
      <c r="C5616" s="2">
        <v>0.91666666666666663</v>
      </c>
      <c r="D5616">
        <v>11.7</v>
      </c>
      <c r="E5616">
        <f>IF($D5616 &gt; 16, 0, $J$3*(16 - $D5616))</f>
        <v>893.31916361299716</v>
      </c>
      <c r="F5616">
        <f>IF($D5616 &gt; 16, 0,$E5616*$J$5)</f>
        <v>9709485.9893096667</v>
      </c>
      <c r="G5616">
        <f t="shared" si="87"/>
        <v>4.3000000000000007</v>
      </c>
    </row>
    <row r="5617" spans="2:7" x14ac:dyDescent="0.35">
      <c r="B5617" s="1">
        <v>45891</v>
      </c>
      <c r="C5617" s="2">
        <v>0.95833333333333337</v>
      </c>
      <c r="D5617">
        <v>12.1</v>
      </c>
      <c r="E5617">
        <f>IF($D5617 &gt; 16, 0, $J$3*(16 - $D5617))</f>
        <v>810.21970653271831</v>
      </c>
      <c r="F5617">
        <f>IF($D5617 &gt; 16, 0,$E5617*$J$5)</f>
        <v>8806277.9903041162</v>
      </c>
      <c r="G5617">
        <f t="shared" si="87"/>
        <v>3.9000000000000004</v>
      </c>
    </row>
    <row r="5618" spans="2:7" x14ac:dyDescent="0.35">
      <c r="B5618" s="1">
        <v>45892</v>
      </c>
      <c r="C5618" s="2">
        <v>0</v>
      </c>
      <c r="D5618">
        <v>11.6</v>
      </c>
      <c r="E5618">
        <f>IF($D5618 &gt; 16, 0, $J$3*(16 - $D5618))</f>
        <v>914.09402788306681</v>
      </c>
      <c r="F5618">
        <f>IF($D5618 &gt; 16, 0,$E5618*$J$5)</f>
        <v>9935287.9890610538</v>
      </c>
      <c r="G5618">
        <f t="shared" si="87"/>
        <v>4.4000000000000004</v>
      </c>
    </row>
    <row r="5619" spans="2:7" x14ac:dyDescent="0.35">
      <c r="B5619" s="1">
        <v>45892</v>
      </c>
      <c r="C5619" s="2">
        <v>4.1666666666666657E-2</v>
      </c>
      <c r="D5619">
        <v>11.5</v>
      </c>
      <c r="E5619">
        <f>IF($D5619 &gt; 16, 0, $J$3*(16 - $D5619))</f>
        <v>934.86889215313647</v>
      </c>
      <c r="F5619">
        <f>IF($D5619 &gt; 16, 0,$E5619*$J$5)</f>
        <v>10161089.988812441</v>
      </c>
      <c r="G5619">
        <f t="shared" si="87"/>
        <v>4.5</v>
      </c>
    </row>
    <row r="5620" spans="2:7" x14ac:dyDescent="0.35">
      <c r="B5620" s="1">
        <v>45892</v>
      </c>
      <c r="C5620" s="2">
        <v>8.3333333333333329E-2</v>
      </c>
      <c r="D5620">
        <v>10.9</v>
      </c>
      <c r="E5620">
        <f>IF($D5620 &gt; 16, 0, $J$3*(16 - $D5620))</f>
        <v>1059.5180777735545</v>
      </c>
      <c r="F5620">
        <f>IF($D5620 &gt; 16, 0,$E5620*$J$5)</f>
        <v>11515901.987320764</v>
      </c>
      <c r="G5620">
        <f t="shared" si="87"/>
        <v>5.0999999999999996</v>
      </c>
    </row>
    <row r="5621" spans="2:7" x14ac:dyDescent="0.35">
      <c r="B5621" s="1">
        <v>45892</v>
      </c>
      <c r="C5621" s="2">
        <v>0.125</v>
      </c>
      <c r="D5621">
        <v>11.2</v>
      </c>
      <c r="E5621">
        <f>IF($D5621 &gt; 16, 0, $J$3*(16 - $D5621))</f>
        <v>997.19348496334567</v>
      </c>
      <c r="F5621">
        <f>IF($D5621 &gt; 16, 0,$E5621*$J$5)</f>
        <v>10838495.988066604</v>
      </c>
      <c r="G5621">
        <f t="shared" si="87"/>
        <v>4.8000000000000007</v>
      </c>
    </row>
    <row r="5622" spans="2:7" x14ac:dyDescent="0.35">
      <c r="B5622" s="1">
        <v>45892</v>
      </c>
      <c r="C5622" s="2">
        <v>0.16666666666666671</v>
      </c>
      <c r="D5622">
        <v>10.5</v>
      </c>
      <c r="E5622">
        <f>IF($D5622 &gt; 16, 0, $J$3*(16 - $D5622))</f>
        <v>1142.6175348538334</v>
      </c>
      <c r="F5622">
        <f>IF($D5622 &gt; 16, 0,$E5622*$J$5)</f>
        <v>12419109.986326315</v>
      </c>
      <c r="G5622">
        <f t="shared" si="87"/>
        <v>5.5</v>
      </c>
    </row>
    <row r="5623" spans="2:7" x14ac:dyDescent="0.35">
      <c r="B5623" s="1">
        <v>45892</v>
      </c>
      <c r="C5623" s="2">
        <v>0.20833333333333329</v>
      </c>
      <c r="D5623">
        <v>10.8</v>
      </c>
      <c r="E5623">
        <f>IF($D5623 &gt; 16, 0, $J$3*(16 - $D5623))</f>
        <v>1080.2929420436242</v>
      </c>
      <c r="F5623">
        <f>IF($D5623 &gt; 16, 0,$E5623*$J$5)</f>
        <v>11741703.987072151</v>
      </c>
      <c r="G5623">
        <f t="shared" si="87"/>
        <v>5.1999999999999993</v>
      </c>
    </row>
    <row r="5624" spans="2:7" x14ac:dyDescent="0.35">
      <c r="B5624" s="1">
        <v>45892</v>
      </c>
      <c r="C5624" s="2">
        <v>0.25</v>
      </c>
      <c r="D5624">
        <v>12.2</v>
      </c>
      <c r="E5624">
        <f>IF($D5624 &gt; 16, 0, $J$3*(16 - $D5624))</f>
        <v>789.44484226264876</v>
      </c>
      <c r="F5624">
        <f>IF($D5624 &gt; 16, 0,$E5624*$J$5)</f>
        <v>8580475.990552729</v>
      </c>
      <c r="G5624">
        <f t="shared" si="87"/>
        <v>3.8000000000000007</v>
      </c>
    </row>
    <row r="5625" spans="2:7" x14ac:dyDescent="0.35">
      <c r="B5625" s="1">
        <v>45892</v>
      </c>
      <c r="C5625" s="2">
        <v>0.29166666666666669</v>
      </c>
      <c r="D5625">
        <v>12.9</v>
      </c>
      <c r="E5625">
        <f>IF($D5625 &gt; 16, 0, $J$3*(16 - $D5625))</f>
        <v>644.0207923721606</v>
      </c>
      <c r="F5625">
        <f>IF($D5625 &gt; 16, 0,$E5625*$J$5)</f>
        <v>6999861.9922930133</v>
      </c>
      <c r="G5625">
        <f t="shared" si="87"/>
        <v>3.0999999999999996</v>
      </c>
    </row>
    <row r="5626" spans="2:7" x14ac:dyDescent="0.35">
      <c r="B5626" s="1">
        <v>45892</v>
      </c>
      <c r="C5626" s="2">
        <v>0.33333333333333331</v>
      </c>
      <c r="D5626">
        <v>14</v>
      </c>
      <c r="E5626">
        <f>IF($D5626 &gt; 16, 0, $J$3*(16 - $D5626))</f>
        <v>415.49728540139398</v>
      </c>
      <c r="F5626">
        <f>IF($D5626 &gt; 16, 0,$E5626*$J$5)</f>
        <v>4516039.9950277507</v>
      </c>
      <c r="G5626">
        <f t="shared" si="87"/>
        <v>2</v>
      </c>
    </row>
    <row r="5627" spans="2:7" x14ac:dyDescent="0.35">
      <c r="B5627" s="1">
        <v>45892</v>
      </c>
      <c r="C5627" s="2">
        <v>0.375</v>
      </c>
      <c r="D5627">
        <v>15.2</v>
      </c>
      <c r="E5627">
        <f>IF($D5627 &gt; 16, 0, $J$3*(16 - $D5627))</f>
        <v>166.19891416055773</v>
      </c>
      <c r="F5627">
        <f>IF($D5627 &gt; 16, 0,$E5627*$J$5)</f>
        <v>1806415.998011102</v>
      </c>
      <c r="G5627">
        <f t="shared" si="87"/>
        <v>0.80000000000000071</v>
      </c>
    </row>
    <row r="5628" spans="2:7" x14ac:dyDescent="0.35">
      <c r="B5628" s="1">
        <v>45892</v>
      </c>
      <c r="C5628" s="2">
        <v>0.41666666666666669</v>
      </c>
      <c r="D5628">
        <v>16.2</v>
      </c>
      <c r="E5628">
        <f>IF($D5628 &gt; 16, 0, $J$3*(16 - $D5628))</f>
        <v>0</v>
      </c>
      <c r="F5628">
        <f>IF($D5628 &gt; 16, 0,$E5628*$J$5)</f>
        <v>0</v>
      </c>
      <c r="G5628">
        <f t="shared" si="87"/>
        <v>0</v>
      </c>
    </row>
    <row r="5629" spans="2:7" x14ac:dyDescent="0.35">
      <c r="B5629" s="1">
        <v>45892</v>
      </c>
      <c r="C5629" s="2">
        <v>0.45833333333333331</v>
      </c>
      <c r="D5629">
        <v>17.399999999999999</v>
      </c>
      <c r="E5629">
        <f>IF($D5629 &gt; 16, 0, $J$3*(16 - $D5629))</f>
        <v>0</v>
      </c>
      <c r="F5629">
        <f>IF($D5629 &gt; 16, 0,$E5629*$J$5)</f>
        <v>0</v>
      </c>
      <c r="G5629">
        <f t="shared" si="87"/>
        <v>0</v>
      </c>
    </row>
    <row r="5630" spans="2:7" x14ac:dyDescent="0.35">
      <c r="B5630" s="1">
        <v>45892</v>
      </c>
      <c r="C5630" s="2">
        <v>0.5</v>
      </c>
      <c r="D5630">
        <v>18</v>
      </c>
      <c r="E5630">
        <f>IF($D5630 &gt; 16, 0, $J$3*(16 - $D5630))</f>
        <v>0</v>
      </c>
      <c r="F5630">
        <f>IF($D5630 &gt; 16, 0,$E5630*$J$5)</f>
        <v>0</v>
      </c>
      <c r="G5630">
        <f t="shared" si="87"/>
        <v>0</v>
      </c>
    </row>
    <row r="5631" spans="2:7" x14ac:dyDescent="0.35">
      <c r="B5631" s="1">
        <v>45892</v>
      </c>
      <c r="C5631" s="2">
        <v>0.54166666666666663</v>
      </c>
      <c r="D5631">
        <v>18.899999999999999</v>
      </c>
      <c r="E5631">
        <f>IF($D5631 &gt; 16, 0, $J$3*(16 - $D5631))</f>
        <v>0</v>
      </c>
      <c r="F5631">
        <f>IF($D5631 &gt; 16, 0,$E5631*$J$5)</f>
        <v>0</v>
      </c>
      <c r="G5631">
        <f t="shared" si="87"/>
        <v>0</v>
      </c>
    </row>
    <row r="5632" spans="2:7" x14ac:dyDescent="0.35">
      <c r="B5632" s="1">
        <v>45892</v>
      </c>
      <c r="C5632" s="2">
        <v>0.58333333333333337</v>
      </c>
      <c r="D5632">
        <v>18.2</v>
      </c>
      <c r="E5632">
        <f>IF($D5632 &gt; 16, 0, $J$3*(16 - $D5632))</f>
        <v>0</v>
      </c>
      <c r="F5632">
        <f>IF($D5632 &gt; 16, 0,$E5632*$J$5)</f>
        <v>0</v>
      </c>
      <c r="G5632">
        <f t="shared" si="87"/>
        <v>0</v>
      </c>
    </row>
    <row r="5633" spans="2:7" x14ac:dyDescent="0.35">
      <c r="B5633" s="1">
        <v>45892</v>
      </c>
      <c r="C5633" s="2">
        <v>0.625</v>
      </c>
      <c r="D5633">
        <v>18.100000000000001</v>
      </c>
      <c r="E5633">
        <f>IF($D5633 &gt; 16, 0, $J$3*(16 - $D5633))</f>
        <v>0</v>
      </c>
      <c r="F5633">
        <f>IF($D5633 &gt; 16, 0,$E5633*$J$5)</f>
        <v>0</v>
      </c>
      <c r="G5633">
        <f t="shared" si="87"/>
        <v>0</v>
      </c>
    </row>
    <row r="5634" spans="2:7" x14ac:dyDescent="0.35">
      <c r="B5634" s="1">
        <v>45892</v>
      </c>
      <c r="C5634" s="2">
        <v>0.66666666666666663</v>
      </c>
      <c r="D5634">
        <v>17.399999999999999</v>
      </c>
      <c r="E5634">
        <f>IF($D5634 &gt; 16, 0, $J$3*(16 - $D5634))</f>
        <v>0</v>
      </c>
      <c r="F5634">
        <f>IF($D5634 &gt; 16, 0,$E5634*$J$5)</f>
        <v>0</v>
      </c>
      <c r="G5634">
        <f t="shared" si="87"/>
        <v>0</v>
      </c>
    </row>
    <row r="5635" spans="2:7" x14ac:dyDescent="0.35">
      <c r="B5635" s="1">
        <v>45892</v>
      </c>
      <c r="C5635" s="2">
        <v>0.70833333333333337</v>
      </c>
      <c r="D5635">
        <v>18.2</v>
      </c>
      <c r="E5635">
        <f>IF($D5635 &gt; 16, 0, $J$3*(16 - $D5635))</f>
        <v>0</v>
      </c>
      <c r="F5635">
        <f>IF($D5635 &gt; 16, 0,$E5635*$J$5)</f>
        <v>0</v>
      </c>
      <c r="G5635">
        <f t="shared" ref="G5635:G5698" si="88">MAX(0, 16 - $D5635)</f>
        <v>0</v>
      </c>
    </row>
    <row r="5636" spans="2:7" x14ac:dyDescent="0.35">
      <c r="B5636" s="1">
        <v>45892</v>
      </c>
      <c r="C5636" s="2">
        <v>0.75</v>
      </c>
      <c r="D5636">
        <v>16.5</v>
      </c>
      <c r="E5636">
        <f>IF($D5636 &gt; 16, 0, $J$3*(16 - $D5636))</f>
        <v>0</v>
      </c>
      <c r="F5636">
        <f>IF($D5636 &gt; 16, 0,$E5636*$J$5)</f>
        <v>0</v>
      </c>
      <c r="G5636">
        <f t="shared" si="88"/>
        <v>0</v>
      </c>
    </row>
    <row r="5637" spans="2:7" x14ac:dyDescent="0.35">
      <c r="B5637" s="1">
        <v>45892</v>
      </c>
      <c r="C5637" s="2">
        <v>0.79166666666666663</v>
      </c>
      <c r="D5637">
        <v>14.9</v>
      </c>
      <c r="E5637">
        <f>IF($D5637 &gt; 16, 0, $J$3*(16 - $D5637))</f>
        <v>228.52350697076662</v>
      </c>
      <c r="F5637">
        <f>IF($D5637 &gt; 16, 0,$E5637*$J$5)</f>
        <v>2483821.9972652625</v>
      </c>
      <c r="G5637">
        <f t="shared" si="88"/>
        <v>1.0999999999999996</v>
      </c>
    </row>
    <row r="5638" spans="2:7" x14ac:dyDescent="0.35">
      <c r="B5638" s="1">
        <v>45892</v>
      </c>
      <c r="C5638" s="2">
        <v>0.83333333333333337</v>
      </c>
      <c r="D5638">
        <v>13.8</v>
      </c>
      <c r="E5638">
        <f>IF($D5638 &gt; 16, 0, $J$3*(16 - $D5638))</f>
        <v>457.04701394153324</v>
      </c>
      <c r="F5638">
        <f>IF($D5638 &gt; 16, 0,$E5638*$J$5)</f>
        <v>4967643.9945305251</v>
      </c>
      <c r="G5638">
        <f t="shared" si="88"/>
        <v>2.1999999999999993</v>
      </c>
    </row>
    <row r="5639" spans="2:7" x14ac:dyDescent="0.35">
      <c r="B5639" s="1">
        <v>45892</v>
      </c>
      <c r="C5639" s="2">
        <v>0.875</v>
      </c>
      <c r="D5639">
        <v>12.8</v>
      </c>
      <c r="E5639">
        <f>IF($D5639 &gt; 16, 0, $J$3*(16 - $D5639))</f>
        <v>664.79565664223026</v>
      </c>
      <c r="F5639">
        <f>IF($D5639 &gt; 16, 0,$E5639*$J$5)</f>
        <v>7225663.9920444004</v>
      </c>
      <c r="G5639">
        <f t="shared" si="88"/>
        <v>3.1999999999999993</v>
      </c>
    </row>
    <row r="5640" spans="2:7" x14ac:dyDescent="0.35">
      <c r="B5640" s="1">
        <v>45892</v>
      </c>
      <c r="C5640" s="2">
        <v>0.91666666666666663</v>
      </c>
      <c r="D5640">
        <v>11.9</v>
      </c>
      <c r="E5640">
        <f>IF($D5640 &gt; 16, 0, $J$3*(16 - $D5640))</f>
        <v>851.76943507285762</v>
      </c>
      <c r="F5640">
        <f>IF($D5640 &gt; 16, 0,$E5640*$J$5)</f>
        <v>9257881.9898068886</v>
      </c>
      <c r="G5640">
        <f t="shared" si="88"/>
        <v>4.0999999999999996</v>
      </c>
    </row>
    <row r="5641" spans="2:7" x14ac:dyDescent="0.35">
      <c r="B5641" s="1">
        <v>45892</v>
      </c>
      <c r="C5641" s="2">
        <v>0.95833333333333337</v>
      </c>
      <c r="D5641">
        <v>11.3</v>
      </c>
      <c r="E5641">
        <f>IF($D5641 &gt; 16, 0, $J$3*(16 - $D5641))</f>
        <v>976.41862069327567</v>
      </c>
      <c r="F5641">
        <f>IF($D5641 &gt; 16, 0,$E5641*$J$5)</f>
        <v>10612693.988315213</v>
      </c>
      <c r="G5641">
        <f t="shared" si="88"/>
        <v>4.6999999999999993</v>
      </c>
    </row>
    <row r="5642" spans="2:7" x14ac:dyDescent="0.35">
      <c r="B5642" s="1">
        <v>45893</v>
      </c>
      <c r="C5642" s="2">
        <v>0</v>
      </c>
      <c r="D5642">
        <v>10.3</v>
      </c>
      <c r="E5642">
        <f>IF($D5642 &gt; 16, 0, $J$3*(16 - $D5642))</f>
        <v>1184.1672633939727</v>
      </c>
      <c r="F5642">
        <f>IF($D5642 &gt; 16, 0,$E5642*$J$5)</f>
        <v>12870713.985829089</v>
      </c>
      <c r="G5642">
        <f t="shared" si="88"/>
        <v>5.6999999999999993</v>
      </c>
    </row>
    <row r="5643" spans="2:7" x14ac:dyDescent="0.35">
      <c r="B5643" s="1">
        <v>45893</v>
      </c>
      <c r="C5643" s="2">
        <v>4.1666666666666657E-2</v>
      </c>
      <c r="D5643">
        <v>9.1999999999999993</v>
      </c>
      <c r="E5643">
        <f>IF($D5643 &gt; 16, 0, $J$3*(16 - $D5643))</f>
        <v>1412.6907703647396</v>
      </c>
      <c r="F5643">
        <f>IF($D5643 &gt; 16, 0,$E5643*$J$5)</f>
        <v>15354535.983094355</v>
      </c>
      <c r="G5643">
        <f t="shared" si="88"/>
        <v>6.8000000000000007</v>
      </c>
    </row>
    <row r="5644" spans="2:7" x14ac:dyDescent="0.35">
      <c r="B5644" s="1">
        <v>45893</v>
      </c>
      <c r="C5644" s="2">
        <v>8.3333333333333329E-2</v>
      </c>
      <c r="D5644">
        <v>9</v>
      </c>
      <c r="E5644">
        <f>IF($D5644 &gt; 16, 0, $J$3*(16 - $D5644))</f>
        <v>1454.2404989048789</v>
      </c>
      <c r="F5644">
        <f>IF($D5644 &gt; 16, 0,$E5644*$J$5)</f>
        <v>15806139.982597129</v>
      </c>
      <c r="G5644">
        <f t="shared" si="88"/>
        <v>7</v>
      </c>
    </row>
    <row r="5645" spans="2:7" x14ac:dyDescent="0.35">
      <c r="B5645" s="1">
        <v>45893</v>
      </c>
      <c r="C5645" s="2">
        <v>0.125</v>
      </c>
      <c r="D5645">
        <v>8.6</v>
      </c>
      <c r="E5645">
        <f>IF($D5645 &gt; 16, 0, $J$3*(16 - $D5645))</f>
        <v>1537.3399559851578</v>
      </c>
      <c r="F5645">
        <f>IF($D5645 &gt; 16, 0,$E5645*$J$5)</f>
        <v>16709347.98160268</v>
      </c>
      <c r="G5645">
        <f t="shared" si="88"/>
        <v>7.4</v>
      </c>
    </row>
    <row r="5646" spans="2:7" x14ac:dyDescent="0.35">
      <c r="B5646" s="1">
        <v>45893</v>
      </c>
      <c r="C5646" s="2">
        <v>0.16666666666666671</v>
      </c>
      <c r="D5646">
        <v>8.6999999999999993</v>
      </c>
      <c r="E5646">
        <f>IF($D5646 &gt; 16, 0, $J$3*(16 - $D5646))</f>
        <v>1516.5650917150881</v>
      </c>
      <c r="F5646">
        <f>IF($D5646 &gt; 16, 0,$E5646*$J$5)</f>
        <v>16483545.981851293</v>
      </c>
      <c r="G5646">
        <f t="shared" si="88"/>
        <v>7.3000000000000007</v>
      </c>
    </row>
    <row r="5647" spans="2:7" x14ac:dyDescent="0.35">
      <c r="B5647" s="1">
        <v>45893</v>
      </c>
      <c r="C5647" s="2">
        <v>0.20833333333333329</v>
      </c>
      <c r="D5647">
        <v>9</v>
      </c>
      <c r="E5647">
        <f>IF($D5647 &gt; 16, 0, $J$3*(16 - $D5647))</f>
        <v>1454.2404989048789</v>
      </c>
      <c r="F5647">
        <f>IF($D5647 &gt; 16, 0,$E5647*$J$5)</f>
        <v>15806139.982597129</v>
      </c>
      <c r="G5647">
        <f t="shared" si="88"/>
        <v>7</v>
      </c>
    </row>
    <row r="5648" spans="2:7" x14ac:dyDescent="0.35">
      <c r="B5648" s="1">
        <v>45893</v>
      </c>
      <c r="C5648" s="2">
        <v>0.25</v>
      </c>
      <c r="D5648">
        <v>12.1</v>
      </c>
      <c r="E5648">
        <f>IF($D5648 &gt; 16, 0, $J$3*(16 - $D5648))</f>
        <v>810.21970653271831</v>
      </c>
      <c r="F5648">
        <f>IF($D5648 &gt; 16, 0,$E5648*$J$5)</f>
        <v>8806277.9903041162</v>
      </c>
      <c r="G5648">
        <f t="shared" si="88"/>
        <v>3.9000000000000004</v>
      </c>
    </row>
    <row r="5649" spans="2:7" x14ac:dyDescent="0.35">
      <c r="B5649" s="1">
        <v>45893</v>
      </c>
      <c r="C5649" s="2">
        <v>0.29166666666666669</v>
      </c>
      <c r="D5649">
        <v>13.6</v>
      </c>
      <c r="E5649">
        <f>IF($D5649 &gt; 16, 0, $J$3*(16 - $D5649))</f>
        <v>498.59674248167283</v>
      </c>
      <c r="F5649">
        <f>IF($D5649 &gt; 16, 0,$E5649*$J$5)</f>
        <v>5419247.9940333022</v>
      </c>
      <c r="G5649">
        <f t="shared" si="88"/>
        <v>2.4000000000000004</v>
      </c>
    </row>
    <row r="5650" spans="2:7" x14ac:dyDescent="0.35">
      <c r="B5650" s="1">
        <v>45893</v>
      </c>
      <c r="C5650" s="2">
        <v>0.33333333333333331</v>
      </c>
      <c r="D5650">
        <v>15.6</v>
      </c>
      <c r="E5650">
        <f>IF($D5650 &gt; 16, 0, $J$3*(16 - $D5650))</f>
        <v>83.099457080278867</v>
      </c>
      <c r="F5650">
        <f>IF($D5650 &gt; 16, 0,$E5650*$J$5)</f>
        <v>903207.99900555098</v>
      </c>
      <c r="G5650">
        <f t="shared" si="88"/>
        <v>0.40000000000000036</v>
      </c>
    </row>
    <row r="5651" spans="2:7" x14ac:dyDescent="0.35">
      <c r="B5651" s="1">
        <v>45893</v>
      </c>
      <c r="C5651" s="2">
        <v>0.375</v>
      </c>
      <c r="D5651">
        <v>15.2</v>
      </c>
      <c r="E5651">
        <f>IF($D5651 &gt; 16, 0, $J$3*(16 - $D5651))</f>
        <v>166.19891416055773</v>
      </c>
      <c r="F5651">
        <f>IF($D5651 &gt; 16, 0,$E5651*$J$5)</f>
        <v>1806415.998011102</v>
      </c>
      <c r="G5651">
        <f t="shared" si="88"/>
        <v>0.80000000000000071</v>
      </c>
    </row>
    <row r="5652" spans="2:7" x14ac:dyDescent="0.35">
      <c r="B5652" s="1">
        <v>45893</v>
      </c>
      <c r="C5652" s="2">
        <v>0.41666666666666669</v>
      </c>
      <c r="D5652">
        <v>15.7</v>
      </c>
      <c r="E5652">
        <f>IF($D5652 &gt; 16, 0, $J$3*(16 - $D5652))</f>
        <v>62.324592810209246</v>
      </c>
      <c r="F5652">
        <f>IF($D5652 &gt; 16, 0,$E5652*$J$5)</f>
        <v>677405.99925416429</v>
      </c>
      <c r="G5652">
        <f t="shared" si="88"/>
        <v>0.30000000000000071</v>
      </c>
    </row>
    <row r="5653" spans="2:7" x14ac:dyDescent="0.35">
      <c r="B5653" s="1">
        <v>45893</v>
      </c>
      <c r="C5653" s="2">
        <v>0.45833333333333331</v>
      </c>
      <c r="D5653">
        <v>17.100000000000001</v>
      </c>
      <c r="E5653">
        <f>IF($D5653 &gt; 16, 0, $J$3*(16 - $D5653))</f>
        <v>0</v>
      </c>
      <c r="F5653">
        <f>IF($D5653 &gt; 16, 0,$E5653*$J$5)</f>
        <v>0</v>
      </c>
      <c r="G5653">
        <f t="shared" si="88"/>
        <v>0</v>
      </c>
    </row>
    <row r="5654" spans="2:7" x14ac:dyDescent="0.35">
      <c r="B5654" s="1">
        <v>45893</v>
      </c>
      <c r="C5654" s="2">
        <v>0.5</v>
      </c>
      <c r="D5654">
        <v>17.8</v>
      </c>
      <c r="E5654">
        <f>IF($D5654 &gt; 16, 0, $J$3*(16 - $D5654))</f>
        <v>0</v>
      </c>
      <c r="F5654">
        <f>IF($D5654 &gt; 16, 0,$E5654*$J$5)</f>
        <v>0</v>
      </c>
      <c r="G5654">
        <f t="shared" si="88"/>
        <v>0</v>
      </c>
    </row>
    <row r="5655" spans="2:7" x14ac:dyDescent="0.35">
      <c r="B5655" s="1">
        <v>45893</v>
      </c>
      <c r="C5655" s="2">
        <v>0.54166666666666663</v>
      </c>
      <c r="D5655">
        <v>18.100000000000001</v>
      </c>
      <c r="E5655">
        <f>IF($D5655 &gt; 16, 0, $J$3*(16 - $D5655))</f>
        <v>0</v>
      </c>
      <c r="F5655">
        <f>IF($D5655 &gt; 16, 0,$E5655*$J$5)</f>
        <v>0</v>
      </c>
      <c r="G5655">
        <f t="shared" si="88"/>
        <v>0</v>
      </c>
    </row>
    <row r="5656" spans="2:7" x14ac:dyDescent="0.35">
      <c r="B5656" s="1">
        <v>45893</v>
      </c>
      <c r="C5656" s="2">
        <v>0.58333333333333337</v>
      </c>
      <c r="D5656">
        <v>17.600000000000001</v>
      </c>
      <c r="E5656">
        <f>IF($D5656 &gt; 16, 0, $J$3*(16 - $D5656))</f>
        <v>0</v>
      </c>
      <c r="F5656">
        <f>IF($D5656 &gt; 16, 0,$E5656*$J$5)</f>
        <v>0</v>
      </c>
      <c r="G5656">
        <f t="shared" si="88"/>
        <v>0</v>
      </c>
    </row>
    <row r="5657" spans="2:7" x14ac:dyDescent="0.35">
      <c r="B5657" s="1">
        <v>45893</v>
      </c>
      <c r="C5657" s="2">
        <v>0.625</v>
      </c>
      <c r="D5657">
        <v>17.100000000000001</v>
      </c>
      <c r="E5657">
        <f>IF($D5657 &gt; 16, 0, $J$3*(16 - $D5657))</f>
        <v>0</v>
      </c>
      <c r="F5657">
        <f>IF($D5657 &gt; 16, 0,$E5657*$J$5)</f>
        <v>0</v>
      </c>
      <c r="G5657">
        <f t="shared" si="88"/>
        <v>0</v>
      </c>
    </row>
    <row r="5658" spans="2:7" x14ac:dyDescent="0.35">
      <c r="B5658" s="1">
        <v>45893</v>
      </c>
      <c r="C5658" s="2">
        <v>0.66666666666666663</v>
      </c>
      <c r="D5658">
        <v>17.5</v>
      </c>
      <c r="E5658">
        <f>IF($D5658 &gt; 16, 0, $J$3*(16 - $D5658))</f>
        <v>0</v>
      </c>
      <c r="F5658">
        <f>IF($D5658 &gt; 16, 0,$E5658*$J$5)</f>
        <v>0</v>
      </c>
      <c r="G5658">
        <f t="shared" si="88"/>
        <v>0</v>
      </c>
    </row>
    <row r="5659" spans="2:7" x14ac:dyDescent="0.35">
      <c r="B5659" s="1">
        <v>45893</v>
      </c>
      <c r="C5659" s="2">
        <v>0.70833333333333337</v>
      </c>
      <c r="D5659">
        <v>16.5</v>
      </c>
      <c r="E5659">
        <f>IF($D5659 &gt; 16, 0, $J$3*(16 - $D5659))</f>
        <v>0</v>
      </c>
      <c r="F5659">
        <f>IF($D5659 &gt; 16, 0,$E5659*$J$5)</f>
        <v>0</v>
      </c>
      <c r="G5659">
        <f t="shared" si="88"/>
        <v>0</v>
      </c>
    </row>
    <row r="5660" spans="2:7" x14ac:dyDescent="0.35">
      <c r="B5660" s="1">
        <v>45893</v>
      </c>
      <c r="C5660" s="2">
        <v>0.75</v>
      </c>
      <c r="D5660">
        <v>15.9</v>
      </c>
      <c r="E5660">
        <f>IF($D5660 &gt; 16, 0, $J$3*(16 - $D5660))</f>
        <v>20.774864270069624</v>
      </c>
      <c r="F5660">
        <f>IF($D5660 &gt; 16, 0,$E5660*$J$5)</f>
        <v>225801.99975138676</v>
      </c>
      <c r="G5660">
        <f t="shared" si="88"/>
        <v>9.9999999999999645E-2</v>
      </c>
    </row>
    <row r="5661" spans="2:7" x14ac:dyDescent="0.35">
      <c r="B5661" s="1">
        <v>45893</v>
      </c>
      <c r="C5661" s="2">
        <v>0.79166666666666663</v>
      </c>
      <c r="D5661">
        <v>14.2</v>
      </c>
      <c r="E5661">
        <f>IF($D5661 &gt; 16, 0, $J$3*(16 - $D5661))</f>
        <v>373.94755686125472</v>
      </c>
      <c r="F5661">
        <f>IF($D5661 &gt; 16, 0,$E5661*$J$5)</f>
        <v>4064435.9955249778</v>
      </c>
      <c r="G5661">
        <f t="shared" si="88"/>
        <v>1.8000000000000007</v>
      </c>
    </row>
    <row r="5662" spans="2:7" x14ac:dyDescent="0.35">
      <c r="B5662" s="1">
        <v>45893</v>
      </c>
      <c r="C5662" s="2">
        <v>0.83333333333333337</v>
      </c>
      <c r="D5662">
        <v>13.8</v>
      </c>
      <c r="E5662">
        <f>IF($D5662 &gt; 16, 0, $J$3*(16 - $D5662))</f>
        <v>457.04701394153324</v>
      </c>
      <c r="F5662">
        <f>IF($D5662 &gt; 16, 0,$E5662*$J$5)</f>
        <v>4967643.9945305251</v>
      </c>
      <c r="G5662">
        <f t="shared" si="88"/>
        <v>2.1999999999999993</v>
      </c>
    </row>
    <row r="5663" spans="2:7" x14ac:dyDescent="0.35">
      <c r="B5663" s="1">
        <v>45893</v>
      </c>
      <c r="C5663" s="2">
        <v>0.875</v>
      </c>
      <c r="D5663">
        <v>12.3</v>
      </c>
      <c r="E5663">
        <f>IF($D5663 &gt; 16, 0, $J$3*(16 - $D5663))</f>
        <v>768.66997799257877</v>
      </c>
      <c r="F5663">
        <f>IF($D5663 &gt; 16, 0,$E5663*$J$5)</f>
        <v>8354673.990801339</v>
      </c>
      <c r="G5663">
        <f t="shared" si="88"/>
        <v>3.6999999999999993</v>
      </c>
    </row>
    <row r="5664" spans="2:7" x14ac:dyDescent="0.35">
      <c r="B5664" s="1">
        <v>45893</v>
      </c>
      <c r="C5664" s="2">
        <v>0.91666666666666663</v>
      </c>
      <c r="D5664">
        <v>11.7</v>
      </c>
      <c r="E5664">
        <f>IF($D5664 &gt; 16, 0, $J$3*(16 - $D5664))</f>
        <v>893.31916361299716</v>
      </c>
      <c r="F5664">
        <f>IF($D5664 &gt; 16, 0,$E5664*$J$5)</f>
        <v>9709485.9893096667</v>
      </c>
      <c r="G5664">
        <f t="shared" si="88"/>
        <v>4.3000000000000007</v>
      </c>
    </row>
    <row r="5665" spans="2:7" x14ac:dyDescent="0.35">
      <c r="B5665" s="1">
        <v>45893</v>
      </c>
      <c r="C5665" s="2">
        <v>0.95833333333333337</v>
      </c>
      <c r="D5665">
        <v>11.5</v>
      </c>
      <c r="E5665">
        <f>IF($D5665 &gt; 16, 0, $J$3*(16 - $D5665))</f>
        <v>934.86889215313647</v>
      </c>
      <c r="F5665">
        <f>IF($D5665 &gt; 16, 0,$E5665*$J$5)</f>
        <v>10161089.988812441</v>
      </c>
      <c r="G5665">
        <f t="shared" si="88"/>
        <v>4.5</v>
      </c>
    </row>
    <row r="5666" spans="2:7" x14ac:dyDescent="0.35">
      <c r="B5666" s="1">
        <v>45894</v>
      </c>
      <c r="C5666" s="2">
        <v>0</v>
      </c>
      <c r="D5666">
        <v>12.7</v>
      </c>
      <c r="E5666">
        <f>IF($D5666 &gt; 16, 0, $J$3*(16 - $D5666))</f>
        <v>685.57052091230025</v>
      </c>
      <c r="F5666">
        <f>IF($D5666 &gt; 16, 0,$E5666*$J$5)</f>
        <v>7451465.9917957913</v>
      </c>
      <c r="G5666">
        <f t="shared" si="88"/>
        <v>3.3000000000000007</v>
      </c>
    </row>
    <row r="5667" spans="2:7" x14ac:dyDescent="0.35">
      <c r="B5667" s="1">
        <v>45894</v>
      </c>
      <c r="C5667" s="2">
        <v>4.1666666666666657E-2</v>
      </c>
      <c r="D5667">
        <v>12.8</v>
      </c>
      <c r="E5667">
        <f>IF($D5667 &gt; 16, 0, $J$3*(16 - $D5667))</f>
        <v>664.79565664223026</v>
      </c>
      <c r="F5667">
        <f>IF($D5667 &gt; 16, 0,$E5667*$J$5)</f>
        <v>7225663.9920444004</v>
      </c>
      <c r="G5667">
        <f t="shared" si="88"/>
        <v>3.1999999999999993</v>
      </c>
    </row>
    <row r="5668" spans="2:7" x14ac:dyDescent="0.35">
      <c r="B5668" s="1">
        <v>45894</v>
      </c>
      <c r="C5668" s="2">
        <v>8.3333333333333329E-2</v>
      </c>
      <c r="D5668">
        <v>13</v>
      </c>
      <c r="E5668">
        <f>IF($D5668 &gt; 16, 0, $J$3*(16 - $D5668))</f>
        <v>623.24592810209094</v>
      </c>
      <c r="F5668">
        <f>IF($D5668 &gt; 16, 0,$E5668*$J$5)</f>
        <v>6774059.9925416261</v>
      </c>
      <c r="G5668">
        <f t="shared" si="88"/>
        <v>3</v>
      </c>
    </row>
    <row r="5669" spans="2:7" x14ac:dyDescent="0.35">
      <c r="B5669" s="1">
        <v>45894</v>
      </c>
      <c r="C5669" s="2">
        <v>0.125</v>
      </c>
      <c r="D5669">
        <v>13</v>
      </c>
      <c r="E5669">
        <f>IF($D5669 &gt; 16, 0, $J$3*(16 - $D5669))</f>
        <v>623.24592810209094</v>
      </c>
      <c r="F5669">
        <f>IF($D5669 &gt; 16, 0,$E5669*$J$5)</f>
        <v>6774059.9925416261</v>
      </c>
      <c r="G5669">
        <f t="shared" si="88"/>
        <v>3</v>
      </c>
    </row>
    <row r="5670" spans="2:7" x14ac:dyDescent="0.35">
      <c r="B5670" s="1">
        <v>45894</v>
      </c>
      <c r="C5670" s="2">
        <v>0.16666666666666671</v>
      </c>
      <c r="D5670">
        <v>12.8</v>
      </c>
      <c r="E5670">
        <f>IF($D5670 &gt; 16, 0, $J$3*(16 - $D5670))</f>
        <v>664.79565664223026</v>
      </c>
      <c r="F5670">
        <f>IF($D5670 &gt; 16, 0,$E5670*$J$5)</f>
        <v>7225663.9920444004</v>
      </c>
      <c r="G5670">
        <f t="shared" si="88"/>
        <v>3.1999999999999993</v>
      </c>
    </row>
    <row r="5671" spans="2:7" x14ac:dyDescent="0.35">
      <c r="B5671" s="1">
        <v>45894</v>
      </c>
      <c r="C5671" s="2">
        <v>0.20833333333333329</v>
      </c>
      <c r="D5671">
        <v>12.6</v>
      </c>
      <c r="E5671">
        <f>IF($D5671 &gt; 16, 0, $J$3*(16 - $D5671))</f>
        <v>706.3453851823698</v>
      </c>
      <c r="F5671">
        <f>IF($D5671 &gt; 16, 0,$E5671*$J$5)</f>
        <v>7677267.9915471775</v>
      </c>
      <c r="G5671">
        <f t="shared" si="88"/>
        <v>3.4000000000000004</v>
      </c>
    </row>
    <row r="5672" spans="2:7" x14ac:dyDescent="0.35">
      <c r="B5672" s="1">
        <v>45894</v>
      </c>
      <c r="C5672" s="2">
        <v>0.25</v>
      </c>
      <c r="D5672">
        <v>13.1</v>
      </c>
      <c r="E5672">
        <f>IF($D5672 &gt; 16, 0, $J$3*(16 - $D5672))</f>
        <v>602.4710638320214</v>
      </c>
      <c r="F5672">
        <f>IF($D5672 &gt; 16, 0,$E5672*$J$5)</f>
        <v>6548257.9927902408</v>
      </c>
      <c r="G5672">
        <f t="shared" si="88"/>
        <v>2.9000000000000004</v>
      </c>
    </row>
    <row r="5673" spans="2:7" x14ac:dyDescent="0.35">
      <c r="B5673" s="1">
        <v>45894</v>
      </c>
      <c r="C5673" s="2">
        <v>0.29166666666666669</v>
      </c>
      <c r="D5673">
        <v>14.1</v>
      </c>
      <c r="E5673">
        <f>IF($D5673 &gt; 16, 0, $J$3*(16 - $D5673))</f>
        <v>394.72242113132438</v>
      </c>
      <c r="F5673">
        <f>IF($D5673 &gt; 16, 0,$E5673*$J$5)</f>
        <v>4290237.9952763645</v>
      </c>
      <c r="G5673">
        <f t="shared" si="88"/>
        <v>1.9000000000000004</v>
      </c>
    </row>
    <row r="5674" spans="2:7" x14ac:dyDescent="0.35">
      <c r="B5674" s="1">
        <v>45894</v>
      </c>
      <c r="C5674" s="2">
        <v>0.33333333333333331</v>
      </c>
      <c r="D5674">
        <v>15.5</v>
      </c>
      <c r="E5674">
        <f>IF($D5674 &gt; 16, 0, $J$3*(16 - $D5674))</f>
        <v>103.8743213503485</v>
      </c>
      <c r="F5674">
        <f>IF($D5674 &gt; 16, 0,$E5674*$J$5)</f>
        <v>1129009.9987569377</v>
      </c>
      <c r="G5674">
        <f t="shared" si="88"/>
        <v>0.5</v>
      </c>
    </row>
    <row r="5675" spans="2:7" x14ac:dyDescent="0.35">
      <c r="B5675" s="1">
        <v>45894</v>
      </c>
      <c r="C5675" s="2">
        <v>0.375</v>
      </c>
      <c r="D5675">
        <v>16.899999999999999</v>
      </c>
      <c r="E5675">
        <f>IF($D5675 &gt; 16, 0, $J$3*(16 - $D5675))</f>
        <v>0</v>
      </c>
      <c r="F5675">
        <f>IF($D5675 &gt; 16, 0,$E5675*$J$5)</f>
        <v>0</v>
      </c>
      <c r="G5675">
        <f t="shared" si="88"/>
        <v>0</v>
      </c>
    </row>
    <row r="5676" spans="2:7" x14ac:dyDescent="0.35">
      <c r="B5676" s="1">
        <v>45894</v>
      </c>
      <c r="C5676" s="2">
        <v>0.41666666666666669</v>
      </c>
      <c r="D5676">
        <v>16.600000000000001</v>
      </c>
      <c r="E5676">
        <f>IF($D5676 &gt; 16, 0, $J$3*(16 - $D5676))</f>
        <v>0</v>
      </c>
      <c r="F5676">
        <f>IF($D5676 &gt; 16, 0,$E5676*$J$5)</f>
        <v>0</v>
      </c>
      <c r="G5676">
        <f t="shared" si="88"/>
        <v>0</v>
      </c>
    </row>
    <row r="5677" spans="2:7" x14ac:dyDescent="0.35">
      <c r="B5677" s="1">
        <v>45894</v>
      </c>
      <c r="C5677" s="2">
        <v>0.45833333333333331</v>
      </c>
      <c r="D5677">
        <v>18.3</v>
      </c>
      <c r="E5677">
        <f>IF($D5677 &gt; 16, 0, $J$3*(16 - $D5677))</f>
        <v>0</v>
      </c>
      <c r="F5677">
        <f>IF($D5677 &gt; 16, 0,$E5677*$J$5)</f>
        <v>0</v>
      </c>
      <c r="G5677">
        <f t="shared" si="88"/>
        <v>0</v>
      </c>
    </row>
    <row r="5678" spans="2:7" x14ac:dyDescent="0.35">
      <c r="B5678" s="1">
        <v>45894</v>
      </c>
      <c r="C5678" s="2">
        <v>0.5</v>
      </c>
      <c r="D5678">
        <v>17.8</v>
      </c>
      <c r="E5678">
        <f>IF($D5678 &gt; 16, 0, $J$3*(16 - $D5678))</f>
        <v>0</v>
      </c>
      <c r="F5678">
        <f>IF($D5678 &gt; 16, 0,$E5678*$J$5)</f>
        <v>0</v>
      </c>
      <c r="G5678">
        <f t="shared" si="88"/>
        <v>0</v>
      </c>
    </row>
    <row r="5679" spans="2:7" x14ac:dyDescent="0.35">
      <c r="B5679" s="1">
        <v>45894</v>
      </c>
      <c r="C5679" s="2">
        <v>0.54166666666666663</v>
      </c>
      <c r="D5679">
        <v>17.7</v>
      </c>
      <c r="E5679">
        <f>IF($D5679 &gt; 16, 0, $J$3*(16 - $D5679))</f>
        <v>0</v>
      </c>
      <c r="F5679">
        <f>IF($D5679 &gt; 16, 0,$E5679*$J$5)</f>
        <v>0</v>
      </c>
      <c r="G5679">
        <f t="shared" si="88"/>
        <v>0</v>
      </c>
    </row>
    <row r="5680" spans="2:7" x14ac:dyDescent="0.35">
      <c r="B5680" s="1">
        <v>45894</v>
      </c>
      <c r="C5680" s="2">
        <v>0.58333333333333337</v>
      </c>
      <c r="D5680">
        <v>18</v>
      </c>
      <c r="E5680">
        <f>IF($D5680 &gt; 16, 0, $J$3*(16 - $D5680))</f>
        <v>0</v>
      </c>
      <c r="F5680">
        <f>IF($D5680 &gt; 16, 0,$E5680*$J$5)</f>
        <v>0</v>
      </c>
      <c r="G5680">
        <f t="shared" si="88"/>
        <v>0</v>
      </c>
    </row>
    <row r="5681" spans="2:7" x14ac:dyDescent="0.35">
      <c r="B5681" s="1">
        <v>45894</v>
      </c>
      <c r="C5681" s="2">
        <v>0.625</v>
      </c>
      <c r="D5681">
        <v>18.5</v>
      </c>
      <c r="E5681">
        <f>IF($D5681 &gt; 16, 0, $J$3*(16 - $D5681))</f>
        <v>0</v>
      </c>
      <c r="F5681">
        <f>IF($D5681 &gt; 16, 0,$E5681*$J$5)</f>
        <v>0</v>
      </c>
      <c r="G5681">
        <f t="shared" si="88"/>
        <v>0</v>
      </c>
    </row>
    <row r="5682" spans="2:7" x14ac:dyDescent="0.35">
      <c r="B5682" s="1">
        <v>45894</v>
      </c>
      <c r="C5682" s="2">
        <v>0.66666666666666663</v>
      </c>
      <c r="D5682">
        <v>17.5</v>
      </c>
      <c r="E5682">
        <f>IF($D5682 &gt; 16, 0, $J$3*(16 - $D5682))</f>
        <v>0</v>
      </c>
      <c r="F5682">
        <f>IF($D5682 &gt; 16, 0,$E5682*$J$5)</f>
        <v>0</v>
      </c>
      <c r="G5682">
        <f t="shared" si="88"/>
        <v>0</v>
      </c>
    </row>
    <row r="5683" spans="2:7" x14ac:dyDescent="0.35">
      <c r="B5683" s="1">
        <v>45894</v>
      </c>
      <c r="C5683" s="2">
        <v>0.70833333333333337</v>
      </c>
      <c r="D5683">
        <v>17.3</v>
      </c>
      <c r="E5683">
        <f>IF($D5683 &gt; 16, 0, $J$3*(16 - $D5683))</f>
        <v>0</v>
      </c>
      <c r="F5683">
        <f>IF($D5683 &gt; 16, 0,$E5683*$J$5)</f>
        <v>0</v>
      </c>
      <c r="G5683">
        <f t="shared" si="88"/>
        <v>0</v>
      </c>
    </row>
    <row r="5684" spans="2:7" x14ac:dyDescent="0.35">
      <c r="B5684" s="1">
        <v>45894</v>
      </c>
      <c r="C5684" s="2">
        <v>0.75</v>
      </c>
      <c r="D5684">
        <v>16</v>
      </c>
      <c r="E5684">
        <f>IF($D5684 &gt; 16, 0, $J$3*(16 - $D5684))</f>
        <v>0</v>
      </c>
      <c r="F5684">
        <f>IF($D5684 &gt; 16, 0,$E5684*$J$5)</f>
        <v>0</v>
      </c>
      <c r="G5684">
        <f t="shared" si="88"/>
        <v>0</v>
      </c>
    </row>
    <row r="5685" spans="2:7" x14ac:dyDescent="0.35">
      <c r="B5685" s="1">
        <v>45894</v>
      </c>
      <c r="C5685" s="2">
        <v>0.79166666666666663</v>
      </c>
      <c r="D5685">
        <v>15.2</v>
      </c>
      <c r="E5685">
        <f>IF($D5685 &gt; 16, 0, $J$3*(16 - $D5685))</f>
        <v>166.19891416055773</v>
      </c>
      <c r="F5685">
        <f>IF($D5685 &gt; 16, 0,$E5685*$J$5)</f>
        <v>1806415.998011102</v>
      </c>
      <c r="G5685">
        <f t="shared" si="88"/>
        <v>0.80000000000000071</v>
      </c>
    </row>
    <row r="5686" spans="2:7" x14ac:dyDescent="0.35">
      <c r="B5686" s="1">
        <v>45894</v>
      </c>
      <c r="C5686" s="2">
        <v>0.83333333333333337</v>
      </c>
      <c r="D5686">
        <v>12.8</v>
      </c>
      <c r="E5686">
        <f>IF($D5686 &gt; 16, 0, $J$3*(16 - $D5686))</f>
        <v>664.79565664223026</v>
      </c>
      <c r="F5686">
        <f>IF($D5686 &gt; 16, 0,$E5686*$J$5)</f>
        <v>7225663.9920444004</v>
      </c>
      <c r="G5686">
        <f t="shared" si="88"/>
        <v>3.1999999999999993</v>
      </c>
    </row>
    <row r="5687" spans="2:7" x14ac:dyDescent="0.35">
      <c r="B5687" s="1">
        <v>45894</v>
      </c>
      <c r="C5687" s="2">
        <v>0.875</v>
      </c>
      <c r="D5687">
        <v>10.9</v>
      </c>
      <c r="E5687">
        <f>IF($D5687 &gt; 16, 0, $J$3*(16 - $D5687))</f>
        <v>1059.5180777735545</v>
      </c>
      <c r="F5687">
        <f>IF($D5687 &gt; 16, 0,$E5687*$J$5)</f>
        <v>11515901.987320764</v>
      </c>
      <c r="G5687">
        <f t="shared" si="88"/>
        <v>5.0999999999999996</v>
      </c>
    </row>
    <row r="5688" spans="2:7" x14ac:dyDescent="0.35">
      <c r="B5688" s="1">
        <v>45894</v>
      </c>
      <c r="C5688" s="2">
        <v>0.91666666666666663</v>
      </c>
      <c r="D5688">
        <v>11.3</v>
      </c>
      <c r="E5688">
        <f>IF($D5688 &gt; 16, 0, $J$3*(16 - $D5688))</f>
        <v>976.41862069327567</v>
      </c>
      <c r="F5688">
        <f>IF($D5688 &gt; 16, 0,$E5688*$J$5)</f>
        <v>10612693.988315213</v>
      </c>
      <c r="G5688">
        <f t="shared" si="88"/>
        <v>4.6999999999999993</v>
      </c>
    </row>
    <row r="5689" spans="2:7" x14ac:dyDescent="0.35">
      <c r="B5689" s="1">
        <v>45894</v>
      </c>
      <c r="C5689" s="2">
        <v>0.95833333333333337</v>
      </c>
      <c r="D5689">
        <v>10.5</v>
      </c>
      <c r="E5689">
        <f>IF($D5689 &gt; 16, 0, $J$3*(16 - $D5689))</f>
        <v>1142.6175348538334</v>
      </c>
      <c r="F5689">
        <f>IF($D5689 &gt; 16, 0,$E5689*$J$5)</f>
        <v>12419109.986326315</v>
      </c>
      <c r="G5689">
        <f t="shared" si="88"/>
        <v>5.5</v>
      </c>
    </row>
    <row r="5690" spans="2:7" x14ac:dyDescent="0.35">
      <c r="B5690" s="1">
        <v>45895</v>
      </c>
      <c r="C5690" s="2">
        <v>0</v>
      </c>
      <c r="D5690">
        <v>9.6</v>
      </c>
      <c r="E5690">
        <f>IF($D5690 &gt; 16, 0, $J$3*(16 - $D5690))</f>
        <v>1329.5913132844607</v>
      </c>
      <c r="F5690">
        <f>IF($D5690 &gt; 16, 0,$E5690*$J$5)</f>
        <v>14451327.984088805</v>
      </c>
      <c r="G5690">
        <f t="shared" si="88"/>
        <v>6.4</v>
      </c>
    </row>
    <row r="5691" spans="2:7" x14ac:dyDescent="0.35">
      <c r="B5691" s="1">
        <v>45895</v>
      </c>
      <c r="C5691" s="2">
        <v>4.1666666666666657E-2</v>
      </c>
      <c r="D5691">
        <v>9.5</v>
      </c>
      <c r="E5691">
        <f>IF($D5691 &gt; 16, 0, $J$3*(16 - $D5691))</f>
        <v>1350.3661775545304</v>
      </c>
      <c r="F5691">
        <f>IF($D5691 &gt; 16, 0,$E5691*$J$5)</f>
        <v>14677129.983840192</v>
      </c>
      <c r="G5691">
        <f t="shared" si="88"/>
        <v>6.5</v>
      </c>
    </row>
    <row r="5692" spans="2:7" x14ac:dyDescent="0.35">
      <c r="B5692" s="1">
        <v>45895</v>
      </c>
      <c r="C5692" s="2">
        <v>8.3333333333333329E-2</v>
      </c>
      <c r="D5692">
        <v>8.6</v>
      </c>
      <c r="E5692">
        <f>IF($D5692 &gt; 16, 0, $J$3*(16 - $D5692))</f>
        <v>1537.3399559851578</v>
      </c>
      <c r="F5692">
        <f>IF($D5692 &gt; 16, 0,$E5692*$J$5)</f>
        <v>16709347.98160268</v>
      </c>
      <c r="G5692">
        <f t="shared" si="88"/>
        <v>7.4</v>
      </c>
    </row>
    <row r="5693" spans="2:7" x14ac:dyDescent="0.35">
      <c r="B5693" s="1">
        <v>45895</v>
      </c>
      <c r="C5693" s="2">
        <v>0.125</v>
      </c>
      <c r="D5693">
        <v>9.1</v>
      </c>
      <c r="E5693">
        <f>IF($D5693 &gt; 16, 0, $J$3*(16 - $D5693))</f>
        <v>1433.4656346348092</v>
      </c>
      <c r="F5693">
        <f>IF($D5693 &gt; 16, 0,$E5693*$J$5)</f>
        <v>15580337.982845742</v>
      </c>
      <c r="G5693">
        <f t="shared" si="88"/>
        <v>6.9</v>
      </c>
    </row>
    <row r="5694" spans="2:7" x14ac:dyDescent="0.35">
      <c r="B5694" s="1">
        <v>45895</v>
      </c>
      <c r="C5694" s="2">
        <v>0.16666666666666671</v>
      </c>
      <c r="D5694">
        <v>8.4</v>
      </c>
      <c r="E5694">
        <f>IF($D5694 &gt; 16, 0, $J$3*(16 - $D5694))</f>
        <v>1578.8896845252971</v>
      </c>
      <c r="F5694">
        <f>IF($D5694 &gt; 16, 0,$E5694*$J$5)</f>
        <v>17160951.981105454</v>
      </c>
      <c r="G5694">
        <f t="shared" si="88"/>
        <v>7.6</v>
      </c>
    </row>
    <row r="5695" spans="2:7" x14ac:dyDescent="0.35">
      <c r="B5695" s="1">
        <v>45895</v>
      </c>
      <c r="C5695" s="2">
        <v>0.20833333333333329</v>
      </c>
      <c r="D5695">
        <v>9.3000000000000007</v>
      </c>
      <c r="E5695">
        <f>IF($D5695 &gt; 16, 0, $J$3*(16 - $D5695))</f>
        <v>1391.9159060946697</v>
      </c>
      <c r="F5695">
        <f>IF($D5695 &gt; 16, 0,$E5695*$J$5)</f>
        <v>15128733.983342964</v>
      </c>
      <c r="G5695">
        <f t="shared" si="88"/>
        <v>6.6999999999999993</v>
      </c>
    </row>
    <row r="5696" spans="2:7" x14ac:dyDescent="0.35">
      <c r="B5696" s="1">
        <v>45895</v>
      </c>
      <c r="C5696" s="2">
        <v>0.25</v>
      </c>
      <c r="D5696">
        <v>11.9</v>
      </c>
      <c r="E5696">
        <f>IF($D5696 &gt; 16, 0, $J$3*(16 - $D5696))</f>
        <v>851.76943507285762</v>
      </c>
      <c r="F5696">
        <f>IF($D5696 &gt; 16, 0,$E5696*$J$5)</f>
        <v>9257881.9898068886</v>
      </c>
      <c r="G5696">
        <f t="shared" si="88"/>
        <v>4.0999999999999996</v>
      </c>
    </row>
    <row r="5697" spans="2:7" x14ac:dyDescent="0.35">
      <c r="B5697" s="1">
        <v>45895</v>
      </c>
      <c r="C5697" s="2">
        <v>0.29166666666666669</v>
      </c>
      <c r="D5697">
        <v>15.6</v>
      </c>
      <c r="E5697">
        <f>IF($D5697 &gt; 16, 0, $J$3*(16 - $D5697))</f>
        <v>83.099457080278867</v>
      </c>
      <c r="F5697">
        <f>IF($D5697 &gt; 16, 0,$E5697*$J$5)</f>
        <v>903207.99900555098</v>
      </c>
      <c r="G5697">
        <f t="shared" si="88"/>
        <v>0.40000000000000036</v>
      </c>
    </row>
    <row r="5698" spans="2:7" x14ac:dyDescent="0.35">
      <c r="B5698" s="1">
        <v>45895</v>
      </c>
      <c r="C5698" s="2">
        <v>0.33333333333333331</v>
      </c>
      <c r="D5698">
        <v>17.2</v>
      </c>
      <c r="E5698">
        <f>IF($D5698 &gt; 16, 0, $J$3*(16 - $D5698))</f>
        <v>0</v>
      </c>
      <c r="F5698">
        <f>IF($D5698 &gt; 16, 0,$E5698*$J$5)</f>
        <v>0</v>
      </c>
      <c r="G5698">
        <f t="shared" si="88"/>
        <v>0</v>
      </c>
    </row>
    <row r="5699" spans="2:7" x14ac:dyDescent="0.35">
      <c r="B5699" s="1">
        <v>45895</v>
      </c>
      <c r="C5699" s="2">
        <v>0.375</v>
      </c>
      <c r="D5699">
        <v>19.2</v>
      </c>
      <c r="E5699">
        <f>IF($D5699 &gt; 16, 0, $J$3*(16 - $D5699))</f>
        <v>0</v>
      </c>
      <c r="F5699">
        <f>IF($D5699 &gt; 16, 0,$E5699*$J$5)</f>
        <v>0</v>
      </c>
      <c r="G5699">
        <f t="shared" ref="G5699:G5762" si="89">MAX(0, 16 - $D5699)</f>
        <v>0</v>
      </c>
    </row>
    <row r="5700" spans="2:7" x14ac:dyDescent="0.35">
      <c r="B5700" s="1">
        <v>45895</v>
      </c>
      <c r="C5700" s="2">
        <v>0.41666666666666669</v>
      </c>
      <c r="D5700">
        <v>19.899999999999999</v>
      </c>
      <c r="E5700">
        <f>IF($D5700 &gt; 16, 0, $J$3*(16 - $D5700))</f>
        <v>0</v>
      </c>
      <c r="F5700">
        <f>IF($D5700 &gt; 16, 0,$E5700*$J$5)</f>
        <v>0</v>
      </c>
      <c r="G5700">
        <f t="shared" si="89"/>
        <v>0</v>
      </c>
    </row>
    <row r="5701" spans="2:7" x14ac:dyDescent="0.35">
      <c r="B5701" s="1">
        <v>45895</v>
      </c>
      <c r="C5701" s="2">
        <v>0.45833333333333331</v>
      </c>
      <c r="D5701">
        <v>20.8</v>
      </c>
      <c r="E5701">
        <f>IF($D5701 &gt; 16, 0, $J$3*(16 - $D5701))</f>
        <v>0</v>
      </c>
      <c r="F5701">
        <f>IF($D5701 &gt; 16, 0,$E5701*$J$5)</f>
        <v>0</v>
      </c>
      <c r="G5701">
        <f t="shared" si="89"/>
        <v>0</v>
      </c>
    </row>
    <row r="5702" spans="2:7" x14ac:dyDescent="0.35">
      <c r="B5702" s="1">
        <v>45895</v>
      </c>
      <c r="C5702" s="2">
        <v>0.5</v>
      </c>
      <c r="D5702">
        <v>22.2</v>
      </c>
      <c r="E5702">
        <f>IF($D5702 &gt; 16, 0, $J$3*(16 - $D5702))</f>
        <v>0</v>
      </c>
      <c r="F5702">
        <f>IF($D5702 &gt; 16, 0,$E5702*$J$5)</f>
        <v>0</v>
      </c>
      <c r="G5702">
        <f t="shared" si="89"/>
        <v>0</v>
      </c>
    </row>
    <row r="5703" spans="2:7" x14ac:dyDescent="0.35">
      <c r="B5703" s="1">
        <v>45895</v>
      </c>
      <c r="C5703" s="2">
        <v>0.54166666666666663</v>
      </c>
      <c r="D5703">
        <v>22.7</v>
      </c>
      <c r="E5703">
        <f>IF($D5703 &gt; 16, 0, $J$3*(16 - $D5703))</f>
        <v>0</v>
      </c>
      <c r="F5703">
        <f>IF($D5703 &gt; 16, 0,$E5703*$J$5)</f>
        <v>0</v>
      </c>
      <c r="G5703">
        <f t="shared" si="89"/>
        <v>0</v>
      </c>
    </row>
    <row r="5704" spans="2:7" x14ac:dyDescent="0.35">
      <c r="B5704" s="1">
        <v>45895</v>
      </c>
      <c r="C5704" s="2">
        <v>0.58333333333333337</v>
      </c>
      <c r="D5704">
        <v>22.1</v>
      </c>
      <c r="E5704">
        <f>IF($D5704 &gt; 16, 0, $J$3*(16 - $D5704))</f>
        <v>0</v>
      </c>
      <c r="F5704">
        <f>IF($D5704 &gt; 16, 0,$E5704*$J$5)</f>
        <v>0</v>
      </c>
      <c r="G5704">
        <f t="shared" si="89"/>
        <v>0</v>
      </c>
    </row>
    <row r="5705" spans="2:7" x14ac:dyDescent="0.35">
      <c r="B5705" s="1">
        <v>45895</v>
      </c>
      <c r="C5705" s="2">
        <v>0.625</v>
      </c>
      <c r="D5705">
        <v>22.6</v>
      </c>
      <c r="E5705">
        <f>IF($D5705 &gt; 16, 0, $J$3*(16 - $D5705))</f>
        <v>0</v>
      </c>
      <c r="F5705">
        <f>IF($D5705 &gt; 16, 0,$E5705*$J$5)</f>
        <v>0</v>
      </c>
      <c r="G5705">
        <f t="shared" si="89"/>
        <v>0</v>
      </c>
    </row>
    <row r="5706" spans="2:7" x14ac:dyDescent="0.35">
      <c r="B5706" s="1">
        <v>45895</v>
      </c>
      <c r="C5706" s="2">
        <v>0.66666666666666663</v>
      </c>
      <c r="D5706">
        <v>23.2</v>
      </c>
      <c r="E5706">
        <f>IF($D5706 &gt; 16, 0, $J$3*(16 - $D5706))</f>
        <v>0</v>
      </c>
      <c r="F5706">
        <f>IF($D5706 &gt; 16, 0,$E5706*$J$5)</f>
        <v>0</v>
      </c>
      <c r="G5706">
        <f t="shared" si="89"/>
        <v>0</v>
      </c>
    </row>
    <row r="5707" spans="2:7" x14ac:dyDescent="0.35">
      <c r="B5707" s="1">
        <v>45895</v>
      </c>
      <c r="C5707" s="2">
        <v>0.70833333333333337</v>
      </c>
      <c r="D5707">
        <v>22.1</v>
      </c>
      <c r="E5707">
        <f>IF($D5707 &gt; 16, 0, $J$3*(16 - $D5707))</f>
        <v>0</v>
      </c>
      <c r="F5707">
        <f>IF($D5707 &gt; 16, 0,$E5707*$J$5)</f>
        <v>0</v>
      </c>
      <c r="G5707">
        <f t="shared" si="89"/>
        <v>0</v>
      </c>
    </row>
    <row r="5708" spans="2:7" x14ac:dyDescent="0.35">
      <c r="B5708" s="1">
        <v>45895</v>
      </c>
      <c r="C5708" s="2">
        <v>0.75</v>
      </c>
      <c r="D5708">
        <v>21.4</v>
      </c>
      <c r="E5708">
        <f>IF($D5708 &gt; 16, 0, $J$3*(16 - $D5708))</f>
        <v>0</v>
      </c>
      <c r="F5708">
        <f>IF($D5708 &gt; 16, 0,$E5708*$J$5)</f>
        <v>0</v>
      </c>
      <c r="G5708">
        <f t="shared" si="89"/>
        <v>0</v>
      </c>
    </row>
    <row r="5709" spans="2:7" x14ac:dyDescent="0.35">
      <c r="B5709" s="1">
        <v>45895</v>
      </c>
      <c r="C5709" s="2">
        <v>0.79166666666666663</v>
      </c>
      <c r="D5709">
        <v>19.7</v>
      </c>
      <c r="E5709">
        <f>IF($D5709 &gt; 16, 0, $J$3*(16 - $D5709))</f>
        <v>0</v>
      </c>
      <c r="F5709">
        <f>IF($D5709 &gt; 16, 0,$E5709*$J$5)</f>
        <v>0</v>
      </c>
      <c r="G5709">
        <f t="shared" si="89"/>
        <v>0</v>
      </c>
    </row>
    <row r="5710" spans="2:7" x14ac:dyDescent="0.35">
      <c r="B5710" s="1">
        <v>45895</v>
      </c>
      <c r="C5710" s="2">
        <v>0.83333333333333337</v>
      </c>
      <c r="D5710">
        <v>19.7</v>
      </c>
      <c r="E5710">
        <f>IF($D5710 &gt; 16, 0, $J$3*(16 - $D5710))</f>
        <v>0</v>
      </c>
      <c r="F5710">
        <f>IF($D5710 &gt; 16, 0,$E5710*$J$5)</f>
        <v>0</v>
      </c>
      <c r="G5710">
        <f t="shared" si="89"/>
        <v>0</v>
      </c>
    </row>
    <row r="5711" spans="2:7" x14ac:dyDescent="0.35">
      <c r="B5711" s="1">
        <v>45895</v>
      </c>
      <c r="C5711" s="2">
        <v>0.875</v>
      </c>
      <c r="D5711">
        <v>19</v>
      </c>
      <c r="E5711">
        <f>IF($D5711 &gt; 16, 0, $J$3*(16 - $D5711))</f>
        <v>0</v>
      </c>
      <c r="F5711">
        <f>IF($D5711 &gt; 16, 0,$E5711*$J$5)</f>
        <v>0</v>
      </c>
      <c r="G5711">
        <f t="shared" si="89"/>
        <v>0</v>
      </c>
    </row>
    <row r="5712" spans="2:7" x14ac:dyDescent="0.35">
      <c r="B5712" s="1">
        <v>45895</v>
      </c>
      <c r="C5712" s="2">
        <v>0.91666666666666663</v>
      </c>
      <c r="D5712">
        <v>18.600000000000001</v>
      </c>
      <c r="E5712">
        <f>IF($D5712 &gt; 16, 0, $J$3*(16 - $D5712))</f>
        <v>0</v>
      </c>
      <c r="F5712">
        <f>IF($D5712 &gt; 16, 0,$E5712*$J$5)</f>
        <v>0</v>
      </c>
      <c r="G5712">
        <f t="shared" si="89"/>
        <v>0</v>
      </c>
    </row>
    <row r="5713" spans="2:7" x14ac:dyDescent="0.35">
      <c r="B5713" s="1">
        <v>45895</v>
      </c>
      <c r="C5713" s="2">
        <v>0.95833333333333337</v>
      </c>
      <c r="D5713">
        <v>18.3</v>
      </c>
      <c r="E5713">
        <f>IF($D5713 &gt; 16, 0, $J$3*(16 - $D5713))</f>
        <v>0</v>
      </c>
      <c r="F5713">
        <f>IF($D5713 &gt; 16, 0,$E5713*$J$5)</f>
        <v>0</v>
      </c>
      <c r="G5713">
        <f t="shared" si="89"/>
        <v>0</v>
      </c>
    </row>
    <row r="5714" spans="2:7" x14ac:dyDescent="0.35">
      <c r="B5714" s="1">
        <v>45896</v>
      </c>
      <c r="C5714" s="2">
        <v>0</v>
      </c>
      <c r="D5714">
        <v>18.2</v>
      </c>
      <c r="E5714">
        <f>IF($D5714 &gt; 16, 0, $J$3*(16 - $D5714))</f>
        <v>0</v>
      </c>
      <c r="F5714">
        <f>IF($D5714 &gt; 16, 0,$E5714*$J$5)</f>
        <v>0</v>
      </c>
      <c r="G5714">
        <f t="shared" si="89"/>
        <v>0</v>
      </c>
    </row>
    <row r="5715" spans="2:7" x14ac:dyDescent="0.35">
      <c r="B5715" s="1">
        <v>45896</v>
      </c>
      <c r="C5715" s="2">
        <v>4.1666666666666657E-2</v>
      </c>
      <c r="D5715">
        <v>18</v>
      </c>
      <c r="E5715">
        <f>IF($D5715 &gt; 16, 0, $J$3*(16 - $D5715))</f>
        <v>0</v>
      </c>
      <c r="F5715">
        <f>IF($D5715 &gt; 16, 0,$E5715*$J$5)</f>
        <v>0</v>
      </c>
      <c r="G5715">
        <f t="shared" si="89"/>
        <v>0</v>
      </c>
    </row>
    <row r="5716" spans="2:7" x14ac:dyDescent="0.35">
      <c r="B5716" s="1">
        <v>45896</v>
      </c>
      <c r="C5716" s="2">
        <v>8.3333333333333329E-2</v>
      </c>
      <c r="D5716">
        <v>17.899999999999999</v>
      </c>
      <c r="E5716">
        <f>IF($D5716 &gt; 16, 0, $J$3*(16 - $D5716))</f>
        <v>0</v>
      </c>
      <c r="F5716">
        <f>IF($D5716 &gt; 16, 0,$E5716*$J$5)</f>
        <v>0</v>
      </c>
      <c r="G5716">
        <f t="shared" si="89"/>
        <v>0</v>
      </c>
    </row>
    <row r="5717" spans="2:7" x14ac:dyDescent="0.35">
      <c r="B5717" s="1">
        <v>45896</v>
      </c>
      <c r="C5717" s="2">
        <v>0.125</v>
      </c>
      <c r="D5717">
        <v>17.399999999999999</v>
      </c>
      <c r="E5717">
        <f>IF($D5717 &gt; 16, 0, $J$3*(16 - $D5717))</f>
        <v>0</v>
      </c>
      <c r="F5717">
        <f>IF($D5717 &gt; 16, 0,$E5717*$J$5)</f>
        <v>0</v>
      </c>
      <c r="G5717">
        <f t="shared" si="89"/>
        <v>0</v>
      </c>
    </row>
    <row r="5718" spans="2:7" x14ac:dyDescent="0.35">
      <c r="B5718" s="1">
        <v>45896</v>
      </c>
      <c r="C5718" s="2">
        <v>0.16666666666666671</v>
      </c>
      <c r="D5718">
        <v>17.399999999999999</v>
      </c>
      <c r="E5718">
        <f>IF($D5718 &gt; 16, 0, $J$3*(16 - $D5718))</f>
        <v>0</v>
      </c>
      <c r="F5718">
        <f>IF($D5718 &gt; 16, 0,$E5718*$J$5)</f>
        <v>0</v>
      </c>
      <c r="G5718">
        <f t="shared" si="89"/>
        <v>0</v>
      </c>
    </row>
    <row r="5719" spans="2:7" x14ac:dyDescent="0.35">
      <c r="B5719" s="1">
        <v>45896</v>
      </c>
      <c r="C5719" s="2">
        <v>0.20833333333333329</v>
      </c>
      <c r="D5719">
        <v>17.399999999999999</v>
      </c>
      <c r="E5719">
        <f>IF($D5719 &gt; 16, 0, $J$3*(16 - $D5719))</f>
        <v>0</v>
      </c>
      <c r="F5719">
        <f>IF($D5719 &gt; 16, 0,$E5719*$J$5)</f>
        <v>0</v>
      </c>
      <c r="G5719">
        <f t="shared" si="89"/>
        <v>0</v>
      </c>
    </row>
    <row r="5720" spans="2:7" x14ac:dyDescent="0.35">
      <c r="B5720" s="1">
        <v>45896</v>
      </c>
      <c r="C5720" s="2">
        <v>0.25</v>
      </c>
      <c r="D5720">
        <v>17.5</v>
      </c>
      <c r="E5720">
        <f>IF($D5720 &gt; 16, 0, $J$3*(16 - $D5720))</f>
        <v>0</v>
      </c>
      <c r="F5720">
        <f>IF($D5720 &gt; 16, 0,$E5720*$J$5)</f>
        <v>0</v>
      </c>
      <c r="G5720">
        <f t="shared" si="89"/>
        <v>0</v>
      </c>
    </row>
    <row r="5721" spans="2:7" x14ac:dyDescent="0.35">
      <c r="B5721" s="1">
        <v>45896</v>
      </c>
      <c r="C5721" s="2">
        <v>0.29166666666666669</v>
      </c>
      <c r="D5721">
        <v>18.5</v>
      </c>
      <c r="E5721">
        <f>IF($D5721 &gt; 16, 0, $J$3*(16 - $D5721))</f>
        <v>0</v>
      </c>
      <c r="F5721">
        <f>IF($D5721 &gt; 16, 0,$E5721*$J$5)</f>
        <v>0</v>
      </c>
      <c r="G5721">
        <f t="shared" si="89"/>
        <v>0</v>
      </c>
    </row>
    <row r="5722" spans="2:7" x14ac:dyDescent="0.35">
      <c r="B5722" s="1">
        <v>45896</v>
      </c>
      <c r="C5722" s="2">
        <v>0.33333333333333331</v>
      </c>
      <c r="D5722">
        <v>20.9</v>
      </c>
      <c r="E5722">
        <f>IF($D5722 &gt; 16, 0, $J$3*(16 - $D5722))</f>
        <v>0</v>
      </c>
      <c r="F5722">
        <f>IF($D5722 &gt; 16, 0,$E5722*$J$5)</f>
        <v>0</v>
      </c>
      <c r="G5722">
        <f t="shared" si="89"/>
        <v>0</v>
      </c>
    </row>
    <row r="5723" spans="2:7" x14ac:dyDescent="0.35">
      <c r="B5723" s="1">
        <v>45896</v>
      </c>
      <c r="C5723" s="2">
        <v>0.375</v>
      </c>
      <c r="D5723">
        <v>22.2</v>
      </c>
      <c r="E5723">
        <f>IF($D5723 &gt; 16, 0, $J$3*(16 - $D5723))</f>
        <v>0</v>
      </c>
      <c r="F5723">
        <f>IF($D5723 &gt; 16, 0,$E5723*$J$5)</f>
        <v>0</v>
      </c>
      <c r="G5723">
        <f t="shared" si="89"/>
        <v>0</v>
      </c>
    </row>
    <row r="5724" spans="2:7" x14ac:dyDescent="0.35">
      <c r="B5724" s="1">
        <v>45896</v>
      </c>
      <c r="C5724" s="2">
        <v>0.41666666666666669</v>
      </c>
      <c r="D5724">
        <v>23.6</v>
      </c>
      <c r="E5724">
        <f>IF($D5724 &gt; 16, 0, $J$3*(16 - $D5724))</f>
        <v>0</v>
      </c>
      <c r="F5724">
        <f>IF($D5724 &gt; 16, 0,$E5724*$J$5)</f>
        <v>0</v>
      </c>
      <c r="G5724">
        <f t="shared" si="89"/>
        <v>0</v>
      </c>
    </row>
    <row r="5725" spans="2:7" x14ac:dyDescent="0.35">
      <c r="B5725" s="1">
        <v>45896</v>
      </c>
      <c r="C5725" s="2">
        <v>0.45833333333333331</v>
      </c>
      <c r="D5725">
        <v>24.4</v>
      </c>
      <c r="E5725">
        <f>IF($D5725 &gt; 16, 0, $J$3*(16 - $D5725))</f>
        <v>0</v>
      </c>
      <c r="F5725">
        <f>IF($D5725 &gt; 16, 0,$E5725*$J$5)</f>
        <v>0</v>
      </c>
      <c r="G5725">
        <f t="shared" si="89"/>
        <v>0</v>
      </c>
    </row>
    <row r="5726" spans="2:7" x14ac:dyDescent="0.35">
      <c r="B5726" s="1">
        <v>45896</v>
      </c>
      <c r="C5726" s="2">
        <v>0.5</v>
      </c>
      <c r="D5726">
        <v>25.5</v>
      </c>
      <c r="E5726">
        <f>IF($D5726 &gt; 16, 0, $J$3*(16 - $D5726))</f>
        <v>0</v>
      </c>
      <c r="F5726">
        <f>IF($D5726 &gt; 16, 0,$E5726*$J$5)</f>
        <v>0</v>
      </c>
      <c r="G5726">
        <f t="shared" si="89"/>
        <v>0</v>
      </c>
    </row>
    <row r="5727" spans="2:7" x14ac:dyDescent="0.35">
      <c r="B5727" s="1">
        <v>45896</v>
      </c>
      <c r="C5727" s="2">
        <v>0.54166666666666663</v>
      </c>
      <c r="D5727">
        <v>23.4</v>
      </c>
      <c r="E5727">
        <f>IF($D5727 &gt; 16, 0, $J$3*(16 - $D5727))</f>
        <v>0</v>
      </c>
      <c r="F5727">
        <f>IF($D5727 &gt; 16, 0,$E5727*$J$5)</f>
        <v>0</v>
      </c>
      <c r="G5727">
        <f t="shared" si="89"/>
        <v>0</v>
      </c>
    </row>
    <row r="5728" spans="2:7" x14ac:dyDescent="0.35">
      <c r="B5728" s="1">
        <v>45896</v>
      </c>
      <c r="C5728" s="2">
        <v>0.58333333333333337</v>
      </c>
      <c r="D5728">
        <v>22.1</v>
      </c>
      <c r="E5728">
        <f>IF($D5728 &gt; 16, 0, $J$3*(16 - $D5728))</f>
        <v>0</v>
      </c>
      <c r="F5728">
        <f>IF($D5728 &gt; 16, 0,$E5728*$J$5)</f>
        <v>0</v>
      </c>
      <c r="G5728">
        <f t="shared" si="89"/>
        <v>0</v>
      </c>
    </row>
    <row r="5729" spans="2:7" x14ac:dyDescent="0.35">
      <c r="B5729" s="1">
        <v>45896</v>
      </c>
      <c r="C5729" s="2">
        <v>0.625</v>
      </c>
      <c r="D5729">
        <v>24.3</v>
      </c>
      <c r="E5729">
        <f>IF($D5729 &gt; 16, 0, $J$3*(16 - $D5729))</f>
        <v>0</v>
      </c>
      <c r="F5729">
        <f>IF($D5729 &gt; 16, 0,$E5729*$J$5)</f>
        <v>0</v>
      </c>
      <c r="G5729">
        <f t="shared" si="89"/>
        <v>0</v>
      </c>
    </row>
    <row r="5730" spans="2:7" x14ac:dyDescent="0.35">
      <c r="B5730" s="1">
        <v>45896</v>
      </c>
      <c r="C5730" s="2">
        <v>0.66666666666666663</v>
      </c>
      <c r="D5730">
        <v>24.5</v>
      </c>
      <c r="E5730">
        <f>IF($D5730 &gt; 16, 0, $J$3*(16 - $D5730))</f>
        <v>0</v>
      </c>
      <c r="F5730">
        <f>IF($D5730 &gt; 16, 0,$E5730*$J$5)</f>
        <v>0</v>
      </c>
      <c r="G5730">
        <f t="shared" si="89"/>
        <v>0</v>
      </c>
    </row>
    <row r="5731" spans="2:7" x14ac:dyDescent="0.35">
      <c r="B5731" s="1">
        <v>45896</v>
      </c>
      <c r="C5731" s="2">
        <v>0.70833333333333337</v>
      </c>
      <c r="D5731">
        <v>23.9</v>
      </c>
      <c r="E5731">
        <f>IF($D5731 &gt; 16, 0, $J$3*(16 - $D5731))</f>
        <v>0</v>
      </c>
      <c r="F5731">
        <f>IF($D5731 &gt; 16, 0,$E5731*$J$5)</f>
        <v>0</v>
      </c>
      <c r="G5731">
        <f t="shared" si="89"/>
        <v>0</v>
      </c>
    </row>
    <row r="5732" spans="2:7" x14ac:dyDescent="0.35">
      <c r="B5732" s="1">
        <v>45896</v>
      </c>
      <c r="C5732" s="2">
        <v>0.75</v>
      </c>
      <c r="D5732">
        <v>21.1</v>
      </c>
      <c r="E5732">
        <f>IF($D5732 &gt; 16, 0, $J$3*(16 - $D5732))</f>
        <v>0</v>
      </c>
      <c r="F5732">
        <f>IF($D5732 &gt; 16, 0,$E5732*$J$5)</f>
        <v>0</v>
      </c>
      <c r="G5732">
        <f t="shared" si="89"/>
        <v>0</v>
      </c>
    </row>
    <row r="5733" spans="2:7" x14ac:dyDescent="0.35">
      <c r="B5733" s="1">
        <v>45896</v>
      </c>
      <c r="C5733" s="2">
        <v>0.79166666666666663</v>
      </c>
      <c r="D5733">
        <v>18.5</v>
      </c>
      <c r="E5733">
        <f>IF($D5733 &gt; 16, 0, $J$3*(16 - $D5733))</f>
        <v>0</v>
      </c>
      <c r="F5733">
        <f>IF($D5733 &gt; 16, 0,$E5733*$J$5)</f>
        <v>0</v>
      </c>
      <c r="G5733">
        <f t="shared" si="89"/>
        <v>0</v>
      </c>
    </row>
    <row r="5734" spans="2:7" x14ac:dyDescent="0.35">
      <c r="B5734" s="1">
        <v>45896</v>
      </c>
      <c r="C5734" s="2">
        <v>0.83333333333333337</v>
      </c>
      <c r="D5734">
        <v>17.7</v>
      </c>
      <c r="E5734">
        <f>IF($D5734 &gt; 16, 0, $J$3*(16 - $D5734))</f>
        <v>0</v>
      </c>
      <c r="F5734">
        <f>IF($D5734 &gt; 16, 0,$E5734*$J$5)</f>
        <v>0</v>
      </c>
      <c r="G5734">
        <f t="shared" si="89"/>
        <v>0</v>
      </c>
    </row>
    <row r="5735" spans="2:7" x14ac:dyDescent="0.35">
      <c r="B5735" s="1">
        <v>45896</v>
      </c>
      <c r="C5735" s="2">
        <v>0.875</v>
      </c>
      <c r="D5735">
        <v>17.3</v>
      </c>
      <c r="E5735">
        <f>IF($D5735 &gt; 16, 0, $J$3*(16 - $D5735))</f>
        <v>0</v>
      </c>
      <c r="F5735">
        <f>IF($D5735 &gt; 16, 0,$E5735*$J$5)</f>
        <v>0</v>
      </c>
      <c r="G5735">
        <f t="shared" si="89"/>
        <v>0</v>
      </c>
    </row>
    <row r="5736" spans="2:7" x14ac:dyDescent="0.35">
      <c r="B5736" s="1">
        <v>45896</v>
      </c>
      <c r="C5736" s="2">
        <v>0.91666666666666663</v>
      </c>
      <c r="D5736">
        <v>17.600000000000001</v>
      </c>
      <c r="E5736">
        <f>IF($D5736 &gt; 16, 0, $J$3*(16 - $D5736))</f>
        <v>0</v>
      </c>
      <c r="F5736">
        <f>IF($D5736 &gt; 16, 0,$E5736*$J$5)</f>
        <v>0</v>
      </c>
      <c r="G5736">
        <f t="shared" si="89"/>
        <v>0</v>
      </c>
    </row>
    <row r="5737" spans="2:7" x14ac:dyDescent="0.35">
      <c r="B5737" s="1">
        <v>45896</v>
      </c>
      <c r="C5737" s="2">
        <v>0.95833333333333337</v>
      </c>
      <c r="D5737">
        <v>16.399999999999999</v>
      </c>
      <c r="E5737">
        <f>IF($D5737 &gt; 16, 0, $J$3*(16 - $D5737))</f>
        <v>0</v>
      </c>
      <c r="F5737">
        <f>IF($D5737 &gt; 16, 0,$E5737*$J$5)</f>
        <v>0</v>
      </c>
      <c r="G5737">
        <f t="shared" si="89"/>
        <v>0</v>
      </c>
    </row>
    <row r="5738" spans="2:7" x14ac:dyDescent="0.35">
      <c r="B5738" s="1">
        <v>45897</v>
      </c>
      <c r="C5738" s="2">
        <v>0</v>
      </c>
      <c r="D5738">
        <v>16.2</v>
      </c>
      <c r="E5738">
        <f>IF($D5738 &gt; 16, 0, $J$3*(16 - $D5738))</f>
        <v>0</v>
      </c>
      <c r="F5738">
        <f>IF($D5738 &gt; 16, 0,$E5738*$J$5)</f>
        <v>0</v>
      </c>
      <c r="G5738">
        <f t="shared" si="89"/>
        <v>0</v>
      </c>
    </row>
    <row r="5739" spans="2:7" x14ac:dyDescent="0.35">
      <c r="B5739" s="1">
        <v>45897</v>
      </c>
      <c r="C5739" s="2">
        <v>4.1666666666666657E-2</v>
      </c>
      <c r="D5739">
        <v>15.3</v>
      </c>
      <c r="E5739">
        <f>IF($D5739 &gt; 16, 0, $J$3*(16 - $D5739))</f>
        <v>145.42404989048774</v>
      </c>
      <c r="F5739">
        <f>IF($D5739 &gt; 16, 0,$E5739*$J$5)</f>
        <v>1580613.9982597113</v>
      </c>
      <c r="G5739">
        <f t="shared" si="89"/>
        <v>0.69999999999999929</v>
      </c>
    </row>
    <row r="5740" spans="2:7" x14ac:dyDescent="0.35">
      <c r="B5740" s="1">
        <v>45897</v>
      </c>
      <c r="C5740" s="2">
        <v>8.3333333333333329E-2</v>
      </c>
      <c r="D5740">
        <v>15.4</v>
      </c>
      <c r="E5740">
        <f>IF($D5740 &gt; 16, 0, $J$3*(16 - $D5740))</f>
        <v>124.64918562041812</v>
      </c>
      <c r="F5740">
        <f>IF($D5740 &gt; 16, 0,$E5740*$J$5)</f>
        <v>1354811.9985083246</v>
      </c>
      <c r="G5740">
        <f t="shared" si="89"/>
        <v>0.59999999999999964</v>
      </c>
    </row>
    <row r="5741" spans="2:7" x14ac:dyDescent="0.35">
      <c r="B5741" s="1">
        <v>45897</v>
      </c>
      <c r="C5741" s="2">
        <v>0.125</v>
      </c>
      <c r="D5741">
        <v>15.2</v>
      </c>
      <c r="E5741">
        <f>IF($D5741 &gt; 16, 0, $J$3*(16 - $D5741))</f>
        <v>166.19891416055773</v>
      </c>
      <c r="F5741">
        <f>IF($D5741 &gt; 16, 0,$E5741*$J$5)</f>
        <v>1806415.998011102</v>
      </c>
      <c r="G5741">
        <f t="shared" si="89"/>
        <v>0.80000000000000071</v>
      </c>
    </row>
    <row r="5742" spans="2:7" x14ac:dyDescent="0.35">
      <c r="B5742" s="1">
        <v>45897</v>
      </c>
      <c r="C5742" s="2">
        <v>0.16666666666666671</v>
      </c>
      <c r="D5742">
        <v>15.3</v>
      </c>
      <c r="E5742">
        <f>IF($D5742 &gt; 16, 0, $J$3*(16 - $D5742))</f>
        <v>145.42404989048774</v>
      </c>
      <c r="F5742">
        <f>IF($D5742 &gt; 16, 0,$E5742*$J$5)</f>
        <v>1580613.9982597113</v>
      </c>
      <c r="G5742">
        <f t="shared" si="89"/>
        <v>0.69999999999999929</v>
      </c>
    </row>
    <row r="5743" spans="2:7" x14ac:dyDescent="0.35">
      <c r="B5743" s="1">
        <v>45897</v>
      </c>
      <c r="C5743" s="2">
        <v>0.20833333333333329</v>
      </c>
      <c r="D5743">
        <v>15.5</v>
      </c>
      <c r="E5743">
        <f>IF($D5743 &gt; 16, 0, $J$3*(16 - $D5743))</f>
        <v>103.8743213503485</v>
      </c>
      <c r="F5743">
        <f>IF($D5743 &gt; 16, 0,$E5743*$J$5)</f>
        <v>1129009.9987569377</v>
      </c>
      <c r="G5743">
        <f t="shared" si="89"/>
        <v>0.5</v>
      </c>
    </row>
    <row r="5744" spans="2:7" x14ac:dyDescent="0.35">
      <c r="B5744" s="1">
        <v>45897</v>
      </c>
      <c r="C5744" s="2">
        <v>0.25</v>
      </c>
      <c r="D5744">
        <v>15.3</v>
      </c>
      <c r="E5744">
        <f>IF($D5744 &gt; 16, 0, $J$3*(16 - $D5744))</f>
        <v>145.42404989048774</v>
      </c>
      <c r="F5744">
        <f>IF($D5744 &gt; 16, 0,$E5744*$J$5)</f>
        <v>1580613.9982597113</v>
      </c>
      <c r="G5744">
        <f t="shared" si="89"/>
        <v>0.69999999999999929</v>
      </c>
    </row>
    <row r="5745" spans="2:7" x14ac:dyDescent="0.35">
      <c r="B5745" s="1">
        <v>45897</v>
      </c>
      <c r="C5745" s="2">
        <v>0.29166666666666669</v>
      </c>
      <c r="D5745">
        <v>16.100000000000001</v>
      </c>
      <c r="E5745">
        <f>IF($D5745 &gt; 16, 0, $J$3*(16 - $D5745))</f>
        <v>0</v>
      </c>
      <c r="F5745">
        <f>IF($D5745 &gt; 16, 0,$E5745*$J$5)</f>
        <v>0</v>
      </c>
      <c r="G5745">
        <f t="shared" si="89"/>
        <v>0</v>
      </c>
    </row>
    <row r="5746" spans="2:7" x14ac:dyDescent="0.35">
      <c r="B5746" s="1">
        <v>45897</v>
      </c>
      <c r="C5746" s="2">
        <v>0.33333333333333331</v>
      </c>
      <c r="D5746">
        <v>17</v>
      </c>
      <c r="E5746">
        <f>IF($D5746 &gt; 16, 0, $J$3*(16 - $D5746))</f>
        <v>0</v>
      </c>
      <c r="F5746">
        <f>IF($D5746 &gt; 16, 0,$E5746*$J$5)</f>
        <v>0</v>
      </c>
      <c r="G5746">
        <f t="shared" si="89"/>
        <v>0</v>
      </c>
    </row>
    <row r="5747" spans="2:7" x14ac:dyDescent="0.35">
      <c r="B5747" s="1">
        <v>45897</v>
      </c>
      <c r="C5747" s="2">
        <v>0.375</v>
      </c>
      <c r="D5747">
        <v>17.7</v>
      </c>
      <c r="E5747">
        <f>IF($D5747 &gt; 16, 0, $J$3*(16 - $D5747))</f>
        <v>0</v>
      </c>
      <c r="F5747">
        <f>IF($D5747 &gt; 16, 0,$E5747*$J$5)</f>
        <v>0</v>
      </c>
      <c r="G5747">
        <f t="shared" si="89"/>
        <v>0</v>
      </c>
    </row>
    <row r="5748" spans="2:7" x14ac:dyDescent="0.35">
      <c r="B5748" s="1">
        <v>45897</v>
      </c>
      <c r="C5748" s="2">
        <v>0.41666666666666669</v>
      </c>
      <c r="D5748">
        <v>18</v>
      </c>
      <c r="E5748">
        <f>IF($D5748 &gt; 16, 0, $J$3*(16 - $D5748))</f>
        <v>0</v>
      </c>
      <c r="F5748">
        <f>IF($D5748 &gt; 16, 0,$E5748*$J$5)</f>
        <v>0</v>
      </c>
      <c r="G5748">
        <f t="shared" si="89"/>
        <v>0</v>
      </c>
    </row>
    <row r="5749" spans="2:7" x14ac:dyDescent="0.35">
      <c r="B5749" s="1">
        <v>45897</v>
      </c>
      <c r="C5749" s="2">
        <v>0.45833333333333331</v>
      </c>
      <c r="D5749">
        <v>19.5</v>
      </c>
      <c r="E5749">
        <f>IF($D5749 &gt; 16, 0, $J$3*(16 - $D5749))</f>
        <v>0</v>
      </c>
      <c r="F5749">
        <f>IF($D5749 &gt; 16, 0,$E5749*$J$5)</f>
        <v>0</v>
      </c>
      <c r="G5749">
        <f t="shared" si="89"/>
        <v>0</v>
      </c>
    </row>
    <row r="5750" spans="2:7" x14ac:dyDescent="0.35">
      <c r="B5750" s="1">
        <v>45897</v>
      </c>
      <c r="C5750" s="2">
        <v>0.5</v>
      </c>
      <c r="D5750">
        <v>21</v>
      </c>
      <c r="E5750">
        <f>IF($D5750 &gt; 16, 0, $J$3*(16 - $D5750))</f>
        <v>0</v>
      </c>
      <c r="F5750">
        <f>IF($D5750 &gt; 16, 0,$E5750*$J$5)</f>
        <v>0</v>
      </c>
      <c r="G5750">
        <f t="shared" si="89"/>
        <v>0</v>
      </c>
    </row>
    <row r="5751" spans="2:7" x14ac:dyDescent="0.35">
      <c r="B5751" s="1">
        <v>45897</v>
      </c>
      <c r="C5751" s="2">
        <v>0.54166666666666663</v>
      </c>
      <c r="D5751">
        <v>21.9</v>
      </c>
      <c r="E5751">
        <f>IF($D5751 &gt; 16, 0, $J$3*(16 - $D5751))</f>
        <v>0</v>
      </c>
      <c r="F5751">
        <f>IF($D5751 &gt; 16, 0,$E5751*$J$5)</f>
        <v>0</v>
      </c>
      <c r="G5751">
        <f t="shared" si="89"/>
        <v>0</v>
      </c>
    </row>
    <row r="5752" spans="2:7" x14ac:dyDescent="0.35">
      <c r="B5752" s="1">
        <v>45897</v>
      </c>
      <c r="C5752" s="2">
        <v>0.58333333333333337</v>
      </c>
      <c r="D5752">
        <v>22</v>
      </c>
      <c r="E5752">
        <f>IF($D5752 &gt; 16, 0, $J$3*(16 - $D5752))</f>
        <v>0</v>
      </c>
      <c r="F5752">
        <f>IF($D5752 &gt; 16, 0,$E5752*$J$5)</f>
        <v>0</v>
      </c>
      <c r="G5752">
        <f t="shared" si="89"/>
        <v>0</v>
      </c>
    </row>
    <row r="5753" spans="2:7" x14ac:dyDescent="0.35">
      <c r="B5753" s="1">
        <v>45897</v>
      </c>
      <c r="C5753" s="2">
        <v>0.625</v>
      </c>
      <c r="D5753">
        <v>22</v>
      </c>
      <c r="E5753">
        <f>IF($D5753 &gt; 16, 0, $J$3*(16 - $D5753))</f>
        <v>0</v>
      </c>
      <c r="F5753">
        <f>IF($D5753 &gt; 16, 0,$E5753*$J$5)</f>
        <v>0</v>
      </c>
      <c r="G5753">
        <f t="shared" si="89"/>
        <v>0</v>
      </c>
    </row>
    <row r="5754" spans="2:7" x14ac:dyDescent="0.35">
      <c r="B5754" s="1">
        <v>45897</v>
      </c>
      <c r="C5754" s="2">
        <v>0.66666666666666663</v>
      </c>
      <c r="D5754">
        <v>22.3</v>
      </c>
      <c r="E5754">
        <f>IF($D5754 &gt; 16, 0, $J$3*(16 - $D5754))</f>
        <v>0</v>
      </c>
      <c r="F5754">
        <f>IF($D5754 &gt; 16, 0,$E5754*$J$5)</f>
        <v>0</v>
      </c>
      <c r="G5754">
        <f t="shared" si="89"/>
        <v>0</v>
      </c>
    </row>
    <row r="5755" spans="2:7" x14ac:dyDescent="0.35">
      <c r="B5755" s="1">
        <v>45897</v>
      </c>
      <c r="C5755" s="2">
        <v>0.70833333333333337</v>
      </c>
      <c r="D5755">
        <v>21.9</v>
      </c>
      <c r="E5755">
        <f>IF($D5755 &gt; 16, 0, $J$3*(16 - $D5755))</f>
        <v>0</v>
      </c>
      <c r="F5755">
        <f>IF($D5755 &gt; 16, 0,$E5755*$J$5)</f>
        <v>0</v>
      </c>
      <c r="G5755">
        <f t="shared" si="89"/>
        <v>0</v>
      </c>
    </row>
    <row r="5756" spans="2:7" x14ac:dyDescent="0.35">
      <c r="B5756" s="1">
        <v>45897</v>
      </c>
      <c r="C5756" s="2">
        <v>0.75</v>
      </c>
      <c r="D5756">
        <v>21</v>
      </c>
      <c r="E5756">
        <f>IF($D5756 &gt; 16, 0, $J$3*(16 - $D5756))</f>
        <v>0</v>
      </c>
      <c r="F5756">
        <f>IF($D5756 &gt; 16, 0,$E5756*$J$5)</f>
        <v>0</v>
      </c>
      <c r="G5756">
        <f t="shared" si="89"/>
        <v>0</v>
      </c>
    </row>
    <row r="5757" spans="2:7" x14ac:dyDescent="0.35">
      <c r="B5757" s="1">
        <v>45897</v>
      </c>
      <c r="C5757" s="2">
        <v>0.79166666666666663</v>
      </c>
      <c r="D5757">
        <v>19.899999999999999</v>
      </c>
      <c r="E5757">
        <f>IF($D5757 &gt; 16, 0, $J$3*(16 - $D5757))</f>
        <v>0</v>
      </c>
      <c r="F5757">
        <f>IF($D5757 &gt; 16, 0,$E5757*$J$5)</f>
        <v>0</v>
      </c>
      <c r="G5757">
        <f t="shared" si="89"/>
        <v>0</v>
      </c>
    </row>
    <row r="5758" spans="2:7" x14ac:dyDescent="0.35">
      <c r="B5758" s="1">
        <v>45897</v>
      </c>
      <c r="C5758" s="2">
        <v>0.83333333333333337</v>
      </c>
      <c r="D5758">
        <v>18.5</v>
      </c>
      <c r="E5758">
        <f>IF($D5758 &gt; 16, 0, $J$3*(16 - $D5758))</f>
        <v>0</v>
      </c>
      <c r="F5758">
        <f>IF($D5758 &gt; 16, 0,$E5758*$J$5)</f>
        <v>0</v>
      </c>
      <c r="G5758">
        <f t="shared" si="89"/>
        <v>0</v>
      </c>
    </row>
    <row r="5759" spans="2:7" x14ac:dyDescent="0.35">
      <c r="B5759" s="1">
        <v>45897</v>
      </c>
      <c r="C5759" s="2">
        <v>0.875</v>
      </c>
      <c r="D5759">
        <v>17.100000000000001</v>
      </c>
      <c r="E5759">
        <f>IF($D5759 &gt; 16, 0, $J$3*(16 - $D5759))</f>
        <v>0</v>
      </c>
      <c r="F5759">
        <f>IF($D5759 &gt; 16, 0,$E5759*$J$5)</f>
        <v>0</v>
      </c>
      <c r="G5759">
        <f t="shared" si="89"/>
        <v>0</v>
      </c>
    </row>
    <row r="5760" spans="2:7" x14ac:dyDescent="0.35">
      <c r="B5760" s="1">
        <v>45897</v>
      </c>
      <c r="C5760" s="2">
        <v>0.91666666666666663</v>
      </c>
      <c r="D5760">
        <v>16.2</v>
      </c>
      <c r="E5760">
        <f>IF($D5760 &gt; 16, 0, $J$3*(16 - $D5760))</f>
        <v>0</v>
      </c>
      <c r="F5760">
        <f>IF($D5760 &gt; 16, 0,$E5760*$J$5)</f>
        <v>0</v>
      </c>
      <c r="G5760">
        <f t="shared" si="89"/>
        <v>0</v>
      </c>
    </row>
    <row r="5761" spans="2:7" x14ac:dyDescent="0.35">
      <c r="B5761" s="1">
        <v>45897</v>
      </c>
      <c r="C5761" s="2">
        <v>0.95833333333333337</v>
      </c>
      <c r="D5761">
        <v>15.6</v>
      </c>
      <c r="E5761">
        <f>IF($D5761 &gt; 16, 0, $J$3*(16 - $D5761))</f>
        <v>83.099457080278867</v>
      </c>
      <c r="F5761">
        <f>IF($D5761 &gt; 16, 0,$E5761*$J$5)</f>
        <v>903207.99900555098</v>
      </c>
      <c r="G5761">
        <f t="shared" si="89"/>
        <v>0.40000000000000036</v>
      </c>
    </row>
    <row r="5762" spans="2:7" x14ac:dyDescent="0.35">
      <c r="B5762" s="1">
        <v>45898</v>
      </c>
      <c r="C5762" s="2">
        <v>0</v>
      </c>
      <c r="D5762">
        <v>15.2</v>
      </c>
      <c r="E5762">
        <f>IF($D5762 &gt; 16, 0, $J$3*(16 - $D5762))</f>
        <v>166.19891416055773</v>
      </c>
      <c r="F5762">
        <f>IF($D5762 &gt; 16, 0,$E5762*$J$5)</f>
        <v>1806415.998011102</v>
      </c>
      <c r="G5762">
        <f t="shared" si="89"/>
        <v>0.80000000000000071</v>
      </c>
    </row>
    <row r="5763" spans="2:7" x14ac:dyDescent="0.35">
      <c r="B5763" s="1">
        <v>45898</v>
      </c>
      <c r="C5763" s="2">
        <v>4.1666666666666657E-2</v>
      </c>
      <c r="D5763">
        <v>14.4</v>
      </c>
      <c r="E5763">
        <f>IF($D5763 &gt; 16, 0, $J$3*(16 - $D5763))</f>
        <v>332.39782832111513</v>
      </c>
      <c r="F5763">
        <f>IF($D5763 &gt; 16, 0,$E5763*$J$5)</f>
        <v>3612831.9960222002</v>
      </c>
      <c r="G5763">
        <f t="shared" ref="G5763:G5826" si="90">MAX(0, 16 - $D5763)</f>
        <v>1.5999999999999996</v>
      </c>
    </row>
    <row r="5764" spans="2:7" x14ac:dyDescent="0.35">
      <c r="B5764" s="1">
        <v>45898</v>
      </c>
      <c r="C5764" s="2">
        <v>8.3333333333333329E-2</v>
      </c>
      <c r="D5764">
        <v>14.3</v>
      </c>
      <c r="E5764">
        <f>IF($D5764 &gt; 16, 0, $J$3*(16 - $D5764))</f>
        <v>353.17269259118473</v>
      </c>
      <c r="F5764">
        <f>IF($D5764 &gt; 16, 0,$E5764*$J$5)</f>
        <v>3838633.9957735869</v>
      </c>
      <c r="G5764">
        <f t="shared" si="90"/>
        <v>1.6999999999999993</v>
      </c>
    </row>
    <row r="5765" spans="2:7" x14ac:dyDescent="0.35">
      <c r="B5765" s="1">
        <v>45898</v>
      </c>
      <c r="C5765" s="2">
        <v>0.125</v>
      </c>
      <c r="D5765">
        <v>14.5</v>
      </c>
      <c r="E5765">
        <f>IF($D5765 &gt; 16, 0, $J$3*(16 - $D5765))</f>
        <v>311.62296405104547</v>
      </c>
      <c r="F5765">
        <f>IF($D5765 &gt; 16, 0,$E5765*$J$5)</f>
        <v>3387029.996270813</v>
      </c>
      <c r="G5765">
        <f t="shared" si="90"/>
        <v>1.5</v>
      </c>
    </row>
    <row r="5766" spans="2:7" x14ac:dyDescent="0.35">
      <c r="B5766" s="1">
        <v>45898</v>
      </c>
      <c r="C5766" s="2">
        <v>0.16666666666666671</v>
      </c>
      <c r="D5766">
        <v>13.1</v>
      </c>
      <c r="E5766">
        <f>IF($D5766 &gt; 16, 0, $J$3*(16 - $D5766))</f>
        <v>602.4710638320214</v>
      </c>
      <c r="F5766">
        <f>IF($D5766 &gt; 16, 0,$E5766*$J$5)</f>
        <v>6548257.9927902408</v>
      </c>
      <c r="G5766">
        <f t="shared" si="90"/>
        <v>2.9000000000000004</v>
      </c>
    </row>
    <row r="5767" spans="2:7" x14ac:dyDescent="0.35">
      <c r="B5767" s="1">
        <v>45898</v>
      </c>
      <c r="C5767" s="2">
        <v>0.20833333333333329</v>
      </c>
      <c r="D5767">
        <v>13.6</v>
      </c>
      <c r="E5767">
        <f>IF($D5767 &gt; 16, 0, $J$3*(16 - $D5767))</f>
        <v>498.59674248167283</v>
      </c>
      <c r="F5767">
        <f>IF($D5767 &gt; 16, 0,$E5767*$J$5)</f>
        <v>5419247.9940333022</v>
      </c>
      <c r="G5767">
        <f t="shared" si="90"/>
        <v>2.4000000000000004</v>
      </c>
    </row>
    <row r="5768" spans="2:7" x14ac:dyDescent="0.35">
      <c r="B5768" s="1">
        <v>45898</v>
      </c>
      <c r="C5768" s="2">
        <v>0.25</v>
      </c>
      <c r="D5768">
        <v>14.7</v>
      </c>
      <c r="E5768">
        <f>IF($D5768 &gt; 16, 0, $J$3*(16 - $D5768))</f>
        <v>270.07323551090622</v>
      </c>
      <c r="F5768">
        <f>IF($D5768 &gt; 16, 0,$E5768*$J$5)</f>
        <v>2935425.9967680397</v>
      </c>
      <c r="G5768">
        <f t="shared" si="90"/>
        <v>1.3000000000000007</v>
      </c>
    </row>
    <row r="5769" spans="2:7" x14ac:dyDescent="0.35">
      <c r="B5769" s="1">
        <v>45898</v>
      </c>
      <c r="C5769" s="2">
        <v>0.29166666666666669</v>
      </c>
      <c r="D5769">
        <v>16.3</v>
      </c>
      <c r="E5769">
        <f>IF($D5769 &gt; 16, 0, $J$3*(16 - $D5769))</f>
        <v>0</v>
      </c>
      <c r="F5769">
        <f>IF($D5769 &gt; 16, 0,$E5769*$J$5)</f>
        <v>0</v>
      </c>
      <c r="G5769">
        <f t="shared" si="90"/>
        <v>0</v>
      </c>
    </row>
    <row r="5770" spans="2:7" x14ac:dyDescent="0.35">
      <c r="B5770" s="1">
        <v>45898</v>
      </c>
      <c r="C5770" s="2">
        <v>0.33333333333333331</v>
      </c>
      <c r="D5770">
        <v>18.2</v>
      </c>
      <c r="E5770">
        <f>IF($D5770 &gt; 16, 0, $J$3*(16 - $D5770))</f>
        <v>0</v>
      </c>
      <c r="F5770">
        <f>IF($D5770 &gt; 16, 0,$E5770*$J$5)</f>
        <v>0</v>
      </c>
      <c r="G5770">
        <f t="shared" si="90"/>
        <v>0</v>
      </c>
    </row>
    <row r="5771" spans="2:7" x14ac:dyDescent="0.35">
      <c r="B5771" s="1">
        <v>45898</v>
      </c>
      <c r="C5771" s="2">
        <v>0.375</v>
      </c>
      <c r="D5771">
        <v>19</v>
      </c>
      <c r="E5771">
        <f>IF($D5771 &gt; 16, 0, $J$3*(16 - $D5771))</f>
        <v>0</v>
      </c>
      <c r="F5771">
        <f>IF($D5771 &gt; 16, 0,$E5771*$J$5)</f>
        <v>0</v>
      </c>
      <c r="G5771">
        <f t="shared" si="90"/>
        <v>0</v>
      </c>
    </row>
    <row r="5772" spans="2:7" x14ac:dyDescent="0.35">
      <c r="B5772" s="1">
        <v>45898</v>
      </c>
      <c r="C5772" s="2">
        <v>0.41666666666666669</v>
      </c>
      <c r="D5772">
        <v>18.7</v>
      </c>
      <c r="E5772">
        <f>IF($D5772 &gt; 16, 0, $J$3*(16 - $D5772))</f>
        <v>0</v>
      </c>
      <c r="F5772">
        <f>IF($D5772 &gt; 16, 0,$E5772*$J$5)</f>
        <v>0</v>
      </c>
      <c r="G5772">
        <f t="shared" si="90"/>
        <v>0</v>
      </c>
    </row>
    <row r="5773" spans="2:7" x14ac:dyDescent="0.35">
      <c r="B5773" s="1">
        <v>45898</v>
      </c>
      <c r="C5773" s="2">
        <v>0.45833333333333331</v>
      </c>
      <c r="D5773">
        <v>19.5</v>
      </c>
      <c r="E5773">
        <f>IF($D5773 &gt; 16, 0, $J$3*(16 - $D5773))</f>
        <v>0</v>
      </c>
      <c r="F5773">
        <f>IF($D5773 &gt; 16, 0,$E5773*$J$5)</f>
        <v>0</v>
      </c>
      <c r="G5773">
        <f t="shared" si="90"/>
        <v>0</v>
      </c>
    </row>
    <row r="5774" spans="2:7" x14ac:dyDescent="0.35">
      <c r="B5774" s="1">
        <v>45898</v>
      </c>
      <c r="C5774" s="2">
        <v>0.5</v>
      </c>
      <c r="D5774">
        <v>20.9</v>
      </c>
      <c r="E5774">
        <f>IF($D5774 &gt; 16, 0, $J$3*(16 - $D5774))</f>
        <v>0</v>
      </c>
      <c r="F5774">
        <f>IF($D5774 &gt; 16, 0,$E5774*$J$5)</f>
        <v>0</v>
      </c>
      <c r="G5774">
        <f t="shared" si="90"/>
        <v>0</v>
      </c>
    </row>
    <row r="5775" spans="2:7" x14ac:dyDescent="0.35">
      <c r="B5775" s="1">
        <v>45898</v>
      </c>
      <c r="C5775" s="2">
        <v>0.54166666666666663</v>
      </c>
      <c r="D5775">
        <v>21.8</v>
      </c>
      <c r="E5775">
        <f>IF($D5775 &gt; 16, 0, $J$3*(16 - $D5775))</f>
        <v>0</v>
      </c>
      <c r="F5775">
        <f>IF($D5775 &gt; 16, 0,$E5775*$J$5)</f>
        <v>0</v>
      </c>
      <c r="G5775">
        <f t="shared" si="90"/>
        <v>0</v>
      </c>
    </row>
    <row r="5776" spans="2:7" x14ac:dyDescent="0.35">
      <c r="B5776" s="1">
        <v>45898</v>
      </c>
      <c r="C5776" s="2">
        <v>0.58333333333333337</v>
      </c>
      <c r="D5776">
        <v>22.2</v>
      </c>
      <c r="E5776">
        <f>IF($D5776 &gt; 16, 0, $J$3*(16 - $D5776))</f>
        <v>0</v>
      </c>
      <c r="F5776">
        <f>IF($D5776 &gt; 16, 0,$E5776*$J$5)</f>
        <v>0</v>
      </c>
      <c r="G5776">
        <f t="shared" si="90"/>
        <v>0</v>
      </c>
    </row>
    <row r="5777" spans="2:7" x14ac:dyDescent="0.35">
      <c r="B5777" s="1">
        <v>45898</v>
      </c>
      <c r="C5777" s="2">
        <v>0.625</v>
      </c>
      <c r="D5777">
        <v>22.2</v>
      </c>
      <c r="E5777">
        <f>IF($D5777 &gt; 16, 0, $J$3*(16 - $D5777))</f>
        <v>0</v>
      </c>
      <c r="F5777">
        <f>IF($D5777 &gt; 16, 0,$E5777*$J$5)</f>
        <v>0</v>
      </c>
      <c r="G5777">
        <f t="shared" si="90"/>
        <v>0</v>
      </c>
    </row>
    <row r="5778" spans="2:7" x14ac:dyDescent="0.35">
      <c r="B5778" s="1">
        <v>45898</v>
      </c>
      <c r="C5778" s="2">
        <v>0.66666666666666663</v>
      </c>
      <c r="D5778">
        <v>22.4</v>
      </c>
      <c r="E5778">
        <f>IF($D5778 &gt; 16, 0, $J$3*(16 - $D5778))</f>
        <v>0</v>
      </c>
      <c r="F5778">
        <f>IF($D5778 &gt; 16, 0,$E5778*$J$5)</f>
        <v>0</v>
      </c>
      <c r="G5778">
        <f t="shared" si="90"/>
        <v>0</v>
      </c>
    </row>
    <row r="5779" spans="2:7" x14ac:dyDescent="0.35">
      <c r="B5779" s="1">
        <v>45898</v>
      </c>
      <c r="C5779" s="2">
        <v>0.70833333333333337</v>
      </c>
      <c r="D5779">
        <v>21.7</v>
      </c>
      <c r="E5779">
        <f>IF($D5779 &gt; 16, 0, $J$3*(16 - $D5779))</f>
        <v>0</v>
      </c>
      <c r="F5779">
        <f>IF($D5779 &gt; 16, 0,$E5779*$J$5)</f>
        <v>0</v>
      </c>
      <c r="G5779">
        <f t="shared" si="90"/>
        <v>0</v>
      </c>
    </row>
    <row r="5780" spans="2:7" x14ac:dyDescent="0.35">
      <c r="B5780" s="1">
        <v>45898</v>
      </c>
      <c r="C5780" s="2">
        <v>0.75</v>
      </c>
      <c r="D5780">
        <v>20.399999999999999</v>
      </c>
      <c r="E5780">
        <f>IF($D5780 &gt; 16, 0, $J$3*(16 - $D5780))</f>
        <v>0</v>
      </c>
      <c r="F5780">
        <f>IF($D5780 &gt; 16, 0,$E5780*$J$5)</f>
        <v>0</v>
      </c>
      <c r="G5780">
        <f t="shared" si="90"/>
        <v>0</v>
      </c>
    </row>
    <row r="5781" spans="2:7" x14ac:dyDescent="0.35">
      <c r="B5781" s="1">
        <v>45898</v>
      </c>
      <c r="C5781" s="2">
        <v>0.79166666666666663</v>
      </c>
      <c r="D5781">
        <v>19.2</v>
      </c>
      <c r="E5781">
        <f>IF($D5781 &gt; 16, 0, $J$3*(16 - $D5781))</f>
        <v>0</v>
      </c>
      <c r="F5781">
        <f>IF($D5781 &gt; 16, 0,$E5781*$J$5)</f>
        <v>0</v>
      </c>
      <c r="G5781">
        <f t="shared" si="90"/>
        <v>0</v>
      </c>
    </row>
    <row r="5782" spans="2:7" x14ac:dyDescent="0.35">
      <c r="B5782" s="1">
        <v>45898</v>
      </c>
      <c r="C5782" s="2">
        <v>0.83333333333333337</v>
      </c>
      <c r="D5782">
        <v>17.899999999999999</v>
      </c>
      <c r="E5782">
        <f>IF($D5782 &gt; 16, 0, $J$3*(16 - $D5782))</f>
        <v>0</v>
      </c>
      <c r="F5782">
        <f>IF($D5782 &gt; 16, 0,$E5782*$J$5)</f>
        <v>0</v>
      </c>
      <c r="G5782">
        <f t="shared" si="90"/>
        <v>0</v>
      </c>
    </row>
    <row r="5783" spans="2:7" x14ac:dyDescent="0.35">
      <c r="B5783" s="1">
        <v>45898</v>
      </c>
      <c r="C5783" s="2">
        <v>0.875</v>
      </c>
      <c r="D5783">
        <v>17.3</v>
      </c>
      <c r="E5783">
        <f>IF($D5783 &gt; 16, 0, $J$3*(16 - $D5783))</f>
        <v>0</v>
      </c>
      <c r="F5783">
        <f>IF($D5783 &gt; 16, 0,$E5783*$J$5)</f>
        <v>0</v>
      </c>
      <c r="G5783">
        <f t="shared" si="90"/>
        <v>0</v>
      </c>
    </row>
    <row r="5784" spans="2:7" x14ac:dyDescent="0.35">
      <c r="B5784" s="1">
        <v>45898</v>
      </c>
      <c r="C5784" s="2">
        <v>0.91666666666666663</v>
      </c>
      <c r="D5784">
        <v>17.2</v>
      </c>
      <c r="E5784">
        <f>IF($D5784 &gt; 16, 0, $J$3*(16 - $D5784))</f>
        <v>0</v>
      </c>
      <c r="F5784">
        <f>IF($D5784 &gt; 16, 0,$E5784*$J$5)</f>
        <v>0</v>
      </c>
      <c r="G5784">
        <f t="shared" si="90"/>
        <v>0</v>
      </c>
    </row>
    <row r="5785" spans="2:7" x14ac:dyDescent="0.35">
      <c r="B5785" s="1">
        <v>45898</v>
      </c>
      <c r="C5785" s="2">
        <v>0.95833333333333337</v>
      </c>
      <c r="D5785">
        <v>17.100000000000001</v>
      </c>
      <c r="E5785">
        <f>IF($D5785 &gt; 16, 0, $J$3*(16 - $D5785))</f>
        <v>0</v>
      </c>
      <c r="F5785">
        <f>IF($D5785 &gt; 16, 0,$E5785*$J$5)</f>
        <v>0</v>
      </c>
      <c r="G5785">
        <f t="shared" si="90"/>
        <v>0</v>
      </c>
    </row>
    <row r="5786" spans="2:7" x14ac:dyDescent="0.35">
      <c r="B5786" s="1">
        <v>45899</v>
      </c>
      <c r="C5786" s="2">
        <v>0</v>
      </c>
      <c r="D5786">
        <v>16.5</v>
      </c>
      <c r="E5786">
        <f>IF($D5786 &gt; 16, 0, $J$3*(16 - $D5786))</f>
        <v>0</v>
      </c>
      <c r="F5786">
        <f>IF($D5786 &gt; 16, 0,$E5786*$J$5)</f>
        <v>0</v>
      </c>
      <c r="G5786">
        <f t="shared" si="90"/>
        <v>0</v>
      </c>
    </row>
    <row r="5787" spans="2:7" x14ac:dyDescent="0.35">
      <c r="B5787" s="1">
        <v>45899</v>
      </c>
      <c r="C5787" s="2">
        <v>4.1666666666666657E-2</v>
      </c>
      <c r="D5787">
        <v>15.5</v>
      </c>
      <c r="E5787">
        <f>IF($D5787 &gt; 16, 0, $J$3*(16 - $D5787))</f>
        <v>103.8743213503485</v>
      </c>
      <c r="F5787">
        <f>IF($D5787 &gt; 16, 0,$E5787*$J$5)</f>
        <v>1129009.9987569377</v>
      </c>
      <c r="G5787">
        <f t="shared" si="90"/>
        <v>0.5</v>
      </c>
    </row>
    <row r="5788" spans="2:7" x14ac:dyDescent="0.35">
      <c r="B5788" s="1">
        <v>45899</v>
      </c>
      <c r="C5788" s="2">
        <v>8.3333333333333329E-2</v>
      </c>
      <c r="D5788">
        <v>15</v>
      </c>
      <c r="E5788">
        <f>IF($D5788 &gt; 16, 0, $J$3*(16 - $D5788))</f>
        <v>207.74864270069699</v>
      </c>
      <c r="F5788">
        <f>IF($D5788 &gt; 16, 0,$E5788*$J$5)</f>
        <v>2258019.9975138754</v>
      </c>
      <c r="G5788">
        <f t="shared" si="90"/>
        <v>1</v>
      </c>
    </row>
    <row r="5789" spans="2:7" x14ac:dyDescent="0.35">
      <c r="B5789" s="1">
        <v>45899</v>
      </c>
      <c r="C5789" s="2">
        <v>0.125</v>
      </c>
      <c r="D5789">
        <v>15.4</v>
      </c>
      <c r="E5789">
        <f>IF($D5789 &gt; 16, 0, $J$3*(16 - $D5789))</f>
        <v>124.64918562041812</v>
      </c>
      <c r="F5789">
        <f>IF($D5789 &gt; 16, 0,$E5789*$J$5)</f>
        <v>1354811.9985083246</v>
      </c>
      <c r="G5789">
        <f t="shared" si="90"/>
        <v>0.59999999999999964</v>
      </c>
    </row>
    <row r="5790" spans="2:7" x14ac:dyDescent="0.35">
      <c r="B5790" s="1">
        <v>45899</v>
      </c>
      <c r="C5790" s="2">
        <v>0.16666666666666671</v>
      </c>
      <c r="D5790">
        <v>15.5</v>
      </c>
      <c r="E5790">
        <f>IF($D5790 &gt; 16, 0, $J$3*(16 - $D5790))</f>
        <v>103.8743213503485</v>
      </c>
      <c r="F5790">
        <f>IF($D5790 &gt; 16, 0,$E5790*$J$5)</f>
        <v>1129009.9987569377</v>
      </c>
      <c r="G5790">
        <f t="shared" si="90"/>
        <v>0.5</v>
      </c>
    </row>
    <row r="5791" spans="2:7" x14ac:dyDescent="0.35">
      <c r="B5791" s="1">
        <v>45899</v>
      </c>
      <c r="C5791" s="2">
        <v>0.20833333333333329</v>
      </c>
      <c r="D5791">
        <v>16.100000000000001</v>
      </c>
      <c r="E5791">
        <f>IF($D5791 &gt; 16, 0, $J$3*(16 - $D5791))</f>
        <v>0</v>
      </c>
      <c r="F5791">
        <f>IF($D5791 &gt; 16, 0,$E5791*$J$5)</f>
        <v>0</v>
      </c>
      <c r="G5791">
        <f t="shared" si="90"/>
        <v>0</v>
      </c>
    </row>
    <row r="5792" spans="2:7" x14ac:dyDescent="0.35">
      <c r="B5792" s="1">
        <v>45899</v>
      </c>
      <c r="C5792" s="2">
        <v>0.25</v>
      </c>
      <c r="D5792">
        <v>15.8</v>
      </c>
      <c r="E5792">
        <f>IF($D5792 &gt; 16, 0, $J$3*(16 - $D5792))</f>
        <v>41.549728540139249</v>
      </c>
      <c r="F5792">
        <f>IF($D5792 &gt; 16, 0,$E5792*$J$5)</f>
        <v>451603.99950277351</v>
      </c>
      <c r="G5792">
        <f t="shared" si="90"/>
        <v>0.19999999999999929</v>
      </c>
    </row>
    <row r="5793" spans="2:7" x14ac:dyDescent="0.35">
      <c r="B5793" s="1">
        <v>45899</v>
      </c>
      <c r="C5793" s="2">
        <v>0.29166666666666669</v>
      </c>
      <c r="D5793">
        <v>17.399999999999999</v>
      </c>
      <c r="E5793">
        <f>IF($D5793 &gt; 16, 0, $J$3*(16 - $D5793))</f>
        <v>0</v>
      </c>
      <c r="F5793">
        <f>IF($D5793 &gt; 16, 0,$E5793*$J$5)</f>
        <v>0</v>
      </c>
      <c r="G5793">
        <f t="shared" si="90"/>
        <v>0</v>
      </c>
    </row>
    <row r="5794" spans="2:7" x14ac:dyDescent="0.35">
      <c r="B5794" s="1">
        <v>45899</v>
      </c>
      <c r="C5794" s="2">
        <v>0.33333333333333331</v>
      </c>
      <c r="D5794">
        <v>18</v>
      </c>
      <c r="E5794">
        <f>IF($D5794 &gt; 16, 0, $J$3*(16 - $D5794))</f>
        <v>0</v>
      </c>
      <c r="F5794">
        <f>IF($D5794 &gt; 16, 0,$E5794*$J$5)</f>
        <v>0</v>
      </c>
      <c r="G5794">
        <f t="shared" si="90"/>
        <v>0</v>
      </c>
    </row>
    <row r="5795" spans="2:7" x14ac:dyDescent="0.35">
      <c r="B5795" s="1">
        <v>45899</v>
      </c>
      <c r="C5795" s="2">
        <v>0.375</v>
      </c>
      <c r="D5795">
        <v>19.600000000000001</v>
      </c>
      <c r="E5795">
        <f>IF($D5795 &gt; 16, 0, $J$3*(16 - $D5795))</f>
        <v>0</v>
      </c>
      <c r="F5795">
        <f>IF($D5795 &gt; 16, 0,$E5795*$J$5)</f>
        <v>0</v>
      </c>
      <c r="G5795">
        <f t="shared" si="90"/>
        <v>0</v>
      </c>
    </row>
    <row r="5796" spans="2:7" x14ac:dyDescent="0.35">
      <c r="B5796" s="1">
        <v>45899</v>
      </c>
      <c r="C5796" s="2">
        <v>0.41666666666666669</v>
      </c>
      <c r="D5796">
        <v>20</v>
      </c>
      <c r="E5796">
        <f>IF($D5796 &gt; 16, 0, $J$3*(16 - $D5796))</f>
        <v>0</v>
      </c>
      <c r="F5796">
        <f>IF($D5796 &gt; 16, 0,$E5796*$J$5)</f>
        <v>0</v>
      </c>
      <c r="G5796">
        <f t="shared" si="90"/>
        <v>0</v>
      </c>
    </row>
    <row r="5797" spans="2:7" x14ac:dyDescent="0.35">
      <c r="B5797" s="1">
        <v>45899</v>
      </c>
      <c r="C5797" s="2">
        <v>0.45833333333333331</v>
      </c>
      <c r="D5797">
        <v>21.3</v>
      </c>
      <c r="E5797">
        <f>IF($D5797 &gt; 16, 0, $J$3*(16 - $D5797))</f>
        <v>0</v>
      </c>
      <c r="F5797">
        <f>IF($D5797 &gt; 16, 0,$E5797*$J$5)</f>
        <v>0</v>
      </c>
      <c r="G5797">
        <f t="shared" si="90"/>
        <v>0</v>
      </c>
    </row>
    <row r="5798" spans="2:7" x14ac:dyDescent="0.35">
      <c r="B5798" s="1">
        <v>45899</v>
      </c>
      <c r="C5798" s="2">
        <v>0.5</v>
      </c>
      <c r="D5798">
        <v>21.3</v>
      </c>
      <c r="E5798">
        <f>IF($D5798 &gt; 16, 0, $J$3*(16 - $D5798))</f>
        <v>0</v>
      </c>
      <c r="F5798">
        <f>IF($D5798 &gt; 16, 0,$E5798*$J$5)</f>
        <v>0</v>
      </c>
      <c r="G5798">
        <f t="shared" si="90"/>
        <v>0</v>
      </c>
    </row>
    <row r="5799" spans="2:7" x14ac:dyDescent="0.35">
      <c r="B5799" s="1">
        <v>45899</v>
      </c>
      <c r="C5799" s="2">
        <v>0.54166666666666663</v>
      </c>
      <c r="D5799">
        <v>20.8</v>
      </c>
      <c r="E5799">
        <f>IF($D5799 &gt; 16, 0, $J$3*(16 - $D5799))</f>
        <v>0</v>
      </c>
      <c r="F5799">
        <f>IF($D5799 &gt; 16, 0,$E5799*$J$5)</f>
        <v>0</v>
      </c>
      <c r="G5799">
        <f t="shared" si="90"/>
        <v>0</v>
      </c>
    </row>
    <row r="5800" spans="2:7" x14ac:dyDescent="0.35">
      <c r="B5800" s="1">
        <v>45899</v>
      </c>
      <c r="C5800" s="2">
        <v>0.58333333333333337</v>
      </c>
      <c r="D5800">
        <v>21.9</v>
      </c>
      <c r="E5800">
        <f>IF($D5800 &gt; 16, 0, $J$3*(16 - $D5800))</f>
        <v>0</v>
      </c>
      <c r="F5800">
        <f>IF($D5800 &gt; 16, 0,$E5800*$J$5)</f>
        <v>0</v>
      </c>
      <c r="G5800">
        <f t="shared" si="90"/>
        <v>0</v>
      </c>
    </row>
    <row r="5801" spans="2:7" x14ac:dyDescent="0.35">
      <c r="B5801" s="1">
        <v>45899</v>
      </c>
      <c r="C5801" s="2">
        <v>0.625</v>
      </c>
      <c r="D5801">
        <v>22.6</v>
      </c>
      <c r="E5801">
        <f>IF($D5801 &gt; 16, 0, $J$3*(16 - $D5801))</f>
        <v>0</v>
      </c>
      <c r="F5801">
        <f>IF($D5801 &gt; 16, 0,$E5801*$J$5)</f>
        <v>0</v>
      </c>
      <c r="G5801">
        <f t="shared" si="90"/>
        <v>0</v>
      </c>
    </row>
    <row r="5802" spans="2:7" x14ac:dyDescent="0.35">
      <c r="B5802" s="1">
        <v>45899</v>
      </c>
      <c r="C5802" s="2">
        <v>0.66666666666666663</v>
      </c>
      <c r="D5802">
        <v>22.7</v>
      </c>
      <c r="E5802">
        <f>IF($D5802 &gt; 16, 0, $J$3*(16 - $D5802))</f>
        <v>0</v>
      </c>
      <c r="F5802">
        <f>IF($D5802 &gt; 16, 0,$E5802*$J$5)</f>
        <v>0</v>
      </c>
      <c r="G5802">
        <f t="shared" si="90"/>
        <v>0</v>
      </c>
    </row>
    <row r="5803" spans="2:7" x14ac:dyDescent="0.35">
      <c r="B5803" s="1">
        <v>45899</v>
      </c>
      <c r="C5803" s="2">
        <v>0.70833333333333337</v>
      </c>
      <c r="D5803">
        <v>19.399999999999999</v>
      </c>
      <c r="E5803">
        <f>IF($D5803 &gt; 16, 0, $J$3*(16 - $D5803))</f>
        <v>0</v>
      </c>
      <c r="F5803">
        <f>IF($D5803 &gt; 16, 0,$E5803*$J$5)</f>
        <v>0</v>
      </c>
      <c r="G5803">
        <f t="shared" si="90"/>
        <v>0</v>
      </c>
    </row>
    <row r="5804" spans="2:7" x14ac:dyDescent="0.35">
      <c r="B5804" s="1">
        <v>45899</v>
      </c>
      <c r="C5804" s="2">
        <v>0.75</v>
      </c>
      <c r="D5804">
        <v>17.8</v>
      </c>
      <c r="E5804">
        <f>IF($D5804 &gt; 16, 0, $J$3*(16 - $D5804))</f>
        <v>0</v>
      </c>
      <c r="F5804">
        <f>IF($D5804 &gt; 16, 0,$E5804*$J$5)</f>
        <v>0</v>
      </c>
      <c r="G5804">
        <f t="shared" si="90"/>
        <v>0</v>
      </c>
    </row>
    <row r="5805" spans="2:7" x14ac:dyDescent="0.35">
      <c r="B5805" s="1">
        <v>45899</v>
      </c>
      <c r="C5805" s="2">
        <v>0.79166666666666663</v>
      </c>
      <c r="D5805">
        <v>15.8</v>
      </c>
      <c r="E5805">
        <f>IF($D5805 &gt; 16, 0, $J$3*(16 - $D5805))</f>
        <v>41.549728540139249</v>
      </c>
      <c r="F5805">
        <f>IF($D5805 &gt; 16, 0,$E5805*$J$5)</f>
        <v>451603.99950277351</v>
      </c>
      <c r="G5805">
        <f t="shared" si="90"/>
        <v>0.19999999999999929</v>
      </c>
    </row>
    <row r="5806" spans="2:7" x14ac:dyDescent="0.35">
      <c r="B5806" s="1">
        <v>45899</v>
      </c>
      <c r="C5806" s="2">
        <v>0.83333333333333337</v>
      </c>
      <c r="D5806">
        <v>15.9</v>
      </c>
      <c r="E5806">
        <f>IF($D5806 &gt; 16, 0, $J$3*(16 - $D5806))</f>
        <v>20.774864270069624</v>
      </c>
      <c r="F5806">
        <f>IF($D5806 &gt; 16, 0,$E5806*$J$5)</f>
        <v>225801.99975138676</v>
      </c>
      <c r="G5806">
        <f t="shared" si="90"/>
        <v>9.9999999999999645E-2</v>
      </c>
    </row>
    <row r="5807" spans="2:7" x14ac:dyDescent="0.35">
      <c r="B5807" s="1">
        <v>45899</v>
      </c>
      <c r="C5807" s="2">
        <v>0.875</v>
      </c>
      <c r="D5807">
        <v>16.2</v>
      </c>
      <c r="E5807">
        <f>IF($D5807 &gt; 16, 0, $J$3*(16 - $D5807))</f>
        <v>0</v>
      </c>
      <c r="F5807">
        <f>IF($D5807 &gt; 16, 0,$E5807*$J$5)</f>
        <v>0</v>
      </c>
      <c r="G5807">
        <f t="shared" si="90"/>
        <v>0</v>
      </c>
    </row>
    <row r="5808" spans="2:7" x14ac:dyDescent="0.35">
      <c r="B5808" s="1">
        <v>45899</v>
      </c>
      <c r="C5808" s="2">
        <v>0.91666666666666663</v>
      </c>
      <c r="D5808">
        <v>16</v>
      </c>
      <c r="E5808">
        <f>IF($D5808 &gt; 16, 0, $J$3*(16 - $D5808))</f>
        <v>0</v>
      </c>
      <c r="F5808">
        <f>IF($D5808 &gt; 16, 0,$E5808*$J$5)</f>
        <v>0</v>
      </c>
      <c r="G5808">
        <f t="shared" si="90"/>
        <v>0</v>
      </c>
    </row>
    <row r="5809" spans="2:7" x14ac:dyDescent="0.35">
      <c r="B5809" s="1">
        <v>45899</v>
      </c>
      <c r="C5809" s="2">
        <v>0.95833333333333337</v>
      </c>
      <c r="D5809">
        <v>14.4</v>
      </c>
      <c r="E5809">
        <f>IF($D5809 &gt; 16, 0, $J$3*(16 - $D5809))</f>
        <v>332.39782832111513</v>
      </c>
      <c r="F5809">
        <f>IF($D5809 &gt; 16, 0,$E5809*$J$5)</f>
        <v>3612831.9960222002</v>
      </c>
      <c r="G5809">
        <f t="shared" si="90"/>
        <v>1.5999999999999996</v>
      </c>
    </row>
    <row r="5810" spans="2:7" x14ac:dyDescent="0.35">
      <c r="B5810" s="1">
        <v>45900</v>
      </c>
      <c r="C5810" s="2">
        <v>0</v>
      </c>
      <c r="D5810">
        <v>15</v>
      </c>
      <c r="E5810">
        <f>IF($D5810 &gt; 16, 0, $J$3*(16 - $D5810))</f>
        <v>207.74864270069699</v>
      </c>
      <c r="F5810">
        <f>IF($D5810 &gt; 16, 0,$E5810*$J$5)</f>
        <v>2258019.9975138754</v>
      </c>
      <c r="G5810">
        <f t="shared" si="90"/>
        <v>1</v>
      </c>
    </row>
    <row r="5811" spans="2:7" x14ac:dyDescent="0.35">
      <c r="B5811" s="1">
        <v>45900</v>
      </c>
      <c r="C5811" s="2">
        <v>4.1666666666666657E-2</v>
      </c>
      <c r="D5811">
        <v>14.7</v>
      </c>
      <c r="E5811">
        <f>IF($D5811 &gt; 16, 0, $J$3*(16 - $D5811))</f>
        <v>270.07323551090622</v>
      </c>
      <c r="F5811">
        <f>IF($D5811 &gt; 16, 0,$E5811*$J$5)</f>
        <v>2935425.9967680397</v>
      </c>
      <c r="G5811">
        <f t="shared" si="90"/>
        <v>1.3000000000000007</v>
      </c>
    </row>
    <row r="5812" spans="2:7" x14ac:dyDescent="0.35">
      <c r="B5812" s="1">
        <v>45900</v>
      </c>
      <c r="C5812" s="2">
        <v>8.3333333333333329E-2</v>
      </c>
      <c r="D5812">
        <v>13.8</v>
      </c>
      <c r="E5812">
        <f>IF($D5812 &gt; 16, 0, $J$3*(16 - $D5812))</f>
        <v>457.04701394153324</v>
      </c>
      <c r="F5812">
        <f>IF($D5812 &gt; 16, 0,$E5812*$J$5)</f>
        <v>4967643.9945305251</v>
      </c>
      <c r="G5812">
        <f t="shared" si="90"/>
        <v>2.1999999999999993</v>
      </c>
    </row>
    <row r="5813" spans="2:7" x14ac:dyDescent="0.35">
      <c r="B5813" s="1">
        <v>45900</v>
      </c>
      <c r="C5813" s="2">
        <v>0.125</v>
      </c>
      <c r="D5813">
        <v>13.5</v>
      </c>
      <c r="E5813">
        <f>IF($D5813 &gt; 16, 0, $J$3*(16 - $D5813))</f>
        <v>519.37160675174243</v>
      </c>
      <c r="F5813">
        <f>IF($D5813 &gt; 16, 0,$E5813*$J$5)</f>
        <v>5645049.9937846884</v>
      </c>
      <c r="G5813">
        <f t="shared" si="90"/>
        <v>2.5</v>
      </c>
    </row>
    <row r="5814" spans="2:7" x14ac:dyDescent="0.35">
      <c r="B5814" s="1">
        <v>45900</v>
      </c>
      <c r="C5814" s="2">
        <v>0.16666666666666671</v>
      </c>
      <c r="D5814">
        <v>12.6</v>
      </c>
      <c r="E5814">
        <f>IF($D5814 &gt; 16, 0, $J$3*(16 - $D5814))</f>
        <v>706.3453851823698</v>
      </c>
      <c r="F5814">
        <f>IF($D5814 &gt; 16, 0,$E5814*$J$5)</f>
        <v>7677267.9915471775</v>
      </c>
      <c r="G5814">
        <f t="shared" si="90"/>
        <v>3.4000000000000004</v>
      </c>
    </row>
    <row r="5815" spans="2:7" x14ac:dyDescent="0.35">
      <c r="B5815" s="1">
        <v>45900</v>
      </c>
      <c r="C5815" s="2">
        <v>0.20833333333333329</v>
      </c>
      <c r="D5815">
        <v>13.4</v>
      </c>
      <c r="E5815">
        <f>IF($D5815 &gt; 16, 0, $J$3*(16 - $D5815))</f>
        <v>540.14647102181209</v>
      </c>
      <c r="F5815">
        <f>IF($D5815 &gt; 16, 0,$E5815*$J$5)</f>
        <v>5870851.9935360756</v>
      </c>
      <c r="G5815">
        <f t="shared" si="90"/>
        <v>2.5999999999999996</v>
      </c>
    </row>
    <row r="5816" spans="2:7" x14ac:dyDescent="0.35">
      <c r="B5816" s="1">
        <v>45900</v>
      </c>
      <c r="C5816" s="2">
        <v>0.25</v>
      </c>
      <c r="D5816">
        <v>14.9</v>
      </c>
      <c r="E5816">
        <f>IF($D5816 &gt; 16, 0, $J$3*(16 - $D5816))</f>
        <v>228.52350697076662</v>
      </c>
      <c r="F5816">
        <f>IF($D5816 &gt; 16, 0,$E5816*$J$5)</f>
        <v>2483821.9972652625</v>
      </c>
      <c r="G5816">
        <f t="shared" si="90"/>
        <v>1.0999999999999996</v>
      </c>
    </row>
    <row r="5817" spans="2:7" x14ac:dyDescent="0.35">
      <c r="B5817" s="1">
        <v>45900</v>
      </c>
      <c r="C5817" s="2">
        <v>0.29166666666666669</v>
      </c>
      <c r="D5817">
        <v>16.7</v>
      </c>
      <c r="E5817">
        <f>IF($D5817 &gt; 16, 0, $J$3*(16 - $D5817))</f>
        <v>0</v>
      </c>
      <c r="F5817">
        <f>IF($D5817 &gt; 16, 0,$E5817*$J$5)</f>
        <v>0</v>
      </c>
      <c r="G5817">
        <f t="shared" si="90"/>
        <v>0</v>
      </c>
    </row>
    <row r="5818" spans="2:7" x14ac:dyDescent="0.35">
      <c r="B5818" s="1">
        <v>45900</v>
      </c>
      <c r="C5818" s="2">
        <v>0.33333333333333331</v>
      </c>
      <c r="D5818">
        <v>19</v>
      </c>
      <c r="E5818">
        <f>IF($D5818 &gt; 16, 0, $J$3*(16 - $D5818))</f>
        <v>0</v>
      </c>
      <c r="F5818">
        <f>IF($D5818 &gt; 16, 0,$E5818*$J$5)</f>
        <v>0</v>
      </c>
      <c r="G5818">
        <f t="shared" si="90"/>
        <v>0</v>
      </c>
    </row>
    <row r="5819" spans="2:7" x14ac:dyDescent="0.35">
      <c r="B5819" s="1">
        <v>45900</v>
      </c>
      <c r="C5819" s="2">
        <v>0.375</v>
      </c>
      <c r="D5819">
        <v>21.5</v>
      </c>
      <c r="E5819">
        <f>IF($D5819 &gt; 16, 0, $J$3*(16 - $D5819))</f>
        <v>0</v>
      </c>
      <c r="F5819">
        <f>IF($D5819 &gt; 16, 0,$E5819*$J$5)</f>
        <v>0</v>
      </c>
      <c r="G5819">
        <f t="shared" si="90"/>
        <v>0</v>
      </c>
    </row>
    <row r="5820" spans="2:7" x14ac:dyDescent="0.35">
      <c r="B5820" s="1">
        <v>45900</v>
      </c>
      <c r="C5820" s="2">
        <v>0.41666666666666669</v>
      </c>
      <c r="D5820">
        <v>22.2</v>
      </c>
      <c r="E5820">
        <f>IF($D5820 &gt; 16, 0, $J$3*(16 - $D5820))</f>
        <v>0</v>
      </c>
      <c r="F5820">
        <f>IF($D5820 &gt; 16, 0,$E5820*$J$5)</f>
        <v>0</v>
      </c>
      <c r="G5820">
        <f t="shared" si="90"/>
        <v>0</v>
      </c>
    </row>
    <row r="5821" spans="2:7" x14ac:dyDescent="0.35">
      <c r="B5821" s="1">
        <v>45900</v>
      </c>
      <c r="C5821" s="2">
        <v>0.45833333333333331</v>
      </c>
      <c r="D5821">
        <v>22.9</v>
      </c>
      <c r="E5821">
        <f>IF($D5821 &gt; 16, 0, $J$3*(16 - $D5821))</f>
        <v>0</v>
      </c>
      <c r="F5821">
        <f>IF($D5821 &gt; 16, 0,$E5821*$J$5)</f>
        <v>0</v>
      </c>
      <c r="G5821">
        <f t="shared" si="90"/>
        <v>0</v>
      </c>
    </row>
    <row r="5822" spans="2:7" x14ac:dyDescent="0.35">
      <c r="B5822" s="1">
        <v>45900</v>
      </c>
      <c r="C5822" s="2">
        <v>0.5</v>
      </c>
      <c r="D5822">
        <v>22.8</v>
      </c>
      <c r="E5822">
        <f>IF($D5822 &gt; 16, 0, $J$3*(16 - $D5822))</f>
        <v>0</v>
      </c>
      <c r="F5822">
        <f>IF($D5822 &gt; 16, 0,$E5822*$J$5)</f>
        <v>0</v>
      </c>
      <c r="G5822">
        <f t="shared" si="90"/>
        <v>0</v>
      </c>
    </row>
    <row r="5823" spans="2:7" x14ac:dyDescent="0.35">
      <c r="B5823" s="1">
        <v>45900</v>
      </c>
      <c r="C5823" s="2">
        <v>0.54166666666666663</v>
      </c>
      <c r="D5823">
        <v>24.1</v>
      </c>
      <c r="E5823">
        <f>IF($D5823 &gt; 16, 0, $J$3*(16 - $D5823))</f>
        <v>0</v>
      </c>
      <c r="F5823">
        <f>IF($D5823 &gt; 16, 0,$E5823*$J$5)</f>
        <v>0</v>
      </c>
      <c r="G5823">
        <f t="shared" si="90"/>
        <v>0</v>
      </c>
    </row>
    <row r="5824" spans="2:7" x14ac:dyDescent="0.35">
      <c r="B5824" s="1">
        <v>45900</v>
      </c>
      <c r="C5824" s="2">
        <v>0.58333333333333337</v>
      </c>
      <c r="D5824">
        <v>24.6</v>
      </c>
      <c r="E5824">
        <f>IF($D5824 &gt; 16, 0, $J$3*(16 - $D5824))</f>
        <v>0</v>
      </c>
      <c r="F5824">
        <f>IF($D5824 &gt; 16, 0,$E5824*$J$5)</f>
        <v>0</v>
      </c>
      <c r="G5824">
        <f t="shared" si="90"/>
        <v>0</v>
      </c>
    </row>
    <row r="5825" spans="2:7" x14ac:dyDescent="0.35">
      <c r="B5825" s="1">
        <v>45900</v>
      </c>
      <c r="C5825" s="2">
        <v>0.625</v>
      </c>
      <c r="D5825">
        <v>24.7</v>
      </c>
      <c r="E5825">
        <f>IF($D5825 &gt; 16, 0, $J$3*(16 - $D5825))</f>
        <v>0</v>
      </c>
      <c r="F5825">
        <f>IF($D5825 &gt; 16, 0,$E5825*$J$5)</f>
        <v>0</v>
      </c>
      <c r="G5825">
        <f t="shared" si="90"/>
        <v>0</v>
      </c>
    </row>
    <row r="5826" spans="2:7" x14ac:dyDescent="0.35">
      <c r="B5826" s="1">
        <v>45900</v>
      </c>
      <c r="C5826" s="2">
        <v>0.66666666666666663</v>
      </c>
      <c r="D5826">
        <v>24</v>
      </c>
      <c r="E5826">
        <f>IF($D5826 &gt; 16, 0, $J$3*(16 - $D5826))</f>
        <v>0</v>
      </c>
      <c r="F5826">
        <f>IF($D5826 &gt; 16, 0,$E5826*$J$5)</f>
        <v>0</v>
      </c>
      <c r="G5826">
        <f t="shared" si="90"/>
        <v>0</v>
      </c>
    </row>
    <row r="5827" spans="2:7" x14ac:dyDescent="0.35">
      <c r="B5827" s="1">
        <v>45900</v>
      </c>
      <c r="C5827" s="2">
        <v>0.70833333333333337</v>
      </c>
      <c r="D5827">
        <v>22.5</v>
      </c>
      <c r="E5827">
        <f>IF($D5827 &gt; 16, 0, $J$3*(16 - $D5827))</f>
        <v>0</v>
      </c>
      <c r="F5827">
        <f>IF($D5827 &gt; 16, 0,$E5827*$J$5)</f>
        <v>0</v>
      </c>
      <c r="G5827">
        <f t="shared" ref="G5827:G5890" si="91">MAX(0, 16 - $D5827)</f>
        <v>0</v>
      </c>
    </row>
    <row r="5828" spans="2:7" x14ac:dyDescent="0.35">
      <c r="B5828" s="1">
        <v>45900</v>
      </c>
      <c r="C5828" s="2">
        <v>0.75</v>
      </c>
      <c r="D5828">
        <v>23.2</v>
      </c>
      <c r="E5828">
        <f>IF($D5828 &gt; 16, 0, $J$3*(16 - $D5828))</f>
        <v>0</v>
      </c>
      <c r="F5828">
        <f>IF($D5828 &gt; 16, 0,$E5828*$J$5)</f>
        <v>0</v>
      </c>
      <c r="G5828">
        <f t="shared" si="91"/>
        <v>0</v>
      </c>
    </row>
    <row r="5829" spans="2:7" x14ac:dyDescent="0.35">
      <c r="B5829" s="1">
        <v>45900</v>
      </c>
      <c r="C5829" s="2">
        <v>0.79166666666666663</v>
      </c>
      <c r="D5829">
        <v>23</v>
      </c>
      <c r="E5829">
        <f>IF($D5829 &gt; 16, 0, $J$3*(16 - $D5829))</f>
        <v>0</v>
      </c>
      <c r="F5829">
        <f>IF($D5829 &gt; 16, 0,$E5829*$J$5)</f>
        <v>0</v>
      </c>
      <c r="G5829">
        <f t="shared" si="91"/>
        <v>0</v>
      </c>
    </row>
    <row r="5830" spans="2:7" x14ac:dyDescent="0.35">
      <c r="B5830" s="1">
        <v>45900</v>
      </c>
      <c r="C5830" s="2">
        <v>0.83333333333333337</v>
      </c>
      <c r="D5830">
        <v>21.5</v>
      </c>
      <c r="E5830">
        <f>IF($D5830 &gt; 16, 0, $J$3*(16 - $D5830))</f>
        <v>0</v>
      </c>
      <c r="F5830">
        <f>IF($D5830 &gt; 16, 0,$E5830*$J$5)</f>
        <v>0</v>
      </c>
      <c r="G5830">
        <f t="shared" si="91"/>
        <v>0</v>
      </c>
    </row>
    <row r="5831" spans="2:7" x14ac:dyDescent="0.35">
      <c r="B5831" s="1">
        <v>45900</v>
      </c>
      <c r="C5831" s="2">
        <v>0.875</v>
      </c>
      <c r="D5831">
        <v>20.100000000000001</v>
      </c>
      <c r="E5831">
        <f>IF($D5831 &gt; 16, 0, $J$3*(16 - $D5831))</f>
        <v>0</v>
      </c>
      <c r="F5831">
        <f>IF($D5831 &gt; 16, 0,$E5831*$J$5)</f>
        <v>0</v>
      </c>
      <c r="G5831">
        <f t="shared" si="91"/>
        <v>0</v>
      </c>
    </row>
    <row r="5832" spans="2:7" x14ac:dyDescent="0.35">
      <c r="B5832" s="1">
        <v>45900</v>
      </c>
      <c r="C5832" s="2">
        <v>0.91666666666666663</v>
      </c>
      <c r="D5832">
        <v>19.7</v>
      </c>
      <c r="E5832">
        <f>IF($D5832 &gt; 16, 0, $J$3*(16 - $D5832))</f>
        <v>0</v>
      </c>
      <c r="F5832">
        <f>IF($D5832 &gt; 16, 0,$E5832*$J$5)</f>
        <v>0</v>
      </c>
      <c r="G5832">
        <f t="shared" si="91"/>
        <v>0</v>
      </c>
    </row>
    <row r="5833" spans="2:7" x14ac:dyDescent="0.35">
      <c r="B5833" s="1">
        <v>45900</v>
      </c>
      <c r="C5833" s="2">
        <v>0.95833333333333337</v>
      </c>
      <c r="D5833">
        <v>20.7</v>
      </c>
      <c r="E5833">
        <f>IF($D5833 &gt; 16, 0, $J$3*(16 - $D5833))</f>
        <v>0</v>
      </c>
      <c r="F5833">
        <f>IF($D5833 &gt; 16, 0,$E5833*$J$5)</f>
        <v>0</v>
      </c>
      <c r="G5833">
        <f t="shared" si="91"/>
        <v>0</v>
      </c>
    </row>
    <row r="5834" spans="2:7" x14ac:dyDescent="0.35">
      <c r="B5834" s="1">
        <v>45901</v>
      </c>
      <c r="C5834" s="2">
        <v>0</v>
      </c>
      <c r="D5834">
        <v>19.2</v>
      </c>
      <c r="E5834">
        <f>IF($D5834 &gt; 16, 0, $J$3*(16 - $D5834))</f>
        <v>0</v>
      </c>
      <c r="F5834">
        <f>IF($D5834 &gt; 16, 0,$E5834*$J$5)</f>
        <v>0</v>
      </c>
      <c r="G5834">
        <f t="shared" si="91"/>
        <v>0</v>
      </c>
    </row>
    <row r="5835" spans="2:7" x14ac:dyDescent="0.35">
      <c r="B5835" s="1">
        <v>45901</v>
      </c>
      <c r="C5835" s="2">
        <v>4.1666666666666657E-2</v>
      </c>
      <c r="D5835">
        <v>17.899999999999999</v>
      </c>
      <c r="E5835">
        <f>IF($D5835 &gt; 16, 0, $J$3*(16 - $D5835))</f>
        <v>0</v>
      </c>
      <c r="F5835">
        <f>IF($D5835 &gt; 16, 0,$E5835*$J$5)</f>
        <v>0</v>
      </c>
      <c r="G5835">
        <f t="shared" si="91"/>
        <v>0</v>
      </c>
    </row>
    <row r="5836" spans="2:7" x14ac:dyDescent="0.35">
      <c r="B5836" s="1">
        <v>45901</v>
      </c>
      <c r="C5836" s="2">
        <v>8.3333333333333329E-2</v>
      </c>
      <c r="D5836">
        <v>17.7</v>
      </c>
      <c r="E5836">
        <f>IF($D5836 &gt; 16, 0, $J$3*(16 - $D5836))</f>
        <v>0</v>
      </c>
      <c r="F5836">
        <f>IF($D5836 &gt; 16, 0,$E5836*$J$5)</f>
        <v>0</v>
      </c>
      <c r="G5836">
        <f t="shared" si="91"/>
        <v>0</v>
      </c>
    </row>
    <row r="5837" spans="2:7" x14ac:dyDescent="0.35">
      <c r="B5837" s="1">
        <v>45901</v>
      </c>
      <c r="C5837" s="2">
        <v>0.125</v>
      </c>
      <c r="D5837">
        <v>17.399999999999999</v>
      </c>
      <c r="E5837">
        <f>IF($D5837 &gt; 16, 0, $J$3*(16 - $D5837))</f>
        <v>0</v>
      </c>
      <c r="F5837">
        <f>IF($D5837 &gt; 16, 0,$E5837*$J$5)</f>
        <v>0</v>
      </c>
      <c r="G5837">
        <f t="shared" si="91"/>
        <v>0</v>
      </c>
    </row>
    <row r="5838" spans="2:7" x14ac:dyDescent="0.35">
      <c r="B5838" s="1">
        <v>45901</v>
      </c>
      <c r="C5838" s="2">
        <v>0.16666666666666671</v>
      </c>
      <c r="D5838">
        <v>18.600000000000001</v>
      </c>
      <c r="E5838">
        <f>IF($D5838 &gt; 16, 0, $J$3*(16 - $D5838))</f>
        <v>0</v>
      </c>
      <c r="F5838">
        <f>IF($D5838 &gt; 16, 0,$E5838*$J$5)</f>
        <v>0</v>
      </c>
      <c r="G5838">
        <f t="shared" si="91"/>
        <v>0</v>
      </c>
    </row>
    <row r="5839" spans="2:7" x14ac:dyDescent="0.35">
      <c r="B5839" s="1">
        <v>45901</v>
      </c>
      <c r="C5839" s="2">
        <v>0.20833333333333329</v>
      </c>
      <c r="D5839">
        <v>19.3</v>
      </c>
      <c r="E5839">
        <f>IF($D5839 &gt; 16, 0, $J$3*(16 - $D5839))</f>
        <v>0</v>
      </c>
      <c r="F5839">
        <f>IF($D5839 &gt; 16, 0,$E5839*$J$5)</f>
        <v>0</v>
      </c>
      <c r="G5839">
        <f t="shared" si="91"/>
        <v>0</v>
      </c>
    </row>
    <row r="5840" spans="2:7" x14ac:dyDescent="0.35">
      <c r="B5840" s="1">
        <v>45901</v>
      </c>
      <c r="C5840" s="2">
        <v>0.25</v>
      </c>
      <c r="D5840">
        <v>19</v>
      </c>
      <c r="E5840">
        <f>IF($D5840 &gt; 16, 0, $J$3*(16 - $D5840))</f>
        <v>0</v>
      </c>
      <c r="F5840">
        <f>IF($D5840 &gt; 16, 0,$E5840*$J$5)</f>
        <v>0</v>
      </c>
      <c r="G5840">
        <f t="shared" si="91"/>
        <v>0</v>
      </c>
    </row>
    <row r="5841" spans="2:7" x14ac:dyDescent="0.35">
      <c r="B5841" s="1">
        <v>45901</v>
      </c>
      <c r="C5841" s="2">
        <v>0.29166666666666669</v>
      </c>
      <c r="D5841">
        <v>19.8</v>
      </c>
      <c r="E5841">
        <f>IF($D5841 &gt; 16, 0, $J$3*(16 - $D5841))</f>
        <v>0</v>
      </c>
      <c r="F5841">
        <f>IF($D5841 &gt; 16, 0,$E5841*$J$5)</f>
        <v>0</v>
      </c>
      <c r="G5841">
        <f t="shared" si="91"/>
        <v>0</v>
      </c>
    </row>
    <row r="5842" spans="2:7" x14ac:dyDescent="0.35">
      <c r="B5842" s="1">
        <v>45901</v>
      </c>
      <c r="C5842" s="2">
        <v>0.33333333333333331</v>
      </c>
      <c r="D5842">
        <v>20.2</v>
      </c>
      <c r="E5842">
        <f>IF($D5842 &gt; 16, 0, $J$3*(16 - $D5842))</f>
        <v>0</v>
      </c>
      <c r="F5842">
        <f>IF($D5842 &gt; 16, 0,$E5842*$J$5)</f>
        <v>0</v>
      </c>
      <c r="G5842">
        <f t="shared" si="91"/>
        <v>0</v>
      </c>
    </row>
    <row r="5843" spans="2:7" x14ac:dyDescent="0.35">
      <c r="B5843" s="1">
        <v>45901</v>
      </c>
      <c r="C5843" s="2">
        <v>0.375</v>
      </c>
      <c r="D5843">
        <v>20.8</v>
      </c>
      <c r="E5843">
        <f>IF($D5843 &gt; 16, 0, $J$3*(16 - $D5843))</f>
        <v>0</v>
      </c>
      <c r="F5843">
        <f>IF($D5843 &gt; 16, 0,$E5843*$J$5)</f>
        <v>0</v>
      </c>
      <c r="G5843">
        <f t="shared" si="91"/>
        <v>0</v>
      </c>
    </row>
    <row r="5844" spans="2:7" x14ac:dyDescent="0.35">
      <c r="B5844" s="1">
        <v>45901</v>
      </c>
      <c r="C5844" s="2">
        <v>0.41666666666666669</v>
      </c>
      <c r="D5844">
        <v>21.4</v>
      </c>
      <c r="E5844">
        <f>IF($D5844 &gt; 16, 0, $J$3*(16 - $D5844))</f>
        <v>0</v>
      </c>
      <c r="F5844">
        <f>IF($D5844 &gt; 16, 0,$E5844*$J$5)</f>
        <v>0</v>
      </c>
      <c r="G5844">
        <f t="shared" si="91"/>
        <v>0</v>
      </c>
    </row>
    <row r="5845" spans="2:7" x14ac:dyDescent="0.35">
      <c r="B5845" s="1">
        <v>45901</v>
      </c>
      <c r="C5845" s="2">
        <v>0.45833333333333331</v>
      </c>
      <c r="D5845">
        <v>21.2</v>
      </c>
      <c r="E5845">
        <f>IF($D5845 &gt; 16, 0, $J$3*(16 - $D5845))</f>
        <v>0</v>
      </c>
      <c r="F5845">
        <f>IF($D5845 &gt; 16, 0,$E5845*$J$5)</f>
        <v>0</v>
      </c>
      <c r="G5845">
        <f t="shared" si="91"/>
        <v>0</v>
      </c>
    </row>
    <row r="5846" spans="2:7" x14ac:dyDescent="0.35">
      <c r="B5846" s="1">
        <v>45901</v>
      </c>
      <c r="C5846" s="2">
        <v>0.5</v>
      </c>
      <c r="D5846">
        <v>17.899999999999999</v>
      </c>
      <c r="E5846">
        <f>IF($D5846 &gt; 16, 0, $J$3*(16 - $D5846))</f>
        <v>0</v>
      </c>
      <c r="F5846">
        <f>IF($D5846 &gt; 16, 0,$E5846*$J$5)</f>
        <v>0</v>
      </c>
      <c r="G5846">
        <f t="shared" si="91"/>
        <v>0</v>
      </c>
    </row>
    <row r="5847" spans="2:7" x14ac:dyDescent="0.35">
      <c r="B5847" s="1">
        <v>45901</v>
      </c>
      <c r="C5847" s="2">
        <v>0.54166666666666663</v>
      </c>
      <c r="D5847">
        <v>17.600000000000001</v>
      </c>
      <c r="E5847">
        <f>IF($D5847 &gt; 16, 0, $J$3*(16 - $D5847))</f>
        <v>0</v>
      </c>
      <c r="F5847">
        <f>IF($D5847 &gt; 16, 0,$E5847*$J$5)</f>
        <v>0</v>
      </c>
      <c r="G5847">
        <f t="shared" si="91"/>
        <v>0</v>
      </c>
    </row>
    <row r="5848" spans="2:7" x14ac:dyDescent="0.35">
      <c r="B5848" s="1">
        <v>45901</v>
      </c>
      <c r="C5848" s="2">
        <v>0.58333333333333337</v>
      </c>
      <c r="D5848">
        <v>17.600000000000001</v>
      </c>
      <c r="E5848">
        <f>IF($D5848 &gt; 16, 0, $J$3*(16 - $D5848))</f>
        <v>0</v>
      </c>
      <c r="F5848">
        <f>IF($D5848 &gt; 16, 0,$E5848*$J$5)</f>
        <v>0</v>
      </c>
      <c r="G5848">
        <f t="shared" si="91"/>
        <v>0</v>
      </c>
    </row>
    <row r="5849" spans="2:7" x14ac:dyDescent="0.35">
      <c r="B5849" s="1">
        <v>45901</v>
      </c>
      <c r="C5849" s="2">
        <v>0.625</v>
      </c>
      <c r="D5849">
        <v>18.100000000000001</v>
      </c>
      <c r="E5849">
        <f>IF($D5849 &gt; 16, 0, $J$3*(16 - $D5849))</f>
        <v>0</v>
      </c>
      <c r="F5849">
        <f>IF($D5849 &gt; 16, 0,$E5849*$J$5)</f>
        <v>0</v>
      </c>
      <c r="G5849">
        <f t="shared" si="91"/>
        <v>0</v>
      </c>
    </row>
    <row r="5850" spans="2:7" x14ac:dyDescent="0.35">
      <c r="B5850" s="1">
        <v>45901</v>
      </c>
      <c r="C5850" s="2">
        <v>0.66666666666666663</v>
      </c>
      <c r="D5850">
        <v>18.600000000000001</v>
      </c>
      <c r="E5850">
        <f>IF($D5850 &gt; 16, 0, $J$3*(16 - $D5850))</f>
        <v>0</v>
      </c>
      <c r="F5850">
        <f>IF($D5850 &gt; 16, 0,$E5850*$J$5)</f>
        <v>0</v>
      </c>
      <c r="G5850">
        <f t="shared" si="91"/>
        <v>0</v>
      </c>
    </row>
    <row r="5851" spans="2:7" x14ac:dyDescent="0.35">
      <c r="B5851" s="1">
        <v>45901</v>
      </c>
      <c r="C5851" s="2">
        <v>0.70833333333333337</v>
      </c>
      <c r="D5851">
        <v>19.100000000000001</v>
      </c>
      <c r="E5851">
        <f>IF($D5851 &gt; 16, 0, $J$3*(16 - $D5851))</f>
        <v>0</v>
      </c>
      <c r="F5851">
        <f>IF($D5851 &gt; 16, 0,$E5851*$J$5)</f>
        <v>0</v>
      </c>
      <c r="G5851">
        <f t="shared" si="91"/>
        <v>0</v>
      </c>
    </row>
    <row r="5852" spans="2:7" x14ac:dyDescent="0.35">
      <c r="B5852" s="1">
        <v>45901</v>
      </c>
      <c r="C5852" s="2">
        <v>0.75</v>
      </c>
      <c r="D5852">
        <v>17.8</v>
      </c>
      <c r="E5852">
        <f>IF($D5852 &gt; 16, 0, $J$3*(16 - $D5852))</f>
        <v>0</v>
      </c>
      <c r="F5852">
        <f>IF($D5852 &gt; 16, 0,$E5852*$J$5)</f>
        <v>0</v>
      </c>
      <c r="G5852">
        <f t="shared" si="91"/>
        <v>0</v>
      </c>
    </row>
    <row r="5853" spans="2:7" x14ac:dyDescent="0.35">
      <c r="B5853" s="1">
        <v>45901</v>
      </c>
      <c r="C5853" s="2">
        <v>0.79166666666666663</v>
      </c>
      <c r="D5853">
        <v>16.5</v>
      </c>
      <c r="E5853">
        <f>IF($D5853 &gt; 16, 0, $J$3*(16 - $D5853))</f>
        <v>0</v>
      </c>
      <c r="F5853">
        <f>IF($D5853 &gt; 16, 0,$E5853*$J$5)</f>
        <v>0</v>
      </c>
      <c r="G5853">
        <f t="shared" si="91"/>
        <v>0</v>
      </c>
    </row>
    <row r="5854" spans="2:7" x14ac:dyDescent="0.35">
      <c r="B5854" s="1">
        <v>45901</v>
      </c>
      <c r="C5854" s="2">
        <v>0.83333333333333337</v>
      </c>
      <c r="D5854">
        <v>15.8</v>
      </c>
      <c r="E5854">
        <f>IF($D5854 &gt; 16, 0, $J$3*(16 - $D5854))</f>
        <v>41.549728540139249</v>
      </c>
      <c r="F5854">
        <f>IF($D5854 &gt; 16, 0,$E5854*$J$5)</f>
        <v>451603.99950277351</v>
      </c>
      <c r="G5854">
        <f t="shared" si="91"/>
        <v>0.19999999999999929</v>
      </c>
    </row>
    <row r="5855" spans="2:7" x14ac:dyDescent="0.35">
      <c r="B5855" s="1">
        <v>45901</v>
      </c>
      <c r="C5855" s="2">
        <v>0.875</v>
      </c>
      <c r="D5855">
        <v>15.7</v>
      </c>
      <c r="E5855">
        <f>IF($D5855 &gt; 16, 0, $J$3*(16 - $D5855))</f>
        <v>62.324592810209246</v>
      </c>
      <c r="F5855">
        <f>IF($D5855 &gt; 16, 0,$E5855*$J$5)</f>
        <v>677405.99925416429</v>
      </c>
      <c r="G5855">
        <f t="shared" si="91"/>
        <v>0.30000000000000071</v>
      </c>
    </row>
    <row r="5856" spans="2:7" x14ac:dyDescent="0.35">
      <c r="B5856" s="1">
        <v>45901</v>
      </c>
      <c r="C5856" s="2">
        <v>0.91666666666666663</v>
      </c>
      <c r="D5856">
        <v>15.9</v>
      </c>
      <c r="E5856">
        <f>IF($D5856 &gt; 16, 0, $J$3*(16 - $D5856))</f>
        <v>20.774864270069624</v>
      </c>
      <c r="F5856">
        <f>IF($D5856 &gt; 16, 0,$E5856*$J$5)</f>
        <v>225801.99975138676</v>
      </c>
      <c r="G5856">
        <f t="shared" si="91"/>
        <v>9.9999999999999645E-2</v>
      </c>
    </row>
    <row r="5857" spans="2:7" x14ac:dyDescent="0.35">
      <c r="B5857" s="1">
        <v>45901</v>
      </c>
      <c r="C5857" s="2">
        <v>0.95833333333333337</v>
      </c>
      <c r="D5857">
        <v>15.2</v>
      </c>
      <c r="E5857">
        <f>IF($D5857 &gt; 16, 0, $J$3*(16 - $D5857))</f>
        <v>166.19891416055773</v>
      </c>
      <c r="F5857">
        <f>IF($D5857 &gt; 16, 0,$E5857*$J$5)</f>
        <v>1806415.998011102</v>
      </c>
      <c r="G5857">
        <f t="shared" si="91"/>
        <v>0.80000000000000071</v>
      </c>
    </row>
    <row r="5858" spans="2:7" x14ac:dyDescent="0.35">
      <c r="B5858" s="1">
        <v>45902</v>
      </c>
      <c r="C5858" s="2">
        <v>0</v>
      </c>
      <c r="D5858">
        <v>14.9</v>
      </c>
      <c r="E5858">
        <f>IF($D5858 &gt; 16, 0, $J$3*(16 - $D5858))</f>
        <v>228.52350697076662</v>
      </c>
      <c r="F5858">
        <f>IF($D5858 &gt; 16, 0,$E5858*$J$5)</f>
        <v>2483821.9972652625</v>
      </c>
      <c r="G5858">
        <f t="shared" si="91"/>
        <v>1.0999999999999996</v>
      </c>
    </row>
    <row r="5859" spans="2:7" x14ac:dyDescent="0.35">
      <c r="B5859" s="1">
        <v>45902</v>
      </c>
      <c r="C5859" s="2">
        <v>4.1666666666666657E-2</v>
      </c>
      <c r="D5859">
        <v>15.3</v>
      </c>
      <c r="E5859">
        <f>IF($D5859 &gt; 16, 0, $J$3*(16 - $D5859))</f>
        <v>145.42404989048774</v>
      </c>
      <c r="F5859">
        <f>IF($D5859 &gt; 16, 0,$E5859*$J$5)</f>
        <v>1580613.9982597113</v>
      </c>
      <c r="G5859">
        <f t="shared" si="91"/>
        <v>0.69999999999999929</v>
      </c>
    </row>
    <row r="5860" spans="2:7" x14ac:dyDescent="0.35">
      <c r="B5860" s="1">
        <v>45902</v>
      </c>
      <c r="C5860" s="2">
        <v>8.3333333333333329E-2</v>
      </c>
      <c r="D5860">
        <v>14.5</v>
      </c>
      <c r="E5860">
        <f>IF($D5860 &gt; 16, 0, $J$3*(16 - $D5860))</f>
        <v>311.62296405104547</v>
      </c>
      <c r="F5860">
        <f>IF($D5860 &gt; 16, 0,$E5860*$J$5)</f>
        <v>3387029.996270813</v>
      </c>
      <c r="G5860">
        <f t="shared" si="91"/>
        <v>1.5</v>
      </c>
    </row>
    <row r="5861" spans="2:7" x14ac:dyDescent="0.35">
      <c r="B5861" s="1">
        <v>45902</v>
      </c>
      <c r="C5861" s="2">
        <v>0.125</v>
      </c>
      <c r="D5861">
        <v>14.9</v>
      </c>
      <c r="E5861">
        <f>IF($D5861 &gt; 16, 0, $J$3*(16 - $D5861))</f>
        <v>228.52350697076662</v>
      </c>
      <c r="F5861">
        <f>IF($D5861 &gt; 16, 0,$E5861*$J$5)</f>
        <v>2483821.9972652625</v>
      </c>
      <c r="G5861">
        <f t="shared" si="91"/>
        <v>1.0999999999999996</v>
      </c>
    </row>
    <row r="5862" spans="2:7" x14ac:dyDescent="0.35">
      <c r="B5862" s="1">
        <v>45902</v>
      </c>
      <c r="C5862" s="2">
        <v>0.16666666666666671</v>
      </c>
      <c r="D5862">
        <v>14.5</v>
      </c>
      <c r="E5862">
        <f>IF($D5862 &gt; 16, 0, $J$3*(16 - $D5862))</f>
        <v>311.62296405104547</v>
      </c>
      <c r="F5862">
        <f>IF($D5862 &gt; 16, 0,$E5862*$J$5)</f>
        <v>3387029.996270813</v>
      </c>
      <c r="G5862">
        <f t="shared" si="91"/>
        <v>1.5</v>
      </c>
    </row>
    <row r="5863" spans="2:7" x14ac:dyDescent="0.35">
      <c r="B5863" s="1">
        <v>45902</v>
      </c>
      <c r="C5863" s="2">
        <v>0.20833333333333329</v>
      </c>
      <c r="D5863">
        <v>14.8</v>
      </c>
      <c r="E5863">
        <f>IF($D5863 &gt; 16, 0, $J$3*(16 - $D5863))</f>
        <v>249.29837124083625</v>
      </c>
      <c r="F5863">
        <f>IF($D5863 &gt; 16, 0,$E5863*$J$5)</f>
        <v>2709623.9970166492</v>
      </c>
      <c r="G5863">
        <f t="shared" si="91"/>
        <v>1.1999999999999993</v>
      </c>
    </row>
    <row r="5864" spans="2:7" x14ac:dyDescent="0.35">
      <c r="B5864" s="1">
        <v>45902</v>
      </c>
      <c r="C5864" s="2">
        <v>0.25</v>
      </c>
      <c r="D5864">
        <v>15.1</v>
      </c>
      <c r="E5864">
        <f>IF($D5864 &gt; 16, 0, $J$3*(16 - $D5864))</f>
        <v>186.97377843062736</v>
      </c>
      <c r="F5864">
        <f>IF($D5864 &gt; 16, 0,$E5864*$J$5)</f>
        <v>2032217.9977624889</v>
      </c>
      <c r="G5864">
        <f t="shared" si="91"/>
        <v>0.90000000000000036</v>
      </c>
    </row>
    <row r="5865" spans="2:7" x14ac:dyDescent="0.35">
      <c r="B5865" s="1">
        <v>45902</v>
      </c>
      <c r="C5865" s="2">
        <v>0.29166666666666669</v>
      </c>
      <c r="D5865">
        <v>16</v>
      </c>
      <c r="E5865">
        <f>IF($D5865 &gt; 16, 0, $J$3*(16 - $D5865))</f>
        <v>0</v>
      </c>
      <c r="F5865">
        <f>IF($D5865 &gt; 16, 0,$E5865*$J$5)</f>
        <v>0</v>
      </c>
      <c r="G5865">
        <f t="shared" si="91"/>
        <v>0</v>
      </c>
    </row>
    <row r="5866" spans="2:7" x14ac:dyDescent="0.35">
      <c r="B5866" s="1">
        <v>45902</v>
      </c>
      <c r="C5866" s="2">
        <v>0.33333333333333331</v>
      </c>
      <c r="D5866">
        <v>16.899999999999999</v>
      </c>
      <c r="E5866">
        <f>IF($D5866 &gt; 16, 0, $J$3*(16 - $D5866))</f>
        <v>0</v>
      </c>
      <c r="F5866">
        <f>IF($D5866 &gt; 16, 0,$E5866*$J$5)</f>
        <v>0</v>
      </c>
      <c r="G5866">
        <f t="shared" si="91"/>
        <v>0</v>
      </c>
    </row>
    <row r="5867" spans="2:7" x14ac:dyDescent="0.35">
      <c r="B5867" s="1">
        <v>45902</v>
      </c>
      <c r="C5867" s="2">
        <v>0.375</v>
      </c>
      <c r="D5867">
        <v>18.7</v>
      </c>
      <c r="E5867">
        <f>IF($D5867 &gt; 16, 0, $J$3*(16 - $D5867))</f>
        <v>0</v>
      </c>
      <c r="F5867">
        <f>IF($D5867 &gt; 16, 0,$E5867*$J$5)</f>
        <v>0</v>
      </c>
      <c r="G5867">
        <f t="shared" si="91"/>
        <v>0</v>
      </c>
    </row>
    <row r="5868" spans="2:7" x14ac:dyDescent="0.35">
      <c r="B5868" s="1">
        <v>45902</v>
      </c>
      <c r="C5868" s="2">
        <v>0.41666666666666669</v>
      </c>
      <c r="D5868">
        <v>19.899999999999999</v>
      </c>
      <c r="E5868">
        <f>IF($D5868 &gt; 16, 0, $J$3*(16 - $D5868))</f>
        <v>0</v>
      </c>
      <c r="F5868">
        <f>IF($D5868 &gt; 16, 0,$E5868*$J$5)</f>
        <v>0</v>
      </c>
      <c r="G5868">
        <f t="shared" si="91"/>
        <v>0</v>
      </c>
    </row>
    <row r="5869" spans="2:7" x14ac:dyDescent="0.35">
      <c r="B5869" s="1">
        <v>45902</v>
      </c>
      <c r="C5869" s="2">
        <v>0.45833333333333331</v>
      </c>
      <c r="D5869">
        <v>21.6</v>
      </c>
      <c r="E5869">
        <f>IF($D5869 &gt; 16, 0, $J$3*(16 - $D5869))</f>
        <v>0</v>
      </c>
      <c r="F5869">
        <f>IF($D5869 &gt; 16, 0,$E5869*$J$5)</f>
        <v>0</v>
      </c>
      <c r="G5869">
        <f t="shared" si="91"/>
        <v>0</v>
      </c>
    </row>
    <row r="5870" spans="2:7" x14ac:dyDescent="0.35">
      <c r="B5870" s="1">
        <v>45902</v>
      </c>
      <c r="C5870" s="2">
        <v>0.5</v>
      </c>
      <c r="D5870">
        <v>21.6</v>
      </c>
      <c r="E5870">
        <f>IF($D5870 &gt; 16, 0, $J$3*(16 - $D5870))</f>
        <v>0</v>
      </c>
      <c r="F5870">
        <f>IF($D5870 &gt; 16, 0,$E5870*$J$5)</f>
        <v>0</v>
      </c>
      <c r="G5870">
        <f t="shared" si="91"/>
        <v>0</v>
      </c>
    </row>
    <row r="5871" spans="2:7" x14ac:dyDescent="0.35">
      <c r="B5871" s="1">
        <v>45902</v>
      </c>
      <c r="C5871" s="2">
        <v>0.54166666666666663</v>
      </c>
      <c r="D5871">
        <v>21.9</v>
      </c>
      <c r="E5871">
        <f>IF($D5871 &gt; 16, 0, $J$3*(16 - $D5871))</f>
        <v>0</v>
      </c>
      <c r="F5871">
        <f>IF($D5871 &gt; 16, 0,$E5871*$J$5)</f>
        <v>0</v>
      </c>
      <c r="G5871">
        <f t="shared" si="91"/>
        <v>0</v>
      </c>
    </row>
    <row r="5872" spans="2:7" x14ac:dyDescent="0.35">
      <c r="B5872" s="1">
        <v>45902</v>
      </c>
      <c r="C5872" s="2">
        <v>0.58333333333333337</v>
      </c>
      <c r="D5872">
        <v>22.4</v>
      </c>
      <c r="E5872">
        <f>IF($D5872 &gt; 16, 0, $J$3*(16 - $D5872))</f>
        <v>0</v>
      </c>
      <c r="F5872">
        <f>IF($D5872 &gt; 16, 0,$E5872*$J$5)</f>
        <v>0</v>
      </c>
      <c r="G5872">
        <f t="shared" si="91"/>
        <v>0</v>
      </c>
    </row>
    <row r="5873" spans="2:7" x14ac:dyDescent="0.35">
      <c r="B5873" s="1">
        <v>45902</v>
      </c>
      <c r="C5873" s="2">
        <v>0.625</v>
      </c>
      <c r="D5873">
        <v>23.2</v>
      </c>
      <c r="E5873">
        <f>IF($D5873 &gt; 16, 0, $J$3*(16 - $D5873))</f>
        <v>0</v>
      </c>
      <c r="F5873">
        <f>IF($D5873 &gt; 16, 0,$E5873*$J$5)</f>
        <v>0</v>
      </c>
      <c r="G5873">
        <f t="shared" si="91"/>
        <v>0</v>
      </c>
    </row>
    <row r="5874" spans="2:7" x14ac:dyDescent="0.35">
      <c r="B5874" s="1">
        <v>45902</v>
      </c>
      <c r="C5874" s="2">
        <v>0.66666666666666663</v>
      </c>
      <c r="D5874">
        <v>21.6</v>
      </c>
      <c r="E5874">
        <f>IF($D5874 &gt; 16, 0, $J$3*(16 - $D5874))</f>
        <v>0</v>
      </c>
      <c r="F5874">
        <f>IF($D5874 &gt; 16, 0,$E5874*$J$5)</f>
        <v>0</v>
      </c>
      <c r="G5874">
        <f t="shared" si="91"/>
        <v>0</v>
      </c>
    </row>
    <row r="5875" spans="2:7" x14ac:dyDescent="0.35">
      <c r="B5875" s="1">
        <v>45902</v>
      </c>
      <c r="C5875" s="2">
        <v>0.70833333333333337</v>
      </c>
      <c r="D5875">
        <v>21.2</v>
      </c>
      <c r="E5875">
        <f>IF($D5875 &gt; 16, 0, $J$3*(16 - $D5875))</f>
        <v>0</v>
      </c>
      <c r="F5875">
        <f>IF($D5875 &gt; 16, 0,$E5875*$J$5)</f>
        <v>0</v>
      </c>
      <c r="G5875">
        <f t="shared" si="91"/>
        <v>0</v>
      </c>
    </row>
    <row r="5876" spans="2:7" x14ac:dyDescent="0.35">
      <c r="B5876" s="1">
        <v>45902</v>
      </c>
      <c r="C5876" s="2">
        <v>0.75</v>
      </c>
      <c r="D5876">
        <v>19.5</v>
      </c>
      <c r="E5876">
        <f>IF($D5876 &gt; 16, 0, $J$3*(16 - $D5876))</f>
        <v>0</v>
      </c>
      <c r="F5876">
        <f>IF($D5876 &gt; 16, 0,$E5876*$J$5)</f>
        <v>0</v>
      </c>
      <c r="G5876">
        <f t="shared" si="91"/>
        <v>0</v>
      </c>
    </row>
    <row r="5877" spans="2:7" x14ac:dyDescent="0.35">
      <c r="B5877" s="1">
        <v>45902</v>
      </c>
      <c r="C5877" s="2">
        <v>0.79166666666666663</v>
      </c>
      <c r="D5877">
        <v>16.3</v>
      </c>
      <c r="E5877">
        <f>IF($D5877 &gt; 16, 0, $J$3*(16 - $D5877))</f>
        <v>0</v>
      </c>
      <c r="F5877">
        <f>IF($D5877 &gt; 16, 0,$E5877*$J$5)</f>
        <v>0</v>
      </c>
      <c r="G5877">
        <f t="shared" si="91"/>
        <v>0</v>
      </c>
    </row>
    <row r="5878" spans="2:7" x14ac:dyDescent="0.35">
      <c r="B5878" s="1">
        <v>45902</v>
      </c>
      <c r="C5878" s="2">
        <v>0.83333333333333337</v>
      </c>
      <c r="D5878">
        <v>14.8</v>
      </c>
      <c r="E5878">
        <f>IF($D5878 &gt; 16, 0, $J$3*(16 - $D5878))</f>
        <v>249.29837124083625</v>
      </c>
      <c r="F5878">
        <f>IF($D5878 &gt; 16, 0,$E5878*$J$5)</f>
        <v>2709623.9970166492</v>
      </c>
      <c r="G5878">
        <f t="shared" si="91"/>
        <v>1.1999999999999993</v>
      </c>
    </row>
    <row r="5879" spans="2:7" x14ac:dyDescent="0.35">
      <c r="B5879" s="1">
        <v>45902</v>
      </c>
      <c r="C5879" s="2">
        <v>0.875</v>
      </c>
      <c r="D5879">
        <v>13.7</v>
      </c>
      <c r="E5879">
        <f>IF($D5879 &gt; 16, 0, $J$3*(16 - $D5879))</f>
        <v>477.82187821160323</v>
      </c>
      <c r="F5879">
        <f>IF($D5879 &gt; 16, 0,$E5879*$J$5)</f>
        <v>5193445.9942819159</v>
      </c>
      <c r="G5879">
        <f t="shared" si="91"/>
        <v>2.3000000000000007</v>
      </c>
    </row>
    <row r="5880" spans="2:7" x14ac:dyDescent="0.35">
      <c r="B5880" s="1">
        <v>45902</v>
      </c>
      <c r="C5880" s="2">
        <v>0.91666666666666663</v>
      </c>
      <c r="D5880">
        <v>13</v>
      </c>
      <c r="E5880">
        <f>IF($D5880 &gt; 16, 0, $J$3*(16 - $D5880))</f>
        <v>623.24592810209094</v>
      </c>
      <c r="F5880">
        <f>IF($D5880 &gt; 16, 0,$E5880*$J$5)</f>
        <v>6774059.9925416261</v>
      </c>
      <c r="G5880">
        <f t="shared" si="91"/>
        <v>3</v>
      </c>
    </row>
    <row r="5881" spans="2:7" x14ac:dyDescent="0.35">
      <c r="B5881" s="1">
        <v>45902</v>
      </c>
      <c r="C5881" s="2">
        <v>0.95833333333333337</v>
      </c>
      <c r="D5881">
        <v>12.8</v>
      </c>
      <c r="E5881">
        <f>IF($D5881 &gt; 16, 0, $J$3*(16 - $D5881))</f>
        <v>664.79565664223026</v>
      </c>
      <c r="F5881">
        <f>IF($D5881 &gt; 16, 0,$E5881*$J$5)</f>
        <v>7225663.9920444004</v>
      </c>
      <c r="G5881">
        <f t="shared" si="91"/>
        <v>3.1999999999999993</v>
      </c>
    </row>
    <row r="5882" spans="2:7" x14ac:dyDescent="0.35">
      <c r="B5882" s="1">
        <v>45903</v>
      </c>
      <c r="C5882" s="2">
        <v>0</v>
      </c>
      <c r="D5882">
        <v>13.9</v>
      </c>
      <c r="E5882">
        <f>IF($D5882 &gt; 16, 0, $J$3*(16 - $D5882))</f>
        <v>436.27214967146358</v>
      </c>
      <c r="F5882">
        <f>IF($D5882 &gt; 16, 0,$E5882*$J$5)</f>
        <v>4741841.9947791379</v>
      </c>
      <c r="G5882">
        <f t="shared" si="91"/>
        <v>2.0999999999999996</v>
      </c>
    </row>
    <row r="5883" spans="2:7" x14ac:dyDescent="0.35">
      <c r="B5883" s="1">
        <v>45903</v>
      </c>
      <c r="C5883" s="2">
        <v>4.1666666666666657E-2</v>
      </c>
      <c r="D5883">
        <v>12</v>
      </c>
      <c r="E5883">
        <f>IF($D5883 &gt; 16, 0, $J$3*(16 - $D5883))</f>
        <v>830.99457080278796</v>
      </c>
      <c r="F5883">
        <f>IF($D5883 &gt; 16, 0,$E5883*$J$5)</f>
        <v>9032079.9900555015</v>
      </c>
      <c r="G5883">
        <f t="shared" si="91"/>
        <v>4</v>
      </c>
    </row>
    <row r="5884" spans="2:7" x14ac:dyDescent="0.35">
      <c r="B5884" s="1">
        <v>45903</v>
      </c>
      <c r="C5884" s="2">
        <v>8.3333333333333329E-2</v>
      </c>
      <c r="D5884">
        <v>12.2</v>
      </c>
      <c r="E5884">
        <f>IF($D5884 &gt; 16, 0, $J$3*(16 - $D5884))</f>
        <v>789.44484226264876</v>
      </c>
      <c r="F5884">
        <f>IF($D5884 &gt; 16, 0,$E5884*$J$5)</f>
        <v>8580475.990552729</v>
      </c>
      <c r="G5884">
        <f t="shared" si="91"/>
        <v>3.8000000000000007</v>
      </c>
    </row>
    <row r="5885" spans="2:7" x14ac:dyDescent="0.35">
      <c r="B5885" s="1">
        <v>45903</v>
      </c>
      <c r="C5885" s="2">
        <v>0.125</v>
      </c>
      <c r="D5885">
        <v>12.6</v>
      </c>
      <c r="E5885">
        <f>IF($D5885 &gt; 16, 0, $J$3*(16 - $D5885))</f>
        <v>706.3453851823698</v>
      </c>
      <c r="F5885">
        <f>IF($D5885 &gt; 16, 0,$E5885*$J$5)</f>
        <v>7677267.9915471775</v>
      </c>
      <c r="G5885">
        <f t="shared" si="91"/>
        <v>3.4000000000000004</v>
      </c>
    </row>
    <row r="5886" spans="2:7" x14ac:dyDescent="0.35">
      <c r="B5886" s="1">
        <v>45903</v>
      </c>
      <c r="C5886" s="2">
        <v>0.16666666666666671</v>
      </c>
      <c r="D5886">
        <v>12.8</v>
      </c>
      <c r="E5886">
        <f>IF($D5886 &gt; 16, 0, $J$3*(16 - $D5886))</f>
        <v>664.79565664223026</v>
      </c>
      <c r="F5886">
        <f>IF($D5886 &gt; 16, 0,$E5886*$J$5)</f>
        <v>7225663.9920444004</v>
      </c>
      <c r="G5886">
        <f t="shared" si="91"/>
        <v>3.1999999999999993</v>
      </c>
    </row>
    <row r="5887" spans="2:7" x14ac:dyDescent="0.35">
      <c r="B5887" s="1">
        <v>45903</v>
      </c>
      <c r="C5887" s="2">
        <v>0.20833333333333329</v>
      </c>
      <c r="D5887">
        <v>12.7</v>
      </c>
      <c r="E5887">
        <f>IF($D5887 &gt; 16, 0, $J$3*(16 - $D5887))</f>
        <v>685.57052091230025</v>
      </c>
      <c r="F5887">
        <f>IF($D5887 &gt; 16, 0,$E5887*$J$5)</f>
        <v>7451465.9917957913</v>
      </c>
      <c r="G5887">
        <f t="shared" si="91"/>
        <v>3.3000000000000007</v>
      </c>
    </row>
    <row r="5888" spans="2:7" x14ac:dyDescent="0.35">
      <c r="B5888" s="1">
        <v>45903</v>
      </c>
      <c r="C5888" s="2">
        <v>0.25</v>
      </c>
      <c r="D5888">
        <v>14.3</v>
      </c>
      <c r="E5888">
        <f>IF($D5888 &gt; 16, 0, $J$3*(16 - $D5888))</f>
        <v>353.17269259118473</v>
      </c>
      <c r="F5888">
        <f>IF($D5888 &gt; 16, 0,$E5888*$J$5)</f>
        <v>3838633.9957735869</v>
      </c>
      <c r="G5888">
        <f t="shared" si="91"/>
        <v>1.6999999999999993</v>
      </c>
    </row>
    <row r="5889" spans="2:7" x14ac:dyDescent="0.35">
      <c r="B5889" s="1">
        <v>45903</v>
      </c>
      <c r="C5889" s="2">
        <v>0.29166666666666669</v>
      </c>
      <c r="D5889">
        <v>16.7</v>
      </c>
      <c r="E5889">
        <f>IF($D5889 &gt; 16, 0, $J$3*(16 - $D5889))</f>
        <v>0</v>
      </c>
      <c r="F5889">
        <f>IF($D5889 &gt; 16, 0,$E5889*$J$5)</f>
        <v>0</v>
      </c>
      <c r="G5889">
        <f t="shared" si="91"/>
        <v>0</v>
      </c>
    </row>
    <row r="5890" spans="2:7" x14ac:dyDescent="0.35">
      <c r="B5890" s="1">
        <v>45903</v>
      </c>
      <c r="C5890" s="2">
        <v>0.33333333333333331</v>
      </c>
      <c r="D5890">
        <v>18.600000000000001</v>
      </c>
      <c r="E5890">
        <f>IF($D5890 &gt; 16, 0, $J$3*(16 - $D5890))</f>
        <v>0</v>
      </c>
      <c r="F5890">
        <f>IF($D5890 &gt; 16, 0,$E5890*$J$5)</f>
        <v>0</v>
      </c>
      <c r="G5890">
        <f t="shared" si="91"/>
        <v>0</v>
      </c>
    </row>
    <row r="5891" spans="2:7" x14ac:dyDescent="0.35">
      <c r="B5891" s="1">
        <v>45903</v>
      </c>
      <c r="C5891" s="2">
        <v>0.375</v>
      </c>
      <c r="D5891">
        <v>20.2</v>
      </c>
      <c r="E5891">
        <f>IF($D5891 &gt; 16, 0, $J$3*(16 - $D5891))</f>
        <v>0</v>
      </c>
      <c r="F5891">
        <f>IF($D5891 &gt; 16, 0,$E5891*$J$5)</f>
        <v>0</v>
      </c>
      <c r="G5891">
        <f t="shared" ref="G5891:G5954" si="92">MAX(0, 16 - $D5891)</f>
        <v>0</v>
      </c>
    </row>
    <row r="5892" spans="2:7" x14ac:dyDescent="0.35">
      <c r="B5892" s="1">
        <v>45903</v>
      </c>
      <c r="C5892" s="2">
        <v>0.41666666666666669</v>
      </c>
      <c r="D5892">
        <v>21.5</v>
      </c>
      <c r="E5892">
        <f>IF($D5892 &gt; 16, 0, $J$3*(16 - $D5892))</f>
        <v>0</v>
      </c>
      <c r="F5892">
        <f>IF($D5892 &gt; 16, 0,$E5892*$J$5)</f>
        <v>0</v>
      </c>
      <c r="G5892">
        <f t="shared" si="92"/>
        <v>0</v>
      </c>
    </row>
    <row r="5893" spans="2:7" x14ac:dyDescent="0.35">
      <c r="B5893" s="1">
        <v>45903</v>
      </c>
      <c r="C5893" s="2">
        <v>0.45833333333333331</v>
      </c>
      <c r="D5893">
        <v>22.1</v>
      </c>
      <c r="E5893">
        <f>IF($D5893 &gt; 16, 0, $J$3*(16 - $D5893))</f>
        <v>0</v>
      </c>
      <c r="F5893">
        <f>IF($D5893 &gt; 16, 0,$E5893*$J$5)</f>
        <v>0</v>
      </c>
      <c r="G5893">
        <f t="shared" si="92"/>
        <v>0</v>
      </c>
    </row>
    <row r="5894" spans="2:7" x14ac:dyDescent="0.35">
      <c r="B5894" s="1">
        <v>45903</v>
      </c>
      <c r="C5894" s="2">
        <v>0.5</v>
      </c>
      <c r="D5894">
        <v>22.8</v>
      </c>
      <c r="E5894">
        <f>IF($D5894 &gt; 16, 0, $J$3*(16 - $D5894))</f>
        <v>0</v>
      </c>
      <c r="F5894">
        <f>IF($D5894 &gt; 16, 0,$E5894*$J$5)</f>
        <v>0</v>
      </c>
      <c r="G5894">
        <f t="shared" si="92"/>
        <v>0</v>
      </c>
    </row>
    <row r="5895" spans="2:7" x14ac:dyDescent="0.35">
      <c r="B5895" s="1">
        <v>45903</v>
      </c>
      <c r="C5895" s="2">
        <v>0.54166666666666663</v>
      </c>
      <c r="D5895">
        <v>23.1</v>
      </c>
      <c r="E5895">
        <f>IF($D5895 &gt; 16, 0, $J$3*(16 - $D5895))</f>
        <v>0</v>
      </c>
      <c r="F5895">
        <f>IF($D5895 &gt; 16, 0,$E5895*$J$5)</f>
        <v>0</v>
      </c>
      <c r="G5895">
        <f t="shared" si="92"/>
        <v>0</v>
      </c>
    </row>
    <row r="5896" spans="2:7" x14ac:dyDescent="0.35">
      <c r="B5896" s="1">
        <v>45903</v>
      </c>
      <c r="C5896" s="2">
        <v>0.58333333333333337</v>
      </c>
      <c r="D5896">
        <v>24.3</v>
      </c>
      <c r="E5896">
        <f>IF($D5896 &gt; 16, 0, $J$3*(16 - $D5896))</f>
        <v>0</v>
      </c>
      <c r="F5896">
        <f>IF($D5896 &gt; 16, 0,$E5896*$J$5)</f>
        <v>0</v>
      </c>
      <c r="G5896">
        <f t="shared" si="92"/>
        <v>0</v>
      </c>
    </row>
    <row r="5897" spans="2:7" x14ac:dyDescent="0.35">
      <c r="B5897" s="1">
        <v>45903</v>
      </c>
      <c r="C5897" s="2">
        <v>0.625</v>
      </c>
      <c r="D5897">
        <v>24.6</v>
      </c>
      <c r="E5897">
        <f>IF($D5897 &gt; 16, 0, $J$3*(16 - $D5897))</f>
        <v>0</v>
      </c>
      <c r="F5897">
        <f>IF($D5897 &gt; 16, 0,$E5897*$J$5)</f>
        <v>0</v>
      </c>
      <c r="G5897">
        <f t="shared" si="92"/>
        <v>0</v>
      </c>
    </row>
    <row r="5898" spans="2:7" x14ac:dyDescent="0.35">
      <c r="B5898" s="1">
        <v>45903</v>
      </c>
      <c r="C5898" s="2">
        <v>0.66666666666666663</v>
      </c>
      <c r="D5898">
        <v>23.7</v>
      </c>
      <c r="E5898">
        <f>IF($D5898 &gt; 16, 0, $J$3*(16 - $D5898))</f>
        <v>0</v>
      </c>
      <c r="F5898">
        <f>IF($D5898 &gt; 16, 0,$E5898*$J$5)</f>
        <v>0</v>
      </c>
      <c r="G5898">
        <f t="shared" si="92"/>
        <v>0</v>
      </c>
    </row>
    <row r="5899" spans="2:7" x14ac:dyDescent="0.35">
      <c r="B5899" s="1">
        <v>45903</v>
      </c>
      <c r="C5899" s="2">
        <v>0.70833333333333337</v>
      </c>
      <c r="D5899">
        <v>23.2</v>
      </c>
      <c r="E5899">
        <f>IF($D5899 &gt; 16, 0, $J$3*(16 - $D5899))</f>
        <v>0</v>
      </c>
      <c r="F5899">
        <f>IF($D5899 &gt; 16, 0,$E5899*$J$5)</f>
        <v>0</v>
      </c>
      <c r="G5899">
        <f t="shared" si="92"/>
        <v>0</v>
      </c>
    </row>
    <row r="5900" spans="2:7" x14ac:dyDescent="0.35">
      <c r="B5900" s="1">
        <v>45903</v>
      </c>
      <c r="C5900" s="2">
        <v>0.75</v>
      </c>
      <c r="D5900">
        <v>22.9</v>
      </c>
      <c r="E5900">
        <f>IF($D5900 &gt; 16, 0, $J$3*(16 - $D5900))</f>
        <v>0</v>
      </c>
      <c r="F5900">
        <f>IF($D5900 &gt; 16, 0,$E5900*$J$5)</f>
        <v>0</v>
      </c>
      <c r="G5900">
        <f t="shared" si="92"/>
        <v>0</v>
      </c>
    </row>
    <row r="5901" spans="2:7" x14ac:dyDescent="0.35">
      <c r="B5901" s="1">
        <v>45903</v>
      </c>
      <c r="C5901" s="2">
        <v>0.79166666666666663</v>
      </c>
      <c r="D5901">
        <v>22</v>
      </c>
      <c r="E5901">
        <f>IF($D5901 &gt; 16, 0, $J$3*(16 - $D5901))</f>
        <v>0</v>
      </c>
      <c r="F5901">
        <f>IF($D5901 &gt; 16, 0,$E5901*$J$5)</f>
        <v>0</v>
      </c>
      <c r="G5901">
        <f t="shared" si="92"/>
        <v>0</v>
      </c>
    </row>
    <row r="5902" spans="2:7" x14ac:dyDescent="0.35">
      <c r="B5902" s="1">
        <v>45903</v>
      </c>
      <c r="C5902" s="2">
        <v>0.83333333333333337</v>
      </c>
      <c r="D5902">
        <v>21.5</v>
      </c>
      <c r="E5902">
        <f>IF($D5902 &gt; 16, 0, $J$3*(16 - $D5902))</f>
        <v>0</v>
      </c>
      <c r="F5902">
        <f>IF($D5902 &gt; 16, 0,$E5902*$J$5)</f>
        <v>0</v>
      </c>
      <c r="G5902">
        <f t="shared" si="92"/>
        <v>0</v>
      </c>
    </row>
    <row r="5903" spans="2:7" x14ac:dyDescent="0.35">
      <c r="B5903" s="1">
        <v>45903</v>
      </c>
      <c r="C5903" s="2">
        <v>0.875</v>
      </c>
      <c r="D5903">
        <v>21</v>
      </c>
      <c r="E5903">
        <f>IF($D5903 &gt; 16, 0, $J$3*(16 - $D5903))</f>
        <v>0</v>
      </c>
      <c r="F5903">
        <f>IF($D5903 &gt; 16, 0,$E5903*$J$5)</f>
        <v>0</v>
      </c>
      <c r="G5903">
        <f t="shared" si="92"/>
        <v>0</v>
      </c>
    </row>
    <row r="5904" spans="2:7" x14ac:dyDescent="0.35">
      <c r="B5904" s="1">
        <v>45903</v>
      </c>
      <c r="C5904" s="2">
        <v>0.91666666666666663</v>
      </c>
      <c r="D5904">
        <v>20.3</v>
      </c>
      <c r="E5904">
        <f>IF($D5904 &gt; 16, 0, $J$3*(16 - $D5904))</f>
        <v>0</v>
      </c>
      <c r="F5904">
        <f>IF($D5904 &gt; 16, 0,$E5904*$J$5)</f>
        <v>0</v>
      </c>
      <c r="G5904">
        <f t="shared" si="92"/>
        <v>0</v>
      </c>
    </row>
    <row r="5905" spans="2:7" x14ac:dyDescent="0.35">
      <c r="B5905" s="1">
        <v>45903</v>
      </c>
      <c r="C5905" s="2">
        <v>0.95833333333333337</v>
      </c>
      <c r="D5905">
        <v>19.899999999999999</v>
      </c>
      <c r="E5905">
        <f>IF($D5905 &gt; 16, 0, $J$3*(16 - $D5905))</f>
        <v>0</v>
      </c>
      <c r="F5905">
        <f>IF($D5905 &gt; 16, 0,$E5905*$J$5)</f>
        <v>0</v>
      </c>
      <c r="G5905">
        <f t="shared" si="92"/>
        <v>0</v>
      </c>
    </row>
    <row r="5906" spans="2:7" x14ac:dyDescent="0.35">
      <c r="B5906" s="1">
        <v>45904</v>
      </c>
      <c r="C5906" s="2">
        <v>0</v>
      </c>
      <c r="D5906">
        <v>19.8</v>
      </c>
      <c r="E5906">
        <f>IF($D5906 &gt; 16, 0, $J$3*(16 - $D5906))</f>
        <v>0</v>
      </c>
      <c r="F5906">
        <f>IF($D5906 &gt; 16, 0,$E5906*$J$5)</f>
        <v>0</v>
      </c>
      <c r="G5906">
        <f t="shared" si="92"/>
        <v>0</v>
      </c>
    </row>
    <row r="5907" spans="2:7" x14ac:dyDescent="0.35">
      <c r="B5907" s="1">
        <v>45904</v>
      </c>
      <c r="C5907" s="2">
        <v>4.1666666666666657E-2</v>
      </c>
      <c r="D5907">
        <v>20.3</v>
      </c>
      <c r="E5907">
        <f>IF($D5907 &gt; 16, 0, $J$3*(16 - $D5907))</f>
        <v>0</v>
      </c>
      <c r="F5907">
        <f>IF($D5907 &gt; 16, 0,$E5907*$J$5)</f>
        <v>0</v>
      </c>
      <c r="G5907">
        <f t="shared" si="92"/>
        <v>0</v>
      </c>
    </row>
    <row r="5908" spans="2:7" x14ac:dyDescent="0.35">
      <c r="B5908" s="1">
        <v>45904</v>
      </c>
      <c r="C5908" s="2">
        <v>8.3333333333333329E-2</v>
      </c>
      <c r="D5908">
        <v>19.600000000000001</v>
      </c>
      <c r="E5908">
        <f>IF($D5908 &gt; 16, 0, $J$3*(16 - $D5908))</f>
        <v>0</v>
      </c>
      <c r="F5908">
        <f>IF($D5908 &gt; 16, 0,$E5908*$J$5)</f>
        <v>0</v>
      </c>
      <c r="G5908">
        <f t="shared" si="92"/>
        <v>0</v>
      </c>
    </row>
    <row r="5909" spans="2:7" x14ac:dyDescent="0.35">
      <c r="B5909" s="1">
        <v>45904</v>
      </c>
      <c r="C5909" s="2">
        <v>0.125</v>
      </c>
      <c r="D5909">
        <v>19.600000000000001</v>
      </c>
      <c r="E5909">
        <f>IF($D5909 &gt; 16, 0, $J$3*(16 - $D5909))</f>
        <v>0</v>
      </c>
      <c r="F5909">
        <f>IF($D5909 &gt; 16, 0,$E5909*$J$5)</f>
        <v>0</v>
      </c>
      <c r="G5909">
        <f t="shared" si="92"/>
        <v>0</v>
      </c>
    </row>
    <row r="5910" spans="2:7" x14ac:dyDescent="0.35">
      <c r="B5910" s="1">
        <v>45904</v>
      </c>
      <c r="C5910" s="2">
        <v>0.16666666666666671</v>
      </c>
      <c r="D5910">
        <v>18.399999999999999</v>
      </c>
      <c r="E5910">
        <f>IF($D5910 &gt; 16, 0, $J$3*(16 - $D5910))</f>
        <v>0</v>
      </c>
      <c r="F5910">
        <f>IF($D5910 &gt; 16, 0,$E5910*$J$5)</f>
        <v>0</v>
      </c>
      <c r="G5910">
        <f t="shared" si="92"/>
        <v>0</v>
      </c>
    </row>
    <row r="5911" spans="2:7" x14ac:dyDescent="0.35">
      <c r="B5911" s="1">
        <v>45904</v>
      </c>
      <c r="C5911" s="2">
        <v>0.20833333333333329</v>
      </c>
      <c r="D5911">
        <v>18.8</v>
      </c>
      <c r="E5911">
        <f>IF($D5911 &gt; 16, 0, $J$3*(16 - $D5911))</f>
        <v>0</v>
      </c>
      <c r="F5911">
        <f>IF($D5911 &gt; 16, 0,$E5911*$J$5)</f>
        <v>0</v>
      </c>
      <c r="G5911">
        <f t="shared" si="92"/>
        <v>0</v>
      </c>
    </row>
    <row r="5912" spans="2:7" x14ac:dyDescent="0.35">
      <c r="B5912" s="1">
        <v>45904</v>
      </c>
      <c r="C5912" s="2">
        <v>0.25</v>
      </c>
      <c r="D5912">
        <v>19.100000000000001</v>
      </c>
      <c r="E5912">
        <f>IF($D5912 &gt; 16, 0, $J$3*(16 - $D5912))</f>
        <v>0</v>
      </c>
      <c r="F5912">
        <f>IF($D5912 &gt; 16, 0,$E5912*$J$5)</f>
        <v>0</v>
      </c>
      <c r="G5912">
        <f t="shared" si="92"/>
        <v>0</v>
      </c>
    </row>
    <row r="5913" spans="2:7" x14ac:dyDescent="0.35">
      <c r="B5913" s="1">
        <v>45904</v>
      </c>
      <c r="C5913" s="2">
        <v>0.29166666666666669</v>
      </c>
      <c r="D5913">
        <v>19.2</v>
      </c>
      <c r="E5913">
        <f>IF($D5913 &gt; 16, 0, $J$3*(16 - $D5913))</f>
        <v>0</v>
      </c>
      <c r="F5913">
        <f>IF($D5913 &gt; 16, 0,$E5913*$J$5)</f>
        <v>0</v>
      </c>
      <c r="G5913">
        <f t="shared" si="92"/>
        <v>0</v>
      </c>
    </row>
    <row r="5914" spans="2:7" x14ac:dyDescent="0.35">
      <c r="B5914" s="1">
        <v>45904</v>
      </c>
      <c r="C5914" s="2">
        <v>0.33333333333333331</v>
      </c>
      <c r="D5914">
        <v>20.2</v>
      </c>
      <c r="E5914">
        <f>IF($D5914 &gt; 16, 0, $J$3*(16 - $D5914))</f>
        <v>0</v>
      </c>
      <c r="F5914">
        <f>IF($D5914 &gt; 16, 0,$E5914*$J$5)</f>
        <v>0</v>
      </c>
      <c r="G5914">
        <f t="shared" si="92"/>
        <v>0</v>
      </c>
    </row>
    <row r="5915" spans="2:7" x14ac:dyDescent="0.35">
      <c r="B5915" s="1">
        <v>45904</v>
      </c>
      <c r="C5915" s="2">
        <v>0.375</v>
      </c>
      <c r="D5915">
        <v>20.399999999999999</v>
      </c>
      <c r="E5915">
        <f>IF($D5915 &gt; 16, 0, $J$3*(16 - $D5915))</f>
        <v>0</v>
      </c>
      <c r="F5915">
        <f>IF($D5915 &gt; 16, 0,$E5915*$J$5)</f>
        <v>0</v>
      </c>
      <c r="G5915">
        <f t="shared" si="92"/>
        <v>0</v>
      </c>
    </row>
    <row r="5916" spans="2:7" x14ac:dyDescent="0.35">
      <c r="B5916" s="1">
        <v>45904</v>
      </c>
      <c r="C5916" s="2">
        <v>0.41666666666666669</v>
      </c>
      <c r="D5916">
        <v>20.9</v>
      </c>
      <c r="E5916">
        <f>IF($D5916 &gt; 16, 0, $J$3*(16 - $D5916))</f>
        <v>0</v>
      </c>
      <c r="F5916">
        <f>IF($D5916 &gt; 16, 0,$E5916*$J$5)</f>
        <v>0</v>
      </c>
      <c r="G5916">
        <f t="shared" si="92"/>
        <v>0</v>
      </c>
    </row>
    <row r="5917" spans="2:7" x14ac:dyDescent="0.35">
      <c r="B5917" s="1">
        <v>45904</v>
      </c>
      <c r="C5917" s="2">
        <v>0.45833333333333331</v>
      </c>
      <c r="D5917">
        <v>21.7</v>
      </c>
      <c r="E5917">
        <f>IF($D5917 &gt; 16, 0, $J$3*(16 - $D5917))</f>
        <v>0</v>
      </c>
      <c r="F5917">
        <f>IF($D5917 &gt; 16, 0,$E5917*$J$5)</f>
        <v>0</v>
      </c>
      <c r="G5917">
        <f t="shared" si="92"/>
        <v>0</v>
      </c>
    </row>
    <row r="5918" spans="2:7" x14ac:dyDescent="0.35">
      <c r="B5918" s="1">
        <v>45904</v>
      </c>
      <c r="C5918" s="2">
        <v>0.5</v>
      </c>
      <c r="D5918">
        <v>23</v>
      </c>
      <c r="E5918">
        <f>IF($D5918 &gt; 16, 0, $J$3*(16 - $D5918))</f>
        <v>0</v>
      </c>
      <c r="F5918">
        <f>IF($D5918 &gt; 16, 0,$E5918*$J$5)</f>
        <v>0</v>
      </c>
      <c r="G5918">
        <f t="shared" si="92"/>
        <v>0</v>
      </c>
    </row>
    <row r="5919" spans="2:7" x14ac:dyDescent="0.35">
      <c r="B5919" s="1">
        <v>45904</v>
      </c>
      <c r="C5919" s="2">
        <v>0.54166666666666663</v>
      </c>
      <c r="D5919">
        <v>23.7</v>
      </c>
      <c r="E5919">
        <f>IF($D5919 &gt; 16, 0, $J$3*(16 - $D5919))</f>
        <v>0</v>
      </c>
      <c r="F5919">
        <f>IF($D5919 &gt; 16, 0,$E5919*$J$5)</f>
        <v>0</v>
      </c>
      <c r="G5919">
        <f t="shared" si="92"/>
        <v>0</v>
      </c>
    </row>
    <row r="5920" spans="2:7" x14ac:dyDescent="0.35">
      <c r="B5920" s="1">
        <v>45904</v>
      </c>
      <c r="C5920" s="2">
        <v>0.58333333333333337</v>
      </c>
      <c r="D5920">
        <v>24.1</v>
      </c>
      <c r="E5920">
        <f>IF($D5920 &gt; 16, 0, $J$3*(16 - $D5920))</f>
        <v>0</v>
      </c>
      <c r="F5920">
        <f>IF($D5920 &gt; 16, 0,$E5920*$J$5)</f>
        <v>0</v>
      </c>
      <c r="G5920">
        <f t="shared" si="92"/>
        <v>0</v>
      </c>
    </row>
    <row r="5921" spans="2:7" x14ac:dyDescent="0.35">
      <c r="B5921" s="1">
        <v>45904</v>
      </c>
      <c r="C5921" s="2">
        <v>0.625</v>
      </c>
      <c r="D5921">
        <v>23.9</v>
      </c>
      <c r="E5921">
        <f>IF($D5921 &gt; 16, 0, $J$3*(16 - $D5921))</f>
        <v>0</v>
      </c>
      <c r="F5921">
        <f>IF($D5921 &gt; 16, 0,$E5921*$J$5)</f>
        <v>0</v>
      </c>
      <c r="G5921">
        <f t="shared" si="92"/>
        <v>0</v>
      </c>
    </row>
    <row r="5922" spans="2:7" x14ac:dyDescent="0.35">
      <c r="B5922" s="1">
        <v>45904</v>
      </c>
      <c r="C5922" s="2">
        <v>0.66666666666666663</v>
      </c>
      <c r="D5922">
        <v>23.4</v>
      </c>
      <c r="E5922">
        <f>IF($D5922 &gt; 16, 0, $J$3*(16 - $D5922))</f>
        <v>0</v>
      </c>
      <c r="F5922">
        <f>IF($D5922 &gt; 16, 0,$E5922*$J$5)</f>
        <v>0</v>
      </c>
      <c r="G5922">
        <f t="shared" si="92"/>
        <v>0</v>
      </c>
    </row>
    <row r="5923" spans="2:7" x14ac:dyDescent="0.35">
      <c r="B5923" s="1">
        <v>45904</v>
      </c>
      <c r="C5923" s="2">
        <v>0.70833333333333337</v>
      </c>
      <c r="D5923">
        <v>21.8</v>
      </c>
      <c r="E5923">
        <f>IF($D5923 &gt; 16, 0, $J$3*(16 - $D5923))</f>
        <v>0</v>
      </c>
      <c r="F5923">
        <f>IF($D5923 &gt; 16, 0,$E5923*$J$5)</f>
        <v>0</v>
      </c>
      <c r="G5923">
        <f t="shared" si="92"/>
        <v>0</v>
      </c>
    </row>
    <row r="5924" spans="2:7" x14ac:dyDescent="0.35">
      <c r="B5924" s="1">
        <v>45904</v>
      </c>
      <c r="C5924" s="2">
        <v>0.75</v>
      </c>
      <c r="D5924">
        <v>19.100000000000001</v>
      </c>
      <c r="E5924">
        <f>IF($D5924 &gt; 16, 0, $J$3*(16 - $D5924))</f>
        <v>0</v>
      </c>
      <c r="F5924">
        <f>IF($D5924 &gt; 16, 0,$E5924*$J$5)</f>
        <v>0</v>
      </c>
      <c r="G5924">
        <f t="shared" si="92"/>
        <v>0</v>
      </c>
    </row>
    <row r="5925" spans="2:7" x14ac:dyDescent="0.35">
      <c r="B5925" s="1">
        <v>45904</v>
      </c>
      <c r="C5925" s="2">
        <v>0.79166666666666663</v>
      </c>
      <c r="D5925">
        <v>18.600000000000001</v>
      </c>
      <c r="E5925">
        <f>IF($D5925 &gt; 16, 0, $J$3*(16 - $D5925))</f>
        <v>0</v>
      </c>
      <c r="F5925">
        <f>IF($D5925 &gt; 16, 0,$E5925*$J$5)</f>
        <v>0</v>
      </c>
      <c r="G5925">
        <f t="shared" si="92"/>
        <v>0</v>
      </c>
    </row>
    <row r="5926" spans="2:7" x14ac:dyDescent="0.35">
      <c r="B5926" s="1">
        <v>45904</v>
      </c>
      <c r="C5926" s="2">
        <v>0.83333333333333337</v>
      </c>
      <c r="D5926">
        <v>19.100000000000001</v>
      </c>
      <c r="E5926">
        <f>IF($D5926 &gt; 16, 0, $J$3*(16 - $D5926))</f>
        <v>0</v>
      </c>
      <c r="F5926">
        <f>IF($D5926 &gt; 16, 0,$E5926*$J$5)</f>
        <v>0</v>
      </c>
      <c r="G5926">
        <f t="shared" si="92"/>
        <v>0</v>
      </c>
    </row>
    <row r="5927" spans="2:7" x14ac:dyDescent="0.35">
      <c r="B5927" s="1">
        <v>45904</v>
      </c>
      <c r="C5927" s="2">
        <v>0.875</v>
      </c>
      <c r="D5927">
        <v>18</v>
      </c>
      <c r="E5927">
        <f>IF($D5927 &gt; 16, 0, $J$3*(16 - $D5927))</f>
        <v>0</v>
      </c>
      <c r="F5927">
        <f>IF($D5927 &gt; 16, 0,$E5927*$J$5)</f>
        <v>0</v>
      </c>
      <c r="G5927">
        <f t="shared" si="92"/>
        <v>0</v>
      </c>
    </row>
    <row r="5928" spans="2:7" x14ac:dyDescent="0.35">
      <c r="B5928" s="1">
        <v>45904</v>
      </c>
      <c r="C5928" s="2">
        <v>0.91666666666666663</v>
      </c>
      <c r="D5928">
        <v>18.600000000000001</v>
      </c>
      <c r="E5928">
        <f>IF($D5928 &gt; 16, 0, $J$3*(16 - $D5928))</f>
        <v>0</v>
      </c>
      <c r="F5928">
        <f>IF($D5928 &gt; 16, 0,$E5928*$J$5)</f>
        <v>0</v>
      </c>
      <c r="G5928">
        <f t="shared" si="92"/>
        <v>0</v>
      </c>
    </row>
    <row r="5929" spans="2:7" x14ac:dyDescent="0.35">
      <c r="B5929" s="1">
        <v>45904</v>
      </c>
      <c r="C5929" s="2">
        <v>0.95833333333333337</v>
      </c>
      <c r="D5929">
        <v>18.5</v>
      </c>
      <c r="E5929">
        <f>IF($D5929 &gt; 16, 0, $J$3*(16 - $D5929))</f>
        <v>0</v>
      </c>
      <c r="F5929">
        <f>IF($D5929 &gt; 16, 0,$E5929*$J$5)</f>
        <v>0</v>
      </c>
      <c r="G5929">
        <f t="shared" si="92"/>
        <v>0</v>
      </c>
    </row>
    <row r="5930" spans="2:7" x14ac:dyDescent="0.35">
      <c r="B5930" s="1">
        <v>45905</v>
      </c>
      <c r="C5930" s="2">
        <v>0</v>
      </c>
      <c r="D5930">
        <v>18.5</v>
      </c>
      <c r="E5930">
        <f>IF($D5930 &gt; 16, 0, $J$3*(16 - $D5930))</f>
        <v>0</v>
      </c>
      <c r="F5930">
        <f>IF($D5930 &gt; 16, 0,$E5930*$J$5)</f>
        <v>0</v>
      </c>
      <c r="G5930">
        <f t="shared" si="92"/>
        <v>0</v>
      </c>
    </row>
    <row r="5931" spans="2:7" x14ac:dyDescent="0.35">
      <c r="B5931" s="1">
        <v>45905</v>
      </c>
      <c r="C5931" s="2">
        <v>4.1666666666666657E-2</v>
      </c>
      <c r="D5931">
        <v>17.399999999999999</v>
      </c>
      <c r="E5931">
        <f>IF($D5931 &gt; 16, 0, $J$3*(16 - $D5931))</f>
        <v>0</v>
      </c>
      <c r="F5931">
        <f>IF($D5931 &gt; 16, 0,$E5931*$J$5)</f>
        <v>0</v>
      </c>
      <c r="G5931">
        <f t="shared" si="92"/>
        <v>0</v>
      </c>
    </row>
    <row r="5932" spans="2:7" x14ac:dyDescent="0.35">
      <c r="B5932" s="1">
        <v>45905</v>
      </c>
      <c r="C5932" s="2">
        <v>8.3333333333333329E-2</v>
      </c>
      <c r="D5932">
        <v>17.3</v>
      </c>
      <c r="E5932">
        <f>IF($D5932 &gt; 16, 0, $J$3*(16 - $D5932))</f>
        <v>0</v>
      </c>
      <c r="F5932">
        <f>IF($D5932 &gt; 16, 0,$E5932*$J$5)</f>
        <v>0</v>
      </c>
      <c r="G5932">
        <f t="shared" si="92"/>
        <v>0</v>
      </c>
    </row>
    <row r="5933" spans="2:7" x14ac:dyDescent="0.35">
      <c r="B5933" s="1">
        <v>45905</v>
      </c>
      <c r="C5933" s="2">
        <v>0.125</v>
      </c>
      <c r="D5933">
        <v>16.7</v>
      </c>
      <c r="E5933">
        <f>IF($D5933 &gt; 16, 0, $J$3*(16 - $D5933))</f>
        <v>0</v>
      </c>
      <c r="F5933">
        <f>IF($D5933 &gt; 16, 0,$E5933*$J$5)</f>
        <v>0</v>
      </c>
      <c r="G5933">
        <f t="shared" si="92"/>
        <v>0</v>
      </c>
    </row>
    <row r="5934" spans="2:7" x14ac:dyDescent="0.35">
      <c r="B5934" s="1">
        <v>45905</v>
      </c>
      <c r="C5934" s="2">
        <v>0.16666666666666671</v>
      </c>
      <c r="D5934">
        <v>16.399999999999999</v>
      </c>
      <c r="E5934">
        <f>IF($D5934 &gt; 16, 0, $J$3*(16 - $D5934))</f>
        <v>0</v>
      </c>
      <c r="F5934">
        <f>IF($D5934 &gt; 16, 0,$E5934*$J$5)</f>
        <v>0</v>
      </c>
      <c r="G5934">
        <f t="shared" si="92"/>
        <v>0</v>
      </c>
    </row>
    <row r="5935" spans="2:7" x14ac:dyDescent="0.35">
      <c r="B5935" s="1">
        <v>45905</v>
      </c>
      <c r="C5935" s="2">
        <v>0.20833333333333329</v>
      </c>
      <c r="D5935">
        <v>16</v>
      </c>
      <c r="E5935">
        <f>IF($D5935 &gt; 16, 0, $J$3*(16 - $D5935))</f>
        <v>0</v>
      </c>
      <c r="F5935">
        <f>IF($D5935 &gt; 16, 0,$E5935*$J$5)</f>
        <v>0</v>
      </c>
      <c r="G5935">
        <f t="shared" si="92"/>
        <v>0</v>
      </c>
    </row>
    <row r="5936" spans="2:7" x14ac:dyDescent="0.35">
      <c r="B5936" s="1">
        <v>45905</v>
      </c>
      <c r="C5936" s="2">
        <v>0.25</v>
      </c>
      <c r="D5936">
        <v>15.6</v>
      </c>
      <c r="E5936">
        <f>IF($D5936 &gt; 16, 0, $J$3*(16 - $D5936))</f>
        <v>83.099457080278867</v>
      </c>
      <c r="F5936">
        <f>IF($D5936 &gt; 16, 0,$E5936*$J$5)</f>
        <v>903207.99900555098</v>
      </c>
      <c r="G5936">
        <f t="shared" si="92"/>
        <v>0.40000000000000036</v>
      </c>
    </row>
    <row r="5937" spans="2:7" x14ac:dyDescent="0.35">
      <c r="B5937" s="1">
        <v>45905</v>
      </c>
      <c r="C5937" s="2">
        <v>0.29166666666666669</v>
      </c>
      <c r="D5937">
        <v>15.9</v>
      </c>
      <c r="E5937">
        <f>IF($D5937 &gt; 16, 0, $J$3*(16 - $D5937))</f>
        <v>20.774864270069624</v>
      </c>
      <c r="F5937">
        <f>IF($D5937 &gt; 16, 0,$E5937*$J$5)</f>
        <v>225801.99975138676</v>
      </c>
      <c r="G5937">
        <f t="shared" si="92"/>
        <v>9.9999999999999645E-2</v>
      </c>
    </row>
    <row r="5938" spans="2:7" x14ac:dyDescent="0.35">
      <c r="B5938" s="1">
        <v>45905</v>
      </c>
      <c r="C5938" s="2">
        <v>0.33333333333333331</v>
      </c>
      <c r="D5938">
        <v>16.399999999999999</v>
      </c>
      <c r="E5938">
        <f>IF($D5938 &gt; 16, 0, $J$3*(16 - $D5938))</f>
        <v>0</v>
      </c>
      <c r="F5938">
        <f>IF($D5938 &gt; 16, 0,$E5938*$J$5)</f>
        <v>0</v>
      </c>
      <c r="G5938">
        <f t="shared" si="92"/>
        <v>0</v>
      </c>
    </row>
    <row r="5939" spans="2:7" x14ac:dyDescent="0.35">
      <c r="B5939" s="1">
        <v>45905</v>
      </c>
      <c r="C5939" s="2">
        <v>0.375</v>
      </c>
      <c r="D5939">
        <v>17.600000000000001</v>
      </c>
      <c r="E5939">
        <f>IF($D5939 &gt; 16, 0, $J$3*(16 - $D5939))</f>
        <v>0</v>
      </c>
      <c r="F5939">
        <f>IF($D5939 &gt; 16, 0,$E5939*$J$5)</f>
        <v>0</v>
      </c>
      <c r="G5939">
        <f t="shared" si="92"/>
        <v>0</v>
      </c>
    </row>
    <row r="5940" spans="2:7" x14ac:dyDescent="0.35">
      <c r="B5940" s="1">
        <v>45905</v>
      </c>
      <c r="C5940" s="2">
        <v>0.41666666666666669</v>
      </c>
      <c r="D5940">
        <v>18.100000000000001</v>
      </c>
      <c r="E5940">
        <f>IF($D5940 &gt; 16, 0, $J$3*(16 - $D5940))</f>
        <v>0</v>
      </c>
      <c r="F5940">
        <f>IF($D5940 &gt; 16, 0,$E5940*$J$5)</f>
        <v>0</v>
      </c>
      <c r="G5940">
        <f t="shared" si="92"/>
        <v>0</v>
      </c>
    </row>
    <row r="5941" spans="2:7" x14ac:dyDescent="0.35">
      <c r="B5941" s="1">
        <v>45905</v>
      </c>
      <c r="C5941" s="2">
        <v>0.45833333333333331</v>
      </c>
      <c r="D5941">
        <v>19.899999999999999</v>
      </c>
      <c r="E5941">
        <f>IF($D5941 &gt; 16, 0, $J$3*(16 - $D5941))</f>
        <v>0</v>
      </c>
      <c r="F5941">
        <f>IF($D5941 &gt; 16, 0,$E5941*$J$5)</f>
        <v>0</v>
      </c>
      <c r="G5941">
        <f t="shared" si="92"/>
        <v>0</v>
      </c>
    </row>
    <row r="5942" spans="2:7" x14ac:dyDescent="0.35">
      <c r="B5942" s="1">
        <v>45905</v>
      </c>
      <c r="C5942" s="2">
        <v>0.5</v>
      </c>
      <c r="D5942">
        <v>19.399999999999999</v>
      </c>
      <c r="E5942">
        <f>IF($D5942 &gt; 16, 0, $J$3*(16 - $D5942))</f>
        <v>0</v>
      </c>
      <c r="F5942">
        <f>IF($D5942 &gt; 16, 0,$E5942*$J$5)</f>
        <v>0</v>
      </c>
      <c r="G5942">
        <f t="shared" si="92"/>
        <v>0</v>
      </c>
    </row>
    <row r="5943" spans="2:7" x14ac:dyDescent="0.35">
      <c r="B5943" s="1">
        <v>45905</v>
      </c>
      <c r="C5943" s="2">
        <v>0.54166666666666663</v>
      </c>
      <c r="D5943">
        <v>20.2</v>
      </c>
      <c r="E5943">
        <f>IF($D5943 &gt; 16, 0, $J$3*(16 - $D5943))</f>
        <v>0</v>
      </c>
      <c r="F5943">
        <f>IF($D5943 &gt; 16, 0,$E5943*$J$5)</f>
        <v>0</v>
      </c>
      <c r="G5943">
        <f t="shared" si="92"/>
        <v>0</v>
      </c>
    </row>
    <row r="5944" spans="2:7" x14ac:dyDescent="0.35">
      <c r="B5944" s="1">
        <v>45905</v>
      </c>
      <c r="C5944" s="2">
        <v>0.58333333333333337</v>
      </c>
      <c r="D5944">
        <v>20.399999999999999</v>
      </c>
      <c r="E5944">
        <f>IF($D5944 &gt; 16, 0, $J$3*(16 - $D5944))</f>
        <v>0</v>
      </c>
      <c r="F5944">
        <f>IF($D5944 &gt; 16, 0,$E5944*$J$5)</f>
        <v>0</v>
      </c>
      <c r="G5944">
        <f t="shared" si="92"/>
        <v>0</v>
      </c>
    </row>
    <row r="5945" spans="2:7" x14ac:dyDescent="0.35">
      <c r="B5945" s="1">
        <v>45905</v>
      </c>
      <c r="C5945" s="2">
        <v>0.625</v>
      </c>
      <c r="D5945">
        <v>19.100000000000001</v>
      </c>
      <c r="E5945">
        <f>IF($D5945 &gt; 16, 0, $J$3*(16 - $D5945))</f>
        <v>0</v>
      </c>
      <c r="F5945">
        <f>IF($D5945 &gt; 16, 0,$E5945*$J$5)</f>
        <v>0</v>
      </c>
      <c r="G5945">
        <f t="shared" si="92"/>
        <v>0</v>
      </c>
    </row>
    <row r="5946" spans="2:7" x14ac:dyDescent="0.35">
      <c r="B5946" s="1">
        <v>45905</v>
      </c>
      <c r="C5946" s="2">
        <v>0.66666666666666663</v>
      </c>
      <c r="D5946">
        <v>18.100000000000001</v>
      </c>
      <c r="E5946">
        <f>IF($D5946 &gt; 16, 0, $J$3*(16 - $D5946))</f>
        <v>0</v>
      </c>
      <c r="F5946">
        <f>IF($D5946 &gt; 16, 0,$E5946*$J$5)</f>
        <v>0</v>
      </c>
      <c r="G5946">
        <f t="shared" si="92"/>
        <v>0</v>
      </c>
    </row>
    <row r="5947" spans="2:7" x14ac:dyDescent="0.35">
      <c r="B5947" s="1">
        <v>45905</v>
      </c>
      <c r="C5947" s="2">
        <v>0.70833333333333337</v>
      </c>
      <c r="D5947">
        <v>18.7</v>
      </c>
      <c r="E5947">
        <f>IF($D5947 &gt; 16, 0, $J$3*(16 - $D5947))</f>
        <v>0</v>
      </c>
      <c r="F5947">
        <f>IF($D5947 &gt; 16, 0,$E5947*$J$5)</f>
        <v>0</v>
      </c>
      <c r="G5947">
        <f t="shared" si="92"/>
        <v>0</v>
      </c>
    </row>
    <row r="5948" spans="2:7" x14ac:dyDescent="0.35">
      <c r="B5948" s="1">
        <v>45905</v>
      </c>
      <c r="C5948" s="2">
        <v>0.75</v>
      </c>
      <c r="D5948">
        <v>16.7</v>
      </c>
      <c r="E5948">
        <f>IF($D5948 &gt; 16, 0, $J$3*(16 - $D5948))</f>
        <v>0</v>
      </c>
      <c r="F5948">
        <f>IF($D5948 &gt; 16, 0,$E5948*$J$5)</f>
        <v>0</v>
      </c>
      <c r="G5948">
        <f t="shared" si="92"/>
        <v>0</v>
      </c>
    </row>
    <row r="5949" spans="2:7" x14ac:dyDescent="0.35">
      <c r="B5949" s="1">
        <v>45905</v>
      </c>
      <c r="C5949" s="2">
        <v>0.79166666666666663</v>
      </c>
      <c r="D5949">
        <v>15.3</v>
      </c>
      <c r="E5949">
        <f>IF($D5949 &gt; 16, 0, $J$3*(16 - $D5949))</f>
        <v>145.42404989048774</v>
      </c>
      <c r="F5949">
        <f>IF($D5949 &gt; 16, 0,$E5949*$J$5)</f>
        <v>1580613.9982597113</v>
      </c>
      <c r="G5949">
        <f t="shared" si="92"/>
        <v>0.69999999999999929</v>
      </c>
    </row>
    <row r="5950" spans="2:7" x14ac:dyDescent="0.35">
      <c r="B5950" s="1">
        <v>45905</v>
      </c>
      <c r="C5950" s="2">
        <v>0.83333333333333337</v>
      </c>
      <c r="D5950">
        <v>14.8</v>
      </c>
      <c r="E5950">
        <f>IF($D5950 &gt; 16, 0, $J$3*(16 - $D5950))</f>
        <v>249.29837124083625</v>
      </c>
      <c r="F5950">
        <f>IF($D5950 &gt; 16, 0,$E5950*$J$5)</f>
        <v>2709623.9970166492</v>
      </c>
      <c r="G5950">
        <f t="shared" si="92"/>
        <v>1.1999999999999993</v>
      </c>
    </row>
    <row r="5951" spans="2:7" x14ac:dyDescent="0.35">
      <c r="B5951" s="1">
        <v>45905</v>
      </c>
      <c r="C5951" s="2">
        <v>0.875</v>
      </c>
      <c r="D5951">
        <v>14.1</v>
      </c>
      <c r="E5951">
        <f>IF($D5951 &gt; 16, 0, $J$3*(16 - $D5951))</f>
        <v>394.72242113132438</v>
      </c>
      <c r="F5951">
        <f>IF($D5951 &gt; 16, 0,$E5951*$J$5)</f>
        <v>4290237.9952763645</v>
      </c>
      <c r="G5951">
        <f t="shared" si="92"/>
        <v>1.9000000000000004</v>
      </c>
    </row>
    <row r="5952" spans="2:7" x14ac:dyDescent="0.35">
      <c r="B5952" s="1">
        <v>45905</v>
      </c>
      <c r="C5952" s="2">
        <v>0.91666666666666663</v>
      </c>
      <c r="D5952">
        <v>14.3</v>
      </c>
      <c r="E5952">
        <f>IF($D5952 &gt; 16, 0, $J$3*(16 - $D5952))</f>
        <v>353.17269259118473</v>
      </c>
      <c r="F5952">
        <f>IF($D5952 &gt; 16, 0,$E5952*$J$5)</f>
        <v>3838633.9957735869</v>
      </c>
      <c r="G5952">
        <f t="shared" si="92"/>
        <v>1.6999999999999993</v>
      </c>
    </row>
    <row r="5953" spans="2:7" x14ac:dyDescent="0.35">
      <c r="B5953" s="1">
        <v>45905</v>
      </c>
      <c r="C5953" s="2">
        <v>0.95833333333333337</v>
      </c>
      <c r="D5953">
        <v>11.9</v>
      </c>
      <c r="E5953">
        <f>IF($D5953 &gt; 16, 0, $J$3*(16 - $D5953))</f>
        <v>851.76943507285762</v>
      </c>
      <c r="F5953">
        <f>IF($D5953 &gt; 16, 0,$E5953*$J$5)</f>
        <v>9257881.9898068886</v>
      </c>
      <c r="G5953">
        <f t="shared" si="92"/>
        <v>4.0999999999999996</v>
      </c>
    </row>
    <row r="5954" spans="2:7" x14ac:dyDescent="0.35">
      <c r="B5954" s="1">
        <v>45906</v>
      </c>
      <c r="C5954" s="2">
        <v>0</v>
      </c>
      <c r="D5954">
        <v>11.5</v>
      </c>
      <c r="E5954">
        <f>IF($D5954 &gt; 16, 0, $J$3*(16 - $D5954))</f>
        <v>934.86889215313647</v>
      </c>
      <c r="F5954">
        <f>IF($D5954 &gt; 16, 0,$E5954*$J$5)</f>
        <v>10161089.988812441</v>
      </c>
      <c r="G5954">
        <f t="shared" si="92"/>
        <v>4.5</v>
      </c>
    </row>
    <row r="5955" spans="2:7" x14ac:dyDescent="0.35">
      <c r="B5955" s="1">
        <v>45906</v>
      </c>
      <c r="C5955" s="2">
        <v>4.1666666666666657E-2</v>
      </c>
      <c r="D5955">
        <v>11.2</v>
      </c>
      <c r="E5955">
        <f>IF($D5955 &gt; 16, 0, $J$3*(16 - $D5955))</f>
        <v>997.19348496334567</v>
      </c>
      <c r="F5955">
        <f>IF($D5955 &gt; 16, 0,$E5955*$J$5)</f>
        <v>10838495.988066604</v>
      </c>
      <c r="G5955">
        <f t="shared" ref="G5955:G6018" si="93">MAX(0, 16 - $D5955)</f>
        <v>4.8000000000000007</v>
      </c>
    </row>
    <row r="5956" spans="2:7" x14ac:dyDescent="0.35">
      <c r="B5956" s="1">
        <v>45906</v>
      </c>
      <c r="C5956" s="2">
        <v>8.3333333333333329E-2</v>
      </c>
      <c r="D5956">
        <v>10.4</v>
      </c>
      <c r="E5956">
        <f>IF($D5956 &gt; 16, 0, $J$3*(16 - $D5956))</f>
        <v>1163.392399123903</v>
      </c>
      <c r="F5956">
        <f>IF($D5956 &gt; 16, 0,$E5956*$J$5)</f>
        <v>12644911.986077702</v>
      </c>
      <c r="G5956">
        <f t="shared" si="93"/>
        <v>5.6</v>
      </c>
    </row>
    <row r="5957" spans="2:7" x14ac:dyDescent="0.35">
      <c r="B5957" s="1">
        <v>45906</v>
      </c>
      <c r="C5957" s="2">
        <v>0.125</v>
      </c>
      <c r="D5957">
        <v>10.3</v>
      </c>
      <c r="E5957">
        <f>IF($D5957 &gt; 16, 0, $J$3*(16 - $D5957))</f>
        <v>1184.1672633939727</v>
      </c>
      <c r="F5957">
        <f>IF($D5957 &gt; 16, 0,$E5957*$J$5)</f>
        <v>12870713.985829089</v>
      </c>
      <c r="G5957">
        <f t="shared" si="93"/>
        <v>5.6999999999999993</v>
      </c>
    </row>
    <row r="5958" spans="2:7" x14ac:dyDescent="0.35">
      <c r="B5958" s="1">
        <v>45906</v>
      </c>
      <c r="C5958" s="2">
        <v>0.16666666666666671</v>
      </c>
      <c r="D5958">
        <v>9.9</v>
      </c>
      <c r="E5958">
        <f>IF($D5958 &gt; 16, 0, $J$3*(16 - $D5958))</f>
        <v>1267.2667204742515</v>
      </c>
      <c r="F5958">
        <f>IF($D5958 &gt; 16, 0,$E5958*$J$5)</f>
        <v>13773921.984834639</v>
      </c>
      <c r="G5958">
        <f t="shared" si="93"/>
        <v>6.1</v>
      </c>
    </row>
    <row r="5959" spans="2:7" x14ac:dyDescent="0.35">
      <c r="B5959" s="1">
        <v>45906</v>
      </c>
      <c r="C5959" s="2">
        <v>0.20833333333333329</v>
      </c>
      <c r="D5959">
        <v>9.1999999999999993</v>
      </c>
      <c r="E5959">
        <f>IF($D5959 &gt; 16, 0, $J$3*(16 - $D5959))</f>
        <v>1412.6907703647396</v>
      </c>
      <c r="F5959">
        <f>IF($D5959 &gt; 16, 0,$E5959*$J$5)</f>
        <v>15354535.983094355</v>
      </c>
      <c r="G5959">
        <f t="shared" si="93"/>
        <v>6.8000000000000007</v>
      </c>
    </row>
    <row r="5960" spans="2:7" x14ac:dyDescent="0.35">
      <c r="B5960" s="1">
        <v>45906</v>
      </c>
      <c r="C5960" s="2">
        <v>0.25</v>
      </c>
      <c r="D5960">
        <v>11.5</v>
      </c>
      <c r="E5960">
        <f>IF($D5960 &gt; 16, 0, $J$3*(16 - $D5960))</f>
        <v>934.86889215313647</v>
      </c>
      <c r="F5960">
        <f>IF($D5960 &gt; 16, 0,$E5960*$J$5)</f>
        <v>10161089.988812441</v>
      </c>
      <c r="G5960">
        <f t="shared" si="93"/>
        <v>4.5</v>
      </c>
    </row>
    <row r="5961" spans="2:7" x14ac:dyDescent="0.35">
      <c r="B5961" s="1">
        <v>45906</v>
      </c>
      <c r="C5961" s="2">
        <v>0.29166666666666669</v>
      </c>
      <c r="D5961">
        <v>14.6</v>
      </c>
      <c r="E5961">
        <f>IF($D5961 &gt; 16, 0, $J$3*(16 - $D5961))</f>
        <v>290.84809978097587</v>
      </c>
      <c r="F5961">
        <f>IF($D5961 &gt; 16, 0,$E5961*$J$5)</f>
        <v>3161227.9965194268</v>
      </c>
      <c r="G5961">
        <f t="shared" si="93"/>
        <v>1.4000000000000004</v>
      </c>
    </row>
    <row r="5962" spans="2:7" x14ac:dyDescent="0.35">
      <c r="B5962" s="1">
        <v>45906</v>
      </c>
      <c r="C5962" s="2">
        <v>0.33333333333333331</v>
      </c>
      <c r="D5962">
        <v>16.8</v>
      </c>
      <c r="E5962">
        <f>IF($D5962 &gt; 16, 0, $J$3*(16 - $D5962))</f>
        <v>0</v>
      </c>
      <c r="F5962">
        <f>IF($D5962 &gt; 16, 0,$E5962*$J$5)</f>
        <v>0</v>
      </c>
      <c r="G5962">
        <f t="shared" si="93"/>
        <v>0</v>
      </c>
    </row>
    <row r="5963" spans="2:7" x14ac:dyDescent="0.35">
      <c r="B5963" s="1">
        <v>45906</v>
      </c>
      <c r="C5963" s="2">
        <v>0.375</v>
      </c>
      <c r="D5963">
        <v>18.2</v>
      </c>
      <c r="E5963">
        <f>IF($D5963 &gt; 16, 0, $J$3*(16 - $D5963))</f>
        <v>0</v>
      </c>
      <c r="F5963">
        <f>IF($D5963 &gt; 16, 0,$E5963*$J$5)</f>
        <v>0</v>
      </c>
      <c r="G5963">
        <f t="shared" si="93"/>
        <v>0</v>
      </c>
    </row>
    <row r="5964" spans="2:7" x14ac:dyDescent="0.35">
      <c r="B5964" s="1">
        <v>45906</v>
      </c>
      <c r="C5964" s="2">
        <v>0.41666666666666669</v>
      </c>
      <c r="D5964">
        <v>18.899999999999999</v>
      </c>
      <c r="E5964">
        <f>IF($D5964 &gt; 16, 0, $J$3*(16 - $D5964))</f>
        <v>0</v>
      </c>
      <c r="F5964">
        <f>IF($D5964 &gt; 16, 0,$E5964*$J$5)</f>
        <v>0</v>
      </c>
      <c r="G5964">
        <f t="shared" si="93"/>
        <v>0</v>
      </c>
    </row>
    <row r="5965" spans="2:7" x14ac:dyDescent="0.35">
      <c r="B5965" s="1">
        <v>45906</v>
      </c>
      <c r="C5965" s="2">
        <v>0.45833333333333331</v>
      </c>
      <c r="D5965">
        <v>19.899999999999999</v>
      </c>
      <c r="E5965">
        <f>IF($D5965 &gt; 16, 0, $J$3*(16 - $D5965))</f>
        <v>0</v>
      </c>
      <c r="F5965">
        <f>IF($D5965 &gt; 16, 0,$E5965*$J$5)</f>
        <v>0</v>
      </c>
      <c r="G5965">
        <f t="shared" si="93"/>
        <v>0</v>
      </c>
    </row>
    <row r="5966" spans="2:7" x14ac:dyDescent="0.35">
      <c r="B5966" s="1">
        <v>45906</v>
      </c>
      <c r="C5966" s="2">
        <v>0.5</v>
      </c>
      <c r="D5966">
        <v>19.5</v>
      </c>
      <c r="E5966">
        <f>IF($D5966 &gt; 16, 0, $J$3*(16 - $D5966))</f>
        <v>0</v>
      </c>
      <c r="F5966">
        <f>IF($D5966 &gt; 16, 0,$E5966*$J$5)</f>
        <v>0</v>
      </c>
      <c r="G5966">
        <f t="shared" si="93"/>
        <v>0</v>
      </c>
    </row>
    <row r="5967" spans="2:7" x14ac:dyDescent="0.35">
      <c r="B5967" s="1">
        <v>45906</v>
      </c>
      <c r="C5967" s="2">
        <v>0.54166666666666663</v>
      </c>
      <c r="D5967">
        <v>19.7</v>
      </c>
      <c r="E5967">
        <f>IF($D5967 &gt; 16, 0, $J$3*(16 - $D5967))</f>
        <v>0</v>
      </c>
      <c r="F5967">
        <f>IF($D5967 &gt; 16, 0,$E5967*$J$5)</f>
        <v>0</v>
      </c>
      <c r="G5967">
        <f t="shared" si="93"/>
        <v>0</v>
      </c>
    </row>
    <row r="5968" spans="2:7" x14ac:dyDescent="0.35">
      <c r="B5968" s="1">
        <v>45906</v>
      </c>
      <c r="C5968" s="2">
        <v>0.58333333333333337</v>
      </c>
      <c r="D5968">
        <v>21.1</v>
      </c>
      <c r="E5968">
        <f>IF($D5968 &gt; 16, 0, $J$3*(16 - $D5968))</f>
        <v>0</v>
      </c>
      <c r="F5968">
        <f>IF($D5968 &gt; 16, 0,$E5968*$J$5)</f>
        <v>0</v>
      </c>
      <c r="G5968">
        <f t="shared" si="93"/>
        <v>0</v>
      </c>
    </row>
    <row r="5969" spans="2:7" x14ac:dyDescent="0.35">
      <c r="B5969" s="1">
        <v>45906</v>
      </c>
      <c r="C5969" s="2">
        <v>0.625</v>
      </c>
      <c r="D5969">
        <v>22</v>
      </c>
      <c r="E5969">
        <f>IF($D5969 &gt; 16, 0, $J$3*(16 - $D5969))</f>
        <v>0</v>
      </c>
      <c r="F5969">
        <f>IF($D5969 &gt; 16, 0,$E5969*$J$5)</f>
        <v>0</v>
      </c>
      <c r="G5969">
        <f t="shared" si="93"/>
        <v>0</v>
      </c>
    </row>
    <row r="5970" spans="2:7" x14ac:dyDescent="0.35">
      <c r="B5970" s="1">
        <v>45906</v>
      </c>
      <c r="C5970" s="2">
        <v>0.66666666666666663</v>
      </c>
      <c r="D5970">
        <v>22</v>
      </c>
      <c r="E5970">
        <f>IF($D5970 &gt; 16, 0, $J$3*(16 - $D5970))</f>
        <v>0</v>
      </c>
      <c r="F5970">
        <f>IF($D5970 &gt; 16, 0,$E5970*$J$5)</f>
        <v>0</v>
      </c>
      <c r="G5970">
        <f t="shared" si="93"/>
        <v>0</v>
      </c>
    </row>
    <row r="5971" spans="2:7" x14ac:dyDescent="0.35">
      <c r="B5971" s="1">
        <v>45906</v>
      </c>
      <c r="C5971" s="2">
        <v>0.70833333333333337</v>
      </c>
      <c r="D5971">
        <v>20.5</v>
      </c>
      <c r="E5971">
        <f>IF($D5971 &gt; 16, 0, $J$3*(16 - $D5971))</f>
        <v>0</v>
      </c>
      <c r="F5971">
        <f>IF($D5971 &gt; 16, 0,$E5971*$J$5)</f>
        <v>0</v>
      </c>
      <c r="G5971">
        <f t="shared" si="93"/>
        <v>0</v>
      </c>
    </row>
    <row r="5972" spans="2:7" x14ac:dyDescent="0.35">
      <c r="B5972" s="1">
        <v>45906</v>
      </c>
      <c r="C5972" s="2">
        <v>0.75</v>
      </c>
      <c r="D5972">
        <v>18.3</v>
      </c>
      <c r="E5972">
        <f>IF($D5972 &gt; 16, 0, $J$3*(16 - $D5972))</f>
        <v>0</v>
      </c>
      <c r="F5972">
        <f>IF($D5972 &gt; 16, 0,$E5972*$J$5)</f>
        <v>0</v>
      </c>
      <c r="G5972">
        <f t="shared" si="93"/>
        <v>0</v>
      </c>
    </row>
    <row r="5973" spans="2:7" x14ac:dyDescent="0.35">
      <c r="B5973" s="1">
        <v>45906</v>
      </c>
      <c r="C5973" s="2">
        <v>0.79166666666666663</v>
      </c>
      <c r="D5973">
        <v>16</v>
      </c>
      <c r="E5973">
        <f>IF($D5973 &gt; 16, 0, $J$3*(16 - $D5973))</f>
        <v>0</v>
      </c>
      <c r="F5973">
        <f>IF($D5973 &gt; 16, 0,$E5973*$J$5)</f>
        <v>0</v>
      </c>
      <c r="G5973">
        <f t="shared" si="93"/>
        <v>0</v>
      </c>
    </row>
    <row r="5974" spans="2:7" x14ac:dyDescent="0.35">
      <c r="B5974" s="1">
        <v>45906</v>
      </c>
      <c r="C5974" s="2">
        <v>0.83333333333333337</v>
      </c>
      <c r="D5974">
        <v>15.9</v>
      </c>
      <c r="E5974">
        <f>IF($D5974 &gt; 16, 0, $J$3*(16 - $D5974))</f>
        <v>20.774864270069624</v>
      </c>
      <c r="F5974">
        <f>IF($D5974 &gt; 16, 0,$E5974*$J$5)</f>
        <v>225801.99975138676</v>
      </c>
      <c r="G5974">
        <f t="shared" si="93"/>
        <v>9.9999999999999645E-2</v>
      </c>
    </row>
    <row r="5975" spans="2:7" x14ac:dyDescent="0.35">
      <c r="B5975" s="1">
        <v>45906</v>
      </c>
      <c r="C5975" s="2">
        <v>0.875</v>
      </c>
      <c r="D5975">
        <v>13.8</v>
      </c>
      <c r="E5975">
        <f>IF($D5975 &gt; 16, 0, $J$3*(16 - $D5975))</f>
        <v>457.04701394153324</v>
      </c>
      <c r="F5975">
        <f>IF($D5975 &gt; 16, 0,$E5975*$J$5)</f>
        <v>4967643.9945305251</v>
      </c>
      <c r="G5975">
        <f t="shared" si="93"/>
        <v>2.1999999999999993</v>
      </c>
    </row>
    <row r="5976" spans="2:7" x14ac:dyDescent="0.35">
      <c r="B5976" s="1">
        <v>45906</v>
      </c>
      <c r="C5976" s="2">
        <v>0.91666666666666663</v>
      </c>
      <c r="D5976">
        <v>14.9</v>
      </c>
      <c r="E5976">
        <f>IF($D5976 &gt; 16, 0, $J$3*(16 - $D5976))</f>
        <v>228.52350697076662</v>
      </c>
      <c r="F5976">
        <f>IF($D5976 &gt; 16, 0,$E5976*$J$5)</f>
        <v>2483821.9972652625</v>
      </c>
      <c r="G5976">
        <f t="shared" si="93"/>
        <v>1.0999999999999996</v>
      </c>
    </row>
    <row r="5977" spans="2:7" x14ac:dyDescent="0.35">
      <c r="B5977" s="1">
        <v>45906</v>
      </c>
      <c r="C5977" s="2">
        <v>0.95833333333333337</v>
      </c>
      <c r="D5977">
        <v>14</v>
      </c>
      <c r="E5977">
        <f>IF($D5977 &gt; 16, 0, $J$3*(16 - $D5977))</f>
        <v>415.49728540139398</v>
      </c>
      <c r="F5977">
        <f>IF($D5977 &gt; 16, 0,$E5977*$J$5)</f>
        <v>4516039.9950277507</v>
      </c>
      <c r="G5977">
        <f t="shared" si="93"/>
        <v>2</v>
      </c>
    </row>
    <row r="5978" spans="2:7" x14ac:dyDescent="0.35">
      <c r="B5978" s="1">
        <v>45907</v>
      </c>
      <c r="C5978" s="2">
        <v>0</v>
      </c>
      <c r="D5978">
        <v>12.8</v>
      </c>
      <c r="E5978">
        <f>IF($D5978 &gt; 16, 0, $J$3*(16 - $D5978))</f>
        <v>664.79565664223026</v>
      </c>
      <c r="F5978">
        <f>IF($D5978 &gt; 16, 0,$E5978*$J$5)</f>
        <v>7225663.9920444004</v>
      </c>
      <c r="G5978">
        <f t="shared" si="93"/>
        <v>3.1999999999999993</v>
      </c>
    </row>
    <row r="5979" spans="2:7" x14ac:dyDescent="0.35">
      <c r="B5979" s="1">
        <v>45907</v>
      </c>
      <c r="C5979" s="2">
        <v>4.1666666666666657E-2</v>
      </c>
      <c r="D5979">
        <v>13.2</v>
      </c>
      <c r="E5979">
        <f>IF($D5979 &gt; 16, 0, $J$3*(16 - $D5979))</f>
        <v>581.69619956195174</v>
      </c>
      <c r="F5979">
        <f>IF($D5979 &gt; 16, 0,$E5979*$J$5)</f>
        <v>6322455.9930388536</v>
      </c>
      <c r="G5979">
        <f t="shared" si="93"/>
        <v>2.8000000000000007</v>
      </c>
    </row>
    <row r="5980" spans="2:7" x14ac:dyDescent="0.35">
      <c r="B5980" s="1">
        <v>45907</v>
      </c>
      <c r="C5980" s="2">
        <v>8.3333333333333329E-2</v>
      </c>
      <c r="D5980">
        <v>12.3</v>
      </c>
      <c r="E5980">
        <f>IF($D5980 &gt; 16, 0, $J$3*(16 - $D5980))</f>
        <v>768.66997799257877</v>
      </c>
      <c r="F5980">
        <f>IF($D5980 &gt; 16, 0,$E5980*$J$5)</f>
        <v>8354673.990801339</v>
      </c>
      <c r="G5980">
        <f t="shared" si="93"/>
        <v>3.6999999999999993</v>
      </c>
    </row>
    <row r="5981" spans="2:7" x14ac:dyDescent="0.35">
      <c r="B5981" s="1">
        <v>45907</v>
      </c>
      <c r="C5981" s="2">
        <v>0.125</v>
      </c>
      <c r="D5981">
        <v>11.9</v>
      </c>
      <c r="E5981">
        <f>IF($D5981 &gt; 16, 0, $J$3*(16 - $D5981))</f>
        <v>851.76943507285762</v>
      </c>
      <c r="F5981">
        <f>IF($D5981 &gt; 16, 0,$E5981*$J$5)</f>
        <v>9257881.9898068886</v>
      </c>
      <c r="G5981">
        <f t="shared" si="93"/>
        <v>4.0999999999999996</v>
      </c>
    </row>
    <row r="5982" spans="2:7" x14ac:dyDescent="0.35">
      <c r="B5982" s="1">
        <v>45907</v>
      </c>
      <c r="C5982" s="2">
        <v>0.16666666666666671</v>
      </c>
      <c r="D5982">
        <v>10.9</v>
      </c>
      <c r="E5982">
        <f>IF($D5982 &gt; 16, 0, $J$3*(16 - $D5982))</f>
        <v>1059.5180777735545</v>
      </c>
      <c r="F5982">
        <f>IF($D5982 &gt; 16, 0,$E5982*$J$5)</f>
        <v>11515901.987320764</v>
      </c>
      <c r="G5982">
        <f t="shared" si="93"/>
        <v>5.0999999999999996</v>
      </c>
    </row>
    <row r="5983" spans="2:7" x14ac:dyDescent="0.35">
      <c r="B5983" s="1">
        <v>45907</v>
      </c>
      <c r="C5983" s="2">
        <v>0.20833333333333329</v>
      </c>
      <c r="D5983">
        <v>12.6</v>
      </c>
      <c r="E5983">
        <f>IF($D5983 &gt; 16, 0, $J$3*(16 - $D5983))</f>
        <v>706.3453851823698</v>
      </c>
      <c r="F5983">
        <f>IF($D5983 &gt; 16, 0,$E5983*$J$5)</f>
        <v>7677267.9915471775</v>
      </c>
      <c r="G5983">
        <f t="shared" si="93"/>
        <v>3.4000000000000004</v>
      </c>
    </row>
    <row r="5984" spans="2:7" x14ac:dyDescent="0.35">
      <c r="B5984" s="1">
        <v>45907</v>
      </c>
      <c r="C5984" s="2">
        <v>0.25</v>
      </c>
      <c r="D5984">
        <v>13.8</v>
      </c>
      <c r="E5984">
        <f>IF($D5984 &gt; 16, 0, $J$3*(16 - $D5984))</f>
        <v>457.04701394153324</v>
      </c>
      <c r="F5984">
        <f>IF($D5984 &gt; 16, 0,$E5984*$J$5)</f>
        <v>4967643.9945305251</v>
      </c>
      <c r="G5984">
        <f t="shared" si="93"/>
        <v>2.1999999999999993</v>
      </c>
    </row>
    <row r="5985" spans="2:7" x14ac:dyDescent="0.35">
      <c r="B5985" s="1">
        <v>45907</v>
      </c>
      <c r="C5985" s="2">
        <v>0.29166666666666669</v>
      </c>
      <c r="D5985">
        <v>15.7</v>
      </c>
      <c r="E5985">
        <f>IF($D5985 &gt; 16, 0, $J$3*(16 - $D5985))</f>
        <v>62.324592810209246</v>
      </c>
      <c r="F5985">
        <f>IF($D5985 &gt; 16, 0,$E5985*$J$5)</f>
        <v>677405.99925416429</v>
      </c>
      <c r="G5985">
        <f t="shared" si="93"/>
        <v>0.30000000000000071</v>
      </c>
    </row>
    <row r="5986" spans="2:7" x14ac:dyDescent="0.35">
      <c r="B5986" s="1">
        <v>45907</v>
      </c>
      <c r="C5986" s="2">
        <v>0.33333333333333331</v>
      </c>
      <c r="D5986">
        <v>18.2</v>
      </c>
      <c r="E5986">
        <f>IF($D5986 &gt; 16, 0, $J$3*(16 - $D5986))</f>
        <v>0</v>
      </c>
      <c r="F5986">
        <f>IF($D5986 &gt; 16, 0,$E5986*$J$5)</f>
        <v>0</v>
      </c>
      <c r="G5986">
        <f t="shared" si="93"/>
        <v>0</v>
      </c>
    </row>
    <row r="5987" spans="2:7" x14ac:dyDescent="0.35">
      <c r="B5987" s="1">
        <v>45907</v>
      </c>
      <c r="C5987" s="2">
        <v>0.375</v>
      </c>
      <c r="D5987">
        <v>20.6</v>
      </c>
      <c r="E5987">
        <f>IF($D5987 &gt; 16, 0, $J$3*(16 - $D5987))</f>
        <v>0</v>
      </c>
      <c r="F5987">
        <f>IF($D5987 &gt; 16, 0,$E5987*$J$5)</f>
        <v>0</v>
      </c>
      <c r="G5987">
        <f t="shared" si="93"/>
        <v>0</v>
      </c>
    </row>
    <row r="5988" spans="2:7" x14ac:dyDescent="0.35">
      <c r="B5988" s="1">
        <v>45907</v>
      </c>
      <c r="C5988" s="2">
        <v>0.41666666666666669</v>
      </c>
      <c r="D5988">
        <v>21.4</v>
      </c>
      <c r="E5988">
        <f>IF($D5988 &gt; 16, 0, $J$3*(16 - $D5988))</f>
        <v>0</v>
      </c>
      <c r="F5988">
        <f>IF($D5988 &gt; 16, 0,$E5988*$J$5)</f>
        <v>0</v>
      </c>
      <c r="G5988">
        <f t="shared" si="93"/>
        <v>0</v>
      </c>
    </row>
    <row r="5989" spans="2:7" x14ac:dyDescent="0.35">
      <c r="B5989" s="1">
        <v>45907</v>
      </c>
      <c r="C5989" s="2">
        <v>0.45833333333333331</v>
      </c>
      <c r="D5989">
        <v>22.3</v>
      </c>
      <c r="E5989">
        <f>IF($D5989 &gt; 16, 0, $J$3*(16 - $D5989))</f>
        <v>0</v>
      </c>
      <c r="F5989">
        <f>IF($D5989 &gt; 16, 0,$E5989*$J$5)</f>
        <v>0</v>
      </c>
      <c r="G5989">
        <f t="shared" si="93"/>
        <v>0</v>
      </c>
    </row>
    <row r="5990" spans="2:7" x14ac:dyDescent="0.35">
      <c r="B5990" s="1">
        <v>45907</v>
      </c>
      <c r="C5990" s="2">
        <v>0.5</v>
      </c>
      <c r="D5990">
        <v>23</v>
      </c>
      <c r="E5990">
        <f>IF($D5990 &gt; 16, 0, $J$3*(16 - $D5990))</f>
        <v>0</v>
      </c>
      <c r="F5990">
        <f>IF($D5990 &gt; 16, 0,$E5990*$J$5)</f>
        <v>0</v>
      </c>
      <c r="G5990">
        <f t="shared" si="93"/>
        <v>0</v>
      </c>
    </row>
    <row r="5991" spans="2:7" x14ac:dyDescent="0.35">
      <c r="B5991" s="1">
        <v>45907</v>
      </c>
      <c r="C5991" s="2">
        <v>0.54166666666666663</v>
      </c>
      <c r="D5991">
        <v>23.3</v>
      </c>
      <c r="E5991">
        <f>IF($D5991 &gt; 16, 0, $J$3*(16 - $D5991))</f>
        <v>0</v>
      </c>
      <c r="F5991">
        <f>IF($D5991 &gt; 16, 0,$E5991*$J$5)</f>
        <v>0</v>
      </c>
      <c r="G5991">
        <f t="shared" si="93"/>
        <v>0</v>
      </c>
    </row>
    <row r="5992" spans="2:7" x14ac:dyDescent="0.35">
      <c r="B5992" s="1">
        <v>45907</v>
      </c>
      <c r="C5992" s="2">
        <v>0.58333333333333337</v>
      </c>
      <c r="D5992">
        <v>23.5</v>
      </c>
      <c r="E5992">
        <f>IF($D5992 &gt; 16, 0, $J$3*(16 - $D5992))</f>
        <v>0</v>
      </c>
      <c r="F5992">
        <f>IF($D5992 &gt; 16, 0,$E5992*$J$5)</f>
        <v>0</v>
      </c>
      <c r="G5992">
        <f t="shared" si="93"/>
        <v>0</v>
      </c>
    </row>
    <row r="5993" spans="2:7" x14ac:dyDescent="0.35">
      <c r="B5993" s="1">
        <v>45907</v>
      </c>
      <c r="C5993" s="2">
        <v>0.625</v>
      </c>
      <c r="D5993">
        <v>23.5</v>
      </c>
      <c r="E5993">
        <f>IF($D5993 &gt; 16, 0, $J$3*(16 - $D5993))</f>
        <v>0</v>
      </c>
      <c r="F5993">
        <f>IF($D5993 &gt; 16, 0,$E5993*$J$5)</f>
        <v>0</v>
      </c>
      <c r="G5993">
        <f t="shared" si="93"/>
        <v>0</v>
      </c>
    </row>
    <row r="5994" spans="2:7" x14ac:dyDescent="0.35">
      <c r="B5994" s="1">
        <v>45907</v>
      </c>
      <c r="C5994" s="2">
        <v>0.66666666666666663</v>
      </c>
      <c r="D5994">
        <v>22.8</v>
      </c>
      <c r="E5994">
        <f>IF($D5994 &gt; 16, 0, $J$3*(16 - $D5994))</f>
        <v>0</v>
      </c>
      <c r="F5994">
        <f>IF($D5994 &gt; 16, 0,$E5994*$J$5)</f>
        <v>0</v>
      </c>
      <c r="G5994">
        <f t="shared" si="93"/>
        <v>0</v>
      </c>
    </row>
    <row r="5995" spans="2:7" x14ac:dyDescent="0.35">
      <c r="B5995" s="1">
        <v>45907</v>
      </c>
      <c r="C5995" s="2">
        <v>0.70833333333333337</v>
      </c>
      <c r="D5995">
        <v>21.6</v>
      </c>
      <c r="E5995">
        <f>IF($D5995 &gt; 16, 0, $J$3*(16 - $D5995))</f>
        <v>0</v>
      </c>
      <c r="F5995">
        <f>IF($D5995 &gt; 16, 0,$E5995*$J$5)</f>
        <v>0</v>
      </c>
      <c r="G5995">
        <f t="shared" si="93"/>
        <v>0</v>
      </c>
    </row>
    <row r="5996" spans="2:7" x14ac:dyDescent="0.35">
      <c r="B5996" s="1">
        <v>45907</v>
      </c>
      <c r="C5996" s="2">
        <v>0.75</v>
      </c>
      <c r="D5996">
        <v>20.100000000000001</v>
      </c>
      <c r="E5996">
        <f>IF($D5996 &gt; 16, 0, $J$3*(16 - $D5996))</f>
        <v>0</v>
      </c>
      <c r="F5996">
        <f>IF($D5996 &gt; 16, 0,$E5996*$J$5)</f>
        <v>0</v>
      </c>
      <c r="G5996">
        <f t="shared" si="93"/>
        <v>0</v>
      </c>
    </row>
    <row r="5997" spans="2:7" x14ac:dyDescent="0.35">
      <c r="B5997" s="1">
        <v>45907</v>
      </c>
      <c r="C5997" s="2">
        <v>0.79166666666666663</v>
      </c>
      <c r="D5997">
        <v>19</v>
      </c>
      <c r="E5997">
        <f>IF($D5997 &gt; 16, 0, $J$3*(16 - $D5997))</f>
        <v>0</v>
      </c>
      <c r="F5997">
        <f>IF($D5997 &gt; 16, 0,$E5997*$J$5)</f>
        <v>0</v>
      </c>
      <c r="G5997">
        <f t="shared" si="93"/>
        <v>0</v>
      </c>
    </row>
    <row r="5998" spans="2:7" x14ac:dyDescent="0.35">
      <c r="B5998" s="1">
        <v>45907</v>
      </c>
      <c r="C5998" s="2">
        <v>0.83333333333333337</v>
      </c>
      <c r="D5998">
        <v>17.3</v>
      </c>
      <c r="E5998">
        <f>IF($D5998 &gt; 16, 0, $J$3*(16 - $D5998))</f>
        <v>0</v>
      </c>
      <c r="F5998">
        <f>IF($D5998 &gt; 16, 0,$E5998*$J$5)</f>
        <v>0</v>
      </c>
      <c r="G5998">
        <f t="shared" si="93"/>
        <v>0</v>
      </c>
    </row>
    <row r="5999" spans="2:7" x14ac:dyDescent="0.35">
      <c r="B5999" s="1">
        <v>45907</v>
      </c>
      <c r="C5999" s="2">
        <v>0.875</v>
      </c>
      <c r="D5999">
        <v>16.899999999999999</v>
      </c>
      <c r="E5999">
        <f>IF($D5999 &gt; 16, 0, $J$3*(16 - $D5999))</f>
        <v>0</v>
      </c>
      <c r="F5999">
        <f>IF($D5999 &gt; 16, 0,$E5999*$J$5)</f>
        <v>0</v>
      </c>
      <c r="G5999">
        <f t="shared" si="93"/>
        <v>0</v>
      </c>
    </row>
    <row r="6000" spans="2:7" x14ac:dyDescent="0.35">
      <c r="B6000" s="1">
        <v>45907</v>
      </c>
      <c r="C6000" s="2">
        <v>0.91666666666666663</v>
      </c>
      <c r="D6000">
        <v>15.7</v>
      </c>
      <c r="E6000">
        <f>IF($D6000 &gt; 16, 0, $J$3*(16 - $D6000))</f>
        <v>62.324592810209246</v>
      </c>
      <c r="F6000">
        <f>IF($D6000 &gt; 16, 0,$E6000*$J$5)</f>
        <v>677405.99925416429</v>
      </c>
      <c r="G6000">
        <f t="shared" si="93"/>
        <v>0.30000000000000071</v>
      </c>
    </row>
    <row r="6001" spans="2:7" x14ac:dyDescent="0.35">
      <c r="B6001" s="1">
        <v>45907</v>
      </c>
      <c r="C6001" s="2">
        <v>0.95833333333333337</v>
      </c>
      <c r="D6001">
        <v>15.6</v>
      </c>
      <c r="E6001">
        <f>IF($D6001 &gt; 16, 0, $J$3*(16 - $D6001))</f>
        <v>83.099457080278867</v>
      </c>
      <c r="F6001">
        <f>IF($D6001 &gt; 16, 0,$E6001*$J$5)</f>
        <v>903207.99900555098</v>
      </c>
      <c r="G6001">
        <f t="shared" si="93"/>
        <v>0.40000000000000036</v>
      </c>
    </row>
    <row r="6002" spans="2:7" x14ac:dyDescent="0.35">
      <c r="B6002" s="1">
        <v>45908</v>
      </c>
      <c r="C6002" s="2">
        <v>0</v>
      </c>
      <c r="D6002">
        <v>14.6</v>
      </c>
      <c r="E6002">
        <f>IF($D6002 &gt; 16, 0, $J$3*(16 - $D6002))</f>
        <v>290.84809978097587</v>
      </c>
      <c r="F6002">
        <f>IF($D6002 &gt; 16, 0,$E6002*$J$5)</f>
        <v>3161227.9965194268</v>
      </c>
      <c r="G6002">
        <f t="shared" si="93"/>
        <v>1.4000000000000004</v>
      </c>
    </row>
    <row r="6003" spans="2:7" x14ac:dyDescent="0.35">
      <c r="B6003" s="1">
        <v>45908</v>
      </c>
      <c r="C6003" s="2">
        <v>4.1666666666666657E-2</v>
      </c>
      <c r="D6003">
        <v>14.2</v>
      </c>
      <c r="E6003">
        <f>IF($D6003 &gt; 16, 0, $J$3*(16 - $D6003))</f>
        <v>373.94755686125472</v>
      </c>
      <c r="F6003">
        <f>IF($D6003 &gt; 16, 0,$E6003*$J$5)</f>
        <v>4064435.9955249778</v>
      </c>
      <c r="G6003">
        <f t="shared" si="93"/>
        <v>1.8000000000000007</v>
      </c>
    </row>
    <row r="6004" spans="2:7" x14ac:dyDescent="0.35">
      <c r="B6004" s="1">
        <v>45908</v>
      </c>
      <c r="C6004" s="2">
        <v>8.3333333333333329E-2</v>
      </c>
      <c r="D6004">
        <v>13.6</v>
      </c>
      <c r="E6004">
        <f>IF($D6004 &gt; 16, 0, $J$3*(16 - $D6004))</f>
        <v>498.59674248167283</v>
      </c>
      <c r="F6004">
        <f>IF($D6004 &gt; 16, 0,$E6004*$J$5)</f>
        <v>5419247.9940333022</v>
      </c>
      <c r="G6004">
        <f t="shared" si="93"/>
        <v>2.4000000000000004</v>
      </c>
    </row>
    <row r="6005" spans="2:7" x14ac:dyDescent="0.35">
      <c r="B6005" s="1">
        <v>45908</v>
      </c>
      <c r="C6005" s="2">
        <v>0.125</v>
      </c>
      <c r="D6005">
        <v>13</v>
      </c>
      <c r="E6005">
        <f>IF($D6005 &gt; 16, 0, $J$3*(16 - $D6005))</f>
        <v>623.24592810209094</v>
      </c>
      <c r="F6005">
        <f>IF($D6005 &gt; 16, 0,$E6005*$J$5)</f>
        <v>6774059.9925416261</v>
      </c>
      <c r="G6005">
        <f t="shared" si="93"/>
        <v>3</v>
      </c>
    </row>
    <row r="6006" spans="2:7" x14ac:dyDescent="0.35">
      <c r="B6006" s="1">
        <v>45908</v>
      </c>
      <c r="C6006" s="2">
        <v>0.16666666666666671</v>
      </c>
      <c r="D6006">
        <v>12.9</v>
      </c>
      <c r="E6006">
        <f>IF($D6006 &gt; 16, 0, $J$3*(16 - $D6006))</f>
        <v>644.0207923721606</v>
      </c>
      <c r="F6006">
        <f>IF($D6006 &gt; 16, 0,$E6006*$J$5)</f>
        <v>6999861.9922930133</v>
      </c>
      <c r="G6006">
        <f t="shared" si="93"/>
        <v>3.0999999999999996</v>
      </c>
    </row>
    <row r="6007" spans="2:7" x14ac:dyDescent="0.35">
      <c r="B6007" s="1">
        <v>45908</v>
      </c>
      <c r="C6007" s="2">
        <v>0.20833333333333329</v>
      </c>
      <c r="D6007">
        <v>12.7</v>
      </c>
      <c r="E6007">
        <f>IF($D6007 &gt; 16, 0, $J$3*(16 - $D6007))</f>
        <v>685.57052091230025</v>
      </c>
      <c r="F6007">
        <f>IF($D6007 &gt; 16, 0,$E6007*$J$5)</f>
        <v>7451465.9917957913</v>
      </c>
      <c r="G6007">
        <f t="shared" si="93"/>
        <v>3.3000000000000007</v>
      </c>
    </row>
    <row r="6008" spans="2:7" x14ac:dyDescent="0.35">
      <c r="B6008" s="1">
        <v>45908</v>
      </c>
      <c r="C6008" s="2">
        <v>0.25</v>
      </c>
      <c r="D6008">
        <v>13.7</v>
      </c>
      <c r="E6008">
        <f>IF($D6008 &gt; 16, 0, $J$3*(16 - $D6008))</f>
        <v>477.82187821160323</v>
      </c>
      <c r="F6008">
        <f>IF($D6008 &gt; 16, 0,$E6008*$J$5)</f>
        <v>5193445.9942819159</v>
      </c>
      <c r="G6008">
        <f t="shared" si="93"/>
        <v>2.3000000000000007</v>
      </c>
    </row>
    <row r="6009" spans="2:7" x14ac:dyDescent="0.35">
      <c r="B6009" s="1">
        <v>45908</v>
      </c>
      <c r="C6009" s="2">
        <v>0.29166666666666669</v>
      </c>
      <c r="D6009">
        <v>15.7</v>
      </c>
      <c r="E6009">
        <f>IF($D6009 &gt; 16, 0, $J$3*(16 - $D6009))</f>
        <v>62.324592810209246</v>
      </c>
      <c r="F6009">
        <f>IF($D6009 &gt; 16, 0,$E6009*$J$5)</f>
        <v>677405.99925416429</v>
      </c>
      <c r="G6009">
        <f t="shared" si="93"/>
        <v>0.30000000000000071</v>
      </c>
    </row>
    <row r="6010" spans="2:7" x14ac:dyDescent="0.35">
      <c r="B6010" s="1">
        <v>45908</v>
      </c>
      <c r="C6010" s="2">
        <v>0.33333333333333331</v>
      </c>
      <c r="D6010">
        <v>18</v>
      </c>
      <c r="E6010">
        <f>IF($D6010 &gt; 16, 0, $J$3*(16 - $D6010))</f>
        <v>0</v>
      </c>
      <c r="F6010">
        <f>IF($D6010 &gt; 16, 0,$E6010*$J$5)</f>
        <v>0</v>
      </c>
      <c r="G6010">
        <f t="shared" si="93"/>
        <v>0</v>
      </c>
    </row>
    <row r="6011" spans="2:7" x14ac:dyDescent="0.35">
      <c r="B6011" s="1">
        <v>45908</v>
      </c>
      <c r="C6011" s="2">
        <v>0.375</v>
      </c>
      <c r="D6011">
        <v>20.6</v>
      </c>
      <c r="E6011">
        <f>IF($D6011 &gt; 16, 0, $J$3*(16 - $D6011))</f>
        <v>0</v>
      </c>
      <c r="F6011">
        <f>IF($D6011 &gt; 16, 0,$E6011*$J$5)</f>
        <v>0</v>
      </c>
      <c r="G6011">
        <f t="shared" si="93"/>
        <v>0</v>
      </c>
    </row>
    <row r="6012" spans="2:7" x14ac:dyDescent="0.35">
      <c r="B6012" s="1">
        <v>45908</v>
      </c>
      <c r="C6012" s="2">
        <v>0.41666666666666669</v>
      </c>
      <c r="D6012">
        <v>21.7</v>
      </c>
      <c r="E6012">
        <f>IF($D6012 &gt; 16, 0, $J$3*(16 - $D6012))</f>
        <v>0</v>
      </c>
      <c r="F6012">
        <f>IF($D6012 &gt; 16, 0,$E6012*$J$5)</f>
        <v>0</v>
      </c>
      <c r="G6012">
        <f t="shared" si="93"/>
        <v>0</v>
      </c>
    </row>
    <row r="6013" spans="2:7" x14ac:dyDescent="0.35">
      <c r="B6013" s="1">
        <v>45908</v>
      </c>
      <c r="C6013" s="2">
        <v>0.45833333333333331</v>
      </c>
      <c r="D6013">
        <v>23.2</v>
      </c>
      <c r="E6013">
        <f>IF($D6013 &gt; 16, 0, $J$3*(16 - $D6013))</f>
        <v>0</v>
      </c>
      <c r="F6013">
        <f>IF($D6013 &gt; 16, 0,$E6013*$J$5)</f>
        <v>0</v>
      </c>
      <c r="G6013">
        <f t="shared" si="93"/>
        <v>0</v>
      </c>
    </row>
    <row r="6014" spans="2:7" x14ac:dyDescent="0.35">
      <c r="B6014" s="1">
        <v>45908</v>
      </c>
      <c r="C6014" s="2">
        <v>0.5</v>
      </c>
      <c r="D6014">
        <v>23.2</v>
      </c>
      <c r="E6014">
        <f>IF($D6014 &gt; 16, 0, $J$3*(16 - $D6014))</f>
        <v>0</v>
      </c>
      <c r="F6014">
        <f>IF($D6014 &gt; 16, 0,$E6014*$J$5)</f>
        <v>0</v>
      </c>
      <c r="G6014">
        <f t="shared" si="93"/>
        <v>0</v>
      </c>
    </row>
    <row r="6015" spans="2:7" x14ac:dyDescent="0.35">
      <c r="B6015" s="1">
        <v>45908</v>
      </c>
      <c r="C6015" s="2">
        <v>0.54166666666666663</v>
      </c>
      <c r="D6015">
        <v>23.6</v>
      </c>
      <c r="E6015">
        <f>IF($D6015 &gt; 16, 0, $J$3*(16 - $D6015))</f>
        <v>0</v>
      </c>
      <c r="F6015">
        <f>IF($D6015 &gt; 16, 0,$E6015*$J$5)</f>
        <v>0</v>
      </c>
      <c r="G6015">
        <f t="shared" si="93"/>
        <v>0</v>
      </c>
    </row>
    <row r="6016" spans="2:7" x14ac:dyDescent="0.35">
      <c r="B6016" s="1">
        <v>45908</v>
      </c>
      <c r="C6016" s="2">
        <v>0.58333333333333337</v>
      </c>
      <c r="D6016">
        <v>23.4</v>
      </c>
      <c r="E6016">
        <f>IF($D6016 &gt; 16, 0, $J$3*(16 - $D6016))</f>
        <v>0</v>
      </c>
      <c r="F6016">
        <f>IF($D6016 &gt; 16, 0,$E6016*$J$5)</f>
        <v>0</v>
      </c>
      <c r="G6016">
        <f t="shared" si="93"/>
        <v>0</v>
      </c>
    </row>
    <row r="6017" spans="2:7" x14ac:dyDescent="0.35">
      <c r="B6017" s="1">
        <v>45908</v>
      </c>
      <c r="C6017" s="2">
        <v>0.625</v>
      </c>
      <c r="D6017">
        <v>23.4</v>
      </c>
      <c r="E6017">
        <f>IF($D6017 &gt; 16, 0, $J$3*(16 - $D6017))</f>
        <v>0</v>
      </c>
      <c r="F6017">
        <f>IF($D6017 &gt; 16, 0,$E6017*$J$5)</f>
        <v>0</v>
      </c>
      <c r="G6017">
        <f t="shared" si="93"/>
        <v>0</v>
      </c>
    </row>
    <row r="6018" spans="2:7" x14ac:dyDescent="0.35">
      <c r="B6018" s="1">
        <v>45908</v>
      </c>
      <c r="C6018" s="2">
        <v>0.66666666666666663</v>
      </c>
      <c r="D6018">
        <v>22.9</v>
      </c>
      <c r="E6018">
        <f>IF($D6018 &gt; 16, 0, $J$3*(16 - $D6018))</f>
        <v>0</v>
      </c>
      <c r="F6018">
        <f>IF($D6018 &gt; 16, 0,$E6018*$J$5)</f>
        <v>0</v>
      </c>
      <c r="G6018">
        <f t="shared" si="93"/>
        <v>0</v>
      </c>
    </row>
    <row r="6019" spans="2:7" x14ac:dyDescent="0.35">
      <c r="B6019" s="1">
        <v>45908</v>
      </c>
      <c r="C6019" s="2">
        <v>0.70833333333333337</v>
      </c>
      <c r="D6019">
        <v>21.6</v>
      </c>
      <c r="E6019">
        <f>IF($D6019 &gt; 16, 0, $J$3*(16 - $D6019))</f>
        <v>0</v>
      </c>
      <c r="F6019">
        <f>IF($D6019 &gt; 16, 0,$E6019*$J$5)</f>
        <v>0</v>
      </c>
      <c r="G6019">
        <f t="shared" ref="G6019:G6082" si="94">MAX(0, 16 - $D6019)</f>
        <v>0</v>
      </c>
    </row>
    <row r="6020" spans="2:7" x14ac:dyDescent="0.35">
      <c r="B6020" s="1">
        <v>45908</v>
      </c>
      <c r="C6020" s="2">
        <v>0.75</v>
      </c>
      <c r="D6020">
        <v>20.8</v>
      </c>
      <c r="E6020">
        <f>IF($D6020 &gt; 16, 0, $J$3*(16 - $D6020))</f>
        <v>0</v>
      </c>
      <c r="F6020">
        <f>IF($D6020 &gt; 16, 0,$E6020*$J$5)</f>
        <v>0</v>
      </c>
      <c r="G6020">
        <f t="shared" si="94"/>
        <v>0</v>
      </c>
    </row>
    <row r="6021" spans="2:7" x14ac:dyDescent="0.35">
      <c r="B6021" s="1">
        <v>45908</v>
      </c>
      <c r="C6021" s="2">
        <v>0.79166666666666663</v>
      </c>
      <c r="D6021">
        <v>19.100000000000001</v>
      </c>
      <c r="E6021">
        <f>IF($D6021 &gt; 16, 0, $J$3*(16 - $D6021))</f>
        <v>0</v>
      </c>
      <c r="F6021">
        <f>IF($D6021 &gt; 16, 0,$E6021*$J$5)</f>
        <v>0</v>
      </c>
      <c r="G6021">
        <f t="shared" si="94"/>
        <v>0</v>
      </c>
    </row>
    <row r="6022" spans="2:7" x14ac:dyDescent="0.35">
      <c r="B6022" s="1">
        <v>45908</v>
      </c>
      <c r="C6022" s="2">
        <v>0.83333333333333337</v>
      </c>
      <c r="D6022">
        <v>18.399999999999999</v>
      </c>
      <c r="E6022">
        <f>IF($D6022 &gt; 16, 0, $J$3*(16 - $D6022))</f>
        <v>0</v>
      </c>
      <c r="F6022">
        <f>IF($D6022 &gt; 16, 0,$E6022*$J$5)</f>
        <v>0</v>
      </c>
      <c r="G6022">
        <f t="shared" si="94"/>
        <v>0</v>
      </c>
    </row>
    <row r="6023" spans="2:7" x14ac:dyDescent="0.35">
      <c r="B6023" s="1">
        <v>45908</v>
      </c>
      <c r="C6023" s="2">
        <v>0.875</v>
      </c>
      <c r="D6023">
        <v>17.7</v>
      </c>
      <c r="E6023">
        <f>IF($D6023 &gt; 16, 0, $J$3*(16 - $D6023))</f>
        <v>0</v>
      </c>
      <c r="F6023">
        <f>IF($D6023 &gt; 16, 0,$E6023*$J$5)</f>
        <v>0</v>
      </c>
      <c r="G6023">
        <f t="shared" si="94"/>
        <v>0</v>
      </c>
    </row>
    <row r="6024" spans="2:7" x14ac:dyDescent="0.35">
      <c r="B6024" s="1">
        <v>45908</v>
      </c>
      <c r="C6024" s="2">
        <v>0.91666666666666663</v>
      </c>
      <c r="D6024">
        <v>16.399999999999999</v>
      </c>
      <c r="E6024">
        <f>IF($D6024 &gt; 16, 0, $J$3*(16 - $D6024))</f>
        <v>0</v>
      </c>
      <c r="F6024">
        <f>IF($D6024 &gt; 16, 0,$E6024*$J$5)</f>
        <v>0</v>
      </c>
      <c r="G6024">
        <f t="shared" si="94"/>
        <v>0</v>
      </c>
    </row>
    <row r="6025" spans="2:7" x14ac:dyDescent="0.35">
      <c r="B6025" s="1">
        <v>45908</v>
      </c>
      <c r="C6025" s="2">
        <v>0.95833333333333337</v>
      </c>
      <c r="D6025">
        <v>14.3</v>
      </c>
      <c r="E6025">
        <f>IF($D6025 &gt; 16, 0, $J$3*(16 - $D6025))</f>
        <v>353.17269259118473</v>
      </c>
      <c r="F6025">
        <f>IF($D6025 &gt; 16, 0,$E6025*$J$5)</f>
        <v>3838633.9957735869</v>
      </c>
      <c r="G6025">
        <f t="shared" si="94"/>
        <v>1.6999999999999993</v>
      </c>
    </row>
    <row r="6026" spans="2:7" x14ac:dyDescent="0.35">
      <c r="B6026" s="1">
        <v>45909</v>
      </c>
      <c r="C6026" s="2">
        <v>0</v>
      </c>
      <c r="D6026">
        <v>13.6</v>
      </c>
      <c r="E6026">
        <f>IF($D6026 &gt; 16, 0, $J$3*(16 - $D6026))</f>
        <v>498.59674248167283</v>
      </c>
      <c r="F6026">
        <f>IF($D6026 &gt; 16, 0,$E6026*$J$5)</f>
        <v>5419247.9940333022</v>
      </c>
      <c r="G6026">
        <f t="shared" si="94"/>
        <v>2.4000000000000004</v>
      </c>
    </row>
    <row r="6027" spans="2:7" x14ac:dyDescent="0.35">
      <c r="B6027" s="1">
        <v>45909</v>
      </c>
      <c r="C6027" s="2">
        <v>4.1666666666666657E-2</v>
      </c>
      <c r="D6027">
        <v>12.8</v>
      </c>
      <c r="E6027">
        <f>IF($D6027 &gt; 16, 0, $J$3*(16 - $D6027))</f>
        <v>664.79565664223026</v>
      </c>
      <c r="F6027">
        <f>IF($D6027 &gt; 16, 0,$E6027*$J$5)</f>
        <v>7225663.9920444004</v>
      </c>
      <c r="G6027">
        <f t="shared" si="94"/>
        <v>3.1999999999999993</v>
      </c>
    </row>
    <row r="6028" spans="2:7" x14ac:dyDescent="0.35">
      <c r="B6028" s="1">
        <v>45909</v>
      </c>
      <c r="C6028" s="2">
        <v>8.3333333333333329E-2</v>
      </c>
      <c r="D6028">
        <v>12</v>
      </c>
      <c r="E6028">
        <f>IF($D6028 &gt; 16, 0, $J$3*(16 - $D6028))</f>
        <v>830.99457080278796</v>
      </c>
      <c r="F6028">
        <f>IF($D6028 &gt; 16, 0,$E6028*$J$5)</f>
        <v>9032079.9900555015</v>
      </c>
      <c r="G6028">
        <f t="shared" si="94"/>
        <v>4</v>
      </c>
    </row>
    <row r="6029" spans="2:7" x14ac:dyDescent="0.35">
      <c r="B6029" s="1">
        <v>45909</v>
      </c>
      <c r="C6029" s="2">
        <v>0.125</v>
      </c>
      <c r="D6029">
        <v>10.7</v>
      </c>
      <c r="E6029">
        <f>IF($D6029 &gt; 16, 0, $J$3*(16 - $D6029))</f>
        <v>1101.0678063136943</v>
      </c>
      <c r="F6029">
        <f>IF($D6029 &gt; 16, 0,$E6029*$J$5)</f>
        <v>11967505.986823544</v>
      </c>
      <c r="G6029">
        <f t="shared" si="94"/>
        <v>5.3000000000000007</v>
      </c>
    </row>
    <row r="6030" spans="2:7" x14ac:dyDescent="0.35">
      <c r="B6030" s="1">
        <v>45909</v>
      </c>
      <c r="C6030" s="2">
        <v>0.16666666666666671</v>
      </c>
      <c r="D6030">
        <v>10.7</v>
      </c>
      <c r="E6030">
        <f>IF($D6030 &gt; 16, 0, $J$3*(16 - $D6030))</f>
        <v>1101.0678063136943</v>
      </c>
      <c r="F6030">
        <f>IF($D6030 &gt; 16, 0,$E6030*$J$5)</f>
        <v>11967505.986823544</v>
      </c>
      <c r="G6030">
        <f t="shared" si="94"/>
        <v>5.3000000000000007</v>
      </c>
    </row>
    <row r="6031" spans="2:7" x14ac:dyDescent="0.35">
      <c r="B6031" s="1">
        <v>45909</v>
      </c>
      <c r="C6031" s="2">
        <v>0.20833333333333329</v>
      </c>
      <c r="D6031">
        <v>11.4</v>
      </c>
      <c r="E6031">
        <f>IF($D6031 &gt; 16, 0, $J$3*(16 - $D6031))</f>
        <v>955.64375642320613</v>
      </c>
      <c r="F6031">
        <f>IF($D6031 &gt; 16, 0,$E6031*$J$5)</f>
        <v>10386891.988563828</v>
      </c>
      <c r="G6031">
        <f t="shared" si="94"/>
        <v>4.5999999999999996</v>
      </c>
    </row>
    <row r="6032" spans="2:7" x14ac:dyDescent="0.35">
      <c r="B6032" s="1">
        <v>45909</v>
      </c>
      <c r="C6032" s="2">
        <v>0.25</v>
      </c>
      <c r="D6032">
        <v>13.3</v>
      </c>
      <c r="E6032">
        <f>IF($D6032 &gt; 16, 0, $J$3*(16 - $D6032))</f>
        <v>560.92133529188175</v>
      </c>
      <c r="F6032">
        <f>IF($D6032 &gt; 16, 0,$E6032*$J$5)</f>
        <v>6096653.9932874627</v>
      </c>
      <c r="G6032">
        <f t="shared" si="94"/>
        <v>2.6999999999999993</v>
      </c>
    </row>
    <row r="6033" spans="2:7" x14ac:dyDescent="0.35">
      <c r="B6033" s="1">
        <v>45909</v>
      </c>
      <c r="C6033" s="2">
        <v>0.29166666666666669</v>
      </c>
      <c r="D6033">
        <v>16.100000000000001</v>
      </c>
      <c r="E6033">
        <f>IF($D6033 &gt; 16, 0, $J$3*(16 - $D6033))</f>
        <v>0</v>
      </c>
      <c r="F6033">
        <f>IF($D6033 &gt; 16, 0,$E6033*$J$5)</f>
        <v>0</v>
      </c>
      <c r="G6033">
        <f t="shared" si="94"/>
        <v>0</v>
      </c>
    </row>
    <row r="6034" spans="2:7" x14ac:dyDescent="0.35">
      <c r="B6034" s="1">
        <v>45909</v>
      </c>
      <c r="C6034" s="2">
        <v>0.33333333333333331</v>
      </c>
      <c r="D6034">
        <v>17.399999999999999</v>
      </c>
      <c r="E6034">
        <f>IF($D6034 &gt; 16, 0, $J$3*(16 - $D6034))</f>
        <v>0</v>
      </c>
      <c r="F6034">
        <f>IF($D6034 &gt; 16, 0,$E6034*$J$5)</f>
        <v>0</v>
      </c>
      <c r="G6034">
        <f t="shared" si="94"/>
        <v>0</v>
      </c>
    </row>
    <row r="6035" spans="2:7" x14ac:dyDescent="0.35">
      <c r="B6035" s="1">
        <v>45909</v>
      </c>
      <c r="C6035" s="2">
        <v>0.375</v>
      </c>
      <c r="D6035">
        <v>20.8</v>
      </c>
      <c r="E6035">
        <f>IF($D6035 &gt; 16, 0, $J$3*(16 - $D6035))</f>
        <v>0</v>
      </c>
      <c r="F6035">
        <f>IF($D6035 &gt; 16, 0,$E6035*$J$5)</f>
        <v>0</v>
      </c>
      <c r="G6035">
        <f t="shared" si="94"/>
        <v>0</v>
      </c>
    </row>
    <row r="6036" spans="2:7" x14ac:dyDescent="0.35">
      <c r="B6036" s="1">
        <v>45909</v>
      </c>
      <c r="C6036" s="2">
        <v>0.41666666666666669</v>
      </c>
      <c r="D6036">
        <v>21.8</v>
      </c>
      <c r="E6036">
        <f>IF($D6036 &gt; 16, 0, $J$3*(16 - $D6036))</f>
        <v>0</v>
      </c>
      <c r="F6036">
        <f>IF($D6036 &gt; 16, 0,$E6036*$J$5)</f>
        <v>0</v>
      </c>
      <c r="G6036">
        <f t="shared" si="94"/>
        <v>0</v>
      </c>
    </row>
    <row r="6037" spans="2:7" x14ac:dyDescent="0.35">
      <c r="B6037" s="1">
        <v>45909</v>
      </c>
      <c r="C6037" s="2">
        <v>0.45833333333333331</v>
      </c>
      <c r="D6037">
        <v>22.9</v>
      </c>
      <c r="E6037">
        <f>IF($D6037 &gt; 16, 0, $J$3*(16 - $D6037))</f>
        <v>0</v>
      </c>
      <c r="F6037">
        <f>IF($D6037 &gt; 16, 0,$E6037*$J$5)</f>
        <v>0</v>
      </c>
      <c r="G6037">
        <f t="shared" si="94"/>
        <v>0</v>
      </c>
    </row>
    <row r="6038" spans="2:7" x14ac:dyDescent="0.35">
      <c r="B6038" s="1">
        <v>45909</v>
      </c>
      <c r="C6038" s="2">
        <v>0.5</v>
      </c>
      <c r="D6038">
        <v>22.2</v>
      </c>
      <c r="E6038">
        <f>IF($D6038 &gt; 16, 0, $J$3*(16 - $D6038))</f>
        <v>0</v>
      </c>
      <c r="F6038">
        <f>IF($D6038 &gt; 16, 0,$E6038*$J$5)</f>
        <v>0</v>
      </c>
      <c r="G6038">
        <f t="shared" si="94"/>
        <v>0</v>
      </c>
    </row>
    <row r="6039" spans="2:7" x14ac:dyDescent="0.35">
      <c r="B6039" s="1">
        <v>45909</v>
      </c>
      <c r="C6039" s="2">
        <v>0.54166666666666663</v>
      </c>
      <c r="D6039">
        <v>22.3</v>
      </c>
      <c r="E6039">
        <f>IF($D6039 &gt; 16, 0, $J$3*(16 - $D6039))</f>
        <v>0</v>
      </c>
      <c r="F6039">
        <f>IF($D6039 &gt; 16, 0,$E6039*$J$5)</f>
        <v>0</v>
      </c>
      <c r="G6039">
        <f t="shared" si="94"/>
        <v>0</v>
      </c>
    </row>
    <row r="6040" spans="2:7" x14ac:dyDescent="0.35">
      <c r="B6040" s="1">
        <v>45909</v>
      </c>
      <c r="C6040" s="2">
        <v>0.58333333333333337</v>
      </c>
      <c r="D6040">
        <v>22.5</v>
      </c>
      <c r="E6040">
        <f>IF($D6040 &gt; 16, 0, $J$3*(16 - $D6040))</f>
        <v>0</v>
      </c>
      <c r="F6040">
        <f>IF($D6040 &gt; 16, 0,$E6040*$J$5)</f>
        <v>0</v>
      </c>
      <c r="G6040">
        <f t="shared" si="94"/>
        <v>0</v>
      </c>
    </row>
    <row r="6041" spans="2:7" x14ac:dyDescent="0.35">
      <c r="B6041" s="1">
        <v>45909</v>
      </c>
      <c r="C6041" s="2">
        <v>0.625</v>
      </c>
      <c r="D6041">
        <v>22.2</v>
      </c>
      <c r="E6041">
        <f>IF($D6041 &gt; 16, 0, $J$3*(16 - $D6041))</f>
        <v>0</v>
      </c>
      <c r="F6041">
        <f>IF($D6041 &gt; 16, 0,$E6041*$J$5)</f>
        <v>0</v>
      </c>
      <c r="G6041">
        <f t="shared" si="94"/>
        <v>0</v>
      </c>
    </row>
    <row r="6042" spans="2:7" x14ac:dyDescent="0.35">
      <c r="B6042" s="1">
        <v>45909</v>
      </c>
      <c r="C6042" s="2">
        <v>0.66666666666666663</v>
      </c>
      <c r="D6042">
        <v>21.8</v>
      </c>
      <c r="E6042">
        <f>IF($D6042 &gt; 16, 0, $J$3*(16 - $D6042))</f>
        <v>0</v>
      </c>
      <c r="F6042">
        <f>IF($D6042 &gt; 16, 0,$E6042*$J$5)</f>
        <v>0</v>
      </c>
      <c r="G6042">
        <f t="shared" si="94"/>
        <v>0</v>
      </c>
    </row>
    <row r="6043" spans="2:7" x14ac:dyDescent="0.35">
      <c r="B6043" s="1">
        <v>45909</v>
      </c>
      <c r="C6043" s="2">
        <v>0.70833333333333337</v>
      </c>
      <c r="D6043">
        <v>21.1</v>
      </c>
      <c r="E6043">
        <f>IF($D6043 &gt; 16, 0, $J$3*(16 - $D6043))</f>
        <v>0</v>
      </c>
      <c r="F6043">
        <f>IF($D6043 &gt; 16, 0,$E6043*$J$5)</f>
        <v>0</v>
      </c>
      <c r="G6043">
        <f t="shared" si="94"/>
        <v>0</v>
      </c>
    </row>
    <row r="6044" spans="2:7" x14ac:dyDescent="0.35">
      <c r="B6044" s="1">
        <v>45909</v>
      </c>
      <c r="C6044" s="2">
        <v>0.75</v>
      </c>
      <c r="D6044">
        <v>20.100000000000001</v>
      </c>
      <c r="E6044">
        <f>IF($D6044 &gt; 16, 0, $J$3*(16 - $D6044))</f>
        <v>0</v>
      </c>
      <c r="F6044">
        <f>IF($D6044 &gt; 16, 0,$E6044*$J$5)</f>
        <v>0</v>
      </c>
      <c r="G6044">
        <f t="shared" si="94"/>
        <v>0</v>
      </c>
    </row>
    <row r="6045" spans="2:7" x14ac:dyDescent="0.35">
      <c r="B6045" s="1">
        <v>45909</v>
      </c>
      <c r="C6045" s="2">
        <v>0.79166666666666663</v>
      </c>
      <c r="D6045">
        <v>19.8</v>
      </c>
      <c r="E6045">
        <f>IF($D6045 &gt; 16, 0, $J$3*(16 - $D6045))</f>
        <v>0</v>
      </c>
      <c r="F6045">
        <f>IF($D6045 &gt; 16, 0,$E6045*$J$5)</f>
        <v>0</v>
      </c>
      <c r="G6045">
        <f t="shared" si="94"/>
        <v>0</v>
      </c>
    </row>
    <row r="6046" spans="2:7" x14ac:dyDescent="0.35">
      <c r="B6046" s="1">
        <v>45909</v>
      </c>
      <c r="C6046" s="2">
        <v>0.83333333333333337</v>
      </c>
      <c r="D6046">
        <v>18.600000000000001</v>
      </c>
      <c r="E6046">
        <f>IF($D6046 &gt; 16, 0, $J$3*(16 - $D6046))</f>
        <v>0</v>
      </c>
      <c r="F6046">
        <f>IF($D6046 &gt; 16, 0,$E6046*$J$5)</f>
        <v>0</v>
      </c>
      <c r="G6046">
        <f t="shared" si="94"/>
        <v>0</v>
      </c>
    </row>
    <row r="6047" spans="2:7" x14ac:dyDescent="0.35">
      <c r="B6047" s="1">
        <v>45909</v>
      </c>
      <c r="C6047" s="2">
        <v>0.875</v>
      </c>
      <c r="D6047">
        <v>17.5</v>
      </c>
      <c r="E6047">
        <f>IF($D6047 &gt; 16, 0, $J$3*(16 - $D6047))</f>
        <v>0</v>
      </c>
      <c r="F6047">
        <f>IF($D6047 &gt; 16, 0,$E6047*$J$5)</f>
        <v>0</v>
      </c>
      <c r="G6047">
        <f t="shared" si="94"/>
        <v>0</v>
      </c>
    </row>
    <row r="6048" spans="2:7" x14ac:dyDescent="0.35">
      <c r="B6048" s="1">
        <v>45909</v>
      </c>
      <c r="C6048" s="2">
        <v>0.91666666666666663</v>
      </c>
      <c r="D6048">
        <v>17</v>
      </c>
      <c r="E6048">
        <f>IF($D6048 &gt; 16, 0, $J$3*(16 - $D6048))</f>
        <v>0</v>
      </c>
      <c r="F6048">
        <f>IF($D6048 &gt; 16, 0,$E6048*$J$5)</f>
        <v>0</v>
      </c>
      <c r="G6048">
        <f t="shared" si="94"/>
        <v>0</v>
      </c>
    </row>
    <row r="6049" spans="2:7" x14ac:dyDescent="0.35">
      <c r="B6049" s="1">
        <v>45909</v>
      </c>
      <c r="C6049" s="2">
        <v>0.95833333333333337</v>
      </c>
      <c r="D6049">
        <v>16.600000000000001</v>
      </c>
      <c r="E6049">
        <f>IF($D6049 &gt; 16, 0, $J$3*(16 - $D6049))</f>
        <v>0</v>
      </c>
      <c r="F6049">
        <f>IF($D6049 &gt; 16, 0,$E6049*$J$5)</f>
        <v>0</v>
      </c>
      <c r="G6049">
        <f t="shared" si="94"/>
        <v>0</v>
      </c>
    </row>
    <row r="6050" spans="2:7" x14ac:dyDescent="0.35">
      <c r="B6050" s="1">
        <v>45910</v>
      </c>
      <c r="C6050" s="2">
        <v>0</v>
      </c>
      <c r="D6050">
        <v>15.6</v>
      </c>
      <c r="E6050">
        <f>IF($D6050 &gt; 16, 0, $J$3*(16 - $D6050))</f>
        <v>83.099457080278867</v>
      </c>
      <c r="F6050">
        <f>IF($D6050 &gt; 16, 0,$E6050*$J$5)</f>
        <v>903207.99900555098</v>
      </c>
      <c r="G6050">
        <f t="shared" si="94"/>
        <v>0.40000000000000036</v>
      </c>
    </row>
    <row r="6051" spans="2:7" x14ac:dyDescent="0.35">
      <c r="B6051" s="1">
        <v>45910</v>
      </c>
      <c r="C6051" s="2">
        <v>4.1666666666666657E-2</v>
      </c>
      <c r="D6051">
        <v>15.3</v>
      </c>
      <c r="E6051">
        <f>IF($D6051 &gt; 16, 0, $J$3*(16 - $D6051))</f>
        <v>145.42404989048774</v>
      </c>
      <c r="F6051">
        <f>IF($D6051 &gt; 16, 0,$E6051*$J$5)</f>
        <v>1580613.9982597113</v>
      </c>
      <c r="G6051">
        <f t="shared" si="94"/>
        <v>0.69999999999999929</v>
      </c>
    </row>
    <row r="6052" spans="2:7" x14ac:dyDescent="0.35">
      <c r="B6052" s="1">
        <v>45910</v>
      </c>
      <c r="C6052" s="2">
        <v>8.3333333333333329E-2</v>
      </c>
      <c r="D6052">
        <v>15.9</v>
      </c>
      <c r="E6052">
        <f>IF($D6052 &gt; 16, 0, $J$3*(16 - $D6052))</f>
        <v>20.774864270069624</v>
      </c>
      <c r="F6052">
        <f>IF($D6052 &gt; 16, 0,$E6052*$J$5)</f>
        <v>225801.99975138676</v>
      </c>
      <c r="G6052">
        <f t="shared" si="94"/>
        <v>9.9999999999999645E-2</v>
      </c>
    </row>
    <row r="6053" spans="2:7" x14ac:dyDescent="0.35">
      <c r="B6053" s="1">
        <v>45910</v>
      </c>
      <c r="C6053" s="2">
        <v>0.125</v>
      </c>
      <c r="D6053">
        <v>15.7</v>
      </c>
      <c r="E6053">
        <f>IF($D6053 &gt; 16, 0, $J$3*(16 - $D6053))</f>
        <v>62.324592810209246</v>
      </c>
      <c r="F6053">
        <f>IF($D6053 &gt; 16, 0,$E6053*$J$5)</f>
        <v>677405.99925416429</v>
      </c>
      <c r="G6053">
        <f t="shared" si="94"/>
        <v>0.30000000000000071</v>
      </c>
    </row>
    <row r="6054" spans="2:7" x14ac:dyDescent="0.35">
      <c r="B6054" s="1">
        <v>45910</v>
      </c>
      <c r="C6054" s="2">
        <v>0.16666666666666671</v>
      </c>
      <c r="D6054">
        <v>15.4</v>
      </c>
      <c r="E6054">
        <f>IF($D6054 &gt; 16, 0, $J$3*(16 - $D6054))</f>
        <v>124.64918562041812</v>
      </c>
      <c r="F6054">
        <f>IF($D6054 &gt; 16, 0,$E6054*$J$5)</f>
        <v>1354811.9985083246</v>
      </c>
      <c r="G6054">
        <f t="shared" si="94"/>
        <v>0.59999999999999964</v>
      </c>
    </row>
    <row r="6055" spans="2:7" x14ac:dyDescent="0.35">
      <c r="B6055" s="1">
        <v>45910</v>
      </c>
      <c r="C6055" s="2">
        <v>0.20833333333333329</v>
      </c>
      <c r="D6055">
        <v>15.3</v>
      </c>
      <c r="E6055">
        <f>IF($D6055 &gt; 16, 0, $J$3*(16 - $D6055))</f>
        <v>145.42404989048774</v>
      </c>
      <c r="F6055">
        <f>IF($D6055 &gt; 16, 0,$E6055*$J$5)</f>
        <v>1580613.9982597113</v>
      </c>
      <c r="G6055">
        <f t="shared" si="94"/>
        <v>0.69999999999999929</v>
      </c>
    </row>
    <row r="6056" spans="2:7" x14ac:dyDescent="0.35">
      <c r="B6056" s="1">
        <v>45910</v>
      </c>
      <c r="C6056" s="2">
        <v>0.25</v>
      </c>
      <c r="D6056">
        <v>14.9</v>
      </c>
      <c r="E6056">
        <f>IF($D6056 &gt; 16, 0, $J$3*(16 - $D6056))</f>
        <v>228.52350697076662</v>
      </c>
      <c r="F6056">
        <f>IF($D6056 &gt; 16, 0,$E6056*$J$5)</f>
        <v>2483821.9972652625</v>
      </c>
      <c r="G6056">
        <f t="shared" si="94"/>
        <v>1.0999999999999996</v>
      </c>
    </row>
    <row r="6057" spans="2:7" x14ac:dyDescent="0.35">
      <c r="B6057" s="1">
        <v>45910</v>
      </c>
      <c r="C6057" s="2">
        <v>0.29166666666666669</v>
      </c>
      <c r="D6057">
        <v>15</v>
      </c>
      <c r="E6057">
        <f>IF($D6057 &gt; 16, 0, $J$3*(16 - $D6057))</f>
        <v>207.74864270069699</v>
      </c>
      <c r="F6057">
        <f>IF($D6057 &gt; 16, 0,$E6057*$J$5)</f>
        <v>2258019.9975138754</v>
      </c>
      <c r="G6057">
        <f t="shared" si="94"/>
        <v>1</v>
      </c>
    </row>
    <row r="6058" spans="2:7" x14ac:dyDescent="0.35">
      <c r="B6058" s="1">
        <v>45910</v>
      </c>
      <c r="C6058" s="2">
        <v>0.33333333333333331</v>
      </c>
      <c r="D6058">
        <v>15.1</v>
      </c>
      <c r="E6058">
        <f>IF($D6058 &gt; 16, 0, $J$3*(16 - $D6058))</f>
        <v>186.97377843062736</v>
      </c>
      <c r="F6058">
        <f>IF($D6058 &gt; 16, 0,$E6058*$J$5)</f>
        <v>2032217.9977624889</v>
      </c>
      <c r="G6058">
        <f t="shared" si="94"/>
        <v>0.90000000000000036</v>
      </c>
    </row>
    <row r="6059" spans="2:7" x14ac:dyDescent="0.35">
      <c r="B6059" s="1">
        <v>45910</v>
      </c>
      <c r="C6059" s="2">
        <v>0.375</v>
      </c>
      <c r="D6059">
        <v>15.1</v>
      </c>
      <c r="E6059">
        <f>IF($D6059 &gt; 16, 0, $J$3*(16 - $D6059))</f>
        <v>186.97377843062736</v>
      </c>
      <c r="F6059">
        <f>IF($D6059 &gt; 16, 0,$E6059*$J$5)</f>
        <v>2032217.9977624889</v>
      </c>
      <c r="G6059">
        <f t="shared" si="94"/>
        <v>0.90000000000000036</v>
      </c>
    </row>
    <row r="6060" spans="2:7" x14ac:dyDescent="0.35">
      <c r="B6060" s="1">
        <v>45910</v>
      </c>
      <c r="C6060" s="2">
        <v>0.41666666666666669</v>
      </c>
      <c r="D6060">
        <v>15.7</v>
      </c>
      <c r="E6060">
        <f>IF($D6060 &gt; 16, 0, $J$3*(16 - $D6060))</f>
        <v>62.324592810209246</v>
      </c>
      <c r="F6060">
        <f>IF($D6060 &gt; 16, 0,$E6060*$J$5)</f>
        <v>677405.99925416429</v>
      </c>
      <c r="G6060">
        <f t="shared" si="94"/>
        <v>0.30000000000000071</v>
      </c>
    </row>
    <row r="6061" spans="2:7" x14ac:dyDescent="0.35">
      <c r="B6061" s="1">
        <v>45910</v>
      </c>
      <c r="C6061" s="2">
        <v>0.45833333333333331</v>
      </c>
      <c r="D6061">
        <v>17.399999999999999</v>
      </c>
      <c r="E6061">
        <f>IF($D6061 &gt; 16, 0, $J$3*(16 - $D6061))</f>
        <v>0</v>
      </c>
      <c r="F6061">
        <f>IF($D6061 &gt; 16, 0,$E6061*$J$5)</f>
        <v>0</v>
      </c>
      <c r="G6061">
        <f t="shared" si="94"/>
        <v>0</v>
      </c>
    </row>
    <row r="6062" spans="2:7" x14ac:dyDescent="0.35">
      <c r="B6062" s="1">
        <v>45910</v>
      </c>
      <c r="C6062" s="2">
        <v>0.5</v>
      </c>
      <c r="D6062">
        <v>18.8</v>
      </c>
      <c r="E6062">
        <f>IF($D6062 &gt; 16, 0, $J$3*(16 - $D6062))</f>
        <v>0</v>
      </c>
      <c r="F6062">
        <f>IF($D6062 &gt; 16, 0,$E6062*$J$5)</f>
        <v>0</v>
      </c>
      <c r="G6062">
        <f t="shared" si="94"/>
        <v>0</v>
      </c>
    </row>
    <row r="6063" spans="2:7" x14ac:dyDescent="0.35">
      <c r="B6063" s="1">
        <v>45910</v>
      </c>
      <c r="C6063" s="2">
        <v>0.54166666666666663</v>
      </c>
      <c r="D6063">
        <v>19.7</v>
      </c>
      <c r="E6063">
        <f>IF($D6063 &gt; 16, 0, $J$3*(16 - $D6063))</f>
        <v>0</v>
      </c>
      <c r="F6063">
        <f>IF($D6063 &gt; 16, 0,$E6063*$J$5)</f>
        <v>0</v>
      </c>
      <c r="G6063">
        <f t="shared" si="94"/>
        <v>0</v>
      </c>
    </row>
    <row r="6064" spans="2:7" x14ac:dyDescent="0.35">
      <c r="B6064" s="1">
        <v>45910</v>
      </c>
      <c r="C6064" s="2">
        <v>0.58333333333333337</v>
      </c>
      <c r="D6064">
        <v>19.5</v>
      </c>
      <c r="E6064">
        <f>IF($D6064 &gt; 16, 0, $J$3*(16 - $D6064))</f>
        <v>0</v>
      </c>
      <c r="F6064">
        <f>IF($D6064 &gt; 16, 0,$E6064*$J$5)</f>
        <v>0</v>
      </c>
      <c r="G6064">
        <f t="shared" si="94"/>
        <v>0</v>
      </c>
    </row>
    <row r="6065" spans="2:7" x14ac:dyDescent="0.35">
      <c r="B6065" s="1">
        <v>45910</v>
      </c>
      <c r="C6065" s="2">
        <v>0.625</v>
      </c>
      <c r="D6065">
        <v>19.2</v>
      </c>
      <c r="E6065">
        <f>IF($D6065 &gt; 16, 0, $J$3*(16 - $D6065))</f>
        <v>0</v>
      </c>
      <c r="F6065">
        <f>IF($D6065 &gt; 16, 0,$E6065*$J$5)</f>
        <v>0</v>
      </c>
      <c r="G6065">
        <f t="shared" si="94"/>
        <v>0</v>
      </c>
    </row>
    <row r="6066" spans="2:7" x14ac:dyDescent="0.35">
      <c r="B6066" s="1">
        <v>45910</v>
      </c>
      <c r="C6066" s="2">
        <v>0.66666666666666663</v>
      </c>
      <c r="D6066">
        <v>18.5</v>
      </c>
      <c r="E6066">
        <f>IF($D6066 &gt; 16, 0, $J$3*(16 - $D6066))</f>
        <v>0</v>
      </c>
      <c r="F6066">
        <f>IF($D6066 &gt; 16, 0,$E6066*$J$5)</f>
        <v>0</v>
      </c>
      <c r="G6066">
        <f t="shared" si="94"/>
        <v>0</v>
      </c>
    </row>
    <row r="6067" spans="2:7" x14ac:dyDescent="0.35">
      <c r="B6067" s="1">
        <v>45910</v>
      </c>
      <c r="C6067" s="2">
        <v>0.70833333333333337</v>
      </c>
      <c r="D6067">
        <v>18</v>
      </c>
      <c r="E6067">
        <f>IF($D6067 &gt; 16, 0, $J$3*(16 - $D6067))</f>
        <v>0</v>
      </c>
      <c r="F6067">
        <f>IF($D6067 &gt; 16, 0,$E6067*$J$5)</f>
        <v>0</v>
      </c>
      <c r="G6067">
        <f t="shared" si="94"/>
        <v>0</v>
      </c>
    </row>
    <row r="6068" spans="2:7" x14ac:dyDescent="0.35">
      <c r="B6068" s="1">
        <v>45910</v>
      </c>
      <c r="C6068" s="2">
        <v>0.75</v>
      </c>
      <c r="D6068">
        <v>17.600000000000001</v>
      </c>
      <c r="E6068">
        <f>IF($D6068 &gt; 16, 0, $J$3*(16 - $D6068))</f>
        <v>0</v>
      </c>
      <c r="F6068">
        <f>IF($D6068 &gt; 16, 0,$E6068*$J$5)</f>
        <v>0</v>
      </c>
      <c r="G6068">
        <f t="shared" si="94"/>
        <v>0</v>
      </c>
    </row>
    <row r="6069" spans="2:7" x14ac:dyDescent="0.35">
      <c r="B6069" s="1">
        <v>45910</v>
      </c>
      <c r="C6069" s="2">
        <v>0.79166666666666663</v>
      </c>
      <c r="D6069">
        <v>17</v>
      </c>
      <c r="E6069">
        <f>IF($D6069 &gt; 16, 0, $J$3*(16 - $D6069))</f>
        <v>0</v>
      </c>
      <c r="F6069">
        <f>IF($D6069 &gt; 16, 0,$E6069*$J$5)</f>
        <v>0</v>
      </c>
      <c r="G6069">
        <f t="shared" si="94"/>
        <v>0</v>
      </c>
    </row>
    <row r="6070" spans="2:7" x14ac:dyDescent="0.35">
      <c r="B6070" s="1">
        <v>45910</v>
      </c>
      <c r="C6070" s="2">
        <v>0.83333333333333337</v>
      </c>
      <c r="D6070">
        <v>16.600000000000001</v>
      </c>
      <c r="E6070">
        <f>IF($D6070 &gt; 16, 0, $J$3*(16 - $D6070))</f>
        <v>0</v>
      </c>
      <c r="F6070">
        <f>IF($D6070 &gt; 16, 0,$E6070*$J$5)</f>
        <v>0</v>
      </c>
      <c r="G6070">
        <f t="shared" si="94"/>
        <v>0</v>
      </c>
    </row>
    <row r="6071" spans="2:7" x14ac:dyDescent="0.35">
      <c r="B6071" s="1">
        <v>45910</v>
      </c>
      <c r="C6071" s="2">
        <v>0.875</v>
      </c>
      <c r="D6071">
        <v>15.7</v>
      </c>
      <c r="E6071">
        <f>IF($D6071 &gt; 16, 0, $J$3*(16 - $D6071))</f>
        <v>62.324592810209246</v>
      </c>
      <c r="F6071">
        <f>IF($D6071 &gt; 16, 0,$E6071*$J$5)</f>
        <v>677405.99925416429</v>
      </c>
      <c r="G6071">
        <f t="shared" si="94"/>
        <v>0.30000000000000071</v>
      </c>
    </row>
    <row r="6072" spans="2:7" x14ac:dyDescent="0.35">
      <c r="B6072" s="1">
        <v>45910</v>
      </c>
      <c r="C6072" s="2">
        <v>0.91666666666666663</v>
      </c>
      <c r="D6072">
        <v>14.2</v>
      </c>
      <c r="E6072">
        <f>IF($D6072 &gt; 16, 0, $J$3*(16 - $D6072))</f>
        <v>373.94755686125472</v>
      </c>
      <c r="F6072">
        <f>IF($D6072 &gt; 16, 0,$E6072*$J$5)</f>
        <v>4064435.9955249778</v>
      </c>
      <c r="G6072">
        <f t="shared" si="94"/>
        <v>1.8000000000000007</v>
      </c>
    </row>
    <row r="6073" spans="2:7" x14ac:dyDescent="0.35">
      <c r="B6073" s="1">
        <v>45910</v>
      </c>
      <c r="C6073" s="2">
        <v>0.95833333333333337</v>
      </c>
      <c r="D6073">
        <v>12.9</v>
      </c>
      <c r="E6073">
        <f>IF($D6073 &gt; 16, 0, $J$3*(16 - $D6073))</f>
        <v>644.0207923721606</v>
      </c>
      <c r="F6073">
        <f>IF($D6073 &gt; 16, 0,$E6073*$J$5)</f>
        <v>6999861.9922930133</v>
      </c>
      <c r="G6073">
        <f t="shared" si="94"/>
        <v>3.0999999999999996</v>
      </c>
    </row>
    <row r="6074" spans="2:7" x14ac:dyDescent="0.35">
      <c r="B6074" s="1">
        <v>45911</v>
      </c>
      <c r="C6074" s="2">
        <v>0</v>
      </c>
      <c r="D6074">
        <v>12.1</v>
      </c>
      <c r="E6074">
        <f>IF($D6074 &gt; 16, 0, $J$3*(16 - $D6074))</f>
        <v>810.21970653271831</v>
      </c>
      <c r="F6074">
        <f>IF($D6074 &gt; 16, 0,$E6074*$J$5)</f>
        <v>8806277.9903041162</v>
      </c>
      <c r="G6074">
        <f t="shared" si="94"/>
        <v>3.9000000000000004</v>
      </c>
    </row>
    <row r="6075" spans="2:7" x14ac:dyDescent="0.35">
      <c r="B6075" s="1">
        <v>45911</v>
      </c>
      <c r="C6075" s="2">
        <v>4.1666666666666657E-2</v>
      </c>
      <c r="D6075">
        <v>11.8</v>
      </c>
      <c r="E6075">
        <f>IF($D6075 &gt; 16, 0, $J$3*(16 - $D6075))</f>
        <v>872.54429934292716</v>
      </c>
      <c r="F6075">
        <f>IF($D6075 &gt; 16, 0,$E6075*$J$5)</f>
        <v>9483683.9895582758</v>
      </c>
      <c r="G6075">
        <f t="shared" si="94"/>
        <v>4.1999999999999993</v>
      </c>
    </row>
    <row r="6076" spans="2:7" x14ac:dyDescent="0.35">
      <c r="B6076" s="1">
        <v>45911</v>
      </c>
      <c r="C6076" s="2">
        <v>8.3333333333333329E-2</v>
      </c>
      <c r="D6076">
        <v>11.5</v>
      </c>
      <c r="E6076">
        <f>IF($D6076 &gt; 16, 0, $J$3*(16 - $D6076))</f>
        <v>934.86889215313647</v>
      </c>
      <c r="F6076">
        <f>IF($D6076 &gt; 16, 0,$E6076*$J$5)</f>
        <v>10161089.988812441</v>
      </c>
      <c r="G6076">
        <f t="shared" si="94"/>
        <v>4.5</v>
      </c>
    </row>
    <row r="6077" spans="2:7" x14ac:dyDescent="0.35">
      <c r="B6077" s="1">
        <v>45911</v>
      </c>
      <c r="C6077" s="2">
        <v>0.125</v>
      </c>
      <c r="D6077">
        <v>11.4</v>
      </c>
      <c r="E6077">
        <f>IF($D6077 &gt; 16, 0, $J$3*(16 - $D6077))</f>
        <v>955.64375642320613</v>
      </c>
      <c r="F6077">
        <f>IF($D6077 &gt; 16, 0,$E6077*$J$5)</f>
        <v>10386891.988563828</v>
      </c>
      <c r="G6077">
        <f t="shared" si="94"/>
        <v>4.5999999999999996</v>
      </c>
    </row>
    <row r="6078" spans="2:7" x14ac:dyDescent="0.35">
      <c r="B6078" s="1">
        <v>45911</v>
      </c>
      <c r="C6078" s="2">
        <v>0.16666666666666671</v>
      </c>
      <c r="D6078">
        <v>11.2</v>
      </c>
      <c r="E6078">
        <f>IF($D6078 &gt; 16, 0, $J$3*(16 - $D6078))</f>
        <v>997.19348496334567</v>
      </c>
      <c r="F6078">
        <f>IF($D6078 &gt; 16, 0,$E6078*$J$5)</f>
        <v>10838495.988066604</v>
      </c>
      <c r="G6078">
        <f t="shared" si="94"/>
        <v>4.8000000000000007</v>
      </c>
    </row>
    <row r="6079" spans="2:7" x14ac:dyDescent="0.35">
      <c r="B6079" s="1">
        <v>45911</v>
      </c>
      <c r="C6079" s="2">
        <v>0.20833333333333329</v>
      </c>
      <c r="D6079">
        <v>11.5</v>
      </c>
      <c r="E6079">
        <f>IF($D6079 &gt; 16, 0, $J$3*(16 - $D6079))</f>
        <v>934.86889215313647</v>
      </c>
      <c r="F6079">
        <f>IF($D6079 &gt; 16, 0,$E6079*$J$5)</f>
        <v>10161089.988812441</v>
      </c>
      <c r="G6079">
        <f t="shared" si="94"/>
        <v>4.5</v>
      </c>
    </row>
    <row r="6080" spans="2:7" x14ac:dyDescent="0.35">
      <c r="B6080" s="1">
        <v>45911</v>
      </c>
      <c r="C6080" s="2">
        <v>0.25</v>
      </c>
      <c r="D6080">
        <v>12.9</v>
      </c>
      <c r="E6080">
        <f>IF($D6080 &gt; 16, 0, $J$3*(16 - $D6080))</f>
        <v>644.0207923721606</v>
      </c>
      <c r="F6080">
        <f>IF($D6080 &gt; 16, 0,$E6080*$J$5)</f>
        <v>6999861.9922930133</v>
      </c>
      <c r="G6080">
        <f t="shared" si="94"/>
        <v>3.0999999999999996</v>
      </c>
    </row>
    <row r="6081" spans="2:7" x14ac:dyDescent="0.35">
      <c r="B6081" s="1">
        <v>45911</v>
      </c>
      <c r="C6081" s="2">
        <v>0.29166666666666669</v>
      </c>
      <c r="D6081">
        <v>14.1</v>
      </c>
      <c r="E6081">
        <f>IF($D6081 &gt; 16, 0, $J$3*(16 - $D6081))</f>
        <v>394.72242113132438</v>
      </c>
      <c r="F6081">
        <f>IF($D6081 &gt; 16, 0,$E6081*$J$5)</f>
        <v>4290237.9952763645</v>
      </c>
      <c r="G6081">
        <f t="shared" si="94"/>
        <v>1.9000000000000004</v>
      </c>
    </row>
    <row r="6082" spans="2:7" x14ac:dyDescent="0.35">
      <c r="B6082" s="1">
        <v>45911</v>
      </c>
      <c r="C6082" s="2">
        <v>0.33333333333333331</v>
      </c>
      <c r="D6082">
        <v>15.9</v>
      </c>
      <c r="E6082">
        <f>IF($D6082 &gt; 16, 0, $J$3*(16 - $D6082))</f>
        <v>20.774864270069624</v>
      </c>
      <c r="F6082">
        <f>IF($D6082 &gt; 16, 0,$E6082*$J$5)</f>
        <v>225801.99975138676</v>
      </c>
      <c r="G6082">
        <f t="shared" si="94"/>
        <v>9.9999999999999645E-2</v>
      </c>
    </row>
    <row r="6083" spans="2:7" x14ac:dyDescent="0.35">
      <c r="B6083" s="1">
        <v>45911</v>
      </c>
      <c r="C6083" s="2">
        <v>0.375</v>
      </c>
      <c r="D6083">
        <v>19.3</v>
      </c>
      <c r="E6083">
        <f>IF($D6083 &gt; 16, 0, $J$3*(16 - $D6083))</f>
        <v>0</v>
      </c>
      <c r="F6083">
        <f>IF($D6083 &gt; 16, 0,$E6083*$J$5)</f>
        <v>0</v>
      </c>
      <c r="G6083">
        <f t="shared" ref="G6083:G6146" si="95">MAX(0, 16 - $D6083)</f>
        <v>0</v>
      </c>
    </row>
    <row r="6084" spans="2:7" x14ac:dyDescent="0.35">
      <c r="B6084" s="1">
        <v>45911</v>
      </c>
      <c r="C6084" s="2">
        <v>0.41666666666666669</v>
      </c>
      <c r="D6084">
        <v>19</v>
      </c>
      <c r="E6084">
        <f>IF($D6084 &gt; 16, 0, $J$3*(16 - $D6084))</f>
        <v>0</v>
      </c>
      <c r="F6084">
        <f>IF($D6084 &gt; 16, 0,$E6084*$J$5)</f>
        <v>0</v>
      </c>
      <c r="G6084">
        <f t="shared" si="95"/>
        <v>0</v>
      </c>
    </row>
    <row r="6085" spans="2:7" x14ac:dyDescent="0.35">
      <c r="B6085" s="1">
        <v>45911</v>
      </c>
      <c r="C6085" s="2">
        <v>0.45833333333333331</v>
      </c>
      <c r="D6085">
        <v>17.7</v>
      </c>
      <c r="E6085">
        <f>IF($D6085 &gt; 16, 0, $J$3*(16 - $D6085))</f>
        <v>0</v>
      </c>
      <c r="F6085">
        <f>IF($D6085 &gt; 16, 0,$E6085*$J$5)</f>
        <v>0</v>
      </c>
      <c r="G6085">
        <f t="shared" si="95"/>
        <v>0</v>
      </c>
    </row>
    <row r="6086" spans="2:7" x14ac:dyDescent="0.35">
      <c r="B6086" s="1">
        <v>45911</v>
      </c>
      <c r="C6086" s="2">
        <v>0.5</v>
      </c>
      <c r="D6086">
        <v>18.399999999999999</v>
      </c>
      <c r="E6086">
        <f>IF($D6086 &gt; 16, 0, $J$3*(16 - $D6086))</f>
        <v>0</v>
      </c>
      <c r="F6086">
        <f>IF($D6086 &gt; 16, 0,$E6086*$J$5)</f>
        <v>0</v>
      </c>
      <c r="G6086">
        <f t="shared" si="95"/>
        <v>0</v>
      </c>
    </row>
    <row r="6087" spans="2:7" x14ac:dyDescent="0.35">
      <c r="B6087" s="1">
        <v>45911</v>
      </c>
      <c r="C6087" s="2">
        <v>0.54166666666666663</v>
      </c>
      <c r="D6087">
        <v>19.7</v>
      </c>
      <c r="E6087">
        <f>IF($D6087 &gt; 16, 0, $J$3*(16 - $D6087))</f>
        <v>0</v>
      </c>
      <c r="F6087">
        <f>IF($D6087 &gt; 16, 0,$E6087*$J$5)</f>
        <v>0</v>
      </c>
      <c r="G6087">
        <f t="shared" si="95"/>
        <v>0</v>
      </c>
    </row>
    <row r="6088" spans="2:7" x14ac:dyDescent="0.35">
      <c r="B6088" s="1">
        <v>45911</v>
      </c>
      <c r="C6088" s="2">
        <v>0.58333333333333337</v>
      </c>
      <c r="D6088">
        <v>16.2</v>
      </c>
      <c r="E6088">
        <f>IF($D6088 &gt; 16, 0, $J$3*(16 - $D6088))</f>
        <v>0</v>
      </c>
      <c r="F6088">
        <f>IF($D6088 &gt; 16, 0,$E6088*$J$5)</f>
        <v>0</v>
      </c>
      <c r="G6088">
        <f t="shared" si="95"/>
        <v>0</v>
      </c>
    </row>
    <row r="6089" spans="2:7" x14ac:dyDescent="0.35">
      <c r="B6089" s="1">
        <v>45911</v>
      </c>
      <c r="C6089" s="2">
        <v>0.625</v>
      </c>
      <c r="D6089">
        <v>17.899999999999999</v>
      </c>
      <c r="E6089">
        <f>IF($D6089 &gt; 16, 0, $J$3*(16 - $D6089))</f>
        <v>0</v>
      </c>
      <c r="F6089">
        <f>IF($D6089 &gt; 16, 0,$E6089*$J$5)</f>
        <v>0</v>
      </c>
      <c r="G6089">
        <f t="shared" si="95"/>
        <v>0</v>
      </c>
    </row>
    <row r="6090" spans="2:7" x14ac:dyDescent="0.35">
      <c r="B6090" s="1">
        <v>45911</v>
      </c>
      <c r="C6090" s="2">
        <v>0.66666666666666663</v>
      </c>
      <c r="D6090">
        <v>16.8</v>
      </c>
      <c r="E6090">
        <f>IF($D6090 &gt; 16, 0, $J$3*(16 - $D6090))</f>
        <v>0</v>
      </c>
      <c r="F6090">
        <f>IF($D6090 &gt; 16, 0,$E6090*$J$5)</f>
        <v>0</v>
      </c>
      <c r="G6090">
        <f t="shared" si="95"/>
        <v>0</v>
      </c>
    </row>
    <row r="6091" spans="2:7" x14ac:dyDescent="0.35">
      <c r="B6091" s="1">
        <v>45911</v>
      </c>
      <c r="C6091" s="2">
        <v>0.70833333333333337</v>
      </c>
      <c r="D6091">
        <v>15.7</v>
      </c>
      <c r="E6091">
        <f>IF($D6091 &gt; 16, 0, $J$3*(16 - $D6091))</f>
        <v>62.324592810209246</v>
      </c>
      <c r="F6091">
        <f>IF($D6091 &gt; 16, 0,$E6091*$J$5)</f>
        <v>677405.99925416429</v>
      </c>
      <c r="G6091">
        <f t="shared" si="95"/>
        <v>0.30000000000000071</v>
      </c>
    </row>
    <row r="6092" spans="2:7" x14ac:dyDescent="0.35">
      <c r="B6092" s="1">
        <v>45911</v>
      </c>
      <c r="C6092" s="2">
        <v>0.75</v>
      </c>
      <c r="D6092">
        <v>13.7</v>
      </c>
      <c r="E6092">
        <f>IF($D6092 &gt; 16, 0, $J$3*(16 - $D6092))</f>
        <v>477.82187821160323</v>
      </c>
      <c r="F6092">
        <f>IF($D6092 &gt; 16, 0,$E6092*$J$5)</f>
        <v>5193445.9942819159</v>
      </c>
      <c r="G6092">
        <f t="shared" si="95"/>
        <v>2.3000000000000007</v>
      </c>
    </row>
    <row r="6093" spans="2:7" x14ac:dyDescent="0.35">
      <c r="B6093" s="1">
        <v>45911</v>
      </c>
      <c r="C6093" s="2">
        <v>0.79166666666666663</v>
      </c>
      <c r="D6093">
        <v>12.2</v>
      </c>
      <c r="E6093">
        <f>IF($D6093 &gt; 16, 0, $J$3*(16 - $D6093))</f>
        <v>789.44484226264876</v>
      </c>
      <c r="F6093">
        <f>IF($D6093 &gt; 16, 0,$E6093*$J$5)</f>
        <v>8580475.990552729</v>
      </c>
      <c r="G6093">
        <f t="shared" si="95"/>
        <v>3.8000000000000007</v>
      </c>
    </row>
    <row r="6094" spans="2:7" x14ac:dyDescent="0.35">
      <c r="B6094" s="1">
        <v>45911</v>
      </c>
      <c r="C6094" s="2">
        <v>0.83333333333333337</v>
      </c>
      <c r="D6094">
        <v>11.5</v>
      </c>
      <c r="E6094">
        <f>IF($D6094 &gt; 16, 0, $J$3*(16 - $D6094))</f>
        <v>934.86889215313647</v>
      </c>
      <c r="F6094">
        <f>IF($D6094 &gt; 16, 0,$E6094*$J$5)</f>
        <v>10161089.988812441</v>
      </c>
      <c r="G6094">
        <f t="shared" si="95"/>
        <v>4.5</v>
      </c>
    </row>
    <row r="6095" spans="2:7" x14ac:dyDescent="0.35">
      <c r="B6095" s="1">
        <v>45911</v>
      </c>
      <c r="C6095" s="2">
        <v>0.875</v>
      </c>
      <c r="D6095">
        <v>13.4</v>
      </c>
      <c r="E6095">
        <f>IF($D6095 &gt; 16, 0, $J$3*(16 - $D6095))</f>
        <v>540.14647102181209</v>
      </c>
      <c r="F6095">
        <f>IF($D6095 &gt; 16, 0,$E6095*$J$5)</f>
        <v>5870851.9935360756</v>
      </c>
      <c r="G6095">
        <f t="shared" si="95"/>
        <v>2.5999999999999996</v>
      </c>
    </row>
    <row r="6096" spans="2:7" x14ac:dyDescent="0.35">
      <c r="B6096" s="1">
        <v>45911</v>
      </c>
      <c r="C6096" s="2">
        <v>0.91666666666666663</v>
      </c>
      <c r="D6096">
        <v>14.2</v>
      </c>
      <c r="E6096">
        <f>IF($D6096 &gt; 16, 0, $J$3*(16 - $D6096))</f>
        <v>373.94755686125472</v>
      </c>
      <c r="F6096">
        <f>IF($D6096 &gt; 16, 0,$E6096*$J$5)</f>
        <v>4064435.9955249778</v>
      </c>
      <c r="G6096">
        <f t="shared" si="95"/>
        <v>1.8000000000000007</v>
      </c>
    </row>
    <row r="6097" spans="2:7" x14ac:dyDescent="0.35">
      <c r="B6097" s="1">
        <v>45911</v>
      </c>
      <c r="C6097" s="2">
        <v>0.95833333333333337</v>
      </c>
      <c r="D6097">
        <v>13.3</v>
      </c>
      <c r="E6097">
        <f>IF($D6097 &gt; 16, 0, $J$3*(16 - $D6097))</f>
        <v>560.92133529188175</v>
      </c>
      <c r="F6097">
        <f>IF($D6097 &gt; 16, 0,$E6097*$J$5)</f>
        <v>6096653.9932874627</v>
      </c>
      <c r="G6097">
        <f t="shared" si="95"/>
        <v>2.6999999999999993</v>
      </c>
    </row>
    <row r="6098" spans="2:7" x14ac:dyDescent="0.35">
      <c r="B6098" s="1">
        <v>45912</v>
      </c>
      <c r="C6098" s="2">
        <v>0</v>
      </c>
      <c r="D6098">
        <v>13.5</v>
      </c>
      <c r="E6098">
        <f>IF($D6098 &gt; 16, 0, $J$3*(16 - $D6098))</f>
        <v>519.37160675174243</v>
      </c>
      <c r="F6098">
        <f>IF($D6098 &gt; 16, 0,$E6098*$J$5)</f>
        <v>5645049.9937846884</v>
      </c>
      <c r="G6098">
        <f t="shared" si="95"/>
        <v>2.5</v>
      </c>
    </row>
    <row r="6099" spans="2:7" x14ac:dyDescent="0.35">
      <c r="B6099" s="1">
        <v>45912</v>
      </c>
      <c r="C6099" s="2">
        <v>4.1666666666666657E-2</v>
      </c>
      <c r="D6099">
        <v>13.2</v>
      </c>
      <c r="E6099">
        <f>IF($D6099 &gt; 16, 0, $J$3*(16 - $D6099))</f>
        <v>581.69619956195174</v>
      </c>
      <c r="F6099">
        <f>IF($D6099 &gt; 16, 0,$E6099*$J$5)</f>
        <v>6322455.9930388536</v>
      </c>
      <c r="G6099">
        <f t="shared" si="95"/>
        <v>2.8000000000000007</v>
      </c>
    </row>
    <row r="6100" spans="2:7" x14ac:dyDescent="0.35">
      <c r="B6100" s="1">
        <v>45912</v>
      </c>
      <c r="C6100" s="2">
        <v>8.3333333333333329E-2</v>
      </c>
      <c r="D6100">
        <v>13.1</v>
      </c>
      <c r="E6100">
        <f>IF($D6100 &gt; 16, 0, $J$3*(16 - $D6100))</f>
        <v>602.4710638320214</v>
      </c>
      <c r="F6100">
        <f>IF($D6100 &gt; 16, 0,$E6100*$J$5)</f>
        <v>6548257.9927902408</v>
      </c>
      <c r="G6100">
        <f t="shared" si="95"/>
        <v>2.9000000000000004</v>
      </c>
    </row>
    <row r="6101" spans="2:7" x14ac:dyDescent="0.35">
      <c r="B6101" s="1">
        <v>45912</v>
      </c>
      <c r="C6101" s="2">
        <v>0.125</v>
      </c>
      <c r="D6101">
        <v>12.6</v>
      </c>
      <c r="E6101">
        <f>IF($D6101 &gt; 16, 0, $J$3*(16 - $D6101))</f>
        <v>706.3453851823698</v>
      </c>
      <c r="F6101">
        <f>IF($D6101 &gt; 16, 0,$E6101*$J$5)</f>
        <v>7677267.9915471775</v>
      </c>
      <c r="G6101">
        <f t="shared" si="95"/>
        <v>3.4000000000000004</v>
      </c>
    </row>
    <row r="6102" spans="2:7" x14ac:dyDescent="0.35">
      <c r="B6102" s="1">
        <v>45912</v>
      </c>
      <c r="C6102" s="2">
        <v>0.16666666666666671</v>
      </c>
      <c r="D6102">
        <v>12.3</v>
      </c>
      <c r="E6102">
        <f>IF($D6102 &gt; 16, 0, $J$3*(16 - $D6102))</f>
        <v>768.66997799257877</v>
      </c>
      <c r="F6102">
        <f>IF($D6102 &gt; 16, 0,$E6102*$J$5)</f>
        <v>8354673.990801339</v>
      </c>
      <c r="G6102">
        <f t="shared" si="95"/>
        <v>3.6999999999999993</v>
      </c>
    </row>
    <row r="6103" spans="2:7" x14ac:dyDescent="0.35">
      <c r="B6103" s="1">
        <v>45912</v>
      </c>
      <c r="C6103" s="2">
        <v>0.20833333333333329</v>
      </c>
      <c r="D6103">
        <v>11.6</v>
      </c>
      <c r="E6103">
        <f>IF($D6103 &gt; 16, 0, $J$3*(16 - $D6103))</f>
        <v>914.09402788306681</v>
      </c>
      <c r="F6103">
        <f>IF($D6103 &gt; 16, 0,$E6103*$J$5)</f>
        <v>9935287.9890610538</v>
      </c>
      <c r="G6103">
        <f t="shared" si="95"/>
        <v>4.4000000000000004</v>
      </c>
    </row>
    <row r="6104" spans="2:7" x14ac:dyDescent="0.35">
      <c r="B6104" s="1">
        <v>45912</v>
      </c>
      <c r="C6104" s="2">
        <v>0.25</v>
      </c>
      <c r="D6104">
        <v>12.2</v>
      </c>
      <c r="E6104">
        <f>IF($D6104 &gt; 16, 0, $J$3*(16 - $D6104))</f>
        <v>789.44484226264876</v>
      </c>
      <c r="F6104">
        <f>IF($D6104 &gt; 16, 0,$E6104*$J$5)</f>
        <v>8580475.990552729</v>
      </c>
      <c r="G6104">
        <f t="shared" si="95"/>
        <v>3.8000000000000007</v>
      </c>
    </row>
    <row r="6105" spans="2:7" x14ac:dyDescent="0.35">
      <c r="B6105" s="1">
        <v>45912</v>
      </c>
      <c r="C6105" s="2">
        <v>0.29166666666666669</v>
      </c>
      <c r="D6105">
        <v>13.4</v>
      </c>
      <c r="E6105">
        <f>IF($D6105 &gt; 16, 0, $J$3*(16 - $D6105))</f>
        <v>540.14647102181209</v>
      </c>
      <c r="F6105">
        <f>IF($D6105 &gt; 16, 0,$E6105*$J$5)</f>
        <v>5870851.9935360756</v>
      </c>
      <c r="G6105">
        <f t="shared" si="95"/>
        <v>2.5999999999999996</v>
      </c>
    </row>
    <row r="6106" spans="2:7" x14ac:dyDescent="0.35">
      <c r="B6106" s="1">
        <v>45912</v>
      </c>
      <c r="C6106" s="2">
        <v>0.33333333333333331</v>
      </c>
      <c r="D6106">
        <v>14.8</v>
      </c>
      <c r="E6106">
        <f>IF($D6106 &gt; 16, 0, $J$3*(16 - $D6106))</f>
        <v>249.29837124083625</v>
      </c>
      <c r="F6106">
        <f>IF($D6106 &gt; 16, 0,$E6106*$J$5)</f>
        <v>2709623.9970166492</v>
      </c>
      <c r="G6106">
        <f t="shared" si="95"/>
        <v>1.1999999999999993</v>
      </c>
    </row>
    <row r="6107" spans="2:7" x14ac:dyDescent="0.35">
      <c r="B6107" s="1">
        <v>45912</v>
      </c>
      <c r="C6107" s="2">
        <v>0.375</v>
      </c>
      <c r="D6107">
        <v>15.9</v>
      </c>
      <c r="E6107">
        <f>IF($D6107 &gt; 16, 0, $J$3*(16 - $D6107))</f>
        <v>20.774864270069624</v>
      </c>
      <c r="F6107">
        <f>IF($D6107 &gt; 16, 0,$E6107*$J$5)</f>
        <v>225801.99975138676</v>
      </c>
      <c r="G6107">
        <f t="shared" si="95"/>
        <v>9.9999999999999645E-2</v>
      </c>
    </row>
    <row r="6108" spans="2:7" x14ac:dyDescent="0.35">
      <c r="B6108" s="1">
        <v>45912</v>
      </c>
      <c r="C6108" s="2">
        <v>0.41666666666666669</v>
      </c>
      <c r="D6108">
        <v>17</v>
      </c>
      <c r="E6108">
        <f>IF($D6108 &gt; 16, 0, $J$3*(16 - $D6108))</f>
        <v>0</v>
      </c>
      <c r="F6108">
        <f>IF($D6108 &gt; 16, 0,$E6108*$J$5)</f>
        <v>0</v>
      </c>
      <c r="G6108">
        <f t="shared" si="95"/>
        <v>0</v>
      </c>
    </row>
    <row r="6109" spans="2:7" x14ac:dyDescent="0.35">
      <c r="B6109" s="1">
        <v>45912</v>
      </c>
      <c r="C6109" s="2">
        <v>0.45833333333333331</v>
      </c>
      <c r="D6109">
        <v>18.3</v>
      </c>
      <c r="E6109">
        <f>IF($D6109 &gt; 16, 0, $J$3*(16 - $D6109))</f>
        <v>0</v>
      </c>
      <c r="F6109">
        <f>IF($D6109 &gt; 16, 0,$E6109*$J$5)</f>
        <v>0</v>
      </c>
      <c r="G6109">
        <f t="shared" si="95"/>
        <v>0</v>
      </c>
    </row>
    <row r="6110" spans="2:7" x14ac:dyDescent="0.35">
      <c r="B6110" s="1">
        <v>45912</v>
      </c>
      <c r="C6110" s="2">
        <v>0.5</v>
      </c>
      <c r="D6110">
        <v>19</v>
      </c>
      <c r="E6110">
        <f>IF($D6110 &gt; 16, 0, $J$3*(16 - $D6110))</f>
        <v>0</v>
      </c>
      <c r="F6110">
        <f>IF($D6110 &gt; 16, 0,$E6110*$J$5)</f>
        <v>0</v>
      </c>
      <c r="G6110">
        <f t="shared" si="95"/>
        <v>0</v>
      </c>
    </row>
    <row r="6111" spans="2:7" x14ac:dyDescent="0.35">
      <c r="B6111" s="1">
        <v>45912</v>
      </c>
      <c r="C6111" s="2">
        <v>0.54166666666666663</v>
      </c>
      <c r="D6111">
        <v>18.899999999999999</v>
      </c>
      <c r="E6111">
        <f>IF($D6111 &gt; 16, 0, $J$3*(16 - $D6111))</f>
        <v>0</v>
      </c>
      <c r="F6111">
        <f>IF($D6111 &gt; 16, 0,$E6111*$J$5)</f>
        <v>0</v>
      </c>
      <c r="G6111">
        <f t="shared" si="95"/>
        <v>0</v>
      </c>
    </row>
    <row r="6112" spans="2:7" x14ac:dyDescent="0.35">
      <c r="B6112" s="1">
        <v>45912</v>
      </c>
      <c r="C6112" s="2">
        <v>0.58333333333333337</v>
      </c>
      <c r="D6112">
        <v>18.399999999999999</v>
      </c>
      <c r="E6112">
        <f>IF($D6112 &gt; 16, 0, $J$3*(16 - $D6112))</f>
        <v>0</v>
      </c>
      <c r="F6112">
        <f>IF($D6112 &gt; 16, 0,$E6112*$J$5)</f>
        <v>0</v>
      </c>
      <c r="G6112">
        <f t="shared" si="95"/>
        <v>0</v>
      </c>
    </row>
    <row r="6113" spans="2:7" x14ac:dyDescent="0.35">
      <c r="B6113" s="1">
        <v>45912</v>
      </c>
      <c r="C6113" s="2">
        <v>0.625</v>
      </c>
      <c r="D6113">
        <v>18.2</v>
      </c>
      <c r="E6113">
        <f>IF($D6113 &gt; 16, 0, $J$3*(16 - $D6113))</f>
        <v>0</v>
      </c>
      <c r="F6113">
        <f>IF($D6113 &gt; 16, 0,$E6113*$J$5)</f>
        <v>0</v>
      </c>
      <c r="G6113">
        <f t="shared" si="95"/>
        <v>0</v>
      </c>
    </row>
    <row r="6114" spans="2:7" x14ac:dyDescent="0.35">
      <c r="B6114" s="1">
        <v>45912</v>
      </c>
      <c r="C6114" s="2">
        <v>0.66666666666666663</v>
      </c>
      <c r="D6114">
        <v>14.2</v>
      </c>
      <c r="E6114">
        <f>IF($D6114 &gt; 16, 0, $J$3*(16 - $D6114))</f>
        <v>373.94755686125472</v>
      </c>
      <c r="F6114">
        <f>IF($D6114 &gt; 16, 0,$E6114*$J$5)</f>
        <v>4064435.9955249778</v>
      </c>
      <c r="G6114">
        <f t="shared" si="95"/>
        <v>1.8000000000000007</v>
      </c>
    </row>
    <row r="6115" spans="2:7" x14ac:dyDescent="0.35">
      <c r="B6115" s="1">
        <v>45912</v>
      </c>
      <c r="C6115" s="2">
        <v>0.70833333333333337</v>
      </c>
      <c r="D6115">
        <v>14</v>
      </c>
      <c r="E6115">
        <f>IF($D6115 &gt; 16, 0, $J$3*(16 - $D6115))</f>
        <v>415.49728540139398</v>
      </c>
      <c r="F6115">
        <f>IF($D6115 &gt; 16, 0,$E6115*$J$5)</f>
        <v>4516039.9950277507</v>
      </c>
      <c r="G6115">
        <f t="shared" si="95"/>
        <v>2</v>
      </c>
    </row>
    <row r="6116" spans="2:7" x14ac:dyDescent="0.35">
      <c r="B6116" s="1">
        <v>45912</v>
      </c>
      <c r="C6116" s="2">
        <v>0.75</v>
      </c>
      <c r="D6116">
        <v>12.3</v>
      </c>
      <c r="E6116">
        <f>IF($D6116 &gt; 16, 0, $J$3*(16 - $D6116))</f>
        <v>768.66997799257877</v>
      </c>
      <c r="F6116">
        <f>IF($D6116 &gt; 16, 0,$E6116*$J$5)</f>
        <v>8354673.990801339</v>
      </c>
      <c r="G6116">
        <f t="shared" si="95"/>
        <v>3.6999999999999993</v>
      </c>
    </row>
    <row r="6117" spans="2:7" x14ac:dyDescent="0.35">
      <c r="B6117" s="1">
        <v>45912</v>
      </c>
      <c r="C6117" s="2">
        <v>0.79166666666666663</v>
      </c>
      <c r="D6117">
        <v>12.9</v>
      </c>
      <c r="E6117">
        <f>IF($D6117 &gt; 16, 0, $J$3*(16 - $D6117))</f>
        <v>644.0207923721606</v>
      </c>
      <c r="F6117">
        <f>IF($D6117 &gt; 16, 0,$E6117*$J$5)</f>
        <v>6999861.9922930133</v>
      </c>
      <c r="G6117">
        <f t="shared" si="95"/>
        <v>3.0999999999999996</v>
      </c>
    </row>
    <row r="6118" spans="2:7" x14ac:dyDescent="0.35">
      <c r="B6118" s="1">
        <v>45912</v>
      </c>
      <c r="C6118" s="2">
        <v>0.83333333333333337</v>
      </c>
      <c r="D6118">
        <v>12.2</v>
      </c>
      <c r="E6118">
        <f>IF($D6118 &gt; 16, 0, $J$3*(16 - $D6118))</f>
        <v>789.44484226264876</v>
      </c>
      <c r="F6118">
        <f>IF($D6118 &gt; 16, 0,$E6118*$J$5)</f>
        <v>8580475.990552729</v>
      </c>
      <c r="G6118">
        <f t="shared" si="95"/>
        <v>3.8000000000000007</v>
      </c>
    </row>
    <row r="6119" spans="2:7" x14ac:dyDescent="0.35">
      <c r="B6119" s="1">
        <v>45912</v>
      </c>
      <c r="C6119" s="2">
        <v>0.875</v>
      </c>
      <c r="D6119">
        <v>12.3</v>
      </c>
      <c r="E6119">
        <f>IF($D6119 &gt; 16, 0, $J$3*(16 - $D6119))</f>
        <v>768.66997799257877</v>
      </c>
      <c r="F6119">
        <f>IF($D6119 &gt; 16, 0,$E6119*$J$5)</f>
        <v>8354673.990801339</v>
      </c>
      <c r="G6119">
        <f t="shared" si="95"/>
        <v>3.6999999999999993</v>
      </c>
    </row>
    <row r="6120" spans="2:7" x14ac:dyDescent="0.35">
      <c r="B6120" s="1">
        <v>45912</v>
      </c>
      <c r="C6120" s="2">
        <v>0.91666666666666663</v>
      </c>
      <c r="D6120">
        <v>11.3</v>
      </c>
      <c r="E6120">
        <f>IF($D6120 &gt; 16, 0, $J$3*(16 - $D6120))</f>
        <v>976.41862069327567</v>
      </c>
      <c r="F6120">
        <f>IF($D6120 &gt; 16, 0,$E6120*$J$5)</f>
        <v>10612693.988315213</v>
      </c>
      <c r="G6120">
        <f t="shared" si="95"/>
        <v>4.6999999999999993</v>
      </c>
    </row>
    <row r="6121" spans="2:7" x14ac:dyDescent="0.35">
      <c r="B6121" s="1">
        <v>45912</v>
      </c>
      <c r="C6121" s="2">
        <v>0.95833333333333337</v>
      </c>
      <c r="D6121">
        <v>11.7</v>
      </c>
      <c r="E6121">
        <f>IF($D6121 &gt; 16, 0, $J$3*(16 - $D6121))</f>
        <v>893.31916361299716</v>
      </c>
      <c r="F6121">
        <f>IF($D6121 &gt; 16, 0,$E6121*$J$5)</f>
        <v>9709485.9893096667</v>
      </c>
      <c r="G6121">
        <f t="shared" si="95"/>
        <v>4.3000000000000007</v>
      </c>
    </row>
    <row r="6122" spans="2:7" x14ac:dyDescent="0.35">
      <c r="B6122" s="1">
        <v>45913</v>
      </c>
      <c r="C6122" s="2">
        <v>0</v>
      </c>
      <c r="D6122">
        <v>11.4</v>
      </c>
      <c r="E6122">
        <f>IF($D6122 &gt; 16, 0, $J$3*(16 - $D6122))</f>
        <v>955.64375642320613</v>
      </c>
      <c r="F6122">
        <f>IF($D6122 &gt; 16, 0,$E6122*$J$5)</f>
        <v>10386891.988563828</v>
      </c>
      <c r="G6122">
        <f t="shared" si="95"/>
        <v>4.5999999999999996</v>
      </c>
    </row>
    <row r="6123" spans="2:7" x14ac:dyDescent="0.35">
      <c r="B6123" s="1">
        <v>45913</v>
      </c>
      <c r="C6123" s="2">
        <v>4.1666666666666657E-2</v>
      </c>
      <c r="D6123">
        <v>11.3</v>
      </c>
      <c r="E6123">
        <f>IF($D6123 &gt; 16, 0, $J$3*(16 - $D6123))</f>
        <v>976.41862069327567</v>
      </c>
      <c r="F6123">
        <f>IF($D6123 &gt; 16, 0,$E6123*$J$5)</f>
        <v>10612693.988315213</v>
      </c>
      <c r="G6123">
        <f t="shared" si="95"/>
        <v>4.6999999999999993</v>
      </c>
    </row>
    <row r="6124" spans="2:7" x14ac:dyDescent="0.35">
      <c r="B6124" s="1">
        <v>45913</v>
      </c>
      <c r="C6124" s="2">
        <v>8.3333333333333329E-2</v>
      </c>
      <c r="D6124">
        <v>10.199999999999999</v>
      </c>
      <c r="E6124">
        <f>IF($D6124 &gt; 16, 0, $J$3*(16 - $D6124))</f>
        <v>1204.9421276640428</v>
      </c>
      <c r="F6124">
        <f>IF($D6124 &gt; 16, 0,$E6124*$J$5)</f>
        <v>13096515.985580482</v>
      </c>
      <c r="G6124">
        <f t="shared" si="95"/>
        <v>5.8000000000000007</v>
      </c>
    </row>
    <row r="6125" spans="2:7" x14ac:dyDescent="0.35">
      <c r="B6125" s="1">
        <v>45913</v>
      </c>
      <c r="C6125" s="2">
        <v>0.125</v>
      </c>
      <c r="D6125">
        <v>9.6999999999999993</v>
      </c>
      <c r="E6125">
        <f>IF($D6125 &gt; 16, 0, $J$3*(16 - $D6125))</f>
        <v>1308.8164490143911</v>
      </c>
      <c r="F6125">
        <f>IF($D6125 &gt; 16, 0,$E6125*$J$5)</f>
        <v>14225525.984337417</v>
      </c>
      <c r="G6125">
        <f t="shared" si="95"/>
        <v>6.3000000000000007</v>
      </c>
    </row>
    <row r="6126" spans="2:7" x14ac:dyDescent="0.35">
      <c r="B6126" s="1">
        <v>45913</v>
      </c>
      <c r="C6126" s="2">
        <v>0.16666666666666671</v>
      </c>
      <c r="D6126">
        <v>9.6</v>
      </c>
      <c r="E6126">
        <f>IF($D6126 &gt; 16, 0, $J$3*(16 - $D6126))</f>
        <v>1329.5913132844607</v>
      </c>
      <c r="F6126">
        <f>IF($D6126 &gt; 16, 0,$E6126*$J$5)</f>
        <v>14451327.984088805</v>
      </c>
      <c r="G6126">
        <f t="shared" si="95"/>
        <v>6.4</v>
      </c>
    </row>
    <row r="6127" spans="2:7" x14ac:dyDescent="0.35">
      <c r="B6127" s="1">
        <v>45913</v>
      </c>
      <c r="C6127" s="2">
        <v>0.20833333333333329</v>
      </c>
      <c r="D6127">
        <v>9.8000000000000007</v>
      </c>
      <c r="E6127">
        <f>IF($D6127 &gt; 16, 0, $J$3*(16 - $D6127))</f>
        <v>1288.0415847443212</v>
      </c>
      <c r="F6127">
        <f>IF($D6127 &gt; 16, 0,$E6127*$J$5)</f>
        <v>13999723.984586027</v>
      </c>
      <c r="G6127">
        <f t="shared" si="95"/>
        <v>6.1999999999999993</v>
      </c>
    </row>
    <row r="6128" spans="2:7" x14ac:dyDescent="0.35">
      <c r="B6128" s="1">
        <v>45913</v>
      </c>
      <c r="C6128" s="2">
        <v>0.25</v>
      </c>
      <c r="D6128">
        <v>10.5</v>
      </c>
      <c r="E6128">
        <f>IF($D6128 &gt; 16, 0, $J$3*(16 - $D6128))</f>
        <v>1142.6175348538334</v>
      </c>
      <c r="F6128">
        <f>IF($D6128 &gt; 16, 0,$E6128*$J$5)</f>
        <v>12419109.986326315</v>
      </c>
      <c r="G6128">
        <f t="shared" si="95"/>
        <v>5.5</v>
      </c>
    </row>
    <row r="6129" spans="2:7" x14ac:dyDescent="0.35">
      <c r="B6129" s="1">
        <v>45913</v>
      </c>
      <c r="C6129" s="2">
        <v>0.29166666666666669</v>
      </c>
      <c r="D6129">
        <v>12.8</v>
      </c>
      <c r="E6129">
        <f>IF($D6129 &gt; 16, 0, $J$3*(16 - $D6129))</f>
        <v>664.79565664223026</v>
      </c>
      <c r="F6129">
        <f>IF($D6129 &gt; 16, 0,$E6129*$J$5)</f>
        <v>7225663.9920444004</v>
      </c>
      <c r="G6129">
        <f t="shared" si="95"/>
        <v>3.1999999999999993</v>
      </c>
    </row>
    <row r="6130" spans="2:7" x14ac:dyDescent="0.35">
      <c r="B6130" s="1">
        <v>45913</v>
      </c>
      <c r="C6130" s="2">
        <v>0.33333333333333331</v>
      </c>
      <c r="D6130">
        <v>14.6</v>
      </c>
      <c r="E6130">
        <f>IF($D6130 &gt; 16, 0, $J$3*(16 - $D6130))</f>
        <v>290.84809978097587</v>
      </c>
      <c r="F6130">
        <f>IF($D6130 &gt; 16, 0,$E6130*$J$5)</f>
        <v>3161227.9965194268</v>
      </c>
      <c r="G6130">
        <f t="shared" si="95"/>
        <v>1.4000000000000004</v>
      </c>
    </row>
    <row r="6131" spans="2:7" x14ac:dyDescent="0.35">
      <c r="B6131" s="1">
        <v>45913</v>
      </c>
      <c r="C6131" s="2">
        <v>0.375</v>
      </c>
      <c r="D6131">
        <v>15.2</v>
      </c>
      <c r="E6131">
        <f>IF($D6131 &gt; 16, 0, $J$3*(16 - $D6131))</f>
        <v>166.19891416055773</v>
      </c>
      <c r="F6131">
        <f>IF($D6131 &gt; 16, 0,$E6131*$J$5)</f>
        <v>1806415.998011102</v>
      </c>
      <c r="G6131">
        <f t="shared" si="95"/>
        <v>0.80000000000000071</v>
      </c>
    </row>
    <row r="6132" spans="2:7" x14ac:dyDescent="0.35">
      <c r="B6132" s="1">
        <v>45913</v>
      </c>
      <c r="C6132" s="2">
        <v>0.41666666666666669</v>
      </c>
      <c r="D6132">
        <v>15.1</v>
      </c>
      <c r="E6132">
        <f>IF($D6132 &gt; 16, 0, $J$3*(16 - $D6132))</f>
        <v>186.97377843062736</v>
      </c>
      <c r="F6132">
        <f>IF($D6132 &gt; 16, 0,$E6132*$J$5)</f>
        <v>2032217.9977624889</v>
      </c>
      <c r="G6132">
        <f t="shared" si="95"/>
        <v>0.90000000000000036</v>
      </c>
    </row>
    <row r="6133" spans="2:7" x14ac:dyDescent="0.35">
      <c r="B6133" s="1">
        <v>45913</v>
      </c>
      <c r="C6133" s="2">
        <v>0.45833333333333331</v>
      </c>
      <c r="D6133">
        <v>16.2</v>
      </c>
      <c r="E6133">
        <f>IF($D6133 &gt; 16, 0, $J$3*(16 - $D6133))</f>
        <v>0</v>
      </c>
      <c r="F6133">
        <f>IF($D6133 &gt; 16, 0,$E6133*$J$5)</f>
        <v>0</v>
      </c>
      <c r="G6133">
        <f t="shared" si="95"/>
        <v>0</v>
      </c>
    </row>
    <row r="6134" spans="2:7" x14ac:dyDescent="0.35">
      <c r="B6134" s="1">
        <v>45913</v>
      </c>
      <c r="C6134" s="2">
        <v>0.5</v>
      </c>
      <c r="D6134">
        <v>16</v>
      </c>
      <c r="E6134">
        <f>IF($D6134 &gt; 16, 0, $J$3*(16 - $D6134))</f>
        <v>0</v>
      </c>
      <c r="F6134">
        <f>IF($D6134 &gt; 16, 0,$E6134*$J$5)</f>
        <v>0</v>
      </c>
      <c r="G6134">
        <f t="shared" si="95"/>
        <v>0</v>
      </c>
    </row>
    <row r="6135" spans="2:7" x14ac:dyDescent="0.35">
      <c r="B6135" s="1">
        <v>45913</v>
      </c>
      <c r="C6135" s="2">
        <v>0.54166666666666663</v>
      </c>
      <c r="D6135">
        <v>15.1</v>
      </c>
      <c r="E6135">
        <f>IF($D6135 &gt; 16, 0, $J$3*(16 - $D6135))</f>
        <v>186.97377843062736</v>
      </c>
      <c r="F6135">
        <f>IF($D6135 &gt; 16, 0,$E6135*$J$5)</f>
        <v>2032217.9977624889</v>
      </c>
      <c r="G6135">
        <f t="shared" si="95"/>
        <v>0.90000000000000036</v>
      </c>
    </row>
    <row r="6136" spans="2:7" x14ac:dyDescent="0.35">
      <c r="B6136" s="1">
        <v>45913</v>
      </c>
      <c r="C6136" s="2">
        <v>0.58333333333333337</v>
      </c>
      <c r="D6136">
        <v>16.399999999999999</v>
      </c>
      <c r="E6136">
        <f>IF($D6136 &gt; 16, 0, $J$3*(16 - $D6136))</f>
        <v>0</v>
      </c>
      <c r="F6136">
        <f>IF($D6136 &gt; 16, 0,$E6136*$J$5)</f>
        <v>0</v>
      </c>
      <c r="G6136">
        <f t="shared" si="95"/>
        <v>0</v>
      </c>
    </row>
    <row r="6137" spans="2:7" x14ac:dyDescent="0.35">
      <c r="B6137" s="1">
        <v>45913</v>
      </c>
      <c r="C6137" s="2">
        <v>0.625</v>
      </c>
      <c r="D6137">
        <v>16.600000000000001</v>
      </c>
      <c r="E6137">
        <f>IF($D6137 &gt; 16, 0, $J$3*(16 - $D6137))</f>
        <v>0</v>
      </c>
      <c r="F6137">
        <f>IF($D6137 &gt; 16, 0,$E6137*$J$5)</f>
        <v>0</v>
      </c>
      <c r="G6137">
        <f t="shared" si="95"/>
        <v>0</v>
      </c>
    </row>
    <row r="6138" spans="2:7" x14ac:dyDescent="0.35">
      <c r="B6138" s="1">
        <v>45913</v>
      </c>
      <c r="C6138" s="2">
        <v>0.66666666666666663</v>
      </c>
      <c r="D6138">
        <v>17</v>
      </c>
      <c r="E6138">
        <f>IF($D6138 &gt; 16, 0, $J$3*(16 - $D6138))</f>
        <v>0</v>
      </c>
      <c r="F6138">
        <f>IF($D6138 &gt; 16, 0,$E6138*$J$5)</f>
        <v>0</v>
      </c>
      <c r="G6138">
        <f t="shared" si="95"/>
        <v>0</v>
      </c>
    </row>
    <row r="6139" spans="2:7" x14ac:dyDescent="0.35">
      <c r="B6139" s="1">
        <v>45913</v>
      </c>
      <c r="C6139" s="2">
        <v>0.70833333333333337</v>
      </c>
      <c r="D6139">
        <v>17.100000000000001</v>
      </c>
      <c r="E6139">
        <f>IF($D6139 &gt; 16, 0, $J$3*(16 - $D6139))</f>
        <v>0</v>
      </c>
      <c r="F6139">
        <f>IF($D6139 &gt; 16, 0,$E6139*$J$5)</f>
        <v>0</v>
      </c>
      <c r="G6139">
        <f t="shared" si="95"/>
        <v>0</v>
      </c>
    </row>
    <row r="6140" spans="2:7" x14ac:dyDescent="0.35">
      <c r="B6140" s="1">
        <v>45913</v>
      </c>
      <c r="C6140" s="2">
        <v>0.75</v>
      </c>
      <c r="D6140">
        <v>15.5</v>
      </c>
      <c r="E6140">
        <f>IF($D6140 &gt; 16, 0, $J$3*(16 - $D6140))</f>
        <v>103.8743213503485</v>
      </c>
      <c r="F6140">
        <f>IF($D6140 &gt; 16, 0,$E6140*$J$5)</f>
        <v>1129009.9987569377</v>
      </c>
      <c r="G6140">
        <f t="shared" si="95"/>
        <v>0.5</v>
      </c>
    </row>
    <row r="6141" spans="2:7" x14ac:dyDescent="0.35">
      <c r="B6141" s="1">
        <v>45913</v>
      </c>
      <c r="C6141" s="2">
        <v>0.79166666666666663</v>
      </c>
      <c r="D6141">
        <v>14.6</v>
      </c>
      <c r="E6141">
        <f>IF($D6141 &gt; 16, 0, $J$3*(16 - $D6141))</f>
        <v>290.84809978097587</v>
      </c>
      <c r="F6141">
        <f>IF($D6141 &gt; 16, 0,$E6141*$J$5)</f>
        <v>3161227.9965194268</v>
      </c>
      <c r="G6141">
        <f t="shared" si="95"/>
        <v>1.4000000000000004</v>
      </c>
    </row>
    <row r="6142" spans="2:7" x14ac:dyDescent="0.35">
      <c r="B6142" s="1">
        <v>45913</v>
      </c>
      <c r="C6142" s="2">
        <v>0.83333333333333337</v>
      </c>
      <c r="D6142">
        <v>14.5</v>
      </c>
      <c r="E6142">
        <f>IF($D6142 &gt; 16, 0, $J$3*(16 - $D6142))</f>
        <v>311.62296405104547</v>
      </c>
      <c r="F6142">
        <f>IF($D6142 &gt; 16, 0,$E6142*$J$5)</f>
        <v>3387029.996270813</v>
      </c>
      <c r="G6142">
        <f t="shared" si="95"/>
        <v>1.5</v>
      </c>
    </row>
    <row r="6143" spans="2:7" x14ac:dyDescent="0.35">
      <c r="B6143" s="1">
        <v>45913</v>
      </c>
      <c r="C6143" s="2">
        <v>0.875</v>
      </c>
      <c r="D6143">
        <v>13.7</v>
      </c>
      <c r="E6143">
        <f>IF($D6143 &gt; 16, 0, $J$3*(16 - $D6143))</f>
        <v>477.82187821160323</v>
      </c>
      <c r="F6143">
        <f>IF($D6143 &gt; 16, 0,$E6143*$J$5)</f>
        <v>5193445.9942819159</v>
      </c>
      <c r="G6143">
        <f t="shared" si="95"/>
        <v>2.3000000000000007</v>
      </c>
    </row>
    <row r="6144" spans="2:7" x14ac:dyDescent="0.35">
      <c r="B6144" s="1">
        <v>45913</v>
      </c>
      <c r="C6144" s="2">
        <v>0.91666666666666663</v>
      </c>
      <c r="D6144">
        <v>14.2</v>
      </c>
      <c r="E6144">
        <f>IF($D6144 &gt; 16, 0, $J$3*(16 - $D6144))</f>
        <v>373.94755686125472</v>
      </c>
      <c r="F6144">
        <f>IF($D6144 &gt; 16, 0,$E6144*$J$5)</f>
        <v>4064435.9955249778</v>
      </c>
      <c r="G6144">
        <f t="shared" si="95"/>
        <v>1.8000000000000007</v>
      </c>
    </row>
    <row r="6145" spans="2:7" x14ac:dyDescent="0.35">
      <c r="B6145" s="1">
        <v>45913</v>
      </c>
      <c r="C6145" s="2">
        <v>0.95833333333333337</v>
      </c>
      <c r="D6145">
        <v>13.2</v>
      </c>
      <c r="E6145">
        <f>IF($D6145 &gt; 16, 0, $J$3*(16 - $D6145))</f>
        <v>581.69619956195174</v>
      </c>
      <c r="F6145">
        <f>IF($D6145 &gt; 16, 0,$E6145*$J$5)</f>
        <v>6322455.9930388536</v>
      </c>
      <c r="G6145">
        <f t="shared" si="95"/>
        <v>2.8000000000000007</v>
      </c>
    </row>
    <row r="6146" spans="2:7" x14ac:dyDescent="0.35">
      <c r="B6146" s="1">
        <v>45914</v>
      </c>
      <c r="C6146" s="2">
        <v>0</v>
      </c>
      <c r="D6146">
        <v>12.8</v>
      </c>
      <c r="E6146">
        <f>IF($D6146 &gt; 16, 0, $J$3*(16 - $D6146))</f>
        <v>664.79565664223026</v>
      </c>
      <c r="F6146">
        <f>IF($D6146 &gt; 16, 0,$E6146*$J$5)</f>
        <v>7225663.9920444004</v>
      </c>
      <c r="G6146">
        <f t="shared" si="95"/>
        <v>3.1999999999999993</v>
      </c>
    </row>
    <row r="6147" spans="2:7" x14ac:dyDescent="0.35">
      <c r="B6147" s="1">
        <v>45914</v>
      </c>
      <c r="C6147" s="2">
        <v>4.1666666666666657E-2</v>
      </c>
      <c r="D6147">
        <v>13.3</v>
      </c>
      <c r="E6147">
        <f>IF($D6147 &gt; 16, 0, $J$3*(16 - $D6147))</f>
        <v>560.92133529188175</v>
      </c>
      <c r="F6147">
        <f>IF($D6147 &gt; 16, 0,$E6147*$J$5)</f>
        <v>6096653.9932874627</v>
      </c>
      <c r="G6147">
        <f t="shared" ref="G6147:G6210" si="96">MAX(0, 16 - $D6147)</f>
        <v>2.6999999999999993</v>
      </c>
    </row>
    <row r="6148" spans="2:7" x14ac:dyDescent="0.35">
      <c r="B6148" s="1">
        <v>45914</v>
      </c>
      <c r="C6148" s="2">
        <v>8.3333333333333329E-2</v>
      </c>
      <c r="D6148">
        <v>13.5</v>
      </c>
      <c r="E6148">
        <f>IF($D6148 &gt; 16, 0, $J$3*(16 - $D6148))</f>
        <v>519.37160675174243</v>
      </c>
      <c r="F6148">
        <f>IF($D6148 &gt; 16, 0,$E6148*$J$5)</f>
        <v>5645049.9937846884</v>
      </c>
      <c r="G6148">
        <f t="shared" si="96"/>
        <v>2.5</v>
      </c>
    </row>
    <row r="6149" spans="2:7" x14ac:dyDescent="0.35">
      <c r="B6149" s="1">
        <v>45914</v>
      </c>
      <c r="C6149" s="2">
        <v>0.125</v>
      </c>
      <c r="D6149">
        <v>12.8</v>
      </c>
      <c r="E6149">
        <f>IF($D6149 &gt; 16, 0, $J$3*(16 - $D6149))</f>
        <v>664.79565664223026</v>
      </c>
      <c r="F6149">
        <f>IF($D6149 &gt; 16, 0,$E6149*$J$5)</f>
        <v>7225663.9920444004</v>
      </c>
      <c r="G6149">
        <f t="shared" si="96"/>
        <v>3.1999999999999993</v>
      </c>
    </row>
    <row r="6150" spans="2:7" x14ac:dyDescent="0.35">
      <c r="B6150" s="1">
        <v>45914</v>
      </c>
      <c r="C6150" s="2">
        <v>0.16666666666666671</v>
      </c>
      <c r="D6150">
        <v>12.8</v>
      </c>
      <c r="E6150">
        <f>IF($D6150 &gt; 16, 0, $J$3*(16 - $D6150))</f>
        <v>664.79565664223026</v>
      </c>
      <c r="F6150">
        <f>IF($D6150 &gt; 16, 0,$E6150*$J$5)</f>
        <v>7225663.9920444004</v>
      </c>
      <c r="G6150">
        <f t="shared" si="96"/>
        <v>3.1999999999999993</v>
      </c>
    </row>
    <row r="6151" spans="2:7" x14ac:dyDescent="0.35">
      <c r="B6151" s="1">
        <v>45914</v>
      </c>
      <c r="C6151" s="2">
        <v>0.20833333333333329</v>
      </c>
      <c r="D6151">
        <v>12.8</v>
      </c>
      <c r="E6151">
        <f>IF($D6151 &gt; 16, 0, $J$3*(16 - $D6151))</f>
        <v>664.79565664223026</v>
      </c>
      <c r="F6151">
        <f>IF($D6151 &gt; 16, 0,$E6151*$J$5)</f>
        <v>7225663.9920444004</v>
      </c>
      <c r="G6151">
        <f t="shared" si="96"/>
        <v>3.1999999999999993</v>
      </c>
    </row>
    <row r="6152" spans="2:7" x14ac:dyDescent="0.35">
      <c r="B6152" s="1">
        <v>45914</v>
      </c>
      <c r="C6152" s="2">
        <v>0.25</v>
      </c>
      <c r="D6152">
        <v>13</v>
      </c>
      <c r="E6152">
        <f>IF($D6152 &gt; 16, 0, $J$3*(16 - $D6152))</f>
        <v>623.24592810209094</v>
      </c>
      <c r="F6152">
        <f>IF($D6152 &gt; 16, 0,$E6152*$J$5)</f>
        <v>6774059.9925416261</v>
      </c>
      <c r="G6152">
        <f t="shared" si="96"/>
        <v>3</v>
      </c>
    </row>
    <row r="6153" spans="2:7" x14ac:dyDescent="0.35">
      <c r="B6153" s="1">
        <v>45914</v>
      </c>
      <c r="C6153" s="2">
        <v>0.29166666666666669</v>
      </c>
      <c r="D6153">
        <v>13.3</v>
      </c>
      <c r="E6153">
        <f>IF($D6153 &gt; 16, 0, $J$3*(16 - $D6153))</f>
        <v>560.92133529188175</v>
      </c>
      <c r="F6153">
        <f>IF($D6153 &gt; 16, 0,$E6153*$J$5)</f>
        <v>6096653.9932874627</v>
      </c>
      <c r="G6153">
        <f t="shared" si="96"/>
        <v>2.6999999999999993</v>
      </c>
    </row>
    <row r="6154" spans="2:7" x14ac:dyDescent="0.35">
      <c r="B6154" s="1">
        <v>45914</v>
      </c>
      <c r="C6154" s="2">
        <v>0.33333333333333331</v>
      </c>
      <c r="D6154">
        <v>13.1</v>
      </c>
      <c r="E6154">
        <f>IF($D6154 &gt; 16, 0, $J$3*(16 - $D6154))</f>
        <v>602.4710638320214</v>
      </c>
      <c r="F6154">
        <f>IF($D6154 &gt; 16, 0,$E6154*$J$5)</f>
        <v>6548257.9927902408</v>
      </c>
      <c r="G6154">
        <f t="shared" si="96"/>
        <v>2.9000000000000004</v>
      </c>
    </row>
    <row r="6155" spans="2:7" x14ac:dyDescent="0.35">
      <c r="B6155" s="1">
        <v>45914</v>
      </c>
      <c r="C6155" s="2">
        <v>0.375</v>
      </c>
      <c r="D6155">
        <v>14</v>
      </c>
      <c r="E6155">
        <f>IF($D6155 &gt; 16, 0, $J$3*(16 - $D6155))</f>
        <v>415.49728540139398</v>
      </c>
      <c r="F6155">
        <f>IF($D6155 &gt; 16, 0,$E6155*$J$5)</f>
        <v>4516039.9950277507</v>
      </c>
      <c r="G6155">
        <f t="shared" si="96"/>
        <v>2</v>
      </c>
    </row>
    <row r="6156" spans="2:7" x14ac:dyDescent="0.35">
      <c r="B6156" s="1">
        <v>45914</v>
      </c>
      <c r="C6156" s="2">
        <v>0.41666666666666669</v>
      </c>
      <c r="D6156">
        <v>15.1</v>
      </c>
      <c r="E6156">
        <f>IF($D6156 &gt; 16, 0, $J$3*(16 - $D6156))</f>
        <v>186.97377843062736</v>
      </c>
      <c r="F6156">
        <f>IF($D6156 &gt; 16, 0,$E6156*$J$5)</f>
        <v>2032217.9977624889</v>
      </c>
      <c r="G6156">
        <f t="shared" si="96"/>
        <v>0.90000000000000036</v>
      </c>
    </row>
    <row r="6157" spans="2:7" x14ac:dyDescent="0.35">
      <c r="B6157" s="1">
        <v>45914</v>
      </c>
      <c r="C6157" s="2">
        <v>0.45833333333333331</v>
      </c>
      <c r="D6157">
        <v>16.5</v>
      </c>
      <c r="E6157">
        <f>IF($D6157 &gt; 16, 0, $J$3*(16 - $D6157))</f>
        <v>0</v>
      </c>
      <c r="F6157">
        <f>IF($D6157 &gt; 16, 0,$E6157*$J$5)</f>
        <v>0</v>
      </c>
      <c r="G6157">
        <f t="shared" si="96"/>
        <v>0</v>
      </c>
    </row>
    <row r="6158" spans="2:7" x14ac:dyDescent="0.35">
      <c r="B6158" s="1">
        <v>45914</v>
      </c>
      <c r="C6158" s="2">
        <v>0.5</v>
      </c>
      <c r="D6158">
        <v>16</v>
      </c>
      <c r="E6158">
        <f>IF($D6158 &gt; 16, 0, $J$3*(16 - $D6158))</f>
        <v>0</v>
      </c>
      <c r="F6158">
        <f>IF($D6158 &gt; 16, 0,$E6158*$J$5)</f>
        <v>0</v>
      </c>
      <c r="G6158">
        <f t="shared" si="96"/>
        <v>0</v>
      </c>
    </row>
    <row r="6159" spans="2:7" x14ac:dyDescent="0.35">
      <c r="B6159" s="1">
        <v>45914</v>
      </c>
      <c r="C6159" s="2">
        <v>0.54166666666666663</v>
      </c>
      <c r="D6159">
        <v>17.899999999999999</v>
      </c>
      <c r="E6159">
        <f>IF($D6159 &gt; 16, 0, $J$3*(16 - $D6159))</f>
        <v>0</v>
      </c>
      <c r="F6159">
        <f>IF($D6159 &gt; 16, 0,$E6159*$J$5)</f>
        <v>0</v>
      </c>
      <c r="G6159">
        <f t="shared" si="96"/>
        <v>0</v>
      </c>
    </row>
    <row r="6160" spans="2:7" x14ac:dyDescent="0.35">
      <c r="B6160" s="1">
        <v>45914</v>
      </c>
      <c r="C6160" s="2">
        <v>0.58333333333333337</v>
      </c>
      <c r="D6160">
        <v>18.3</v>
      </c>
      <c r="E6160">
        <f>IF($D6160 &gt; 16, 0, $J$3*(16 - $D6160))</f>
        <v>0</v>
      </c>
      <c r="F6160">
        <f>IF($D6160 &gt; 16, 0,$E6160*$J$5)</f>
        <v>0</v>
      </c>
      <c r="G6160">
        <f t="shared" si="96"/>
        <v>0</v>
      </c>
    </row>
    <row r="6161" spans="2:7" x14ac:dyDescent="0.35">
      <c r="B6161" s="1">
        <v>45914</v>
      </c>
      <c r="C6161" s="2">
        <v>0.625</v>
      </c>
      <c r="D6161">
        <v>18.600000000000001</v>
      </c>
      <c r="E6161">
        <f>IF($D6161 &gt; 16, 0, $J$3*(16 - $D6161))</f>
        <v>0</v>
      </c>
      <c r="F6161">
        <f>IF($D6161 &gt; 16, 0,$E6161*$J$5)</f>
        <v>0</v>
      </c>
      <c r="G6161">
        <f t="shared" si="96"/>
        <v>0</v>
      </c>
    </row>
    <row r="6162" spans="2:7" x14ac:dyDescent="0.35">
      <c r="B6162" s="1">
        <v>45914</v>
      </c>
      <c r="C6162" s="2">
        <v>0.66666666666666663</v>
      </c>
      <c r="D6162">
        <v>16.899999999999999</v>
      </c>
      <c r="E6162">
        <f>IF($D6162 &gt; 16, 0, $J$3*(16 - $D6162))</f>
        <v>0</v>
      </c>
      <c r="F6162">
        <f>IF($D6162 &gt; 16, 0,$E6162*$J$5)</f>
        <v>0</v>
      </c>
      <c r="G6162">
        <f t="shared" si="96"/>
        <v>0</v>
      </c>
    </row>
    <row r="6163" spans="2:7" x14ac:dyDescent="0.35">
      <c r="B6163" s="1">
        <v>45914</v>
      </c>
      <c r="C6163" s="2">
        <v>0.70833333333333337</v>
      </c>
      <c r="D6163">
        <v>16</v>
      </c>
      <c r="E6163">
        <f>IF($D6163 &gt; 16, 0, $J$3*(16 - $D6163))</f>
        <v>0</v>
      </c>
      <c r="F6163">
        <f>IF($D6163 &gt; 16, 0,$E6163*$J$5)</f>
        <v>0</v>
      </c>
      <c r="G6163">
        <f t="shared" si="96"/>
        <v>0</v>
      </c>
    </row>
    <row r="6164" spans="2:7" x14ac:dyDescent="0.35">
      <c r="B6164" s="1">
        <v>45914</v>
      </c>
      <c r="C6164" s="2">
        <v>0.75</v>
      </c>
      <c r="D6164">
        <v>13</v>
      </c>
      <c r="E6164">
        <f>IF($D6164 &gt; 16, 0, $J$3*(16 - $D6164))</f>
        <v>623.24592810209094</v>
      </c>
      <c r="F6164">
        <f>IF($D6164 &gt; 16, 0,$E6164*$J$5)</f>
        <v>6774059.9925416261</v>
      </c>
      <c r="G6164">
        <f t="shared" si="96"/>
        <v>3</v>
      </c>
    </row>
    <row r="6165" spans="2:7" x14ac:dyDescent="0.35">
      <c r="B6165" s="1">
        <v>45914</v>
      </c>
      <c r="C6165" s="2">
        <v>0.79166666666666663</v>
      </c>
      <c r="D6165">
        <v>11.6</v>
      </c>
      <c r="E6165">
        <f>IF($D6165 &gt; 16, 0, $J$3*(16 - $D6165))</f>
        <v>914.09402788306681</v>
      </c>
      <c r="F6165">
        <f>IF($D6165 &gt; 16, 0,$E6165*$J$5)</f>
        <v>9935287.9890610538</v>
      </c>
      <c r="G6165">
        <f t="shared" si="96"/>
        <v>4.4000000000000004</v>
      </c>
    </row>
    <row r="6166" spans="2:7" x14ac:dyDescent="0.35">
      <c r="B6166" s="1">
        <v>45914</v>
      </c>
      <c r="C6166" s="2">
        <v>0.83333333333333337</v>
      </c>
      <c r="D6166">
        <v>11.2</v>
      </c>
      <c r="E6166">
        <f>IF($D6166 &gt; 16, 0, $J$3*(16 - $D6166))</f>
        <v>997.19348496334567</v>
      </c>
      <c r="F6166">
        <f>IF($D6166 &gt; 16, 0,$E6166*$J$5)</f>
        <v>10838495.988066604</v>
      </c>
      <c r="G6166">
        <f t="shared" si="96"/>
        <v>4.8000000000000007</v>
      </c>
    </row>
    <row r="6167" spans="2:7" x14ac:dyDescent="0.35">
      <c r="B6167" s="1">
        <v>45914</v>
      </c>
      <c r="C6167" s="2">
        <v>0.875</v>
      </c>
      <c r="D6167">
        <v>12.5</v>
      </c>
      <c r="E6167">
        <f>IF($D6167 &gt; 16, 0, $J$3*(16 - $D6167))</f>
        <v>727.12024945243945</v>
      </c>
      <c r="F6167">
        <f>IF($D6167 &gt; 16, 0,$E6167*$J$5)</f>
        <v>7903069.9912985647</v>
      </c>
      <c r="G6167">
        <f t="shared" si="96"/>
        <v>3.5</v>
      </c>
    </row>
    <row r="6168" spans="2:7" x14ac:dyDescent="0.35">
      <c r="B6168" s="1">
        <v>45914</v>
      </c>
      <c r="C6168" s="2">
        <v>0.91666666666666663</v>
      </c>
      <c r="D6168">
        <v>12.7</v>
      </c>
      <c r="E6168">
        <f>IF($D6168 &gt; 16, 0, $J$3*(16 - $D6168))</f>
        <v>685.57052091230025</v>
      </c>
      <c r="F6168">
        <f>IF($D6168 &gt; 16, 0,$E6168*$J$5)</f>
        <v>7451465.9917957913</v>
      </c>
      <c r="G6168">
        <f t="shared" si="96"/>
        <v>3.3000000000000007</v>
      </c>
    </row>
    <row r="6169" spans="2:7" x14ac:dyDescent="0.35">
      <c r="B6169" s="1">
        <v>45914</v>
      </c>
      <c r="C6169" s="2">
        <v>0.95833333333333337</v>
      </c>
      <c r="D6169">
        <v>12.8</v>
      </c>
      <c r="E6169">
        <f>IF($D6169 &gt; 16, 0, $J$3*(16 - $D6169))</f>
        <v>664.79565664223026</v>
      </c>
      <c r="F6169">
        <f>IF($D6169 &gt; 16, 0,$E6169*$J$5)</f>
        <v>7225663.9920444004</v>
      </c>
      <c r="G6169">
        <f t="shared" si="96"/>
        <v>3.1999999999999993</v>
      </c>
    </row>
    <row r="6170" spans="2:7" x14ac:dyDescent="0.35">
      <c r="B6170" s="1">
        <v>45915</v>
      </c>
      <c r="C6170" s="2">
        <v>0</v>
      </c>
      <c r="D6170">
        <v>13</v>
      </c>
      <c r="E6170">
        <f>IF($D6170 &gt; 16, 0, $J$3*(16 - $D6170))</f>
        <v>623.24592810209094</v>
      </c>
      <c r="F6170">
        <f>IF($D6170 &gt; 16, 0,$E6170*$J$5)</f>
        <v>6774059.9925416261</v>
      </c>
      <c r="G6170">
        <f t="shared" si="96"/>
        <v>3</v>
      </c>
    </row>
    <row r="6171" spans="2:7" x14ac:dyDescent="0.35">
      <c r="B6171" s="1">
        <v>45915</v>
      </c>
      <c r="C6171" s="2">
        <v>4.1666666666666657E-2</v>
      </c>
      <c r="D6171">
        <v>12.8</v>
      </c>
      <c r="E6171">
        <f>IF($D6171 &gt; 16, 0, $J$3*(16 - $D6171))</f>
        <v>664.79565664223026</v>
      </c>
      <c r="F6171">
        <f>IF($D6171 &gt; 16, 0,$E6171*$J$5)</f>
        <v>7225663.9920444004</v>
      </c>
      <c r="G6171">
        <f t="shared" si="96"/>
        <v>3.1999999999999993</v>
      </c>
    </row>
    <row r="6172" spans="2:7" x14ac:dyDescent="0.35">
      <c r="B6172" s="1">
        <v>45915</v>
      </c>
      <c r="C6172" s="2">
        <v>8.3333333333333329E-2</v>
      </c>
      <c r="D6172">
        <v>13</v>
      </c>
      <c r="E6172">
        <f>IF($D6172 &gt; 16, 0, $J$3*(16 - $D6172))</f>
        <v>623.24592810209094</v>
      </c>
      <c r="F6172">
        <f>IF($D6172 &gt; 16, 0,$E6172*$J$5)</f>
        <v>6774059.9925416261</v>
      </c>
      <c r="G6172">
        <f t="shared" si="96"/>
        <v>3</v>
      </c>
    </row>
    <row r="6173" spans="2:7" x14ac:dyDescent="0.35">
      <c r="B6173" s="1">
        <v>45915</v>
      </c>
      <c r="C6173" s="2">
        <v>0.125</v>
      </c>
      <c r="D6173">
        <v>12.9</v>
      </c>
      <c r="E6173">
        <f>IF($D6173 &gt; 16, 0, $J$3*(16 - $D6173))</f>
        <v>644.0207923721606</v>
      </c>
      <c r="F6173">
        <f>IF($D6173 &gt; 16, 0,$E6173*$J$5)</f>
        <v>6999861.9922930133</v>
      </c>
      <c r="G6173">
        <f t="shared" si="96"/>
        <v>3.0999999999999996</v>
      </c>
    </row>
    <row r="6174" spans="2:7" x14ac:dyDescent="0.35">
      <c r="B6174" s="1">
        <v>45915</v>
      </c>
      <c r="C6174" s="2">
        <v>0.16666666666666671</v>
      </c>
      <c r="D6174">
        <v>12.9</v>
      </c>
      <c r="E6174">
        <f>IF($D6174 &gt; 16, 0, $J$3*(16 - $D6174))</f>
        <v>644.0207923721606</v>
      </c>
      <c r="F6174">
        <f>IF($D6174 &gt; 16, 0,$E6174*$J$5)</f>
        <v>6999861.9922930133</v>
      </c>
      <c r="G6174">
        <f t="shared" si="96"/>
        <v>3.0999999999999996</v>
      </c>
    </row>
    <row r="6175" spans="2:7" x14ac:dyDescent="0.35">
      <c r="B6175" s="1">
        <v>45915</v>
      </c>
      <c r="C6175" s="2">
        <v>0.20833333333333329</v>
      </c>
      <c r="D6175">
        <v>12.9</v>
      </c>
      <c r="E6175">
        <f>IF($D6175 &gt; 16, 0, $J$3*(16 - $D6175))</f>
        <v>644.0207923721606</v>
      </c>
      <c r="F6175">
        <f>IF($D6175 &gt; 16, 0,$E6175*$J$5)</f>
        <v>6999861.9922930133</v>
      </c>
      <c r="G6175">
        <f t="shared" si="96"/>
        <v>3.0999999999999996</v>
      </c>
    </row>
    <row r="6176" spans="2:7" x14ac:dyDescent="0.35">
      <c r="B6176" s="1">
        <v>45915</v>
      </c>
      <c r="C6176" s="2">
        <v>0.25</v>
      </c>
      <c r="D6176">
        <v>14</v>
      </c>
      <c r="E6176">
        <f>IF($D6176 &gt; 16, 0, $J$3*(16 - $D6176))</f>
        <v>415.49728540139398</v>
      </c>
      <c r="F6176">
        <f>IF($D6176 &gt; 16, 0,$E6176*$J$5)</f>
        <v>4516039.9950277507</v>
      </c>
      <c r="G6176">
        <f t="shared" si="96"/>
        <v>2</v>
      </c>
    </row>
    <row r="6177" spans="2:7" x14ac:dyDescent="0.35">
      <c r="B6177" s="1">
        <v>45915</v>
      </c>
      <c r="C6177" s="2">
        <v>0.29166666666666669</v>
      </c>
      <c r="D6177">
        <v>15.4</v>
      </c>
      <c r="E6177">
        <f>IF($D6177 &gt; 16, 0, $J$3*(16 - $D6177))</f>
        <v>124.64918562041812</v>
      </c>
      <c r="F6177">
        <f>IF($D6177 &gt; 16, 0,$E6177*$J$5)</f>
        <v>1354811.9985083246</v>
      </c>
      <c r="G6177">
        <f t="shared" si="96"/>
        <v>0.59999999999999964</v>
      </c>
    </row>
    <row r="6178" spans="2:7" x14ac:dyDescent="0.35">
      <c r="B6178" s="1">
        <v>45915</v>
      </c>
      <c r="C6178" s="2">
        <v>0.33333333333333331</v>
      </c>
      <c r="D6178">
        <v>17.100000000000001</v>
      </c>
      <c r="E6178">
        <f>IF($D6178 &gt; 16, 0, $J$3*(16 - $D6178))</f>
        <v>0</v>
      </c>
      <c r="F6178">
        <f>IF($D6178 &gt; 16, 0,$E6178*$J$5)</f>
        <v>0</v>
      </c>
      <c r="G6178">
        <f t="shared" si="96"/>
        <v>0</v>
      </c>
    </row>
    <row r="6179" spans="2:7" x14ac:dyDescent="0.35">
      <c r="B6179" s="1">
        <v>45915</v>
      </c>
      <c r="C6179" s="2">
        <v>0.375</v>
      </c>
      <c r="D6179">
        <v>18.600000000000001</v>
      </c>
      <c r="E6179">
        <f>IF($D6179 &gt; 16, 0, $J$3*(16 - $D6179))</f>
        <v>0</v>
      </c>
      <c r="F6179">
        <f>IF($D6179 &gt; 16, 0,$E6179*$J$5)</f>
        <v>0</v>
      </c>
      <c r="G6179">
        <f t="shared" si="96"/>
        <v>0</v>
      </c>
    </row>
    <row r="6180" spans="2:7" x14ac:dyDescent="0.35">
      <c r="B6180" s="1">
        <v>45915</v>
      </c>
      <c r="C6180" s="2">
        <v>0.41666666666666669</v>
      </c>
      <c r="D6180">
        <v>18.8</v>
      </c>
      <c r="E6180">
        <f>IF($D6180 &gt; 16, 0, $J$3*(16 - $D6180))</f>
        <v>0</v>
      </c>
      <c r="F6180">
        <f>IF($D6180 &gt; 16, 0,$E6180*$J$5)</f>
        <v>0</v>
      </c>
      <c r="G6180">
        <f t="shared" si="96"/>
        <v>0</v>
      </c>
    </row>
    <row r="6181" spans="2:7" x14ac:dyDescent="0.35">
      <c r="B6181" s="1">
        <v>45915</v>
      </c>
      <c r="C6181" s="2">
        <v>0.45833333333333331</v>
      </c>
      <c r="D6181">
        <v>19.600000000000001</v>
      </c>
      <c r="E6181">
        <f>IF($D6181 &gt; 16, 0, $J$3*(16 - $D6181))</f>
        <v>0</v>
      </c>
      <c r="F6181">
        <f>IF($D6181 &gt; 16, 0,$E6181*$J$5)</f>
        <v>0</v>
      </c>
      <c r="G6181">
        <f t="shared" si="96"/>
        <v>0</v>
      </c>
    </row>
    <row r="6182" spans="2:7" x14ac:dyDescent="0.35">
      <c r="B6182" s="1">
        <v>45915</v>
      </c>
      <c r="C6182" s="2">
        <v>0.5</v>
      </c>
      <c r="D6182">
        <v>19.2</v>
      </c>
      <c r="E6182">
        <f>IF($D6182 &gt; 16, 0, $J$3*(16 - $D6182))</f>
        <v>0</v>
      </c>
      <c r="F6182">
        <f>IF($D6182 &gt; 16, 0,$E6182*$J$5)</f>
        <v>0</v>
      </c>
      <c r="G6182">
        <f t="shared" si="96"/>
        <v>0</v>
      </c>
    </row>
    <row r="6183" spans="2:7" x14ac:dyDescent="0.35">
      <c r="B6183" s="1">
        <v>45915</v>
      </c>
      <c r="C6183" s="2">
        <v>0.54166666666666663</v>
      </c>
      <c r="D6183">
        <v>20.9</v>
      </c>
      <c r="E6183">
        <f>IF($D6183 &gt; 16, 0, $J$3*(16 - $D6183))</f>
        <v>0</v>
      </c>
      <c r="F6183">
        <f>IF($D6183 &gt; 16, 0,$E6183*$J$5)</f>
        <v>0</v>
      </c>
      <c r="G6183">
        <f t="shared" si="96"/>
        <v>0</v>
      </c>
    </row>
    <row r="6184" spans="2:7" x14ac:dyDescent="0.35">
      <c r="B6184" s="1">
        <v>45915</v>
      </c>
      <c r="C6184" s="2">
        <v>0.58333333333333337</v>
      </c>
      <c r="D6184">
        <v>15.2</v>
      </c>
      <c r="E6184">
        <f>IF($D6184 &gt; 16, 0, $J$3*(16 - $D6184))</f>
        <v>166.19891416055773</v>
      </c>
      <c r="F6184">
        <f>IF($D6184 &gt; 16, 0,$E6184*$J$5)</f>
        <v>1806415.998011102</v>
      </c>
      <c r="G6184">
        <f t="shared" si="96"/>
        <v>0.80000000000000071</v>
      </c>
    </row>
    <row r="6185" spans="2:7" x14ac:dyDescent="0.35">
      <c r="B6185" s="1">
        <v>45915</v>
      </c>
      <c r="C6185" s="2">
        <v>0.625</v>
      </c>
      <c r="D6185">
        <v>16.399999999999999</v>
      </c>
      <c r="E6185">
        <f>IF($D6185 &gt; 16, 0, $J$3*(16 - $D6185))</f>
        <v>0</v>
      </c>
      <c r="F6185">
        <f>IF($D6185 &gt; 16, 0,$E6185*$J$5)</f>
        <v>0</v>
      </c>
      <c r="G6185">
        <f t="shared" si="96"/>
        <v>0</v>
      </c>
    </row>
    <row r="6186" spans="2:7" x14ac:dyDescent="0.35">
      <c r="B6186" s="1">
        <v>45915</v>
      </c>
      <c r="C6186" s="2">
        <v>0.66666666666666663</v>
      </c>
      <c r="D6186">
        <v>17.5</v>
      </c>
      <c r="E6186">
        <f>IF($D6186 &gt; 16, 0, $J$3*(16 - $D6186))</f>
        <v>0</v>
      </c>
      <c r="F6186">
        <f>IF($D6186 &gt; 16, 0,$E6186*$J$5)</f>
        <v>0</v>
      </c>
      <c r="G6186">
        <f t="shared" si="96"/>
        <v>0</v>
      </c>
    </row>
    <row r="6187" spans="2:7" x14ac:dyDescent="0.35">
      <c r="B6187" s="1">
        <v>45915</v>
      </c>
      <c r="C6187" s="2">
        <v>0.70833333333333337</v>
      </c>
      <c r="D6187">
        <v>15.5</v>
      </c>
      <c r="E6187">
        <f>IF($D6187 &gt; 16, 0, $J$3*(16 - $D6187))</f>
        <v>103.8743213503485</v>
      </c>
      <c r="F6187">
        <f>IF($D6187 &gt; 16, 0,$E6187*$J$5)</f>
        <v>1129009.9987569377</v>
      </c>
      <c r="G6187">
        <f t="shared" si="96"/>
        <v>0.5</v>
      </c>
    </row>
    <row r="6188" spans="2:7" x14ac:dyDescent="0.35">
      <c r="B6188" s="1">
        <v>45915</v>
      </c>
      <c r="C6188" s="2">
        <v>0.75</v>
      </c>
      <c r="D6188">
        <v>14.3</v>
      </c>
      <c r="E6188">
        <f>IF($D6188 &gt; 16, 0, $J$3*(16 - $D6188))</f>
        <v>353.17269259118473</v>
      </c>
      <c r="F6188">
        <f>IF($D6188 &gt; 16, 0,$E6188*$J$5)</f>
        <v>3838633.9957735869</v>
      </c>
      <c r="G6188">
        <f t="shared" si="96"/>
        <v>1.6999999999999993</v>
      </c>
    </row>
    <row r="6189" spans="2:7" x14ac:dyDescent="0.35">
      <c r="B6189" s="1">
        <v>45915</v>
      </c>
      <c r="C6189" s="2">
        <v>0.79166666666666663</v>
      </c>
      <c r="D6189">
        <v>15.9</v>
      </c>
      <c r="E6189">
        <f>IF($D6189 &gt; 16, 0, $J$3*(16 - $D6189))</f>
        <v>20.774864270069624</v>
      </c>
      <c r="F6189">
        <f>IF($D6189 &gt; 16, 0,$E6189*$J$5)</f>
        <v>225801.99975138676</v>
      </c>
      <c r="G6189">
        <f t="shared" si="96"/>
        <v>9.9999999999999645E-2</v>
      </c>
    </row>
    <row r="6190" spans="2:7" x14ac:dyDescent="0.35">
      <c r="B6190" s="1">
        <v>45915</v>
      </c>
      <c r="C6190" s="2">
        <v>0.83333333333333337</v>
      </c>
      <c r="D6190">
        <v>15.7</v>
      </c>
      <c r="E6190">
        <f>IF($D6190 &gt; 16, 0, $J$3*(16 - $D6190))</f>
        <v>62.324592810209246</v>
      </c>
      <c r="F6190">
        <f>IF($D6190 &gt; 16, 0,$E6190*$J$5)</f>
        <v>677405.99925416429</v>
      </c>
      <c r="G6190">
        <f t="shared" si="96"/>
        <v>0.30000000000000071</v>
      </c>
    </row>
    <row r="6191" spans="2:7" x14ac:dyDescent="0.35">
      <c r="B6191" s="1">
        <v>45915</v>
      </c>
      <c r="C6191" s="2">
        <v>0.875</v>
      </c>
      <c r="D6191">
        <v>15.1</v>
      </c>
      <c r="E6191">
        <f>IF($D6191 &gt; 16, 0, $J$3*(16 - $D6191))</f>
        <v>186.97377843062736</v>
      </c>
      <c r="F6191">
        <f>IF($D6191 &gt; 16, 0,$E6191*$J$5)</f>
        <v>2032217.9977624889</v>
      </c>
      <c r="G6191">
        <f t="shared" si="96"/>
        <v>0.90000000000000036</v>
      </c>
    </row>
    <row r="6192" spans="2:7" x14ac:dyDescent="0.35">
      <c r="B6192" s="1">
        <v>45915</v>
      </c>
      <c r="C6192" s="2">
        <v>0.91666666666666663</v>
      </c>
      <c r="D6192">
        <v>14.3</v>
      </c>
      <c r="E6192">
        <f>IF($D6192 &gt; 16, 0, $J$3*(16 - $D6192))</f>
        <v>353.17269259118473</v>
      </c>
      <c r="F6192">
        <f>IF($D6192 &gt; 16, 0,$E6192*$J$5)</f>
        <v>3838633.9957735869</v>
      </c>
      <c r="G6192">
        <f t="shared" si="96"/>
        <v>1.6999999999999993</v>
      </c>
    </row>
    <row r="6193" spans="2:7" x14ac:dyDescent="0.35">
      <c r="B6193" s="1">
        <v>45915</v>
      </c>
      <c r="C6193" s="2">
        <v>0.95833333333333337</v>
      </c>
      <c r="D6193">
        <v>14.9</v>
      </c>
      <c r="E6193">
        <f>IF($D6193 &gt; 16, 0, $J$3*(16 - $D6193))</f>
        <v>228.52350697076662</v>
      </c>
      <c r="F6193">
        <f>IF($D6193 &gt; 16, 0,$E6193*$J$5)</f>
        <v>2483821.9972652625</v>
      </c>
      <c r="G6193">
        <f t="shared" si="96"/>
        <v>1.0999999999999996</v>
      </c>
    </row>
    <row r="6194" spans="2:7" x14ac:dyDescent="0.35">
      <c r="B6194" s="1">
        <v>45916</v>
      </c>
      <c r="C6194" s="2">
        <v>0</v>
      </c>
      <c r="D6194">
        <v>14.8</v>
      </c>
      <c r="E6194">
        <f>IF($D6194 &gt; 16, 0, $J$3*(16 - $D6194))</f>
        <v>249.29837124083625</v>
      </c>
      <c r="F6194">
        <f>IF($D6194 &gt; 16, 0,$E6194*$J$5)</f>
        <v>2709623.9970166492</v>
      </c>
      <c r="G6194">
        <f t="shared" si="96"/>
        <v>1.1999999999999993</v>
      </c>
    </row>
    <row r="6195" spans="2:7" x14ac:dyDescent="0.35">
      <c r="B6195" s="1">
        <v>45916</v>
      </c>
      <c r="C6195" s="2">
        <v>4.1666666666666657E-2</v>
      </c>
      <c r="D6195">
        <v>14.5</v>
      </c>
      <c r="E6195">
        <f>IF($D6195 &gt; 16, 0, $J$3*(16 - $D6195))</f>
        <v>311.62296405104547</v>
      </c>
      <c r="F6195">
        <f>IF($D6195 &gt; 16, 0,$E6195*$J$5)</f>
        <v>3387029.996270813</v>
      </c>
      <c r="G6195">
        <f t="shared" si="96"/>
        <v>1.5</v>
      </c>
    </row>
    <row r="6196" spans="2:7" x14ac:dyDescent="0.35">
      <c r="B6196" s="1">
        <v>45916</v>
      </c>
      <c r="C6196" s="2">
        <v>8.3333333333333329E-2</v>
      </c>
      <c r="D6196">
        <v>13.6</v>
      </c>
      <c r="E6196">
        <f>IF($D6196 &gt; 16, 0, $J$3*(16 - $D6196))</f>
        <v>498.59674248167283</v>
      </c>
      <c r="F6196">
        <f>IF($D6196 &gt; 16, 0,$E6196*$J$5)</f>
        <v>5419247.9940333022</v>
      </c>
      <c r="G6196">
        <f t="shared" si="96"/>
        <v>2.4000000000000004</v>
      </c>
    </row>
    <row r="6197" spans="2:7" x14ac:dyDescent="0.35">
      <c r="B6197" s="1">
        <v>45916</v>
      </c>
      <c r="C6197" s="2">
        <v>0.125</v>
      </c>
      <c r="D6197">
        <v>14</v>
      </c>
      <c r="E6197">
        <f>IF($D6197 &gt; 16, 0, $J$3*(16 - $D6197))</f>
        <v>415.49728540139398</v>
      </c>
      <c r="F6197">
        <f>IF($D6197 &gt; 16, 0,$E6197*$J$5)</f>
        <v>4516039.9950277507</v>
      </c>
      <c r="G6197">
        <f t="shared" si="96"/>
        <v>2</v>
      </c>
    </row>
    <row r="6198" spans="2:7" x14ac:dyDescent="0.35">
      <c r="B6198" s="1">
        <v>45916</v>
      </c>
      <c r="C6198" s="2">
        <v>0.16666666666666671</v>
      </c>
      <c r="D6198">
        <v>14.1</v>
      </c>
      <c r="E6198">
        <f>IF($D6198 &gt; 16, 0, $J$3*(16 - $D6198))</f>
        <v>394.72242113132438</v>
      </c>
      <c r="F6198">
        <f>IF($D6198 &gt; 16, 0,$E6198*$J$5)</f>
        <v>4290237.9952763645</v>
      </c>
      <c r="G6198">
        <f t="shared" si="96"/>
        <v>1.9000000000000004</v>
      </c>
    </row>
    <row r="6199" spans="2:7" x14ac:dyDescent="0.35">
      <c r="B6199" s="1">
        <v>45916</v>
      </c>
      <c r="C6199" s="2">
        <v>0.20833333333333329</v>
      </c>
      <c r="D6199">
        <v>14.4</v>
      </c>
      <c r="E6199">
        <f>IF($D6199 &gt; 16, 0, $J$3*(16 - $D6199))</f>
        <v>332.39782832111513</v>
      </c>
      <c r="F6199">
        <f>IF($D6199 &gt; 16, 0,$E6199*$J$5)</f>
        <v>3612831.9960222002</v>
      </c>
      <c r="G6199">
        <f t="shared" si="96"/>
        <v>1.5999999999999996</v>
      </c>
    </row>
    <row r="6200" spans="2:7" x14ac:dyDescent="0.35">
      <c r="B6200" s="1">
        <v>45916</v>
      </c>
      <c r="C6200" s="2">
        <v>0.25</v>
      </c>
      <c r="D6200">
        <v>14.3</v>
      </c>
      <c r="E6200">
        <f>IF($D6200 &gt; 16, 0, $J$3*(16 - $D6200))</f>
        <v>353.17269259118473</v>
      </c>
      <c r="F6200">
        <f>IF($D6200 &gt; 16, 0,$E6200*$J$5)</f>
        <v>3838633.9957735869</v>
      </c>
      <c r="G6200">
        <f t="shared" si="96"/>
        <v>1.6999999999999993</v>
      </c>
    </row>
    <row r="6201" spans="2:7" x14ac:dyDescent="0.35">
      <c r="B6201" s="1">
        <v>45916</v>
      </c>
      <c r="C6201" s="2">
        <v>0.29166666666666669</v>
      </c>
      <c r="D6201">
        <v>13.5</v>
      </c>
      <c r="E6201">
        <f>IF($D6201 &gt; 16, 0, $J$3*(16 - $D6201))</f>
        <v>519.37160675174243</v>
      </c>
      <c r="F6201">
        <f>IF($D6201 &gt; 16, 0,$E6201*$J$5)</f>
        <v>5645049.9937846884</v>
      </c>
      <c r="G6201">
        <f t="shared" si="96"/>
        <v>2.5</v>
      </c>
    </row>
    <row r="6202" spans="2:7" x14ac:dyDescent="0.35">
      <c r="B6202" s="1">
        <v>45916</v>
      </c>
      <c r="C6202" s="2">
        <v>0.33333333333333331</v>
      </c>
      <c r="D6202">
        <v>13.8</v>
      </c>
      <c r="E6202">
        <f>IF($D6202 &gt; 16, 0, $J$3*(16 - $D6202))</f>
        <v>457.04701394153324</v>
      </c>
      <c r="F6202">
        <f>IF($D6202 &gt; 16, 0,$E6202*$J$5)</f>
        <v>4967643.9945305251</v>
      </c>
      <c r="G6202">
        <f t="shared" si="96"/>
        <v>2.1999999999999993</v>
      </c>
    </row>
    <row r="6203" spans="2:7" x14ac:dyDescent="0.35">
      <c r="B6203" s="1">
        <v>45916</v>
      </c>
      <c r="C6203" s="2">
        <v>0.375</v>
      </c>
      <c r="D6203">
        <v>14.1</v>
      </c>
      <c r="E6203">
        <f>IF($D6203 &gt; 16, 0, $J$3*(16 - $D6203))</f>
        <v>394.72242113132438</v>
      </c>
      <c r="F6203">
        <f>IF($D6203 &gt; 16, 0,$E6203*$J$5)</f>
        <v>4290237.9952763645</v>
      </c>
      <c r="G6203">
        <f t="shared" si="96"/>
        <v>1.9000000000000004</v>
      </c>
    </row>
    <row r="6204" spans="2:7" x14ac:dyDescent="0.35">
      <c r="B6204" s="1">
        <v>45916</v>
      </c>
      <c r="C6204" s="2">
        <v>0.41666666666666669</v>
      </c>
      <c r="D6204">
        <v>14.9</v>
      </c>
      <c r="E6204">
        <f>IF($D6204 &gt; 16, 0, $J$3*(16 - $D6204))</f>
        <v>228.52350697076662</v>
      </c>
      <c r="F6204">
        <f>IF($D6204 &gt; 16, 0,$E6204*$J$5)</f>
        <v>2483821.9972652625</v>
      </c>
      <c r="G6204">
        <f t="shared" si="96"/>
        <v>1.0999999999999996</v>
      </c>
    </row>
    <row r="6205" spans="2:7" x14ac:dyDescent="0.35">
      <c r="B6205" s="1">
        <v>45916</v>
      </c>
      <c r="C6205" s="2">
        <v>0.45833333333333331</v>
      </c>
      <c r="D6205">
        <v>14.9</v>
      </c>
      <c r="E6205">
        <f>IF($D6205 &gt; 16, 0, $J$3*(16 - $D6205))</f>
        <v>228.52350697076662</v>
      </c>
      <c r="F6205">
        <f>IF($D6205 &gt; 16, 0,$E6205*$J$5)</f>
        <v>2483821.9972652625</v>
      </c>
      <c r="G6205">
        <f t="shared" si="96"/>
        <v>1.0999999999999996</v>
      </c>
    </row>
    <row r="6206" spans="2:7" x14ac:dyDescent="0.35">
      <c r="B6206" s="1">
        <v>45916</v>
      </c>
      <c r="C6206" s="2">
        <v>0.5</v>
      </c>
      <c r="D6206">
        <v>14.9</v>
      </c>
      <c r="E6206">
        <f>IF($D6206 &gt; 16, 0, $J$3*(16 - $D6206))</f>
        <v>228.52350697076662</v>
      </c>
      <c r="F6206">
        <f>IF($D6206 &gt; 16, 0,$E6206*$J$5)</f>
        <v>2483821.9972652625</v>
      </c>
      <c r="G6206">
        <f t="shared" si="96"/>
        <v>1.0999999999999996</v>
      </c>
    </row>
    <row r="6207" spans="2:7" x14ac:dyDescent="0.35">
      <c r="B6207" s="1">
        <v>45916</v>
      </c>
      <c r="C6207" s="2">
        <v>0.54166666666666663</v>
      </c>
      <c r="D6207">
        <v>14.4</v>
      </c>
      <c r="E6207">
        <f>IF($D6207 &gt; 16, 0, $J$3*(16 - $D6207))</f>
        <v>332.39782832111513</v>
      </c>
      <c r="F6207">
        <f>IF($D6207 &gt; 16, 0,$E6207*$J$5)</f>
        <v>3612831.9960222002</v>
      </c>
      <c r="G6207">
        <f t="shared" si="96"/>
        <v>1.5999999999999996</v>
      </c>
    </row>
    <row r="6208" spans="2:7" x14ac:dyDescent="0.35">
      <c r="B6208" s="1">
        <v>45916</v>
      </c>
      <c r="C6208" s="2">
        <v>0.58333333333333337</v>
      </c>
      <c r="D6208">
        <v>14.6</v>
      </c>
      <c r="E6208">
        <f>IF($D6208 &gt; 16, 0, $J$3*(16 - $D6208))</f>
        <v>290.84809978097587</v>
      </c>
      <c r="F6208">
        <f>IF($D6208 &gt; 16, 0,$E6208*$J$5)</f>
        <v>3161227.9965194268</v>
      </c>
      <c r="G6208">
        <f t="shared" si="96"/>
        <v>1.4000000000000004</v>
      </c>
    </row>
    <row r="6209" spans="2:7" x14ac:dyDescent="0.35">
      <c r="B6209" s="1">
        <v>45916</v>
      </c>
      <c r="C6209" s="2">
        <v>0.625</v>
      </c>
      <c r="D6209">
        <v>13.8</v>
      </c>
      <c r="E6209">
        <f>IF($D6209 &gt; 16, 0, $J$3*(16 - $D6209))</f>
        <v>457.04701394153324</v>
      </c>
      <c r="F6209">
        <f>IF($D6209 &gt; 16, 0,$E6209*$J$5)</f>
        <v>4967643.9945305251</v>
      </c>
      <c r="G6209">
        <f t="shared" si="96"/>
        <v>2.1999999999999993</v>
      </c>
    </row>
    <row r="6210" spans="2:7" x14ac:dyDescent="0.35">
      <c r="B6210" s="1">
        <v>45916</v>
      </c>
      <c r="C6210" s="2">
        <v>0.66666666666666663</v>
      </c>
      <c r="D6210">
        <v>14.3</v>
      </c>
      <c r="E6210">
        <f>IF($D6210 &gt; 16, 0, $J$3*(16 - $D6210))</f>
        <v>353.17269259118473</v>
      </c>
      <c r="F6210">
        <f>IF($D6210 &gt; 16, 0,$E6210*$J$5)</f>
        <v>3838633.9957735869</v>
      </c>
      <c r="G6210">
        <f t="shared" si="96"/>
        <v>1.6999999999999993</v>
      </c>
    </row>
    <row r="6211" spans="2:7" x14ac:dyDescent="0.35">
      <c r="B6211" s="1">
        <v>45916</v>
      </c>
      <c r="C6211" s="2">
        <v>0.70833333333333337</v>
      </c>
      <c r="D6211">
        <v>14.1</v>
      </c>
      <c r="E6211">
        <f>IF($D6211 &gt; 16, 0, $J$3*(16 - $D6211))</f>
        <v>394.72242113132438</v>
      </c>
      <c r="F6211">
        <f>IF($D6211 &gt; 16, 0,$E6211*$J$5)</f>
        <v>4290237.9952763645</v>
      </c>
      <c r="G6211">
        <f t="shared" ref="G6211:G6274" si="97">MAX(0, 16 - $D6211)</f>
        <v>1.9000000000000004</v>
      </c>
    </row>
    <row r="6212" spans="2:7" x14ac:dyDescent="0.35">
      <c r="B6212" s="1">
        <v>45916</v>
      </c>
      <c r="C6212" s="2">
        <v>0.75</v>
      </c>
      <c r="D6212">
        <v>12.8</v>
      </c>
      <c r="E6212">
        <f>IF($D6212 &gt; 16, 0, $J$3*(16 - $D6212))</f>
        <v>664.79565664223026</v>
      </c>
      <c r="F6212">
        <f>IF($D6212 &gt; 16, 0,$E6212*$J$5)</f>
        <v>7225663.9920444004</v>
      </c>
      <c r="G6212">
        <f t="shared" si="97"/>
        <v>3.1999999999999993</v>
      </c>
    </row>
    <row r="6213" spans="2:7" x14ac:dyDescent="0.35">
      <c r="B6213" s="1">
        <v>45916</v>
      </c>
      <c r="C6213" s="2">
        <v>0.79166666666666663</v>
      </c>
      <c r="D6213">
        <v>13.3</v>
      </c>
      <c r="E6213">
        <f>IF($D6213 &gt; 16, 0, $J$3*(16 - $D6213))</f>
        <v>560.92133529188175</v>
      </c>
      <c r="F6213">
        <f>IF($D6213 &gt; 16, 0,$E6213*$J$5)</f>
        <v>6096653.9932874627</v>
      </c>
      <c r="G6213">
        <f t="shared" si="97"/>
        <v>2.6999999999999993</v>
      </c>
    </row>
    <row r="6214" spans="2:7" x14ac:dyDescent="0.35">
      <c r="B6214" s="1">
        <v>45916</v>
      </c>
      <c r="C6214" s="2">
        <v>0.83333333333333337</v>
      </c>
      <c r="D6214">
        <v>13.3</v>
      </c>
      <c r="E6214">
        <f>IF($D6214 &gt; 16, 0, $J$3*(16 - $D6214))</f>
        <v>560.92133529188175</v>
      </c>
      <c r="F6214">
        <f>IF($D6214 &gt; 16, 0,$E6214*$J$5)</f>
        <v>6096653.9932874627</v>
      </c>
      <c r="G6214">
        <f t="shared" si="97"/>
        <v>2.6999999999999993</v>
      </c>
    </row>
    <row r="6215" spans="2:7" x14ac:dyDescent="0.35">
      <c r="B6215" s="1">
        <v>45916</v>
      </c>
      <c r="C6215" s="2">
        <v>0.875</v>
      </c>
      <c r="D6215">
        <v>12.6</v>
      </c>
      <c r="E6215">
        <f>IF($D6215 &gt; 16, 0, $J$3*(16 - $D6215))</f>
        <v>706.3453851823698</v>
      </c>
      <c r="F6215">
        <f>IF($D6215 &gt; 16, 0,$E6215*$J$5)</f>
        <v>7677267.9915471775</v>
      </c>
      <c r="G6215">
        <f t="shared" si="97"/>
        <v>3.4000000000000004</v>
      </c>
    </row>
    <row r="6216" spans="2:7" x14ac:dyDescent="0.35">
      <c r="B6216" s="1">
        <v>45916</v>
      </c>
      <c r="C6216" s="2">
        <v>0.91666666666666663</v>
      </c>
      <c r="D6216">
        <v>12.4</v>
      </c>
      <c r="E6216">
        <f>IF($D6216 &gt; 16, 0, $J$3*(16 - $D6216))</f>
        <v>747.89511372250911</v>
      </c>
      <c r="F6216">
        <f>IF($D6216 &gt; 16, 0,$E6216*$J$5)</f>
        <v>8128871.9910499519</v>
      </c>
      <c r="G6216">
        <f t="shared" si="97"/>
        <v>3.5999999999999996</v>
      </c>
    </row>
    <row r="6217" spans="2:7" x14ac:dyDescent="0.35">
      <c r="B6217" s="1">
        <v>45916</v>
      </c>
      <c r="C6217" s="2">
        <v>0.95833333333333337</v>
      </c>
      <c r="D6217">
        <v>12.2</v>
      </c>
      <c r="E6217">
        <f>IF($D6217 &gt; 16, 0, $J$3*(16 - $D6217))</f>
        <v>789.44484226264876</v>
      </c>
      <c r="F6217">
        <f>IF($D6217 &gt; 16, 0,$E6217*$J$5)</f>
        <v>8580475.990552729</v>
      </c>
      <c r="G6217">
        <f t="shared" si="97"/>
        <v>3.8000000000000007</v>
      </c>
    </row>
    <row r="6218" spans="2:7" x14ac:dyDescent="0.35">
      <c r="B6218" s="1">
        <v>45917</v>
      </c>
      <c r="C6218" s="2">
        <v>0</v>
      </c>
      <c r="D6218">
        <v>11.8</v>
      </c>
      <c r="E6218">
        <f>IF($D6218 &gt; 16, 0, $J$3*(16 - $D6218))</f>
        <v>872.54429934292716</v>
      </c>
      <c r="F6218">
        <f>IF($D6218 &gt; 16, 0,$E6218*$J$5)</f>
        <v>9483683.9895582758</v>
      </c>
      <c r="G6218">
        <f t="shared" si="97"/>
        <v>4.1999999999999993</v>
      </c>
    </row>
    <row r="6219" spans="2:7" x14ac:dyDescent="0.35">
      <c r="B6219" s="1">
        <v>45917</v>
      </c>
      <c r="C6219" s="2">
        <v>4.1666666666666657E-2</v>
      </c>
      <c r="D6219">
        <v>11.6</v>
      </c>
      <c r="E6219">
        <f>IF($D6219 &gt; 16, 0, $J$3*(16 - $D6219))</f>
        <v>914.09402788306681</v>
      </c>
      <c r="F6219">
        <f>IF($D6219 &gt; 16, 0,$E6219*$J$5)</f>
        <v>9935287.9890610538</v>
      </c>
      <c r="G6219">
        <f t="shared" si="97"/>
        <v>4.4000000000000004</v>
      </c>
    </row>
    <row r="6220" spans="2:7" x14ac:dyDescent="0.35">
      <c r="B6220" s="1">
        <v>45917</v>
      </c>
      <c r="C6220" s="2">
        <v>8.3333333333333329E-2</v>
      </c>
      <c r="D6220">
        <v>11.6</v>
      </c>
      <c r="E6220">
        <f>IF($D6220 &gt; 16, 0, $J$3*(16 - $D6220))</f>
        <v>914.09402788306681</v>
      </c>
      <c r="F6220">
        <f>IF($D6220 &gt; 16, 0,$E6220*$J$5)</f>
        <v>9935287.9890610538</v>
      </c>
      <c r="G6220">
        <f t="shared" si="97"/>
        <v>4.4000000000000004</v>
      </c>
    </row>
    <row r="6221" spans="2:7" x14ac:dyDescent="0.35">
      <c r="B6221" s="1">
        <v>45917</v>
      </c>
      <c r="C6221" s="2">
        <v>0.125</v>
      </c>
      <c r="D6221">
        <v>11.9</v>
      </c>
      <c r="E6221">
        <f>IF($D6221 &gt; 16, 0, $J$3*(16 - $D6221))</f>
        <v>851.76943507285762</v>
      </c>
      <c r="F6221">
        <f>IF($D6221 &gt; 16, 0,$E6221*$J$5)</f>
        <v>9257881.9898068886</v>
      </c>
      <c r="G6221">
        <f t="shared" si="97"/>
        <v>4.0999999999999996</v>
      </c>
    </row>
    <row r="6222" spans="2:7" x14ac:dyDescent="0.35">
      <c r="B6222" s="1">
        <v>45917</v>
      </c>
      <c r="C6222" s="2">
        <v>0.16666666666666671</v>
      </c>
      <c r="D6222">
        <v>12.1</v>
      </c>
      <c r="E6222">
        <f>IF($D6222 &gt; 16, 0, $J$3*(16 - $D6222))</f>
        <v>810.21970653271831</v>
      </c>
      <c r="F6222">
        <f>IF($D6222 &gt; 16, 0,$E6222*$J$5)</f>
        <v>8806277.9903041162</v>
      </c>
      <c r="G6222">
        <f t="shared" si="97"/>
        <v>3.9000000000000004</v>
      </c>
    </row>
    <row r="6223" spans="2:7" x14ac:dyDescent="0.35">
      <c r="B6223" s="1">
        <v>45917</v>
      </c>
      <c r="C6223" s="2">
        <v>0.20833333333333329</v>
      </c>
      <c r="D6223">
        <v>11.7</v>
      </c>
      <c r="E6223">
        <f>IF($D6223 &gt; 16, 0, $J$3*(16 - $D6223))</f>
        <v>893.31916361299716</v>
      </c>
      <c r="F6223">
        <f>IF($D6223 &gt; 16, 0,$E6223*$J$5)</f>
        <v>9709485.9893096667</v>
      </c>
      <c r="G6223">
        <f t="shared" si="97"/>
        <v>4.3000000000000007</v>
      </c>
    </row>
    <row r="6224" spans="2:7" x14ac:dyDescent="0.35">
      <c r="B6224" s="1">
        <v>45917</v>
      </c>
      <c r="C6224" s="2">
        <v>0.25</v>
      </c>
      <c r="D6224">
        <v>12.2</v>
      </c>
      <c r="E6224">
        <f>IF($D6224 &gt; 16, 0, $J$3*(16 - $D6224))</f>
        <v>789.44484226264876</v>
      </c>
      <c r="F6224">
        <f>IF($D6224 &gt; 16, 0,$E6224*$J$5)</f>
        <v>8580475.990552729</v>
      </c>
      <c r="G6224">
        <f t="shared" si="97"/>
        <v>3.8000000000000007</v>
      </c>
    </row>
    <row r="6225" spans="2:7" x14ac:dyDescent="0.35">
      <c r="B6225" s="1">
        <v>45917</v>
      </c>
      <c r="C6225" s="2">
        <v>0.29166666666666669</v>
      </c>
      <c r="D6225">
        <v>13.1</v>
      </c>
      <c r="E6225">
        <f>IF($D6225 &gt; 16, 0, $J$3*(16 - $D6225))</f>
        <v>602.4710638320214</v>
      </c>
      <c r="F6225">
        <f>IF($D6225 &gt; 16, 0,$E6225*$J$5)</f>
        <v>6548257.9927902408</v>
      </c>
      <c r="G6225">
        <f t="shared" si="97"/>
        <v>2.9000000000000004</v>
      </c>
    </row>
    <row r="6226" spans="2:7" x14ac:dyDescent="0.35">
      <c r="B6226" s="1">
        <v>45917</v>
      </c>
      <c r="C6226" s="2">
        <v>0.33333333333333331</v>
      </c>
      <c r="D6226">
        <v>13.7</v>
      </c>
      <c r="E6226">
        <f>IF($D6226 &gt; 16, 0, $J$3*(16 - $D6226))</f>
        <v>477.82187821160323</v>
      </c>
      <c r="F6226">
        <f>IF($D6226 &gt; 16, 0,$E6226*$J$5)</f>
        <v>5193445.9942819159</v>
      </c>
      <c r="G6226">
        <f t="shared" si="97"/>
        <v>2.3000000000000007</v>
      </c>
    </row>
    <row r="6227" spans="2:7" x14ac:dyDescent="0.35">
      <c r="B6227" s="1">
        <v>45917</v>
      </c>
      <c r="C6227" s="2">
        <v>0.375</v>
      </c>
      <c r="D6227">
        <v>14.7</v>
      </c>
      <c r="E6227">
        <f>IF($D6227 &gt; 16, 0, $J$3*(16 - $D6227))</f>
        <v>270.07323551090622</v>
      </c>
      <c r="F6227">
        <f>IF($D6227 &gt; 16, 0,$E6227*$J$5)</f>
        <v>2935425.9967680397</v>
      </c>
      <c r="G6227">
        <f t="shared" si="97"/>
        <v>1.3000000000000007</v>
      </c>
    </row>
    <row r="6228" spans="2:7" x14ac:dyDescent="0.35">
      <c r="B6228" s="1">
        <v>45917</v>
      </c>
      <c r="C6228" s="2">
        <v>0.41666666666666669</v>
      </c>
      <c r="D6228">
        <v>16.2</v>
      </c>
      <c r="E6228">
        <f>IF($D6228 &gt; 16, 0, $J$3*(16 - $D6228))</f>
        <v>0</v>
      </c>
      <c r="F6228">
        <f>IF($D6228 &gt; 16, 0,$E6228*$J$5)</f>
        <v>0</v>
      </c>
      <c r="G6228">
        <f t="shared" si="97"/>
        <v>0</v>
      </c>
    </row>
    <row r="6229" spans="2:7" x14ac:dyDescent="0.35">
      <c r="B6229" s="1">
        <v>45917</v>
      </c>
      <c r="C6229" s="2">
        <v>0.45833333333333331</v>
      </c>
      <c r="D6229">
        <v>16.5</v>
      </c>
      <c r="E6229">
        <f>IF($D6229 &gt; 16, 0, $J$3*(16 - $D6229))</f>
        <v>0</v>
      </c>
      <c r="F6229">
        <f>IF($D6229 &gt; 16, 0,$E6229*$J$5)</f>
        <v>0</v>
      </c>
      <c r="G6229">
        <f t="shared" si="97"/>
        <v>0</v>
      </c>
    </row>
    <row r="6230" spans="2:7" x14ac:dyDescent="0.35">
      <c r="B6230" s="1">
        <v>45917</v>
      </c>
      <c r="C6230" s="2">
        <v>0.5</v>
      </c>
      <c r="D6230">
        <v>17.2</v>
      </c>
      <c r="E6230">
        <f>IF($D6230 &gt; 16, 0, $J$3*(16 - $D6230))</f>
        <v>0</v>
      </c>
      <c r="F6230">
        <f>IF($D6230 &gt; 16, 0,$E6230*$J$5)</f>
        <v>0</v>
      </c>
      <c r="G6230">
        <f t="shared" si="97"/>
        <v>0</v>
      </c>
    </row>
    <row r="6231" spans="2:7" x14ac:dyDescent="0.35">
      <c r="B6231" s="1">
        <v>45917</v>
      </c>
      <c r="C6231" s="2">
        <v>0.54166666666666663</v>
      </c>
      <c r="D6231">
        <v>17.399999999999999</v>
      </c>
      <c r="E6231">
        <f>IF($D6231 &gt; 16, 0, $J$3*(16 - $D6231))</f>
        <v>0</v>
      </c>
      <c r="F6231">
        <f>IF($D6231 &gt; 16, 0,$E6231*$J$5)</f>
        <v>0</v>
      </c>
      <c r="G6231">
        <f t="shared" si="97"/>
        <v>0</v>
      </c>
    </row>
    <row r="6232" spans="2:7" x14ac:dyDescent="0.35">
      <c r="B6232" s="1">
        <v>45917</v>
      </c>
      <c r="C6232" s="2">
        <v>0.58333333333333337</v>
      </c>
      <c r="D6232">
        <v>18.3</v>
      </c>
      <c r="E6232">
        <f>IF($D6232 &gt; 16, 0, $J$3*(16 - $D6232))</f>
        <v>0</v>
      </c>
      <c r="F6232">
        <f>IF($D6232 &gt; 16, 0,$E6232*$J$5)</f>
        <v>0</v>
      </c>
      <c r="G6232">
        <f t="shared" si="97"/>
        <v>0</v>
      </c>
    </row>
    <row r="6233" spans="2:7" x14ac:dyDescent="0.35">
      <c r="B6233" s="1">
        <v>45917</v>
      </c>
      <c r="C6233" s="2">
        <v>0.625</v>
      </c>
      <c r="D6233">
        <v>18.100000000000001</v>
      </c>
      <c r="E6233">
        <f>IF($D6233 &gt; 16, 0, $J$3*(16 - $D6233))</f>
        <v>0</v>
      </c>
      <c r="F6233">
        <f>IF($D6233 &gt; 16, 0,$E6233*$J$5)</f>
        <v>0</v>
      </c>
      <c r="G6233">
        <f t="shared" si="97"/>
        <v>0</v>
      </c>
    </row>
    <row r="6234" spans="2:7" x14ac:dyDescent="0.35">
      <c r="B6234" s="1">
        <v>45917</v>
      </c>
      <c r="C6234" s="2">
        <v>0.66666666666666663</v>
      </c>
      <c r="D6234">
        <v>16.7</v>
      </c>
      <c r="E6234">
        <f>IF($D6234 &gt; 16, 0, $J$3*(16 - $D6234))</f>
        <v>0</v>
      </c>
      <c r="F6234">
        <f>IF($D6234 &gt; 16, 0,$E6234*$J$5)</f>
        <v>0</v>
      </c>
      <c r="G6234">
        <f t="shared" si="97"/>
        <v>0</v>
      </c>
    </row>
    <row r="6235" spans="2:7" x14ac:dyDescent="0.35">
      <c r="B6235" s="1">
        <v>45917</v>
      </c>
      <c r="C6235" s="2">
        <v>0.70833333333333337</v>
      </c>
      <c r="D6235">
        <v>15.2</v>
      </c>
      <c r="E6235">
        <f>IF($D6235 &gt; 16, 0, $J$3*(16 - $D6235))</f>
        <v>166.19891416055773</v>
      </c>
      <c r="F6235">
        <f>IF($D6235 &gt; 16, 0,$E6235*$J$5)</f>
        <v>1806415.998011102</v>
      </c>
      <c r="G6235">
        <f t="shared" si="97"/>
        <v>0.80000000000000071</v>
      </c>
    </row>
    <row r="6236" spans="2:7" x14ac:dyDescent="0.35">
      <c r="B6236" s="1">
        <v>45917</v>
      </c>
      <c r="C6236" s="2">
        <v>0.75</v>
      </c>
      <c r="D6236">
        <v>14.3</v>
      </c>
      <c r="E6236">
        <f>IF($D6236 &gt; 16, 0, $J$3*(16 - $D6236))</f>
        <v>353.17269259118473</v>
      </c>
      <c r="F6236">
        <f>IF($D6236 &gt; 16, 0,$E6236*$J$5)</f>
        <v>3838633.9957735869</v>
      </c>
      <c r="G6236">
        <f t="shared" si="97"/>
        <v>1.6999999999999993</v>
      </c>
    </row>
    <row r="6237" spans="2:7" x14ac:dyDescent="0.35">
      <c r="B6237" s="1">
        <v>45917</v>
      </c>
      <c r="C6237" s="2">
        <v>0.79166666666666663</v>
      </c>
      <c r="D6237">
        <v>14.6</v>
      </c>
      <c r="E6237">
        <f>IF($D6237 &gt; 16, 0, $J$3*(16 - $D6237))</f>
        <v>290.84809978097587</v>
      </c>
      <c r="F6237">
        <f>IF($D6237 &gt; 16, 0,$E6237*$J$5)</f>
        <v>3161227.9965194268</v>
      </c>
      <c r="G6237">
        <f t="shared" si="97"/>
        <v>1.4000000000000004</v>
      </c>
    </row>
    <row r="6238" spans="2:7" x14ac:dyDescent="0.35">
      <c r="B6238" s="1">
        <v>45917</v>
      </c>
      <c r="C6238" s="2">
        <v>0.83333333333333337</v>
      </c>
      <c r="D6238">
        <v>14.2</v>
      </c>
      <c r="E6238">
        <f>IF($D6238 &gt; 16, 0, $J$3*(16 - $D6238))</f>
        <v>373.94755686125472</v>
      </c>
      <c r="F6238">
        <f>IF($D6238 &gt; 16, 0,$E6238*$J$5)</f>
        <v>4064435.9955249778</v>
      </c>
      <c r="G6238">
        <f t="shared" si="97"/>
        <v>1.8000000000000007</v>
      </c>
    </row>
    <row r="6239" spans="2:7" x14ac:dyDescent="0.35">
      <c r="B6239" s="1">
        <v>45917</v>
      </c>
      <c r="C6239" s="2">
        <v>0.875</v>
      </c>
      <c r="D6239">
        <v>13.7</v>
      </c>
      <c r="E6239">
        <f>IF($D6239 &gt; 16, 0, $J$3*(16 - $D6239))</f>
        <v>477.82187821160323</v>
      </c>
      <c r="F6239">
        <f>IF($D6239 &gt; 16, 0,$E6239*$J$5)</f>
        <v>5193445.9942819159</v>
      </c>
      <c r="G6239">
        <f t="shared" si="97"/>
        <v>2.3000000000000007</v>
      </c>
    </row>
    <row r="6240" spans="2:7" x14ac:dyDescent="0.35">
      <c r="B6240" s="1">
        <v>45917</v>
      </c>
      <c r="C6240" s="2">
        <v>0.91666666666666663</v>
      </c>
      <c r="D6240">
        <v>13.8</v>
      </c>
      <c r="E6240">
        <f>IF($D6240 &gt; 16, 0, $J$3*(16 - $D6240))</f>
        <v>457.04701394153324</v>
      </c>
      <c r="F6240">
        <f>IF($D6240 &gt; 16, 0,$E6240*$J$5)</f>
        <v>4967643.9945305251</v>
      </c>
      <c r="G6240">
        <f t="shared" si="97"/>
        <v>2.1999999999999993</v>
      </c>
    </row>
    <row r="6241" spans="2:7" x14ac:dyDescent="0.35">
      <c r="B6241" s="1">
        <v>45917</v>
      </c>
      <c r="C6241" s="2">
        <v>0.95833333333333337</v>
      </c>
      <c r="D6241">
        <v>14</v>
      </c>
      <c r="E6241">
        <f>IF($D6241 &gt; 16, 0, $J$3*(16 - $D6241))</f>
        <v>415.49728540139398</v>
      </c>
      <c r="F6241">
        <f>IF($D6241 &gt; 16, 0,$E6241*$J$5)</f>
        <v>4516039.9950277507</v>
      </c>
      <c r="G6241">
        <f t="shared" si="97"/>
        <v>2</v>
      </c>
    </row>
    <row r="6242" spans="2:7" x14ac:dyDescent="0.35">
      <c r="B6242" s="1">
        <v>45918</v>
      </c>
      <c r="C6242" s="2">
        <v>0</v>
      </c>
      <c r="D6242">
        <v>14.3</v>
      </c>
      <c r="E6242">
        <f>IF($D6242 &gt; 16, 0, $J$3*(16 - $D6242))</f>
        <v>353.17269259118473</v>
      </c>
      <c r="F6242">
        <f>IF($D6242 &gt; 16, 0,$E6242*$J$5)</f>
        <v>3838633.9957735869</v>
      </c>
      <c r="G6242">
        <f t="shared" si="97"/>
        <v>1.6999999999999993</v>
      </c>
    </row>
    <row r="6243" spans="2:7" x14ac:dyDescent="0.35">
      <c r="B6243" s="1">
        <v>45918</v>
      </c>
      <c r="C6243" s="2">
        <v>4.1666666666666657E-2</v>
      </c>
      <c r="D6243">
        <v>14.5</v>
      </c>
      <c r="E6243">
        <f>IF($D6243 &gt; 16, 0, $J$3*(16 - $D6243))</f>
        <v>311.62296405104547</v>
      </c>
      <c r="F6243">
        <f>IF($D6243 &gt; 16, 0,$E6243*$J$5)</f>
        <v>3387029.996270813</v>
      </c>
      <c r="G6243">
        <f t="shared" si="97"/>
        <v>1.5</v>
      </c>
    </row>
    <row r="6244" spans="2:7" x14ac:dyDescent="0.35">
      <c r="B6244" s="1">
        <v>45918</v>
      </c>
      <c r="C6244" s="2">
        <v>8.3333333333333329E-2</v>
      </c>
      <c r="D6244">
        <v>14.7</v>
      </c>
      <c r="E6244">
        <f>IF($D6244 &gt; 16, 0, $J$3*(16 - $D6244))</f>
        <v>270.07323551090622</v>
      </c>
      <c r="F6244">
        <f>IF($D6244 &gt; 16, 0,$E6244*$J$5)</f>
        <v>2935425.9967680397</v>
      </c>
      <c r="G6244">
        <f t="shared" si="97"/>
        <v>1.3000000000000007</v>
      </c>
    </row>
    <row r="6245" spans="2:7" x14ac:dyDescent="0.35">
      <c r="B6245" s="1">
        <v>45918</v>
      </c>
      <c r="C6245" s="2">
        <v>0.125</v>
      </c>
      <c r="D6245">
        <v>15</v>
      </c>
      <c r="E6245">
        <f>IF($D6245 &gt; 16, 0, $J$3*(16 - $D6245))</f>
        <v>207.74864270069699</v>
      </c>
      <c r="F6245">
        <f>IF($D6245 &gt; 16, 0,$E6245*$J$5)</f>
        <v>2258019.9975138754</v>
      </c>
      <c r="G6245">
        <f t="shared" si="97"/>
        <v>1</v>
      </c>
    </row>
    <row r="6246" spans="2:7" x14ac:dyDescent="0.35">
      <c r="B6246" s="1">
        <v>45918</v>
      </c>
      <c r="C6246" s="2">
        <v>0.16666666666666671</v>
      </c>
      <c r="D6246">
        <v>15.4</v>
      </c>
      <c r="E6246">
        <f>IF($D6246 &gt; 16, 0, $J$3*(16 - $D6246))</f>
        <v>124.64918562041812</v>
      </c>
      <c r="F6246">
        <f>IF($D6246 &gt; 16, 0,$E6246*$J$5)</f>
        <v>1354811.9985083246</v>
      </c>
      <c r="G6246">
        <f t="shared" si="97"/>
        <v>0.59999999999999964</v>
      </c>
    </row>
    <row r="6247" spans="2:7" x14ac:dyDescent="0.35">
      <c r="B6247" s="1">
        <v>45918</v>
      </c>
      <c r="C6247" s="2">
        <v>0.20833333333333329</v>
      </c>
      <c r="D6247">
        <v>15.9</v>
      </c>
      <c r="E6247">
        <f>IF($D6247 &gt; 16, 0, $J$3*(16 - $D6247))</f>
        <v>20.774864270069624</v>
      </c>
      <c r="F6247">
        <f>IF($D6247 &gt; 16, 0,$E6247*$J$5)</f>
        <v>225801.99975138676</v>
      </c>
      <c r="G6247">
        <f t="shared" si="97"/>
        <v>9.9999999999999645E-2</v>
      </c>
    </row>
    <row r="6248" spans="2:7" x14ac:dyDescent="0.35">
      <c r="B6248" s="1">
        <v>45918</v>
      </c>
      <c r="C6248" s="2">
        <v>0.25</v>
      </c>
      <c r="D6248">
        <v>16.3</v>
      </c>
      <c r="E6248">
        <f>IF($D6248 &gt; 16, 0, $J$3*(16 - $D6248))</f>
        <v>0</v>
      </c>
      <c r="F6248">
        <f>IF($D6248 &gt; 16, 0,$E6248*$J$5)</f>
        <v>0</v>
      </c>
      <c r="G6248">
        <f t="shared" si="97"/>
        <v>0</v>
      </c>
    </row>
    <row r="6249" spans="2:7" x14ac:dyDescent="0.35">
      <c r="B6249" s="1">
        <v>45918</v>
      </c>
      <c r="C6249" s="2">
        <v>0.29166666666666669</v>
      </c>
      <c r="D6249">
        <v>16.7</v>
      </c>
      <c r="E6249">
        <f>IF($D6249 &gt; 16, 0, $J$3*(16 - $D6249))</f>
        <v>0</v>
      </c>
      <c r="F6249">
        <f>IF($D6249 &gt; 16, 0,$E6249*$J$5)</f>
        <v>0</v>
      </c>
      <c r="G6249">
        <f t="shared" si="97"/>
        <v>0</v>
      </c>
    </row>
    <row r="6250" spans="2:7" x14ac:dyDescent="0.35">
      <c r="B6250" s="1">
        <v>45918</v>
      </c>
      <c r="C6250" s="2">
        <v>0.33333333333333331</v>
      </c>
      <c r="D6250">
        <v>17.399999999999999</v>
      </c>
      <c r="E6250">
        <f>IF($D6250 &gt; 16, 0, $J$3*(16 - $D6250))</f>
        <v>0</v>
      </c>
      <c r="F6250">
        <f>IF($D6250 &gt; 16, 0,$E6250*$J$5)</f>
        <v>0</v>
      </c>
      <c r="G6250">
        <f t="shared" si="97"/>
        <v>0</v>
      </c>
    </row>
    <row r="6251" spans="2:7" x14ac:dyDescent="0.35">
      <c r="B6251" s="1">
        <v>45918</v>
      </c>
      <c r="C6251" s="2">
        <v>0.375</v>
      </c>
      <c r="D6251">
        <v>17.7</v>
      </c>
      <c r="E6251">
        <f>IF($D6251 &gt; 16, 0, $J$3*(16 - $D6251))</f>
        <v>0</v>
      </c>
      <c r="F6251">
        <f>IF($D6251 &gt; 16, 0,$E6251*$J$5)</f>
        <v>0</v>
      </c>
      <c r="G6251">
        <f t="shared" si="97"/>
        <v>0</v>
      </c>
    </row>
    <row r="6252" spans="2:7" x14ac:dyDescent="0.35">
      <c r="B6252" s="1">
        <v>45918</v>
      </c>
      <c r="C6252" s="2">
        <v>0.41666666666666669</v>
      </c>
      <c r="D6252">
        <v>18.600000000000001</v>
      </c>
      <c r="E6252">
        <f>IF($D6252 &gt; 16, 0, $J$3*(16 - $D6252))</f>
        <v>0</v>
      </c>
      <c r="F6252">
        <f>IF($D6252 &gt; 16, 0,$E6252*$J$5)</f>
        <v>0</v>
      </c>
      <c r="G6252">
        <f t="shared" si="97"/>
        <v>0</v>
      </c>
    </row>
    <row r="6253" spans="2:7" x14ac:dyDescent="0.35">
      <c r="B6253" s="1">
        <v>45918</v>
      </c>
      <c r="C6253" s="2">
        <v>0.45833333333333331</v>
      </c>
      <c r="D6253">
        <v>18.399999999999999</v>
      </c>
      <c r="E6253">
        <f>IF($D6253 &gt; 16, 0, $J$3*(16 - $D6253))</f>
        <v>0</v>
      </c>
      <c r="F6253">
        <f>IF($D6253 &gt; 16, 0,$E6253*$J$5)</f>
        <v>0</v>
      </c>
      <c r="G6253">
        <f t="shared" si="97"/>
        <v>0</v>
      </c>
    </row>
    <row r="6254" spans="2:7" x14ac:dyDescent="0.35">
      <c r="B6254" s="1">
        <v>45918</v>
      </c>
      <c r="C6254" s="2">
        <v>0.5</v>
      </c>
      <c r="D6254">
        <v>18.2</v>
      </c>
      <c r="E6254">
        <f>IF($D6254 &gt; 16, 0, $J$3*(16 - $D6254))</f>
        <v>0</v>
      </c>
      <c r="F6254">
        <f>IF($D6254 &gt; 16, 0,$E6254*$J$5)</f>
        <v>0</v>
      </c>
      <c r="G6254">
        <f t="shared" si="97"/>
        <v>0</v>
      </c>
    </row>
    <row r="6255" spans="2:7" x14ac:dyDescent="0.35">
      <c r="B6255" s="1">
        <v>45918</v>
      </c>
      <c r="C6255" s="2">
        <v>0.54166666666666663</v>
      </c>
      <c r="D6255">
        <v>19.8</v>
      </c>
      <c r="E6255">
        <f>IF($D6255 &gt; 16, 0, $J$3*(16 - $D6255))</f>
        <v>0</v>
      </c>
      <c r="F6255">
        <f>IF($D6255 &gt; 16, 0,$E6255*$J$5)</f>
        <v>0</v>
      </c>
      <c r="G6255">
        <f t="shared" si="97"/>
        <v>0</v>
      </c>
    </row>
    <row r="6256" spans="2:7" x14ac:dyDescent="0.35">
      <c r="B6256" s="1">
        <v>45918</v>
      </c>
      <c r="C6256" s="2">
        <v>0.58333333333333337</v>
      </c>
      <c r="D6256">
        <v>20.100000000000001</v>
      </c>
      <c r="E6256">
        <f>IF($D6256 &gt; 16, 0, $J$3*(16 - $D6256))</f>
        <v>0</v>
      </c>
      <c r="F6256">
        <f>IF($D6256 &gt; 16, 0,$E6256*$J$5)</f>
        <v>0</v>
      </c>
      <c r="G6256">
        <f t="shared" si="97"/>
        <v>0</v>
      </c>
    </row>
    <row r="6257" spans="2:7" x14ac:dyDescent="0.35">
      <c r="B6257" s="1">
        <v>45918</v>
      </c>
      <c r="C6257" s="2">
        <v>0.625</v>
      </c>
      <c r="D6257">
        <v>19.7</v>
      </c>
      <c r="E6257">
        <f>IF($D6257 &gt; 16, 0, $J$3*(16 - $D6257))</f>
        <v>0</v>
      </c>
      <c r="F6257">
        <f>IF($D6257 &gt; 16, 0,$E6257*$J$5)</f>
        <v>0</v>
      </c>
      <c r="G6257">
        <f t="shared" si="97"/>
        <v>0</v>
      </c>
    </row>
    <row r="6258" spans="2:7" x14ac:dyDescent="0.35">
      <c r="B6258" s="1">
        <v>45918</v>
      </c>
      <c r="C6258" s="2">
        <v>0.66666666666666663</v>
      </c>
      <c r="D6258">
        <v>18.600000000000001</v>
      </c>
      <c r="E6258">
        <f>IF($D6258 &gt; 16, 0, $J$3*(16 - $D6258))</f>
        <v>0</v>
      </c>
      <c r="F6258">
        <f>IF($D6258 &gt; 16, 0,$E6258*$J$5)</f>
        <v>0</v>
      </c>
      <c r="G6258">
        <f t="shared" si="97"/>
        <v>0</v>
      </c>
    </row>
    <row r="6259" spans="2:7" x14ac:dyDescent="0.35">
      <c r="B6259" s="1">
        <v>45918</v>
      </c>
      <c r="C6259" s="2">
        <v>0.70833333333333337</v>
      </c>
      <c r="D6259">
        <v>18</v>
      </c>
      <c r="E6259">
        <f>IF($D6259 &gt; 16, 0, $J$3*(16 - $D6259))</f>
        <v>0</v>
      </c>
      <c r="F6259">
        <f>IF($D6259 &gt; 16, 0,$E6259*$J$5)</f>
        <v>0</v>
      </c>
      <c r="G6259">
        <f t="shared" si="97"/>
        <v>0</v>
      </c>
    </row>
    <row r="6260" spans="2:7" x14ac:dyDescent="0.35">
      <c r="B6260" s="1">
        <v>45918</v>
      </c>
      <c r="C6260" s="2">
        <v>0.75</v>
      </c>
      <c r="D6260">
        <v>18.100000000000001</v>
      </c>
      <c r="E6260">
        <f>IF($D6260 &gt; 16, 0, $J$3*(16 - $D6260))</f>
        <v>0</v>
      </c>
      <c r="F6260">
        <f>IF($D6260 &gt; 16, 0,$E6260*$J$5)</f>
        <v>0</v>
      </c>
      <c r="G6260">
        <f t="shared" si="97"/>
        <v>0</v>
      </c>
    </row>
    <row r="6261" spans="2:7" x14ac:dyDescent="0.35">
      <c r="B6261" s="1">
        <v>45918</v>
      </c>
      <c r="C6261" s="2">
        <v>0.79166666666666663</v>
      </c>
      <c r="D6261">
        <v>18.100000000000001</v>
      </c>
      <c r="E6261">
        <f>IF($D6261 &gt; 16, 0, $J$3*(16 - $D6261))</f>
        <v>0</v>
      </c>
      <c r="F6261">
        <f>IF($D6261 &gt; 16, 0,$E6261*$J$5)</f>
        <v>0</v>
      </c>
      <c r="G6261">
        <f t="shared" si="97"/>
        <v>0</v>
      </c>
    </row>
    <row r="6262" spans="2:7" x14ac:dyDescent="0.35">
      <c r="B6262" s="1">
        <v>45918</v>
      </c>
      <c r="C6262" s="2">
        <v>0.83333333333333337</v>
      </c>
      <c r="D6262">
        <v>18.2</v>
      </c>
      <c r="E6262">
        <f>IF($D6262 &gt; 16, 0, $J$3*(16 - $D6262))</f>
        <v>0</v>
      </c>
      <c r="F6262">
        <f>IF($D6262 &gt; 16, 0,$E6262*$J$5)</f>
        <v>0</v>
      </c>
      <c r="G6262">
        <f t="shared" si="97"/>
        <v>0</v>
      </c>
    </row>
    <row r="6263" spans="2:7" x14ac:dyDescent="0.35">
      <c r="B6263" s="1">
        <v>45918</v>
      </c>
      <c r="C6263" s="2">
        <v>0.875</v>
      </c>
      <c r="D6263">
        <v>18.3</v>
      </c>
      <c r="E6263">
        <f>IF($D6263 &gt; 16, 0, $J$3*(16 - $D6263))</f>
        <v>0</v>
      </c>
      <c r="F6263">
        <f>IF($D6263 &gt; 16, 0,$E6263*$J$5)</f>
        <v>0</v>
      </c>
      <c r="G6263">
        <f t="shared" si="97"/>
        <v>0</v>
      </c>
    </row>
    <row r="6264" spans="2:7" x14ac:dyDescent="0.35">
      <c r="B6264" s="1">
        <v>45918</v>
      </c>
      <c r="C6264" s="2">
        <v>0.91666666666666663</v>
      </c>
      <c r="D6264">
        <v>18.399999999999999</v>
      </c>
      <c r="E6264">
        <f>IF($D6264 &gt; 16, 0, $J$3*(16 - $D6264))</f>
        <v>0</v>
      </c>
      <c r="F6264">
        <f>IF($D6264 &gt; 16, 0,$E6264*$J$5)</f>
        <v>0</v>
      </c>
      <c r="G6264">
        <f t="shared" si="97"/>
        <v>0</v>
      </c>
    </row>
    <row r="6265" spans="2:7" x14ac:dyDescent="0.35">
      <c r="B6265" s="1">
        <v>45918</v>
      </c>
      <c r="C6265" s="2">
        <v>0.95833333333333337</v>
      </c>
      <c r="D6265">
        <v>18.399999999999999</v>
      </c>
      <c r="E6265">
        <f>IF($D6265 &gt; 16, 0, $J$3*(16 - $D6265))</f>
        <v>0</v>
      </c>
      <c r="F6265">
        <f>IF($D6265 &gt; 16, 0,$E6265*$J$5)</f>
        <v>0</v>
      </c>
      <c r="G6265">
        <f t="shared" si="97"/>
        <v>0</v>
      </c>
    </row>
    <row r="6266" spans="2:7" x14ac:dyDescent="0.35">
      <c r="B6266" s="1">
        <v>45919</v>
      </c>
      <c r="C6266" s="2">
        <v>0</v>
      </c>
      <c r="D6266">
        <v>18.100000000000001</v>
      </c>
      <c r="E6266">
        <f>IF($D6266 &gt; 16, 0, $J$3*(16 - $D6266))</f>
        <v>0</v>
      </c>
      <c r="F6266">
        <f>IF($D6266 &gt; 16, 0,$E6266*$J$5)</f>
        <v>0</v>
      </c>
      <c r="G6266">
        <f t="shared" si="97"/>
        <v>0</v>
      </c>
    </row>
    <row r="6267" spans="2:7" x14ac:dyDescent="0.35">
      <c r="B6267" s="1">
        <v>45919</v>
      </c>
      <c r="C6267" s="2">
        <v>4.1666666666666657E-2</v>
      </c>
      <c r="D6267">
        <v>18</v>
      </c>
      <c r="E6267">
        <f>IF($D6267 &gt; 16, 0, $J$3*(16 - $D6267))</f>
        <v>0</v>
      </c>
      <c r="F6267">
        <f>IF($D6267 &gt; 16, 0,$E6267*$J$5)</f>
        <v>0</v>
      </c>
      <c r="G6267">
        <f t="shared" si="97"/>
        <v>0</v>
      </c>
    </row>
    <row r="6268" spans="2:7" x14ac:dyDescent="0.35">
      <c r="B6268" s="1">
        <v>45919</v>
      </c>
      <c r="C6268" s="2">
        <v>8.3333333333333329E-2</v>
      </c>
      <c r="D6268">
        <v>18</v>
      </c>
      <c r="E6268">
        <f>IF($D6268 &gt; 16, 0, $J$3*(16 - $D6268))</f>
        <v>0</v>
      </c>
      <c r="F6268">
        <f>IF($D6268 &gt; 16, 0,$E6268*$J$5)</f>
        <v>0</v>
      </c>
      <c r="G6268">
        <f t="shared" si="97"/>
        <v>0</v>
      </c>
    </row>
    <row r="6269" spans="2:7" x14ac:dyDescent="0.35">
      <c r="B6269" s="1">
        <v>45919</v>
      </c>
      <c r="C6269" s="2">
        <v>0.125</v>
      </c>
      <c r="D6269">
        <v>18</v>
      </c>
      <c r="E6269">
        <f>IF($D6269 &gt; 16, 0, $J$3*(16 - $D6269))</f>
        <v>0</v>
      </c>
      <c r="F6269">
        <f>IF($D6269 &gt; 16, 0,$E6269*$J$5)</f>
        <v>0</v>
      </c>
      <c r="G6269">
        <f t="shared" si="97"/>
        <v>0</v>
      </c>
    </row>
    <row r="6270" spans="2:7" x14ac:dyDescent="0.35">
      <c r="B6270" s="1">
        <v>45919</v>
      </c>
      <c r="C6270" s="2">
        <v>0.16666666666666671</v>
      </c>
      <c r="D6270">
        <v>17.8</v>
      </c>
      <c r="E6270">
        <f>IF($D6270 &gt; 16, 0, $J$3*(16 - $D6270))</f>
        <v>0</v>
      </c>
      <c r="F6270">
        <f>IF($D6270 &gt; 16, 0,$E6270*$J$5)</f>
        <v>0</v>
      </c>
      <c r="G6270">
        <f t="shared" si="97"/>
        <v>0</v>
      </c>
    </row>
    <row r="6271" spans="2:7" x14ac:dyDescent="0.35">
      <c r="B6271" s="1">
        <v>45919</v>
      </c>
      <c r="C6271" s="2">
        <v>0.20833333333333329</v>
      </c>
      <c r="D6271">
        <v>17.399999999999999</v>
      </c>
      <c r="E6271">
        <f>IF($D6271 &gt; 16, 0, $J$3*(16 - $D6271))</f>
        <v>0</v>
      </c>
      <c r="F6271">
        <f>IF($D6271 &gt; 16, 0,$E6271*$J$5)</f>
        <v>0</v>
      </c>
      <c r="G6271">
        <f t="shared" si="97"/>
        <v>0</v>
      </c>
    </row>
    <row r="6272" spans="2:7" x14ac:dyDescent="0.35">
      <c r="B6272" s="1">
        <v>45919</v>
      </c>
      <c r="C6272" s="2">
        <v>0.25</v>
      </c>
      <c r="D6272">
        <v>17.5</v>
      </c>
      <c r="E6272">
        <f>IF($D6272 &gt; 16, 0, $J$3*(16 - $D6272))</f>
        <v>0</v>
      </c>
      <c r="F6272">
        <f>IF($D6272 &gt; 16, 0,$E6272*$J$5)</f>
        <v>0</v>
      </c>
      <c r="G6272">
        <f t="shared" si="97"/>
        <v>0</v>
      </c>
    </row>
    <row r="6273" spans="2:7" x14ac:dyDescent="0.35">
      <c r="B6273" s="1">
        <v>45919</v>
      </c>
      <c r="C6273" s="2">
        <v>0.29166666666666669</v>
      </c>
      <c r="D6273">
        <v>17.899999999999999</v>
      </c>
      <c r="E6273">
        <f>IF($D6273 &gt; 16, 0, $J$3*(16 - $D6273))</f>
        <v>0</v>
      </c>
      <c r="F6273">
        <f>IF($D6273 &gt; 16, 0,$E6273*$J$5)</f>
        <v>0</v>
      </c>
      <c r="G6273">
        <f t="shared" si="97"/>
        <v>0</v>
      </c>
    </row>
    <row r="6274" spans="2:7" x14ac:dyDescent="0.35">
      <c r="B6274" s="1">
        <v>45919</v>
      </c>
      <c r="C6274" s="2">
        <v>0.33333333333333331</v>
      </c>
      <c r="D6274">
        <v>18</v>
      </c>
      <c r="E6274">
        <f>IF($D6274 &gt; 16, 0, $J$3*(16 - $D6274))</f>
        <v>0</v>
      </c>
      <c r="F6274">
        <f>IF($D6274 &gt; 16, 0,$E6274*$J$5)</f>
        <v>0</v>
      </c>
      <c r="G6274">
        <f t="shared" si="97"/>
        <v>0</v>
      </c>
    </row>
    <row r="6275" spans="2:7" x14ac:dyDescent="0.35">
      <c r="B6275" s="1">
        <v>45919</v>
      </c>
      <c r="C6275" s="2">
        <v>0.375</v>
      </c>
      <c r="D6275">
        <v>18.2</v>
      </c>
      <c r="E6275">
        <f>IF($D6275 &gt; 16, 0, $J$3*(16 - $D6275))</f>
        <v>0</v>
      </c>
      <c r="F6275">
        <f>IF($D6275 &gt; 16, 0,$E6275*$J$5)</f>
        <v>0</v>
      </c>
      <c r="G6275">
        <f t="shared" ref="G6275:G6338" si="98">MAX(0, 16 - $D6275)</f>
        <v>0</v>
      </c>
    </row>
    <row r="6276" spans="2:7" x14ac:dyDescent="0.35">
      <c r="B6276" s="1">
        <v>45919</v>
      </c>
      <c r="C6276" s="2">
        <v>0.41666666666666669</v>
      </c>
      <c r="D6276">
        <v>18.3</v>
      </c>
      <c r="E6276">
        <f>IF($D6276 &gt; 16, 0, $J$3*(16 - $D6276))</f>
        <v>0</v>
      </c>
      <c r="F6276">
        <f>IF($D6276 &gt; 16, 0,$E6276*$J$5)</f>
        <v>0</v>
      </c>
      <c r="G6276">
        <f t="shared" si="98"/>
        <v>0</v>
      </c>
    </row>
    <row r="6277" spans="2:7" x14ac:dyDescent="0.35">
      <c r="B6277" s="1">
        <v>45919</v>
      </c>
      <c r="C6277" s="2">
        <v>0.45833333333333331</v>
      </c>
      <c r="D6277">
        <v>19.399999999999999</v>
      </c>
      <c r="E6277">
        <f>IF($D6277 &gt; 16, 0, $J$3*(16 - $D6277))</f>
        <v>0</v>
      </c>
      <c r="F6277">
        <f>IF($D6277 &gt; 16, 0,$E6277*$J$5)</f>
        <v>0</v>
      </c>
      <c r="G6277">
        <f t="shared" si="98"/>
        <v>0</v>
      </c>
    </row>
    <row r="6278" spans="2:7" x14ac:dyDescent="0.35">
      <c r="B6278" s="1">
        <v>45919</v>
      </c>
      <c r="C6278" s="2">
        <v>0.5</v>
      </c>
      <c r="D6278">
        <v>20.6</v>
      </c>
      <c r="E6278">
        <f>IF($D6278 &gt; 16, 0, $J$3*(16 - $D6278))</f>
        <v>0</v>
      </c>
      <c r="F6278">
        <f>IF($D6278 &gt; 16, 0,$E6278*$J$5)</f>
        <v>0</v>
      </c>
      <c r="G6278">
        <f t="shared" si="98"/>
        <v>0</v>
      </c>
    </row>
    <row r="6279" spans="2:7" x14ac:dyDescent="0.35">
      <c r="B6279" s="1">
        <v>45919</v>
      </c>
      <c r="C6279" s="2">
        <v>0.54166666666666663</v>
      </c>
      <c r="D6279">
        <v>21.2</v>
      </c>
      <c r="E6279">
        <f>IF($D6279 &gt; 16, 0, $J$3*(16 - $D6279))</f>
        <v>0</v>
      </c>
      <c r="F6279">
        <f>IF($D6279 &gt; 16, 0,$E6279*$J$5)</f>
        <v>0</v>
      </c>
      <c r="G6279">
        <f t="shared" si="98"/>
        <v>0</v>
      </c>
    </row>
    <row r="6280" spans="2:7" x14ac:dyDescent="0.35">
      <c r="B6280" s="1">
        <v>45919</v>
      </c>
      <c r="C6280" s="2">
        <v>0.58333333333333337</v>
      </c>
      <c r="D6280">
        <v>22.3</v>
      </c>
      <c r="E6280">
        <f>IF($D6280 &gt; 16, 0, $J$3*(16 - $D6280))</f>
        <v>0</v>
      </c>
      <c r="F6280">
        <f>IF($D6280 &gt; 16, 0,$E6280*$J$5)</f>
        <v>0</v>
      </c>
      <c r="G6280">
        <f t="shared" si="98"/>
        <v>0</v>
      </c>
    </row>
    <row r="6281" spans="2:7" x14ac:dyDescent="0.35">
      <c r="B6281" s="1">
        <v>45919</v>
      </c>
      <c r="C6281" s="2">
        <v>0.625</v>
      </c>
      <c r="D6281">
        <v>22.3</v>
      </c>
      <c r="E6281">
        <f>IF($D6281 &gt; 16, 0, $J$3*(16 - $D6281))</f>
        <v>0</v>
      </c>
      <c r="F6281">
        <f>IF($D6281 &gt; 16, 0,$E6281*$J$5)</f>
        <v>0</v>
      </c>
      <c r="G6281">
        <f t="shared" si="98"/>
        <v>0</v>
      </c>
    </row>
    <row r="6282" spans="2:7" x14ac:dyDescent="0.35">
      <c r="B6282" s="1">
        <v>45919</v>
      </c>
      <c r="C6282" s="2">
        <v>0.66666666666666663</v>
      </c>
      <c r="D6282">
        <v>22.4</v>
      </c>
      <c r="E6282">
        <f>IF($D6282 &gt; 16, 0, $J$3*(16 - $D6282))</f>
        <v>0</v>
      </c>
      <c r="F6282">
        <f>IF($D6282 &gt; 16, 0,$E6282*$J$5)</f>
        <v>0</v>
      </c>
      <c r="G6282">
        <f t="shared" si="98"/>
        <v>0</v>
      </c>
    </row>
    <row r="6283" spans="2:7" x14ac:dyDescent="0.35">
      <c r="B6283" s="1">
        <v>45919</v>
      </c>
      <c r="C6283" s="2">
        <v>0.70833333333333337</v>
      </c>
      <c r="D6283">
        <v>21</v>
      </c>
      <c r="E6283">
        <f>IF($D6283 &gt; 16, 0, $J$3*(16 - $D6283))</f>
        <v>0</v>
      </c>
      <c r="F6283">
        <f>IF($D6283 &gt; 16, 0,$E6283*$J$5)</f>
        <v>0</v>
      </c>
      <c r="G6283">
        <f t="shared" si="98"/>
        <v>0</v>
      </c>
    </row>
    <row r="6284" spans="2:7" x14ac:dyDescent="0.35">
      <c r="B6284" s="1">
        <v>45919</v>
      </c>
      <c r="C6284" s="2">
        <v>0.75</v>
      </c>
      <c r="D6284">
        <v>19.3</v>
      </c>
      <c r="E6284">
        <f>IF($D6284 &gt; 16, 0, $J$3*(16 - $D6284))</f>
        <v>0</v>
      </c>
      <c r="F6284">
        <f>IF($D6284 &gt; 16, 0,$E6284*$J$5)</f>
        <v>0</v>
      </c>
      <c r="G6284">
        <f t="shared" si="98"/>
        <v>0</v>
      </c>
    </row>
    <row r="6285" spans="2:7" x14ac:dyDescent="0.35">
      <c r="B6285" s="1">
        <v>45919</v>
      </c>
      <c r="C6285" s="2">
        <v>0.79166666666666663</v>
      </c>
      <c r="D6285">
        <v>16.600000000000001</v>
      </c>
      <c r="E6285">
        <f>IF($D6285 &gt; 16, 0, $J$3*(16 - $D6285))</f>
        <v>0</v>
      </c>
      <c r="F6285">
        <f>IF($D6285 &gt; 16, 0,$E6285*$J$5)</f>
        <v>0</v>
      </c>
      <c r="G6285">
        <f t="shared" si="98"/>
        <v>0</v>
      </c>
    </row>
    <row r="6286" spans="2:7" x14ac:dyDescent="0.35">
      <c r="B6286" s="1">
        <v>45919</v>
      </c>
      <c r="C6286" s="2">
        <v>0.83333333333333337</v>
      </c>
      <c r="D6286">
        <v>16</v>
      </c>
      <c r="E6286">
        <f>IF($D6286 &gt; 16, 0, $J$3*(16 - $D6286))</f>
        <v>0</v>
      </c>
      <c r="F6286">
        <f>IF($D6286 &gt; 16, 0,$E6286*$J$5)</f>
        <v>0</v>
      </c>
      <c r="G6286">
        <f t="shared" si="98"/>
        <v>0</v>
      </c>
    </row>
    <row r="6287" spans="2:7" x14ac:dyDescent="0.35">
      <c r="B6287" s="1">
        <v>45919</v>
      </c>
      <c r="C6287" s="2">
        <v>0.875</v>
      </c>
      <c r="D6287">
        <v>16.8</v>
      </c>
      <c r="E6287">
        <f>IF($D6287 &gt; 16, 0, $J$3*(16 - $D6287))</f>
        <v>0</v>
      </c>
      <c r="F6287">
        <f>IF($D6287 &gt; 16, 0,$E6287*$J$5)</f>
        <v>0</v>
      </c>
      <c r="G6287">
        <f t="shared" si="98"/>
        <v>0</v>
      </c>
    </row>
    <row r="6288" spans="2:7" x14ac:dyDescent="0.35">
      <c r="B6288" s="1">
        <v>45919</v>
      </c>
      <c r="C6288" s="2">
        <v>0.91666666666666663</v>
      </c>
      <c r="D6288">
        <v>15.9</v>
      </c>
      <c r="E6288">
        <f>IF($D6288 &gt; 16, 0, $J$3*(16 - $D6288))</f>
        <v>20.774864270069624</v>
      </c>
      <c r="F6288">
        <f>IF($D6288 &gt; 16, 0,$E6288*$J$5)</f>
        <v>225801.99975138676</v>
      </c>
      <c r="G6288">
        <f t="shared" si="98"/>
        <v>9.9999999999999645E-2</v>
      </c>
    </row>
    <row r="6289" spans="2:7" x14ac:dyDescent="0.35">
      <c r="B6289" s="1">
        <v>45919</v>
      </c>
      <c r="C6289" s="2">
        <v>0.95833333333333337</v>
      </c>
      <c r="D6289">
        <v>16.100000000000001</v>
      </c>
      <c r="E6289">
        <f>IF($D6289 &gt; 16, 0, $J$3*(16 - $D6289))</f>
        <v>0</v>
      </c>
      <c r="F6289">
        <f>IF($D6289 &gt; 16, 0,$E6289*$J$5)</f>
        <v>0</v>
      </c>
      <c r="G6289">
        <f t="shared" si="98"/>
        <v>0</v>
      </c>
    </row>
    <row r="6290" spans="2:7" x14ac:dyDescent="0.35">
      <c r="B6290" s="1">
        <v>45920</v>
      </c>
      <c r="C6290" s="2">
        <v>0</v>
      </c>
      <c r="D6290">
        <v>15.4</v>
      </c>
      <c r="E6290">
        <f>IF($D6290 &gt; 16, 0, $J$3*(16 - $D6290))</f>
        <v>124.64918562041812</v>
      </c>
      <c r="F6290">
        <f>IF($D6290 &gt; 16, 0,$E6290*$J$5)</f>
        <v>1354811.9985083246</v>
      </c>
      <c r="G6290">
        <f t="shared" si="98"/>
        <v>0.59999999999999964</v>
      </c>
    </row>
    <row r="6291" spans="2:7" x14ac:dyDescent="0.35">
      <c r="B6291" s="1">
        <v>45920</v>
      </c>
      <c r="C6291" s="2">
        <v>4.1666666666666657E-2</v>
      </c>
      <c r="D6291">
        <v>15.7</v>
      </c>
      <c r="E6291">
        <f>IF($D6291 &gt; 16, 0, $J$3*(16 - $D6291))</f>
        <v>62.324592810209246</v>
      </c>
      <c r="F6291">
        <f>IF($D6291 &gt; 16, 0,$E6291*$J$5)</f>
        <v>677405.99925416429</v>
      </c>
      <c r="G6291">
        <f t="shared" si="98"/>
        <v>0.30000000000000071</v>
      </c>
    </row>
    <row r="6292" spans="2:7" x14ac:dyDescent="0.35">
      <c r="B6292" s="1">
        <v>45920</v>
      </c>
      <c r="C6292" s="2">
        <v>8.3333333333333329E-2</v>
      </c>
      <c r="D6292">
        <v>15.2</v>
      </c>
      <c r="E6292">
        <f>IF($D6292 &gt; 16, 0, $J$3*(16 - $D6292))</f>
        <v>166.19891416055773</v>
      </c>
      <c r="F6292">
        <f>IF($D6292 &gt; 16, 0,$E6292*$J$5)</f>
        <v>1806415.998011102</v>
      </c>
      <c r="G6292">
        <f t="shared" si="98"/>
        <v>0.80000000000000071</v>
      </c>
    </row>
    <row r="6293" spans="2:7" x14ac:dyDescent="0.35">
      <c r="B6293" s="1">
        <v>45920</v>
      </c>
      <c r="C6293" s="2">
        <v>0.125</v>
      </c>
      <c r="D6293">
        <v>14.2</v>
      </c>
      <c r="E6293">
        <f>IF($D6293 &gt; 16, 0, $J$3*(16 - $D6293))</f>
        <v>373.94755686125472</v>
      </c>
      <c r="F6293">
        <f>IF($D6293 &gt; 16, 0,$E6293*$J$5)</f>
        <v>4064435.9955249778</v>
      </c>
      <c r="G6293">
        <f t="shared" si="98"/>
        <v>1.8000000000000007</v>
      </c>
    </row>
    <row r="6294" spans="2:7" x14ac:dyDescent="0.35">
      <c r="B6294" s="1">
        <v>45920</v>
      </c>
      <c r="C6294" s="2">
        <v>0.16666666666666671</v>
      </c>
      <c r="D6294">
        <v>13.7</v>
      </c>
      <c r="E6294">
        <f>IF($D6294 &gt; 16, 0, $J$3*(16 - $D6294))</f>
        <v>477.82187821160323</v>
      </c>
      <c r="F6294">
        <f>IF($D6294 &gt; 16, 0,$E6294*$J$5)</f>
        <v>5193445.9942819159</v>
      </c>
      <c r="G6294">
        <f t="shared" si="98"/>
        <v>2.3000000000000007</v>
      </c>
    </row>
    <row r="6295" spans="2:7" x14ac:dyDescent="0.35">
      <c r="B6295" s="1">
        <v>45920</v>
      </c>
      <c r="C6295" s="2">
        <v>0.20833333333333329</v>
      </c>
      <c r="D6295">
        <v>13.4</v>
      </c>
      <c r="E6295">
        <f>IF($D6295 &gt; 16, 0, $J$3*(16 - $D6295))</f>
        <v>540.14647102181209</v>
      </c>
      <c r="F6295">
        <f>IF($D6295 &gt; 16, 0,$E6295*$J$5)</f>
        <v>5870851.9935360756</v>
      </c>
      <c r="G6295">
        <f t="shared" si="98"/>
        <v>2.5999999999999996</v>
      </c>
    </row>
    <row r="6296" spans="2:7" x14ac:dyDescent="0.35">
      <c r="B6296" s="1">
        <v>45920</v>
      </c>
      <c r="C6296" s="2">
        <v>0.25</v>
      </c>
      <c r="D6296">
        <v>13.1</v>
      </c>
      <c r="E6296">
        <f>IF($D6296 &gt; 16, 0, $J$3*(16 - $D6296))</f>
        <v>602.4710638320214</v>
      </c>
      <c r="F6296">
        <f>IF($D6296 &gt; 16, 0,$E6296*$J$5)</f>
        <v>6548257.9927902408</v>
      </c>
      <c r="G6296">
        <f t="shared" si="98"/>
        <v>2.9000000000000004</v>
      </c>
    </row>
    <row r="6297" spans="2:7" x14ac:dyDescent="0.35">
      <c r="B6297" s="1">
        <v>45920</v>
      </c>
      <c r="C6297" s="2">
        <v>0.29166666666666669</v>
      </c>
      <c r="D6297">
        <v>16.3</v>
      </c>
      <c r="E6297">
        <f>IF($D6297 &gt; 16, 0, $J$3*(16 - $D6297))</f>
        <v>0</v>
      </c>
      <c r="F6297">
        <f>IF($D6297 &gt; 16, 0,$E6297*$J$5)</f>
        <v>0</v>
      </c>
      <c r="G6297">
        <f t="shared" si="98"/>
        <v>0</v>
      </c>
    </row>
    <row r="6298" spans="2:7" x14ac:dyDescent="0.35">
      <c r="B6298" s="1">
        <v>45920</v>
      </c>
      <c r="C6298" s="2">
        <v>0.33333333333333331</v>
      </c>
      <c r="D6298">
        <v>18.600000000000001</v>
      </c>
      <c r="E6298">
        <f>IF($D6298 &gt; 16, 0, $J$3*(16 - $D6298))</f>
        <v>0</v>
      </c>
      <c r="F6298">
        <f>IF($D6298 &gt; 16, 0,$E6298*$J$5)</f>
        <v>0</v>
      </c>
      <c r="G6298">
        <f t="shared" si="98"/>
        <v>0</v>
      </c>
    </row>
    <row r="6299" spans="2:7" x14ac:dyDescent="0.35">
      <c r="B6299" s="1">
        <v>45920</v>
      </c>
      <c r="C6299" s="2">
        <v>0.375</v>
      </c>
      <c r="D6299">
        <v>20.8</v>
      </c>
      <c r="E6299">
        <f>IF($D6299 &gt; 16, 0, $J$3*(16 - $D6299))</f>
        <v>0</v>
      </c>
      <c r="F6299">
        <f>IF($D6299 &gt; 16, 0,$E6299*$J$5)</f>
        <v>0</v>
      </c>
      <c r="G6299">
        <f t="shared" si="98"/>
        <v>0</v>
      </c>
    </row>
    <row r="6300" spans="2:7" x14ac:dyDescent="0.35">
      <c r="B6300" s="1">
        <v>45920</v>
      </c>
      <c r="C6300" s="2">
        <v>0.41666666666666669</v>
      </c>
      <c r="D6300">
        <v>23.1</v>
      </c>
      <c r="E6300">
        <f>IF($D6300 &gt; 16, 0, $J$3*(16 - $D6300))</f>
        <v>0</v>
      </c>
      <c r="F6300">
        <f>IF($D6300 &gt; 16, 0,$E6300*$J$5)</f>
        <v>0</v>
      </c>
      <c r="G6300">
        <f t="shared" si="98"/>
        <v>0</v>
      </c>
    </row>
    <row r="6301" spans="2:7" x14ac:dyDescent="0.35">
      <c r="B6301" s="1">
        <v>45920</v>
      </c>
      <c r="C6301" s="2">
        <v>0.45833333333333331</v>
      </c>
      <c r="D6301">
        <v>25.2</v>
      </c>
      <c r="E6301">
        <f>IF($D6301 &gt; 16, 0, $J$3*(16 - $D6301))</f>
        <v>0</v>
      </c>
      <c r="F6301">
        <f>IF($D6301 &gt; 16, 0,$E6301*$J$5)</f>
        <v>0</v>
      </c>
      <c r="G6301">
        <f t="shared" si="98"/>
        <v>0</v>
      </c>
    </row>
    <row r="6302" spans="2:7" x14ac:dyDescent="0.35">
      <c r="B6302" s="1">
        <v>45920</v>
      </c>
      <c r="C6302" s="2">
        <v>0.5</v>
      </c>
      <c r="D6302">
        <v>26.2</v>
      </c>
      <c r="E6302">
        <f>IF($D6302 &gt; 16, 0, $J$3*(16 - $D6302))</f>
        <v>0</v>
      </c>
      <c r="F6302">
        <f>IF($D6302 &gt; 16, 0,$E6302*$J$5)</f>
        <v>0</v>
      </c>
      <c r="G6302">
        <f t="shared" si="98"/>
        <v>0</v>
      </c>
    </row>
    <row r="6303" spans="2:7" x14ac:dyDescent="0.35">
      <c r="B6303" s="1">
        <v>45920</v>
      </c>
      <c r="C6303" s="2">
        <v>0.54166666666666663</v>
      </c>
      <c r="D6303">
        <v>27.1</v>
      </c>
      <c r="E6303">
        <f>IF($D6303 &gt; 16, 0, $J$3*(16 - $D6303))</f>
        <v>0</v>
      </c>
      <c r="F6303">
        <f>IF($D6303 &gt; 16, 0,$E6303*$J$5)</f>
        <v>0</v>
      </c>
      <c r="G6303">
        <f t="shared" si="98"/>
        <v>0</v>
      </c>
    </row>
    <row r="6304" spans="2:7" x14ac:dyDescent="0.35">
      <c r="B6304" s="1">
        <v>45920</v>
      </c>
      <c r="C6304" s="2">
        <v>0.58333333333333337</v>
      </c>
      <c r="D6304">
        <v>26.8</v>
      </c>
      <c r="E6304">
        <f>IF($D6304 &gt; 16, 0, $J$3*(16 - $D6304))</f>
        <v>0</v>
      </c>
      <c r="F6304">
        <f>IF($D6304 &gt; 16, 0,$E6304*$J$5)</f>
        <v>0</v>
      </c>
      <c r="G6304">
        <f t="shared" si="98"/>
        <v>0</v>
      </c>
    </row>
    <row r="6305" spans="2:7" x14ac:dyDescent="0.35">
      <c r="B6305" s="1">
        <v>45920</v>
      </c>
      <c r="C6305" s="2">
        <v>0.625</v>
      </c>
      <c r="D6305">
        <v>26.1</v>
      </c>
      <c r="E6305">
        <f>IF($D6305 &gt; 16, 0, $J$3*(16 - $D6305))</f>
        <v>0</v>
      </c>
      <c r="F6305">
        <f>IF($D6305 &gt; 16, 0,$E6305*$J$5)</f>
        <v>0</v>
      </c>
      <c r="G6305">
        <f t="shared" si="98"/>
        <v>0</v>
      </c>
    </row>
    <row r="6306" spans="2:7" x14ac:dyDescent="0.35">
      <c r="B6306" s="1">
        <v>45920</v>
      </c>
      <c r="C6306" s="2">
        <v>0.66666666666666663</v>
      </c>
      <c r="D6306">
        <v>24.9</v>
      </c>
      <c r="E6306">
        <f>IF($D6306 &gt; 16, 0, $J$3*(16 - $D6306))</f>
        <v>0</v>
      </c>
      <c r="F6306">
        <f>IF($D6306 &gt; 16, 0,$E6306*$J$5)</f>
        <v>0</v>
      </c>
      <c r="G6306">
        <f t="shared" si="98"/>
        <v>0</v>
      </c>
    </row>
    <row r="6307" spans="2:7" x14ac:dyDescent="0.35">
      <c r="B6307" s="1">
        <v>45920</v>
      </c>
      <c r="C6307" s="2">
        <v>0.70833333333333337</v>
      </c>
      <c r="D6307">
        <v>24.4</v>
      </c>
      <c r="E6307">
        <f>IF($D6307 &gt; 16, 0, $J$3*(16 - $D6307))</f>
        <v>0</v>
      </c>
      <c r="F6307">
        <f>IF($D6307 &gt; 16, 0,$E6307*$J$5)</f>
        <v>0</v>
      </c>
      <c r="G6307">
        <f t="shared" si="98"/>
        <v>0</v>
      </c>
    </row>
    <row r="6308" spans="2:7" x14ac:dyDescent="0.35">
      <c r="B6308" s="1">
        <v>45920</v>
      </c>
      <c r="C6308" s="2">
        <v>0.75</v>
      </c>
      <c r="D6308">
        <v>21.8</v>
      </c>
      <c r="E6308">
        <f>IF($D6308 &gt; 16, 0, $J$3*(16 - $D6308))</f>
        <v>0</v>
      </c>
      <c r="F6308">
        <f>IF($D6308 &gt; 16, 0,$E6308*$J$5)</f>
        <v>0</v>
      </c>
      <c r="G6308">
        <f t="shared" si="98"/>
        <v>0</v>
      </c>
    </row>
    <row r="6309" spans="2:7" x14ac:dyDescent="0.35">
      <c r="B6309" s="1">
        <v>45920</v>
      </c>
      <c r="C6309" s="2">
        <v>0.79166666666666663</v>
      </c>
      <c r="D6309">
        <v>19.8</v>
      </c>
      <c r="E6309">
        <f>IF($D6309 &gt; 16, 0, $J$3*(16 - $D6309))</f>
        <v>0</v>
      </c>
      <c r="F6309">
        <f>IF($D6309 &gt; 16, 0,$E6309*$J$5)</f>
        <v>0</v>
      </c>
      <c r="G6309">
        <f t="shared" si="98"/>
        <v>0</v>
      </c>
    </row>
    <row r="6310" spans="2:7" x14ac:dyDescent="0.35">
      <c r="B6310" s="1">
        <v>45920</v>
      </c>
      <c r="C6310" s="2">
        <v>0.83333333333333337</v>
      </c>
      <c r="D6310">
        <v>19.399999999999999</v>
      </c>
      <c r="E6310">
        <f>IF($D6310 &gt; 16, 0, $J$3*(16 - $D6310))</f>
        <v>0</v>
      </c>
      <c r="F6310">
        <f>IF($D6310 &gt; 16, 0,$E6310*$J$5)</f>
        <v>0</v>
      </c>
      <c r="G6310">
        <f t="shared" si="98"/>
        <v>0</v>
      </c>
    </row>
    <row r="6311" spans="2:7" x14ac:dyDescent="0.35">
      <c r="B6311" s="1">
        <v>45920</v>
      </c>
      <c r="C6311" s="2">
        <v>0.875</v>
      </c>
      <c r="D6311">
        <v>19.899999999999999</v>
      </c>
      <c r="E6311">
        <f>IF($D6311 &gt; 16, 0, $J$3*(16 - $D6311))</f>
        <v>0</v>
      </c>
      <c r="F6311">
        <f>IF($D6311 &gt; 16, 0,$E6311*$J$5)</f>
        <v>0</v>
      </c>
      <c r="G6311">
        <f t="shared" si="98"/>
        <v>0</v>
      </c>
    </row>
    <row r="6312" spans="2:7" x14ac:dyDescent="0.35">
      <c r="B6312" s="1">
        <v>45920</v>
      </c>
      <c r="C6312" s="2">
        <v>0.91666666666666663</v>
      </c>
      <c r="D6312">
        <v>19.2</v>
      </c>
      <c r="E6312">
        <f>IF($D6312 &gt; 16, 0, $J$3*(16 - $D6312))</f>
        <v>0</v>
      </c>
      <c r="F6312">
        <f>IF($D6312 &gt; 16, 0,$E6312*$J$5)</f>
        <v>0</v>
      </c>
      <c r="G6312">
        <f t="shared" si="98"/>
        <v>0</v>
      </c>
    </row>
    <row r="6313" spans="2:7" x14ac:dyDescent="0.35">
      <c r="B6313" s="1">
        <v>45920</v>
      </c>
      <c r="C6313" s="2">
        <v>0.95833333333333337</v>
      </c>
      <c r="D6313">
        <v>19.100000000000001</v>
      </c>
      <c r="E6313">
        <f>IF($D6313 &gt; 16, 0, $J$3*(16 - $D6313))</f>
        <v>0</v>
      </c>
      <c r="F6313">
        <f>IF($D6313 &gt; 16, 0,$E6313*$J$5)</f>
        <v>0</v>
      </c>
      <c r="G6313">
        <f t="shared" si="98"/>
        <v>0</v>
      </c>
    </row>
    <row r="6314" spans="2:7" x14ac:dyDescent="0.35">
      <c r="B6314" s="1">
        <v>45921</v>
      </c>
      <c r="C6314" s="2">
        <v>0</v>
      </c>
      <c r="D6314">
        <v>18.7</v>
      </c>
      <c r="E6314">
        <f>IF($D6314 &gt; 16, 0, $J$3*(16 - $D6314))</f>
        <v>0</v>
      </c>
      <c r="F6314">
        <f>IF($D6314 &gt; 16, 0,$E6314*$J$5)</f>
        <v>0</v>
      </c>
      <c r="G6314">
        <f t="shared" si="98"/>
        <v>0</v>
      </c>
    </row>
    <row r="6315" spans="2:7" x14ac:dyDescent="0.35">
      <c r="B6315" s="1">
        <v>45921</v>
      </c>
      <c r="C6315" s="2">
        <v>4.1666666666666657E-2</v>
      </c>
      <c r="D6315">
        <v>18.399999999999999</v>
      </c>
      <c r="E6315">
        <f>IF($D6315 &gt; 16, 0, $J$3*(16 - $D6315))</f>
        <v>0</v>
      </c>
      <c r="F6315">
        <f>IF($D6315 &gt; 16, 0,$E6315*$J$5)</f>
        <v>0</v>
      </c>
      <c r="G6315">
        <f t="shared" si="98"/>
        <v>0</v>
      </c>
    </row>
    <row r="6316" spans="2:7" x14ac:dyDescent="0.35">
      <c r="B6316" s="1">
        <v>45921</v>
      </c>
      <c r="C6316" s="2">
        <v>8.3333333333333329E-2</v>
      </c>
      <c r="D6316">
        <v>19.8</v>
      </c>
      <c r="E6316">
        <f>IF($D6316 &gt; 16, 0, $J$3*(16 - $D6316))</f>
        <v>0</v>
      </c>
      <c r="F6316">
        <f>IF($D6316 &gt; 16, 0,$E6316*$J$5)</f>
        <v>0</v>
      </c>
      <c r="G6316">
        <f t="shared" si="98"/>
        <v>0</v>
      </c>
    </row>
    <row r="6317" spans="2:7" x14ac:dyDescent="0.35">
      <c r="B6317" s="1">
        <v>45921</v>
      </c>
      <c r="C6317" s="2">
        <v>0.125</v>
      </c>
      <c r="D6317">
        <v>19.399999999999999</v>
      </c>
      <c r="E6317">
        <f>IF($D6317 &gt; 16, 0, $J$3*(16 - $D6317))</f>
        <v>0</v>
      </c>
      <c r="F6317">
        <f>IF($D6317 &gt; 16, 0,$E6317*$J$5)</f>
        <v>0</v>
      </c>
      <c r="G6317">
        <f t="shared" si="98"/>
        <v>0</v>
      </c>
    </row>
    <row r="6318" spans="2:7" x14ac:dyDescent="0.35">
      <c r="B6318" s="1">
        <v>45921</v>
      </c>
      <c r="C6318" s="2">
        <v>0.16666666666666671</v>
      </c>
      <c r="D6318">
        <v>19.8</v>
      </c>
      <c r="E6318">
        <f>IF($D6318 &gt; 16, 0, $J$3*(16 - $D6318))</f>
        <v>0</v>
      </c>
      <c r="F6318">
        <f>IF($D6318 &gt; 16, 0,$E6318*$J$5)</f>
        <v>0</v>
      </c>
      <c r="G6318">
        <f t="shared" si="98"/>
        <v>0</v>
      </c>
    </row>
    <row r="6319" spans="2:7" x14ac:dyDescent="0.35">
      <c r="B6319" s="1">
        <v>45921</v>
      </c>
      <c r="C6319" s="2">
        <v>0.20833333333333329</v>
      </c>
      <c r="D6319">
        <v>19.7</v>
      </c>
      <c r="E6319">
        <f>IF($D6319 &gt; 16, 0, $J$3*(16 - $D6319))</f>
        <v>0</v>
      </c>
      <c r="F6319">
        <f>IF($D6319 &gt; 16, 0,$E6319*$J$5)</f>
        <v>0</v>
      </c>
      <c r="G6319">
        <f t="shared" si="98"/>
        <v>0</v>
      </c>
    </row>
    <row r="6320" spans="2:7" x14ac:dyDescent="0.35">
      <c r="B6320" s="1">
        <v>45921</v>
      </c>
      <c r="C6320" s="2">
        <v>0.25</v>
      </c>
      <c r="D6320">
        <v>20.100000000000001</v>
      </c>
      <c r="E6320">
        <f>IF($D6320 &gt; 16, 0, $J$3*(16 - $D6320))</f>
        <v>0</v>
      </c>
      <c r="F6320">
        <f>IF($D6320 &gt; 16, 0,$E6320*$J$5)</f>
        <v>0</v>
      </c>
      <c r="G6320">
        <f t="shared" si="98"/>
        <v>0</v>
      </c>
    </row>
    <row r="6321" spans="2:7" x14ac:dyDescent="0.35">
      <c r="B6321" s="1">
        <v>45921</v>
      </c>
      <c r="C6321" s="2">
        <v>0.29166666666666669</v>
      </c>
      <c r="D6321">
        <v>20.3</v>
      </c>
      <c r="E6321">
        <f>IF($D6321 &gt; 16, 0, $J$3*(16 - $D6321))</f>
        <v>0</v>
      </c>
      <c r="F6321">
        <f>IF($D6321 &gt; 16, 0,$E6321*$J$5)</f>
        <v>0</v>
      </c>
      <c r="G6321">
        <f t="shared" si="98"/>
        <v>0</v>
      </c>
    </row>
    <row r="6322" spans="2:7" x14ac:dyDescent="0.35">
      <c r="B6322" s="1">
        <v>45921</v>
      </c>
      <c r="C6322" s="2">
        <v>0.33333333333333331</v>
      </c>
      <c r="D6322">
        <v>20.100000000000001</v>
      </c>
      <c r="E6322">
        <f>IF($D6322 &gt; 16, 0, $J$3*(16 - $D6322))</f>
        <v>0</v>
      </c>
      <c r="F6322">
        <f>IF($D6322 &gt; 16, 0,$E6322*$J$5)</f>
        <v>0</v>
      </c>
      <c r="G6322">
        <f t="shared" si="98"/>
        <v>0</v>
      </c>
    </row>
    <row r="6323" spans="2:7" x14ac:dyDescent="0.35">
      <c r="B6323" s="1">
        <v>45921</v>
      </c>
      <c r="C6323" s="2">
        <v>0.375</v>
      </c>
      <c r="D6323">
        <v>18.7</v>
      </c>
      <c r="E6323">
        <f>IF($D6323 &gt; 16, 0, $J$3*(16 - $D6323))</f>
        <v>0</v>
      </c>
      <c r="F6323">
        <f>IF($D6323 &gt; 16, 0,$E6323*$J$5)</f>
        <v>0</v>
      </c>
      <c r="G6323">
        <f t="shared" si="98"/>
        <v>0</v>
      </c>
    </row>
    <row r="6324" spans="2:7" x14ac:dyDescent="0.35">
      <c r="B6324" s="1">
        <v>45921</v>
      </c>
      <c r="C6324" s="2">
        <v>0.41666666666666669</v>
      </c>
      <c r="D6324">
        <v>17.899999999999999</v>
      </c>
      <c r="E6324">
        <f>IF($D6324 &gt; 16, 0, $J$3*(16 - $D6324))</f>
        <v>0</v>
      </c>
      <c r="F6324">
        <f>IF($D6324 &gt; 16, 0,$E6324*$J$5)</f>
        <v>0</v>
      </c>
      <c r="G6324">
        <f t="shared" si="98"/>
        <v>0</v>
      </c>
    </row>
    <row r="6325" spans="2:7" x14ac:dyDescent="0.35">
      <c r="B6325" s="1">
        <v>45921</v>
      </c>
      <c r="C6325" s="2">
        <v>0.45833333333333331</v>
      </c>
      <c r="D6325">
        <v>17.3</v>
      </c>
      <c r="E6325">
        <f>IF($D6325 &gt; 16, 0, $J$3*(16 - $D6325))</f>
        <v>0</v>
      </c>
      <c r="F6325">
        <f>IF($D6325 &gt; 16, 0,$E6325*$J$5)</f>
        <v>0</v>
      </c>
      <c r="G6325">
        <f t="shared" si="98"/>
        <v>0</v>
      </c>
    </row>
    <row r="6326" spans="2:7" x14ac:dyDescent="0.35">
      <c r="B6326" s="1">
        <v>45921</v>
      </c>
      <c r="C6326" s="2">
        <v>0.5</v>
      </c>
      <c r="D6326">
        <v>18.7</v>
      </c>
      <c r="E6326">
        <f>IF($D6326 &gt; 16, 0, $J$3*(16 - $D6326))</f>
        <v>0</v>
      </c>
      <c r="F6326">
        <f>IF($D6326 &gt; 16, 0,$E6326*$J$5)</f>
        <v>0</v>
      </c>
      <c r="G6326">
        <f t="shared" si="98"/>
        <v>0</v>
      </c>
    </row>
    <row r="6327" spans="2:7" x14ac:dyDescent="0.35">
      <c r="B6327" s="1">
        <v>45921</v>
      </c>
      <c r="C6327" s="2">
        <v>0.54166666666666663</v>
      </c>
      <c r="D6327">
        <v>17.899999999999999</v>
      </c>
      <c r="E6327">
        <f>IF($D6327 &gt; 16, 0, $J$3*(16 - $D6327))</f>
        <v>0</v>
      </c>
      <c r="F6327">
        <f>IF($D6327 &gt; 16, 0,$E6327*$J$5)</f>
        <v>0</v>
      </c>
      <c r="G6327">
        <f t="shared" si="98"/>
        <v>0</v>
      </c>
    </row>
    <row r="6328" spans="2:7" x14ac:dyDescent="0.35">
      <c r="B6328" s="1">
        <v>45921</v>
      </c>
      <c r="C6328" s="2">
        <v>0.58333333333333337</v>
      </c>
      <c r="D6328">
        <v>17.3</v>
      </c>
      <c r="E6328">
        <f>IF($D6328 &gt; 16, 0, $J$3*(16 - $D6328))</f>
        <v>0</v>
      </c>
      <c r="F6328">
        <f>IF($D6328 &gt; 16, 0,$E6328*$J$5)</f>
        <v>0</v>
      </c>
      <c r="G6328">
        <f t="shared" si="98"/>
        <v>0</v>
      </c>
    </row>
    <row r="6329" spans="2:7" x14ac:dyDescent="0.35">
      <c r="B6329" s="1">
        <v>45921</v>
      </c>
      <c r="C6329" s="2">
        <v>0.625</v>
      </c>
      <c r="D6329">
        <v>14.6</v>
      </c>
      <c r="E6329">
        <f>IF($D6329 &gt; 16, 0, $J$3*(16 - $D6329))</f>
        <v>290.84809978097587</v>
      </c>
      <c r="F6329">
        <f>IF($D6329 &gt; 16, 0,$E6329*$J$5)</f>
        <v>3161227.9965194268</v>
      </c>
      <c r="G6329">
        <f t="shared" si="98"/>
        <v>1.4000000000000004</v>
      </c>
    </row>
    <row r="6330" spans="2:7" x14ac:dyDescent="0.35">
      <c r="B6330" s="1">
        <v>45921</v>
      </c>
      <c r="C6330" s="2">
        <v>0.66666666666666663</v>
      </c>
      <c r="D6330">
        <v>13.6</v>
      </c>
      <c r="E6330">
        <f>IF($D6330 &gt; 16, 0, $J$3*(16 - $D6330))</f>
        <v>498.59674248167283</v>
      </c>
      <c r="F6330">
        <f>IF($D6330 &gt; 16, 0,$E6330*$J$5)</f>
        <v>5419247.9940333022</v>
      </c>
      <c r="G6330">
        <f t="shared" si="98"/>
        <v>2.4000000000000004</v>
      </c>
    </row>
    <row r="6331" spans="2:7" x14ac:dyDescent="0.35">
      <c r="B6331" s="1">
        <v>45921</v>
      </c>
      <c r="C6331" s="2">
        <v>0.70833333333333337</v>
      </c>
      <c r="D6331">
        <v>12.9</v>
      </c>
      <c r="E6331">
        <f>IF($D6331 &gt; 16, 0, $J$3*(16 - $D6331))</f>
        <v>644.0207923721606</v>
      </c>
      <c r="F6331">
        <f>IF($D6331 &gt; 16, 0,$E6331*$J$5)</f>
        <v>6999861.9922930133</v>
      </c>
      <c r="G6331">
        <f t="shared" si="98"/>
        <v>3.0999999999999996</v>
      </c>
    </row>
    <row r="6332" spans="2:7" x14ac:dyDescent="0.35">
      <c r="B6332" s="1">
        <v>45921</v>
      </c>
      <c r="C6332" s="2">
        <v>0.75</v>
      </c>
      <c r="D6332">
        <v>12</v>
      </c>
      <c r="E6332">
        <f>IF($D6332 &gt; 16, 0, $J$3*(16 - $D6332))</f>
        <v>830.99457080278796</v>
      </c>
      <c r="F6332">
        <f>IF($D6332 &gt; 16, 0,$E6332*$J$5)</f>
        <v>9032079.9900555015</v>
      </c>
      <c r="G6332">
        <f t="shared" si="98"/>
        <v>4</v>
      </c>
    </row>
    <row r="6333" spans="2:7" x14ac:dyDescent="0.35">
      <c r="B6333" s="1">
        <v>45921</v>
      </c>
      <c r="C6333" s="2">
        <v>0.79166666666666663</v>
      </c>
      <c r="D6333">
        <v>11.5</v>
      </c>
      <c r="E6333">
        <f>IF($D6333 &gt; 16, 0, $J$3*(16 - $D6333))</f>
        <v>934.86889215313647</v>
      </c>
      <c r="F6333">
        <f>IF($D6333 &gt; 16, 0,$E6333*$J$5)</f>
        <v>10161089.988812441</v>
      </c>
      <c r="G6333">
        <f t="shared" si="98"/>
        <v>4.5</v>
      </c>
    </row>
    <row r="6334" spans="2:7" x14ac:dyDescent="0.35">
      <c r="B6334" s="1">
        <v>45921</v>
      </c>
      <c r="C6334" s="2">
        <v>0.83333333333333337</v>
      </c>
      <c r="D6334">
        <v>11.3</v>
      </c>
      <c r="E6334">
        <f>IF($D6334 &gt; 16, 0, $J$3*(16 - $D6334))</f>
        <v>976.41862069327567</v>
      </c>
      <c r="F6334">
        <f>IF($D6334 &gt; 16, 0,$E6334*$J$5)</f>
        <v>10612693.988315213</v>
      </c>
      <c r="G6334">
        <f t="shared" si="98"/>
        <v>4.6999999999999993</v>
      </c>
    </row>
    <row r="6335" spans="2:7" x14ac:dyDescent="0.35">
      <c r="B6335" s="1">
        <v>45921</v>
      </c>
      <c r="C6335" s="2">
        <v>0.875</v>
      </c>
      <c r="D6335">
        <v>10.3</v>
      </c>
      <c r="E6335">
        <f>IF($D6335 &gt; 16, 0, $J$3*(16 - $D6335))</f>
        <v>1184.1672633939727</v>
      </c>
      <c r="F6335">
        <f>IF($D6335 &gt; 16, 0,$E6335*$J$5)</f>
        <v>12870713.985829089</v>
      </c>
      <c r="G6335">
        <f t="shared" si="98"/>
        <v>5.6999999999999993</v>
      </c>
    </row>
    <row r="6336" spans="2:7" x14ac:dyDescent="0.35">
      <c r="B6336" s="1">
        <v>45921</v>
      </c>
      <c r="C6336" s="2">
        <v>0.91666666666666663</v>
      </c>
      <c r="D6336">
        <v>10.7</v>
      </c>
      <c r="E6336">
        <f>IF($D6336 &gt; 16, 0, $J$3*(16 - $D6336))</f>
        <v>1101.0678063136943</v>
      </c>
      <c r="F6336">
        <f>IF($D6336 &gt; 16, 0,$E6336*$J$5)</f>
        <v>11967505.986823544</v>
      </c>
      <c r="G6336">
        <f t="shared" si="98"/>
        <v>5.3000000000000007</v>
      </c>
    </row>
    <row r="6337" spans="2:7" x14ac:dyDescent="0.35">
      <c r="B6337" s="1">
        <v>45921</v>
      </c>
      <c r="C6337" s="2">
        <v>0.95833333333333337</v>
      </c>
      <c r="D6337">
        <v>10.4</v>
      </c>
      <c r="E6337">
        <f>IF($D6337 &gt; 16, 0, $J$3*(16 - $D6337))</f>
        <v>1163.392399123903</v>
      </c>
      <c r="F6337">
        <f>IF($D6337 &gt; 16, 0,$E6337*$J$5)</f>
        <v>12644911.986077702</v>
      </c>
      <c r="G6337">
        <f t="shared" si="98"/>
        <v>5.6</v>
      </c>
    </row>
    <row r="6338" spans="2:7" x14ac:dyDescent="0.35">
      <c r="B6338" s="1">
        <v>45922</v>
      </c>
      <c r="C6338" s="2">
        <v>0</v>
      </c>
      <c r="D6338">
        <v>10</v>
      </c>
      <c r="E6338">
        <f>IF($D6338 &gt; 16, 0, $J$3*(16 - $D6338))</f>
        <v>1246.4918562041819</v>
      </c>
      <c r="F6338">
        <f>IF($D6338 &gt; 16, 0,$E6338*$J$5)</f>
        <v>13548119.985083252</v>
      </c>
      <c r="G6338">
        <f t="shared" si="98"/>
        <v>6</v>
      </c>
    </row>
    <row r="6339" spans="2:7" x14ac:dyDescent="0.35">
      <c r="B6339" s="1">
        <v>45922</v>
      </c>
      <c r="C6339" s="2">
        <v>4.1666666666666657E-2</v>
      </c>
      <c r="D6339">
        <v>9.5</v>
      </c>
      <c r="E6339">
        <f>IF($D6339 &gt; 16, 0, $J$3*(16 - $D6339))</f>
        <v>1350.3661775545304</v>
      </c>
      <c r="F6339">
        <f>IF($D6339 &gt; 16, 0,$E6339*$J$5)</f>
        <v>14677129.983840192</v>
      </c>
      <c r="G6339">
        <f t="shared" ref="G6339:G6402" si="99">MAX(0, 16 - $D6339)</f>
        <v>6.5</v>
      </c>
    </row>
    <row r="6340" spans="2:7" x14ac:dyDescent="0.35">
      <c r="B6340" s="1">
        <v>45922</v>
      </c>
      <c r="C6340" s="2">
        <v>8.3333333333333329E-2</v>
      </c>
      <c r="D6340">
        <v>7.9</v>
      </c>
      <c r="E6340">
        <f>IF($D6340 &gt; 16, 0, $J$3*(16 - $D6340))</f>
        <v>1682.7640058756456</v>
      </c>
      <c r="F6340">
        <f>IF($D6340 &gt; 16, 0,$E6340*$J$5)</f>
        <v>18289961.979862392</v>
      </c>
      <c r="G6340">
        <f t="shared" si="99"/>
        <v>8.1</v>
      </c>
    </row>
    <row r="6341" spans="2:7" x14ac:dyDescent="0.35">
      <c r="B6341" s="1">
        <v>45922</v>
      </c>
      <c r="C6341" s="2">
        <v>0.125</v>
      </c>
      <c r="D6341">
        <v>7.5</v>
      </c>
      <c r="E6341">
        <f>IF($D6341 &gt; 16, 0, $J$3*(16 - $D6341))</f>
        <v>1765.8634629559244</v>
      </c>
      <c r="F6341">
        <f>IF($D6341 &gt; 16, 0,$E6341*$J$5)</f>
        <v>19193169.978867944</v>
      </c>
      <c r="G6341">
        <f t="shared" si="99"/>
        <v>8.5</v>
      </c>
    </row>
    <row r="6342" spans="2:7" x14ac:dyDescent="0.35">
      <c r="B6342" s="1">
        <v>45922</v>
      </c>
      <c r="C6342" s="2">
        <v>0.16666666666666671</v>
      </c>
      <c r="D6342">
        <v>7</v>
      </c>
      <c r="E6342">
        <f>IF($D6342 &gt; 16, 0, $J$3*(16 - $D6342))</f>
        <v>1869.7377843062729</v>
      </c>
      <c r="F6342">
        <f>IF($D6342 &gt; 16, 0,$E6342*$J$5)</f>
        <v>20322179.977624882</v>
      </c>
      <c r="G6342">
        <f t="shared" si="99"/>
        <v>9</v>
      </c>
    </row>
    <row r="6343" spans="2:7" x14ac:dyDescent="0.35">
      <c r="B6343" s="1">
        <v>45922</v>
      </c>
      <c r="C6343" s="2">
        <v>0.20833333333333329</v>
      </c>
      <c r="D6343">
        <v>6.3</v>
      </c>
      <c r="E6343">
        <f>IF($D6343 &gt; 16, 0, $J$3*(16 - $D6343))</f>
        <v>2015.1618341967608</v>
      </c>
      <c r="F6343">
        <f>IF($D6343 &gt; 16, 0,$E6343*$J$5)</f>
        <v>21902793.975884594</v>
      </c>
      <c r="G6343">
        <f t="shared" si="99"/>
        <v>9.6999999999999993</v>
      </c>
    </row>
    <row r="6344" spans="2:7" x14ac:dyDescent="0.35">
      <c r="B6344" s="1">
        <v>45922</v>
      </c>
      <c r="C6344" s="2">
        <v>0.25</v>
      </c>
      <c r="D6344">
        <v>6.6</v>
      </c>
      <c r="E6344">
        <f>IF($D6344 &gt; 16, 0, $J$3*(16 - $D6344))</f>
        <v>1952.8372413865518</v>
      </c>
      <c r="F6344">
        <f>IF($D6344 &gt; 16, 0,$E6344*$J$5)</f>
        <v>21225387.976630431</v>
      </c>
      <c r="G6344">
        <f t="shared" si="99"/>
        <v>9.4</v>
      </c>
    </row>
    <row r="6345" spans="2:7" x14ac:dyDescent="0.35">
      <c r="B6345" s="1">
        <v>45922</v>
      </c>
      <c r="C6345" s="2">
        <v>0.29166666666666669</v>
      </c>
      <c r="D6345">
        <v>8.6</v>
      </c>
      <c r="E6345">
        <f>IF($D6345 &gt; 16, 0, $J$3*(16 - $D6345))</f>
        <v>1537.3399559851578</v>
      </c>
      <c r="F6345">
        <f>IF($D6345 &gt; 16, 0,$E6345*$J$5)</f>
        <v>16709347.98160268</v>
      </c>
      <c r="G6345">
        <f t="shared" si="99"/>
        <v>7.4</v>
      </c>
    </row>
    <row r="6346" spans="2:7" x14ac:dyDescent="0.35">
      <c r="B6346" s="1">
        <v>45922</v>
      </c>
      <c r="C6346" s="2">
        <v>0.33333333333333331</v>
      </c>
      <c r="D6346">
        <v>12.5</v>
      </c>
      <c r="E6346">
        <f>IF($D6346 &gt; 16, 0, $J$3*(16 - $D6346))</f>
        <v>727.12024945243945</v>
      </c>
      <c r="F6346">
        <f>IF($D6346 &gt; 16, 0,$E6346*$J$5)</f>
        <v>7903069.9912985647</v>
      </c>
      <c r="G6346">
        <f t="shared" si="99"/>
        <v>3.5</v>
      </c>
    </row>
    <row r="6347" spans="2:7" x14ac:dyDescent="0.35">
      <c r="B6347" s="1">
        <v>45922</v>
      </c>
      <c r="C6347" s="2">
        <v>0.375</v>
      </c>
      <c r="D6347">
        <v>13</v>
      </c>
      <c r="E6347">
        <f>IF($D6347 &gt; 16, 0, $J$3*(16 - $D6347))</f>
        <v>623.24592810209094</v>
      </c>
      <c r="F6347">
        <f>IF($D6347 &gt; 16, 0,$E6347*$J$5)</f>
        <v>6774059.9925416261</v>
      </c>
      <c r="G6347">
        <f t="shared" si="99"/>
        <v>3</v>
      </c>
    </row>
    <row r="6348" spans="2:7" x14ac:dyDescent="0.35">
      <c r="B6348" s="1">
        <v>45922</v>
      </c>
      <c r="C6348" s="2">
        <v>0.41666666666666669</v>
      </c>
      <c r="D6348">
        <v>14</v>
      </c>
      <c r="E6348">
        <f>IF($D6348 &gt; 16, 0, $J$3*(16 - $D6348))</f>
        <v>415.49728540139398</v>
      </c>
      <c r="F6348">
        <f>IF($D6348 &gt; 16, 0,$E6348*$J$5)</f>
        <v>4516039.9950277507</v>
      </c>
      <c r="G6348">
        <f t="shared" si="99"/>
        <v>2</v>
      </c>
    </row>
    <row r="6349" spans="2:7" x14ac:dyDescent="0.35">
      <c r="B6349" s="1">
        <v>45922</v>
      </c>
      <c r="C6349" s="2">
        <v>0.45833333333333331</v>
      </c>
      <c r="D6349">
        <v>14.4</v>
      </c>
      <c r="E6349">
        <f>IF($D6349 &gt; 16, 0, $J$3*(16 - $D6349))</f>
        <v>332.39782832111513</v>
      </c>
      <c r="F6349">
        <f>IF($D6349 &gt; 16, 0,$E6349*$J$5)</f>
        <v>3612831.9960222002</v>
      </c>
      <c r="G6349">
        <f t="shared" si="99"/>
        <v>1.5999999999999996</v>
      </c>
    </row>
    <row r="6350" spans="2:7" x14ac:dyDescent="0.35">
      <c r="B6350" s="1">
        <v>45922</v>
      </c>
      <c r="C6350" s="2">
        <v>0.5</v>
      </c>
      <c r="D6350">
        <v>14.6</v>
      </c>
      <c r="E6350">
        <f>IF($D6350 &gt; 16, 0, $J$3*(16 - $D6350))</f>
        <v>290.84809978097587</v>
      </c>
      <c r="F6350">
        <f>IF($D6350 &gt; 16, 0,$E6350*$J$5)</f>
        <v>3161227.9965194268</v>
      </c>
      <c r="G6350">
        <f t="shared" si="99"/>
        <v>1.4000000000000004</v>
      </c>
    </row>
    <row r="6351" spans="2:7" x14ac:dyDescent="0.35">
      <c r="B6351" s="1">
        <v>45922</v>
      </c>
      <c r="C6351" s="2">
        <v>0.54166666666666663</v>
      </c>
      <c r="D6351">
        <v>14.8</v>
      </c>
      <c r="E6351">
        <f>IF($D6351 &gt; 16, 0, $J$3*(16 - $D6351))</f>
        <v>249.29837124083625</v>
      </c>
      <c r="F6351">
        <f>IF($D6351 &gt; 16, 0,$E6351*$J$5)</f>
        <v>2709623.9970166492</v>
      </c>
      <c r="G6351">
        <f t="shared" si="99"/>
        <v>1.1999999999999993</v>
      </c>
    </row>
    <row r="6352" spans="2:7" x14ac:dyDescent="0.35">
      <c r="B6352" s="1">
        <v>45922</v>
      </c>
      <c r="C6352" s="2">
        <v>0.58333333333333337</v>
      </c>
      <c r="D6352">
        <v>14.3</v>
      </c>
      <c r="E6352">
        <f>IF($D6352 &gt; 16, 0, $J$3*(16 - $D6352))</f>
        <v>353.17269259118473</v>
      </c>
      <c r="F6352">
        <f>IF($D6352 &gt; 16, 0,$E6352*$J$5)</f>
        <v>3838633.9957735869</v>
      </c>
      <c r="G6352">
        <f t="shared" si="99"/>
        <v>1.6999999999999993</v>
      </c>
    </row>
    <row r="6353" spans="2:7" x14ac:dyDescent="0.35">
      <c r="B6353" s="1">
        <v>45922</v>
      </c>
      <c r="C6353" s="2">
        <v>0.625</v>
      </c>
      <c r="D6353">
        <v>14.3</v>
      </c>
      <c r="E6353">
        <f>IF($D6353 &gt; 16, 0, $J$3*(16 - $D6353))</f>
        <v>353.17269259118473</v>
      </c>
      <c r="F6353">
        <f>IF($D6353 &gt; 16, 0,$E6353*$J$5)</f>
        <v>3838633.9957735869</v>
      </c>
      <c r="G6353">
        <f t="shared" si="99"/>
        <v>1.6999999999999993</v>
      </c>
    </row>
    <row r="6354" spans="2:7" x14ac:dyDescent="0.35">
      <c r="B6354" s="1">
        <v>45922</v>
      </c>
      <c r="C6354" s="2">
        <v>0.66666666666666663</v>
      </c>
      <c r="D6354">
        <v>13.4</v>
      </c>
      <c r="E6354">
        <f>IF($D6354 &gt; 16, 0, $J$3*(16 - $D6354))</f>
        <v>540.14647102181209</v>
      </c>
      <c r="F6354">
        <f>IF($D6354 &gt; 16, 0,$E6354*$J$5)</f>
        <v>5870851.9935360756</v>
      </c>
      <c r="G6354">
        <f t="shared" si="99"/>
        <v>2.5999999999999996</v>
      </c>
    </row>
    <row r="6355" spans="2:7" x14ac:dyDescent="0.35">
      <c r="B6355" s="1">
        <v>45922</v>
      </c>
      <c r="C6355" s="2">
        <v>0.70833333333333337</v>
      </c>
      <c r="D6355">
        <v>12.3</v>
      </c>
      <c r="E6355">
        <f>IF($D6355 &gt; 16, 0, $J$3*(16 - $D6355))</f>
        <v>768.66997799257877</v>
      </c>
      <c r="F6355">
        <f>IF($D6355 &gt; 16, 0,$E6355*$J$5)</f>
        <v>8354673.990801339</v>
      </c>
      <c r="G6355">
        <f t="shared" si="99"/>
        <v>3.6999999999999993</v>
      </c>
    </row>
    <row r="6356" spans="2:7" x14ac:dyDescent="0.35">
      <c r="B6356" s="1">
        <v>45922</v>
      </c>
      <c r="C6356" s="2">
        <v>0.75</v>
      </c>
      <c r="D6356">
        <v>9.5</v>
      </c>
      <c r="E6356">
        <f>IF($D6356 &gt; 16, 0, $J$3*(16 - $D6356))</f>
        <v>1350.3661775545304</v>
      </c>
      <c r="F6356">
        <f>IF($D6356 &gt; 16, 0,$E6356*$J$5)</f>
        <v>14677129.983840192</v>
      </c>
      <c r="G6356">
        <f t="shared" si="99"/>
        <v>6.5</v>
      </c>
    </row>
    <row r="6357" spans="2:7" x14ac:dyDescent="0.35">
      <c r="B6357" s="1">
        <v>45922</v>
      </c>
      <c r="C6357" s="2">
        <v>0.79166666666666663</v>
      </c>
      <c r="D6357">
        <v>8.3000000000000007</v>
      </c>
      <c r="E6357">
        <f>IF($D6357 &gt; 16, 0, $J$3*(16 - $D6357))</f>
        <v>1599.6645487953667</v>
      </c>
      <c r="F6357">
        <f>IF($D6357 &gt; 16, 0,$E6357*$J$5)</f>
        <v>17386753.98085684</v>
      </c>
      <c r="G6357">
        <f t="shared" si="99"/>
        <v>7.6999999999999993</v>
      </c>
    </row>
    <row r="6358" spans="2:7" x14ac:dyDescent="0.35">
      <c r="B6358" s="1">
        <v>45922</v>
      </c>
      <c r="C6358" s="2">
        <v>0.83333333333333337</v>
      </c>
      <c r="D6358">
        <v>7.5</v>
      </c>
      <c r="E6358">
        <f>IF($D6358 &gt; 16, 0, $J$3*(16 - $D6358))</f>
        <v>1765.8634629559244</v>
      </c>
      <c r="F6358">
        <f>IF($D6358 &gt; 16, 0,$E6358*$J$5)</f>
        <v>19193169.978867944</v>
      </c>
      <c r="G6358">
        <f t="shared" si="99"/>
        <v>8.5</v>
      </c>
    </row>
    <row r="6359" spans="2:7" x14ac:dyDescent="0.35">
      <c r="B6359" s="1">
        <v>45922</v>
      </c>
      <c r="C6359" s="2">
        <v>0.875</v>
      </c>
      <c r="D6359">
        <v>7.1</v>
      </c>
      <c r="E6359">
        <f>IF($D6359 &gt; 16, 0, $J$3*(16 - $D6359))</f>
        <v>1848.9629200362033</v>
      </c>
      <c r="F6359">
        <f>IF($D6359 &gt; 16, 0,$E6359*$J$5)</f>
        <v>20096377.977873493</v>
      </c>
      <c r="G6359">
        <f t="shared" si="99"/>
        <v>8.9</v>
      </c>
    </row>
    <row r="6360" spans="2:7" x14ac:dyDescent="0.35">
      <c r="B6360" s="1">
        <v>45922</v>
      </c>
      <c r="C6360" s="2">
        <v>0.91666666666666663</v>
      </c>
      <c r="D6360">
        <v>6.6</v>
      </c>
      <c r="E6360">
        <f>IF($D6360 &gt; 16, 0, $J$3*(16 - $D6360))</f>
        <v>1952.8372413865518</v>
      </c>
      <c r="F6360">
        <f>IF($D6360 &gt; 16, 0,$E6360*$J$5)</f>
        <v>21225387.976630431</v>
      </c>
      <c r="G6360">
        <f t="shared" si="99"/>
        <v>9.4</v>
      </c>
    </row>
    <row r="6361" spans="2:7" x14ac:dyDescent="0.35">
      <c r="B6361" s="1">
        <v>45922</v>
      </c>
      <c r="C6361" s="2">
        <v>0.95833333333333337</v>
      </c>
      <c r="D6361">
        <v>6.5</v>
      </c>
      <c r="E6361">
        <f>IF($D6361 &gt; 16, 0, $J$3*(16 - $D6361))</f>
        <v>1973.6121056566215</v>
      </c>
      <c r="F6361">
        <f>IF($D6361 &gt; 16, 0,$E6361*$J$5)</f>
        <v>21451189.97638182</v>
      </c>
      <c r="G6361">
        <f t="shared" si="99"/>
        <v>9.5</v>
      </c>
    </row>
    <row r="6362" spans="2:7" x14ac:dyDescent="0.35">
      <c r="B6362" s="1">
        <v>45923</v>
      </c>
      <c r="C6362" s="2">
        <v>0</v>
      </c>
      <c r="D6362">
        <v>6.2</v>
      </c>
      <c r="E6362">
        <f>IF($D6362 &gt; 16, 0, $J$3*(16 - $D6362))</f>
        <v>2035.9366984668306</v>
      </c>
      <c r="F6362">
        <f>IF($D6362 &gt; 16, 0,$E6362*$J$5)</f>
        <v>22128595.975635983</v>
      </c>
      <c r="G6362">
        <f t="shared" si="99"/>
        <v>9.8000000000000007</v>
      </c>
    </row>
    <row r="6363" spans="2:7" x14ac:dyDescent="0.35">
      <c r="B6363" s="1">
        <v>45923</v>
      </c>
      <c r="C6363" s="2">
        <v>4.1666666666666657E-2</v>
      </c>
      <c r="D6363">
        <v>7.2</v>
      </c>
      <c r="E6363">
        <f>IF($D6363 &gt; 16, 0, $J$3*(16 - $D6363))</f>
        <v>1828.1880557661336</v>
      </c>
      <c r="F6363">
        <f>IF($D6363 &gt; 16, 0,$E6363*$J$5)</f>
        <v>19870575.978122108</v>
      </c>
      <c r="G6363">
        <f t="shared" si="99"/>
        <v>8.8000000000000007</v>
      </c>
    </row>
    <row r="6364" spans="2:7" x14ac:dyDescent="0.35">
      <c r="B6364" s="1">
        <v>45923</v>
      </c>
      <c r="C6364" s="2">
        <v>8.3333333333333329E-2</v>
      </c>
      <c r="D6364">
        <v>6</v>
      </c>
      <c r="E6364">
        <f>IF($D6364 &gt; 16, 0, $J$3*(16 - $D6364))</f>
        <v>2077.4864270069697</v>
      </c>
      <c r="F6364">
        <f>IF($D6364 &gt; 16, 0,$E6364*$J$5)</f>
        <v>22580199.975138754</v>
      </c>
      <c r="G6364">
        <f t="shared" si="99"/>
        <v>10</v>
      </c>
    </row>
    <row r="6365" spans="2:7" x14ac:dyDescent="0.35">
      <c r="B6365" s="1">
        <v>45923</v>
      </c>
      <c r="C6365" s="2">
        <v>0.125</v>
      </c>
      <c r="D6365">
        <v>9.5</v>
      </c>
      <c r="E6365">
        <f>IF($D6365 &gt; 16, 0, $J$3*(16 - $D6365))</f>
        <v>1350.3661775545304</v>
      </c>
      <c r="F6365">
        <f>IF($D6365 &gt; 16, 0,$E6365*$J$5)</f>
        <v>14677129.983840192</v>
      </c>
      <c r="G6365">
        <f t="shared" si="99"/>
        <v>6.5</v>
      </c>
    </row>
    <row r="6366" spans="2:7" x14ac:dyDescent="0.35">
      <c r="B6366" s="1">
        <v>45923</v>
      </c>
      <c r="C6366" s="2">
        <v>0.16666666666666671</v>
      </c>
      <c r="D6366">
        <v>7.4</v>
      </c>
      <c r="E6366">
        <f>IF($D6366 &gt; 16, 0, $J$3*(16 - $D6366))</f>
        <v>1786.6383272259941</v>
      </c>
      <c r="F6366">
        <f>IF($D6366 &gt; 16, 0,$E6366*$J$5)</f>
        <v>19418971.97861933</v>
      </c>
      <c r="G6366">
        <f t="shared" si="99"/>
        <v>8.6</v>
      </c>
    </row>
    <row r="6367" spans="2:7" x14ac:dyDescent="0.35">
      <c r="B6367" s="1">
        <v>45923</v>
      </c>
      <c r="C6367" s="2">
        <v>0.20833333333333329</v>
      </c>
      <c r="D6367">
        <v>7.5</v>
      </c>
      <c r="E6367">
        <f>IF($D6367 &gt; 16, 0, $J$3*(16 - $D6367))</f>
        <v>1765.8634629559244</v>
      </c>
      <c r="F6367">
        <f>IF($D6367 &gt; 16, 0,$E6367*$J$5)</f>
        <v>19193169.978867944</v>
      </c>
      <c r="G6367">
        <f t="shared" si="99"/>
        <v>8.5</v>
      </c>
    </row>
    <row r="6368" spans="2:7" x14ac:dyDescent="0.35">
      <c r="B6368" s="1">
        <v>45923</v>
      </c>
      <c r="C6368" s="2">
        <v>0.25</v>
      </c>
      <c r="D6368">
        <v>6.8</v>
      </c>
      <c r="E6368">
        <f>IF($D6368 &gt; 16, 0, $J$3*(16 - $D6368))</f>
        <v>1911.2875128464123</v>
      </c>
      <c r="F6368">
        <f>IF($D6368 &gt; 16, 0,$E6368*$J$5)</f>
        <v>20773783.977127656</v>
      </c>
      <c r="G6368">
        <f t="shared" si="99"/>
        <v>9.1999999999999993</v>
      </c>
    </row>
    <row r="6369" spans="2:7" x14ac:dyDescent="0.35">
      <c r="B6369" s="1">
        <v>45923</v>
      </c>
      <c r="C6369" s="2">
        <v>0.29166666666666669</v>
      </c>
      <c r="D6369">
        <v>10</v>
      </c>
      <c r="E6369">
        <f>IF($D6369 &gt; 16, 0, $J$3*(16 - $D6369))</f>
        <v>1246.4918562041819</v>
      </c>
      <c r="F6369">
        <f>IF($D6369 &gt; 16, 0,$E6369*$J$5)</f>
        <v>13548119.985083252</v>
      </c>
      <c r="G6369">
        <f t="shared" si="99"/>
        <v>6</v>
      </c>
    </row>
    <row r="6370" spans="2:7" x14ac:dyDescent="0.35">
      <c r="B6370" s="1">
        <v>45923</v>
      </c>
      <c r="C6370" s="2">
        <v>0.33333333333333331</v>
      </c>
      <c r="D6370">
        <v>12.3</v>
      </c>
      <c r="E6370">
        <f>IF($D6370 &gt; 16, 0, $J$3*(16 - $D6370))</f>
        <v>768.66997799257877</v>
      </c>
      <c r="F6370">
        <f>IF($D6370 &gt; 16, 0,$E6370*$J$5)</f>
        <v>8354673.990801339</v>
      </c>
      <c r="G6370">
        <f t="shared" si="99"/>
        <v>3.6999999999999993</v>
      </c>
    </row>
    <row r="6371" spans="2:7" x14ac:dyDescent="0.35">
      <c r="B6371" s="1">
        <v>45923</v>
      </c>
      <c r="C6371" s="2">
        <v>0.375</v>
      </c>
      <c r="D6371">
        <v>13.6</v>
      </c>
      <c r="E6371">
        <f>IF($D6371 &gt; 16, 0, $J$3*(16 - $D6371))</f>
        <v>498.59674248167283</v>
      </c>
      <c r="F6371">
        <f>IF($D6371 &gt; 16, 0,$E6371*$J$5)</f>
        <v>5419247.9940333022</v>
      </c>
      <c r="G6371">
        <f t="shared" si="99"/>
        <v>2.4000000000000004</v>
      </c>
    </row>
    <row r="6372" spans="2:7" x14ac:dyDescent="0.35">
      <c r="B6372" s="1">
        <v>45923</v>
      </c>
      <c r="C6372" s="2">
        <v>0.41666666666666669</v>
      </c>
      <c r="D6372">
        <v>13.7</v>
      </c>
      <c r="E6372">
        <f>IF($D6372 &gt; 16, 0, $J$3*(16 - $D6372))</f>
        <v>477.82187821160323</v>
      </c>
      <c r="F6372">
        <f>IF($D6372 &gt; 16, 0,$E6372*$J$5)</f>
        <v>5193445.9942819159</v>
      </c>
      <c r="G6372">
        <f t="shared" si="99"/>
        <v>2.3000000000000007</v>
      </c>
    </row>
    <row r="6373" spans="2:7" x14ac:dyDescent="0.35">
      <c r="B6373" s="1">
        <v>45923</v>
      </c>
      <c r="C6373" s="2">
        <v>0.45833333333333331</v>
      </c>
      <c r="D6373">
        <v>14.6</v>
      </c>
      <c r="E6373">
        <f>IF($D6373 &gt; 16, 0, $J$3*(16 - $D6373))</f>
        <v>290.84809978097587</v>
      </c>
      <c r="F6373">
        <f>IF($D6373 &gt; 16, 0,$E6373*$J$5)</f>
        <v>3161227.9965194268</v>
      </c>
      <c r="G6373">
        <f t="shared" si="99"/>
        <v>1.4000000000000004</v>
      </c>
    </row>
    <row r="6374" spans="2:7" x14ac:dyDescent="0.35">
      <c r="B6374" s="1">
        <v>45923</v>
      </c>
      <c r="C6374" s="2">
        <v>0.5</v>
      </c>
      <c r="D6374">
        <v>14.6</v>
      </c>
      <c r="E6374">
        <f>IF($D6374 &gt; 16, 0, $J$3*(16 - $D6374))</f>
        <v>290.84809978097587</v>
      </c>
      <c r="F6374">
        <f>IF($D6374 &gt; 16, 0,$E6374*$J$5)</f>
        <v>3161227.9965194268</v>
      </c>
      <c r="G6374">
        <f t="shared" si="99"/>
        <v>1.4000000000000004</v>
      </c>
    </row>
    <row r="6375" spans="2:7" x14ac:dyDescent="0.35">
      <c r="B6375" s="1">
        <v>45923</v>
      </c>
      <c r="C6375" s="2">
        <v>0.54166666666666663</v>
      </c>
      <c r="D6375">
        <v>16.3</v>
      </c>
      <c r="E6375">
        <f>IF($D6375 &gt; 16, 0, $J$3*(16 - $D6375))</f>
        <v>0</v>
      </c>
      <c r="F6375">
        <f>IF($D6375 &gt; 16, 0,$E6375*$J$5)</f>
        <v>0</v>
      </c>
      <c r="G6375">
        <f t="shared" si="99"/>
        <v>0</v>
      </c>
    </row>
    <row r="6376" spans="2:7" x14ac:dyDescent="0.35">
      <c r="B6376" s="1">
        <v>45923</v>
      </c>
      <c r="C6376" s="2">
        <v>0.58333333333333337</v>
      </c>
      <c r="D6376">
        <v>14.9</v>
      </c>
      <c r="E6376">
        <f>IF($D6376 &gt; 16, 0, $J$3*(16 - $D6376))</f>
        <v>228.52350697076662</v>
      </c>
      <c r="F6376">
        <f>IF($D6376 &gt; 16, 0,$E6376*$J$5)</f>
        <v>2483821.9972652625</v>
      </c>
      <c r="G6376">
        <f t="shared" si="99"/>
        <v>1.0999999999999996</v>
      </c>
    </row>
    <row r="6377" spans="2:7" x14ac:dyDescent="0.35">
      <c r="B6377" s="1">
        <v>45923</v>
      </c>
      <c r="C6377" s="2">
        <v>0.625</v>
      </c>
      <c r="D6377">
        <v>15</v>
      </c>
      <c r="E6377">
        <f>IF($D6377 &gt; 16, 0, $J$3*(16 - $D6377))</f>
        <v>207.74864270069699</v>
      </c>
      <c r="F6377">
        <f>IF($D6377 &gt; 16, 0,$E6377*$J$5)</f>
        <v>2258019.9975138754</v>
      </c>
      <c r="G6377">
        <f t="shared" si="99"/>
        <v>1</v>
      </c>
    </row>
    <row r="6378" spans="2:7" x14ac:dyDescent="0.35">
      <c r="B6378" s="1">
        <v>45923</v>
      </c>
      <c r="C6378" s="2">
        <v>0.66666666666666663</v>
      </c>
      <c r="D6378">
        <v>14.9</v>
      </c>
      <c r="E6378">
        <f>IF($D6378 &gt; 16, 0, $J$3*(16 - $D6378))</f>
        <v>228.52350697076662</v>
      </c>
      <c r="F6378">
        <f>IF($D6378 &gt; 16, 0,$E6378*$J$5)</f>
        <v>2483821.9972652625</v>
      </c>
      <c r="G6378">
        <f t="shared" si="99"/>
        <v>1.0999999999999996</v>
      </c>
    </row>
    <row r="6379" spans="2:7" x14ac:dyDescent="0.35">
      <c r="B6379" s="1">
        <v>45923</v>
      </c>
      <c r="C6379" s="2">
        <v>0.70833333333333337</v>
      </c>
      <c r="D6379">
        <v>13.9</v>
      </c>
      <c r="E6379">
        <f>IF($D6379 &gt; 16, 0, $J$3*(16 - $D6379))</f>
        <v>436.27214967146358</v>
      </c>
      <c r="F6379">
        <f>IF($D6379 &gt; 16, 0,$E6379*$J$5)</f>
        <v>4741841.9947791379</v>
      </c>
      <c r="G6379">
        <f t="shared" si="99"/>
        <v>2.0999999999999996</v>
      </c>
    </row>
    <row r="6380" spans="2:7" x14ac:dyDescent="0.35">
      <c r="B6380" s="1">
        <v>45923</v>
      </c>
      <c r="C6380" s="2">
        <v>0.75</v>
      </c>
      <c r="D6380">
        <v>12</v>
      </c>
      <c r="E6380">
        <f>IF($D6380 &gt; 16, 0, $J$3*(16 - $D6380))</f>
        <v>830.99457080278796</v>
      </c>
      <c r="F6380">
        <f>IF($D6380 &gt; 16, 0,$E6380*$J$5)</f>
        <v>9032079.9900555015</v>
      </c>
      <c r="G6380">
        <f t="shared" si="99"/>
        <v>4</v>
      </c>
    </row>
    <row r="6381" spans="2:7" x14ac:dyDescent="0.35">
      <c r="B6381" s="1">
        <v>45923</v>
      </c>
      <c r="C6381" s="2">
        <v>0.79166666666666663</v>
      </c>
      <c r="D6381">
        <v>10.5</v>
      </c>
      <c r="E6381">
        <f>IF($D6381 &gt; 16, 0, $J$3*(16 - $D6381))</f>
        <v>1142.6175348538334</v>
      </c>
      <c r="F6381">
        <f>IF($D6381 &gt; 16, 0,$E6381*$J$5)</f>
        <v>12419109.986326315</v>
      </c>
      <c r="G6381">
        <f t="shared" si="99"/>
        <v>5.5</v>
      </c>
    </row>
    <row r="6382" spans="2:7" x14ac:dyDescent="0.35">
      <c r="B6382" s="1">
        <v>45923</v>
      </c>
      <c r="C6382" s="2">
        <v>0.83333333333333337</v>
      </c>
      <c r="D6382">
        <v>9</v>
      </c>
      <c r="E6382">
        <f>IF($D6382 &gt; 16, 0, $J$3*(16 - $D6382))</f>
        <v>1454.2404989048789</v>
      </c>
      <c r="F6382">
        <f>IF($D6382 &gt; 16, 0,$E6382*$J$5)</f>
        <v>15806139.982597129</v>
      </c>
      <c r="G6382">
        <f t="shared" si="99"/>
        <v>7</v>
      </c>
    </row>
    <row r="6383" spans="2:7" x14ac:dyDescent="0.35">
      <c r="B6383" s="1">
        <v>45923</v>
      </c>
      <c r="C6383" s="2">
        <v>0.875</v>
      </c>
      <c r="D6383">
        <v>7.6</v>
      </c>
      <c r="E6383">
        <f>IF($D6383 &gt; 16, 0, $J$3*(16 - $D6383))</f>
        <v>1745.0885986858548</v>
      </c>
      <c r="F6383">
        <f>IF($D6383 &gt; 16, 0,$E6383*$J$5)</f>
        <v>18967367.979116555</v>
      </c>
      <c r="G6383">
        <f t="shared" si="99"/>
        <v>8.4</v>
      </c>
    </row>
    <row r="6384" spans="2:7" x14ac:dyDescent="0.35">
      <c r="B6384" s="1">
        <v>45923</v>
      </c>
      <c r="C6384" s="2">
        <v>0.91666666666666663</v>
      </c>
      <c r="D6384">
        <v>7.4</v>
      </c>
      <c r="E6384">
        <f>IF($D6384 &gt; 16, 0, $J$3*(16 - $D6384))</f>
        <v>1786.6383272259941</v>
      </c>
      <c r="F6384">
        <f>IF($D6384 &gt; 16, 0,$E6384*$J$5)</f>
        <v>19418971.97861933</v>
      </c>
      <c r="G6384">
        <f t="shared" si="99"/>
        <v>8.6</v>
      </c>
    </row>
    <row r="6385" spans="2:7" x14ac:dyDescent="0.35">
      <c r="B6385" s="1">
        <v>45923</v>
      </c>
      <c r="C6385" s="2">
        <v>0.95833333333333337</v>
      </c>
      <c r="D6385">
        <v>6.6</v>
      </c>
      <c r="E6385">
        <f>IF($D6385 &gt; 16, 0, $J$3*(16 - $D6385))</f>
        <v>1952.8372413865518</v>
      </c>
      <c r="F6385">
        <f>IF($D6385 &gt; 16, 0,$E6385*$J$5)</f>
        <v>21225387.976630431</v>
      </c>
      <c r="G6385">
        <f t="shared" si="99"/>
        <v>9.4</v>
      </c>
    </row>
    <row r="6386" spans="2:7" x14ac:dyDescent="0.35">
      <c r="B6386" s="1">
        <v>45924</v>
      </c>
      <c r="C6386" s="2">
        <v>0</v>
      </c>
      <c r="D6386">
        <v>5.6</v>
      </c>
      <c r="E6386">
        <f>IF($D6386 &gt; 16, 0, $J$3*(16 - $D6386))</f>
        <v>2160.5858840872488</v>
      </c>
      <c r="F6386">
        <f>IF($D6386 &gt; 16, 0,$E6386*$J$5)</f>
        <v>23483407.974144306</v>
      </c>
      <c r="G6386">
        <f t="shared" si="99"/>
        <v>10.4</v>
      </c>
    </row>
    <row r="6387" spans="2:7" x14ac:dyDescent="0.35">
      <c r="B6387" s="1">
        <v>45924</v>
      </c>
      <c r="C6387" s="2">
        <v>4.1666666666666657E-2</v>
      </c>
      <c r="D6387">
        <v>4.5</v>
      </c>
      <c r="E6387">
        <f>IF($D6387 &gt; 16, 0, $J$3*(16 - $D6387))</f>
        <v>2389.1093910580153</v>
      </c>
      <c r="F6387">
        <f>IF($D6387 &gt; 16, 0,$E6387*$J$5)</f>
        <v>25967229.971409567</v>
      </c>
      <c r="G6387">
        <f t="shared" si="99"/>
        <v>11.5</v>
      </c>
    </row>
    <row r="6388" spans="2:7" x14ac:dyDescent="0.35">
      <c r="B6388" s="1">
        <v>45924</v>
      </c>
      <c r="C6388" s="2">
        <v>8.3333333333333329E-2</v>
      </c>
      <c r="D6388">
        <v>4.9000000000000004</v>
      </c>
      <c r="E6388">
        <f>IF($D6388 &gt; 16, 0, $J$3*(16 - $D6388))</f>
        <v>2306.0099339777366</v>
      </c>
      <c r="F6388">
        <f>IF($D6388 &gt; 16, 0,$E6388*$J$5)</f>
        <v>25064021.972404018</v>
      </c>
      <c r="G6388">
        <f t="shared" si="99"/>
        <v>11.1</v>
      </c>
    </row>
    <row r="6389" spans="2:7" x14ac:dyDescent="0.35">
      <c r="B6389" s="1">
        <v>45924</v>
      </c>
      <c r="C6389" s="2">
        <v>0.125</v>
      </c>
      <c r="D6389">
        <v>4.4000000000000004</v>
      </c>
      <c r="E6389">
        <f>IF($D6389 &gt; 16, 0, $J$3*(16 - $D6389))</f>
        <v>2409.8842553280851</v>
      </c>
      <c r="F6389">
        <f>IF($D6389 &gt; 16, 0,$E6389*$J$5)</f>
        <v>26193031.971160956</v>
      </c>
      <c r="G6389">
        <f t="shared" si="99"/>
        <v>11.6</v>
      </c>
    </row>
    <row r="6390" spans="2:7" x14ac:dyDescent="0.35">
      <c r="B6390" s="1">
        <v>45924</v>
      </c>
      <c r="C6390" s="2">
        <v>0.16666666666666671</v>
      </c>
      <c r="D6390">
        <v>4.8</v>
      </c>
      <c r="E6390">
        <f>IF($D6390 &gt; 16, 0, $J$3*(16 - $D6390))</f>
        <v>2326.7847982478061</v>
      </c>
      <c r="F6390">
        <f>IF($D6390 &gt; 16, 0,$E6390*$J$5)</f>
        <v>25289823.972155403</v>
      </c>
      <c r="G6390">
        <f t="shared" si="99"/>
        <v>11.2</v>
      </c>
    </row>
    <row r="6391" spans="2:7" x14ac:dyDescent="0.35">
      <c r="B6391" s="1">
        <v>45924</v>
      </c>
      <c r="C6391" s="2">
        <v>0.20833333333333329</v>
      </c>
      <c r="D6391">
        <v>4.2</v>
      </c>
      <c r="E6391">
        <f>IF($D6391 &gt; 16, 0, $J$3*(16 - $D6391))</f>
        <v>2451.4339838682245</v>
      </c>
      <c r="F6391">
        <f>IF($D6391 &gt; 16, 0,$E6391*$J$5)</f>
        <v>26644635.97066373</v>
      </c>
      <c r="G6391">
        <f t="shared" si="99"/>
        <v>11.8</v>
      </c>
    </row>
    <row r="6392" spans="2:7" x14ac:dyDescent="0.35">
      <c r="B6392" s="1">
        <v>45924</v>
      </c>
      <c r="C6392" s="2">
        <v>0.25</v>
      </c>
      <c r="D6392">
        <v>5.5</v>
      </c>
      <c r="E6392">
        <f>IF($D6392 &gt; 16, 0, $J$3*(16 - $D6392))</f>
        <v>2181.3607483573182</v>
      </c>
      <c r="F6392">
        <f>IF($D6392 &gt; 16, 0,$E6392*$J$5)</f>
        <v>23709209.973895691</v>
      </c>
      <c r="G6392">
        <f t="shared" si="99"/>
        <v>10.5</v>
      </c>
    </row>
    <row r="6393" spans="2:7" x14ac:dyDescent="0.35">
      <c r="B6393" s="1">
        <v>45924</v>
      </c>
      <c r="C6393" s="2">
        <v>0.29166666666666669</v>
      </c>
      <c r="D6393">
        <v>9</v>
      </c>
      <c r="E6393">
        <f>IF($D6393 &gt; 16, 0, $J$3*(16 - $D6393))</f>
        <v>1454.2404989048789</v>
      </c>
      <c r="F6393">
        <f>IF($D6393 &gt; 16, 0,$E6393*$J$5)</f>
        <v>15806139.982597129</v>
      </c>
      <c r="G6393">
        <f t="shared" si="99"/>
        <v>7</v>
      </c>
    </row>
    <row r="6394" spans="2:7" x14ac:dyDescent="0.35">
      <c r="B6394" s="1">
        <v>45924</v>
      </c>
      <c r="C6394" s="2">
        <v>0.33333333333333331</v>
      </c>
      <c r="D6394">
        <v>11.3</v>
      </c>
      <c r="E6394">
        <f>IF($D6394 &gt; 16, 0, $J$3*(16 - $D6394))</f>
        <v>976.41862069327567</v>
      </c>
      <c r="F6394">
        <f>IF($D6394 &gt; 16, 0,$E6394*$J$5)</f>
        <v>10612693.988315213</v>
      </c>
      <c r="G6394">
        <f t="shared" si="99"/>
        <v>4.6999999999999993</v>
      </c>
    </row>
    <row r="6395" spans="2:7" x14ac:dyDescent="0.35">
      <c r="B6395" s="1">
        <v>45924</v>
      </c>
      <c r="C6395" s="2">
        <v>0.375</v>
      </c>
      <c r="D6395">
        <v>13.7</v>
      </c>
      <c r="E6395">
        <f>IF($D6395 &gt; 16, 0, $J$3*(16 - $D6395))</f>
        <v>477.82187821160323</v>
      </c>
      <c r="F6395">
        <f>IF($D6395 &gt; 16, 0,$E6395*$J$5)</f>
        <v>5193445.9942819159</v>
      </c>
      <c r="G6395">
        <f t="shared" si="99"/>
        <v>2.3000000000000007</v>
      </c>
    </row>
    <row r="6396" spans="2:7" x14ac:dyDescent="0.35">
      <c r="B6396" s="1">
        <v>45924</v>
      </c>
      <c r="C6396" s="2">
        <v>0.41666666666666669</v>
      </c>
      <c r="D6396">
        <v>14.8</v>
      </c>
      <c r="E6396">
        <f>IF($D6396 &gt; 16, 0, $J$3*(16 - $D6396))</f>
        <v>249.29837124083625</v>
      </c>
      <c r="F6396">
        <f>IF($D6396 &gt; 16, 0,$E6396*$J$5)</f>
        <v>2709623.9970166492</v>
      </c>
      <c r="G6396">
        <f t="shared" si="99"/>
        <v>1.1999999999999993</v>
      </c>
    </row>
    <row r="6397" spans="2:7" x14ac:dyDescent="0.35">
      <c r="B6397" s="1">
        <v>45924</v>
      </c>
      <c r="C6397" s="2">
        <v>0.45833333333333331</v>
      </c>
      <c r="D6397">
        <v>15.9</v>
      </c>
      <c r="E6397">
        <f>IF($D6397 &gt; 16, 0, $J$3*(16 - $D6397))</f>
        <v>20.774864270069624</v>
      </c>
      <c r="F6397">
        <f>IF($D6397 &gt; 16, 0,$E6397*$J$5)</f>
        <v>225801.99975138676</v>
      </c>
      <c r="G6397">
        <f t="shared" si="99"/>
        <v>9.9999999999999645E-2</v>
      </c>
    </row>
    <row r="6398" spans="2:7" x14ac:dyDescent="0.35">
      <c r="B6398" s="1">
        <v>45924</v>
      </c>
      <c r="C6398" s="2">
        <v>0.5</v>
      </c>
      <c r="D6398">
        <v>16.100000000000001</v>
      </c>
      <c r="E6398">
        <f>IF($D6398 &gt; 16, 0, $J$3*(16 - $D6398))</f>
        <v>0</v>
      </c>
      <c r="F6398">
        <f>IF($D6398 &gt; 16, 0,$E6398*$J$5)</f>
        <v>0</v>
      </c>
      <c r="G6398">
        <f t="shared" si="99"/>
        <v>0</v>
      </c>
    </row>
    <row r="6399" spans="2:7" x14ac:dyDescent="0.35">
      <c r="B6399" s="1">
        <v>45924</v>
      </c>
      <c r="C6399" s="2">
        <v>0.54166666666666663</v>
      </c>
      <c r="D6399">
        <v>16.8</v>
      </c>
      <c r="E6399">
        <f>IF($D6399 &gt; 16, 0, $J$3*(16 - $D6399))</f>
        <v>0</v>
      </c>
      <c r="F6399">
        <f>IF($D6399 &gt; 16, 0,$E6399*$J$5)</f>
        <v>0</v>
      </c>
      <c r="G6399">
        <f t="shared" si="99"/>
        <v>0</v>
      </c>
    </row>
    <row r="6400" spans="2:7" x14ac:dyDescent="0.35">
      <c r="B6400" s="1">
        <v>45924</v>
      </c>
      <c r="C6400" s="2">
        <v>0.58333333333333337</v>
      </c>
      <c r="D6400">
        <v>16.600000000000001</v>
      </c>
      <c r="E6400">
        <f>IF($D6400 &gt; 16, 0, $J$3*(16 - $D6400))</f>
        <v>0</v>
      </c>
      <c r="F6400">
        <f>IF($D6400 &gt; 16, 0,$E6400*$J$5)</f>
        <v>0</v>
      </c>
      <c r="G6400">
        <f t="shared" si="99"/>
        <v>0</v>
      </c>
    </row>
    <row r="6401" spans="2:7" x14ac:dyDescent="0.35">
      <c r="B6401" s="1">
        <v>45924</v>
      </c>
      <c r="C6401" s="2">
        <v>0.625</v>
      </c>
      <c r="D6401">
        <v>16.5</v>
      </c>
      <c r="E6401">
        <f>IF($D6401 &gt; 16, 0, $J$3*(16 - $D6401))</f>
        <v>0</v>
      </c>
      <c r="F6401">
        <f>IF($D6401 &gt; 16, 0,$E6401*$J$5)</f>
        <v>0</v>
      </c>
      <c r="G6401">
        <f t="shared" si="99"/>
        <v>0</v>
      </c>
    </row>
    <row r="6402" spans="2:7" x14ac:dyDescent="0.35">
      <c r="B6402" s="1">
        <v>45924</v>
      </c>
      <c r="C6402" s="2">
        <v>0.66666666666666663</v>
      </c>
      <c r="D6402">
        <v>15.5</v>
      </c>
      <c r="E6402">
        <f>IF($D6402 &gt; 16, 0, $J$3*(16 - $D6402))</f>
        <v>103.8743213503485</v>
      </c>
      <c r="F6402">
        <f>IF($D6402 &gt; 16, 0,$E6402*$J$5)</f>
        <v>1129009.9987569377</v>
      </c>
      <c r="G6402">
        <f t="shared" si="99"/>
        <v>0.5</v>
      </c>
    </row>
    <row r="6403" spans="2:7" x14ac:dyDescent="0.35">
      <c r="B6403" s="1">
        <v>45924</v>
      </c>
      <c r="C6403" s="2">
        <v>0.70833333333333337</v>
      </c>
      <c r="D6403">
        <v>14.2</v>
      </c>
      <c r="E6403">
        <f>IF($D6403 &gt; 16, 0, $J$3*(16 - $D6403))</f>
        <v>373.94755686125472</v>
      </c>
      <c r="F6403">
        <f>IF($D6403 &gt; 16, 0,$E6403*$J$5)</f>
        <v>4064435.9955249778</v>
      </c>
      <c r="G6403">
        <f t="shared" ref="G6403:G6466" si="100">MAX(0, 16 - $D6403)</f>
        <v>1.8000000000000007</v>
      </c>
    </row>
    <row r="6404" spans="2:7" x14ac:dyDescent="0.35">
      <c r="B6404" s="1">
        <v>45924</v>
      </c>
      <c r="C6404" s="2">
        <v>0.75</v>
      </c>
      <c r="D6404">
        <v>12.5</v>
      </c>
      <c r="E6404">
        <f>IF($D6404 &gt; 16, 0, $J$3*(16 - $D6404))</f>
        <v>727.12024945243945</v>
      </c>
      <c r="F6404">
        <f>IF($D6404 &gt; 16, 0,$E6404*$J$5)</f>
        <v>7903069.9912985647</v>
      </c>
      <c r="G6404">
        <f t="shared" si="100"/>
        <v>3.5</v>
      </c>
    </row>
    <row r="6405" spans="2:7" x14ac:dyDescent="0.35">
      <c r="B6405" s="1">
        <v>45924</v>
      </c>
      <c r="C6405" s="2">
        <v>0.79166666666666663</v>
      </c>
      <c r="D6405">
        <v>11.5</v>
      </c>
      <c r="E6405">
        <f>IF($D6405 &gt; 16, 0, $J$3*(16 - $D6405))</f>
        <v>934.86889215313647</v>
      </c>
      <c r="F6405">
        <f>IF($D6405 &gt; 16, 0,$E6405*$J$5)</f>
        <v>10161089.988812441</v>
      </c>
      <c r="G6405">
        <f t="shared" si="100"/>
        <v>4.5</v>
      </c>
    </row>
    <row r="6406" spans="2:7" x14ac:dyDescent="0.35">
      <c r="B6406" s="1">
        <v>45924</v>
      </c>
      <c r="C6406" s="2">
        <v>0.83333333333333337</v>
      </c>
      <c r="D6406">
        <v>11.1</v>
      </c>
      <c r="E6406">
        <f>IF($D6406 &gt; 16, 0, $J$3*(16 - $D6406))</f>
        <v>1017.9683492334153</v>
      </c>
      <c r="F6406">
        <f>IF($D6406 &gt; 16, 0,$E6406*$J$5)</f>
        <v>11064297.987817992</v>
      </c>
      <c r="G6406">
        <f t="shared" si="100"/>
        <v>4.9000000000000004</v>
      </c>
    </row>
    <row r="6407" spans="2:7" x14ac:dyDescent="0.35">
      <c r="B6407" s="1">
        <v>45924</v>
      </c>
      <c r="C6407" s="2">
        <v>0.875</v>
      </c>
      <c r="D6407">
        <v>10.6</v>
      </c>
      <c r="E6407">
        <f>IF($D6407 &gt; 16, 0, $J$3*(16 - $D6407))</f>
        <v>1121.8426705837637</v>
      </c>
      <c r="F6407">
        <f>IF($D6407 &gt; 16, 0,$E6407*$J$5)</f>
        <v>12193307.986574927</v>
      </c>
      <c r="G6407">
        <f t="shared" si="100"/>
        <v>5.4</v>
      </c>
    </row>
    <row r="6408" spans="2:7" x14ac:dyDescent="0.35">
      <c r="B6408" s="1">
        <v>45924</v>
      </c>
      <c r="C6408" s="2">
        <v>0.91666666666666663</v>
      </c>
      <c r="D6408">
        <v>9.9</v>
      </c>
      <c r="E6408">
        <f>IF($D6408 &gt; 16, 0, $J$3*(16 - $D6408))</f>
        <v>1267.2667204742515</v>
      </c>
      <c r="F6408">
        <f>IF($D6408 &gt; 16, 0,$E6408*$J$5)</f>
        <v>13773921.984834639</v>
      </c>
      <c r="G6408">
        <f t="shared" si="100"/>
        <v>6.1</v>
      </c>
    </row>
    <row r="6409" spans="2:7" x14ac:dyDescent="0.35">
      <c r="B6409" s="1">
        <v>45924</v>
      </c>
      <c r="C6409" s="2">
        <v>0.95833333333333337</v>
      </c>
      <c r="D6409">
        <v>9.3000000000000007</v>
      </c>
      <c r="E6409">
        <f>IF($D6409 &gt; 16, 0, $J$3*(16 - $D6409))</f>
        <v>1391.9159060946697</v>
      </c>
      <c r="F6409">
        <f>IF($D6409 &gt; 16, 0,$E6409*$J$5)</f>
        <v>15128733.983342964</v>
      </c>
      <c r="G6409">
        <f t="shared" si="100"/>
        <v>6.6999999999999993</v>
      </c>
    </row>
    <row r="6410" spans="2:7" x14ac:dyDescent="0.35">
      <c r="B6410" s="1">
        <v>45925</v>
      </c>
      <c r="C6410" s="2">
        <v>0</v>
      </c>
      <c r="D6410">
        <v>9.1999999999999993</v>
      </c>
      <c r="E6410">
        <f>IF($D6410 &gt; 16, 0, $J$3*(16 - $D6410))</f>
        <v>1412.6907703647396</v>
      </c>
      <c r="F6410">
        <f>IF($D6410 &gt; 16, 0,$E6410*$J$5)</f>
        <v>15354535.983094355</v>
      </c>
      <c r="G6410">
        <f t="shared" si="100"/>
        <v>6.8000000000000007</v>
      </c>
    </row>
    <row r="6411" spans="2:7" x14ac:dyDescent="0.35">
      <c r="B6411" s="1">
        <v>45925</v>
      </c>
      <c r="C6411" s="2">
        <v>4.1666666666666657E-2</v>
      </c>
      <c r="D6411">
        <v>8.6</v>
      </c>
      <c r="E6411">
        <f>IF($D6411 &gt; 16, 0, $J$3*(16 - $D6411))</f>
        <v>1537.3399559851578</v>
      </c>
      <c r="F6411">
        <f>IF($D6411 &gt; 16, 0,$E6411*$J$5)</f>
        <v>16709347.98160268</v>
      </c>
      <c r="G6411">
        <f t="shared" si="100"/>
        <v>7.4</v>
      </c>
    </row>
    <row r="6412" spans="2:7" x14ac:dyDescent="0.35">
      <c r="B6412" s="1">
        <v>45925</v>
      </c>
      <c r="C6412" s="2">
        <v>8.3333333333333329E-2</v>
      </c>
      <c r="D6412">
        <v>8.1</v>
      </c>
      <c r="E6412">
        <f>IF($D6412 &gt; 16, 0, $J$3*(16 - $D6412))</f>
        <v>1641.2142773355063</v>
      </c>
      <c r="F6412">
        <f>IF($D6412 &gt; 16, 0,$E6412*$J$5)</f>
        <v>17838357.980359618</v>
      </c>
      <c r="G6412">
        <f t="shared" si="100"/>
        <v>7.9</v>
      </c>
    </row>
    <row r="6413" spans="2:7" x14ac:dyDescent="0.35">
      <c r="B6413" s="1">
        <v>45925</v>
      </c>
      <c r="C6413" s="2">
        <v>0.125</v>
      </c>
      <c r="D6413">
        <v>8.1</v>
      </c>
      <c r="E6413">
        <f>IF($D6413 &gt; 16, 0, $J$3*(16 - $D6413))</f>
        <v>1641.2142773355063</v>
      </c>
      <c r="F6413">
        <f>IF($D6413 &gt; 16, 0,$E6413*$J$5)</f>
        <v>17838357.980359618</v>
      </c>
      <c r="G6413">
        <f t="shared" si="100"/>
        <v>7.9</v>
      </c>
    </row>
    <row r="6414" spans="2:7" x14ac:dyDescent="0.35">
      <c r="B6414" s="1">
        <v>45925</v>
      </c>
      <c r="C6414" s="2">
        <v>0.16666666666666671</v>
      </c>
      <c r="D6414">
        <v>7.5</v>
      </c>
      <c r="E6414">
        <f>IF($D6414 &gt; 16, 0, $J$3*(16 - $D6414))</f>
        <v>1765.8634629559244</v>
      </c>
      <c r="F6414">
        <f>IF($D6414 &gt; 16, 0,$E6414*$J$5)</f>
        <v>19193169.978867944</v>
      </c>
      <c r="G6414">
        <f t="shared" si="100"/>
        <v>8.5</v>
      </c>
    </row>
    <row r="6415" spans="2:7" x14ac:dyDescent="0.35">
      <c r="B6415" s="1">
        <v>45925</v>
      </c>
      <c r="C6415" s="2">
        <v>0.20833333333333329</v>
      </c>
      <c r="D6415">
        <v>7.7</v>
      </c>
      <c r="E6415">
        <f>IF($D6415 &gt; 16, 0, $J$3*(16 - $D6415))</f>
        <v>1724.3137344157851</v>
      </c>
      <c r="F6415">
        <f>IF($D6415 &gt; 16, 0,$E6415*$J$5)</f>
        <v>18741565.97936517</v>
      </c>
      <c r="G6415">
        <f t="shared" si="100"/>
        <v>8.3000000000000007</v>
      </c>
    </row>
    <row r="6416" spans="2:7" x14ac:dyDescent="0.35">
      <c r="B6416" s="1">
        <v>45925</v>
      </c>
      <c r="C6416" s="2">
        <v>0.25</v>
      </c>
      <c r="D6416">
        <v>7.9</v>
      </c>
      <c r="E6416">
        <f>IF($D6416 &gt; 16, 0, $J$3*(16 - $D6416))</f>
        <v>1682.7640058756456</v>
      </c>
      <c r="F6416">
        <f>IF($D6416 &gt; 16, 0,$E6416*$J$5)</f>
        <v>18289961.979862392</v>
      </c>
      <c r="G6416">
        <f t="shared" si="100"/>
        <v>8.1</v>
      </c>
    </row>
    <row r="6417" spans="2:7" x14ac:dyDescent="0.35">
      <c r="B6417" s="1">
        <v>45925</v>
      </c>
      <c r="C6417" s="2">
        <v>0.29166666666666669</v>
      </c>
      <c r="D6417">
        <v>10.199999999999999</v>
      </c>
      <c r="E6417">
        <f>IF($D6417 &gt; 16, 0, $J$3*(16 - $D6417))</f>
        <v>1204.9421276640428</v>
      </c>
      <c r="F6417">
        <f>IF($D6417 &gt; 16, 0,$E6417*$J$5)</f>
        <v>13096515.985580482</v>
      </c>
      <c r="G6417">
        <f t="shared" si="100"/>
        <v>5.8000000000000007</v>
      </c>
    </row>
    <row r="6418" spans="2:7" x14ac:dyDescent="0.35">
      <c r="B6418" s="1">
        <v>45925</v>
      </c>
      <c r="C6418" s="2">
        <v>0.33333333333333331</v>
      </c>
      <c r="D6418">
        <v>12.2</v>
      </c>
      <c r="E6418">
        <f>IF($D6418 &gt; 16, 0, $J$3*(16 - $D6418))</f>
        <v>789.44484226264876</v>
      </c>
      <c r="F6418">
        <f>IF($D6418 &gt; 16, 0,$E6418*$J$5)</f>
        <v>8580475.990552729</v>
      </c>
      <c r="G6418">
        <f t="shared" si="100"/>
        <v>3.8000000000000007</v>
      </c>
    </row>
    <row r="6419" spans="2:7" x14ac:dyDescent="0.35">
      <c r="B6419" s="1">
        <v>45925</v>
      </c>
      <c r="C6419" s="2">
        <v>0.375</v>
      </c>
      <c r="D6419">
        <v>13.5</v>
      </c>
      <c r="E6419">
        <f>IF($D6419 &gt; 16, 0, $J$3*(16 - $D6419))</f>
        <v>519.37160675174243</v>
      </c>
      <c r="F6419">
        <f>IF($D6419 &gt; 16, 0,$E6419*$J$5)</f>
        <v>5645049.9937846884</v>
      </c>
      <c r="G6419">
        <f t="shared" si="100"/>
        <v>2.5</v>
      </c>
    </row>
    <row r="6420" spans="2:7" x14ac:dyDescent="0.35">
      <c r="B6420" s="1">
        <v>45925</v>
      </c>
      <c r="C6420" s="2">
        <v>0.41666666666666669</v>
      </c>
      <c r="D6420">
        <v>14.9</v>
      </c>
      <c r="E6420">
        <f>IF($D6420 &gt; 16, 0, $J$3*(16 - $D6420))</f>
        <v>228.52350697076662</v>
      </c>
      <c r="F6420">
        <f>IF($D6420 &gt; 16, 0,$E6420*$J$5)</f>
        <v>2483821.9972652625</v>
      </c>
      <c r="G6420">
        <f t="shared" si="100"/>
        <v>1.0999999999999996</v>
      </c>
    </row>
    <row r="6421" spans="2:7" x14ac:dyDescent="0.35">
      <c r="B6421" s="1">
        <v>45925</v>
      </c>
      <c r="C6421" s="2">
        <v>0.45833333333333331</v>
      </c>
      <c r="D6421">
        <v>15.2</v>
      </c>
      <c r="E6421">
        <f>IF($D6421 &gt; 16, 0, $J$3*(16 - $D6421))</f>
        <v>166.19891416055773</v>
      </c>
      <c r="F6421">
        <f>IF($D6421 &gt; 16, 0,$E6421*$J$5)</f>
        <v>1806415.998011102</v>
      </c>
      <c r="G6421">
        <f t="shared" si="100"/>
        <v>0.80000000000000071</v>
      </c>
    </row>
    <row r="6422" spans="2:7" x14ac:dyDescent="0.35">
      <c r="B6422" s="1">
        <v>45925</v>
      </c>
      <c r="C6422" s="2">
        <v>0.5</v>
      </c>
      <c r="D6422">
        <v>15.6</v>
      </c>
      <c r="E6422">
        <f>IF($D6422 &gt; 16, 0, $J$3*(16 - $D6422))</f>
        <v>83.099457080278867</v>
      </c>
      <c r="F6422">
        <f>IF($D6422 &gt; 16, 0,$E6422*$J$5)</f>
        <v>903207.99900555098</v>
      </c>
      <c r="G6422">
        <f t="shared" si="100"/>
        <v>0.40000000000000036</v>
      </c>
    </row>
    <row r="6423" spans="2:7" x14ac:dyDescent="0.35">
      <c r="B6423" s="1">
        <v>45925</v>
      </c>
      <c r="C6423" s="2">
        <v>0.54166666666666663</v>
      </c>
      <c r="D6423">
        <v>16.100000000000001</v>
      </c>
      <c r="E6423">
        <f>IF($D6423 &gt; 16, 0, $J$3*(16 - $D6423))</f>
        <v>0</v>
      </c>
      <c r="F6423">
        <f>IF($D6423 &gt; 16, 0,$E6423*$J$5)</f>
        <v>0</v>
      </c>
      <c r="G6423">
        <f t="shared" si="100"/>
        <v>0</v>
      </c>
    </row>
    <row r="6424" spans="2:7" x14ac:dyDescent="0.35">
      <c r="B6424" s="1">
        <v>45925</v>
      </c>
      <c r="C6424" s="2">
        <v>0.58333333333333337</v>
      </c>
      <c r="D6424">
        <v>16.5</v>
      </c>
      <c r="E6424">
        <f>IF($D6424 &gt; 16, 0, $J$3*(16 - $D6424))</f>
        <v>0</v>
      </c>
      <c r="F6424">
        <f>IF($D6424 &gt; 16, 0,$E6424*$J$5)</f>
        <v>0</v>
      </c>
      <c r="G6424">
        <f t="shared" si="100"/>
        <v>0</v>
      </c>
    </row>
    <row r="6425" spans="2:7" x14ac:dyDescent="0.35">
      <c r="B6425" s="1">
        <v>45925</v>
      </c>
      <c r="C6425" s="2">
        <v>0.625</v>
      </c>
      <c r="D6425">
        <v>15.7</v>
      </c>
      <c r="E6425">
        <f>IF($D6425 &gt; 16, 0, $J$3*(16 - $D6425))</f>
        <v>62.324592810209246</v>
      </c>
      <c r="F6425">
        <f>IF($D6425 &gt; 16, 0,$E6425*$J$5)</f>
        <v>677405.99925416429</v>
      </c>
      <c r="G6425">
        <f t="shared" si="100"/>
        <v>0.30000000000000071</v>
      </c>
    </row>
    <row r="6426" spans="2:7" x14ac:dyDescent="0.35">
      <c r="B6426" s="1">
        <v>45925</v>
      </c>
      <c r="C6426" s="2">
        <v>0.66666666666666663</v>
      </c>
      <c r="D6426">
        <v>15.4</v>
      </c>
      <c r="E6426">
        <f>IF($D6426 &gt; 16, 0, $J$3*(16 - $D6426))</f>
        <v>124.64918562041812</v>
      </c>
      <c r="F6426">
        <f>IF($D6426 &gt; 16, 0,$E6426*$J$5)</f>
        <v>1354811.9985083246</v>
      </c>
      <c r="G6426">
        <f t="shared" si="100"/>
        <v>0.59999999999999964</v>
      </c>
    </row>
    <row r="6427" spans="2:7" x14ac:dyDescent="0.35">
      <c r="B6427" s="1">
        <v>45925</v>
      </c>
      <c r="C6427" s="2">
        <v>0.70833333333333337</v>
      </c>
      <c r="D6427">
        <v>14.5</v>
      </c>
      <c r="E6427">
        <f>IF($D6427 &gt; 16, 0, $J$3*(16 - $D6427))</f>
        <v>311.62296405104547</v>
      </c>
      <c r="F6427">
        <f>IF($D6427 &gt; 16, 0,$E6427*$J$5)</f>
        <v>3387029.996270813</v>
      </c>
      <c r="G6427">
        <f t="shared" si="100"/>
        <v>1.5</v>
      </c>
    </row>
    <row r="6428" spans="2:7" x14ac:dyDescent="0.35">
      <c r="B6428" s="1">
        <v>45925</v>
      </c>
      <c r="C6428" s="2">
        <v>0.75</v>
      </c>
      <c r="D6428">
        <v>12.7</v>
      </c>
      <c r="E6428">
        <f>IF($D6428 &gt; 16, 0, $J$3*(16 - $D6428))</f>
        <v>685.57052091230025</v>
      </c>
      <c r="F6428">
        <f>IF($D6428 &gt; 16, 0,$E6428*$J$5)</f>
        <v>7451465.9917957913</v>
      </c>
      <c r="G6428">
        <f t="shared" si="100"/>
        <v>3.3000000000000007</v>
      </c>
    </row>
    <row r="6429" spans="2:7" x14ac:dyDescent="0.35">
      <c r="B6429" s="1">
        <v>45925</v>
      </c>
      <c r="C6429" s="2">
        <v>0.79166666666666663</v>
      </c>
      <c r="D6429">
        <v>12.1</v>
      </c>
      <c r="E6429">
        <f>IF($D6429 &gt; 16, 0, $J$3*(16 - $D6429))</f>
        <v>810.21970653271831</v>
      </c>
      <c r="F6429">
        <f>IF($D6429 &gt; 16, 0,$E6429*$J$5)</f>
        <v>8806277.9903041162</v>
      </c>
      <c r="G6429">
        <f t="shared" si="100"/>
        <v>3.9000000000000004</v>
      </c>
    </row>
    <row r="6430" spans="2:7" x14ac:dyDescent="0.35">
      <c r="B6430" s="1">
        <v>45925</v>
      </c>
      <c r="C6430" s="2">
        <v>0.83333333333333337</v>
      </c>
      <c r="D6430">
        <v>12</v>
      </c>
      <c r="E6430">
        <f>IF($D6430 &gt; 16, 0, $J$3*(16 - $D6430))</f>
        <v>830.99457080278796</v>
      </c>
      <c r="F6430">
        <f>IF($D6430 &gt; 16, 0,$E6430*$J$5)</f>
        <v>9032079.9900555015</v>
      </c>
      <c r="G6430">
        <f t="shared" si="100"/>
        <v>4</v>
      </c>
    </row>
    <row r="6431" spans="2:7" x14ac:dyDescent="0.35">
      <c r="B6431" s="1">
        <v>45925</v>
      </c>
      <c r="C6431" s="2">
        <v>0.875</v>
      </c>
      <c r="D6431">
        <v>11.7</v>
      </c>
      <c r="E6431">
        <f>IF($D6431 &gt; 16, 0, $J$3*(16 - $D6431))</f>
        <v>893.31916361299716</v>
      </c>
      <c r="F6431">
        <f>IF($D6431 &gt; 16, 0,$E6431*$J$5)</f>
        <v>9709485.9893096667</v>
      </c>
      <c r="G6431">
        <f t="shared" si="100"/>
        <v>4.3000000000000007</v>
      </c>
    </row>
    <row r="6432" spans="2:7" x14ac:dyDescent="0.35">
      <c r="B6432" s="1">
        <v>45925</v>
      </c>
      <c r="C6432" s="2">
        <v>0.91666666666666663</v>
      </c>
      <c r="D6432">
        <v>10.9</v>
      </c>
      <c r="E6432">
        <f>IF($D6432 &gt; 16, 0, $J$3*(16 - $D6432))</f>
        <v>1059.5180777735545</v>
      </c>
      <c r="F6432">
        <f>IF($D6432 &gt; 16, 0,$E6432*$J$5)</f>
        <v>11515901.987320764</v>
      </c>
      <c r="G6432">
        <f t="shared" si="100"/>
        <v>5.0999999999999996</v>
      </c>
    </row>
    <row r="6433" spans="2:7" x14ac:dyDescent="0.35">
      <c r="B6433" s="1">
        <v>45925</v>
      </c>
      <c r="C6433" s="2">
        <v>0.95833333333333337</v>
      </c>
      <c r="D6433">
        <v>10.3</v>
      </c>
      <c r="E6433">
        <f>IF($D6433 &gt; 16, 0, $J$3*(16 - $D6433))</f>
        <v>1184.1672633939727</v>
      </c>
      <c r="F6433">
        <f>IF($D6433 &gt; 16, 0,$E6433*$J$5)</f>
        <v>12870713.985829089</v>
      </c>
      <c r="G6433">
        <f t="shared" si="100"/>
        <v>5.6999999999999993</v>
      </c>
    </row>
    <row r="6434" spans="2:7" x14ac:dyDescent="0.35">
      <c r="B6434" s="1">
        <v>45926</v>
      </c>
      <c r="C6434" s="2">
        <v>0</v>
      </c>
      <c r="D6434">
        <v>10.1</v>
      </c>
      <c r="E6434">
        <f>IF($D6434 &gt; 16, 0, $J$3*(16 - $D6434))</f>
        <v>1225.7169919341122</v>
      </c>
      <c r="F6434">
        <f>IF($D6434 &gt; 16, 0,$E6434*$J$5)</f>
        <v>13322317.985331865</v>
      </c>
      <c r="G6434">
        <f t="shared" si="100"/>
        <v>5.9</v>
      </c>
    </row>
    <row r="6435" spans="2:7" x14ac:dyDescent="0.35">
      <c r="B6435" s="1">
        <v>45926</v>
      </c>
      <c r="C6435" s="2">
        <v>4.1666666666666657E-2</v>
      </c>
      <c r="D6435">
        <v>9.9</v>
      </c>
      <c r="E6435">
        <f>IF($D6435 &gt; 16, 0, $J$3*(16 - $D6435))</f>
        <v>1267.2667204742515</v>
      </c>
      <c r="F6435">
        <f>IF($D6435 &gt; 16, 0,$E6435*$J$5)</f>
        <v>13773921.984834639</v>
      </c>
      <c r="G6435">
        <f t="shared" si="100"/>
        <v>6.1</v>
      </c>
    </row>
    <row r="6436" spans="2:7" x14ac:dyDescent="0.35">
      <c r="B6436" s="1">
        <v>45926</v>
      </c>
      <c r="C6436" s="2">
        <v>8.3333333333333329E-2</v>
      </c>
      <c r="D6436">
        <v>10.3</v>
      </c>
      <c r="E6436">
        <f>IF($D6436 &gt; 16, 0, $J$3*(16 - $D6436))</f>
        <v>1184.1672633939727</v>
      </c>
      <c r="F6436">
        <f>IF($D6436 &gt; 16, 0,$E6436*$J$5)</f>
        <v>12870713.985829089</v>
      </c>
      <c r="G6436">
        <f t="shared" si="100"/>
        <v>5.6999999999999993</v>
      </c>
    </row>
    <row r="6437" spans="2:7" x14ac:dyDescent="0.35">
      <c r="B6437" s="1">
        <v>45926</v>
      </c>
      <c r="C6437" s="2">
        <v>0.125</v>
      </c>
      <c r="D6437">
        <v>10.7</v>
      </c>
      <c r="E6437">
        <f>IF($D6437 &gt; 16, 0, $J$3*(16 - $D6437))</f>
        <v>1101.0678063136943</v>
      </c>
      <c r="F6437">
        <f>IF($D6437 &gt; 16, 0,$E6437*$J$5)</f>
        <v>11967505.986823544</v>
      </c>
      <c r="G6437">
        <f t="shared" si="100"/>
        <v>5.3000000000000007</v>
      </c>
    </row>
    <row r="6438" spans="2:7" x14ac:dyDescent="0.35">
      <c r="B6438" s="1">
        <v>45926</v>
      </c>
      <c r="C6438" s="2">
        <v>0.16666666666666671</v>
      </c>
      <c r="D6438">
        <v>10.7</v>
      </c>
      <c r="E6438">
        <f>IF($D6438 &gt; 16, 0, $J$3*(16 - $D6438))</f>
        <v>1101.0678063136943</v>
      </c>
      <c r="F6438">
        <f>IF($D6438 &gt; 16, 0,$E6438*$J$5)</f>
        <v>11967505.986823544</v>
      </c>
      <c r="G6438">
        <f t="shared" si="100"/>
        <v>5.3000000000000007</v>
      </c>
    </row>
    <row r="6439" spans="2:7" x14ac:dyDescent="0.35">
      <c r="B6439" s="1">
        <v>45926</v>
      </c>
      <c r="C6439" s="2">
        <v>0.20833333333333329</v>
      </c>
      <c r="D6439">
        <v>10.6</v>
      </c>
      <c r="E6439">
        <f>IF($D6439 &gt; 16, 0, $J$3*(16 - $D6439))</f>
        <v>1121.8426705837637</v>
      </c>
      <c r="F6439">
        <f>IF($D6439 &gt; 16, 0,$E6439*$J$5)</f>
        <v>12193307.986574927</v>
      </c>
      <c r="G6439">
        <f t="shared" si="100"/>
        <v>5.4</v>
      </c>
    </row>
    <row r="6440" spans="2:7" x14ac:dyDescent="0.35">
      <c r="B6440" s="1">
        <v>45926</v>
      </c>
      <c r="C6440" s="2">
        <v>0.25</v>
      </c>
      <c r="D6440">
        <v>10.6</v>
      </c>
      <c r="E6440">
        <f>IF($D6440 &gt; 16, 0, $J$3*(16 - $D6440))</f>
        <v>1121.8426705837637</v>
      </c>
      <c r="F6440">
        <f>IF($D6440 &gt; 16, 0,$E6440*$J$5)</f>
        <v>12193307.986574927</v>
      </c>
      <c r="G6440">
        <f t="shared" si="100"/>
        <v>5.4</v>
      </c>
    </row>
    <row r="6441" spans="2:7" x14ac:dyDescent="0.35">
      <c r="B6441" s="1">
        <v>45926</v>
      </c>
      <c r="C6441" s="2">
        <v>0.29166666666666669</v>
      </c>
      <c r="D6441">
        <v>10.8</v>
      </c>
      <c r="E6441">
        <f>IF($D6441 &gt; 16, 0, $J$3*(16 - $D6441))</f>
        <v>1080.2929420436242</v>
      </c>
      <c r="F6441">
        <f>IF($D6441 &gt; 16, 0,$E6441*$J$5)</f>
        <v>11741703.987072151</v>
      </c>
      <c r="G6441">
        <f t="shared" si="100"/>
        <v>5.1999999999999993</v>
      </c>
    </row>
    <row r="6442" spans="2:7" x14ac:dyDescent="0.35">
      <c r="B6442" s="1">
        <v>45926</v>
      </c>
      <c r="C6442" s="2">
        <v>0.33333333333333331</v>
      </c>
      <c r="D6442">
        <v>11.3</v>
      </c>
      <c r="E6442">
        <f>IF($D6442 &gt; 16, 0, $J$3*(16 - $D6442))</f>
        <v>976.41862069327567</v>
      </c>
      <c r="F6442">
        <f>IF($D6442 &gt; 16, 0,$E6442*$J$5)</f>
        <v>10612693.988315213</v>
      </c>
      <c r="G6442">
        <f t="shared" si="100"/>
        <v>4.6999999999999993</v>
      </c>
    </row>
    <row r="6443" spans="2:7" x14ac:dyDescent="0.35">
      <c r="B6443" s="1">
        <v>45926</v>
      </c>
      <c r="C6443" s="2">
        <v>0.375</v>
      </c>
      <c r="D6443">
        <v>11.8</v>
      </c>
      <c r="E6443">
        <f>IF($D6443 &gt; 16, 0, $J$3*(16 - $D6443))</f>
        <v>872.54429934292716</v>
      </c>
      <c r="F6443">
        <f>IF($D6443 &gt; 16, 0,$E6443*$J$5)</f>
        <v>9483683.9895582758</v>
      </c>
      <c r="G6443">
        <f t="shared" si="100"/>
        <v>4.1999999999999993</v>
      </c>
    </row>
    <row r="6444" spans="2:7" x14ac:dyDescent="0.35">
      <c r="B6444" s="1">
        <v>45926</v>
      </c>
      <c r="C6444" s="2">
        <v>0.41666666666666669</v>
      </c>
      <c r="D6444">
        <v>12.9</v>
      </c>
      <c r="E6444">
        <f>IF($D6444 &gt; 16, 0, $J$3*(16 - $D6444))</f>
        <v>644.0207923721606</v>
      </c>
      <c r="F6444">
        <f>IF($D6444 &gt; 16, 0,$E6444*$J$5)</f>
        <v>6999861.9922930133</v>
      </c>
      <c r="G6444">
        <f t="shared" si="100"/>
        <v>3.0999999999999996</v>
      </c>
    </row>
    <row r="6445" spans="2:7" x14ac:dyDescent="0.35">
      <c r="B6445" s="1">
        <v>45926</v>
      </c>
      <c r="C6445" s="2">
        <v>0.45833333333333331</v>
      </c>
      <c r="D6445">
        <v>14.7</v>
      </c>
      <c r="E6445">
        <f>IF($D6445 &gt; 16, 0, $J$3*(16 - $D6445))</f>
        <v>270.07323551090622</v>
      </c>
      <c r="F6445">
        <f>IF($D6445 &gt; 16, 0,$E6445*$J$5)</f>
        <v>2935425.9967680397</v>
      </c>
      <c r="G6445">
        <f t="shared" si="100"/>
        <v>1.3000000000000007</v>
      </c>
    </row>
    <row r="6446" spans="2:7" x14ac:dyDescent="0.35">
      <c r="B6446" s="1">
        <v>45926</v>
      </c>
      <c r="C6446" s="2">
        <v>0.5</v>
      </c>
      <c r="D6446">
        <v>15.4</v>
      </c>
      <c r="E6446">
        <f>IF($D6446 &gt; 16, 0, $J$3*(16 - $D6446))</f>
        <v>124.64918562041812</v>
      </c>
      <c r="F6446">
        <f>IF($D6446 &gt; 16, 0,$E6446*$J$5)</f>
        <v>1354811.9985083246</v>
      </c>
      <c r="G6446">
        <f t="shared" si="100"/>
        <v>0.59999999999999964</v>
      </c>
    </row>
    <row r="6447" spans="2:7" x14ac:dyDescent="0.35">
      <c r="B6447" s="1">
        <v>45926</v>
      </c>
      <c r="C6447" s="2">
        <v>0.54166666666666663</v>
      </c>
      <c r="D6447">
        <v>15.2</v>
      </c>
      <c r="E6447">
        <f>IF($D6447 &gt; 16, 0, $J$3*(16 - $D6447))</f>
        <v>166.19891416055773</v>
      </c>
      <c r="F6447">
        <f>IF($D6447 &gt; 16, 0,$E6447*$J$5)</f>
        <v>1806415.998011102</v>
      </c>
      <c r="G6447">
        <f t="shared" si="100"/>
        <v>0.80000000000000071</v>
      </c>
    </row>
    <row r="6448" spans="2:7" x14ac:dyDescent="0.35">
      <c r="B6448" s="1">
        <v>45926</v>
      </c>
      <c r="C6448" s="2">
        <v>0.58333333333333337</v>
      </c>
      <c r="D6448">
        <v>15.2</v>
      </c>
      <c r="E6448">
        <f>IF($D6448 &gt; 16, 0, $J$3*(16 - $D6448))</f>
        <v>166.19891416055773</v>
      </c>
      <c r="F6448">
        <f>IF($D6448 &gt; 16, 0,$E6448*$J$5)</f>
        <v>1806415.998011102</v>
      </c>
      <c r="G6448">
        <f t="shared" si="100"/>
        <v>0.80000000000000071</v>
      </c>
    </row>
    <row r="6449" spans="2:7" x14ac:dyDescent="0.35">
      <c r="B6449" s="1">
        <v>45926</v>
      </c>
      <c r="C6449" s="2">
        <v>0.625</v>
      </c>
      <c r="D6449">
        <v>15.1</v>
      </c>
      <c r="E6449">
        <f>IF($D6449 &gt; 16, 0, $J$3*(16 - $D6449))</f>
        <v>186.97377843062736</v>
      </c>
      <c r="F6449">
        <f>IF($D6449 &gt; 16, 0,$E6449*$J$5)</f>
        <v>2032217.9977624889</v>
      </c>
      <c r="G6449">
        <f t="shared" si="100"/>
        <v>0.90000000000000036</v>
      </c>
    </row>
    <row r="6450" spans="2:7" x14ac:dyDescent="0.35">
      <c r="B6450" s="1">
        <v>45926</v>
      </c>
      <c r="C6450" s="2">
        <v>0.66666666666666663</v>
      </c>
      <c r="D6450">
        <v>14.8</v>
      </c>
      <c r="E6450">
        <f>IF($D6450 &gt; 16, 0, $J$3*(16 - $D6450))</f>
        <v>249.29837124083625</v>
      </c>
      <c r="F6450">
        <f>IF($D6450 &gt; 16, 0,$E6450*$J$5)</f>
        <v>2709623.9970166492</v>
      </c>
      <c r="G6450">
        <f t="shared" si="100"/>
        <v>1.1999999999999993</v>
      </c>
    </row>
    <row r="6451" spans="2:7" x14ac:dyDescent="0.35">
      <c r="B6451" s="1">
        <v>45926</v>
      </c>
      <c r="C6451" s="2">
        <v>0.70833333333333337</v>
      </c>
      <c r="D6451">
        <v>14.7</v>
      </c>
      <c r="E6451">
        <f>IF($D6451 &gt; 16, 0, $J$3*(16 - $D6451))</f>
        <v>270.07323551090622</v>
      </c>
      <c r="F6451">
        <f>IF($D6451 &gt; 16, 0,$E6451*$J$5)</f>
        <v>2935425.9967680397</v>
      </c>
      <c r="G6451">
        <f t="shared" si="100"/>
        <v>1.3000000000000007</v>
      </c>
    </row>
    <row r="6452" spans="2:7" x14ac:dyDescent="0.35">
      <c r="B6452" s="1">
        <v>45926</v>
      </c>
      <c r="C6452" s="2">
        <v>0.75</v>
      </c>
      <c r="D6452">
        <v>14.6</v>
      </c>
      <c r="E6452">
        <f>IF($D6452 &gt; 16, 0, $J$3*(16 - $D6452))</f>
        <v>290.84809978097587</v>
      </c>
      <c r="F6452">
        <f>IF($D6452 &gt; 16, 0,$E6452*$J$5)</f>
        <v>3161227.9965194268</v>
      </c>
      <c r="G6452">
        <f t="shared" si="100"/>
        <v>1.4000000000000004</v>
      </c>
    </row>
    <row r="6453" spans="2:7" x14ac:dyDescent="0.35">
      <c r="B6453" s="1">
        <v>45926</v>
      </c>
      <c r="C6453" s="2">
        <v>0.79166666666666663</v>
      </c>
      <c r="D6453">
        <v>14.2</v>
      </c>
      <c r="E6453">
        <f>IF($D6453 &gt; 16, 0, $J$3*(16 - $D6453))</f>
        <v>373.94755686125472</v>
      </c>
      <c r="F6453">
        <f>IF($D6453 &gt; 16, 0,$E6453*$J$5)</f>
        <v>4064435.9955249778</v>
      </c>
      <c r="G6453">
        <f t="shared" si="100"/>
        <v>1.8000000000000007</v>
      </c>
    </row>
    <row r="6454" spans="2:7" x14ac:dyDescent="0.35">
      <c r="B6454" s="1">
        <v>45926</v>
      </c>
      <c r="C6454" s="2">
        <v>0.83333333333333337</v>
      </c>
      <c r="D6454">
        <v>14</v>
      </c>
      <c r="E6454">
        <f>IF($D6454 &gt; 16, 0, $J$3*(16 - $D6454))</f>
        <v>415.49728540139398</v>
      </c>
      <c r="F6454">
        <f>IF($D6454 &gt; 16, 0,$E6454*$J$5)</f>
        <v>4516039.9950277507</v>
      </c>
      <c r="G6454">
        <f t="shared" si="100"/>
        <v>2</v>
      </c>
    </row>
    <row r="6455" spans="2:7" x14ac:dyDescent="0.35">
      <c r="B6455" s="1">
        <v>45926</v>
      </c>
      <c r="C6455" s="2">
        <v>0.875</v>
      </c>
      <c r="D6455">
        <v>13.8</v>
      </c>
      <c r="E6455">
        <f>IF($D6455 &gt; 16, 0, $J$3*(16 - $D6455))</f>
        <v>457.04701394153324</v>
      </c>
      <c r="F6455">
        <f>IF($D6455 &gt; 16, 0,$E6455*$J$5)</f>
        <v>4967643.9945305251</v>
      </c>
      <c r="G6455">
        <f t="shared" si="100"/>
        <v>2.1999999999999993</v>
      </c>
    </row>
    <row r="6456" spans="2:7" x14ac:dyDescent="0.35">
      <c r="B6456" s="1">
        <v>45926</v>
      </c>
      <c r="C6456" s="2">
        <v>0.91666666666666663</v>
      </c>
      <c r="D6456">
        <v>13.6</v>
      </c>
      <c r="E6456">
        <f>IF($D6456 &gt; 16, 0, $J$3*(16 - $D6456))</f>
        <v>498.59674248167283</v>
      </c>
      <c r="F6456">
        <f>IF($D6456 &gt; 16, 0,$E6456*$J$5)</f>
        <v>5419247.9940333022</v>
      </c>
      <c r="G6456">
        <f t="shared" si="100"/>
        <v>2.4000000000000004</v>
      </c>
    </row>
    <row r="6457" spans="2:7" x14ac:dyDescent="0.35">
      <c r="B6457" s="1">
        <v>45926</v>
      </c>
      <c r="C6457" s="2">
        <v>0.95833333333333337</v>
      </c>
      <c r="D6457">
        <v>13.4</v>
      </c>
      <c r="E6457">
        <f>IF($D6457 &gt; 16, 0, $J$3*(16 - $D6457))</f>
        <v>540.14647102181209</v>
      </c>
      <c r="F6457">
        <f>IF($D6457 &gt; 16, 0,$E6457*$J$5)</f>
        <v>5870851.9935360756</v>
      </c>
      <c r="G6457">
        <f t="shared" si="100"/>
        <v>2.5999999999999996</v>
      </c>
    </row>
    <row r="6458" spans="2:7" x14ac:dyDescent="0.35">
      <c r="B6458" s="1">
        <v>45927</v>
      </c>
      <c r="C6458" s="2">
        <v>0</v>
      </c>
      <c r="D6458">
        <v>12.7</v>
      </c>
      <c r="E6458">
        <f>IF($D6458 &gt; 16, 0, $J$3*(16 - $D6458))</f>
        <v>685.57052091230025</v>
      </c>
      <c r="F6458">
        <f>IF($D6458 &gt; 16, 0,$E6458*$J$5)</f>
        <v>7451465.9917957913</v>
      </c>
      <c r="G6458">
        <f t="shared" si="100"/>
        <v>3.3000000000000007</v>
      </c>
    </row>
    <row r="6459" spans="2:7" x14ac:dyDescent="0.35">
      <c r="B6459" s="1">
        <v>45927</v>
      </c>
      <c r="C6459" s="2">
        <v>4.1666666666666657E-2</v>
      </c>
      <c r="D6459">
        <v>12.5</v>
      </c>
      <c r="E6459">
        <f>IF($D6459 &gt; 16, 0, $J$3*(16 - $D6459))</f>
        <v>727.12024945243945</v>
      </c>
      <c r="F6459">
        <f>IF($D6459 &gt; 16, 0,$E6459*$J$5)</f>
        <v>7903069.9912985647</v>
      </c>
      <c r="G6459">
        <f t="shared" si="100"/>
        <v>3.5</v>
      </c>
    </row>
    <row r="6460" spans="2:7" x14ac:dyDescent="0.35">
      <c r="B6460" s="1">
        <v>45927</v>
      </c>
      <c r="C6460" s="2">
        <v>8.3333333333333329E-2</v>
      </c>
      <c r="D6460">
        <v>12.4</v>
      </c>
      <c r="E6460">
        <f>IF($D6460 &gt; 16, 0, $J$3*(16 - $D6460))</f>
        <v>747.89511372250911</v>
      </c>
      <c r="F6460">
        <f>IF($D6460 &gt; 16, 0,$E6460*$J$5)</f>
        <v>8128871.9910499519</v>
      </c>
      <c r="G6460">
        <f t="shared" si="100"/>
        <v>3.5999999999999996</v>
      </c>
    </row>
    <row r="6461" spans="2:7" x14ac:dyDescent="0.35">
      <c r="B6461" s="1">
        <v>45927</v>
      </c>
      <c r="C6461" s="2">
        <v>0.125</v>
      </c>
      <c r="D6461">
        <v>12.2</v>
      </c>
      <c r="E6461">
        <f>IF($D6461 &gt; 16, 0, $J$3*(16 - $D6461))</f>
        <v>789.44484226264876</v>
      </c>
      <c r="F6461">
        <f>IF($D6461 &gt; 16, 0,$E6461*$J$5)</f>
        <v>8580475.990552729</v>
      </c>
      <c r="G6461">
        <f t="shared" si="100"/>
        <v>3.8000000000000007</v>
      </c>
    </row>
    <row r="6462" spans="2:7" x14ac:dyDescent="0.35">
      <c r="B6462" s="1">
        <v>45927</v>
      </c>
      <c r="C6462" s="2">
        <v>0.16666666666666671</v>
      </c>
      <c r="D6462">
        <v>11.8</v>
      </c>
      <c r="E6462">
        <f>IF($D6462 &gt; 16, 0, $J$3*(16 - $D6462))</f>
        <v>872.54429934292716</v>
      </c>
      <c r="F6462">
        <f>IF($D6462 &gt; 16, 0,$E6462*$J$5)</f>
        <v>9483683.9895582758</v>
      </c>
      <c r="G6462">
        <f t="shared" si="100"/>
        <v>4.1999999999999993</v>
      </c>
    </row>
    <row r="6463" spans="2:7" x14ac:dyDescent="0.35">
      <c r="B6463" s="1">
        <v>45927</v>
      </c>
      <c r="C6463" s="2">
        <v>0.20833333333333329</v>
      </c>
      <c r="D6463">
        <v>11.8</v>
      </c>
      <c r="E6463">
        <f>IF($D6463 &gt; 16, 0, $J$3*(16 - $D6463))</f>
        <v>872.54429934292716</v>
      </c>
      <c r="F6463">
        <f>IF($D6463 &gt; 16, 0,$E6463*$J$5)</f>
        <v>9483683.9895582758</v>
      </c>
      <c r="G6463">
        <f t="shared" si="100"/>
        <v>4.1999999999999993</v>
      </c>
    </row>
    <row r="6464" spans="2:7" x14ac:dyDescent="0.35">
      <c r="B6464" s="1">
        <v>45927</v>
      </c>
      <c r="C6464" s="2">
        <v>0.25</v>
      </c>
      <c r="D6464">
        <v>12.3</v>
      </c>
      <c r="E6464">
        <f>IF($D6464 &gt; 16, 0, $J$3*(16 - $D6464))</f>
        <v>768.66997799257877</v>
      </c>
      <c r="F6464">
        <f>IF($D6464 &gt; 16, 0,$E6464*$J$5)</f>
        <v>8354673.990801339</v>
      </c>
      <c r="G6464">
        <f t="shared" si="100"/>
        <v>3.6999999999999993</v>
      </c>
    </row>
    <row r="6465" spans="2:7" x14ac:dyDescent="0.35">
      <c r="B6465" s="1">
        <v>45927</v>
      </c>
      <c r="C6465" s="2">
        <v>0.29166666666666669</v>
      </c>
      <c r="D6465">
        <v>12.4</v>
      </c>
      <c r="E6465">
        <f>IF($D6465 &gt; 16, 0, $J$3*(16 - $D6465))</f>
        <v>747.89511372250911</v>
      </c>
      <c r="F6465">
        <f>IF($D6465 &gt; 16, 0,$E6465*$J$5)</f>
        <v>8128871.9910499519</v>
      </c>
      <c r="G6465">
        <f t="shared" si="100"/>
        <v>3.5999999999999996</v>
      </c>
    </row>
    <row r="6466" spans="2:7" x14ac:dyDescent="0.35">
      <c r="B6466" s="1">
        <v>45927</v>
      </c>
      <c r="C6466" s="2">
        <v>0.33333333333333331</v>
      </c>
      <c r="D6466">
        <v>12.5</v>
      </c>
      <c r="E6466">
        <f>IF($D6466 &gt; 16, 0, $J$3*(16 - $D6466))</f>
        <v>727.12024945243945</v>
      </c>
      <c r="F6466">
        <f>IF($D6466 &gt; 16, 0,$E6466*$J$5)</f>
        <v>7903069.9912985647</v>
      </c>
      <c r="G6466">
        <f t="shared" si="100"/>
        <v>3.5</v>
      </c>
    </row>
    <row r="6467" spans="2:7" x14ac:dyDescent="0.35">
      <c r="B6467" s="1">
        <v>45927</v>
      </c>
      <c r="C6467" s="2">
        <v>0.375</v>
      </c>
      <c r="D6467">
        <v>12.7</v>
      </c>
      <c r="E6467">
        <f>IF($D6467 &gt; 16, 0, $J$3*(16 - $D6467))</f>
        <v>685.57052091230025</v>
      </c>
      <c r="F6467">
        <f>IF($D6467 &gt; 16, 0,$E6467*$J$5)</f>
        <v>7451465.9917957913</v>
      </c>
      <c r="G6467">
        <f t="shared" ref="G6467:G6530" si="101">MAX(0, 16 - $D6467)</f>
        <v>3.3000000000000007</v>
      </c>
    </row>
    <row r="6468" spans="2:7" x14ac:dyDescent="0.35">
      <c r="B6468" s="1">
        <v>45927</v>
      </c>
      <c r="C6468" s="2">
        <v>0.41666666666666669</v>
      </c>
      <c r="D6468">
        <v>13.5</v>
      </c>
      <c r="E6468">
        <f>IF($D6468 &gt; 16, 0, $J$3*(16 - $D6468))</f>
        <v>519.37160675174243</v>
      </c>
      <c r="F6468">
        <f>IF($D6468 &gt; 16, 0,$E6468*$J$5)</f>
        <v>5645049.9937846884</v>
      </c>
      <c r="G6468">
        <f t="shared" si="101"/>
        <v>2.5</v>
      </c>
    </row>
    <row r="6469" spans="2:7" x14ac:dyDescent="0.35">
      <c r="B6469" s="1">
        <v>45927</v>
      </c>
      <c r="C6469" s="2">
        <v>0.45833333333333331</v>
      </c>
      <c r="D6469">
        <v>14.2</v>
      </c>
      <c r="E6469">
        <f>IF($D6469 &gt; 16, 0, $J$3*(16 - $D6469))</f>
        <v>373.94755686125472</v>
      </c>
      <c r="F6469">
        <f>IF($D6469 &gt; 16, 0,$E6469*$J$5)</f>
        <v>4064435.9955249778</v>
      </c>
      <c r="G6469">
        <f t="shared" si="101"/>
        <v>1.8000000000000007</v>
      </c>
    </row>
    <row r="6470" spans="2:7" x14ac:dyDescent="0.35">
      <c r="B6470" s="1">
        <v>45927</v>
      </c>
      <c r="C6470" s="2">
        <v>0.5</v>
      </c>
      <c r="D6470">
        <v>15.5</v>
      </c>
      <c r="E6470">
        <f>IF($D6470 &gt; 16, 0, $J$3*(16 - $D6470))</f>
        <v>103.8743213503485</v>
      </c>
      <c r="F6470">
        <f>IF($D6470 &gt; 16, 0,$E6470*$J$5)</f>
        <v>1129009.9987569377</v>
      </c>
      <c r="G6470">
        <f t="shared" si="101"/>
        <v>0.5</v>
      </c>
    </row>
    <row r="6471" spans="2:7" x14ac:dyDescent="0.35">
      <c r="B6471" s="1">
        <v>45927</v>
      </c>
      <c r="C6471" s="2">
        <v>0.54166666666666663</v>
      </c>
      <c r="D6471">
        <v>17.3</v>
      </c>
      <c r="E6471">
        <f>IF($D6471 &gt; 16, 0, $J$3*(16 - $D6471))</f>
        <v>0</v>
      </c>
      <c r="F6471">
        <f>IF($D6471 &gt; 16, 0,$E6471*$J$5)</f>
        <v>0</v>
      </c>
      <c r="G6471">
        <f t="shared" si="101"/>
        <v>0</v>
      </c>
    </row>
    <row r="6472" spans="2:7" x14ac:dyDescent="0.35">
      <c r="B6472" s="1">
        <v>45927</v>
      </c>
      <c r="C6472" s="2">
        <v>0.58333333333333337</v>
      </c>
      <c r="D6472">
        <v>18</v>
      </c>
      <c r="E6472">
        <f>IF($D6472 &gt; 16, 0, $J$3*(16 - $D6472))</f>
        <v>0</v>
      </c>
      <c r="F6472">
        <f>IF($D6472 &gt; 16, 0,$E6472*$J$5)</f>
        <v>0</v>
      </c>
      <c r="G6472">
        <f t="shared" si="101"/>
        <v>0</v>
      </c>
    </row>
    <row r="6473" spans="2:7" x14ac:dyDescent="0.35">
      <c r="B6473" s="1">
        <v>45927</v>
      </c>
      <c r="C6473" s="2">
        <v>0.625</v>
      </c>
      <c r="D6473">
        <v>17.899999999999999</v>
      </c>
      <c r="E6473">
        <f>IF($D6473 &gt; 16, 0, $J$3*(16 - $D6473))</f>
        <v>0</v>
      </c>
      <c r="F6473">
        <f>IF($D6473 &gt; 16, 0,$E6473*$J$5)</f>
        <v>0</v>
      </c>
      <c r="G6473">
        <f t="shared" si="101"/>
        <v>0</v>
      </c>
    </row>
    <row r="6474" spans="2:7" x14ac:dyDescent="0.35">
      <c r="B6474" s="1">
        <v>45927</v>
      </c>
      <c r="C6474" s="2">
        <v>0.66666666666666663</v>
      </c>
      <c r="D6474">
        <v>17.899999999999999</v>
      </c>
      <c r="E6474">
        <f>IF($D6474 &gt; 16, 0, $J$3*(16 - $D6474))</f>
        <v>0</v>
      </c>
      <c r="F6474">
        <f>IF($D6474 &gt; 16, 0,$E6474*$J$5)</f>
        <v>0</v>
      </c>
      <c r="G6474">
        <f t="shared" si="101"/>
        <v>0</v>
      </c>
    </row>
    <row r="6475" spans="2:7" x14ac:dyDescent="0.35">
      <c r="B6475" s="1">
        <v>45927</v>
      </c>
      <c r="C6475" s="2">
        <v>0.70833333333333337</v>
      </c>
      <c r="D6475">
        <v>17.100000000000001</v>
      </c>
      <c r="E6475">
        <f>IF($D6475 &gt; 16, 0, $J$3*(16 - $D6475))</f>
        <v>0</v>
      </c>
      <c r="F6475">
        <f>IF($D6475 &gt; 16, 0,$E6475*$J$5)</f>
        <v>0</v>
      </c>
      <c r="G6475">
        <f t="shared" si="101"/>
        <v>0</v>
      </c>
    </row>
    <row r="6476" spans="2:7" x14ac:dyDescent="0.35">
      <c r="B6476" s="1">
        <v>45927</v>
      </c>
      <c r="C6476" s="2">
        <v>0.75</v>
      </c>
      <c r="D6476">
        <v>16.3</v>
      </c>
      <c r="E6476">
        <f>IF($D6476 &gt; 16, 0, $J$3*(16 - $D6476))</f>
        <v>0</v>
      </c>
      <c r="F6476">
        <f>IF($D6476 &gt; 16, 0,$E6476*$J$5)</f>
        <v>0</v>
      </c>
      <c r="G6476">
        <f t="shared" si="101"/>
        <v>0</v>
      </c>
    </row>
    <row r="6477" spans="2:7" x14ac:dyDescent="0.35">
      <c r="B6477" s="1">
        <v>45927</v>
      </c>
      <c r="C6477" s="2">
        <v>0.79166666666666663</v>
      </c>
      <c r="D6477">
        <v>16.2</v>
      </c>
      <c r="E6477">
        <f>IF($D6477 &gt; 16, 0, $J$3*(16 - $D6477))</f>
        <v>0</v>
      </c>
      <c r="F6477">
        <f>IF($D6477 &gt; 16, 0,$E6477*$J$5)</f>
        <v>0</v>
      </c>
      <c r="G6477">
        <f t="shared" si="101"/>
        <v>0</v>
      </c>
    </row>
    <row r="6478" spans="2:7" x14ac:dyDescent="0.35">
      <c r="B6478" s="1">
        <v>45927</v>
      </c>
      <c r="C6478" s="2">
        <v>0.83333333333333337</v>
      </c>
      <c r="D6478">
        <v>15.9</v>
      </c>
      <c r="E6478">
        <f>IF($D6478 &gt; 16, 0, $J$3*(16 - $D6478))</f>
        <v>20.774864270069624</v>
      </c>
      <c r="F6478">
        <f>IF($D6478 &gt; 16, 0,$E6478*$J$5)</f>
        <v>225801.99975138676</v>
      </c>
      <c r="G6478">
        <f t="shared" si="101"/>
        <v>9.9999999999999645E-2</v>
      </c>
    </row>
    <row r="6479" spans="2:7" x14ac:dyDescent="0.35">
      <c r="B6479" s="1">
        <v>45927</v>
      </c>
      <c r="C6479" s="2">
        <v>0.875</v>
      </c>
      <c r="D6479">
        <v>15.5</v>
      </c>
      <c r="E6479">
        <f>IF($D6479 &gt; 16, 0, $J$3*(16 - $D6479))</f>
        <v>103.8743213503485</v>
      </c>
      <c r="F6479">
        <f>IF($D6479 &gt; 16, 0,$E6479*$J$5)</f>
        <v>1129009.9987569377</v>
      </c>
      <c r="G6479">
        <f t="shared" si="101"/>
        <v>0.5</v>
      </c>
    </row>
    <row r="6480" spans="2:7" x14ac:dyDescent="0.35">
      <c r="B6480" s="1">
        <v>45927</v>
      </c>
      <c r="C6480" s="2">
        <v>0.91666666666666663</v>
      </c>
      <c r="D6480">
        <v>15.1</v>
      </c>
      <c r="E6480">
        <f>IF($D6480 &gt; 16, 0, $J$3*(16 - $D6480))</f>
        <v>186.97377843062736</v>
      </c>
      <c r="F6480">
        <f>IF($D6480 &gt; 16, 0,$E6480*$J$5)</f>
        <v>2032217.9977624889</v>
      </c>
      <c r="G6480">
        <f t="shared" si="101"/>
        <v>0.90000000000000036</v>
      </c>
    </row>
    <row r="6481" spans="2:7" x14ac:dyDescent="0.35">
      <c r="B6481" s="1">
        <v>45927</v>
      </c>
      <c r="C6481" s="2">
        <v>0.95833333333333337</v>
      </c>
      <c r="D6481">
        <v>14.4</v>
      </c>
      <c r="E6481">
        <f>IF($D6481 &gt; 16, 0, $J$3*(16 - $D6481))</f>
        <v>332.39782832111513</v>
      </c>
      <c r="F6481">
        <f>IF($D6481 &gt; 16, 0,$E6481*$J$5)</f>
        <v>3612831.9960222002</v>
      </c>
      <c r="G6481">
        <f t="shared" si="101"/>
        <v>1.5999999999999996</v>
      </c>
    </row>
    <row r="6482" spans="2:7" x14ac:dyDescent="0.35">
      <c r="B6482" s="1">
        <v>45928</v>
      </c>
      <c r="C6482" s="2">
        <v>0</v>
      </c>
      <c r="D6482">
        <v>12.6</v>
      </c>
      <c r="E6482">
        <f>IF($D6482 &gt; 16, 0, $J$3*(16 - $D6482))</f>
        <v>706.3453851823698</v>
      </c>
      <c r="F6482">
        <f>IF($D6482 &gt; 16, 0,$E6482*$J$5)</f>
        <v>7677267.9915471775</v>
      </c>
      <c r="G6482">
        <f t="shared" si="101"/>
        <v>3.4000000000000004</v>
      </c>
    </row>
    <row r="6483" spans="2:7" x14ac:dyDescent="0.35">
      <c r="B6483" s="1">
        <v>45928</v>
      </c>
      <c r="C6483" s="2">
        <v>4.1666666666666657E-2</v>
      </c>
      <c r="D6483">
        <v>11.6</v>
      </c>
      <c r="E6483">
        <f>IF($D6483 &gt; 16, 0, $J$3*(16 - $D6483))</f>
        <v>914.09402788306681</v>
      </c>
      <c r="F6483">
        <f>IF($D6483 &gt; 16, 0,$E6483*$J$5)</f>
        <v>9935287.9890610538</v>
      </c>
      <c r="G6483">
        <f t="shared" si="101"/>
        <v>4.4000000000000004</v>
      </c>
    </row>
    <row r="6484" spans="2:7" x14ac:dyDescent="0.35">
      <c r="B6484" s="1">
        <v>45928</v>
      </c>
      <c r="C6484" s="2">
        <v>8.3333333333333329E-2</v>
      </c>
      <c r="D6484">
        <v>10.5</v>
      </c>
      <c r="E6484">
        <f>IF($D6484 &gt; 16, 0, $J$3*(16 - $D6484))</f>
        <v>1142.6175348538334</v>
      </c>
      <c r="F6484">
        <f>IF($D6484 &gt; 16, 0,$E6484*$J$5)</f>
        <v>12419109.986326315</v>
      </c>
      <c r="G6484">
        <f t="shared" si="101"/>
        <v>5.5</v>
      </c>
    </row>
    <row r="6485" spans="2:7" x14ac:dyDescent="0.35">
      <c r="B6485" s="1">
        <v>45928</v>
      </c>
      <c r="C6485" s="2">
        <v>0.125</v>
      </c>
      <c r="D6485">
        <v>9.9</v>
      </c>
      <c r="E6485">
        <f>IF($D6485 &gt; 16, 0, $J$3*(16 - $D6485))</f>
        <v>1267.2667204742515</v>
      </c>
      <c r="F6485">
        <f>IF($D6485 &gt; 16, 0,$E6485*$J$5)</f>
        <v>13773921.984834639</v>
      </c>
      <c r="G6485">
        <f t="shared" si="101"/>
        <v>6.1</v>
      </c>
    </row>
    <row r="6486" spans="2:7" x14ac:dyDescent="0.35">
      <c r="B6486" s="1">
        <v>45928</v>
      </c>
      <c r="C6486" s="2">
        <v>0.16666666666666671</v>
      </c>
      <c r="D6486">
        <v>7.2</v>
      </c>
      <c r="E6486">
        <f>IF($D6486 &gt; 16, 0, $J$3*(16 - $D6486))</f>
        <v>1828.1880557661336</v>
      </c>
      <c r="F6486">
        <f>IF($D6486 &gt; 16, 0,$E6486*$J$5)</f>
        <v>19870575.978122108</v>
      </c>
      <c r="G6486">
        <f t="shared" si="101"/>
        <v>8.8000000000000007</v>
      </c>
    </row>
    <row r="6487" spans="2:7" x14ac:dyDescent="0.35">
      <c r="B6487" s="1">
        <v>45928</v>
      </c>
      <c r="C6487" s="2">
        <v>0.20833333333333329</v>
      </c>
      <c r="D6487">
        <v>7.9</v>
      </c>
      <c r="E6487">
        <f>IF($D6487 &gt; 16, 0, $J$3*(16 - $D6487))</f>
        <v>1682.7640058756456</v>
      </c>
      <c r="F6487">
        <f>IF($D6487 &gt; 16, 0,$E6487*$J$5)</f>
        <v>18289961.979862392</v>
      </c>
      <c r="G6487">
        <f t="shared" si="101"/>
        <v>8.1</v>
      </c>
    </row>
    <row r="6488" spans="2:7" x14ac:dyDescent="0.35">
      <c r="B6488" s="1">
        <v>45928</v>
      </c>
      <c r="C6488" s="2">
        <v>0.25</v>
      </c>
      <c r="D6488">
        <v>7.8</v>
      </c>
      <c r="E6488">
        <f>IF($D6488 &gt; 16, 0, $J$3*(16 - $D6488))</f>
        <v>1703.5388701457152</v>
      </c>
      <c r="F6488">
        <f>IF($D6488 &gt; 16, 0,$E6488*$J$5)</f>
        <v>18515763.979613777</v>
      </c>
      <c r="G6488">
        <f t="shared" si="101"/>
        <v>8.1999999999999993</v>
      </c>
    </row>
    <row r="6489" spans="2:7" x14ac:dyDescent="0.35">
      <c r="B6489" s="1">
        <v>45928</v>
      </c>
      <c r="C6489" s="2">
        <v>0.29166666666666669</v>
      </c>
      <c r="D6489">
        <v>10.8</v>
      </c>
      <c r="E6489">
        <f>IF($D6489 &gt; 16, 0, $J$3*(16 - $D6489))</f>
        <v>1080.2929420436242</v>
      </c>
      <c r="F6489">
        <f>IF($D6489 &gt; 16, 0,$E6489*$J$5)</f>
        <v>11741703.987072151</v>
      </c>
      <c r="G6489">
        <f t="shared" si="101"/>
        <v>5.1999999999999993</v>
      </c>
    </row>
    <row r="6490" spans="2:7" x14ac:dyDescent="0.35">
      <c r="B6490" s="1">
        <v>45928</v>
      </c>
      <c r="C6490" s="2">
        <v>0.33333333333333331</v>
      </c>
      <c r="D6490">
        <v>13.1</v>
      </c>
      <c r="E6490">
        <f>IF($D6490 &gt; 16, 0, $J$3*(16 - $D6490))</f>
        <v>602.4710638320214</v>
      </c>
      <c r="F6490">
        <f>IF($D6490 &gt; 16, 0,$E6490*$J$5)</f>
        <v>6548257.9927902408</v>
      </c>
      <c r="G6490">
        <f t="shared" si="101"/>
        <v>2.9000000000000004</v>
      </c>
    </row>
    <row r="6491" spans="2:7" x14ac:dyDescent="0.35">
      <c r="B6491" s="1">
        <v>45928</v>
      </c>
      <c r="C6491" s="2">
        <v>0.375</v>
      </c>
      <c r="D6491">
        <v>15</v>
      </c>
      <c r="E6491">
        <f>IF($D6491 &gt; 16, 0, $J$3*(16 - $D6491))</f>
        <v>207.74864270069699</v>
      </c>
      <c r="F6491">
        <f>IF($D6491 &gt; 16, 0,$E6491*$J$5)</f>
        <v>2258019.9975138754</v>
      </c>
      <c r="G6491">
        <f t="shared" si="101"/>
        <v>1</v>
      </c>
    </row>
    <row r="6492" spans="2:7" x14ac:dyDescent="0.35">
      <c r="B6492" s="1">
        <v>45928</v>
      </c>
      <c r="C6492" s="2">
        <v>0.41666666666666669</v>
      </c>
      <c r="D6492">
        <v>16.899999999999999</v>
      </c>
      <c r="E6492">
        <f>IF($D6492 &gt; 16, 0, $J$3*(16 - $D6492))</f>
        <v>0</v>
      </c>
      <c r="F6492">
        <f>IF($D6492 &gt; 16, 0,$E6492*$J$5)</f>
        <v>0</v>
      </c>
      <c r="G6492">
        <f t="shared" si="101"/>
        <v>0</v>
      </c>
    </row>
    <row r="6493" spans="2:7" x14ac:dyDescent="0.35">
      <c r="B6493" s="1">
        <v>45928</v>
      </c>
      <c r="C6493" s="2">
        <v>0.45833333333333331</v>
      </c>
      <c r="D6493">
        <v>17.7</v>
      </c>
      <c r="E6493">
        <f>IF($D6493 &gt; 16, 0, $J$3*(16 - $D6493))</f>
        <v>0</v>
      </c>
      <c r="F6493">
        <f>IF($D6493 &gt; 16, 0,$E6493*$J$5)</f>
        <v>0</v>
      </c>
      <c r="G6493">
        <f t="shared" si="101"/>
        <v>0</v>
      </c>
    </row>
    <row r="6494" spans="2:7" x14ac:dyDescent="0.35">
      <c r="B6494" s="1">
        <v>45928</v>
      </c>
      <c r="C6494" s="2">
        <v>0.5</v>
      </c>
      <c r="D6494">
        <v>18.5</v>
      </c>
      <c r="E6494">
        <f>IF($D6494 &gt; 16, 0, $J$3*(16 - $D6494))</f>
        <v>0</v>
      </c>
      <c r="F6494">
        <f>IF($D6494 &gt; 16, 0,$E6494*$J$5)</f>
        <v>0</v>
      </c>
      <c r="G6494">
        <f t="shared" si="101"/>
        <v>0</v>
      </c>
    </row>
    <row r="6495" spans="2:7" x14ac:dyDescent="0.35">
      <c r="B6495" s="1">
        <v>45928</v>
      </c>
      <c r="C6495" s="2">
        <v>0.54166666666666663</v>
      </c>
      <c r="D6495">
        <v>18.899999999999999</v>
      </c>
      <c r="E6495">
        <f>IF($D6495 &gt; 16, 0, $J$3*(16 - $D6495))</f>
        <v>0</v>
      </c>
      <c r="F6495">
        <f>IF($D6495 &gt; 16, 0,$E6495*$J$5)</f>
        <v>0</v>
      </c>
      <c r="G6495">
        <f t="shared" si="101"/>
        <v>0</v>
      </c>
    </row>
    <row r="6496" spans="2:7" x14ac:dyDescent="0.35">
      <c r="B6496" s="1">
        <v>45928</v>
      </c>
      <c r="C6496" s="2">
        <v>0.58333333333333337</v>
      </c>
      <c r="D6496">
        <v>18.899999999999999</v>
      </c>
      <c r="E6496">
        <f>IF($D6496 &gt; 16, 0, $J$3*(16 - $D6496))</f>
        <v>0</v>
      </c>
      <c r="F6496">
        <f>IF($D6496 &gt; 16, 0,$E6496*$J$5)</f>
        <v>0</v>
      </c>
      <c r="G6496">
        <f t="shared" si="101"/>
        <v>0</v>
      </c>
    </row>
    <row r="6497" spans="2:7" x14ac:dyDescent="0.35">
      <c r="B6497" s="1">
        <v>45928</v>
      </c>
      <c r="C6497" s="2">
        <v>0.625</v>
      </c>
      <c r="D6497">
        <v>18.7</v>
      </c>
      <c r="E6497">
        <f>IF($D6497 &gt; 16, 0, $J$3*(16 - $D6497))</f>
        <v>0</v>
      </c>
      <c r="F6497">
        <f>IF($D6497 &gt; 16, 0,$E6497*$J$5)</f>
        <v>0</v>
      </c>
      <c r="G6497">
        <f t="shared" si="101"/>
        <v>0</v>
      </c>
    </row>
    <row r="6498" spans="2:7" x14ac:dyDescent="0.35">
      <c r="B6498" s="1">
        <v>45928</v>
      </c>
      <c r="C6498" s="2">
        <v>0.66666666666666663</v>
      </c>
      <c r="D6498">
        <v>18</v>
      </c>
      <c r="E6498">
        <f>IF($D6498 &gt; 16, 0, $J$3*(16 - $D6498))</f>
        <v>0</v>
      </c>
      <c r="F6498">
        <f>IF($D6498 &gt; 16, 0,$E6498*$J$5)</f>
        <v>0</v>
      </c>
      <c r="G6498">
        <f t="shared" si="101"/>
        <v>0</v>
      </c>
    </row>
    <row r="6499" spans="2:7" x14ac:dyDescent="0.35">
      <c r="B6499" s="1">
        <v>45928</v>
      </c>
      <c r="C6499" s="2">
        <v>0.70833333333333337</v>
      </c>
      <c r="D6499">
        <v>15.9</v>
      </c>
      <c r="E6499">
        <f>IF($D6499 &gt; 16, 0, $J$3*(16 - $D6499))</f>
        <v>20.774864270069624</v>
      </c>
      <c r="F6499">
        <f>IF($D6499 &gt; 16, 0,$E6499*$J$5)</f>
        <v>225801.99975138676</v>
      </c>
      <c r="G6499">
        <f t="shared" si="101"/>
        <v>9.9999999999999645E-2</v>
      </c>
    </row>
    <row r="6500" spans="2:7" x14ac:dyDescent="0.35">
      <c r="B6500" s="1">
        <v>45928</v>
      </c>
      <c r="C6500" s="2">
        <v>0.75</v>
      </c>
      <c r="D6500">
        <v>13.8</v>
      </c>
      <c r="E6500">
        <f>IF($D6500 &gt; 16, 0, $J$3*(16 - $D6500))</f>
        <v>457.04701394153324</v>
      </c>
      <c r="F6500">
        <f>IF($D6500 &gt; 16, 0,$E6500*$J$5)</f>
        <v>4967643.9945305251</v>
      </c>
      <c r="G6500">
        <f t="shared" si="101"/>
        <v>2.1999999999999993</v>
      </c>
    </row>
    <row r="6501" spans="2:7" x14ac:dyDescent="0.35">
      <c r="B6501" s="1">
        <v>45928</v>
      </c>
      <c r="C6501" s="2">
        <v>0.79166666666666663</v>
      </c>
      <c r="D6501">
        <v>11.9</v>
      </c>
      <c r="E6501">
        <f>IF($D6501 &gt; 16, 0, $J$3*(16 - $D6501))</f>
        <v>851.76943507285762</v>
      </c>
      <c r="F6501">
        <f>IF($D6501 &gt; 16, 0,$E6501*$J$5)</f>
        <v>9257881.9898068886</v>
      </c>
      <c r="G6501">
        <f t="shared" si="101"/>
        <v>4.0999999999999996</v>
      </c>
    </row>
    <row r="6502" spans="2:7" x14ac:dyDescent="0.35">
      <c r="B6502" s="1">
        <v>45928</v>
      </c>
      <c r="C6502" s="2">
        <v>0.83333333333333337</v>
      </c>
      <c r="D6502">
        <v>11.1</v>
      </c>
      <c r="E6502">
        <f>IF($D6502 &gt; 16, 0, $J$3*(16 - $D6502))</f>
        <v>1017.9683492334153</v>
      </c>
      <c r="F6502">
        <f>IF($D6502 &gt; 16, 0,$E6502*$J$5)</f>
        <v>11064297.987817992</v>
      </c>
      <c r="G6502">
        <f t="shared" si="101"/>
        <v>4.9000000000000004</v>
      </c>
    </row>
    <row r="6503" spans="2:7" x14ac:dyDescent="0.35">
      <c r="B6503" s="1">
        <v>45928</v>
      </c>
      <c r="C6503" s="2">
        <v>0.875</v>
      </c>
      <c r="D6503">
        <v>10.4</v>
      </c>
      <c r="E6503">
        <f>IF($D6503 &gt; 16, 0, $J$3*(16 - $D6503))</f>
        <v>1163.392399123903</v>
      </c>
      <c r="F6503">
        <f>IF($D6503 &gt; 16, 0,$E6503*$J$5)</f>
        <v>12644911.986077702</v>
      </c>
      <c r="G6503">
        <f t="shared" si="101"/>
        <v>5.6</v>
      </c>
    </row>
    <row r="6504" spans="2:7" x14ac:dyDescent="0.35">
      <c r="B6504" s="1">
        <v>45928</v>
      </c>
      <c r="C6504" s="2">
        <v>0.91666666666666663</v>
      </c>
      <c r="D6504">
        <v>8.8000000000000007</v>
      </c>
      <c r="E6504">
        <f>IF($D6504 &gt; 16, 0, $J$3*(16 - $D6504))</f>
        <v>1495.7902274450182</v>
      </c>
      <c r="F6504">
        <f>IF($D6504 &gt; 16, 0,$E6504*$J$5)</f>
        <v>16257743.982099904</v>
      </c>
      <c r="G6504">
        <f t="shared" si="101"/>
        <v>7.1999999999999993</v>
      </c>
    </row>
    <row r="6505" spans="2:7" x14ac:dyDescent="0.35">
      <c r="B6505" s="1">
        <v>45928</v>
      </c>
      <c r="C6505" s="2">
        <v>0.95833333333333337</v>
      </c>
      <c r="D6505">
        <v>9</v>
      </c>
      <c r="E6505">
        <f>IF($D6505 &gt; 16, 0, $J$3*(16 - $D6505))</f>
        <v>1454.2404989048789</v>
      </c>
      <c r="F6505">
        <f>IF($D6505 &gt; 16, 0,$E6505*$J$5)</f>
        <v>15806139.982597129</v>
      </c>
      <c r="G6505">
        <f t="shared" si="101"/>
        <v>7</v>
      </c>
    </row>
    <row r="6506" spans="2:7" x14ac:dyDescent="0.35">
      <c r="B6506" s="1">
        <v>45929</v>
      </c>
      <c r="C6506" s="2">
        <v>0</v>
      </c>
      <c r="D6506">
        <v>8.9</v>
      </c>
      <c r="E6506">
        <f>IF($D6506 &gt; 16, 0, $J$3*(16 - $D6506))</f>
        <v>1475.0153631749486</v>
      </c>
      <c r="F6506">
        <f>IF($D6506 &gt; 16, 0,$E6506*$J$5)</f>
        <v>16031941.982348517</v>
      </c>
      <c r="G6506">
        <f t="shared" si="101"/>
        <v>7.1</v>
      </c>
    </row>
    <row r="6507" spans="2:7" x14ac:dyDescent="0.35">
      <c r="B6507" s="1">
        <v>45929</v>
      </c>
      <c r="C6507" s="2">
        <v>4.1666666666666657E-2</v>
      </c>
      <c r="D6507">
        <v>7.6</v>
      </c>
      <c r="E6507">
        <f>IF($D6507 &gt; 16, 0, $J$3*(16 - $D6507))</f>
        <v>1745.0885986858548</v>
      </c>
      <c r="F6507">
        <f>IF($D6507 &gt; 16, 0,$E6507*$J$5)</f>
        <v>18967367.979116555</v>
      </c>
      <c r="G6507">
        <f t="shared" si="101"/>
        <v>8.4</v>
      </c>
    </row>
    <row r="6508" spans="2:7" x14ac:dyDescent="0.35">
      <c r="B6508" s="1">
        <v>45929</v>
      </c>
      <c r="C6508" s="2">
        <v>8.3333333333333329E-2</v>
      </c>
      <c r="D6508">
        <v>7</v>
      </c>
      <c r="E6508">
        <f>IF($D6508 &gt; 16, 0, $J$3*(16 - $D6508))</f>
        <v>1869.7377843062729</v>
      </c>
      <c r="F6508">
        <f>IF($D6508 &gt; 16, 0,$E6508*$J$5)</f>
        <v>20322179.977624882</v>
      </c>
      <c r="G6508">
        <f t="shared" si="101"/>
        <v>9</v>
      </c>
    </row>
    <row r="6509" spans="2:7" x14ac:dyDescent="0.35">
      <c r="B6509" s="1">
        <v>45929</v>
      </c>
      <c r="C6509" s="2">
        <v>0.125</v>
      </c>
      <c r="D6509">
        <v>6.3</v>
      </c>
      <c r="E6509">
        <f>IF($D6509 &gt; 16, 0, $J$3*(16 - $D6509))</f>
        <v>2015.1618341967608</v>
      </c>
      <c r="F6509">
        <f>IF($D6509 &gt; 16, 0,$E6509*$J$5)</f>
        <v>21902793.975884594</v>
      </c>
      <c r="G6509">
        <f t="shared" si="101"/>
        <v>9.6999999999999993</v>
      </c>
    </row>
    <row r="6510" spans="2:7" x14ac:dyDescent="0.35">
      <c r="B6510" s="1">
        <v>45929</v>
      </c>
      <c r="C6510" s="2">
        <v>0.16666666666666671</v>
      </c>
      <c r="D6510">
        <v>6.6</v>
      </c>
      <c r="E6510">
        <f>IF($D6510 &gt; 16, 0, $J$3*(16 - $D6510))</f>
        <v>1952.8372413865518</v>
      </c>
      <c r="F6510">
        <f>IF($D6510 &gt; 16, 0,$E6510*$J$5)</f>
        <v>21225387.976630431</v>
      </c>
      <c r="G6510">
        <f t="shared" si="101"/>
        <v>9.4</v>
      </c>
    </row>
    <row r="6511" spans="2:7" x14ac:dyDescent="0.35">
      <c r="B6511" s="1">
        <v>45929</v>
      </c>
      <c r="C6511" s="2">
        <v>0.20833333333333329</v>
      </c>
      <c r="D6511">
        <v>6.9</v>
      </c>
      <c r="E6511">
        <f>IF($D6511 &gt; 16, 0, $J$3*(16 - $D6511))</f>
        <v>1890.5126485763426</v>
      </c>
      <c r="F6511">
        <f>IF($D6511 &gt; 16, 0,$E6511*$J$5)</f>
        <v>20547981.977376267</v>
      </c>
      <c r="G6511">
        <f t="shared" si="101"/>
        <v>9.1</v>
      </c>
    </row>
    <row r="6512" spans="2:7" x14ac:dyDescent="0.35">
      <c r="B6512" s="1">
        <v>45929</v>
      </c>
      <c r="C6512" s="2">
        <v>0.25</v>
      </c>
      <c r="D6512">
        <v>6.3</v>
      </c>
      <c r="E6512">
        <f>IF($D6512 &gt; 16, 0, $J$3*(16 - $D6512))</f>
        <v>2015.1618341967608</v>
      </c>
      <c r="F6512">
        <f>IF($D6512 &gt; 16, 0,$E6512*$J$5)</f>
        <v>21902793.975884594</v>
      </c>
      <c r="G6512">
        <f t="shared" si="101"/>
        <v>9.6999999999999993</v>
      </c>
    </row>
    <row r="6513" spans="2:7" x14ac:dyDescent="0.35">
      <c r="B6513" s="1">
        <v>45929</v>
      </c>
      <c r="C6513" s="2">
        <v>0.29166666666666669</v>
      </c>
      <c r="D6513">
        <v>9.3000000000000007</v>
      </c>
      <c r="E6513">
        <f>IF($D6513 &gt; 16, 0, $J$3*(16 - $D6513))</f>
        <v>1391.9159060946697</v>
      </c>
      <c r="F6513">
        <f>IF($D6513 &gt; 16, 0,$E6513*$J$5)</f>
        <v>15128733.983342964</v>
      </c>
      <c r="G6513">
        <f t="shared" si="101"/>
        <v>6.6999999999999993</v>
      </c>
    </row>
    <row r="6514" spans="2:7" x14ac:dyDescent="0.35">
      <c r="B6514" s="1">
        <v>45929</v>
      </c>
      <c r="C6514" s="2">
        <v>0.33333333333333331</v>
      </c>
      <c r="D6514">
        <v>11.4</v>
      </c>
      <c r="E6514">
        <f>IF($D6514 &gt; 16, 0, $J$3*(16 - $D6514))</f>
        <v>955.64375642320613</v>
      </c>
      <c r="F6514">
        <f>IF($D6514 &gt; 16, 0,$E6514*$J$5)</f>
        <v>10386891.988563828</v>
      </c>
      <c r="G6514">
        <f t="shared" si="101"/>
        <v>4.5999999999999996</v>
      </c>
    </row>
    <row r="6515" spans="2:7" x14ac:dyDescent="0.35">
      <c r="B6515" s="1">
        <v>45929</v>
      </c>
      <c r="C6515" s="2">
        <v>0.375</v>
      </c>
      <c r="D6515">
        <v>13.3</v>
      </c>
      <c r="E6515">
        <f>IF($D6515 &gt; 16, 0, $J$3*(16 - $D6515))</f>
        <v>560.92133529188175</v>
      </c>
      <c r="F6515">
        <f>IF($D6515 &gt; 16, 0,$E6515*$J$5)</f>
        <v>6096653.9932874627</v>
      </c>
      <c r="G6515">
        <f t="shared" si="101"/>
        <v>2.6999999999999993</v>
      </c>
    </row>
    <row r="6516" spans="2:7" x14ac:dyDescent="0.35">
      <c r="B6516" s="1">
        <v>45929</v>
      </c>
      <c r="C6516" s="2">
        <v>0.41666666666666669</v>
      </c>
      <c r="D6516">
        <v>15.1</v>
      </c>
      <c r="E6516">
        <f>IF($D6516 &gt; 16, 0, $J$3*(16 - $D6516))</f>
        <v>186.97377843062736</v>
      </c>
      <c r="F6516">
        <f>IF($D6516 &gt; 16, 0,$E6516*$J$5)</f>
        <v>2032217.9977624889</v>
      </c>
      <c r="G6516">
        <f t="shared" si="101"/>
        <v>0.90000000000000036</v>
      </c>
    </row>
    <row r="6517" spans="2:7" x14ac:dyDescent="0.35">
      <c r="B6517" s="1">
        <v>45929</v>
      </c>
      <c r="C6517" s="2">
        <v>0.45833333333333331</v>
      </c>
      <c r="D6517">
        <v>16.3</v>
      </c>
      <c r="E6517">
        <f>IF($D6517 &gt; 16, 0, $J$3*(16 - $D6517))</f>
        <v>0</v>
      </c>
      <c r="F6517">
        <f>IF($D6517 &gt; 16, 0,$E6517*$J$5)</f>
        <v>0</v>
      </c>
      <c r="G6517">
        <f t="shared" si="101"/>
        <v>0</v>
      </c>
    </row>
    <row r="6518" spans="2:7" x14ac:dyDescent="0.35">
      <c r="B6518" s="1">
        <v>45929</v>
      </c>
      <c r="C6518" s="2">
        <v>0.5</v>
      </c>
      <c r="D6518">
        <v>17</v>
      </c>
      <c r="E6518">
        <f>IF($D6518 &gt; 16, 0, $J$3*(16 - $D6518))</f>
        <v>0</v>
      </c>
      <c r="F6518">
        <f>IF($D6518 &gt; 16, 0,$E6518*$J$5)</f>
        <v>0</v>
      </c>
      <c r="G6518">
        <f t="shared" si="101"/>
        <v>0</v>
      </c>
    </row>
    <row r="6519" spans="2:7" x14ac:dyDescent="0.35">
      <c r="B6519" s="1">
        <v>45929</v>
      </c>
      <c r="C6519" s="2">
        <v>0.54166666666666663</v>
      </c>
      <c r="D6519">
        <v>16.8</v>
      </c>
      <c r="E6519">
        <f>IF($D6519 &gt; 16, 0, $J$3*(16 - $D6519))</f>
        <v>0</v>
      </c>
      <c r="F6519">
        <f>IF($D6519 &gt; 16, 0,$E6519*$J$5)</f>
        <v>0</v>
      </c>
      <c r="G6519">
        <f t="shared" si="101"/>
        <v>0</v>
      </c>
    </row>
    <row r="6520" spans="2:7" x14ac:dyDescent="0.35">
      <c r="B6520" s="1">
        <v>45929</v>
      </c>
      <c r="C6520" s="2">
        <v>0.58333333333333337</v>
      </c>
      <c r="D6520">
        <v>16.7</v>
      </c>
      <c r="E6520">
        <f>IF($D6520 &gt; 16, 0, $J$3*(16 - $D6520))</f>
        <v>0</v>
      </c>
      <c r="F6520">
        <f>IF($D6520 &gt; 16, 0,$E6520*$J$5)</f>
        <v>0</v>
      </c>
      <c r="G6520">
        <f t="shared" si="101"/>
        <v>0</v>
      </c>
    </row>
    <row r="6521" spans="2:7" x14ac:dyDescent="0.35">
      <c r="B6521" s="1">
        <v>45929</v>
      </c>
      <c r="C6521" s="2">
        <v>0.625</v>
      </c>
      <c r="D6521">
        <v>16.8</v>
      </c>
      <c r="E6521">
        <f>IF($D6521 &gt; 16, 0, $J$3*(16 - $D6521))</f>
        <v>0</v>
      </c>
      <c r="F6521">
        <f>IF($D6521 &gt; 16, 0,$E6521*$J$5)</f>
        <v>0</v>
      </c>
      <c r="G6521">
        <f t="shared" si="101"/>
        <v>0</v>
      </c>
    </row>
    <row r="6522" spans="2:7" x14ac:dyDescent="0.35">
      <c r="B6522" s="1">
        <v>45929</v>
      </c>
      <c r="C6522" s="2">
        <v>0.66666666666666663</v>
      </c>
      <c r="D6522">
        <v>16.2</v>
      </c>
      <c r="E6522">
        <f>IF($D6522 &gt; 16, 0, $J$3*(16 - $D6522))</f>
        <v>0</v>
      </c>
      <c r="F6522">
        <f>IF($D6522 &gt; 16, 0,$E6522*$J$5)</f>
        <v>0</v>
      </c>
      <c r="G6522">
        <f t="shared" si="101"/>
        <v>0</v>
      </c>
    </row>
    <row r="6523" spans="2:7" x14ac:dyDescent="0.35">
      <c r="B6523" s="1">
        <v>45929</v>
      </c>
      <c r="C6523" s="2">
        <v>0.70833333333333337</v>
      </c>
      <c r="D6523">
        <v>14.3</v>
      </c>
      <c r="E6523">
        <f>IF($D6523 &gt; 16, 0, $J$3*(16 - $D6523))</f>
        <v>353.17269259118473</v>
      </c>
      <c r="F6523">
        <f>IF($D6523 &gt; 16, 0,$E6523*$J$5)</f>
        <v>3838633.9957735869</v>
      </c>
      <c r="G6523">
        <f t="shared" si="101"/>
        <v>1.6999999999999993</v>
      </c>
    </row>
    <row r="6524" spans="2:7" x14ac:dyDescent="0.35">
      <c r="B6524" s="1">
        <v>45929</v>
      </c>
      <c r="C6524" s="2">
        <v>0.75</v>
      </c>
      <c r="D6524">
        <v>12.1</v>
      </c>
      <c r="E6524">
        <f>IF($D6524 &gt; 16, 0, $J$3*(16 - $D6524))</f>
        <v>810.21970653271831</v>
      </c>
      <c r="F6524">
        <f>IF($D6524 &gt; 16, 0,$E6524*$J$5)</f>
        <v>8806277.9903041162</v>
      </c>
      <c r="G6524">
        <f t="shared" si="101"/>
        <v>3.9000000000000004</v>
      </c>
    </row>
    <row r="6525" spans="2:7" x14ac:dyDescent="0.35">
      <c r="B6525" s="1">
        <v>45929</v>
      </c>
      <c r="C6525" s="2">
        <v>0.79166666666666663</v>
      </c>
      <c r="D6525">
        <v>11.2</v>
      </c>
      <c r="E6525">
        <f>IF($D6525 &gt; 16, 0, $J$3*(16 - $D6525))</f>
        <v>997.19348496334567</v>
      </c>
      <c r="F6525">
        <f>IF($D6525 &gt; 16, 0,$E6525*$J$5)</f>
        <v>10838495.988066604</v>
      </c>
      <c r="G6525">
        <f t="shared" si="101"/>
        <v>4.8000000000000007</v>
      </c>
    </row>
    <row r="6526" spans="2:7" x14ac:dyDescent="0.35">
      <c r="B6526" s="1">
        <v>45929</v>
      </c>
      <c r="C6526" s="2">
        <v>0.83333333333333337</v>
      </c>
      <c r="D6526">
        <v>10.4</v>
      </c>
      <c r="E6526">
        <f>IF($D6526 &gt; 16, 0, $J$3*(16 - $D6526))</f>
        <v>1163.392399123903</v>
      </c>
      <c r="F6526">
        <f>IF($D6526 &gt; 16, 0,$E6526*$J$5)</f>
        <v>12644911.986077702</v>
      </c>
      <c r="G6526">
        <f t="shared" si="101"/>
        <v>5.6</v>
      </c>
    </row>
    <row r="6527" spans="2:7" x14ac:dyDescent="0.35">
      <c r="B6527" s="1">
        <v>45929</v>
      </c>
      <c r="C6527" s="2">
        <v>0.875</v>
      </c>
      <c r="D6527">
        <v>11.3</v>
      </c>
      <c r="E6527">
        <f>IF($D6527 &gt; 16, 0, $J$3*(16 - $D6527))</f>
        <v>976.41862069327567</v>
      </c>
      <c r="F6527">
        <f>IF($D6527 &gt; 16, 0,$E6527*$J$5)</f>
        <v>10612693.988315213</v>
      </c>
      <c r="G6527">
        <f t="shared" si="101"/>
        <v>4.6999999999999993</v>
      </c>
    </row>
    <row r="6528" spans="2:7" x14ac:dyDescent="0.35">
      <c r="B6528" s="1">
        <v>45929</v>
      </c>
      <c r="C6528" s="2">
        <v>0.91666666666666663</v>
      </c>
      <c r="D6528">
        <v>10.4</v>
      </c>
      <c r="E6528">
        <f>IF($D6528 &gt; 16, 0, $J$3*(16 - $D6528))</f>
        <v>1163.392399123903</v>
      </c>
      <c r="F6528">
        <f>IF($D6528 &gt; 16, 0,$E6528*$J$5)</f>
        <v>12644911.986077702</v>
      </c>
      <c r="G6528">
        <f t="shared" si="101"/>
        <v>5.6</v>
      </c>
    </row>
    <row r="6529" spans="2:7" x14ac:dyDescent="0.35">
      <c r="B6529" s="1">
        <v>45929</v>
      </c>
      <c r="C6529" s="2">
        <v>0.95833333333333337</v>
      </c>
      <c r="D6529">
        <v>10.199999999999999</v>
      </c>
      <c r="E6529">
        <f>IF($D6529 &gt; 16, 0, $J$3*(16 - $D6529))</f>
        <v>1204.9421276640428</v>
      </c>
      <c r="F6529">
        <f>IF($D6529 &gt; 16, 0,$E6529*$J$5)</f>
        <v>13096515.985580482</v>
      </c>
      <c r="G6529">
        <f t="shared" si="101"/>
        <v>5.8000000000000007</v>
      </c>
    </row>
    <row r="6530" spans="2:7" x14ac:dyDescent="0.35">
      <c r="B6530" s="1">
        <v>45930</v>
      </c>
      <c r="C6530" s="2">
        <v>0</v>
      </c>
      <c r="D6530">
        <v>9.1</v>
      </c>
      <c r="E6530">
        <f>IF($D6530 &gt; 16, 0, $J$3*(16 - $D6530))</f>
        <v>1433.4656346348092</v>
      </c>
      <c r="F6530">
        <f>IF($D6530 &gt; 16, 0,$E6530*$J$5)</f>
        <v>15580337.982845742</v>
      </c>
      <c r="G6530">
        <f t="shared" si="101"/>
        <v>6.9</v>
      </c>
    </row>
    <row r="6531" spans="2:7" x14ac:dyDescent="0.35">
      <c r="B6531" s="1">
        <v>45930</v>
      </c>
      <c r="C6531" s="2">
        <v>4.1666666666666657E-2</v>
      </c>
      <c r="D6531">
        <v>8.1999999999999993</v>
      </c>
      <c r="E6531">
        <f>IF($D6531 &gt; 16, 0, $J$3*(16 - $D6531))</f>
        <v>1620.4394130654366</v>
      </c>
      <c r="F6531">
        <f>IF($D6531 &gt; 16, 0,$E6531*$J$5)</f>
        <v>17612555.980608232</v>
      </c>
      <c r="G6531">
        <f t="shared" ref="G6531:G6594" si="102">MAX(0, 16 - $D6531)</f>
        <v>7.8000000000000007</v>
      </c>
    </row>
    <row r="6532" spans="2:7" x14ac:dyDescent="0.35">
      <c r="B6532" s="1">
        <v>45930</v>
      </c>
      <c r="C6532" s="2">
        <v>8.3333333333333329E-2</v>
      </c>
      <c r="D6532">
        <v>9</v>
      </c>
      <c r="E6532">
        <f>IF($D6532 &gt; 16, 0, $J$3*(16 - $D6532))</f>
        <v>1454.2404989048789</v>
      </c>
      <c r="F6532">
        <f>IF($D6532 &gt; 16, 0,$E6532*$J$5)</f>
        <v>15806139.982597129</v>
      </c>
      <c r="G6532">
        <f t="shared" si="102"/>
        <v>7</v>
      </c>
    </row>
    <row r="6533" spans="2:7" x14ac:dyDescent="0.35">
      <c r="B6533" s="1">
        <v>45930</v>
      </c>
      <c r="C6533" s="2">
        <v>0.125</v>
      </c>
      <c r="D6533">
        <v>7.9</v>
      </c>
      <c r="E6533">
        <f>IF($D6533 &gt; 16, 0, $J$3*(16 - $D6533))</f>
        <v>1682.7640058756456</v>
      </c>
      <c r="F6533">
        <f>IF($D6533 &gt; 16, 0,$E6533*$J$5)</f>
        <v>18289961.979862392</v>
      </c>
      <c r="G6533">
        <f t="shared" si="102"/>
        <v>8.1</v>
      </c>
    </row>
    <row r="6534" spans="2:7" x14ac:dyDescent="0.35">
      <c r="B6534" s="1">
        <v>45930</v>
      </c>
      <c r="C6534" s="2">
        <v>0.16666666666666671</v>
      </c>
      <c r="D6534">
        <v>9.3000000000000007</v>
      </c>
      <c r="E6534">
        <f>IF($D6534 &gt; 16, 0, $J$3*(16 - $D6534))</f>
        <v>1391.9159060946697</v>
      </c>
      <c r="F6534">
        <f>IF($D6534 &gt; 16, 0,$E6534*$J$5)</f>
        <v>15128733.983342964</v>
      </c>
      <c r="G6534">
        <f t="shared" si="102"/>
        <v>6.6999999999999993</v>
      </c>
    </row>
    <row r="6535" spans="2:7" x14ac:dyDescent="0.35">
      <c r="B6535" s="1">
        <v>45930</v>
      </c>
      <c r="C6535" s="2">
        <v>0.20833333333333329</v>
      </c>
      <c r="D6535">
        <v>10.4</v>
      </c>
      <c r="E6535">
        <f>IF($D6535 &gt; 16, 0, $J$3*(16 - $D6535))</f>
        <v>1163.392399123903</v>
      </c>
      <c r="F6535">
        <f>IF($D6535 &gt; 16, 0,$E6535*$J$5)</f>
        <v>12644911.986077702</v>
      </c>
      <c r="G6535">
        <f t="shared" si="102"/>
        <v>5.6</v>
      </c>
    </row>
    <row r="6536" spans="2:7" x14ac:dyDescent="0.35">
      <c r="B6536" s="1">
        <v>45930</v>
      </c>
      <c r="C6536" s="2">
        <v>0.25</v>
      </c>
      <c r="D6536">
        <v>9.6999999999999993</v>
      </c>
      <c r="E6536">
        <f>IF($D6536 &gt; 16, 0, $J$3*(16 - $D6536))</f>
        <v>1308.8164490143911</v>
      </c>
      <c r="F6536">
        <f>IF($D6536 &gt; 16, 0,$E6536*$J$5)</f>
        <v>14225525.984337417</v>
      </c>
      <c r="G6536">
        <f t="shared" si="102"/>
        <v>6.3000000000000007</v>
      </c>
    </row>
    <row r="6537" spans="2:7" x14ac:dyDescent="0.35">
      <c r="B6537" s="1">
        <v>45930</v>
      </c>
      <c r="C6537" s="2">
        <v>0.29166666666666669</v>
      </c>
      <c r="D6537">
        <v>10.4</v>
      </c>
      <c r="E6537">
        <f>IF($D6537 &gt; 16, 0, $J$3*(16 - $D6537))</f>
        <v>1163.392399123903</v>
      </c>
      <c r="F6537">
        <f>IF($D6537 &gt; 16, 0,$E6537*$J$5)</f>
        <v>12644911.986077702</v>
      </c>
      <c r="G6537">
        <f t="shared" si="102"/>
        <v>5.6</v>
      </c>
    </row>
    <row r="6538" spans="2:7" x14ac:dyDescent="0.35">
      <c r="B6538" s="1">
        <v>45930</v>
      </c>
      <c r="C6538" s="2">
        <v>0.33333333333333331</v>
      </c>
      <c r="D6538">
        <v>12.4</v>
      </c>
      <c r="E6538">
        <f>IF($D6538 &gt; 16, 0, $J$3*(16 - $D6538))</f>
        <v>747.89511372250911</v>
      </c>
      <c r="F6538">
        <f>IF($D6538 &gt; 16, 0,$E6538*$J$5)</f>
        <v>8128871.9910499519</v>
      </c>
      <c r="G6538">
        <f t="shared" si="102"/>
        <v>3.5999999999999996</v>
      </c>
    </row>
    <row r="6539" spans="2:7" x14ac:dyDescent="0.35">
      <c r="B6539" s="1">
        <v>45930</v>
      </c>
      <c r="C6539" s="2">
        <v>0.375</v>
      </c>
      <c r="D6539">
        <v>13.2</v>
      </c>
      <c r="E6539">
        <f>IF($D6539 &gt; 16, 0, $J$3*(16 - $D6539))</f>
        <v>581.69619956195174</v>
      </c>
      <c r="F6539">
        <f>IF($D6539 &gt; 16, 0,$E6539*$J$5)</f>
        <v>6322455.9930388536</v>
      </c>
      <c r="G6539">
        <f t="shared" si="102"/>
        <v>2.8000000000000007</v>
      </c>
    </row>
    <row r="6540" spans="2:7" x14ac:dyDescent="0.35">
      <c r="B6540" s="1">
        <v>45930</v>
      </c>
      <c r="C6540" s="2">
        <v>0.41666666666666669</v>
      </c>
      <c r="D6540">
        <v>15.2</v>
      </c>
      <c r="E6540">
        <f>IF($D6540 &gt; 16, 0, $J$3*(16 - $D6540))</f>
        <v>166.19891416055773</v>
      </c>
      <c r="F6540">
        <f>IF($D6540 &gt; 16, 0,$E6540*$J$5)</f>
        <v>1806415.998011102</v>
      </c>
      <c r="G6540">
        <f t="shared" si="102"/>
        <v>0.80000000000000071</v>
      </c>
    </row>
    <row r="6541" spans="2:7" x14ac:dyDescent="0.35">
      <c r="B6541" s="1">
        <v>45930</v>
      </c>
      <c r="C6541" s="2">
        <v>0.45833333333333331</v>
      </c>
      <c r="D6541">
        <v>15.8</v>
      </c>
      <c r="E6541">
        <f>IF($D6541 &gt; 16, 0, $J$3*(16 - $D6541))</f>
        <v>41.549728540139249</v>
      </c>
      <c r="F6541">
        <f>IF($D6541 &gt; 16, 0,$E6541*$J$5)</f>
        <v>451603.99950277351</v>
      </c>
      <c r="G6541">
        <f t="shared" si="102"/>
        <v>0.19999999999999929</v>
      </c>
    </row>
    <row r="6542" spans="2:7" x14ac:dyDescent="0.35">
      <c r="B6542" s="1">
        <v>45930</v>
      </c>
      <c r="C6542" s="2">
        <v>0.5</v>
      </c>
      <c r="D6542">
        <v>16.7</v>
      </c>
      <c r="E6542">
        <f>IF($D6542 &gt; 16, 0, $J$3*(16 - $D6542))</f>
        <v>0</v>
      </c>
      <c r="F6542">
        <f>IF($D6542 &gt; 16, 0,$E6542*$J$5)</f>
        <v>0</v>
      </c>
      <c r="G6542">
        <f t="shared" si="102"/>
        <v>0</v>
      </c>
    </row>
    <row r="6543" spans="2:7" x14ac:dyDescent="0.35">
      <c r="B6543" s="1">
        <v>45930</v>
      </c>
      <c r="C6543" s="2">
        <v>0.54166666666666663</v>
      </c>
      <c r="D6543">
        <v>16.899999999999999</v>
      </c>
      <c r="E6543">
        <f>IF($D6543 &gt; 16, 0, $J$3*(16 - $D6543))</f>
        <v>0</v>
      </c>
      <c r="F6543">
        <f>IF($D6543 &gt; 16, 0,$E6543*$J$5)</f>
        <v>0</v>
      </c>
      <c r="G6543">
        <f t="shared" si="102"/>
        <v>0</v>
      </c>
    </row>
    <row r="6544" spans="2:7" x14ac:dyDescent="0.35">
      <c r="B6544" s="1">
        <v>45930</v>
      </c>
      <c r="C6544" s="2">
        <v>0.58333333333333337</v>
      </c>
      <c r="D6544">
        <v>16.100000000000001</v>
      </c>
      <c r="E6544">
        <f>IF($D6544 &gt; 16, 0, $J$3*(16 - $D6544))</f>
        <v>0</v>
      </c>
      <c r="F6544">
        <f>IF($D6544 &gt; 16, 0,$E6544*$J$5)</f>
        <v>0</v>
      </c>
      <c r="G6544">
        <f t="shared" si="102"/>
        <v>0</v>
      </c>
    </row>
    <row r="6545" spans="2:7" x14ac:dyDescent="0.35">
      <c r="B6545" s="1">
        <v>45930</v>
      </c>
      <c r="C6545" s="2">
        <v>0.625</v>
      </c>
      <c r="D6545">
        <v>16.5</v>
      </c>
      <c r="E6545">
        <f>IF($D6545 &gt; 16, 0, $J$3*(16 - $D6545))</f>
        <v>0</v>
      </c>
      <c r="F6545">
        <f>IF($D6545 &gt; 16, 0,$E6545*$J$5)</f>
        <v>0</v>
      </c>
      <c r="G6545">
        <f t="shared" si="102"/>
        <v>0</v>
      </c>
    </row>
    <row r="6546" spans="2:7" x14ac:dyDescent="0.35">
      <c r="B6546" s="1">
        <v>45930</v>
      </c>
      <c r="C6546" s="2">
        <v>0.66666666666666663</v>
      </c>
      <c r="D6546">
        <v>13.7</v>
      </c>
      <c r="E6546">
        <f>IF($D6546 &gt; 16, 0, $J$3*(16 - $D6546))</f>
        <v>477.82187821160323</v>
      </c>
      <c r="F6546">
        <f>IF($D6546 &gt; 16, 0,$E6546*$J$5)</f>
        <v>5193445.9942819159</v>
      </c>
      <c r="G6546">
        <f t="shared" si="102"/>
        <v>2.3000000000000007</v>
      </c>
    </row>
    <row r="6547" spans="2:7" x14ac:dyDescent="0.35">
      <c r="B6547" s="1">
        <v>45930</v>
      </c>
      <c r="C6547" s="2">
        <v>0.70833333333333337</v>
      </c>
      <c r="D6547">
        <v>13.2</v>
      </c>
      <c r="E6547">
        <f>IF($D6547 &gt; 16, 0, $J$3*(16 - $D6547))</f>
        <v>581.69619956195174</v>
      </c>
      <c r="F6547">
        <f>IF($D6547 &gt; 16, 0,$E6547*$J$5)</f>
        <v>6322455.9930388536</v>
      </c>
      <c r="G6547">
        <f t="shared" si="102"/>
        <v>2.8000000000000007</v>
      </c>
    </row>
    <row r="6548" spans="2:7" x14ac:dyDescent="0.35">
      <c r="B6548" s="1">
        <v>45930</v>
      </c>
      <c r="C6548" s="2">
        <v>0.75</v>
      </c>
      <c r="D6548">
        <v>11.4</v>
      </c>
      <c r="E6548">
        <f>IF($D6548 &gt; 16, 0, $J$3*(16 - $D6548))</f>
        <v>955.64375642320613</v>
      </c>
      <c r="F6548">
        <f>IF($D6548 &gt; 16, 0,$E6548*$J$5)</f>
        <v>10386891.988563828</v>
      </c>
      <c r="G6548">
        <f t="shared" si="102"/>
        <v>4.5999999999999996</v>
      </c>
    </row>
    <row r="6549" spans="2:7" x14ac:dyDescent="0.35">
      <c r="B6549" s="1">
        <v>45930</v>
      </c>
      <c r="C6549" s="2">
        <v>0.79166666666666663</v>
      </c>
      <c r="D6549">
        <v>9.1999999999999993</v>
      </c>
      <c r="E6549">
        <f>IF($D6549 &gt; 16, 0, $J$3*(16 - $D6549))</f>
        <v>1412.6907703647396</v>
      </c>
      <c r="F6549">
        <f>IF($D6549 &gt; 16, 0,$E6549*$J$5)</f>
        <v>15354535.983094355</v>
      </c>
      <c r="G6549">
        <f t="shared" si="102"/>
        <v>6.8000000000000007</v>
      </c>
    </row>
    <row r="6550" spans="2:7" x14ac:dyDescent="0.35">
      <c r="B6550" s="1">
        <v>45930</v>
      </c>
      <c r="C6550" s="2">
        <v>0.83333333333333337</v>
      </c>
      <c r="D6550">
        <v>8.3000000000000007</v>
      </c>
      <c r="E6550">
        <f>IF($D6550 &gt; 16, 0, $J$3*(16 - $D6550))</f>
        <v>1599.6645487953667</v>
      </c>
      <c r="F6550">
        <f>IF($D6550 &gt; 16, 0,$E6550*$J$5)</f>
        <v>17386753.98085684</v>
      </c>
      <c r="G6550">
        <f t="shared" si="102"/>
        <v>7.6999999999999993</v>
      </c>
    </row>
    <row r="6551" spans="2:7" x14ac:dyDescent="0.35">
      <c r="B6551" s="1">
        <v>45930</v>
      </c>
      <c r="C6551" s="2">
        <v>0.875</v>
      </c>
      <c r="D6551">
        <v>8.9</v>
      </c>
      <c r="E6551">
        <f>IF($D6551 &gt; 16, 0, $J$3*(16 - $D6551))</f>
        <v>1475.0153631749486</v>
      </c>
      <c r="F6551">
        <f>IF($D6551 &gt; 16, 0,$E6551*$J$5)</f>
        <v>16031941.982348517</v>
      </c>
      <c r="G6551">
        <f t="shared" si="102"/>
        <v>7.1</v>
      </c>
    </row>
    <row r="6552" spans="2:7" x14ac:dyDescent="0.35">
      <c r="B6552" s="1">
        <v>45930</v>
      </c>
      <c r="C6552" s="2">
        <v>0.91666666666666663</v>
      </c>
      <c r="D6552">
        <v>8.3000000000000007</v>
      </c>
      <c r="E6552">
        <f>IF($D6552 &gt; 16, 0, $J$3*(16 - $D6552))</f>
        <v>1599.6645487953667</v>
      </c>
      <c r="F6552">
        <f>IF($D6552 &gt; 16, 0,$E6552*$J$5)</f>
        <v>17386753.98085684</v>
      </c>
      <c r="G6552">
        <f t="shared" si="102"/>
        <v>7.6999999999999993</v>
      </c>
    </row>
    <row r="6553" spans="2:7" x14ac:dyDescent="0.35">
      <c r="B6553" s="1">
        <v>45930</v>
      </c>
      <c r="C6553" s="2">
        <v>0.95833333333333337</v>
      </c>
      <c r="D6553">
        <v>7.3</v>
      </c>
      <c r="E6553">
        <f>IF($D6553 &gt; 16, 0, $J$3*(16 - $D6553))</f>
        <v>1807.4131914960637</v>
      </c>
      <c r="F6553">
        <f>IF($D6553 &gt; 16, 0,$E6553*$J$5)</f>
        <v>19644773.978370719</v>
      </c>
      <c r="G6553">
        <f t="shared" si="102"/>
        <v>8.6999999999999993</v>
      </c>
    </row>
    <row r="6554" spans="2:7" x14ac:dyDescent="0.35">
      <c r="B6554" s="1">
        <v>45931</v>
      </c>
      <c r="C6554" s="2">
        <v>0</v>
      </c>
      <c r="D6554">
        <v>6.1</v>
      </c>
      <c r="E6554">
        <f>IF($D6554 &gt; 16, 0, $J$3*(16 - $D6554))</f>
        <v>2056.7115627369003</v>
      </c>
      <c r="F6554">
        <f>IF($D6554 &gt; 16, 0,$E6554*$J$5)</f>
        <v>22354397.975387368</v>
      </c>
      <c r="G6554">
        <f t="shared" si="102"/>
        <v>9.9</v>
      </c>
    </row>
    <row r="6555" spans="2:7" x14ac:dyDescent="0.35">
      <c r="B6555" s="1">
        <v>45931</v>
      </c>
      <c r="C6555" s="2">
        <v>4.1666666666666657E-2</v>
      </c>
      <c r="D6555">
        <v>4.5</v>
      </c>
      <c r="E6555">
        <f>IF($D6555 &gt; 16, 0, $J$3*(16 - $D6555))</f>
        <v>2389.1093910580153</v>
      </c>
      <c r="F6555">
        <f>IF($D6555 &gt; 16, 0,$E6555*$J$5)</f>
        <v>25967229.971409567</v>
      </c>
      <c r="G6555">
        <f t="shared" si="102"/>
        <v>11.5</v>
      </c>
    </row>
    <row r="6556" spans="2:7" x14ac:dyDescent="0.35">
      <c r="B6556" s="1">
        <v>45931</v>
      </c>
      <c r="C6556" s="2">
        <v>8.3333333333333329E-2</v>
      </c>
      <c r="D6556">
        <v>3.8</v>
      </c>
      <c r="E6556">
        <f>IF($D6556 &gt; 16, 0, $J$3*(16 - $D6556))</f>
        <v>2534.5334409485031</v>
      </c>
      <c r="F6556">
        <f>IF($D6556 &gt; 16, 0,$E6556*$J$5)</f>
        <v>27547843.969669279</v>
      </c>
      <c r="G6556">
        <f t="shared" si="102"/>
        <v>12.2</v>
      </c>
    </row>
    <row r="6557" spans="2:7" x14ac:dyDescent="0.35">
      <c r="B6557" s="1">
        <v>45931</v>
      </c>
      <c r="C6557" s="2">
        <v>0.125</v>
      </c>
      <c r="D6557">
        <v>3.3</v>
      </c>
      <c r="E6557">
        <f>IF($D6557 &gt; 16, 0, $J$3*(16 - $D6557))</f>
        <v>2638.4077622988516</v>
      </c>
      <c r="F6557">
        <f>IF($D6557 &gt; 16, 0,$E6557*$J$5)</f>
        <v>28676853.968426216</v>
      </c>
      <c r="G6557">
        <f t="shared" si="102"/>
        <v>12.7</v>
      </c>
    </row>
    <row r="6558" spans="2:7" x14ac:dyDescent="0.35">
      <c r="B6558" s="1">
        <v>45931</v>
      </c>
      <c r="C6558" s="2">
        <v>0.16666666666666671</v>
      </c>
      <c r="D6558">
        <v>2.7</v>
      </c>
      <c r="E6558">
        <f>IF($D6558 &gt; 16, 0, $J$3*(16 - $D6558))</f>
        <v>2763.05694791927</v>
      </c>
      <c r="F6558">
        <f>IF($D6558 &gt; 16, 0,$E6558*$J$5)</f>
        <v>30031665.966934547</v>
      </c>
      <c r="G6558">
        <f t="shared" si="102"/>
        <v>13.3</v>
      </c>
    </row>
    <row r="6559" spans="2:7" x14ac:dyDescent="0.35">
      <c r="B6559" s="1">
        <v>45931</v>
      </c>
      <c r="C6559" s="2">
        <v>0.20833333333333329</v>
      </c>
      <c r="D6559">
        <v>1.8</v>
      </c>
      <c r="E6559">
        <f>IF($D6559 &gt; 16, 0, $J$3*(16 - $D6559))</f>
        <v>2950.0307263498971</v>
      </c>
      <c r="F6559">
        <f>IF($D6559 &gt; 16, 0,$E6559*$J$5)</f>
        <v>32063883.964697033</v>
      </c>
      <c r="G6559">
        <f t="shared" si="102"/>
        <v>14.2</v>
      </c>
    </row>
    <row r="6560" spans="2:7" x14ac:dyDescent="0.35">
      <c r="B6560" s="1">
        <v>45931</v>
      </c>
      <c r="C6560" s="2">
        <v>0.25</v>
      </c>
      <c r="D6560">
        <v>2.2999999999999998</v>
      </c>
      <c r="E6560">
        <f>IF($D6560 &gt; 16, 0, $J$3*(16 - $D6560))</f>
        <v>2846.1564049995486</v>
      </c>
      <c r="F6560">
        <f>IF($D6560 &gt; 16, 0,$E6560*$J$5)</f>
        <v>30934873.965940095</v>
      </c>
      <c r="G6560">
        <f t="shared" si="102"/>
        <v>13.7</v>
      </c>
    </row>
    <row r="6561" spans="2:7" x14ac:dyDescent="0.35">
      <c r="B6561" s="1">
        <v>45931</v>
      </c>
      <c r="C6561" s="2">
        <v>0.29166666666666669</v>
      </c>
      <c r="D6561">
        <v>6.5</v>
      </c>
      <c r="E6561">
        <f>IF($D6561 &gt; 16, 0, $J$3*(16 - $D6561))</f>
        <v>1973.6121056566215</v>
      </c>
      <c r="F6561">
        <f>IF($D6561 &gt; 16, 0,$E6561*$J$5)</f>
        <v>21451189.97638182</v>
      </c>
      <c r="G6561">
        <f t="shared" si="102"/>
        <v>9.5</v>
      </c>
    </row>
    <row r="6562" spans="2:7" x14ac:dyDescent="0.35">
      <c r="B6562" s="1">
        <v>45931</v>
      </c>
      <c r="C6562" s="2">
        <v>0.33333333333333331</v>
      </c>
      <c r="D6562">
        <v>8.6</v>
      </c>
      <c r="E6562">
        <f>IF($D6562 &gt; 16, 0, $J$3*(16 - $D6562))</f>
        <v>1537.3399559851578</v>
      </c>
      <c r="F6562">
        <f>IF($D6562 &gt; 16, 0,$E6562*$J$5)</f>
        <v>16709347.98160268</v>
      </c>
      <c r="G6562">
        <f t="shared" si="102"/>
        <v>7.4</v>
      </c>
    </row>
    <row r="6563" spans="2:7" x14ac:dyDescent="0.35">
      <c r="B6563" s="1">
        <v>45931</v>
      </c>
      <c r="C6563" s="2">
        <v>0.375</v>
      </c>
      <c r="D6563">
        <v>10.5</v>
      </c>
      <c r="E6563">
        <f>IF($D6563 &gt; 16, 0, $J$3*(16 - $D6563))</f>
        <v>1142.6175348538334</v>
      </c>
      <c r="F6563">
        <f>IF($D6563 &gt; 16, 0,$E6563*$J$5)</f>
        <v>12419109.986326315</v>
      </c>
      <c r="G6563">
        <f t="shared" si="102"/>
        <v>5.5</v>
      </c>
    </row>
    <row r="6564" spans="2:7" x14ac:dyDescent="0.35">
      <c r="B6564" s="1">
        <v>45931</v>
      </c>
      <c r="C6564" s="2">
        <v>0.41666666666666669</v>
      </c>
      <c r="D6564">
        <v>11.9</v>
      </c>
      <c r="E6564">
        <f>IF($D6564 &gt; 16, 0, $J$3*(16 - $D6564))</f>
        <v>851.76943507285762</v>
      </c>
      <c r="F6564">
        <f>IF($D6564 &gt; 16, 0,$E6564*$J$5)</f>
        <v>9257881.9898068886</v>
      </c>
      <c r="G6564">
        <f t="shared" si="102"/>
        <v>4.0999999999999996</v>
      </c>
    </row>
    <row r="6565" spans="2:7" x14ac:dyDescent="0.35">
      <c r="B6565" s="1">
        <v>45931</v>
      </c>
      <c r="C6565" s="2">
        <v>0.45833333333333331</v>
      </c>
      <c r="D6565">
        <v>13</v>
      </c>
      <c r="E6565">
        <f>IF($D6565 &gt; 16, 0, $J$3*(16 - $D6565))</f>
        <v>623.24592810209094</v>
      </c>
      <c r="F6565">
        <f>IF($D6565 &gt; 16, 0,$E6565*$J$5)</f>
        <v>6774059.9925416261</v>
      </c>
      <c r="G6565">
        <f t="shared" si="102"/>
        <v>3</v>
      </c>
    </row>
    <row r="6566" spans="2:7" x14ac:dyDescent="0.35">
      <c r="B6566" s="1">
        <v>45931</v>
      </c>
      <c r="C6566" s="2">
        <v>0.5</v>
      </c>
      <c r="D6566">
        <v>12.9</v>
      </c>
      <c r="E6566">
        <f>IF($D6566 &gt; 16, 0, $J$3*(16 - $D6566))</f>
        <v>644.0207923721606</v>
      </c>
      <c r="F6566">
        <f>IF($D6566 &gt; 16, 0,$E6566*$J$5)</f>
        <v>6999861.9922930133</v>
      </c>
      <c r="G6566">
        <f t="shared" si="102"/>
        <v>3.0999999999999996</v>
      </c>
    </row>
    <row r="6567" spans="2:7" x14ac:dyDescent="0.35">
      <c r="B6567" s="1">
        <v>45931</v>
      </c>
      <c r="C6567" s="2">
        <v>0.54166666666666663</v>
      </c>
      <c r="D6567">
        <v>13.1</v>
      </c>
      <c r="E6567">
        <f>IF($D6567 &gt; 16, 0, $J$3*(16 - $D6567))</f>
        <v>602.4710638320214</v>
      </c>
      <c r="F6567">
        <f>IF($D6567 &gt; 16, 0,$E6567*$J$5)</f>
        <v>6548257.9927902408</v>
      </c>
      <c r="G6567">
        <f t="shared" si="102"/>
        <v>2.9000000000000004</v>
      </c>
    </row>
    <row r="6568" spans="2:7" x14ac:dyDescent="0.35">
      <c r="B6568" s="1">
        <v>45931</v>
      </c>
      <c r="C6568" s="2">
        <v>0.58333333333333337</v>
      </c>
      <c r="D6568">
        <v>13.8</v>
      </c>
      <c r="E6568">
        <f>IF($D6568 &gt; 16, 0, $J$3*(16 - $D6568))</f>
        <v>457.04701394153324</v>
      </c>
      <c r="F6568">
        <f>IF($D6568 &gt; 16, 0,$E6568*$J$5)</f>
        <v>4967643.9945305251</v>
      </c>
      <c r="G6568">
        <f t="shared" si="102"/>
        <v>2.1999999999999993</v>
      </c>
    </row>
    <row r="6569" spans="2:7" x14ac:dyDescent="0.35">
      <c r="B6569" s="1">
        <v>45931</v>
      </c>
      <c r="C6569" s="2">
        <v>0.625</v>
      </c>
      <c r="D6569">
        <v>14</v>
      </c>
      <c r="E6569">
        <f>IF($D6569 &gt; 16, 0, $J$3*(16 - $D6569))</f>
        <v>415.49728540139398</v>
      </c>
      <c r="F6569">
        <f>IF($D6569 &gt; 16, 0,$E6569*$J$5)</f>
        <v>4516039.9950277507</v>
      </c>
      <c r="G6569">
        <f t="shared" si="102"/>
        <v>2</v>
      </c>
    </row>
    <row r="6570" spans="2:7" x14ac:dyDescent="0.35">
      <c r="B6570" s="1">
        <v>45931</v>
      </c>
      <c r="C6570" s="2">
        <v>0.66666666666666663</v>
      </c>
      <c r="D6570">
        <v>13.2</v>
      </c>
      <c r="E6570">
        <f>IF($D6570 &gt; 16, 0, $J$3*(16 - $D6570))</f>
        <v>581.69619956195174</v>
      </c>
      <c r="F6570">
        <f>IF($D6570 &gt; 16, 0,$E6570*$J$5)</f>
        <v>6322455.9930388536</v>
      </c>
      <c r="G6570">
        <f t="shared" si="102"/>
        <v>2.8000000000000007</v>
      </c>
    </row>
    <row r="6571" spans="2:7" x14ac:dyDescent="0.35">
      <c r="B6571" s="1">
        <v>45931</v>
      </c>
      <c r="C6571" s="2">
        <v>0.70833333333333337</v>
      </c>
      <c r="D6571">
        <v>12</v>
      </c>
      <c r="E6571">
        <f>IF($D6571 &gt; 16, 0, $J$3*(16 - $D6571))</f>
        <v>830.99457080278796</v>
      </c>
      <c r="F6571">
        <f>IF($D6571 &gt; 16, 0,$E6571*$J$5)</f>
        <v>9032079.9900555015</v>
      </c>
      <c r="G6571">
        <f t="shared" si="102"/>
        <v>4</v>
      </c>
    </row>
    <row r="6572" spans="2:7" x14ac:dyDescent="0.35">
      <c r="B6572" s="1">
        <v>45931</v>
      </c>
      <c r="C6572" s="2">
        <v>0.75</v>
      </c>
      <c r="D6572">
        <v>10.5</v>
      </c>
      <c r="E6572">
        <f>IF($D6572 &gt; 16, 0, $J$3*(16 - $D6572))</f>
        <v>1142.6175348538334</v>
      </c>
      <c r="F6572">
        <f>IF($D6572 &gt; 16, 0,$E6572*$J$5)</f>
        <v>12419109.986326315</v>
      </c>
      <c r="G6572">
        <f t="shared" si="102"/>
        <v>5.5</v>
      </c>
    </row>
    <row r="6573" spans="2:7" x14ac:dyDescent="0.35">
      <c r="B6573" s="1">
        <v>45931</v>
      </c>
      <c r="C6573" s="2">
        <v>0.79166666666666663</v>
      </c>
      <c r="D6573">
        <v>10</v>
      </c>
      <c r="E6573">
        <f>IF($D6573 &gt; 16, 0, $J$3*(16 - $D6573))</f>
        <v>1246.4918562041819</v>
      </c>
      <c r="F6573">
        <f>IF($D6573 &gt; 16, 0,$E6573*$J$5)</f>
        <v>13548119.985083252</v>
      </c>
      <c r="G6573">
        <f t="shared" si="102"/>
        <v>6</v>
      </c>
    </row>
    <row r="6574" spans="2:7" x14ac:dyDescent="0.35">
      <c r="B6574" s="1">
        <v>45931</v>
      </c>
      <c r="C6574" s="2">
        <v>0.83333333333333337</v>
      </c>
      <c r="D6574">
        <v>10.199999999999999</v>
      </c>
      <c r="E6574">
        <f>IF($D6574 &gt; 16, 0, $J$3*(16 - $D6574))</f>
        <v>1204.9421276640428</v>
      </c>
      <c r="F6574">
        <f>IF($D6574 &gt; 16, 0,$E6574*$J$5)</f>
        <v>13096515.985580482</v>
      </c>
      <c r="G6574">
        <f t="shared" si="102"/>
        <v>5.8000000000000007</v>
      </c>
    </row>
    <row r="6575" spans="2:7" x14ac:dyDescent="0.35">
      <c r="B6575" s="1">
        <v>45931</v>
      </c>
      <c r="C6575" s="2">
        <v>0.875</v>
      </c>
      <c r="D6575">
        <v>8.6999999999999993</v>
      </c>
      <c r="E6575">
        <f>IF($D6575 &gt; 16, 0, $J$3*(16 - $D6575))</f>
        <v>1516.5650917150881</v>
      </c>
      <c r="F6575">
        <f>IF($D6575 &gt; 16, 0,$E6575*$J$5)</f>
        <v>16483545.981851293</v>
      </c>
      <c r="G6575">
        <f t="shared" si="102"/>
        <v>7.3000000000000007</v>
      </c>
    </row>
    <row r="6576" spans="2:7" x14ac:dyDescent="0.35">
      <c r="B6576" s="1">
        <v>45931</v>
      </c>
      <c r="C6576" s="2">
        <v>0.91666666666666663</v>
      </c>
      <c r="D6576">
        <v>7.4</v>
      </c>
      <c r="E6576">
        <f>IF($D6576 &gt; 16, 0, $J$3*(16 - $D6576))</f>
        <v>1786.6383272259941</v>
      </c>
      <c r="F6576">
        <f>IF($D6576 &gt; 16, 0,$E6576*$J$5)</f>
        <v>19418971.97861933</v>
      </c>
      <c r="G6576">
        <f t="shared" si="102"/>
        <v>8.6</v>
      </c>
    </row>
    <row r="6577" spans="2:7" x14ac:dyDescent="0.35">
      <c r="B6577" s="1">
        <v>45931</v>
      </c>
      <c r="C6577" s="2">
        <v>0.95833333333333337</v>
      </c>
      <c r="D6577">
        <v>6.6</v>
      </c>
      <c r="E6577">
        <f>IF($D6577 &gt; 16, 0, $J$3*(16 - $D6577))</f>
        <v>1952.8372413865518</v>
      </c>
      <c r="F6577">
        <f>IF($D6577 &gt; 16, 0,$E6577*$J$5)</f>
        <v>21225387.976630431</v>
      </c>
      <c r="G6577">
        <f t="shared" si="102"/>
        <v>9.4</v>
      </c>
    </row>
    <row r="6578" spans="2:7" x14ac:dyDescent="0.35">
      <c r="B6578" s="1">
        <v>45932</v>
      </c>
      <c r="C6578" s="2">
        <v>0</v>
      </c>
      <c r="D6578">
        <v>5.0999999999999996</v>
      </c>
      <c r="E6578">
        <f>IF($D6578 &gt; 16, 0, $J$3*(16 - $D6578))</f>
        <v>2264.4602054375973</v>
      </c>
      <c r="F6578">
        <f>IF($D6578 &gt; 16, 0,$E6578*$J$5)</f>
        <v>24612417.972901244</v>
      </c>
      <c r="G6578">
        <f t="shared" si="102"/>
        <v>10.9</v>
      </c>
    </row>
    <row r="6579" spans="2:7" x14ac:dyDescent="0.35">
      <c r="B6579" s="1">
        <v>45932</v>
      </c>
      <c r="C6579" s="2">
        <v>4.1666666666666657E-2</v>
      </c>
      <c r="D6579">
        <v>4.4000000000000004</v>
      </c>
      <c r="E6579">
        <f>IF($D6579 &gt; 16, 0, $J$3*(16 - $D6579))</f>
        <v>2409.8842553280851</v>
      </c>
      <c r="F6579">
        <f>IF($D6579 &gt; 16, 0,$E6579*$J$5)</f>
        <v>26193031.971160956</v>
      </c>
      <c r="G6579">
        <f t="shared" si="102"/>
        <v>11.6</v>
      </c>
    </row>
    <row r="6580" spans="2:7" x14ac:dyDescent="0.35">
      <c r="B6580" s="1">
        <v>45932</v>
      </c>
      <c r="C6580" s="2">
        <v>8.3333333333333329E-2</v>
      </c>
      <c r="D6580">
        <v>3.7</v>
      </c>
      <c r="E6580">
        <f>IF($D6580 &gt; 16, 0, $J$3*(16 - $D6580))</f>
        <v>2555.308305218573</v>
      </c>
      <c r="F6580">
        <f>IF($D6580 &gt; 16, 0,$E6580*$J$5)</f>
        <v>27773645.969420668</v>
      </c>
      <c r="G6580">
        <f t="shared" si="102"/>
        <v>12.3</v>
      </c>
    </row>
    <row r="6581" spans="2:7" x14ac:dyDescent="0.35">
      <c r="B6581" s="1">
        <v>45932</v>
      </c>
      <c r="C6581" s="2">
        <v>0.125</v>
      </c>
      <c r="D6581">
        <v>3.2</v>
      </c>
      <c r="E6581">
        <f>IF($D6581 &gt; 16, 0, $J$3*(16 - $D6581))</f>
        <v>2659.1826265689215</v>
      </c>
      <c r="F6581">
        <f>IF($D6581 &gt; 16, 0,$E6581*$J$5)</f>
        <v>28902655.968177609</v>
      </c>
      <c r="G6581">
        <f t="shared" si="102"/>
        <v>12.8</v>
      </c>
    </row>
    <row r="6582" spans="2:7" x14ac:dyDescent="0.35">
      <c r="B6582" s="1">
        <v>45932</v>
      </c>
      <c r="C6582" s="2">
        <v>0.16666666666666671</v>
      </c>
      <c r="D6582">
        <v>3.4</v>
      </c>
      <c r="E6582">
        <f>IF($D6582 &gt; 16, 0, $J$3*(16 - $D6582))</f>
        <v>2617.6328980287822</v>
      </c>
      <c r="F6582">
        <f>IF($D6582 &gt; 16, 0,$E6582*$J$5)</f>
        <v>28451051.968674835</v>
      </c>
      <c r="G6582">
        <f t="shared" si="102"/>
        <v>12.6</v>
      </c>
    </row>
    <row r="6583" spans="2:7" x14ac:dyDescent="0.35">
      <c r="B6583" s="1">
        <v>45932</v>
      </c>
      <c r="C6583" s="2">
        <v>0.20833333333333329</v>
      </c>
      <c r="D6583">
        <v>2.9</v>
      </c>
      <c r="E6583">
        <f>IF($D6583 &gt; 16, 0, $J$3*(16 - $D6583))</f>
        <v>2721.5072193791307</v>
      </c>
      <c r="F6583">
        <f>IF($D6583 &gt; 16, 0,$E6583*$J$5)</f>
        <v>29580061.967431773</v>
      </c>
      <c r="G6583">
        <f t="shared" si="102"/>
        <v>13.1</v>
      </c>
    </row>
    <row r="6584" spans="2:7" x14ac:dyDescent="0.35">
      <c r="B6584" s="1">
        <v>45932</v>
      </c>
      <c r="C6584" s="2">
        <v>0.25</v>
      </c>
      <c r="D6584">
        <v>3.2</v>
      </c>
      <c r="E6584">
        <f>IF($D6584 &gt; 16, 0, $J$3*(16 - $D6584))</f>
        <v>2659.1826265689215</v>
      </c>
      <c r="F6584">
        <f>IF($D6584 &gt; 16, 0,$E6584*$J$5)</f>
        <v>28902655.968177609</v>
      </c>
      <c r="G6584">
        <f t="shared" si="102"/>
        <v>12.8</v>
      </c>
    </row>
    <row r="6585" spans="2:7" x14ac:dyDescent="0.35">
      <c r="B6585" s="1">
        <v>45932</v>
      </c>
      <c r="C6585" s="2">
        <v>0.29166666666666669</v>
      </c>
      <c r="D6585">
        <v>5.8</v>
      </c>
      <c r="E6585">
        <f>IF($D6585 &gt; 16, 0, $J$3*(16 - $D6585))</f>
        <v>2119.036155547109</v>
      </c>
      <c r="F6585">
        <f>IF($D6585 &gt; 16, 0,$E6585*$J$5)</f>
        <v>23031803.974641528</v>
      </c>
      <c r="G6585">
        <f t="shared" si="102"/>
        <v>10.199999999999999</v>
      </c>
    </row>
    <row r="6586" spans="2:7" x14ac:dyDescent="0.35">
      <c r="B6586" s="1">
        <v>45932</v>
      </c>
      <c r="C6586" s="2">
        <v>0.33333333333333331</v>
      </c>
      <c r="D6586">
        <v>9.4</v>
      </c>
      <c r="E6586">
        <f>IF($D6586 &gt; 16, 0, $J$3*(16 - $D6586))</f>
        <v>1371.1410418246001</v>
      </c>
      <c r="F6586">
        <f>IF($D6586 &gt; 16, 0,$E6586*$J$5)</f>
        <v>14902931.983591577</v>
      </c>
      <c r="G6586">
        <f t="shared" si="102"/>
        <v>6.6</v>
      </c>
    </row>
    <row r="6587" spans="2:7" x14ac:dyDescent="0.35">
      <c r="B6587" s="1">
        <v>45932</v>
      </c>
      <c r="C6587" s="2">
        <v>0.375</v>
      </c>
      <c r="D6587">
        <v>11.3</v>
      </c>
      <c r="E6587">
        <f>IF($D6587 &gt; 16, 0, $J$3*(16 - $D6587))</f>
        <v>976.41862069327567</v>
      </c>
      <c r="F6587">
        <f>IF($D6587 &gt; 16, 0,$E6587*$J$5)</f>
        <v>10612693.988315213</v>
      </c>
      <c r="G6587">
        <f t="shared" si="102"/>
        <v>4.6999999999999993</v>
      </c>
    </row>
    <row r="6588" spans="2:7" x14ac:dyDescent="0.35">
      <c r="B6588" s="1">
        <v>45932</v>
      </c>
      <c r="C6588" s="2">
        <v>0.41666666666666669</v>
      </c>
      <c r="D6588">
        <v>12.6</v>
      </c>
      <c r="E6588">
        <f>IF($D6588 &gt; 16, 0, $J$3*(16 - $D6588))</f>
        <v>706.3453851823698</v>
      </c>
      <c r="F6588">
        <f>IF($D6588 &gt; 16, 0,$E6588*$J$5)</f>
        <v>7677267.9915471775</v>
      </c>
      <c r="G6588">
        <f t="shared" si="102"/>
        <v>3.4000000000000004</v>
      </c>
    </row>
    <row r="6589" spans="2:7" x14ac:dyDescent="0.35">
      <c r="B6589" s="1">
        <v>45932</v>
      </c>
      <c r="C6589" s="2">
        <v>0.45833333333333331</v>
      </c>
      <c r="D6589">
        <v>13.3</v>
      </c>
      <c r="E6589">
        <f>IF($D6589 &gt; 16, 0, $J$3*(16 - $D6589))</f>
        <v>560.92133529188175</v>
      </c>
      <c r="F6589">
        <f>IF($D6589 &gt; 16, 0,$E6589*$J$5)</f>
        <v>6096653.9932874627</v>
      </c>
      <c r="G6589">
        <f t="shared" si="102"/>
        <v>2.6999999999999993</v>
      </c>
    </row>
    <row r="6590" spans="2:7" x14ac:dyDescent="0.35">
      <c r="B6590" s="1">
        <v>45932</v>
      </c>
      <c r="C6590" s="2">
        <v>0.5</v>
      </c>
      <c r="D6590">
        <v>14.3</v>
      </c>
      <c r="E6590">
        <f>IF($D6590 &gt; 16, 0, $J$3*(16 - $D6590))</f>
        <v>353.17269259118473</v>
      </c>
      <c r="F6590">
        <f>IF($D6590 &gt; 16, 0,$E6590*$J$5)</f>
        <v>3838633.9957735869</v>
      </c>
      <c r="G6590">
        <f t="shared" si="102"/>
        <v>1.6999999999999993</v>
      </c>
    </row>
    <row r="6591" spans="2:7" x14ac:dyDescent="0.35">
      <c r="B6591" s="1">
        <v>45932</v>
      </c>
      <c r="C6591" s="2">
        <v>0.54166666666666663</v>
      </c>
      <c r="D6591">
        <v>14.3</v>
      </c>
      <c r="E6591">
        <f>IF($D6591 &gt; 16, 0, $J$3*(16 - $D6591))</f>
        <v>353.17269259118473</v>
      </c>
      <c r="F6591">
        <f>IF($D6591 &gt; 16, 0,$E6591*$J$5)</f>
        <v>3838633.9957735869</v>
      </c>
      <c r="G6591">
        <f t="shared" si="102"/>
        <v>1.6999999999999993</v>
      </c>
    </row>
    <row r="6592" spans="2:7" x14ac:dyDescent="0.35">
      <c r="B6592" s="1">
        <v>45932</v>
      </c>
      <c r="C6592" s="2">
        <v>0.58333333333333337</v>
      </c>
      <c r="D6592">
        <v>15</v>
      </c>
      <c r="E6592">
        <f>IF($D6592 &gt; 16, 0, $J$3*(16 - $D6592))</f>
        <v>207.74864270069699</v>
      </c>
      <c r="F6592">
        <f>IF($D6592 &gt; 16, 0,$E6592*$J$5)</f>
        <v>2258019.9975138754</v>
      </c>
      <c r="G6592">
        <f t="shared" si="102"/>
        <v>1</v>
      </c>
    </row>
    <row r="6593" spans="2:7" x14ac:dyDescent="0.35">
      <c r="B6593" s="1">
        <v>45932</v>
      </c>
      <c r="C6593" s="2">
        <v>0.625</v>
      </c>
      <c r="D6593">
        <v>14.4</v>
      </c>
      <c r="E6593">
        <f>IF($D6593 &gt; 16, 0, $J$3*(16 - $D6593))</f>
        <v>332.39782832111513</v>
      </c>
      <c r="F6593">
        <f>IF($D6593 &gt; 16, 0,$E6593*$J$5)</f>
        <v>3612831.9960222002</v>
      </c>
      <c r="G6593">
        <f t="shared" si="102"/>
        <v>1.5999999999999996</v>
      </c>
    </row>
    <row r="6594" spans="2:7" x14ac:dyDescent="0.35">
      <c r="B6594" s="1">
        <v>45932</v>
      </c>
      <c r="C6594" s="2">
        <v>0.66666666666666663</v>
      </c>
      <c r="D6594">
        <v>13.8</v>
      </c>
      <c r="E6594">
        <f>IF($D6594 &gt; 16, 0, $J$3*(16 - $D6594))</f>
        <v>457.04701394153324</v>
      </c>
      <c r="F6594">
        <f>IF($D6594 &gt; 16, 0,$E6594*$J$5)</f>
        <v>4967643.9945305251</v>
      </c>
      <c r="G6594">
        <f t="shared" si="102"/>
        <v>2.1999999999999993</v>
      </c>
    </row>
    <row r="6595" spans="2:7" x14ac:dyDescent="0.35">
      <c r="B6595" s="1">
        <v>45932</v>
      </c>
      <c r="C6595" s="2">
        <v>0.70833333333333337</v>
      </c>
      <c r="D6595">
        <v>12.4</v>
      </c>
      <c r="E6595">
        <f>IF($D6595 &gt; 16, 0, $J$3*(16 - $D6595))</f>
        <v>747.89511372250911</v>
      </c>
      <c r="F6595">
        <f>IF($D6595 &gt; 16, 0,$E6595*$J$5)</f>
        <v>8128871.9910499519</v>
      </c>
      <c r="G6595">
        <f t="shared" ref="G6595:G6658" si="103">MAX(0, 16 - $D6595)</f>
        <v>3.5999999999999996</v>
      </c>
    </row>
    <row r="6596" spans="2:7" x14ac:dyDescent="0.35">
      <c r="B6596" s="1">
        <v>45932</v>
      </c>
      <c r="C6596" s="2">
        <v>0.75</v>
      </c>
      <c r="D6596">
        <v>10.7</v>
      </c>
      <c r="E6596">
        <f>IF($D6596 &gt; 16, 0, $J$3*(16 - $D6596))</f>
        <v>1101.0678063136943</v>
      </c>
      <c r="F6596">
        <f>IF($D6596 &gt; 16, 0,$E6596*$J$5)</f>
        <v>11967505.986823544</v>
      </c>
      <c r="G6596">
        <f t="shared" si="103"/>
        <v>5.3000000000000007</v>
      </c>
    </row>
    <row r="6597" spans="2:7" x14ac:dyDescent="0.35">
      <c r="B6597" s="1">
        <v>45932</v>
      </c>
      <c r="C6597" s="2">
        <v>0.79166666666666663</v>
      </c>
      <c r="D6597">
        <v>9.3000000000000007</v>
      </c>
      <c r="E6597">
        <f>IF($D6597 &gt; 16, 0, $J$3*(16 - $D6597))</f>
        <v>1391.9159060946697</v>
      </c>
      <c r="F6597">
        <f>IF($D6597 &gt; 16, 0,$E6597*$J$5)</f>
        <v>15128733.983342964</v>
      </c>
      <c r="G6597">
        <f t="shared" si="103"/>
        <v>6.6999999999999993</v>
      </c>
    </row>
    <row r="6598" spans="2:7" x14ac:dyDescent="0.35">
      <c r="B6598" s="1">
        <v>45932</v>
      </c>
      <c r="C6598" s="2">
        <v>0.83333333333333337</v>
      </c>
      <c r="D6598">
        <v>9</v>
      </c>
      <c r="E6598">
        <f>IF($D6598 &gt; 16, 0, $J$3*(16 - $D6598))</f>
        <v>1454.2404989048789</v>
      </c>
      <c r="F6598">
        <f>IF($D6598 &gt; 16, 0,$E6598*$J$5)</f>
        <v>15806139.982597129</v>
      </c>
      <c r="G6598">
        <f t="shared" si="103"/>
        <v>7</v>
      </c>
    </row>
    <row r="6599" spans="2:7" x14ac:dyDescent="0.35">
      <c r="B6599" s="1">
        <v>45932</v>
      </c>
      <c r="C6599" s="2">
        <v>0.875</v>
      </c>
      <c r="D6599">
        <v>7.6</v>
      </c>
      <c r="E6599">
        <f>IF($D6599 &gt; 16, 0, $J$3*(16 - $D6599))</f>
        <v>1745.0885986858548</v>
      </c>
      <c r="F6599">
        <f>IF($D6599 &gt; 16, 0,$E6599*$J$5)</f>
        <v>18967367.979116555</v>
      </c>
      <c r="G6599">
        <f t="shared" si="103"/>
        <v>8.4</v>
      </c>
    </row>
    <row r="6600" spans="2:7" x14ac:dyDescent="0.35">
      <c r="B6600" s="1">
        <v>45932</v>
      </c>
      <c r="C6600" s="2">
        <v>0.91666666666666663</v>
      </c>
      <c r="D6600">
        <v>7.8</v>
      </c>
      <c r="E6600">
        <f>IF($D6600 &gt; 16, 0, $J$3*(16 - $D6600))</f>
        <v>1703.5388701457152</v>
      </c>
      <c r="F6600">
        <f>IF($D6600 &gt; 16, 0,$E6600*$J$5)</f>
        <v>18515763.979613777</v>
      </c>
      <c r="G6600">
        <f t="shared" si="103"/>
        <v>8.1999999999999993</v>
      </c>
    </row>
    <row r="6601" spans="2:7" x14ac:dyDescent="0.35">
      <c r="B6601" s="1">
        <v>45932</v>
      </c>
      <c r="C6601" s="2">
        <v>0.95833333333333337</v>
      </c>
      <c r="D6601">
        <v>5.2</v>
      </c>
      <c r="E6601">
        <f>IF($D6601 &gt; 16, 0, $J$3*(16 - $D6601))</f>
        <v>2243.6853411675274</v>
      </c>
      <c r="F6601">
        <f>IF($D6601 &gt; 16, 0,$E6601*$J$5)</f>
        <v>24386615.973149855</v>
      </c>
      <c r="G6601">
        <f t="shared" si="103"/>
        <v>10.8</v>
      </c>
    </row>
    <row r="6602" spans="2:7" x14ac:dyDescent="0.35">
      <c r="B6602" s="1">
        <v>45933</v>
      </c>
      <c r="C6602" s="2">
        <v>0</v>
      </c>
      <c r="D6602">
        <v>5</v>
      </c>
      <c r="E6602">
        <f>IF($D6602 &gt; 16, 0, $J$3*(16 - $D6602))</f>
        <v>2285.2350697076668</v>
      </c>
      <c r="F6602">
        <f>IF($D6602 &gt; 16, 0,$E6602*$J$5)</f>
        <v>24838219.972652629</v>
      </c>
      <c r="G6602">
        <f t="shared" si="103"/>
        <v>11</v>
      </c>
    </row>
    <row r="6603" spans="2:7" x14ac:dyDescent="0.35">
      <c r="B6603" s="1">
        <v>45933</v>
      </c>
      <c r="C6603" s="2">
        <v>4.1666666666666657E-2</v>
      </c>
      <c r="D6603">
        <v>4.7</v>
      </c>
      <c r="E6603">
        <f>IF($D6603 &gt; 16, 0, $J$3*(16 - $D6603))</f>
        <v>2347.5596625178759</v>
      </c>
      <c r="F6603">
        <f>IF($D6603 &gt; 16, 0,$E6603*$J$5)</f>
        <v>25515625.971906792</v>
      </c>
      <c r="G6603">
        <f t="shared" si="103"/>
        <v>11.3</v>
      </c>
    </row>
    <row r="6604" spans="2:7" x14ac:dyDescent="0.35">
      <c r="B6604" s="1">
        <v>45933</v>
      </c>
      <c r="C6604" s="2">
        <v>8.3333333333333329E-2</v>
      </c>
      <c r="D6604">
        <v>3.6</v>
      </c>
      <c r="E6604">
        <f>IF($D6604 &gt; 16, 0, $J$3*(16 - $D6604))</f>
        <v>2576.0831694886429</v>
      </c>
      <c r="F6604">
        <f>IF($D6604 &gt; 16, 0,$E6604*$J$5)</f>
        <v>27999447.96917206</v>
      </c>
      <c r="G6604">
        <f t="shared" si="103"/>
        <v>12.4</v>
      </c>
    </row>
    <row r="6605" spans="2:7" x14ac:dyDescent="0.35">
      <c r="B6605" s="1">
        <v>45933</v>
      </c>
      <c r="C6605" s="2">
        <v>0.125</v>
      </c>
      <c r="D6605">
        <v>3.4</v>
      </c>
      <c r="E6605">
        <f>IF($D6605 &gt; 16, 0, $J$3*(16 - $D6605))</f>
        <v>2617.6328980287822</v>
      </c>
      <c r="F6605">
        <f>IF($D6605 &gt; 16, 0,$E6605*$J$5)</f>
        <v>28451051.968674835</v>
      </c>
      <c r="G6605">
        <f t="shared" si="103"/>
        <v>12.6</v>
      </c>
    </row>
    <row r="6606" spans="2:7" x14ac:dyDescent="0.35">
      <c r="B6606" s="1">
        <v>45933</v>
      </c>
      <c r="C6606" s="2">
        <v>0.16666666666666671</v>
      </c>
      <c r="D6606">
        <v>4.4000000000000004</v>
      </c>
      <c r="E6606">
        <f>IF($D6606 &gt; 16, 0, $J$3*(16 - $D6606))</f>
        <v>2409.8842553280851</v>
      </c>
      <c r="F6606">
        <f>IF($D6606 &gt; 16, 0,$E6606*$J$5)</f>
        <v>26193031.971160956</v>
      </c>
      <c r="G6606">
        <f t="shared" si="103"/>
        <v>11.6</v>
      </c>
    </row>
    <row r="6607" spans="2:7" x14ac:dyDescent="0.35">
      <c r="B6607" s="1">
        <v>45933</v>
      </c>
      <c r="C6607" s="2">
        <v>0.20833333333333329</v>
      </c>
      <c r="D6607">
        <v>4.3</v>
      </c>
      <c r="E6607">
        <f>IF($D6607 &gt; 16, 0, $J$3*(16 - $D6607))</f>
        <v>2430.6591195981546</v>
      </c>
      <c r="F6607">
        <f>IF($D6607 &gt; 16, 0,$E6607*$J$5)</f>
        <v>26418833.970912341</v>
      </c>
      <c r="G6607">
        <f t="shared" si="103"/>
        <v>11.7</v>
      </c>
    </row>
    <row r="6608" spans="2:7" x14ac:dyDescent="0.35">
      <c r="B6608" s="1">
        <v>45933</v>
      </c>
      <c r="C6608" s="2">
        <v>0.25</v>
      </c>
      <c r="D6608">
        <v>4.5</v>
      </c>
      <c r="E6608">
        <f>IF($D6608 &gt; 16, 0, $J$3*(16 - $D6608))</f>
        <v>2389.1093910580153</v>
      </c>
      <c r="F6608">
        <f>IF($D6608 &gt; 16, 0,$E6608*$J$5)</f>
        <v>25967229.971409567</v>
      </c>
      <c r="G6608">
        <f t="shared" si="103"/>
        <v>11.5</v>
      </c>
    </row>
    <row r="6609" spans="2:7" x14ac:dyDescent="0.35">
      <c r="B6609" s="1">
        <v>45933</v>
      </c>
      <c r="C6609" s="2">
        <v>0.29166666666666669</v>
      </c>
      <c r="D6609">
        <v>6.3</v>
      </c>
      <c r="E6609">
        <f>IF($D6609 &gt; 16, 0, $J$3*(16 - $D6609))</f>
        <v>2015.1618341967608</v>
      </c>
      <c r="F6609">
        <f>IF($D6609 &gt; 16, 0,$E6609*$J$5)</f>
        <v>21902793.975884594</v>
      </c>
      <c r="G6609">
        <f t="shared" si="103"/>
        <v>9.6999999999999993</v>
      </c>
    </row>
    <row r="6610" spans="2:7" x14ac:dyDescent="0.35">
      <c r="B6610" s="1">
        <v>45933</v>
      </c>
      <c r="C6610" s="2">
        <v>0.33333333333333331</v>
      </c>
      <c r="D6610">
        <v>8.4</v>
      </c>
      <c r="E6610">
        <f>IF($D6610 &gt; 16, 0, $J$3*(16 - $D6610))</f>
        <v>1578.8896845252971</v>
      </c>
      <c r="F6610">
        <f>IF($D6610 &gt; 16, 0,$E6610*$J$5)</f>
        <v>17160951.981105454</v>
      </c>
      <c r="G6610">
        <f t="shared" si="103"/>
        <v>7.6</v>
      </c>
    </row>
    <row r="6611" spans="2:7" x14ac:dyDescent="0.35">
      <c r="B6611" s="1">
        <v>45933</v>
      </c>
      <c r="C6611" s="2">
        <v>0.375</v>
      </c>
      <c r="D6611">
        <v>11</v>
      </c>
      <c r="E6611">
        <f>IF($D6611 &gt; 16, 0, $J$3*(16 - $D6611))</f>
        <v>1038.7432135034849</v>
      </c>
      <c r="F6611">
        <f>IF($D6611 &gt; 16, 0,$E6611*$J$5)</f>
        <v>11290099.987569377</v>
      </c>
      <c r="G6611">
        <f t="shared" si="103"/>
        <v>5</v>
      </c>
    </row>
    <row r="6612" spans="2:7" x14ac:dyDescent="0.35">
      <c r="B6612" s="1">
        <v>45933</v>
      </c>
      <c r="C6612" s="2">
        <v>0.41666666666666669</v>
      </c>
      <c r="D6612">
        <v>13.1</v>
      </c>
      <c r="E6612">
        <f>IF($D6612 &gt; 16, 0, $J$3*(16 - $D6612))</f>
        <v>602.4710638320214</v>
      </c>
      <c r="F6612">
        <f>IF($D6612 &gt; 16, 0,$E6612*$J$5)</f>
        <v>6548257.9927902408</v>
      </c>
      <c r="G6612">
        <f t="shared" si="103"/>
        <v>2.9000000000000004</v>
      </c>
    </row>
    <row r="6613" spans="2:7" x14ac:dyDescent="0.35">
      <c r="B6613" s="1">
        <v>45933</v>
      </c>
      <c r="C6613" s="2">
        <v>0.45833333333333331</v>
      </c>
      <c r="D6613">
        <v>14.7</v>
      </c>
      <c r="E6613">
        <f>IF($D6613 &gt; 16, 0, $J$3*(16 - $D6613))</f>
        <v>270.07323551090622</v>
      </c>
      <c r="F6613">
        <f>IF($D6613 &gt; 16, 0,$E6613*$J$5)</f>
        <v>2935425.9967680397</v>
      </c>
      <c r="G6613">
        <f t="shared" si="103"/>
        <v>1.3000000000000007</v>
      </c>
    </row>
    <row r="6614" spans="2:7" x14ac:dyDescent="0.35">
      <c r="B6614" s="1">
        <v>45933</v>
      </c>
      <c r="C6614" s="2">
        <v>0.5</v>
      </c>
      <c r="D6614">
        <v>16.100000000000001</v>
      </c>
      <c r="E6614">
        <f>IF($D6614 &gt; 16, 0, $J$3*(16 - $D6614))</f>
        <v>0</v>
      </c>
      <c r="F6614">
        <f>IF($D6614 &gt; 16, 0,$E6614*$J$5)</f>
        <v>0</v>
      </c>
      <c r="G6614">
        <f t="shared" si="103"/>
        <v>0</v>
      </c>
    </row>
    <row r="6615" spans="2:7" x14ac:dyDescent="0.35">
      <c r="B6615" s="1">
        <v>45933</v>
      </c>
      <c r="C6615" s="2">
        <v>0.54166666666666663</v>
      </c>
      <c r="D6615">
        <v>15.7</v>
      </c>
      <c r="E6615">
        <f>IF($D6615 &gt; 16, 0, $J$3*(16 - $D6615))</f>
        <v>62.324592810209246</v>
      </c>
      <c r="F6615">
        <f>IF($D6615 &gt; 16, 0,$E6615*$J$5)</f>
        <v>677405.99925416429</v>
      </c>
      <c r="G6615">
        <f t="shared" si="103"/>
        <v>0.30000000000000071</v>
      </c>
    </row>
    <row r="6616" spans="2:7" x14ac:dyDescent="0.35">
      <c r="B6616" s="1">
        <v>45933</v>
      </c>
      <c r="C6616" s="2">
        <v>0.58333333333333337</v>
      </c>
      <c r="D6616">
        <v>15.6</v>
      </c>
      <c r="E6616">
        <f>IF($D6616 &gt; 16, 0, $J$3*(16 - $D6616))</f>
        <v>83.099457080278867</v>
      </c>
      <c r="F6616">
        <f>IF($D6616 &gt; 16, 0,$E6616*$J$5)</f>
        <v>903207.99900555098</v>
      </c>
      <c r="G6616">
        <f t="shared" si="103"/>
        <v>0.40000000000000036</v>
      </c>
    </row>
    <row r="6617" spans="2:7" x14ac:dyDescent="0.35">
      <c r="B6617" s="1">
        <v>45933</v>
      </c>
      <c r="C6617" s="2">
        <v>0.625</v>
      </c>
      <c r="D6617">
        <v>15.9</v>
      </c>
      <c r="E6617">
        <f>IF($D6617 &gt; 16, 0, $J$3*(16 - $D6617))</f>
        <v>20.774864270069624</v>
      </c>
      <c r="F6617">
        <f>IF($D6617 &gt; 16, 0,$E6617*$J$5)</f>
        <v>225801.99975138676</v>
      </c>
      <c r="G6617">
        <f t="shared" si="103"/>
        <v>9.9999999999999645E-2</v>
      </c>
    </row>
    <row r="6618" spans="2:7" x14ac:dyDescent="0.35">
      <c r="B6618" s="1">
        <v>45933</v>
      </c>
      <c r="C6618" s="2">
        <v>0.66666666666666663</v>
      </c>
      <c r="D6618">
        <v>15.2</v>
      </c>
      <c r="E6618">
        <f>IF($D6618 &gt; 16, 0, $J$3*(16 - $D6618))</f>
        <v>166.19891416055773</v>
      </c>
      <c r="F6618">
        <f>IF($D6618 &gt; 16, 0,$E6618*$J$5)</f>
        <v>1806415.998011102</v>
      </c>
      <c r="G6618">
        <f t="shared" si="103"/>
        <v>0.80000000000000071</v>
      </c>
    </row>
    <row r="6619" spans="2:7" x14ac:dyDescent="0.35">
      <c r="B6619" s="1">
        <v>45933</v>
      </c>
      <c r="C6619" s="2">
        <v>0.70833333333333337</v>
      </c>
      <c r="D6619">
        <v>14</v>
      </c>
      <c r="E6619">
        <f>IF($D6619 &gt; 16, 0, $J$3*(16 - $D6619))</f>
        <v>415.49728540139398</v>
      </c>
      <c r="F6619">
        <f>IF($D6619 &gt; 16, 0,$E6619*$J$5)</f>
        <v>4516039.9950277507</v>
      </c>
      <c r="G6619">
        <f t="shared" si="103"/>
        <v>2</v>
      </c>
    </row>
    <row r="6620" spans="2:7" x14ac:dyDescent="0.35">
      <c r="B6620" s="1">
        <v>45933</v>
      </c>
      <c r="C6620" s="2">
        <v>0.75</v>
      </c>
      <c r="D6620">
        <v>13.5</v>
      </c>
      <c r="E6620">
        <f>IF($D6620 &gt; 16, 0, $J$3*(16 - $D6620))</f>
        <v>519.37160675174243</v>
      </c>
      <c r="F6620">
        <f>IF($D6620 &gt; 16, 0,$E6620*$J$5)</f>
        <v>5645049.9937846884</v>
      </c>
      <c r="G6620">
        <f t="shared" si="103"/>
        <v>2.5</v>
      </c>
    </row>
    <row r="6621" spans="2:7" x14ac:dyDescent="0.35">
      <c r="B6621" s="1">
        <v>45933</v>
      </c>
      <c r="C6621" s="2">
        <v>0.79166666666666663</v>
      </c>
      <c r="D6621">
        <v>12.6</v>
      </c>
      <c r="E6621">
        <f>IF($D6621 &gt; 16, 0, $J$3*(16 - $D6621))</f>
        <v>706.3453851823698</v>
      </c>
      <c r="F6621">
        <f>IF($D6621 &gt; 16, 0,$E6621*$J$5)</f>
        <v>7677267.9915471775</v>
      </c>
      <c r="G6621">
        <f t="shared" si="103"/>
        <v>3.4000000000000004</v>
      </c>
    </row>
    <row r="6622" spans="2:7" x14ac:dyDescent="0.35">
      <c r="B6622" s="1">
        <v>45933</v>
      </c>
      <c r="C6622" s="2">
        <v>0.83333333333333337</v>
      </c>
      <c r="D6622">
        <v>12.1</v>
      </c>
      <c r="E6622">
        <f>IF($D6622 &gt; 16, 0, $J$3*(16 - $D6622))</f>
        <v>810.21970653271831</v>
      </c>
      <c r="F6622">
        <f>IF($D6622 &gt; 16, 0,$E6622*$J$5)</f>
        <v>8806277.9903041162</v>
      </c>
      <c r="G6622">
        <f t="shared" si="103"/>
        <v>3.9000000000000004</v>
      </c>
    </row>
    <row r="6623" spans="2:7" x14ac:dyDescent="0.35">
      <c r="B6623" s="1">
        <v>45933</v>
      </c>
      <c r="C6623" s="2">
        <v>0.875</v>
      </c>
      <c r="D6623">
        <v>12.2</v>
      </c>
      <c r="E6623">
        <f>IF($D6623 &gt; 16, 0, $J$3*(16 - $D6623))</f>
        <v>789.44484226264876</v>
      </c>
      <c r="F6623">
        <f>IF($D6623 &gt; 16, 0,$E6623*$J$5)</f>
        <v>8580475.990552729</v>
      </c>
      <c r="G6623">
        <f t="shared" si="103"/>
        <v>3.8000000000000007</v>
      </c>
    </row>
    <row r="6624" spans="2:7" x14ac:dyDescent="0.35">
      <c r="B6624" s="1">
        <v>45933</v>
      </c>
      <c r="C6624" s="2">
        <v>0.91666666666666663</v>
      </c>
      <c r="D6624">
        <v>11.9</v>
      </c>
      <c r="E6624">
        <f>IF($D6624 &gt; 16, 0, $J$3*(16 - $D6624))</f>
        <v>851.76943507285762</v>
      </c>
      <c r="F6624">
        <f>IF($D6624 &gt; 16, 0,$E6624*$J$5)</f>
        <v>9257881.9898068886</v>
      </c>
      <c r="G6624">
        <f t="shared" si="103"/>
        <v>4.0999999999999996</v>
      </c>
    </row>
    <row r="6625" spans="2:7" x14ac:dyDescent="0.35">
      <c r="B6625" s="1">
        <v>45933</v>
      </c>
      <c r="C6625" s="2">
        <v>0.95833333333333337</v>
      </c>
      <c r="D6625">
        <v>11.6</v>
      </c>
      <c r="E6625">
        <f>IF($D6625 &gt; 16, 0, $J$3*(16 - $D6625))</f>
        <v>914.09402788306681</v>
      </c>
      <c r="F6625">
        <f>IF($D6625 &gt; 16, 0,$E6625*$J$5)</f>
        <v>9935287.9890610538</v>
      </c>
      <c r="G6625">
        <f t="shared" si="103"/>
        <v>4.4000000000000004</v>
      </c>
    </row>
    <row r="6626" spans="2:7" x14ac:dyDescent="0.35">
      <c r="B6626" s="1">
        <v>45934</v>
      </c>
      <c r="C6626" s="2">
        <v>0</v>
      </c>
      <c r="D6626">
        <v>10.5</v>
      </c>
      <c r="E6626">
        <f>IF($D6626 &gt; 16, 0, $J$3*(16 - $D6626))</f>
        <v>1142.6175348538334</v>
      </c>
      <c r="F6626">
        <f>IF($D6626 &gt; 16, 0,$E6626*$J$5)</f>
        <v>12419109.986326315</v>
      </c>
      <c r="G6626">
        <f t="shared" si="103"/>
        <v>5.5</v>
      </c>
    </row>
    <row r="6627" spans="2:7" x14ac:dyDescent="0.35">
      <c r="B6627" s="1">
        <v>45934</v>
      </c>
      <c r="C6627" s="2">
        <v>4.1666666666666657E-2</v>
      </c>
      <c r="D6627">
        <v>9.1999999999999993</v>
      </c>
      <c r="E6627">
        <f>IF($D6627 &gt; 16, 0, $J$3*(16 - $D6627))</f>
        <v>1412.6907703647396</v>
      </c>
      <c r="F6627">
        <f>IF($D6627 &gt; 16, 0,$E6627*$J$5)</f>
        <v>15354535.983094355</v>
      </c>
      <c r="G6627">
        <f t="shared" si="103"/>
        <v>6.8000000000000007</v>
      </c>
    </row>
    <row r="6628" spans="2:7" x14ac:dyDescent="0.35">
      <c r="B6628" s="1">
        <v>45934</v>
      </c>
      <c r="C6628" s="2">
        <v>8.3333333333333329E-2</v>
      </c>
      <c r="D6628">
        <v>8.6</v>
      </c>
      <c r="E6628">
        <f>IF($D6628 &gt; 16, 0, $J$3*(16 - $D6628))</f>
        <v>1537.3399559851578</v>
      </c>
      <c r="F6628">
        <f>IF($D6628 &gt; 16, 0,$E6628*$J$5)</f>
        <v>16709347.98160268</v>
      </c>
      <c r="G6628">
        <f t="shared" si="103"/>
        <v>7.4</v>
      </c>
    </row>
    <row r="6629" spans="2:7" x14ac:dyDescent="0.35">
      <c r="B6629" s="1">
        <v>45934</v>
      </c>
      <c r="C6629" s="2">
        <v>0.125</v>
      </c>
      <c r="D6629">
        <v>8.6999999999999993</v>
      </c>
      <c r="E6629">
        <f>IF($D6629 &gt; 16, 0, $J$3*(16 - $D6629))</f>
        <v>1516.5650917150881</v>
      </c>
      <c r="F6629">
        <f>IF($D6629 &gt; 16, 0,$E6629*$J$5)</f>
        <v>16483545.981851293</v>
      </c>
      <c r="G6629">
        <f t="shared" si="103"/>
        <v>7.3000000000000007</v>
      </c>
    </row>
    <row r="6630" spans="2:7" x14ac:dyDescent="0.35">
      <c r="B6630" s="1">
        <v>45934</v>
      </c>
      <c r="C6630" s="2">
        <v>0.16666666666666671</v>
      </c>
      <c r="D6630">
        <v>8.5</v>
      </c>
      <c r="E6630">
        <f>IF($D6630 &gt; 16, 0, $J$3*(16 - $D6630))</f>
        <v>1558.1148202552274</v>
      </c>
      <c r="F6630">
        <f>IF($D6630 &gt; 16, 0,$E6630*$J$5)</f>
        <v>16935149.981354065</v>
      </c>
      <c r="G6630">
        <f t="shared" si="103"/>
        <v>7.5</v>
      </c>
    </row>
    <row r="6631" spans="2:7" x14ac:dyDescent="0.35">
      <c r="B6631" s="1">
        <v>45934</v>
      </c>
      <c r="C6631" s="2">
        <v>0.20833333333333329</v>
      </c>
      <c r="D6631">
        <v>8.6</v>
      </c>
      <c r="E6631">
        <f>IF($D6631 &gt; 16, 0, $J$3*(16 - $D6631))</f>
        <v>1537.3399559851578</v>
      </c>
      <c r="F6631">
        <f>IF($D6631 &gt; 16, 0,$E6631*$J$5)</f>
        <v>16709347.98160268</v>
      </c>
      <c r="G6631">
        <f t="shared" si="103"/>
        <v>7.4</v>
      </c>
    </row>
    <row r="6632" spans="2:7" x14ac:dyDescent="0.35">
      <c r="B6632" s="1">
        <v>45934</v>
      </c>
      <c r="C6632" s="2">
        <v>0.25</v>
      </c>
      <c r="D6632">
        <v>8.9</v>
      </c>
      <c r="E6632">
        <f>IF($D6632 &gt; 16, 0, $J$3*(16 - $D6632))</f>
        <v>1475.0153631749486</v>
      </c>
      <c r="F6632">
        <f>IF($D6632 &gt; 16, 0,$E6632*$J$5)</f>
        <v>16031941.982348517</v>
      </c>
      <c r="G6632">
        <f t="shared" si="103"/>
        <v>7.1</v>
      </c>
    </row>
    <row r="6633" spans="2:7" x14ac:dyDescent="0.35">
      <c r="B6633" s="1">
        <v>45934</v>
      </c>
      <c r="C6633" s="2">
        <v>0.29166666666666669</v>
      </c>
      <c r="D6633">
        <v>9.6</v>
      </c>
      <c r="E6633">
        <f>IF($D6633 &gt; 16, 0, $J$3*(16 - $D6633))</f>
        <v>1329.5913132844607</v>
      </c>
      <c r="F6633">
        <f>IF($D6633 &gt; 16, 0,$E6633*$J$5)</f>
        <v>14451327.984088805</v>
      </c>
      <c r="G6633">
        <f t="shared" si="103"/>
        <v>6.4</v>
      </c>
    </row>
    <row r="6634" spans="2:7" x14ac:dyDescent="0.35">
      <c r="B6634" s="1">
        <v>45934</v>
      </c>
      <c r="C6634" s="2">
        <v>0.33333333333333331</v>
      </c>
      <c r="D6634">
        <v>11.1</v>
      </c>
      <c r="E6634">
        <f>IF($D6634 &gt; 16, 0, $J$3*(16 - $D6634))</f>
        <v>1017.9683492334153</v>
      </c>
      <c r="F6634">
        <f>IF($D6634 &gt; 16, 0,$E6634*$J$5)</f>
        <v>11064297.987817992</v>
      </c>
      <c r="G6634">
        <f t="shared" si="103"/>
        <v>4.9000000000000004</v>
      </c>
    </row>
    <row r="6635" spans="2:7" x14ac:dyDescent="0.35">
      <c r="B6635" s="1">
        <v>45934</v>
      </c>
      <c r="C6635" s="2">
        <v>0.375</v>
      </c>
      <c r="D6635">
        <v>12.1</v>
      </c>
      <c r="E6635">
        <f>IF($D6635 &gt; 16, 0, $J$3*(16 - $D6635))</f>
        <v>810.21970653271831</v>
      </c>
      <c r="F6635">
        <f>IF($D6635 &gt; 16, 0,$E6635*$J$5)</f>
        <v>8806277.9903041162</v>
      </c>
      <c r="G6635">
        <f t="shared" si="103"/>
        <v>3.9000000000000004</v>
      </c>
    </row>
    <row r="6636" spans="2:7" x14ac:dyDescent="0.35">
      <c r="B6636" s="1">
        <v>45934</v>
      </c>
      <c r="C6636" s="2">
        <v>0.41666666666666669</v>
      </c>
      <c r="D6636">
        <v>12.2</v>
      </c>
      <c r="E6636">
        <f>IF($D6636 &gt; 16, 0, $J$3*(16 - $D6636))</f>
        <v>789.44484226264876</v>
      </c>
      <c r="F6636">
        <f>IF($D6636 &gt; 16, 0,$E6636*$J$5)</f>
        <v>8580475.990552729</v>
      </c>
      <c r="G6636">
        <f t="shared" si="103"/>
        <v>3.8000000000000007</v>
      </c>
    </row>
    <row r="6637" spans="2:7" x14ac:dyDescent="0.35">
      <c r="B6637" s="1">
        <v>45934</v>
      </c>
      <c r="C6637" s="2">
        <v>0.45833333333333331</v>
      </c>
      <c r="D6637">
        <v>12</v>
      </c>
      <c r="E6637">
        <f>IF($D6637 &gt; 16, 0, $J$3*(16 - $D6637))</f>
        <v>830.99457080278796</v>
      </c>
      <c r="F6637">
        <f>IF($D6637 &gt; 16, 0,$E6637*$J$5)</f>
        <v>9032079.9900555015</v>
      </c>
      <c r="G6637">
        <f t="shared" si="103"/>
        <v>4</v>
      </c>
    </row>
    <row r="6638" spans="2:7" x14ac:dyDescent="0.35">
      <c r="B6638" s="1">
        <v>45934</v>
      </c>
      <c r="C6638" s="2">
        <v>0.5</v>
      </c>
      <c r="D6638">
        <v>12.1</v>
      </c>
      <c r="E6638">
        <f>IF($D6638 &gt; 16, 0, $J$3*(16 - $D6638))</f>
        <v>810.21970653271831</v>
      </c>
      <c r="F6638">
        <f>IF($D6638 &gt; 16, 0,$E6638*$J$5)</f>
        <v>8806277.9903041162</v>
      </c>
      <c r="G6638">
        <f t="shared" si="103"/>
        <v>3.9000000000000004</v>
      </c>
    </row>
    <row r="6639" spans="2:7" x14ac:dyDescent="0.35">
      <c r="B6639" s="1">
        <v>45934</v>
      </c>
      <c r="C6639" s="2">
        <v>0.54166666666666663</v>
      </c>
      <c r="D6639">
        <v>12</v>
      </c>
      <c r="E6639">
        <f>IF($D6639 &gt; 16, 0, $J$3*(16 - $D6639))</f>
        <v>830.99457080278796</v>
      </c>
      <c r="F6639">
        <f>IF($D6639 &gt; 16, 0,$E6639*$J$5)</f>
        <v>9032079.9900555015</v>
      </c>
      <c r="G6639">
        <f t="shared" si="103"/>
        <v>4</v>
      </c>
    </row>
    <row r="6640" spans="2:7" x14ac:dyDescent="0.35">
      <c r="B6640" s="1">
        <v>45934</v>
      </c>
      <c r="C6640" s="2">
        <v>0.58333333333333337</v>
      </c>
      <c r="D6640">
        <v>11</v>
      </c>
      <c r="E6640">
        <f>IF($D6640 &gt; 16, 0, $J$3*(16 - $D6640))</f>
        <v>1038.7432135034849</v>
      </c>
      <c r="F6640">
        <f>IF($D6640 &gt; 16, 0,$E6640*$J$5)</f>
        <v>11290099.987569377</v>
      </c>
      <c r="G6640">
        <f t="shared" si="103"/>
        <v>5</v>
      </c>
    </row>
    <row r="6641" spans="2:7" x14ac:dyDescent="0.35">
      <c r="B6641" s="1">
        <v>45934</v>
      </c>
      <c r="C6641" s="2">
        <v>0.625</v>
      </c>
      <c r="D6641">
        <v>11.7</v>
      </c>
      <c r="E6641">
        <f>IF($D6641 &gt; 16, 0, $J$3*(16 - $D6641))</f>
        <v>893.31916361299716</v>
      </c>
      <c r="F6641">
        <f>IF($D6641 &gt; 16, 0,$E6641*$J$5)</f>
        <v>9709485.9893096667</v>
      </c>
      <c r="G6641">
        <f t="shared" si="103"/>
        <v>4.3000000000000007</v>
      </c>
    </row>
    <row r="6642" spans="2:7" x14ac:dyDescent="0.35">
      <c r="B6642" s="1">
        <v>45934</v>
      </c>
      <c r="C6642" s="2">
        <v>0.66666666666666663</v>
      </c>
      <c r="D6642">
        <v>9.1999999999999993</v>
      </c>
      <c r="E6642">
        <f>IF($D6642 &gt; 16, 0, $J$3*(16 - $D6642))</f>
        <v>1412.6907703647396</v>
      </c>
      <c r="F6642">
        <f>IF($D6642 &gt; 16, 0,$E6642*$J$5)</f>
        <v>15354535.983094355</v>
      </c>
      <c r="G6642">
        <f t="shared" si="103"/>
        <v>6.8000000000000007</v>
      </c>
    </row>
    <row r="6643" spans="2:7" x14ac:dyDescent="0.35">
      <c r="B6643" s="1">
        <v>45934</v>
      </c>
      <c r="C6643" s="2">
        <v>0.70833333333333337</v>
      </c>
      <c r="D6643">
        <v>9.5</v>
      </c>
      <c r="E6643">
        <f>IF($D6643 &gt; 16, 0, $J$3*(16 - $D6643))</f>
        <v>1350.3661775545304</v>
      </c>
      <c r="F6643">
        <f>IF($D6643 &gt; 16, 0,$E6643*$J$5)</f>
        <v>14677129.983840192</v>
      </c>
      <c r="G6643">
        <f t="shared" si="103"/>
        <v>6.5</v>
      </c>
    </row>
    <row r="6644" spans="2:7" x14ac:dyDescent="0.35">
      <c r="B6644" s="1">
        <v>45934</v>
      </c>
      <c r="C6644" s="2">
        <v>0.75</v>
      </c>
      <c r="D6644">
        <v>9.3000000000000007</v>
      </c>
      <c r="E6644">
        <f>IF($D6644 &gt; 16, 0, $J$3*(16 - $D6644))</f>
        <v>1391.9159060946697</v>
      </c>
      <c r="F6644">
        <f>IF($D6644 &gt; 16, 0,$E6644*$J$5)</f>
        <v>15128733.983342964</v>
      </c>
      <c r="G6644">
        <f t="shared" si="103"/>
        <v>6.6999999999999993</v>
      </c>
    </row>
    <row r="6645" spans="2:7" x14ac:dyDescent="0.35">
      <c r="B6645" s="1">
        <v>45934</v>
      </c>
      <c r="C6645" s="2">
        <v>0.79166666666666663</v>
      </c>
      <c r="D6645">
        <v>9.4</v>
      </c>
      <c r="E6645">
        <f>IF($D6645 &gt; 16, 0, $J$3*(16 - $D6645))</f>
        <v>1371.1410418246001</v>
      </c>
      <c r="F6645">
        <f>IF($D6645 &gt; 16, 0,$E6645*$J$5)</f>
        <v>14902931.983591577</v>
      </c>
      <c r="G6645">
        <f t="shared" si="103"/>
        <v>6.6</v>
      </c>
    </row>
    <row r="6646" spans="2:7" x14ac:dyDescent="0.35">
      <c r="B6646" s="1">
        <v>45934</v>
      </c>
      <c r="C6646" s="2">
        <v>0.83333333333333337</v>
      </c>
      <c r="D6646">
        <v>9.4</v>
      </c>
      <c r="E6646">
        <f>IF($D6646 &gt; 16, 0, $J$3*(16 - $D6646))</f>
        <v>1371.1410418246001</v>
      </c>
      <c r="F6646">
        <f>IF($D6646 &gt; 16, 0,$E6646*$J$5)</f>
        <v>14902931.983591577</v>
      </c>
      <c r="G6646">
        <f t="shared" si="103"/>
        <v>6.6</v>
      </c>
    </row>
    <row r="6647" spans="2:7" x14ac:dyDescent="0.35">
      <c r="B6647" s="1">
        <v>45934</v>
      </c>
      <c r="C6647" s="2">
        <v>0.875</v>
      </c>
      <c r="D6647">
        <v>9.1999999999999993</v>
      </c>
      <c r="E6647">
        <f>IF($D6647 &gt; 16, 0, $J$3*(16 - $D6647))</f>
        <v>1412.6907703647396</v>
      </c>
      <c r="F6647">
        <f>IF($D6647 &gt; 16, 0,$E6647*$J$5)</f>
        <v>15354535.983094355</v>
      </c>
      <c r="G6647">
        <f t="shared" si="103"/>
        <v>6.8000000000000007</v>
      </c>
    </row>
    <row r="6648" spans="2:7" x14ac:dyDescent="0.35">
      <c r="B6648" s="1">
        <v>45934</v>
      </c>
      <c r="C6648" s="2">
        <v>0.91666666666666663</v>
      </c>
      <c r="D6648">
        <v>9.8000000000000007</v>
      </c>
      <c r="E6648">
        <f>IF($D6648 &gt; 16, 0, $J$3*(16 - $D6648))</f>
        <v>1288.0415847443212</v>
      </c>
      <c r="F6648">
        <f>IF($D6648 &gt; 16, 0,$E6648*$J$5)</f>
        <v>13999723.984586027</v>
      </c>
      <c r="G6648">
        <f t="shared" si="103"/>
        <v>6.1999999999999993</v>
      </c>
    </row>
    <row r="6649" spans="2:7" x14ac:dyDescent="0.35">
      <c r="B6649" s="1">
        <v>45934</v>
      </c>
      <c r="C6649" s="2">
        <v>0.95833333333333337</v>
      </c>
      <c r="D6649">
        <v>10</v>
      </c>
      <c r="E6649">
        <f>IF($D6649 &gt; 16, 0, $J$3*(16 - $D6649))</f>
        <v>1246.4918562041819</v>
      </c>
      <c r="F6649">
        <f>IF($D6649 &gt; 16, 0,$E6649*$J$5)</f>
        <v>13548119.985083252</v>
      </c>
      <c r="G6649">
        <f t="shared" si="103"/>
        <v>6</v>
      </c>
    </row>
    <row r="6650" spans="2:7" x14ac:dyDescent="0.35">
      <c r="B6650" s="1">
        <v>45935</v>
      </c>
      <c r="C6650" s="2">
        <v>0</v>
      </c>
      <c r="D6650">
        <v>10.199999999999999</v>
      </c>
      <c r="E6650">
        <f>IF($D6650 &gt; 16, 0, $J$3*(16 - $D6650))</f>
        <v>1204.9421276640428</v>
      </c>
      <c r="F6650">
        <f>IF($D6650 &gt; 16, 0,$E6650*$J$5)</f>
        <v>13096515.985580482</v>
      </c>
      <c r="G6650">
        <f t="shared" si="103"/>
        <v>5.8000000000000007</v>
      </c>
    </row>
    <row r="6651" spans="2:7" x14ac:dyDescent="0.35">
      <c r="B6651" s="1">
        <v>45935</v>
      </c>
      <c r="C6651" s="2">
        <v>4.1666666666666657E-2</v>
      </c>
      <c r="D6651">
        <v>10.3</v>
      </c>
      <c r="E6651">
        <f>IF($D6651 &gt; 16, 0, $J$3*(16 - $D6651))</f>
        <v>1184.1672633939727</v>
      </c>
      <c r="F6651">
        <f>IF($D6651 &gt; 16, 0,$E6651*$J$5)</f>
        <v>12870713.985829089</v>
      </c>
      <c r="G6651">
        <f t="shared" si="103"/>
        <v>5.6999999999999993</v>
      </c>
    </row>
    <row r="6652" spans="2:7" x14ac:dyDescent="0.35">
      <c r="B6652" s="1">
        <v>45935</v>
      </c>
      <c r="C6652" s="2">
        <v>8.3333333333333329E-2</v>
      </c>
      <c r="D6652">
        <v>10.5</v>
      </c>
      <c r="E6652">
        <f>IF($D6652 &gt; 16, 0, $J$3*(16 - $D6652))</f>
        <v>1142.6175348538334</v>
      </c>
      <c r="F6652">
        <f>IF($D6652 &gt; 16, 0,$E6652*$J$5)</f>
        <v>12419109.986326315</v>
      </c>
      <c r="G6652">
        <f t="shared" si="103"/>
        <v>5.5</v>
      </c>
    </row>
    <row r="6653" spans="2:7" x14ac:dyDescent="0.35">
      <c r="B6653" s="1">
        <v>45935</v>
      </c>
      <c r="C6653" s="2">
        <v>0.125</v>
      </c>
      <c r="D6653">
        <v>10.6</v>
      </c>
      <c r="E6653">
        <f>IF($D6653 &gt; 16, 0, $J$3*(16 - $D6653))</f>
        <v>1121.8426705837637</v>
      </c>
      <c r="F6653">
        <f>IF($D6653 &gt; 16, 0,$E6653*$J$5)</f>
        <v>12193307.986574927</v>
      </c>
      <c r="G6653">
        <f t="shared" si="103"/>
        <v>5.4</v>
      </c>
    </row>
    <row r="6654" spans="2:7" x14ac:dyDescent="0.35">
      <c r="B6654" s="1">
        <v>45935</v>
      </c>
      <c r="C6654" s="2">
        <v>0.16666666666666671</v>
      </c>
      <c r="D6654">
        <v>10.6</v>
      </c>
      <c r="E6654">
        <f>IF($D6654 &gt; 16, 0, $J$3*(16 - $D6654))</f>
        <v>1121.8426705837637</v>
      </c>
      <c r="F6654">
        <f>IF($D6654 &gt; 16, 0,$E6654*$J$5)</f>
        <v>12193307.986574927</v>
      </c>
      <c r="G6654">
        <f t="shared" si="103"/>
        <v>5.4</v>
      </c>
    </row>
    <row r="6655" spans="2:7" x14ac:dyDescent="0.35">
      <c r="B6655" s="1">
        <v>45935</v>
      </c>
      <c r="C6655" s="2">
        <v>0.20833333333333329</v>
      </c>
      <c r="D6655">
        <v>10.8</v>
      </c>
      <c r="E6655">
        <f>IF($D6655 &gt; 16, 0, $J$3*(16 - $D6655))</f>
        <v>1080.2929420436242</v>
      </c>
      <c r="F6655">
        <f>IF($D6655 &gt; 16, 0,$E6655*$J$5)</f>
        <v>11741703.987072151</v>
      </c>
      <c r="G6655">
        <f t="shared" si="103"/>
        <v>5.1999999999999993</v>
      </c>
    </row>
    <row r="6656" spans="2:7" x14ac:dyDescent="0.35">
      <c r="B6656" s="1">
        <v>45935</v>
      </c>
      <c r="C6656" s="2">
        <v>0.25</v>
      </c>
      <c r="D6656">
        <v>10.3</v>
      </c>
      <c r="E6656">
        <f>IF($D6656 &gt; 16, 0, $J$3*(16 - $D6656))</f>
        <v>1184.1672633939727</v>
      </c>
      <c r="F6656">
        <f>IF($D6656 &gt; 16, 0,$E6656*$J$5)</f>
        <v>12870713.985829089</v>
      </c>
      <c r="G6656">
        <f t="shared" si="103"/>
        <v>5.6999999999999993</v>
      </c>
    </row>
    <row r="6657" spans="2:7" x14ac:dyDescent="0.35">
      <c r="B6657" s="1">
        <v>45935</v>
      </c>
      <c r="C6657" s="2">
        <v>0.29166666666666669</v>
      </c>
      <c r="D6657">
        <v>11.1</v>
      </c>
      <c r="E6657">
        <f>IF($D6657 &gt; 16, 0, $J$3*(16 - $D6657))</f>
        <v>1017.9683492334153</v>
      </c>
      <c r="F6657">
        <f>IF($D6657 &gt; 16, 0,$E6657*$J$5)</f>
        <v>11064297.987817992</v>
      </c>
      <c r="G6657">
        <f t="shared" si="103"/>
        <v>4.9000000000000004</v>
      </c>
    </row>
    <row r="6658" spans="2:7" x14ac:dyDescent="0.35">
      <c r="B6658" s="1">
        <v>45935</v>
      </c>
      <c r="C6658" s="2">
        <v>0.33333333333333331</v>
      </c>
      <c r="D6658">
        <v>11.4</v>
      </c>
      <c r="E6658">
        <f>IF($D6658 &gt; 16, 0, $J$3*(16 - $D6658))</f>
        <v>955.64375642320613</v>
      </c>
      <c r="F6658">
        <f>IF($D6658 &gt; 16, 0,$E6658*$J$5)</f>
        <v>10386891.988563828</v>
      </c>
      <c r="G6658">
        <f t="shared" si="103"/>
        <v>4.5999999999999996</v>
      </c>
    </row>
    <row r="6659" spans="2:7" x14ac:dyDescent="0.35">
      <c r="B6659" s="1">
        <v>45935</v>
      </c>
      <c r="C6659" s="2">
        <v>0.375</v>
      </c>
      <c r="D6659">
        <v>11.7</v>
      </c>
      <c r="E6659">
        <f>IF($D6659 &gt; 16, 0, $J$3*(16 - $D6659))</f>
        <v>893.31916361299716</v>
      </c>
      <c r="F6659">
        <f>IF($D6659 &gt; 16, 0,$E6659*$J$5)</f>
        <v>9709485.9893096667</v>
      </c>
      <c r="G6659">
        <f t="shared" ref="G6659:G6722" si="104">MAX(0, 16 - $D6659)</f>
        <v>4.3000000000000007</v>
      </c>
    </row>
    <row r="6660" spans="2:7" x14ac:dyDescent="0.35">
      <c r="B6660" s="1">
        <v>45935</v>
      </c>
      <c r="C6660" s="2">
        <v>0.41666666666666669</v>
      </c>
      <c r="D6660">
        <v>11.7</v>
      </c>
      <c r="E6660">
        <f>IF($D6660 &gt; 16, 0, $J$3*(16 - $D6660))</f>
        <v>893.31916361299716</v>
      </c>
      <c r="F6660">
        <f>IF($D6660 &gt; 16, 0,$E6660*$J$5)</f>
        <v>9709485.9893096667</v>
      </c>
      <c r="G6660">
        <f t="shared" si="104"/>
        <v>4.3000000000000007</v>
      </c>
    </row>
    <row r="6661" spans="2:7" x14ac:dyDescent="0.35">
      <c r="B6661" s="1">
        <v>45935</v>
      </c>
      <c r="C6661" s="2">
        <v>0.45833333333333331</v>
      </c>
      <c r="D6661">
        <v>12.7</v>
      </c>
      <c r="E6661">
        <f>IF($D6661 &gt; 16, 0, $J$3*(16 - $D6661))</f>
        <v>685.57052091230025</v>
      </c>
      <c r="F6661">
        <f>IF($D6661 &gt; 16, 0,$E6661*$J$5)</f>
        <v>7451465.9917957913</v>
      </c>
      <c r="G6661">
        <f t="shared" si="104"/>
        <v>3.3000000000000007</v>
      </c>
    </row>
    <row r="6662" spans="2:7" x14ac:dyDescent="0.35">
      <c r="B6662" s="1">
        <v>45935</v>
      </c>
      <c r="C6662" s="2">
        <v>0.5</v>
      </c>
      <c r="D6662">
        <v>12.5</v>
      </c>
      <c r="E6662">
        <f>IF($D6662 &gt; 16, 0, $J$3*(16 - $D6662))</f>
        <v>727.12024945243945</v>
      </c>
      <c r="F6662">
        <f>IF($D6662 &gt; 16, 0,$E6662*$J$5)</f>
        <v>7903069.9912985647</v>
      </c>
      <c r="G6662">
        <f t="shared" si="104"/>
        <v>3.5</v>
      </c>
    </row>
    <row r="6663" spans="2:7" x14ac:dyDescent="0.35">
      <c r="B6663" s="1">
        <v>45935</v>
      </c>
      <c r="C6663" s="2">
        <v>0.54166666666666663</v>
      </c>
      <c r="D6663">
        <v>12</v>
      </c>
      <c r="E6663">
        <f>IF($D6663 &gt; 16, 0, $J$3*(16 - $D6663))</f>
        <v>830.99457080278796</v>
      </c>
      <c r="F6663">
        <f>IF($D6663 &gt; 16, 0,$E6663*$J$5)</f>
        <v>9032079.9900555015</v>
      </c>
      <c r="G6663">
        <f t="shared" si="104"/>
        <v>4</v>
      </c>
    </row>
    <row r="6664" spans="2:7" x14ac:dyDescent="0.35">
      <c r="B6664" s="1">
        <v>45935</v>
      </c>
      <c r="C6664" s="2">
        <v>0.58333333333333337</v>
      </c>
      <c r="D6664">
        <v>12.5</v>
      </c>
      <c r="E6664">
        <f>IF($D6664 &gt; 16, 0, $J$3*(16 - $D6664))</f>
        <v>727.12024945243945</v>
      </c>
      <c r="F6664">
        <f>IF($D6664 &gt; 16, 0,$E6664*$J$5)</f>
        <v>7903069.9912985647</v>
      </c>
      <c r="G6664">
        <f t="shared" si="104"/>
        <v>3.5</v>
      </c>
    </row>
    <row r="6665" spans="2:7" x14ac:dyDescent="0.35">
      <c r="B6665" s="1">
        <v>45935</v>
      </c>
      <c r="C6665" s="2">
        <v>0.625</v>
      </c>
      <c r="D6665">
        <v>11.9</v>
      </c>
      <c r="E6665">
        <f>IF($D6665 &gt; 16, 0, $J$3*(16 - $D6665))</f>
        <v>851.76943507285762</v>
      </c>
      <c r="F6665">
        <f>IF($D6665 &gt; 16, 0,$E6665*$J$5)</f>
        <v>9257881.9898068886</v>
      </c>
      <c r="G6665">
        <f t="shared" si="104"/>
        <v>4.0999999999999996</v>
      </c>
    </row>
    <row r="6666" spans="2:7" x14ac:dyDescent="0.35">
      <c r="B6666" s="1">
        <v>45935</v>
      </c>
      <c r="C6666" s="2">
        <v>0.66666666666666663</v>
      </c>
      <c r="D6666">
        <v>11.4</v>
      </c>
      <c r="E6666">
        <f>IF($D6666 &gt; 16, 0, $J$3*(16 - $D6666))</f>
        <v>955.64375642320613</v>
      </c>
      <c r="F6666">
        <f>IF($D6666 &gt; 16, 0,$E6666*$J$5)</f>
        <v>10386891.988563828</v>
      </c>
      <c r="G6666">
        <f t="shared" si="104"/>
        <v>4.5999999999999996</v>
      </c>
    </row>
    <row r="6667" spans="2:7" x14ac:dyDescent="0.35">
      <c r="B6667" s="1">
        <v>45935</v>
      </c>
      <c r="C6667" s="2">
        <v>0.70833333333333337</v>
      </c>
      <c r="D6667">
        <v>11.2</v>
      </c>
      <c r="E6667">
        <f>IF($D6667 &gt; 16, 0, $J$3*(16 - $D6667))</f>
        <v>997.19348496334567</v>
      </c>
      <c r="F6667">
        <f>IF($D6667 &gt; 16, 0,$E6667*$J$5)</f>
        <v>10838495.988066604</v>
      </c>
      <c r="G6667">
        <f t="shared" si="104"/>
        <v>4.8000000000000007</v>
      </c>
    </row>
    <row r="6668" spans="2:7" x14ac:dyDescent="0.35">
      <c r="B6668" s="1">
        <v>45935</v>
      </c>
      <c r="C6668" s="2">
        <v>0.75</v>
      </c>
      <c r="D6668">
        <v>11.1</v>
      </c>
      <c r="E6668">
        <f>IF($D6668 &gt; 16, 0, $J$3*(16 - $D6668))</f>
        <v>1017.9683492334153</v>
      </c>
      <c r="F6668">
        <f>IF($D6668 &gt; 16, 0,$E6668*$J$5)</f>
        <v>11064297.987817992</v>
      </c>
      <c r="G6668">
        <f t="shared" si="104"/>
        <v>4.9000000000000004</v>
      </c>
    </row>
    <row r="6669" spans="2:7" x14ac:dyDescent="0.35">
      <c r="B6669" s="1">
        <v>45935</v>
      </c>
      <c r="C6669" s="2">
        <v>0.79166666666666663</v>
      </c>
      <c r="D6669">
        <v>11.1</v>
      </c>
      <c r="E6669">
        <f>IF($D6669 &gt; 16, 0, $J$3*(16 - $D6669))</f>
        <v>1017.9683492334153</v>
      </c>
      <c r="F6669">
        <f>IF($D6669 &gt; 16, 0,$E6669*$J$5)</f>
        <v>11064297.987817992</v>
      </c>
      <c r="G6669">
        <f t="shared" si="104"/>
        <v>4.9000000000000004</v>
      </c>
    </row>
    <row r="6670" spans="2:7" x14ac:dyDescent="0.35">
      <c r="B6670" s="1">
        <v>45935</v>
      </c>
      <c r="C6670" s="2">
        <v>0.83333333333333337</v>
      </c>
      <c r="D6670">
        <v>10.9</v>
      </c>
      <c r="E6670">
        <f>IF($D6670 &gt; 16, 0, $J$3*(16 - $D6670))</f>
        <v>1059.5180777735545</v>
      </c>
      <c r="F6670">
        <f>IF($D6670 &gt; 16, 0,$E6670*$J$5)</f>
        <v>11515901.987320764</v>
      </c>
      <c r="G6670">
        <f t="shared" si="104"/>
        <v>5.0999999999999996</v>
      </c>
    </row>
    <row r="6671" spans="2:7" x14ac:dyDescent="0.35">
      <c r="B6671" s="1">
        <v>45935</v>
      </c>
      <c r="C6671" s="2">
        <v>0.875</v>
      </c>
      <c r="D6671">
        <v>11.2</v>
      </c>
      <c r="E6671">
        <f>IF($D6671 &gt; 16, 0, $J$3*(16 - $D6671))</f>
        <v>997.19348496334567</v>
      </c>
      <c r="F6671">
        <f>IF($D6671 &gt; 16, 0,$E6671*$J$5)</f>
        <v>10838495.988066604</v>
      </c>
      <c r="G6671">
        <f t="shared" si="104"/>
        <v>4.8000000000000007</v>
      </c>
    </row>
    <row r="6672" spans="2:7" x14ac:dyDescent="0.35">
      <c r="B6672" s="1">
        <v>45935</v>
      </c>
      <c r="C6672" s="2">
        <v>0.91666666666666663</v>
      </c>
      <c r="D6672">
        <v>11.4</v>
      </c>
      <c r="E6672">
        <f>IF($D6672 &gt; 16, 0, $J$3*(16 - $D6672))</f>
        <v>955.64375642320613</v>
      </c>
      <c r="F6672">
        <f>IF($D6672 &gt; 16, 0,$E6672*$J$5)</f>
        <v>10386891.988563828</v>
      </c>
      <c r="G6672">
        <f t="shared" si="104"/>
        <v>4.5999999999999996</v>
      </c>
    </row>
    <row r="6673" spans="2:7" x14ac:dyDescent="0.35">
      <c r="B6673" s="1">
        <v>45935</v>
      </c>
      <c r="C6673" s="2">
        <v>0.95833333333333337</v>
      </c>
      <c r="D6673">
        <v>11.4</v>
      </c>
      <c r="E6673">
        <f>IF($D6673 &gt; 16, 0, $J$3*(16 - $D6673))</f>
        <v>955.64375642320613</v>
      </c>
      <c r="F6673">
        <f>IF($D6673 &gt; 16, 0,$E6673*$J$5)</f>
        <v>10386891.988563828</v>
      </c>
      <c r="G6673">
        <f t="shared" si="104"/>
        <v>4.5999999999999996</v>
      </c>
    </row>
    <row r="6674" spans="2:7" x14ac:dyDescent="0.35">
      <c r="B6674" s="1">
        <v>45936</v>
      </c>
      <c r="C6674" s="2">
        <v>0</v>
      </c>
      <c r="D6674">
        <v>11.8</v>
      </c>
      <c r="E6674">
        <f>IF($D6674 &gt; 16, 0, $J$3*(16 - $D6674))</f>
        <v>872.54429934292716</v>
      </c>
      <c r="F6674">
        <f>IF($D6674 &gt; 16, 0,$E6674*$J$5)</f>
        <v>9483683.9895582758</v>
      </c>
      <c r="G6674">
        <f t="shared" si="104"/>
        <v>4.1999999999999993</v>
      </c>
    </row>
    <row r="6675" spans="2:7" x14ac:dyDescent="0.35">
      <c r="B6675" s="1">
        <v>45936</v>
      </c>
      <c r="C6675" s="2">
        <v>4.1666666666666657E-2</v>
      </c>
      <c r="D6675">
        <v>12</v>
      </c>
      <c r="E6675">
        <f>IF($D6675 &gt; 16, 0, $J$3*(16 - $D6675))</f>
        <v>830.99457080278796</v>
      </c>
      <c r="F6675">
        <f>IF($D6675 &gt; 16, 0,$E6675*$J$5)</f>
        <v>9032079.9900555015</v>
      </c>
      <c r="G6675">
        <f t="shared" si="104"/>
        <v>4</v>
      </c>
    </row>
    <row r="6676" spans="2:7" x14ac:dyDescent="0.35">
      <c r="B6676" s="1">
        <v>45936</v>
      </c>
      <c r="C6676" s="2">
        <v>8.3333333333333329E-2</v>
      </c>
      <c r="D6676">
        <v>11.8</v>
      </c>
      <c r="E6676">
        <f>IF($D6676 &gt; 16, 0, $J$3*(16 - $D6676))</f>
        <v>872.54429934292716</v>
      </c>
      <c r="F6676">
        <f>IF($D6676 &gt; 16, 0,$E6676*$J$5)</f>
        <v>9483683.9895582758</v>
      </c>
      <c r="G6676">
        <f t="shared" si="104"/>
        <v>4.1999999999999993</v>
      </c>
    </row>
    <row r="6677" spans="2:7" x14ac:dyDescent="0.35">
      <c r="B6677" s="1">
        <v>45936</v>
      </c>
      <c r="C6677" s="2">
        <v>0.125</v>
      </c>
      <c r="D6677">
        <v>10.9</v>
      </c>
      <c r="E6677">
        <f>IF($D6677 &gt; 16, 0, $J$3*(16 - $D6677))</f>
        <v>1059.5180777735545</v>
      </c>
      <c r="F6677">
        <f>IF($D6677 &gt; 16, 0,$E6677*$J$5)</f>
        <v>11515901.987320764</v>
      </c>
      <c r="G6677">
        <f t="shared" si="104"/>
        <v>5.0999999999999996</v>
      </c>
    </row>
    <row r="6678" spans="2:7" x14ac:dyDescent="0.35">
      <c r="B6678" s="1">
        <v>45936</v>
      </c>
      <c r="C6678" s="2">
        <v>0.16666666666666671</v>
      </c>
      <c r="D6678">
        <v>11.5</v>
      </c>
      <c r="E6678">
        <f>IF($D6678 &gt; 16, 0, $J$3*(16 - $D6678))</f>
        <v>934.86889215313647</v>
      </c>
      <c r="F6678">
        <f>IF($D6678 &gt; 16, 0,$E6678*$J$5)</f>
        <v>10161089.988812441</v>
      </c>
      <c r="G6678">
        <f t="shared" si="104"/>
        <v>4.5</v>
      </c>
    </row>
    <row r="6679" spans="2:7" x14ac:dyDescent="0.35">
      <c r="B6679" s="1">
        <v>45936</v>
      </c>
      <c r="C6679" s="2">
        <v>0.20833333333333329</v>
      </c>
      <c r="D6679">
        <v>11.4</v>
      </c>
      <c r="E6679">
        <f>IF($D6679 &gt; 16, 0, $J$3*(16 - $D6679))</f>
        <v>955.64375642320613</v>
      </c>
      <c r="F6679">
        <f>IF($D6679 &gt; 16, 0,$E6679*$J$5)</f>
        <v>10386891.988563828</v>
      </c>
      <c r="G6679">
        <f t="shared" si="104"/>
        <v>4.5999999999999996</v>
      </c>
    </row>
    <row r="6680" spans="2:7" x14ac:dyDescent="0.35">
      <c r="B6680" s="1">
        <v>45936</v>
      </c>
      <c r="C6680" s="2">
        <v>0.25</v>
      </c>
      <c r="D6680">
        <v>10.4</v>
      </c>
      <c r="E6680">
        <f>IF($D6680 &gt; 16, 0, $J$3*(16 - $D6680))</f>
        <v>1163.392399123903</v>
      </c>
      <c r="F6680">
        <f>IF($D6680 &gt; 16, 0,$E6680*$J$5)</f>
        <v>12644911.986077702</v>
      </c>
      <c r="G6680">
        <f t="shared" si="104"/>
        <v>5.6</v>
      </c>
    </row>
    <row r="6681" spans="2:7" x14ac:dyDescent="0.35">
      <c r="B6681" s="1">
        <v>45936</v>
      </c>
      <c r="C6681" s="2">
        <v>0.29166666666666669</v>
      </c>
      <c r="D6681">
        <v>10.6</v>
      </c>
      <c r="E6681">
        <f>IF($D6681 &gt; 16, 0, $J$3*(16 - $D6681))</f>
        <v>1121.8426705837637</v>
      </c>
      <c r="F6681">
        <f>IF($D6681 &gt; 16, 0,$E6681*$J$5)</f>
        <v>12193307.986574927</v>
      </c>
      <c r="G6681">
        <f t="shared" si="104"/>
        <v>5.4</v>
      </c>
    </row>
    <row r="6682" spans="2:7" x14ac:dyDescent="0.35">
      <c r="B6682" s="1">
        <v>45936</v>
      </c>
      <c r="C6682" s="2">
        <v>0.33333333333333331</v>
      </c>
      <c r="D6682">
        <v>12.4</v>
      </c>
      <c r="E6682">
        <f>IF($D6682 &gt; 16, 0, $J$3*(16 - $D6682))</f>
        <v>747.89511372250911</v>
      </c>
      <c r="F6682">
        <f>IF($D6682 &gt; 16, 0,$E6682*$J$5)</f>
        <v>8128871.9910499519</v>
      </c>
      <c r="G6682">
        <f t="shared" si="104"/>
        <v>3.5999999999999996</v>
      </c>
    </row>
    <row r="6683" spans="2:7" x14ac:dyDescent="0.35">
      <c r="B6683" s="1">
        <v>45936</v>
      </c>
      <c r="C6683" s="2">
        <v>0.375</v>
      </c>
      <c r="D6683">
        <v>13.7</v>
      </c>
      <c r="E6683">
        <f>IF($D6683 &gt; 16, 0, $J$3*(16 - $D6683))</f>
        <v>477.82187821160323</v>
      </c>
      <c r="F6683">
        <f>IF($D6683 &gt; 16, 0,$E6683*$J$5)</f>
        <v>5193445.9942819159</v>
      </c>
      <c r="G6683">
        <f t="shared" si="104"/>
        <v>2.3000000000000007</v>
      </c>
    </row>
    <row r="6684" spans="2:7" x14ac:dyDescent="0.35">
      <c r="B6684" s="1">
        <v>45936</v>
      </c>
      <c r="C6684" s="2">
        <v>0.41666666666666669</v>
      </c>
      <c r="D6684">
        <v>14.8</v>
      </c>
      <c r="E6684">
        <f>IF($D6684 &gt; 16, 0, $J$3*(16 - $D6684))</f>
        <v>249.29837124083625</v>
      </c>
      <c r="F6684">
        <f>IF($D6684 &gt; 16, 0,$E6684*$J$5)</f>
        <v>2709623.9970166492</v>
      </c>
      <c r="G6684">
        <f t="shared" si="104"/>
        <v>1.1999999999999993</v>
      </c>
    </row>
    <row r="6685" spans="2:7" x14ac:dyDescent="0.35">
      <c r="B6685" s="1">
        <v>45936</v>
      </c>
      <c r="C6685" s="2">
        <v>0.45833333333333331</v>
      </c>
      <c r="D6685">
        <v>14.9</v>
      </c>
      <c r="E6685">
        <f>IF($D6685 &gt; 16, 0, $J$3*(16 - $D6685))</f>
        <v>228.52350697076662</v>
      </c>
      <c r="F6685">
        <f>IF($D6685 &gt; 16, 0,$E6685*$J$5)</f>
        <v>2483821.9972652625</v>
      </c>
      <c r="G6685">
        <f t="shared" si="104"/>
        <v>1.0999999999999996</v>
      </c>
    </row>
    <row r="6686" spans="2:7" x14ac:dyDescent="0.35">
      <c r="B6686" s="1">
        <v>45936</v>
      </c>
      <c r="C6686" s="2">
        <v>0.5</v>
      </c>
      <c r="D6686">
        <v>15.4</v>
      </c>
      <c r="E6686">
        <f>IF($D6686 &gt; 16, 0, $J$3*(16 - $D6686))</f>
        <v>124.64918562041812</v>
      </c>
      <c r="F6686">
        <f>IF($D6686 &gt; 16, 0,$E6686*$J$5)</f>
        <v>1354811.9985083246</v>
      </c>
      <c r="G6686">
        <f t="shared" si="104"/>
        <v>0.59999999999999964</v>
      </c>
    </row>
    <row r="6687" spans="2:7" x14ac:dyDescent="0.35">
      <c r="B6687" s="1">
        <v>45936</v>
      </c>
      <c r="C6687" s="2">
        <v>0.54166666666666663</v>
      </c>
      <c r="D6687">
        <v>14.6</v>
      </c>
      <c r="E6687">
        <f>IF($D6687 &gt; 16, 0, $J$3*(16 - $D6687))</f>
        <v>290.84809978097587</v>
      </c>
      <c r="F6687">
        <f>IF($D6687 &gt; 16, 0,$E6687*$J$5)</f>
        <v>3161227.9965194268</v>
      </c>
      <c r="G6687">
        <f t="shared" si="104"/>
        <v>1.4000000000000004</v>
      </c>
    </row>
    <row r="6688" spans="2:7" x14ac:dyDescent="0.35">
      <c r="B6688" s="1">
        <v>45936</v>
      </c>
      <c r="C6688" s="2">
        <v>0.58333333333333337</v>
      </c>
      <c r="D6688">
        <v>14.9</v>
      </c>
      <c r="E6688">
        <f>IF($D6688 &gt; 16, 0, $J$3*(16 - $D6688))</f>
        <v>228.52350697076662</v>
      </c>
      <c r="F6688">
        <f>IF($D6688 &gt; 16, 0,$E6688*$J$5)</f>
        <v>2483821.9972652625</v>
      </c>
      <c r="G6688">
        <f t="shared" si="104"/>
        <v>1.0999999999999996</v>
      </c>
    </row>
    <row r="6689" spans="2:7" x14ac:dyDescent="0.35">
      <c r="B6689" s="1">
        <v>45936</v>
      </c>
      <c r="C6689" s="2">
        <v>0.625</v>
      </c>
      <c r="D6689">
        <v>14.6</v>
      </c>
      <c r="E6689">
        <f>IF($D6689 &gt; 16, 0, $J$3*(16 - $D6689))</f>
        <v>290.84809978097587</v>
      </c>
      <c r="F6689">
        <f>IF($D6689 &gt; 16, 0,$E6689*$J$5)</f>
        <v>3161227.9965194268</v>
      </c>
      <c r="G6689">
        <f t="shared" si="104"/>
        <v>1.4000000000000004</v>
      </c>
    </row>
    <row r="6690" spans="2:7" x14ac:dyDescent="0.35">
      <c r="B6690" s="1">
        <v>45936</v>
      </c>
      <c r="C6690" s="2">
        <v>0.66666666666666663</v>
      </c>
      <c r="D6690">
        <v>14.6</v>
      </c>
      <c r="E6690">
        <f>IF($D6690 &gt; 16, 0, $J$3*(16 - $D6690))</f>
        <v>290.84809978097587</v>
      </c>
      <c r="F6690">
        <f>IF($D6690 &gt; 16, 0,$E6690*$J$5)</f>
        <v>3161227.9965194268</v>
      </c>
      <c r="G6690">
        <f t="shared" si="104"/>
        <v>1.4000000000000004</v>
      </c>
    </row>
    <row r="6691" spans="2:7" x14ac:dyDescent="0.35">
      <c r="B6691" s="1">
        <v>45936</v>
      </c>
      <c r="C6691" s="2">
        <v>0.70833333333333337</v>
      </c>
      <c r="D6691">
        <v>14.1</v>
      </c>
      <c r="E6691">
        <f>IF($D6691 &gt; 16, 0, $J$3*(16 - $D6691))</f>
        <v>394.72242113132438</v>
      </c>
      <c r="F6691">
        <f>IF($D6691 &gt; 16, 0,$E6691*$J$5)</f>
        <v>4290237.9952763645</v>
      </c>
      <c r="G6691">
        <f t="shared" si="104"/>
        <v>1.9000000000000004</v>
      </c>
    </row>
    <row r="6692" spans="2:7" x14ac:dyDescent="0.35">
      <c r="B6692" s="1">
        <v>45936</v>
      </c>
      <c r="C6692" s="2">
        <v>0.75</v>
      </c>
      <c r="D6692">
        <v>13.5</v>
      </c>
      <c r="E6692">
        <f>IF($D6692 &gt; 16, 0, $J$3*(16 - $D6692))</f>
        <v>519.37160675174243</v>
      </c>
      <c r="F6692">
        <f>IF($D6692 &gt; 16, 0,$E6692*$J$5)</f>
        <v>5645049.9937846884</v>
      </c>
      <c r="G6692">
        <f t="shared" si="104"/>
        <v>2.5</v>
      </c>
    </row>
    <row r="6693" spans="2:7" x14ac:dyDescent="0.35">
      <c r="B6693" s="1">
        <v>45936</v>
      </c>
      <c r="C6693" s="2">
        <v>0.79166666666666663</v>
      </c>
      <c r="D6693">
        <v>13.4</v>
      </c>
      <c r="E6693">
        <f>IF($D6693 &gt; 16, 0, $J$3*(16 - $D6693))</f>
        <v>540.14647102181209</v>
      </c>
      <c r="F6693">
        <f>IF($D6693 &gt; 16, 0,$E6693*$J$5)</f>
        <v>5870851.9935360756</v>
      </c>
      <c r="G6693">
        <f t="shared" si="104"/>
        <v>2.5999999999999996</v>
      </c>
    </row>
    <row r="6694" spans="2:7" x14ac:dyDescent="0.35">
      <c r="B6694" s="1">
        <v>45936</v>
      </c>
      <c r="C6694" s="2">
        <v>0.83333333333333337</v>
      </c>
      <c r="D6694">
        <v>13.3</v>
      </c>
      <c r="E6694">
        <f>IF($D6694 &gt; 16, 0, $J$3*(16 - $D6694))</f>
        <v>560.92133529188175</v>
      </c>
      <c r="F6694">
        <f>IF($D6694 &gt; 16, 0,$E6694*$J$5)</f>
        <v>6096653.9932874627</v>
      </c>
      <c r="G6694">
        <f t="shared" si="104"/>
        <v>2.6999999999999993</v>
      </c>
    </row>
    <row r="6695" spans="2:7" x14ac:dyDescent="0.35">
      <c r="B6695" s="1">
        <v>45936</v>
      </c>
      <c r="C6695" s="2">
        <v>0.875</v>
      </c>
      <c r="D6695">
        <v>13.3</v>
      </c>
      <c r="E6695">
        <f>IF($D6695 &gt; 16, 0, $J$3*(16 - $D6695))</f>
        <v>560.92133529188175</v>
      </c>
      <c r="F6695">
        <f>IF($D6695 &gt; 16, 0,$E6695*$J$5)</f>
        <v>6096653.9932874627</v>
      </c>
      <c r="G6695">
        <f t="shared" si="104"/>
        <v>2.6999999999999993</v>
      </c>
    </row>
    <row r="6696" spans="2:7" x14ac:dyDescent="0.35">
      <c r="B6696" s="1">
        <v>45936</v>
      </c>
      <c r="C6696" s="2">
        <v>0.91666666666666663</v>
      </c>
      <c r="D6696">
        <v>13.3</v>
      </c>
      <c r="E6696">
        <f>IF($D6696 &gt; 16, 0, $J$3*(16 - $D6696))</f>
        <v>560.92133529188175</v>
      </c>
      <c r="F6696">
        <f>IF($D6696 &gt; 16, 0,$E6696*$J$5)</f>
        <v>6096653.9932874627</v>
      </c>
      <c r="G6696">
        <f t="shared" si="104"/>
        <v>2.6999999999999993</v>
      </c>
    </row>
    <row r="6697" spans="2:7" x14ac:dyDescent="0.35">
      <c r="B6697" s="1">
        <v>45936</v>
      </c>
      <c r="C6697" s="2">
        <v>0.95833333333333337</v>
      </c>
      <c r="D6697">
        <v>13.1</v>
      </c>
      <c r="E6697">
        <f>IF($D6697 &gt; 16, 0, $J$3*(16 - $D6697))</f>
        <v>602.4710638320214</v>
      </c>
      <c r="F6697">
        <f>IF($D6697 &gt; 16, 0,$E6697*$J$5)</f>
        <v>6548257.9927902408</v>
      </c>
      <c r="G6697">
        <f t="shared" si="104"/>
        <v>2.9000000000000004</v>
      </c>
    </row>
    <row r="6698" spans="2:7" x14ac:dyDescent="0.35">
      <c r="B6698" s="1">
        <v>45937</v>
      </c>
      <c r="C6698" s="2">
        <v>0</v>
      </c>
      <c r="D6698">
        <v>13.1</v>
      </c>
      <c r="E6698">
        <f>IF($D6698 &gt; 16, 0, $J$3*(16 - $D6698))</f>
        <v>602.4710638320214</v>
      </c>
      <c r="F6698">
        <f>IF($D6698 &gt; 16, 0,$E6698*$J$5)</f>
        <v>6548257.9927902408</v>
      </c>
      <c r="G6698">
        <f t="shared" si="104"/>
        <v>2.9000000000000004</v>
      </c>
    </row>
    <row r="6699" spans="2:7" x14ac:dyDescent="0.35">
      <c r="B6699" s="1">
        <v>45937</v>
      </c>
      <c r="C6699" s="2">
        <v>4.1666666666666657E-2</v>
      </c>
      <c r="D6699">
        <v>13.2</v>
      </c>
      <c r="E6699">
        <f>IF($D6699 &gt; 16, 0, $J$3*(16 - $D6699))</f>
        <v>581.69619956195174</v>
      </c>
      <c r="F6699">
        <f>IF($D6699 &gt; 16, 0,$E6699*$J$5)</f>
        <v>6322455.9930388536</v>
      </c>
      <c r="G6699">
        <f t="shared" si="104"/>
        <v>2.8000000000000007</v>
      </c>
    </row>
    <row r="6700" spans="2:7" x14ac:dyDescent="0.35">
      <c r="B6700" s="1">
        <v>45937</v>
      </c>
      <c r="C6700" s="2">
        <v>8.3333333333333329E-2</v>
      </c>
      <c r="D6700">
        <v>13.1</v>
      </c>
      <c r="E6700">
        <f>IF($D6700 &gt; 16, 0, $J$3*(16 - $D6700))</f>
        <v>602.4710638320214</v>
      </c>
      <c r="F6700">
        <f>IF($D6700 &gt; 16, 0,$E6700*$J$5)</f>
        <v>6548257.9927902408</v>
      </c>
      <c r="G6700">
        <f t="shared" si="104"/>
        <v>2.9000000000000004</v>
      </c>
    </row>
    <row r="6701" spans="2:7" x14ac:dyDescent="0.35">
      <c r="B6701" s="1">
        <v>45937</v>
      </c>
      <c r="C6701" s="2">
        <v>0.125</v>
      </c>
      <c r="D6701">
        <v>13</v>
      </c>
      <c r="E6701">
        <f>IF($D6701 &gt; 16, 0, $J$3*(16 - $D6701))</f>
        <v>623.24592810209094</v>
      </c>
      <c r="F6701">
        <f>IF($D6701 &gt; 16, 0,$E6701*$J$5)</f>
        <v>6774059.9925416261</v>
      </c>
      <c r="G6701">
        <f t="shared" si="104"/>
        <v>3</v>
      </c>
    </row>
    <row r="6702" spans="2:7" x14ac:dyDescent="0.35">
      <c r="B6702" s="1">
        <v>45937</v>
      </c>
      <c r="C6702" s="2">
        <v>0.16666666666666671</v>
      </c>
      <c r="D6702">
        <v>12.9</v>
      </c>
      <c r="E6702">
        <f>IF($D6702 &gt; 16, 0, $J$3*(16 - $D6702))</f>
        <v>644.0207923721606</v>
      </c>
      <c r="F6702">
        <f>IF($D6702 &gt; 16, 0,$E6702*$J$5)</f>
        <v>6999861.9922930133</v>
      </c>
      <c r="G6702">
        <f t="shared" si="104"/>
        <v>3.0999999999999996</v>
      </c>
    </row>
    <row r="6703" spans="2:7" x14ac:dyDescent="0.35">
      <c r="B6703" s="1">
        <v>45937</v>
      </c>
      <c r="C6703" s="2">
        <v>0.20833333333333329</v>
      </c>
      <c r="D6703">
        <v>12.9</v>
      </c>
      <c r="E6703">
        <f>IF($D6703 &gt; 16, 0, $J$3*(16 - $D6703))</f>
        <v>644.0207923721606</v>
      </c>
      <c r="F6703">
        <f>IF($D6703 &gt; 16, 0,$E6703*$J$5)</f>
        <v>6999861.9922930133</v>
      </c>
      <c r="G6703">
        <f t="shared" si="104"/>
        <v>3.0999999999999996</v>
      </c>
    </row>
    <row r="6704" spans="2:7" x14ac:dyDescent="0.35">
      <c r="B6704" s="1">
        <v>45937</v>
      </c>
      <c r="C6704" s="2">
        <v>0.25</v>
      </c>
      <c r="D6704">
        <v>12.8</v>
      </c>
      <c r="E6704">
        <f>IF($D6704 &gt; 16, 0, $J$3*(16 - $D6704))</f>
        <v>664.79565664223026</v>
      </c>
      <c r="F6704">
        <f>IF($D6704 &gt; 16, 0,$E6704*$J$5)</f>
        <v>7225663.9920444004</v>
      </c>
      <c r="G6704">
        <f t="shared" si="104"/>
        <v>3.1999999999999993</v>
      </c>
    </row>
    <row r="6705" spans="2:7" x14ac:dyDescent="0.35">
      <c r="B6705" s="1">
        <v>45937</v>
      </c>
      <c r="C6705" s="2">
        <v>0.29166666666666669</v>
      </c>
      <c r="D6705">
        <v>13.2</v>
      </c>
      <c r="E6705">
        <f>IF($D6705 &gt; 16, 0, $J$3*(16 - $D6705))</f>
        <v>581.69619956195174</v>
      </c>
      <c r="F6705">
        <f>IF($D6705 &gt; 16, 0,$E6705*$J$5)</f>
        <v>6322455.9930388536</v>
      </c>
      <c r="G6705">
        <f t="shared" si="104"/>
        <v>2.8000000000000007</v>
      </c>
    </row>
    <row r="6706" spans="2:7" x14ac:dyDescent="0.35">
      <c r="B6706" s="1">
        <v>45937</v>
      </c>
      <c r="C6706" s="2">
        <v>0.33333333333333331</v>
      </c>
      <c r="D6706">
        <v>13.7</v>
      </c>
      <c r="E6706">
        <f>IF($D6706 &gt; 16, 0, $J$3*(16 - $D6706))</f>
        <v>477.82187821160323</v>
      </c>
      <c r="F6706">
        <f>IF($D6706 &gt; 16, 0,$E6706*$J$5)</f>
        <v>5193445.9942819159</v>
      </c>
      <c r="G6706">
        <f t="shared" si="104"/>
        <v>2.3000000000000007</v>
      </c>
    </row>
    <row r="6707" spans="2:7" x14ac:dyDescent="0.35">
      <c r="B6707" s="1">
        <v>45937</v>
      </c>
      <c r="C6707" s="2">
        <v>0.375</v>
      </c>
      <c r="D6707">
        <v>13.9</v>
      </c>
      <c r="E6707">
        <f>IF($D6707 &gt; 16, 0, $J$3*(16 - $D6707))</f>
        <v>436.27214967146358</v>
      </c>
      <c r="F6707">
        <f>IF($D6707 &gt; 16, 0,$E6707*$J$5)</f>
        <v>4741841.9947791379</v>
      </c>
      <c r="G6707">
        <f t="shared" si="104"/>
        <v>2.0999999999999996</v>
      </c>
    </row>
    <row r="6708" spans="2:7" x14ac:dyDescent="0.35">
      <c r="B6708" s="1">
        <v>45937</v>
      </c>
      <c r="C6708" s="2">
        <v>0.41666666666666669</v>
      </c>
      <c r="D6708">
        <v>14.3</v>
      </c>
      <c r="E6708">
        <f>IF($D6708 &gt; 16, 0, $J$3*(16 - $D6708))</f>
        <v>353.17269259118473</v>
      </c>
      <c r="F6708">
        <f>IF($D6708 &gt; 16, 0,$E6708*$J$5)</f>
        <v>3838633.9957735869</v>
      </c>
      <c r="G6708">
        <f t="shared" si="104"/>
        <v>1.6999999999999993</v>
      </c>
    </row>
    <row r="6709" spans="2:7" x14ac:dyDescent="0.35">
      <c r="B6709" s="1">
        <v>45937</v>
      </c>
      <c r="C6709" s="2">
        <v>0.45833333333333331</v>
      </c>
      <c r="D6709">
        <v>14.8</v>
      </c>
      <c r="E6709">
        <f>IF($D6709 &gt; 16, 0, $J$3*(16 - $D6709))</f>
        <v>249.29837124083625</v>
      </c>
      <c r="F6709">
        <f>IF($D6709 &gt; 16, 0,$E6709*$J$5)</f>
        <v>2709623.9970166492</v>
      </c>
      <c r="G6709">
        <f t="shared" si="104"/>
        <v>1.1999999999999993</v>
      </c>
    </row>
    <row r="6710" spans="2:7" x14ac:dyDescent="0.35">
      <c r="B6710" s="1">
        <v>45937</v>
      </c>
      <c r="C6710" s="2">
        <v>0.5</v>
      </c>
      <c r="D6710">
        <v>15.4</v>
      </c>
      <c r="E6710">
        <f>IF($D6710 &gt; 16, 0, $J$3*(16 - $D6710))</f>
        <v>124.64918562041812</v>
      </c>
      <c r="F6710">
        <f>IF($D6710 &gt; 16, 0,$E6710*$J$5)</f>
        <v>1354811.9985083246</v>
      </c>
      <c r="G6710">
        <f t="shared" si="104"/>
        <v>0.59999999999999964</v>
      </c>
    </row>
    <row r="6711" spans="2:7" x14ac:dyDescent="0.35">
      <c r="B6711" s="1">
        <v>45937</v>
      </c>
      <c r="C6711" s="2">
        <v>0.54166666666666663</v>
      </c>
      <c r="D6711">
        <v>15.4</v>
      </c>
      <c r="E6711">
        <f>IF($D6711 &gt; 16, 0, $J$3*(16 - $D6711))</f>
        <v>124.64918562041812</v>
      </c>
      <c r="F6711">
        <f>IF($D6711 &gt; 16, 0,$E6711*$J$5)</f>
        <v>1354811.9985083246</v>
      </c>
      <c r="G6711">
        <f t="shared" si="104"/>
        <v>0.59999999999999964</v>
      </c>
    </row>
    <row r="6712" spans="2:7" x14ac:dyDescent="0.35">
      <c r="B6712" s="1">
        <v>45937</v>
      </c>
      <c r="C6712" s="2">
        <v>0.58333333333333337</v>
      </c>
      <c r="D6712">
        <v>15.7</v>
      </c>
      <c r="E6712">
        <f>IF($D6712 &gt; 16, 0, $J$3*(16 - $D6712))</f>
        <v>62.324592810209246</v>
      </c>
      <c r="F6712">
        <f>IF($D6712 &gt; 16, 0,$E6712*$J$5)</f>
        <v>677405.99925416429</v>
      </c>
      <c r="G6712">
        <f t="shared" si="104"/>
        <v>0.30000000000000071</v>
      </c>
    </row>
    <row r="6713" spans="2:7" x14ac:dyDescent="0.35">
      <c r="B6713" s="1">
        <v>45937</v>
      </c>
      <c r="C6713" s="2">
        <v>0.625</v>
      </c>
      <c r="D6713">
        <v>16</v>
      </c>
      <c r="E6713">
        <f>IF($D6713 &gt; 16, 0, $J$3*(16 - $D6713))</f>
        <v>0</v>
      </c>
      <c r="F6713">
        <f>IF($D6713 &gt; 16, 0,$E6713*$J$5)</f>
        <v>0</v>
      </c>
      <c r="G6713">
        <f t="shared" si="104"/>
        <v>0</v>
      </c>
    </row>
    <row r="6714" spans="2:7" x14ac:dyDescent="0.35">
      <c r="B6714" s="1">
        <v>45937</v>
      </c>
      <c r="C6714" s="2">
        <v>0.66666666666666663</v>
      </c>
      <c r="D6714">
        <v>16</v>
      </c>
      <c r="E6714">
        <f>IF($D6714 &gt; 16, 0, $J$3*(16 - $D6714))</f>
        <v>0</v>
      </c>
      <c r="F6714">
        <f>IF($D6714 &gt; 16, 0,$E6714*$J$5)</f>
        <v>0</v>
      </c>
      <c r="G6714">
        <f t="shared" si="104"/>
        <v>0</v>
      </c>
    </row>
    <row r="6715" spans="2:7" x14ac:dyDescent="0.35">
      <c r="B6715" s="1">
        <v>45937</v>
      </c>
      <c r="C6715" s="2">
        <v>0.70833333333333337</v>
      </c>
      <c r="D6715">
        <v>15.6</v>
      </c>
      <c r="E6715">
        <f>IF($D6715 &gt; 16, 0, $J$3*(16 - $D6715))</f>
        <v>83.099457080278867</v>
      </c>
      <c r="F6715">
        <f>IF($D6715 &gt; 16, 0,$E6715*$J$5)</f>
        <v>903207.99900555098</v>
      </c>
      <c r="G6715">
        <f t="shared" si="104"/>
        <v>0.40000000000000036</v>
      </c>
    </row>
    <row r="6716" spans="2:7" x14ac:dyDescent="0.35">
      <c r="B6716" s="1">
        <v>45937</v>
      </c>
      <c r="C6716" s="2">
        <v>0.75</v>
      </c>
      <c r="D6716">
        <v>15.4</v>
      </c>
      <c r="E6716">
        <f>IF($D6716 &gt; 16, 0, $J$3*(16 - $D6716))</f>
        <v>124.64918562041812</v>
      </c>
      <c r="F6716">
        <f>IF($D6716 &gt; 16, 0,$E6716*$J$5)</f>
        <v>1354811.9985083246</v>
      </c>
      <c r="G6716">
        <f t="shared" si="104"/>
        <v>0.59999999999999964</v>
      </c>
    </row>
    <row r="6717" spans="2:7" x14ac:dyDescent="0.35">
      <c r="B6717" s="1">
        <v>45937</v>
      </c>
      <c r="C6717" s="2">
        <v>0.79166666666666663</v>
      </c>
      <c r="D6717">
        <v>15.5</v>
      </c>
      <c r="E6717">
        <f>IF($D6717 &gt; 16, 0, $J$3*(16 - $D6717))</f>
        <v>103.8743213503485</v>
      </c>
      <c r="F6717">
        <f>IF($D6717 &gt; 16, 0,$E6717*$J$5)</f>
        <v>1129009.9987569377</v>
      </c>
      <c r="G6717">
        <f t="shared" si="104"/>
        <v>0.5</v>
      </c>
    </row>
    <row r="6718" spans="2:7" x14ac:dyDescent="0.35">
      <c r="B6718" s="1">
        <v>45937</v>
      </c>
      <c r="C6718" s="2">
        <v>0.83333333333333337</v>
      </c>
      <c r="D6718">
        <v>15.4</v>
      </c>
      <c r="E6718">
        <f>IF($D6718 &gt; 16, 0, $J$3*(16 - $D6718))</f>
        <v>124.64918562041812</v>
      </c>
      <c r="F6718">
        <f>IF($D6718 &gt; 16, 0,$E6718*$J$5)</f>
        <v>1354811.9985083246</v>
      </c>
      <c r="G6718">
        <f t="shared" si="104"/>
        <v>0.59999999999999964</v>
      </c>
    </row>
    <row r="6719" spans="2:7" x14ac:dyDescent="0.35">
      <c r="B6719" s="1">
        <v>45937</v>
      </c>
      <c r="C6719" s="2">
        <v>0.875</v>
      </c>
      <c r="D6719">
        <v>15.2</v>
      </c>
      <c r="E6719">
        <f>IF($D6719 &gt; 16, 0, $J$3*(16 - $D6719))</f>
        <v>166.19891416055773</v>
      </c>
      <c r="F6719">
        <f>IF($D6719 &gt; 16, 0,$E6719*$J$5)</f>
        <v>1806415.998011102</v>
      </c>
      <c r="G6719">
        <f t="shared" si="104"/>
        <v>0.80000000000000071</v>
      </c>
    </row>
    <row r="6720" spans="2:7" x14ac:dyDescent="0.35">
      <c r="B6720" s="1">
        <v>45937</v>
      </c>
      <c r="C6720" s="2">
        <v>0.91666666666666663</v>
      </c>
      <c r="D6720">
        <v>13.9</v>
      </c>
      <c r="E6720">
        <f>IF($D6720 &gt; 16, 0, $J$3*(16 - $D6720))</f>
        <v>436.27214967146358</v>
      </c>
      <c r="F6720">
        <f>IF($D6720 &gt; 16, 0,$E6720*$J$5)</f>
        <v>4741841.9947791379</v>
      </c>
      <c r="G6720">
        <f t="shared" si="104"/>
        <v>2.0999999999999996</v>
      </c>
    </row>
    <row r="6721" spans="2:7" x14ac:dyDescent="0.35">
      <c r="B6721" s="1">
        <v>45937</v>
      </c>
      <c r="C6721" s="2">
        <v>0.95833333333333337</v>
      </c>
      <c r="D6721">
        <v>13.5</v>
      </c>
      <c r="E6721">
        <f>IF($D6721 &gt; 16, 0, $J$3*(16 - $D6721))</f>
        <v>519.37160675174243</v>
      </c>
      <c r="F6721">
        <f>IF($D6721 &gt; 16, 0,$E6721*$J$5)</f>
        <v>5645049.9937846884</v>
      </c>
      <c r="G6721">
        <f t="shared" si="104"/>
        <v>2.5</v>
      </c>
    </row>
    <row r="6722" spans="2:7" x14ac:dyDescent="0.35">
      <c r="B6722" s="1">
        <v>45938</v>
      </c>
      <c r="C6722" s="2">
        <v>0</v>
      </c>
      <c r="D6722">
        <v>13.4</v>
      </c>
      <c r="E6722">
        <f>IF($D6722 &gt; 16, 0, $J$3*(16 - $D6722))</f>
        <v>540.14647102181209</v>
      </c>
      <c r="F6722">
        <f>IF($D6722 &gt; 16, 0,$E6722*$J$5)</f>
        <v>5870851.9935360756</v>
      </c>
      <c r="G6722">
        <f t="shared" si="104"/>
        <v>2.5999999999999996</v>
      </c>
    </row>
    <row r="6723" spans="2:7" x14ac:dyDescent="0.35">
      <c r="B6723" s="1">
        <v>45938</v>
      </c>
      <c r="C6723" s="2">
        <v>4.1666666666666657E-2</v>
      </c>
      <c r="D6723">
        <v>13.3</v>
      </c>
      <c r="E6723">
        <f>IF($D6723 &gt; 16, 0, $J$3*(16 - $D6723))</f>
        <v>560.92133529188175</v>
      </c>
      <c r="F6723">
        <f>IF($D6723 &gt; 16, 0,$E6723*$J$5)</f>
        <v>6096653.9932874627</v>
      </c>
      <c r="G6723">
        <f t="shared" ref="G6723:G6786" si="105">MAX(0, 16 - $D6723)</f>
        <v>2.6999999999999993</v>
      </c>
    </row>
    <row r="6724" spans="2:7" x14ac:dyDescent="0.35">
      <c r="B6724" s="1">
        <v>45938</v>
      </c>
      <c r="C6724" s="2">
        <v>8.3333333333333329E-2</v>
      </c>
      <c r="D6724">
        <v>13.2</v>
      </c>
      <c r="E6724">
        <f>IF($D6724 &gt; 16, 0, $J$3*(16 - $D6724))</f>
        <v>581.69619956195174</v>
      </c>
      <c r="F6724">
        <f>IF($D6724 &gt; 16, 0,$E6724*$J$5)</f>
        <v>6322455.9930388536</v>
      </c>
      <c r="G6724">
        <f t="shared" si="105"/>
        <v>2.8000000000000007</v>
      </c>
    </row>
    <row r="6725" spans="2:7" x14ac:dyDescent="0.35">
      <c r="B6725" s="1">
        <v>45938</v>
      </c>
      <c r="C6725" s="2">
        <v>0.125</v>
      </c>
      <c r="D6725">
        <v>13.2</v>
      </c>
      <c r="E6725">
        <f>IF($D6725 &gt; 16, 0, $J$3*(16 - $D6725))</f>
        <v>581.69619956195174</v>
      </c>
      <c r="F6725">
        <f>IF($D6725 &gt; 16, 0,$E6725*$J$5)</f>
        <v>6322455.9930388536</v>
      </c>
      <c r="G6725">
        <f t="shared" si="105"/>
        <v>2.8000000000000007</v>
      </c>
    </row>
    <row r="6726" spans="2:7" x14ac:dyDescent="0.35">
      <c r="B6726" s="1">
        <v>45938</v>
      </c>
      <c r="C6726" s="2">
        <v>0.16666666666666671</v>
      </c>
      <c r="D6726">
        <v>13</v>
      </c>
      <c r="E6726">
        <f>IF($D6726 &gt; 16, 0, $J$3*(16 - $D6726))</f>
        <v>623.24592810209094</v>
      </c>
      <c r="F6726">
        <f>IF($D6726 &gt; 16, 0,$E6726*$J$5)</f>
        <v>6774059.9925416261</v>
      </c>
      <c r="G6726">
        <f t="shared" si="105"/>
        <v>3</v>
      </c>
    </row>
    <row r="6727" spans="2:7" x14ac:dyDescent="0.35">
      <c r="B6727" s="1">
        <v>45938</v>
      </c>
      <c r="C6727" s="2">
        <v>0.20833333333333329</v>
      </c>
      <c r="D6727">
        <v>13.1</v>
      </c>
      <c r="E6727">
        <f>IF($D6727 &gt; 16, 0, $J$3*(16 - $D6727))</f>
        <v>602.4710638320214</v>
      </c>
      <c r="F6727">
        <f>IF($D6727 &gt; 16, 0,$E6727*$J$5)</f>
        <v>6548257.9927902408</v>
      </c>
      <c r="G6727">
        <f t="shared" si="105"/>
        <v>2.9000000000000004</v>
      </c>
    </row>
    <row r="6728" spans="2:7" x14ac:dyDescent="0.35">
      <c r="B6728" s="1">
        <v>45938</v>
      </c>
      <c r="C6728" s="2">
        <v>0.25</v>
      </c>
      <c r="D6728">
        <v>13.2</v>
      </c>
      <c r="E6728">
        <f>IF($D6728 &gt; 16, 0, $J$3*(16 - $D6728))</f>
        <v>581.69619956195174</v>
      </c>
      <c r="F6728">
        <f>IF($D6728 &gt; 16, 0,$E6728*$J$5)</f>
        <v>6322455.9930388536</v>
      </c>
      <c r="G6728">
        <f t="shared" si="105"/>
        <v>2.8000000000000007</v>
      </c>
    </row>
    <row r="6729" spans="2:7" x14ac:dyDescent="0.35">
      <c r="B6729" s="1">
        <v>45938</v>
      </c>
      <c r="C6729" s="2">
        <v>0.29166666666666669</v>
      </c>
      <c r="D6729">
        <v>13.3</v>
      </c>
      <c r="E6729">
        <f>IF($D6729 &gt; 16, 0, $J$3*(16 - $D6729))</f>
        <v>560.92133529188175</v>
      </c>
      <c r="F6729">
        <f>IF($D6729 &gt; 16, 0,$E6729*$J$5)</f>
        <v>6096653.9932874627</v>
      </c>
      <c r="G6729">
        <f t="shared" si="105"/>
        <v>2.6999999999999993</v>
      </c>
    </row>
    <row r="6730" spans="2:7" x14ac:dyDescent="0.35">
      <c r="B6730" s="1">
        <v>45938</v>
      </c>
      <c r="C6730" s="2">
        <v>0.33333333333333331</v>
      </c>
      <c r="D6730">
        <v>14</v>
      </c>
      <c r="E6730">
        <f>IF($D6730 &gt; 16, 0, $J$3*(16 - $D6730))</f>
        <v>415.49728540139398</v>
      </c>
      <c r="F6730">
        <f>IF($D6730 &gt; 16, 0,$E6730*$J$5)</f>
        <v>4516039.9950277507</v>
      </c>
      <c r="G6730">
        <f t="shared" si="105"/>
        <v>2</v>
      </c>
    </row>
    <row r="6731" spans="2:7" x14ac:dyDescent="0.35">
      <c r="B6731" s="1">
        <v>45938</v>
      </c>
      <c r="C6731" s="2">
        <v>0.375</v>
      </c>
      <c r="D6731">
        <v>14.4</v>
      </c>
      <c r="E6731">
        <f>IF($D6731 &gt; 16, 0, $J$3*(16 - $D6731))</f>
        <v>332.39782832111513</v>
      </c>
      <c r="F6731">
        <f>IF($D6731 &gt; 16, 0,$E6731*$J$5)</f>
        <v>3612831.9960222002</v>
      </c>
      <c r="G6731">
        <f t="shared" si="105"/>
        <v>1.5999999999999996</v>
      </c>
    </row>
    <row r="6732" spans="2:7" x14ac:dyDescent="0.35">
      <c r="B6732" s="1">
        <v>45938</v>
      </c>
      <c r="C6732" s="2">
        <v>0.41666666666666669</v>
      </c>
      <c r="D6732">
        <v>15</v>
      </c>
      <c r="E6732">
        <f>IF($D6732 &gt; 16, 0, $J$3*(16 - $D6732))</f>
        <v>207.74864270069699</v>
      </c>
      <c r="F6732">
        <f>IF($D6732 &gt; 16, 0,$E6732*$J$5)</f>
        <v>2258019.9975138754</v>
      </c>
      <c r="G6732">
        <f t="shared" si="105"/>
        <v>1</v>
      </c>
    </row>
    <row r="6733" spans="2:7" x14ac:dyDescent="0.35">
      <c r="B6733" s="1">
        <v>45938</v>
      </c>
      <c r="C6733" s="2">
        <v>0.45833333333333331</v>
      </c>
      <c r="D6733">
        <v>15.7</v>
      </c>
      <c r="E6733">
        <f>IF($D6733 &gt; 16, 0, $J$3*(16 - $D6733))</f>
        <v>62.324592810209246</v>
      </c>
      <c r="F6733">
        <f>IF($D6733 &gt; 16, 0,$E6733*$J$5)</f>
        <v>677405.99925416429</v>
      </c>
      <c r="G6733">
        <f t="shared" si="105"/>
        <v>0.30000000000000071</v>
      </c>
    </row>
    <row r="6734" spans="2:7" x14ac:dyDescent="0.35">
      <c r="B6734" s="1">
        <v>45938</v>
      </c>
      <c r="C6734" s="2">
        <v>0.5</v>
      </c>
      <c r="D6734">
        <v>15.7</v>
      </c>
      <c r="E6734">
        <f>IF($D6734 &gt; 16, 0, $J$3*(16 - $D6734))</f>
        <v>62.324592810209246</v>
      </c>
      <c r="F6734">
        <f>IF($D6734 &gt; 16, 0,$E6734*$J$5)</f>
        <v>677405.99925416429</v>
      </c>
      <c r="G6734">
        <f t="shared" si="105"/>
        <v>0.30000000000000071</v>
      </c>
    </row>
    <row r="6735" spans="2:7" x14ac:dyDescent="0.35">
      <c r="B6735" s="1">
        <v>45938</v>
      </c>
      <c r="C6735" s="2">
        <v>0.54166666666666663</v>
      </c>
      <c r="D6735">
        <v>15.6</v>
      </c>
      <c r="E6735">
        <f>IF($D6735 &gt; 16, 0, $J$3*(16 - $D6735))</f>
        <v>83.099457080278867</v>
      </c>
      <c r="F6735">
        <f>IF($D6735 &gt; 16, 0,$E6735*$J$5)</f>
        <v>903207.99900555098</v>
      </c>
      <c r="G6735">
        <f t="shared" si="105"/>
        <v>0.40000000000000036</v>
      </c>
    </row>
    <row r="6736" spans="2:7" x14ac:dyDescent="0.35">
      <c r="B6736" s="1">
        <v>45938</v>
      </c>
      <c r="C6736" s="2">
        <v>0.58333333333333337</v>
      </c>
      <c r="D6736">
        <v>15.2</v>
      </c>
      <c r="E6736">
        <f>IF($D6736 &gt; 16, 0, $J$3*(16 - $D6736))</f>
        <v>166.19891416055773</v>
      </c>
      <c r="F6736">
        <f>IF($D6736 &gt; 16, 0,$E6736*$J$5)</f>
        <v>1806415.998011102</v>
      </c>
      <c r="G6736">
        <f t="shared" si="105"/>
        <v>0.80000000000000071</v>
      </c>
    </row>
    <row r="6737" spans="2:7" x14ac:dyDescent="0.35">
      <c r="B6737" s="1">
        <v>45938</v>
      </c>
      <c r="C6737" s="2">
        <v>0.625</v>
      </c>
      <c r="D6737">
        <v>15.1</v>
      </c>
      <c r="E6737">
        <f>IF($D6737 &gt; 16, 0, $J$3*(16 - $D6737))</f>
        <v>186.97377843062736</v>
      </c>
      <c r="F6737">
        <f>IF($D6737 &gt; 16, 0,$E6737*$J$5)</f>
        <v>2032217.9977624889</v>
      </c>
      <c r="G6737">
        <f t="shared" si="105"/>
        <v>0.90000000000000036</v>
      </c>
    </row>
    <row r="6738" spans="2:7" x14ac:dyDescent="0.35">
      <c r="B6738" s="1">
        <v>45938</v>
      </c>
      <c r="C6738" s="2">
        <v>0.66666666666666663</v>
      </c>
      <c r="D6738">
        <v>14.3</v>
      </c>
      <c r="E6738">
        <f>IF($D6738 &gt; 16, 0, $J$3*(16 - $D6738))</f>
        <v>353.17269259118473</v>
      </c>
      <c r="F6738">
        <f>IF($D6738 &gt; 16, 0,$E6738*$J$5)</f>
        <v>3838633.9957735869</v>
      </c>
      <c r="G6738">
        <f t="shared" si="105"/>
        <v>1.6999999999999993</v>
      </c>
    </row>
    <row r="6739" spans="2:7" x14ac:dyDescent="0.35">
      <c r="B6739" s="1">
        <v>45938</v>
      </c>
      <c r="C6739" s="2">
        <v>0.70833333333333337</v>
      </c>
      <c r="D6739">
        <v>13.1</v>
      </c>
      <c r="E6739">
        <f>IF($D6739 &gt; 16, 0, $J$3*(16 - $D6739))</f>
        <v>602.4710638320214</v>
      </c>
      <c r="F6739">
        <f>IF($D6739 &gt; 16, 0,$E6739*$J$5)</f>
        <v>6548257.9927902408</v>
      </c>
      <c r="G6739">
        <f t="shared" si="105"/>
        <v>2.9000000000000004</v>
      </c>
    </row>
    <row r="6740" spans="2:7" x14ac:dyDescent="0.35">
      <c r="B6740" s="1">
        <v>45938</v>
      </c>
      <c r="C6740" s="2">
        <v>0.75</v>
      </c>
      <c r="D6740">
        <v>13.1</v>
      </c>
      <c r="E6740">
        <f>IF($D6740 &gt; 16, 0, $J$3*(16 - $D6740))</f>
        <v>602.4710638320214</v>
      </c>
      <c r="F6740">
        <f>IF($D6740 &gt; 16, 0,$E6740*$J$5)</f>
        <v>6548257.9927902408</v>
      </c>
      <c r="G6740">
        <f t="shared" si="105"/>
        <v>2.9000000000000004</v>
      </c>
    </row>
    <row r="6741" spans="2:7" x14ac:dyDescent="0.35">
      <c r="B6741" s="1">
        <v>45938</v>
      </c>
      <c r="C6741" s="2">
        <v>0.79166666666666663</v>
      </c>
      <c r="D6741">
        <v>13.1</v>
      </c>
      <c r="E6741">
        <f>IF($D6741 &gt; 16, 0, $J$3*(16 - $D6741))</f>
        <v>602.4710638320214</v>
      </c>
      <c r="F6741">
        <f>IF($D6741 &gt; 16, 0,$E6741*$J$5)</f>
        <v>6548257.9927902408</v>
      </c>
      <c r="G6741">
        <f t="shared" si="105"/>
        <v>2.9000000000000004</v>
      </c>
    </row>
    <row r="6742" spans="2:7" x14ac:dyDescent="0.35">
      <c r="B6742" s="1">
        <v>45938</v>
      </c>
      <c r="C6742" s="2">
        <v>0.83333333333333337</v>
      </c>
      <c r="D6742">
        <v>12.6</v>
      </c>
      <c r="E6742">
        <f>IF($D6742 &gt; 16, 0, $J$3*(16 - $D6742))</f>
        <v>706.3453851823698</v>
      </c>
      <c r="F6742">
        <f>IF($D6742 &gt; 16, 0,$E6742*$J$5)</f>
        <v>7677267.9915471775</v>
      </c>
      <c r="G6742">
        <f t="shared" si="105"/>
        <v>3.4000000000000004</v>
      </c>
    </row>
    <row r="6743" spans="2:7" x14ac:dyDescent="0.35">
      <c r="B6743" s="1">
        <v>45938</v>
      </c>
      <c r="C6743" s="2">
        <v>0.875</v>
      </c>
      <c r="D6743">
        <v>12.4</v>
      </c>
      <c r="E6743">
        <f>IF($D6743 &gt; 16, 0, $J$3*(16 - $D6743))</f>
        <v>747.89511372250911</v>
      </c>
      <c r="F6743">
        <f>IF($D6743 &gt; 16, 0,$E6743*$J$5)</f>
        <v>8128871.9910499519</v>
      </c>
      <c r="G6743">
        <f t="shared" si="105"/>
        <v>3.5999999999999996</v>
      </c>
    </row>
    <row r="6744" spans="2:7" x14ac:dyDescent="0.35">
      <c r="B6744" s="1">
        <v>45938</v>
      </c>
      <c r="C6744" s="2">
        <v>0.91666666666666663</v>
      </c>
      <c r="D6744">
        <v>12.1</v>
      </c>
      <c r="E6744">
        <f>IF($D6744 &gt; 16, 0, $J$3*(16 - $D6744))</f>
        <v>810.21970653271831</v>
      </c>
      <c r="F6744">
        <f>IF($D6744 &gt; 16, 0,$E6744*$J$5)</f>
        <v>8806277.9903041162</v>
      </c>
      <c r="G6744">
        <f t="shared" si="105"/>
        <v>3.9000000000000004</v>
      </c>
    </row>
    <row r="6745" spans="2:7" x14ac:dyDescent="0.35">
      <c r="B6745" s="1">
        <v>45938</v>
      </c>
      <c r="C6745" s="2">
        <v>0.95833333333333337</v>
      </c>
      <c r="D6745">
        <v>12</v>
      </c>
      <c r="E6745">
        <f>IF($D6745 &gt; 16, 0, $J$3*(16 - $D6745))</f>
        <v>830.99457080278796</v>
      </c>
      <c r="F6745">
        <f>IF($D6745 &gt; 16, 0,$E6745*$J$5)</f>
        <v>9032079.9900555015</v>
      </c>
      <c r="G6745">
        <f t="shared" si="105"/>
        <v>4</v>
      </c>
    </row>
    <row r="6746" spans="2:7" x14ac:dyDescent="0.35">
      <c r="B6746" s="1">
        <v>45939</v>
      </c>
      <c r="C6746" s="2">
        <v>0</v>
      </c>
      <c r="D6746">
        <v>12</v>
      </c>
      <c r="E6746">
        <f>IF($D6746 &gt; 16, 0, $J$3*(16 - $D6746))</f>
        <v>830.99457080278796</v>
      </c>
      <c r="F6746">
        <f>IF($D6746 &gt; 16, 0,$E6746*$J$5)</f>
        <v>9032079.9900555015</v>
      </c>
      <c r="G6746">
        <f t="shared" si="105"/>
        <v>4</v>
      </c>
    </row>
    <row r="6747" spans="2:7" x14ac:dyDescent="0.35">
      <c r="B6747" s="1">
        <v>45939</v>
      </c>
      <c r="C6747" s="2">
        <v>4.1666666666666657E-2</v>
      </c>
      <c r="D6747">
        <v>11.9</v>
      </c>
      <c r="E6747">
        <f>IF($D6747 &gt; 16, 0, $J$3*(16 - $D6747))</f>
        <v>851.76943507285762</v>
      </c>
      <c r="F6747">
        <f>IF($D6747 &gt; 16, 0,$E6747*$J$5)</f>
        <v>9257881.9898068886</v>
      </c>
      <c r="G6747">
        <f t="shared" si="105"/>
        <v>4.0999999999999996</v>
      </c>
    </row>
    <row r="6748" spans="2:7" x14ac:dyDescent="0.35">
      <c r="B6748" s="1">
        <v>45939</v>
      </c>
      <c r="C6748" s="2">
        <v>8.3333333333333329E-2</v>
      </c>
      <c r="D6748">
        <v>11.8</v>
      </c>
      <c r="E6748">
        <f>IF($D6748 &gt; 16, 0, $J$3*(16 - $D6748))</f>
        <v>872.54429934292716</v>
      </c>
      <c r="F6748">
        <f>IF($D6748 &gt; 16, 0,$E6748*$J$5)</f>
        <v>9483683.9895582758</v>
      </c>
      <c r="G6748">
        <f t="shared" si="105"/>
        <v>4.1999999999999993</v>
      </c>
    </row>
    <row r="6749" spans="2:7" x14ac:dyDescent="0.35">
      <c r="B6749" s="1">
        <v>45939</v>
      </c>
      <c r="C6749" s="2">
        <v>0.125</v>
      </c>
      <c r="D6749">
        <v>11.6</v>
      </c>
      <c r="E6749">
        <f>IF($D6749 &gt; 16, 0, $J$3*(16 - $D6749))</f>
        <v>914.09402788306681</v>
      </c>
      <c r="F6749">
        <f>IF($D6749 &gt; 16, 0,$E6749*$J$5)</f>
        <v>9935287.9890610538</v>
      </c>
      <c r="G6749">
        <f t="shared" si="105"/>
        <v>4.4000000000000004</v>
      </c>
    </row>
    <row r="6750" spans="2:7" x14ac:dyDescent="0.35">
      <c r="B6750" s="1">
        <v>45939</v>
      </c>
      <c r="C6750" s="2">
        <v>0.16666666666666671</v>
      </c>
      <c r="D6750">
        <v>11.4</v>
      </c>
      <c r="E6750">
        <f>IF($D6750 &gt; 16, 0, $J$3*(16 - $D6750))</f>
        <v>955.64375642320613</v>
      </c>
      <c r="F6750">
        <f>IF($D6750 &gt; 16, 0,$E6750*$J$5)</f>
        <v>10386891.988563828</v>
      </c>
      <c r="G6750">
        <f t="shared" si="105"/>
        <v>4.5999999999999996</v>
      </c>
    </row>
    <row r="6751" spans="2:7" x14ac:dyDescent="0.35">
      <c r="B6751" s="1">
        <v>45939</v>
      </c>
      <c r="C6751" s="2">
        <v>0.20833333333333329</v>
      </c>
      <c r="D6751">
        <v>11.3</v>
      </c>
      <c r="E6751">
        <f>IF($D6751 &gt; 16, 0, $J$3*(16 - $D6751))</f>
        <v>976.41862069327567</v>
      </c>
      <c r="F6751">
        <f>IF($D6751 &gt; 16, 0,$E6751*$J$5)</f>
        <v>10612693.988315213</v>
      </c>
      <c r="G6751">
        <f t="shared" si="105"/>
        <v>4.6999999999999993</v>
      </c>
    </row>
    <row r="6752" spans="2:7" x14ac:dyDescent="0.35">
      <c r="B6752" s="1">
        <v>45939</v>
      </c>
      <c r="C6752" s="2">
        <v>0.25</v>
      </c>
      <c r="D6752">
        <v>11.3</v>
      </c>
      <c r="E6752">
        <f>IF($D6752 &gt; 16, 0, $J$3*(16 - $D6752))</f>
        <v>976.41862069327567</v>
      </c>
      <c r="F6752">
        <f>IF($D6752 &gt; 16, 0,$E6752*$J$5)</f>
        <v>10612693.988315213</v>
      </c>
      <c r="G6752">
        <f t="shared" si="105"/>
        <v>4.6999999999999993</v>
      </c>
    </row>
    <row r="6753" spans="2:7" x14ac:dyDescent="0.35">
      <c r="B6753" s="1">
        <v>45939</v>
      </c>
      <c r="C6753" s="2">
        <v>0.29166666666666669</v>
      </c>
      <c r="D6753">
        <v>11.6</v>
      </c>
      <c r="E6753">
        <f>IF($D6753 &gt; 16, 0, $J$3*(16 - $D6753))</f>
        <v>914.09402788306681</v>
      </c>
      <c r="F6753">
        <f>IF($D6753 &gt; 16, 0,$E6753*$J$5)</f>
        <v>9935287.9890610538</v>
      </c>
      <c r="G6753">
        <f t="shared" si="105"/>
        <v>4.4000000000000004</v>
      </c>
    </row>
    <row r="6754" spans="2:7" x14ac:dyDescent="0.35">
      <c r="B6754" s="1">
        <v>45939</v>
      </c>
      <c r="C6754" s="2">
        <v>0.33333333333333331</v>
      </c>
      <c r="D6754">
        <v>12.3</v>
      </c>
      <c r="E6754">
        <f>IF($D6754 &gt; 16, 0, $J$3*(16 - $D6754))</f>
        <v>768.66997799257877</v>
      </c>
      <c r="F6754">
        <f>IF($D6754 &gt; 16, 0,$E6754*$J$5)</f>
        <v>8354673.990801339</v>
      </c>
      <c r="G6754">
        <f t="shared" si="105"/>
        <v>3.6999999999999993</v>
      </c>
    </row>
    <row r="6755" spans="2:7" x14ac:dyDescent="0.35">
      <c r="B6755" s="1">
        <v>45939</v>
      </c>
      <c r="C6755" s="2">
        <v>0.375</v>
      </c>
      <c r="D6755">
        <v>14.2</v>
      </c>
      <c r="E6755">
        <f>IF($D6755 &gt; 16, 0, $J$3*(16 - $D6755))</f>
        <v>373.94755686125472</v>
      </c>
      <c r="F6755">
        <f>IF($D6755 &gt; 16, 0,$E6755*$J$5)</f>
        <v>4064435.9955249778</v>
      </c>
      <c r="G6755">
        <f t="shared" si="105"/>
        <v>1.8000000000000007</v>
      </c>
    </row>
    <row r="6756" spans="2:7" x14ac:dyDescent="0.35">
      <c r="B6756" s="1">
        <v>45939</v>
      </c>
      <c r="C6756" s="2">
        <v>0.41666666666666669</v>
      </c>
      <c r="D6756">
        <v>14.3</v>
      </c>
      <c r="E6756">
        <f>IF($D6756 &gt; 16, 0, $J$3*(16 - $D6756))</f>
        <v>353.17269259118473</v>
      </c>
      <c r="F6756">
        <f>IF($D6756 &gt; 16, 0,$E6756*$J$5)</f>
        <v>3838633.9957735869</v>
      </c>
      <c r="G6756">
        <f t="shared" si="105"/>
        <v>1.6999999999999993</v>
      </c>
    </row>
    <row r="6757" spans="2:7" x14ac:dyDescent="0.35">
      <c r="B6757" s="1">
        <v>45939</v>
      </c>
      <c r="C6757" s="2">
        <v>0.45833333333333331</v>
      </c>
      <c r="D6757">
        <v>13.8</v>
      </c>
      <c r="E6757">
        <f>IF($D6757 &gt; 16, 0, $J$3*(16 - $D6757))</f>
        <v>457.04701394153324</v>
      </c>
      <c r="F6757">
        <f>IF($D6757 &gt; 16, 0,$E6757*$J$5)</f>
        <v>4967643.9945305251</v>
      </c>
      <c r="G6757">
        <f t="shared" si="105"/>
        <v>2.1999999999999993</v>
      </c>
    </row>
    <row r="6758" spans="2:7" x14ac:dyDescent="0.35">
      <c r="B6758" s="1">
        <v>45939</v>
      </c>
      <c r="C6758" s="2">
        <v>0.5</v>
      </c>
      <c r="D6758">
        <v>14.1</v>
      </c>
      <c r="E6758">
        <f>IF($D6758 &gt; 16, 0, $J$3*(16 - $D6758))</f>
        <v>394.72242113132438</v>
      </c>
      <c r="F6758">
        <f>IF($D6758 &gt; 16, 0,$E6758*$J$5)</f>
        <v>4290237.9952763645</v>
      </c>
      <c r="G6758">
        <f t="shared" si="105"/>
        <v>1.9000000000000004</v>
      </c>
    </row>
    <row r="6759" spans="2:7" x14ac:dyDescent="0.35">
      <c r="B6759" s="1">
        <v>45939</v>
      </c>
      <c r="C6759" s="2">
        <v>0.54166666666666663</v>
      </c>
      <c r="D6759">
        <v>14.6</v>
      </c>
      <c r="E6759">
        <f>IF($D6759 &gt; 16, 0, $J$3*(16 - $D6759))</f>
        <v>290.84809978097587</v>
      </c>
      <c r="F6759">
        <f>IF($D6759 &gt; 16, 0,$E6759*$J$5)</f>
        <v>3161227.9965194268</v>
      </c>
      <c r="G6759">
        <f t="shared" si="105"/>
        <v>1.4000000000000004</v>
      </c>
    </row>
    <row r="6760" spans="2:7" x14ac:dyDescent="0.35">
      <c r="B6760" s="1">
        <v>45939</v>
      </c>
      <c r="C6760" s="2">
        <v>0.58333333333333337</v>
      </c>
      <c r="D6760">
        <v>14.2</v>
      </c>
      <c r="E6760">
        <f>IF($D6760 &gt; 16, 0, $J$3*(16 - $D6760))</f>
        <v>373.94755686125472</v>
      </c>
      <c r="F6760">
        <f>IF($D6760 &gt; 16, 0,$E6760*$J$5)</f>
        <v>4064435.9955249778</v>
      </c>
      <c r="G6760">
        <f t="shared" si="105"/>
        <v>1.8000000000000007</v>
      </c>
    </row>
    <row r="6761" spans="2:7" x14ac:dyDescent="0.35">
      <c r="B6761" s="1">
        <v>45939</v>
      </c>
      <c r="C6761" s="2">
        <v>0.625</v>
      </c>
      <c r="D6761">
        <v>13.5</v>
      </c>
      <c r="E6761">
        <f>IF($D6761 &gt; 16, 0, $J$3*(16 - $D6761))</f>
        <v>519.37160675174243</v>
      </c>
      <c r="F6761">
        <f>IF($D6761 &gt; 16, 0,$E6761*$J$5)</f>
        <v>5645049.9937846884</v>
      </c>
      <c r="G6761">
        <f t="shared" si="105"/>
        <v>2.5</v>
      </c>
    </row>
    <row r="6762" spans="2:7" x14ac:dyDescent="0.35">
      <c r="B6762" s="1">
        <v>45939</v>
      </c>
      <c r="C6762" s="2">
        <v>0.66666666666666663</v>
      </c>
      <c r="D6762">
        <v>12.8</v>
      </c>
      <c r="E6762">
        <f>IF($D6762 &gt; 16, 0, $J$3*(16 - $D6762))</f>
        <v>664.79565664223026</v>
      </c>
      <c r="F6762">
        <f>IF($D6762 &gt; 16, 0,$E6762*$J$5)</f>
        <v>7225663.9920444004</v>
      </c>
      <c r="G6762">
        <f t="shared" si="105"/>
        <v>3.1999999999999993</v>
      </c>
    </row>
    <row r="6763" spans="2:7" x14ac:dyDescent="0.35">
      <c r="B6763" s="1">
        <v>45939</v>
      </c>
      <c r="C6763" s="2">
        <v>0.70833333333333337</v>
      </c>
      <c r="D6763">
        <v>13</v>
      </c>
      <c r="E6763">
        <f>IF($D6763 &gt; 16, 0, $J$3*(16 - $D6763))</f>
        <v>623.24592810209094</v>
      </c>
      <c r="F6763">
        <f>IF($D6763 &gt; 16, 0,$E6763*$J$5)</f>
        <v>6774059.9925416261</v>
      </c>
      <c r="G6763">
        <f t="shared" si="105"/>
        <v>3</v>
      </c>
    </row>
    <row r="6764" spans="2:7" x14ac:dyDescent="0.35">
      <c r="B6764" s="1">
        <v>45939</v>
      </c>
      <c r="C6764" s="2">
        <v>0.75</v>
      </c>
      <c r="D6764">
        <v>13.1</v>
      </c>
      <c r="E6764">
        <f>IF($D6764 &gt; 16, 0, $J$3*(16 - $D6764))</f>
        <v>602.4710638320214</v>
      </c>
      <c r="F6764">
        <f>IF($D6764 &gt; 16, 0,$E6764*$J$5)</f>
        <v>6548257.9927902408</v>
      </c>
      <c r="G6764">
        <f t="shared" si="105"/>
        <v>2.9000000000000004</v>
      </c>
    </row>
    <row r="6765" spans="2:7" x14ac:dyDescent="0.35">
      <c r="B6765" s="1">
        <v>45939</v>
      </c>
      <c r="C6765" s="2">
        <v>0.79166666666666663</v>
      </c>
      <c r="D6765">
        <v>13.2</v>
      </c>
      <c r="E6765">
        <f>IF($D6765 &gt; 16, 0, $J$3*(16 - $D6765))</f>
        <v>581.69619956195174</v>
      </c>
      <c r="F6765">
        <f>IF($D6765 &gt; 16, 0,$E6765*$J$5)</f>
        <v>6322455.9930388536</v>
      </c>
      <c r="G6765">
        <f t="shared" si="105"/>
        <v>2.8000000000000007</v>
      </c>
    </row>
    <row r="6766" spans="2:7" x14ac:dyDescent="0.35">
      <c r="B6766" s="1">
        <v>45939</v>
      </c>
      <c r="C6766" s="2">
        <v>0.83333333333333337</v>
      </c>
      <c r="D6766">
        <v>13.1</v>
      </c>
      <c r="E6766">
        <f>IF($D6766 &gt; 16, 0, $J$3*(16 - $D6766))</f>
        <v>602.4710638320214</v>
      </c>
      <c r="F6766">
        <f>IF($D6766 &gt; 16, 0,$E6766*$J$5)</f>
        <v>6548257.9927902408</v>
      </c>
      <c r="G6766">
        <f t="shared" si="105"/>
        <v>2.9000000000000004</v>
      </c>
    </row>
    <row r="6767" spans="2:7" x14ac:dyDescent="0.35">
      <c r="B6767" s="1">
        <v>45939</v>
      </c>
      <c r="C6767" s="2">
        <v>0.875</v>
      </c>
      <c r="D6767">
        <v>12.4</v>
      </c>
      <c r="E6767">
        <f>IF($D6767 &gt; 16, 0, $J$3*(16 - $D6767))</f>
        <v>747.89511372250911</v>
      </c>
      <c r="F6767">
        <f>IF($D6767 &gt; 16, 0,$E6767*$J$5)</f>
        <v>8128871.9910499519</v>
      </c>
      <c r="G6767">
        <f t="shared" si="105"/>
        <v>3.5999999999999996</v>
      </c>
    </row>
    <row r="6768" spans="2:7" x14ac:dyDescent="0.35">
      <c r="B6768" s="1">
        <v>45939</v>
      </c>
      <c r="C6768" s="2">
        <v>0.91666666666666663</v>
      </c>
      <c r="D6768">
        <v>12.9</v>
      </c>
      <c r="E6768">
        <f>IF($D6768 &gt; 16, 0, $J$3*(16 - $D6768))</f>
        <v>644.0207923721606</v>
      </c>
      <c r="F6768">
        <f>IF($D6768 &gt; 16, 0,$E6768*$J$5)</f>
        <v>6999861.9922930133</v>
      </c>
      <c r="G6768">
        <f t="shared" si="105"/>
        <v>3.0999999999999996</v>
      </c>
    </row>
    <row r="6769" spans="2:7" x14ac:dyDescent="0.35">
      <c r="B6769" s="1">
        <v>45939</v>
      </c>
      <c r="C6769" s="2">
        <v>0.95833333333333337</v>
      </c>
      <c r="D6769">
        <v>13.1</v>
      </c>
      <c r="E6769">
        <f>IF($D6769 &gt; 16, 0, $J$3*(16 - $D6769))</f>
        <v>602.4710638320214</v>
      </c>
      <c r="F6769">
        <f>IF($D6769 &gt; 16, 0,$E6769*$J$5)</f>
        <v>6548257.9927902408</v>
      </c>
      <c r="G6769">
        <f t="shared" si="105"/>
        <v>2.9000000000000004</v>
      </c>
    </row>
    <row r="6770" spans="2:7" x14ac:dyDescent="0.35">
      <c r="B6770" s="1">
        <v>45940</v>
      </c>
      <c r="C6770" s="2">
        <v>0</v>
      </c>
      <c r="D6770">
        <v>13.3</v>
      </c>
      <c r="E6770">
        <f>IF($D6770 &gt; 16, 0, $J$3*(16 - $D6770))</f>
        <v>560.92133529188175</v>
      </c>
      <c r="F6770">
        <f>IF($D6770 &gt; 16, 0,$E6770*$J$5)</f>
        <v>6096653.9932874627</v>
      </c>
      <c r="G6770">
        <f t="shared" si="105"/>
        <v>2.6999999999999993</v>
      </c>
    </row>
    <row r="6771" spans="2:7" x14ac:dyDescent="0.35">
      <c r="B6771" s="1">
        <v>45940</v>
      </c>
      <c r="C6771" s="2">
        <v>4.1666666666666657E-2</v>
      </c>
      <c r="D6771">
        <v>13.4</v>
      </c>
      <c r="E6771">
        <f>IF($D6771 &gt; 16, 0, $J$3*(16 - $D6771))</f>
        <v>540.14647102181209</v>
      </c>
      <c r="F6771">
        <f>IF($D6771 &gt; 16, 0,$E6771*$J$5)</f>
        <v>5870851.9935360756</v>
      </c>
      <c r="G6771">
        <f t="shared" si="105"/>
        <v>2.5999999999999996</v>
      </c>
    </row>
    <row r="6772" spans="2:7" x14ac:dyDescent="0.35">
      <c r="B6772" s="1">
        <v>45940</v>
      </c>
      <c r="C6772" s="2">
        <v>8.3333333333333329E-2</v>
      </c>
      <c r="D6772">
        <v>12.5</v>
      </c>
      <c r="E6772">
        <f>IF($D6772 &gt; 16, 0, $J$3*(16 - $D6772))</f>
        <v>727.12024945243945</v>
      </c>
      <c r="F6772">
        <f>IF($D6772 &gt; 16, 0,$E6772*$J$5)</f>
        <v>7903069.9912985647</v>
      </c>
      <c r="G6772">
        <f t="shared" si="105"/>
        <v>3.5</v>
      </c>
    </row>
    <row r="6773" spans="2:7" x14ac:dyDescent="0.35">
      <c r="B6773" s="1">
        <v>45940</v>
      </c>
      <c r="C6773" s="2">
        <v>0.125</v>
      </c>
      <c r="D6773">
        <v>11.9</v>
      </c>
      <c r="E6773">
        <f>IF($D6773 &gt; 16, 0, $J$3*(16 - $D6773))</f>
        <v>851.76943507285762</v>
      </c>
      <c r="F6773">
        <f>IF($D6773 &gt; 16, 0,$E6773*$J$5)</f>
        <v>9257881.9898068886</v>
      </c>
      <c r="G6773">
        <f t="shared" si="105"/>
        <v>4.0999999999999996</v>
      </c>
    </row>
    <row r="6774" spans="2:7" x14ac:dyDescent="0.35">
      <c r="B6774" s="1">
        <v>45940</v>
      </c>
      <c r="C6774" s="2">
        <v>0.16666666666666671</v>
      </c>
      <c r="D6774">
        <v>11.7</v>
      </c>
      <c r="E6774">
        <f>IF($D6774 &gt; 16, 0, $J$3*(16 - $D6774))</f>
        <v>893.31916361299716</v>
      </c>
      <c r="F6774">
        <f>IF($D6774 &gt; 16, 0,$E6774*$J$5)</f>
        <v>9709485.9893096667</v>
      </c>
      <c r="G6774">
        <f t="shared" si="105"/>
        <v>4.3000000000000007</v>
      </c>
    </row>
    <row r="6775" spans="2:7" x14ac:dyDescent="0.35">
      <c r="B6775" s="1">
        <v>45940</v>
      </c>
      <c r="C6775" s="2">
        <v>0.20833333333333329</v>
      </c>
      <c r="D6775">
        <v>10.9</v>
      </c>
      <c r="E6775">
        <f>IF($D6775 &gt; 16, 0, $J$3*(16 - $D6775))</f>
        <v>1059.5180777735545</v>
      </c>
      <c r="F6775">
        <f>IF($D6775 &gt; 16, 0,$E6775*$J$5)</f>
        <v>11515901.987320764</v>
      </c>
      <c r="G6775">
        <f t="shared" si="105"/>
        <v>5.0999999999999996</v>
      </c>
    </row>
    <row r="6776" spans="2:7" x14ac:dyDescent="0.35">
      <c r="B6776" s="1">
        <v>45940</v>
      </c>
      <c r="C6776" s="2">
        <v>0.25</v>
      </c>
      <c r="D6776">
        <v>11.3</v>
      </c>
      <c r="E6776">
        <f>IF($D6776 &gt; 16, 0, $J$3*(16 - $D6776))</f>
        <v>976.41862069327567</v>
      </c>
      <c r="F6776">
        <f>IF($D6776 &gt; 16, 0,$E6776*$J$5)</f>
        <v>10612693.988315213</v>
      </c>
      <c r="G6776">
        <f t="shared" si="105"/>
        <v>4.6999999999999993</v>
      </c>
    </row>
    <row r="6777" spans="2:7" x14ac:dyDescent="0.35">
      <c r="B6777" s="1">
        <v>45940</v>
      </c>
      <c r="C6777" s="2">
        <v>0.29166666666666669</v>
      </c>
      <c r="D6777">
        <v>12.1</v>
      </c>
      <c r="E6777">
        <f>IF($D6777 &gt; 16, 0, $J$3*(16 - $D6777))</f>
        <v>810.21970653271831</v>
      </c>
      <c r="F6777">
        <f>IF($D6777 &gt; 16, 0,$E6777*$J$5)</f>
        <v>8806277.9903041162</v>
      </c>
      <c r="G6777">
        <f t="shared" si="105"/>
        <v>3.9000000000000004</v>
      </c>
    </row>
    <row r="6778" spans="2:7" x14ac:dyDescent="0.35">
      <c r="B6778" s="1">
        <v>45940</v>
      </c>
      <c r="C6778" s="2">
        <v>0.33333333333333331</v>
      </c>
      <c r="D6778">
        <v>13.3</v>
      </c>
      <c r="E6778">
        <f>IF($D6778 &gt; 16, 0, $J$3*(16 - $D6778))</f>
        <v>560.92133529188175</v>
      </c>
      <c r="F6778">
        <f>IF($D6778 &gt; 16, 0,$E6778*$J$5)</f>
        <v>6096653.9932874627</v>
      </c>
      <c r="G6778">
        <f t="shared" si="105"/>
        <v>2.6999999999999993</v>
      </c>
    </row>
    <row r="6779" spans="2:7" x14ac:dyDescent="0.35">
      <c r="B6779" s="1">
        <v>45940</v>
      </c>
      <c r="C6779" s="2">
        <v>0.375</v>
      </c>
      <c r="D6779">
        <v>13.3</v>
      </c>
      <c r="E6779">
        <f>IF($D6779 &gt; 16, 0, $J$3*(16 - $D6779))</f>
        <v>560.92133529188175</v>
      </c>
      <c r="F6779">
        <f>IF($D6779 &gt; 16, 0,$E6779*$J$5)</f>
        <v>6096653.9932874627</v>
      </c>
      <c r="G6779">
        <f t="shared" si="105"/>
        <v>2.6999999999999993</v>
      </c>
    </row>
    <row r="6780" spans="2:7" x14ac:dyDescent="0.35">
      <c r="B6780" s="1">
        <v>45940</v>
      </c>
      <c r="C6780" s="2">
        <v>0.41666666666666669</v>
      </c>
      <c r="D6780">
        <v>14.8</v>
      </c>
      <c r="E6780">
        <f>IF($D6780 &gt; 16, 0, $J$3*(16 - $D6780))</f>
        <v>249.29837124083625</v>
      </c>
      <c r="F6780">
        <f>IF($D6780 &gt; 16, 0,$E6780*$J$5)</f>
        <v>2709623.9970166492</v>
      </c>
      <c r="G6780">
        <f t="shared" si="105"/>
        <v>1.1999999999999993</v>
      </c>
    </row>
    <row r="6781" spans="2:7" x14ac:dyDescent="0.35">
      <c r="B6781" s="1">
        <v>45940</v>
      </c>
      <c r="C6781" s="2">
        <v>0.45833333333333331</v>
      </c>
      <c r="D6781">
        <v>15.2</v>
      </c>
      <c r="E6781">
        <f>IF($D6781 &gt; 16, 0, $J$3*(16 - $D6781))</f>
        <v>166.19891416055773</v>
      </c>
      <c r="F6781">
        <f>IF($D6781 &gt; 16, 0,$E6781*$J$5)</f>
        <v>1806415.998011102</v>
      </c>
      <c r="G6781">
        <f t="shared" si="105"/>
        <v>0.80000000000000071</v>
      </c>
    </row>
    <row r="6782" spans="2:7" x14ac:dyDescent="0.35">
      <c r="B6782" s="1">
        <v>45940</v>
      </c>
      <c r="C6782" s="2">
        <v>0.5</v>
      </c>
      <c r="D6782">
        <v>15</v>
      </c>
      <c r="E6782">
        <f>IF($D6782 &gt; 16, 0, $J$3*(16 - $D6782))</f>
        <v>207.74864270069699</v>
      </c>
      <c r="F6782">
        <f>IF($D6782 &gt; 16, 0,$E6782*$J$5)</f>
        <v>2258019.9975138754</v>
      </c>
      <c r="G6782">
        <f t="shared" si="105"/>
        <v>1</v>
      </c>
    </row>
    <row r="6783" spans="2:7" x14ac:dyDescent="0.35">
      <c r="B6783" s="1">
        <v>45940</v>
      </c>
      <c r="C6783" s="2">
        <v>0.54166666666666663</v>
      </c>
      <c r="D6783">
        <v>15.3</v>
      </c>
      <c r="E6783">
        <f>IF($D6783 &gt; 16, 0, $J$3*(16 - $D6783))</f>
        <v>145.42404989048774</v>
      </c>
      <c r="F6783">
        <f>IF($D6783 &gt; 16, 0,$E6783*$J$5)</f>
        <v>1580613.9982597113</v>
      </c>
      <c r="G6783">
        <f t="shared" si="105"/>
        <v>0.69999999999999929</v>
      </c>
    </row>
    <row r="6784" spans="2:7" x14ac:dyDescent="0.35">
      <c r="B6784" s="1">
        <v>45940</v>
      </c>
      <c r="C6784" s="2">
        <v>0.58333333333333337</v>
      </c>
      <c r="D6784">
        <v>15.4</v>
      </c>
      <c r="E6784">
        <f>IF($D6784 &gt; 16, 0, $J$3*(16 - $D6784))</f>
        <v>124.64918562041812</v>
      </c>
      <c r="F6784">
        <f>IF($D6784 &gt; 16, 0,$E6784*$J$5)</f>
        <v>1354811.9985083246</v>
      </c>
      <c r="G6784">
        <f t="shared" si="105"/>
        <v>0.59999999999999964</v>
      </c>
    </row>
    <row r="6785" spans="2:7" x14ac:dyDescent="0.35">
      <c r="B6785" s="1">
        <v>45940</v>
      </c>
      <c r="C6785" s="2">
        <v>0.625</v>
      </c>
      <c r="D6785">
        <v>15.3</v>
      </c>
      <c r="E6785">
        <f>IF($D6785 &gt; 16, 0, $J$3*(16 - $D6785))</f>
        <v>145.42404989048774</v>
      </c>
      <c r="F6785">
        <f>IF($D6785 &gt; 16, 0,$E6785*$J$5)</f>
        <v>1580613.9982597113</v>
      </c>
      <c r="G6785">
        <f t="shared" si="105"/>
        <v>0.69999999999999929</v>
      </c>
    </row>
    <row r="6786" spans="2:7" x14ac:dyDescent="0.35">
      <c r="B6786" s="1">
        <v>45940</v>
      </c>
      <c r="C6786" s="2">
        <v>0.66666666666666663</v>
      </c>
      <c r="D6786">
        <v>15.2</v>
      </c>
      <c r="E6786">
        <f>IF($D6786 &gt; 16, 0, $J$3*(16 - $D6786))</f>
        <v>166.19891416055773</v>
      </c>
      <c r="F6786">
        <f>IF($D6786 &gt; 16, 0,$E6786*$J$5)</f>
        <v>1806415.998011102</v>
      </c>
      <c r="G6786">
        <f t="shared" si="105"/>
        <v>0.80000000000000071</v>
      </c>
    </row>
    <row r="6787" spans="2:7" x14ac:dyDescent="0.35">
      <c r="B6787" s="1">
        <v>45940</v>
      </c>
      <c r="C6787" s="2">
        <v>0.70833333333333337</v>
      </c>
      <c r="D6787">
        <v>14.4</v>
      </c>
      <c r="E6787">
        <f>IF($D6787 &gt; 16, 0, $J$3*(16 - $D6787))</f>
        <v>332.39782832111513</v>
      </c>
      <c r="F6787">
        <f>IF($D6787 &gt; 16, 0,$E6787*$J$5)</f>
        <v>3612831.9960222002</v>
      </c>
      <c r="G6787">
        <f t="shared" ref="G6787:G6850" si="106">MAX(0, 16 - $D6787)</f>
        <v>1.5999999999999996</v>
      </c>
    </row>
    <row r="6788" spans="2:7" x14ac:dyDescent="0.35">
      <c r="B6788" s="1">
        <v>45940</v>
      </c>
      <c r="C6788" s="2">
        <v>0.75</v>
      </c>
      <c r="D6788">
        <v>13.8</v>
      </c>
      <c r="E6788">
        <f>IF($D6788 &gt; 16, 0, $J$3*(16 - $D6788))</f>
        <v>457.04701394153324</v>
      </c>
      <c r="F6788">
        <f>IF($D6788 &gt; 16, 0,$E6788*$J$5)</f>
        <v>4967643.9945305251</v>
      </c>
      <c r="G6788">
        <f t="shared" si="106"/>
        <v>2.1999999999999993</v>
      </c>
    </row>
    <row r="6789" spans="2:7" x14ac:dyDescent="0.35">
      <c r="B6789" s="1">
        <v>45940</v>
      </c>
      <c r="C6789" s="2">
        <v>0.79166666666666663</v>
      </c>
      <c r="D6789">
        <v>13.9</v>
      </c>
      <c r="E6789">
        <f>IF($D6789 &gt; 16, 0, $J$3*(16 - $D6789))</f>
        <v>436.27214967146358</v>
      </c>
      <c r="F6789">
        <f>IF($D6789 &gt; 16, 0,$E6789*$J$5)</f>
        <v>4741841.9947791379</v>
      </c>
      <c r="G6789">
        <f t="shared" si="106"/>
        <v>2.0999999999999996</v>
      </c>
    </row>
    <row r="6790" spans="2:7" x14ac:dyDescent="0.35">
      <c r="B6790" s="1">
        <v>45940</v>
      </c>
      <c r="C6790" s="2">
        <v>0.83333333333333337</v>
      </c>
      <c r="D6790">
        <v>14.1</v>
      </c>
      <c r="E6790">
        <f>IF($D6790 &gt; 16, 0, $J$3*(16 - $D6790))</f>
        <v>394.72242113132438</v>
      </c>
      <c r="F6790">
        <f>IF($D6790 &gt; 16, 0,$E6790*$J$5)</f>
        <v>4290237.9952763645</v>
      </c>
      <c r="G6790">
        <f t="shared" si="106"/>
        <v>1.9000000000000004</v>
      </c>
    </row>
    <row r="6791" spans="2:7" x14ac:dyDescent="0.35">
      <c r="B6791" s="1">
        <v>45940</v>
      </c>
      <c r="C6791" s="2">
        <v>0.875</v>
      </c>
      <c r="D6791">
        <v>14</v>
      </c>
      <c r="E6791">
        <f>IF($D6791 &gt; 16, 0, $J$3*(16 - $D6791))</f>
        <v>415.49728540139398</v>
      </c>
      <c r="F6791">
        <f>IF($D6791 &gt; 16, 0,$E6791*$J$5)</f>
        <v>4516039.9950277507</v>
      </c>
      <c r="G6791">
        <f t="shared" si="106"/>
        <v>2</v>
      </c>
    </row>
    <row r="6792" spans="2:7" x14ac:dyDescent="0.35">
      <c r="B6792" s="1">
        <v>45940</v>
      </c>
      <c r="C6792" s="2">
        <v>0.91666666666666663</v>
      </c>
      <c r="D6792">
        <v>13.8</v>
      </c>
      <c r="E6792">
        <f>IF($D6792 &gt; 16, 0, $J$3*(16 - $D6792))</f>
        <v>457.04701394153324</v>
      </c>
      <c r="F6792">
        <f>IF($D6792 &gt; 16, 0,$E6792*$J$5)</f>
        <v>4967643.9945305251</v>
      </c>
      <c r="G6792">
        <f t="shared" si="106"/>
        <v>2.1999999999999993</v>
      </c>
    </row>
    <row r="6793" spans="2:7" x14ac:dyDescent="0.35">
      <c r="B6793" s="1">
        <v>45940</v>
      </c>
      <c r="C6793" s="2">
        <v>0.95833333333333337</v>
      </c>
      <c r="D6793">
        <v>13.9</v>
      </c>
      <c r="E6793">
        <f>IF($D6793 &gt; 16, 0, $J$3*(16 - $D6793))</f>
        <v>436.27214967146358</v>
      </c>
      <c r="F6793">
        <f>IF($D6793 &gt; 16, 0,$E6793*$J$5)</f>
        <v>4741841.9947791379</v>
      </c>
      <c r="G6793">
        <f t="shared" si="106"/>
        <v>2.0999999999999996</v>
      </c>
    </row>
    <row r="6794" spans="2:7" x14ac:dyDescent="0.35">
      <c r="B6794" s="1">
        <v>45941</v>
      </c>
      <c r="C6794" s="2">
        <v>0</v>
      </c>
      <c r="D6794">
        <v>13.9</v>
      </c>
      <c r="E6794">
        <f>IF($D6794 &gt; 16, 0, $J$3*(16 - $D6794))</f>
        <v>436.27214967146358</v>
      </c>
      <c r="F6794">
        <f>IF($D6794 &gt; 16, 0,$E6794*$J$5)</f>
        <v>4741841.9947791379</v>
      </c>
      <c r="G6794">
        <f t="shared" si="106"/>
        <v>2.0999999999999996</v>
      </c>
    </row>
    <row r="6795" spans="2:7" x14ac:dyDescent="0.35">
      <c r="B6795" s="1">
        <v>45941</v>
      </c>
      <c r="C6795" s="2">
        <v>4.1666666666666657E-2</v>
      </c>
      <c r="D6795">
        <v>13.6</v>
      </c>
      <c r="E6795">
        <f>IF($D6795 &gt; 16, 0, $J$3*(16 - $D6795))</f>
        <v>498.59674248167283</v>
      </c>
      <c r="F6795">
        <f>IF($D6795 &gt; 16, 0,$E6795*$J$5)</f>
        <v>5419247.9940333022</v>
      </c>
      <c r="G6795">
        <f t="shared" si="106"/>
        <v>2.4000000000000004</v>
      </c>
    </row>
    <row r="6796" spans="2:7" x14ac:dyDescent="0.35">
      <c r="B6796" s="1">
        <v>45941</v>
      </c>
      <c r="C6796" s="2">
        <v>8.3333333333333329E-2</v>
      </c>
      <c r="D6796">
        <v>13.5</v>
      </c>
      <c r="E6796">
        <f>IF($D6796 &gt; 16, 0, $J$3*(16 - $D6796))</f>
        <v>519.37160675174243</v>
      </c>
      <c r="F6796">
        <f>IF($D6796 &gt; 16, 0,$E6796*$J$5)</f>
        <v>5645049.9937846884</v>
      </c>
      <c r="G6796">
        <f t="shared" si="106"/>
        <v>2.5</v>
      </c>
    </row>
    <row r="6797" spans="2:7" x14ac:dyDescent="0.35">
      <c r="B6797" s="1">
        <v>45941</v>
      </c>
      <c r="C6797" s="2">
        <v>0.125</v>
      </c>
      <c r="D6797">
        <v>13.6</v>
      </c>
      <c r="E6797">
        <f>IF($D6797 &gt; 16, 0, $J$3*(16 - $D6797))</f>
        <v>498.59674248167283</v>
      </c>
      <c r="F6797">
        <f>IF($D6797 &gt; 16, 0,$E6797*$J$5)</f>
        <v>5419247.9940333022</v>
      </c>
      <c r="G6797">
        <f t="shared" si="106"/>
        <v>2.4000000000000004</v>
      </c>
    </row>
    <row r="6798" spans="2:7" x14ac:dyDescent="0.35">
      <c r="B6798" s="1">
        <v>45941</v>
      </c>
      <c r="C6798" s="2">
        <v>0.16666666666666671</v>
      </c>
      <c r="D6798">
        <v>13.5</v>
      </c>
      <c r="E6798">
        <f>IF($D6798 &gt; 16, 0, $J$3*(16 - $D6798))</f>
        <v>519.37160675174243</v>
      </c>
      <c r="F6798">
        <f>IF($D6798 &gt; 16, 0,$E6798*$J$5)</f>
        <v>5645049.9937846884</v>
      </c>
      <c r="G6798">
        <f t="shared" si="106"/>
        <v>2.5</v>
      </c>
    </row>
    <row r="6799" spans="2:7" x14ac:dyDescent="0.35">
      <c r="B6799" s="1">
        <v>45941</v>
      </c>
      <c r="C6799" s="2">
        <v>0.20833333333333329</v>
      </c>
      <c r="D6799">
        <v>13.4</v>
      </c>
      <c r="E6799">
        <f>IF($D6799 &gt; 16, 0, $J$3*(16 - $D6799))</f>
        <v>540.14647102181209</v>
      </c>
      <c r="F6799">
        <f>IF($D6799 &gt; 16, 0,$E6799*$J$5)</f>
        <v>5870851.9935360756</v>
      </c>
      <c r="G6799">
        <f t="shared" si="106"/>
        <v>2.5999999999999996</v>
      </c>
    </row>
    <row r="6800" spans="2:7" x14ac:dyDescent="0.35">
      <c r="B6800" s="1">
        <v>45941</v>
      </c>
      <c r="C6800" s="2">
        <v>0.25</v>
      </c>
      <c r="D6800">
        <v>13.4</v>
      </c>
      <c r="E6800">
        <f>IF($D6800 &gt; 16, 0, $J$3*(16 - $D6800))</f>
        <v>540.14647102181209</v>
      </c>
      <c r="F6800">
        <f>IF($D6800 &gt; 16, 0,$E6800*$J$5)</f>
        <v>5870851.9935360756</v>
      </c>
      <c r="G6800">
        <f t="shared" si="106"/>
        <v>2.5999999999999996</v>
      </c>
    </row>
    <row r="6801" spans="2:7" x14ac:dyDescent="0.35">
      <c r="B6801" s="1">
        <v>45941</v>
      </c>
      <c r="C6801" s="2">
        <v>0.29166666666666669</v>
      </c>
      <c r="D6801">
        <v>13.5</v>
      </c>
      <c r="E6801">
        <f>IF($D6801 &gt; 16, 0, $J$3*(16 - $D6801))</f>
        <v>519.37160675174243</v>
      </c>
      <c r="F6801">
        <f>IF($D6801 &gt; 16, 0,$E6801*$J$5)</f>
        <v>5645049.9937846884</v>
      </c>
      <c r="G6801">
        <f t="shared" si="106"/>
        <v>2.5</v>
      </c>
    </row>
    <row r="6802" spans="2:7" x14ac:dyDescent="0.35">
      <c r="B6802" s="1">
        <v>45941</v>
      </c>
      <c r="C6802" s="2">
        <v>0.33333333333333331</v>
      </c>
      <c r="D6802">
        <v>13.8</v>
      </c>
      <c r="E6802">
        <f>IF($D6802 &gt; 16, 0, $J$3*(16 - $D6802))</f>
        <v>457.04701394153324</v>
      </c>
      <c r="F6802">
        <f>IF($D6802 &gt; 16, 0,$E6802*$J$5)</f>
        <v>4967643.9945305251</v>
      </c>
      <c r="G6802">
        <f t="shared" si="106"/>
        <v>2.1999999999999993</v>
      </c>
    </row>
    <row r="6803" spans="2:7" x14ac:dyDescent="0.35">
      <c r="B6803" s="1">
        <v>45941</v>
      </c>
      <c r="C6803" s="2">
        <v>0.375</v>
      </c>
      <c r="D6803">
        <v>14.6</v>
      </c>
      <c r="E6803">
        <f>IF($D6803 &gt; 16, 0, $J$3*(16 - $D6803))</f>
        <v>290.84809978097587</v>
      </c>
      <c r="F6803">
        <f>IF($D6803 &gt; 16, 0,$E6803*$J$5)</f>
        <v>3161227.9965194268</v>
      </c>
      <c r="G6803">
        <f t="shared" si="106"/>
        <v>1.4000000000000004</v>
      </c>
    </row>
    <row r="6804" spans="2:7" x14ac:dyDescent="0.35">
      <c r="B6804" s="1">
        <v>45941</v>
      </c>
      <c r="C6804" s="2">
        <v>0.41666666666666669</v>
      </c>
      <c r="D6804">
        <v>15</v>
      </c>
      <c r="E6804">
        <f>IF($D6804 &gt; 16, 0, $J$3*(16 - $D6804))</f>
        <v>207.74864270069699</v>
      </c>
      <c r="F6804">
        <f>IF($D6804 &gt; 16, 0,$E6804*$J$5)</f>
        <v>2258019.9975138754</v>
      </c>
      <c r="G6804">
        <f t="shared" si="106"/>
        <v>1</v>
      </c>
    </row>
    <row r="6805" spans="2:7" x14ac:dyDescent="0.35">
      <c r="B6805" s="1">
        <v>45941</v>
      </c>
      <c r="C6805" s="2">
        <v>0.45833333333333331</v>
      </c>
      <c r="D6805">
        <v>15.7</v>
      </c>
      <c r="E6805">
        <f>IF($D6805 &gt; 16, 0, $J$3*(16 - $D6805))</f>
        <v>62.324592810209246</v>
      </c>
      <c r="F6805">
        <f>IF($D6805 &gt; 16, 0,$E6805*$J$5)</f>
        <v>677405.99925416429</v>
      </c>
      <c r="G6805">
        <f t="shared" si="106"/>
        <v>0.30000000000000071</v>
      </c>
    </row>
    <row r="6806" spans="2:7" x14ac:dyDescent="0.35">
      <c r="B6806" s="1">
        <v>45941</v>
      </c>
      <c r="C6806" s="2">
        <v>0.5</v>
      </c>
      <c r="D6806">
        <v>15.6</v>
      </c>
      <c r="E6806">
        <f>IF($D6806 &gt; 16, 0, $J$3*(16 - $D6806))</f>
        <v>83.099457080278867</v>
      </c>
      <c r="F6806">
        <f>IF($D6806 &gt; 16, 0,$E6806*$J$5)</f>
        <v>903207.99900555098</v>
      </c>
      <c r="G6806">
        <f t="shared" si="106"/>
        <v>0.40000000000000036</v>
      </c>
    </row>
    <row r="6807" spans="2:7" x14ac:dyDescent="0.35">
      <c r="B6807" s="1">
        <v>45941</v>
      </c>
      <c r="C6807" s="2">
        <v>0.54166666666666663</v>
      </c>
      <c r="D6807">
        <v>15.7</v>
      </c>
      <c r="E6807">
        <f>IF($D6807 &gt; 16, 0, $J$3*(16 - $D6807))</f>
        <v>62.324592810209246</v>
      </c>
      <c r="F6807">
        <f>IF($D6807 &gt; 16, 0,$E6807*$J$5)</f>
        <v>677405.99925416429</v>
      </c>
      <c r="G6807">
        <f t="shared" si="106"/>
        <v>0.30000000000000071</v>
      </c>
    </row>
    <row r="6808" spans="2:7" x14ac:dyDescent="0.35">
      <c r="B6808" s="1">
        <v>45941</v>
      </c>
      <c r="C6808" s="2">
        <v>0.58333333333333337</v>
      </c>
      <c r="D6808">
        <v>15.2</v>
      </c>
      <c r="E6808">
        <f>IF($D6808 &gt; 16, 0, $J$3*(16 - $D6808))</f>
        <v>166.19891416055773</v>
      </c>
      <c r="F6808">
        <f>IF($D6808 &gt; 16, 0,$E6808*$J$5)</f>
        <v>1806415.998011102</v>
      </c>
      <c r="G6808">
        <f t="shared" si="106"/>
        <v>0.80000000000000071</v>
      </c>
    </row>
    <row r="6809" spans="2:7" x14ac:dyDescent="0.35">
      <c r="B6809" s="1">
        <v>45941</v>
      </c>
      <c r="C6809" s="2">
        <v>0.625</v>
      </c>
      <c r="D6809">
        <v>14.9</v>
      </c>
      <c r="E6809">
        <f>IF($D6809 &gt; 16, 0, $J$3*(16 - $D6809))</f>
        <v>228.52350697076662</v>
      </c>
      <c r="F6809">
        <f>IF($D6809 &gt; 16, 0,$E6809*$J$5)</f>
        <v>2483821.9972652625</v>
      </c>
      <c r="G6809">
        <f t="shared" si="106"/>
        <v>1.0999999999999996</v>
      </c>
    </row>
    <row r="6810" spans="2:7" x14ac:dyDescent="0.35">
      <c r="B6810" s="1">
        <v>45941</v>
      </c>
      <c r="C6810" s="2">
        <v>0.66666666666666663</v>
      </c>
      <c r="D6810">
        <v>14.5</v>
      </c>
      <c r="E6810">
        <f>IF($D6810 &gt; 16, 0, $J$3*(16 - $D6810))</f>
        <v>311.62296405104547</v>
      </c>
      <c r="F6810">
        <f>IF($D6810 &gt; 16, 0,$E6810*$J$5)</f>
        <v>3387029.996270813</v>
      </c>
      <c r="G6810">
        <f t="shared" si="106"/>
        <v>1.5</v>
      </c>
    </row>
    <row r="6811" spans="2:7" x14ac:dyDescent="0.35">
      <c r="B6811" s="1">
        <v>45941</v>
      </c>
      <c r="C6811" s="2">
        <v>0.70833333333333337</v>
      </c>
      <c r="D6811">
        <v>13.9</v>
      </c>
      <c r="E6811">
        <f>IF($D6811 &gt; 16, 0, $J$3*(16 - $D6811))</f>
        <v>436.27214967146358</v>
      </c>
      <c r="F6811">
        <f>IF($D6811 &gt; 16, 0,$E6811*$J$5)</f>
        <v>4741841.9947791379</v>
      </c>
      <c r="G6811">
        <f t="shared" si="106"/>
        <v>2.0999999999999996</v>
      </c>
    </row>
    <row r="6812" spans="2:7" x14ac:dyDescent="0.35">
      <c r="B6812" s="1">
        <v>45941</v>
      </c>
      <c r="C6812" s="2">
        <v>0.75</v>
      </c>
      <c r="D6812">
        <v>13.5</v>
      </c>
      <c r="E6812">
        <f>IF($D6812 &gt; 16, 0, $J$3*(16 - $D6812))</f>
        <v>519.37160675174243</v>
      </c>
      <c r="F6812">
        <f>IF($D6812 &gt; 16, 0,$E6812*$J$5)</f>
        <v>5645049.9937846884</v>
      </c>
      <c r="G6812">
        <f t="shared" si="106"/>
        <v>2.5</v>
      </c>
    </row>
    <row r="6813" spans="2:7" x14ac:dyDescent="0.35">
      <c r="B6813" s="1">
        <v>45941</v>
      </c>
      <c r="C6813" s="2">
        <v>0.79166666666666663</v>
      </c>
      <c r="D6813">
        <v>13.3</v>
      </c>
      <c r="E6813">
        <f>IF($D6813 &gt; 16, 0, $J$3*(16 - $D6813))</f>
        <v>560.92133529188175</v>
      </c>
      <c r="F6813">
        <f>IF($D6813 &gt; 16, 0,$E6813*$J$5)</f>
        <v>6096653.9932874627</v>
      </c>
      <c r="G6813">
        <f t="shared" si="106"/>
        <v>2.6999999999999993</v>
      </c>
    </row>
    <row r="6814" spans="2:7" x14ac:dyDescent="0.35">
      <c r="B6814" s="1">
        <v>45941</v>
      </c>
      <c r="C6814" s="2">
        <v>0.83333333333333337</v>
      </c>
      <c r="D6814">
        <v>13</v>
      </c>
      <c r="E6814">
        <f>IF($D6814 &gt; 16, 0, $J$3*(16 - $D6814))</f>
        <v>623.24592810209094</v>
      </c>
      <c r="F6814">
        <f>IF($D6814 &gt; 16, 0,$E6814*$J$5)</f>
        <v>6774059.9925416261</v>
      </c>
      <c r="G6814">
        <f t="shared" si="106"/>
        <v>3</v>
      </c>
    </row>
    <row r="6815" spans="2:7" x14ac:dyDescent="0.35">
      <c r="B6815" s="1">
        <v>45941</v>
      </c>
      <c r="C6815" s="2">
        <v>0.875</v>
      </c>
      <c r="D6815">
        <v>12.9</v>
      </c>
      <c r="E6815">
        <f>IF($D6815 &gt; 16, 0, $J$3*(16 - $D6815))</f>
        <v>644.0207923721606</v>
      </c>
      <c r="F6815">
        <f>IF($D6815 &gt; 16, 0,$E6815*$J$5)</f>
        <v>6999861.9922930133</v>
      </c>
      <c r="G6815">
        <f t="shared" si="106"/>
        <v>3.0999999999999996</v>
      </c>
    </row>
    <row r="6816" spans="2:7" x14ac:dyDescent="0.35">
      <c r="B6816" s="1">
        <v>45941</v>
      </c>
      <c r="C6816" s="2">
        <v>0.91666666666666663</v>
      </c>
      <c r="D6816">
        <v>12.8</v>
      </c>
      <c r="E6816">
        <f>IF($D6816 &gt; 16, 0, $J$3*(16 - $D6816))</f>
        <v>664.79565664223026</v>
      </c>
      <c r="F6816">
        <f>IF($D6816 &gt; 16, 0,$E6816*$J$5)</f>
        <v>7225663.9920444004</v>
      </c>
      <c r="G6816">
        <f t="shared" si="106"/>
        <v>3.1999999999999993</v>
      </c>
    </row>
    <row r="6817" spans="2:7" x14ac:dyDescent="0.35">
      <c r="B6817" s="1">
        <v>45941</v>
      </c>
      <c r="C6817" s="2">
        <v>0.95833333333333337</v>
      </c>
      <c r="D6817">
        <v>12.6</v>
      </c>
      <c r="E6817">
        <f>IF($D6817 &gt; 16, 0, $J$3*(16 - $D6817))</f>
        <v>706.3453851823698</v>
      </c>
      <c r="F6817">
        <f>IF($D6817 &gt; 16, 0,$E6817*$J$5)</f>
        <v>7677267.9915471775</v>
      </c>
      <c r="G6817">
        <f t="shared" si="106"/>
        <v>3.4000000000000004</v>
      </c>
    </row>
    <row r="6818" spans="2:7" x14ac:dyDescent="0.35">
      <c r="B6818" s="1">
        <v>45942</v>
      </c>
      <c r="C6818" s="2">
        <v>0</v>
      </c>
      <c r="D6818">
        <v>12.6</v>
      </c>
      <c r="E6818">
        <f>IF($D6818 &gt; 16, 0, $J$3*(16 - $D6818))</f>
        <v>706.3453851823698</v>
      </c>
      <c r="F6818">
        <f>IF($D6818 &gt; 16, 0,$E6818*$J$5)</f>
        <v>7677267.9915471775</v>
      </c>
      <c r="G6818">
        <f t="shared" si="106"/>
        <v>3.4000000000000004</v>
      </c>
    </row>
    <row r="6819" spans="2:7" x14ac:dyDescent="0.35">
      <c r="B6819" s="1">
        <v>45942</v>
      </c>
      <c r="C6819" s="2">
        <v>4.1666666666666657E-2</v>
      </c>
      <c r="D6819">
        <v>12.5</v>
      </c>
      <c r="E6819">
        <f>IF($D6819 &gt; 16, 0, $J$3*(16 - $D6819))</f>
        <v>727.12024945243945</v>
      </c>
      <c r="F6819">
        <f>IF($D6819 &gt; 16, 0,$E6819*$J$5)</f>
        <v>7903069.9912985647</v>
      </c>
      <c r="G6819">
        <f t="shared" si="106"/>
        <v>3.5</v>
      </c>
    </row>
    <row r="6820" spans="2:7" x14ac:dyDescent="0.35">
      <c r="B6820" s="1">
        <v>45942</v>
      </c>
      <c r="C6820" s="2">
        <v>8.3333333333333329E-2</v>
      </c>
      <c r="D6820">
        <v>12.5</v>
      </c>
      <c r="E6820">
        <f>IF($D6820 &gt; 16, 0, $J$3*(16 - $D6820))</f>
        <v>727.12024945243945</v>
      </c>
      <c r="F6820">
        <f>IF($D6820 &gt; 16, 0,$E6820*$J$5)</f>
        <v>7903069.9912985647</v>
      </c>
      <c r="G6820">
        <f t="shared" si="106"/>
        <v>3.5</v>
      </c>
    </row>
    <row r="6821" spans="2:7" x14ac:dyDescent="0.35">
      <c r="B6821" s="1">
        <v>45942</v>
      </c>
      <c r="C6821" s="2">
        <v>0.125</v>
      </c>
      <c r="D6821">
        <v>12.4</v>
      </c>
      <c r="E6821">
        <f>IF($D6821 &gt; 16, 0, $J$3*(16 - $D6821))</f>
        <v>747.89511372250911</v>
      </c>
      <c r="F6821">
        <f>IF($D6821 &gt; 16, 0,$E6821*$J$5)</f>
        <v>8128871.9910499519</v>
      </c>
      <c r="G6821">
        <f t="shared" si="106"/>
        <v>3.5999999999999996</v>
      </c>
    </row>
    <row r="6822" spans="2:7" x14ac:dyDescent="0.35">
      <c r="B6822" s="1">
        <v>45942</v>
      </c>
      <c r="C6822" s="2">
        <v>0.16666666666666671</v>
      </c>
      <c r="D6822">
        <v>12.3</v>
      </c>
      <c r="E6822">
        <f>IF($D6822 &gt; 16, 0, $J$3*(16 - $D6822))</f>
        <v>768.66997799257877</v>
      </c>
      <c r="F6822">
        <f>IF($D6822 &gt; 16, 0,$E6822*$J$5)</f>
        <v>8354673.990801339</v>
      </c>
      <c r="G6822">
        <f t="shared" si="106"/>
        <v>3.6999999999999993</v>
      </c>
    </row>
    <row r="6823" spans="2:7" x14ac:dyDescent="0.35">
      <c r="B6823" s="1">
        <v>45942</v>
      </c>
      <c r="C6823" s="2">
        <v>0.20833333333333329</v>
      </c>
      <c r="D6823">
        <v>12.3</v>
      </c>
      <c r="E6823">
        <f>IF($D6823 &gt; 16, 0, $J$3*(16 - $D6823))</f>
        <v>768.66997799257877</v>
      </c>
      <c r="F6823">
        <f>IF($D6823 &gt; 16, 0,$E6823*$J$5)</f>
        <v>8354673.990801339</v>
      </c>
      <c r="G6823">
        <f t="shared" si="106"/>
        <v>3.6999999999999993</v>
      </c>
    </row>
    <row r="6824" spans="2:7" x14ac:dyDescent="0.35">
      <c r="B6824" s="1">
        <v>45942</v>
      </c>
      <c r="C6824" s="2">
        <v>0.25</v>
      </c>
      <c r="D6824">
        <v>12.3</v>
      </c>
      <c r="E6824">
        <f>IF($D6824 &gt; 16, 0, $J$3*(16 - $D6824))</f>
        <v>768.66997799257877</v>
      </c>
      <c r="F6824">
        <f>IF($D6824 &gt; 16, 0,$E6824*$J$5)</f>
        <v>8354673.990801339</v>
      </c>
      <c r="G6824">
        <f t="shared" si="106"/>
        <v>3.6999999999999993</v>
      </c>
    </row>
    <row r="6825" spans="2:7" x14ac:dyDescent="0.35">
      <c r="B6825" s="1">
        <v>45942</v>
      </c>
      <c r="C6825" s="2">
        <v>0.29166666666666669</v>
      </c>
      <c r="D6825">
        <v>12.3</v>
      </c>
      <c r="E6825">
        <f>IF($D6825 &gt; 16, 0, $J$3*(16 - $D6825))</f>
        <v>768.66997799257877</v>
      </c>
      <c r="F6825">
        <f>IF($D6825 &gt; 16, 0,$E6825*$J$5)</f>
        <v>8354673.990801339</v>
      </c>
      <c r="G6825">
        <f t="shared" si="106"/>
        <v>3.6999999999999993</v>
      </c>
    </row>
    <row r="6826" spans="2:7" x14ac:dyDescent="0.35">
      <c r="B6826" s="1">
        <v>45942</v>
      </c>
      <c r="C6826" s="2">
        <v>0.33333333333333331</v>
      </c>
      <c r="D6826">
        <v>13.1</v>
      </c>
      <c r="E6826">
        <f>IF($D6826 &gt; 16, 0, $J$3*(16 - $D6826))</f>
        <v>602.4710638320214</v>
      </c>
      <c r="F6826">
        <f>IF($D6826 &gt; 16, 0,$E6826*$J$5)</f>
        <v>6548257.9927902408</v>
      </c>
      <c r="G6826">
        <f t="shared" si="106"/>
        <v>2.9000000000000004</v>
      </c>
    </row>
    <row r="6827" spans="2:7" x14ac:dyDescent="0.35">
      <c r="B6827" s="1">
        <v>45942</v>
      </c>
      <c r="C6827" s="2">
        <v>0.375</v>
      </c>
      <c r="D6827">
        <v>13.6</v>
      </c>
      <c r="E6827">
        <f>IF($D6827 &gt; 16, 0, $J$3*(16 - $D6827))</f>
        <v>498.59674248167283</v>
      </c>
      <c r="F6827">
        <f>IF($D6827 &gt; 16, 0,$E6827*$J$5)</f>
        <v>5419247.9940333022</v>
      </c>
      <c r="G6827">
        <f t="shared" si="106"/>
        <v>2.4000000000000004</v>
      </c>
    </row>
    <row r="6828" spans="2:7" x14ac:dyDescent="0.35">
      <c r="B6828" s="1">
        <v>45942</v>
      </c>
      <c r="C6828" s="2">
        <v>0.41666666666666669</v>
      </c>
      <c r="D6828">
        <v>14.4</v>
      </c>
      <c r="E6828">
        <f>IF($D6828 &gt; 16, 0, $J$3*(16 - $D6828))</f>
        <v>332.39782832111513</v>
      </c>
      <c r="F6828">
        <f>IF($D6828 &gt; 16, 0,$E6828*$J$5)</f>
        <v>3612831.9960222002</v>
      </c>
      <c r="G6828">
        <f t="shared" si="106"/>
        <v>1.5999999999999996</v>
      </c>
    </row>
    <row r="6829" spans="2:7" x14ac:dyDescent="0.35">
      <c r="B6829" s="1">
        <v>45942</v>
      </c>
      <c r="C6829" s="2">
        <v>0.45833333333333331</v>
      </c>
      <c r="D6829">
        <v>14.4</v>
      </c>
      <c r="E6829">
        <f>IF($D6829 &gt; 16, 0, $J$3*(16 - $D6829))</f>
        <v>332.39782832111513</v>
      </c>
      <c r="F6829">
        <f>IF($D6829 &gt; 16, 0,$E6829*$J$5)</f>
        <v>3612831.9960222002</v>
      </c>
      <c r="G6829">
        <f t="shared" si="106"/>
        <v>1.5999999999999996</v>
      </c>
    </row>
    <row r="6830" spans="2:7" x14ac:dyDescent="0.35">
      <c r="B6830" s="1">
        <v>45942</v>
      </c>
      <c r="C6830" s="2">
        <v>0.5</v>
      </c>
      <c r="D6830">
        <v>15.8</v>
      </c>
      <c r="E6830">
        <f>IF($D6830 &gt; 16, 0, $J$3*(16 - $D6830))</f>
        <v>41.549728540139249</v>
      </c>
      <c r="F6830">
        <f>IF($D6830 &gt; 16, 0,$E6830*$J$5)</f>
        <v>451603.99950277351</v>
      </c>
      <c r="G6830">
        <f t="shared" si="106"/>
        <v>0.19999999999999929</v>
      </c>
    </row>
    <row r="6831" spans="2:7" x14ac:dyDescent="0.35">
      <c r="B6831" s="1">
        <v>45942</v>
      </c>
      <c r="C6831" s="2">
        <v>0.54166666666666663</v>
      </c>
      <c r="D6831">
        <v>16.2</v>
      </c>
      <c r="E6831">
        <f>IF($D6831 &gt; 16, 0, $J$3*(16 - $D6831))</f>
        <v>0</v>
      </c>
      <c r="F6831">
        <f>IF($D6831 &gt; 16, 0,$E6831*$J$5)</f>
        <v>0</v>
      </c>
      <c r="G6831">
        <f t="shared" si="106"/>
        <v>0</v>
      </c>
    </row>
    <row r="6832" spans="2:7" x14ac:dyDescent="0.35">
      <c r="B6832" s="1">
        <v>45942</v>
      </c>
      <c r="C6832" s="2">
        <v>0.58333333333333337</v>
      </c>
      <c r="D6832">
        <v>15.9</v>
      </c>
      <c r="E6832">
        <f>IF($D6832 &gt; 16, 0, $J$3*(16 - $D6832))</f>
        <v>20.774864270069624</v>
      </c>
      <c r="F6832">
        <f>IF($D6832 &gt; 16, 0,$E6832*$J$5)</f>
        <v>225801.99975138676</v>
      </c>
      <c r="G6832">
        <f t="shared" si="106"/>
        <v>9.9999999999999645E-2</v>
      </c>
    </row>
    <row r="6833" spans="2:7" x14ac:dyDescent="0.35">
      <c r="B6833" s="1">
        <v>45942</v>
      </c>
      <c r="C6833" s="2">
        <v>0.625</v>
      </c>
      <c r="D6833">
        <v>15.8</v>
      </c>
      <c r="E6833">
        <f>IF($D6833 &gt; 16, 0, $J$3*(16 - $D6833))</f>
        <v>41.549728540139249</v>
      </c>
      <c r="F6833">
        <f>IF($D6833 &gt; 16, 0,$E6833*$J$5)</f>
        <v>451603.99950277351</v>
      </c>
      <c r="G6833">
        <f t="shared" si="106"/>
        <v>0.19999999999999929</v>
      </c>
    </row>
    <row r="6834" spans="2:7" x14ac:dyDescent="0.35">
      <c r="B6834" s="1">
        <v>45942</v>
      </c>
      <c r="C6834" s="2">
        <v>0.66666666666666663</v>
      </c>
      <c r="D6834">
        <v>15.4</v>
      </c>
      <c r="E6834">
        <f>IF($D6834 &gt; 16, 0, $J$3*(16 - $D6834))</f>
        <v>124.64918562041812</v>
      </c>
      <c r="F6834">
        <f>IF($D6834 &gt; 16, 0,$E6834*$J$5)</f>
        <v>1354811.9985083246</v>
      </c>
      <c r="G6834">
        <f t="shared" si="106"/>
        <v>0.59999999999999964</v>
      </c>
    </row>
    <row r="6835" spans="2:7" x14ac:dyDescent="0.35">
      <c r="B6835" s="1">
        <v>45942</v>
      </c>
      <c r="C6835" s="2">
        <v>0.70833333333333337</v>
      </c>
      <c r="D6835">
        <v>14.9</v>
      </c>
      <c r="E6835">
        <f>IF($D6835 &gt; 16, 0, $J$3*(16 - $D6835))</f>
        <v>228.52350697076662</v>
      </c>
      <c r="F6835">
        <f>IF($D6835 &gt; 16, 0,$E6835*$J$5)</f>
        <v>2483821.9972652625</v>
      </c>
      <c r="G6835">
        <f t="shared" si="106"/>
        <v>1.0999999999999996</v>
      </c>
    </row>
    <row r="6836" spans="2:7" x14ac:dyDescent="0.35">
      <c r="B6836" s="1">
        <v>45942</v>
      </c>
      <c r="C6836" s="2">
        <v>0.75</v>
      </c>
      <c r="D6836">
        <v>14.3</v>
      </c>
      <c r="E6836">
        <f>IF($D6836 &gt; 16, 0, $J$3*(16 - $D6836))</f>
        <v>353.17269259118473</v>
      </c>
      <c r="F6836">
        <f>IF($D6836 &gt; 16, 0,$E6836*$J$5)</f>
        <v>3838633.9957735869</v>
      </c>
      <c r="G6836">
        <f t="shared" si="106"/>
        <v>1.6999999999999993</v>
      </c>
    </row>
    <row r="6837" spans="2:7" x14ac:dyDescent="0.35">
      <c r="B6837" s="1">
        <v>45942</v>
      </c>
      <c r="C6837" s="2">
        <v>0.79166666666666663</v>
      </c>
      <c r="D6837">
        <v>13.9</v>
      </c>
      <c r="E6837">
        <f>IF($D6837 &gt; 16, 0, $J$3*(16 - $D6837))</f>
        <v>436.27214967146358</v>
      </c>
      <c r="F6837">
        <f>IF($D6837 &gt; 16, 0,$E6837*$J$5)</f>
        <v>4741841.9947791379</v>
      </c>
      <c r="G6837">
        <f t="shared" si="106"/>
        <v>2.0999999999999996</v>
      </c>
    </row>
    <row r="6838" spans="2:7" x14ac:dyDescent="0.35">
      <c r="B6838" s="1">
        <v>45942</v>
      </c>
      <c r="C6838" s="2">
        <v>0.83333333333333337</v>
      </c>
      <c r="D6838">
        <v>13</v>
      </c>
      <c r="E6838">
        <f>IF($D6838 &gt; 16, 0, $J$3*(16 - $D6838))</f>
        <v>623.24592810209094</v>
      </c>
      <c r="F6838">
        <f>IF($D6838 &gt; 16, 0,$E6838*$J$5)</f>
        <v>6774059.9925416261</v>
      </c>
      <c r="G6838">
        <f t="shared" si="106"/>
        <v>3</v>
      </c>
    </row>
    <row r="6839" spans="2:7" x14ac:dyDescent="0.35">
      <c r="B6839" s="1">
        <v>45942</v>
      </c>
      <c r="C6839" s="2">
        <v>0.875</v>
      </c>
      <c r="D6839">
        <v>11.7</v>
      </c>
      <c r="E6839">
        <f>IF($D6839 &gt; 16, 0, $J$3*(16 - $D6839))</f>
        <v>893.31916361299716</v>
      </c>
      <c r="F6839">
        <f>IF($D6839 &gt; 16, 0,$E6839*$J$5)</f>
        <v>9709485.9893096667</v>
      </c>
      <c r="G6839">
        <f t="shared" si="106"/>
        <v>4.3000000000000007</v>
      </c>
    </row>
    <row r="6840" spans="2:7" x14ac:dyDescent="0.35">
      <c r="B6840" s="1">
        <v>45942</v>
      </c>
      <c r="C6840" s="2">
        <v>0.91666666666666663</v>
      </c>
      <c r="D6840">
        <v>10.8</v>
      </c>
      <c r="E6840">
        <f>IF($D6840 &gt; 16, 0, $J$3*(16 - $D6840))</f>
        <v>1080.2929420436242</v>
      </c>
      <c r="F6840">
        <f>IF($D6840 &gt; 16, 0,$E6840*$J$5)</f>
        <v>11741703.987072151</v>
      </c>
      <c r="G6840">
        <f t="shared" si="106"/>
        <v>5.1999999999999993</v>
      </c>
    </row>
    <row r="6841" spans="2:7" x14ac:dyDescent="0.35">
      <c r="B6841" s="1">
        <v>45942</v>
      </c>
      <c r="C6841" s="2">
        <v>0.95833333333333337</v>
      </c>
      <c r="D6841">
        <v>9.1999999999999993</v>
      </c>
      <c r="E6841">
        <f>IF($D6841 &gt; 16, 0, $J$3*(16 - $D6841))</f>
        <v>1412.6907703647396</v>
      </c>
      <c r="F6841">
        <f>IF($D6841 &gt; 16, 0,$E6841*$J$5)</f>
        <v>15354535.983094355</v>
      </c>
      <c r="G6841">
        <f t="shared" si="106"/>
        <v>6.8000000000000007</v>
      </c>
    </row>
    <row r="6842" spans="2:7" x14ac:dyDescent="0.35">
      <c r="B6842" s="1">
        <v>45943</v>
      </c>
      <c r="C6842" s="2">
        <v>0</v>
      </c>
      <c r="D6842">
        <v>8.9</v>
      </c>
      <c r="E6842">
        <f>IF($D6842 &gt; 16, 0, $J$3*(16 - $D6842))</f>
        <v>1475.0153631749486</v>
      </c>
      <c r="F6842">
        <f>IF($D6842 &gt; 16, 0,$E6842*$J$5)</f>
        <v>16031941.982348517</v>
      </c>
      <c r="G6842">
        <f t="shared" si="106"/>
        <v>7.1</v>
      </c>
    </row>
    <row r="6843" spans="2:7" x14ac:dyDescent="0.35">
      <c r="B6843" s="1">
        <v>45943</v>
      </c>
      <c r="C6843" s="2">
        <v>4.1666666666666657E-2</v>
      </c>
      <c r="D6843">
        <v>8.3000000000000007</v>
      </c>
      <c r="E6843">
        <f>IF($D6843 &gt; 16, 0, $J$3*(16 - $D6843))</f>
        <v>1599.6645487953667</v>
      </c>
      <c r="F6843">
        <f>IF($D6843 &gt; 16, 0,$E6843*$J$5)</f>
        <v>17386753.98085684</v>
      </c>
      <c r="G6843">
        <f t="shared" si="106"/>
        <v>7.6999999999999993</v>
      </c>
    </row>
    <row r="6844" spans="2:7" x14ac:dyDescent="0.35">
      <c r="B6844" s="1">
        <v>45943</v>
      </c>
      <c r="C6844" s="2">
        <v>8.3333333333333329E-2</v>
      </c>
      <c r="D6844">
        <v>9.8000000000000007</v>
      </c>
      <c r="E6844">
        <f>IF($D6844 &gt; 16, 0, $J$3*(16 - $D6844))</f>
        <v>1288.0415847443212</v>
      </c>
      <c r="F6844">
        <f>IF($D6844 &gt; 16, 0,$E6844*$J$5)</f>
        <v>13999723.984586027</v>
      </c>
      <c r="G6844">
        <f t="shared" si="106"/>
        <v>6.1999999999999993</v>
      </c>
    </row>
    <row r="6845" spans="2:7" x14ac:dyDescent="0.35">
      <c r="B6845" s="1">
        <v>45943</v>
      </c>
      <c r="C6845" s="2">
        <v>0.125</v>
      </c>
      <c r="D6845">
        <v>10.1</v>
      </c>
      <c r="E6845">
        <f>IF($D6845 &gt; 16, 0, $J$3*(16 - $D6845))</f>
        <v>1225.7169919341122</v>
      </c>
      <c r="F6845">
        <f>IF($D6845 &gt; 16, 0,$E6845*$J$5)</f>
        <v>13322317.985331865</v>
      </c>
      <c r="G6845">
        <f t="shared" si="106"/>
        <v>5.9</v>
      </c>
    </row>
    <row r="6846" spans="2:7" x14ac:dyDescent="0.35">
      <c r="B6846" s="1">
        <v>45943</v>
      </c>
      <c r="C6846" s="2">
        <v>0.16666666666666671</v>
      </c>
      <c r="D6846">
        <v>10.1</v>
      </c>
      <c r="E6846">
        <f>IF($D6846 &gt; 16, 0, $J$3*(16 - $D6846))</f>
        <v>1225.7169919341122</v>
      </c>
      <c r="F6846">
        <f>IF($D6846 &gt; 16, 0,$E6846*$J$5)</f>
        <v>13322317.985331865</v>
      </c>
      <c r="G6846">
        <f t="shared" si="106"/>
        <v>5.9</v>
      </c>
    </row>
    <row r="6847" spans="2:7" x14ac:dyDescent="0.35">
      <c r="B6847" s="1">
        <v>45943</v>
      </c>
      <c r="C6847" s="2">
        <v>0.20833333333333329</v>
      </c>
      <c r="D6847">
        <v>9.8000000000000007</v>
      </c>
      <c r="E6847">
        <f>IF($D6847 &gt; 16, 0, $J$3*(16 - $D6847))</f>
        <v>1288.0415847443212</v>
      </c>
      <c r="F6847">
        <f>IF($D6847 &gt; 16, 0,$E6847*$J$5)</f>
        <v>13999723.984586027</v>
      </c>
      <c r="G6847">
        <f t="shared" si="106"/>
        <v>6.1999999999999993</v>
      </c>
    </row>
    <row r="6848" spans="2:7" x14ac:dyDescent="0.35">
      <c r="B6848" s="1">
        <v>45943</v>
      </c>
      <c r="C6848" s="2">
        <v>0.25</v>
      </c>
      <c r="D6848">
        <v>9.6999999999999993</v>
      </c>
      <c r="E6848">
        <f>IF($D6848 &gt; 16, 0, $J$3*(16 - $D6848))</f>
        <v>1308.8164490143911</v>
      </c>
      <c r="F6848">
        <f>IF($D6848 &gt; 16, 0,$E6848*$J$5)</f>
        <v>14225525.984337417</v>
      </c>
      <c r="G6848">
        <f t="shared" si="106"/>
        <v>6.3000000000000007</v>
      </c>
    </row>
    <row r="6849" spans="2:7" x14ac:dyDescent="0.35">
      <c r="B6849" s="1">
        <v>45943</v>
      </c>
      <c r="C6849" s="2">
        <v>0.29166666666666669</v>
      </c>
      <c r="D6849">
        <v>9.6</v>
      </c>
      <c r="E6849">
        <f>IF($D6849 &gt; 16, 0, $J$3*(16 - $D6849))</f>
        <v>1329.5913132844607</v>
      </c>
      <c r="F6849">
        <f>IF($D6849 &gt; 16, 0,$E6849*$J$5)</f>
        <v>14451327.984088805</v>
      </c>
      <c r="G6849">
        <f t="shared" si="106"/>
        <v>6.4</v>
      </c>
    </row>
    <row r="6850" spans="2:7" x14ac:dyDescent="0.35">
      <c r="B6850" s="1">
        <v>45943</v>
      </c>
      <c r="C6850" s="2">
        <v>0.33333333333333331</v>
      </c>
      <c r="D6850">
        <v>9.6</v>
      </c>
      <c r="E6850">
        <f>IF($D6850 &gt; 16, 0, $J$3*(16 - $D6850))</f>
        <v>1329.5913132844607</v>
      </c>
      <c r="F6850">
        <f>IF($D6850 &gt; 16, 0,$E6850*$J$5)</f>
        <v>14451327.984088805</v>
      </c>
      <c r="G6850">
        <f t="shared" si="106"/>
        <v>6.4</v>
      </c>
    </row>
    <row r="6851" spans="2:7" x14ac:dyDescent="0.35">
      <c r="B6851" s="1">
        <v>45943</v>
      </c>
      <c r="C6851" s="2">
        <v>0.375</v>
      </c>
      <c r="D6851">
        <v>12.1</v>
      </c>
      <c r="E6851">
        <f>IF($D6851 &gt; 16, 0, $J$3*(16 - $D6851))</f>
        <v>810.21970653271831</v>
      </c>
      <c r="F6851">
        <f>IF($D6851 &gt; 16, 0,$E6851*$J$5)</f>
        <v>8806277.9903041162</v>
      </c>
      <c r="G6851">
        <f t="shared" ref="G6851:G6914" si="107">MAX(0, 16 - $D6851)</f>
        <v>3.9000000000000004</v>
      </c>
    </row>
    <row r="6852" spans="2:7" x14ac:dyDescent="0.35">
      <c r="B6852" s="1">
        <v>45943</v>
      </c>
      <c r="C6852" s="2">
        <v>0.41666666666666669</v>
      </c>
      <c r="D6852">
        <v>12.5</v>
      </c>
      <c r="E6852">
        <f>IF($D6852 &gt; 16, 0, $J$3*(16 - $D6852))</f>
        <v>727.12024945243945</v>
      </c>
      <c r="F6852">
        <f>IF($D6852 &gt; 16, 0,$E6852*$J$5)</f>
        <v>7903069.9912985647</v>
      </c>
      <c r="G6852">
        <f t="shared" si="107"/>
        <v>3.5</v>
      </c>
    </row>
    <row r="6853" spans="2:7" x14ac:dyDescent="0.35">
      <c r="B6853" s="1">
        <v>45943</v>
      </c>
      <c r="C6853" s="2">
        <v>0.45833333333333331</v>
      </c>
      <c r="D6853">
        <v>14</v>
      </c>
      <c r="E6853">
        <f>IF($D6853 &gt; 16, 0, $J$3*(16 - $D6853))</f>
        <v>415.49728540139398</v>
      </c>
      <c r="F6853">
        <f>IF($D6853 &gt; 16, 0,$E6853*$J$5)</f>
        <v>4516039.9950277507</v>
      </c>
      <c r="G6853">
        <f t="shared" si="107"/>
        <v>2</v>
      </c>
    </row>
    <row r="6854" spans="2:7" x14ac:dyDescent="0.35">
      <c r="B6854" s="1">
        <v>45943</v>
      </c>
      <c r="C6854" s="2">
        <v>0.5</v>
      </c>
      <c r="D6854">
        <v>14.9</v>
      </c>
      <c r="E6854">
        <f>IF($D6854 &gt; 16, 0, $J$3*(16 - $D6854))</f>
        <v>228.52350697076662</v>
      </c>
      <c r="F6854">
        <f>IF($D6854 &gt; 16, 0,$E6854*$J$5)</f>
        <v>2483821.9972652625</v>
      </c>
      <c r="G6854">
        <f t="shared" si="107"/>
        <v>1.0999999999999996</v>
      </c>
    </row>
    <row r="6855" spans="2:7" x14ac:dyDescent="0.35">
      <c r="B6855" s="1">
        <v>45943</v>
      </c>
      <c r="C6855" s="2">
        <v>0.54166666666666663</v>
      </c>
      <c r="D6855">
        <v>15.1</v>
      </c>
      <c r="E6855">
        <f>IF($D6855 &gt; 16, 0, $J$3*(16 - $D6855))</f>
        <v>186.97377843062736</v>
      </c>
      <c r="F6855">
        <f>IF($D6855 &gt; 16, 0,$E6855*$J$5)</f>
        <v>2032217.9977624889</v>
      </c>
      <c r="G6855">
        <f t="shared" si="107"/>
        <v>0.90000000000000036</v>
      </c>
    </row>
    <row r="6856" spans="2:7" x14ac:dyDescent="0.35">
      <c r="B6856" s="1">
        <v>45943</v>
      </c>
      <c r="C6856" s="2">
        <v>0.58333333333333337</v>
      </c>
      <c r="D6856">
        <v>14.9</v>
      </c>
      <c r="E6856">
        <f>IF($D6856 &gt; 16, 0, $J$3*(16 - $D6856))</f>
        <v>228.52350697076662</v>
      </c>
      <c r="F6856">
        <f>IF($D6856 &gt; 16, 0,$E6856*$J$5)</f>
        <v>2483821.9972652625</v>
      </c>
      <c r="G6856">
        <f t="shared" si="107"/>
        <v>1.0999999999999996</v>
      </c>
    </row>
    <row r="6857" spans="2:7" x14ac:dyDescent="0.35">
      <c r="B6857" s="1">
        <v>45943</v>
      </c>
      <c r="C6857" s="2">
        <v>0.625</v>
      </c>
      <c r="D6857">
        <v>14.7</v>
      </c>
      <c r="E6857">
        <f>IF($D6857 &gt; 16, 0, $J$3*(16 - $D6857))</f>
        <v>270.07323551090622</v>
      </c>
      <c r="F6857">
        <f>IF($D6857 &gt; 16, 0,$E6857*$J$5)</f>
        <v>2935425.9967680397</v>
      </c>
      <c r="G6857">
        <f t="shared" si="107"/>
        <v>1.3000000000000007</v>
      </c>
    </row>
    <row r="6858" spans="2:7" x14ac:dyDescent="0.35">
      <c r="B6858" s="1">
        <v>45943</v>
      </c>
      <c r="C6858" s="2">
        <v>0.66666666666666663</v>
      </c>
      <c r="D6858">
        <v>13.2</v>
      </c>
      <c r="E6858">
        <f>IF($D6858 &gt; 16, 0, $J$3*(16 - $D6858))</f>
        <v>581.69619956195174</v>
      </c>
      <c r="F6858">
        <f>IF($D6858 &gt; 16, 0,$E6858*$J$5)</f>
        <v>6322455.9930388536</v>
      </c>
      <c r="G6858">
        <f t="shared" si="107"/>
        <v>2.8000000000000007</v>
      </c>
    </row>
    <row r="6859" spans="2:7" x14ac:dyDescent="0.35">
      <c r="B6859" s="1">
        <v>45943</v>
      </c>
      <c r="C6859" s="2">
        <v>0.70833333333333337</v>
      </c>
      <c r="D6859">
        <v>11.2</v>
      </c>
      <c r="E6859">
        <f>IF($D6859 &gt; 16, 0, $J$3*(16 - $D6859))</f>
        <v>997.19348496334567</v>
      </c>
      <c r="F6859">
        <f>IF($D6859 &gt; 16, 0,$E6859*$J$5)</f>
        <v>10838495.988066604</v>
      </c>
      <c r="G6859">
        <f t="shared" si="107"/>
        <v>4.8000000000000007</v>
      </c>
    </row>
    <row r="6860" spans="2:7" x14ac:dyDescent="0.35">
      <c r="B6860" s="1">
        <v>45943</v>
      </c>
      <c r="C6860" s="2">
        <v>0.75</v>
      </c>
      <c r="D6860">
        <v>9.8000000000000007</v>
      </c>
      <c r="E6860">
        <f>IF($D6860 &gt; 16, 0, $J$3*(16 - $D6860))</f>
        <v>1288.0415847443212</v>
      </c>
      <c r="F6860">
        <f>IF($D6860 &gt; 16, 0,$E6860*$J$5)</f>
        <v>13999723.984586027</v>
      </c>
      <c r="G6860">
        <f t="shared" si="107"/>
        <v>6.1999999999999993</v>
      </c>
    </row>
    <row r="6861" spans="2:7" x14ac:dyDescent="0.35">
      <c r="B6861" s="1">
        <v>45943</v>
      </c>
      <c r="C6861" s="2">
        <v>0.79166666666666663</v>
      </c>
      <c r="D6861">
        <v>9.3000000000000007</v>
      </c>
      <c r="E6861">
        <f>IF($D6861 &gt; 16, 0, $J$3*(16 - $D6861))</f>
        <v>1391.9159060946697</v>
      </c>
      <c r="F6861">
        <f>IF($D6861 &gt; 16, 0,$E6861*$J$5)</f>
        <v>15128733.983342964</v>
      </c>
      <c r="G6861">
        <f t="shared" si="107"/>
        <v>6.6999999999999993</v>
      </c>
    </row>
    <row r="6862" spans="2:7" x14ac:dyDescent="0.35">
      <c r="B6862" s="1">
        <v>45943</v>
      </c>
      <c r="C6862" s="2">
        <v>0.83333333333333337</v>
      </c>
      <c r="D6862">
        <v>10.1</v>
      </c>
      <c r="E6862">
        <f>IF($D6862 &gt; 16, 0, $J$3*(16 - $D6862))</f>
        <v>1225.7169919341122</v>
      </c>
      <c r="F6862">
        <f>IF($D6862 &gt; 16, 0,$E6862*$J$5)</f>
        <v>13322317.985331865</v>
      </c>
      <c r="G6862">
        <f t="shared" si="107"/>
        <v>5.9</v>
      </c>
    </row>
    <row r="6863" spans="2:7" x14ac:dyDescent="0.35">
      <c r="B6863" s="1">
        <v>45943</v>
      </c>
      <c r="C6863" s="2">
        <v>0.875</v>
      </c>
      <c r="D6863">
        <v>9.9</v>
      </c>
      <c r="E6863">
        <f>IF($D6863 &gt; 16, 0, $J$3*(16 - $D6863))</f>
        <v>1267.2667204742515</v>
      </c>
      <c r="F6863">
        <f>IF($D6863 &gt; 16, 0,$E6863*$J$5)</f>
        <v>13773921.984834639</v>
      </c>
      <c r="G6863">
        <f t="shared" si="107"/>
        <v>6.1</v>
      </c>
    </row>
    <row r="6864" spans="2:7" x14ac:dyDescent="0.35">
      <c r="B6864" s="1">
        <v>45943</v>
      </c>
      <c r="C6864" s="2">
        <v>0.91666666666666663</v>
      </c>
      <c r="D6864">
        <v>10.1</v>
      </c>
      <c r="E6864">
        <f>IF($D6864 &gt; 16, 0, $J$3*(16 - $D6864))</f>
        <v>1225.7169919341122</v>
      </c>
      <c r="F6864">
        <f>IF($D6864 &gt; 16, 0,$E6864*$J$5)</f>
        <v>13322317.985331865</v>
      </c>
      <c r="G6864">
        <f t="shared" si="107"/>
        <v>5.9</v>
      </c>
    </row>
    <row r="6865" spans="2:7" x14ac:dyDescent="0.35">
      <c r="B6865" s="1">
        <v>45943</v>
      </c>
      <c r="C6865" s="2">
        <v>0.95833333333333337</v>
      </c>
      <c r="D6865">
        <v>9.9</v>
      </c>
      <c r="E6865">
        <f>IF($D6865 &gt; 16, 0, $J$3*(16 - $D6865))</f>
        <v>1267.2667204742515</v>
      </c>
      <c r="F6865">
        <f>IF($D6865 &gt; 16, 0,$E6865*$J$5)</f>
        <v>13773921.984834639</v>
      </c>
      <c r="G6865">
        <f t="shared" si="107"/>
        <v>6.1</v>
      </c>
    </row>
    <row r="6866" spans="2:7" x14ac:dyDescent="0.35">
      <c r="B6866" s="1">
        <v>45944</v>
      </c>
      <c r="C6866" s="2">
        <v>0</v>
      </c>
      <c r="D6866">
        <v>9.9</v>
      </c>
      <c r="E6866">
        <f>IF($D6866 &gt; 16, 0, $J$3*(16 - $D6866))</f>
        <v>1267.2667204742515</v>
      </c>
      <c r="F6866">
        <f>IF($D6866 &gt; 16, 0,$E6866*$J$5)</f>
        <v>13773921.984834639</v>
      </c>
      <c r="G6866">
        <f t="shared" si="107"/>
        <v>6.1</v>
      </c>
    </row>
    <row r="6867" spans="2:7" x14ac:dyDescent="0.35">
      <c r="B6867" s="1">
        <v>45944</v>
      </c>
      <c r="C6867" s="2">
        <v>4.1666666666666657E-2</v>
      </c>
      <c r="D6867">
        <v>11</v>
      </c>
      <c r="E6867">
        <f>IF($D6867 &gt; 16, 0, $J$3*(16 - $D6867))</f>
        <v>1038.7432135034849</v>
      </c>
      <c r="F6867">
        <f>IF($D6867 &gt; 16, 0,$E6867*$J$5)</f>
        <v>11290099.987569377</v>
      </c>
      <c r="G6867">
        <f t="shared" si="107"/>
        <v>5</v>
      </c>
    </row>
    <row r="6868" spans="2:7" x14ac:dyDescent="0.35">
      <c r="B6868" s="1">
        <v>45944</v>
      </c>
      <c r="C6868" s="2">
        <v>8.3333333333333329E-2</v>
      </c>
      <c r="D6868">
        <v>11.3</v>
      </c>
      <c r="E6868">
        <f>IF($D6868 &gt; 16, 0, $J$3*(16 - $D6868))</f>
        <v>976.41862069327567</v>
      </c>
      <c r="F6868">
        <f>IF($D6868 &gt; 16, 0,$E6868*$J$5)</f>
        <v>10612693.988315213</v>
      </c>
      <c r="G6868">
        <f t="shared" si="107"/>
        <v>4.6999999999999993</v>
      </c>
    </row>
    <row r="6869" spans="2:7" x14ac:dyDescent="0.35">
      <c r="B6869" s="1">
        <v>45944</v>
      </c>
      <c r="C6869" s="2">
        <v>0.125</v>
      </c>
      <c r="D6869">
        <v>11.7</v>
      </c>
      <c r="E6869">
        <f>IF($D6869 &gt; 16, 0, $J$3*(16 - $D6869))</f>
        <v>893.31916361299716</v>
      </c>
      <c r="F6869">
        <f>IF($D6869 &gt; 16, 0,$E6869*$J$5)</f>
        <v>9709485.9893096667</v>
      </c>
      <c r="G6869">
        <f t="shared" si="107"/>
        <v>4.3000000000000007</v>
      </c>
    </row>
    <row r="6870" spans="2:7" x14ac:dyDescent="0.35">
      <c r="B6870" s="1">
        <v>45944</v>
      </c>
      <c r="C6870" s="2">
        <v>0.16666666666666671</v>
      </c>
      <c r="D6870">
        <v>12</v>
      </c>
      <c r="E6870">
        <f>IF($D6870 &gt; 16, 0, $J$3*(16 - $D6870))</f>
        <v>830.99457080278796</v>
      </c>
      <c r="F6870">
        <f>IF($D6870 &gt; 16, 0,$E6870*$J$5)</f>
        <v>9032079.9900555015</v>
      </c>
      <c r="G6870">
        <f t="shared" si="107"/>
        <v>4</v>
      </c>
    </row>
    <row r="6871" spans="2:7" x14ac:dyDescent="0.35">
      <c r="B6871" s="1">
        <v>45944</v>
      </c>
      <c r="C6871" s="2">
        <v>0.20833333333333329</v>
      </c>
      <c r="D6871">
        <v>12.2</v>
      </c>
      <c r="E6871">
        <f>IF($D6871 &gt; 16, 0, $J$3*(16 - $D6871))</f>
        <v>789.44484226264876</v>
      </c>
      <c r="F6871">
        <f>IF($D6871 &gt; 16, 0,$E6871*$J$5)</f>
        <v>8580475.990552729</v>
      </c>
      <c r="G6871">
        <f t="shared" si="107"/>
        <v>3.8000000000000007</v>
      </c>
    </row>
    <row r="6872" spans="2:7" x14ac:dyDescent="0.35">
      <c r="B6872" s="1">
        <v>45944</v>
      </c>
      <c r="C6872" s="2">
        <v>0.25</v>
      </c>
      <c r="D6872">
        <v>12.1</v>
      </c>
      <c r="E6872">
        <f>IF($D6872 &gt; 16, 0, $J$3*(16 - $D6872))</f>
        <v>810.21970653271831</v>
      </c>
      <c r="F6872">
        <f>IF($D6872 &gt; 16, 0,$E6872*$J$5)</f>
        <v>8806277.9903041162</v>
      </c>
      <c r="G6872">
        <f t="shared" si="107"/>
        <v>3.9000000000000004</v>
      </c>
    </row>
    <row r="6873" spans="2:7" x14ac:dyDescent="0.35">
      <c r="B6873" s="1">
        <v>45944</v>
      </c>
      <c r="C6873" s="2">
        <v>0.29166666666666669</v>
      </c>
      <c r="D6873">
        <v>11.7</v>
      </c>
      <c r="E6873">
        <f>IF($D6873 &gt; 16, 0, $J$3*(16 - $D6873))</f>
        <v>893.31916361299716</v>
      </c>
      <c r="F6873">
        <f>IF($D6873 &gt; 16, 0,$E6873*$J$5)</f>
        <v>9709485.9893096667</v>
      </c>
      <c r="G6873">
        <f t="shared" si="107"/>
        <v>4.3000000000000007</v>
      </c>
    </row>
    <row r="6874" spans="2:7" x14ac:dyDescent="0.35">
      <c r="B6874" s="1">
        <v>45944</v>
      </c>
      <c r="C6874" s="2">
        <v>0.33333333333333331</v>
      </c>
      <c r="D6874">
        <v>12</v>
      </c>
      <c r="E6874">
        <f>IF($D6874 &gt; 16, 0, $J$3*(16 - $D6874))</f>
        <v>830.99457080278796</v>
      </c>
      <c r="F6874">
        <f>IF($D6874 &gt; 16, 0,$E6874*$J$5)</f>
        <v>9032079.9900555015</v>
      </c>
      <c r="G6874">
        <f t="shared" si="107"/>
        <v>4</v>
      </c>
    </row>
    <row r="6875" spans="2:7" x14ac:dyDescent="0.35">
      <c r="B6875" s="1">
        <v>45944</v>
      </c>
      <c r="C6875" s="2">
        <v>0.375</v>
      </c>
      <c r="D6875">
        <v>11.9</v>
      </c>
      <c r="E6875">
        <f>IF($D6875 &gt; 16, 0, $J$3*(16 - $D6875))</f>
        <v>851.76943507285762</v>
      </c>
      <c r="F6875">
        <f>IF($D6875 &gt; 16, 0,$E6875*$J$5)</f>
        <v>9257881.9898068886</v>
      </c>
      <c r="G6875">
        <f t="shared" si="107"/>
        <v>4.0999999999999996</v>
      </c>
    </row>
    <row r="6876" spans="2:7" x14ac:dyDescent="0.35">
      <c r="B6876" s="1">
        <v>45944</v>
      </c>
      <c r="C6876" s="2">
        <v>0.41666666666666669</v>
      </c>
      <c r="D6876">
        <v>12.3</v>
      </c>
      <c r="E6876">
        <f>IF($D6876 &gt; 16, 0, $J$3*(16 - $D6876))</f>
        <v>768.66997799257877</v>
      </c>
      <c r="F6876">
        <f>IF($D6876 &gt; 16, 0,$E6876*$J$5)</f>
        <v>8354673.990801339</v>
      </c>
      <c r="G6876">
        <f t="shared" si="107"/>
        <v>3.6999999999999993</v>
      </c>
    </row>
    <row r="6877" spans="2:7" x14ac:dyDescent="0.35">
      <c r="B6877" s="1">
        <v>45944</v>
      </c>
      <c r="C6877" s="2">
        <v>0.45833333333333331</v>
      </c>
      <c r="D6877">
        <v>12.7</v>
      </c>
      <c r="E6877">
        <f>IF($D6877 &gt; 16, 0, $J$3*(16 - $D6877))</f>
        <v>685.57052091230025</v>
      </c>
      <c r="F6877">
        <f>IF($D6877 &gt; 16, 0,$E6877*$J$5)</f>
        <v>7451465.9917957913</v>
      </c>
      <c r="G6877">
        <f t="shared" si="107"/>
        <v>3.3000000000000007</v>
      </c>
    </row>
    <row r="6878" spans="2:7" x14ac:dyDescent="0.35">
      <c r="B6878" s="1">
        <v>45944</v>
      </c>
      <c r="C6878" s="2">
        <v>0.5</v>
      </c>
      <c r="D6878">
        <v>12.8</v>
      </c>
      <c r="E6878">
        <f>IF($D6878 &gt; 16, 0, $J$3*(16 - $D6878))</f>
        <v>664.79565664223026</v>
      </c>
      <c r="F6878">
        <f>IF($D6878 &gt; 16, 0,$E6878*$J$5)</f>
        <v>7225663.9920444004</v>
      </c>
      <c r="G6878">
        <f t="shared" si="107"/>
        <v>3.1999999999999993</v>
      </c>
    </row>
    <row r="6879" spans="2:7" x14ac:dyDescent="0.35">
      <c r="B6879" s="1">
        <v>45944</v>
      </c>
      <c r="C6879" s="2">
        <v>0.54166666666666663</v>
      </c>
      <c r="D6879">
        <v>12.6</v>
      </c>
      <c r="E6879">
        <f>IF($D6879 &gt; 16, 0, $J$3*(16 - $D6879))</f>
        <v>706.3453851823698</v>
      </c>
      <c r="F6879">
        <f>IF($D6879 &gt; 16, 0,$E6879*$J$5)</f>
        <v>7677267.9915471775</v>
      </c>
      <c r="G6879">
        <f t="shared" si="107"/>
        <v>3.4000000000000004</v>
      </c>
    </row>
    <row r="6880" spans="2:7" x14ac:dyDescent="0.35">
      <c r="B6880" s="1">
        <v>45944</v>
      </c>
      <c r="C6880" s="2">
        <v>0.58333333333333337</v>
      </c>
      <c r="D6880">
        <v>13</v>
      </c>
      <c r="E6880">
        <f>IF($D6880 &gt; 16, 0, $J$3*(16 - $D6880))</f>
        <v>623.24592810209094</v>
      </c>
      <c r="F6880">
        <f>IF($D6880 &gt; 16, 0,$E6880*$J$5)</f>
        <v>6774059.9925416261</v>
      </c>
      <c r="G6880">
        <f t="shared" si="107"/>
        <v>3</v>
      </c>
    </row>
    <row r="6881" spans="2:7" x14ac:dyDescent="0.35">
      <c r="B6881" s="1">
        <v>45944</v>
      </c>
      <c r="C6881" s="2">
        <v>0.625</v>
      </c>
      <c r="D6881">
        <v>13.1</v>
      </c>
      <c r="E6881">
        <f>IF($D6881 &gt; 16, 0, $J$3*(16 - $D6881))</f>
        <v>602.4710638320214</v>
      </c>
      <c r="F6881">
        <f>IF($D6881 &gt; 16, 0,$E6881*$J$5)</f>
        <v>6548257.9927902408</v>
      </c>
      <c r="G6881">
        <f t="shared" si="107"/>
        <v>2.9000000000000004</v>
      </c>
    </row>
    <row r="6882" spans="2:7" x14ac:dyDescent="0.35">
      <c r="B6882" s="1">
        <v>45944</v>
      </c>
      <c r="C6882" s="2">
        <v>0.66666666666666663</v>
      </c>
      <c r="D6882">
        <v>12.8</v>
      </c>
      <c r="E6882">
        <f>IF($D6882 &gt; 16, 0, $J$3*(16 - $D6882))</f>
        <v>664.79565664223026</v>
      </c>
      <c r="F6882">
        <f>IF($D6882 &gt; 16, 0,$E6882*$J$5)</f>
        <v>7225663.9920444004</v>
      </c>
      <c r="G6882">
        <f t="shared" si="107"/>
        <v>3.1999999999999993</v>
      </c>
    </row>
    <row r="6883" spans="2:7" x14ac:dyDescent="0.35">
      <c r="B6883" s="1">
        <v>45944</v>
      </c>
      <c r="C6883" s="2">
        <v>0.70833333333333337</v>
      </c>
      <c r="D6883">
        <v>12.6</v>
      </c>
      <c r="E6883">
        <f>IF($D6883 &gt; 16, 0, $J$3*(16 - $D6883))</f>
        <v>706.3453851823698</v>
      </c>
      <c r="F6883">
        <f>IF($D6883 &gt; 16, 0,$E6883*$J$5)</f>
        <v>7677267.9915471775</v>
      </c>
      <c r="G6883">
        <f t="shared" si="107"/>
        <v>3.4000000000000004</v>
      </c>
    </row>
    <row r="6884" spans="2:7" x14ac:dyDescent="0.35">
      <c r="B6884" s="1">
        <v>45944</v>
      </c>
      <c r="C6884" s="2">
        <v>0.75</v>
      </c>
      <c r="D6884">
        <v>12.5</v>
      </c>
      <c r="E6884">
        <f>IF($D6884 &gt; 16, 0, $J$3*(16 - $D6884))</f>
        <v>727.12024945243945</v>
      </c>
      <c r="F6884">
        <f>IF($D6884 &gt; 16, 0,$E6884*$J$5)</f>
        <v>7903069.9912985647</v>
      </c>
      <c r="G6884">
        <f t="shared" si="107"/>
        <v>3.5</v>
      </c>
    </row>
    <row r="6885" spans="2:7" x14ac:dyDescent="0.35">
      <c r="B6885" s="1">
        <v>45944</v>
      </c>
      <c r="C6885" s="2">
        <v>0.79166666666666663</v>
      </c>
      <c r="D6885">
        <v>12.3</v>
      </c>
      <c r="E6885">
        <f>IF($D6885 &gt; 16, 0, $J$3*(16 - $D6885))</f>
        <v>768.66997799257877</v>
      </c>
      <c r="F6885">
        <f>IF($D6885 &gt; 16, 0,$E6885*$J$5)</f>
        <v>8354673.990801339</v>
      </c>
      <c r="G6885">
        <f t="shared" si="107"/>
        <v>3.6999999999999993</v>
      </c>
    </row>
    <row r="6886" spans="2:7" x14ac:dyDescent="0.35">
      <c r="B6886" s="1">
        <v>45944</v>
      </c>
      <c r="C6886" s="2">
        <v>0.83333333333333337</v>
      </c>
      <c r="D6886">
        <v>12.4</v>
      </c>
      <c r="E6886">
        <f>IF($D6886 &gt; 16, 0, $J$3*(16 - $D6886))</f>
        <v>747.89511372250911</v>
      </c>
      <c r="F6886">
        <f>IF($D6886 &gt; 16, 0,$E6886*$J$5)</f>
        <v>8128871.9910499519</v>
      </c>
      <c r="G6886">
        <f t="shared" si="107"/>
        <v>3.5999999999999996</v>
      </c>
    </row>
    <row r="6887" spans="2:7" x14ac:dyDescent="0.35">
      <c r="B6887" s="1">
        <v>45944</v>
      </c>
      <c r="C6887" s="2">
        <v>0.875</v>
      </c>
      <c r="D6887">
        <v>12.2</v>
      </c>
      <c r="E6887">
        <f>IF($D6887 &gt; 16, 0, $J$3*(16 - $D6887))</f>
        <v>789.44484226264876</v>
      </c>
      <c r="F6887">
        <f>IF($D6887 &gt; 16, 0,$E6887*$J$5)</f>
        <v>8580475.990552729</v>
      </c>
      <c r="G6887">
        <f t="shared" si="107"/>
        <v>3.8000000000000007</v>
      </c>
    </row>
    <row r="6888" spans="2:7" x14ac:dyDescent="0.35">
      <c r="B6888" s="1">
        <v>45944</v>
      </c>
      <c r="C6888" s="2">
        <v>0.91666666666666663</v>
      </c>
      <c r="D6888">
        <v>12</v>
      </c>
      <c r="E6888">
        <f>IF($D6888 &gt; 16, 0, $J$3*(16 - $D6888))</f>
        <v>830.99457080278796</v>
      </c>
      <c r="F6888">
        <f>IF($D6888 &gt; 16, 0,$E6888*$J$5)</f>
        <v>9032079.9900555015</v>
      </c>
      <c r="G6888">
        <f t="shared" si="107"/>
        <v>4</v>
      </c>
    </row>
    <row r="6889" spans="2:7" x14ac:dyDescent="0.35">
      <c r="B6889" s="1">
        <v>45944</v>
      </c>
      <c r="C6889" s="2">
        <v>0.95833333333333337</v>
      </c>
      <c r="D6889">
        <v>11.6</v>
      </c>
      <c r="E6889">
        <f>IF($D6889 &gt; 16, 0, $J$3*(16 - $D6889))</f>
        <v>914.09402788306681</v>
      </c>
      <c r="F6889">
        <f>IF($D6889 &gt; 16, 0,$E6889*$J$5)</f>
        <v>9935287.9890610538</v>
      </c>
      <c r="G6889">
        <f t="shared" si="107"/>
        <v>4.4000000000000004</v>
      </c>
    </row>
    <row r="6890" spans="2:7" x14ac:dyDescent="0.35">
      <c r="B6890" s="1">
        <v>45945</v>
      </c>
      <c r="C6890" s="2">
        <v>0</v>
      </c>
      <c r="D6890">
        <v>11.8</v>
      </c>
      <c r="E6890">
        <f>IF($D6890 &gt; 16, 0, $J$3*(16 - $D6890))</f>
        <v>872.54429934292716</v>
      </c>
      <c r="F6890">
        <f>IF($D6890 &gt; 16, 0,$E6890*$J$5)</f>
        <v>9483683.9895582758</v>
      </c>
      <c r="G6890">
        <f t="shared" si="107"/>
        <v>4.1999999999999993</v>
      </c>
    </row>
    <row r="6891" spans="2:7" x14ac:dyDescent="0.35">
      <c r="B6891" s="1">
        <v>45945</v>
      </c>
      <c r="C6891" s="2">
        <v>4.1666666666666657E-2</v>
      </c>
      <c r="D6891">
        <v>11.7</v>
      </c>
      <c r="E6891">
        <f>IF($D6891 &gt; 16, 0, $J$3*(16 - $D6891))</f>
        <v>893.31916361299716</v>
      </c>
      <c r="F6891">
        <f>IF($D6891 &gt; 16, 0,$E6891*$J$5)</f>
        <v>9709485.9893096667</v>
      </c>
      <c r="G6891">
        <f t="shared" si="107"/>
        <v>4.3000000000000007</v>
      </c>
    </row>
    <row r="6892" spans="2:7" x14ac:dyDescent="0.35">
      <c r="B6892" s="1">
        <v>45945</v>
      </c>
      <c r="C6892" s="2">
        <v>8.3333333333333329E-2</v>
      </c>
      <c r="D6892">
        <v>11.4</v>
      </c>
      <c r="E6892">
        <f>IF($D6892 &gt; 16, 0, $J$3*(16 - $D6892))</f>
        <v>955.64375642320613</v>
      </c>
      <c r="F6892">
        <f>IF($D6892 &gt; 16, 0,$E6892*$J$5)</f>
        <v>10386891.988563828</v>
      </c>
      <c r="G6892">
        <f t="shared" si="107"/>
        <v>4.5999999999999996</v>
      </c>
    </row>
    <row r="6893" spans="2:7" x14ac:dyDescent="0.35">
      <c r="B6893" s="1">
        <v>45945</v>
      </c>
      <c r="C6893" s="2">
        <v>0.125</v>
      </c>
      <c r="D6893">
        <v>10.6</v>
      </c>
      <c r="E6893">
        <f>IF($D6893 &gt; 16, 0, $J$3*(16 - $D6893))</f>
        <v>1121.8426705837637</v>
      </c>
      <c r="F6893">
        <f>IF($D6893 &gt; 16, 0,$E6893*$J$5)</f>
        <v>12193307.986574927</v>
      </c>
      <c r="G6893">
        <f t="shared" si="107"/>
        <v>5.4</v>
      </c>
    </row>
    <row r="6894" spans="2:7" x14ac:dyDescent="0.35">
      <c r="B6894" s="1">
        <v>45945</v>
      </c>
      <c r="C6894" s="2">
        <v>0.16666666666666671</v>
      </c>
      <c r="D6894">
        <v>9.6999999999999993</v>
      </c>
      <c r="E6894">
        <f>IF($D6894 &gt; 16, 0, $J$3*(16 - $D6894))</f>
        <v>1308.8164490143911</v>
      </c>
      <c r="F6894">
        <f>IF($D6894 &gt; 16, 0,$E6894*$J$5)</f>
        <v>14225525.984337417</v>
      </c>
      <c r="G6894">
        <f t="shared" si="107"/>
        <v>6.3000000000000007</v>
      </c>
    </row>
    <row r="6895" spans="2:7" x14ac:dyDescent="0.35">
      <c r="B6895" s="1">
        <v>45945</v>
      </c>
      <c r="C6895" s="2">
        <v>0.20833333333333329</v>
      </c>
      <c r="D6895">
        <v>9.4</v>
      </c>
      <c r="E6895">
        <f>IF($D6895 &gt; 16, 0, $J$3*(16 - $D6895))</f>
        <v>1371.1410418246001</v>
      </c>
      <c r="F6895">
        <f>IF($D6895 &gt; 16, 0,$E6895*$J$5)</f>
        <v>14902931.983591577</v>
      </c>
      <c r="G6895">
        <f t="shared" si="107"/>
        <v>6.6</v>
      </c>
    </row>
    <row r="6896" spans="2:7" x14ac:dyDescent="0.35">
      <c r="B6896" s="1">
        <v>45945</v>
      </c>
      <c r="C6896" s="2">
        <v>0.25</v>
      </c>
      <c r="D6896">
        <v>10.6</v>
      </c>
      <c r="E6896">
        <f>IF($D6896 &gt; 16, 0, $J$3*(16 - $D6896))</f>
        <v>1121.8426705837637</v>
      </c>
      <c r="F6896">
        <f>IF($D6896 &gt; 16, 0,$E6896*$J$5)</f>
        <v>12193307.986574927</v>
      </c>
      <c r="G6896">
        <f t="shared" si="107"/>
        <v>5.4</v>
      </c>
    </row>
    <row r="6897" spans="2:7" x14ac:dyDescent="0.35">
      <c r="B6897" s="1">
        <v>45945</v>
      </c>
      <c r="C6897" s="2">
        <v>0.29166666666666669</v>
      </c>
      <c r="D6897">
        <v>11.3</v>
      </c>
      <c r="E6897">
        <f>IF($D6897 &gt; 16, 0, $J$3*(16 - $D6897))</f>
        <v>976.41862069327567</v>
      </c>
      <c r="F6897">
        <f>IF($D6897 &gt; 16, 0,$E6897*$J$5)</f>
        <v>10612693.988315213</v>
      </c>
      <c r="G6897">
        <f t="shared" si="107"/>
        <v>4.6999999999999993</v>
      </c>
    </row>
    <row r="6898" spans="2:7" x14ac:dyDescent="0.35">
      <c r="B6898" s="1">
        <v>45945</v>
      </c>
      <c r="C6898" s="2">
        <v>0.33333333333333331</v>
      </c>
      <c r="D6898">
        <v>12.2</v>
      </c>
      <c r="E6898">
        <f>IF($D6898 &gt; 16, 0, $J$3*(16 - $D6898))</f>
        <v>789.44484226264876</v>
      </c>
      <c r="F6898">
        <f>IF($D6898 &gt; 16, 0,$E6898*$J$5)</f>
        <v>8580475.990552729</v>
      </c>
      <c r="G6898">
        <f t="shared" si="107"/>
        <v>3.8000000000000007</v>
      </c>
    </row>
    <row r="6899" spans="2:7" x14ac:dyDescent="0.35">
      <c r="B6899" s="1">
        <v>45945</v>
      </c>
      <c r="C6899" s="2">
        <v>0.375</v>
      </c>
      <c r="D6899">
        <v>12.7</v>
      </c>
      <c r="E6899">
        <f>IF($D6899 &gt; 16, 0, $J$3*(16 - $D6899))</f>
        <v>685.57052091230025</v>
      </c>
      <c r="F6899">
        <f>IF($D6899 &gt; 16, 0,$E6899*$J$5)</f>
        <v>7451465.9917957913</v>
      </c>
      <c r="G6899">
        <f t="shared" si="107"/>
        <v>3.3000000000000007</v>
      </c>
    </row>
    <row r="6900" spans="2:7" x14ac:dyDescent="0.35">
      <c r="B6900" s="1">
        <v>45945</v>
      </c>
      <c r="C6900" s="2">
        <v>0.41666666666666669</v>
      </c>
      <c r="D6900">
        <v>13.6</v>
      </c>
      <c r="E6900">
        <f>IF($D6900 &gt; 16, 0, $J$3*(16 - $D6900))</f>
        <v>498.59674248167283</v>
      </c>
      <c r="F6900">
        <f>IF($D6900 &gt; 16, 0,$E6900*$J$5)</f>
        <v>5419247.9940333022</v>
      </c>
      <c r="G6900">
        <f t="shared" si="107"/>
        <v>2.4000000000000004</v>
      </c>
    </row>
    <row r="6901" spans="2:7" x14ac:dyDescent="0.35">
      <c r="B6901" s="1">
        <v>45945</v>
      </c>
      <c r="C6901" s="2">
        <v>0.45833333333333331</v>
      </c>
      <c r="D6901">
        <v>13.4</v>
      </c>
      <c r="E6901">
        <f>IF($D6901 &gt; 16, 0, $J$3*(16 - $D6901))</f>
        <v>540.14647102181209</v>
      </c>
      <c r="F6901">
        <f>IF($D6901 &gt; 16, 0,$E6901*$J$5)</f>
        <v>5870851.9935360756</v>
      </c>
      <c r="G6901">
        <f t="shared" si="107"/>
        <v>2.5999999999999996</v>
      </c>
    </row>
    <row r="6902" spans="2:7" x14ac:dyDescent="0.35">
      <c r="B6902" s="1">
        <v>45945</v>
      </c>
      <c r="C6902" s="2">
        <v>0.5</v>
      </c>
      <c r="D6902">
        <v>13.5</v>
      </c>
      <c r="E6902">
        <f>IF($D6902 &gt; 16, 0, $J$3*(16 - $D6902))</f>
        <v>519.37160675174243</v>
      </c>
      <c r="F6902">
        <f>IF($D6902 &gt; 16, 0,$E6902*$J$5)</f>
        <v>5645049.9937846884</v>
      </c>
      <c r="G6902">
        <f t="shared" si="107"/>
        <v>2.5</v>
      </c>
    </row>
    <row r="6903" spans="2:7" x14ac:dyDescent="0.35">
      <c r="B6903" s="1">
        <v>45945</v>
      </c>
      <c r="C6903" s="2">
        <v>0.54166666666666663</v>
      </c>
      <c r="D6903">
        <v>13.3</v>
      </c>
      <c r="E6903">
        <f>IF($D6903 &gt; 16, 0, $J$3*(16 - $D6903))</f>
        <v>560.92133529188175</v>
      </c>
      <c r="F6903">
        <f>IF($D6903 &gt; 16, 0,$E6903*$J$5)</f>
        <v>6096653.9932874627</v>
      </c>
      <c r="G6903">
        <f t="shared" si="107"/>
        <v>2.6999999999999993</v>
      </c>
    </row>
    <row r="6904" spans="2:7" x14ac:dyDescent="0.35">
      <c r="B6904" s="1">
        <v>45945</v>
      </c>
      <c r="C6904" s="2">
        <v>0.58333333333333337</v>
      </c>
      <c r="D6904">
        <v>13.2</v>
      </c>
      <c r="E6904">
        <f>IF($D6904 &gt; 16, 0, $J$3*(16 - $D6904))</f>
        <v>581.69619956195174</v>
      </c>
      <c r="F6904">
        <f>IF($D6904 &gt; 16, 0,$E6904*$J$5)</f>
        <v>6322455.9930388536</v>
      </c>
      <c r="G6904">
        <f t="shared" si="107"/>
        <v>2.8000000000000007</v>
      </c>
    </row>
    <row r="6905" spans="2:7" x14ac:dyDescent="0.35">
      <c r="B6905" s="1">
        <v>45945</v>
      </c>
      <c r="C6905" s="2">
        <v>0.625</v>
      </c>
      <c r="D6905">
        <v>13.1</v>
      </c>
      <c r="E6905">
        <f>IF($D6905 &gt; 16, 0, $J$3*(16 - $D6905))</f>
        <v>602.4710638320214</v>
      </c>
      <c r="F6905">
        <f>IF($D6905 &gt; 16, 0,$E6905*$J$5)</f>
        <v>6548257.9927902408</v>
      </c>
      <c r="G6905">
        <f t="shared" si="107"/>
        <v>2.9000000000000004</v>
      </c>
    </row>
    <row r="6906" spans="2:7" x14ac:dyDescent="0.35">
      <c r="B6906" s="1">
        <v>45945</v>
      </c>
      <c r="C6906" s="2">
        <v>0.66666666666666663</v>
      </c>
      <c r="D6906">
        <v>12.5</v>
      </c>
      <c r="E6906">
        <f>IF($D6906 &gt; 16, 0, $J$3*(16 - $D6906))</f>
        <v>727.12024945243945</v>
      </c>
      <c r="F6906">
        <f>IF($D6906 &gt; 16, 0,$E6906*$J$5)</f>
        <v>7903069.9912985647</v>
      </c>
      <c r="G6906">
        <f t="shared" si="107"/>
        <v>3.5</v>
      </c>
    </row>
    <row r="6907" spans="2:7" x14ac:dyDescent="0.35">
      <c r="B6907" s="1">
        <v>45945</v>
      </c>
      <c r="C6907" s="2">
        <v>0.70833333333333337</v>
      </c>
      <c r="D6907">
        <v>12.2</v>
      </c>
      <c r="E6907">
        <f>IF($D6907 &gt; 16, 0, $J$3*(16 - $D6907))</f>
        <v>789.44484226264876</v>
      </c>
      <c r="F6907">
        <f>IF($D6907 &gt; 16, 0,$E6907*$J$5)</f>
        <v>8580475.990552729</v>
      </c>
      <c r="G6907">
        <f t="shared" si="107"/>
        <v>3.8000000000000007</v>
      </c>
    </row>
    <row r="6908" spans="2:7" x14ac:dyDescent="0.35">
      <c r="B6908" s="1">
        <v>45945</v>
      </c>
      <c r="C6908" s="2">
        <v>0.75</v>
      </c>
      <c r="D6908">
        <v>11.7</v>
      </c>
      <c r="E6908">
        <f>IF($D6908 &gt; 16, 0, $J$3*(16 - $D6908))</f>
        <v>893.31916361299716</v>
      </c>
      <c r="F6908">
        <f>IF($D6908 &gt; 16, 0,$E6908*$J$5)</f>
        <v>9709485.9893096667</v>
      </c>
      <c r="G6908">
        <f t="shared" si="107"/>
        <v>4.3000000000000007</v>
      </c>
    </row>
    <row r="6909" spans="2:7" x14ac:dyDescent="0.35">
      <c r="B6909" s="1">
        <v>45945</v>
      </c>
      <c r="C6909" s="2">
        <v>0.79166666666666663</v>
      </c>
      <c r="D6909">
        <v>11.4</v>
      </c>
      <c r="E6909">
        <f>IF($D6909 &gt; 16, 0, $J$3*(16 - $D6909))</f>
        <v>955.64375642320613</v>
      </c>
      <c r="F6909">
        <f>IF($D6909 &gt; 16, 0,$E6909*$J$5)</f>
        <v>10386891.988563828</v>
      </c>
      <c r="G6909">
        <f t="shared" si="107"/>
        <v>4.5999999999999996</v>
      </c>
    </row>
    <row r="6910" spans="2:7" x14ac:dyDescent="0.35">
      <c r="B6910" s="1">
        <v>45945</v>
      </c>
      <c r="C6910" s="2">
        <v>0.83333333333333337</v>
      </c>
      <c r="D6910">
        <v>10.9</v>
      </c>
      <c r="E6910">
        <f>IF($D6910 &gt; 16, 0, $J$3*(16 - $D6910))</f>
        <v>1059.5180777735545</v>
      </c>
      <c r="F6910">
        <f>IF($D6910 &gt; 16, 0,$E6910*$J$5)</f>
        <v>11515901.987320764</v>
      </c>
      <c r="G6910">
        <f t="shared" si="107"/>
        <v>5.0999999999999996</v>
      </c>
    </row>
    <row r="6911" spans="2:7" x14ac:dyDescent="0.35">
      <c r="B6911" s="1">
        <v>45945</v>
      </c>
      <c r="C6911" s="2">
        <v>0.875</v>
      </c>
      <c r="D6911">
        <v>9.8000000000000007</v>
      </c>
      <c r="E6911">
        <f>IF($D6911 &gt; 16, 0, $J$3*(16 - $D6911))</f>
        <v>1288.0415847443212</v>
      </c>
      <c r="F6911">
        <f>IF($D6911 &gt; 16, 0,$E6911*$J$5)</f>
        <v>13999723.984586027</v>
      </c>
      <c r="G6911">
        <f t="shared" si="107"/>
        <v>6.1999999999999993</v>
      </c>
    </row>
    <row r="6912" spans="2:7" x14ac:dyDescent="0.35">
      <c r="B6912" s="1">
        <v>45945</v>
      </c>
      <c r="C6912" s="2">
        <v>0.91666666666666663</v>
      </c>
      <c r="D6912">
        <v>10</v>
      </c>
      <c r="E6912">
        <f>IF($D6912 &gt; 16, 0, $J$3*(16 - $D6912))</f>
        <v>1246.4918562041819</v>
      </c>
      <c r="F6912">
        <f>IF($D6912 &gt; 16, 0,$E6912*$J$5)</f>
        <v>13548119.985083252</v>
      </c>
      <c r="G6912">
        <f t="shared" si="107"/>
        <v>6</v>
      </c>
    </row>
    <row r="6913" spans="2:7" x14ac:dyDescent="0.35">
      <c r="B6913" s="1">
        <v>45945</v>
      </c>
      <c r="C6913" s="2">
        <v>0.95833333333333337</v>
      </c>
      <c r="D6913">
        <v>10.6</v>
      </c>
      <c r="E6913">
        <f>IF($D6913 &gt; 16, 0, $J$3*(16 - $D6913))</f>
        <v>1121.8426705837637</v>
      </c>
      <c r="F6913">
        <f>IF($D6913 &gt; 16, 0,$E6913*$J$5)</f>
        <v>12193307.986574927</v>
      </c>
      <c r="G6913">
        <f t="shared" si="107"/>
        <v>5.4</v>
      </c>
    </row>
    <row r="6914" spans="2:7" x14ac:dyDescent="0.35">
      <c r="B6914" s="1">
        <v>45946</v>
      </c>
      <c r="C6914" s="2">
        <v>0</v>
      </c>
      <c r="D6914">
        <v>10.7</v>
      </c>
      <c r="E6914">
        <f>IF($D6914 &gt; 16, 0, $J$3*(16 - $D6914))</f>
        <v>1101.0678063136943</v>
      </c>
      <c r="F6914">
        <f>IF($D6914 &gt; 16, 0,$E6914*$J$5)</f>
        <v>11967505.986823544</v>
      </c>
      <c r="G6914">
        <f t="shared" si="107"/>
        <v>5.3000000000000007</v>
      </c>
    </row>
    <row r="6915" spans="2:7" x14ac:dyDescent="0.35">
      <c r="B6915" s="1">
        <v>45946</v>
      </c>
      <c r="C6915" s="2">
        <v>4.1666666666666657E-2</v>
      </c>
      <c r="D6915">
        <v>10.9</v>
      </c>
      <c r="E6915">
        <f>IF($D6915 &gt; 16, 0, $J$3*(16 - $D6915))</f>
        <v>1059.5180777735545</v>
      </c>
      <c r="F6915">
        <f>IF($D6915 &gt; 16, 0,$E6915*$J$5)</f>
        <v>11515901.987320764</v>
      </c>
      <c r="G6915">
        <f t="shared" ref="G6915:G6978" si="108">MAX(0, 16 - $D6915)</f>
        <v>5.0999999999999996</v>
      </c>
    </row>
    <row r="6916" spans="2:7" x14ac:dyDescent="0.35">
      <c r="B6916" s="1">
        <v>45946</v>
      </c>
      <c r="C6916" s="2">
        <v>8.3333333333333329E-2</v>
      </c>
      <c r="D6916">
        <v>11</v>
      </c>
      <c r="E6916">
        <f>IF($D6916 &gt; 16, 0, $J$3*(16 - $D6916))</f>
        <v>1038.7432135034849</v>
      </c>
      <c r="F6916">
        <f>IF($D6916 &gt; 16, 0,$E6916*$J$5)</f>
        <v>11290099.987569377</v>
      </c>
      <c r="G6916">
        <f t="shared" si="108"/>
        <v>5</v>
      </c>
    </row>
    <row r="6917" spans="2:7" x14ac:dyDescent="0.35">
      <c r="B6917" s="1">
        <v>45946</v>
      </c>
      <c r="C6917" s="2">
        <v>0.125</v>
      </c>
      <c r="D6917">
        <v>11.1</v>
      </c>
      <c r="E6917">
        <f>IF($D6917 &gt; 16, 0, $J$3*(16 - $D6917))</f>
        <v>1017.9683492334153</v>
      </c>
      <c r="F6917">
        <f>IF($D6917 &gt; 16, 0,$E6917*$J$5)</f>
        <v>11064297.987817992</v>
      </c>
      <c r="G6917">
        <f t="shared" si="108"/>
        <v>4.9000000000000004</v>
      </c>
    </row>
    <row r="6918" spans="2:7" x14ac:dyDescent="0.35">
      <c r="B6918" s="1">
        <v>45946</v>
      </c>
      <c r="C6918" s="2">
        <v>0.16666666666666671</v>
      </c>
      <c r="D6918">
        <v>11.2</v>
      </c>
      <c r="E6918">
        <f>IF($D6918 &gt; 16, 0, $J$3*(16 - $D6918))</f>
        <v>997.19348496334567</v>
      </c>
      <c r="F6918">
        <f>IF($D6918 &gt; 16, 0,$E6918*$J$5)</f>
        <v>10838495.988066604</v>
      </c>
      <c r="G6918">
        <f t="shared" si="108"/>
        <v>4.8000000000000007</v>
      </c>
    </row>
    <row r="6919" spans="2:7" x14ac:dyDescent="0.35">
      <c r="B6919" s="1">
        <v>45946</v>
      </c>
      <c r="C6919" s="2">
        <v>0.20833333333333329</v>
      </c>
      <c r="D6919">
        <v>11.2</v>
      </c>
      <c r="E6919">
        <f>IF($D6919 &gt; 16, 0, $J$3*(16 - $D6919))</f>
        <v>997.19348496334567</v>
      </c>
      <c r="F6919">
        <f>IF($D6919 &gt; 16, 0,$E6919*$J$5)</f>
        <v>10838495.988066604</v>
      </c>
      <c r="G6919">
        <f t="shared" si="108"/>
        <v>4.8000000000000007</v>
      </c>
    </row>
    <row r="6920" spans="2:7" x14ac:dyDescent="0.35">
      <c r="B6920" s="1">
        <v>45946</v>
      </c>
      <c r="C6920" s="2">
        <v>0.25</v>
      </c>
      <c r="D6920">
        <v>11.3</v>
      </c>
      <c r="E6920">
        <f>IF($D6920 &gt; 16, 0, $J$3*(16 - $D6920))</f>
        <v>976.41862069327567</v>
      </c>
      <c r="F6920">
        <f>IF($D6920 &gt; 16, 0,$E6920*$J$5)</f>
        <v>10612693.988315213</v>
      </c>
      <c r="G6920">
        <f t="shared" si="108"/>
        <v>4.6999999999999993</v>
      </c>
    </row>
    <row r="6921" spans="2:7" x14ac:dyDescent="0.35">
      <c r="B6921" s="1">
        <v>45946</v>
      </c>
      <c r="C6921" s="2">
        <v>0.29166666666666669</v>
      </c>
      <c r="D6921">
        <v>11.4</v>
      </c>
      <c r="E6921">
        <f>IF($D6921 &gt; 16, 0, $J$3*(16 - $D6921))</f>
        <v>955.64375642320613</v>
      </c>
      <c r="F6921">
        <f>IF($D6921 &gt; 16, 0,$E6921*$J$5)</f>
        <v>10386891.988563828</v>
      </c>
      <c r="G6921">
        <f t="shared" si="108"/>
        <v>4.5999999999999996</v>
      </c>
    </row>
    <row r="6922" spans="2:7" x14ac:dyDescent="0.35">
      <c r="B6922" s="1">
        <v>45946</v>
      </c>
      <c r="C6922" s="2">
        <v>0.33333333333333331</v>
      </c>
      <c r="D6922">
        <v>11.7</v>
      </c>
      <c r="E6922">
        <f>IF($D6922 &gt; 16, 0, $J$3*(16 - $D6922))</f>
        <v>893.31916361299716</v>
      </c>
      <c r="F6922">
        <f>IF($D6922 &gt; 16, 0,$E6922*$J$5)</f>
        <v>9709485.9893096667</v>
      </c>
      <c r="G6922">
        <f t="shared" si="108"/>
        <v>4.3000000000000007</v>
      </c>
    </row>
    <row r="6923" spans="2:7" x14ac:dyDescent="0.35">
      <c r="B6923" s="1">
        <v>45946</v>
      </c>
      <c r="C6923" s="2">
        <v>0.375</v>
      </c>
      <c r="D6923">
        <v>12.5</v>
      </c>
      <c r="E6923">
        <f>IF($D6923 &gt; 16, 0, $J$3*(16 - $D6923))</f>
        <v>727.12024945243945</v>
      </c>
      <c r="F6923">
        <f>IF($D6923 &gt; 16, 0,$E6923*$J$5)</f>
        <v>7903069.9912985647</v>
      </c>
      <c r="G6923">
        <f t="shared" si="108"/>
        <v>3.5</v>
      </c>
    </row>
    <row r="6924" spans="2:7" x14ac:dyDescent="0.35">
      <c r="B6924" s="1">
        <v>45946</v>
      </c>
      <c r="C6924" s="2">
        <v>0.41666666666666669</v>
      </c>
      <c r="D6924">
        <v>12.9</v>
      </c>
      <c r="E6924">
        <f>IF($D6924 &gt; 16, 0, $J$3*(16 - $D6924))</f>
        <v>644.0207923721606</v>
      </c>
      <c r="F6924">
        <f>IF($D6924 &gt; 16, 0,$E6924*$J$5)</f>
        <v>6999861.9922930133</v>
      </c>
      <c r="G6924">
        <f t="shared" si="108"/>
        <v>3.0999999999999996</v>
      </c>
    </row>
    <row r="6925" spans="2:7" x14ac:dyDescent="0.35">
      <c r="B6925" s="1">
        <v>45946</v>
      </c>
      <c r="C6925" s="2">
        <v>0.45833333333333331</v>
      </c>
      <c r="D6925">
        <v>14.5</v>
      </c>
      <c r="E6925">
        <f>IF($D6925 &gt; 16, 0, $J$3*(16 - $D6925))</f>
        <v>311.62296405104547</v>
      </c>
      <c r="F6925">
        <f>IF($D6925 &gt; 16, 0,$E6925*$J$5)</f>
        <v>3387029.996270813</v>
      </c>
      <c r="G6925">
        <f t="shared" si="108"/>
        <v>1.5</v>
      </c>
    </row>
    <row r="6926" spans="2:7" x14ac:dyDescent="0.35">
      <c r="B6926" s="1">
        <v>45946</v>
      </c>
      <c r="C6926" s="2">
        <v>0.5</v>
      </c>
      <c r="D6926">
        <v>14.7</v>
      </c>
      <c r="E6926">
        <f>IF($D6926 &gt; 16, 0, $J$3*(16 - $D6926))</f>
        <v>270.07323551090622</v>
      </c>
      <c r="F6926">
        <f>IF($D6926 &gt; 16, 0,$E6926*$J$5)</f>
        <v>2935425.9967680397</v>
      </c>
      <c r="G6926">
        <f t="shared" si="108"/>
        <v>1.3000000000000007</v>
      </c>
    </row>
    <row r="6927" spans="2:7" x14ac:dyDescent="0.35">
      <c r="B6927" s="1">
        <v>45946</v>
      </c>
      <c r="C6927" s="2">
        <v>0.54166666666666663</v>
      </c>
      <c r="D6927">
        <v>14.9</v>
      </c>
      <c r="E6927">
        <f>IF($D6927 &gt; 16, 0, $J$3*(16 - $D6927))</f>
        <v>228.52350697076662</v>
      </c>
      <c r="F6927">
        <f>IF($D6927 &gt; 16, 0,$E6927*$J$5)</f>
        <v>2483821.9972652625</v>
      </c>
      <c r="G6927">
        <f t="shared" si="108"/>
        <v>1.0999999999999996</v>
      </c>
    </row>
    <row r="6928" spans="2:7" x14ac:dyDescent="0.35">
      <c r="B6928" s="1">
        <v>45946</v>
      </c>
      <c r="C6928" s="2">
        <v>0.58333333333333337</v>
      </c>
      <c r="D6928">
        <v>14.6</v>
      </c>
      <c r="E6928">
        <f>IF($D6928 &gt; 16, 0, $J$3*(16 - $D6928))</f>
        <v>290.84809978097587</v>
      </c>
      <c r="F6928">
        <f>IF($D6928 &gt; 16, 0,$E6928*$J$5)</f>
        <v>3161227.9965194268</v>
      </c>
      <c r="G6928">
        <f t="shared" si="108"/>
        <v>1.4000000000000004</v>
      </c>
    </row>
    <row r="6929" spans="2:7" x14ac:dyDescent="0.35">
      <c r="B6929" s="1">
        <v>45946</v>
      </c>
      <c r="C6929" s="2">
        <v>0.625</v>
      </c>
      <c r="D6929">
        <v>14.2</v>
      </c>
      <c r="E6929">
        <f>IF($D6929 &gt; 16, 0, $J$3*(16 - $D6929))</f>
        <v>373.94755686125472</v>
      </c>
      <c r="F6929">
        <f>IF($D6929 &gt; 16, 0,$E6929*$J$5)</f>
        <v>4064435.9955249778</v>
      </c>
      <c r="G6929">
        <f t="shared" si="108"/>
        <v>1.8000000000000007</v>
      </c>
    </row>
    <row r="6930" spans="2:7" x14ac:dyDescent="0.35">
      <c r="B6930" s="1">
        <v>45946</v>
      </c>
      <c r="C6930" s="2">
        <v>0.66666666666666663</v>
      </c>
      <c r="D6930">
        <v>13.1</v>
      </c>
      <c r="E6930">
        <f>IF($D6930 &gt; 16, 0, $J$3*(16 - $D6930))</f>
        <v>602.4710638320214</v>
      </c>
      <c r="F6930">
        <f>IF($D6930 &gt; 16, 0,$E6930*$J$5)</f>
        <v>6548257.9927902408</v>
      </c>
      <c r="G6930">
        <f t="shared" si="108"/>
        <v>2.9000000000000004</v>
      </c>
    </row>
    <row r="6931" spans="2:7" x14ac:dyDescent="0.35">
      <c r="B6931" s="1">
        <v>45946</v>
      </c>
      <c r="C6931" s="2">
        <v>0.70833333333333337</v>
      </c>
      <c r="D6931">
        <v>12.6</v>
      </c>
      <c r="E6931">
        <f>IF($D6931 &gt; 16, 0, $J$3*(16 - $D6931))</f>
        <v>706.3453851823698</v>
      </c>
      <c r="F6931">
        <f>IF($D6931 &gt; 16, 0,$E6931*$J$5)</f>
        <v>7677267.9915471775</v>
      </c>
      <c r="G6931">
        <f t="shared" si="108"/>
        <v>3.4000000000000004</v>
      </c>
    </row>
    <row r="6932" spans="2:7" x14ac:dyDescent="0.35">
      <c r="B6932" s="1">
        <v>45946</v>
      </c>
      <c r="C6932" s="2">
        <v>0.75</v>
      </c>
      <c r="D6932">
        <v>12.5</v>
      </c>
      <c r="E6932">
        <f>IF($D6932 &gt; 16, 0, $J$3*(16 - $D6932))</f>
        <v>727.12024945243945</v>
      </c>
      <c r="F6932">
        <f>IF($D6932 &gt; 16, 0,$E6932*$J$5)</f>
        <v>7903069.9912985647</v>
      </c>
      <c r="G6932">
        <f t="shared" si="108"/>
        <v>3.5</v>
      </c>
    </row>
    <row r="6933" spans="2:7" x14ac:dyDescent="0.35">
      <c r="B6933" s="1">
        <v>45946</v>
      </c>
      <c r="C6933" s="2">
        <v>0.79166666666666663</v>
      </c>
      <c r="D6933">
        <v>12.2</v>
      </c>
      <c r="E6933">
        <f>IF($D6933 &gt; 16, 0, $J$3*(16 - $D6933))</f>
        <v>789.44484226264876</v>
      </c>
      <c r="F6933">
        <f>IF($D6933 &gt; 16, 0,$E6933*$J$5)</f>
        <v>8580475.990552729</v>
      </c>
      <c r="G6933">
        <f t="shared" si="108"/>
        <v>3.8000000000000007</v>
      </c>
    </row>
    <row r="6934" spans="2:7" x14ac:dyDescent="0.35">
      <c r="B6934" s="1">
        <v>45946</v>
      </c>
      <c r="C6934" s="2">
        <v>0.83333333333333337</v>
      </c>
      <c r="D6934">
        <v>11.8</v>
      </c>
      <c r="E6934">
        <f>IF($D6934 &gt; 16, 0, $J$3*(16 - $D6934))</f>
        <v>872.54429934292716</v>
      </c>
      <c r="F6934">
        <f>IF($D6934 &gt; 16, 0,$E6934*$J$5)</f>
        <v>9483683.9895582758</v>
      </c>
      <c r="G6934">
        <f t="shared" si="108"/>
        <v>4.1999999999999993</v>
      </c>
    </row>
    <row r="6935" spans="2:7" x14ac:dyDescent="0.35">
      <c r="B6935" s="1">
        <v>45946</v>
      </c>
      <c r="C6935" s="2">
        <v>0.875</v>
      </c>
      <c r="D6935">
        <v>11.6</v>
      </c>
      <c r="E6935">
        <f>IF($D6935 &gt; 16, 0, $J$3*(16 - $D6935))</f>
        <v>914.09402788306681</v>
      </c>
      <c r="F6935">
        <f>IF($D6935 &gt; 16, 0,$E6935*$J$5)</f>
        <v>9935287.9890610538</v>
      </c>
      <c r="G6935">
        <f t="shared" si="108"/>
        <v>4.4000000000000004</v>
      </c>
    </row>
    <row r="6936" spans="2:7" x14ac:dyDescent="0.35">
      <c r="B6936" s="1">
        <v>45946</v>
      </c>
      <c r="C6936" s="2">
        <v>0.91666666666666663</v>
      </c>
      <c r="D6936">
        <v>10.7</v>
      </c>
      <c r="E6936">
        <f>IF($D6936 &gt; 16, 0, $J$3*(16 - $D6936))</f>
        <v>1101.0678063136943</v>
      </c>
      <c r="F6936">
        <f>IF($D6936 &gt; 16, 0,$E6936*$J$5)</f>
        <v>11967505.986823544</v>
      </c>
      <c r="G6936">
        <f t="shared" si="108"/>
        <v>5.3000000000000007</v>
      </c>
    </row>
    <row r="6937" spans="2:7" x14ac:dyDescent="0.35">
      <c r="B6937" s="1">
        <v>45946</v>
      </c>
      <c r="C6937" s="2">
        <v>0.95833333333333337</v>
      </c>
      <c r="D6937">
        <v>10.1</v>
      </c>
      <c r="E6937">
        <f>IF($D6937 &gt; 16, 0, $J$3*(16 - $D6937))</f>
        <v>1225.7169919341122</v>
      </c>
      <c r="F6937">
        <f>IF($D6937 &gt; 16, 0,$E6937*$J$5)</f>
        <v>13322317.985331865</v>
      </c>
      <c r="G6937">
        <f t="shared" si="108"/>
        <v>5.9</v>
      </c>
    </row>
    <row r="6938" spans="2:7" x14ac:dyDescent="0.35">
      <c r="B6938" s="1">
        <v>45947</v>
      </c>
      <c r="C6938" s="2">
        <v>0</v>
      </c>
      <c r="D6938">
        <v>9.5</v>
      </c>
      <c r="E6938">
        <f>IF($D6938 &gt; 16, 0, $J$3*(16 - $D6938))</f>
        <v>1350.3661775545304</v>
      </c>
      <c r="F6938">
        <f>IF($D6938 &gt; 16, 0,$E6938*$J$5)</f>
        <v>14677129.983840192</v>
      </c>
      <c r="G6938">
        <f t="shared" si="108"/>
        <v>6.5</v>
      </c>
    </row>
    <row r="6939" spans="2:7" x14ac:dyDescent="0.35">
      <c r="B6939" s="1">
        <v>45947</v>
      </c>
      <c r="C6939" s="2">
        <v>4.1666666666666657E-2</v>
      </c>
      <c r="D6939">
        <v>10.1</v>
      </c>
      <c r="E6939">
        <f>IF($D6939 &gt; 16, 0, $J$3*(16 - $D6939))</f>
        <v>1225.7169919341122</v>
      </c>
      <c r="F6939">
        <f>IF($D6939 &gt; 16, 0,$E6939*$J$5)</f>
        <v>13322317.985331865</v>
      </c>
      <c r="G6939">
        <f t="shared" si="108"/>
        <v>5.9</v>
      </c>
    </row>
    <row r="6940" spans="2:7" x14ac:dyDescent="0.35">
      <c r="B6940" s="1">
        <v>45947</v>
      </c>
      <c r="C6940" s="2">
        <v>8.3333333333333329E-2</v>
      </c>
      <c r="D6940">
        <v>9.1999999999999993</v>
      </c>
      <c r="E6940">
        <f>IF($D6940 &gt; 16, 0, $J$3*(16 - $D6940))</f>
        <v>1412.6907703647396</v>
      </c>
      <c r="F6940">
        <f>IF($D6940 &gt; 16, 0,$E6940*$J$5)</f>
        <v>15354535.983094355</v>
      </c>
      <c r="G6940">
        <f t="shared" si="108"/>
        <v>6.8000000000000007</v>
      </c>
    </row>
    <row r="6941" spans="2:7" x14ac:dyDescent="0.35">
      <c r="B6941" s="1">
        <v>45947</v>
      </c>
      <c r="C6941" s="2">
        <v>0.125</v>
      </c>
      <c r="D6941">
        <v>9.1999999999999993</v>
      </c>
      <c r="E6941">
        <f>IF($D6941 &gt; 16, 0, $J$3*(16 - $D6941))</f>
        <v>1412.6907703647396</v>
      </c>
      <c r="F6941">
        <f>IF($D6941 &gt; 16, 0,$E6941*$J$5)</f>
        <v>15354535.983094355</v>
      </c>
      <c r="G6941">
        <f t="shared" si="108"/>
        <v>6.8000000000000007</v>
      </c>
    </row>
    <row r="6942" spans="2:7" x14ac:dyDescent="0.35">
      <c r="B6942" s="1">
        <v>45947</v>
      </c>
      <c r="C6942" s="2">
        <v>0.16666666666666671</v>
      </c>
      <c r="D6942">
        <v>9</v>
      </c>
      <c r="E6942">
        <f>IF($D6942 &gt; 16, 0, $J$3*(16 - $D6942))</f>
        <v>1454.2404989048789</v>
      </c>
      <c r="F6942">
        <f>IF($D6942 &gt; 16, 0,$E6942*$J$5)</f>
        <v>15806139.982597129</v>
      </c>
      <c r="G6942">
        <f t="shared" si="108"/>
        <v>7</v>
      </c>
    </row>
    <row r="6943" spans="2:7" x14ac:dyDescent="0.35">
      <c r="B6943" s="1">
        <v>45947</v>
      </c>
      <c r="C6943" s="2">
        <v>0.20833333333333329</v>
      </c>
      <c r="D6943">
        <v>8.8000000000000007</v>
      </c>
      <c r="E6943">
        <f>IF($D6943 &gt; 16, 0, $J$3*(16 - $D6943))</f>
        <v>1495.7902274450182</v>
      </c>
      <c r="F6943">
        <f>IF($D6943 &gt; 16, 0,$E6943*$J$5)</f>
        <v>16257743.982099904</v>
      </c>
      <c r="G6943">
        <f t="shared" si="108"/>
        <v>7.1999999999999993</v>
      </c>
    </row>
    <row r="6944" spans="2:7" x14ac:dyDescent="0.35">
      <c r="B6944" s="1">
        <v>45947</v>
      </c>
      <c r="C6944" s="2">
        <v>0.25</v>
      </c>
      <c r="D6944">
        <v>9.8000000000000007</v>
      </c>
      <c r="E6944">
        <f>IF($D6944 &gt; 16, 0, $J$3*(16 - $D6944))</f>
        <v>1288.0415847443212</v>
      </c>
      <c r="F6944">
        <f>IF($D6944 &gt; 16, 0,$E6944*$J$5)</f>
        <v>13999723.984586027</v>
      </c>
      <c r="G6944">
        <f t="shared" si="108"/>
        <v>6.1999999999999993</v>
      </c>
    </row>
    <row r="6945" spans="2:7" x14ac:dyDescent="0.35">
      <c r="B6945" s="1">
        <v>45947</v>
      </c>
      <c r="C6945" s="2">
        <v>0.29166666666666669</v>
      </c>
      <c r="D6945">
        <v>10.1</v>
      </c>
      <c r="E6945">
        <f>IF($D6945 &gt; 16, 0, $J$3*(16 - $D6945))</f>
        <v>1225.7169919341122</v>
      </c>
      <c r="F6945">
        <f>IF($D6945 &gt; 16, 0,$E6945*$J$5)</f>
        <v>13322317.985331865</v>
      </c>
      <c r="G6945">
        <f t="shared" si="108"/>
        <v>5.9</v>
      </c>
    </row>
    <row r="6946" spans="2:7" x14ac:dyDescent="0.35">
      <c r="B6946" s="1">
        <v>45947</v>
      </c>
      <c r="C6946" s="2">
        <v>0.33333333333333331</v>
      </c>
      <c r="D6946">
        <v>10.8</v>
      </c>
      <c r="E6946">
        <f>IF($D6946 &gt; 16, 0, $J$3*(16 - $D6946))</f>
        <v>1080.2929420436242</v>
      </c>
      <c r="F6946">
        <f>IF($D6946 &gt; 16, 0,$E6946*$J$5)</f>
        <v>11741703.987072151</v>
      </c>
      <c r="G6946">
        <f t="shared" si="108"/>
        <v>5.1999999999999993</v>
      </c>
    </row>
    <row r="6947" spans="2:7" x14ac:dyDescent="0.35">
      <c r="B6947" s="1">
        <v>45947</v>
      </c>
      <c r="C6947" s="2">
        <v>0.375</v>
      </c>
      <c r="D6947">
        <v>11.1</v>
      </c>
      <c r="E6947">
        <f>IF($D6947 &gt; 16, 0, $J$3*(16 - $D6947))</f>
        <v>1017.9683492334153</v>
      </c>
      <c r="F6947">
        <f>IF($D6947 &gt; 16, 0,$E6947*$J$5)</f>
        <v>11064297.987817992</v>
      </c>
      <c r="G6947">
        <f t="shared" si="108"/>
        <v>4.9000000000000004</v>
      </c>
    </row>
    <row r="6948" spans="2:7" x14ac:dyDescent="0.35">
      <c r="B6948" s="1">
        <v>45947</v>
      </c>
      <c r="C6948" s="2">
        <v>0.41666666666666669</v>
      </c>
      <c r="D6948">
        <v>11.6</v>
      </c>
      <c r="E6948">
        <f>IF($D6948 &gt; 16, 0, $J$3*(16 - $D6948))</f>
        <v>914.09402788306681</v>
      </c>
      <c r="F6948">
        <f>IF($D6948 &gt; 16, 0,$E6948*$J$5)</f>
        <v>9935287.9890610538</v>
      </c>
      <c r="G6948">
        <f t="shared" si="108"/>
        <v>4.4000000000000004</v>
      </c>
    </row>
    <row r="6949" spans="2:7" x14ac:dyDescent="0.35">
      <c r="B6949" s="1">
        <v>45947</v>
      </c>
      <c r="C6949" s="2">
        <v>0.45833333333333331</v>
      </c>
      <c r="D6949">
        <v>12</v>
      </c>
      <c r="E6949">
        <f>IF($D6949 &gt; 16, 0, $J$3*(16 - $D6949))</f>
        <v>830.99457080278796</v>
      </c>
      <c r="F6949">
        <f>IF($D6949 &gt; 16, 0,$E6949*$J$5)</f>
        <v>9032079.9900555015</v>
      </c>
      <c r="G6949">
        <f t="shared" si="108"/>
        <v>4</v>
      </c>
    </row>
    <row r="6950" spans="2:7" x14ac:dyDescent="0.35">
      <c r="B6950" s="1">
        <v>45947</v>
      </c>
      <c r="C6950" s="2">
        <v>0.5</v>
      </c>
      <c r="D6950">
        <v>12.1</v>
      </c>
      <c r="E6950">
        <f>IF($D6950 &gt; 16, 0, $J$3*(16 - $D6950))</f>
        <v>810.21970653271831</v>
      </c>
      <c r="F6950">
        <f>IF($D6950 &gt; 16, 0,$E6950*$J$5)</f>
        <v>8806277.9903041162</v>
      </c>
      <c r="G6950">
        <f t="shared" si="108"/>
        <v>3.9000000000000004</v>
      </c>
    </row>
    <row r="6951" spans="2:7" x14ac:dyDescent="0.35">
      <c r="B6951" s="1">
        <v>45947</v>
      </c>
      <c r="C6951" s="2">
        <v>0.54166666666666663</v>
      </c>
      <c r="D6951">
        <v>12.4</v>
      </c>
      <c r="E6951">
        <f>IF($D6951 &gt; 16, 0, $J$3*(16 - $D6951))</f>
        <v>747.89511372250911</v>
      </c>
      <c r="F6951">
        <f>IF($D6951 &gt; 16, 0,$E6951*$J$5)</f>
        <v>8128871.9910499519</v>
      </c>
      <c r="G6951">
        <f t="shared" si="108"/>
        <v>3.5999999999999996</v>
      </c>
    </row>
    <row r="6952" spans="2:7" x14ac:dyDescent="0.35">
      <c r="B6952" s="1">
        <v>45947</v>
      </c>
      <c r="C6952" s="2">
        <v>0.58333333333333337</v>
      </c>
      <c r="D6952">
        <v>12.6</v>
      </c>
      <c r="E6952">
        <f>IF($D6952 &gt; 16, 0, $J$3*(16 - $D6952))</f>
        <v>706.3453851823698</v>
      </c>
      <c r="F6952">
        <f>IF($D6952 &gt; 16, 0,$E6952*$J$5)</f>
        <v>7677267.9915471775</v>
      </c>
      <c r="G6952">
        <f t="shared" si="108"/>
        <v>3.4000000000000004</v>
      </c>
    </row>
    <row r="6953" spans="2:7" x14ac:dyDescent="0.35">
      <c r="B6953" s="1">
        <v>45947</v>
      </c>
      <c r="C6953" s="2">
        <v>0.625</v>
      </c>
      <c r="D6953">
        <v>11.7</v>
      </c>
      <c r="E6953">
        <f>IF($D6953 &gt; 16, 0, $J$3*(16 - $D6953))</f>
        <v>893.31916361299716</v>
      </c>
      <c r="F6953">
        <f>IF($D6953 &gt; 16, 0,$E6953*$J$5)</f>
        <v>9709485.9893096667</v>
      </c>
      <c r="G6953">
        <f t="shared" si="108"/>
        <v>4.3000000000000007</v>
      </c>
    </row>
    <row r="6954" spans="2:7" x14ac:dyDescent="0.35">
      <c r="B6954" s="1">
        <v>45947</v>
      </c>
      <c r="C6954" s="2">
        <v>0.66666666666666663</v>
      </c>
      <c r="D6954">
        <v>10.9</v>
      </c>
      <c r="E6954">
        <f>IF($D6954 &gt; 16, 0, $J$3*(16 - $D6954))</f>
        <v>1059.5180777735545</v>
      </c>
      <c r="F6954">
        <f>IF($D6954 &gt; 16, 0,$E6954*$J$5)</f>
        <v>11515901.987320764</v>
      </c>
      <c r="G6954">
        <f t="shared" si="108"/>
        <v>5.0999999999999996</v>
      </c>
    </row>
    <row r="6955" spans="2:7" x14ac:dyDescent="0.35">
      <c r="B6955" s="1">
        <v>45947</v>
      </c>
      <c r="C6955" s="2">
        <v>0.70833333333333337</v>
      </c>
      <c r="D6955">
        <v>10</v>
      </c>
      <c r="E6955">
        <f>IF($D6955 &gt; 16, 0, $J$3*(16 - $D6955))</f>
        <v>1246.4918562041819</v>
      </c>
      <c r="F6955">
        <f>IF($D6955 &gt; 16, 0,$E6955*$J$5)</f>
        <v>13548119.985083252</v>
      </c>
      <c r="G6955">
        <f t="shared" si="108"/>
        <v>6</v>
      </c>
    </row>
    <row r="6956" spans="2:7" x14ac:dyDescent="0.35">
      <c r="B6956" s="1">
        <v>45947</v>
      </c>
      <c r="C6956" s="2">
        <v>0.75</v>
      </c>
      <c r="D6956">
        <v>9.9</v>
      </c>
      <c r="E6956">
        <f>IF($D6956 &gt; 16, 0, $J$3*(16 - $D6956))</f>
        <v>1267.2667204742515</v>
      </c>
      <c r="F6956">
        <f>IF($D6956 &gt; 16, 0,$E6956*$J$5)</f>
        <v>13773921.984834639</v>
      </c>
      <c r="G6956">
        <f t="shared" si="108"/>
        <v>6.1</v>
      </c>
    </row>
    <row r="6957" spans="2:7" x14ac:dyDescent="0.35">
      <c r="B6957" s="1">
        <v>45947</v>
      </c>
      <c r="C6957" s="2">
        <v>0.79166666666666663</v>
      </c>
      <c r="D6957">
        <v>8.8000000000000007</v>
      </c>
      <c r="E6957">
        <f>IF($D6957 &gt; 16, 0, $J$3*(16 - $D6957))</f>
        <v>1495.7902274450182</v>
      </c>
      <c r="F6957">
        <f>IF($D6957 &gt; 16, 0,$E6957*$J$5)</f>
        <v>16257743.982099904</v>
      </c>
      <c r="G6957">
        <f t="shared" si="108"/>
        <v>7.1999999999999993</v>
      </c>
    </row>
    <row r="6958" spans="2:7" x14ac:dyDescent="0.35">
      <c r="B6958" s="1">
        <v>45947</v>
      </c>
      <c r="C6958" s="2">
        <v>0.83333333333333337</v>
      </c>
      <c r="D6958">
        <v>7.5</v>
      </c>
      <c r="E6958">
        <f>IF($D6958 &gt; 16, 0, $J$3*(16 - $D6958))</f>
        <v>1765.8634629559244</v>
      </c>
      <c r="F6958">
        <f>IF($D6958 &gt; 16, 0,$E6958*$J$5)</f>
        <v>19193169.978867944</v>
      </c>
      <c r="G6958">
        <f t="shared" si="108"/>
        <v>8.5</v>
      </c>
    </row>
    <row r="6959" spans="2:7" x14ac:dyDescent="0.35">
      <c r="B6959" s="1">
        <v>45947</v>
      </c>
      <c r="C6959" s="2">
        <v>0.875</v>
      </c>
      <c r="D6959">
        <v>6.6</v>
      </c>
      <c r="E6959">
        <f>IF($D6959 &gt; 16, 0, $J$3*(16 - $D6959))</f>
        <v>1952.8372413865518</v>
      </c>
      <c r="F6959">
        <f>IF($D6959 &gt; 16, 0,$E6959*$J$5)</f>
        <v>21225387.976630431</v>
      </c>
      <c r="G6959">
        <f t="shared" si="108"/>
        <v>9.4</v>
      </c>
    </row>
    <row r="6960" spans="2:7" x14ac:dyDescent="0.35">
      <c r="B6960" s="1">
        <v>45947</v>
      </c>
      <c r="C6960" s="2">
        <v>0.91666666666666663</v>
      </c>
      <c r="D6960">
        <v>5.7</v>
      </c>
      <c r="E6960">
        <f>IF($D6960 &gt; 16, 0, $J$3*(16 - $D6960))</f>
        <v>2139.8110198171789</v>
      </c>
      <c r="F6960">
        <f>IF($D6960 &gt; 16, 0,$E6960*$J$5)</f>
        <v>23257605.974392917</v>
      </c>
      <c r="G6960">
        <f t="shared" si="108"/>
        <v>10.3</v>
      </c>
    </row>
    <row r="6961" spans="2:7" x14ac:dyDescent="0.35">
      <c r="B6961" s="1">
        <v>45947</v>
      </c>
      <c r="C6961" s="2">
        <v>0.95833333333333337</v>
      </c>
      <c r="D6961">
        <v>4.5</v>
      </c>
      <c r="E6961">
        <f>IF($D6961 &gt; 16, 0, $J$3*(16 - $D6961))</f>
        <v>2389.1093910580153</v>
      </c>
      <c r="F6961">
        <f>IF($D6961 &gt; 16, 0,$E6961*$J$5)</f>
        <v>25967229.971409567</v>
      </c>
      <c r="G6961">
        <f t="shared" si="108"/>
        <v>11.5</v>
      </c>
    </row>
    <row r="6962" spans="2:7" x14ac:dyDescent="0.35">
      <c r="B6962" s="1">
        <v>45948</v>
      </c>
      <c r="C6962" s="2">
        <v>0</v>
      </c>
      <c r="D6962">
        <v>3.9</v>
      </c>
      <c r="E6962">
        <f>IF($D6962 &gt; 16, 0, $J$3*(16 - $D6962))</f>
        <v>2513.7585766784337</v>
      </c>
      <c r="F6962">
        <f>IF($D6962 &gt; 16, 0,$E6962*$J$5)</f>
        <v>27322041.969917897</v>
      </c>
      <c r="G6962">
        <f t="shared" si="108"/>
        <v>12.1</v>
      </c>
    </row>
    <row r="6963" spans="2:7" x14ac:dyDescent="0.35">
      <c r="B6963" s="1">
        <v>45948</v>
      </c>
      <c r="C6963" s="2">
        <v>4.1666666666666657E-2</v>
      </c>
      <c r="D6963">
        <v>2.5</v>
      </c>
      <c r="E6963">
        <f>IF($D6963 &gt; 16, 0, $J$3*(16 - $D6963))</f>
        <v>2804.6066764594093</v>
      </c>
      <c r="F6963">
        <f>IF($D6963 &gt; 16, 0,$E6963*$J$5)</f>
        <v>30483269.966437321</v>
      </c>
      <c r="G6963">
        <f t="shared" si="108"/>
        <v>13.5</v>
      </c>
    </row>
    <row r="6964" spans="2:7" x14ac:dyDescent="0.35">
      <c r="B6964" s="1">
        <v>45948</v>
      </c>
      <c r="C6964" s="2">
        <v>8.3333333333333329E-2</v>
      </c>
      <c r="D6964">
        <v>1.5</v>
      </c>
      <c r="E6964">
        <f>IF($D6964 &gt; 16, 0, $J$3*(16 - $D6964))</f>
        <v>3012.3553191601063</v>
      </c>
      <c r="F6964">
        <f>IF($D6964 &gt; 16, 0,$E6964*$J$5)</f>
        <v>32741289.963951197</v>
      </c>
      <c r="G6964">
        <f t="shared" si="108"/>
        <v>14.5</v>
      </c>
    </row>
    <row r="6965" spans="2:7" x14ac:dyDescent="0.35">
      <c r="B6965" s="1">
        <v>45948</v>
      </c>
      <c r="C6965" s="2">
        <v>0.125</v>
      </c>
      <c r="D6965">
        <v>1.8</v>
      </c>
      <c r="E6965">
        <f>IF($D6965 &gt; 16, 0, $J$3*(16 - $D6965))</f>
        <v>2950.0307263498971</v>
      </c>
      <c r="F6965">
        <f>IF($D6965 &gt; 16, 0,$E6965*$J$5)</f>
        <v>32063883.964697033</v>
      </c>
      <c r="G6965">
        <f t="shared" si="108"/>
        <v>14.2</v>
      </c>
    </row>
    <row r="6966" spans="2:7" x14ac:dyDescent="0.35">
      <c r="B6966" s="1">
        <v>45948</v>
      </c>
      <c r="C6966" s="2">
        <v>0.16666666666666671</v>
      </c>
      <c r="D6966">
        <v>1.2</v>
      </c>
      <c r="E6966">
        <f>IF($D6966 &gt; 16, 0, $J$3*(16 - $D6966))</f>
        <v>3074.6799119703155</v>
      </c>
      <c r="F6966">
        <f>IF($D6966 &gt; 16, 0,$E6966*$J$5)</f>
        <v>33418695.96320536</v>
      </c>
      <c r="G6966">
        <f t="shared" si="108"/>
        <v>14.8</v>
      </c>
    </row>
    <row r="6967" spans="2:7" x14ac:dyDescent="0.35">
      <c r="B6967" s="1">
        <v>45948</v>
      </c>
      <c r="C6967" s="2">
        <v>0.20833333333333329</v>
      </c>
      <c r="D6967">
        <v>1</v>
      </c>
      <c r="E6967">
        <f>IF($D6967 &gt; 16, 0, $J$3*(16 - $D6967))</f>
        <v>3116.2296405104548</v>
      </c>
      <c r="F6967">
        <f>IF($D6967 &gt; 16, 0,$E6967*$J$5)</f>
        <v>33870299.96270813</v>
      </c>
      <c r="G6967">
        <f t="shared" si="108"/>
        <v>15</v>
      </c>
    </row>
    <row r="6968" spans="2:7" x14ac:dyDescent="0.35">
      <c r="B6968" s="1">
        <v>45948</v>
      </c>
      <c r="C6968" s="2">
        <v>0.25</v>
      </c>
      <c r="D6968">
        <v>0.4</v>
      </c>
      <c r="E6968">
        <f>IF($D6968 &gt; 16, 0, $J$3*(16 - $D6968))</f>
        <v>3240.8788261308728</v>
      </c>
      <c r="F6968">
        <f>IF($D6968 &gt; 16, 0,$E6968*$J$5)</f>
        <v>35225111.961216457</v>
      </c>
      <c r="G6968">
        <f t="shared" si="108"/>
        <v>15.6</v>
      </c>
    </row>
    <row r="6969" spans="2:7" x14ac:dyDescent="0.35">
      <c r="B6969" s="1">
        <v>45948</v>
      </c>
      <c r="C6969" s="2">
        <v>0.29166666666666669</v>
      </c>
      <c r="D6969">
        <v>0.7</v>
      </c>
      <c r="E6969">
        <f>IF($D6969 &gt; 16, 0, $J$3*(16 - $D6969))</f>
        <v>3178.554233320664</v>
      </c>
      <c r="F6969">
        <f>IF($D6969 &gt; 16, 0,$E6969*$J$5)</f>
        <v>34547705.961962298</v>
      </c>
      <c r="G6969">
        <f t="shared" si="108"/>
        <v>15.3</v>
      </c>
    </row>
    <row r="6970" spans="2:7" x14ac:dyDescent="0.35">
      <c r="B6970" s="1">
        <v>45948</v>
      </c>
      <c r="C6970" s="2">
        <v>0.33333333333333331</v>
      </c>
      <c r="D6970">
        <v>4.7</v>
      </c>
      <c r="E6970">
        <f>IF($D6970 &gt; 16, 0, $J$3*(16 - $D6970))</f>
        <v>2347.5596625178759</v>
      </c>
      <c r="F6970">
        <f>IF($D6970 &gt; 16, 0,$E6970*$J$5)</f>
        <v>25515625.971906792</v>
      </c>
      <c r="G6970">
        <f t="shared" si="108"/>
        <v>11.3</v>
      </c>
    </row>
    <row r="6971" spans="2:7" x14ac:dyDescent="0.35">
      <c r="B6971" s="1">
        <v>45948</v>
      </c>
      <c r="C6971" s="2">
        <v>0.375</v>
      </c>
      <c r="D6971">
        <v>8.1</v>
      </c>
      <c r="E6971">
        <f>IF($D6971 &gt; 16, 0, $J$3*(16 - $D6971))</f>
        <v>1641.2142773355063</v>
      </c>
      <c r="F6971">
        <f>IF($D6971 &gt; 16, 0,$E6971*$J$5)</f>
        <v>17838357.980359618</v>
      </c>
      <c r="G6971">
        <f t="shared" si="108"/>
        <v>7.9</v>
      </c>
    </row>
    <row r="6972" spans="2:7" x14ac:dyDescent="0.35">
      <c r="B6972" s="1">
        <v>45948</v>
      </c>
      <c r="C6972" s="2">
        <v>0.41666666666666669</v>
      </c>
      <c r="D6972">
        <v>9.6</v>
      </c>
      <c r="E6972">
        <f>IF($D6972 &gt; 16, 0, $J$3*(16 - $D6972))</f>
        <v>1329.5913132844607</v>
      </c>
      <c r="F6972">
        <f>IF($D6972 &gt; 16, 0,$E6972*$J$5)</f>
        <v>14451327.984088805</v>
      </c>
      <c r="G6972">
        <f t="shared" si="108"/>
        <v>6.4</v>
      </c>
    </row>
    <row r="6973" spans="2:7" x14ac:dyDescent="0.35">
      <c r="B6973" s="1">
        <v>45948</v>
      </c>
      <c r="C6973" s="2">
        <v>0.45833333333333331</v>
      </c>
      <c r="D6973">
        <v>10.8</v>
      </c>
      <c r="E6973">
        <f>IF($D6973 &gt; 16, 0, $J$3*(16 - $D6973))</f>
        <v>1080.2929420436242</v>
      </c>
      <c r="F6973">
        <f>IF($D6973 &gt; 16, 0,$E6973*$J$5)</f>
        <v>11741703.987072151</v>
      </c>
      <c r="G6973">
        <f t="shared" si="108"/>
        <v>5.1999999999999993</v>
      </c>
    </row>
    <row r="6974" spans="2:7" x14ac:dyDescent="0.35">
      <c r="B6974" s="1">
        <v>45948</v>
      </c>
      <c r="C6974" s="2">
        <v>0.5</v>
      </c>
      <c r="D6974">
        <v>10</v>
      </c>
      <c r="E6974">
        <f>IF($D6974 &gt; 16, 0, $J$3*(16 - $D6974))</f>
        <v>1246.4918562041819</v>
      </c>
      <c r="F6974">
        <f>IF($D6974 &gt; 16, 0,$E6974*$J$5)</f>
        <v>13548119.985083252</v>
      </c>
      <c r="G6974">
        <f t="shared" si="108"/>
        <v>6</v>
      </c>
    </row>
    <row r="6975" spans="2:7" x14ac:dyDescent="0.35">
      <c r="B6975" s="1">
        <v>45948</v>
      </c>
      <c r="C6975" s="2">
        <v>0.54166666666666663</v>
      </c>
      <c r="D6975">
        <v>9.8000000000000007</v>
      </c>
      <c r="E6975">
        <f>IF($D6975 &gt; 16, 0, $J$3*(16 - $D6975))</f>
        <v>1288.0415847443212</v>
      </c>
      <c r="F6975">
        <f>IF($D6975 &gt; 16, 0,$E6975*$J$5)</f>
        <v>13999723.984586027</v>
      </c>
      <c r="G6975">
        <f t="shared" si="108"/>
        <v>6.1999999999999993</v>
      </c>
    </row>
    <row r="6976" spans="2:7" x14ac:dyDescent="0.35">
      <c r="B6976" s="1">
        <v>45948</v>
      </c>
      <c r="C6976" s="2">
        <v>0.58333333333333337</v>
      </c>
      <c r="D6976">
        <v>10.9</v>
      </c>
      <c r="E6976">
        <f>IF($D6976 &gt; 16, 0, $J$3*(16 - $D6976))</f>
        <v>1059.5180777735545</v>
      </c>
      <c r="F6976">
        <f>IF($D6976 &gt; 16, 0,$E6976*$J$5)</f>
        <v>11515901.987320764</v>
      </c>
      <c r="G6976">
        <f t="shared" si="108"/>
        <v>5.0999999999999996</v>
      </c>
    </row>
    <row r="6977" spans="2:7" x14ac:dyDescent="0.35">
      <c r="B6977" s="1">
        <v>45948</v>
      </c>
      <c r="C6977" s="2">
        <v>0.625</v>
      </c>
      <c r="D6977">
        <v>10.3</v>
      </c>
      <c r="E6977">
        <f>IF($D6977 &gt; 16, 0, $J$3*(16 - $D6977))</f>
        <v>1184.1672633939727</v>
      </c>
      <c r="F6977">
        <f>IF($D6977 &gt; 16, 0,$E6977*$J$5)</f>
        <v>12870713.985829089</v>
      </c>
      <c r="G6977">
        <f t="shared" si="108"/>
        <v>5.6999999999999993</v>
      </c>
    </row>
    <row r="6978" spans="2:7" x14ac:dyDescent="0.35">
      <c r="B6978" s="1">
        <v>45948</v>
      </c>
      <c r="C6978" s="2">
        <v>0.66666666666666663</v>
      </c>
      <c r="D6978">
        <v>8.1</v>
      </c>
      <c r="E6978">
        <f>IF($D6978 &gt; 16, 0, $J$3*(16 - $D6978))</f>
        <v>1641.2142773355063</v>
      </c>
      <c r="F6978">
        <f>IF($D6978 &gt; 16, 0,$E6978*$J$5)</f>
        <v>17838357.980359618</v>
      </c>
      <c r="G6978">
        <f t="shared" si="108"/>
        <v>7.9</v>
      </c>
    </row>
    <row r="6979" spans="2:7" x14ac:dyDescent="0.35">
      <c r="B6979" s="1">
        <v>45948</v>
      </c>
      <c r="C6979" s="2">
        <v>0.70833333333333337</v>
      </c>
      <c r="D6979">
        <v>5.3</v>
      </c>
      <c r="E6979">
        <f>IF($D6979 &gt; 16, 0, $J$3*(16 - $D6979))</f>
        <v>2222.9104768974576</v>
      </c>
      <c r="F6979">
        <f>IF($D6979 &gt; 16, 0,$E6979*$J$5)</f>
        <v>24160813.973398466</v>
      </c>
      <c r="G6979">
        <f t="shared" ref="G6979:G7042" si="109">MAX(0, 16 - $D6979)</f>
        <v>10.7</v>
      </c>
    </row>
    <row r="6980" spans="2:7" x14ac:dyDescent="0.35">
      <c r="B6980" s="1">
        <v>45948</v>
      </c>
      <c r="C6980" s="2">
        <v>0.75</v>
      </c>
      <c r="D6980">
        <v>4.3</v>
      </c>
      <c r="E6980">
        <f>IF($D6980 &gt; 16, 0, $J$3*(16 - $D6980))</f>
        <v>2430.6591195981546</v>
      </c>
      <c r="F6980">
        <f>IF($D6980 &gt; 16, 0,$E6980*$J$5)</f>
        <v>26418833.970912341</v>
      </c>
      <c r="G6980">
        <f t="shared" si="109"/>
        <v>11.7</v>
      </c>
    </row>
    <row r="6981" spans="2:7" x14ac:dyDescent="0.35">
      <c r="B6981" s="1">
        <v>45948</v>
      </c>
      <c r="C6981" s="2">
        <v>0.79166666666666663</v>
      </c>
      <c r="D6981">
        <v>4.0999999999999996</v>
      </c>
      <c r="E6981">
        <f>IF($D6981 &gt; 16, 0, $J$3*(16 - $D6981))</f>
        <v>2472.2088481382943</v>
      </c>
      <c r="F6981">
        <f>IF($D6981 &gt; 16, 0,$E6981*$J$5)</f>
        <v>26870437.970415123</v>
      </c>
      <c r="G6981">
        <f t="shared" si="109"/>
        <v>11.9</v>
      </c>
    </row>
    <row r="6982" spans="2:7" x14ac:dyDescent="0.35">
      <c r="B6982" s="1">
        <v>45948</v>
      </c>
      <c r="C6982" s="2">
        <v>0.83333333333333337</v>
      </c>
      <c r="D6982">
        <v>3.3</v>
      </c>
      <c r="E6982">
        <f>IF($D6982 &gt; 16, 0, $J$3*(16 - $D6982))</f>
        <v>2638.4077622988516</v>
      </c>
      <c r="F6982">
        <f>IF($D6982 &gt; 16, 0,$E6982*$J$5)</f>
        <v>28676853.968426216</v>
      </c>
      <c r="G6982">
        <f t="shared" si="109"/>
        <v>12.7</v>
      </c>
    </row>
    <row r="6983" spans="2:7" x14ac:dyDescent="0.35">
      <c r="B6983" s="1">
        <v>45948</v>
      </c>
      <c r="C6983" s="2">
        <v>0.875</v>
      </c>
      <c r="D6983">
        <v>3.1</v>
      </c>
      <c r="E6983">
        <f>IF($D6983 &gt; 16, 0, $J$3*(16 - $D6983))</f>
        <v>2679.9574908389914</v>
      </c>
      <c r="F6983">
        <f>IF($D6983 &gt; 16, 0,$E6983*$J$5)</f>
        <v>29128457.967928998</v>
      </c>
      <c r="G6983">
        <f t="shared" si="109"/>
        <v>12.9</v>
      </c>
    </row>
    <row r="6984" spans="2:7" x14ac:dyDescent="0.35">
      <c r="B6984" s="1">
        <v>45948</v>
      </c>
      <c r="C6984" s="2">
        <v>0.91666666666666663</v>
      </c>
      <c r="D6984">
        <v>3.1</v>
      </c>
      <c r="E6984">
        <f>IF($D6984 &gt; 16, 0, $J$3*(16 - $D6984))</f>
        <v>2679.9574908389914</v>
      </c>
      <c r="F6984">
        <f>IF($D6984 &gt; 16, 0,$E6984*$J$5)</f>
        <v>29128457.967928998</v>
      </c>
      <c r="G6984">
        <f t="shared" si="109"/>
        <v>12.9</v>
      </c>
    </row>
    <row r="6985" spans="2:7" x14ac:dyDescent="0.35">
      <c r="B6985" s="1">
        <v>45948</v>
      </c>
      <c r="C6985" s="2">
        <v>0.95833333333333337</v>
      </c>
      <c r="D6985">
        <v>2.5</v>
      </c>
      <c r="E6985">
        <f>IF($D6985 &gt; 16, 0, $J$3*(16 - $D6985))</f>
        <v>2804.6066764594093</v>
      </c>
      <c r="F6985">
        <f>IF($D6985 &gt; 16, 0,$E6985*$J$5)</f>
        <v>30483269.966437321</v>
      </c>
      <c r="G6985">
        <f t="shared" si="109"/>
        <v>13.5</v>
      </c>
    </row>
    <row r="6986" spans="2:7" x14ac:dyDescent="0.35">
      <c r="B6986" s="1">
        <v>45949</v>
      </c>
      <c r="C6986" s="2">
        <v>0</v>
      </c>
      <c r="D6986">
        <v>2.6</v>
      </c>
      <c r="E6986">
        <f>IF($D6986 &gt; 16, 0, $J$3*(16 - $D6986))</f>
        <v>2783.8318121893399</v>
      </c>
      <c r="F6986">
        <f>IF($D6986 &gt; 16, 0,$E6986*$J$5)</f>
        <v>30257467.966685936</v>
      </c>
      <c r="G6986">
        <f t="shared" si="109"/>
        <v>13.4</v>
      </c>
    </row>
    <row r="6987" spans="2:7" x14ac:dyDescent="0.35">
      <c r="B6987" s="1">
        <v>45949</v>
      </c>
      <c r="C6987" s="2">
        <v>4.1666666666666657E-2</v>
      </c>
      <c r="D6987">
        <v>1.7</v>
      </c>
      <c r="E6987">
        <f>IF($D6987 &gt; 16, 0, $J$3*(16 - $D6987))</f>
        <v>2970.805590619967</v>
      </c>
      <c r="F6987">
        <f>IF($D6987 &gt; 16, 0,$E6987*$J$5)</f>
        <v>32289685.964448422</v>
      </c>
      <c r="G6987">
        <f t="shared" si="109"/>
        <v>14.3</v>
      </c>
    </row>
    <row r="6988" spans="2:7" x14ac:dyDescent="0.35">
      <c r="B6988" s="1">
        <v>45949</v>
      </c>
      <c r="C6988" s="2">
        <v>8.3333333333333329E-2</v>
      </c>
      <c r="D6988">
        <v>1.9</v>
      </c>
      <c r="E6988">
        <f>IF($D6988 &gt; 16, 0, $J$3*(16 - $D6988))</f>
        <v>2929.2558620798277</v>
      </c>
      <c r="F6988">
        <f>IF($D6988 &gt; 16, 0,$E6988*$J$5)</f>
        <v>31838081.964945648</v>
      </c>
      <c r="G6988">
        <f t="shared" si="109"/>
        <v>14.1</v>
      </c>
    </row>
    <row r="6989" spans="2:7" x14ac:dyDescent="0.35">
      <c r="B6989" s="1">
        <v>45949</v>
      </c>
      <c r="C6989" s="2">
        <v>0.125</v>
      </c>
      <c r="D6989">
        <v>1.7</v>
      </c>
      <c r="E6989">
        <f>IF($D6989 &gt; 16, 0, $J$3*(16 - $D6989))</f>
        <v>2970.805590619967</v>
      </c>
      <c r="F6989">
        <f>IF($D6989 &gt; 16, 0,$E6989*$J$5)</f>
        <v>32289685.964448422</v>
      </c>
      <c r="G6989">
        <f t="shared" si="109"/>
        <v>14.3</v>
      </c>
    </row>
    <row r="6990" spans="2:7" x14ac:dyDescent="0.35">
      <c r="B6990" s="1">
        <v>45949</v>
      </c>
      <c r="C6990" s="2">
        <v>0.16666666666666671</v>
      </c>
      <c r="D6990">
        <v>1.6</v>
      </c>
      <c r="E6990">
        <f>IF($D6990 &gt; 16, 0, $J$3*(16 - $D6990))</f>
        <v>2991.5804548900369</v>
      </c>
      <c r="F6990">
        <f>IF($D6990 &gt; 16, 0,$E6990*$J$5)</f>
        <v>32515487.964199811</v>
      </c>
      <c r="G6990">
        <f t="shared" si="109"/>
        <v>14.4</v>
      </c>
    </row>
    <row r="6991" spans="2:7" x14ac:dyDescent="0.35">
      <c r="B6991" s="1">
        <v>45949</v>
      </c>
      <c r="C6991" s="2">
        <v>0.20833333333333329</v>
      </c>
      <c r="D6991">
        <v>2.2000000000000002</v>
      </c>
      <c r="E6991">
        <f>IF($D6991 &gt; 16, 0, $J$3*(16 - $D6991))</f>
        <v>2866.9312692696185</v>
      </c>
      <c r="F6991">
        <f>IF($D6991 &gt; 16, 0,$E6991*$J$5)</f>
        <v>31160675.965691485</v>
      </c>
      <c r="G6991">
        <f t="shared" si="109"/>
        <v>13.8</v>
      </c>
    </row>
    <row r="6992" spans="2:7" x14ac:dyDescent="0.35">
      <c r="B6992" s="1">
        <v>45949</v>
      </c>
      <c r="C6992" s="2">
        <v>0.25</v>
      </c>
      <c r="D6992">
        <v>2.7</v>
      </c>
      <c r="E6992">
        <f>IF($D6992 &gt; 16, 0, $J$3*(16 - $D6992))</f>
        <v>2763.05694791927</v>
      </c>
      <c r="F6992">
        <f>IF($D6992 &gt; 16, 0,$E6992*$J$5)</f>
        <v>30031665.966934547</v>
      </c>
      <c r="G6992">
        <f t="shared" si="109"/>
        <v>13.3</v>
      </c>
    </row>
    <row r="6993" spans="2:7" x14ac:dyDescent="0.35">
      <c r="B6993" s="1">
        <v>45949</v>
      </c>
      <c r="C6993" s="2">
        <v>0.29166666666666669</v>
      </c>
      <c r="D6993">
        <v>3.8</v>
      </c>
      <c r="E6993">
        <f>IF($D6993 &gt; 16, 0, $J$3*(16 - $D6993))</f>
        <v>2534.5334409485031</v>
      </c>
      <c r="F6993">
        <f>IF($D6993 &gt; 16, 0,$E6993*$J$5)</f>
        <v>27547843.969669279</v>
      </c>
      <c r="G6993">
        <f t="shared" si="109"/>
        <v>12.2</v>
      </c>
    </row>
    <row r="6994" spans="2:7" x14ac:dyDescent="0.35">
      <c r="B6994" s="1">
        <v>45949</v>
      </c>
      <c r="C6994" s="2">
        <v>0.33333333333333331</v>
      </c>
      <c r="D6994">
        <v>4.5999999999999996</v>
      </c>
      <c r="E6994">
        <f>IF($D6994 &gt; 16, 0, $J$3*(16 - $D6994))</f>
        <v>2368.3345267879458</v>
      </c>
      <c r="F6994">
        <f>IF($D6994 &gt; 16, 0,$E6994*$J$5)</f>
        <v>25741427.971658185</v>
      </c>
      <c r="G6994">
        <f t="shared" si="109"/>
        <v>11.4</v>
      </c>
    </row>
    <row r="6995" spans="2:7" x14ac:dyDescent="0.35">
      <c r="B6995" s="1">
        <v>45949</v>
      </c>
      <c r="C6995" s="2">
        <v>0.375</v>
      </c>
      <c r="D6995">
        <v>6.1</v>
      </c>
      <c r="E6995">
        <f>IF($D6995 &gt; 16, 0, $J$3*(16 - $D6995))</f>
        <v>2056.7115627369003</v>
      </c>
      <c r="F6995">
        <f>IF($D6995 &gt; 16, 0,$E6995*$J$5)</f>
        <v>22354397.975387368</v>
      </c>
      <c r="G6995">
        <f t="shared" si="109"/>
        <v>9.9</v>
      </c>
    </row>
    <row r="6996" spans="2:7" x14ac:dyDescent="0.35">
      <c r="B6996" s="1">
        <v>45949</v>
      </c>
      <c r="C6996" s="2">
        <v>0.41666666666666669</v>
      </c>
      <c r="D6996">
        <v>8.5</v>
      </c>
      <c r="E6996">
        <f>IF($D6996 &gt; 16, 0, $J$3*(16 - $D6996))</f>
        <v>1558.1148202552274</v>
      </c>
      <c r="F6996">
        <f>IF($D6996 &gt; 16, 0,$E6996*$J$5)</f>
        <v>16935149.981354065</v>
      </c>
      <c r="G6996">
        <f t="shared" si="109"/>
        <v>7.5</v>
      </c>
    </row>
    <row r="6997" spans="2:7" x14ac:dyDescent="0.35">
      <c r="B6997" s="1">
        <v>45949</v>
      </c>
      <c r="C6997" s="2">
        <v>0.45833333333333331</v>
      </c>
      <c r="D6997">
        <v>8.6999999999999993</v>
      </c>
      <c r="E6997">
        <f>IF($D6997 &gt; 16, 0, $J$3*(16 - $D6997))</f>
        <v>1516.5650917150881</v>
      </c>
      <c r="F6997">
        <f>IF($D6997 &gt; 16, 0,$E6997*$J$5)</f>
        <v>16483545.981851293</v>
      </c>
      <c r="G6997">
        <f t="shared" si="109"/>
        <v>7.3000000000000007</v>
      </c>
    </row>
    <row r="6998" spans="2:7" x14ac:dyDescent="0.35">
      <c r="B6998" s="1">
        <v>45949</v>
      </c>
      <c r="C6998" s="2">
        <v>0.5</v>
      </c>
      <c r="D6998">
        <v>10.5</v>
      </c>
      <c r="E6998">
        <f>IF($D6998 &gt; 16, 0, $J$3*(16 - $D6998))</f>
        <v>1142.6175348538334</v>
      </c>
      <c r="F6998">
        <f>IF($D6998 &gt; 16, 0,$E6998*$J$5)</f>
        <v>12419109.986326315</v>
      </c>
      <c r="G6998">
        <f t="shared" si="109"/>
        <v>5.5</v>
      </c>
    </row>
    <row r="6999" spans="2:7" x14ac:dyDescent="0.35">
      <c r="B6999" s="1">
        <v>45949</v>
      </c>
      <c r="C6999" s="2">
        <v>0.54166666666666663</v>
      </c>
      <c r="D6999">
        <v>10.6</v>
      </c>
      <c r="E6999">
        <f>IF($D6999 &gt; 16, 0, $J$3*(16 - $D6999))</f>
        <v>1121.8426705837637</v>
      </c>
      <c r="F6999">
        <f>IF($D6999 &gt; 16, 0,$E6999*$J$5)</f>
        <v>12193307.986574927</v>
      </c>
      <c r="G6999">
        <f t="shared" si="109"/>
        <v>5.4</v>
      </c>
    </row>
    <row r="7000" spans="2:7" x14ac:dyDescent="0.35">
      <c r="B7000" s="1">
        <v>45949</v>
      </c>
      <c r="C7000" s="2">
        <v>0.58333333333333337</v>
      </c>
      <c r="D7000">
        <v>11.1</v>
      </c>
      <c r="E7000">
        <f>IF($D7000 &gt; 16, 0, $J$3*(16 - $D7000))</f>
        <v>1017.9683492334153</v>
      </c>
      <c r="F7000">
        <f>IF($D7000 &gt; 16, 0,$E7000*$J$5)</f>
        <v>11064297.987817992</v>
      </c>
      <c r="G7000">
        <f t="shared" si="109"/>
        <v>4.9000000000000004</v>
      </c>
    </row>
    <row r="7001" spans="2:7" x14ac:dyDescent="0.35">
      <c r="B7001" s="1">
        <v>45949</v>
      </c>
      <c r="C7001" s="2">
        <v>0.625</v>
      </c>
      <c r="D7001">
        <v>10.8</v>
      </c>
      <c r="E7001">
        <f>IF($D7001 &gt; 16, 0, $J$3*(16 - $D7001))</f>
        <v>1080.2929420436242</v>
      </c>
      <c r="F7001">
        <f>IF($D7001 &gt; 16, 0,$E7001*$J$5)</f>
        <v>11741703.987072151</v>
      </c>
      <c r="G7001">
        <f t="shared" si="109"/>
        <v>5.1999999999999993</v>
      </c>
    </row>
    <row r="7002" spans="2:7" x14ac:dyDescent="0.35">
      <c r="B7002" s="1">
        <v>45949</v>
      </c>
      <c r="C7002" s="2">
        <v>0.66666666666666663</v>
      </c>
      <c r="D7002">
        <v>9.6999999999999993</v>
      </c>
      <c r="E7002">
        <f>IF($D7002 &gt; 16, 0, $J$3*(16 - $D7002))</f>
        <v>1308.8164490143911</v>
      </c>
      <c r="F7002">
        <f>IF($D7002 &gt; 16, 0,$E7002*$J$5)</f>
        <v>14225525.984337417</v>
      </c>
      <c r="G7002">
        <f t="shared" si="109"/>
        <v>6.3000000000000007</v>
      </c>
    </row>
    <row r="7003" spans="2:7" x14ac:dyDescent="0.35">
      <c r="B7003" s="1">
        <v>45949</v>
      </c>
      <c r="C7003" s="2">
        <v>0.70833333333333337</v>
      </c>
      <c r="D7003">
        <v>8.5</v>
      </c>
      <c r="E7003">
        <f>IF($D7003 &gt; 16, 0, $J$3*(16 - $D7003))</f>
        <v>1558.1148202552274</v>
      </c>
      <c r="F7003">
        <f>IF($D7003 &gt; 16, 0,$E7003*$J$5)</f>
        <v>16935149.981354065</v>
      </c>
      <c r="G7003">
        <f t="shared" si="109"/>
        <v>7.5</v>
      </c>
    </row>
    <row r="7004" spans="2:7" x14ac:dyDescent="0.35">
      <c r="B7004" s="1">
        <v>45949</v>
      </c>
      <c r="C7004" s="2">
        <v>0.75</v>
      </c>
      <c r="D7004">
        <v>7.4</v>
      </c>
      <c r="E7004">
        <f>IF($D7004 &gt; 16, 0, $J$3*(16 - $D7004))</f>
        <v>1786.6383272259941</v>
      </c>
      <c r="F7004">
        <f>IF($D7004 &gt; 16, 0,$E7004*$J$5)</f>
        <v>19418971.97861933</v>
      </c>
      <c r="G7004">
        <f t="shared" si="109"/>
        <v>8.6</v>
      </c>
    </row>
    <row r="7005" spans="2:7" x14ac:dyDescent="0.35">
      <c r="B7005" s="1">
        <v>45949</v>
      </c>
      <c r="C7005" s="2">
        <v>0.79166666666666663</v>
      </c>
      <c r="D7005">
        <v>6.6</v>
      </c>
      <c r="E7005">
        <f>IF($D7005 &gt; 16, 0, $J$3*(16 - $D7005))</f>
        <v>1952.8372413865518</v>
      </c>
      <c r="F7005">
        <f>IF($D7005 &gt; 16, 0,$E7005*$J$5)</f>
        <v>21225387.976630431</v>
      </c>
      <c r="G7005">
        <f t="shared" si="109"/>
        <v>9.4</v>
      </c>
    </row>
    <row r="7006" spans="2:7" x14ac:dyDescent="0.35">
      <c r="B7006" s="1">
        <v>45949</v>
      </c>
      <c r="C7006" s="2">
        <v>0.83333333333333337</v>
      </c>
      <c r="D7006">
        <v>6.7</v>
      </c>
      <c r="E7006">
        <f>IF($D7006 &gt; 16, 0, $J$3*(16 - $D7006))</f>
        <v>1932.0623771164821</v>
      </c>
      <c r="F7006">
        <f>IF($D7006 &gt; 16, 0,$E7006*$J$5)</f>
        <v>20999585.976879045</v>
      </c>
      <c r="G7006">
        <f t="shared" si="109"/>
        <v>9.3000000000000007</v>
      </c>
    </row>
    <row r="7007" spans="2:7" x14ac:dyDescent="0.35">
      <c r="B7007" s="1">
        <v>45949</v>
      </c>
      <c r="C7007" s="2">
        <v>0.875</v>
      </c>
      <c r="D7007">
        <v>5.9</v>
      </c>
      <c r="E7007">
        <f>IF($D7007 &gt; 16, 0, $J$3*(16 - $D7007))</f>
        <v>2098.2612912770396</v>
      </c>
      <c r="F7007">
        <f>IF($D7007 &gt; 16, 0,$E7007*$J$5)</f>
        <v>22806001.974890143</v>
      </c>
      <c r="G7007">
        <f t="shared" si="109"/>
        <v>10.1</v>
      </c>
    </row>
    <row r="7008" spans="2:7" x14ac:dyDescent="0.35">
      <c r="B7008" s="1">
        <v>45949</v>
      </c>
      <c r="C7008" s="2">
        <v>0.91666666666666663</v>
      </c>
      <c r="D7008">
        <v>5.2</v>
      </c>
      <c r="E7008">
        <f>IF($D7008 &gt; 16, 0, $J$3*(16 - $D7008))</f>
        <v>2243.6853411675274</v>
      </c>
      <c r="F7008">
        <f>IF($D7008 &gt; 16, 0,$E7008*$J$5)</f>
        <v>24386615.973149855</v>
      </c>
      <c r="G7008">
        <f t="shared" si="109"/>
        <v>10.8</v>
      </c>
    </row>
    <row r="7009" spans="2:7" x14ac:dyDescent="0.35">
      <c r="B7009" s="1">
        <v>45949</v>
      </c>
      <c r="C7009" s="2">
        <v>0.95833333333333337</v>
      </c>
      <c r="D7009">
        <v>4.5</v>
      </c>
      <c r="E7009">
        <f>IF($D7009 &gt; 16, 0, $J$3*(16 - $D7009))</f>
        <v>2389.1093910580153</v>
      </c>
      <c r="F7009">
        <f>IF($D7009 &gt; 16, 0,$E7009*$J$5)</f>
        <v>25967229.971409567</v>
      </c>
      <c r="G7009">
        <f t="shared" si="109"/>
        <v>11.5</v>
      </c>
    </row>
    <row r="7010" spans="2:7" x14ac:dyDescent="0.35">
      <c r="B7010" s="1">
        <v>45950</v>
      </c>
      <c r="C7010" s="2">
        <v>0</v>
      </c>
      <c r="D7010">
        <v>4</v>
      </c>
      <c r="E7010">
        <f>IF($D7010 &gt; 16, 0, $J$3*(16 - $D7010))</f>
        <v>2492.9837124083638</v>
      </c>
      <c r="F7010">
        <f>IF($D7010 &gt; 16, 0,$E7010*$J$5)</f>
        <v>27096239.970166504</v>
      </c>
      <c r="G7010">
        <f t="shared" si="109"/>
        <v>12</v>
      </c>
    </row>
    <row r="7011" spans="2:7" x14ac:dyDescent="0.35">
      <c r="B7011" s="1">
        <v>45950</v>
      </c>
      <c r="C7011" s="2">
        <v>4.1666666666666657E-2</v>
      </c>
      <c r="D7011">
        <v>3.4</v>
      </c>
      <c r="E7011">
        <f>IF($D7011 &gt; 16, 0, $J$3*(16 - $D7011))</f>
        <v>2617.6328980287822</v>
      </c>
      <c r="F7011">
        <f>IF($D7011 &gt; 16, 0,$E7011*$J$5)</f>
        <v>28451051.968674835</v>
      </c>
      <c r="G7011">
        <f t="shared" si="109"/>
        <v>12.6</v>
      </c>
    </row>
    <row r="7012" spans="2:7" x14ac:dyDescent="0.35">
      <c r="B7012" s="1">
        <v>45950</v>
      </c>
      <c r="C7012" s="2">
        <v>8.3333333333333329E-2</v>
      </c>
      <c r="D7012">
        <v>3.4</v>
      </c>
      <c r="E7012">
        <f>IF($D7012 &gt; 16, 0, $J$3*(16 - $D7012))</f>
        <v>2617.6328980287822</v>
      </c>
      <c r="F7012">
        <f>IF($D7012 &gt; 16, 0,$E7012*$J$5)</f>
        <v>28451051.968674835</v>
      </c>
      <c r="G7012">
        <f t="shared" si="109"/>
        <v>12.6</v>
      </c>
    </row>
    <row r="7013" spans="2:7" x14ac:dyDescent="0.35">
      <c r="B7013" s="1">
        <v>45950</v>
      </c>
      <c r="C7013" s="2">
        <v>0.125</v>
      </c>
      <c r="D7013">
        <v>2.9</v>
      </c>
      <c r="E7013">
        <f>IF($D7013 &gt; 16, 0, $J$3*(16 - $D7013))</f>
        <v>2721.5072193791307</v>
      </c>
      <c r="F7013">
        <f>IF($D7013 &gt; 16, 0,$E7013*$J$5)</f>
        <v>29580061.967431773</v>
      </c>
      <c r="G7013">
        <f t="shared" si="109"/>
        <v>13.1</v>
      </c>
    </row>
    <row r="7014" spans="2:7" x14ac:dyDescent="0.35">
      <c r="B7014" s="1">
        <v>45950</v>
      </c>
      <c r="C7014" s="2">
        <v>0.16666666666666671</v>
      </c>
      <c r="D7014">
        <v>3.2</v>
      </c>
      <c r="E7014">
        <f>IF($D7014 &gt; 16, 0, $J$3*(16 - $D7014))</f>
        <v>2659.1826265689215</v>
      </c>
      <c r="F7014">
        <f>IF($D7014 &gt; 16, 0,$E7014*$J$5)</f>
        <v>28902655.968177609</v>
      </c>
      <c r="G7014">
        <f t="shared" si="109"/>
        <v>12.8</v>
      </c>
    </row>
    <row r="7015" spans="2:7" x14ac:dyDescent="0.35">
      <c r="B7015" s="1">
        <v>45950</v>
      </c>
      <c r="C7015" s="2">
        <v>0.20833333333333329</v>
      </c>
      <c r="D7015">
        <v>3.6</v>
      </c>
      <c r="E7015">
        <f>IF($D7015 &gt; 16, 0, $J$3*(16 - $D7015))</f>
        <v>2576.0831694886429</v>
      </c>
      <c r="F7015">
        <f>IF($D7015 &gt; 16, 0,$E7015*$J$5)</f>
        <v>27999447.96917206</v>
      </c>
      <c r="G7015">
        <f t="shared" si="109"/>
        <v>12.4</v>
      </c>
    </row>
    <row r="7016" spans="2:7" x14ac:dyDescent="0.35">
      <c r="B7016" s="1">
        <v>45950</v>
      </c>
      <c r="C7016" s="2">
        <v>0.25</v>
      </c>
      <c r="D7016">
        <v>4.5999999999999996</v>
      </c>
      <c r="E7016">
        <f>IF($D7016 &gt; 16, 0, $J$3*(16 - $D7016))</f>
        <v>2368.3345267879458</v>
      </c>
      <c r="F7016">
        <f>IF($D7016 &gt; 16, 0,$E7016*$J$5)</f>
        <v>25741427.971658185</v>
      </c>
      <c r="G7016">
        <f t="shared" si="109"/>
        <v>11.4</v>
      </c>
    </row>
    <row r="7017" spans="2:7" x14ac:dyDescent="0.35">
      <c r="B7017" s="1">
        <v>45950</v>
      </c>
      <c r="C7017" s="2">
        <v>0.29166666666666669</v>
      </c>
      <c r="D7017">
        <v>5.6</v>
      </c>
      <c r="E7017">
        <f>IF($D7017 &gt; 16, 0, $J$3*(16 - $D7017))</f>
        <v>2160.5858840872488</v>
      </c>
      <c r="F7017">
        <f>IF($D7017 &gt; 16, 0,$E7017*$J$5)</f>
        <v>23483407.974144306</v>
      </c>
      <c r="G7017">
        <f t="shared" si="109"/>
        <v>10.4</v>
      </c>
    </row>
    <row r="7018" spans="2:7" x14ac:dyDescent="0.35">
      <c r="B7018" s="1">
        <v>45950</v>
      </c>
      <c r="C7018" s="2">
        <v>0.33333333333333331</v>
      </c>
      <c r="D7018">
        <v>6.4</v>
      </c>
      <c r="E7018">
        <f>IF($D7018 &gt; 16, 0, $J$3*(16 - $D7018))</f>
        <v>1994.3869699266911</v>
      </c>
      <c r="F7018">
        <f>IF($D7018 &gt; 16, 0,$E7018*$J$5)</f>
        <v>21676991.976133205</v>
      </c>
      <c r="G7018">
        <f t="shared" si="109"/>
        <v>9.6</v>
      </c>
    </row>
    <row r="7019" spans="2:7" x14ac:dyDescent="0.35">
      <c r="B7019" s="1">
        <v>45950</v>
      </c>
      <c r="C7019" s="2">
        <v>0.375</v>
      </c>
      <c r="D7019">
        <v>7.5</v>
      </c>
      <c r="E7019">
        <f>IF($D7019 &gt; 16, 0, $J$3*(16 - $D7019))</f>
        <v>1765.8634629559244</v>
      </c>
      <c r="F7019">
        <f>IF($D7019 &gt; 16, 0,$E7019*$J$5)</f>
        <v>19193169.978867944</v>
      </c>
      <c r="G7019">
        <f t="shared" si="109"/>
        <v>8.5</v>
      </c>
    </row>
    <row r="7020" spans="2:7" x14ac:dyDescent="0.35">
      <c r="B7020" s="1">
        <v>45950</v>
      </c>
      <c r="C7020" s="2">
        <v>0.41666666666666669</v>
      </c>
      <c r="D7020">
        <v>8</v>
      </c>
      <c r="E7020">
        <f>IF($D7020 &gt; 16, 0, $J$3*(16 - $D7020))</f>
        <v>1661.9891416055759</v>
      </c>
      <c r="F7020">
        <f>IF($D7020 &gt; 16, 0,$E7020*$J$5)</f>
        <v>18064159.980111003</v>
      </c>
      <c r="G7020">
        <f t="shared" si="109"/>
        <v>8</v>
      </c>
    </row>
    <row r="7021" spans="2:7" x14ac:dyDescent="0.35">
      <c r="B7021" s="1">
        <v>45950</v>
      </c>
      <c r="C7021" s="2">
        <v>0.45833333333333331</v>
      </c>
      <c r="D7021">
        <v>8.5</v>
      </c>
      <c r="E7021">
        <f>IF($D7021 &gt; 16, 0, $J$3*(16 - $D7021))</f>
        <v>1558.1148202552274</v>
      </c>
      <c r="F7021">
        <f>IF($D7021 &gt; 16, 0,$E7021*$J$5)</f>
        <v>16935149.981354065</v>
      </c>
      <c r="G7021">
        <f t="shared" si="109"/>
        <v>7.5</v>
      </c>
    </row>
    <row r="7022" spans="2:7" x14ac:dyDescent="0.35">
      <c r="B7022" s="1">
        <v>45950</v>
      </c>
      <c r="C7022" s="2">
        <v>0.5</v>
      </c>
      <c r="D7022">
        <v>9.1</v>
      </c>
      <c r="E7022">
        <f>IF($D7022 &gt; 16, 0, $J$3*(16 - $D7022))</f>
        <v>1433.4656346348092</v>
      </c>
      <c r="F7022">
        <f>IF($D7022 &gt; 16, 0,$E7022*$J$5)</f>
        <v>15580337.982845742</v>
      </c>
      <c r="G7022">
        <f t="shared" si="109"/>
        <v>6.9</v>
      </c>
    </row>
    <row r="7023" spans="2:7" x14ac:dyDescent="0.35">
      <c r="B7023" s="1">
        <v>45950</v>
      </c>
      <c r="C7023" s="2">
        <v>0.54166666666666663</v>
      </c>
      <c r="D7023">
        <v>10.6</v>
      </c>
      <c r="E7023">
        <f>IF($D7023 &gt; 16, 0, $J$3*(16 - $D7023))</f>
        <v>1121.8426705837637</v>
      </c>
      <c r="F7023">
        <f>IF($D7023 &gt; 16, 0,$E7023*$J$5)</f>
        <v>12193307.986574927</v>
      </c>
      <c r="G7023">
        <f t="shared" si="109"/>
        <v>5.4</v>
      </c>
    </row>
    <row r="7024" spans="2:7" x14ac:dyDescent="0.35">
      <c r="B7024" s="1">
        <v>45950</v>
      </c>
      <c r="C7024" s="2">
        <v>0.58333333333333337</v>
      </c>
      <c r="D7024">
        <v>11.2</v>
      </c>
      <c r="E7024">
        <f>IF($D7024 &gt; 16, 0, $J$3*(16 - $D7024))</f>
        <v>997.19348496334567</v>
      </c>
      <c r="F7024">
        <f>IF($D7024 &gt; 16, 0,$E7024*$J$5)</f>
        <v>10838495.988066604</v>
      </c>
      <c r="G7024">
        <f t="shared" si="109"/>
        <v>4.8000000000000007</v>
      </c>
    </row>
    <row r="7025" spans="2:7" x14ac:dyDescent="0.35">
      <c r="B7025" s="1">
        <v>45950</v>
      </c>
      <c r="C7025" s="2">
        <v>0.625</v>
      </c>
      <c r="D7025">
        <v>11.4</v>
      </c>
      <c r="E7025">
        <f>IF($D7025 &gt; 16, 0, $J$3*(16 - $D7025))</f>
        <v>955.64375642320613</v>
      </c>
      <c r="F7025">
        <f>IF($D7025 &gt; 16, 0,$E7025*$J$5)</f>
        <v>10386891.988563828</v>
      </c>
      <c r="G7025">
        <f t="shared" si="109"/>
        <v>4.5999999999999996</v>
      </c>
    </row>
    <row r="7026" spans="2:7" x14ac:dyDescent="0.35">
      <c r="B7026" s="1">
        <v>45950</v>
      </c>
      <c r="C7026" s="2">
        <v>0.66666666666666663</v>
      </c>
      <c r="D7026">
        <v>11.7</v>
      </c>
      <c r="E7026">
        <f>IF($D7026 &gt; 16, 0, $J$3*(16 - $D7026))</f>
        <v>893.31916361299716</v>
      </c>
      <c r="F7026">
        <f>IF($D7026 &gt; 16, 0,$E7026*$J$5)</f>
        <v>9709485.9893096667</v>
      </c>
      <c r="G7026">
        <f t="shared" si="109"/>
        <v>4.3000000000000007</v>
      </c>
    </row>
    <row r="7027" spans="2:7" x14ac:dyDescent="0.35">
      <c r="B7027" s="1">
        <v>45950</v>
      </c>
      <c r="C7027" s="2">
        <v>0.70833333333333337</v>
      </c>
      <c r="D7027">
        <v>10.9</v>
      </c>
      <c r="E7027">
        <f>IF($D7027 &gt; 16, 0, $J$3*(16 - $D7027))</f>
        <v>1059.5180777735545</v>
      </c>
      <c r="F7027">
        <f>IF($D7027 &gt; 16, 0,$E7027*$J$5)</f>
        <v>11515901.987320764</v>
      </c>
      <c r="G7027">
        <f t="shared" si="109"/>
        <v>5.0999999999999996</v>
      </c>
    </row>
    <row r="7028" spans="2:7" x14ac:dyDescent="0.35">
      <c r="B7028" s="1">
        <v>45950</v>
      </c>
      <c r="C7028" s="2">
        <v>0.75</v>
      </c>
      <c r="D7028">
        <v>10.9</v>
      </c>
      <c r="E7028">
        <f>IF($D7028 &gt; 16, 0, $J$3*(16 - $D7028))</f>
        <v>1059.5180777735545</v>
      </c>
      <c r="F7028">
        <f>IF($D7028 &gt; 16, 0,$E7028*$J$5)</f>
        <v>11515901.987320764</v>
      </c>
      <c r="G7028">
        <f t="shared" si="109"/>
        <v>5.0999999999999996</v>
      </c>
    </row>
    <row r="7029" spans="2:7" x14ac:dyDescent="0.35">
      <c r="B7029" s="1">
        <v>45950</v>
      </c>
      <c r="C7029" s="2">
        <v>0.79166666666666663</v>
      </c>
      <c r="D7029">
        <v>10.4</v>
      </c>
      <c r="E7029">
        <f>IF($D7029 &gt; 16, 0, $J$3*(16 - $D7029))</f>
        <v>1163.392399123903</v>
      </c>
      <c r="F7029">
        <f>IF($D7029 &gt; 16, 0,$E7029*$J$5)</f>
        <v>12644911.986077702</v>
      </c>
      <c r="G7029">
        <f t="shared" si="109"/>
        <v>5.6</v>
      </c>
    </row>
    <row r="7030" spans="2:7" x14ac:dyDescent="0.35">
      <c r="B7030" s="1">
        <v>45950</v>
      </c>
      <c r="C7030" s="2">
        <v>0.83333333333333337</v>
      </c>
      <c r="D7030">
        <v>10.199999999999999</v>
      </c>
      <c r="E7030">
        <f>IF($D7030 &gt; 16, 0, $J$3*(16 - $D7030))</f>
        <v>1204.9421276640428</v>
      </c>
      <c r="F7030">
        <f>IF($D7030 &gt; 16, 0,$E7030*$J$5)</f>
        <v>13096515.985580482</v>
      </c>
      <c r="G7030">
        <f t="shared" si="109"/>
        <v>5.8000000000000007</v>
      </c>
    </row>
    <row r="7031" spans="2:7" x14ac:dyDescent="0.35">
      <c r="B7031" s="1">
        <v>45950</v>
      </c>
      <c r="C7031" s="2">
        <v>0.875</v>
      </c>
      <c r="D7031">
        <v>10.199999999999999</v>
      </c>
      <c r="E7031">
        <f>IF($D7031 &gt; 16, 0, $J$3*(16 - $D7031))</f>
        <v>1204.9421276640428</v>
      </c>
      <c r="F7031">
        <f>IF($D7031 &gt; 16, 0,$E7031*$J$5)</f>
        <v>13096515.985580482</v>
      </c>
      <c r="G7031">
        <f t="shared" si="109"/>
        <v>5.8000000000000007</v>
      </c>
    </row>
    <row r="7032" spans="2:7" x14ac:dyDescent="0.35">
      <c r="B7032" s="1">
        <v>45950</v>
      </c>
      <c r="C7032" s="2">
        <v>0.91666666666666663</v>
      </c>
      <c r="D7032">
        <v>10.1</v>
      </c>
      <c r="E7032">
        <f>IF($D7032 &gt; 16, 0, $J$3*(16 - $D7032))</f>
        <v>1225.7169919341122</v>
      </c>
      <c r="F7032">
        <f>IF($D7032 &gt; 16, 0,$E7032*$J$5)</f>
        <v>13322317.985331865</v>
      </c>
      <c r="G7032">
        <f t="shared" si="109"/>
        <v>5.9</v>
      </c>
    </row>
    <row r="7033" spans="2:7" x14ac:dyDescent="0.35">
      <c r="B7033" s="1">
        <v>45950</v>
      </c>
      <c r="C7033" s="2">
        <v>0.95833333333333337</v>
      </c>
      <c r="D7033">
        <v>10.199999999999999</v>
      </c>
      <c r="E7033">
        <f>IF($D7033 &gt; 16, 0, $J$3*(16 - $D7033))</f>
        <v>1204.9421276640428</v>
      </c>
      <c r="F7033">
        <f>IF($D7033 &gt; 16, 0,$E7033*$J$5)</f>
        <v>13096515.985580482</v>
      </c>
      <c r="G7033">
        <f t="shared" si="109"/>
        <v>5.8000000000000007</v>
      </c>
    </row>
    <row r="7034" spans="2:7" x14ac:dyDescent="0.35">
      <c r="B7034" s="1">
        <v>45951</v>
      </c>
      <c r="C7034" s="2">
        <v>0</v>
      </c>
      <c r="D7034">
        <v>10.3</v>
      </c>
      <c r="E7034">
        <f>IF($D7034 &gt; 16, 0, $J$3*(16 - $D7034))</f>
        <v>1184.1672633939727</v>
      </c>
      <c r="F7034">
        <f>IF($D7034 &gt; 16, 0,$E7034*$J$5)</f>
        <v>12870713.985829089</v>
      </c>
      <c r="G7034">
        <f t="shared" si="109"/>
        <v>5.6999999999999993</v>
      </c>
    </row>
    <row r="7035" spans="2:7" x14ac:dyDescent="0.35">
      <c r="B7035" s="1">
        <v>45951</v>
      </c>
      <c r="C7035" s="2">
        <v>4.1666666666666657E-2</v>
      </c>
      <c r="D7035">
        <v>10.3</v>
      </c>
      <c r="E7035">
        <f>IF($D7035 &gt; 16, 0, $J$3*(16 - $D7035))</f>
        <v>1184.1672633939727</v>
      </c>
      <c r="F7035">
        <f>IF($D7035 &gt; 16, 0,$E7035*$J$5)</f>
        <v>12870713.985829089</v>
      </c>
      <c r="G7035">
        <f t="shared" si="109"/>
        <v>5.6999999999999993</v>
      </c>
    </row>
    <row r="7036" spans="2:7" x14ac:dyDescent="0.35">
      <c r="B7036" s="1">
        <v>45951</v>
      </c>
      <c r="C7036" s="2">
        <v>8.3333333333333329E-2</v>
      </c>
      <c r="D7036">
        <v>10.4</v>
      </c>
      <c r="E7036">
        <f>IF($D7036 &gt; 16, 0, $J$3*(16 - $D7036))</f>
        <v>1163.392399123903</v>
      </c>
      <c r="F7036">
        <f>IF($D7036 &gt; 16, 0,$E7036*$J$5)</f>
        <v>12644911.986077702</v>
      </c>
      <c r="G7036">
        <f t="shared" si="109"/>
        <v>5.6</v>
      </c>
    </row>
    <row r="7037" spans="2:7" x14ac:dyDescent="0.35">
      <c r="B7037" s="1">
        <v>45951</v>
      </c>
      <c r="C7037" s="2">
        <v>0.125</v>
      </c>
      <c r="D7037">
        <v>11</v>
      </c>
      <c r="E7037">
        <f>IF($D7037 &gt; 16, 0, $J$3*(16 - $D7037))</f>
        <v>1038.7432135034849</v>
      </c>
      <c r="F7037">
        <f>IF($D7037 &gt; 16, 0,$E7037*$J$5)</f>
        <v>11290099.987569377</v>
      </c>
      <c r="G7037">
        <f t="shared" si="109"/>
        <v>5</v>
      </c>
    </row>
    <row r="7038" spans="2:7" x14ac:dyDescent="0.35">
      <c r="B7038" s="1">
        <v>45951</v>
      </c>
      <c r="C7038" s="2">
        <v>0.16666666666666671</v>
      </c>
      <c r="D7038">
        <v>10.7</v>
      </c>
      <c r="E7038">
        <f>IF($D7038 &gt; 16, 0, $J$3*(16 - $D7038))</f>
        <v>1101.0678063136943</v>
      </c>
      <c r="F7038">
        <f>IF($D7038 &gt; 16, 0,$E7038*$J$5)</f>
        <v>11967505.986823544</v>
      </c>
      <c r="G7038">
        <f t="shared" si="109"/>
        <v>5.3000000000000007</v>
      </c>
    </row>
    <row r="7039" spans="2:7" x14ac:dyDescent="0.35">
      <c r="B7039" s="1">
        <v>45951</v>
      </c>
      <c r="C7039" s="2">
        <v>0.20833333333333329</v>
      </c>
      <c r="D7039">
        <v>10.199999999999999</v>
      </c>
      <c r="E7039">
        <f>IF($D7039 &gt; 16, 0, $J$3*(16 - $D7039))</f>
        <v>1204.9421276640428</v>
      </c>
      <c r="F7039">
        <f>IF($D7039 &gt; 16, 0,$E7039*$J$5)</f>
        <v>13096515.985580482</v>
      </c>
      <c r="G7039">
        <f t="shared" si="109"/>
        <v>5.8000000000000007</v>
      </c>
    </row>
    <row r="7040" spans="2:7" x14ac:dyDescent="0.35">
      <c r="B7040" s="1">
        <v>45951</v>
      </c>
      <c r="C7040" s="2">
        <v>0.25</v>
      </c>
      <c r="D7040">
        <v>9.8000000000000007</v>
      </c>
      <c r="E7040">
        <f>IF($D7040 &gt; 16, 0, $J$3*(16 - $D7040))</f>
        <v>1288.0415847443212</v>
      </c>
      <c r="F7040">
        <f>IF($D7040 &gt; 16, 0,$E7040*$J$5)</f>
        <v>13999723.984586027</v>
      </c>
      <c r="G7040">
        <f t="shared" si="109"/>
        <v>6.1999999999999993</v>
      </c>
    </row>
    <row r="7041" spans="2:7" x14ac:dyDescent="0.35">
      <c r="B7041" s="1">
        <v>45951</v>
      </c>
      <c r="C7041" s="2">
        <v>0.29166666666666669</v>
      </c>
      <c r="D7041">
        <v>10.199999999999999</v>
      </c>
      <c r="E7041">
        <f>IF($D7041 &gt; 16, 0, $J$3*(16 - $D7041))</f>
        <v>1204.9421276640428</v>
      </c>
      <c r="F7041">
        <f>IF($D7041 &gt; 16, 0,$E7041*$J$5)</f>
        <v>13096515.985580482</v>
      </c>
      <c r="G7041">
        <f t="shared" si="109"/>
        <v>5.8000000000000007</v>
      </c>
    </row>
    <row r="7042" spans="2:7" x14ac:dyDescent="0.35">
      <c r="B7042" s="1">
        <v>45951</v>
      </c>
      <c r="C7042" s="2">
        <v>0.33333333333333331</v>
      </c>
      <c r="D7042">
        <v>11.6</v>
      </c>
      <c r="E7042">
        <f>IF($D7042 &gt; 16, 0, $J$3*(16 - $D7042))</f>
        <v>914.09402788306681</v>
      </c>
      <c r="F7042">
        <f>IF($D7042 &gt; 16, 0,$E7042*$J$5)</f>
        <v>9935287.9890610538</v>
      </c>
      <c r="G7042">
        <f t="shared" si="109"/>
        <v>4.4000000000000004</v>
      </c>
    </row>
    <row r="7043" spans="2:7" x14ac:dyDescent="0.35">
      <c r="B7043" s="1">
        <v>45951</v>
      </c>
      <c r="C7043" s="2">
        <v>0.375</v>
      </c>
      <c r="D7043">
        <v>13.3</v>
      </c>
      <c r="E7043">
        <f>IF($D7043 &gt; 16, 0, $J$3*(16 - $D7043))</f>
        <v>560.92133529188175</v>
      </c>
      <c r="F7043">
        <f>IF($D7043 &gt; 16, 0,$E7043*$J$5)</f>
        <v>6096653.9932874627</v>
      </c>
      <c r="G7043">
        <f t="shared" ref="G7043:G7106" si="110">MAX(0, 16 - $D7043)</f>
        <v>2.6999999999999993</v>
      </c>
    </row>
    <row r="7044" spans="2:7" x14ac:dyDescent="0.35">
      <c r="B7044" s="1">
        <v>45951</v>
      </c>
      <c r="C7044" s="2">
        <v>0.41666666666666669</v>
      </c>
      <c r="D7044">
        <v>14.3</v>
      </c>
      <c r="E7044">
        <f>IF($D7044 &gt; 16, 0, $J$3*(16 - $D7044))</f>
        <v>353.17269259118473</v>
      </c>
      <c r="F7044">
        <f>IF($D7044 &gt; 16, 0,$E7044*$J$5)</f>
        <v>3838633.9957735869</v>
      </c>
      <c r="G7044">
        <f t="shared" si="110"/>
        <v>1.6999999999999993</v>
      </c>
    </row>
    <row r="7045" spans="2:7" x14ac:dyDescent="0.35">
      <c r="B7045" s="1">
        <v>45951</v>
      </c>
      <c r="C7045" s="2">
        <v>0.45833333333333331</v>
      </c>
      <c r="D7045">
        <v>14.2</v>
      </c>
      <c r="E7045">
        <f>IF($D7045 &gt; 16, 0, $J$3*(16 - $D7045))</f>
        <v>373.94755686125472</v>
      </c>
      <c r="F7045">
        <f>IF($D7045 &gt; 16, 0,$E7045*$J$5)</f>
        <v>4064435.9955249778</v>
      </c>
      <c r="G7045">
        <f t="shared" si="110"/>
        <v>1.8000000000000007</v>
      </c>
    </row>
    <row r="7046" spans="2:7" x14ac:dyDescent="0.35">
      <c r="B7046" s="1">
        <v>45951</v>
      </c>
      <c r="C7046" s="2">
        <v>0.5</v>
      </c>
      <c r="D7046">
        <v>14.6</v>
      </c>
      <c r="E7046">
        <f>IF($D7046 &gt; 16, 0, $J$3*(16 - $D7046))</f>
        <v>290.84809978097587</v>
      </c>
      <c r="F7046">
        <f>IF($D7046 &gt; 16, 0,$E7046*$J$5)</f>
        <v>3161227.9965194268</v>
      </c>
      <c r="G7046">
        <f t="shared" si="110"/>
        <v>1.4000000000000004</v>
      </c>
    </row>
    <row r="7047" spans="2:7" x14ac:dyDescent="0.35">
      <c r="B7047" s="1">
        <v>45951</v>
      </c>
      <c r="C7047" s="2">
        <v>0.54166666666666663</v>
      </c>
      <c r="D7047">
        <v>14.6</v>
      </c>
      <c r="E7047">
        <f>IF($D7047 &gt; 16, 0, $J$3*(16 - $D7047))</f>
        <v>290.84809978097587</v>
      </c>
      <c r="F7047">
        <f>IF($D7047 &gt; 16, 0,$E7047*$J$5)</f>
        <v>3161227.9965194268</v>
      </c>
      <c r="G7047">
        <f t="shared" si="110"/>
        <v>1.4000000000000004</v>
      </c>
    </row>
    <row r="7048" spans="2:7" x14ac:dyDescent="0.35">
      <c r="B7048" s="1">
        <v>45951</v>
      </c>
      <c r="C7048" s="2">
        <v>0.58333333333333337</v>
      </c>
      <c r="D7048">
        <v>13.9</v>
      </c>
      <c r="E7048">
        <f>IF($D7048 &gt; 16, 0, $J$3*(16 - $D7048))</f>
        <v>436.27214967146358</v>
      </c>
      <c r="F7048">
        <f>IF($D7048 &gt; 16, 0,$E7048*$J$5)</f>
        <v>4741841.9947791379</v>
      </c>
      <c r="G7048">
        <f t="shared" si="110"/>
        <v>2.0999999999999996</v>
      </c>
    </row>
    <row r="7049" spans="2:7" x14ac:dyDescent="0.35">
      <c r="B7049" s="1">
        <v>45951</v>
      </c>
      <c r="C7049" s="2">
        <v>0.625</v>
      </c>
      <c r="D7049">
        <v>14</v>
      </c>
      <c r="E7049">
        <f>IF($D7049 &gt; 16, 0, $J$3*(16 - $D7049))</f>
        <v>415.49728540139398</v>
      </c>
      <c r="F7049">
        <f>IF($D7049 &gt; 16, 0,$E7049*$J$5)</f>
        <v>4516039.9950277507</v>
      </c>
      <c r="G7049">
        <f t="shared" si="110"/>
        <v>2</v>
      </c>
    </row>
    <row r="7050" spans="2:7" x14ac:dyDescent="0.35">
      <c r="B7050" s="1">
        <v>45951</v>
      </c>
      <c r="C7050" s="2">
        <v>0.66666666666666663</v>
      </c>
      <c r="D7050">
        <v>13.5</v>
      </c>
      <c r="E7050">
        <f>IF($D7050 &gt; 16, 0, $J$3*(16 - $D7050))</f>
        <v>519.37160675174243</v>
      </c>
      <c r="F7050">
        <f>IF($D7050 &gt; 16, 0,$E7050*$J$5)</f>
        <v>5645049.9937846884</v>
      </c>
      <c r="G7050">
        <f t="shared" si="110"/>
        <v>2.5</v>
      </c>
    </row>
    <row r="7051" spans="2:7" x14ac:dyDescent="0.35">
      <c r="B7051" s="1">
        <v>45951</v>
      </c>
      <c r="C7051" s="2">
        <v>0.70833333333333337</v>
      </c>
      <c r="D7051">
        <v>13.3</v>
      </c>
      <c r="E7051">
        <f>IF($D7051 &gt; 16, 0, $J$3*(16 - $D7051))</f>
        <v>560.92133529188175</v>
      </c>
      <c r="F7051">
        <f>IF($D7051 &gt; 16, 0,$E7051*$J$5)</f>
        <v>6096653.9932874627</v>
      </c>
      <c r="G7051">
        <f t="shared" si="110"/>
        <v>2.6999999999999993</v>
      </c>
    </row>
    <row r="7052" spans="2:7" x14ac:dyDescent="0.35">
      <c r="B7052" s="1">
        <v>45951</v>
      </c>
      <c r="C7052" s="2">
        <v>0.75</v>
      </c>
      <c r="D7052">
        <v>12.9</v>
      </c>
      <c r="E7052">
        <f>IF($D7052 &gt; 16, 0, $J$3*(16 - $D7052))</f>
        <v>644.0207923721606</v>
      </c>
      <c r="F7052">
        <f>IF($D7052 &gt; 16, 0,$E7052*$J$5)</f>
        <v>6999861.9922930133</v>
      </c>
      <c r="G7052">
        <f t="shared" si="110"/>
        <v>3.0999999999999996</v>
      </c>
    </row>
    <row r="7053" spans="2:7" x14ac:dyDescent="0.35">
      <c r="B7053" s="1">
        <v>45951</v>
      </c>
      <c r="C7053" s="2">
        <v>0.79166666666666663</v>
      </c>
      <c r="D7053">
        <v>13.1</v>
      </c>
      <c r="E7053">
        <f>IF($D7053 &gt; 16, 0, $J$3*(16 - $D7053))</f>
        <v>602.4710638320214</v>
      </c>
      <c r="F7053">
        <f>IF($D7053 &gt; 16, 0,$E7053*$J$5)</f>
        <v>6548257.9927902408</v>
      </c>
      <c r="G7053">
        <f t="shared" si="110"/>
        <v>2.9000000000000004</v>
      </c>
    </row>
    <row r="7054" spans="2:7" x14ac:dyDescent="0.35">
      <c r="B7054" s="1">
        <v>45951</v>
      </c>
      <c r="C7054" s="2">
        <v>0.83333333333333337</v>
      </c>
      <c r="D7054">
        <v>13</v>
      </c>
      <c r="E7054">
        <f>IF($D7054 &gt; 16, 0, $J$3*(16 - $D7054))</f>
        <v>623.24592810209094</v>
      </c>
      <c r="F7054">
        <f>IF($D7054 &gt; 16, 0,$E7054*$J$5)</f>
        <v>6774059.9925416261</v>
      </c>
      <c r="G7054">
        <f t="shared" si="110"/>
        <v>3</v>
      </c>
    </row>
    <row r="7055" spans="2:7" x14ac:dyDescent="0.35">
      <c r="B7055" s="1">
        <v>45951</v>
      </c>
      <c r="C7055" s="2">
        <v>0.875</v>
      </c>
      <c r="D7055">
        <v>12.7</v>
      </c>
      <c r="E7055">
        <f>IF($D7055 &gt; 16, 0, $J$3*(16 - $D7055))</f>
        <v>685.57052091230025</v>
      </c>
      <c r="F7055">
        <f>IF($D7055 &gt; 16, 0,$E7055*$J$5)</f>
        <v>7451465.9917957913</v>
      </c>
      <c r="G7055">
        <f t="shared" si="110"/>
        <v>3.3000000000000007</v>
      </c>
    </row>
    <row r="7056" spans="2:7" x14ac:dyDescent="0.35">
      <c r="B7056" s="1">
        <v>45951</v>
      </c>
      <c r="C7056" s="2">
        <v>0.91666666666666663</v>
      </c>
      <c r="D7056">
        <v>12.3</v>
      </c>
      <c r="E7056">
        <f>IF($D7056 &gt; 16, 0, $J$3*(16 - $D7056))</f>
        <v>768.66997799257877</v>
      </c>
      <c r="F7056">
        <f>IF($D7056 &gt; 16, 0,$E7056*$J$5)</f>
        <v>8354673.990801339</v>
      </c>
      <c r="G7056">
        <f t="shared" si="110"/>
        <v>3.6999999999999993</v>
      </c>
    </row>
    <row r="7057" spans="2:7" x14ac:dyDescent="0.35">
      <c r="B7057" s="1">
        <v>45951</v>
      </c>
      <c r="C7057" s="2">
        <v>0.95833333333333337</v>
      </c>
      <c r="D7057">
        <v>12.3</v>
      </c>
      <c r="E7057">
        <f>IF($D7057 &gt; 16, 0, $J$3*(16 - $D7057))</f>
        <v>768.66997799257877</v>
      </c>
      <c r="F7057">
        <f>IF($D7057 &gt; 16, 0,$E7057*$J$5)</f>
        <v>8354673.990801339</v>
      </c>
      <c r="G7057">
        <f t="shared" si="110"/>
        <v>3.6999999999999993</v>
      </c>
    </row>
    <row r="7058" spans="2:7" x14ac:dyDescent="0.35">
      <c r="B7058" s="1">
        <v>45952</v>
      </c>
      <c r="C7058" s="2">
        <v>0</v>
      </c>
      <c r="D7058">
        <v>12</v>
      </c>
      <c r="E7058">
        <f>IF($D7058 &gt; 16, 0, $J$3*(16 - $D7058))</f>
        <v>830.99457080278796</v>
      </c>
      <c r="F7058">
        <f>IF($D7058 &gt; 16, 0,$E7058*$J$5)</f>
        <v>9032079.9900555015</v>
      </c>
      <c r="G7058">
        <f t="shared" si="110"/>
        <v>4</v>
      </c>
    </row>
    <row r="7059" spans="2:7" x14ac:dyDescent="0.35">
      <c r="B7059" s="1">
        <v>45952</v>
      </c>
      <c r="C7059" s="2">
        <v>4.1666666666666657E-2</v>
      </c>
      <c r="D7059">
        <v>11.8</v>
      </c>
      <c r="E7059">
        <f>IF($D7059 &gt; 16, 0, $J$3*(16 - $D7059))</f>
        <v>872.54429934292716</v>
      </c>
      <c r="F7059">
        <f>IF($D7059 &gt; 16, 0,$E7059*$J$5)</f>
        <v>9483683.9895582758</v>
      </c>
      <c r="G7059">
        <f t="shared" si="110"/>
        <v>4.1999999999999993</v>
      </c>
    </row>
    <row r="7060" spans="2:7" x14ac:dyDescent="0.35">
      <c r="B7060" s="1">
        <v>45952</v>
      </c>
      <c r="C7060" s="2">
        <v>8.3333333333333329E-2</v>
      </c>
      <c r="D7060">
        <v>11.5</v>
      </c>
      <c r="E7060">
        <f>IF($D7060 &gt; 16, 0, $J$3*(16 - $D7060))</f>
        <v>934.86889215313647</v>
      </c>
      <c r="F7060">
        <f>IF($D7060 &gt; 16, 0,$E7060*$J$5)</f>
        <v>10161089.988812441</v>
      </c>
      <c r="G7060">
        <f t="shared" si="110"/>
        <v>4.5</v>
      </c>
    </row>
    <row r="7061" spans="2:7" x14ac:dyDescent="0.35">
      <c r="B7061" s="1">
        <v>45952</v>
      </c>
      <c r="C7061" s="2">
        <v>0.125</v>
      </c>
      <c r="D7061">
        <v>11.2</v>
      </c>
      <c r="E7061">
        <f>IF($D7061 &gt; 16, 0, $J$3*(16 - $D7061))</f>
        <v>997.19348496334567</v>
      </c>
      <c r="F7061">
        <f>IF($D7061 &gt; 16, 0,$E7061*$J$5)</f>
        <v>10838495.988066604</v>
      </c>
      <c r="G7061">
        <f t="shared" si="110"/>
        <v>4.8000000000000007</v>
      </c>
    </row>
    <row r="7062" spans="2:7" x14ac:dyDescent="0.35">
      <c r="B7062" s="1">
        <v>45952</v>
      </c>
      <c r="C7062" s="2">
        <v>0.16666666666666671</v>
      </c>
      <c r="D7062">
        <v>11</v>
      </c>
      <c r="E7062">
        <f>IF($D7062 &gt; 16, 0, $J$3*(16 - $D7062))</f>
        <v>1038.7432135034849</v>
      </c>
      <c r="F7062">
        <f>IF($D7062 &gt; 16, 0,$E7062*$J$5)</f>
        <v>11290099.987569377</v>
      </c>
      <c r="G7062">
        <f t="shared" si="110"/>
        <v>5</v>
      </c>
    </row>
    <row r="7063" spans="2:7" x14ac:dyDescent="0.35">
      <c r="B7063" s="1">
        <v>45952</v>
      </c>
      <c r="C7063" s="2">
        <v>0.20833333333333329</v>
      </c>
      <c r="D7063">
        <v>11.2</v>
      </c>
      <c r="E7063">
        <f>IF($D7063 &gt; 16, 0, $J$3*(16 - $D7063))</f>
        <v>997.19348496334567</v>
      </c>
      <c r="F7063">
        <f>IF($D7063 &gt; 16, 0,$E7063*$J$5)</f>
        <v>10838495.988066604</v>
      </c>
      <c r="G7063">
        <f t="shared" si="110"/>
        <v>4.8000000000000007</v>
      </c>
    </row>
    <row r="7064" spans="2:7" x14ac:dyDescent="0.35">
      <c r="B7064" s="1">
        <v>45952</v>
      </c>
      <c r="C7064" s="2">
        <v>0.25</v>
      </c>
      <c r="D7064">
        <v>11.4</v>
      </c>
      <c r="E7064">
        <f>IF($D7064 &gt; 16, 0, $J$3*(16 - $D7064))</f>
        <v>955.64375642320613</v>
      </c>
      <c r="F7064">
        <f>IF($D7064 &gt; 16, 0,$E7064*$J$5)</f>
        <v>10386891.988563828</v>
      </c>
      <c r="G7064">
        <f t="shared" si="110"/>
        <v>4.5999999999999996</v>
      </c>
    </row>
    <row r="7065" spans="2:7" x14ac:dyDescent="0.35">
      <c r="B7065" s="1">
        <v>45952</v>
      </c>
      <c r="C7065" s="2">
        <v>0.29166666666666669</v>
      </c>
      <c r="D7065">
        <v>12</v>
      </c>
      <c r="E7065">
        <f>IF($D7065 &gt; 16, 0, $J$3*(16 - $D7065))</f>
        <v>830.99457080278796</v>
      </c>
      <c r="F7065">
        <f>IF($D7065 &gt; 16, 0,$E7065*$J$5)</f>
        <v>9032079.9900555015</v>
      </c>
      <c r="G7065">
        <f t="shared" si="110"/>
        <v>4</v>
      </c>
    </row>
    <row r="7066" spans="2:7" x14ac:dyDescent="0.35">
      <c r="B7066" s="1">
        <v>45952</v>
      </c>
      <c r="C7066" s="2">
        <v>0.33333333333333331</v>
      </c>
      <c r="D7066">
        <v>12.2</v>
      </c>
      <c r="E7066">
        <f>IF($D7066 &gt; 16, 0, $J$3*(16 - $D7066))</f>
        <v>789.44484226264876</v>
      </c>
      <c r="F7066">
        <f>IF($D7066 &gt; 16, 0,$E7066*$J$5)</f>
        <v>8580475.990552729</v>
      </c>
      <c r="G7066">
        <f t="shared" si="110"/>
        <v>3.8000000000000007</v>
      </c>
    </row>
    <row r="7067" spans="2:7" x14ac:dyDescent="0.35">
      <c r="B7067" s="1">
        <v>45952</v>
      </c>
      <c r="C7067" s="2">
        <v>0.375</v>
      </c>
      <c r="D7067">
        <v>12.8</v>
      </c>
      <c r="E7067">
        <f>IF($D7067 &gt; 16, 0, $J$3*(16 - $D7067))</f>
        <v>664.79565664223026</v>
      </c>
      <c r="F7067">
        <f>IF($D7067 &gt; 16, 0,$E7067*$J$5)</f>
        <v>7225663.9920444004</v>
      </c>
      <c r="G7067">
        <f t="shared" si="110"/>
        <v>3.1999999999999993</v>
      </c>
    </row>
    <row r="7068" spans="2:7" x14ac:dyDescent="0.35">
      <c r="B7068" s="1">
        <v>45952</v>
      </c>
      <c r="C7068" s="2">
        <v>0.41666666666666669</v>
      </c>
      <c r="D7068">
        <v>13.5</v>
      </c>
      <c r="E7068">
        <f>IF($D7068 &gt; 16, 0, $J$3*(16 - $D7068))</f>
        <v>519.37160675174243</v>
      </c>
      <c r="F7068">
        <f>IF($D7068 &gt; 16, 0,$E7068*$J$5)</f>
        <v>5645049.9937846884</v>
      </c>
      <c r="G7068">
        <f t="shared" si="110"/>
        <v>2.5</v>
      </c>
    </row>
    <row r="7069" spans="2:7" x14ac:dyDescent="0.35">
      <c r="B7069" s="1">
        <v>45952</v>
      </c>
      <c r="C7069" s="2">
        <v>0.45833333333333331</v>
      </c>
      <c r="D7069">
        <v>13.7</v>
      </c>
      <c r="E7069">
        <f>IF($D7069 &gt; 16, 0, $J$3*(16 - $D7069))</f>
        <v>477.82187821160323</v>
      </c>
      <c r="F7069">
        <f>IF($D7069 &gt; 16, 0,$E7069*$J$5)</f>
        <v>5193445.9942819159</v>
      </c>
      <c r="G7069">
        <f t="shared" si="110"/>
        <v>2.3000000000000007</v>
      </c>
    </row>
    <row r="7070" spans="2:7" x14ac:dyDescent="0.35">
      <c r="B7070" s="1">
        <v>45952</v>
      </c>
      <c r="C7070" s="2">
        <v>0.5</v>
      </c>
      <c r="D7070">
        <v>14</v>
      </c>
      <c r="E7070">
        <f>IF($D7070 &gt; 16, 0, $J$3*(16 - $D7070))</f>
        <v>415.49728540139398</v>
      </c>
      <c r="F7070">
        <f>IF($D7070 &gt; 16, 0,$E7070*$J$5)</f>
        <v>4516039.9950277507</v>
      </c>
      <c r="G7070">
        <f t="shared" si="110"/>
        <v>2</v>
      </c>
    </row>
    <row r="7071" spans="2:7" x14ac:dyDescent="0.35">
      <c r="B7071" s="1">
        <v>45952</v>
      </c>
      <c r="C7071" s="2">
        <v>0.54166666666666663</v>
      </c>
      <c r="D7071">
        <v>12.4</v>
      </c>
      <c r="E7071">
        <f>IF($D7071 &gt; 16, 0, $J$3*(16 - $D7071))</f>
        <v>747.89511372250911</v>
      </c>
      <c r="F7071">
        <f>IF($D7071 &gt; 16, 0,$E7071*$J$5)</f>
        <v>8128871.9910499519</v>
      </c>
      <c r="G7071">
        <f t="shared" si="110"/>
        <v>3.5999999999999996</v>
      </c>
    </row>
    <row r="7072" spans="2:7" x14ac:dyDescent="0.35">
      <c r="B7072" s="1">
        <v>45952</v>
      </c>
      <c r="C7072" s="2">
        <v>0.58333333333333337</v>
      </c>
      <c r="D7072">
        <v>12</v>
      </c>
      <c r="E7072">
        <f>IF($D7072 &gt; 16, 0, $J$3*(16 - $D7072))</f>
        <v>830.99457080278796</v>
      </c>
      <c r="F7072">
        <f>IF($D7072 &gt; 16, 0,$E7072*$J$5)</f>
        <v>9032079.9900555015</v>
      </c>
      <c r="G7072">
        <f t="shared" si="110"/>
        <v>4</v>
      </c>
    </row>
    <row r="7073" spans="2:7" x14ac:dyDescent="0.35">
      <c r="B7073" s="1">
        <v>45952</v>
      </c>
      <c r="C7073" s="2">
        <v>0.625</v>
      </c>
      <c r="D7073">
        <v>12.4</v>
      </c>
      <c r="E7073">
        <f>IF($D7073 &gt; 16, 0, $J$3*(16 - $D7073))</f>
        <v>747.89511372250911</v>
      </c>
      <c r="F7073">
        <f>IF($D7073 &gt; 16, 0,$E7073*$J$5)</f>
        <v>8128871.9910499519</v>
      </c>
      <c r="G7073">
        <f t="shared" si="110"/>
        <v>3.5999999999999996</v>
      </c>
    </row>
    <row r="7074" spans="2:7" x14ac:dyDescent="0.35">
      <c r="B7074" s="1">
        <v>45952</v>
      </c>
      <c r="C7074" s="2">
        <v>0.66666666666666663</v>
      </c>
      <c r="D7074">
        <v>11.5</v>
      </c>
      <c r="E7074">
        <f>IF($D7074 &gt; 16, 0, $J$3*(16 - $D7074))</f>
        <v>934.86889215313647</v>
      </c>
      <c r="F7074">
        <f>IF($D7074 &gt; 16, 0,$E7074*$J$5)</f>
        <v>10161089.988812441</v>
      </c>
      <c r="G7074">
        <f t="shared" si="110"/>
        <v>4.5</v>
      </c>
    </row>
    <row r="7075" spans="2:7" x14ac:dyDescent="0.35">
      <c r="B7075" s="1">
        <v>45952</v>
      </c>
      <c r="C7075" s="2">
        <v>0.70833333333333337</v>
      </c>
      <c r="D7075">
        <v>9.8000000000000007</v>
      </c>
      <c r="E7075">
        <f>IF($D7075 &gt; 16, 0, $J$3*(16 - $D7075))</f>
        <v>1288.0415847443212</v>
      </c>
      <c r="F7075">
        <f>IF($D7075 &gt; 16, 0,$E7075*$J$5)</f>
        <v>13999723.984586027</v>
      </c>
      <c r="G7075">
        <f t="shared" si="110"/>
        <v>6.1999999999999993</v>
      </c>
    </row>
    <row r="7076" spans="2:7" x14ac:dyDescent="0.35">
      <c r="B7076" s="1">
        <v>45952</v>
      </c>
      <c r="C7076" s="2">
        <v>0.75</v>
      </c>
      <c r="D7076">
        <v>9.5</v>
      </c>
      <c r="E7076">
        <f>IF($D7076 &gt; 16, 0, $J$3*(16 - $D7076))</f>
        <v>1350.3661775545304</v>
      </c>
      <c r="F7076">
        <f>IF($D7076 &gt; 16, 0,$E7076*$J$5)</f>
        <v>14677129.983840192</v>
      </c>
      <c r="G7076">
        <f t="shared" si="110"/>
        <v>6.5</v>
      </c>
    </row>
    <row r="7077" spans="2:7" x14ac:dyDescent="0.35">
      <c r="B7077" s="1">
        <v>45952</v>
      </c>
      <c r="C7077" s="2">
        <v>0.79166666666666663</v>
      </c>
      <c r="D7077">
        <v>10</v>
      </c>
      <c r="E7077">
        <f>IF($D7077 &gt; 16, 0, $J$3*(16 - $D7077))</f>
        <v>1246.4918562041819</v>
      </c>
      <c r="F7077">
        <f>IF($D7077 &gt; 16, 0,$E7077*$J$5)</f>
        <v>13548119.985083252</v>
      </c>
      <c r="G7077">
        <f t="shared" si="110"/>
        <v>6</v>
      </c>
    </row>
    <row r="7078" spans="2:7" x14ac:dyDescent="0.35">
      <c r="B7078" s="1">
        <v>45952</v>
      </c>
      <c r="C7078" s="2">
        <v>0.83333333333333337</v>
      </c>
      <c r="D7078">
        <v>10.4</v>
      </c>
      <c r="E7078">
        <f>IF($D7078 &gt; 16, 0, $J$3*(16 - $D7078))</f>
        <v>1163.392399123903</v>
      </c>
      <c r="F7078">
        <f>IF($D7078 &gt; 16, 0,$E7078*$J$5)</f>
        <v>12644911.986077702</v>
      </c>
      <c r="G7078">
        <f t="shared" si="110"/>
        <v>5.6</v>
      </c>
    </row>
    <row r="7079" spans="2:7" x14ac:dyDescent="0.35">
      <c r="B7079" s="1">
        <v>45952</v>
      </c>
      <c r="C7079" s="2">
        <v>0.875</v>
      </c>
      <c r="D7079">
        <v>10.199999999999999</v>
      </c>
      <c r="E7079">
        <f>IF($D7079 &gt; 16, 0, $J$3*(16 - $D7079))</f>
        <v>1204.9421276640428</v>
      </c>
      <c r="F7079">
        <f>IF($D7079 &gt; 16, 0,$E7079*$J$5)</f>
        <v>13096515.985580482</v>
      </c>
      <c r="G7079">
        <f t="shared" si="110"/>
        <v>5.8000000000000007</v>
      </c>
    </row>
    <row r="7080" spans="2:7" x14ac:dyDescent="0.35">
      <c r="B7080" s="1">
        <v>45952</v>
      </c>
      <c r="C7080" s="2">
        <v>0.91666666666666663</v>
      </c>
      <c r="D7080">
        <v>9.6999999999999993</v>
      </c>
      <c r="E7080">
        <f>IF($D7080 &gt; 16, 0, $J$3*(16 - $D7080))</f>
        <v>1308.8164490143911</v>
      </c>
      <c r="F7080">
        <f>IF($D7080 &gt; 16, 0,$E7080*$J$5)</f>
        <v>14225525.984337417</v>
      </c>
      <c r="G7080">
        <f t="shared" si="110"/>
        <v>6.3000000000000007</v>
      </c>
    </row>
    <row r="7081" spans="2:7" x14ac:dyDescent="0.35">
      <c r="B7081" s="1">
        <v>45952</v>
      </c>
      <c r="C7081" s="2">
        <v>0.95833333333333337</v>
      </c>
      <c r="D7081">
        <v>8.4</v>
      </c>
      <c r="E7081">
        <f>IF($D7081 &gt; 16, 0, $J$3*(16 - $D7081))</f>
        <v>1578.8896845252971</v>
      </c>
      <c r="F7081">
        <f>IF($D7081 &gt; 16, 0,$E7081*$J$5)</f>
        <v>17160951.981105454</v>
      </c>
      <c r="G7081">
        <f t="shared" si="110"/>
        <v>7.6</v>
      </c>
    </row>
    <row r="7082" spans="2:7" x14ac:dyDescent="0.35">
      <c r="B7082" s="1">
        <v>45953</v>
      </c>
      <c r="C7082" s="2">
        <v>0</v>
      </c>
      <c r="D7082">
        <v>8.3000000000000007</v>
      </c>
      <c r="E7082">
        <f>IF($D7082 &gt; 16, 0, $J$3*(16 - $D7082))</f>
        <v>1599.6645487953667</v>
      </c>
      <c r="F7082">
        <f>IF($D7082 &gt; 16, 0,$E7082*$J$5)</f>
        <v>17386753.98085684</v>
      </c>
      <c r="G7082">
        <f t="shared" si="110"/>
        <v>7.6999999999999993</v>
      </c>
    </row>
    <row r="7083" spans="2:7" x14ac:dyDescent="0.35">
      <c r="B7083" s="1">
        <v>45953</v>
      </c>
      <c r="C7083" s="2">
        <v>4.1666666666666657E-2</v>
      </c>
      <c r="D7083">
        <v>8.5</v>
      </c>
      <c r="E7083">
        <f>IF($D7083 &gt; 16, 0, $J$3*(16 - $D7083))</f>
        <v>1558.1148202552274</v>
      </c>
      <c r="F7083">
        <f>IF($D7083 &gt; 16, 0,$E7083*$J$5)</f>
        <v>16935149.981354065</v>
      </c>
      <c r="G7083">
        <f t="shared" si="110"/>
        <v>7.5</v>
      </c>
    </row>
    <row r="7084" spans="2:7" x14ac:dyDescent="0.35">
      <c r="B7084" s="1">
        <v>45953</v>
      </c>
      <c r="C7084" s="2">
        <v>8.3333333333333329E-2</v>
      </c>
      <c r="D7084">
        <v>7.9</v>
      </c>
      <c r="E7084">
        <f>IF($D7084 &gt; 16, 0, $J$3*(16 - $D7084))</f>
        <v>1682.7640058756456</v>
      </c>
      <c r="F7084">
        <f>IF($D7084 &gt; 16, 0,$E7084*$J$5)</f>
        <v>18289961.979862392</v>
      </c>
      <c r="G7084">
        <f t="shared" si="110"/>
        <v>8.1</v>
      </c>
    </row>
    <row r="7085" spans="2:7" x14ac:dyDescent="0.35">
      <c r="B7085" s="1">
        <v>45953</v>
      </c>
      <c r="C7085" s="2">
        <v>0.125</v>
      </c>
      <c r="D7085">
        <v>9.5</v>
      </c>
      <c r="E7085">
        <f>IF($D7085 &gt; 16, 0, $J$3*(16 - $D7085))</f>
        <v>1350.3661775545304</v>
      </c>
      <c r="F7085">
        <f>IF($D7085 &gt; 16, 0,$E7085*$J$5)</f>
        <v>14677129.983840192</v>
      </c>
      <c r="G7085">
        <f t="shared" si="110"/>
        <v>6.5</v>
      </c>
    </row>
    <row r="7086" spans="2:7" x14ac:dyDescent="0.35">
      <c r="B7086" s="1">
        <v>45953</v>
      </c>
      <c r="C7086" s="2">
        <v>0.16666666666666671</v>
      </c>
      <c r="D7086">
        <v>9.6999999999999993</v>
      </c>
      <c r="E7086">
        <f>IF($D7086 &gt; 16, 0, $J$3*(16 - $D7086))</f>
        <v>1308.8164490143911</v>
      </c>
      <c r="F7086">
        <f>IF($D7086 &gt; 16, 0,$E7086*$J$5)</f>
        <v>14225525.984337417</v>
      </c>
      <c r="G7086">
        <f t="shared" si="110"/>
        <v>6.3000000000000007</v>
      </c>
    </row>
    <row r="7087" spans="2:7" x14ac:dyDescent="0.35">
      <c r="B7087" s="1">
        <v>45953</v>
      </c>
      <c r="C7087" s="2">
        <v>0.20833333333333329</v>
      </c>
      <c r="D7087">
        <v>10.199999999999999</v>
      </c>
      <c r="E7087">
        <f>IF($D7087 &gt; 16, 0, $J$3*(16 - $D7087))</f>
        <v>1204.9421276640428</v>
      </c>
      <c r="F7087">
        <f>IF($D7087 &gt; 16, 0,$E7087*$J$5)</f>
        <v>13096515.985580482</v>
      </c>
      <c r="G7087">
        <f t="shared" si="110"/>
        <v>5.8000000000000007</v>
      </c>
    </row>
    <row r="7088" spans="2:7" x14ac:dyDescent="0.35">
      <c r="B7088" s="1">
        <v>45953</v>
      </c>
      <c r="C7088" s="2">
        <v>0.25</v>
      </c>
      <c r="D7088">
        <v>10.9</v>
      </c>
      <c r="E7088">
        <f>IF($D7088 &gt; 16, 0, $J$3*(16 - $D7088))</f>
        <v>1059.5180777735545</v>
      </c>
      <c r="F7088">
        <f>IF($D7088 &gt; 16, 0,$E7088*$J$5)</f>
        <v>11515901.987320764</v>
      </c>
      <c r="G7088">
        <f t="shared" si="110"/>
        <v>5.0999999999999996</v>
      </c>
    </row>
    <row r="7089" spans="2:7" x14ac:dyDescent="0.35">
      <c r="B7089" s="1">
        <v>45953</v>
      </c>
      <c r="C7089" s="2">
        <v>0.29166666666666669</v>
      </c>
      <c r="D7089">
        <v>11.4</v>
      </c>
      <c r="E7089">
        <f>IF($D7089 &gt; 16, 0, $J$3*(16 - $D7089))</f>
        <v>955.64375642320613</v>
      </c>
      <c r="F7089">
        <f>IF($D7089 &gt; 16, 0,$E7089*$J$5)</f>
        <v>10386891.988563828</v>
      </c>
      <c r="G7089">
        <f t="shared" si="110"/>
        <v>4.5999999999999996</v>
      </c>
    </row>
    <row r="7090" spans="2:7" x14ac:dyDescent="0.35">
      <c r="B7090" s="1">
        <v>45953</v>
      </c>
      <c r="C7090" s="2">
        <v>0.33333333333333331</v>
      </c>
      <c r="D7090">
        <v>11.7</v>
      </c>
      <c r="E7090">
        <f>IF($D7090 &gt; 16, 0, $J$3*(16 - $D7090))</f>
        <v>893.31916361299716</v>
      </c>
      <c r="F7090">
        <f>IF($D7090 &gt; 16, 0,$E7090*$J$5)</f>
        <v>9709485.9893096667</v>
      </c>
      <c r="G7090">
        <f t="shared" si="110"/>
        <v>4.3000000000000007</v>
      </c>
    </row>
    <row r="7091" spans="2:7" x14ac:dyDescent="0.35">
      <c r="B7091" s="1">
        <v>45953</v>
      </c>
      <c r="C7091" s="2">
        <v>0.375</v>
      </c>
      <c r="D7091">
        <v>12.3</v>
      </c>
      <c r="E7091">
        <f>IF($D7091 &gt; 16, 0, $J$3*(16 - $D7091))</f>
        <v>768.66997799257877</v>
      </c>
      <c r="F7091">
        <f>IF($D7091 &gt; 16, 0,$E7091*$J$5)</f>
        <v>8354673.990801339</v>
      </c>
      <c r="G7091">
        <f t="shared" si="110"/>
        <v>3.6999999999999993</v>
      </c>
    </row>
    <row r="7092" spans="2:7" x14ac:dyDescent="0.35">
      <c r="B7092" s="1">
        <v>45953</v>
      </c>
      <c r="C7092" s="2">
        <v>0.41666666666666669</v>
      </c>
      <c r="D7092">
        <v>13.2</v>
      </c>
      <c r="E7092">
        <f>IF($D7092 &gt; 16, 0, $J$3*(16 - $D7092))</f>
        <v>581.69619956195174</v>
      </c>
      <c r="F7092">
        <f>IF($D7092 &gt; 16, 0,$E7092*$J$5)</f>
        <v>6322455.9930388536</v>
      </c>
      <c r="G7092">
        <f t="shared" si="110"/>
        <v>2.8000000000000007</v>
      </c>
    </row>
    <row r="7093" spans="2:7" x14ac:dyDescent="0.35">
      <c r="B7093" s="1">
        <v>45953</v>
      </c>
      <c r="C7093" s="2">
        <v>0.45833333333333331</v>
      </c>
      <c r="D7093">
        <v>13.9</v>
      </c>
      <c r="E7093">
        <f>IF($D7093 &gt; 16, 0, $J$3*(16 - $D7093))</f>
        <v>436.27214967146358</v>
      </c>
      <c r="F7093">
        <f>IF($D7093 &gt; 16, 0,$E7093*$J$5)</f>
        <v>4741841.9947791379</v>
      </c>
      <c r="G7093">
        <f t="shared" si="110"/>
        <v>2.0999999999999996</v>
      </c>
    </row>
    <row r="7094" spans="2:7" x14ac:dyDescent="0.35">
      <c r="B7094" s="1">
        <v>45953</v>
      </c>
      <c r="C7094" s="2">
        <v>0.5</v>
      </c>
      <c r="D7094">
        <v>14.5</v>
      </c>
      <c r="E7094">
        <f>IF($D7094 &gt; 16, 0, $J$3*(16 - $D7094))</f>
        <v>311.62296405104547</v>
      </c>
      <c r="F7094">
        <f>IF($D7094 &gt; 16, 0,$E7094*$J$5)</f>
        <v>3387029.996270813</v>
      </c>
      <c r="G7094">
        <f t="shared" si="110"/>
        <v>1.5</v>
      </c>
    </row>
    <row r="7095" spans="2:7" x14ac:dyDescent="0.35">
      <c r="B7095" s="1">
        <v>45953</v>
      </c>
      <c r="C7095" s="2">
        <v>0.54166666666666663</v>
      </c>
      <c r="D7095">
        <v>14.9</v>
      </c>
      <c r="E7095">
        <f>IF($D7095 &gt; 16, 0, $J$3*(16 - $D7095))</f>
        <v>228.52350697076662</v>
      </c>
      <c r="F7095">
        <f>IF($D7095 &gt; 16, 0,$E7095*$J$5)</f>
        <v>2483821.9972652625</v>
      </c>
      <c r="G7095">
        <f t="shared" si="110"/>
        <v>1.0999999999999996</v>
      </c>
    </row>
    <row r="7096" spans="2:7" x14ac:dyDescent="0.35">
      <c r="B7096" s="1">
        <v>45953</v>
      </c>
      <c r="C7096" s="2">
        <v>0.58333333333333337</v>
      </c>
      <c r="D7096">
        <v>15.4</v>
      </c>
      <c r="E7096">
        <f>IF($D7096 &gt; 16, 0, $J$3*(16 - $D7096))</f>
        <v>124.64918562041812</v>
      </c>
      <c r="F7096">
        <f>IF($D7096 &gt; 16, 0,$E7096*$J$5)</f>
        <v>1354811.9985083246</v>
      </c>
      <c r="G7096">
        <f t="shared" si="110"/>
        <v>0.59999999999999964</v>
      </c>
    </row>
    <row r="7097" spans="2:7" x14ac:dyDescent="0.35">
      <c r="B7097" s="1">
        <v>45953</v>
      </c>
      <c r="C7097" s="2">
        <v>0.625</v>
      </c>
      <c r="D7097">
        <v>15.2</v>
      </c>
      <c r="E7097">
        <f>IF($D7097 &gt; 16, 0, $J$3*(16 - $D7097))</f>
        <v>166.19891416055773</v>
      </c>
      <c r="F7097">
        <f>IF($D7097 &gt; 16, 0,$E7097*$J$5)</f>
        <v>1806415.998011102</v>
      </c>
      <c r="G7097">
        <f t="shared" si="110"/>
        <v>0.80000000000000071</v>
      </c>
    </row>
    <row r="7098" spans="2:7" x14ac:dyDescent="0.35">
      <c r="B7098" s="1">
        <v>45953</v>
      </c>
      <c r="C7098" s="2">
        <v>0.66666666666666663</v>
      </c>
      <c r="D7098">
        <v>14.1</v>
      </c>
      <c r="E7098">
        <f>IF($D7098 &gt; 16, 0, $J$3*(16 - $D7098))</f>
        <v>394.72242113132438</v>
      </c>
      <c r="F7098">
        <f>IF($D7098 &gt; 16, 0,$E7098*$J$5)</f>
        <v>4290237.9952763645</v>
      </c>
      <c r="G7098">
        <f t="shared" si="110"/>
        <v>1.9000000000000004</v>
      </c>
    </row>
    <row r="7099" spans="2:7" x14ac:dyDescent="0.35">
      <c r="B7099" s="1">
        <v>45953</v>
      </c>
      <c r="C7099" s="2">
        <v>0.70833333333333337</v>
      </c>
      <c r="D7099">
        <v>13.3</v>
      </c>
      <c r="E7099">
        <f>IF($D7099 &gt; 16, 0, $J$3*(16 - $D7099))</f>
        <v>560.92133529188175</v>
      </c>
      <c r="F7099">
        <f>IF($D7099 &gt; 16, 0,$E7099*$J$5)</f>
        <v>6096653.9932874627</v>
      </c>
      <c r="G7099">
        <f t="shared" si="110"/>
        <v>2.6999999999999993</v>
      </c>
    </row>
    <row r="7100" spans="2:7" x14ac:dyDescent="0.35">
      <c r="B7100" s="1">
        <v>45953</v>
      </c>
      <c r="C7100" s="2">
        <v>0.75</v>
      </c>
      <c r="D7100">
        <v>13.9</v>
      </c>
      <c r="E7100">
        <f>IF($D7100 &gt; 16, 0, $J$3*(16 - $D7100))</f>
        <v>436.27214967146358</v>
      </c>
      <c r="F7100">
        <f>IF($D7100 &gt; 16, 0,$E7100*$J$5)</f>
        <v>4741841.9947791379</v>
      </c>
      <c r="G7100">
        <f t="shared" si="110"/>
        <v>2.0999999999999996</v>
      </c>
    </row>
    <row r="7101" spans="2:7" x14ac:dyDescent="0.35">
      <c r="B7101" s="1">
        <v>45953</v>
      </c>
      <c r="C7101" s="2">
        <v>0.79166666666666663</v>
      </c>
      <c r="D7101">
        <v>12.9</v>
      </c>
      <c r="E7101">
        <f>IF($D7101 &gt; 16, 0, $J$3*(16 - $D7101))</f>
        <v>644.0207923721606</v>
      </c>
      <c r="F7101">
        <f>IF($D7101 &gt; 16, 0,$E7101*$J$5)</f>
        <v>6999861.9922930133</v>
      </c>
      <c r="G7101">
        <f t="shared" si="110"/>
        <v>3.0999999999999996</v>
      </c>
    </row>
    <row r="7102" spans="2:7" x14ac:dyDescent="0.35">
      <c r="B7102" s="1">
        <v>45953</v>
      </c>
      <c r="C7102" s="2">
        <v>0.83333333333333337</v>
      </c>
      <c r="D7102">
        <v>12.3</v>
      </c>
      <c r="E7102">
        <f>IF($D7102 &gt; 16, 0, $J$3*(16 - $D7102))</f>
        <v>768.66997799257877</v>
      </c>
      <c r="F7102">
        <f>IF($D7102 &gt; 16, 0,$E7102*$J$5)</f>
        <v>8354673.990801339</v>
      </c>
      <c r="G7102">
        <f t="shared" si="110"/>
        <v>3.6999999999999993</v>
      </c>
    </row>
    <row r="7103" spans="2:7" x14ac:dyDescent="0.35">
      <c r="B7103" s="1">
        <v>45953</v>
      </c>
      <c r="C7103" s="2">
        <v>0.875</v>
      </c>
      <c r="D7103">
        <v>11.9</v>
      </c>
      <c r="E7103">
        <f>IF($D7103 &gt; 16, 0, $J$3*(16 - $D7103))</f>
        <v>851.76943507285762</v>
      </c>
      <c r="F7103">
        <f>IF($D7103 &gt; 16, 0,$E7103*$J$5)</f>
        <v>9257881.9898068886</v>
      </c>
      <c r="G7103">
        <f t="shared" si="110"/>
        <v>4.0999999999999996</v>
      </c>
    </row>
    <row r="7104" spans="2:7" x14ac:dyDescent="0.35">
      <c r="B7104" s="1">
        <v>45953</v>
      </c>
      <c r="C7104" s="2">
        <v>0.91666666666666663</v>
      </c>
      <c r="D7104">
        <v>10.8</v>
      </c>
      <c r="E7104">
        <f>IF($D7104 &gt; 16, 0, $J$3*(16 - $D7104))</f>
        <v>1080.2929420436242</v>
      </c>
      <c r="F7104">
        <f>IF($D7104 &gt; 16, 0,$E7104*$J$5)</f>
        <v>11741703.987072151</v>
      </c>
      <c r="G7104">
        <f t="shared" si="110"/>
        <v>5.1999999999999993</v>
      </c>
    </row>
    <row r="7105" spans="2:7" x14ac:dyDescent="0.35">
      <c r="B7105" s="1">
        <v>45953</v>
      </c>
      <c r="C7105" s="2">
        <v>0.95833333333333337</v>
      </c>
      <c r="D7105">
        <v>10.4</v>
      </c>
      <c r="E7105">
        <f>IF($D7105 &gt; 16, 0, $J$3*(16 - $D7105))</f>
        <v>1163.392399123903</v>
      </c>
      <c r="F7105">
        <f>IF($D7105 &gt; 16, 0,$E7105*$J$5)</f>
        <v>12644911.986077702</v>
      </c>
      <c r="G7105">
        <f t="shared" si="110"/>
        <v>5.6</v>
      </c>
    </row>
    <row r="7106" spans="2:7" x14ac:dyDescent="0.35">
      <c r="B7106" s="1">
        <v>45954</v>
      </c>
      <c r="C7106" s="2">
        <v>0</v>
      </c>
      <c r="D7106">
        <v>10.199999999999999</v>
      </c>
      <c r="E7106">
        <f>IF($D7106 &gt; 16, 0, $J$3*(16 - $D7106))</f>
        <v>1204.9421276640428</v>
      </c>
      <c r="F7106">
        <f>IF($D7106 &gt; 16, 0,$E7106*$J$5)</f>
        <v>13096515.985580482</v>
      </c>
      <c r="G7106">
        <f t="shared" si="110"/>
        <v>5.8000000000000007</v>
      </c>
    </row>
    <row r="7107" spans="2:7" x14ac:dyDescent="0.35">
      <c r="B7107" s="1">
        <v>45954</v>
      </c>
      <c r="C7107" s="2">
        <v>4.1666666666666657E-2</v>
      </c>
      <c r="D7107">
        <v>10.5</v>
      </c>
      <c r="E7107">
        <f>IF($D7107 &gt; 16, 0, $J$3*(16 - $D7107))</f>
        <v>1142.6175348538334</v>
      </c>
      <c r="F7107">
        <f>IF($D7107 &gt; 16, 0,$E7107*$J$5)</f>
        <v>12419109.986326315</v>
      </c>
      <c r="G7107">
        <f t="shared" ref="G7107:G7170" si="111">MAX(0, 16 - $D7107)</f>
        <v>5.5</v>
      </c>
    </row>
    <row r="7108" spans="2:7" x14ac:dyDescent="0.35">
      <c r="B7108" s="1">
        <v>45954</v>
      </c>
      <c r="C7108" s="2">
        <v>8.3333333333333329E-2</v>
      </c>
      <c r="D7108">
        <v>10.6</v>
      </c>
      <c r="E7108">
        <f>IF($D7108 &gt; 16, 0, $J$3*(16 - $D7108))</f>
        <v>1121.8426705837637</v>
      </c>
      <c r="F7108">
        <f>IF($D7108 &gt; 16, 0,$E7108*$J$5)</f>
        <v>12193307.986574927</v>
      </c>
      <c r="G7108">
        <f t="shared" si="111"/>
        <v>5.4</v>
      </c>
    </row>
    <row r="7109" spans="2:7" x14ac:dyDescent="0.35">
      <c r="B7109" s="1">
        <v>45954</v>
      </c>
      <c r="C7109" s="2">
        <v>0.125</v>
      </c>
      <c r="D7109">
        <v>10.6</v>
      </c>
      <c r="E7109">
        <f>IF($D7109 &gt; 16, 0, $J$3*(16 - $D7109))</f>
        <v>1121.8426705837637</v>
      </c>
      <c r="F7109">
        <f>IF($D7109 &gt; 16, 0,$E7109*$J$5)</f>
        <v>12193307.986574927</v>
      </c>
      <c r="G7109">
        <f t="shared" si="111"/>
        <v>5.4</v>
      </c>
    </row>
    <row r="7110" spans="2:7" x14ac:dyDescent="0.35">
      <c r="B7110" s="1">
        <v>45954</v>
      </c>
      <c r="C7110" s="2">
        <v>0.16666666666666671</v>
      </c>
      <c r="D7110">
        <v>10.6</v>
      </c>
      <c r="E7110">
        <f>IF($D7110 &gt; 16, 0, $J$3*(16 - $D7110))</f>
        <v>1121.8426705837637</v>
      </c>
      <c r="F7110">
        <f>IF($D7110 &gt; 16, 0,$E7110*$J$5)</f>
        <v>12193307.986574927</v>
      </c>
      <c r="G7110">
        <f t="shared" si="111"/>
        <v>5.4</v>
      </c>
    </row>
    <row r="7111" spans="2:7" x14ac:dyDescent="0.35">
      <c r="B7111" s="1">
        <v>45954</v>
      </c>
      <c r="C7111" s="2">
        <v>0.20833333333333329</v>
      </c>
      <c r="D7111">
        <v>10.4</v>
      </c>
      <c r="E7111">
        <f>IF($D7111 &gt; 16, 0, $J$3*(16 - $D7111))</f>
        <v>1163.392399123903</v>
      </c>
      <c r="F7111">
        <f>IF($D7111 &gt; 16, 0,$E7111*$J$5)</f>
        <v>12644911.986077702</v>
      </c>
      <c r="G7111">
        <f t="shared" si="111"/>
        <v>5.6</v>
      </c>
    </row>
    <row r="7112" spans="2:7" x14ac:dyDescent="0.35">
      <c r="B7112" s="1">
        <v>45954</v>
      </c>
      <c r="C7112" s="2">
        <v>0.25</v>
      </c>
      <c r="D7112">
        <v>10.1</v>
      </c>
      <c r="E7112">
        <f>IF($D7112 &gt; 16, 0, $J$3*(16 - $D7112))</f>
        <v>1225.7169919341122</v>
      </c>
      <c r="F7112">
        <f>IF($D7112 &gt; 16, 0,$E7112*$J$5)</f>
        <v>13322317.985331865</v>
      </c>
      <c r="G7112">
        <f t="shared" si="111"/>
        <v>5.9</v>
      </c>
    </row>
    <row r="7113" spans="2:7" x14ac:dyDescent="0.35">
      <c r="B7113" s="1">
        <v>45954</v>
      </c>
      <c r="C7113" s="2">
        <v>0.29166666666666669</v>
      </c>
      <c r="D7113">
        <v>9.6</v>
      </c>
      <c r="E7113">
        <f>IF($D7113 &gt; 16, 0, $J$3*(16 - $D7113))</f>
        <v>1329.5913132844607</v>
      </c>
      <c r="F7113">
        <f>IF($D7113 &gt; 16, 0,$E7113*$J$5)</f>
        <v>14451327.984088805</v>
      </c>
      <c r="G7113">
        <f t="shared" si="111"/>
        <v>6.4</v>
      </c>
    </row>
    <row r="7114" spans="2:7" x14ac:dyDescent="0.35">
      <c r="B7114" s="1">
        <v>45954</v>
      </c>
      <c r="C7114" s="2">
        <v>0.33333333333333331</v>
      </c>
      <c r="D7114">
        <v>10</v>
      </c>
      <c r="E7114">
        <f>IF($D7114 &gt; 16, 0, $J$3*(16 - $D7114))</f>
        <v>1246.4918562041819</v>
      </c>
      <c r="F7114">
        <f>IF($D7114 &gt; 16, 0,$E7114*$J$5)</f>
        <v>13548119.985083252</v>
      </c>
      <c r="G7114">
        <f t="shared" si="111"/>
        <v>6</v>
      </c>
    </row>
    <row r="7115" spans="2:7" x14ac:dyDescent="0.35">
      <c r="B7115" s="1">
        <v>45954</v>
      </c>
      <c r="C7115" s="2">
        <v>0.375</v>
      </c>
      <c r="D7115">
        <v>10.5</v>
      </c>
      <c r="E7115">
        <f>IF($D7115 &gt; 16, 0, $J$3*(16 - $D7115))</f>
        <v>1142.6175348538334</v>
      </c>
      <c r="F7115">
        <f>IF($D7115 &gt; 16, 0,$E7115*$J$5)</f>
        <v>12419109.986326315</v>
      </c>
      <c r="G7115">
        <f t="shared" si="111"/>
        <v>5.5</v>
      </c>
    </row>
    <row r="7116" spans="2:7" x14ac:dyDescent="0.35">
      <c r="B7116" s="1">
        <v>45954</v>
      </c>
      <c r="C7116" s="2">
        <v>0.41666666666666669</v>
      </c>
      <c r="D7116">
        <v>10.6</v>
      </c>
      <c r="E7116">
        <f>IF($D7116 &gt; 16, 0, $J$3*(16 - $D7116))</f>
        <v>1121.8426705837637</v>
      </c>
      <c r="F7116">
        <f>IF($D7116 &gt; 16, 0,$E7116*$J$5)</f>
        <v>12193307.986574927</v>
      </c>
      <c r="G7116">
        <f t="shared" si="111"/>
        <v>5.4</v>
      </c>
    </row>
    <row r="7117" spans="2:7" x14ac:dyDescent="0.35">
      <c r="B7117" s="1">
        <v>45954</v>
      </c>
      <c r="C7117" s="2">
        <v>0.45833333333333331</v>
      </c>
      <c r="D7117">
        <v>11.1</v>
      </c>
      <c r="E7117">
        <f>IF($D7117 &gt; 16, 0, $J$3*(16 - $D7117))</f>
        <v>1017.9683492334153</v>
      </c>
      <c r="F7117">
        <f>IF($D7117 &gt; 16, 0,$E7117*$J$5)</f>
        <v>11064297.987817992</v>
      </c>
      <c r="G7117">
        <f t="shared" si="111"/>
        <v>4.9000000000000004</v>
      </c>
    </row>
    <row r="7118" spans="2:7" x14ac:dyDescent="0.35">
      <c r="B7118" s="1">
        <v>45954</v>
      </c>
      <c r="C7118" s="2">
        <v>0.5</v>
      </c>
      <c r="D7118">
        <v>10.9</v>
      </c>
      <c r="E7118">
        <f>IF($D7118 &gt; 16, 0, $J$3*(16 - $D7118))</f>
        <v>1059.5180777735545</v>
      </c>
      <c r="F7118">
        <f>IF($D7118 &gt; 16, 0,$E7118*$J$5)</f>
        <v>11515901.987320764</v>
      </c>
      <c r="G7118">
        <f t="shared" si="111"/>
        <v>5.0999999999999996</v>
      </c>
    </row>
    <row r="7119" spans="2:7" x14ac:dyDescent="0.35">
      <c r="B7119" s="1">
        <v>45954</v>
      </c>
      <c r="C7119" s="2">
        <v>0.54166666666666663</v>
      </c>
      <c r="D7119">
        <v>10.6</v>
      </c>
      <c r="E7119">
        <f>IF($D7119 &gt; 16, 0, $J$3*(16 - $D7119))</f>
        <v>1121.8426705837637</v>
      </c>
      <c r="F7119">
        <f>IF($D7119 &gt; 16, 0,$E7119*$J$5)</f>
        <v>12193307.986574927</v>
      </c>
      <c r="G7119">
        <f t="shared" si="111"/>
        <v>5.4</v>
      </c>
    </row>
    <row r="7120" spans="2:7" x14ac:dyDescent="0.35">
      <c r="B7120" s="1">
        <v>45954</v>
      </c>
      <c r="C7120" s="2">
        <v>0.58333333333333337</v>
      </c>
      <c r="D7120">
        <v>11.4</v>
      </c>
      <c r="E7120">
        <f>IF($D7120 &gt; 16, 0, $J$3*(16 - $D7120))</f>
        <v>955.64375642320613</v>
      </c>
      <c r="F7120">
        <f>IF($D7120 &gt; 16, 0,$E7120*$J$5)</f>
        <v>10386891.988563828</v>
      </c>
      <c r="G7120">
        <f t="shared" si="111"/>
        <v>4.5999999999999996</v>
      </c>
    </row>
    <row r="7121" spans="2:7" x14ac:dyDescent="0.35">
      <c r="B7121" s="1">
        <v>45954</v>
      </c>
      <c r="C7121" s="2">
        <v>0.625</v>
      </c>
      <c r="D7121">
        <v>11</v>
      </c>
      <c r="E7121">
        <f>IF($D7121 &gt; 16, 0, $J$3*(16 - $D7121))</f>
        <v>1038.7432135034849</v>
      </c>
      <c r="F7121">
        <f>IF($D7121 &gt; 16, 0,$E7121*$J$5)</f>
        <v>11290099.987569377</v>
      </c>
      <c r="G7121">
        <f t="shared" si="111"/>
        <v>5</v>
      </c>
    </row>
    <row r="7122" spans="2:7" x14ac:dyDescent="0.35">
      <c r="B7122" s="1">
        <v>45954</v>
      </c>
      <c r="C7122" s="2">
        <v>0.66666666666666663</v>
      </c>
      <c r="D7122">
        <v>10.9</v>
      </c>
      <c r="E7122">
        <f>IF($D7122 &gt; 16, 0, $J$3*(16 - $D7122))</f>
        <v>1059.5180777735545</v>
      </c>
      <c r="F7122">
        <f>IF($D7122 &gt; 16, 0,$E7122*$J$5)</f>
        <v>11515901.987320764</v>
      </c>
      <c r="G7122">
        <f t="shared" si="111"/>
        <v>5.0999999999999996</v>
      </c>
    </row>
    <row r="7123" spans="2:7" x14ac:dyDescent="0.35">
      <c r="B7123" s="1">
        <v>45954</v>
      </c>
      <c r="C7123" s="2">
        <v>0.70833333333333337</v>
      </c>
      <c r="D7123">
        <v>10.1</v>
      </c>
      <c r="E7123">
        <f>IF($D7123 &gt; 16, 0, $J$3*(16 - $D7123))</f>
        <v>1225.7169919341122</v>
      </c>
      <c r="F7123">
        <f>IF($D7123 &gt; 16, 0,$E7123*$J$5)</f>
        <v>13322317.985331865</v>
      </c>
      <c r="G7123">
        <f t="shared" si="111"/>
        <v>5.9</v>
      </c>
    </row>
    <row r="7124" spans="2:7" x14ac:dyDescent="0.35">
      <c r="B7124" s="1">
        <v>45954</v>
      </c>
      <c r="C7124" s="2">
        <v>0.75</v>
      </c>
      <c r="D7124">
        <v>9.3000000000000007</v>
      </c>
      <c r="E7124">
        <f>IF($D7124 &gt; 16, 0, $J$3*(16 - $D7124))</f>
        <v>1391.9159060946697</v>
      </c>
      <c r="F7124">
        <f>IF($D7124 &gt; 16, 0,$E7124*$J$5)</f>
        <v>15128733.983342964</v>
      </c>
      <c r="G7124">
        <f t="shared" si="111"/>
        <v>6.6999999999999993</v>
      </c>
    </row>
    <row r="7125" spans="2:7" x14ac:dyDescent="0.35">
      <c r="B7125" s="1">
        <v>45954</v>
      </c>
      <c r="C7125" s="2">
        <v>0.79166666666666663</v>
      </c>
      <c r="D7125">
        <v>9.1999999999999993</v>
      </c>
      <c r="E7125">
        <f>IF($D7125 &gt; 16, 0, $J$3*(16 - $D7125))</f>
        <v>1412.6907703647396</v>
      </c>
      <c r="F7125">
        <f>IF($D7125 &gt; 16, 0,$E7125*$J$5)</f>
        <v>15354535.983094355</v>
      </c>
      <c r="G7125">
        <f t="shared" si="111"/>
        <v>6.8000000000000007</v>
      </c>
    </row>
    <row r="7126" spans="2:7" x14ac:dyDescent="0.35">
      <c r="B7126" s="1">
        <v>45954</v>
      </c>
      <c r="C7126" s="2">
        <v>0.83333333333333337</v>
      </c>
      <c r="D7126">
        <v>8.5</v>
      </c>
      <c r="E7126">
        <f>IF($D7126 &gt; 16, 0, $J$3*(16 - $D7126))</f>
        <v>1558.1148202552274</v>
      </c>
      <c r="F7126">
        <f>IF($D7126 &gt; 16, 0,$E7126*$J$5)</f>
        <v>16935149.981354065</v>
      </c>
      <c r="G7126">
        <f t="shared" si="111"/>
        <v>7.5</v>
      </c>
    </row>
    <row r="7127" spans="2:7" x14ac:dyDescent="0.35">
      <c r="B7127" s="1">
        <v>45954</v>
      </c>
      <c r="C7127" s="2">
        <v>0.875</v>
      </c>
      <c r="D7127">
        <v>8.6</v>
      </c>
      <c r="E7127">
        <f>IF($D7127 &gt; 16, 0, $J$3*(16 - $D7127))</f>
        <v>1537.3399559851578</v>
      </c>
      <c r="F7127">
        <f>IF($D7127 &gt; 16, 0,$E7127*$J$5)</f>
        <v>16709347.98160268</v>
      </c>
      <c r="G7127">
        <f t="shared" si="111"/>
        <v>7.4</v>
      </c>
    </row>
    <row r="7128" spans="2:7" x14ac:dyDescent="0.35">
      <c r="B7128" s="1">
        <v>45954</v>
      </c>
      <c r="C7128" s="2">
        <v>0.91666666666666663</v>
      </c>
      <c r="D7128">
        <v>8.1</v>
      </c>
      <c r="E7128">
        <f>IF($D7128 &gt; 16, 0, $J$3*(16 - $D7128))</f>
        <v>1641.2142773355063</v>
      </c>
      <c r="F7128">
        <f>IF($D7128 &gt; 16, 0,$E7128*$J$5)</f>
        <v>17838357.980359618</v>
      </c>
      <c r="G7128">
        <f t="shared" si="111"/>
        <v>7.9</v>
      </c>
    </row>
    <row r="7129" spans="2:7" x14ac:dyDescent="0.35">
      <c r="B7129" s="1">
        <v>45954</v>
      </c>
      <c r="C7129" s="2">
        <v>0.95833333333333337</v>
      </c>
      <c r="D7129">
        <v>8.1</v>
      </c>
      <c r="E7129">
        <f>IF($D7129 &gt; 16, 0, $J$3*(16 - $D7129))</f>
        <v>1641.2142773355063</v>
      </c>
      <c r="F7129">
        <f>IF($D7129 &gt; 16, 0,$E7129*$J$5)</f>
        <v>17838357.980359618</v>
      </c>
      <c r="G7129">
        <f t="shared" si="111"/>
        <v>7.9</v>
      </c>
    </row>
    <row r="7130" spans="2:7" x14ac:dyDescent="0.35">
      <c r="B7130" s="1">
        <v>45955</v>
      </c>
      <c r="C7130" s="2">
        <v>0</v>
      </c>
      <c r="D7130">
        <v>8.6</v>
      </c>
      <c r="E7130">
        <f>IF($D7130 &gt; 16, 0, $J$3*(16 - $D7130))</f>
        <v>1537.3399559851578</v>
      </c>
      <c r="F7130">
        <f>IF($D7130 &gt; 16, 0,$E7130*$J$5)</f>
        <v>16709347.98160268</v>
      </c>
      <c r="G7130">
        <f t="shared" si="111"/>
        <v>7.4</v>
      </c>
    </row>
    <row r="7131" spans="2:7" x14ac:dyDescent="0.35">
      <c r="B7131" s="1">
        <v>45955</v>
      </c>
      <c r="C7131" s="2">
        <v>4.1666666666666657E-2</v>
      </c>
      <c r="D7131">
        <v>8.6</v>
      </c>
      <c r="E7131">
        <f>IF($D7131 &gt; 16, 0, $J$3*(16 - $D7131))</f>
        <v>1537.3399559851578</v>
      </c>
      <c r="F7131">
        <f>IF($D7131 &gt; 16, 0,$E7131*$J$5)</f>
        <v>16709347.98160268</v>
      </c>
      <c r="G7131">
        <f t="shared" si="111"/>
        <v>7.4</v>
      </c>
    </row>
    <row r="7132" spans="2:7" x14ac:dyDescent="0.35">
      <c r="B7132" s="1">
        <v>45955</v>
      </c>
      <c r="C7132" s="2">
        <v>8.3333333333333329E-2</v>
      </c>
      <c r="D7132">
        <v>8.4</v>
      </c>
      <c r="E7132">
        <f>IF($D7132 &gt; 16, 0, $J$3*(16 - $D7132))</f>
        <v>1578.8896845252971</v>
      </c>
      <c r="F7132">
        <f>IF($D7132 &gt; 16, 0,$E7132*$J$5)</f>
        <v>17160951.981105454</v>
      </c>
      <c r="G7132">
        <f t="shared" si="111"/>
        <v>7.6</v>
      </c>
    </row>
    <row r="7133" spans="2:7" x14ac:dyDescent="0.35">
      <c r="B7133" s="1">
        <v>45955</v>
      </c>
      <c r="C7133" s="2">
        <v>0.125</v>
      </c>
      <c r="D7133">
        <v>8.6999999999999993</v>
      </c>
      <c r="E7133">
        <f>IF($D7133 &gt; 16, 0, $J$3*(16 - $D7133))</f>
        <v>1516.5650917150881</v>
      </c>
      <c r="F7133">
        <f>IF($D7133 &gt; 16, 0,$E7133*$J$5)</f>
        <v>16483545.981851293</v>
      </c>
      <c r="G7133">
        <f t="shared" si="111"/>
        <v>7.3000000000000007</v>
      </c>
    </row>
    <row r="7134" spans="2:7" x14ac:dyDescent="0.35">
      <c r="B7134" s="1">
        <v>45955</v>
      </c>
      <c r="C7134" s="2">
        <v>0.16666666666666671</v>
      </c>
      <c r="D7134">
        <v>8.6</v>
      </c>
      <c r="E7134">
        <f>IF($D7134 &gt; 16, 0, $J$3*(16 - $D7134))</f>
        <v>1537.3399559851578</v>
      </c>
      <c r="F7134">
        <f>IF($D7134 &gt; 16, 0,$E7134*$J$5)</f>
        <v>16709347.98160268</v>
      </c>
      <c r="G7134">
        <f t="shared" si="111"/>
        <v>7.4</v>
      </c>
    </row>
    <row r="7135" spans="2:7" x14ac:dyDescent="0.35">
      <c r="B7135" s="1">
        <v>45955</v>
      </c>
      <c r="C7135" s="2">
        <v>0.20833333333333329</v>
      </c>
      <c r="D7135">
        <v>8.6</v>
      </c>
      <c r="E7135">
        <f>IF($D7135 &gt; 16, 0, $J$3*(16 - $D7135))</f>
        <v>1537.3399559851578</v>
      </c>
      <c r="F7135">
        <f>IF($D7135 &gt; 16, 0,$E7135*$J$5)</f>
        <v>16709347.98160268</v>
      </c>
      <c r="G7135">
        <f t="shared" si="111"/>
        <v>7.4</v>
      </c>
    </row>
    <row r="7136" spans="2:7" x14ac:dyDescent="0.35">
      <c r="B7136" s="1">
        <v>45955</v>
      </c>
      <c r="C7136" s="2">
        <v>0.25</v>
      </c>
      <c r="D7136">
        <v>8.6</v>
      </c>
      <c r="E7136">
        <f>IF($D7136 &gt; 16, 0, $J$3*(16 - $D7136))</f>
        <v>1537.3399559851578</v>
      </c>
      <c r="F7136">
        <f>IF($D7136 &gt; 16, 0,$E7136*$J$5)</f>
        <v>16709347.98160268</v>
      </c>
      <c r="G7136">
        <f t="shared" si="111"/>
        <v>7.4</v>
      </c>
    </row>
    <row r="7137" spans="2:7" x14ac:dyDescent="0.35">
      <c r="B7137" s="1">
        <v>45955</v>
      </c>
      <c r="C7137" s="2">
        <v>0.29166666666666669</v>
      </c>
      <c r="D7137">
        <v>8.1</v>
      </c>
      <c r="E7137">
        <f>IF($D7137 &gt; 16, 0, $J$3*(16 - $D7137))</f>
        <v>1641.2142773355063</v>
      </c>
      <c r="F7137">
        <f>IF($D7137 &gt; 16, 0,$E7137*$J$5)</f>
        <v>17838357.980359618</v>
      </c>
      <c r="G7137">
        <f t="shared" si="111"/>
        <v>7.9</v>
      </c>
    </row>
    <row r="7138" spans="2:7" x14ac:dyDescent="0.35">
      <c r="B7138" s="1">
        <v>45955</v>
      </c>
      <c r="C7138" s="2">
        <v>0.33333333333333331</v>
      </c>
      <c r="D7138">
        <v>8.8000000000000007</v>
      </c>
      <c r="E7138">
        <f>IF($D7138 &gt; 16, 0, $J$3*(16 - $D7138))</f>
        <v>1495.7902274450182</v>
      </c>
      <c r="F7138">
        <f>IF($D7138 &gt; 16, 0,$E7138*$J$5)</f>
        <v>16257743.982099904</v>
      </c>
      <c r="G7138">
        <f t="shared" si="111"/>
        <v>7.1999999999999993</v>
      </c>
    </row>
    <row r="7139" spans="2:7" x14ac:dyDescent="0.35">
      <c r="B7139" s="1">
        <v>45955</v>
      </c>
      <c r="C7139" s="2">
        <v>0.375</v>
      </c>
      <c r="D7139">
        <v>9.4</v>
      </c>
      <c r="E7139">
        <f>IF($D7139 &gt; 16, 0, $J$3*(16 - $D7139))</f>
        <v>1371.1410418246001</v>
      </c>
      <c r="F7139">
        <f>IF($D7139 &gt; 16, 0,$E7139*$J$5)</f>
        <v>14902931.983591577</v>
      </c>
      <c r="G7139">
        <f t="shared" si="111"/>
        <v>6.6</v>
      </c>
    </row>
    <row r="7140" spans="2:7" x14ac:dyDescent="0.35">
      <c r="B7140" s="1">
        <v>45955</v>
      </c>
      <c r="C7140" s="2">
        <v>0.41666666666666669</v>
      </c>
      <c r="D7140">
        <v>9.5</v>
      </c>
      <c r="E7140">
        <f>IF($D7140 &gt; 16, 0, $J$3*(16 - $D7140))</f>
        <v>1350.3661775545304</v>
      </c>
      <c r="F7140">
        <f>IF($D7140 &gt; 16, 0,$E7140*$J$5)</f>
        <v>14677129.983840192</v>
      </c>
      <c r="G7140">
        <f t="shared" si="111"/>
        <v>6.5</v>
      </c>
    </row>
    <row r="7141" spans="2:7" x14ac:dyDescent="0.35">
      <c r="B7141" s="1">
        <v>45955</v>
      </c>
      <c r="C7141" s="2">
        <v>0.45833333333333331</v>
      </c>
      <c r="D7141">
        <v>9.1999999999999993</v>
      </c>
      <c r="E7141">
        <f>IF($D7141 &gt; 16, 0, $J$3*(16 - $D7141))</f>
        <v>1412.6907703647396</v>
      </c>
      <c r="F7141">
        <f>IF($D7141 &gt; 16, 0,$E7141*$J$5)</f>
        <v>15354535.983094355</v>
      </c>
      <c r="G7141">
        <f t="shared" si="111"/>
        <v>6.8000000000000007</v>
      </c>
    </row>
    <row r="7142" spans="2:7" x14ac:dyDescent="0.35">
      <c r="B7142" s="1">
        <v>45955</v>
      </c>
      <c r="C7142" s="2">
        <v>0.5</v>
      </c>
      <c r="D7142">
        <v>9.1</v>
      </c>
      <c r="E7142">
        <f>IF($D7142 &gt; 16, 0, $J$3*(16 - $D7142))</f>
        <v>1433.4656346348092</v>
      </c>
      <c r="F7142">
        <f>IF($D7142 &gt; 16, 0,$E7142*$J$5)</f>
        <v>15580337.982845742</v>
      </c>
      <c r="G7142">
        <f t="shared" si="111"/>
        <v>6.9</v>
      </c>
    </row>
    <row r="7143" spans="2:7" x14ac:dyDescent="0.35">
      <c r="B7143" s="1">
        <v>45955</v>
      </c>
      <c r="C7143" s="2">
        <v>0.54166666666666663</v>
      </c>
      <c r="D7143">
        <v>9.1999999999999993</v>
      </c>
      <c r="E7143">
        <f>IF($D7143 &gt; 16, 0, $J$3*(16 - $D7143))</f>
        <v>1412.6907703647396</v>
      </c>
      <c r="F7143">
        <f>IF($D7143 &gt; 16, 0,$E7143*$J$5)</f>
        <v>15354535.983094355</v>
      </c>
      <c r="G7143">
        <f t="shared" si="111"/>
        <v>6.8000000000000007</v>
      </c>
    </row>
    <row r="7144" spans="2:7" x14ac:dyDescent="0.35">
      <c r="B7144" s="1">
        <v>45955</v>
      </c>
      <c r="C7144" s="2">
        <v>0.58333333333333337</v>
      </c>
      <c r="D7144">
        <v>9.8000000000000007</v>
      </c>
      <c r="E7144">
        <f>IF($D7144 &gt; 16, 0, $J$3*(16 - $D7144))</f>
        <v>1288.0415847443212</v>
      </c>
      <c r="F7144">
        <f>IF($D7144 &gt; 16, 0,$E7144*$J$5)</f>
        <v>13999723.984586027</v>
      </c>
      <c r="G7144">
        <f t="shared" si="111"/>
        <v>6.1999999999999993</v>
      </c>
    </row>
    <row r="7145" spans="2:7" x14ac:dyDescent="0.35">
      <c r="B7145" s="1">
        <v>45955</v>
      </c>
      <c r="C7145" s="2">
        <v>0.625</v>
      </c>
      <c r="D7145">
        <v>10.1</v>
      </c>
      <c r="E7145">
        <f>IF($D7145 &gt; 16, 0, $J$3*(16 - $D7145))</f>
        <v>1225.7169919341122</v>
      </c>
      <c r="F7145">
        <f>IF($D7145 &gt; 16, 0,$E7145*$J$5)</f>
        <v>13322317.985331865</v>
      </c>
      <c r="G7145">
        <f t="shared" si="111"/>
        <v>5.9</v>
      </c>
    </row>
    <row r="7146" spans="2:7" x14ac:dyDescent="0.35">
      <c r="B7146" s="1">
        <v>45955</v>
      </c>
      <c r="C7146" s="2">
        <v>0.66666666666666663</v>
      </c>
      <c r="D7146">
        <v>10.199999999999999</v>
      </c>
      <c r="E7146">
        <f>IF($D7146 &gt; 16, 0, $J$3*(16 - $D7146))</f>
        <v>1204.9421276640428</v>
      </c>
      <c r="F7146">
        <f>IF($D7146 &gt; 16, 0,$E7146*$J$5)</f>
        <v>13096515.985580482</v>
      </c>
      <c r="G7146">
        <f t="shared" si="111"/>
        <v>5.8000000000000007</v>
      </c>
    </row>
    <row r="7147" spans="2:7" x14ac:dyDescent="0.35">
      <c r="B7147" s="1">
        <v>45955</v>
      </c>
      <c r="C7147" s="2">
        <v>0.70833333333333337</v>
      </c>
      <c r="D7147">
        <v>10.1</v>
      </c>
      <c r="E7147">
        <f>IF($D7147 &gt; 16, 0, $J$3*(16 - $D7147))</f>
        <v>1225.7169919341122</v>
      </c>
      <c r="F7147">
        <f>IF($D7147 &gt; 16, 0,$E7147*$J$5)</f>
        <v>13322317.985331865</v>
      </c>
      <c r="G7147">
        <f t="shared" si="111"/>
        <v>5.9</v>
      </c>
    </row>
    <row r="7148" spans="2:7" x14ac:dyDescent="0.35">
      <c r="B7148" s="1">
        <v>45955</v>
      </c>
      <c r="C7148" s="2">
        <v>0.75</v>
      </c>
      <c r="D7148">
        <v>9.8000000000000007</v>
      </c>
      <c r="E7148">
        <f>IF($D7148 &gt; 16, 0, $J$3*(16 - $D7148))</f>
        <v>1288.0415847443212</v>
      </c>
      <c r="F7148">
        <f>IF($D7148 &gt; 16, 0,$E7148*$J$5)</f>
        <v>13999723.984586027</v>
      </c>
      <c r="G7148">
        <f t="shared" si="111"/>
        <v>6.1999999999999993</v>
      </c>
    </row>
    <row r="7149" spans="2:7" x14ac:dyDescent="0.35">
      <c r="B7149" s="1">
        <v>45955</v>
      </c>
      <c r="C7149" s="2">
        <v>0.79166666666666663</v>
      </c>
      <c r="D7149">
        <v>9.6</v>
      </c>
      <c r="E7149">
        <f>IF($D7149 &gt; 16, 0, $J$3*(16 - $D7149))</f>
        <v>1329.5913132844607</v>
      </c>
      <c r="F7149">
        <f>IF($D7149 &gt; 16, 0,$E7149*$J$5)</f>
        <v>14451327.984088805</v>
      </c>
      <c r="G7149">
        <f t="shared" si="111"/>
        <v>6.4</v>
      </c>
    </row>
    <row r="7150" spans="2:7" x14ac:dyDescent="0.35">
      <c r="B7150" s="1">
        <v>45955</v>
      </c>
      <c r="C7150" s="2">
        <v>0.83333333333333337</v>
      </c>
      <c r="D7150">
        <v>9</v>
      </c>
      <c r="E7150">
        <f>IF($D7150 &gt; 16, 0, $J$3*(16 - $D7150))</f>
        <v>1454.2404989048789</v>
      </c>
      <c r="F7150">
        <f>IF($D7150 &gt; 16, 0,$E7150*$J$5)</f>
        <v>15806139.982597129</v>
      </c>
      <c r="G7150">
        <f t="shared" si="111"/>
        <v>7</v>
      </c>
    </row>
    <row r="7151" spans="2:7" x14ac:dyDescent="0.35">
      <c r="B7151" s="1">
        <v>45955</v>
      </c>
      <c r="C7151" s="2">
        <v>0.875</v>
      </c>
      <c r="D7151">
        <v>8.1</v>
      </c>
      <c r="E7151">
        <f>IF($D7151 &gt; 16, 0, $J$3*(16 - $D7151))</f>
        <v>1641.2142773355063</v>
      </c>
      <c r="F7151">
        <f>IF($D7151 &gt; 16, 0,$E7151*$J$5)</f>
        <v>17838357.980359618</v>
      </c>
      <c r="G7151">
        <f t="shared" si="111"/>
        <v>7.9</v>
      </c>
    </row>
    <row r="7152" spans="2:7" x14ac:dyDescent="0.35">
      <c r="B7152" s="1">
        <v>45955</v>
      </c>
      <c r="C7152" s="2">
        <v>0.91666666666666663</v>
      </c>
      <c r="D7152">
        <v>7.8</v>
      </c>
      <c r="E7152">
        <f>IF($D7152 &gt; 16, 0, $J$3*(16 - $D7152))</f>
        <v>1703.5388701457152</v>
      </c>
      <c r="F7152">
        <f>IF($D7152 &gt; 16, 0,$E7152*$J$5)</f>
        <v>18515763.979613777</v>
      </c>
      <c r="G7152">
        <f t="shared" si="111"/>
        <v>8.1999999999999993</v>
      </c>
    </row>
    <row r="7153" spans="2:7" x14ac:dyDescent="0.35">
      <c r="B7153" s="1">
        <v>45955</v>
      </c>
      <c r="C7153" s="2">
        <v>0.95833333333333337</v>
      </c>
      <c r="D7153">
        <v>7.3</v>
      </c>
      <c r="E7153">
        <f>IF($D7153 &gt; 16, 0, $J$3*(16 - $D7153))</f>
        <v>1807.4131914960637</v>
      </c>
      <c r="F7153">
        <f>IF($D7153 &gt; 16, 0,$E7153*$J$5)</f>
        <v>19644773.978370719</v>
      </c>
      <c r="G7153">
        <f t="shared" si="111"/>
        <v>8.6999999999999993</v>
      </c>
    </row>
    <row r="7154" spans="2:7" x14ac:dyDescent="0.35">
      <c r="B7154" s="1">
        <v>45956</v>
      </c>
      <c r="C7154" s="2">
        <v>0</v>
      </c>
      <c r="D7154">
        <v>6.9</v>
      </c>
      <c r="E7154">
        <f>IF($D7154 &gt; 16, 0, $J$3*(16 - $D7154))</f>
        <v>1890.5126485763426</v>
      </c>
      <c r="F7154">
        <f>IF($D7154 &gt; 16, 0,$E7154*$J$5)</f>
        <v>20547981.977376267</v>
      </c>
      <c r="G7154">
        <f t="shared" si="111"/>
        <v>9.1</v>
      </c>
    </row>
    <row r="7155" spans="2:7" x14ac:dyDescent="0.35">
      <c r="B7155" s="1">
        <v>45956</v>
      </c>
      <c r="C7155" s="2">
        <v>4.1666666666666657E-2</v>
      </c>
      <c r="D7155">
        <v>6.4</v>
      </c>
      <c r="E7155">
        <f>IF($D7155 &gt; 16, 0, $J$3*(16 - $D7155))</f>
        <v>1994.3869699266911</v>
      </c>
      <c r="F7155">
        <f>IF($D7155 &gt; 16, 0,$E7155*$J$5)</f>
        <v>21676991.976133205</v>
      </c>
      <c r="G7155">
        <f t="shared" si="111"/>
        <v>9.6</v>
      </c>
    </row>
    <row r="7156" spans="2:7" x14ac:dyDescent="0.35">
      <c r="B7156" s="1">
        <v>45956</v>
      </c>
      <c r="C7156" s="2">
        <v>8.3333333333333329E-2</v>
      </c>
      <c r="D7156">
        <v>6.2</v>
      </c>
      <c r="E7156">
        <f>IF($D7156 &gt; 16, 0, $J$3*(16 - $D7156))</f>
        <v>2035.9366984668306</v>
      </c>
      <c r="F7156">
        <f>IF($D7156 &gt; 16, 0,$E7156*$J$5)</f>
        <v>22128595.975635983</v>
      </c>
      <c r="G7156">
        <f t="shared" si="111"/>
        <v>9.8000000000000007</v>
      </c>
    </row>
    <row r="7157" spans="2:7" x14ac:dyDescent="0.35">
      <c r="B7157" s="1">
        <v>45956</v>
      </c>
      <c r="C7157" s="2">
        <v>0.125</v>
      </c>
      <c r="D7157">
        <v>6.3</v>
      </c>
      <c r="E7157">
        <f>IF($D7157 &gt; 16, 0, $J$3*(16 - $D7157))</f>
        <v>2015.1618341967608</v>
      </c>
      <c r="F7157">
        <f>IF($D7157 &gt; 16, 0,$E7157*$J$5)</f>
        <v>21902793.975884594</v>
      </c>
      <c r="G7157">
        <f t="shared" si="111"/>
        <v>9.6999999999999993</v>
      </c>
    </row>
    <row r="7158" spans="2:7" x14ac:dyDescent="0.35">
      <c r="B7158" s="1">
        <v>45956</v>
      </c>
      <c r="C7158" s="2">
        <v>0.16666666666666671</v>
      </c>
      <c r="D7158">
        <v>5.9</v>
      </c>
      <c r="E7158">
        <f>IF($D7158 &gt; 16, 0, $J$3*(16 - $D7158))</f>
        <v>2098.2612912770396</v>
      </c>
      <c r="F7158">
        <f>IF($D7158 &gt; 16, 0,$E7158*$J$5)</f>
        <v>22806001.974890143</v>
      </c>
      <c r="G7158">
        <f t="shared" si="111"/>
        <v>10.1</v>
      </c>
    </row>
    <row r="7159" spans="2:7" x14ac:dyDescent="0.35">
      <c r="B7159" s="1">
        <v>45956</v>
      </c>
      <c r="C7159" s="2">
        <v>0.20833333333333329</v>
      </c>
      <c r="D7159">
        <v>5.7</v>
      </c>
      <c r="E7159">
        <f>IF($D7159 &gt; 16, 0, $J$3*(16 - $D7159))</f>
        <v>2139.8110198171789</v>
      </c>
      <c r="F7159">
        <f>IF($D7159 &gt; 16, 0,$E7159*$J$5)</f>
        <v>23257605.974392917</v>
      </c>
      <c r="G7159">
        <f t="shared" si="111"/>
        <v>10.3</v>
      </c>
    </row>
    <row r="7160" spans="2:7" x14ac:dyDescent="0.35">
      <c r="B7160" s="1">
        <v>45956</v>
      </c>
      <c r="C7160" s="2">
        <v>0.25</v>
      </c>
      <c r="D7160">
        <v>6.1</v>
      </c>
      <c r="E7160">
        <f>IF($D7160 &gt; 16, 0, $J$3*(16 - $D7160))</f>
        <v>2056.7115627369003</v>
      </c>
      <c r="F7160">
        <f>IF($D7160 &gt; 16, 0,$E7160*$J$5)</f>
        <v>22354397.975387368</v>
      </c>
      <c r="G7160">
        <f t="shared" si="111"/>
        <v>9.9</v>
      </c>
    </row>
    <row r="7161" spans="2:7" x14ac:dyDescent="0.35">
      <c r="B7161" s="1">
        <v>45956</v>
      </c>
      <c r="C7161" s="2">
        <v>0.29166666666666669</v>
      </c>
      <c r="D7161">
        <v>5.3</v>
      </c>
      <c r="E7161">
        <f>IF($D7161 &gt; 16, 0, $J$3*(16 - $D7161))</f>
        <v>2222.9104768974576</v>
      </c>
      <c r="F7161">
        <f>IF($D7161 &gt; 16, 0,$E7161*$J$5)</f>
        <v>24160813.973398466</v>
      </c>
      <c r="G7161">
        <f t="shared" si="111"/>
        <v>10.7</v>
      </c>
    </row>
    <row r="7162" spans="2:7" x14ac:dyDescent="0.35">
      <c r="B7162" s="1">
        <v>45956</v>
      </c>
      <c r="C7162" s="2">
        <v>0.33333333333333331</v>
      </c>
      <c r="D7162">
        <v>4.9000000000000004</v>
      </c>
      <c r="E7162">
        <f>IF($D7162 &gt; 16, 0, $J$3*(16 - $D7162))</f>
        <v>2306.0099339777366</v>
      </c>
      <c r="F7162">
        <f>IF($D7162 &gt; 16, 0,$E7162*$J$5)</f>
        <v>25064021.972404018</v>
      </c>
      <c r="G7162">
        <f t="shared" si="111"/>
        <v>11.1</v>
      </c>
    </row>
    <row r="7163" spans="2:7" x14ac:dyDescent="0.35">
      <c r="B7163" s="1">
        <v>45956</v>
      </c>
      <c r="C7163" s="2">
        <v>0.375</v>
      </c>
      <c r="D7163">
        <v>5</v>
      </c>
      <c r="E7163">
        <f>IF($D7163 &gt; 16, 0, $J$3*(16 - $D7163))</f>
        <v>2285.2350697076668</v>
      </c>
      <c r="F7163">
        <f>IF($D7163 &gt; 16, 0,$E7163*$J$5)</f>
        <v>24838219.972652629</v>
      </c>
      <c r="G7163">
        <f t="shared" si="111"/>
        <v>11</v>
      </c>
    </row>
    <row r="7164" spans="2:7" x14ac:dyDescent="0.35">
      <c r="B7164" s="1">
        <v>45956</v>
      </c>
      <c r="C7164" s="2">
        <v>0.41666666666666669</v>
      </c>
      <c r="D7164">
        <v>7</v>
      </c>
      <c r="E7164">
        <f>IF($D7164 &gt; 16, 0, $J$3*(16 - $D7164))</f>
        <v>1869.7377843062729</v>
      </c>
      <c r="F7164">
        <f>IF($D7164 &gt; 16, 0,$E7164*$J$5)</f>
        <v>20322179.977624882</v>
      </c>
      <c r="G7164">
        <f t="shared" si="111"/>
        <v>9</v>
      </c>
    </row>
    <row r="7165" spans="2:7" x14ac:dyDescent="0.35">
      <c r="B7165" s="1">
        <v>45956</v>
      </c>
      <c r="C7165" s="2">
        <v>0.45833333333333331</v>
      </c>
      <c r="D7165">
        <v>10.4</v>
      </c>
      <c r="E7165">
        <f>IF($D7165 &gt; 16, 0, $J$3*(16 - $D7165))</f>
        <v>1163.392399123903</v>
      </c>
      <c r="F7165">
        <f>IF($D7165 &gt; 16, 0,$E7165*$J$5)</f>
        <v>12644911.986077702</v>
      </c>
      <c r="G7165">
        <f t="shared" si="111"/>
        <v>5.6</v>
      </c>
    </row>
    <row r="7166" spans="2:7" x14ac:dyDescent="0.35">
      <c r="B7166" s="1">
        <v>45956</v>
      </c>
      <c r="C7166" s="2">
        <v>0.5</v>
      </c>
      <c r="D7166">
        <v>10.5</v>
      </c>
      <c r="E7166">
        <f>IF($D7166 &gt; 16, 0, $J$3*(16 - $D7166))</f>
        <v>1142.6175348538334</v>
      </c>
      <c r="F7166">
        <f>IF($D7166 &gt; 16, 0,$E7166*$J$5)</f>
        <v>12419109.986326315</v>
      </c>
      <c r="G7166">
        <f t="shared" si="111"/>
        <v>5.5</v>
      </c>
    </row>
    <row r="7167" spans="2:7" x14ac:dyDescent="0.35">
      <c r="B7167" s="1">
        <v>45956</v>
      </c>
      <c r="C7167" s="2">
        <v>0.54166666666666663</v>
      </c>
      <c r="D7167">
        <v>10</v>
      </c>
      <c r="E7167">
        <f>IF($D7167 &gt; 16, 0, $J$3*(16 - $D7167))</f>
        <v>1246.4918562041819</v>
      </c>
      <c r="F7167">
        <f>IF($D7167 &gt; 16, 0,$E7167*$J$5)</f>
        <v>13548119.985083252</v>
      </c>
      <c r="G7167">
        <f t="shared" si="111"/>
        <v>6</v>
      </c>
    </row>
    <row r="7168" spans="2:7" x14ac:dyDescent="0.35">
      <c r="B7168" s="1">
        <v>45956</v>
      </c>
      <c r="C7168" s="2">
        <v>0.58333333333333337</v>
      </c>
      <c r="D7168">
        <v>9.9</v>
      </c>
      <c r="E7168">
        <f>IF($D7168 &gt; 16, 0, $J$3*(16 - $D7168))</f>
        <v>1267.2667204742515</v>
      </c>
      <c r="F7168">
        <f>IF($D7168 &gt; 16, 0,$E7168*$J$5)</f>
        <v>13773921.984834639</v>
      </c>
      <c r="G7168">
        <f t="shared" si="111"/>
        <v>6.1</v>
      </c>
    </row>
    <row r="7169" spans="2:7" x14ac:dyDescent="0.35">
      <c r="B7169" s="1">
        <v>45956</v>
      </c>
      <c r="C7169" s="2">
        <v>0.625</v>
      </c>
      <c r="D7169">
        <v>9.9</v>
      </c>
      <c r="E7169">
        <f>IF($D7169 &gt; 16, 0, $J$3*(16 - $D7169))</f>
        <v>1267.2667204742515</v>
      </c>
      <c r="F7169">
        <f>IF($D7169 &gt; 16, 0,$E7169*$J$5)</f>
        <v>13773921.984834639</v>
      </c>
      <c r="G7169">
        <f t="shared" si="111"/>
        <v>6.1</v>
      </c>
    </row>
    <row r="7170" spans="2:7" x14ac:dyDescent="0.35">
      <c r="B7170" s="1">
        <v>45956</v>
      </c>
      <c r="C7170" s="2">
        <v>0.66666666666666663</v>
      </c>
      <c r="D7170">
        <v>8.9</v>
      </c>
      <c r="E7170">
        <f>IF($D7170 &gt; 16, 0, $J$3*(16 - $D7170))</f>
        <v>1475.0153631749486</v>
      </c>
      <c r="F7170">
        <f>IF($D7170 &gt; 16, 0,$E7170*$J$5)</f>
        <v>16031941.982348517</v>
      </c>
      <c r="G7170">
        <f t="shared" si="111"/>
        <v>7.1</v>
      </c>
    </row>
    <row r="7171" spans="2:7" x14ac:dyDescent="0.35">
      <c r="B7171" s="1">
        <v>45956</v>
      </c>
      <c r="C7171" s="2">
        <v>0.70833333333333337</v>
      </c>
      <c r="D7171">
        <v>8.8000000000000007</v>
      </c>
      <c r="E7171">
        <f>IF($D7171 &gt; 16, 0, $J$3*(16 - $D7171))</f>
        <v>1495.7902274450182</v>
      </c>
      <c r="F7171">
        <f>IF($D7171 &gt; 16, 0,$E7171*$J$5)</f>
        <v>16257743.982099904</v>
      </c>
      <c r="G7171">
        <f t="shared" ref="G7171:G7234" si="112">MAX(0, 16 - $D7171)</f>
        <v>7.1999999999999993</v>
      </c>
    </row>
    <row r="7172" spans="2:7" x14ac:dyDescent="0.35">
      <c r="B7172" s="1">
        <v>45956</v>
      </c>
      <c r="C7172" s="2">
        <v>0.75</v>
      </c>
      <c r="D7172">
        <v>8.5</v>
      </c>
      <c r="E7172">
        <f>IF($D7172 &gt; 16, 0, $J$3*(16 - $D7172))</f>
        <v>1558.1148202552274</v>
      </c>
      <c r="F7172">
        <f>IF($D7172 &gt; 16, 0,$E7172*$J$5)</f>
        <v>16935149.981354065</v>
      </c>
      <c r="G7172">
        <f t="shared" si="112"/>
        <v>7.5</v>
      </c>
    </row>
    <row r="7173" spans="2:7" x14ac:dyDescent="0.35">
      <c r="B7173" s="1">
        <v>45956</v>
      </c>
      <c r="C7173" s="2">
        <v>0.79166666666666663</v>
      </c>
      <c r="D7173">
        <v>8.3000000000000007</v>
      </c>
      <c r="E7173">
        <f>IF($D7173 &gt; 16, 0, $J$3*(16 - $D7173))</f>
        <v>1599.6645487953667</v>
      </c>
      <c r="F7173">
        <f>IF($D7173 &gt; 16, 0,$E7173*$J$5)</f>
        <v>17386753.98085684</v>
      </c>
      <c r="G7173">
        <f t="shared" si="112"/>
        <v>7.6999999999999993</v>
      </c>
    </row>
    <row r="7174" spans="2:7" x14ac:dyDescent="0.35">
      <c r="B7174" s="1">
        <v>45956</v>
      </c>
      <c r="C7174" s="2">
        <v>0.83333333333333337</v>
      </c>
      <c r="D7174">
        <v>7.9</v>
      </c>
      <c r="E7174">
        <f>IF($D7174 &gt; 16, 0, $J$3*(16 - $D7174))</f>
        <v>1682.7640058756456</v>
      </c>
      <c r="F7174">
        <f>IF($D7174 &gt; 16, 0,$E7174*$J$5)</f>
        <v>18289961.979862392</v>
      </c>
      <c r="G7174">
        <f t="shared" si="112"/>
        <v>8.1</v>
      </c>
    </row>
    <row r="7175" spans="2:7" x14ac:dyDescent="0.35">
      <c r="B7175" s="1">
        <v>45956</v>
      </c>
      <c r="C7175" s="2">
        <v>0.875</v>
      </c>
      <c r="D7175">
        <v>7.4</v>
      </c>
      <c r="E7175">
        <f>IF($D7175 &gt; 16, 0, $J$3*(16 - $D7175))</f>
        <v>1786.6383272259941</v>
      </c>
      <c r="F7175">
        <f>IF($D7175 &gt; 16, 0,$E7175*$J$5)</f>
        <v>19418971.97861933</v>
      </c>
      <c r="G7175">
        <f t="shared" si="112"/>
        <v>8.6</v>
      </c>
    </row>
    <row r="7176" spans="2:7" x14ac:dyDescent="0.35">
      <c r="B7176" s="1">
        <v>45956</v>
      </c>
      <c r="C7176" s="2">
        <v>0.91666666666666663</v>
      </c>
      <c r="D7176">
        <v>7.3</v>
      </c>
      <c r="E7176">
        <f>IF($D7176 &gt; 16, 0, $J$3*(16 - $D7176))</f>
        <v>1807.4131914960637</v>
      </c>
      <c r="F7176">
        <f>IF($D7176 &gt; 16, 0,$E7176*$J$5)</f>
        <v>19644773.978370719</v>
      </c>
      <c r="G7176">
        <f t="shared" si="112"/>
        <v>8.6999999999999993</v>
      </c>
    </row>
    <row r="7177" spans="2:7" x14ac:dyDescent="0.35">
      <c r="B7177" s="1">
        <v>45956</v>
      </c>
      <c r="C7177" s="2">
        <v>0.95833333333333337</v>
      </c>
      <c r="D7177">
        <v>7</v>
      </c>
      <c r="E7177">
        <f>IF($D7177 &gt; 16, 0, $J$3*(16 - $D7177))</f>
        <v>1869.7377843062729</v>
      </c>
      <c r="F7177">
        <f>IF($D7177 &gt; 16, 0,$E7177*$J$5)</f>
        <v>20322179.977624882</v>
      </c>
      <c r="G7177">
        <f t="shared" si="112"/>
        <v>9</v>
      </c>
    </row>
    <row r="7178" spans="2:7" x14ac:dyDescent="0.35">
      <c r="B7178" s="1">
        <v>45957</v>
      </c>
      <c r="C7178" s="2">
        <v>0</v>
      </c>
      <c r="D7178">
        <v>6.9</v>
      </c>
      <c r="E7178">
        <f>IF($D7178 &gt; 16, 0, $J$3*(16 - $D7178))</f>
        <v>1890.5126485763426</v>
      </c>
      <c r="F7178">
        <f>IF($D7178 &gt; 16, 0,$E7178*$J$5)</f>
        <v>20547981.977376267</v>
      </c>
      <c r="G7178">
        <f t="shared" si="112"/>
        <v>9.1</v>
      </c>
    </row>
    <row r="7179" spans="2:7" x14ac:dyDescent="0.35">
      <c r="B7179" s="1">
        <v>45957</v>
      </c>
      <c r="C7179" s="2">
        <v>4.1666666666666657E-2</v>
      </c>
      <c r="D7179">
        <v>6.2</v>
      </c>
      <c r="E7179">
        <f>IF($D7179 &gt; 16, 0, $J$3*(16 - $D7179))</f>
        <v>2035.9366984668306</v>
      </c>
      <c r="F7179">
        <f>IF($D7179 &gt; 16, 0,$E7179*$J$5)</f>
        <v>22128595.975635983</v>
      </c>
      <c r="G7179">
        <f t="shared" si="112"/>
        <v>9.8000000000000007</v>
      </c>
    </row>
    <row r="7180" spans="2:7" x14ac:dyDescent="0.35">
      <c r="B7180" s="1">
        <v>45957</v>
      </c>
      <c r="C7180" s="2">
        <v>8.3333333333333329E-2</v>
      </c>
      <c r="D7180">
        <v>6.1</v>
      </c>
      <c r="E7180">
        <f>IF($D7180 &gt; 16, 0, $J$3*(16 - $D7180))</f>
        <v>2056.7115627369003</v>
      </c>
      <c r="F7180">
        <f>IF($D7180 &gt; 16, 0,$E7180*$J$5)</f>
        <v>22354397.975387368</v>
      </c>
      <c r="G7180">
        <f t="shared" si="112"/>
        <v>9.9</v>
      </c>
    </row>
    <row r="7181" spans="2:7" x14ac:dyDescent="0.35">
      <c r="B7181" s="1">
        <v>45957</v>
      </c>
      <c r="C7181" s="2">
        <v>0.125</v>
      </c>
      <c r="D7181">
        <v>6.6</v>
      </c>
      <c r="E7181">
        <f>IF($D7181 &gt; 16, 0, $J$3*(16 - $D7181))</f>
        <v>1952.8372413865518</v>
      </c>
      <c r="F7181">
        <f>IF($D7181 &gt; 16, 0,$E7181*$J$5)</f>
        <v>21225387.976630431</v>
      </c>
      <c r="G7181">
        <f t="shared" si="112"/>
        <v>9.4</v>
      </c>
    </row>
    <row r="7182" spans="2:7" x14ac:dyDescent="0.35">
      <c r="B7182" s="1">
        <v>45957</v>
      </c>
      <c r="C7182" s="2">
        <v>0.16666666666666671</v>
      </c>
      <c r="D7182">
        <v>6.8</v>
      </c>
      <c r="E7182">
        <f>IF($D7182 &gt; 16, 0, $J$3*(16 - $D7182))</f>
        <v>1911.2875128464123</v>
      </c>
      <c r="F7182">
        <f>IF($D7182 &gt; 16, 0,$E7182*$J$5)</f>
        <v>20773783.977127656</v>
      </c>
      <c r="G7182">
        <f t="shared" si="112"/>
        <v>9.1999999999999993</v>
      </c>
    </row>
    <row r="7183" spans="2:7" x14ac:dyDescent="0.35">
      <c r="B7183" s="1">
        <v>45957</v>
      </c>
      <c r="C7183" s="2">
        <v>0.20833333333333329</v>
      </c>
      <c r="D7183">
        <v>7.1</v>
      </c>
      <c r="E7183">
        <f>IF($D7183 &gt; 16, 0, $J$3*(16 - $D7183))</f>
        <v>1848.9629200362033</v>
      </c>
      <c r="F7183">
        <f>IF($D7183 &gt; 16, 0,$E7183*$J$5)</f>
        <v>20096377.977873493</v>
      </c>
      <c r="G7183">
        <f t="shared" si="112"/>
        <v>8.9</v>
      </c>
    </row>
    <row r="7184" spans="2:7" x14ac:dyDescent="0.35">
      <c r="B7184" s="1">
        <v>45957</v>
      </c>
      <c r="C7184" s="2">
        <v>0.25</v>
      </c>
      <c r="D7184">
        <v>7.3</v>
      </c>
      <c r="E7184">
        <f>IF($D7184 &gt; 16, 0, $J$3*(16 - $D7184))</f>
        <v>1807.4131914960637</v>
      </c>
      <c r="F7184">
        <f>IF($D7184 &gt; 16, 0,$E7184*$J$5)</f>
        <v>19644773.978370719</v>
      </c>
      <c r="G7184">
        <f t="shared" si="112"/>
        <v>8.6999999999999993</v>
      </c>
    </row>
    <row r="7185" spans="2:7" x14ac:dyDescent="0.35">
      <c r="B7185" s="1">
        <v>45957</v>
      </c>
      <c r="C7185" s="2">
        <v>0.29166666666666669</v>
      </c>
      <c r="D7185">
        <v>7.7</v>
      </c>
      <c r="E7185">
        <f>IF($D7185 &gt; 16, 0, $J$3*(16 - $D7185))</f>
        <v>1724.3137344157851</v>
      </c>
      <c r="F7185">
        <f>IF($D7185 &gt; 16, 0,$E7185*$J$5)</f>
        <v>18741565.97936517</v>
      </c>
      <c r="G7185">
        <f t="shared" si="112"/>
        <v>8.3000000000000007</v>
      </c>
    </row>
    <row r="7186" spans="2:7" x14ac:dyDescent="0.35">
      <c r="B7186" s="1">
        <v>45957</v>
      </c>
      <c r="C7186" s="2">
        <v>0.33333333333333331</v>
      </c>
      <c r="D7186">
        <v>8.1999999999999993</v>
      </c>
      <c r="E7186">
        <f>IF($D7186 &gt; 16, 0, $J$3*(16 - $D7186))</f>
        <v>1620.4394130654366</v>
      </c>
      <c r="F7186">
        <f>IF($D7186 &gt; 16, 0,$E7186*$J$5)</f>
        <v>17612555.980608232</v>
      </c>
      <c r="G7186">
        <f t="shared" si="112"/>
        <v>7.8000000000000007</v>
      </c>
    </row>
    <row r="7187" spans="2:7" x14ac:dyDescent="0.35">
      <c r="B7187" s="1">
        <v>45957</v>
      </c>
      <c r="C7187" s="2">
        <v>0.375</v>
      </c>
      <c r="D7187">
        <v>8.5</v>
      </c>
      <c r="E7187">
        <f>IF($D7187 &gt; 16, 0, $J$3*(16 - $D7187))</f>
        <v>1558.1148202552274</v>
      </c>
      <c r="F7187">
        <f>IF($D7187 &gt; 16, 0,$E7187*$J$5)</f>
        <v>16935149.981354065</v>
      </c>
      <c r="G7187">
        <f t="shared" si="112"/>
        <v>7.5</v>
      </c>
    </row>
    <row r="7188" spans="2:7" x14ac:dyDescent="0.35">
      <c r="B7188" s="1">
        <v>45957</v>
      </c>
      <c r="C7188" s="2">
        <v>0.41666666666666669</v>
      </c>
      <c r="D7188">
        <v>8.9</v>
      </c>
      <c r="E7188">
        <f>IF($D7188 &gt; 16, 0, $J$3*(16 - $D7188))</f>
        <v>1475.0153631749486</v>
      </c>
      <c r="F7188">
        <f>IF($D7188 &gt; 16, 0,$E7188*$J$5)</f>
        <v>16031941.982348517</v>
      </c>
      <c r="G7188">
        <f t="shared" si="112"/>
        <v>7.1</v>
      </c>
    </row>
    <row r="7189" spans="2:7" x14ac:dyDescent="0.35">
      <c r="B7189" s="1">
        <v>45957</v>
      </c>
      <c r="C7189" s="2">
        <v>0.45833333333333331</v>
      </c>
      <c r="D7189">
        <v>8.8000000000000007</v>
      </c>
      <c r="E7189">
        <f>IF($D7189 &gt; 16, 0, $J$3*(16 - $D7189))</f>
        <v>1495.7902274450182</v>
      </c>
      <c r="F7189">
        <f>IF($D7189 &gt; 16, 0,$E7189*$J$5)</f>
        <v>16257743.982099904</v>
      </c>
      <c r="G7189">
        <f t="shared" si="112"/>
        <v>7.1999999999999993</v>
      </c>
    </row>
    <row r="7190" spans="2:7" x14ac:dyDescent="0.35">
      <c r="B7190" s="1">
        <v>45957</v>
      </c>
      <c r="C7190" s="2">
        <v>0.5</v>
      </c>
      <c r="D7190">
        <v>10.199999999999999</v>
      </c>
      <c r="E7190">
        <f>IF($D7190 &gt; 16, 0, $J$3*(16 - $D7190))</f>
        <v>1204.9421276640428</v>
      </c>
      <c r="F7190">
        <f>IF($D7190 &gt; 16, 0,$E7190*$J$5)</f>
        <v>13096515.985580482</v>
      </c>
      <c r="G7190">
        <f t="shared" si="112"/>
        <v>5.8000000000000007</v>
      </c>
    </row>
    <row r="7191" spans="2:7" x14ac:dyDescent="0.35">
      <c r="B7191" s="1">
        <v>45957</v>
      </c>
      <c r="C7191" s="2">
        <v>0.54166666666666663</v>
      </c>
      <c r="D7191">
        <v>9.6</v>
      </c>
      <c r="E7191">
        <f>IF($D7191 &gt; 16, 0, $J$3*(16 - $D7191))</f>
        <v>1329.5913132844607</v>
      </c>
      <c r="F7191">
        <f>IF($D7191 &gt; 16, 0,$E7191*$J$5)</f>
        <v>14451327.984088805</v>
      </c>
      <c r="G7191">
        <f t="shared" si="112"/>
        <v>6.4</v>
      </c>
    </row>
    <row r="7192" spans="2:7" x14ac:dyDescent="0.35">
      <c r="B7192" s="1">
        <v>45957</v>
      </c>
      <c r="C7192" s="2">
        <v>0.58333333333333337</v>
      </c>
      <c r="D7192">
        <v>10.1</v>
      </c>
      <c r="E7192">
        <f>IF($D7192 &gt; 16, 0, $J$3*(16 - $D7192))</f>
        <v>1225.7169919341122</v>
      </c>
      <c r="F7192">
        <f>IF($D7192 &gt; 16, 0,$E7192*$J$5)</f>
        <v>13322317.985331865</v>
      </c>
      <c r="G7192">
        <f t="shared" si="112"/>
        <v>5.9</v>
      </c>
    </row>
    <row r="7193" spans="2:7" x14ac:dyDescent="0.35">
      <c r="B7193" s="1">
        <v>45957</v>
      </c>
      <c r="C7193" s="2">
        <v>0.625</v>
      </c>
      <c r="D7193">
        <v>9</v>
      </c>
      <c r="E7193">
        <f>IF($D7193 &gt; 16, 0, $J$3*(16 - $D7193))</f>
        <v>1454.2404989048789</v>
      </c>
      <c r="F7193">
        <f>IF($D7193 &gt; 16, 0,$E7193*$J$5)</f>
        <v>15806139.982597129</v>
      </c>
      <c r="G7193">
        <f t="shared" si="112"/>
        <v>7</v>
      </c>
    </row>
    <row r="7194" spans="2:7" x14ac:dyDescent="0.35">
      <c r="B7194" s="1">
        <v>45957</v>
      </c>
      <c r="C7194" s="2">
        <v>0.66666666666666663</v>
      </c>
      <c r="D7194">
        <v>8.1</v>
      </c>
      <c r="E7194">
        <f>IF($D7194 &gt; 16, 0, $J$3*(16 - $D7194))</f>
        <v>1641.2142773355063</v>
      </c>
      <c r="F7194">
        <f>IF($D7194 &gt; 16, 0,$E7194*$J$5)</f>
        <v>17838357.980359618</v>
      </c>
      <c r="G7194">
        <f t="shared" si="112"/>
        <v>7.9</v>
      </c>
    </row>
    <row r="7195" spans="2:7" x14ac:dyDescent="0.35">
      <c r="B7195" s="1">
        <v>45957</v>
      </c>
      <c r="C7195" s="2">
        <v>0.70833333333333337</v>
      </c>
      <c r="D7195">
        <v>8</v>
      </c>
      <c r="E7195">
        <f>IF($D7195 &gt; 16, 0, $J$3*(16 - $D7195))</f>
        <v>1661.9891416055759</v>
      </c>
      <c r="F7195">
        <f>IF($D7195 &gt; 16, 0,$E7195*$J$5)</f>
        <v>18064159.980111003</v>
      </c>
      <c r="G7195">
        <f t="shared" si="112"/>
        <v>8</v>
      </c>
    </row>
    <row r="7196" spans="2:7" x14ac:dyDescent="0.35">
      <c r="B7196" s="1">
        <v>45957</v>
      </c>
      <c r="C7196" s="2">
        <v>0.75</v>
      </c>
      <c r="D7196">
        <v>7.9</v>
      </c>
      <c r="E7196">
        <f>IF($D7196 &gt; 16, 0, $J$3*(16 - $D7196))</f>
        <v>1682.7640058756456</v>
      </c>
      <c r="F7196">
        <f>IF($D7196 &gt; 16, 0,$E7196*$J$5)</f>
        <v>18289961.979862392</v>
      </c>
      <c r="G7196">
        <f t="shared" si="112"/>
        <v>8.1</v>
      </c>
    </row>
    <row r="7197" spans="2:7" x14ac:dyDescent="0.35">
      <c r="B7197" s="1">
        <v>45957</v>
      </c>
      <c r="C7197" s="2">
        <v>0.79166666666666663</v>
      </c>
      <c r="D7197">
        <v>7.8</v>
      </c>
      <c r="E7197">
        <f>IF($D7197 &gt; 16, 0, $J$3*(16 - $D7197))</f>
        <v>1703.5388701457152</v>
      </c>
      <c r="F7197">
        <f>IF($D7197 &gt; 16, 0,$E7197*$J$5)</f>
        <v>18515763.979613777</v>
      </c>
      <c r="G7197">
        <f t="shared" si="112"/>
        <v>8.1999999999999993</v>
      </c>
    </row>
    <row r="7198" spans="2:7" x14ac:dyDescent="0.35">
      <c r="B7198" s="1">
        <v>45957</v>
      </c>
      <c r="C7198" s="2">
        <v>0.83333333333333337</v>
      </c>
      <c r="D7198">
        <v>7.9</v>
      </c>
      <c r="E7198">
        <f>IF($D7198 &gt; 16, 0, $J$3*(16 - $D7198))</f>
        <v>1682.7640058756456</v>
      </c>
      <c r="F7198">
        <f>IF($D7198 &gt; 16, 0,$E7198*$J$5)</f>
        <v>18289961.979862392</v>
      </c>
      <c r="G7198">
        <f t="shared" si="112"/>
        <v>8.1</v>
      </c>
    </row>
    <row r="7199" spans="2:7" x14ac:dyDescent="0.35">
      <c r="B7199" s="1">
        <v>45957</v>
      </c>
      <c r="C7199" s="2">
        <v>0.875</v>
      </c>
      <c r="D7199">
        <v>8.1</v>
      </c>
      <c r="E7199">
        <f>IF($D7199 &gt; 16, 0, $J$3*(16 - $D7199))</f>
        <v>1641.2142773355063</v>
      </c>
      <c r="F7199">
        <f>IF($D7199 &gt; 16, 0,$E7199*$J$5)</f>
        <v>17838357.980359618</v>
      </c>
      <c r="G7199">
        <f t="shared" si="112"/>
        <v>7.9</v>
      </c>
    </row>
    <row r="7200" spans="2:7" x14ac:dyDescent="0.35">
      <c r="B7200" s="1">
        <v>45957</v>
      </c>
      <c r="C7200" s="2">
        <v>0.91666666666666663</v>
      </c>
      <c r="D7200">
        <v>7.8</v>
      </c>
      <c r="E7200">
        <f>IF($D7200 &gt; 16, 0, $J$3*(16 - $D7200))</f>
        <v>1703.5388701457152</v>
      </c>
      <c r="F7200">
        <f>IF($D7200 &gt; 16, 0,$E7200*$J$5)</f>
        <v>18515763.979613777</v>
      </c>
      <c r="G7200">
        <f t="shared" si="112"/>
        <v>8.1999999999999993</v>
      </c>
    </row>
    <row r="7201" spans="2:7" x14ac:dyDescent="0.35">
      <c r="B7201" s="1">
        <v>45957</v>
      </c>
      <c r="C7201" s="2">
        <v>0.95833333333333337</v>
      </c>
      <c r="D7201">
        <v>7.8</v>
      </c>
      <c r="E7201">
        <f>IF($D7201 &gt; 16, 0, $J$3*(16 - $D7201))</f>
        <v>1703.5388701457152</v>
      </c>
      <c r="F7201">
        <f>IF($D7201 &gt; 16, 0,$E7201*$J$5)</f>
        <v>18515763.979613777</v>
      </c>
      <c r="G7201">
        <f t="shared" si="112"/>
        <v>8.1999999999999993</v>
      </c>
    </row>
    <row r="7202" spans="2:7" x14ac:dyDescent="0.35">
      <c r="B7202" s="1">
        <v>45958</v>
      </c>
      <c r="C7202" s="2">
        <v>0</v>
      </c>
      <c r="D7202">
        <v>7.7</v>
      </c>
      <c r="E7202">
        <f>IF($D7202 &gt; 16, 0, $J$3*(16 - $D7202))</f>
        <v>1724.3137344157851</v>
      </c>
      <c r="F7202">
        <f>IF($D7202 &gt; 16, 0,$E7202*$J$5)</f>
        <v>18741565.97936517</v>
      </c>
      <c r="G7202">
        <f t="shared" si="112"/>
        <v>8.3000000000000007</v>
      </c>
    </row>
    <row r="7203" spans="2:7" x14ac:dyDescent="0.35">
      <c r="B7203" s="1">
        <v>45958</v>
      </c>
      <c r="C7203" s="2">
        <v>4.1666666666666657E-2</v>
      </c>
      <c r="D7203">
        <v>7.3</v>
      </c>
      <c r="E7203">
        <f>IF($D7203 &gt; 16, 0, $J$3*(16 - $D7203))</f>
        <v>1807.4131914960637</v>
      </c>
      <c r="F7203">
        <f>IF($D7203 &gt; 16, 0,$E7203*$J$5)</f>
        <v>19644773.978370719</v>
      </c>
      <c r="G7203">
        <f t="shared" si="112"/>
        <v>8.6999999999999993</v>
      </c>
    </row>
    <row r="7204" spans="2:7" x14ac:dyDescent="0.35">
      <c r="B7204" s="1">
        <v>45958</v>
      </c>
      <c r="C7204" s="2">
        <v>8.3333333333333329E-2</v>
      </c>
      <c r="D7204">
        <v>7.2</v>
      </c>
      <c r="E7204">
        <f>IF($D7204 &gt; 16, 0, $J$3*(16 - $D7204))</f>
        <v>1828.1880557661336</v>
      </c>
      <c r="F7204">
        <f>IF($D7204 &gt; 16, 0,$E7204*$J$5)</f>
        <v>19870575.978122108</v>
      </c>
      <c r="G7204">
        <f t="shared" si="112"/>
        <v>8.8000000000000007</v>
      </c>
    </row>
    <row r="7205" spans="2:7" x14ac:dyDescent="0.35">
      <c r="B7205" s="1">
        <v>45958</v>
      </c>
      <c r="C7205" s="2">
        <v>0.125</v>
      </c>
      <c r="D7205">
        <v>7.2</v>
      </c>
      <c r="E7205">
        <f>IF($D7205 &gt; 16, 0, $J$3*(16 - $D7205))</f>
        <v>1828.1880557661336</v>
      </c>
      <c r="F7205">
        <f>IF($D7205 &gt; 16, 0,$E7205*$J$5)</f>
        <v>19870575.978122108</v>
      </c>
      <c r="G7205">
        <f t="shared" si="112"/>
        <v>8.8000000000000007</v>
      </c>
    </row>
    <row r="7206" spans="2:7" x14ac:dyDescent="0.35">
      <c r="B7206" s="1">
        <v>45958</v>
      </c>
      <c r="C7206" s="2">
        <v>0.16666666666666671</v>
      </c>
      <c r="D7206">
        <v>6.6</v>
      </c>
      <c r="E7206">
        <f>IF($D7206 &gt; 16, 0, $J$3*(16 - $D7206))</f>
        <v>1952.8372413865518</v>
      </c>
      <c r="F7206">
        <f>IF($D7206 &gt; 16, 0,$E7206*$J$5)</f>
        <v>21225387.976630431</v>
      </c>
      <c r="G7206">
        <f t="shared" si="112"/>
        <v>9.4</v>
      </c>
    </row>
    <row r="7207" spans="2:7" x14ac:dyDescent="0.35">
      <c r="B7207" s="1">
        <v>45958</v>
      </c>
      <c r="C7207" s="2">
        <v>0.20833333333333329</v>
      </c>
      <c r="D7207">
        <v>6.5</v>
      </c>
      <c r="E7207">
        <f>IF($D7207 &gt; 16, 0, $J$3*(16 - $D7207))</f>
        <v>1973.6121056566215</v>
      </c>
      <c r="F7207">
        <f>IF($D7207 &gt; 16, 0,$E7207*$J$5)</f>
        <v>21451189.97638182</v>
      </c>
      <c r="G7207">
        <f t="shared" si="112"/>
        <v>9.5</v>
      </c>
    </row>
    <row r="7208" spans="2:7" x14ac:dyDescent="0.35">
      <c r="B7208" s="1">
        <v>45958</v>
      </c>
      <c r="C7208" s="2">
        <v>0.25</v>
      </c>
      <c r="D7208">
        <v>6.4</v>
      </c>
      <c r="E7208">
        <f>IF($D7208 &gt; 16, 0, $J$3*(16 - $D7208))</f>
        <v>1994.3869699266911</v>
      </c>
      <c r="F7208">
        <f>IF($D7208 &gt; 16, 0,$E7208*$J$5)</f>
        <v>21676991.976133205</v>
      </c>
      <c r="G7208">
        <f t="shared" si="112"/>
        <v>9.6</v>
      </c>
    </row>
    <row r="7209" spans="2:7" x14ac:dyDescent="0.35">
      <c r="B7209" s="1">
        <v>45958</v>
      </c>
      <c r="C7209" s="2">
        <v>0.29166666666666669</v>
      </c>
      <c r="D7209">
        <v>6.6</v>
      </c>
      <c r="E7209">
        <f>IF($D7209 &gt; 16, 0, $J$3*(16 - $D7209))</f>
        <v>1952.8372413865518</v>
      </c>
      <c r="F7209">
        <f>IF($D7209 &gt; 16, 0,$E7209*$J$5)</f>
        <v>21225387.976630431</v>
      </c>
      <c r="G7209">
        <f t="shared" si="112"/>
        <v>9.4</v>
      </c>
    </row>
    <row r="7210" spans="2:7" x14ac:dyDescent="0.35">
      <c r="B7210" s="1">
        <v>45958</v>
      </c>
      <c r="C7210" s="2">
        <v>0.33333333333333331</v>
      </c>
      <c r="D7210">
        <v>6.5</v>
      </c>
      <c r="E7210">
        <f>IF($D7210 &gt; 16, 0, $J$3*(16 - $D7210))</f>
        <v>1973.6121056566215</v>
      </c>
      <c r="F7210">
        <f>IF($D7210 &gt; 16, 0,$E7210*$J$5)</f>
        <v>21451189.97638182</v>
      </c>
      <c r="G7210">
        <f t="shared" si="112"/>
        <v>9.5</v>
      </c>
    </row>
    <row r="7211" spans="2:7" x14ac:dyDescent="0.35">
      <c r="B7211" s="1">
        <v>45958</v>
      </c>
      <c r="C7211" s="2">
        <v>0.375</v>
      </c>
      <c r="D7211">
        <v>6.9</v>
      </c>
      <c r="E7211">
        <f>IF($D7211 &gt; 16, 0, $J$3*(16 - $D7211))</f>
        <v>1890.5126485763426</v>
      </c>
      <c r="F7211">
        <f>IF($D7211 &gt; 16, 0,$E7211*$J$5)</f>
        <v>20547981.977376267</v>
      </c>
      <c r="G7211">
        <f t="shared" si="112"/>
        <v>9.1</v>
      </c>
    </row>
    <row r="7212" spans="2:7" x14ac:dyDescent="0.35">
      <c r="B7212" s="1">
        <v>45958</v>
      </c>
      <c r="C7212" s="2">
        <v>0.41666666666666669</v>
      </c>
      <c r="D7212">
        <v>7.2</v>
      </c>
      <c r="E7212">
        <f>IF($D7212 &gt; 16, 0, $J$3*(16 - $D7212))</f>
        <v>1828.1880557661336</v>
      </c>
      <c r="F7212">
        <f>IF($D7212 &gt; 16, 0,$E7212*$J$5)</f>
        <v>19870575.978122108</v>
      </c>
      <c r="G7212">
        <f t="shared" si="112"/>
        <v>8.8000000000000007</v>
      </c>
    </row>
    <row r="7213" spans="2:7" x14ac:dyDescent="0.35">
      <c r="B7213" s="1">
        <v>45958</v>
      </c>
      <c r="C7213" s="2">
        <v>0.45833333333333331</v>
      </c>
      <c r="D7213">
        <v>9.1</v>
      </c>
      <c r="E7213">
        <f>IF($D7213 &gt; 16, 0, $J$3*(16 - $D7213))</f>
        <v>1433.4656346348092</v>
      </c>
      <c r="F7213">
        <f>IF($D7213 &gt; 16, 0,$E7213*$J$5)</f>
        <v>15580337.982845742</v>
      </c>
      <c r="G7213">
        <f t="shared" si="112"/>
        <v>6.9</v>
      </c>
    </row>
    <row r="7214" spans="2:7" x14ac:dyDescent="0.35">
      <c r="B7214" s="1">
        <v>45958</v>
      </c>
      <c r="C7214" s="2">
        <v>0.5</v>
      </c>
      <c r="D7214">
        <v>11.4</v>
      </c>
      <c r="E7214">
        <f>IF($D7214 &gt; 16, 0, $J$3*(16 - $D7214))</f>
        <v>955.64375642320613</v>
      </c>
      <c r="F7214">
        <f>IF($D7214 &gt; 16, 0,$E7214*$J$5)</f>
        <v>10386891.988563828</v>
      </c>
      <c r="G7214">
        <f t="shared" si="112"/>
        <v>4.5999999999999996</v>
      </c>
    </row>
    <row r="7215" spans="2:7" x14ac:dyDescent="0.35">
      <c r="B7215" s="1">
        <v>45958</v>
      </c>
      <c r="C7215" s="2">
        <v>0.54166666666666663</v>
      </c>
      <c r="D7215">
        <v>10.6</v>
      </c>
      <c r="E7215">
        <f>IF($D7215 &gt; 16, 0, $J$3*(16 - $D7215))</f>
        <v>1121.8426705837637</v>
      </c>
      <c r="F7215">
        <f>IF($D7215 &gt; 16, 0,$E7215*$J$5)</f>
        <v>12193307.986574927</v>
      </c>
      <c r="G7215">
        <f t="shared" si="112"/>
        <v>5.4</v>
      </c>
    </row>
    <row r="7216" spans="2:7" x14ac:dyDescent="0.35">
      <c r="B7216" s="1">
        <v>45958</v>
      </c>
      <c r="C7216" s="2">
        <v>0.58333333333333337</v>
      </c>
      <c r="D7216">
        <v>10</v>
      </c>
      <c r="E7216">
        <f>IF($D7216 &gt; 16, 0, $J$3*(16 - $D7216))</f>
        <v>1246.4918562041819</v>
      </c>
      <c r="F7216">
        <f>IF($D7216 &gt; 16, 0,$E7216*$J$5)</f>
        <v>13548119.985083252</v>
      </c>
      <c r="G7216">
        <f t="shared" si="112"/>
        <v>6</v>
      </c>
    </row>
    <row r="7217" spans="2:7" x14ac:dyDescent="0.35">
      <c r="B7217" s="1">
        <v>45958</v>
      </c>
      <c r="C7217" s="2">
        <v>0.625</v>
      </c>
      <c r="D7217">
        <v>9.8000000000000007</v>
      </c>
      <c r="E7217">
        <f>IF($D7217 &gt; 16, 0, $J$3*(16 - $D7217))</f>
        <v>1288.0415847443212</v>
      </c>
      <c r="F7217">
        <f>IF($D7217 &gt; 16, 0,$E7217*$J$5)</f>
        <v>13999723.984586027</v>
      </c>
      <c r="G7217">
        <f t="shared" si="112"/>
        <v>6.1999999999999993</v>
      </c>
    </row>
    <row r="7218" spans="2:7" x14ac:dyDescent="0.35">
      <c r="B7218" s="1">
        <v>45958</v>
      </c>
      <c r="C7218" s="2">
        <v>0.66666666666666663</v>
      </c>
      <c r="D7218">
        <v>10.7</v>
      </c>
      <c r="E7218">
        <f>IF($D7218 &gt; 16, 0, $J$3*(16 - $D7218))</f>
        <v>1101.0678063136943</v>
      </c>
      <c r="F7218">
        <f>IF($D7218 &gt; 16, 0,$E7218*$J$5)</f>
        <v>11967505.986823544</v>
      </c>
      <c r="G7218">
        <f t="shared" si="112"/>
        <v>5.3000000000000007</v>
      </c>
    </row>
    <row r="7219" spans="2:7" x14ac:dyDescent="0.35">
      <c r="B7219" s="1">
        <v>45958</v>
      </c>
      <c r="C7219" s="2">
        <v>0.70833333333333337</v>
      </c>
      <c r="D7219">
        <v>10.3</v>
      </c>
      <c r="E7219">
        <f>IF($D7219 &gt; 16, 0, $J$3*(16 - $D7219))</f>
        <v>1184.1672633939727</v>
      </c>
      <c r="F7219">
        <f>IF($D7219 &gt; 16, 0,$E7219*$J$5)</f>
        <v>12870713.985829089</v>
      </c>
      <c r="G7219">
        <f t="shared" si="112"/>
        <v>5.6999999999999993</v>
      </c>
    </row>
    <row r="7220" spans="2:7" x14ac:dyDescent="0.35">
      <c r="B7220" s="1">
        <v>45958</v>
      </c>
      <c r="C7220" s="2">
        <v>0.75</v>
      </c>
      <c r="D7220">
        <v>9.8000000000000007</v>
      </c>
      <c r="E7220">
        <f>IF($D7220 &gt; 16, 0, $J$3*(16 - $D7220))</f>
        <v>1288.0415847443212</v>
      </c>
      <c r="F7220">
        <f>IF($D7220 &gt; 16, 0,$E7220*$J$5)</f>
        <v>13999723.984586027</v>
      </c>
      <c r="G7220">
        <f t="shared" si="112"/>
        <v>6.1999999999999993</v>
      </c>
    </row>
    <row r="7221" spans="2:7" x14ac:dyDescent="0.35">
      <c r="B7221" s="1">
        <v>45958</v>
      </c>
      <c r="C7221" s="2">
        <v>0.79166666666666663</v>
      </c>
      <c r="D7221">
        <v>9.9</v>
      </c>
      <c r="E7221">
        <f>IF($D7221 &gt; 16, 0, $J$3*(16 - $D7221))</f>
        <v>1267.2667204742515</v>
      </c>
      <c r="F7221">
        <f>IF($D7221 &gt; 16, 0,$E7221*$J$5)</f>
        <v>13773921.984834639</v>
      </c>
      <c r="G7221">
        <f t="shared" si="112"/>
        <v>6.1</v>
      </c>
    </row>
    <row r="7222" spans="2:7" x14ac:dyDescent="0.35">
      <c r="B7222" s="1">
        <v>45958</v>
      </c>
      <c r="C7222" s="2">
        <v>0.83333333333333337</v>
      </c>
      <c r="D7222">
        <v>10.1</v>
      </c>
      <c r="E7222">
        <f>IF($D7222 &gt; 16, 0, $J$3*(16 - $D7222))</f>
        <v>1225.7169919341122</v>
      </c>
      <c r="F7222">
        <f>IF($D7222 &gt; 16, 0,$E7222*$J$5)</f>
        <v>13322317.985331865</v>
      </c>
      <c r="G7222">
        <f t="shared" si="112"/>
        <v>5.9</v>
      </c>
    </row>
    <row r="7223" spans="2:7" x14ac:dyDescent="0.35">
      <c r="B7223" s="1">
        <v>45958</v>
      </c>
      <c r="C7223" s="2">
        <v>0.875</v>
      </c>
      <c r="D7223">
        <v>9.9</v>
      </c>
      <c r="E7223">
        <f>IF($D7223 &gt; 16, 0, $J$3*(16 - $D7223))</f>
        <v>1267.2667204742515</v>
      </c>
      <c r="F7223">
        <f>IF($D7223 &gt; 16, 0,$E7223*$J$5)</f>
        <v>13773921.984834639</v>
      </c>
      <c r="G7223">
        <f t="shared" si="112"/>
        <v>6.1</v>
      </c>
    </row>
    <row r="7224" spans="2:7" x14ac:dyDescent="0.35">
      <c r="B7224" s="1">
        <v>45958</v>
      </c>
      <c r="C7224" s="2">
        <v>0.91666666666666663</v>
      </c>
      <c r="D7224">
        <v>9.6999999999999993</v>
      </c>
      <c r="E7224">
        <f>IF($D7224 &gt; 16, 0, $J$3*(16 - $D7224))</f>
        <v>1308.8164490143911</v>
      </c>
      <c r="F7224">
        <f>IF($D7224 &gt; 16, 0,$E7224*$J$5)</f>
        <v>14225525.984337417</v>
      </c>
      <c r="G7224">
        <f t="shared" si="112"/>
        <v>6.3000000000000007</v>
      </c>
    </row>
    <row r="7225" spans="2:7" x14ac:dyDescent="0.35">
      <c r="B7225" s="1">
        <v>45958</v>
      </c>
      <c r="C7225" s="2">
        <v>0.95833333333333337</v>
      </c>
      <c r="D7225">
        <v>9.5</v>
      </c>
      <c r="E7225">
        <f>IF($D7225 &gt; 16, 0, $J$3*(16 - $D7225))</f>
        <v>1350.3661775545304</v>
      </c>
      <c r="F7225">
        <f>IF($D7225 &gt; 16, 0,$E7225*$J$5)</f>
        <v>14677129.983840192</v>
      </c>
      <c r="G7225">
        <f t="shared" si="112"/>
        <v>6.5</v>
      </c>
    </row>
    <row r="7226" spans="2:7" x14ac:dyDescent="0.35">
      <c r="B7226" s="1">
        <v>45959</v>
      </c>
      <c r="C7226" s="2">
        <v>0</v>
      </c>
      <c r="D7226">
        <v>9.6</v>
      </c>
      <c r="E7226">
        <f>IF($D7226 &gt; 16, 0, $J$3*(16 - $D7226))</f>
        <v>1329.5913132844607</v>
      </c>
      <c r="F7226">
        <f>IF($D7226 &gt; 16, 0,$E7226*$J$5)</f>
        <v>14451327.984088805</v>
      </c>
      <c r="G7226">
        <f t="shared" si="112"/>
        <v>6.4</v>
      </c>
    </row>
    <row r="7227" spans="2:7" x14ac:dyDescent="0.35">
      <c r="B7227" s="1">
        <v>45959</v>
      </c>
      <c r="C7227" s="2">
        <v>4.1666666666666657E-2</v>
      </c>
      <c r="D7227">
        <v>9.5</v>
      </c>
      <c r="E7227">
        <f>IF($D7227 &gt; 16, 0, $J$3*(16 - $D7227))</f>
        <v>1350.3661775545304</v>
      </c>
      <c r="F7227">
        <f>IF($D7227 &gt; 16, 0,$E7227*$J$5)</f>
        <v>14677129.983840192</v>
      </c>
      <c r="G7227">
        <f t="shared" si="112"/>
        <v>6.5</v>
      </c>
    </row>
    <row r="7228" spans="2:7" x14ac:dyDescent="0.35">
      <c r="B7228" s="1">
        <v>45959</v>
      </c>
      <c r="C7228" s="2">
        <v>8.3333333333333329E-2</v>
      </c>
      <c r="D7228">
        <v>9.1</v>
      </c>
      <c r="E7228">
        <f>IF($D7228 &gt; 16, 0, $J$3*(16 - $D7228))</f>
        <v>1433.4656346348092</v>
      </c>
      <c r="F7228">
        <f>IF($D7228 &gt; 16, 0,$E7228*$J$5)</f>
        <v>15580337.982845742</v>
      </c>
      <c r="G7228">
        <f t="shared" si="112"/>
        <v>6.9</v>
      </c>
    </row>
    <row r="7229" spans="2:7" x14ac:dyDescent="0.35">
      <c r="B7229" s="1">
        <v>45959</v>
      </c>
      <c r="C7229" s="2">
        <v>0.125</v>
      </c>
      <c r="D7229">
        <v>8.8000000000000007</v>
      </c>
      <c r="E7229">
        <f>IF($D7229 &gt; 16, 0, $J$3*(16 - $D7229))</f>
        <v>1495.7902274450182</v>
      </c>
      <c r="F7229">
        <f>IF($D7229 &gt; 16, 0,$E7229*$J$5)</f>
        <v>16257743.982099904</v>
      </c>
      <c r="G7229">
        <f t="shared" si="112"/>
        <v>7.1999999999999993</v>
      </c>
    </row>
    <row r="7230" spans="2:7" x14ac:dyDescent="0.35">
      <c r="B7230" s="1">
        <v>45959</v>
      </c>
      <c r="C7230" s="2">
        <v>0.16666666666666671</v>
      </c>
      <c r="D7230">
        <v>7.3</v>
      </c>
      <c r="E7230">
        <f>IF($D7230 &gt; 16, 0, $J$3*(16 - $D7230))</f>
        <v>1807.4131914960637</v>
      </c>
      <c r="F7230">
        <f>IF($D7230 &gt; 16, 0,$E7230*$J$5)</f>
        <v>19644773.978370719</v>
      </c>
      <c r="G7230">
        <f t="shared" si="112"/>
        <v>8.6999999999999993</v>
      </c>
    </row>
    <row r="7231" spans="2:7" x14ac:dyDescent="0.35">
      <c r="B7231" s="1">
        <v>45959</v>
      </c>
      <c r="C7231" s="2">
        <v>0.20833333333333329</v>
      </c>
      <c r="D7231">
        <v>7.2</v>
      </c>
      <c r="E7231">
        <f>IF($D7231 &gt; 16, 0, $J$3*(16 - $D7231))</f>
        <v>1828.1880557661336</v>
      </c>
      <c r="F7231">
        <f>IF($D7231 &gt; 16, 0,$E7231*$J$5)</f>
        <v>19870575.978122108</v>
      </c>
      <c r="G7231">
        <f t="shared" si="112"/>
        <v>8.8000000000000007</v>
      </c>
    </row>
    <row r="7232" spans="2:7" x14ac:dyDescent="0.35">
      <c r="B7232" s="1">
        <v>45959</v>
      </c>
      <c r="C7232" s="2">
        <v>0.25</v>
      </c>
      <c r="D7232">
        <v>7.1</v>
      </c>
      <c r="E7232">
        <f>IF($D7232 &gt; 16, 0, $J$3*(16 - $D7232))</f>
        <v>1848.9629200362033</v>
      </c>
      <c r="F7232">
        <f>IF($D7232 &gt; 16, 0,$E7232*$J$5)</f>
        <v>20096377.977873493</v>
      </c>
      <c r="G7232">
        <f t="shared" si="112"/>
        <v>8.9</v>
      </c>
    </row>
    <row r="7233" spans="2:7" x14ac:dyDescent="0.35">
      <c r="B7233" s="1">
        <v>45959</v>
      </c>
      <c r="C7233" s="2">
        <v>0.29166666666666669</v>
      </c>
      <c r="D7233">
        <v>8.4</v>
      </c>
      <c r="E7233">
        <f>IF($D7233 &gt; 16, 0, $J$3*(16 - $D7233))</f>
        <v>1578.8896845252971</v>
      </c>
      <c r="F7233">
        <f>IF($D7233 &gt; 16, 0,$E7233*$J$5)</f>
        <v>17160951.981105454</v>
      </c>
      <c r="G7233">
        <f t="shared" si="112"/>
        <v>7.6</v>
      </c>
    </row>
    <row r="7234" spans="2:7" x14ac:dyDescent="0.35">
      <c r="B7234" s="1">
        <v>45959</v>
      </c>
      <c r="C7234" s="2">
        <v>0.33333333333333331</v>
      </c>
      <c r="D7234">
        <v>9.1</v>
      </c>
      <c r="E7234">
        <f>IF($D7234 &gt; 16, 0, $J$3*(16 - $D7234))</f>
        <v>1433.4656346348092</v>
      </c>
      <c r="F7234">
        <f>IF($D7234 &gt; 16, 0,$E7234*$J$5)</f>
        <v>15580337.982845742</v>
      </c>
      <c r="G7234">
        <f t="shared" si="112"/>
        <v>6.9</v>
      </c>
    </row>
    <row r="7235" spans="2:7" x14ac:dyDescent="0.35">
      <c r="B7235" s="1">
        <v>45959</v>
      </c>
      <c r="C7235" s="2">
        <v>0.375</v>
      </c>
      <c r="D7235">
        <v>9.6</v>
      </c>
      <c r="E7235">
        <f>IF($D7235 &gt; 16, 0, $J$3*(16 - $D7235))</f>
        <v>1329.5913132844607</v>
      </c>
      <c r="F7235">
        <f>IF($D7235 &gt; 16, 0,$E7235*$J$5)</f>
        <v>14451327.984088805</v>
      </c>
      <c r="G7235">
        <f t="shared" ref="G7235:G7298" si="113">MAX(0, 16 - $D7235)</f>
        <v>6.4</v>
      </c>
    </row>
    <row r="7236" spans="2:7" x14ac:dyDescent="0.35">
      <c r="B7236" s="1">
        <v>45959</v>
      </c>
      <c r="C7236" s="2">
        <v>0.41666666666666669</v>
      </c>
      <c r="D7236">
        <v>10.5</v>
      </c>
      <c r="E7236">
        <f>IF($D7236 &gt; 16, 0, $J$3*(16 - $D7236))</f>
        <v>1142.6175348538334</v>
      </c>
      <c r="F7236">
        <f>IF($D7236 &gt; 16, 0,$E7236*$J$5)</f>
        <v>12419109.986326315</v>
      </c>
      <c r="G7236">
        <f t="shared" si="113"/>
        <v>5.5</v>
      </c>
    </row>
    <row r="7237" spans="2:7" x14ac:dyDescent="0.35">
      <c r="B7237" s="1">
        <v>45959</v>
      </c>
      <c r="C7237" s="2">
        <v>0.45833333333333331</v>
      </c>
      <c r="D7237">
        <v>11.6</v>
      </c>
      <c r="E7237">
        <f>IF($D7237 &gt; 16, 0, $J$3*(16 - $D7237))</f>
        <v>914.09402788306681</v>
      </c>
      <c r="F7237">
        <f>IF($D7237 &gt; 16, 0,$E7237*$J$5)</f>
        <v>9935287.9890610538</v>
      </c>
      <c r="G7237">
        <f t="shared" si="113"/>
        <v>4.4000000000000004</v>
      </c>
    </row>
    <row r="7238" spans="2:7" x14ac:dyDescent="0.35">
      <c r="B7238" s="1">
        <v>45959</v>
      </c>
      <c r="C7238" s="2">
        <v>0.5</v>
      </c>
      <c r="D7238">
        <v>12</v>
      </c>
      <c r="E7238">
        <f>IF($D7238 &gt; 16, 0, $J$3*(16 - $D7238))</f>
        <v>830.99457080278796</v>
      </c>
      <c r="F7238">
        <f>IF($D7238 &gt; 16, 0,$E7238*$J$5)</f>
        <v>9032079.9900555015</v>
      </c>
      <c r="G7238">
        <f t="shared" si="113"/>
        <v>4</v>
      </c>
    </row>
    <row r="7239" spans="2:7" x14ac:dyDescent="0.35">
      <c r="B7239" s="1">
        <v>45959</v>
      </c>
      <c r="C7239" s="2">
        <v>0.54166666666666663</v>
      </c>
      <c r="D7239">
        <v>12.5</v>
      </c>
      <c r="E7239">
        <f>IF($D7239 &gt; 16, 0, $J$3*(16 - $D7239))</f>
        <v>727.12024945243945</v>
      </c>
      <c r="F7239">
        <f>IF($D7239 &gt; 16, 0,$E7239*$J$5)</f>
        <v>7903069.9912985647</v>
      </c>
      <c r="G7239">
        <f t="shared" si="113"/>
        <v>3.5</v>
      </c>
    </row>
    <row r="7240" spans="2:7" x14ac:dyDescent="0.35">
      <c r="B7240" s="1">
        <v>45959</v>
      </c>
      <c r="C7240" s="2">
        <v>0.58333333333333337</v>
      </c>
      <c r="D7240">
        <v>12.7</v>
      </c>
      <c r="E7240">
        <f>IF($D7240 &gt; 16, 0, $J$3*(16 - $D7240))</f>
        <v>685.57052091230025</v>
      </c>
      <c r="F7240">
        <f>IF($D7240 &gt; 16, 0,$E7240*$J$5)</f>
        <v>7451465.9917957913</v>
      </c>
      <c r="G7240">
        <f t="shared" si="113"/>
        <v>3.3000000000000007</v>
      </c>
    </row>
    <row r="7241" spans="2:7" x14ac:dyDescent="0.35">
      <c r="B7241" s="1">
        <v>45959</v>
      </c>
      <c r="C7241" s="2">
        <v>0.625</v>
      </c>
      <c r="D7241">
        <v>12.9</v>
      </c>
      <c r="E7241">
        <f>IF($D7241 &gt; 16, 0, $J$3*(16 - $D7241))</f>
        <v>644.0207923721606</v>
      </c>
      <c r="F7241">
        <f>IF($D7241 &gt; 16, 0,$E7241*$J$5)</f>
        <v>6999861.9922930133</v>
      </c>
      <c r="G7241">
        <f t="shared" si="113"/>
        <v>3.0999999999999996</v>
      </c>
    </row>
    <row r="7242" spans="2:7" x14ac:dyDescent="0.35">
      <c r="B7242" s="1">
        <v>45959</v>
      </c>
      <c r="C7242" s="2">
        <v>0.66666666666666663</v>
      </c>
      <c r="D7242">
        <v>12.5</v>
      </c>
      <c r="E7242">
        <f>IF($D7242 &gt; 16, 0, $J$3*(16 - $D7242))</f>
        <v>727.12024945243945</v>
      </c>
      <c r="F7242">
        <f>IF($D7242 &gt; 16, 0,$E7242*$J$5)</f>
        <v>7903069.9912985647</v>
      </c>
      <c r="G7242">
        <f t="shared" si="113"/>
        <v>3.5</v>
      </c>
    </row>
    <row r="7243" spans="2:7" x14ac:dyDescent="0.35">
      <c r="B7243" s="1">
        <v>45959</v>
      </c>
      <c r="C7243" s="2">
        <v>0.70833333333333337</v>
      </c>
      <c r="D7243">
        <v>12.1</v>
      </c>
      <c r="E7243">
        <f>IF($D7243 &gt; 16, 0, $J$3*(16 - $D7243))</f>
        <v>810.21970653271831</v>
      </c>
      <c r="F7243">
        <f>IF($D7243 &gt; 16, 0,$E7243*$J$5)</f>
        <v>8806277.9903041162</v>
      </c>
      <c r="G7243">
        <f t="shared" si="113"/>
        <v>3.9000000000000004</v>
      </c>
    </row>
    <row r="7244" spans="2:7" x14ac:dyDescent="0.35">
      <c r="B7244" s="1">
        <v>45959</v>
      </c>
      <c r="C7244" s="2">
        <v>0.75</v>
      </c>
      <c r="D7244">
        <v>11.6</v>
      </c>
      <c r="E7244">
        <f>IF($D7244 &gt; 16, 0, $J$3*(16 - $D7244))</f>
        <v>914.09402788306681</v>
      </c>
      <c r="F7244">
        <f>IF($D7244 &gt; 16, 0,$E7244*$J$5)</f>
        <v>9935287.9890610538</v>
      </c>
      <c r="G7244">
        <f t="shared" si="113"/>
        <v>4.4000000000000004</v>
      </c>
    </row>
    <row r="7245" spans="2:7" x14ac:dyDescent="0.35">
      <c r="B7245" s="1">
        <v>45959</v>
      </c>
      <c r="C7245" s="2">
        <v>0.79166666666666663</v>
      </c>
      <c r="D7245">
        <v>11.2</v>
      </c>
      <c r="E7245">
        <f>IF($D7245 &gt; 16, 0, $J$3*(16 - $D7245))</f>
        <v>997.19348496334567</v>
      </c>
      <c r="F7245">
        <f>IF($D7245 &gt; 16, 0,$E7245*$J$5)</f>
        <v>10838495.988066604</v>
      </c>
      <c r="G7245">
        <f t="shared" si="113"/>
        <v>4.8000000000000007</v>
      </c>
    </row>
    <row r="7246" spans="2:7" x14ac:dyDescent="0.35">
      <c r="B7246" s="1">
        <v>45959</v>
      </c>
      <c r="C7246" s="2">
        <v>0.83333333333333337</v>
      </c>
      <c r="D7246">
        <v>10.8</v>
      </c>
      <c r="E7246">
        <f>IF($D7246 &gt; 16, 0, $J$3*(16 - $D7246))</f>
        <v>1080.2929420436242</v>
      </c>
      <c r="F7246">
        <f>IF($D7246 &gt; 16, 0,$E7246*$J$5)</f>
        <v>11741703.987072151</v>
      </c>
      <c r="G7246">
        <f t="shared" si="113"/>
        <v>5.1999999999999993</v>
      </c>
    </row>
    <row r="7247" spans="2:7" x14ac:dyDescent="0.35">
      <c r="B7247" s="1">
        <v>45959</v>
      </c>
      <c r="C7247" s="2">
        <v>0.875</v>
      </c>
      <c r="D7247">
        <v>10.8</v>
      </c>
      <c r="E7247">
        <f>IF($D7247 &gt; 16, 0, $J$3*(16 - $D7247))</f>
        <v>1080.2929420436242</v>
      </c>
      <c r="F7247">
        <f>IF($D7247 &gt; 16, 0,$E7247*$J$5)</f>
        <v>11741703.987072151</v>
      </c>
      <c r="G7247">
        <f t="shared" si="113"/>
        <v>5.1999999999999993</v>
      </c>
    </row>
    <row r="7248" spans="2:7" x14ac:dyDescent="0.35">
      <c r="B7248" s="1">
        <v>45959</v>
      </c>
      <c r="C7248" s="2">
        <v>0.91666666666666663</v>
      </c>
      <c r="D7248">
        <v>10.8</v>
      </c>
      <c r="E7248">
        <f>IF($D7248 &gt; 16, 0, $J$3*(16 - $D7248))</f>
        <v>1080.2929420436242</v>
      </c>
      <c r="F7248">
        <f>IF($D7248 &gt; 16, 0,$E7248*$J$5)</f>
        <v>11741703.987072151</v>
      </c>
      <c r="G7248">
        <f t="shared" si="113"/>
        <v>5.1999999999999993</v>
      </c>
    </row>
    <row r="7249" spans="2:7" x14ac:dyDescent="0.35">
      <c r="B7249" s="1">
        <v>45959</v>
      </c>
      <c r="C7249" s="2">
        <v>0.95833333333333337</v>
      </c>
      <c r="D7249">
        <v>10.4</v>
      </c>
      <c r="E7249">
        <f>IF($D7249 &gt; 16, 0, $J$3*(16 - $D7249))</f>
        <v>1163.392399123903</v>
      </c>
      <c r="F7249">
        <f>IF($D7249 &gt; 16, 0,$E7249*$J$5)</f>
        <v>12644911.986077702</v>
      </c>
      <c r="G7249">
        <f t="shared" si="113"/>
        <v>5.6</v>
      </c>
    </row>
    <row r="7250" spans="2:7" x14ac:dyDescent="0.35">
      <c r="B7250" s="1">
        <v>45960</v>
      </c>
      <c r="C7250" s="2">
        <v>0</v>
      </c>
      <c r="D7250">
        <v>9.8000000000000007</v>
      </c>
      <c r="E7250">
        <f>IF($D7250 &gt; 16, 0, $J$3*(16 - $D7250))</f>
        <v>1288.0415847443212</v>
      </c>
      <c r="F7250">
        <f>IF($D7250 &gt; 16, 0,$E7250*$J$5)</f>
        <v>13999723.984586027</v>
      </c>
      <c r="G7250">
        <f t="shared" si="113"/>
        <v>6.1999999999999993</v>
      </c>
    </row>
    <row r="7251" spans="2:7" x14ac:dyDescent="0.35">
      <c r="B7251" s="1">
        <v>45960</v>
      </c>
      <c r="C7251" s="2">
        <v>4.1666666666666657E-2</v>
      </c>
      <c r="D7251">
        <v>9.6999999999999993</v>
      </c>
      <c r="E7251">
        <f>IF($D7251 &gt; 16, 0, $J$3*(16 - $D7251))</f>
        <v>1308.8164490143911</v>
      </c>
      <c r="F7251">
        <f>IF($D7251 &gt; 16, 0,$E7251*$J$5)</f>
        <v>14225525.984337417</v>
      </c>
      <c r="G7251">
        <f t="shared" si="113"/>
        <v>6.3000000000000007</v>
      </c>
    </row>
    <row r="7252" spans="2:7" x14ac:dyDescent="0.35">
      <c r="B7252" s="1">
        <v>45960</v>
      </c>
      <c r="C7252" s="2">
        <v>8.3333333333333329E-2</v>
      </c>
      <c r="D7252">
        <v>9.5</v>
      </c>
      <c r="E7252">
        <f>IF($D7252 &gt; 16, 0, $J$3*(16 - $D7252))</f>
        <v>1350.3661775545304</v>
      </c>
      <c r="F7252">
        <f>IF($D7252 &gt; 16, 0,$E7252*$J$5)</f>
        <v>14677129.983840192</v>
      </c>
      <c r="G7252">
        <f t="shared" si="113"/>
        <v>6.5</v>
      </c>
    </row>
    <row r="7253" spans="2:7" x14ac:dyDescent="0.35">
      <c r="B7253" s="1">
        <v>45960</v>
      </c>
      <c r="C7253" s="2">
        <v>0.125</v>
      </c>
      <c r="D7253">
        <v>9.4</v>
      </c>
      <c r="E7253">
        <f>IF($D7253 &gt; 16, 0, $J$3*(16 - $D7253))</f>
        <v>1371.1410418246001</v>
      </c>
      <c r="F7253">
        <f>IF($D7253 &gt; 16, 0,$E7253*$J$5)</f>
        <v>14902931.983591577</v>
      </c>
      <c r="G7253">
        <f t="shared" si="113"/>
        <v>6.6</v>
      </c>
    </row>
    <row r="7254" spans="2:7" x14ac:dyDescent="0.35">
      <c r="B7254" s="1">
        <v>45960</v>
      </c>
      <c r="C7254" s="2">
        <v>0.16666666666666671</v>
      </c>
      <c r="D7254">
        <v>9.6999999999999993</v>
      </c>
      <c r="E7254">
        <f>IF($D7254 &gt; 16, 0, $J$3*(16 - $D7254))</f>
        <v>1308.8164490143911</v>
      </c>
      <c r="F7254">
        <f>IF($D7254 &gt; 16, 0,$E7254*$J$5)</f>
        <v>14225525.984337417</v>
      </c>
      <c r="G7254">
        <f t="shared" si="113"/>
        <v>6.3000000000000007</v>
      </c>
    </row>
    <row r="7255" spans="2:7" x14ac:dyDescent="0.35">
      <c r="B7255" s="1">
        <v>45960</v>
      </c>
      <c r="C7255" s="2">
        <v>0.20833333333333329</v>
      </c>
      <c r="D7255">
        <v>10.3</v>
      </c>
      <c r="E7255">
        <f>IF($D7255 &gt; 16, 0, $J$3*(16 - $D7255))</f>
        <v>1184.1672633939727</v>
      </c>
      <c r="F7255">
        <f>IF($D7255 &gt; 16, 0,$E7255*$J$5)</f>
        <v>12870713.985829089</v>
      </c>
      <c r="G7255">
        <f t="shared" si="113"/>
        <v>5.6999999999999993</v>
      </c>
    </row>
    <row r="7256" spans="2:7" x14ac:dyDescent="0.35">
      <c r="B7256" s="1">
        <v>45960</v>
      </c>
      <c r="C7256" s="2">
        <v>0.25</v>
      </c>
      <c r="D7256">
        <v>9.8000000000000007</v>
      </c>
      <c r="E7256">
        <f>IF($D7256 &gt; 16, 0, $J$3*(16 - $D7256))</f>
        <v>1288.0415847443212</v>
      </c>
      <c r="F7256">
        <f>IF($D7256 &gt; 16, 0,$E7256*$J$5)</f>
        <v>13999723.984586027</v>
      </c>
      <c r="G7256">
        <f t="shared" si="113"/>
        <v>6.1999999999999993</v>
      </c>
    </row>
    <row r="7257" spans="2:7" x14ac:dyDescent="0.35">
      <c r="B7257" s="1">
        <v>45960</v>
      </c>
      <c r="C7257" s="2">
        <v>0.29166666666666669</v>
      </c>
      <c r="D7257">
        <v>9.6999999999999993</v>
      </c>
      <c r="E7257">
        <f>IF($D7257 &gt; 16, 0, $J$3*(16 - $D7257))</f>
        <v>1308.8164490143911</v>
      </c>
      <c r="F7257">
        <f>IF($D7257 &gt; 16, 0,$E7257*$J$5)</f>
        <v>14225525.984337417</v>
      </c>
      <c r="G7257">
        <f t="shared" si="113"/>
        <v>6.3000000000000007</v>
      </c>
    </row>
    <row r="7258" spans="2:7" x14ac:dyDescent="0.35">
      <c r="B7258" s="1">
        <v>45960</v>
      </c>
      <c r="C7258" s="2">
        <v>0.33333333333333331</v>
      </c>
      <c r="D7258">
        <v>8.6999999999999993</v>
      </c>
      <c r="E7258">
        <f>IF($D7258 &gt; 16, 0, $J$3*(16 - $D7258))</f>
        <v>1516.5650917150881</v>
      </c>
      <c r="F7258">
        <f>IF($D7258 &gt; 16, 0,$E7258*$J$5)</f>
        <v>16483545.981851293</v>
      </c>
      <c r="G7258">
        <f t="shared" si="113"/>
        <v>7.3000000000000007</v>
      </c>
    </row>
    <row r="7259" spans="2:7" x14ac:dyDescent="0.35">
      <c r="B7259" s="1">
        <v>45960</v>
      </c>
      <c r="C7259" s="2">
        <v>0.375</v>
      </c>
      <c r="D7259">
        <v>9.1</v>
      </c>
      <c r="E7259">
        <f>IF($D7259 &gt; 16, 0, $J$3*(16 - $D7259))</f>
        <v>1433.4656346348092</v>
      </c>
      <c r="F7259">
        <f>IF($D7259 &gt; 16, 0,$E7259*$J$5)</f>
        <v>15580337.982845742</v>
      </c>
      <c r="G7259">
        <f t="shared" si="113"/>
        <v>6.9</v>
      </c>
    </row>
    <row r="7260" spans="2:7" x14ac:dyDescent="0.35">
      <c r="B7260" s="1">
        <v>45960</v>
      </c>
      <c r="C7260" s="2">
        <v>0.41666666666666669</v>
      </c>
      <c r="D7260">
        <v>9.6999999999999993</v>
      </c>
      <c r="E7260">
        <f>IF($D7260 &gt; 16, 0, $J$3*(16 - $D7260))</f>
        <v>1308.8164490143911</v>
      </c>
      <c r="F7260">
        <f>IF($D7260 &gt; 16, 0,$E7260*$J$5)</f>
        <v>14225525.984337417</v>
      </c>
      <c r="G7260">
        <f t="shared" si="113"/>
        <v>6.3000000000000007</v>
      </c>
    </row>
    <row r="7261" spans="2:7" x14ac:dyDescent="0.35">
      <c r="B7261" s="1">
        <v>45960</v>
      </c>
      <c r="C7261" s="2">
        <v>0.45833333333333331</v>
      </c>
      <c r="D7261">
        <v>11.2</v>
      </c>
      <c r="E7261">
        <f>IF($D7261 &gt; 16, 0, $J$3*(16 - $D7261))</f>
        <v>997.19348496334567</v>
      </c>
      <c r="F7261">
        <f>IF($D7261 &gt; 16, 0,$E7261*$J$5)</f>
        <v>10838495.988066604</v>
      </c>
      <c r="G7261">
        <f t="shared" si="113"/>
        <v>4.8000000000000007</v>
      </c>
    </row>
    <row r="7262" spans="2:7" x14ac:dyDescent="0.35">
      <c r="B7262" s="1">
        <v>45960</v>
      </c>
      <c r="C7262" s="2">
        <v>0.5</v>
      </c>
      <c r="D7262">
        <v>11.6</v>
      </c>
      <c r="E7262">
        <f>IF($D7262 &gt; 16, 0, $J$3*(16 - $D7262))</f>
        <v>914.09402788306681</v>
      </c>
      <c r="F7262">
        <f>IF($D7262 &gt; 16, 0,$E7262*$J$5)</f>
        <v>9935287.9890610538</v>
      </c>
      <c r="G7262">
        <f t="shared" si="113"/>
        <v>4.4000000000000004</v>
      </c>
    </row>
    <row r="7263" spans="2:7" x14ac:dyDescent="0.35">
      <c r="B7263" s="1">
        <v>45960</v>
      </c>
      <c r="C7263" s="2">
        <v>0.54166666666666663</v>
      </c>
      <c r="D7263">
        <v>11.8</v>
      </c>
      <c r="E7263">
        <f>IF($D7263 &gt; 16, 0, $J$3*(16 - $D7263))</f>
        <v>872.54429934292716</v>
      </c>
      <c r="F7263">
        <f>IF($D7263 &gt; 16, 0,$E7263*$J$5)</f>
        <v>9483683.9895582758</v>
      </c>
      <c r="G7263">
        <f t="shared" si="113"/>
        <v>4.1999999999999993</v>
      </c>
    </row>
    <row r="7264" spans="2:7" x14ac:dyDescent="0.35">
      <c r="B7264" s="1">
        <v>45960</v>
      </c>
      <c r="C7264" s="2">
        <v>0.58333333333333337</v>
      </c>
      <c r="D7264">
        <v>12.1</v>
      </c>
      <c r="E7264">
        <f>IF($D7264 &gt; 16, 0, $J$3*(16 - $D7264))</f>
        <v>810.21970653271831</v>
      </c>
      <c r="F7264">
        <f>IF($D7264 &gt; 16, 0,$E7264*$J$5)</f>
        <v>8806277.9903041162</v>
      </c>
      <c r="G7264">
        <f t="shared" si="113"/>
        <v>3.9000000000000004</v>
      </c>
    </row>
    <row r="7265" spans="2:7" x14ac:dyDescent="0.35">
      <c r="B7265" s="1">
        <v>45960</v>
      </c>
      <c r="C7265" s="2">
        <v>0.625</v>
      </c>
      <c r="D7265">
        <v>11.9</v>
      </c>
      <c r="E7265">
        <f>IF($D7265 &gt; 16, 0, $J$3*(16 - $D7265))</f>
        <v>851.76943507285762</v>
      </c>
      <c r="F7265">
        <f>IF($D7265 &gt; 16, 0,$E7265*$J$5)</f>
        <v>9257881.9898068886</v>
      </c>
      <c r="G7265">
        <f t="shared" si="113"/>
        <v>4.0999999999999996</v>
      </c>
    </row>
    <row r="7266" spans="2:7" x14ac:dyDescent="0.35">
      <c r="B7266" s="1">
        <v>45960</v>
      </c>
      <c r="C7266" s="2">
        <v>0.66666666666666663</v>
      </c>
      <c r="D7266">
        <v>11.2</v>
      </c>
      <c r="E7266">
        <f>IF($D7266 &gt; 16, 0, $J$3*(16 - $D7266))</f>
        <v>997.19348496334567</v>
      </c>
      <c r="F7266">
        <f>IF($D7266 &gt; 16, 0,$E7266*$J$5)</f>
        <v>10838495.988066604</v>
      </c>
      <c r="G7266">
        <f t="shared" si="113"/>
        <v>4.8000000000000007</v>
      </c>
    </row>
    <row r="7267" spans="2:7" x14ac:dyDescent="0.35">
      <c r="B7267" s="1">
        <v>45960</v>
      </c>
      <c r="C7267" s="2">
        <v>0.70833333333333337</v>
      </c>
      <c r="D7267">
        <v>10.5</v>
      </c>
      <c r="E7267">
        <f>IF($D7267 &gt; 16, 0, $J$3*(16 - $D7267))</f>
        <v>1142.6175348538334</v>
      </c>
      <c r="F7267">
        <f>IF($D7267 &gt; 16, 0,$E7267*$J$5)</f>
        <v>12419109.986326315</v>
      </c>
      <c r="G7267">
        <f t="shared" si="113"/>
        <v>5.5</v>
      </c>
    </row>
    <row r="7268" spans="2:7" x14ac:dyDescent="0.35">
      <c r="B7268" s="1">
        <v>45960</v>
      </c>
      <c r="C7268" s="2">
        <v>0.75</v>
      </c>
      <c r="D7268">
        <v>10.4</v>
      </c>
      <c r="E7268">
        <f>IF($D7268 &gt; 16, 0, $J$3*(16 - $D7268))</f>
        <v>1163.392399123903</v>
      </c>
      <c r="F7268">
        <f>IF($D7268 &gt; 16, 0,$E7268*$J$5)</f>
        <v>12644911.986077702</v>
      </c>
      <c r="G7268">
        <f t="shared" si="113"/>
        <v>5.6</v>
      </c>
    </row>
    <row r="7269" spans="2:7" x14ac:dyDescent="0.35">
      <c r="B7269" s="1">
        <v>45960</v>
      </c>
      <c r="C7269" s="2">
        <v>0.79166666666666663</v>
      </c>
      <c r="D7269">
        <v>10.1</v>
      </c>
      <c r="E7269">
        <f>IF($D7269 &gt; 16, 0, $J$3*(16 - $D7269))</f>
        <v>1225.7169919341122</v>
      </c>
      <c r="F7269">
        <f>IF($D7269 &gt; 16, 0,$E7269*$J$5)</f>
        <v>13322317.985331865</v>
      </c>
      <c r="G7269">
        <f t="shared" si="113"/>
        <v>5.9</v>
      </c>
    </row>
    <row r="7270" spans="2:7" x14ac:dyDescent="0.35">
      <c r="B7270" s="1">
        <v>45960</v>
      </c>
      <c r="C7270" s="2">
        <v>0.83333333333333337</v>
      </c>
      <c r="D7270">
        <v>10.199999999999999</v>
      </c>
      <c r="E7270">
        <f>IF($D7270 &gt; 16, 0, $J$3*(16 - $D7270))</f>
        <v>1204.9421276640428</v>
      </c>
      <c r="F7270">
        <f>IF($D7270 &gt; 16, 0,$E7270*$J$5)</f>
        <v>13096515.985580482</v>
      </c>
      <c r="G7270">
        <f t="shared" si="113"/>
        <v>5.8000000000000007</v>
      </c>
    </row>
    <row r="7271" spans="2:7" x14ac:dyDescent="0.35">
      <c r="B7271" s="1">
        <v>45960</v>
      </c>
      <c r="C7271" s="2">
        <v>0.875</v>
      </c>
      <c r="D7271">
        <v>9.4</v>
      </c>
      <c r="E7271">
        <f>IF($D7271 &gt; 16, 0, $J$3*(16 - $D7271))</f>
        <v>1371.1410418246001</v>
      </c>
      <c r="F7271">
        <f>IF($D7271 &gt; 16, 0,$E7271*$J$5)</f>
        <v>14902931.983591577</v>
      </c>
      <c r="G7271">
        <f t="shared" si="113"/>
        <v>6.6</v>
      </c>
    </row>
    <row r="7272" spans="2:7" x14ac:dyDescent="0.35">
      <c r="B7272" s="1">
        <v>45960</v>
      </c>
      <c r="C7272" s="2">
        <v>0.91666666666666663</v>
      </c>
      <c r="D7272">
        <v>9.3000000000000007</v>
      </c>
      <c r="E7272">
        <f>IF($D7272 &gt; 16, 0, $J$3*(16 - $D7272))</f>
        <v>1391.9159060946697</v>
      </c>
      <c r="F7272">
        <f>IF($D7272 &gt; 16, 0,$E7272*$J$5)</f>
        <v>15128733.983342964</v>
      </c>
      <c r="G7272">
        <f t="shared" si="113"/>
        <v>6.6999999999999993</v>
      </c>
    </row>
    <row r="7273" spans="2:7" x14ac:dyDescent="0.35">
      <c r="B7273" s="1">
        <v>45960</v>
      </c>
      <c r="C7273" s="2">
        <v>0.95833333333333337</v>
      </c>
      <c r="D7273">
        <v>8.6999999999999993</v>
      </c>
      <c r="E7273">
        <f>IF($D7273 &gt; 16, 0, $J$3*(16 - $D7273))</f>
        <v>1516.5650917150881</v>
      </c>
      <c r="F7273">
        <f>IF($D7273 &gt; 16, 0,$E7273*$J$5)</f>
        <v>16483545.981851293</v>
      </c>
      <c r="G7273">
        <f t="shared" si="113"/>
        <v>7.3000000000000007</v>
      </c>
    </row>
    <row r="7274" spans="2:7" x14ac:dyDescent="0.35">
      <c r="B7274" s="1">
        <v>45961</v>
      </c>
      <c r="C7274" s="2">
        <v>0</v>
      </c>
      <c r="D7274">
        <v>7.7</v>
      </c>
      <c r="E7274">
        <f>IF($D7274 &gt; 16, 0, $J$3*(16 - $D7274))</f>
        <v>1724.3137344157851</v>
      </c>
      <c r="F7274">
        <f>IF($D7274 &gt; 16, 0,$E7274*$J$5)</f>
        <v>18741565.97936517</v>
      </c>
      <c r="G7274">
        <f t="shared" si="113"/>
        <v>8.3000000000000007</v>
      </c>
    </row>
    <row r="7275" spans="2:7" x14ac:dyDescent="0.35">
      <c r="B7275" s="1">
        <v>45961</v>
      </c>
      <c r="C7275" s="2">
        <v>4.1666666666666657E-2</v>
      </c>
      <c r="D7275">
        <v>6.1</v>
      </c>
      <c r="E7275">
        <f>IF($D7275 &gt; 16, 0, $J$3*(16 - $D7275))</f>
        <v>2056.7115627369003</v>
      </c>
      <c r="F7275">
        <f>IF($D7275 &gt; 16, 0,$E7275*$J$5)</f>
        <v>22354397.975387368</v>
      </c>
      <c r="G7275">
        <f t="shared" si="113"/>
        <v>9.9</v>
      </c>
    </row>
    <row r="7276" spans="2:7" x14ac:dyDescent="0.35">
      <c r="B7276" s="1">
        <v>45961</v>
      </c>
      <c r="C7276" s="2">
        <v>8.3333333333333329E-2</v>
      </c>
      <c r="D7276">
        <v>4.8</v>
      </c>
      <c r="E7276">
        <f>IF($D7276 &gt; 16, 0, $J$3*(16 - $D7276))</f>
        <v>2326.7847982478061</v>
      </c>
      <c r="F7276">
        <f>IF($D7276 &gt; 16, 0,$E7276*$J$5)</f>
        <v>25289823.972155403</v>
      </c>
      <c r="G7276">
        <f t="shared" si="113"/>
        <v>11.2</v>
      </c>
    </row>
    <row r="7277" spans="2:7" x14ac:dyDescent="0.35">
      <c r="B7277" s="1">
        <v>45961</v>
      </c>
      <c r="C7277" s="2">
        <v>0.125</v>
      </c>
      <c r="D7277">
        <v>4.7</v>
      </c>
      <c r="E7277">
        <f>IF($D7277 &gt; 16, 0, $J$3*(16 - $D7277))</f>
        <v>2347.5596625178759</v>
      </c>
      <c r="F7277">
        <f>IF($D7277 &gt; 16, 0,$E7277*$J$5)</f>
        <v>25515625.971906792</v>
      </c>
      <c r="G7277">
        <f t="shared" si="113"/>
        <v>11.3</v>
      </c>
    </row>
    <row r="7278" spans="2:7" x14ac:dyDescent="0.35">
      <c r="B7278" s="1">
        <v>45961</v>
      </c>
      <c r="C7278" s="2">
        <v>0.16666666666666671</v>
      </c>
      <c r="D7278">
        <v>4.2</v>
      </c>
      <c r="E7278">
        <f>IF($D7278 &gt; 16, 0, $J$3*(16 - $D7278))</f>
        <v>2451.4339838682245</v>
      </c>
      <c r="F7278">
        <f>IF($D7278 &gt; 16, 0,$E7278*$J$5)</f>
        <v>26644635.97066373</v>
      </c>
      <c r="G7278">
        <f t="shared" si="113"/>
        <v>11.8</v>
      </c>
    </row>
    <row r="7279" spans="2:7" x14ac:dyDescent="0.35">
      <c r="B7279" s="1">
        <v>45961</v>
      </c>
      <c r="C7279" s="2">
        <v>0.20833333333333329</v>
      </c>
      <c r="D7279">
        <v>5.0999999999999996</v>
      </c>
      <c r="E7279">
        <f>IF($D7279 &gt; 16, 0, $J$3*(16 - $D7279))</f>
        <v>2264.4602054375973</v>
      </c>
      <c r="F7279">
        <f>IF($D7279 &gt; 16, 0,$E7279*$J$5)</f>
        <v>24612417.972901244</v>
      </c>
      <c r="G7279">
        <f t="shared" si="113"/>
        <v>10.9</v>
      </c>
    </row>
    <row r="7280" spans="2:7" x14ac:dyDescent="0.35">
      <c r="B7280" s="1">
        <v>45961</v>
      </c>
      <c r="C7280" s="2">
        <v>0.25</v>
      </c>
      <c r="D7280">
        <v>5</v>
      </c>
      <c r="E7280">
        <f>IF($D7280 &gt; 16, 0, $J$3*(16 - $D7280))</f>
        <v>2285.2350697076668</v>
      </c>
      <c r="F7280">
        <f>IF($D7280 &gt; 16, 0,$E7280*$J$5)</f>
        <v>24838219.972652629</v>
      </c>
      <c r="G7280">
        <f t="shared" si="113"/>
        <v>11</v>
      </c>
    </row>
    <row r="7281" spans="2:7" x14ac:dyDescent="0.35">
      <c r="B7281" s="1">
        <v>45961</v>
      </c>
      <c r="C7281" s="2">
        <v>0.29166666666666669</v>
      </c>
      <c r="D7281">
        <v>4.5</v>
      </c>
      <c r="E7281">
        <f>IF($D7281 &gt; 16, 0, $J$3*(16 - $D7281))</f>
        <v>2389.1093910580153</v>
      </c>
      <c r="F7281">
        <f>IF($D7281 &gt; 16, 0,$E7281*$J$5)</f>
        <v>25967229.971409567</v>
      </c>
      <c r="G7281">
        <f t="shared" si="113"/>
        <v>11.5</v>
      </c>
    </row>
    <row r="7282" spans="2:7" x14ac:dyDescent="0.35">
      <c r="B7282" s="1">
        <v>45961</v>
      </c>
      <c r="C7282" s="2">
        <v>0.33333333333333331</v>
      </c>
      <c r="D7282">
        <v>5.7</v>
      </c>
      <c r="E7282">
        <f>IF($D7282 &gt; 16, 0, $J$3*(16 - $D7282))</f>
        <v>2139.8110198171789</v>
      </c>
      <c r="F7282">
        <f>IF($D7282 &gt; 16, 0,$E7282*$J$5)</f>
        <v>23257605.974392917</v>
      </c>
      <c r="G7282">
        <f t="shared" si="113"/>
        <v>10.3</v>
      </c>
    </row>
    <row r="7283" spans="2:7" x14ac:dyDescent="0.35">
      <c r="B7283" s="1">
        <v>45961</v>
      </c>
      <c r="C7283" s="2">
        <v>0.375</v>
      </c>
      <c r="D7283">
        <v>6.7</v>
      </c>
      <c r="E7283">
        <f>IF($D7283 &gt; 16, 0, $J$3*(16 - $D7283))</f>
        <v>1932.0623771164821</v>
      </c>
      <c r="F7283">
        <f>IF($D7283 &gt; 16, 0,$E7283*$J$5)</f>
        <v>20999585.976879045</v>
      </c>
      <c r="G7283">
        <f t="shared" si="113"/>
        <v>9.3000000000000007</v>
      </c>
    </row>
    <row r="7284" spans="2:7" x14ac:dyDescent="0.35">
      <c r="B7284" s="1">
        <v>45961</v>
      </c>
      <c r="C7284" s="2">
        <v>0.41666666666666669</v>
      </c>
      <c r="D7284">
        <v>8.1</v>
      </c>
      <c r="E7284">
        <f>IF($D7284 &gt; 16, 0, $J$3*(16 - $D7284))</f>
        <v>1641.2142773355063</v>
      </c>
      <c r="F7284">
        <f>IF($D7284 &gt; 16, 0,$E7284*$J$5)</f>
        <v>17838357.980359618</v>
      </c>
      <c r="G7284">
        <f t="shared" si="113"/>
        <v>7.9</v>
      </c>
    </row>
    <row r="7285" spans="2:7" x14ac:dyDescent="0.35">
      <c r="B7285" s="1">
        <v>45961</v>
      </c>
      <c r="C7285" s="2">
        <v>0.45833333333333331</v>
      </c>
      <c r="D7285">
        <v>8.9</v>
      </c>
      <c r="E7285">
        <f>IF($D7285 &gt; 16, 0, $J$3*(16 - $D7285))</f>
        <v>1475.0153631749486</v>
      </c>
      <c r="F7285">
        <f>IF($D7285 &gt; 16, 0,$E7285*$J$5)</f>
        <v>16031941.982348517</v>
      </c>
      <c r="G7285">
        <f t="shared" si="113"/>
        <v>7.1</v>
      </c>
    </row>
    <row r="7286" spans="2:7" x14ac:dyDescent="0.35">
      <c r="B7286" s="1">
        <v>45961</v>
      </c>
      <c r="C7286" s="2">
        <v>0.5</v>
      </c>
      <c r="D7286">
        <v>10.199999999999999</v>
      </c>
      <c r="E7286">
        <f>IF($D7286 &gt; 16, 0, $J$3*(16 - $D7286))</f>
        <v>1204.9421276640428</v>
      </c>
      <c r="F7286">
        <f>IF($D7286 &gt; 16, 0,$E7286*$J$5)</f>
        <v>13096515.985580482</v>
      </c>
      <c r="G7286">
        <f t="shared" si="113"/>
        <v>5.8000000000000007</v>
      </c>
    </row>
    <row r="7287" spans="2:7" x14ac:dyDescent="0.35">
      <c r="B7287" s="1">
        <v>45961</v>
      </c>
      <c r="C7287" s="2">
        <v>0.54166666666666663</v>
      </c>
      <c r="D7287">
        <v>10.7</v>
      </c>
      <c r="E7287">
        <f>IF($D7287 &gt; 16, 0, $J$3*(16 - $D7287))</f>
        <v>1101.0678063136943</v>
      </c>
      <c r="F7287">
        <f>IF($D7287 &gt; 16, 0,$E7287*$J$5)</f>
        <v>11967505.986823544</v>
      </c>
      <c r="G7287">
        <f t="shared" si="113"/>
        <v>5.3000000000000007</v>
      </c>
    </row>
    <row r="7288" spans="2:7" x14ac:dyDescent="0.35">
      <c r="B7288" s="1">
        <v>45961</v>
      </c>
      <c r="C7288" s="2">
        <v>0.58333333333333337</v>
      </c>
      <c r="D7288">
        <v>11</v>
      </c>
      <c r="E7288">
        <f>IF($D7288 &gt; 16, 0, $J$3*(16 - $D7288))</f>
        <v>1038.7432135034849</v>
      </c>
      <c r="F7288">
        <f>IF($D7288 &gt; 16, 0,$E7288*$J$5)</f>
        <v>11290099.987569377</v>
      </c>
      <c r="G7288">
        <f t="shared" si="113"/>
        <v>5</v>
      </c>
    </row>
    <row r="7289" spans="2:7" x14ac:dyDescent="0.35">
      <c r="B7289" s="1">
        <v>45961</v>
      </c>
      <c r="C7289" s="2">
        <v>0.625</v>
      </c>
      <c r="D7289">
        <v>10.6</v>
      </c>
      <c r="E7289">
        <f>IF($D7289 &gt; 16, 0, $J$3*(16 - $D7289))</f>
        <v>1121.8426705837637</v>
      </c>
      <c r="F7289">
        <f>IF($D7289 &gt; 16, 0,$E7289*$J$5)</f>
        <v>12193307.986574927</v>
      </c>
      <c r="G7289">
        <f t="shared" si="113"/>
        <v>5.4</v>
      </c>
    </row>
    <row r="7290" spans="2:7" x14ac:dyDescent="0.35">
      <c r="B7290" s="1">
        <v>45961</v>
      </c>
      <c r="C7290" s="2">
        <v>0.66666666666666663</v>
      </c>
      <c r="D7290">
        <v>10</v>
      </c>
      <c r="E7290">
        <f>IF($D7290 &gt; 16, 0, $J$3*(16 - $D7290))</f>
        <v>1246.4918562041819</v>
      </c>
      <c r="F7290">
        <f>IF($D7290 &gt; 16, 0,$E7290*$J$5)</f>
        <v>13548119.985083252</v>
      </c>
      <c r="G7290">
        <f t="shared" si="113"/>
        <v>6</v>
      </c>
    </row>
    <row r="7291" spans="2:7" x14ac:dyDescent="0.35">
      <c r="B7291" s="1">
        <v>45961</v>
      </c>
      <c r="C7291" s="2">
        <v>0.70833333333333337</v>
      </c>
      <c r="D7291">
        <v>9.6</v>
      </c>
      <c r="E7291">
        <f>IF($D7291 &gt; 16, 0, $J$3*(16 - $D7291))</f>
        <v>1329.5913132844607</v>
      </c>
      <c r="F7291">
        <f>IF($D7291 &gt; 16, 0,$E7291*$J$5)</f>
        <v>14451327.984088805</v>
      </c>
      <c r="G7291">
        <f t="shared" si="113"/>
        <v>6.4</v>
      </c>
    </row>
    <row r="7292" spans="2:7" x14ac:dyDescent="0.35">
      <c r="B7292" s="1">
        <v>45961</v>
      </c>
      <c r="C7292" s="2">
        <v>0.75</v>
      </c>
      <c r="D7292">
        <v>9</v>
      </c>
      <c r="E7292">
        <f>IF($D7292 &gt; 16, 0, $J$3*(16 - $D7292))</f>
        <v>1454.2404989048789</v>
      </c>
      <c r="F7292">
        <f>IF($D7292 &gt; 16, 0,$E7292*$J$5)</f>
        <v>15806139.982597129</v>
      </c>
      <c r="G7292">
        <f t="shared" si="113"/>
        <v>7</v>
      </c>
    </row>
    <row r="7293" spans="2:7" x14ac:dyDescent="0.35">
      <c r="B7293" s="1">
        <v>45961</v>
      </c>
      <c r="C7293" s="2">
        <v>0.79166666666666663</v>
      </c>
      <c r="D7293">
        <v>8.6</v>
      </c>
      <c r="E7293">
        <f>IF($D7293 &gt; 16, 0, $J$3*(16 - $D7293))</f>
        <v>1537.3399559851578</v>
      </c>
      <c r="F7293">
        <f>IF($D7293 &gt; 16, 0,$E7293*$J$5)</f>
        <v>16709347.98160268</v>
      </c>
      <c r="G7293">
        <f t="shared" si="113"/>
        <v>7.4</v>
      </c>
    </row>
    <row r="7294" spans="2:7" x14ac:dyDescent="0.35">
      <c r="B7294" s="1">
        <v>45961</v>
      </c>
      <c r="C7294" s="2">
        <v>0.83333333333333337</v>
      </c>
      <c r="D7294">
        <v>8.8000000000000007</v>
      </c>
      <c r="E7294">
        <f>IF($D7294 &gt; 16, 0, $J$3*(16 - $D7294))</f>
        <v>1495.7902274450182</v>
      </c>
      <c r="F7294">
        <f>IF($D7294 &gt; 16, 0,$E7294*$J$5)</f>
        <v>16257743.982099904</v>
      </c>
      <c r="G7294">
        <f t="shared" si="113"/>
        <v>7.1999999999999993</v>
      </c>
    </row>
    <row r="7295" spans="2:7" x14ac:dyDescent="0.35">
      <c r="B7295" s="1">
        <v>45961</v>
      </c>
      <c r="C7295" s="2">
        <v>0.875</v>
      </c>
      <c r="D7295">
        <v>8.5</v>
      </c>
      <c r="E7295">
        <f>IF($D7295 &gt; 16, 0, $J$3*(16 - $D7295))</f>
        <v>1558.1148202552274</v>
      </c>
      <c r="F7295">
        <f>IF($D7295 &gt; 16, 0,$E7295*$J$5)</f>
        <v>16935149.981354065</v>
      </c>
      <c r="G7295">
        <f t="shared" si="113"/>
        <v>7.5</v>
      </c>
    </row>
    <row r="7296" spans="2:7" x14ac:dyDescent="0.35">
      <c r="B7296" s="1">
        <v>45961</v>
      </c>
      <c r="C7296" s="2">
        <v>0.91666666666666663</v>
      </c>
      <c r="D7296">
        <v>7.2</v>
      </c>
      <c r="E7296">
        <f>IF($D7296 &gt; 16, 0, $J$3*(16 - $D7296))</f>
        <v>1828.1880557661336</v>
      </c>
      <c r="F7296">
        <f>IF($D7296 &gt; 16, 0,$E7296*$J$5)</f>
        <v>19870575.978122108</v>
      </c>
      <c r="G7296">
        <f t="shared" si="113"/>
        <v>8.8000000000000007</v>
      </c>
    </row>
    <row r="7297" spans="2:7" x14ac:dyDescent="0.35">
      <c r="B7297" s="1">
        <v>45961</v>
      </c>
      <c r="C7297" s="2">
        <v>0.95833333333333337</v>
      </c>
      <c r="D7297">
        <v>6.5</v>
      </c>
      <c r="E7297">
        <f>IF($D7297 &gt; 16, 0, $J$3*(16 - $D7297))</f>
        <v>1973.6121056566215</v>
      </c>
      <c r="F7297">
        <f>IF($D7297 &gt; 16, 0,$E7297*$J$5)</f>
        <v>21451189.97638182</v>
      </c>
      <c r="G7297">
        <f t="shared" si="113"/>
        <v>9.5</v>
      </c>
    </row>
    <row r="7298" spans="2:7" x14ac:dyDescent="0.35">
      <c r="B7298" s="1">
        <v>45962</v>
      </c>
      <c r="C7298" s="2">
        <v>0</v>
      </c>
      <c r="D7298">
        <v>6.2</v>
      </c>
      <c r="E7298">
        <f>IF($D7298 &gt; 16, 0, $J$3*(16 - $D7298))</f>
        <v>2035.9366984668306</v>
      </c>
      <c r="F7298">
        <f>IF($D7298 &gt; 16, 0,$E7298*$J$5)</f>
        <v>22128595.975635983</v>
      </c>
      <c r="G7298">
        <f t="shared" si="113"/>
        <v>9.8000000000000007</v>
      </c>
    </row>
    <row r="7299" spans="2:7" x14ac:dyDescent="0.35">
      <c r="B7299" s="1">
        <v>45962</v>
      </c>
      <c r="C7299" s="2">
        <v>4.1666666666666657E-2</v>
      </c>
      <c r="D7299">
        <v>6.4</v>
      </c>
      <c r="E7299">
        <f>IF($D7299 &gt; 16, 0, $J$3*(16 - $D7299))</f>
        <v>1994.3869699266911</v>
      </c>
      <c r="F7299">
        <f>IF($D7299 &gt; 16, 0,$E7299*$J$5)</f>
        <v>21676991.976133205</v>
      </c>
      <c r="G7299">
        <f t="shared" ref="G7299:G7362" si="114">MAX(0, 16 - $D7299)</f>
        <v>9.6</v>
      </c>
    </row>
    <row r="7300" spans="2:7" x14ac:dyDescent="0.35">
      <c r="B7300" s="1">
        <v>45962</v>
      </c>
      <c r="C7300" s="2">
        <v>8.3333333333333329E-2</v>
      </c>
      <c r="D7300">
        <v>6.3</v>
      </c>
      <c r="E7300">
        <f>IF($D7300 &gt; 16, 0, $J$3*(16 - $D7300))</f>
        <v>2015.1618341967608</v>
      </c>
      <c r="F7300">
        <f>IF($D7300 &gt; 16, 0,$E7300*$J$5)</f>
        <v>21902793.975884594</v>
      </c>
      <c r="G7300">
        <f t="shared" si="114"/>
        <v>9.6999999999999993</v>
      </c>
    </row>
    <row r="7301" spans="2:7" x14ac:dyDescent="0.35">
      <c r="B7301" s="1">
        <v>45962</v>
      </c>
      <c r="C7301" s="2">
        <v>0.125</v>
      </c>
      <c r="D7301">
        <v>6.2</v>
      </c>
      <c r="E7301">
        <f>IF($D7301 &gt; 16, 0, $J$3*(16 - $D7301))</f>
        <v>2035.9366984668306</v>
      </c>
      <c r="F7301">
        <f>IF($D7301 &gt; 16, 0,$E7301*$J$5)</f>
        <v>22128595.975635983</v>
      </c>
      <c r="G7301">
        <f t="shared" si="114"/>
        <v>9.8000000000000007</v>
      </c>
    </row>
    <row r="7302" spans="2:7" x14ac:dyDescent="0.35">
      <c r="B7302" s="1">
        <v>45962</v>
      </c>
      <c r="C7302" s="2">
        <v>0.16666666666666671</v>
      </c>
      <c r="D7302">
        <v>5.9</v>
      </c>
      <c r="E7302">
        <f>IF($D7302 &gt; 16, 0, $J$3*(16 - $D7302))</f>
        <v>2098.2612912770396</v>
      </c>
      <c r="F7302">
        <f>IF($D7302 &gt; 16, 0,$E7302*$J$5)</f>
        <v>22806001.974890143</v>
      </c>
      <c r="G7302">
        <f t="shared" si="114"/>
        <v>10.1</v>
      </c>
    </row>
    <row r="7303" spans="2:7" x14ac:dyDescent="0.35">
      <c r="B7303" s="1">
        <v>45962</v>
      </c>
      <c r="C7303" s="2">
        <v>0.20833333333333329</v>
      </c>
      <c r="D7303">
        <v>5.9</v>
      </c>
      <c r="E7303">
        <f>IF($D7303 &gt; 16, 0, $J$3*(16 - $D7303))</f>
        <v>2098.2612912770396</v>
      </c>
      <c r="F7303">
        <f>IF($D7303 &gt; 16, 0,$E7303*$J$5)</f>
        <v>22806001.974890143</v>
      </c>
      <c r="G7303">
        <f t="shared" si="114"/>
        <v>10.1</v>
      </c>
    </row>
    <row r="7304" spans="2:7" x14ac:dyDescent="0.35">
      <c r="B7304" s="1">
        <v>45962</v>
      </c>
      <c r="C7304" s="2">
        <v>0.25</v>
      </c>
      <c r="D7304">
        <v>6.5</v>
      </c>
      <c r="E7304">
        <f>IF($D7304 &gt; 16, 0, $J$3*(16 - $D7304))</f>
        <v>1973.6121056566215</v>
      </c>
      <c r="F7304">
        <f>IF($D7304 &gt; 16, 0,$E7304*$J$5)</f>
        <v>21451189.97638182</v>
      </c>
      <c r="G7304">
        <f t="shared" si="114"/>
        <v>9.5</v>
      </c>
    </row>
    <row r="7305" spans="2:7" x14ac:dyDescent="0.35">
      <c r="B7305" s="1">
        <v>45962</v>
      </c>
      <c r="C7305" s="2">
        <v>0.29166666666666669</v>
      </c>
      <c r="D7305">
        <v>7.3</v>
      </c>
      <c r="E7305">
        <f>IF($D7305 &gt; 16, 0, $J$3*(16 - $D7305))</f>
        <v>1807.4131914960637</v>
      </c>
      <c r="F7305">
        <f>IF($D7305 &gt; 16, 0,$E7305*$J$5)</f>
        <v>19644773.978370719</v>
      </c>
      <c r="G7305">
        <f t="shared" si="114"/>
        <v>8.6999999999999993</v>
      </c>
    </row>
    <row r="7306" spans="2:7" x14ac:dyDescent="0.35">
      <c r="B7306" s="1">
        <v>45962</v>
      </c>
      <c r="C7306" s="2">
        <v>0.33333333333333331</v>
      </c>
      <c r="D7306">
        <v>9</v>
      </c>
      <c r="E7306">
        <f>IF($D7306 &gt; 16, 0, $J$3*(16 - $D7306))</f>
        <v>1454.2404989048789</v>
      </c>
      <c r="F7306">
        <f>IF($D7306 &gt; 16, 0,$E7306*$J$5)</f>
        <v>15806139.982597129</v>
      </c>
      <c r="G7306">
        <f t="shared" si="114"/>
        <v>7</v>
      </c>
    </row>
    <row r="7307" spans="2:7" x14ac:dyDescent="0.35">
      <c r="B7307" s="1">
        <v>45962</v>
      </c>
      <c r="C7307" s="2">
        <v>0.375</v>
      </c>
      <c r="D7307">
        <v>10</v>
      </c>
      <c r="E7307">
        <f>IF($D7307 &gt; 16, 0, $J$3*(16 - $D7307))</f>
        <v>1246.4918562041819</v>
      </c>
      <c r="F7307">
        <f>IF($D7307 &gt; 16, 0,$E7307*$J$5)</f>
        <v>13548119.985083252</v>
      </c>
      <c r="G7307">
        <f t="shared" si="114"/>
        <v>6</v>
      </c>
    </row>
    <row r="7308" spans="2:7" x14ac:dyDescent="0.35">
      <c r="B7308" s="1">
        <v>45962</v>
      </c>
      <c r="C7308" s="2">
        <v>0.41666666666666669</v>
      </c>
      <c r="D7308">
        <v>10.7</v>
      </c>
      <c r="E7308">
        <f>IF($D7308 &gt; 16, 0, $J$3*(16 - $D7308))</f>
        <v>1101.0678063136943</v>
      </c>
      <c r="F7308">
        <f>IF($D7308 &gt; 16, 0,$E7308*$J$5)</f>
        <v>11967505.986823544</v>
      </c>
      <c r="G7308">
        <f t="shared" si="114"/>
        <v>5.3000000000000007</v>
      </c>
    </row>
    <row r="7309" spans="2:7" x14ac:dyDescent="0.35">
      <c r="B7309" s="1">
        <v>45962</v>
      </c>
      <c r="C7309" s="2">
        <v>0.45833333333333331</v>
      </c>
      <c r="D7309">
        <v>11.6</v>
      </c>
      <c r="E7309">
        <f>IF($D7309 &gt; 16, 0, $J$3*(16 - $D7309))</f>
        <v>914.09402788306681</v>
      </c>
      <c r="F7309">
        <f>IF($D7309 &gt; 16, 0,$E7309*$J$5)</f>
        <v>9935287.9890610538</v>
      </c>
      <c r="G7309">
        <f t="shared" si="114"/>
        <v>4.4000000000000004</v>
      </c>
    </row>
    <row r="7310" spans="2:7" x14ac:dyDescent="0.35">
      <c r="B7310" s="1">
        <v>45962</v>
      </c>
      <c r="C7310" s="2">
        <v>0.5</v>
      </c>
      <c r="D7310">
        <v>12.9</v>
      </c>
      <c r="E7310">
        <f>IF($D7310 &gt; 16, 0, $J$3*(16 - $D7310))</f>
        <v>644.0207923721606</v>
      </c>
      <c r="F7310">
        <f>IF($D7310 &gt; 16, 0,$E7310*$J$5)</f>
        <v>6999861.9922930133</v>
      </c>
      <c r="G7310">
        <f t="shared" si="114"/>
        <v>3.0999999999999996</v>
      </c>
    </row>
    <row r="7311" spans="2:7" x14ac:dyDescent="0.35">
      <c r="B7311" s="1">
        <v>45962</v>
      </c>
      <c r="C7311" s="2">
        <v>0.54166666666666663</v>
      </c>
      <c r="D7311">
        <v>13.7</v>
      </c>
      <c r="E7311">
        <f>IF($D7311 &gt; 16, 0, $J$3*(16 - $D7311))</f>
        <v>477.82187821160323</v>
      </c>
      <c r="F7311">
        <f>IF($D7311 &gt; 16, 0,$E7311*$J$5)</f>
        <v>5193445.9942819159</v>
      </c>
      <c r="G7311">
        <f t="shared" si="114"/>
        <v>2.3000000000000007</v>
      </c>
    </row>
    <row r="7312" spans="2:7" x14ac:dyDescent="0.35">
      <c r="B7312" s="1">
        <v>45962</v>
      </c>
      <c r="C7312" s="2">
        <v>0.58333333333333337</v>
      </c>
      <c r="D7312">
        <v>13.5</v>
      </c>
      <c r="E7312">
        <f>IF($D7312 &gt; 16, 0, $J$3*(16 - $D7312))</f>
        <v>519.37160675174243</v>
      </c>
      <c r="F7312">
        <f>IF($D7312 &gt; 16, 0,$E7312*$J$5)</f>
        <v>5645049.9937846884</v>
      </c>
      <c r="G7312">
        <f t="shared" si="114"/>
        <v>2.5</v>
      </c>
    </row>
    <row r="7313" spans="2:7" x14ac:dyDescent="0.35">
      <c r="B7313" s="1">
        <v>45962</v>
      </c>
      <c r="C7313" s="2">
        <v>0.625</v>
      </c>
      <c r="D7313">
        <v>13.3</v>
      </c>
      <c r="E7313">
        <f>IF($D7313 &gt; 16, 0, $J$3*(16 - $D7313))</f>
        <v>560.92133529188175</v>
      </c>
      <c r="F7313">
        <f>IF($D7313 &gt; 16, 0,$E7313*$J$5)</f>
        <v>6096653.9932874627</v>
      </c>
      <c r="G7313">
        <f t="shared" si="114"/>
        <v>2.6999999999999993</v>
      </c>
    </row>
    <row r="7314" spans="2:7" x14ac:dyDescent="0.35">
      <c r="B7314" s="1">
        <v>45962</v>
      </c>
      <c r="C7314" s="2">
        <v>0.66666666666666663</v>
      </c>
      <c r="D7314">
        <v>13.1</v>
      </c>
      <c r="E7314">
        <f>IF($D7314 &gt; 16, 0, $J$3*(16 - $D7314))</f>
        <v>602.4710638320214</v>
      </c>
      <c r="F7314">
        <f>IF($D7314 &gt; 16, 0,$E7314*$J$5)</f>
        <v>6548257.9927902408</v>
      </c>
      <c r="G7314">
        <f t="shared" si="114"/>
        <v>2.9000000000000004</v>
      </c>
    </row>
    <row r="7315" spans="2:7" x14ac:dyDescent="0.35">
      <c r="B7315" s="1">
        <v>45962</v>
      </c>
      <c r="C7315" s="2">
        <v>0.70833333333333337</v>
      </c>
      <c r="D7315">
        <v>13</v>
      </c>
      <c r="E7315">
        <f>IF($D7315 &gt; 16, 0, $J$3*(16 - $D7315))</f>
        <v>623.24592810209094</v>
      </c>
      <c r="F7315">
        <f>IF($D7315 &gt; 16, 0,$E7315*$J$5)</f>
        <v>6774059.9925416261</v>
      </c>
      <c r="G7315">
        <f t="shared" si="114"/>
        <v>3</v>
      </c>
    </row>
    <row r="7316" spans="2:7" x14ac:dyDescent="0.35">
      <c r="B7316" s="1">
        <v>45962</v>
      </c>
      <c r="C7316" s="2">
        <v>0.75</v>
      </c>
      <c r="D7316">
        <v>12.2</v>
      </c>
      <c r="E7316">
        <f>IF($D7316 &gt; 16, 0, $J$3*(16 - $D7316))</f>
        <v>789.44484226264876</v>
      </c>
      <c r="F7316">
        <f>IF($D7316 &gt; 16, 0,$E7316*$J$5)</f>
        <v>8580475.990552729</v>
      </c>
      <c r="G7316">
        <f t="shared" si="114"/>
        <v>3.8000000000000007</v>
      </c>
    </row>
    <row r="7317" spans="2:7" x14ac:dyDescent="0.35">
      <c r="B7317" s="1">
        <v>45962</v>
      </c>
      <c r="C7317" s="2">
        <v>0.79166666666666663</v>
      </c>
      <c r="D7317">
        <v>12.5</v>
      </c>
      <c r="E7317">
        <f>IF($D7317 &gt; 16, 0, $J$3*(16 - $D7317))</f>
        <v>727.12024945243945</v>
      </c>
      <c r="F7317">
        <f>IF($D7317 &gt; 16, 0,$E7317*$J$5)</f>
        <v>7903069.9912985647</v>
      </c>
      <c r="G7317">
        <f t="shared" si="114"/>
        <v>3.5</v>
      </c>
    </row>
    <row r="7318" spans="2:7" x14ac:dyDescent="0.35">
      <c r="B7318" s="1">
        <v>45962</v>
      </c>
      <c r="C7318" s="2">
        <v>0.83333333333333337</v>
      </c>
      <c r="D7318">
        <v>12.3</v>
      </c>
      <c r="E7318">
        <f>IF($D7318 &gt; 16, 0, $J$3*(16 - $D7318))</f>
        <v>768.66997799257877</v>
      </c>
      <c r="F7318">
        <f>IF($D7318 &gt; 16, 0,$E7318*$J$5)</f>
        <v>8354673.990801339</v>
      </c>
      <c r="G7318">
        <f t="shared" si="114"/>
        <v>3.6999999999999993</v>
      </c>
    </row>
    <row r="7319" spans="2:7" x14ac:dyDescent="0.35">
      <c r="B7319" s="1">
        <v>45962</v>
      </c>
      <c r="C7319" s="2">
        <v>0.875</v>
      </c>
      <c r="D7319">
        <v>11.7</v>
      </c>
      <c r="E7319">
        <f>IF($D7319 &gt; 16, 0, $J$3*(16 - $D7319))</f>
        <v>893.31916361299716</v>
      </c>
      <c r="F7319">
        <f>IF($D7319 &gt; 16, 0,$E7319*$J$5)</f>
        <v>9709485.9893096667</v>
      </c>
      <c r="G7319">
        <f t="shared" si="114"/>
        <v>4.3000000000000007</v>
      </c>
    </row>
    <row r="7320" spans="2:7" x14ac:dyDescent="0.35">
      <c r="B7320" s="1">
        <v>45962</v>
      </c>
      <c r="C7320" s="2">
        <v>0.91666666666666663</v>
      </c>
      <c r="D7320">
        <v>10.6</v>
      </c>
      <c r="E7320">
        <f>IF($D7320 &gt; 16, 0, $J$3*(16 - $D7320))</f>
        <v>1121.8426705837637</v>
      </c>
      <c r="F7320">
        <f>IF($D7320 &gt; 16, 0,$E7320*$J$5)</f>
        <v>12193307.986574927</v>
      </c>
      <c r="G7320">
        <f t="shared" si="114"/>
        <v>5.4</v>
      </c>
    </row>
    <row r="7321" spans="2:7" x14ac:dyDescent="0.35">
      <c r="B7321" s="1">
        <v>45962</v>
      </c>
      <c r="C7321" s="2">
        <v>0.95833333333333337</v>
      </c>
      <c r="D7321">
        <v>10.199999999999999</v>
      </c>
      <c r="E7321">
        <f>IF($D7321 &gt; 16, 0, $J$3*(16 - $D7321))</f>
        <v>1204.9421276640428</v>
      </c>
      <c r="F7321">
        <f>IF($D7321 &gt; 16, 0,$E7321*$J$5)</f>
        <v>13096515.985580482</v>
      </c>
      <c r="G7321">
        <f t="shared" si="114"/>
        <v>5.8000000000000007</v>
      </c>
    </row>
    <row r="7322" spans="2:7" x14ac:dyDescent="0.35">
      <c r="B7322" s="1">
        <v>45963</v>
      </c>
      <c r="C7322" s="2">
        <v>0</v>
      </c>
      <c r="D7322">
        <v>10.9</v>
      </c>
      <c r="E7322">
        <f>IF($D7322 &gt; 16, 0, $J$3*(16 - $D7322))</f>
        <v>1059.5180777735545</v>
      </c>
      <c r="F7322">
        <f>IF($D7322 &gt; 16, 0,$E7322*$J$5)</f>
        <v>11515901.987320764</v>
      </c>
      <c r="G7322">
        <f t="shared" si="114"/>
        <v>5.0999999999999996</v>
      </c>
    </row>
    <row r="7323" spans="2:7" x14ac:dyDescent="0.35">
      <c r="B7323" s="1">
        <v>45963</v>
      </c>
      <c r="C7323" s="2">
        <v>4.1666666666666657E-2</v>
      </c>
      <c r="D7323">
        <v>11</v>
      </c>
      <c r="E7323">
        <f>IF($D7323 &gt; 16, 0, $J$3*(16 - $D7323))</f>
        <v>1038.7432135034849</v>
      </c>
      <c r="F7323">
        <f>IF($D7323 &gt; 16, 0,$E7323*$J$5)</f>
        <v>11290099.987569377</v>
      </c>
      <c r="G7323">
        <f t="shared" si="114"/>
        <v>5</v>
      </c>
    </row>
    <row r="7324" spans="2:7" x14ac:dyDescent="0.35">
      <c r="B7324" s="1">
        <v>45963</v>
      </c>
      <c r="C7324" s="2">
        <v>8.3333333333333329E-2</v>
      </c>
      <c r="D7324">
        <v>10.1</v>
      </c>
      <c r="E7324">
        <f>IF($D7324 &gt; 16, 0, $J$3*(16 - $D7324))</f>
        <v>1225.7169919341122</v>
      </c>
      <c r="F7324">
        <f>IF($D7324 &gt; 16, 0,$E7324*$J$5)</f>
        <v>13322317.985331865</v>
      </c>
      <c r="G7324">
        <f t="shared" si="114"/>
        <v>5.9</v>
      </c>
    </row>
    <row r="7325" spans="2:7" x14ac:dyDescent="0.35">
      <c r="B7325" s="1">
        <v>45963</v>
      </c>
      <c r="C7325" s="2">
        <v>0.125</v>
      </c>
      <c r="D7325">
        <v>9.5</v>
      </c>
      <c r="E7325">
        <f>IF($D7325 &gt; 16, 0, $J$3*(16 - $D7325))</f>
        <v>1350.3661775545304</v>
      </c>
      <c r="F7325">
        <f>IF($D7325 &gt; 16, 0,$E7325*$J$5)</f>
        <v>14677129.983840192</v>
      </c>
      <c r="G7325">
        <f t="shared" si="114"/>
        <v>6.5</v>
      </c>
    </row>
    <row r="7326" spans="2:7" x14ac:dyDescent="0.35">
      <c r="B7326" s="1">
        <v>45963</v>
      </c>
      <c r="C7326" s="2">
        <v>0.16666666666666671</v>
      </c>
      <c r="D7326">
        <v>10</v>
      </c>
      <c r="E7326">
        <f>IF($D7326 &gt; 16, 0, $J$3*(16 - $D7326))</f>
        <v>1246.4918562041819</v>
      </c>
      <c r="F7326">
        <f>IF($D7326 &gt; 16, 0,$E7326*$J$5)</f>
        <v>13548119.985083252</v>
      </c>
      <c r="G7326">
        <f t="shared" si="114"/>
        <v>6</v>
      </c>
    </row>
    <row r="7327" spans="2:7" x14ac:dyDescent="0.35">
      <c r="B7327" s="1">
        <v>45963</v>
      </c>
      <c r="C7327" s="2">
        <v>0.20833333333333329</v>
      </c>
      <c r="D7327">
        <v>10.1</v>
      </c>
      <c r="E7327">
        <f>IF($D7327 &gt; 16, 0, $J$3*(16 - $D7327))</f>
        <v>1225.7169919341122</v>
      </c>
      <c r="F7327">
        <f>IF($D7327 &gt; 16, 0,$E7327*$J$5)</f>
        <v>13322317.985331865</v>
      </c>
      <c r="G7327">
        <f t="shared" si="114"/>
        <v>5.9</v>
      </c>
    </row>
    <row r="7328" spans="2:7" x14ac:dyDescent="0.35">
      <c r="B7328" s="1">
        <v>45963</v>
      </c>
      <c r="C7328" s="2">
        <v>0.25</v>
      </c>
      <c r="D7328">
        <v>9.1</v>
      </c>
      <c r="E7328">
        <f>IF($D7328 &gt; 16, 0, $J$3*(16 - $D7328))</f>
        <v>1433.4656346348092</v>
      </c>
      <c r="F7328">
        <f>IF($D7328 &gt; 16, 0,$E7328*$J$5)</f>
        <v>15580337.982845742</v>
      </c>
      <c r="G7328">
        <f t="shared" si="114"/>
        <v>6.9</v>
      </c>
    </row>
    <row r="7329" spans="2:7" x14ac:dyDescent="0.35">
      <c r="B7329" s="1">
        <v>45963</v>
      </c>
      <c r="C7329" s="2">
        <v>0.29166666666666669</v>
      </c>
      <c r="D7329">
        <v>10.1</v>
      </c>
      <c r="E7329">
        <f>IF($D7329 &gt; 16, 0, $J$3*(16 - $D7329))</f>
        <v>1225.7169919341122</v>
      </c>
      <c r="F7329">
        <f>IF($D7329 &gt; 16, 0,$E7329*$J$5)</f>
        <v>13322317.985331865</v>
      </c>
      <c r="G7329">
        <f t="shared" si="114"/>
        <v>5.9</v>
      </c>
    </row>
    <row r="7330" spans="2:7" x14ac:dyDescent="0.35">
      <c r="B7330" s="1">
        <v>45963</v>
      </c>
      <c r="C7330" s="2">
        <v>0.33333333333333331</v>
      </c>
      <c r="D7330">
        <v>10.3</v>
      </c>
      <c r="E7330">
        <f>IF($D7330 &gt; 16, 0, $J$3*(16 - $D7330))</f>
        <v>1184.1672633939727</v>
      </c>
      <c r="F7330">
        <f>IF($D7330 &gt; 16, 0,$E7330*$J$5)</f>
        <v>12870713.985829089</v>
      </c>
      <c r="G7330">
        <f t="shared" si="114"/>
        <v>5.6999999999999993</v>
      </c>
    </row>
    <row r="7331" spans="2:7" x14ac:dyDescent="0.35">
      <c r="B7331" s="1">
        <v>45963</v>
      </c>
      <c r="C7331" s="2">
        <v>0.375</v>
      </c>
      <c r="D7331">
        <v>10.6</v>
      </c>
      <c r="E7331">
        <f>IF($D7331 &gt; 16, 0, $J$3*(16 - $D7331))</f>
        <v>1121.8426705837637</v>
      </c>
      <c r="F7331">
        <f>IF($D7331 &gt; 16, 0,$E7331*$J$5)</f>
        <v>12193307.986574927</v>
      </c>
      <c r="G7331">
        <f t="shared" si="114"/>
        <v>5.4</v>
      </c>
    </row>
    <row r="7332" spans="2:7" x14ac:dyDescent="0.35">
      <c r="B7332" s="1">
        <v>45963</v>
      </c>
      <c r="C7332" s="2">
        <v>0.41666666666666669</v>
      </c>
      <c r="D7332">
        <v>10.9</v>
      </c>
      <c r="E7332">
        <f>IF($D7332 &gt; 16, 0, $J$3*(16 - $D7332))</f>
        <v>1059.5180777735545</v>
      </c>
      <c r="F7332">
        <f>IF($D7332 &gt; 16, 0,$E7332*$J$5)</f>
        <v>11515901.987320764</v>
      </c>
      <c r="G7332">
        <f t="shared" si="114"/>
        <v>5.0999999999999996</v>
      </c>
    </row>
    <row r="7333" spans="2:7" x14ac:dyDescent="0.35">
      <c r="B7333" s="1">
        <v>45963</v>
      </c>
      <c r="C7333" s="2">
        <v>0.45833333333333331</v>
      </c>
      <c r="D7333">
        <v>10.9</v>
      </c>
      <c r="E7333">
        <f>IF($D7333 &gt; 16, 0, $J$3*(16 - $D7333))</f>
        <v>1059.5180777735545</v>
      </c>
      <c r="F7333">
        <f>IF($D7333 &gt; 16, 0,$E7333*$J$5)</f>
        <v>11515901.987320764</v>
      </c>
      <c r="G7333">
        <f t="shared" si="114"/>
        <v>5.0999999999999996</v>
      </c>
    </row>
    <row r="7334" spans="2:7" x14ac:dyDescent="0.35">
      <c r="B7334" s="1">
        <v>45963</v>
      </c>
      <c r="C7334" s="2">
        <v>0.5</v>
      </c>
      <c r="D7334">
        <v>11.2</v>
      </c>
      <c r="E7334">
        <f>IF($D7334 &gt; 16, 0, $J$3*(16 - $D7334))</f>
        <v>997.19348496334567</v>
      </c>
      <c r="F7334">
        <f>IF($D7334 &gt; 16, 0,$E7334*$J$5)</f>
        <v>10838495.988066604</v>
      </c>
      <c r="G7334">
        <f t="shared" si="114"/>
        <v>4.8000000000000007</v>
      </c>
    </row>
    <row r="7335" spans="2:7" x14ac:dyDescent="0.35">
      <c r="B7335" s="1">
        <v>45963</v>
      </c>
      <c r="C7335" s="2">
        <v>0.54166666666666663</v>
      </c>
      <c r="D7335">
        <v>12.4</v>
      </c>
      <c r="E7335">
        <f>IF($D7335 &gt; 16, 0, $J$3*(16 - $D7335))</f>
        <v>747.89511372250911</v>
      </c>
      <c r="F7335">
        <f>IF($D7335 &gt; 16, 0,$E7335*$J$5)</f>
        <v>8128871.9910499519</v>
      </c>
      <c r="G7335">
        <f t="shared" si="114"/>
        <v>3.5999999999999996</v>
      </c>
    </row>
    <row r="7336" spans="2:7" x14ac:dyDescent="0.35">
      <c r="B7336" s="1">
        <v>45963</v>
      </c>
      <c r="C7336" s="2">
        <v>0.58333333333333337</v>
      </c>
      <c r="D7336">
        <v>12.3</v>
      </c>
      <c r="E7336">
        <f>IF($D7336 &gt; 16, 0, $J$3*(16 - $D7336))</f>
        <v>768.66997799257877</v>
      </c>
      <c r="F7336">
        <f>IF($D7336 &gt; 16, 0,$E7336*$J$5)</f>
        <v>8354673.990801339</v>
      </c>
      <c r="G7336">
        <f t="shared" si="114"/>
        <v>3.6999999999999993</v>
      </c>
    </row>
    <row r="7337" spans="2:7" x14ac:dyDescent="0.35">
      <c r="B7337" s="1">
        <v>45963</v>
      </c>
      <c r="C7337" s="2">
        <v>0.625</v>
      </c>
      <c r="D7337">
        <v>11.8</v>
      </c>
      <c r="E7337">
        <f>IF($D7337 &gt; 16, 0, $J$3*(16 - $D7337))</f>
        <v>872.54429934292716</v>
      </c>
      <c r="F7337">
        <f>IF($D7337 &gt; 16, 0,$E7337*$J$5)</f>
        <v>9483683.9895582758</v>
      </c>
      <c r="G7337">
        <f t="shared" si="114"/>
        <v>4.1999999999999993</v>
      </c>
    </row>
    <row r="7338" spans="2:7" x14ac:dyDescent="0.35">
      <c r="B7338" s="1">
        <v>45963</v>
      </c>
      <c r="C7338" s="2">
        <v>0.66666666666666663</v>
      </c>
      <c r="D7338">
        <v>10</v>
      </c>
      <c r="E7338">
        <f>IF($D7338 &gt; 16, 0, $J$3*(16 - $D7338))</f>
        <v>1246.4918562041819</v>
      </c>
      <c r="F7338">
        <f>IF($D7338 &gt; 16, 0,$E7338*$J$5)</f>
        <v>13548119.985083252</v>
      </c>
      <c r="G7338">
        <f t="shared" si="114"/>
        <v>6</v>
      </c>
    </row>
    <row r="7339" spans="2:7" x14ac:dyDescent="0.35">
      <c r="B7339" s="1">
        <v>45963</v>
      </c>
      <c r="C7339" s="2">
        <v>0.70833333333333337</v>
      </c>
      <c r="D7339">
        <v>8.5</v>
      </c>
      <c r="E7339">
        <f>IF($D7339 &gt; 16, 0, $J$3*(16 - $D7339))</f>
        <v>1558.1148202552274</v>
      </c>
      <c r="F7339">
        <f>IF($D7339 &gt; 16, 0,$E7339*$J$5)</f>
        <v>16935149.981354065</v>
      </c>
      <c r="G7339">
        <f t="shared" si="114"/>
        <v>7.5</v>
      </c>
    </row>
    <row r="7340" spans="2:7" x14ac:dyDescent="0.35">
      <c r="B7340" s="1">
        <v>45963</v>
      </c>
      <c r="C7340" s="2">
        <v>0.75</v>
      </c>
      <c r="D7340">
        <v>9.3000000000000007</v>
      </c>
      <c r="E7340">
        <f>IF($D7340 &gt; 16, 0, $J$3*(16 - $D7340))</f>
        <v>1391.9159060946697</v>
      </c>
      <c r="F7340">
        <f>IF($D7340 &gt; 16, 0,$E7340*$J$5)</f>
        <v>15128733.983342964</v>
      </c>
      <c r="G7340">
        <f t="shared" si="114"/>
        <v>6.6999999999999993</v>
      </c>
    </row>
    <row r="7341" spans="2:7" x14ac:dyDescent="0.35">
      <c r="B7341" s="1">
        <v>45963</v>
      </c>
      <c r="C7341" s="2">
        <v>0.79166666666666663</v>
      </c>
      <c r="D7341">
        <v>8.3000000000000007</v>
      </c>
      <c r="E7341">
        <f>IF($D7341 &gt; 16, 0, $J$3*(16 - $D7341))</f>
        <v>1599.6645487953667</v>
      </c>
      <c r="F7341">
        <f>IF($D7341 &gt; 16, 0,$E7341*$J$5)</f>
        <v>17386753.98085684</v>
      </c>
      <c r="G7341">
        <f t="shared" si="114"/>
        <v>7.6999999999999993</v>
      </c>
    </row>
    <row r="7342" spans="2:7" x14ac:dyDescent="0.35">
      <c r="B7342" s="1">
        <v>45963</v>
      </c>
      <c r="C7342" s="2">
        <v>0.83333333333333337</v>
      </c>
      <c r="D7342">
        <v>8</v>
      </c>
      <c r="E7342">
        <f>IF($D7342 &gt; 16, 0, $J$3*(16 - $D7342))</f>
        <v>1661.9891416055759</v>
      </c>
      <c r="F7342">
        <f>IF($D7342 &gt; 16, 0,$E7342*$J$5)</f>
        <v>18064159.980111003</v>
      </c>
      <c r="G7342">
        <f t="shared" si="114"/>
        <v>8</v>
      </c>
    </row>
    <row r="7343" spans="2:7" x14ac:dyDescent="0.35">
      <c r="B7343" s="1">
        <v>45963</v>
      </c>
      <c r="C7343" s="2">
        <v>0.875</v>
      </c>
      <c r="D7343">
        <v>7.5</v>
      </c>
      <c r="E7343">
        <f>IF($D7343 &gt; 16, 0, $J$3*(16 - $D7343))</f>
        <v>1765.8634629559244</v>
      </c>
      <c r="F7343">
        <f>IF($D7343 &gt; 16, 0,$E7343*$J$5)</f>
        <v>19193169.978867944</v>
      </c>
      <c r="G7343">
        <f t="shared" si="114"/>
        <v>8.5</v>
      </c>
    </row>
    <row r="7344" spans="2:7" x14ac:dyDescent="0.35">
      <c r="B7344" s="1">
        <v>45963</v>
      </c>
      <c r="C7344" s="2">
        <v>0.91666666666666663</v>
      </c>
      <c r="D7344">
        <v>7.3</v>
      </c>
      <c r="E7344">
        <f>IF($D7344 &gt; 16, 0, $J$3*(16 - $D7344))</f>
        <v>1807.4131914960637</v>
      </c>
      <c r="F7344">
        <f>IF($D7344 &gt; 16, 0,$E7344*$J$5)</f>
        <v>19644773.978370719</v>
      </c>
      <c r="G7344">
        <f t="shared" si="114"/>
        <v>8.6999999999999993</v>
      </c>
    </row>
    <row r="7345" spans="2:7" x14ac:dyDescent="0.35">
      <c r="B7345" s="1">
        <v>45963</v>
      </c>
      <c r="C7345" s="2">
        <v>0.95833333333333337</v>
      </c>
      <c r="D7345">
        <v>5.7</v>
      </c>
      <c r="E7345">
        <f>IF($D7345 &gt; 16, 0, $J$3*(16 - $D7345))</f>
        <v>2139.8110198171789</v>
      </c>
      <c r="F7345">
        <f>IF($D7345 &gt; 16, 0,$E7345*$J$5)</f>
        <v>23257605.974392917</v>
      </c>
      <c r="G7345">
        <f t="shared" si="114"/>
        <v>10.3</v>
      </c>
    </row>
    <row r="7346" spans="2:7" x14ac:dyDescent="0.35">
      <c r="B7346" s="1">
        <v>45964</v>
      </c>
      <c r="C7346" s="2">
        <v>0</v>
      </c>
      <c r="D7346">
        <v>7.7</v>
      </c>
      <c r="E7346">
        <f>IF($D7346 &gt; 16, 0, $J$3*(16 - $D7346))</f>
        <v>1724.3137344157851</v>
      </c>
      <c r="F7346">
        <f>IF($D7346 &gt; 16, 0,$E7346*$J$5)</f>
        <v>18741565.97936517</v>
      </c>
      <c r="G7346">
        <f t="shared" si="114"/>
        <v>8.3000000000000007</v>
      </c>
    </row>
    <row r="7347" spans="2:7" x14ac:dyDescent="0.35">
      <c r="B7347" s="1">
        <v>45964</v>
      </c>
      <c r="C7347" s="2">
        <v>4.1666666666666657E-2</v>
      </c>
      <c r="D7347">
        <v>8.8000000000000007</v>
      </c>
      <c r="E7347">
        <f>IF($D7347 &gt; 16, 0, $J$3*(16 - $D7347))</f>
        <v>1495.7902274450182</v>
      </c>
      <c r="F7347">
        <f>IF($D7347 &gt; 16, 0,$E7347*$J$5)</f>
        <v>16257743.982099904</v>
      </c>
      <c r="G7347">
        <f t="shared" si="114"/>
        <v>7.1999999999999993</v>
      </c>
    </row>
    <row r="7348" spans="2:7" x14ac:dyDescent="0.35">
      <c r="B7348" s="1">
        <v>45964</v>
      </c>
      <c r="C7348" s="2">
        <v>8.3333333333333329E-2</v>
      </c>
      <c r="D7348">
        <v>8.9</v>
      </c>
      <c r="E7348">
        <f>IF($D7348 &gt; 16, 0, $J$3*(16 - $D7348))</f>
        <v>1475.0153631749486</v>
      </c>
      <c r="F7348">
        <f>IF($D7348 &gt; 16, 0,$E7348*$J$5)</f>
        <v>16031941.982348517</v>
      </c>
      <c r="G7348">
        <f t="shared" si="114"/>
        <v>7.1</v>
      </c>
    </row>
    <row r="7349" spans="2:7" x14ac:dyDescent="0.35">
      <c r="B7349" s="1">
        <v>45964</v>
      </c>
      <c r="C7349" s="2">
        <v>0.125</v>
      </c>
      <c r="D7349">
        <v>8.8000000000000007</v>
      </c>
      <c r="E7349">
        <f>IF($D7349 &gt; 16, 0, $J$3*(16 - $D7349))</f>
        <v>1495.7902274450182</v>
      </c>
      <c r="F7349">
        <f>IF($D7349 &gt; 16, 0,$E7349*$J$5)</f>
        <v>16257743.982099904</v>
      </c>
      <c r="G7349">
        <f t="shared" si="114"/>
        <v>7.1999999999999993</v>
      </c>
    </row>
    <row r="7350" spans="2:7" x14ac:dyDescent="0.35">
      <c r="B7350" s="1">
        <v>45964</v>
      </c>
      <c r="C7350" s="2">
        <v>0.16666666666666671</v>
      </c>
      <c r="D7350">
        <v>9</v>
      </c>
      <c r="E7350">
        <f>IF($D7350 &gt; 16, 0, $J$3*(16 - $D7350))</f>
        <v>1454.2404989048789</v>
      </c>
      <c r="F7350">
        <f>IF($D7350 &gt; 16, 0,$E7350*$J$5)</f>
        <v>15806139.982597129</v>
      </c>
      <c r="G7350">
        <f t="shared" si="114"/>
        <v>7</v>
      </c>
    </row>
    <row r="7351" spans="2:7" x14ac:dyDescent="0.35">
      <c r="B7351" s="1">
        <v>45964</v>
      </c>
      <c r="C7351" s="2">
        <v>0.20833333333333329</v>
      </c>
      <c r="D7351">
        <v>9</v>
      </c>
      <c r="E7351">
        <f>IF($D7351 &gt; 16, 0, $J$3*(16 - $D7351))</f>
        <v>1454.2404989048789</v>
      </c>
      <c r="F7351">
        <f>IF($D7351 &gt; 16, 0,$E7351*$J$5)</f>
        <v>15806139.982597129</v>
      </c>
      <c r="G7351">
        <f t="shared" si="114"/>
        <v>7</v>
      </c>
    </row>
    <row r="7352" spans="2:7" x14ac:dyDescent="0.35">
      <c r="B7352" s="1">
        <v>45964</v>
      </c>
      <c r="C7352" s="2">
        <v>0.25</v>
      </c>
      <c r="D7352">
        <v>8.6</v>
      </c>
      <c r="E7352">
        <f>IF($D7352 &gt; 16, 0, $J$3*(16 - $D7352))</f>
        <v>1537.3399559851578</v>
      </c>
      <c r="F7352">
        <f>IF($D7352 &gt; 16, 0,$E7352*$J$5)</f>
        <v>16709347.98160268</v>
      </c>
      <c r="G7352">
        <f t="shared" si="114"/>
        <v>7.4</v>
      </c>
    </row>
    <row r="7353" spans="2:7" x14ac:dyDescent="0.35">
      <c r="B7353" s="1">
        <v>45964</v>
      </c>
      <c r="C7353" s="2">
        <v>0.29166666666666669</v>
      </c>
      <c r="D7353">
        <v>7.6</v>
      </c>
      <c r="E7353">
        <f>IF($D7353 &gt; 16, 0, $J$3*(16 - $D7353))</f>
        <v>1745.0885986858548</v>
      </c>
      <c r="F7353">
        <f>IF($D7353 &gt; 16, 0,$E7353*$J$5)</f>
        <v>18967367.979116555</v>
      </c>
      <c r="G7353">
        <f t="shared" si="114"/>
        <v>8.4</v>
      </c>
    </row>
    <row r="7354" spans="2:7" x14ac:dyDescent="0.35">
      <c r="B7354" s="1">
        <v>45964</v>
      </c>
      <c r="C7354" s="2">
        <v>0.33333333333333331</v>
      </c>
      <c r="D7354">
        <v>8.1999999999999993</v>
      </c>
      <c r="E7354">
        <f>IF($D7354 &gt; 16, 0, $J$3*(16 - $D7354))</f>
        <v>1620.4394130654366</v>
      </c>
      <c r="F7354">
        <f>IF($D7354 &gt; 16, 0,$E7354*$J$5)</f>
        <v>17612555.980608232</v>
      </c>
      <c r="G7354">
        <f t="shared" si="114"/>
        <v>7.8000000000000007</v>
      </c>
    </row>
    <row r="7355" spans="2:7" x14ac:dyDescent="0.35">
      <c r="B7355" s="1">
        <v>45964</v>
      </c>
      <c r="C7355" s="2">
        <v>0.375</v>
      </c>
      <c r="D7355">
        <v>9</v>
      </c>
      <c r="E7355">
        <f>IF($D7355 &gt; 16, 0, $J$3*(16 - $D7355))</f>
        <v>1454.2404989048789</v>
      </c>
      <c r="F7355">
        <f>IF($D7355 &gt; 16, 0,$E7355*$J$5)</f>
        <v>15806139.982597129</v>
      </c>
      <c r="G7355">
        <f t="shared" si="114"/>
        <v>7</v>
      </c>
    </row>
    <row r="7356" spans="2:7" x14ac:dyDescent="0.35">
      <c r="B7356" s="1">
        <v>45964</v>
      </c>
      <c r="C7356" s="2">
        <v>0.41666666666666669</v>
      </c>
      <c r="D7356">
        <v>10.199999999999999</v>
      </c>
      <c r="E7356">
        <f>IF($D7356 &gt; 16, 0, $J$3*(16 - $D7356))</f>
        <v>1204.9421276640428</v>
      </c>
      <c r="F7356">
        <f>IF($D7356 &gt; 16, 0,$E7356*$J$5)</f>
        <v>13096515.985580482</v>
      </c>
      <c r="G7356">
        <f t="shared" si="114"/>
        <v>5.8000000000000007</v>
      </c>
    </row>
    <row r="7357" spans="2:7" x14ac:dyDescent="0.35">
      <c r="B7357" s="1">
        <v>45964</v>
      </c>
      <c r="C7357" s="2">
        <v>0.45833333333333331</v>
      </c>
      <c r="D7357">
        <v>11.1</v>
      </c>
      <c r="E7357">
        <f>IF($D7357 &gt; 16, 0, $J$3*(16 - $D7357))</f>
        <v>1017.9683492334153</v>
      </c>
      <c r="F7357">
        <f>IF($D7357 &gt; 16, 0,$E7357*$J$5)</f>
        <v>11064297.987817992</v>
      </c>
      <c r="G7357">
        <f t="shared" si="114"/>
        <v>4.9000000000000004</v>
      </c>
    </row>
    <row r="7358" spans="2:7" x14ac:dyDescent="0.35">
      <c r="B7358" s="1">
        <v>45964</v>
      </c>
      <c r="C7358" s="2">
        <v>0.5</v>
      </c>
      <c r="D7358">
        <v>11.3</v>
      </c>
      <c r="E7358">
        <f>IF($D7358 &gt; 16, 0, $J$3*(16 - $D7358))</f>
        <v>976.41862069327567</v>
      </c>
      <c r="F7358">
        <f>IF($D7358 &gt; 16, 0,$E7358*$J$5)</f>
        <v>10612693.988315213</v>
      </c>
      <c r="G7358">
        <f t="shared" si="114"/>
        <v>4.6999999999999993</v>
      </c>
    </row>
    <row r="7359" spans="2:7" x14ac:dyDescent="0.35">
      <c r="B7359" s="1">
        <v>45964</v>
      </c>
      <c r="C7359" s="2">
        <v>0.54166666666666663</v>
      </c>
      <c r="D7359">
        <v>10.7</v>
      </c>
      <c r="E7359">
        <f>IF($D7359 &gt; 16, 0, $J$3*(16 - $D7359))</f>
        <v>1101.0678063136943</v>
      </c>
      <c r="F7359">
        <f>IF($D7359 &gt; 16, 0,$E7359*$J$5)</f>
        <v>11967505.986823544</v>
      </c>
      <c r="G7359">
        <f t="shared" si="114"/>
        <v>5.3000000000000007</v>
      </c>
    </row>
    <row r="7360" spans="2:7" x14ac:dyDescent="0.35">
      <c r="B7360" s="1">
        <v>45964</v>
      </c>
      <c r="C7360" s="2">
        <v>0.58333333333333337</v>
      </c>
      <c r="D7360">
        <v>9.6999999999999993</v>
      </c>
      <c r="E7360">
        <f>IF($D7360 &gt; 16, 0, $J$3*(16 - $D7360))</f>
        <v>1308.8164490143911</v>
      </c>
      <c r="F7360">
        <f>IF($D7360 &gt; 16, 0,$E7360*$J$5)</f>
        <v>14225525.984337417</v>
      </c>
      <c r="G7360">
        <f t="shared" si="114"/>
        <v>6.3000000000000007</v>
      </c>
    </row>
    <row r="7361" spans="2:7" x14ac:dyDescent="0.35">
      <c r="B7361" s="1">
        <v>45964</v>
      </c>
      <c r="C7361" s="2">
        <v>0.625</v>
      </c>
      <c r="D7361">
        <v>9.9</v>
      </c>
      <c r="E7361">
        <f>IF($D7361 &gt; 16, 0, $J$3*(16 - $D7361))</f>
        <v>1267.2667204742515</v>
      </c>
      <c r="F7361">
        <f>IF($D7361 &gt; 16, 0,$E7361*$J$5)</f>
        <v>13773921.984834639</v>
      </c>
      <c r="G7361">
        <f t="shared" si="114"/>
        <v>6.1</v>
      </c>
    </row>
    <row r="7362" spans="2:7" x14ac:dyDescent="0.35">
      <c r="B7362" s="1">
        <v>45964</v>
      </c>
      <c r="C7362" s="2">
        <v>0.66666666666666663</v>
      </c>
      <c r="D7362">
        <v>9.6999999999999993</v>
      </c>
      <c r="E7362">
        <f>IF($D7362 &gt; 16, 0, $J$3*(16 - $D7362))</f>
        <v>1308.8164490143911</v>
      </c>
      <c r="F7362">
        <f>IF($D7362 &gt; 16, 0,$E7362*$J$5)</f>
        <v>14225525.984337417</v>
      </c>
      <c r="G7362">
        <f t="shared" si="114"/>
        <v>6.3000000000000007</v>
      </c>
    </row>
    <row r="7363" spans="2:7" x14ac:dyDescent="0.35">
      <c r="B7363" s="1">
        <v>45964</v>
      </c>
      <c r="C7363" s="2">
        <v>0.70833333333333337</v>
      </c>
      <c r="D7363">
        <v>10.4</v>
      </c>
      <c r="E7363">
        <f>IF($D7363 &gt; 16, 0, $J$3*(16 - $D7363))</f>
        <v>1163.392399123903</v>
      </c>
      <c r="F7363">
        <f>IF($D7363 &gt; 16, 0,$E7363*$J$5)</f>
        <v>12644911.986077702</v>
      </c>
      <c r="G7363">
        <f t="shared" ref="G7363:G7426" si="115">MAX(0, 16 - $D7363)</f>
        <v>5.6</v>
      </c>
    </row>
    <row r="7364" spans="2:7" x14ac:dyDescent="0.35">
      <c r="B7364" s="1">
        <v>45964</v>
      </c>
      <c r="C7364" s="2">
        <v>0.75</v>
      </c>
      <c r="D7364">
        <v>10.8</v>
      </c>
      <c r="E7364">
        <f>IF($D7364 &gt; 16, 0, $J$3*(16 - $D7364))</f>
        <v>1080.2929420436242</v>
      </c>
      <c r="F7364">
        <f>IF($D7364 &gt; 16, 0,$E7364*$J$5)</f>
        <v>11741703.987072151</v>
      </c>
      <c r="G7364">
        <f t="shared" si="115"/>
        <v>5.1999999999999993</v>
      </c>
    </row>
    <row r="7365" spans="2:7" x14ac:dyDescent="0.35">
      <c r="B7365" s="1">
        <v>45964</v>
      </c>
      <c r="C7365" s="2">
        <v>0.79166666666666663</v>
      </c>
      <c r="D7365">
        <v>11</v>
      </c>
      <c r="E7365">
        <f>IF($D7365 &gt; 16, 0, $J$3*(16 - $D7365))</f>
        <v>1038.7432135034849</v>
      </c>
      <c r="F7365">
        <f>IF($D7365 &gt; 16, 0,$E7365*$J$5)</f>
        <v>11290099.987569377</v>
      </c>
      <c r="G7365">
        <f t="shared" si="115"/>
        <v>5</v>
      </c>
    </row>
    <row r="7366" spans="2:7" x14ac:dyDescent="0.35">
      <c r="B7366" s="1">
        <v>45964</v>
      </c>
      <c r="C7366" s="2">
        <v>0.83333333333333337</v>
      </c>
      <c r="D7366">
        <v>11.2</v>
      </c>
      <c r="E7366">
        <f>IF($D7366 &gt; 16, 0, $J$3*(16 - $D7366))</f>
        <v>997.19348496334567</v>
      </c>
      <c r="F7366">
        <f>IF($D7366 &gt; 16, 0,$E7366*$J$5)</f>
        <v>10838495.988066604</v>
      </c>
      <c r="G7366">
        <f t="shared" si="115"/>
        <v>4.8000000000000007</v>
      </c>
    </row>
    <row r="7367" spans="2:7" x14ac:dyDescent="0.35">
      <c r="B7367" s="1">
        <v>45964</v>
      </c>
      <c r="C7367" s="2">
        <v>0.875</v>
      </c>
      <c r="D7367">
        <v>11.1</v>
      </c>
      <c r="E7367">
        <f>IF($D7367 &gt; 16, 0, $J$3*(16 - $D7367))</f>
        <v>1017.9683492334153</v>
      </c>
      <c r="F7367">
        <f>IF($D7367 &gt; 16, 0,$E7367*$J$5)</f>
        <v>11064297.987817992</v>
      </c>
      <c r="G7367">
        <f t="shared" si="115"/>
        <v>4.9000000000000004</v>
      </c>
    </row>
    <row r="7368" spans="2:7" x14ac:dyDescent="0.35">
      <c r="B7368" s="1">
        <v>45964</v>
      </c>
      <c r="C7368" s="2">
        <v>0.91666666666666663</v>
      </c>
      <c r="D7368">
        <v>11.5</v>
      </c>
      <c r="E7368">
        <f>IF($D7368 &gt; 16, 0, $J$3*(16 - $D7368))</f>
        <v>934.86889215313647</v>
      </c>
      <c r="F7368">
        <f>IF($D7368 &gt; 16, 0,$E7368*$J$5)</f>
        <v>10161089.988812441</v>
      </c>
      <c r="G7368">
        <f t="shared" si="115"/>
        <v>4.5</v>
      </c>
    </row>
    <row r="7369" spans="2:7" x14ac:dyDescent="0.35">
      <c r="B7369" s="1">
        <v>45964</v>
      </c>
      <c r="C7369" s="2">
        <v>0.95833333333333337</v>
      </c>
      <c r="D7369">
        <v>11.4</v>
      </c>
      <c r="E7369">
        <f>IF($D7369 &gt; 16, 0, $J$3*(16 - $D7369))</f>
        <v>955.64375642320613</v>
      </c>
      <c r="F7369">
        <f>IF($D7369 &gt; 16, 0,$E7369*$J$5)</f>
        <v>10386891.988563828</v>
      </c>
      <c r="G7369">
        <f t="shared" si="115"/>
        <v>4.5999999999999996</v>
      </c>
    </row>
    <row r="7370" spans="2:7" x14ac:dyDescent="0.35">
      <c r="B7370" s="1">
        <v>45965</v>
      </c>
      <c r="C7370" s="2">
        <v>0</v>
      </c>
      <c r="D7370">
        <v>11.7</v>
      </c>
      <c r="E7370">
        <f>IF($D7370 &gt; 16, 0, $J$3*(16 - $D7370))</f>
        <v>893.31916361299716</v>
      </c>
      <c r="F7370">
        <f>IF($D7370 &gt; 16, 0,$E7370*$J$5)</f>
        <v>9709485.9893096667</v>
      </c>
      <c r="G7370">
        <f t="shared" si="115"/>
        <v>4.3000000000000007</v>
      </c>
    </row>
    <row r="7371" spans="2:7" x14ac:dyDescent="0.35">
      <c r="B7371" s="1">
        <v>45965</v>
      </c>
      <c r="C7371" s="2">
        <v>4.1666666666666657E-2</v>
      </c>
      <c r="D7371">
        <v>11.5</v>
      </c>
      <c r="E7371">
        <f>IF($D7371 &gt; 16, 0, $J$3*(16 - $D7371))</f>
        <v>934.86889215313647</v>
      </c>
      <c r="F7371">
        <f>IF($D7371 &gt; 16, 0,$E7371*$J$5)</f>
        <v>10161089.988812441</v>
      </c>
      <c r="G7371">
        <f t="shared" si="115"/>
        <v>4.5</v>
      </c>
    </row>
    <row r="7372" spans="2:7" x14ac:dyDescent="0.35">
      <c r="B7372" s="1">
        <v>45965</v>
      </c>
      <c r="C7372" s="2">
        <v>8.3333333333333329E-2</v>
      </c>
      <c r="D7372">
        <v>11.5</v>
      </c>
      <c r="E7372">
        <f>IF($D7372 &gt; 16, 0, $J$3*(16 - $D7372))</f>
        <v>934.86889215313647</v>
      </c>
      <c r="F7372">
        <f>IF($D7372 &gt; 16, 0,$E7372*$J$5)</f>
        <v>10161089.988812441</v>
      </c>
      <c r="G7372">
        <f t="shared" si="115"/>
        <v>4.5</v>
      </c>
    </row>
    <row r="7373" spans="2:7" x14ac:dyDescent="0.35">
      <c r="B7373" s="1">
        <v>45965</v>
      </c>
      <c r="C7373" s="2">
        <v>0.125</v>
      </c>
      <c r="D7373">
        <v>11.5</v>
      </c>
      <c r="E7373">
        <f>IF($D7373 &gt; 16, 0, $J$3*(16 - $D7373))</f>
        <v>934.86889215313647</v>
      </c>
      <c r="F7373">
        <f>IF($D7373 &gt; 16, 0,$E7373*$J$5)</f>
        <v>10161089.988812441</v>
      </c>
      <c r="G7373">
        <f t="shared" si="115"/>
        <v>4.5</v>
      </c>
    </row>
    <row r="7374" spans="2:7" x14ac:dyDescent="0.35">
      <c r="B7374" s="1">
        <v>45965</v>
      </c>
      <c r="C7374" s="2">
        <v>0.16666666666666671</v>
      </c>
      <c r="D7374">
        <v>11.5</v>
      </c>
      <c r="E7374">
        <f>IF($D7374 &gt; 16, 0, $J$3*(16 - $D7374))</f>
        <v>934.86889215313647</v>
      </c>
      <c r="F7374">
        <f>IF($D7374 &gt; 16, 0,$E7374*$J$5)</f>
        <v>10161089.988812441</v>
      </c>
      <c r="G7374">
        <f t="shared" si="115"/>
        <v>4.5</v>
      </c>
    </row>
    <row r="7375" spans="2:7" x14ac:dyDescent="0.35">
      <c r="B7375" s="1">
        <v>45965</v>
      </c>
      <c r="C7375" s="2">
        <v>0.20833333333333329</v>
      </c>
      <c r="D7375">
        <v>11.2</v>
      </c>
      <c r="E7375">
        <f>IF($D7375 &gt; 16, 0, $J$3*(16 - $D7375))</f>
        <v>997.19348496334567</v>
      </c>
      <c r="F7375">
        <f>IF($D7375 &gt; 16, 0,$E7375*$J$5)</f>
        <v>10838495.988066604</v>
      </c>
      <c r="G7375">
        <f t="shared" si="115"/>
        <v>4.8000000000000007</v>
      </c>
    </row>
    <row r="7376" spans="2:7" x14ac:dyDescent="0.35">
      <c r="B7376" s="1">
        <v>45965</v>
      </c>
      <c r="C7376" s="2">
        <v>0.25</v>
      </c>
      <c r="D7376">
        <v>11.4</v>
      </c>
      <c r="E7376">
        <f>IF($D7376 &gt; 16, 0, $J$3*(16 - $D7376))</f>
        <v>955.64375642320613</v>
      </c>
      <c r="F7376">
        <f>IF($D7376 &gt; 16, 0,$E7376*$J$5)</f>
        <v>10386891.988563828</v>
      </c>
      <c r="G7376">
        <f t="shared" si="115"/>
        <v>4.5999999999999996</v>
      </c>
    </row>
    <row r="7377" spans="2:7" x14ac:dyDescent="0.35">
      <c r="B7377" s="1">
        <v>45965</v>
      </c>
      <c r="C7377" s="2">
        <v>0.29166666666666669</v>
      </c>
      <c r="D7377">
        <v>11.8</v>
      </c>
      <c r="E7377">
        <f>IF($D7377 &gt; 16, 0, $J$3*(16 - $D7377))</f>
        <v>872.54429934292716</v>
      </c>
      <c r="F7377">
        <f>IF($D7377 &gt; 16, 0,$E7377*$J$5)</f>
        <v>9483683.9895582758</v>
      </c>
      <c r="G7377">
        <f t="shared" si="115"/>
        <v>4.1999999999999993</v>
      </c>
    </row>
    <row r="7378" spans="2:7" x14ac:dyDescent="0.35">
      <c r="B7378" s="1">
        <v>45965</v>
      </c>
      <c r="C7378" s="2">
        <v>0.33333333333333331</v>
      </c>
      <c r="D7378">
        <v>12.5</v>
      </c>
      <c r="E7378">
        <f>IF($D7378 &gt; 16, 0, $J$3*(16 - $D7378))</f>
        <v>727.12024945243945</v>
      </c>
      <c r="F7378">
        <f>IF($D7378 &gt; 16, 0,$E7378*$J$5)</f>
        <v>7903069.9912985647</v>
      </c>
      <c r="G7378">
        <f t="shared" si="115"/>
        <v>3.5</v>
      </c>
    </row>
    <row r="7379" spans="2:7" x14ac:dyDescent="0.35">
      <c r="B7379" s="1">
        <v>45965</v>
      </c>
      <c r="C7379" s="2">
        <v>0.375</v>
      </c>
      <c r="D7379">
        <v>13</v>
      </c>
      <c r="E7379">
        <f>IF($D7379 &gt; 16, 0, $J$3*(16 - $D7379))</f>
        <v>623.24592810209094</v>
      </c>
      <c r="F7379">
        <f>IF($D7379 &gt; 16, 0,$E7379*$J$5)</f>
        <v>6774059.9925416261</v>
      </c>
      <c r="G7379">
        <f t="shared" si="115"/>
        <v>3</v>
      </c>
    </row>
    <row r="7380" spans="2:7" x14ac:dyDescent="0.35">
      <c r="B7380" s="1">
        <v>45965</v>
      </c>
      <c r="C7380" s="2">
        <v>0.41666666666666669</v>
      </c>
      <c r="D7380">
        <v>13.6</v>
      </c>
      <c r="E7380">
        <f>IF($D7380 &gt; 16, 0, $J$3*(16 - $D7380))</f>
        <v>498.59674248167283</v>
      </c>
      <c r="F7380">
        <f>IF($D7380 &gt; 16, 0,$E7380*$J$5)</f>
        <v>5419247.9940333022</v>
      </c>
      <c r="G7380">
        <f t="shared" si="115"/>
        <v>2.4000000000000004</v>
      </c>
    </row>
    <row r="7381" spans="2:7" x14ac:dyDescent="0.35">
      <c r="B7381" s="1">
        <v>45965</v>
      </c>
      <c r="C7381" s="2">
        <v>0.45833333333333331</v>
      </c>
      <c r="D7381">
        <v>14.5</v>
      </c>
      <c r="E7381">
        <f>IF($D7381 &gt; 16, 0, $J$3*(16 - $D7381))</f>
        <v>311.62296405104547</v>
      </c>
      <c r="F7381">
        <f>IF($D7381 &gt; 16, 0,$E7381*$J$5)</f>
        <v>3387029.996270813</v>
      </c>
      <c r="G7381">
        <f t="shared" si="115"/>
        <v>1.5</v>
      </c>
    </row>
    <row r="7382" spans="2:7" x14ac:dyDescent="0.35">
      <c r="B7382" s="1">
        <v>45965</v>
      </c>
      <c r="C7382" s="2">
        <v>0.5</v>
      </c>
      <c r="D7382">
        <v>15.2</v>
      </c>
      <c r="E7382">
        <f>IF($D7382 &gt; 16, 0, $J$3*(16 - $D7382))</f>
        <v>166.19891416055773</v>
      </c>
      <c r="F7382">
        <f>IF($D7382 &gt; 16, 0,$E7382*$J$5)</f>
        <v>1806415.998011102</v>
      </c>
      <c r="G7382">
        <f t="shared" si="115"/>
        <v>0.80000000000000071</v>
      </c>
    </row>
    <row r="7383" spans="2:7" x14ac:dyDescent="0.35">
      <c r="B7383" s="1">
        <v>45965</v>
      </c>
      <c r="C7383" s="2">
        <v>0.54166666666666663</v>
      </c>
      <c r="D7383">
        <v>14.9</v>
      </c>
      <c r="E7383">
        <f>IF($D7383 &gt; 16, 0, $J$3*(16 - $D7383))</f>
        <v>228.52350697076662</v>
      </c>
      <c r="F7383">
        <f>IF($D7383 &gt; 16, 0,$E7383*$J$5)</f>
        <v>2483821.9972652625</v>
      </c>
      <c r="G7383">
        <f t="shared" si="115"/>
        <v>1.0999999999999996</v>
      </c>
    </row>
    <row r="7384" spans="2:7" x14ac:dyDescent="0.35">
      <c r="B7384" s="1">
        <v>45965</v>
      </c>
      <c r="C7384" s="2">
        <v>0.58333333333333337</v>
      </c>
      <c r="D7384">
        <v>15.2</v>
      </c>
      <c r="E7384">
        <f>IF($D7384 &gt; 16, 0, $J$3*(16 - $D7384))</f>
        <v>166.19891416055773</v>
      </c>
      <c r="F7384">
        <f>IF($D7384 &gt; 16, 0,$E7384*$J$5)</f>
        <v>1806415.998011102</v>
      </c>
      <c r="G7384">
        <f t="shared" si="115"/>
        <v>0.80000000000000071</v>
      </c>
    </row>
    <row r="7385" spans="2:7" x14ac:dyDescent="0.35">
      <c r="B7385" s="1">
        <v>45965</v>
      </c>
      <c r="C7385" s="2">
        <v>0.625</v>
      </c>
      <c r="D7385">
        <v>14.9</v>
      </c>
      <c r="E7385">
        <f>IF($D7385 &gt; 16, 0, $J$3*(16 - $D7385))</f>
        <v>228.52350697076662</v>
      </c>
      <c r="F7385">
        <f>IF($D7385 &gt; 16, 0,$E7385*$J$5)</f>
        <v>2483821.9972652625</v>
      </c>
      <c r="G7385">
        <f t="shared" si="115"/>
        <v>1.0999999999999996</v>
      </c>
    </row>
    <row r="7386" spans="2:7" x14ac:dyDescent="0.35">
      <c r="B7386" s="1">
        <v>45965</v>
      </c>
      <c r="C7386" s="2">
        <v>0.66666666666666663</v>
      </c>
      <c r="D7386">
        <v>14.5</v>
      </c>
      <c r="E7386">
        <f>IF($D7386 &gt; 16, 0, $J$3*(16 - $D7386))</f>
        <v>311.62296405104547</v>
      </c>
      <c r="F7386">
        <f>IF($D7386 &gt; 16, 0,$E7386*$J$5)</f>
        <v>3387029.996270813</v>
      </c>
      <c r="G7386">
        <f t="shared" si="115"/>
        <v>1.5</v>
      </c>
    </row>
    <row r="7387" spans="2:7" x14ac:dyDescent="0.35">
      <c r="B7387" s="1">
        <v>45965</v>
      </c>
      <c r="C7387" s="2">
        <v>0.70833333333333337</v>
      </c>
      <c r="D7387">
        <v>13.5</v>
      </c>
      <c r="E7387">
        <f>IF($D7387 &gt; 16, 0, $J$3*(16 - $D7387))</f>
        <v>519.37160675174243</v>
      </c>
      <c r="F7387">
        <f>IF($D7387 &gt; 16, 0,$E7387*$J$5)</f>
        <v>5645049.9937846884</v>
      </c>
      <c r="G7387">
        <f t="shared" si="115"/>
        <v>2.5</v>
      </c>
    </row>
    <row r="7388" spans="2:7" x14ac:dyDescent="0.35">
      <c r="B7388" s="1">
        <v>45965</v>
      </c>
      <c r="C7388" s="2">
        <v>0.75</v>
      </c>
      <c r="D7388">
        <v>12.6</v>
      </c>
      <c r="E7388">
        <f>IF($D7388 &gt; 16, 0, $J$3*(16 - $D7388))</f>
        <v>706.3453851823698</v>
      </c>
      <c r="F7388">
        <f>IF($D7388 &gt; 16, 0,$E7388*$J$5)</f>
        <v>7677267.9915471775</v>
      </c>
      <c r="G7388">
        <f t="shared" si="115"/>
        <v>3.4000000000000004</v>
      </c>
    </row>
    <row r="7389" spans="2:7" x14ac:dyDescent="0.35">
      <c r="B7389" s="1">
        <v>45965</v>
      </c>
      <c r="C7389" s="2">
        <v>0.79166666666666663</v>
      </c>
      <c r="D7389">
        <v>12.4</v>
      </c>
      <c r="E7389">
        <f>IF($D7389 &gt; 16, 0, $J$3*(16 - $D7389))</f>
        <v>747.89511372250911</v>
      </c>
      <c r="F7389">
        <f>IF($D7389 &gt; 16, 0,$E7389*$J$5)</f>
        <v>8128871.9910499519</v>
      </c>
      <c r="G7389">
        <f t="shared" si="115"/>
        <v>3.5999999999999996</v>
      </c>
    </row>
    <row r="7390" spans="2:7" x14ac:dyDescent="0.35">
      <c r="B7390" s="1">
        <v>45965</v>
      </c>
      <c r="C7390" s="2">
        <v>0.83333333333333337</v>
      </c>
      <c r="D7390">
        <v>12</v>
      </c>
      <c r="E7390">
        <f>IF($D7390 &gt; 16, 0, $J$3*(16 - $D7390))</f>
        <v>830.99457080278796</v>
      </c>
      <c r="F7390">
        <f>IF($D7390 &gt; 16, 0,$E7390*$J$5)</f>
        <v>9032079.9900555015</v>
      </c>
      <c r="G7390">
        <f t="shared" si="115"/>
        <v>4</v>
      </c>
    </row>
    <row r="7391" spans="2:7" x14ac:dyDescent="0.35">
      <c r="B7391" s="1">
        <v>45965</v>
      </c>
      <c r="C7391" s="2">
        <v>0.875</v>
      </c>
      <c r="D7391">
        <v>11.9</v>
      </c>
      <c r="E7391">
        <f>IF($D7391 &gt; 16, 0, $J$3*(16 - $D7391))</f>
        <v>851.76943507285762</v>
      </c>
      <c r="F7391">
        <f>IF($D7391 &gt; 16, 0,$E7391*$J$5)</f>
        <v>9257881.9898068886</v>
      </c>
      <c r="G7391">
        <f t="shared" si="115"/>
        <v>4.0999999999999996</v>
      </c>
    </row>
    <row r="7392" spans="2:7" x14ac:dyDescent="0.35">
      <c r="B7392" s="1">
        <v>45965</v>
      </c>
      <c r="C7392" s="2">
        <v>0.91666666666666663</v>
      </c>
      <c r="D7392">
        <v>11.2</v>
      </c>
      <c r="E7392">
        <f>IF($D7392 &gt; 16, 0, $J$3*(16 - $D7392))</f>
        <v>997.19348496334567</v>
      </c>
      <c r="F7392">
        <f>IF($D7392 &gt; 16, 0,$E7392*$J$5)</f>
        <v>10838495.988066604</v>
      </c>
      <c r="G7392">
        <f t="shared" si="115"/>
        <v>4.8000000000000007</v>
      </c>
    </row>
    <row r="7393" spans="2:7" x14ac:dyDescent="0.35">
      <c r="B7393" s="1">
        <v>45965</v>
      </c>
      <c r="C7393" s="2">
        <v>0.95833333333333337</v>
      </c>
      <c r="D7393">
        <v>10.1</v>
      </c>
      <c r="E7393">
        <f>IF($D7393 &gt; 16, 0, $J$3*(16 - $D7393))</f>
        <v>1225.7169919341122</v>
      </c>
      <c r="F7393">
        <f>IF($D7393 &gt; 16, 0,$E7393*$J$5)</f>
        <v>13322317.985331865</v>
      </c>
      <c r="G7393">
        <f t="shared" si="115"/>
        <v>5.9</v>
      </c>
    </row>
    <row r="7394" spans="2:7" x14ac:dyDescent="0.35">
      <c r="B7394" s="1">
        <v>45966</v>
      </c>
      <c r="C7394" s="2">
        <v>0</v>
      </c>
      <c r="D7394">
        <v>9.9</v>
      </c>
      <c r="E7394">
        <f>IF($D7394 &gt; 16, 0, $J$3*(16 - $D7394))</f>
        <v>1267.2667204742515</v>
      </c>
      <c r="F7394">
        <f>IF($D7394 &gt; 16, 0,$E7394*$J$5)</f>
        <v>13773921.984834639</v>
      </c>
      <c r="G7394">
        <f t="shared" si="115"/>
        <v>6.1</v>
      </c>
    </row>
    <row r="7395" spans="2:7" x14ac:dyDescent="0.35">
      <c r="B7395" s="1">
        <v>45966</v>
      </c>
      <c r="C7395" s="2">
        <v>4.1666666666666657E-2</v>
      </c>
      <c r="D7395">
        <v>10.1</v>
      </c>
      <c r="E7395">
        <f>IF($D7395 &gt; 16, 0, $J$3*(16 - $D7395))</f>
        <v>1225.7169919341122</v>
      </c>
      <c r="F7395">
        <f>IF($D7395 &gt; 16, 0,$E7395*$J$5)</f>
        <v>13322317.985331865</v>
      </c>
      <c r="G7395">
        <f t="shared" si="115"/>
        <v>5.9</v>
      </c>
    </row>
    <row r="7396" spans="2:7" x14ac:dyDescent="0.35">
      <c r="B7396" s="1">
        <v>45966</v>
      </c>
      <c r="C7396" s="2">
        <v>8.3333333333333329E-2</v>
      </c>
      <c r="D7396">
        <v>10.5</v>
      </c>
      <c r="E7396">
        <f>IF($D7396 &gt; 16, 0, $J$3*(16 - $D7396))</f>
        <v>1142.6175348538334</v>
      </c>
      <c r="F7396">
        <f>IF($D7396 &gt; 16, 0,$E7396*$J$5)</f>
        <v>12419109.986326315</v>
      </c>
      <c r="G7396">
        <f t="shared" si="115"/>
        <v>5.5</v>
      </c>
    </row>
    <row r="7397" spans="2:7" x14ac:dyDescent="0.35">
      <c r="B7397" s="1">
        <v>45966</v>
      </c>
      <c r="C7397" s="2">
        <v>0.125</v>
      </c>
      <c r="D7397">
        <v>10.4</v>
      </c>
      <c r="E7397">
        <f>IF($D7397 &gt; 16, 0, $J$3*(16 - $D7397))</f>
        <v>1163.392399123903</v>
      </c>
      <c r="F7397">
        <f>IF($D7397 &gt; 16, 0,$E7397*$J$5)</f>
        <v>12644911.986077702</v>
      </c>
      <c r="G7397">
        <f t="shared" si="115"/>
        <v>5.6</v>
      </c>
    </row>
    <row r="7398" spans="2:7" x14ac:dyDescent="0.35">
      <c r="B7398" s="1">
        <v>45966</v>
      </c>
      <c r="C7398" s="2">
        <v>0.16666666666666671</v>
      </c>
      <c r="D7398">
        <v>10.3</v>
      </c>
      <c r="E7398">
        <f>IF($D7398 &gt; 16, 0, $J$3*(16 - $D7398))</f>
        <v>1184.1672633939727</v>
      </c>
      <c r="F7398">
        <f>IF($D7398 &gt; 16, 0,$E7398*$J$5)</f>
        <v>12870713.985829089</v>
      </c>
      <c r="G7398">
        <f t="shared" si="115"/>
        <v>5.6999999999999993</v>
      </c>
    </row>
    <row r="7399" spans="2:7" x14ac:dyDescent="0.35">
      <c r="B7399" s="1">
        <v>45966</v>
      </c>
      <c r="C7399" s="2">
        <v>0.20833333333333329</v>
      </c>
      <c r="D7399">
        <v>9.4</v>
      </c>
      <c r="E7399">
        <f>IF($D7399 &gt; 16, 0, $J$3*(16 - $D7399))</f>
        <v>1371.1410418246001</v>
      </c>
      <c r="F7399">
        <f>IF($D7399 &gt; 16, 0,$E7399*$J$5)</f>
        <v>14902931.983591577</v>
      </c>
      <c r="G7399">
        <f t="shared" si="115"/>
        <v>6.6</v>
      </c>
    </row>
    <row r="7400" spans="2:7" x14ac:dyDescent="0.35">
      <c r="B7400" s="1">
        <v>45966</v>
      </c>
      <c r="C7400" s="2">
        <v>0.25</v>
      </c>
      <c r="D7400">
        <v>9.8000000000000007</v>
      </c>
      <c r="E7400">
        <f>IF($D7400 &gt; 16, 0, $J$3*(16 - $D7400))</f>
        <v>1288.0415847443212</v>
      </c>
      <c r="F7400">
        <f>IF($D7400 &gt; 16, 0,$E7400*$J$5)</f>
        <v>13999723.984586027</v>
      </c>
      <c r="G7400">
        <f t="shared" si="115"/>
        <v>6.1999999999999993</v>
      </c>
    </row>
    <row r="7401" spans="2:7" x14ac:dyDescent="0.35">
      <c r="B7401" s="1">
        <v>45966</v>
      </c>
      <c r="C7401" s="2">
        <v>0.29166666666666669</v>
      </c>
      <c r="D7401">
        <v>9.9</v>
      </c>
      <c r="E7401">
        <f>IF($D7401 &gt; 16, 0, $J$3*(16 - $D7401))</f>
        <v>1267.2667204742515</v>
      </c>
      <c r="F7401">
        <f>IF($D7401 &gt; 16, 0,$E7401*$J$5)</f>
        <v>13773921.984834639</v>
      </c>
      <c r="G7401">
        <f t="shared" si="115"/>
        <v>6.1</v>
      </c>
    </row>
    <row r="7402" spans="2:7" x14ac:dyDescent="0.35">
      <c r="B7402" s="1">
        <v>45966</v>
      </c>
      <c r="C7402" s="2">
        <v>0.33333333333333331</v>
      </c>
      <c r="D7402">
        <v>10.9</v>
      </c>
      <c r="E7402">
        <f>IF($D7402 &gt; 16, 0, $J$3*(16 - $D7402))</f>
        <v>1059.5180777735545</v>
      </c>
      <c r="F7402">
        <f>IF($D7402 &gt; 16, 0,$E7402*$J$5)</f>
        <v>11515901.987320764</v>
      </c>
      <c r="G7402">
        <f t="shared" si="115"/>
        <v>5.0999999999999996</v>
      </c>
    </row>
    <row r="7403" spans="2:7" x14ac:dyDescent="0.35">
      <c r="B7403" s="1">
        <v>45966</v>
      </c>
      <c r="C7403" s="2">
        <v>0.375</v>
      </c>
      <c r="D7403">
        <v>12.3</v>
      </c>
      <c r="E7403">
        <f>IF($D7403 &gt; 16, 0, $J$3*(16 - $D7403))</f>
        <v>768.66997799257877</v>
      </c>
      <c r="F7403">
        <f>IF($D7403 &gt; 16, 0,$E7403*$J$5)</f>
        <v>8354673.990801339</v>
      </c>
      <c r="G7403">
        <f t="shared" si="115"/>
        <v>3.6999999999999993</v>
      </c>
    </row>
    <row r="7404" spans="2:7" x14ac:dyDescent="0.35">
      <c r="B7404" s="1">
        <v>45966</v>
      </c>
      <c r="C7404" s="2">
        <v>0.41666666666666669</v>
      </c>
      <c r="D7404">
        <v>14.6</v>
      </c>
      <c r="E7404">
        <f>IF($D7404 &gt; 16, 0, $J$3*(16 - $D7404))</f>
        <v>290.84809978097587</v>
      </c>
      <c r="F7404">
        <f>IF($D7404 &gt; 16, 0,$E7404*$J$5)</f>
        <v>3161227.9965194268</v>
      </c>
      <c r="G7404">
        <f t="shared" si="115"/>
        <v>1.4000000000000004</v>
      </c>
    </row>
    <row r="7405" spans="2:7" x14ac:dyDescent="0.35">
      <c r="B7405" s="1">
        <v>45966</v>
      </c>
      <c r="C7405" s="2">
        <v>0.45833333333333331</v>
      </c>
      <c r="D7405">
        <v>16.100000000000001</v>
      </c>
      <c r="E7405">
        <f>IF($D7405 &gt; 16, 0, $J$3*(16 - $D7405))</f>
        <v>0</v>
      </c>
      <c r="F7405">
        <f>IF($D7405 &gt; 16, 0,$E7405*$J$5)</f>
        <v>0</v>
      </c>
      <c r="G7405">
        <f t="shared" si="115"/>
        <v>0</v>
      </c>
    </row>
    <row r="7406" spans="2:7" x14ac:dyDescent="0.35">
      <c r="B7406" s="1">
        <v>45966</v>
      </c>
      <c r="C7406" s="2">
        <v>0.5</v>
      </c>
      <c r="D7406">
        <v>16.600000000000001</v>
      </c>
      <c r="E7406">
        <f>IF($D7406 &gt; 16, 0, $J$3*(16 - $D7406))</f>
        <v>0</v>
      </c>
      <c r="F7406">
        <f>IF($D7406 &gt; 16, 0,$E7406*$J$5)</f>
        <v>0</v>
      </c>
      <c r="G7406">
        <f t="shared" si="115"/>
        <v>0</v>
      </c>
    </row>
    <row r="7407" spans="2:7" x14ac:dyDescent="0.35">
      <c r="B7407" s="1">
        <v>45966</v>
      </c>
      <c r="C7407" s="2">
        <v>0.54166666666666663</v>
      </c>
      <c r="D7407">
        <v>17</v>
      </c>
      <c r="E7407">
        <f>IF($D7407 &gt; 16, 0, $J$3*(16 - $D7407))</f>
        <v>0</v>
      </c>
      <c r="F7407">
        <f>IF($D7407 &gt; 16, 0,$E7407*$J$5)</f>
        <v>0</v>
      </c>
      <c r="G7407">
        <f t="shared" si="115"/>
        <v>0</v>
      </c>
    </row>
    <row r="7408" spans="2:7" x14ac:dyDescent="0.35">
      <c r="B7408" s="1">
        <v>45966</v>
      </c>
      <c r="C7408" s="2">
        <v>0.58333333333333337</v>
      </c>
      <c r="D7408">
        <v>17</v>
      </c>
      <c r="E7408">
        <f>IF($D7408 &gt; 16, 0, $J$3*(16 - $D7408))</f>
        <v>0</v>
      </c>
      <c r="F7408">
        <f>IF($D7408 &gt; 16, 0,$E7408*$J$5)</f>
        <v>0</v>
      </c>
      <c r="G7408">
        <f t="shared" si="115"/>
        <v>0</v>
      </c>
    </row>
    <row r="7409" spans="2:7" x14ac:dyDescent="0.35">
      <c r="B7409" s="1">
        <v>45966</v>
      </c>
      <c r="C7409" s="2">
        <v>0.625</v>
      </c>
      <c r="D7409">
        <v>14.3</v>
      </c>
      <c r="E7409">
        <f>IF($D7409 &gt; 16, 0, $J$3*(16 - $D7409))</f>
        <v>353.17269259118473</v>
      </c>
      <c r="F7409">
        <f>IF($D7409 &gt; 16, 0,$E7409*$J$5)</f>
        <v>3838633.9957735869</v>
      </c>
      <c r="G7409">
        <f t="shared" si="115"/>
        <v>1.6999999999999993</v>
      </c>
    </row>
    <row r="7410" spans="2:7" x14ac:dyDescent="0.35">
      <c r="B7410" s="1">
        <v>45966</v>
      </c>
      <c r="C7410" s="2">
        <v>0.66666666666666663</v>
      </c>
      <c r="D7410">
        <v>13.7</v>
      </c>
      <c r="E7410">
        <f>IF($D7410 &gt; 16, 0, $J$3*(16 - $D7410))</f>
        <v>477.82187821160323</v>
      </c>
      <c r="F7410">
        <f>IF($D7410 &gt; 16, 0,$E7410*$J$5)</f>
        <v>5193445.9942819159</v>
      </c>
      <c r="G7410">
        <f t="shared" si="115"/>
        <v>2.3000000000000007</v>
      </c>
    </row>
    <row r="7411" spans="2:7" x14ac:dyDescent="0.35">
      <c r="B7411" s="1">
        <v>45966</v>
      </c>
      <c r="C7411" s="2">
        <v>0.70833333333333337</v>
      </c>
      <c r="D7411">
        <v>14.5</v>
      </c>
      <c r="E7411">
        <f>IF($D7411 &gt; 16, 0, $J$3*(16 - $D7411))</f>
        <v>311.62296405104547</v>
      </c>
      <c r="F7411">
        <f>IF($D7411 &gt; 16, 0,$E7411*$J$5)</f>
        <v>3387029.996270813</v>
      </c>
      <c r="G7411">
        <f t="shared" si="115"/>
        <v>1.5</v>
      </c>
    </row>
    <row r="7412" spans="2:7" x14ac:dyDescent="0.35">
      <c r="B7412" s="1">
        <v>45966</v>
      </c>
      <c r="C7412" s="2">
        <v>0.75</v>
      </c>
      <c r="D7412">
        <v>13.9</v>
      </c>
      <c r="E7412">
        <f>IF($D7412 &gt; 16, 0, $J$3*(16 - $D7412))</f>
        <v>436.27214967146358</v>
      </c>
      <c r="F7412">
        <f>IF($D7412 &gt; 16, 0,$E7412*$J$5)</f>
        <v>4741841.9947791379</v>
      </c>
      <c r="G7412">
        <f t="shared" si="115"/>
        <v>2.0999999999999996</v>
      </c>
    </row>
    <row r="7413" spans="2:7" x14ac:dyDescent="0.35">
      <c r="B7413" s="1">
        <v>45966</v>
      </c>
      <c r="C7413" s="2">
        <v>0.79166666666666663</v>
      </c>
      <c r="D7413">
        <v>12.8</v>
      </c>
      <c r="E7413">
        <f>IF($D7413 &gt; 16, 0, $J$3*(16 - $D7413))</f>
        <v>664.79565664223026</v>
      </c>
      <c r="F7413">
        <f>IF($D7413 &gt; 16, 0,$E7413*$J$5)</f>
        <v>7225663.9920444004</v>
      </c>
      <c r="G7413">
        <f t="shared" si="115"/>
        <v>3.1999999999999993</v>
      </c>
    </row>
    <row r="7414" spans="2:7" x14ac:dyDescent="0.35">
      <c r="B7414" s="1">
        <v>45966</v>
      </c>
      <c r="C7414" s="2">
        <v>0.83333333333333337</v>
      </c>
      <c r="D7414">
        <v>12</v>
      </c>
      <c r="E7414">
        <f>IF($D7414 &gt; 16, 0, $J$3*(16 - $D7414))</f>
        <v>830.99457080278796</v>
      </c>
      <c r="F7414">
        <f>IF($D7414 &gt; 16, 0,$E7414*$J$5)</f>
        <v>9032079.9900555015</v>
      </c>
      <c r="G7414">
        <f t="shared" si="115"/>
        <v>4</v>
      </c>
    </row>
    <row r="7415" spans="2:7" x14ac:dyDescent="0.35">
      <c r="B7415" s="1">
        <v>45966</v>
      </c>
      <c r="C7415" s="2">
        <v>0.875</v>
      </c>
      <c r="D7415">
        <v>12</v>
      </c>
      <c r="E7415">
        <f>IF($D7415 &gt; 16, 0, $J$3*(16 - $D7415))</f>
        <v>830.99457080278796</v>
      </c>
      <c r="F7415">
        <f>IF($D7415 &gt; 16, 0,$E7415*$J$5)</f>
        <v>9032079.9900555015</v>
      </c>
      <c r="G7415">
        <f t="shared" si="115"/>
        <v>4</v>
      </c>
    </row>
    <row r="7416" spans="2:7" x14ac:dyDescent="0.35">
      <c r="B7416" s="1">
        <v>45966</v>
      </c>
      <c r="C7416" s="2">
        <v>0.91666666666666663</v>
      </c>
      <c r="D7416">
        <v>11.3</v>
      </c>
      <c r="E7416">
        <f>IF($D7416 &gt; 16, 0, $J$3*(16 - $D7416))</f>
        <v>976.41862069327567</v>
      </c>
      <c r="F7416">
        <f>IF($D7416 &gt; 16, 0,$E7416*$J$5)</f>
        <v>10612693.988315213</v>
      </c>
      <c r="G7416">
        <f t="shared" si="115"/>
        <v>4.6999999999999993</v>
      </c>
    </row>
    <row r="7417" spans="2:7" x14ac:dyDescent="0.35">
      <c r="B7417" s="1">
        <v>45966</v>
      </c>
      <c r="C7417" s="2">
        <v>0.95833333333333337</v>
      </c>
      <c r="D7417">
        <v>9.8000000000000007</v>
      </c>
      <c r="E7417">
        <f>IF($D7417 &gt; 16, 0, $J$3*(16 - $D7417))</f>
        <v>1288.0415847443212</v>
      </c>
      <c r="F7417">
        <f>IF($D7417 &gt; 16, 0,$E7417*$J$5)</f>
        <v>13999723.984586027</v>
      </c>
      <c r="G7417">
        <f t="shared" si="115"/>
        <v>6.1999999999999993</v>
      </c>
    </row>
    <row r="7418" spans="2:7" x14ac:dyDescent="0.35">
      <c r="B7418" s="1">
        <v>45967</v>
      </c>
      <c r="C7418" s="2">
        <v>0</v>
      </c>
      <c r="D7418">
        <v>9</v>
      </c>
      <c r="E7418">
        <f>IF($D7418 &gt; 16, 0, $J$3*(16 - $D7418))</f>
        <v>1454.2404989048789</v>
      </c>
      <c r="F7418">
        <f>IF($D7418 &gt; 16, 0,$E7418*$J$5)</f>
        <v>15806139.982597129</v>
      </c>
      <c r="G7418">
        <f t="shared" si="115"/>
        <v>7</v>
      </c>
    </row>
    <row r="7419" spans="2:7" x14ac:dyDescent="0.35">
      <c r="B7419" s="1">
        <v>45967</v>
      </c>
      <c r="C7419" s="2">
        <v>4.1666666666666657E-2</v>
      </c>
      <c r="D7419">
        <v>8.3000000000000007</v>
      </c>
      <c r="E7419">
        <f>IF($D7419 &gt; 16, 0, $J$3*(16 - $D7419))</f>
        <v>1599.6645487953667</v>
      </c>
      <c r="F7419">
        <f>IF($D7419 &gt; 16, 0,$E7419*$J$5)</f>
        <v>17386753.98085684</v>
      </c>
      <c r="G7419">
        <f t="shared" si="115"/>
        <v>7.6999999999999993</v>
      </c>
    </row>
    <row r="7420" spans="2:7" x14ac:dyDescent="0.35">
      <c r="B7420" s="1">
        <v>45967</v>
      </c>
      <c r="C7420" s="2">
        <v>8.3333333333333329E-2</v>
      </c>
      <c r="D7420">
        <v>8.3000000000000007</v>
      </c>
      <c r="E7420">
        <f>IF($D7420 &gt; 16, 0, $J$3*(16 - $D7420))</f>
        <v>1599.6645487953667</v>
      </c>
      <c r="F7420">
        <f>IF($D7420 &gt; 16, 0,$E7420*$J$5)</f>
        <v>17386753.98085684</v>
      </c>
      <c r="G7420">
        <f t="shared" si="115"/>
        <v>7.6999999999999993</v>
      </c>
    </row>
    <row r="7421" spans="2:7" x14ac:dyDescent="0.35">
      <c r="B7421" s="1">
        <v>45967</v>
      </c>
      <c r="C7421" s="2">
        <v>0.125</v>
      </c>
      <c r="D7421">
        <v>8</v>
      </c>
      <c r="E7421">
        <f>IF($D7421 &gt; 16, 0, $J$3*(16 - $D7421))</f>
        <v>1661.9891416055759</v>
      </c>
      <c r="F7421">
        <f>IF($D7421 &gt; 16, 0,$E7421*$J$5)</f>
        <v>18064159.980111003</v>
      </c>
      <c r="G7421">
        <f t="shared" si="115"/>
        <v>8</v>
      </c>
    </row>
    <row r="7422" spans="2:7" x14ac:dyDescent="0.35">
      <c r="B7422" s="1">
        <v>45967</v>
      </c>
      <c r="C7422" s="2">
        <v>0.16666666666666671</v>
      </c>
      <c r="D7422">
        <v>7.8</v>
      </c>
      <c r="E7422">
        <f>IF($D7422 &gt; 16, 0, $J$3*(16 - $D7422))</f>
        <v>1703.5388701457152</v>
      </c>
      <c r="F7422">
        <f>IF($D7422 &gt; 16, 0,$E7422*$J$5)</f>
        <v>18515763.979613777</v>
      </c>
      <c r="G7422">
        <f t="shared" si="115"/>
        <v>8.1999999999999993</v>
      </c>
    </row>
    <row r="7423" spans="2:7" x14ac:dyDescent="0.35">
      <c r="B7423" s="1">
        <v>45967</v>
      </c>
      <c r="C7423" s="2">
        <v>0.20833333333333329</v>
      </c>
      <c r="D7423">
        <v>7.2</v>
      </c>
      <c r="E7423">
        <f>IF($D7423 &gt; 16, 0, $J$3*(16 - $D7423))</f>
        <v>1828.1880557661336</v>
      </c>
      <c r="F7423">
        <f>IF($D7423 &gt; 16, 0,$E7423*$J$5)</f>
        <v>19870575.978122108</v>
      </c>
      <c r="G7423">
        <f t="shared" si="115"/>
        <v>8.8000000000000007</v>
      </c>
    </row>
    <row r="7424" spans="2:7" x14ac:dyDescent="0.35">
      <c r="B7424" s="1">
        <v>45967</v>
      </c>
      <c r="C7424" s="2">
        <v>0.25</v>
      </c>
      <c r="D7424">
        <v>6.7</v>
      </c>
      <c r="E7424">
        <f>IF($D7424 &gt; 16, 0, $J$3*(16 - $D7424))</f>
        <v>1932.0623771164821</v>
      </c>
      <c r="F7424">
        <f>IF($D7424 &gt; 16, 0,$E7424*$J$5)</f>
        <v>20999585.976879045</v>
      </c>
      <c r="G7424">
        <f t="shared" si="115"/>
        <v>9.3000000000000007</v>
      </c>
    </row>
    <row r="7425" spans="2:7" x14ac:dyDescent="0.35">
      <c r="B7425" s="1">
        <v>45967</v>
      </c>
      <c r="C7425" s="2">
        <v>0.29166666666666669</v>
      </c>
      <c r="D7425">
        <v>5.2</v>
      </c>
      <c r="E7425">
        <f>IF($D7425 &gt; 16, 0, $J$3*(16 - $D7425))</f>
        <v>2243.6853411675274</v>
      </c>
      <c r="F7425">
        <f>IF($D7425 &gt; 16, 0,$E7425*$J$5)</f>
        <v>24386615.973149855</v>
      </c>
      <c r="G7425">
        <f t="shared" si="115"/>
        <v>10.8</v>
      </c>
    </row>
    <row r="7426" spans="2:7" x14ac:dyDescent="0.35">
      <c r="B7426" s="1">
        <v>45967</v>
      </c>
      <c r="C7426" s="2">
        <v>0.33333333333333331</v>
      </c>
      <c r="D7426">
        <v>6.7</v>
      </c>
      <c r="E7426">
        <f>IF($D7426 &gt; 16, 0, $J$3*(16 - $D7426))</f>
        <v>1932.0623771164821</v>
      </c>
      <c r="F7426">
        <f>IF($D7426 &gt; 16, 0,$E7426*$J$5)</f>
        <v>20999585.976879045</v>
      </c>
      <c r="G7426">
        <f t="shared" si="115"/>
        <v>9.3000000000000007</v>
      </c>
    </row>
    <row r="7427" spans="2:7" x14ac:dyDescent="0.35">
      <c r="B7427" s="1">
        <v>45967</v>
      </c>
      <c r="C7427" s="2">
        <v>0.375</v>
      </c>
      <c r="D7427">
        <v>8.1999999999999993</v>
      </c>
      <c r="E7427">
        <f>IF($D7427 &gt; 16, 0, $J$3*(16 - $D7427))</f>
        <v>1620.4394130654366</v>
      </c>
      <c r="F7427">
        <f>IF($D7427 &gt; 16, 0,$E7427*$J$5)</f>
        <v>17612555.980608232</v>
      </c>
      <c r="G7427">
        <f t="shared" ref="G7427:G7490" si="116">MAX(0, 16 - $D7427)</f>
        <v>7.8000000000000007</v>
      </c>
    </row>
    <row r="7428" spans="2:7" x14ac:dyDescent="0.35">
      <c r="B7428" s="1">
        <v>45967</v>
      </c>
      <c r="C7428" s="2">
        <v>0.41666666666666669</v>
      </c>
      <c r="D7428">
        <v>10.5</v>
      </c>
      <c r="E7428">
        <f>IF($D7428 &gt; 16, 0, $J$3*(16 - $D7428))</f>
        <v>1142.6175348538334</v>
      </c>
      <c r="F7428">
        <f>IF($D7428 &gt; 16, 0,$E7428*$J$5)</f>
        <v>12419109.986326315</v>
      </c>
      <c r="G7428">
        <f t="shared" si="116"/>
        <v>5.5</v>
      </c>
    </row>
    <row r="7429" spans="2:7" x14ac:dyDescent="0.35">
      <c r="B7429" s="1">
        <v>45967</v>
      </c>
      <c r="C7429" s="2">
        <v>0.45833333333333331</v>
      </c>
      <c r="D7429">
        <v>12.4</v>
      </c>
      <c r="E7429">
        <f>IF($D7429 &gt; 16, 0, $J$3*(16 - $D7429))</f>
        <v>747.89511372250911</v>
      </c>
      <c r="F7429">
        <f>IF($D7429 &gt; 16, 0,$E7429*$J$5)</f>
        <v>8128871.9910499519</v>
      </c>
      <c r="G7429">
        <f t="shared" si="116"/>
        <v>3.5999999999999996</v>
      </c>
    </row>
    <row r="7430" spans="2:7" x14ac:dyDescent="0.35">
      <c r="B7430" s="1">
        <v>45967</v>
      </c>
      <c r="C7430" s="2">
        <v>0.5</v>
      </c>
      <c r="D7430">
        <v>13.8</v>
      </c>
      <c r="E7430">
        <f>IF($D7430 &gt; 16, 0, $J$3*(16 - $D7430))</f>
        <v>457.04701394153324</v>
      </c>
      <c r="F7430">
        <f>IF($D7430 &gt; 16, 0,$E7430*$J$5)</f>
        <v>4967643.9945305251</v>
      </c>
      <c r="G7430">
        <f t="shared" si="116"/>
        <v>2.1999999999999993</v>
      </c>
    </row>
    <row r="7431" spans="2:7" x14ac:dyDescent="0.35">
      <c r="B7431" s="1">
        <v>45967</v>
      </c>
      <c r="C7431" s="2">
        <v>0.54166666666666663</v>
      </c>
      <c r="D7431">
        <v>13.9</v>
      </c>
      <c r="E7431">
        <f>IF($D7431 &gt; 16, 0, $J$3*(16 - $D7431))</f>
        <v>436.27214967146358</v>
      </c>
      <c r="F7431">
        <f>IF($D7431 &gt; 16, 0,$E7431*$J$5)</f>
        <v>4741841.9947791379</v>
      </c>
      <c r="G7431">
        <f t="shared" si="116"/>
        <v>2.0999999999999996</v>
      </c>
    </row>
    <row r="7432" spans="2:7" x14ac:dyDescent="0.35">
      <c r="B7432" s="1">
        <v>45967</v>
      </c>
      <c r="C7432" s="2">
        <v>0.58333333333333337</v>
      </c>
      <c r="D7432">
        <v>13.3</v>
      </c>
      <c r="E7432">
        <f>IF($D7432 &gt; 16, 0, $J$3*(16 - $D7432))</f>
        <v>560.92133529188175</v>
      </c>
      <c r="F7432">
        <f>IF($D7432 &gt; 16, 0,$E7432*$J$5)</f>
        <v>6096653.9932874627</v>
      </c>
      <c r="G7432">
        <f t="shared" si="116"/>
        <v>2.6999999999999993</v>
      </c>
    </row>
    <row r="7433" spans="2:7" x14ac:dyDescent="0.35">
      <c r="B7433" s="1">
        <v>45967</v>
      </c>
      <c r="C7433" s="2">
        <v>0.625</v>
      </c>
      <c r="D7433">
        <v>12.3</v>
      </c>
      <c r="E7433">
        <f>IF($D7433 &gt; 16, 0, $J$3*(16 - $D7433))</f>
        <v>768.66997799257877</v>
      </c>
      <c r="F7433">
        <f>IF($D7433 &gt; 16, 0,$E7433*$J$5)</f>
        <v>8354673.990801339</v>
      </c>
      <c r="G7433">
        <f t="shared" si="116"/>
        <v>3.6999999999999993</v>
      </c>
    </row>
    <row r="7434" spans="2:7" x14ac:dyDescent="0.35">
      <c r="B7434" s="1">
        <v>45967</v>
      </c>
      <c r="C7434" s="2">
        <v>0.66666666666666663</v>
      </c>
      <c r="D7434">
        <v>10.5</v>
      </c>
      <c r="E7434">
        <f>IF($D7434 &gt; 16, 0, $J$3*(16 - $D7434))</f>
        <v>1142.6175348538334</v>
      </c>
      <c r="F7434">
        <f>IF($D7434 &gt; 16, 0,$E7434*$J$5)</f>
        <v>12419109.986326315</v>
      </c>
      <c r="G7434">
        <f t="shared" si="116"/>
        <v>5.5</v>
      </c>
    </row>
    <row r="7435" spans="2:7" x14ac:dyDescent="0.35">
      <c r="B7435" s="1">
        <v>45967</v>
      </c>
      <c r="C7435" s="2">
        <v>0.70833333333333337</v>
      </c>
      <c r="D7435">
        <v>9.1</v>
      </c>
      <c r="E7435">
        <f>IF($D7435 &gt; 16, 0, $J$3*(16 - $D7435))</f>
        <v>1433.4656346348092</v>
      </c>
      <c r="F7435">
        <f>IF($D7435 &gt; 16, 0,$E7435*$J$5)</f>
        <v>15580337.982845742</v>
      </c>
      <c r="G7435">
        <f t="shared" si="116"/>
        <v>6.9</v>
      </c>
    </row>
    <row r="7436" spans="2:7" x14ac:dyDescent="0.35">
      <c r="B7436" s="1">
        <v>45967</v>
      </c>
      <c r="C7436" s="2">
        <v>0.75</v>
      </c>
      <c r="D7436">
        <v>8.8000000000000007</v>
      </c>
      <c r="E7436">
        <f>IF($D7436 &gt; 16, 0, $J$3*(16 - $D7436))</f>
        <v>1495.7902274450182</v>
      </c>
      <c r="F7436">
        <f>IF($D7436 &gt; 16, 0,$E7436*$J$5)</f>
        <v>16257743.982099904</v>
      </c>
      <c r="G7436">
        <f t="shared" si="116"/>
        <v>7.1999999999999993</v>
      </c>
    </row>
    <row r="7437" spans="2:7" x14ac:dyDescent="0.35">
      <c r="B7437" s="1">
        <v>45967</v>
      </c>
      <c r="C7437" s="2">
        <v>0.79166666666666663</v>
      </c>
      <c r="D7437">
        <v>7.9</v>
      </c>
      <c r="E7437">
        <f>IF($D7437 &gt; 16, 0, $J$3*(16 - $D7437))</f>
        <v>1682.7640058756456</v>
      </c>
      <c r="F7437">
        <f>IF($D7437 &gt; 16, 0,$E7437*$J$5)</f>
        <v>18289961.979862392</v>
      </c>
      <c r="G7437">
        <f t="shared" si="116"/>
        <v>8.1</v>
      </c>
    </row>
    <row r="7438" spans="2:7" x14ac:dyDescent="0.35">
      <c r="B7438" s="1">
        <v>45967</v>
      </c>
      <c r="C7438" s="2">
        <v>0.83333333333333337</v>
      </c>
      <c r="D7438">
        <v>7.7</v>
      </c>
      <c r="E7438">
        <f>IF($D7438 &gt; 16, 0, $J$3*(16 - $D7438))</f>
        <v>1724.3137344157851</v>
      </c>
      <c r="F7438">
        <f>IF($D7438 &gt; 16, 0,$E7438*$J$5)</f>
        <v>18741565.97936517</v>
      </c>
      <c r="G7438">
        <f t="shared" si="116"/>
        <v>8.3000000000000007</v>
      </c>
    </row>
    <row r="7439" spans="2:7" x14ac:dyDescent="0.35">
      <c r="B7439" s="1">
        <v>45967</v>
      </c>
      <c r="C7439" s="2">
        <v>0.875</v>
      </c>
      <c r="D7439">
        <v>6.9</v>
      </c>
      <c r="E7439">
        <f>IF($D7439 &gt; 16, 0, $J$3*(16 - $D7439))</f>
        <v>1890.5126485763426</v>
      </c>
      <c r="F7439">
        <f>IF($D7439 &gt; 16, 0,$E7439*$J$5)</f>
        <v>20547981.977376267</v>
      </c>
      <c r="G7439">
        <f t="shared" si="116"/>
        <v>9.1</v>
      </c>
    </row>
    <row r="7440" spans="2:7" x14ac:dyDescent="0.35">
      <c r="B7440" s="1">
        <v>45967</v>
      </c>
      <c r="C7440" s="2">
        <v>0.91666666666666663</v>
      </c>
      <c r="D7440">
        <v>5.9</v>
      </c>
      <c r="E7440">
        <f>IF($D7440 &gt; 16, 0, $J$3*(16 - $D7440))</f>
        <v>2098.2612912770396</v>
      </c>
      <c r="F7440">
        <f>IF($D7440 &gt; 16, 0,$E7440*$J$5)</f>
        <v>22806001.974890143</v>
      </c>
      <c r="G7440">
        <f t="shared" si="116"/>
        <v>10.1</v>
      </c>
    </row>
    <row r="7441" spans="2:7" x14ac:dyDescent="0.35">
      <c r="B7441" s="1">
        <v>45967</v>
      </c>
      <c r="C7441" s="2">
        <v>0.95833333333333337</v>
      </c>
      <c r="D7441">
        <v>4.5</v>
      </c>
      <c r="E7441">
        <f>IF($D7441 &gt; 16, 0, $J$3*(16 - $D7441))</f>
        <v>2389.1093910580153</v>
      </c>
      <c r="F7441">
        <f>IF($D7441 &gt; 16, 0,$E7441*$J$5)</f>
        <v>25967229.971409567</v>
      </c>
      <c r="G7441">
        <f t="shared" si="116"/>
        <v>11.5</v>
      </c>
    </row>
    <row r="7442" spans="2:7" x14ac:dyDescent="0.35">
      <c r="B7442" s="1">
        <v>45968</v>
      </c>
      <c r="C7442" s="2">
        <v>0</v>
      </c>
      <c r="D7442">
        <v>4.7</v>
      </c>
      <c r="E7442">
        <f>IF($D7442 &gt; 16, 0, $J$3*(16 - $D7442))</f>
        <v>2347.5596625178759</v>
      </c>
      <c r="F7442">
        <f>IF($D7442 &gt; 16, 0,$E7442*$J$5)</f>
        <v>25515625.971906792</v>
      </c>
      <c r="G7442">
        <f t="shared" si="116"/>
        <v>11.3</v>
      </c>
    </row>
    <row r="7443" spans="2:7" x14ac:dyDescent="0.35">
      <c r="B7443" s="1">
        <v>45968</v>
      </c>
      <c r="C7443" s="2">
        <v>4.1666666666666657E-2</v>
      </c>
      <c r="D7443">
        <v>4.0999999999999996</v>
      </c>
      <c r="E7443">
        <f>IF($D7443 &gt; 16, 0, $J$3*(16 - $D7443))</f>
        <v>2472.2088481382943</v>
      </c>
      <c r="F7443">
        <f>IF($D7443 &gt; 16, 0,$E7443*$J$5)</f>
        <v>26870437.970415123</v>
      </c>
      <c r="G7443">
        <f t="shared" si="116"/>
        <v>11.9</v>
      </c>
    </row>
    <row r="7444" spans="2:7" x14ac:dyDescent="0.35">
      <c r="B7444" s="1">
        <v>45968</v>
      </c>
      <c r="C7444" s="2">
        <v>8.3333333333333329E-2</v>
      </c>
      <c r="D7444">
        <v>4.2</v>
      </c>
      <c r="E7444">
        <f>IF($D7444 &gt; 16, 0, $J$3*(16 - $D7444))</f>
        <v>2451.4339838682245</v>
      </c>
      <c r="F7444">
        <f>IF($D7444 &gt; 16, 0,$E7444*$J$5)</f>
        <v>26644635.97066373</v>
      </c>
      <c r="G7444">
        <f t="shared" si="116"/>
        <v>11.8</v>
      </c>
    </row>
    <row r="7445" spans="2:7" x14ac:dyDescent="0.35">
      <c r="B7445" s="1">
        <v>45968</v>
      </c>
      <c r="C7445" s="2">
        <v>0.125</v>
      </c>
      <c r="D7445">
        <v>4</v>
      </c>
      <c r="E7445">
        <f>IF($D7445 &gt; 16, 0, $J$3*(16 - $D7445))</f>
        <v>2492.9837124083638</v>
      </c>
      <c r="F7445">
        <f>IF($D7445 &gt; 16, 0,$E7445*$J$5)</f>
        <v>27096239.970166504</v>
      </c>
      <c r="G7445">
        <f t="shared" si="116"/>
        <v>12</v>
      </c>
    </row>
    <row r="7446" spans="2:7" x14ac:dyDescent="0.35">
      <c r="B7446" s="1">
        <v>45968</v>
      </c>
      <c r="C7446" s="2">
        <v>0.16666666666666671</v>
      </c>
      <c r="D7446">
        <v>3.6</v>
      </c>
      <c r="E7446">
        <f>IF($D7446 &gt; 16, 0, $J$3*(16 - $D7446))</f>
        <v>2576.0831694886429</v>
      </c>
      <c r="F7446">
        <f>IF($D7446 &gt; 16, 0,$E7446*$J$5)</f>
        <v>27999447.96917206</v>
      </c>
      <c r="G7446">
        <f t="shared" si="116"/>
        <v>12.4</v>
      </c>
    </row>
    <row r="7447" spans="2:7" x14ac:dyDescent="0.35">
      <c r="B7447" s="1">
        <v>45968</v>
      </c>
      <c r="C7447" s="2">
        <v>0.20833333333333329</v>
      </c>
      <c r="D7447">
        <v>3.8</v>
      </c>
      <c r="E7447">
        <f>IF($D7447 &gt; 16, 0, $J$3*(16 - $D7447))</f>
        <v>2534.5334409485031</v>
      </c>
      <c r="F7447">
        <f>IF($D7447 &gt; 16, 0,$E7447*$J$5)</f>
        <v>27547843.969669279</v>
      </c>
      <c r="G7447">
        <f t="shared" si="116"/>
        <v>12.2</v>
      </c>
    </row>
    <row r="7448" spans="2:7" x14ac:dyDescent="0.35">
      <c r="B7448" s="1">
        <v>45968</v>
      </c>
      <c r="C7448" s="2">
        <v>0.25</v>
      </c>
      <c r="D7448">
        <v>3.6</v>
      </c>
      <c r="E7448">
        <f>IF($D7448 &gt; 16, 0, $J$3*(16 - $D7448))</f>
        <v>2576.0831694886429</v>
      </c>
      <c r="F7448">
        <f>IF($D7448 &gt; 16, 0,$E7448*$J$5)</f>
        <v>27999447.96917206</v>
      </c>
      <c r="G7448">
        <f t="shared" si="116"/>
        <v>12.4</v>
      </c>
    </row>
    <row r="7449" spans="2:7" x14ac:dyDescent="0.35">
      <c r="B7449" s="1">
        <v>45968</v>
      </c>
      <c r="C7449" s="2">
        <v>0.29166666666666669</v>
      </c>
      <c r="D7449">
        <v>3.3</v>
      </c>
      <c r="E7449">
        <f>IF($D7449 &gt; 16, 0, $J$3*(16 - $D7449))</f>
        <v>2638.4077622988516</v>
      </c>
      <c r="F7449">
        <f>IF($D7449 &gt; 16, 0,$E7449*$J$5)</f>
        <v>28676853.968426216</v>
      </c>
      <c r="G7449">
        <f t="shared" si="116"/>
        <v>12.7</v>
      </c>
    </row>
    <row r="7450" spans="2:7" x14ac:dyDescent="0.35">
      <c r="B7450" s="1">
        <v>45968</v>
      </c>
      <c r="C7450" s="2">
        <v>0.33333333333333331</v>
      </c>
      <c r="D7450">
        <v>3.3</v>
      </c>
      <c r="E7450">
        <f>IF($D7450 &gt; 16, 0, $J$3*(16 - $D7450))</f>
        <v>2638.4077622988516</v>
      </c>
      <c r="F7450">
        <f>IF($D7450 &gt; 16, 0,$E7450*$J$5)</f>
        <v>28676853.968426216</v>
      </c>
      <c r="G7450">
        <f t="shared" si="116"/>
        <v>12.7</v>
      </c>
    </row>
    <row r="7451" spans="2:7" x14ac:dyDescent="0.35">
      <c r="B7451" s="1">
        <v>45968</v>
      </c>
      <c r="C7451" s="2">
        <v>0.375</v>
      </c>
      <c r="D7451">
        <v>3</v>
      </c>
      <c r="E7451">
        <f>IF($D7451 &gt; 16, 0, $J$3*(16 - $D7451))</f>
        <v>2700.7323551090608</v>
      </c>
      <c r="F7451">
        <f>IF($D7451 &gt; 16, 0,$E7451*$J$5)</f>
        <v>29354259.967680383</v>
      </c>
      <c r="G7451">
        <f t="shared" si="116"/>
        <v>13</v>
      </c>
    </row>
    <row r="7452" spans="2:7" x14ac:dyDescent="0.35">
      <c r="B7452" s="1">
        <v>45968</v>
      </c>
      <c r="C7452" s="2">
        <v>0.41666666666666669</v>
      </c>
      <c r="D7452">
        <v>3.7</v>
      </c>
      <c r="E7452">
        <f>IF($D7452 &gt; 16, 0, $J$3*(16 - $D7452))</f>
        <v>2555.308305218573</v>
      </c>
      <c r="F7452">
        <f>IF($D7452 &gt; 16, 0,$E7452*$J$5)</f>
        <v>27773645.969420668</v>
      </c>
      <c r="G7452">
        <f t="shared" si="116"/>
        <v>12.3</v>
      </c>
    </row>
    <row r="7453" spans="2:7" x14ac:dyDescent="0.35">
      <c r="B7453" s="1">
        <v>45968</v>
      </c>
      <c r="C7453" s="2">
        <v>0.45833333333333331</v>
      </c>
      <c r="D7453">
        <v>4.7</v>
      </c>
      <c r="E7453">
        <f>IF($D7453 &gt; 16, 0, $J$3*(16 - $D7453))</f>
        <v>2347.5596625178759</v>
      </c>
      <c r="F7453">
        <f>IF($D7453 &gt; 16, 0,$E7453*$J$5)</f>
        <v>25515625.971906792</v>
      </c>
      <c r="G7453">
        <f t="shared" si="116"/>
        <v>11.3</v>
      </c>
    </row>
    <row r="7454" spans="2:7" x14ac:dyDescent="0.35">
      <c r="B7454" s="1">
        <v>45968</v>
      </c>
      <c r="C7454" s="2">
        <v>0.5</v>
      </c>
      <c r="D7454">
        <v>5.9</v>
      </c>
      <c r="E7454">
        <f>IF($D7454 &gt; 16, 0, $J$3*(16 - $D7454))</f>
        <v>2098.2612912770396</v>
      </c>
      <c r="F7454">
        <f>IF($D7454 &gt; 16, 0,$E7454*$J$5)</f>
        <v>22806001.974890143</v>
      </c>
      <c r="G7454">
        <f t="shared" si="116"/>
        <v>10.1</v>
      </c>
    </row>
    <row r="7455" spans="2:7" x14ac:dyDescent="0.35">
      <c r="B7455" s="1">
        <v>45968</v>
      </c>
      <c r="C7455" s="2">
        <v>0.54166666666666663</v>
      </c>
      <c r="D7455">
        <v>6.7</v>
      </c>
      <c r="E7455">
        <f>IF($D7455 &gt; 16, 0, $J$3*(16 - $D7455))</f>
        <v>1932.0623771164821</v>
      </c>
      <c r="F7455">
        <f>IF($D7455 &gt; 16, 0,$E7455*$J$5)</f>
        <v>20999585.976879045</v>
      </c>
      <c r="G7455">
        <f t="shared" si="116"/>
        <v>9.3000000000000007</v>
      </c>
    </row>
    <row r="7456" spans="2:7" x14ac:dyDescent="0.35">
      <c r="B7456" s="1">
        <v>45968</v>
      </c>
      <c r="C7456" s="2">
        <v>0.58333333333333337</v>
      </c>
      <c r="D7456">
        <v>7.2</v>
      </c>
      <c r="E7456">
        <f>IF($D7456 &gt; 16, 0, $J$3*(16 - $D7456))</f>
        <v>1828.1880557661336</v>
      </c>
      <c r="F7456">
        <f>IF($D7456 &gt; 16, 0,$E7456*$J$5)</f>
        <v>19870575.978122108</v>
      </c>
      <c r="G7456">
        <f t="shared" si="116"/>
        <v>8.8000000000000007</v>
      </c>
    </row>
    <row r="7457" spans="2:7" x14ac:dyDescent="0.35">
      <c r="B7457" s="1">
        <v>45968</v>
      </c>
      <c r="C7457" s="2">
        <v>0.625</v>
      </c>
      <c r="D7457">
        <v>7.1</v>
      </c>
      <c r="E7457">
        <f>IF($D7457 &gt; 16, 0, $J$3*(16 - $D7457))</f>
        <v>1848.9629200362033</v>
      </c>
      <c r="F7457">
        <f>IF($D7457 &gt; 16, 0,$E7457*$J$5)</f>
        <v>20096377.977873493</v>
      </c>
      <c r="G7457">
        <f t="shared" si="116"/>
        <v>8.9</v>
      </c>
    </row>
    <row r="7458" spans="2:7" x14ac:dyDescent="0.35">
      <c r="B7458" s="1">
        <v>45968</v>
      </c>
      <c r="C7458" s="2">
        <v>0.66666666666666663</v>
      </c>
      <c r="D7458">
        <v>7.3</v>
      </c>
      <c r="E7458">
        <f>IF($D7458 &gt; 16, 0, $J$3*(16 - $D7458))</f>
        <v>1807.4131914960637</v>
      </c>
      <c r="F7458">
        <f>IF($D7458 &gt; 16, 0,$E7458*$J$5)</f>
        <v>19644773.978370719</v>
      </c>
      <c r="G7458">
        <f t="shared" si="116"/>
        <v>8.6999999999999993</v>
      </c>
    </row>
    <row r="7459" spans="2:7" x14ac:dyDescent="0.35">
      <c r="B7459" s="1">
        <v>45968</v>
      </c>
      <c r="C7459" s="2">
        <v>0.70833333333333337</v>
      </c>
      <c r="D7459">
        <v>7.4</v>
      </c>
      <c r="E7459">
        <f>IF($D7459 &gt; 16, 0, $J$3*(16 - $D7459))</f>
        <v>1786.6383272259941</v>
      </c>
      <c r="F7459">
        <f>IF($D7459 &gt; 16, 0,$E7459*$J$5)</f>
        <v>19418971.97861933</v>
      </c>
      <c r="G7459">
        <f t="shared" si="116"/>
        <v>8.6</v>
      </c>
    </row>
    <row r="7460" spans="2:7" x14ac:dyDescent="0.35">
      <c r="B7460" s="1">
        <v>45968</v>
      </c>
      <c r="C7460" s="2">
        <v>0.75</v>
      </c>
      <c r="D7460">
        <v>7.6</v>
      </c>
      <c r="E7460">
        <f>IF($D7460 &gt; 16, 0, $J$3*(16 - $D7460))</f>
        <v>1745.0885986858548</v>
      </c>
      <c r="F7460">
        <f>IF($D7460 &gt; 16, 0,$E7460*$J$5)</f>
        <v>18967367.979116555</v>
      </c>
      <c r="G7460">
        <f t="shared" si="116"/>
        <v>8.4</v>
      </c>
    </row>
    <row r="7461" spans="2:7" x14ac:dyDescent="0.35">
      <c r="B7461" s="1">
        <v>45968</v>
      </c>
      <c r="C7461" s="2">
        <v>0.79166666666666663</v>
      </c>
      <c r="D7461">
        <v>7.8</v>
      </c>
      <c r="E7461">
        <f>IF($D7461 &gt; 16, 0, $J$3*(16 - $D7461))</f>
        <v>1703.5388701457152</v>
      </c>
      <c r="F7461">
        <f>IF($D7461 &gt; 16, 0,$E7461*$J$5)</f>
        <v>18515763.979613777</v>
      </c>
      <c r="G7461">
        <f t="shared" si="116"/>
        <v>8.1999999999999993</v>
      </c>
    </row>
    <row r="7462" spans="2:7" x14ac:dyDescent="0.35">
      <c r="B7462" s="1">
        <v>45968</v>
      </c>
      <c r="C7462" s="2">
        <v>0.83333333333333337</v>
      </c>
      <c r="D7462">
        <v>8</v>
      </c>
      <c r="E7462">
        <f>IF($D7462 &gt; 16, 0, $J$3*(16 - $D7462))</f>
        <v>1661.9891416055759</v>
      </c>
      <c r="F7462">
        <f>IF($D7462 &gt; 16, 0,$E7462*$J$5)</f>
        <v>18064159.980111003</v>
      </c>
      <c r="G7462">
        <f t="shared" si="116"/>
        <v>8</v>
      </c>
    </row>
    <row r="7463" spans="2:7" x14ac:dyDescent="0.35">
      <c r="B7463" s="1">
        <v>45968</v>
      </c>
      <c r="C7463" s="2">
        <v>0.875</v>
      </c>
      <c r="D7463">
        <v>8.1</v>
      </c>
      <c r="E7463">
        <f>IF($D7463 &gt; 16, 0, $J$3*(16 - $D7463))</f>
        <v>1641.2142773355063</v>
      </c>
      <c r="F7463">
        <f>IF($D7463 &gt; 16, 0,$E7463*$J$5)</f>
        <v>17838357.980359618</v>
      </c>
      <c r="G7463">
        <f t="shared" si="116"/>
        <v>7.9</v>
      </c>
    </row>
    <row r="7464" spans="2:7" x14ac:dyDescent="0.35">
      <c r="B7464" s="1">
        <v>45968</v>
      </c>
      <c r="C7464" s="2">
        <v>0.91666666666666663</v>
      </c>
      <c r="D7464">
        <v>8.1</v>
      </c>
      <c r="E7464">
        <f>IF($D7464 &gt; 16, 0, $J$3*(16 - $D7464))</f>
        <v>1641.2142773355063</v>
      </c>
      <c r="F7464">
        <f>IF($D7464 &gt; 16, 0,$E7464*$J$5)</f>
        <v>17838357.980359618</v>
      </c>
      <c r="G7464">
        <f t="shared" si="116"/>
        <v>7.9</v>
      </c>
    </row>
    <row r="7465" spans="2:7" x14ac:dyDescent="0.35">
      <c r="B7465" s="1">
        <v>45968</v>
      </c>
      <c r="C7465" s="2">
        <v>0.95833333333333337</v>
      </c>
      <c r="D7465">
        <v>8</v>
      </c>
      <c r="E7465">
        <f>IF($D7465 &gt; 16, 0, $J$3*(16 - $D7465))</f>
        <v>1661.9891416055759</v>
      </c>
      <c r="F7465">
        <f>IF($D7465 &gt; 16, 0,$E7465*$J$5)</f>
        <v>18064159.980111003</v>
      </c>
      <c r="G7465">
        <f t="shared" si="116"/>
        <v>8</v>
      </c>
    </row>
    <row r="7466" spans="2:7" x14ac:dyDescent="0.35">
      <c r="B7466" s="1">
        <v>45969</v>
      </c>
      <c r="C7466" s="2">
        <v>0</v>
      </c>
      <c r="D7466">
        <v>7.9</v>
      </c>
      <c r="E7466">
        <f>IF($D7466 &gt; 16, 0, $J$3*(16 - $D7466))</f>
        <v>1682.7640058756456</v>
      </c>
      <c r="F7466">
        <f>IF($D7466 &gt; 16, 0,$E7466*$J$5)</f>
        <v>18289961.979862392</v>
      </c>
      <c r="G7466">
        <f t="shared" si="116"/>
        <v>8.1</v>
      </c>
    </row>
    <row r="7467" spans="2:7" x14ac:dyDescent="0.35">
      <c r="B7467" s="1">
        <v>45969</v>
      </c>
      <c r="C7467" s="2">
        <v>4.1666666666666657E-2</v>
      </c>
      <c r="D7467">
        <v>8.1</v>
      </c>
      <c r="E7467">
        <f>IF($D7467 &gt; 16, 0, $J$3*(16 - $D7467))</f>
        <v>1641.2142773355063</v>
      </c>
      <c r="F7467">
        <f>IF($D7467 &gt; 16, 0,$E7467*$J$5)</f>
        <v>17838357.980359618</v>
      </c>
      <c r="G7467">
        <f t="shared" si="116"/>
        <v>7.9</v>
      </c>
    </row>
    <row r="7468" spans="2:7" x14ac:dyDescent="0.35">
      <c r="B7468" s="1">
        <v>45969</v>
      </c>
      <c r="C7468" s="2">
        <v>8.3333333333333329E-2</v>
      </c>
      <c r="D7468">
        <v>7.9</v>
      </c>
      <c r="E7468">
        <f>IF($D7468 &gt; 16, 0, $J$3*(16 - $D7468))</f>
        <v>1682.7640058756456</v>
      </c>
      <c r="F7468">
        <f>IF($D7468 &gt; 16, 0,$E7468*$J$5)</f>
        <v>18289961.979862392</v>
      </c>
      <c r="G7468">
        <f t="shared" si="116"/>
        <v>8.1</v>
      </c>
    </row>
    <row r="7469" spans="2:7" x14ac:dyDescent="0.35">
      <c r="B7469" s="1">
        <v>45969</v>
      </c>
      <c r="C7469" s="2">
        <v>0.125</v>
      </c>
      <c r="D7469">
        <v>8.1</v>
      </c>
      <c r="E7469">
        <f>IF($D7469 &gt; 16, 0, $J$3*(16 - $D7469))</f>
        <v>1641.2142773355063</v>
      </c>
      <c r="F7469">
        <f>IF($D7469 &gt; 16, 0,$E7469*$J$5)</f>
        <v>17838357.980359618</v>
      </c>
      <c r="G7469">
        <f t="shared" si="116"/>
        <v>7.9</v>
      </c>
    </row>
    <row r="7470" spans="2:7" x14ac:dyDescent="0.35">
      <c r="B7470" s="1">
        <v>45969</v>
      </c>
      <c r="C7470" s="2">
        <v>0.16666666666666671</v>
      </c>
      <c r="D7470">
        <v>8.3000000000000007</v>
      </c>
      <c r="E7470">
        <f>IF($D7470 &gt; 16, 0, $J$3*(16 - $D7470))</f>
        <v>1599.6645487953667</v>
      </c>
      <c r="F7470">
        <f>IF($D7470 &gt; 16, 0,$E7470*$J$5)</f>
        <v>17386753.98085684</v>
      </c>
      <c r="G7470">
        <f t="shared" si="116"/>
        <v>7.6999999999999993</v>
      </c>
    </row>
    <row r="7471" spans="2:7" x14ac:dyDescent="0.35">
      <c r="B7471" s="1">
        <v>45969</v>
      </c>
      <c r="C7471" s="2">
        <v>0.20833333333333329</v>
      </c>
      <c r="D7471">
        <v>8.1999999999999993</v>
      </c>
      <c r="E7471">
        <f>IF($D7471 &gt; 16, 0, $J$3*(16 - $D7471))</f>
        <v>1620.4394130654366</v>
      </c>
      <c r="F7471">
        <f>IF($D7471 &gt; 16, 0,$E7471*$J$5)</f>
        <v>17612555.980608232</v>
      </c>
      <c r="G7471">
        <f t="shared" si="116"/>
        <v>7.8000000000000007</v>
      </c>
    </row>
    <row r="7472" spans="2:7" x14ac:dyDescent="0.35">
      <c r="B7472" s="1">
        <v>45969</v>
      </c>
      <c r="C7472" s="2">
        <v>0.25</v>
      </c>
      <c r="D7472">
        <v>8</v>
      </c>
      <c r="E7472">
        <f>IF($D7472 &gt; 16, 0, $J$3*(16 - $D7472))</f>
        <v>1661.9891416055759</v>
      </c>
      <c r="F7472">
        <f>IF($D7472 &gt; 16, 0,$E7472*$J$5)</f>
        <v>18064159.980111003</v>
      </c>
      <c r="G7472">
        <f t="shared" si="116"/>
        <v>8</v>
      </c>
    </row>
    <row r="7473" spans="2:7" x14ac:dyDescent="0.35">
      <c r="B7473" s="1">
        <v>45969</v>
      </c>
      <c r="C7473" s="2">
        <v>0.29166666666666669</v>
      </c>
      <c r="D7473">
        <v>7.8</v>
      </c>
      <c r="E7473">
        <f>IF($D7473 &gt; 16, 0, $J$3*(16 - $D7473))</f>
        <v>1703.5388701457152</v>
      </c>
      <c r="F7473">
        <f>IF($D7473 &gt; 16, 0,$E7473*$J$5)</f>
        <v>18515763.979613777</v>
      </c>
      <c r="G7473">
        <f t="shared" si="116"/>
        <v>8.1999999999999993</v>
      </c>
    </row>
    <row r="7474" spans="2:7" x14ac:dyDescent="0.35">
      <c r="B7474" s="1">
        <v>45969</v>
      </c>
      <c r="C7474" s="2">
        <v>0.33333333333333331</v>
      </c>
      <c r="D7474">
        <v>7.6</v>
      </c>
      <c r="E7474">
        <f>IF($D7474 &gt; 16, 0, $J$3*(16 - $D7474))</f>
        <v>1745.0885986858548</v>
      </c>
      <c r="F7474">
        <f>IF($D7474 &gt; 16, 0,$E7474*$J$5)</f>
        <v>18967367.979116555</v>
      </c>
      <c r="G7474">
        <f t="shared" si="116"/>
        <v>8.4</v>
      </c>
    </row>
    <row r="7475" spans="2:7" x14ac:dyDescent="0.35">
      <c r="B7475" s="1">
        <v>45969</v>
      </c>
      <c r="C7475" s="2">
        <v>0.375</v>
      </c>
      <c r="D7475">
        <v>7.4</v>
      </c>
      <c r="E7475">
        <f>IF($D7475 &gt; 16, 0, $J$3*(16 - $D7475))</f>
        <v>1786.6383272259941</v>
      </c>
      <c r="F7475">
        <f>IF($D7475 &gt; 16, 0,$E7475*$J$5)</f>
        <v>19418971.97861933</v>
      </c>
      <c r="G7475">
        <f t="shared" si="116"/>
        <v>8.6</v>
      </c>
    </row>
    <row r="7476" spans="2:7" x14ac:dyDescent="0.35">
      <c r="B7476" s="1">
        <v>45969</v>
      </c>
      <c r="C7476" s="2">
        <v>0.41666666666666669</v>
      </c>
      <c r="D7476">
        <v>7.4</v>
      </c>
      <c r="E7476">
        <f>IF($D7476 &gt; 16, 0, $J$3*(16 - $D7476))</f>
        <v>1786.6383272259941</v>
      </c>
      <c r="F7476">
        <f>IF($D7476 &gt; 16, 0,$E7476*$J$5)</f>
        <v>19418971.97861933</v>
      </c>
      <c r="G7476">
        <f t="shared" si="116"/>
        <v>8.6</v>
      </c>
    </row>
    <row r="7477" spans="2:7" x14ac:dyDescent="0.35">
      <c r="B7477" s="1">
        <v>45969</v>
      </c>
      <c r="C7477" s="2">
        <v>0.45833333333333331</v>
      </c>
      <c r="D7477">
        <v>7.5</v>
      </c>
      <c r="E7477">
        <f>IF($D7477 &gt; 16, 0, $J$3*(16 - $D7477))</f>
        <v>1765.8634629559244</v>
      </c>
      <c r="F7477">
        <f>IF($D7477 &gt; 16, 0,$E7477*$J$5)</f>
        <v>19193169.978867944</v>
      </c>
      <c r="G7477">
        <f t="shared" si="116"/>
        <v>8.5</v>
      </c>
    </row>
    <row r="7478" spans="2:7" x14ac:dyDescent="0.35">
      <c r="B7478" s="1">
        <v>45969</v>
      </c>
      <c r="C7478" s="2">
        <v>0.5</v>
      </c>
      <c r="D7478">
        <v>7.7</v>
      </c>
      <c r="E7478">
        <f>IF($D7478 &gt; 16, 0, $J$3*(16 - $D7478))</f>
        <v>1724.3137344157851</v>
      </c>
      <c r="F7478">
        <f>IF($D7478 &gt; 16, 0,$E7478*$J$5)</f>
        <v>18741565.97936517</v>
      </c>
      <c r="G7478">
        <f t="shared" si="116"/>
        <v>8.3000000000000007</v>
      </c>
    </row>
    <row r="7479" spans="2:7" x14ac:dyDescent="0.35">
      <c r="B7479" s="1">
        <v>45969</v>
      </c>
      <c r="C7479" s="2">
        <v>0.54166666666666663</v>
      </c>
      <c r="D7479">
        <v>7.8</v>
      </c>
      <c r="E7479">
        <f>IF($D7479 &gt; 16, 0, $J$3*(16 - $D7479))</f>
        <v>1703.5388701457152</v>
      </c>
      <c r="F7479">
        <f>IF($D7479 &gt; 16, 0,$E7479*$J$5)</f>
        <v>18515763.979613777</v>
      </c>
      <c r="G7479">
        <f t="shared" si="116"/>
        <v>8.1999999999999993</v>
      </c>
    </row>
    <row r="7480" spans="2:7" x14ac:dyDescent="0.35">
      <c r="B7480" s="1">
        <v>45969</v>
      </c>
      <c r="C7480" s="2">
        <v>0.58333333333333337</v>
      </c>
      <c r="D7480">
        <v>7.7</v>
      </c>
      <c r="E7480">
        <f>IF($D7480 &gt; 16, 0, $J$3*(16 - $D7480))</f>
        <v>1724.3137344157851</v>
      </c>
      <c r="F7480">
        <f>IF($D7480 &gt; 16, 0,$E7480*$J$5)</f>
        <v>18741565.97936517</v>
      </c>
      <c r="G7480">
        <f t="shared" si="116"/>
        <v>8.3000000000000007</v>
      </c>
    </row>
    <row r="7481" spans="2:7" x14ac:dyDescent="0.35">
      <c r="B7481" s="1">
        <v>45969</v>
      </c>
      <c r="C7481" s="2">
        <v>0.625</v>
      </c>
      <c r="D7481">
        <v>7.6</v>
      </c>
      <c r="E7481">
        <f>IF($D7481 &gt; 16, 0, $J$3*(16 - $D7481))</f>
        <v>1745.0885986858548</v>
      </c>
      <c r="F7481">
        <f>IF($D7481 &gt; 16, 0,$E7481*$J$5)</f>
        <v>18967367.979116555</v>
      </c>
      <c r="G7481">
        <f t="shared" si="116"/>
        <v>8.4</v>
      </c>
    </row>
    <row r="7482" spans="2:7" x14ac:dyDescent="0.35">
      <c r="B7482" s="1">
        <v>45969</v>
      </c>
      <c r="C7482" s="2">
        <v>0.66666666666666663</v>
      </c>
      <c r="D7482">
        <v>7.4</v>
      </c>
      <c r="E7482">
        <f>IF($D7482 &gt; 16, 0, $J$3*(16 - $D7482))</f>
        <v>1786.6383272259941</v>
      </c>
      <c r="F7482">
        <f>IF($D7482 &gt; 16, 0,$E7482*$J$5)</f>
        <v>19418971.97861933</v>
      </c>
      <c r="G7482">
        <f t="shared" si="116"/>
        <v>8.6</v>
      </c>
    </row>
    <row r="7483" spans="2:7" x14ac:dyDescent="0.35">
      <c r="B7483" s="1">
        <v>45969</v>
      </c>
      <c r="C7483" s="2">
        <v>0.70833333333333337</v>
      </c>
      <c r="D7483">
        <v>7.4</v>
      </c>
      <c r="E7483">
        <f>IF($D7483 &gt; 16, 0, $J$3*(16 - $D7483))</f>
        <v>1786.6383272259941</v>
      </c>
      <c r="F7483">
        <f>IF($D7483 &gt; 16, 0,$E7483*$J$5)</f>
        <v>19418971.97861933</v>
      </c>
      <c r="G7483">
        <f t="shared" si="116"/>
        <v>8.6</v>
      </c>
    </row>
    <row r="7484" spans="2:7" x14ac:dyDescent="0.35">
      <c r="B7484" s="1">
        <v>45969</v>
      </c>
      <c r="C7484" s="2">
        <v>0.75</v>
      </c>
      <c r="D7484">
        <v>7.4</v>
      </c>
      <c r="E7484">
        <f>IF($D7484 &gt; 16, 0, $J$3*(16 - $D7484))</f>
        <v>1786.6383272259941</v>
      </c>
      <c r="F7484">
        <f>IF($D7484 &gt; 16, 0,$E7484*$J$5)</f>
        <v>19418971.97861933</v>
      </c>
      <c r="G7484">
        <f t="shared" si="116"/>
        <v>8.6</v>
      </c>
    </row>
    <row r="7485" spans="2:7" x14ac:dyDescent="0.35">
      <c r="B7485" s="1">
        <v>45969</v>
      </c>
      <c r="C7485" s="2">
        <v>0.79166666666666663</v>
      </c>
      <c r="D7485">
        <v>7.5</v>
      </c>
      <c r="E7485">
        <f>IF($D7485 &gt; 16, 0, $J$3*(16 - $D7485))</f>
        <v>1765.8634629559244</v>
      </c>
      <c r="F7485">
        <f>IF($D7485 &gt; 16, 0,$E7485*$J$5)</f>
        <v>19193169.978867944</v>
      </c>
      <c r="G7485">
        <f t="shared" si="116"/>
        <v>8.5</v>
      </c>
    </row>
    <row r="7486" spans="2:7" x14ac:dyDescent="0.35">
      <c r="B7486" s="1">
        <v>45969</v>
      </c>
      <c r="C7486" s="2">
        <v>0.83333333333333337</v>
      </c>
      <c r="D7486">
        <v>6.7</v>
      </c>
      <c r="E7486">
        <f>IF($D7486 &gt; 16, 0, $J$3*(16 - $D7486))</f>
        <v>1932.0623771164821</v>
      </c>
      <c r="F7486">
        <f>IF($D7486 &gt; 16, 0,$E7486*$J$5)</f>
        <v>20999585.976879045</v>
      </c>
      <c r="G7486">
        <f t="shared" si="116"/>
        <v>9.3000000000000007</v>
      </c>
    </row>
    <row r="7487" spans="2:7" x14ac:dyDescent="0.35">
      <c r="B7487" s="1">
        <v>45969</v>
      </c>
      <c r="C7487" s="2">
        <v>0.875</v>
      </c>
      <c r="D7487">
        <v>6.4</v>
      </c>
      <c r="E7487">
        <f>IF($D7487 &gt; 16, 0, $J$3*(16 - $D7487))</f>
        <v>1994.3869699266911</v>
      </c>
      <c r="F7487">
        <f>IF($D7487 &gt; 16, 0,$E7487*$J$5)</f>
        <v>21676991.976133205</v>
      </c>
      <c r="G7487">
        <f t="shared" si="116"/>
        <v>9.6</v>
      </c>
    </row>
    <row r="7488" spans="2:7" x14ac:dyDescent="0.35">
      <c r="B7488" s="1">
        <v>45969</v>
      </c>
      <c r="C7488" s="2">
        <v>0.91666666666666663</v>
      </c>
      <c r="D7488">
        <v>6.3</v>
      </c>
      <c r="E7488">
        <f>IF($D7488 &gt; 16, 0, $J$3*(16 - $D7488))</f>
        <v>2015.1618341967608</v>
      </c>
      <c r="F7488">
        <f>IF($D7488 &gt; 16, 0,$E7488*$J$5)</f>
        <v>21902793.975884594</v>
      </c>
      <c r="G7488">
        <f t="shared" si="116"/>
        <v>9.6999999999999993</v>
      </c>
    </row>
    <row r="7489" spans="2:7" x14ac:dyDescent="0.35">
      <c r="B7489" s="1">
        <v>45969</v>
      </c>
      <c r="C7489" s="2">
        <v>0.95833333333333337</v>
      </c>
      <c r="D7489">
        <v>6.2</v>
      </c>
      <c r="E7489">
        <f>IF($D7489 &gt; 16, 0, $J$3*(16 - $D7489))</f>
        <v>2035.9366984668306</v>
      </c>
      <c r="F7489">
        <f>IF($D7489 &gt; 16, 0,$E7489*$J$5)</f>
        <v>22128595.975635983</v>
      </c>
      <c r="G7489">
        <f t="shared" si="116"/>
        <v>9.8000000000000007</v>
      </c>
    </row>
    <row r="7490" spans="2:7" x14ac:dyDescent="0.35">
      <c r="B7490" s="1">
        <v>45970</v>
      </c>
      <c r="C7490" s="2">
        <v>0</v>
      </c>
      <c r="D7490">
        <v>6.3</v>
      </c>
      <c r="E7490">
        <f>IF($D7490 &gt; 16, 0, $J$3*(16 - $D7490))</f>
        <v>2015.1618341967608</v>
      </c>
      <c r="F7490">
        <f>IF($D7490 &gt; 16, 0,$E7490*$J$5)</f>
        <v>21902793.975884594</v>
      </c>
      <c r="G7490">
        <f t="shared" si="116"/>
        <v>9.6999999999999993</v>
      </c>
    </row>
    <row r="7491" spans="2:7" x14ac:dyDescent="0.35">
      <c r="B7491" s="1">
        <v>45970</v>
      </c>
      <c r="C7491" s="2">
        <v>4.1666666666666657E-2</v>
      </c>
      <c r="D7491">
        <v>6.2</v>
      </c>
      <c r="E7491">
        <f>IF($D7491 &gt; 16, 0, $J$3*(16 - $D7491))</f>
        <v>2035.9366984668306</v>
      </c>
      <c r="F7491">
        <f>IF($D7491 &gt; 16, 0,$E7491*$J$5)</f>
        <v>22128595.975635983</v>
      </c>
      <c r="G7491">
        <f t="shared" ref="G7491:G7554" si="117">MAX(0, 16 - $D7491)</f>
        <v>9.8000000000000007</v>
      </c>
    </row>
    <row r="7492" spans="2:7" x14ac:dyDescent="0.35">
      <c r="B7492" s="1">
        <v>45970</v>
      </c>
      <c r="C7492" s="2">
        <v>8.3333333333333329E-2</v>
      </c>
      <c r="D7492">
        <v>6.3</v>
      </c>
      <c r="E7492">
        <f>IF($D7492 &gt; 16, 0, $J$3*(16 - $D7492))</f>
        <v>2015.1618341967608</v>
      </c>
      <c r="F7492">
        <f>IF($D7492 &gt; 16, 0,$E7492*$J$5)</f>
        <v>21902793.975884594</v>
      </c>
      <c r="G7492">
        <f t="shared" si="117"/>
        <v>9.6999999999999993</v>
      </c>
    </row>
    <row r="7493" spans="2:7" x14ac:dyDescent="0.35">
      <c r="B7493" s="1">
        <v>45970</v>
      </c>
      <c r="C7493" s="2">
        <v>0.125</v>
      </c>
      <c r="D7493">
        <v>6.2</v>
      </c>
      <c r="E7493">
        <f>IF($D7493 &gt; 16, 0, $J$3*(16 - $D7493))</f>
        <v>2035.9366984668306</v>
      </c>
      <c r="F7493">
        <f>IF($D7493 &gt; 16, 0,$E7493*$J$5)</f>
        <v>22128595.975635983</v>
      </c>
      <c r="G7493">
        <f t="shared" si="117"/>
        <v>9.8000000000000007</v>
      </c>
    </row>
    <row r="7494" spans="2:7" x14ac:dyDescent="0.35">
      <c r="B7494" s="1">
        <v>45970</v>
      </c>
      <c r="C7494" s="2">
        <v>0.16666666666666671</v>
      </c>
      <c r="D7494">
        <v>5.9</v>
      </c>
      <c r="E7494">
        <f>IF($D7494 &gt; 16, 0, $J$3*(16 - $D7494))</f>
        <v>2098.2612912770396</v>
      </c>
      <c r="F7494">
        <f>IF($D7494 &gt; 16, 0,$E7494*$J$5)</f>
        <v>22806001.974890143</v>
      </c>
      <c r="G7494">
        <f t="shared" si="117"/>
        <v>10.1</v>
      </c>
    </row>
    <row r="7495" spans="2:7" x14ac:dyDescent="0.35">
      <c r="B7495" s="1">
        <v>45970</v>
      </c>
      <c r="C7495" s="2">
        <v>0.20833333333333329</v>
      </c>
      <c r="D7495">
        <v>6</v>
      </c>
      <c r="E7495">
        <f>IF($D7495 &gt; 16, 0, $J$3*(16 - $D7495))</f>
        <v>2077.4864270069697</v>
      </c>
      <c r="F7495">
        <f>IF($D7495 &gt; 16, 0,$E7495*$J$5)</f>
        <v>22580199.975138754</v>
      </c>
      <c r="G7495">
        <f t="shared" si="117"/>
        <v>10</v>
      </c>
    </row>
    <row r="7496" spans="2:7" x14ac:dyDescent="0.35">
      <c r="B7496" s="1">
        <v>45970</v>
      </c>
      <c r="C7496" s="2">
        <v>0.25</v>
      </c>
      <c r="D7496">
        <v>6.2</v>
      </c>
      <c r="E7496">
        <f>IF($D7496 &gt; 16, 0, $J$3*(16 - $D7496))</f>
        <v>2035.9366984668306</v>
      </c>
      <c r="F7496">
        <f>IF($D7496 &gt; 16, 0,$E7496*$J$5)</f>
        <v>22128595.975635983</v>
      </c>
      <c r="G7496">
        <f t="shared" si="117"/>
        <v>9.8000000000000007</v>
      </c>
    </row>
    <row r="7497" spans="2:7" x14ac:dyDescent="0.35">
      <c r="B7497" s="1">
        <v>45970</v>
      </c>
      <c r="C7497" s="2">
        <v>0.29166666666666669</v>
      </c>
      <c r="D7497">
        <v>6.4</v>
      </c>
      <c r="E7497">
        <f>IF($D7497 &gt; 16, 0, $J$3*(16 - $D7497))</f>
        <v>1994.3869699266911</v>
      </c>
      <c r="F7497">
        <f>IF($D7497 &gt; 16, 0,$E7497*$J$5)</f>
        <v>21676991.976133205</v>
      </c>
      <c r="G7497">
        <f t="shared" si="117"/>
        <v>9.6</v>
      </c>
    </row>
    <row r="7498" spans="2:7" x14ac:dyDescent="0.35">
      <c r="B7498" s="1">
        <v>45970</v>
      </c>
      <c r="C7498" s="2">
        <v>0.33333333333333331</v>
      </c>
      <c r="D7498">
        <v>6.7</v>
      </c>
      <c r="E7498">
        <f>IF($D7498 &gt; 16, 0, $J$3*(16 - $D7498))</f>
        <v>1932.0623771164821</v>
      </c>
      <c r="F7498">
        <f>IF($D7498 &gt; 16, 0,$E7498*$J$5)</f>
        <v>20999585.976879045</v>
      </c>
      <c r="G7498">
        <f t="shared" si="117"/>
        <v>9.3000000000000007</v>
      </c>
    </row>
    <row r="7499" spans="2:7" x14ac:dyDescent="0.35">
      <c r="B7499" s="1">
        <v>45970</v>
      </c>
      <c r="C7499" s="2">
        <v>0.375</v>
      </c>
      <c r="D7499">
        <v>7.2</v>
      </c>
      <c r="E7499">
        <f>IF($D7499 &gt; 16, 0, $J$3*(16 - $D7499))</f>
        <v>1828.1880557661336</v>
      </c>
      <c r="F7499">
        <f>IF($D7499 &gt; 16, 0,$E7499*$J$5)</f>
        <v>19870575.978122108</v>
      </c>
      <c r="G7499">
        <f t="shared" si="117"/>
        <v>8.8000000000000007</v>
      </c>
    </row>
    <row r="7500" spans="2:7" x14ac:dyDescent="0.35">
      <c r="B7500" s="1">
        <v>45970</v>
      </c>
      <c r="C7500" s="2">
        <v>0.41666666666666669</v>
      </c>
      <c r="D7500">
        <v>7.3</v>
      </c>
      <c r="E7500">
        <f>IF($D7500 &gt; 16, 0, $J$3*(16 - $D7500))</f>
        <v>1807.4131914960637</v>
      </c>
      <c r="F7500">
        <f>IF($D7500 &gt; 16, 0,$E7500*$J$5)</f>
        <v>19644773.978370719</v>
      </c>
      <c r="G7500">
        <f t="shared" si="117"/>
        <v>8.6999999999999993</v>
      </c>
    </row>
    <row r="7501" spans="2:7" x14ac:dyDescent="0.35">
      <c r="B7501" s="1">
        <v>45970</v>
      </c>
      <c r="C7501" s="2">
        <v>0.45833333333333331</v>
      </c>
      <c r="D7501">
        <v>7.5</v>
      </c>
      <c r="E7501">
        <f>IF($D7501 &gt; 16, 0, $J$3*(16 - $D7501))</f>
        <v>1765.8634629559244</v>
      </c>
      <c r="F7501">
        <f>IF($D7501 &gt; 16, 0,$E7501*$J$5)</f>
        <v>19193169.978867944</v>
      </c>
      <c r="G7501">
        <f t="shared" si="117"/>
        <v>8.5</v>
      </c>
    </row>
    <row r="7502" spans="2:7" x14ac:dyDescent="0.35">
      <c r="B7502" s="1">
        <v>45970</v>
      </c>
      <c r="C7502" s="2">
        <v>0.5</v>
      </c>
      <c r="D7502">
        <v>7.7</v>
      </c>
      <c r="E7502">
        <f>IF($D7502 &gt; 16, 0, $J$3*(16 - $D7502))</f>
        <v>1724.3137344157851</v>
      </c>
      <c r="F7502">
        <f>IF($D7502 &gt; 16, 0,$E7502*$J$5)</f>
        <v>18741565.97936517</v>
      </c>
      <c r="G7502">
        <f t="shared" si="117"/>
        <v>8.3000000000000007</v>
      </c>
    </row>
    <row r="7503" spans="2:7" x14ac:dyDescent="0.35">
      <c r="B7503" s="1">
        <v>45970</v>
      </c>
      <c r="C7503" s="2">
        <v>0.54166666666666663</v>
      </c>
      <c r="D7503">
        <v>8.1999999999999993</v>
      </c>
      <c r="E7503">
        <f>IF($D7503 &gt; 16, 0, $J$3*(16 - $D7503))</f>
        <v>1620.4394130654366</v>
      </c>
      <c r="F7503">
        <f>IF($D7503 &gt; 16, 0,$E7503*$J$5)</f>
        <v>17612555.980608232</v>
      </c>
      <c r="G7503">
        <f t="shared" si="117"/>
        <v>7.8000000000000007</v>
      </c>
    </row>
    <row r="7504" spans="2:7" x14ac:dyDescent="0.35">
      <c r="B7504" s="1">
        <v>45970</v>
      </c>
      <c r="C7504" s="2">
        <v>0.58333333333333337</v>
      </c>
      <c r="D7504">
        <v>8.5</v>
      </c>
      <c r="E7504">
        <f>IF($D7504 &gt; 16, 0, $J$3*(16 - $D7504))</f>
        <v>1558.1148202552274</v>
      </c>
      <c r="F7504">
        <f>IF($D7504 &gt; 16, 0,$E7504*$J$5)</f>
        <v>16935149.981354065</v>
      </c>
      <c r="G7504">
        <f t="shared" si="117"/>
        <v>7.5</v>
      </c>
    </row>
    <row r="7505" spans="2:7" x14ac:dyDescent="0.35">
      <c r="B7505" s="1">
        <v>45970</v>
      </c>
      <c r="C7505" s="2">
        <v>0.625</v>
      </c>
      <c r="D7505">
        <v>8.5</v>
      </c>
      <c r="E7505">
        <f>IF($D7505 &gt; 16, 0, $J$3*(16 - $D7505))</f>
        <v>1558.1148202552274</v>
      </c>
      <c r="F7505">
        <f>IF($D7505 &gt; 16, 0,$E7505*$J$5)</f>
        <v>16935149.981354065</v>
      </c>
      <c r="G7505">
        <f t="shared" si="117"/>
        <v>7.5</v>
      </c>
    </row>
    <row r="7506" spans="2:7" x14ac:dyDescent="0.35">
      <c r="B7506" s="1">
        <v>45970</v>
      </c>
      <c r="C7506" s="2">
        <v>0.66666666666666663</v>
      </c>
      <c r="D7506">
        <v>8.3000000000000007</v>
      </c>
      <c r="E7506">
        <f>IF($D7506 &gt; 16, 0, $J$3*(16 - $D7506))</f>
        <v>1599.6645487953667</v>
      </c>
      <c r="F7506">
        <f>IF($D7506 &gt; 16, 0,$E7506*$J$5)</f>
        <v>17386753.98085684</v>
      </c>
      <c r="G7506">
        <f t="shared" si="117"/>
        <v>7.6999999999999993</v>
      </c>
    </row>
    <row r="7507" spans="2:7" x14ac:dyDescent="0.35">
      <c r="B7507" s="1">
        <v>45970</v>
      </c>
      <c r="C7507" s="2">
        <v>0.70833333333333337</v>
      </c>
      <c r="D7507">
        <v>8.1999999999999993</v>
      </c>
      <c r="E7507">
        <f>IF($D7507 &gt; 16, 0, $J$3*(16 - $D7507))</f>
        <v>1620.4394130654366</v>
      </c>
      <c r="F7507">
        <f>IF($D7507 &gt; 16, 0,$E7507*$J$5)</f>
        <v>17612555.980608232</v>
      </c>
      <c r="G7507">
        <f t="shared" si="117"/>
        <v>7.8000000000000007</v>
      </c>
    </row>
    <row r="7508" spans="2:7" x14ac:dyDescent="0.35">
      <c r="B7508" s="1">
        <v>45970</v>
      </c>
      <c r="C7508" s="2">
        <v>0.75</v>
      </c>
      <c r="D7508">
        <v>8.5</v>
      </c>
      <c r="E7508">
        <f>IF($D7508 &gt; 16, 0, $J$3*(16 - $D7508))</f>
        <v>1558.1148202552274</v>
      </c>
      <c r="F7508">
        <f>IF($D7508 &gt; 16, 0,$E7508*$J$5)</f>
        <v>16935149.981354065</v>
      </c>
      <c r="G7508">
        <f t="shared" si="117"/>
        <v>7.5</v>
      </c>
    </row>
    <row r="7509" spans="2:7" x14ac:dyDescent="0.35">
      <c r="B7509" s="1">
        <v>45970</v>
      </c>
      <c r="C7509" s="2">
        <v>0.79166666666666663</v>
      </c>
      <c r="D7509">
        <v>8.6</v>
      </c>
      <c r="E7509">
        <f>IF($D7509 &gt; 16, 0, $J$3*(16 - $D7509))</f>
        <v>1537.3399559851578</v>
      </c>
      <c r="F7509">
        <f>IF($D7509 &gt; 16, 0,$E7509*$J$5)</f>
        <v>16709347.98160268</v>
      </c>
      <c r="G7509">
        <f t="shared" si="117"/>
        <v>7.4</v>
      </c>
    </row>
    <row r="7510" spans="2:7" x14ac:dyDescent="0.35">
      <c r="B7510" s="1">
        <v>45970</v>
      </c>
      <c r="C7510" s="2">
        <v>0.83333333333333337</v>
      </c>
      <c r="D7510">
        <v>8.6999999999999993</v>
      </c>
      <c r="E7510">
        <f>IF($D7510 &gt; 16, 0, $J$3*(16 - $D7510))</f>
        <v>1516.5650917150881</v>
      </c>
      <c r="F7510">
        <f>IF($D7510 &gt; 16, 0,$E7510*$J$5)</f>
        <v>16483545.981851293</v>
      </c>
      <c r="G7510">
        <f t="shared" si="117"/>
        <v>7.3000000000000007</v>
      </c>
    </row>
    <row r="7511" spans="2:7" x14ac:dyDescent="0.35">
      <c r="B7511" s="1">
        <v>45970</v>
      </c>
      <c r="C7511" s="2">
        <v>0.875</v>
      </c>
      <c r="D7511">
        <v>9.1</v>
      </c>
      <c r="E7511">
        <f>IF($D7511 &gt; 16, 0, $J$3*(16 - $D7511))</f>
        <v>1433.4656346348092</v>
      </c>
      <c r="F7511">
        <f>IF($D7511 &gt; 16, 0,$E7511*$J$5)</f>
        <v>15580337.982845742</v>
      </c>
      <c r="G7511">
        <f t="shared" si="117"/>
        <v>6.9</v>
      </c>
    </row>
    <row r="7512" spans="2:7" x14ac:dyDescent="0.35">
      <c r="B7512" s="1">
        <v>45970</v>
      </c>
      <c r="C7512" s="2">
        <v>0.91666666666666663</v>
      </c>
      <c r="D7512">
        <v>9.3000000000000007</v>
      </c>
      <c r="E7512">
        <f>IF($D7512 &gt; 16, 0, $J$3*(16 - $D7512))</f>
        <v>1391.9159060946697</v>
      </c>
      <c r="F7512">
        <f>IF($D7512 &gt; 16, 0,$E7512*$J$5)</f>
        <v>15128733.983342964</v>
      </c>
      <c r="G7512">
        <f t="shared" si="117"/>
        <v>6.6999999999999993</v>
      </c>
    </row>
    <row r="7513" spans="2:7" x14ac:dyDescent="0.35">
      <c r="B7513" s="1">
        <v>45970</v>
      </c>
      <c r="C7513" s="2">
        <v>0.95833333333333337</v>
      </c>
      <c r="D7513">
        <v>9.4</v>
      </c>
      <c r="E7513">
        <f>IF($D7513 &gt; 16, 0, $J$3*(16 - $D7513))</f>
        <v>1371.1410418246001</v>
      </c>
      <c r="F7513">
        <f>IF($D7513 &gt; 16, 0,$E7513*$J$5)</f>
        <v>14902931.983591577</v>
      </c>
      <c r="G7513">
        <f t="shared" si="117"/>
        <v>6.6</v>
      </c>
    </row>
    <row r="7514" spans="2:7" x14ac:dyDescent="0.35">
      <c r="B7514" s="1">
        <v>45971</v>
      </c>
      <c r="C7514" s="2">
        <v>0</v>
      </c>
      <c r="D7514">
        <v>9.9</v>
      </c>
      <c r="E7514">
        <f>IF($D7514 &gt; 16, 0, $J$3*(16 - $D7514))</f>
        <v>1267.2667204742515</v>
      </c>
      <c r="F7514">
        <f>IF($D7514 &gt; 16, 0,$E7514*$J$5)</f>
        <v>13773921.984834639</v>
      </c>
      <c r="G7514">
        <f t="shared" si="117"/>
        <v>6.1</v>
      </c>
    </row>
    <row r="7515" spans="2:7" x14ac:dyDescent="0.35">
      <c r="B7515" s="1">
        <v>45971</v>
      </c>
      <c r="C7515" s="2">
        <v>4.1666666666666657E-2</v>
      </c>
      <c r="D7515">
        <v>9.8000000000000007</v>
      </c>
      <c r="E7515">
        <f>IF($D7515 &gt; 16, 0, $J$3*(16 - $D7515))</f>
        <v>1288.0415847443212</v>
      </c>
      <c r="F7515">
        <f>IF($D7515 &gt; 16, 0,$E7515*$J$5)</f>
        <v>13999723.984586027</v>
      </c>
      <c r="G7515">
        <f t="shared" si="117"/>
        <v>6.1999999999999993</v>
      </c>
    </row>
    <row r="7516" spans="2:7" x14ac:dyDescent="0.35">
      <c r="B7516" s="1">
        <v>45971</v>
      </c>
      <c r="C7516" s="2">
        <v>8.3333333333333329E-2</v>
      </c>
      <c r="D7516">
        <v>9.3000000000000007</v>
      </c>
      <c r="E7516">
        <f>IF($D7516 &gt; 16, 0, $J$3*(16 - $D7516))</f>
        <v>1391.9159060946697</v>
      </c>
      <c r="F7516">
        <f>IF($D7516 &gt; 16, 0,$E7516*$J$5)</f>
        <v>15128733.983342964</v>
      </c>
      <c r="G7516">
        <f t="shared" si="117"/>
        <v>6.6999999999999993</v>
      </c>
    </row>
    <row r="7517" spans="2:7" x14ac:dyDescent="0.35">
      <c r="B7517" s="1">
        <v>45971</v>
      </c>
      <c r="C7517" s="2">
        <v>0.125</v>
      </c>
      <c r="D7517">
        <v>8.4</v>
      </c>
      <c r="E7517">
        <f>IF($D7517 &gt; 16, 0, $J$3*(16 - $D7517))</f>
        <v>1578.8896845252971</v>
      </c>
      <c r="F7517">
        <f>IF($D7517 &gt; 16, 0,$E7517*$J$5)</f>
        <v>17160951.981105454</v>
      </c>
      <c r="G7517">
        <f t="shared" si="117"/>
        <v>7.6</v>
      </c>
    </row>
    <row r="7518" spans="2:7" x14ac:dyDescent="0.35">
      <c r="B7518" s="1">
        <v>45971</v>
      </c>
      <c r="C7518" s="2">
        <v>0.16666666666666671</v>
      </c>
      <c r="D7518">
        <v>7.3</v>
      </c>
      <c r="E7518">
        <f>IF($D7518 &gt; 16, 0, $J$3*(16 - $D7518))</f>
        <v>1807.4131914960637</v>
      </c>
      <c r="F7518">
        <f>IF($D7518 &gt; 16, 0,$E7518*$J$5)</f>
        <v>19644773.978370719</v>
      </c>
      <c r="G7518">
        <f t="shared" si="117"/>
        <v>8.6999999999999993</v>
      </c>
    </row>
    <row r="7519" spans="2:7" x14ac:dyDescent="0.35">
      <c r="B7519" s="1">
        <v>45971</v>
      </c>
      <c r="C7519" s="2">
        <v>0.20833333333333329</v>
      </c>
      <c r="D7519">
        <v>7.3</v>
      </c>
      <c r="E7519">
        <f>IF($D7519 &gt; 16, 0, $J$3*(16 - $D7519))</f>
        <v>1807.4131914960637</v>
      </c>
      <c r="F7519">
        <f>IF($D7519 &gt; 16, 0,$E7519*$J$5)</f>
        <v>19644773.978370719</v>
      </c>
      <c r="G7519">
        <f t="shared" si="117"/>
        <v>8.6999999999999993</v>
      </c>
    </row>
    <row r="7520" spans="2:7" x14ac:dyDescent="0.35">
      <c r="B7520" s="1">
        <v>45971</v>
      </c>
      <c r="C7520" s="2">
        <v>0.25</v>
      </c>
      <c r="D7520">
        <v>7</v>
      </c>
      <c r="E7520">
        <f>IF($D7520 &gt; 16, 0, $J$3*(16 - $D7520))</f>
        <v>1869.7377843062729</v>
      </c>
      <c r="F7520">
        <f>IF($D7520 &gt; 16, 0,$E7520*$J$5)</f>
        <v>20322179.977624882</v>
      </c>
      <c r="G7520">
        <f t="shared" si="117"/>
        <v>9</v>
      </c>
    </row>
    <row r="7521" spans="2:7" x14ac:dyDescent="0.35">
      <c r="B7521" s="1">
        <v>45971</v>
      </c>
      <c r="C7521" s="2">
        <v>0.29166666666666669</v>
      </c>
      <c r="D7521">
        <v>7.1</v>
      </c>
      <c r="E7521">
        <f>IF($D7521 &gt; 16, 0, $J$3*(16 - $D7521))</f>
        <v>1848.9629200362033</v>
      </c>
      <c r="F7521">
        <f>IF($D7521 &gt; 16, 0,$E7521*$J$5)</f>
        <v>20096377.977873493</v>
      </c>
      <c r="G7521">
        <f t="shared" si="117"/>
        <v>8.9</v>
      </c>
    </row>
    <row r="7522" spans="2:7" x14ac:dyDescent="0.35">
      <c r="B7522" s="1">
        <v>45971</v>
      </c>
      <c r="C7522" s="2">
        <v>0.33333333333333331</v>
      </c>
      <c r="D7522">
        <v>7.2</v>
      </c>
      <c r="E7522">
        <f>IF($D7522 &gt; 16, 0, $J$3*(16 - $D7522))</f>
        <v>1828.1880557661336</v>
      </c>
      <c r="F7522">
        <f>IF($D7522 &gt; 16, 0,$E7522*$J$5)</f>
        <v>19870575.978122108</v>
      </c>
      <c r="G7522">
        <f t="shared" si="117"/>
        <v>8.8000000000000007</v>
      </c>
    </row>
    <row r="7523" spans="2:7" x14ac:dyDescent="0.35">
      <c r="B7523" s="1">
        <v>45971</v>
      </c>
      <c r="C7523" s="2">
        <v>0.375</v>
      </c>
      <c r="D7523">
        <v>7.1</v>
      </c>
      <c r="E7523">
        <f>IF($D7523 &gt; 16, 0, $J$3*(16 - $D7523))</f>
        <v>1848.9629200362033</v>
      </c>
      <c r="F7523">
        <f>IF($D7523 &gt; 16, 0,$E7523*$J$5)</f>
        <v>20096377.977873493</v>
      </c>
      <c r="G7523">
        <f t="shared" si="117"/>
        <v>8.9</v>
      </c>
    </row>
    <row r="7524" spans="2:7" x14ac:dyDescent="0.35">
      <c r="B7524" s="1">
        <v>45971</v>
      </c>
      <c r="C7524" s="2">
        <v>0.41666666666666669</v>
      </c>
      <c r="D7524">
        <v>7.5</v>
      </c>
      <c r="E7524">
        <f>IF($D7524 &gt; 16, 0, $J$3*(16 - $D7524))</f>
        <v>1765.8634629559244</v>
      </c>
      <c r="F7524">
        <f>IF($D7524 &gt; 16, 0,$E7524*$J$5)</f>
        <v>19193169.978867944</v>
      </c>
      <c r="G7524">
        <f t="shared" si="117"/>
        <v>8.5</v>
      </c>
    </row>
    <row r="7525" spans="2:7" x14ac:dyDescent="0.35">
      <c r="B7525" s="1">
        <v>45971</v>
      </c>
      <c r="C7525" s="2">
        <v>0.45833333333333331</v>
      </c>
      <c r="D7525">
        <v>8.3000000000000007</v>
      </c>
      <c r="E7525">
        <f>IF($D7525 &gt; 16, 0, $J$3*(16 - $D7525))</f>
        <v>1599.6645487953667</v>
      </c>
      <c r="F7525">
        <f>IF($D7525 &gt; 16, 0,$E7525*$J$5)</f>
        <v>17386753.98085684</v>
      </c>
      <c r="G7525">
        <f t="shared" si="117"/>
        <v>7.6999999999999993</v>
      </c>
    </row>
    <row r="7526" spans="2:7" x14ac:dyDescent="0.35">
      <c r="B7526" s="1">
        <v>45971</v>
      </c>
      <c r="C7526" s="2">
        <v>0.5</v>
      </c>
      <c r="D7526">
        <v>9.3000000000000007</v>
      </c>
      <c r="E7526">
        <f>IF($D7526 &gt; 16, 0, $J$3*(16 - $D7526))</f>
        <v>1391.9159060946697</v>
      </c>
      <c r="F7526">
        <f>IF($D7526 &gt; 16, 0,$E7526*$J$5)</f>
        <v>15128733.983342964</v>
      </c>
      <c r="G7526">
        <f t="shared" si="117"/>
        <v>6.6999999999999993</v>
      </c>
    </row>
    <row r="7527" spans="2:7" x14ac:dyDescent="0.35">
      <c r="B7527" s="1">
        <v>45971</v>
      </c>
      <c r="C7527" s="2">
        <v>0.54166666666666663</v>
      </c>
      <c r="D7527">
        <v>8.5</v>
      </c>
      <c r="E7527">
        <f>IF($D7527 &gt; 16, 0, $J$3*(16 - $D7527))</f>
        <v>1558.1148202552274</v>
      </c>
      <c r="F7527">
        <f>IF($D7527 &gt; 16, 0,$E7527*$J$5)</f>
        <v>16935149.981354065</v>
      </c>
      <c r="G7527">
        <f t="shared" si="117"/>
        <v>7.5</v>
      </c>
    </row>
    <row r="7528" spans="2:7" x14ac:dyDescent="0.35">
      <c r="B7528" s="1">
        <v>45971</v>
      </c>
      <c r="C7528" s="2">
        <v>0.58333333333333337</v>
      </c>
      <c r="D7528">
        <v>7.8</v>
      </c>
      <c r="E7528">
        <f>IF($D7528 &gt; 16, 0, $J$3*(16 - $D7528))</f>
        <v>1703.5388701457152</v>
      </c>
      <c r="F7528">
        <f>IF($D7528 &gt; 16, 0,$E7528*$J$5)</f>
        <v>18515763.979613777</v>
      </c>
      <c r="G7528">
        <f t="shared" si="117"/>
        <v>8.1999999999999993</v>
      </c>
    </row>
    <row r="7529" spans="2:7" x14ac:dyDescent="0.35">
      <c r="B7529" s="1">
        <v>45971</v>
      </c>
      <c r="C7529" s="2">
        <v>0.625</v>
      </c>
      <c r="D7529">
        <v>7.1</v>
      </c>
      <c r="E7529">
        <f>IF($D7529 &gt; 16, 0, $J$3*(16 - $D7529))</f>
        <v>1848.9629200362033</v>
      </c>
      <c r="F7529">
        <f>IF($D7529 &gt; 16, 0,$E7529*$J$5)</f>
        <v>20096377.977873493</v>
      </c>
      <c r="G7529">
        <f t="shared" si="117"/>
        <v>8.9</v>
      </c>
    </row>
    <row r="7530" spans="2:7" x14ac:dyDescent="0.35">
      <c r="B7530" s="1">
        <v>45971</v>
      </c>
      <c r="C7530" s="2">
        <v>0.66666666666666663</v>
      </c>
      <c r="D7530">
        <v>7.1</v>
      </c>
      <c r="E7530">
        <f>IF($D7530 &gt; 16, 0, $J$3*(16 - $D7530))</f>
        <v>1848.9629200362033</v>
      </c>
      <c r="F7530">
        <f>IF($D7530 &gt; 16, 0,$E7530*$J$5)</f>
        <v>20096377.977873493</v>
      </c>
      <c r="G7530">
        <f t="shared" si="117"/>
        <v>8.9</v>
      </c>
    </row>
    <row r="7531" spans="2:7" x14ac:dyDescent="0.35">
      <c r="B7531" s="1">
        <v>45971</v>
      </c>
      <c r="C7531" s="2">
        <v>0.70833333333333337</v>
      </c>
      <c r="D7531">
        <v>7.2</v>
      </c>
      <c r="E7531">
        <f>IF($D7531 &gt; 16, 0, $J$3*(16 - $D7531))</f>
        <v>1828.1880557661336</v>
      </c>
      <c r="F7531">
        <f>IF($D7531 &gt; 16, 0,$E7531*$J$5)</f>
        <v>19870575.978122108</v>
      </c>
      <c r="G7531">
        <f t="shared" si="117"/>
        <v>8.8000000000000007</v>
      </c>
    </row>
    <row r="7532" spans="2:7" x14ac:dyDescent="0.35">
      <c r="B7532" s="1">
        <v>45971</v>
      </c>
      <c r="C7532" s="2">
        <v>0.75</v>
      </c>
      <c r="D7532">
        <v>7.4</v>
      </c>
      <c r="E7532">
        <f>IF($D7532 &gt; 16, 0, $J$3*(16 - $D7532))</f>
        <v>1786.6383272259941</v>
      </c>
      <c r="F7532">
        <f>IF($D7532 &gt; 16, 0,$E7532*$J$5)</f>
        <v>19418971.97861933</v>
      </c>
      <c r="G7532">
        <f t="shared" si="117"/>
        <v>8.6</v>
      </c>
    </row>
    <row r="7533" spans="2:7" x14ac:dyDescent="0.35">
      <c r="B7533" s="1">
        <v>45971</v>
      </c>
      <c r="C7533" s="2">
        <v>0.79166666666666663</v>
      </c>
      <c r="D7533">
        <v>7.4</v>
      </c>
      <c r="E7533">
        <f>IF($D7533 &gt; 16, 0, $J$3*(16 - $D7533))</f>
        <v>1786.6383272259941</v>
      </c>
      <c r="F7533">
        <f>IF($D7533 &gt; 16, 0,$E7533*$J$5)</f>
        <v>19418971.97861933</v>
      </c>
      <c r="G7533">
        <f t="shared" si="117"/>
        <v>8.6</v>
      </c>
    </row>
    <row r="7534" spans="2:7" x14ac:dyDescent="0.35">
      <c r="B7534" s="1">
        <v>45971</v>
      </c>
      <c r="C7534" s="2">
        <v>0.83333333333333337</v>
      </c>
      <c r="D7534">
        <v>7.6</v>
      </c>
      <c r="E7534">
        <f>IF($D7534 &gt; 16, 0, $J$3*(16 - $D7534))</f>
        <v>1745.0885986858548</v>
      </c>
      <c r="F7534">
        <f>IF($D7534 &gt; 16, 0,$E7534*$J$5)</f>
        <v>18967367.979116555</v>
      </c>
      <c r="G7534">
        <f t="shared" si="117"/>
        <v>8.4</v>
      </c>
    </row>
    <row r="7535" spans="2:7" x14ac:dyDescent="0.35">
      <c r="B7535" s="1">
        <v>45971</v>
      </c>
      <c r="C7535" s="2">
        <v>0.875</v>
      </c>
      <c r="D7535">
        <v>5.9</v>
      </c>
      <c r="E7535">
        <f>IF($D7535 &gt; 16, 0, $J$3*(16 - $D7535))</f>
        <v>2098.2612912770396</v>
      </c>
      <c r="F7535">
        <f>IF($D7535 &gt; 16, 0,$E7535*$J$5)</f>
        <v>22806001.974890143</v>
      </c>
      <c r="G7535">
        <f t="shared" si="117"/>
        <v>10.1</v>
      </c>
    </row>
    <row r="7536" spans="2:7" x14ac:dyDescent="0.35">
      <c r="B7536" s="1">
        <v>45971</v>
      </c>
      <c r="C7536" s="2">
        <v>0.91666666666666663</v>
      </c>
      <c r="D7536">
        <v>5.6</v>
      </c>
      <c r="E7536">
        <f>IF($D7536 &gt; 16, 0, $J$3*(16 - $D7536))</f>
        <v>2160.5858840872488</v>
      </c>
      <c r="F7536">
        <f>IF($D7536 &gt; 16, 0,$E7536*$J$5)</f>
        <v>23483407.974144306</v>
      </c>
      <c r="G7536">
        <f t="shared" si="117"/>
        <v>10.4</v>
      </c>
    </row>
    <row r="7537" spans="2:7" x14ac:dyDescent="0.35">
      <c r="B7537" s="1">
        <v>45971</v>
      </c>
      <c r="C7537" s="2">
        <v>0.95833333333333337</v>
      </c>
      <c r="D7537">
        <v>6.3</v>
      </c>
      <c r="E7537">
        <f>IF($D7537 &gt; 16, 0, $J$3*(16 - $D7537))</f>
        <v>2015.1618341967608</v>
      </c>
      <c r="F7537">
        <f>IF($D7537 &gt; 16, 0,$E7537*$J$5)</f>
        <v>21902793.975884594</v>
      </c>
      <c r="G7537">
        <f t="shared" si="117"/>
        <v>9.6999999999999993</v>
      </c>
    </row>
    <row r="7538" spans="2:7" x14ac:dyDescent="0.35">
      <c r="B7538" s="1">
        <v>45972</v>
      </c>
      <c r="C7538" s="2">
        <v>0</v>
      </c>
      <c r="D7538">
        <v>6.3</v>
      </c>
      <c r="E7538">
        <f>IF($D7538 &gt; 16, 0, $J$3*(16 - $D7538))</f>
        <v>2015.1618341967608</v>
      </c>
      <c r="F7538">
        <f>IF($D7538 &gt; 16, 0,$E7538*$J$5)</f>
        <v>21902793.975884594</v>
      </c>
      <c r="G7538">
        <f t="shared" si="117"/>
        <v>9.6999999999999993</v>
      </c>
    </row>
    <row r="7539" spans="2:7" x14ac:dyDescent="0.35">
      <c r="B7539" s="1">
        <v>45972</v>
      </c>
      <c r="C7539" s="2">
        <v>4.1666666666666657E-2</v>
      </c>
      <c r="D7539">
        <v>6.4</v>
      </c>
      <c r="E7539">
        <f>IF($D7539 &gt; 16, 0, $J$3*(16 - $D7539))</f>
        <v>1994.3869699266911</v>
      </c>
      <c r="F7539">
        <f>IF($D7539 &gt; 16, 0,$E7539*$J$5)</f>
        <v>21676991.976133205</v>
      </c>
      <c r="G7539">
        <f t="shared" si="117"/>
        <v>9.6</v>
      </c>
    </row>
    <row r="7540" spans="2:7" x14ac:dyDescent="0.35">
      <c r="B7540" s="1">
        <v>45972</v>
      </c>
      <c r="C7540" s="2">
        <v>8.3333333333333329E-2</v>
      </c>
      <c r="D7540">
        <v>6.5</v>
      </c>
      <c r="E7540">
        <f>IF($D7540 &gt; 16, 0, $J$3*(16 - $D7540))</f>
        <v>1973.6121056566215</v>
      </c>
      <c r="F7540">
        <f>IF($D7540 &gt; 16, 0,$E7540*$J$5)</f>
        <v>21451189.97638182</v>
      </c>
      <c r="G7540">
        <f t="shared" si="117"/>
        <v>9.5</v>
      </c>
    </row>
    <row r="7541" spans="2:7" x14ac:dyDescent="0.35">
      <c r="B7541" s="1">
        <v>45972</v>
      </c>
      <c r="C7541" s="2">
        <v>0.125</v>
      </c>
      <c r="D7541">
        <v>6.5</v>
      </c>
      <c r="E7541">
        <f>IF($D7541 &gt; 16, 0, $J$3*(16 - $D7541))</f>
        <v>1973.6121056566215</v>
      </c>
      <c r="F7541">
        <f>IF($D7541 &gt; 16, 0,$E7541*$J$5)</f>
        <v>21451189.97638182</v>
      </c>
      <c r="G7541">
        <f t="shared" si="117"/>
        <v>9.5</v>
      </c>
    </row>
    <row r="7542" spans="2:7" x14ac:dyDescent="0.35">
      <c r="B7542" s="1">
        <v>45972</v>
      </c>
      <c r="C7542" s="2">
        <v>0.16666666666666671</v>
      </c>
      <c r="D7542">
        <v>6.5</v>
      </c>
      <c r="E7542">
        <f>IF($D7542 &gt; 16, 0, $J$3*(16 - $D7542))</f>
        <v>1973.6121056566215</v>
      </c>
      <c r="F7542">
        <f>IF($D7542 &gt; 16, 0,$E7542*$J$5)</f>
        <v>21451189.97638182</v>
      </c>
      <c r="G7542">
        <f t="shared" si="117"/>
        <v>9.5</v>
      </c>
    </row>
    <row r="7543" spans="2:7" x14ac:dyDescent="0.35">
      <c r="B7543" s="1">
        <v>45972</v>
      </c>
      <c r="C7543" s="2">
        <v>0.20833333333333329</v>
      </c>
      <c r="D7543">
        <v>6.7</v>
      </c>
      <c r="E7543">
        <f>IF($D7543 &gt; 16, 0, $J$3*(16 - $D7543))</f>
        <v>1932.0623771164821</v>
      </c>
      <c r="F7543">
        <f>IF($D7543 &gt; 16, 0,$E7543*$J$5)</f>
        <v>20999585.976879045</v>
      </c>
      <c r="G7543">
        <f t="shared" si="117"/>
        <v>9.3000000000000007</v>
      </c>
    </row>
    <row r="7544" spans="2:7" x14ac:dyDescent="0.35">
      <c r="B7544" s="1">
        <v>45972</v>
      </c>
      <c r="C7544" s="2">
        <v>0.25</v>
      </c>
      <c r="D7544">
        <v>6.8</v>
      </c>
      <c r="E7544">
        <f>IF($D7544 &gt; 16, 0, $J$3*(16 - $D7544))</f>
        <v>1911.2875128464123</v>
      </c>
      <c r="F7544">
        <f>IF($D7544 &gt; 16, 0,$E7544*$J$5)</f>
        <v>20773783.977127656</v>
      </c>
      <c r="G7544">
        <f t="shared" si="117"/>
        <v>9.1999999999999993</v>
      </c>
    </row>
    <row r="7545" spans="2:7" x14ac:dyDescent="0.35">
      <c r="B7545" s="1">
        <v>45972</v>
      </c>
      <c r="C7545" s="2">
        <v>0.29166666666666669</v>
      </c>
      <c r="D7545">
        <v>7.4</v>
      </c>
      <c r="E7545">
        <f>IF($D7545 &gt; 16, 0, $J$3*(16 - $D7545))</f>
        <v>1786.6383272259941</v>
      </c>
      <c r="F7545">
        <f>IF($D7545 &gt; 16, 0,$E7545*$J$5)</f>
        <v>19418971.97861933</v>
      </c>
      <c r="G7545">
        <f t="shared" si="117"/>
        <v>8.6</v>
      </c>
    </row>
    <row r="7546" spans="2:7" x14ac:dyDescent="0.35">
      <c r="B7546" s="1">
        <v>45972</v>
      </c>
      <c r="C7546" s="2">
        <v>0.33333333333333331</v>
      </c>
      <c r="D7546">
        <v>8.6</v>
      </c>
      <c r="E7546">
        <f>IF($D7546 &gt; 16, 0, $J$3*(16 - $D7546))</f>
        <v>1537.3399559851578</v>
      </c>
      <c r="F7546">
        <f>IF($D7546 &gt; 16, 0,$E7546*$J$5)</f>
        <v>16709347.98160268</v>
      </c>
      <c r="G7546">
        <f t="shared" si="117"/>
        <v>7.4</v>
      </c>
    </row>
    <row r="7547" spans="2:7" x14ac:dyDescent="0.35">
      <c r="B7547" s="1">
        <v>45972</v>
      </c>
      <c r="C7547" s="2">
        <v>0.375</v>
      </c>
      <c r="D7547">
        <v>9.3000000000000007</v>
      </c>
      <c r="E7547">
        <f>IF($D7547 &gt; 16, 0, $J$3*(16 - $D7547))</f>
        <v>1391.9159060946697</v>
      </c>
      <c r="F7547">
        <f>IF($D7547 &gt; 16, 0,$E7547*$J$5)</f>
        <v>15128733.983342964</v>
      </c>
      <c r="G7547">
        <f t="shared" si="117"/>
        <v>6.6999999999999993</v>
      </c>
    </row>
    <row r="7548" spans="2:7" x14ac:dyDescent="0.35">
      <c r="B7548" s="1">
        <v>45972</v>
      </c>
      <c r="C7548" s="2">
        <v>0.41666666666666669</v>
      </c>
      <c r="D7548">
        <v>9.6999999999999993</v>
      </c>
      <c r="E7548">
        <f>IF($D7548 &gt; 16, 0, $J$3*(16 - $D7548))</f>
        <v>1308.8164490143911</v>
      </c>
      <c r="F7548">
        <f>IF($D7548 &gt; 16, 0,$E7548*$J$5)</f>
        <v>14225525.984337417</v>
      </c>
      <c r="G7548">
        <f t="shared" si="117"/>
        <v>6.3000000000000007</v>
      </c>
    </row>
    <row r="7549" spans="2:7" x14ac:dyDescent="0.35">
      <c r="B7549" s="1">
        <v>45972</v>
      </c>
      <c r="C7549" s="2">
        <v>0.45833333333333331</v>
      </c>
      <c r="D7549">
        <v>10.6</v>
      </c>
      <c r="E7549">
        <f>IF($D7549 &gt; 16, 0, $J$3*(16 - $D7549))</f>
        <v>1121.8426705837637</v>
      </c>
      <c r="F7549">
        <f>IF($D7549 &gt; 16, 0,$E7549*$J$5)</f>
        <v>12193307.986574927</v>
      </c>
      <c r="G7549">
        <f t="shared" si="117"/>
        <v>5.4</v>
      </c>
    </row>
    <row r="7550" spans="2:7" x14ac:dyDescent="0.35">
      <c r="B7550" s="1">
        <v>45972</v>
      </c>
      <c r="C7550" s="2">
        <v>0.5</v>
      </c>
      <c r="D7550">
        <v>11.5</v>
      </c>
      <c r="E7550">
        <f>IF($D7550 &gt; 16, 0, $J$3*(16 - $D7550))</f>
        <v>934.86889215313647</v>
      </c>
      <c r="F7550">
        <f>IF($D7550 &gt; 16, 0,$E7550*$J$5)</f>
        <v>10161089.988812441</v>
      </c>
      <c r="G7550">
        <f t="shared" si="117"/>
        <v>4.5</v>
      </c>
    </row>
    <row r="7551" spans="2:7" x14ac:dyDescent="0.35">
      <c r="B7551" s="1">
        <v>45972</v>
      </c>
      <c r="C7551" s="2">
        <v>0.54166666666666663</v>
      </c>
      <c r="D7551">
        <v>11.5</v>
      </c>
      <c r="E7551">
        <f>IF($D7551 &gt; 16, 0, $J$3*(16 - $D7551))</f>
        <v>934.86889215313647</v>
      </c>
      <c r="F7551">
        <f>IF($D7551 &gt; 16, 0,$E7551*$J$5)</f>
        <v>10161089.988812441</v>
      </c>
      <c r="G7551">
        <f t="shared" si="117"/>
        <v>4.5</v>
      </c>
    </row>
    <row r="7552" spans="2:7" x14ac:dyDescent="0.35">
      <c r="B7552" s="1">
        <v>45972</v>
      </c>
      <c r="C7552" s="2">
        <v>0.58333333333333337</v>
      </c>
      <c r="D7552">
        <v>11.2</v>
      </c>
      <c r="E7552">
        <f>IF($D7552 &gt; 16, 0, $J$3*(16 - $D7552))</f>
        <v>997.19348496334567</v>
      </c>
      <c r="F7552">
        <f>IF($D7552 &gt; 16, 0,$E7552*$J$5)</f>
        <v>10838495.988066604</v>
      </c>
      <c r="G7552">
        <f t="shared" si="117"/>
        <v>4.8000000000000007</v>
      </c>
    </row>
    <row r="7553" spans="2:7" x14ac:dyDescent="0.35">
      <c r="B7553" s="1">
        <v>45972</v>
      </c>
      <c r="C7553" s="2">
        <v>0.625</v>
      </c>
      <c r="D7553">
        <v>10.8</v>
      </c>
      <c r="E7553">
        <f>IF($D7553 &gt; 16, 0, $J$3*(16 - $D7553))</f>
        <v>1080.2929420436242</v>
      </c>
      <c r="F7553">
        <f>IF($D7553 &gt; 16, 0,$E7553*$J$5)</f>
        <v>11741703.987072151</v>
      </c>
      <c r="G7553">
        <f t="shared" si="117"/>
        <v>5.1999999999999993</v>
      </c>
    </row>
    <row r="7554" spans="2:7" x14ac:dyDescent="0.35">
      <c r="B7554" s="1">
        <v>45972</v>
      </c>
      <c r="C7554" s="2">
        <v>0.66666666666666663</v>
      </c>
      <c r="D7554">
        <v>9.6999999999999993</v>
      </c>
      <c r="E7554">
        <f>IF($D7554 &gt; 16, 0, $J$3*(16 - $D7554))</f>
        <v>1308.8164490143911</v>
      </c>
      <c r="F7554">
        <f>IF($D7554 &gt; 16, 0,$E7554*$J$5)</f>
        <v>14225525.984337417</v>
      </c>
      <c r="G7554">
        <f t="shared" si="117"/>
        <v>6.3000000000000007</v>
      </c>
    </row>
    <row r="7555" spans="2:7" x14ac:dyDescent="0.35">
      <c r="B7555" s="1">
        <v>45972</v>
      </c>
      <c r="C7555" s="2">
        <v>0.70833333333333337</v>
      </c>
      <c r="D7555">
        <v>8.6999999999999993</v>
      </c>
      <c r="E7555">
        <f>IF($D7555 &gt; 16, 0, $J$3*(16 - $D7555))</f>
        <v>1516.5650917150881</v>
      </c>
      <c r="F7555">
        <f>IF($D7555 &gt; 16, 0,$E7555*$J$5)</f>
        <v>16483545.981851293</v>
      </c>
      <c r="G7555">
        <f t="shared" ref="G7555:G7618" si="118">MAX(0, 16 - $D7555)</f>
        <v>7.3000000000000007</v>
      </c>
    </row>
    <row r="7556" spans="2:7" x14ac:dyDescent="0.35">
      <c r="B7556" s="1">
        <v>45972</v>
      </c>
      <c r="C7556" s="2">
        <v>0.75</v>
      </c>
      <c r="D7556">
        <v>8.3000000000000007</v>
      </c>
      <c r="E7556">
        <f>IF($D7556 &gt; 16, 0, $J$3*(16 - $D7556))</f>
        <v>1599.6645487953667</v>
      </c>
      <c r="F7556">
        <f>IF($D7556 &gt; 16, 0,$E7556*$J$5)</f>
        <v>17386753.98085684</v>
      </c>
      <c r="G7556">
        <f t="shared" si="118"/>
        <v>7.6999999999999993</v>
      </c>
    </row>
    <row r="7557" spans="2:7" x14ac:dyDescent="0.35">
      <c r="B7557" s="1">
        <v>45972</v>
      </c>
      <c r="C7557" s="2">
        <v>0.79166666666666663</v>
      </c>
      <c r="D7557">
        <v>7.6</v>
      </c>
      <c r="E7557">
        <f>IF($D7557 &gt; 16, 0, $J$3*(16 - $D7557))</f>
        <v>1745.0885986858548</v>
      </c>
      <c r="F7557">
        <f>IF($D7557 &gt; 16, 0,$E7557*$J$5)</f>
        <v>18967367.979116555</v>
      </c>
      <c r="G7557">
        <f t="shared" si="118"/>
        <v>8.4</v>
      </c>
    </row>
    <row r="7558" spans="2:7" x14ac:dyDescent="0.35">
      <c r="B7558" s="1">
        <v>45972</v>
      </c>
      <c r="C7558" s="2">
        <v>0.83333333333333337</v>
      </c>
      <c r="D7558">
        <v>7</v>
      </c>
      <c r="E7558">
        <f>IF($D7558 &gt; 16, 0, $J$3*(16 - $D7558))</f>
        <v>1869.7377843062729</v>
      </c>
      <c r="F7558">
        <f>IF($D7558 &gt; 16, 0,$E7558*$J$5)</f>
        <v>20322179.977624882</v>
      </c>
      <c r="G7558">
        <f t="shared" si="118"/>
        <v>9</v>
      </c>
    </row>
    <row r="7559" spans="2:7" x14ac:dyDescent="0.35">
      <c r="B7559" s="1">
        <v>45972</v>
      </c>
      <c r="C7559" s="2">
        <v>0.875</v>
      </c>
      <c r="D7559">
        <v>7.3</v>
      </c>
      <c r="E7559">
        <f>IF($D7559 &gt; 16, 0, $J$3*(16 - $D7559))</f>
        <v>1807.4131914960637</v>
      </c>
      <c r="F7559">
        <f>IF($D7559 &gt; 16, 0,$E7559*$J$5)</f>
        <v>19644773.978370719</v>
      </c>
      <c r="G7559">
        <f t="shared" si="118"/>
        <v>8.6999999999999993</v>
      </c>
    </row>
    <row r="7560" spans="2:7" x14ac:dyDescent="0.35">
      <c r="B7560" s="1">
        <v>45972</v>
      </c>
      <c r="C7560" s="2">
        <v>0.91666666666666663</v>
      </c>
      <c r="D7560">
        <v>7</v>
      </c>
      <c r="E7560">
        <f>IF($D7560 &gt; 16, 0, $J$3*(16 - $D7560))</f>
        <v>1869.7377843062729</v>
      </c>
      <c r="F7560">
        <f>IF($D7560 &gt; 16, 0,$E7560*$J$5)</f>
        <v>20322179.977624882</v>
      </c>
      <c r="G7560">
        <f t="shared" si="118"/>
        <v>9</v>
      </c>
    </row>
    <row r="7561" spans="2:7" x14ac:dyDescent="0.35">
      <c r="B7561" s="1">
        <v>45972</v>
      </c>
      <c r="C7561" s="2">
        <v>0.95833333333333337</v>
      </c>
      <c r="D7561">
        <v>6.4</v>
      </c>
      <c r="E7561">
        <f>IF($D7561 &gt; 16, 0, $J$3*(16 - $D7561))</f>
        <v>1994.3869699266911</v>
      </c>
      <c r="F7561">
        <f>IF($D7561 &gt; 16, 0,$E7561*$J$5)</f>
        <v>21676991.976133205</v>
      </c>
      <c r="G7561">
        <f t="shared" si="118"/>
        <v>9.6</v>
      </c>
    </row>
    <row r="7562" spans="2:7" x14ac:dyDescent="0.35">
      <c r="B7562" s="1">
        <v>45973</v>
      </c>
      <c r="C7562" s="2">
        <v>0</v>
      </c>
      <c r="D7562">
        <v>6.3</v>
      </c>
      <c r="E7562">
        <f>IF($D7562 &gt; 16, 0, $J$3*(16 - $D7562))</f>
        <v>2015.1618341967608</v>
      </c>
      <c r="F7562">
        <f>IF($D7562 &gt; 16, 0,$E7562*$J$5)</f>
        <v>21902793.975884594</v>
      </c>
      <c r="G7562">
        <f t="shared" si="118"/>
        <v>9.6999999999999993</v>
      </c>
    </row>
    <row r="7563" spans="2:7" x14ac:dyDescent="0.35">
      <c r="B7563" s="1">
        <v>45973</v>
      </c>
      <c r="C7563" s="2">
        <v>4.1666666666666657E-2</v>
      </c>
      <c r="D7563">
        <v>6.7</v>
      </c>
      <c r="E7563">
        <f>IF($D7563 &gt; 16, 0, $J$3*(16 - $D7563))</f>
        <v>1932.0623771164821</v>
      </c>
      <c r="F7563">
        <f>IF($D7563 &gt; 16, 0,$E7563*$J$5)</f>
        <v>20999585.976879045</v>
      </c>
      <c r="G7563">
        <f t="shared" si="118"/>
        <v>9.3000000000000007</v>
      </c>
    </row>
    <row r="7564" spans="2:7" x14ac:dyDescent="0.35">
      <c r="B7564" s="1">
        <v>45973</v>
      </c>
      <c r="C7564" s="2">
        <v>8.3333333333333329E-2</v>
      </c>
      <c r="D7564">
        <v>6.4</v>
      </c>
      <c r="E7564">
        <f>IF($D7564 &gt; 16, 0, $J$3*(16 - $D7564))</f>
        <v>1994.3869699266911</v>
      </c>
      <c r="F7564">
        <f>IF($D7564 &gt; 16, 0,$E7564*$J$5)</f>
        <v>21676991.976133205</v>
      </c>
      <c r="G7564">
        <f t="shared" si="118"/>
        <v>9.6</v>
      </c>
    </row>
    <row r="7565" spans="2:7" x14ac:dyDescent="0.35">
      <c r="B7565" s="1">
        <v>45973</v>
      </c>
      <c r="C7565" s="2">
        <v>0.125</v>
      </c>
      <c r="D7565">
        <v>6.7</v>
      </c>
      <c r="E7565">
        <f>IF($D7565 &gt; 16, 0, $J$3*(16 - $D7565))</f>
        <v>1932.0623771164821</v>
      </c>
      <c r="F7565">
        <f>IF($D7565 &gt; 16, 0,$E7565*$J$5)</f>
        <v>20999585.976879045</v>
      </c>
      <c r="G7565">
        <f t="shared" si="118"/>
        <v>9.3000000000000007</v>
      </c>
    </row>
    <row r="7566" spans="2:7" x14ac:dyDescent="0.35">
      <c r="B7566" s="1">
        <v>45973</v>
      </c>
      <c r="C7566" s="2">
        <v>0.16666666666666671</v>
      </c>
      <c r="D7566">
        <v>6.5</v>
      </c>
      <c r="E7566">
        <f>IF($D7566 &gt; 16, 0, $J$3*(16 - $D7566))</f>
        <v>1973.6121056566215</v>
      </c>
      <c r="F7566">
        <f>IF($D7566 &gt; 16, 0,$E7566*$J$5)</f>
        <v>21451189.97638182</v>
      </c>
      <c r="G7566">
        <f t="shared" si="118"/>
        <v>9.5</v>
      </c>
    </row>
    <row r="7567" spans="2:7" x14ac:dyDescent="0.35">
      <c r="B7567" s="1">
        <v>45973</v>
      </c>
      <c r="C7567" s="2">
        <v>0.20833333333333329</v>
      </c>
      <c r="D7567">
        <v>7</v>
      </c>
      <c r="E7567">
        <f>IF($D7567 &gt; 16, 0, $J$3*(16 - $D7567))</f>
        <v>1869.7377843062729</v>
      </c>
      <c r="F7567">
        <f>IF($D7567 &gt; 16, 0,$E7567*$J$5)</f>
        <v>20322179.977624882</v>
      </c>
      <c r="G7567">
        <f t="shared" si="118"/>
        <v>9</v>
      </c>
    </row>
    <row r="7568" spans="2:7" x14ac:dyDescent="0.35">
      <c r="B7568" s="1">
        <v>45973</v>
      </c>
      <c r="C7568" s="2">
        <v>0.25</v>
      </c>
      <c r="D7568">
        <v>7.3</v>
      </c>
      <c r="E7568">
        <f>IF($D7568 &gt; 16, 0, $J$3*(16 - $D7568))</f>
        <v>1807.4131914960637</v>
      </c>
      <c r="F7568">
        <f>IF($D7568 &gt; 16, 0,$E7568*$J$5)</f>
        <v>19644773.978370719</v>
      </c>
      <c r="G7568">
        <f t="shared" si="118"/>
        <v>8.6999999999999993</v>
      </c>
    </row>
    <row r="7569" spans="2:7" x14ac:dyDescent="0.35">
      <c r="B7569" s="1">
        <v>45973</v>
      </c>
      <c r="C7569" s="2">
        <v>0.29166666666666669</v>
      </c>
      <c r="D7569">
        <v>7.4</v>
      </c>
      <c r="E7569">
        <f>IF($D7569 &gt; 16, 0, $J$3*(16 - $D7569))</f>
        <v>1786.6383272259941</v>
      </c>
      <c r="F7569">
        <f>IF($D7569 &gt; 16, 0,$E7569*$J$5)</f>
        <v>19418971.97861933</v>
      </c>
      <c r="G7569">
        <f t="shared" si="118"/>
        <v>8.6</v>
      </c>
    </row>
    <row r="7570" spans="2:7" x14ac:dyDescent="0.35">
      <c r="B7570" s="1">
        <v>45973</v>
      </c>
      <c r="C7570" s="2">
        <v>0.33333333333333331</v>
      </c>
      <c r="D7570">
        <v>7.8</v>
      </c>
      <c r="E7570">
        <f>IF($D7570 &gt; 16, 0, $J$3*(16 - $D7570))</f>
        <v>1703.5388701457152</v>
      </c>
      <c r="F7570">
        <f>IF($D7570 &gt; 16, 0,$E7570*$J$5)</f>
        <v>18515763.979613777</v>
      </c>
      <c r="G7570">
        <f t="shared" si="118"/>
        <v>8.1999999999999993</v>
      </c>
    </row>
    <row r="7571" spans="2:7" x14ac:dyDescent="0.35">
      <c r="B7571" s="1">
        <v>45973</v>
      </c>
      <c r="C7571" s="2">
        <v>0.375</v>
      </c>
      <c r="D7571">
        <v>8.5</v>
      </c>
      <c r="E7571">
        <f>IF($D7571 &gt; 16, 0, $J$3*(16 - $D7571))</f>
        <v>1558.1148202552274</v>
      </c>
      <c r="F7571">
        <f>IF($D7571 &gt; 16, 0,$E7571*$J$5)</f>
        <v>16935149.981354065</v>
      </c>
      <c r="G7571">
        <f t="shared" si="118"/>
        <v>7.5</v>
      </c>
    </row>
    <row r="7572" spans="2:7" x14ac:dyDescent="0.35">
      <c r="B7572" s="1">
        <v>45973</v>
      </c>
      <c r="C7572" s="2">
        <v>0.41666666666666669</v>
      </c>
      <c r="D7572">
        <v>9.4</v>
      </c>
      <c r="E7572">
        <f>IF($D7572 &gt; 16, 0, $J$3*(16 - $D7572))</f>
        <v>1371.1410418246001</v>
      </c>
      <c r="F7572">
        <f>IF($D7572 &gt; 16, 0,$E7572*$J$5)</f>
        <v>14902931.983591577</v>
      </c>
      <c r="G7572">
        <f t="shared" si="118"/>
        <v>6.6</v>
      </c>
    </row>
    <row r="7573" spans="2:7" x14ac:dyDescent="0.35">
      <c r="B7573" s="1">
        <v>45973</v>
      </c>
      <c r="C7573" s="2">
        <v>0.45833333333333331</v>
      </c>
      <c r="D7573">
        <v>10.8</v>
      </c>
      <c r="E7573">
        <f>IF($D7573 &gt; 16, 0, $J$3*(16 - $D7573))</f>
        <v>1080.2929420436242</v>
      </c>
      <c r="F7573">
        <f>IF($D7573 &gt; 16, 0,$E7573*$J$5)</f>
        <v>11741703.987072151</v>
      </c>
      <c r="G7573">
        <f t="shared" si="118"/>
        <v>5.1999999999999993</v>
      </c>
    </row>
    <row r="7574" spans="2:7" x14ac:dyDescent="0.35">
      <c r="B7574" s="1">
        <v>45973</v>
      </c>
      <c r="C7574" s="2">
        <v>0.5</v>
      </c>
      <c r="D7574">
        <v>11.4</v>
      </c>
      <c r="E7574">
        <f>IF($D7574 &gt; 16, 0, $J$3*(16 - $D7574))</f>
        <v>955.64375642320613</v>
      </c>
      <c r="F7574">
        <f>IF($D7574 &gt; 16, 0,$E7574*$J$5)</f>
        <v>10386891.988563828</v>
      </c>
      <c r="G7574">
        <f t="shared" si="118"/>
        <v>4.5999999999999996</v>
      </c>
    </row>
    <row r="7575" spans="2:7" x14ac:dyDescent="0.35">
      <c r="B7575" s="1">
        <v>45973</v>
      </c>
      <c r="C7575" s="2">
        <v>0.54166666666666663</v>
      </c>
      <c r="D7575">
        <v>12</v>
      </c>
      <c r="E7575">
        <f>IF($D7575 &gt; 16, 0, $J$3*(16 - $D7575))</f>
        <v>830.99457080278796</v>
      </c>
      <c r="F7575">
        <f>IF($D7575 &gt; 16, 0,$E7575*$J$5)</f>
        <v>9032079.9900555015</v>
      </c>
      <c r="G7575">
        <f t="shared" si="118"/>
        <v>4</v>
      </c>
    </row>
    <row r="7576" spans="2:7" x14ac:dyDescent="0.35">
      <c r="B7576" s="1">
        <v>45973</v>
      </c>
      <c r="C7576" s="2">
        <v>0.58333333333333337</v>
      </c>
      <c r="D7576">
        <v>12.2</v>
      </c>
      <c r="E7576">
        <f>IF($D7576 &gt; 16, 0, $J$3*(16 - $D7576))</f>
        <v>789.44484226264876</v>
      </c>
      <c r="F7576">
        <f>IF($D7576 &gt; 16, 0,$E7576*$J$5)</f>
        <v>8580475.990552729</v>
      </c>
      <c r="G7576">
        <f t="shared" si="118"/>
        <v>3.8000000000000007</v>
      </c>
    </row>
    <row r="7577" spans="2:7" x14ac:dyDescent="0.35">
      <c r="B7577" s="1">
        <v>45973</v>
      </c>
      <c r="C7577" s="2">
        <v>0.625</v>
      </c>
      <c r="D7577">
        <v>12</v>
      </c>
      <c r="E7577">
        <f>IF($D7577 &gt; 16, 0, $J$3*(16 - $D7577))</f>
        <v>830.99457080278796</v>
      </c>
      <c r="F7577">
        <f>IF($D7577 &gt; 16, 0,$E7577*$J$5)</f>
        <v>9032079.9900555015</v>
      </c>
      <c r="G7577">
        <f t="shared" si="118"/>
        <v>4</v>
      </c>
    </row>
    <row r="7578" spans="2:7" x14ac:dyDescent="0.35">
      <c r="B7578" s="1">
        <v>45973</v>
      </c>
      <c r="C7578" s="2">
        <v>0.66666666666666663</v>
      </c>
      <c r="D7578">
        <v>11.9</v>
      </c>
      <c r="E7578">
        <f>IF($D7578 &gt; 16, 0, $J$3*(16 - $D7578))</f>
        <v>851.76943507285762</v>
      </c>
      <c r="F7578">
        <f>IF($D7578 &gt; 16, 0,$E7578*$J$5)</f>
        <v>9257881.9898068886</v>
      </c>
      <c r="G7578">
        <f t="shared" si="118"/>
        <v>4.0999999999999996</v>
      </c>
    </row>
    <row r="7579" spans="2:7" x14ac:dyDescent="0.35">
      <c r="B7579" s="1">
        <v>45973</v>
      </c>
      <c r="C7579" s="2">
        <v>0.70833333333333337</v>
      </c>
      <c r="D7579">
        <v>11.3</v>
      </c>
      <c r="E7579">
        <f>IF($D7579 &gt; 16, 0, $J$3*(16 - $D7579))</f>
        <v>976.41862069327567</v>
      </c>
      <c r="F7579">
        <f>IF($D7579 &gt; 16, 0,$E7579*$J$5)</f>
        <v>10612693.988315213</v>
      </c>
      <c r="G7579">
        <f t="shared" si="118"/>
        <v>4.6999999999999993</v>
      </c>
    </row>
    <row r="7580" spans="2:7" x14ac:dyDescent="0.35">
      <c r="B7580" s="1">
        <v>45973</v>
      </c>
      <c r="C7580" s="2">
        <v>0.75</v>
      </c>
      <c r="D7580">
        <v>11.1</v>
      </c>
      <c r="E7580">
        <f>IF($D7580 &gt; 16, 0, $J$3*(16 - $D7580))</f>
        <v>1017.9683492334153</v>
      </c>
      <c r="F7580">
        <f>IF($D7580 &gt; 16, 0,$E7580*$J$5)</f>
        <v>11064297.987817992</v>
      </c>
      <c r="G7580">
        <f t="shared" si="118"/>
        <v>4.9000000000000004</v>
      </c>
    </row>
    <row r="7581" spans="2:7" x14ac:dyDescent="0.35">
      <c r="B7581" s="1">
        <v>45973</v>
      </c>
      <c r="C7581" s="2">
        <v>0.79166666666666663</v>
      </c>
      <c r="D7581">
        <v>10.8</v>
      </c>
      <c r="E7581">
        <f>IF($D7581 &gt; 16, 0, $J$3*(16 - $D7581))</f>
        <v>1080.2929420436242</v>
      </c>
      <c r="F7581">
        <f>IF($D7581 &gt; 16, 0,$E7581*$J$5)</f>
        <v>11741703.987072151</v>
      </c>
      <c r="G7581">
        <f t="shared" si="118"/>
        <v>5.1999999999999993</v>
      </c>
    </row>
    <row r="7582" spans="2:7" x14ac:dyDescent="0.35">
      <c r="B7582" s="1">
        <v>45973</v>
      </c>
      <c r="C7582" s="2">
        <v>0.83333333333333337</v>
      </c>
      <c r="D7582">
        <v>10</v>
      </c>
      <c r="E7582">
        <f>IF($D7582 &gt; 16, 0, $J$3*(16 - $D7582))</f>
        <v>1246.4918562041819</v>
      </c>
      <c r="F7582">
        <f>IF($D7582 &gt; 16, 0,$E7582*$J$5)</f>
        <v>13548119.985083252</v>
      </c>
      <c r="G7582">
        <f t="shared" si="118"/>
        <v>6</v>
      </c>
    </row>
    <row r="7583" spans="2:7" x14ac:dyDescent="0.35">
      <c r="B7583" s="1">
        <v>45973</v>
      </c>
      <c r="C7583" s="2">
        <v>0.875</v>
      </c>
      <c r="D7583">
        <v>9.6</v>
      </c>
      <c r="E7583">
        <f>IF($D7583 &gt; 16, 0, $J$3*(16 - $D7583))</f>
        <v>1329.5913132844607</v>
      </c>
      <c r="F7583">
        <f>IF($D7583 &gt; 16, 0,$E7583*$J$5)</f>
        <v>14451327.984088805</v>
      </c>
      <c r="G7583">
        <f t="shared" si="118"/>
        <v>6.4</v>
      </c>
    </row>
    <row r="7584" spans="2:7" x14ac:dyDescent="0.35">
      <c r="B7584" s="1">
        <v>45973</v>
      </c>
      <c r="C7584" s="2">
        <v>0.91666666666666663</v>
      </c>
      <c r="D7584">
        <v>8.8000000000000007</v>
      </c>
      <c r="E7584">
        <f>IF($D7584 &gt; 16, 0, $J$3*(16 - $D7584))</f>
        <v>1495.7902274450182</v>
      </c>
      <c r="F7584">
        <f>IF($D7584 &gt; 16, 0,$E7584*$J$5)</f>
        <v>16257743.982099904</v>
      </c>
      <c r="G7584">
        <f t="shared" si="118"/>
        <v>7.1999999999999993</v>
      </c>
    </row>
    <row r="7585" spans="2:7" x14ac:dyDescent="0.35">
      <c r="B7585" s="1">
        <v>45973</v>
      </c>
      <c r="C7585" s="2">
        <v>0.95833333333333337</v>
      </c>
      <c r="D7585">
        <v>10.9</v>
      </c>
      <c r="E7585">
        <f>IF($D7585 &gt; 16, 0, $J$3*(16 - $D7585))</f>
        <v>1059.5180777735545</v>
      </c>
      <c r="F7585">
        <f>IF($D7585 &gt; 16, 0,$E7585*$J$5)</f>
        <v>11515901.987320764</v>
      </c>
      <c r="G7585">
        <f t="shared" si="118"/>
        <v>5.0999999999999996</v>
      </c>
    </row>
    <row r="7586" spans="2:7" x14ac:dyDescent="0.35">
      <c r="B7586" s="1">
        <v>45974</v>
      </c>
      <c r="C7586" s="2">
        <v>0</v>
      </c>
      <c r="D7586">
        <v>10.199999999999999</v>
      </c>
      <c r="E7586">
        <f>IF($D7586 &gt; 16, 0, $J$3*(16 - $D7586))</f>
        <v>1204.9421276640428</v>
      </c>
      <c r="F7586">
        <f>IF($D7586 &gt; 16, 0,$E7586*$J$5)</f>
        <v>13096515.985580482</v>
      </c>
      <c r="G7586">
        <f t="shared" si="118"/>
        <v>5.8000000000000007</v>
      </c>
    </row>
    <row r="7587" spans="2:7" x14ac:dyDescent="0.35">
      <c r="B7587" s="1">
        <v>45974</v>
      </c>
      <c r="C7587" s="2">
        <v>4.1666666666666657E-2</v>
      </c>
      <c r="D7587">
        <v>10.199999999999999</v>
      </c>
      <c r="E7587">
        <f>IF($D7587 &gt; 16, 0, $J$3*(16 - $D7587))</f>
        <v>1204.9421276640428</v>
      </c>
      <c r="F7587">
        <f>IF($D7587 &gt; 16, 0,$E7587*$J$5)</f>
        <v>13096515.985580482</v>
      </c>
      <c r="G7587">
        <f t="shared" si="118"/>
        <v>5.8000000000000007</v>
      </c>
    </row>
    <row r="7588" spans="2:7" x14ac:dyDescent="0.35">
      <c r="B7588" s="1">
        <v>45974</v>
      </c>
      <c r="C7588" s="2">
        <v>8.3333333333333329E-2</v>
      </c>
      <c r="D7588">
        <v>9.6999999999999993</v>
      </c>
      <c r="E7588">
        <f>IF($D7588 &gt; 16, 0, $J$3*(16 - $D7588))</f>
        <v>1308.8164490143911</v>
      </c>
      <c r="F7588">
        <f>IF($D7588 &gt; 16, 0,$E7588*$J$5)</f>
        <v>14225525.984337417</v>
      </c>
      <c r="G7588">
        <f t="shared" si="118"/>
        <v>6.3000000000000007</v>
      </c>
    </row>
    <row r="7589" spans="2:7" x14ac:dyDescent="0.35">
      <c r="B7589" s="1">
        <v>45974</v>
      </c>
      <c r="C7589" s="2">
        <v>0.125</v>
      </c>
      <c r="D7589">
        <v>10.199999999999999</v>
      </c>
      <c r="E7589">
        <f>IF($D7589 &gt; 16, 0, $J$3*(16 - $D7589))</f>
        <v>1204.9421276640428</v>
      </c>
      <c r="F7589">
        <f>IF($D7589 &gt; 16, 0,$E7589*$J$5)</f>
        <v>13096515.985580482</v>
      </c>
      <c r="G7589">
        <f t="shared" si="118"/>
        <v>5.8000000000000007</v>
      </c>
    </row>
    <row r="7590" spans="2:7" x14ac:dyDescent="0.35">
      <c r="B7590" s="1">
        <v>45974</v>
      </c>
      <c r="C7590" s="2">
        <v>0.16666666666666671</v>
      </c>
      <c r="D7590">
        <v>10</v>
      </c>
      <c r="E7590">
        <f>IF($D7590 &gt; 16, 0, $J$3*(16 - $D7590))</f>
        <v>1246.4918562041819</v>
      </c>
      <c r="F7590">
        <f>IF($D7590 &gt; 16, 0,$E7590*$J$5)</f>
        <v>13548119.985083252</v>
      </c>
      <c r="G7590">
        <f t="shared" si="118"/>
        <v>6</v>
      </c>
    </row>
    <row r="7591" spans="2:7" x14ac:dyDescent="0.35">
      <c r="B7591" s="1">
        <v>45974</v>
      </c>
      <c r="C7591" s="2">
        <v>0.20833333333333329</v>
      </c>
      <c r="D7591">
        <v>6.9</v>
      </c>
      <c r="E7591">
        <f>IF($D7591 &gt; 16, 0, $J$3*(16 - $D7591))</f>
        <v>1890.5126485763426</v>
      </c>
      <c r="F7591">
        <f>IF($D7591 &gt; 16, 0,$E7591*$J$5)</f>
        <v>20547981.977376267</v>
      </c>
      <c r="G7591">
        <f t="shared" si="118"/>
        <v>9.1</v>
      </c>
    </row>
    <row r="7592" spans="2:7" x14ac:dyDescent="0.35">
      <c r="B7592" s="1">
        <v>45974</v>
      </c>
      <c r="C7592" s="2">
        <v>0.25</v>
      </c>
      <c r="D7592">
        <v>10.9</v>
      </c>
      <c r="E7592">
        <f>IF($D7592 &gt; 16, 0, $J$3*(16 - $D7592))</f>
        <v>1059.5180777735545</v>
      </c>
      <c r="F7592">
        <f>IF($D7592 &gt; 16, 0,$E7592*$J$5)</f>
        <v>11515901.987320764</v>
      </c>
      <c r="G7592">
        <f t="shared" si="118"/>
        <v>5.0999999999999996</v>
      </c>
    </row>
    <row r="7593" spans="2:7" x14ac:dyDescent="0.35">
      <c r="B7593" s="1">
        <v>45974</v>
      </c>
      <c r="C7593" s="2">
        <v>0.29166666666666669</v>
      </c>
      <c r="D7593">
        <v>11.4</v>
      </c>
      <c r="E7593">
        <f>IF($D7593 &gt; 16, 0, $J$3*(16 - $D7593))</f>
        <v>955.64375642320613</v>
      </c>
      <c r="F7593">
        <f>IF($D7593 &gt; 16, 0,$E7593*$J$5)</f>
        <v>10386891.988563828</v>
      </c>
      <c r="G7593">
        <f t="shared" si="118"/>
        <v>4.5999999999999996</v>
      </c>
    </row>
    <row r="7594" spans="2:7" x14ac:dyDescent="0.35">
      <c r="B7594" s="1">
        <v>45974</v>
      </c>
      <c r="C7594" s="2">
        <v>0.33333333333333331</v>
      </c>
      <c r="D7594">
        <v>11.6</v>
      </c>
      <c r="E7594">
        <f>IF($D7594 &gt; 16, 0, $J$3*(16 - $D7594))</f>
        <v>914.09402788306681</v>
      </c>
      <c r="F7594">
        <f>IF($D7594 &gt; 16, 0,$E7594*$J$5)</f>
        <v>9935287.9890610538</v>
      </c>
      <c r="G7594">
        <f t="shared" si="118"/>
        <v>4.4000000000000004</v>
      </c>
    </row>
    <row r="7595" spans="2:7" x14ac:dyDescent="0.35">
      <c r="B7595" s="1">
        <v>45974</v>
      </c>
      <c r="C7595" s="2">
        <v>0.375</v>
      </c>
      <c r="D7595">
        <v>13</v>
      </c>
      <c r="E7595">
        <f>IF($D7595 &gt; 16, 0, $J$3*(16 - $D7595))</f>
        <v>623.24592810209094</v>
      </c>
      <c r="F7595">
        <f>IF($D7595 &gt; 16, 0,$E7595*$J$5)</f>
        <v>6774059.9925416261</v>
      </c>
      <c r="G7595">
        <f t="shared" si="118"/>
        <v>3</v>
      </c>
    </row>
    <row r="7596" spans="2:7" x14ac:dyDescent="0.35">
      <c r="B7596" s="1">
        <v>45974</v>
      </c>
      <c r="C7596" s="2">
        <v>0.41666666666666669</v>
      </c>
      <c r="D7596">
        <v>13.7</v>
      </c>
      <c r="E7596">
        <f>IF($D7596 &gt; 16, 0, $J$3*(16 - $D7596))</f>
        <v>477.82187821160323</v>
      </c>
      <c r="F7596">
        <f>IF($D7596 &gt; 16, 0,$E7596*$J$5)</f>
        <v>5193445.9942819159</v>
      </c>
      <c r="G7596">
        <f t="shared" si="118"/>
        <v>2.3000000000000007</v>
      </c>
    </row>
    <row r="7597" spans="2:7" x14ac:dyDescent="0.35">
      <c r="B7597" s="1">
        <v>45974</v>
      </c>
      <c r="C7597" s="2">
        <v>0.45833333333333331</v>
      </c>
      <c r="D7597">
        <v>14.8</v>
      </c>
      <c r="E7597">
        <f>IF($D7597 &gt; 16, 0, $J$3*(16 - $D7597))</f>
        <v>249.29837124083625</v>
      </c>
      <c r="F7597">
        <f>IF($D7597 &gt; 16, 0,$E7597*$J$5)</f>
        <v>2709623.9970166492</v>
      </c>
      <c r="G7597">
        <f t="shared" si="118"/>
        <v>1.1999999999999993</v>
      </c>
    </row>
    <row r="7598" spans="2:7" x14ac:dyDescent="0.35">
      <c r="B7598" s="1">
        <v>45974</v>
      </c>
      <c r="C7598" s="2">
        <v>0.5</v>
      </c>
      <c r="D7598">
        <v>14.6</v>
      </c>
      <c r="E7598">
        <f>IF($D7598 &gt; 16, 0, $J$3*(16 - $D7598))</f>
        <v>290.84809978097587</v>
      </c>
      <c r="F7598">
        <f>IF($D7598 &gt; 16, 0,$E7598*$J$5)</f>
        <v>3161227.9965194268</v>
      </c>
      <c r="G7598">
        <f t="shared" si="118"/>
        <v>1.4000000000000004</v>
      </c>
    </row>
    <row r="7599" spans="2:7" x14ac:dyDescent="0.35">
      <c r="B7599" s="1">
        <v>45974</v>
      </c>
      <c r="C7599" s="2">
        <v>0.54166666666666663</v>
      </c>
      <c r="D7599">
        <v>15.2</v>
      </c>
      <c r="E7599">
        <f>IF($D7599 &gt; 16, 0, $J$3*(16 - $D7599))</f>
        <v>166.19891416055773</v>
      </c>
      <c r="F7599">
        <f>IF($D7599 &gt; 16, 0,$E7599*$J$5)</f>
        <v>1806415.998011102</v>
      </c>
      <c r="G7599">
        <f t="shared" si="118"/>
        <v>0.80000000000000071</v>
      </c>
    </row>
    <row r="7600" spans="2:7" x14ac:dyDescent="0.35">
      <c r="B7600" s="1">
        <v>45974</v>
      </c>
      <c r="C7600" s="2">
        <v>0.58333333333333337</v>
      </c>
      <c r="D7600">
        <v>15.2</v>
      </c>
      <c r="E7600">
        <f>IF($D7600 &gt; 16, 0, $J$3*(16 - $D7600))</f>
        <v>166.19891416055773</v>
      </c>
      <c r="F7600">
        <f>IF($D7600 &gt; 16, 0,$E7600*$J$5)</f>
        <v>1806415.998011102</v>
      </c>
      <c r="G7600">
        <f t="shared" si="118"/>
        <v>0.80000000000000071</v>
      </c>
    </row>
    <row r="7601" spans="2:7" x14ac:dyDescent="0.35">
      <c r="B7601" s="1">
        <v>45974</v>
      </c>
      <c r="C7601" s="2">
        <v>0.625</v>
      </c>
      <c r="D7601">
        <v>14.9</v>
      </c>
      <c r="E7601">
        <f>IF($D7601 &gt; 16, 0, $J$3*(16 - $D7601))</f>
        <v>228.52350697076662</v>
      </c>
      <c r="F7601">
        <f>IF($D7601 &gt; 16, 0,$E7601*$J$5)</f>
        <v>2483821.9972652625</v>
      </c>
      <c r="G7601">
        <f t="shared" si="118"/>
        <v>1.0999999999999996</v>
      </c>
    </row>
    <row r="7602" spans="2:7" x14ac:dyDescent="0.35">
      <c r="B7602" s="1">
        <v>45974</v>
      </c>
      <c r="C7602" s="2">
        <v>0.66666666666666663</v>
      </c>
      <c r="D7602">
        <v>14.4</v>
      </c>
      <c r="E7602">
        <f>IF($D7602 &gt; 16, 0, $J$3*(16 - $D7602))</f>
        <v>332.39782832111513</v>
      </c>
      <c r="F7602">
        <f>IF($D7602 &gt; 16, 0,$E7602*$J$5)</f>
        <v>3612831.9960222002</v>
      </c>
      <c r="G7602">
        <f t="shared" si="118"/>
        <v>1.5999999999999996</v>
      </c>
    </row>
    <row r="7603" spans="2:7" x14ac:dyDescent="0.35">
      <c r="B7603" s="1">
        <v>45974</v>
      </c>
      <c r="C7603" s="2">
        <v>0.70833333333333337</v>
      </c>
      <c r="D7603">
        <v>14.2</v>
      </c>
      <c r="E7603">
        <f>IF($D7603 &gt; 16, 0, $J$3*(16 - $D7603))</f>
        <v>373.94755686125472</v>
      </c>
      <c r="F7603">
        <f>IF($D7603 &gt; 16, 0,$E7603*$J$5)</f>
        <v>4064435.9955249778</v>
      </c>
      <c r="G7603">
        <f t="shared" si="118"/>
        <v>1.8000000000000007</v>
      </c>
    </row>
    <row r="7604" spans="2:7" x14ac:dyDescent="0.35">
      <c r="B7604" s="1">
        <v>45974</v>
      </c>
      <c r="C7604" s="2">
        <v>0.75</v>
      </c>
      <c r="D7604">
        <v>14</v>
      </c>
      <c r="E7604">
        <f>IF($D7604 &gt; 16, 0, $J$3*(16 - $D7604))</f>
        <v>415.49728540139398</v>
      </c>
      <c r="F7604">
        <f>IF($D7604 &gt; 16, 0,$E7604*$J$5)</f>
        <v>4516039.9950277507</v>
      </c>
      <c r="G7604">
        <f t="shared" si="118"/>
        <v>2</v>
      </c>
    </row>
    <row r="7605" spans="2:7" x14ac:dyDescent="0.35">
      <c r="B7605" s="1">
        <v>45974</v>
      </c>
      <c r="C7605" s="2">
        <v>0.79166666666666663</v>
      </c>
      <c r="D7605">
        <v>13.5</v>
      </c>
      <c r="E7605">
        <f>IF($D7605 &gt; 16, 0, $J$3*(16 - $D7605))</f>
        <v>519.37160675174243</v>
      </c>
      <c r="F7605">
        <f>IF($D7605 &gt; 16, 0,$E7605*$J$5)</f>
        <v>5645049.9937846884</v>
      </c>
      <c r="G7605">
        <f t="shared" si="118"/>
        <v>2.5</v>
      </c>
    </row>
    <row r="7606" spans="2:7" x14ac:dyDescent="0.35">
      <c r="B7606" s="1">
        <v>45974</v>
      </c>
      <c r="C7606" s="2">
        <v>0.83333333333333337</v>
      </c>
      <c r="D7606">
        <v>13.6</v>
      </c>
      <c r="E7606">
        <f>IF($D7606 &gt; 16, 0, $J$3*(16 - $D7606))</f>
        <v>498.59674248167283</v>
      </c>
      <c r="F7606">
        <f>IF($D7606 &gt; 16, 0,$E7606*$J$5)</f>
        <v>5419247.9940333022</v>
      </c>
      <c r="G7606">
        <f t="shared" si="118"/>
        <v>2.4000000000000004</v>
      </c>
    </row>
    <row r="7607" spans="2:7" x14ac:dyDescent="0.35">
      <c r="B7607" s="1">
        <v>45974</v>
      </c>
      <c r="C7607" s="2">
        <v>0.875</v>
      </c>
      <c r="D7607">
        <v>13.3</v>
      </c>
      <c r="E7607">
        <f>IF($D7607 &gt; 16, 0, $J$3*(16 - $D7607))</f>
        <v>560.92133529188175</v>
      </c>
      <c r="F7607">
        <f>IF($D7607 &gt; 16, 0,$E7607*$J$5)</f>
        <v>6096653.9932874627</v>
      </c>
      <c r="G7607">
        <f t="shared" si="118"/>
        <v>2.6999999999999993</v>
      </c>
    </row>
    <row r="7608" spans="2:7" x14ac:dyDescent="0.35">
      <c r="B7608" s="1">
        <v>45974</v>
      </c>
      <c r="C7608" s="2">
        <v>0.91666666666666663</v>
      </c>
      <c r="D7608">
        <v>12.8</v>
      </c>
      <c r="E7608">
        <f>IF($D7608 &gt; 16, 0, $J$3*(16 - $D7608))</f>
        <v>664.79565664223026</v>
      </c>
      <c r="F7608">
        <f>IF($D7608 &gt; 16, 0,$E7608*$J$5)</f>
        <v>7225663.9920444004</v>
      </c>
      <c r="G7608">
        <f t="shared" si="118"/>
        <v>3.1999999999999993</v>
      </c>
    </row>
    <row r="7609" spans="2:7" x14ac:dyDescent="0.35">
      <c r="B7609" s="1">
        <v>45974</v>
      </c>
      <c r="C7609" s="2">
        <v>0.95833333333333337</v>
      </c>
      <c r="D7609">
        <v>12.2</v>
      </c>
      <c r="E7609">
        <f>IF($D7609 &gt; 16, 0, $J$3*(16 - $D7609))</f>
        <v>789.44484226264876</v>
      </c>
      <c r="F7609">
        <f>IF($D7609 &gt; 16, 0,$E7609*$J$5)</f>
        <v>8580475.990552729</v>
      </c>
      <c r="G7609">
        <f t="shared" si="118"/>
        <v>3.8000000000000007</v>
      </c>
    </row>
    <row r="7610" spans="2:7" x14ac:dyDescent="0.35">
      <c r="B7610" s="1">
        <v>45975</v>
      </c>
      <c r="C7610" s="2">
        <v>0</v>
      </c>
      <c r="D7610">
        <v>11.6</v>
      </c>
      <c r="E7610">
        <f>IF($D7610 &gt; 16, 0, $J$3*(16 - $D7610))</f>
        <v>914.09402788306681</v>
      </c>
      <c r="F7610">
        <f>IF($D7610 &gt; 16, 0,$E7610*$J$5)</f>
        <v>9935287.9890610538</v>
      </c>
      <c r="G7610">
        <f t="shared" si="118"/>
        <v>4.4000000000000004</v>
      </c>
    </row>
    <row r="7611" spans="2:7" x14ac:dyDescent="0.35">
      <c r="B7611" s="1">
        <v>45975</v>
      </c>
      <c r="C7611" s="2">
        <v>4.1666666666666657E-2</v>
      </c>
      <c r="D7611">
        <v>11.7</v>
      </c>
      <c r="E7611">
        <f>IF($D7611 &gt; 16, 0, $J$3*(16 - $D7611))</f>
        <v>893.31916361299716</v>
      </c>
      <c r="F7611">
        <f>IF($D7611 &gt; 16, 0,$E7611*$J$5)</f>
        <v>9709485.9893096667</v>
      </c>
      <c r="G7611">
        <f t="shared" si="118"/>
        <v>4.3000000000000007</v>
      </c>
    </row>
    <row r="7612" spans="2:7" x14ac:dyDescent="0.35">
      <c r="B7612" s="1">
        <v>45975</v>
      </c>
      <c r="C7612" s="2">
        <v>8.3333333333333329E-2</v>
      </c>
      <c r="D7612">
        <v>10.7</v>
      </c>
      <c r="E7612">
        <f>IF($D7612 &gt; 16, 0, $J$3*(16 - $D7612))</f>
        <v>1101.0678063136943</v>
      </c>
      <c r="F7612">
        <f>IF($D7612 &gt; 16, 0,$E7612*$J$5)</f>
        <v>11967505.986823544</v>
      </c>
      <c r="G7612">
        <f t="shared" si="118"/>
        <v>5.3000000000000007</v>
      </c>
    </row>
    <row r="7613" spans="2:7" x14ac:dyDescent="0.35">
      <c r="B7613" s="1">
        <v>45975</v>
      </c>
      <c r="C7613" s="2">
        <v>0.125</v>
      </c>
      <c r="D7613">
        <v>10.4</v>
      </c>
      <c r="E7613">
        <f>IF($D7613 &gt; 16, 0, $J$3*(16 - $D7613))</f>
        <v>1163.392399123903</v>
      </c>
      <c r="F7613">
        <f>IF($D7613 &gt; 16, 0,$E7613*$J$5)</f>
        <v>12644911.986077702</v>
      </c>
      <c r="G7613">
        <f t="shared" si="118"/>
        <v>5.6</v>
      </c>
    </row>
    <row r="7614" spans="2:7" x14ac:dyDescent="0.35">
      <c r="B7614" s="1">
        <v>45975</v>
      </c>
      <c r="C7614" s="2">
        <v>0.16666666666666671</v>
      </c>
      <c r="D7614">
        <v>9.5</v>
      </c>
      <c r="E7614">
        <f>IF($D7614 &gt; 16, 0, $J$3*(16 - $D7614))</f>
        <v>1350.3661775545304</v>
      </c>
      <c r="F7614">
        <f>IF($D7614 &gt; 16, 0,$E7614*$J$5)</f>
        <v>14677129.983840192</v>
      </c>
      <c r="G7614">
        <f t="shared" si="118"/>
        <v>6.5</v>
      </c>
    </row>
    <row r="7615" spans="2:7" x14ac:dyDescent="0.35">
      <c r="B7615" s="1">
        <v>45975</v>
      </c>
      <c r="C7615" s="2">
        <v>0.20833333333333329</v>
      </c>
      <c r="D7615">
        <v>9.1999999999999993</v>
      </c>
      <c r="E7615">
        <f>IF($D7615 &gt; 16, 0, $J$3*(16 - $D7615))</f>
        <v>1412.6907703647396</v>
      </c>
      <c r="F7615">
        <f>IF($D7615 &gt; 16, 0,$E7615*$J$5)</f>
        <v>15354535.983094355</v>
      </c>
      <c r="G7615">
        <f t="shared" si="118"/>
        <v>6.8000000000000007</v>
      </c>
    </row>
    <row r="7616" spans="2:7" x14ac:dyDescent="0.35">
      <c r="B7616" s="1">
        <v>45975</v>
      </c>
      <c r="C7616" s="2">
        <v>0.25</v>
      </c>
      <c r="D7616">
        <v>8.9</v>
      </c>
      <c r="E7616">
        <f>IF($D7616 &gt; 16, 0, $J$3*(16 - $D7616))</f>
        <v>1475.0153631749486</v>
      </c>
      <c r="F7616">
        <f>IF($D7616 &gt; 16, 0,$E7616*$J$5)</f>
        <v>16031941.982348517</v>
      </c>
      <c r="G7616">
        <f t="shared" si="118"/>
        <v>7.1</v>
      </c>
    </row>
    <row r="7617" spans="2:7" x14ac:dyDescent="0.35">
      <c r="B7617" s="1">
        <v>45975</v>
      </c>
      <c r="C7617" s="2">
        <v>0.29166666666666669</v>
      </c>
      <c r="D7617">
        <v>8.5</v>
      </c>
      <c r="E7617">
        <f>IF($D7617 &gt; 16, 0, $J$3*(16 - $D7617))</f>
        <v>1558.1148202552274</v>
      </c>
      <c r="F7617">
        <f>IF($D7617 &gt; 16, 0,$E7617*$J$5)</f>
        <v>16935149.981354065</v>
      </c>
      <c r="G7617">
        <f t="shared" si="118"/>
        <v>7.5</v>
      </c>
    </row>
    <row r="7618" spans="2:7" x14ac:dyDescent="0.35">
      <c r="B7618" s="1">
        <v>45975</v>
      </c>
      <c r="C7618" s="2">
        <v>0.33333333333333331</v>
      </c>
      <c r="D7618">
        <v>8.3000000000000007</v>
      </c>
      <c r="E7618">
        <f>IF($D7618 &gt; 16, 0, $J$3*(16 - $D7618))</f>
        <v>1599.6645487953667</v>
      </c>
      <c r="F7618">
        <f>IF($D7618 &gt; 16, 0,$E7618*$J$5)</f>
        <v>17386753.98085684</v>
      </c>
      <c r="G7618">
        <f t="shared" si="118"/>
        <v>7.6999999999999993</v>
      </c>
    </row>
    <row r="7619" spans="2:7" x14ac:dyDescent="0.35">
      <c r="B7619" s="1">
        <v>45975</v>
      </c>
      <c r="C7619" s="2">
        <v>0.375</v>
      </c>
      <c r="D7619">
        <v>7.8</v>
      </c>
      <c r="E7619">
        <f>IF($D7619 &gt; 16, 0, $J$3*(16 - $D7619))</f>
        <v>1703.5388701457152</v>
      </c>
      <c r="F7619">
        <f>IF($D7619 &gt; 16, 0,$E7619*$J$5)</f>
        <v>18515763.979613777</v>
      </c>
      <c r="G7619">
        <f t="shared" ref="G7619:G7682" si="119">MAX(0, 16 - $D7619)</f>
        <v>8.1999999999999993</v>
      </c>
    </row>
    <row r="7620" spans="2:7" x14ac:dyDescent="0.35">
      <c r="B7620" s="1">
        <v>45975</v>
      </c>
      <c r="C7620" s="2">
        <v>0.41666666666666669</v>
      </c>
      <c r="D7620">
        <v>7.5</v>
      </c>
      <c r="E7620">
        <f>IF($D7620 &gt; 16, 0, $J$3*(16 - $D7620))</f>
        <v>1765.8634629559244</v>
      </c>
      <c r="F7620">
        <f>IF($D7620 &gt; 16, 0,$E7620*$J$5)</f>
        <v>19193169.978867944</v>
      </c>
      <c r="G7620">
        <f t="shared" si="119"/>
        <v>8.5</v>
      </c>
    </row>
    <row r="7621" spans="2:7" x14ac:dyDescent="0.35">
      <c r="B7621" s="1">
        <v>45975</v>
      </c>
      <c r="C7621" s="2">
        <v>0.45833333333333331</v>
      </c>
      <c r="D7621">
        <v>7.4</v>
      </c>
      <c r="E7621">
        <f>IF($D7621 &gt; 16, 0, $J$3*(16 - $D7621))</f>
        <v>1786.6383272259941</v>
      </c>
      <c r="F7621">
        <f>IF($D7621 &gt; 16, 0,$E7621*$J$5)</f>
        <v>19418971.97861933</v>
      </c>
      <c r="G7621">
        <f t="shared" si="119"/>
        <v>8.6</v>
      </c>
    </row>
    <row r="7622" spans="2:7" x14ac:dyDescent="0.35">
      <c r="B7622" s="1">
        <v>45975</v>
      </c>
      <c r="C7622" s="2">
        <v>0.5</v>
      </c>
      <c r="D7622">
        <v>7.5</v>
      </c>
      <c r="E7622">
        <f>IF($D7622 &gt; 16, 0, $J$3*(16 - $D7622))</f>
        <v>1765.8634629559244</v>
      </c>
      <c r="F7622">
        <f>IF($D7622 &gt; 16, 0,$E7622*$J$5)</f>
        <v>19193169.978867944</v>
      </c>
      <c r="G7622">
        <f t="shared" si="119"/>
        <v>8.5</v>
      </c>
    </row>
    <row r="7623" spans="2:7" x14ac:dyDescent="0.35">
      <c r="B7623" s="1">
        <v>45975</v>
      </c>
      <c r="C7623" s="2">
        <v>0.54166666666666663</v>
      </c>
      <c r="D7623">
        <v>7.4</v>
      </c>
      <c r="E7623">
        <f>IF($D7623 &gt; 16, 0, $J$3*(16 - $D7623))</f>
        <v>1786.6383272259941</v>
      </c>
      <c r="F7623">
        <f>IF($D7623 &gt; 16, 0,$E7623*$J$5)</f>
        <v>19418971.97861933</v>
      </c>
      <c r="G7623">
        <f t="shared" si="119"/>
        <v>8.6</v>
      </c>
    </row>
    <row r="7624" spans="2:7" x14ac:dyDescent="0.35">
      <c r="B7624" s="1">
        <v>45975</v>
      </c>
      <c r="C7624" s="2">
        <v>0.58333333333333337</v>
      </c>
      <c r="D7624">
        <v>6.5</v>
      </c>
      <c r="E7624">
        <f>IF($D7624 &gt; 16, 0, $J$3*(16 - $D7624))</f>
        <v>1973.6121056566215</v>
      </c>
      <c r="F7624">
        <f>IF($D7624 &gt; 16, 0,$E7624*$J$5)</f>
        <v>21451189.97638182</v>
      </c>
      <c r="G7624">
        <f t="shared" si="119"/>
        <v>9.5</v>
      </c>
    </row>
    <row r="7625" spans="2:7" x14ac:dyDescent="0.35">
      <c r="B7625" s="1">
        <v>45975</v>
      </c>
      <c r="C7625" s="2">
        <v>0.625</v>
      </c>
      <c r="D7625">
        <v>6.2</v>
      </c>
      <c r="E7625">
        <f>IF($D7625 &gt; 16, 0, $J$3*(16 - $D7625))</f>
        <v>2035.9366984668306</v>
      </c>
      <c r="F7625">
        <f>IF($D7625 &gt; 16, 0,$E7625*$J$5)</f>
        <v>22128595.975635983</v>
      </c>
      <c r="G7625">
        <f t="shared" si="119"/>
        <v>9.8000000000000007</v>
      </c>
    </row>
    <row r="7626" spans="2:7" x14ac:dyDescent="0.35">
      <c r="B7626" s="1">
        <v>45975</v>
      </c>
      <c r="C7626" s="2">
        <v>0.66666666666666663</v>
      </c>
      <c r="D7626">
        <v>6.2</v>
      </c>
      <c r="E7626">
        <f>IF($D7626 &gt; 16, 0, $J$3*(16 - $D7626))</f>
        <v>2035.9366984668306</v>
      </c>
      <c r="F7626">
        <f>IF($D7626 &gt; 16, 0,$E7626*$J$5)</f>
        <v>22128595.975635983</v>
      </c>
      <c r="G7626">
        <f t="shared" si="119"/>
        <v>9.8000000000000007</v>
      </c>
    </row>
    <row r="7627" spans="2:7" x14ac:dyDescent="0.35">
      <c r="B7627" s="1">
        <v>45975</v>
      </c>
      <c r="C7627" s="2">
        <v>0.70833333333333337</v>
      </c>
      <c r="D7627">
        <v>6.1</v>
      </c>
      <c r="E7627">
        <f>IF($D7627 &gt; 16, 0, $J$3*(16 - $D7627))</f>
        <v>2056.7115627369003</v>
      </c>
      <c r="F7627">
        <f>IF($D7627 &gt; 16, 0,$E7627*$J$5)</f>
        <v>22354397.975387368</v>
      </c>
      <c r="G7627">
        <f t="shared" si="119"/>
        <v>9.9</v>
      </c>
    </row>
    <row r="7628" spans="2:7" x14ac:dyDescent="0.35">
      <c r="B7628" s="1">
        <v>45975</v>
      </c>
      <c r="C7628" s="2">
        <v>0.75</v>
      </c>
      <c r="D7628">
        <v>5.9</v>
      </c>
      <c r="E7628">
        <f>IF($D7628 &gt; 16, 0, $J$3*(16 - $D7628))</f>
        <v>2098.2612912770396</v>
      </c>
      <c r="F7628">
        <f>IF($D7628 &gt; 16, 0,$E7628*$J$5)</f>
        <v>22806001.974890143</v>
      </c>
      <c r="G7628">
        <f t="shared" si="119"/>
        <v>10.1</v>
      </c>
    </row>
    <row r="7629" spans="2:7" x14ac:dyDescent="0.35">
      <c r="B7629" s="1">
        <v>45975</v>
      </c>
      <c r="C7629" s="2">
        <v>0.79166666666666663</v>
      </c>
      <c r="D7629">
        <v>5.7</v>
      </c>
      <c r="E7629">
        <f>IF($D7629 &gt; 16, 0, $J$3*(16 - $D7629))</f>
        <v>2139.8110198171789</v>
      </c>
      <c r="F7629">
        <f>IF($D7629 &gt; 16, 0,$E7629*$J$5)</f>
        <v>23257605.974392917</v>
      </c>
      <c r="G7629">
        <f t="shared" si="119"/>
        <v>10.3</v>
      </c>
    </row>
    <row r="7630" spans="2:7" x14ac:dyDescent="0.35">
      <c r="B7630" s="1">
        <v>45975</v>
      </c>
      <c r="C7630" s="2">
        <v>0.83333333333333337</v>
      </c>
      <c r="D7630">
        <v>5.8</v>
      </c>
      <c r="E7630">
        <f>IF($D7630 &gt; 16, 0, $J$3*(16 - $D7630))</f>
        <v>2119.036155547109</v>
      </c>
      <c r="F7630">
        <f>IF($D7630 &gt; 16, 0,$E7630*$J$5)</f>
        <v>23031803.974641528</v>
      </c>
      <c r="G7630">
        <f t="shared" si="119"/>
        <v>10.199999999999999</v>
      </c>
    </row>
    <row r="7631" spans="2:7" x14ac:dyDescent="0.35">
      <c r="B7631" s="1">
        <v>45975</v>
      </c>
      <c r="C7631" s="2">
        <v>0.875</v>
      </c>
      <c r="D7631">
        <v>5.9</v>
      </c>
      <c r="E7631">
        <f>IF($D7631 &gt; 16, 0, $J$3*(16 - $D7631))</f>
        <v>2098.2612912770396</v>
      </c>
      <c r="F7631">
        <f>IF($D7631 &gt; 16, 0,$E7631*$J$5)</f>
        <v>22806001.974890143</v>
      </c>
      <c r="G7631">
        <f t="shared" si="119"/>
        <v>10.1</v>
      </c>
    </row>
    <row r="7632" spans="2:7" x14ac:dyDescent="0.35">
      <c r="B7632" s="1">
        <v>45975</v>
      </c>
      <c r="C7632" s="2">
        <v>0.91666666666666663</v>
      </c>
      <c r="D7632">
        <v>5.8</v>
      </c>
      <c r="E7632">
        <f>IF($D7632 &gt; 16, 0, $J$3*(16 - $D7632))</f>
        <v>2119.036155547109</v>
      </c>
      <c r="F7632">
        <f>IF($D7632 &gt; 16, 0,$E7632*$J$5)</f>
        <v>23031803.974641528</v>
      </c>
      <c r="G7632">
        <f t="shared" si="119"/>
        <v>10.199999999999999</v>
      </c>
    </row>
    <row r="7633" spans="2:7" x14ac:dyDescent="0.35">
      <c r="B7633" s="1">
        <v>45975</v>
      </c>
      <c r="C7633" s="2">
        <v>0.95833333333333337</v>
      </c>
      <c r="D7633">
        <v>5.6</v>
      </c>
      <c r="E7633">
        <f>IF($D7633 &gt; 16, 0, $J$3*(16 - $D7633))</f>
        <v>2160.5858840872488</v>
      </c>
      <c r="F7633">
        <f>IF($D7633 &gt; 16, 0,$E7633*$J$5)</f>
        <v>23483407.974144306</v>
      </c>
      <c r="G7633">
        <f t="shared" si="119"/>
        <v>10.4</v>
      </c>
    </row>
    <row r="7634" spans="2:7" x14ac:dyDescent="0.35">
      <c r="B7634" s="1">
        <v>45976</v>
      </c>
      <c r="C7634" s="2">
        <v>0</v>
      </c>
      <c r="D7634">
        <v>5.7</v>
      </c>
      <c r="E7634">
        <f>IF($D7634 &gt; 16, 0, $J$3*(16 - $D7634))</f>
        <v>2139.8110198171789</v>
      </c>
      <c r="F7634">
        <f>IF($D7634 &gt; 16, 0,$E7634*$J$5)</f>
        <v>23257605.974392917</v>
      </c>
      <c r="G7634">
        <f t="shared" si="119"/>
        <v>10.3</v>
      </c>
    </row>
    <row r="7635" spans="2:7" x14ac:dyDescent="0.35">
      <c r="B7635" s="1">
        <v>45976</v>
      </c>
      <c r="C7635" s="2">
        <v>4.1666666666666657E-2</v>
      </c>
      <c r="D7635">
        <v>5.6</v>
      </c>
      <c r="E7635">
        <f>IF($D7635 &gt; 16, 0, $J$3*(16 - $D7635))</f>
        <v>2160.5858840872488</v>
      </c>
      <c r="F7635">
        <f>IF($D7635 &gt; 16, 0,$E7635*$J$5)</f>
        <v>23483407.974144306</v>
      </c>
      <c r="G7635">
        <f t="shared" si="119"/>
        <v>10.4</v>
      </c>
    </row>
    <row r="7636" spans="2:7" x14ac:dyDescent="0.35">
      <c r="B7636" s="1">
        <v>45976</v>
      </c>
      <c r="C7636" s="2">
        <v>8.3333333333333329E-2</v>
      </c>
      <c r="D7636">
        <v>5.5</v>
      </c>
      <c r="E7636">
        <f>IF($D7636 &gt; 16, 0, $J$3*(16 - $D7636))</f>
        <v>2181.3607483573182</v>
      </c>
      <c r="F7636">
        <f>IF($D7636 &gt; 16, 0,$E7636*$J$5)</f>
        <v>23709209.973895691</v>
      </c>
      <c r="G7636">
        <f t="shared" si="119"/>
        <v>10.5</v>
      </c>
    </row>
    <row r="7637" spans="2:7" x14ac:dyDescent="0.35">
      <c r="B7637" s="1">
        <v>45976</v>
      </c>
      <c r="C7637" s="2">
        <v>0.125</v>
      </c>
      <c r="D7637">
        <v>5.8</v>
      </c>
      <c r="E7637">
        <f>IF($D7637 &gt; 16, 0, $J$3*(16 - $D7637))</f>
        <v>2119.036155547109</v>
      </c>
      <c r="F7637">
        <f>IF($D7637 &gt; 16, 0,$E7637*$J$5)</f>
        <v>23031803.974641528</v>
      </c>
      <c r="G7637">
        <f t="shared" si="119"/>
        <v>10.199999999999999</v>
      </c>
    </row>
    <row r="7638" spans="2:7" x14ac:dyDescent="0.35">
      <c r="B7638" s="1">
        <v>45976</v>
      </c>
      <c r="C7638" s="2">
        <v>0.16666666666666671</v>
      </c>
      <c r="D7638">
        <v>6</v>
      </c>
      <c r="E7638">
        <f>IF($D7638 &gt; 16, 0, $J$3*(16 - $D7638))</f>
        <v>2077.4864270069697</v>
      </c>
      <c r="F7638">
        <f>IF($D7638 &gt; 16, 0,$E7638*$J$5)</f>
        <v>22580199.975138754</v>
      </c>
      <c r="G7638">
        <f t="shared" si="119"/>
        <v>10</v>
      </c>
    </row>
    <row r="7639" spans="2:7" x14ac:dyDescent="0.35">
      <c r="B7639" s="1">
        <v>45976</v>
      </c>
      <c r="C7639" s="2">
        <v>0.20833333333333329</v>
      </c>
      <c r="D7639">
        <v>6.2</v>
      </c>
      <c r="E7639">
        <f>IF($D7639 &gt; 16, 0, $J$3*(16 - $D7639))</f>
        <v>2035.9366984668306</v>
      </c>
      <c r="F7639">
        <f>IF($D7639 &gt; 16, 0,$E7639*$J$5)</f>
        <v>22128595.975635983</v>
      </c>
      <c r="G7639">
        <f t="shared" si="119"/>
        <v>9.8000000000000007</v>
      </c>
    </row>
    <row r="7640" spans="2:7" x14ac:dyDescent="0.35">
      <c r="B7640" s="1">
        <v>45976</v>
      </c>
      <c r="C7640" s="2">
        <v>0.25</v>
      </c>
      <c r="D7640">
        <v>6.3</v>
      </c>
      <c r="E7640">
        <f>IF($D7640 &gt; 16, 0, $J$3*(16 - $D7640))</f>
        <v>2015.1618341967608</v>
      </c>
      <c r="F7640">
        <f>IF($D7640 &gt; 16, 0,$E7640*$J$5)</f>
        <v>21902793.975884594</v>
      </c>
      <c r="G7640">
        <f t="shared" si="119"/>
        <v>9.6999999999999993</v>
      </c>
    </row>
    <row r="7641" spans="2:7" x14ac:dyDescent="0.35">
      <c r="B7641" s="1">
        <v>45976</v>
      </c>
      <c r="C7641" s="2">
        <v>0.29166666666666669</v>
      </c>
      <c r="D7641">
        <v>6.3</v>
      </c>
      <c r="E7641">
        <f>IF($D7641 &gt; 16, 0, $J$3*(16 - $D7641))</f>
        <v>2015.1618341967608</v>
      </c>
      <c r="F7641">
        <f>IF($D7641 &gt; 16, 0,$E7641*$J$5)</f>
        <v>21902793.975884594</v>
      </c>
      <c r="G7641">
        <f t="shared" si="119"/>
        <v>9.6999999999999993</v>
      </c>
    </row>
    <row r="7642" spans="2:7" x14ac:dyDescent="0.35">
      <c r="B7642" s="1">
        <v>45976</v>
      </c>
      <c r="C7642" s="2">
        <v>0.33333333333333331</v>
      </c>
      <c r="D7642">
        <v>6.3</v>
      </c>
      <c r="E7642">
        <f>IF($D7642 &gt; 16, 0, $J$3*(16 - $D7642))</f>
        <v>2015.1618341967608</v>
      </c>
      <c r="F7642">
        <f>IF($D7642 &gt; 16, 0,$E7642*$J$5)</f>
        <v>21902793.975884594</v>
      </c>
      <c r="G7642">
        <f t="shared" si="119"/>
        <v>9.6999999999999993</v>
      </c>
    </row>
    <row r="7643" spans="2:7" x14ac:dyDescent="0.35">
      <c r="B7643" s="1">
        <v>45976</v>
      </c>
      <c r="C7643" s="2">
        <v>0.375</v>
      </c>
      <c r="D7643">
        <v>6.6</v>
      </c>
      <c r="E7643">
        <f>IF($D7643 &gt; 16, 0, $J$3*(16 - $D7643))</f>
        <v>1952.8372413865518</v>
      </c>
      <c r="F7643">
        <f>IF($D7643 &gt; 16, 0,$E7643*$J$5)</f>
        <v>21225387.976630431</v>
      </c>
      <c r="G7643">
        <f t="shared" si="119"/>
        <v>9.4</v>
      </c>
    </row>
    <row r="7644" spans="2:7" x14ac:dyDescent="0.35">
      <c r="B7644" s="1">
        <v>45976</v>
      </c>
      <c r="C7644" s="2">
        <v>0.41666666666666669</v>
      </c>
      <c r="D7644">
        <v>6.7</v>
      </c>
      <c r="E7644">
        <f>IF($D7644 &gt; 16, 0, $J$3*(16 - $D7644))</f>
        <v>1932.0623771164821</v>
      </c>
      <c r="F7644">
        <f>IF($D7644 &gt; 16, 0,$E7644*$J$5)</f>
        <v>20999585.976879045</v>
      </c>
      <c r="G7644">
        <f t="shared" si="119"/>
        <v>9.3000000000000007</v>
      </c>
    </row>
    <row r="7645" spans="2:7" x14ac:dyDescent="0.35">
      <c r="B7645" s="1">
        <v>45976</v>
      </c>
      <c r="C7645" s="2">
        <v>0.45833333333333331</v>
      </c>
      <c r="D7645">
        <v>6.4</v>
      </c>
      <c r="E7645">
        <f>IF($D7645 &gt; 16, 0, $J$3*(16 - $D7645))</f>
        <v>1994.3869699266911</v>
      </c>
      <c r="F7645">
        <f>IF($D7645 &gt; 16, 0,$E7645*$J$5)</f>
        <v>21676991.976133205</v>
      </c>
      <c r="G7645">
        <f t="shared" si="119"/>
        <v>9.6</v>
      </c>
    </row>
    <row r="7646" spans="2:7" x14ac:dyDescent="0.35">
      <c r="B7646" s="1">
        <v>45976</v>
      </c>
      <c r="C7646" s="2">
        <v>0.5</v>
      </c>
      <c r="D7646">
        <v>6.3</v>
      </c>
      <c r="E7646">
        <f>IF($D7646 &gt; 16, 0, $J$3*(16 - $D7646))</f>
        <v>2015.1618341967608</v>
      </c>
      <c r="F7646">
        <f>IF($D7646 &gt; 16, 0,$E7646*$J$5)</f>
        <v>21902793.975884594</v>
      </c>
      <c r="G7646">
        <f t="shared" si="119"/>
        <v>9.6999999999999993</v>
      </c>
    </row>
    <row r="7647" spans="2:7" x14ac:dyDescent="0.35">
      <c r="B7647" s="1">
        <v>45976</v>
      </c>
      <c r="C7647" s="2">
        <v>0.54166666666666663</v>
      </c>
      <c r="D7647">
        <v>6.1</v>
      </c>
      <c r="E7647">
        <f>IF($D7647 &gt; 16, 0, $J$3*(16 - $D7647))</f>
        <v>2056.7115627369003</v>
      </c>
      <c r="F7647">
        <f>IF($D7647 &gt; 16, 0,$E7647*$J$5)</f>
        <v>22354397.975387368</v>
      </c>
      <c r="G7647">
        <f t="shared" si="119"/>
        <v>9.9</v>
      </c>
    </row>
    <row r="7648" spans="2:7" x14ac:dyDescent="0.35">
      <c r="B7648" s="1">
        <v>45976</v>
      </c>
      <c r="C7648" s="2">
        <v>0.58333333333333337</v>
      </c>
      <c r="D7648">
        <v>6</v>
      </c>
      <c r="E7648">
        <f>IF($D7648 &gt; 16, 0, $J$3*(16 - $D7648))</f>
        <v>2077.4864270069697</v>
      </c>
      <c r="F7648">
        <f>IF($D7648 &gt; 16, 0,$E7648*$J$5)</f>
        <v>22580199.975138754</v>
      </c>
      <c r="G7648">
        <f t="shared" si="119"/>
        <v>10</v>
      </c>
    </row>
    <row r="7649" spans="2:7" x14ac:dyDescent="0.35">
      <c r="B7649" s="1">
        <v>45976</v>
      </c>
      <c r="C7649" s="2">
        <v>0.625</v>
      </c>
      <c r="D7649">
        <v>5.9</v>
      </c>
      <c r="E7649">
        <f>IF($D7649 &gt; 16, 0, $J$3*(16 - $D7649))</f>
        <v>2098.2612912770396</v>
      </c>
      <c r="F7649">
        <f>IF($D7649 &gt; 16, 0,$E7649*$J$5)</f>
        <v>22806001.974890143</v>
      </c>
      <c r="G7649">
        <f t="shared" si="119"/>
        <v>10.1</v>
      </c>
    </row>
    <row r="7650" spans="2:7" x14ac:dyDescent="0.35">
      <c r="B7650" s="1">
        <v>45976</v>
      </c>
      <c r="C7650" s="2">
        <v>0.66666666666666663</v>
      </c>
      <c r="D7650">
        <v>5.8</v>
      </c>
      <c r="E7650">
        <f>IF($D7650 &gt; 16, 0, $J$3*(16 - $D7650))</f>
        <v>2119.036155547109</v>
      </c>
      <c r="F7650">
        <f>IF($D7650 &gt; 16, 0,$E7650*$J$5)</f>
        <v>23031803.974641528</v>
      </c>
      <c r="G7650">
        <f t="shared" si="119"/>
        <v>10.199999999999999</v>
      </c>
    </row>
    <row r="7651" spans="2:7" x14ac:dyDescent="0.35">
      <c r="B7651" s="1">
        <v>45976</v>
      </c>
      <c r="C7651" s="2">
        <v>0.70833333333333337</v>
      </c>
      <c r="D7651">
        <v>5.6</v>
      </c>
      <c r="E7651">
        <f>IF($D7651 &gt; 16, 0, $J$3*(16 - $D7651))</f>
        <v>2160.5858840872488</v>
      </c>
      <c r="F7651">
        <f>IF($D7651 &gt; 16, 0,$E7651*$J$5)</f>
        <v>23483407.974144306</v>
      </c>
      <c r="G7651">
        <f t="shared" si="119"/>
        <v>10.4</v>
      </c>
    </row>
    <row r="7652" spans="2:7" x14ac:dyDescent="0.35">
      <c r="B7652" s="1">
        <v>45976</v>
      </c>
      <c r="C7652" s="2">
        <v>0.75</v>
      </c>
      <c r="D7652">
        <v>5.4</v>
      </c>
      <c r="E7652">
        <f>IF($D7652 &gt; 16, 0, $J$3*(16 - $D7652))</f>
        <v>2202.1356126273881</v>
      </c>
      <c r="F7652">
        <f>IF($D7652 &gt; 16, 0,$E7652*$J$5)</f>
        <v>23935011.97364708</v>
      </c>
      <c r="G7652">
        <f t="shared" si="119"/>
        <v>10.6</v>
      </c>
    </row>
    <row r="7653" spans="2:7" x14ac:dyDescent="0.35">
      <c r="B7653" s="1">
        <v>45976</v>
      </c>
      <c r="C7653" s="2">
        <v>0.79166666666666663</v>
      </c>
      <c r="D7653">
        <v>5.2</v>
      </c>
      <c r="E7653">
        <f>IF($D7653 &gt; 16, 0, $J$3*(16 - $D7653))</f>
        <v>2243.6853411675274</v>
      </c>
      <c r="F7653">
        <f>IF($D7653 &gt; 16, 0,$E7653*$J$5)</f>
        <v>24386615.973149855</v>
      </c>
      <c r="G7653">
        <f t="shared" si="119"/>
        <v>10.8</v>
      </c>
    </row>
    <row r="7654" spans="2:7" x14ac:dyDescent="0.35">
      <c r="B7654" s="1">
        <v>45976</v>
      </c>
      <c r="C7654" s="2">
        <v>0.83333333333333337</v>
      </c>
      <c r="D7654">
        <v>5.2</v>
      </c>
      <c r="E7654">
        <f>IF($D7654 &gt; 16, 0, $J$3*(16 - $D7654))</f>
        <v>2243.6853411675274</v>
      </c>
      <c r="F7654">
        <f>IF($D7654 &gt; 16, 0,$E7654*$J$5)</f>
        <v>24386615.973149855</v>
      </c>
      <c r="G7654">
        <f t="shared" si="119"/>
        <v>10.8</v>
      </c>
    </row>
    <row r="7655" spans="2:7" x14ac:dyDescent="0.35">
      <c r="B7655" s="1">
        <v>45976</v>
      </c>
      <c r="C7655" s="2">
        <v>0.875</v>
      </c>
      <c r="D7655">
        <v>5.0999999999999996</v>
      </c>
      <c r="E7655">
        <f>IF($D7655 &gt; 16, 0, $J$3*(16 - $D7655))</f>
        <v>2264.4602054375973</v>
      </c>
      <c r="F7655">
        <f>IF($D7655 &gt; 16, 0,$E7655*$J$5)</f>
        <v>24612417.972901244</v>
      </c>
      <c r="G7655">
        <f t="shared" si="119"/>
        <v>10.9</v>
      </c>
    </row>
    <row r="7656" spans="2:7" x14ac:dyDescent="0.35">
      <c r="B7656" s="1">
        <v>45976</v>
      </c>
      <c r="C7656" s="2">
        <v>0.91666666666666663</v>
      </c>
      <c r="D7656">
        <v>5.0999999999999996</v>
      </c>
      <c r="E7656">
        <f>IF($D7656 &gt; 16, 0, $J$3*(16 - $D7656))</f>
        <v>2264.4602054375973</v>
      </c>
      <c r="F7656">
        <f>IF($D7656 &gt; 16, 0,$E7656*$J$5)</f>
        <v>24612417.972901244</v>
      </c>
      <c r="G7656">
        <f t="shared" si="119"/>
        <v>10.9</v>
      </c>
    </row>
    <row r="7657" spans="2:7" x14ac:dyDescent="0.35">
      <c r="B7657" s="1">
        <v>45976</v>
      </c>
      <c r="C7657" s="2">
        <v>0.95833333333333337</v>
      </c>
      <c r="D7657">
        <v>5.0999999999999996</v>
      </c>
      <c r="E7657">
        <f>IF($D7657 &gt; 16, 0, $J$3*(16 - $D7657))</f>
        <v>2264.4602054375973</v>
      </c>
      <c r="F7657">
        <f>IF($D7657 &gt; 16, 0,$E7657*$J$5)</f>
        <v>24612417.972901244</v>
      </c>
      <c r="G7657">
        <f t="shared" si="119"/>
        <v>10.9</v>
      </c>
    </row>
    <row r="7658" spans="2:7" x14ac:dyDescent="0.35">
      <c r="B7658" s="1">
        <v>45977</v>
      </c>
      <c r="C7658" s="2">
        <v>0</v>
      </c>
      <c r="D7658">
        <v>5.0999999999999996</v>
      </c>
      <c r="E7658">
        <f>IF($D7658 &gt; 16, 0, $J$3*(16 - $D7658))</f>
        <v>2264.4602054375973</v>
      </c>
      <c r="F7658">
        <f>IF($D7658 &gt; 16, 0,$E7658*$J$5)</f>
        <v>24612417.972901244</v>
      </c>
      <c r="G7658">
        <f t="shared" si="119"/>
        <v>10.9</v>
      </c>
    </row>
    <row r="7659" spans="2:7" x14ac:dyDescent="0.35">
      <c r="B7659" s="1">
        <v>45977</v>
      </c>
      <c r="C7659" s="2">
        <v>4.1666666666666657E-2</v>
      </c>
      <c r="D7659">
        <v>5</v>
      </c>
      <c r="E7659">
        <f>IF($D7659 &gt; 16, 0, $J$3*(16 - $D7659))</f>
        <v>2285.2350697076668</v>
      </c>
      <c r="F7659">
        <f>IF($D7659 &gt; 16, 0,$E7659*$J$5)</f>
        <v>24838219.972652629</v>
      </c>
      <c r="G7659">
        <f t="shared" si="119"/>
        <v>11</v>
      </c>
    </row>
    <row r="7660" spans="2:7" x14ac:dyDescent="0.35">
      <c r="B7660" s="1">
        <v>45977</v>
      </c>
      <c r="C7660" s="2">
        <v>8.3333333333333329E-2</v>
      </c>
      <c r="D7660">
        <v>4.9000000000000004</v>
      </c>
      <c r="E7660">
        <f>IF($D7660 &gt; 16, 0, $J$3*(16 - $D7660))</f>
        <v>2306.0099339777366</v>
      </c>
      <c r="F7660">
        <f>IF($D7660 &gt; 16, 0,$E7660*$J$5)</f>
        <v>25064021.972404018</v>
      </c>
      <c r="G7660">
        <f t="shared" si="119"/>
        <v>11.1</v>
      </c>
    </row>
    <row r="7661" spans="2:7" x14ac:dyDescent="0.35">
      <c r="B7661" s="1">
        <v>45977</v>
      </c>
      <c r="C7661" s="2">
        <v>0.125</v>
      </c>
      <c r="D7661">
        <v>4.7</v>
      </c>
      <c r="E7661">
        <f>IF($D7661 &gt; 16, 0, $J$3*(16 - $D7661))</f>
        <v>2347.5596625178759</v>
      </c>
      <c r="F7661">
        <f>IF($D7661 &gt; 16, 0,$E7661*$J$5)</f>
        <v>25515625.971906792</v>
      </c>
      <c r="G7661">
        <f t="shared" si="119"/>
        <v>11.3</v>
      </c>
    </row>
    <row r="7662" spans="2:7" x14ac:dyDescent="0.35">
      <c r="B7662" s="1">
        <v>45977</v>
      </c>
      <c r="C7662" s="2">
        <v>0.16666666666666671</v>
      </c>
      <c r="D7662">
        <v>4.7</v>
      </c>
      <c r="E7662">
        <f>IF($D7662 &gt; 16, 0, $J$3*(16 - $D7662))</f>
        <v>2347.5596625178759</v>
      </c>
      <c r="F7662">
        <f>IF($D7662 &gt; 16, 0,$E7662*$J$5)</f>
        <v>25515625.971906792</v>
      </c>
      <c r="G7662">
        <f t="shared" si="119"/>
        <v>11.3</v>
      </c>
    </row>
    <row r="7663" spans="2:7" x14ac:dyDescent="0.35">
      <c r="B7663" s="1">
        <v>45977</v>
      </c>
      <c r="C7663" s="2">
        <v>0.20833333333333329</v>
      </c>
      <c r="D7663">
        <v>4.7</v>
      </c>
      <c r="E7663">
        <f>IF($D7663 &gt; 16, 0, $J$3*(16 - $D7663))</f>
        <v>2347.5596625178759</v>
      </c>
      <c r="F7663">
        <f>IF($D7663 &gt; 16, 0,$E7663*$J$5)</f>
        <v>25515625.971906792</v>
      </c>
      <c r="G7663">
        <f t="shared" si="119"/>
        <v>11.3</v>
      </c>
    </row>
    <row r="7664" spans="2:7" x14ac:dyDescent="0.35">
      <c r="B7664" s="1">
        <v>45977</v>
      </c>
      <c r="C7664" s="2">
        <v>0.25</v>
      </c>
      <c r="D7664">
        <v>4.8</v>
      </c>
      <c r="E7664">
        <f>IF($D7664 &gt; 16, 0, $J$3*(16 - $D7664))</f>
        <v>2326.7847982478061</v>
      </c>
      <c r="F7664">
        <f>IF($D7664 &gt; 16, 0,$E7664*$J$5)</f>
        <v>25289823.972155403</v>
      </c>
      <c r="G7664">
        <f t="shared" si="119"/>
        <v>11.2</v>
      </c>
    </row>
    <row r="7665" spans="2:7" x14ac:dyDescent="0.35">
      <c r="B7665" s="1">
        <v>45977</v>
      </c>
      <c r="C7665" s="2">
        <v>0.29166666666666669</v>
      </c>
      <c r="D7665">
        <v>4.8</v>
      </c>
      <c r="E7665">
        <f>IF($D7665 &gt; 16, 0, $J$3*(16 - $D7665))</f>
        <v>2326.7847982478061</v>
      </c>
      <c r="F7665">
        <f>IF($D7665 &gt; 16, 0,$E7665*$J$5)</f>
        <v>25289823.972155403</v>
      </c>
      <c r="G7665">
        <f t="shared" si="119"/>
        <v>11.2</v>
      </c>
    </row>
    <row r="7666" spans="2:7" x14ac:dyDescent="0.35">
      <c r="B7666" s="1">
        <v>45977</v>
      </c>
      <c r="C7666" s="2">
        <v>0.33333333333333331</v>
      </c>
      <c r="D7666">
        <v>5</v>
      </c>
      <c r="E7666">
        <f>IF($D7666 &gt; 16, 0, $J$3*(16 - $D7666))</f>
        <v>2285.2350697076668</v>
      </c>
      <c r="F7666">
        <f>IF($D7666 &gt; 16, 0,$E7666*$J$5)</f>
        <v>24838219.972652629</v>
      </c>
      <c r="G7666">
        <f t="shared" si="119"/>
        <v>11</v>
      </c>
    </row>
    <row r="7667" spans="2:7" x14ac:dyDescent="0.35">
      <c r="B7667" s="1">
        <v>45977</v>
      </c>
      <c r="C7667" s="2">
        <v>0.375</v>
      </c>
      <c r="D7667">
        <v>5.5</v>
      </c>
      <c r="E7667">
        <f>IF($D7667 &gt; 16, 0, $J$3*(16 - $D7667))</f>
        <v>2181.3607483573182</v>
      </c>
      <c r="F7667">
        <f>IF($D7667 &gt; 16, 0,$E7667*$J$5)</f>
        <v>23709209.973895691</v>
      </c>
      <c r="G7667">
        <f t="shared" si="119"/>
        <v>10.5</v>
      </c>
    </row>
    <row r="7668" spans="2:7" x14ac:dyDescent="0.35">
      <c r="B7668" s="1">
        <v>45977</v>
      </c>
      <c r="C7668" s="2">
        <v>0.41666666666666669</v>
      </c>
      <c r="D7668">
        <v>5.9</v>
      </c>
      <c r="E7668">
        <f>IF($D7668 &gt; 16, 0, $J$3*(16 - $D7668))</f>
        <v>2098.2612912770396</v>
      </c>
      <c r="F7668">
        <f>IF($D7668 &gt; 16, 0,$E7668*$J$5)</f>
        <v>22806001.974890143</v>
      </c>
      <c r="G7668">
        <f t="shared" si="119"/>
        <v>10.1</v>
      </c>
    </row>
    <row r="7669" spans="2:7" x14ac:dyDescent="0.35">
      <c r="B7669" s="1">
        <v>45977</v>
      </c>
      <c r="C7669" s="2">
        <v>0.45833333333333331</v>
      </c>
      <c r="D7669">
        <v>6.1</v>
      </c>
      <c r="E7669">
        <f>IF($D7669 &gt; 16, 0, $J$3*(16 - $D7669))</f>
        <v>2056.7115627369003</v>
      </c>
      <c r="F7669">
        <f>IF($D7669 &gt; 16, 0,$E7669*$J$5)</f>
        <v>22354397.975387368</v>
      </c>
      <c r="G7669">
        <f t="shared" si="119"/>
        <v>9.9</v>
      </c>
    </row>
    <row r="7670" spans="2:7" x14ac:dyDescent="0.35">
      <c r="B7670" s="1">
        <v>45977</v>
      </c>
      <c r="C7670" s="2">
        <v>0.5</v>
      </c>
      <c r="D7670">
        <v>6.1</v>
      </c>
      <c r="E7670">
        <f>IF($D7670 &gt; 16, 0, $J$3*(16 - $D7670))</f>
        <v>2056.7115627369003</v>
      </c>
      <c r="F7670">
        <f>IF($D7670 &gt; 16, 0,$E7670*$J$5)</f>
        <v>22354397.975387368</v>
      </c>
      <c r="G7670">
        <f t="shared" si="119"/>
        <v>9.9</v>
      </c>
    </row>
    <row r="7671" spans="2:7" x14ac:dyDescent="0.35">
      <c r="B7671" s="1">
        <v>45977</v>
      </c>
      <c r="C7671" s="2">
        <v>0.54166666666666663</v>
      </c>
      <c r="D7671">
        <v>6.1</v>
      </c>
      <c r="E7671">
        <f>IF($D7671 &gt; 16, 0, $J$3*(16 - $D7671))</f>
        <v>2056.7115627369003</v>
      </c>
      <c r="F7671">
        <f>IF($D7671 &gt; 16, 0,$E7671*$J$5)</f>
        <v>22354397.975387368</v>
      </c>
      <c r="G7671">
        <f t="shared" si="119"/>
        <v>9.9</v>
      </c>
    </row>
    <row r="7672" spans="2:7" x14ac:dyDescent="0.35">
      <c r="B7672" s="1">
        <v>45977</v>
      </c>
      <c r="C7672" s="2">
        <v>0.58333333333333337</v>
      </c>
      <c r="D7672">
        <v>6</v>
      </c>
      <c r="E7672">
        <f>IF($D7672 &gt; 16, 0, $J$3*(16 - $D7672))</f>
        <v>2077.4864270069697</v>
      </c>
      <c r="F7672">
        <f>IF($D7672 &gt; 16, 0,$E7672*$J$5)</f>
        <v>22580199.975138754</v>
      </c>
      <c r="G7672">
        <f t="shared" si="119"/>
        <v>10</v>
      </c>
    </row>
    <row r="7673" spans="2:7" x14ac:dyDescent="0.35">
      <c r="B7673" s="1">
        <v>45977</v>
      </c>
      <c r="C7673" s="2">
        <v>0.625</v>
      </c>
      <c r="D7673">
        <v>5.4</v>
      </c>
      <c r="E7673">
        <f>IF($D7673 &gt; 16, 0, $J$3*(16 - $D7673))</f>
        <v>2202.1356126273881</v>
      </c>
      <c r="F7673">
        <f>IF($D7673 &gt; 16, 0,$E7673*$J$5)</f>
        <v>23935011.97364708</v>
      </c>
      <c r="G7673">
        <f t="shared" si="119"/>
        <v>10.6</v>
      </c>
    </row>
    <row r="7674" spans="2:7" x14ac:dyDescent="0.35">
      <c r="B7674" s="1">
        <v>45977</v>
      </c>
      <c r="C7674" s="2">
        <v>0.66666666666666663</v>
      </c>
      <c r="D7674">
        <v>3.4</v>
      </c>
      <c r="E7674">
        <f>IF($D7674 &gt; 16, 0, $J$3*(16 - $D7674))</f>
        <v>2617.6328980287822</v>
      </c>
      <c r="F7674">
        <f>IF($D7674 &gt; 16, 0,$E7674*$J$5)</f>
        <v>28451051.968674835</v>
      </c>
      <c r="G7674">
        <f t="shared" si="119"/>
        <v>12.6</v>
      </c>
    </row>
    <row r="7675" spans="2:7" x14ac:dyDescent="0.35">
      <c r="B7675" s="1">
        <v>45977</v>
      </c>
      <c r="C7675" s="2">
        <v>0.70833333333333337</v>
      </c>
      <c r="D7675">
        <v>3.1</v>
      </c>
      <c r="E7675">
        <f>IF($D7675 &gt; 16, 0, $J$3*(16 - $D7675))</f>
        <v>2679.9574908389914</v>
      </c>
      <c r="F7675">
        <f>IF($D7675 &gt; 16, 0,$E7675*$J$5)</f>
        <v>29128457.967928998</v>
      </c>
      <c r="G7675">
        <f t="shared" si="119"/>
        <v>12.9</v>
      </c>
    </row>
    <row r="7676" spans="2:7" x14ac:dyDescent="0.35">
      <c r="B7676" s="1">
        <v>45977</v>
      </c>
      <c r="C7676" s="2">
        <v>0.75</v>
      </c>
      <c r="D7676">
        <v>2.6</v>
      </c>
      <c r="E7676">
        <f>IF($D7676 &gt; 16, 0, $J$3*(16 - $D7676))</f>
        <v>2783.8318121893399</v>
      </c>
      <c r="F7676">
        <f>IF($D7676 &gt; 16, 0,$E7676*$J$5)</f>
        <v>30257467.966685936</v>
      </c>
      <c r="G7676">
        <f t="shared" si="119"/>
        <v>13.4</v>
      </c>
    </row>
    <row r="7677" spans="2:7" x14ac:dyDescent="0.35">
      <c r="B7677" s="1">
        <v>45977</v>
      </c>
      <c r="C7677" s="2">
        <v>0.79166666666666663</v>
      </c>
      <c r="D7677">
        <v>3</v>
      </c>
      <c r="E7677">
        <f>IF($D7677 &gt; 16, 0, $J$3*(16 - $D7677))</f>
        <v>2700.7323551090608</v>
      </c>
      <c r="F7677">
        <f>IF($D7677 &gt; 16, 0,$E7677*$J$5)</f>
        <v>29354259.967680383</v>
      </c>
      <c r="G7677">
        <f t="shared" si="119"/>
        <v>13</v>
      </c>
    </row>
    <row r="7678" spans="2:7" x14ac:dyDescent="0.35">
      <c r="B7678" s="1">
        <v>45977</v>
      </c>
      <c r="C7678" s="2">
        <v>0.83333333333333337</v>
      </c>
      <c r="D7678">
        <v>3</v>
      </c>
      <c r="E7678">
        <f>IF($D7678 &gt; 16, 0, $J$3*(16 - $D7678))</f>
        <v>2700.7323551090608</v>
      </c>
      <c r="F7678">
        <f>IF($D7678 &gt; 16, 0,$E7678*$J$5)</f>
        <v>29354259.967680383</v>
      </c>
      <c r="G7678">
        <f t="shared" si="119"/>
        <v>13</v>
      </c>
    </row>
    <row r="7679" spans="2:7" x14ac:dyDescent="0.35">
      <c r="B7679" s="1">
        <v>45977</v>
      </c>
      <c r="C7679" s="2">
        <v>0.875</v>
      </c>
      <c r="D7679">
        <v>3.6</v>
      </c>
      <c r="E7679">
        <f>IF($D7679 &gt; 16, 0, $J$3*(16 - $D7679))</f>
        <v>2576.0831694886429</v>
      </c>
      <c r="F7679">
        <f>IF($D7679 &gt; 16, 0,$E7679*$J$5)</f>
        <v>27999447.96917206</v>
      </c>
      <c r="G7679">
        <f t="shared" si="119"/>
        <v>12.4</v>
      </c>
    </row>
    <row r="7680" spans="2:7" x14ac:dyDescent="0.35">
      <c r="B7680" s="1">
        <v>45977</v>
      </c>
      <c r="C7680" s="2">
        <v>0.91666666666666663</v>
      </c>
      <c r="D7680">
        <v>2.5</v>
      </c>
      <c r="E7680">
        <f>IF($D7680 &gt; 16, 0, $J$3*(16 - $D7680))</f>
        <v>2804.6066764594093</v>
      </c>
      <c r="F7680">
        <f>IF($D7680 &gt; 16, 0,$E7680*$J$5)</f>
        <v>30483269.966437321</v>
      </c>
      <c r="G7680">
        <f t="shared" si="119"/>
        <v>13.5</v>
      </c>
    </row>
    <row r="7681" spans="2:7" x14ac:dyDescent="0.35">
      <c r="B7681" s="1">
        <v>45977</v>
      </c>
      <c r="C7681" s="2">
        <v>0.95833333333333337</v>
      </c>
      <c r="D7681">
        <v>3</v>
      </c>
      <c r="E7681">
        <f>IF($D7681 &gt; 16, 0, $J$3*(16 - $D7681))</f>
        <v>2700.7323551090608</v>
      </c>
      <c r="F7681">
        <f>IF($D7681 &gt; 16, 0,$E7681*$J$5)</f>
        <v>29354259.967680383</v>
      </c>
      <c r="G7681">
        <f t="shared" si="119"/>
        <v>13</v>
      </c>
    </row>
    <row r="7682" spans="2:7" x14ac:dyDescent="0.35">
      <c r="B7682" s="1">
        <v>45978</v>
      </c>
      <c r="C7682" s="2">
        <v>0</v>
      </c>
      <c r="D7682">
        <v>3.7</v>
      </c>
      <c r="E7682">
        <f>IF($D7682 &gt; 16, 0, $J$3*(16 - $D7682))</f>
        <v>2555.308305218573</v>
      </c>
      <c r="F7682">
        <f>IF($D7682 &gt; 16, 0,$E7682*$J$5)</f>
        <v>27773645.969420668</v>
      </c>
      <c r="G7682">
        <f t="shared" si="119"/>
        <v>12.3</v>
      </c>
    </row>
    <row r="7683" spans="2:7" x14ac:dyDescent="0.35">
      <c r="B7683" s="1">
        <v>45978</v>
      </c>
      <c r="C7683" s="2">
        <v>4.1666666666666657E-2</v>
      </c>
      <c r="D7683">
        <v>3.8</v>
      </c>
      <c r="E7683">
        <f>IF($D7683 &gt; 16, 0, $J$3*(16 - $D7683))</f>
        <v>2534.5334409485031</v>
      </c>
      <c r="F7683">
        <f>IF($D7683 &gt; 16, 0,$E7683*$J$5)</f>
        <v>27547843.969669279</v>
      </c>
      <c r="G7683">
        <f t="shared" ref="G7683:G7746" si="120">MAX(0, 16 - $D7683)</f>
        <v>12.2</v>
      </c>
    </row>
    <row r="7684" spans="2:7" x14ac:dyDescent="0.35">
      <c r="B7684" s="1">
        <v>45978</v>
      </c>
      <c r="C7684" s="2">
        <v>8.3333333333333329E-2</v>
      </c>
      <c r="D7684">
        <v>3.9</v>
      </c>
      <c r="E7684">
        <f>IF($D7684 &gt; 16, 0, $J$3*(16 - $D7684))</f>
        <v>2513.7585766784337</v>
      </c>
      <c r="F7684">
        <f>IF($D7684 &gt; 16, 0,$E7684*$J$5)</f>
        <v>27322041.969917897</v>
      </c>
      <c r="G7684">
        <f t="shared" si="120"/>
        <v>12.1</v>
      </c>
    </row>
    <row r="7685" spans="2:7" x14ac:dyDescent="0.35">
      <c r="B7685" s="1">
        <v>45978</v>
      </c>
      <c r="C7685" s="2">
        <v>0.125</v>
      </c>
      <c r="D7685">
        <v>2.4</v>
      </c>
      <c r="E7685">
        <f>IF($D7685 &gt; 16, 0, $J$3*(16 - $D7685))</f>
        <v>2825.3815407294792</v>
      </c>
      <c r="F7685">
        <f>IF($D7685 &gt; 16, 0,$E7685*$J$5)</f>
        <v>30709071.96618871</v>
      </c>
      <c r="G7685">
        <f t="shared" si="120"/>
        <v>13.6</v>
      </c>
    </row>
    <row r="7686" spans="2:7" x14ac:dyDescent="0.35">
      <c r="B7686" s="1">
        <v>45978</v>
      </c>
      <c r="C7686" s="2">
        <v>0.16666666666666671</v>
      </c>
      <c r="D7686">
        <v>4.0999999999999996</v>
      </c>
      <c r="E7686">
        <f>IF($D7686 &gt; 16, 0, $J$3*(16 - $D7686))</f>
        <v>2472.2088481382943</v>
      </c>
      <c r="F7686">
        <f>IF($D7686 &gt; 16, 0,$E7686*$J$5)</f>
        <v>26870437.970415123</v>
      </c>
      <c r="G7686">
        <f t="shared" si="120"/>
        <v>11.9</v>
      </c>
    </row>
    <row r="7687" spans="2:7" x14ac:dyDescent="0.35">
      <c r="B7687" s="1">
        <v>45978</v>
      </c>
      <c r="C7687" s="2">
        <v>0.20833333333333329</v>
      </c>
      <c r="D7687">
        <v>4.4000000000000004</v>
      </c>
      <c r="E7687">
        <f>IF($D7687 &gt; 16, 0, $J$3*(16 - $D7687))</f>
        <v>2409.8842553280851</v>
      </c>
      <c r="F7687">
        <f>IF($D7687 &gt; 16, 0,$E7687*$J$5)</f>
        <v>26193031.971160956</v>
      </c>
      <c r="G7687">
        <f t="shared" si="120"/>
        <v>11.6</v>
      </c>
    </row>
    <row r="7688" spans="2:7" x14ac:dyDescent="0.35">
      <c r="B7688" s="1">
        <v>45978</v>
      </c>
      <c r="C7688" s="2">
        <v>0.25</v>
      </c>
      <c r="D7688">
        <v>3.8</v>
      </c>
      <c r="E7688">
        <f>IF($D7688 &gt; 16, 0, $J$3*(16 - $D7688))</f>
        <v>2534.5334409485031</v>
      </c>
      <c r="F7688">
        <f>IF($D7688 &gt; 16, 0,$E7688*$J$5)</f>
        <v>27547843.969669279</v>
      </c>
      <c r="G7688">
        <f t="shared" si="120"/>
        <v>12.2</v>
      </c>
    </row>
    <row r="7689" spans="2:7" x14ac:dyDescent="0.35">
      <c r="B7689" s="1">
        <v>45978</v>
      </c>
      <c r="C7689" s="2">
        <v>0.29166666666666669</v>
      </c>
      <c r="D7689">
        <v>3.6</v>
      </c>
      <c r="E7689">
        <f>IF($D7689 &gt; 16, 0, $J$3*(16 - $D7689))</f>
        <v>2576.0831694886429</v>
      </c>
      <c r="F7689">
        <f>IF($D7689 &gt; 16, 0,$E7689*$J$5)</f>
        <v>27999447.96917206</v>
      </c>
      <c r="G7689">
        <f t="shared" si="120"/>
        <v>12.4</v>
      </c>
    </row>
    <row r="7690" spans="2:7" x14ac:dyDescent="0.35">
      <c r="B7690" s="1">
        <v>45978</v>
      </c>
      <c r="C7690" s="2">
        <v>0.33333333333333331</v>
      </c>
      <c r="D7690">
        <v>3.8</v>
      </c>
      <c r="E7690">
        <f>IF($D7690 &gt; 16, 0, $J$3*(16 - $D7690))</f>
        <v>2534.5334409485031</v>
      </c>
      <c r="F7690">
        <f>IF($D7690 &gt; 16, 0,$E7690*$J$5)</f>
        <v>27547843.969669279</v>
      </c>
      <c r="G7690">
        <f t="shared" si="120"/>
        <v>12.2</v>
      </c>
    </row>
    <row r="7691" spans="2:7" x14ac:dyDescent="0.35">
      <c r="B7691" s="1">
        <v>45978</v>
      </c>
      <c r="C7691" s="2">
        <v>0.375</v>
      </c>
      <c r="D7691">
        <v>4.5999999999999996</v>
      </c>
      <c r="E7691">
        <f>IF($D7691 &gt; 16, 0, $J$3*(16 - $D7691))</f>
        <v>2368.3345267879458</v>
      </c>
      <c r="F7691">
        <f>IF($D7691 &gt; 16, 0,$E7691*$J$5)</f>
        <v>25741427.971658185</v>
      </c>
      <c r="G7691">
        <f t="shared" si="120"/>
        <v>11.4</v>
      </c>
    </row>
    <row r="7692" spans="2:7" x14ac:dyDescent="0.35">
      <c r="B7692" s="1">
        <v>45978</v>
      </c>
      <c r="C7692" s="2">
        <v>0.41666666666666669</v>
      </c>
      <c r="D7692">
        <v>5.5</v>
      </c>
      <c r="E7692">
        <f>IF($D7692 &gt; 16, 0, $J$3*(16 - $D7692))</f>
        <v>2181.3607483573182</v>
      </c>
      <c r="F7692">
        <f>IF($D7692 &gt; 16, 0,$E7692*$J$5)</f>
        <v>23709209.973895691</v>
      </c>
      <c r="G7692">
        <f t="shared" si="120"/>
        <v>10.5</v>
      </c>
    </row>
    <row r="7693" spans="2:7" x14ac:dyDescent="0.35">
      <c r="B7693" s="1">
        <v>45978</v>
      </c>
      <c r="C7693" s="2">
        <v>0.45833333333333331</v>
      </c>
      <c r="D7693">
        <v>5.8</v>
      </c>
      <c r="E7693">
        <f>IF($D7693 &gt; 16, 0, $J$3*(16 - $D7693))</f>
        <v>2119.036155547109</v>
      </c>
      <c r="F7693">
        <f>IF($D7693 &gt; 16, 0,$E7693*$J$5)</f>
        <v>23031803.974641528</v>
      </c>
      <c r="G7693">
        <f t="shared" si="120"/>
        <v>10.199999999999999</v>
      </c>
    </row>
    <row r="7694" spans="2:7" x14ac:dyDescent="0.35">
      <c r="B7694" s="1">
        <v>45978</v>
      </c>
      <c r="C7694" s="2">
        <v>0.5</v>
      </c>
      <c r="D7694">
        <v>6.1</v>
      </c>
      <c r="E7694">
        <f>IF($D7694 &gt; 16, 0, $J$3*(16 - $D7694))</f>
        <v>2056.7115627369003</v>
      </c>
      <c r="F7694">
        <f>IF($D7694 &gt; 16, 0,$E7694*$J$5)</f>
        <v>22354397.975387368</v>
      </c>
      <c r="G7694">
        <f t="shared" si="120"/>
        <v>9.9</v>
      </c>
    </row>
    <row r="7695" spans="2:7" x14ac:dyDescent="0.35">
      <c r="B7695" s="1">
        <v>45978</v>
      </c>
      <c r="C7695" s="2">
        <v>0.54166666666666663</v>
      </c>
      <c r="D7695">
        <v>6.2</v>
      </c>
      <c r="E7695">
        <f>IF($D7695 &gt; 16, 0, $J$3*(16 - $D7695))</f>
        <v>2035.9366984668306</v>
      </c>
      <c r="F7695">
        <f>IF($D7695 &gt; 16, 0,$E7695*$J$5)</f>
        <v>22128595.975635983</v>
      </c>
      <c r="G7695">
        <f t="shared" si="120"/>
        <v>9.8000000000000007</v>
      </c>
    </row>
    <row r="7696" spans="2:7" x14ac:dyDescent="0.35">
      <c r="B7696" s="1">
        <v>45978</v>
      </c>
      <c r="C7696" s="2">
        <v>0.58333333333333337</v>
      </c>
      <c r="D7696">
        <v>6.1</v>
      </c>
      <c r="E7696">
        <f>IF($D7696 &gt; 16, 0, $J$3*(16 - $D7696))</f>
        <v>2056.7115627369003</v>
      </c>
      <c r="F7696">
        <f>IF($D7696 &gt; 16, 0,$E7696*$J$5)</f>
        <v>22354397.975387368</v>
      </c>
      <c r="G7696">
        <f t="shared" si="120"/>
        <v>9.9</v>
      </c>
    </row>
    <row r="7697" spans="2:7" x14ac:dyDescent="0.35">
      <c r="B7697" s="1">
        <v>45978</v>
      </c>
      <c r="C7697" s="2">
        <v>0.625</v>
      </c>
      <c r="D7697">
        <v>5.4</v>
      </c>
      <c r="E7697">
        <f>IF($D7697 &gt; 16, 0, $J$3*(16 - $D7697))</f>
        <v>2202.1356126273881</v>
      </c>
      <c r="F7697">
        <f>IF($D7697 &gt; 16, 0,$E7697*$J$5)</f>
        <v>23935011.97364708</v>
      </c>
      <c r="G7697">
        <f t="shared" si="120"/>
        <v>10.6</v>
      </c>
    </row>
    <row r="7698" spans="2:7" x14ac:dyDescent="0.35">
      <c r="B7698" s="1">
        <v>45978</v>
      </c>
      <c r="C7698" s="2">
        <v>0.66666666666666663</v>
      </c>
      <c r="D7698">
        <v>4.4000000000000004</v>
      </c>
      <c r="E7698">
        <f>IF($D7698 &gt; 16, 0, $J$3*(16 - $D7698))</f>
        <v>2409.8842553280851</v>
      </c>
      <c r="F7698">
        <f>IF($D7698 &gt; 16, 0,$E7698*$J$5)</f>
        <v>26193031.971160956</v>
      </c>
      <c r="G7698">
        <f t="shared" si="120"/>
        <v>11.6</v>
      </c>
    </row>
    <row r="7699" spans="2:7" x14ac:dyDescent="0.35">
      <c r="B7699" s="1">
        <v>45978</v>
      </c>
      <c r="C7699" s="2">
        <v>0.70833333333333337</v>
      </c>
      <c r="D7699">
        <v>3.5</v>
      </c>
      <c r="E7699">
        <f>IF($D7699 &gt; 16, 0, $J$3*(16 - $D7699))</f>
        <v>2596.8580337587123</v>
      </c>
      <c r="F7699">
        <f>IF($D7699 &gt; 16, 0,$E7699*$J$5)</f>
        <v>28225249.968923442</v>
      </c>
      <c r="G7699">
        <f t="shared" si="120"/>
        <v>12.5</v>
      </c>
    </row>
    <row r="7700" spans="2:7" x14ac:dyDescent="0.35">
      <c r="B7700" s="1">
        <v>45978</v>
      </c>
      <c r="C7700" s="2">
        <v>0.75</v>
      </c>
      <c r="D7700">
        <v>2.5</v>
      </c>
      <c r="E7700">
        <f>IF($D7700 &gt; 16, 0, $J$3*(16 - $D7700))</f>
        <v>2804.6066764594093</v>
      </c>
      <c r="F7700">
        <f>IF($D7700 &gt; 16, 0,$E7700*$J$5)</f>
        <v>30483269.966437321</v>
      </c>
      <c r="G7700">
        <f t="shared" si="120"/>
        <v>13.5</v>
      </c>
    </row>
    <row r="7701" spans="2:7" x14ac:dyDescent="0.35">
      <c r="B7701" s="1">
        <v>45978</v>
      </c>
      <c r="C7701" s="2">
        <v>0.79166666666666663</v>
      </c>
      <c r="D7701">
        <v>2.6</v>
      </c>
      <c r="E7701">
        <f>IF($D7701 &gt; 16, 0, $J$3*(16 - $D7701))</f>
        <v>2783.8318121893399</v>
      </c>
      <c r="F7701">
        <f>IF($D7701 &gt; 16, 0,$E7701*$J$5)</f>
        <v>30257467.966685936</v>
      </c>
      <c r="G7701">
        <f t="shared" si="120"/>
        <v>13.4</v>
      </c>
    </row>
    <row r="7702" spans="2:7" x14ac:dyDescent="0.35">
      <c r="B7702" s="1">
        <v>45978</v>
      </c>
      <c r="C7702" s="2">
        <v>0.83333333333333337</v>
      </c>
      <c r="D7702">
        <v>2.1</v>
      </c>
      <c r="E7702">
        <f>IF($D7702 &gt; 16, 0, $J$3*(16 - $D7702))</f>
        <v>2887.7061335396884</v>
      </c>
      <c r="F7702">
        <f>IF($D7702 &gt; 16, 0,$E7702*$J$5)</f>
        <v>31386477.965442874</v>
      </c>
      <c r="G7702">
        <f t="shared" si="120"/>
        <v>13.9</v>
      </c>
    </row>
    <row r="7703" spans="2:7" x14ac:dyDescent="0.35">
      <c r="B7703" s="1">
        <v>45978</v>
      </c>
      <c r="C7703" s="2">
        <v>0.875</v>
      </c>
      <c r="D7703">
        <v>2.8</v>
      </c>
      <c r="E7703">
        <f>IF($D7703 &gt; 16, 0, $J$3*(16 - $D7703))</f>
        <v>2742.2820836492001</v>
      </c>
      <c r="F7703">
        <f>IF($D7703 &gt; 16, 0,$E7703*$J$5)</f>
        <v>29805863.967183154</v>
      </c>
      <c r="G7703">
        <f t="shared" si="120"/>
        <v>13.2</v>
      </c>
    </row>
    <row r="7704" spans="2:7" x14ac:dyDescent="0.35">
      <c r="B7704" s="1">
        <v>45978</v>
      </c>
      <c r="C7704" s="2">
        <v>0.91666666666666663</v>
      </c>
      <c r="D7704">
        <v>2.9</v>
      </c>
      <c r="E7704">
        <f>IF($D7704 &gt; 16, 0, $J$3*(16 - $D7704))</f>
        <v>2721.5072193791307</v>
      </c>
      <c r="F7704">
        <f>IF($D7704 &gt; 16, 0,$E7704*$J$5)</f>
        <v>29580061.967431773</v>
      </c>
      <c r="G7704">
        <f t="shared" si="120"/>
        <v>13.1</v>
      </c>
    </row>
    <row r="7705" spans="2:7" x14ac:dyDescent="0.35">
      <c r="B7705" s="1">
        <v>45978</v>
      </c>
      <c r="C7705" s="2">
        <v>0.95833333333333337</v>
      </c>
      <c r="D7705">
        <v>3.4</v>
      </c>
      <c r="E7705">
        <f>IF($D7705 &gt; 16, 0, $J$3*(16 - $D7705))</f>
        <v>2617.6328980287822</v>
      </c>
      <c r="F7705">
        <f>IF($D7705 &gt; 16, 0,$E7705*$J$5)</f>
        <v>28451051.968674835</v>
      </c>
      <c r="G7705">
        <f t="shared" si="120"/>
        <v>12.6</v>
      </c>
    </row>
    <row r="7706" spans="2:7" x14ac:dyDescent="0.35">
      <c r="B7706" s="1">
        <v>45979</v>
      </c>
      <c r="C7706" s="2">
        <v>0</v>
      </c>
      <c r="D7706">
        <v>3.5</v>
      </c>
      <c r="E7706">
        <f>IF($D7706 &gt; 16, 0, $J$3*(16 - $D7706))</f>
        <v>2596.8580337587123</v>
      </c>
      <c r="F7706">
        <f>IF($D7706 &gt; 16, 0,$E7706*$J$5)</f>
        <v>28225249.968923442</v>
      </c>
      <c r="G7706">
        <f t="shared" si="120"/>
        <v>12.5</v>
      </c>
    </row>
    <row r="7707" spans="2:7" x14ac:dyDescent="0.35">
      <c r="B7707" s="1">
        <v>45979</v>
      </c>
      <c r="C7707" s="2">
        <v>4.1666666666666657E-2</v>
      </c>
      <c r="D7707">
        <v>3.1</v>
      </c>
      <c r="E7707">
        <f>IF($D7707 &gt; 16, 0, $J$3*(16 - $D7707))</f>
        <v>2679.9574908389914</v>
      </c>
      <c r="F7707">
        <f>IF($D7707 &gt; 16, 0,$E7707*$J$5)</f>
        <v>29128457.967928998</v>
      </c>
      <c r="G7707">
        <f t="shared" si="120"/>
        <v>12.9</v>
      </c>
    </row>
    <row r="7708" spans="2:7" x14ac:dyDescent="0.35">
      <c r="B7708" s="1">
        <v>45979</v>
      </c>
      <c r="C7708" s="2">
        <v>8.3333333333333329E-2</v>
      </c>
      <c r="D7708">
        <v>2.8</v>
      </c>
      <c r="E7708">
        <f>IF($D7708 &gt; 16, 0, $J$3*(16 - $D7708))</f>
        <v>2742.2820836492001</v>
      </c>
      <c r="F7708">
        <f>IF($D7708 &gt; 16, 0,$E7708*$J$5)</f>
        <v>29805863.967183154</v>
      </c>
      <c r="G7708">
        <f t="shared" si="120"/>
        <v>13.2</v>
      </c>
    </row>
    <row r="7709" spans="2:7" x14ac:dyDescent="0.35">
      <c r="B7709" s="1">
        <v>45979</v>
      </c>
      <c r="C7709" s="2">
        <v>0.125</v>
      </c>
      <c r="D7709">
        <v>3.7</v>
      </c>
      <c r="E7709">
        <f>IF($D7709 &gt; 16, 0, $J$3*(16 - $D7709))</f>
        <v>2555.308305218573</v>
      </c>
      <c r="F7709">
        <f>IF($D7709 &gt; 16, 0,$E7709*$J$5)</f>
        <v>27773645.969420668</v>
      </c>
      <c r="G7709">
        <f t="shared" si="120"/>
        <v>12.3</v>
      </c>
    </row>
    <row r="7710" spans="2:7" x14ac:dyDescent="0.35">
      <c r="B7710" s="1">
        <v>45979</v>
      </c>
      <c r="C7710" s="2">
        <v>0.16666666666666671</v>
      </c>
      <c r="D7710">
        <v>3.5</v>
      </c>
      <c r="E7710">
        <f>IF($D7710 &gt; 16, 0, $J$3*(16 - $D7710))</f>
        <v>2596.8580337587123</v>
      </c>
      <c r="F7710">
        <f>IF($D7710 &gt; 16, 0,$E7710*$J$5)</f>
        <v>28225249.968923442</v>
      </c>
      <c r="G7710">
        <f t="shared" si="120"/>
        <v>12.5</v>
      </c>
    </row>
    <row r="7711" spans="2:7" x14ac:dyDescent="0.35">
      <c r="B7711" s="1">
        <v>45979</v>
      </c>
      <c r="C7711" s="2">
        <v>0.20833333333333329</v>
      </c>
      <c r="D7711">
        <v>3.5</v>
      </c>
      <c r="E7711">
        <f>IF($D7711 &gt; 16, 0, $J$3*(16 - $D7711))</f>
        <v>2596.8580337587123</v>
      </c>
      <c r="F7711">
        <f>IF($D7711 &gt; 16, 0,$E7711*$J$5)</f>
        <v>28225249.968923442</v>
      </c>
      <c r="G7711">
        <f t="shared" si="120"/>
        <v>12.5</v>
      </c>
    </row>
    <row r="7712" spans="2:7" x14ac:dyDescent="0.35">
      <c r="B7712" s="1">
        <v>45979</v>
      </c>
      <c r="C7712" s="2">
        <v>0.25</v>
      </c>
      <c r="D7712">
        <v>3.3</v>
      </c>
      <c r="E7712">
        <f>IF($D7712 &gt; 16, 0, $J$3*(16 - $D7712))</f>
        <v>2638.4077622988516</v>
      </c>
      <c r="F7712">
        <f>IF($D7712 &gt; 16, 0,$E7712*$J$5)</f>
        <v>28676853.968426216</v>
      </c>
      <c r="G7712">
        <f t="shared" si="120"/>
        <v>12.7</v>
      </c>
    </row>
    <row r="7713" spans="2:7" x14ac:dyDescent="0.35">
      <c r="B7713" s="1">
        <v>45979</v>
      </c>
      <c r="C7713" s="2">
        <v>0.29166666666666669</v>
      </c>
      <c r="D7713">
        <v>3.3</v>
      </c>
      <c r="E7713">
        <f>IF($D7713 &gt; 16, 0, $J$3*(16 - $D7713))</f>
        <v>2638.4077622988516</v>
      </c>
      <c r="F7713">
        <f>IF($D7713 &gt; 16, 0,$E7713*$J$5)</f>
        <v>28676853.968426216</v>
      </c>
      <c r="G7713">
        <f t="shared" si="120"/>
        <v>12.7</v>
      </c>
    </row>
    <row r="7714" spans="2:7" x14ac:dyDescent="0.35">
      <c r="B7714" s="1">
        <v>45979</v>
      </c>
      <c r="C7714" s="2">
        <v>0.33333333333333331</v>
      </c>
      <c r="D7714">
        <v>3.6</v>
      </c>
      <c r="E7714">
        <f>IF($D7714 &gt; 16, 0, $J$3*(16 - $D7714))</f>
        <v>2576.0831694886429</v>
      </c>
      <c r="F7714">
        <f>IF($D7714 &gt; 16, 0,$E7714*$J$5)</f>
        <v>27999447.96917206</v>
      </c>
      <c r="G7714">
        <f t="shared" si="120"/>
        <v>12.4</v>
      </c>
    </row>
    <row r="7715" spans="2:7" x14ac:dyDescent="0.35">
      <c r="B7715" s="1">
        <v>45979</v>
      </c>
      <c r="C7715" s="2">
        <v>0.375</v>
      </c>
      <c r="D7715">
        <v>4.0999999999999996</v>
      </c>
      <c r="E7715">
        <f>IF($D7715 &gt; 16, 0, $J$3*(16 - $D7715))</f>
        <v>2472.2088481382943</v>
      </c>
      <c r="F7715">
        <f>IF($D7715 &gt; 16, 0,$E7715*$J$5)</f>
        <v>26870437.970415123</v>
      </c>
      <c r="G7715">
        <f t="shared" si="120"/>
        <v>11.9</v>
      </c>
    </row>
    <row r="7716" spans="2:7" x14ac:dyDescent="0.35">
      <c r="B7716" s="1">
        <v>45979</v>
      </c>
      <c r="C7716" s="2">
        <v>0.41666666666666669</v>
      </c>
      <c r="D7716">
        <v>4.5</v>
      </c>
      <c r="E7716">
        <f>IF($D7716 &gt; 16, 0, $J$3*(16 - $D7716))</f>
        <v>2389.1093910580153</v>
      </c>
      <c r="F7716">
        <f>IF($D7716 &gt; 16, 0,$E7716*$J$5)</f>
        <v>25967229.971409567</v>
      </c>
      <c r="G7716">
        <f t="shared" si="120"/>
        <v>11.5</v>
      </c>
    </row>
    <row r="7717" spans="2:7" x14ac:dyDescent="0.35">
      <c r="B7717" s="1">
        <v>45979</v>
      </c>
      <c r="C7717" s="2">
        <v>0.45833333333333331</v>
      </c>
      <c r="D7717">
        <v>4.8</v>
      </c>
      <c r="E7717">
        <f>IF($D7717 &gt; 16, 0, $J$3*(16 - $D7717))</f>
        <v>2326.7847982478061</v>
      </c>
      <c r="F7717">
        <f>IF($D7717 &gt; 16, 0,$E7717*$J$5)</f>
        <v>25289823.972155403</v>
      </c>
      <c r="G7717">
        <f t="shared" si="120"/>
        <v>11.2</v>
      </c>
    </row>
    <row r="7718" spans="2:7" x14ac:dyDescent="0.35">
      <c r="B7718" s="1">
        <v>45979</v>
      </c>
      <c r="C7718" s="2">
        <v>0.5</v>
      </c>
      <c r="D7718">
        <v>5.4</v>
      </c>
      <c r="E7718">
        <f>IF($D7718 &gt; 16, 0, $J$3*(16 - $D7718))</f>
        <v>2202.1356126273881</v>
      </c>
      <c r="F7718">
        <f>IF($D7718 &gt; 16, 0,$E7718*$J$5)</f>
        <v>23935011.97364708</v>
      </c>
      <c r="G7718">
        <f t="shared" si="120"/>
        <v>10.6</v>
      </c>
    </row>
    <row r="7719" spans="2:7" x14ac:dyDescent="0.35">
      <c r="B7719" s="1">
        <v>45979</v>
      </c>
      <c r="C7719" s="2">
        <v>0.54166666666666663</v>
      </c>
      <c r="D7719">
        <v>5.4</v>
      </c>
      <c r="E7719">
        <f>IF($D7719 &gt; 16, 0, $J$3*(16 - $D7719))</f>
        <v>2202.1356126273881</v>
      </c>
      <c r="F7719">
        <f>IF($D7719 &gt; 16, 0,$E7719*$J$5)</f>
        <v>23935011.97364708</v>
      </c>
      <c r="G7719">
        <f t="shared" si="120"/>
        <v>10.6</v>
      </c>
    </row>
    <row r="7720" spans="2:7" x14ac:dyDescent="0.35">
      <c r="B7720" s="1">
        <v>45979</v>
      </c>
      <c r="C7720" s="2">
        <v>0.58333333333333337</v>
      </c>
      <c r="D7720">
        <v>6.1</v>
      </c>
      <c r="E7720">
        <f>IF($D7720 &gt; 16, 0, $J$3*(16 - $D7720))</f>
        <v>2056.7115627369003</v>
      </c>
      <c r="F7720">
        <f>IF($D7720 &gt; 16, 0,$E7720*$J$5)</f>
        <v>22354397.975387368</v>
      </c>
      <c r="G7720">
        <f t="shared" si="120"/>
        <v>9.9</v>
      </c>
    </row>
    <row r="7721" spans="2:7" x14ac:dyDescent="0.35">
      <c r="B7721" s="1">
        <v>45979</v>
      </c>
      <c r="C7721" s="2">
        <v>0.625</v>
      </c>
      <c r="D7721">
        <v>5.7</v>
      </c>
      <c r="E7721">
        <f>IF($D7721 &gt; 16, 0, $J$3*(16 - $D7721))</f>
        <v>2139.8110198171789</v>
      </c>
      <c r="F7721">
        <f>IF($D7721 &gt; 16, 0,$E7721*$J$5)</f>
        <v>23257605.974392917</v>
      </c>
      <c r="G7721">
        <f t="shared" si="120"/>
        <v>10.3</v>
      </c>
    </row>
    <row r="7722" spans="2:7" x14ac:dyDescent="0.35">
      <c r="B7722" s="1">
        <v>45979</v>
      </c>
      <c r="C7722" s="2">
        <v>0.66666666666666663</v>
      </c>
      <c r="D7722">
        <v>5.5</v>
      </c>
      <c r="E7722">
        <f>IF($D7722 &gt; 16, 0, $J$3*(16 - $D7722))</f>
        <v>2181.3607483573182</v>
      </c>
      <c r="F7722">
        <f>IF($D7722 &gt; 16, 0,$E7722*$J$5)</f>
        <v>23709209.973895691</v>
      </c>
      <c r="G7722">
        <f t="shared" si="120"/>
        <v>10.5</v>
      </c>
    </row>
    <row r="7723" spans="2:7" x14ac:dyDescent="0.35">
      <c r="B7723" s="1">
        <v>45979</v>
      </c>
      <c r="C7723" s="2">
        <v>0.70833333333333337</v>
      </c>
      <c r="D7723">
        <v>4.5999999999999996</v>
      </c>
      <c r="E7723">
        <f>IF($D7723 &gt; 16, 0, $J$3*(16 - $D7723))</f>
        <v>2368.3345267879458</v>
      </c>
      <c r="F7723">
        <f>IF($D7723 &gt; 16, 0,$E7723*$J$5)</f>
        <v>25741427.971658185</v>
      </c>
      <c r="G7723">
        <f t="shared" si="120"/>
        <v>11.4</v>
      </c>
    </row>
    <row r="7724" spans="2:7" x14ac:dyDescent="0.35">
      <c r="B7724" s="1">
        <v>45979</v>
      </c>
      <c r="C7724" s="2">
        <v>0.75</v>
      </c>
      <c r="D7724">
        <v>4.3</v>
      </c>
      <c r="E7724">
        <f>IF($D7724 &gt; 16, 0, $J$3*(16 - $D7724))</f>
        <v>2430.6591195981546</v>
      </c>
      <c r="F7724">
        <f>IF($D7724 &gt; 16, 0,$E7724*$J$5)</f>
        <v>26418833.970912341</v>
      </c>
      <c r="G7724">
        <f t="shared" si="120"/>
        <v>11.7</v>
      </c>
    </row>
    <row r="7725" spans="2:7" x14ac:dyDescent="0.35">
      <c r="B7725" s="1">
        <v>45979</v>
      </c>
      <c r="C7725" s="2">
        <v>0.79166666666666663</v>
      </c>
      <c r="D7725">
        <v>4.2</v>
      </c>
      <c r="E7725">
        <f>IF($D7725 &gt; 16, 0, $J$3*(16 - $D7725))</f>
        <v>2451.4339838682245</v>
      </c>
      <c r="F7725">
        <f>IF($D7725 &gt; 16, 0,$E7725*$J$5)</f>
        <v>26644635.97066373</v>
      </c>
      <c r="G7725">
        <f t="shared" si="120"/>
        <v>11.8</v>
      </c>
    </row>
    <row r="7726" spans="2:7" x14ac:dyDescent="0.35">
      <c r="B7726" s="1">
        <v>45979</v>
      </c>
      <c r="C7726" s="2">
        <v>0.83333333333333337</v>
      </c>
      <c r="D7726">
        <v>4</v>
      </c>
      <c r="E7726">
        <f>IF($D7726 &gt; 16, 0, $J$3*(16 - $D7726))</f>
        <v>2492.9837124083638</v>
      </c>
      <c r="F7726">
        <f>IF($D7726 &gt; 16, 0,$E7726*$J$5)</f>
        <v>27096239.970166504</v>
      </c>
      <c r="G7726">
        <f t="shared" si="120"/>
        <v>12</v>
      </c>
    </row>
    <row r="7727" spans="2:7" x14ac:dyDescent="0.35">
      <c r="B7727" s="1">
        <v>45979</v>
      </c>
      <c r="C7727" s="2">
        <v>0.875</v>
      </c>
      <c r="D7727">
        <v>3.9</v>
      </c>
      <c r="E7727">
        <f>IF($D7727 &gt; 16, 0, $J$3*(16 - $D7727))</f>
        <v>2513.7585766784337</v>
      </c>
      <c r="F7727">
        <f>IF($D7727 &gt; 16, 0,$E7727*$J$5)</f>
        <v>27322041.969917897</v>
      </c>
      <c r="G7727">
        <f t="shared" si="120"/>
        <v>12.1</v>
      </c>
    </row>
    <row r="7728" spans="2:7" x14ac:dyDescent="0.35">
      <c r="B7728" s="1">
        <v>45979</v>
      </c>
      <c r="C7728" s="2">
        <v>0.91666666666666663</v>
      </c>
      <c r="D7728">
        <v>3.4</v>
      </c>
      <c r="E7728">
        <f>IF($D7728 &gt; 16, 0, $J$3*(16 - $D7728))</f>
        <v>2617.6328980287822</v>
      </c>
      <c r="F7728">
        <f>IF($D7728 &gt; 16, 0,$E7728*$J$5)</f>
        <v>28451051.968674835</v>
      </c>
      <c r="G7728">
        <f t="shared" si="120"/>
        <v>12.6</v>
      </c>
    </row>
    <row r="7729" spans="2:7" x14ac:dyDescent="0.35">
      <c r="B7729" s="1">
        <v>45979</v>
      </c>
      <c r="C7729" s="2">
        <v>0.95833333333333337</v>
      </c>
      <c r="D7729">
        <v>3.1</v>
      </c>
      <c r="E7729">
        <f>IF($D7729 &gt; 16, 0, $J$3*(16 - $D7729))</f>
        <v>2679.9574908389914</v>
      </c>
      <c r="F7729">
        <f>IF($D7729 &gt; 16, 0,$E7729*$J$5)</f>
        <v>29128457.967928998</v>
      </c>
      <c r="G7729">
        <f t="shared" si="120"/>
        <v>12.9</v>
      </c>
    </row>
    <row r="7730" spans="2:7" x14ac:dyDescent="0.35">
      <c r="B7730" s="1">
        <v>45980</v>
      </c>
      <c r="C7730" s="2">
        <v>0</v>
      </c>
      <c r="D7730">
        <v>3.2</v>
      </c>
      <c r="E7730">
        <f>IF($D7730 &gt; 16, 0, $J$3*(16 - $D7730))</f>
        <v>2659.1826265689215</v>
      </c>
      <c r="F7730">
        <f>IF($D7730 &gt; 16, 0,$E7730*$J$5)</f>
        <v>28902655.968177609</v>
      </c>
      <c r="G7730">
        <f t="shared" si="120"/>
        <v>12.8</v>
      </c>
    </row>
    <row r="7731" spans="2:7" x14ac:dyDescent="0.35">
      <c r="B7731" s="1">
        <v>45980</v>
      </c>
      <c r="C7731" s="2">
        <v>4.1666666666666657E-2</v>
      </c>
      <c r="D7731">
        <v>3.2</v>
      </c>
      <c r="E7731">
        <f>IF($D7731 &gt; 16, 0, $J$3*(16 - $D7731))</f>
        <v>2659.1826265689215</v>
      </c>
      <c r="F7731">
        <f>IF($D7731 &gt; 16, 0,$E7731*$J$5)</f>
        <v>28902655.968177609</v>
      </c>
      <c r="G7731">
        <f t="shared" si="120"/>
        <v>12.8</v>
      </c>
    </row>
    <row r="7732" spans="2:7" x14ac:dyDescent="0.35">
      <c r="B7732" s="1">
        <v>45980</v>
      </c>
      <c r="C7732" s="2">
        <v>8.3333333333333329E-2</v>
      </c>
      <c r="D7732">
        <v>3.3</v>
      </c>
      <c r="E7732">
        <f>IF($D7732 &gt; 16, 0, $J$3*(16 - $D7732))</f>
        <v>2638.4077622988516</v>
      </c>
      <c r="F7732">
        <f>IF($D7732 &gt; 16, 0,$E7732*$J$5)</f>
        <v>28676853.968426216</v>
      </c>
      <c r="G7732">
        <f t="shared" si="120"/>
        <v>12.7</v>
      </c>
    </row>
    <row r="7733" spans="2:7" x14ac:dyDescent="0.35">
      <c r="B7733" s="1">
        <v>45980</v>
      </c>
      <c r="C7733" s="2">
        <v>0.125</v>
      </c>
      <c r="D7733">
        <v>3</v>
      </c>
      <c r="E7733">
        <f>IF($D7733 &gt; 16, 0, $J$3*(16 - $D7733))</f>
        <v>2700.7323551090608</v>
      </c>
      <c r="F7733">
        <f>IF($D7733 &gt; 16, 0,$E7733*$J$5)</f>
        <v>29354259.967680383</v>
      </c>
      <c r="G7733">
        <f t="shared" si="120"/>
        <v>13</v>
      </c>
    </row>
    <row r="7734" spans="2:7" x14ac:dyDescent="0.35">
      <c r="B7734" s="1">
        <v>45980</v>
      </c>
      <c r="C7734" s="2">
        <v>0.16666666666666671</v>
      </c>
      <c r="D7734">
        <v>2.9</v>
      </c>
      <c r="E7734">
        <f>IF($D7734 &gt; 16, 0, $J$3*(16 - $D7734))</f>
        <v>2721.5072193791307</v>
      </c>
      <c r="F7734">
        <f>IF($D7734 &gt; 16, 0,$E7734*$J$5)</f>
        <v>29580061.967431773</v>
      </c>
      <c r="G7734">
        <f t="shared" si="120"/>
        <v>13.1</v>
      </c>
    </row>
    <row r="7735" spans="2:7" x14ac:dyDescent="0.35">
      <c r="B7735" s="1">
        <v>45980</v>
      </c>
      <c r="C7735" s="2">
        <v>0.20833333333333329</v>
      </c>
      <c r="D7735">
        <v>3.1</v>
      </c>
      <c r="E7735">
        <f>IF($D7735 &gt; 16, 0, $J$3*(16 - $D7735))</f>
        <v>2679.9574908389914</v>
      </c>
      <c r="F7735">
        <f>IF($D7735 &gt; 16, 0,$E7735*$J$5)</f>
        <v>29128457.967928998</v>
      </c>
      <c r="G7735">
        <f t="shared" si="120"/>
        <v>12.9</v>
      </c>
    </row>
    <row r="7736" spans="2:7" x14ac:dyDescent="0.35">
      <c r="B7736" s="1">
        <v>45980</v>
      </c>
      <c r="C7736" s="2">
        <v>0.25</v>
      </c>
      <c r="D7736">
        <v>3.5</v>
      </c>
      <c r="E7736">
        <f>IF($D7736 &gt; 16, 0, $J$3*(16 - $D7736))</f>
        <v>2596.8580337587123</v>
      </c>
      <c r="F7736">
        <f>IF($D7736 &gt; 16, 0,$E7736*$J$5)</f>
        <v>28225249.968923442</v>
      </c>
      <c r="G7736">
        <f t="shared" si="120"/>
        <v>12.5</v>
      </c>
    </row>
    <row r="7737" spans="2:7" x14ac:dyDescent="0.35">
      <c r="B7737" s="1">
        <v>45980</v>
      </c>
      <c r="C7737" s="2">
        <v>0.29166666666666669</v>
      </c>
      <c r="D7737">
        <v>3.6</v>
      </c>
      <c r="E7737">
        <f>IF($D7737 &gt; 16, 0, $J$3*(16 - $D7737))</f>
        <v>2576.0831694886429</v>
      </c>
      <c r="F7737">
        <f>IF($D7737 &gt; 16, 0,$E7737*$J$5)</f>
        <v>27999447.96917206</v>
      </c>
      <c r="G7737">
        <f t="shared" si="120"/>
        <v>12.4</v>
      </c>
    </row>
    <row r="7738" spans="2:7" x14ac:dyDescent="0.35">
      <c r="B7738" s="1">
        <v>45980</v>
      </c>
      <c r="C7738" s="2">
        <v>0.33333333333333331</v>
      </c>
      <c r="D7738">
        <v>3.6</v>
      </c>
      <c r="E7738">
        <f>IF($D7738 &gt; 16, 0, $J$3*(16 - $D7738))</f>
        <v>2576.0831694886429</v>
      </c>
      <c r="F7738">
        <f>IF($D7738 &gt; 16, 0,$E7738*$J$5)</f>
        <v>27999447.96917206</v>
      </c>
      <c r="G7738">
        <f t="shared" si="120"/>
        <v>12.4</v>
      </c>
    </row>
    <row r="7739" spans="2:7" x14ac:dyDescent="0.35">
      <c r="B7739" s="1">
        <v>45980</v>
      </c>
      <c r="C7739" s="2">
        <v>0.375</v>
      </c>
      <c r="D7739">
        <v>3.7</v>
      </c>
      <c r="E7739">
        <f>IF($D7739 &gt; 16, 0, $J$3*(16 - $D7739))</f>
        <v>2555.308305218573</v>
      </c>
      <c r="F7739">
        <f>IF($D7739 &gt; 16, 0,$E7739*$J$5)</f>
        <v>27773645.969420668</v>
      </c>
      <c r="G7739">
        <f t="shared" si="120"/>
        <v>12.3</v>
      </c>
    </row>
    <row r="7740" spans="2:7" x14ac:dyDescent="0.35">
      <c r="B7740" s="1">
        <v>45980</v>
      </c>
      <c r="C7740" s="2">
        <v>0.41666666666666669</v>
      </c>
      <c r="D7740">
        <v>4.0999999999999996</v>
      </c>
      <c r="E7740">
        <f>IF($D7740 &gt; 16, 0, $J$3*(16 - $D7740))</f>
        <v>2472.2088481382943</v>
      </c>
      <c r="F7740">
        <f>IF($D7740 &gt; 16, 0,$E7740*$J$5)</f>
        <v>26870437.970415123</v>
      </c>
      <c r="G7740">
        <f t="shared" si="120"/>
        <v>11.9</v>
      </c>
    </row>
    <row r="7741" spans="2:7" x14ac:dyDescent="0.35">
      <c r="B7741" s="1">
        <v>45980</v>
      </c>
      <c r="C7741" s="2">
        <v>0.45833333333333331</v>
      </c>
      <c r="D7741">
        <v>4.4000000000000004</v>
      </c>
      <c r="E7741">
        <f>IF($D7741 &gt; 16, 0, $J$3*(16 - $D7741))</f>
        <v>2409.8842553280851</v>
      </c>
      <c r="F7741">
        <f>IF($D7741 &gt; 16, 0,$E7741*$J$5)</f>
        <v>26193031.971160956</v>
      </c>
      <c r="G7741">
        <f t="shared" si="120"/>
        <v>11.6</v>
      </c>
    </row>
    <row r="7742" spans="2:7" x14ac:dyDescent="0.35">
      <c r="B7742" s="1">
        <v>45980</v>
      </c>
      <c r="C7742" s="2">
        <v>0.5</v>
      </c>
      <c r="D7742">
        <v>4.0999999999999996</v>
      </c>
      <c r="E7742">
        <f>IF($D7742 &gt; 16, 0, $J$3*(16 - $D7742))</f>
        <v>2472.2088481382943</v>
      </c>
      <c r="F7742">
        <f>IF($D7742 &gt; 16, 0,$E7742*$J$5)</f>
        <v>26870437.970415123</v>
      </c>
      <c r="G7742">
        <f t="shared" si="120"/>
        <v>11.9</v>
      </c>
    </row>
    <row r="7743" spans="2:7" x14ac:dyDescent="0.35">
      <c r="B7743" s="1">
        <v>45980</v>
      </c>
      <c r="C7743" s="2">
        <v>0.54166666666666663</v>
      </c>
      <c r="D7743">
        <v>3.7</v>
      </c>
      <c r="E7743">
        <f>IF($D7743 &gt; 16, 0, $J$3*(16 - $D7743))</f>
        <v>2555.308305218573</v>
      </c>
      <c r="F7743">
        <f>IF($D7743 &gt; 16, 0,$E7743*$J$5)</f>
        <v>27773645.969420668</v>
      </c>
      <c r="G7743">
        <f t="shared" si="120"/>
        <v>12.3</v>
      </c>
    </row>
    <row r="7744" spans="2:7" x14ac:dyDescent="0.35">
      <c r="B7744" s="1">
        <v>45980</v>
      </c>
      <c r="C7744" s="2">
        <v>0.58333333333333337</v>
      </c>
      <c r="D7744">
        <v>3.9</v>
      </c>
      <c r="E7744">
        <f>IF($D7744 &gt; 16, 0, $J$3*(16 - $D7744))</f>
        <v>2513.7585766784337</v>
      </c>
      <c r="F7744">
        <f>IF($D7744 &gt; 16, 0,$E7744*$J$5)</f>
        <v>27322041.969917897</v>
      </c>
      <c r="G7744">
        <f t="shared" si="120"/>
        <v>12.1</v>
      </c>
    </row>
    <row r="7745" spans="2:7" x14ac:dyDescent="0.35">
      <c r="B7745" s="1">
        <v>45980</v>
      </c>
      <c r="C7745" s="2">
        <v>0.625</v>
      </c>
      <c r="D7745">
        <v>4</v>
      </c>
      <c r="E7745">
        <f>IF($D7745 &gt; 16, 0, $J$3*(16 - $D7745))</f>
        <v>2492.9837124083638</v>
      </c>
      <c r="F7745">
        <f>IF($D7745 &gt; 16, 0,$E7745*$J$5)</f>
        <v>27096239.970166504</v>
      </c>
      <c r="G7745">
        <f t="shared" si="120"/>
        <v>12</v>
      </c>
    </row>
    <row r="7746" spans="2:7" x14ac:dyDescent="0.35">
      <c r="B7746" s="1">
        <v>45980</v>
      </c>
      <c r="C7746" s="2">
        <v>0.66666666666666663</v>
      </c>
      <c r="D7746">
        <v>3.9</v>
      </c>
      <c r="E7746">
        <f>IF($D7746 &gt; 16, 0, $J$3*(16 - $D7746))</f>
        <v>2513.7585766784337</v>
      </c>
      <c r="F7746">
        <f>IF($D7746 &gt; 16, 0,$E7746*$J$5)</f>
        <v>27322041.969917897</v>
      </c>
      <c r="G7746">
        <f t="shared" si="120"/>
        <v>12.1</v>
      </c>
    </row>
    <row r="7747" spans="2:7" x14ac:dyDescent="0.35">
      <c r="B7747" s="1">
        <v>45980</v>
      </c>
      <c r="C7747" s="2">
        <v>0.70833333333333337</v>
      </c>
      <c r="D7747">
        <v>3.7</v>
      </c>
      <c r="E7747">
        <f>IF($D7747 &gt; 16, 0, $J$3*(16 - $D7747))</f>
        <v>2555.308305218573</v>
      </c>
      <c r="F7747">
        <f>IF($D7747 &gt; 16, 0,$E7747*$J$5)</f>
        <v>27773645.969420668</v>
      </c>
      <c r="G7747">
        <f t="shared" ref="G7747:G7810" si="121">MAX(0, 16 - $D7747)</f>
        <v>12.3</v>
      </c>
    </row>
    <row r="7748" spans="2:7" x14ac:dyDescent="0.35">
      <c r="B7748" s="1">
        <v>45980</v>
      </c>
      <c r="C7748" s="2">
        <v>0.75</v>
      </c>
      <c r="D7748">
        <v>3.7</v>
      </c>
      <c r="E7748">
        <f>IF($D7748 &gt; 16, 0, $J$3*(16 - $D7748))</f>
        <v>2555.308305218573</v>
      </c>
      <c r="F7748">
        <f>IF($D7748 &gt; 16, 0,$E7748*$J$5)</f>
        <v>27773645.969420668</v>
      </c>
      <c r="G7748">
        <f t="shared" si="121"/>
        <v>12.3</v>
      </c>
    </row>
    <row r="7749" spans="2:7" x14ac:dyDescent="0.35">
      <c r="B7749" s="1">
        <v>45980</v>
      </c>
      <c r="C7749" s="2">
        <v>0.79166666666666663</v>
      </c>
      <c r="D7749">
        <v>3.1</v>
      </c>
      <c r="E7749">
        <f>IF($D7749 &gt; 16, 0, $J$3*(16 - $D7749))</f>
        <v>2679.9574908389914</v>
      </c>
      <c r="F7749">
        <f>IF($D7749 &gt; 16, 0,$E7749*$J$5)</f>
        <v>29128457.967928998</v>
      </c>
      <c r="G7749">
        <f t="shared" si="121"/>
        <v>12.9</v>
      </c>
    </row>
    <row r="7750" spans="2:7" x14ac:dyDescent="0.35">
      <c r="B7750" s="1">
        <v>45980</v>
      </c>
      <c r="C7750" s="2">
        <v>0.83333333333333337</v>
      </c>
      <c r="D7750">
        <v>3.1</v>
      </c>
      <c r="E7750">
        <f>IF($D7750 &gt; 16, 0, $J$3*(16 - $D7750))</f>
        <v>2679.9574908389914</v>
      </c>
      <c r="F7750">
        <f>IF($D7750 &gt; 16, 0,$E7750*$J$5)</f>
        <v>29128457.967928998</v>
      </c>
      <c r="G7750">
        <f t="shared" si="121"/>
        <v>12.9</v>
      </c>
    </row>
    <row r="7751" spans="2:7" x14ac:dyDescent="0.35">
      <c r="B7751" s="1">
        <v>45980</v>
      </c>
      <c r="C7751" s="2">
        <v>0.875</v>
      </c>
      <c r="D7751">
        <v>2.7</v>
      </c>
      <c r="E7751">
        <f>IF($D7751 &gt; 16, 0, $J$3*(16 - $D7751))</f>
        <v>2763.05694791927</v>
      </c>
      <c r="F7751">
        <f>IF($D7751 &gt; 16, 0,$E7751*$J$5)</f>
        <v>30031665.966934547</v>
      </c>
      <c r="G7751">
        <f t="shared" si="121"/>
        <v>13.3</v>
      </c>
    </row>
    <row r="7752" spans="2:7" x14ac:dyDescent="0.35">
      <c r="B7752" s="1">
        <v>45980</v>
      </c>
      <c r="C7752" s="2">
        <v>0.91666666666666663</v>
      </c>
      <c r="D7752">
        <v>2.1</v>
      </c>
      <c r="E7752">
        <f>IF($D7752 &gt; 16, 0, $J$3*(16 - $D7752))</f>
        <v>2887.7061335396884</v>
      </c>
      <c r="F7752">
        <f>IF($D7752 &gt; 16, 0,$E7752*$J$5)</f>
        <v>31386477.965442874</v>
      </c>
      <c r="G7752">
        <f t="shared" si="121"/>
        <v>13.9</v>
      </c>
    </row>
    <row r="7753" spans="2:7" x14ac:dyDescent="0.35">
      <c r="B7753" s="1">
        <v>45980</v>
      </c>
      <c r="C7753" s="2">
        <v>0.95833333333333337</v>
      </c>
      <c r="D7753">
        <v>1.6</v>
      </c>
      <c r="E7753">
        <f>IF($D7753 &gt; 16, 0, $J$3*(16 - $D7753))</f>
        <v>2991.5804548900369</v>
      </c>
      <c r="F7753">
        <f>IF($D7753 &gt; 16, 0,$E7753*$J$5)</f>
        <v>32515487.964199811</v>
      </c>
      <c r="G7753">
        <f t="shared" si="121"/>
        <v>14.4</v>
      </c>
    </row>
    <row r="7754" spans="2:7" x14ac:dyDescent="0.35">
      <c r="B7754" s="1">
        <v>45981</v>
      </c>
      <c r="C7754" s="2">
        <v>0</v>
      </c>
      <c r="D7754">
        <v>0.6</v>
      </c>
      <c r="E7754">
        <f>IF($D7754 &gt; 16, 0, $J$3*(16 - $D7754))</f>
        <v>3199.3290975907339</v>
      </c>
      <c r="F7754">
        <f>IF($D7754 &gt; 16, 0,$E7754*$J$5)</f>
        <v>34773507.961713687</v>
      </c>
      <c r="G7754">
        <f t="shared" si="121"/>
        <v>15.4</v>
      </c>
    </row>
    <row r="7755" spans="2:7" x14ac:dyDescent="0.35">
      <c r="B7755" s="1">
        <v>45981</v>
      </c>
      <c r="C7755" s="2">
        <v>4.1666666666666657E-2</v>
      </c>
      <c r="D7755">
        <v>1.2</v>
      </c>
      <c r="E7755">
        <f>IF($D7755 &gt; 16, 0, $J$3*(16 - $D7755))</f>
        <v>3074.6799119703155</v>
      </c>
      <c r="F7755">
        <f>IF($D7755 &gt; 16, 0,$E7755*$J$5)</f>
        <v>33418695.96320536</v>
      </c>
      <c r="G7755">
        <f t="shared" si="121"/>
        <v>14.8</v>
      </c>
    </row>
    <row r="7756" spans="2:7" x14ac:dyDescent="0.35">
      <c r="B7756" s="1">
        <v>45981</v>
      </c>
      <c r="C7756" s="2">
        <v>8.3333333333333329E-2</v>
      </c>
      <c r="D7756">
        <v>2</v>
      </c>
      <c r="E7756">
        <f>IF($D7756 &gt; 16, 0, $J$3*(16 - $D7756))</f>
        <v>2908.4809978097578</v>
      </c>
      <c r="F7756">
        <f>IF($D7756 &gt; 16, 0,$E7756*$J$5)</f>
        <v>31612279.965194259</v>
      </c>
      <c r="G7756">
        <f t="shared" si="121"/>
        <v>14</v>
      </c>
    </row>
    <row r="7757" spans="2:7" x14ac:dyDescent="0.35">
      <c r="B7757" s="1">
        <v>45981</v>
      </c>
      <c r="C7757" s="2">
        <v>0.125</v>
      </c>
      <c r="D7757">
        <v>2.2000000000000002</v>
      </c>
      <c r="E7757">
        <f>IF($D7757 &gt; 16, 0, $J$3*(16 - $D7757))</f>
        <v>2866.9312692696185</v>
      </c>
      <c r="F7757">
        <f>IF($D7757 &gt; 16, 0,$E7757*$J$5)</f>
        <v>31160675.965691485</v>
      </c>
      <c r="G7757">
        <f t="shared" si="121"/>
        <v>13.8</v>
      </c>
    </row>
    <row r="7758" spans="2:7" x14ac:dyDescent="0.35">
      <c r="B7758" s="1">
        <v>45981</v>
      </c>
      <c r="C7758" s="2">
        <v>0.16666666666666671</v>
      </c>
      <c r="D7758">
        <v>2.2000000000000002</v>
      </c>
      <c r="E7758">
        <f>IF($D7758 &gt; 16, 0, $J$3*(16 - $D7758))</f>
        <v>2866.9312692696185</v>
      </c>
      <c r="F7758">
        <f>IF($D7758 &gt; 16, 0,$E7758*$J$5)</f>
        <v>31160675.965691485</v>
      </c>
      <c r="G7758">
        <f t="shared" si="121"/>
        <v>13.8</v>
      </c>
    </row>
    <row r="7759" spans="2:7" x14ac:dyDescent="0.35">
      <c r="B7759" s="1">
        <v>45981</v>
      </c>
      <c r="C7759" s="2">
        <v>0.20833333333333329</v>
      </c>
      <c r="D7759">
        <v>2.2000000000000002</v>
      </c>
      <c r="E7759">
        <f>IF($D7759 &gt; 16, 0, $J$3*(16 - $D7759))</f>
        <v>2866.9312692696185</v>
      </c>
      <c r="F7759">
        <f>IF($D7759 &gt; 16, 0,$E7759*$J$5)</f>
        <v>31160675.965691485</v>
      </c>
      <c r="G7759">
        <f t="shared" si="121"/>
        <v>13.8</v>
      </c>
    </row>
    <row r="7760" spans="2:7" x14ac:dyDescent="0.35">
      <c r="B7760" s="1">
        <v>45981</v>
      </c>
      <c r="C7760" s="2">
        <v>0.25</v>
      </c>
      <c r="D7760">
        <v>1.9</v>
      </c>
      <c r="E7760">
        <f>IF($D7760 &gt; 16, 0, $J$3*(16 - $D7760))</f>
        <v>2929.2558620798277</v>
      </c>
      <c r="F7760">
        <f>IF($D7760 &gt; 16, 0,$E7760*$J$5)</f>
        <v>31838081.964945648</v>
      </c>
      <c r="G7760">
        <f t="shared" si="121"/>
        <v>14.1</v>
      </c>
    </row>
    <row r="7761" spans="2:7" x14ac:dyDescent="0.35">
      <c r="B7761" s="1">
        <v>45981</v>
      </c>
      <c r="C7761" s="2">
        <v>0.29166666666666669</v>
      </c>
      <c r="D7761">
        <v>1.7</v>
      </c>
      <c r="E7761">
        <f>IF($D7761 &gt; 16, 0, $J$3*(16 - $D7761))</f>
        <v>2970.805590619967</v>
      </c>
      <c r="F7761">
        <f>IF($D7761 &gt; 16, 0,$E7761*$J$5)</f>
        <v>32289685.964448422</v>
      </c>
      <c r="G7761">
        <f t="shared" si="121"/>
        <v>14.3</v>
      </c>
    </row>
    <row r="7762" spans="2:7" x14ac:dyDescent="0.35">
      <c r="B7762" s="1">
        <v>45981</v>
      </c>
      <c r="C7762" s="2">
        <v>0.33333333333333331</v>
      </c>
      <c r="D7762">
        <v>1.3</v>
      </c>
      <c r="E7762">
        <f>IF($D7762 &gt; 16, 0, $J$3*(16 - $D7762))</f>
        <v>3053.9050477002456</v>
      </c>
      <c r="F7762">
        <f>IF($D7762 &gt; 16, 0,$E7762*$J$5)</f>
        <v>33192893.963453971</v>
      </c>
      <c r="G7762">
        <f t="shared" si="121"/>
        <v>14.7</v>
      </c>
    </row>
    <row r="7763" spans="2:7" x14ac:dyDescent="0.35">
      <c r="B7763" s="1">
        <v>45981</v>
      </c>
      <c r="C7763" s="2">
        <v>0.375</v>
      </c>
      <c r="D7763">
        <v>1.1000000000000001</v>
      </c>
      <c r="E7763">
        <f>IF($D7763 &gt; 16, 0, $J$3*(16 - $D7763))</f>
        <v>3095.4547762403854</v>
      </c>
      <c r="F7763">
        <f>IF($D7763 &gt; 16, 0,$E7763*$J$5)</f>
        <v>33644497.962956749</v>
      </c>
      <c r="G7763">
        <f t="shared" si="121"/>
        <v>14.9</v>
      </c>
    </row>
    <row r="7764" spans="2:7" x14ac:dyDescent="0.35">
      <c r="B7764" s="1">
        <v>45981</v>
      </c>
      <c r="C7764" s="2">
        <v>0.41666666666666669</v>
      </c>
      <c r="D7764">
        <v>1.3</v>
      </c>
      <c r="E7764">
        <f>IF($D7764 &gt; 16, 0, $J$3*(16 - $D7764))</f>
        <v>3053.9050477002456</v>
      </c>
      <c r="F7764">
        <f>IF($D7764 &gt; 16, 0,$E7764*$J$5)</f>
        <v>33192893.963453971</v>
      </c>
      <c r="G7764">
        <f t="shared" si="121"/>
        <v>14.7</v>
      </c>
    </row>
    <row r="7765" spans="2:7" x14ac:dyDescent="0.35">
      <c r="B7765" s="1">
        <v>45981</v>
      </c>
      <c r="C7765" s="2">
        <v>0.45833333333333331</v>
      </c>
      <c r="D7765">
        <v>2.1</v>
      </c>
      <c r="E7765">
        <f>IF($D7765 &gt; 16, 0, $J$3*(16 - $D7765))</f>
        <v>2887.7061335396884</v>
      </c>
      <c r="F7765">
        <f>IF($D7765 &gt; 16, 0,$E7765*$J$5)</f>
        <v>31386477.965442874</v>
      </c>
      <c r="G7765">
        <f t="shared" si="121"/>
        <v>13.9</v>
      </c>
    </row>
    <row r="7766" spans="2:7" x14ac:dyDescent="0.35">
      <c r="B7766" s="1">
        <v>45981</v>
      </c>
      <c r="C7766" s="2">
        <v>0.5</v>
      </c>
      <c r="D7766">
        <v>2.7</v>
      </c>
      <c r="E7766">
        <f>IF($D7766 &gt; 16, 0, $J$3*(16 - $D7766))</f>
        <v>2763.05694791927</v>
      </c>
      <c r="F7766">
        <f>IF($D7766 &gt; 16, 0,$E7766*$J$5)</f>
        <v>30031665.966934547</v>
      </c>
      <c r="G7766">
        <f t="shared" si="121"/>
        <v>13.3</v>
      </c>
    </row>
    <row r="7767" spans="2:7" x14ac:dyDescent="0.35">
      <c r="B7767" s="1">
        <v>45981</v>
      </c>
      <c r="C7767" s="2">
        <v>0.54166666666666663</v>
      </c>
      <c r="D7767">
        <v>2.9</v>
      </c>
      <c r="E7767">
        <f>IF($D7767 &gt; 16, 0, $J$3*(16 - $D7767))</f>
        <v>2721.5072193791307</v>
      </c>
      <c r="F7767">
        <f>IF($D7767 &gt; 16, 0,$E7767*$J$5)</f>
        <v>29580061.967431773</v>
      </c>
      <c r="G7767">
        <f t="shared" si="121"/>
        <v>13.1</v>
      </c>
    </row>
    <row r="7768" spans="2:7" x14ac:dyDescent="0.35">
      <c r="B7768" s="1">
        <v>45981</v>
      </c>
      <c r="C7768" s="2">
        <v>0.58333333333333337</v>
      </c>
      <c r="D7768">
        <v>2.8</v>
      </c>
      <c r="E7768">
        <f>IF($D7768 &gt; 16, 0, $J$3*(16 - $D7768))</f>
        <v>2742.2820836492001</v>
      </c>
      <c r="F7768">
        <f>IF($D7768 &gt; 16, 0,$E7768*$J$5)</f>
        <v>29805863.967183154</v>
      </c>
      <c r="G7768">
        <f t="shared" si="121"/>
        <v>13.2</v>
      </c>
    </row>
    <row r="7769" spans="2:7" x14ac:dyDescent="0.35">
      <c r="B7769" s="1">
        <v>45981</v>
      </c>
      <c r="C7769" s="2">
        <v>0.625</v>
      </c>
      <c r="D7769">
        <v>1.6</v>
      </c>
      <c r="E7769">
        <f>IF($D7769 &gt; 16, 0, $J$3*(16 - $D7769))</f>
        <v>2991.5804548900369</v>
      </c>
      <c r="F7769">
        <f>IF($D7769 &gt; 16, 0,$E7769*$J$5)</f>
        <v>32515487.964199811</v>
      </c>
      <c r="G7769">
        <f t="shared" si="121"/>
        <v>14.4</v>
      </c>
    </row>
    <row r="7770" spans="2:7" x14ac:dyDescent="0.35">
      <c r="B7770" s="1">
        <v>45981</v>
      </c>
      <c r="C7770" s="2">
        <v>0.66666666666666663</v>
      </c>
      <c r="D7770">
        <v>0.5</v>
      </c>
      <c r="E7770">
        <f>IF($D7770 &gt; 16, 0, $J$3*(16 - $D7770))</f>
        <v>3220.1039618608033</v>
      </c>
      <c r="F7770">
        <f>IF($D7770 &gt; 16, 0,$E7770*$J$5)</f>
        <v>34999309.961465068</v>
      </c>
      <c r="G7770">
        <f t="shared" si="121"/>
        <v>15.5</v>
      </c>
    </row>
    <row r="7771" spans="2:7" x14ac:dyDescent="0.35">
      <c r="B7771" s="1">
        <v>45981</v>
      </c>
      <c r="C7771" s="2">
        <v>0.70833333333333337</v>
      </c>
      <c r="D7771">
        <v>-0.8</v>
      </c>
      <c r="E7771">
        <f>IF($D7771 &gt; 16, 0, $J$3*(16 - $D7771))</f>
        <v>3490.1771973717096</v>
      </c>
      <c r="F7771">
        <f>IF($D7771 &gt; 16, 0,$E7771*$J$5)</f>
        <v>37934735.958233111</v>
      </c>
      <c r="G7771">
        <f t="shared" si="121"/>
        <v>16.8</v>
      </c>
    </row>
    <row r="7772" spans="2:7" x14ac:dyDescent="0.35">
      <c r="B7772" s="1">
        <v>45981</v>
      </c>
      <c r="C7772" s="2">
        <v>0.75</v>
      </c>
      <c r="D7772">
        <v>-1.2</v>
      </c>
      <c r="E7772">
        <f>IF($D7772 &gt; 16, 0, $J$3*(16 - $D7772))</f>
        <v>3573.2766544519882</v>
      </c>
      <c r="F7772">
        <f>IF($D7772 &gt; 16, 0,$E7772*$J$5)</f>
        <v>38837943.957238659</v>
      </c>
      <c r="G7772">
        <f t="shared" si="121"/>
        <v>17.2</v>
      </c>
    </row>
    <row r="7773" spans="2:7" x14ac:dyDescent="0.35">
      <c r="B7773" s="1">
        <v>45981</v>
      </c>
      <c r="C7773" s="2">
        <v>0.79166666666666663</v>
      </c>
      <c r="D7773">
        <v>-1.4</v>
      </c>
      <c r="E7773">
        <f>IF($D7773 &gt; 16, 0, $J$3*(16 - $D7773))</f>
        <v>3614.8263829921275</v>
      </c>
      <c r="F7773">
        <f>IF($D7773 &gt; 16, 0,$E7773*$J$5)</f>
        <v>39289547.956741437</v>
      </c>
      <c r="G7773">
        <f t="shared" si="121"/>
        <v>17.399999999999999</v>
      </c>
    </row>
    <row r="7774" spans="2:7" x14ac:dyDescent="0.35">
      <c r="B7774" s="1">
        <v>45981</v>
      </c>
      <c r="C7774" s="2">
        <v>0.83333333333333337</v>
      </c>
      <c r="D7774">
        <v>-1.8</v>
      </c>
      <c r="E7774">
        <f>IF($D7774 &gt; 16, 0, $J$3*(16 - $D7774))</f>
        <v>3697.9258400724066</v>
      </c>
      <c r="F7774">
        <f>IF($D7774 &gt; 16, 0,$E7774*$J$5)</f>
        <v>40192755.955746986</v>
      </c>
      <c r="G7774">
        <f t="shared" si="121"/>
        <v>17.8</v>
      </c>
    </row>
    <row r="7775" spans="2:7" x14ac:dyDescent="0.35">
      <c r="B7775" s="1">
        <v>45981</v>
      </c>
      <c r="C7775" s="2">
        <v>0.875</v>
      </c>
      <c r="D7775">
        <v>-2.7</v>
      </c>
      <c r="E7775">
        <f>IF($D7775 &gt; 16, 0, $J$3*(16 - $D7775))</f>
        <v>3884.8996185030337</v>
      </c>
      <c r="F7775">
        <f>IF($D7775 &gt; 16, 0,$E7775*$J$5)</f>
        <v>42224973.953509472</v>
      </c>
      <c r="G7775">
        <f t="shared" si="121"/>
        <v>18.7</v>
      </c>
    </row>
    <row r="7776" spans="2:7" x14ac:dyDescent="0.35">
      <c r="B7776" s="1">
        <v>45981</v>
      </c>
      <c r="C7776" s="2">
        <v>0.91666666666666663</v>
      </c>
      <c r="D7776">
        <v>-2.9</v>
      </c>
      <c r="E7776">
        <f>IF($D7776 &gt; 16, 0, $J$3*(16 - $D7776))</f>
        <v>3926.449347043173</v>
      </c>
      <c r="F7776">
        <f>IF($D7776 &gt; 16, 0,$E7776*$J$5)</f>
        <v>42676577.95301225</v>
      </c>
      <c r="G7776">
        <f t="shared" si="121"/>
        <v>18.899999999999999</v>
      </c>
    </row>
    <row r="7777" spans="2:7" x14ac:dyDescent="0.35">
      <c r="B7777" s="1">
        <v>45981</v>
      </c>
      <c r="C7777" s="2">
        <v>0.95833333333333337</v>
      </c>
      <c r="D7777">
        <v>-3.8</v>
      </c>
      <c r="E7777">
        <f>IF($D7777 &gt; 16, 0, $J$3*(16 - $D7777))</f>
        <v>4113.4231254738006</v>
      </c>
      <c r="F7777">
        <f>IF($D7777 &gt; 16, 0,$E7777*$J$5)</f>
        <v>44708795.950774737</v>
      </c>
      <c r="G7777">
        <f t="shared" si="121"/>
        <v>19.8</v>
      </c>
    </row>
    <row r="7778" spans="2:7" x14ac:dyDescent="0.35">
      <c r="B7778" s="1">
        <v>45982</v>
      </c>
      <c r="C7778" s="2">
        <v>0</v>
      </c>
      <c r="D7778">
        <v>-3.7</v>
      </c>
      <c r="E7778">
        <f>IF($D7778 &gt; 16, 0, $J$3*(16 - $D7778))</f>
        <v>4092.6482612037307</v>
      </c>
      <c r="F7778">
        <f>IF($D7778 &gt; 16, 0,$E7778*$J$5)</f>
        <v>44482993.951023348</v>
      </c>
      <c r="G7778">
        <f t="shared" si="121"/>
        <v>19.7</v>
      </c>
    </row>
    <row r="7779" spans="2:7" x14ac:dyDescent="0.35">
      <c r="B7779" s="1">
        <v>45982</v>
      </c>
      <c r="C7779" s="2">
        <v>4.1666666666666657E-2</v>
      </c>
      <c r="D7779">
        <v>-5.3</v>
      </c>
      <c r="E7779">
        <f>IF($D7779 &gt; 16, 0, $J$3*(16 - $D7779))</f>
        <v>4425.0460895248461</v>
      </c>
      <c r="F7779">
        <f>IF($D7779 &gt; 16, 0,$E7779*$J$5)</f>
        <v>48095825.94704555</v>
      </c>
      <c r="G7779">
        <f t="shared" si="121"/>
        <v>21.3</v>
      </c>
    </row>
    <row r="7780" spans="2:7" x14ac:dyDescent="0.35">
      <c r="B7780" s="1">
        <v>45982</v>
      </c>
      <c r="C7780" s="2">
        <v>8.3333333333333329E-2</v>
      </c>
      <c r="D7780">
        <v>-5</v>
      </c>
      <c r="E7780">
        <f>IF($D7780 &gt; 16, 0, $J$3*(16 - $D7780))</f>
        <v>4362.7214967146365</v>
      </c>
      <c r="F7780">
        <f>IF($D7780 &gt; 16, 0,$E7780*$J$5)</f>
        <v>47418419.947791383</v>
      </c>
      <c r="G7780">
        <f t="shared" si="121"/>
        <v>21</v>
      </c>
    </row>
    <row r="7781" spans="2:7" x14ac:dyDescent="0.35">
      <c r="B7781" s="1">
        <v>45982</v>
      </c>
      <c r="C7781" s="2">
        <v>0.125</v>
      </c>
      <c r="D7781">
        <v>-5</v>
      </c>
      <c r="E7781">
        <f>IF($D7781 &gt; 16, 0, $J$3*(16 - $D7781))</f>
        <v>4362.7214967146365</v>
      </c>
      <c r="F7781">
        <f>IF($D7781 &gt; 16, 0,$E7781*$J$5)</f>
        <v>47418419.947791383</v>
      </c>
      <c r="G7781">
        <f t="shared" si="121"/>
        <v>21</v>
      </c>
    </row>
    <row r="7782" spans="2:7" x14ac:dyDescent="0.35">
      <c r="B7782" s="1">
        <v>45982</v>
      </c>
      <c r="C7782" s="2">
        <v>0.16666666666666671</v>
      </c>
      <c r="D7782">
        <v>-5.3</v>
      </c>
      <c r="E7782">
        <f>IF($D7782 &gt; 16, 0, $J$3*(16 - $D7782))</f>
        <v>4425.0460895248461</v>
      </c>
      <c r="F7782">
        <f>IF($D7782 &gt; 16, 0,$E7782*$J$5)</f>
        <v>48095825.94704555</v>
      </c>
      <c r="G7782">
        <f t="shared" si="121"/>
        <v>21.3</v>
      </c>
    </row>
    <row r="7783" spans="2:7" x14ac:dyDescent="0.35">
      <c r="B7783" s="1">
        <v>45982</v>
      </c>
      <c r="C7783" s="2">
        <v>0.20833333333333329</v>
      </c>
      <c r="D7783">
        <v>-4.9000000000000004</v>
      </c>
      <c r="E7783">
        <f>IF($D7783 &gt; 16, 0, $J$3*(16 - $D7783))</f>
        <v>4341.9466324445666</v>
      </c>
      <c r="F7783">
        <f>IF($D7783 &gt; 16, 0,$E7783*$J$5)</f>
        <v>47192617.948039994</v>
      </c>
      <c r="G7783">
        <f t="shared" si="121"/>
        <v>20.9</v>
      </c>
    </row>
    <row r="7784" spans="2:7" x14ac:dyDescent="0.35">
      <c r="B7784" s="1">
        <v>45982</v>
      </c>
      <c r="C7784" s="2">
        <v>0.25</v>
      </c>
      <c r="D7784">
        <v>-5.6</v>
      </c>
      <c r="E7784">
        <f>IF($D7784 &gt; 16, 0, $J$3*(16 - $D7784))</f>
        <v>4487.3706823350549</v>
      </c>
      <c r="F7784">
        <f>IF($D7784 &gt; 16, 0,$E7784*$J$5)</f>
        <v>48773231.946299709</v>
      </c>
      <c r="G7784">
        <f t="shared" si="121"/>
        <v>21.6</v>
      </c>
    </row>
    <row r="7785" spans="2:7" x14ac:dyDescent="0.35">
      <c r="B7785" s="1">
        <v>45982</v>
      </c>
      <c r="C7785" s="2">
        <v>0.29166666666666669</v>
      </c>
      <c r="D7785">
        <v>-5.2</v>
      </c>
      <c r="E7785">
        <f>IF($D7785 &gt; 16, 0, $J$3*(16 - $D7785))</f>
        <v>4404.2712252547763</v>
      </c>
      <c r="F7785">
        <f>IF($D7785 &gt; 16, 0,$E7785*$J$5)</f>
        <v>47870023.947294161</v>
      </c>
      <c r="G7785">
        <f t="shared" si="121"/>
        <v>21.2</v>
      </c>
    </row>
    <row r="7786" spans="2:7" x14ac:dyDescent="0.35">
      <c r="B7786" s="1">
        <v>45982</v>
      </c>
      <c r="C7786" s="2">
        <v>0.33333333333333331</v>
      </c>
      <c r="D7786">
        <v>-4.4000000000000004</v>
      </c>
      <c r="E7786">
        <f>IF($D7786 &gt; 16, 0, $J$3*(16 - $D7786))</f>
        <v>4238.0723110942181</v>
      </c>
      <c r="F7786">
        <f>IF($D7786 &gt; 16, 0,$E7786*$J$5)</f>
        <v>46063607.949283056</v>
      </c>
      <c r="G7786">
        <f t="shared" si="121"/>
        <v>20.399999999999999</v>
      </c>
    </row>
    <row r="7787" spans="2:7" x14ac:dyDescent="0.35">
      <c r="B7787" s="1">
        <v>45982</v>
      </c>
      <c r="C7787" s="2">
        <v>0.375</v>
      </c>
      <c r="D7787">
        <v>-0.7</v>
      </c>
      <c r="E7787">
        <f>IF($D7787 &gt; 16, 0, $J$3*(16 - $D7787))</f>
        <v>3469.4023331016397</v>
      </c>
      <c r="F7787">
        <f>IF($D7787 &gt; 16, 0,$E7787*$J$5)</f>
        <v>37708933.958481722</v>
      </c>
      <c r="G7787">
        <f t="shared" si="121"/>
        <v>16.7</v>
      </c>
    </row>
    <row r="7788" spans="2:7" x14ac:dyDescent="0.35">
      <c r="B7788" s="1">
        <v>45982</v>
      </c>
      <c r="C7788" s="2">
        <v>0.41666666666666669</v>
      </c>
      <c r="D7788">
        <v>0.5</v>
      </c>
      <c r="E7788">
        <f>IF($D7788 &gt; 16, 0, $J$3*(16 - $D7788))</f>
        <v>3220.1039618608033</v>
      </c>
      <c r="F7788">
        <f>IF($D7788 &gt; 16, 0,$E7788*$J$5)</f>
        <v>34999309.961465068</v>
      </c>
      <c r="G7788">
        <f t="shared" si="121"/>
        <v>15.5</v>
      </c>
    </row>
    <row r="7789" spans="2:7" x14ac:dyDescent="0.35">
      <c r="B7789" s="1">
        <v>45982</v>
      </c>
      <c r="C7789" s="2">
        <v>0.45833333333333331</v>
      </c>
      <c r="D7789">
        <v>1.9</v>
      </c>
      <c r="E7789">
        <f>IF($D7789 &gt; 16, 0, $J$3*(16 - $D7789))</f>
        <v>2929.2558620798277</v>
      </c>
      <c r="F7789">
        <f>IF($D7789 &gt; 16, 0,$E7789*$J$5)</f>
        <v>31838081.964945648</v>
      </c>
      <c r="G7789">
        <f t="shared" si="121"/>
        <v>14.1</v>
      </c>
    </row>
    <row r="7790" spans="2:7" x14ac:dyDescent="0.35">
      <c r="B7790" s="1">
        <v>45982</v>
      </c>
      <c r="C7790" s="2">
        <v>0.5</v>
      </c>
      <c r="D7790">
        <v>2.6</v>
      </c>
      <c r="E7790">
        <f>IF($D7790 &gt; 16, 0, $J$3*(16 - $D7790))</f>
        <v>2783.8318121893399</v>
      </c>
      <c r="F7790">
        <f>IF($D7790 &gt; 16, 0,$E7790*$J$5)</f>
        <v>30257467.966685936</v>
      </c>
      <c r="G7790">
        <f t="shared" si="121"/>
        <v>13.4</v>
      </c>
    </row>
    <row r="7791" spans="2:7" x14ac:dyDescent="0.35">
      <c r="B7791" s="1">
        <v>45982</v>
      </c>
      <c r="C7791" s="2">
        <v>0.54166666666666663</v>
      </c>
      <c r="D7791">
        <v>3.2</v>
      </c>
      <c r="E7791">
        <f>IF($D7791 &gt; 16, 0, $J$3*(16 - $D7791))</f>
        <v>2659.1826265689215</v>
      </c>
      <c r="F7791">
        <f>IF($D7791 &gt; 16, 0,$E7791*$J$5)</f>
        <v>28902655.968177609</v>
      </c>
      <c r="G7791">
        <f t="shared" si="121"/>
        <v>12.8</v>
      </c>
    </row>
    <row r="7792" spans="2:7" x14ac:dyDescent="0.35">
      <c r="B7792" s="1">
        <v>45982</v>
      </c>
      <c r="C7792" s="2">
        <v>0.58333333333333337</v>
      </c>
      <c r="D7792">
        <v>2.6</v>
      </c>
      <c r="E7792">
        <f>IF($D7792 &gt; 16, 0, $J$3*(16 - $D7792))</f>
        <v>2783.8318121893399</v>
      </c>
      <c r="F7792">
        <f>IF($D7792 &gt; 16, 0,$E7792*$J$5)</f>
        <v>30257467.966685936</v>
      </c>
      <c r="G7792">
        <f t="shared" si="121"/>
        <v>13.4</v>
      </c>
    </row>
    <row r="7793" spans="2:7" x14ac:dyDescent="0.35">
      <c r="B7793" s="1">
        <v>45982</v>
      </c>
      <c r="C7793" s="2">
        <v>0.625</v>
      </c>
      <c r="D7793">
        <v>2</v>
      </c>
      <c r="E7793">
        <f>IF($D7793 &gt; 16, 0, $J$3*(16 - $D7793))</f>
        <v>2908.4809978097578</v>
      </c>
      <c r="F7793">
        <f>IF($D7793 &gt; 16, 0,$E7793*$J$5)</f>
        <v>31612279.965194259</v>
      </c>
      <c r="G7793">
        <f t="shared" si="121"/>
        <v>14</v>
      </c>
    </row>
    <row r="7794" spans="2:7" x14ac:dyDescent="0.35">
      <c r="B7794" s="1">
        <v>45982</v>
      </c>
      <c r="C7794" s="2">
        <v>0.66666666666666663</v>
      </c>
      <c r="D7794">
        <v>0.6</v>
      </c>
      <c r="E7794">
        <f>IF($D7794 &gt; 16, 0, $J$3*(16 - $D7794))</f>
        <v>3199.3290975907339</v>
      </c>
      <c r="F7794">
        <f>IF($D7794 &gt; 16, 0,$E7794*$J$5)</f>
        <v>34773507.961713687</v>
      </c>
      <c r="G7794">
        <f t="shared" si="121"/>
        <v>15.4</v>
      </c>
    </row>
    <row r="7795" spans="2:7" x14ac:dyDescent="0.35">
      <c r="B7795" s="1">
        <v>45982</v>
      </c>
      <c r="C7795" s="2">
        <v>0.70833333333333337</v>
      </c>
      <c r="D7795">
        <v>-0.8</v>
      </c>
      <c r="E7795">
        <f>IF($D7795 &gt; 16, 0, $J$3*(16 - $D7795))</f>
        <v>3490.1771973717096</v>
      </c>
      <c r="F7795">
        <f>IF($D7795 &gt; 16, 0,$E7795*$J$5)</f>
        <v>37934735.958233111</v>
      </c>
      <c r="G7795">
        <f t="shared" si="121"/>
        <v>16.8</v>
      </c>
    </row>
    <row r="7796" spans="2:7" x14ac:dyDescent="0.35">
      <c r="B7796" s="1">
        <v>45982</v>
      </c>
      <c r="C7796" s="2">
        <v>0.75</v>
      </c>
      <c r="D7796">
        <v>-0.1</v>
      </c>
      <c r="E7796">
        <f>IF($D7796 &gt; 16, 0, $J$3*(16 - $D7796))</f>
        <v>3344.7531474812217</v>
      </c>
      <c r="F7796">
        <f>IF($D7796 &gt; 16, 0,$E7796*$J$5)</f>
        <v>36354121.959973402</v>
      </c>
      <c r="G7796">
        <f t="shared" si="121"/>
        <v>16.100000000000001</v>
      </c>
    </row>
    <row r="7797" spans="2:7" x14ac:dyDescent="0.35">
      <c r="B7797" s="1">
        <v>45982</v>
      </c>
      <c r="C7797" s="2">
        <v>0.79166666666666663</v>
      </c>
      <c r="D7797">
        <v>-0.7</v>
      </c>
      <c r="E7797">
        <f>IF($D7797 &gt; 16, 0, $J$3*(16 - $D7797))</f>
        <v>3469.4023331016397</v>
      </c>
      <c r="F7797">
        <f>IF($D7797 &gt; 16, 0,$E7797*$J$5)</f>
        <v>37708933.958481722</v>
      </c>
      <c r="G7797">
        <f t="shared" si="121"/>
        <v>16.7</v>
      </c>
    </row>
    <row r="7798" spans="2:7" x14ac:dyDescent="0.35">
      <c r="B7798" s="1">
        <v>45982</v>
      </c>
      <c r="C7798" s="2">
        <v>0.83333333333333337</v>
      </c>
      <c r="D7798">
        <v>-1.7</v>
      </c>
      <c r="E7798">
        <f>IF($D7798 &gt; 16, 0, $J$3*(16 - $D7798))</f>
        <v>3677.1509758023367</v>
      </c>
      <c r="F7798">
        <f>IF($D7798 &gt; 16, 0,$E7798*$J$5)</f>
        <v>39966953.955995597</v>
      </c>
      <c r="G7798">
        <f t="shared" si="121"/>
        <v>17.7</v>
      </c>
    </row>
    <row r="7799" spans="2:7" x14ac:dyDescent="0.35">
      <c r="B7799" s="1">
        <v>45982</v>
      </c>
      <c r="C7799" s="2">
        <v>0.875</v>
      </c>
      <c r="D7799">
        <v>-2.1</v>
      </c>
      <c r="E7799">
        <f>IF($D7799 &gt; 16, 0, $J$3*(16 - $D7799))</f>
        <v>3760.2504328826158</v>
      </c>
      <c r="F7799">
        <f>IF($D7799 &gt; 16, 0,$E7799*$J$5)</f>
        <v>40870161.955001153</v>
      </c>
      <c r="G7799">
        <f t="shared" si="121"/>
        <v>18.100000000000001</v>
      </c>
    </row>
    <row r="7800" spans="2:7" x14ac:dyDescent="0.35">
      <c r="B7800" s="1">
        <v>45982</v>
      </c>
      <c r="C7800" s="2">
        <v>0.91666666666666663</v>
      </c>
      <c r="D7800">
        <v>-1.7</v>
      </c>
      <c r="E7800">
        <f>IF($D7800 &gt; 16, 0, $J$3*(16 - $D7800))</f>
        <v>3677.1509758023367</v>
      </c>
      <c r="F7800">
        <f>IF($D7800 &gt; 16, 0,$E7800*$J$5)</f>
        <v>39966953.955995597</v>
      </c>
      <c r="G7800">
        <f t="shared" si="121"/>
        <v>17.7</v>
      </c>
    </row>
    <row r="7801" spans="2:7" x14ac:dyDescent="0.35">
      <c r="B7801" s="1">
        <v>45982</v>
      </c>
      <c r="C7801" s="2">
        <v>0.95833333333333337</v>
      </c>
      <c r="D7801">
        <v>-2.8</v>
      </c>
      <c r="E7801">
        <f>IF($D7801 &gt; 16, 0, $J$3*(16 - $D7801))</f>
        <v>3905.6744827731036</v>
      </c>
      <c r="F7801">
        <f>IF($D7801 &gt; 16, 0,$E7801*$J$5)</f>
        <v>42450775.953260861</v>
      </c>
      <c r="G7801">
        <f t="shared" si="121"/>
        <v>18.8</v>
      </c>
    </row>
    <row r="7802" spans="2:7" x14ac:dyDescent="0.35">
      <c r="B7802" s="1">
        <v>45983</v>
      </c>
      <c r="C7802" s="2">
        <v>0</v>
      </c>
      <c r="D7802">
        <v>-1.9</v>
      </c>
      <c r="E7802">
        <f>IF($D7802 &gt; 16, 0, $J$3*(16 - $D7802))</f>
        <v>3718.700704342476</v>
      </c>
      <c r="F7802">
        <f>IF($D7802 &gt; 16, 0,$E7802*$J$5)</f>
        <v>40418557.955498375</v>
      </c>
      <c r="G7802">
        <f t="shared" si="121"/>
        <v>17.899999999999999</v>
      </c>
    </row>
    <row r="7803" spans="2:7" x14ac:dyDescent="0.35">
      <c r="B7803" s="1">
        <v>45983</v>
      </c>
      <c r="C7803" s="2">
        <v>4.1666666666666657E-2</v>
      </c>
      <c r="D7803">
        <v>-2.5</v>
      </c>
      <c r="E7803">
        <f>IF($D7803 &gt; 16, 0, $J$3*(16 - $D7803))</f>
        <v>3843.3498899628944</v>
      </c>
      <c r="F7803">
        <f>IF($D7803 &gt; 16, 0,$E7803*$J$5)</f>
        <v>41773369.954006702</v>
      </c>
      <c r="G7803">
        <f t="shared" si="121"/>
        <v>18.5</v>
      </c>
    </row>
    <row r="7804" spans="2:7" x14ac:dyDescent="0.35">
      <c r="B7804" s="1">
        <v>45983</v>
      </c>
      <c r="C7804" s="2">
        <v>8.3333333333333329E-2</v>
      </c>
      <c r="D7804">
        <v>-2.5</v>
      </c>
      <c r="E7804">
        <f>IF($D7804 &gt; 16, 0, $J$3*(16 - $D7804))</f>
        <v>3843.3498899628944</v>
      </c>
      <c r="F7804">
        <f>IF($D7804 &gt; 16, 0,$E7804*$J$5)</f>
        <v>41773369.954006702</v>
      </c>
      <c r="G7804">
        <f t="shared" si="121"/>
        <v>18.5</v>
      </c>
    </row>
    <row r="7805" spans="2:7" x14ac:dyDescent="0.35">
      <c r="B7805" s="1">
        <v>45983</v>
      </c>
      <c r="C7805" s="2">
        <v>0.125</v>
      </c>
      <c r="D7805">
        <v>-2.5</v>
      </c>
      <c r="E7805">
        <f>IF($D7805 &gt; 16, 0, $J$3*(16 - $D7805))</f>
        <v>3843.3498899628944</v>
      </c>
      <c r="F7805">
        <f>IF($D7805 &gt; 16, 0,$E7805*$J$5)</f>
        <v>41773369.954006702</v>
      </c>
      <c r="G7805">
        <f t="shared" si="121"/>
        <v>18.5</v>
      </c>
    </row>
    <row r="7806" spans="2:7" x14ac:dyDescent="0.35">
      <c r="B7806" s="1">
        <v>45983</v>
      </c>
      <c r="C7806" s="2">
        <v>0.16666666666666671</v>
      </c>
      <c r="D7806">
        <v>-3.1</v>
      </c>
      <c r="E7806">
        <f>IF($D7806 &gt; 16, 0, $J$3*(16 - $D7806))</f>
        <v>3967.9990755833128</v>
      </c>
      <c r="F7806">
        <f>IF($D7806 &gt; 16, 0,$E7806*$J$5)</f>
        <v>43128181.952515028</v>
      </c>
      <c r="G7806">
        <f t="shared" si="121"/>
        <v>19.100000000000001</v>
      </c>
    </row>
    <row r="7807" spans="2:7" x14ac:dyDescent="0.35">
      <c r="B7807" s="1">
        <v>45983</v>
      </c>
      <c r="C7807" s="2">
        <v>0.20833333333333329</v>
      </c>
      <c r="D7807">
        <v>-2.7</v>
      </c>
      <c r="E7807">
        <f>IF($D7807 &gt; 16, 0, $J$3*(16 - $D7807))</f>
        <v>3884.8996185030337</v>
      </c>
      <c r="F7807">
        <f>IF($D7807 &gt; 16, 0,$E7807*$J$5)</f>
        <v>42224973.953509472</v>
      </c>
      <c r="G7807">
        <f t="shared" si="121"/>
        <v>18.7</v>
      </c>
    </row>
    <row r="7808" spans="2:7" x14ac:dyDescent="0.35">
      <c r="B7808" s="1">
        <v>45983</v>
      </c>
      <c r="C7808" s="2">
        <v>0.25</v>
      </c>
      <c r="D7808">
        <v>-2.2999999999999998</v>
      </c>
      <c r="E7808">
        <f>IF($D7808 &gt; 16, 0, $J$3*(16 - $D7808))</f>
        <v>3801.8001614227551</v>
      </c>
      <c r="F7808">
        <f>IF($D7808 &gt; 16, 0,$E7808*$J$5)</f>
        <v>41321765.954503924</v>
      </c>
      <c r="G7808">
        <f t="shared" si="121"/>
        <v>18.3</v>
      </c>
    </row>
    <row r="7809" spans="2:7" x14ac:dyDescent="0.35">
      <c r="B7809" s="1">
        <v>45983</v>
      </c>
      <c r="C7809" s="2">
        <v>0.29166666666666669</v>
      </c>
      <c r="D7809">
        <v>-1.5</v>
      </c>
      <c r="E7809">
        <f>IF($D7809 &gt; 16, 0, $J$3*(16 - $D7809))</f>
        <v>3635.6012472621974</v>
      </c>
      <c r="F7809">
        <f>IF($D7809 &gt; 16, 0,$E7809*$J$5)</f>
        <v>39515349.956492826</v>
      </c>
      <c r="G7809">
        <f t="shared" si="121"/>
        <v>17.5</v>
      </c>
    </row>
    <row r="7810" spans="2:7" x14ac:dyDescent="0.35">
      <c r="B7810" s="1">
        <v>45983</v>
      </c>
      <c r="C7810" s="2">
        <v>0.33333333333333331</v>
      </c>
      <c r="D7810">
        <v>-1</v>
      </c>
      <c r="E7810">
        <f>IF($D7810 &gt; 16, 0, $J$3*(16 - $D7810))</f>
        <v>3531.7269259118489</v>
      </c>
      <c r="F7810">
        <f>IF($D7810 &gt; 16, 0,$E7810*$J$5)</f>
        <v>38386339.957735889</v>
      </c>
      <c r="G7810">
        <f t="shared" si="121"/>
        <v>17</v>
      </c>
    </row>
    <row r="7811" spans="2:7" x14ac:dyDescent="0.35">
      <c r="B7811" s="1">
        <v>45983</v>
      </c>
      <c r="C7811" s="2">
        <v>0.375</v>
      </c>
      <c r="D7811">
        <v>-0.2</v>
      </c>
      <c r="E7811">
        <f>IF($D7811 &gt; 16, 0, $J$3*(16 - $D7811))</f>
        <v>3365.5280117512912</v>
      </c>
      <c r="F7811">
        <f>IF($D7811 &gt; 16, 0,$E7811*$J$5)</f>
        <v>36579923.959724784</v>
      </c>
      <c r="G7811">
        <f t="shared" ref="G7811:G7874" si="122">MAX(0, 16 - $D7811)</f>
        <v>16.2</v>
      </c>
    </row>
    <row r="7812" spans="2:7" x14ac:dyDescent="0.35">
      <c r="B7812" s="1">
        <v>45983</v>
      </c>
      <c r="C7812" s="2">
        <v>0.41666666666666669</v>
      </c>
      <c r="D7812">
        <v>0.8</v>
      </c>
      <c r="E7812">
        <f>IF($D7812 &gt; 16, 0, $J$3*(16 - $D7812))</f>
        <v>3157.7793690505941</v>
      </c>
      <c r="F7812">
        <f>IF($D7812 &gt; 16, 0,$E7812*$J$5)</f>
        <v>34321903.962210909</v>
      </c>
      <c r="G7812">
        <f t="shared" si="122"/>
        <v>15.2</v>
      </c>
    </row>
    <row r="7813" spans="2:7" x14ac:dyDescent="0.35">
      <c r="B7813" s="1">
        <v>45983</v>
      </c>
      <c r="C7813" s="2">
        <v>0.45833333333333331</v>
      </c>
      <c r="D7813">
        <v>1.9</v>
      </c>
      <c r="E7813">
        <f>IF($D7813 &gt; 16, 0, $J$3*(16 - $D7813))</f>
        <v>2929.2558620798277</v>
      </c>
      <c r="F7813">
        <f>IF($D7813 &gt; 16, 0,$E7813*$J$5)</f>
        <v>31838081.964945648</v>
      </c>
      <c r="G7813">
        <f t="shared" si="122"/>
        <v>14.1</v>
      </c>
    </row>
    <row r="7814" spans="2:7" x14ac:dyDescent="0.35">
      <c r="B7814" s="1">
        <v>45983</v>
      </c>
      <c r="C7814" s="2">
        <v>0.5</v>
      </c>
      <c r="D7814">
        <v>2.9</v>
      </c>
      <c r="E7814">
        <f>IF($D7814 &gt; 16, 0, $J$3*(16 - $D7814))</f>
        <v>2721.5072193791307</v>
      </c>
      <c r="F7814">
        <f>IF($D7814 &gt; 16, 0,$E7814*$J$5)</f>
        <v>29580061.967431773</v>
      </c>
      <c r="G7814">
        <f t="shared" si="122"/>
        <v>13.1</v>
      </c>
    </row>
    <row r="7815" spans="2:7" x14ac:dyDescent="0.35">
      <c r="B7815" s="1">
        <v>45983</v>
      </c>
      <c r="C7815" s="2">
        <v>0.54166666666666663</v>
      </c>
      <c r="D7815">
        <v>3.4</v>
      </c>
      <c r="E7815">
        <f>IF($D7815 &gt; 16, 0, $J$3*(16 - $D7815))</f>
        <v>2617.6328980287822</v>
      </c>
      <c r="F7815">
        <f>IF($D7815 &gt; 16, 0,$E7815*$J$5)</f>
        <v>28451051.968674835</v>
      </c>
      <c r="G7815">
        <f t="shared" si="122"/>
        <v>12.6</v>
      </c>
    </row>
    <row r="7816" spans="2:7" x14ac:dyDescent="0.35">
      <c r="B7816" s="1">
        <v>45983</v>
      </c>
      <c r="C7816" s="2">
        <v>0.58333333333333337</v>
      </c>
      <c r="D7816">
        <v>3.6</v>
      </c>
      <c r="E7816">
        <f>IF($D7816 &gt; 16, 0, $J$3*(16 - $D7816))</f>
        <v>2576.0831694886429</v>
      </c>
      <c r="F7816">
        <f>IF($D7816 &gt; 16, 0,$E7816*$J$5)</f>
        <v>27999447.96917206</v>
      </c>
      <c r="G7816">
        <f t="shared" si="122"/>
        <v>12.4</v>
      </c>
    </row>
    <row r="7817" spans="2:7" x14ac:dyDescent="0.35">
      <c r="B7817" s="1">
        <v>45983</v>
      </c>
      <c r="C7817" s="2">
        <v>0.625</v>
      </c>
      <c r="D7817">
        <v>2.8</v>
      </c>
      <c r="E7817">
        <f>IF($D7817 &gt; 16, 0, $J$3*(16 - $D7817))</f>
        <v>2742.2820836492001</v>
      </c>
      <c r="F7817">
        <f>IF($D7817 &gt; 16, 0,$E7817*$J$5)</f>
        <v>29805863.967183154</v>
      </c>
      <c r="G7817">
        <f t="shared" si="122"/>
        <v>13.2</v>
      </c>
    </row>
    <row r="7818" spans="2:7" x14ac:dyDescent="0.35">
      <c r="B7818" s="1">
        <v>45983</v>
      </c>
      <c r="C7818" s="2">
        <v>0.66666666666666663</v>
      </c>
      <c r="D7818">
        <v>2.2999999999999998</v>
      </c>
      <c r="E7818">
        <f>IF($D7818 &gt; 16, 0, $J$3*(16 - $D7818))</f>
        <v>2846.1564049995486</v>
      </c>
      <c r="F7818">
        <f>IF($D7818 &gt; 16, 0,$E7818*$J$5)</f>
        <v>30934873.965940095</v>
      </c>
      <c r="G7818">
        <f t="shared" si="122"/>
        <v>13.7</v>
      </c>
    </row>
    <row r="7819" spans="2:7" x14ac:dyDescent="0.35">
      <c r="B7819" s="1">
        <v>45983</v>
      </c>
      <c r="C7819" s="2">
        <v>0.70833333333333337</v>
      </c>
      <c r="D7819">
        <v>2.1</v>
      </c>
      <c r="E7819">
        <f>IF($D7819 &gt; 16, 0, $J$3*(16 - $D7819))</f>
        <v>2887.7061335396884</v>
      </c>
      <c r="F7819">
        <f>IF($D7819 &gt; 16, 0,$E7819*$J$5)</f>
        <v>31386477.965442874</v>
      </c>
      <c r="G7819">
        <f t="shared" si="122"/>
        <v>13.9</v>
      </c>
    </row>
    <row r="7820" spans="2:7" x14ac:dyDescent="0.35">
      <c r="B7820" s="1">
        <v>45983</v>
      </c>
      <c r="C7820" s="2">
        <v>0.75</v>
      </c>
      <c r="D7820">
        <v>1.4</v>
      </c>
      <c r="E7820">
        <f>IF($D7820 &gt; 16, 0, $J$3*(16 - $D7820))</f>
        <v>3033.1301834301762</v>
      </c>
      <c r="F7820">
        <f>IF($D7820 &gt; 16, 0,$E7820*$J$5)</f>
        <v>32967091.963702586</v>
      </c>
      <c r="G7820">
        <f t="shared" si="122"/>
        <v>14.6</v>
      </c>
    </row>
    <row r="7821" spans="2:7" x14ac:dyDescent="0.35">
      <c r="B7821" s="1">
        <v>45983</v>
      </c>
      <c r="C7821" s="2">
        <v>0.79166666666666663</v>
      </c>
      <c r="D7821">
        <v>1.6</v>
      </c>
      <c r="E7821">
        <f>IF($D7821 &gt; 16, 0, $J$3*(16 - $D7821))</f>
        <v>2991.5804548900369</v>
      </c>
      <c r="F7821">
        <f>IF($D7821 &gt; 16, 0,$E7821*$J$5)</f>
        <v>32515487.964199811</v>
      </c>
      <c r="G7821">
        <f t="shared" si="122"/>
        <v>14.4</v>
      </c>
    </row>
    <row r="7822" spans="2:7" x14ac:dyDescent="0.35">
      <c r="B7822" s="1">
        <v>45983</v>
      </c>
      <c r="C7822" s="2">
        <v>0.83333333333333337</v>
      </c>
      <c r="D7822">
        <v>-0.4</v>
      </c>
      <c r="E7822">
        <f>IF($D7822 &gt; 16, 0, $J$3*(16 - $D7822))</f>
        <v>3407.0777402914305</v>
      </c>
      <c r="F7822">
        <f>IF($D7822 &gt; 16, 0,$E7822*$J$5)</f>
        <v>37031527.959227555</v>
      </c>
      <c r="G7822">
        <f t="shared" si="122"/>
        <v>16.399999999999999</v>
      </c>
    </row>
    <row r="7823" spans="2:7" x14ac:dyDescent="0.35">
      <c r="B7823" s="1">
        <v>45983</v>
      </c>
      <c r="C7823" s="2">
        <v>0.875</v>
      </c>
      <c r="D7823">
        <v>0.7</v>
      </c>
      <c r="E7823">
        <f>IF($D7823 &gt; 16, 0, $J$3*(16 - $D7823))</f>
        <v>3178.554233320664</v>
      </c>
      <c r="F7823">
        <f>IF($D7823 &gt; 16, 0,$E7823*$J$5)</f>
        <v>34547705.961962298</v>
      </c>
      <c r="G7823">
        <f t="shared" si="122"/>
        <v>15.3</v>
      </c>
    </row>
    <row r="7824" spans="2:7" x14ac:dyDescent="0.35">
      <c r="B7824" s="1">
        <v>45983</v>
      </c>
      <c r="C7824" s="2">
        <v>0.91666666666666663</v>
      </c>
      <c r="D7824">
        <v>-1</v>
      </c>
      <c r="E7824">
        <f>IF($D7824 &gt; 16, 0, $J$3*(16 - $D7824))</f>
        <v>3531.7269259118489</v>
      </c>
      <c r="F7824">
        <f>IF($D7824 &gt; 16, 0,$E7824*$J$5)</f>
        <v>38386339.957735889</v>
      </c>
      <c r="G7824">
        <f t="shared" si="122"/>
        <v>17</v>
      </c>
    </row>
    <row r="7825" spans="2:7" x14ac:dyDescent="0.35">
      <c r="B7825" s="1">
        <v>45983</v>
      </c>
      <c r="C7825" s="2">
        <v>0.95833333333333337</v>
      </c>
      <c r="D7825">
        <v>-0.5</v>
      </c>
      <c r="E7825">
        <f>IF($D7825 &gt; 16, 0, $J$3*(16 - $D7825))</f>
        <v>3427.8526045615004</v>
      </c>
      <c r="F7825">
        <f>IF($D7825 &gt; 16, 0,$E7825*$J$5)</f>
        <v>37257329.958978951</v>
      </c>
      <c r="G7825">
        <f t="shared" si="122"/>
        <v>16.5</v>
      </c>
    </row>
    <row r="7826" spans="2:7" x14ac:dyDescent="0.35">
      <c r="B7826" s="1">
        <v>45984</v>
      </c>
      <c r="C7826" s="2">
        <v>0</v>
      </c>
      <c r="D7826">
        <v>-0.7</v>
      </c>
      <c r="E7826">
        <f>IF($D7826 &gt; 16, 0, $J$3*(16 - $D7826))</f>
        <v>3469.4023331016397</v>
      </c>
      <c r="F7826">
        <f>IF($D7826 &gt; 16, 0,$E7826*$J$5)</f>
        <v>37708933.958481722</v>
      </c>
      <c r="G7826">
        <f t="shared" si="122"/>
        <v>16.7</v>
      </c>
    </row>
    <row r="7827" spans="2:7" x14ac:dyDescent="0.35">
      <c r="B7827" s="1">
        <v>45984</v>
      </c>
      <c r="C7827" s="2">
        <v>4.1666666666666657E-2</v>
      </c>
      <c r="D7827">
        <v>-1.2</v>
      </c>
      <c r="E7827">
        <f>IF($D7827 &gt; 16, 0, $J$3*(16 - $D7827))</f>
        <v>3573.2766544519882</v>
      </c>
      <c r="F7827">
        <f>IF($D7827 &gt; 16, 0,$E7827*$J$5)</f>
        <v>38837943.957238659</v>
      </c>
      <c r="G7827">
        <f t="shared" si="122"/>
        <v>17.2</v>
      </c>
    </row>
    <row r="7828" spans="2:7" x14ac:dyDescent="0.35">
      <c r="B7828" s="1">
        <v>45984</v>
      </c>
      <c r="C7828" s="2">
        <v>8.3333333333333329E-2</v>
      </c>
      <c r="D7828">
        <v>-1.2</v>
      </c>
      <c r="E7828">
        <f>IF($D7828 &gt; 16, 0, $J$3*(16 - $D7828))</f>
        <v>3573.2766544519882</v>
      </c>
      <c r="F7828">
        <f>IF($D7828 &gt; 16, 0,$E7828*$J$5)</f>
        <v>38837943.957238659</v>
      </c>
      <c r="G7828">
        <f t="shared" si="122"/>
        <v>17.2</v>
      </c>
    </row>
    <row r="7829" spans="2:7" x14ac:dyDescent="0.35">
      <c r="B7829" s="1">
        <v>45984</v>
      </c>
      <c r="C7829" s="2">
        <v>0.125</v>
      </c>
      <c r="D7829">
        <v>-1.8</v>
      </c>
      <c r="E7829">
        <f>IF($D7829 &gt; 16, 0, $J$3*(16 - $D7829))</f>
        <v>3697.9258400724066</v>
      </c>
      <c r="F7829">
        <f>IF($D7829 &gt; 16, 0,$E7829*$J$5)</f>
        <v>40192755.955746986</v>
      </c>
      <c r="G7829">
        <f t="shared" si="122"/>
        <v>17.8</v>
      </c>
    </row>
    <row r="7830" spans="2:7" x14ac:dyDescent="0.35">
      <c r="B7830" s="1">
        <v>45984</v>
      </c>
      <c r="C7830" s="2">
        <v>0.16666666666666671</v>
      </c>
      <c r="D7830">
        <v>-2.9</v>
      </c>
      <c r="E7830">
        <f>IF($D7830 &gt; 16, 0, $J$3*(16 - $D7830))</f>
        <v>3926.449347043173</v>
      </c>
      <c r="F7830">
        <f>IF($D7830 &gt; 16, 0,$E7830*$J$5)</f>
        <v>42676577.95301225</v>
      </c>
      <c r="G7830">
        <f t="shared" si="122"/>
        <v>18.899999999999999</v>
      </c>
    </row>
    <row r="7831" spans="2:7" x14ac:dyDescent="0.35">
      <c r="B7831" s="1">
        <v>45984</v>
      </c>
      <c r="C7831" s="2">
        <v>0.20833333333333329</v>
      </c>
      <c r="D7831">
        <v>-2.9</v>
      </c>
      <c r="E7831">
        <f>IF($D7831 &gt; 16, 0, $J$3*(16 - $D7831))</f>
        <v>3926.449347043173</v>
      </c>
      <c r="F7831">
        <f>IF($D7831 &gt; 16, 0,$E7831*$J$5)</f>
        <v>42676577.95301225</v>
      </c>
      <c r="G7831">
        <f t="shared" si="122"/>
        <v>18.899999999999999</v>
      </c>
    </row>
    <row r="7832" spans="2:7" x14ac:dyDescent="0.35">
      <c r="B7832" s="1">
        <v>45984</v>
      </c>
      <c r="C7832" s="2">
        <v>0.25</v>
      </c>
      <c r="D7832">
        <v>-3.3</v>
      </c>
      <c r="E7832">
        <f>IF($D7832 &gt; 16, 0, $J$3*(16 - $D7832))</f>
        <v>4009.5488041234521</v>
      </c>
      <c r="F7832">
        <f>IF($D7832 &gt; 16, 0,$E7832*$J$5)</f>
        <v>43579785.952017799</v>
      </c>
      <c r="G7832">
        <f t="shared" si="122"/>
        <v>19.3</v>
      </c>
    </row>
    <row r="7833" spans="2:7" x14ac:dyDescent="0.35">
      <c r="B7833" s="1">
        <v>45984</v>
      </c>
      <c r="C7833" s="2">
        <v>0.29166666666666669</v>
      </c>
      <c r="D7833">
        <v>-3.5</v>
      </c>
      <c r="E7833">
        <f>IF($D7833 &gt; 16, 0, $J$3*(16 - $D7833))</f>
        <v>4051.0985326635914</v>
      </c>
      <c r="F7833">
        <f>IF($D7833 &gt; 16, 0,$E7833*$J$5)</f>
        <v>44031389.951520577</v>
      </c>
      <c r="G7833">
        <f t="shared" si="122"/>
        <v>19.5</v>
      </c>
    </row>
    <row r="7834" spans="2:7" x14ac:dyDescent="0.35">
      <c r="B7834" s="1">
        <v>45984</v>
      </c>
      <c r="C7834" s="2">
        <v>0.33333333333333331</v>
      </c>
      <c r="D7834">
        <v>-2.9</v>
      </c>
      <c r="E7834">
        <f>IF($D7834 &gt; 16, 0, $J$3*(16 - $D7834))</f>
        <v>3926.449347043173</v>
      </c>
      <c r="F7834">
        <f>IF($D7834 &gt; 16, 0,$E7834*$J$5)</f>
        <v>42676577.95301225</v>
      </c>
      <c r="G7834">
        <f t="shared" si="122"/>
        <v>18.899999999999999</v>
      </c>
    </row>
    <row r="7835" spans="2:7" x14ac:dyDescent="0.35">
      <c r="B7835" s="1">
        <v>45984</v>
      </c>
      <c r="C7835" s="2">
        <v>0.375</v>
      </c>
      <c r="D7835">
        <v>-1.8</v>
      </c>
      <c r="E7835">
        <f>IF($D7835 &gt; 16, 0, $J$3*(16 - $D7835))</f>
        <v>3697.9258400724066</v>
      </c>
      <c r="F7835">
        <f>IF($D7835 &gt; 16, 0,$E7835*$J$5)</f>
        <v>40192755.955746986</v>
      </c>
      <c r="G7835">
        <f t="shared" si="122"/>
        <v>17.8</v>
      </c>
    </row>
    <row r="7836" spans="2:7" x14ac:dyDescent="0.35">
      <c r="B7836" s="1">
        <v>45984</v>
      </c>
      <c r="C7836" s="2">
        <v>0.41666666666666669</v>
      </c>
      <c r="D7836">
        <v>-0.8</v>
      </c>
      <c r="E7836">
        <f>IF($D7836 &gt; 16, 0, $J$3*(16 - $D7836))</f>
        <v>3490.1771973717096</v>
      </c>
      <c r="F7836">
        <f>IF($D7836 &gt; 16, 0,$E7836*$J$5)</f>
        <v>37934735.958233111</v>
      </c>
      <c r="G7836">
        <f t="shared" si="122"/>
        <v>16.8</v>
      </c>
    </row>
    <row r="7837" spans="2:7" x14ac:dyDescent="0.35">
      <c r="B7837" s="1">
        <v>45984</v>
      </c>
      <c r="C7837" s="2">
        <v>0.45833333333333331</v>
      </c>
      <c r="D7837">
        <v>0.2</v>
      </c>
      <c r="E7837">
        <f>IF($D7837 &gt; 16, 0, $J$3*(16 - $D7837))</f>
        <v>3282.4285546710125</v>
      </c>
      <c r="F7837">
        <f>IF($D7837 &gt; 16, 0,$E7837*$J$5)</f>
        <v>35676715.960719235</v>
      </c>
      <c r="G7837">
        <f t="shared" si="122"/>
        <v>15.8</v>
      </c>
    </row>
    <row r="7838" spans="2:7" x14ac:dyDescent="0.35">
      <c r="B7838" s="1">
        <v>45984</v>
      </c>
      <c r="C7838" s="2">
        <v>0.5</v>
      </c>
      <c r="D7838">
        <v>0.9</v>
      </c>
      <c r="E7838">
        <f>IF($D7838 &gt; 16, 0, $J$3*(16 - $D7838))</f>
        <v>3137.0045047805243</v>
      </c>
      <c r="F7838">
        <f>IF($D7838 &gt; 16, 0,$E7838*$J$5)</f>
        <v>34096101.96245952</v>
      </c>
      <c r="G7838">
        <f t="shared" si="122"/>
        <v>15.1</v>
      </c>
    </row>
    <row r="7839" spans="2:7" x14ac:dyDescent="0.35">
      <c r="B7839" s="1">
        <v>45984</v>
      </c>
      <c r="C7839" s="2">
        <v>0.54166666666666663</v>
      </c>
      <c r="D7839">
        <v>1.2</v>
      </c>
      <c r="E7839">
        <f>IF($D7839 &gt; 16, 0, $J$3*(16 - $D7839))</f>
        <v>3074.6799119703155</v>
      </c>
      <c r="F7839">
        <f>IF($D7839 &gt; 16, 0,$E7839*$J$5)</f>
        <v>33418695.96320536</v>
      </c>
      <c r="G7839">
        <f t="shared" si="122"/>
        <v>14.8</v>
      </c>
    </row>
    <row r="7840" spans="2:7" x14ac:dyDescent="0.35">
      <c r="B7840" s="1">
        <v>45984</v>
      </c>
      <c r="C7840" s="2">
        <v>0.58333333333333337</v>
      </c>
      <c r="D7840">
        <v>1.5</v>
      </c>
      <c r="E7840">
        <f>IF($D7840 &gt; 16, 0, $J$3*(16 - $D7840))</f>
        <v>3012.3553191601063</v>
      </c>
      <c r="F7840">
        <f>IF($D7840 &gt; 16, 0,$E7840*$J$5)</f>
        <v>32741289.963951197</v>
      </c>
      <c r="G7840">
        <f t="shared" si="122"/>
        <v>14.5</v>
      </c>
    </row>
    <row r="7841" spans="2:7" x14ac:dyDescent="0.35">
      <c r="B7841" s="1">
        <v>45984</v>
      </c>
      <c r="C7841" s="2">
        <v>0.625</v>
      </c>
      <c r="D7841">
        <v>1</v>
      </c>
      <c r="E7841">
        <f>IF($D7841 &gt; 16, 0, $J$3*(16 - $D7841))</f>
        <v>3116.2296405104548</v>
      </c>
      <c r="F7841">
        <f>IF($D7841 &gt; 16, 0,$E7841*$J$5)</f>
        <v>33870299.96270813</v>
      </c>
      <c r="G7841">
        <f t="shared" si="122"/>
        <v>15</v>
      </c>
    </row>
    <row r="7842" spans="2:7" x14ac:dyDescent="0.35">
      <c r="B7842" s="1">
        <v>45984</v>
      </c>
      <c r="C7842" s="2">
        <v>0.66666666666666663</v>
      </c>
      <c r="D7842">
        <v>0.9</v>
      </c>
      <c r="E7842">
        <f>IF($D7842 &gt; 16, 0, $J$3*(16 - $D7842))</f>
        <v>3137.0045047805243</v>
      </c>
      <c r="F7842">
        <f>IF($D7842 &gt; 16, 0,$E7842*$J$5)</f>
        <v>34096101.96245952</v>
      </c>
      <c r="G7842">
        <f t="shared" si="122"/>
        <v>15.1</v>
      </c>
    </row>
    <row r="7843" spans="2:7" x14ac:dyDescent="0.35">
      <c r="B7843" s="1">
        <v>45984</v>
      </c>
      <c r="C7843" s="2">
        <v>0.70833333333333337</v>
      </c>
      <c r="D7843">
        <v>0.3</v>
      </c>
      <c r="E7843">
        <f>IF($D7843 &gt; 16, 0, $J$3*(16 - $D7843))</f>
        <v>3261.6536904009427</v>
      </c>
      <c r="F7843">
        <f>IF($D7843 &gt; 16, 0,$E7843*$J$5)</f>
        <v>35450913.960967846</v>
      </c>
      <c r="G7843">
        <f t="shared" si="122"/>
        <v>15.7</v>
      </c>
    </row>
    <row r="7844" spans="2:7" x14ac:dyDescent="0.35">
      <c r="B7844" s="1">
        <v>45984</v>
      </c>
      <c r="C7844" s="2">
        <v>0.75</v>
      </c>
      <c r="D7844">
        <v>0.3</v>
      </c>
      <c r="E7844">
        <f>IF($D7844 &gt; 16, 0, $J$3*(16 - $D7844))</f>
        <v>3261.6536904009427</v>
      </c>
      <c r="F7844">
        <f>IF($D7844 &gt; 16, 0,$E7844*$J$5)</f>
        <v>35450913.960967846</v>
      </c>
      <c r="G7844">
        <f t="shared" si="122"/>
        <v>15.7</v>
      </c>
    </row>
    <row r="7845" spans="2:7" x14ac:dyDescent="0.35">
      <c r="B7845" s="1">
        <v>45984</v>
      </c>
      <c r="C7845" s="2">
        <v>0.79166666666666663</v>
      </c>
      <c r="D7845">
        <v>0.2</v>
      </c>
      <c r="E7845">
        <f>IF($D7845 &gt; 16, 0, $J$3*(16 - $D7845))</f>
        <v>3282.4285546710125</v>
      </c>
      <c r="F7845">
        <f>IF($D7845 &gt; 16, 0,$E7845*$J$5)</f>
        <v>35676715.960719235</v>
      </c>
      <c r="G7845">
        <f t="shared" si="122"/>
        <v>15.8</v>
      </c>
    </row>
    <row r="7846" spans="2:7" x14ac:dyDescent="0.35">
      <c r="B7846" s="1">
        <v>45984</v>
      </c>
      <c r="C7846" s="2">
        <v>0.83333333333333337</v>
      </c>
      <c r="D7846">
        <v>-0.2</v>
      </c>
      <c r="E7846">
        <f>IF($D7846 &gt; 16, 0, $J$3*(16 - $D7846))</f>
        <v>3365.5280117512912</v>
      </c>
      <c r="F7846">
        <f>IF($D7846 &gt; 16, 0,$E7846*$J$5)</f>
        <v>36579923.959724784</v>
      </c>
      <c r="G7846">
        <f t="shared" si="122"/>
        <v>16.2</v>
      </c>
    </row>
    <row r="7847" spans="2:7" x14ac:dyDescent="0.35">
      <c r="B7847" s="1">
        <v>45984</v>
      </c>
      <c r="C7847" s="2">
        <v>0.875</v>
      </c>
      <c r="D7847">
        <v>-1.3</v>
      </c>
      <c r="E7847">
        <f>IF($D7847 &gt; 16, 0, $J$3*(16 - $D7847))</f>
        <v>3594.0515187220581</v>
      </c>
      <c r="F7847">
        <f>IF($D7847 &gt; 16, 0,$E7847*$J$5)</f>
        <v>39063745.956990048</v>
      </c>
      <c r="G7847">
        <f t="shared" si="122"/>
        <v>17.3</v>
      </c>
    </row>
    <row r="7848" spans="2:7" x14ac:dyDescent="0.35">
      <c r="B7848" s="1">
        <v>45984</v>
      </c>
      <c r="C7848" s="2">
        <v>0.91666666666666663</v>
      </c>
      <c r="D7848">
        <v>-1.8</v>
      </c>
      <c r="E7848">
        <f>IF($D7848 &gt; 16, 0, $J$3*(16 - $D7848))</f>
        <v>3697.9258400724066</v>
      </c>
      <c r="F7848">
        <f>IF($D7848 &gt; 16, 0,$E7848*$J$5)</f>
        <v>40192755.955746986</v>
      </c>
      <c r="G7848">
        <f t="shared" si="122"/>
        <v>17.8</v>
      </c>
    </row>
    <row r="7849" spans="2:7" x14ac:dyDescent="0.35">
      <c r="B7849" s="1">
        <v>45984</v>
      </c>
      <c r="C7849" s="2">
        <v>0.95833333333333337</v>
      </c>
      <c r="D7849">
        <v>-1.7</v>
      </c>
      <c r="E7849">
        <f>IF($D7849 &gt; 16, 0, $J$3*(16 - $D7849))</f>
        <v>3677.1509758023367</v>
      </c>
      <c r="F7849">
        <f>IF($D7849 &gt; 16, 0,$E7849*$J$5)</f>
        <v>39966953.955995597</v>
      </c>
      <c r="G7849">
        <f t="shared" si="122"/>
        <v>17.7</v>
      </c>
    </row>
    <row r="7850" spans="2:7" x14ac:dyDescent="0.35">
      <c r="B7850" s="1">
        <v>45985</v>
      </c>
      <c r="C7850" s="2">
        <v>0</v>
      </c>
      <c r="D7850">
        <v>-1.3</v>
      </c>
      <c r="E7850">
        <f>IF($D7850 &gt; 16, 0, $J$3*(16 - $D7850))</f>
        <v>3594.0515187220581</v>
      </c>
      <c r="F7850">
        <f>IF($D7850 &gt; 16, 0,$E7850*$J$5)</f>
        <v>39063745.956990048</v>
      </c>
      <c r="G7850">
        <f t="shared" si="122"/>
        <v>17.3</v>
      </c>
    </row>
    <row r="7851" spans="2:7" x14ac:dyDescent="0.35">
      <c r="B7851" s="1">
        <v>45985</v>
      </c>
      <c r="C7851" s="2">
        <v>4.1666666666666657E-2</v>
      </c>
      <c r="D7851">
        <v>-0.9</v>
      </c>
      <c r="E7851">
        <f>IF($D7851 &gt; 16, 0, $J$3*(16 - $D7851))</f>
        <v>3510.952061641779</v>
      </c>
      <c r="F7851">
        <f>IF($D7851 &gt; 16, 0,$E7851*$J$5)</f>
        <v>38160537.957984492</v>
      </c>
      <c r="G7851">
        <f t="shared" si="122"/>
        <v>16.899999999999999</v>
      </c>
    </row>
    <row r="7852" spans="2:7" x14ac:dyDescent="0.35">
      <c r="B7852" s="1">
        <v>45985</v>
      </c>
      <c r="C7852" s="2">
        <v>8.3333333333333329E-2</v>
      </c>
      <c r="D7852">
        <v>-0.5</v>
      </c>
      <c r="E7852">
        <f>IF($D7852 &gt; 16, 0, $J$3*(16 - $D7852))</f>
        <v>3427.8526045615004</v>
      </c>
      <c r="F7852">
        <f>IF($D7852 &gt; 16, 0,$E7852*$J$5)</f>
        <v>37257329.958978951</v>
      </c>
      <c r="G7852">
        <f t="shared" si="122"/>
        <v>16.5</v>
      </c>
    </row>
    <row r="7853" spans="2:7" x14ac:dyDescent="0.35">
      <c r="B7853" s="1">
        <v>45985</v>
      </c>
      <c r="C7853" s="2">
        <v>0.125</v>
      </c>
      <c r="D7853">
        <v>-0.4</v>
      </c>
      <c r="E7853">
        <f>IF($D7853 &gt; 16, 0, $J$3*(16 - $D7853))</f>
        <v>3407.0777402914305</v>
      </c>
      <c r="F7853">
        <f>IF($D7853 &gt; 16, 0,$E7853*$J$5)</f>
        <v>37031527.959227555</v>
      </c>
      <c r="G7853">
        <f t="shared" si="122"/>
        <v>16.399999999999999</v>
      </c>
    </row>
    <row r="7854" spans="2:7" x14ac:dyDescent="0.35">
      <c r="B7854" s="1">
        <v>45985</v>
      </c>
      <c r="C7854" s="2">
        <v>0.16666666666666671</v>
      </c>
      <c r="D7854">
        <v>0.1</v>
      </c>
      <c r="E7854">
        <f>IF($D7854 &gt; 16, 0, $J$3*(16 - $D7854))</f>
        <v>3303.2034189410824</v>
      </c>
      <c r="F7854">
        <f>IF($D7854 &gt; 16, 0,$E7854*$J$5)</f>
        <v>35902517.960470624</v>
      </c>
      <c r="G7854">
        <f t="shared" si="122"/>
        <v>15.9</v>
      </c>
    </row>
    <row r="7855" spans="2:7" x14ac:dyDescent="0.35">
      <c r="B7855" s="1">
        <v>45985</v>
      </c>
      <c r="C7855" s="2">
        <v>0.20833333333333329</v>
      </c>
      <c r="D7855">
        <v>1.1000000000000001</v>
      </c>
      <c r="E7855">
        <f>IF($D7855 &gt; 16, 0, $J$3*(16 - $D7855))</f>
        <v>3095.4547762403854</v>
      </c>
      <c r="F7855">
        <f>IF($D7855 &gt; 16, 0,$E7855*$J$5)</f>
        <v>33644497.962956749</v>
      </c>
      <c r="G7855">
        <f t="shared" si="122"/>
        <v>14.9</v>
      </c>
    </row>
    <row r="7856" spans="2:7" x14ac:dyDescent="0.35">
      <c r="B7856" s="1">
        <v>45985</v>
      </c>
      <c r="C7856" s="2">
        <v>0.25</v>
      </c>
      <c r="D7856">
        <v>2</v>
      </c>
      <c r="E7856">
        <f>IF($D7856 &gt; 16, 0, $J$3*(16 - $D7856))</f>
        <v>2908.4809978097578</v>
      </c>
      <c r="F7856">
        <f>IF($D7856 &gt; 16, 0,$E7856*$J$5)</f>
        <v>31612279.965194259</v>
      </c>
      <c r="G7856">
        <f t="shared" si="122"/>
        <v>14</v>
      </c>
    </row>
    <row r="7857" spans="2:7" x14ac:dyDescent="0.35">
      <c r="B7857" s="1">
        <v>45985</v>
      </c>
      <c r="C7857" s="2">
        <v>0.29166666666666669</v>
      </c>
      <c r="D7857">
        <v>2.9</v>
      </c>
      <c r="E7857">
        <f>IF($D7857 &gt; 16, 0, $J$3*(16 - $D7857))</f>
        <v>2721.5072193791307</v>
      </c>
      <c r="F7857">
        <f>IF($D7857 &gt; 16, 0,$E7857*$J$5)</f>
        <v>29580061.967431773</v>
      </c>
      <c r="G7857">
        <f t="shared" si="122"/>
        <v>13.1</v>
      </c>
    </row>
    <row r="7858" spans="2:7" x14ac:dyDescent="0.35">
      <c r="B7858" s="1">
        <v>45985</v>
      </c>
      <c r="C7858" s="2">
        <v>0.33333333333333331</v>
      </c>
      <c r="D7858">
        <v>3.2</v>
      </c>
      <c r="E7858">
        <f>IF($D7858 &gt; 16, 0, $J$3*(16 - $D7858))</f>
        <v>2659.1826265689215</v>
      </c>
      <c r="F7858">
        <f>IF($D7858 &gt; 16, 0,$E7858*$J$5)</f>
        <v>28902655.968177609</v>
      </c>
      <c r="G7858">
        <f t="shared" si="122"/>
        <v>12.8</v>
      </c>
    </row>
    <row r="7859" spans="2:7" x14ac:dyDescent="0.35">
      <c r="B7859" s="1">
        <v>45985</v>
      </c>
      <c r="C7859" s="2">
        <v>0.375</v>
      </c>
      <c r="D7859">
        <v>3.2</v>
      </c>
      <c r="E7859">
        <f>IF($D7859 &gt; 16, 0, $J$3*(16 - $D7859))</f>
        <v>2659.1826265689215</v>
      </c>
      <c r="F7859">
        <f>IF($D7859 &gt; 16, 0,$E7859*$J$5)</f>
        <v>28902655.968177609</v>
      </c>
      <c r="G7859">
        <f t="shared" si="122"/>
        <v>12.8</v>
      </c>
    </row>
    <row r="7860" spans="2:7" x14ac:dyDescent="0.35">
      <c r="B7860" s="1">
        <v>45985</v>
      </c>
      <c r="C7860" s="2">
        <v>0.41666666666666669</v>
      </c>
      <c r="D7860">
        <v>3.7</v>
      </c>
      <c r="E7860">
        <f>IF($D7860 &gt; 16, 0, $J$3*(16 - $D7860))</f>
        <v>2555.308305218573</v>
      </c>
      <c r="F7860">
        <f>IF($D7860 &gt; 16, 0,$E7860*$J$5)</f>
        <v>27773645.969420668</v>
      </c>
      <c r="G7860">
        <f t="shared" si="122"/>
        <v>12.3</v>
      </c>
    </row>
    <row r="7861" spans="2:7" x14ac:dyDescent="0.35">
      <c r="B7861" s="1">
        <v>45985</v>
      </c>
      <c r="C7861" s="2">
        <v>0.45833333333333331</v>
      </c>
      <c r="D7861">
        <v>4.4000000000000004</v>
      </c>
      <c r="E7861">
        <f>IF($D7861 &gt; 16, 0, $J$3*(16 - $D7861))</f>
        <v>2409.8842553280851</v>
      </c>
      <c r="F7861">
        <f>IF($D7861 &gt; 16, 0,$E7861*$J$5)</f>
        <v>26193031.971160956</v>
      </c>
      <c r="G7861">
        <f t="shared" si="122"/>
        <v>11.6</v>
      </c>
    </row>
    <row r="7862" spans="2:7" x14ac:dyDescent="0.35">
      <c r="B7862" s="1">
        <v>45985</v>
      </c>
      <c r="C7862" s="2">
        <v>0.5</v>
      </c>
      <c r="D7862">
        <v>5</v>
      </c>
      <c r="E7862">
        <f>IF($D7862 &gt; 16, 0, $J$3*(16 - $D7862))</f>
        <v>2285.2350697076668</v>
      </c>
      <c r="F7862">
        <f>IF($D7862 &gt; 16, 0,$E7862*$J$5)</f>
        <v>24838219.972652629</v>
      </c>
      <c r="G7862">
        <f t="shared" si="122"/>
        <v>11</v>
      </c>
    </row>
    <row r="7863" spans="2:7" x14ac:dyDescent="0.35">
      <c r="B7863" s="1">
        <v>45985</v>
      </c>
      <c r="C7863" s="2">
        <v>0.54166666666666663</v>
      </c>
      <c r="D7863">
        <v>5.3</v>
      </c>
      <c r="E7863">
        <f>IF($D7863 &gt; 16, 0, $J$3*(16 - $D7863))</f>
        <v>2222.9104768974576</v>
      </c>
      <c r="F7863">
        <f>IF($D7863 &gt; 16, 0,$E7863*$J$5)</f>
        <v>24160813.973398466</v>
      </c>
      <c r="G7863">
        <f t="shared" si="122"/>
        <v>10.7</v>
      </c>
    </row>
    <row r="7864" spans="2:7" x14ac:dyDescent="0.35">
      <c r="B7864" s="1">
        <v>45985</v>
      </c>
      <c r="C7864" s="2">
        <v>0.58333333333333337</v>
      </c>
      <c r="D7864">
        <v>4.8</v>
      </c>
      <c r="E7864">
        <f>IF($D7864 &gt; 16, 0, $J$3*(16 - $D7864))</f>
        <v>2326.7847982478061</v>
      </c>
      <c r="F7864">
        <f>IF($D7864 &gt; 16, 0,$E7864*$J$5)</f>
        <v>25289823.972155403</v>
      </c>
      <c r="G7864">
        <f t="shared" si="122"/>
        <v>11.2</v>
      </c>
    </row>
    <row r="7865" spans="2:7" x14ac:dyDescent="0.35">
      <c r="B7865" s="1">
        <v>45985</v>
      </c>
      <c r="C7865" s="2">
        <v>0.625</v>
      </c>
      <c r="D7865">
        <v>4.3</v>
      </c>
      <c r="E7865">
        <f>IF($D7865 &gt; 16, 0, $J$3*(16 - $D7865))</f>
        <v>2430.6591195981546</v>
      </c>
      <c r="F7865">
        <f>IF($D7865 &gt; 16, 0,$E7865*$J$5)</f>
        <v>26418833.970912341</v>
      </c>
      <c r="G7865">
        <f t="shared" si="122"/>
        <v>11.7</v>
      </c>
    </row>
    <row r="7866" spans="2:7" x14ac:dyDescent="0.35">
      <c r="B7866" s="1">
        <v>45985</v>
      </c>
      <c r="C7866" s="2">
        <v>0.66666666666666663</v>
      </c>
      <c r="D7866">
        <v>4.2</v>
      </c>
      <c r="E7866">
        <f>IF($D7866 &gt; 16, 0, $J$3*(16 - $D7866))</f>
        <v>2451.4339838682245</v>
      </c>
      <c r="F7866">
        <f>IF($D7866 &gt; 16, 0,$E7866*$J$5)</f>
        <v>26644635.97066373</v>
      </c>
      <c r="G7866">
        <f t="shared" si="122"/>
        <v>11.8</v>
      </c>
    </row>
    <row r="7867" spans="2:7" x14ac:dyDescent="0.35">
      <c r="B7867" s="1">
        <v>45985</v>
      </c>
      <c r="C7867" s="2">
        <v>0.70833333333333337</v>
      </c>
      <c r="D7867">
        <v>4.3</v>
      </c>
      <c r="E7867">
        <f>IF($D7867 &gt; 16, 0, $J$3*(16 - $D7867))</f>
        <v>2430.6591195981546</v>
      </c>
      <c r="F7867">
        <f>IF($D7867 &gt; 16, 0,$E7867*$J$5)</f>
        <v>26418833.970912341</v>
      </c>
      <c r="G7867">
        <f t="shared" si="122"/>
        <v>11.7</v>
      </c>
    </row>
    <row r="7868" spans="2:7" x14ac:dyDescent="0.35">
      <c r="B7868" s="1">
        <v>45985</v>
      </c>
      <c r="C7868" s="2">
        <v>0.75</v>
      </c>
      <c r="D7868">
        <v>4.2</v>
      </c>
      <c r="E7868">
        <f>IF($D7868 &gt; 16, 0, $J$3*(16 - $D7868))</f>
        <v>2451.4339838682245</v>
      </c>
      <c r="F7868">
        <f>IF($D7868 &gt; 16, 0,$E7868*$J$5)</f>
        <v>26644635.97066373</v>
      </c>
      <c r="G7868">
        <f t="shared" si="122"/>
        <v>11.8</v>
      </c>
    </row>
    <row r="7869" spans="2:7" x14ac:dyDescent="0.35">
      <c r="B7869" s="1">
        <v>45985</v>
      </c>
      <c r="C7869" s="2">
        <v>0.79166666666666663</v>
      </c>
      <c r="D7869">
        <v>4</v>
      </c>
      <c r="E7869">
        <f>IF($D7869 &gt; 16, 0, $J$3*(16 - $D7869))</f>
        <v>2492.9837124083638</v>
      </c>
      <c r="F7869">
        <f>IF($D7869 &gt; 16, 0,$E7869*$J$5)</f>
        <v>27096239.970166504</v>
      </c>
      <c r="G7869">
        <f t="shared" si="122"/>
        <v>12</v>
      </c>
    </row>
    <row r="7870" spans="2:7" x14ac:dyDescent="0.35">
      <c r="B7870" s="1">
        <v>45985</v>
      </c>
      <c r="C7870" s="2">
        <v>0.83333333333333337</v>
      </c>
      <c r="D7870">
        <v>4.0999999999999996</v>
      </c>
      <c r="E7870">
        <f>IF($D7870 &gt; 16, 0, $J$3*(16 - $D7870))</f>
        <v>2472.2088481382943</v>
      </c>
      <c r="F7870">
        <f>IF($D7870 &gt; 16, 0,$E7870*$J$5)</f>
        <v>26870437.970415123</v>
      </c>
      <c r="G7870">
        <f t="shared" si="122"/>
        <v>11.9</v>
      </c>
    </row>
    <row r="7871" spans="2:7" x14ac:dyDescent="0.35">
      <c r="B7871" s="1">
        <v>45985</v>
      </c>
      <c r="C7871" s="2">
        <v>0.875</v>
      </c>
      <c r="D7871">
        <v>3.8</v>
      </c>
      <c r="E7871">
        <f>IF($D7871 &gt; 16, 0, $J$3*(16 - $D7871))</f>
        <v>2534.5334409485031</v>
      </c>
      <c r="F7871">
        <f>IF($D7871 &gt; 16, 0,$E7871*$J$5)</f>
        <v>27547843.969669279</v>
      </c>
      <c r="G7871">
        <f t="shared" si="122"/>
        <v>12.2</v>
      </c>
    </row>
    <row r="7872" spans="2:7" x14ac:dyDescent="0.35">
      <c r="B7872" s="1">
        <v>45985</v>
      </c>
      <c r="C7872" s="2">
        <v>0.91666666666666663</v>
      </c>
      <c r="D7872">
        <v>3.5</v>
      </c>
      <c r="E7872">
        <f>IF($D7872 &gt; 16, 0, $J$3*(16 - $D7872))</f>
        <v>2596.8580337587123</v>
      </c>
      <c r="F7872">
        <f>IF($D7872 &gt; 16, 0,$E7872*$J$5)</f>
        <v>28225249.968923442</v>
      </c>
      <c r="G7872">
        <f t="shared" si="122"/>
        <v>12.5</v>
      </c>
    </row>
    <row r="7873" spans="2:7" x14ac:dyDescent="0.35">
      <c r="B7873" s="1">
        <v>45985</v>
      </c>
      <c r="C7873" s="2">
        <v>0.95833333333333337</v>
      </c>
      <c r="D7873">
        <v>2.5</v>
      </c>
      <c r="E7873">
        <f>IF($D7873 &gt; 16, 0, $J$3*(16 - $D7873))</f>
        <v>2804.6066764594093</v>
      </c>
      <c r="F7873">
        <f>IF($D7873 &gt; 16, 0,$E7873*$J$5)</f>
        <v>30483269.966437321</v>
      </c>
      <c r="G7873">
        <f t="shared" si="122"/>
        <v>13.5</v>
      </c>
    </row>
    <row r="7874" spans="2:7" x14ac:dyDescent="0.35">
      <c r="B7874" s="1">
        <v>45986</v>
      </c>
      <c r="C7874" s="2">
        <v>0</v>
      </c>
      <c r="D7874">
        <v>2.2000000000000002</v>
      </c>
      <c r="E7874">
        <f>IF($D7874 &gt; 16, 0, $J$3*(16 - $D7874))</f>
        <v>2866.9312692696185</v>
      </c>
      <c r="F7874">
        <f>IF($D7874 &gt; 16, 0,$E7874*$J$5)</f>
        <v>31160675.965691485</v>
      </c>
      <c r="G7874">
        <f t="shared" si="122"/>
        <v>13.8</v>
      </c>
    </row>
    <row r="7875" spans="2:7" x14ac:dyDescent="0.35">
      <c r="B7875" s="1">
        <v>45986</v>
      </c>
      <c r="C7875" s="2">
        <v>4.1666666666666657E-2</v>
      </c>
      <c r="D7875">
        <v>2.2999999999999998</v>
      </c>
      <c r="E7875">
        <f>IF($D7875 &gt; 16, 0, $J$3*(16 - $D7875))</f>
        <v>2846.1564049995486</v>
      </c>
      <c r="F7875">
        <f>IF($D7875 &gt; 16, 0,$E7875*$J$5)</f>
        <v>30934873.965940095</v>
      </c>
      <c r="G7875">
        <f t="shared" ref="G7875:G7938" si="123">MAX(0, 16 - $D7875)</f>
        <v>13.7</v>
      </c>
    </row>
    <row r="7876" spans="2:7" x14ac:dyDescent="0.35">
      <c r="B7876" s="1">
        <v>45986</v>
      </c>
      <c r="C7876" s="2">
        <v>8.3333333333333329E-2</v>
      </c>
      <c r="D7876">
        <v>2.6</v>
      </c>
      <c r="E7876">
        <f>IF($D7876 &gt; 16, 0, $J$3*(16 - $D7876))</f>
        <v>2783.8318121893399</v>
      </c>
      <c r="F7876">
        <f>IF($D7876 &gt; 16, 0,$E7876*$J$5)</f>
        <v>30257467.966685936</v>
      </c>
      <c r="G7876">
        <f t="shared" si="123"/>
        <v>13.4</v>
      </c>
    </row>
    <row r="7877" spans="2:7" x14ac:dyDescent="0.35">
      <c r="B7877" s="1">
        <v>45986</v>
      </c>
      <c r="C7877" s="2">
        <v>0.125</v>
      </c>
      <c r="D7877">
        <v>2.7</v>
      </c>
      <c r="E7877">
        <f>IF($D7877 &gt; 16, 0, $J$3*(16 - $D7877))</f>
        <v>2763.05694791927</v>
      </c>
      <c r="F7877">
        <f>IF($D7877 &gt; 16, 0,$E7877*$J$5)</f>
        <v>30031665.966934547</v>
      </c>
      <c r="G7877">
        <f t="shared" si="123"/>
        <v>13.3</v>
      </c>
    </row>
    <row r="7878" spans="2:7" x14ac:dyDescent="0.35">
      <c r="B7878" s="1">
        <v>45986</v>
      </c>
      <c r="C7878" s="2">
        <v>0.16666666666666671</v>
      </c>
      <c r="D7878">
        <v>2.7</v>
      </c>
      <c r="E7878">
        <f>IF($D7878 &gt; 16, 0, $J$3*(16 - $D7878))</f>
        <v>2763.05694791927</v>
      </c>
      <c r="F7878">
        <f>IF($D7878 &gt; 16, 0,$E7878*$J$5)</f>
        <v>30031665.966934547</v>
      </c>
      <c r="G7878">
        <f t="shared" si="123"/>
        <v>13.3</v>
      </c>
    </row>
    <row r="7879" spans="2:7" x14ac:dyDescent="0.35">
      <c r="B7879" s="1">
        <v>45986</v>
      </c>
      <c r="C7879" s="2">
        <v>0.20833333333333329</v>
      </c>
      <c r="D7879">
        <v>2.6</v>
      </c>
      <c r="E7879">
        <f>IF($D7879 &gt; 16, 0, $J$3*(16 - $D7879))</f>
        <v>2783.8318121893399</v>
      </c>
      <c r="F7879">
        <f>IF($D7879 &gt; 16, 0,$E7879*$J$5)</f>
        <v>30257467.966685936</v>
      </c>
      <c r="G7879">
        <f t="shared" si="123"/>
        <v>13.4</v>
      </c>
    </row>
    <row r="7880" spans="2:7" x14ac:dyDescent="0.35">
      <c r="B7880" s="1">
        <v>45986</v>
      </c>
      <c r="C7880" s="2">
        <v>0.25</v>
      </c>
      <c r="D7880">
        <v>2.7</v>
      </c>
      <c r="E7880">
        <f>IF($D7880 &gt; 16, 0, $J$3*(16 - $D7880))</f>
        <v>2763.05694791927</v>
      </c>
      <c r="F7880">
        <f>IF($D7880 &gt; 16, 0,$E7880*$J$5)</f>
        <v>30031665.966934547</v>
      </c>
      <c r="G7880">
        <f t="shared" si="123"/>
        <v>13.3</v>
      </c>
    </row>
    <row r="7881" spans="2:7" x14ac:dyDescent="0.35">
      <c r="B7881" s="1">
        <v>45986</v>
      </c>
      <c r="C7881" s="2">
        <v>0.29166666666666669</v>
      </c>
      <c r="D7881">
        <v>2.1</v>
      </c>
      <c r="E7881">
        <f>IF($D7881 &gt; 16, 0, $J$3*(16 - $D7881))</f>
        <v>2887.7061335396884</v>
      </c>
      <c r="F7881">
        <f>IF($D7881 &gt; 16, 0,$E7881*$J$5)</f>
        <v>31386477.965442874</v>
      </c>
      <c r="G7881">
        <f t="shared" si="123"/>
        <v>13.9</v>
      </c>
    </row>
    <row r="7882" spans="2:7" x14ac:dyDescent="0.35">
      <c r="B7882" s="1">
        <v>45986</v>
      </c>
      <c r="C7882" s="2">
        <v>0.33333333333333331</v>
      </c>
      <c r="D7882">
        <v>1.9</v>
      </c>
      <c r="E7882">
        <f>IF($D7882 &gt; 16, 0, $J$3*(16 - $D7882))</f>
        <v>2929.2558620798277</v>
      </c>
      <c r="F7882">
        <f>IF($D7882 &gt; 16, 0,$E7882*$J$5)</f>
        <v>31838081.964945648</v>
      </c>
      <c r="G7882">
        <f t="shared" si="123"/>
        <v>14.1</v>
      </c>
    </row>
    <row r="7883" spans="2:7" x14ac:dyDescent="0.35">
      <c r="B7883" s="1">
        <v>45986</v>
      </c>
      <c r="C7883" s="2">
        <v>0.375</v>
      </c>
      <c r="D7883">
        <v>2.4</v>
      </c>
      <c r="E7883">
        <f>IF($D7883 &gt; 16, 0, $J$3*(16 - $D7883))</f>
        <v>2825.3815407294792</v>
      </c>
      <c r="F7883">
        <f>IF($D7883 &gt; 16, 0,$E7883*$J$5)</f>
        <v>30709071.96618871</v>
      </c>
      <c r="G7883">
        <f t="shared" si="123"/>
        <v>13.6</v>
      </c>
    </row>
    <row r="7884" spans="2:7" x14ac:dyDescent="0.35">
      <c r="B7884" s="1">
        <v>45986</v>
      </c>
      <c r="C7884" s="2">
        <v>0.41666666666666669</v>
      </c>
      <c r="D7884">
        <v>3.3</v>
      </c>
      <c r="E7884">
        <f>IF($D7884 &gt; 16, 0, $J$3*(16 - $D7884))</f>
        <v>2638.4077622988516</v>
      </c>
      <c r="F7884">
        <f>IF($D7884 &gt; 16, 0,$E7884*$J$5)</f>
        <v>28676853.968426216</v>
      </c>
      <c r="G7884">
        <f t="shared" si="123"/>
        <v>12.7</v>
      </c>
    </row>
    <row r="7885" spans="2:7" x14ac:dyDescent="0.35">
      <c r="B7885" s="1">
        <v>45986</v>
      </c>
      <c r="C7885" s="2">
        <v>0.45833333333333331</v>
      </c>
      <c r="D7885">
        <v>4.0999999999999996</v>
      </c>
      <c r="E7885">
        <f>IF($D7885 &gt; 16, 0, $J$3*(16 - $D7885))</f>
        <v>2472.2088481382943</v>
      </c>
      <c r="F7885">
        <f>IF($D7885 &gt; 16, 0,$E7885*$J$5)</f>
        <v>26870437.970415123</v>
      </c>
      <c r="G7885">
        <f t="shared" si="123"/>
        <v>11.9</v>
      </c>
    </row>
    <row r="7886" spans="2:7" x14ac:dyDescent="0.35">
      <c r="B7886" s="1">
        <v>45986</v>
      </c>
      <c r="C7886" s="2">
        <v>0.5</v>
      </c>
      <c r="D7886">
        <v>4.2</v>
      </c>
      <c r="E7886">
        <f>IF($D7886 &gt; 16, 0, $J$3*(16 - $D7886))</f>
        <v>2451.4339838682245</v>
      </c>
      <c r="F7886">
        <f>IF($D7886 &gt; 16, 0,$E7886*$J$5)</f>
        <v>26644635.97066373</v>
      </c>
      <c r="G7886">
        <f t="shared" si="123"/>
        <v>11.8</v>
      </c>
    </row>
    <row r="7887" spans="2:7" x14ac:dyDescent="0.35">
      <c r="B7887" s="1">
        <v>45986</v>
      </c>
      <c r="C7887" s="2">
        <v>0.54166666666666663</v>
      </c>
      <c r="D7887">
        <v>4.7</v>
      </c>
      <c r="E7887">
        <f>IF($D7887 &gt; 16, 0, $J$3*(16 - $D7887))</f>
        <v>2347.5596625178759</v>
      </c>
      <c r="F7887">
        <f>IF($D7887 &gt; 16, 0,$E7887*$J$5)</f>
        <v>25515625.971906792</v>
      </c>
      <c r="G7887">
        <f t="shared" si="123"/>
        <v>11.3</v>
      </c>
    </row>
    <row r="7888" spans="2:7" x14ac:dyDescent="0.35">
      <c r="B7888" s="1">
        <v>45986</v>
      </c>
      <c r="C7888" s="2">
        <v>0.58333333333333337</v>
      </c>
      <c r="D7888">
        <v>4.0999999999999996</v>
      </c>
      <c r="E7888">
        <f>IF($D7888 &gt; 16, 0, $J$3*(16 - $D7888))</f>
        <v>2472.2088481382943</v>
      </c>
      <c r="F7888">
        <f>IF($D7888 &gt; 16, 0,$E7888*$J$5)</f>
        <v>26870437.970415123</v>
      </c>
      <c r="G7888">
        <f t="shared" si="123"/>
        <v>11.9</v>
      </c>
    </row>
    <row r="7889" spans="2:7" x14ac:dyDescent="0.35">
      <c r="B7889" s="1">
        <v>45986</v>
      </c>
      <c r="C7889" s="2">
        <v>0.625</v>
      </c>
      <c r="D7889">
        <v>3.7</v>
      </c>
      <c r="E7889">
        <f>IF($D7889 &gt; 16, 0, $J$3*(16 - $D7889))</f>
        <v>2555.308305218573</v>
      </c>
      <c r="F7889">
        <f>IF($D7889 &gt; 16, 0,$E7889*$J$5)</f>
        <v>27773645.969420668</v>
      </c>
      <c r="G7889">
        <f t="shared" si="123"/>
        <v>12.3</v>
      </c>
    </row>
    <row r="7890" spans="2:7" x14ac:dyDescent="0.35">
      <c r="B7890" s="1">
        <v>45986</v>
      </c>
      <c r="C7890" s="2">
        <v>0.66666666666666663</v>
      </c>
      <c r="D7890">
        <v>3.6</v>
      </c>
      <c r="E7890">
        <f>IF($D7890 &gt; 16, 0, $J$3*(16 - $D7890))</f>
        <v>2576.0831694886429</v>
      </c>
      <c r="F7890">
        <f>IF($D7890 &gt; 16, 0,$E7890*$J$5)</f>
        <v>27999447.96917206</v>
      </c>
      <c r="G7890">
        <f t="shared" si="123"/>
        <v>12.4</v>
      </c>
    </row>
    <row r="7891" spans="2:7" x14ac:dyDescent="0.35">
      <c r="B7891" s="1">
        <v>45986</v>
      </c>
      <c r="C7891" s="2">
        <v>0.70833333333333337</v>
      </c>
      <c r="D7891">
        <v>3.9</v>
      </c>
      <c r="E7891">
        <f>IF($D7891 &gt; 16, 0, $J$3*(16 - $D7891))</f>
        <v>2513.7585766784337</v>
      </c>
      <c r="F7891">
        <f>IF($D7891 &gt; 16, 0,$E7891*$J$5)</f>
        <v>27322041.969917897</v>
      </c>
      <c r="G7891">
        <f t="shared" si="123"/>
        <v>12.1</v>
      </c>
    </row>
    <row r="7892" spans="2:7" x14ac:dyDescent="0.35">
      <c r="B7892" s="1">
        <v>45986</v>
      </c>
      <c r="C7892" s="2">
        <v>0.75</v>
      </c>
      <c r="D7892">
        <v>3.6</v>
      </c>
      <c r="E7892">
        <f>IF($D7892 &gt; 16, 0, $J$3*(16 - $D7892))</f>
        <v>2576.0831694886429</v>
      </c>
      <c r="F7892">
        <f>IF($D7892 &gt; 16, 0,$E7892*$J$5)</f>
        <v>27999447.96917206</v>
      </c>
      <c r="G7892">
        <f t="shared" si="123"/>
        <v>12.4</v>
      </c>
    </row>
    <row r="7893" spans="2:7" x14ac:dyDescent="0.35">
      <c r="B7893" s="1">
        <v>45986</v>
      </c>
      <c r="C7893" s="2">
        <v>0.79166666666666663</v>
      </c>
      <c r="D7893">
        <v>3.3</v>
      </c>
      <c r="E7893">
        <f>IF($D7893 &gt; 16, 0, $J$3*(16 - $D7893))</f>
        <v>2638.4077622988516</v>
      </c>
      <c r="F7893">
        <f>IF($D7893 &gt; 16, 0,$E7893*$J$5)</f>
        <v>28676853.968426216</v>
      </c>
      <c r="G7893">
        <f t="shared" si="123"/>
        <v>12.7</v>
      </c>
    </row>
    <row r="7894" spans="2:7" x14ac:dyDescent="0.35">
      <c r="B7894" s="1">
        <v>45986</v>
      </c>
      <c r="C7894" s="2">
        <v>0.83333333333333337</v>
      </c>
      <c r="D7894">
        <v>2.8</v>
      </c>
      <c r="E7894">
        <f>IF($D7894 &gt; 16, 0, $J$3*(16 - $D7894))</f>
        <v>2742.2820836492001</v>
      </c>
      <c r="F7894">
        <f>IF($D7894 &gt; 16, 0,$E7894*$J$5)</f>
        <v>29805863.967183154</v>
      </c>
      <c r="G7894">
        <f t="shared" si="123"/>
        <v>13.2</v>
      </c>
    </row>
    <row r="7895" spans="2:7" x14ac:dyDescent="0.35">
      <c r="B7895" s="1">
        <v>45986</v>
      </c>
      <c r="C7895" s="2">
        <v>0.875</v>
      </c>
      <c r="D7895">
        <v>2.8</v>
      </c>
      <c r="E7895">
        <f>IF($D7895 &gt; 16, 0, $J$3*(16 - $D7895))</f>
        <v>2742.2820836492001</v>
      </c>
      <c r="F7895">
        <f>IF($D7895 &gt; 16, 0,$E7895*$J$5)</f>
        <v>29805863.967183154</v>
      </c>
      <c r="G7895">
        <f t="shared" si="123"/>
        <v>13.2</v>
      </c>
    </row>
    <row r="7896" spans="2:7" x14ac:dyDescent="0.35">
      <c r="B7896" s="1">
        <v>45986</v>
      </c>
      <c r="C7896" s="2">
        <v>0.91666666666666663</v>
      </c>
      <c r="D7896">
        <v>3</v>
      </c>
      <c r="E7896">
        <f>IF($D7896 &gt; 16, 0, $J$3*(16 - $D7896))</f>
        <v>2700.7323551090608</v>
      </c>
      <c r="F7896">
        <f>IF($D7896 &gt; 16, 0,$E7896*$J$5)</f>
        <v>29354259.967680383</v>
      </c>
      <c r="G7896">
        <f t="shared" si="123"/>
        <v>13</v>
      </c>
    </row>
    <row r="7897" spans="2:7" x14ac:dyDescent="0.35">
      <c r="B7897" s="1">
        <v>45986</v>
      </c>
      <c r="C7897" s="2">
        <v>0.95833333333333337</v>
      </c>
      <c r="D7897">
        <v>2.8</v>
      </c>
      <c r="E7897">
        <f>IF($D7897 &gt; 16, 0, $J$3*(16 - $D7897))</f>
        <v>2742.2820836492001</v>
      </c>
      <c r="F7897">
        <f>IF($D7897 &gt; 16, 0,$E7897*$J$5)</f>
        <v>29805863.967183154</v>
      </c>
      <c r="G7897">
        <f t="shared" si="123"/>
        <v>13.2</v>
      </c>
    </row>
    <row r="7898" spans="2:7" x14ac:dyDescent="0.35">
      <c r="B7898" s="1">
        <v>45987</v>
      </c>
      <c r="C7898" s="2">
        <v>0</v>
      </c>
      <c r="D7898">
        <v>2.5</v>
      </c>
      <c r="E7898">
        <f>IF($D7898 &gt; 16, 0, $J$3*(16 - $D7898))</f>
        <v>2804.6066764594093</v>
      </c>
      <c r="F7898">
        <f>IF($D7898 &gt; 16, 0,$E7898*$J$5)</f>
        <v>30483269.966437321</v>
      </c>
      <c r="G7898">
        <f t="shared" si="123"/>
        <v>13.5</v>
      </c>
    </row>
    <row r="7899" spans="2:7" x14ac:dyDescent="0.35">
      <c r="B7899" s="1">
        <v>45987</v>
      </c>
      <c r="C7899" s="2">
        <v>4.1666666666666657E-2</v>
      </c>
      <c r="D7899">
        <v>2.1</v>
      </c>
      <c r="E7899">
        <f>IF($D7899 &gt; 16, 0, $J$3*(16 - $D7899))</f>
        <v>2887.7061335396884</v>
      </c>
      <c r="F7899">
        <f>IF($D7899 &gt; 16, 0,$E7899*$J$5)</f>
        <v>31386477.965442874</v>
      </c>
      <c r="G7899">
        <f t="shared" si="123"/>
        <v>13.9</v>
      </c>
    </row>
    <row r="7900" spans="2:7" x14ac:dyDescent="0.35">
      <c r="B7900" s="1">
        <v>45987</v>
      </c>
      <c r="C7900" s="2">
        <v>8.3333333333333329E-2</v>
      </c>
      <c r="D7900">
        <v>2.1</v>
      </c>
      <c r="E7900">
        <f>IF($D7900 &gt; 16, 0, $J$3*(16 - $D7900))</f>
        <v>2887.7061335396884</v>
      </c>
      <c r="F7900">
        <f>IF($D7900 &gt; 16, 0,$E7900*$J$5)</f>
        <v>31386477.965442874</v>
      </c>
      <c r="G7900">
        <f t="shared" si="123"/>
        <v>13.9</v>
      </c>
    </row>
    <row r="7901" spans="2:7" x14ac:dyDescent="0.35">
      <c r="B7901" s="1">
        <v>45987</v>
      </c>
      <c r="C7901" s="2">
        <v>0.125</v>
      </c>
      <c r="D7901">
        <v>1.4</v>
      </c>
      <c r="E7901">
        <f>IF($D7901 &gt; 16, 0, $J$3*(16 - $D7901))</f>
        <v>3033.1301834301762</v>
      </c>
      <c r="F7901">
        <f>IF($D7901 &gt; 16, 0,$E7901*$J$5)</f>
        <v>32967091.963702586</v>
      </c>
      <c r="G7901">
        <f t="shared" si="123"/>
        <v>14.6</v>
      </c>
    </row>
    <row r="7902" spans="2:7" x14ac:dyDescent="0.35">
      <c r="B7902" s="1">
        <v>45987</v>
      </c>
      <c r="C7902" s="2">
        <v>0.16666666666666671</v>
      </c>
      <c r="D7902">
        <v>1</v>
      </c>
      <c r="E7902">
        <f>IF($D7902 &gt; 16, 0, $J$3*(16 - $D7902))</f>
        <v>3116.2296405104548</v>
      </c>
      <c r="F7902">
        <f>IF($D7902 &gt; 16, 0,$E7902*$J$5)</f>
        <v>33870299.96270813</v>
      </c>
      <c r="G7902">
        <f t="shared" si="123"/>
        <v>15</v>
      </c>
    </row>
    <row r="7903" spans="2:7" x14ac:dyDescent="0.35">
      <c r="B7903" s="1">
        <v>45987</v>
      </c>
      <c r="C7903" s="2">
        <v>0.20833333333333329</v>
      </c>
      <c r="D7903">
        <v>0.5</v>
      </c>
      <c r="E7903">
        <f>IF($D7903 &gt; 16, 0, $J$3*(16 - $D7903))</f>
        <v>3220.1039618608033</v>
      </c>
      <c r="F7903">
        <f>IF($D7903 &gt; 16, 0,$E7903*$J$5)</f>
        <v>34999309.961465068</v>
      </c>
      <c r="G7903">
        <f t="shared" si="123"/>
        <v>15.5</v>
      </c>
    </row>
    <row r="7904" spans="2:7" x14ac:dyDescent="0.35">
      <c r="B7904" s="1">
        <v>45987</v>
      </c>
      <c r="C7904" s="2">
        <v>0.25</v>
      </c>
      <c r="D7904">
        <v>0.1</v>
      </c>
      <c r="E7904">
        <f>IF($D7904 &gt; 16, 0, $J$3*(16 - $D7904))</f>
        <v>3303.2034189410824</v>
      </c>
      <c r="F7904">
        <f>IF($D7904 &gt; 16, 0,$E7904*$J$5)</f>
        <v>35902517.960470624</v>
      </c>
      <c r="G7904">
        <f t="shared" si="123"/>
        <v>15.9</v>
      </c>
    </row>
    <row r="7905" spans="2:7" x14ac:dyDescent="0.35">
      <c r="B7905" s="1">
        <v>45987</v>
      </c>
      <c r="C7905" s="2">
        <v>0.29166666666666669</v>
      </c>
      <c r="D7905">
        <v>0.3</v>
      </c>
      <c r="E7905">
        <f>IF($D7905 &gt; 16, 0, $J$3*(16 - $D7905))</f>
        <v>3261.6536904009427</v>
      </c>
      <c r="F7905">
        <f>IF($D7905 &gt; 16, 0,$E7905*$J$5)</f>
        <v>35450913.960967846</v>
      </c>
      <c r="G7905">
        <f t="shared" si="123"/>
        <v>15.7</v>
      </c>
    </row>
    <row r="7906" spans="2:7" x14ac:dyDescent="0.35">
      <c r="B7906" s="1">
        <v>45987</v>
      </c>
      <c r="C7906" s="2">
        <v>0.33333333333333331</v>
      </c>
      <c r="D7906">
        <v>1.1000000000000001</v>
      </c>
      <c r="E7906">
        <f>IF($D7906 &gt; 16, 0, $J$3*(16 - $D7906))</f>
        <v>3095.4547762403854</v>
      </c>
      <c r="F7906">
        <f>IF($D7906 &gt; 16, 0,$E7906*$J$5)</f>
        <v>33644497.962956749</v>
      </c>
      <c r="G7906">
        <f t="shared" si="123"/>
        <v>14.9</v>
      </c>
    </row>
    <row r="7907" spans="2:7" x14ac:dyDescent="0.35">
      <c r="B7907" s="1">
        <v>45987</v>
      </c>
      <c r="C7907" s="2">
        <v>0.375</v>
      </c>
      <c r="D7907">
        <v>1.9</v>
      </c>
      <c r="E7907">
        <f>IF($D7907 &gt; 16, 0, $J$3*(16 - $D7907))</f>
        <v>2929.2558620798277</v>
      </c>
      <c r="F7907">
        <f>IF($D7907 &gt; 16, 0,$E7907*$J$5)</f>
        <v>31838081.964945648</v>
      </c>
      <c r="G7907">
        <f t="shared" si="123"/>
        <v>14.1</v>
      </c>
    </row>
    <row r="7908" spans="2:7" x14ac:dyDescent="0.35">
      <c r="B7908" s="1">
        <v>45987</v>
      </c>
      <c r="C7908" s="2">
        <v>0.41666666666666669</v>
      </c>
      <c r="D7908">
        <v>3.1</v>
      </c>
      <c r="E7908">
        <f>IF($D7908 &gt; 16, 0, $J$3*(16 - $D7908))</f>
        <v>2679.9574908389914</v>
      </c>
      <c r="F7908">
        <f>IF($D7908 &gt; 16, 0,$E7908*$J$5)</f>
        <v>29128457.967928998</v>
      </c>
      <c r="G7908">
        <f t="shared" si="123"/>
        <v>12.9</v>
      </c>
    </row>
    <row r="7909" spans="2:7" x14ac:dyDescent="0.35">
      <c r="B7909" s="1">
        <v>45987</v>
      </c>
      <c r="C7909" s="2">
        <v>0.45833333333333331</v>
      </c>
      <c r="D7909">
        <v>3.9</v>
      </c>
      <c r="E7909">
        <f>IF($D7909 &gt; 16, 0, $J$3*(16 - $D7909))</f>
        <v>2513.7585766784337</v>
      </c>
      <c r="F7909">
        <f>IF($D7909 &gt; 16, 0,$E7909*$J$5)</f>
        <v>27322041.969917897</v>
      </c>
      <c r="G7909">
        <f t="shared" si="123"/>
        <v>12.1</v>
      </c>
    </row>
    <row r="7910" spans="2:7" x14ac:dyDescent="0.35">
      <c r="B7910" s="1">
        <v>45987</v>
      </c>
      <c r="C7910" s="2">
        <v>0.5</v>
      </c>
      <c r="D7910">
        <v>4.4000000000000004</v>
      </c>
      <c r="E7910">
        <f>IF($D7910 &gt; 16, 0, $J$3*(16 - $D7910))</f>
        <v>2409.8842553280851</v>
      </c>
      <c r="F7910">
        <f>IF($D7910 &gt; 16, 0,$E7910*$J$5)</f>
        <v>26193031.971160956</v>
      </c>
      <c r="G7910">
        <f t="shared" si="123"/>
        <v>11.6</v>
      </c>
    </row>
    <row r="7911" spans="2:7" x14ac:dyDescent="0.35">
      <c r="B7911" s="1">
        <v>45987</v>
      </c>
      <c r="C7911" s="2">
        <v>0.54166666666666663</v>
      </c>
      <c r="D7911">
        <v>4.9000000000000004</v>
      </c>
      <c r="E7911">
        <f>IF($D7911 &gt; 16, 0, $J$3*(16 - $D7911))</f>
        <v>2306.0099339777366</v>
      </c>
      <c r="F7911">
        <f>IF($D7911 &gt; 16, 0,$E7911*$J$5)</f>
        <v>25064021.972404018</v>
      </c>
      <c r="G7911">
        <f t="shared" si="123"/>
        <v>11.1</v>
      </c>
    </row>
    <row r="7912" spans="2:7" x14ac:dyDescent="0.35">
      <c r="B7912" s="1">
        <v>45987</v>
      </c>
      <c r="C7912" s="2">
        <v>0.58333333333333337</v>
      </c>
      <c r="D7912">
        <v>4.7</v>
      </c>
      <c r="E7912">
        <f>IF($D7912 &gt; 16, 0, $J$3*(16 - $D7912))</f>
        <v>2347.5596625178759</v>
      </c>
      <c r="F7912">
        <f>IF($D7912 &gt; 16, 0,$E7912*$J$5)</f>
        <v>25515625.971906792</v>
      </c>
      <c r="G7912">
        <f t="shared" si="123"/>
        <v>11.3</v>
      </c>
    </row>
    <row r="7913" spans="2:7" x14ac:dyDescent="0.35">
      <c r="B7913" s="1">
        <v>45987</v>
      </c>
      <c r="C7913" s="2">
        <v>0.625</v>
      </c>
      <c r="D7913">
        <v>4.5999999999999996</v>
      </c>
      <c r="E7913">
        <f>IF($D7913 &gt; 16, 0, $J$3*(16 - $D7913))</f>
        <v>2368.3345267879458</v>
      </c>
      <c r="F7913">
        <f>IF($D7913 &gt; 16, 0,$E7913*$J$5)</f>
        <v>25741427.971658185</v>
      </c>
      <c r="G7913">
        <f t="shared" si="123"/>
        <v>11.4</v>
      </c>
    </row>
    <row r="7914" spans="2:7" x14ac:dyDescent="0.35">
      <c r="B7914" s="1">
        <v>45987</v>
      </c>
      <c r="C7914" s="2">
        <v>0.66666666666666663</v>
      </c>
      <c r="D7914">
        <v>3.8</v>
      </c>
      <c r="E7914">
        <f>IF($D7914 &gt; 16, 0, $J$3*(16 - $D7914))</f>
        <v>2534.5334409485031</v>
      </c>
      <c r="F7914">
        <f>IF($D7914 &gt; 16, 0,$E7914*$J$5)</f>
        <v>27547843.969669279</v>
      </c>
      <c r="G7914">
        <f t="shared" si="123"/>
        <v>12.2</v>
      </c>
    </row>
    <row r="7915" spans="2:7" x14ac:dyDescent="0.35">
      <c r="B7915" s="1">
        <v>45987</v>
      </c>
      <c r="C7915" s="2">
        <v>0.70833333333333337</v>
      </c>
      <c r="D7915">
        <v>1.4</v>
      </c>
      <c r="E7915">
        <f>IF($D7915 &gt; 16, 0, $J$3*(16 - $D7915))</f>
        <v>3033.1301834301762</v>
      </c>
      <c r="F7915">
        <f>IF($D7915 &gt; 16, 0,$E7915*$J$5)</f>
        <v>32967091.963702586</v>
      </c>
      <c r="G7915">
        <f t="shared" si="123"/>
        <v>14.6</v>
      </c>
    </row>
    <row r="7916" spans="2:7" x14ac:dyDescent="0.35">
      <c r="B7916" s="1">
        <v>45987</v>
      </c>
      <c r="C7916" s="2">
        <v>0.75</v>
      </c>
      <c r="D7916">
        <v>0.8</v>
      </c>
      <c r="E7916">
        <f>IF($D7916 &gt; 16, 0, $J$3*(16 - $D7916))</f>
        <v>3157.7793690505941</v>
      </c>
      <c r="F7916">
        <f>IF($D7916 &gt; 16, 0,$E7916*$J$5)</f>
        <v>34321903.962210909</v>
      </c>
      <c r="G7916">
        <f t="shared" si="123"/>
        <v>15.2</v>
      </c>
    </row>
    <row r="7917" spans="2:7" x14ac:dyDescent="0.35">
      <c r="B7917" s="1">
        <v>45987</v>
      </c>
      <c r="C7917" s="2">
        <v>0.79166666666666663</v>
      </c>
      <c r="D7917">
        <v>1.4</v>
      </c>
      <c r="E7917">
        <f>IF($D7917 &gt; 16, 0, $J$3*(16 - $D7917))</f>
        <v>3033.1301834301762</v>
      </c>
      <c r="F7917">
        <f>IF($D7917 &gt; 16, 0,$E7917*$J$5)</f>
        <v>32967091.963702586</v>
      </c>
      <c r="G7917">
        <f t="shared" si="123"/>
        <v>14.6</v>
      </c>
    </row>
    <row r="7918" spans="2:7" x14ac:dyDescent="0.35">
      <c r="B7918" s="1">
        <v>45987</v>
      </c>
      <c r="C7918" s="2">
        <v>0.83333333333333337</v>
      </c>
      <c r="D7918">
        <v>1.8</v>
      </c>
      <c r="E7918">
        <f>IF($D7918 &gt; 16, 0, $J$3*(16 - $D7918))</f>
        <v>2950.0307263498971</v>
      </c>
      <c r="F7918">
        <f>IF($D7918 &gt; 16, 0,$E7918*$J$5)</f>
        <v>32063883.964697033</v>
      </c>
      <c r="G7918">
        <f t="shared" si="123"/>
        <v>14.2</v>
      </c>
    </row>
    <row r="7919" spans="2:7" x14ac:dyDescent="0.35">
      <c r="B7919" s="1">
        <v>45987</v>
      </c>
      <c r="C7919" s="2">
        <v>0.875</v>
      </c>
      <c r="D7919">
        <v>-0.4</v>
      </c>
      <c r="E7919">
        <f>IF($D7919 &gt; 16, 0, $J$3*(16 - $D7919))</f>
        <v>3407.0777402914305</v>
      </c>
      <c r="F7919">
        <f>IF($D7919 &gt; 16, 0,$E7919*$J$5)</f>
        <v>37031527.959227555</v>
      </c>
      <c r="G7919">
        <f t="shared" si="123"/>
        <v>16.399999999999999</v>
      </c>
    </row>
    <row r="7920" spans="2:7" x14ac:dyDescent="0.35">
      <c r="B7920" s="1">
        <v>45987</v>
      </c>
      <c r="C7920" s="2">
        <v>0.91666666666666663</v>
      </c>
      <c r="D7920">
        <v>-1</v>
      </c>
      <c r="E7920">
        <f>IF($D7920 &gt; 16, 0, $J$3*(16 - $D7920))</f>
        <v>3531.7269259118489</v>
      </c>
      <c r="F7920">
        <f>IF($D7920 &gt; 16, 0,$E7920*$J$5)</f>
        <v>38386339.957735889</v>
      </c>
      <c r="G7920">
        <f t="shared" si="123"/>
        <v>17</v>
      </c>
    </row>
    <row r="7921" spans="2:7" x14ac:dyDescent="0.35">
      <c r="B7921" s="1">
        <v>45987</v>
      </c>
      <c r="C7921" s="2">
        <v>0.95833333333333337</v>
      </c>
      <c r="D7921">
        <v>0.3</v>
      </c>
      <c r="E7921">
        <f>IF($D7921 &gt; 16, 0, $J$3*(16 - $D7921))</f>
        <v>3261.6536904009427</v>
      </c>
      <c r="F7921">
        <f>IF($D7921 &gt; 16, 0,$E7921*$J$5)</f>
        <v>35450913.960967846</v>
      </c>
      <c r="G7921">
        <f t="shared" si="123"/>
        <v>15.7</v>
      </c>
    </row>
    <row r="7922" spans="2:7" x14ac:dyDescent="0.35">
      <c r="B7922" s="1">
        <v>45988</v>
      </c>
      <c r="C7922" s="2">
        <v>0</v>
      </c>
      <c r="D7922">
        <v>0.1</v>
      </c>
      <c r="E7922">
        <f>IF($D7922 &gt; 16, 0, $J$3*(16 - $D7922))</f>
        <v>3303.2034189410824</v>
      </c>
      <c r="F7922">
        <f>IF($D7922 &gt; 16, 0,$E7922*$J$5)</f>
        <v>35902517.960470624</v>
      </c>
      <c r="G7922">
        <f t="shared" si="123"/>
        <v>15.9</v>
      </c>
    </row>
    <row r="7923" spans="2:7" x14ac:dyDescent="0.35">
      <c r="B7923" s="1">
        <v>45988</v>
      </c>
      <c r="C7923" s="2">
        <v>4.1666666666666657E-2</v>
      </c>
      <c r="D7923">
        <v>0.2</v>
      </c>
      <c r="E7923">
        <f>IF($D7923 &gt; 16, 0, $J$3*(16 - $D7923))</f>
        <v>3282.4285546710125</v>
      </c>
      <c r="F7923">
        <f>IF($D7923 &gt; 16, 0,$E7923*$J$5)</f>
        <v>35676715.960719235</v>
      </c>
      <c r="G7923">
        <f t="shared" si="123"/>
        <v>15.8</v>
      </c>
    </row>
    <row r="7924" spans="2:7" x14ac:dyDescent="0.35">
      <c r="B7924" s="1">
        <v>45988</v>
      </c>
      <c r="C7924" s="2">
        <v>8.3333333333333329E-2</v>
      </c>
      <c r="D7924">
        <v>0.5</v>
      </c>
      <c r="E7924">
        <f>IF($D7924 &gt; 16, 0, $J$3*(16 - $D7924))</f>
        <v>3220.1039618608033</v>
      </c>
      <c r="F7924">
        <f>IF($D7924 &gt; 16, 0,$E7924*$J$5)</f>
        <v>34999309.961465068</v>
      </c>
      <c r="G7924">
        <f t="shared" si="123"/>
        <v>15.5</v>
      </c>
    </row>
    <row r="7925" spans="2:7" x14ac:dyDescent="0.35">
      <c r="B7925" s="1">
        <v>45988</v>
      </c>
      <c r="C7925" s="2">
        <v>0.125</v>
      </c>
      <c r="D7925">
        <v>0.7</v>
      </c>
      <c r="E7925">
        <f>IF($D7925 &gt; 16, 0, $J$3*(16 - $D7925))</f>
        <v>3178.554233320664</v>
      </c>
      <c r="F7925">
        <f>IF($D7925 &gt; 16, 0,$E7925*$J$5)</f>
        <v>34547705.961962298</v>
      </c>
      <c r="G7925">
        <f t="shared" si="123"/>
        <v>15.3</v>
      </c>
    </row>
    <row r="7926" spans="2:7" x14ac:dyDescent="0.35">
      <c r="B7926" s="1">
        <v>45988</v>
      </c>
      <c r="C7926" s="2">
        <v>0.16666666666666671</v>
      </c>
      <c r="D7926">
        <v>-1.1000000000000001</v>
      </c>
      <c r="E7926">
        <f>IF($D7926 &gt; 16, 0, $J$3*(16 - $D7926))</f>
        <v>3552.5017901819188</v>
      </c>
      <c r="F7926">
        <f>IF($D7926 &gt; 16, 0,$E7926*$J$5)</f>
        <v>38612141.957487278</v>
      </c>
      <c r="G7926">
        <f t="shared" si="123"/>
        <v>17.100000000000001</v>
      </c>
    </row>
    <row r="7927" spans="2:7" x14ac:dyDescent="0.35">
      <c r="B7927" s="1">
        <v>45988</v>
      </c>
      <c r="C7927" s="2">
        <v>0.20833333333333329</v>
      </c>
      <c r="D7927">
        <v>-0.2</v>
      </c>
      <c r="E7927">
        <f>IF($D7927 &gt; 16, 0, $J$3*(16 - $D7927))</f>
        <v>3365.5280117512912</v>
      </c>
      <c r="F7927">
        <f>IF($D7927 &gt; 16, 0,$E7927*$J$5)</f>
        <v>36579923.959724784</v>
      </c>
      <c r="G7927">
        <f t="shared" si="123"/>
        <v>16.2</v>
      </c>
    </row>
    <row r="7928" spans="2:7" x14ac:dyDescent="0.35">
      <c r="B7928" s="1">
        <v>45988</v>
      </c>
      <c r="C7928" s="2">
        <v>0.25</v>
      </c>
      <c r="D7928">
        <v>0.1</v>
      </c>
      <c r="E7928">
        <f>IF($D7928 &gt; 16, 0, $J$3*(16 - $D7928))</f>
        <v>3303.2034189410824</v>
      </c>
      <c r="F7928">
        <f>IF($D7928 &gt; 16, 0,$E7928*$J$5)</f>
        <v>35902517.960470624</v>
      </c>
      <c r="G7928">
        <f t="shared" si="123"/>
        <v>15.9</v>
      </c>
    </row>
    <row r="7929" spans="2:7" x14ac:dyDescent="0.35">
      <c r="B7929" s="1">
        <v>45988</v>
      </c>
      <c r="C7929" s="2">
        <v>0.29166666666666669</v>
      </c>
      <c r="D7929">
        <v>0.9</v>
      </c>
      <c r="E7929">
        <f>IF($D7929 &gt; 16, 0, $J$3*(16 - $D7929))</f>
        <v>3137.0045047805243</v>
      </c>
      <c r="F7929">
        <f>IF($D7929 &gt; 16, 0,$E7929*$J$5)</f>
        <v>34096101.96245952</v>
      </c>
      <c r="G7929">
        <f t="shared" si="123"/>
        <v>15.1</v>
      </c>
    </row>
    <row r="7930" spans="2:7" x14ac:dyDescent="0.35">
      <c r="B7930" s="1">
        <v>45988</v>
      </c>
      <c r="C7930" s="2">
        <v>0.33333333333333331</v>
      </c>
      <c r="D7930">
        <v>2</v>
      </c>
      <c r="E7930">
        <f>IF($D7930 &gt; 16, 0, $J$3*(16 - $D7930))</f>
        <v>2908.4809978097578</v>
      </c>
      <c r="F7930">
        <f>IF($D7930 &gt; 16, 0,$E7930*$J$5)</f>
        <v>31612279.965194259</v>
      </c>
      <c r="G7930">
        <f t="shared" si="123"/>
        <v>14</v>
      </c>
    </row>
    <row r="7931" spans="2:7" x14ac:dyDescent="0.35">
      <c r="B7931" s="1">
        <v>45988</v>
      </c>
      <c r="C7931" s="2">
        <v>0.375</v>
      </c>
      <c r="D7931">
        <v>3.1</v>
      </c>
      <c r="E7931">
        <f>IF($D7931 &gt; 16, 0, $J$3*(16 - $D7931))</f>
        <v>2679.9574908389914</v>
      </c>
      <c r="F7931">
        <f>IF($D7931 &gt; 16, 0,$E7931*$J$5)</f>
        <v>29128457.967928998</v>
      </c>
      <c r="G7931">
        <f t="shared" si="123"/>
        <v>12.9</v>
      </c>
    </row>
    <row r="7932" spans="2:7" x14ac:dyDescent="0.35">
      <c r="B7932" s="1">
        <v>45988</v>
      </c>
      <c r="C7932" s="2">
        <v>0.41666666666666669</v>
      </c>
      <c r="D7932">
        <v>3.5</v>
      </c>
      <c r="E7932">
        <f>IF($D7932 &gt; 16, 0, $J$3*(16 - $D7932))</f>
        <v>2596.8580337587123</v>
      </c>
      <c r="F7932">
        <f>IF($D7932 &gt; 16, 0,$E7932*$J$5)</f>
        <v>28225249.968923442</v>
      </c>
      <c r="G7932">
        <f t="shared" si="123"/>
        <v>12.5</v>
      </c>
    </row>
    <row r="7933" spans="2:7" x14ac:dyDescent="0.35">
      <c r="B7933" s="1">
        <v>45988</v>
      </c>
      <c r="C7933" s="2">
        <v>0.45833333333333331</v>
      </c>
      <c r="D7933">
        <v>3.8</v>
      </c>
      <c r="E7933">
        <f>IF($D7933 &gt; 16, 0, $J$3*(16 - $D7933))</f>
        <v>2534.5334409485031</v>
      </c>
      <c r="F7933">
        <f>IF($D7933 &gt; 16, 0,$E7933*$J$5)</f>
        <v>27547843.969669279</v>
      </c>
      <c r="G7933">
        <f t="shared" si="123"/>
        <v>12.2</v>
      </c>
    </row>
    <row r="7934" spans="2:7" x14ac:dyDescent="0.35">
      <c r="B7934" s="1">
        <v>45988</v>
      </c>
      <c r="C7934" s="2">
        <v>0.5</v>
      </c>
      <c r="D7934">
        <v>3.7</v>
      </c>
      <c r="E7934">
        <f>IF($D7934 &gt; 16, 0, $J$3*(16 - $D7934))</f>
        <v>2555.308305218573</v>
      </c>
      <c r="F7934">
        <f>IF($D7934 &gt; 16, 0,$E7934*$J$5)</f>
        <v>27773645.969420668</v>
      </c>
      <c r="G7934">
        <f t="shared" si="123"/>
        <v>12.3</v>
      </c>
    </row>
    <row r="7935" spans="2:7" x14ac:dyDescent="0.35">
      <c r="B7935" s="1">
        <v>45988</v>
      </c>
      <c r="C7935" s="2">
        <v>0.54166666666666663</v>
      </c>
      <c r="D7935">
        <v>3.8</v>
      </c>
      <c r="E7935">
        <f>IF($D7935 &gt; 16, 0, $J$3*(16 - $D7935))</f>
        <v>2534.5334409485031</v>
      </c>
      <c r="F7935">
        <f>IF($D7935 &gt; 16, 0,$E7935*$J$5)</f>
        <v>27547843.969669279</v>
      </c>
      <c r="G7935">
        <f t="shared" si="123"/>
        <v>12.2</v>
      </c>
    </row>
    <row r="7936" spans="2:7" x14ac:dyDescent="0.35">
      <c r="B7936" s="1">
        <v>45988</v>
      </c>
      <c r="C7936" s="2">
        <v>0.58333333333333337</v>
      </c>
      <c r="D7936">
        <v>4</v>
      </c>
      <c r="E7936">
        <f>IF($D7936 &gt; 16, 0, $J$3*(16 - $D7936))</f>
        <v>2492.9837124083638</v>
      </c>
      <c r="F7936">
        <f>IF($D7936 &gt; 16, 0,$E7936*$J$5)</f>
        <v>27096239.970166504</v>
      </c>
      <c r="G7936">
        <f t="shared" si="123"/>
        <v>12</v>
      </c>
    </row>
    <row r="7937" spans="2:7" x14ac:dyDescent="0.35">
      <c r="B7937" s="1">
        <v>45988</v>
      </c>
      <c r="C7937" s="2">
        <v>0.625</v>
      </c>
      <c r="D7937">
        <v>4.3</v>
      </c>
      <c r="E7937">
        <f>IF($D7937 &gt; 16, 0, $J$3*(16 - $D7937))</f>
        <v>2430.6591195981546</v>
      </c>
      <c r="F7937">
        <f>IF($D7937 &gt; 16, 0,$E7937*$J$5)</f>
        <v>26418833.970912341</v>
      </c>
      <c r="G7937">
        <f t="shared" si="123"/>
        <v>11.7</v>
      </c>
    </row>
    <row r="7938" spans="2:7" x14ac:dyDescent="0.35">
      <c r="B7938" s="1">
        <v>45988</v>
      </c>
      <c r="C7938" s="2">
        <v>0.66666666666666663</v>
      </c>
      <c r="D7938">
        <v>4.4000000000000004</v>
      </c>
      <c r="E7938">
        <f>IF($D7938 &gt; 16, 0, $J$3*(16 - $D7938))</f>
        <v>2409.8842553280851</v>
      </c>
      <c r="F7938">
        <f>IF($D7938 &gt; 16, 0,$E7938*$J$5)</f>
        <v>26193031.971160956</v>
      </c>
      <c r="G7938">
        <f t="shared" si="123"/>
        <v>11.6</v>
      </c>
    </row>
    <row r="7939" spans="2:7" x14ac:dyDescent="0.35">
      <c r="B7939" s="1">
        <v>45988</v>
      </c>
      <c r="C7939" s="2">
        <v>0.70833333333333337</v>
      </c>
      <c r="D7939">
        <v>4.5</v>
      </c>
      <c r="E7939">
        <f>IF($D7939 &gt; 16, 0, $J$3*(16 - $D7939))</f>
        <v>2389.1093910580153</v>
      </c>
      <c r="F7939">
        <f>IF($D7939 &gt; 16, 0,$E7939*$J$5)</f>
        <v>25967229.971409567</v>
      </c>
      <c r="G7939">
        <f t="shared" ref="G7939:G8002" si="124">MAX(0, 16 - $D7939)</f>
        <v>11.5</v>
      </c>
    </row>
    <row r="7940" spans="2:7" x14ac:dyDescent="0.35">
      <c r="B7940" s="1">
        <v>45988</v>
      </c>
      <c r="C7940" s="2">
        <v>0.75</v>
      </c>
      <c r="D7940">
        <v>4.7</v>
      </c>
      <c r="E7940">
        <f>IF($D7940 &gt; 16, 0, $J$3*(16 - $D7940))</f>
        <v>2347.5596625178759</v>
      </c>
      <c r="F7940">
        <f>IF($D7940 &gt; 16, 0,$E7940*$J$5)</f>
        <v>25515625.971906792</v>
      </c>
      <c r="G7940">
        <f t="shared" si="124"/>
        <v>11.3</v>
      </c>
    </row>
    <row r="7941" spans="2:7" x14ac:dyDescent="0.35">
      <c r="B7941" s="1">
        <v>45988</v>
      </c>
      <c r="C7941" s="2">
        <v>0.79166666666666663</v>
      </c>
      <c r="D7941">
        <v>5</v>
      </c>
      <c r="E7941">
        <f>IF($D7941 &gt; 16, 0, $J$3*(16 - $D7941))</f>
        <v>2285.2350697076668</v>
      </c>
      <c r="F7941">
        <f>IF($D7941 &gt; 16, 0,$E7941*$J$5)</f>
        <v>24838219.972652629</v>
      </c>
      <c r="G7941">
        <f t="shared" si="124"/>
        <v>11</v>
      </c>
    </row>
    <row r="7942" spans="2:7" x14ac:dyDescent="0.35">
      <c r="B7942" s="1">
        <v>45988</v>
      </c>
      <c r="C7942" s="2">
        <v>0.83333333333333337</v>
      </c>
      <c r="D7942">
        <v>5.2</v>
      </c>
      <c r="E7942">
        <f>IF($D7942 &gt; 16, 0, $J$3*(16 - $D7942))</f>
        <v>2243.6853411675274</v>
      </c>
      <c r="F7942">
        <f>IF($D7942 &gt; 16, 0,$E7942*$J$5)</f>
        <v>24386615.973149855</v>
      </c>
      <c r="G7942">
        <f t="shared" si="124"/>
        <v>10.8</v>
      </c>
    </row>
    <row r="7943" spans="2:7" x14ac:dyDescent="0.35">
      <c r="B7943" s="1">
        <v>45988</v>
      </c>
      <c r="C7943" s="2">
        <v>0.875</v>
      </c>
      <c r="D7943">
        <v>5.6</v>
      </c>
      <c r="E7943">
        <f>IF($D7943 &gt; 16, 0, $J$3*(16 - $D7943))</f>
        <v>2160.5858840872488</v>
      </c>
      <c r="F7943">
        <f>IF($D7943 &gt; 16, 0,$E7943*$J$5)</f>
        <v>23483407.974144306</v>
      </c>
      <c r="G7943">
        <f t="shared" si="124"/>
        <v>10.4</v>
      </c>
    </row>
    <row r="7944" spans="2:7" x14ac:dyDescent="0.35">
      <c r="B7944" s="1">
        <v>45988</v>
      </c>
      <c r="C7944" s="2">
        <v>0.91666666666666663</v>
      </c>
      <c r="D7944">
        <v>6</v>
      </c>
      <c r="E7944">
        <f>IF($D7944 &gt; 16, 0, $J$3*(16 - $D7944))</f>
        <v>2077.4864270069697</v>
      </c>
      <c r="F7944">
        <f>IF($D7944 &gt; 16, 0,$E7944*$J$5)</f>
        <v>22580199.975138754</v>
      </c>
      <c r="G7944">
        <f t="shared" si="124"/>
        <v>10</v>
      </c>
    </row>
    <row r="7945" spans="2:7" x14ac:dyDescent="0.35">
      <c r="B7945" s="1">
        <v>45988</v>
      </c>
      <c r="C7945" s="2">
        <v>0.95833333333333337</v>
      </c>
      <c r="D7945">
        <v>6.3</v>
      </c>
      <c r="E7945">
        <f>IF($D7945 &gt; 16, 0, $J$3*(16 - $D7945))</f>
        <v>2015.1618341967608</v>
      </c>
      <c r="F7945">
        <f>IF($D7945 &gt; 16, 0,$E7945*$J$5)</f>
        <v>21902793.975884594</v>
      </c>
      <c r="G7945">
        <f t="shared" si="124"/>
        <v>9.6999999999999993</v>
      </c>
    </row>
    <row r="7946" spans="2:7" x14ac:dyDescent="0.35">
      <c r="B7946" s="1">
        <v>45989</v>
      </c>
      <c r="C7946" s="2">
        <v>0</v>
      </c>
      <c r="D7946">
        <v>6.4</v>
      </c>
      <c r="E7946">
        <f>IF($D7946 &gt; 16, 0, $J$3*(16 - $D7946))</f>
        <v>1994.3869699266911</v>
      </c>
      <c r="F7946">
        <f>IF($D7946 &gt; 16, 0,$E7946*$J$5)</f>
        <v>21676991.976133205</v>
      </c>
      <c r="G7946">
        <f t="shared" si="124"/>
        <v>9.6</v>
      </c>
    </row>
    <row r="7947" spans="2:7" x14ac:dyDescent="0.35">
      <c r="B7947" s="1">
        <v>45989</v>
      </c>
      <c r="C7947" s="2">
        <v>4.1666666666666657E-2</v>
      </c>
      <c r="D7947">
        <v>6.4</v>
      </c>
      <c r="E7947">
        <f>IF($D7947 &gt; 16, 0, $J$3*(16 - $D7947))</f>
        <v>1994.3869699266911</v>
      </c>
      <c r="F7947">
        <f>IF($D7947 &gt; 16, 0,$E7947*$J$5)</f>
        <v>21676991.976133205</v>
      </c>
      <c r="G7947">
        <f t="shared" si="124"/>
        <v>9.6</v>
      </c>
    </row>
    <row r="7948" spans="2:7" x14ac:dyDescent="0.35">
      <c r="B7948" s="1">
        <v>45989</v>
      </c>
      <c r="C7948" s="2">
        <v>8.3333333333333329E-2</v>
      </c>
      <c r="D7948">
        <v>6.6</v>
      </c>
      <c r="E7948">
        <f>IF($D7948 &gt; 16, 0, $J$3*(16 - $D7948))</f>
        <v>1952.8372413865518</v>
      </c>
      <c r="F7948">
        <f>IF($D7948 &gt; 16, 0,$E7948*$J$5)</f>
        <v>21225387.976630431</v>
      </c>
      <c r="G7948">
        <f t="shared" si="124"/>
        <v>9.4</v>
      </c>
    </row>
    <row r="7949" spans="2:7" x14ac:dyDescent="0.35">
      <c r="B7949" s="1">
        <v>45989</v>
      </c>
      <c r="C7949" s="2">
        <v>0.125</v>
      </c>
      <c r="D7949">
        <v>6.9</v>
      </c>
      <c r="E7949">
        <f>IF($D7949 &gt; 16, 0, $J$3*(16 - $D7949))</f>
        <v>1890.5126485763426</v>
      </c>
      <c r="F7949">
        <f>IF($D7949 &gt; 16, 0,$E7949*$J$5)</f>
        <v>20547981.977376267</v>
      </c>
      <c r="G7949">
        <f t="shared" si="124"/>
        <v>9.1</v>
      </c>
    </row>
    <row r="7950" spans="2:7" x14ac:dyDescent="0.35">
      <c r="B7950" s="1">
        <v>45989</v>
      </c>
      <c r="C7950" s="2">
        <v>0.16666666666666671</v>
      </c>
      <c r="D7950">
        <v>7.1</v>
      </c>
      <c r="E7950">
        <f>IF($D7950 &gt; 16, 0, $J$3*(16 - $D7950))</f>
        <v>1848.9629200362033</v>
      </c>
      <c r="F7950">
        <f>IF($D7950 &gt; 16, 0,$E7950*$J$5)</f>
        <v>20096377.977873493</v>
      </c>
      <c r="G7950">
        <f t="shared" si="124"/>
        <v>8.9</v>
      </c>
    </row>
    <row r="7951" spans="2:7" x14ac:dyDescent="0.35">
      <c r="B7951" s="1">
        <v>45989</v>
      </c>
      <c r="C7951" s="2">
        <v>0.20833333333333329</v>
      </c>
      <c r="D7951">
        <v>7</v>
      </c>
      <c r="E7951">
        <f>IF($D7951 &gt; 16, 0, $J$3*(16 - $D7951))</f>
        <v>1869.7377843062729</v>
      </c>
      <c r="F7951">
        <f>IF($D7951 &gt; 16, 0,$E7951*$J$5)</f>
        <v>20322179.977624882</v>
      </c>
      <c r="G7951">
        <f t="shared" si="124"/>
        <v>9</v>
      </c>
    </row>
    <row r="7952" spans="2:7" x14ac:dyDescent="0.35">
      <c r="B7952" s="1">
        <v>45989</v>
      </c>
      <c r="C7952" s="2">
        <v>0.25</v>
      </c>
      <c r="D7952">
        <v>7.1</v>
      </c>
      <c r="E7952">
        <f>IF($D7952 &gt; 16, 0, $J$3*(16 - $D7952))</f>
        <v>1848.9629200362033</v>
      </c>
      <c r="F7952">
        <f>IF($D7952 &gt; 16, 0,$E7952*$J$5)</f>
        <v>20096377.977873493</v>
      </c>
      <c r="G7952">
        <f t="shared" si="124"/>
        <v>8.9</v>
      </c>
    </row>
    <row r="7953" spans="2:7" x14ac:dyDescent="0.35">
      <c r="B7953" s="1">
        <v>45989</v>
      </c>
      <c r="C7953" s="2">
        <v>0.29166666666666669</v>
      </c>
      <c r="D7953">
        <v>7.3</v>
      </c>
      <c r="E7953">
        <f>IF($D7953 &gt; 16, 0, $J$3*(16 - $D7953))</f>
        <v>1807.4131914960637</v>
      </c>
      <c r="F7953">
        <f>IF($D7953 &gt; 16, 0,$E7953*$J$5)</f>
        <v>19644773.978370719</v>
      </c>
      <c r="G7953">
        <f t="shared" si="124"/>
        <v>8.6999999999999993</v>
      </c>
    </row>
    <row r="7954" spans="2:7" x14ac:dyDescent="0.35">
      <c r="B7954" s="1">
        <v>45989</v>
      </c>
      <c r="C7954" s="2">
        <v>0.33333333333333331</v>
      </c>
      <c r="D7954">
        <v>7.2</v>
      </c>
      <c r="E7954">
        <f>IF($D7954 &gt; 16, 0, $J$3*(16 - $D7954))</f>
        <v>1828.1880557661336</v>
      </c>
      <c r="F7954">
        <f>IF($D7954 &gt; 16, 0,$E7954*$J$5)</f>
        <v>19870575.978122108</v>
      </c>
      <c r="G7954">
        <f t="shared" si="124"/>
        <v>8.8000000000000007</v>
      </c>
    </row>
    <row r="7955" spans="2:7" x14ac:dyDescent="0.35">
      <c r="B7955" s="1">
        <v>45989</v>
      </c>
      <c r="C7955" s="2">
        <v>0.375</v>
      </c>
      <c r="D7955">
        <v>7.3</v>
      </c>
      <c r="E7955">
        <f>IF($D7955 &gt; 16, 0, $J$3*(16 - $D7955))</f>
        <v>1807.4131914960637</v>
      </c>
      <c r="F7955">
        <f>IF($D7955 &gt; 16, 0,$E7955*$J$5)</f>
        <v>19644773.978370719</v>
      </c>
      <c r="G7955">
        <f t="shared" si="124"/>
        <v>8.6999999999999993</v>
      </c>
    </row>
    <row r="7956" spans="2:7" x14ac:dyDescent="0.35">
      <c r="B7956" s="1">
        <v>45989</v>
      </c>
      <c r="C7956" s="2">
        <v>0.41666666666666669</v>
      </c>
      <c r="D7956">
        <v>7.5</v>
      </c>
      <c r="E7956">
        <f>IF($D7956 &gt; 16, 0, $J$3*(16 - $D7956))</f>
        <v>1765.8634629559244</v>
      </c>
      <c r="F7956">
        <f>IF($D7956 &gt; 16, 0,$E7956*$J$5)</f>
        <v>19193169.978867944</v>
      </c>
      <c r="G7956">
        <f t="shared" si="124"/>
        <v>8.5</v>
      </c>
    </row>
    <row r="7957" spans="2:7" x14ac:dyDescent="0.35">
      <c r="B7957" s="1">
        <v>45989</v>
      </c>
      <c r="C7957" s="2">
        <v>0.45833333333333331</v>
      </c>
      <c r="D7957">
        <v>7.7</v>
      </c>
      <c r="E7957">
        <f>IF($D7957 &gt; 16, 0, $J$3*(16 - $D7957))</f>
        <v>1724.3137344157851</v>
      </c>
      <c r="F7957">
        <f>IF($D7957 &gt; 16, 0,$E7957*$J$5)</f>
        <v>18741565.97936517</v>
      </c>
      <c r="G7957">
        <f t="shared" si="124"/>
        <v>8.3000000000000007</v>
      </c>
    </row>
    <row r="7958" spans="2:7" x14ac:dyDescent="0.35">
      <c r="B7958" s="1">
        <v>45989</v>
      </c>
      <c r="C7958" s="2">
        <v>0.5</v>
      </c>
      <c r="D7958">
        <v>7.9</v>
      </c>
      <c r="E7958">
        <f>IF($D7958 &gt; 16, 0, $J$3*(16 - $D7958))</f>
        <v>1682.7640058756456</v>
      </c>
      <c r="F7958">
        <f>IF($D7958 &gt; 16, 0,$E7958*$J$5)</f>
        <v>18289961.979862392</v>
      </c>
      <c r="G7958">
        <f t="shared" si="124"/>
        <v>8.1</v>
      </c>
    </row>
    <row r="7959" spans="2:7" x14ac:dyDescent="0.35">
      <c r="B7959" s="1">
        <v>45989</v>
      </c>
      <c r="C7959" s="2">
        <v>0.54166666666666663</v>
      </c>
      <c r="D7959">
        <v>8</v>
      </c>
      <c r="E7959">
        <f>IF($D7959 &gt; 16, 0, $J$3*(16 - $D7959))</f>
        <v>1661.9891416055759</v>
      </c>
      <c r="F7959">
        <f>IF($D7959 &gt; 16, 0,$E7959*$J$5)</f>
        <v>18064159.980111003</v>
      </c>
      <c r="G7959">
        <f t="shared" si="124"/>
        <v>8</v>
      </c>
    </row>
    <row r="7960" spans="2:7" x14ac:dyDescent="0.35">
      <c r="B7960" s="1">
        <v>45989</v>
      </c>
      <c r="C7960" s="2">
        <v>0.58333333333333337</v>
      </c>
      <c r="D7960">
        <v>8.1</v>
      </c>
      <c r="E7960">
        <f>IF($D7960 &gt; 16, 0, $J$3*(16 - $D7960))</f>
        <v>1641.2142773355063</v>
      </c>
      <c r="F7960">
        <f>IF($D7960 &gt; 16, 0,$E7960*$J$5)</f>
        <v>17838357.980359618</v>
      </c>
      <c r="G7960">
        <f t="shared" si="124"/>
        <v>7.9</v>
      </c>
    </row>
    <row r="7961" spans="2:7" x14ac:dyDescent="0.35">
      <c r="B7961" s="1">
        <v>45989</v>
      </c>
      <c r="C7961" s="2">
        <v>0.625</v>
      </c>
      <c r="D7961">
        <v>8.1</v>
      </c>
      <c r="E7961">
        <f>IF($D7961 &gt; 16, 0, $J$3*(16 - $D7961))</f>
        <v>1641.2142773355063</v>
      </c>
      <c r="F7961">
        <f>IF($D7961 &gt; 16, 0,$E7961*$J$5)</f>
        <v>17838357.980359618</v>
      </c>
      <c r="G7961">
        <f t="shared" si="124"/>
        <v>7.9</v>
      </c>
    </row>
    <row r="7962" spans="2:7" x14ac:dyDescent="0.35">
      <c r="B7962" s="1">
        <v>45989</v>
      </c>
      <c r="C7962" s="2">
        <v>0.66666666666666663</v>
      </c>
      <c r="D7962">
        <v>8</v>
      </c>
      <c r="E7962">
        <f>IF($D7962 &gt; 16, 0, $J$3*(16 - $D7962))</f>
        <v>1661.9891416055759</v>
      </c>
      <c r="F7962">
        <f>IF($D7962 &gt; 16, 0,$E7962*$J$5)</f>
        <v>18064159.980111003</v>
      </c>
      <c r="G7962">
        <f t="shared" si="124"/>
        <v>8</v>
      </c>
    </row>
    <row r="7963" spans="2:7" x14ac:dyDescent="0.35">
      <c r="B7963" s="1">
        <v>45989</v>
      </c>
      <c r="C7963" s="2">
        <v>0.70833333333333337</v>
      </c>
      <c r="D7963">
        <v>8</v>
      </c>
      <c r="E7963">
        <f>IF($D7963 &gt; 16, 0, $J$3*(16 - $D7963))</f>
        <v>1661.9891416055759</v>
      </c>
      <c r="F7963">
        <f>IF($D7963 &gt; 16, 0,$E7963*$J$5)</f>
        <v>18064159.980111003</v>
      </c>
      <c r="G7963">
        <f t="shared" si="124"/>
        <v>8</v>
      </c>
    </row>
    <row r="7964" spans="2:7" x14ac:dyDescent="0.35">
      <c r="B7964" s="1">
        <v>45989</v>
      </c>
      <c r="C7964" s="2">
        <v>0.75</v>
      </c>
      <c r="D7964">
        <v>8.1</v>
      </c>
      <c r="E7964">
        <f>IF($D7964 &gt; 16, 0, $J$3*(16 - $D7964))</f>
        <v>1641.2142773355063</v>
      </c>
      <c r="F7964">
        <f>IF($D7964 &gt; 16, 0,$E7964*$J$5)</f>
        <v>17838357.980359618</v>
      </c>
      <c r="G7964">
        <f t="shared" si="124"/>
        <v>7.9</v>
      </c>
    </row>
    <row r="7965" spans="2:7" x14ac:dyDescent="0.35">
      <c r="B7965" s="1">
        <v>45989</v>
      </c>
      <c r="C7965" s="2">
        <v>0.79166666666666663</v>
      </c>
      <c r="D7965">
        <v>8.1999999999999993</v>
      </c>
      <c r="E7965">
        <f>IF($D7965 &gt; 16, 0, $J$3*(16 - $D7965))</f>
        <v>1620.4394130654366</v>
      </c>
      <c r="F7965">
        <f>IF($D7965 &gt; 16, 0,$E7965*$J$5)</f>
        <v>17612555.980608232</v>
      </c>
      <c r="G7965">
        <f t="shared" si="124"/>
        <v>7.8000000000000007</v>
      </c>
    </row>
    <row r="7966" spans="2:7" x14ac:dyDescent="0.35">
      <c r="B7966" s="1">
        <v>45989</v>
      </c>
      <c r="C7966" s="2">
        <v>0.83333333333333337</v>
      </c>
      <c r="D7966">
        <v>8.1999999999999993</v>
      </c>
      <c r="E7966">
        <f>IF($D7966 &gt; 16, 0, $J$3*(16 - $D7966))</f>
        <v>1620.4394130654366</v>
      </c>
      <c r="F7966">
        <f>IF($D7966 &gt; 16, 0,$E7966*$J$5)</f>
        <v>17612555.980608232</v>
      </c>
      <c r="G7966">
        <f t="shared" si="124"/>
        <v>7.8000000000000007</v>
      </c>
    </row>
    <row r="7967" spans="2:7" x14ac:dyDescent="0.35">
      <c r="B7967" s="1">
        <v>45989</v>
      </c>
      <c r="C7967" s="2">
        <v>0.875</v>
      </c>
      <c r="D7967">
        <v>8.1999999999999993</v>
      </c>
      <c r="E7967">
        <f>IF($D7967 &gt; 16, 0, $J$3*(16 - $D7967))</f>
        <v>1620.4394130654366</v>
      </c>
      <c r="F7967">
        <f>IF($D7967 &gt; 16, 0,$E7967*$J$5)</f>
        <v>17612555.980608232</v>
      </c>
      <c r="G7967">
        <f t="shared" si="124"/>
        <v>7.8000000000000007</v>
      </c>
    </row>
    <row r="7968" spans="2:7" x14ac:dyDescent="0.35">
      <c r="B7968" s="1">
        <v>45989</v>
      </c>
      <c r="C7968" s="2">
        <v>0.91666666666666663</v>
      </c>
      <c r="D7968">
        <v>8.1</v>
      </c>
      <c r="E7968">
        <f>IF($D7968 &gt; 16, 0, $J$3*(16 - $D7968))</f>
        <v>1641.2142773355063</v>
      </c>
      <c r="F7968">
        <f>IF($D7968 &gt; 16, 0,$E7968*$J$5)</f>
        <v>17838357.980359618</v>
      </c>
      <c r="G7968">
        <f t="shared" si="124"/>
        <v>7.9</v>
      </c>
    </row>
    <row r="7969" spans="2:7" x14ac:dyDescent="0.35">
      <c r="B7969" s="1">
        <v>45989</v>
      </c>
      <c r="C7969" s="2">
        <v>0.95833333333333337</v>
      </c>
      <c r="D7969">
        <v>8.3000000000000007</v>
      </c>
      <c r="E7969">
        <f>IF($D7969 &gt; 16, 0, $J$3*(16 - $D7969))</f>
        <v>1599.6645487953667</v>
      </c>
      <c r="F7969">
        <f>IF($D7969 &gt; 16, 0,$E7969*$J$5)</f>
        <v>17386753.98085684</v>
      </c>
      <c r="G7969">
        <f t="shared" si="124"/>
        <v>7.6999999999999993</v>
      </c>
    </row>
    <row r="7970" spans="2:7" x14ac:dyDescent="0.35">
      <c r="B7970" s="1">
        <v>45990</v>
      </c>
      <c r="C7970" s="2">
        <v>0</v>
      </c>
      <c r="D7970">
        <v>8.1</v>
      </c>
      <c r="E7970">
        <f>IF($D7970 &gt; 16, 0, $J$3*(16 - $D7970))</f>
        <v>1641.2142773355063</v>
      </c>
      <c r="F7970">
        <f>IF($D7970 &gt; 16, 0,$E7970*$J$5)</f>
        <v>17838357.980359618</v>
      </c>
      <c r="G7970">
        <f t="shared" si="124"/>
        <v>7.9</v>
      </c>
    </row>
    <row r="7971" spans="2:7" x14ac:dyDescent="0.35">
      <c r="B7971" s="1">
        <v>45990</v>
      </c>
      <c r="C7971" s="2">
        <v>4.1666666666666657E-2</v>
      </c>
      <c r="D7971">
        <v>8.5</v>
      </c>
      <c r="E7971">
        <f>IF($D7971 &gt; 16, 0, $J$3*(16 - $D7971))</f>
        <v>1558.1148202552274</v>
      </c>
      <c r="F7971">
        <f>IF($D7971 &gt; 16, 0,$E7971*$J$5)</f>
        <v>16935149.981354065</v>
      </c>
      <c r="G7971">
        <f t="shared" si="124"/>
        <v>7.5</v>
      </c>
    </row>
    <row r="7972" spans="2:7" x14ac:dyDescent="0.35">
      <c r="B7972" s="1">
        <v>45990</v>
      </c>
      <c r="C7972" s="2">
        <v>8.3333333333333329E-2</v>
      </c>
      <c r="D7972">
        <v>8.4</v>
      </c>
      <c r="E7972">
        <f>IF($D7972 &gt; 16, 0, $J$3*(16 - $D7972))</f>
        <v>1578.8896845252971</v>
      </c>
      <c r="F7972">
        <f>IF($D7972 &gt; 16, 0,$E7972*$J$5)</f>
        <v>17160951.981105454</v>
      </c>
      <c r="G7972">
        <f t="shared" si="124"/>
        <v>7.6</v>
      </c>
    </row>
    <row r="7973" spans="2:7" x14ac:dyDescent="0.35">
      <c r="B7973" s="1">
        <v>45990</v>
      </c>
      <c r="C7973" s="2">
        <v>0.125</v>
      </c>
      <c r="D7973">
        <v>8.5</v>
      </c>
      <c r="E7973">
        <f>IF($D7973 &gt; 16, 0, $J$3*(16 - $D7973))</f>
        <v>1558.1148202552274</v>
      </c>
      <c r="F7973">
        <f>IF($D7973 &gt; 16, 0,$E7973*$J$5)</f>
        <v>16935149.981354065</v>
      </c>
      <c r="G7973">
        <f t="shared" si="124"/>
        <v>7.5</v>
      </c>
    </row>
    <row r="7974" spans="2:7" x14ac:dyDescent="0.35">
      <c r="B7974" s="1">
        <v>45990</v>
      </c>
      <c r="C7974" s="2">
        <v>0.16666666666666671</v>
      </c>
      <c r="D7974">
        <v>8.5</v>
      </c>
      <c r="E7974">
        <f>IF($D7974 &gt; 16, 0, $J$3*(16 - $D7974))</f>
        <v>1558.1148202552274</v>
      </c>
      <c r="F7974">
        <f>IF($D7974 &gt; 16, 0,$E7974*$J$5)</f>
        <v>16935149.981354065</v>
      </c>
      <c r="G7974">
        <f t="shared" si="124"/>
        <v>7.5</v>
      </c>
    </row>
    <row r="7975" spans="2:7" x14ac:dyDescent="0.35">
      <c r="B7975" s="1">
        <v>45990</v>
      </c>
      <c r="C7975" s="2">
        <v>0.20833333333333329</v>
      </c>
      <c r="D7975">
        <v>7.4</v>
      </c>
      <c r="E7975">
        <f>IF($D7975 &gt; 16, 0, $J$3*(16 - $D7975))</f>
        <v>1786.6383272259941</v>
      </c>
      <c r="F7975">
        <f>IF($D7975 &gt; 16, 0,$E7975*$J$5)</f>
        <v>19418971.97861933</v>
      </c>
      <c r="G7975">
        <f t="shared" si="124"/>
        <v>8.6</v>
      </c>
    </row>
    <row r="7976" spans="2:7" x14ac:dyDescent="0.35">
      <c r="B7976" s="1">
        <v>45990</v>
      </c>
      <c r="C7976" s="2">
        <v>0.25</v>
      </c>
      <c r="D7976">
        <v>7.3</v>
      </c>
      <c r="E7976">
        <f>IF($D7976 &gt; 16, 0, $J$3*(16 - $D7976))</f>
        <v>1807.4131914960637</v>
      </c>
      <c r="F7976">
        <f>IF($D7976 &gt; 16, 0,$E7976*$J$5)</f>
        <v>19644773.978370719</v>
      </c>
      <c r="G7976">
        <f t="shared" si="124"/>
        <v>8.6999999999999993</v>
      </c>
    </row>
    <row r="7977" spans="2:7" x14ac:dyDescent="0.35">
      <c r="B7977" s="1">
        <v>45990</v>
      </c>
      <c r="C7977" s="2">
        <v>0.29166666666666669</v>
      </c>
      <c r="D7977">
        <v>6.3</v>
      </c>
      <c r="E7977">
        <f>IF($D7977 &gt; 16, 0, $J$3*(16 - $D7977))</f>
        <v>2015.1618341967608</v>
      </c>
      <c r="F7977">
        <f>IF($D7977 &gt; 16, 0,$E7977*$J$5)</f>
        <v>21902793.975884594</v>
      </c>
      <c r="G7977">
        <f t="shared" si="124"/>
        <v>9.6999999999999993</v>
      </c>
    </row>
    <row r="7978" spans="2:7" x14ac:dyDescent="0.35">
      <c r="B7978" s="1">
        <v>45990</v>
      </c>
      <c r="C7978" s="2">
        <v>0.33333333333333331</v>
      </c>
      <c r="D7978">
        <v>7.1</v>
      </c>
      <c r="E7978">
        <f>IF($D7978 &gt; 16, 0, $J$3*(16 - $D7978))</f>
        <v>1848.9629200362033</v>
      </c>
      <c r="F7978">
        <f>IF($D7978 &gt; 16, 0,$E7978*$J$5)</f>
        <v>20096377.977873493</v>
      </c>
      <c r="G7978">
        <f t="shared" si="124"/>
        <v>8.9</v>
      </c>
    </row>
    <row r="7979" spans="2:7" x14ac:dyDescent="0.35">
      <c r="B7979" s="1">
        <v>45990</v>
      </c>
      <c r="C7979" s="2">
        <v>0.375</v>
      </c>
      <c r="D7979">
        <v>7.8</v>
      </c>
      <c r="E7979">
        <f>IF($D7979 &gt; 16, 0, $J$3*(16 - $D7979))</f>
        <v>1703.5388701457152</v>
      </c>
      <c r="F7979">
        <f>IF($D7979 &gt; 16, 0,$E7979*$J$5)</f>
        <v>18515763.979613777</v>
      </c>
      <c r="G7979">
        <f t="shared" si="124"/>
        <v>8.1999999999999993</v>
      </c>
    </row>
    <row r="7980" spans="2:7" x14ac:dyDescent="0.35">
      <c r="B7980" s="1">
        <v>45990</v>
      </c>
      <c r="C7980" s="2">
        <v>0.41666666666666669</v>
      </c>
      <c r="D7980">
        <v>8.3000000000000007</v>
      </c>
      <c r="E7980">
        <f>IF($D7980 &gt; 16, 0, $J$3*(16 - $D7980))</f>
        <v>1599.6645487953667</v>
      </c>
      <c r="F7980">
        <f>IF($D7980 &gt; 16, 0,$E7980*$J$5)</f>
        <v>17386753.98085684</v>
      </c>
      <c r="G7980">
        <f t="shared" si="124"/>
        <v>7.6999999999999993</v>
      </c>
    </row>
    <row r="7981" spans="2:7" x14ac:dyDescent="0.35">
      <c r="B7981" s="1">
        <v>45990</v>
      </c>
      <c r="C7981" s="2">
        <v>0.45833333333333331</v>
      </c>
      <c r="D7981">
        <v>9</v>
      </c>
      <c r="E7981">
        <f>IF($D7981 &gt; 16, 0, $J$3*(16 - $D7981))</f>
        <v>1454.2404989048789</v>
      </c>
      <c r="F7981">
        <f>IF($D7981 &gt; 16, 0,$E7981*$J$5)</f>
        <v>15806139.982597129</v>
      </c>
      <c r="G7981">
        <f t="shared" si="124"/>
        <v>7</v>
      </c>
    </row>
    <row r="7982" spans="2:7" x14ac:dyDescent="0.35">
      <c r="B7982" s="1">
        <v>45990</v>
      </c>
      <c r="C7982" s="2">
        <v>0.5</v>
      </c>
      <c r="D7982">
        <v>9.6</v>
      </c>
      <c r="E7982">
        <f>IF($D7982 &gt; 16, 0, $J$3*(16 - $D7982))</f>
        <v>1329.5913132844607</v>
      </c>
      <c r="F7982">
        <f>IF($D7982 &gt; 16, 0,$E7982*$J$5)</f>
        <v>14451327.984088805</v>
      </c>
      <c r="G7982">
        <f t="shared" si="124"/>
        <v>6.4</v>
      </c>
    </row>
    <row r="7983" spans="2:7" x14ac:dyDescent="0.35">
      <c r="B7983" s="1">
        <v>45990</v>
      </c>
      <c r="C7983" s="2">
        <v>0.54166666666666663</v>
      </c>
      <c r="D7983">
        <v>9.4</v>
      </c>
      <c r="E7983">
        <f>IF($D7983 &gt; 16, 0, $J$3*(16 - $D7983))</f>
        <v>1371.1410418246001</v>
      </c>
      <c r="F7983">
        <f>IF($D7983 &gt; 16, 0,$E7983*$J$5)</f>
        <v>14902931.983591577</v>
      </c>
      <c r="G7983">
        <f t="shared" si="124"/>
        <v>6.6</v>
      </c>
    </row>
    <row r="7984" spans="2:7" x14ac:dyDescent="0.35">
      <c r="B7984" s="1">
        <v>45990</v>
      </c>
      <c r="C7984" s="2">
        <v>0.58333333333333337</v>
      </c>
      <c r="D7984">
        <v>9.4</v>
      </c>
      <c r="E7984">
        <f>IF($D7984 &gt; 16, 0, $J$3*(16 - $D7984))</f>
        <v>1371.1410418246001</v>
      </c>
      <c r="F7984">
        <f>IF($D7984 &gt; 16, 0,$E7984*$J$5)</f>
        <v>14902931.983591577</v>
      </c>
      <c r="G7984">
        <f t="shared" si="124"/>
        <v>6.6</v>
      </c>
    </row>
    <row r="7985" spans="2:7" x14ac:dyDescent="0.35">
      <c r="B7985" s="1">
        <v>45990</v>
      </c>
      <c r="C7985" s="2">
        <v>0.625</v>
      </c>
      <c r="D7985">
        <v>8.6</v>
      </c>
      <c r="E7985">
        <f>IF($D7985 &gt; 16, 0, $J$3*(16 - $D7985))</f>
        <v>1537.3399559851578</v>
      </c>
      <c r="F7985">
        <f>IF($D7985 &gt; 16, 0,$E7985*$J$5)</f>
        <v>16709347.98160268</v>
      </c>
      <c r="G7985">
        <f t="shared" si="124"/>
        <v>7.4</v>
      </c>
    </row>
    <row r="7986" spans="2:7" x14ac:dyDescent="0.35">
      <c r="B7986" s="1">
        <v>45990</v>
      </c>
      <c r="C7986" s="2">
        <v>0.66666666666666663</v>
      </c>
      <c r="D7986">
        <v>8.6999999999999993</v>
      </c>
      <c r="E7986">
        <f>IF($D7986 &gt; 16, 0, $J$3*(16 - $D7986))</f>
        <v>1516.5650917150881</v>
      </c>
      <c r="F7986">
        <f>IF($D7986 &gt; 16, 0,$E7986*$J$5)</f>
        <v>16483545.981851293</v>
      </c>
      <c r="G7986">
        <f t="shared" si="124"/>
        <v>7.3000000000000007</v>
      </c>
    </row>
    <row r="7987" spans="2:7" x14ac:dyDescent="0.35">
      <c r="B7987" s="1">
        <v>45990</v>
      </c>
      <c r="C7987" s="2">
        <v>0.70833333333333337</v>
      </c>
      <c r="D7987">
        <v>8.6999999999999993</v>
      </c>
      <c r="E7987">
        <f>IF($D7987 &gt; 16, 0, $J$3*(16 - $D7987))</f>
        <v>1516.5650917150881</v>
      </c>
      <c r="F7987">
        <f>IF($D7987 &gt; 16, 0,$E7987*$J$5)</f>
        <v>16483545.981851293</v>
      </c>
      <c r="G7987">
        <f t="shared" si="124"/>
        <v>7.3000000000000007</v>
      </c>
    </row>
    <row r="7988" spans="2:7" x14ac:dyDescent="0.35">
      <c r="B7988" s="1">
        <v>45990</v>
      </c>
      <c r="C7988" s="2">
        <v>0.75</v>
      </c>
      <c r="D7988">
        <v>8.1999999999999993</v>
      </c>
      <c r="E7988">
        <f>IF($D7988 &gt; 16, 0, $J$3*(16 - $D7988))</f>
        <v>1620.4394130654366</v>
      </c>
      <c r="F7988">
        <f>IF($D7988 &gt; 16, 0,$E7988*$J$5)</f>
        <v>17612555.980608232</v>
      </c>
      <c r="G7988">
        <f t="shared" si="124"/>
        <v>7.8000000000000007</v>
      </c>
    </row>
    <row r="7989" spans="2:7" x14ac:dyDescent="0.35">
      <c r="B7989" s="1">
        <v>45990</v>
      </c>
      <c r="C7989" s="2">
        <v>0.79166666666666663</v>
      </c>
      <c r="D7989">
        <v>7.6</v>
      </c>
      <c r="E7989">
        <f>IF($D7989 &gt; 16, 0, $J$3*(16 - $D7989))</f>
        <v>1745.0885986858548</v>
      </c>
      <c r="F7989">
        <f>IF($D7989 &gt; 16, 0,$E7989*$J$5)</f>
        <v>18967367.979116555</v>
      </c>
      <c r="G7989">
        <f t="shared" si="124"/>
        <v>8.4</v>
      </c>
    </row>
    <row r="7990" spans="2:7" x14ac:dyDescent="0.35">
      <c r="B7990" s="1">
        <v>45990</v>
      </c>
      <c r="C7990" s="2">
        <v>0.83333333333333337</v>
      </c>
      <c r="D7990">
        <v>7.3</v>
      </c>
      <c r="E7990">
        <f>IF($D7990 &gt; 16, 0, $J$3*(16 - $D7990))</f>
        <v>1807.4131914960637</v>
      </c>
      <c r="F7990">
        <f>IF($D7990 &gt; 16, 0,$E7990*$J$5)</f>
        <v>19644773.978370719</v>
      </c>
      <c r="G7990">
        <f t="shared" si="124"/>
        <v>8.6999999999999993</v>
      </c>
    </row>
    <row r="7991" spans="2:7" x14ac:dyDescent="0.35">
      <c r="B7991" s="1">
        <v>45990</v>
      </c>
      <c r="C7991" s="2">
        <v>0.875</v>
      </c>
      <c r="D7991">
        <v>7.1</v>
      </c>
      <c r="E7991">
        <f>IF($D7991 &gt; 16, 0, $J$3*(16 - $D7991))</f>
        <v>1848.9629200362033</v>
      </c>
      <c r="F7991">
        <f>IF($D7991 &gt; 16, 0,$E7991*$J$5)</f>
        <v>20096377.977873493</v>
      </c>
      <c r="G7991">
        <f t="shared" si="124"/>
        <v>8.9</v>
      </c>
    </row>
    <row r="7992" spans="2:7" x14ac:dyDescent="0.35">
      <c r="B7992" s="1">
        <v>45990</v>
      </c>
      <c r="C7992" s="2">
        <v>0.91666666666666663</v>
      </c>
      <c r="D7992">
        <v>6.9</v>
      </c>
      <c r="E7992">
        <f>IF($D7992 &gt; 16, 0, $J$3*(16 - $D7992))</f>
        <v>1890.5126485763426</v>
      </c>
      <c r="F7992">
        <f>IF($D7992 &gt; 16, 0,$E7992*$J$5)</f>
        <v>20547981.977376267</v>
      </c>
      <c r="G7992">
        <f t="shared" si="124"/>
        <v>9.1</v>
      </c>
    </row>
    <row r="7993" spans="2:7" x14ac:dyDescent="0.35">
      <c r="B7993" s="1">
        <v>45990</v>
      </c>
      <c r="C7993" s="2">
        <v>0.95833333333333337</v>
      </c>
      <c r="D7993">
        <v>7.3</v>
      </c>
      <c r="E7993">
        <f>IF($D7993 &gt; 16, 0, $J$3*(16 - $D7993))</f>
        <v>1807.4131914960637</v>
      </c>
      <c r="F7993">
        <f>IF($D7993 &gt; 16, 0,$E7993*$J$5)</f>
        <v>19644773.978370719</v>
      </c>
      <c r="G7993">
        <f t="shared" si="124"/>
        <v>8.6999999999999993</v>
      </c>
    </row>
    <row r="7994" spans="2:7" x14ac:dyDescent="0.35">
      <c r="B7994" s="1">
        <v>45991</v>
      </c>
      <c r="C7994" s="2">
        <v>0</v>
      </c>
      <c r="D7994">
        <v>7.1</v>
      </c>
      <c r="E7994">
        <f>IF($D7994 &gt; 16, 0, $J$3*(16 - $D7994))</f>
        <v>1848.9629200362033</v>
      </c>
      <c r="F7994">
        <f>IF($D7994 &gt; 16, 0,$E7994*$J$5)</f>
        <v>20096377.977873493</v>
      </c>
      <c r="G7994">
        <f t="shared" si="124"/>
        <v>8.9</v>
      </c>
    </row>
    <row r="7995" spans="2:7" x14ac:dyDescent="0.35">
      <c r="B7995" s="1">
        <v>45991</v>
      </c>
      <c r="C7995" s="2">
        <v>4.1666666666666657E-2</v>
      </c>
      <c r="D7995">
        <v>7.2</v>
      </c>
      <c r="E7995">
        <f>IF($D7995 &gt; 16, 0, $J$3*(16 - $D7995))</f>
        <v>1828.1880557661336</v>
      </c>
      <c r="F7995">
        <f>IF($D7995 &gt; 16, 0,$E7995*$J$5)</f>
        <v>19870575.978122108</v>
      </c>
      <c r="G7995">
        <f t="shared" si="124"/>
        <v>8.8000000000000007</v>
      </c>
    </row>
    <row r="7996" spans="2:7" x14ac:dyDescent="0.35">
      <c r="B7996" s="1">
        <v>45991</v>
      </c>
      <c r="C7996" s="2">
        <v>8.3333333333333329E-2</v>
      </c>
      <c r="D7996">
        <v>7.5</v>
      </c>
      <c r="E7996">
        <f>IF($D7996 &gt; 16, 0, $J$3*(16 - $D7996))</f>
        <v>1765.8634629559244</v>
      </c>
      <c r="F7996">
        <f>IF($D7996 &gt; 16, 0,$E7996*$J$5)</f>
        <v>19193169.978867944</v>
      </c>
      <c r="G7996">
        <f t="shared" si="124"/>
        <v>8.5</v>
      </c>
    </row>
    <row r="7997" spans="2:7" x14ac:dyDescent="0.35">
      <c r="B7997" s="1">
        <v>45991</v>
      </c>
      <c r="C7997" s="2">
        <v>0.125</v>
      </c>
      <c r="D7997">
        <v>7.7</v>
      </c>
      <c r="E7997">
        <f>IF($D7997 &gt; 16, 0, $J$3*(16 - $D7997))</f>
        <v>1724.3137344157851</v>
      </c>
      <c r="F7997">
        <f>IF($D7997 &gt; 16, 0,$E7997*$J$5)</f>
        <v>18741565.97936517</v>
      </c>
      <c r="G7997">
        <f t="shared" si="124"/>
        <v>8.3000000000000007</v>
      </c>
    </row>
    <row r="7998" spans="2:7" x14ac:dyDescent="0.35">
      <c r="B7998" s="1">
        <v>45991</v>
      </c>
      <c r="C7998" s="2">
        <v>0.16666666666666671</v>
      </c>
      <c r="D7998">
        <v>7.8</v>
      </c>
      <c r="E7998">
        <f>IF($D7998 &gt; 16, 0, $J$3*(16 - $D7998))</f>
        <v>1703.5388701457152</v>
      </c>
      <c r="F7998">
        <f>IF($D7998 &gt; 16, 0,$E7998*$J$5)</f>
        <v>18515763.979613777</v>
      </c>
      <c r="G7998">
        <f t="shared" si="124"/>
        <v>8.1999999999999993</v>
      </c>
    </row>
    <row r="7999" spans="2:7" x14ac:dyDescent="0.35">
      <c r="B7999" s="1">
        <v>45991</v>
      </c>
      <c r="C7999" s="2">
        <v>0.20833333333333329</v>
      </c>
      <c r="D7999">
        <v>8.6</v>
      </c>
      <c r="E7999">
        <f>IF($D7999 &gt; 16, 0, $J$3*(16 - $D7999))</f>
        <v>1537.3399559851578</v>
      </c>
      <c r="F7999">
        <f>IF($D7999 &gt; 16, 0,$E7999*$J$5)</f>
        <v>16709347.98160268</v>
      </c>
      <c r="G7999">
        <f t="shared" si="124"/>
        <v>7.4</v>
      </c>
    </row>
    <row r="8000" spans="2:7" x14ac:dyDescent="0.35">
      <c r="B8000" s="1">
        <v>45991</v>
      </c>
      <c r="C8000" s="2">
        <v>0.25</v>
      </c>
      <c r="D8000">
        <v>9.5</v>
      </c>
      <c r="E8000">
        <f>IF($D8000 &gt; 16, 0, $J$3*(16 - $D8000))</f>
        <v>1350.3661775545304</v>
      </c>
      <c r="F8000">
        <f>IF($D8000 &gt; 16, 0,$E8000*$J$5)</f>
        <v>14677129.983840192</v>
      </c>
      <c r="G8000">
        <f t="shared" si="124"/>
        <v>6.5</v>
      </c>
    </row>
    <row r="8001" spans="2:7" x14ac:dyDescent="0.35">
      <c r="B8001" s="1">
        <v>45991</v>
      </c>
      <c r="C8001" s="2">
        <v>0.29166666666666669</v>
      </c>
      <c r="D8001">
        <v>9.1999999999999993</v>
      </c>
      <c r="E8001">
        <f>IF($D8001 &gt; 16, 0, $J$3*(16 - $D8001))</f>
        <v>1412.6907703647396</v>
      </c>
      <c r="F8001">
        <f>IF($D8001 &gt; 16, 0,$E8001*$J$5)</f>
        <v>15354535.983094355</v>
      </c>
      <c r="G8001">
        <f t="shared" si="124"/>
        <v>6.8000000000000007</v>
      </c>
    </row>
    <row r="8002" spans="2:7" x14ac:dyDescent="0.35">
      <c r="B8002" s="1">
        <v>45991</v>
      </c>
      <c r="C8002" s="2">
        <v>0.33333333333333331</v>
      </c>
      <c r="D8002">
        <v>8.4</v>
      </c>
      <c r="E8002">
        <f>IF($D8002 &gt; 16, 0, $J$3*(16 - $D8002))</f>
        <v>1578.8896845252971</v>
      </c>
      <c r="F8002">
        <f>IF($D8002 &gt; 16, 0,$E8002*$J$5)</f>
        <v>17160951.981105454</v>
      </c>
      <c r="G8002">
        <f t="shared" si="124"/>
        <v>7.6</v>
      </c>
    </row>
    <row r="8003" spans="2:7" x14ac:dyDescent="0.35">
      <c r="B8003" s="1">
        <v>45991</v>
      </c>
      <c r="C8003" s="2">
        <v>0.375</v>
      </c>
      <c r="D8003">
        <v>8</v>
      </c>
      <c r="E8003">
        <f>IF($D8003 &gt; 16, 0, $J$3*(16 - $D8003))</f>
        <v>1661.9891416055759</v>
      </c>
      <c r="F8003">
        <f>IF($D8003 &gt; 16, 0,$E8003*$J$5)</f>
        <v>18064159.980111003</v>
      </c>
      <c r="G8003">
        <f t="shared" ref="G8003:G8066" si="125">MAX(0, 16 - $D8003)</f>
        <v>8</v>
      </c>
    </row>
    <row r="8004" spans="2:7" x14ac:dyDescent="0.35">
      <c r="B8004" s="1">
        <v>45991</v>
      </c>
      <c r="C8004" s="2">
        <v>0.41666666666666669</v>
      </c>
      <c r="D8004">
        <v>8.3000000000000007</v>
      </c>
      <c r="E8004">
        <f>IF($D8004 &gt; 16, 0, $J$3*(16 - $D8004))</f>
        <v>1599.6645487953667</v>
      </c>
      <c r="F8004">
        <f>IF($D8004 &gt; 16, 0,$E8004*$J$5)</f>
        <v>17386753.98085684</v>
      </c>
      <c r="G8004">
        <f t="shared" si="125"/>
        <v>7.6999999999999993</v>
      </c>
    </row>
    <row r="8005" spans="2:7" x14ac:dyDescent="0.35">
      <c r="B8005" s="1">
        <v>45991</v>
      </c>
      <c r="C8005" s="2">
        <v>0.45833333333333331</v>
      </c>
      <c r="D8005">
        <v>8.4</v>
      </c>
      <c r="E8005">
        <f>IF($D8005 &gt; 16, 0, $J$3*(16 - $D8005))</f>
        <v>1578.8896845252971</v>
      </c>
      <c r="F8005">
        <f>IF($D8005 &gt; 16, 0,$E8005*$J$5)</f>
        <v>17160951.981105454</v>
      </c>
      <c r="G8005">
        <f t="shared" si="125"/>
        <v>7.6</v>
      </c>
    </row>
    <row r="8006" spans="2:7" x14ac:dyDescent="0.35">
      <c r="B8006" s="1">
        <v>45991</v>
      </c>
      <c r="C8006" s="2">
        <v>0.5</v>
      </c>
      <c r="D8006">
        <v>8.3000000000000007</v>
      </c>
      <c r="E8006">
        <f>IF($D8006 &gt; 16, 0, $J$3*(16 - $D8006))</f>
        <v>1599.6645487953667</v>
      </c>
      <c r="F8006">
        <f>IF($D8006 &gt; 16, 0,$E8006*$J$5)</f>
        <v>17386753.98085684</v>
      </c>
      <c r="G8006">
        <f t="shared" si="125"/>
        <v>7.6999999999999993</v>
      </c>
    </row>
    <row r="8007" spans="2:7" x14ac:dyDescent="0.35">
      <c r="B8007" s="1">
        <v>45991</v>
      </c>
      <c r="C8007" s="2">
        <v>0.54166666666666663</v>
      </c>
      <c r="D8007">
        <v>8.5</v>
      </c>
      <c r="E8007">
        <f>IF($D8007 &gt; 16, 0, $J$3*(16 - $D8007))</f>
        <v>1558.1148202552274</v>
      </c>
      <c r="F8007">
        <f>IF($D8007 &gt; 16, 0,$E8007*$J$5)</f>
        <v>16935149.981354065</v>
      </c>
      <c r="G8007">
        <f t="shared" si="125"/>
        <v>7.5</v>
      </c>
    </row>
    <row r="8008" spans="2:7" x14ac:dyDescent="0.35">
      <c r="B8008" s="1">
        <v>45991</v>
      </c>
      <c r="C8008" s="2">
        <v>0.58333333333333337</v>
      </c>
      <c r="D8008">
        <v>7.9</v>
      </c>
      <c r="E8008">
        <f>IF($D8008 &gt; 16, 0, $J$3*(16 - $D8008))</f>
        <v>1682.7640058756456</v>
      </c>
      <c r="F8008">
        <f>IF($D8008 &gt; 16, 0,$E8008*$J$5)</f>
        <v>18289961.979862392</v>
      </c>
      <c r="G8008">
        <f t="shared" si="125"/>
        <v>8.1</v>
      </c>
    </row>
    <row r="8009" spans="2:7" x14ac:dyDescent="0.35">
      <c r="B8009" s="1">
        <v>45991</v>
      </c>
      <c r="C8009" s="2">
        <v>0.625</v>
      </c>
      <c r="D8009">
        <v>7.9</v>
      </c>
      <c r="E8009">
        <f>IF($D8009 &gt; 16, 0, $J$3*(16 - $D8009))</f>
        <v>1682.7640058756456</v>
      </c>
      <c r="F8009">
        <f>IF($D8009 &gt; 16, 0,$E8009*$J$5)</f>
        <v>18289961.979862392</v>
      </c>
      <c r="G8009">
        <f t="shared" si="125"/>
        <v>8.1</v>
      </c>
    </row>
    <row r="8010" spans="2:7" x14ac:dyDescent="0.35">
      <c r="B8010" s="1">
        <v>45991</v>
      </c>
      <c r="C8010" s="2">
        <v>0.66666666666666663</v>
      </c>
      <c r="D8010">
        <v>7.2</v>
      </c>
      <c r="E8010">
        <f>IF($D8010 &gt; 16, 0, $J$3*(16 - $D8010))</f>
        <v>1828.1880557661336</v>
      </c>
      <c r="F8010">
        <f>IF($D8010 &gt; 16, 0,$E8010*$J$5)</f>
        <v>19870575.978122108</v>
      </c>
      <c r="G8010">
        <f t="shared" si="125"/>
        <v>8.8000000000000007</v>
      </c>
    </row>
    <row r="8011" spans="2:7" x14ac:dyDescent="0.35">
      <c r="B8011" s="1">
        <v>45991</v>
      </c>
      <c r="C8011" s="2">
        <v>0.70833333333333337</v>
      </c>
      <c r="D8011">
        <v>6.7</v>
      </c>
      <c r="E8011">
        <f>IF($D8011 &gt; 16, 0, $J$3*(16 - $D8011))</f>
        <v>1932.0623771164821</v>
      </c>
      <c r="F8011">
        <f>IF($D8011 &gt; 16, 0,$E8011*$J$5)</f>
        <v>20999585.976879045</v>
      </c>
      <c r="G8011">
        <f t="shared" si="125"/>
        <v>9.3000000000000007</v>
      </c>
    </row>
    <row r="8012" spans="2:7" x14ac:dyDescent="0.35">
      <c r="B8012" s="1">
        <v>45991</v>
      </c>
      <c r="C8012" s="2">
        <v>0.75</v>
      </c>
      <c r="D8012">
        <v>6.3</v>
      </c>
      <c r="E8012">
        <f>IF($D8012 &gt; 16, 0, $J$3*(16 - $D8012))</f>
        <v>2015.1618341967608</v>
      </c>
      <c r="F8012">
        <f>IF($D8012 &gt; 16, 0,$E8012*$J$5)</f>
        <v>21902793.975884594</v>
      </c>
      <c r="G8012">
        <f t="shared" si="125"/>
        <v>9.6999999999999993</v>
      </c>
    </row>
    <row r="8013" spans="2:7" x14ac:dyDescent="0.35">
      <c r="B8013" s="1">
        <v>45991</v>
      </c>
      <c r="C8013" s="2">
        <v>0.79166666666666663</v>
      </c>
      <c r="D8013">
        <v>6.4</v>
      </c>
      <c r="E8013">
        <f>IF($D8013 &gt; 16, 0, $J$3*(16 - $D8013))</f>
        <v>1994.3869699266911</v>
      </c>
      <c r="F8013">
        <f>IF($D8013 &gt; 16, 0,$E8013*$J$5)</f>
        <v>21676991.976133205</v>
      </c>
      <c r="G8013">
        <f t="shared" si="125"/>
        <v>9.6</v>
      </c>
    </row>
    <row r="8014" spans="2:7" x14ac:dyDescent="0.35">
      <c r="B8014" s="1">
        <v>45991</v>
      </c>
      <c r="C8014" s="2">
        <v>0.83333333333333337</v>
      </c>
      <c r="D8014">
        <v>5.7</v>
      </c>
      <c r="E8014">
        <f>IF($D8014 &gt; 16, 0, $J$3*(16 - $D8014))</f>
        <v>2139.8110198171789</v>
      </c>
      <c r="F8014">
        <f>IF($D8014 &gt; 16, 0,$E8014*$J$5)</f>
        <v>23257605.974392917</v>
      </c>
      <c r="G8014">
        <f t="shared" si="125"/>
        <v>10.3</v>
      </c>
    </row>
    <row r="8015" spans="2:7" x14ac:dyDescent="0.35">
      <c r="B8015" s="1">
        <v>45991</v>
      </c>
      <c r="C8015" s="2">
        <v>0.875</v>
      </c>
      <c r="D8015">
        <v>5.0999999999999996</v>
      </c>
      <c r="E8015">
        <f>IF($D8015 &gt; 16, 0, $J$3*(16 - $D8015))</f>
        <v>2264.4602054375973</v>
      </c>
      <c r="F8015">
        <f>IF($D8015 &gt; 16, 0,$E8015*$J$5)</f>
        <v>24612417.972901244</v>
      </c>
      <c r="G8015">
        <f t="shared" si="125"/>
        <v>10.9</v>
      </c>
    </row>
    <row r="8016" spans="2:7" x14ac:dyDescent="0.35">
      <c r="B8016" s="1">
        <v>45991</v>
      </c>
      <c r="C8016" s="2">
        <v>0.91666666666666663</v>
      </c>
      <c r="D8016">
        <v>4.5</v>
      </c>
      <c r="E8016">
        <f>IF($D8016 &gt; 16, 0, $J$3*(16 - $D8016))</f>
        <v>2389.1093910580153</v>
      </c>
      <c r="F8016">
        <f>IF($D8016 &gt; 16, 0,$E8016*$J$5)</f>
        <v>25967229.971409567</v>
      </c>
      <c r="G8016">
        <f t="shared" si="125"/>
        <v>11.5</v>
      </c>
    </row>
    <row r="8017" spans="2:7" x14ac:dyDescent="0.35">
      <c r="B8017" s="1">
        <v>45991</v>
      </c>
      <c r="C8017" s="2">
        <v>0.95833333333333337</v>
      </c>
      <c r="D8017">
        <v>3.8</v>
      </c>
      <c r="E8017">
        <f>IF($D8017 &gt; 16, 0, $J$3*(16 - $D8017))</f>
        <v>2534.5334409485031</v>
      </c>
      <c r="F8017">
        <f>IF($D8017 &gt; 16, 0,$E8017*$J$5)</f>
        <v>27547843.969669279</v>
      </c>
      <c r="G8017">
        <f t="shared" si="125"/>
        <v>12.2</v>
      </c>
    </row>
    <row r="8018" spans="2:7" x14ac:dyDescent="0.35">
      <c r="B8018" s="1">
        <v>45992</v>
      </c>
      <c r="C8018" s="2">
        <v>0</v>
      </c>
      <c r="D8018">
        <v>3.4</v>
      </c>
      <c r="E8018">
        <f>IF($D8018 &gt; 16, 0, $J$3*(16 - $D8018))</f>
        <v>2617.6328980287822</v>
      </c>
      <c r="F8018">
        <f>IF($D8018 &gt; 16, 0,$E8018*$J$5)</f>
        <v>28451051.968674835</v>
      </c>
      <c r="G8018">
        <f t="shared" si="125"/>
        <v>12.6</v>
      </c>
    </row>
    <row r="8019" spans="2:7" x14ac:dyDescent="0.35">
      <c r="B8019" s="1">
        <v>45992</v>
      </c>
      <c r="C8019" s="2">
        <v>4.1666666666666657E-2</v>
      </c>
      <c r="D8019">
        <v>3.2</v>
      </c>
      <c r="E8019">
        <f>IF($D8019 &gt; 16, 0, $J$3*(16 - $D8019))</f>
        <v>2659.1826265689215</v>
      </c>
      <c r="F8019">
        <f>IF($D8019 &gt; 16, 0,$E8019*$J$5)</f>
        <v>28902655.968177609</v>
      </c>
      <c r="G8019">
        <f t="shared" si="125"/>
        <v>12.8</v>
      </c>
    </row>
    <row r="8020" spans="2:7" x14ac:dyDescent="0.35">
      <c r="B8020" s="1">
        <v>45992</v>
      </c>
      <c r="C8020" s="2">
        <v>8.3333333333333329E-2</v>
      </c>
      <c r="D8020">
        <v>2.4</v>
      </c>
      <c r="E8020">
        <f>IF($D8020 &gt; 16, 0, $J$3*(16 - $D8020))</f>
        <v>2825.3815407294792</v>
      </c>
      <c r="F8020">
        <f>IF($D8020 &gt; 16, 0,$E8020*$J$5)</f>
        <v>30709071.96618871</v>
      </c>
      <c r="G8020">
        <f t="shared" si="125"/>
        <v>13.6</v>
      </c>
    </row>
    <row r="8021" spans="2:7" x14ac:dyDescent="0.35">
      <c r="B8021" s="1">
        <v>45992</v>
      </c>
      <c r="C8021" s="2">
        <v>0.125</v>
      </c>
      <c r="D8021">
        <v>1.6</v>
      </c>
      <c r="E8021">
        <f>IF($D8021 &gt; 16, 0, $J$3*(16 - $D8021))</f>
        <v>2991.5804548900369</v>
      </c>
      <c r="F8021">
        <f>IF($D8021 &gt; 16, 0,$E8021*$J$5)</f>
        <v>32515487.964199811</v>
      </c>
      <c r="G8021">
        <f t="shared" si="125"/>
        <v>14.4</v>
      </c>
    </row>
    <row r="8022" spans="2:7" x14ac:dyDescent="0.35">
      <c r="B8022" s="1">
        <v>45992</v>
      </c>
      <c r="C8022" s="2">
        <v>0.16666666666666671</v>
      </c>
      <c r="D8022">
        <v>1.4</v>
      </c>
      <c r="E8022">
        <f>IF($D8022 &gt; 16, 0, $J$3*(16 - $D8022))</f>
        <v>3033.1301834301762</v>
      </c>
      <c r="F8022">
        <f>IF($D8022 &gt; 16, 0,$E8022*$J$5)</f>
        <v>32967091.963702586</v>
      </c>
      <c r="G8022">
        <f t="shared" si="125"/>
        <v>14.6</v>
      </c>
    </row>
    <row r="8023" spans="2:7" x14ac:dyDescent="0.35">
      <c r="B8023" s="1">
        <v>45992</v>
      </c>
      <c r="C8023" s="2">
        <v>0.20833333333333329</v>
      </c>
      <c r="D8023">
        <v>2</v>
      </c>
      <c r="E8023">
        <f>IF($D8023 &gt; 16, 0, $J$3*(16 - $D8023))</f>
        <v>2908.4809978097578</v>
      </c>
      <c r="F8023">
        <f>IF($D8023 &gt; 16, 0,$E8023*$J$5)</f>
        <v>31612279.965194259</v>
      </c>
      <c r="G8023">
        <f t="shared" si="125"/>
        <v>14</v>
      </c>
    </row>
    <row r="8024" spans="2:7" x14ac:dyDescent="0.35">
      <c r="B8024" s="1">
        <v>45992</v>
      </c>
      <c r="C8024" s="2">
        <v>0.25</v>
      </c>
      <c r="D8024">
        <v>2.4</v>
      </c>
      <c r="E8024">
        <f>IF($D8024 &gt; 16, 0, $J$3*(16 - $D8024))</f>
        <v>2825.3815407294792</v>
      </c>
      <c r="F8024">
        <f>IF($D8024 &gt; 16, 0,$E8024*$J$5)</f>
        <v>30709071.96618871</v>
      </c>
      <c r="G8024">
        <f t="shared" si="125"/>
        <v>13.6</v>
      </c>
    </row>
    <row r="8025" spans="2:7" x14ac:dyDescent="0.35">
      <c r="B8025" s="1">
        <v>45992</v>
      </c>
      <c r="C8025" s="2">
        <v>0.29166666666666669</v>
      </c>
      <c r="D8025">
        <v>3.8</v>
      </c>
      <c r="E8025">
        <f>IF($D8025 &gt; 16, 0, $J$3*(16 - $D8025))</f>
        <v>2534.5334409485031</v>
      </c>
      <c r="F8025">
        <f>IF($D8025 &gt; 16, 0,$E8025*$J$5)</f>
        <v>27547843.969669279</v>
      </c>
      <c r="G8025">
        <f t="shared" si="125"/>
        <v>12.2</v>
      </c>
    </row>
    <row r="8026" spans="2:7" x14ac:dyDescent="0.35">
      <c r="B8026" s="1">
        <v>45992</v>
      </c>
      <c r="C8026" s="2">
        <v>0.33333333333333331</v>
      </c>
      <c r="D8026">
        <v>3.4</v>
      </c>
      <c r="E8026">
        <f>IF($D8026 &gt; 16, 0, $J$3*(16 - $D8026))</f>
        <v>2617.6328980287822</v>
      </c>
      <c r="F8026">
        <f>IF($D8026 &gt; 16, 0,$E8026*$J$5)</f>
        <v>28451051.968674835</v>
      </c>
      <c r="G8026">
        <f t="shared" si="125"/>
        <v>12.6</v>
      </c>
    </row>
    <row r="8027" spans="2:7" x14ac:dyDescent="0.35">
      <c r="B8027" s="1">
        <v>45992</v>
      </c>
      <c r="C8027" s="2">
        <v>0.375</v>
      </c>
      <c r="D8027">
        <v>4.8</v>
      </c>
      <c r="E8027">
        <f>IF($D8027 &gt; 16, 0, $J$3*(16 - $D8027))</f>
        <v>2326.7847982478061</v>
      </c>
      <c r="F8027">
        <f>IF($D8027 &gt; 16, 0,$E8027*$J$5)</f>
        <v>25289823.972155403</v>
      </c>
      <c r="G8027">
        <f t="shared" si="125"/>
        <v>11.2</v>
      </c>
    </row>
    <row r="8028" spans="2:7" x14ac:dyDescent="0.35">
      <c r="B8028" s="1">
        <v>45992</v>
      </c>
      <c r="C8028" s="2">
        <v>0.41666666666666669</v>
      </c>
      <c r="D8028">
        <v>6.1</v>
      </c>
      <c r="E8028">
        <f>IF($D8028 &gt; 16, 0, $J$3*(16 - $D8028))</f>
        <v>2056.7115627369003</v>
      </c>
      <c r="F8028">
        <f>IF($D8028 &gt; 16, 0,$E8028*$J$5)</f>
        <v>22354397.975387368</v>
      </c>
      <c r="G8028">
        <f t="shared" si="125"/>
        <v>9.9</v>
      </c>
    </row>
    <row r="8029" spans="2:7" x14ac:dyDescent="0.35">
      <c r="B8029" s="1">
        <v>45992</v>
      </c>
      <c r="C8029" s="2">
        <v>0.45833333333333331</v>
      </c>
      <c r="D8029">
        <v>6.2</v>
      </c>
      <c r="E8029">
        <f>IF($D8029 &gt; 16, 0, $J$3*(16 - $D8029))</f>
        <v>2035.9366984668306</v>
      </c>
      <c r="F8029">
        <f>IF($D8029 &gt; 16, 0,$E8029*$J$5)</f>
        <v>22128595.975635983</v>
      </c>
      <c r="G8029">
        <f t="shared" si="125"/>
        <v>9.8000000000000007</v>
      </c>
    </row>
    <row r="8030" spans="2:7" x14ac:dyDescent="0.35">
      <c r="B8030" s="1">
        <v>45992</v>
      </c>
      <c r="C8030" s="2">
        <v>0.5</v>
      </c>
      <c r="D8030">
        <v>7.2</v>
      </c>
      <c r="E8030">
        <f>IF($D8030 &gt; 16, 0, $J$3*(16 - $D8030))</f>
        <v>1828.1880557661336</v>
      </c>
      <c r="F8030">
        <f>IF($D8030 &gt; 16, 0,$E8030*$J$5)</f>
        <v>19870575.978122108</v>
      </c>
      <c r="G8030">
        <f t="shared" si="125"/>
        <v>8.8000000000000007</v>
      </c>
    </row>
    <row r="8031" spans="2:7" x14ac:dyDescent="0.35">
      <c r="B8031" s="1">
        <v>45992</v>
      </c>
      <c r="C8031" s="2">
        <v>0.54166666666666663</v>
      </c>
      <c r="D8031">
        <v>7.4</v>
      </c>
      <c r="E8031">
        <f>IF($D8031 &gt; 16, 0, $J$3*(16 - $D8031))</f>
        <v>1786.6383272259941</v>
      </c>
      <c r="F8031">
        <f>IF($D8031 &gt; 16, 0,$E8031*$J$5)</f>
        <v>19418971.97861933</v>
      </c>
      <c r="G8031">
        <f t="shared" si="125"/>
        <v>8.6</v>
      </c>
    </row>
    <row r="8032" spans="2:7" x14ac:dyDescent="0.35">
      <c r="B8032" s="1">
        <v>45992</v>
      </c>
      <c r="C8032" s="2">
        <v>0.58333333333333337</v>
      </c>
      <c r="D8032">
        <v>7.2</v>
      </c>
      <c r="E8032">
        <f>IF($D8032 &gt; 16, 0, $J$3*(16 - $D8032))</f>
        <v>1828.1880557661336</v>
      </c>
      <c r="F8032">
        <f>IF($D8032 &gt; 16, 0,$E8032*$J$5)</f>
        <v>19870575.978122108</v>
      </c>
      <c r="G8032">
        <f t="shared" si="125"/>
        <v>8.8000000000000007</v>
      </c>
    </row>
    <row r="8033" spans="2:7" x14ac:dyDescent="0.35">
      <c r="B8033" s="1">
        <v>45992</v>
      </c>
      <c r="C8033" s="2">
        <v>0.625</v>
      </c>
      <c r="D8033">
        <v>7</v>
      </c>
      <c r="E8033">
        <f>IF($D8033 &gt; 16, 0, $J$3*(16 - $D8033))</f>
        <v>1869.7377843062729</v>
      </c>
      <c r="F8033">
        <f>IF($D8033 &gt; 16, 0,$E8033*$J$5)</f>
        <v>20322179.977624882</v>
      </c>
      <c r="G8033">
        <f t="shared" si="125"/>
        <v>9</v>
      </c>
    </row>
    <row r="8034" spans="2:7" x14ac:dyDescent="0.35">
      <c r="B8034" s="1">
        <v>45992</v>
      </c>
      <c r="C8034" s="2">
        <v>0.66666666666666663</v>
      </c>
      <c r="D8034">
        <v>6.6</v>
      </c>
      <c r="E8034">
        <f>IF($D8034 &gt; 16, 0, $J$3*(16 - $D8034))</f>
        <v>1952.8372413865518</v>
      </c>
      <c r="F8034">
        <f>IF($D8034 &gt; 16, 0,$E8034*$J$5)</f>
        <v>21225387.976630431</v>
      </c>
      <c r="G8034">
        <f t="shared" si="125"/>
        <v>9.4</v>
      </c>
    </row>
    <row r="8035" spans="2:7" x14ac:dyDescent="0.35">
      <c r="B8035" s="1">
        <v>45992</v>
      </c>
      <c r="C8035" s="2">
        <v>0.70833333333333337</v>
      </c>
      <c r="D8035">
        <v>6.1</v>
      </c>
      <c r="E8035">
        <f>IF($D8035 &gt; 16, 0, $J$3*(16 - $D8035))</f>
        <v>2056.7115627369003</v>
      </c>
      <c r="F8035">
        <f>IF($D8035 &gt; 16, 0,$E8035*$J$5)</f>
        <v>22354397.975387368</v>
      </c>
      <c r="G8035">
        <f t="shared" si="125"/>
        <v>9.9</v>
      </c>
    </row>
    <row r="8036" spans="2:7" x14ac:dyDescent="0.35">
      <c r="B8036" s="1">
        <v>45992</v>
      </c>
      <c r="C8036" s="2">
        <v>0.75</v>
      </c>
      <c r="D8036">
        <v>5.3</v>
      </c>
      <c r="E8036">
        <f>IF($D8036 &gt; 16, 0, $J$3*(16 - $D8036))</f>
        <v>2222.9104768974576</v>
      </c>
      <c r="F8036">
        <f>IF($D8036 &gt; 16, 0,$E8036*$J$5)</f>
        <v>24160813.973398466</v>
      </c>
      <c r="G8036">
        <f t="shared" si="125"/>
        <v>10.7</v>
      </c>
    </row>
    <row r="8037" spans="2:7" x14ac:dyDescent="0.35">
      <c r="B8037" s="1">
        <v>45992</v>
      </c>
      <c r="C8037" s="2">
        <v>0.79166666666666663</v>
      </c>
      <c r="D8037">
        <v>5.0999999999999996</v>
      </c>
      <c r="E8037">
        <f>IF($D8037 &gt; 16, 0, $J$3*(16 - $D8037))</f>
        <v>2264.4602054375973</v>
      </c>
      <c r="F8037">
        <f>IF($D8037 &gt; 16, 0,$E8037*$J$5)</f>
        <v>24612417.972901244</v>
      </c>
      <c r="G8037">
        <f t="shared" si="125"/>
        <v>10.9</v>
      </c>
    </row>
    <row r="8038" spans="2:7" x14ac:dyDescent="0.35">
      <c r="B8038" s="1">
        <v>45992</v>
      </c>
      <c r="C8038" s="2">
        <v>0.83333333333333337</v>
      </c>
      <c r="D8038">
        <v>5</v>
      </c>
      <c r="E8038">
        <f>IF($D8038 &gt; 16, 0, $J$3*(16 - $D8038))</f>
        <v>2285.2350697076668</v>
      </c>
      <c r="F8038">
        <f>IF($D8038 &gt; 16, 0,$E8038*$J$5)</f>
        <v>24838219.972652629</v>
      </c>
      <c r="G8038">
        <f t="shared" si="125"/>
        <v>11</v>
      </c>
    </row>
    <row r="8039" spans="2:7" x14ac:dyDescent="0.35">
      <c r="B8039" s="1">
        <v>45992</v>
      </c>
      <c r="C8039" s="2">
        <v>0.875</v>
      </c>
      <c r="D8039">
        <v>5</v>
      </c>
      <c r="E8039">
        <f>IF($D8039 &gt; 16, 0, $J$3*(16 - $D8039))</f>
        <v>2285.2350697076668</v>
      </c>
      <c r="F8039">
        <f>IF($D8039 &gt; 16, 0,$E8039*$J$5)</f>
        <v>24838219.972652629</v>
      </c>
      <c r="G8039">
        <f t="shared" si="125"/>
        <v>11</v>
      </c>
    </row>
    <row r="8040" spans="2:7" x14ac:dyDescent="0.35">
      <c r="B8040" s="1">
        <v>45992</v>
      </c>
      <c r="C8040" s="2">
        <v>0.91666666666666663</v>
      </c>
      <c r="D8040">
        <v>5.2</v>
      </c>
      <c r="E8040">
        <f>IF($D8040 &gt; 16, 0, $J$3*(16 - $D8040))</f>
        <v>2243.6853411675274</v>
      </c>
      <c r="F8040">
        <f>IF($D8040 &gt; 16, 0,$E8040*$J$5)</f>
        <v>24386615.973149855</v>
      </c>
      <c r="G8040">
        <f t="shared" si="125"/>
        <v>10.8</v>
      </c>
    </row>
    <row r="8041" spans="2:7" x14ac:dyDescent="0.35">
      <c r="B8041" s="1">
        <v>45992</v>
      </c>
      <c r="C8041" s="2">
        <v>0.95833333333333337</v>
      </c>
      <c r="D8041">
        <v>5</v>
      </c>
      <c r="E8041">
        <f>IF($D8041 &gt; 16, 0, $J$3*(16 - $D8041))</f>
        <v>2285.2350697076668</v>
      </c>
      <c r="F8041">
        <f>IF($D8041 &gt; 16, 0,$E8041*$J$5)</f>
        <v>24838219.972652629</v>
      </c>
      <c r="G8041">
        <f t="shared" si="125"/>
        <v>11</v>
      </c>
    </row>
    <row r="8042" spans="2:7" x14ac:dyDescent="0.35">
      <c r="B8042" s="1">
        <v>45993</v>
      </c>
      <c r="C8042" s="2">
        <v>0</v>
      </c>
      <c r="D8042">
        <v>5.0999999999999996</v>
      </c>
      <c r="E8042">
        <f>IF($D8042 &gt; 16, 0, $J$3*(16 - $D8042))</f>
        <v>2264.4602054375973</v>
      </c>
      <c r="F8042">
        <f>IF($D8042 &gt; 16, 0,$E8042*$J$5)</f>
        <v>24612417.972901244</v>
      </c>
      <c r="G8042">
        <f t="shared" si="125"/>
        <v>10.9</v>
      </c>
    </row>
    <row r="8043" spans="2:7" x14ac:dyDescent="0.35">
      <c r="B8043" s="1">
        <v>45993</v>
      </c>
      <c r="C8043" s="2">
        <v>4.1666666666666657E-2</v>
      </c>
      <c r="D8043">
        <v>5</v>
      </c>
      <c r="E8043">
        <f>IF($D8043 &gt; 16, 0, $J$3*(16 - $D8043))</f>
        <v>2285.2350697076668</v>
      </c>
      <c r="F8043">
        <f>IF($D8043 &gt; 16, 0,$E8043*$J$5)</f>
        <v>24838219.972652629</v>
      </c>
      <c r="G8043">
        <f t="shared" si="125"/>
        <v>11</v>
      </c>
    </row>
    <row r="8044" spans="2:7" x14ac:dyDescent="0.35">
      <c r="B8044" s="1">
        <v>45993</v>
      </c>
      <c r="C8044" s="2">
        <v>8.3333333333333329E-2</v>
      </c>
      <c r="D8044">
        <v>4.8</v>
      </c>
      <c r="E8044">
        <f>IF($D8044 &gt; 16, 0, $J$3*(16 - $D8044))</f>
        <v>2326.7847982478061</v>
      </c>
      <c r="F8044">
        <f>IF($D8044 &gt; 16, 0,$E8044*$J$5)</f>
        <v>25289823.972155403</v>
      </c>
      <c r="G8044">
        <f t="shared" si="125"/>
        <v>11.2</v>
      </c>
    </row>
    <row r="8045" spans="2:7" x14ac:dyDescent="0.35">
      <c r="B8045" s="1">
        <v>45993</v>
      </c>
      <c r="C8045" s="2">
        <v>0.125</v>
      </c>
      <c r="D8045">
        <v>4.8</v>
      </c>
      <c r="E8045">
        <f>IF($D8045 &gt; 16, 0, $J$3*(16 - $D8045))</f>
        <v>2326.7847982478061</v>
      </c>
      <c r="F8045">
        <f>IF($D8045 &gt; 16, 0,$E8045*$J$5)</f>
        <v>25289823.972155403</v>
      </c>
      <c r="G8045">
        <f t="shared" si="125"/>
        <v>11.2</v>
      </c>
    </row>
    <row r="8046" spans="2:7" x14ac:dyDescent="0.35">
      <c r="B8046" s="1">
        <v>45993</v>
      </c>
      <c r="C8046" s="2">
        <v>0.16666666666666671</v>
      </c>
      <c r="D8046">
        <v>4.4000000000000004</v>
      </c>
      <c r="E8046">
        <f>IF($D8046 &gt; 16, 0, $J$3*(16 - $D8046))</f>
        <v>2409.8842553280851</v>
      </c>
      <c r="F8046">
        <f>IF($D8046 &gt; 16, 0,$E8046*$J$5)</f>
        <v>26193031.971160956</v>
      </c>
      <c r="G8046">
        <f t="shared" si="125"/>
        <v>11.6</v>
      </c>
    </row>
    <row r="8047" spans="2:7" x14ac:dyDescent="0.35">
      <c r="B8047" s="1">
        <v>45993</v>
      </c>
      <c r="C8047" s="2">
        <v>0.20833333333333329</v>
      </c>
      <c r="D8047">
        <v>3.7</v>
      </c>
      <c r="E8047">
        <f>IF($D8047 &gt; 16, 0, $J$3*(16 - $D8047))</f>
        <v>2555.308305218573</v>
      </c>
      <c r="F8047">
        <f>IF($D8047 &gt; 16, 0,$E8047*$J$5)</f>
        <v>27773645.969420668</v>
      </c>
      <c r="G8047">
        <f t="shared" si="125"/>
        <v>12.3</v>
      </c>
    </row>
    <row r="8048" spans="2:7" x14ac:dyDescent="0.35">
      <c r="B8048" s="1">
        <v>45993</v>
      </c>
      <c r="C8048" s="2">
        <v>0.25</v>
      </c>
      <c r="D8048">
        <v>4</v>
      </c>
      <c r="E8048">
        <f>IF($D8048 &gt; 16, 0, $J$3*(16 - $D8048))</f>
        <v>2492.9837124083638</v>
      </c>
      <c r="F8048">
        <f>IF($D8048 &gt; 16, 0,$E8048*$J$5)</f>
        <v>27096239.970166504</v>
      </c>
      <c r="G8048">
        <f t="shared" si="125"/>
        <v>12</v>
      </c>
    </row>
    <row r="8049" spans="2:7" x14ac:dyDescent="0.35">
      <c r="B8049" s="1">
        <v>45993</v>
      </c>
      <c r="C8049" s="2">
        <v>0.29166666666666669</v>
      </c>
      <c r="D8049">
        <v>4.2</v>
      </c>
      <c r="E8049">
        <f>IF($D8049 &gt; 16, 0, $J$3*(16 - $D8049))</f>
        <v>2451.4339838682245</v>
      </c>
      <c r="F8049">
        <f>IF($D8049 &gt; 16, 0,$E8049*$J$5)</f>
        <v>26644635.97066373</v>
      </c>
      <c r="G8049">
        <f t="shared" si="125"/>
        <v>11.8</v>
      </c>
    </row>
    <row r="8050" spans="2:7" x14ac:dyDescent="0.35">
      <c r="B8050" s="1">
        <v>45993</v>
      </c>
      <c r="C8050" s="2">
        <v>0.33333333333333331</v>
      </c>
      <c r="D8050">
        <v>4.2</v>
      </c>
      <c r="E8050">
        <f>IF($D8050 &gt; 16, 0, $J$3*(16 - $D8050))</f>
        <v>2451.4339838682245</v>
      </c>
      <c r="F8050">
        <f>IF($D8050 &gt; 16, 0,$E8050*$J$5)</f>
        <v>26644635.97066373</v>
      </c>
      <c r="G8050">
        <f t="shared" si="125"/>
        <v>11.8</v>
      </c>
    </row>
    <row r="8051" spans="2:7" x14ac:dyDescent="0.35">
      <c r="B8051" s="1">
        <v>45993</v>
      </c>
      <c r="C8051" s="2">
        <v>0.375</v>
      </c>
      <c r="D8051">
        <v>4.5</v>
      </c>
      <c r="E8051">
        <f>IF($D8051 &gt; 16, 0, $J$3*(16 - $D8051))</f>
        <v>2389.1093910580153</v>
      </c>
      <c r="F8051">
        <f>IF($D8051 &gt; 16, 0,$E8051*$J$5)</f>
        <v>25967229.971409567</v>
      </c>
      <c r="G8051">
        <f t="shared" si="125"/>
        <v>11.5</v>
      </c>
    </row>
    <row r="8052" spans="2:7" x14ac:dyDescent="0.35">
      <c r="B8052" s="1">
        <v>45993</v>
      </c>
      <c r="C8052" s="2">
        <v>0.41666666666666669</v>
      </c>
      <c r="D8052">
        <v>4.8</v>
      </c>
      <c r="E8052">
        <f>IF($D8052 &gt; 16, 0, $J$3*(16 - $D8052))</f>
        <v>2326.7847982478061</v>
      </c>
      <c r="F8052">
        <f>IF($D8052 &gt; 16, 0,$E8052*$J$5)</f>
        <v>25289823.972155403</v>
      </c>
      <c r="G8052">
        <f t="shared" si="125"/>
        <v>11.2</v>
      </c>
    </row>
    <row r="8053" spans="2:7" x14ac:dyDescent="0.35">
      <c r="B8053" s="1">
        <v>45993</v>
      </c>
      <c r="C8053" s="2">
        <v>0.45833333333333331</v>
      </c>
      <c r="D8053">
        <v>5.2</v>
      </c>
      <c r="E8053">
        <f>IF($D8053 &gt; 16, 0, $J$3*(16 - $D8053))</f>
        <v>2243.6853411675274</v>
      </c>
      <c r="F8053">
        <f>IF($D8053 &gt; 16, 0,$E8053*$J$5)</f>
        <v>24386615.973149855</v>
      </c>
      <c r="G8053">
        <f t="shared" si="125"/>
        <v>10.8</v>
      </c>
    </row>
    <row r="8054" spans="2:7" x14ac:dyDescent="0.35">
      <c r="B8054" s="1">
        <v>45993</v>
      </c>
      <c r="C8054" s="2">
        <v>0.5</v>
      </c>
      <c r="D8054">
        <v>5.3</v>
      </c>
      <c r="E8054">
        <f>IF($D8054 &gt; 16, 0, $J$3*(16 - $D8054))</f>
        <v>2222.9104768974576</v>
      </c>
      <c r="F8054">
        <f>IF($D8054 &gt; 16, 0,$E8054*$J$5)</f>
        <v>24160813.973398466</v>
      </c>
      <c r="G8054">
        <f t="shared" si="125"/>
        <v>10.7</v>
      </c>
    </row>
    <row r="8055" spans="2:7" x14ac:dyDescent="0.35">
      <c r="B8055" s="1">
        <v>45993</v>
      </c>
      <c r="C8055" s="2">
        <v>0.54166666666666663</v>
      </c>
      <c r="D8055">
        <v>5.6</v>
      </c>
      <c r="E8055">
        <f>IF($D8055 &gt; 16, 0, $J$3*(16 - $D8055))</f>
        <v>2160.5858840872488</v>
      </c>
      <c r="F8055">
        <f>IF($D8055 &gt; 16, 0,$E8055*$J$5)</f>
        <v>23483407.974144306</v>
      </c>
      <c r="G8055">
        <f t="shared" si="125"/>
        <v>10.4</v>
      </c>
    </row>
    <row r="8056" spans="2:7" x14ac:dyDescent="0.35">
      <c r="B8056" s="1">
        <v>45993</v>
      </c>
      <c r="C8056" s="2">
        <v>0.58333333333333337</v>
      </c>
      <c r="D8056">
        <v>5.5</v>
      </c>
      <c r="E8056">
        <f>IF($D8056 &gt; 16, 0, $J$3*(16 - $D8056))</f>
        <v>2181.3607483573182</v>
      </c>
      <c r="F8056">
        <f>IF($D8056 &gt; 16, 0,$E8056*$J$5)</f>
        <v>23709209.973895691</v>
      </c>
      <c r="G8056">
        <f t="shared" si="125"/>
        <v>10.5</v>
      </c>
    </row>
    <row r="8057" spans="2:7" x14ac:dyDescent="0.35">
      <c r="B8057" s="1">
        <v>45993</v>
      </c>
      <c r="C8057" s="2">
        <v>0.625</v>
      </c>
      <c r="D8057">
        <v>5.2</v>
      </c>
      <c r="E8057">
        <f>IF($D8057 &gt; 16, 0, $J$3*(16 - $D8057))</f>
        <v>2243.6853411675274</v>
      </c>
      <c r="F8057">
        <f>IF($D8057 &gt; 16, 0,$E8057*$J$5)</f>
        <v>24386615.973149855</v>
      </c>
      <c r="G8057">
        <f t="shared" si="125"/>
        <v>10.8</v>
      </c>
    </row>
    <row r="8058" spans="2:7" x14ac:dyDescent="0.35">
      <c r="B8058" s="1">
        <v>45993</v>
      </c>
      <c r="C8058" s="2">
        <v>0.66666666666666663</v>
      </c>
      <c r="D8058">
        <v>5.5</v>
      </c>
      <c r="E8058">
        <f>IF($D8058 &gt; 16, 0, $J$3*(16 - $D8058))</f>
        <v>2181.3607483573182</v>
      </c>
      <c r="F8058">
        <f>IF($D8058 &gt; 16, 0,$E8058*$J$5)</f>
        <v>23709209.973895691</v>
      </c>
      <c r="G8058">
        <f t="shared" si="125"/>
        <v>10.5</v>
      </c>
    </row>
    <row r="8059" spans="2:7" x14ac:dyDescent="0.35">
      <c r="B8059" s="1">
        <v>45993</v>
      </c>
      <c r="C8059" s="2">
        <v>0.70833333333333337</v>
      </c>
      <c r="D8059">
        <v>6</v>
      </c>
      <c r="E8059">
        <f>IF($D8059 &gt; 16, 0, $J$3*(16 - $D8059))</f>
        <v>2077.4864270069697</v>
      </c>
      <c r="F8059">
        <f>IF($D8059 &gt; 16, 0,$E8059*$J$5)</f>
        <v>22580199.975138754</v>
      </c>
      <c r="G8059">
        <f t="shared" si="125"/>
        <v>10</v>
      </c>
    </row>
    <row r="8060" spans="2:7" x14ac:dyDescent="0.35">
      <c r="B8060" s="1">
        <v>45993</v>
      </c>
      <c r="C8060" s="2">
        <v>0.75</v>
      </c>
      <c r="D8060">
        <v>6.1</v>
      </c>
      <c r="E8060">
        <f>IF($D8060 &gt; 16, 0, $J$3*(16 - $D8060))</f>
        <v>2056.7115627369003</v>
      </c>
      <c r="F8060">
        <f>IF($D8060 &gt; 16, 0,$E8060*$J$5)</f>
        <v>22354397.975387368</v>
      </c>
      <c r="G8060">
        <f t="shared" si="125"/>
        <v>9.9</v>
      </c>
    </row>
    <row r="8061" spans="2:7" x14ac:dyDescent="0.35">
      <c r="B8061" s="1">
        <v>45993</v>
      </c>
      <c r="C8061" s="2">
        <v>0.79166666666666663</v>
      </c>
      <c r="D8061">
        <v>6.2</v>
      </c>
      <c r="E8061">
        <f>IF($D8061 &gt; 16, 0, $J$3*(16 - $D8061))</f>
        <v>2035.9366984668306</v>
      </c>
      <c r="F8061">
        <f>IF($D8061 &gt; 16, 0,$E8061*$J$5)</f>
        <v>22128595.975635983</v>
      </c>
      <c r="G8061">
        <f t="shared" si="125"/>
        <v>9.8000000000000007</v>
      </c>
    </row>
    <row r="8062" spans="2:7" x14ac:dyDescent="0.35">
      <c r="B8062" s="1">
        <v>45993</v>
      </c>
      <c r="C8062" s="2">
        <v>0.83333333333333337</v>
      </c>
      <c r="D8062">
        <v>5.7</v>
      </c>
      <c r="E8062">
        <f>IF($D8062 &gt; 16, 0, $J$3*(16 - $D8062))</f>
        <v>2139.8110198171789</v>
      </c>
      <c r="F8062">
        <f>IF($D8062 &gt; 16, 0,$E8062*$J$5)</f>
        <v>23257605.974392917</v>
      </c>
      <c r="G8062">
        <f t="shared" si="125"/>
        <v>10.3</v>
      </c>
    </row>
    <row r="8063" spans="2:7" x14ac:dyDescent="0.35">
      <c r="B8063" s="1">
        <v>45993</v>
      </c>
      <c r="C8063" s="2">
        <v>0.875</v>
      </c>
      <c r="D8063">
        <v>5.6</v>
      </c>
      <c r="E8063">
        <f>IF($D8063 &gt; 16, 0, $J$3*(16 - $D8063))</f>
        <v>2160.5858840872488</v>
      </c>
      <c r="F8063">
        <f>IF($D8063 &gt; 16, 0,$E8063*$J$5)</f>
        <v>23483407.974144306</v>
      </c>
      <c r="G8063">
        <f t="shared" si="125"/>
        <v>10.4</v>
      </c>
    </row>
    <row r="8064" spans="2:7" x14ac:dyDescent="0.35">
      <c r="B8064" s="1">
        <v>45993</v>
      </c>
      <c r="C8064" s="2">
        <v>0.91666666666666663</v>
      </c>
      <c r="D8064">
        <v>5.5</v>
      </c>
      <c r="E8064">
        <f>IF($D8064 &gt; 16, 0, $J$3*(16 - $D8064))</f>
        <v>2181.3607483573182</v>
      </c>
      <c r="F8064">
        <f>IF($D8064 &gt; 16, 0,$E8064*$J$5)</f>
        <v>23709209.973895691</v>
      </c>
      <c r="G8064">
        <f t="shared" si="125"/>
        <v>10.5</v>
      </c>
    </row>
    <row r="8065" spans="2:7" x14ac:dyDescent="0.35">
      <c r="B8065" s="1">
        <v>45993</v>
      </c>
      <c r="C8065" s="2">
        <v>0.95833333333333337</v>
      </c>
      <c r="D8065">
        <v>5.7</v>
      </c>
      <c r="E8065">
        <f>IF($D8065 &gt; 16, 0, $J$3*(16 - $D8065))</f>
        <v>2139.8110198171789</v>
      </c>
      <c r="F8065">
        <f>IF($D8065 &gt; 16, 0,$E8065*$J$5)</f>
        <v>23257605.974392917</v>
      </c>
      <c r="G8065">
        <f t="shared" si="125"/>
        <v>10.3</v>
      </c>
    </row>
    <row r="8066" spans="2:7" x14ac:dyDescent="0.35">
      <c r="B8066" s="1">
        <v>45994</v>
      </c>
      <c r="C8066" s="2">
        <v>0</v>
      </c>
      <c r="D8066">
        <v>5.5</v>
      </c>
      <c r="E8066">
        <f>IF($D8066 &gt; 16, 0, $J$3*(16 - $D8066))</f>
        <v>2181.3607483573182</v>
      </c>
      <c r="F8066">
        <f>IF($D8066 &gt; 16, 0,$E8066*$J$5)</f>
        <v>23709209.973895691</v>
      </c>
      <c r="G8066">
        <f t="shared" si="125"/>
        <v>10.5</v>
      </c>
    </row>
    <row r="8067" spans="2:7" x14ac:dyDescent="0.35">
      <c r="B8067" s="1">
        <v>45994</v>
      </c>
      <c r="C8067" s="2">
        <v>4.1666666666666657E-2</v>
      </c>
      <c r="D8067">
        <v>5.4</v>
      </c>
      <c r="E8067">
        <f>IF($D8067 &gt; 16, 0, $J$3*(16 - $D8067))</f>
        <v>2202.1356126273881</v>
      </c>
      <c r="F8067">
        <f>IF($D8067 &gt; 16, 0,$E8067*$J$5)</f>
        <v>23935011.97364708</v>
      </c>
      <c r="G8067">
        <f t="shared" ref="G8067:G8130" si="126">MAX(0, 16 - $D8067)</f>
        <v>10.6</v>
      </c>
    </row>
    <row r="8068" spans="2:7" x14ac:dyDescent="0.35">
      <c r="B8068" s="1">
        <v>45994</v>
      </c>
      <c r="C8068" s="2">
        <v>8.3333333333333329E-2</v>
      </c>
      <c r="D8068">
        <v>5.4</v>
      </c>
      <c r="E8068">
        <f>IF($D8068 &gt; 16, 0, $J$3*(16 - $D8068))</f>
        <v>2202.1356126273881</v>
      </c>
      <c r="F8068">
        <f>IF($D8068 &gt; 16, 0,$E8068*$J$5)</f>
        <v>23935011.97364708</v>
      </c>
      <c r="G8068">
        <f t="shared" si="126"/>
        <v>10.6</v>
      </c>
    </row>
    <row r="8069" spans="2:7" x14ac:dyDescent="0.35">
      <c r="B8069" s="1">
        <v>45994</v>
      </c>
      <c r="C8069" s="2">
        <v>0.125</v>
      </c>
      <c r="D8069">
        <v>5</v>
      </c>
      <c r="E8069">
        <f>IF($D8069 &gt; 16, 0, $J$3*(16 - $D8069))</f>
        <v>2285.2350697076668</v>
      </c>
      <c r="F8069">
        <f>IF($D8069 &gt; 16, 0,$E8069*$J$5)</f>
        <v>24838219.972652629</v>
      </c>
      <c r="G8069">
        <f t="shared" si="126"/>
        <v>11</v>
      </c>
    </row>
    <row r="8070" spans="2:7" x14ac:dyDescent="0.35">
      <c r="B8070" s="1">
        <v>45994</v>
      </c>
      <c r="C8070" s="2">
        <v>0.16666666666666671</v>
      </c>
      <c r="D8070">
        <v>5.0999999999999996</v>
      </c>
      <c r="E8070">
        <f>IF($D8070 &gt; 16, 0, $J$3*(16 - $D8070))</f>
        <v>2264.4602054375973</v>
      </c>
      <c r="F8070">
        <f>IF($D8070 &gt; 16, 0,$E8070*$J$5)</f>
        <v>24612417.972901244</v>
      </c>
      <c r="G8070">
        <f t="shared" si="126"/>
        <v>10.9</v>
      </c>
    </row>
    <row r="8071" spans="2:7" x14ac:dyDescent="0.35">
      <c r="B8071" s="1">
        <v>45994</v>
      </c>
      <c r="C8071" s="2">
        <v>0.20833333333333329</v>
      </c>
      <c r="D8071">
        <v>5</v>
      </c>
      <c r="E8071">
        <f>IF($D8071 &gt; 16, 0, $J$3*(16 - $D8071))</f>
        <v>2285.2350697076668</v>
      </c>
      <c r="F8071">
        <f>IF($D8071 &gt; 16, 0,$E8071*$J$5)</f>
        <v>24838219.972652629</v>
      </c>
      <c r="G8071">
        <f t="shared" si="126"/>
        <v>11</v>
      </c>
    </row>
    <row r="8072" spans="2:7" x14ac:dyDescent="0.35">
      <c r="B8072" s="1">
        <v>45994</v>
      </c>
      <c r="C8072" s="2">
        <v>0.25</v>
      </c>
      <c r="D8072">
        <v>4.7</v>
      </c>
      <c r="E8072">
        <f>IF($D8072 &gt; 16, 0, $J$3*(16 - $D8072))</f>
        <v>2347.5596625178759</v>
      </c>
      <c r="F8072">
        <f>IF($D8072 &gt; 16, 0,$E8072*$J$5)</f>
        <v>25515625.971906792</v>
      </c>
      <c r="G8072">
        <f t="shared" si="126"/>
        <v>11.3</v>
      </c>
    </row>
    <row r="8073" spans="2:7" x14ac:dyDescent="0.35">
      <c r="B8073" s="1">
        <v>45994</v>
      </c>
      <c r="C8073" s="2">
        <v>0.29166666666666669</v>
      </c>
      <c r="D8073">
        <v>4.7</v>
      </c>
      <c r="E8073">
        <f>IF($D8073 &gt; 16, 0, $J$3*(16 - $D8073))</f>
        <v>2347.5596625178759</v>
      </c>
      <c r="F8073">
        <f>IF($D8073 &gt; 16, 0,$E8073*$J$5)</f>
        <v>25515625.971906792</v>
      </c>
      <c r="G8073">
        <f t="shared" si="126"/>
        <v>11.3</v>
      </c>
    </row>
    <row r="8074" spans="2:7" x14ac:dyDescent="0.35">
      <c r="B8074" s="1">
        <v>45994</v>
      </c>
      <c r="C8074" s="2">
        <v>0.33333333333333331</v>
      </c>
      <c r="D8074">
        <v>5.2</v>
      </c>
      <c r="E8074">
        <f>IF($D8074 &gt; 16, 0, $J$3*(16 - $D8074))</f>
        <v>2243.6853411675274</v>
      </c>
      <c r="F8074">
        <f>IF($D8074 &gt; 16, 0,$E8074*$J$5)</f>
        <v>24386615.973149855</v>
      </c>
      <c r="G8074">
        <f t="shared" si="126"/>
        <v>10.8</v>
      </c>
    </row>
    <row r="8075" spans="2:7" x14ac:dyDescent="0.35">
      <c r="B8075" s="1">
        <v>45994</v>
      </c>
      <c r="C8075" s="2">
        <v>0.375</v>
      </c>
      <c r="D8075">
        <v>5.7</v>
      </c>
      <c r="E8075">
        <f>IF($D8075 &gt; 16, 0, $J$3*(16 - $D8075))</f>
        <v>2139.8110198171789</v>
      </c>
      <c r="F8075">
        <f>IF($D8075 &gt; 16, 0,$E8075*$J$5)</f>
        <v>23257605.974392917</v>
      </c>
      <c r="G8075">
        <f t="shared" si="126"/>
        <v>10.3</v>
      </c>
    </row>
    <row r="8076" spans="2:7" x14ac:dyDescent="0.35">
      <c r="B8076" s="1">
        <v>45994</v>
      </c>
      <c r="C8076" s="2">
        <v>0.41666666666666669</v>
      </c>
      <c r="D8076">
        <v>6.4</v>
      </c>
      <c r="E8076">
        <f>IF($D8076 &gt; 16, 0, $J$3*(16 - $D8076))</f>
        <v>1994.3869699266911</v>
      </c>
      <c r="F8076">
        <f>IF($D8076 &gt; 16, 0,$E8076*$J$5)</f>
        <v>21676991.976133205</v>
      </c>
      <c r="G8076">
        <f t="shared" si="126"/>
        <v>9.6</v>
      </c>
    </row>
    <row r="8077" spans="2:7" x14ac:dyDescent="0.35">
      <c r="B8077" s="1">
        <v>45994</v>
      </c>
      <c r="C8077" s="2">
        <v>0.45833333333333331</v>
      </c>
      <c r="D8077">
        <v>6.6</v>
      </c>
      <c r="E8077">
        <f>IF($D8077 &gt; 16, 0, $J$3*(16 - $D8077))</f>
        <v>1952.8372413865518</v>
      </c>
      <c r="F8077">
        <f>IF($D8077 &gt; 16, 0,$E8077*$J$5)</f>
        <v>21225387.976630431</v>
      </c>
      <c r="G8077">
        <f t="shared" si="126"/>
        <v>9.4</v>
      </c>
    </row>
    <row r="8078" spans="2:7" x14ac:dyDescent="0.35">
      <c r="B8078" s="1">
        <v>45994</v>
      </c>
      <c r="C8078" s="2">
        <v>0.5</v>
      </c>
      <c r="D8078">
        <v>7.1</v>
      </c>
      <c r="E8078">
        <f>IF($D8078 &gt; 16, 0, $J$3*(16 - $D8078))</f>
        <v>1848.9629200362033</v>
      </c>
      <c r="F8078">
        <f>IF($D8078 &gt; 16, 0,$E8078*$J$5)</f>
        <v>20096377.977873493</v>
      </c>
      <c r="G8078">
        <f t="shared" si="126"/>
        <v>8.9</v>
      </c>
    </row>
    <row r="8079" spans="2:7" x14ac:dyDescent="0.35">
      <c r="B8079" s="1">
        <v>45994</v>
      </c>
      <c r="C8079" s="2">
        <v>0.54166666666666663</v>
      </c>
      <c r="D8079">
        <v>7.5</v>
      </c>
      <c r="E8079">
        <f>IF($D8079 &gt; 16, 0, $J$3*(16 - $D8079))</f>
        <v>1765.8634629559244</v>
      </c>
      <c r="F8079">
        <f>IF($D8079 &gt; 16, 0,$E8079*$J$5)</f>
        <v>19193169.978867944</v>
      </c>
      <c r="G8079">
        <f t="shared" si="126"/>
        <v>8.5</v>
      </c>
    </row>
    <row r="8080" spans="2:7" x14ac:dyDescent="0.35">
      <c r="B8080" s="1">
        <v>45994</v>
      </c>
      <c r="C8080" s="2">
        <v>0.58333333333333337</v>
      </c>
      <c r="D8080">
        <v>7.5</v>
      </c>
      <c r="E8080">
        <f>IF($D8080 &gt; 16, 0, $J$3*(16 - $D8080))</f>
        <v>1765.8634629559244</v>
      </c>
      <c r="F8080">
        <f>IF($D8080 &gt; 16, 0,$E8080*$J$5)</f>
        <v>19193169.978867944</v>
      </c>
      <c r="G8080">
        <f t="shared" si="126"/>
        <v>8.5</v>
      </c>
    </row>
    <row r="8081" spans="2:7" x14ac:dyDescent="0.35">
      <c r="B8081" s="1">
        <v>45994</v>
      </c>
      <c r="C8081" s="2">
        <v>0.625</v>
      </c>
      <c r="D8081">
        <v>6.7</v>
      </c>
      <c r="E8081">
        <f>IF($D8081 &gt; 16, 0, $J$3*(16 - $D8081))</f>
        <v>1932.0623771164821</v>
      </c>
      <c r="F8081">
        <f>IF($D8081 &gt; 16, 0,$E8081*$J$5)</f>
        <v>20999585.976879045</v>
      </c>
      <c r="G8081">
        <f t="shared" si="126"/>
        <v>9.3000000000000007</v>
      </c>
    </row>
    <row r="8082" spans="2:7" x14ac:dyDescent="0.35">
      <c r="B8082" s="1">
        <v>45994</v>
      </c>
      <c r="C8082" s="2">
        <v>0.66666666666666663</v>
      </c>
      <c r="D8082">
        <v>6.7</v>
      </c>
      <c r="E8082">
        <f>IF($D8082 &gt; 16, 0, $J$3*(16 - $D8082))</f>
        <v>1932.0623771164821</v>
      </c>
      <c r="F8082">
        <f>IF($D8082 &gt; 16, 0,$E8082*$J$5)</f>
        <v>20999585.976879045</v>
      </c>
      <c r="G8082">
        <f t="shared" si="126"/>
        <v>9.3000000000000007</v>
      </c>
    </row>
    <row r="8083" spans="2:7" x14ac:dyDescent="0.35">
      <c r="B8083" s="1">
        <v>45994</v>
      </c>
      <c r="C8083" s="2">
        <v>0.70833333333333337</v>
      </c>
      <c r="D8083">
        <v>6.5</v>
      </c>
      <c r="E8083">
        <f>IF($D8083 &gt; 16, 0, $J$3*(16 - $D8083))</f>
        <v>1973.6121056566215</v>
      </c>
      <c r="F8083">
        <f>IF($D8083 &gt; 16, 0,$E8083*$J$5)</f>
        <v>21451189.97638182</v>
      </c>
      <c r="G8083">
        <f t="shared" si="126"/>
        <v>9.5</v>
      </c>
    </row>
    <row r="8084" spans="2:7" x14ac:dyDescent="0.35">
      <c r="B8084" s="1">
        <v>45994</v>
      </c>
      <c r="C8084" s="2">
        <v>0.75</v>
      </c>
      <c r="D8084">
        <v>6.6</v>
      </c>
      <c r="E8084">
        <f>IF($D8084 &gt; 16, 0, $J$3*(16 - $D8084))</f>
        <v>1952.8372413865518</v>
      </c>
      <c r="F8084">
        <f>IF($D8084 &gt; 16, 0,$E8084*$J$5)</f>
        <v>21225387.976630431</v>
      </c>
      <c r="G8084">
        <f t="shared" si="126"/>
        <v>9.4</v>
      </c>
    </row>
    <row r="8085" spans="2:7" x14ac:dyDescent="0.35">
      <c r="B8085" s="1">
        <v>45994</v>
      </c>
      <c r="C8085" s="2">
        <v>0.79166666666666663</v>
      </c>
      <c r="D8085">
        <v>6.3</v>
      </c>
      <c r="E8085">
        <f>IF($D8085 &gt; 16, 0, $J$3*(16 - $D8085))</f>
        <v>2015.1618341967608</v>
      </c>
      <c r="F8085">
        <f>IF($D8085 &gt; 16, 0,$E8085*$J$5)</f>
        <v>21902793.975884594</v>
      </c>
      <c r="G8085">
        <f t="shared" si="126"/>
        <v>9.6999999999999993</v>
      </c>
    </row>
    <row r="8086" spans="2:7" x14ac:dyDescent="0.35">
      <c r="B8086" s="1">
        <v>45994</v>
      </c>
      <c r="C8086" s="2">
        <v>0.83333333333333337</v>
      </c>
      <c r="D8086">
        <v>6.3</v>
      </c>
      <c r="E8086">
        <f>IF($D8086 &gt; 16, 0, $J$3*(16 - $D8086))</f>
        <v>2015.1618341967608</v>
      </c>
      <c r="F8086">
        <f>IF($D8086 &gt; 16, 0,$E8086*$J$5)</f>
        <v>21902793.975884594</v>
      </c>
      <c r="G8086">
        <f t="shared" si="126"/>
        <v>9.6999999999999993</v>
      </c>
    </row>
    <row r="8087" spans="2:7" x14ac:dyDescent="0.35">
      <c r="B8087" s="1">
        <v>45994</v>
      </c>
      <c r="C8087" s="2">
        <v>0.875</v>
      </c>
      <c r="D8087">
        <v>6</v>
      </c>
      <c r="E8087">
        <f>IF($D8087 &gt; 16, 0, $J$3*(16 - $D8087))</f>
        <v>2077.4864270069697</v>
      </c>
      <c r="F8087">
        <f>IF($D8087 &gt; 16, 0,$E8087*$J$5)</f>
        <v>22580199.975138754</v>
      </c>
      <c r="G8087">
        <f t="shared" si="126"/>
        <v>10</v>
      </c>
    </row>
    <row r="8088" spans="2:7" x14ac:dyDescent="0.35">
      <c r="B8088" s="1">
        <v>45994</v>
      </c>
      <c r="C8088" s="2">
        <v>0.91666666666666663</v>
      </c>
      <c r="D8088">
        <v>5.7</v>
      </c>
      <c r="E8088">
        <f>IF($D8088 &gt; 16, 0, $J$3*(16 - $D8088))</f>
        <v>2139.8110198171789</v>
      </c>
      <c r="F8088">
        <f>IF($D8088 &gt; 16, 0,$E8088*$J$5)</f>
        <v>23257605.974392917</v>
      </c>
      <c r="G8088">
        <f t="shared" si="126"/>
        <v>10.3</v>
      </c>
    </row>
    <row r="8089" spans="2:7" x14ac:dyDescent="0.35">
      <c r="B8089" s="1">
        <v>45994</v>
      </c>
      <c r="C8089" s="2">
        <v>0.95833333333333337</v>
      </c>
      <c r="D8089">
        <v>5.7</v>
      </c>
      <c r="E8089">
        <f>IF($D8089 &gt; 16, 0, $J$3*(16 - $D8089))</f>
        <v>2139.8110198171789</v>
      </c>
      <c r="F8089">
        <f>IF($D8089 &gt; 16, 0,$E8089*$J$5)</f>
        <v>23257605.974392917</v>
      </c>
      <c r="G8089">
        <f t="shared" si="126"/>
        <v>10.3</v>
      </c>
    </row>
    <row r="8090" spans="2:7" x14ac:dyDescent="0.35">
      <c r="B8090" s="1">
        <v>45995</v>
      </c>
      <c r="C8090" s="2">
        <v>0</v>
      </c>
      <c r="D8090">
        <v>5.4</v>
      </c>
      <c r="E8090">
        <f>IF($D8090 &gt; 16, 0, $J$3*(16 - $D8090))</f>
        <v>2202.1356126273881</v>
      </c>
      <c r="F8090">
        <f>IF($D8090 &gt; 16, 0,$E8090*$J$5)</f>
        <v>23935011.97364708</v>
      </c>
      <c r="G8090">
        <f t="shared" si="126"/>
        <v>10.6</v>
      </c>
    </row>
    <row r="8091" spans="2:7" x14ac:dyDescent="0.35">
      <c r="B8091" s="1">
        <v>45995</v>
      </c>
      <c r="C8091" s="2">
        <v>4.1666666666666657E-2</v>
      </c>
      <c r="D8091">
        <v>5.5</v>
      </c>
      <c r="E8091">
        <f>IF($D8091 &gt; 16, 0, $J$3*(16 - $D8091))</f>
        <v>2181.3607483573182</v>
      </c>
      <c r="F8091">
        <f>IF($D8091 &gt; 16, 0,$E8091*$J$5)</f>
        <v>23709209.973895691</v>
      </c>
      <c r="G8091">
        <f t="shared" si="126"/>
        <v>10.5</v>
      </c>
    </row>
    <row r="8092" spans="2:7" x14ac:dyDescent="0.35">
      <c r="B8092" s="1">
        <v>45995</v>
      </c>
      <c r="C8092" s="2">
        <v>8.3333333333333329E-2</v>
      </c>
      <c r="D8092">
        <v>5.0999999999999996</v>
      </c>
      <c r="E8092">
        <f>IF($D8092 &gt; 16, 0, $J$3*(16 - $D8092))</f>
        <v>2264.4602054375973</v>
      </c>
      <c r="F8092">
        <f>IF($D8092 &gt; 16, 0,$E8092*$J$5)</f>
        <v>24612417.972901244</v>
      </c>
      <c r="G8092">
        <f t="shared" si="126"/>
        <v>10.9</v>
      </c>
    </row>
    <row r="8093" spans="2:7" x14ac:dyDescent="0.35">
      <c r="B8093" s="1">
        <v>45995</v>
      </c>
      <c r="C8093" s="2">
        <v>0.125</v>
      </c>
      <c r="D8093">
        <v>4.4000000000000004</v>
      </c>
      <c r="E8093">
        <f>IF($D8093 &gt; 16, 0, $J$3*(16 - $D8093))</f>
        <v>2409.8842553280851</v>
      </c>
      <c r="F8093">
        <f>IF($D8093 &gt; 16, 0,$E8093*$J$5)</f>
        <v>26193031.971160956</v>
      </c>
      <c r="G8093">
        <f t="shared" si="126"/>
        <v>11.6</v>
      </c>
    </row>
    <row r="8094" spans="2:7" x14ac:dyDescent="0.35">
      <c r="B8094" s="1">
        <v>45995</v>
      </c>
      <c r="C8094" s="2">
        <v>0.16666666666666671</v>
      </c>
      <c r="D8094">
        <v>4.5999999999999996</v>
      </c>
      <c r="E8094">
        <f>IF($D8094 &gt; 16, 0, $J$3*(16 - $D8094))</f>
        <v>2368.3345267879458</v>
      </c>
      <c r="F8094">
        <f>IF($D8094 &gt; 16, 0,$E8094*$J$5)</f>
        <v>25741427.971658185</v>
      </c>
      <c r="G8094">
        <f t="shared" si="126"/>
        <v>11.4</v>
      </c>
    </row>
    <row r="8095" spans="2:7" x14ac:dyDescent="0.35">
      <c r="B8095" s="1">
        <v>45995</v>
      </c>
      <c r="C8095" s="2">
        <v>0.20833333333333329</v>
      </c>
      <c r="D8095">
        <v>4.5999999999999996</v>
      </c>
      <c r="E8095">
        <f>IF($D8095 &gt; 16, 0, $J$3*(16 - $D8095))</f>
        <v>2368.3345267879458</v>
      </c>
      <c r="F8095">
        <f>IF($D8095 &gt; 16, 0,$E8095*$J$5)</f>
        <v>25741427.971658185</v>
      </c>
      <c r="G8095">
        <f t="shared" si="126"/>
        <v>11.4</v>
      </c>
    </row>
    <row r="8096" spans="2:7" x14ac:dyDescent="0.35">
      <c r="B8096" s="1">
        <v>45995</v>
      </c>
      <c r="C8096" s="2">
        <v>0.25</v>
      </c>
      <c r="D8096">
        <v>4.4000000000000004</v>
      </c>
      <c r="E8096">
        <f>IF($D8096 &gt; 16, 0, $J$3*(16 - $D8096))</f>
        <v>2409.8842553280851</v>
      </c>
      <c r="F8096">
        <f>IF($D8096 &gt; 16, 0,$E8096*$J$5)</f>
        <v>26193031.971160956</v>
      </c>
      <c r="G8096">
        <f t="shared" si="126"/>
        <v>11.6</v>
      </c>
    </row>
    <row r="8097" spans="2:7" x14ac:dyDescent="0.35">
      <c r="B8097" s="1">
        <v>45995</v>
      </c>
      <c r="C8097" s="2">
        <v>0.29166666666666669</v>
      </c>
      <c r="D8097">
        <v>4.5999999999999996</v>
      </c>
      <c r="E8097">
        <f>IF($D8097 &gt; 16, 0, $J$3*(16 - $D8097))</f>
        <v>2368.3345267879458</v>
      </c>
      <c r="F8097">
        <f>IF($D8097 &gt; 16, 0,$E8097*$J$5)</f>
        <v>25741427.971658185</v>
      </c>
      <c r="G8097">
        <f t="shared" si="126"/>
        <v>11.4</v>
      </c>
    </row>
    <row r="8098" spans="2:7" x14ac:dyDescent="0.35">
      <c r="B8098" s="1">
        <v>45995</v>
      </c>
      <c r="C8098" s="2">
        <v>0.33333333333333331</v>
      </c>
      <c r="D8098">
        <v>4.7</v>
      </c>
      <c r="E8098">
        <f>IF($D8098 &gt; 16, 0, $J$3*(16 - $D8098))</f>
        <v>2347.5596625178759</v>
      </c>
      <c r="F8098">
        <f>IF($D8098 &gt; 16, 0,$E8098*$J$5)</f>
        <v>25515625.971906792</v>
      </c>
      <c r="G8098">
        <f t="shared" si="126"/>
        <v>11.3</v>
      </c>
    </row>
    <row r="8099" spans="2:7" x14ac:dyDescent="0.35">
      <c r="B8099" s="1">
        <v>45995</v>
      </c>
      <c r="C8099" s="2">
        <v>0.375</v>
      </c>
      <c r="D8099">
        <v>4.7</v>
      </c>
      <c r="E8099">
        <f>IF($D8099 &gt; 16, 0, $J$3*(16 - $D8099))</f>
        <v>2347.5596625178759</v>
      </c>
      <c r="F8099">
        <f>IF($D8099 &gt; 16, 0,$E8099*$J$5)</f>
        <v>25515625.971906792</v>
      </c>
      <c r="G8099">
        <f t="shared" si="126"/>
        <v>11.3</v>
      </c>
    </row>
    <row r="8100" spans="2:7" x14ac:dyDescent="0.35">
      <c r="B8100" s="1">
        <v>45995</v>
      </c>
      <c r="C8100" s="2">
        <v>0.41666666666666669</v>
      </c>
      <c r="D8100">
        <v>4.8</v>
      </c>
      <c r="E8100">
        <f>IF($D8100 &gt; 16, 0, $J$3*(16 - $D8100))</f>
        <v>2326.7847982478061</v>
      </c>
      <c r="F8100">
        <f>IF($D8100 &gt; 16, 0,$E8100*$J$5)</f>
        <v>25289823.972155403</v>
      </c>
      <c r="G8100">
        <f t="shared" si="126"/>
        <v>11.2</v>
      </c>
    </row>
    <row r="8101" spans="2:7" x14ac:dyDescent="0.35">
      <c r="B8101" s="1">
        <v>45995</v>
      </c>
      <c r="C8101" s="2">
        <v>0.45833333333333331</v>
      </c>
      <c r="D8101">
        <v>5.2</v>
      </c>
      <c r="E8101">
        <f>IF($D8101 &gt; 16, 0, $J$3*(16 - $D8101))</f>
        <v>2243.6853411675274</v>
      </c>
      <c r="F8101">
        <f>IF($D8101 &gt; 16, 0,$E8101*$J$5)</f>
        <v>24386615.973149855</v>
      </c>
      <c r="G8101">
        <f t="shared" si="126"/>
        <v>10.8</v>
      </c>
    </row>
    <row r="8102" spans="2:7" x14ac:dyDescent="0.35">
      <c r="B8102" s="1">
        <v>45995</v>
      </c>
      <c r="C8102" s="2">
        <v>0.5</v>
      </c>
      <c r="D8102">
        <v>5.5</v>
      </c>
      <c r="E8102">
        <f>IF($D8102 &gt; 16, 0, $J$3*(16 - $D8102))</f>
        <v>2181.3607483573182</v>
      </c>
      <c r="F8102">
        <f>IF($D8102 &gt; 16, 0,$E8102*$J$5)</f>
        <v>23709209.973895691</v>
      </c>
      <c r="G8102">
        <f t="shared" si="126"/>
        <v>10.5</v>
      </c>
    </row>
    <row r="8103" spans="2:7" x14ac:dyDescent="0.35">
      <c r="B8103" s="1">
        <v>45995</v>
      </c>
      <c r="C8103" s="2">
        <v>0.54166666666666663</v>
      </c>
      <c r="D8103">
        <v>5.9</v>
      </c>
      <c r="E8103">
        <f>IF($D8103 &gt; 16, 0, $J$3*(16 - $D8103))</f>
        <v>2098.2612912770396</v>
      </c>
      <c r="F8103">
        <f>IF($D8103 &gt; 16, 0,$E8103*$J$5)</f>
        <v>22806001.974890143</v>
      </c>
      <c r="G8103">
        <f t="shared" si="126"/>
        <v>10.1</v>
      </c>
    </row>
    <row r="8104" spans="2:7" x14ac:dyDescent="0.35">
      <c r="B8104" s="1">
        <v>45995</v>
      </c>
      <c r="C8104" s="2">
        <v>0.58333333333333337</v>
      </c>
      <c r="D8104">
        <v>5.6</v>
      </c>
      <c r="E8104">
        <f>IF($D8104 &gt; 16, 0, $J$3*(16 - $D8104))</f>
        <v>2160.5858840872488</v>
      </c>
      <c r="F8104">
        <f>IF($D8104 &gt; 16, 0,$E8104*$J$5)</f>
        <v>23483407.974144306</v>
      </c>
      <c r="G8104">
        <f t="shared" si="126"/>
        <v>10.4</v>
      </c>
    </row>
    <row r="8105" spans="2:7" x14ac:dyDescent="0.35">
      <c r="B8105" s="1">
        <v>45995</v>
      </c>
      <c r="C8105" s="2">
        <v>0.625</v>
      </c>
      <c r="D8105">
        <v>4.8</v>
      </c>
      <c r="E8105">
        <f>IF($D8105 &gt; 16, 0, $J$3*(16 - $D8105))</f>
        <v>2326.7847982478061</v>
      </c>
      <c r="F8105">
        <f>IF($D8105 &gt; 16, 0,$E8105*$J$5)</f>
        <v>25289823.972155403</v>
      </c>
      <c r="G8105">
        <f t="shared" si="126"/>
        <v>11.2</v>
      </c>
    </row>
    <row r="8106" spans="2:7" x14ac:dyDescent="0.35">
      <c r="B8106" s="1">
        <v>45995</v>
      </c>
      <c r="C8106" s="2">
        <v>0.66666666666666663</v>
      </c>
      <c r="D8106">
        <v>3.6</v>
      </c>
      <c r="E8106">
        <f>IF($D8106 &gt; 16, 0, $J$3*(16 - $D8106))</f>
        <v>2576.0831694886429</v>
      </c>
      <c r="F8106">
        <f>IF($D8106 &gt; 16, 0,$E8106*$J$5)</f>
        <v>27999447.96917206</v>
      </c>
      <c r="G8106">
        <f t="shared" si="126"/>
        <v>12.4</v>
      </c>
    </row>
    <row r="8107" spans="2:7" x14ac:dyDescent="0.35">
      <c r="B8107" s="1">
        <v>45995</v>
      </c>
      <c r="C8107" s="2">
        <v>0.70833333333333337</v>
      </c>
      <c r="D8107">
        <v>4</v>
      </c>
      <c r="E8107">
        <f>IF($D8107 &gt; 16, 0, $J$3*(16 - $D8107))</f>
        <v>2492.9837124083638</v>
      </c>
      <c r="F8107">
        <f>IF($D8107 &gt; 16, 0,$E8107*$J$5)</f>
        <v>27096239.970166504</v>
      </c>
      <c r="G8107">
        <f t="shared" si="126"/>
        <v>12</v>
      </c>
    </row>
    <row r="8108" spans="2:7" x14ac:dyDescent="0.35">
      <c r="B8108" s="1">
        <v>45995</v>
      </c>
      <c r="C8108" s="2">
        <v>0.75</v>
      </c>
      <c r="D8108">
        <v>3.5</v>
      </c>
      <c r="E8108">
        <f>IF($D8108 &gt; 16, 0, $J$3*(16 - $D8108))</f>
        <v>2596.8580337587123</v>
      </c>
      <c r="F8108">
        <f>IF($D8108 &gt; 16, 0,$E8108*$J$5)</f>
        <v>28225249.968923442</v>
      </c>
      <c r="G8108">
        <f t="shared" si="126"/>
        <v>12.5</v>
      </c>
    </row>
    <row r="8109" spans="2:7" x14ac:dyDescent="0.35">
      <c r="B8109" s="1">
        <v>45995</v>
      </c>
      <c r="C8109" s="2">
        <v>0.79166666666666663</v>
      </c>
      <c r="D8109">
        <v>3.3</v>
      </c>
      <c r="E8109">
        <f>IF($D8109 &gt; 16, 0, $J$3*(16 - $D8109))</f>
        <v>2638.4077622988516</v>
      </c>
      <c r="F8109">
        <f>IF($D8109 &gt; 16, 0,$E8109*$J$5)</f>
        <v>28676853.968426216</v>
      </c>
      <c r="G8109">
        <f t="shared" si="126"/>
        <v>12.7</v>
      </c>
    </row>
    <row r="8110" spans="2:7" x14ac:dyDescent="0.35">
      <c r="B8110" s="1">
        <v>45995</v>
      </c>
      <c r="C8110" s="2">
        <v>0.83333333333333337</v>
      </c>
      <c r="D8110">
        <v>3.2</v>
      </c>
      <c r="E8110">
        <f>IF($D8110 &gt; 16, 0, $J$3*(16 - $D8110))</f>
        <v>2659.1826265689215</v>
      </c>
      <c r="F8110">
        <f>IF($D8110 &gt; 16, 0,$E8110*$J$5)</f>
        <v>28902655.968177609</v>
      </c>
      <c r="G8110">
        <f t="shared" si="126"/>
        <v>12.8</v>
      </c>
    </row>
    <row r="8111" spans="2:7" x14ac:dyDescent="0.35">
      <c r="B8111" s="1">
        <v>45995</v>
      </c>
      <c r="C8111" s="2">
        <v>0.875</v>
      </c>
      <c r="D8111">
        <v>3.1</v>
      </c>
      <c r="E8111">
        <f>IF($D8111 &gt; 16, 0, $J$3*(16 - $D8111))</f>
        <v>2679.9574908389914</v>
      </c>
      <c r="F8111">
        <f>IF($D8111 &gt; 16, 0,$E8111*$J$5)</f>
        <v>29128457.967928998</v>
      </c>
      <c r="G8111">
        <f t="shared" si="126"/>
        <v>12.9</v>
      </c>
    </row>
    <row r="8112" spans="2:7" x14ac:dyDescent="0.35">
      <c r="B8112" s="1">
        <v>45995</v>
      </c>
      <c r="C8112" s="2">
        <v>0.91666666666666663</v>
      </c>
      <c r="D8112">
        <v>3</v>
      </c>
      <c r="E8112">
        <f>IF($D8112 &gt; 16, 0, $J$3*(16 - $D8112))</f>
        <v>2700.7323551090608</v>
      </c>
      <c r="F8112">
        <f>IF($D8112 &gt; 16, 0,$E8112*$J$5)</f>
        <v>29354259.967680383</v>
      </c>
      <c r="G8112">
        <f t="shared" si="126"/>
        <v>13</v>
      </c>
    </row>
    <row r="8113" spans="2:7" x14ac:dyDescent="0.35">
      <c r="B8113" s="1">
        <v>45995</v>
      </c>
      <c r="C8113" s="2">
        <v>0.95833333333333337</v>
      </c>
      <c r="D8113">
        <v>2.7</v>
      </c>
      <c r="E8113">
        <f>IF($D8113 &gt; 16, 0, $J$3*(16 - $D8113))</f>
        <v>2763.05694791927</v>
      </c>
      <c r="F8113">
        <f>IF($D8113 &gt; 16, 0,$E8113*$J$5)</f>
        <v>30031665.966934547</v>
      </c>
      <c r="G8113">
        <f t="shared" si="126"/>
        <v>13.3</v>
      </c>
    </row>
    <row r="8114" spans="2:7" x14ac:dyDescent="0.35">
      <c r="B8114" s="1">
        <v>45996</v>
      </c>
      <c r="C8114" s="2">
        <v>0</v>
      </c>
      <c r="D8114">
        <v>2.2000000000000002</v>
      </c>
      <c r="E8114">
        <f>IF($D8114 &gt; 16, 0, $J$3*(16 - $D8114))</f>
        <v>2866.9312692696185</v>
      </c>
      <c r="F8114">
        <f>IF($D8114 &gt; 16, 0,$E8114*$J$5)</f>
        <v>31160675.965691485</v>
      </c>
      <c r="G8114">
        <f t="shared" si="126"/>
        <v>13.8</v>
      </c>
    </row>
    <row r="8115" spans="2:7" x14ac:dyDescent="0.35">
      <c r="B8115" s="1">
        <v>45996</v>
      </c>
      <c r="C8115" s="2">
        <v>4.1666666666666657E-2</v>
      </c>
      <c r="D8115">
        <v>1.8</v>
      </c>
      <c r="E8115">
        <f>IF($D8115 &gt; 16, 0, $J$3*(16 - $D8115))</f>
        <v>2950.0307263498971</v>
      </c>
      <c r="F8115">
        <f>IF($D8115 &gt; 16, 0,$E8115*$J$5)</f>
        <v>32063883.964697033</v>
      </c>
      <c r="G8115">
        <f t="shared" si="126"/>
        <v>14.2</v>
      </c>
    </row>
    <row r="8116" spans="2:7" x14ac:dyDescent="0.35">
      <c r="B8116" s="1">
        <v>45996</v>
      </c>
      <c r="C8116" s="2">
        <v>8.3333333333333329E-2</v>
      </c>
      <c r="D8116">
        <v>1.5</v>
      </c>
      <c r="E8116">
        <f>IF($D8116 &gt; 16, 0, $J$3*(16 - $D8116))</f>
        <v>3012.3553191601063</v>
      </c>
      <c r="F8116">
        <f>IF($D8116 &gt; 16, 0,$E8116*$J$5)</f>
        <v>32741289.963951197</v>
      </c>
      <c r="G8116">
        <f t="shared" si="126"/>
        <v>14.5</v>
      </c>
    </row>
    <row r="8117" spans="2:7" x14ac:dyDescent="0.35">
      <c r="B8117" s="1">
        <v>45996</v>
      </c>
      <c r="C8117" s="2">
        <v>0.125</v>
      </c>
      <c r="D8117">
        <v>0.9</v>
      </c>
      <c r="E8117">
        <f>IF($D8117 &gt; 16, 0, $J$3*(16 - $D8117))</f>
        <v>3137.0045047805243</v>
      </c>
      <c r="F8117">
        <f>IF($D8117 &gt; 16, 0,$E8117*$J$5)</f>
        <v>34096101.96245952</v>
      </c>
      <c r="G8117">
        <f t="shared" si="126"/>
        <v>15.1</v>
      </c>
    </row>
    <row r="8118" spans="2:7" x14ac:dyDescent="0.35">
      <c r="B8118" s="1">
        <v>45996</v>
      </c>
      <c r="C8118" s="2">
        <v>0.16666666666666671</v>
      </c>
      <c r="D8118">
        <v>0.8</v>
      </c>
      <c r="E8118">
        <f>IF($D8118 &gt; 16, 0, $J$3*(16 - $D8118))</f>
        <v>3157.7793690505941</v>
      </c>
      <c r="F8118">
        <f>IF($D8118 &gt; 16, 0,$E8118*$J$5)</f>
        <v>34321903.962210909</v>
      </c>
      <c r="G8118">
        <f t="shared" si="126"/>
        <v>15.2</v>
      </c>
    </row>
    <row r="8119" spans="2:7" x14ac:dyDescent="0.35">
      <c r="B8119" s="1">
        <v>45996</v>
      </c>
      <c r="C8119" s="2">
        <v>0.20833333333333329</v>
      </c>
      <c r="D8119">
        <v>1.2</v>
      </c>
      <c r="E8119">
        <f>IF($D8119 &gt; 16, 0, $J$3*(16 - $D8119))</f>
        <v>3074.6799119703155</v>
      </c>
      <c r="F8119">
        <f>IF($D8119 &gt; 16, 0,$E8119*$J$5)</f>
        <v>33418695.96320536</v>
      </c>
      <c r="G8119">
        <f t="shared" si="126"/>
        <v>14.8</v>
      </c>
    </row>
    <row r="8120" spans="2:7" x14ac:dyDescent="0.35">
      <c r="B8120" s="1">
        <v>45996</v>
      </c>
      <c r="C8120" s="2">
        <v>0.25</v>
      </c>
      <c r="D8120">
        <v>1.7</v>
      </c>
      <c r="E8120">
        <f>IF($D8120 &gt; 16, 0, $J$3*(16 - $D8120))</f>
        <v>2970.805590619967</v>
      </c>
      <c r="F8120">
        <f>IF($D8120 &gt; 16, 0,$E8120*$J$5)</f>
        <v>32289685.964448422</v>
      </c>
      <c r="G8120">
        <f t="shared" si="126"/>
        <v>14.3</v>
      </c>
    </row>
    <row r="8121" spans="2:7" x14ac:dyDescent="0.35">
      <c r="B8121" s="1">
        <v>45996</v>
      </c>
      <c r="C8121" s="2">
        <v>0.29166666666666669</v>
      </c>
      <c r="D8121">
        <v>2.2000000000000002</v>
      </c>
      <c r="E8121">
        <f>IF($D8121 &gt; 16, 0, $J$3*(16 - $D8121))</f>
        <v>2866.9312692696185</v>
      </c>
      <c r="F8121">
        <f>IF($D8121 &gt; 16, 0,$E8121*$J$5)</f>
        <v>31160675.965691485</v>
      </c>
      <c r="G8121">
        <f t="shared" si="126"/>
        <v>13.8</v>
      </c>
    </row>
    <row r="8122" spans="2:7" x14ac:dyDescent="0.35">
      <c r="B8122" s="1">
        <v>45996</v>
      </c>
      <c r="C8122" s="2">
        <v>0.33333333333333331</v>
      </c>
      <c r="D8122">
        <v>2.4</v>
      </c>
      <c r="E8122">
        <f>IF($D8122 &gt; 16, 0, $J$3*(16 - $D8122))</f>
        <v>2825.3815407294792</v>
      </c>
      <c r="F8122">
        <f>IF($D8122 &gt; 16, 0,$E8122*$J$5)</f>
        <v>30709071.96618871</v>
      </c>
      <c r="G8122">
        <f t="shared" si="126"/>
        <v>13.6</v>
      </c>
    </row>
    <row r="8123" spans="2:7" x14ac:dyDescent="0.35">
      <c r="B8123" s="1">
        <v>45996</v>
      </c>
      <c r="C8123" s="2">
        <v>0.375</v>
      </c>
      <c r="D8123">
        <v>3</v>
      </c>
      <c r="E8123">
        <f>IF($D8123 &gt; 16, 0, $J$3*(16 - $D8123))</f>
        <v>2700.7323551090608</v>
      </c>
      <c r="F8123">
        <f>IF($D8123 &gt; 16, 0,$E8123*$J$5)</f>
        <v>29354259.967680383</v>
      </c>
      <c r="G8123">
        <f t="shared" si="126"/>
        <v>13</v>
      </c>
    </row>
    <row r="8124" spans="2:7" x14ac:dyDescent="0.35">
      <c r="B8124" s="1">
        <v>45996</v>
      </c>
      <c r="C8124" s="2">
        <v>0.41666666666666669</v>
      </c>
      <c r="D8124">
        <v>2.9</v>
      </c>
      <c r="E8124">
        <f>IF($D8124 &gt; 16, 0, $J$3*(16 - $D8124))</f>
        <v>2721.5072193791307</v>
      </c>
      <c r="F8124">
        <f>IF($D8124 &gt; 16, 0,$E8124*$J$5)</f>
        <v>29580061.967431773</v>
      </c>
      <c r="G8124">
        <f t="shared" si="126"/>
        <v>13.1</v>
      </c>
    </row>
    <row r="8125" spans="2:7" x14ac:dyDescent="0.35">
      <c r="B8125" s="1">
        <v>45996</v>
      </c>
      <c r="C8125" s="2">
        <v>0.45833333333333331</v>
      </c>
      <c r="D8125">
        <v>3.3</v>
      </c>
      <c r="E8125">
        <f>IF($D8125 &gt; 16, 0, $J$3*(16 - $D8125))</f>
        <v>2638.4077622988516</v>
      </c>
      <c r="F8125">
        <f>IF($D8125 &gt; 16, 0,$E8125*$J$5)</f>
        <v>28676853.968426216</v>
      </c>
      <c r="G8125">
        <f t="shared" si="126"/>
        <v>12.7</v>
      </c>
    </row>
    <row r="8126" spans="2:7" x14ac:dyDescent="0.35">
      <c r="B8126" s="1">
        <v>45996</v>
      </c>
      <c r="C8126" s="2">
        <v>0.5</v>
      </c>
      <c r="D8126">
        <v>3.7</v>
      </c>
      <c r="E8126">
        <f>IF($D8126 &gt; 16, 0, $J$3*(16 - $D8126))</f>
        <v>2555.308305218573</v>
      </c>
      <c r="F8126">
        <f>IF($D8126 &gt; 16, 0,$E8126*$J$5)</f>
        <v>27773645.969420668</v>
      </c>
      <c r="G8126">
        <f t="shared" si="126"/>
        <v>12.3</v>
      </c>
    </row>
    <row r="8127" spans="2:7" x14ac:dyDescent="0.35">
      <c r="B8127" s="1">
        <v>45996</v>
      </c>
      <c r="C8127" s="2">
        <v>0.54166666666666663</v>
      </c>
      <c r="D8127">
        <v>3.6</v>
      </c>
      <c r="E8127">
        <f>IF($D8127 &gt; 16, 0, $J$3*(16 - $D8127))</f>
        <v>2576.0831694886429</v>
      </c>
      <c r="F8127">
        <f>IF($D8127 &gt; 16, 0,$E8127*$J$5)</f>
        <v>27999447.96917206</v>
      </c>
      <c r="G8127">
        <f t="shared" si="126"/>
        <v>12.4</v>
      </c>
    </row>
    <row r="8128" spans="2:7" x14ac:dyDescent="0.35">
      <c r="B8128" s="1">
        <v>45996</v>
      </c>
      <c r="C8128" s="2">
        <v>0.58333333333333337</v>
      </c>
      <c r="D8128">
        <v>3.6</v>
      </c>
      <c r="E8128">
        <f>IF($D8128 &gt; 16, 0, $J$3*(16 - $D8128))</f>
        <v>2576.0831694886429</v>
      </c>
      <c r="F8128">
        <f>IF($D8128 &gt; 16, 0,$E8128*$J$5)</f>
        <v>27999447.96917206</v>
      </c>
      <c r="G8128">
        <f t="shared" si="126"/>
        <v>12.4</v>
      </c>
    </row>
    <row r="8129" spans="2:7" x14ac:dyDescent="0.35">
      <c r="B8129" s="1">
        <v>45996</v>
      </c>
      <c r="C8129" s="2">
        <v>0.625</v>
      </c>
      <c r="D8129">
        <v>3.8</v>
      </c>
      <c r="E8129">
        <f>IF($D8129 &gt; 16, 0, $J$3*(16 - $D8129))</f>
        <v>2534.5334409485031</v>
      </c>
      <c r="F8129">
        <f>IF($D8129 &gt; 16, 0,$E8129*$J$5)</f>
        <v>27547843.969669279</v>
      </c>
      <c r="G8129">
        <f t="shared" si="126"/>
        <v>12.2</v>
      </c>
    </row>
    <row r="8130" spans="2:7" x14ac:dyDescent="0.35">
      <c r="B8130" s="1">
        <v>45996</v>
      </c>
      <c r="C8130" s="2">
        <v>0.66666666666666663</v>
      </c>
      <c r="D8130">
        <v>3.4</v>
      </c>
      <c r="E8130">
        <f>IF($D8130 &gt; 16, 0, $J$3*(16 - $D8130))</f>
        <v>2617.6328980287822</v>
      </c>
      <c r="F8130">
        <f>IF($D8130 &gt; 16, 0,$E8130*$J$5)</f>
        <v>28451051.968674835</v>
      </c>
      <c r="G8130">
        <f t="shared" si="126"/>
        <v>12.6</v>
      </c>
    </row>
    <row r="8131" spans="2:7" x14ac:dyDescent="0.35">
      <c r="B8131" s="1">
        <v>45996</v>
      </c>
      <c r="C8131" s="2">
        <v>0.70833333333333337</v>
      </c>
      <c r="D8131">
        <v>2.6</v>
      </c>
      <c r="E8131">
        <f>IF($D8131 &gt; 16, 0, $J$3*(16 - $D8131))</f>
        <v>2783.8318121893399</v>
      </c>
      <c r="F8131">
        <f>IF($D8131 &gt; 16, 0,$E8131*$J$5)</f>
        <v>30257467.966685936</v>
      </c>
      <c r="G8131">
        <f t="shared" ref="G8131:G8194" si="127">MAX(0, 16 - $D8131)</f>
        <v>13.4</v>
      </c>
    </row>
    <row r="8132" spans="2:7" x14ac:dyDescent="0.35">
      <c r="B8132" s="1">
        <v>45996</v>
      </c>
      <c r="C8132" s="2">
        <v>0.75</v>
      </c>
      <c r="D8132">
        <v>3.3</v>
      </c>
      <c r="E8132">
        <f>IF($D8132 &gt; 16, 0, $J$3*(16 - $D8132))</f>
        <v>2638.4077622988516</v>
      </c>
      <c r="F8132">
        <f>IF($D8132 &gt; 16, 0,$E8132*$J$5)</f>
        <v>28676853.968426216</v>
      </c>
      <c r="G8132">
        <f t="shared" si="127"/>
        <v>12.7</v>
      </c>
    </row>
    <row r="8133" spans="2:7" x14ac:dyDescent="0.35">
      <c r="B8133" s="1">
        <v>45996</v>
      </c>
      <c r="C8133" s="2">
        <v>0.79166666666666663</v>
      </c>
      <c r="D8133">
        <v>3.2</v>
      </c>
      <c r="E8133">
        <f>IF($D8133 &gt; 16, 0, $J$3*(16 - $D8133))</f>
        <v>2659.1826265689215</v>
      </c>
      <c r="F8133">
        <f>IF($D8133 &gt; 16, 0,$E8133*$J$5)</f>
        <v>28902655.968177609</v>
      </c>
      <c r="G8133">
        <f t="shared" si="127"/>
        <v>12.8</v>
      </c>
    </row>
    <row r="8134" spans="2:7" x14ac:dyDescent="0.35">
      <c r="B8134" s="1">
        <v>45996</v>
      </c>
      <c r="C8134" s="2">
        <v>0.83333333333333337</v>
      </c>
      <c r="D8134">
        <v>3.6</v>
      </c>
      <c r="E8134">
        <f>IF($D8134 &gt; 16, 0, $J$3*(16 - $D8134))</f>
        <v>2576.0831694886429</v>
      </c>
      <c r="F8134">
        <f>IF($D8134 &gt; 16, 0,$E8134*$J$5)</f>
        <v>27999447.96917206</v>
      </c>
      <c r="G8134">
        <f t="shared" si="127"/>
        <v>12.4</v>
      </c>
    </row>
    <row r="8135" spans="2:7" x14ac:dyDescent="0.35">
      <c r="B8135" s="1">
        <v>45996</v>
      </c>
      <c r="C8135" s="2">
        <v>0.875</v>
      </c>
      <c r="D8135">
        <v>3.5</v>
      </c>
      <c r="E8135">
        <f>IF($D8135 &gt; 16, 0, $J$3*(16 - $D8135))</f>
        <v>2596.8580337587123</v>
      </c>
      <c r="F8135">
        <f>IF($D8135 &gt; 16, 0,$E8135*$J$5)</f>
        <v>28225249.968923442</v>
      </c>
      <c r="G8135">
        <f t="shared" si="127"/>
        <v>12.5</v>
      </c>
    </row>
    <row r="8136" spans="2:7" x14ac:dyDescent="0.35">
      <c r="B8136" s="1">
        <v>45996</v>
      </c>
      <c r="C8136" s="2">
        <v>0.91666666666666663</v>
      </c>
      <c r="D8136">
        <v>3.6</v>
      </c>
      <c r="E8136">
        <f>IF($D8136 &gt; 16, 0, $J$3*(16 - $D8136))</f>
        <v>2576.0831694886429</v>
      </c>
      <c r="F8136">
        <f>IF($D8136 &gt; 16, 0,$E8136*$J$5)</f>
        <v>27999447.96917206</v>
      </c>
      <c r="G8136">
        <f t="shared" si="127"/>
        <v>12.4</v>
      </c>
    </row>
    <row r="8137" spans="2:7" x14ac:dyDescent="0.35">
      <c r="B8137" s="1">
        <v>45996</v>
      </c>
      <c r="C8137" s="2">
        <v>0.95833333333333337</v>
      </c>
      <c r="D8137">
        <v>3.4</v>
      </c>
      <c r="E8137">
        <f>IF($D8137 &gt; 16, 0, $J$3*(16 - $D8137))</f>
        <v>2617.6328980287822</v>
      </c>
      <c r="F8137">
        <f>IF($D8137 &gt; 16, 0,$E8137*$J$5)</f>
        <v>28451051.968674835</v>
      </c>
      <c r="G8137">
        <f t="shared" si="127"/>
        <v>12.6</v>
      </c>
    </row>
    <row r="8138" spans="2:7" x14ac:dyDescent="0.35">
      <c r="B8138" s="1">
        <v>45997</v>
      </c>
      <c r="C8138" s="2">
        <v>0</v>
      </c>
      <c r="D8138">
        <v>3.5</v>
      </c>
      <c r="E8138">
        <f>IF($D8138 &gt; 16, 0, $J$3*(16 - $D8138))</f>
        <v>2596.8580337587123</v>
      </c>
      <c r="F8138">
        <f>IF($D8138 &gt; 16, 0,$E8138*$J$5)</f>
        <v>28225249.968923442</v>
      </c>
      <c r="G8138">
        <f t="shared" si="127"/>
        <v>12.5</v>
      </c>
    </row>
    <row r="8139" spans="2:7" x14ac:dyDescent="0.35">
      <c r="B8139" s="1">
        <v>45997</v>
      </c>
      <c r="C8139" s="2">
        <v>4.1666666666666657E-2</v>
      </c>
      <c r="D8139">
        <v>3</v>
      </c>
      <c r="E8139">
        <f>IF($D8139 &gt; 16, 0, $J$3*(16 - $D8139))</f>
        <v>2700.7323551090608</v>
      </c>
      <c r="F8139">
        <f>IF($D8139 &gt; 16, 0,$E8139*$J$5)</f>
        <v>29354259.967680383</v>
      </c>
      <c r="G8139">
        <f t="shared" si="127"/>
        <v>13</v>
      </c>
    </row>
    <row r="8140" spans="2:7" x14ac:dyDescent="0.35">
      <c r="B8140" s="1">
        <v>45997</v>
      </c>
      <c r="C8140" s="2">
        <v>8.3333333333333329E-2</v>
      </c>
      <c r="D8140">
        <v>2.7</v>
      </c>
      <c r="E8140">
        <f>IF($D8140 &gt; 16, 0, $J$3*(16 - $D8140))</f>
        <v>2763.05694791927</v>
      </c>
      <c r="F8140">
        <f>IF($D8140 &gt; 16, 0,$E8140*$J$5)</f>
        <v>30031665.966934547</v>
      </c>
      <c r="G8140">
        <f t="shared" si="127"/>
        <v>13.3</v>
      </c>
    </row>
    <row r="8141" spans="2:7" x14ac:dyDescent="0.35">
      <c r="B8141" s="1">
        <v>45997</v>
      </c>
      <c r="C8141" s="2">
        <v>0.125</v>
      </c>
      <c r="D8141">
        <v>3</v>
      </c>
      <c r="E8141">
        <f>IF($D8141 &gt; 16, 0, $J$3*(16 - $D8141))</f>
        <v>2700.7323551090608</v>
      </c>
      <c r="F8141">
        <f>IF($D8141 &gt; 16, 0,$E8141*$J$5)</f>
        <v>29354259.967680383</v>
      </c>
      <c r="G8141">
        <f t="shared" si="127"/>
        <v>13</v>
      </c>
    </row>
    <row r="8142" spans="2:7" x14ac:dyDescent="0.35">
      <c r="B8142" s="1">
        <v>45997</v>
      </c>
      <c r="C8142" s="2">
        <v>0.16666666666666671</v>
      </c>
      <c r="D8142">
        <v>2.5</v>
      </c>
      <c r="E8142">
        <f>IF($D8142 &gt; 16, 0, $J$3*(16 - $D8142))</f>
        <v>2804.6066764594093</v>
      </c>
      <c r="F8142">
        <f>IF($D8142 &gt; 16, 0,$E8142*$J$5)</f>
        <v>30483269.966437321</v>
      </c>
      <c r="G8142">
        <f t="shared" si="127"/>
        <v>13.5</v>
      </c>
    </row>
    <row r="8143" spans="2:7" x14ac:dyDescent="0.35">
      <c r="B8143" s="1">
        <v>45997</v>
      </c>
      <c r="C8143" s="2">
        <v>0.20833333333333329</v>
      </c>
      <c r="D8143">
        <v>2.4</v>
      </c>
      <c r="E8143">
        <f>IF($D8143 &gt; 16, 0, $J$3*(16 - $D8143))</f>
        <v>2825.3815407294792</v>
      </c>
      <c r="F8143">
        <f>IF($D8143 &gt; 16, 0,$E8143*$J$5)</f>
        <v>30709071.96618871</v>
      </c>
      <c r="G8143">
        <f t="shared" si="127"/>
        <v>13.6</v>
      </c>
    </row>
    <row r="8144" spans="2:7" x14ac:dyDescent="0.35">
      <c r="B8144" s="1">
        <v>45997</v>
      </c>
      <c r="C8144" s="2">
        <v>0.25</v>
      </c>
      <c r="D8144">
        <v>2.6</v>
      </c>
      <c r="E8144">
        <f>IF($D8144 &gt; 16, 0, $J$3*(16 - $D8144))</f>
        <v>2783.8318121893399</v>
      </c>
      <c r="F8144">
        <f>IF($D8144 &gt; 16, 0,$E8144*$J$5)</f>
        <v>30257467.966685936</v>
      </c>
      <c r="G8144">
        <f t="shared" si="127"/>
        <v>13.4</v>
      </c>
    </row>
    <row r="8145" spans="2:7" x14ac:dyDescent="0.35">
      <c r="B8145" s="1">
        <v>45997</v>
      </c>
      <c r="C8145" s="2">
        <v>0.29166666666666669</v>
      </c>
      <c r="D8145">
        <v>3</v>
      </c>
      <c r="E8145">
        <f>IF($D8145 &gt; 16, 0, $J$3*(16 - $D8145))</f>
        <v>2700.7323551090608</v>
      </c>
      <c r="F8145">
        <f>IF($D8145 &gt; 16, 0,$E8145*$J$5)</f>
        <v>29354259.967680383</v>
      </c>
      <c r="G8145">
        <f t="shared" si="127"/>
        <v>13</v>
      </c>
    </row>
    <row r="8146" spans="2:7" x14ac:dyDescent="0.35">
      <c r="B8146" s="1">
        <v>45997</v>
      </c>
      <c r="C8146" s="2">
        <v>0.33333333333333331</v>
      </c>
      <c r="D8146">
        <v>2.8</v>
      </c>
      <c r="E8146">
        <f>IF($D8146 &gt; 16, 0, $J$3*(16 - $D8146))</f>
        <v>2742.2820836492001</v>
      </c>
      <c r="F8146">
        <f>IF($D8146 &gt; 16, 0,$E8146*$J$5)</f>
        <v>29805863.967183154</v>
      </c>
      <c r="G8146">
        <f t="shared" si="127"/>
        <v>13.2</v>
      </c>
    </row>
    <row r="8147" spans="2:7" x14ac:dyDescent="0.35">
      <c r="B8147" s="1">
        <v>45997</v>
      </c>
      <c r="C8147" s="2">
        <v>0.375</v>
      </c>
      <c r="D8147">
        <v>3.3</v>
      </c>
      <c r="E8147">
        <f>IF($D8147 &gt; 16, 0, $J$3*(16 - $D8147))</f>
        <v>2638.4077622988516</v>
      </c>
      <c r="F8147">
        <f>IF($D8147 &gt; 16, 0,$E8147*$J$5)</f>
        <v>28676853.968426216</v>
      </c>
      <c r="G8147">
        <f t="shared" si="127"/>
        <v>12.7</v>
      </c>
    </row>
    <row r="8148" spans="2:7" x14ac:dyDescent="0.35">
      <c r="B8148" s="1">
        <v>45997</v>
      </c>
      <c r="C8148" s="2">
        <v>0.41666666666666669</v>
      </c>
      <c r="D8148">
        <v>3.4</v>
      </c>
      <c r="E8148">
        <f>IF($D8148 &gt; 16, 0, $J$3*(16 - $D8148))</f>
        <v>2617.6328980287822</v>
      </c>
      <c r="F8148">
        <f>IF($D8148 &gt; 16, 0,$E8148*$J$5)</f>
        <v>28451051.968674835</v>
      </c>
      <c r="G8148">
        <f t="shared" si="127"/>
        <v>12.6</v>
      </c>
    </row>
    <row r="8149" spans="2:7" x14ac:dyDescent="0.35">
      <c r="B8149" s="1">
        <v>45997</v>
      </c>
      <c r="C8149" s="2">
        <v>0.45833333333333331</v>
      </c>
      <c r="D8149">
        <v>3.9</v>
      </c>
      <c r="E8149">
        <f>IF($D8149 &gt; 16, 0, $J$3*(16 - $D8149))</f>
        <v>2513.7585766784337</v>
      </c>
      <c r="F8149">
        <f>IF($D8149 &gt; 16, 0,$E8149*$J$5)</f>
        <v>27322041.969917897</v>
      </c>
      <c r="G8149">
        <f t="shared" si="127"/>
        <v>12.1</v>
      </c>
    </row>
    <row r="8150" spans="2:7" x14ac:dyDescent="0.35">
      <c r="B8150" s="1">
        <v>45997</v>
      </c>
      <c r="C8150" s="2">
        <v>0.5</v>
      </c>
      <c r="D8150">
        <v>4.2</v>
      </c>
      <c r="E8150">
        <f>IF($D8150 &gt; 16, 0, $J$3*(16 - $D8150))</f>
        <v>2451.4339838682245</v>
      </c>
      <c r="F8150">
        <f>IF($D8150 &gt; 16, 0,$E8150*$J$5)</f>
        <v>26644635.97066373</v>
      </c>
      <c r="G8150">
        <f t="shared" si="127"/>
        <v>11.8</v>
      </c>
    </row>
    <row r="8151" spans="2:7" x14ac:dyDescent="0.35">
      <c r="B8151" s="1">
        <v>45997</v>
      </c>
      <c r="C8151" s="2">
        <v>0.54166666666666663</v>
      </c>
      <c r="D8151">
        <v>4.2</v>
      </c>
      <c r="E8151">
        <f>IF($D8151 &gt; 16, 0, $J$3*(16 - $D8151))</f>
        <v>2451.4339838682245</v>
      </c>
      <c r="F8151">
        <f>IF($D8151 &gt; 16, 0,$E8151*$J$5)</f>
        <v>26644635.97066373</v>
      </c>
      <c r="G8151">
        <f t="shared" si="127"/>
        <v>11.8</v>
      </c>
    </row>
    <row r="8152" spans="2:7" x14ac:dyDescent="0.35">
      <c r="B8152" s="1">
        <v>45997</v>
      </c>
      <c r="C8152" s="2">
        <v>0.58333333333333337</v>
      </c>
      <c r="D8152">
        <v>4.7</v>
      </c>
      <c r="E8152">
        <f>IF($D8152 &gt; 16, 0, $J$3*(16 - $D8152))</f>
        <v>2347.5596625178759</v>
      </c>
      <c r="F8152">
        <f>IF($D8152 &gt; 16, 0,$E8152*$J$5)</f>
        <v>25515625.971906792</v>
      </c>
      <c r="G8152">
        <f t="shared" si="127"/>
        <v>11.3</v>
      </c>
    </row>
    <row r="8153" spans="2:7" x14ac:dyDescent="0.35">
      <c r="B8153" s="1">
        <v>45997</v>
      </c>
      <c r="C8153" s="2">
        <v>0.625</v>
      </c>
      <c r="D8153">
        <v>4.5</v>
      </c>
      <c r="E8153">
        <f>IF($D8153 &gt; 16, 0, $J$3*(16 - $D8153))</f>
        <v>2389.1093910580153</v>
      </c>
      <c r="F8153">
        <f>IF($D8153 &gt; 16, 0,$E8153*$J$5)</f>
        <v>25967229.971409567</v>
      </c>
      <c r="G8153">
        <f t="shared" si="127"/>
        <v>11.5</v>
      </c>
    </row>
    <row r="8154" spans="2:7" x14ac:dyDescent="0.35">
      <c r="B8154" s="1">
        <v>45997</v>
      </c>
      <c r="C8154" s="2">
        <v>0.66666666666666663</v>
      </c>
      <c r="D8154">
        <v>4.7</v>
      </c>
      <c r="E8154">
        <f>IF($D8154 &gt; 16, 0, $J$3*(16 - $D8154))</f>
        <v>2347.5596625178759</v>
      </c>
      <c r="F8154">
        <f>IF($D8154 &gt; 16, 0,$E8154*$J$5)</f>
        <v>25515625.971906792</v>
      </c>
      <c r="G8154">
        <f t="shared" si="127"/>
        <v>11.3</v>
      </c>
    </row>
    <row r="8155" spans="2:7" x14ac:dyDescent="0.35">
      <c r="B8155" s="1">
        <v>45997</v>
      </c>
      <c r="C8155" s="2">
        <v>0.70833333333333337</v>
      </c>
      <c r="D8155">
        <v>4.9000000000000004</v>
      </c>
      <c r="E8155">
        <f>IF($D8155 &gt; 16, 0, $J$3*(16 - $D8155))</f>
        <v>2306.0099339777366</v>
      </c>
      <c r="F8155">
        <f>IF($D8155 &gt; 16, 0,$E8155*$J$5)</f>
        <v>25064021.972404018</v>
      </c>
      <c r="G8155">
        <f t="shared" si="127"/>
        <v>11.1</v>
      </c>
    </row>
    <row r="8156" spans="2:7" x14ac:dyDescent="0.35">
      <c r="B8156" s="1">
        <v>45997</v>
      </c>
      <c r="C8156" s="2">
        <v>0.75</v>
      </c>
      <c r="D8156">
        <v>4.9000000000000004</v>
      </c>
      <c r="E8156">
        <f>IF($D8156 &gt; 16, 0, $J$3*(16 - $D8156))</f>
        <v>2306.0099339777366</v>
      </c>
      <c r="F8156">
        <f>IF($D8156 &gt; 16, 0,$E8156*$J$5)</f>
        <v>25064021.972404018</v>
      </c>
      <c r="G8156">
        <f t="shared" si="127"/>
        <v>11.1</v>
      </c>
    </row>
    <row r="8157" spans="2:7" x14ac:dyDescent="0.35">
      <c r="B8157" s="1">
        <v>45997</v>
      </c>
      <c r="C8157" s="2">
        <v>0.79166666666666663</v>
      </c>
      <c r="D8157">
        <v>5.0999999999999996</v>
      </c>
      <c r="E8157">
        <f>IF($D8157 &gt; 16, 0, $J$3*(16 - $D8157))</f>
        <v>2264.4602054375973</v>
      </c>
      <c r="F8157">
        <f>IF($D8157 &gt; 16, 0,$E8157*$J$5)</f>
        <v>24612417.972901244</v>
      </c>
      <c r="G8157">
        <f t="shared" si="127"/>
        <v>10.9</v>
      </c>
    </row>
    <row r="8158" spans="2:7" x14ac:dyDescent="0.35">
      <c r="B8158" s="1">
        <v>45997</v>
      </c>
      <c r="C8158" s="2">
        <v>0.83333333333333337</v>
      </c>
      <c r="D8158">
        <v>5.3</v>
      </c>
      <c r="E8158">
        <f>IF($D8158 &gt; 16, 0, $J$3*(16 - $D8158))</f>
        <v>2222.9104768974576</v>
      </c>
      <c r="F8158">
        <f>IF($D8158 &gt; 16, 0,$E8158*$J$5)</f>
        <v>24160813.973398466</v>
      </c>
      <c r="G8158">
        <f t="shared" si="127"/>
        <v>10.7</v>
      </c>
    </row>
    <row r="8159" spans="2:7" x14ac:dyDescent="0.35">
      <c r="B8159" s="1">
        <v>45997</v>
      </c>
      <c r="C8159" s="2">
        <v>0.875</v>
      </c>
      <c r="D8159">
        <v>5.8</v>
      </c>
      <c r="E8159">
        <f>IF($D8159 &gt; 16, 0, $J$3*(16 - $D8159))</f>
        <v>2119.036155547109</v>
      </c>
      <c r="F8159">
        <f>IF($D8159 &gt; 16, 0,$E8159*$J$5)</f>
        <v>23031803.974641528</v>
      </c>
      <c r="G8159">
        <f t="shared" si="127"/>
        <v>10.199999999999999</v>
      </c>
    </row>
    <row r="8160" spans="2:7" x14ac:dyDescent="0.35">
      <c r="B8160" s="1">
        <v>45997</v>
      </c>
      <c r="C8160" s="2">
        <v>0.91666666666666663</v>
      </c>
      <c r="D8160">
        <v>6.2</v>
      </c>
      <c r="E8160">
        <f>IF($D8160 &gt; 16, 0, $J$3*(16 - $D8160))</f>
        <v>2035.9366984668306</v>
      </c>
      <c r="F8160">
        <f>IF($D8160 &gt; 16, 0,$E8160*$J$5)</f>
        <v>22128595.975635983</v>
      </c>
      <c r="G8160">
        <f t="shared" si="127"/>
        <v>9.8000000000000007</v>
      </c>
    </row>
    <row r="8161" spans="2:7" x14ac:dyDescent="0.35">
      <c r="B8161" s="1">
        <v>45997</v>
      </c>
      <c r="C8161" s="2">
        <v>0.95833333333333337</v>
      </c>
      <c r="D8161">
        <v>6.2</v>
      </c>
      <c r="E8161">
        <f>IF($D8161 &gt; 16, 0, $J$3*(16 - $D8161))</f>
        <v>2035.9366984668306</v>
      </c>
      <c r="F8161">
        <f>IF($D8161 &gt; 16, 0,$E8161*$J$5)</f>
        <v>22128595.975635983</v>
      </c>
      <c r="G8161">
        <f t="shared" si="127"/>
        <v>9.8000000000000007</v>
      </c>
    </row>
    <row r="8162" spans="2:7" x14ac:dyDescent="0.35">
      <c r="B8162" s="1">
        <v>45998</v>
      </c>
      <c r="C8162" s="2">
        <v>0</v>
      </c>
      <c r="D8162">
        <v>6.6</v>
      </c>
      <c r="E8162">
        <f>IF($D8162 &gt; 16, 0, $J$3*(16 - $D8162))</f>
        <v>1952.8372413865518</v>
      </c>
      <c r="F8162">
        <f>IF($D8162 &gt; 16, 0,$E8162*$J$5)</f>
        <v>21225387.976630431</v>
      </c>
      <c r="G8162">
        <f t="shared" si="127"/>
        <v>9.4</v>
      </c>
    </row>
    <row r="8163" spans="2:7" x14ac:dyDescent="0.35">
      <c r="B8163" s="1">
        <v>45998</v>
      </c>
      <c r="C8163" s="2">
        <v>4.1666666666666657E-2</v>
      </c>
      <c r="D8163">
        <v>6.8</v>
      </c>
      <c r="E8163">
        <f>IF($D8163 &gt; 16, 0, $J$3*(16 - $D8163))</f>
        <v>1911.2875128464123</v>
      </c>
      <c r="F8163">
        <f>IF($D8163 &gt; 16, 0,$E8163*$J$5)</f>
        <v>20773783.977127656</v>
      </c>
      <c r="G8163">
        <f t="shared" si="127"/>
        <v>9.1999999999999993</v>
      </c>
    </row>
    <row r="8164" spans="2:7" x14ac:dyDescent="0.35">
      <c r="B8164" s="1">
        <v>45998</v>
      </c>
      <c r="C8164" s="2">
        <v>8.3333333333333329E-2</v>
      </c>
      <c r="D8164">
        <v>7.1</v>
      </c>
      <c r="E8164">
        <f>IF($D8164 &gt; 16, 0, $J$3*(16 - $D8164))</f>
        <v>1848.9629200362033</v>
      </c>
      <c r="F8164">
        <f>IF($D8164 &gt; 16, 0,$E8164*$J$5)</f>
        <v>20096377.977873493</v>
      </c>
      <c r="G8164">
        <f t="shared" si="127"/>
        <v>8.9</v>
      </c>
    </row>
    <row r="8165" spans="2:7" x14ac:dyDescent="0.35">
      <c r="B8165" s="1">
        <v>45998</v>
      </c>
      <c r="C8165" s="2">
        <v>0.125</v>
      </c>
      <c r="D8165">
        <v>7.6</v>
      </c>
      <c r="E8165">
        <f>IF($D8165 &gt; 16, 0, $J$3*(16 - $D8165))</f>
        <v>1745.0885986858548</v>
      </c>
      <c r="F8165">
        <f>IF($D8165 &gt; 16, 0,$E8165*$J$5)</f>
        <v>18967367.979116555</v>
      </c>
      <c r="G8165">
        <f t="shared" si="127"/>
        <v>8.4</v>
      </c>
    </row>
    <row r="8166" spans="2:7" x14ac:dyDescent="0.35">
      <c r="B8166" s="1">
        <v>45998</v>
      </c>
      <c r="C8166" s="2">
        <v>0.16666666666666671</v>
      </c>
      <c r="D8166">
        <v>7.6</v>
      </c>
      <c r="E8166">
        <f>IF($D8166 &gt; 16, 0, $J$3*(16 - $D8166))</f>
        <v>1745.0885986858548</v>
      </c>
      <c r="F8166">
        <f>IF($D8166 &gt; 16, 0,$E8166*$J$5)</f>
        <v>18967367.979116555</v>
      </c>
      <c r="G8166">
        <f t="shared" si="127"/>
        <v>8.4</v>
      </c>
    </row>
    <row r="8167" spans="2:7" x14ac:dyDescent="0.35">
      <c r="B8167" s="1">
        <v>45998</v>
      </c>
      <c r="C8167" s="2">
        <v>0.20833333333333329</v>
      </c>
      <c r="D8167">
        <v>7.9</v>
      </c>
      <c r="E8167">
        <f>IF($D8167 &gt; 16, 0, $J$3*(16 - $D8167))</f>
        <v>1682.7640058756456</v>
      </c>
      <c r="F8167">
        <f>IF($D8167 &gt; 16, 0,$E8167*$J$5)</f>
        <v>18289961.979862392</v>
      </c>
      <c r="G8167">
        <f t="shared" si="127"/>
        <v>8.1</v>
      </c>
    </row>
    <row r="8168" spans="2:7" x14ac:dyDescent="0.35">
      <c r="B8168" s="1">
        <v>45998</v>
      </c>
      <c r="C8168" s="2">
        <v>0.25</v>
      </c>
      <c r="D8168">
        <v>7.9</v>
      </c>
      <c r="E8168">
        <f>IF($D8168 &gt; 16, 0, $J$3*(16 - $D8168))</f>
        <v>1682.7640058756456</v>
      </c>
      <c r="F8168">
        <f>IF($D8168 &gt; 16, 0,$E8168*$J$5)</f>
        <v>18289961.979862392</v>
      </c>
      <c r="G8168">
        <f t="shared" si="127"/>
        <v>8.1</v>
      </c>
    </row>
    <row r="8169" spans="2:7" x14ac:dyDescent="0.35">
      <c r="B8169" s="1">
        <v>45998</v>
      </c>
      <c r="C8169" s="2">
        <v>0.29166666666666669</v>
      </c>
      <c r="D8169">
        <v>8.6</v>
      </c>
      <c r="E8169">
        <f>IF($D8169 &gt; 16, 0, $J$3*(16 - $D8169))</f>
        <v>1537.3399559851578</v>
      </c>
      <c r="F8169">
        <f>IF($D8169 &gt; 16, 0,$E8169*$J$5)</f>
        <v>16709347.98160268</v>
      </c>
      <c r="G8169">
        <f t="shared" si="127"/>
        <v>7.4</v>
      </c>
    </row>
    <row r="8170" spans="2:7" x14ac:dyDescent="0.35">
      <c r="B8170" s="1">
        <v>45998</v>
      </c>
      <c r="C8170" s="2">
        <v>0.33333333333333331</v>
      </c>
      <c r="D8170">
        <v>8.9</v>
      </c>
      <c r="E8170">
        <f>IF($D8170 &gt; 16, 0, $J$3*(16 - $D8170))</f>
        <v>1475.0153631749486</v>
      </c>
      <c r="F8170">
        <f>IF($D8170 &gt; 16, 0,$E8170*$J$5)</f>
        <v>16031941.982348517</v>
      </c>
      <c r="G8170">
        <f t="shared" si="127"/>
        <v>7.1</v>
      </c>
    </row>
    <row r="8171" spans="2:7" x14ac:dyDescent="0.35">
      <c r="B8171" s="1">
        <v>45998</v>
      </c>
      <c r="C8171" s="2">
        <v>0.375</v>
      </c>
      <c r="D8171">
        <v>8.9</v>
      </c>
      <c r="E8171">
        <f>IF($D8171 &gt; 16, 0, $J$3*(16 - $D8171))</f>
        <v>1475.0153631749486</v>
      </c>
      <c r="F8171">
        <f>IF($D8171 &gt; 16, 0,$E8171*$J$5)</f>
        <v>16031941.982348517</v>
      </c>
      <c r="G8171">
        <f t="shared" si="127"/>
        <v>7.1</v>
      </c>
    </row>
    <row r="8172" spans="2:7" x14ac:dyDescent="0.35">
      <c r="B8172" s="1">
        <v>45998</v>
      </c>
      <c r="C8172" s="2">
        <v>0.41666666666666669</v>
      </c>
      <c r="D8172">
        <v>9.1</v>
      </c>
      <c r="E8172">
        <f>IF($D8172 &gt; 16, 0, $J$3*(16 - $D8172))</f>
        <v>1433.4656346348092</v>
      </c>
      <c r="F8172">
        <f>IF($D8172 &gt; 16, 0,$E8172*$J$5)</f>
        <v>15580337.982845742</v>
      </c>
      <c r="G8172">
        <f t="shared" si="127"/>
        <v>6.9</v>
      </c>
    </row>
    <row r="8173" spans="2:7" x14ac:dyDescent="0.35">
      <c r="B8173" s="1">
        <v>45998</v>
      </c>
      <c r="C8173" s="2">
        <v>0.45833333333333331</v>
      </c>
      <c r="D8173">
        <v>9.1999999999999993</v>
      </c>
      <c r="E8173">
        <f>IF($D8173 &gt; 16, 0, $J$3*(16 - $D8173))</f>
        <v>1412.6907703647396</v>
      </c>
      <c r="F8173">
        <f>IF($D8173 &gt; 16, 0,$E8173*$J$5)</f>
        <v>15354535.983094355</v>
      </c>
      <c r="G8173">
        <f t="shared" si="127"/>
        <v>6.8000000000000007</v>
      </c>
    </row>
    <row r="8174" spans="2:7" x14ac:dyDescent="0.35">
      <c r="B8174" s="1">
        <v>45998</v>
      </c>
      <c r="C8174" s="2">
        <v>0.5</v>
      </c>
      <c r="D8174">
        <v>9.4</v>
      </c>
      <c r="E8174">
        <f>IF($D8174 &gt; 16, 0, $J$3*(16 - $D8174))</f>
        <v>1371.1410418246001</v>
      </c>
      <c r="F8174">
        <f>IF($D8174 &gt; 16, 0,$E8174*$J$5)</f>
        <v>14902931.983591577</v>
      </c>
      <c r="G8174">
        <f t="shared" si="127"/>
        <v>6.6</v>
      </c>
    </row>
    <row r="8175" spans="2:7" x14ac:dyDescent="0.35">
      <c r="B8175" s="1">
        <v>45998</v>
      </c>
      <c r="C8175" s="2">
        <v>0.54166666666666663</v>
      </c>
      <c r="D8175">
        <v>9.6999999999999993</v>
      </c>
      <c r="E8175">
        <f>IF($D8175 &gt; 16, 0, $J$3*(16 - $D8175))</f>
        <v>1308.8164490143911</v>
      </c>
      <c r="F8175">
        <f>IF($D8175 &gt; 16, 0,$E8175*$J$5)</f>
        <v>14225525.984337417</v>
      </c>
      <c r="G8175">
        <f t="shared" si="127"/>
        <v>6.3000000000000007</v>
      </c>
    </row>
    <row r="8176" spans="2:7" x14ac:dyDescent="0.35">
      <c r="B8176" s="1">
        <v>45998</v>
      </c>
      <c r="C8176" s="2">
        <v>0.58333333333333337</v>
      </c>
      <c r="D8176">
        <v>9.6999999999999993</v>
      </c>
      <c r="E8176">
        <f>IF($D8176 &gt; 16, 0, $J$3*(16 - $D8176))</f>
        <v>1308.8164490143911</v>
      </c>
      <c r="F8176">
        <f>IF($D8176 &gt; 16, 0,$E8176*$J$5)</f>
        <v>14225525.984337417</v>
      </c>
      <c r="G8176">
        <f t="shared" si="127"/>
        <v>6.3000000000000007</v>
      </c>
    </row>
    <row r="8177" spans="2:7" x14ac:dyDescent="0.35">
      <c r="B8177" s="1">
        <v>45998</v>
      </c>
      <c r="C8177" s="2">
        <v>0.625</v>
      </c>
      <c r="D8177">
        <v>9.4</v>
      </c>
      <c r="E8177">
        <f>IF($D8177 &gt; 16, 0, $J$3*(16 - $D8177))</f>
        <v>1371.1410418246001</v>
      </c>
      <c r="F8177">
        <f>IF($D8177 &gt; 16, 0,$E8177*$J$5)</f>
        <v>14902931.983591577</v>
      </c>
      <c r="G8177">
        <f t="shared" si="127"/>
        <v>6.6</v>
      </c>
    </row>
    <row r="8178" spans="2:7" x14ac:dyDescent="0.35">
      <c r="B8178" s="1">
        <v>45998</v>
      </c>
      <c r="C8178" s="2">
        <v>0.66666666666666663</v>
      </c>
      <c r="D8178">
        <v>9.1999999999999993</v>
      </c>
      <c r="E8178">
        <f>IF($D8178 &gt; 16, 0, $J$3*(16 - $D8178))</f>
        <v>1412.6907703647396</v>
      </c>
      <c r="F8178">
        <f>IF($D8178 &gt; 16, 0,$E8178*$J$5)</f>
        <v>15354535.983094355</v>
      </c>
      <c r="G8178">
        <f t="shared" si="127"/>
        <v>6.8000000000000007</v>
      </c>
    </row>
    <row r="8179" spans="2:7" x14ac:dyDescent="0.35">
      <c r="B8179" s="1">
        <v>45998</v>
      </c>
      <c r="C8179" s="2">
        <v>0.70833333333333337</v>
      </c>
      <c r="D8179">
        <v>9.1999999999999993</v>
      </c>
      <c r="E8179">
        <f>IF($D8179 &gt; 16, 0, $J$3*(16 - $D8179))</f>
        <v>1412.6907703647396</v>
      </c>
      <c r="F8179">
        <f>IF($D8179 &gt; 16, 0,$E8179*$J$5)</f>
        <v>15354535.983094355</v>
      </c>
      <c r="G8179">
        <f t="shared" si="127"/>
        <v>6.8000000000000007</v>
      </c>
    </row>
    <row r="8180" spans="2:7" x14ac:dyDescent="0.35">
      <c r="B8180" s="1">
        <v>45998</v>
      </c>
      <c r="C8180" s="2">
        <v>0.75</v>
      </c>
      <c r="D8180">
        <v>9.1</v>
      </c>
      <c r="E8180">
        <f>IF($D8180 &gt; 16, 0, $J$3*(16 - $D8180))</f>
        <v>1433.4656346348092</v>
      </c>
      <c r="F8180">
        <f>IF($D8180 &gt; 16, 0,$E8180*$J$5)</f>
        <v>15580337.982845742</v>
      </c>
      <c r="G8180">
        <f t="shared" si="127"/>
        <v>6.9</v>
      </c>
    </row>
    <row r="8181" spans="2:7" x14ac:dyDescent="0.35">
      <c r="B8181" s="1">
        <v>45998</v>
      </c>
      <c r="C8181" s="2">
        <v>0.79166666666666663</v>
      </c>
      <c r="D8181">
        <v>8.6999999999999993</v>
      </c>
      <c r="E8181">
        <f>IF($D8181 &gt; 16, 0, $J$3*(16 - $D8181))</f>
        <v>1516.5650917150881</v>
      </c>
      <c r="F8181">
        <f>IF($D8181 &gt; 16, 0,$E8181*$J$5)</f>
        <v>16483545.981851293</v>
      </c>
      <c r="G8181">
        <f t="shared" si="127"/>
        <v>7.3000000000000007</v>
      </c>
    </row>
    <row r="8182" spans="2:7" x14ac:dyDescent="0.35">
      <c r="B8182" s="1">
        <v>45998</v>
      </c>
      <c r="C8182" s="2">
        <v>0.83333333333333337</v>
      </c>
      <c r="D8182">
        <v>8.8000000000000007</v>
      </c>
      <c r="E8182">
        <f>IF($D8182 &gt; 16, 0, $J$3*(16 - $D8182))</f>
        <v>1495.7902274450182</v>
      </c>
      <c r="F8182">
        <f>IF($D8182 &gt; 16, 0,$E8182*$J$5)</f>
        <v>16257743.982099904</v>
      </c>
      <c r="G8182">
        <f t="shared" si="127"/>
        <v>7.1999999999999993</v>
      </c>
    </row>
    <row r="8183" spans="2:7" x14ac:dyDescent="0.35">
      <c r="B8183" s="1">
        <v>45998</v>
      </c>
      <c r="C8183" s="2">
        <v>0.875</v>
      </c>
      <c r="D8183">
        <v>8.6999999999999993</v>
      </c>
      <c r="E8183">
        <f>IF($D8183 &gt; 16, 0, $J$3*(16 - $D8183))</f>
        <v>1516.5650917150881</v>
      </c>
      <c r="F8183">
        <f>IF($D8183 &gt; 16, 0,$E8183*$J$5)</f>
        <v>16483545.981851293</v>
      </c>
      <c r="G8183">
        <f t="shared" si="127"/>
        <v>7.3000000000000007</v>
      </c>
    </row>
    <row r="8184" spans="2:7" x14ac:dyDescent="0.35">
      <c r="B8184" s="1">
        <v>45998</v>
      </c>
      <c r="C8184" s="2">
        <v>0.91666666666666663</v>
      </c>
      <c r="D8184">
        <v>8.6999999999999993</v>
      </c>
      <c r="E8184">
        <f>IF($D8184 &gt; 16, 0, $J$3*(16 - $D8184))</f>
        <v>1516.5650917150881</v>
      </c>
      <c r="F8184">
        <f>IF($D8184 &gt; 16, 0,$E8184*$J$5)</f>
        <v>16483545.981851293</v>
      </c>
      <c r="G8184">
        <f t="shared" si="127"/>
        <v>7.3000000000000007</v>
      </c>
    </row>
    <row r="8185" spans="2:7" x14ac:dyDescent="0.35">
      <c r="B8185" s="1">
        <v>45998</v>
      </c>
      <c r="C8185" s="2">
        <v>0.95833333333333337</v>
      </c>
      <c r="D8185">
        <v>8.3000000000000007</v>
      </c>
      <c r="E8185">
        <f>IF($D8185 &gt; 16, 0, $J$3*(16 - $D8185))</f>
        <v>1599.6645487953667</v>
      </c>
      <c r="F8185">
        <f>IF($D8185 &gt; 16, 0,$E8185*$J$5)</f>
        <v>17386753.98085684</v>
      </c>
      <c r="G8185">
        <f t="shared" si="127"/>
        <v>7.6999999999999993</v>
      </c>
    </row>
    <row r="8186" spans="2:7" x14ac:dyDescent="0.35">
      <c r="B8186" s="1">
        <v>45999</v>
      </c>
      <c r="C8186" s="2">
        <v>0</v>
      </c>
      <c r="D8186">
        <v>8.3000000000000007</v>
      </c>
      <c r="E8186">
        <f>IF($D8186 &gt; 16, 0, $J$3*(16 - $D8186))</f>
        <v>1599.6645487953667</v>
      </c>
      <c r="F8186">
        <f>IF($D8186 &gt; 16, 0,$E8186*$J$5)</f>
        <v>17386753.98085684</v>
      </c>
      <c r="G8186">
        <f t="shared" si="127"/>
        <v>7.6999999999999993</v>
      </c>
    </row>
    <row r="8187" spans="2:7" x14ac:dyDescent="0.35">
      <c r="B8187" s="1">
        <v>45999</v>
      </c>
      <c r="C8187" s="2">
        <v>4.1666666666666657E-2</v>
      </c>
      <c r="D8187">
        <v>9</v>
      </c>
      <c r="E8187">
        <f>IF($D8187 &gt; 16, 0, $J$3*(16 - $D8187))</f>
        <v>1454.2404989048789</v>
      </c>
      <c r="F8187">
        <f>IF($D8187 &gt; 16, 0,$E8187*$J$5)</f>
        <v>15806139.982597129</v>
      </c>
      <c r="G8187">
        <f t="shared" si="127"/>
        <v>7</v>
      </c>
    </row>
    <row r="8188" spans="2:7" x14ac:dyDescent="0.35">
      <c r="B8188" s="1">
        <v>45999</v>
      </c>
      <c r="C8188" s="2">
        <v>8.3333333333333329E-2</v>
      </c>
      <c r="D8188">
        <v>10.1</v>
      </c>
      <c r="E8188">
        <f>IF($D8188 &gt; 16, 0, $J$3*(16 - $D8188))</f>
        <v>1225.7169919341122</v>
      </c>
      <c r="F8188">
        <f>IF($D8188 &gt; 16, 0,$E8188*$J$5)</f>
        <v>13322317.985331865</v>
      </c>
      <c r="G8188">
        <f t="shared" si="127"/>
        <v>5.9</v>
      </c>
    </row>
    <row r="8189" spans="2:7" x14ac:dyDescent="0.35">
      <c r="B8189" s="1">
        <v>45999</v>
      </c>
      <c r="C8189" s="2">
        <v>0.125</v>
      </c>
      <c r="D8189">
        <v>11.6</v>
      </c>
      <c r="E8189">
        <f>IF($D8189 &gt; 16, 0, $J$3*(16 - $D8189))</f>
        <v>914.09402788306681</v>
      </c>
      <c r="F8189">
        <f>IF($D8189 &gt; 16, 0,$E8189*$J$5)</f>
        <v>9935287.9890610538</v>
      </c>
      <c r="G8189">
        <f t="shared" si="127"/>
        <v>4.4000000000000004</v>
      </c>
    </row>
    <row r="8190" spans="2:7" x14ac:dyDescent="0.35">
      <c r="B8190" s="1">
        <v>45999</v>
      </c>
      <c r="C8190" s="2">
        <v>0.16666666666666671</v>
      </c>
      <c r="D8190">
        <v>12</v>
      </c>
      <c r="E8190">
        <f>IF($D8190 &gt; 16, 0, $J$3*(16 - $D8190))</f>
        <v>830.99457080278796</v>
      </c>
      <c r="F8190">
        <f>IF($D8190 &gt; 16, 0,$E8190*$J$5)</f>
        <v>9032079.9900555015</v>
      </c>
      <c r="G8190">
        <f t="shared" si="127"/>
        <v>4</v>
      </c>
    </row>
    <row r="8191" spans="2:7" x14ac:dyDescent="0.35">
      <c r="B8191" s="1">
        <v>45999</v>
      </c>
      <c r="C8191" s="2">
        <v>0.20833333333333329</v>
      </c>
      <c r="D8191">
        <v>10.8</v>
      </c>
      <c r="E8191">
        <f>IF($D8191 &gt; 16, 0, $J$3*(16 - $D8191))</f>
        <v>1080.2929420436242</v>
      </c>
      <c r="F8191">
        <f>IF($D8191 &gt; 16, 0,$E8191*$J$5)</f>
        <v>11741703.987072151</v>
      </c>
      <c r="G8191">
        <f t="shared" si="127"/>
        <v>5.1999999999999993</v>
      </c>
    </row>
    <row r="8192" spans="2:7" x14ac:dyDescent="0.35">
      <c r="B8192" s="1">
        <v>45999</v>
      </c>
      <c r="C8192" s="2">
        <v>0.25</v>
      </c>
      <c r="D8192">
        <v>10.3</v>
      </c>
      <c r="E8192">
        <f>IF($D8192 &gt; 16, 0, $J$3*(16 - $D8192))</f>
        <v>1184.1672633939727</v>
      </c>
      <c r="F8192">
        <f>IF($D8192 &gt; 16, 0,$E8192*$J$5)</f>
        <v>12870713.985829089</v>
      </c>
      <c r="G8192">
        <f t="shared" si="127"/>
        <v>5.6999999999999993</v>
      </c>
    </row>
    <row r="8193" spans="2:7" x14ac:dyDescent="0.35">
      <c r="B8193" s="1">
        <v>45999</v>
      </c>
      <c r="C8193" s="2">
        <v>0.29166666666666669</v>
      </c>
      <c r="D8193">
        <v>10.199999999999999</v>
      </c>
      <c r="E8193">
        <f>IF($D8193 &gt; 16, 0, $J$3*(16 - $D8193))</f>
        <v>1204.9421276640428</v>
      </c>
      <c r="F8193">
        <f>IF($D8193 &gt; 16, 0,$E8193*$J$5)</f>
        <v>13096515.985580482</v>
      </c>
      <c r="G8193">
        <f t="shared" si="127"/>
        <v>5.8000000000000007</v>
      </c>
    </row>
    <row r="8194" spans="2:7" x14ac:dyDescent="0.35">
      <c r="B8194" s="1">
        <v>45999</v>
      </c>
      <c r="C8194" s="2">
        <v>0.33333333333333331</v>
      </c>
      <c r="D8194">
        <v>10</v>
      </c>
      <c r="E8194">
        <f>IF($D8194 &gt; 16, 0, $J$3*(16 - $D8194))</f>
        <v>1246.4918562041819</v>
      </c>
      <c r="F8194">
        <f>IF($D8194 &gt; 16, 0,$E8194*$J$5)</f>
        <v>13548119.985083252</v>
      </c>
      <c r="G8194">
        <f t="shared" si="127"/>
        <v>6</v>
      </c>
    </row>
    <row r="8195" spans="2:7" x14ac:dyDescent="0.35">
      <c r="B8195" s="1">
        <v>45999</v>
      </c>
      <c r="C8195" s="2">
        <v>0.375</v>
      </c>
      <c r="D8195">
        <v>9.9</v>
      </c>
      <c r="E8195">
        <f>IF($D8195 &gt; 16, 0, $J$3*(16 - $D8195))</f>
        <v>1267.2667204742515</v>
      </c>
      <c r="F8195">
        <f>IF($D8195 &gt; 16, 0,$E8195*$J$5)</f>
        <v>13773921.984834639</v>
      </c>
      <c r="G8195">
        <f t="shared" ref="G8195:G8258" si="128">MAX(0, 16 - $D8195)</f>
        <v>6.1</v>
      </c>
    </row>
    <row r="8196" spans="2:7" x14ac:dyDescent="0.35">
      <c r="B8196" s="1">
        <v>45999</v>
      </c>
      <c r="C8196" s="2">
        <v>0.41666666666666669</v>
      </c>
      <c r="D8196">
        <v>10.6</v>
      </c>
      <c r="E8196">
        <f>IF($D8196 &gt; 16, 0, $J$3*(16 - $D8196))</f>
        <v>1121.8426705837637</v>
      </c>
      <c r="F8196">
        <f>IF($D8196 &gt; 16, 0,$E8196*$J$5)</f>
        <v>12193307.986574927</v>
      </c>
      <c r="G8196">
        <f t="shared" si="128"/>
        <v>5.4</v>
      </c>
    </row>
    <row r="8197" spans="2:7" x14ac:dyDescent="0.35">
      <c r="B8197" s="1">
        <v>45999</v>
      </c>
      <c r="C8197" s="2">
        <v>0.45833333333333331</v>
      </c>
      <c r="D8197">
        <v>10.9</v>
      </c>
      <c r="E8197">
        <f>IF($D8197 &gt; 16, 0, $J$3*(16 - $D8197))</f>
        <v>1059.5180777735545</v>
      </c>
      <c r="F8197">
        <f>IF($D8197 &gt; 16, 0,$E8197*$J$5)</f>
        <v>11515901.987320764</v>
      </c>
      <c r="G8197">
        <f t="shared" si="128"/>
        <v>5.0999999999999996</v>
      </c>
    </row>
    <row r="8198" spans="2:7" x14ac:dyDescent="0.35">
      <c r="B8198" s="1">
        <v>45999</v>
      </c>
      <c r="C8198" s="2">
        <v>0.5</v>
      </c>
      <c r="D8198">
        <v>11.3</v>
      </c>
      <c r="E8198">
        <f>IF($D8198 &gt; 16, 0, $J$3*(16 - $D8198))</f>
        <v>976.41862069327567</v>
      </c>
      <c r="F8198">
        <f>IF($D8198 &gt; 16, 0,$E8198*$J$5)</f>
        <v>10612693.988315213</v>
      </c>
      <c r="G8198">
        <f t="shared" si="128"/>
        <v>4.6999999999999993</v>
      </c>
    </row>
    <row r="8199" spans="2:7" x14ac:dyDescent="0.35">
      <c r="B8199" s="1">
        <v>45999</v>
      </c>
      <c r="C8199" s="2">
        <v>0.54166666666666663</v>
      </c>
      <c r="D8199">
        <v>11.6</v>
      </c>
      <c r="E8199">
        <f>IF($D8199 &gt; 16, 0, $J$3*(16 - $D8199))</f>
        <v>914.09402788306681</v>
      </c>
      <c r="F8199">
        <f>IF($D8199 &gt; 16, 0,$E8199*$J$5)</f>
        <v>9935287.9890610538</v>
      </c>
      <c r="G8199">
        <f t="shared" si="128"/>
        <v>4.4000000000000004</v>
      </c>
    </row>
    <row r="8200" spans="2:7" x14ac:dyDescent="0.35">
      <c r="B8200" s="1">
        <v>45999</v>
      </c>
      <c r="C8200" s="2">
        <v>0.58333333333333337</v>
      </c>
      <c r="D8200">
        <v>11.4</v>
      </c>
      <c r="E8200">
        <f>IF($D8200 &gt; 16, 0, $J$3*(16 - $D8200))</f>
        <v>955.64375642320613</v>
      </c>
      <c r="F8200">
        <f>IF($D8200 &gt; 16, 0,$E8200*$J$5)</f>
        <v>10386891.988563828</v>
      </c>
      <c r="G8200">
        <f t="shared" si="128"/>
        <v>4.5999999999999996</v>
      </c>
    </row>
    <row r="8201" spans="2:7" x14ac:dyDescent="0.35">
      <c r="B8201" s="1">
        <v>45999</v>
      </c>
      <c r="C8201" s="2">
        <v>0.625</v>
      </c>
      <c r="D8201">
        <v>11.5</v>
      </c>
      <c r="E8201">
        <f>IF($D8201 &gt; 16, 0, $J$3*(16 - $D8201))</f>
        <v>934.86889215313647</v>
      </c>
      <c r="F8201">
        <f>IF($D8201 &gt; 16, 0,$E8201*$J$5)</f>
        <v>10161089.988812441</v>
      </c>
      <c r="G8201">
        <f t="shared" si="128"/>
        <v>4.5</v>
      </c>
    </row>
    <row r="8202" spans="2:7" x14ac:dyDescent="0.35">
      <c r="B8202" s="1">
        <v>45999</v>
      </c>
      <c r="C8202" s="2">
        <v>0.66666666666666663</v>
      </c>
      <c r="D8202">
        <v>11.4</v>
      </c>
      <c r="E8202">
        <f>IF($D8202 &gt; 16, 0, $J$3*(16 - $D8202))</f>
        <v>955.64375642320613</v>
      </c>
      <c r="F8202">
        <f>IF($D8202 &gt; 16, 0,$E8202*$J$5)</f>
        <v>10386891.988563828</v>
      </c>
      <c r="G8202">
        <f t="shared" si="128"/>
        <v>4.5999999999999996</v>
      </c>
    </row>
    <row r="8203" spans="2:7" x14ac:dyDescent="0.35">
      <c r="B8203" s="1">
        <v>45999</v>
      </c>
      <c r="C8203" s="2">
        <v>0.70833333333333337</v>
      </c>
      <c r="D8203">
        <v>11.4</v>
      </c>
      <c r="E8203">
        <f>IF($D8203 &gt; 16, 0, $J$3*(16 - $D8203))</f>
        <v>955.64375642320613</v>
      </c>
      <c r="F8203">
        <f>IF($D8203 &gt; 16, 0,$E8203*$J$5)</f>
        <v>10386891.988563828</v>
      </c>
      <c r="G8203">
        <f t="shared" si="128"/>
        <v>4.5999999999999996</v>
      </c>
    </row>
    <row r="8204" spans="2:7" x14ac:dyDescent="0.35">
      <c r="B8204" s="1">
        <v>45999</v>
      </c>
      <c r="C8204" s="2">
        <v>0.75</v>
      </c>
      <c r="D8204">
        <v>11.4</v>
      </c>
      <c r="E8204">
        <f>IF($D8204 &gt; 16, 0, $J$3*(16 - $D8204))</f>
        <v>955.64375642320613</v>
      </c>
      <c r="F8204">
        <f>IF($D8204 &gt; 16, 0,$E8204*$J$5)</f>
        <v>10386891.988563828</v>
      </c>
      <c r="G8204">
        <f t="shared" si="128"/>
        <v>4.5999999999999996</v>
      </c>
    </row>
    <row r="8205" spans="2:7" x14ac:dyDescent="0.35">
      <c r="B8205" s="1">
        <v>45999</v>
      </c>
      <c r="C8205" s="2">
        <v>0.79166666666666663</v>
      </c>
      <c r="D8205">
        <v>12.3</v>
      </c>
      <c r="E8205">
        <f>IF($D8205 &gt; 16, 0, $J$3*(16 - $D8205))</f>
        <v>768.66997799257877</v>
      </c>
      <c r="F8205">
        <f>IF($D8205 &gt; 16, 0,$E8205*$J$5)</f>
        <v>8354673.990801339</v>
      </c>
      <c r="G8205">
        <f t="shared" si="128"/>
        <v>3.6999999999999993</v>
      </c>
    </row>
    <row r="8206" spans="2:7" x14ac:dyDescent="0.35">
      <c r="B8206" s="1">
        <v>45999</v>
      </c>
      <c r="C8206" s="2">
        <v>0.83333333333333337</v>
      </c>
      <c r="D8206">
        <v>12</v>
      </c>
      <c r="E8206">
        <f>IF($D8206 &gt; 16, 0, $J$3*(16 - $D8206))</f>
        <v>830.99457080278796</v>
      </c>
      <c r="F8206">
        <f>IF($D8206 &gt; 16, 0,$E8206*$J$5)</f>
        <v>9032079.9900555015</v>
      </c>
      <c r="G8206">
        <f t="shared" si="128"/>
        <v>4</v>
      </c>
    </row>
    <row r="8207" spans="2:7" x14ac:dyDescent="0.35">
      <c r="B8207" s="1">
        <v>45999</v>
      </c>
      <c r="C8207" s="2">
        <v>0.875</v>
      </c>
      <c r="D8207">
        <v>11.8</v>
      </c>
      <c r="E8207">
        <f>IF($D8207 &gt; 16, 0, $J$3*(16 - $D8207))</f>
        <v>872.54429934292716</v>
      </c>
      <c r="F8207">
        <f>IF($D8207 &gt; 16, 0,$E8207*$J$5)</f>
        <v>9483683.9895582758</v>
      </c>
      <c r="G8207">
        <f t="shared" si="128"/>
        <v>4.1999999999999993</v>
      </c>
    </row>
    <row r="8208" spans="2:7" x14ac:dyDescent="0.35">
      <c r="B8208" s="1">
        <v>45999</v>
      </c>
      <c r="C8208" s="2">
        <v>0.91666666666666663</v>
      </c>
      <c r="D8208">
        <v>11.8</v>
      </c>
      <c r="E8208">
        <f>IF($D8208 &gt; 16, 0, $J$3*(16 - $D8208))</f>
        <v>872.54429934292716</v>
      </c>
      <c r="F8208">
        <f>IF($D8208 &gt; 16, 0,$E8208*$J$5)</f>
        <v>9483683.9895582758</v>
      </c>
      <c r="G8208">
        <f t="shared" si="128"/>
        <v>4.1999999999999993</v>
      </c>
    </row>
    <row r="8209" spans="2:7" x14ac:dyDescent="0.35">
      <c r="B8209" s="1">
        <v>45999</v>
      </c>
      <c r="C8209" s="2">
        <v>0.95833333333333337</v>
      </c>
      <c r="D8209">
        <v>11.9</v>
      </c>
      <c r="E8209">
        <f>IF($D8209 &gt; 16, 0, $J$3*(16 - $D8209))</f>
        <v>851.76943507285762</v>
      </c>
      <c r="F8209">
        <f>IF($D8209 &gt; 16, 0,$E8209*$J$5)</f>
        <v>9257881.9898068886</v>
      </c>
      <c r="G8209">
        <f t="shared" si="128"/>
        <v>4.0999999999999996</v>
      </c>
    </row>
    <row r="8210" spans="2:7" x14ac:dyDescent="0.35">
      <c r="B8210" s="1">
        <v>46000</v>
      </c>
      <c r="C8210" s="2">
        <v>0</v>
      </c>
      <c r="D8210">
        <v>12</v>
      </c>
      <c r="E8210">
        <f>IF($D8210 &gt; 16, 0, $J$3*(16 - $D8210))</f>
        <v>830.99457080278796</v>
      </c>
      <c r="F8210">
        <f>IF($D8210 &gt; 16, 0,$E8210*$J$5)</f>
        <v>9032079.9900555015</v>
      </c>
      <c r="G8210">
        <f t="shared" si="128"/>
        <v>4</v>
      </c>
    </row>
    <row r="8211" spans="2:7" x14ac:dyDescent="0.35">
      <c r="B8211" s="1">
        <v>46000</v>
      </c>
      <c r="C8211" s="2">
        <v>4.1666666666666657E-2</v>
      </c>
      <c r="D8211">
        <v>11.8</v>
      </c>
      <c r="E8211">
        <f>IF($D8211 &gt; 16, 0, $J$3*(16 - $D8211))</f>
        <v>872.54429934292716</v>
      </c>
      <c r="F8211">
        <f>IF($D8211 &gt; 16, 0,$E8211*$J$5)</f>
        <v>9483683.9895582758</v>
      </c>
      <c r="G8211">
        <f t="shared" si="128"/>
        <v>4.1999999999999993</v>
      </c>
    </row>
    <row r="8212" spans="2:7" x14ac:dyDescent="0.35">
      <c r="B8212" s="1">
        <v>46000</v>
      </c>
      <c r="C8212" s="2">
        <v>8.3333333333333329E-2</v>
      </c>
      <c r="D8212">
        <v>11.4</v>
      </c>
      <c r="E8212">
        <f>IF($D8212 &gt; 16, 0, $J$3*(16 - $D8212))</f>
        <v>955.64375642320613</v>
      </c>
      <c r="F8212">
        <f>IF($D8212 &gt; 16, 0,$E8212*$J$5)</f>
        <v>10386891.988563828</v>
      </c>
      <c r="G8212">
        <f t="shared" si="128"/>
        <v>4.5999999999999996</v>
      </c>
    </row>
    <row r="8213" spans="2:7" x14ac:dyDescent="0.35">
      <c r="B8213" s="1">
        <v>46000</v>
      </c>
      <c r="C8213" s="2">
        <v>0.125</v>
      </c>
      <c r="D8213">
        <v>11.2</v>
      </c>
      <c r="E8213">
        <f>IF($D8213 &gt; 16, 0, $J$3*(16 - $D8213))</f>
        <v>997.19348496334567</v>
      </c>
      <c r="F8213">
        <f>IF($D8213 &gt; 16, 0,$E8213*$J$5)</f>
        <v>10838495.988066604</v>
      </c>
      <c r="G8213">
        <f t="shared" si="128"/>
        <v>4.8000000000000007</v>
      </c>
    </row>
    <row r="8214" spans="2:7" x14ac:dyDescent="0.35">
      <c r="B8214" s="1">
        <v>46000</v>
      </c>
      <c r="C8214" s="2">
        <v>0.16666666666666671</v>
      </c>
      <c r="D8214">
        <v>11.6</v>
      </c>
      <c r="E8214">
        <f>IF($D8214 &gt; 16, 0, $J$3*(16 - $D8214))</f>
        <v>914.09402788306681</v>
      </c>
      <c r="F8214">
        <f>IF($D8214 &gt; 16, 0,$E8214*$J$5)</f>
        <v>9935287.9890610538</v>
      </c>
      <c r="G8214">
        <f t="shared" si="128"/>
        <v>4.4000000000000004</v>
      </c>
    </row>
    <row r="8215" spans="2:7" x14ac:dyDescent="0.35">
      <c r="B8215" s="1">
        <v>46000</v>
      </c>
      <c r="C8215" s="2">
        <v>0.20833333333333329</v>
      </c>
      <c r="D8215">
        <v>11.7</v>
      </c>
      <c r="E8215">
        <f>IF($D8215 &gt; 16, 0, $J$3*(16 - $D8215))</f>
        <v>893.31916361299716</v>
      </c>
      <c r="F8215">
        <f>IF($D8215 &gt; 16, 0,$E8215*$J$5)</f>
        <v>9709485.9893096667</v>
      </c>
      <c r="G8215">
        <f t="shared" si="128"/>
        <v>4.3000000000000007</v>
      </c>
    </row>
    <row r="8216" spans="2:7" x14ac:dyDescent="0.35">
      <c r="B8216" s="1">
        <v>46000</v>
      </c>
      <c r="C8216" s="2">
        <v>0.25</v>
      </c>
      <c r="D8216">
        <v>11.6</v>
      </c>
      <c r="E8216">
        <f>IF($D8216 &gt; 16, 0, $J$3*(16 - $D8216))</f>
        <v>914.09402788306681</v>
      </c>
      <c r="F8216">
        <f>IF($D8216 &gt; 16, 0,$E8216*$J$5)</f>
        <v>9935287.9890610538</v>
      </c>
      <c r="G8216">
        <f t="shared" si="128"/>
        <v>4.4000000000000004</v>
      </c>
    </row>
    <row r="8217" spans="2:7" x14ac:dyDescent="0.35">
      <c r="B8217" s="1">
        <v>46000</v>
      </c>
      <c r="C8217" s="2">
        <v>0.29166666666666669</v>
      </c>
      <c r="D8217">
        <v>11.5</v>
      </c>
      <c r="E8217">
        <f>IF($D8217 &gt; 16, 0, $J$3*(16 - $D8217))</f>
        <v>934.86889215313647</v>
      </c>
      <c r="F8217">
        <f>IF($D8217 &gt; 16, 0,$E8217*$J$5)</f>
        <v>10161089.988812441</v>
      </c>
      <c r="G8217">
        <f t="shared" si="128"/>
        <v>4.5</v>
      </c>
    </row>
    <row r="8218" spans="2:7" x14ac:dyDescent="0.35">
      <c r="B8218" s="1">
        <v>46000</v>
      </c>
      <c r="C8218" s="2">
        <v>0.33333333333333331</v>
      </c>
      <c r="D8218">
        <v>11.7</v>
      </c>
      <c r="E8218">
        <f>IF($D8218 &gt; 16, 0, $J$3*(16 - $D8218))</f>
        <v>893.31916361299716</v>
      </c>
      <c r="F8218">
        <f>IF($D8218 &gt; 16, 0,$E8218*$J$5)</f>
        <v>9709485.9893096667</v>
      </c>
      <c r="G8218">
        <f t="shared" si="128"/>
        <v>4.3000000000000007</v>
      </c>
    </row>
    <row r="8219" spans="2:7" x14ac:dyDescent="0.35">
      <c r="B8219" s="1">
        <v>46000</v>
      </c>
      <c r="C8219" s="2">
        <v>0.375</v>
      </c>
      <c r="D8219">
        <v>11.9</v>
      </c>
      <c r="E8219">
        <f>IF($D8219 &gt; 16, 0, $J$3*(16 - $D8219))</f>
        <v>851.76943507285762</v>
      </c>
      <c r="F8219">
        <f>IF($D8219 &gt; 16, 0,$E8219*$J$5)</f>
        <v>9257881.9898068886</v>
      </c>
      <c r="G8219">
        <f t="shared" si="128"/>
        <v>4.0999999999999996</v>
      </c>
    </row>
    <row r="8220" spans="2:7" x14ac:dyDescent="0.35">
      <c r="B8220" s="1">
        <v>46000</v>
      </c>
      <c r="C8220" s="2">
        <v>0.41666666666666669</v>
      </c>
      <c r="D8220">
        <v>11.8</v>
      </c>
      <c r="E8220">
        <f>IF($D8220 &gt; 16, 0, $J$3*(16 - $D8220))</f>
        <v>872.54429934292716</v>
      </c>
      <c r="F8220">
        <f>IF($D8220 &gt; 16, 0,$E8220*$J$5)</f>
        <v>9483683.9895582758</v>
      </c>
      <c r="G8220">
        <f t="shared" si="128"/>
        <v>4.1999999999999993</v>
      </c>
    </row>
    <row r="8221" spans="2:7" x14ac:dyDescent="0.35">
      <c r="B8221" s="1">
        <v>46000</v>
      </c>
      <c r="C8221" s="2">
        <v>0.45833333333333331</v>
      </c>
      <c r="D8221">
        <v>11.9</v>
      </c>
      <c r="E8221">
        <f>IF($D8221 &gt; 16, 0, $J$3*(16 - $D8221))</f>
        <v>851.76943507285762</v>
      </c>
      <c r="F8221">
        <f>IF($D8221 &gt; 16, 0,$E8221*$J$5)</f>
        <v>9257881.9898068886</v>
      </c>
      <c r="G8221">
        <f t="shared" si="128"/>
        <v>4.0999999999999996</v>
      </c>
    </row>
    <row r="8222" spans="2:7" x14ac:dyDescent="0.35">
      <c r="B8222" s="1">
        <v>46000</v>
      </c>
      <c r="C8222" s="2">
        <v>0.5</v>
      </c>
      <c r="D8222">
        <v>12.1</v>
      </c>
      <c r="E8222">
        <f>IF($D8222 &gt; 16, 0, $J$3*(16 - $D8222))</f>
        <v>810.21970653271831</v>
      </c>
      <c r="F8222">
        <f>IF($D8222 &gt; 16, 0,$E8222*$J$5)</f>
        <v>8806277.9903041162</v>
      </c>
      <c r="G8222">
        <f t="shared" si="128"/>
        <v>3.9000000000000004</v>
      </c>
    </row>
    <row r="8223" spans="2:7" x14ac:dyDescent="0.35">
      <c r="B8223" s="1">
        <v>46000</v>
      </c>
      <c r="C8223" s="2">
        <v>0.54166666666666663</v>
      </c>
      <c r="D8223">
        <v>12.2</v>
      </c>
      <c r="E8223">
        <f>IF($D8223 &gt; 16, 0, $J$3*(16 - $D8223))</f>
        <v>789.44484226264876</v>
      </c>
      <c r="F8223">
        <f>IF($D8223 &gt; 16, 0,$E8223*$J$5)</f>
        <v>8580475.990552729</v>
      </c>
      <c r="G8223">
        <f t="shared" si="128"/>
        <v>3.8000000000000007</v>
      </c>
    </row>
    <row r="8224" spans="2:7" x14ac:dyDescent="0.35">
      <c r="B8224" s="1">
        <v>46000</v>
      </c>
      <c r="C8224" s="2">
        <v>0.58333333333333337</v>
      </c>
      <c r="D8224">
        <v>12.1</v>
      </c>
      <c r="E8224">
        <f>IF($D8224 &gt; 16, 0, $J$3*(16 - $D8224))</f>
        <v>810.21970653271831</v>
      </c>
      <c r="F8224">
        <f>IF($D8224 &gt; 16, 0,$E8224*$J$5)</f>
        <v>8806277.9903041162</v>
      </c>
      <c r="G8224">
        <f t="shared" si="128"/>
        <v>3.9000000000000004</v>
      </c>
    </row>
    <row r="8225" spans="2:7" x14ac:dyDescent="0.35">
      <c r="B8225" s="1">
        <v>46000</v>
      </c>
      <c r="C8225" s="2">
        <v>0.625</v>
      </c>
      <c r="D8225">
        <v>11.8</v>
      </c>
      <c r="E8225">
        <f>IF($D8225 &gt; 16, 0, $J$3*(16 - $D8225))</f>
        <v>872.54429934292716</v>
      </c>
      <c r="F8225">
        <f>IF($D8225 &gt; 16, 0,$E8225*$J$5)</f>
        <v>9483683.9895582758</v>
      </c>
      <c r="G8225">
        <f t="shared" si="128"/>
        <v>4.1999999999999993</v>
      </c>
    </row>
    <row r="8226" spans="2:7" x14ac:dyDescent="0.35">
      <c r="B8226" s="1">
        <v>46000</v>
      </c>
      <c r="C8226" s="2">
        <v>0.66666666666666663</v>
      </c>
      <c r="D8226">
        <v>11.8</v>
      </c>
      <c r="E8226">
        <f>IF($D8226 &gt; 16, 0, $J$3*(16 - $D8226))</f>
        <v>872.54429934292716</v>
      </c>
      <c r="F8226">
        <f>IF($D8226 &gt; 16, 0,$E8226*$J$5)</f>
        <v>9483683.9895582758</v>
      </c>
      <c r="G8226">
        <f t="shared" si="128"/>
        <v>4.1999999999999993</v>
      </c>
    </row>
    <row r="8227" spans="2:7" x14ac:dyDescent="0.35">
      <c r="B8227" s="1">
        <v>46000</v>
      </c>
      <c r="C8227" s="2">
        <v>0.70833333333333337</v>
      </c>
      <c r="D8227">
        <v>11.6</v>
      </c>
      <c r="E8227">
        <f>IF($D8227 &gt; 16, 0, $J$3*(16 - $D8227))</f>
        <v>914.09402788306681</v>
      </c>
      <c r="F8227">
        <f>IF($D8227 &gt; 16, 0,$E8227*$J$5)</f>
        <v>9935287.9890610538</v>
      </c>
      <c r="G8227">
        <f t="shared" si="128"/>
        <v>4.4000000000000004</v>
      </c>
    </row>
    <row r="8228" spans="2:7" x14ac:dyDescent="0.35">
      <c r="B8228" s="1">
        <v>46000</v>
      </c>
      <c r="C8228" s="2">
        <v>0.75</v>
      </c>
      <c r="D8228">
        <v>11.6</v>
      </c>
      <c r="E8228">
        <f>IF($D8228 &gt; 16, 0, $J$3*(16 - $D8228))</f>
        <v>914.09402788306681</v>
      </c>
      <c r="F8228">
        <f>IF($D8228 &gt; 16, 0,$E8228*$J$5)</f>
        <v>9935287.9890610538</v>
      </c>
      <c r="G8228">
        <f t="shared" si="128"/>
        <v>4.4000000000000004</v>
      </c>
    </row>
    <row r="8229" spans="2:7" x14ac:dyDescent="0.35">
      <c r="B8229" s="1">
        <v>46000</v>
      </c>
      <c r="C8229" s="2">
        <v>0.79166666666666663</v>
      </c>
      <c r="D8229">
        <v>11.8</v>
      </c>
      <c r="E8229">
        <f>IF($D8229 &gt; 16, 0, $J$3*(16 - $D8229))</f>
        <v>872.54429934292716</v>
      </c>
      <c r="F8229">
        <f>IF($D8229 &gt; 16, 0,$E8229*$J$5)</f>
        <v>9483683.9895582758</v>
      </c>
      <c r="G8229">
        <f t="shared" si="128"/>
        <v>4.1999999999999993</v>
      </c>
    </row>
    <row r="8230" spans="2:7" x14ac:dyDescent="0.35">
      <c r="B8230" s="1">
        <v>46000</v>
      </c>
      <c r="C8230" s="2">
        <v>0.83333333333333337</v>
      </c>
      <c r="D8230">
        <v>11.7</v>
      </c>
      <c r="E8230">
        <f>IF($D8230 &gt; 16, 0, $J$3*(16 - $D8230))</f>
        <v>893.31916361299716</v>
      </c>
      <c r="F8230">
        <f>IF($D8230 &gt; 16, 0,$E8230*$J$5)</f>
        <v>9709485.9893096667</v>
      </c>
      <c r="G8230">
        <f t="shared" si="128"/>
        <v>4.3000000000000007</v>
      </c>
    </row>
    <row r="8231" spans="2:7" x14ac:dyDescent="0.35">
      <c r="B8231" s="1">
        <v>46000</v>
      </c>
      <c r="C8231" s="2">
        <v>0.875</v>
      </c>
      <c r="D8231">
        <v>12.1</v>
      </c>
      <c r="E8231">
        <f>IF($D8231 &gt; 16, 0, $J$3*(16 - $D8231))</f>
        <v>810.21970653271831</v>
      </c>
      <c r="F8231">
        <f>IF($D8231 &gt; 16, 0,$E8231*$J$5)</f>
        <v>8806277.9903041162</v>
      </c>
      <c r="G8231">
        <f t="shared" si="128"/>
        <v>3.9000000000000004</v>
      </c>
    </row>
    <row r="8232" spans="2:7" x14ac:dyDescent="0.35">
      <c r="B8232" s="1">
        <v>46000</v>
      </c>
      <c r="C8232" s="2">
        <v>0.91666666666666663</v>
      </c>
      <c r="D8232">
        <v>12.4</v>
      </c>
      <c r="E8232">
        <f>IF($D8232 &gt; 16, 0, $J$3*(16 - $D8232))</f>
        <v>747.89511372250911</v>
      </c>
      <c r="F8232">
        <f>IF($D8232 &gt; 16, 0,$E8232*$J$5)</f>
        <v>8128871.9910499519</v>
      </c>
      <c r="G8232">
        <f t="shared" si="128"/>
        <v>3.5999999999999996</v>
      </c>
    </row>
    <row r="8233" spans="2:7" x14ac:dyDescent="0.35">
      <c r="B8233" s="1">
        <v>46000</v>
      </c>
      <c r="C8233" s="2">
        <v>0.95833333333333337</v>
      </c>
      <c r="D8233">
        <v>12.4</v>
      </c>
      <c r="E8233">
        <f>IF($D8233 &gt; 16, 0, $J$3*(16 - $D8233))</f>
        <v>747.89511372250911</v>
      </c>
      <c r="F8233">
        <f>IF($D8233 &gt; 16, 0,$E8233*$J$5)</f>
        <v>8128871.9910499519</v>
      </c>
      <c r="G8233">
        <f t="shared" si="128"/>
        <v>3.5999999999999996</v>
      </c>
    </row>
    <row r="8234" spans="2:7" x14ac:dyDescent="0.35">
      <c r="B8234" s="1">
        <v>46001</v>
      </c>
      <c r="C8234" s="2">
        <v>0</v>
      </c>
      <c r="D8234">
        <v>12.1</v>
      </c>
      <c r="E8234">
        <f>IF($D8234 &gt; 16, 0, $J$3*(16 - $D8234))</f>
        <v>810.21970653271831</v>
      </c>
      <c r="F8234">
        <f>IF($D8234 &gt; 16, 0,$E8234*$J$5)</f>
        <v>8806277.9903041162</v>
      </c>
      <c r="G8234">
        <f t="shared" si="128"/>
        <v>3.9000000000000004</v>
      </c>
    </row>
    <row r="8235" spans="2:7" x14ac:dyDescent="0.35">
      <c r="B8235" s="1">
        <v>46001</v>
      </c>
      <c r="C8235" s="2">
        <v>4.1666666666666657E-2</v>
      </c>
      <c r="D8235">
        <v>11.6</v>
      </c>
      <c r="E8235">
        <f>IF($D8235 &gt; 16, 0, $J$3*(16 - $D8235))</f>
        <v>914.09402788306681</v>
      </c>
      <c r="F8235">
        <f>IF($D8235 &gt; 16, 0,$E8235*$J$5)</f>
        <v>9935287.9890610538</v>
      </c>
      <c r="G8235">
        <f t="shared" si="128"/>
        <v>4.4000000000000004</v>
      </c>
    </row>
    <row r="8236" spans="2:7" x14ac:dyDescent="0.35">
      <c r="B8236" s="1">
        <v>46001</v>
      </c>
      <c r="C8236" s="2">
        <v>8.3333333333333329E-2</v>
      </c>
      <c r="D8236">
        <v>11.6</v>
      </c>
      <c r="E8236">
        <f>IF($D8236 &gt; 16, 0, $J$3*(16 - $D8236))</f>
        <v>914.09402788306681</v>
      </c>
      <c r="F8236">
        <f>IF($D8236 &gt; 16, 0,$E8236*$J$5)</f>
        <v>9935287.9890610538</v>
      </c>
      <c r="G8236">
        <f t="shared" si="128"/>
        <v>4.4000000000000004</v>
      </c>
    </row>
    <row r="8237" spans="2:7" x14ac:dyDescent="0.35">
      <c r="B8237" s="1">
        <v>46001</v>
      </c>
      <c r="C8237" s="2">
        <v>0.125</v>
      </c>
      <c r="D8237">
        <v>11</v>
      </c>
      <c r="E8237">
        <f>IF($D8237 &gt; 16, 0, $J$3*(16 - $D8237))</f>
        <v>1038.7432135034849</v>
      </c>
      <c r="F8237">
        <f>IF($D8237 &gt; 16, 0,$E8237*$J$5)</f>
        <v>11290099.987569377</v>
      </c>
      <c r="G8237">
        <f t="shared" si="128"/>
        <v>5</v>
      </c>
    </row>
    <row r="8238" spans="2:7" x14ac:dyDescent="0.35">
      <c r="B8238" s="1">
        <v>46001</v>
      </c>
      <c r="C8238" s="2">
        <v>0.16666666666666671</v>
      </c>
      <c r="D8238">
        <v>10.8</v>
      </c>
      <c r="E8238">
        <f>IF($D8238 &gt; 16, 0, $J$3*(16 - $D8238))</f>
        <v>1080.2929420436242</v>
      </c>
      <c r="F8238">
        <f>IF($D8238 &gt; 16, 0,$E8238*$J$5)</f>
        <v>11741703.987072151</v>
      </c>
      <c r="G8238">
        <f t="shared" si="128"/>
        <v>5.1999999999999993</v>
      </c>
    </row>
    <row r="8239" spans="2:7" x14ac:dyDescent="0.35">
      <c r="B8239" s="1">
        <v>46001</v>
      </c>
      <c r="C8239" s="2">
        <v>0.20833333333333329</v>
      </c>
      <c r="D8239">
        <v>11</v>
      </c>
      <c r="E8239">
        <f>IF($D8239 &gt; 16, 0, $J$3*(16 - $D8239))</f>
        <v>1038.7432135034849</v>
      </c>
      <c r="F8239">
        <f>IF($D8239 &gt; 16, 0,$E8239*$J$5)</f>
        <v>11290099.987569377</v>
      </c>
      <c r="G8239">
        <f t="shared" si="128"/>
        <v>5</v>
      </c>
    </row>
    <row r="8240" spans="2:7" x14ac:dyDescent="0.35">
      <c r="B8240" s="1">
        <v>46001</v>
      </c>
      <c r="C8240" s="2">
        <v>0.25</v>
      </c>
      <c r="D8240">
        <v>11.8</v>
      </c>
      <c r="E8240">
        <f>IF($D8240 &gt; 16, 0, $J$3*(16 - $D8240))</f>
        <v>872.54429934292716</v>
      </c>
      <c r="F8240">
        <f>IF($D8240 &gt; 16, 0,$E8240*$J$5)</f>
        <v>9483683.9895582758</v>
      </c>
      <c r="G8240">
        <f t="shared" si="128"/>
        <v>4.1999999999999993</v>
      </c>
    </row>
    <row r="8241" spans="2:7" x14ac:dyDescent="0.35">
      <c r="B8241" s="1">
        <v>46001</v>
      </c>
      <c r="C8241" s="2">
        <v>0.29166666666666669</v>
      </c>
      <c r="D8241">
        <v>12</v>
      </c>
      <c r="E8241">
        <f>IF($D8241 &gt; 16, 0, $J$3*(16 - $D8241))</f>
        <v>830.99457080278796</v>
      </c>
      <c r="F8241">
        <f>IF($D8241 &gt; 16, 0,$E8241*$J$5)</f>
        <v>9032079.9900555015</v>
      </c>
      <c r="G8241">
        <f t="shared" si="128"/>
        <v>4</v>
      </c>
    </row>
    <row r="8242" spans="2:7" x14ac:dyDescent="0.35">
      <c r="B8242" s="1">
        <v>46001</v>
      </c>
      <c r="C8242" s="2">
        <v>0.33333333333333331</v>
      </c>
      <c r="D8242">
        <v>11.6</v>
      </c>
      <c r="E8242">
        <f>IF($D8242 &gt; 16, 0, $J$3*(16 - $D8242))</f>
        <v>914.09402788306681</v>
      </c>
      <c r="F8242">
        <f>IF($D8242 &gt; 16, 0,$E8242*$J$5)</f>
        <v>9935287.9890610538</v>
      </c>
      <c r="G8242">
        <f t="shared" si="128"/>
        <v>4.4000000000000004</v>
      </c>
    </row>
    <row r="8243" spans="2:7" x14ac:dyDescent="0.35">
      <c r="B8243" s="1">
        <v>46001</v>
      </c>
      <c r="C8243" s="2">
        <v>0.375</v>
      </c>
      <c r="D8243">
        <v>11.6</v>
      </c>
      <c r="E8243">
        <f>IF($D8243 &gt; 16, 0, $J$3*(16 - $D8243))</f>
        <v>914.09402788306681</v>
      </c>
      <c r="F8243">
        <f>IF($D8243 &gt; 16, 0,$E8243*$J$5)</f>
        <v>9935287.9890610538</v>
      </c>
      <c r="G8243">
        <f t="shared" si="128"/>
        <v>4.4000000000000004</v>
      </c>
    </row>
    <row r="8244" spans="2:7" x14ac:dyDescent="0.35">
      <c r="B8244" s="1">
        <v>46001</v>
      </c>
      <c r="C8244" s="2">
        <v>0.41666666666666669</v>
      </c>
      <c r="D8244">
        <v>12.1</v>
      </c>
      <c r="E8244">
        <f>IF($D8244 &gt; 16, 0, $J$3*(16 - $D8244))</f>
        <v>810.21970653271831</v>
      </c>
      <c r="F8244">
        <f>IF($D8244 &gt; 16, 0,$E8244*$J$5)</f>
        <v>8806277.9903041162</v>
      </c>
      <c r="G8244">
        <f t="shared" si="128"/>
        <v>3.9000000000000004</v>
      </c>
    </row>
    <row r="8245" spans="2:7" x14ac:dyDescent="0.35">
      <c r="B8245" s="1">
        <v>46001</v>
      </c>
      <c r="C8245" s="2">
        <v>0.45833333333333331</v>
      </c>
      <c r="D8245">
        <v>12.4</v>
      </c>
      <c r="E8245">
        <f>IF($D8245 &gt; 16, 0, $J$3*(16 - $D8245))</f>
        <v>747.89511372250911</v>
      </c>
      <c r="F8245">
        <f>IF($D8245 &gt; 16, 0,$E8245*$J$5)</f>
        <v>8128871.9910499519</v>
      </c>
      <c r="G8245">
        <f t="shared" si="128"/>
        <v>3.5999999999999996</v>
      </c>
    </row>
    <row r="8246" spans="2:7" x14ac:dyDescent="0.35">
      <c r="B8246" s="1">
        <v>46001</v>
      </c>
      <c r="C8246" s="2">
        <v>0.5</v>
      </c>
      <c r="D8246">
        <v>12.6</v>
      </c>
      <c r="E8246">
        <f>IF($D8246 &gt; 16, 0, $J$3*(16 - $D8246))</f>
        <v>706.3453851823698</v>
      </c>
      <c r="F8246">
        <f>IF($D8246 &gt; 16, 0,$E8246*$J$5)</f>
        <v>7677267.9915471775</v>
      </c>
      <c r="G8246">
        <f t="shared" si="128"/>
        <v>3.4000000000000004</v>
      </c>
    </row>
    <row r="8247" spans="2:7" x14ac:dyDescent="0.35">
      <c r="B8247" s="1">
        <v>46001</v>
      </c>
      <c r="C8247" s="2">
        <v>0.54166666666666663</v>
      </c>
      <c r="D8247">
        <v>12.2</v>
      </c>
      <c r="E8247">
        <f>IF($D8247 &gt; 16, 0, $J$3*(16 - $D8247))</f>
        <v>789.44484226264876</v>
      </c>
      <c r="F8247">
        <f>IF($D8247 &gt; 16, 0,$E8247*$J$5)</f>
        <v>8580475.990552729</v>
      </c>
      <c r="G8247">
        <f t="shared" si="128"/>
        <v>3.8000000000000007</v>
      </c>
    </row>
    <row r="8248" spans="2:7" x14ac:dyDescent="0.35">
      <c r="B8248" s="1">
        <v>46001</v>
      </c>
      <c r="C8248" s="2">
        <v>0.58333333333333337</v>
      </c>
      <c r="D8248">
        <v>12.2</v>
      </c>
      <c r="E8248">
        <f>IF($D8248 &gt; 16, 0, $J$3*(16 - $D8248))</f>
        <v>789.44484226264876</v>
      </c>
      <c r="F8248">
        <f>IF($D8248 &gt; 16, 0,$E8248*$J$5)</f>
        <v>8580475.990552729</v>
      </c>
      <c r="G8248">
        <f t="shared" si="128"/>
        <v>3.8000000000000007</v>
      </c>
    </row>
    <row r="8249" spans="2:7" x14ac:dyDescent="0.35">
      <c r="B8249" s="1">
        <v>46001</v>
      </c>
      <c r="C8249" s="2">
        <v>0.625</v>
      </c>
      <c r="D8249">
        <v>11.7</v>
      </c>
      <c r="E8249">
        <f>IF($D8249 &gt; 16, 0, $J$3*(16 - $D8249))</f>
        <v>893.31916361299716</v>
      </c>
      <c r="F8249">
        <f>IF($D8249 &gt; 16, 0,$E8249*$J$5)</f>
        <v>9709485.9893096667</v>
      </c>
      <c r="G8249">
        <f t="shared" si="128"/>
        <v>4.3000000000000007</v>
      </c>
    </row>
    <row r="8250" spans="2:7" x14ac:dyDescent="0.35">
      <c r="B8250" s="1">
        <v>46001</v>
      </c>
      <c r="C8250" s="2">
        <v>0.66666666666666663</v>
      </c>
      <c r="D8250">
        <v>11</v>
      </c>
      <c r="E8250">
        <f>IF($D8250 &gt; 16, 0, $J$3*(16 - $D8250))</f>
        <v>1038.7432135034849</v>
      </c>
      <c r="F8250">
        <f>IF($D8250 &gt; 16, 0,$E8250*$J$5)</f>
        <v>11290099.987569377</v>
      </c>
      <c r="G8250">
        <f t="shared" si="128"/>
        <v>5</v>
      </c>
    </row>
    <row r="8251" spans="2:7" x14ac:dyDescent="0.35">
      <c r="B8251" s="1">
        <v>46001</v>
      </c>
      <c r="C8251" s="2">
        <v>0.70833333333333337</v>
      </c>
      <c r="D8251">
        <v>11</v>
      </c>
      <c r="E8251">
        <f>IF($D8251 &gt; 16, 0, $J$3*(16 - $D8251))</f>
        <v>1038.7432135034849</v>
      </c>
      <c r="F8251">
        <f>IF($D8251 &gt; 16, 0,$E8251*$J$5)</f>
        <v>11290099.987569377</v>
      </c>
      <c r="G8251">
        <f t="shared" si="128"/>
        <v>5</v>
      </c>
    </row>
    <row r="8252" spans="2:7" x14ac:dyDescent="0.35">
      <c r="B8252" s="1">
        <v>46001</v>
      </c>
      <c r="C8252" s="2">
        <v>0.75</v>
      </c>
      <c r="D8252">
        <v>11</v>
      </c>
      <c r="E8252">
        <f>IF($D8252 &gt; 16, 0, $J$3*(16 - $D8252))</f>
        <v>1038.7432135034849</v>
      </c>
      <c r="F8252">
        <f>IF($D8252 &gt; 16, 0,$E8252*$J$5)</f>
        <v>11290099.987569377</v>
      </c>
      <c r="G8252">
        <f t="shared" si="128"/>
        <v>5</v>
      </c>
    </row>
    <row r="8253" spans="2:7" x14ac:dyDescent="0.35">
      <c r="B8253" s="1">
        <v>46001</v>
      </c>
      <c r="C8253" s="2">
        <v>0.79166666666666663</v>
      </c>
      <c r="D8253">
        <v>11.4</v>
      </c>
      <c r="E8253">
        <f>IF($D8253 &gt; 16, 0, $J$3*(16 - $D8253))</f>
        <v>955.64375642320613</v>
      </c>
      <c r="F8253">
        <f>IF($D8253 &gt; 16, 0,$E8253*$J$5)</f>
        <v>10386891.988563828</v>
      </c>
      <c r="G8253">
        <f t="shared" si="128"/>
        <v>4.5999999999999996</v>
      </c>
    </row>
    <row r="8254" spans="2:7" x14ac:dyDescent="0.35">
      <c r="B8254" s="1">
        <v>46001</v>
      </c>
      <c r="C8254" s="2">
        <v>0.83333333333333337</v>
      </c>
      <c r="D8254">
        <v>11.6</v>
      </c>
      <c r="E8254">
        <f>IF($D8254 &gt; 16, 0, $J$3*(16 - $D8254))</f>
        <v>914.09402788306681</v>
      </c>
      <c r="F8254">
        <f>IF($D8254 &gt; 16, 0,$E8254*$J$5)</f>
        <v>9935287.9890610538</v>
      </c>
      <c r="G8254">
        <f t="shared" si="128"/>
        <v>4.4000000000000004</v>
      </c>
    </row>
    <row r="8255" spans="2:7" x14ac:dyDescent="0.35">
      <c r="B8255" s="1">
        <v>46001</v>
      </c>
      <c r="C8255" s="2">
        <v>0.875</v>
      </c>
      <c r="D8255">
        <v>11.3</v>
      </c>
      <c r="E8255">
        <f>IF($D8255 &gt; 16, 0, $J$3*(16 - $D8255))</f>
        <v>976.41862069327567</v>
      </c>
      <c r="F8255">
        <f>IF($D8255 &gt; 16, 0,$E8255*$J$5)</f>
        <v>10612693.988315213</v>
      </c>
      <c r="G8255">
        <f t="shared" si="128"/>
        <v>4.6999999999999993</v>
      </c>
    </row>
    <row r="8256" spans="2:7" x14ac:dyDescent="0.35">
      <c r="B8256" s="1">
        <v>46001</v>
      </c>
      <c r="C8256" s="2">
        <v>0.91666666666666663</v>
      </c>
      <c r="D8256">
        <v>11.2</v>
      </c>
      <c r="E8256">
        <f>IF($D8256 &gt; 16, 0, $J$3*(16 - $D8256))</f>
        <v>997.19348496334567</v>
      </c>
      <c r="F8256">
        <f>IF($D8256 &gt; 16, 0,$E8256*$J$5)</f>
        <v>10838495.988066604</v>
      </c>
      <c r="G8256">
        <f t="shared" si="128"/>
        <v>4.8000000000000007</v>
      </c>
    </row>
    <row r="8257" spans="2:7" x14ac:dyDescent="0.35">
      <c r="B8257" s="1">
        <v>46001</v>
      </c>
      <c r="C8257" s="2">
        <v>0.95833333333333337</v>
      </c>
      <c r="D8257">
        <v>11</v>
      </c>
      <c r="E8257">
        <f>IF($D8257 &gt; 16, 0, $J$3*(16 - $D8257))</f>
        <v>1038.7432135034849</v>
      </c>
      <c r="F8257">
        <f>IF($D8257 &gt; 16, 0,$E8257*$J$5)</f>
        <v>11290099.987569377</v>
      </c>
      <c r="G8257">
        <f t="shared" si="128"/>
        <v>5</v>
      </c>
    </row>
    <row r="8258" spans="2:7" x14ac:dyDescent="0.35">
      <c r="B8258" s="1">
        <v>46002</v>
      </c>
      <c r="C8258" s="2">
        <v>0</v>
      </c>
      <c r="D8258">
        <v>10.7</v>
      </c>
      <c r="E8258">
        <f>IF($D8258 &gt; 16, 0, $J$3*(16 - $D8258))</f>
        <v>1101.0678063136943</v>
      </c>
      <c r="F8258">
        <f>IF($D8258 &gt; 16, 0,$E8258*$J$5)</f>
        <v>11967505.986823544</v>
      </c>
      <c r="G8258">
        <f t="shared" si="128"/>
        <v>5.3000000000000007</v>
      </c>
    </row>
    <row r="8259" spans="2:7" x14ac:dyDescent="0.35">
      <c r="B8259" s="1">
        <v>46002</v>
      </c>
      <c r="C8259" s="2">
        <v>4.1666666666666657E-2</v>
      </c>
      <c r="D8259">
        <v>10.5</v>
      </c>
      <c r="E8259">
        <f>IF($D8259 &gt; 16, 0, $J$3*(16 - $D8259))</f>
        <v>1142.6175348538334</v>
      </c>
      <c r="F8259">
        <f>IF($D8259 &gt; 16, 0,$E8259*$J$5)</f>
        <v>12419109.986326315</v>
      </c>
      <c r="G8259">
        <f t="shared" ref="G8259:G8322" si="129">MAX(0, 16 - $D8259)</f>
        <v>5.5</v>
      </c>
    </row>
    <row r="8260" spans="2:7" x14ac:dyDescent="0.35">
      <c r="B8260" s="1">
        <v>46002</v>
      </c>
      <c r="C8260" s="2">
        <v>8.3333333333333329E-2</v>
      </c>
      <c r="D8260">
        <v>10.199999999999999</v>
      </c>
      <c r="E8260">
        <f>IF($D8260 &gt; 16, 0, $J$3*(16 - $D8260))</f>
        <v>1204.9421276640428</v>
      </c>
      <c r="F8260">
        <f>IF($D8260 &gt; 16, 0,$E8260*$J$5)</f>
        <v>13096515.985580482</v>
      </c>
      <c r="G8260">
        <f t="shared" si="129"/>
        <v>5.8000000000000007</v>
      </c>
    </row>
    <row r="8261" spans="2:7" x14ac:dyDescent="0.35">
      <c r="B8261" s="1">
        <v>46002</v>
      </c>
      <c r="C8261" s="2">
        <v>0.125</v>
      </c>
      <c r="D8261">
        <v>9.8000000000000007</v>
      </c>
      <c r="E8261">
        <f>IF($D8261 &gt; 16, 0, $J$3*(16 - $D8261))</f>
        <v>1288.0415847443212</v>
      </c>
      <c r="F8261">
        <f>IF($D8261 &gt; 16, 0,$E8261*$J$5)</f>
        <v>13999723.984586027</v>
      </c>
      <c r="G8261">
        <f t="shared" si="129"/>
        <v>6.1999999999999993</v>
      </c>
    </row>
    <row r="8262" spans="2:7" x14ac:dyDescent="0.35">
      <c r="B8262" s="1">
        <v>46002</v>
      </c>
      <c r="C8262" s="2">
        <v>0.16666666666666671</v>
      </c>
      <c r="D8262">
        <v>9.3000000000000007</v>
      </c>
      <c r="E8262">
        <f>IF($D8262 &gt; 16, 0, $J$3*(16 - $D8262))</f>
        <v>1391.9159060946697</v>
      </c>
      <c r="F8262">
        <f>IF($D8262 &gt; 16, 0,$E8262*$J$5)</f>
        <v>15128733.983342964</v>
      </c>
      <c r="G8262">
        <f t="shared" si="129"/>
        <v>6.6999999999999993</v>
      </c>
    </row>
    <row r="8263" spans="2:7" x14ac:dyDescent="0.35">
      <c r="B8263" s="1">
        <v>46002</v>
      </c>
      <c r="C8263" s="2">
        <v>0.20833333333333329</v>
      </c>
      <c r="D8263">
        <v>9</v>
      </c>
      <c r="E8263">
        <f>IF($D8263 &gt; 16, 0, $J$3*(16 - $D8263))</f>
        <v>1454.2404989048789</v>
      </c>
      <c r="F8263">
        <f>IF($D8263 &gt; 16, 0,$E8263*$J$5)</f>
        <v>15806139.982597129</v>
      </c>
      <c r="G8263">
        <f t="shared" si="129"/>
        <v>7</v>
      </c>
    </row>
    <row r="8264" spans="2:7" x14ac:dyDescent="0.35">
      <c r="B8264" s="1">
        <v>46002</v>
      </c>
      <c r="C8264" s="2">
        <v>0.25</v>
      </c>
      <c r="D8264">
        <v>9.1</v>
      </c>
      <c r="E8264">
        <f>IF($D8264 &gt; 16, 0, $J$3*(16 - $D8264))</f>
        <v>1433.4656346348092</v>
      </c>
      <c r="F8264">
        <f>IF($D8264 &gt; 16, 0,$E8264*$J$5)</f>
        <v>15580337.982845742</v>
      </c>
      <c r="G8264">
        <f t="shared" si="129"/>
        <v>6.9</v>
      </c>
    </row>
    <row r="8265" spans="2:7" x14ac:dyDescent="0.35">
      <c r="B8265" s="1">
        <v>46002</v>
      </c>
      <c r="C8265" s="2">
        <v>0.29166666666666669</v>
      </c>
      <c r="D8265">
        <v>9.3000000000000007</v>
      </c>
      <c r="E8265">
        <f>IF($D8265 &gt; 16, 0, $J$3*(16 - $D8265))</f>
        <v>1391.9159060946697</v>
      </c>
      <c r="F8265">
        <f>IF($D8265 &gt; 16, 0,$E8265*$J$5)</f>
        <v>15128733.983342964</v>
      </c>
      <c r="G8265">
        <f t="shared" si="129"/>
        <v>6.6999999999999993</v>
      </c>
    </row>
    <row r="8266" spans="2:7" x14ac:dyDescent="0.35">
      <c r="B8266" s="1">
        <v>46002</v>
      </c>
      <c r="C8266" s="2">
        <v>0.33333333333333331</v>
      </c>
      <c r="D8266">
        <v>9.1999999999999993</v>
      </c>
      <c r="E8266">
        <f>IF($D8266 &gt; 16, 0, $J$3*(16 - $D8266))</f>
        <v>1412.6907703647396</v>
      </c>
      <c r="F8266">
        <f>IF($D8266 &gt; 16, 0,$E8266*$J$5)</f>
        <v>15354535.983094355</v>
      </c>
      <c r="G8266">
        <f t="shared" si="129"/>
        <v>6.8000000000000007</v>
      </c>
    </row>
    <row r="8267" spans="2:7" x14ac:dyDescent="0.35">
      <c r="B8267" s="1">
        <v>46002</v>
      </c>
      <c r="C8267" s="2">
        <v>0.375</v>
      </c>
      <c r="D8267">
        <v>9.3000000000000007</v>
      </c>
      <c r="E8267">
        <f>IF($D8267 &gt; 16, 0, $J$3*(16 - $D8267))</f>
        <v>1391.9159060946697</v>
      </c>
      <c r="F8267">
        <f>IF($D8267 &gt; 16, 0,$E8267*$J$5)</f>
        <v>15128733.983342964</v>
      </c>
      <c r="G8267">
        <f t="shared" si="129"/>
        <v>6.6999999999999993</v>
      </c>
    </row>
    <row r="8268" spans="2:7" x14ac:dyDescent="0.35">
      <c r="B8268" s="1">
        <v>46002</v>
      </c>
      <c r="C8268" s="2">
        <v>0.41666666666666669</v>
      </c>
      <c r="D8268">
        <v>9.4</v>
      </c>
      <c r="E8268">
        <f>IF($D8268 &gt; 16, 0, $J$3*(16 - $D8268))</f>
        <v>1371.1410418246001</v>
      </c>
      <c r="F8268">
        <f>IF($D8268 &gt; 16, 0,$E8268*$J$5)</f>
        <v>14902931.983591577</v>
      </c>
      <c r="G8268">
        <f t="shared" si="129"/>
        <v>6.6</v>
      </c>
    </row>
    <row r="8269" spans="2:7" x14ac:dyDescent="0.35">
      <c r="B8269" s="1">
        <v>46002</v>
      </c>
      <c r="C8269" s="2">
        <v>0.45833333333333331</v>
      </c>
      <c r="D8269">
        <v>9.4</v>
      </c>
      <c r="E8269">
        <f>IF($D8269 &gt; 16, 0, $J$3*(16 - $D8269))</f>
        <v>1371.1410418246001</v>
      </c>
      <c r="F8269">
        <f>IF($D8269 &gt; 16, 0,$E8269*$J$5)</f>
        <v>14902931.983591577</v>
      </c>
      <c r="G8269">
        <f t="shared" si="129"/>
        <v>6.6</v>
      </c>
    </row>
    <row r="8270" spans="2:7" x14ac:dyDescent="0.35">
      <c r="B8270" s="1">
        <v>46002</v>
      </c>
      <c r="C8270" s="2">
        <v>0.5</v>
      </c>
      <c r="D8270">
        <v>9.5</v>
      </c>
      <c r="E8270">
        <f>IF($D8270 &gt; 16, 0, $J$3*(16 - $D8270))</f>
        <v>1350.3661775545304</v>
      </c>
      <c r="F8270">
        <f>IF($D8270 &gt; 16, 0,$E8270*$J$5)</f>
        <v>14677129.983840192</v>
      </c>
      <c r="G8270">
        <f t="shared" si="129"/>
        <v>6.5</v>
      </c>
    </row>
    <row r="8271" spans="2:7" x14ac:dyDescent="0.35">
      <c r="B8271" s="1">
        <v>46002</v>
      </c>
      <c r="C8271" s="2">
        <v>0.54166666666666663</v>
      </c>
      <c r="D8271">
        <v>9.6</v>
      </c>
      <c r="E8271">
        <f>IF($D8271 &gt; 16, 0, $J$3*(16 - $D8271))</f>
        <v>1329.5913132844607</v>
      </c>
      <c r="F8271">
        <f>IF($D8271 &gt; 16, 0,$E8271*$J$5)</f>
        <v>14451327.984088805</v>
      </c>
      <c r="G8271">
        <f t="shared" si="129"/>
        <v>6.4</v>
      </c>
    </row>
    <row r="8272" spans="2:7" x14ac:dyDescent="0.35">
      <c r="B8272" s="1">
        <v>46002</v>
      </c>
      <c r="C8272" s="2">
        <v>0.58333333333333337</v>
      </c>
      <c r="D8272">
        <v>9.6</v>
      </c>
      <c r="E8272">
        <f>IF($D8272 &gt; 16, 0, $J$3*(16 - $D8272))</f>
        <v>1329.5913132844607</v>
      </c>
      <c r="F8272">
        <f>IF($D8272 &gt; 16, 0,$E8272*$J$5)</f>
        <v>14451327.984088805</v>
      </c>
      <c r="G8272">
        <f t="shared" si="129"/>
        <v>6.4</v>
      </c>
    </row>
    <row r="8273" spans="2:7" x14ac:dyDescent="0.35">
      <c r="B8273" s="1">
        <v>46002</v>
      </c>
      <c r="C8273" s="2">
        <v>0.625</v>
      </c>
      <c r="D8273">
        <v>9.3000000000000007</v>
      </c>
      <c r="E8273">
        <f>IF($D8273 &gt; 16, 0, $J$3*(16 - $D8273))</f>
        <v>1391.9159060946697</v>
      </c>
      <c r="F8273">
        <f>IF($D8273 &gt; 16, 0,$E8273*$J$5)</f>
        <v>15128733.983342964</v>
      </c>
      <c r="G8273">
        <f t="shared" si="129"/>
        <v>6.6999999999999993</v>
      </c>
    </row>
    <row r="8274" spans="2:7" x14ac:dyDescent="0.35">
      <c r="B8274" s="1">
        <v>46002</v>
      </c>
      <c r="C8274" s="2">
        <v>0.66666666666666663</v>
      </c>
      <c r="D8274">
        <v>8.8000000000000007</v>
      </c>
      <c r="E8274">
        <f>IF($D8274 &gt; 16, 0, $J$3*(16 - $D8274))</f>
        <v>1495.7902274450182</v>
      </c>
      <c r="F8274">
        <f>IF($D8274 &gt; 16, 0,$E8274*$J$5)</f>
        <v>16257743.982099904</v>
      </c>
      <c r="G8274">
        <f t="shared" si="129"/>
        <v>7.1999999999999993</v>
      </c>
    </row>
    <row r="8275" spans="2:7" x14ac:dyDescent="0.35">
      <c r="B8275" s="1">
        <v>46002</v>
      </c>
      <c r="C8275" s="2">
        <v>0.70833333333333337</v>
      </c>
      <c r="D8275">
        <v>8.5</v>
      </c>
      <c r="E8275">
        <f>IF($D8275 &gt; 16, 0, $J$3*(16 - $D8275))</f>
        <v>1558.1148202552274</v>
      </c>
      <c r="F8275">
        <f>IF($D8275 &gt; 16, 0,$E8275*$J$5)</f>
        <v>16935149.981354065</v>
      </c>
      <c r="G8275">
        <f t="shared" si="129"/>
        <v>7.5</v>
      </c>
    </row>
    <row r="8276" spans="2:7" x14ac:dyDescent="0.35">
      <c r="B8276" s="1">
        <v>46002</v>
      </c>
      <c r="C8276" s="2">
        <v>0.75</v>
      </c>
      <c r="D8276">
        <v>7.7</v>
      </c>
      <c r="E8276">
        <f>IF($D8276 &gt; 16, 0, $J$3*(16 - $D8276))</f>
        <v>1724.3137344157851</v>
      </c>
      <c r="F8276">
        <f>IF($D8276 &gt; 16, 0,$E8276*$J$5)</f>
        <v>18741565.97936517</v>
      </c>
      <c r="G8276">
        <f t="shared" si="129"/>
        <v>8.3000000000000007</v>
      </c>
    </row>
    <row r="8277" spans="2:7" x14ac:dyDescent="0.35">
      <c r="B8277" s="1">
        <v>46002</v>
      </c>
      <c r="C8277" s="2">
        <v>0.79166666666666663</v>
      </c>
      <c r="D8277">
        <v>7.3</v>
      </c>
      <c r="E8277">
        <f>IF($D8277 &gt; 16, 0, $J$3*(16 - $D8277))</f>
        <v>1807.4131914960637</v>
      </c>
      <c r="F8277">
        <f>IF($D8277 &gt; 16, 0,$E8277*$J$5)</f>
        <v>19644773.978370719</v>
      </c>
      <c r="G8277">
        <f t="shared" si="129"/>
        <v>8.6999999999999993</v>
      </c>
    </row>
    <row r="8278" spans="2:7" x14ac:dyDescent="0.35">
      <c r="B8278" s="1">
        <v>46002</v>
      </c>
      <c r="C8278" s="2">
        <v>0.83333333333333337</v>
      </c>
      <c r="D8278">
        <v>7.1</v>
      </c>
      <c r="E8278">
        <f>IF($D8278 &gt; 16, 0, $J$3*(16 - $D8278))</f>
        <v>1848.9629200362033</v>
      </c>
      <c r="F8278">
        <f>IF($D8278 &gt; 16, 0,$E8278*$J$5)</f>
        <v>20096377.977873493</v>
      </c>
      <c r="G8278">
        <f t="shared" si="129"/>
        <v>8.9</v>
      </c>
    </row>
    <row r="8279" spans="2:7" x14ac:dyDescent="0.35">
      <c r="B8279" s="1">
        <v>46002</v>
      </c>
      <c r="C8279" s="2">
        <v>0.875</v>
      </c>
      <c r="D8279">
        <v>6.6</v>
      </c>
      <c r="E8279">
        <f>IF($D8279 &gt; 16, 0, $J$3*(16 - $D8279))</f>
        <v>1952.8372413865518</v>
      </c>
      <c r="F8279">
        <f>IF($D8279 &gt; 16, 0,$E8279*$J$5)</f>
        <v>21225387.976630431</v>
      </c>
      <c r="G8279">
        <f t="shared" si="129"/>
        <v>9.4</v>
      </c>
    </row>
    <row r="8280" spans="2:7" x14ac:dyDescent="0.35">
      <c r="B8280" s="1">
        <v>46002</v>
      </c>
      <c r="C8280" s="2">
        <v>0.91666666666666663</v>
      </c>
      <c r="D8280">
        <v>5.0999999999999996</v>
      </c>
      <c r="E8280">
        <f>IF($D8280 &gt; 16, 0, $J$3*(16 - $D8280))</f>
        <v>2264.4602054375973</v>
      </c>
      <c r="F8280">
        <f>IF($D8280 &gt; 16, 0,$E8280*$J$5)</f>
        <v>24612417.972901244</v>
      </c>
      <c r="G8280">
        <f t="shared" si="129"/>
        <v>10.9</v>
      </c>
    </row>
    <row r="8281" spans="2:7" x14ac:dyDescent="0.35">
      <c r="B8281" s="1">
        <v>46002</v>
      </c>
      <c r="C8281" s="2">
        <v>0.95833333333333337</v>
      </c>
      <c r="D8281">
        <v>3.9</v>
      </c>
      <c r="E8281">
        <f>IF($D8281 &gt; 16, 0, $J$3*(16 - $D8281))</f>
        <v>2513.7585766784337</v>
      </c>
      <c r="F8281">
        <f>IF($D8281 &gt; 16, 0,$E8281*$J$5)</f>
        <v>27322041.969917897</v>
      </c>
      <c r="G8281">
        <f t="shared" si="129"/>
        <v>12.1</v>
      </c>
    </row>
    <row r="8282" spans="2:7" x14ac:dyDescent="0.35">
      <c r="B8282" s="1">
        <v>46003</v>
      </c>
      <c r="C8282" s="2">
        <v>0</v>
      </c>
      <c r="D8282">
        <v>2.7</v>
      </c>
      <c r="E8282">
        <f>IF($D8282 &gt; 16, 0, $J$3*(16 - $D8282))</f>
        <v>2763.05694791927</v>
      </c>
      <c r="F8282">
        <f>IF($D8282 &gt; 16, 0,$E8282*$J$5)</f>
        <v>30031665.966934547</v>
      </c>
      <c r="G8282">
        <f t="shared" si="129"/>
        <v>13.3</v>
      </c>
    </row>
    <row r="8283" spans="2:7" x14ac:dyDescent="0.35">
      <c r="B8283" s="1">
        <v>46003</v>
      </c>
      <c r="C8283" s="2">
        <v>4.1666666666666657E-2</v>
      </c>
      <c r="D8283">
        <v>2.4</v>
      </c>
      <c r="E8283">
        <f>IF($D8283 &gt; 16, 0, $J$3*(16 - $D8283))</f>
        <v>2825.3815407294792</v>
      </c>
      <c r="F8283">
        <f>IF($D8283 &gt; 16, 0,$E8283*$J$5)</f>
        <v>30709071.96618871</v>
      </c>
      <c r="G8283">
        <f t="shared" si="129"/>
        <v>13.6</v>
      </c>
    </row>
    <row r="8284" spans="2:7" x14ac:dyDescent="0.35">
      <c r="B8284" s="1">
        <v>46003</v>
      </c>
      <c r="C8284" s="2">
        <v>8.3333333333333329E-2</v>
      </c>
      <c r="D8284">
        <v>1.7</v>
      </c>
      <c r="E8284">
        <f>IF($D8284 &gt; 16, 0, $J$3*(16 - $D8284))</f>
        <v>2970.805590619967</v>
      </c>
      <c r="F8284">
        <f>IF($D8284 &gt; 16, 0,$E8284*$J$5)</f>
        <v>32289685.964448422</v>
      </c>
      <c r="G8284">
        <f t="shared" si="129"/>
        <v>14.3</v>
      </c>
    </row>
    <row r="8285" spans="2:7" x14ac:dyDescent="0.35">
      <c r="B8285" s="1">
        <v>46003</v>
      </c>
      <c r="C8285" s="2">
        <v>0.125</v>
      </c>
      <c r="D8285">
        <v>0.5</v>
      </c>
      <c r="E8285">
        <f>IF($D8285 &gt; 16, 0, $J$3*(16 - $D8285))</f>
        <v>3220.1039618608033</v>
      </c>
      <c r="F8285">
        <f>IF($D8285 &gt; 16, 0,$E8285*$J$5)</f>
        <v>34999309.961465068</v>
      </c>
      <c r="G8285">
        <f t="shared" si="129"/>
        <v>15.5</v>
      </c>
    </row>
    <row r="8286" spans="2:7" x14ac:dyDescent="0.35">
      <c r="B8286" s="1">
        <v>46003</v>
      </c>
      <c r="C8286" s="2">
        <v>0.16666666666666671</v>
      </c>
      <c r="D8286">
        <v>4.8</v>
      </c>
      <c r="E8286">
        <f>IF($D8286 &gt; 16, 0, $J$3*(16 - $D8286))</f>
        <v>2326.7847982478061</v>
      </c>
      <c r="F8286">
        <f>IF($D8286 &gt; 16, 0,$E8286*$J$5)</f>
        <v>25289823.972155403</v>
      </c>
      <c r="G8286">
        <f t="shared" si="129"/>
        <v>11.2</v>
      </c>
    </row>
    <row r="8287" spans="2:7" x14ac:dyDescent="0.35">
      <c r="B8287" s="1">
        <v>46003</v>
      </c>
      <c r="C8287" s="2">
        <v>0.20833333333333329</v>
      </c>
      <c r="D8287">
        <v>5.0999999999999996</v>
      </c>
      <c r="E8287">
        <f>IF($D8287 &gt; 16, 0, $J$3*(16 - $D8287))</f>
        <v>2264.4602054375973</v>
      </c>
      <c r="F8287">
        <f>IF($D8287 &gt; 16, 0,$E8287*$J$5)</f>
        <v>24612417.972901244</v>
      </c>
      <c r="G8287">
        <f t="shared" si="129"/>
        <v>10.9</v>
      </c>
    </row>
    <row r="8288" spans="2:7" x14ac:dyDescent="0.35">
      <c r="B8288" s="1">
        <v>46003</v>
      </c>
      <c r="C8288" s="2">
        <v>0.25</v>
      </c>
      <c r="D8288">
        <v>5.2</v>
      </c>
      <c r="E8288">
        <f>IF($D8288 &gt; 16, 0, $J$3*(16 - $D8288))</f>
        <v>2243.6853411675274</v>
      </c>
      <c r="F8288">
        <f>IF($D8288 &gt; 16, 0,$E8288*$J$5)</f>
        <v>24386615.973149855</v>
      </c>
      <c r="G8288">
        <f t="shared" si="129"/>
        <v>10.8</v>
      </c>
    </row>
    <row r="8289" spans="2:7" x14ac:dyDescent="0.35">
      <c r="B8289" s="1">
        <v>46003</v>
      </c>
      <c r="C8289" s="2">
        <v>0.29166666666666669</v>
      </c>
      <c r="D8289">
        <v>4.7</v>
      </c>
      <c r="E8289">
        <f>IF($D8289 &gt; 16, 0, $J$3*(16 - $D8289))</f>
        <v>2347.5596625178759</v>
      </c>
      <c r="F8289">
        <f>IF($D8289 &gt; 16, 0,$E8289*$J$5)</f>
        <v>25515625.971906792</v>
      </c>
      <c r="G8289">
        <f t="shared" si="129"/>
        <v>11.3</v>
      </c>
    </row>
    <row r="8290" spans="2:7" x14ac:dyDescent="0.35">
      <c r="B8290" s="1">
        <v>46003</v>
      </c>
      <c r="C8290" s="2">
        <v>0.33333333333333331</v>
      </c>
      <c r="D8290">
        <v>4.2</v>
      </c>
      <c r="E8290">
        <f>IF($D8290 &gt; 16, 0, $J$3*(16 - $D8290))</f>
        <v>2451.4339838682245</v>
      </c>
      <c r="F8290">
        <f>IF($D8290 &gt; 16, 0,$E8290*$J$5)</f>
        <v>26644635.97066373</v>
      </c>
      <c r="G8290">
        <f t="shared" si="129"/>
        <v>11.8</v>
      </c>
    </row>
    <row r="8291" spans="2:7" x14ac:dyDescent="0.35">
      <c r="B8291" s="1">
        <v>46003</v>
      </c>
      <c r="C8291" s="2">
        <v>0.375</v>
      </c>
      <c r="D8291">
        <v>4.5999999999999996</v>
      </c>
      <c r="E8291">
        <f>IF($D8291 &gt; 16, 0, $J$3*(16 - $D8291))</f>
        <v>2368.3345267879458</v>
      </c>
      <c r="F8291">
        <f>IF($D8291 &gt; 16, 0,$E8291*$J$5)</f>
        <v>25741427.971658185</v>
      </c>
      <c r="G8291">
        <f t="shared" si="129"/>
        <v>11.4</v>
      </c>
    </row>
    <row r="8292" spans="2:7" x14ac:dyDescent="0.35">
      <c r="B8292" s="1">
        <v>46003</v>
      </c>
      <c r="C8292" s="2">
        <v>0.41666666666666669</v>
      </c>
      <c r="D8292">
        <v>5</v>
      </c>
      <c r="E8292">
        <f>IF($D8292 &gt; 16, 0, $J$3*(16 - $D8292))</f>
        <v>2285.2350697076668</v>
      </c>
      <c r="F8292">
        <f>IF($D8292 &gt; 16, 0,$E8292*$J$5)</f>
        <v>24838219.972652629</v>
      </c>
      <c r="G8292">
        <f t="shared" si="129"/>
        <v>11</v>
      </c>
    </row>
    <row r="8293" spans="2:7" x14ac:dyDescent="0.35">
      <c r="B8293" s="1">
        <v>46003</v>
      </c>
      <c r="C8293" s="2">
        <v>0.45833333333333331</v>
      </c>
      <c r="D8293">
        <v>5.5</v>
      </c>
      <c r="E8293">
        <f>IF($D8293 &gt; 16, 0, $J$3*(16 - $D8293))</f>
        <v>2181.3607483573182</v>
      </c>
      <c r="F8293">
        <f>IF($D8293 &gt; 16, 0,$E8293*$J$5)</f>
        <v>23709209.973895691</v>
      </c>
      <c r="G8293">
        <f t="shared" si="129"/>
        <v>10.5</v>
      </c>
    </row>
    <row r="8294" spans="2:7" x14ac:dyDescent="0.35">
      <c r="B8294" s="1">
        <v>46003</v>
      </c>
      <c r="C8294" s="2">
        <v>0.5</v>
      </c>
      <c r="D8294">
        <v>6.1</v>
      </c>
      <c r="E8294">
        <f>IF($D8294 &gt; 16, 0, $J$3*(16 - $D8294))</f>
        <v>2056.7115627369003</v>
      </c>
      <c r="F8294">
        <f>IF($D8294 &gt; 16, 0,$E8294*$J$5)</f>
        <v>22354397.975387368</v>
      </c>
      <c r="G8294">
        <f t="shared" si="129"/>
        <v>9.9</v>
      </c>
    </row>
    <row r="8295" spans="2:7" x14ac:dyDescent="0.35">
      <c r="B8295" s="1">
        <v>46003</v>
      </c>
      <c r="C8295" s="2">
        <v>0.54166666666666663</v>
      </c>
      <c r="D8295">
        <v>5.4</v>
      </c>
      <c r="E8295">
        <f>IF($D8295 &gt; 16, 0, $J$3*(16 - $D8295))</f>
        <v>2202.1356126273881</v>
      </c>
      <c r="F8295">
        <f>IF($D8295 &gt; 16, 0,$E8295*$J$5)</f>
        <v>23935011.97364708</v>
      </c>
      <c r="G8295">
        <f t="shared" si="129"/>
        <v>10.6</v>
      </c>
    </row>
    <row r="8296" spans="2:7" x14ac:dyDescent="0.35">
      <c r="B8296" s="1">
        <v>46003</v>
      </c>
      <c r="C8296" s="2">
        <v>0.58333333333333337</v>
      </c>
      <c r="D8296">
        <v>5.6</v>
      </c>
      <c r="E8296">
        <f>IF($D8296 &gt; 16, 0, $J$3*(16 - $D8296))</f>
        <v>2160.5858840872488</v>
      </c>
      <c r="F8296">
        <f>IF($D8296 &gt; 16, 0,$E8296*$J$5)</f>
        <v>23483407.974144306</v>
      </c>
      <c r="G8296">
        <f t="shared" si="129"/>
        <v>10.4</v>
      </c>
    </row>
    <row r="8297" spans="2:7" x14ac:dyDescent="0.35">
      <c r="B8297" s="1">
        <v>46003</v>
      </c>
      <c r="C8297" s="2">
        <v>0.625</v>
      </c>
      <c r="D8297">
        <v>5.7</v>
      </c>
      <c r="E8297">
        <f>IF($D8297 &gt; 16, 0, $J$3*(16 - $D8297))</f>
        <v>2139.8110198171789</v>
      </c>
      <c r="F8297">
        <f>IF($D8297 &gt; 16, 0,$E8297*$J$5)</f>
        <v>23257605.974392917</v>
      </c>
      <c r="G8297">
        <f t="shared" si="129"/>
        <v>10.3</v>
      </c>
    </row>
    <row r="8298" spans="2:7" x14ac:dyDescent="0.35">
      <c r="B8298" s="1">
        <v>46003</v>
      </c>
      <c r="C8298" s="2">
        <v>0.66666666666666663</v>
      </c>
      <c r="D8298">
        <v>5.5</v>
      </c>
      <c r="E8298">
        <f>IF($D8298 &gt; 16, 0, $J$3*(16 - $D8298))</f>
        <v>2181.3607483573182</v>
      </c>
      <c r="F8298">
        <f>IF($D8298 &gt; 16, 0,$E8298*$J$5)</f>
        <v>23709209.973895691</v>
      </c>
      <c r="G8298">
        <f t="shared" si="129"/>
        <v>10.5</v>
      </c>
    </row>
    <row r="8299" spans="2:7" x14ac:dyDescent="0.35">
      <c r="B8299" s="1">
        <v>46003</v>
      </c>
      <c r="C8299" s="2">
        <v>0.70833333333333337</v>
      </c>
      <c r="D8299">
        <v>6</v>
      </c>
      <c r="E8299">
        <f>IF($D8299 &gt; 16, 0, $J$3*(16 - $D8299))</f>
        <v>2077.4864270069697</v>
      </c>
      <c r="F8299">
        <f>IF($D8299 &gt; 16, 0,$E8299*$J$5)</f>
        <v>22580199.975138754</v>
      </c>
      <c r="G8299">
        <f t="shared" si="129"/>
        <v>10</v>
      </c>
    </row>
    <row r="8300" spans="2:7" x14ac:dyDescent="0.35">
      <c r="B8300" s="1">
        <v>46003</v>
      </c>
      <c r="C8300" s="2">
        <v>0.75</v>
      </c>
      <c r="D8300">
        <v>6.2</v>
      </c>
      <c r="E8300">
        <f>IF($D8300 &gt; 16, 0, $J$3*(16 - $D8300))</f>
        <v>2035.9366984668306</v>
      </c>
      <c r="F8300">
        <f>IF($D8300 &gt; 16, 0,$E8300*$J$5)</f>
        <v>22128595.975635983</v>
      </c>
      <c r="G8300">
        <f t="shared" si="129"/>
        <v>9.8000000000000007</v>
      </c>
    </row>
    <row r="8301" spans="2:7" x14ac:dyDescent="0.35">
      <c r="B8301" s="1">
        <v>46003</v>
      </c>
      <c r="C8301" s="2">
        <v>0.79166666666666663</v>
      </c>
      <c r="D8301">
        <v>6.6</v>
      </c>
      <c r="E8301">
        <f>IF($D8301 &gt; 16, 0, $J$3*(16 - $D8301))</f>
        <v>1952.8372413865518</v>
      </c>
      <c r="F8301">
        <f>IF($D8301 &gt; 16, 0,$E8301*$J$5)</f>
        <v>21225387.976630431</v>
      </c>
      <c r="G8301">
        <f t="shared" si="129"/>
        <v>9.4</v>
      </c>
    </row>
    <row r="8302" spans="2:7" x14ac:dyDescent="0.35">
      <c r="B8302" s="1">
        <v>46003</v>
      </c>
      <c r="C8302" s="2">
        <v>0.83333333333333337</v>
      </c>
      <c r="D8302">
        <v>6.2</v>
      </c>
      <c r="E8302">
        <f>IF($D8302 &gt; 16, 0, $J$3*(16 - $D8302))</f>
        <v>2035.9366984668306</v>
      </c>
      <c r="F8302">
        <f>IF($D8302 &gt; 16, 0,$E8302*$J$5)</f>
        <v>22128595.975635983</v>
      </c>
      <c r="G8302">
        <f t="shared" si="129"/>
        <v>9.8000000000000007</v>
      </c>
    </row>
    <row r="8303" spans="2:7" x14ac:dyDescent="0.35">
      <c r="B8303" s="1">
        <v>46003</v>
      </c>
      <c r="C8303" s="2">
        <v>0.875</v>
      </c>
      <c r="D8303">
        <v>6</v>
      </c>
      <c r="E8303">
        <f>IF($D8303 &gt; 16, 0, $J$3*(16 - $D8303))</f>
        <v>2077.4864270069697</v>
      </c>
      <c r="F8303">
        <f>IF($D8303 &gt; 16, 0,$E8303*$J$5)</f>
        <v>22580199.975138754</v>
      </c>
      <c r="G8303">
        <f t="shared" si="129"/>
        <v>10</v>
      </c>
    </row>
    <row r="8304" spans="2:7" x14ac:dyDescent="0.35">
      <c r="B8304" s="1">
        <v>46003</v>
      </c>
      <c r="C8304" s="2">
        <v>0.91666666666666663</v>
      </c>
      <c r="D8304">
        <v>5.9</v>
      </c>
      <c r="E8304">
        <f>IF($D8304 &gt; 16, 0, $J$3*(16 - $D8304))</f>
        <v>2098.2612912770396</v>
      </c>
      <c r="F8304">
        <f>IF($D8304 &gt; 16, 0,$E8304*$J$5)</f>
        <v>22806001.974890143</v>
      </c>
      <c r="G8304">
        <f t="shared" si="129"/>
        <v>10.1</v>
      </c>
    </row>
    <row r="8305" spans="2:7" x14ac:dyDescent="0.35">
      <c r="B8305" s="1">
        <v>46003</v>
      </c>
      <c r="C8305" s="2">
        <v>0.95833333333333337</v>
      </c>
      <c r="D8305">
        <v>6</v>
      </c>
      <c r="E8305">
        <f>IF($D8305 &gt; 16, 0, $J$3*(16 - $D8305))</f>
        <v>2077.4864270069697</v>
      </c>
      <c r="F8305">
        <f>IF($D8305 &gt; 16, 0,$E8305*$J$5)</f>
        <v>22580199.975138754</v>
      </c>
      <c r="G8305">
        <f t="shared" si="129"/>
        <v>10</v>
      </c>
    </row>
    <row r="8306" spans="2:7" x14ac:dyDescent="0.35">
      <c r="B8306" s="1">
        <v>46004</v>
      </c>
      <c r="C8306" s="2">
        <v>0</v>
      </c>
      <c r="D8306">
        <v>6.1</v>
      </c>
      <c r="E8306">
        <f>IF($D8306 &gt; 16, 0, $J$3*(16 - $D8306))</f>
        <v>2056.7115627369003</v>
      </c>
      <c r="F8306">
        <f>IF($D8306 &gt; 16, 0,$E8306*$J$5)</f>
        <v>22354397.975387368</v>
      </c>
      <c r="G8306">
        <f t="shared" si="129"/>
        <v>9.9</v>
      </c>
    </row>
    <row r="8307" spans="2:7" x14ac:dyDescent="0.35">
      <c r="B8307" s="1">
        <v>46004</v>
      </c>
      <c r="C8307" s="2">
        <v>4.1666666666666657E-2</v>
      </c>
      <c r="D8307">
        <v>6.6</v>
      </c>
      <c r="E8307">
        <f>IF($D8307 &gt; 16, 0, $J$3*(16 - $D8307))</f>
        <v>1952.8372413865518</v>
      </c>
      <c r="F8307">
        <f>IF($D8307 &gt; 16, 0,$E8307*$J$5)</f>
        <v>21225387.976630431</v>
      </c>
      <c r="G8307">
        <f t="shared" si="129"/>
        <v>9.4</v>
      </c>
    </row>
    <row r="8308" spans="2:7" x14ac:dyDescent="0.35">
      <c r="B8308" s="1">
        <v>46004</v>
      </c>
      <c r="C8308" s="2">
        <v>8.3333333333333329E-2</v>
      </c>
      <c r="D8308">
        <v>6.7</v>
      </c>
      <c r="E8308">
        <f>IF($D8308 &gt; 16, 0, $J$3*(16 - $D8308))</f>
        <v>1932.0623771164821</v>
      </c>
      <c r="F8308">
        <f>IF($D8308 &gt; 16, 0,$E8308*$J$5)</f>
        <v>20999585.976879045</v>
      </c>
      <c r="G8308">
        <f t="shared" si="129"/>
        <v>9.3000000000000007</v>
      </c>
    </row>
    <row r="8309" spans="2:7" x14ac:dyDescent="0.35">
      <c r="B8309" s="1">
        <v>46004</v>
      </c>
      <c r="C8309" s="2">
        <v>0.125</v>
      </c>
      <c r="D8309">
        <v>7.7</v>
      </c>
      <c r="E8309">
        <f>IF($D8309 &gt; 16, 0, $J$3*(16 - $D8309))</f>
        <v>1724.3137344157851</v>
      </c>
      <c r="F8309">
        <f>IF($D8309 &gt; 16, 0,$E8309*$J$5)</f>
        <v>18741565.97936517</v>
      </c>
      <c r="G8309">
        <f t="shared" si="129"/>
        <v>8.3000000000000007</v>
      </c>
    </row>
    <row r="8310" spans="2:7" x14ac:dyDescent="0.35">
      <c r="B8310" s="1">
        <v>46004</v>
      </c>
      <c r="C8310" s="2">
        <v>0.16666666666666671</v>
      </c>
      <c r="D8310">
        <v>8</v>
      </c>
      <c r="E8310">
        <f>IF($D8310 &gt; 16, 0, $J$3*(16 - $D8310))</f>
        <v>1661.9891416055759</v>
      </c>
      <c r="F8310">
        <f>IF($D8310 &gt; 16, 0,$E8310*$J$5)</f>
        <v>18064159.980111003</v>
      </c>
      <c r="G8310">
        <f t="shared" si="129"/>
        <v>8</v>
      </c>
    </row>
    <row r="8311" spans="2:7" x14ac:dyDescent="0.35">
      <c r="B8311" s="1">
        <v>46004</v>
      </c>
      <c r="C8311" s="2">
        <v>0.20833333333333329</v>
      </c>
      <c r="D8311">
        <v>8</v>
      </c>
      <c r="E8311">
        <f>IF($D8311 &gt; 16, 0, $J$3*(16 - $D8311))</f>
        <v>1661.9891416055759</v>
      </c>
      <c r="F8311">
        <f>IF($D8311 &gt; 16, 0,$E8311*$J$5)</f>
        <v>18064159.980111003</v>
      </c>
      <c r="G8311">
        <f t="shared" si="129"/>
        <v>8</v>
      </c>
    </row>
    <row r="8312" spans="2:7" x14ac:dyDescent="0.35">
      <c r="B8312" s="1">
        <v>46004</v>
      </c>
      <c r="C8312" s="2">
        <v>0.25</v>
      </c>
      <c r="D8312">
        <v>8.1999999999999993</v>
      </c>
      <c r="E8312">
        <f>IF($D8312 &gt; 16, 0, $J$3*(16 - $D8312))</f>
        <v>1620.4394130654366</v>
      </c>
      <c r="F8312">
        <f>IF($D8312 &gt; 16, 0,$E8312*$J$5)</f>
        <v>17612555.980608232</v>
      </c>
      <c r="G8312">
        <f t="shared" si="129"/>
        <v>7.8000000000000007</v>
      </c>
    </row>
    <row r="8313" spans="2:7" x14ac:dyDescent="0.35">
      <c r="B8313" s="1">
        <v>46004</v>
      </c>
      <c r="C8313" s="2">
        <v>0.29166666666666669</v>
      </c>
      <c r="D8313">
        <v>8.3000000000000007</v>
      </c>
      <c r="E8313">
        <f>IF($D8313 &gt; 16, 0, $J$3*(16 - $D8313))</f>
        <v>1599.6645487953667</v>
      </c>
      <c r="F8313">
        <f>IF($D8313 &gt; 16, 0,$E8313*$J$5)</f>
        <v>17386753.98085684</v>
      </c>
      <c r="G8313">
        <f t="shared" si="129"/>
        <v>7.6999999999999993</v>
      </c>
    </row>
    <row r="8314" spans="2:7" x14ac:dyDescent="0.35">
      <c r="B8314" s="1">
        <v>46004</v>
      </c>
      <c r="C8314" s="2">
        <v>0.33333333333333331</v>
      </c>
      <c r="D8314">
        <v>8.6</v>
      </c>
      <c r="E8314">
        <f>IF($D8314 &gt; 16, 0, $J$3*(16 - $D8314))</f>
        <v>1537.3399559851578</v>
      </c>
      <c r="F8314">
        <f>IF($D8314 &gt; 16, 0,$E8314*$J$5)</f>
        <v>16709347.98160268</v>
      </c>
      <c r="G8314">
        <f t="shared" si="129"/>
        <v>7.4</v>
      </c>
    </row>
    <row r="8315" spans="2:7" x14ac:dyDescent="0.35">
      <c r="B8315" s="1">
        <v>46004</v>
      </c>
      <c r="C8315" s="2">
        <v>0.375</v>
      </c>
      <c r="D8315">
        <v>8.6</v>
      </c>
      <c r="E8315">
        <f>IF($D8315 &gt; 16, 0, $J$3*(16 - $D8315))</f>
        <v>1537.3399559851578</v>
      </c>
      <c r="F8315">
        <f>IF($D8315 &gt; 16, 0,$E8315*$J$5)</f>
        <v>16709347.98160268</v>
      </c>
      <c r="G8315">
        <f t="shared" si="129"/>
        <v>7.4</v>
      </c>
    </row>
    <row r="8316" spans="2:7" x14ac:dyDescent="0.35">
      <c r="B8316" s="1">
        <v>46004</v>
      </c>
      <c r="C8316" s="2">
        <v>0.41666666666666669</v>
      </c>
      <c r="D8316">
        <v>8.8000000000000007</v>
      </c>
      <c r="E8316">
        <f>IF($D8316 &gt; 16, 0, $J$3*(16 - $D8316))</f>
        <v>1495.7902274450182</v>
      </c>
      <c r="F8316">
        <f>IF($D8316 &gt; 16, 0,$E8316*$J$5)</f>
        <v>16257743.982099904</v>
      </c>
      <c r="G8316">
        <f t="shared" si="129"/>
        <v>7.1999999999999993</v>
      </c>
    </row>
    <row r="8317" spans="2:7" x14ac:dyDescent="0.35">
      <c r="B8317" s="1">
        <v>46004</v>
      </c>
      <c r="C8317" s="2">
        <v>0.45833333333333331</v>
      </c>
      <c r="D8317">
        <v>8.9</v>
      </c>
      <c r="E8317">
        <f>IF($D8317 &gt; 16, 0, $J$3*(16 - $D8317))</f>
        <v>1475.0153631749486</v>
      </c>
      <c r="F8317">
        <f>IF($D8317 &gt; 16, 0,$E8317*$J$5)</f>
        <v>16031941.982348517</v>
      </c>
      <c r="G8317">
        <f t="shared" si="129"/>
        <v>7.1</v>
      </c>
    </row>
    <row r="8318" spans="2:7" x14ac:dyDescent="0.35">
      <c r="B8318" s="1">
        <v>46004</v>
      </c>
      <c r="C8318" s="2">
        <v>0.5</v>
      </c>
      <c r="D8318">
        <v>9.3000000000000007</v>
      </c>
      <c r="E8318">
        <f>IF($D8318 &gt; 16, 0, $J$3*(16 - $D8318))</f>
        <v>1391.9159060946697</v>
      </c>
      <c r="F8318">
        <f>IF($D8318 &gt; 16, 0,$E8318*$J$5)</f>
        <v>15128733.983342964</v>
      </c>
      <c r="G8318">
        <f t="shared" si="129"/>
        <v>6.6999999999999993</v>
      </c>
    </row>
    <row r="8319" spans="2:7" x14ac:dyDescent="0.35">
      <c r="B8319" s="1">
        <v>46004</v>
      </c>
      <c r="C8319" s="2">
        <v>0.54166666666666663</v>
      </c>
      <c r="D8319">
        <v>9.1</v>
      </c>
      <c r="E8319">
        <f>IF($D8319 &gt; 16, 0, $J$3*(16 - $D8319))</f>
        <v>1433.4656346348092</v>
      </c>
      <c r="F8319">
        <f>IF($D8319 &gt; 16, 0,$E8319*$J$5)</f>
        <v>15580337.982845742</v>
      </c>
      <c r="G8319">
        <f t="shared" si="129"/>
        <v>6.9</v>
      </c>
    </row>
    <row r="8320" spans="2:7" x14ac:dyDescent="0.35">
      <c r="B8320" s="1">
        <v>46004</v>
      </c>
      <c r="C8320" s="2">
        <v>0.58333333333333337</v>
      </c>
      <c r="D8320">
        <v>9</v>
      </c>
      <c r="E8320">
        <f>IF($D8320 &gt; 16, 0, $J$3*(16 - $D8320))</f>
        <v>1454.2404989048789</v>
      </c>
      <c r="F8320">
        <f>IF($D8320 &gt; 16, 0,$E8320*$J$5)</f>
        <v>15806139.982597129</v>
      </c>
      <c r="G8320">
        <f t="shared" si="129"/>
        <v>7</v>
      </c>
    </row>
    <row r="8321" spans="2:7" x14ac:dyDescent="0.35">
      <c r="B8321" s="1">
        <v>46004</v>
      </c>
      <c r="C8321" s="2">
        <v>0.625</v>
      </c>
      <c r="D8321">
        <v>8.6</v>
      </c>
      <c r="E8321">
        <f>IF($D8321 &gt; 16, 0, $J$3*(16 - $D8321))</f>
        <v>1537.3399559851578</v>
      </c>
      <c r="F8321">
        <f>IF($D8321 &gt; 16, 0,$E8321*$J$5)</f>
        <v>16709347.98160268</v>
      </c>
      <c r="G8321">
        <f t="shared" si="129"/>
        <v>7.4</v>
      </c>
    </row>
    <row r="8322" spans="2:7" x14ac:dyDescent="0.35">
      <c r="B8322" s="1">
        <v>46004</v>
      </c>
      <c r="C8322" s="2">
        <v>0.66666666666666663</v>
      </c>
      <c r="D8322">
        <v>7.8</v>
      </c>
      <c r="E8322">
        <f>IF($D8322 &gt; 16, 0, $J$3*(16 - $D8322))</f>
        <v>1703.5388701457152</v>
      </c>
      <c r="F8322">
        <f>IF($D8322 &gt; 16, 0,$E8322*$J$5)</f>
        <v>18515763.979613777</v>
      </c>
      <c r="G8322">
        <f t="shared" si="129"/>
        <v>8.1999999999999993</v>
      </c>
    </row>
    <row r="8323" spans="2:7" x14ac:dyDescent="0.35">
      <c r="B8323" s="1">
        <v>46004</v>
      </c>
      <c r="C8323" s="2">
        <v>0.70833333333333337</v>
      </c>
      <c r="D8323">
        <v>5.5</v>
      </c>
      <c r="E8323">
        <f>IF($D8323 &gt; 16, 0, $J$3*(16 - $D8323))</f>
        <v>2181.3607483573182</v>
      </c>
      <c r="F8323">
        <f>IF($D8323 &gt; 16, 0,$E8323*$J$5)</f>
        <v>23709209.973895691</v>
      </c>
      <c r="G8323">
        <f t="shared" ref="G8323:G8386" si="130">MAX(0, 16 - $D8323)</f>
        <v>10.5</v>
      </c>
    </row>
    <row r="8324" spans="2:7" x14ac:dyDescent="0.35">
      <c r="B8324" s="1">
        <v>46004</v>
      </c>
      <c r="C8324" s="2">
        <v>0.75</v>
      </c>
      <c r="D8324">
        <v>5.9</v>
      </c>
      <c r="E8324">
        <f>IF($D8324 &gt; 16, 0, $J$3*(16 - $D8324))</f>
        <v>2098.2612912770396</v>
      </c>
      <c r="F8324">
        <f>IF($D8324 &gt; 16, 0,$E8324*$J$5)</f>
        <v>22806001.974890143</v>
      </c>
      <c r="G8324">
        <f t="shared" si="130"/>
        <v>10.1</v>
      </c>
    </row>
    <row r="8325" spans="2:7" x14ac:dyDescent="0.35">
      <c r="B8325" s="1">
        <v>46004</v>
      </c>
      <c r="C8325" s="2">
        <v>0.79166666666666663</v>
      </c>
      <c r="D8325">
        <v>6.1</v>
      </c>
      <c r="E8325">
        <f>IF($D8325 &gt; 16, 0, $J$3*(16 - $D8325))</f>
        <v>2056.7115627369003</v>
      </c>
      <c r="F8325">
        <f>IF($D8325 &gt; 16, 0,$E8325*$J$5)</f>
        <v>22354397.975387368</v>
      </c>
      <c r="G8325">
        <f t="shared" si="130"/>
        <v>9.9</v>
      </c>
    </row>
    <row r="8326" spans="2:7" x14ac:dyDescent="0.35">
      <c r="B8326" s="1">
        <v>46004</v>
      </c>
      <c r="C8326" s="2">
        <v>0.83333333333333337</v>
      </c>
      <c r="D8326">
        <v>6.5</v>
      </c>
      <c r="E8326">
        <f>IF($D8326 &gt; 16, 0, $J$3*(16 - $D8326))</f>
        <v>1973.6121056566215</v>
      </c>
      <c r="F8326">
        <f>IF($D8326 &gt; 16, 0,$E8326*$J$5)</f>
        <v>21451189.97638182</v>
      </c>
      <c r="G8326">
        <f t="shared" si="130"/>
        <v>9.5</v>
      </c>
    </row>
    <row r="8327" spans="2:7" x14ac:dyDescent="0.35">
      <c r="B8327" s="1">
        <v>46004</v>
      </c>
      <c r="C8327" s="2">
        <v>0.875</v>
      </c>
      <c r="D8327">
        <v>4.5999999999999996</v>
      </c>
      <c r="E8327">
        <f>IF($D8327 &gt; 16, 0, $J$3*(16 - $D8327))</f>
        <v>2368.3345267879458</v>
      </c>
      <c r="F8327">
        <f>IF($D8327 &gt; 16, 0,$E8327*$J$5)</f>
        <v>25741427.971658185</v>
      </c>
      <c r="G8327">
        <f t="shared" si="130"/>
        <v>11.4</v>
      </c>
    </row>
    <row r="8328" spans="2:7" x14ac:dyDescent="0.35">
      <c r="B8328" s="1">
        <v>46004</v>
      </c>
      <c r="C8328" s="2">
        <v>0.91666666666666663</v>
      </c>
      <c r="D8328">
        <v>4.0999999999999996</v>
      </c>
      <c r="E8328">
        <f>IF($D8328 &gt; 16, 0, $J$3*(16 - $D8328))</f>
        <v>2472.2088481382943</v>
      </c>
      <c r="F8328">
        <f>IF($D8328 &gt; 16, 0,$E8328*$J$5)</f>
        <v>26870437.970415123</v>
      </c>
      <c r="G8328">
        <f t="shared" si="130"/>
        <v>11.9</v>
      </c>
    </row>
    <row r="8329" spans="2:7" x14ac:dyDescent="0.35">
      <c r="B8329" s="1">
        <v>46004</v>
      </c>
      <c r="C8329" s="2">
        <v>0.95833333333333337</v>
      </c>
      <c r="D8329">
        <v>5.2</v>
      </c>
      <c r="E8329">
        <f>IF($D8329 &gt; 16, 0, $J$3*(16 - $D8329))</f>
        <v>2243.6853411675274</v>
      </c>
      <c r="F8329">
        <f>IF($D8329 &gt; 16, 0,$E8329*$J$5)</f>
        <v>24386615.973149855</v>
      </c>
      <c r="G8329">
        <f t="shared" si="130"/>
        <v>10.8</v>
      </c>
    </row>
    <row r="8330" spans="2:7" x14ac:dyDescent="0.35">
      <c r="B8330" s="1">
        <v>46005</v>
      </c>
      <c r="C8330" s="2">
        <v>0</v>
      </c>
      <c r="D8330">
        <v>5.0999999999999996</v>
      </c>
      <c r="E8330">
        <f>IF($D8330 &gt; 16, 0, $J$3*(16 - $D8330))</f>
        <v>2264.4602054375973</v>
      </c>
      <c r="F8330">
        <f>IF($D8330 &gt; 16, 0,$E8330*$J$5)</f>
        <v>24612417.972901244</v>
      </c>
      <c r="G8330">
        <f t="shared" si="130"/>
        <v>10.9</v>
      </c>
    </row>
    <row r="8331" spans="2:7" x14ac:dyDescent="0.35">
      <c r="B8331" s="1">
        <v>46005</v>
      </c>
      <c r="C8331" s="2">
        <v>4.1666666666666657E-2</v>
      </c>
      <c r="D8331">
        <v>5.3</v>
      </c>
      <c r="E8331">
        <f>IF($D8331 &gt; 16, 0, $J$3*(16 - $D8331))</f>
        <v>2222.9104768974576</v>
      </c>
      <c r="F8331">
        <f>IF($D8331 &gt; 16, 0,$E8331*$J$5)</f>
        <v>24160813.973398466</v>
      </c>
      <c r="G8331">
        <f t="shared" si="130"/>
        <v>10.7</v>
      </c>
    </row>
    <row r="8332" spans="2:7" x14ac:dyDescent="0.35">
      <c r="B8332" s="1">
        <v>46005</v>
      </c>
      <c r="C8332" s="2">
        <v>8.3333333333333329E-2</v>
      </c>
      <c r="D8332">
        <v>5.5</v>
      </c>
      <c r="E8332">
        <f>IF($D8332 &gt; 16, 0, $J$3*(16 - $D8332))</f>
        <v>2181.3607483573182</v>
      </c>
      <c r="F8332">
        <f>IF($D8332 &gt; 16, 0,$E8332*$J$5)</f>
        <v>23709209.973895691</v>
      </c>
      <c r="G8332">
        <f t="shared" si="130"/>
        <v>10.5</v>
      </c>
    </row>
    <row r="8333" spans="2:7" x14ac:dyDescent="0.35">
      <c r="B8333" s="1">
        <v>46005</v>
      </c>
      <c r="C8333" s="2">
        <v>0.125</v>
      </c>
      <c r="D8333">
        <v>4.7</v>
      </c>
      <c r="E8333">
        <f>IF($D8333 &gt; 16, 0, $J$3*(16 - $D8333))</f>
        <v>2347.5596625178759</v>
      </c>
      <c r="F8333">
        <f>IF($D8333 &gt; 16, 0,$E8333*$J$5)</f>
        <v>25515625.971906792</v>
      </c>
      <c r="G8333">
        <f t="shared" si="130"/>
        <v>11.3</v>
      </c>
    </row>
    <row r="8334" spans="2:7" x14ac:dyDescent="0.35">
      <c r="B8334" s="1">
        <v>46005</v>
      </c>
      <c r="C8334" s="2">
        <v>0.16666666666666671</v>
      </c>
      <c r="D8334">
        <v>5.2</v>
      </c>
      <c r="E8334">
        <f>IF($D8334 &gt; 16, 0, $J$3*(16 - $D8334))</f>
        <v>2243.6853411675274</v>
      </c>
      <c r="F8334">
        <f>IF($D8334 &gt; 16, 0,$E8334*$J$5)</f>
        <v>24386615.973149855</v>
      </c>
      <c r="G8334">
        <f t="shared" si="130"/>
        <v>10.8</v>
      </c>
    </row>
    <row r="8335" spans="2:7" x14ac:dyDescent="0.35">
      <c r="B8335" s="1">
        <v>46005</v>
      </c>
      <c r="C8335" s="2">
        <v>0.20833333333333329</v>
      </c>
      <c r="D8335">
        <v>5.4</v>
      </c>
      <c r="E8335">
        <f>IF($D8335 &gt; 16, 0, $J$3*(16 - $D8335))</f>
        <v>2202.1356126273881</v>
      </c>
      <c r="F8335">
        <f>IF($D8335 &gt; 16, 0,$E8335*$J$5)</f>
        <v>23935011.97364708</v>
      </c>
      <c r="G8335">
        <f t="shared" si="130"/>
        <v>10.6</v>
      </c>
    </row>
    <row r="8336" spans="2:7" x14ac:dyDescent="0.35">
      <c r="B8336" s="1">
        <v>46005</v>
      </c>
      <c r="C8336" s="2">
        <v>0.25</v>
      </c>
      <c r="D8336">
        <v>5.0999999999999996</v>
      </c>
      <c r="E8336">
        <f>IF($D8336 &gt; 16, 0, $J$3*(16 - $D8336))</f>
        <v>2264.4602054375973</v>
      </c>
      <c r="F8336">
        <f>IF($D8336 &gt; 16, 0,$E8336*$J$5)</f>
        <v>24612417.972901244</v>
      </c>
      <c r="G8336">
        <f t="shared" si="130"/>
        <v>10.9</v>
      </c>
    </row>
    <row r="8337" spans="2:7" x14ac:dyDescent="0.35">
      <c r="B8337" s="1">
        <v>46005</v>
      </c>
      <c r="C8337" s="2">
        <v>0.29166666666666669</v>
      </c>
      <c r="D8337">
        <v>4.9000000000000004</v>
      </c>
      <c r="E8337">
        <f>IF($D8337 &gt; 16, 0, $J$3*(16 - $D8337))</f>
        <v>2306.0099339777366</v>
      </c>
      <c r="F8337">
        <f>IF($D8337 &gt; 16, 0,$E8337*$J$5)</f>
        <v>25064021.972404018</v>
      </c>
      <c r="G8337">
        <f t="shared" si="130"/>
        <v>11.1</v>
      </c>
    </row>
    <row r="8338" spans="2:7" x14ac:dyDescent="0.35">
      <c r="B8338" s="1">
        <v>46005</v>
      </c>
      <c r="C8338" s="2">
        <v>0.33333333333333331</v>
      </c>
      <c r="D8338">
        <v>4.9000000000000004</v>
      </c>
      <c r="E8338">
        <f>IF($D8338 &gt; 16, 0, $J$3*(16 - $D8338))</f>
        <v>2306.0099339777366</v>
      </c>
      <c r="F8338">
        <f>IF($D8338 &gt; 16, 0,$E8338*$J$5)</f>
        <v>25064021.972404018</v>
      </c>
      <c r="G8338">
        <f t="shared" si="130"/>
        <v>11.1</v>
      </c>
    </row>
    <row r="8339" spans="2:7" x14ac:dyDescent="0.35">
      <c r="B8339" s="1">
        <v>46005</v>
      </c>
      <c r="C8339" s="2">
        <v>0.375</v>
      </c>
      <c r="D8339">
        <v>4.8</v>
      </c>
      <c r="E8339">
        <f>IF($D8339 &gt; 16, 0, $J$3*(16 - $D8339))</f>
        <v>2326.7847982478061</v>
      </c>
      <c r="F8339">
        <f>IF($D8339 &gt; 16, 0,$E8339*$J$5)</f>
        <v>25289823.972155403</v>
      </c>
      <c r="G8339">
        <f t="shared" si="130"/>
        <v>11.2</v>
      </c>
    </row>
    <row r="8340" spans="2:7" x14ac:dyDescent="0.35">
      <c r="B8340" s="1">
        <v>46005</v>
      </c>
      <c r="C8340" s="2">
        <v>0.41666666666666669</v>
      </c>
      <c r="D8340">
        <v>5.2</v>
      </c>
      <c r="E8340">
        <f>IF($D8340 &gt; 16, 0, $J$3*(16 - $D8340))</f>
        <v>2243.6853411675274</v>
      </c>
      <c r="F8340">
        <f>IF($D8340 &gt; 16, 0,$E8340*$J$5)</f>
        <v>24386615.973149855</v>
      </c>
      <c r="G8340">
        <f t="shared" si="130"/>
        <v>10.8</v>
      </c>
    </row>
    <row r="8341" spans="2:7" x14ac:dyDescent="0.35">
      <c r="B8341" s="1">
        <v>46005</v>
      </c>
      <c r="C8341" s="2">
        <v>0.45833333333333331</v>
      </c>
      <c r="D8341">
        <v>5.9</v>
      </c>
      <c r="E8341">
        <f>IF($D8341 &gt; 16, 0, $J$3*(16 - $D8341))</f>
        <v>2098.2612912770396</v>
      </c>
      <c r="F8341">
        <f>IF($D8341 &gt; 16, 0,$E8341*$J$5)</f>
        <v>22806001.974890143</v>
      </c>
      <c r="G8341">
        <f t="shared" si="130"/>
        <v>10.1</v>
      </c>
    </row>
    <row r="8342" spans="2:7" x14ac:dyDescent="0.35">
      <c r="B8342" s="1">
        <v>46005</v>
      </c>
      <c r="C8342" s="2">
        <v>0.5</v>
      </c>
      <c r="D8342">
        <v>6.5</v>
      </c>
      <c r="E8342">
        <f>IF($D8342 &gt; 16, 0, $J$3*(16 - $D8342))</f>
        <v>1973.6121056566215</v>
      </c>
      <c r="F8342">
        <f>IF($D8342 &gt; 16, 0,$E8342*$J$5)</f>
        <v>21451189.97638182</v>
      </c>
      <c r="G8342">
        <f t="shared" si="130"/>
        <v>9.5</v>
      </c>
    </row>
    <row r="8343" spans="2:7" x14ac:dyDescent="0.35">
      <c r="B8343" s="1">
        <v>46005</v>
      </c>
      <c r="C8343" s="2">
        <v>0.54166666666666663</v>
      </c>
      <c r="D8343">
        <v>7.1</v>
      </c>
      <c r="E8343">
        <f>IF($D8343 &gt; 16, 0, $J$3*(16 - $D8343))</f>
        <v>1848.9629200362033</v>
      </c>
      <c r="F8343">
        <f>IF($D8343 &gt; 16, 0,$E8343*$J$5)</f>
        <v>20096377.977873493</v>
      </c>
      <c r="G8343">
        <f t="shared" si="130"/>
        <v>8.9</v>
      </c>
    </row>
    <row r="8344" spans="2:7" x14ac:dyDescent="0.35">
      <c r="B8344" s="1">
        <v>46005</v>
      </c>
      <c r="C8344" s="2">
        <v>0.58333333333333337</v>
      </c>
      <c r="D8344">
        <v>7</v>
      </c>
      <c r="E8344">
        <f>IF($D8344 &gt; 16, 0, $J$3*(16 - $D8344))</f>
        <v>1869.7377843062729</v>
      </c>
      <c r="F8344">
        <f>IF($D8344 &gt; 16, 0,$E8344*$J$5)</f>
        <v>20322179.977624882</v>
      </c>
      <c r="G8344">
        <f t="shared" si="130"/>
        <v>9</v>
      </c>
    </row>
    <row r="8345" spans="2:7" x14ac:dyDescent="0.35">
      <c r="B8345" s="1">
        <v>46005</v>
      </c>
      <c r="C8345" s="2">
        <v>0.625</v>
      </c>
      <c r="D8345">
        <v>6.8</v>
      </c>
      <c r="E8345">
        <f>IF($D8345 &gt; 16, 0, $J$3*(16 - $D8345))</f>
        <v>1911.2875128464123</v>
      </c>
      <c r="F8345">
        <f>IF($D8345 &gt; 16, 0,$E8345*$J$5)</f>
        <v>20773783.977127656</v>
      </c>
      <c r="G8345">
        <f t="shared" si="130"/>
        <v>9.1999999999999993</v>
      </c>
    </row>
    <row r="8346" spans="2:7" x14ac:dyDescent="0.35">
      <c r="B8346" s="1">
        <v>46005</v>
      </c>
      <c r="C8346" s="2">
        <v>0.66666666666666663</v>
      </c>
      <c r="D8346">
        <v>6.5</v>
      </c>
      <c r="E8346">
        <f>IF($D8346 &gt; 16, 0, $J$3*(16 - $D8346))</f>
        <v>1973.6121056566215</v>
      </c>
      <c r="F8346">
        <f>IF($D8346 &gt; 16, 0,$E8346*$J$5)</f>
        <v>21451189.97638182</v>
      </c>
      <c r="G8346">
        <f t="shared" si="130"/>
        <v>9.5</v>
      </c>
    </row>
    <row r="8347" spans="2:7" x14ac:dyDescent="0.35">
      <c r="B8347" s="1">
        <v>46005</v>
      </c>
      <c r="C8347" s="2">
        <v>0.70833333333333337</v>
      </c>
      <c r="D8347">
        <v>6.1</v>
      </c>
      <c r="E8347">
        <f>IF($D8347 &gt; 16, 0, $J$3*(16 - $D8347))</f>
        <v>2056.7115627369003</v>
      </c>
      <c r="F8347">
        <f>IF($D8347 &gt; 16, 0,$E8347*$J$5)</f>
        <v>22354397.975387368</v>
      </c>
      <c r="G8347">
        <f t="shared" si="130"/>
        <v>9.9</v>
      </c>
    </row>
    <row r="8348" spans="2:7" x14ac:dyDescent="0.35">
      <c r="B8348" s="1">
        <v>46005</v>
      </c>
      <c r="C8348" s="2">
        <v>0.75</v>
      </c>
      <c r="D8348">
        <v>5.8</v>
      </c>
      <c r="E8348">
        <f>IF($D8348 &gt; 16, 0, $J$3*(16 - $D8348))</f>
        <v>2119.036155547109</v>
      </c>
      <c r="F8348">
        <f>IF($D8348 &gt; 16, 0,$E8348*$J$5)</f>
        <v>23031803.974641528</v>
      </c>
      <c r="G8348">
        <f t="shared" si="130"/>
        <v>10.199999999999999</v>
      </c>
    </row>
    <row r="8349" spans="2:7" x14ac:dyDescent="0.35">
      <c r="B8349" s="1">
        <v>46005</v>
      </c>
      <c r="C8349" s="2">
        <v>0.79166666666666663</v>
      </c>
      <c r="D8349">
        <v>6.2</v>
      </c>
      <c r="E8349">
        <f>IF($D8349 &gt; 16, 0, $J$3*(16 - $D8349))</f>
        <v>2035.9366984668306</v>
      </c>
      <c r="F8349">
        <f>IF($D8349 &gt; 16, 0,$E8349*$J$5)</f>
        <v>22128595.975635983</v>
      </c>
      <c r="G8349">
        <f t="shared" si="130"/>
        <v>9.8000000000000007</v>
      </c>
    </row>
    <row r="8350" spans="2:7" x14ac:dyDescent="0.35">
      <c r="B8350" s="1">
        <v>46005</v>
      </c>
      <c r="C8350" s="2">
        <v>0.83333333333333337</v>
      </c>
      <c r="D8350">
        <v>6.4</v>
      </c>
      <c r="E8350">
        <f>IF($D8350 &gt; 16, 0, $J$3*(16 - $D8350))</f>
        <v>1994.3869699266911</v>
      </c>
      <c r="F8350">
        <f>IF($D8350 &gt; 16, 0,$E8350*$J$5)</f>
        <v>21676991.976133205</v>
      </c>
      <c r="G8350">
        <f t="shared" si="130"/>
        <v>9.6</v>
      </c>
    </row>
    <row r="8351" spans="2:7" x14ac:dyDescent="0.35">
      <c r="B8351" s="1">
        <v>46005</v>
      </c>
      <c r="C8351" s="2">
        <v>0.875</v>
      </c>
      <c r="D8351">
        <v>6.6</v>
      </c>
      <c r="E8351">
        <f>IF($D8351 &gt; 16, 0, $J$3*(16 - $D8351))</f>
        <v>1952.8372413865518</v>
      </c>
      <c r="F8351">
        <f>IF($D8351 &gt; 16, 0,$E8351*$J$5)</f>
        <v>21225387.976630431</v>
      </c>
      <c r="G8351">
        <f t="shared" si="130"/>
        <v>9.4</v>
      </c>
    </row>
    <row r="8352" spans="2:7" x14ac:dyDescent="0.35">
      <c r="B8352" s="1">
        <v>46005</v>
      </c>
      <c r="C8352" s="2">
        <v>0.91666666666666663</v>
      </c>
      <c r="D8352">
        <v>6.4</v>
      </c>
      <c r="E8352">
        <f>IF($D8352 &gt; 16, 0, $J$3*(16 - $D8352))</f>
        <v>1994.3869699266911</v>
      </c>
      <c r="F8352">
        <f>IF($D8352 &gt; 16, 0,$E8352*$J$5)</f>
        <v>21676991.976133205</v>
      </c>
      <c r="G8352">
        <f t="shared" si="130"/>
        <v>9.6</v>
      </c>
    </row>
    <row r="8353" spans="2:7" x14ac:dyDescent="0.35">
      <c r="B8353" s="1">
        <v>46005</v>
      </c>
      <c r="C8353" s="2">
        <v>0.95833333333333337</v>
      </c>
      <c r="D8353">
        <v>6.8</v>
      </c>
      <c r="E8353">
        <f>IF($D8353 &gt; 16, 0, $J$3*(16 - $D8353))</f>
        <v>1911.2875128464123</v>
      </c>
      <c r="F8353">
        <f>IF($D8353 &gt; 16, 0,$E8353*$J$5)</f>
        <v>20773783.977127656</v>
      </c>
      <c r="G8353">
        <f t="shared" si="130"/>
        <v>9.1999999999999993</v>
      </c>
    </row>
    <row r="8354" spans="2:7" x14ac:dyDescent="0.35">
      <c r="B8354" s="1">
        <v>46006</v>
      </c>
      <c r="C8354" s="2">
        <v>0</v>
      </c>
      <c r="D8354">
        <v>6.9</v>
      </c>
      <c r="E8354">
        <f>IF($D8354 &gt; 16, 0, $J$3*(16 - $D8354))</f>
        <v>1890.5126485763426</v>
      </c>
      <c r="F8354">
        <f>IF($D8354 &gt; 16, 0,$E8354*$J$5)</f>
        <v>20547981.977376267</v>
      </c>
      <c r="G8354">
        <f t="shared" si="130"/>
        <v>9.1</v>
      </c>
    </row>
    <row r="8355" spans="2:7" x14ac:dyDescent="0.35">
      <c r="B8355" s="1">
        <v>46006</v>
      </c>
      <c r="C8355" s="2">
        <v>4.1666666666666657E-2</v>
      </c>
      <c r="D8355">
        <v>7.4</v>
      </c>
      <c r="E8355">
        <f>IF($D8355 &gt; 16, 0, $J$3*(16 - $D8355))</f>
        <v>1786.6383272259941</v>
      </c>
      <c r="F8355">
        <f>IF($D8355 &gt; 16, 0,$E8355*$J$5)</f>
        <v>19418971.97861933</v>
      </c>
      <c r="G8355">
        <f t="shared" si="130"/>
        <v>8.6</v>
      </c>
    </row>
    <row r="8356" spans="2:7" x14ac:dyDescent="0.35">
      <c r="B8356" s="1">
        <v>46006</v>
      </c>
      <c r="C8356" s="2">
        <v>8.3333333333333329E-2</v>
      </c>
      <c r="D8356">
        <v>7.5</v>
      </c>
      <c r="E8356">
        <f>IF($D8356 &gt; 16, 0, $J$3*(16 - $D8356))</f>
        <v>1765.8634629559244</v>
      </c>
      <c r="F8356">
        <f>IF($D8356 &gt; 16, 0,$E8356*$J$5)</f>
        <v>19193169.978867944</v>
      </c>
      <c r="G8356">
        <f t="shared" si="130"/>
        <v>8.5</v>
      </c>
    </row>
    <row r="8357" spans="2:7" x14ac:dyDescent="0.35">
      <c r="B8357" s="1">
        <v>46006</v>
      </c>
      <c r="C8357" s="2">
        <v>0.125</v>
      </c>
      <c r="D8357">
        <v>7.1</v>
      </c>
      <c r="E8357">
        <f>IF($D8357 &gt; 16, 0, $J$3*(16 - $D8357))</f>
        <v>1848.9629200362033</v>
      </c>
      <c r="F8357">
        <f>IF($D8357 &gt; 16, 0,$E8357*$J$5)</f>
        <v>20096377.977873493</v>
      </c>
      <c r="G8357">
        <f t="shared" si="130"/>
        <v>8.9</v>
      </c>
    </row>
    <row r="8358" spans="2:7" x14ac:dyDescent="0.35">
      <c r="B8358" s="1">
        <v>46006</v>
      </c>
      <c r="C8358" s="2">
        <v>0.16666666666666671</v>
      </c>
      <c r="D8358">
        <v>6.1</v>
      </c>
      <c r="E8358">
        <f>IF($D8358 &gt; 16, 0, $J$3*(16 - $D8358))</f>
        <v>2056.7115627369003</v>
      </c>
      <c r="F8358">
        <f>IF($D8358 &gt; 16, 0,$E8358*$J$5)</f>
        <v>22354397.975387368</v>
      </c>
      <c r="G8358">
        <f t="shared" si="130"/>
        <v>9.9</v>
      </c>
    </row>
    <row r="8359" spans="2:7" x14ac:dyDescent="0.35">
      <c r="B8359" s="1">
        <v>46006</v>
      </c>
      <c r="C8359" s="2">
        <v>0.20833333333333329</v>
      </c>
      <c r="D8359">
        <v>4.4000000000000004</v>
      </c>
      <c r="E8359">
        <f>IF($D8359 &gt; 16, 0, $J$3*(16 - $D8359))</f>
        <v>2409.8842553280851</v>
      </c>
      <c r="F8359">
        <f>IF($D8359 &gt; 16, 0,$E8359*$J$5)</f>
        <v>26193031.971160956</v>
      </c>
      <c r="G8359">
        <f t="shared" si="130"/>
        <v>11.6</v>
      </c>
    </row>
    <row r="8360" spans="2:7" x14ac:dyDescent="0.35">
      <c r="B8360" s="1">
        <v>46006</v>
      </c>
      <c r="C8360" s="2">
        <v>0.25</v>
      </c>
      <c r="D8360">
        <v>3.4</v>
      </c>
      <c r="E8360">
        <f>IF($D8360 &gt; 16, 0, $J$3*(16 - $D8360))</f>
        <v>2617.6328980287822</v>
      </c>
      <c r="F8360">
        <f>IF($D8360 &gt; 16, 0,$E8360*$J$5)</f>
        <v>28451051.968674835</v>
      </c>
      <c r="G8360">
        <f t="shared" si="130"/>
        <v>12.6</v>
      </c>
    </row>
    <row r="8361" spans="2:7" x14ac:dyDescent="0.35">
      <c r="B8361" s="1">
        <v>46006</v>
      </c>
      <c r="C8361" s="2">
        <v>0.29166666666666669</v>
      </c>
      <c r="D8361">
        <v>4.3</v>
      </c>
      <c r="E8361">
        <f>IF($D8361 &gt; 16, 0, $J$3*(16 - $D8361))</f>
        <v>2430.6591195981546</v>
      </c>
      <c r="F8361">
        <f>IF($D8361 &gt; 16, 0,$E8361*$J$5)</f>
        <v>26418833.970912341</v>
      </c>
      <c r="G8361">
        <f t="shared" si="130"/>
        <v>11.7</v>
      </c>
    </row>
    <row r="8362" spans="2:7" x14ac:dyDescent="0.35">
      <c r="B8362" s="1">
        <v>46006</v>
      </c>
      <c r="C8362" s="2">
        <v>0.33333333333333331</v>
      </c>
      <c r="D8362">
        <v>3.7</v>
      </c>
      <c r="E8362">
        <f>IF($D8362 &gt; 16, 0, $J$3*(16 - $D8362))</f>
        <v>2555.308305218573</v>
      </c>
      <c r="F8362">
        <f>IF($D8362 &gt; 16, 0,$E8362*$J$5)</f>
        <v>27773645.969420668</v>
      </c>
      <c r="G8362">
        <f t="shared" si="130"/>
        <v>12.3</v>
      </c>
    </row>
    <row r="8363" spans="2:7" x14ac:dyDescent="0.35">
      <c r="B8363" s="1">
        <v>46006</v>
      </c>
      <c r="C8363" s="2">
        <v>0.375</v>
      </c>
      <c r="D8363">
        <v>5</v>
      </c>
      <c r="E8363">
        <f>IF($D8363 &gt; 16, 0, $J$3*(16 - $D8363))</f>
        <v>2285.2350697076668</v>
      </c>
      <c r="F8363">
        <f>IF($D8363 &gt; 16, 0,$E8363*$J$5)</f>
        <v>24838219.972652629</v>
      </c>
      <c r="G8363">
        <f t="shared" si="130"/>
        <v>11</v>
      </c>
    </row>
    <row r="8364" spans="2:7" x14ac:dyDescent="0.35">
      <c r="B8364" s="1">
        <v>46006</v>
      </c>
      <c r="C8364" s="2">
        <v>0.41666666666666669</v>
      </c>
      <c r="D8364">
        <v>6.1</v>
      </c>
      <c r="E8364">
        <f>IF($D8364 &gt; 16, 0, $J$3*(16 - $D8364))</f>
        <v>2056.7115627369003</v>
      </c>
      <c r="F8364">
        <f>IF($D8364 &gt; 16, 0,$E8364*$J$5)</f>
        <v>22354397.975387368</v>
      </c>
      <c r="G8364">
        <f t="shared" si="130"/>
        <v>9.9</v>
      </c>
    </row>
    <row r="8365" spans="2:7" x14ac:dyDescent="0.35">
      <c r="B8365" s="1">
        <v>46006</v>
      </c>
      <c r="C8365" s="2">
        <v>0.45833333333333331</v>
      </c>
      <c r="D8365">
        <v>7.4</v>
      </c>
      <c r="E8365">
        <f>IF($D8365 &gt; 16, 0, $J$3*(16 - $D8365))</f>
        <v>1786.6383272259941</v>
      </c>
      <c r="F8365">
        <f>IF($D8365 &gt; 16, 0,$E8365*$J$5)</f>
        <v>19418971.97861933</v>
      </c>
      <c r="G8365">
        <f t="shared" si="130"/>
        <v>8.6</v>
      </c>
    </row>
    <row r="8366" spans="2:7" x14ac:dyDescent="0.35">
      <c r="B8366" s="1">
        <v>46006</v>
      </c>
      <c r="C8366" s="2">
        <v>0.5</v>
      </c>
      <c r="D8366">
        <v>8.5</v>
      </c>
      <c r="E8366">
        <f>IF($D8366 &gt; 16, 0, $J$3*(16 - $D8366))</f>
        <v>1558.1148202552274</v>
      </c>
      <c r="F8366">
        <f>IF($D8366 &gt; 16, 0,$E8366*$J$5)</f>
        <v>16935149.981354065</v>
      </c>
      <c r="G8366">
        <f t="shared" si="130"/>
        <v>7.5</v>
      </c>
    </row>
    <row r="8367" spans="2:7" x14ac:dyDescent="0.35">
      <c r="B8367" s="1">
        <v>46006</v>
      </c>
      <c r="C8367" s="2">
        <v>0.54166666666666663</v>
      </c>
      <c r="D8367">
        <v>8.6</v>
      </c>
      <c r="E8367">
        <f>IF($D8367 &gt; 16, 0, $J$3*(16 - $D8367))</f>
        <v>1537.3399559851578</v>
      </c>
      <c r="F8367">
        <f>IF($D8367 &gt; 16, 0,$E8367*$J$5)</f>
        <v>16709347.98160268</v>
      </c>
      <c r="G8367">
        <f t="shared" si="130"/>
        <v>7.4</v>
      </c>
    </row>
    <row r="8368" spans="2:7" x14ac:dyDescent="0.35">
      <c r="B8368" s="1">
        <v>46006</v>
      </c>
      <c r="C8368" s="2">
        <v>0.58333333333333337</v>
      </c>
      <c r="D8368">
        <v>8.4</v>
      </c>
      <c r="E8368">
        <f>IF($D8368 &gt; 16, 0, $J$3*(16 - $D8368))</f>
        <v>1578.8896845252971</v>
      </c>
      <c r="F8368">
        <f>IF($D8368 &gt; 16, 0,$E8368*$J$5)</f>
        <v>17160951.981105454</v>
      </c>
      <c r="G8368">
        <f t="shared" si="130"/>
        <v>7.6</v>
      </c>
    </row>
    <row r="8369" spans="2:7" x14ac:dyDescent="0.35">
      <c r="B8369" s="1">
        <v>46006</v>
      </c>
      <c r="C8369" s="2">
        <v>0.625</v>
      </c>
      <c r="D8369">
        <v>7.4</v>
      </c>
      <c r="E8369">
        <f>IF($D8369 &gt; 16, 0, $J$3*(16 - $D8369))</f>
        <v>1786.6383272259941</v>
      </c>
      <c r="F8369">
        <f>IF($D8369 &gt; 16, 0,$E8369*$J$5)</f>
        <v>19418971.97861933</v>
      </c>
      <c r="G8369">
        <f t="shared" si="130"/>
        <v>8.6</v>
      </c>
    </row>
    <row r="8370" spans="2:7" x14ac:dyDescent="0.35">
      <c r="B8370" s="1">
        <v>46006</v>
      </c>
      <c r="C8370" s="2">
        <v>0.66666666666666663</v>
      </c>
      <c r="D8370">
        <v>7</v>
      </c>
      <c r="E8370">
        <f>IF($D8370 &gt; 16, 0, $J$3*(16 - $D8370))</f>
        <v>1869.7377843062729</v>
      </c>
      <c r="F8370">
        <f>IF($D8370 &gt; 16, 0,$E8370*$J$5)</f>
        <v>20322179.977624882</v>
      </c>
      <c r="G8370">
        <f t="shared" si="130"/>
        <v>9</v>
      </c>
    </row>
    <row r="8371" spans="2:7" x14ac:dyDescent="0.35">
      <c r="B8371" s="1">
        <v>46006</v>
      </c>
      <c r="C8371" s="2">
        <v>0.70833333333333337</v>
      </c>
      <c r="D8371">
        <v>6.4</v>
      </c>
      <c r="E8371">
        <f>IF($D8371 &gt; 16, 0, $J$3*(16 - $D8371))</f>
        <v>1994.3869699266911</v>
      </c>
      <c r="F8371">
        <f>IF($D8371 &gt; 16, 0,$E8371*$J$5)</f>
        <v>21676991.976133205</v>
      </c>
      <c r="G8371">
        <f t="shared" si="130"/>
        <v>9.6</v>
      </c>
    </row>
    <row r="8372" spans="2:7" x14ac:dyDescent="0.35">
      <c r="B8372" s="1">
        <v>46006</v>
      </c>
      <c r="C8372" s="2">
        <v>0.75</v>
      </c>
      <c r="D8372">
        <v>5</v>
      </c>
      <c r="E8372">
        <f>IF($D8372 &gt; 16, 0, $J$3*(16 - $D8372))</f>
        <v>2285.2350697076668</v>
      </c>
      <c r="F8372">
        <f>IF($D8372 &gt; 16, 0,$E8372*$J$5)</f>
        <v>24838219.972652629</v>
      </c>
      <c r="G8372">
        <f t="shared" si="130"/>
        <v>11</v>
      </c>
    </row>
    <row r="8373" spans="2:7" x14ac:dyDescent="0.35">
      <c r="B8373" s="1">
        <v>46006</v>
      </c>
      <c r="C8373" s="2">
        <v>0.79166666666666663</v>
      </c>
      <c r="D8373">
        <v>4.7</v>
      </c>
      <c r="E8373">
        <f>IF($D8373 &gt; 16, 0, $J$3*(16 - $D8373))</f>
        <v>2347.5596625178759</v>
      </c>
      <c r="F8373">
        <f>IF($D8373 &gt; 16, 0,$E8373*$J$5)</f>
        <v>25515625.971906792</v>
      </c>
      <c r="G8373">
        <f t="shared" si="130"/>
        <v>11.3</v>
      </c>
    </row>
    <row r="8374" spans="2:7" x14ac:dyDescent="0.35">
      <c r="B8374" s="1">
        <v>46006</v>
      </c>
      <c r="C8374" s="2">
        <v>0.83333333333333337</v>
      </c>
      <c r="D8374">
        <v>4.4000000000000004</v>
      </c>
      <c r="E8374">
        <f>IF($D8374 &gt; 16, 0, $J$3*(16 - $D8374))</f>
        <v>2409.8842553280851</v>
      </c>
      <c r="F8374">
        <f>IF($D8374 &gt; 16, 0,$E8374*$J$5)</f>
        <v>26193031.971160956</v>
      </c>
      <c r="G8374">
        <f t="shared" si="130"/>
        <v>11.6</v>
      </c>
    </row>
    <row r="8375" spans="2:7" x14ac:dyDescent="0.35">
      <c r="B8375" s="1">
        <v>46006</v>
      </c>
      <c r="C8375" s="2">
        <v>0.875</v>
      </c>
      <c r="D8375">
        <v>4.8</v>
      </c>
      <c r="E8375">
        <f>IF($D8375 &gt; 16, 0, $J$3*(16 - $D8375))</f>
        <v>2326.7847982478061</v>
      </c>
      <c r="F8375">
        <f>IF($D8375 &gt; 16, 0,$E8375*$J$5)</f>
        <v>25289823.972155403</v>
      </c>
      <c r="G8375">
        <f t="shared" si="130"/>
        <v>11.2</v>
      </c>
    </row>
    <row r="8376" spans="2:7" x14ac:dyDescent="0.35">
      <c r="B8376" s="1">
        <v>46006</v>
      </c>
      <c r="C8376" s="2">
        <v>0.91666666666666663</v>
      </c>
      <c r="D8376">
        <v>3.6</v>
      </c>
      <c r="E8376">
        <f>IF($D8376 &gt; 16, 0, $J$3*(16 - $D8376))</f>
        <v>2576.0831694886429</v>
      </c>
      <c r="F8376">
        <f>IF($D8376 &gt; 16, 0,$E8376*$J$5)</f>
        <v>27999447.96917206</v>
      </c>
      <c r="G8376">
        <f t="shared" si="130"/>
        <v>12.4</v>
      </c>
    </row>
    <row r="8377" spans="2:7" x14ac:dyDescent="0.35">
      <c r="B8377" s="1">
        <v>46006</v>
      </c>
      <c r="C8377" s="2">
        <v>0.95833333333333337</v>
      </c>
      <c r="D8377">
        <v>3.6</v>
      </c>
      <c r="E8377">
        <f>IF($D8377 &gt; 16, 0, $J$3*(16 - $D8377))</f>
        <v>2576.0831694886429</v>
      </c>
      <c r="F8377">
        <f>IF($D8377 &gt; 16, 0,$E8377*$J$5)</f>
        <v>27999447.96917206</v>
      </c>
      <c r="G8377">
        <f t="shared" si="130"/>
        <v>12.4</v>
      </c>
    </row>
    <row r="8378" spans="2:7" x14ac:dyDescent="0.35">
      <c r="B8378" s="1">
        <v>46007</v>
      </c>
      <c r="C8378" s="2">
        <v>0</v>
      </c>
      <c r="D8378">
        <v>3.1</v>
      </c>
      <c r="E8378">
        <f>IF($D8378 &gt; 16, 0, $J$3*(16 - $D8378))</f>
        <v>2679.9574908389914</v>
      </c>
      <c r="F8378">
        <f>IF($D8378 &gt; 16, 0,$E8378*$J$5)</f>
        <v>29128457.967928998</v>
      </c>
      <c r="G8378">
        <f t="shared" si="130"/>
        <v>12.9</v>
      </c>
    </row>
    <row r="8379" spans="2:7" x14ac:dyDescent="0.35">
      <c r="B8379" s="1">
        <v>46007</v>
      </c>
      <c r="C8379" s="2">
        <v>4.1666666666666657E-2</v>
      </c>
      <c r="D8379">
        <v>2.7</v>
      </c>
      <c r="E8379">
        <f>IF($D8379 &gt; 16, 0, $J$3*(16 - $D8379))</f>
        <v>2763.05694791927</v>
      </c>
      <c r="F8379">
        <f>IF($D8379 &gt; 16, 0,$E8379*$J$5)</f>
        <v>30031665.966934547</v>
      </c>
      <c r="G8379">
        <f t="shared" si="130"/>
        <v>13.3</v>
      </c>
    </row>
    <row r="8380" spans="2:7" x14ac:dyDescent="0.35">
      <c r="B8380" s="1">
        <v>46007</v>
      </c>
      <c r="C8380" s="2">
        <v>8.3333333333333329E-2</v>
      </c>
      <c r="D8380">
        <v>2.7</v>
      </c>
      <c r="E8380">
        <f>IF($D8380 &gt; 16, 0, $J$3*(16 - $D8380))</f>
        <v>2763.05694791927</v>
      </c>
      <c r="F8380">
        <f>IF($D8380 &gt; 16, 0,$E8380*$J$5)</f>
        <v>30031665.966934547</v>
      </c>
      <c r="G8380">
        <f t="shared" si="130"/>
        <v>13.3</v>
      </c>
    </row>
    <row r="8381" spans="2:7" x14ac:dyDescent="0.35">
      <c r="B8381" s="1">
        <v>46007</v>
      </c>
      <c r="C8381" s="2">
        <v>0.125</v>
      </c>
      <c r="D8381">
        <v>2.8</v>
      </c>
      <c r="E8381">
        <f>IF($D8381 &gt; 16, 0, $J$3*(16 - $D8381))</f>
        <v>2742.2820836492001</v>
      </c>
      <c r="F8381">
        <f>IF($D8381 &gt; 16, 0,$E8381*$J$5)</f>
        <v>29805863.967183154</v>
      </c>
      <c r="G8381">
        <f t="shared" si="130"/>
        <v>13.2</v>
      </c>
    </row>
    <row r="8382" spans="2:7" x14ac:dyDescent="0.35">
      <c r="B8382" s="1">
        <v>46007</v>
      </c>
      <c r="C8382" s="2">
        <v>0.16666666666666671</v>
      </c>
      <c r="D8382">
        <v>2.8</v>
      </c>
      <c r="E8382">
        <f>IF($D8382 &gt; 16, 0, $J$3*(16 - $D8382))</f>
        <v>2742.2820836492001</v>
      </c>
      <c r="F8382">
        <f>IF($D8382 &gt; 16, 0,$E8382*$J$5)</f>
        <v>29805863.967183154</v>
      </c>
      <c r="G8382">
        <f t="shared" si="130"/>
        <v>13.2</v>
      </c>
    </row>
    <row r="8383" spans="2:7" x14ac:dyDescent="0.35">
      <c r="B8383" s="1">
        <v>46007</v>
      </c>
      <c r="C8383" s="2">
        <v>0.20833333333333329</v>
      </c>
      <c r="D8383">
        <v>2.8</v>
      </c>
      <c r="E8383">
        <f>IF($D8383 &gt; 16, 0, $J$3*(16 - $D8383))</f>
        <v>2742.2820836492001</v>
      </c>
      <c r="F8383">
        <f>IF($D8383 &gt; 16, 0,$E8383*$J$5)</f>
        <v>29805863.967183154</v>
      </c>
      <c r="G8383">
        <f t="shared" si="130"/>
        <v>13.2</v>
      </c>
    </row>
    <row r="8384" spans="2:7" x14ac:dyDescent="0.35">
      <c r="B8384" s="1">
        <v>46007</v>
      </c>
      <c r="C8384" s="2">
        <v>0.25</v>
      </c>
      <c r="D8384">
        <v>3</v>
      </c>
      <c r="E8384">
        <f>IF($D8384 &gt; 16, 0, $J$3*(16 - $D8384))</f>
        <v>2700.7323551090608</v>
      </c>
      <c r="F8384">
        <f>IF($D8384 &gt; 16, 0,$E8384*$J$5)</f>
        <v>29354259.967680383</v>
      </c>
      <c r="G8384">
        <f t="shared" si="130"/>
        <v>13</v>
      </c>
    </row>
    <row r="8385" spans="2:7" x14ac:dyDescent="0.35">
      <c r="B8385" s="1">
        <v>46007</v>
      </c>
      <c r="C8385" s="2">
        <v>0.29166666666666669</v>
      </c>
      <c r="D8385">
        <v>3.3</v>
      </c>
      <c r="E8385">
        <f>IF($D8385 &gt; 16, 0, $J$3*(16 - $D8385))</f>
        <v>2638.4077622988516</v>
      </c>
      <c r="F8385">
        <f>IF($D8385 &gt; 16, 0,$E8385*$J$5)</f>
        <v>28676853.968426216</v>
      </c>
      <c r="G8385">
        <f t="shared" si="130"/>
        <v>12.7</v>
      </c>
    </row>
    <row r="8386" spans="2:7" x14ac:dyDescent="0.35">
      <c r="B8386" s="1">
        <v>46007</v>
      </c>
      <c r="C8386" s="2">
        <v>0.33333333333333331</v>
      </c>
      <c r="D8386">
        <v>4</v>
      </c>
      <c r="E8386">
        <f>IF($D8386 &gt; 16, 0, $J$3*(16 - $D8386))</f>
        <v>2492.9837124083638</v>
      </c>
      <c r="F8386">
        <f>IF($D8386 &gt; 16, 0,$E8386*$J$5)</f>
        <v>27096239.970166504</v>
      </c>
      <c r="G8386">
        <f t="shared" si="130"/>
        <v>12</v>
      </c>
    </row>
    <row r="8387" spans="2:7" x14ac:dyDescent="0.35">
      <c r="B8387" s="1">
        <v>46007</v>
      </c>
      <c r="C8387" s="2">
        <v>0.375</v>
      </c>
      <c r="D8387">
        <v>4.5999999999999996</v>
      </c>
      <c r="E8387">
        <f>IF($D8387 &gt; 16, 0, $J$3*(16 - $D8387))</f>
        <v>2368.3345267879458</v>
      </c>
      <c r="F8387">
        <f>IF($D8387 &gt; 16, 0,$E8387*$J$5)</f>
        <v>25741427.971658185</v>
      </c>
      <c r="G8387">
        <f t="shared" ref="G8387:G8450" si="131">MAX(0, 16 - $D8387)</f>
        <v>11.4</v>
      </c>
    </row>
    <row r="8388" spans="2:7" x14ac:dyDescent="0.35">
      <c r="B8388" s="1">
        <v>46007</v>
      </c>
      <c r="C8388" s="2">
        <v>0.41666666666666669</v>
      </c>
      <c r="D8388">
        <v>6.3</v>
      </c>
      <c r="E8388">
        <f>IF($D8388 &gt; 16, 0, $J$3*(16 - $D8388))</f>
        <v>2015.1618341967608</v>
      </c>
      <c r="F8388">
        <f>IF($D8388 &gt; 16, 0,$E8388*$J$5)</f>
        <v>21902793.975884594</v>
      </c>
      <c r="G8388">
        <f t="shared" si="131"/>
        <v>9.6999999999999993</v>
      </c>
    </row>
    <row r="8389" spans="2:7" x14ac:dyDescent="0.35">
      <c r="B8389" s="1">
        <v>46007</v>
      </c>
      <c r="C8389" s="2">
        <v>0.45833333333333331</v>
      </c>
      <c r="D8389">
        <v>7.5</v>
      </c>
      <c r="E8389">
        <f>IF($D8389 &gt; 16, 0, $J$3*(16 - $D8389))</f>
        <v>1765.8634629559244</v>
      </c>
      <c r="F8389">
        <f>IF($D8389 &gt; 16, 0,$E8389*$J$5)</f>
        <v>19193169.978867944</v>
      </c>
      <c r="G8389">
        <f t="shared" si="131"/>
        <v>8.5</v>
      </c>
    </row>
    <row r="8390" spans="2:7" x14ac:dyDescent="0.35">
      <c r="B8390" s="1">
        <v>46007</v>
      </c>
      <c r="C8390" s="2">
        <v>0.5</v>
      </c>
      <c r="D8390">
        <v>8.4</v>
      </c>
      <c r="E8390">
        <f>IF($D8390 &gt; 16, 0, $J$3*(16 - $D8390))</f>
        <v>1578.8896845252971</v>
      </c>
      <c r="F8390">
        <f>IF($D8390 &gt; 16, 0,$E8390*$J$5)</f>
        <v>17160951.981105454</v>
      </c>
      <c r="G8390">
        <f t="shared" si="131"/>
        <v>7.6</v>
      </c>
    </row>
    <row r="8391" spans="2:7" x14ac:dyDescent="0.35">
      <c r="B8391" s="1">
        <v>46007</v>
      </c>
      <c r="C8391" s="2">
        <v>0.54166666666666663</v>
      </c>
      <c r="D8391">
        <v>8.6</v>
      </c>
      <c r="E8391">
        <f>IF($D8391 &gt; 16, 0, $J$3*(16 - $D8391))</f>
        <v>1537.3399559851578</v>
      </c>
      <c r="F8391">
        <f>IF($D8391 &gt; 16, 0,$E8391*$J$5)</f>
        <v>16709347.98160268</v>
      </c>
      <c r="G8391">
        <f t="shared" si="131"/>
        <v>7.4</v>
      </c>
    </row>
    <row r="8392" spans="2:7" x14ac:dyDescent="0.35">
      <c r="B8392" s="1">
        <v>46007</v>
      </c>
      <c r="C8392" s="2">
        <v>0.58333333333333337</v>
      </c>
      <c r="D8392">
        <v>8.8000000000000007</v>
      </c>
      <c r="E8392">
        <f>IF($D8392 &gt; 16, 0, $J$3*(16 - $D8392))</f>
        <v>1495.7902274450182</v>
      </c>
      <c r="F8392">
        <f>IF($D8392 &gt; 16, 0,$E8392*$J$5)</f>
        <v>16257743.982099904</v>
      </c>
      <c r="G8392">
        <f t="shared" si="131"/>
        <v>7.1999999999999993</v>
      </c>
    </row>
    <row r="8393" spans="2:7" x14ac:dyDescent="0.35">
      <c r="B8393" s="1">
        <v>46007</v>
      </c>
      <c r="C8393" s="2">
        <v>0.625</v>
      </c>
      <c r="D8393">
        <v>7.4</v>
      </c>
      <c r="E8393">
        <f>IF($D8393 &gt; 16, 0, $J$3*(16 - $D8393))</f>
        <v>1786.6383272259941</v>
      </c>
      <c r="F8393">
        <f>IF($D8393 &gt; 16, 0,$E8393*$J$5)</f>
        <v>19418971.97861933</v>
      </c>
      <c r="G8393">
        <f t="shared" si="131"/>
        <v>8.6</v>
      </c>
    </row>
    <row r="8394" spans="2:7" x14ac:dyDescent="0.35">
      <c r="B8394" s="1">
        <v>46007</v>
      </c>
      <c r="C8394" s="2">
        <v>0.66666666666666663</v>
      </c>
      <c r="D8394">
        <v>6.9</v>
      </c>
      <c r="E8394">
        <f>IF($D8394 &gt; 16, 0, $J$3*(16 - $D8394))</f>
        <v>1890.5126485763426</v>
      </c>
      <c r="F8394">
        <f>IF($D8394 &gt; 16, 0,$E8394*$J$5)</f>
        <v>20547981.977376267</v>
      </c>
      <c r="G8394">
        <f t="shared" si="131"/>
        <v>9.1</v>
      </c>
    </row>
    <row r="8395" spans="2:7" x14ac:dyDescent="0.35">
      <c r="B8395" s="1">
        <v>46007</v>
      </c>
      <c r="C8395" s="2">
        <v>0.70833333333333337</v>
      </c>
      <c r="D8395">
        <v>6.9</v>
      </c>
      <c r="E8395">
        <f>IF($D8395 &gt; 16, 0, $J$3*(16 - $D8395))</f>
        <v>1890.5126485763426</v>
      </c>
      <c r="F8395">
        <f>IF($D8395 &gt; 16, 0,$E8395*$J$5)</f>
        <v>20547981.977376267</v>
      </c>
      <c r="G8395">
        <f t="shared" si="131"/>
        <v>9.1</v>
      </c>
    </row>
    <row r="8396" spans="2:7" x14ac:dyDescent="0.35">
      <c r="B8396" s="1">
        <v>46007</v>
      </c>
      <c r="C8396" s="2">
        <v>0.75</v>
      </c>
      <c r="D8396">
        <v>6.4</v>
      </c>
      <c r="E8396">
        <f>IF($D8396 &gt; 16, 0, $J$3*(16 - $D8396))</f>
        <v>1994.3869699266911</v>
      </c>
      <c r="F8396">
        <f>IF($D8396 &gt; 16, 0,$E8396*$J$5)</f>
        <v>21676991.976133205</v>
      </c>
      <c r="G8396">
        <f t="shared" si="131"/>
        <v>9.6</v>
      </c>
    </row>
    <row r="8397" spans="2:7" x14ac:dyDescent="0.35">
      <c r="B8397" s="1">
        <v>46007</v>
      </c>
      <c r="C8397" s="2">
        <v>0.79166666666666663</v>
      </c>
      <c r="D8397">
        <v>6</v>
      </c>
      <c r="E8397">
        <f>IF($D8397 &gt; 16, 0, $J$3*(16 - $D8397))</f>
        <v>2077.4864270069697</v>
      </c>
      <c r="F8397">
        <f>IF($D8397 &gt; 16, 0,$E8397*$J$5)</f>
        <v>22580199.975138754</v>
      </c>
      <c r="G8397">
        <f t="shared" si="131"/>
        <v>10</v>
      </c>
    </row>
    <row r="8398" spans="2:7" x14ac:dyDescent="0.35">
      <c r="B8398" s="1">
        <v>46007</v>
      </c>
      <c r="C8398" s="2">
        <v>0.83333333333333337</v>
      </c>
      <c r="D8398">
        <v>5.8</v>
      </c>
      <c r="E8398">
        <f>IF($D8398 &gt; 16, 0, $J$3*(16 - $D8398))</f>
        <v>2119.036155547109</v>
      </c>
      <c r="F8398">
        <f>IF($D8398 &gt; 16, 0,$E8398*$J$5)</f>
        <v>23031803.974641528</v>
      </c>
      <c r="G8398">
        <f t="shared" si="131"/>
        <v>10.199999999999999</v>
      </c>
    </row>
    <row r="8399" spans="2:7" x14ac:dyDescent="0.35">
      <c r="B8399" s="1">
        <v>46007</v>
      </c>
      <c r="C8399" s="2">
        <v>0.875</v>
      </c>
      <c r="D8399">
        <v>5.4</v>
      </c>
      <c r="E8399">
        <f>IF($D8399 &gt; 16, 0, $J$3*(16 - $D8399))</f>
        <v>2202.1356126273881</v>
      </c>
      <c r="F8399">
        <f>IF($D8399 &gt; 16, 0,$E8399*$J$5)</f>
        <v>23935011.97364708</v>
      </c>
      <c r="G8399">
        <f t="shared" si="131"/>
        <v>10.6</v>
      </c>
    </row>
    <row r="8400" spans="2:7" x14ac:dyDescent="0.35">
      <c r="B8400" s="1">
        <v>46007</v>
      </c>
      <c r="C8400" s="2">
        <v>0.91666666666666663</v>
      </c>
      <c r="D8400">
        <v>5.2</v>
      </c>
      <c r="E8400">
        <f>IF($D8400 &gt; 16, 0, $J$3*(16 - $D8400))</f>
        <v>2243.6853411675274</v>
      </c>
      <c r="F8400">
        <f>IF($D8400 &gt; 16, 0,$E8400*$J$5)</f>
        <v>24386615.973149855</v>
      </c>
      <c r="G8400">
        <f t="shared" si="131"/>
        <v>10.8</v>
      </c>
    </row>
    <row r="8401" spans="2:7" x14ac:dyDescent="0.35">
      <c r="B8401" s="1">
        <v>46007</v>
      </c>
      <c r="C8401" s="2">
        <v>0.95833333333333337</v>
      </c>
      <c r="D8401">
        <v>5.2</v>
      </c>
      <c r="E8401">
        <f>IF($D8401 &gt; 16, 0, $J$3*(16 - $D8401))</f>
        <v>2243.6853411675274</v>
      </c>
      <c r="F8401">
        <f>IF($D8401 &gt; 16, 0,$E8401*$J$5)</f>
        <v>24386615.973149855</v>
      </c>
      <c r="G8401">
        <f t="shared" si="131"/>
        <v>10.8</v>
      </c>
    </row>
    <row r="8402" spans="2:7" x14ac:dyDescent="0.35">
      <c r="B8402" s="1">
        <v>46008</v>
      </c>
      <c r="C8402" s="2">
        <v>0</v>
      </c>
      <c r="D8402">
        <v>5.4</v>
      </c>
      <c r="E8402">
        <f>IF($D8402 &gt; 16, 0, $J$3*(16 - $D8402))</f>
        <v>2202.1356126273881</v>
      </c>
      <c r="F8402">
        <f>IF($D8402 &gt; 16, 0,$E8402*$J$5)</f>
        <v>23935011.97364708</v>
      </c>
      <c r="G8402">
        <f t="shared" si="131"/>
        <v>10.6</v>
      </c>
    </row>
    <row r="8403" spans="2:7" x14ac:dyDescent="0.35">
      <c r="B8403" s="1">
        <v>46008</v>
      </c>
      <c r="C8403" s="2">
        <v>4.1666666666666657E-2</v>
      </c>
      <c r="D8403">
        <v>5.7</v>
      </c>
      <c r="E8403">
        <f>IF($D8403 &gt; 16, 0, $J$3*(16 - $D8403))</f>
        <v>2139.8110198171789</v>
      </c>
      <c r="F8403">
        <f>IF($D8403 &gt; 16, 0,$E8403*$J$5)</f>
        <v>23257605.974392917</v>
      </c>
      <c r="G8403">
        <f t="shared" si="131"/>
        <v>10.3</v>
      </c>
    </row>
    <row r="8404" spans="2:7" x14ac:dyDescent="0.35">
      <c r="B8404" s="1">
        <v>46008</v>
      </c>
      <c r="C8404" s="2">
        <v>8.3333333333333329E-2</v>
      </c>
      <c r="D8404">
        <v>4.8</v>
      </c>
      <c r="E8404">
        <f>IF($D8404 &gt; 16, 0, $J$3*(16 - $D8404))</f>
        <v>2326.7847982478061</v>
      </c>
      <c r="F8404">
        <f>IF($D8404 &gt; 16, 0,$E8404*$J$5)</f>
        <v>25289823.972155403</v>
      </c>
      <c r="G8404">
        <f t="shared" si="131"/>
        <v>11.2</v>
      </c>
    </row>
    <row r="8405" spans="2:7" x14ac:dyDescent="0.35">
      <c r="B8405" s="1">
        <v>46008</v>
      </c>
      <c r="C8405" s="2">
        <v>0.125</v>
      </c>
      <c r="D8405">
        <v>4.4000000000000004</v>
      </c>
      <c r="E8405">
        <f>IF($D8405 &gt; 16, 0, $J$3*(16 - $D8405))</f>
        <v>2409.8842553280851</v>
      </c>
      <c r="F8405">
        <f>IF($D8405 &gt; 16, 0,$E8405*$J$5)</f>
        <v>26193031.971160956</v>
      </c>
      <c r="G8405">
        <f t="shared" si="131"/>
        <v>11.6</v>
      </c>
    </row>
    <row r="8406" spans="2:7" x14ac:dyDescent="0.35">
      <c r="B8406" s="1">
        <v>46008</v>
      </c>
      <c r="C8406" s="2">
        <v>0.16666666666666671</v>
      </c>
      <c r="D8406">
        <v>4.5999999999999996</v>
      </c>
      <c r="E8406">
        <f>IF($D8406 &gt; 16, 0, $J$3*(16 - $D8406))</f>
        <v>2368.3345267879458</v>
      </c>
      <c r="F8406">
        <f>IF($D8406 &gt; 16, 0,$E8406*$J$5)</f>
        <v>25741427.971658185</v>
      </c>
      <c r="G8406">
        <f t="shared" si="131"/>
        <v>11.4</v>
      </c>
    </row>
    <row r="8407" spans="2:7" x14ac:dyDescent="0.35">
      <c r="B8407" s="1">
        <v>46008</v>
      </c>
      <c r="C8407" s="2">
        <v>0.20833333333333329</v>
      </c>
      <c r="D8407">
        <v>4.3</v>
      </c>
      <c r="E8407">
        <f>IF($D8407 &gt; 16, 0, $J$3*(16 - $D8407))</f>
        <v>2430.6591195981546</v>
      </c>
      <c r="F8407">
        <f>IF($D8407 &gt; 16, 0,$E8407*$J$5)</f>
        <v>26418833.970912341</v>
      </c>
      <c r="G8407">
        <f t="shared" si="131"/>
        <v>11.7</v>
      </c>
    </row>
    <row r="8408" spans="2:7" x14ac:dyDescent="0.35">
      <c r="B8408" s="1">
        <v>46008</v>
      </c>
      <c r="C8408" s="2">
        <v>0.25</v>
      </c>
      <c r="D8408">
        <v>4</v>
      </c>
      <c r="E8408">
        <f>IF($D8408 &gt; 16, 0, $J$3*(16 - $D8408))</f>
        <v>2492.9837124083638</v>
      </c>
      <c r="F8408">
        <f>IF($D8408 &gt; 16, 0,$E8408*$J$5)</f>
        <v>27096239.970166504</v>
      </c>
      <c r="G8408">
        <f t="shared" si="131"/>
        <v>12</v>
      </c>
    </row>
    <row r="8409" spans="2:7" x14ac:dyDescent="0.35">
      <c r="B8409" s="1">
        <v>46008</v>
      </c>
      <c r="C8409" s="2">
        <v>0.29166666666666669</v>
      </c>
      <c r="D8409">
        <v>3.4</v>
      </c>
      <c r="E8409">
        <f>IF($D8409 &gt; 16, 0, $J$3*(16 - $D8409))</f>
        <v>2617.6328980287822</v>
      </c>
      <c r="F8409">
        <f>IF($D8409 &gt; 16, 0,$E8409*$J$5)</f>
        <v>28451051.968674835</v>
      </c>
      <c r="G8409">
        <f t="shared" si="131"/>
        <v>12.6</v>
      </c>
    </row>
    <row r="8410" spans="2:7" x14ac:dyDescent="0.35">
      <c r="B8410" s="1">
        <v>46008</v>
      </c>
      <c r="C8410" s="2">
        <v>0.33333333333333331</v>
      </c>
      <c r="D8410">
        <v>2.9</v>
      </c>
      <c r="E8410">
        <f>IF($D8410 &gt; 16, 0, $J$3*(16 - $D8410))</f>
        <v>2721.5072193791307</v>
      </c>
      <c r="F8410">
        <f>IF($D8410 &gt; 16, 0,$E8410*$J$5)</f>
        <v>29580061.967431773</v>
      </c>
      <c r="G8410">
        <f t="shared" si="131"/>
        <v>13.1</v>
      </c>
    </row>
    <row r="8411" spans="2:7" x14ac:dyDescent="0.35">
      <c r="B8411" s="1">
        <v>46008</v>
      </c>
      <c r="C8411" s="2">
        <v>0.375</v>
      </c>
      <c r="D8411">
        <v>3.4</v>
      </c>
      <c r="E8411">
        <f>IF($D8411 &gt; 16, 0, $J$3*(16 - $D8411))</f>
        <v>2617.6328980287822</v>
      </c>
      <c r="F8411">
        <f>IF($D8411 &gt; 16, 0,$E8411*$J$5)</f>
        <v>28451051.968674835</v>
      </c>
      <c r="G8411">
        <f t="shared" si="131"/>
        <v>12.6</v>
      </c>
    </row>
    <row r="8412" spans="2:7" x14ac:dyDescent="0.35">
      <c r="B8412" s="1">
        <v>46008</v>
      </c>
      <c r="C8412" s="2">
        <v>0.41666666666666669</v>
      </c>
      <c r="D8412">
        <v>6</v>
      </c>
      <c r="E8412">
        <f>IF($D8412 &gt; 16, 0, $J$3*(16 - $D8412))</f>
        <v>2077.4864270069697</v>
      </c>
      <c r="F8412">
        <f>IF($D8412 &gt; 16, 0,$E8412*$J$5)</f>
        <v>22580199.975138754</v>
      </c>
      <c r="G8412">
        <f t="shared" si="131"/>
        <v>10</v>
      </c>
    </row>
    <row r="8413" spans="2:7" x14ac:dyDescent="0.35">
      <c r="B8413" s="1">
        <v>46008</v>
      </c>
      <c r="C8413" s="2">
        <v>0.45833333333333331</v>
      </c>
      <c r="D8413">
        <v>7.3</v>
      </c>
      <c r="E8413">
        <f>IF($D8413 &gt; 16, 0, $J$3*(16 - $D8413))</f>
        <v>1807.4131914960637</v>
      </c>
      <c r="F8413">
        <f>IF($D8413 &gt; 16, 0,$E8413*$J$5)</f>
        <v>19644773.978370719</v>
      </c>
      <c r="G8413">
        <f t="shared" si="131"/>
        <v>8.6999999999999993</v>
      </c>
    </row>
    <row r="8414" spans="2:7" x14ac:dyDescent="0.35">
      <c r="B8414" s="1">
        <v>46008</v>
      </c>
      <c r="C8414" s="2">
        <v>0.5</v>
      </c>
      <c r="D8414">
        <v>8.5</v>
      </c>
      <c r="E8414">
        <f>IF($D8414 &gt; 16, 0, $J$3*(16 - $D8414))</f>
        <v>1558.1148202552274</v>
      </c>
      <c r="F8414">
        <f>IF($D8414 &gt; 16, 0,$E8414*$J$5)</f>
        <v>16935149.981354065</v>
      </c>
      <c r="G8414">
        <f t="shared" si="131"/>
        <v>7.5</v>
      </c>
    </row>
    <row r="8415" spans="2:7" x14ac:dyDescent="0.35">
      <c r="B8415" s="1">
        <v>46008</v>
      </c>
      <c r="C8415" s="2">
        <v>0.54166666666666663</v>
      </c>
      <c r="D8415">
        <v>8.9</v>
      </c>
      <c r="E8415">
        <f>IF($D8415 &gt; 16, 0, $J$3*(16 - $D8415))</f>
        <v>1475.0153631749486</v>
      </c>
      <c r="F8415">
        <f>IF($D8415 &gt; 16, 0,$E8415*$J$5)</f>
        <v>16031941.982348517</v>
      </c>
      <c r="G8415">
        <f t="shared" si="131"/>
        <v>7.1</v>
      </c>
    </row>
    <row r="8416" spans="2:7" x14ac:dyDescent="0.35">
      <c r="B8416" s="1">
        <v>46008</v>
      </c>
      <c r="C8416" s="2">
        <v>0.58333333333333337</v>
      </c>
      <c r="D8416">
        <v>8.6999999999999993</v>
      </c>
      <c r="E8416">
        <f>IF($D8416 &gt; 16, 0, $J$3*(16 - $D8416))</f>
        <v>1516.5650917150881</v>
      </c>
      <c r="F8416">
        <f>IF($D8416 &gt; 16, 0,$E8416*$J$5)</f>
        <v>16483545.981851293</v>
      </c>
      <c r="G8416">
        <f t="shared" si="131"/>
        <v>7.3000000000000007</v>
      </c>
    </row>
    <row r="8417" spans="2:7" x14ac:dyDescent="0.35">
      <c r="B8417" s="1">
        <v>46008</v>
      </c>
      <c r="C8417" s="2">
        <v>0.625</v>
      </c>
      <c r="D8417">
        <v>8.1999999999999993</v>
      </c>
      <c r="E8417">
        <f>IF($D8417 &gt; 16, 0, $J$3*(16 - $D8417))</f>
        <v>1620.4394130654366</v>
      </c>
      <c r="F8417">
        <f>IF($D8417 &gt; 16, 0,$E8417*$J$5)</f>
        <v>17612555.980608232</v>
      </c>
      <c r="G8417">
        <f t="shared" si="131"/>
        <v>7.8000000000000007</v>
      </c>
    </row>
    <row r="8418" spans="2:7" x14ac:dyDescent="0.35">
      <c r="B8418" s="1">
        <v>46008</v>
      </c>
      <c r="C8418" s="2">
        <v>0.66666666666666663</v>
      </c>
      <c r="D8418">
        <v>8</v>
      </c>
      <c r="E8418">
        <f>IF($D8418 &gt; 16, 0, $J$3*(16 - $D8418))</f>
        <v>1661.9891416055759</v>
      </c>
      <c r="F8418">
        <f>IF($D8418 &gt; 16, 0,$E8418*$J$5)</f>
        <v>18064159.980111003</v>
      </c>
      <c r="G8418">
        <f t="shared" si="131"/>
        <v>8</v>
      </c>
    </row>
    <row r="8419" spans="2:7" x14ac:dyDescent="0.35">
      <c r="B8419" s="1">
        <v>46008</v>
      </c>
      <c r="C8419" s="2">
        <v>0.70833333333333337</v>
      </c>
      <c r="D8419">
        <v>8.1</v>
      </c>
      <c r="E8419">
        <f>IF($D8419 &gt; 16, 0, $J$3*(16 - $D8419))</f>
        <v>1641.2142773355063</v>
      </c>
      <c r="F8419">
        <f>IF($D8419 &gt; 16, 0,$E8419*$J$5)</f>
        <v>17838357.980359618</v>
      </c>
      <c r="G8419">
        <f t="shared" si="131"/>
        <v>7.9</v>
      </c>
    </row>
    <row r="8420" spans="2:7" x14ac:dyDescent="0.35">
      <c r="B8420" s="1">
        <v>46008</v>
      </c>
      <c r="C8420" s="2">
        <v>0.75</v>
      </c>
      <c r="D8420">
        <v>8.1999999999999993</v>
      </c>
      <c r="E8420">
        <f>IF($D8420 &gt; 16, 0, $J$3*(16 - $D8420))</f>
        <v>1620.4394130654366</v>
      </c>
      <c r="F8420">
        <f>IF($D8420 &gt; 16, 0,$E8420*$J$5)</f>
        <v>17612555.980608232</v>
      </c>
      <c r="G8420">
        <f t="shared" si="131"/>
        <v>7.8000000000000007</v>
      </c>
    </row>
    <row r="8421" spans="2:7" x14ac:dyDescent="0.35">
      <c r="B8421" s="1">
        <v>46008</v>
      </c>
      <c r="C8421" s="2">
        <v>0.79166666666666663</v>
      </c>
      <c r="D8421">
        <v>8.3000000000000007</v>
      </c>
      <c r="E8421">
        <f>IF($D8421 &gt; 16, 0, $J$3*(16 - $D8421))</f>
        <v>1599.6645487953667</v>
      </c>
      <c r="F8421">
        <f>IF($D8421 &gt; 16, 0,$E8421*$J$5)</f>
        <v>17386753.98085684</v>
      </c>
      <c r="G8421">
        <f t="shared" si="131"/>
        <v>7.6999999999999993</v>
      </c>
    </row>
    <row r="8422" spans="2:7" x14ac:dyDescent="0.35">
      <c r="B8422" s="1">
        <v>46008</v>
      </c>
      <c r="C8422" s="2">
        <v>0.83333333333333337</v>
      </c>
      <c r="D8422">
        <v>8.4</v>
      </c>
      <c r="E8422">
        <f>IF($D8422 &gt; 16, 0, $J$3*(16 - $D8422))</f>
        <v>1578.8896845252971</v>
      </c>
      <c r="F8422">
        <f>IF($D8422 &gt; 16, 0,$E8422*$J$5)</f>
        <v>17160951.981105454</v>
      </c>
      <c r="G8422">
        <f t="shared" si="131"/>
        <v>7.6</v>
      </c>
    </row>
    <row r="8423" spans="2:7" x14ac:dyDescent="0.35">
      <c r="B8423" s="1">
        <v>46008</v>
      </c>
      <c r="C8423" s="2">
        <v>0.875</v>
      </c>
      <c r="D8423">
        <v>8.3000000000000007</v>
      </c>
      <c r="E8423">
        <f>IF($D8423 &gt; 16, 0, $J$3*(16 - $D8423))</f>
        <v>1599.6645487953667</v>
      </c>
      <c r="F8423">
        <f>IF($D8423 &gt; 16, 0,$E8423*$J$5)</f>
        <v>17386753.98085684</v>
      </c>
      <c r="G8423">
        <f t="shared" si="131"/>
        <v>7.6999999999999993</v>
      </c>
    </row>
    <row r="8424" spans="2:7" x14ac:dyDescent="0.35">
      <c r="B8424" s="1">
        <v>46008</v>
      </c>
      <c r="C8424" s="2">
        <v>0.91666666666666663</v>
      </c>
      <c r="D8424">
        <v>8.1</v>
      </c>
      <c r="E8424">
        <f>IF($D8424 &gt; 16, 0, $J$3*(16 - $D8424))</f>
        <v>1641.2142773355063</v>
      </c>
      <c r="F8424">
        <f>IF($D8424 &gt; 16, 0,$E8424*$J$5)</f>
        <v>17838357.980359618</v>
      </c>
      <c r="G8424">
        <f t="shared" si="131"/>
        <v>7.9</v>
      </c>
    </row>
    <row r="8425" spans="2:7" x14ac:dyDescent="0.35">
      <c r="B8425" s="1">
        <v>46008</v>
      </c>
      <c r="C8425" s="2">
        <v>0.95833333333333337</v>
      </c>
      <c r="D8425">
        <v>8.1999999999999993</v>
      </c>
      <c r="E8425">
        <f>IF($D8425 &gt; 16, 0, $J$3*(16 - $D8425))</f>
        <v>1620.4394130654366</v>
      </c>
      <c r="F8425">
        <f>IF($D8425 &gt; 16, 0,$E8425*$J$5)</f>
        <v>17612555.980608232</v>
      </c>
      <c r="G8425">
        <f t="shared" si="131"/>
        <v>7.8000000000000007</v>
      </c>
    </row>
    <row r="8426" spans="2:7" x14ac:dyDescent="0.35">
      <c r="B8426" s="1">
        <v>46009</v>
      </c>
      <c r="C8426" s="2">
        <v>0</v>
      </c>
      <c r="D8426">
        <v>8.4</v>
      </c>
      <c r="E8426">
        <f>IF($D8426 &gt; 16, 0, $J$3*(16 - $D8426))</f>
        <v>1578.8896845252971</v>
      </c>
      <c r="F8426">
        <f>IF($D8426 &gt; 16, 0,$E8426*$J$5)</f>
        <v>17160951.981105454</v>
      </c>
      <c r="G8426">
        <f t="shared" si="131"/>
        <v>7.6</v>
      </c>
    </row>
    <row r="8427" spans="2:7" x14ac:dyDescent="0.35">
      <c r="B8427" s="1">
        <v>46009</v>
      </c>
      <c r="C8427" s="2">
        <v>4.1666666666666657E-2</v>
      </c>
      <c r="D8427">
        <v>8.5</v>
      </c>
      <c r="E8427">
        <f>IF($D8427 &gt; 16, 0, $J$3*(16 - $D8427))</f>
        <v>1558.1148202552274</v>
      </c>
      <c r="F8427">
        <f>IF($D8427 &gt; 16, 0,$E8427*$J$5)</f>
        <v>16935149.981354065</v>
      </c>
      <c r="G8427">
        <f t="shared" si="131"/>
        <v>7.5</v>
      </c>
    </row>
    <row r="8428" spans="2:7" x14ac:dyDescent="0.35">
      <c r="B8428" s="1">
        <v>46009</v>
      </c>
      <c r="C8428" s="2">
        <v>8.3333333333333329E-2</v>
      </c>
      <c r="D8428">
        <v>7.9</v>
      </c>
      <c r="E8428">
        <f>IF($D8428 &gt; 16, 0, $J$3*(16 - $D8428))</f>
        <v>1682.7640058756456</v>
      </c>
      <c r="F8428">
        <f>IF($D8428 &gt; 16, 0,$E8428*$J$5)</f>
        <v>18289961.979862392</v>
      </c>
      <c r="G8428">
        <f t="shared" si="131"/>
        <v>8.1</v>
      </c>
    </row>
    <row r="8429" spans="2:7" x14ac:dyDescent="0.35">
      <c r="B8429" s="1">
        <v>46009</v>
      </c>
      <c r="C8429" s="2">
        <v>0.125</v>
      </c>
      <c r="D8429">
        <v>7.6</v>
      </c>
      <c r="E8429">
        <f>IF($D8429 &gt; 16, 0, $J$3*(16 - $D8429))</f>
        <v>1745.0885986858548</v>
      </c>
      <c r="F8429">
        <f>IF($D8429 &gt; 16, 0,$E8429*$J$5)</f>
        <v>18967367.979116555</v>
      </c>
      <c r="G8429">
        <f t="shared" si="131"/>
        <v>8.4</v>
      </c>
    </row>
    <row r="8430" spans="2:7" x14ac:dyDescent="0.35">
      <c r="B8430" s="1">
        <v>46009</v>
      </c>
      <c r="C8430" s="2">
        <v>0.16666666666666671</v>
      </c>
      <c r="D8430">
        <v>6.7</v>
      </c>
      <c r="E8430">
        <f>IF($D8430 &gt; 16, 0, $J$3*(16 - $D8430))</f>
        <v>1932.0623771164821</v>
      </c>
      <c r="F8430">
        <f>IF($D8430 &gt; 16, 0,$E8430*$J$5)</f>
        <v>20999585.976879045</v>
      </c>
      <c r="G8430">
        <f t="shared" si="131"/>
        <v>9.3000000000000007</v>
      </c>
    </row>
    <row r="8431" spans="2:7" x14ac:dyDescent="0.35">
      <c r="B8431" s="1">
        <v>46009</v>
      </c>
      <c r="C8431" s="2">
        <v>0.20833333333333329</v>
      </c>
      <c r="D8431">
        <v>5.9</v>
      </c>
      <c r="E8431">
        <f>IF($D8431 &gt; 16, 0, $J$3*(16 - $D8431))</f>
        <v>2098.2612912770396</v>
      </c>
      <c r="F8431">
        <f>IF($D8431 &gt; 16, 0,$E8431*$J$5)</f>
        <v>22806001.974890143</v>
      </c>
      <c r="G8431">
        <f t="shared" si="131"/>
        <v>10.1</v>
      </c>
    </row>
    <row r="8432" spans="2:7" x14ac:dyDescent="0.35">
      <c r="B8432" s="1">
        <v>46009</v>
      </c>
      <c r="C8432" s="2">
        <v>0.25</v>
      </c>
      <c r="D8432">
        <v>5.8</v>
      </c>
      <c r="E8432">
        <f>IF($D8432 &gt; 16, 0, $J$3*(16 - $D8432))</f>
        <v>2119.036155547109</v>
      </c>
      <c r="F8432">
        <f>IF($D8432 &gt; 16, 0,$E8432*$J$5)</f>
        <v>23031803.974641528</v>
      </c>
      <c r="G8432">
        <f t="shared" si="131"/>
        <v>10.199999999999999</v>
      </c>
    </row>
    <row r="8433" spans="2:7" x14ac:dyDescent="0.35">
      <c r="B8433" s="1">
        <v>46009</v>
      </c>
      <c r="C8433" s="2">
        <v>0.29166666666666669</v>
      </c>
      <c r="D8433">
        <v>5.5</v>
      </c>
      <c r="E8433">
        <f>IF($D8433 &gt; 16, 0, $J$3*(16 - $D8433))</f>
        <v>2181.3607483573182</v>
      </c>
      <c r="F8433">
        <f>IF($D8433 &gt; 16, 0,$E8433*$J$5)</f>
        <v>23709209.973895691</v>
      </c>
      <c r="G8433">
        <f t="shared" si="131"/>
        <v>10.5</v>
      </c>
    </row>
    <row r="8434" spans="2:7" x14ac:dyDescent="0.35">
      <c r="B8434" s="1">
        <v>46009</v>
      </c>
      <c r="C8434" s="2">
        <v>0.33333333333333331</v>
      </c>
      <c r="D8434">
        <v>5.6</v>
      </c>
      <c r="E8434">
        <f>IF($D8434 &gt; 16, 0, $J$3*(16 - $D8434))</f>
        <v>2160.5858840872488</v>
      </c>
      <c r="F8434">
        <f>IF($D8434 &gt; 16, 0,$E8434*$J$5)</f>
        <v>23483407.974144306</v>
      </c>
      <c r="G8434">
        <f t="shared" si="131"/>
        <v>10.4</v>
      </c>
    </row>
    <row r="8435" spans="2:7" x14ac:dyDescent="0.35">
      <c r="B8435" s="1">
        <v>46009</v>
      </c>
      <c r="C8435" s="2">
        <v>0.375</v>
      </c>
      <c r="D8435">
        <v>6.2</v>
      </c>
      <c r="E8435">
        <f>IF($D8435 &gt; 16, 0, $J$3*(16 - $D8435))</f>
        <v>2035.9366984668306</v>
      </c>
      <c r="F8435">
        <f>IF($D8435 &gt; 16, 0,$E8435*$J$5)</f>
        <v>22128595.975635983</v>
      </c>
      <c r="G8435">
        <f t="shared" si="131"/>
        <v>9.8000000000000007</v>
      </c>
    </row>
    <row r="8436" spans="2:7" x14ac:dyDescent="0.35">
      <c r="B8436" s="1">
        <v>46009</v>
      </c>
      <c r="C8436" s="2">
        <v>0.41666666666666669</v>
      </c>
      <c r="D8436">
        <v>7.5</v>
      </c>
      <c r="E8436">
        <f>IF($D8436 &gt; 16, 0, $J$3*(16 - $D8436))</f>
        <v>1765.8634629559244</v>
      </c>
      <c r="F8436">
        <f>IF($D8436 &gt; 16, 0,$E8436*$J$5)</f>
        <v>19193169.978867944</v>
      </c>
      <c r="G8436">
        <f t="shared" si="131"/>
        <v>8.5</v>
      </c>
    </row>
    <row r="8437" spans="2:7" x14ac:dyDescent="0.35">
      <c r="B8437" s="1">
        <v>46009</v>
      </c>
      <c r="C8437" s="2">
        <v>0.45833333333333331</v>
      </c>
      <c r="D8437">
        <v>9.1999999999999993</v>
      </c>
      <c r="E8437">
        <f>IF($D8437 &gt; 16, 0, $J$3*(16 - $D8437))</f>
        <v>1412.6907703647396</v>
      </c>
      <c r="F8437">
        <f>IF($D8437 &gt; 16, 0,$E8437*$J$5)</f>
        <v>15354535.983094355</v>
      </c>
      <c r="G8437">
        <f t="shared" si="131"/>
        <v>6.8000000000000007</v>
      </c>
    </row>
    <row r="8438" spans="2:7" x14ac:dyDescent="0.35">
      <c r="B8438" s="1">
        <v>46009</v>
      </c>
      <c r="C8438" s="2">
        <v>0.5</v>
      </c>
      <c r="D8438">
        <v>9.6</v>
      </c>
      <c r="E8438">
        <f>IF($D8438 &gt; 16, 0, $J$3*(16 - $D8438))</f>
        <v>1329.5913132844607</v>
      </c>
      <c r="F8438">
        <f>IF($D8438 &gt; 16, 0,$E8438*$J$5)</f>
        <v>14451327.984088805</v>
      </c>
      <c r="G8438">
        <f t="shared" si="131"/>
        <v>6.4</v>
      </c>
    </row>
    <row r="8439" spans="2:7" x14ac:dyDescent="0.35">
      <c r="B8439" s="1">
        <v>46009</v>
      </c>
      <c r="C8439" s="2">
        <v>0.54166666666666663</v>
      </c>
      <c r="D8439">
        <v>9.9</v>
      </c>
      <c r="E8439">
        <f>IF($D8439 &gt; 16, 0, $J$3*(16 - $D8439))</f>
        <v>1267.2667204742515</v>
      </c>
      <c r="F8439">
        <f>IF($D8439 &gt; 16, 0,$E8439*$J$5)</f>
        <v>13773921.984834639</v>
      </c>
      <c r="G8439">
        <f t="shared" si="131"/>
        <v>6.1</v>
      </c>
    </row>
    <row r="8440" spans="2:7" x14ac:dyDescent="0.35">
      <c r="B8440" s="1">
        <v>46009</v>
      </c>
      <c r="C8440" s="2">
        <v>0.58333333333333337</v>
      </c>
      <c r="D8440">
        <v>10</v>
      </c>
      <c r="E8440">
        <f>IF($D8440 &gt; 16, 0, $J$3*(16 - $D8440))</f>
        <v>1246.4918562041819</v>
      </c>
      <c r="F8440">
        <f>IF($D8440 &gt; 16, 0,$E8440*$J$5)</f>
        <v>13548119.985083252</v>
      </c>
      <c r="G8440">
        <f t="shared" si="131"/>
        <v>6</v>
      </c>
    </row>
    <row r="8441" spans="2:7" x14ac:dyDescent="0.35">
      <c r="B8441" s="1">
        <v>46009</v>
      </c>
      <c r="C8441" s="2">
        <v>0.625</v>
      </c>
      <c r="D8441">
        <v>10.199999999999999</v>
      </c>
      <c r="E8441">
        <f>IF($D8441 &gt; 16, 0, $J$3*(16 - $D8441))</f>
        <v>1204.9421276640428</v>
      </c>
      <c r="F8441">
        <f>IF($D8441 &gt; 16, 0,$E8441*$J$5)</f>
        <v>13096515.985580482</v>
      </c>
      <c r="G8441">
        <f t="shared" si="131"/>
        <v>5.8000000000000007</v>
      </c>
    </row>
    <row r="8442" spans="2:7" x14ac:dyDescent="0.35">
      <c r="B8442" s="1">
        <v>46009</v>
      </c>
      <c r="C8442" s="2">
        <v>0.66666666666666663</v>
      </c>
      <c r="D8442">
        <v>9.6999999999999993</v>
      </c>
      <c r="E8442">
        <f>IF($D8442 &gt; 16, 0, $J$3*(16 - $D8442))</f>
        <v>1308.8164490143911</v>
      </c>
      <c r="F8442">
        <f>IF($D8442 &gt; 16, 0,$E8442*$J$5)</f>
        <v>14225525.984337417</v>
      </c>
      <c r="G8442">
        <f t="shared" si="131"/>
        <v>6.3000000000000007</v>
      </c>
    </row>
    <row r="8443" spans="2:7" x14ac:dyDescent="0.35">
      <c r="B8443" s="1">
        <v>46009</v>
      </c>
      <c r="C8443" s="2">
        <v>0.70833333333333337</v>
      </c>
      <c r="D8443">
        <v>8.6</v>
      </c>
      <c r="E8443">
        <f>IF($D8443 &gt; 16, 0, $J$3*(16 - $D8443))</f>
        <v>1537.3399559851578</v>
      </c>
      <c r="F8443">
        <f>IF($D8443 &gt; 16, 0,$E8443*$J$5)</f>
        <v>16709347.98160268</v>
      </c>
      <c r="G8443">
        <f t="shared" si="131"/>
        <v>7.4</v>
      </c>
    </row>
    <row r="8444" spans="2:7" x14ac:dyDescent="0.35">
      <c r="B8444" s="1">
        <v>46009</v>
      </c>
      <c r="C8444" s="2">
        <v>0.75</v>
      </c>
      <c r="D8444">
        <v>8.5</v>
      </c>
      <c r="E8444">
        <f>IF($D8444 &gt; 16, 0, $J$3*(16 - $D8444))</f>
        <v>1558.1148202552274</v>
      </c>
      <c r="F8444">
        <f>IF($D8444 &gt; 16, 0,$E8444*$J$5)</f>
        <v>16935149.981354065</v>
      </c>
      <c r="G8444">
        <f t="shared" si="131"/>
        <v>7.5</v>
      </c>
    </row>
    <row r="8445" spans="2:7" x14ac:dyDescent="0.35">
      <c r="B8445" s="1">
        <v>46009</v>
      </c>
      <c r="C8445" s="2">
        <v>0.79166666666666663</v>
      </c>
      <c r="D8445">
        <v>8.1</v>
      </c>
      <c r="E8445">
        <f>IF($D8445 &gt; 16, 0, $J$3*(16 - $D8445))</f>
        <v>1641.2142773355063</v>
      </c>
      <c r="F8445">
        <f>IF($D8445 &gt; 16, 0,$E8445*$J$5)</f>
        <v>17838357.980359618</v>
      </c>
      <c r="G8445">
        <f t="shared" si="131"/>
        <v>7.9</v>
      </c>
    </row>
    <row r="8446" spans="2:7" x14ac:dyDescent="0.35">
      <c r="B8446" s="1">
        <v>46009</v>
      </c>
      <c r="C8446" s="2">
        <v>0.83333333333333337</v>
      </c>
      <c r="D8446">
        <v>7.6</v>
      </c>
      <c r="E8446">
        <f>IF($D8446 &gt; 16, 0, $J$3*(16 - $D8446))</f>
        <v>1745.0885986858548</v>
      </c>
      <c r="F8446">
        <f>IF($D8446 &gt; 16, 0,$E8446*$J$5)</f>
        <v>18967367.979116555</v>
      </c>
      <c r="G8446">
        <f t="shared" si="131"/>
        <v>8.4</v>
      </c>
    </row>
    <row r="8447" spans="2:7" x14ac:dyDescent="0.35">
      <c r="B8447" s="1">
        <v>46009</v>
      </c>
      <c r="C8447" s="2">
        <v>0.875</v>
      </c>
      <c r="D8447">
        <v>7.3</v>
      </c>
      <c r="E8447">
        <f>IF($D8447 &gt; 16, 0, $J$3*(16 - $D8447))</f>
        <v>1807.4131914960637</v>
      </c>
      <c r="F8447">
        <f>IF($D8447 &gt; 16, 0,$E8447*$J$5)</f>
        <v>19644773.978370719</v>
      </c>
      <c r="G8447">
        <f t="shared" si="131"/>
        <v>8.6999999999999993</v>
      </c>
    </row>
    <row r="8448" spans="2:7" x14ac:dyDescent="0.35">
      <c r="B8448" s="1">
        <v>46009</v>
      </c>
      <c r="C8448" s="2">
        <v>0.91666666666666663</v>
      </c>
      <c r="D8448">
        <v>7.3</v>
      </c>
      <c r="E8448">
        <f>IF($D8448 &gt; 16, 0, $J$3*(16 - $D8448))</f>
        <v>1807.4131914960637</v>
      </c>
      <c r="F8448">
        <f>IF($D8448 &gt; 16, 0,$E8448*$J$5)</f>
        <v>19644773.978370719</v>
      </c>
      <c r="G8448">
        <f t="shared" si="131"/>
        <v>8.6999999999999993</v>
      </c>
    </row>
    <row r="8449" spans="2:7" x14ac:dyDescent="0.35">
      <c r="B8449" s="1">
        <v>46009</v>
      </c>
      <c r="C8449" s="2">
        <v>0.95833333333333337</v>
      </c>
      <c r="D8449">
        <v>8.5</v>
      </c>
      <c r="E8449">
        <f>IF($D8449 &gt; 16, 0, $J$3*(16 - $D8449))</f>
        <v>1558.1148202552274</v>
      </c>
      <c r="F8449">
        <f>IF($D8449 &gt; 16, 0,$E8449*$J$5)</f>
        <v>16935149.981354065</v>
      </c>
      <c r="G8449">
        <f t="shared" si="131"/>
        <v>7.5</v>
      </c>
    </row>
    <row r="8450" spans="2:7" x14ac:dyDescent="0.35">
      <c r="B8450" s="1">
        <v>46010</v>
      </c>
      <c r="C8450" s="2">
        <v>0</v>
      </c>
      <c r="D8450">
        <v>8.9</v>
      </c>
      <c r="E8450">
        <f>IF($D8450 &gt; 16, 0, $J$3*(16 - $D8450))</f>
        <v>1475.0153631749486</v>
      </c>
      <c r="F8450">
        <f>IF($D8450 &gt; 16, 0,$E8450*$J$5)</f>
        <v>16031941.982348517</v>
      </c>
      <c r="G8450">
        <f t="shared" si="131"/>
        <v>7.1</v>
      </c>
    </row>
    <row r="8451" spans="2:7" x14ac:dyDescent="0.35">
      <c r="B8451" s="1">
        <v>46010</v>
      </c>
      <c r="C8451" s="2">
        <v>4.1666666666666657E-2</v>
      </c>
      <c r="D8451">
        <v>9.4</v>
      </c>
      <c r="E8451">
        <f>IF($D8451 &gt; 16, 0, $J$3*(16 - $D8451))</f>
        <v>1371.1410418246001</v>
      </c>
      <c r="F8451">
        <f>IF($D8451 &gt; 16, 0,$E8451*$J$5)</f>
        <v>14902931.983591577</v>
      </c>
      <c r="G8451">
        <f t="shared" ref="G8451:G8514" si="132">MAX(0, 16 - $D8451)</f>
        <v>6.6</v>
      </c>
    </row>
    <row r="8452" spans="2:7" x14ac:dyDescent="0.35">
      <c r="B8452" s="1">
        <v>46010</v>
      </c>
      <c r="C8452" s="2">
        <v>8.3333333333333329E-2</v>
      </c>
      <c r="D8452">
        <v>9.1999999999999993</v>
      </c>
      <c r="E8452">
        <f>IF($D8452 &gt; 16, 0, $J$3*(16 - $D8452))</f>
        <v>1412.6907703647396</v>
      </c>
      <c r="F8452">
        <f>IF($D8452 &gt; 16, 0,$E8452*$J$5)</f>
        <v>15354535.983094355</v>
      </c>
      <c r="G8452">
        <f t="shared" si="132"/>
        <v>6.8000000000000007</v>
      </c>
    </row>
    <row r="8453" spans="2:7" x14ac:dyDescent="0.35">
      <c r="B8453" s="1">
        <v>46010</v>
      </c>
      <c r="C8453" s="2">
        <v>0.125</v>
      </c>
      <c r="D8453">
        <v>9.5</v>
      </c>
      <c r="E8453">
        <f>IF($D8453 &gt; 16, 0, $J$3*(16 - $D8453))</f>
        <v>1350.3661775545304</v>
      </c>
      <c r="F8453">
        <f>IF($D8453 &gt; 16, 0,$E8453*$J$5)</f>
        <v>14677129.983840192</v>
      </c>
      <c r="G8453">
        <f t="shared" si="132"/>
        <v>6.5</v>
      </c>
    </row>
    <row r="8454" spans="2:7" x14ac:dyDescent="0.35">
      <c r="B8454" s="1">
        <v>46010</v>
      </c>
      <c r="C8454" s="2">
        <v>0.16666666666666671</v>
      </c>
      <c r="D8454">
        <v>10.6</v>
      </c>
      <c r="E8454">
        <f>IF($D8454 &gt; 16, 0, $J$3*(16 - $D8454))</f>
        <v>1121.8426705837637</v>
      </c>
      <c r="F8454">
        <f>IF($D8454 &gt; 16, 0,$E8454*$J$5)</f>
        <v>12193307.986574927</v>
      </c>
      <c r="G8454">
        <f t="shared" si="132"/>
        <v>5.4</v>
      </c>
    </row>
    <row r="8455" spans="2:7" x14ac:dyDescent="0.35">
      <c r="B8455" s="1">
        <v>46010</v>
      </c>
      <c r="C8455" s="2">
        <v>0.20833333333333329</v>
      </c>
      <c r="D8455">
        <v>11.2</v>
      </c>
      <c r="E8455">
        <f>IF($D8455 &gt; 16, 0, $J$3*(16 - $D8455))</f>
        <v>997.19348496334567</v>
      </c>
      <c r="F8455">
        <f>IF($D8455 &gt; 16, 0,$E8455*$J$5)</f>
        <v>10838495.988066604</v>
      </c>
      <c r="G8455">
        <f t="shared" si="132"/>
        <v>4.8000000000000007</v>
      </c>
    </row>
    <row r="8456" spans="2:7" x14ac:dyDescent="0.35">
      <c r="B8456" s="1">
        <v>46010</v>
      </c>
      <c r="C8456" s="2">
        <v>0.25</v>
      </c>
      <c r="D8456">
        <v>11.3</v>
      </c>
      <c r="E8456">
        <f>IF($D8456 &gt; 16, 0, $J$3*(16 - $D8456))</f>
        <v>976.41862069327567</v>
      </c>
      <c r="F8456">
        <f>IF($D8456 &gt; 16, 0,$E8456*$J$5)</f>
        <v>10612693.988315213</v>
      </c>
      <c r="G8456">
        <f t="shared" si="132"/>
        <v>4.6999999999999993</v>
      </c>
    </row>
    <row r="8457" spans="2:7" x14ac:dyDescent="0.35">
      <c r="B8457" s="1">
        <v>46010</v>
      </c>
      <c r="C8457" s="2">
        <v>0.29166666666666669</v>
      </c>
      <c r="D8457">
        <v>11.5</v>
      </c>
      <c r="E8457">
        <f>IF($D8457 &gt; 16, 0, $J$3*(16 - $D8457))</f>
        <v>934.86889215313647</v>
      </c>
      <c r="F8457">
        <f>IF($D8457 &gt; 16, 0,$E8457*$J$5)</f>
        <v>10161089.988812441</v>
      </c>
      <c r="G8457">
        <f t="shared" si="132"/>
        <v>4.5</v>
      </c>
    </row>
    <row r="8458" spans="2:7" x14ac:dyDescent="0.35">
      <c r="B8458" s="1">
        <v>46010</v>
      </c>
      <c r="C8458" s="2">
        <v>0.33333333333333331</v>
      </c>
      <c r="D8458">
        <v>11</v>
      </c>
      <c r="E8458">
        <f>IF($D8458 &gt; 16, 0, $J$3*(16 - $D8458))</f>
        <v>1038.7432135034849</v>
      </c>
      <c r="F8458">
        <f>IF($D8458 &gt; 16, 0,$E8458*$J$5)</f>
        <v>11290099.987569377</v>
      </c>
      <c r="G8458">
        <f t="shared" si="132"/>
        <v>5</v>
      </c>
    </row>
    <row r="8459" spans="2:7" x14ac:dyDescent="0.35">
      <c r="B8459" s="1">
        <v>46010</v>
      </c>
      <c r="C8459" s="2">
        <v>0.375</v>
      </c>
      <c r="D8459">
        <v>10</v>
      </c>
      <c r="E8459">
        <f>IF($D8459 &gt; 16, 0, $J$3*(16 - $D8459))</f>
        <v>1246.4918562041819</v>
      </c>
      <c r="F8459">
        <f>IF($D8459 &gt; 16, 0,$E8459*$J$5)</f>
        <v>13548119.985083252</v>
      </c>
      <c r="G8459">
        <f t="shared" si="132"/>
        <v>6</v>
      </c>
    </row>
    <row r="8460" spans="2:7" x14ac:dyDescent="0.35">
      <c r="B8460" s="1">
        <v>46010</v>
      </c>
      <c r="C8460" s="2">
        <v>0.41666666666666669</v>
      </c>
      <c r="D8460">
        <v>10.4</v>
      </c>
      <c r="E8460">
        <f>IF($D8460 &gt; 16, 0, $J$3*(16 - $D8460))</f>
        <v>1163.392399123903</v>
      </c>
      <c r="F8460">
        <f>IF($D8460 &gt; 16, 0,$E8460*$J$5)</f>
        <v>12644911.986077702</v>
      </c>
      <c r="G8460">
        <f t="shared" si="132"/>
        <v>5.6</v>
      </c>
    </row>
    <row r="8461" spans="2:7" x14ac:dyDescent="0.35">
      <c r="B8461" s="1">
        <v>46010</v>
      </c>
      <c r="C8461" s="2">
        <v>0.45833333333333331</v>
      </c>
      <c r="D8461">
        <v>11</v>
      </c>
      <c r="E8461">
        <f>IF($D8461 &gt; 16, 0, $J$3*(16 - $D8461))</f>
        <v>1038.7432135034849</v>
      </c>
      <c r="F8461">
        <f>IF($D8461 &gt; 16, 0,$E8461*$J$5)</f>
        <v>11290099.987569377</v>
      </c>
      <c r="G8461">
        <f t="shared" si="132"/>
        <v>5</v>
      </c>
    </row>
    <row r="8462" spans="2:7" x14ac:dyDescent="0.35">
      <c r="B8462" s="1">
        <v>46010</v>
      </c>
      <c r="C8462" s="2">
        <v>0.5</v>
      </c>
      <c r="D8462">
        <v>11.3</v>
      </c>
      <c r="E8462">
        <f>IF($D8462 &gt; 16, 0, $J$3*(16 - $D8462))</f>
        <v>976.41862069327567</v>
      </c>
      <c r="F8462">
        <f>IF($D8462 &gt; 16, 0,$E8462*$J$5)</f>
        <v>10612693.988315213</v>
      </c>
      <c r="G8462">
        <f t="shared" si="132"/>
        <v>4.6999999999999993</v>
      </c>
    </row>
    <row r="8463" spans="2:7" x14ac:dyDescent="0.35">
      <c r="B8463" s="1">
        <v>46010</v>
      </c>
      <c r="C8463" s="2">
        <v>0.54166666666666663</v>
      </c>
      <c r="D8463">
        <v>11.6</v>
      </c>
      <c r="E8463">
        <f>IF($D8463 &gt; 16, 0, $J$3*(16 - $D8463))</f>
        <v>914.09402788306681</v>
      </c>
      <c r="F8463">
        <f>IF($D8463 &gt; 16, 0,$E8463*$J$5)</f>
        <v>9935287.9890610538</v>
      </c>
      <c r="G8463">
        <f t="shared" si="132"/>
        <v>4.4000000000000004</v>
      </c>
    </row>
    <row r="8464" spans="2:7" x14ac:dyDescent="0.35">
      <c r="B8464" s="1">
        <v>46010</v>
      </c>
      <c r="C8464" s="2">
        <v>0.58333333333333337</v>
      </c>
      <c r="D8464">
        <v>11.4</v>
      </c>
      <c r="E8464">
        <f>IF($D8464 &gt; 16, 0, $J$3*(16 - $D8464))</f>
        <v>955.64375642320613</v>
      </c>
      <c r="F8464">
        <f>IF($D8464 &gt; 16, 0,$E8464*$J$5)</f>
        <v>10386891.988563828</v>
      </c>
      <c r="G8464">
        <f t="shared" si="132"/>
        <v>4.5999999999999996</v>
      </c>
    </row>
    <row r="8465" spans="2:7" x14ac:dyDescent="0.35">
      <c r="B8465" s="1">
        <v>46010</v>
      </c>
      <c r="C8465" s="2">
        <v>0.625</v>
      </c>
      <c r="D8465">
        <v>10.8</v>
      </c>
      <c r="E8465">
        <f>IF($D8465 &gt; 16, 0, $J$3*(16 - $D8465))</f>
        <v>1080.2929420436242</v>
      </c>
      <c r="F8465">
        <f>IF($D8465 &gt; 16, 0,$E8465*$J$5)</f>
        <v>11741703.987072151</v>
      </c>
      <c r="G8465">
        <f t="shared" si="132"/>
        <v>5.1999999999999993</v>
      </c>
    </row>
    <row r="8466" spans="2:7" x14ac:dyDescent="0.35">
      <c r="B8466" s="1">
        <v>46010</v>
      </c>
      <c r="C8466" s="2">
        <v>0.66666666666666663</v>
      </c>
      <c r="D8466">
        <v>10.3</v>
      </c>
      <c r="E8466">
        <f>IF($D8466 &gt; 16, 0, $J$3*(16 - $D8466))</f>
        <v>1184.1672633939727</v>
      </c>
      <c r="F8466">
        <f>IF($D8466 &gt; 16, 0,$E8466*$J$5)</f>
        <v>12870713.985829089</v>
      </c>
      <c r="G8466">
        <f t="shared" si="132"/>
        <v>5.6999999999999993</v>
      </c>
    </row>
    <row r="8467" spans="2:7" x14ac:dyDescent="0.35">
      <c r="B8467" s="1">
        <v>46010</v>
      </c>
      <c r="C8467" s="2">
        <v>0.70833333333333337</v>
      </c>
      <c r="D8467">
        <v>9.8000000000000007</v>
      </c>
      <c r="E8467">
        <f>IF($D8467 &gt; 16, 0, $J$3*(16 - $D8467))</f>
        <v>1288.0415847443212</v>
      </c>
      <c r="F8467">
        <f>IF($D8467 &gt; 16, 0,$E8467*$J$5)</f>
        <v>13999723.984586027</v>
      </c>
      <c r="G8467">
        <f t="shared" si="132"/>
        <v>6.1999999999999993</v>
      </c>
    </row>
    <row r="8468" spans="2:7" x14ac:dyDescent="0.35">
      <c r="B8468" s="1">
        <v>46010</v>
      </c>
      <c r="C8468" s="2">
        <v>0.75</v>
      </c>
      <c r="D8468">
        <v>9.3000000000000007</v>
      </c>
      <c r="E8468">
        <f>IF($D8468 &gt; 16, 0, $J$3*(16 - $D8468))</f>
        <v>1391.9159060946697</v>
      </c>
      <c r="F8468">
        <f>IF($D8468 &gt; 16, 0,$E8468*$J$5)</f>
        <v>15128733.983342964</v>
      </c>
      <c r="G8468">
        <f t="shared" si="132"/>
        <v>6.6999999999999993</v>
      </c>
    </row>
    <row r="8469" spans="2:7" x14ac:dyDescent="0.35">
      <c r="B8469" s="1">
        <v>46010</v>
      </c>
      <c r="C8469" s="2">
        <v>0.79166666666666663</v>
      </c>
      <c r="D8469">
        <v>9</v>
      </c>
      <c r="E8469">
        <f>IF($D8469 &gt; 16, 0, $J$3*(16 - $D8469))</f>
        <v>1454.2404989048789</v>
      </c>
      <c r="F8469">
        <f>IF($D8469 &gt; 16, 0,$E8469*$J$5)</f>
        <v>15806139.982597129</v>
      </c>
      <c r="G8469">
        <f t="shared" si="132"/>
        <v>7</v>
      </c>
    </row>
    <row r="8470" spans="2:7" x14ac:dyDescent="0.35">
      <c r="B8470" s="1">
        <v>46010</v>
      </c>
      <c r="C8470" s="2">
        <v>0.83333333333333337</v>
      </c>
      <c r="D8470">
        <v>8.1999999999999993</v>
      </c>
      <c r="E8470">
        <f>IF($D8470 &gt; 16, 0, $J$3*(16 - $D8470))</f>
        <v>1620.4394130654366</v>
      </c>
      <c r="F8470">
        <f>IF($D8470 &gt; 16, 0,$E8470*$J$5)</f>
        <v>17612555.980608232</v>
      </c>
      <c r="G8470">
        <f t="shared" si="132"/>
        <v>7.8000000000000007</v>
      </c>
    </row>
    <row r="8471" spans="2:7" x14ac:dyDescent="0.35">
      <c r="B8471" s="1">
        <v>46010</v>
      </c>
      <c r="C8471" s="2">
        <v>0.875</v>
      </c>
      <c r="D8471">
        <v>6.9</v>
      </c>
      <c r="E8471">
        <f>IF($D8471 &gt; 16, 0, $J$3*(16 - $D8471))</f>
        <v>1890.5126485763426</v>
      </c>
      <c r="F8471">
        <f>IF($D8471 &gt; 16, 0,$E8471*$J$5)</f>
        <v>20547981.977376267</v>
      </c>
      <c r="G8471">
        <f t="shared" si="132"/>
        <v>9.1</v>
      </c>
    </row>
    <row r="8472" spans="2:7" x14ac:dyDescent="0.35">
      <c r="B8472" s="1">
        <v>46010</v>
      </c>
      <c r="C8472" s="2">
        <v>0.91666666666666663</v>
      </c>
      <c r="D8472">
        <v>5.5</v>
      </c>
      <c r="E8472">
        <f>IF($D8472 &gt; 16, 0, $J$3*(16 - $D8472))</f>
        <v>2181.3607483573182</v>
      </c>
      <c r="F8472">
        <f>IF($D8472 &gt; 16, 0,$E8472*$J$5)</f>
        <v>23709209.973895691</v>
      </c>
      <c r="G8472">
        <f t="shared" si="132"/>
        <v>10.5</v>
      </c>
    </row>
    <row r="8473" spans="2:7" x14ac:dyDescent="0.35">
      <c r="B8473" s="1">
        <v>46010</v>
      </c>
      <c r="C8473" s="2">
        <v>0.95833333333333337</v>
      </c>
      <c r="D8473">
        <v>4.7</v>
      </c>
      <c r="E8473">
        <f>IF($D8473 &gt; 16, 0, $J$3*(16 - $D8473))</f>
        <v>2347.5596625178759</v>
      </c>
      <c r="F8473">
        <f>IF($D8473 &gt; 16, 0,$E8473*$J$5)</f>
        <v>25515625.971906792</v>
      </c>
      <c r="G8473">
        <f t="shared" si="132"/>
        <v>11.3</v>
      </c>
    </row>
    <row r="8474" spans="2:7" x14ac:dyDescent="0.35">
      <c r="B8474" s="1">
        <v>46011</v>
      </c>
      <c r="C8474" s="2">
        <v>0</v>
      </c>
      <c r="D8474">
        <v>5.3</v>
      </c>
      <c r="E8474">
        <f>IF($D8474 &gt; 16, 0, $J$3*(16 - $D8474))</f>
        <v>2222.9104768974576</v>
      </c>
      <c r="F8474">
        <f>IF($D8474 &gt; 16, 0,$E8474*$J$5)</f>
        <v>24160813.973398466</v>
      </c>
      <c r="G8474">
        <f t="shared" si="132"/>
        <v>10.7</v>
      </c>
    </row>
    <row r="8475" spans="2:7" x14ac:dyDescent="0.35">
      <c r="B8475" s="1">
        <v>46011</v>
      </c>
      <c r="C8475" s="2">
        <v>4.1666666666666657E-2</v>
      </c>
      <c r="D8475">
        <v>5</v>
      </c>
      <c r="E8475">
        <f>IF($D8475 &gt; 16, 0, $J$3*(16 - $D8475))</f>
        <v>2285.2350697076668</v>
      </c>
      <c r="F8475">
        <f>IF($D8475 &gt; 16, 0,$E8475*$J$5)</f>
        <v>24838219.972652629</v>
      </c>
      <c r="G8475">
        <f t="shared" si="132"/>
        <v>11</v>
      </c>
    </row>
    <row r="8476" spans="2:7" x14ac:dyDescent="0.35">
      <c r="B8476" s="1">
        <v>46011</v>
      </c>
      <c r="C8476" s="2">
        <v>8.3333333333333329E-2</v>
      </c>
      <c r="D8476">
        <v>5.4</v>
      </c>
      <c r="E8476">
        <f>IF($D8476 &gt; 16, 0, $J$3*(16 - $D8476))</f>
        <v>2202.1356126273881</v>
      </c>
      <c r="F8476">
        <f>IF($D8476 &gt; 16, 0,$E8476*$J$5)</f>
        <v>23935011.97364708</v>
      </c>
      <c r="G8476">
        <f t="shared" si="132"/>
        <v>10.6</v>
      </c>
    </row>
    <row r="8477" spans="2:7" x14ac:dyDescent="0.35">
      <c r="B8477" s="1">
        <v>46011</v>
      </c>
      <c r="C8477" s="2">
        <v>0.125</v>
      </c>
      <c r="D8477">
        <v>4.2</v>
      </c>
      <c r="E8477">
        <f>IF($D8477 &gt; 16, 0, $J$3*(16 - $D8477))</f>
        <v>2451.4339838682245</v>
      </c>
      <c r="F8477">
        <f>IF($D8477 &gt; 16, 0,$E8477*$J$5)</f>
        <v>26644635.97066373</v>
      </c>
      <c r="G8477">
        <f t="shared" si="132"/>
        <v>11.8</v>
      </c>
    </row>
    <row r="8478" spans="2:7" x14ac:dyDescent="0.35">
      <c r="B8478" s="1">
        <v>46011</v>
      </c>
      <c r="C8478" s="2">
        <v>0.16666666666666671</v>
      </c>
      <c r="D8478">
        <v>4.3</v>
      </c>
      <c r="E8478">
        <f>IF($D8478 &gt; 16, 0, $J$3*(16 - $D8478))</f>
        <v>2430.6591195981546</v>
      </c>
      <c r="F8478">
        <f>IF($D8478 &gt; 16, 0,$E8478*$J$5)</f>
        <v>26418833.970912341</v>
      </c>
      <c r="G8478">
        <f t="shared" si="132"/>
        <v>11.7</v>
      </c>
    </row>
    <row r="8479" spans="2:7" x14ac:dyDescent="0.35">
      <c r="B8479" s="1">
        <v>46011</v>
      </c>
      <c r="C8479" s="2">
        <v>0.20833333333333329</v>
      </c>
      <c r="D8479">
        <v>3.6</v>
      </c>
      <c r="E8479">
        <f>IF($D8479 &gt; 16, 0, $J$3*(16 - $D8479))</f>
        <v>2576.0831694886429</v>
      </c>
      <c r="F8479">
        <f>IF($D8479 &gt; 16, 0,$E8479*$J$5)</f>
        <v>27999447.96917206</v>
      </c>
      <c r="G8479">
        <f t="shared" si="132"/>
        <v>12.4</v>
      </c>
    </row>
    <row r="8480" spans="2:7" x14ac:dyDescent="0.35">
      <c r="B8480" s="1">
        <v>46011</v>
      </c>
      <c r="C8480" s="2">
        <v>0.25</v>
      </c>
      <c r="D8480">
        <v>3.4</v>
      </c>
      <c r="E8480">
        <f>IF($D8480 &gt; 16, 0, $J$3*(16 - $D8480))</f>
        <v>2617.6328980287822</v>
      </c>
      <c r="F8480">
        <f>IF($D8480 &gt; 16, 0,$E8480*$J$5)</f>
        <v>28451051.968674835</v>
      </c>
      <c r="G8480">
        <f t="shared" si="132"/>
        <v>12.6</v>
      </c>
    </row>
    <row r="8481" spans="2:7" x14ac:dyDescent="0.35">
      <c r="B8481" s="1">
        <v>46011</v>
      </c>
      <c r="C8481" s="2">
        <v>0.29166666666666669</v>
      </c>
      <c r="D8481">
        <v>2.5</v>
      </c>
      <c r="E8481">
        <f>IF($D8481 &gt; 16, 0, $J$3*(16 - $D8481))</f>
        <v>2804.6066764594093</v>
      </c>
      <c r="F8481">
        <f>IF($D8481 &gt; 16, 0,$E8481*$J$5)</f>
        <v>30483269.966437321</v>
      </c>
      <c r="G8481">
        <f t="shared" si="132"/>
        <v>13.5</v>
      </c>
    </row>
    <row r="8482" spans="2:7" x14ac:dyDescent="0.35">
      <c r="B8482" s="1">
        <v>46011</v>
      </c>
      <c r="C8482" s="2">
        <v>0.33333333333333331</v>
      </c>
      <c r="D8482">
        <v>2.4</v>
      </c>
      <c r="E8482">
        <f>IF($D8482 &gt; 16, 0, $J$3*(16 - $D8482))</f>
        <v>2825.3815407294792</v>
      </c>
      <c r="F8482">
        <f>IF($D8482 &gt; 16, 0,$E8482*$J$5)</f>
        <v>30709071.96618871</v>
      </c>
      <c r="G8482">
        <f t="shared" si="132"/>
        <v>13.6</v>
      </c>
    </row>
    <row r="8483" spans="2:7" x14ac:dyDescent="0.35">
      <c r="B8483" s="1">
        <v>46011</v>
      </c>
      <c r="C8483" s="2">
        <v>0.375</v>
      </c>
      <c r="D8483">
        <v>2.5</v>
      </c>
      <c r="E8483">
        <f>IF($D8483 &gt; 16, 0, $J$3*(16 - $D8483))</f>
        <v>2804.6066764594093</v>
      </c>
      <c r="F8483">
        <f>IF($D8483 &gt; 16, 0,$E8483*$J$5)</f>
        <v>30483269.966437321</v>
      </c>
      <c r="G8483">
        <f t="shared" si="132"/>
        <v>13.5</v>
      </c>
    </row>
    <row r="8484" spans="2:7" x14ac:dyDescent="0.35">
      <c r="B8484" s="1">
        <v>46011</v>
      </c>
      <c r="C8484" s="2">
        <v>0.41666666666666669</v>
      </c>
      <c r="D8484">
        <v>3.1</v>
      </c>
      <c r="E8484">
        <f>IF($D8484 &gt; 16, 0, $J$3*(16 - $D8484))</f>
        <v>2679.9574908389914</v>
      </c>
      <c r="F8484">
        <f>IF($D8484 &gt; 16, 0,$E8484*$J$5)</f>
        <v>29128457.967928998</v>
      </c>
      <c r="G8484">
        <f t="shared" si="132"/>
        <v>12.9</v>
      </c>
    </row>
    <row r="8485" spans="2:7" x14ac:dyDescent="0.35">
      <c r="B8485" s="1">
        <v>46011</v>
      </c>
      <c r="C8485" s="2">
        <v>0.45833333333333331</v>
      </c>
      <c r="D8485">
        <v>4</v>
      </c>
      <c r="E8485">
        <f>IF($D8485 &gt; 16, 0, $J$3*(16 - $D8485))</f>
        <v>2492.9837124083638</v>
      </c>
      <c r="F8485">
        <f>IF($D8485 &gt; 16, 0,$E8485*$J$5)</f>
        <v>27096239.970166504</v>
      </c>
      <c r="G8485">
        <f t="shared" si="132"/>
        <v>12</v>
      </c>
    </row>
    <row r="8486" spans="2:7" x14ac:dyDescent="0.35">
      <c r="B8486" s="1">
        <v>46011</v>
      </c>
      <c r="C8486" s="2">
        <v>0.5</v>
      </c>
      <c r="D8486">
        <v>4.4000000000000004</v>
      </c>
      <c r="E8486">
        <f>IF($D8486 &gt; 16, 0, $J$3*(16 - $D8486))</f>
        <v>2409.8842553280851</v>
      </c>
      <c r="F8486">
        <f>IF($D8486 &gt; 16, 0,$E8486*$J$5)</f>
        <v>26193031.971160956</v>
      </c>
      <c r="G8486">
        <f t="shared" si="132"/>
        <v>11.6</v>
      </c>
    </row>
    <row r="8487" spans="2:7" x14ac:dyDescent="0.35">
      <c r="B8487" s="1">
        <v>46011</v>
      </c>
      <c r="C8487" s="2">
        <v>0.54166666666666663</v>
      </c>
      <c r="D8487">
        <v>4.5</v>
      </c>
      <c r="E8487">
        <f>IF($D8487 &gt; 16, 0, $J$3*(16 - $D8487))</f>
        <v>2389.1093910580153</v>
      </c>
      <c r="F8487">
        <f>IF($D8487 &gt; 16, 0,$E8487*$J$5)</f>
        <v>25967229.971409567</v>
      </c>
      <c r="G8487">
        <f t="shared" si="132"/>
        <v>11.5</v>
      </c>
    </row>
    <row r="8488" spans="2:7" x14ac:dyDescent="0.35">
      <c r="B8488" s="1">
        <v>46011</v>
      </c>
      <c r="C8488" s="2">
        <v>0.58333333333333337</v>
      </c>
      <c r="D8488">
        <v>4.2</v>
      </c>
      <c r="E8488">
        <f>IF($D8488 &gt; 16, 0, $J$3*(16 - $D8488))</f>
        <v>2451.4339838682245</v>
      </c>
      <c r="F8488">
        <f>IF($D8488 &gt; 16, 0,$E8488*$J$5)</f>
        <v>26644635.97066373</v>
      </c>
      <c r="G8488">
        <f t="shared" si="132"/>
        <v>11.8</v>
      </c>
    </row>
    <row r="8489" spans="2:7" x14ac:dyDescent="0.35">
      <c r="B8489" s="1">
        <v>46011</v>
      </c>
      <c r="C8489" s="2">
        <v>0.625</v>
      </c>
      <c r="D8489">
        <v>3.7</v>
      </c>
      <c r="E8489">
        <f>IF($D8489 &gt; 16, 0, $J$3*(16 - $D8489))</f>
        <v>2555.308305218573</v>
      </c>
      <c r="F8489">
        <f>IF($D8489 &gt; 16, 0,$E8489*$J$5)</f>
        <v>27773645.969420668</v>
      </c>
      <c r="G8489">
        <f t="shared" si="132"/>
        <v>12.3</v>
      </c>
    </row>
    <row r="8490" spans="2:7" x14ac:dyDescent="0.35">
      <c r="B8490" s="1">
        <v>46011</v>
      </c>
      <c r="C8490" s="2">
        <v>0.66666666666666663</v>
      </c>
      <c r="D8490">
        <v>3.3</v>
      </c>
      <c r="E8490">
        <f>IF($D8490 &gt; 16, 0, $J$3*(16 - $D8490))</f>
        <v>2638.4077622988516</v>
      </c>
      <c r="F8490">
        <f>IF($D8490 &gt; 16, 0,$E8490*$J$5)</f>
        <v>28676853.968426216</v>
      </c>
      <c r="G8490">
        <f t="shared" si="132"/>
        <v>12.7</v>
      </c>
    </row>
    <row r="8491" spans="2:7" x14ac:dyDescent="0.35">
      <c r="B8491" s="1">
        <v>46011</v>
      </c>
      <c r="C8491" s="2">
        <v>0.70833333333333337</v>
      </c>
      <c r="D8491">
        <v>3.3</v>
      </c>
      <c r="E8491">
        <f>IF($D8491 &gt; 16, 0, $J$3*(16 - $D8491))</f>
        <v>2638.4077622988516</v>
      </c>
      <c r="F8491">
        <f>IF($D8491 &gt; 16, 0,$E8491*$J$5)</f>
        <v>28676853.968426216</v>
      </c>
      <c r="G8491">
        <f t="shared" si="132"/>
        <v>12.7</v>
      </c>
    </row>
    <row r="8492" spans="2:7" x14ac:dyDescent="0.35">
      <c r="B8492" s="1">
        <v>46011</v>
      </c>
      <c r="C8492" s="2">
        <v>0.75</v>
      </c>
      <c r="D8492">
        <v>3.3</v>
      </c>
      <c r="E8492">
        <f>IF($D8492 &gt; 16, 0, $J$3*(16 - $D8492))</f>
        <v>2638.4077622988516</v>
      </c>
      <c r="F8492">
        <f>IF($D8492 &gt; 16, 0,$E8492*$J$5)</f>
        <v>28676853.968426216</v>
      </c>
      <c r="G8492">
        <f t="shared" si="132"/>
        <v>12.7</v>
      </c>
    </row>
    <row r="8493" spans="2:7" x14ac:dyDescent="0.35">
      <c r="B8493" s="1">
        <v>46011</v>
      </c>
      <c r="C8493" s="2">
        <v>0.79166666666666663</v>
      </c>
      <c r="D8493">
        <v>3.5</v>
      </c>
      <c r="E8493">
        <f>IF($D8493 &gt; 16, 0, $J$3*(16 - $D8493))</f>
        <v>2596.8580337587123</v>
      </c>
      <c r="F8493">
        <f>IF($D8493 &gt; 16, 0,$E8493*$J$5)</f>
        <v>28225249.968923442</v>
      </c>
      <c r="G8493">
        <f t="shared" si="132"/>
        <v>12.5</v>
      </c>
    </row>
    <row r="8494" spans="2:7" x14ac:dyDescent="0.35">
      <c r="B8494" s="1">
        <v>46011</v>
      </c>
      <c r="C8494" s="2">
        <v>0.83333333333333337</v>
      </c>
      <c r="D8494">
        <v>3.4</v>
      </c>
      <c r="E8494">
        <f>IF($D8494 &gt; 16, 0, $J$3*(16 - $D8494))</f>
        <v>2617.6328980287822</v>
      </c>
      <c r="F8494">
        <f>IF($D8494 &gt; 16, 0,$E8494*$J$5)</f>
        <v>28451051.968674835</v>
      </c>
      <c r="G8494">
        <f t="shared" si="132"/>
        <v>12.6</v>
      </c>
    </row>
    <row r="8495" spans="2:7" x14ac:dyDescent="0.35">
      <c r="B8495" s="1">
        <v>46011</v>
      </c>
      <c r="C8495" s="2">
        <v>0.875</v>
      </c>
      <c r="D8495">
        <v>3.6</v>
      </c>
      <c r="E8495">
        <f>IF($D8495 &gt; 16, 0, $J$3*(16 - $D8495))</f>
        <v>2576.0831694886429</v>
      </c>
      <c r="F8495">
        <f>IF($D8495 &gt; 16, 0,$E8495*$J$5)</f>
        <v>27999447.96917206</v>
      </c>
      <c r="G8495">
        <f t="shared" si="132"/>
        <v>12.4</v>
      </c>
    </row>
    <row r="8496" spans="2:7" x14ac:dyDescent="0.35">
      <c r="B8496" s="1">
        <v>46011</v>
      </c>
      <c r="C8496" s="2">
        <v>0.91666666666666663</v>
      </c>
      <c r="D8496">
        <v>3.8</v>
      </c>
      <c r="E8496">
        <f>IF($D8496 &gt; 16, 0, $J$3*(16 - $D8496))</f>
        <v>2534.5334409485031</v>
      </c>
      <c r="F8496">
        <f>IF($D8496 &gt; 16, 0,$E8496*$J$5)</f>
        <v>27547843.969669279</v>
      </c>
      <c r="G8496">
        <f t="shared" si="132"/>
        <v>12.2</v>
      </c>
    </row>
    <row r="8497" spans="2:7" x14ac:dyDescent="0.35">
      <c r="B8497" s="1">
        <v>46011</v>
      </c>
      <c r="C8497" s="2">
        <v>0.95833333333333337</v>
      </c>
      <c r="D8497">
        <v>4.0999999999999996</v>
      </c>
      <c r="E8497">
        <f>IF($D8497 &gt; 16, 0, $J$3*(16 - $D8497))</f>
        <v>2472.2088481382943</v>
      </c>
      <c r="F8497">
        <f>IF($D8497 &gt; 16, 0,$E8497*$J$5)</f>
        <v>26870437.970415123</v>
      </c>
      <c r="G8497">
        <f t="shared" si="132"/>
        <v>11.9</v>
      </c>
    </row>
    <row r="8498" spans="2:7" x14ac:dyDescent="0.35">
      <c r="B8498" s="1">
        <v>46012</v>
      </c>
      <c r="C8498" s="2">
        <v>0</v>
      </c>
      <c r="D8498">
        <v>4.2</v>
      </c>
      <c r="E8498">
        <f>IF($D8498 &gt; 16, 0, $J$3*(16 - $D8498))</f>
        <v>2451.4339838682245</v>
      </c>
      <c r="F8498">
        <f>IF($D8498 &gt; 16, 0,$E8498*$J$5)</f>
        <v>26644635.97066373</v>
      </c>
      <c r="G8498">
        <f t="shared" si="132"/>
        <v>11.8</v>
      </c>
    </row>
    <row r="8499" spans="2:7" x14ac:dyDescent="0.35">
      <c r="B8499" s="1">
        <v>46012</v>
      </c>
      <c r="C8499" s="2">
        <v>4.1666666666666657E-2</v>
      </c>
      <c r="D8499">
        <v>4.4000000000000004</v>
      </c>
      <c r="E8499">
        <f>IF($D8499 &gt; 16, 0, $J$3*(16 - $D8499))</f>
        <v>2409.8842553280851</v>
      </c>
      <c r="F8499">
        <f>IF($D8499 &gt; 16, 0,$E8499*$J$5)</f>
        <v>26193031.971160956</v>
      </c>
      <c r="G8499">
        <f t="shared" si="132"/>
        <v>11.6</v>
      </c>
    </row>
    <row r="8500" spans="2:7" x14ac:dyDescent="0.35">
      <c r="B8500" s="1">
        <v>46012</v>
      </c>
      <c r="C8500" s="2">
        <v>8.3333333333333329E-2</v>
      </c>
      <c r="D8500">
        <v>4.7</v>
      </c>
      <c r="E8500">
        <f>IF($D8500 &gt; 16, 0, $J$3*(16 - $D8500))</f>
        <v>2347.5596625178759</v>
      </c>
      <c r="F8500">
        <f>IF($D8500 &gt; 16, 0,$E8500*$J$5)</f>
        <v>25515625.971906792</v>
      </c>
      <c r="G8500">
        <f t="shared" si="132"/>
        <v>11.3</v>
      </c>
    </row>
    <row r="8501" spans="2:7" x14ac:dyDescent="0.35">
      <c r="B8501" s="1">
        <v>46012</v>
      </c>
      <c r="C8501" s="2">
        <v>0.125</v>
      </c>
      <c r="D8501">
        <v>4.5999999999999996</v>
      </c>
      <c r="E8501">
        <f>IF($D8501 &gt; 16, 0, $J$3*(16 - $D8501))</f>
        <v>2368.3345267879458</v>
      </c>
      <c r="F8501">
        <f>IF($D8501 &gt; 16, 0,$E8501*$J$5)</f>
        <v>25741427.971658185</v>
      </c>
      <c r="G8501">
        <f t="shared" si="132"/>
        <v>11.4</v>
      </c>
    </row>
    <row r="8502" spans="2:7" x14ac:dyDescent="0.35">
      <c r="B8502" s="1">
        <v>46012</v>
      </c>
      <c r="C8502" s="2">
        <v>0.16666666666666671</v>
      </c>
      <c r="D8502">
        <v>4.7</v>
      </c>
      <c r="E8502">
        <f>IF($D8502 &gt; 16, 0, $J$3*(16 - $D8502))</f>
        <v>2347.5596625178759</v>
      </c>
      <c r="F8502">
        <f>IF($D8502 &gt; 16, 0,$E8502*$J$5)</f>
        <v>25515625.971906792</v>
      </c>
      <c r="G8502">
        <f t="shared" si="132"/>
        <v>11.3</v>
      </c>
    </row>
    <row r="8503" spans="2:7" x14ac:dyDescent="0.35">
      <c r="B8503" s="1">
        <v>46012</v>
      </c>
      <c r="C8503" s="2">
        <v>0.20833333333333329</v>
      </c>
      <c r="D8503">
        <v>4.8</v>
      </c>
      <c r="E8503">
        <f>IF($D8503 &gt; 16, 0, $J$3*(16 - $D8503))</f>
        <v>2326.7847982478061</v>
      </c>
      <c r="F8503">
        <f>IF($D8503 &gt; 16, 0,$E8503*$J$5)</f>
        <v>25289823.972155403</v>
      </c>
      <c r="G8503">
        <f t="shared" si="132"/>
        <v>11.2</v>
      </c>
    </row>
    <row r="8504" spans="2:7" x14ac:dyDescent="0.35">
      <c r="B8504" s="1">
        <v>46012</v>
      </c>
      <c r="C8504" s="2">
        <v>0.25</v>
      </c>
      <c r="D8504">
        <v>5</v>
      </c>
      <c r="E8504">
        <f>IF($D8504 &gt; 16, 0, $J$3*(16 - $D8504))</f>
        <v>2285.2350697076668</v>
      </c>
      <c r="F8504">
        <f>IF($D8504 &gt; 16, 0,$E8504*$J$5)</f>
        <v>24838219.972652629</v>
      </c>
      <c r="G8504">
        <f t="shared" si="132"/>
        <v>11</v>
      </c>
    </row>
    <row r="8505" spans="2:7" x14ac:dyDescent="0.35">
      <c r="B8505" s="1">
        <v>46012</v>
      </c>
      <c r="C8505" s="2">
        <v>0.29166666666666669</v>
      </c>
      <c r="D8505">
        <v>5.0999999999999996</v>
      </c>
      <c r="E8505">
        <f>IF($D8505 &gt; 16, 0, $J$3*(16 - $D8505))</f>
        <v>2264.4602054375973</v>
      </c>
      <c r="F8505">
        <f>IF($D8505 &gt; 16, 0,$E8505*$J$5)</f>
        <v>24612417.972901244</v>
      </c>
      <c r="G8505">
        <f t="shared" si="132"/>
        <v>10.9</v>
      </c>
    </row>
    <row r="8506" spans="2:7" x14ac:dyDescent="0.35">
      <c r="B8506" s="1">
        <v>46012</v>
      </c>
      <c r="C8506" s="2">
        <v>0.33333333333333331</v>
      </c>
      <c r="D8506">
        <v>5.3</v>
      </c>
      <c r="E8506">
        <f>IF($D8506 &gt; 16, 0, $J$3*(16 - $D8506))</f>
        <v>2222.9104768974576</v>
      </c>
      <c r="F8506">
        <f>IF($D8506 &gt; 16, 0,$E8506*$J$5)</f>
        <v>24160813.973398466</v>
      </c>
      <c r="G8506">
        <f t="shared" si="132"/>
        <v>10.7</v>
      </c>
    </row>
    <row r="8507" spans="2:7" x14ac:dyDescent="0.35">
      <c r="B8507" s="1">
        <v>46012</v>
      </c>
      <c r="C8507" s="2">
        <v>0.375</v>
      </c>
      <c r="D8507">
        <v>5.4</v>
      </c>
      <c r="E8507">
        <f>IF($D8507 &gt; 16, 0, $J$3*(16 - $D8507))</f>
        <v>2202.1356126273881</v>
      </c>
      <c r="F8507">
        <f>IF($D8507 &gt; 16, 0,$E8507*$J$5)</f>
        <v>23935011.97364708</v>
      </c>
      <c r="G8507">
        <f t="shared" si="132"/>
        <v>10.6</v>
      </c>
    </row>
    <row r="8508" spans="2:7" x14ac:dyDescent="0.35">
      <c r="B8508" s="1">
        <v>46012</v>
      </c>
      <c r="C8508" s="2">
        <v>0.41666666666666669</v>
      </c>
      <c r="D8508">
        <v>5.7</v>
      </c>
      <c r="E8508">
        <f>IF($D8508 &gt; 16, 0, $J$3*(16 - $D8508))</f>
        <v>2139.8110198171789</v>
      </c>
      <c r="F8508">
        <f>IF($D8508 &gt; 16, 0,$E8508*$J$5)</f>
        <v>23257605.974392917</v>
      </c>
      <c r="G8508">
        <f t="shared" si="132"/>
        <v>10.3</v>
      </c>
    </row>
    <row r="8509" spans="2:7" x14ac:dyDescent="0.35">
      <c r="B8509" s="1">
        <v>46012</v>
      </c>
      <c r="C8509" s="2">
        <v>0.45833333333333331</v>
      </c>
      <c r="D8509">
        <v>6.2</v>
      </c>
      <c r="E8509">
        <f>IF($D8509 &gt; 16, 0, $J$3*(16 - $D8509))</f>
        <v>2035.9366984668306</v>
      </c>
      <c r="F8509">
        <f>IF($D8509 &gt; 16, 0,$E8509*$J$5)</f>
        <v>22128595.975635983</v>
      </c>
      <c r="G8509">
        <f t="shared" si="132"/>
        <v>9.8000000000000007</v>
      </c>
    </row>
    <row r="8510" spans="2:7" x14ac:dyDescent="0.35">
      <c r="B8510" s="1">
        <v>46012</v>
      </c>
      <c r="C8510" s="2">
        <v>0.5</v>
      </c>
      <c r="D8510">
        <v>6.3</v>
      </c>
      <c r="E8510">
        <f>IF($D8510 &gt; 16, 0, $J$3*(16 - $D8510))</f>
        <v>2015.1618341967608</v>
      </c>
      <c r="F8510">
        <f>IF($D8510 &gt; 16, 0,$E8510*$J$5)</f>
        <v>21902793.975884594</v>
      </c>
      <c r="G8510">
        <f t="shared" si="132"/>
        <v>9.6999999999999993</v>
      </c>
    </row>
    <row r="8511" spans="2:7" x14ac:dyDescent="0.35">
      <c r="B8511" s="1">
        <v>46012</v>
      </c>
      <c r="C8511" s="2">
        <v>0.54166666666666663</v>
      </c>
      <c r="D8511">
        <v>6.5</v>
      </c>
      <c r="E8511">
        <f>IF($D8511 &gt; 16, 0, $J$3*(16 - $D8511))</f>
        <v>1973.6121056566215</v>
      </c>
      <c r="F8511">
        <f>IF($D8511 &gt; 16, 0,$E8511*$J$5)</f>
        <v>21451189.97638182</v>
      </c>
      <c r="G8511">
        <f t="shared" si="132"/>
        <v>9.5</v>
      </c>
    </row>
    <row r="8512" spans="2:7" x14ac:dyDescent="0.35">
      <c r="B8512" s="1">
        <v>46012</v>
      </c>
      <c r="C8512" s="2">
        <v>0.58333333333333337</v>
      </c>
      <c r="D8512">
        <v>6.5</v>
      </c>
      <c r="E8512">
        <f>IF($D8512 &gt; 16, 0, $J$3*(16 - $D8512))</f>
        <v>1973.6121056566215</v>
      </c>
      <c r="F8512">
        <f>IF($D8512 &gt; 16, 0,$E8512*$J$5)</f>
        <v>21451189.97638182</v>
      </c>
      <c r="G8512">
        <f t="shared" si="132"/>
        <v>9.5</v>
      </c>
    </row>
    <row r="8513" spans="2:7" x14ac:dyDescent="0.35">
      <c r="B8513" s="1">
        <v>46012</v>
      </c>
      <c r="C8513" s="2">
        <v>0.625</v>
      </c>
      <c r="D8513">
        <v>6.4</v>
      </c>
      <c r="E8513">
        <f>IF($D8513 &gt; 16, 0, $J$3*(16 - $D8513))</f>
        <v>1994.3869699266911</v>
      </c>
      <c r="F8513">
        <f>IF($D8513 &gt; 16, 0,$E8513*$J$5)</f>
        <v>21676991.976133205</v>
      </c>
      <c r="G8513">
        <f t="shared" si="132"/>
        <v>9.6</v>
      </c>
    </row>
    <row r="8514" spans="2:7" x14ac:dyDescent="0.35">
      <c r="B8514" s="1">
        <v>46012</v>
      </c>
      <c r="C8514" s="2">
        <v>0.66666666666666663</v>
      </c>
      <c r="D8514">
        <v>6.2</v>
      </c>
      <c r="E8514">
        <f>IF($D8514 &gt; 16, 0, $J$3*(16 - $D8514))</f>
        <v>2035.9366984668306</v>
      </c>
      <c r="F8514">
        <f>IF($D8514 &gt; 16, 0,$E8514*$J$5)</f>
        <v>22128595.975635983</v>
      </c>
      <c r="G8514">
        <f t="shared" si="132"/>
        <v>9.8000000000000007</v>
      </c>
    </row>
    <row r="8515" spans="2:7" x14ac:dyDescent="0.35">
      <c r="B8515" s="1">
        <v>46012</v>
      </c>
      <c r="C8515" s="2">
        <v>0.70833333333333337</v>
      </c>
      <c r="D8515">
        <v>5.9</v>
      </c>
      <c r="E8515">
        <f>IF($D8515 &gt; 16, 0, $J$3*(16 - $D8515))</f>
        <v>2098.2612912770396</v>
      </c>
      <c r="F8515">
        <f>IF($D8515 &gt; 16, 0,$E8515*$J$5)</f>
        <v>22806001.974890143</v>
      </c>
      <c r="G8515">
        <f t="shared" ref="G8515:G8578" si="133">MAX(0, 16 - $D8515)</f>
        <v>10.1</v>
      </c>
    </row>
    <row r="8516" spans="2:7" x14ac:dyDescent="0.35">
      <c r="B8516" s="1">
        <v>46012</v>
      </c>
      <c r="C8516" s="2">
        <v>0.75</v>
      </c>
      <c r="D8516">
        <v>5.5</v>
      </c>
      <c r="E8516">
        <f>IF($D8516 &gt; 16, 0, $J$3*(16 - $D8516))</f>
        <v>2181.3607483573182</v>
      </c>
      <c r="F8516">
        <f>IF($D8516 &gt; 16, 0,$E8516*$J$5)</f>
        <v>23709209.973895691</v>
      </c>
      <c r="G8516">
        <f t="shared" si="133"/>
        <v>10.5</v>
      </c>
    </row>
    <row r="8517" spans="2:7" x14ac:dyDescent="0.35">
      <c r="B8517" s="1">
        <v>46012</v>
      </c>
      <c r="C8517" s="2">
        <v>0.79166666666666663</v>
      </c>
      <c r="D8517">
        <v>5.3</v>
      </c>
      <c r="E8517">
        <f>IF($D8517 &gt; 16, 0, $J$3*(16 - $D8517))</f>
        <v>2222.9104768974576</v>
      </c>
      <c r="F8517">
        <f>IF($D8517 &gt; 16, 0,$E8517*$J$5)</f>
        <v>24160813.973398466</v>
      </c>
      <c r="G8517">
        <f t="shared" si="133"/>
        <v>10.7</v>
      </c>
    </row>
    <row r="8518" spans="2:7" x14ac:dyDescent="0.35">
      <c r="B8518" s="1">
        <v>46012</v>
      </c>
      <c r="C8518" s="2">
        <v>0.83333333333333337</v>
      </c>
      <c r="D8518">
        <v>5.2</v>
      </c>
      <c r="E8518">
        <f>IF($D8518 &gt; 16, 0, $J$3*(16 - $D8518))</f>
        <v>2243.6853411675274</v>
      </c>
      <c r="F8518">
        <f>IF($D8518 &gt; 16, 0,$E8518*$J$5)</f>
        <v>24386615.973149855</v>
      </c>
      <c r="G8518">
        <f t="shared" si="133"/>
        <v>10.8</v>
      </c>
    </row>
    <row r="8519" spans="2:7" x14ac:dyDescent="0.35">
      <c r="B8519" s="1">
        <v>46012</v>
      </c>
      <c r="C8519" s="2">
        <v>0.875</v>
      </c>
      <c r="D8519">
        <v>5.0999999999999996</v>
      </c>
      <c r="E8519">
        <f>IF($D8519 &gt; 16, 0, $J$3*(16 - $D8519))</f>
        <v>2264.4602054375973</v>
      </c>
      <c r="F8519">
        <f>IF($D8519 &gt; 16, 0,$E8519*$J$5)</f>
        <v>24612417.972901244</v>
      </c>
      <c r="G8519">
        <f t="shared" si="133"/>
        <v>10.9</v>
      </c>
    </row>
    <row r="8520" spans="2:7" x14ac:dyDescent="0.35">
      <c r="B8520" s="1">
        <v>46012</v>
      </c>
      <c r="C8520" s="2">
        <v>0.91666666666666663</v>
      </c>
      <c r="D8520">
        <v>5</v>
      </c>
      <c r="E8520">
        <f>IF($D8520 &gt; 16, 0, $J$3*(16 - $D8520))</f>
        <v>2285.2350697076668</v>
      </c>
      <c r="F8520">
        <f>IF($D8520 &gt; 16, 0,$E8520*$J$5)</f>
        <v>24838219.972652629</v>
      </c>
      <c r="G8520">
        <f t="shared" si="133"/>
        <v>11</v>
      </c>
    </row>
    <row r="8521" spans="2:7" x14ac:dyDescent="0.35">
      <c r="B8521" s="1">
        <v>46012</v>
      </c>
      <c r="C8521" s="2">
        <v>0.95833333333333337</v>
      </c>
      <c r="D8521">
        <v>4.7</v>
      </c>
      <c r="E8521">
        <f>IF($D8521 &gt; 16, 0, $J$3*(16 - $D8521))</f>
        <v>2347.5596625178759</v>
      </c>
      <c r="F8521">
        <f>IF($D8521 &gt; 16, 0,$E8521*$J$5)</f>
        <v>25515625.971906792</v>
      </c>
      <c r="G8521">
        <f t="shared" si="133"/>
        <v>11.3</v>
      </c>
    </row>
    <row r="8522" spans="2:7" x14ac:dyDescent="0.35">
      <c r="B8522" s="1">
        <v>46013</v>
      </c>
      <c r="C8522" s="2">
        <v>0</v>
      </c>
      <c r="D8522">
        <v>4.7</v>
      </c>
      <c r="E8522">
        <f>IF($D8522 &gt; 16, 0, $J$3*(16 - $D8522))</f>
        <v>2347.5596625178759</v>
      </c>
      <c r="F8522">
        <f>IF($D8522 &gt; 16, 0,$E8522*$J$5)</f>
        <v>25515625.971906792</v>
      </c>
      <c r="G8522">
        <f t="shared" si="133"/>
        <v>11.3</v>
      </c>
    </row>
    <row r="8523" spans="2:7" x14ac:dyDescent="0.35">
      <c r="B8523" s="1">
        <v>46013</v>
      </c>
      <c r="C8523" s="2">
        <v>4.1666666666666657E-2</v>
      </c>
      <c r="D8523">
        <v>4.7</v>
      </c>
      <c r="E8523">
        <f>IF($D8523 &gt; 16, 0, $J$3*(16 - $D8523))</f>
        <v>2347.5596625178759</v>
      </c>
      <c r="F8523">
        <f>IF($D8523 &gt; 16, 0,$E8523*$J$5)</f>
        <v>25515625.971906792</v>
      </c>
      <c r="G8523">
        <f t="shared" si="133"/>
        <v>11.3</v>
      </c>
    </row>
    <row r="8524" spans="2:7" x14ac:dyDescent="0.35">
      <c r="B8524" s="1">
        <v>46013</v>
      </c>
      <c r="C8524" s="2">
        <v>8.3333333333333329E-2</v>
      </c>
      <c r="D8524">
        <v>4.5999999999999996</v>
      </c>
      <c r="E8524">
        <f>IF($D8524 &gt; 16, 0, $J$3*(16 - $D8524))</f>
        <v>2368.3345267879458</v>
      </c>
      <c r="F8524">
        <f>IF($D8524 &gt; 16, 0,$E8524*$J$5)</f>
        <v>25741427.971658185</v>
      </c>
      <c r="G8524">
        <f t="shared" si="133"/>
        <v>11.4</v>
      </c>
    </row>
    <row r="8525" spans="2:7" x14ac:dyDescent="0.35">
      <c r="B8525" s="1">
        <v>46013</v>
      </c>
      <c r="C8525" s="2">
        <v>0.125</v>
      </c>
      <c r="D8525">
        <v>4.5</v>
      </c>
      <c r="E8525">
        <f>IF($D8525 &gt; 16, 0, $J$3*(16 - $D8525))</f>
        <v>2389.1093910580153</v>
      </c>
      <c r="F8525">
        <f>IF($D8525 &gt; 16, 0,$E8525*$J$5)</f>
        <v>25967229.971409567</v>
      </c>
      <c r="G8525">
        <f t="shared" si="133"/>
        <v>11.5</v>
      </c>
    </row>
    <row r="8526" spans="2:7" x14ac:dyDescent="0.35">
      <c r="B8526" s="1">
        <v>46013</v>
      </c>
      <c r="C8526" s="2">
        <v>0.16666666666666671</v>
      </c>
      <c r="D8526">
        <v>4.4000000000000004</v>
      </c>
      <c r="E8526">
        <f>IF($D8526 &gt; 16, 0, $J$3*(16 - $D8526))</f>
        <v>2409.8842553280851</v>
      </c>
      <c r="F8526">
        <f>IF($D8526 &gt; 16, 0,$E8526*$J$5)</f>
        <v>26193031.971160956</v>
      </c>
      <c r="G8526">
        <f t="shared" si="133"/>
        <v>11.6</v>
      </c>
    </row>
    <row r="8527" spans="2:7" x14ac:dyDescent="0.35">
      <c r="B8527" s="1">
        <v>46013</v>
      </c>
      <c r="C8527" s="2">
        <v>0.20833333333333329</v>
      </c>
      <c r="D8527">
        <v>4.2</v>
      </c>
      <c r="E8527">
        <f>IF($D8527 &gt; 16, 0, $J$3*(16 - $D8527))</f>
        <v>2451.4339838682245</v>
      </c>
      <c r="F8527">
        <f>IF($D8527 &gt; 16, 0,$E8527*$J$5)</f>
        <v>26644635.97066373</v>
      </c>
      <c r="G8527">
        <f t="shared" si="133"/>
        <v>11.8</v>
      </c>
    </row>
    <row r="8528" spans="2:7" x14ac:dyDescent="0.35">
      <c r="B8528" s="1">
        <v>46013</v>
      </c>
      <c r="C8528" s="2">
        <v>0.25</v>
      </c>
      <c r="D8528">
        <v>4.0999999999999996</v>
      </c>
      <c r="E8528">
        <f>IF($D8528 &gt; 16, 0, $J$3*(16 - $D8528))</f>
        <v>2472.2088481382943</v>
      </c>
      <c r="F8528">
        <f>IF($D8528 &gt; 16, 0,$E8528*$J$5)</f>
        <v>26870437.970415123</v>
      </c>
      <c r="G8528">
        <f t="shared" si="133"/>
        <v>11.9</v>
      </c>
    </row>
    <row r="8529" spans="2:7" x14ac:dyDescent="0.35">
      <c r="B8529" s="1">
        <v>46013</v>
      </c>
      <c r="C8529" s="2">
        <v>0.29166666666666669</v>
      </c>
      <c r="D8529">
        <v>4.0999999999999996</v>
      </c>
      <c r="E8529">
        <f>IF($D8529 &gt; 16, 0, $J$3*(16 - $D8529))</f>
        <v>2472.2088481382943</v>
      </c>
      <c r="F8529">
        <f>IF($D8529 &gt; 16, 0,$E8529*$J$5)</f>
        <v>26870437.970415123</v>
      </c>
      <c r="G8529">
        <f t="shared" si="133"/>
        <v>11.9</v>
      </c>
    </row>
    <row r="8530" spans="2:7" x14ac:dyDescent="0.35">
      <c r="B8530" s="1">
        <v>46013</v>
      </c>
      <c r="C8530" s="2">
        <v>0.33333333333333331</v>
      </c>
      <c r="D8530">
        <v>4.0999999999999996</v>
      </c>
      <c r="E8530">
        <f>IF($D8530 &gt; 16, 0, $J$3*(16 - $D8530))</f>
        <v>2472.2088481382943</v>
      </c>
      <c r="F8530">
        <f>IF($D8530 &gt; 16, 0,$E8530*$J$5)</f>
        <v>26870437.970415123</v>
      </c>
      <c r="G8530">
        <f t="shared" si="133"/>
        <v>11.9</v>
      </c>
    </row>
    <row r="8531" spans="2:7" x14ac:dyDescent="0.35">
      <c r="B8531" s="1">
        <v>46013</v>
      </c>
      <c r="C8531" s="2">
        <v>0.375</v>
      </c>
      <c r="D8531">
        <v>3.9</v>
      </c>
      <c r="E8531">
        <f>IF($D8531 &gt; 16, 0, $J$3*(16 - $D8531))</f>
        <v>2513.7585766784337</v>
      </c>
      <c r="F8531">
        <f>IF($D8531 &gt; 16, 0,$E8531*$J$5)</f>
        <v>27322041.969917897</v>
      </c>
      <c r="G8531">
        <f t="shared" si="133"/>
        <v>12.1</v>
      </c>
    </row>
    <row r="8532" spans="2:7" x14ac:dyDescent="0.35">
      <c r="B8532" s="1">
        <v>46013</v>
      </c>
      <c r="C8532" s="2">
        <v>0.41666666666666669</v>
      </c>
      <c r="D8532">
        <v>3.7</v>
      </c>
      <c r="E8532">
        <f>IF($D8532 &gt; 16, 0, $J$3*(16 - $D8532))</f>
        <v>2555.308305218573</v>
      </c>
      <c r="F8532">
        <f>IF($D8532 &gt; 16, 0,$E8532*$J$5)</f>
        <v>27773645.969420668</v>
      </c>
      <c r="G8532">
        <f t="shared" si="133"/>
        <v>12.3</v>
      </c>
    </row>
    <row r="8533" spans="2:7" x14ac:dyDescent="0.35">
      <c r="B8533" s="1">
        <v>46013</v>
      </c>
      <c r="C8533" s="2">
        <v>0.45833333333333331</v>
      </c>
      <c r="D8533">
        <v>3.6</v>
      </c>
      <c r="E8533">
        <f>IF($D8533 &gt; 16, 0, $J$3*(16 - $D8533))</f>
        <v>2576.0831694886429</v>
      </c>
      <c r="F8533">
        <f>IF($D8533 &gt; 16, 0,$E8533*$J$5)</f>
        <v>27999447.96917206</v>
      </c>
      <c r="G8533">
        <f t="shared" si="133"/>
        <v>12.4</v>
      </c>
    </row>
    <row r="8534" spans="2:7" x14ac:dyDescent="0.35">
      <c r="B8534" s="1">
        <v>46013</v>
      </c>
      <c r="C8534" s="2">
        <v>0.5</v>
      </c>
      <c r="D8534">
        <v>3.2</v>
      </c>
      <c r="E8534">
        <f>IF($D8534 &gt; 16, 0, $J$3*(16 - $D8534))</f>
        <v>2659.1826265689215</v>
      </c>
      <c r="F8534">
        <f>IF($D8534 &gt; 16, 0,$E8534*$J$5)</f>
        <v>28902655.968177609</v>
      </c>
      <c r="G8534">
        <f t="shared" si="133"/>
        <v>12.8</v>
      </c>
    </row>
    <row r="8535" spans="2:7" x14ac:dyDescent="0.35">
      <c r="B8535" s="1">
        <v>46013</v>
      </c>
      <c r="C8535" s="2">
        <v>0.54166666666666663</v>
      </c>
      <c r="D8535">
        <v>3.2</v>
      </c>
      <c r="E8535">
        <f>IF($D8535 &gt; 16, 0, $J$3*(16 - $D8535))</f>
        <v>2659.1826265689215</v>
      </c>
      <c r="F8535">
        <f>IF($D8535 &gt; 16, 0,$E8535*$J$5)</f>
        <v>28902655.968177609</v>
      </c>
      <c r="G8535">
        <f t="shared" si="133"/>
        <v>12.8</v>
      </c>
    </row>
    <row r="8536" spans="2:7" x14ac:dyDescent="0.35">
      <c r="B8536" s="1">
        <v>46013</v>
      </c>
      <c r="C8536" s="2">
        <v>0.58333333333333337</v>
      </c>
      <c r="D8536">
        <v>2.9</v>
      </c>
      <c r="E8536">
        <f>IF($D8536 &gt; 16, 0, $J$3*(16 - $D8536))</f>
        <v>2721.5072193791307</v>
      </c>
      <c r="F8536">
        <f>IF($D8536 &gt; 16, 0,$E8536*$J$5)</f>
        <v>29580061.967431773</v>
      </c>
      <c r="G8536">
        <f t="shared" si="133"/>
        <v>13.1</v>
      </c>
    </row>
    <row r="8537" spans="2:7" x14ac:dyDescent="0.35">
      <c r="B8537" s="1">
        <v>46013</v>
      </c>
      <c r="C8537" s="2">
        <v>0.625</v>
      </c>
      <c r="D8537">
        <v>2.8</v>
      </c>
      <c r="E8537">
        <f>IF($D8537 &gt; 16, 0, $J$3*(16 - $D8537))</f>
        <v>2742.2820836492001</v>
      </c>
      <c r="F8537">
        <f>IF($D8537 &gt; 16, 0,$E8537*$J$5)</f>
        <v>29805863.967183154</v>
      </c>
      <c r="G8537">
        <f t="shared" si="133"/>
        <v>13.2</v>
      </c>
    </row>
    <row r="8538" spans="2:7" x14ac:dyDescent="0.35">
      <c r="B8538" s="1">
        <v>46013</v>
      </c>
      <c r="C8538" s="2">
        <v>0.66666666666666663</v>
      </c>
      <c r="D8538">
        <v>2.8</v>
      </c>
      <c r="E8538">
        <f>IF($D8538 &gt; 16, 0, $J$3*(16 - $D8538))</f>
        <v>2742.2820836492001</v>
      </c>
      <c r="F8538">
        <f>IF($D8538 &gt; 16, 0,$E8538*$J$5)</f>
        <v>29805863.967183154</v>
      </c>
      <c r="G8538">
        <f t="shared" si="133"/>
        <v>13.2</v>
      </c>
    </row>
    <row r="8539" spans="2:7" x14ac:dyDescent="0.35">
      <c r="B8539" s="1">
        <v>46013</v>
      </c>
      <c r="C8539" s="2">
        <v>0.70833333333333337</v>
      </c>
      <c r="D8539">
        <v>2.5</v>
      </c>
      <c r="E8539">
        <f>IF($D8539 &gt; 16, 0, $J$3*(16 - $D8539))</f>
        <v>2804.6066764594093</v>
      </c>
      <c r="F8539">
        <f>IF($D8539 &gt; 16, 0,$E8539*$J$5)</f>
        <v>30483269.966437321</v>
      </c>
      <c r="G8539">
        <f t="shared" si="133"/>
        <v>13.5</v>
      </c>
    </row>
    <row r="8540" spans="2:7" x14ac:dyDescent="0.35">
      <c r="B8540" s="1">
        <v>46013</v>
      </c>
      <c r="C8540" s="2">
        <v>0.75</v>
      </c>
      <c r="D8540">
        <v>2</v>
      </c>
      <c r="E8540">
        <f>IF($D8540 &gt; 16, 0, $J$3*(16 - $D8540))</f>
        <v>2908.4809978097578</v>
      </c>
      <c r="F8540">
        <f>IF($D8540 &gt; 16, 0,$E8540*$J$5)</f>
        <v>31612279.965194259</v>
      </c>
      <c r="G8540">
        <f t="shared" si="133"/>
        <v>14</v>
      </c>
    </row>
    <row r="8541" spans="2:7" x14ac:dyDescent="0.35">
      <c r="B8541" s="1">
        <v>46013</v>
      </c>
      <c r="C8541" s="2">
        <v>0.79166666666666663</v>
      </c>
      <c r="D8541">
        <v>2.1</v>
      </c>
      <c r="E8541">
        <f>IF($D8541 &gt; 16, 0, $J$3*(16 - $D8541))</f>
        <v>2887.7061335396884</v>
      </c>
      <c r="F8541">
        <f>IF($D8541 &gt; 16, 0,$E8541*$J$5)</f>
        <v>31386477.965442874</v>
      </c>
      <c r="G8541">
        <f t="shared" si="133"/>
        <v>13.9</v>
      </c>
    </row>
    <row r="8542" spans="2:7" x14ac:dyDescent="0.35">
      <c r="B8542" s="1">
        <v>46013</v>
      </c>
      <c r="C8542" s="2">
        <v>0.83333333333333337</v>
      </c>
      <c r="D8542">
        <v>2</v>
      </c>
      <c r="E8542">
        <f>IF($D8542 &gt; 16, 0, $J$3*(16 - $D8542))</f>
        <v>2908.4809978097578</v>
      </c>
      <c r="F8542">
        <f>IF($D8542 &gt; 16, 0,$E8542*$J$5)</f>
        <v>31612279.965194259</v>
      </c>
      <c r="G8542">
        <f t="shared" si="133"/>
        <v>14</v>
      </c>
    </row>
    <row r="8543" spans="2:7" x14ac:dyDescent="0.35">
      <c r="B8543" s="1">
        <v>46013</v>
      </c>
      <c r="C8543" s="2">
        <v>0.875</v>
      </c>
      <c r="D8543">
        <v>1.9</v>
      </c>
      <c r="E8543">
        <f>IF($D8543 &gt; 16, 0, $J$3*(16 - $D8543))</f>
        <v>2929.2558620798277</v>
      </c>
      <c r="F8543">
        <f>IF($D8543 &gt; 16, 0,$E8543*$J$5)</f>
        <v>31838081.964945648</v>
      </c>
      <c r="G8543">
        <f t="shared" si="133"/>
        <v>14.1</v>
      </c>
    </row>
    <row r="8544" spans="2:7" x14ac:dyDescent="0.35">
      <c r="B8544" s="1">
        <v>46013</v>
      </c>
      <c r="C8544" s="2">
        <v>0.91666666666666663</v>
      </c>
      <c r="D8544">
        <v>1.6</v>
      </c>
      <c r="E8544">
        <f>IF($D8544 &gt; 16, 0, $J$3*(16 - $D8544))</f>
        <v>2991.5804548900369</v>
      </c>
      <c r="F8544">
        <f>IF($D8544 &gt; 16, 0,$E8544*$J$5)</f>
        <v>32515487.964199811</v>
      </c>
      <c r="G8544">
        <f t="shared" si="133"/>
        <v>14.4</v>
      </c>
    </row>
    <row r="8545" spans="2:7" x14ac:dyDescent="0.35">
      <c r="B8545" s="1">
        <v>46013</v>
      </c>
      <c r="C8545" s="2">
        <v>0.95833333333333337</v>
      </c>
      <c r="D8545">
        <v>1.7</v>
      </c>
      <c r="E8545">
        <f>IF($D8545 &gt; 16, 0, $J$3*(16 - $D8545))</f>
        <v>2970.805590619967</v>
      </c>
      <c r="F8545">
        <f>IF($D8545 &gt; 16, 0,$E8545*$J$5)</f>
        <v>32289685.964448422</v>
      </c>
      <c r="G8545">
        <f t="shared" si="133"/>
        <v>14.3</v>
      </c>
    </row>
    <row r="8546" spans="2:7" x14ac:dyDescent="0.35">
      <c r="B8546" s="1">
        <v>46014</v>
      </c>
      <c r="C8546" s="2">
        <v>0</v>
      </c>
      <c r="D8546">
        <v>1.5</v>
      </c>
      <c r="E8546">
        <f>IF($D8546 &gt; 16, 0, $J$3*(16 - $D8546))</f>
        <v>3012.3553191601063</v>
      </c>
      <c r="F8546">
        <f>IF($D8546 &gt; 16, 0,$E8546*$J$5)</f>
        <v>32741289.963951197</v>
      </c>
      <c r="G8546">
        <f t="shared" si="133"/>
        <v>14.5</v>
      </c>
    </row>
    <row r="8547" spans="2:7" x14ac:dyDescent="0.35">
      <c r="B8547" s="1">
        <v>46014</v>
      </c>
      <c r="C8547" s="2">
        <v>4.1666666666666657E-2</v>
      </c>
      <c r="D8547">
        <v>1.4</v>
      </c>
      <c r="E8547">
        <f>IF($D8547 &gt; 16, 0, $J$3*(16 - $D8547))</f>
        <v>3033.1301834301762</v>
      </c>
      <c r="F8547">
        <f>IF($D8547 &gt; 16, 0,$E8547*$J$5)</f>
        <v>32967091.963702586</v>
      </c>
      <c r="G8547">
        <f t="shared" si="133"/>
        <v>14.6</v>
      </c>
    </row>
    <row r="8548" spans="2:7" x14ac:dyDescent="0.35">
      <c r="B8548" s="1">
        <v>46014</v>
      </c>
      <c r="C8548" s="2">
        <v>8.3333333333333329E-2</v>
      </c>
      <c r="D8548">
        <v>1.4</v>
      </c>
      <c r="E8548">
        <f>IF($D8548 &gt; 16, 0, $J$3*(16 - $D8548))</f>
        <v>3033.1301834301762</v>
      </c>
      <c r="F8548">
        <f>IF($D8548 &gt; 16, 0,$E8548*$J$5)</f>
        <v>32967091.963702586</v>
      </c>
      <c r="G8548">
        <f t="shared" si="133"/>
        <v>14.6</v>
      </c>
    </row>
    <row r="8549" spans="2:7" x14ac:dyDescent="0.35">
      <c r="B8549" s="1">
        <v>46014</v>
      </c>
      <c r="C8549" s="2">
        <v>0.125</v>
      </c>
      <c r="D8549">
        <v>1.2</v>
      </c>
      <c r="E8549">
        <f>IF($D8549 &gt; 16, 0, $J$3*(16 - $D8549))</f>
        <v>3074.6799119703155</v>
      </c>
      <c r="F8549">
        <f>IF($D8549 &gt; 16, 0,$E8549*$J$5)</f>
        <v>33418695.96320536</v>
      </c>
      <c r="G8549">
        <f t="shared" si="133"/>
        <v>14.8</v>
      </c>
    </row>
    <row r="8550" spans="2:7" x14ac:dyDescent="0.35">
      <c r="B8550" s="1">
        <v>46014</v>
      </c>
      <c r="C8550" s="2">
        <v>0.16666666666666671</v>
      </c>
      <c r="D8550">
        <v>0.8</v>
      </c>
      <c r="E8550">
        <f>IF($D8550 &gt; 16, 0, $J$3*(16 - $D8550))</f>
        <v>3157.7793690505941</v>
      </c>
      <c r="F8550">
        <f>IF($D8550 &gt; 16, 0,$E8550*$J$5)</f>
        <v>34321903.962210909</v>
      </c>
      <c r="G8550">
        <f t="shared" si="133"/>
        <v>15.2</v>
      </c>
    </row>
    <row r="8551" spans="2:7" x14ac:dyDescent="0.35">
      <c r="B8551" s="1">
        <v>46014</v>
      </c>
      <c r="C8551" s="2">
        <v>0.20833333333333329</v>
      </c>
      <c r="D8551">
        <v>0.8</v>
      </c>
      <c r="E8551">
        <f>IF($D8551 &gt; 16, 0, $J$3*(16 - $D8551))</f>
        <v>3157.7793690505941</v>
      </c>
      <c r="F8551">
        <f>IF($D8551 &gt; 16, 0,$E8551*$J$5)</f>
        <v>34321903.962210909</v>
      </c>
      <c r="G8551">
        <f t="shared" si="133"/>
        <v>15.2</v>
      </c>
    </row>
    <row r="8552" spans="2:7" x14ac:dyDescent="0.35">
      <c r="B8552" s="1">
        <v>46014</v>
      </c>
      <c r="C8552" s="2">
        <v>0.25</v>
      </c>
      <c r="D8552">
        <v>0.9</v>
      </c>
      <c r="E8552">
        <f>IF($D8552 &gt; 16, 0, $J$3*(16 - $D8552))</f>
        <v>3137.0045047805243</v>
      </c>
      <c r="F8552">
        <f>IF($D8552 &gt; 16, 0,$E8552*$J$5)</f>
        <v>34096101.96245952</v>
      </c>
      <c r="G8552">
        <f t="shared" si="133"/>
        <v>15.1</v>
      </c>
    </row>
    <row r="8553" spans="2:7" x14ac:dyDescent="0.35">
      <c r="B8553" s="1">
        <v>46014</v>
      </c>
      <c r="C8553" s="2">
        <v>0.29166666666666669</v>
      </c>
      <c r="D8553">
        <v>1.1000000000000001</v>
      </c>
      <c r="E8553">
        <f>IF($D8553 &gt; 16, 0, $J$3*(16 - $D8553))</f>
        <v>3095.4547762403854</v>
      </c>
      <c r="F8553">
        <f>IF($D8553 &gt; 16, 0,$E8553*$J$5)</f>
        <v>33644497.962956749</v>
      </c>
      <c r="G8553">
        <f t="shared" si="133"/>
        <v>14.9</v>
      </c>
    </row>
    <row r="8554" spans="2:7" x14ac:dyDescent="0.35">
      <c r="B8554" s="1">
        <v>46014</v>
      </c>
      <c r="C8554" s="2">
        <v>0.33333333333333331</v>
      </c>
      <c r="D8554">
        <v>1.3</v>
      </c>
      <c r="E8554">
        <f>IF($D8554 &gt; 16, 0, $J$3*(16 - $D8554))</f>
        <v>3053.9050477002456</v>
      </c>
      <c r="F8554">
        <f>IF($D8554 &gt; 16, 0,$E8554*$J$5)</f>
        <v>33192893.963453971</v>
      </c>
      <c r="G8554">
        <f t="shared" si="133"/>
        <v>14.7</v>
      </c>
    </row>
    <row r="8555" spans="2:7" x14ac:dyDescent="0.35">
      <c r="B8555" s="1">
        <v>46014</v>
      </c>
      <c r="C8555" s="2">
        <v>0.375</v>
      </c>
      <c r="D8555">
        <v>1.7</v>
      </c>
      <c r="E8555">
        <f>IF($D8555 &gt; 16, 0, $J$3*(16 - $D8555))</f>
        <v>2970.805590619967</v>
      </c>
      <c r="F8555">
        <f>IF($D8555 &gt; 16, 0,$E8555*$J$5)</f>
        <v>32289685.964448422</v>
      </c>
      <c r="G8555">
        <f t="shared" si="133"/>
        <v>14.3</v>
      </c>
    </row>
    <row r="8556" spans="2:7" x14ac:dyDescent="0.35">
      <c r="B8556" s="1">
        <v>46014</v>
      </c>
      <c r="C8556" s="2">
        <v>0.41666666666666669</v>
      </c>
      <c r="D8556">
        <v>1.9</v>
      </c>
      <c r="E8556">
        <f>IF($D8556 &gt; 16, 0, $J$3*(16 - $D8556))</f>
        <v>2929.2558620798277</v>
      </c>
      <c r="F8556">
        <f>IF($D8556 &gt; 16, 0,$E8556*$J$5)</f>
        <v>31838081.964945648</v>
      </c>
      <c r="G8556">
        <f t="shared" si="133"/>
        <v>14.1</v>
      </c>
    </row>
    <row r="8557" spans="2:7" x14ac:dyDescent="0.35">
      <c r="B8557" s="1">
        <v>46014</v>
      </c>
      <c r="C8557" s="2">
        <v>0.45833333333333331</v>
      </c>
      <c r="D8557">
        <v>2.1</v>
      </c>
      <c r="E8557">
        <f>IF($D8557 &gt; 16, 0, $J$3*(16 - $D8557))</f>
        <v>2887.7061335396884</v>
      </c>
      <c r="F8557">
        <f>IF($D8557 &gt; 16, 0,$E8557*$J$5)</f>
        <v>31386477.965442874</v>
      </c>
      <c r="G8557">
        <f t="shared" si="133"/>
        <v>13.9</v>
      </c>
    </row>
    <row r="8558" spans="2:7" x14ac:dyDescent="0.35">
      <c r="B8558" s="1">
        <v>46014</v>
      </c>
      <c r="C8558" s="2">
        <v>0.5</v>
      </c>
      <c r="D8558">
        <v>2.5</v>
      </c>
      <c r="E8558">
        <f>IF($D8558 &gt; 16, 0, $J$3*(16 - $D8558))</f>
        <v>2804.6066764594093</v>
      </c>
      <c r="F8558">
        <f>IF($D8558 &gt; 16, 0,$E8558*$J$5)</f>
        <v>30483269.966437321</v>
      </c>
      <c r="G8558">
        <f t="shared" si="133"/>
        <v>13.5</v>
      </c>
    </row>
    <row r="8559" spans="2:7" x14ac:dyDescent="0.35">
      <c r="B8559" s="1">
        <v>46014</v>
      </c>
      <c r="C8559" s="2">
        <v>0.54166666666666663</v>
      </c>
      <c r="D8559">
        <v>2.5</v>
      </c>
      <c r="E8559">
        <f>IF($D8559 &gt; 16, 0, $J$3*(16 - $D8559))</f>
        <v>2804.6066764594093</v>
      </c>
      <c r="F8559">
        <f>IF($D8559 &gt; 16, 0,$E8559*$J$5)</f>
        <v>30483269.966437321</v>
      </c>
      <c r="G8559">
        <f t="shared" si="133"/>
        <v>13.5</v>
      </c>
    </row>
    <row r="8560" spans="2:7" x14ac:dyDescent="0.35">
      <c r="B8560" s="1">
        <v>46014</v>
      </c>
      <c r="C8560" s="2">
        <v>0.58333333333333337</v>
      </c>
      <c r="D8560">
        <v>3</v>
      </c>
      <c r="E8560">
        <f>IF($D8560 &gt; 16, 0, $J$3*(16 - $D8560))</f>
        <v>2700.7323551090608</v>
      </c>
      <c r="F8560">
        <f>IF($D8560 &gt; 16, 0,$E8560*$J$5)</f>
        <v>29354259.967680383</v>
      </c>
      <c r="G8560">
        <f t="shared" si="133"/>
        <v>13</v>
      </c>
    </row>
    <row r="8561" spans="2:7" x14ac:dyDescent="0.35">
      <c r="B8561" s="1">
        <v>46014</v>
      </c>
      <c r="C8561" s="2">
        <v>0.625</v>
      </c>
      <c r="D8561">
        <v>1.8</v>
      </c>
      <c r="E8561">
        <f>IF($D8561 &gt; 16, 0, $J$3*(16 - $D8561))</f>
        <v>2950.0307263498971</v>
      </c>
      <c r="F8561">
        <f>IF($D8561 &gt; 16, 0,$E8561*$J$5)</f>
        <v>32063883.964697033</v>
      </c>
      <c r="G8561">
        <f t="shared" si="133"/>
        <v>14.2</v>
      </c>
    </row>
    <row r="8562" spans="2:7" x14ac:dyDescent="0.35">
      <c r="B8562" s="1">
        <v>46014</v>
      </c>
      <c r="C8562" s="2">
        <v>0.66666666666666663</v>
      </c>
      <c r="D8562">
        <v>1.7</v>
      </c>
      <c r="E8562">
        <f>IF($D8562 &gt; 16, 0, $J$3*(16 - $D8562))</f>
        <v>2970.805590619967</v>
      </c>
      <c r="F8562">
        <f>IF($D8562 &gt; 16, 0,$E8562*$J$5)</f>
        <v>32289685.964448422</v>
      </c>
      <c r="G8562">
        <f t="shared" si="133"/>
        <v>14.3</v>
      </c>
    </row>
    <row r="8563" spans="2:7" x14ac:dyDescent="0.35">
      <c r="B8563" s="1">
        <v>46014</v>
      </c>
      <c r="C8563" s="2">
        <v>0.70833333333333337</v>
      </c>
      <c r="D8563">
        <v>1.7</v>
      </c>
      <c r="E8563">
        <f>IF($D8563 &gt; 16, 0, $J$3*(16 - $D8563))</f>
        <v>2970.805590619967</v>
      </c>
      <c r="F8563">
        <f>IF($D8563 &gt; 16, 0,$E8563*$J$5)</f>
        <v>32289685.964448422</v>
      </c>
      <c r="G8563">
        <f t="shared" si="133"/>
        <v>14.3</v>
      </c>
    </row>
    <row r="8564" spans="2:7" x14ac:dyDescent="0.35">
      <c r="B8564" s="1">
        <v>46014</v>
      </c>
      <c r="C8564" s="2">
        <v>0.75</v>
      </c>
      <c r="D8564">
        <v>2.1</v>
      </c>
      <c r="E8564">
        <f>IF($D8564 &gt; 16, 0, $J$3*(16 - $D8564))</f>
        <v>2887.7061335396884</v>
      </c>
      <c r="F8564">
        <f>IF($D8564 &gt; 16, 0,$E8564*$J$5)</f>
        <v>31386477.965442874</v>
      </c>
      <c r="G8564">
        <f t="shared" si="133"/>
        <v>13.9</v>
      </c>
    </row>
    <row r="8565" spans="2:7" x14ac:dyDescent="0.35">
      <c r="B8565" s="1">
        <v>46014</v>
      </c>
      <c r="C8565" s="2">
        <v>0.79166666666666663</v>
      </c>
      <c r="D8565">
        <v>1.2</v>
      </c>
      <c r="E8565">
        <f>IF($D8565 &gt; 16, 0, $J$3*(16 - $D8565))</f>
        <v>3074.6799119703155</v>
      </c>
      <c r="F8565">
        <f>IF($D8565 &gt; 16, 0,$E8565*$J$5)</f>
        <v>33418695.96320536</v>
      </c>
      <c r="G8565">
        <f t="shared" si="133"/>
        <v>14.8</v>
      </c>
    </row>
    <row r="8566" spans="2:7" x14ac:dyDescent="0.35">
      <c r="B8566" s="1">
        <v>46014</v>
      </c>
      <c r="C8566" s="2">
        <v>0.83333333333333337</v>
      </c>
      <c r="D8566">
        <v>0.9</v>
      </c>
      <c r="E8566">
        <f>IF($D8566 &gt; 16, 0, $J$3*(16 - $D8566))</f>
        <v>3137.0045047805243</v>
      </c>
      <c r="F8566">
        <f>IF($D8566 &gt; 16, 0,$E8566*$J$5)</f>
        <v>34096101.96245952</v>
      </c>
      <c r="G8566">
        <f t="shared" si="133"/>
        <v>15.1</v>
      </c>
    </row>
    <row r="8567" spans="2:7" x14ac:dyDescent="0.35">
      <c r="B8567" s="1">
        <v>46014</v>
      </c>
      <c r="C8567" s="2">
        <v>0.875</v>
      </c>
      <c r="D8567">
        <v>1</v>
      </c>
      <c r="E8567">
        <f>IF($D8567 &gt; 16, 0, $J$3*(16 - $D8567))</f>
        <v>3116.2296405104548</v>
      </c>
      <c r="F8567">
        <f>IF($D8567 &gt; 16, 0,$E8567*$J$5)</f>
        <v>33870299.96270813</v>
      </c>
      <c r="G8567">
        <f t="shared" si="133"/>
        <v>15</v>
      </c>
    </row>
    <row r="8568" spans="2:7" x14ac:dyDescent="0.35">
      <c r="B8568" s="1">
        <v>46014</v>
      </c>
      <c r="C8568" s="2">
        <v>0.91666666666666663</v>
      </c>
      <c r="D8568">
        <v>0.6</v>
      </c>
      <c r="E8568">
        <f>IF($D8568 &gt; 16, 0, $J$3*(16 - $D8568))</f>
        <v>3199.3290975907339</v>
      </c>
      <c r="F8568">
        <f>IF($D8568 &gt; 16, 0,$E8568*$J$5)</f>
        <v>34773507.961713687</v>
      </c>
      <c r="G8568">
        <f t="shared" si="133"/>
        <v>15.4</v>
      </c>
    </row>
    <row r="8569" spans="2:7" x14ac:dyDescent="0.35">
      <c r="B8569" s="1">
        <v>46014</v>
      </c>
      <c r="C8569" s="2">
        <v>0.95833333333333337</v>
      </c>
      <c r="D8569">
        <v>0.3</v>
      </c>
      <c r="E8569">
        <f>IF($D8569 &gt; 16, 0, $J$3*(16 - $D8569))</f>
        <v>3261.6536904009427</v>
      </c>
      <c r="F8569">
        <f>IF($D8569 &gt; 16, 0,$E8569*$J$5)</f>
        <v>35450913.960967846</v>
      </c>
      <c r="G8569">
        <f t="shared" si="133"/>
        <v>15.7</v>
      </c>
    </row>
    <row r="8570" spans="2:7" x14ac:dyDescent="0.35">
      <c r="B8570" s="1">
        <v>46015</v>
      </c>
      <c r="C8570" s="2">
        <v>0</v>
      </c>
      <c r="D8570">
        <v>0.7</v>
      </c>
      <c r="E8570">
        <f>IF($D8570 &gt; 16, 0, $J$3*(16 - $D8570))</f>
        <v>3178.554233320664</v>
      </c>
      <c r="F8570">
        <f>IF($D8570 &gt; 16, 0,$E8570*$J$5)</f>
        <v>34547705.961962298</v>
      </c>
      <c r="G8570">
        <f t="shared" si="133"/>
        <v>15.3</v>
      </c>
    </row>
    <row r="8571" spans="2:7" x14ac:dyDescent="0.35">
      <c r="B8571" s="1">
        <v>46015</v>
      </c>
      <c r="C8571" s="2">
        <v>4.1666666666666657E-2</v>
      </c>
      <c r="D8571">
        <v>0.9</v>
      </c>
      <c r="E8571">
        <f>IF($D8571 &gt; 16, 0, $J$3*(16 - $D8571))</f>
        <v>3137.0045047805243</v>
      </c>
      <c r="F8571">
        <f>IF($D8571 &gt; 16, 0,$E8571*$J$5)</f>
        <v>34096101.96245952</v>
      </c>
      <c r="G8571">
        <f t="shared" si="133"/>
        <v>15.1</v>
      </c>
    </row>
    <row r="8572" spans="2:7" x14ac:dyDescent="0.35">
      <c r="B8572" s="1">
        <v>46015</v>
      </c>
      <c r="C8572" s="2">
        <v>8.3333333333333329E-2</v>
      </c>
      <c r="D8572">
        <v>1</v>
      </c>
      <c r="E8572">
        <f>IF($D8572 &gt; 16, 0, $J$3*(16 - $D8572))</f>
        <v>3116.2296405104548</v>
      </c>
      <c r="F8572">
        <f>IF($D8572 &gt; 16, 0,$E8572*$J$5)</f>
        <v>33870299.96270813</v>
      </c>
      <c r="G8572">
        <f t="shared" si="133"/>
        <v>15</v>
      </c>
    </row>
    <row r="8573" spans="2:7" x14ac:dyDescent="0.35">
      <c r="B8573" s="1">
        <v>46015</v>
      </c>
      <c r="C8573" s="2">
        <v>0.125</v>
      </c>
      <c r="D8573">
        <v>1.1000000000000001</v>
      </c>
      <c r="E8573">
        <f>IF($D8573 &gt; 16, 0, $J$3*(16 - $D8573))</f>
        <v>3095.4547762403854</v>
      </c>
      <c r="F8573">
        <f>IF($D8573 &gt; 16, 0,$E8573*$J$5)</f>
        <v>33644497.962956749</v>
      </c>
      <c r="G8573">
        <f t="shared" si="133"/>
        <v>14.9</v>
      </c>
    </row>
    <row r="8574" spans="2:7" x14ac:dyDescent="0.35">
      <c r="B8574" s="1">
        <v>46015</v>
      </c>
      <c r="C8574" s="2">
        <v>0.16666666666666671</v>
      </c>
      <c r="D8574">
        <v>1.1000000000000001</v>
      </c>
      <c r="E8574">
        <f>IF($D8574 &gt; 16, 0, $J$3*(16 - $D8574))</f>
        <v>3095.4547762403854</v>
      </c>
      <c r="F8574">
        <f>IF($D8574 &gt; 16, 0,$E8574*$J$5)</f>
        <v>33644497.962956749</v>
      </c>
      <c r="G8574">
        <f t="shared" si="133"/>
        <v>14.9</v>
      </c>
    </row>
    <row r="8575" spans="2:7" x14ac:dyDescent="0.35">
      <c r="B8575" s="1">
        <v>46015</v>
      </c>
      <c r="C8575" s="2">
        <v>0.20833333333333329</v>
      </c>
      <c r="D8575">
        <v>0.5</v>
      </c>
      <c r="E8575">
        <f>IF($D8575 &gt; 16, 0, $J$3*(16 - $D8575))</f>
        <v>3220.1039618608033</v>
      </c>
      <c r="F8575">
        <f>IF($D8575 &gt; 16, 0,$E8575*$J$5)</f>
        <v>34999309.961465068</v>
      </c>
      <c r="G8575">
        <f t="shared" si="133"/>
        <v>15.5</v>
      </c>
    </row>
    <row r="8576" spans="2:7" x14ac:dyDescent="0.35">
      <c r="B8576" s="1">
        <v>46015</v>
      </c>
      <c r="C8576" s="2">
        <v>0.25</v>
      </c>
      <c r="D8576">
        <v>0.5</v>
      </c>
      <c r="E8576">
        <f>IF($D8576 &gt; 16, 0, $J$3*(16 - $D8576))</f>
        <v>3220.1039618608033</v>
      </c>
      <c r="F8576">
        <f>IF($D8576 &gt; 16, 0,$E8576*$J$5)</f>
        <v>34999309.961465068</v>
      </c>
      <c r="G8576">
        <f t="shared" si="133"/>
        <v>15.5</v>
      </c>
    </row>
    <row r="8577" spans="2:7" x14ac:dyDescent="0.35">
      <c r="B8577" s="1">
        <v>46015</v>
      </c>
      <c r="C8577" s="2">
        <v>0.29166666666666669</v>
      </c>
      <c r="D8577">
        <v>0.7</v>
      </c>
      <c r="E8577">
        <f>IF($D8577 &gt; 16, 0, $J$3*(16 - $D8577))</f>
        <v>3178.554233320664</v>
      </c>
      <c r="F8577">
        <f>IF($D8577 &gt; 16, 0,$E8577*$J$5)</f>
        <v>34547705.961962298</v>
      </c>
      <c r="G8577">
        <f t="shared" si="133"/>
        <v>15.3</v>
      </c>
    </row>
    <row r="8578" spans="2:7" x14ac:dyDescent="0.35">
      <c r="B8578" s="1">
        <v>46015</v>
      </c>
      <c r="C8578" s="2">
        <v>0.33333333333333331</v>
      </c>
      <c r="D8578">
        <v>0.2</v>
      </c>
      <c r="E8578">
        <f>IF($D8578 &gt; 16, 0, $J$3*(16 - $D8578))</f>
        <v>3282.4285546710125</v>
      </c>
      <c r="F8578">
        <f>IF($D8578 &gt; 16, 0,$E8578*$J$5)</f>
        <v>35676715.960719235</v>
      </c>
      <c r="G8578">
        <f t="shared" si="133"/>
        <v>15.8</v>
      </c>
    </row>
    <row r="8579" spans="2:7" x14ac:dyDescent="0.35">
      <c r="B8579" s="1">
        <v>46015</v>
      </c>
      <c r="C8579" s="2">
        <v>0.375</v>
      </c>
      <c r="D8579">
        <v>0.9</v>
      </c>
      <c r="E8579">
        <f>IF($D8579 &gt; 16, 0, $J$3*(16 - $D8579))</f>
        <v>3137.0045047805243</v>
      </c>
      <c r="F8579">
        <f>IF($D8579 &gt; 16, 0,$E8579*$J$5)</f>
        <v>34096101.96245952</v>
      </c>
      <c r="G8579">
        <f t="shared" ref="G8579:G8642" si="134">MAX(0, 16 - $D8579)</f>
        <v>15.1</v>
      </c>
    </row>
    <row r="8580" spans="2:7" x14ac:dyDescent="0.35">
      <c r="B8580" s="1">
        <v>46015</v>
      </c>
      <c r="C8580" s="2">
        <v>0.41666666666666669</v>
      </c>
      <c r="D8580">
        <v>1.7</v>
      </c>
      <c r="E8580">
        <f>IF($D8580 &gt; 16, 0, $J$3*(16 - $D8580))</f>
        <v>2970.805590619967</v>
      </c>
      <c r="F8580">
        <f>IF($D8580 &gt; 16, 0,$E8580*$J$5)</f>
        <v>32289685.964448422</v>
      </c>
      <c r="G8580">
        <f t="shared" si="134"/>
        <v>14.3</v>
      </c>
    </row>
    <row r="8581" spans="2:7" x14ac:dyDescent="0.35">
      <c r="B8581" s="1">
        <v>46015</v>
      </c>
      <c r="C8581" s="2">
        <v>0.45833333333333331</v>
      </c>
      <c r="D8581">
        <v>2.1</v>
      </c>
      <c r="E8581">
        <f>IF($D8581 &gt; 16, 0, $J$3*(16 - $D8581))</f>
        <v>2887.7061335396884</v>
      </c>
      <c r="F8581">
        <f>IF($D8581 &gt; 16, 0,$E8581*$J$5)</f>
        <v>31386477.965442874</v>
      </c>
      <c r="G8581">
        <f t="shared" si="134"/>
        <v>13.9</v>
      </c>
    </row>
    <row r="8582" spans="2:7" x14ac:dyDescent="0.35">
      <c r="B8582" s="1">
        <v>46015</v>
      </c>
      <c r="C8582" s="2">
        <v>0.5</v>
      </c>
      <c r="D8582">
        <v>2.6</v>
      </c>
      <c r="E8582">
        <f>IF($D8582 &gt; 16, 0, $J$3*(16 - $D8582))</f>
        <v>2783.8318121893399</v>
      </c>
      <c r="F8582">
        <f>IF($D8582 &gt; 16, 0,$E8582*$J$5)</f>
        <v>30257467.966685936</v>
      </c>
      <c r="G8582">
        <f t="shared" si="134"/>
        <v>13.4</v>
      </c>
    </row>
    <row r="8583" spans="2:7" x14ac:dyDescent="0.35">
      <c r="B8583" s="1">
        <v>46015</v>
      </c>
      <c r="C8583" s="2">
        <v>0.54166666666666663</v>
      </c>
      <c r="D8583">
        <v>2.5</v>
      </c>
      <c r="E8583">
        <f>IF($D8583 &gt; 16, 0, $J$3*(16 - $D8583))</f>
        <v>2804.6066764594093</v>
      </c>
      <c r="F8583">
        <f>IF($D8583 &gt; 16, 0,$E8583*$J$5)</f>
        <v>30483269.966437321</v>
      </c>
      <c r="G8583">
        <f t="shared" si="134"/>
        <v>13.5</v>
      </c>
    </row>
    <row r="8584" spans="2:7" x14ac:dyDescent="0.35">
      <c r="B8584" s="1">
        <v>46015</v>
      </c>
      <c r="C8584" s="2">
        <v>0.58333333333333337</v>
      </c>
      <c r="D8584">
        <v>1.7</v>
      </c>
      <c r="E8584">
        <f>IF($D8584 &gt; 16, 0, $J$3*(16 - $D8584))</f>
        <v>2970.805590619967</v>
      </c>
      <c r="F8584">
        <f>IF($D8584 &gt; 16, 0,$E8584*$J$5)</f>
        <v>32289685.964448422</v>
      </c>
      <c r="G8584">
        <f t="shared" si="134"/>
        <v>14.3</v>
      </c>
    </row>
    <row r="8585" spans="2:7" x14ac:dyDescent="0.35">
      <c r="B8585" s="1">
        <v>46015</v>
      </c>
      <c r="C8585" s="2">
        <v>0.625</v>
      </c>
      <c r="D8585">
        <v>0.8</v>
      </c>
      <c r="E8585">
        <f>IF($D8585 &gt; 16, 0, $J$3*(16 - $D8585))</f>
        <v>3157.7793690505941</v>
      </c>
      <c r="F8585">
        <f>IF($D8585 &gt; 16, 0,$E8585*$J$5)</f>
        <v>34321903.962210909</v>
      </c>
      <c r="G8585">
        <f t="shared" si="134"/>
        <v>15.2</v>
      </c>
    </row>
    <row r="8586" spans="2:7" x14ac:dyDescent="0.35">
      <c r="B8586" s="1">
        <v>46015</v>
      </c>
      <c r="C8586" s="2">
        <v>0.66666666666666663</v>
      </c>
      <c r="D8586">
        <v>-0.2</v>
      </c>
      <c r="E8586">
        <f>IF($D8586 &gt; 16, 0, $J$3*(16 - $D8586))</f>
        <v>3365.5280117512912</v>
      </c>
      <c r="F8586">
        <f>IF($D8586 &gt; 16, 0,$E8586*$J$5)</f>
        <v>36579923.959724784</v>
      </c>
      <c r="G8586">
        <f t="shared" si="134"/>
        <v>16.2</v>
      </c>
    </row>
    <row r="8587" spans="2:7" x14ac:dyDescent="0.35">
      <c r="B8587" s="1">
        <v>46015</v>
      </c>
      <c r="C8587" s="2">
        <v>0.70833333333333337</v>
      </c>
      <c r="D8587">
        <v>-0.6</v>
      </c>
      <c r="E8587">
        <f>IF($D8587 &gt; 16, 0, $J$3*(16 - $D8587))</f>
        <v>3448.6274688315702</v>
      </c>
      <c r="F8587">
        <f>IF($D8587 &gt; 16, 0,$E8587*$J$5)</f>
        <v>37483131.95873034</v>
      </c>
      <c r="G8587">
        <f t="shared" si="134"/>
        <v>16.600000000000001</v>
      </c>
    </row>
    <row r="8588" spans="2:7" x14ac:dyDescent="0.35">
      <c r="B8588" s="1">
        <v>46015</v>
      </c>
      <c r="C8588" s="2">
        <v>0.75</v>
      </c>
      <c r="D8588">
        <v>-1.2</v>
      </c>
      <c r="E8588">
        <f>IF($D8588 &gt; 16, 0, $J$3*(16 - $D8588))</f>
        <v>3573.2766544519882</v>
      </c>
      <c r="F8588">
        <f>IF($D8588 &gt; 16, 0,$E8588*$J$5)</f>
        <v>38837943.957238659</v>
      </c>
      <c r="G8588">
        <f t="shared" si="134"/>
        <v>17.2</v>
      </c>
    </row>
    <row r="8589" spans="2:7" x14ac:dyDescent="0.35">
      <c r="B8589" s="1">
        <v>46015</v>
      </c>
      <c r="C8589" s="2">
        <v>0.79166666666666663</v>
      </c>
      <c r="D8589">
        <v>-1.8</v>
      </c>
      <c r="E8589">
        <f>IF($D8589 &gt; 16, 0, $J$3*(16 - $D8589))</f>
        <v>3697.9258400724066</v>
      </c>
      <c r="F8589">
        <f>IF($D8589 &gt; 16, 0,$E8589*$J$5)</f>
        <v>40192755.955746986</v>
      </c>
      <c r="G8589">
        <f t="shared" si="134"/>
        <v>17.8</v>
      </c>
    </row>
    <row r="8590" spans="2:7" x14ac:dyDescent="0.35">
      <c r="B8590" s="1">
        <v>46015</v>
      </c>
      <c r="C8590" s="2">
        <v>0.83333333333333337</v>
      </c>
      <c r="D8590">
        <v>-2.2000000000000002</v>
      </c>
      <c r="E8590">
        <f>IF($D8590 &gt; 16, 0, $J$3*(16 - $D8590))</f>
        <v>3781.0252971526852</v>
      </c>
      <c r="F8590">
        <f>IF($D8590 &gt; 16, 0,$E8590*$J$5)</f>
        <v>41095963.954752535</v>
      </c>
      <c r="G8590">
        <f t="shared" si="134"/>
        <v>18.2</v>
      </c>
    </row>
    <row r="8591" spans="2:7" x14ac:dyDescent="0.35">
      <c r="B8591" s="1">
        <v>46015</v>
      </c>
      <c r="C8591" s="2">
        <v>0.875</v>
      </c>
      <c r="D8591">
        <v>-2.4</v>
      </c>
      <c r="E8591">
        <f>IF($D8591 &gt; 16, 0, $J$3*(16 - $D8591))</f>
        <v>3822.5750256928245</v>
      </c>
      <c r="F8591">
        <f>IF($D8591 &gt; 16, 0,$E8591*$J$5)</f>
        <v>41547567.954255313</v>
      </c>
      <c r="G8591">
        <f t="shared" si="134"/>
        <v>18.399999999999999</v>
      </c>
    </row>
    <row r="8592" spans="2:7" x14ac:dyDescent="0.35">
      <c r="B8592" s="1">
        <v>46015</v>
      </c>
      <c r="C8592" s="2">
        <v>0.91666666666666663</v>
      </c>
      <c r="D8592">
        <v>-2.4</v>
      </c>
      <c r="E8592">
        <f>IF($D8592 &gt; 16, 0, $J$3*(16 - $D8592))</f>
        <v>3822.5750256928245</v>
      </c>
      <c r="F8592">
        <f>IF($D8592 &gt; 16, 0,$E8592*$J$5)</f>
        <v>41547567.954255313</v>
      </c>
      <c r="G8592">
        <f t="shared" si="134"/>
        <v>18.399999999999999</v>
      </c>
    </row>
    <row r="8593" spans="2:7" x14ac:dyDescent="0.35">
      <c r="B8593" s="1">
        <v>46015</v>
      </c>
      <c r="C8593" s="2">
        <v>0.95833333333333337</v>
      </c>
      <c r="D8593">
        <v>-2.5</v>
      </c>
      <c r="E8593">
        <f>IF($D8593 &gt; 16, 0, $J$3*(16 - $D8593))</f>
        <v>3843.3498899628944</v>
      </c>
      <c r="F8593">
        <f>IF($D8593 &gt; 16, 0,$E8593*$J$5)</f>
        <v>41773369.954006702</v>
      </c>
      <c r="G8593">
        <f t="shared" si="134"/>
        <v>18.5</v>
      </c>
    </row>
    <row r="8594" spans="2:7" x14ac:dyDescent="0.35">
      <c r="B8594" s="1">
        <v>46016</v>
      </c>
      <c r="C8594" s="2">
        <v>0</v>
      </c>
      <c r="D8594">
        <v>-2.8</v>
      </c>
      <c r="E8594">
        <f>IF($D8594 &gt; 16, 0, $J$3*(16 - $D8594))</f>
        <v>3905.6744827731036</v>
      </c>
      <c r="F8594">
        <f>IF($D8594 &gt; 16, 0,$E8594*$J$5)</f>
        <v>42450775.953260861</v>
      </c>
      <c r="G8594">
        <f t="shared" si="134"/>
        <v>18.8</v>
      </c>
    </row>
    <row r="8595" spans="2:7" x14ac:dyDescent="0.35">
      <c r="B8595" s="1">
        <v>46016</v>
      </c>
      <c r="C8595" s="2">
        <v>4.1666666666666657E-2</v>
      </c>
      <c r="D8595">
        <v>-3.4</v>
      </c>
      <c r="E8595">
        <f>IF($D8595 &gt; 16, 0, $J$3*(16 - $D8595))</f>
        <v>4030.3236683935215</v>
      </c>
      <c r="F8595">
        <f>IF($D8595 &gt; 16, 0,$E8595*$J$5)</f>
        <v>43805587.951769188</v>
      </c>
      <c r="G8595">
        <f t="shared" si="134"/>
        <v>19.399999999999999</v>
      </c>
    </row>
    <row r="8596" spans="2:7" x14ac:dyDescent="0.35">
      <c r="B8596" s="1">
        <v>46016</v>
      </c>
      <c r="C8596" s="2">
        <v>8.3333333333333329E-2</v>
      </c>
      <c r="D8596">
        <v>-4.0999999999999996</v>
      </c>
      <c r="E8596">
        <f>IF($D8596 &gt; 16, 0, $J$3*(16 - $D8596))</f>
        <v>4175.7477182840094</v>
      </c>
      <c r="F8596">
        <f>IF($D8596 &gt; 16, 0,$E8596*$J$5)</f>
        <v>45386201.950028896</v>
      </c>
      <c r="G8596">
        <f t="shared" si="134"/>
        <v>20.100000000000001</v>
      </c>
    </row>
    <row r="8597" spans="2:7" x14ac:dyDescent="0.35">
      <c r="B8597" s="1">
        <v>46016</v>
      </c>
      <c r="C8597" s="2">
        <v>0.125</v>
      </c>
      <c r="D8597">
        <v>-4.7</v>
      </c>
      <c r="E8597">
        <f>IF($D8597 &gt; 16, 0, $J$3*(16 - $D8597))</f>
        <v>4300.3969039044277</v>
      </c>
      <c r="F8597">
        <f>IF($D8597 &gt; 16, 0,$E8597*$J$5)</f>
        <v>46741013.948537223</v>
      </c>
      <c r="G8597">
        <f t="shared" si="134"/>
        <v>20.7</v>
      </c>
    </row>
    <row r="8598" spans="2:7" x14ac:dyDescent="0.35">
      <c r="B8598" s="1">
        <v>46016</v>
      </c>
      <c r="C8598" s="2">
        <v>0.16666666666666671</v>
      </c>
      <c r="D8598">
        <v>-5.0999999999999996</v>
      </c>
      <c r="E8598">
        <f>IF($D8598 &gt; 16, 0, $J$3*(16 - $D8598))</f>
        <v>4383.4963609847064</v>
      </c>
      <c r="F8598">
        <f>IF($D8598 &gt; 16, 0,$E8598*$J$5)</f>
        <v>47644221.947542772</v>
      </c>
      <c r="G8598">
        <f t="shared" si="134"/>
        <v>21.1</v>
      </c>
    </row>
    <row r="8599" spans="2:7" x14ac:dyDescent="0.35">
      <c r="B8599" s="1">
        <v>46016</v>
      </c>
      <c r="C8599" s="2">
        <v>0.20833333333333329</v>
      </c>
      <c r="D8599">
        <v>-4.9000000000000004</v>
      </c>
      <c r="E8599">
        <f>IF($D8599 &gt; 16, 0, $J$3*(16 - $D8599))</f>
        <v>4341.9466324445666</v>
      </c>
      <c r="F8599">
        <f>IF($D8599 &gt; 16, 0,$E8599*$J$5)</f>
        <v>47192617.948039994</v>
      </c>
      <c r="G8599">
        <f t="shared" si="134"/>
        <v>20.9</v>
      </c>
    </row>
    <row r="8600" spans="2:7" x14ac:dyDescent="0.35">
      <c r="B8600" s="1">
        <v>46016</v>
      </c>
      <c r="C8600" s="2">
        <v>0.25</v>
      </c>
      <c r="D8600">
        <v>-5.2</v>
      </c>
      <c r="E8600">
        <f>IF($D8600 &gt; 16, 0, $J$3*(16 - $D8600))</f>
        <v>4404.2712252547763</v>
      </c>
      <c r="F8600">
        <f>IF($D8600 &gt; 16, 0,$E8600*$J$5)</f>
        <v>47870023.947294161</v>
      </c>
      <c r="G8600">
        <f t="shared" si="134"/>
        <v>21.2</v>
      </c>
    </row>
    <row r="8601" spans="2:7" x14ac:dyDescent="0.35">
      <c r="B8601" s="1">
        <v>46016</v>
      </c>
      <c r="C8601" s="2">
        <v>0.29166666666666669</v>
      </c>
      <c r="D8601">
        <v>-4.8</v>
      </c>
      <c r="E8601">
        <f>IF($D8601 &gt; 16, 0, $J$3*(16 - $D8601))</f>
        <v>4321.1717681744976</v>
      </c>
      <c r="F8601">
        <f>IF($D8601 &gt; 16, 0,$E8601*$J$5)</f>
        <v>46966815.948288612</v>
      </c>
      <c r="G8601">
        <f t="shared" si="134"/>
        <v>20.8</v>
      </c>
    </row>
    <row r="8602" spans="2:7" x14ac:dyDescent="0.35">
      <c r="B8602" s="1">
        <v>46016</v>
      </c>
      <c r="C8602" s="2">
        <v>0.33333333333333331</v>
      </c>
      <c r="D8602">
        <v>-5</v>
      </c>
      <c r="E8602">
        <f>IF($D8602 &gt; 16, 0, $J$3*(16 - $D8602))</f>
        <v>4362.7214967146365</v>
      </c>
      <c r="F8602">
        <f>IF($D8602 &gt; 16, 0,$E8602*$J$5)</f>
        <v>47418419.947791383</v>
      </c>
      <c r="G8602">
        <f t="shared" si="134"/>
        <v>21</v>
      </c>
    </row>
    <row r="8603" spans="2:7" x14ac:dyDescent="0.35">
      <c r="B8603" s="1">
        <v>46016</v>
      </c>
      <c r="C8603" s="2">
        <v>0.375</v>
      </c>
      <c r="D8603">
        <v>-4.4000000000000004</v>
      </c>
      <c r="E8603">
        <f>IF($D8603 &gt; 16, 0, $J$3*(16 - $D8603))</f>
        <v>4238.0723110942181</v>
      </c>
      <c r="F8603">
        <f>IF($D8603 &gt; 16, 0,$E8603*$J$5)</f>
        <v>46063607.949283056</v>
      </c>
      <c r="G8603">
        <f t="shared" si="134"/>
        <v>20.399999999999999</v>
      </c>
    </row>
    <row r="8604" spans="2:7" x14ac:dyDescent="0.35">
      <c r="B8604" s="1">
        <v>46016</v>
      </c>
      <c r="C8604" s="2">
        <v>0.41666666666666669</v>
      </c>
      <c r="D8604">
        <v>-3.4</v>
      </c>
      <c r="E8604">
        <f>IF($D8604 &gt; 16, 0, $J$3*(16 - $D8604))</f>
        <v>4030.3236683935215</v>
      </c>
      <c r="F8604">
        <f>IF($D8604 &gt; 16, 0,$E8604*$J$5)</f>
        <v>43805587.951769188</v>
      </c>
      <c r="G8604">
        <f t="shared" si="134"/>
        <v>19.399999999999999</v>
      </c>
    </row>
    <row r="8605" spans="2:7" x14ac:dyDescent="0.35">
      <c r="B8605" s="1">
        <v>46016</v>
      </c>
      <c r="C8605" s="2">
        <v>0.45833333333333331</v>
      </c>
      <c r="D8605">
        <v>-2.2000000000000002</v>
      </c>
      <c r="E8605">
        <f>IF($D8605 &gt; 16, 0, $J$3*(16 - $D8605))</f>
        <v>3781.0252971526852</v>
      </c>
      <c r="F8605">
        <f>IF($D8605 &gt; 16, 0,$E8605*$J$5)</f>
        <v>41095963.954752535</v>
      </c>
      <c r="G8605">
        <f t="shared" si="134"/>
        <v>18.2</v>
      </c>
    </row>
    <row r="8606" spans="2:7" x14ac:dyDescent="0.35">
      <c r="B8606" s="1">
        <v>46016</v>
      </c>
      <c r="C8606" s="2">
        <v>0.5</v>
      </c>
      <c r="D8606">
        <v>-1.7</v>
      </c>
      <c r="E8606">
        <f>IF($D8606 &gt; 16, 0, $J$3*(16 - $D8606))</f>
        <v>3677.1509758023367</v>
      </c>
      <c r="F8606">
        <f>IF($D8606 &gt; 16, 0,$E8606*$J$5)</f>
        <v>39966953.955995597</v>
      </c>
      <c r="G8606">
        <f t="shared" si="134"/>
        <v>17.7</v>
      </c>
    </row>
    <row r="8607" spans="2:7" x14ac:dyDescent="0.35">
      <c r="B8607" s="1">
        <v>46016</v>
      </c>
      <c r="C8607" s="2">
        <v>0.54166666666666663</v>
      </c>
      <c r="D8607">
        <v>-1.2</v>
      </c>
      <c r="E8607">
        <f>IF($D8607 &gt; 16, 0, $J$3*(16 - $D8607))</f>
        <v>3573.2766544519882</v>
      </c>
      <c r="F8607">
        <f>IF($D8607 &gt; 16, 0,$E8607*$J$5)</f>
        <v>38837943.957238659</v>
      </c>
      <c r="G8607">
        <f t="shared" si="134"/>
        <v>17.2</v>
      </c>
    </row>
    <row r="8608" spans="2:7" x14ac:dyDescent="0.35">
      <c r="B8608" s="1">
        <v>46016</v>
      </c>
      <c r="C8608" s="2">
        <v>0.58333333333333337</v>
      </c>
      <c r="D8608">
        <v>-1.2</v>
      </c>
      <c r="E8608">
        <f>IF($D8608 &gt; 16, 0, $J$3*(16 - $D8608))</f>
        <v>3573.2766544519882</v>
      </c>
      <c r="F8608">
        <f>IF($D8608 &gt; 16, 0,$E8608*$J$5)</f>
        <v>38837943.957238659</v>
      </c>
      <c r="G8608">
        <f t="shared" si="134"/>
        <v>17.2</v>
      </c>
    </row>
    <row r="8609" spans="2:7" x14ac:dyDescent="0.35">
      <c r="B8609" s="1">
        <v>46016</v>
      </c>
      <c r="C8609" s="2">
        <v>0.625</v>
      </c>
      <c r="D8609">
        <v>-2.2999999999999998</v>
      </c>
      <c r="E8609">
        <f>IF($D8609 &gt; 16, 0, $J$3*(16 - $D8609))</f>
        <v>3801.8001614227551</v>
      </c>
      <c r="F8609">
        <f>IF($D8609 &gt; 16, 0,$E8609*$J$5)</f>
        <v>41321765.954503924</v>
      </c>
      <c r="G8609">
        <f t="shared" si="134"/>
        <v>18.3</v>
      </c>
    </row>
    <row r="8610" spans="2:7" x14ac:dyDescent="0.35">
      <c r="B8610" s="1">
        <v>46016</v>
      </c>
      <c r="C8610" s="2">
        <v>0.66666666666666663</v>
      </c>
      <c r="D8610">
        <v>-3.4</v>
      </c>
      <c r="E8610">
        <f>IF($D8610 &gt; 16, 0, $J$3*(16 - $D8610))</f>
        <v>4030.3236683935215</v>
      </c>
      <c r="F8610">
        <f>IF($D8610 &gt; 16, 0,$E8610*$J$5)</f>
        <v>43805587.951769188</v>
      </c>
      <c r="G8610">
        <f t="shared" si="134"/>
        <v>19.399999999999999</v>
      </c>
    </row>
    <row r="8611" spans="2:7" x14ac:dyDescent="0.35">
      <c r="B8611" s="1">
        <v>46016</v>
      </c>
      <c r="C8611" s="2">
        <v>0.70833333333333337</v>
      </c>
      <c r="D8611">
        <v>-4.0999999999999996</v>
      </c>
      <c r="E8611">
        <f>IF($D8611 &gt; 16, 0, $J$3*(16 - $D8611))</f>
        <v>4175.7477182840094</v>
      </c>
      <c r="F8611">
        <f>IF($D8611 &gt; 16, 0,$E8611*$J$5)</f>
        <v>45386201.950028896</v>
      </c>
      <c r="G8611">
        <f t="shared" si="134"/>
        <v>20.100000000000001</v>
      </c>
    </row>
    <row r="8612" spans="2:7" x14ac:dyDescent="0.35">
      <c r="B8612" s="1">
        <v>46016</v>
      </c>
      <c r="C8612" s="2">
        <v>0.75</v>
      </c>
      <c r="D8612">
        <v>-4.3</v>
      </c>
      <c r="E8612">
        <f>IF($D8612 &gt; 16, 0, $J$3*(16 - $D8612))</f>
        <v>4217.2974468241491</v>
      </c>
      <c r="F8612">
        <f>IF($D8612 &gt; 16, 0,$E8612*$J$5)</f>
        <v>45837805.949531674</v>
      </c>
      <c r="G8612">
        <f t="shared" si="134"/>
        <v>20.3</v>
      </c>
    </row>
    <row r="8613" spans="2:7" x14ac:dyDescent="0.35">
      <c r="B8613" s="1">
        <v>46016</v>
      </c>
      <c r="C8613" s="2">
        <v>0.79166666666666663</v>
      </c>
      <c r="D8613">
        <v>-5.0999999999999996</v>
      </c>
      <c r="E8613">
        <f>IF($D8613 &gt; 16, 0, $J$3*(16 - $D8613))</f>
        <v>4383.4963609847064</v>
      </c>
      <c r="F8613">
        <f>IF($D8613 &gt; 16, 0,$E8613*$J$5)</f>
        <v>47644221.947542772</v>
      </c>
      <c r="G8613">
        <f t="shared" si="134"/>
        <v>21.1</v>
      </c>
    </row>
    <row r="8614" spans="2:7" x14ac:dyDescent="0.35">
      <c r="B8614" s="1">
        <v>46016</v>
      </c>
      <c r="C8614" s="2">
        <v>0.83333333333333337</v>
      </c>
      <c r="D8614">
        <v>-4.8</v>
      </c>
      <c r="E8614">
        <f>IF($D8614 &gt; 16, 0, $J$3*(16 - $D8614))</f>
        <v>4321.1717681744976</v>
      </c>
      <c r="F8614">
        <f>IF($D8614 &gt; 16, 0,$E8614*$J$5)</f>
        <v>46966815.948288612</v>
      </c>
      <c r="G8614">
        <f t="shared" si="134"/>
        <v>20.8</v>
      </c>
    </row>
    <row r="8615" spans="2:7" x14ac:dyDescent="0.35">
      <c r="B8615" s="1">
        <v>46016</v>
      </c>
      <c r="C8615" s="2">
        <v>0.875</v>
      </c>
      <c r="D8615">
        <v>-5.0999999999999996</v>
      </c>
      <c r="E8615">
        <f>IF($D8615 &gt; 16, 0, $J$3*(16 - $D8615))</f>
        <v>4383.4963609847064</v>
      </c>
      <c r="F8615">
        <f>IF($D8615 &gt; 16, 0,$E8615*$J$5)</f>
        <v>47644221.947542772</v>
      </c>
      <c r="G8615">
        <f t="shared" si="134"/>
        <v>21.1</v>
      </c>
    </row>
    <row r="8616" spans="2:7" x14ac:dyDescent="0.35">
      <c r="B8616" s="1">
        <v>46016</v>
      </c>
      <c r="C8616" s="2">
        <v>0.91666666666666663</v>
      </c>
      <c r="D8616">
        <v>-5.9</v>
      </c>
      <c r="E8616">
        <f>IF($D8616 &gt; 16, 0, $J$3*(16 - $D8616))</f>
        <v>4549.6952751452636</v>
      </c>
      <c r="F8616">
        <f>IF($D8616 &gt; 16, 0,$E8616*$J$5)</f>
        <v>49450637.945553869</v>
      </c>
      <c r="G8616">
        <f t="shared" si="134"/>
        <v>21.9</v>
      </c>
    </row>
    <row r="8617" spans="2:7" x14ac:dyDescent="0.35">
      <c r="B8617" s="1">
        <v>46016</v>
      </c>
      <c r="C8617" s="2">
        <v>0.95833333333333337</v>
      </c>
      <c r="D8617">
        <v>-6.5</v>
      </c>
      <c r="E8617">
        <f>IF($D8617 &gt; 16, 0, $J$3*(16 - $D8617))</f>
        <v>4674.344460765682</v>
      </c>
      <c r="F8617">
        <f>IF($D8617 &gt; 16, 0,$E8617*$J$5)</f>
        <v>50805449.944062196</v>
      </c>
      <c r="G8617">
        <f t="shared" si="134"/>
        <v>22.5</v>
      </c>
    </row>
    <row r="8618" spans="2:7" x14ac:dyDescent="0.35">
      <c r="B8618" s="1">
        <v>46017</v>
      </c>
      <c r="C8618" s="2">
        <v>0</v>
      </c>
      <c r="D8618">
        <v>-7.4</v>
      </c>
      <c r="E8618">
        <f>IF($D8618 &gt; 16, 0, $J$3*(16 - $D8618))</f>
        <v>4861.3182391963092</v>
      </c>
      <c r="F8618">
        <f>IF($D8618 &gt; 16, 0,$E8618*$J$5)</f>
        <v>52837667.941824682</v>
      </c>
      <c r="G8618">
        <f t="shared" si="134"/>
        <v>23.4</v>
      </c>
    </row>
    <row r="8619" spans="2:7" x14ac:dyDescent="0.35">
      <c r="B8619" s="1">
        <v>46017</v>
      </c>
      <c r="C8619" s="2">
        <v>4.1666666666666657E-2</v>
      </c>
      <c r="D8619">
        <v>-7.2</v>
      </c>
      <c r="E8619">
        <f>IF($D8619 &gt; 16, 0, $J$3*(16 - $D8619))</f>
        <v>4819.7685106561703</v>
      </c>
      <c r="F8619">
        <f>IF($D8619 &gt; 16, 0,$E8619*$J$5)</f>
        <v>52386063.942321911</v>
      </c>
      <c r="G8619">
        <f t="shared" si="134"/>
        <v>23.2</v>
      </c>
    </row>
    <row r="8620" spans="2:7" x14ac:dyDescent="0.35">
      <c r="B8620" s="1">
        <v>46017</v>
      </c>
      <c r="C8620" s="2">
        <v>8.3333333333333329E-2</v>
      </c>
      <c r="D8620">
        <v>-7.4</v>
      </c>
      <c r="E8620">
        <f>IF($D8620 &gt; 16, 0, $J$3*(16 - $D8620))</f>
        <v>4861.3182391963092</v>
      </c>
      <c r="F8620">
        <f>IF($D8620 &gt; 16, 0,$E8620*$J$5)</f>
        <v>52837667.941824682</v>
      </c>
      <c r="G8620">
        <f t="shared" si="134"/>
        <v>23.4</v>
      </c>
    </row>
    <row r="8621" spans="2:7" x14ac:dyDescent="0.35">
      <c r="B8621" s="1">
        <v>46017</v>
      </c>
      <c r="C8621" s="2">
        <v>0.125</v>
      </c>
      <c r="D8621">
        <v>-7.1</v>
      </c>
      <c r="E8621">
        <f>IF($D8621 &gt; 16, 0, $J$3*(16 - $D8621))</f>
        <v>4798.9936463861004</v>
      </c>
      <c r="F8621">
        <f>IF($D8621 &gt; 16, 0,$E8621*$J$5)</f>
        <v>52160261.942570522</v>
      </c>
      <c r="G8621">
        <f t="shared" si="134"/>
        <v>23.1</v>
      </c>
    </row>
    <row r="8622" spans="2:7" x14ac:dyDescent="0.35">
      <c r="B8622" s="1">
        <v>46017</v>
      </c>
      <c r="C8622" s="2">
        <v>0.16666666666666671</v>
      </c>
      <c r="D8622">
        <v>-7</v>
      </c>
      <c r="E8622">
        <f>IF($D8622 &gt; 16, 0, $J$3*(16 - $D8622))</f>
        <v>4778.2187821160305</v>
      </c>
      <c r="F8622">
        <f>IF($D8622 &gt; 16, 0,$E8622*$J$5)</f>
        <v>51934459.942819133</v>
      </c>
      <c r="G8622">
        <f t="shared" si="134"/>
        <v>23</v>
      </c>
    </row>
    <row r="8623" spans="2:7" x14ac:dyDescent="0.35">
      <c r="B8623" s="1">
        <v>46017</v>
      </c>
      <c r="C8623" s="2">
        <v>0.20833333333333329</v>
      </c>
      <c r="D8623">
        <v>-7.3</v>
      </c>
      <c r="E8623">
        <f>IF($D8623 &gt; 16, 0, $J$3*(16 - $D8623))</f>
        <v>4840.5433749262402</v>
      </c>
      <c r="F8623">
        <f>IF($D8623 &gt; 16, 0,$E8623*$J$5)</f>
        <v>52611865.942073308</v>
      </c>
      <c r="G8623">
        <f t="shared" si="134"/>
        <v>23.3</v>
      </c>
    </row>
    <row r="8624" spans="2:7" x14ac:dyDescent="0.35">
      <c r="B8624" s="1">
        <v>46017</v>
      </c>
      <c r="C8624" s="2">
        <v>0.25</v>
      </c>
      <c r="D8624">
        <v>-6.7</v>
      </c>
      <c r="E8624">
        <f>IF($D8624 &gt; 16, 0, $J$3*(16 - $D8624))</f>
        <v>4715.8941893058218</v>
      </c>
      <c r="F8624">
        <f>IF($D8624 &gt; 16, 0,$E8624*$J$5)</f>
        <v>51257053.943564974</v>
      </c>
      <c r="G8624">
        <f t="shared" si="134"/>
        <v>22.7</v>
      </c>
    </row>
    <row r="8625" spans="2:7" x14ac:dyDescent="0.35">
      <c r="B8625" s="1">
        <v>46017</v>
      </c>
      <c r="C8625" s="2">
        <v>0.29166666666666669</v>
      </c>
      <c r="D8625">
        <v>-6.5</v>
      </c>
      <c r="E8625">
        <f>IF($D8625 &gt; 16, 0, $J$3*(16 - $D8625))</f>
        <v>4674.344460765682</v>
      </c>
      <c r="F8625">
        <f>IF($D8625 &gt; 16, 0,$E8625*$J$5)</f>
        <v>50805449.944062196</v>
      </c>
      <c r="G8625">
        <f t="shared" si="134"/>
        <v>22.5</v>
      </c>
    </row>
    <row r="8626" spans="2:7" x14ac:dyDescent="0.35">
      <c r="B8626" s="1">
        <v>46017</v>
      </c>
      <c r="C8626" s="2">
        <v>0.33333333333333331</v>
      </c>
      <c r="D8626">
        <v>-7.3</v>
      </c>
      <c r="E8626">
        <f>IF($D8626 &gt; 16, 0, $J$3*(16 - $D8626))</f>
        <v>4840.5433749262402</v>
      </c>
      <c r="F8626">
        <f>IF($D8626 &gt; 16, 0,$E8626*$J$5)</f>
        <v>52611865.942073308</v>
      </c>
      <c r="G8626">
        <f t="shared" si="134"/>
        <v>23.3</v>
      </c>
    </row>
    <row r="8627" spans="2:7" x14ac:dyDescent="0.35">
      <c r="B8627" s="1">
        <v>46017</v>
      </c>
      <c r="C8627" s="2">
        <v>0.375</v>
      </c>
      <c r="D8627">
        <v>-5.0999999999999996</v>
      </c>
      <c r="E8627">
        <f>IF($D8627 &gt; 16, 0, $J$3*(16 - $D8627))</f>
        <v>4383.4963609847064</v>
      </c>
      <c r="F8627">
        <f>IF($D8627 &gt; 16, 0,$E8627*$J$5)</f>
        <v>47644221.947542772</v>
      </c>
      <c r="G8627">
        <f t="shared" si="134"/>
        <v>21.1</v>
      </c>
    </row>
    <row r="8628" spans="2:7" x14ac:dyDescent="0.35">
      <c r="B8628" s="1">
        <v>46017</v>
      </c>
      <c r="C8628" s="2">
        <v>0.41666666666666669</v>
      </c>
      <c r="D8628">
        <v>-2.1</v>
      </c>
      <c r="E8628">
        <f>IF($D8628 &gt; 16, 0, $J$3*(16 - $D8628))</f>
        <v>3760.2504328826158</v>
      </c>
      <c r="F8628">
        <f>IF($D8628 &gt; 16, 0,$E8628*$J$5)</f>
        <v>40870161.955001153</v>
      </c>
      <c r="G8628">
        <f t="shared" si="134"/>
        <v>18.100000000000001</v>
      </c>
    </row>
    <row r="8629" spans="2:7" x14ac:dyDescent="0.35">
      <c r="B8629" s="1">
        <v>46017</v>
      </c>
      <c r="C8629" s="2">
        <v>0.45833333333333331</v>
      </c>
      <c r="D8629">
        <v>-0.7</v>
      </c>
      <c r="E8629">
        <f>IF($D8629 &gt; 16, 0, $J$3*(16 - $D8629))</f>
        <v>3469.4023331016397</v>
      </c>
      <c r="F8629">
        <f>IF($D8629 &gt; 16, 0,$E8629*$J$5)</f>
        <v>37708933.958481722</v>
      </c>
      <c r="G8629">
        <f t="shared" si="134"/>
        <v>16.7</v>
      </c>
    </row>
    <row r="8630" spans="2:7" x14ac:dyDescent="0.35">
      <c r="B8630" s="1">
        <v>46017</v>
      </c>
      <c r="C8630" s="2">
        <v>0.5</v>
      </c>
      <c r="D8630">
        <v>0.8</v>
      </c>
      <c r="E8630">
        <f>IF($D8630 &gt; 16, 0, $J$3*(16 - $D8630))</f>
        <v>3157.7793690505941</v>
      </c>
      <c r="F8630">
        <f>IF($D8630 &gt; 16, 0,$E8630*$J$5)</f>
        <v>34321903.962210909</v>
      </c>
      <c r="G8630">
        <f t="shared" si="134"/>
        <v>15.2</v>
      </c>
    </row>
    <row r="8631" spans="2:7" x14ac:dyDescent="0.35">
      <c r="B8631" s="1">
        <v>46017</v>
      </c>
      <c r="C8631" s="2">
        <v>0.54166666666666663</v>
      </c>
      <c r="D8631">
        <v>1.5</v>
      </c>
      <c r="E8631">
        <f>IF($D8631 &gt; 16, 0, $J$3*(16 - $D8631))</f>
        <v>3012.3553191601063</v>
      </c>
      <c r="F8631">
        <f>IF($D8631 &gt; 16, 0,$E8631*$J$5)</f>
        <v>32741289.963951197</v>
      </c>
      <c r="G8631">
        <f t="shared" si="134"/>
        <v>14.5</v>
      </c>
    </row>
    <row r="8632" spans="2:7" x14ac:dyDescent="0.35">
      <c r="B8632" s="1">
        <v>46017</v>
      </c>
      <c r="C8632" s="2">
        <v>0.58333333333333337</v>
      </c>
      <c r="D8632">
        <v>1.2</v>
      </c>
      <c r="E8632">
        <f>IF($D8632 &gt; 16, 0, $J$3*(16 - $D8632))</f>
        <v>3074.6799119703155</v>
      </c>
      <c r="F8632">
        <f>IF($D8632 &gt; 16, 0,$E8632*$J$5)</f>
        <v>33418695.96320536</v>
      </c>
      <c r="G8632">
        <f t="shared" si="134"/>
        <v>14.8</v>
      </c>
    </row>
    <row r="8633" spans="2:7" x14ac:dyDescent="0.35">
      <c r="B8633" s="1">
        <v>46017</v>
      </c>
      <c r="C8633" s="2">
        <v>0.625</v>
      </c>
      <c r="D8633">
        <v>0</v>
      </c>
      <c r="E8633">
        <f>IF($D8633 &gt; 16, 0, $J$3*(16 - $D8633))</f>
        <v>3323.9782832111518</v>
      </c>
      <c r="F8633">
        <f>IF($D8633 &gt; 16, 0,$E8633*$J$5)</f>
        <v>36128319.960222006</v>
      </c>
      <c r="G8633">
        <f t="shared" si="134"/>
        <v>16</v>
      </c>
    </row>
    <row r="8634" spans="2:7" x14ac:dyDescent="0.35">
      <c r="B8634" s="1">
        <v>46017</v>
      </c>
      <c r="C8634" s="2">
        <v>0.66666666666666663</v>
      </c>
      <c r="D8634">
        <v>0.2</v>
      </c>
      <c r="E8634">
        <f>IF($D8634 &gt; 16, 0, $J$3*(16 - $D8634))</f>
        <v>3282.4285546710125</v>
      </c>
      <c r="F8634">
        <f>IF($D8634 &gt; 16, 0,$E8634*$J$5)</f>
        <v>35676715.960719235</v>
      </c>
      <c r="G8634">
        <f t="shared" si="134"/>
        <v>15.8</v>
      </c>
    </row>
    <row r="8635" spans="2:7" x14ac:dyDescent="0.35">
      <c r="B8635" s="1">
        <v>46017</v>
      </c>
      <c r="C8635" s="2">
        <v>0.70833333333333337</v>
      </c>
      <c r="D8635">
        <v>-0.1</v>
      </c>
      <c r="E8635">
        <f>IF($D8635 &gt; 16, 0, $J$3*(16 - $D8635))</f>
        <v>3344.7531474812217</v>
      </c>
      <c r="F8635">
        <f>IF($D8635 &gt; 16, 0,$E8635*$J$5)</f>
        <v>36354121.959973402</v>
      </c>
      <c r="G8635">
        <f t="shared" si="134"/>
        <v>16.100000000000001</v>
      </c>
    </row>
    <row r="8636" spans="2:7" x14ac:dyDescent="0.35">
      <c r="B8636" s="1">
        <v>46017</v>
      </c>
      <c r="C8636" s="2">
        <v>0.75</v>
      </c>
      <c r="D8636">
        <v>-0.1</v>
      </c>
      <c r="E8636">
        <f>IF($D8636 &gt; 16, 0, $J$3*(16 - $D8636))</f>
        <v>3344.7531474812217</v>
      </c>
      <c r="F8636">
        <f>IF($D8636 &gt; 16, 0,$E8636*$J$5)</f>
        <v>36354121.959973402</v>
      </c>
      <c r="G8636">
        <f t="shared" si="134"/>
        <v>16.100000000000001</v>
      </c>
    </row>
    <row r="8637" spans="2:7" x14ac:dyDescent="0.35">
      <c r="B8637" s="1">
        <v>46017</v>
      </c>
      <c r="C8637" s="2">
        <v>0.79166666666666663</v>
      </c>
      <c r="D8637">
        <v>0.1</v>
      </c>
      <c r="E8637">
        <f>IF($D8637 &gt; 16, 0, $J$3*(16 - $D8637))</f>
        <v>3303.2034189410824</v>
      </c>
      <c r="F8637">
        <f>IF($D8637 &gt; 16, 0,$E8637*$J$5)</f>
        <v>35902517.960470624</v>
      </c>
      <c r="G8637">
        <f t="shared" si="134"/>
        <v>15.9</v>
      </c>
    </row>
    <row r="8638" spans="2:7" x14ac:dyDescent="0.35">
      <c r="B8638" s="1">
        <v>46017</v>
      </c>
      <c r="C8638" s="2">
        <v>0.83333333333333337</v>
      </c>
      <c r="D8638">
        <v>0.2</v>
      </c>
      <c r="E8638">
        <f>IF($D8638 &gt; 16, 0, $J$3*(16 - $D8638))</f>
        <v>3282.4285546710125</v>
      </c>
      <c r="F8638">
        <f>IF($D8638 &gt; 16, 0,$E8638*$J$5)</f>
        <v>35676715.960719235</v>
      </c>
      <c r="G8638">
        <f t="shared" si="134"/>
        <v>15.8</v>
      </c>
    </row>
    <row r="8639" spans="2:7" x14ac:dyDescent="0.35">
      <c r="B8639" s="1">
        <v>46017</v>
      </c>
      <c r="C8639" s="2">
        <v>0.875</v>
      </c>
      <c r="D8639">
        <v>0.2</v>
      </c>
      <c r="E8639">
        <f>IF($D8639 &gt; 16, 0, $J$3*(16 - $D8639))</f>
        <v>3282.4285546710125</v>
      </c>
      <c r="F8639">
        <f>IF($D8639 &gt; 16, 0,$E8639*$J$5)</f>
        <v>35676715.960719235</v>
      </c>
      <c r="G8639">
        <f t="shared" si="134"/>
        <v>15.8</v>
      </c>
    </row>
    <row r="8640" spans="2:7" x14ac:dyDescent="0.35">
      <c r="B8640" s="1">
        <v>46017</v>
      </c>
      <c r="C8640" s="2">
        <v>0.91666666666666663</v>
      </c>
      <c r="D8640">
        <v>0.3</v>
      </c>
      <c r="E8640">
        <f>IF($D8640 &gt; 16, 0, $J$3*(16 - $D8640))</f>
        <v>3261.6536904009427</v>
      </c>
      <c r="F8640">
        <f>IF($D8640 &gt; 16, 0,$E8640*$J$5)</f>
        <v>35450913.960967846</v>
      </c>
      <c r="G8640">
        <f t="shared" si="134"/>
        <v>15.7</v>
      </c>
    </row>
    <row r="8641" spans="2:7" x14ac:dyDescent="0.35">
      <c r="B8641" s="1">
        <v>46017</v>
      </c>
      <c r="C8641" s="2">
        <v>0.95833333333333337</v>
      </c>
      <c r="D8641">
        <v>0.4</v>
      </c>
      <c r="E8641">
        <f>IF($D8641 &gt; 16, 0, $J$3*(16 - $D8641))</f>
        <v>3240.8788261308728</v>
      </c>
      <c r="F8641">
        <f>IF($D8641 &gt; 16, 0,$E8641*$J$5)</f>
        <v>35225111.961216457</v>
      </c>
      <c r="G8641">
        <f t="shared" si="134"/>
        <v>15.6</v>
      </c>
    </row>
    <row r="8642" spans="2:7" x14ac:dyDescent="0.35">
      <c r="B8642" s="1">
        <v>46018</v>
      </c>
      <c r="C8642" s="2">
        <v>0</v>
      </c>
      <c r="D8642">
        <v>0.4</v>
      </c>
      <c r="E8642">
        <f>IF($D8642 &gt; 16, 0, $J$3*(16 - $D8642))</f>
        <v>3240.8788261308728</v>
      </c>
      <c r="F8642">
        <f>IF($D8642 &gt; 16, 0,$E8642*$J$5)</f>
        <v>35225111.961216457</v>
      </c>
      <c r="G8642">
        <f t="shared" si="134"/>
        <v>15.6</v>
      </c>
    </row>
    <row r="8643" spans="2:7" x14ac:dyDescent="0.35">
      <c r="B8643" s="1">
        <v>46018</v>
      </c>
      <c r="C8643" s="2">
        <v>4.1666666666666657E-2</v>
      </c>
      <c r="D8643">
        <v>0.6</v>
      </c>
      <c r="E8643">
        <f>IF($D8643 &gt; 16, 0, $J$3*(16 - $D8643))</f>
        <v>3199.3290975907339</v>
      </c>
      <c r="F8643">
        <f>IF($D8643 &gt; 16, 0,$E8643*$J$5)</f>
        <v>34773507.961713687</v>
      </c>
      <c r="G8643">
        <f t="shared" ref="G8643:G8706" si="135">MAX(0, 16 - $D8643)</f>
        <v>15.4</v>
      </c>
    </row>
    <row r="8644" spans="2:7" x14ac:dyDescent="0.35">
      <c r="B8644" s="1">
        <v>46018</v>
      </c>
      <c r="C8644" s="2">
        <v>8.3333333333333329E-2</v>
      </c>
      <c r="D8644">
        <v>0.7</v>
      </c>
      <c r="E8644">
        <f>IF($D8644 &gt; 16, 0, $J$3*(16 - $D8644))</f>
        <v>3178.554233320664</v>
      </c>
      <c r="F8644">
        <f>IF($D8644 &gt; 16, 0,$E8644*$J$5)</f>
        <v>34547705.961962298</v>
      </c>
      <c r="G8644">
        <f t="shared" si="135"/>
        <v>15.3</v>
      </c>
    </row>
    <row r="8645" spans="2:7" x14ac:dyDescent="0.35">
      <c r="B8645" s="1">
        <v>46018</v>
      </c>
      <c r="C8645" s="2">
        <v>0.125</v>
      </c>
      <c r="D8645">
        <v>0.9</v>
      </c>
      <c r="E8645">
        <f>IF($D8645 &gt; 16, 0, $J$3*(16 - $D8645))</f>
        <v>3137.0045047805243</v>
      </c>
      <c r="F8645">
        <f>IF($D8645 &gt; 16, 0,$E8645*$J$5)</f>
        <v>34096101.96245952</v>
      </c>
      <c r="G8645">
        <f t="shared" si="135"/>
        <v>15.1</v>
      </c>
    </row>
    <row r="8646" spans="2:7" x14ac:dyDescent="0.35">
      <c r="B8646" s="1">
        <v>46018</v>
      </c>
      <c r="C8646" s="2">
        <v>0.16666666666666671</v>
      </c>
      <c r="D8646">
        <v>1</v>
      </c>
      <c r="E8646">
        <f>IF($D8646 &gt; 16, 0, $J$3*(16 - $D8646))</f>
        <v>3116.2296405104548</v>
      </c>
      <c r="F8646">
        <f>IF($D8646 &gt; 16, 0,$E8646*$J$5)</f>
        <v>33870299.96270813</v>
      </c>
      <c r="G8646">
        <f t="shared" si="135"/>
        <v>15</v>
      </c>
    </row>
    <row r="8647" spans="2:7" x14ac:dyDescent="0.35">
      <c r="B8647" s="1">
        <v>46018</v>
      </c>
      <c r="C8647" s="2">
        <v>0.20833333333333329</v>
      </c>
      <c r="D8647">
        <v>1.2</v>
      </c>
      <c r="E8647">
        <f>IF($D8647 &gt; 16, 0, $J$3*(16 - $D8647))</f>
        <v>3074.6799119703155</v>
      </c>
      <c r="F8647">
        <f>IF($D8647 &gt; 16, 0,$E8647*$J$5)</f>
        <v>33418695.96320536</v>
      </c>
      <c r="G8647">
        <f t="shared" si="135"/>
        <v>14.8</v>
      </c>
    </row>
    <row r="8648" spans="2:7" x14ac:dyDescent="0.35">
      <c r="B8648" s="1">
        <v>46018</v>
      </c>
      <c r="C8648" s="2">
        <v>0.25</v>
      </c>
      <c r="D8648">
        <v>2</v>
      </c>
      <c r="E8648">
        <f>IF($D8648 &gt; 16, 0, $J$3*(16 - $D8648))</f>
        <v>2908.4809978097578</v>
      </c>
      <c r="F8648">
        <f>IF($D8648 &gt; 16, 0,$E8648*$J$5)</f>
        <v>31612279.965194259</v>
      </c>
      <c r="G8648">
        <f t="shared" si="135"/>
        <v>14</v>
      </c>
    </row>
    <row r="8649" spans="2:7" x14ac:dyDescent="0.35">
      <c r="B8649" s="1">
        <v>46018</v>
      </c>
      <c r="C8649" s="2">
        <v>0.29166666666666669</v>
      </c>
      <c r="D8649">
        <v>2.6</v>
      </c>
      <c r="E8649">
        <f>IF($D8649 &gt; 16, 0, $J$3*(16 - $D8649))</f>
        <v>2783.8318121893399</v>
      </c>
      <c r="F8649">
        <f>IF($D8649 &gt; 16, 0,$E8649*$J$5)</f>
        <v>30257467.966685936</v>
      </c>
      <c r="G8649">
        <f t="shared" si="135"/>
        <v>13.4</v>
      </c>
    </row>
    <row r="8650" spans="2:7" x14ac:dyDescent="0.35">
      <c r="B8650" s="1">
        <v>46018</v>
      </c>
      <c r="C8650" s="2">
        <v>0.33333333333333331</v>
      </c>
      <c r="D8650">
        <v>3.2</v>
      </c>
      <c r="E8650">
        <f>IF($D8650 &gt; 16, 0, $J$3*(16 - $D8650))</f>
        <v>2659.1826265689215</v>
      </c>
      <c r="F8650">
        <f>IF($D8650 &gt; 16, 0,$E8650*$J$5)</f>
        <v>28902655.968177609</v>
      </c>
      <c r="G8650">
        <f t="shared" si="135"/>
        <v>12.8</v>
      </c>
    </row>
    <row r="8651" spans="2:7" x14ac:dyDescent="0.35">
      <c r="B8651" s="1">
        <v>46018</v>
      </c>
      <c r="C8651" s="2">
        <v>0.375</v>
      </c>
      <c r="D8651">
        <v>4</v>
      </c>
      <c r="E8651">
        <f>IF($D8651 &gt; 16, 0, $J$3*(16 - $D8651))</f>
        <v>2492.9837124083638</v>
      </c>
      <c r="F8651">
        <f>IF($D8651 &gt; 16, 0,$E8651*$J$5)</f>
        <v>27096239.970166504</v>
      </c>
      <c r="G8651">
        <f t="shared" si="135"/>
        <v>12</v>
      </c>
    </row>
    <row r="8652" spans="2:7" x14ac:dyDescent="0.35">
      <c r="B8652" s="1">
        <v>46018</v>
      </c>
      <c r="C8652" s="2">
        <v>0.41666666666666669</v>
      </c>
      <c r="D8652">
        <v>5.0999999999999996</v>
      </c>
      <c r="E8652">
        <f>IF($D8652 &gt; 16, 0, $J$3*(16 - $D8652))</f>
        <v>2264.4602054375973</v>
      </c>
      <c r="F8652">
        <f>IF($D8652 &gt; 16, 0,$E8652*$J$5)</f>
        <v>24612417.972901244</v>
      </c>
      <c r="G8652">
        <f t="shared" si="135"/>
        <v>10.9</v>
      </c>
    </row>
    <row r="8653" spans="2:7" x14ac:dyDescent="0.35">
      <c r="B8653" s="1">
        <v>46018</v>
      </c>
      <c r="C8653" s="2">
        <v>0.45833333333333331</v>
      </c>
      <c r="D8653">
        <v>5.6</v>
      </c>
      <c r="E8653">
        <f>IF($D8653 &gt; 16, 0, $J$3*(16 - $D8653))</f>
        <v>2160.5858840872488</v>
      </c>
      <c r="F8653">
        <f>IF($D8653 &gt; 16, 0,$E8653*$J$5)</f>
        <v>23483407.974144306</v>
      </c>
      <c r="G8653">
        <f t="shared" si="135"/>
        <v>10.4</v>
      </c>
    </row>
    <row r="8654" spans="2:7" x14ac:dyDescent="0.35">
      <c r="B8654" s="1">
        <v>46018</v>
      </c>
      <c r="C8654" s="2">
        <v>0.5</v>
      </c>
      <c r="D8654">
        <v>6.1</v>
      </c>
      <c r="E8654">
        <f>IF($D8654 &gt; 16, 0, $J$3*(16 - $D8654))</f>
        <v>2056.7115627369003</v>
      </c>
      <c r="F8654">
        <f>IF($D8654 &gt; 16, 0,$E8654*$J$5)</f>
        <v>22354397.975387368</v>
      </c>
      <c r="G8654">
        <f t="shared" si="135"/>
        <v>9.9</v>
      </c>
    </row>
    <row r="8655" spans="2:7" x14ac:dyDescent="0.35">
      <c r="B8655" s="1">
        <v>46018</v>
      </c>
      <c r="C8655" s="2">
        <v>0.54166666666666663</v>
      </c>
      <c r="D8655">
        <v>6.3</v>
      </c>
      <c r="E8655">
        <f>IF($D8655 &gt; 16, 0, $J$3*(16 - $D8655))</f>
        <v>2015.1618341967608</v>
      </c>
      <c r="F8655">
        <f>IF($D8655 &gt; 16, 0,$E8655*$J$5)</f>
        <v>21902793.975884594</v>
      </c>
      <c r="G8655">
        <f t="shared" si="135"/>
        <v>9.6999999999999993</v>
      </c>
    </row>
    <row r="8656" spans="2:7" x14ac:dyDescent="0.35">
      <c r="B8656" s="1">
        <v>46018</v>
      </c>
      <c r="C8656" s="2">
        <v>0.58333333333333337</v>
      </c>
      <c r="D8656">
        <v>6.9</v>
      </c>
      <c r="E8656">
        <f>IF($D8656 &gt; 16, 0, $J$3*(16 - $D8656))</f>
        <v>1890.5126485763426</v>
      </c>
      <c r="F8656">
        <f>IF($D8656 &gt; 16, 0,$E8656*$J$5)</f>
        <v>20547981.977376267</v>
      </c>
      <c r="G8656">
        <f t="shared" si="135"/>
        <v>9.1</v>
      </c>
    </row>
    <row r="8657" spans="2:7" x14ac:dyDescent="0.35">
      <c r="B8657" s="1">
        <v>46018</v>
      </c>
      <c r="C8657" s="2">
        <v>0.625</v>
      </c>
      <c r="D8657">
        <v>6.6</v>
      </c>
      <c r="E8657">
        <f>IF($D8657 &gt; 16, 0, $J$3*(16 - $D8657))</f>
        <v>1952.8372413865518</v>
      </c>
      <c r="F8657">
        <f>IF($D8657 &gt; 16, 0,$E8657*$J$5)</f>
        <v>21225387.976630431</v>
      </c>
      <c r="G8657">
        <f t="shared" si="135"/>
        <v>9.4</v>
      </c>
    </row>
    <row r="8658" spans="2:7" x14ac:dyDescent="0.35">
      <c r="B8658" s="1">
        <v>46018</v>
      </c>
      <c r="C8658" s="2">
        <v>0.66666666666666663</v>
      </c>
      <c r="D8658">
        <v>5.0999999999999996</v>
      </c>
      <c r="E8658">
        <f>IF($D8658 &gt; 16, 0, $J$3*(16 - $D8658))</f>
        <v>2264.4602054375973</v>
      </c>
      <c r="F8658">
        <f>IF($D8658 &gt; 16, 0,$E8658*$J$5)</f>
        <v>24612417.972901244</v>
      </c>
      <c r="G8658">
        <f t="shared" si="135"/>
        <v>10.9</v>
      </c>
    </row>
    <row r="8659" spans="2:7" x14ac:dyDescent="0.35">
      <c r="B8659" s="1">
        <v>46018</v>
      </c>
      <c r="C8659" s="2">
        <v>0.70833333333333337</v>
      </c>
      <c r="D8659">
        <v>3.7</v>
      </c>
      <c r="E8659">
        <f>IF($D8659 &gt; 16, 0, $J$3*(16 - $D8659))</f>
        <v>2555.308305218573</v>
      </c>
      <c r="F8659">
        <f>IF($D8659 &gt; 16, 0,$E8659*$J$5)</f>
        <v>27773645.969420668</v>
      </c>
      <c r="G8659">
        <f t="shared" si="135"/>
        <v>12.3</v>
      </c>
    </row>
    <row r="8660" spans="2:7" x14ac:dyDescent="0.35">
      <c r="B8660" s="1">
        <v>46018</v>
      </c>
      <c r="C8660" s="2">
        <v>0.75</v>
      </c>
      <c r="D8660">
        <v>3.3</v>
      </c>
      <c r="E8660">
        <f>IF($D8660 &gt; 16, 0, $J$3*(16 - $D8660))</f>
        <v>2638.4077622988516</v>
      </c>
      <c r="F8660">
        <f>IF($D8660 &gt; 16, 0,$E8660*$J$5)</f>
        <v>28676853.968426216</v>
      </c>
      <c r="G8660">
        <f t="shared" si="135"/>
        <v>12.7</v>
      </c>
    </row>
    <row r="8661" spans="2:7" x14ac:dyDescent="0.35">
      <c r="B8661" s="1">
        <v>46018</v>
      </c>
      <c r="C8661" s="2">
        <v>0.79166666666666663</v>
      </c>
      <c r="D8661">
        <v>2.6</v>
      </c>
      <c r="E8661">
        <f>IF($D8661 &gt; 16, 0, $J$3*(16 - $D8661))</f>
        <v>2783.8318121893399</v>
      </c>
      <c r="F8661">
        <f>IF($D8661 &gt; 16, 0,$E8661*$J$5)</f>
        <v>30257467.966685936</v>
      </c>
      <c r="G8661">
        <f t="shared" si="135"/>
        <v>13.4</v>
      </c>
    </row>
    <row r="8662" spans="2:7" x14ac:dyDescent="0.35">
      <c r="B8662" s="1">
        <v>46018</v>
      </c>
      <c r="C8662" s="2">
        <v>0.83333333333333337</v>
      </c>
      <c r="D8662">
        <v>0</v>
      </c>
      <c r="E8662">
        <f>IF($D8662 &gt; 16, 0, $J$3*(16 - $D8662))</f>
        <v>3323.9782832111518</v>
      </c>
      <c r="F8662">
        <f>IF($D8662 &gt; 16, 0,$E8662*$J$5)</f>
        <v>36128319.960222006</v>
      </c>
      <c r="G8662">
        <f t="shared" si="135"/>
        <v>16</v>
      </c>
    </row>
    <row r="8663" spans="2:7" x14ac:dyDescent="0.35">
      <c r="B8663" s="1">
        <v>46018</v>
      </c>
      <c r="C8663" s="2">
        <v>0.875</v>
      </c>
      <c r="D8663">
        <v>-0.9</v>
      </c>
      <c r="E8663">
        <f>IF($D8663 &gt; 16, 0, $J$3*(16 - $D8663))</f>
        <v>3510.952061641779</v>
      </c>
      <c r="F8663">
        <f>IF($D8663 &gt; 16, 0,$E8663*$J$5)</f>
        <v>38160537.957984492</v>
      </c>
      <c r="G8663">
        <f t="shared" si="135"/>
        <v>16.899999999999999</v>
      </c>
    </row>
    <row r="8664" spans="2:7" x14ac:dyDescent="0.35">
      <c r="B8664" s="1">
        <v>46018</v>
      </c>
      <c r="C8664" s="2">
        <v>0.91666666666666663</v>
      </c>
      <c r="D8664">
        <v>-2.5</v>
      </c>
      <c r="E8664">
        <f>IF($D8664 &gt; 16, 0, $J$3*(16 - $D8664))</f>
        <v>3843.3498899628944</v>
      </c>
      <c r="F8664">
        <f>IF($D8664 &gt; 16, 0,$E8664*$J$5)</f>
        <v>41773369.954006702</v>
      </c>
      <c r="G8664">
        <f t="shared" si="135"/>
        <v>18.5</v>
      </c>
    </row>
    <row r="8665" spans="2:7" x14ac:dyDescent="0.35">
      <c r="B8665" s="1">
        <v>46018</v>
      </c>
      <c r="C8665" s="2">
        <v>0.95833333333333337</v>
      </c>
      <c r="D8665">
        <v>-3.1</v>
      </c>
      <c r="E8665">
        <f>IF($D8665 &gt; 16, 0, $J$3*(16 - $D8665))</f>
        <v>3967.9990755833128</v>
      </c>
      <c r="F8665">
        <f>IF($D8665 &gt; 16, 0,$E8665*$J$5)</f>
        <v>43128181.952515028</v>
      </c>
      <c r="G8665">
        <f t="shared" si="135"/>
        <v>19.100000000000001</v>
      </c>
    </row>
    <row r="8666" spans="2:7" x14ac:dyDescent="0.35">
      <c r="B8666" s="1">
        <v>46019</v>
      </c>
      <c r="C8666" s="2">
        <v>0</v>
      </c>
      <c r="D8666">
        <v>-4.0999999999999996</v>
      </c>
      <c r="E8666">
        <f>IF($D8666 &gt; 16, 0, $J$3*(16 - $D8666))</f>
        <v>4175.7477182840094</v>
      </c>
      <c r="F8666">
        <f>IF($D8666 &gt; 16, 0,$E8666*$J$5)</f>
        <v>45386201.950028896</v>
      </c>
      <c r="G8666">
        <f t="shared" si="135"/>
        <v>20.100000000000001</v>
      </c>
    </row>
    <row r="8667" spans="2:7" x14ac:dyDescent="0.35">
      <c r="B8667" s="1">
        <v>46019</v>
      </c>
      <c r="C8667" s="2">
        <v>4.1666666666666657E-2</v>
      </c>
      <c r="D8667">
        <v>-3.4</v>
      </c>
      <c r="E8667">
        <f>IF($D8667 &gt; 16, 0, $J$3*(16 - $D8667))</f>
        <v>4030.3236683935215</v>
      </c>
      <c r="F8667">
        <f>IF($D8667 &gt; 16, 0,$E8667*$J$5)</f>
        <v>43805587.951769188</v>
      </c>
      <c r="G8667">
        <f t="shared" si="135"/>
        <v>19.399999999999999</v>
      </c>
    </row>
    <row r="8668" spans="2:7" x14ac:dyDescent="0.35">
      <c r="B8668" s="1">
        <v>46019</v>
      </c>
      <c r="C8668" s="2">
        <v>8.3333333333333329E-2</v>
      </c>
      <c r="D8668">
        <v>-3.9</v>
      </c>
      <c r="E8668">
        <f>IF($D8668 &gt; 16, 0, $J$3*(16 - $D8668))</f>
        <v>4134.1979897438696</v>
      </c>
      <c r="F8668">
        <f>IF($D8668 &gt; 16, 0,$E8668*$J$5)</f>
        <v>44934597.950526118</v>
      </c>
      <c r="G8668">
        <f t="shared" si="135"/>
        <v>19.899999999999999</v>
      </c>
    </row>
    <row r="8669" spans="2:7" x14ac:dyDescent="0.35">
      <c r="B8669" s="1">
        <v>46019</v>
      </c>
      <c r="C8669" s="2">
        <v>0.125</v>
      </c>
      <c r="D8669">
        <v>-4</v>
      </c>
      <c r="E8669">
        <f>IF($D8669 &gt; 16, 0, $J$3*(16 - $D8669))</f>
        <v>4154.9728540139395</v>
      </c>
      <c r="F8669">
        <f>IF($D8669 &gt; 16, 0,$E8669*$J$5)</f>
        <v>45160399.950277507</v>
      </c>
      <c r="G8669">
        <f t="shared" si="135"/>
        <v>20</v>
      </c>
    </row>
    <row r="8670" spans="2:7" x14ac:dyDescent="0.35">
      <c r="B8670" s="1">
        <v>46019</v>
      </c>
      <c r="C8670" s="2">
        <v>0.16666666666666671</v>
      </c>
      <c r="D8670">
        <v>-4.5</v>
      </c>
      <c r="E8670">
        <f>IF($D8670 &gt; 16, 0, $J$3*(16 - $D8670))</f>
        <v>4258.847175364288</v>
      </c>
      <c r="F8670">
        <f>IF($D8670 &gt; 16, 0,$E8670*$J$5)</f>
        <v>46289409.949034445</v>
      </c>
      <c r="G8670">
        <f t="shared" si="135"/>
        <v>20.5</v>
      </c>
    </row>
    <row r="8671" spans="2:7" x14ac:dyDescent="0.35">
      <c r="B8671" s="1">
        <v>46019</v>
      </c>
      <c r="C8671" s="2">
        <v>0.20833333333333329</v>
      </c>
      <c r="D8671">
        <v>-4.7</v>
      </c>
      <c r="E8671">
        <f>IF($D8671 &gt; 16, 0, $J$3*(16 - $D8671))</f>
        <v>4300.3969039044277</v>
      </c>
      <c r="F8671">
        <f>IF($D8671 &gt; 16, 0,$E8671*$J$5)</f>
        <v>46741013.948537223</v>
      </c>
      <c r="G8671">
        <f t="shared" si="135"/>
        <v>20.7</v>
      </c>
    </row>
    <row r="8672" spans="2:7" x14ac:dyDescent="0.35">
      <c r="B8672" s="1">
        <v>46019</v>
      </c>
      <c r="C8672" s="2">
        <v>0.25</v>
      </c>
      <c r="D8672">
        <v>-4.2</v>
      </c>
      <c r="E8672">
        <f>IF($D8672 &gt; 16, 0, $J$3*(16 - $D8672))</f>
        <v>4196.5225825540792</v>
      </c>
      <c r="F8672">
        <f>IF($D8672 &gt; 16, 0,$E8672*$J$5)</f>
        <v>45612003.949780285</v>
      </c>
      <c r="G8672">
        <f t="shared" si="135"/>
        <v>20.2</v>
      </c>
    </row>
    <row r="8673" spans="2:7" x14ac:dyDescent="0.35">
      <c r="B8673" s="1">
        <v>46019</v>
      </c>
      <c r="C8673" s="2">
        <v>0.29166666666666669</v>
      </c>
      <c r="D8673">
        <v>-4.0999999999999996</v>
      </c>
      <c r="E8673">
        <f>IF($D8673 &gt; 16, 0, $J$3*(16 - $D8673))</f>
        <v>4175.7477182840094</v>
      </c>
      <c r="F8673">
        <f>IF($D8673 &gt; 16, 0,$E8673*$J$5)</f>
        <v>45386201.950028896</v>
      </c>
      <c r="G8673">
        <f t="shared" si="135"/>
        <v>20.100000000000001</v>
      </c>
    </row>
    <row r="8674" spans="2:7" x14ac:dyDescent="0.35">
      <c r="B8674" s="1">
        <v>46019</v>
      </c>
      <c r="C8674" s="2">
        <v>0.33333333333333331</v>
      </c>
      <c r="D8674">
        <v>-4.5999999999999996</v>
      </c>
      <c r="E8674">
        <f>IF($D8674 &gt; 16, 0, $J$3*(16 - $D8674))</f>
        <v>4279.6220396343579</v>
      </c>
      <c r="F8674">
        <f>IF($D8674 &gt; 16, 0,$E8674*$J$5)</f>
        <v>46515211.948785834</v>
      </c>
      <c r="G8674">
        <f t="shared" si="135"/>
        <v>20.6</v>
      </c>
    </row>
    <row r="8675" spans="2:7" x14ac:dyDescent="0.35">
      <c r="B8675" s="1">
        <v>46019</v>
      </c>
      <c r="C8675" s="2">
        <v>0.375</v>
      </c>
      <c r="D8675">
        <v>-3.7</v>
      </c>
      <c r="E8675">
        <f>IF($D8675 &gt; 16, 0, $J$3*(16 - $D8675))</f>
        <v>4092.6482612037307</v>
      </c>
      <c r="F8675">
        <f>IF($D8675 &gt; 16, 0,$E8675*$J$5)</f>
        <v>44482993.951023348</v>
      </c>
      <c r="G8675">
        <f t="shared" si="135"/>
        <v>19.7</v>
      </c>
    </row>
    <row r="8676" spans="2:7" x14ac:dyDescent="0.35">
      <c r="B8676" s="1">
        <v>46019</v>
      </c>
      <c r="C8676" s="2">
        <v>0.41666666666666669</v>
      </c>
      <c r="D8676">
        <v>-1.3</v>
      </c>
      <c r="E8676">
        <f>IF($D8676 &gt; 16, 0, $J$3*(16 - $D8676))</f>
        <v>3594.0515187220581</v>
      </c>
      <c r="F8676">
        <f>IF($D8676 &gt; 16, 0,$E8676*$J$5)</f>
        <v>39063745.956990048</v>
      </c>
      <c r="G8676">
        <f t="shared" si="135"/>
        <v>17.3</v>
      </c>
    </row>
    <row r="8677" spans="2:7" x14ac:dyDescent="0.35">
      <c r="B8677" s="1">
        <v>46019</v>
      </c>
      <c r="C8677" s="2">
        <v>0.45833333333333331</v>
      </c>
      <c r="D8677">
        <v>0.1</v>
      </c>
      <c r="E8677">
        <f>IF($D8677 &gt; 16, 0, $J$3*(16 - $D8677))</f>
        <v>3303.2034189410824</v>
      </c>
      <c r="F8677">
        <f>IF($D8677 &gt; 16, 0,$E8677*$J$5)</f>
        <v>35902517.960470624</v>
      </c>
      <c r="G8677">
        <f t="shared" si="135"/>
        <v>15.9</v>
      </c>
    </row>
    <row r="8678" spans="2:7" x14ac:dyDescent="0.35">
      <c r="B8678" s="1">
        <v>46019</v>
      </c>
      <c r="C8678" s="2">
        <v>0.5</v>
      </c>
      <c r="D8678">
        <v>2.5</v>
      </c>
      <c r="E8678">
        <f>IF($D8678 &gt; 16, 0, $J$3*(16 - $D8678))</f>
        <v>2804.6066764594093</v>
      </c>
      <c r="F8678">
        <f>IF($D8678 &gt; 16, 0,$E8678*$J$5)</f>
        <v>30483269.966437321</v>
      </c>
      <c r="G8678">
        <f t="shared" si="135"/>
        <v>13.5</v>
      </c>
    </row>
    <row r="8679" spans="2:7" x14ac:dyDescent="0.35">
      <c r="B8679" s="1">
        <v>46019</v>
      </c>
      <c r="C8679" s="2">
        <v>0.54166666666666663</v>
      </c>
      <c r="D8679">
        <v>4.3</v>
      </c>
      <c r="E8679">
        <f>IF($D8679 &gt; 16, 0, $J$3*(16 - $D8679))</f>
        <v>2430.6591195981546</v>
      </c>
      <c r="F8679">
        <f>IF($D8679 &gt; 16, 0,$E8679*$J$5)</f>
        <v>26418833.970912341</v>
      </c>
      <c r="G8679">
        <f t="shared" si="135"/>
        <v>11.7</v>
      </c>
    </row>
    <row r="8680" spans="2:7" x14ac:dyDescent="0.35">
      <c r="B8680" s="1">
        <v>46019</v>
      </c>
      <c r="C8680" s="2">
        <v>0.58333333333333337</v>
      </c>
      <c r="D8680">
        <v>3.8</v>
      </c>
      <c r="E8680">
        <f>IF($D8680 &gt; 16, 0, $J$3*(16 - $D8680))</f>
        <v>2534.5334409485031</v>
      </c>
      <c r="F8680">
        <f>IF($D8680 &gt; 16, 0,$E8680*$J$5)</f>
        <v>27547843.969669279</v>
      </c>
      <c r="G8680">
        <f t="shared" si="135"/>
        <v>12.2</v>
      </c>
    </row>
    <row r="8681" spans="2:7" x14ac:dyDescent="0.35">
      <c r="B8681" s="1">
        <v>46019</v>
      </c>
      <c r="C8681" s="2">
        <v>0.625</v>
      </c>
      <c r="D8681">
        <v>1.9</v>
      </c>
      <c r="E8681">
        <f>IF($D8681 &gt; 16, 0, $J$3*(16 - $D8681))</f>
        <v>2929.2558620798277</v>
      </c>
      <c r="F8681">
        <f>IF($D8681 &gt; 16, 0,$E8681*$J$5)</f>
        <v>31838081.964945648</v>
      </c>
      <c r="G8681">
        <f t="shared" si="135"/>
        <v>14.1</v>
      </c>
    </row>
    <row r="8682" spans="2:7" x14ac:dyDescent="0.35">
      <c r="B8682" s="1">
        <v>46019</v>
      </c>
      <c r="C8682" s="2">
        <v>0.66666666666666663</v>
      </c>
      <c r="D8682">
        <v>-0.8</v>
      </c>
      <c r="E8682">
        <f>IF($D8682 &gt; 16, 0, $J$3*(16 - $D8682))</f>
        <v>3490.1771973717096</v>
      </c>
      <c r="F8682">
        <f>IF($D8682 &gt; 16, 0,$E8682*$J$5)</f>
        <v>37934735.958233111</v>
      </c>
      <c r="G8682">
        <f t="shared" si="135"/>
        <v>16.8</v>
      </c>
    </row>
    <row r="8683" spans="2:7" x14ac:dyDescent="0.35">
      <c r="B8683" s="1">
        <v>46019</v>
      </c>
      <c r="C8683" s="2">
        <v>0.70833333333333337</v>
      </c>
      <c r="D8683">
        <v>0.8</v>
      </c>
      <c r="E8683">
        <f>IF($D8683 &gt; 16, 0, $J$3*(16 - $D8683))</f>
        <v>3157.7793690505941</v>
      </c>
      <c r="F8683">
        <f>IF($D8683 &gt; 16, 0,$E8683*$J$5)</f>
        <v>34321903.962210909</v>
      </c>
      <c r="G8683">
        <f t="shared" si="135"/>
        <v>15.2</v>
      </c>
    </row>
    <row r="8684" spans="2:7" x14ac:dyDescent="0.35">
      <c r="B8684" s="1">
        <v>46019</v>
      </c>
      <c r="C8684" s="2">
        <v>0.75</v>
      </c>
      <c r="D8684">
        <v>0.3</v>
      </c>
      <c r="E8684">
        <f>IF($D8684 &gt; 16, 0, $J$3*(16 - $D8684))</f>
        <v>3261.6536904009427</v>
      </c>
      <c r="F8684">
        <f>IF($D8684 &gt; 16, 0,$E8684*$J$5)</f>
        <v>35450913.960967846</v>
      </c>
      <c r="G8684">
        <f t="shared" si="135"/>
        <v>15.7</v>
      </c>
    </row>
    <row r="8685" spans="2:7" x14ac:dyDescent="0.35">
      <c r="B8685" s="1">
        <v>46019</v>
      </c>
      <c r="C8685" s="2">
        <v>0.79166666666666663</v>
      </c>
      <c r="D8685">
        <v>0.2</v>
      </c>
      <c r="E8685">
        <f>IF($D8685 &gt; 16, 0, $J$3*(16 - $D8685))</f>
        <v>3282.4285546710125</v>
      </c>
      <c r="F8685">
        <f>IF($D8685 &gt; 16, 0,$E8685*$J$5)</f>
        <v>35676715.960719235</v>
      </c>
      <c r="G8685">
        <f t="shared" si="135"/>
        <v>15.8</v>
      </c>
    </row>
    <row r="8686" spans="2:7" x14ac:dyDescent="0.35">
      <c r="B8686" s="1">
        <v>46019</v>
      </c>
      <c r="C8686" s="2">
        <v>0.83333333333333337</v>
      </c>
      <c r="D8686">
        <v>0.3</v>
      </c>
      <c r="E8686">
        <f>IF($D8686 &gt; 16, 0, $J$3*(16 - $D8686))</f>
        <v>3261.6536904009427</v>
      </c>
      <c r="F8686">
        <f>IF($D8686 &gt; 16, 0,$E8686*$J$5)</f>
        <v>35450913.960967846</v>
      </c>
      <c r="G8686">
        <f t="shared" si="135"/>
        <v>15.7</v>
      </c>
    </row>
    <row r="8687" spans="2:7" x14ac:dyDescent="0.35">
      <c r="B8687" s="1">
        <v>46019</v>
      </c>
      <c r="C8687" s="2">
        <v>0.875</v>
      </c>
      <c r="D8687">
        <v>0.2</v>
      </c>
      <c r="E8687">
        <f>IF($D8687 &gt; 16, 0, $J$3*(16 - $D8687))</f>
        <v>3282.4285546710125</v>
      </c>
      <c r="F8687">
        <f>IF($D8687 &gt; 16, 0,$E8687*$J$5)</f>
        <v>35676715.960719235</v>
      </c>
      <c r="G8687">
        <f t="shared" si="135"/>
        <v>15.8</v>
      </c>
    </row>
    <row r="8688" spans="2:7" x14ac:dyDescent="0.35">
      <c r="B8688" s="1">
        <v>46019</v>
      </c>
      <c r="C8688" s="2">
        <v>0.91666666666666663</v>
      </c>
      <c r="D8688">
        <v>0.7</v>
      </c>
      <c r="E8688">
        <f>IF($D8688 &gt; 16, 0, $J$3*(16 - $D8688))</f>
        <v>3178.554233320664</v>
      </c>
      <c r="F8688">
        <f>IF($D8688 &gt; 16, 0,$E8688*$J$5)</f>
        <v>34547705.961962298</v>
      </c>
      <c r="G8688">
        <f t="shared" si="135"/>
        <v>15.3</v>
      </c>
    </row>
    <row r="8689" spans="2:7" x14ac:dyDescent="0.35">
      <c r="B8689" s="1">
        <v>46019</v>
      </c>
      <c r="C8689" s="2">
        <v>0.95833333333333337</v>
      </c>
      <c r="D8689">
        <v>1.1000000000000001</v>
      </c>
      <c r="E8689">
        <f>IF($D8689 &gt; 16, 0, $J$3*(16 - $D8689))</f>
        <v>3095.4547762403854</v>
      </c>
      <c r="F8689">
        <f>IF($D8689 &gt; 16, 0,$E8689*$J$5)</f>
        <v>33644497.962956749</v>
      </c>
      <c r="G8689">
        <f t="shared" si="135"/>
        <v>14.9</v>
      </c>
    </row>
    <row r="8690" spans="2:7" x14ac:dyDescent="0.35">
      <c r="B8690" s="1">
        <v>46020</v>
      </c>
      <c r="C8690" s="2">
        <v>0</v>
      </c>
      <c r="D8690">
        <v>1.8</v>
      </c>
      <c r="E8690">
        <f>IF($D8690 &gt; 16, 0, $J$3*(16 - $D8690))</f>
        <v>2950.0307263498971</v>
      </c>
      <c r="F8690">
        <f>IF($D8690 &gt; 16, 0,$E8690*$J$5)</f>
        <v>32063883.964697033</v>
      </c>
      <c r="G8690">
        <f t="shared" si="135"/>
        <v>14.2</v>
      </c>
    </row>
    <row r="8691" spans="2:7" x14ac:dyDescent="0.35">
      <c r="B8691" s="1">
        <v>46020</v>
      </c>
      <c r="C8691" s="2">
        <v>4.1666666666666657E-2</v>
      </c>
      <c r="D8691">
        <v>2.7</v>
      </c>
      <c r="E8691">
        <f>IF($D8691 &gt; 16, 0, $J$3*(16 - $D8691))</f>
        <v>2763.05694791927</v>
      </c>
      <c r="F8691">
        <f>IF($D8691 &gt; 16, 0,$E8691*$J$5)</f>
        <v>30031665.966934547</v>
      </c>
      <c r="G8691">
        <f t="shared" si="135"/>
        <v>13.3</v>
      </c>
    </row>
    <row r="8692" spans="2:7" x14ac:dyDescent="0.35">
      <c r="B8692" s="1">
        <v>46020</v>
      </c>
      <c r="C8692" s="2">
        <v>8.3333333333333329E-2</v>
      </c>
      <c r="D8692">
        <v>3.3</v>
      </c>
      <c r="E8692">
        <f>IF($D8692 &gt; 16, 0, $J$3*(16 - $D8692))</f>
        <v>2638.4077622988516</v>
      </c>
      <c r="F8692">
        <f>IF($D8692 &gt; 16, 0,$E8692*$J$5)</f>
        <v>28676853.968426216</v>
      </c>
      <c r="G8692">
        <f t="shared" si="135"/>
        <v>12.7</v>
      </c>
    </row>
    <row r="8693" spans="2:7" x14ac:dyDescent="0.35">
      <c r="B8693" s="1">
        <v>46020</v>
      </c>
      <c r="C8693" s="2">
        <v>0.125</v>
      </c>
      <c r="D8693">
        <v>4.5999999999999996</v>
      </c>
      <c r="E8693">
        <f>IF($D8693 &gt; 16, 0, $J$3*(16 - $D8693))</f>
        <v>2368.3345267879458</v>
      </c>
      <c r="F8693">
        <f>IF($D8693 &gt; 16, 0,$E8693*$J$5)</f>
        <v>25741427.971658185</v>
      </c>
      <c r="G8693">
        <f t="shared" si="135"/>
        <v>11.4</v>
      </c>
    </row>
    <row r="8694" spans="2:7" x14ac:dyDescent="0.35">
      <c r="B8694" s="1">
        <v>46020</v>
      </c>
      <c r="C8694" s="2">
        <v>0.16666666666666671</v>
      </c>
      <c r="D8694">
        <v>4.9000000000000004</v>
      </c>
      <c r="E8694">
        <f>IF($D8694 &gt; 16, 0, $J$3*(16 - $D8694))</f>
        <v>2306.0099339777366</v>
      </c>
      <c r="F8694">
        <f>IF($D8694 &gt; 16, 0,$E8694*$J$5)</f>
        <v>25064021.972404018</v>
      </c>
      <c r="G8694">
        <f t="shared" si="135"/>
        <v>11.1</v>
      </c>
    </row>
    <row r="8695" spans="2:7" x14ac:dyDescent="0.35">
      <c r="B8695" s="1">
        <v>46020</v>
      </c>
      <c r="C8695" s="2">
        <v>0.20833333333333329</v>
      </c>
      <c r="D8695">
        <v>4.9000000000000004</v>
      </c>
      <c r="E8695">
        <f>IF($D8695 &gt; 16, 0, $J$3*(16 - $D8695))</f>
        <v>2306.0099339777366</v>
      </c>
      <c r="F8695">
        <f>IF($D8695 &gt; 16, 0,$E8695*$J$5)</f>
        <v>25064021.972404018</v>
      </c>
      <c r="G8695">
        <f t="shared" si="135"/>
        <v>11.1</v>
      </c>
    </row>
    <row r="8696" spans="2:7" x14ac:dyDescent="0.35">
      <c r="B8696" s="1">
        <v>46020</v>
      </c>
      <c r="C8696" s="2">
        <v>0.25</v>
      </c>
      <c r="D8696">
        <v>5.0999999999999996</v>
      </c>
      <c r="E8696">
        <f>IF($D8696 &gt; 16, 0, $J$3*(16 - $D8696))</f>
        <v>2264.4602054375973</v>
      </c>
      <c r="F8696">
        <f>IF($D8696 &gt; 16, 0,$E8696*$J$5)</f>
        <v>24612417.972901244</v>
      </c>
      <c r="G8696">
        <f t="shared" si="135"/>
        <v>10.9</v>
      </c>
    </row>
    <row r="8697" spans="2:7" x14ac:dyDescent="0.35">
      <c r="B8697" s="1">
        <v>46020</v>
      </c>
      <c r="C8697" s="2">
        <v>0.29166666666666669</v>
      </c>
      <c r="D8697">
        <v>5.2</v>
      </c>
      <c r="E8697">
        <f>IF($D8697 &gt; 16, 0, $J$3*(16 - $D8697))</f>
        <v>2243.6853411675274</v>
      </c>
      <c r="F8697">
        <f>IF($D8697 &gt; 16, 0,$E8697*$J$5)</f>
        <v>24386615.973149855</v>
      </c>
      <c r="G8697">
        <f t="shared" si="135"/>
        <v>10.8</v>
      </c>
    </row>
    <row r="8698" spans="2:7" x14ac:dyDescent="0.35">
      <c r="B8698" s="1">
        <v>46020</v>
      </c>
      <c r="C8698" s="2">
        <v>0.33333333333333331</v>
      </c>
      <c r="D8698">
        <v>5.4</v>
      </c>
      <c r="E8698">
        <f>IF($D8698 &gt; 16, 0, $J$3*(16 - $D8698))</f>
        <v>2202.1356126273881</v>
      </c>
      <c r="F8698">
        <f>IF($D8698 &gt; 16, 0,$E8698*$J$5)</f>
        <v>23935011.97364708</v>
      </c>
      <c r="G8698">
        <f t="shared" si="135"/>
        <v>10.6</v>
      </c>
    </row>
    <row r="8699" spans="2:7" x14ac:dyDescent="0.35">
      <c r="B8699" s="1">
        <v>46020</v>
      </c>
      <c r="C8699" s="2">
        <v>0.375</v>
      </c>
      <c r="D8699">
        <v>5.5</v>
      </c>
      <c r="E8699">
        <f>IF($D8699 &gt; 16, 0, $J$3*(16 - $D8699))</f>
        <v>2181.3607483573182</v>
      </c>
      <c r="F8699">
        <f>IF($D8699 &gt; 16, 0,$E8699*$J$5)</f>
        <v>23709209.973895691</v>
      </c>
      <c r="G8699">
        <f t="shared" si="135"/>
        <v>10.5</v>
      </c>
    </row>
    <row r="8700" spans="2:7" x14ac:dyDescent="0.35">
      <c r="B8700" s="1">
        <v>46020</v>
      </c>
      <c r="C8700" s="2">
        <v>0.41666666666666669</v>
      </c>
      <c r="D8700">
        <v>6.1</v>
      </c>
      <c r="E8700">
        <f>IF($D8700 &gt; 16, 0, $J$3*(16 - $D8700))</f>
        <v>2056.7115627369003</v>
      </c>
      <c r="F8700">
        <f>IF($D8700 &gt; 16, 0,$E8700*$J$5)</f>
        <v>22354397.975387368</v>
      </c>
      <c r="G8700">
        <f t="shared" si="135"/>
        <v>9.9</v>
      </c>
    </row>
    <row r="8701" spans="2:7" x14ac:dyDescent="0.35">
      <c r="B8701" s="1">
        <v>46020</v>
      </c>
      <c r="C8701" s="2">
        <v>0.45833333333333331</v>
      </c>
      <c r="D8701">
        <v>6.6</v>
      </c>
      <c r="E8701">
        <f>IF($D8701 &gt; 16, 0, $J$3*(16 - $D8701))</f>
        <v>1952.8372413865518</v>
      </c>
      <c r="F8701">
        <f>IF($D8701 &gt; 16, 0,$E8701*$J$5)</f>
        <v>21225387.976630431</v>
      </c>
      <c r="G8701">
        <f t="shared" si="135"/>
        <v>9.4</v>
      </c>
    </row>
    <row r="8702" spans="2:7" x14ac:dyDescent="0.35">
      <c r="B8702" s="1">
        <v>46020</v>
      </c>
      <c r="C8702" s="2">
        <v>0.5</v>
      </c>
      <c r="D8702">
        <v>6.8</v>
      </c>
      <c r="E8702">
        <f>IF($D8702 &gt; 16, 0, $J$3*(16 - $D8702))</f>
        <v>1911.2875128464123</v>
      </c>
      <c r="F8702">
        <f>IF($D8702 &gt; 16, 0,$E8702*$J$5)</f>
        <v>20773783.977127656</v>
      </c>
      <c r="G8702">
        <f t="shared" si="135"/>
        <v>9.1999999999999993</v>
      </c>
    </row>
    <row r="8703" spans="2:7" x14ac:dyDescent="0.35">
      <c r="B8703" s="1">
        <v>46020</v>
      </c>
      <c r="C8703" s="2">
        <v>0.54166666666666663</v>
      </c>
      <c r="D8703">
        <v>6.9</v>
      </c>
      <c r="E8703">
        <f>IF($D8703 &gt; 16, 0, $J$3*(16 - $D8703))</f>
        <v>1890.5126485763426</v>
      </c>
      <c r="F8703">
        <f>IF($D8703 &gt; 16, 0,$E8703*$J$5)</f>
        <v>20547981.977376267</v>
      </c>
      <c r="G8703">
        <f t="shared" si="135"/>
        <v>9.1</v>
      </c>
    </row>
    <row r="8704" spans="2:7" x14ac:dyDescent="0.35">
      <c r="B8704" s="1">
        <v>46020</v>
      </c>
      <c r="C8704" s="2">
        <v>0.58333333333333337</v>
      </c>
      <c r="D8704">
        <v>6.9</v>
      </c>
      <c r="E8704">
        <f>IF($D8704 &gt; 16, 0, $J$3*(16 - $D8704))</f>
        <v>1890.5126485763426</v>
      </c>
      <c r="F8704">
        <f>IF($D8704 &gt; 16, 0,$E8704*$J$5)</f>
        <v>20547981.977376267</v>
      </c>
      <c r="G8704">
        <f t="shared" si="135"/>
        <v>9.1</v>
      </c>
    </row>
    <row r="8705" spans="2:7" x14ac:dyDescent="0.35">
      <c r="B8705" s="1">
        <v>46020</v>
      </c>
      <c r="C8705" s="2">
        <v>0.625</v>
      </c>
      <c r="D8705">
        <v>5.9</v>
      </c>
      <c r="E8705">
        <f>IF($D8705 &gt; 16, 0, $J$3*(16 - $D8705))</f>
        <v>2098.2612912770396</v>
      </c>
      <c r="F8705">
        <f>IF($D8705 &gt; 16, 0,$E8705*$J$5)</f>
        <v>22806001.974890143</v>
      </c>
      <c r="G8705">
        <f t="shared" si="135"/>
        <v>10.1</v>
      </c>
    </row>
    <row r="8706" spans="2:7" x14ac:dyDescent="0.35">
      <c r="B8706" s="1">
        <v>46020</v>
      </c>
      <c r="C8706" s="2">
        <v>0.66666666666666663</v>
      </c>
      <c r="D8706">
        <v>5.2</v>
      </c>
      <c r="E8706">
        <f>IF($D8706 &gt; 16, 0, $J$3*(16 - $D8706))</f>
        <v>2243.6853411675274</v>
      </c>
      <c r="F8706">
        <f>IF($D8706 &gt; 16, 0,$E8706*$J$5)</f>
        <v>24386615.973149855</v>
      </c>
      <c r="G8706">
        <f t="shared" si="135"/>
        <v>10.8</v>
      </c>
    </row>
    <row r="8707" spans="2:7" x14ac:dyDescent="0.35">
      <c r="B8707" s="1">
        <v>46020</v>
      </c>
      <c r="C8707" s="2">
        <v>0.70833333333333337</v>
      </c>
      <c r="D8707">
        <v>4.4000000000000004</v>
      </c>
      <c r="E8707">
        <f>IF($D8707 &gt; 16, 0, $J$3*(16 - $D8707))</f>
        <v>2409.8842553280851</v>
      </c>
      <c r="F8707">
        <f>IF($D8707 &gt; 16, 0,$E8707*$J$5)</f>
        <v>26193031.971160956</v>
      </c>
      <c r="G8707">
        <f t="shared" ref="G8707:G8761" si="136">MAX(0, 16 - $D8707)</f>
        <v>11.6</v>
      </c>
    </row>
    <row r="8708" spans="2:7" x14ac:dyDescent="0.35">
      <c r="B8708" s="1">
        <v>46020</v>
      </c>
      <c r="C8708" s="2">
        <v>0.75</v>
      </c>
      <c r="D8708">
        <v>3.4</v>
      </c>
      <c r="E8708">
        <f>IF($D8708 &gt; 16, 0, $J$3*(16 - $D8708))</f>
        <v>2617.6328980287822</v>
      </c>
      <c r="F8708">
        <f>IF($D8708 &gt; 16, 0,$E8708*$J$5)</f>
        <v>28451051.968674835</v>
      </c>
      <c r="G8708">
        <f t="shared" si="136"/>
        <v>12.6</v>
      </c>
    </row>
    <row r="8709" spans="2:7" x14ac:dyDescent="0.35">
      <c r="B8709" s="1">
        <v>46020</v>
      </c>
      <c r="C8709" s="2">
        <v>0.79166666666666663</v>
      </c>
      <c r="D8709">
        <v>3</v>
      </c>
      <c r="E8709">
        <f>IF($D8709 &gt; 16, 0, $J$3*(16 - $D8709))</f>
        <v>2700.7323551090608</v>
      </c>
      <c r="F8709">
        <f>IF($D8709 &gt; 16, 0,$E8709*$J$5)</f>
        <v>29354259.967680383</v>
      </c>
      <c r="G8709">
        <f t="shared" si="136"/>
        <v>13</v>
      </c>
    </row>
    <row r="8710" spans="2:7" x14ac:dyDescent="0.35">
      <c r="B8710" s="1">
        <v>46020</v>
      </c>
      <c r="C8710" s="2">
        <v>0.83333333333333337</v>
      </c>
      <c r="D8710">
        <v>2.1</v>
      </c>
      <c r="E8710">
        <f>IF($D8710 &gt; 16, 0, $J$3*(16 - $D8710))</f>
        <v>2887.7061335396884</v>
      </c>
      <c r="F8710">
        <f>IF($D8710 &gt; 16, 0,$E8710*$J$5)</f>
        <v>31386477.965442874</v>
      </c>
      <c r="G8710">
        <f t="shared" si="136"/>
        <v>13.9</v>
      </c>
    </row>
    <row r="8711" spans="2:7" x14ac:dyDescent="0.35">
      <c r="B8711" s="1">
        <v>46020</v>
      </c>
      <c r="C8711" s="2">
        <v>0.875</v>
      </c>
      <c r="D8711">
        <v>0</v>
      </c>
      <c r="E8711">
        <f>IF($D8711 &gt; 16, 0, $J$3*(16 - $D8711))</f>
        <v>3323.9782832111518</v>
      </c>
      <c r="F8711">
        <f>IF($D8711 &gt; 16, 0,$E8711*$J$5)</f>
        <v>36128319.960222006</v>
      </c>
      <c r="G8711">
        <f t="shared" si="136"/>
        <v>16</v>
      </c>
    </row>
    <row r="8712" spans="2:7" x14ac:dyDescent="0.35">
      <c r="B8712" s="1">
        <v>46020</v>
      </c>
      <c r="C8712" s="2">
        <v>0.91666666666666663</v>
      </c>
      <c r="D8712">
        <v>-0.6</v>
      </c>
      <c r="E8712">
        <f>IF($D8712 &gt; 16, 0, $J$3*(16 - $D8712))</f>
        <v>3448.6274688315702</v>
      </c>
      <c r="F8712">
        <f>IF($D8712 &gt; 16, 0,$E8712*$J$5)</f>
        <v>37483131.95873034</v>
      </c>
      <c r="G8712">
        <f t="shared" si="136"/>
        <v>16.600000000000001</v>
      </c>
    </row>
    <row r="8713" spans="2:7" x14ac:dyDescent="0.35">
      <c r="B8713" s="1">
        <v>46020</v>
      </c>
      <c r="C8713" s="2">
        <v>0.95833333333333337</v>
      </c>
      <c r="D8713">
        <v>0.5</v>
      </c>
      <c r="E8713">
        <f>IF($D8713 &gt; 16, 0, $J$3*(16 - $D8713))</f>
        <v>3220.1039618608033</v>
      </c>
      <c r="F8713">
        <f>IF($D8713 &gt; 16, 0,$E8713*$J$5)</f>
        <v>34999309.961465068</v>
      </c>
      <c r="G8713">
        <f t="shared" si="136"/>
        <v>15.5</v>
      </c>
    </row>
    <row r="8714" spans="2:7" x14ac:dyDescent="0.35">
      <c r="B8714" s="1">
        <v>46021</v>
      </c>
      <c r="C8714" s="2">
        <v>0</v>
      </c>
      <c r="D8714">
        <v>-0.2</v>
      </c>
      <c r="E8714">
        <f>IF($D8714 &gt; 16, 0, $J$3*(16 - $D8714))</f>
        <v>3365.5280117512912</v>
      </c>
      <c r="F8714">
        <f>IF($D8714 &gt; 16, 0,$E8714*$J$5)</f>
        <v>36579923.959724784</v>
      </c>
      <c r="G8714">
        <f t="shared" si="136"/>
        <v>16.2</v>
      </c>
    </row>
    <row r="8715" spans="2:7" x14ac:dyDescent="0.35">
      <c r="B8715" s="1">
        <v>46021</v>
      </c>
      <c r="C8715" s="2">
        <v>4.1666666666666657E-2</v>
      </c>
      <c r="D8715">
        <v>-1.5</v>
      </c>
      <c r="E8715">
        <f>IF($D8715 &gt; 16, 0, $J$3*(16 - $D8715))</f>
        <v>3635.6012472621974</v>
      </c>
      <c r="F8715">
        <f>IF($D8715 &gt; 16, 0,$E8715*$J$5)</f>
        <v>39515349.956492826</v>
      </c>
      <c r="G8715">
        <f t="shared" si="136"/>
        <v>17.5</v>
      </c>
    </row>
    <row r="8716" spans="2:7" x14ac:dyDescent="0.35">
      <c r="B8716" s="1">
        <v>46021</v>
      </c>
      <c r="C8716" s="2">
        <v>8.3333333333333329E-2</v>
      </c>
      <c r="D8716">
        <v>-1.7</v>
      </c>
      <c r="E8716">
        <f>IF($D8716 &gt; 16, 0, $J$3*(16 - $D8716))</f>
        <v>3677.1509758023367</v>
      </c>
      <c r="F8716">
        <f>IF($D8716 &gt; 16, 0,$E8716*$J$5)</f>
        <v>39966953.955995597</v>
      </c>
      <c r="G8716">
        <f t="shared" si="136"/>
        <v>17.7</v>
      </c>
    </row>
    <row r="8717" spans="2:7" x14ac:dyDescent="0.35">
      <c r="B8717" s="1">
        <v>46021</v>
      </c>
      <c r="C8717" s="2">
        <v>0.125</v>
      </c>
      <c r="D8717">
        <v>-2.1</v>
      </c>
      <c r="E8717">
        <f>IF($D8717 &gt; 16, 0, $J$3*(16 - $D8717))</f>
        <v>3760.2504328826158</v>
      </c>
      <c r="F8717">
        <f>IF($D8717 &gt; 16, 0,$E8717*$J$5)</f>
        <v>40870161.955001153</v>
      </c>
      <c r="G8717">
        <f t="shared" si="136"/>
        <v>18.100000000000001</v>
      </c>
    </row>
    <row r="8718" spans="2:7" x14ac:dyDescent="0.35">
      <c r="B8718" s="1">
        <v>46021</v>
      </c>
      <c r="C8718" s="2">
        <v>0.16666666666666671</v>
      </c>
      <c r="D8718">
        <v>-1.9</v>
      </c>
      <c r="E8718">
        <f>IF($D8718 &gt; 16, 0, $J$3*(16 - $D8718))</f>
        <v>3718.700704342476</v>
      </c>
      <c r="F8718">
        <f>IF($D8718 &gt; 16, 0,$E8718*$J$5)</f>
        <v>40418557.955498375</v>
      </c>
      <c r="G8718">
        <f t="shared" si="136"/>
        <v>17.899999999999999</v>
      </c>
    </row>
    <row r="8719" spans="2:7" x14ac:dyDescent="0.35">
      <c r="B8719" s="1">
        <v>46021</v>
      </c>
      <c r="C8719" s="2">
        <v>0.20833333333333329</v>
      </c>
      <c r="D8719">
        <v>-1.7</v>
      </c>
      <c r="E8719">
        <f>IF($D8719 &gt; 16, 0, $J$3*(16 - $D8719))</f>
        <v>3677.1509758023367</v>
      </c>
      <c r="F8719">
        <f>IF($D8719 &gt; 16, 0,$E8719*$J$5)</f>
        <v>39966953.955995597</v>
      </c>
      <c r="G8719">
        <f t="shared" si="136"/>
        <v>17.7</v>
      </c>
    </row>
    <row r="8720" spans="2:7" x14ac:dyDescent="0.35">
      <c r="B8720" s="1">
        <v>46021</v>
      </c>
      <c r="C8720" s="2">
        <v>0.25</v>
      </c>
      <c r="D8720">
        <v>-2.2000000000000002</v>
      </c>
      <c r="E8720">
        <f>IF($D8720 &gt; 16, 0, $J$3*(16 - $D8720))</f>
        <v>3781.0252971526852</v>
      </c>
      <c r="F8720">
        <f>IF($D8720 &gt; 16, 0,$E8720*$J$5)</f>
        <v>41095963.954752535</v>
      </c>
      <c r="G8720">
        <f t="shared" si="136"/>
        <v>18.2</v>
      </c>
    </row>
    <row r="8721" spans="2:7" x14ac:dyDescent="0.35">
      <c r="B8721" s="1">
        <v>46021</v>
      </c>
      <c r="C8721" s="2">
        <v>0.29166666666666669</v>
      </c>
      <c r="D8721">
        <v>-3</v>
      </c>
      <c r="E8721">
        <f>IF($D8721 &gt; 16, 0, $J$3*(16 - $D8721))</f>
        <v>3947.2242113132429</v>
      </c>
      <c r="F8721">
        <f>IF($D8721 &gt; 16, 0,$E8721*$J$5)</f>
        <v>42902379.952763639</v>
      </c>
      <c r="G8721">
        <f t="shared" si="136"/>
        <v>19</v>
      </c>
    </row>
    <row r="8722" spans="2:7" x14ac:dyDescent="0.35">
      <c r="B8722" s="1">
        <v>46021</v>
      </c>
      <c r="C8722" s="2">
        <v>0.33333333333333331</v>
      </c>
      <c r="D8722">
        <v>-3.2</v>
      </c>
      <c r="E8722">
        <f>IF($D8722 &gt; 16, 0, $J$3*(16 - $D8722))</f>
        <v>3988.7739398533822</v>
      </c>
      <c r="F8722">
        <f>IF($D8722 &gt; 16, 0,$E8722*$J$5)</f>
        <v>43353983.95226641</v>
      </c>
      <c r="G8722">
        <f t="shared" si="136"/>
        <v>19.2</v>
      </c>
    </row>
    <row r="8723" spans="2:7" x14ac:dyDescent="0.35">
      <c r="B8723" s="1">
        <v>46021</v>
      </c>
      <c r="C8723" s="2">
        <v>0.375</v>
      </c>
      <c r="D8723">
        <v>-1.7</v>
      </c>
      <c r="E8723">
        <f>IF($D8723 &gt; 16, 0, $J$3*(16 - $D8723))</f>
        <v>3677.1509758023367</v>
      </c>
      <c r="F8723">
        <f>IF($D8723 &gt; 16, 0,$E8723*$J$5)</f>
        <v>39966953.955995597</v>
      </c>
      <c r="G8723">
        <f t="shared" si="136"/>
        <v>17.7</v>
      </c>
    </row>
    <row r="8724" spans="2:7" x14ac:dyDescent="0.35">
      <c r="B8724" s="1">
        <v>46021</v>
      </c>
      <c r="C8724" s="2">
        <v>0.41666666666666669</v>
      </c>
      <c r="D8724">
        <v>-0.2</v>
      </c>
      <c r="E8724">
        <f>IF($D8724 &gt; 16, 0, $J$3*(16 - $D8724))</f>
        <v>3365.5280117512912</v>
      </c>
      <c r="F8724">
        <f>IF($D8724 &gt; 16, 0,$E8724*$J$5)</f>
        <v>36579923.959724784</v>
      </c>
      <c r="G8724">
        <f t="shared" si="136"/>
        <v>16.2</v>
      </c>
    </row>
    <row r="8725" spans="2:7" x14ac:dyDescent="0.35">
      <c r="B8725" s="1">
        <v>46021</v>
      </c>
      <c r="C8725" s="2">
        <v>0.45833333333333331</v>
      </c>
      <c r="D8725">
        <v>1</v>
      </c>
      <c r="E8725">
        <f>IF($D8725 &gt; 16, 0, $J$3*(16 - $D8725))</f>
        <v>3116.2296405104548</v>
      </c>
      <c r="F8725">
        <f>IF($D8725 &gt; 16, 0,$E8725*$J$5)</f>
        <v>33870299.96270813</v>
      </c>
      <c r="G8725">
        <f t="shared" si="136"/>
        <v>15</v>
      </c>
    </row>
    <row r="8726" spans="2:7" x14ac:dyDescent="0.35">
      <c r="B8726" s="1">
        <v>46021</v>
      </c>
      <c r="C8726" s="2">
        <v>0.5</v>
      </c>
      <c r="D8726">
        <v>2</v>
      </c>
      <c r="E8726">
        <f>IF($D8726 &gt; 16, 0, $J$3*(16 - $D8726))</f>
        <v>2908.4809978097578</v>
      </c>
      <c r="F8726">
        <f>IF($D8726 &gt; 16, 0,$E8726*$J$5)</f>
        <v>31612279.965194259</v>
      </c>
      <c r="G8726">
        <f t="shared" si="136"/>
        <v>14</v>
      </c>
    </row>
    <row r="8727" spans="2:7" x14ac:dyDescent="0.35">
      <c r="B8727" s="1">
        <v>46021</v>
      </c>
      <c r="C8727" s="2">
        <v>0.54166666666666663</v>
      </c>
      <c r="D8727">
        <v>2.4</v>
      </c>
      <c r="E8727">
        <f>IF($D8727 &gt; 16, 0, $J$3*(16 - $D8727))</f>
        <v>2825.3815407294792</v>
      </c>
      <c r="F8727">
        <f>IF($D8727 &gt; 16, 0,$E8727*$J$5)</f>
        <v>30709071.96618871</v>
      </c>
      <c r="G8727">
        <f t="shared" si="136"/>
        <v>13.6</v>
      </c>
    </row>
    <row r="8728" spans="2:7" x14ac:dyDescent="0.35">
      <c r="B8728" s="1">
        <v>46021</v>
      </c>
      <c r="C8728" s="2">
        <v>0.58333333333333337</v>
      </c>
      <c r="D8728">
        <v>2.2999999999999998</v>
      </c>
      <c r="E8728">
        <f>IF($D8728 &gt; 16, 0, $J$3*(16 - $D8728))</f>
        <v>2846.1564049995486</v>
      </c>
      <c r="F8728">
        <f>IF($D8728 &gt; 16, 0,$E8728*$J$5)</f>
        <v>30934873.965940095</v>
      </c>
      <c r="G8728">
        <f t="shared" si="136"/>
        <v>13.7</v>
      </c>
    </row>
    <row r="8729" spans="2:7" x14ac:dyDescent="0.35">
      <c r="B8729" s="1">
        <v>46021</v>
      </c>
      <c r="C8729" s="2">
        <v>0.625</v>
      </c>
      <c r="D8729">
        <v>1.5</v>
      </c>
      <c r="E8729">
        <f>IF($D8729 &gt; 16, 0, $J$3*(16 - $D8729))</f>
        <v>3012.3553191601063</v>
      </c>
      <c r="F8729">
        <f>IF($D8729 &gt; 16, 0,$E8729*$J$5)</f>
        <v>32741289.963951197</v>
      </c>
      <c r="G8729">
        <f t="shared" si="136"/>
        <v>14.5</v>
      </c>
    </row>
    <row r="8730" spans="2:7" x14ac:dyDescent="0.35">
      <c r="B8730" s="1">
        <v>46021</v>
      </c>
      <c r="C8730" s="2">
        <v>0.66666666666666663</v>
      </c>
      <c r="D8730">
        <v>0.2</v>
      </c>
      <c r="E8730">
        <f>IF($D8730 &gt; 16, 0, $J$3*(16 - $D8730))</f>
        <v>3282.4285546710125</v>
      </c>
      <c r="F8730">
        <f>IF($D8730 &gt; 16, 0,$E8730*$J$5)</f>
        <v>35676715.960719235</v>
      </c>
      <c r="G8730">
        <f t="shared" si="136"/>
        <v>15.8</v>
      </c>
    </row>
    <row r="8731" spans="2:7" x14ac:dyDescent="0.35">
      <c r="B8731" s="1">
        <v>46021</v>
      </c>
      <c r="C8731" s="2">
        <v>0.70833333333333337</v>
      </c>
      <c r="D8731">
        <v>-0.4</v>
      </c>
      <c r="E8731">
        <f>IF($D8731 &gt; 16, 0, $J$3*(16 - $D8731))</f>
        <v>3407.0777402914305</v>
      </c>
      <c r="F8731">
        <f>IF($D8731 &gt; 16, 0,$E8731*$J$5)</f>
        <v>37031527.959227555</v>
      </c>
      <c r="G8731">
        <f t="shared" si="136"/>
        <v>16.399999999999999</v>
      </c>
    </row>
    <row r="8732" spans="2:7" x14ac:dyDescent="0.35">
      <c r="B8732" s="1">
        <v>46021</v>
      </c>
      <c r="C8732" s="2">
        <v>0.75</v>
      </c>
      <c r="D8732">
        <v>-1.4</v>
      </c>
      <c r="E8732">
        <f>IF($D8732 &gt; 16, 0, $J$3*(16 - $D8732))</f>
        <v>3614.8263829921275</v>
      </c>
      <c r="F8732">
        <f>IF($D8732 &gt; 16, 0,$E8732*$J$5)</f>
        <v>39289547.956741437</v>
      </c>
      <c r="G8732">
        <f t="shared" si="136"/>
        <v>17.399999999999999</v>
      </c>
    </row>
    <row r="8733" spans="2:7" x14ac:dyDescent="0.35">
      <c r="B8733" s="1">
        <v>46021</v>
      </c>
      <c r="C8733" s="2">
        <v>0.79166666666666663</v>
      </c>
      <c r="D8733">
        <v>-2.5</v>
      </c>
      <c r="E8733">
        <f>IF($D8733 &gt; 16, 0, $J$3*(16 - $D8733))</f>
        <v>3843.3498899628944</v>
      </c>
      <c r="F8733">
        <f>IF($D8733 &gt; 16, 0,$E8733*$J$5)</f>
        <v>41773369.954006702</v>
      </c>
      <c r="G8733">
        <f t="shared" si="136"/>
        <v>18.5</v>
      </c>
    </row>
    <row r="8734" spans="2:7" x14ac:dyDescent="0.35">
      <c r="B8734" s="1">
        <v>46021</v>
      </c>
      <c r="C8734" s="2">
        <v>0.83333333333333337</v>
      </c>
      <c r="D8734">
        <v>-4.3</v>
      </c>
      <c r="E8734">
        <f>IF($D8734 &gt; 16, 0, $J$3*(16 - $D8734))</f>
        <v>4217.2974468241491</v>
      </c>
      <c r="F8734">
        <f>IF($D8734 &gt; 16, 0,$E8734*$J$5)</f>
        <v>45837805.949531674</v>
      </c>
      <c r="G8734">
        <f t="shared" si="136"/>
        <v>20.3</v>
      </c>
    </row>
    <row r="8735" spans="2:7" x14ac:dyDescent="0.35">
      <c r="B8735" s="1">
        <v>46021</v>
      </c>
      <c r="C8735" s="2">
        <v>0.875</v>
      </c>
      <c r="D8735">
        <v>-2.2000000000000002</v>
      </c>
      <c r="E8735">
        <f>IF($D8735 &gt; 16, 0, $J$3*(16 - $D8735))</f>
        <v>3781.0252971526852</v>
      </c>
      <c r="F8735">
        <f>IF($D8735 &gt; 16, 0,$E8735*$J$5)</f>
        <v>41095963.954752535</v>
      </c>
      <c r="G8735">
        <f t="shared" si="136"/>
        <v>18.2</v>
      </c>
    </row>
    <row r="8736" spans="2:7" x14ac:dyDescent="0.35">
      <c r="B8736" s="1">
        <v>46021</v>
      </c>
      <c r="C8736" s="2">
        <v>0.91666666666666663</v>
      </c>
      <c r="D8736">
        <v>-1.8</v>
      </c>
      <c r="E8736">
        <f>IF($D8736 &gt; 16, 0, $J$3*(16 - $D8736))</f>
        <v>3697.9258400724066</v>
      </c>
      <c r="F8736">
        <f>IF($D8736 &gt; 16, 0,$E8736*$J$5)</f>
        <v>40192755.955746986</v>
      </c>
      <c r="G8736">
        <f t="shared" si="136"/>
        <v>17.8</v>
      </c>
    </row>
    <row r="8737" spans="2:7" x14ac:dyDescent="0.35">
      <c r="B8737" s="1">
        <v>46021</v>
      </c>
      <c r="C8737" s="2">
        <v>0.95833333333333337</v>
      </c>
      <c r="D8737">
        <v>-2.2000000000000002</v>
      </c>
      <c r="E8737">
        <f>IF($D8737 &gt; 16, 0, $J$3*(16 - $D8737))</f>
        <v>3781.0252971526852</v>
      </c>
      <c r="F8737">
        <f>IF($D8737 &gt; 16, 0,$E8737*$J$5)</f>
        <v>41095963.954752535</v>
      </c>
      <c r="G8737">
        <f t="shared" si="136"/>
        <v>18.2</v>
      </c>
    </row>
    <row r="8738" spans="2:7" x14ac:dyDescent="0.35">
      <c r="B8738" s="1">
        <v>46022</v>
      </c>
      <c r="C8738" s="2">
        <v>0</v>
      </c>
      <c r="D8738">
        <v>-1.3</v>
      </c>
      <c r="E8738">
        <f>IF($D8738 &gt; 16, 0, $J$3*(16 - $D8738))</f>
        <v>3594.0515187220581</v>
      </c>
      <c r="F8738">
        <f>IF($D8738 &gt; 16, 0,$E8738*$J$5)</f>
        <v>39063745.956990048</v>
      </c>
      <c r="G8738">
        <f t="shared" si="136"/>
        <v>17.3</v>
      </c>
    </row>
    <row r="8739" spans="2:7" x14ac:dyDescent="0.35">
      <c r="B8739" s="1">
        <v>46022</v>
      </c>
      <c r="C8739" s="2">
        <v>4.1666666666666657E-2</v>
      </c>
      <c r="D8739">
        <v>-0.2</v>
      </c>
      <c r="E8739">
        <f>IF($D8739 &gt; 16, 0, $J$3*(16 - $D8739))</f>
        <v>3365.5280117512912</v>
      </c>
      <c r="F8739">
        <f>IF($D8739 &gt; 16, 0,$E8739*$J$5)</f>
        <v>36579923.959724784</v>
      </c>
      <c r="G8739">
        <f t="shared" si="136"/>
        <v>16.2</v>
      </c>
    </row>
    <row r="8740" spans="2:7" x14ac:dyDescent="0.35">
      <c r="B8740" s="1">
        <v>46022</v>
      </c>
      <c r="C8740" s="2">
        <v>8.3333333333333329E-2</v>
      </c>
      <c r="D8740">
        <v>0.5</v>
      </c>
      <c r="E8740">
        <f>IF($D8740 &gt; 16, 0, $J$3*(16 - $D8740))</f>
        <v>3220.1039618608033</v>
      </c>
      <c r="F8740">
        <f>IF($D8740 &gt; 16, 0,$E8740*$J$5)</f>
        <v>34999309.961465068</v>
      </c>
      <c r="G8740">
        <f t="shared" si="136"/>
        <v>15.5</v>
      </c>
    </row>
    <row r="8741" spans="2:7" x14ac:dyDescent="0.35">
      <c r="B8741" s="1">
        <v>46022</v>
      </c>
      <c r="C8741" s="2">
        <v>0.125</v>
      </c>
      <c r="D8741">
        <v>1</v>
      </c>
      <c r="E8741">
        <f>IF($D8741 &gt; 16, 0, $J$3*(16 - $D8741))</f>
        <v>3116.2296405104548</v>
      </c>
      <c r="F8741">
        <f>IF($D8741 &gt; 16, 0,$E8741*$J$5)</f>
        <v>33870299.96270813</v>
      </c>
      <c r="G8741">
        <f t="shared" si="136"/>
        <v>15</v>
      </c>
    </row>
    <row r="8742" spans="2:7" x14ac:dyDescent="0.35">
      <c r="B8742" s="1">
        <v>46022</v>
      </c>
      <c r="C8742" s="2">
        <v>0.16666666666666671</v>
      </c>
      <c r="D8742">
        <v>1.4</v>
      </c>
      <c r="E8742">
        <f>IF($D8742 &gt; 16, 0, $J$3*(16 - $D8742))</f>
        <v>3033.1301834301762</v>
      </c>
      <c r="F8742">
        <f>IF($D8742 &gt; 16, 0,$E8742*$J$5)</f>
        <v>32967091.963702586</v>
      </c>
      <c r="G8742">
        <f t="shared" si="136"/>
        <v>14.6</v>
      </c>
    </row>
    <row r="8743" spans="2:7" x14ac:dyDescent="0.35">
      <c r="B8743" s="1">
        <v>46022</v>
      </c>
      <c r="C8743" s="2">
        <v>0.20833333333333329</v>
      </c>
      <c r="D8743">
        <v>1.7</v>
      </c>
      <c r="E8743">
        <f>IF($D8743 &gt; 16, 0, $J$3*(16 - $D8743))</f>
        <v>2970.805590619967</v>
      </c>
      <c r="F8743">
        <f>IF($D8743 &gt; 16, 0,$E8743*$J$5)</f>
        <v>32289685.964448422</v>
      </c>
      <c r="G8743">
        <f t="shared" si="136"/>
        <v>14.3</v>
      </c>
    </row>
    <row r="8744" spans="2:7" x14ac:dyDescent="0.35">
      <c r="B8744" s="1">
        <v>46022</v>
      </c>
      <c r="C8744" s="2">
        <v>0.25</v>
      </c>
      <c r="D8744">
        <v>2.2000000000000002</v>
      </c>
      <c r="E8744">
        <f>IF($D8744 &gt; 16, 0, $J$3*(16 - $D8744))</f>
        <v>2866.9312692696185</v>
      </c>
      <c r="F8744">
        <f>IF($D8744 &gt; 16, 0,$E8744*$J$5)</f>
        <v>31160675.965691485</v>
      </c>
      <c r="G8744">
        <f t="shared" si="136"/>
        <v>13.8</v>
      </c>
    </row>
    <row r="8745" spans="2:7" x14ac:dyDescent="0.35">
      <c r="B8745" s="1">
        <v>46022</v>
      </c>
      <c r="C8745" s="2">
        <v>0.29166666666666669</v>
      </c>
      <c r="D8745">
        <v>2.7</v>
      </c>
      <c r="E8745">
        <f>IF($D8745 &gt; 16, 0, $J$3*(16 - $D8745))</f>
        <v>2763.05694791927</v>
      </c>
      <c r="F8745">
        <f>IF($D8745 &gt; 16, 0,$E8745*$J$5)</f>
        <v>30031665.966934547</v>
      </c>
      <c r="G8745">
        <f t="shared" si="136"/>
        <v>13.3</v>
      </c>
    </row>
    <row r="8746" spans="2:7" x14ac:dyDescent="0.35">
      <c r="B8746" s="1">
        <v>46022</v>
      </c>
      <c r="C8746" s="2">
        <v>0.33333333333333331</v>
      </c>
      <c r="D8746">
        <v>3.1</v>
      </c>
      <c r="E8746">
        <f>IF($D8746 &gt; 16, 0, $J$3*(16 - $D8746))</f>
        <v>2679.9574908389914</v>
      </c>
      <c r="F8746">
        <f>IF($D8746 &gt; 16, 0,$E8746*$J$5)</f>
        <v>29128457.967928998</v>
      </c>
      <c r="G8746">
        <f t="shared" si="136"/>
        <v>12.9</v>
      </c>
    </row>
    <row r="8747" spans="2:7" x14ac:dyDescent="0.35">
      <c r="B8747" s="1">
        <v>46022</v>
      </c>
      <c r="C8747" s="2">
        <v>0.375</v>
      </c>
      <c r="D8747">
        <v>4</v>
      </c>
      <c r="E8747">
        <f>IF($D8747 &gt; 16, 0, $J$3*(16 - $D8747))</f>
        <v>2492.9837124083638</v>
      </c>
      <c r="F8747">
        <f>IF($D8747 &gt; 16, 0,$E8747*$J$5)</f>
        <v>27096239.970166504</v>
      </c>
      <c r="G8747">
        <f t="shared" si="136"/>
        <v>12</v>
      </c>
    </row>
    <row r="8748" spans="2:7" x14ac:dyDescent="0.35">
      <c r="B8748" s="1">
        <v>46022</v>
      </c>
      <c r="C8748" s="2">
        <v>0.41666666666666669</v>
      </c>
      <c r="D8748">
        <v>5</v>
      </c>
      <c r="E8748">
        <f>IF($D8748 &gt; 16, 0, $J$3*(16 - $D8748))</f>
        <v>2285.2350697076668</v>
      </c>
      <c r="F8748">
        <f>IF($D8748 &gt; 16, 0,$E8748*$J$5)</f>
        <v>24838219.972652629</v>
      </c>
      <c r="G8748">
        <f t="shared" si="136"/>
        <v>11</v>
      </c>
    </row>
    <row r="8749" spans="2:7" x14ac:dyDescent="0.35">
      <c r="B8749" s="1">
        <v>46022</v>
      </c>
      <c r="C8749" s="2">
        <v>0.45833333333333331</v>
      </c>
      <c r="D8749">
        <v>5.4</v>
      </c>
      <c r="E8749">
        <f>IF($D8749 &gt; 16, 0, $J$3*(16 - $D8749))</f>
        <v>2202.1356126273881</v>
      </c>
      <c r="F8749">
        <f>IF($D8749 &gt; 16, 0,$E8749*$J$5)</f>
        <v>23935011.97364708</v>
      </c>
      <c r="G8749">
        <f t="shared" si="136"/>
        <v>10.6</v>
      </c>
    </row>
    <row r="8750" spans="2:7" x14ac:dyDescent="0.35">
      <c r="B8750" s="1">
        <v>46022</v>
      </c>
      <c r="C8750" s="2">
        <v>0.5</v>
      </c>
      <c r="D8750">
        <v>5.7</v>
      </c>
      <c r="E8750">
        <f>IF($D8750 &gt; 16, 0, $J$3*(16 - $D8750))</f>
        <v>2139.8110198171789</v>
      </c>
      <c r="F8750">
        <f>IF($D8750 &gt; 16, 0,$E8750*$J$5)</f>
        <v>23257605.974392917</v>
      </c>
      <c r="G8750">
        <f t="shared" si="136"/>
        <v>10.3</v>
      </c>
    </row>
    <row r="8751" spans="2:7" x14ac:dyDescent="0.35">
      <c r="B8751" s="1">
        <v>46022</v>
      </c>
      <c r="C8751" s="2">
        <v>0.54166666666666663</v>
      </c>
      <c r="D8751">
        <v>5.9</v>
      </c>
      <c r="E8751">
        <f>IF($D8751 &gt; 16, 0, $J$3*(16 - $D8751))</f>
        <v>2098.2612912770396</v>
      </c>
      <c r="F8751">
        <f>IF($D8751 &gt; 16, 0,$E8751*$J$5)</f>
        <v>22806001.974890143</v>
      </c>
      <c r="G8751">
        <f t="shared" si="136"/>
        <v>10.1</v>
      </c>
    </row>
    <row r="8752" spans="2:7" x14ac:dyDescent="0.35">
      <c r="B8752" s="1">
        <v>46022</v>
      </c>
      <c r="C8752" s="2">
        <v>0.58333333333333337</v>
      </c>
      <c r="D8752">
        <v>5.8</v>
      </c>
      <c r="E8752">
        <f>IF($D8752 &gt; 16, 0, $J$3*(16 - $D8752))</f>
        <v>2119.036155547109</v>
      </c>
      <c r="F8752">
        <f>IF($D8752 &gt; 16, 0,$E8752*$J$5)</f>
        <v>23031803.974641528</v>
      </c>
      <c r="G8752">
        <f t="shared" si="136"/>
        <v>10.199999999999999</v>
      </c>
    </row>
    <row r="8753" spans="2:7" x14ac:dyDescent="0.35">
      <c r="B8753" s="1">
        <v>46022</v>
      </c>
      <c r="C8753" s="2">
        <v>0.625</v>
      </c>
      <c r="D8753">
        <v>5.6</v>
      </c>
      <c r="E8753">
        <f>IF($D8753 &gt; 16, 0, $J$3*(16 - $D8753))</f>
        <v>2160.5858840872488</v>
      </c>
      <c r="F8753">
        <f>IF($D8753 &gt; 16, 0,$E8753*$J$5)</f>
        <v>23483407.974144306</v>
      </c>
      <c r="G8753">
        <f t="shared" si="136"/>
        <v>10.4</v>
      </c>
    </row>
    <row r="8754" spans="2:7" x14ac:dyDescent="0.35">
      <c r="B8754" s="1">
        <v>46022</v>
      </c>
      <c r="C8754" s="2">
        <v>0.66666666666666663</v>
      </c>
      <c r="D8754">
        <v>4.9000000000000004</v>
      </c>
      <c r="E8754">
        <f>IF($D8754 &gt; 16, 0, $J$3*(16 - $D8754))</f>
        <v>2306.0099339777366</v>
      </c>
      <c r="F8754">
        <f>IF($D8754 &gt; 16, 0,$E8754*$J$5)</f>
        <v>25064021.972404018</v>
      </c>
      <c r="G8754">
        <f t="shared" si="136"/>
        <v>11.1</v>
      </c>
    </row>
    <row r="8755" spans="2:7" x14ac:dyDescent="0.35">
      <c r="B8755" s="1">
        <v>46022</v>
      </c>
      <c r="C8755" s="2">
        <v>0.70833333333333337</v>
      </c>
      <c r="D8755">
        <v>4.7</v>
      </c>
      <c r="E8755">
        <f>IF($D8755 &gt; 16, 0, $J$3*(16 - $D8755))</f>
        <v>2347.5596625178759</v>
      </c>
      <c r="F8755">
        <f>IF($D8755 &gt; 16, 0,$E8755*$J$5)</f>
        <v>25515625.971906792</v>
      </c>
      <c r="G8755">
        <f t="shared" si="136"/>
        <v>11.3</v>
      </c>
    </row>
    <row r="8756" spans="2:7" x14ac:dyDescent="0.35">
      <c r="B8756" s="1">
        <v>46022</v>
      </c>
      <c r="C8756" s="2">
        <v>0.75</v>
      </c>
      <c r="D8756">
        <v>4.8</v>
      </c>
      <c r="E8756">
        <f>IF($D8756 &gt; 16, 0, $J$3*(16 - $D8756))</f>
        <v>2326.7847982478061</v>
      </c>
      <c r="F8756">
        <f>IF($D8756 &gt; 16, 0,$E8756*$J$5)</f>
        <v>25289823.972155403</v>
      </c>
      <c r="G8756">
        <f t="shared" si="136"/>
        <v>11.2</v>
      </c>
    </row>
    <row r="8757" spans="2:7" x14ac:dyDescent="0.35">
      <c r="B8757" s="1">
        <v>46022</v>
      </c>
      <c r="C8757" s="2">
        <v>0.79166666666666663</v>
      </c>
      <c r="D8757">
        <v>4.7</v>
      </c>
      <c r="E8757">
        <f>IF($D8757 &gt; 16, 0, $J$3*(16 - $D8757))</f>
        <v>2347.5596625178759</v>
      </c>
      <c r="F8757">
        <f>IF($D8757 &gt; 16, 0,$E8757*$J$5)</f>
        <v>25515625.971906792</v>
      </c>
      <c r="G8757">
        <f t="shared" si="136"/>
        <v>11.3</v>
      </c>
    </row>
    <row r="8758" spans="2:7" x14ac:dyDescent="0.35">
      <c r="B8758" s="1">
        <v>46022</v>
      </c>
      <c r="C8758" s="2">
        <v>0.83333333333333337</v>
      </c>
      <c r="D8758">
        <v>4.9000000000000004</v>
      </c>
      <c r="E8758">
        <f>IF($D8758 &gt; 16, 0, $J$3*(16 - $D8758))</f>
        <v>2306.0099339777366</v>
      </c>
      <c r="F8758">
        <f>IF($D8758 &gt; 16, 0,$E8758*$J$5)</f>
        <v>25064021.972404018</v>
      </c>
      <c r="G8758">
        <f t="shared" si="136"/>
        <v>11.1</v>
      </c>
    </row>
    <row r="8759" spans="2:7" x14ac:dyDescent="0.35">
      <c r="B8759" s="1">
        <v>46022</v>
      </c>
      <c r="C8759" s="2">
        <v>0.875</v>
      </c>
      <c r="D8759">
        <v>5.2</v>
      </c>
      <c r="E8759">
        <f>IF($D8759 &gt; 16, 0, $J$3*(16 - $D8759))</f>
        <v>2243.6853411675274</v>
      </c>
      <c r="F8759">
        <f>IF($D8759 &gt; 16, 0,$E8759*$J$5)</f>
        <v>24386615.973149855</v>
      </c>
      <c r="G8759">
        <f t="shared" si="136"/>
        <v>10.8</v>
      </c>
    </row>
    <row r="8760" spans="2:7" x14ac:dyDescent="0.35">
      <c r="B8760" s="1">
        <v>46022</v>
      </c>
      <c r="C8760" s="2">
        <v>0.91666666666666663</v>
      </c>
      <c r="D8760">
        <v>5.3</v>
      </c>
      <c r="E8760">
        <f>IF($D8760 &gt; 16, 0, $J$3*(16 - $D8760))</f>
        <v>2222.9104768974576</v>
      </c>
      <c r="F8760">
        <f>IF($D8760 &gt; 16, 0,$E8760*$J$5)</f>
        <v>24160813.973398466</v>
      </c>
      <c r="G8760">
        <f t="shared" si="136"/>
        <v>10.7</v>
      </c>
    </row>
    <row r="8761" spans="2:7" x14ac:dyDescent="0.35">
      <c r="B8761" s="1">
        <v>46022</v>
      </c>
      <c r="C8761" s="2">
        <v>0.95833333333333337</v>
      </c>
      <c r="D8761">
        <v>4.8</v>
      </c>
      <c r="E8761">
        <f>IF($D8761 &gt; 16, 0, $J$3*(16 - $D8761))</f>
        <v>2326.7847982478061</v>
      </c>
      <c r="F8761">
        <f>IF($D8761 &gt; 16, 0,$E8761*$J$5)</f>
        <v>25289823.972155403</v>
      </c>
      <c r="G8761">
        <f t="shared" si="136"/>
        <v>11.2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Weather data</vt:lpstr>
      <vt:lpstr>One year weather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Alessio Solter</cp:lastModifiedBy>
  <dcterms:created xsi:type="dcterms:W3CDTF">2026-02-23T16:02:27Z</dcterms:created>
  <dcterms:modified xsi:type="dcterms:W3CDTF">2026-02-28T14:52:49Z</dcterms:modified>
</cp:coreProperties>
</file>